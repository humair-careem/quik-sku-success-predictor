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ies" sheetId="1" r:id="rId5"/>
    <sheet state="visible" name="Category Saturation" sheetId="2" r:id="rId6"/>
    <sheet state="visible" name="Depth or Width" sheetId="3" r:id="rId7"/>
    <sheet state="visible" name="Monetization" sheetId="4" r:id="rId8"/>
    <sheet state="visible" name="Refrence Data" sheetId="5" r:id="rId9"/>
    <sheet state="hidden" name="Copy of Refrence Data" sheetId="6" r:id="rId10"/>
    <sheet state="visible" name="New Launch Success Rate" sheetId="7" r:id="rId11"/>
    <sheet state="visible" name="Main Working" sheetId="8" r:id="rId12"/>
    <sheet state="visible" name="Sheet11" sheetId="9" r:id="rId13"/>
    <sheet state="visible" name="Sheet9" sheetId="10" r:id="rId14"/>
    <sheet state="visible" name="ROS" sheetId="11" r:id="rId15"/>
    <sheet state="visible" name="Non Moving" sheetId="12" r:id="rId16"/>
  </sheets>
  <definedNames>
    <definedName hidden="1" localSheetId="5" name="_xlnm._FilterDatabase">'Copy of Refrence Data'!$A$1:$Z$1361</definedName>
  </definedNames>
  <calcPr/>
</workbook>
</file>

<file path=xl/sharedStrings.xml><?xml version="1.0" encoding="utf-8"?>
<sst xmlns="http://schemas.openxmlformats.org/spreadsheetml/2006/main" count="45096" uniqueCount="4231">
  <si>
    <t>Data</t>
  </si>
  <si>
    <t>Queries</t>
  </si>
  <si>
    <t>Refrence Data</t>
  </si>
  <si>
    <t>https://careem-insights.careem-engineering.com/sqllab?savedQueryId=432380</t>
  </si>
  <si>
    <t>New Launch Success</t>
  </si>
  <si>
    <t>https://careem-insights.careem-engineering.com/sqllab?savedQueryId=432384</t>
  </si>
  <si>
    <t>Key</t>
  </si>
  <si>
    <t>Concentration Index</t>
  </si>
  <si>
    <t>SKU Efficiency</t>
  </si>
  <si>
    <t>W/D</t>
  </si>
  <si>
    <t>Score</t>
  </si>
  <si>
    <t>Low</t>
  </si>
  <si>
    <t>High</t>
  </si>
  <si>
    <t>Width</t>
  </si>
  <si>
    <t>Depth</t>
  </si>
  <si>
    <t>Medium</t>
  </si>
  <si>
    <t>SATURATION MATRIX — How Concentration Index × Width/Depth → Score</t>
  </si>
  <si>
    <t>The New SKU Submission sheet looks up the score from the VLOOKUP table at the bottom. The visual matrix above explains the logic in plain English.</t>
  </si>
  <si>
    <t>HOW TO READ THIS TABLE</t>
  </si>
  <si>
    <t>Concentration Index = % of subcategory-bucket ROS earned by the top 20% of SKUs.
 If top 20% earn &gt;70% of ROS → HIGH concentration: a few SKUs dominate. Very hard to break in.
 If top 20% earn 50-70% → MEDIUM: competitive but fragmented enough for a good new SKU.
 If top 20% earn &lt;50% → LOW: demand genuinely spread. Most new entries find their niche.
 SKU Efficiency = total bucket ROS ÷ total SKUs in bucket (network units/day per SKU on average). HIGH = each slot earns ≥ 0.5/store/day on average — a productive bucket worth competing in. LOW = average slot underperforming — adding more risks further dilution.
 Width = SKU introduces something not currently in range at this subcat-bucket (new brand, new dietary profile, new flavour family, new format, new ingredient).
 Depth = SKU adds within existing coverage (another flavour variant, another size, different brand in same slot).</t>
  </si>
  <si>
    <t>Concentration (Do pareto SKUs hold all the demand)</t>
  </si>
  <si>
    <t>SKU efficiency</t>
  </si>
  <si>
    <t>W / D</t>
  </si>
  <si>
    <t>What it means — and what to do</t>
  </si>
  <si>
    <t>LOW (&lt;50%)</t>
  </si>
  <si>
    <t>HIGH</t>
  </si>
  <si>
    <t>Best possible entry. Market is fragmented and productive — no dominant players, every SKU earning above floor. A genuinely new addition has space to find its own demand without competing with entrenched winners.</t>
  </si>
  <si>
    <t>demand spread</t>
  </si>
  <si>
    <t>avg sku earns well</t>
  </si>
  <si>
    <t>Also clear. Fragmented + productive means another variant can still carve its own share. There are no entrenched winners to displace and the bucket can absorb it.</t>
  </si>
  <si>
    <t>across many SKUs</t>
  </si>
  <si>
    <t>LOW</t>
  </si>
  <si>
    <t>Proceed carefully. Market is fragmented — no one dominates — but average SKU is weak. Width may actually improve bucket efficiency by bringing in a demand type that's missing. The right move; but the weak efficiency is a warning sign worth watching.</t>
  </si>
  <si>
    <t>avg sku underperforming</t>
  </si>
  <si>
    <t>Conditional. Fragmented but underperforming. The range is already diluted — adding another variant of the same thing adds to the supply side without fixing the demand problem. Needs a strong velocity signal to override.</t>
  </si>
  <si>
    <t>MEDIUM (50-70%)</t>
  </si>
  <si>
    <t>Clear. Competitive but productive. Width enters a different demand space so it isn't fighting the existing leaders — it's finding adjacent customers the current range doesn't serve. Strong case.</t>
  </si>
  <si>
    <t>some leaders but</t>
  </si>
  <si>
    <t>avg slot earns well</t>
  </si>
  <si>
    <t>Conditional. Productive market, but Depth means competing directly with functional existing SKUs that are already earning. You need a specific reason this variant wins over what's already there. Justify differentiation explicitly.</t>
  </si>
  <si>
    <t>not locked</t>
  </si>
  <si>
    <t>Conditional. Competitive + struggling. Width is the better bet since you're not competing with the leaders for the same demand. But the underlying efficiency problem means even good SKUs struggle here. Something is structurally wrong with this bucket.</t>
  </si>
  <si>
    <t>avg SKU underperforming</t>
  </si>
  <si>
    <t>Review — high risk. Competitive, underperforming, and adding another variant into the same need space. This SKU is nearly certain to become slow tail. Needs exceptional velocity signal AND explicit plan to delist an offset SKU first.</t>
  </si>
  <si>
    <t>Conditional — must be truly distinct. A few SKUs dominate and earn a lot. Width at least approaches from a different angle — not directly competing with the winners. But customer loyalty is already committed to the dominant SKUs. Only proceed if the Width entry is genuinely differentiated, not just a different brand of the same thing.</t>
  </si>
  <si>
    <t>top 20% SKUs own</t>
  </si>
  <si>
    <t>avg SKU earns well</t>
  </si>
  <si>
    <t>Block. Dominant SKUs own the market and every SKU is productive. Adding Depth means competing head-on with entrenched winners. Customers already prefer the dominant SKUs — your variant will not beat them. This is the most common cause of new listing failure.</t>
  </si>
  <si>
    <t>&gt;70% of ROS</t>
  </si>
  <si>
    <t>Review — structurally broken bucket. A few SKUs dominate but the average SKU is still weak — meaning even the winners aren't winning by much. The whole bucket has a demand problem. Width gives the best shot but the structural failure means even new demand types struggle here. Very risky.</t>
  </si>
  <si>
    <t>Block. Concentrated + underperforming = worst case. The market is locked by a few weak winners, average SKUs do nothing, and you want to add a variant. There is no commercial logic that supports this. Do not proceed regardless of supplier terms or other signals.</t>
  </si>
  <si>
    <t>WIDTH OR DEPTH? — CM fills Yes/No for each attribute. Result is auto-calculated.</t>
  </si>
  <si>
    <t>WIDTH = new SKU introduces something not currently available in this subcat-bucket. DEPTH = adds within existing coverage. WIDTH additions are treated more favourably in concentrated markets (see Saturation Matrix).</t>
  </si>
  <si>
    <t>WHAT EACH ATTRIBUTE MEANS (read before filling the table)</t>
  </si>
  <si>
    <t>Attribute</t>
  </si>
  <si>
    <t>What YES means</t>
  </si>
  <si>
    <t>New Format</t>
  </si>
  <si>
    <t>Is the physical product format genuinely different? e.g. first protein bar in a biscuit bucket, first wafer in a chocolate bucket. Usually determined by the subcategory itself.</t>
  </si>
  <si>
    <t>New Brand</t>
  </si>
  <si>
    <t>Is this a brand not currently listed in this subcategory-bucket? A new global brand counts. A second SKU from a brand already present = No.</t>
  </si>
  <si>
    <t>New Flavour</t>
  </si>
  <si>
    <t>Does this SKU introduce a flavour FAMILY not present? e.g. first Spicy/Hot chip when only Salted/Plain and Cheese exist. Adding another BBQ variant when BBQ already exists = No.</t>
  </si>
  <si>
    <t>Item Description</t>
  </si>
  <si>
    <t>Brand</t>
  </si>
  <si>
    <t>Primary Category</t>
  </si>
  <si>
    <t>Primary Subcategory</t>
  </si>
  <si>
    <t>Category</t>
  </si>
  <si>
    <t>Tag</t>
  </si>
  <si>
    <t>Addition Type</t>
  </si>
  <si>
    <t>Reason</t>
  </si>
  <si>
    <t>New Size</t>
  </si>
  <si>
    <t>Does this SKU introduce a pack occasion not present? The 4 occasions: Impulse &lt;50g, Snack 50-150g, Sharing 150-400g, Gifting &gt;400g. Another Snack when Snack already exists = No.</t>
  </si>
  <si>
    <t>Kamasutra Condom Ultrathin Pack of 3 pcs</t>
  </si>
  <si>
    <t>Kamasutra</t>
  </si>
  <si>
    <t>Adult Care</t>
  </si>
  <si>
    <t>Condoms</t>
  </si>
  <si>
    <t>Brand already present in subcategory "Condoms"</t>
  </si>
  <si>
    <t>New Ingredient</t>
  </si>
  <si>
    <t>Does this SKU use a base ingredient not in the bucket? e.g. first chickpea chip, first oat biscuit, first date-based bar. Standard potato/wheat/corn = No.</t>
  </si>
  <si>
    <t>Kamasutra Condom Ribbed Pack of 3 pcs</t>
  </si>
  <si>
    <t>New Price Point</t>
  </si>
  <si>
    <t>Does this SKU fill a price gap — no existing SKU within ±2 AED in this subcat-bucket?</t>
  </si>
  <si>
    <t>Kamasutra Condom Intensity Pack of 3 pcs</t>
  </si>
  <si>
    <t>Kamasutra Condom Xtra Pleasure Pack of 12 pcs</t>
  </si>
  <si>
    <t>DECISION RULE</t>
  </si>
  <si>
    <t>Kamasutra Condom Xtra Pleasure Pack of 3 pcs</t>
  </si>
  <si>
    <t>WIDTH: if any of the following = Yes → New Format, New Brand, New Flavour, New Ingredient
 DEPTH: if all of the above are No — only New Size or New Price Point might be Yes, or all are No.
 Key principle: Width = genuinely different customer need or segment. Depth = same need, another option.</t>
  </si>
  <si>
    <t>Kamasutra Condom Ribbed Pack of 12 pcs</t>
  </si>
  <si>
    <t>Kamasutra Condom Dotted Pack of 3 pcs</t>
  </si>
  <si>
    <t>On Hold</t>
  </si>
  <si>
    <t>SKU ATTRIBUTE TABLE — CM fills Yes/No (result auto-calculates in last column)</t>
  </si>
  <si>
    <t>Kamasutra Condom Wet N Wild Pack of 12 pcs</t>
  </si>
  <si>
    <t>Proposed SKU Name</t>
  </si>
  <si>
    <t>New
 Format?</t>
  </si>
  <si>
    <t>New
 Brand?</t>
  </si>
  <si>
    <t>New
 Flavour?</t>
  </si>
  <si>
    <t>New
 Size?</t>
  </si>
  <si>
    <t>New
 Ingredient?</t>
  </si>
  <si>
    <t>New Price
 Point?</t>
  </si>
  <si>
    <t>WIDTH or DEPTH?
 (auto from cols C-H)</t>
  </si>
  <si>
    <t>Kamasutra Condom Wet N Wild Pack of 3 pcs</t>
  </si>
  <si>
    <t>Enter SKU name</t>
  </si>
  <si>
    <t>Yes/No</t>
  </si>
  <si>
    <t>Auto: Width if New Format/Brand/Flavour/Ingredient = Yes. Else Depth.</t>
  </si>
  <si>
    <t>Or can be done using an AI tool</t>
  </si>
  <si>
    <t>S-26 Gold Stage 4 ProKids, 3-6 Years 800 g</t>
  </si>
  <si>
    <t>S-26</t>
  </si>
  <si>
    <t>Baby Essentials</t>
  </si>
  <si>
    <t>Milk Formula</t>
  </si>
  <si>
    <t>Brand already present in subcategory "Milk Formula"</t>
  </si>
  <si>
    <t>Pringles Wavy BBQ 137g</t>
  </si>
  <si>
    <t>No</t>
  </si>
  <si>
    <t>Yes</t>
  </si>
  <si>
    <t>S-26 Gold Stage 3, 1-3 Years 1.6 kg</t>
  </si>
  <si>
    <t>Takis Fuego Rolled Tortilla 92g</t>
  </si>
  <si>
    <t>Or simple inputs from CMs</t>
  </si>
  <si>
    <t>S-26 Gold Stage 1, 0-6 Months 800 g</t>
  </si>
  <si>
    <t>Hippeas Chickpea Puffs 78g</t>
  </si>
  <si>
    <t>Cerelac Grains &amp; Milk Pouch in Wheat &amp; Honey 110 g</t>
  </si>
  <si>
    <t>Cerelac</t>
  </si>
  <si>
    <t>Baby Food</t>
  </si>
  <si>
    <t>Brand already present in subcategory "Baby Food"</t>
  </si>
  <si>
    <t>Doritos Dinamita Chilli Lime 127g</t>
  </si>
  <si>
    <t>Cerelac Grains &amp; Milk Pouch in 5 Cereals 110 g</t>
  </si>
  <si>
    <t>Act II Butter Popcorn 100g</t>
  </si>
  <si>
    <t>Cerelac Grains &amp; Milk Pouch in Mango 110 g</t>
  </si>
  <si>
    <t>Skinny Pop Original 77g</t>
  </si>
  <si>
    <t>S-26 Gold Stage 4 Kid Dual Pack 800 g x 2</t>
  </si>
  <si>
    <t>Cheetos Flamin Hot 80g</t>
  </si>
  <si>
    <t>Cerelac Fruits Puree Pouch in Banana, Apple, Orange &amp; Biscuit Value Pack 90 g x 4</t>
  </si>
  <si>
    <t>Phase Out</t>
  </si>
  <si>
    <t>Bayara Cashews Roasted 300g</t>
  </si>
  <si>
    <t>Gerber Organic Puree Pouch in Mango 90 g x 4</t>
  </si>
  <si>
    <t>Gerber</t>
  </si>
  <si>
    <t>Blue Diamond Almonds Smokehouse 170g</t>
  </si>
  <si>
    <t>Cerelac Fruits Puree Pouch in Apple, Carrot &amp; Mango Value Pack 90 g x 4</t>
  </si>
  <si>
    <t>Wonderful Pistachios 113g</t>
  </si>
  <si>
    <t>Be Fit Brown Pita Wrapper</t>
  </si>
  <si>
    <t>Befit</t>
  </si>
  <si>
    <t>Bakery</t>
  </si>
  <si>
    <t>Tortilla &amp; Wraps</t>
  </si>
  <si>
    <t>Brand already present in subcategory "Tortilla &amp; Wraps"</t>
  </si>
  <si>
    <t>Halabi Premium Nuts Tin 400g</t>
  </si>
  <si>
    <t>Special Ginger House Assembled</t>
  </si>
  <si>
    <t>Bakemart</t>
  </si>
  <si>
    <t>Cakes, Croissants &amp; Pastries</t>
  </si>
  <si>
    <t>Brand already present in subcategory "Cakes, Croissants &amp; Pastries"</t>
  </si>
  <si>
    <t>Ritz Crisp Thins Sea Salt 105g</t>
  </si>
  <si>
    <t>Special Ginger House Kit</t>
  </si>
  <si>
    <t>Snyder's Pretzels Honey Mustard 125g</t>
  </si>
  <si>
    <t>Plum Cake Rich Fruit-Mono Portion</t>
  </si>
  <si>
    <t>Doritos Family Pack Nacho 300g</t>
  </si>
  <si>
    <t>Christmas Pudding</t>
  </si>
  <si>
    <t>Hunter's Gourmet Truffle Chips 100g</t>
  </si>
  <si>
    <t>Mince Pie</t>
  </si>
  <si>
    <t>Kurkure Masala Munch 65g</t>
  </si>
  <si>
    <t>Bread Stollen Small</t>
  </si>
  <si>
    <t>Breads &amp; Loaves</t>
  </si>
  <si>
    <t>Brand already present in subcategory "Breads &amp; Loaves"</t>
  </si>
  <si>
    <t>Tom Tom Chilli Chips 90g</t>
  </si>
  <si>
    <t>Cookies Stollen</t>
  </si>
  <si>
    <t>Rusk, Cookies &amp; Crackers</t>
  </si>
  <si>
    <t>Brand exists but enters new subcategory "Rusk, Cookies &amp; Crackers"</t>
  </si>
  <si>
    <t>Pringles Sour Cream Mini 40g</t>
  </si>
  <si>
    <t>Cookie Cinnamon Coin</t>
  </si>
  <si>
    <t>Lay's Family Pack Salt 250g</t>
  </si>
  <si>
    <t>Xmas Cookie Printed - Ginger Man</t>
  </si>
  <si>
    <t>Beanitos White Bean Chips 113g</t>
  </si>
  <si>
    <t>Xmas Cookie - Santa Head Printed</t>
  </si>
  <si>
    <t>KitKat Gold Caramel 45g</t>
  </si>
  <si>
    <t>Snowman Cookies in Bag</t>
  </si>
  <si>
    <t>Kinder Happy Hippos 103g</t>
  </si>
  <si>
    <t>Panettone Chocolate - Large</t>
  </si>
  <si>
    <t>Milka Daim 100g</t>
  </si>
  <si>
    <t>Panettone Mix Fruit - Large</t>
  </si>
  <si>
    <t>Tony's Chocolonely Milk Caramel 180g</t>
  </si>
  <si>
    <t>Mince Pie - Grab &amp; Go Bag</t>
  </si>
  <si>
    <t>Snickers Bites Sharing 220g</t>
  </si>
  <si>
    <t>Frio Natural Zero Cola 250 mL</t>
  </si>
  <si>
    <t>Frio</t>
  </si>
  <si>
    <t>Beverages</t>
  </si>
  <si>
    <t>Soft Drinks</t>
  </si>
  <si>
    <t>Brand exists but enters new subcategory "Soft Drinks"</t>
  </si>
  <si>
    <t>Twix White Chocolate 46g</t>
  </si>
  <si>
    <t>Peroni Nastro Azzurro 0.0% AR 330 mL</t>
  </si>
  <si>
    <t>Peroni</t>
  </si>
  <si>
    <t>Sober Sips &amp; Mixers</t>
  </si>
  <si>
    <t>Brand already present in subcategory "Sober Sips &amp; Mixers"</t>
  </si>
  <si>
    <t>Ferrero Rocher Box 300g</t>
  </si>
  <si>
    <t>Karak Arabia 250ml</t>
  </si>
  <si>
    <t>Project Chaiwala</t>
  </si>
  <si>
    <t>Iced Teas &amp; Coffees</t>
  </si>
  <si>
    <t>Brand exists but enters new subcategory "Iced Teas &amp; Coffees"</t>
  </si>
  <si>
    <t>Haribo Gold Bears 250g</t>
  </si>
  <si>
    <t>Falcon Punch 250ml</t>
  </si>
  <si>
    <t>Trolli Sour Brite 99g</t>
  </si>
  <si>
    <t>Molten Karak 250ml</t>
  </si>
  <si>
    <t>Skittles Tropical 61g</t>
  </si>
  <si>
    <t>Tiger Burst 250ml</t>
  </si>
  <si>
    <t>Oreo Double Stuf 176g</t>
  </si>
  <si>
    <t>Gorilla Ultimate Original Energy Drink 500 mL</t>
  </si>
  <si>
    <t>Gorilla</t>
  </si>
  <si>
    <t>Sports &amp; Energy Drinks</t>
  </si>
  <si>
    <t>New brand in existing subcategory "Sports &amp; Energy Drinks"</t>
  </si>
  <si>
    <t>Lotus Biscoff 250g</t>
  </si>
  <si>
    <t>Gorilla Ultimate Mango Coconut Energy Drink 500 mL</t>
  </si>
  <si>
    <t>McVitie's Dark Choc Digestive 300g</t>
  </si>
  <si>
    <t>Gorilla Ultimate Energy Drink 500 mL</t>
  </si>
  <si>
    <t>Nakd Berry Delight Bar 35g</t>
  </si>
  <si>
    <t>Gorilla Ultimate Watermelon Melon Energy Drink 500 mL</t>
  </si>
  <si>
    <t>Barebells Cookies &amp; Cream 55g</t>
  </si>
  <si>
    <t>Nature Valley Protein Peanut &amp; Chocolate Bar 40 g</t>
  </si>
  <si>
    <t>Nature Valley</t>
  </si>
  <si>
    <t>Breakfast</t>
  </si>
  <si>
    <t>Cereal Bars</t>
  </si>
  <si>
    <t>Seasonality</t>
  </si>
  <si>
    <t>Brand already present in subcategory "Cereal Bars"</t>
  </si>
  <si>
    <t>Quest Salted Caramel Bar 60g</t>
  </si>
  <si>
    <t>Kellogg's Corn Flakes Cereal 24 g</t>
  </si>
  <si>
    <t>Kellogg's</t>
  </si>
  <si>
    <t>Cereal &amp; Granola</t>
  </si>
  <si>
    <t>Brand already present in subcategory "Cereal &amp; Granola"</t>
  </si>
  <si>
    <t>Grenade Carb Killa Dark 60g</t>
  </si>
  <si>
    <t>Rio Mare In Sunflower Oil 70 g</t>
  </si>
  <si>
    <t>Rio Mare</t>
  </si>
  <si>
    <t>Canned &amp; Jarred Foods</t>
  </si>
  <si>
    <t>Canned Fish &amp; Seafood</t>
  </si>
  <si>
    <t>Brand already present in subcategory "Canned Fish &amp; Seafood"</t>
  </si>
  <si>
    <t>Bateel Assorted Dates 250g</t>
  </si>
  <si>
    <t>Desi &amp; Fresh Khoya, Desi Kadai Mawa 250 g</t>
  </si>
  <si>
    <t>Desi &amp; Fresh</t>
  </si>
  <si>
    <t>Cheese &amp; Butter</t>
  </si>
  <si>
    <t>Block Cheese</t>
  </si>
  <si>
    <t>Brand already present in subcategory "Block Cheese"</t>
  </si>
  <si>
    <t>Freakin Awesome Date Bites 45g</t>
  </si>
  <si>
    <t>Desi &amp; Fresh High Protein Low Fat Fresh Malai Paneer 200 g</t>
  </si>
  <si>
    <t>Celebrations Chocolate 186g</t>
  </si>
  <si>
    <t>Puck Cream Can 160 g</t>
  </si>
  <si>
    <t>Puck</t>
  </si>
  <si>
    <t>Cream</t>
  </si>
  <si>
    <t>Brand already present in subcategory "Cream"</t>
  </si>
  <si>
    <t>Lindt Lindor Milk 200g</t>
  </si>
  <si>
    <t>Puck Turkish Labneh Spread 650 g</t>
  </si>
  <si>
    <t>Labneh</t>
  </si>
  <si>
    <t>Brand already present in subcategory "Labneh"</t>
  </si>
  <si>
    <t>Cadbury Dairy Milk 200g</t>
  </si>
  <si>
    <t>Svalya Sour Cream 200 g</t>
  </si>
  <si>
    <t>Svalya</t>
  </si>
  <si>
    <t>Maltesers Sharing 235g</t>
  </si>
  <si>
    <t>Almarai Marvello Natural Maasdam Cheese Slices 150 g</t>
  </si>
  <si>
    <t>Almarai</t>
  </si>
  <si>
    <t>Slices &amp; Portions</t>
  </si>
  <si>
    <t>Brand already present in subcategory "Slices &amp; Portions"</t>
  </si>
  <si>
    <t>Chupa Chups Bag 12pcs</t>
  </si>
  <si>
    <t>Almarai Marvello Natural Edam Cheese Slices 150 g</t>
  </si>
  <si>
    <t>Reese's Peanut Butter Cups 42g</t>
  </si>
  <si>
    <t>Bru Pure Instant Coffee 100 g</t>
  </si>
  <si>
    <t>Bru</t>
  </si>
  <si>
    <t>Coffee &amp; Tea</t>
  </si>
  <si>
    <t>Instant Coffee &amp; Sachets</t>
  </si>
  <si>
    <t>Brand already present in subcategory "Instant Coffee &amp; Sachets"</t>
  </si>
  <si>
    <t>Tic Tac Strawberry 100pcs</t>
  </si>
  <si>
    <t>Kewpie Roasted Sesame Dressing 210 g</t>
  </si>
  <si>
    <t>Kewpie</t>
  </si>
  <si>
    <t>Condiments</t>
  </si>
  <si>
    <t>Dressings</t>
  </si>
  <si>
    <t>Brand already present in subcategory "Dressings"</t>
  </si>
  <si>
    <t>Jolly Rancher Hard Candy 141g</t>
  </si>
  <si>
    <t>Sacla Pesto Sauce 190 g</t>
  </si>
  <si>
    <t>Sacla</t>
  </si>
  <si>
    <t>Paste &amp; Sauces</t>
  </si>
  <si>
    <t>Brand already present in subcategory "Paste &amp; Sauces"</t>
  </si>
  <si>
    <t>Pringles BBQ Family 200g</t>
  </si>
  <si>
    <t>Cholula  Green Pepper Hot Sauce150 mL</t>
  </si>
  <si>
    <t>Cholula</t>
  </si>
  <si>
    <t>Hot Sauce</t>
  </si>
  <si>
    <t>Brand already present in subcategory "Hot Sauce"</t>
  </si>
  <si>
    <t>Cadbury Roses Gift Box 290g</t>
  </si>
  <si>
    <t>Cholula Hot Sauce 60 mL</t>
  </si>
  <si>
    <t>Halawa Tahini Bar 50g</t>
  </si>
  <si>
    <t>Frank's Red Hot Original Cayenne Pepper Sauce 148 mL</t>
  </si>
  <si>
    <t>Franks</t>
  </si>
  <si>
    <t>Nature Valley Granola Bar 3pk</t>
  </si>
  <si>
    <t>Franks Red Hot Buffalo Wings Hot Sauce 354 mL</t>
  </si>
  <si>
    <t>Galaxy Ripple Chocolate 42g</t>
  </si>
  <si>
    <t>French Classic Yellow Mustard 226 g</t>
  </si>
  <si>
    <t>French</t>
  </si>
  <si>
    <t>Mayo &amp; Mustard</t>
  </si>
  <si>
    <t>New brand in existing subcategory "Mayo &amp; Mustard"</t>
  </si>
  <si>
    <t>Nongshim Honey Butter Chips 135g</t>
  </si>
  <si>
    <t>Kikkoman Tonkatsu Sauce 235 g</t>
  </si>
  <si>
    <t>Kikkoman</t>
  </si>
  <si>
    <t>Discontinued</t>
  </si>
  <si>
    <t>M&amp;M's Crispy Sharing 350g</t>
  </si>
  <si>
    <t>Mother's Recipe Mint Chutney 250 g</t>
  </si>
  <si>
    <t>Mother's Recipe</t>
  </si>
  <si>
    <t>Kettle Brand Sea Salt 141g</t>
  </si>
  <si>
    <t>Mothers Recipe Tamarind Date Chutney 285 g</t>
  </si>
  <si>
    <t>Pocky Chocolate Biscuit Sticks 47g</t>
  </si>
  <si>
    <t>Nutcracker Ballet Cups</t>
  </si>
  <si>
    <t>Meri Meri</t>
  </si>
  <si>
    <t>Disposables</t>
  </si>
  <si>
    <t>Tableware</t>
  </si>
  <si>
    <t>New brand in existing subcategory "Tableware"</t>
  </si>
  <si>
    <t>After Eight Mint Thins 300g</t>
  </si>
  <si>
    <t>Nutcracker Ballet Large Napkins</t>
  </si>
  <si>
    <t>Poppins Caramel Popcorn 85g</t>
  </si>
  <si>
    <t>Nutcracker Ballet Dinner Plates</t>
  </si>
  <si>
    <t>Bounty Dark Chocolate 57g</t>
  </si>
  <si>
    <t>Nutcracker Ballet Soldier Napkins</t>
  </si>
  <si>
    <t>Almond Breeze Roasted Honey 120g</t>
  </si>
  <si>
    <t>Winter Woodland Cupcake Kit</t>
  </si>
  <si>
    <t>Corny Big Chocolate Muesli 50g</t>
  </si>
  <si>
    <t>Reindeer With Raffia Bow Plates</t>
  </si>
  <si>
    <t>Maggi Star Corn Puffs 60g</t>
  </si>
  <si>
    <t>Merry Mushrooms Small Napkins</t>
  </si>
  <si>
    <t>Green &amp; Black's 70% Dark 90g</t>
  </si>
  <si>
    <t>Merry Mushrooms Side Plates</t>
  </si>
  <si>
    <t>Sour Patch Kids Watermelon 130g</t>
  </si>
  <si>
    <t>Winter Woodland Dinner Plates</t>
  </si>
  <si>
    <t>Kif Kif Premium Dates 350g</t>
  </si>
  <si>
    <t>Winter Woodland Large Napkins</t>
  </si>
  <si>
    <t>Twix Bites Sharing 170g</t>
  </si>
  <si>
    <t>Driving Reindeer Napkins</t>
  </si>
  <si>
    <t>Doritos Salsa 100g</t>
  </si>
  <si>
    <t>Turkey Paper Napkins</t>
  </si>
  <si>
    <t>← Enter SKU name here</t>
  </si>
  <si>
    <t>Jolly Christmas Santa Plates</t>
  </si>
  <si>
    <t>Jolly Christmas Santa Napkins</t>
  </si>
  <si>
    <t>Jolly Christmas Cups</t>
  </si>
  <si>
    <t>Stripy Candy Cane Napkins</t>
  </si>
  <si>
    <t>Holly Pattern Napkin Small</t>
  </si>
  <si>
    <t>Turkey Paper Plates</t>
  </si>
  <si>
    <t>Holly Pattern Dinner Plates</t>
  </si>
  <si>
    <t>Silver and Gold Foil Confetti Popper</t>
  </si>
  <si>
    <t>Unique</t>
  </si>
  <si>
    <t>Hotpack Wooden Spoon 50 pcs</t>
  </si>
  <si>
    <t>Hotpack</t>
  </si>
  <si>
    <t>Brand already present in subcategory "Tableware"</t>
  </si>
  <si>
    <t>Green &amp; Co Medium Free Range Eggs 30 pcs</t>
  </si>
  <si>
    <t>Green &amp; Co</t>
  </si>
  <si>
    <t>Eggs</t>
  </si>
  <si>
    <t>Brown</t>
  </si>
  <si>
    <t>Brand exists but enters new subcategory "Brown"</t>
  </si>
  <si>
    <t>Green &amp; Co Medium Organic Brown Eggs 30 pcs</t>
  </si>
  <si>
    <t>Organic</t>
  </si>
  <si>
    <t>Brand exists but enters new subcategory "Organic"</t>
  </si>
  <si>
    <t>Green &amp; Co Medium Brown Eggs 6 pcs</t>
  </si>
  <si>
    <t>Green &amp; Co Medium Brown Eggs 15 pcs</t>
  </si>
  <si>
    <t>Al Jazira Golden Cage-Free Eggs (10 pcs)</t>
  </si>
  <si>
    <t>Al Jazira</t>
  </si>
  <si>
    <t>Farm Fresh Medium White Eggs x 30 pcs</t>
  </si>
  <si>
    <t>Farm Fresh</t>
  </si>
  <si>
    <t>White</t>
  </si>
  <si>
    <t>Brand exists but enters new subcategory "White"</t>
  </si>
  <si>
    <t>Banana Leaf (5 pcs)</t>
  </si>
  <si>
    <t>Banana Leaves</t>
  </si>
  <si>
    <t>Fresh Flowers &amp; Plants</t>
  </si>
  <si>
    <t>Festive &amp; Religious</t>
  </si>
  <si>
    <t>BFP</t>
  </si>
  <si>
    <t>New brand "Banana Leaves" entering new subcategory "Festive &amp; Religious"</t>
  </si>
  <si>
    <t>Bostock Organic Chicken Breast Skinless 300 g</t>
  </si>
  <si>
    <t>Bostock</t>
  </si>
  <si>
    <t>Fresh Meat &amp; Seafood</t>
  </si>
  <si>
    <t>Chicken</t>
  </si>
  <si>
    <t>New brand in existing subcategory "Chicken"</t>
  </si>
  <si>
    <t>Bostock Organic Chicken Mince 300 g</t>
  </si>
  <si>
    <t>Health Plus Chilled Chicken Strips UAE 500 g</t>
  </si>
  <si>
    <t>Health Plus</t>
  </si>
  <si>
    <t>Freshness Breaded Chicken Strips Lemon &amp; Herbs 300 g</t>
  </si>
  <si>
    <t>FRESHNESS</t>
  </si>
  <si>
    <t>Brand exists but enters new subcategory "Chicken"</t>
  </si>
  <si>
    <t>Freshness Breaded Chicken Breast Escalope Lemon &amp; Herbs 300 g</t>
  </si>
  <si>
    <t>Freshness Breaded Chicken Popcorn Lemon &amp; Herbs 300 g</t>
  </si>
  <si>
    <t>Freshness Marinated Chicken Breast Garlic Butter Herbs 500 g</t>
  </si>
  <si>
    <t>Suma Gourmet Best of Both World's Barbeque Box</t>
  </si>
  <si>
    <t>Suma Selected</t>
  </si>
  <si>
    <t>BBQ &amp; Grills</t>
  </si>
  <si>
    <t>New brand "Suma Selected" entering new subcategory "BBQ &amp; Grills"</t>
  </si>
  <si>
    <t>Suma Gourmet Lamb Lover's Barbeque Box</t>
  </si>
  <si>
    <t>Suma Gourmet Beef Bonanza Barbeque Box</t>
  </si>
  <si>
    <t>Al Tayeb Lamb Chops Marinated Australia 450 g</t>
  </si>
  <si>
    <t>Al Tayeb</t>
  </si>
  <si>
    <t>Lamb &amp; Goat</t>
  </si>
  <si>
    <t>Brand already present in subcategory "Lamb &amp; Goat"</t>
  </si>
  <si>
    <t>Al Tayeb Pepper Chicken 500 g</t>
  </si>
  <si>
    <t>Brand already present in subcategory "Chicken"</t>
  </si>
  <si>
    <t>Al Tayeb Green Chilly Chicken 500 g</t>
  </si>
  <si>
    <t>Al Tayeb Lemon Garlic Mustard 500 g</t>
  </si>
  <si>
    <t>Al Tayeb Tandoori Chicken 500 g</t>
  </si>
  <si>
    <t>Al Tayeb Tandoori Drumstick Marinated 500 g</t>
  </si>
  <si>
    <t>Seara Frozen Chicken Griller 1100 g</t>
  </si>
  <si>
    <t>Seara</t>
  </si>
  <si>
    <t>Frozen</t>
  </si>
  <si>
    <t>Chicken &amp; Meat</t>
  </si>
  <si>
    <t>New brand in existing subcategory "Chicken &amp; Meat"</t>
  </si>
  <si>
    <t>Almondy Salted Caramel Cake 420 g</t>
  </si>
  <si>
    <t>Almondy</t>
  </si>
  <si>
    <t>Desserts Corner</t>
  </si>
  <si>
    <t>New brand in existing subcategory "Desserts Corner"</t>
  </si>
  <si>
    <t>Almondy Lemon Mousse Cake 400 g</t>
  </si>
  <si>
    <t>Toblerone Chocolate Cake 400 g</t>
  </si>
  <si>
    <t>Toblerone</t>
  </si>
  <si>
    <t>Brand exists but enters new subcategory "Desserts Corner"</t>
  </si>
  <si>
    <t>Milka Hazelnut Cake 400 g</t>
  </si>
  <si>
    <t>Milka</t>
  </si>
  <si>
    <t>Daim Chocolate Crunchy Caramel Cake 400 g</t>
  </si>
  <si>
    <t>Daim</t>
  </si>
  <si>
    <t>Brand already present in subcategory "Desserts Corner"</t>
  </si>
  <si>
    <t>Daim Milk Chocolate Crunchy Caramel Mousse Cake 400 g</t>
  </si>
  <si>
    <t>Farm Fresh Ultra Crispy Flaming Chicken Nuggets 400 g</t>
  </si>
  <si>
    <t>Brand already present in subcategory "Chicken &amp; Meat"</t>
  </si>
  <si>
    <t>Farm Fresh Ultra Crispy Jalapeno Chicken Nuggets 400 g</t>
  </si>
  <si>
    <t>Farm Fresh Ultra Crispy Orignal Chicken Nuggets 400 g</t>
  </si>
  <si>
    <t>Plein Soleil Frozen Green Aspargus 400 g</t>
  </si>
  <si>
    <t>Plein Soleil</t>
  </si>
  <si>
    <t>Fruits &amp; Veggies</t>
  </si>
  <si>
    <t>Brand already present in subcategory "Fruits &amp; Veggies"</t>
  </si>
  <si>
    <t>Plein Soleil Frozen Breaded Onion Rings 300 g</t>
  </si>
  <si>
    <t>Fries &amp; Sides</t>
  </si>
  <si>
    <t>Brand already present in subcategory "Fries &amp; Sides"</t>
  </si>
  <si>
    <t>Plein Soleil Frozen Avocado Chunks 400 g</t>
  </si>
  <si>
    <t>Indilight Turkey Breast Cubes 500 g</t>
  </si>
  <si>
    <t>Indilight</t>
  </si>
  <si>
    <t>Indilight Turkey Burgers 320 g</t>
  </si>
  <si>
    <t>Burgers &amp; Sausage</t>
  </si>
  <si>
    <t>Brand exists but enters new subcategory "Burgers &amp; Sausage"</t>
  </si>
  <si>
    <t>Salima Duck Legs 500 g</t>
  </si>
  <si>
    <t>Salima</t>
  </si>
  <si>
    <t>Salima Duck Breast 500 g</t>
  </si>
  <si>
    <t>Piemans Prime Steak Pie 185 g</t>
  </si>
  <si>
    <t>Piemans</t>
  </si>
  <si>
    <t>Piemans Pepper Steak Pie 185 g</t>
  </si>
  <si>
    <t>Plein Soleil Mini Margherita Pizza 170 g</t>
  </si>
  <si>
    <t>Plein soleil</t>
  </si>
  <si>
    <t>Breads &amp; Bakes</t>
  </si>
  <si>
    <t>Brand exists but enters new subcategory "Breads &amp; Bakes"</t>
  </si>
  <si>
    <t>Almondy Almond Cake 400 g</t>
  </si>
  <si>
    <t>Organic Snack Cucumber 250 g</t>
  </si>
  <si>
    <t>Fruits &amp; Vegetables</t>
  </si>
  <si>
    <t>Organic Fruits &amp; Vegetables</t>
  </si>
  <si>
    <t>Brand exists but enters new subcategory "Organic Fruits &amp; Vegetables"</t>
  </si>
  <si>
    <t>ON Opti-Men Multivitamin Immune Support 90 Count</t>
  </si>
  <si>
    <t>Optimum Nutrition</t>
  </si>
  <si>
    <t>Health &amp; Wellness</t>
  </si>
  <si>
    <t>Vitamins &amp; Supplements</t>
  </si>
  <si>
    <t>Brand already present in subcategory "Vitamins &amp; Supplements"</t>
  </si>
  <si>
    <t>Now Foods Probiotic-10 25 Billion x 50 Veg Capsules</t>
  </si>
  <si>
    <t>Now Foods</t>
  </si>
  <si>
    <t>Now Foods Ultra Omega 3 x 90 Softgels</t>
  </si>
  <si>
    <t>Now Foods Vitamin C-1000 Sustained Release with Rose hip x 100 Tabs</t>
  </si>
  <si>
    <t>Now Foods Double Strength L-Theanine 200mg with Inositol 60 Veg Caps</t>
  </si>
  <si>
    <t>Sirona Feminine Pain Relief Patches 5 pcs</t>
  </si>
  <si>
    <t>Sirona</t>
  </si>
  <si>
    <t>Pain Relief</t>
  </si>
  <si>
    <t>Brand exists but enters new subcategory "Pain Relief"</t>
  </si>
  <si>
    <t>Pattex Mounting Tape 80 kg</t>
  </si>
  <si>
    <t>PATTEX</t>
  </si>
  <si>
    <t>Home &amp; Outdoor</t>
  </si>
  <si>
    <t>Home Improvement</t>
  </si>
  <si>
    <t>New brand in existing subcategory "Home Improvement"</t>
  </si>
  <si>
    <t>Pattex NMN Strong &amp; Easy Tube 50 g</t>
  </si>
  <si>
    <t>Pattex Repair Extreme 8 g</t>
  </si>
  <si>
    <t>Pattex SG Power Gel Tube 3 g</t>
  </si>
  <si>
    <t>Pattex SG Liquid Tube 3 g</t>
  </si>
  <si>
    <t>Pattex Epoxy Universal 5 Min Syringe 11 mL</t>
  </si>
  <si>
    <t>Grill Master Bamboo Skewer 50 pcs (5mmx35cm)</t>
  </si>
  <si>
    <t>Grill Master</t>
  </si>
  <si>
    <t>BBQ</t>
  </si>
  <si>
    <t>Brand already present in subcategory "BBQ"</t>
  </si>
  <si>
    <t>Always Skin Love Sanitary Pads for Skin Care, 60 Large Pads</t>
  </si>
  <si>
    <t>Always</t>
  </si>
  <si>
    <t>Hygiene &amp; Personal Care</t>
  </si>
  <si>
    <t>Feminine Care</t>
  </si>
  <si>
    <t>Brand already present in subcategory "Feminine Care"</t>
  </si>
  <si>
    <t>Oral-B 123 Classic Daily Clean Medium Manual Toothbrush 1 pc</t>
  </si>
  <si>
    <t>Oral-B</t>
  </si>
  <si>
    <t>Oral Care</t>
  </si>
  <si>
    <t>Brand already present in subcategory "Oral Care"</t>
  </si>
  <si>
    <t>Dr.Althea 345 Relief Cream Daily Face Moisturizer 50 mL</t>
  </si>
  <si>
    <t>Dr. Althea</t>
  </si>
  <si>
    <t>Beauty</t>
  </si>
  <si>
    <t>Skin &amp; Treatments</t>
  </si>
  <si>
    <t>Brand already present in subcategory "Skin &amp; Treatments"</t>
  </si>
  <si>
    <t>Sirona Menstrual Cup S</t>
  </si>
  <si>
    <t>Sirona Menstrual Cup M</t>
  </si>
  <si>
    <t>Sirona Blink and Glow Face Razor for Women</t>
  </si>
  <si>
    <t>Shaving &amp; Hair Removal</t>
  </si>
  <si>
    <t>Brand exists but enters new subcategory "Shaving &amp; Hair Removal"</t>
  </si>
  <si>
    <t>Intimate Wash 100 mL</t>
  </si>
  <si>
    <t>Monday Moisture Conditioner 798 mL</t>
  </si>
  <si>
    <t>MONDAY HAIRCARE</t>
  </si>
  <si>
    <t>Hair Studio</t>
  </si>
  <si>
    <t>New brand in existing subcategory "Hair Studio"</t>
  </si>
  <si>
    <t>Monday Smooth Conditioner 798 mL</t>
  </si>
  <si>
    <t>Monday Volume Conditioner 354 mL</t>
  </si>
  <si>
    <t>Monday Moisture Conditioner 354 mL</t>
  </si>
  <si>
    <t>Monday Smooth Conditioner 354 mL</t>
  </si>
  <si>
    <t>Monday Volume Shampoo 354 mL</t>
  </si>
  <si>
    <t>Monday Moisture Shampoo 354 mL</t>
  </si>
  <si>
    <t>Monday Smooth Shampoo 354 mL</t>
  </si>
  <si>
    <t>Head &amp; Shoulders Daily Clean Anti-Dandruff Shampoo with MaxFoam Technology Clinically Proven 350 mL</t>
  </si>
  <si>
    <t>Head &amp; Shoulders</t>
  </si>
  <si>
    <t>Hair Care</t>
  </si>
  <si>
    <t>Brand already present in subcategory "Hair Care"</t>
  </si>
  <si>
    <t>Baylis &amp; Harding Vanilla Frosting Festive Hand Wash 500 mL</t>
  </si>
  <si>
    <t>Baylis &amp; Harding</t>
  </si>
  <si>
    <t>Body &amp; Skin Care</t>
  </si>
  <si>
    <t>Brand exists but enters new subcategory "Body &amp; Skin Care"</t>
  </si>
  <si>
    <t>Baylis &amp; Harding Festive Edition Luxury Assorted Bathing 100 mL Gift Set</t>
  </si>
  <si>
    <t>Baylis &amp; Harding The Fuzzy Duck Winter Wonderland Ceramic Gingerbread House Hand Wash Gift 650 mL</t>
  </si>
  <si>
    <t>Baylis &amp; Harding The Fuzzy Duck Winter Wonderland Luxury Hand Care 300 mL Gift Set</t>
  </si>
  <si>
    <t>Baylis &amp; Harding The Fuzzy Duck Winter Wonderland Christmas Bauble Bath &amp; Shower Bubbles Gift Set 250 mL</t>
  </si>
  <si>
    <t>Baylis &amp; Harding Frosted Cranberry Festive Hand Wash 500 mL</t>
  </si>
  <si>
    <t>Sirona FDA Approved Premium Digital Tampon (Heavy Flow) - 20 pcs</t>
  </si>
  <si>
    <t>SheaMoisture Coconut &amp; Hibiscus Curl &amp; Shine Conditioner No Silicones or Sulphates for Thick Curly Hair 384 mL</t>
  </si>
  <si>
    <t>SheaMoisture</t>
  </si>
  <si>
    <t>SheaMoisture Curling Gel Souffle Coconut &amp; Hibiscus for Thick Curly Hair to Moisturize and Protect Hair 354 mL</t>
  </si>
  <si>
    <t>SheaMoisture Curl and Shine Shampoo Coconut &amp; Hibiscus for Curly Hair Paraben Free Shampoo 384 mL</t>
  </si>
  <si>
    <t>SheaMoisture Raw Shea Butter Deep Moisturizing Hair Masque Raw Shea Butter for Curly Hair 340 mL</t>
  </si>
  <si>
    <t>Shea Moisture Conditioner for Curly Hair Restorative Raw Shea Butter 384 mL</t>
  </si>
  <si>
    <t>SheaMoisture Shampoo Deep Moisturizing for Dry, Damaged or Transitioning Hair Raw Shea Butter Sulfate-Free 384 mL</t>
  </si>
  <si>
    <t>SheaMoisture Jamaican Black Castor Oil Leave In Conditioner for Damaged Hair 340 mL</t>
  </si>
  <si>
    <t>SheaMoisture Strengthen and Restore Shampoo 100% Pure Jamaican Black Castor Oil for Damaged Hair 384 mL</t>
  </si>
  <si>
    <t>SheaMoisture Conditioner 100% Pure Jamaican Black Castor Oil 384 mL</t>
  </si>
  <si>
    <t>Sunsilk Leave On Serum Luminous 100 90 mL</t>
  </si>
  <si>
    <t>Sunsilk</t>
  </si>
  <si>
    <t>Brand exists but enters new subcategory "Hair Studio"</t>
  </si>
  <si>
    <t>Sunsilk Nourishing Mask Luminous 100 220 mL</t>
  </si>
  <si>
    <t>Sunsilk Conditioner Luminous 100 350 mL</t>
  </si>
  <si>
    <t>Sunsilk Shampoo Luminous 100 400 mL</t>
  </si>
  <si>
    <t>Sunsilk Leave On Hair Cream Luminous 100 200 mL</t>
  </si>
  <si>
    <t>Sunsilk Leave On Cream with Jojoba Oil for Curly Frizzy Hair Curl Definition 200 mL</t>
  </si>
  <si>
    <t>Sunsilk Leave On Cream with Coconut Oil for Dull Hair Prone to Breakage Strength &amp; Shine 200 mL</t>
  </si>
  <si>
    <t>Sunsilk Leave On Cream with Argan Oil for Frizzy and Dry Hair Soft &amp; Smooth 200 mL</t>
  </si>
  <si>
    <t>Mystery Pop Box 1</t>
  </si>
  <si>
    <t>House of Pops</t>
  </si>
  <si>
    <t>Ice Cream</t>
  </si>
  <si>
    <t>Sticks &amp; Cones</t>
  </si>
  <si>
    <t>Brand already present in subcategory "Sticks &amp; Cones"</t>
  </si>
  <si>
    <t>Mystery Pop Box 2</t>
  </si>
  <si>
    <t>Barakat Frozen Strawberry Bites in Chocolate Coating 190 g</t>
  </si>
  <si>
    <t>Barakat</t>
  </si>
  <si>
    <t>Mochis &amp; Bites</t>
  </si>
  <si>
    <t>Brand exists but enters new subcategory "Mochis &amp; Bites"</t>
  </si>
  <si>
    <t>Barakat Frozen Blueberry Bites with Chocolate Coating 190 g</t>
  </si>
  <si>
    <t>Barakat Frozen Raspberry Bites with Chocolate Coating 190 g</t>
  </si>
  <si>
    <t>Haagen Dazs Strawberries and Cream Ice Cream Cup 75 mL</t>
  </si>
  <si>
    <t>Haagen-Dazs</t>
  </si>
  <si>
    <t>Brand exists but enters new subcategory ""</t>
  </si>
  <si>
    <t>Kwality Kulfi Ice Cream Sticks-Multipack 65 mL x 5</t>
  </si>
  <si>
    <t>Kwality</t>
  </si>
  <si>
    <t>Cups &amp; Tubs</t>
  </si>
  <si>
    <t>Brand already present in subcategory "Cups &amp; Tubs"</t>
  </si>
  <si>
    <t>Kwality Gelato Strawberry Boba Ice Cream Tub 450 mL</t>
  </si>
  <si>
    <t>Kwality Malai Pista Kulfi Slice Ice Cream Box 145 mL</t>
  </si>
  <si>
    <t>Kwality Gelato Caramel Biscuit Ice Cream Tub 450 mL</t>
  </si>
  <si>
    <t>La Compagnie du Mochi Lemon &amp; Yuzu Ice Cream 198 g</t>
  </si>
  <si>
    <t>La Compagnie</t>
  </si>
  <si>
    <t>Brand already present in subcategory "Mochis &amp; Bites"</t>
  </si>
  <si>
    <t>La Compagnie du Mochi Vanilla Macadamia Ice Cream 198 g</t>
  </si>
  <si>
    <t>La Compagnie du Mochi Raspberry &amp; Pistachio Ice Cream 198 g</t>
  </si>
  <si>
    <t>La Compagnie du Mochi Chocolate &amp; Coconut Ice Cream 198 g</t>
  </si>
  <si>
    <t>La Compagnie du Mochi Lychee Ice Cream 198 g</t>
  </si>
  <si>
    <t>La Compagnie du Mochi Mango Passion Fruit Ice Cream 198 g</t>
  </si>
  <si>
    <t>La Compagnie du Mochi Matcha Green Tea Ice Cream 198 g</t>
  </si>
  <si>
    <t>Homepro Hair Trapper</t>
  </si>
  <si>
    <t>HOMEPRO</t>
  </si>
  <si>
    <t>Kitchenware</t>
  </si>
  <si>
    <t>Cookware</t>
  </si>
  <si>
    <t>Brand already present in subcategory "Cookware"</t>
  </si>
  <si>
    <t>Ehrmann Pistachio Protein Pudding 200 g</t>
  </si>
  <si>
    <t>Ehrmann</t>
  </si>
  <si>
    <t>Milk &amp; Yogurt</t>
  </si>
  <si>
    <t>Desserts</t>
  </si>
  <si>
    <t>Brand already present in subcategory "Desserts"</t>
  </si>
  <si>
    <t>Balade Farms Low Fat Vanilla Greek Yoghurt 450 g</t>
  </si>
  <si>
    <t>Balade Farms</t>
  </si>
  <si>
    <t>Greek Yoghurt</t>
  </si>
  <si>
    <t>Brand already present in subcategory "Greek Yoghurt"</t>
  </si>
  <si>
    <t>Al Rawabi Greek Yoghurt Blueberry 180 g</t>
  </si>
  <si>
    <t>Al Rawabi</t>
  </si>
  <si>
    <t>Flavoured Yoghurt</t>
  </si>
  <si>
    <t>Brand already present in subcategory "Flavoured Yoghurt"</t>
  </si>
  <si>
    <t>Al Rawabi Greek Yoghurt Strawberry 180 g</t>
  </si>
  <si>
    <t>Al Rawabi Greek Yoghurt Plain 180 g</t>
  </si>
  <si>
    <t>Alpro Barista Caramel Oat Milk 750 mL</t>
  </si>
  <si>
    <t>Alpro</t>
  </si>
  <si>
    <t>Dairy Free &amp; Organic Milk</t>
  </si>
  <si>
    <t>Brand already present in subcategory "Dairy Free &amp; Organic Milk"</t>
  </si>
  <si>
    <t>Alpro Barista Vanilla Oat Milk 750 mL</t>
  </si>
  <si>
    <t>Kri Kri High Protein Super Spoon 0% Banana Mango Yoghurt 170 g</t>
  </si>
  <si>
    <t>Kri Kri</t>
  </si>
  <si>
    <t>Kri Kri High Protein Super Spoon 0% Blueberry Yoghurt 170 g</t>
  </si>
  <si>
    <t>Olympus Authentic Blueberry Greek Yoghurt 150 g</t>
  </si>
  <si>
    <t>Olympus</t>
  </si>
  <si>
    <t>Olympus Authentic Peach Greek Yoghurt 150 g</t>
  </si>
  <si>
    <t>Fage Fruits Greek Strained Vanilla Yoghurt 380 g</t>
  </si>
  <si>
    <t>Fage</t>
  </si>
  <si>
    <t>Unifresh Pure Premium Cow Ghee 1 L</t>
  </si>
  <si>
    <t>Unifresh</t>
  </si>
  <si>
    <t>Oils &amp; Seasoning</t>
  </si>
  <si>
    <t>Ghees</t>
  </si>
  <si>
    <t>Brand exists but enters new subcategory "Ghees"</t>
  </si>
  <si>
    <t>Gowardhan Pure Cow Ghee 500 mL</t>
  </si>
  <si>
    <t>Gowardhan</t>
  </si>
  <si>
    <t>New brand in existing subcategory "Ghees"</t>
  </si>
  <si>
    <t>San Pietro a Pettine Black Truffle Extra Virgin Olive Oil 250 mL</t>
  </si>
  <si>
    <t>San Pietro a Pettine</t>
  </si>
  <si>
    <t>Oils</t>
  </si>
  <si>
    <t>Brand exists but enters new subcategory "Oils"</t>
  </si>
  <si>
    <t>Sunny Vegetable Blended Oil 1.5 L x 2</t>
  </si>
  <si>
    <t>Sunny</t>
  </si>
  <si>
    <t>Brand already present in subcategory "Oils"</t>
  </si>
  <si>
    <t>Shehrazade Premium Basmati Rice 5 kg (Promo)</t>
  </si>
  <si>
    <t>Shehrazade</t>
  </si>
  <si>
    <t>Rice, Pasta &amp; Pulses</t>
  </si>
  <si>
    <t>Rice</t>
  </si>
  <si>
    <t>Promotion SKUs</t>
  </si>
  <si>
    <t>Brand already present in subcategory "Rice"</t>
  </si>
  <si>
    <t>Maggi Excellence Truffle Mushroom Soup (50g)</t>
  </si>
  <si>
    <t>Maggi</t>
  </si>
  <si>
    <t>Noodles &amp; Soup</t>
  </si>
  <si>
    <t>Brand already present in subcategory "Noodles &amp; Soup"</t>
  </si>
  <si>
    <t>Maggi AirFryer Korean BBQ Mix (65g)</t>
  </si>
  <si>
    <t>Maggi AirFryer Hot Buffalo Mix (65g)</t>
  </si>
  <si>
    <t>Maggi AirFryer Mexican Fajita Mix (65g)</t>
  </si>
  <si>
    <t>Maggi AirFryer Garlic &amp; Herbs Mix (65g)</t>
  </si>
  <si>
    <t>Tabasco Roasted Pistachios 200 g</t>
  </si>
  <si>
    <t>Tabasco</t>
  </si>
  <si>
    <t>Salty Snacks</t>
  </si>
  <si>
    <t>Nuts and Seeds</t>
  </si>
  <si>
    <t>Brand exists but enters new subcategory "Nuts and Seeds"</t>
  </si>
  <si>
    <t>Tabasco Roasted Peanuts 200 g</t>
  </si>
  <si>
    <t>Tabasco Roasted Cashews 200 g</t>
  </si>
  <si>
    <t>Tabasco Roasted Almonds 200 g</t>
  </si>
  <si>
    <t>Tabasco Roasted Mixed Nuts 200 g</t>
  </si>
  <si>
    <t>Tabasco Roasted Peanuts 30 g x 10 pcs</t>
  </si>
  <si>
    <t>Raja Ketchup Potato Crunchies 120 g</t>
  </si>
  <si>
    <t>Raja Chips</t>
  </si>
  <si>
    <t>Chips &amp; Dips</t>
  </si>
  <si>
    <t>Brand already present in subcategory "Chips &amp; Dips"</t>
  </si>
  <si>
    <t>Plaay 70% Dark Chocolate Bar - No Added Sugar 50 g</t>
  </si>
  <si>
    <t>Plaay</t>
  </si>
  <si>
    <t>Sweet Snacks</t>
  </si>
  <si>
    <t>Healthy Snacks</t>
  </si>
  <si>
    <t>Brand already present in subcategory "Healthy Snacks"</t>
  </si>
  <si>
    <t>Plaay Hazelnut 70% Dark Chocolate Bar 50 g</t>
  </si>
  <si>
    <t>Plaay Milk Chocolate Hazelnut Chocolate Bar 50 g</t>
  </si>
  <si>
    <t>Plaay Almond Milk Chocolate Toffee 50 g</t>
  </si>
  <si>
    <t>Oatful Original Protein Oat Cookies 60 g</t>
  </si>
  <si>
    <t>Oatful</t>
  </si>
  <si>
    <t>Biscuits &amp; Cookies</t>
  </si>
  <si>
    <t>Brand exists but enters new subcategory "Biscuits &amp; Cookies"</t>
  </si>
  <si>
    <t>Oatful Peanut Butter Protein Oat Cookies 60 g</t>
  </si>
  <si>
    <t>Oatful Super Seed Protein Oat Cookies 60 g</t>
  </si>
  <si>
    <t>Oatful Macadamia Protein Oat Cookies 60 g</t>
  </si>
  <si>
    <t>Flair Pistachio Season Greetings 165 g x 6 Pcs</t>
  </si>
  <si>
    <t>Flair</t>
  </si>
  <si>
    <t>Chocolate Bars &amp; Bags</t>
  </si>
  <si>
    <t>New brand in existing subcategory "Chocolate Bars &amp; Bags"</t>
  </si>
  <si>
    <t>Flair Pistachio Cake Bars Box 165 g x 3 Pcs</t>
  </si>
  <si>
    <t>Flair Ajwa Date Truffles Dubai Chocolates 45 g</t>
  </si>
  <si>
    <t>Flair Mango Truffles Dubai Chocolates 45 g</t>
  </si>
  <si>
    <t>Flair Kunafa Pralines Dubai Chocolates 45 g</t>
  </si>
  <si>
    <t>Flair Chocolate Cake Bars 24 g</t>
  </si>
  <si>
    <t>Flair Cookies &amp; Cream Cake Bars 24 g</t>
  </si>
  <si>
    <t>Flair Cake Matcha Bars 24 g</t>
  </si>
  <si>
    <t>Flair Mango Cake Bars 24 g</t>
  </si>
  <si>
    <t>David Cinnamon Roll Protein Bar 62 g</t>
  </si>
  <si>
    <t>David</t>
  </si>
  <si>
    <t>David Red Velvet Protein Bar 62 g</t>
  </si>
  <si>
    <t>David Salted Peanut Butter Protein Bar 62 g</t>
  </si>
  <si>
    <t>David Peanut Butter Chocolate Chunk Protein Bar 62 g</t>
  </si>
  <si>
    <t>David Fudge Brownie Protein Bar 62 g</t>
  </si>
  <si>
    <t>David Cake Batter Protein Bar 62 g</t>
  </si>
  <si>
    <t>David Chocolate Chip Cookie Dough Protein Bar 62 g</t>
  </si>
  <si>
    <t>Munchbox Choco Chip Keto Cookie 60 g</t>
  </si>
  <si>
    <t>Munchbox</t>
  </si>
  <si>
    <t>Munchbox Double Choco Chip Keto Cookie 60 g</t>
  </si>
  <si>
    <t>Munchbox Cinnamon Pecan Keto Cookie 60 g</t>
  </si>
  <si>
    <t>Lindt Lindor Pillar Milk Chocolate 75 g</t>
  </si>
  <si>
    <t>Lindt</t>
  </si>
  <si>
    <t>Brand already present in subcategory "Chocolate Bars &amp; Bags"</t>
  </si>
  <si>
    <t>Lindt Santa Claus Milk Chocolate 70 g</t>
  </si>
  <si>
    <t>Cadbury Dairy Milk Advent Calendar Chocolate 90 g</t>
  </si>
  <si>
    <t>Cadbury</t>
  </si>
  <si>
    <t>Cadbury Dairy Milk Winter Wonderland Chocolate Bar 100 g</t>
  </si>
  <si>
    <t>Cadbury Buttons Box 340 g</t>
  </si>
  <si>
    <t>Cadbury Dairy Milk Biscoff Advent Calendar 236 g</t>
  </si>
  <si>
    <t>Cadbury Dairy Milk Biscoff Chocolate Bar 350 g</t>
  </si>
  <si>
    <t>Cadbury Dairy Milk Chunks Pouch 270 g</t>
  </si>
  <si>
    <t>Cadbury Festive Selection Chocolate Box 174 g</t>
  </si>
  <si>
    <t>Cadbury Family Treatsize Chocolate 223 g</t>
  </si>
  <si>
    <t>Cadbury Roses Chocolate Tin 700 g</t>
  </si>
  <si>
    <t>Cadbury Heroes Chocolate Tin 700 g</t>
  </si>
  <si>
    <t>Cadbury Dairy Milk Creamy Advent Calendar Chocolate 170 g</t>
  </si>
  <si>
    <t>Cadbury Dairy Milk Button Chocolates 72 g</t>
  </si>
  <si>
    <t>Cadbury Mini Baubles Tree Decoration Chocolates 72 g</t>
  </si>
  <si>
    <t>Cadbury Heroes Advent Calendar Chocolate 230 g</t>
  </si>
  <si>
    <t>Cadbury Roses Chocolate Box 550 g</t>
  </si>
  <si>
    <t>Cadbury Heroes Chocolate Box 550 g</t>
  </si>
  <si>
    <t>Cadbury Dairy Milk Freddo &amp;Friends Treatsize Chocolate Bag 191 g</t>
  </si>
  <si>
    <t>Cadbury Dairy Milk Winter Mint Crisp Chocolate Bar 360 g</t>
  </si>
  <si>
    <t>Cadbury Dairy Milk Calendar Chocolate 285 g</t>
  </si>
  <si>
    <t>Barebells Peppermint Bark Protein Bar 55 g</t>
  </si>
  <si>
    <t>Barebells</t>
  </si>
  <si>
    <t>Maltesers Truffles White Chocolate Gift Box 200 g</t>
  </si>
  <si>
    <t>Maltesers</t>
  </si>
  <si>
    <t>Sharing &amp; Gifting</t>
  </si>
  <si>
    <t>Brand already present in subcategory "Sharing &amp; Gifting"</t>
  </si>
  <si>
    <t>Maltesers Reindeer Chocolate Bar 59 g</t>
  </si>
  <si>
    <t>Maltesers Assorted Truffles White, Dark &amp; Milk Chocolate Gift Box 200 g</t>
  </si>
  <si>
    <t>M&amp;M's Santa Chocolate 100 g</t>
  </si>
  <si>
    <t>M&amp;M's</t>
  </si>
  <si>
    <t>Celebrations Advent Calendar Chocolate Tree 215 g</t>
  </si>
  <si>
    <t>Celebrations</t>
  </si>
  <si>
    <t>M&amp;M's &amp; Friends Medium Selection Chocolate Box 137 g</t>
  </si>
  <si>
    <t>Galaxy Large Christmas Selection Chocolate Box 234 g</t>
  </si>
  <si>
    <t>Galaxy</t>
  </si>
  <si>
    <t>Maltesers Teasers Chocolates 335 g</t>
  </si>
  <si>
    <t>Celebrations Flip Chocolate Box 300 g</t>
  </si>
  <si>
    <t>Galaxy Christmas Advent Calendar Smooth Milk Chocolate 110 g</t>
  </si>
  <si>
    <t>Maltesers Truffles Chocolate Gift Box 200 g</t>
  </si>
  <si>
    <t>Maltesers Christmas Advent Calendar Reindeer Chocolate 108 g</t>
  </si>
  <si>
    <t>Hershey's Cookies n Creme Build a Snowman Chocolate Bar 113 g</t>
  </si>
  <si>
    <t>Hershey’s </t>
  </si>
  <si>
    <t>Hershey's Build a Santa Chocolate Bar 122 g</t>
  </si>
  <si>
    <t>Reese's Peanut Butter Cups Sugar Cookie Miniatures 280 g</t>
  </si>
  <si>
    <t>Reese's</t>
  </si>
  <si>
    <t>Reese's Peanut Butter Snowman 141 g</t>
  </si>
  <si>
    <t>Reese's Peanut Butter Santas 258 g</t>
  </si>
  <si>
    <t>Reese's Peanut Butter Trees Snack Size 272 g</t>
  </si>
  <si>
    <t>Hershey's Kisses Milk Hoto Cocao with Marshmallow Creme Candies 255 g</t>
  </si>
  <si>
    <t>New brand in existing subcategory "Sharing &amp; Gifting"</t>
  </si>
  <si>
    <t>Hershey's Kisses Red and Green and Sliver 286 g</t>
  </si>
  <si>
    <t>KitKat Icon Shapes Christmas Edition 65 g</t>
  </si>
  <si>
    <t>Kitkat</t>
  </si>
  <si>
    <t>KitKat Santa Milk Chocolates Christmas Edition 29 g x 3</t>
  </si>
  <si>
    <t>I LOVE UAE Cookies</t>
  </si>
  <si>
    <t>Brand already present in subcategory "Biscuits &amp; Cookies"</t>
  </si>
  <si>
    <t>UAE Camel Cookies</t>
  </si>
  <si>
    <t>Emirati Man Cookies</t>
  </si>
  <si>
    <t>Everyday Toy Playing 54 Cards</t>
  </si>
  <si>
    <t>Power Joy</t>
  </si>
  <si>
    <t>Toys &amp; Games</t>
  </si>
  <si>
    <t>Toys</t>
  </si>
  <si>
    <t>Brand already present in subcategory "Toys"</t>
  </si>
  <si>
    <t>Pop It Fidget Sensory Toy Assorted</t>
  </si>
  <si>
    <t>Rc Jeep With Lights 1/12 Bpc With Rechargeable Battery</t>
  </si>
  <si>
    <t>V.Vroom Diecast Uae Police Car 5 in 1</t>
  </si>
  <si>
    <t>Oatful Chocolate Protein Oat Cookies 60 g</t>
  </si>
  <si>
    <t>UNO Card Game Display</t>
  </si>
  <si>
    <t>Mattel Games</t>
  </si>
  <si>
    <t>Card Games</t>
  </si>
  <si>
    <t>Brand already present in subcategory "Card Games"</t>
  </si>
  <si>
    <t>UNO No Mercy Card</t>
  </si>
  <si>
    <t>D power Lamborghini Car Blue Cast Model for Kids 3 Years &amp; Above</t>
  </si>
  <si>
    <t>D Power</t>
  </si>
  <si>
    <t>Al Ain Strawberry Sparkling Water Can 250 mL x 6</t>
  </si>
  <si>
    <t>Al Ain</t>
  </si>
  <si>
    <t>Water</t>
  </si>
  <si>
    <t>Sparkling Water</t>
  </si>
  <si>
    <t>Brand already present in subcategory "Sparkling Water"</t>
  </si>
  <si>
    <t>Al Ain Lime Sparkling Water Can 250 mL x 6</t>
  </si>
  <si>
    <t>Al Ain Sparkling Water Can 250 mL x 6</t>
  </si>
  <si>
    <t>Kamasutra Condom Super Thin Pack of 12 pcs</t>
  </si>
  <si>
    <t>HIPP Organic Baby Cereal 100% Multi Grain</t>
  </si>
  <si>
    <t>HiPP</t>
  </si>
  <si>
    <t>New brand in existing subcategory "Baby Food"</t>
  </si>
  <si>
    <t>HIPP Organic Apple Banana Mango With Coconut Milk &amp; Oat</t>
  </si>
  <si>
    <t>HIPP Organic Noodles with Sea Fish in Creamy Broccoli</t>
  </si>
  <si>
    <t>Aptamil Advance 3 Growing Up Formula Milk Ready to Drink Liquid Formula 200 mL</t>
  </si>
  <si>
    <t>Aptamil</t>
  </si>
  <si>
    <t>Wholemeal Pav (6 pcs)</t>
  </si>
  <si>
    <t>Fresh Bakery</t>
  </si>
  <si>
    <t>Brand exists but enters new subcategory "Fresh Bakery"</t>
  </si>
  <si>
    <t>Indian Pav (6 pcs)</t>
  </si>
  <si>
    <t>Chocolate Muffins (10 pcs)</t>
  </si>
  <si>
    <t>Vanilla Madeleine (8 pcs)</t>
  </si>
  <si>
    <t>Mini Butter Croissants (8 pcs)</t>
  </si>
  <si>
    <t>Mini Pain Au Chocolate (8 pcs)</t>
  </si>
  <si>
    <t>iD Idly Dosa Batter 500 g</t>
  </si>
  <si>
    <t>iD</t>
  </si>
  <si>
    <t>Paratha &amp; Dosa</t>
  </si>
  <si>
    <t>Brand already present in subcategory "Paratha &amp; Dosa"</t>
  </si>
  <si>
    <t>Panettone Pistacchio Cardbox 100 g</t>
  </si>
  <si>
    <t>CHIOSTRO DI SARONNO</t>
  </si>
  <si>
    <t>New brand in existing subcategory "Cakes, Croissants &amp; Pastries"</t>
  </si>
  <si>
    <t>Panettone Pistacchio Sinfonia Hand Wrapped 500 g</t>
  </si>
  <si>
    <t>Panettone Classico Sinfonia Hand Wrapped 500 g</t>
  </si>
  <si>
    <t>Panettone Chocolate Chip Metal Tin Vintage 100 g</t>
  </si>
  <si>
    <t>Panettone Classico Metal Tin Vintage Memories 100 g</t>
  </si>
  <si>
    <t>Slurrp Farm Pancake Mix With Real Blueberries 150 g</t>
  </si>
  <si>
    <t>Slurrp Farm</t>
  </si>
  <si>
    <t>Baking Ingredients</t>
  </si>
  <si>
    <t>Baking Mixes</t>
  </si>
  <si>
    <t>Brand already present in subcategory "Baking Mixes"</t>
  </si>
  <si>
    <t>Slurrp Farm Chocolate Millet Pancake Mix 150 g</t>
  </si>
  <si>
    <t>Dubai Pistachio Cream with Kunafa 200 g</t>
  </si>
  <si>
    <t>Dubai MINO</t>
  </si>
  <si>
    <t>Syrups &amp; Toppings</t>
  </si>
  <si>
    <t>New brand in existing subcategory "Syrups &amp; Toppings"</t>
  </si>
  <si>
    <t>Dr. Oetker Vanilla Extract Select 95 mL</t>
  </si>
  <si>
    <t>Dr. Oetker</t>
  </si>
  <si>
    <t>Flavouring &amp; Food Coloring</t>
  </si>
  <si>
    <t>Brand exists but enters new subcategory "Flavouring &amp; Food Coloring"</t>
  </si>
  <si>
    <t>Barakat Cranberry Fresh  Juice 1 L</t>
  </si>
  <si>
    <t>Fresh Juices &amp; Smoothies</t>
  </si>
  <si>
    <t>Brand already present in subcategory "Fresh Juices &amp; Smoothies"</t>
  </si>
  <si>
    <t>Barakat Super Ginger Shot 35 mL x 12</t>
  </si>
  <si>
    <t>Barakat Super Ginger Shot 35 mL x 6</t>
  </si>
  <si>
    <t>Barakat Super Ginger Shot 35 mL</t>
  </si>
  <si>
    <t>The Ginger People Turmeric Shot with Lemon &amp; Honey 30 mL x 6</t>
  </si>
  <si>
    <t>The Ginger</t>
  </si>
  <si>
    <t>Smoothies &amp; Refreshers</t>
  </si>
  <si>
    <t>New brand in existing subcategory "Smoothies &amp; Refreshers"</t>
  </si>
  <si>
    <t>The Ginger People Ginseng Shot with lemon &amp; Honey 30 mL x 6</t>
  </si>
  <si>
    <t>The Ginger People Ginger Shot with Lemon &amp; Honey 30 mL x 6</t>
  </si>
  <si>
    <t>The Ginger People Turmeric Shot with Lemon &amp; Honey 30 mL x 16</t>
  </si>
  <si>
    <t>The Ginger People Turmeric Shot with Lemon &amp; Honey 30 mL</t>
  </si>
  <si>
    <t>The Ginger People Ginseng Shot with lemon &amp; Honey 30 mL</t>
  </si>
  <si>
    <t>The Ginger People Ginger Shot with lemon &amp; Honey 30 mL</t>
  </si>
  <si>
    <t>The Ginger People Ginger Brew with Lemon 330 mL x 6</t>
  </si>
  <si>
    <t>The Ginger People Ginger Brew with Lemon 330 mL</t>
  </si>
  <si>
    <t>7Up Mojito Lemon &amp; Mint Zero Sugar 1.5 L</t>
  </si>
  <si>
    <t>7 Up</t>
  </si>
  <si>
    <t>Brand already present in subcategory "Soft Drinks"</t>
  </si>
  <si>
    <t>The Ginger People Ginger Shot with Lemon &amp; Honey 30 mL x 16</t>
  </si>
  <si>
    <t>Gusto Low Calorie Cola Soft Drink 275 mL</t>
  </si>
  <si>
    <t>Gusto</t>
  </si>
  <si>
    <t>Gusto Real Cola Soft Drink 275 mL</t>
  </si>
  <si>
    <t>Gusto Sicilian Lemon with Yuzu 275 mL</t>
  </si>
  <si>
    <t>Gusto Sicilian Blood Orange 275 mL</t>
  </si>
  <si>
    <t>Gusto Real Cherry Cola Soft Drink 275 mL</t>
  </si>
  <si>
    <t>Tanqueray Alcohol Free 700 mL</t>
  </si>
  <si>
    <t>Tanqueray</t>
  </si>
  <si>
    <t>New brand in existing subcategory "Sober Sips &amp; Mixers"</t>
  </si>
  <si>
    <t>Gordons Alcohol Free 700 mL</t>
  </si>
  <si>
    <t>Gordons</t>
  </si>
  <si>
    <t>Guinness Draught 0.0% Cabonated Non-Alcoholic Malt Drink 440 mL</t>
  </si>
  <si>
    <t>Guinness</t>
  </si>
  <si>
    <t>Rani Float Peach Fruit Drink 200 mL</t>
  </si>
  <si>
    <t>Rani</t>
  </si>
  <si>
    <t>Juices &amp; Cordials</t>
  </si>
  <si>
    <t>Brand already present in subcategory "Juices &amp; Cordials"</t>
  </si>
  <si>
    <t>Rani Float Orange Fruit Drink No Added Sugar 200 mL</t>
  </si>
  <si>
    <t>Rani Float Mango Fruit Drink No Added Sugar 200 mL</t>
  </si>
  <si>
    <t>Rani Float 3 Jewels Cocktail Fruit Drink No Added Sugar 200 mL</t>
  </si>
  <si>
    <t>Lite Bite Bee Buzz Clover Natural Honey 425 g</t>
  </si>
  <si>
    <t>Lite Bite</t>
  </si>
  <si>
    <t>Honey &amp; Jams</t>
  </si>
  <si>
    <t>Brand exists but enters new subcategory "Honey &amp; Jams"</t>
  </si>
  <si>
    <t>Lite Bite Bee Buzz Citrus Blossom Natural Honey 425 g</t>
  </si>
  <si>
    <t>Lite Bite Bee Buzz Black Seed Natural Honey 425 g</t>
  </si>
  <si>
    <t>Nestle Fitness Honey Granola Cereal 350 g</t>
  </si>
  <si>
    <t>Fitness</t>
  </si>
  <si>
    <t>Trix Fruity Cereals 300 g</t>
  </si>
  <si>
    <t>Nestle</t>
  </si>
  <si>
    <t>Pure Harvest Classic Blue berry Preserve Jam 360 g</t>
  </si>
  <si>
    <t>Pure Harvest</t>
  </si>
  <si>
    <t>Spreads &amp; Syrups</t>
  </si>
  <si>
    <t>Brand exists but enters new subcategory "Spreads &amp; Syrups"</t>
  </si>
  <si>
    <t>Nesquik Crunchy Brownie Cereal 300 g</t>
  </si>
  <si>
    <t>Nesquik</t>
  </si>
  <si>
    <t>Crunch Cereal Box 375 g</t>
  </si>
  <si>
    <t>Crunch</t>
  </si>
  <si>
    <t>New brand in existing subcategory "Cereal &amp; Granola"</t>
  </si>
  <si>
    <t>Turtle Cocoa Smiles Cereal 300 g</t>
  </si>
  <si>
    <t>Turtle</t>
  </si>
  <si>
    <t>Brand exists but enters new subcategory "Cereal &amp; Granola"</t>
  </si>
  <si>
    <t>Turtle Cocoa Crispies Cereal 300 g</t>
  </si>
  <si>
    <t>Turtle Honey Balls Cereal 300 g</t>
  </si>
  <si>
    <t>Turtle Color Loops Cereal 300 g</t>
  </si>
  <si>
    <t>Dubai Pistachio Crunchy Spread 200 g</t>
  </si>
  <si>
    <t>New brand in existing subcategory "Spreads &amp; Syrups"</t>
  </si>
  <si>
    <t>Dubai Pistachio Cream Spread 200 g</t>
  </si>
  <si>
    <t>Svitlogorye Glazed Curd Cheese with Boiled Condensed Milk in Milk Chocolate 55 g</t>
  </si>
  <si>
    <t>Svitlogorye</t>
  </si>
  <si>
    <t>Perfect Ted Organic Matcha Powder 30 g</t>
  </si>
  <si>
    <t>Perfect Ted</t>
  </si>
  <si>
    <t>Tea</t>
  </si>
  <si>
    <t>Brand already present in subcategory "Tea"</t>
  </si>
  <si>
    <t>Premium Matcha Kit 40 g (Black)</t>
  </si>
  <si>
    <t>Yoocha Matcha</t>
  </si>
  <si>
    <t>New brand in existing subcategory "Tea"</t>
  </si>
  <si>
    <t>Premium Matcha Kit 40 g (White)</t>
  </si>
  <si>
    <t>Organic Ceremonial Grade Japanese Matcha Powder 30 g</t>
  </si>
  <si>
    <t>Organic Agave Syrup</t>
  </si>
  <si>
    <t>Yoocha Premium Japanese Matcha 40 g</t>
  </si>
  <si>
    <t>Yoocha Premium Japanese Matcha 100 g</t>
  </si>
  <si>
    <t>SYP Water &amp; Blueberries Box 55 g</t>
  </si>
  <si>
    <t>SYP</t>
  </si>
  <si>
    <t>SYP Kombucha &amp; Pomegranate Box 50 g</t>
  </si>
  <si>
    <t>SYP Kombucha &amp; Grapefruit Box 50 g</t>
  </si>
  <si>
    <t>SYP Trial Pack 50 g</t>
  </si>
  <si>
    <t>Premium Hojicha Powder</t>
  </si>
  <si>
    <t>Finer Things Organic Coconut Milk Cream 400 mL</t>
  </si>
  <si>
    <t>Finer Things</t>
  </si>
  <si>
    <t>Creamers &amp; Milk</t>
  </si>
  <si>
    <t>New brand in existing subcategory "Creamers &amp; Milk"</t>
  </si>
  <si>
    <t>Finer Things Organic Coconut Milk Regular 400 mL</t>
  </si>
  <si>
    <t>Finer Things Organic Coconut Milk Light 400 mL</t>
  </si>
  <si>
    <t>Al Rifai Columbian Coffee Capsule 55 g</t>
  </si>
  <si>
    <t>Al Rifai</t>
  </si>
  <si>
    <t>Pods &amp; Capsules</t>
  </si>
  <si>
    <t>Brand exists but enters new subcategory "Pods &amp; Capsules"</t>
  </si>
  <si>
    <t>Al Rifai French Coffee Hazelnut Flavor 250 g</t>
  </si>
  <si>
    <t>Cothas Badam Drink with Badam Pieces 180 mL</t>
  </si>
  <si>
    <t>Cothas</t>
  </si>
  <si>
    <t>Brand exists but enters new subcategory "Creamers &amp; Milk"</t>
  </si>
  <si>
    <t>Cothas Speciality Blend Filter Coffee 184 g</t>
  </si>
  <si>
    <t>Mother's Recipe Desi Szechwan Chutney 250 g</t>
  </si>
  <si>
    <t>Ajinomoto Crispy Fry Regular Breading Mix 238 g</t>
  </si>
  <si>
    <t>Ajinomoto</t>
  </si>
  <si>
    <t>Cooking Mixes</t>
  </si>
  <si>
    <t>Brand already present in subcategory "Cooking Mixes"</t>
  </si>
  <si>
    <t>Green &amp; Co Medium Brown Eggs 30 pcs</t>
  </si>
  <si>
    <t>Christmas Bouquet 5 Santini, 3 Golden Ball</t>
  </si>
  <si>
    <t>GVF</t>
  </si>
  <si>
    <t>Bouquets &amp; Gifts</t>
  </si>
  <si>
    <t>New brand "GVF" entering new subcategory "Bouquets &amp; Gifts"</t>
  </si>
  <si>
    <t>Christmas Bouquet with 1 Fresh Nobilis, 3 Red Roses, 1 Pine cone</t>
  </si>
  <si>
    <t>Christmas Bouquet with 2 Pine cone, 2 Balls with 6 Red Carnation</t>
  </si>
  <si>
    <t>Christmas Bouquet with 2 Golden Balls, 2 Stars with 6 Red Roses</t>
  </si>
  <si>
    <t>Christmas Bouquet with 1 Golden Ball, 1 Star 1 Fresh Nobilis</t>
  </si>
  <si>
    <t>Asmak Flavors Garlic Pepper Salmon Fillet 200 g</t>
  </si>
  <si>
    <t>Asmak</t>
  </si>
  <si>
    <t>Seafood</t>
  </si>
  <si>
    <t>Brand already present in subcategory "Seafood"</t>
  </si>
  <si>
    <t>Asmak Flavors Peri Peri White Fish Fillet 200 g</t>
  </si>
  <si>
    <t>Asmak Flavors Hot &amp; Spicy Shrimps 200 g</t>
  </si>
  <si>
    <t>Asmak Flavors Lemon &amp; Herb Sea Bream Fillet 200 g</t>
  </si>
  <si>
    <t>Salima Whole Duck 2 kg</t>
  </si>
  <si>
    <t>Haldirams Amritsari Kulcha 320 g</t>
  </si>
  <si>
    <t>Haldirams</t>
  </si>
  <si>
    <t>Brand already present in subcategory "Breads &amp; Bakes"</t>
  </si>
  <si>
    <t>Iceberg Lettuce GCC 350-500 g</t>
  </si>
  <si>
    <t>F&amp;V</t>
  </si>
  <si>
    <t>Vegetables</t>
  </si>
  <si>
    <t>Brand already present in subcategory "Vegetables"</t>
  </si>
  <si>
    <t>Lettuce Romaine Iran 400-500 g</t>
  </si>
  <si>
    <t>Now Foods Daily Vits 30 x Veg Capsules</t>
  </si>
  <si>
    <t>Now Foods Vitamin B-12 1000 Mcg x 100 Chewable Lozenges</t>
  </si>
  <si>
    <t>Sunshine Nutrition Ashwagandha Root Extract 500 Mg 100 Capsules</t>
  </si>
  <si>
    <t>Sunshine</t>
  </si>
  <si>
    <t>New brand in existing subcategory "Vitamins &amp; Supplements"</t>
  </si>
  <si>
    <t>Cleartest One Step Pregnancy Rapid Test Midstream 2 pcs per Pack</t>
  </si>
  <si>
    <t>Clear Test</t>
  </si>
  <si>
    <t>Tests &amp; Devices</t>
  </si>
  <si>
    <t>New brand in existing subcategory "Tests &amp; Devices"</t>
  </si>
  <si>
    <t>Cleartest One Step Pregnancy Rapid Test Midstream 1 pc</t>
  </si>
  <si>
    <t>Trister Cold/Hot Gel Pack Medium</t>
  </si>
  <si>
    <t>Trister</t>
  </si>
  <si>
    <t>Masks &amp; Gloves</t>
  </si>
  <si>
    <t>Brand already present in subcategory "Masks &amp; Gloves"</t>
  </si>
  <si>
    <t>Bioglan SmartKids Iron Gummies 30's</t>
  </si>
  <si>
    <t>Bioglan</t>
  </si>
  <si>
    <t>Sambucol Kids Immune Support Gummies 30's</t>
  </si>
  <si>
    <t>Sambucol</t>
  </si>
  <si>
    <t>Sambucol Kids Immune Support Syrup with Vitamin C 120 mL</t>
  </si>
  <si>
    <t>ON Gold Standard Plant-Based Protein Vegan Gluten-Free Creamy Vanilla 740g (20 Servings)</t>
  </si>
  <si>
    <t>Pull Start Charocal Fire Grill Ready in 5 Minutes</t>
  </si>
  <si>
    <t>Pull Start Fire</t>
  </si>
  <si>
    <t>New brand in existing subcategory "BBQ"</t>
  </si>
  <si>
    <t>Pull Start String Fire Starter</t>
  </si>
  <si>
    <t>Pure Fire African Hardwood Premium Quality Charocal 5 kg</t>
  </si>
  <si>
    <t>Pure Fire</t>
  </si>
  <si>
    <t>Pure Fire African Hardwood Barbeque Briquettes 4 kg</t>
  </si>
  <si>
    <t>Igloo Refreezable Ice Block Medium Blue</t>
  </si>
  <si>
    <t>IGLOO</t>
  </si>
  <si>
    <t>Brand already present in subcategory "Home Improvement"</t>
  </si>
  <si>
    <t>Beach Towel 30X60Inch Blue &amp; White 1 pc</t>
  </si>
  <si>
    <t>Maagen</t>
  </si>
  <si>
    <t>Beach</t>
  </si>
  <si>
    <t>Brand already present in subcategory "Beach"</t>
  </si>
  <si>
    <t>Beach Towel 30X60Inch Orange &amp; White 1 pc</t>
  </si>
  <si>
    <t>Beach Towel 30X60Inch Green &amp; White  1 pc</t>
  </si>
  <si>
    <t>Beach Towel 30X60Inch Yellow &amp; White 1 pc</t>
  </si>
  <si>
    <t>Hydra Genius Aloe Water &amp; Hyaluronic Acid Moisturizer 70 mL</t>
  </si>
  <si>
    <t>L'Oreal</t>
  </si>
  <si>
    <t>Brand already present in subcategory "Body &amp; Skin Care"</t>
  </si>
  <si>
    <t>Colgate Optic White Purple Reveal Whitening Toothpaste 75 mL</t>
  </si>
  <si>
    <t>Colgate</t>
  </si>
  <si>
    <t>Essence Lash Princess Sculpted Volume Mascara</t>
  </si>
  <si>
    <t>Essence</t>
  </si>
  <si>
    <t>Makeup</t>
  </si>
  <si>
    <t>Brand already present in subcategory "Makeup"</t>
  </si>
  <si>
    <t>Essence Eyeliner Pen Waterproof 01</t>
  </si>
  <si>
    <t>essence</t>
  </si>
  <si>
    <t>Essence Liquid Ink Eyeliner Waterproof 01</t>
  </si>
  <si>
    <t>Essence Lash and Brow Gel Mascara</t>
  </si>
  <si>
    <t>Essence Long Lasting and Waterproof Eye Pencil 02</t>
  </si>
  <si>
    <t>Essence Long Lasting and Waterproof Eye Pencil 01</t>
  </si>
  <si>
    <t>Essence Jelly Grip Hydrating Primer</t>
  </si>
  <si>
    <t>Essence Baby Got Blush 20 Liquid Blush 10 mL</t>
  </si>
  <si>
    <t>Essence Dip Eyeliner 01 Waterproof 24h Long Lasting 3 mL</t>
  </si>
  <si>
    <t>Essence Juicy Bomb Shiny Lipgloss 102</t>
  </si>
  <si>
    <t>essence Fix and Last 14h Makeup Fixing Loose Powder 9.5 g</t>
  </si>
  <si>
    <t>Essence What a Tint 01 Lip and Cheek Tint 4.9 mL</t>
  </si>
  <si>
    <t>Essence I Love Extreme Crazy Volume Waterproof Mascara</t>
  </si>
  <si>
    <t>Essence Banana Loose Powder</t>
  </si>
  <si>
    <t>Essence what the Fake Extreme Plumping Lip Filler</t>
  </si>
  <si>
    <t>Essence Extreme Shine Volume Lipgloss 102</t>
  </si>
  <si>
    <t>Essence Extreme Shine Volume Lipgloss 01</t>
  </si>
  <si>
    <t>Essence The Brown Edition 30 Palette Eyeshadow 10 g</t>
  </si>
  <si>
    <t>Essence 24 Ever Ink Liner 01</t>
  </si>
  <si>
    <t>Essence The Rose Edition Palette 20 Eyeshadow 10 g</t>
  </si>
  <si>
    <t>Essence Lash Princess False Lash Effect Waterproof Mascara</t>
  </si>
  <si>
    <t>Vaseline Bedazzled Moisturizing Petroleum Jelly Original 100 mL</t>
  </si>
  <si>
    <t>Vaseline</t>
  </si>
  <si>
    <t>Mac Ximal Silky Matte Lipstick D for Danger 3.5 g</t>
  </si>
  <si>
    <t>Mac</t>
  </si>
  <si>
    <t>New brand in existing subcategory "Makeup"</t>
  </si>
  <si>
    <t>Mac Ximal Silky Matte Lipstick Mehr 3.5 g</t>
  </si>
  <si>
    <t>Mac Studio Fix Fluid NC25 SPF15 Foundation15 mL</t>
  </si>
  <si>
    <t>Mac Studio Fix Fluid NC15 Foundation SPF15 15 mL</t>
  </si>
  <si>
    <t>Mac Studio Fix 24H Golden Beige NC20 Concealer 7mL</t>
  </si>
  <si>
    <t>Mac Pro Longwear NC20 Concealer 9 mL</t>
  </si>
  <si>
    <t>Nivea Derma Control Defend Extra Comfort Anti-Perspirant Spray 200 mL</t>
  </si>
  <si>
    <t>NIVEA</t>
  </si>
  <si>
    <t>Nivea Clear Up Serum-Infused Micellar Water 400 mL</t>
  </si>
  <si>
    <t>Nivea Men Derma Control Defend Extra Comfort Anti-Perspirant Roll-On 50 mL</t>
  </si>
  <si>
    <t>Nivea Derma Control Defend Extra Comfort Shower Gel 500 mL</t>
  </si>
  <si>
    <t>Nivea Derma Control Natural Tone Anti-Perspirant Spray 150 mL</t>
  </si>
  <si>
    <t>Nivea Derma Control Natural Tone Anti-Perspirant Roll-On 50 mL</t>
  </si>
  <si>
    <t>Nivea Derma Control Natural Tone Anti-Perspirant Stick 50 mL</t>
  </si>
  <si>
    <t>Nars Powermatte Lipstick Number 105 No Satisfaction 1.5 g</t>
  </si>
  <si>
    <t>Nars</t>
  </si>
  <si>
    <t>Nars Powermatte Lipstick Number 117 Be My Girl 1.5 g</t>
  </si>
  <si>
    <t>Nars Powermatte Lipstick Number 136 Get Lucky 1.5 g</t>
  </si>
  <si>
    <t>Nars Powermatte Lipstick Number 103 Modern Love 1.5 g</t>
  </si>
  <si>
    <t>Nars Powermatte Lipstick Number 135 Mogador 1.5 g</t>
  </si>
  <si>
    <t>Nars Powermatte Lipstick Number 100 Sweet Disposition1.5 g</t>
  </si>
  <si>
    <t>Xcluzive Cotton Balls 100'S</t>
  </si>
  <si>
    <t>Xcluzive</t>
  </si>
  <si>
    <t>Cosmetics</t>
  </si>
  <si>
    <t>Brand already present in subcategory "Cosmetics"</t>
  </si>
  <si>
    <t>Xcluzive Nail Polish Remover Aloe Vera 120 mL</t>
  </si>
  <si>
    <t>Xcluzive Nail Polish Remover Strawberry 120 mL</t>
  </si>
  <si>
    <t>Hershey's Assorted Mini Ice Cream Cones-Multipack 300 mL</t>
  </si>
  <si>
    <t>Hershey's</t>
  </si>
  <si>
    <t>The Brooklyn Creamery Mango Sorbet Ice Cream Bar 55 mL</t>
  </si>
  <si>
    <t>The Brooklyn Creamery</t>
  </si>
  <si>
    <t>Guilt Free</t>
  </si>
  <si>
    <t>Brand already present in subcategory "Guilt Free"</t>
  </si>
  <si>
    <t>Mama Booza Halawa Dibs Ice Cream Tub 473 mL</t>
  </si>
  <si>
    <t>Mama Booza</t>
  </si>
  <si>
    <t>New brand in existing subcategory "Cups &amp; Tubs"</t>
  </si>
  <si>
    <t>Mama Booza Strawberry Cheesecake Ice Cream Tub 473 mL</t>
  </si>
  <si>
    <t>Mama Booza Pistachio Ice Cream Tub 473 mL</t>
  </si>
  <si>
    <t>Mama Booza Premium Dark Chocolate Ice Cream Tub 473 mL</t>
  </si>
  <si>
    <t>Mama Booza Ashta Ice Cream Tub 473 mL</t>
  </si>
  <si>
    <t>Mama Booza Lazy Cake Ice Cream Tub 473 mL</t>
  </si>
  <si>
    <t>Chasen: Traditional Bamboo Matcha Whisk</t>
  </si>
  <si>
    <t>Kitchen Accessories</t>
  </si>
  <si>
    <t>New brand in existing subcategory "Kitchen Accessories"</t>
  </si>
  <si>
    <t>Ceremonial Matcha Kit</t>
  </si>
  <si>
    <t>Al Rawabi Greek Yoghurt Plain 360 g</t>
  </si>
  <si>
    <t>Finer Things Organic Virgin Coconut Oil 500 mL</t>
  </si>
  <si>
    <t>New brand in existing subcategory "Oils"</t>
  </si>
  <si>
    <t>Finer Things Organic Extra Virgin Coconut Oil 200 mL</t>
  </si>
  <si>
    <t>Green &amp; Co Garlic Powder 200 g</t>
  </si>
  <si>
    <t>Seasoning &amp; Spices</t>
  </si>
  <si>
    <t>Brand already present in subcategory "Seasoning &amp; Spices"</t>
  </si>
  <si>
    <t>Green &amp; Co Ginger Powder 200 g</t>
  </si>
  <si>
    <t>Green &amp; Co Garam Masala Powder 200 g</t>
  </si>
  <si>
    <t>Green &amp; Co Chili Flakes 200 g</t>
  </si>
  <si>
    <t>Green &amp; Co Shredded Coconut 200 g</t>
  </si>
  <si>
    <t>Bayara Tandoori Masala 50 g</t>
  </si>
  <si>
    <t>Bayara</t>
  </si>
  <si>
    <t>Bayara Bomay Biryani 50 g</t>
  </si>
  <si>
    <t>Bayara Authentic Bomay Biryani 60 g</t>
  </si>
  <si>
    <t>Bayara Chicken Tikka Masala 50 g</t>
  </si>
  <si>
    <t>WickedGud Curry Instant Noodles 240 g Family Pack</t>
  </si>
  <si>
    <t>WickedGud</t>
  </si>
  <si>
    <t>WickedGud Schezwan Instant Noodles 240 g Family Pack</t>
  </si>
  <si>
    <t>WickedGud Masala Instant Noodles 240 g Family Pack</t>
  </si>
  <si>
    <t>WickedGud Schezwan Noodles 60 g</t>
  </si>
  <si>
    <t>WickedGud Curry Noodles 60 g</t>
  </si>
  <si>
    <t>WickedGud Masala Noodles 60 g</t>
  </si>
  <si>
    <t>WickedGud Fiery Spicy Korean Cup Noodles 69 g</t>
  </si>
  <si>
    <t>WickedGud Korean Noodles 67 g</t>
  </si>
  <si>
    <t>WickedGud Instant Masala Cup Noodles 67 g</t>
  </si>
  <si>
    <t>Slurrp Farm Instant Millet Magic Masala Noodles 60 g</t>
  </si>
  <si>
    <t>Brand exists but enters new subcategory "Noodles &amp; Soup"</t>
  </si>
  <si>
    <t>WickedGud Instant Desi Manchow Cup Noodles 70 g</t>
  </si>
  <si>
    <t>Taylors Curry Crisps 150 g</t>
  </si>
  <si>
    <t>Tylors</t>
  </si>
  <si>
    <t>New brand in existing subcategory "Chips &amp; Dips"</t>
  </si>
  <si>
    <t>Hunter's Gourmet Smokehouse Barbecue Hand Cooked Potato Chips 40 g</t>
  </si>
  <si>
    <t>Hunter's Gourmet</t>
  </si>
  <si>
    <t>Hunter's Gourmet Wasabi &amp; Turmeric Hand Cooked Potato Chips 40 g</t>
  </si>
  <si>
    <t>Hunter's Gourmet Pesto Parmesan Hand Cooked Potato Chips 40 g</t>
  </si>
  <si>
    <t>Hunter's Gourmet White Truffle Hand Cooked Potato Chips 40 g</t>
  </si>
  <si>
    <t>Lite Bite Honey Mustard Lentils Puffs 40 g</t>
  </si>
  <si>
    <t>Puffed Chips</t>
  </si>
  <si>
    <t>Brand exists but enters new subcategory "Puffed Chips"</t>
  </si>
  <si>
    <t>Lite Bite Chili Lime Protein Puffs 40 g</t>
  </si>
  <si>
    <t>Other Snacks</t>
  </si>
  <si>
    <t>Brand exists but enters new subcategory "Other Snacks"</t>
  </si>
  <si>
    <t>Lite Bite Sour Cream Hummus Puffs 40 g</t>
  </si>
  <si>
    <t>Lite Bite Nacho Cheese Protein Puffs 40 g</t>
  </si>
  <si>
    <t>Brets Assorted Pesto Mozzarella &amp; Camembert Potato Chips 125 g (Pack of 2)</t>
  </si>
  <si>
    <t>Brets</t>
  </si>
  <si>
    <t>Brets Assorted Brie &amp; Truffle Flavor &amp; Summer Truffle Potato Chips 125 g (Pack of 2)</t>
  </si>
  <si>
    <t>Brets Assorted Ridge Cut La Craquante &amp; Goat Cheese &amp; Espelette Chilli Pepper Potato Chips 125 g (Pack of 2)</t>
  </si>
  <si>
    <t>Mclioyds Organic Hummus Snack 85 g</t>
  </si>
  <si>
    <t>McLloyd's</t>
  </si>
  <si>
    <t>Brand exists but enters new subcategory "Chips &amp; Dips"</t>
  </si>
  <si>
    <t>Mclioyds Organic Lentil Snack 85 g</t>
  </si>
  <si>
    <t>Mclioyds Organic Vegee Snack 85 g</t>
  </si>
  <si>
    <t>Kimifinne Ketchup Sticks 30 g</t>
  </si>
  <si>
    <t>Kimifinne</t>
  </si>
  <si>
    <t>New brand in existing subcategory "Puffed Chips"</t>
  </si>
  <si>
    <t>Kimifinne Cheese Tortillas 30 g</t>
  </si>
  <si>
    <t>Biosaurus Ketchup Corn Snack 15 g x 4 pcs</t>
  </si>
  <si>
    <t>Biosaurus</t>
  </si>
  <si>
    <t>Biosaurus Cheese Corn Snack 15 g x 4 pcs</t>
  </si>
  <si>
    <t>Biosaurus Seasalt Corn Snack 15 g x 4 pcs</t>
  </si>
  <si>
    <t>Essential Training Gloves Size L - Red</t>
  </si>
  <si>
    <t>Essential</t>
  </si>
  <si>
    <t>Sports</t>
  </si>
  <si>
    <t>Gym Equipment</t>
  </si>
  <si>
    <t>New brand in existing subcategory "Gym Equipment"</t>
  </si>
  <si>
    <t>Lifting Straps</t>
  </si>
  <si>
    <t>Adidas</t>
  </si>
  <si>
    <t>Brand already present in subcategory "Gym Equipment"</t>
  </si>
  <si>
    <t>Crayola Color Wonder Overwrap Frozen Pack of 2 pcs</t>
  </si>
  <si>
    <t>Crayola</t>
  </si>
  <si>
    <t>Stationery</t>
  </si>
  <si>
    <t>School Supplies</t>
  </si>
  <si>
    <t>Brand already present in subcategory "School Supplies"</t>
  </si>
  <si>
    <t>Crayola Washable Kids Paint 2 oz Bottles Assorted Colors Non Peggable Pack of 6 pcs</t>
  </si>
  <si>
    <t>Christmas Tree Decoration Balls Red 30 pcs</t>
  </si>
  <si>
    <t>Seasonal Celebrations</t>
  </si>
  <si>
    <t>Brand already present in subcategory "Seasonal Celebrations"</t>
  </si>
  <si>
    <t>Christmas Tree Decoration Balls Gold 30 pcs</t>
  </si>
  <si>
    <t>Christmas Gift Bag Red Mixed Balls Design 26x32x10 cm</t>
  </si>
  <si>
    <t>MAAGEN</t>
  </si>
  <si>
    <t>Christmas Gift Bag Pine &amp; Gold Balls Design 26x32x10 cm</t>
  </si>
  <si>
    <t>Feelings Happy New Year Foil Balloon 18 inches</t>
  </si>
  <si>
    <t>FEELINGS</t>
  </si>
  <si>
    <t>New brand in existing subcategory "Seasonal Celebrations"</t>
  </si>
  <si>
    <t>Feelings Happy New Year Silver Horn 25 cm Assorted Colours 20 g x Pack of 3</t>
  </si>
  <si>
    <t>Feelings Happy New Year Tiara Assorted Designs 8 g x Pack of 3</t>
  </si>
  <si>
    <t>Feelings Happy New Year Eyeglass Assorted Designs 8 g</t>
  </si>
  <si>
    <t>Feelings Party Popper Dollar Confetti 35 g</t>
  </si>
  <si>
    <t>Feelings Party Popper Colour Confetti 30 g</t>
  </si>
  <si>
    <t>Feelings Happy New Year Gold Horn 25 cm Assorted Colours 20 g x Pack of 3</t>
  </si>
  <si>
    <t>Feelings Hny Paper Eye Mask Assorted Designs x Pack of 6</t>
  </si>
  <si>
    <t>Feelings Happy New Year Banner Assorted Designs</t>
  </si>
  <si>
    <t>Gift Wrapping Paper Silver Stars 50 x 70 cm 4 Pc</t>
  </si>
  <si>
    <t>Gift Wrapping Paper Shiny Gold Strips 50 x 70 cm 4 Pc</t>
  </si>
  <si>
    <t>Feelings Star Confetti- Gold</t>
  </si>
  <si>
    <t>Feelings Happy New Year Eyeglass 1 pcs</t>
  </si>
  <si>
    <t>Feelings Happy New Year Crown Pack of 4 pcs</t>
  </si>
  <si>
    <t>Feelings Happy New Year cone Hat 24 cm</t>
  </si>
  <si>
    <t>Feelings Happy New Year Paper Eye Mask Pack of 6 pcs</t>
  </si>
  <si>
    <t>Feelings Star Confetti-Silver</t>
  </si>
  <si>
    <t>Feelings 20 cm Happy New Year Horn Pack of 6 pcs</t>
  </si>
  <si>
    <t>Gift Bag Gold &amp; Silver Strips design 32 x 26 x 12 cm</t>
  </si>
  <si>
    <t>Gift Bag Gold &amp; Silver ZigZag design 32 x 26 x 12 cm</t>
  </si>
  <si>
    <t>Gift Bag Gold &amp; Silver Dots Design 32 x 26 x 12 cm</t>
  </si>
  <si>
    <t>Gift Bag Gold &amp; Silver Star Design 32 x 26 x 12 cm</t>
  </si>
  <si>
    <t>Mentos Strawberry Grape Incredible Chew Bag 140 g</t>
  </si>
  <si>
    <t>Mentos</t>
  </si>
  <si>
    <t>Gums &amp; Mints</t>
  </si>
  <si>
    <t>Brand already present in subcategory "Gums &amp; Mints"</t>
  </si>
  <si>
    <t>Rowntrees Jelly Tots Giant Tube 115 g</t>
  </si>
  <si>
    <t>Rowntrees</t>
  </si>
  <si>
    <t>Jellies &amp; Candies</t>
  </si>
  <si>
    <t>Brand exists but enters new subcategory "Jellies &amp; Candies"</t>
  </si>
  <si>
    <t>Milkybar Buttons Giant Tube 80 g</t>
  </si>
  <si>
    <t>Mlikybar</t>
  </si>
  <si>
    <t>Kitkat Chocolates Collection Box 234 g</t>
  </si>
  <si>
    <t>Cadbury Eclairs Chocolate Box 350 g</t>
  </si>
  <si>
    <t>Cadbury Dairy Milk Coins Chocolate Net 70 g</t>
  </si>
  <si>
    <t>Rowntrees Fruit Pastilles Giant Tube 115 g</t>
  </si>
  <si>
    <t>Quality Street Orange Matchmakers Chocolate 120 g</t>
  </si>
  <si>
    <t>Quality Street</t>
  </si>
  <si>
    <t>Quality Street Mint Matchmakers Chocolate 120 g</t>
  </si>
  <si>
    <t>Milkybar Reindeer Chocolate 88 g</t>
  </si>
  <si>
    <t>Cadbury Xmas Puds Chocolate 35 g</t>
  </si>
  <si>
    <t>Buttermilk Fudge Candy Cane 100 g</t>
  </si>
  <si>
    <t>Buttermilk</t>
  </si>
  <si>
    <t>New brand in existing subcategory "Jellies &amp; Candies"</t>
  </si>
  <si>
    <t>Walkers Nonsuch Toffee Duo Box 200 g</t>
  </si>
  <si>
    <t>Walker</t>
  </si>
  <si>
    <t>After Eight Mint Chocolate 300 g</t>
  </si>
  <si>
    <t>After Eight</t>
  </si>
  <si>
    <t>Mcvities Men Gingerbread Mini Biscuits 19 g x 6</t>
  </si>
  <si>
    <t>Mcvities</t>
  </si>
  <si>
    <t>Jacobs Treeselets Caddy 280 g</t>
  </si>
  <si>
    <t>Jacobs</t>
  </si>
  <si>
    <t>Jacobs Mini Cheddars Caddy Crackers 260 g</t>
  </si>
  <si>
    <t>New brand in existing subcategory "Biscuits &amp; Cookies"</t>
  </si>
  <si>
    <t>Mcvities Jaffa Tree Cakes 239 g</t>
  </si>
  <si>
    <t>Wafers &amp; Cakes</t>
  </si>
  <si>
    <t>Brand exists but enters new subcategory "Wafers &amp; Cakes"</t>
  </si>
  <si>
    <t>Mcvities Family Circle Biscuits 400 g</t>
  </si>
  <si>
    <t>Mcvities Gingerbread Chocolate Digestive Biscuits 266 g</t>
  </si>
  <si>
    <t>Twiglets Original Caddy 200 g</t>
  </si>
  <si>
    <t>Twiglets</t>
  </si>
  <si>
    <t>Smarties Elf Treats Giant Tube 120 g</t>
  </si>
  <si>
    <t>Smarties</t>
  </si>
  <si>
    <t>Quality Street Chocolate Box 220 g</t>
  </si>
  <si>
    <t>Gavottes Plain Crispy Crepes in Tin 500 g</t>
  </si>
  <si>
    <t>Gavottes</t>
  </si>
  <si>
    <t>New brand in existing subcategory "Wafers &amp; Cakes"</t>
  </si>
  <si>
    <t>Gavottes Cocoa &amp; Hazelnut Wafer Bites 90 g</t>
  </si>
  <si>
    <t>Gavottes Dark Chocolate Crispy Crepes 90 g</t>
  </si>
  <si>
    <t>Gavottes Milk Chocolate Crispy Crepes 90 g</t>
  </si>
  <si>
    <t>Gavottes Plain Crispy Brittany Crepes 125 g</t>
  </si>
  <si>
    <t>Lite Bite Whey Peanut Butter Protein Bar 70 g</t>
  </si>
  <si>
    <t>Brand exists but enters new subcategory "Healthy Snacks"</t>
  </si>
  <si>
    <t>Lite Bite Whey Cappuccino Protein Bar 70 g</t>
  </si>
  <si>
    <t>Lite Bite Whey Coconut Protein Bar 70 g</t>
  </si>
  <si>
    <t>Lite Bite Chocolate Cocoa Keto Bar 60 g</t>
  </si>
  <si>
    <t>Lite Bite Coconut Keto Bar 60 g</t>
  </si>
  <si>
    <t>Lite Bite Whey Crisp Protein Bar 70 g</t>
  </si>
  <si>
    <t>Lite Bite Whey Red Velvet Protein Bar 70 g</t>
  </si>
  <si>
    <t>Lite Bite Whey Hazelnut Fudge Protein Bar 70 g</t>
  </si>
  <si>
    <t>Corona Almond Dark Chocolate with Stevia-No Sugar Added 44 g</t>
  </si>
  <si>
    <t>Corona</t>
  </si>
  <si>
    <t>New brand in existing subcategory "Healthy Snacks"</t>
  </si>
  <si>
    <t>Corona Milk Hazelnut Chocolate with Stevia-No Sugar Added 44 g</t>
  </si>
  <si>
    <t>Corona Milk Chocolate with Stevia-No Sugar Added 44 g</t>
  </si>
  <si>
    <t>Bimbo Oat Biscuits 30 g</t>
  </si>
  <si>
    <t>Bimbo</t>
  </si>
  <si>
    <t>Corona Dark Chocolate with Stevia-No Sugar Added 44 g</t>
  </si>
  <si>
    <t>Byron Bay Milk, Choc Chunck &amp; Hazelnut Fudge Cookies Deluxe Gift Box 300 g</t>
  </si>
  <si>
    <t>Byron Bay</t>
  </si>
  <si>
    <t>Byron Bay White Choc Macadamia Cookies Gift Box 150 g</t>
  </si>
  <si>
    <t>Byron Bay Choc Hazelnut Fudge Cookies Gift Box 150 g</t>
  </si>
  <si>
    <t>Byron Bay Milk Cho Chunck Cookies Gift Box 150 g</t>
  </si>
  <si>
    <t>Folk Chrismas Minis Gluten Free 70 g</t>
  </si>
  <si>
    <t>Folk</t>
  </si>
  <si>
    <t>Gingerbread Folk Chrismas Minis 70 g</t>
  </si>
  <si>
    <t>Gingerbread</t>
  </si>
  <si>
    <t>Gingerbread Folk Christmas Tree Kit Biscuits 550 g</t>
  </si>
  <si>
    <t>Gingerbread Folk Christmas Tree Kit Cookies 30 g</t>
  </si>
  <si>
    <t>Gingerbread Folk Snowman Cookies 30 g</t>
  </si>
  <si>
    <t>Chocolatier Festive Assortment Gifting 130 g</t>
  </si>
  <si>
    <t>Chocolatier</t>
  </si>
  <si>
    <t>Chocolatier Milk Chocolate Star Gifting Bon Bons 55 g</t>
  </si>
  <si>
    <t>Chocolatier Assorted Chocolate Stars 875 g (125 Pcs)</t>
  </si>
  <si>
    <t>Toblerone Milk White &amp; Dark Choclate Pouch 250 g</t>
  </si>
  <si>
    <t>Cadbury Dairy Milk Mixed Chocolate Chunks Tin 360 g</t>
  </si>
  <si>
    <t>Barebells Cookies and Caramel Soft Protein Bar 55 g</t>
  </si>
  <si>
    <t>Merryteaser Christmas Mix Pouch 240 g</t>
  </si>
  <si>
    <t>Merryteaser</t>
  </si>
  <si>
    <t>Maltesers Reindeer Chocolate Bar 29 g</t>
  </si>
  <si>
    <t>Celebrations Chocolates Sharing Bag 325 g</t>
  </si>
  <si>
    <t>Skittles &amp; Friends Sweets Christmas Selection Box (Large) 207 g</t>
  </si>
  <si>
    <t>Skittles</t>
  </si>
  <si>
    <t>Brand exists but enters new subcategory "Sharing &amp; Gifting"</t>
  </si>
  <si>
    <t>Maltesers Reindeer 29 g</t>
  </si>
  <si>
    <t>Skittles &amp; Friends Sweets Christmas Selection Box (Medium) 150.5 g</t>
  </si>
  <si>
    <t>Pol's Freeze Dried Harmony Mix 20 g</t>
  </si>
  <si>
    <t>Pol's</t>
  </si>
  <si>
    <t>Dates &amp; Dried Fruits</t>
  </si>
  <si>
    <t>Brand exists but enters new subcategory "Dates &amp; Dried Fruits"</t>
  </si>
  <si>
    <t>Lindt Extra Creamy Dark Chocolate Bar 35 g</t>
  </si>
  <si>
    <t>Lindt Extra Creamy Milk Chocolate Bar 35 g</t>
  </si>
  <si>
    <t>Lindt Extra Creamy Dark Chocolate Bar 80 g</t>
  </si>
  <si>
    <t>Lindt Extra Creamy Salted Caramel Milk Chocolate Bar 80 g</t>
  </si>
  <si>
    <t>Lindt Extra Creamy Milk Chocolate Bar 80 g</t>
  </si>
  <si>
    <t>Lindt Extra Creamy Hazelnut Milk Chocolate Bar 80 g</t>
  </si>
  <si>
    <t>Bimbo Raisin Oat Biscuits with Stevia-Sugar Free 30 g</t>
  </si>
  <si>
    <t>Bimbo Oat Biscuits with Stevia-Sugar Free 30 g</t>
  </si>
  <si>
    <t>Bimbo Raisin Oat Biscuits 30 g</t>
  </si>
  <si>
    <t>Keen Health Raspberry Chocolate Dipped Crackers 54 g</t>
  </si>
  <si>
    <t>Keen Health</t>
  </si>
  <si>
    <t>Keen Health Milk Chocolate Dipped Crackers 54 g</t>
  </si>
  <si>
    <t>Keen Health Dark Chocolate Dipped Crackers 54 g</t>
  </si>
  <si>
    <t>McLloyds Organic Nacho Cheese Red Lentil Flips 35 g</t>
  </si>
  <si>
    <t>McLloyds Organic Sour Cream &amp; Onion Green Pea Rings 35 g</t>
  </si>
  <si>
    <t>McLloyds Organic Seas Salt Chickpea Balls 35 g</t>
  </si>
  <si>
    <t>Nestle Fitness Cranberries, Pumkin Seeds with Wholegrain Oats Granola 350 g</t>
  </si>
  <si>
    <t>SKU description not matched in item master</t>
  </si>
  <si>
    <t>Muratbey Shalal Cheese 200 g</t>
  </si>
  <si>
    <t>Taylors Of Harrogate Yorkshire Classic Black Tea Bags 220 g x 10 pcs</t>
  </si>
  <si>
    <t>Fun GaÃ¯a Plant Based Straws 6x197 mm x 50 pcs</t>
  </si>
  <si>
    <t>Fun GaÃ¯a Eco Friendly Paper Straws 6x197 mm x 25 pcs</t>
  </si>
  <si>
    <t>Tanmiah Fresh Chicken Mix Portions 800 g</t>
  </si>
  <si>
    <t>Good Seoul KoreanÃ‚Â CorndogÃ‚Â Crispy CheeseÃ‚Â 80 g x 4 pcs</t>
  </si>
  <si>
    <t>Good Seoul KoreanÃ‚Â CorndogÃ‚Â CrispyÃ‚Â Ã‚Â Beef &amp; CheeseÃ‚Â 80 g x 4 pcs</t>
  </si>
  <si>
    <t>Kiwi Italy 500-600 g</t>
  </si>
  <si>
    <t>Frutulip Coco Thump Thailand 1 Pc</t>
  </si>
  <si>
    <t>Driscoll's Blueberry Zimbabwe / South Africa 125 g</t>
  </si>
  <si>
    <t>Organic Avocado Kenya</t>
  </si>
  <si>
    <t>Organic Orange</t>
  </si>
  <si>
    <t>Organic Lemon</t>
  </si>
  <si>
    <t>Organic Sweet Corn</t>
  </si>
  <si>
    <t>Organic Potato</t>
  </si>
  <si>
    <t>Organic Cucumber</t>
  </si>
  <si>
    <t>Fresh Sandouk Clementine Lebanon 450 - 500 g</t>
  </si>
  <si>
    <t>Fresh Sandouk Custard Apple Lebanon 600 - 700 g</t>
  </si>
  <si>
    <t>Cucumber UAE 900-1000 g</t>
  </si>
  <si>
    <t>Pure Harvest Strawberry UAE 200 g</t>
  </si>
  <si>
    <t>Padron Pepper Spain/Netherlands 250 g</t>
  </si>
  <si>
    <t>Pure Harvest Strabena Tomatoes UAE 390 g</t>
  </si>
  <si>
    <t>Pure Harvest Baby Spinach UAE 125 g</t>
  </si>
  <si>
    <t>Pure Harvest Tomatoes Plum Roma UAE 500 g</t>
  </si>
  <si>
    <t>Banana Ecuador 900-1000 g</t>
  </si>
  <si>
    <t>Pure Harvest Lolipop Apples</t>
  </si>
  <si>
    <t>Watermelon Mini Brazil 1.4-1.6 kg</t>
  </si>
  <si>
    <t>Oradent Eco Bamboo Floss Picks 50 pcs</t>
  </si>
  <si>
    <t>Pondâ€™s Bright Beauty Triple Glow Serum with Niacinamide and Hyaluronic Acid 30 g</t>
  </si>
  <si>
    <t>Haagen Dazs Vanilla Ice Cream Cup 75 mL</t>
  </si>
  <si>
    <t>Hershey's Dark Chocolate Sorbet Stick 70 mL x 12 pcs</t>
  </si>
  <si>
    <t>Tide Automatic Power Gel Clean &amp; Fresh Scent Laundry Detergent 1.8 L</t>
  </si>
  <si>
    <t>Comfort Fabric Softener Spring Dew 4 L x 2 pcs</t>
  </si>
  <si>
    <t>Al Rawabi Greek Yoghurt Date Milk 500 mL</t>
  </si>
  <si>
    <t>Al Rawabi Greek Yoghurt Date Milk 200 mL</t>
  </si>
  <si>
    <t>David Blurberry Pie Protein Bar 62 g</t>
  </si>
  <si>
    <t>Kinder Crispy Chocolate &amp; Biscuit Crumb Coated Wafer Bar 170 g (Multi Pack of 5)</t>
  </si>
  <si>
    <t>My Grandmotherâ€™s Plum Cake 850 g</t>
  </si>
  <si>
    <t>The Ginger People Ginseng Shot with Lemon &amp; Honey 30 mL x 16</t>
  </si>
  <si>
    <t>QminC Ginger with Honey 150 mL x 24</t>
  </si>
  <si>
    <t>QminC Curcumin 150 mL x 24</t>
  </si>
  <si>
    <t>Barebells Cookies and Cream Milkshake 330 mL x 8</t>
  </si>
  <si>
    <t>Gusto Fiery Ginger with JalapeÃ±o 275 mL</t>
  </si>
  <si>
    <t>Earth Choice Dishwashing Liquid Twin Pack â€“ 1 L Each</t>
  </si>
  <si>
    <t>Alyoum Chicken Drumstick 900 g</t>
  </si>
  <si>
    <t>Green &amp; Co Beef &amp; Smoked  Farmhouse Angus  Pepperoni Pizza</t>
  </si>
  <si>
    <t>Green &amp; Co The Sicilian Chargrilled Vegetables &amp; Basil Tomato Sauce Pizza</t>
  </si>
  <si>
    <t>Green &amp; Co Classic Hawaiian Pizza</t>
  </si>
  <si>
    <t>Green &amp; Co Tuscan Pepperoni Italian Tomato &amp; Mozarella Pizza</t>
  </si>
  <si>
    <t>Green &amp; Co Classic Napoli Margherita Pizza</t>
  </si>
  <si>
    <t>Green &amp; Co Italian Dough Pizza Base 2 Pcs</t>
  </si>
  <si>
    <t>Broccoli Iran/GCC 400-650 g</t>
  </si>
  <si>
    <t>Rocket Apple 1pc</t>
  </si>
  <si>
    <t>Celery Spain /AustraliaÂ  600-700g</t>
  </si>
  <si>
    <t>Red Currant Holland/Chile 125 g</t>
  </si>
  <si>
    <t>Pumpkin Butternut Spain 800 g -1000g</t>
  </si>
  <si>
    <t>Chaga Mushroom Extract Powder 100 g</t>
  </si>
  <si>
    <t>Tremella Mushroom Extract Powder 100 g</t>
  </si>
  <si>
    <t>Turkey Tail Mushroom Extract Powder 100 g</t>
  </si>
  <si>
    <t>Reishi Mushroom Extract Powder 100 g</t>
  </si>
  <si>
    <t>Cordyceps Mushroom Extract Powder 100 g</t>
  </si>
  <si>
    <t>Trister Digital Thermometer 20â€‘Second Rigid Tip</t>
  </si>
  <si>
    <t>Veet Professional Hair Removal Cream for All Skin Types Legs &amp; Body 100 g</t>
  </si>
  <si>
    <t>Pasante Silk Thin Condoms Pack of 12 pcs</t>
  </si>
  <si>
    <t>Pasante Feel Ultra Thin Condoms Pack of 12 pcs</t>
  </si>
  <si>
    <t>Pasante Regular Condoms Pack of 12 pcs</t>
  </si>
  <si>
    <t>Pasante Taste Coloured &amp; Assorted  Flavours Tastey Fun Condoms Pack of 12 pcs</t>
  </si>
  <si>
    <t>Comfort Concentrate Fabric Softener Orchid &amp; Musk 1.5 L x 2 pcs</t>
  </si>
  <si>
    <t>Titlis Premium Sunflower Oil Blended 500 mL</t>
  </si>
  <si>
    <t>Acesur Extra Virgin Olive Oil 250 mL</t>
  </si>
  <si>
    <t>Lite Bite Whey Chocolate Brownies Protein Bar 70 g Â</t>
  </si>
  <si>
    <t>Barebells Banana Dream Soft Protein Bar 55 g x 12</t>
  </si>
  <si>
    <t>Barebells Peanut Caramel Soft Protein Bar 55 g x 12</t>
  </si>
  <si>
    <t>Types</t>
  </si>
  <si>
    <t>Promo Calendar Committed</t>
  </si>
  <si>
    <t>Trade Funding</t>
  </si>
  <si>
    <t>Ads Support</t>
  </si>
  <si>
    <t>No Support</t>
  </si>
  <si>
    <t>Category_ASP Key</t>
  </si>
  <si>
    <t>Subcat_ASP Key</t>
  </si>
  <si>
    <t>Parent Category</t>
  </si>
  <si>
    <t>Sub Category</t>
  </si>
  <si>
    <t>ASP Bucket</t>
  </si>
  <si>
    <t>Count of SKUs (Avail &gt;50%)</t>
  </si>
  <si>
    <t>Count of Non-Moving SKUs</t>
  </si>
  <si>
    <t>Total Onhand</t>
  </si>
  <si>
    <t>Non-Moving Onhand</t>
  </si>
  <si>
    <t>Total ROS (L14D)</t>
  </si>
  <si>
    <t>Total ROS (L30D)</t>
  </si>
  <si>
    <t>Total ROS (L60D)</t>
  </si>
  <si>
    <t>ROS of Top 20% SKUs</t>
  </si>
  <si>
    <t>P10 ROS (All)</t>
  </si>
  <si>
    <t>P20 ROS (All)</t>
  </si>
  <si>
    <t>P30 ROS (All)</t>
  </si>
  <si>
    <t>P50 ROS (All)</t>
  </si>
  <si>
    <t>P70 ROS (All)</t>
  </si>
  <si>
    <t>P10 ROS (Moving)</t>
  </si>
  <si>
    <t>P20 ROS (Moving)</t>
  </si>
  <si>
    <t>P30 ROS (Moving)</t>
  </si>
  <si>
    <t>P50 ROS (Moving)</t>
  </si>
  <si>
    <t>P70 ROS (Moving)</t>
  </si>
  <si>
    <t>Sub Category P50 ROS (All)</t>
  </si>
  <si>
    <t>Sub Category P50 ROS (Moving)</t>
  </si>
  <si>
    <t>Sub Category SKU Efficiency</t>
  </si>
  <si>
    <t>Sub Category Median SKU Efficiency</t>
  </si>
  <si>
    <t>Category-ASP P50 ROS (All)</t>
  </si>
  <si>
    <t>Category-ASP P50 ROS (Moving)</t>
  </si>
  <si>
    <t>Category-ASP SKU Efficiency</t>
  </si>
  <si>
    <t>Category-ASP Median SKU Efficiency</t>
  </si>
  <si>
    <t>Parent Category P50 ROS (All)</t>
  </si>
  <si>
    <t>Parent Category P50 ROS (Moving)</t>
  </si>
  <si>
    <t>Parent Category SKU Efficiency</t>
  </si>
  <si>
    <t>Parent Category Median SKU Efficiency</t>
  </si>
  <si>
    <t>Run Date</t>
  </si>
  <si>
    <t>_10-15</t>
  </si>
  <si>
    <t>#########</t>
  </si>
  <si>
    <t>_20-25</t>
  </si>
  <si>
    <t>20-25</t>
  </si>
  <si>
    <t>_25+</t>
  </si>
  <si>
    <t>25+</t>
  </si>
  <si>
    <t>_5-10</t>
  </si>
  <si>
    <t>_Unknown</t>
  </si>
  <si>
    <t>Unknown</t>
  </si>
  <si>
    <t>Adult Care_20-25</t>
  </si>
  <si>
    <t>Accessories_20-25</t>
  </si>
  <si>
    <t>Accessories</t>
  </si>
  <si>
    <t>Adult Care_25+</t>
  </si>
  <si>
    <t>Accessories_25+</t>
  </si>
  <si>
    <t>Adult Care_Unknown</t>
  </si>
  <si>
    <t>Accessories_Unknown</t>
  </si>
  <si>
    <t>Adult Care_15-20</t>
  </si>
  <si>
    <t>Condoms_15-20</t>
  </si>
  <si>
    <t>15-20</t>
  </si>
  <si>
    <t>Condoms_20-25</t>
  </si>
  <si>
    <t>Condoms_25+</t>
  </si>
  <si>
    <t>Adult Care_5-10</t>
  </si>
  <si>
    <t>Condoms_5-10</t>
  </si>
  <si>
    <t>Condoms_Unknown</t>
  </si>
  <si>
    <t>Lubricants_25+</t>
  </si>
  <si>
    <t>Lubricants</t>
  </si>
  <si>
    <t>Lubricants_Unknown</t>
  </si>
  <si>
    <t>Baby Essentials_Unknown</t>
  </si>
  <si>
    <t>Baby Essentials_0-5</t>
  </si>
  <si>
    <t>Baby Bath &amp; Shower_0-5</t>
  </si>
  <si>
    <t>Baby Bath &amp; Shower</t>
  </si>
  <si>
    <t>0-5</t>
  </si>
  <si>
    <t>Baby Essentials_10-15</t>
  </si>
  <si>
    <t>Baby Bath &amp; Shower_10-15</t>
  </si>
  <si>
    <t>Baby Essentials_15-20</t>
  </si>
  <si>
    <t>Baby Bath &amp; Shower_15-20</t>
  </si>
  <si>
    <t>Baby Essentials_20-25</t>
  </si>
  <si>
    <t>Baby Bath &amp; Shower_20-25</t>
  </si>
  <si>
    <t>Baby Essentials_25+</t>
  </si>
  <si>
    <t>Baby Bath &amp; Shower_25+</t>
  </si>
  <si>
    <t>Baby Bath &amp; Shower_Unknown</t>
  </si>
  <si>
    <t>Baby Care_10-15</t>
  </si>
  <si>
    <t>Baby Care</t>
  </si>
  <si>
    <t>Baby Care_15-20</t>
  </si>
  <si>
    <t>Baby Care_20-25</t>
  </si>
  <si>
    <t>Baby Care_25+</t>
  </si>
  <si>
    <t>Baby Care_Unknown</t>
  </si>
  <si>
    <t>Baby Food_0-5</t>
  </si>
  <si>
    <t>Baby Food_10-15</t>
  </si>
  <si>
    <t>Baby Food_15-20</t>
  </si>
  <si>
    <t>Baby Food_20-25</t>
  </si>
  <si>
    <t>Baby Food_25+</t>
  </si>
  <si>
    <t>Baby Essentials_5-10</t>
  </si>
  <si>
    <t>Baby Food_5-10</t>
  </si>
  <si>
    <t>Baby Food_Unknown</t>
  </si>
  <si>
    <t>Diapers_10-15</t>
  </si>
  <si>
    <t>Diapers</t>
  </si>
  <si>
    <t>Diapers_20-25</t>
  </si>
  <si>
    <t>Diapers_25+</t>
  </si>
  <si>
    <t>Diapers_Unknown</t>
  </si>
  <si>
    <t>Milk Formula_10-15</t>
  </si>
  <si>
    <t>Milk Formula_25+</t>
  </si>
  <si>
    <t>Milk Formula_Unknown</t>
  </si>
  <si>
    <t>Wipes_0-5</t>
  </si>
  <si>
    <t>Wipes</t>
  </si>
  <si>
    <t>Wipes_10-15</t>
  </si>
  <si>
    <t>Wipes_15-20</t>
  </si>
  <si>
    <t>Wipes_20-25</t>
  </si>
  <si>
    <t>Wipes_25+</t>
  </si>
  <si>
    <t>Wipes_5-10</t>
  </si>
  <si>
    <t>Wipes_Unknown</t>
  </si>
  <si>
    <t>Baby Essentials | Hygiene &amp; Personal Care_Unknown</t>
  </si>
  <si>
    <t>Baby Bath &amp; Shower | Bath &amp; Shower_Unknown</t>
  </si>
  <si>
    <t>Baby Essentials | Hygiene &amp; Personal Care</t>
  </si>
  <si>
    <t>Baby Bath &amp; Shower | Bath &amp; Shower</t>
  </si>
  <si>
    <t>Baby Essentials | Salty Snacks_Unknown</t>
  </si>
  <si>
    <t>Baby Food | Healthy Snacks_Unknown</t>
  </si>
  <si>
    <t>Baby Essentials | Salty Snacks</t>
  </si>
  <si>
    <t>Baby Food | Healthy Snacks</t>
  </si>
  <si>
    <t>Bakery_0-5</t>
  </si>
  <si>
    <t>Arabic &amp; Flat Bread_0-5</t>
  </si>
  <si>
    <t>Arabic &amp; Flat Bread</t>
  </si>
  <si>
    <t>Bakery_10-15</t>
  </si>
  <si>
    <t>Arabic &amp; Flat Bread_10-15</t>
  </si>
  <si>
    <t>Bakery_15-20</t>
  </si>
  <si>
    <t>Arabic &amp; Flat Bread_15-20</t>
  </si>
  <si>
    <t>Bakery_20-25</t>
  </si>
  <si>
    <t>Arabic &amp; Flat Bread_20-25</t>
  </si>
  <si>
    <t>Bakery_5-10</t>
  </si>
  <si>
    <t>Arabic &amp; Flat Bread_5-10</t>
  </si>
  <si>
    <t>Bakery_Unknown</t>
  </si>
  <si>
    <t>Arabic &amp; Flat Bread_Unknown</t>
  </si>
  <si>
    <t>Arabic Sweets_10-15</t>
  </si>
  <si>
    <t>Arabic Sweets</t>
  </si>
  <si>
    <t>Arabic Sweets_15-20</t>
  </si>
  <si>
    <t>Bakery_25+</t>
  </si>
  <si>
    <t>Arabic Sweets_25+</t>
  </si>
  <si>
    <t>Arabic Sweets_Unknown</t>
  </si>
  <si>
    <t>Buns &amp; Rolls_0-5</t>
  </si>
  <si>
    <t>Buns &amp; Rolls</t>
  </si>
  <si>
    <t>Buns &amp; Rolls_10-15</t>
  </si>
  <si>
    <t>Buns &amp; Rolls_15-20</t>
  </si>
  <si>
    <t>Buns &amp; Rolls_20-25</t>
  </si>
  <si>
    <t>Buns &amp; Rolls_5-10</t>
  </si>
  <si>
    <t>Buns &amp; Rolls_Unknown</t>
  </si>
  <si>
    <t>Christmas_10-15</t>
  </si>
  <si>
    <t>Christmas</t>
  </si>
  <si>
    <t>Christmas_20-25</t>
  </si>
  <si>
    <t>Christmas_25+</t>
  </si>
  <si>
    <t>Christmas_5-10</t>
  </si>
  <si>
    <t>Christmas_Unknown</t>
  </si>
  <si>
    <t>Croissants &amp; Cakes_0-5</t>
  </si>
  <si>
    <t>Croissants &amp; Cakes</t>
  </si>
  <si>
    <t>Croissants &amp; Cakes_10-15</t>
  </si>
  <si>
    <t>Croissants &amp; Cakes_15-20</t>
  </si>
  <si>
    <t>Croissants &amp; Cakes_20-25</t>
  </si>
  <si>
    <t>Croissants &amp; Cakes_25+</t>
  </si>
  <si>
    <t>Croissants &amp; Cakes_5-10</t>
  </si>
  <si>
    <t>Croissants &amp; Cakes_Unknown</t>
  </si>
  <si>
    <t>Fresh Bakery_0-5</t>
  </si>
  <si>
    <t>Fresh Bakery_10-15</t>
  </si>
  <si>
    <t>Fresh Bakery_15-20</t>
  </si>
  <si>
    <t>Fresh Bakery_20-25</t>
  </si>
  <si>
    <t>Fresh Bakery_25+</t>
  </si>
  <si>
    <t>Fresh Bakery_5-10</t>
  </si>
  <si>
    <t>Fresh Bakery_Unknown</t>
  </si>
  <si>
    <t>Parathas &amp; Dosas_5-10</t>
  </si>
  <si>
    <t>Parathas &amp; Dosas</t>
  </si>
  <si>
    <t>Parathas &amp; Dosas_Unknown</t>
  </si>
  <si>
    <t>Puff Pastry, Dough &amp; Pizza Bases_Unknown</t>
  </si>
  <si>
    <t>Puff Pastry, Dough &amp; Pizza Bases</t>
  </si>
  <si>
    <t>Rusks, Crispbread &amp; Crackers_0-5</t>
  </si>
  <si>
    <t>Rusks, Crispbread &amp; Crackers</t>
  </si>
  <si>
    <t>Rusks, Crispbread &amp; Crackers_10-15</t>
  </si>
  <si>
    <t>Rusks, Crispbread &amp; Crackers_15-20</t>
  </si>
  <si>
    <t>Rusks, Crispbread &amp; Crackers_20-25</t>
  </si>
  <si>
    <t>Rusks, Crispbread &amp; Crackers_25+</t>
  </si>
  <si>
    <t>Rusks, Crispbread &amp; Crackers_5-10</t>
  </si>
  <si>
    <t>Rusks, Crispbread &amp; Crackers_Unknown</t>
  </si>
  <si>
    <t>Sliced Bread_0-5</t>
  </si>
  <si>
    <t>Sliced Bread</t>
  </si>
  <si>
    <t>Sliced Bread_10-15</t>
  </si>
  <si>
    <t>Sliced Bread_15-20</t>
  </si>
  <si>
    <t>Sliced Bread_20-25</t>
  </si>
  <si>
    <t>Sliced Bread_25+</t>
  </si>
  <si>
    <t>Sliced Bread_5-10</t>
  </si>
  <si>
    <t>Sliced Bread_Unknown</t>
  </si>
  <si>
    <t>Tortillas &amp; Wraps_0-5</t>
  </si>
  <si>
    <t>Tortillas &amp; Wraps</t>
  </si>
  <si>
    <t>Tortillas &amp; Wraps_10-15</t>
  </si>
  <si>
    <t>Tortillas &amp; Wraps_15-20</t>
  </si>
  <si>
    <t>Tortillas &amp; Wraps_20-25</t>
  </si>
  <si>
    <t>Tortillas &amp; Wraps_25+</t>
  </si>
  <si>
    <t>Tortillas &amp; Wraps_5-10</t>
  </si>
  <si>
    <t>Tortillas &amp; Wraps_Unknown</t>
  </si>
  <si>
    <t>Baking Ingredients_0-5</t>
  </si>
  <si>
    <t>Baking Agents_0-5</t>
  </si>
  <si>
    <t>Baking Agents</t>
  </si>
  <si>
    <t>Baking Ingredients_10-15</t>
  </si>
  <si>
    <t>Baking Agents_10-15</t>
  </si>
  <si>
    <t>Baking Ingredients_15-20</t>
  </si>
  <si>
    <t>Baking Agents_15-20</t>
  </si>
  <si>
    <t>Baking Ingredients_20-25</t>
  </si>
  <si>
    <t>Baking Agents_20-25</t>
  </si>
  <si>
    <t>Baking Ingredients_5-10</t>
  </si>
  <si>
    <t>Baking Agents_5-10</t>
  </si>
  <si>
    <t>Baking Ingredients_Unknown</t>
  </si>
  <si>
    <t>Baking Agents_Unknown</t>
  </si>
  <si>
    <t>Baking Mixes_0-5</t>
  </si>
  <si>
    <t>Baking Mixes_10-15</t>
  </si>
  <si>
    <t>Baking Mixes_15-20</t>
  </si>
  <si>
    <t>Baking Mixes_20-25</t>
  </si>
  <si>
    <t>Baking Ingredients_25+</t>
  </si>
  <si>
    <t>Baking Mixes_25+</t>
  </si>
  <si>
    <t>Baking Mixes_5-10</t>
  </si>
  <si>
    <t>Baking Mixes_Unknown</t>
  </si>
  <si>
    <t>Doughs_Unknown</t>
  </si>
  <si>
    <t>Doughs</t>
  </si>
  <si>
    <t>Flavouring &amp; Food Coloring_0-5</t>
  </si>
  <si>
    <t>Flavouring &amp; Food Coloring_5-10</t>
  </si>
  <si>
    <t>Flavouring &amp; Food Coloring_Unknown</t>
  </si>
  <si>
    <t>Flour_0-5</t>
  </si>
  <si>
    <t>Flour</t>
  </si>
  <si>
    <t>Flour_10-15</t>
  </si>
  <si>
    <t>Flour_15-20</t>
  </si>
  <si>
    <t>Flour_20-25</t>
  </si>
  <si>
    <t>Flour_25+</t>
  </si>
  <si>
    <t>Flour_5-10</t>
  </si>
  <si>
    <t>Flour_Unknown</t>
  </si>
  <si>
    <t>Sugar &amp; Sweeteners_0-5</t>
  </si>
  <si>
    <t>Sugar &amp; Sweeteners</t>
  </si>
  <si>
    <t>Sugar &amp; Sweeteners_10-15</t>
  </si>
  <si>
    <t>Sugar &amp; Sweeteners_15-20</t>
  </si>
  <si>
    <t>Sugar &amp; Sweeteners_20-25</t>
  </si>
  <si>
    <t>Sugar &amp; Sweeteners_25+</t>
  </si>
  <si>
    <t>Sugar &amp; Sweeteners_5-10</t>
  </si>
  <si>
    <t>Sugar &amp; Sweeteners_Unknown</t>
  </si>
  <si>
    <t>Syrups &amp; Toppings_0-5</t>
  </si>
  <si>
    <t>Syrups &amp; Toppings_10-15</t>
  </si>
  <si>
    <t>Syrups &amp; Toppings_15-20</t>
  </si>
  <si>
    <t>Syrups &amp; Toppings_20-25</t>
  </si>
  <si>
    <t>Syrups &amp; Toppings_25+</t>
  </si>
  <si>
    <t>Syrups &amp; Toppings_5-10</t>
  </si>
  <si>
    <t>Syrups &amp; Toppings_Unknown</t>
  </si>
  <si>
    <t>Beauty_10-15</t>
  </si>
  <si>
    <t>Fragrances_10-15</t>
  </si>
  <si>
    <t>Fragrances</t>
  </si>
  <si>
    <t>Beauty_20-25</t>
  </si>
  <si>
    <t>Fragrances_20-25</t>
  </si>
  <si>
    <t>Beauty_25+</t>
  </si>
  <si>
    <t>Fragrances_25+</t>
  </si>
  <si>
    <t>Beauty_Unknown</t>
  </si>
  <si>
    <t>Fragrances_Unknown</t>
  </si>
  <si>
    <t>Beauty_15-20</t>
  </si>
  <si>
    <t>Hair Studio_15-20</t>
  </si>
  <si>
    <t>Hair Studio_20-25</t>
  </si>
  <si>
    <t>Hair Studio_25+</t>
  </si>
  <si>
    <t>Hair Studio_Unknown</t>
  </si>
  <si>
    <t>Makeup_10-15</t>
  </si>
  <si>
    <t>Makeup_15-20</t>
  </si>
  <si>
    <t>Makeup_25+</t>
  </si>
  <si>
    <t>Makeup_Unknown</t>
  </si>
  <si>
    <t>Skin &amp; Treatments_10-15</t>
  </si>
  <si>
    <t>Skin &amp; Treatments_15-20</t>
  </si>
  <si>
    <t>Skin &amp; Treatments_20-25</t>
  </si>
  <si>
    <t>Skin &amp; Treatments_25+</t>
  </si>
  <si>
    <t>Skin &amp; Treatments_Unknown</t>
  </si>
  <si>
    <t>Beauty | Hygiene &amp; Personal Care_25+</t>
  </si>
  <si>
    <t>Body &amp; Skin Care | Skin &amp; Treatments_25+</t>
  </si>
  <si>
    <t>Beauty | Hygiene &amp; Personal Care</t>
  </si>
  <si>
    <t>Body &amp; Skin Care | Skin &amp; Treatments</t>
  </si>
  <si>
    <t>Beverages_25+</t>
  </si>
  <si>
    <t>Festive Drinks_25+</t>
  </si>
  <si>
    <t>Festive Drinks</t>
  </si>
  <si>
    <t>Beverages_Unknown</t>
  </si>
  <si>
    <t>Festive Drinks_Unknown</t>
  </si>
  <si>
    <t>Fresh Juice_Unknown</t>
  </si>
  <si>
    <t>Fresh Juice</t>
  </si>
  <si>
    <t>Beverages_0-5</t>
  </si>
  <si>
    <t>Fresh Juices &amp; Smoothies_0-5</t>
  </si>
  <si>
    <t>Beverages_10-15</t>
  </si>
  <si>
    <t>Fresh Juices &amp; Smoothies_10-15</t>
  </si>
  <si>
    <t>Beverages_15-20</t>
  </si>
  <si>
    <t>Fresh Juices &amp; Smoothies_15-20</t>
  </si>
  <si>
    <t>Beverages_20-25</t>
  </si>
  <si>
    <t>Fresh Juices &amp; Smoothies_20-25</t>
  </si>
  <si>
    <t>Fresh Juices &amp; Smoothies_25+</t>
  </si>
  <si>
    <t>Beverages_5-10</t>
  </si>
  <si>
    <t>Fresh Juices &amp; Smoothies_5-10</t>
  </si>
  <si>
    <t>Fresh Juices &amp; Smoothies_Unknown</t>
  </si>
  <si>
    <t>Iced Teas &amp; Coffees_0-5</t>
  </si>
  <si>
    <t>Iced Teas &amp; Coffees_10-15</t>
  </si>
  <si>
    <t>Iced Teas &amp; Coffees_15-20</t>
  </si>
  <si>
    <t>Iced Teas &amp; Coffees_20-25</t>
  </si>
  <si>
    <t>Iced Teas &amp; Coffees_5-10</t>
  </si>
  <si>
    <t>Iced Teas &amp; Coffees_Unknown</t>
  </si>
  <si>
    <t>Juices &amp; Cordials_0-5</t>
  </si>
  <si>
    <t>Juices &amp; Cordials_10-15</t>
  </si>
  <si>
    <t>Juices &amp; Cordials_15-20</t>
  </si>
  <si>
    <t>Juices &amp; Cordials_20-25</t>
  </si>
  <si>
    <t>Juices &amp; Cordials_25+</t>
  </si>
  <si>
    <t>Juices &amp; Cordials_5-10</t>
  </si>
  <si>
    <t>Juices &amp; Cordials_Unknown</t>
  </si>
  <si>
    <t>Refreshments_Unknown</t>
  </si>
  <si>
    <t>Refreshments</t>
  </si>
  <si>
    <t>Smoothies &amp; Refreshers_0-5</t>
  </si>
  <si>
    <t>Smoothies &amp; Refreshers_10-15</t>
  </si>
  <si>
    <t>Smoothies &amp; Refreshers_15-20</t>
  </si>
  <si>
    <t>Smoothies &amp; Refreshers_20-25</t>
  </si>
  <si>
    <t>Smoothies &amp; Refreshers_25+</t>
  </si>
  <si>
    <t>Smoothies &amp; Refreshers_5-10</t>
  </si>
  <si>
    <t>Smoothies &amp; Refreshers_Unknown</t>
  </si>
  <si>
    <t>Sober Sips &amp; Mixers_0-5</t>
  </si>
  <si>
    <t>Sober Sips &amp; Mixers_10-15</t>
  </si>
  <si>
    <t>Sober Sips &amp; Mixers_15-20</t>
  </si>
  <si>
    <t>Sober Sips &amp; Mixers_20-25</t>
  </si>
  <si>
    <t>Sober Sips &amp; Mixers_25+</t>
  </si>
  <si>
    <t>Sober Sips &amp; Mixers_5-10</t>
  </si>
  <si>
    <t>Sober Sips &amp; Mixers_Unknown</t>
  </si>
  <si>
    <t>Soft Drinks_0-5</t>
  </si>
  <si>
    <t>Soft Drinks_10-15</t>
  </si>
  <si>
    <t>Soft Drinks_15-20</t>
  </si>
  <si>
    <t>Soft Drinks_20-25</t>
  </si>
  <si>
    <t>Soft Drinks_25+</t>
  </si>
  <si>
    <t>Soft Drinks_5-10</t>
  </si>
  <si>
    <t>Soft Drinks_Unknown</t>
  </si>
  <si>
    <t>Sports &amp; Energy Drinks_0-5</t>
  </si>
  <si>
    <t>Sports &amp; Energy Drinks_10-15</t>
  </si>
  <si>
    <t>Sports &amp; Energy Drinks_15-20</t>
  </si>
  <si>
    <t>Sports &amp; Energy Drinks_20-25</t>
  </si>
  <si>
    <t>Sports &amp; Energy Drinks_25+</t>
  </si>
  <si>
    <t>Sports &amp; Energy Drinks_5-10</t>
  </si>
  <si>
    <t>Sports &amp; Energy Drinks_Unknown</t>
  </si>
  <si>
    <t>Beverages | Fruits &amp; Vegetables_5-10</t>
  </si>
  <si>
    <t>Beverages | Fruits &amp; Vegetables</t>
  </si>
  <si>
    <t>Breakfast_0-5</t>
  </si>
  <si>
    <t>Cereal &amp; Granola_0-5</t>
  </si>
  <si>
    <t>Breakfast_10-15</t>
  </si>
  <si>
    <t>Cereal &amp; Granola_10-15</t>
  </si>
  <si>
    <t>Breakfast_15-20</t>
  </si>
  <si>
    <t>Cereal &amp; Granola_15-20</t>
  </si>
  <si>
    <t>Breakfast_20-25</t>
  </si>
  <si>
    <t>Cereal &amp; Granola_20-25</t>
  </si>
  <si>
    <t>Breakfast_25+</t>
  </si>
  <si>
    <t>Cereal &amp; Granola_25+</t>
  </si>
  <si>
    <t>Breakfast_5-10</t>
  </si>
  <si>
    <t>Cereal &amp; Granola_5-10</t>
  </si>
  <si>
    <t>Breakfast_Unknown</t>
  </si>
  <si>
    <t>Cereal &amp; Granola_Unknown</t>
  </si>
  <si>
    <t>Cereal Bars_0-5</t>
  </si>
  <si>
    <t>Cereal Bars_10-15</t>
  </si>
  <si>
    <t>Cereal Bars_15-20</t>
  </si>
  <si>
    <t>Cereal Bars_20-25</t>
  </si>
  <si>
    <t>Cereal Bars_25+</t>
  </si>
  <si>
    <t>Cereal Bars_5-10</t>
  </si>
  <si>
    <t>Cereal Bars_Unknown</t>
  </si>
  <si>
    <t>Honey &amp; Jams_0-5</t>
  </si>
  <si>
    <t>Honey &amp; Jams_10-15</t>
  </si>
  <si>
    <t>Honey &amp; Jams_15-20</t>
  </si>
  <si>
    <t>Honey &amp; Jams_20-25</t>
  </si>
  <si>
    <t>Honey &amp; Jams_25+</t>
  </si>
  <si>
    <t>Honey &amp; Jams_5-10</t>
  </si>
  <si>
    <t>Honey &amp; Jams_Unknown</t>
  </si>
  <si>
    <t>Oats &amp; Muesli_0-5</t>
  </si>
  <si>
    <t>Oats &amp; Muesli</t>
  </si>
  <si>
    <t>Oats &amp; Muesli_10-15</t>
  </si>
  <si>
    <t>Oats &amp; Muesli_15-20</t>
  </si>
  <si>
    <t>Oats &amp; Muesli_20-25</t>
  </si>
  <si>
    <t>Oats &amp; Muesli_25+</t>
  </si>
  <si>
    <t>Oats &amp; Muesli_5-10</t>
  </si>
  <si>
    <t>Oats &amp; Muesli_Unknown</t>
  </si>
  <si>
    <t>Spreads &amp; Syrups_0-5</t>
  </si>
  <si>
    <t>Spreads &amp; Syrups_10-15</t>
  </si>
  <si>
    <t>Spreads &amp; Syrups_15-20</t>
  </si>
  <si>
    <t>Spreads &amp; Syrups_20-25</t>
  </si>
  <si>
    <t>Spreads &amp; Syrups_25+</t>
  </si>
  <si>
    <t>Spreads &amp; Syrups_5-10</t>
  </si>
  <si>
    <t>Spreads &amp; Syrups_Unknown</t>
  </si>
  <si>
    <t>Breakfast | Salty Snacks_Unknown</t>
  </si>
  <si>
    <t>Cereal Bars | Healthy Snacks_Unknown</t>
  </si>
  <si>
    <t>Breakfast | Salty Snacks</t>
  </si>
  <si>
    <t>Cereal Bars | Healthy Snacks</t>
  </si>
  <si>
    <t>Camel_Unknown</t>
  </si>
  <si>
    <t>Camel</t>
  </si>
  <si>
    <t>Canned &amp; Jarred Foods_0-5</t>
  </si>
  <si>
    <t>Canned Fish &amp; Seafood_0-5</t>
  </si>
  <si>
    <t>Canned &amp; Jarred Foods_10-15</t>
  </si>
  <si>
    <t>Canned Fish &amp; Seafood_10-15</t>
  </si>
  <si>
    <t>Canned &amp; Jarred Foods_15-20</t>
  </si>
  <si>
    <t>Canned Fish &amp; Seafood_15-20</t>
  </si>
  <si>
    <t>Canned &amp; Jarred Foods_20-25</t>
  </si>
  <si>
    <t>Canned Fish &amp; Seafood_20-25</t>
  </si>
  <si>
    <t>Canned &amp; Jarred Foods_25+</t>
  </si>
  <si>
    <t>Canned Fish &amp; Seafood_25+</t>
  </si>
  <si>
    <t>Canned &amp; Jarred Foods_5-10</t>
  </si>
  <si>
    <t>Canned Fish &amp; Seafood_5-10</t>
  </si>
  <si>
    <t>Canned &amp; Jarred Foods_Unknown</t>
  </si>
  <si>
    <t>Canned Fish &amp; Seafood_Unknown</t>
  </si>
  <si>
    <t>Canned Fruits_0-5</t>
  </si>
  <si>
    <t>Canned Fruits</t>
  </si>
  <si>
    <t>Canned Fruits_10-15</t>
  </si>
  <si>
    <t>Canned Fruits_20-25</t>
  </si>
  <si>
    <t>Canned Fruits_5-10</t>
  </si>
  <si>
    <t>Canned Fruits_Unknown</t>
  </si>
  <si>
    <t>Canned Meats_0-5</t>
  </si>
  <si>
    <t>Canned Meats</t>
  </si>
  <si>
    <t>Canned Meats_10-15</t>
  </si>
  <si>
    <t>Canned Meats_15-20</t>
  </si>
  <si>
    <t>Canned Meats_20-25</t>
  </si>
  <si>
    <t>Canned Meats_5-10</t>
  </si>
  <si>
    <t>Canned Meats_Unknown</t>
  </si>
  <si>
    <t>Canned Vegetables_0-5</t>
  </si>
  <si>
    <t>Canned Vegetables</t>
  </si>
  <si>
    <t>Canned Vegetables_10-15</t>
  </si>
  <si>
    <t>Canned Vegetables_15-20</t>
  </si>
  <si>
    <t>Canned Vegetables_20-25</t>
  </si>
  <si>
    <t>Canned Vegetables_25+</t>
  </si>
  <si>
    <t>Canned Vegetables_5-10</t>
  </si>
  <si>
    <t>Canned Vegetables_Unknown</t>
  </si>
  <si>
    <t>Cooking Mixes_0-5</t>
  </si>
  <si>
    <t>Cooking Mixes_15-20</t>
  </si>
  <si>
    <t>Cooking Mixes_20-25</t>
  </si>
  <si>
    <t>Cooking Mixes_5-10</t>
  </si>
  <si>
    <t>Cooking Mixes_Unknown</t>
  </si>
  <si>
    <t>Pickles &amp; Olives_0-5</t>
  </si>
  <si>
    <t>Pickles &amp; Olives</t>
  </si>
  <si>
    <t>Pickles &amp; Olives_10-15</t>
  </si>
  <si>
    <t>Pickles &amp; Olives_15-20</t>
  </si>
  <si>
    <t>Pickles &amp; Olives_20-25</t>
  </si>
  <si>
    <t>Pickles &amp; Olives_25+</t>
  </si>
  <si>
    <t>Pickles &amp; Olives_5-10</t>
  </si>
  <si>
    <t>Pickles &amp; Olives_Unknown</t>
  </si>
  <si>
    <t>Cheese &amp; Butter_0-5</t>
  </si>
  <si>
    <t>Block Cheese_0-5</t>
  </si>
  <si>
    <t>Cheese &amp; Butter_10-15</t>
  </si>
  <si>
    <t>Block Cheese_10-15</t>
  </si>
  <si>
    <t>Cheese &amp; Butter_15-20</t>
  </si>
  <si>
    <t>Block Cheese_15-20</t>
  </si>
  <si>
    <t>Cheese &amp; Butter_20-25</t>
  </si>
  <si>
    <t>Block Cheese_20-25</t>
  </si>
  <si>
    <t>Cheese &amp; Butter_25+</t>
  </si>
  <si>
    <t>Block Cheese_25+</t>
  </si>
  <si>
    <t>Cheese &amp; Butter_5-10</t>
  </si>
  <si>
    <t>Block Cheese_5-10</t>
  </si>
  <si>
    <t>Cheese &amp; Butter_Unknown</t>
  </si>
  <si>
    <t>Block Cheese_Unknown</t>
  </si>
  <si>
    <t>Butter_0-5</t>
  </si>
  <si>
    <t>Butter</t>
  </si>
  <si>
    <t>Butter_10-15</t>
  </si>
  <si>
    <t>Butter_15-20</t>
  </si>
  <si>
    <t>Butter_20-25</t>
  </si>
  <si>
    <t>Butter_25+</t>
  </si>
  <si>
    <t>Butter_5-10</t>
  </si>
  <si>
    <t>Butter_Unknown</t>
  </si>
  <si>
    <t>Cream_0-5</t>
  </si>
  <si>
    <t>Cream_10-15</t>
  </si>
  <si>
    <t>Cream_15-20</t>
  </si>
  <si>
    <t>Cream_20-25</t>
  </si>
  <si>
    <t>Cream_25+</t>
  </si>
  <si>
    <t>Cream_5-10</t>
  </si>
  <si>
    <t>Cream_Unknown</t>
  </si>
  <si>
    <t>Labneh_0-5</t>
  </si>
  <si>
    <t>Labneh_15-20</t>
  </si>
  <si>
    <t>Labneh_20-25</t>
  </si>
  <si>
    <t>Labneh_25+</t>
  </si>
  <si>
    <t>Labneh_5-10</t>
  </si>
  <si>
    <t>Labneh_Unknown</t>
  </si>
  <si>
    <t>Others_Unknown</t>
  </si>
  <si>
    <t>Others</t>
  </si>
  <si>
    <t>Shredded &amp; Grated_10-15</t>
  </si>
  <si>
    <t>Shredded &amp; Grated</t>
  </si>
  <si>
    <t>Shredded &amp; Grated_15-20</t>
  </si>
  <si>
    <t>Shredded &amp; Grated_20-25</t>
  </si>
  <si>
    <t>Shredded &amp; Grated_25+</t>
  </si>
  <si>
    <t>Shredded &amp; Grated_5-10</t>
  </si>
  <si>
    <t>Shredded &amp; Grated_Unknown</t>
  </si>
  <si>
    <t>Slices &amp; Portions_0-5</t>
  </si>
  <si>
    <t>Slices &amp; Portions_10-15</t>
  </si>
  <si>
    <t>Slices &amp; Portions_15-20</t>
  </si>
  <si>
    <t>Slices &amp; Portions_20-25</t>
  </si>
  <si>
    <t>Slices &amp; Portions_25+</t>
  </si>
  <si>
    <t>Slices &amp; Portions_5-10</t>
  </si>
  <si>
    <t>Slices &amp; Portions_Unknown</t>
  </si>
  <si>
    <t>Spreadable Cheese_0-5</t>
  </si>
  <si>
    <t>Spreadable Cheese</t>
  </si>
  <si>
    <t>Spreadable Cheese_10-15</t>
  </si>
  <si>
    <t>Spreadable Cheese_15-20</t>
  </si>
  <si>
    <t>Spreadable Cheese_20-25</t>
  </si>
  <si>
    <t>Spreadable Cheese_25+</t>
  </si>
  <si>
    <t>Spreadable Cheese_5-10</t>
  </si>
  <si>
    <t>Spreadable Cheese_Unknown</t>
  </si>
  <si>
    <t>Cleaning &amp; Household_10-15</t>
  </si>
  <si>
    <t>Air fresheners &amp; Candles_10-15</t>
  </si>
  <si>
    <t>Cleaning &amp; Household</t>
  </si>
  <si>
    <t>Air fresheners &amp; Candles</t>
  </si>
  <si>
    <t>Cleaning &amp; Household_15-20</t>
  </si>
  <si>
    <t>Air fresheners &amp; Candles_15-20</t>
  </si>
  <si>
    <t>Cleaning &amp; Household_20-25</t>
  </si>
  <si>
    <t>Air fresheners &amp; Candles_20-25</t>
  </si>
  <si>
    <t>Cleaning &amp; Household_25+</t>
  </si>
  <si>
    <t>Air fresheners &amp; Candles_25+</t>
  </si>
  <si>
    <t>Cleaning &amp; Household_5-10</t>
  </si>
  <si>
    <t>Air fresheners &amp; Candles_5-10</t>
  </si>
  <si>
    <t>Cleaning &amp; Household_Unknown</t>
  </si>
  <si>
    <t>Air fresheners &amp; Candles_Unknown</t>
  </si>
  <si>
    <t>Cleaning &amp; Household_0-5</t>
  </si>
  <si>
    <t>Bathroom Cleaners_0-5</t>
  </si>
  <si>
    <t>Bathroom Cleaners</t>
  </si>
  <si>
    <t>Bathroom Cleaners_10-15</t>
  </si>
  <si>
    <t>Bathroom Cleaners_15-20</t>
  </si>
  <si>
    <t>Bathroom Cleaners_20-25</t>
  </si>
  <si>
    <t>Bathroom Cleaners_25+</t>
  </si>
  <si>
    <t>Bathroom Cleaners_5-10</t>
  </si>
  <si>
    <t>Bathroom Cleaners_Unknown</t>
  </si>
  <si>
    <t>Cleaning Materials_0-5</t>
  </si>
  <si>
    <t>Cleaning Materials</t>
  </si>
  <si>
    <t>Cleaning Materials_10-15</t>
  </si>
  <si>
    <t>Cleaning Materials_15-20</t>
  </si>
  <si>
    <t>Cleaning Materials_20-25</t>
  </si>
  <si>
    <t>Cleaning Materials_25+</t>
  </si>
  <si>
    <t>Cleaning Materials_5-10</t>
  </si>
  <si>
    <t>Cleaning Materials_Unknown</t>
  </si>
  <si>
    <t>Dish Cleaners_0-5</t>
  </si>
  <si>
    <t>Dish Cleaners</t>
  </si>
  <si>
    <t>Dish Cleaners_10-15</t>
  </si>
  <si>
    <t>Dish Cleaners_15-20</t>
  </si>
  <si>
    <t>Dish Cleaners_20-25</t>
  </si>
  <si>
    <t>Dish Cleaners_25+</t>
  </si>
  <si>
    <t>Dish Cleaners_5-10</t>
  </si>
  <si>
    <t>Dish Cleaners_Unknown</t>
  </si>
  <si>
    <t>Pesticides_0-5</t>
  </si>
  <si>
    <t>Pesticides</t>
  </si>
  <si>
    <t>Pesticides_10-15</t>
  </si>
  <si>
    <t>Pesticides_15-20</t>
  </si>
  <si>
    <t>Pesticides_25+</t>
  </si>
  <si>
    <t>Pesticides_5-10</t>
  </si>
  <si>
    <t>Pesticides_Unknown</t>
  </si>
  <si>
    <t>Shoe Care_25+</t>
  </si>
  <si>
    <t>Shoe Care</t>
  </si>
  <si>
    <t>Shoe Care_Unknown</t>
  </si>
  <si>
    <t>Surface Cleaners_0-5</t>
  </si>
  <si>
    <t>Surface Cleaners</t>
  </si>
  <si>
    <t>Surface Cleaners_10-15</t>
  </si>
  <si>
    <t>Surface Cleaners_15-20</t>
  </si>
  <si>
    <t>Surface Cleaners_20-25</t>
  </si>
  <si>
    <t>Surface Cleaners_25+</t>
  </si>
  <si>
    <t>Surface Cleaners_5-10</t>
  </si>
  <si>
    <t>Surface Cleaners_Unknown</t>
  </si>
  <si>
    <t>Coffee &amp; Tea_0-5</t>
  </si>
  <si>
    <t>Creamers &amp; Milk_0-5</t>
  </si>
  <si>
    <t>Coffee &amp; Tea_15-20</t>
  </si>
  <si>
    <t>Creamers &amp; Milk_15-20</t>
  </si>
  <si>
    <t>Coffee &amp; Tea_20-25</t>
  </si>
  <si>
    <t>Creamers &amp; Milk_20-25</t>
  </si>
  <si>
    <t>Coffee &amp; Tea_25+</t>
  </si>
  <si>
    <t>Creamers &amp; Milk_25+</t>
  </si>
  <si>
    <t>Coffee &amp; Tea_5-10</t>
  </si>
  <si>
    <t>Creamers &amp; Milk_5-10</t>
  </si>
  <si>
    <t>Coffee &amp; Tea_Unknown</t>
  </si>
  <si>
    <t>Creamers &amp; Milk_Unknown</t>
  </si>
  <si>
    <t>Grounded &amp; Roasted Beans_0-5</t>
  </si>
  <si>
    <t>Grounded &amp; Roasted Beans</t>
  </si>
  <si>
    <t>Coffee &amp; Tea_10-15</t>
  </si>
  <si>
    <t>Grounded &amp; Roasted Beans_10-15</t>
  </si>
  <si>
    <t>Grounded &amp; Roasted Beans_15-20</t>
  </si>
  <si>
    <t>Grounded &amp; Roasted Beans_20-25</t>
  </si>
  <si>
    <t>Grounded &amp; Roasted Beans_25+</t>
  </si>
  <si>
    <t>Grounded &amp; Roasted Beans_Unknown</t>
  </si>
  <si>
    <t>Herbal Organic Tea_Unknown</t>
  </si>
  <si>
    <t>Herbal Organic Tea</t>
  </si>
  <si>
    <t>Infusion &amp; Herbal_0-5</t>
  </si>
  <si>
    <t>Infusion &amp; Herbal</t>
  </si>
  <si>
    <t>Infusion &amp; Herbal_10-15</t>
  </si>
  <si>
    <t>Infusion &amp; Herbal_15-20</t>
  </si>
  <si>
    <t>Infusion &amp; Herbal_20-25</t>
  </si>
  <si>
    <t>Infusion &amp; Herbal_25+</t>
  </si>
  <si>
    <t>Infusion &amp; Herbal_5-10</t>
  </si>
  <si>
    <t>Infusion &amp; Herbal_Unknown</t>
  </si>
  <si>
    <t>Instant Coffee &amp; Sachets_0-5</t>
  </si>
  <si>
    <t>Instant Coffee &amp; Sachets_10-15</t>
  </si>
  <si>
    <t>Instant Coffee &amp; Sachets_15-20</t>
  </si>
  <si>
    <t>Instant Coffee &amp; Sachets_20-25</t>
  </si>
  <si>
    <t>Instant Coffee &amp; Sachets_25+</t>
  </si>
  <si>
    <t>Instant Coffee &amp; Sachets_5-10</t>
  </si>
  <si>
    <t>Instant Coffee &amp; Sachets_Unknown</t>
  </si>
  <si>
    <t>Pods &amp; Capsules_10-15</t>
  </si>
  <si>
    <t>Pods &amp; Capsules_15-20</t>
  </si>
  <si>
    <t>Pods &amp; Capsules_20-25</t>
  </si>
  <si>
    <t>Pods &amp; Capsules_25+</t>
  </si>
  <si>
    <t>Pods &amp; Capsules_Unknown</t>
  </si>
  <si>
    <t>Powdered Drinks_10-15</t>
  </si>
  <si>
    <t>Powdered Drinks</t>
  </si>
  <si>
    <t>Powdered Drinks_15-20</t>
  </si>
  <si>
    <t>Powdered Drinks_20-25</t>
  </si>
  <si>
    <t>Powdered Drinks_25+</t>
  </si>
  <si>
    <t>Powdered Drinks_5-10</t>
  </si>
  <si>
    <t>Powdered Drinks_Unknown</t>
  </si>
  <si>
    <t>Tea_0-5</t>
  </si>
  <si>
    <t>Tea_10-15</t>
  </si>
  <si>
    <t>Tea_15-20</t>
  </si>
  <si>
    <t>Tea_20-25</t>
  </si>
  <si>
    <t>Tea_25+</t>
  </si>
  <si>
    <t>Tea_5-10</t>
  </si>
  <si>
    <t>Tea_Unknown</t>
  </si>
  <si>
    <t>Computer Accessories_25+</t>
  </si>
  <si>
    <t>Data Cables_25+</t>
  </si>
  <si>
    <t>Computer Accessories</t>
  </si>
  <si>
    <t>Data Cables</t>
  </si>
  <si>
    <t>Input Devices_25+</t>
  </si>
  <si>
    <t>Input Devices</t>
  </si>
  <si>
    <t>Keyboards &amp; Mouse_25+</t>
  </si>
  <si>
    <t>Keyboards &amp; Mouse</t>
  </si>
  <si>
    <t>Computer Accessories_Unknown</t>
  </si>
  <si>
    <t>Keyboards &amp; Mouse_Unknown</t>
  </si>
  <si>
    <t>Computer Accessories_20-25</t>
  </si>
  <si>
    <t>Mounts &amp; Holders_20-25</t>
  </si>
  <si>
    <t>Mounts &amp; Holders</t>
  </si>
  <si>
    <t>Mounts &amp; Holders_25+</t>
  </si>
  <si>
    <t>Mounts &amp; Holders_Unknown</t>
  </si>
  <si>
    <t>Power Adapter_Unknown</t>
  </si>
  <si>
    <t>Power Adapter</t>
  </si>
  <si>
    <t>Condiments_0-5</t>
  </si>
  <si>
    <t>Condiments_10-15</t>
  </si>
  <si>
    <t>Cooking Mixes_10-15</t>
  </si>
  <si>
    <t>Condiments_15-20</t>
  </si>
  <si>
    <t>Condiments_20-25</t>
  </si>
  <si>
    <t>Condiments_25+</t>
  </si>
  <si>
    <t>Cooking Mixes_25+</t>
  </si>
  <si>
    <t>Condiments_5-10</t>
  </si>
  <si>
    <t>Condiments_Unknown</t>
  </si>
  <si>
    <t>Dressings_0-5</t>
  </si>
  <si>
    <t>Dressings_10-15</t>
  </si>
  <si>
    <t>Dressings_15-20</t>
  </si>
  <si>
    <t>Dressings_20-25</t>
  </si>
  <si>
    <t>Dressings_5-10</t>
  </si>
  <si>
    <t>Dressings_Unknown</t>
  </si>
  <si>
    <t>Hot Sauce_0-5</t>
  </si>
  <si>
    <t>Hot Sauce_10-15</t>
  </si>
  <si>
    <t>Hot Sauce_15-20</t>
  </si>
  <si>
    <t>Hot Sauce_20-25</t>
  </si>
  <si>
    <t>Hot Sauce_5-10</t>
  </si>
  <si>
    <t>Hot Sauce_Unknown</t>
  </si>
  <si>
    <t>Ketchup_0-5</t>
  </si>
  <si>
    <t>Ketchup</t>
  </si>
  <si>
    <t>Ketchup_10-15</t>
  </si>
  <si>
    <t>Ketchup_15-20</t>
  </si>
  <si>
    <t>Ketchup_20-25</t>
  </si>
  <si>
    <t>Ketchup_25+</t>
  </si>
  <si>
    <t>Ketchup_5-10</t>
  </si>
  <si>
    <t>Ketchup_Unknown</t>
  </si>
  <si>
    <t>Mayo &amp; Mustard_0-5</t>
  </si>
  <si>
    <t>Mayo &amp; Mustard_10-15</t>
  </si>
  <si>
    <t>Mayo &amp; Mustard_15-20</t>
  </si>
  <si>
    <t>Mayo &amp; Mustard_20-25</t>
  </si>
  <si>
    <t>Mayo &amp; Mustard_25+</t>
  </si>
  <si>
    <t>Mayo &amp; Mustard_5-10</t>
  </si>
  <si>
    <t>Mayo &amp; Mustard_Unknown</t>
  </si>
  <si>
    <t>Paste &amp; Sauces_0-5</t>
  </si>
  <si>
    <t>Paste &amp; Sauces_10-15</t>
  </si>
  <si>
    <t>Paste &amp; Sauces_15-20</t>
  </si>
  <si>
    <t>Paste &amp; Sauces_20-25</t>
  </si>
  <si>
    <t>Paste &amp; Sauces_25+</t>
  </si>
  <si>
    <t>Paste &amp; Sauces_5-10</t>
  </si>
  <si>
    <t>Paste &amp; Sauces_Unknown</t>
  </si>
  <si>
    <t>Vinegar_0-5</t>
  </si>
  <si>
    <t>Vinegar</t>
  </si>
  <si>
    <t>Vinegar_10-15</t>
  </si>
  <si>
    <t>Vinegar_15-20</t>
  </si>
  <si>
    <t>Vinegar_20-25</t>
  </si>
  <si>
    <t>Vinegar_25+</t>
  </si>
  <si>
    <t>Vinegar_5-10</t>
  </si>
  <si>
    <t>Vinegar_Unknown</t>
  </si>
  <si>
    <t>Cow_Unknown</t>
  </si>
  <si>
    <t>Beef_Unknown</t>
  </si>
  <si>
    <t>Cow</t>
  </si>
  <si>
    <t>Beef</t>
  </si>
  <si>
    <t>Deli Counter_10-15</t>
  </si>
  <si>
    <t>Cheese_10-15</t>
  </si>
  <si>
    <t>Deli Counter</t>
  </si>
  <si>
    <t>Cheese</t>
  </si>
  <si>
    <t>Deli Counter_15-20</t>
  </si>
  <si>
    <t>Cheese_15-20</t>
  </si>
  <si>
    <t>Deli Counter_20-25</t>
  </si>
  <si>
    <t>Cheese_20-25</t>
  </si>
  <si>
    <t>Deli Counter_25+</t>
  </si>
  <si>
    <t>Cheese_25+</t>
  </si>
  <si>
    <t>Deli Counter_5-10</t>
  </si>
  <si>
    <t>Cheese_5-10</t>
  </si>
  <si>
    <t>Deli Counter_Unknown</t>
  </si>
  <si>
    <t>Cheese_Unknown</t>
  </si>
  <si>
    <t>Cold Cuts_10-15</t>
  </si>
  <si>
    <t>Cold Cuts</t>
  </si>
  <si>
    <t>Cold Cuts_15-20</t>
  </si>
  <si>
    <t>Cold Cuts_20-25</t>
  </si>
  <si>
    <t>Cold Cuts_25+</t>
  </si>
  <si>
    <t>Cold Cuts_5-10</t>
  </si>
  <si>
    <t>Cold Cuts_Unknown</t>
  </si>
  <si>
    <t>Olives &amp; Antipasti_10-15</t>
  </si>
  <si>
    <t>Olives &amp; Antipasti</t>
  </si>
  <si>
    <t>Olives &amp; Antipasti_15-20</t>
  </si>
  <si>
    <t>Olives &amp; Antipasti_20-25</t>
  </si>
  <si>
    <t>Olives &amp; Antipasti_Unknown</t>
  </si>
  <si>
    <t>Spreads_10-15</t>
  </si>
  <si>
    <t>Spreads</t>
  </si>
  <si>
    <t>Spreads_15-20</t>
  </si>
  <si>
    <t>Spreads_25+</t>
  </si>
  <si>
    <t>Spreads_Unknown</t>
  </si>
  <si>
    <t>Disposables_10-15</t>
  </si>
  <si>
    <t>Foils &amp; Wraps_10-15</t>
  </si>
  <si>
    <t>Foils &amp; Wraps</t>
  </si>
  <si>
    <t>Disposables_15-20</t>
  </si>
  <si>
    <t>Foils &amp; Wraps_15-20</t>
  </si>
  <si>
    <t>Disposables_20-25</t>
  </si>
  <si>
    <t>Foils &amp; Wraps_20-25</t>
  </si>
  <si>
    <t>Disposables_25+</t>
  </si>
  <si>
    <t>Foils &amp; Wraps_25+</t>
  </si>
  <si>
    <t>Disposables_5-10</t>
  </si>
  <si>
    <t>Foils &amp; Wraps_5-10</t>
  </si>
  <si>
    <t>Disposables_Unknown</t>
  </si>
  <si>
    <t>Foils &amp; Wraps_Unknown</t>
  </si>
  <si>
    <t>Disposables_0-5</t>
  </si>
  <si>
    <t>Storage &amp; Containers_0-5</t>
  </si>
  <si>
    <t>Storage &amp; Containers</t>
  </si>
  <si>
    <t>Storage &amp; Containers_10-15</t>
  </si>
  <si>
    <t>Storage &amp; Containers_15-20</t>
  </si>
  <si>
    <t>Storage &amp; Containers_20-25</t>
  </si>
  <si>
    <t>Storage &amp; Containers_25+</t>
  </si>
  <si>
    <t>Storage &amp; Containers_5-10</t>
  </si>
  <si>
    <t>Storage &amp; Containers_Unknown</t>
  </si>
  <si>
    <t>Tableware_0-5</t>
  </si>
  <si>
    <t>Tableware_10-15</t>
  </si>
  <si>
    <t>Tableware_15-20</t>
  </si>
  <si>
    <t>Tableware_20-25</t>
  </si>
  <si>
    <t>Tableware_25+</t>
  </si>
  <si>
    <t>Tableware_5-10</t>
  </si>
  <si>
    <t>Tableware_Unknown</t>
  </si>
  <si>
    <t>Trash Bags_0-5</t>
  </si>
  <si>
    <t>Trash Bags</t>
  </si>
  <si>
    <t>Trash Bags_10-15</t>
  </si>
  <si>
    <t>Trash Bags_15-20</t>
  </si>
  <si>
    <t>Trash Bags_20-25</t>
  </si>
  <si>
    <t>Trash Bags_25+</t>
  </si>
  <si>
    <t>Trash Bags_5-10</t>
  </si>
  <si>
    <t>Trash Bags_Unknown</t>
  </si>
  <si>
    <t>Eggs_0-5</t>
  </si>
  <si>
    <t>Brown_0-5</t>
  </si>
  <si>
    <t>Eggs_10-15</t>
  </si>
  <si>
    <t>Brown_10-15</t>
  </si>
  <si>
    <t>Eggs_15-20</t>
  </si>
  <si>
    <t>Brown_15-20</t>
  </si>
  <si>
    <t>Eggs_25+</t>
  </si>
  <si>
    <t>Brown_25+</t>
  </si>
  <si>
    <t>Eggs_5-10</t>
  </si>
  <si>
    <t>Brown_5-10</t>
  </si>
  <si>
    <t>Eggs_Unknown</t>
  </si>
  <si>
    <t>Brown_Unknown</t>
  </si>
  <si>
    <t>Eggs_20-25</t>
  </si>
  <si>
    <t>Organic_20-25</t>
  </si>
  <si>
    <t>Organic_25+</t>
  </si>
  <si>
    <t>Organic_Unknown</t>
  </si>
  <si>
    <t>White_10-15</t>
  </si>
  <si>
    <t>White_15-20</t>
  </si>
  <si>
    <t>White_20-25</t>
  </si>
  <si>
    <t>White_25+</t>
  </si>
  <si>
    <t>White_5-10</t>
  </si>
  <si>
    <t>White_Unknown</t>
  </si>
  <si>
    <t>Electronics_Unknown</t>
  </si>
  <si>
    <t>Electronics</t>
  </si>
  <si>
    <t>Electronics_25+</t>
  </si>
  <si>
    <t>Cases and Covers_25+</t>
  </si>
  <si>
    <t>Cases and Covers</t>
  </si>
  <si>
    <t>Fresh Flowers &amp; Plants_20-25</t>
  </si>
  <si>
    <t>Bouquets &amp; Gifts_20-25</t>
  </si>
  <si>
    <t>Fresh Flowers &amp; Plants_25+</t>
  </si>
  <si>
    <t>Bouquets &amp; Gifts_25+</t>
  </si>
  <si>
    <t>Fresh Flowers &amp; Plants_Unknown</t>
  </si>
  <si>
    <t>Bouquets &amp; Gifts_Unknown</t>
  </si>
  <si>
    <t>Fresh Flowers &amp; Plants_0-5</t>
  </si>
  <si>
    <t>Festive &amp; Religious_0-5</t>
  </si>
  <si>
    <t>Fresh Flowers &amp; Plants_5-10</t>
  </si>
  <si>
    <t>Festive &amp; Religious_5-10</t>
  </si>
  <si>
    <t>Plant_Unknown</t>
  </si>
  <si>
    <t>Plant</t>
  </si>
  <si>
    <t>Seasonal Occasions_25+</t>
  </si>
  <si>
    <t>Seasonal Occasions</t>
  </si>
  <si>
    <t>Seasonal Occasions_Unknown</t>
  </si>
  <si>
    <t>Fresh Meat &amp; Seafood_10-15</t>
  </si>
  <si>
    <t>Beef_10-15</t>
  </si>
  <si>
    <t>Fresh Meat &amp; Seafood_15-20</t>
  </si>
  <si>
    <t>Beef_15-20</t>
  </si>
  <si>
    <t>Fresh Meat &amp; Seafood_20-25</t>
  </si>
  <si>
    <t>Beef_20-25</t>
  </si>
  <si>
    <t>Fresh Meat &amp; Seafood_25+</t>
  </si>
  <si>
    <t>Beef_25+</t>
  </si>
  <si>
    <t>Fresh Meat &amp; Seafood_5-10</t>
  </si>
  <si>
    <t>Beef_5-10</t>
  </si>
  <si>
    <t>Fresh Meat &amp; Seafood_Unknown</t>
  </si>
  <si>
    <t>Chicken_10-15</t>
  </si>
  <si>
    <t>Chicken_15-20</t>
  </si>
  <si>
    <t>Chicken_20-25</t>
  </si>
  <si>
    <t>Chicken_25+</t>
  </si>
  <si>
    <t>Chicken_5-10</t>
  </si>
  <si>
    <t>Chicken_Unknown</t>
  </si>
  <si>
    <t>Cold Cuts &amp; Meat Snacks_25+</t>
  </si>
  <si>
    <t>Cold Cuts &amp; Meat Snacks</t>
  </si>
  <si>
    <t>Cold Cuts &amp; Meat Snacks_Unknown</t>
  </si>
  <si>
    <t>Lamb &amp; Goat_10-15</t>
  </si>
  <si>
    <t>Lamb &amp; Goat_20-25</t>
  </si>
  <si>
    <t>Lamb &amp; Goat_25+</t>
  </si>
  <si>
    <t>Lamb &amp; Goat_Unknown</t>
  </si>
  <si>
    <t>Sausages &amp; Burgers_20-25</t>
  </si>
  <si>
    <t>Sausages &amp; Burgers</t>
  </si>
  <si>
    <t>Sausages &amp; Burgers_Unknown</t>
  </si>
  <si>
    <t>Seafood_10-15</t>
  </si>
  <si>
    <t>Seafood_15-20</t>
  </si>
  <si>
    <t>Seafood_20-25</t>
  </si>
  <si>
    <t>Seafood_25+</t>
  </si>
  <si>
    <t>Seafood_5-10</t>
  </si>
  <si>
    <t>Seafood_Unknown</t>
  </si>
  <si>
    <t>Frozen_10-15</t>
  </si>
  <si>
    <t>Breaded_10-15</t>
  </si>
  <si>
    <t>Breaded</t>
  </si>
  <si>
    <t>Frozen_15-20</t>
  </si>
  <si>
    <t>Breaded_15-20</t>
  </si>
  <si>
    <t>Frozen_20-25</t>
  </si>
  <si>
    <t>Breaded_20-25</t>
  </si>
  <si>
    <t>Frozen_25+</t>
  </si>
  <si>
    <t>Breaded_25+</t>
  </si>
  <si>
    <t>Frozen_Unknown</t>
  </si>
  <si>
    <t>Breaded_Unknown</t>
  </si>
  <si>
    <t>Frozen_0-5</t>
  </si>
  <si>
    <t>Breads &amp; Bakes_0-5</t>
  </si>
  <si>
    <t>Breads &amp; Bakes_10-15</t>
  </si>
  <si>
    <t>Breads &amp; Bakes_15-20</t>
  </si>
  <si>
    <t>Breads &amp; Bakes_20-25</t>
  </si>
  <si>
    <t>Frozen_5-10</t>
  </si>
  <si>
    <t>Breads &amp; Bakes_5-10</t>
  </si>
  <si>
    <t>Breads &amp; Bakes_Unknown</t>
  </si>
  <si>
    <t>Burgers &amp; Sausage_0-5</t>
  </si>
  <si>
    <t>Burgers &amp; Sausage_10-15</t>
  </si>
  <si>
    <t>Burgers &amp; Sausage_15-20</t>
  </si>
  <si>
    <t>Burgers &amp; Sausage_20-25</t>
  </si>
  <si>
    <t>Burgers &amp; Sausage_25+</t>
  </si>
  <si>
    <t>Burgers &amp; Sausage_5-10</t>
  </si>
  <si>
    <t>Burgers &amp; Sausage_Unknown</t>
  </si>
  <si>
    <t>Chicken &amp; Meat_0-5</t>
  </si>
  <si>
    <t>Chicken &amp; Meat_10-15</t>
  </si>
  <si>
    <t>Chicken &amp; Meat_15-20</t>
  </si>
  <si>
    <t>Chicken &amp; Meat_20-25</t>
  </si>
  <si>
    <t>Chicken &amp; Meat_25+</t>
  </si>
  <si>
    <t>Chicken &amp; Meat_5-10</t>
  </si>
  <si>
    <t>Chicken &amp; Meat_Unknown</t>
  </si>
  <si>
    <t>Desserts Corner_10-15</t>
  </si>
  <si>
    <t>Desserts Corner_15-20</t>
  </si>
  <si>
    <t>Desserts Corner_20-25</t>
  </si>
  <si>
    <t>Desserts Corner_25+</t>
  </si>
  <si>
    <t>Desserts Corner_5-10</t>
  </si>
  <si>
    <t>Desserts Corner_Unknown</t>
  </si>
  <si>
    <t>Fries &amp; Sides_0-5</t>
  </si>
  <si>
    <t>Fries &amp; Sides_10-15</t>
  </si>
  <si>
    <t>Fries &amp; Sides_15-20</t>
  </si>
  <si>
    <t>Fries &amp; Sides_20-25</t>
  </si>
  <si>
    <t>Fries &amp; Sides_25+</t>
  </si>
  <si>
    <t>Fries &amp; Sides_5-10</t>
  </si>
  <si>
    <t>Fries &amp; Sides_Unknown</t>
  </si>
  <si>
    <t>Fruits &amp; Veggies_0-5</t>
  </si>
  <si>
    <t>Fruits &amp; Veggies_10-15</t>
  </si>
  <si>
    <t>Fruits &amp; Veggies_15-20</t>
  </si>
  <si>
    <t>Fruits &amp; Veggies_20-25</t>
  </si>
  <si>
    <t>Fruits &amp; Veggies_25+</t>
  </si>
  <si>
    <t>Fruits &amp; Veggies_5-10</t>
  </si>
  <si>
    <t>Fruits &amp; Veggies_Unknown</t>
  </si>
  <si>
    <t>Ready Meals &amp; Pastries_0-5</t>
  </si>
  <si>
    <t>Ready Meals &amp; Pastries</t>
  </si>
  <si>
    <t>Ready Meals &amp; Pastries_10-15</t>
  </si>
  <si>
    <t>Ready Meals &amp; Pastries_15-20</t>
  </si>
  <si>
    <t>Ready Meals &amp; Pastries_20-25</t>
  </si>
  <si>
    <t>Ready Meals &amp; Pastries_25+</t>
  </si>
  <si>
    <t>Ready Meals &amp; Pastries_5-10</t>
  </si>
  <si>
    <t>Ready Meals &amp; Pastries_Unknown</t>
  </si>
  <si>
    <t>Seafood &amp; Fish_10-15</t>
  </si>
  <si>
    <t>Seafood &amp; Fish</t>
  </si>
  <si>
    <t>Seafood &amp; Fish_15-20</t>
  </si>
  <si>
    <t>Seafood &amp; Fish_20-25</t>
  </si>
  <si>
    <t>Seafood &amp; Fish_25+</t>
  </si>
  <si>
    <t>Seafood &amp; Fish_5-10</t>
  </si>
  <si>
    <t>Seafood &amp; Fish_Unknown</t>
  </si>
  <si>
    <t>Vegan_15-20</t>
  </si>
  <si>
    <t>Vegan</t>
  </si>
  <si>
    <t>Vegan_20-25</t>
  </si>
  <si>
    <t>Vegan_25+</t>
  </si>
  <si>
    <t>Vegan_Unknown</t>
  </si>
  <si>
    <t>Frozen | Ready to Eat_Unknown</t>
  </si>
  <si>
    <t>Breads &amp; Bakes | Frozen_Unknown</t>
  </si>
  <si>
    <t>Frozen | Ready to Eat</t>
  </si>
  <si>
    <t>Breads &amp; Bakes | Frozen</t>
  </si>
  <si>
    <t>Fruits &amp; Vegetables_0-5</t>
  </si>
  <si>
    <t>Cut Fruits &amp; Vegetables_0-5</t>
  </si>
  <si>
    <t>Cut Fruits &amp; Vegetables</t>
  </si>
  <si>
    <t>Fruits &amp; Vegetables_10-15</t>
  </si>
  <si>
    <t>Cut Fruits &amp; Vegetables_10-15</t>
  </si>
  <si>
    <t>Fruits &amp; Vegetables_15-20</t>
  </si>
  <si>
    <t>Cut Fruits &amp; Vegetables_15-20</t>
  </si>
  <si>
    <t>Fruits &amp; Vegetables_5-10</t>
  </si>
  <si>
    <t>Cut Fruits &amp; Vegetables_5-10</t>
  </si>
  <si>
    <t>Fruits &amp; Vegetables_Unknown</t>
  </si>
  <si>
    <t>Cut Fruits &amp; Vegetables_Unknown</t>
  </si>
  <si>
    <t>Dates &amp; Dried Fruits_10-15</t>
  </si>
  <si>
    <t>Fruits &amp; Vegetables_25+</t>
  </si>
  <si>
    <t>Dates &amp; Dried Fruits_25+</t>
  </si>
  <si>
    <t>Dates &amp; Dried Fruits_Unknown</t>
  </si>
  <si>
    <t>Fruits_0-5</t>
  </si>
  <si>
    <t>Fruits</t>
  </si>
  <si>
    <t>Fruits_10-15</t>
  </si>
  <si>
    <t>Fruits_15-20</t>
  </si>
  <si>
    <t>Fruits &amp; Vegetables_20-25</t>
  </si>
  <si>
    <t>Fruits_20-25</t>
  </si>
  <si>
    <t>Fruits_25+</t>
  </si>
  <si>
    <t>Fruits_5-10</t>
  </si>
  <si>
    <t>Fruits_Unknown</t>
  </si>
  <si>
    <t>Herbs_0-5</t>
  </si>
  <si>
    <t>Herbs</t>
  </si>
  <si>
    <t>Herbs_5-10</t>
  </si>
  <si>
    <t>Herbs_Unknown</t>
  </si>
  <si>
    <t>Organic Fruits &amp; Vegetables_0-5</t>
  </si>
  <si>
    <t>Organic Fruits &amp; Vegetables_10-15</t>
  </si>
  <si>
    <t>Organic Fruits &amp; Vegetables_15-20</t>
  </si>
  <si>
    <t>Organic Fruits &amp; Vegetables_20-25</t>
  </si>
  <si>
    <t>Organic Fruits &amp; Vegetables_25+</t>
  </si>
  <si>
    <t>Organic Fruits &amp; Vegetables_5-10</t>
  </si>
  <si>
    <t>Organic Fruits &amp; Vegetables_Unknown</t>
  </si>
  <si>
    <t>Vegetables_0-5</t>
  </si>
  <si>
    <t>Vegetables_10-15</t>
  </si>
  <si>
    <t>Vegetables_15-20</t>
  </si>
  <si>
    <t>Vegetables_20-25</t>
  </si>
  <si>
    <t>Vegetables_25+</t>
  </si>
  <si>
    <t>Vegetables_5-10</t>
  </si>
  <si>
    <t>Vegetables_Unknown</t>
  </si>
  <si>
    <t>Gaming_25+</t>
  </si>
  <si>
    <t>Gaming</t>
  </si>
  <si>
    <t>Gaming_Unknown</t>
  </si>
  <si>
    <t>Consoles_25+</t>
  </si>
  <si>
    <t>Consoles</t>
  </si>
  <si>
    <t>Consoles_Unknown</t>
  </si>
  <si>
    <t>Controllers_25+</t>
  </si>
  <si>
    <t>Controllers</t>
  </si>
  <si>
    <t>Controllers_Unknown</t>
  </si>
  <si>
    <t>Games_25+</t>
  </si>
  <si>
    <t>Games</t>
  </si>
  <si>
    <t>Games_Unknown</t>
  </si>
  <si>
    <t>Gold_25+</t>
  </si>
  <si>
    <t>Diamond Jewelry_25+</t>
  </si>
  <si>
    <t>Gold</t>
  </si>
  <si>
    <t>Diamond Jewelry</t>
  </si>
  <si>
    <t>Gold_Unknown</t>
  </si>
  <si>
    <t>Diamond Jewelry_Unknown</t>
  </si>
  <si>
    <t>Gold_0-5</t>
  </si>
  <si>
    <t>Gold Bars_0-5</t>
  </si>
  <si>
    <t>Gold Bars</t>
  </si>
  <si>
    <t>Gold Bars_25+</t>
  </si>
  <si>
    <t>Gold Bars_Unknown</t>
  </si>
  <si>
    <t>Silver_25+</t>
  </si>
  <si>
    <t>Silver</t>
  </si>
  <si>
    <t>Silver_Unknown</t>
  </si>
  <si>
    <t>Headsets_15-20</t>
  </si>
  <si>
    <t>Headphones_15-20</t>
  </si>
  <si>
    <t>Headsets</t>
  </si>
  <si>
    <t>Headphones</t>
  </si>
  <si>
    <t>Headsets_25+</t>
  </si>
  <si>
    <t>Headphones_25+</t>
  </si>
  <si>
    <t>Headsets_Unknown</t>
  </si>
  <si>
    <t>Headphones_Unknown</t>
  </si>
  <si>
    <t>Health &amp; Wellness_25+</t>
  </si>
  <si>
    <t>Adult Diapers_25+</t>
  </si>
  <si>
    <t>Adult Diapers</t>
  </si>
  <si>
    <t>Health &amp; Wellness_Unknown</t>
  </si>
  <si>
    <t>Adult Diapers_Unknown</t>
  </si>
  <si>
    <t>Health &amp; Wellness_10-15</t>
  </si>
  <si>
    <t>First Aid Kits_10-15</t>
  </si>
  <si>
    <t>First Aid Kits</t>
  </si>
  <si>
    <t>Health &amp; Wellness_15-20</t>
  </si>
  <si>
    <t>First Aid Kits_15-20</t>
  </si>
  <si>
    <t>Health &amp; Wellness_20-25</t>
  </si>
  <si>
    <t>First Aid Kits_20-25</t>
  </si>
  <si>
    <t>First Aid Kits_25+</t>
  </si>
  <si>
    <t>Health &amp; Wellness_5-10</t>
  </si>
  <si>
    <t>First Aid Kits_5-10</t>
  </si>
  <si>
    <t>First Aid Kits_Unknown</t>
  </si>
  <si>
    <t>Health &amp; Wellness_0-5</t>
  </si>
  <si>
    <t>Masks &amp; Gloves_0-5</t>
  </si>
  <si>
    <t>Masks &amp; Gloves_15-20</t>
  </si>
  <si>
    <t>Masks &amp; Gloves_20-25</t>
  </si>
  <si>
    <t>Masks &amp; Gloves_Unknown</t>
  </si>
  <si>
    <t>Pain Relief_10-15</t>
  </si>
  <si>
    <t>Pain Relief_15-20</t>
  </si>
  <si>
    <t>Pain Relief_20-25</t>
  </si>
  <si>
    <t>Pain Relief_25+</t>
  </si>
  <si>
    <t>Pain Relief_5-10</t>
  </si>
  <si>
    <t>Pain Relief_Unknown</t>
  </si>
  <si>
    <t>Smoking Alternatives_20-25</t>
  </si>
  <si>
    <t>Smoking Alternatives</t>
  </si>
  <si>
    <t>Smoking Alternatives_25+</t>
  </si>
  <si>
    <t>Tests &amp; Devices_15-20</t>
  </si>
  <si>
    <t>Tests &amp; Devices_25+</t>
  </si>
  <si>
    <t>Tests &amp; Devices_Unknown</t>
  </si>
  <si>
    <t>Vitamins &amp; Supplements_10-15</t>
  </si>
  <si>
    <t>Vitamins &amp; Supplements_15-20</t>
  </si>
  <si>
    <t>Vitamins &amp; Supplements_20-25</t>
  </si>
  <si>
    <t>Vitamins &amp; Supplements_25+</t>
  </si>
  <si>
    <t>Vitamins &amp; Supplements_Unknown</t>
  </si>
  <si>
    <t>Healthy Food_10-15</t>
  </si>
  <si>
    <t>Cereals, Oats &amp; Muesli_10-15</t>
  </si>
  <si>
    <t>Healthy Food</t>
  </si>
  <si>
    <t>Cereals, Oats &amp; Muesli</t>
  </si>
  <si>
    <t>Healthy Food_20-25</t>
  </si>
  <si>
    <t>Cereals, Oats &amp; Muesli_20-25</t>
  </si>
  <si>
    <t>Healthy Food_25+</t>
  </si>
  <si>
    <t>Cereals, Oats &amp; Muesli_25+</t>
  </si>
  <si>
    <t>Healthy Food_Unknown</t>
  </si>
  <si>
    <t>Cereals, Oats &amp; Muesli_Unknown</t>
  </si>
  <si>
    <t>Keto_Unknown</t>
  </si>
  <si>
    <t>Keto</t>
  </si>
  <si>
    <t>Healthy Food | Ice Cream_Unknown</t>
  </si>
  <si>
    <t>Guilt Free | Keto_Unknown</t>
  </si>
  <si>
    <t>Healthy Food | Ice Cream</t>
  </si>
  <si>
    <t>Guilt Free | Keto</t>
  </si>
  <si>
    <t>Home &amp; Outdoor_25+</t>
  </si>
  <si>
    <t>Air Fryer_25+</t>
  </si>
  <si>
    <t>Air Fryer</t>
  </si>
  <si>
    <t>Home &amp; Outdoor_Unknown</t>
  </si>
  <si>
    <t>Air Fryer_Unknown</t>
  </si>
  <si>
    <t>Air Purifier_25+</t>
  </si>
  <si>
    <t>Air Purifier</t>
  </si>
  <si>
    <t>Air Purifier_Unknown</t>
  </si>
  <si>
    <t>Home &amp; Outdoor_0-5</t>
  </si>
  <si>
    <t>BBQ_0-5</t>
  </si>
  <si>
    <t>Home &amp; Outdoor_10-15</t>
  </si>
  <si>
    <t>BBQ_10-15</t>
  </si>
  <si>
    <t>Home &amp; Outdoor_15-20</t>
  </si>
  <si>
    <t>BBQ_15-20</t>
  </si>
  <si>
    <t>Home &amp; Outdoor_20-25</t>
  </si>
  <si>
    <t>BBQ_20-25</t>
  </si>
  <si>
    <t>BBQ_25+</t>
  </si>
  <si>
    <t>Home &amp; Outdoor_5-10</t>
  </si>
  <si>
    <t>BBQ_5-10</t>
  </si>
  <si>
    <t>BBQ_Unknown</t>
  </si>
  <si>
    <t>Batteries_10-15</t>
  </si>
  <si>
    <t>Batteries</t>
  </si>
  <si>
    <t>Batteries_15-20</t>
  </si>
  <si>
    <t>Batteries_20-25</t>
  </si>
  <si>
    <t>Batteries_25+</t>
  </si>
  <si>
    <t>Batteries_5-10</t>
  </si>
  <si>
    <t>Batteries_Unknown</t>
  </si>
  <si>
    <t>Beach_10-15</t>
  </si>
  <si>
    <t>Beach_15-20</t>
  </si>
  <si>
    <t>Beach_20-25</t>
  </si>
  <si>
    <t>Beach_25+</t>
  </si>
  <si>
    <t>Beach_5-10</t>
  </si>
  <si>
    <t>Beach_Unknown</t>
  </si>
  <si>
    <t>Blenders, Mixers &amp; Food Processors_Unknown</t>
  </si>
  <si>
    <t>Blenders, Mixers &amp; Food Processors</t>
  </si>
  <si>
    <t>Car Care_0-5</t>
  </si>
  <si>
    <t>Car Care</t>
  </si>
  <si>
    <t>Car Care_10-15</t>
  </si>
  <si>
    <t>Car Care_15-20</t>
  </si>
  <si>
    <t>Car Care_20-25</t>
  </si>
  <si>
    <t>Car Care_25+</t>
  </si>
  <si>
    <t>Car Care_5-10</t>
  </si>
  <si>
    <t>Car Care_Unknown</t>
  </si>
  <si>
    <t>Diaries &amp; Notebooks_Unknown</t>
  </si>
  <si>
    <t>Diaries &amp; Notebooks</t>
  </si>
  <si>
    <t>Hajj Essentials_25+</t>
  </si>
  <si>
    <t>Hajj Essentials</t>
  </si>
  <si>
    <t>Hajj Essentials_Unknown</t>
  </si>
  <si>
    <t>Home Appliances_0-5</t>
  </si>
  <si>
    <t>Home Appliances</t>
  </si>
  <si>
    <t>Home Appliances_10-15</t>
  </si>
  <si>
    <t>Home Appliances_15-20</t>
  </si>
  <si>
    <t>Home Appliances_25+</t>
  </si>
  <si>
    <t>Home Appliances_Unknown</t>
  </si>
  <si>
    <t>Home Improvement_0-5</t>
  </si>
  <si>
    <t>Home Improvement_10-15</t>
  </si>
  <si>
    <t>Home Improvement_15-20</t>
  </si>
  <si>
    <t>Home Improvement_20-25</t>
  </si>
  <si>
    <t>Home Improvement_25+</t>
  </si>
  <si>
    <t>Home Improvement_5-10</t>
  </si>
  <si>
    <t>Home Improvement_Unknown</t>
  </si>
  <si>
    <t>Party_10-15</t>
  </si>
  <si>
    <t>Party</t>
  </si>
  <si>
    <t>Party_15-20</t>
  </si>
  <si>
    <t>Party_20-25</t>
  </si>
  <si>
    <t>Party_5-10</t>
  </si>
  <si>
    <t>Party_Unknown</t>
  </si>
  <si>
    <t>Seasonal Celebrations_0-5</t>
  </si>
  <si>
    <t>Seasonal Celebrations_10-15</t>
  </si>
  <si>
    <t>Seasonal Celebrations_15-20</t>
  </si>
  <si>
    <t>Seasonal Celebrations_20-25</t>
  </si>
  <si>
    <t>Seasonal Celebrations_25+</t>
  </si>
  <si>
    <t>Seasonal Celebrations_5-10</t>
  </si>
  <si>
    <t>Seasonal Celebrations_Unknown</t>
  </si>
  <si>
    <t>Travel Essentials_20-25</t>
  </si>
  <si>
    <t>Travel Essentials</t>
  </si>
  <si>
    <t>Travel Essentials_25+</t>
  </si>
  <si>
    <t>Travel Essentials_5-10</t>
  </si>
  <si>
    <t>Travel Essentials_Unknown</t>
  </si>
  <si>
    <t>Vacuum Cleaners_Unknown</t>
  </si>
  <si>
    <t>Vacuum Cleaners</t>
  </si>
  <si>
    <t>Home &amp; Outdoor | Stationery_Unknown</t>
  </si>
  <si>
    <t>Home &amp; Outdoor | Stationery</t>
  </si>
  <si>
    <t>Blenders, Mixers &amp; Food Processors_25+</t>
  </si>
  <si>
    <t>Vacuum Cleaners_25+</t>
  </si>
  <si>
    <t>Hygiene &amp; Personal Care_0-5</t>
  </si>
  <si>
    <t>Bath &amp; Shower_0-5</t>
  </si>
  <si>
    <t>Bath &amp; Shower</t>
  </si>
  <si>
    <t>Hygiene &amp; Personal Care_10-15</t>
  </si>
  <si>
    <t>Bath &amp; Shower_10-15</t>
  </si>
  <si>
    <t>Hygiene &amp; Personal Care_15-20</t>
  </si>
  <si>
    <t>Bath &amp; Shower_15-20</t>
  </si>
  <si>
    <t>Hygiene &amp; Personal Care_20-25</t>
  </si>
  <si>
    <t>Bath &amp; Shower_20-25</t>
  </si>
  <si>
    <t>Hygiene &amp; Personal Care_25+</t>
  </si>
  <si>
    <t>Bath &amp; Shower_25+</t>
  </si>
  <si>
    <t>Hygiene &amp; Personal Care_5-10</t>
  </si>
  <si>
    <t>Bath &amp; Shower_5-10</t>
  </si>
  <si>
    <t>Hygiene &amp; Personal Care_Unknown</t>
  </si>
  <si>
    <t>Bath &amp; Shower_Unknown</t>
  </si>
  <si>
    <t>Body &amp; Skin Care_0-5</t>
  </si>
  <si>
    <t>Body &amp; Skin Care_10-15</t>
  </si>
  <si>
    <t>Body &amp; Skin Care_15-20</t>
  </si>
  <si>
    <t>Body &amp; Skin Care_20-25</t>
  </si>
  <si>
    <t>Body &amp; Skin Care_25+</t>
  </si>
  <si>
    <t>Body &amp; Skin Care_5-10</t>
  </si>
  <si>
    <t>Body &amp; Skin Care_Unknown</t>
  </si>
  <si>
    <t>Cosmetics_0-5</t>
  </si>
  <si>
    <t>Cosmetics_10-15</t>
  </si>
  <si>
    <t>Cosmetics_15-20</t>
  </si>
  <si>
    <t>Cosmetics_20-25</t>
  </si>
  <si>
    <t>Cosmetics_25+</t>
  </si>
  <si>
    <t>Cosmetics_5-10</t>
  </si>
  <si>
    <t>Cosmetics_Unknown</t>
  </si>
  <si>
    <t>Deodorants &amp; Fragrances_10-15</t>
  </si>
  <si>
    <t>Deodorants &amp; Fragrances</t>
  </si>
  <si>
    <t>Deodorants &amp; Fragrances_15-20</t>
  </si>
  <si>
    <t>Deodorants &amp; Fragrances_20-25</t>
  </si>
  <si>
    <t>Deodorants &amp; Fragrances_25+</t>
  </si>
  <si>
    <t>Deodorants &amp; Fragrances_5-10</t>
  </si>
  <si>
    <t>Deodorants &amp; Fragrances_Unknown</t>
  </si>
  <si>
    <t>Feminine Care_0-5</t>
  </si>
  <si>
    <t>Feminine Care_10-15</t>
  </si>
  <si>
    <t>Feminine Care_15-20</t>
  </si>
  <si>
    <t>Feminine Care_20-25</t>
  </si>
  <si>
    <t>Feminine Care_25+</t>
  </si>
  <si>
    <t>Feminine Care_5-10</t>
  </si>
  <si>
    <t>Feminine Care_Unknown</t>
  </si>
  <si>
    <t>Hair Care_0-5</t>
  </si>
  <si>
    <t>Hair Care_10-15</t>
  </si>
  <si>
    <t>Hair Care_15-20</t>
  </si>
  <si>
    <t>Hair Care_20-25</t>
  </si>
  <si>
    <t>Hair Care_25+</t>
  </si>
  <si>
    <t>Hair Care_5-10</t>
  </si>
  <si>
    <t>Hair Care_Unknown</t>
  </si>
  <si>
    <t>Hand Wash_0-5</t>
  </si>
  <si>
    <t>Hand Wash</t>
  </si>
  <si>
    <t>Hand Wash_10-15</t>
  </si>
  <si>
    <t>Hand Wash_15-20</t>
  </si>
  <si>
    <t>Hand Wash_20-25</t>
  </si>
  <si>
    <t>Hand Wash_25+</t>
  </si>
  <si>
    <t>Hand Wash_5-10</t>
  </si>
  <si>
    <t>Hand Wash_Unknown</t>
  </si>
  <si>
    <t>Oral Care_0-5</t>
  </si>
  <si>
    <t>Oral Care_10-15</t>
  </si>
  <si>
    <t>Oral Care_15-20</t>
  </si>
  <si>
    <t>Oral Care_20-25</t>
  </si>
  <si>
    <t>Oral Care_25+</t>
  </si>
  <si>
    <t>Oral Care_5-10</t>
  </si>
  <si>
    <t>Oral Care_Unknown</t>
  </si>
  <si>
    <t>Shaving &amp; Hair Removal_10-15</t>
  </si>
  <si>
    <t>Shaving &amp; Hair Removal_15-20</t>
  </si>
  <si>
    <t>Shaving &amp; Hair Removal_20-25</t>
  </si>
  <si>
    <t>Shaving &amp; Hair Removal_25+</t>
  </si>
  <si>
    <t>Shaving &amp; Hair Removal_5-10</t>
  </si>
  <si>
    <t>Shaving &amp; Hair Removal_Unknown</t>
  </si>
  <si>
    <t>Ice Cream_0-5</t>
  </si>
  <si>
    <t>Bars &amp; Sandwiches_0-5</t>
  </si>
  <si>
    <t>Bars &amp; Sandwiches</t>
  </si>
  <si>
    <t>Ice Cream_10-15</t>
  </si>
  <si>
    <t>Bars &amp; Sandwiches_10-15</t>
  </si>
  <si>
    <t>Ice Cream_20-25</t>
  </si>
  <si>
    <t>Bars &amp; Sandwiches_20-25</t>
  </si>
  <si>
    <t>Ice Cream_25+</t>
  </si>
  <si>
    <t>Bars &amp; Sandwiches_25+</t>
  </si>
  <si>
    <t>Ice Cream_5-10</t>
  </si>
  <si>
    <t>Bars &amp; Sandwiches_5-10</t>
  </si>
  <si>
    <t>Ice Cream_Unknown</t>
  </si>
  <si>
    <t>Bars &amp; Sandwiches_Unknown</t>
  </si>
  <si>
    <t>Cups &amp; Tubs_0-5</t>
  </si>
  <si>
    <t>Cups &amp; Tubs_10-15</t>
  </si>
  <si>
    <t>Ice Cream_15-20</t>
  </si>
  <si>
    <t>Cups &amp; Tubs_15-20</t>
  </si>
  <si>
    <t>Cups &amp; Tubs_20-25</t>
  </si>
  <si>
    <t>Cups &amp; Tubs_25+</t>
  </si>
  <si>
    <t>Cups &amp; Tubs_5-10</t>
  </si>
  <si>
    <t>Cups &amp; Tubs_Unknown</t>
  </si>
  <si>
    <t>Guilt Free_10-15</t>
  </si>
  <si>
    <t>Guilt Free_15-20</t>
  </si>
  <si>
    <t>Guilt Free_20-25</t>
  </si>
  <si>
    <t>Guilt Free_25+</t>
  </si>
  <si>
    <t>Guilt Free_5-10</t>
  </si>
  <si>
    <t>Guilt Free_Unknown</t>
  </si>
  <si>
    <t>Mochis &amp; Bites_15-20</t>
  </si>
  <si>
    <t>Mochis &amp; Bites_25+</t>
  </si>
  <si>
    <t>Mochis &amp; Bites_Unknown</t>
  </si>
  <si>
    <t>Multipacks_10-15</t>
  </si>
  <si>
    <t>Multipacks</t>
  </si>
  <si>
    <t>Multipacks_15-20</t>
  </si>
  <si>
    <t>Multipacks_20-25</t>
  </si>
  <si>
    <t>Multipacks_25+</t>
  </si>
  <si>
    <t>Multipacks_5-10</t>
  </si>
  <si>
    <t>Multipacks_Unknown</t>
  </si>
  <si>
    <t>Sticks &amp; Cones_0-5</t>
  </si>
  <si>
    <t>Sticks &amp; Cones_10-15</t>
  </si>
  <si>
    <t>Sticks &amp; Cones_15-20</t>
  </si>
  <si>
    <t>Sticks &amp; Cones_20-25</t>
  </si>
  <si>
    <t>Sticks &amp; Cones_25+</t>
  </si>
  <si>
    <t>Sticks &amp; Cones_5-10</t>
  </si>
  <si>
    <t>Sticks &amp; Cones_Unknown</t>
  </si>
  <si>
    <t>Kitchenware_10-15</t>
  </si>
  <si>
    <t>Appliances_10-15</t>
  </si>
  <si>
    <t>Appliances</t>
  </si>
  <si>
    <t>Kitchenware_20-25</t>
  </si>
  <si>
    <t>Appliances_20-25</t>
  </si>
  <si>
    <t>Kitchenware_25+</t>
  </si>
  <si>
    <t>Appliances_25+</t>
  </si>
  <si>
    <t>Kitchenware_Unknown</t>
  </si>
  <si>
    <t>Appliances_Unknown</t>
  </si>
  <si>
    <t>Kitchenware_0-5</t>
  </si>
  <si>
    <t>Cookware_0-5</t>
  </si>
  <si>
    <t>Cookware_10-15</t>
  </si>
  <si>
    <t>Kitchenware_15-20</t>
  </si>
  <si>
    <t>Cookware_15-20</t>
  </si>
  <si>
    <t>Cookware_20-25</t>
  </si>
  <si>
    <t>Cookware_25+</t>
  </si>
  <si>
    <t>Kitchenware_5-10</t>
  </si>
  <si>
    <t>Cookware_5-10</t>
  </si>
  <si>
    <t>Cookware_Unknown</t>
  </si>
  <si>
    <t>Kitchen Accessories_15-20</t>
  </si>
  <si>
    <t>Kitchen Accessories_20-25</t>
  </si>
  <si>
    <t>Kitchen Accessories_Unknown</t>
  </si>
  <si>
    <t>Laptops_25+</t>
  </si>
  <si>
    <t>MacBook_25+</t>
  </si>
  <si>
    <t>Laptops</t>
  </si>
  <si>
    <t>MacBook</t>
  </si>
  <si>
    <t>Laundry_10-15</t>
  </si>
  <si>
    <t>Bleach &amp; Starch_10-15</t>
  </si>
  <si>
    <t>Laundry</t>
  </si>
  <si>
    <t>Bleach &amp; Starch</t>
  </si>
  <si>
    <t>Laundry_Unknown</t>
  </si>
  <si>
    <t>Bleach &amp; Starch_Unknown</t>
  </si>
  <si>
    <t>Detergent Liquid_10-15</t>
  </si>
  <si>
    <t>Detergent Liquid</t>
  </si>
  <si>
    <t>Laundry_15-20</t>
  </si>
  <si>
    <t>Detergent Liquid_15-20</t>
  </si>
  <si>
    <t>Laundry_20-25</t>
  </si>
  <si>
    <t>Detergent Liquid_20-25</t>
  </si>
  <si>
    <t>Laundry_25+</t>
  </si>
  <si>
    <t>Detergent Liquid_25+</t>
  </si>
  <si>
    <t>Detergent Liquid_Unknown</t>
  </si>
  <si>
    <t>Detergent Powder_10-15</t>
  </si>
  <si>
    <t>Detergent Powder</t>
  </si>
  <si>
    <t>Detergent Powder_15-20</t>
  </si>
  <si>
    <t>Detergent Powder_20-25</t>
  </si>
  <si>
    <t>Detergent Powder_25+</t>
  </si>
  <si>
    <t>Laundry_5-10</t>
  </si>
  <si>
    <t>Detergent Powder_5-10</t>
  </si>
  <si>
    <t>Detergent Powder_Unknown</t>
  </si>
  <si>
    <t>Detergent Tabs_15-20</t>
  </si>
  <si>
    <t>Detergent Tabs</t>
  </si>
  <si>
    <t>Detergent Tabs_25+</t>
  </si>
  <si>
    <t>Detergent Tabs_Unknown</t>
  </si>
  <si>
    <t>Fabric Softeners_10-15</t>
  </si>
  <si>
    <t>Fabric Softeners</t>
  </si>
  <si>
    <t>Fabric Softeners_15-20</t>
  </si>
  <si>
    <t>Fabric Softeners_20-25</t>
  </si>
  <si>
    <t>Fabric Softeners_25+</t>
  </si>
  <si>
    <t>Fabric Softeners_Unknown</t>
  </si>
  <si>
    <t>Stain Removers_10-15</t>
  </si>
  <si>
    <t>Stain Removers</t>
  </si>
  <si>
    <t>Stain Removers_15-20</t>
  </si>
  <si>
    <t>Stain Removers_20-25</t>
  </si>
  <si>
    <t>Stain Removers_25+</t>
  </si>
  <si>
    <t>Stain Removers_Unknown</t>
  </si>
  <si>
    <t>Milk &amp; Yogurt_0-5</t>
  </si>
  <si>
    <t>Dairy Free &amp; Organic Milk_0-5</t>
  </si>
  <si>
    <t>Milk &amp; Yogurt_10-15</t>
  </si>
  <si>
    <t>Dairy Free &amp; Organic Milk_10-15</t>
  </si>
  <si>
    <t>Milk &amp; Yogurt_15-20</t>
  </si>
  <si>
    <t>Dairy Free &amp; Organic Milk_15-20</t>
  </si>
  <si>
    <t>Milk &amp; Yogurt_20-25</t>
  </si>
  <si>
    <t>Dairy Free &amp; Organic Milk_20-25</t>
  </si>
  <si>
    <t>Milk &amp; Yogurt_25+</t>
  </si>
  <si>
    <t>Dairy Free &amp; Organic Milk_25+</t>
  </si>
  <si>
    <t>Milk &amp; Yogurt_5-10</t>
  </si>
  <si>
    <t>Dairy Free &amp; Organic Milk_5-10</t>
  </si>
  <si>
    <t>Milk &amp; Yogurt_Unknown</t>
  </si>
  <si>
    <t>Dairy Free &amp; Organic Milk_Unknown</t>
  </si>
  <si>
    <t>Desserts_0-5</t>
  </si>
  <si>
    <t>Desserts_10-15</t>
  </si>
  <si>
    <t>Desserts_15-20</t>
  </si>
  <si>
    <t>Desserts_5-10</t>
  </si>
  <si>
    <t>Desserts_Unknown</t>
  </si>
  <si>
    <t>Flavoured Milk_0-5</t>
  </si>
  <si>
    <t>Flavoured Milk</t>
  </si>
  <si>
    <t>Flavoured Milk_10-15</t>
  </si>
  <si>
    <t>Flavoured Milk_15-20</t>
  </si>
  <si>
    <t>Flavoured Milk_5-10</t>
  </si>
  <si>
    <t>Flavoured Milk_Unknown</t>
  </si>
  <si>
    <t>Flavoured Yoghurt_0-5</t>
  </si>
  <si>
    <t>Flavoured Yoghurt_10-15</t>
  </si>
  <si>
    <t>Flavoured Yoghurt_15-20</t>
  </si>
  <si>
    <t>Flavoured Yoghurt_25+</t>
  </si>
  <si>
    <t>Flavoured Yoghurt_5-10</t>
  </si>
  <si>
    <t>Flavoured Yoghurt_Unknown</t>
  </si>
  <si>
    <t>Fresh Milk_0-5</t>
  </si>
  <si>
    <t>Fresh Milk</t>
  </si>
  <si>
    <t>Fresh Milk_10-15</t>
  </si>
  <si>
    <t>Fresh Milk_15-20</t>
  </si>
  <si>
    <t>Fresh Milk_20-25</t>
  </si>
  <si>
    <t>Fresh Milk_5-10</t>
  </si>
  <si>
    <t>Fresh Milk_Unknown</t>
  </si>
  <si>
    <t>Greek Yoghurt_10-15</t>
  </si>
  <si>
    <t>Greek Yoghurt_25+</t>
  </si>
  <si>
    <t>Greek Yoghurt_5-10</t>
  </si>
  <si>
    <t>Greek Yoghurt_Unknown</t>
  </si>
  <si>
    <t>Long Life Milk_0-5</t>
  </si>
  <si>
    <t>Long Life Milk</t>
  </si>
  <si>
    <t>Long Life Milk_10-15</t>
  </si>
  <si>
    <t>Long Life Milk_15-20</t>
  </si>
  <si>
    <t>Long Life Milk_25+</t>
  </si>
  <si>
    <t>Long Life Milk_5-10</t>
  </si>
  <si>
    <t>Long Life Milk_Unknown</t>
  </si>
  <si>
    <t>Plain Yoghurt_0-5</t>
  </si>
  <si>
    <t>Plain Yoghurt</t>
  </si>
  <si>
    <t>Plain Yoghurt_10-15</t>
  </si>
  <si>
    <t>Plain Yoghurt_15-20</t>
  </si>
  <si>
    <t>Plain Yoghurt_25+</t>
  </si>
  <si>
    <t>Plain Yoghurt_5-10</t>
  </si>
  <si>
    <t>Plain Yoghurt_Unknown</t>
  </si>
  <si>
    <t>Powdered &amp; Evaporated MIlk_0-5</t>
  </si>
  <si>
    <t>Powdered &amp; Evaporated MIlk</t>
  </si>
  <si>
    <t>Powdered &amp; Evaporated MIlk_10-15</t>
  </si>
  <si>
    <t>Powdered &amp; Evaporated MIlk_15-20</t>
  </si>
  <si>
    <t>Powdered &amp; Evaporated MIlk_20-25</t>
  </si>
  <si>
    <t>Powdered &amp; Evaporated MIlk_25+</t>
  </si>
  <si>
    <t>Powdered &amp; Evaporated MIlk_5-10</t>
  </si>
  <si>
    <t>Powdered &amp; Evaporated MIlk_Unknown</t>
  </si>
  <si>
    <t>Yoghurt Drinks_0-5</t>
  </si>
  <si>
    <t>Yoghurt Drinks</t>
  </si>
  <si>
    <t>Yoghurt Drinks_10-15</t>
  </si>
  <si>
    <t>Yoghurt Drinks_15-20</t>
  </si>
  <si>
    <t>Yoghurt Drinks_20-25</t>
  </si>
  <si>
    <t>Yoghurt Drinks_5-10</t>
  </si>
  <si>
    <t>Yoghurt Drinks_Unknown</t>
  </si>
  <si>
    <t>Mobile Accessories_25+</t>
  </si>
  <si>
    <t>Adapters_25+</t>
  </si>
  <si>
    <t>Mobile Accessories</t>
  </si>
  <si>
    <t>Adapters</t>
  </si>
  <si>
    <t>Mobile Accessories_Unknown</t>
  </si>
  <si>
    <t>Adapters_Unknown</t>
  </si>
  <si>
    <t>Chargers_25+</t>
  </si>
  <si>
    <t>Chargers</t>
  </si>
  <si>
    <t>Chargers_Unknown</t>
  </si>
  <si>
    <t>Covers &amp; Screen Protectors_25+</t>
  </si>
  <si>
    <t>Covers &amp; Screen Protectors</t>
  </si>
  <si>
    <t>Covers &amp; Screen Protectors_Unknown</t>
  </si>
  <si>
    <t>Mobile Accessories_15-20</t>
  </si>
  <si>
    <t>Data Cables_15-20</t>
  </si>
  <si>
    <t>Data Cables_Unknown</t>
  </si>
  <si>
    <t>Power Banks_25+</t>
  </si>
  <si>
    <t>Power Banks</t>
  </si>
  <si>
    <t>Power Banks_Unknown</t>
  </si>
  <si>
    <t>Mobile Accessories_0-5</t>
  </si>
  <si>
    <t>Smart Rings_0-5</t>
  </si>
  <si>
    <t>Smart Rings</t>
  </si>
  <si>
    <t>Smart Rings_25+</t>
  </si>
  <si>
    <t>Smart Rings_Unknown</t>
  </si>
  <si>
    <t>Smart Trackers_25+</t>
  </si>
  <si>
    <t>Smart Trackers</t>
  </si>
  <si>
    <t>Smart Trackers_Unknown</t>
  </si>
  <si>
    <t>Mobiles_25+</t>
  </si>
  <si>
    <t>Android Smartphone_25+</t>
  </si>
  <si>
    <t>Mobiles</t>
  </si>
  <si>
    <t>Android Smartphone</t>
  </si>
  <si>
    <t>Mobiles_Unknown</t>
  </si>
  <si>
    <t>Android Smartphone_Unknown</t>
  </si>
  <si>
    <t>Apple_25+</t>
  </si>
  <si>
    <t>Apple</t>
  </si>
  <si>
    <t>Apple_Unknown</t>
  </si>
  <si>
    <t>Phone Accessories_25+</t>
  </si>
  <si>
    <t>Phone Accessories</t>
  </si>
  <si>
    <t>Phone Accessories_Unknown</t>
  </si>
  <si>
    <t>Moonshot Coffee_10-15</t>
  </si>
  <si>
    <t>Hot Beverages_10-15</t>
  </si>
  <si>
    <t>Moonshot Coffee</t>
  </si>
  <si>
    <t>Hot Beverages</t>
  </si>
  <si>
    <t>Moonshot Coffee_Unknown</t>
  </si>
  <si>
    <t>Hot Beverages_Unknown</t>
  </si>
  <si>
    <t>Iced Beverages_10-15</t>
  </si>
  <si>
    <t>Iced Beverages</t>
  </si>
  <si>
    <t>Moonshot Coffee_15-20</t>
  </si>
  <si>
    <t>Iced Beverages_15-20</t>
  </si>
  <si>
    <t>Near Expiry_0-5</t>
  </si>
  <si>
    <t>Near Expiry</t>
  </si>
  <si>
    <t>Near Expiry_10-15</t>
  </si>
  <si>
    <t>Near Expiry_15-20</t>
  </si>
  <si>
    <t>Near Expiry_5-10</t>
  </si>
  <si>
    <t>Near Expiry_Unknown</t>
  </si>
  <si>
    <t>Oils &amp; Seasoning_0-5</t>
  </si>
  <si>
    <t>Dried Herbs_0-5</t>
  </si>
  <si>
    <t>Dried Herbs</t>
  </si>
  <si>
    <t>Oils &amp; Seasoning_10-15</t>
  </si>
  <si>
    <t>Dried Herbs_10-15</t>
  </si>
  <si>
    <t>Oils &amp; Seasoning_15-20</t>
  </si>
  <si>
    <t>Dried Herbs_15-20</t>
  </si>
  <si>
    <t>Oils &amp; Seasoning_25+</t>
  </si>
  <si>
    <t>Dried Herbs_25+</t>
  </si>
  <si>
    <t>Oils &amp; Seasoning_5-10</t>
  </si>
  <si>
    <t>Dried Herbs_5-10</t>
  </si>
  <si>
    <t>Oils &amp; Seasoning_Unknown</t>
  </si>
  <si>
    <t>Dried Herbs_Unknown</t>
  </si>
  <si>
    <t>Ghees_10-15</t>
  </si>
  <si>
    <t>Ghees_15-20</t>
  </si>
  <si>
    <t>Oils &amp; Seasoning_20-25</t>
  </si>
  <si>
    <t>Ghees_20-25</t>
  </si>
  <si>
    <t>Ghees_25+</t>
  </si>
  <si>
    <t>Ghees_Unknown</t>
  </si>
  <si>
    <t>Oils_10-15</t>
  </si>
  <si>
    <t>Oils_15-20</t>
  </si>
  <si>
    <t>Oils_20-25</t>
  </si>
  <si>
    <t>Oils_25+</t>
  </si>
  <si>
    <t>Oils_5-10</t>
  </si>
  <si>
    <t>Oils_Unknown</t>
  </si>
  <si>
    <t>Salt &amp; Pepper_0-5</t>
  </si>
  <si>
    <t>Salt &amp; Pepper</t>
  </si>
  <si>
    <t>Salt &amp; Pepper_10-15</t>
  </si>
  <si>
    <t>Salt &amp; Pepper_15-20</t>
  </si>
  <si>
    <t>Salt &amp; Pepper_20-25</t>
  </si>
  <si>
    <t>Salt &amp; Pepper_25+</t>
  </si>
  <si>
    <t>Salt &amp; Pepper_5-10</t>
  </si>
  <si>
    <t>Salt &amp; Pepper_Unknown</t>
  </si>
  <si>
    <t>Seasoning &amp; Spices_0-5</t>
  </si>
  <si>
    <t>Seasoning &amp; Spices_10-15</t>
  </si>
  <si>
    <t>Seasoning &amp; Spices_15-20</t>
  </si>
  <si>
    <t>Seasoning &amp; Spices_20-25</t>
  </si>
  <si>
    <t>Seasoning &amp; Spices_25+</t>
  </si>
  <si>
    <t>Seasoning &amp; Spices_5-10</t>
  </si>
  <si>
    <t>Seasoning &amp; Spices_Unknown</t>
  </si>
  <si>
    <t>Stocks &amp; Gravies_0-5</t>
  </si>
  <si>
    <t>Stocks &amp; Gravies</t>
  </si>
  <si>
    <t>Stocks &amp; Gravies_10-15</t>
  </si>
  <si>
    <t>Stocks &amp; Gravies_15-20</t>
  </si>
  <si>
    <t>Stocks &amp; Gravies_20-25</t>
  </si>
  <si>
    <t>Stocks &amp; Gravies_25+</t>
  </si>
  <si>
    <t>Stocks &amp; Gravies_5-10</t>
  </si>
  <si>
    <t>Stocks &amp; Gravies_Unknown</t>
  </si>
  <si>
    <t>Other Tobacco Products_Unknown</t>
  </si>
  <si>
    <t>Vape Bars_Unknown</t>
  </si>
  <si>
    <t>Other Tobacco Products</t>
  </si>
  <si>
    <t>Vape Bars</t>
  </si>
  <si>
    <t>Vuse_Unknown</t>
  </si>
  <si>
    <t>Vuse</t>
  </si>
  <si>
    <t>Personal Care_25+</t>
  </si>
  <si>
    <t>Hair Stylers_25+</t>
  </si>
  <si>
    <t>Personal Care</t>
  </si>
  <si>
    <t>Hair Stylers</t>
  </si>
  <si>
    <t>Personal Care_Unknown</t>
  </si>
  <si>
    <t>Hair Stylers_Unknown</t>
  </si>
  <si>
    <t>Mens Grooming_25+</t>
  </si>
  <si>
    <t>Mens Grooming</t>
  </si>
  <si>
    <t>Mens Grooming_Unknown</t>
  </si>
  <si>
    <t>Pet Care_25+</t>
  </si>
  <si>
    <t>Cat Accessories_25+</t>
  </si>
  <si>
    <t>Pet Care</t>
  </si>
  <si>
    <t>Cat Accessories</t>
  </si>
  <si>
    <t>Pet Care_0-5</t>
  </si>
  <si>
    <t>Cat Care_0-5</t>
  </si>
  <si>
    <t>Cat Care</t>
  </si>
  <si>
    <t>Pet Care_10-15</t>
  </si>
  <si>
    <t>Cat Care_10-15</t>
  </si>
  <si>
    <t>Pet Care_20-25</t>
  </si>
  <si>
    <t>Cat Care_20-25</t>
  </si>
  <si>
    <t>Cat Care_25+</t>
  </si>
  <si>
    <t>Pet Care_Unknown</t>
  </si>
  <si>
    <t>Cat Care_Unknown</t>
  </si>
  <si>
    <t>Cat Food_0-5</t>
  </si>
  <si>
    <t>Cat Food</t>
  </si>
  <si>
    <t>Cat Food_10-15</t>
  </si>
  <si>
    <t>Pet Care_15-20</t>
  </si>
  <si>
    <t>Cat Food_15-20</t>
  </si>
  <si>
    <t>Cat Food_20-25</t>
  </si>
  <si>
    <t>Cat Food_25+</t>
  </si>
  <si>
    <t>Pet Care_5-10</t>
  </si>
  <si>
    <t>Cat Food_5-10</t>
  </si>
  <si>
    <t>Cat Food_Unknown</t>
  </si>
  <si>
    <t>Dog Accessories_0-5</t>
  </si>
  <si>
    <t>Dog Accessories</t>
  </si>
  <si>
    <t>Dog Accessories_10-15</t>
  </si>
  <si>
    <t>Dog Accessories_15-20</t>
  </si>
  <si>
    <t>Dog Accessories_20-25</t>
  </si>
  <si>
    <t>Dog Accessories_25+</t>
  </si>
  <si>
    <t>Dog Accessories_5-10</t>
  </si>
  <si>
    <t>Dog Accessories_Unknown</t>
  </si>
  <si>
    <t>Dog Care_15-20</t>
  </si>
  <si>
    <t>Dog Care</t>
  </si>
  <si>
    <t>Dog Care_20-25</t>
  </si>
  <si>
    <t>Dog Care_25+</t>
  </si>
  <si>
    <t>Dog Care_Unknown</t>
  </si>
  <si>
    <t>Dog Food_0-5</t>
  </si>
  <si>
    <t>Dog Food</t>
  </si>
  <si>
    <t>Dog Food_10-15</t>
  </si>
  <si>
    <t>Dog Food_15-20</t>
  </si>
  <si>
    <t>Dog Food_20-25</t>
  </si>
  <si>
    <t>Dog Food_25+</t>
  </si>
  <si>
    <t>Dog Food_5-10</t>
  </si>
  <si>
    <t>Dog Food_Unknown</t>
  </si>
  <si>
    <t>Pet Treats_10-15</t>
  </si>
  <si>
    <t>Pet Treats</t>
  </si>
  <si>
    <t>Pet Treats_15-20</t>
  </si>
  <si>
    <t>Pet Treats_20-25</t>
  </si>
  <si>
    <t>Pet Treats_25+</t>
  </si>
  <si>
    <t>Pet Treats_5-10</t>
  </si>
  <si>
    <t>Pet Treats_Unknown</t>
  </si>
  <si>
    <t>Portable Speakers_25+</t>
  </si>
  <si>
    <t>Smart Speakers_25+</t>
  </si>
  <si>
    <t>Portable Speakers</t>
  </si>
  <si>
    <t>Smart Speakers</t>
  </si>
  <si>
    <t>Portable Speakers_Unknown</t>
  </si>
  <si>
    <t>Smart Speakers_Unknown</t>
  </si>
  <si>
    <t>Wireless Speakers_25+</t>
  </si>
  <si>
    <t>Wireless Speakers</t>
  </si>
  <si>
    <t>Ramadan Box_Unknown</t>
  </si>
  <si>
    <t>Ramadan Kit_Unknown</t>
  </si>
  <si>
    <t>Ramadan Box</t>
  </si>
  <si>
    <t>Ramadan Kit</t>
  </si>
  <si>
    <t>Ramadan Sale_Unknown</t>
  </si>
  <si>
    <t>Ramadan Sale</t>
  </si>
  <si>
    <t>Ready To Go_Unknown</t>
  </si>
  <si>
    <t>Fresh To Eat_Unknown</t>
  </si>
  <si>
    <t>Ready To Go</t>
  </si>
  <si>
    <t>Fresh To Eat</t>
  </si>
  <si>
    <t>Ready To Eat_Unknown</t>
  </si>
  <si>
    <t>Ready To Eat</t>
  </si>
  <si>
    <t>Ready To Heat_Unknown</t>
  </si>
  <si>
    <t>Ready To Heat</t>
  </si>
  <si>
    <t>Ready to Eat_Unknown</t>
  </si>
  <si>
    <t>Chilled Meals_Unknown</t>
  </si>
  <si>
    <t>Ready to Eat</t>
  </si>
  <si>
    <t>Chilled Meals</t>
  </si>
  <si>
    <t>Cut Fruits &amp; Desserts_Unknown</t>
  </si>
  <si>
    <t>Cut Fruits &amp; Desserts</t>
  </si>
  <si>
    <t>Ready to Eat_0-5</t>
  </si>
  <si>
    <t>Meals &amp; Sandwiches_0-5</t>
  </si>
  <si>
    <t>Meals &amp; Sandwiches</t>
  </si>
  <si>
    <t>Ready to Eat_10-15</t>
  </si>
  <si>
    <t>Meals &amp; Sandwiches_10-15</t>
  </si>
  <si>
    <t>Ready to Eat_15-20</t>
  </si>
  <si>
    <t>Meals &amp; Sandwiches_15-20</t>
  </si>
  <si>
    <t>Ready to Eat_20-25</t>
  </si>
  <si>
    <t>Meals &amp; Sandwiches_20-25</t>
  </si>
  <si>
    <t>Ready to Eat_25+</t>
  </si>
  <si>
    <t>Meals &amp; Sandwiches_25+</t>
  </si>
  <si>
    <t>Ready to Eat_5-10</t>
  </si>
  <si>
    <t>Meals &amp; Sandwiches_5-10</t>
  </si>
  <si>
    <t>Meals &amp; Sandwiches_Unknown</t>
  </si>
  <si>
    <t>Ready to Cook_Unknown</t>
  </si>
  <si>
    <t>Ready to Cook</t>
  </si>
  <si>
    <t>Salads &amp; Starters_15-20</t>
  </si>
  <si>
    <t>Salads &amp; Starters</t>
  </si>
  <si>
    <t>Salads &amp; Starters_20-25</t>
  </si>
  <si>
    <t>Salads &amp; Starters_5-10</t>
  </si>
  <si>
    <t>Salads &amp; Starters_Unknown</t>
  </si>
  <si>
    <t>Rice, Pasta &amp; Pulses_0-5</t>
  </si>
  <si>
    <t>Noodles &amp; Soup_0-5</t>
  </si>
  <si>
    <t>Rice, Pasta &amp; Pulses_10-15</t>
  </si>
  <si>
    <t>Noodles &amp; Soup_10-15</t>
  </si>
  <si>
    <t>Rice, Pasta &amp; Pulses_15-20</t>
  </si>
  <si>
    <t>Noodles &amp; Soup_15-20</t>
  </si>
  <si>
    <t>Rice, Pasta &amp; Pulses_20-25</t>
  </si>
  <si>
    <t>Noodles &amp; Soup_20-25</t>
  </si>
  <si>
    <t>Rice, Pasta &amp; Pulses_25+</t>
  </si>
  <si>
    <t>Noodles &amp; Soup_25+</t>
  </si>
  <si>
    <t>Rice, Pasta &amp; Pulses_5-10</t>
  </si>
  <si>
    <t>Noodles &amp; Soup_5-10</t>
  </si>
  <si>
    <t>Rice, Pasta &amp; Pulses_Unknown</t>
  </si>
  <si>
    <t>Noodles &amp; Soup_Unknown</t>
  </si>
  <si>
    <t>Pasta_0-5</t>
  </si>
  <si>
    <t>Pasta</t>
  </si>
  <si>
    <t>Pasta_10-15</t>
  </si>
  <si>
    <t>Pasta_15-20</t>
  </si>
  <si>
    <t>Pasta_20-25</t>
  </si>
  <si>
    <t>Pasta_25+</t>
  </si>
  <si>
    <t>Pasta_5-10</t>
  </si>
  <si>
    <t>Pasta_Unknown</t>
  </si>
  <si>
    <t>Pulses, Grains &amp; Seeds_0-5</t>
  </si>
  <si>
    <t>Pulses, Grains &amp; Seeds</t>
  </si>
  <si>
    <t>Pulses, Grains &amp; Seeds_10-15</t>
  </si>
  <si>
    <t>Pulses, Grains &amp; Seeds_15-20</t>
  </si>
  <si>
    <t>Pulses, Grains &amp; Seeds_20-25</t>
  </si>
  <si>
    <t>Pulses, Grains &amp; Seeds_25+</t>
  </si>
  <si>
    <t>Pulses, Grains &amp; Seeds_5-10</t>
  </si>
  <si>
    <t>Pulses, Grains &amp; Seeds_Unknown</t>
  </si>
  <si>
    <t>Rice_0-5</t>
  </si>
  <si>
    <t>Rice_10-15</t>
  </si>
  <si>
    <t>Rice_15-20</t>
  </si>
  <si>
    <t>Rice_20-25</t>
  </si>
  <si>
    <t>Rice_25+</t>
  </si>
  <si>
    <t>Rice_5-10</t>
  </si>
  <si>
    <t>Rice_Unknown</t>
  </si>
  <si>
    <t>Salty Snacks_Unknown</t>
  </si>
  <si>
    <t>Biscuits_Unknown</t>
  </si>
  <si>
    <t>Biscuits</t>
  </si>
  <si>
    <t>Salty Snacks_0-5</t>
  </si>
  <si>
    <t>Chips &amp; Dips_0-5</t>
  </si>
  <si>
    <t>Salty Snacks_10-15</t>
  </si>
  <si>
    <t>Chips &amp; Dips_10-15</t>
  </si>
  <si>
    <t>Salty Snacks_15-20</t>
  </si>
  <si>
    <t>Chips &amp; Dips_15-20</t>
  </si>
  <si>
    <t>Salty Snacks_20-25</t>
  </si>
  <si>
    <t>Chips &amp; Dips_20-25</t>
  </si>
  <si>
    <t>Salty Snacks_25+</t>
  </si>
  <si>
    <t>Chips &amp; Dips_25+</t>
  </si>
  <si>
    <t>Salty Snacks_5-10</t>
  </si>
  <si>
    <t>Chips &amp; Dips_5-10</t>
  </si>
  <si>
    <t>Chips &amp; Dips_Unknown</t>
  </si>
  <si>
    <t>Crackers &amp; Pretzels_0-5</t>
  </si>
  <si>
    <t>Crackers &amp; Pretzels</t>
  </si>
  <si>
    <t>Crackers &amp; Pretzels_10-15</t>
  </si>
  <si>
    <t>Crackers &amp; Pretzels_15-20</t>
  </si>
  <si>
    <t>Crackers &amp; Pretzels_20-25</t>
  </si>
  <si>
    <t>Crackers &amp; Pretzels_25+</t>
  </si>
  <si>
    <t>Crackers &amp; Pretzels_5-10</t>
  </si>
  <si>
    <t>Crackers &amp; Pretzels_Unknown</t>
  </si>
  <si>
    <t>Healthy Snacks_10-15</t>
  </si>
  <si>
    <t>Healthy Snacks_5-10</t>
  </si>
  <si>
    <t>Healthy Snacks_Unknown</t>
  </si>
  <si>
    <t>Healthy Snacks | Meat Snacks_0-5</t>
  </si>
  <si>
    <t>Healthy Snacks | Meat Snacks</t>
  </si>
  <si>
    <t>Healthy Snacks | Meat Snacks_10-15</t>
  </si>
  <si>
    <t>Healthy Snacks | Meat Snacks_5-10</t>
  </si>
  <si>
    <t>Healthy Snacks | Meat Snacks_Unknown</t>
  </si>
  <si>
    <t>Nuts and Seeds_0-5</t>
  </si>
  <si>
    <t>Nuts and Seeds_10-15</t>
  </si>
  <si>
    <t>Nuts and Seeds_15-20</t>
  </si>
  <si>
    <t>Nuts and Seeds_20-25</t>
  </si>
  <si>
    <t>Nuts and Seeds_25+</t>
  </si>
  <si>
    <t>Nuts and Seeds_5-10</t>
  </si>
  <si>
    <t>Nuts and Seeds_Unknown</t>
  </si>
  <si>
    <t>Other Snacks_0-5</t>
  </si>
  <si>
    <t>Other Snacks_10-15</t>
  </si>
  <si>
    <t>Other Snacks_20-25</t>
  </si>
  <si>
    <t>Other Snacks_5-10</t>
  </si>
  <si>
    <t>Other Snacks_Unknown</t>
  </si>
  <si>
    <t>Popcorn_0-5</t>
  </si>
  <si>
    <t>Popcorn</t>
  </si>
  <si>
    <t>Popcorn_10-15</t>
  </si>
  <si>
    <t>Popcorn_15-20</t>
  </si>
  <si>
    <t>Popcorn_20-25</t>
  </si>
  <si>
    <t>Popcorn_25+</t>
  </si>
  <si>
    <t>Popcorn_5-10</t>
  </si>
  <si>
    <t>Popcorn_Unknown</t>
  </si>
  <si>
    <t>Puffed Chips_0-5</t>
  </si>
  <si>
    <t>Puffed Chips_10-15</t>
  </si>
  <si>
    <t>Puffed Chips_15-20</t>
  </si>
  <si>
    <t>Puffed Chips_5-10</t>
  </si>
  <si>
    <t>Puffed Chips_Unknown</t>
  </si>
  <si>
    <t>Salty Snacks | Sweet Snacks_10-15</t>
  </si>
  <si>
    <t>Salty Snacks | Sweet Snacks</t>
  </si>
  <si>
    <t>Salty Snacks | Sweet Snacks_25+</t>
  </si>
  <si>
    <t>Healthy Snacks_25+</t>
  </si>
  <si>
    <t>Salty Snacks | Sweet Snacks_5-10</t>
  </si>
  <si>
    <t>Salty Snacks | Sweet Snacks_Unknown</t>
  </si>
  <si>
    <t>Sports_10-15</t>
  </si>
  <si>
    <t>Gym Equipment_10-15</t>
  </si>
  <si>
    <t>Sports_15-20</t>
  </si>
  <si>
    <t>Gym Equipment_15-20</t>
  </si>
  <si>
    <t>Sports_20-25</t>
  </si>
  <si>
    <t>Gym Equipment_20-25</t>
  </si>
  <si>
    <t>Sports_25+</t>
  </si>
  <si>
    <t>Gym Equipment_25+</t>
  </si>
  <si>
    <t>Sports_Unknown</t>
  </si>
  <si>
    <t>Gym Equipment_Unknown</t>
  </si>
  <si>
    <t>Sporting Gloves_25+</t>
  </si>
  <si>
    <t>Sporting Gloves</t>
  </si>
  <si>
    <t>Sporting Gloves_Unknown</t>
  </si>
  <si>
    <t>Sports Accessories_15-20</t>
  </si>
  <si>
    <t>Sports Accessories</t>
  </si>
  <si>
    <t>Sports Accessories_20-25</t>
  </si>
  <si>
    <t>Sports Accessories_25+</t>
  </si>
  <si>
    <t>Sports Accessories_Unknown</t>
  </si>
  <si>
    <t>Sports Balls_25+</t>
  </si>
  <si>
    <t>Sports Balls</t>
  </si>
  <si>
    <t>Sports Balls_Unknown</t>
  </si>
  <si>
    <t>Swimming_10-15</t>
  </si>
  <si>
    <t>Swimming</t>
  </si>
  <si>
    <t>Swimming_20-25</t>
  </si>
  <si>
    <t>Swimming_25+</t>
  </si>
  <si>
    <t>Sports_5-10</t>
  </si>
  <si>
    <t>Swimming_5-10</t>
  </si>
  <si>
    <t>Stationery_0-5</t>
  </si>
  <si>
    <t>Diaries &amp; Notebooks_0-5</t>
  </si>
  <si>
    <t>Stationery_10-15</t>
  </si>
  <si>
    <t>Diaries &amp; Notebooks_10-15</t>
  </si>
  <si>
    <t>Stationery_5-10</t>
  </si>
  <si>
    <t>Diaries &amp; Notebooks_5-10</t>
  </si>
  <si>
    <t>Stationery_Unknown</t>
  </si>
  <si>
    <t>Greeting Cards_10-15</t>
  </si>
  <si>
    <t>Greeting Cards</t>
  </si>
  <si>
    <t>Stationery_15-20</t>
  </si>
  <si>
    <t>Greeting Cards_15-20</t>
  </si>
  <si>
    <t>Stationery_20-25</t>
  </si>
  <si>
    <t>Greeting Cards_20-25</t>
  </si>
  <si>
    <t>Stationery_25+</t>
  </si>
  <si>
    <t>Greeting Cards_25+</t>
  </si>
  <si>
    <t>Greeting Cards_Unknown</t>
  </si>
  <si>
    <t>Party_0-5</t>
  </si>
  <si>
    <t>Party_25+</t>
  </si>
  <si>
    <t>School Supplies_0-5</t>
  </si>
  <si>
    <t>School Supplies_10-15</t>
  </si>
  <si>
    <t>School Supplies_15-20</t>
  </si>
  <si>
    <t>School Supplies_20-25</t>
  </si>
  <si>
    <t>School Supplies_25+</t>
  </si>
  <si>
    <t>School Supplies_5-10</t>
  </si>
  <si>
    <t>School Supplies_Unknown</t>
  </si>
  <si>
    <t>Travel Essentials_0-5</t>
  </si>
  <si>
    <t>Travel Essentials_15-20</t>
  </si>
  <si>
    <t>Sweet Snacks_25+</t>
  </si>
  <si>
    <t>Sweet Snacks_Unknown</t>
  </si>
  <si>
    <t>Sweet Snacks_0-5</t>
  </si>
  <si>
    <t>Biscuits &amp; Cookies_0-5</t>
  </si>
  <si>
    <t>Sweet Snacks_10-15</t>
  </si>
  <si>
    <t>Biscuits &amp; Cookies_10-15</t>
  </si>
  <si>
    <t>Sweet Snacks_15-20</t>
  </si>
  <si>
    <t>Biscuits &amp; Cookies_15-20</t>
  </si>
  <si>
    <t>Sweet Snacks_20-25</t>
  </si>
  <si>
    <t>Biscuits &amp; Cookies_20-25</t>
  </si>
  <si>
    <t>Biscuits &amp; Cookies_25+</t>
  </si>
  <si>
    <t>Sweet Snacks_5-10</t>
  </si>
  <si>
    <t>Biscuits &amp; Cookies_5-10</t>
  </si>
  <si>
    <t>Biscuits &amp; Cookies_Unknown</t>
  </si>
  <si>
    <t>Chocolate Bars &amp; Bags_0-5</t>
  </si>
  <si>
    <t>Chocolate Bars &amp; Bags_10-15</t>
  </si>
  <si>
    <t>Chocolate Bars &amp; Bags_15-20</t>
  </si>
  <si>
    <t>Chocolate Bars &amp; Bags_20-25</t>
  </si>
  <si>
    <t>Chocolate Bars &amp; Bags_25+</t>
  </si>
  <si>
    <t>Chocolate Bars &amp; Bags_5-10</t>
  </si>
  <si>
    <t>Chocolate Bars &amp; Bags_Unknown</t>
  </si>
  <si>
    <t>Dates &amp; Dried Fruits_0-5</t>
  </si>
  <si>
    <t>Dates &amp; Dried Fruits_15-20</t>
  </si>
  <si>
    <t>Dates &amp; Dried Fruits_20-25</t>
  </si>
  <si>
    <t>Dates &amp; Dried Fruits_5-10</t>
  </si>
  <si>
    <t>Gums &amp; Mints_0-5</t>
  </si>
  <si>
    <t>Gums &amp; Mints_10-15</t>
  </si>
  <si>
    <t>Gums &amp; Mints_15-20</t>
  </si>
  <si>
    <t>Gums &amp; Mints_25+</t>
  </si>
  <si>
    <t>Gums &amp; Mints_5-10</t>
  </si>
  <si>
    <t>Gums &amp; Mints_Unknown</t>
  </si>
  <si>
    <t>Healthy Snacks_0-5</t>
  </si>
  <si>
    <t>Healthy Snacks_15-20</t>
  </si>
  <si>
    <t>Healthy Snacks_20-25</t>
  </si>
  <si>
    <t>India Sweets_25+</t>
  </si>
  <si>
    <t>India Sweets</t>
  </si>
  <si>
    <t>India Sweets_5-10</t>
  </si>
  <si>
    <t>India Sweets_Unknown</t>
  </si>
  <si>
    <t>Jellies &amp; Candies_0-5</t>
  </si>
  <si>
    <t>Jellies &amp; Candies_10-15</t>
  </si>
  <si>
    <t>Jellies &amp; Candies_15-20</t>
  </si>
  <si>
    <t>Jellies &amp; Candies_20-25</t>
  </si>
  <si>
    <t>Jellies &amp; Candies_25+</t>
  </si>
  <si>
    <t>Jellies &amp; Candies_5-10</t>
  </si>
  <si>
    <t>Jellies &amp; Candies_Unknown</t>
  </si>
  <si>
    <t>Mouth Freshners_5-10</t>
  </si>
  <si>
    <t>Mouth Freshners</t>
  </si>
  <si>
    <t>Sharing &amp; Gifting_10-15</t>
  </si>
  <si>
    <t>Sharing &amp; Gifting_15-20</t>
  </si>
  <si>
    <t>Sharing &amp; Gifting_20-25</t>
  </si>
  <si>
    <t>Sharing &amp; Gifting_25+</t>
  </si>
  <si>
    <t>Sharing &amp; Gifting_5-10</t>
  </si>
  <si>
    <t>Sharing &amp; Gifting_Unknown</t>
  </si>
  <si>
    <t>Wafers &amp; Cakes_0-5</t>
  </si>
  <si>
    <t>Wafers &amp; Cakes_10-15</t>
  </si>
  <si>
    <t>Wafers &amp; Cakes_15-20</t>
  </si>
  <si>
    <t>Wafers &amp; Cakes_20-25</t>
  </si>
  <si>
    <t>Wafers &amp; Cakes_25+</t>
  </si>
  <si>
    <t>Wafers &amp; Cakes_5-10</t>
  </si>
  <si>
    <t>Wafers &amp; Cakes_Unknown</t>
  </si>
  <si>
    <t>Sweet Treats_Unknown</t>
  </si>
  <si>
    <t>Sweet Treats</t>
  </si>
  <si>
    <t>Tablet Accessories_Unknown</t>
  </si>
  <si>
    <t>Cases &amp; Sleeves_Unknown</t>
  </si>
  <si>
    <t>Tablet Accessories</t>
  </si>
  <si>
    <t>Cases &amp; Sleeves</t>
  </si>
  <si>
    <t>Tablet Accessories_25+</t>
  </si>
  <si>
    <t>Stylus_25+</t>
  </si>
  <si>
    <t>Stylus</t>
  </si>
  <si>
    <t>Stylus_Unknown</t>
  </si>
  <si>
    <t>Tablets_Unknown</t>
  </si>
  <si>
    <t>Apple iPads_Unknown</t>
  </si>
  <si>
    <t>Tablets</t>
  </si>
  <si>
    <t>Apple iPads</t>
  </si>
  <si>
    <t>Tablets_25+</t>
  </si>
  <si>
    <t>iPad Accessories_25+</t>
  </si>
  <si>
    <t>iPad Accessories</t>
  </si>
  <si>
    <t>Tees for Gaza_25+</t>
  </si>
  <si>
    <t>T-shirts_25+</t>
  </si>
  <si>
    <t>Tees for Gaza</t>
  </si>
  <si>
    <t>T-shirts</t>
  </si>
  <si>
    <t>Tees for Gaza_Unknown</t>
  </si>
  <si>
    <t>T-shirts_Unknown</t>
  </si>
  <si>
    <t>Tissues &amp; Wipes_0-5</t>
  </si>
  <si>
    <t>Facial Tissues_0-5</t>
  </si>
  <si>
    <t>Tissues &amp; Wipes</t>
  </si>
  <si>
    <t>Facial Tissues</t>
  </si>
  <si>
    <t>Tissues &amp; Wipes_10-15</t>
  </si>
  <si>
    <t>Facial Tissues_10-15</t>
  </si>
  <si>
    <t>Tissues &amp; Wipes_15-20</t>
  </si>
  <si>
    <t>Facial Tissues_15-20</t>
  </si>
  <si>
    <t>Tissues &amp; Wipes_20-25</t>
  </si>
  <si>
    <t>Facial Tissues_20-25</t>
  </si>
  <si>
    <t>Tissues &amp; Wipes_25+</t>
  </si>
  <si>
    <t>Facial Tissues_25+</t>
  </si>
  <si>
    <t>Tissues &amp; Wipes_5-10</t>
  </si>
  <si>
    <t>Facial Tissues_5-10</t>
  </si>
  <si>
    <t>Tissues &amp; Wipes_Unknown</t>
  </si>
  <si>
    <t>Facial Tissues_Unknown</t>
  </si>
  <si>
    <t>Kitchen Rolls_0-5</t>
  </si>
  <si>
    <t>Kitchen Rolls</t>
  </si>
  <si>
    <t>Kitchen Rolls_10-15</t>
  </si>
  <si>
    <t>Kitchen Rolls_15-20</t>
  </si>
  <si>
    <t>Kitchen Rolls_20-25</t>
  </si>
  <si>
    <t>Kitchen Rolls_5-10</t>
  </si>
  <si>
    <t>Kitchen Rolls_Unknown</t>
  </si>
  <si>
    <t>Toilet Rolls_0-5</t>
  </si>
  <si>
    <t>Toilet Rolls</t>
  </si>
  <si>
    <t>Toilet Rolls_10-15</t>
  </si>
  <si>
    <t>Toilet Rolls_15-20</t>
  </si>
  <si>
    <t>Toilet Rolls_20-25</t>
  </si>
  <si>
    <t>Toilet Rolls_25+</t>
  </si>
  <si>
    <t>Toilet Rolls_5-10</t>
  </si>
  <si>
    <t>Toilet Rolls_Unknown</t>
  </si>
  <si>
    <t>Toys &amp; Games_0-5</t>
  </si>
  <si>
    <t>Activity Books_0-5</t>
  </si>
  <si>
    <t>Activity Books</t>
  </si>
  <si>
    <t>Toys &amp; Games_10-15</t>
  </si>
  <si>
    <t>Activity Books_10-15</t>
  </si>
  <si>
    <t>Toys &amp; Games_15-20</t>
  </si>
  <si>
    <t>Activity Books_15-20</t>
  </si>
  <si>
    <t>Toys &amp; Games_20-25</t>
  </si>
  <si>
    <t>Activity Books_20-25</t>
  </si>
  <si>
    <t>Toys &amp; Games_25+</t>
  </si>
  <si>
    <t>Activity Books_25+</t>
  </si>
  <si>
    <t>Toys &amp; Games_Unknown</t>
  </si>
  <si>
    <t>Activity Books_Unknown</t>
  </si>
  <si>
    <t>Board Games_15-20</t>
  </si>
  <si>
    <t>Board Games</t>
  </si>
  <si>
    <t>Board Games_25+</t>
  </si>
  <si>
    <t>Board Games_Unknown</t>
  </si>
  <si>
    <t>Card Games_10-15</t>
  </si>
  <si>
    <t>Card Games_25+</t>
  </si>
  <si>
    <t>Card Games_Unknown</t>
  </si>
  <si>
    <t>Toys_10-15</t>
  </si>
  <si>
    <t>Toys_15-20</t>
  </si>
  <si>
    <t>Toys_20-25</t>
  </si>
  <si>
    <t>Toys_25+</t>
  </si>
  <si>
    <t>Toys &amp; Games_5-10</t>
  </si>
  <si>
    <t>Toys_5-10</t>
  </si>
  <si>
    <t>Toys_Unknown</t>
  </si>
  <si>
    <t>Water_0-5</t>
  </si>
  <si>
    <t>Flavoured Water_0-5</t>
  </si>
  <si>
    <t>Flavoured Water</t>
  </si>
  <si>
    <t>Water_10-15</t>
  </si>
  <si>
    <t>Flavoured Water_10-15</t>
  </si>
  <si>
    <t>Water_15-20</t>
  </si>
  <si>
    <t>Flavoured Water_15-20</t>
  </si>
  <si>
    <t>Water_25+</t>
  </si>
  <si>
    <t>Flavoured Water_25+</t>
  </si>
  <si>
    <t>Water_5-10</t>
  </si>
  <si>
    <t>Flavoured Water_5-10</t>
  </si>
  <si>
    <t>Water_Unknown</t>
  </si>
  <si>
    <t>Flavoured Water_Unknown</t>
  </si>
  <si>
    <t>Ice_0-5</t>
  </si>
  <si>
    <t>Ice</t>
  </si>
  <si>
    <t>Ice_10-15</t>
  </si>
  <si>
    <t>Ice_5-10</t>
  </si>
  <si>
    <t>Ice_Unknown</t>
  </si>
  <si>
    <t>Ice _0-5</t>
  </si>
  <si>
    <t>Ice _10-15</t>
  </si>
  <si>
    <t>Ice _Unknown</t>
  </si>
  <si>
    <t>Mineral Water_0-5</t>
  </si>
  <si>
    <t>Mineral Water</t>
  </si>
  <si>
    <t>Mineral Water_10-15</t>
  </si>
  <si>
    <t>Mineral Water_15-20</t>
  </si>
  <si>
    <t>Water_20-25</t>
  </si>
  <si>
    <t>Mineral Water_20-25</t>
  </si>
  <si>
    <t>Mineral Water_25+</t>
  </si>
  <si>
    <t>Mineral Water_5-10</t>
  </si>
  <si>
    <t>Mineral Water_Unknown</t>
  </si>
  <si>
    <t>Sparkling Water_0-5</t>
  </si>
  <si>
    <t>Sparkling Water_10-15</t>
  </si>
  <si>
    <t>Sparkling Water_15-20</t>
  </si>
  <si>
    <t>Sparkling Water_20-25</t>
  </si>
  <si>
    <t>Sparkling Water_25+</t>
  </si>
  <si>
    <t>Sparkling Water_5-10</t>
  </si>
  <si>
    <t>Sparkling Water_Unknown</t>
  </si>
  <si>
    <t>Still Water_0-5</t>
  </si>
  <si>
    <t>Still Water</t>
  </si>
  <si>
    <t>Still Water_10-15</t>
  </si>
  <si>
    <t>Still Water_15-20</t>
  </si>
  <si>
    <t>Still Water_20-25</t>
  </si>
  <si>
    <t>Still Water_25+</t>
  </si>
  <si>
    <t>Still Water_5-10</t>
  </si>
  <si>
    <t>Still Water_Unknown</t>
  </si>
  <si>
    <t>Wearables_Unknown</t>
  </si>
  <si>
    <t>Wearables</t>
  </si>
  <si>
    <t>Apple Watch_Unknown</t>
  </si>
  <si>
    <t>Apple Watch</t>
  </si>
  <si>
    <t>Apple Watch Ultra 2_Unknown</t>
  </si>
  <si>
    <t>Apple Watch Ultra 2</t>
  </si>
  <si>
    <t>Wearables_25+</t>
  </si>
  <si>
    <t>Coros_25+</t>
  </si>
  <si>
    <t>Coros</t>
  </si>
  <si>
    <t>Watch Accessories_Unknown</t>
  </si>
  <si>
    <t>Watch Accessories</t>
  </si>
  <si>
    <t>Count of SKUs (Onhand &gt;0)</t>
  </si>
  <si>
    <t>_15-20</t>
  </si>
  <si>
    <t>Baby Bath &amp; Shower_5-10</t>
  </si>
  <si>
    <t>Baby Care_5-10</t>
  </si>
  <si>
    <t>Arabic &amp; Flat Bread_25+</t>
  </si>
  <si>
    <t>Parathas &amp; Dosas_0-5</t>
  </si>
  <si>
    <t>Bakery | Frozen_Unknown</t>
  </si>
  <si>
    <t>Breads &amp; Bakes | Puff Pastry, Dough &amp; Pizza Bases_Unknown</t>
  </si>
  <si>
    <t>Bakery | Frozen</t>
  </si>
  <si>
    <t>Breads &amp; Bakes | Puff Pastry, Dough &amp; Pizza Bases</t>
  </si>
  <si>
    <t>Baking Agents_25+</t>
  </si>
  <si>
    <t>Flavouring &amp; Food Coloring_10-15</t>
  </si>
  <si>
    <t>Flavouring &amp; Food Coloring_20-25</t>
  </si>
  <si>
    <t>Flavouring &amp; Food Coloring_25+</t>
  </si>
  <si>
    <t>Beauty_5-10</t>
  </si>
  <si>
    <t>Skin &amp; Treatments_5-10</t>
  </si>
  <si>
    <t>Beauty | Hygiene &amp; Personal Care_15-20</t>
  </si>
  <si>
    <t>Body &amp; Skin Care | Hair Studio | Skin &amp; Treatments_15-20</t>
  </si>
  <si>
    <t>Body &amp; Skin Care | Hair Studio | Skin &amp; Treatments</t>
  </si>
  <si>
    <t>Deodorants &amp; Fragrances | Fragrances_25+</t>
  </si>
  <si>
    <t>Deodorants &amp; Fragrances | Fragrances</t>
  </si>
  <si>
    <t>Beauty | Hygiene &amp; Personal Care_Unknown</t>
  </si>
  <si>
    <t>Deodorants &amp; Fragrances | Fragrances_Unknown</t>
  </si>
  <si>
    <t>Beauty | Hygiene &amp; Personal Care_20-25</t>
  </si>
  <si>
    <t>Hair Care | Hair Studio_20-25</t>
  </si>
  <si>
    <t>Hair Care | Hair Studio</t>
  </si>
  <si>
    <t>Cheese &amp; Butter | Fresh Flowers &amp; Plants_Unknown</t>
  </si>
  <si>
    <t>Block Cheese | Bouquets &amp; Gifts_Unknown</t>
  </si>
  <si>
    <t>Cheese &amp; Butter | Fresh Flowers &amp; Plants</t>
  </si>
  <si>
    <t>Block Cheese | Bouquets &amp; Gifts</t>
  </si>
  <si>
    <t>Pesticides_20-25</t>
  </si>
  <si>
    <t>Grounded &amp; Roasted Beans_5-10</t>
  </si>
  <si>
    <t>Docking Station_25+</t>
  </si>
  <si>
    <t>Docking Station</t>
  </si>
  <si>
    <t>Docking Station_Unknown</t>
  </si>
  <si>
    <t>Input Devices_Unknown</t>
  </si>
  <si>
    <t>Power Adapter_25+</t>
  </si>
  <si>
    <t>Dressings_25+</t>
  </si>
  <si>
    <t>Hot Sauce_25+</t>
  </si>
  <si>
    <t>Olives &amp; Antipasti_25+</t>
  </si>
  <si>
    <t>Foils &amp; Wraps_0-5</t>
  </si>
  <si>
    <t>Brown_20-25</t>
  </si>
  <si>
    <t>Cases and Covers_Unknown</t>
  </si>
  <si>
    <t>Floor Care_25+</t>
  </si>
  <si>
    <t>Cord Free, Vacuum Cleaner_25+</t>
  </si>
  <si>
    <t>Floor Care</t>
  </si>
  <si>
    <t>Cord Free, Vacuum Cleaner</t>
  </si>
  <si>
    <t>Floor Care_Unknown</t>
  </si>
  <si>
    <t>Cord Free, Vacuum Cleaner_Unknown</t>
  </si>
  <si>
    <t>Fresh Flowers &amp; Plants_10-15</t>
  </si>
  <si>
    <t>Festive &amp; Religious_10-15</t>
  </si>
  <si>
    <t>BBQ &amp; Grills_25+</t>
  </si>
  <si>
    <t>BBQ &amp; Grills_Unknown</t>
  </si>
  <si>
    <t>Cold Cuts &amp; Meat Snacks_15-20</t>
  </si>
  <si>
    <t>Fresh Meat &amp; Seafood_0-5</t>
  </si>
  <si>
    <t>Sausages &amp; Burgers_0-5</t>
  </si>
  <si>
    <t>Breads &amp; Bakes_25+</t>
  </si>
  <si>
    <t>Gaming_10-15</t>
  </si>
  <si>
    <t>Accessories_10-15</t>
  </si>
  <si>
    <t>Gaming_15-20</t>
  </si>
  <si>
    <t>Accessories_15-20</t>
  </si>
  <si>
    <t>Airpods_25+</t>
  </si>
  <si>
    <t>Airpods</t>
  </si>
  <si>
    <t>Adult Diapers_15-20</t>
  </si>
  <si>
    <t>Adult Diapers_20-25</t>
  </si>
  <si>
    <t>Masks &amp; Gloves_10-15</t>
  </si>
  <si>
    <t>Others Pharmacy_15-20</t>
  </si>
  <si>
    <t>Others Pharmacy</t>
  </si>
  <si>
    <t>Others Pharmacy_25+</t>
  </si>
  <si>
    <t>Healthy Food_5-10</t>
  </si>
  <si>
    <t>Cereals, Oats &amp; Muesli_5-10</t>
  </si>
  <si>
    <t>Ice Cream Maker_25+</t>
  </si>
  <si>
    <t>Ice Cream Maker</t>
  </si>
  <si>
    <t>Kitchen Accessories_25+</t>
  </si>
  <si>
    <t>Bleach &amp; Starch_15-20</t>
  </si>
  <si>
    <t>Bleach &amp; Starch_25+</t>
  </si>
  <si>
    <t>Bleach &amp; Starch_5-10</t>
  </si>
  <si>
    <t>Detergent Liquid_5-10</t>
  </si>
  <si>
    <t>Detergent Tabs_10-15</t>
  </si>
  <si>
    <t>Fabric Softeners_5-10</t>
  </si>
  <si>
    <t>Stain Removers_5-10</t>
  </si>
  <si>
    <t>Greek Yoghurt_0-5</t>
  </si>
  <si>
    <t>Mobile Accessories_20-25</t>
  </si>
  <si>
    <t>Chargers_20-25</t>
  </si>
  <si>
    <t>Data Cables_20-25</t>
  </si>
  <si>
    <t>Moonshot Coffee_5-10</t>
  </si>
  <si>
    <t>Hot Beverages_5-10</t>
  </si>
  <si>
    <t>Hair Dryers_25+</t>
  </si>
  <si>
    <t>Hair Dryers</t>
  </si>
  <si>
    <t>Handheld Massager_25+</t>
  </si>
  <si>
    <t>Handheld Massager</t>
  </si>
  <si>
    <t>Handheld Massager_Unknown</t>
  </si>
  <si>
    <t>Cat Care_15-20</t>
  </si>
  <si>
    <t>Ready to Cook_15-20</t>
  </si>
  <si>
    <t>Ready to Heat_Unknown</t>
  </si>
  <si>
    <t>Ready to Heat</t>
  </si>
  <si>
    <t>Salik_25+</t>
  </si>
  <si>
    <t>Toll Gate_25+</t>
  </si>
  <si>
    <t>Salik</t>
  </si>
  <si>
    <t>Toll Gate</t>
  </si>
  <si>
    <t>Crackers &amp; Pretzels | Healthy Snacks_20-25</t>
  </si>
  <si>
    <t>Crackers &amp; Pretzels | Healthy Snacks</t>
  </si>
  <si>
    <t>Healthy Snacks | Meat Snacks_15-20</t>
  </si>
  <si>
    <t>Healthy Snacks | Meat Snacks_25+</t>
  </si>
  <si>
    <t>Other Snacks_25+</t>
  </si>
  <si>
    <t>Chocolate Bars &amp; Bags | Sharing &amp; Gifting_15-20</t>
  </si>
  <si>
    <t>Chocolate Bars &amp; Bags | Sharing &amp; Gifting</t>
  </si>
  <si>
    <t>Cases &amp; Sleeves_25+</t>
  </si>
  <si>
    <t>Screen Protectors_Unknown</t>
  </si>
  <si>
    <t>Screen Protectors</t>
  </si>
  <si>
    <t>Kitchen Rolls_25+</t>
  </si>
  <si>
    <t>Activity Books_5-10</t>
  </si>
  <si>
    <t>Ice _5-10</t>
  </si>
  <si>
    <t>Samsung Watch_25+</t>
  </si>
  <si>
    <t>Samsung Watch</t>
  </si>
  <si>
    <t>Samsung Watch_Unknown</t>
  </si>
  <si>
    <t>Watch Accessories_25+</t>
  </si>
  <si>
    <t>Watch Strap_25+</t>
  </si>
  <si>
    <t>Watch Strap</t>
  </si>
  <si>
    <t>Watch Strap_Unknown</t>
  </si>
  <si>
    <t>Subcat_ASP Bucket</t>
  </si>
  <si>
    <t>Total New Launches (Last 180d)</t>
  </si>
  <si>
    <t>Successful Launches</t>
  </si>
  <si>
    <t>Aggregation Level Used</t>
  </si>
  <si>
    <t>Launch Success Rate</t>
  </si>
  <si>
    <t>Revised</t>
  </si>
  <si>
    <t>No Launches in Entire Category</t>
  </si>
  <si>
    <t>Not Applicable</t>
  </si>
  <si>
    <t>Fallback: ParentCategory</t>
  </si>
  <si>
    <t>Fallback: ParentCategory_ASP</t>
  </si>
  <si>
    <t>Exact Subcat_ASP Match</t>
  </si>
  <si>
    <t>SCORE 1: COMMERCIAL QUALITY (CQ) 
 Does the price bucket have demand? Is there room structurally? Are recent launches in this subcat succeeding?</t>
  </si>
  <si>
    <t>SCORE 2: CATEGORY HEALTH (CH) 
 Is NMI under control? Is the range cluttered with zero-ROS SKUs?</t>
  </si>
  <si>
    <t>SCORE 3: SUPPLIER PARTNERSHIP (SP) 
 Who carries the risk? Can we return unsold stock? Has the supplier committed commercial support?</t>
  </si>
  <si>
    <t>Why 60 days?</t>
  </si>
  <si>
    <t>As per our Sales growth analysis, SKUs mature in 8 weeks at an avg</t>
  </si>
  <si>
    <t>Top 20% SKUs
 % of bucket ROS</t>
  </si>
  <si>
    <t>&lt;50=LOW
 50-70=MED
 &gt;70=HIGH</t>
  </si>
  <si>
    <t>(Cat ASP Bkt ROS÷SKUs)</t>
  </si>
  <si>
    <t>(Subcat ASP Bkt ROS÷SKUs)</t>
  </si>
  <si>
    <t>&lt;50=LOW
 &gt;50=HIGH</t>
  </si>
  <si>
    <t>normalize the base for campaigns</t>
  </si>
  <si>
    <t>Normalise OPD backwards</t>
  </si>
  <si>
    <t>Threshold</t>
  </si>
  <si>
    <t>Check if 60 Days is correct DOC cut?</t>
  </si>
  <si>
    <t>Check if P50ROS is correct benchmark</t>
  </si>
  <si>
    <t>Check if 50%, 70% threshold is ideal</t>
  </si>
  <si>
    <t>Check if 50% threshold is ideal</t>
  </si>
  <si>
    <t>Check what's the best Caliberation for Saturation Matrix</t>
  </si>
  <si>
    <t>What should be launch Success thresholds</t>
  </si>
  <si>
    <t>What should be the weightage</t>
  </si>
  <si>
    <t>Check if 3rd month is the correct month to check ROS</t>
  </si>
  <si>
    <t>Check if P10 MV ROS is the correct threshold to measure success</t>
  </si>
  <si>
    <t>How to Define Success</t>
  </si>
  <si>
    <t>📥 CM INPUTS + AUTO</t>
  </si>
  <si>
    <t>SCORE 1: CQ | Vel 40% + Sat 40% + Launch 20%</t>
  </si>
  <si>
    <t>Score 2: Category Health</t>
  </si>
  <si>
    <t>SCORE 3: SP</t>
  </si>
  <si>
    <t>1A. VELOCITY</t>
  </si>
  <si>
    <t>1B. SATURATION</t>
  </si>
  <si>
    <t>1C. LAUNCH</t>
  </si>
  <si>
    <t>CQ</t>
  </si>
  <si>
    <t>2A. NMI</t>
  </si>
  <si>
    <t>CH</t>
  </si>
  <si>
    <t>SP</t>
  </si>
  <si>
    <t>CQ Score</t>
  </si>
  <si>
    <t>Barcode</t>
  </si>
  <si>
    <t>Ship to</t>
  </si>
  <si>
    <t>SKU Name</t>
  </si>
  <si>
    <t>Subcategory</t>
  </si>
  <si>
    <t>Supplier</t>
  </si>
  <si>
    <t>MOQ</t>
  </si>
  <si>
    <t>ASP</t>
  </si>
  <si>
    <t>RTV Terms</t>
  </si>
  <si>
    <t>Monetisation Terms</t>
  </si>
  <si>
    <t>Shelf Life</t>
  </si>
  <si>
    <t>Subcat ASP Key</t>
  </si>
  <si>
    <t>ASP
 Bucket</t>
  </si>
  <si>
    <t>Width or Depth</t>
  </si>
  <si>
    <t>Vel Floor</t>
  </si>
  <si>
    <t>Benchmark</t>
  </si>
  <si>
    <t>Vel
 Score</t>
  </si>
  <si>
    <t>Conc
 Index</t>
  </si>
  <si>
    <t>Conc
 Level</t>
  </si>
  <si>
    <t>Cat- ASP Median SKU EFF</t>
  </si>
  <si>
    <t>SKU
 Eff</t>
  </si>
  <si>
    <t>Sat
 Score</t>
  </si>
  <si>
    <t>Launch Success
 %</t>
  </si>
  <si>
    <t>Launch
 Score</t>
  </si>
  <si>
    <t>CQ
 SCORE</t>
  </si>
  <si>
    <t>NMI
 Unit%</t>
  </si>
  <si>
    <t>2A</t>
  </si>
  <si>
    <t>NMI
 SKU%</t>
  </si>
  <si>
    <t>2B</t>
  </si>
  <si>
    <t>CH
 SCORE</t>
  </si>
  <si>
    <t>Return
 Score</t>
  </si>
  <si>
    <t>Mon
 Score</t>
  </si>
  <si>
    <t>SP
 SCORE</t>
  </si>
  <si>
    <t>Final Score</t>
  </si>
  <si>
    <t>Range</t>
  </si>
  <si>
    <t>Range2</t>
  </si>
  <si>
    <t>Availability</t>
  </si>
  <si>
    <t>Total SKU</t>
  </si>
  <si>
    <t>Feb ROS</t>
  </si>
  <si>
    <t>Mar ROS</t>
  </si>
  <si>
    <t>Bucket P10 MV ROS</t>
  </si>
  <si>
    <t>Success</t>
  </si>
  <si>
    <t>TP CQ</t>
  </si>
  <si>
    <t>SCore Range</t>
  </si>
  <si>
    <t>Total SKUs</t>
  </si>
  <si>
    <t>Fail</t>
  </si>
  <si>
    <t>Correct Prediction</t>
  </si>
  <si>
    <t>Accuracy</t>
  </si>
  <si>
    <t>True Positives</t>
  </si>
  <si>
    <t>Result</t>
  </si>
  <si>
    <t>Dec'25</t>
  </si>
  <si>
    <t>Nov'25</t>
  </si>
  <si>
    <t>Oct'25</t>
  </si>
  <si>
    <t>Sep'25</t>
  </si>
  <si>
    <t>Aug'25</t>
  </si>
  <si>
    <t>Jul'25</t>
  </si>
  <si>
    <t>Careem DC</t>
  </si>
  <si>
    <t>AL HADIYA FOODSTUFF TRADING L.L.C</t>
  </si>
  <si>
    <t>0-100</t>
  </si>
  <si>
    <t>TP</t>
  </si>
  <si>
    <t>100-150</t>
  </si>
  <si>
    <t>TN</t>
  </si>
  <si>
    <t>Direct to Store</t>
  </si>
  <si>
    <t>BARAKAT VEGETABLES &amp; FRUITS CO. L.L.C</t>
  </si>
  <si>
    <t>150-200</t>
  </si>
  <si>
    <t>FP</t>
  </si>
  <si>
    <t>200-250</t>
  </si>
  <si>
    <t>FN</t>
  </si>
  <si>
    <t>250-200</t>
  </si>
  <si>
    <t>Total</t>
  </si>
  <si>
    <t>DC</t>
  </si>
  <si>
    <t>BAGASON MIDDLE EAST GENERAL TRADING LLC</t>
  </si>
  <si>
    <t>True prediction</t>
  </si>
  <si>
    <t xml:space="preserve">CQ Accuracy </t>
  </si>
  <si>
    <t>Mass Potato Chips Manufacturing and Cheese Balls LLC</t>
  </si>
  <si>
    <t>0-25</t>
  </si>
  <si>
    <t>Fresh DC</t>
  </si>
  <si>
    <t>Barakat Cranberry Fresh Juice 1 L</t>
  </si>
  <si>
    <t>25-50</t>
  </si>
  <si>
    <t>% of Negatives Caught</t>
  </si>
  <si>
    <t>50-75</t>
  </si>
  <si>
    <t>Avg</t>
  </si>
  <si>
    <t>AL MALAKY FOODSTUFF PACKING L.L.C</t>
  </si>
  <si>
    <t>Demand Predicibility</t>
  </si>
  <si>
    <t>Ranking variables basis significance</t>
  </si>
  <si>
    <t>Improve CQ Accuracy</t>
  </si>
  <si>
    <t>Definition of Success</t>
  </si>
  <si>
    <t>should it compared against P10,P20 of all skus or moving SKUs</t>
  </si>
  <si>
    <t>What should be the DOC Cut</t>
  </si>
  <si>
    <t>do a better job at Sales growth analysis</t>
  </si>
  <si>
    <t>What should be the saturation matrix caliberation</t>
  </si>
  <si>
    <t>Madhoor Stores</t>
  </si>
  <si>
    <t>What should be the weightage on each subscore for CQ Score</t>
  </si>
  <si>
    <t>Should we tell a probability of Success</t>
  </si>
  <si>
    <t>Dubai Refreshment PJSC</t>
  </si>
  <si>
    <t>Business Risk</t>
  </si>
  <si>
    <t>champions food and beverages trading LLC</t>
  </si>
  <si>
    <t>what should be the weightage of each of the subscore and main score</t>
  </si>
  <si>
    <t>OCEAN FAIR INTERNATIONAL GROUP FZE</t>
  </si>
  <si>
    <t>Drink Dry Beverages Trading LLC</t>
  </si>
  <si>
    <t>THE GROWTH ZONE GENERAL TRADING L.L.C S.O.C</t>
  </si>
  <si>
    <t>Nestle UAE L.L.C</t>
  </si>
  <si>
    <t>SMART PURE HARVEST VEGETABLES &amp; FRUITS TRADING L.L.C</t>
  </si>
  <si>
    <t>GREEN CAMEL GENERAL TRADING L.L.C</t>
  </si>
  <si>
    <t>ALQITHARA FOODSTUFF TRADING L.L.C</t>
  </si>
  <si>
    <t>ALPHAMED GENERAL TRADING LLC</t>
  </si>
  <si>
    <t>Bella Coffee LLC</t>
  </si>
  <si>
    <t>WIM Nutrition</t>
  </si>
  <si>
    <t>Shake Your Plants LLC</t>
  </si>
  <si>
    <t>Truebell Marketing &amp; Trading LLC</t>
  </si>
  <si>
    <t>Al Homaizi Factory For Foods Industry LLC</t>
  </si>
  <si>
    <t>Marknova - F.Z.C</t>
  </si>
  <si>
    <t>Gulf International LLC</t>
  </si>
  <si>
    <t>T.CHOITHRAM AND SONS (L.L.C)</t>
  </si>
  <si>
    <t>Alliance Foods company LLC</t>
  </si>
  <si>
    <t>Almarai Emirates Company LLC</t>
  </si>
  <si>
    <t>Italtaste Food Industries</t>
  </si>
  <si>
    <t>SUMA GOURMET GENERAL TRADING L.L.C</t>
  </si>
  <si>
    <t>SHANKAR TRADING CO LLC</t>
  </si>
  <si>
    <t>Rep12345679</t>
  </si>
  <si>
    <t>MAHMOOD MALLIK INERNATIONAL GENERAL TRADING COMPANY L.L.C</t>
  </si>
  <si>
    <t>Rep12345678</t>
  </si>
  <si>
    <t>MIRAK ROYAL NATURE FRUIT AND VEGETABLES L.L.C</t>
  </si>
  <si>
    <t>Celery Spain /AustraliaÂ 600-700g</t>
  </si>
  <si>
    <t>KIBSONS INTERNATIONAL LLC</t>
  </si>
  <si>
    <t>FRUTULIP GENERAL TRADING L.L.C</t>
  </si>
  <si>
    <t>New Country Healthcare L.L.C</t>
  </si>
  <si>
    <t>Nutripharm LLC</t>
  </si>
  <si>
    <t>ULTRAPHARMA</t>
  </si>
  <si>
    <t>Sport For All General Trading</t>
  </si>
  <si>
    <t>Elite Horizon General Trading LLC</t>
  </si>
  <si>
    <t>MUSTAFA ABDULLA ALI GENERAL TRADING LLC</t>
  </si>
  <si>
    <t>Beach Towel 30X60Inch Green &amp; White 1 pc</t>
  </si>
  <si>
    <t>Al Seer Trading LLC</t>
  </si>
  <si>
    <t>Allied Enterprises LLC</t>
  </si>
  <si>
    <t>RECKITT BENCKISER ARABIA TRADING L.L.C</t>
  </si>
  <si>
    <t>SOFT CARE COSMETICS TRADING L.L.C</t>
  </si>
  <si>
    <t>Multiplex International LLC</t>
  </si>
  <si>
    <t>Pasante Taste Coloured &amp; Assorted Flavours Tastey Fun Condoms Pack of 12 pcs</t>
  </si>
  <si>
    <t>Pure Ice Cream Co. LLC</t>
  </si>
  <si>
    <t>Graviss Good Foods Foodstuff Trading LLC</t>
  </si>
  <si>
    <t>MAMA BOOZA ICE CREAM SHOP L.L.C</t>
  </si>
  <si>
    <t>Al GURG UNILEVER LLC</t>
  </si>
  <si>
    <t>AL RAWABI DAIRY CO L.L.C</t>
  </si>
  <si>
    <t>WALQ FOOD INDUSTRIES LLC</t>
  </si>
  <si>
    <t>SAMP0018</t>
  </si>
  <si>
    <t>GYMA FOOD INDUSTRIES L.L.C</t>
  </si>
  <si>
    <t>75-100</t>
  </si>
  <si>
    <t>AL AUJAN &amp; OASIS L.L.C</t>
  </si>
  <si>
    <t>SD RAMSDEN &amp; CO LIMITED</t>
  </si>
  <si>
    <t>HUNTER FOODS LLC</t>
  </si>
  <si>
    <t>Armada Distribution Company LLC</t>
  </si>
  <si>
    <t>Sportfit Trading LLC</t>
  </si>
  <si>
    <t>Playsmart FZC</t>
  </si>
  <si>
    <t>Jash Trading LLC</t>
  </si>
  <si>
    <t>FRESH EXPRESS L.L.C.</t>
  </si>
  <si>
    <t>Nosh International General Trading LLC S.P.C</t>
  </si>
  <si>
    <t>MY Gourmet Foods LLC</t>
  </si>
  <si>
    <t>Cohort</t>
  </si>
  <si>
    <t>Days since launch</t>
  </si>
  <si>
    <t>Success threshold ROS</t>
  </si>
  <si>
    <t>Why this threshold</t>
  </si>
  <si>
    <t>What it means in practice</t>
  </si>
  <si>
    <t>L30DEarly stage</t>
  </si>
  <si>
    <t>0 – 30 days</t>
  </si>
  <si>
    <t>P10 ROS of bucket (of moving SKUs)</t>
  </si>
  <si>
    <t>Distribution is still building. Not all 37 stores have received first stock. Some stores may have had the SKU for only 5–10 days.The only question at this stage is: has it entered the selling population at all, and is it not at the very bottom of it? P10 of moving SKUs filters out the truly dead — it does not penalise a SKU for being new.</t>
  </si>
  <si>
    <t>SKU must sell more than the weakest 10% of currently moving SKUs in its bucket. A low absolute bar — but meaningful because ~40% of all SKUs in the bucket sell nothing. Clearing P10 of movers means the SKU is genuinely transacting.Fails only if it cannot even outperform the slowest real sellers in the bucket after 30 days — a clear signal of no demand.</t>
  </si>
  <si>
    <t>L60DSettling in</t>
  </si>
  <si>
    <t>31 – 60 days</t>
  </si>
  <si>
    <t>P20 ROS of bucket (of moving SKUs)</t>
  </si>
  <si>
    <t>Full distribution is complete. The ramp-up excuse is gone. Velocity at this point is settling toward its structural level.P20 raises the bar modestly — the SKU should now be earning more than the weakest fifth of real sellers. Still not asking it to compete with the top half; just confirming it has found a stable customer base.</t>
  </si>
  <si>
    <t>A SKU below P20 of movers at 60 days is selling slower than 80% of the bucket's active sellers. At this stage that pattern almost never reverses — velocity is structural, not temporary.A SKU clearing P20 is showing it has legs. It may never be a top performer but it is earning its slot.</t>
  </si>
  <si>
    <t>L90DSettled</t>
  </si>
  <si>
    <t>61 – 90 days</t>
  </si>
  <si>
    <t>P30 ROS of bucket (of moving SKUs)</t>
  </si>
  <si>
    <t>Three full replenishment cycles have passed. The SKU is no longer new — it is an established listing being held to the same reality as everything else on shelf.P30 of movers is deliberately not P50 or higher — this framework does not assume every listing should be a top performer. A Width SKU serving a niche need only has to be in the lower-middle of earners, not competing with the leaders. That is fair.</t>
  </si>
  <si>
    <t>SKU must outperform the bottom 30% of real sellers in its bucket. Still only the lower-middle of the earning range — not asking it to beat the dominant SKUs.Below P30 at 90 days means it has settled into the slow tail. It is occupying a slot while contributing less than most things around it. That is the definition of a failed listing regardless of whether it ever had ROS &gt; 0.</t>
  </si>
  <si>
    <t>* A fallback mechanism needed for cases with small sample size of new launches: Can look at rolling success rate of the past</t>
  </si>
  <si>
    <t>Fall Back-</t>
  </si>
  <si>
    <t>ParentCategory_ASP</t>
  </si>
  <si>
    <t>ParentCategory</t>
  </si>
  <si>
    <t>Row Labels</t>
  </si>
  <si>
    <t>Sum of Hours_OOS</t>
  </si>
  <si>
    <t>Sum of Total hours</t>
  </si>
  <si>
    <t>Acesur Premium Extra Virgin Olive Oil 250 mL</t>
  </si>
  <si>
    <t>Al Rawabi Date Milk 200 mL</t>
  </si>
  <si>
    <t>Cholula Green Pepper Hot Sauce150 mL</t>
  </si>
  <si>
    <t>Comfort Fabric Softener Orchid &amp; Musk 1.5 L x 2</t>
  </si>
  <si>
    <t>Comfort Fabric Softener Spring Dew 4 L x 2</t>
  </si>
  <si>
    <t>David Blueberry Pie Protein Bar 62 g</t>
  </si>
  <si>
    <t>Good Seoul Corndog Crispy Beef &amp; Cheese 80 g x 4</t>
  </si>
  <si>
    <t>Good Seoul Corndog Crispy Cheese 80 g x 4</t>
  </si>
  <si>
    <t>Green &amp; Co Beef &amp; Smoked Farmhouse Angus Pepperoni Pizza 550 g</t>
  </si>
  <si>
    <t>Green &amp; Co Classic Hawaiian Pizza 470 g</t>
  </si>
  <si>
    <t>Green &amp; Co Classic Napoli Margherita Pizza 430 g</t>
  </si>
  <si>
    <t>Green &amp; Co Italian Dough Pizza Base 440 g (2 Pcs)</t>
  </si>
  <si>
    <t>Green &amp; Co The Sicilian Chargrilled Vegetables &amp; Basil Tomato Sauce Pizza 550 g</t>
  </si>
  <si>
    <t>Green &amp; Co Tuscan Pepperoni Italian Tomato &amp; Mozarella Pizza 550 g</t>
  </si>
  <si>
    <t>Hershey's Dark Chocolate Sorbet Stick 70 mL</t>
  </si>
  <si>
    <t>Muratbey Shallal Cheese 200 g</t>
  </si>
  <si>
    <t>Oradent Eco Bamboo Floss Picks Plant-Based Mint Flavour Twin Floss 50 pcs</t>
  </si>
  <si>
    <t>Organic Cucumber 500 g</t>
  </si>
  <si>
    <t>Organic Lemon 350 g</t>
  </si>
  <si>
    <t>Organic Potato 450-500 g</t>
  </si>
  <si>
    <t>Pasante Feel Ultra Thin Non-Spermicidal Condoms Pack of 12 pcs</t>
  </si>
  <si>
    <t>Pasante Flavoured Condoms Strawberry, Mint, Chocolate &amp; Blueberry 12 pcs</t>
  </si>
  <si>
    <t>Pasante Regular Non-Spermicidal Latex CE Certified Condoms Pack of 12 pcs</t>
  </si>
  <si>
    <t>Pasante Silk Thin Ultra Thin Latex Condoms Pack of 12 pcs</t>
  </si>
  <si>
    <t>Pure Harvest Lolipop Apples 5 Pcs</t>
  </si>
  <si>
    <t>QminC Curcumin 150 mL</t>
  </si>
  <si>
    <t>Titlis Premium Blended Extra Virgin Olive Oil 500 mL</t>
  </si>
  <si>
    <t>Veet Professional Hair Removal Cream for All Skin Types Legs &amp; Body,100g</t>
  </si>
  <si>
    <t>Parent_category</t>
  </si>
  <si>
    <t>barcode</t>
  </si>
  <si>
    <t>item_description</t>
  </si>
  <si>
    <t>day</t>
  </si>
  <si>
    <t>tier</t>
  </si>
  <si>
    <t>brand_name</t>
  </si>
  <si>
    <t>supplier_name</t>
  </si>
  <si>
    <t>ship_to</t>
  </si>
  <si>
    <t>storage_condition</t>
  </si>
  <si>
    <t>tag</t>
  </si>
  <si>
    <t>sc_ordering</t>
  </si>
  <si>
    <t>Hours_OOS</t>
  </si>
  <si>
    <t>QtySold</t>
  </si>
  <si>
    <t>LOS</t>
  </si>
  <si>
    <t>l14_avg</t>
  </si>
  <si>
    <t>l30_avg</t>
  </si>
  <si>
    <t>l60_avg</t>
  </si>
  <si>
    <t>Sum of l14_avg</t>
  </si>
  <si>
    <t>6221073008104</t>
  </si>
  <si>
    <t>D</t>
  </si>
  <si>
    <t>Ambient</t>
  </si>
  <si>
    <t>7000010013090</t>
  </si>
  <si>
    <t>8445290637437</t>
  </si>
  <si>
    <t>C</t>
  </si>
  <si>
    <t>4901515006678</t>
  </si>
  <si>
    <t>8886472108404</t>
  </si>
  <si>
    <t>41500805016</t>
  </si>
  <si>
    <t>BMJ Global International Trading</t>
  </si>
  <si>
    <t>6290361984635</t>
  </si>
  <si>
    <t>Freezer</t>
  </si>
  <si>
    <t>5060042490035</t>
  </si>
  <si>
    <t>8000300404722</t>
  </si>
  <si>
    <t>M.H.ENTERPRISES LLC</t>
  </si>
  <si>
    <t>7312930002935</t>
  </si>
  <si>
    <t>Stratus General Trading LLC</t>
  </si>
  <si>
    <t>3001260000134</t>
  </si>
  <si>
    <t>Bakemart LLC</t>
  </si>
  <si>
    <t>8445290644824</t>
  </si>
  <si>
    <t>636997283708</t>
  </si>
  <si>
    <t>Party Camel Gifts LLC</t>
  </si>
  <si>
    <t>5425038430462</t>
  </si>
  <si>
    <t>3431410131003</t>
  </si>
  <si>
    <t>7622202247477</t>
  </si>
  <si>
    <t>634240279300</t>
  </si>
  <si>
    <t>Imagine DMCC</t>
  </si>
  <si>
    <t>Chiller</t>
  </si>
  <si>
    <t>5070002032632</t>
  </si>
  <si>
    <t>8901216407336</t>
  </si>
  <si>
    <t>Blue Ocean General Trading LLC</t>
  </si>
  <si>
    <t>614347614372</t>
  </si>
  <si>
    <t>Organic &amp; Bio</t>
  </si>
  <si>
    <t>Kariman Foodstuff Trading LLC</t>
  </si>
  <si>
    <t>810005414548</t>
  </si>
  <si>
    <t>4057278012422</t>
  </si>
  <si>
    <t>5425038430394</t>
  </si>
  <si>
    <t>6281006530683</t>
  </si>
  <si>
    <t>Comfort</t>
  </si>
  <si>
    <t>5000159542753</t>
  </si>
  <si>
    <t>696168101002</t>
  </si>
  <si>
    <t>Oatful FZC</t>
  </si>
  <si>
    <t>3701295700275</t>
  </si>
  <si>
    <t>4006000175027</t>
  </si>
  <si>
    <t>5298005550025</t>
  </si>
  <si>
    <t>GORILLA GENERAL TRADING L.L.C S.O.C</t>
  </si>
  <si>
    <t>7622202276873</t>
  </si>
  <si>
    <t>49733950114</t>
  </si>
  <si>
    <t>4006000172019</t>
  </si>
  <si>
    <t>Barebells Cookies and Cream Milkshake 330 mL</t>
  </si>
  <si>
    <t>6291107845968</t>
  </si>
  <si>
    <t>6298043908009</t>
  </si>
  <si>
    <t>Plaay Snack Food Trading L.L.C</t>
  </si>
  <si>
    <t>636997293622</t>
  </si>
  <si>
    <t>6298042724389</t>
  </si>
  <si>
    <t>6294017124772</t>
  </si>
  <si>
    <t>7226221000595</t>
  </si>
  <si>
    <t>AL LOKRIT INTERNATIONAL )LLC(</t>
  </si>
  <si>
    <t>Fresh Dc</t>
  </si>
  <si>
    <t>6297001056615</t>
  </si>
  <si>
    <t>8906001050971</t>
  </si>
  <si>
    <t>6291108361160</t>
  </si>
  <si>
    <t>6298042161382</t>
  </si>
  <si>
    <t>APlus</t>
  </si>
  <si>
    <t>6772504452985</t>
  </si>
  <si>
    <t>6281006620025</t>
  </si>
  <si>
    <t>1015271004380</t>
  </si>
  <si>
    <t>6298042332027</t>
  </si>
  <si>
    <t>34000124886</t>
  </si>
  <si>
    <t>Hersheyâ€™sÂ</t>
  </si>
  <si>
    <t>Emirates Snack Foods</t>
  </si>
  <si>
    <t>6291079388685</t>
  </si>
  <si>
    <t>FARM FRESH LLC</t>
  </si>
  <si>
    <t>6290361987056</t>
  </si>
  <si>
    <t>6281006594012</t>
  </si>
  <si>
    <t>POND''S</t>
  </si>
  <si>
    <t>4059729245861</t>
  </si>
  <si>
    <t>6291109606000</t>
  </si>
  <si>
    <t>7894904052677</t>
  </si>
  <si>
    <t>ARABIAN OASIS FOOD CO (LLC)</t>
  </si>
  <si>
    <t>4059729207241</t>
  </si>
  <si>
    <t>194251143200</t>
  </si>
  <si>
    <t>6291106763546</t>
  </si>
  <si>
    <t>5060670992062</t>
  </si>
  <si>
    <t>GOLDEN PRAXIS GENERAL TRADING LLC</t>
  </si>
  <si>
    <t>6291107845784</t>
  </si>
  <si>
    <t>6291109429548</t>
  </si>
  <si>
    <t>A12345674</t>
  </si>
  <si>
    <t>HEALTH PLUS GENERAL TRADING LLC</t>
  </si>
  <si>
    <t>8894222026069</t>
  </si>
  <si>
    <t>DRD TRADING FZCO</t>
  </si>
  <si>
    <t>8886472108367</t>
  </si>
  <si>
    <t>6294017137079</t>
  </si>
  <si>
    <t>6291030006122</t>
  </si>
  <si>
    <t>5000137016955</t>
  </si>
  <si>
    <t>4002971280906</t>
  </si>
  <si>
    <t>Hassani Trading Co</t>
  </si>
  <si>
    <t>733739001474</t>
  </si>
  <si>
    <t>6298042161757</t>
  </si>
  <si>
    <t>726529621884</t>
  </si>
  <si>
    <t>BLUE BIRD FOODSTUFF TRADING L.L.C</t>
  </si>
  <si>
    <t>SAMP0193</t>
  </si>
  <si>
    <t>6221073011180</t>
  </si>
  <si>
    <t>8711500696458</t>
  </si>
  <si>
    <t>8445291284098</t>
  </si>
  <si>
    <t>9062300139744</t>
  </si>
  <si>
    <t>850064303032</t>
  </si>
  <si>
    <t>AQAM GENERAL TRADING LLC</t>
  </si>
  <si>
    <t>7622201412333</t>
  </si>
  <si>
    <t>8901216405097</t>
  </si>
  <si>
    <t>792105701653</t>
  </si>
  <si>
    <t>8410660094509</t>
  </si>
  <si>
    <t>Acesur</t>
  </si>
  <si>
    <t>5060493181353</t>
  </si>
  <si>
    <t>Pasante</t>
  </si>
  <si>
    <t>733739148209</t>
  </si>
  <si>
    <t>8901216407169</t>
  </si>
  <si>
    <t>5000159514194</t>
  </si>
  <si>
    <t>6291100609628</t>
  </si>
  <si>
    <t>DO FREEZE (L.L.C.)</t>
  </si>
  <si>
    <t>7340001807356</t>
  </si>
  <si>
    <t>4250035246942</t>
  </si>
  <si>
    <t>8908017962552</t>
  </si>
  <si>
    <t>634240279324</t>
  </si>
  <si>
    <t>5060042490028</t>
  </si>
  <si>
    <t>773602642861</t>
  </si>
  <si>
    <t>3701295700411</t>
  </si>
  <si>
    <t>850022452017</t>
  </si>
  <si>
    <t>Cordyceps Mushroom Extract Powder Pouch 100 g</t>
  </si>
  <si>
    <t>6291053130279</t>
  </si>
  <si>
    <t>5000159538855</t>
  </si>
  <si>
    <t>8809950200483</t>
  </si>
  <si>
    <t>Good Seoul</t>
  </si>
  <si>
    <t>SARYA GENERAL TRADING LLC</t>
  </si>
  <si>
    <t>6291109605560</t>
  </si>
  <si>
    <t>8901216407268</t>
  </si>
  <si>
    <t>34000481736</t>
  </si>
  <si>
    <t>3431410132000</t>
  </si>
  <si>
    <t>3046920023368</t>
  </si>
  <si>
    <t>6291109429555</t>
  </si>
  <si>
    <t>6291030006306</t>
  </si>
  <si>
    <t>9062300131434</t>
  </si>
  <si>
    <t>1015271004625</t>
  </si>
  <si>
    <t>194251133621</t>
  </si>
  <si>
    <t>5000254021825</t>
  </si>
  <si>
    <t>TRANSMED OVERSEAS INCORPORATED S.A.</t>
  </si>
  <si>
    <t>6291103071392</t>
  </si>
  <si>
    <t>5000168040929</t>
  </si>
  <si>
    <t>8906131682417</t>
  </si>
  <si>
    <t>5285000834731</t>
  </si>
  <si>
    <t>HCP FOOD &amp; BEVERAGES TRADING L.L.C</t>
  </si>
  <si>
    <t>634240279294</t>
  </si>
  <si>
    <t>7622202032219</t>
  </si>
  <si>
    <t>3046920030021</t>
  </si>
  <si>
    <t>5202178001925</t>
  </si>
  <si>
    <t>614347628133</t>
  </si>
  <si>
    <t>Organic Sweet Corn 500-600 g</t>
  </si>
  <si>
    <t>Phase out</t>
  </si>
  <si>
    <t>6291061126400</t>
  </si>
  <si>
    <t>ALGT - A Liusie General Trading LLC</t>
  </si>
  <si>
    <t>8700216976930</t>
  </si>
  <si>
    <t>8908017962491</t>
  </si>
  <si>
    <t>7622201734848</t>
  </si>
  <si>
    <t>8588007731919</t>
  </si>
  <si>
    <t>1234567890161</t>
  </si>
  <si>
    <t>Freshclusive BV</t>
  </si>
  <si>
    <t>6298044150087</t>
  </si>
  <si>
    <t>5000213024829</t>
  </si>
  <si>
    <t>8906103796005</t>
  </si>
  <si>
    <t>SBM General Trading LLC</t>
  </si>
  <si>
    <t>8008348003952</t>
  </si>
  <si>
    <t>CASINETTO TRADING LLC</t>
  </si>
  <si>
    <t>5060670992208</t>
  </si>
  <si>
    <t>34000483471</t>
  </si>
  <si>
    <t>6294017124673</t>
  </si>
  <si>
    <t>636997283463</t>
  </si>
  <si>
    <t>112234586</t>
  </si>
  <si>
    <t>FRUITS HUNTER VEGETABLES &amp; FRUITS TRADING LLC</t>
  </si>
  <si>
    <t>6295156229090</t>
  </si>
  <si>
    <t>Suja's Kitchen</t>
  </si>
  <si>
    <t>733739016614</t>
  </si>
  <si>
    <t>764302215844</t>
  </si>
  <si>
    <t>6924635797811</t>
  </si>
  <si>
    <t>6291053130286</t>
  </si>
  <si>
    <t>8908017962583</t>
  </si>
  <si>
    <t>5060670992222</t>
  </si>
  <si>
    <t>810005414456</t>
  </si>
  <si>
    <t>6295120057827</t>
  </si>
  <si>
    <t>Veet</t>
  </si>
  <si>
    <t>6291100601066</t>
  </si>
  <si>
    <t>5060042491339</t>
  </si>
  <si>
    <t>8906001023043</t>
  </si>
  <si>
    <t>Al Maya Trading LLC</t>
  </si>
  <si>
    <t>6295199000311</t>
  </si>
  <si>
    <t>Tremella Mushroom Extract Powder Pouch 100 g</t>
  </si>
  <si>
    <t>Pure Filth</t>
  </si>
  <si>
    <t>PF VENTURES - FZCO</t>
  </si>
  <si>
    <t>6291100607730</t>
  </si>
  <si>
    <t>3701295700268</t>
  </si>
  <si>
    <t>8445290644862</t>
  </si>
  <si>
    <t>6281007053433</t>
  </si>
  <si>
    <t>Alyoum</t>
  </si>
  <si>
    <t>6001091345890</t>
  </si>
  <si>
    <t>636997293677</t>
  </si>
  <si>
    <t>3701295700282</t>
  </si>
  <si>
    <t>6772504452978</t>
  </si>
  <si>
    <t>8008440212528</t>
  </si>
  <si>
    <t>8588004638617</t>
  </si>
  <si>
    <t>3014260275921</t>
  </si>
  <si>
    <t>3800020492925</t>
  </si>
  <si>
    <t>9352047002808</t>
  </si>
  <si>
    <t>7622202255526</t>
  </si>
  <si>
    <t>7622201401863</t>
  </si>
  <si>
    <t>Sample6297001407103</t>
  </si>
  <si>
    <t>504735</t>
  </si>
  <si>
    <t>B</t>
  </si>
  <si>
    <t>Celery</t>
  </si>
  <si>
    <t>4059729302908</t>
  </si>
  <si>
    <t>733739004666</t>
  </si>
  <si>
    <t>773602685448</t>
  </si>
  <si>
    <t>5000159566766</t>
  </si>
  <si>
    <t>5000426171518</t>
  </si>
  <si>
    <t>3046920023429</t>
  </si>
  <si>
    <t>4006000174594</t>
  </si>
  <si>
    <t>41500053448</t>
  </si>
  <si>
    <t>614347671139</t>
  </si>
  <si>
    <t>5903839080074</t>
  </si>
  <si>
    <t>6298044150063</t>
  </si>
  <si>
    <t>6291100601134</t>
  </si>
  <si>
    <t>6291100607747</t>
  </si>
  <si>
    <t>6772504452244</t>
  </si>
  <si>
    <t>4059729348319</t>
  </si>
  <si>
    <t>6772504452251</t>
  </si>
  <si>
    <t>8886467030208</t>
  </si>
  <si>
    <t>GULF TRADING &amp; REFRIGERATING CO.L.L.C.</t>
  </si>
  <si>
    <t>6294017137048</t>
  </si>
  <si>
    <t>9341070000400</t>
  </si>
  <si>
    <t>9341070003760</t>
  </si>
  <si>
    <t>A12345678</t>
  </si>
  <si>
    <t>5298005550124</t>
  </si>
  <si>
    <t>6291109852377</t>
  </si>
  <si>
    <t>792105701660</t>
  </si>
  <si>
    <t>850064303179</t>
  </si>
  <si>
    <t>5000168004167</t>
  </si>
  <si>
    <t>6221073012255</t>
  </si>
  <si>
    <t>4059729302809</t>
  </si>
  <si>
    <t>8588007731902</t>
  </si>
  <si>
    <t>4250035246959</t>
  </si>
  <si>
    <t>6772504452299</t>
  </si>
  <si>
    <t>6291107845951</t>
  </si>
  <si>
    <t>6291109606017</t>
  </si>
  <si>
    <t>5060402907944</t>
  </si>
  <si>
    <t>8588004638631</t>
  </si>
  <si>
    <t>8908017962507</t>
  </si>
  <si>
    <t>4057278012446</t>
  </si>
  <si>
    <t>5060670992239</t>
  </si>
  <si>
    <t>748927068030</t>
  </si>
  <si>
    <t>733603100968</t>
  </si>
  <si>
    <t>1015271004526</t>
  </si>
  <si>
    <t>6772504452701</t>
  </si>
  <si>
    <t>6772504452336</t>
  </si>
  <si>
    <t>6295151302408</t>
  </si>
  <si>
    <t>GYMA TRADING LLC</t>
  </si>
  <si>
    <t>504759</t>
  </si>
  <si>
    <t>Kiwi</t>
  </si>
  <si>
    <t>Fresh Fruits Company</t>
  </si>
  <si>
    <t>SAMP011</t>
  </si>
  <si>
    <t>6291108541494</t>
  </si>
  <si>
    <t>5900020047571</t>
  </si>
  <si>
    <t>3046920030007</t>
  </si>
  <si>
    <t>5060517511296</t>
  </si>
  <si>
    <t>9352047002778</t>
  </si>
  <si>
    <t>6281006618138</t>
  </si>
  <si>
    <t>6291030006115</t>
  </si>
  <si>
    <t>4006000172187</t>
  </si>
  <si>
    <t>5056357905869</t>
  </si>
  <si>
    <t>6291033036072</t>
  </si>
  <si>
    <t>Fun</t>
  </si>
  <si>
    <t>AL BAYADER INTERNATIONAL LLC</t>
  </si>
  <si>
    <t>6291079218258</t>
  </si>
  <si>
    <t>Chilled</t>
  </si>
  <si>
    <t>6291109604754</t>
  </si>
  <si>
    <t>4640167417547</t>
  </si>
  <si>
    <t>8006540907849</t>
  </si>
  <si>
    <t>5060042490011</t>
  </si>
  <si>
    <t>8908006217892</t>
  </si>
  <si>
    <t>6290360086316</t>
  </si>
  <si>
    <t>3387390124439</t>
  </si>
  <si>
    <t>5036854002360</t>
  </si>
  <si>
    <t>1015271004618</t>
  </si>
  <si>
    <t>6281028104121</t>
  </si>
  <si>
    <t>Tanmiah</t>
  </si>
  <si>
    <t>AGRICULTURAL DEVELOPMENT COMPANY LTD DUBAI BRANCH</t>
  </si>
  <si>
    <t>5056357915141</t>
  </si>
  <si>
    <t>850064303025</t>
  </si>
  <si>
    <t>7622210170507</t>
  </si>
  <si>
    <t>8908017962538</t>
  </si>
  <si>
    <t>3046920023351</t>
  </si>
  <si>
    <t>6298043908023</t>
  </si>
  <si>
    <t>6291109603559</t>
  </si>
  <si>
    <t>6290361987629</t>
  </si>
  <si>
    <t>1015271004656</t>
  </si>
  <si>
    <t>3431410001023</t>
  </si>
  <si>
    <t>41500745107</t>
  </si>
  <si>
    <t>6298042332003</t>
  </si>
  <si>
    <t>8445291773066</t>
  </si>
  <si>
    <t>Nestle Fitness Cranberries, Pumpkin Seeds with Wholegrain Oat 350g</t>
  </si>
  <si>
    <t>6298042161764</t>
  </si>
  <si>
    <t>6291102013348</t>
  </si>
  <si>
    <t>AL TAYEB INTERNATIONAL GENERAL TRADING LLC</t>
  </si>
  <si>
    <t>6297001056622</t>
  </si>
  <si>
    <t>6291053013121</t>
  </si>
  <si>
    <t>6772504452282</t>
  </si>
  <si>
    <t>8809447256221</t>
  </si>
  <si>
    <t>7312930009828</t>
  </si>
  <si>
    <t>4897071928205</t>
  </si>
  <si>
    <t>6221073008043</t>
  </si>
  <si>
    <t>50166398</t>
  </si>
  <si>
    <t>810124194062</t>
  </si>
  <si>
    <t>Oradent</t>
  </si>
  <si>
    <t>7622202247491</t>
  </si>
  <si>
    <t>1015260003820</t>
  </si>
  <si>
    <t>733603100975</t>
  </si>
  <si>
    <t>7312930009842</t>
  </si>
  <si>
    <t>6298042161603</t>
  </si>
  <si>
    <t>Biofarm Foodstuffs Trading Llc</t>
  </si>
  <si>
    <t>8588007731476</t>
  </si>
  <si>
    <t>1015271004663</t>
  </si>
  <si>
    <t>4059729382412</t>
  </si>
  <si>
    <t>8901216405264</t>
  </si>
  <si>
    <t>5285000838494</t>
  </si>
  <si>
    <t>6772504452169</t>
  </si>
  <si>
    <t>6291109891079</t>
  </si>
  <si>
    <t>ALAIN FOOD &amp; BEVERAGES PJSC</t>
  </si>
  <si>
    <t>4059729323965</t>
  </si>
  <si>
    <t>8935001727309</t>
  </si>
  <si>
    <t>6281034916220</t>
  </si>
  <si>
    <t>5000159479141</t>
  </si>
  <si>
    <t>6291109605997</t>
  </si>
  <si>
    <t>6291107846019</t>
  </si>
  <si>
    <t>634240279317</t>
  </si>
  <si>
    <t>885652001137</t>
  </si>
  <si>
    <t>3535800111405</t>
  </si>
  <si>
    <t>FTLPCOCOT2025</t>
  </si>
  <si>
    <t>5060042491322</t>
  </si>
  <si>
    <t>6953440511800</t>
  </si>
  <si>
    <t>5039378005176</t>
  </si>
  <si>
    <t>6291109603986</t>
  </si>
  <si>
    <t>6298043908016</t>
  </si>
  <si>
    <t>4059729466242</t>
  </si>
  <si>
    <t>792105023588</t>
  </si>
  <si>
    <t>Frio Beverages Trading</t>
  </si>
  <si>
    <t>5000159567022</t>
  </si>
  <si>
    <t>4640167417509</t>
  </si>
  <si>
    <t>6281034916237</t>
  </si>
  <si>
    <t>6291100601141</t>
  </si>
  <si>
    <t>746775036744</t>
  </si>
  <si>
    <t>AL SHULA GENERAL TRADING CO L.L.C</t>
  </si>
  <si>
    <t>10120432</t>
  </si>
  <si>
    <t>Pumpkin</t>
  </si>
  <si>
    <t>7622202248306</t>
  </si>
  <si>
    <t>8684704660276</t>
  </si>
  <si>
    <t>6291102013553</t>
  </si>
  <si>
    <t>5060670992215</t>
  </si>
  <si>
    <t>Omo Power Capsules Laundry Detergent Rose Musk 15 Capsules</t>
  </si>
  <si>
    <t>6953440511770</t>
  </si>
  <si>
    <t>6297000670386</t>
  </si>
  <si>
    <t>Balade Farms Food Industries LLC</t>
  </si>
  <si>
    <t>859795006786</t>
  </si>
  <si>
    <t>810011080027</t>
  </si>
  <si>
    <t>810011080478</t>
  </si>
  <si>
    <t>7312930009835</t>
  </si>
  <si>
    <t>6291108549988</t>
  </si>
  <si>
    <t>6291079388692</t>
  </si>
  <si>
    <t>8901216407275</t>
  </si>
  <si>
    <t>34000140718</t>
  </si>
  <si>
    <t>636997282350</t>
  </si>
  <si>
    <t>6953440511718</t>
  </si>
  <si>
    <t>6291107845999</t>
  </si>
  <si>
    <t>1015260003806</t>
  </si>
  <si>
    <t>764302290315</t>
  </si>
  <si>
    <t>850064303018</t>
  </si>
  <si>
    <t>5060216564142</t>
  </si>
  <si>
    <t>9341070003685</t>
  </si>
  <si>
    <t>9421903461483</t>
  </si>
  <si>
    <t>Country Hill International</t>
  </si>
  <si>
    <t>4006000173306</t>
  </si>
  <si>
    <t>9352047002792</t>
  </si>
  <si>
    <t>5060216564098</t>
  </si>
  <si>
    <t>HP382602</t>
  </si>
  <si>
    <t>5202178001901</t>
  </si>
  <si>
    <t>7622202295447</t>
  </si>
  <si>
    <t>7622201734862</t>
  </si>
  <si>
    <t>QminC Ginger with Honey 150 mL</t>
  </si>
  <si>
    <t>6291106763553</t>
  </si>
  <si>
    <t>Raffa Sort</t>
  </si>
  <si>
    <t>6291061136294</t>
  </si>
  <si>
    <t>6291079388708</t>
  </si>
  <si>
    <t>194251133508</t>
  </si>
  <si>
    <t>5000159555630</t>
  </si>
  <si>
    <t>194251139913</t>
  </si>
  <si>
    <t>6281007073066</t>
  </si>
  <si>
    <t>8002873014186</t>
  </si>
  <si>
    <t>ARAMTEC GENERAL TRADING LLC</t>
  </si>
  <si>
    <t>Reishi Mushroom Extract Powder Pouch 100 g</t>
  </si>
  <si>
    <t>5056357915110</t>
  </si>
  <si>
    <t>636997293745</t>
  </si>
  <si>
    <t>6953440511817</t>
  </si>
  <si>
    <t>4059729382665</t>
  </si>
  <si>
    <t>5202234630380</t>
  </si>
  <si>
    <t>Alpha One Trading LLC</t>
  </si>
  <si>
    <t>8002873015145</t>
  </si>
  <si>
    <t>859795006793</t>
  </si>
  <si>
    <t>8906103790942</t>
  </si>
  <si>
    <t>6290361984642</t>
  </si>
  <si>
    <t>7340001807363</t>
  </si>
  <si>
    <t>6772504452718</t>
  </si>
  <si>
    <t>5060941970027</t>
  </si>
  <si>
    <t>6291053041612</t>
  </si>
  <si>
    <t>6290360081564</t>
  </si>
  <si>
    <t>6298042161771</t>
  </si>
  <si>
    <t>194251142999</t>
  </si>
  <si>
    <t>34000952779</t>
  </si>
  <si>
    <t>764302290629</t>
  </si>
  <si>
    <t>AFORSC2</t>
  </si>
  <si>
    <t>Aranya Farms General Trading LLC</t>
  </si>
  <si>
    <t>6271100041574</t>
  </si>
  <si>
    <t>6290361987636</t>
  </si>
  <si>
    <t>7312930008975</t>
  </si>
  <si>
    <t>6291109429531</t>
  </si>
  <si>
    <t>6291061130971</t>
  </si>
  <si>
    <t>6291102145766</t>
  </si>
  <si>
    <t>Admirals Trading LLC</t>
  </si>
  <si>
    <t>7622201730413</t>
  </si>
  <si>
    <t>6291053013145</t>
  </si>
  <si>
    <t>1015271004571</t>
  </si>
  <si>
    <t>6291109891086</t>
  </si>
  <si>
    <t>6291106763577</t>
  </si>
  <si>
    <t>8906094141211</t>
  </si>
  <si>
    <t>3701295700299</t>
  </si>
  <si>
    <t>4057278012491</t>
  </si>
  <si>
    <t>764302215592</t>
  </si>
  <si>
    <t>6298042332010</t>
  </si>
  <si>
    <t>6295199000274</t>
  </si>
  <si>
    <t>636997281971</t>
  </si>
  <si>
    <t>Turkey Tail Mushroom Extract Powder Pouch 100 g</t>
  </si>
  <si>
    <t>4640167403755</t>
  </si>
  <si>
    <t>5425038430424</t>
  </si>
  <si>
    <t>6953440511619</t>
  </si>
  <si>
    <t>4059729271136</t>
  </si>
  <si>
    <t>6291108549964</t>
  </si>
  <si>
    <t>5056357915189</t>
  </si>
  <si>
    <t>8904063259356</t>
  </si>
  <si>
    <t>3535800009795</t>
  </si>
  <si>
    <t>6294017137109</t>
  </si>
  <si>
    <t>7312930003406</t>
  </si>
  <si>
    <t>5000168041469</t>
  </si>
  <si>
    <t>5425038430387</t>
  </si>
  <si>
    <t>636997304403</t>
  </si>
  <si>
    <t>5060517511289</t>
  </si>
  <si>
    <t>71662470029</t>
  </si>
  <si>
    <t>6291108549650</t>
  </si>
  <si>
    <t>59946328</t>
  </si>
  <si>
    <t>5902854106387</t>
  </si>
  <si>
    <t>Grand Total</t>
  </si>
  <si>
    <t>6298042161610</t>
  </si>
  <si>
    <t>ARABIAN FARMS DEVELOPMENT CO. L.L.C</t>
  </si>
  <si>
    <t>6297001618462</t>
  </si>
  <si>
    <t>5202234630458</t>
  </si>
  <si>
    <t>8588004638624</t>
  </si>
  <si>
    <t>730167934503</t>
  </si>
  <si>
    <t>1015271004533</t>
  </si>
  <si>
    <t>810005414562</t>
  </si>
  <si>
    <t>6291108549971</t>
  </si>
  <si>
    <t>6298043908030</t>
  </si>
  <si>
    <t>8908017962545</t>
  </si>
  <si>
    <t>6295151302392</t>
  </si>
  <si>
    <t>6291108548721</t>
  </si>
  <si>
    <t>SAMP009</t>
  </si>
  <si>
    <t>SAMP013</t>
  </si>
  <si>
    <t>6294017137130</t>
  </si>
  <si>
    <t>5070002032601</t>
  </si>
  <si>
    <t>748927052237</t>
  </si>
  <si>
    <t>7613287509505</t>
  </si>
  <si>
    <t>8886472108312</t>
  </si>
  <si>
    <t>6281034916244</t>
  </si>
  <si>
    <t>1015271004373</t>
  </si>
  <si>
    <t>8908017962484</t>
  </si>
  <si>
    <t>5000159551281</t>
  </si>
  <si>
    <t>8809950200490</t>
  </si>
  <si>
    <t>7226221000598</t>
  </si>
  <si>
    <t>6291030006436</t>
  </si>
  <si>
    <t>8908004343203</t>
  </si>
  <si>
    <t>5060042490004</t>
  </si>
  <si>
    <t>6298042161368</t>
  </si>
  <si>
    <t>764302290209</t>
  </si>
  <si>
    <t>MAC002</t>
  </si>
  <si>
    <t>636997304397</t>
  </si>
  <si>
    <t>MAC001</t>
  </si>
  <si>
    <t>5000289933605</t>
  </si>
  <si>
    <t>8588007731513</t>
  </si>
  <si>
    <t>810005414463</t>
  </si>
  <si>
    <t>6291103078261</t>
  </si>
  <si>
    <t>1015271004694</t>
  </si>
  <si>
    <t>6291108361122</t>
  </si>
  <si>
    <t>8908006217090</t>
  </si>
  <si>
    <t>Sample23224</t>
  </si>
  <si>
    <t>Banana</t>
  </si>
  <si>
    <t>5283013333364</t>
  </si>
  <si>
    <t>IDEAL SWEET AND PASTRY L.L.C</t>
  </si>
  <si>
    <t>QminC</t>
  </si>
  <si>
    <t>Titlis</t>
  </si>
  <si>
    <t>Desi Foods Dairy Products Manufacturing CO. L.L.C.</t>
  </si>
  <si>
    <t>7Up</t>
  </si>
  <si>
    <t>AL JAZIRA POULTRY FARM LLC</t>
  </si>
  <si>
    <t>Broccoli</t>
  </si>
  <si>
    <t>Earth Choice</t>
  </si>
  <si>
    <t>HOTPACK PACKAGING LLC</t>
  </si>
  <si>
    <t>Unifresh Foodstuff Trading LLC</t>
  </si>
  <si>
    <t>Kinder Chocolate &amp; Biscuit Crumb Coating Crispy Wafer Bar Bars 170 g (Multipack of 5)</t>
  </si>
  <si>
    <t>FERGULF TRADING UAE L.L.C</t>
  </si>
  <si>
    <t>Taylors Of Harrogate Yorkshire Classic Black Tea Bags 22 g x 10 Tea Bags</t>
  </si>
  <si>
    <t>Taylors Of Harrogate</t>
  </si>
  <si>
    <t>Fresh Sandouk</t>
  </si>
  <si>
    <t>A</t>
  </si>
  <si>
    <t>Organic Avocado Kenya 300-350 g</t>
  </si>
  <si>
    <t>Currants</t>
  </si>
  <si>
    <t>ARLA FOODS LLC</t>
  </si>
  <si>
    <t>Driscoll's</t>
  </si>
  <si>
    <t>Berry Mount Vegetables And Fruit Trading LLC</t>
  </si>
  <si>
    <t>Muratbey</t>
  </si>
  <si>
    <t>Lebanese Fruit Co. LLC</t>
  </si>
  <si>
    <t>Organic Orange 450-500 g</t>
  </si>
  <si>
    <t>IFFCO DISTRIBUTION SERVICES FZCO (DUBAI BRANCH)</t>
  </si>
  <si>
    <t>Cucumber</t>
  </si>
  <si>
    <t>subcategory</t>
  </si>
  <si>
    <t>asp_bucket</t>
  </si>
  <si>
    <t>Concat</t>
  </si>
  <si>
    <t>total_sku_locations</t>
  </si>
  <si>
    <t>non_moving_sku_locations</t>
  </si>
  <si>
    <t>non_moving_sku_pct</t>
  </si>
  <si>
    <t>total_onhand</t>
  </si>
  <si>
    <t>non_moving_onhand</t>
  </si>
  <si>
    <t>non_moving_onhand_pct</t>
  </si>
  <si>
    <t>10-15</t>
  </si>
  <si>
    <t>No Sales</t>
  </si>
  <si>
    <t>5-10</t>
  </si>
  <si>
    <t>Earphones</t>
  </si>
  <si>
    <t>Padel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</si>
</sst>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d"/>
    <numFmt numFmtId="165" formatCode="dd-mmm"/>
    <numFmt numFmtId="166" formatCode="m-d"/>
  </numFmts>
  <fonts count="65">
    <font>
      <sz val="10.0"/>
      <color rgb="FF000000"/>
      <name val="Arial"/>
      <scheme val="minor"/>
    </font>
    <font>
      <b/>
      <color theme="1"/>
      <name val="Arial"/>
      <scheme val="minor"/>
    </font>
    <font>
      <color theme="1"/>
      <name val="Arial"/>
      <scheme val="minor"/>
    </font>
    <font>
      <u/>
      <color rgb="FF0000FF"/>
    </font>
    <font>
      <color theme="1"/>
      <name val="Arial"/>
    </font>
    <font>
      <sz val="11.0"/>
      <color rgb="FF000000"/>
      <name val="Calibri"/>
    </font>
    <font>
      <b/>
      <sz val="9.0"/>
      <color rgb="FF185FA5"/>
      <name val="Arial"/>
    </font>
    <font>
      <b/>
      <sz val="9.0"/>
      <color rgb="FF3B6D11"/>
      <name val="Arial"/>
    </font>
    <font>
      <b/>
      <sz val="9.0"/>
      <color rgb="FF5F5E5A"/>
      <name val="Arial"/>
    </font>
    <font>
      <b/>
      <sz val="9.0"/>
      <color rgb="FF854F0B"/>
      <name val="Arial"/>
    </font>
    <font>
      <b/>
      <sz val="9.0"/>
      <color rgb="FFA32D2D"/>
      <name val="Arial"/>
    </font>
    <font>
      <b/>
      <sz val="13.0"/>
      <color rgb="FFFFFFFF"/>
      <name val="Arial"/>
    </font>
    <font>
      <b/>
      <sz val="9.0"/>
      <color rgb="FFFFFFFF"/>
      <name val="Arial"/>
    </font>
    <font>
      <b/>
      <color rgb="FFFFFFFF"/>
      <name val="Arial"/>
    </font>
    <font/>
    <font>
      <b/>
      <sz val="9.0"/>
      <color theme="1"/>
      <name val="Arial"/>
    </font>
    <font>
      <sz val="9.0"/>
      <color theme="1"/>
      <name val="Arial"/>
    </font>
    <font>
      <b/>
      <sz val="9.0"/>
      <color rgb="FF3D3D3A"/>
      <name val="Arial"/>
    </font>
    <font>
      <sz val="9.0"/>
      <color rgb="FF141413"/>
      <name val="Arial"/>
    </font>
    <font>
      <b/>
      <sz val="9.0"/>
      <color rgb="FF141413"/>
      <name val="Arial"/>
    </font>
    <font>
      <b/>
      <sz val="8.0"/>
      <color rgb="FFFFFFFF"/>
      <name val="Arial"/>
    </font>
    <font>
      <b/>
      <sz val="9.0"/>
      <color rgb="FF1A1A2E"/>
      <name val="Arial"/>
    </font>
    <font>
      <b/>
      <sz val="9.0"/>
      <color rgb="FF1F497D"/>
      <name val="Arial"/>
    </font>
    <font>
      <i/>
      <sz val="7.0"/>
      <color rgb="FF888888"/>
      <name val="Arial"/>
    </font>
    <font>
      <b/>
      <i/>
      <sz val="7.0"/>
      <color rgb="FFFF0000"/>
      <name val="Arial"/>
    </font>
    <font>
      <b/>
      <sz val="8.0"/>
      <color rgb="FF1A1A2E"/>
      <name val="Arial"/>
    </font>
    <font>
      <sz val="9.0"/>
      <color rgb="FF888888"/>
      <name val="Arial"/>
    </font>
    <font>
      <b/>
      <sz val="9.0"/>
      <color rgb="FF1D6B2E"/>
      <name val="Arial"/>
    </font>
    <font>
      <b/>
      <color rgb="FF7F4F00"/>
      <name val="Arial"/>
    </font>
    <font>
      <b/>
      <color rgb="FF1A6B70"/>
      <name val="Arial"/>
    </font>
    <font>
      <b/>
      <sz val="11.0"/>
      <color rgb="FFFF0000"/>
      <name val="Calibri"/>
    </font>
    <font>
      <b/>
      <sz val="9.0"/>
      <color rgb="FF38761D"/>
      <name val="Arial"/>
    </font>
    <font>
      <i/>
      <sz val="8.0"/>
      <color rgb="FFBBBBBB"/>
      <name val="Arial"/>
    </font>
    <font>
      <sz val="9.0"/>
      <color rgb="FF1A1A2E"/>
      <name val="Arial"/>
    </font>
    <font>
      <sz val="11.0"/>
      <color theme="1"/>
      <name val="Calibri"/>
    </font>
    <font>
      <b/>
      <sz val="9.0"/>
      <color rgb="FFB45F06"/>
      <name val="Arial"/>
    </font>
    <font>
      <sz val="8.0"/>
      <color rgb="FF1A1A2E"/>
      <name val="Arial"/>
    </font>
    <font>
      <color rgb="FF000000"/>
      <name val="&quot;Aptos Narrow&quot;"/>
    </font>
    <font>
      <b/>
      <u/>
      <sz val="10.0"/>
      <color rgb="FFFFFFFF"/>
      <name val="Arial"/>
    </font>
    <font>
      <b/>
      <u/>
      <sz val="9.0"/>
      <color rgb="FFFFFFFF"/>
      <name val="Arial"/>
    </font>
    <font>
      <b/>
      <u/>
      <sz val="8.0"/>
      <color rgb="FFFFFFFF"/>
      <name val="Arial"/>
    </font>
    <font>
      <b/>
      <color rgb="FF434343"/>
      <name val="Arial"/>
      <scheme val="minor"/>
    </font>
    <font>
      <b/>
      <sz val="8.0"/>
      <color rgb="FF434343"/>
      <name val="&quot;Aptos Slab Light&quot;"/>
    </font>
    <font>
      <b/>
      <sz val="8.0"/>
      <color rgb="FF434343"/>
      <name val="Arial"/>
    </font>
    <font>
      <b/>
      <sz val="8.0"/>
      <color rgb="FF434343"/>
      <name val="Arial"/>
      <scheme val="minor"/>
    </font>
    <font>
      <b/>
      <color rgb="FF434343"/>
      <name val="Arial"/>
    </font>
    <font>
      <sz val="8.0"/>
      <color theme="1"/>
      <name val="Arial"/>
      <scheme val="minor"/>
    </font>
    <font>
      <b/>
      <color theme="1"/>
      <name val="Arial"/>
    </font>
    <font>
      <sz val="7.0"/>
      <color rgb="FF1A1A2E"/>
      <name val="Arial"/>
    </font>
    <font>
      <b/>
      <color rgb="FF0000FF"/>
      <name val="Arial"/>
    </font>
    <font>
      <b/>
      <sz val="8.0"/>
      <color rgb="FF1D6B2E"/>
      <name val="Arial"/>
    </font>
    <font>
      <sz val="8.0"/>
      <color rgb="FF0C447C"/>
      <name val="Arial"/>
    </font>
    <font>
      <color rgb="FFFF0000"/>
      <name val="Arial"/>
    </font>
    <font>
      <color rgb="FFFF0000"/>
      <name val="Arial"/>
      <scheme val="minor"/>
    </font>
    <font>
      <color rgb="FF000000"/>
      <name val="Arial"/>
    </font>
    <font>
      <b/>
      <sz val="9.0"/>
      <color rgb="FF0C447C"/>
      <name val="Arial"/>
    </font>
    <font>
      <sz val="9.0"/>
      <color rgb="FF27500A"/>
      <name val="Arial"/>
    </font>
    <font>
      <b/>
      <sz val="9.0"/>
      <color rgb="FF633806"/>
      <name val="Arial"/>
    </font>
    <font>
      <sz val="9.0"/>
      <color rgb="FF633806"/>
      <name val="Arial"/>
    </font>
    <font>
      <b/>
      <sz val="9.0"/>
      <color rgb="FF791F1F"/>
      <name val="Arial"/>
    </font>
    <font>
      <sz val="9.0"/>
      <color rgb="FF791F1F"/>
      <name val="Arial"/>
    </font>
    <font>
      <sz val="7.0"/>
      <color rgb="FF3D3D3A"/>
      <name val="Arial"/>
    </font>
    <font>
      <i/>
      <sz val="9.0"/>
      <color rgb="FFFF0000"/>
      <name val="Ui-monospace"/>
    </font>
    <font>
      <b/>
      <color rgb="FF000000"/>
      <name val="&quot;Aptos Narrow&quot;"/>
    </font>
    <font>
      <b/>
      <sz val="11.0"/>
      <color rgb="FF000000"/>
      <name val="Calibri"/>
    </font>
  </fonts>
  <fills count="31">
    <fill>
      <patternFill patternType="none"/>
    </fill>
    <fill>
      <patternFill patternType="lightGray"/>
    </fill>
    <fill>
      <patternFill patternType="solid">
        <fgColor rgb="FFEAF3DE"/>
        <bgColor rgb="FFEAF3DE"/>
      </patternFill>
    </fill>
    <fill>
      <patternFill patternType="solid">
        <fgColor rgb="FFFAEEDA"/>
        <bgColor rgb="FFFAEEDA"/>
      </patternFill>
    </fill>
    <fill>
      <patternFill patternType="solid">
        <fgColor rgb="FFFCEBEB"/>
        <bgColor rgb="FFFCEBEB"/>
      </patternFill>
    </fill>
    <fill>
      <patternFill patternType="solid">
        <fgColor rgb="FF1F3864"/>
        <bgColor rgb="FF1F3864"/>
      </patternFill>
    </fill>
    <fill>
      <patternFill patternType="solid">
        <fgColor rgb="FF2E4057"/>
        <bgColor rgb="FF2E4057"/>
      </patternFill>
    </fill>
    <fill>
      <patternFill patternType="solid">
        <fgColor rgb="FF1A6B70"/>
        <bgColor rgb="FF1A6B70"/>
      </patternFill>
    </fill>
    <fill>
      <patternFill patternType="solid">
        <fgColor rgb="FFF5F5F5"/>
        <bgColor rgb="FFF5F5F5"/>
      </patternFill>
    </fill>
    <fill>
      <patternFill patternType="solid">
        <fgColor rgb="FFFFFFFF"/>
        <bgColor rgb="FFFFFFFF"/>
      </patternFill>
    </fill>
    <fill>
      <patternFill patternType="solid">
        <fgColor rgb="FFE6F1FB"/>
        <bgColor rgb="FFE6F1FB"/>
      </patternFill>
    </fill>
    <fill>
      <patternFill patternType="solid">
        <fgColor rgb="FFF1EFE8"/>
        <bgColor rgb="FFF1EFE8"/>
      </patternFill>
    </fill>
    <fill>
      <patternFill patternType="solid">
        <fgColor rgb="FFD9E8F5"/>
        <bgColor rgb="FFD9E8F5"/>
      </patternFill>
    </fill>
    <fill>
      <patternFill patternType="solid">
        <fgColor rgb="FFD6E4F7"/>
        <bgColor rgb="FFD6E4F7"/>
      </patternFill>
    </fill>
    <fill>
      <patternFill patternType="solid">
        <fgColor rgb="FFEBF3FB"/>
        <bgColor rgb="FFEBF3FB"/>
      </patternFill>
    </fill>
    <fill>
      <patternFill patternType="solid">
        <fgColor rgb="FFFFF2CC"/>
        <bgColor rgb="FFFFF2CC"/>
      </patternFill>
    </fill>
    <fill>
      <patternFill patternType="solid">
        <fgColor rgb="FFFFF0E0"/>
        <bgColor rgb="FFFFF0E0"/>
      </patternFill>
    </fill>
    <fill>
      <patternFill patternType="solid">
        <fgColor rgb="FFDDEEDD"/>
        <bgColor rgb="FFDDEEDD"/>
      </patternFill>
    </fill>
    <fill>
      <patternFill patternType="solid">
        <fgColor rgb="FFF8F8FA"/>
        <bgColor rgb="FFF8F8FA"/>
      </patternFill>
    </fill>
    <fill>
      <patternFill patternType="solid">
        <fgColor rgb="FFD9EAD3"/>
        <bgColor rgb="FFD9EAD3"/>
      </patternFill>
    </fill>
    <fill>
      <patternFill patternType="solid">
        <fgColor rgb="FFEAF5E4"/>
        <bgColor rgb="FFEAF5E4"/>
      </patternFill>
    </fill>
    <fill>
      <patternFill patternType="solid">
        <fgColor rgb="FFFCE5CD"/>
        <bgColor rgb="FFFCE5CD"/>
      </patternFill>
    </fill>
    <fill>
      <patternFill patternType="solid">
        <fgColor rgb="FFFEF2E6"/>
        <bgColor rgb="FFFEF2E6"/>
      </patternFill>
    </fill>
    <fill>
      <patternFill patternType="solid">
        <fgColor rgb="FF8B4000"/>
        <bgColor rgb="FF8B4000"/>
      </patternFill>
    </fill>
    <fill>
      <patternFill patternType="solid">
        <fgColor rgb="FFE8F0FF"/>
        <bgColor rgb="FFE8F0FF"/>
      </patternFill>
    </fill>
    <fill>
      <patternFill patternType="solid">
        <fgColor rgb="FFFFFF00"/>
        <bgColor rgb="FFFFFF00"/>
      </patternFill>
    </fill>
    <fill>
      <patternFill patternType="solid">
        <fgColor rgb="FF16365C"/>
        <bgColor rgb="FF16365C"/>
      </patternFill>
    </fill>
    <fill>
      <patternFill patternType="solid">
        <fgColor rgb="FFFDE9D9"/>
        <bgColor rgb="FFFDE9D9"/>
      </patternFill>
    </fill>
    <fill>
      <patternFill patternType="solid">
        <fgColor rgb="FFDCE6F1"/>
        <bgColor rgb="FFDCE6F1"/>
      </patternFill>
    </fill>
    <fill>
      <patternFill patternType="solid">
        <fgColor rgb="FFEBF1DE"/>
        <bgColor rgb="FFEBF1DE"/>
      </patternFill>
    </fill>
    <fill>
      <patternFill patternType="solid">
        <fgColor rgb="FFC0E6F5"/>
        <bgColor rgb="FFC0E6F5"/>
      </patternFill>
    </fill>
  </fills>
  <borders count="17">
    <border/>
    <border>
      <left style="thin">
        <color rgb="FF000000"/>
      </left>
      <right style="thin">
        <color rgb="FF000000"/>
      </right>
      <top style="thin">
        <color rgb="FF000000"/>
      </top>
      <bottom style="thin">
        <color rgb="FF000000"/>
      </bottom>
    </border>
    <border>
      <left style="thin">
        <color rgb="FFD0D0D0"/>
      </left>
      <top style="thin">
        <color rgb="FFD0D0D0"/>
      </top>
      <bottom style="thin">
        <color rgb="FFD0D0D0"/>
      </bottom>
    </border>
    <border>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D0D0D0"/>
      </right>
      <top style="thin">
        <color rgb="FFD0D0D0"/>
      </top>
      <bottom style="thin">
        <color rgb="FFD0D0D0"/>
      </bottom>
    </border>
    <border>
      <left style="thin">
        <color rgb="FFCCCCCC"/>
      </left>
      <right style="thin">
        <color rgb="FFCCCCCC"/>
      </right>
      <top style="thin">
        <color rgb="FFCCCCCC"/>
      </top>
      <bottom style="thin">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bottom style="thin">
        <color rgb="FF44B3E1"/>
      </bottom>
    </border>
    <border>
      <top style="thin">
        <color rgb="FF44B3E1"/>
      </top>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horizontal="left" readingOrder="0" shrinkToFit="0" vertical="bottom" wrapText="0"/>
    </xf>
    <xf borderId="1" fillId="0" fontId="6" numFmtId="0" xfId="0" applyAlignment="1" applyBorder="1" applyFont="1">
      <alignment horizontal="center" readingOrder="0"/>
    </xf>
    <xf borderId="1" fillId="2" fontId="7" numFmtId="0" xfId="0" applyAlignment="1" applyBorder="1" applyFill="1" applyFont="1">
      <alignment horizontal="center" vertical="bottom"/>
    </xf>
    <xf borderId="1" fillId="0" fontId="8" numFmtId="0" xfId="0" applyAlignment="1" applyBorder="1" applyFont="1">
      <alignment horizontal="center" readingOrder="0"/>
    </xf>
    <xf borderId="1" fillId="3" fontId="9" numFmtId="0" xfId="0" applyAlignment="1" applyBorder="1" applyFill="1" applyFont="1">
      <alignment horizontal="center" vertical="bottom"/>
    </xf>
    <xf borderId="1" fillId="2" fontId="7" numFmtId="0" xfId="0" applyAlignment="1" applyBorder="1" applyFont="1">
      <alignment horizontal="center" readingOrder="0" vertical="bottom"/>
    </xf>
    <xf borderId="1" fillId="4" fontId="10" numFmtId="0" xfId="0" applyAlignment="1" applyBorder="1" applyFill="1" applyFont="1">
      <alignment horizontal="center" vertical="bottom"/>
    </xf>
    <xf borderId="0" fillId="0" fontId="5" numFmtId="0" xfId="0" applyAlignment="1" applyFont="1">
      <alignment shrinkToFit="0" vertical="bottom" wrapText="0"/>
    </xf>
    <xf borderId="0" fillId="5" fontId="11" numFmtId="0" xfId="0" applyAlignment="1" applyFill="1" applyFont="1">
      <alignment horizontal="center" readingOrder="0" shrinkToFit="0" wrapText="0"/>
    </xf>
    <xf borderId="0" fillId="6" fontId="12" numFmtId="0" xfId="0" applyAlignment="1" applyFill="1" applyFont="1">
      <alignment horizontal="center" readingOrder="0"/>
    </xf>
    <xf borderId="2" fillId="7" fontId="13" numFmtId="0" xfId="0" applyAlignment="1" applyBorder="1" applyFill="1" applyFont="1">
      <alignment horizontal="left" readingOrder="0" shrinkToFit="0" wrapText="0"/>
    </xf>
    <xf borderId="3" fillId="0" fontId="14" numFmtId="0" xfId="0" applyBorder="1" applyFont="1"/>
    <xf borderId="2" fillId="8" fontId="15" numFmtId="0" xfId="0" applyAlignment="1" applyBorder="1" applyFill="1" applyFont="1">
      <alignment horizontal="left" readingOrder="0" vertical="center"/>
    </xf>
    <xf borderId="0" fillId="0" fontId="5" numFmtId="0" xfId="0" applyAlignment="1" applyFont="1">
      <alignment horizontal="right" readingOrder="0" shrinkToFit="0" vertical="bottom" wrapText="0"/>
    </xf>
    <xf borderId="4" fillId="9" fontId="16" numFmtId="0" xfId="0" applyAlignment="1" applyBorder="1" applyFill="1" applyFont="1">
      <alignment shrinkToFit="0" vertical="bottom" wrapText="0"/>
    </xf>
    <xf borderId="1" fillId="0" fontId="17" numFmtId="0" xfId="0" applyAlignment="1" applyBorder="1" applyFont="1">
      <alignment horizontal="center" readingOrder="0"/>
    </xf>
    <xf borderId="1" fillId="0" fontId="17" numFmtId="0" xfId="0" applyAlignment="1" applyBorder="1" applyFont="1">
      <alignment horizontal="left" readingOrder="0" shrinkToFit="0" wrapText="1"/>
    </xf>
    <xf borderId="5" fillId="2" fontId="7" numFmtId="0" xfId="0" applyAlignment="1" applyBorder="1" applyFont="1">
      <alignment horizontal="center" readingOrder="0"/>
    </xf>
    <xf borderId="6" fillId="10" fontId="6" numFmtId="0" xfId="0" applyAlignment="1" applyBorder="1" applyFill="1" applyFont="1">
      <alignment horizontal="center" readingOrder="0"/>
    </xf>
    <xf borderId="1" fillId="2" fontId="7" numFmtId="0" xfId="0" applyAlignment="1" applyBorder="1" applyFont="1">
      <alignment horizontal="center" readingOrder="0"/>
    </xf>
    <xf borderId="1" fillId="0" fontId="18" numFmtId="0" xfId="0" applyAlignment="1" applyBorder="1" applyFont="1">
      <alignment horizontal="left" readingOrder="0" shrinkToFit="0" wrapText="1"/>
    </xf>
    <xf borderId="7" fillId="10" fontId="6" numFmtId="0" xfId="0" applyAlignment="1" applyBorder="1" applyFont="1">
      <alignment horizontal="center" readingOrder="0"/>
    </xf>
    <xf borderId="6" fillId="11" fontId="8" numFmtId="0" xfId="0" applyAlignment="1" applyBorder="1" applyFill="1" applyFont="1">
      <alignment horizontal="center" readingOrder="0"/>
    </xf>
    <xf borderId="8" fillId="2" fontId="7" numFmtId="0" xfId="0" applyAlignment="1" applyBorder="1" applyFont="1">
      <alignment horizontal="center"/>
    </xf>
    <xf borderId="7" fillId="11" fontId="8" numFmtId="0" xfId="0" applyAlignment="1" applyBorder="1" applyFont="1">
      <alignment horizontal="center" readingOrder="0"/>
    </xf>
    <xf borderId="1" fillId="3" fontId="9" numFmtId="0" xfId="0" applyAlignment="1" applyBorder="1" applyFont="1">
      <alignment horizontal="center" readingOrder="0"/>
    </xf>
    <xf borderId="5" fillId="3" fontId="9" numFmtId="0" xfId="0" applyAlignment="1" applyBorder="1" applyFont="1">
      <alignment horizontal="center" readingOrder="0"/>
    </xf>
    <xf borderId="1" fillId="0" fontId="19" numFmtId="0" xfId="0" applyAlignment="1" applyBorder="1" applyFont="1">
      <alignment horizontal="left" readingOrder="0" shrinkToFit="0" wrapText="1"/>
    </xf>
    <xf borderId="8" fillId="3" fontId="9" numFmtId="0" xfId="0" applyAlignment="1" applyBorder="1" applyFont="1">
      <alignment horizontal="center"/>
    </xf>
    <xf borderId="5" fillId="4" fontId="10" numFmtId="0" xfId="0" applyAlignment="1" applyBorder="1" applyFont="1">
      <alignment horizontal="center" readingOrder="0"/>
    </xf>
    <xf borderId="1" fillId="4" fontId="10" numFmtId="0" xfId="0" applyAlignment="1" applyBorder="1" applyFont="1">
      <alignment horizontal="center" readingOrder="0"/>
    </xf>
    <xf borderId="8" fillId="4" fontId="10" numFmtId="0" xfId="0" applyAlignment="1" applyBorder="1" applyFont="1">
      <alignment horizontal="center"/>
    </xf>
    <xf borderId="0" fillId="6" fontId="12" numFmtId="0" xfId="0" applyAlignment="1" applyFont="1">
      <alignment horizontal="center" readingOrder="0" shrinkToFit="0" wrapText="0"/>
    </xf>
    <xf borderId="0" fillId="0" fontId="5" numFmtId="0" xfId="0" applyAlignment="1" applyFont="1">
      <alignment shrinkToFit="0" vertical="bottom" wrapText="0"/>
    </xf>
    <xf borderId="4" fillId="6" fontId="20" numFmtId="0" xfId="0" applyAlignment="1" applyBorder="1" applyFont="1">
      <alignment horizontal="center" readingOrder="0"/>
    </xf>
    <xf borderId="2" fillId="6" fontId="20" numFmtId="0" xfId="0" applyAlignment="1" applyBorder="1" applyFont="1">
      <alignment horizontal="center" readingOrder="0"/>
    </xf>
    <xf borderId="9" fillId="0" fontId="14" numFmtId="0" xfId="0" applyBorder="1" applyFont="1"/>
    <xf borderId="4" fillId="12" fontId="21" numFmtId="0" xfId="0" applyAlignment="1" applyBorder="1" applyFill="1" applyFont="1">
      <alignment horizontal="center" readingOrder="0" shrinkToFit="0" wrapText="0"/>
    </xf>
    <xf borderId="3" fillId="8" fontId="16" numFmtId="0" xfId="0" applyAlignment="1" applyBorder="1" applyFont="1">
      <alignment horizontal="left" readingOrder="0"/>
    </xf>
    <xf borderId="10" fillId="5" fontId="13" numFmtId="0" xfId="0" applyAlignment="1" applyBorder="1" applyFont="1">
      <alignment horizontal="center" vertical="bottom"/>
    </xf>
    <xf borderId="10" fillId="13" fontId="16" numFmtId="0" xfId="0" applyAlignment="1" applyBorder="1" applyFill="1" applyFont="1">
      <alignment vertical="bottom"/>
    </xf>
    <xf borderId="10" fillId="13" fontId="4" numFmtId="0" xfId="0" applyAlignment="1" applyBorder="1" applyFont="1">
      <alignment vertical="bottom"/>
    </xf>
    <xf borderId="10" fillId="13" fontId="22" numFmtId="0" xfId="0" applyAlignment="1" applyBorder="1" applyFont="1">
      <alignment vertical="bottom"/>
    </xf>
    <xf borderId="10" fillId="14" fontId="16" numFmtId="0" xfId="0" applyAlignment="1" applyBorder="1" applyFill="1" applyFont="1">
      <alignment vertical="bottom"/>
    </xf>
    <xf borderId="10" fillId="14" fontId="4" numFmtId="0" xfId="0" applyAlignment="1" applyBorder="1" applyFont="1">
      <alignment vertical="bottom"/>
    </xf>
    <xf borderId="2" fillId="15" fontId="16" numFmtId="0" xfId="0" applyAlignment="1" applyBorder="1" applyFill="1" applyFont="1">
      <alignment horizontal="left" readingOrder="0"/>
    </xf>
    <xf borderId="4" fillId="8" fontId="23" numFmtId="0" xfId="0" applyAlignment="1" applyBorder="1" applyFont="1">
      <alignment horizontal="center" readingOrder="0" vertical="top"/>
    </xf>
    <xf borderId="0" fillId="8" fontId="24" numFmtId="0" xfId="0" applyAlignment="1" applyFont="1">
      <alignment horizontal="center" readingOrder="0" vertical="top"/>
    </xf>
    <xf borderId="4" fillId="16" fontId="25" numFmtId="0" xfId="0" applyAlignment="1" applyBorder="1" applyFill="1" applyFont="1">
      <alignment horizontal="left" readingOrder="0" shrinkToFit="0" wrapText="0"/>
    </xf>
    <xf borderId="4" fillId="9" fontId="26" numFmtId="0" xfId="0" applyAlignment="1" applyBorder="1" applyFont="1">
      <alignment horizontal="center" readingOrder="0" shrinkToFit="0" wrapText="0"/>
    </xf>
    <xf borderId="4" fillId="17" fontId="27" numFmtId="0" xfId="0" applyAlignment="1" applyBorder="1" applyFill="1" applyFont="1">
      <alignment horizontal="center" readingOrder="0" shrinkToFit="0" wrapText="0"/>
    </xf>
    <xf borderId="4" fillId="15" fontId="28" numFmtId="0" xfId="0" applyAlignment="1" applyBorder="1" applyFont="1">
      <alignment horizontal="center" readingOrder="0" shrinkToFit="0" wrapText="0"/>
    </xf>
    <xf borderId="4" fillId="18" fontId="26" numFmtId="0" xfId="0" applyAlignment="1" applyBorder="1" applyFill="1" applyFont="1">
      <alignment horizontal="center" readingOrder="0" shrinkToFit="0" wrapText="0"/>
    </xf>
    <xf borderId="4" fillId="12" fontId="29" numFmtId="0" xfId="0" applyAlignment="1" applyBorder="1" applyFont="1">
      <alignment horizontal="center" readingOrder="0" shrinkToFit="0" wrapText="0"/>
    </xf>
    <xf borderId="0" fillId="0" fontId="30" numFmtId="0" xfId="0" applyAlignment="1" applyFont="1">
      <alignment horizontal="left" readingOrder="0" shrinkToFit="0" vertical="bottom" wrapText="0"/>
    </xf>
    <xf borderId="10" fillId="19" fontId="16" numFmtId="0" xfId="0" applyAlignment="1" applyBorder="1" applyFill="1" applyFont="1">
      <alignment vertical="bottom"/>
    </xf>
    <xf borderId="10" fillId="19" fontId="31" numFmtId="0" xfId="0" applyAlignment="1" applyBorder="1" applyFont="1">
      <alignment vertical="bottom"/>
    </xf>
    <xf borderId="10" fillId="20" fontId="16" numFmtId="0" xfId="0" applyAlignment="1" applyBorder="1" applyFill="1" applyFont="1">
      <alignment vertical="bottom"/>
    </xf>
    <xf borderId="10" fillId="19" fontId="4" numFmtId="0" xfId="0" applyAlignment="1" applyBorder="1" applyFont="1">
      <alignment vertical="bottom"/>
    </xf>
    <xf borderId="10" fillId="20" fontId="4" numFmtId="0" xfId="0" applyAlignment="1" applyBorder="1" applyFont="1">
      <alignment vertical="bottom"/>
    </xf>
    <xf borderId="4" fillId="16" fontId="32" numFmtId="0" xfId="0" applyAlignment="1" applyBorder="1" applyFont="1">
      <alignment horizontal="left" readingOrder="0" shrinkToFit="0" wrapText="0"/>
    </xf>
    <xf borderId="4" fillId="16" fontId="33" numFmtId="0" xfId="0" applyAlignment="1" applyBorder="1" applyFont="1">
      <alignment horizontal="center" shrinkToFit="0" wrapText="0"/>
    </xf>
    <xf borderId="4" fillId="8" fontId="26" numFmtId="0" xfId="0" applyAlignment="1" applyBorder="1" applyFont="1">
      <alignment horizontal="center" readingOrder="0" shrinkToFit="0" wrapText="0"/>
    </xf>
    <xf borderId="4" fillId="16" fontId="5" numFmtId="0" xfId="0" applyAlignment="1" applyBorder="1" applyFont="1">
      <alignment shrinkToFit="0" vertical="bottom" wrapText="0"/>
    </xf>
    <xf borderId="10" fillId="13" fontId="16" numFmtId="0" xfId="0" applyAlignment="1" applyBorder="1" applyFont="1">
      <alignment shrinkToFit="0" wrapText="1"/>
    </xf>
    <xf borderId="10" fillId="14" fontId="22" numFmtId="0" xfId="0" applyAlignment="1" applyBorder="1" applyFont="1">
      <alignment readingOrder="0"/>
    </xf>
    <xf borderId="10" fillId="14" fontId="16" numFmtId="0" xfId="0" applyAlignment="1" applyBorder="1" applyFont="1">
      <alignment shrinkToFit="0" wrapText="1"/>
    </xf>
    <xf borderId="10" fillId="19" fontId="16" numFmtId="0" xfId="0" applyAlignment="1" applyBorder="1" applyFont="1">
      <alignment shrinkToFit="0" wrapText="1"/>
    </xf>
    <xf borderId="10" fillId="19" fontId="31" numFmtId="0" xfId="0" applyAlignment="1" applyBorder="1" applyFont="1">
      <alignment readingOrder="0"/>
    </xf>
    <xf borderId="10" fillId="20" fontId="16" numFmtId="0" xfId="0" applyAlignment="1" applyBorder="1" applyFont="1">
      <alignment shrinkToFit="0" wrapText="1"/>
    </xf>
    <xf borderId="10" fillId="21" fontId="16" numFmtId="0" xfId="0" applyAlignment="1" applyBorder="1" applyFill="1" applyFont="1">
      <alignment shrinkToFit="0" wrapText="1"/>
    </xf>
    <xf borderId="10" fillId="22" fontId="16" numFmtId="0" xfId="0" applyAlignment="1" applyBorder="1" applyFill="1" applyFont="1">
      <alignment shrinkToFit="0" wrapText="1"/>
    </xf>
    <xf borderId="0" fillId="0" fontId="34" numFmtId="0" xfId="0" applyAlignment="1" applyFont="1">
      <alignment vertical="bottom"/>
    </xf>
    <xf borderId="10" fillId="21" fontId="16" numFmtId="0" xfId="0" applyAlignment="1" applyBorder="1" applyFont="1">
      <alignment vertical="bottom"/>
    </xf>
    <xf borderId="10" fillId="21" fontId="4" numFmtId="0" xfId="0" applyAlignment="1" applyBorder="1" applyFont="1">
      <alignment vertical="bottom"/>
    </xf>
    <xf borderId="10" fillId="21" fontId="35" numFmtId="0" xfId="0" applyAlignment="1" applyBorder="1" applyFont="1">
      <alignment vertical="bottom"/>
    </xf>
    <xf borderId="10" fillId="22" fontId="16" numFmtId="0" xfId="0" applyAlignment="1" applyBorder="1" applyFont="1">
      <alignment vertical="bottom"/>
    </xf>
    <xf borderId="10" fillId="22" fontId="4" numFmtId="0" xfId="0" applyAlignment="1" applyBorder="1" applyFont="1">
      <alignment vertical="bottom"/>
    </xf>
    <xf borderId="4" fillId="16" fontId="36" numFmtId="0" xfId="0" applyAlignment="1" applyBorder="1" applyFont="1">
      <alignment horizontal="left" readingOrder="0"/>
    </xf>
    <xf borderId="0" fillId="0" fontId="37" numFmtId="0" xfId="0" applyAlignment="1" applyFont="1">
      <alignment horizontal="left" readingOrder="0" shrinkToFit="0" vertical="bottom" wrapText="0"/>
    </xf>
    <xf borderId="0" fillId="0" fontId="37" numFmtId="0" xfId="0" applyAlignment="1" applyFont="1">
      <alignment shrinkToFit="0" vertical="bottom" wrapText="0"/>
    </xf>
    <xf borderId="0" fillId="0" fontId="37" numFmtId="164" xfId="0" applyAlignment="1" applyFont="1" applyNumberFormat="1">
      <alignment horizontal="right" readingOrder="0" shrinkToFit="0" vertical="bottom" wrapText="0"/>
    </xf>
    <xf borderId="0" fillId="0" fontId="37" numFmtId="0" xfId="0" applyAlignment="1" applyFont="1">
      <alignment horizontal="right" readingOrder="0" shrinkToFit="0" vertical="bottom" wrapText="0"/>
    </xf>
    <xf borderId="0" fillId="0" fontId="37" numFmtId="0" xfId="0" applyAlignment="1" applyFont="1">
      <alignment horizontal="center" readingOrder="0" shrinkToFit="0" vertical="bottom" wrapText="0"/>
    </xf>
    <xf borderId="0" fillId="0" fontId="37" numFmtId="165" xfId="0" applyAlignment="1" applyFont="1" applyNumberFormat="1">
      <alignment horizontal="right" readingOrder="0" shrinkToFit="0" vertical="bottom" wrapText="0"/>
    </xf>
    <xf borderId="0" fillId="0" fontId="37" numFmtId="0" xfId="0" applyAlignment="1" applyFont="1">
      <alignment readingOrder="0" shrinkToFit="0" vertical="bottom" wrapText="0"/>
    </xf>
    <xf borderId="0" fillId="0" fontId="37" numFmtId="0" xfId="0" applyAlignment="1" applyFont="1">
      <alignment shrinkToFit="0" vertical="bottom" wrapText="0"/>
    </xf>
    <xf borderId="0" fillId="0" fontId="37" numFmtId="4" xfId="0" applyAlignment="1" applyFont="1" applyNumberFormat="1">
      <alignment horizontal="left" readingOrder="0" shrinkToFit="0" vertical="bottom" wrapText="0"/>
    </xf>
    <xf borderId="0" fillId="0" fontId="2" numFmtId="4" xfId="0" applyFont="1" applyNumberFormat="1"/>
    <xf borderId="0" fillId="0" fontId="37" numFmtId="4" xfId="0" applyAlignment="1" applyFont="1" applyNumberFormat="1">
      <alignment horizontal="right" readingOrder="0" shrinkToFit="0" vertical="bottom" wrapText="0"/>
    </xf>
    <xf borderId="0" fillId="0" fontId="2" numFmtId="0" xfId="0" applyFont="1"/>
    <xf borderId="0" fillId="0" fontId="2" numFmtId="0" xfId="0" applyAlignment="1" applyFont="1">
      <alignment horizontal="left" vertical="center"/>
    </xf>
    <xf borderId="0" fillId="0" fontId="2" numFmtId="0" xfId="0" applyAlignment="1" applyFont="1">
      <alignment vertical="center"/>
    </xf>
    <xf borderId="2" fillId="7" fontId="38" numFmtId="0" xfId="0" applyAlignment="1" applyBorder="1" applyFont="1">
      <alignment horizontal="center" readingOrder="0" vertical="center"/>
    </xf>
    <xf borderId="2" fillId="6" fontId="39" numFmtId="0" xfId="0" applyAlignment="1" applyBorder="1" applyFont="1">
      <alignment horizontal="center" readingOrder="0" vertical="center"/>
    </xf>
    <xf borderId="2" fillId="6" fontId="40" numFmtId="0" xfId="0" applyAlignment="1" applyBorder="1" applyFont="1">
      <alignment horizontal="center" readingOrder="0" shrinkToFit="0" vertical="center" wrapText="1"/>
    </xf>
    <xf borderId="0" fillId="0" fontId="41" numFmtId="0" xfId="0" applyAlignment="1" applyFont="1">
      <alignment shrinkToFit="0" vertical="center" wrapText="1"/>
    </xf>
    <xf borderId="0" fillId="0" fontId="4" numFmtId="0" xfId="0" applyAlignment="1" applyFont="1">
      <alignment vertical="center"/>
    </xf>
    <xf borderId="0" fillId="0" fontId="4" numFmtId="0" xfId="0" applyAlignment="1" applyFont="1">
      <alignment horizontal="right" readingOrder="0" vertical="center"/>
    </xf>
    <xf borderId="0" fillId="0" fontId="41" numFmtId="0" xfId="0" applyAlignment="1" applyFont="1">
      <alignment horizontal="left" shrinkToFit="0" vertical="center" wrapText="1"/>
    </xf>
    <xf borderId="4" fillId="8" fontId="42" numFmtId="0" xfId="0" applyAlignment="1" applyBorder="1" applyFont="1">
      <alignment horizontal="center" readingOrder="0" shrinkToFit="0" vertical="center" wrapText="1"/>
    </xf>
    <xf borderId="2" fillId="8" fontId="42" numFmtId="0" xfId="0" applyAlignment="1" applyBorder="1" applyFont="1">
      <alignment horizontal="center" readingOrder="0" shrinkToFit="0" vertical="center" wrapText="1"/>
    </xf>
    <xf borderId="4" fillId="8" fontId="43" numFmtId="0" xfId="0" applyAlignment="1" applyBorder="1" applyFont="1">
      <alignment horizontal="center" readingOrder="0" shrinkToFit="0" vertical="center" wrapText="1"/>
    </xf>
    <xf borderId="0" fillId="15" fontId="44" numFmtId="0" xfId="0" applyAlignment="1" applyFont="1">
      <alignment readingOrder="0" shrinkToFit="0" vertical="center" wrapText="1"/>
    </xf>
    <xf borderId="0" fillId="0" fontId="45" numFmtId="0" xfId="0" applyAlignment="1" applyFont="1">
      <alignment shrinkToFit="0" vertical="center" wrapText="1"/>
    </xf>
    <xf borderId="0" fillId="0" fontId="45" numFmtId="0" xfId="0" applyAlignment="1" applyFont="1">
      <alignment horizontal="right" readingOrder="0" shrinkToFit="0" vertical="center" wrapText="1"/>
    </xf>
    <xf borderId="0" fillId="0" fontId="2" numFmtId="0" xfId="0" applyAlignment="1" applyFont="1">
      <alignment horizontal="center" vertical="center"/>
    </xf>
    <xf borderId="0" fillId="15" fontId="46" numFmtId="0" xfId="0" applyAlignment="1" applyFont="1">
      <alignment horizontal="center" readingOrder="0" shrinkToFit="0" vertical="center" wrapText="1"/>
    </xf>
    <xf borderId="0" fillId="0" fontId="2" numFmtId="10" xfId="0" applyAlignment="1" applyFont="1" applyNumberFormat="1">
      <alignment horizontal="center" vertical="center"/>
    </xf>
    <xf borderId="0" fillId="23" fontId="20" numFmtId="0" xfId="0" applyAlignment="1" applyFill="1" applyFont="1">
      <alignment horizontal="left" readingOrder="0"/>
    </xf>
    <xf borderId="0" fillId="23" fontId="20" numFmtId="0" xfId="0" applyAlignment="1" applyFont="1">
      <alignment horizontal="center" readingOrder="0"/>
    </xf>
    <xf borderId="0" fillId="0" fontId="2" numFmtId="0" xfId="0" applyAlignment="1" applyFont="1">
      <alignment horizontal="left"/>
    </xf>
    <xf borderId="11" fillId="7" fontId="20" numFmtId="0" xfId="0" applyAlignment="1" applyBorder="1" applyFont="1">
      <alignment horizontal="center" readingOrder="0"/>
    </xf>
    <xf borderId="12" fillId="0" fontId="14" numFmtId="0" xfId="0" applyBorder="1" applyFont="1"/>
    <xf borderId="13" fillId="0" fontId="14" numFmtId="0" xfId="0" applyBorder="1" applyFont="1"/>
    <xf borderId="11" fillId="6" fontId="20" numFmtId="0" xfId="0" applyAlignment="1" applyBorder="1" applyFont="1">
      <alignment horizontal="center" readingOrder="0"/>
    </xf>
    <xf borderId="0" fillId="0" fontId="5" numFmtId="0" xfId="0" applyAlignment="1" applyFont="1">
      <alignment horizontal="left" shrinkToFit="0" vertical="bottom" wrapText="0"/>
    </xf>
    <xf borderId="1" fillId="9" fontId="5" numFmtId="0" xfId="0" applyAlignment="1" applyBorder="1" applyFont="1">
      <alignment shrinkToFit="0" vertical="bottom" wrapText="0"/>
    </xf>
    <xf borderId="11" fillId="7" fontId="20" numFmtId="10" xfId="0" applyAlignment="1" applyBorder="1" applyFont="1" applyNumberFormat="1">
      <alignment horizontal="center" readingOrder="0"/>
    </xf>
    <xf borderId="1" fillId="5" fontId="20" numFmtId="0" xfId="0" applyAlignment="1" applyBorder="1" applyFont="1">
      <alignment horizontal="center" readingOrder="0"/>
    </xf>
    <xf borderId="1" fillId="0" fontId="2" numFmtId="0" xfId="0" applyBorder="1" applyFont="1"/>
    <xf borderId="0" fillId="7" fontId="20" numFmtId="0" xfId="0" applyAlignment="1" applyFont="1">
      <alignment horizontal="left" readingOrder="0"/>
    </xf>
    <xf borderId="0" fillId="7" fontId="20" numFmtId="0" xfId="0" applyAlignment="1" applyFont="1">
      <alignment horizontal="center" readingOrder="0"/>
    </xf>
    <xf borderId="0" fillId="7" fontId="20" numFmtId="0" xfId="0" applyAlignment="1" applyFont="1">
      <alignment horizontal="center" readingOrder="0" vertical="center"/>
    </xf>
    <xf borderId="1" fillId="7" fontId="20" numFmtId="0" xfId="0" applyAlignment="1" applyBorder="1" applyFont="1">
      <alignment horizontal="center" readingOrder="0"/>
    </xf>
    <xf borderId="1" fillId="7" fontId="20" numFmtId="10" xfId="0" applyAlignment="1" applyBorder="1" applyFont="1" applyNumberFormat="1">
      <alignment horizontal="center" readingOrder="0"/>
    </xf>
    <xf borderId="1" fillId="7" fontId="20" numFmtId="0" xfId="0" applyAlignment="1" applyBorder="1" applyFont="1">
      <alignment horizontal="center" readingOrder="0" shrinkToFit="0" wrapText="1"/>
    </xf>
    <xf borderId="1" fillId="6" fontId="20" numFmtId="0" xfId="0" applyAlignment="1" applyBorder="1" applyFont="1">
      <alignment horizontal="center" readingOrder="0"/>
    </xf>
    <xf borderId="0" fillId="0" fontId="2" numFmtId="0" xfId="0" applyAlignment="1" applyFont="1">
      <alignment readingOrder="0" shrinkToFit="0" wrapText="1"/>
    </xf>
    <xf borderId="0" fillId="19" fontId="47" numFmtId="0" xfId="0" applyAlignment="1" applyFont="1">
      <alignment horizontal="center" vertical="center"/>
    </xf>
    <xf borderId="0" fillId="19" fontId="47" numFmtId="0" xfId="0" applyAlignment="1" applyFont="1">
      <alignment horizontal="center" readingOrder="0" vertical="center"/>
    </xf>
    <xf borderId="0" fillId="19" fontId="1" numFmtId="0" xfId="0" applyAlignment="1" applyFont="1">
      <alignment horizontal="center" readingOrder="0" vertical="center"/>
    </xf>
    <xf borderId="0" fillId="16" fontId="33" numFmtId="0" xfId="0" applyAlignment="1" applyFont="1">
      <alignment horizontal="left" readingOrder="0"/>
    </xf>
    <xf borderId="0" fillId="16" fontId="36" numFmtId="0" xfId="0" applyAlignment="1" applyFont="1">
      <alignment horizontal="center" readingOrder="0" shrinkToFit="0" wrapText="0"/>
    </xf>
    <xf borderId="0" fillId="16" fontId="36" numFmtId="0" xfId="0" applyAlignment="1" applyFont="1">
      <alignment horizontal="left" readingOrder="0"/>
    </xf>
    <xf borderId="0" fillId="16" fontId="48" numFmtId="0" xfId="0" applyAlignment="1" applyFont="1">
      <alignment horizontal="left" readingOrder="0"/>
    </xf>
    <xf borderId="0" fillId="16" fontId="33" numFmtId="0" xfId="0" applyAlignment="1" applyFont="1">
      <alignment horizontal="center" readingOrder="0" shrinkToFit="0" wrapText="0"/>
    </xf>
    <xf borderId="0" fillId="12" fontId="49" numFmtId="2" xfId="0" applyAlignment="1" applyFont="1" applyNumberFormat="1">
      <alignment horizontal="center" readingOrder="0" shrinkToFit="0" wrapText="0"/>
    </xf>
    <xf borderId="0" fillId="16" fontId="50" numFmtId="0" xfId="0" applyAlignment="1" applyFont="1">
      <alignment horizontal="center" readingOrder="0" shrinkToFit="0" wrapText="0"/>
    </xf>
    <xf borderId="0" fillId="24" fontId="51" numFmtId="0" xfId="0" applyAlignment="1" applyFill="1" applyFont="1">
      <alignment horizontal="center" readingOrder="0" shrinkToFit="0" wrapText="0"/>
    </xf>
    <xf borderId="0" fillId="15" fontId="21" numFmtId="166" xfId="0" applyAlignment="1" applyFont="1" applyNumberFormat="1">
      <alignment horizontal="left" readingOrder="0" shrinkToFit="0" wrapText="0"/>
    </xf>
    <xf borderId="0" fillId="15" fontId="21" numFmtId="166" xfId="0" applyAlignment="1" applyFont="1" applyNumberFormat="1">
      <alignment horizontal="center" readingOrder="0" shrinkToFit="0" wrapText="0"/>
    </xf>
    <xf borderId="0" fillId="0" fontId="2" numFmtId="2" xfId="0" applyFont="1" applyNumberFormat="1"/>
    <xf borderId="0" fillId="0" fontId="2" numFmtId="10" xfId="0" applyFont="1" applyNumberFormat="1"/>
    <xf borderId="0" fillId="0" fontId="2" numFmtId="1" xfId="0" applyFont="1" applyNumberFormat="1"/>
    <xf borderId="0" fillId="0" fontId="4" numFmtId="10" xfId="0" applyAlignment="1" applyFont="1" applyNumberFormat="1">
      <alignment horizontal="right" vertical="bottom"/>
    </xf>
    <xf borderId="0" fillId="0" fontId="4" numFmtId="0" xfId="0" applyAlignment="1" applyFont="1">
      <alignment horizontal="right" vertical="bottom"/>
    </xf>
    <xf borderId="0" fillId="0" fontId="2" numFmtId="9" xfId="0" applyFont="1" applyNumberFormat="1"/>
    <xf borderId="0" fillId="0" fontId="4" numFmtId="0" xfId="0" applyAlignment="1" applyFont="1">
      <alignment vertical="bottom"/>
    </xf>
    <xf borderId="0" fillId="0" fontId="47" numFmtId="0" xfId="0" applyAlignment="1" applyFont="1">
      <alignment vertical="bottom"/>
    </xf>
    <xf borderId="0" fillId="25" fontId="2" numFmtId="0" xfId="0" applyAlignment="1" applyFill="1" applyFont="1">
      <alignment readingOrder="0"/>
    </xf>
    <xf borderId="0" fillId="25" fontId="2" numFmtId="0" xfId="0" applyFont="1"/>
    <xf borderId="0" fillId="25" fontId="2" numFmtId="10" xfId="0" applyFont="1" applyNumberFormat="1"/>
    <xf borderId="0" fillId="0" fontId="52" numFmtId="0" xfId="0" applyAlignment="1" applyFont="1">
      <alignment horizontal="right" vertical="bottom"/>
    </xf>
    <xf borderId="0" fillId="0" fontId="53" numFmtId="0" xfId="0" applyFont="1"/>
    <xf borderId="0" fillId="0" fontId="2" numFmtId="3" xfId="0" applyAlignment="1" applyFont="1" applyNumberFormat="1">
      <alignment readingOrder="0"/>
    </xf>
    <xf borderId="0" fillId="0" fontId="2" numFmtId="3" xfId="0" applyFont="1" applyNumberFormat="1"/>
    <xf borderId="0" fillId="19" fontId="47" numFmtId="0" xfId="0" applyAlignment="1" applyFont="1">
      <alignment readingOrder="0" vertical="bottom"/>
    </xf>
    <xf borderId="0" fillId="19" fontId="47" numFmtId="0" xfId="0" applyAlignment="1" applyFont="1">
      <alignment vertical="bottom"/>
    </xf>
    <xf borderId="0" fillId="19" fontId="1" numFmtId="0" xfId="0" applyFont="1"/>
    <xf borderId="0" fillId="19" fontId="1" numFmtId="3" xfId="0" applyFont="1" applyNumberFormat="1"/>
    <xf borderId="0" fillId="0" fontId="4" numFmtId="9" xfId="0" applyAlignment="1" applyFont="1" applyNumberFormat="1">
      <alignment readingOrder="0" vertical="bottom"/>
    </xf>
    <xf borderId="0" fillId="19" fontId="47" numFmtId="9" xfId="0" applyAlignment="1" applyFont="1" applyNumberFormat="1">
      <alignment horizontal="right" vertical="bottom"/>
    </xf>
    <xf borderId="0" fillId="0" fontId="47" numFmtId="0" xfId="0" applyAlignment="1" applyFont="1">
      <alignment readingOrder="0" vertical="bottom"/>
    </xf>
    <xf borderId="0" fillId="0" fontId="4" numFmtId="9" xfId="0" applyAlignment="1" applyFont="1" applyNumberFormat="1">
      <alignment horizontal="right" readingOrder="0" vertical="bottom"/>
    </xf>
    <xf borderId="0" fillId="0" fontId="2" numFmtId="9" xfId="0" applyAlignment="1" applyFont="1" applyNumberFormat="1">
      <alignment readingOrder="0"/>
    </xf>
    <xf borderId="0" fillId="0" fontId="54" numFmtId="0" xfId="0" applyAlignment="1" applyFont="1">
      <alignment horizontal="left" readingOrder="0" shrinkToFit="0" vertical="bottom" wrapText="0"/>
    </xf>
    <xf borderId="0" fillId="0" fontId="1" numFmtId="9" xfId="0" applyFont="1" applyNumberFormat="1"/>
    <xf borderId="0" fillId="0" fontId="47" numFmtId="9" xfId="0" applyAlignment="1" applyFont="1" applyNumberFormat="1">
      <alignment horizontal="right" vertical="bottom"/>
    </xf>
    <xf borderId="0" fillId="24" fontId="51" numFmtId="3" xfId="0" applyAlignment="1" applyFont="1" applyNumberFormat="1">
      <alignment horizontal="center" readingOrder="0" shrinkToFit="0" wrapText="0"/>
    </xf>
    <xf borderId="0" fillId="0" fontId="4" numFmtId="10" xfId="0" applyAlignment="1" applyFont="1" applyNumberFormat="1">
      <alignment horizontal="center" vertical="bottom"/>
    </xf>
    <xf borderId="0" fillId="0" fontId="4" numFmtId="0" xfId="0" applyAlignment="1" applyFont="1">
      <alignment readingOrder="0" vertical="bottom"/>
    </xf>
    <xf borderId="0" fillId="0" fontId="5" numFmtId="0" xfId="0" applyAlignment="1" applyFont="1">
      <alignment vertical="bottom"/>
    </xf>
    <xf borderId="1" fillId="26" fontId="12" numFmtId="0" xfId="0" applyAlignment="1" applyBorder="1" applyFill="1" applyFont="1">
      <alignment horizontal="left" readingOrder="0" vertical="top"/>
    </xf>
    <xf borderId="1" fillId="27" fontId="55" numFmtId="0" xfId="0" applyAlignment="1" applyBorder="1" applyFill="1" applyFont="1">
      <alignment horizontal="center" readingOrder="0" shrinkToFit="0" vertical="center" wrapText="1"/>
    </xf>
    <xf borderId="1" fillId="27" fontId="18" numFmtId="0" xfId="0" applyAlignment="1" applyBorder="1" applyFont="1">
      <alignment horizontal="center" readingOrder="0" shrinkToFit="0" vertical="center" wrapText="1"/>
    </xf>
    <xf borderId="1" fillId="27" fontId="56" numFmtId="0" xfId="0" applyAlignment="1" applyBorder="1" applyFont="1">
      <alignment horizontal="center" readingOrder="0" shrinkToFit="0" vertical="center" wrapText="1"/>
    </xf>
    <xf borderId="1" fillId="0" fontId="18" numFmtId="0" xfId="0" applyAlignment="1" applyBorder="1" applyFont="1">
      <alignment horizontal="left" readingOrder="0" shrinkToFit="0" vertical="top" wrapText="1"/>
    </xf>
    <xf borderId="1" fillId="28" fontId="57" numFmtId="0" xfId="0" applyAlignment="1" applyBorder="1" applyFill="1" applyFont="1">
      <alignment horizontal="center" readingOrder="0" shrinkToFit="0" vertical="center" wrapText="1"/>
    </xf>
    <xf borderId="1" fillId="28" fontId="18" numFmtId="0" xfId="0" applyAlignment="1" applyBorder="1" applyFont="1">
      <alignment horizontal="center" readingOrder="0" shrinkToFit="0" vertical="center" wrapText="1"/>
    </xf>
    <xf borderId="1" fillId="28" fontId="58" numFmtId="0" xfId="0" applyAlignment="1" applyBorder="1" applyFont="1">
      <alignment horizontal="center" readingOrder="0" shrinkToFit="0" vertical="center" wrapText="1"/>
    </xf>
    <xf borderId="1" fillId="29" fontId="59" numFmtId="0" xfId="0" applyAlignment="1" applyBorder="1" applyFill="1" applyFont="1">
      <alignment horizontal="center" readingOrder="0" shrinkToFit="0" vertical="center" wrapText="1"/>
    </xf>
    <xf borderId="1" fillId="29" fontId="18" numFmtId="0" xfId="0" applyAlignment="1" applyBorder="1" applyFont="1">
      <alignment horizontal="center" readingOrder="0" shrinkToFit="0" vertical="center" wrapText="1"/>
    </xf>
    <xf borderId="1" fillId="29" fontId="60" numFmtId="0" xfId="0" applyAlignment="1" applyBorder="1" applyFont="1">
      <alignment horizontal="center" readingOrder="0" shrinkToFit="0" vertical="center" wrapText="1"/>
    </xf>
    <xf borderId="0" fillId="0" fontId="61" numFmtId="0" xfId="0" applyAlignment="1" applyFont="1">
      <alignment horizontal="left"/>
    </xf>
    <xf borderId="14" fillId="0" fontId="62" numFmtId="0" xfId="0" applyAlignment="1" applyBorder="1" applyFont="1">
      <alignment horizontal="left" readingOrder="0"/>
    </xf>
    <xf borderId="15" fillId="30" fontId="63" numFmtId="0" xfId="0" applyAlignment="1" applyBorder="1" applyFill="1" applyFont="1">
      <alignment readingOrder="0" shrinkToFit="0" vertical="bottom" wrapText="0"/>
    </xf>
    <xf borderId="0" fillId="0" fontId="37" numFmtId="9" xfId="0" applyAlignment="1" applyFont="1" applyNumberFormat="1">
      <alignment horizontal="right" readingOrder="0" shrinkToFit="0" vertical="bottom" wrapText="0"/>
    </xf>
    <xf borderId="0" fillId="0" fontId="37" numFmtId="49" xfId="0" applyAlignment="1" applyFont="1" applyNumberFormat="1">
      <alignment horizontal="left" readingOrder="0" shrinkToFit="0" vertical="bottom" wrapText="0"/>
    </xf>
    <xf borderId="0" fillId="0" fontId="37" numFmtId="49" xfId="0" applyAlignment="1" applyFont="1" applyNumberFormat="1">
      <alignment horizontal="right" readingOrder="0" shrinkToFit="0" vertical="bottom" wrapText="0"/>
    </xf>
    <xf borderId="16" fillId="30" fontId="63" numFmtId="0" xfId="0" applyAlignment="1" applyBorder="1" applyFont="1">
      <alignment horizontal="left" readingOrder="0" shrinkToFit="0" vertical="bottom" wrapText="0"/>
    </xf>
    <xf borderId="16" fillId="30" fontId="63" numFmtId="0" xfId="0" applyAlignment="1" applyBorder="1" applyFont="1">
      <alignment horizontal="right" readingOrder="0" shrinkToFit="0" vertical="bottom" wrapText="0"/>
    </xf>
    <xf borderId="0" fillId="0" fontId="37" numFmtId="49" xfId="0" applyAlignment="1" applyFont="1" applyNumberFormat="1">
      <alignment shrinkToFit="0" vertical="bottom" wrapText="0"/>
    </xf>
    <xf borderId="1" fillId="0" fontId="64" numFmtId="0" xfId="0" applyAlignment="1" applyBorder="1" applyFont="1">
      <alignment horizontal="center" readingOrder="0" shrinkToFit="0" vertical="top" wrapText="0"/>
    </xf>
    <xf borderId="1" fillId="0" fontId="64" numFmtId="49" xfId="0" applyAlignment="1" applyBorder="1" applyFont="1" applyNumberFormat="1">
      <alignment horizontal="center" readingOrder="0" shrinkToFit="0" vertical="top" wrapText="0"/>
    </xf>
    <xf borderId="0" fillId="0" fontId="34" numFmtId="0" xfId="0" applyAlignment="1" applyFont="1">
      <alignment vertical="bottom"/>
    </xf>
    <xf borderId="0" fillId="0" fontId="5" numFmtId="49" xfId="0" applyAlignment="1" applyFont="1" applyNumberForma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reem-insights.careem-engineering.com/sqllab?savedQueryId=432380" TargetMode="External"/><Relationship Id="rId2" Type="http://schemas.openxmlformats.org/officeDocument/2006/relationships/hyperlink" Target="https://careem-insights.careem-engineering.com/sqllab?savedQueryId=43238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59.25"/>
  </cols>
  <sheetData>
    <row r="1">
      <c r="A1" s="1" t="s">
        <v>0</v>
      </c>
      <c r="B1" s="1" t="s">
        <v>1</v>
      </c>
    </row>
    <row r="2">
      <c r="A2" s="2" t="s">
        <v>2</v>
      </c>
      <c r="B2" s="3" t="s">
        <v>3</v>
      </c>
    </row>
    <row r="3">
      <c r="A3" s="2" t="s">
        <v>4</v>
      </c>
      <c r="B3" s="3" t="s">
        <v>5</v>
      </c>
    </row>
  </sheetData>
  <hyperlinks>
    <hyperlink r:id="rId1" ref="B2"/>
    <hyperlink r:id="rId2" ref="B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4.38"/>
    <col customWidth="1" min="2" max="2" width="30.38"/>
    <col customWidth="1" min="3" max="3" width="21.75"/>
    <col customWidth="1" min="4" max="4" width="17.88"/>
    <col customWidth="1" min="6" max="6" width="67.0"/>
  </cols>
  <sheetData>
    <row r="1">
      <c r="A1" s="2" t="s">
        <v>6</v>
      </c>
      <c r="B1" s="2" t="s">
        <v>7</v>
      </c>
      <c r="C1" s="2" t="s">
        <v>8</v>
      </c>
      <c r="D1" s="2" t="s">
        <v>9</v>
      </c>
      <c r="E1" s="4" t="s">
        <v>10</v>
      </c>
    </row>
    <row r="2">
      <c r="A2" s="5" t="str">
        <f t="shared" ref="A2:A13" si="1">B2&amp;C2&amp;D2</f>
        <v>LowHighWidth</v>
      </c>
      <c r="B2" s="5" t="s">
        <v>11</v>
      </c>
      <c r="C2" s="5" t="s">
        <v>12</v>
      </c>
      <c r="D2" s="6" t="s">
        <v>13</v>
      </c>
      <c r="E2" s="7">
        <v>100.0</v>
      </c>
    </row>
    <row r="3">
      <c r="A3" s="5" t="str">
        <f t="shared" si="1"/>
        <v>LowHighDepth</v>
      </c>
      <c r="B3" s="5" t="s">
        <v>11</v>
      </c>
      <c r="C3" s="5" t="s">
        <v>12</v>
      </c>
      <c r="D3" s="8" t="s">
        <v>14</v>
      </c>
      <c r="E3" s="7">
        <v>90.0</v>
      </c>
    </row>
    <row r="4">
      <c r="A4" s="5" t="str">
        <f t="shared" si="1"/>
        <v>LowLowWidth</v>
      </c>
      <c r="B4" s="5" t="s">
        <v>11</v>
      </c>
      <c r="C4" s="5" t="s">
        <v>11</v>
      </c>
      <c r="D4" s="6" t="s">
        <v>13</v>
      </c>
      <c r="E4" s="7">
        <v>40.0</v>
      </c>
    </row>
    <row r="5">
      <c r="A5" s="5" t="str">
        <f t="shared" si="1"/>
        <v>LowLowDepth</v>
      </c>
      <c r="B5" s="5" t="s">
        <v>11</v>
      </c>
      <c r="C5" s="5" t="s">
        <v>11</v>
      </c>
      <c r="D5" s="8" t="s">
        <v>14</v>
      </c>
      <c r="E5" s="9">
        <v>15.0</v>
      </c>
    </row>
    <row r="6">
      <c r="A6" s="5" t="str">
        <f t="shared" si="1"/>
        <v>MediumHighWidth</v>
      </c>
      <c r="B6" s="5" t="s">
        <v>15</v>
      </c>
      <c r="C6" s="5" t="s">
        <v>12</v>
      </c>
      <c r="D6" s="6" t="s">
        <v>13</v>
      </c>
      <c r="E6" s="10">
        <v>10.0</v>
      </c>
    </row>
    <row r="7">
      <c r="A7" s="5" t="str">
        <f t="shared" si="1"/>
        <v>MediumHighDepth</v>
      </c>
      <c r="B7" s="5" t="s">
        <v>15</v>
      </c>
      <c r="C7" s="5" t="s">
        <v>12</v>
      </c>
      <c r="D7" s="8" t="s">
        <v>14</v>
      </c>
      <c r="E7" s="9">
        <v>60.0</v>
      </c>
    </row>
    <row r="8">
      <c r="A8" s="5" t="str">
        <f t="shared" si="1"/>
        <v>MediumLowWidth</v>
      </c>
      <c r="B8" s="5" t="s">
        <v>15</v>
      </c>
      <c r="C8" s="5" t="s">
        <v>11</v>
      </c>
      <c r="D8" s="6" t="s">
        <v>13</v>
      </c>
      <c r="E8" s="9">
        <v>25.0</v>
      </c>
    </row>
    <row r="9">
      <c r="A9" s="5" t="str">
        <f t="shared" si="1"/>
        <v>MediumLowDepth</v>
      </c>
      <c r="B9" s="5" t="s">
        <v>15</v>
      </c>
      <c r="C9" s="5" t="s">
        <v>11</v>
      </c>
      <c r="D9" s="8" t="s">
        <v>14</v>
      </c>
      <c r="E9" s="9">
        <v>50.0</v>
      </c>
    </row>
    <row r="10">
      <c r="A10" s="5" t="str">
        <f t="shared" si="1"/>
        <v>HighHighWidth</v>
      </c>
      <c r="B10" s="5" t="s">
        <v>12</v>
      </c>
      <c r="C10" s="5" t="s">
        <v>12</v>
      </c>
      <c r="D10" s="6" t="s">
        <v>13</v>
      </c>
      <c r="E10" s="9">
        <v>25.0</v>
      </c>
    </row>
    <row r="11">
      <c r="A11" s="5" t="str">
        <f t="shared" si="1"/>
        <v>HighHighDepth</v>
      </c>
      <c r="B11" s="5" t="s">
        <v>12</v>
      </c>
      <c r="C11" s="5" t="s">
        <v>12</v>
      </c>
      <c r="D11" s="8" t="s">
        <v>14</v>
      </c>
      <c r="E11" s="11">
        <v>0.0</v>
      </c>
    </row>
    <row r="12">
      <c r="A12" s="5" t="str">
        <f t="shared" si="1"/>
        <v>HighLowWidth</v>
      </c>
      <c r="B12" s="5" t="s">
        <v>12</v>
      </c>
      <c r="C12" s="5" t="s">
        <v>11</v>
      </c>
      <c r="D12" s="6" t="s">
        <v>13</v>
      </c>
      <c r="E12" s="9">
        <v>15.0</v>
      </c>
    </row>
    <row r="13">
      <c r="A13" s="5" t="str">
        <f t="shared" si="1"/>
        <v>HighLowDepth</v>
      </c>
      <c r="B13" s="5" t="s">
        <v>12</v>
      </c>
      <c r="C13" s="5" t="s">
        <v>11</v>
      </c>
      <c r="D13" s="8" t="s">
        <v>14</v>
      </c>
      <c r="E13" s="11">
        <v>0.0</v>
      </c>
    </row>
    <row r="18">
      <c r="A18" s="12"/>
      <c r="B18" s="13" t="s">
        <v>16</v>
      </c>
      <c r="F18" s="12"/>
      <c r="G18" s="12"/>
      <c r="H18" s="12"/>
      <c r="I18" s="12"/>
      <c r="J18" s="12"/>
      <c r="K18" s="12"/>
      <c r="L18" s="12"/>
      <c r="M18" s="12"/>
      <c r="N18" s="12"/>
      <c r="O18" s="12"/>
    </row>
    <row r="19">
      <c r="A19" s="12"/>
      <c r="B19" s="14" t="s">
        <v>17</v>
      </c>
      <c r="F19" s="12"/>
      <c r="G19" s="12"/>
      <c r="H19" s="12"/>
      <c r="I19" s="12"/>
      <c r="J19" s="12"/>
      <c r="K19" s="12"/>
      <c r="L19" s="12"/>
      <c r="M19" s="12"/>
      <c r="N19" s="12"/>
      <c r="O19" s="12"/>
    </row>
    <row r="20">
      <c r="A20" s="12"/>
      <c r="B20" s="12"/>
      <c r="C20" s="12"/>
      <c r="D20" s="12"/>
      <c r="E20" s="12"/>
      <c r="F20" s="12"/>
      <c r="G20" s="12"/>
      <c r="H20" s="12"/>
      <c r="I20" s="12"/>
      <c r="J20" s="12"/>
      <c r="K20" s="12"/>
      <c r="L20" s="12"/>
      <c r="M20" s="12"/>
      <c r="N20" s="12"/>
      <c r="O20" s="12"/>
    </row>
    <row r="21">
      <c r="A21" s="12"/>
      <c r="B21" s="15" t="s">
        <v>18</v>
      </c>
      <c r="C21" s="16"/>
      <c r="D21" s="16"/>
      <c r="E21" s="16"/>
      <c r="F21" s="12"/>
      <c r="G21" s="12"/>
      <c r="H21" s="12"/>
      <c r="I21" s="12"/>
      <c r="J21" s="12"/>
      <c r="K21" s="12"/>
      <c r="L21" s="12"/>
      <c r="M21" s="12"/>
      <c r="N21" s="12"/>
      <c r="O21" s="12"/>
    </row>
    <row r="22" ht="129.0" customHeight="1">
      <c r="A22" s="12"/>
      <c r="B22" s="17" t="s">
        <v>19</v>
      </c>
      <c r="C22" s="16"/>
      <c r="D22" s="16"/>
      <c r="E22" s="16"/>
      <c r="F22" s="12"/>
      <c r="G22" s="12"/>
      <c r="H22" s="12"/>
      <c r="I22" s="18"/>
      <c r="J22" s="12"/>
      <c r="K22" s="12"/>
      <c r="L22" s="12"/>
      <c r="M22" s="12"/>
      <c r="N22" s="12"/>
      <c r="O22" s="12"/>
    </row>
    <row r="23">
      <c r="A23" s="12"/>
      <c r="B23" s="12"/>
      <c r="C23" s="12"/>
      <c r="D23" s="12"/>
      <c r="E23" s="12"/>
      <c r="F23" s="12"/>
      <c r="G23" s="12"/>
      <c r="H23" s="12"/>
      <c r="I23" s="12"/>
      <c r="J23" s="12"/>
      <c r="K23" s="12"/>
      <c r="L23" s="12"/>
      <c r="M23" s="12"/>
      <c r="N23" s="12"/>
      <c r="O23" s="12"/>
    </row>
    <row r="24">
      <c r="A24" s="12"/>
      <c r="B24" s="19"/>
      <c r="C24" s="19"/>
      <c r="D24" s="19"/>
      <c r="E24" s="19"/>
      <c r="F24" s="12"/>
      <c r="G24" s="12"/>
      <c r="H24" s="12"/>
      <c r="I24" s="12"/>
      <c r="J24" s="12"/>
      <c r="K24" s="12"/>
      <c r="L24" s="12"/>
      <c r="M24" s="12"/>
      <c r="N24" s="12"/>
      <c r="O24" s="12"/>
    </row>
    <row r="25">
      <c r="A25" s="12"/>
      <c r="B25" s="20" t="s">
        <v>20</v>
      </c>
      <c r="C25" s="20" t="s">
        <v>21</v>
      </c>
      <c r="D25" s="20" t="s">
        <v>22</v>
      </c>
      <c r="E25" s="20" t="s">
        <v>10</v>
      </c>
      <c r="F25" s="21" t="s">
        <v>23</v>
      </c>
      <c r="G25" s="12"/>
      <c r="H25" s="12"/>
      <c r="I25" s="12"/>
      <c r="J25" s="12"/>
      <c r="K25" s="12"/>
      <c r="L25" s="12"/>
      <c r="M25" s="12"/>
      <c r="N25" s="12"/>
      <c r="O25" s="12"/>
    </row>
    <row r="26">
      <c r="A26" s="12"/>
      <c r="B26" s="22" t="s">
        <v>24</v>
      </c>
      <c r="C26" s="23" t="s">
        <v>25</v>
      </c>
      <c r="D26" s="6" t="s">
        <v>13</v>
      </c>
      <c r="E26" s="24">
        <v>100.0</v>
      </c>
      <c r="F26" s="25" t="s">
        <v>26</v>
      </c>
      <c r="G26" s="12"/>
      <c r="H26" s="12"/>
      <c r="I26" s="5"/>
      <c r="J26" s="5"/>
      <c r="K26" s="5"/>
      <c r="L26" s="12"/>
      <c r="M26" s="5"/>
      <c r="N26" s="5"/>
      <c r="O26" s="6"/>
    </row>
    <row r="27">
      <c r="A27" s="12"/>
      <c r="B27" s="22" t="s">
        <v>27</v>
      </c>
      <c r="C27" s="26" t="s">
        <v>28</v>
      </c>
      <c r="D27" s="8" t="s">
        <v>14</v>
      </c>
      <c r="E27" s="24">
        <v>100.0</v>
      </c>
      <c r="F27" s="25" t="s">
        <v>29</v>
      </c>
      <c r="G27" s="12"/>
      <c r="H27" s="12"/>
      <c r="I27" s="5"/>
      <c r="J27" s="5"/>
      <c r="K27" s="12"/>
      <c r="L27" s="12"/>
      <c r="M27" s="5"/>
      <c r="N27" s="5"/>
      <c r="O27" s="8"/>
    </row>
    <row r="28">
      <c r="A28" s="12"/>
      <c r="B28" s="22" t="s">
        <v>30</v>
      </c>
      <c r="C28" s="27" t="s">
        <v>31</v>
      </c>
      <c r="D28" s="6" t="s">
        <v>13</v>
      </c>
      <c r="E28" s="24">
        <v>50.0</v>
      </c>
      <c r="F28" s="25" t="s">
        <v>32</v>
      </c>
      <c r="G28" s="12"/>
      <c r="H28" s="12"/>
      <c r="I28" s="5"/>
      <c r="J28" s="5"/>
      <c r="K28" s="12"/>
      <c r="L28" s="12"/>
      <c r="M28" s="5"/>
      <c r="N28" s="5"/>
      <c r="O28" s="6"/>
    </row>
    <row r="29">
      <c r="A29" s="12"/>
      <c r="B29" s="28"/>
      <c r="C29" s="29" t="s">
        <v>33</v>
      </c>
      <c r="D29" s="8" t="s">
        <v>14</v>
      </c>
      <c r="E29" s="30">
        <v>25.0</v>
      </c>
      <c r="F29" s="25" t="s">
        <v>34</v>
      </c>
      <c r="G29" s="12"/>
      <c r="H29" s="12"/>
      <c r="I29" s="5"/>
      <c r="J29" s="5"/>
      <c r="K29" s="12"/>
      <c r="L29" s="12"/>
      <c r="M29" s="5"/>
      <c r="N29" s="5"/>
      <c r="O29" s="8"/>
    </row>
    <row r="30">
      <c r="A30" s="12"/>
      <c r="B30" s="31" t="s">
        <v>35</v>
      </c>
      <c r="C30" s="23" t="s">
        <v>25</v>
      </c>
      <c r="D30" s="6" t="s">
        <v>13</v>
      </c>
      <c r="E30" s="24">
        <v>100.0</v>
      </c>
      <c r="F30" s="32" t="s">
        <v>36</v>
      </c>
      <c r="G30" s="12"/>
      <c r="H30" s="12"/>
      <c r="I30" s="5"/>
      <c r="J30" s="5"/>
      <c r="K30" s="12"/>
      <c r="L30" s="12"/>
      <c r="M30" s="5"/>
      <c r="N30" s="5"/>
      <c r="O30" s="6"/>
    </row>
    <row r="31">
      <c r="A31" s="12"/>
      <c r="B31" s="31" t="s">
        <v>37</v>
      </c>
      <c r="C31" s="26" t="s">
        <v>38</v>
      </c>
      <c r="D31" s="8" t="s">
        <v>14</v>
      </c>
      <c r="E31" s="30">
        <v>50.0</v>
      </c>
      <c r="F31" s="32" t="s">
        <v>39</v>
      </c>
      <c r="G31" s="12"/>
      <c r="H31" s="12"/>
      <c r="I31" s="5"/>
      <c r="J31" s="5"/>
      <c r="K31" s="12"/>
      <c r="L31" s="12"/>
      <c r="M31" s="5"/>
      <c r="N31" s="5"/>
      <c r="O31" s="8"/>
    </row>
    <row r="32">
      <c r="A32" s="12"/>
      <c r="B32" s="31" t="s">
        <v>40</v>
      </c>
      <c r="C32" s="27" t="s">
        <v>31</v>
      </c>
      <c r="D32" s="6" t="s">
        <v>13</v>
      </c>
      <c r="E32" s="30">
        <v>50.0</v>
      </c>
      <c r="F32" s="32" t="s">
        <v>41</v>
      </c>
      <c r="G32" s="12"/>
      <c r="H32" s="12"/>
      <c r="I32" s="12"/>
      <c r="J32" s="12"/>
      <c r="K32" s="12"/>
      <c r="L32" s="12"/>
      <c r="M32" s="5"/>
      <c r="N32" s="5"/>
      <c r="O32" s="6"/>
    </row>
    <row r="33">
      <c r="A33" s="12"/>
      <c r="B33" s="33"/>
      <c r="C33" s="29" t="s">
        <v>42</v>
      </c>
      <c r="D33" s="8" t="s">
        <v>14</v>
      </c>
      <c r="E33" s="30">
        <v>25.0</v>
      </c>
      <c r="F33" s="32" t="s">
        <v>43</v>
      </c>
      <c r="G33" s="12"/>
      <c r="H33" s="12"/>
      <c r="I33" s="12"/>
      <c r="J33" s="12"/>
      <c r="K33" s="12"/>
      <c r="L33" s="12"/>
      <c r="M33" s="5"/>
      <c r="N33" s="5"/>
      <c r="O33" s="8"/>
    </row>
    <row r="34">
      <c r="A34" s="12"/>
      <c r="B34" s="34" t="s">
        <v>25</v>
      </c>
      <c r="C34" s="23" t="s">
        <v>25</v>
      </c>
      <c r="D34" s="6" t="s">
        <v>13</v>
      </c>
      <c r="E34" s="30">
        <v>50.0</v>
      </c>
      <c r="F34" s="32" t="s">
        <v>44</v>
      </c>
      <c r="G34" s="12"/>
      <c r="H34" s="12"/>
      <c r="I34" s="12"/>
      <c r="J34" s="12"/>
      <c r="K34" s="12"/>
      <c r="L34" s="12"/>
      <c r="M34" s="5"/>
      <c r="N34" s="5"/>
      <c r="O34" s="6"/>
    </row>
    <row r="35">
      <c r="A35" s="12"/>
      <c r="B35" s="34" t="s">
        <v>45</v>
      </c>
      <c r="C35" s="26" t="s">
        <v>46</v>
      </c>
      <c r="D35" s="8" t="s">
        <v>14</v>
      </c>
      <c r="E35" s="35">
        <v>0.0</v>
      </c>
      <c r="F35" s="32" t="s">
        <v>47</v>
      </c>
      <c r="G35" s="12"/>
      <c r="H35" s="12"/>
      <c r="I35" s="12"/>
      <c r="J35" s="12"/>
      <c r="K35" s="12"/>
      <c r="L35" s="12"/>
      <c r="M35" s="5"/>
      <c r="N35" s="5"/>
      <c r="O35" s="8"/>
    </row>
    <row r="36">
      <c r="A36" s="12"/>
      <c r="B36" s="34" t="s">
        <v>48</v>
      </c>
      <c r="C36" s="27" t="s">
        <v>31</v>
      </c>
      <c r="D36" s="6" t="s">
        <v>13</v>
      </c>
      <c r="E36" s="30">
        <v>25.0</v>
      </c>
      <c r="F36" s="32" t="s">
        <v>49</v>
      </c>
      <c r="G36" s="12"/>
      <c r="H36" s="12"/>
      <c r="I36" s="12"/>
      <c r="J36" s="12"/>
      <c r="K36" s="12"/>
      <c r="L36" s="12"/>
      <c r="M36" s="5"/>
      <c r="N36" s="5"/>
      <c r="O36" s="6"/>
    </row>
    <row r="37">
      <c r="A37" s="12"/>
      <c r="B37" s="36"/>
      <c r="C37" s="29" t="s">
        <v>42</v>
      </c>
      <c r="D37" s="8" t="s">
        <v>14</v>
      </c>
      <c r="E37" s="35">
        <v>0.0</v>
      </c>
      <c r="F37" s="32" t="s">
        <v>50</v>
      </c>
      <c r="G37" s="12"/>
      <c r="H37" s="12"/>
      <c r="I37" s="12"/>
      <c r="J37" s="12"/>
      <c r="K37" s="12"/>
      <c r="L37" s="12"/>
      <c r="M37" s="5"/>
      <c r="N37" s="5"/>
      <c r="O37" s="8"/>
    </row>
  </sheetData>
  <mergeCells count="4">
    <mergeCell ref="B18:E18"/>
    <mergeCell ref="B19:E19"/>
    <mergeCell ref="B21:E21"/>
    <mergeCell ref="B22:E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c r="B1" s="13" t="s">
        <v>51</v>
      </c>
      <c r="J1" s="12"/>
      <c r="K1" s="12"/>
      <c r="L1" s="12"/>
    </row>
    <row r="2">
      <c r="A2" s="12"/>
      <c r="B2" s="37" t="s">
        <v>52</v>
      </c>
      <c r="J2" s="12"/>
      <c r="K2" s="12"/>
      <c r="L2" s="12"/>
    </row>
    <row r="3">
      <c r="A3" s="12"/>
      <c r="B3" s="38"/>
      <c r="C3" s="12"/>
      <c r="D3" s="12"/>
      <c r="E3" s="12"/>
      <c r="F3" s="12"/>
      <c r="G3" s="12"/>
      <c r="H3" s="12"/>
      <c r="I3" s="12"/>
      <c r="J3" s="12"/>
      <c r="K3" s="12"/>
      <c r="L3" s="12"/>
    </row>
    <row r="4">
      <c r="A4" s="12"/>
      <c r="B4" s="15" t="s">
        <v>53</v>
      </c>
      <c r="C4" s="16"/>
      <c r="D4" s="16"/>
      <c r="E4" s="16"/>
      <c r="F4" s="16"/>
      <c r="G4" s="16"/>
      <c r="H4" s="16"/>
      <c r="I4" s="16"/>
      <c r="J4" s="12"/>
      <c r="K4" s="12"/>
      <c r="L4" s="12"/>
    </row>
    <row r="5">
      <c r="A5" s="12"/>
      <c r="B5" s="39" t="s">
        <v>54</v>
      </c>
      <c r="C5" s="40" t="s">
        <v>55</v>
      </c>
      <c r="D5" s="16"/>
      <c r="E5" s="16"/>
      <c r="F5" s="16"/>
      <c r="G5" s="16"/>
      <c r="H5" s="16"/>
      <c r="I5" s="41"/>
      <c r="J5" s="12"/>
      <c r="K5" s="12"/>
      <c r="L5" s="12"/>
    </row>
    <row r="6">
      <c r="A6" s="12"/>
      <c r="B6" s="42" t="s">
        <v>56</v>
      </c>
      <c r="C6" s="43" t="s">
        <v>57</v>
      </c>
      <c r="D6" s="16"/>
      <c r="E6" s="16"/>
      <c r="F6" s="16"/>
      <c r="G6" s="16"/>
      <c r="H6" s="16"/>
      <c r="I6" s="16"/>
      <c r="J6" s="12"/>
      <c r="K6" s="12"/>
      <c r="L6" s="12"/>
    </row>
    <row r="7">
      <c r="A7" s="12"/>
      <c r="B7" s="42" t="s">
        <v>58</v>
      </c>
      <c r="C7" s="43" t="s">
        <v>59</v>
      </c>
      <c r="D7" s="16"/>
      <c r="E7" s="16"/>
      <c r="F7" s="16"/>
      <c r="G7" s="16"/>
      <c r="H7" s="16"/>
      <c r="I7" s="16"/>
      <c r="J7" s="12"/>
      <c r="K7" s="12"/>
      <c r="L7" s="12"/>
    </row>
    <row r="8">
      <c r="A8" s="12"/>
      <c r="B8" s="42" t="s">
        <v>60</v>
      </c>
      <c r="C8" s="43" t="s">
        <v>61</v>
      </c>
      <c r="D8" s="16"/>
      <c r="E8" s="16"/>
      <c r="F8" s="16"/>
      <c r="G8" s="16"/>
      <c r="H8" s="16"/>
      <c r="I8" s="16"/>
      <c r="J8" s="12"/>
      <c r="K8" s="12"/>
      <c r="L8" s="12"/>
      <c r="P8" s="44" t="s">
        <v>62</v>
      </c>
      <c r="Q8" s="44" t="s">
        <v>63</v>
      </c>
      <c r="R8" s="44" t="s">
        <v>64</v>
      </c>
      <c r="S8" s="44" t="s">
        <v>65</v>
      </c>
      <c r="T8" s="44" t="s">
        <v>66</v>
      </c>
      <c r="U8" s="44" t="s">
        <v>67</v>
      </c>
      <c r="V8" s="44" t="s">
        <v>68</v>
      </c>
      <c r="W8" s="44" t="s">
        <v>69</v>
      </c>
    </row>
    <row r="9">
      <c r="A9" s="12"/>
      <c r="B9" s="42" t="s">
        <v>70</v>
      </c>
      <c r="C9" s="43" t="s">
        <v>71</v>
      </c>
      <c r="D9" s="16"/>
      <c r="E9" s="16"/>
      <c r="F9" s="16"/>
      <c r="G9" s="16"/>
      <c r="H9" s="16"/>
      <c r="I9" s="16"/>
      <c r="J9" s="12"/>
      <c r="K9" s="12"/>
      <c r="L9" s="12"/>
      <c r="P9" s="45" t="s">
        <v>72</v>
      </c>
      <c r="Q9" s="45" t="s">
        <v>73</v>
      </c>
      <c r="R9" s="45" t="s">
        <v>74</v>
      </c>
      <c r="S9" s="45" t="s">
        <v>75</v>
      </c>
      <c r="T9" s="45" t="s">
        <v>75</v>
      </c>
      <c r="U9" s="46"/>
      <c r="V9" s="47" t="s">
        <v>14</v>
      </c>
      <c r="W9" s="45" t="s">
        <v>76</v>
      </c>
    </row>
    <row r="10">
      <c r="A10" s="12"/>
      <c r="B10" s="42" t="s">
        <v>77</v>
      </c>
      <c r="C10" s="43" t="s">
        <v>78</v>
      </c>
      <c r="D10" s="16"/>
      <c r="E10" s="16"/>
      <c r="F10" s="16"/>
      <c r="G10" s="16"/>
      <c r="H10" s="16"/>
      <c r="I10" s="16"/>
      <c r="J10" s="12"/>
      <c r="K10" s="12"/>
      <c r="L10" s="12"/>
      <c r="P10" s="48" t="s">
        <v>79</v>
      </c>
      <c r="Q10" s="48" t="s">
        <v>73</v>
      </c>
      <c r="R10" s="48" t="s">
        <v>74</v>
      </c>
      <c r="S10" s="48" t="s">
        <v>75</v>
      </c>
      <c r="T10" s="48" t="s">
        <v>75</v>
      </c>
      <c r="U10" s="49"/>
      <c r="V10" s="47" t="s">
        <v>14</v>
      </c>
      <c r="W10" s="48" t="s">
        <v>76</v>
      </c>
    </row>
    <row r="11">
      <c r="A11" s="12"/>
      <c r="B11" s="42" t="s">
        <v>80</v>
      </c>
      <c r="C11" s="43" t="s">
        <v>81</v>
      </c>
      <c r="D11" s="16"/>
      <c r="E11" s="16"/>
      <c r="F11" s="16"/>
      <c r="G11" s="16"/>
      <c r="H11" s="16"/>
      <c r="I11" s="16"/>
      <c r="J11" s="12"/>
      <c r="K11" s="12"/>
      <c r="L11" s="12"/>
      <c r="P11" s="45" t="s">
        <v>82</v>
      </c>
      <c r="Q11" s="45" t="s">
        <v>73</v>
      </c>
      <c r="R11" s="45" t="s">
        <v>74</v>
      </c>
      <c r="S11" s="45" t="s">
        <v>75</v>
      </c>
      <c r="T11" s="45" t="s">
        <v>75</v>
      </c>
      <c r="U11" s="46"/>
      <c r="V11" s="47" t="s">
        <v>14</v>
      </c>
      <c r="W11" s="45" t="s">
        <v>76</v>
      </c>
    </row>
    <row r="12">
      <c r="A12" s="12"/>
      <c r="B12" s="38"/>
      <c r="C12" s="12"/>
      <c r="D12" s="12"/>
      <c r="E12" s="12"/>
      <c r="F12" s="12"/>
      <c r="G12" s="12"/>
      <c r="H12" s="12"/>
      <c r="I12" s="12"/>
      <c r="J12" s="12"/>
      <c r="K12" s="12"/>
      <c r="L12" s="12"/>
      <c r="P12" s="48" t="s">
        <v>83</v>
      </c>
      <c r="Q12" s="48" t="s">
        <v>73</v>
      </c>
      <c r="R12" s="48" t="s">
        <v>74</v>
      </c>
      <c r="S12" s="48" t="s">
        <v>75</v>
      </c>
      <c r="T12" s="48" t="s">
        <v>75</v>
      </c>
      <c r="U12" s="49"/>
      <c r="V12" s="47" t="s">
        <v>14</v>
      </c>
      <c r="W12" s="48" t="s">
        <v>76</v>
      </c>
    </row>
    <row r="13">
      <c r="A13" s="12"/>
      <c r="B13" s="15" t="s">
        <v>84</v>
      </c>
      <c r="C13" s="16"/>
      <c r="D13" s="16"/>
      <c r="E13" s="16"/>
      <c r="F13" s="16"/>
      <c r="G13" s="16"/>
      <c r="H13" s="16"/>
      <c r="I13" s="16"/>
      <c r="J13" s="12"/>
      <c r="K13" s="12"/>
      <c r="L13" s="12"/>
      <c r="P13" s="45" t="s">
        <v>85</v>
      </c>
      <c r="Q13" s="45" t="s">
        <v>73</v>
      </c>
      <c r="R13" s="45" t="s">
        <v>74</v>
      </c>
      <c r="S13" s="45" t="s">
        <v>75</v>
      </c>
      <c r="T13" s="45" t="s">
        <v>75</v>
      </c>
      <c r="U13" s="46"/>
      <c r="V13" s="47" t="s">
        <v>14</v>
      </c>
      <c r="W13" s="45" t="s">
        <v>76</v>
      </c>
    </row>
    <row r="14">
      <c r="A14" s="12"/>
      <c r="B14" s="50" t="s">
        <v>86</v>
      </c>
      <c r="C14" s="16"/>
      <c r="D14" s="16"/>
      <c r="E14" s="16"/>
      <c r="F14" s="16"/>
      <c r="G14" s="16"/>
      <c r="H14" s="16"/>
      <c r="I14" s="16"/>
      <c r="J14" s="12"/>
      <c r="K14" s="12"/>
      <c r="L14" s="12"/>
      <c r="P14" s="48" t="s">
        <v>87</v>
      </c>
      <c r="Q14" s="48" t="s">
        <v>73</v>
      </c>
      <c r="R14" s="48" t="s">
        <v>74</v>
      </c>
      <c r="S14" s="48" t="s">
        <v>75</v>
      </c>
      <c r="T14" s="48" t="s">
        <v>75</v>
      </c>
      <c r="U14" s="49"/>
      <c r="V14" s="47" t="s">
        <v>14</v>
      </c>
      <c r="W14" s="48" t="s">
        <v>76</v>
      </c>
    </row>
    <row r="15">
      <c r="A15" s="12"/>
      <c r="B15" s="38"/>
      <c r="C15" s="12"/>
      <c r="D15" s="12"/>
      <c r="E15" s="12"/>
      <c r="F15" s="12"/>
      <c r="G15" s="12"/>
      <c r="H15" s="12"/>
      <c r="I15" s="12"/>
      <c r="J15" s="12"/>
      <c r="K15" s="12"/>
      <c r="L15" s="12"/>
      <c r="P15" s="45" t="s">
        <v>88</v>
      </c>
      <c r="Q15" s="45" t="s">
        <v>73</v>
      </c>
      <c r="R15" s="45" t="s">
        <v>74</v>
      </c>
      <c r="S15" s="45" t="s">
        <v>75</v>
      </c>
      <c r="T15" s="45" t="s">
        <v>75</v>
      </c>
      <c r="U15" s="45" t="s">
        <v>89</v>
      </c>
      <c r="V15" s="47" t="s">
        <v>14</v>
      </c>
      <c r="W15" s="45" t="s">
        <v>76</v>
      </c>
    </row>
    <row r="16">
      <c r="A16" s="12"/>
      <c r="B16" s="15" t="s">
        <v>90</v>
      </c>
      <c r="C16" s="16"/>
      <c r="D16" s="16"/>
      <c r="E16" s="16"/>
      <c r="F16" s="16"/>
      <c r="G16" s="16"/>
      <c r="H16" s="16"/>
      <c r="I16" s="16"/>
      <c r="J16" s="12"/>
      <c r="K16" s="12"/>
      <c r="L16" s="12"/>
      <c r="P16" s="48" t="s">
        <v>91</v>
      </c>
      <c r="Q16" s="48" t="s">
        <v>73</v>
      </c>
      <c r="R16" s="48" t="s">
        <v>74</v>
      </c>
      <c r="S16" s="48" t="s">
        <v>75</v>
      </c>
      <c r="T16" s="48" t="s">
        <v>75</v>
      </c>
      <c r="U16" s="49"/>
      <c r="V16" s="47" t="s">
        <v>14</v>
      </c>
      <c r="W16" s="48" t="s">
        <v>76</v>
      </c>
    </row>
    <row r="17">
      <c r="A17" s="12"/>
      <c r="B17" s="39" t="s">
        <v>92</v>
      </c>
      <c r="C17" s="39" t="s">
        <v>93</v>
      </c>
      <c r="D17" s="39" t="s">
        <v>94</v>
      </c>
      <c r="E17" s="39" t="s">
        <v>95</v>
      </c>
      <c r="F17" s="39" t="s">
        <v>96</v>
      </c>
      <c r="G17" s="39" t="s">
        <v>97</v>
      </c>
      <c r="H17" s="39" t="s">
        <v>98</v>
      </c>
      <c r="I17" s="39" t="s">
        <v>99</v>
      </c>
      <c r="J17" s="12"/>
      <c r="K17" s="12"/>
      <c r="L17" s="12"/>
      <c r="P17" s="45" t="s">
        <v>100</v>
      </c>
      <c r="Q17" s="45" t="s">
        <v>73</v>
      </c>
      <c r="R17" s="45" t="s">
        <v>74</v>
      </c>
      <c r="S17" s="45" t="s">
        <v>75</v>
      </c>
      <c r="T17" s="45" t="s">
        <v>75</v>
      </c>
      <c r="U17" s="46"/>
      <c r="V17" s="47" t="s">
        <v>14</v>
      </c>
      <c r="W17" s="45" t="s">
        <v>76</v>
      </c>
    </row>
    <row r="18">
      <c r="A18" s="12"/>
      <c r="B18" s="51" t="s">
        <v>101</v>
      </c>
      <c r="C18" s="51" t="s">
        <v>102</v>
      </c>
      <c r="D18" s="51" t="s">
        <v>102</v>
      </c>
      <c r="E18" s="51" t="s">
        <v>102</v>
      </c>
      <c r="F18" s="51" t="s">
        <v>102</v>
      </c>
      <c r="G18" s="51" t="s">
        <v>102</v>
      </c>
      <c r="H18" s="51" t="s">
        <v>102</v>
      </c>
      <c r="I18" s="51" t="s">
        <v>103</v>
      </c>
      <c r="J18" s="12"/>
      <c r="K18" s="12"/>
      <c r="L18" s="52" t="s">
        <v>104</v>
      </c>
      <c r="P18" s="48" t="s">
        <v>105</v>
      </c>
      <c r="Q18" s="48" t="s">
        <v>106</v>
      </c>
      <c r="R18" s="48" t="s">
        <v>107</v>
      </c>
      <c r="S18" s="48" t="s">
        <v>108</v>
      </c>
      <c r="T18" s="48" t="s">
        <v>108</v>
      </c>
      <c r="U18" s="49"/>
      <c r="V18" s="47" t="s">
        <v>14</v>
      </c>
      <c r="W18" s="48" t="s">
        <v>109</v>
      </c>
    </row>
    <row r="19">
      <c r="A19" s="12"/>
      <c r="B19" s="53" t="s">
        <v>110</v>
      </c>
      <c r="C19" s="54" t="s">
        <v>111</v>
      </c>
      <c r="D19" s="54" t="s">
        <v>111</v>
      </c>
      <c r="E19" s="54" t="s">
        <v>111</v>
      </c>
      <c r="F19" s="55" t="s">
        <v>112</v>
      </c>
      <c r="G19" s="54" t="s">
        <v>111</v>
      </c>
      <c r="H19" s="54" t="s">
        <v>111</v>
      </c>
      <c r="I19" s="56" t="s">
        <v>14</v>
      </c>
      <c r="J19" s="12"/>
      <c r="K19" s="12"/>
      <c r="L19" s="12"/>
      <c r="P19" s="45" t="s">
        <v>113</v>
      </c>
      <c r="Q19" s="45" t="s">
        <v>106</v>
      </c>
      <c r="R19" s="45" t="s">
        <v>107</v>
      </c>
      <c r="S19" s="45" t="s">
        <v>108</v>
      </c>
      <c r="T19" s="45" t="s">
        <v>108</v>
      </c>
      <c r="U19" s="46"/>
      <c r="V19" s="47" t="s">
        <v>14</v>
      </c>
      <c r="W19" s="45" t="s">
        <v>109</v>
      </c>
    </row>
    <row r="20">
      <c r="A20" s="12"/>
      <c r="B20" s="53" t="s">
        <v>114</v>
      </c>
      <c r="C20" s="57" t="s">
        <v>111</v>
      </c>
      <c r="D20" s="55" t="s">
        <v>112</v>
      </c>
      <c r="E20" s="57" t="s">
        <v>111</v>
      </c>
      <c r="F20" s="55" t="s">
        <v>112</v>
      </c>
      <c r="G20" s="57" t="s">
        <v>111</v>
      </c>
      <c r="H20" s="57" t="s">
        <v>111</v>
      </c>
      <c r="I20" s="58" t="s">
        <v>13</v>
      </c>
      <c r="J20" s="12"/>
      <c r="K20" s="12"/>
      <c r="L20" s="59" t="s">
        <v>115</v>
      </c>
      <c r="P20" s="48" t="s">
        <v>116</v>
      </c>
      <c r="Q20" s="48" t="s">
        <v>106</v>
      </c>
      <c r="R20" s="48" t="s">
        <v>107</v>
      </c>
      <c r="S20" s="48" t="s">
        <v>108</v>
      </c>
      <c r="T20" s="48" t="s">
        <v>108</v>
      </c>
      <c r="U20" s="49"/>
      <c r="V20" s="47" t="s">
        <v>14</v>
      </c>
      <c r="W20" s="48" t="s">
        <v>109</v>
      </c>
    </row>
    <row r="21">
      <c r="A21" s="12"/>
      <c r="B21" s="53" t="s">
        <v>117</v>
      </c>
      <c r="C21" s="54" t="s">
        <v>111</v>
      </c>
      <c r="D21" s="55" t="s">
        <v>112</v>
      </c>
      <c r="E21" s="54" t="s">
        <v>111</v>
      </c>
      <c r="F21" s="54" t="s">
        <v>111</v>
      </c>
      <c r="G21" s="55" t="s">
        <v>112</v>
      </c>
      <c r="H21" s="54" t="s">
        <v>111</v>
      </c>
      <c r="I21" s="58" t="s">
        <v>13</v>
      </c>
      <c r="J21" s="12"/>
      <c r="K21" s="12"/>
      <c r="L21" s="12"/>
      <c r="P21" s="45" t="s">
        <v>118</v>
      </c>
      <c r="Q21" s="45" t="s">
        <v>119</v>
      </c>
      <c r="R21" s="45" t="s">
        <v>107</v>
      </c>
      <c r="S21" s="45" t="s">
        <v>120</v>
      </c>
      <c r="T21" s="45" t="s">
        <v>120</v>
      </c>
      <c r="U21" s="46"/>
      <c r="V21" s="47" t="s">
        <v>14</v>
      </c>
      <c r="W21" s="45" t="s">
        <v>121</v>
      </c>
    </row>
    <row r="22">
      <c r="A22" s="12"/>
      <c r="B22" s="53" t="s">
        <v>122</v>
      </c>
      <c r="C22" s="57" t="s">
        <v>111</v>
      </c>
      <c r="D22" s="57" t="s">
        <v>111</v>
      </c>
      <c r="E22" s="57" t="s">
        <v>111</v>
      </c>
      <c r="F22" s="55" t="s">
        <v>112</v>
      </c>
      <c r="G22" s="57" t="s">
        <v>111</v>
      </c>
      <c r="H22" s="57" t="s">
        <v>111</v>
      </c>
      <c r="I22" s="56" t="s">
        <v>14</v>
      </c>
      <c r="J22" s="12"/>
      <c r="K22" s="12"/>
      <c r="L22" s="12"/>
      <c r="P22" s="48" t="s">
        <v>123</v>
      </c>
      <c r="Q22" s="48" t="s">
        <v>119</v>
      </c>
      <c r="R22" s="48" t="s">
        <v>107</v>
      </c>
      <c r="S22" s="48" t="s">
        <v>120</v>
      </c>
      <c r="T22" s="48" t="s">
        <v>120</v>
      </c>
      <c r="U22" s="49"/>
      <c r="V22" s="47" t="s">
        <v>14</v>
      </c>
      <c r="W22" s="48" t="s">
        <v>121</v>
      </c>
    </row>
    <row r="23">
      <c r="A23" s="12"/>
      <c r="B23" s="53" t="s">
        <v>124</v>
      </c>
      <c r="C23" s="54" t="s">
        <v>111</v>
      </c>
      <c r="D23" s="55" t="s">
        <v>112</v>
      </c>
      <c r="E23" s="54" t="s">
        <v>111</v>
      </c>
      <c r="F23" s="54" t="s">
        <v>111</v>
      </c>
      <c r="G23" s="54" t="s">
        <v>111</v>
      </c>
      <c r="H23" s="54" t="s">
        <v>111</v>
      </c>
      <c r="I23" s="58" t="s">
        <v>13</v>
      </c>
      <c r="J23" s="12"/>
      <c r="K23" s="12"/>
      <c r="L23" s="12"/>
      <c r="P23" s="45" t="s">
        <v>125</v>
      </c>
      <c r="Q23" s="45" t="s">
        <v>119</v>
      </c>
      <c r="R23" s="45" t="s">
        <v>107</v>
      </c>
      <c r="S23" s="45" t="s">
        <v>120</v>
      </c>
      <c r="T23" s="45" t="s">
        <v>120</v>
      </c>
      <c r="U23" s="46"/>
      <c r="V23" s="47" t="s">
        <v>14</v>
      </c>
      <c r="W23" s="45" t="s">
        <v>121</v>
      </c>
    </row>
    <row r="24">
      <c r="A24" s="12"/>
      <c r="B24" s="53" t="s">
        <v>126</v>
      </c>
      <c r="C24" s="57" t="s">
        <v>111</v>
      </c>
      <c r="D24" s="55" t="s">
        <v>112</v>
      </c>
      <c r="E24" s="57" t="s">
        <v>111</v>
      </c>
      <c r="F24" s="57" t="s">
        <v>111</v>
      </c>
      <c r="G24" s="55" t="s">
        <v>112</v>
      </c>
      <c r="H24" s="57" t="s">
        <v>111</v>
      </c>
      <c r="I24" s="58" t="s">
        <v>13</v>
      </c>
      <c r="J24" s="12"/>
      <c r="K24" s="12"/>
      <c r="L24" s="12"/>
      <c r="P24" s="48" t="s">
        <v>127</v>
      </c>
      <c r="Q24" s="48" t="s">
        <v>106</v>
      </c>
      <c r="R24" s="48" t="s">
        <v>107</v>
      </c>
      <c r="S24" s="48" t="s">
        <v>108</v>
      </c>
      <c r="T24" s="48" t="s">
        <v>108</v>
      </c>
      <c r="U24" s="49"/>
      <c r="V24" s="47" t="s">
        <v>14</v>
      </c>
      <c r="W24" s="48" t="s">
        <v>109</v>
      </c>
    </row>
    <row r="25">
      <c r="A25" s="12"/>
      <c r="B25" s="53" t="s">
        <v>128</v>
      </c>
      <c r="C25" s="54" t="s">
        <v>111</v>
      </c>
      <c r="D25" s="54" t="s">
        <v>111</v>
      </c>
      <c r="E25" s="54" t="s">
        <v>111</v>
      </c>
      <c r="F25" s="55" t="s">
        <v>112</v>
      </c>
      <c r="G25" s="54" t="s">
        <v>111</v>
      </c>
      <c r="H25" s="54" t="s">
        <v>111</v>
      </c>
      <c r="I25" s="56" t="s">
        <v>14</v>
      </c>
      <c r="J25" s="12"/>
      <c r="K25" s="12"/>
      <c r="L25" s="12"/>
      <c r="P25" s="45" t="s">
        <v>129</v>
      </c>
      <c r="Q25" s="45" t="s">
        <v>119</v>
      </c>
      <c r="R25" s="45" t="s">
        <v>107</v>
      </c>
      <c r="S25" s="45" t="s">
        <v>120</v>
      </c>
      <c r="T25" s="45" t="s">
        <v>120</v>
      </c>
      <c r="U25" s="45" t="s">
        <v>130</v>
      </c>
      <c r="V25" s="47" t="s">
        <v>14</v>
      </c>
      <c r="W25" s="45" t="s">
        <v>121</v>
      </c>
    </row>
    <row r="26">
      <c r="A26" s="12"/>
      <c r="B26" s="53" t="s">
        <v>131</v>
      </c>
      <c r="C26" s="57" t="s">
        <v>111</v>
      </c>
      <c r="D26" s="57" t="s">
        <v>111</v>
      </c>
      <c r="E26" s="57" t="s">
        <v>111</v>
      </c>
      <c r="F26" s="57" t="s">
        <v>111</v>
      </c>
      <c r="G26" s="57" t="s">
        <v>111</v>
      </c>
      <c r="H26" s="55" t="s">
        <v>112</v>
      </c>
      <c r="I26" s="56" t="s">
        <v>14</v>
      </c>
      <c r="J26" s="12"/>
      <c r="K26" s="12"/>
      <c r="L26" s="12"/>
      <c r="P26" s="48" t="s">
        <v>132</v>
      </c>
      <c r="Q26" s="48" t="s">
        <v>133</v>
      </c>
      <c r="R26" s="48" t="s">
        <v>107</v>
      </c>
      <c r="S26" s="48" t="s">
        <v>120</v>
      </c>
      <c r="T26" s="48" t="s">
        <v>120</v>
      </c>
      <c r="U26" s="48" t="s">
        <v>130</v>
      </c>
      <c r="V26" s="47" t="s">
        <v>14</v>
      </c>
      <c r="W26" s="48" t="s">
        <v>121</v>
      </c>
    </row>
    <row r="27">
      <c r="A27" s="12"/>
      <c r="B27" s="53" t="s">
        <v>134</v>
      </c>
      <c r="C27" s="54" t="s">
        <v>111</v>
      </c>
      <c r="D27" s="55" t="s">
        <v>112</v>
      </c>
      <c r="E27" s="54" t="s">
        <v>111</v>
      </c>
      <c r="F27" s="55" t="s">
        <v>112</v>
      </c>
      <c r="G27" s="54" t="s">
        <v>111</v>
      </c>
      <c r="H27" s="54" t="s">
        <v>111</v>
      </c>
      <c r="I27" s="58" t="s">
        <v>13</v>
      </c>
      <c r="J27" s="12"/>
      <c r="K27" s="12"/>
      <c r="L27" s="12"/>
      <c r="P27" s="45" t="s">
        <v>135</v>
      </c>
      <c r="Q27" s="45" t="s">
        <v>119</v>
      </c>
      <c r="R27" s="45" t="s">
        <v>107</v>
      </c>
      <c r="S27" s="45" t="s">
        <v>120</v>
      </c>
      <c r="T27" s="45" t="s">
        <v>120</v>
      </c>
      <c r="U27" s="45" t="s">
        <v>130</v>
      </c>
      <c r="V27" s="47" t="s">
        <v>14</v>
      </c>
      <c r="W27" s="45" t="s">
        <v>121</v>
      </c>
    </row>
    <row r="28">
      <c r="A28" s="12"/>
      <c r="B28" s="53" t="s">
        <v>136</v>
      </c>
      <c r="C28" s="57" t="s">
        <v>111</v>
      </c>
      <c r="D28" s="55" t="s">
        <v>112</v>
      </c>
      <c r="E28" s="57" t="s">
        <v>111</v>
      </c>
      <c r="F28" s="57" t="s">
        <v>111</v>
      </c>
      <c r="G28" s="55" t="s">
        <v>112</v>
      </c>
      <c r="H28" s="57" t="s">
        <v>111</v>
      </c>
      <c r="I28" s="58" t="s">
        <v>13</v>
      </c>
      <c r="J28" s="12"/>
      <c r="K28" s="12"/>
      <c r="L28" s="12"/>
      <c r="P28" s="48" t="s">
        <v>137</v>
      </c>
      <c r="Q28" s="48" t="s">
        <v>138</v>
      </c>
      <c r="R28" s="48" t="s">
        <v>139</v>
      </c>
      <c r="S28" s="48" t="s">
        <v>140</v>
      </c>
      <c r="T28" s="48" t="s">
        <v>140</v>
      </c>
      <c r="U28" s="48" t="s">
        <v>130</v>
      </c>
      <c r="V28" s="47" t="s">
        <v>14</v>
      </c>
      <c r="W28" s="48" t="s">
        <v>141</v>
      </c>
    </row>
    <row r="29">
      <c r="A29" s="12"/>
      <c r="B29" s="53" t="s">
        <v>142</v>
      </c>
      <c r="C29" s="54" t="s">
        <v>111</v>
      </c>
      <c r="D29" s="54" t="s">
        <v>111</v>
      </c>
      <c r="E29" s="54" t="s">
        <v>111</v>
      </c>
      <c r="F29" s="54" t="s">
        <v>111</v>
      </c>
      <c r="G29" s="54" t="s">
        <v>111</v>
      </c>
      <c r="H29" s="54" t="s">
        <v>111</v>
      </c>
      <c r="I29" s="56" t="s">
        <v>14</v>
      </c>
      <c r="J29" s="12"/>
      <c r="K29" s="12"/>
      <c r="L29" s="12"/>
      <c r="P29" s="45" t="s">
        <v>143</v>
      </c>
      <c r="Q29" s="45" t="s">
        <v>144</v>
      </c>
      <c r="R29" s="45" t="s">
        <v>139</v>
      </c>
      <c r="S29" s="45" t="s">
        <v>145</v>
      </c>
      <c r="T29" s="45" t="s">
        <v>145</v>
      </c>
      <c r="U29" s="45" t="s">
        <v>130</v>
      </c>
      <c r="V29" s="47" t="s">
        <v>14</v>
      </c>
      <c r="W29" s="45" t="s">
        <v>146</v>
      </c>
    </row>
    <row r="30">
      <c r="A30" s="12"/>
      <c r="B30" s="53" t="s">
        <v>147</v>
      </c>
      <c r="C30" s="57" t="s">
        <v>111</v>
      </c>
      <c r="D30" s="55" t="s">
        <v>112</v>
      </c>
      <c r="E30" s="57" t="s">
        <v>111</v>
      </c>
      <c r="F30" s="57" t="s">
        <v>111</v>
      </c>
      <c r="G30" s="57" t="s">
        <v>111</v>
      </c>
      <c r="H30" s="57" t="s">
        <v>111</v>
      </c>
      <c r="I30" s="58" t="s">
        <v>13</v>
      </c>
      <c r="J30" s="12"/>
      <c r="K30" s="12"/>
      <c r="L30" s="12"/>
      <c r="P30" s="48" t="s">
        <v>148</v>
      </c>
      <c r="Q30" s="48" t="s">
        <v>144</v>
      </c>
      <c r="R30" s="48" t="s">
        <v>139</v>
      </c>
      <c r="S30" s="48" t="s">
        <v>145</v>
      </c>
      <c r="T30" s="48" t="s">
        <v>145</v>
      </c>
      <c r="U30" s="49"/>
      <c r="V30" s="47" t="s">
        <v>14</v>
      </c>
      <c r="W30" s="48" t="s">
        <v>146</v>
      </c>
    </row>
    <row r="31">
      <c r="A31" s="12"/>
      <c r="B31" s="53" t="s">
        <v>149</v>
      </c>
      <c r="C31" s="54" t="s">
        <v>111</v>
      </c>
      <c r="D31" s="55" t="s">
        <v>112</v>
      </c>
      <c r="E31" s="54" t="s">
        <v>111</v>
      </c>
      <c r="F31" s="55" t="s">
        <v>112</v>
      </c>
      <c r="G31" s="54" t="s">
        <v>111</v>
      </c>
      <c r="H31" s="54" t="s">
        <v>111</v>
      </c>
      <c r="I31" s="58" t="s">
        <v>13</v>
      </c>
      <c r="J31" s="12"/>
      <c r="K31" s="12"/>
      <c r="L31" s="12"/>
      <c r="P31" s="45" t="s">
        <v>150</v>
      </c>
      <c r="Q31" s="45" t="s">
        <v>144</v>
      </c>
      <c r="R31" s="45" t="s">
        <v>139</v>
      </c>
      <c r="S31" s="45" t="s">
        <v>145</v>
      </c>
      <c r="T31" s="45" t="s">
        <v>145</v>
      </c>
      <c r="U31" s="46"/>
      <c r="V31" s="47" t="s">
        <v>14</v>
      </c>
      <c r="W31" s="45" t="s">
        <v>146</v>
      </c>
    </row>
    <row r="32">
      <c r="A32" s="12"/>
      <c r="B32" s="53" t="s">
        <v>151</v>
      </c>
      <c r="C32" s="57" t="s">
        <v>111</v>
      </c>
      <c r="D32" s="57" t="s">
        <v>111</v>
      </c>
      <c r="E32" s="57" t="s">
        <v>111</v>
      </c>
      <c r="F32" s="57" t="s">
        <v>111</v>
      </c>
      <c r="G32" s="57" t="s">
        <v>111</v>
      </c>
      <c r="H32" s="55" t="s">
        <v>112</v>
      </c>
      <c r="I32" s="56" t="s">
        <v>14</v>
      </c>
      <c r="J32" s="12"/>
      <c r="K32" s="12"/>
      <c r="L32" s="12"/>
      <c r="P32" s="48" t="s">
        <v>152</v>
      </c>
      <c r="Q32" s="48" t="s">
        <v>144</v>
      </c>
      <c r="R32" s="48" t="s">
        <v>139</v>
      </c>
      <c r="S32" s="48" t="s">
        <v>145</v>
      </c>
      <c r="T32" s="48" t="s">
        <v>145</v>
      </c>
      <c r="U32" s="48" t="s">
        <v>130</v>
      </c>
      <c r="V32" s="47" t="s">
        <v>14</v>
      </c>
      <c r="W32" s="48" t="s">
        <v>146</v>
      </c>
    </row>
    <row r="33">
      <c r="A33" s="12"/>
      <c r="B33" s="53" t="s">
        <v>153</v>
      </c>
      <c r="C33" s="54" t="s">
        <v>111</v>
      </c>
      <c r="D33" s="55" t="s">
        <v>112</v>
      </c>
      <c r="E33" s="54" t="s">
        <v>111</v>
      </c>
      <c r="F33" s="55" t="s">
        <v>112</v>
      </c>
      <c r="G33" s="54" t="s">
        <v>111</v>
      </c>
      <c r="H33" s="54" t="s">
        <v>111</v>
      </c>
      <c r="I33" s="58" t="s">
        <v>13</v>
      </c>
      <c r="J33" s="12"/>
      <c r="K33" s="12"/>
      <c r="L33" s="12"/>
      <c r="P33" s="45" t="s">
        <v>154</v>
      </c>
      <c r="Q33" s="45" t="s">
        <v>144</v>
      </c>
      <c r="R33" s="45" t="s">
        <v>139</v>
      </c>
      <c r="S33" s="45" t="s">
        <v>145</v>
      </c>
      <c r="T33" s="45" t="s">
        <v>145</v>
      </c>
      <c r="U33" s="45" t="s">
        <v>130</v>
      </c>
      <c r="V33" s="47" t="s">
        <v>14</v>
      </c>
      <c r="W33" s="45" t="s">
        <v>146</v>
      </c>
    </row>
    <row r="34">
      <c r="A34" s="12"/>
      <c r="B34" s="53" t="s">
        <v>155</v>
      </c>
      <c r="C34" s="57" t="s">
        <v>111</v>
      </c>
      <c r="D34" s="55" t="s">
        <v>112</v>
      </c>
      <c r="E34" s="57" t="s">
        <v>111</v>
      </c>
      <c r="F34" s="55" t="s">
        <v>112</v>
      </c>
      <c r="G34" s="57" t="s">
        <v>111</v>
      </c>
      <c r="H34" s="57" t="s">
        <v>111</v>
      </c>
      <c r="I34" s="58" t="s">
        <v>13</v>
      </c>
      <c r="J34" s="12"/>
      <c r="K34" s="12"/>
      <c r="L34" s="12"/>
      <c r="P34" s="48" t="s">
        <v>156</v>
      </c>
      <c r="Q34" s="48" t="s">
        <v>144</v>
      </c>
      <c r="R34" s="48" t="s">
        <v>139</v>
      </c>
      <c r="S34" s="48" t="s">
        <v>157</v>
      </c>
      <c r="T34" s="48" t="s">
        <v>157</v>
      </c>
      <c r="U34" s="48" t="s">
        <v>130</v>
      </c>
      <c r="V34" s="47" t="s">
        <v>14</v>
      </c>
      <c r="W34" s="48" t="s">
        <v>158</v>
      </c>
    </row>
    <row r="35">
      <c r="A35" s="12"/>
      <c r="B35" s="53" t="s">
        <v>159</v>
      </c>
      <c r="C35" s="54" t="s">
        <v>111</v>
      </c>
      <c r="D35" s="55" t="s">
        <v>112</v>
      </c>
      <c r="E35" s="54" t="s">
        <v>111</v>
      </c>
      <c r="F35" s="54" t="s">
        <v>111</v>
      </c>
      <c r="G35" s="54" t="s">
        <v>111</v>
      </c>
      <c r="H35" s="54" t="s">
        <v>111</v>
      </c>
      <c r="I35" s="58" t="s">
        <v>13</v>
      </c>
      <c r="J35" s="12"/>
      <c r="K35" s="12"/>
      <c r="L35" s="12"/>
      <c r="P35" s="60" t="s">
        <v>160</v>
      </c>
      <c r="Q35" s="60" t="s">
        <v>144</v>
      </c>
      <c r="R35" s="60" t="s">
        <v>139</v>
      </c>
      <c r="S35" s="60" t="s">
        <v>161</v>
      </c>
      <c r="T35" s="60" t="s">
        <v>161</v>
      </c>
      <c r="U35" s="60" t="s">
        <v>130</v>
      </c>
      <c r="V35" s="61" t="s">
        <v>13</v>
      </c>
      <c r="W35" s="60" t="s">
        <v>162</v>
      </c>
    </row>
    <row r="36">
      <c r="A36" s="12"/>
      <c r="B36" s="53" t="s">
        <v>163</v>
      </c>
      <c r="C36" s="57" t="s">
        <v>111</v>
      </c>
      <c r="D36" s="57" t="s">
        <v>111</v>
      </c>
      <c r="E36" s="57" t="s">
        <v>111</v>
      </c>
      <c r="F36" s="57" t="s">
        <v>111</v>
      </c>
      <c r="G36" s="57" t="s">
        <v>111</v>
      </c>
      <c r="H36" s="55" t="s">
        <v>112</v>
      </c>
      <c r="I36" s="56" t="s">
        <v>14</v>
      </c>
      <c r="J36" s="12"/>
      <c r="K36" s="12"/>
      <c r="L36" s="12"/>
      <c r="P36" s="62" t="s">
        <v>164</v>
      </c>
      <c r="Q36" s="62" t="s">
        <v>144</v>
      </c>
      <c r="R36" s="62" t="s">
        <v>139</v>
      </c>
      <c r="S36" s="62" t="s">
        <v>161</v>
      </c>
      <c r="T36" s="62" t="s">
        <v>161</v>
      </c>
      <c r="U36" s="62" t="s">
        <v>130</v>
      </c>
      <c r="V36" s="61" t="s">
        <v>13</v>
      </c>
      <c r="W36" s="62" t="s">
        <v>162</v>
      </c>
    </row>
    <row r="37">
      <c r="A37" s="12"/>
      <c r="B37" s="53" t="s">
        <v>165</v>
      </c>
      <c r="C37" s="54" t="s">
        <v>111</v>
      </c>
      <c r="D37" s="54" t="s">
        <v>111</v>
      </c>
      <c r="E37" s="54" t="s">
        <v>111</v>
      </c>
      <c r="F37" s="54" t="s">
        <v>111</v>
      </c>
      <c r="G37" s="54" t="s">
        <v>111</v>
      </c>
      <c r="H37" s="55" t="s">
        <v>112</v>
      </c>
      <c r="I37" s="56" t="s">
        <v>14</v>
      </c>
      <c r="J37" s="12"/>
      <c r="K37" s="12"/>
      <c r="L37" s="12"/>
      <c r="P37" s="60" t="s">
        <v>166</v>
      </c>
      <c r="Q37" s="60" t="s">
        <v>144</v>
      </c>
      <c r="R37" s="60" t="s">
        <v>139</v>
      </c>
      <c r="S37" s="60" t="s">
        <v>161</v>
      </c>
      <c r="T37" s="60" t="s">
        <v>161</v>
      </c>
      <c r="U37" s="60" t="s">
        <v>130</v>
      </c>
      <c r="V37" s="61" t="s">
        <v>13</v>
      </c>
      <c r="W37" s="60" t="s">
        <v>162</v>
      </c>
    </row>
    <row r="38">
      <c r="A38" s="12"/>
      <c r="B38" s="53" t="s">
        <v>167</v>
      </c>
      <c r="C38" s="57" t="s">
        <v>111</v>
      </c>
      <c r="D38" s="55" t="s">
        <v>112</v>
      </c>
      <c r="E38" s="57" t="s">
        <v>111</v>
      </c>
      <c r="F38" s="57" t="s">
        <v>111</v>
      </c>
      <c r="G38" s="55" t="s">
        <v>112</v>
      </c>
      <c r="H38" s="57" t="s">
        <v>111</v>
      </c>
      <c r="I38" s="58" t="s">
        <v>13</v>
      </c>
      <c r="J38" s="12"/>
      <c r="K38" s="12"/>
      <c r="L38" s="12"/>
      <c r="P38" s="62" t="s">
        <v>168</v>
      </c>
      <c r="Q38" s="62" t="s">
        <v>144</v>
      </c>
      <c r="R38" s="62" t="s">
        <v>139</v>
      </c>
      <c r="S38" s="62" t="s">
        <v>161</v>
      </c>
      <c r="T38" s="62" t="s">
        <v>161</v>
      </c>
      <c r="U38" s="62" t="s">
        <v>130</v>
      </c>
      <c r="V38" s="61" t="s">
        <v>13</v>
      </c>
      <c r="W38" s="62" t="s">
        <v>162</v>
      </c>
    </row>
    <row r="39">
      <c r="A39" s="12"/>
      <c r="B39" s="53" t="s">
        <v>169</v>
      </c>
      <c r="C39" s="54" t="s">
        <v>111</v>
      </c>
      <c r="D39" s="54" t="s">
        <v>111</v>
      </c>
      <c r="E39" s="54" t="s">
        <v>111</v>
      </c>
      <c r="F39" s="55" t="s">
        <v>112</v>
      </c>
      <c r="G39" s="54" t="s">
        <v>111</v>
      </c>
      <c r="H39" s="54" t="s">
        <v>111</v>
      </c>
      <c r="I39" s="56" t="s">
        <v>14</v>
      </c>
      <c r="J39" s="12"/>
      <c r="K39" s="12"/>
      <c r="L39" s="12"/>
      <c r="P39" s="60" t="s">
        <v>170</v>
      </c>
      <c r="Q39" s="60" t="s">
        <v>144</v>
      </c>
      <c r="R39" s="60" t="s">
        <v>139</v>
      </c>
      <c r="S39" s="60" t="s">
        <v>161</v>
      </c>
      <c r="T39" s="60" t="s">
        <v>161</v>
      </c>
      <c r="U39" s="60" t="s">
        <v>130</v>
      </c>
      <c r="V39" s="61" t="s">
        <v>13</v>
      </c>
      <c r="W39" s="60" t="s">
        <v>162</v>
      </c>
    </row>
    <row r="40">
      <c r="A40" s="12"/>
      <c r="B40" s="53" t="s">
        <v>171</v>
      </c>
      <c r="C40" s="57" t="s">
        <v>111</v>
      </c>
      <c r="D40" s="57" t="s">
        <v>111</v>
      </c>
      <c r="E40" s="57" t="s">
        <v>111</v>
      </c>
      <c r="F40" s="55" t="s">
        <v>112</v>
      </c>
      <c r="G40" s="57" t="s">
        <v>111</v>
      </c>
      <c r="H40" s="57" t="s">
        <v>111</v>
      </c>
      <c r="I40" s="56" t="s">
        <v>14</v>
      </c>
      <c r="J40" s="12"/>
      <c r="K40" s="12"/>
      <c r="L40" s="12"/>
      <c r="P40" s="48" t="s">
        <v>172</v>
      </c>
      <c r="Q40" s="48" t="s">
        <v>144</v>
      </c>
      <c r="R40" s="48" t="s">
        <v>139</v>
      </c>
      <c r="S40" s="48" t="s">
        <v>145</v>
      </c>
      <c r="T40" s="48" t="s">
        <v>145</v>
      </c>
      <c r="U40" s="48" t="s">
        <v>130</v>
      </c>
      <c r="V40" s="47" t="s">
        <v>14</v>
      </c>
      <c r="W40" s="48" t="s">
        <v>146</v>
      </c>
    </row>
    <row r="41">
      <c r="A41" s="12"/>
      <c r="B41" s="53" t="s">
        <v>173</v>
      </c>
      <c r="C41" s="54" t="s">
        <v>111</v>
      </c>
      <c r="D41" s="54" t="s">
        <v>111</v>
      </c>
      <c r="E41" s="54" t="s">
        <v>111</v>
      </c>
      <c r="F41" s="55" t="s">
        <v>112</v>
      </c>
      <c r="G41" s="54" t="s">
        <v>111</v>
      </c>
      <c r="H41" s="54" t="s">
        <v>111</v>
      </c>
      <c r="I41" s="56" t="s">
        <v>14</v>
      </c>
      <c r="J41" s="12"/>
      <c r="K41" s="12"/>
      <c r="L41" s="12"/>
      <c r="P41" s="45" t="s">
        <v>174</v>
      </c>
      <c r="Q41" s="45" t="s">
        <v>144</v>
      </c>
      <c r="R41" s="45" t="s">
        <v>139</v>
      </c>
      <c r="S41" s="45" t="s">
        <v>145</v>
      </c>
      <c r="T41" s="45" t="s">
        <v>145</v>
      </c>
      <c r="U41" s="45" t="s">
        <v>130</v>
      </c>
      <c r="V41" s="47" t="s">
        <v>14</v>
      </c>
      <c r="W41" s="45" t="s">
        <v>146</v>
      </c>
    </row>
    <row r="42">
      <c r="A42" s="12"/>
      <c r="B42" s="53" t="s">
        <v>175</v>
      </c>
      <c r="C42" s="57" t="s">
        <v>111</v>
      </c>
      <c r="D42" s="55" t="s">
        <v>112</v>
      </c>
      <c r="E42" s="57" t="s">
        <v>111</v>
      </c>
      <c r="F42" s="57" t="s">
        <v>111</v>
      </c>
      <c r="G42" s="57" t="s">
        <v>111</v>
      </c>
      <c r="H42" s="57" t="s">
        <v>111</v>
      </c>
      <c r="I42" s="58" t="s">
        <v>13</v>
      </c>
      <c r="J42" s="12"/>
      <c r="K42" s="12"/>
      <c r="L42" s="12"/>
      <c r="P42" s="48" t="s">
        <v>176</v>
      </c>
      <c r="Q42" s="48" t="s">
        <v>144</v>
      </c>
      <c r="R42" s="48" t="s">
        <v>139</v>
      </c>
      <c r="S42" s="48" t="s">
        <v>145</v>
      </c>
      <c r="T42" s="48" t="s">
        <v>145</v>
      </c>
      <c r="U42" s="48" t="s">
        <v>130</v>
      </c>
      <c r="V42" s="47" t="s">
        <v>14</v>
      </c>
      <c r="W42" s="48" t="s">
        <v>146</v>
      </c>
    </row>
    <row r="43">
      <c r="A43" s="12"/>
      <c r="B43" s="53" t="s">
        <v>177</v>
      </c>
      <c r="C43" s="54" t="s">
        <v>111</v>
      </c>
      <c r="D43" s="54" t="s">
        <v>111</v>
      </c>
      <c r="E43" s="54" t="s">
        <v>111</v>
      </c>
      <c r="F43" s="54" t="s">
        <v>111</v>
      </c>
      <c r="G43" s="54" t="s">
        <v>111</v>
      </c>
      <c r="H43" s="55" t="s">
        <v>112</v>
      </c>
      <c r="I43" s="56" t="s">
        <v>14</v>
      </c>
      <c r="J43" s="12"/>
      <c r="K43" s="12"/>
      <c r="L43" s="12"/>
      <c r="P43" s="60" t="s">
        <v>178</v>
      </c>
      <c r="Q43" s="60" t="s">
        <v>179</v>
      </c>
      <c r="R43" s="60" t="s">
        <v>180</v>
      </c>
      <c r="S43" s="60" t="s">
        <v>181</v>
      </c>
      <c r="T43" s="60" t="s">
        <v>181</v>
      </c>
      <c r="U43" s="60" t="s">
        <v>130</v>
      </c>
      <c r="V43" s="61" t="s">
        <v>13</v>
      </c>
      <c r="W43" s="60" t="s">
        <v>182</v>
      </c>
    </row>
    <row r="44">
      <c r="A44" s="12"/>
      <c r="B44" s="53" t="s">
        <v>183</v>
      </c>
      <c r="C44" s="57" t="s">
        <v>111</v>
      </c>
      <c r="D44" s="57" t="s">
        <v>111</v>
      </c>
      <c r="E44" s="55" t="s">
        <v>112</v>
      </c>
      <c r="F44" s="57" t="s">
        <v>111</v>
      </c>
      <c r="G44" s="57" t="s">
        <v>111</v>
      </c>
      <c r="H44" s="57" t="s">
        <v>111</v>
      </c>
      <c r="I44" s="58" t="s">
        <v>13</v>
      </c>
      <c r="J44" s="12"/>
      <c r="K44" s="12"/>
      <c r="L44" s="12"/>
      <c r="P44" s="48" t="s">
        <v>184</v>
      </c>
      <c r="Q44" s="48" t="s">
        <v>185</v>
      </c>
      <c r="R44" s="48" t="s">
        <v>180</v>
      </c>
      <c r="S44" s="48" t="s">
        <v>186</v>
      </c>
      <c r="T44" s="48" t="s">
        <v>186</v>
      </c>
      <c r="U44" s="48" t="s">
        <v>130</v>
      </c>
      <c r="V44" s="47" t="s">
        <v>14</v>
      </c>
      <c r="W44" s="48" t="s">
        <v>187</v>
      </c>
    </row>
    <row r="45">
      <c r="A45" s="12"/>
      <c r="B45" s="53" t="s">
        <v>188</v>
      </c>
      <c r="C45" s="54" t="s">
        <v>111</v>
      </c>
      <c r="D45" s="54" t="s">
        <v>111</v>
      </c>
      <c r="E45" s="54" t="s">
        <v>111</v>
      </c>
      <c r="F45" s="54" t="s">
        <v>111</v>
      </c>
      <c r="G45" s="54" t="s">
        <v>111</v>
      </c>
      <c r="H45" s="54" t="s">
        <v>111</v>
      </c>
      <c r="I45" s="56" t="s">
        <v>14</v>
      </c>
      <c r="J45" s="12"/>
      <c r="K45" s="12"/>
      <c r="L45" s="12"/>
      <c r="P45" s="60" t="s">
        <v>189</v>
      </c>
      <c r="Q45" s="60" t="s">
        <v>190</v>
      </c>
      <c r="R45" s="60" t="s">
        <v>180</v>
      </c>
      <c r="S45" s="60" t="s">
        <v>191</v>
      </c>
      <c r="T45" s="60" t="s">
        <v>191</v>
      </c>
      <c r="U45" s="60" t="s">
        <v>130</v>
      </c>
      <c r="V45" s="61" t="s">
        <v>13</v>
      </c>
      <c r="W45" s="60" t="s">
        <v>192</v>
      </c>
    </row>
    <row r="46">
      <c r="A46" s="12"/>
      <c r="B46" s="53" t="s">
        <v>193</v>
      </c>
      <c r="C46" s="57" t="s">
        <v>111</v>
      </c>
      <c r="D46" s="57" t="s">
        <v>111</v>
      </c>
      <c r="E46" s="57" t="s">
        <v>111</v>
      </c>
      <c r="F46" s="57" t="s">
        <v>111</v>
      </c>
      <c r="G46" s="57" t="s">
        <v>111</v>
      </c>
      <c r="H46" s="55" t="s">
        <v>112</v>
      </c>
      <c r="I46" s="56" t="s">
        <v>14</v>
      </c>
      <c r="J46" s="12"/>
      <c r="K46" s="12"/>
      <c r="L46" s="12"/>
      <c r="P46" s="62" t="s">
        <v>194</v>
      </c>
      <c r="Q46" s="62" t="s">
        <v>190</v>
      </c>
      <c r="R46" s="62" t="s">
        <v>180</v>
      </c>
      <c r="S46" s="62" t="s">
        <v>191</v>
      </c>
      <c r="T46" s="62" t="s">
        <v>191</v>
      </c>
      <c r="U46" s="62" t="s">
        <v>130</v>
      </c>
      <c r="V46" s="61" t="s">
        <v>13</v>
      </c>
      <c r="W46" s="62" t="s">
        <v>192</v>
      </c>
    </row>
    <row r="47">
      <c r="A47" s="12"/>
      <c r="B47" s="53" t="s">
        <v>195</v>
      </c>
      <c r="C47" s="54" t="s">
        <v>111</v>
      </c>
      <c r="D47" s="55" t="s">
        <v>112</v>
      </c>
      <c r="E47" s="54" t="s">
        <v>111</v>
      </c>
      <c r="F47" s="54" t="s">
        <v>111</v>
      </c>
      <c r="G47" s="54" t="s">
        <v>111</v>
      </c>
      <c r="H47" s="54" t="s">
        <v>111</v>
      </c>
      <c r="I47" s="58" t="s">
        <v>13</v>
      </c>
      <c r="J47" s="12"/>
      <c r="K47" s="12"/>
      <c r="L47" s="12"/>
      <c r="P47" s="60" t="s">
        <v>196</v>
      </c>
      <c r="Q47" s="60" t="s">
        <v>190</v>
      </c>
      <c r="R47" s="60" t="s">
        <v>180</v>
      </c>
      <c r="S47" s="60" t="s">
        <v>191</v>
      </c>
      <c r="T47" s="60" t="s">
        <v>191</v>
      </c>
      <c r="U47" s="63"/>
      <c r="V47" s="61" t="s">
        <v>13</v>
      </c>
      <c r="W47" s="60" t="s">
        <v>192</v>
      </c>
    </row>
    <row r="48">
      <c r="A48" s="12"/>
      <c r="B48" s="53" t="s">
        <v>197</v>
      </c>
      <c r="C48" s="57" t="s">
        <v>111</v>
      </c>
      <c r="D48" s="57" t="s">
        <v>111</v>
      </c>
      <c r="E48" s="57" t="s">
        <v>111</v>
      </c>
      <c r="F48" s="55" t="s">
        <v>112</v>
      </c>
      <c r="G48" s="57" t="s">
        <v>111</v>
      </c>
      <c r="H48" s="57" t="s">
        <v>111</v>
      </c>
      <c r="I48" s="56" t="s">
        <v>14</v>
      </c>
      <c r="J48" s="12"/>
      <c r="K48" s="12"/>
      <c r="L48" s="12"/>
      <c r="P48" s="62" t="s">
        <v>198</v>
      </c>
      <c r="Q48" s="62" t="s">
        <v>190</v>
      </c>
      <c r="R48" s="62" t="s">
        <v>180</v>
      </c>
      <c r="S48" s="62" t="s">
        <v>191</v>
      </c>
      <c r="T48" s="62" t="s">
        <v>191</v>
      </c>
      <c r="U48" s="64"/>
      <c r="V48" s="61" t="s">
        <v>13</v>
      </c>
      <c r="W48" s="62" t="s">
        <v>192</v>
      </c>
    </row>
    <row r="49">
      <c r="A49" s="12"/>
      <c r="B49" s="53" t="s">
        <v>199</v>
      </c>
      <c r="C49" s="54" t="s">
        <v>111</v>
      </c>
      <c r="D49" s="54" t="s">
        <v>111</v>
      </c>
      <c r="E49" s="54" t="s">
        <v>111</v>
      </c>
      <c r="F49" s="55" t="s">
        <v>112</v>
      </c>
      <c r="G49" s="54" t="s">
        <v>111</v>
      </c>
      <c r="H49" s="54" t="s">
        <v>111</v>
      </c>
      <c r="I49" s="56" t="s">
        <v>14</v>
      </c>
      <c r="J49" s="12"/>
      <c r="K49" s="12"/>
      <c r="L49" s="12"/>
      <c r="P49" s="60" t="s">
        <v>200</v>
      </c>
      <c r="Q49" s="60" t="s">
        <v>201</v>
      </c>
      <c r="R49" s="60" t="s">
        <v>180</v>
      </c>
      <c r="S49" s="60" t="s">
        <v>202</v>
      </c>
      <c r="T49" s="60" t="s">
        <v>202</v>
      </c>
      <c r="U49" s="63"/>
      <c r="V49" s="61" t="s">
        <v>13</v>
      </c>
      <c r="W49" s="60" t="s">
        <v>203</v>
      </c>
    </row>
    <row r="50">
      <c r="A50" s="12"/>
      <c r="B50" s="53" t="s">
        <v>204</v>
      </c>
      <c r="C50" s="57" t="s">
        <v>111</v>
      </c>
      <c r="D50" s="55" t="s">
        <v>112</v>
      </c>
      <c r="E50" s="57" t="s">
        <v>111</v>
      </c>
      <c r="F50" s="57" t="s">
        <v>111</v>
      </c>
      <c r="G50" s="55" t="s">
        <v>112</v>
      </c>
      <c r="H50" s="57" t="s">
        <v>111</v>
      </c>
      <c r="I50" s="58" t="s">
        <v>13</v>
      </c>
      <c r="J50" s="12"/>
      <c r="K50" s="12"/>
      <c r="L50" s="12"/>
      <c r="P50" s="62" t="s">
        <v>205</v>
      </c>
      <c r="Q50" s="62" t="s">
        <v>201</v>
      </c>
      <c r="R50" s="62" t="s">
        <v>180</v>
      </c>
      <c r="S50" s="62" t="s">
        <v>202</v>
      </c>
      <c r="T50" s="62" t="s">
        <v>202</v>
      </c>
      <c r="U50" s="64"/>
      <c r="V50" s="61" t="s">
        <v>13</v>
      </c>
      <c r="W50" s="62" t="s">
        <v>203</v>
      </c>
    </row>
    <row r="51">
      <c r="A51" s="12"/>
      <c r="B51" s="53" t="s">
        <v>206</v>
      </c>
      <c r="C51" s="54" t="s">
        <v>111</v>
      </c>
      <c r="D51" s="54" t="s">
        <v>111</v>
      </c>
      <c r="E51" s="55" t="s">
        <v>112</v>
      </c>
      <c r="F51" s="54" t="s">
        <v>111</v>
      </c>
      <c r="G51" s="54" t="s">
        <v>111</v>
      </c>
      <c r="H51" s="54" t="s">
        <v>111</v>
      </c>
      <c r="I51" s="58" t="s">
        <v>13</v>
      </c>
      <c r="J51" s="12"/>
      <c r="K51" s="12"/>
      <c r="L51" s="12"/>
      <c r="P51" s="60" t="s">
        <v>207</v>
      </c>
      <c r="Q51" s="60" t="s">
        <v>201</v>
      </c>
      <c r="R51" s="60" t="s">
        <v>180</v>
      </c>
      <c r="S51" s="60" t="s">
        <v>202</v>
      </c>
      <c r="T51" s="60" t="s">
        <v>202</v>
      </c>
      <c r="U51" s="63"/>
      <c r="V51" s="61" t="s">
        <v>13</v>
      </c>
      <c r="W51" s="60" t="s">
        <v>203</v>
      </c>
    </row>
    <row r="52">
      <c r="A52" s="12"/>
      <c r="B52" s="53" t="s">
        <v>208</v>
      </c>
      <c r="C52" s="57" t="s">
        <v>111</v>
      </c>
      <c r="D52" s="55" t="s">
        <v>112</v>
      </c>
      <c r="E52" s="57" t="s">
        <v>111</v>
      </c>
      <c r="F52" s="57" t="s">
        <v>111</v>
      </c>
      <c r="G52" s="55" t="s">
        <v>112</v>
      </c>
      <c r="H52" s="57" t="s">
        <v>111</v>
      </c>
      <c r="I52" s="58" t="s">
        <v>13</v>
      </c>
      <c r="J52" s="12"/>
      <c r="K52" s="12"/>
      <c r="L52" s="12"/>
      <c r="P52" s="62" t="s">
        <v>209</v>
      </c>
      <c r="Q52" s="62" t="s">
        <v>201</v>
      </c>
      <c r="R52" s="62" t="s">
        <v>180</v>
      </c>
      <c r="S52" s="62" t="s">
        <v>202</v>
      </c>
      <c r="T52" s="62" t="s">
        <v>202</v>
      </c>
      <c r="U52" s="64"/>
      <c r="V52" s="61" t="s">
        <v>13</v>
      </c>
      <c r="W52" s="62" t="s">
        <v>203</v>
      </c>
    </row>
    <row r="53">
      <c r="A53" s="12"/>
      <c r="B53" s="53" t="s">
        <v>210</v>
      </c>
      <c r="C53" s="54" t="s">
        <v>111</v>
      </c>
      <c r="D53" s="54" t="s">
        <v>111</v>
      </c>
      <c r="E53" s="54" t="s">
        <v>111</v>
      </c>
      <c r="F53" s="55" t="s">
        <v>112</v>
      </c>
      <c r="G53" s="54" t="s">
        <v>111</v>
      </c>
      <c r="H53" s="54" t="s">
        <v>111</v>
      </c>
      <c r="I53" s="56" t="s">
        <v>14</v>
      </c>
      <c r="J53" s="12"/>
      <c r="K53" s="12"/>
      <c r="L53" s="12"/>
      <c r="P53" s="45" t="s">
        <v>211</v>
      </c>
      <c r="Q53" s="45" t="s">
        <v>212</v>
      </c>
      <c r="R53" s="45" t="s">
        <v>213</v>
      </c>
      <c r="S53" s="45" t="s">
        <v>214</v>
      </c>
      <c r="T53" s="45" t="s">
        <v>214</v>
      </c>
      <c r="U53" s="45" t="s">
        <v>215</v>
      </c>
      <c r="V53" s="47" t="s">
        <v>14</v>
      </c>
      <c r="W53" s="45" t="s">
        <v>216</v>
      </c>
    </row>
    <row r="54">
      <c r="A54" s="12"/>
      <c r="B54" s="53" t="s">
        <v>217</v>
      </c>
      <c r="C54" s="57" t="s">
        <v>111</v>
      </c>
      <c r="D54" s="57" t="s">
        <v>111</v>
      </c>
      <c r="E54" s="57" t="s">
        <v>111</v>
      </c>
      <c r="F54" s="55" t="s">
        <v>112</v>
      </c>
      <c r="G54" s="57" t="s">
        <v>111</v>
      </c>
      <c r="H54" s="57" t="s">
        <v>111</v>
      </c>
      <c r="I54" s="56" t="s">
        <v>14</v>
      </c>
      <c r="J54" s="12"/>
      <c r="K54" s="12"/>
      <c r="L54" s="12"/>
      <c r="P54" s="48" t="s">
        <v>218</v>
      </c>
      <c r="Q54" s="48" t="s">
        <v>219</v>
      </c>
      <c r="R54" s="48" t="s">
        <v>213</v>
      </c>
      <c r="S54" s="48" t="s">
        <v>220</v>
      </c>
      <c r="T54" s="48" t="s">
        <v>220</v>
      </c>
      <c r="U54" s="48" t="s">
        <v>130</v>
      </c>
      <c r="V54" s="47" t="s">
        <v>14</v>
      </c>
      <c r="W54" s="48" t="s">
        <v>221</v>
      </c>
    </row>
    <row r="55">
      <c r="A55" s="12"/>
      <c r="B55" s="53" t="s">
        <v>222</v>
      </c>
      <c r="C55" s="54" t="s">
        <v>111</v>
      </c>
      <c r="D55" s="55" t="s">
        <v>112</v>
      </c>
      <c r="E55" s="54" t="s">
        <v>111</v>
      </c>
      <c r="F55" s="54" t="s">
        <v>111</v>
      </c>
      <c r="G55" s="54" t="s">
        <v>111</v>
      </c>
      <c r="H55" s="54" t="s">
        <v>111</v>
      </c>
      <c r="I55" s="58" t="s">
        <v>13</v>
      </c>
      <c r="J55" s="12"/>
      <c r="K55" s="12"/>
      <c r="L55" s="12"/>
      <c r="P55" s="45" t="s">
        <v>223</v>
      </c>
      <c r="Q55" s="45" t="s">
        <v>224</v>
      </c>
      <c r="R55" s="45" t="s">
        <v>225</v>
      </c>
      <c r="S55" s="45" t="s">
        <v>226</v>
      </c>
      <c r="T55" s="45" t="s">
        <v>226</v>
      </c>
      <c r="U55" s="46"/>
      <c r="V55" s="47" t="s">
        <v>14</v>
      </c>
      <c r="W55" s="45" t="s">
        <v>227</v>
      </c>
    </row>
    <row r="56">
      <c r="A56" s="12"/>
      <c r="B56" s="53" t="s">
        <v>228</v>
      </c>
      <c r="C56" s="57" t="s">
        <v>111</v>
      </c>
      <c r="D56" s="57" t="s">
        <v>111</v>
      </c>
      <c r="E56" s="57" t="s">
        <v>111</v>
      </c>
      <c r="F56" s="57" t="s">
        <v>111</v>
      </c>
      <c r="G56" s="57" t="s">
        <v>111</v>
      </c>
      <c r="H56" s="57" t="s">
        <v>111</v>
      </c>
      <c r="I56" s="56" t="s">
        <v>14</v>
      </c>
      <c r="J56" s="12"/>
      <c r="K56" s="12"/>
      <c r="L56" s="12"/>
      <c r="P56" s="48" t="s">
        <v>229</v>
      </c>
      <c r="Q56" s="48" t="s">
        <v>230</v>
      </c>
      <c r="R56" s="48" t="s">
        <v>231</v>
      </c>
      <c r="S56" s="48" t="s">
        <v>232</v>
      </c>
      <c r="T56" s="48" t="s">
        <v>232</v>
      </c>
      <c r="U56" s="48" t="s">
        <v>130</v>
      </c>
      <c r="V56" s="47" t="s">
        <v>14</v>
      </c>
      <c r="W56" s="48" t="s">
        <v>233</v>
      </c>
    </row>
    <row r="57">
      <c r="A57" s="12"/>
      <c r="B57" s="53" t="s">
        <v>234</v>
      </c>
      <c r="C57" s="54" t="s">
        <v>111</v>
      </c>
      <c r="D57" s="55" t="s">
        <v>112</v>
      </c>
      <c r="E57" s="54" t="s">
        <v>111</v>
      </c>
      <c r="F57" s="54" t="s">
        <v>111</v>
      </c>
      <c r="G57" s="54" t="s">
        <v>111</v>
      </c>
      <c r="H57" s="54" t="s">
        <v>111</v>
      </c>
      <c r="I57" s="58" t="s">
        <v>13</v>
      </c>
      <c r="J57" s="12"/>
      <c r="K57" s="12"/>
      <c r="L57" s="12"/>
      <c r="P57" s="45" t="s">
        <v>235</v>
      </c>
      <c r="Q57" s="45" t="s">
        <v>230</v>
      </c>
      <c r="R57" s="45" t="s">
        <v>231</v>
      </c>
      <c r="S57" s="45" t="s">
        <v>232</v>
      </c>
      <c r="T57" s="45" t="s">
        <v>232</v>
      </c>
      <c r="U57" s="46"/>
      <c r="V57" s="47" t="s">
        <v>14</v>
      </c>
      <c r="W57" s="45" t="s">
        <v>233</v>
      </c>
    </row>
    <row r="58">
      <c r="A58" s="12"/>
      <c r="B58" s="53" t="s">
        <v>236</v>
      </c>
      <c r="C58" s="57" t="s">
        <v>111</v>
      </c>
      <c r="D58" s="57" t="s">
        <v>111</v>
      </c>
      <c r="E58" s="57" t="s">
        <v>111</v>
      </c>
      <c r="F58" s="57" t="s">
        <v>111</v>
      </c>
      <c r="G58" s="57" t="s">
        <v>111</v>
      </c>
      <c r="H58" s="57" t="s">
        <v>111</v>
      </c>
      <c r="I58" s="56" t="s">
        <v>14</v>
      </c>
      <c r="J58" s="12"/>
      <c r="K58" s="12"/>
      <c r="L58" s="12"/>
      <c r="P58" s="48" t="s">
        <v>237</v>
      </c>
      <c r="Q58" s="48" t="s">
        <v>238</v>
      </c>
      <c r="R58" s="48" t="s">
        <v>231</v>
      </c>
      <c r="S58" s="48" t="s">
        <v>239</v>
      </c>
      <c r="T58" s="48" t="s">
        <v>239</v>
      </c>
      <c r="U58" s="49"/>
      <c r="V58" s="47" t="s">
        <v>14</v>
      </c>
      <c r="W58" s="48" t="s">
        <v>240</v>
      </c>
    </row>
    <row r="59">
      <c r="A59" s="12"/>
      <c r="B59" s="53" t="s">
        <v>241</v>
      </c>
      <c r="C59" s="54" t="s">
        <v>111</v>
      </c>
      <c r="D59" s="54" t="s">
        <v>111</v>
      </c>
      <c r="E59" s="54" t="s">
        <v>111</v>
      </c>
      <c r="F59" s="54" t="s">
        <v>111</v>
      </c>
      <c r="G59" s="54" t="s">
        <v>111</v>
      </c>
      <c r="H59" s="54" t="s">
        <v>111</v>
      </c>
      <c r="I59" s="56" t="s">
        <v>14</v>
      </c>
      <c r="J59" s="12"/>
      <c r="K59" s="12"/>
      <c r="L59" s="12"/>
      <c r="P59" s="45" t="s">
        <v>242</v>
      </c>
      <c r="Q59" s="45" t="s">
        <v>238</v>
      </c>
      <c r="R59" s="45" t="s">
        <v>231</v>
      </c>
      <c r="S59" s="45" t="s">
        <v>243</v>
      </c>
      <c r="T59" s="45" t="s">
        <v>243</v>
      </c>
      <c r="U59" s="45" t="s">
        <v>130</v>
      </c>
      <c r="V59" s="47" t="s">
        <v>14</v>
      </c>
      <c r="W59" s="45" t="s">
        <v>244</v>
      </c>
    </row>
    <row r="60">
      <c r="A60" s="12"/>
      <c r="B60" s="53" t="s">
        <v>245</v>
      </c>
      <c r="C60" s="57" t="s">
        <v>111</v>
      </c>
      <c r="D60" s="57" t="s">
        <v>111</v>
      </c>
      <c r="E60" s="57" t="s">
        <v>111</v>
      </c>
      <c r="F60" s="57" t="s">
        <v>111</v>
      </c>
      <c r="G60" s="57" t="s">
        <v>111</v>
      </c>
      <c r="H60" s="55" t="s">
        <v>112</v>
      </c>
      <c r="I60" s="56" t="s">
        <v>14</v>
      </c>
      <c r="J60" s="12"/>
      <c r="K60" s="12"/>
      <c r="L60" s="12"/>
      <c r="P60" s="48" t="s">
        <v>246</v>
      </c>
      <c r="Q60" s="48" t="s">
        <v>247</v>
      </c>
      <c r="R60" s="48" t="s">
        <v>231</v>
      </c>
      <c r="S60" s="48" t="s">
        <v>239</v>
      </c>
      <c r="T60" s="48" t="s">
        <v>239</v>
      </c>
      <c r="U60" s="48" t="s">
        <v>89</v>
      </c>
      <c r="V60" s="47" t="s">
        <v>14</v>
      </c>
      <c r="W60" s="48" t="s">
        <v>240</v>
      </c>
    </row>
    <row r="61">
      <c r="A61" s="12"/>
      <c r="B61" s="53" t="s">
        <v>248</v>
      </c>
      <c r="C61" s="54" t="s">
        <v>111</v>
      </c>
      <c r="D61" s="54" t="s">
        <v>111</v>
      </c>
      <c r="E61" s="54" t="s">
        <v>111</v>
      </c>
      <c r="F61" s="54" t="s">
        <v>111</v>
      </c>
      <c r="G61" s="54" t="s">
        <v>111</v>
      </c>
      <c r="H61" s="55" t="s">
        <v>112</v>
      </c>
      <c r="I61" s="56" t="s">
        <v>14</v>
      </c>
      <c r="J61" s="12"/>
      <c r="K61" s="12"/>
      <c r="L61" s="12"/>
      <c r="P61" s="45" t="s">
        <v>249</v>
      </c>
      <c r="Q61" s="45" t="s">
        <v>250</v>
      </c>
      <c r="R61" s="45" t="s">
        <v>231</v>
      </c>
      <c r="S61" s="45" t="s">
        <v>251</v>
      </c>
      <c r="T61" s="45" t="s">
        <v>251</v>
      </c>
      <c r="U61" s="45" t="s">
        <v>89</v>
      </c>
      <c r="V61" s="47" t="s">
        <v>14</v>
      </c>
      <c r="W61" s="45" t="s">
        <v>252</v>
      </c>
    </row>
    <row r="62">
      <c r="A62" s="12"/>
      <c r="B62" s="53" t="s">
        <v>253</v>
      </c>
      <c r="C62" s="57" t="s">
        <v>111</v>
      </c>
      <c r="D62" s="57" t="s">
        <v>111</v>
      </c>
      <c r="E62" s="57" t="s">
        <v>111</v>
      </c>
      <c r="F62" s="57" t="s">
        <v>111</v>
      </c>
      <c r="G62" s="57" t="s">
        <v>111</v>
      </c>
      <c r="H62" s="55" t="s">
        <v>112</v>
      </c>
      <c r="I62" s="56" t="s">
        <v>14</v>
      </c>
      <c r="J62" s="12"/>
      <c r="K62" s="12"/>
      <c r="L62" s="12"/>
      <c r="P62" s="48" t="s">
        <v>254</v>
      </c>
      <c r="Q62" s="48" t="s">
        <v>250</v>
      </c>
      <c r="R62" s="48" t="s">
        <v>231</v>
      </c>
      <c r="S62" s="48" t="s">
        <v>251</v>
      </c>
      <c r="T62" s="48" t="s">
        <v>251</v>
      </c>
      <c r="U62" s="48" t="s">
        <v>89</v>
      </c>
      <c r="V62" s="47" t="s">
        <v>14</v>
      </c>
      <c r="W62" s="48" t="s">
        <v>252</v>
      </c>
    </row>
    <row r="63">
      <c r="A63" s="12"/>
      <c r="B63" s="53" t="s">
        <v>255</v>
      </c>
      <c r="C63" s="54" t="s">
        <v>111</v>
      </c>
      <c r="D63" s="55" t="s">
        <v>112</v>
      </c>
      <c r="E63" s="54" t="s">
        <v>111</v>
      </c>
      <c r="F63" s="55" t="s">
        <v>112</v>
      </c>
      <c r="G63" s="54" t="s">
        <v>111</v>
      </c>
      <c r="H63" s="54" t="s">
        <v>111</v>
      </c>
      <c r="I63" s="58" t="s">
        <v>13</v>
      </c>
      <c r="J63" s="12"/>
      <c r="K63" s="12"/>
      <c r="L63" s="12"/>
      <c r="P63" s="45" t="s">
        <v>256</v>
      </c>
      <c r="Q63" s="45" t="s">
        <v>257</v>
      </c>
      <c r="R63" s="45" t="s">
        <v>258</v>
      </c>
      <c r="S63" s="45" t="s">
        <v>259</v>
      </c>
      <c r="T63" s="45" t="s">
        <v>259</v>
      </c>
      <c r="U63" s="46"/>
      <c r="V63" s="47" t="s">
        <v>14</v>
      </c>
      <c r="W63" s="45" t="s">
        <v>260</v>
      </c>
    </row>
    <row r="64">
      <c r="A64" s="12"/>
      <c r="B64" s="53" t="s">
        <v>261</v>
      </c>
      <c r="C64" s="57" t="s">
        <v>111</v>
      </c>
      <c r="D64" s="57" t="s">
        <v>111</v>
      </c>
      <c r="E64" s="57" t="s">
        <v>111</v>
      </c>
      <c r="F64" s="55" t="s">
        <v>112</v>
      </c>
      <c r="G64" s="57" t="s">
        <v>111</v>
      </c>
      <c r="H64" s="57" t="s">
        <v>111</v>
      </c>
      <c r="I64" s="56" t="s">
        <v>14</v>
      </c>
      <c r="J64" s="12"/>
      <c r="K64" s="12"/>
      <c r="L64" s="12"/>
      <c r="P64" s="48" t="s">
        <v>262</v>
      </c>
      <c r="Q64" s="48" t="s">
        <v>263</v>
      </c>
      <c r="R64" s="48" t="s">
        <v>264</v>
      </c>
      <c r="S64" s="48" t="s">
        <v>265</v>
      </c>
      <c r="T64" s="48" t="s">
        <v>265</v>
      </c>
      <c r="U64" s="48" t="s">
        <v>130</v>
      </c>
      <c r="V64" s="47" t="s">
        <v>14</v>
      </c>
      <c r="W64" s="48" t="s">
        <v>266</v>
      </c>
    </row>
    <row r="65">
      <c r="A65" s="12"/>
      <c r="B65" s="53" t="s">
        <v>267</v>
      </c>
      <c r="C65" s="54" t="s">
        <v>111</v>
      </c>
      <c r="D65" s="55" t="s">
        <v>112</v>
      </c>
      <c r="E65" s="54" t="s">
        <v>111</v>
      </c>
      <c r="F65" s="54" t="s">
        <v>111</v>
      </c>
      <c r="G65" s="54" t="s">
        <v>111</v>
      </c>
      <c r="H65" s="54" t="s">
        <v>111</v>
      </c>
      <c r="I65" s="58" t="s">
        <v>13</v>
      </c>
      <c r="J65" s="12"/>
      <c r="K65" s="12"/>
      <c r="L65" s="12"/>
      <c r="P65" s="45" t="s">
        <v>268</v>
      </c>
      <c r="Q65" s="45" t="s">
        <v>269</v>
      </c>
      <c r="R65" s="45" t="s">
        <v>264</v>
      </c>
      <c r="S65" s="45" t="s">
        <v>270</v>
      </c>
      <c r="T65" s="45" t="s">
        <v>270</v>
      </c>
      <c r="U65" s="46"/>
      <c r="V65" s="47" t="s">
        <v>14</v>
      </c>
      <c r="W65" s="45" t="s">
        <v>271</v>
      </c>
    </row>
    <row r="66">
      <c r="A66" s="12"/>
      <c r="B66" s="53" t="s">
        <v>272</v>
      </c>
      <c r="C66" s="57" t="s">
        <v>111</v>
      </c>
      <c r="D66" s="57" t="s">
        <v>111</v>
      </c>
      <c r="E66" s="57" t="s">
        <v>111</v>
      </c>
      <c r="F66" s="57" t="s">
        <v>111</v>
      </c>
      <c r="G66" s="57" t="s">
        <v>111</v>
      </c>
      <c r="H66" s="55" t="s">
        <v>112</v>
      </c>
      <c r="I66" s="56" t="s">
        <v>14</v>
      </c>
      <c r="J66" s="12"/>
      <c r="K66" s="12"/>
      <c r="L66" s="12"/>
      <c r="P66" s="48" t="s">
        <v>273</v>
      </c>
      <c r="Q66" s="48" t="s">
        <v>274</v>
      </c>
      <c r="R66" s="48" t="s">
        <v>264</v>
      </c>
      <c r="S66" s="48" t="s">
        <v>275</v>
      </c>
      <c r="T66" s="48" t="s">
        <v>275</v>
      </c>
      <c r="U66" s="48" t="s">
        <v>89</v>
      </c>
      <c r="V66" s="47" t="s">
        <v>14</v>
      </c>
      <c r="W66" s="48" t="s">
        <v>276</v>
      </c>
    </row>
    <row r="67">
      <c r="A67" s="12"/>
      <c r="B67" s="53" t="s">
        <v>277</v>
      </c>
      <c r="C67" s="54" t="s">
        <v>111</v>
      </c>
      <c r="D67" s="54" t="s">
        <v>111</v>
      </c>
      <c r="E67" s="54" t="s">
        <v>111</v>
      </c>
      <c r="F67" s="54" t="s">
        <v>111</v>
      </c>
      <c r="G67" s="54" t="s">
        <v>111</v>
      </c>
      <c r="H67" s="54" t="s">
        <v>111</v>
      </c>
      <c r="I67" s="56" t="s">
        <v>14</v>
      </c>
      <c r="J67" s="12"/>
      <c r="K67" s="12"/>
      <c r="L67" s="12"/>
      <c r="P67" s="45" t="s">
        <v>278</v>
      </c>
      <c r="Q67" s="45" t="s">
        <v>274</v>
      </c>
      <c r="R67" s="45" t="s">
        <v>264</v>
      </c>
      <c r="S67" s="45" t="s">
        <v>275</v>
      </c>
      <c r="T67" s="45" t="s">
        <v>275</v>
      </c>
      <c r="U67" s="45" t="s">
        <v>89</v>
      </c>
      <c r="V67" s="47" t="s">
        <v>14</v>
      </c>
      <c r="W67" s="45" t="s">
        <v>276</v>
      </c>
    </row>
    <row r="68">
      <c r="A68" s="12"/>
      <c r="B68" s="53" t="s">
        <v>279</v>
      </c>
      <c r="C68" s="57" t="s">
        <v>111</v>
      </c>
      <c r="D68" s="55" t="s">
        <v>112</v>
      </c>
      <c r="E68" s="57" t="s">
        <v>111</v>
      </c>
      <c r="F68" s="57" t="s">
        <v>111</v>
      </c>
      <c r="G68" s="55" t="s">
        <v>112</v>
      </c>
      <c r="H68" s="57" t="s">
        <v>111</v>
      </c>
      <c r="I68" s="58" t="s">
        <v>13</v>
      </c>
      <c r="J68" s="12"/>
      <c r="K68" s="12"/>
      <c r="L68" s="12"/>
      <c r="P68" s="48" t="s">
        <v>280</v>
      </c>
      <c r="Q68" s="48" t="s">
        <v>281</v>
      </c>
      <c r="R68" s="48" t="s">
        <v>264</v>
      </c>
      <c r="S68" s="48" t="s">
        <v>275</v>
      </c>
      <c r="T68" s="48" t="s">
        <v>275</v>
      </c>
      <c r="U68" s="48" t="s">
        <v>89</v>
      </c>
      <c r="V68" s="47" t="s">
        <v>14</v>
      </c>
      <c r="W68" s="48" t="s">
        <v>276</v>
      </c>
    </row>
    <row r="69">
      <c r="A69" s="12"/>
      <c r="B69" s="53" t="s">
        <v>282</v>
      </c>
      <c r="C69" s="54" t="s">
        <v>111</v>
      </c>
      <c r="D69" s="54" t="s">
        <v>111</v>
      </c>
      <c r="E69" s="54" t="s">
        <v>111</v>
      </c>
      <c r="F69" s="55" t="s">
        <v>112</v>
      </c>
      <c r="G69" s="54" t="s">
        <v>111</v>
      </c>
      <c r="H69" s="54" t="s">
        <v>111</v>
      </c>
      <c r="I69" s="56" t="s">
        <v>14</v>
      </c>
      <c r="J69" s="12"/>
      <c r="K69" s="12"/>
      <c r="L69" s="12"/>
      <c r="P69" s="45" t="s">
        <v>283</v>
      </c>
      <c r="Q69" s="45" t="s">
        <v>281</v>
      </c>
      <c r="R69" s="45" t="s">
        <v>264</v>
      </c>
      <c r="S69" s="45" t="s">
        <v>275</v>
      </c>
      <c r="T69" s="45" t="s">
        <v>275</v>
      </c>
      <c r="U69" s="46"/>
      <c r="V69" s="47" t="s">
        <v>14</v>
      </c>
      <c r="W69" s="45" t="s">
        <v>276</v>
      </c>
    </row>
    <row r="70">
      <c r="A70" s="12"/>
      <c r="B70" s="53" t="s">
        <v>284</v>
      </c>
      <c r="C70" s="57" t="s">
        <v>111</v>
      </c>
      <c r="D70" s="57" t="s">
        <v>111</v>
      </c>
      <c r="E70" s="57" t="s">
        <v>111</v>
      </c>
      <c r="F70" s="55" t="s">
        <v>112</v>
      </c>
      <c r="G70" s="57" t="s">
        <v>111</v>
      </c>
      <c r="H70" s="57" t="s">
        <v>111</v>
      </c>
      <c r="I70" s="56" t="s">
        <v>14</v>
      </c>
      <c r="J70" s="12"/>
      <c r="K70" s="12"/>
      <c r="L70" s="12"/>
      <c r="P70" s="62" t="s">
        <v>285</v>
      </c>
      <c r="Q70" s="62" t="s">
        <v>286</v>
      </c>
      <c r="R70" s="62" t="s">
        <v>264</v>
      </c>
      <c r="S70" s="62" t="s">
        <v>287</v>
      </c>
      <c r="T70" s="62" t="s">
        <v>287</v>
      </c>
      <c r="U70" s="62" t="s">
        <v>89</v>
      </c>
      <c r="V70" s="61" t="s">
        <v>13</v>
      </c>
      <c r="W70" s="62" t="s">
        <v>288</v>
      </c>
    </row>
    <row r="71">
      <c r="A71" s="12"/>
      <c r="B71" s="53" t="s">
        <v>289</v>
      </c>
      <c r="C71" s="54" t="s">
        <v>111</v>
      </c>
      <c r="D71" s="55" t="s">
        <v>112</v>
      </c>
      <c r="E71" s="54" t="s">
        <v>111</v>
      </c>
      <c r="F71" s="55" t="s">
        <v>112</v>
      </c>
      <c r="G71" s="54" t="s">
        <v>111</v>
      </c>
      <c r="H71" s="54" t="s">
        <v>111</v>
      </c>
      <c r="I71" s="58" t="s">
        <v>13</v>
      </c>
      <c r="J71" s="12"/>
      <c r="K71" s="12"/>
      <c r="L71" s="12"/>
      <c r="P71" s="45" t="s">
        <v>290</v>
      </c>
      <c r="Q71" s="45" t="s">
        <v>291</v>
      </c>
      <c r="R71" s="45" t="s">
        <v>264</v>
      </c>
      <c r="S71" s="45" t="s">
        <v>270</v>
      </c>
      <c r="T71" s="45" t="s">
        <v>270</v>
      </c>
      <c r="U71" s="45" t="s">
        <v>292</v>
      </c>
      <c r="V71" s="47" t="s">
        <v>14</v>
      </c>
      <c r="W71" s="45" t="s">
        <v>271</v>
      </c>
    </row>
    <row r="72">
      <c r="A72" s="12"/>
      <c r="B72" s="53" t="s">
        <v>293</v>
      </c>
      <c r="C72" s="57" t="s">
        <v>111</v>
      </c>
      <c r="D72" s="57" t="s">
        <v>111</v>
      </c>
      <c r="E72" s="57" t="s">
        <v>111</v>
      </c>
      <c r="F72" s="57" t="s">
        <v>111</v>
      </c>
      <c r="G72" s="57" t="s">
        <v>111</v>
      </c>
      <c r="H72" s="55" t="s">
        <v>112</v>
      </c>
      <c r="I72" s="56" t="s">
        <v>14</v>
      </c>
      <c r="J72" s="12"/>
      <c r="K72" s="12"/>
      <c r="L72" s="12"/>
      <c r="P72" s="48" t="s">
        <v>294</v>
      </c>
      <c r="Q72" s="48" t="s">
        <v>295</v>
      </c>
      <c r="R72" s="48" t="s">
        <v>264</v>
      </c>
      <c r="S72" s="48" t="s">
        <v>270</v>
      </c>
      <c r="T72" s="48" t="s">
        <v>270</v>
      </c>
      <c r="U72" s="49"/>
      <c r="V72" s="47" t="s">
        <v>14</v>
      </c>
      <c r="W72" s="48" t="s">
        <v>271</v>
      </c>
    </row>
    <row r="73">
      <c r="A73" s="12"/>
      <c r="B73" s="53" t="s">
        <v>296</v>
      </c>
      <c r="C73" s="54" t="s">
        <v>111</v>
      </c>
      <c r="D73" s="55" t="s">
        <v>112</v>
      </c>
      <c r="E73" s="54" t="s">
        <v>111</v>
      </c>
      <c r="F73" s="54" t="s">
        <v>111</v>
      </c>
      <c r="G73" s="54" t="s">
        <v>111</v>
      </c>
      <c r="H73" s="54" t="s">
        <v>111</v>
      </c>
      <c r="I73" s="58" t="s">
        <v>13</v>
      </c>
      <c r="J73" s="12"/>
      <c r="K73" s="12"/>
      <c r="L73" s="12"/>
      <c r="P73" s="45" t="s">
        <v>297</v>
      </c>
      <c r="Q73" s="45" t="s">
        <v>295</v>
      </c>
      <c r="R73" s="45" t="s">
        <v>264</v>
      </c>
      <c r="S73" s="45" t="s">
        <v>270</v>
      </c>
      <c r="T73" s="45" t="s">
        <v>270</v>
      </c>
      <c r="U73" s="46"/>
      <c r="V73" s="47" t="s">
        <v>14</v>
      </c>
      <c r="W73" s="45" t="s">
        <v>271</v>
      </c>
    </row>
    <row r="74">
      <c r="A74" s="12"/>
      <c r="B74" s="53" t="s">
        <v>298</v>
      </c>
      <c r="C74" s="57" t="s">
        <v>111</v>
      </c>
      <c r="D74" s="55" t="s">
        <v>112</v>
      </c>
      <c r="E74" s="57" t="s">
        <v>111</v>
      </c>
      <c r="F74" s="55" t="s">
        <v>112</v>
      </c>
      <c r="G74" s="57" t="s">
        <v>111</v>
      </c>
      <c r="H74" s="57" t="s">
        <v>111</v>
      </c>
      <c r="I74" s="58" t="s">
        <v>13</v>
      </c>
      <c r="J74" s="12"/>
      <c r="K74" s="12"/>
      <c r="L74" s="12"/>
      <c r="P74" s="62" t="s">
        <v>299</v>
      </c>
      <c r="Q74" s="62" t="s">
        <v>300</v>
      </c>
      <c r="R74" s="62" t="s">
        <v>301</v>
      </c>
      <c r="S74" s="62" t="s">
        <v>302</v>
      </c>
      <c r="T74" s="62" t="s">
        <v>302</v>
      </c>
      <c r="U74" s="62" t="s">
        <v>130</v>
      </c>
      <c r="V74" s="61" t="s">
        <v>13</v>
      </c>
      <c r="W74" s="62" t="s">
        <v>303</v>
      </c>
    </row>
    <row r="75">
      <c r="A75" s="12"/>
      <c r="B75" s="53" t="s">
        <v>304</v>
      </c>
      <c r="C75" s="54" t="s">
        <v>111</v>
      </c>
      <c r="D75" s="54" t="s">
        <v>111</v>
      </c>
      <c r="E75" s="55" t="s">
        <v>112</v>
      </c>
      <c r="F75" s="54" t="s">
        <v>111</v>
      </c>
      <c r="G75" s="54" t="s">
        <v>111</v>
      </c>
      <c r="H75" s="54" t="s">
        <v>111</v>
      </c>
      <c r="I75" s="58" t="s">
        <v>13</v>
      </c>
      <c r="J75" s="12"/>
      <c r="K75" s="12"/>
      <c r="L75" s="12"/>
      <c r="P75" s="60" t="s">
        <v>305</v>
      </c>
      <c r="Q75" s="60" t="s">
        <v>300</v>
      </c>
      <c r="R75" s="60" t="s">
        <v>301</v>
      </c>
      <c r="S75" s="60" t="s">
        <v>302</v>
      </c>
      <c r="T75" s="60" t="s">
        <v>302</v>
      </c>
      <c r="U75" s="60" t="s">
        <v>130</v>
      </c>
      <c r="V75" s="61" t="s">
        <v>13</v>
      </c>
      <c r="W75" s="60" t="s">
        <v>303</v>
      </c>
    </row>
    <row r="76">
      <c r="A76" s="12"/>
      <c r="B76" s="53" t="s">
        <v>306</v>
      </c>
      <c r="C76" s="57" t="s">
        <v>111</v>
      </c>
      <c r="D76" s="55" t="s">
        <v>112</v>
      </c>
      <c r="E76" s="55" t="s">
        <v>112</v>
      </c>
      <c r="F76" s="57" t="s">
        <v>111</v>
      </c>
      <c r="G76" s="57" t="s">
        <v>111</v>
      </c>
      <c r="H76" s="57" t="s">
        <v>111</v>
      </c>
      <c r="I76" s="58" t="s">
        <v>13</v>
      </c>
      <c r="J76" s="12"/>
      <c r="K76" s="12"/>
      <c r="L76" s="12"/>
      <c r="P76" s="62" t="s">
        <v>307</v>
      </c>
      <c r="Q76" s="62" t="s">
        <v>300</v>
      </c>
      <c r="R76" s="62" t="s">
        <v>301</v>
      </c>
      <c r="S76" s="62" t="s">
        <v>302</v>
      </c>
      <c r="T76" s="62" t="s">
        <v>302</v>
      </c>
      <c r="U76" s="62" t="s">
        <v>130</v>
      </c>
      <c r="V76" s="61" t="s">
        <v>13</v>
      </c>
      <c r="W76" s="62" t="s">
        <v>303</v>
      </c>
    </row>
    <row r="77">
      <c r="A77" s="12"/>
      <c r="B77" s="53" t="s">
        <v>308</v>
      </c>
      <c r="C77" s="54" t="s">
        <v>111</v>
      </c>
      <c r="D77" s="54" t="s">
        <v>111</v>
      </c>
      <c r="E77" s="55" t="s">
        <v>112</v>
      </c>
      <c r="F77" s="54" t="s">
        <v>111</v>
      </c>
      <c r="G77" s="54" t="s">
        <v>111</v>
      </c>
      <c r="H77" s="54" t="s">
        <v>111</v>
      </c>
      <c r="I77" s="58" t="s">
        <v>13</v>
      </c>
      <c r="J77" s="12"/>
      <c r="K77" s="12"/>
      <c r="L77" s="12"/>
      <c r="P77" s="60" t="s">
        <v>309</v>
      </c>
      <c r="Q77" s="60" t="s">
        <v>300</v>
      </c>
      <c r="R77" s="60" t="s">
        <v>301</v>
      </c>
      <c r="S77" s="60" t="s">
        <v>302</v>
      </c>
      <c r="T77" s="60" t="s">
        <v>302</v>
      </c>
      <c r="U77" s="60" t="s">
        <v>130</v>
      </c>
      <c r="V77" s="61" t="s">
        <v>13</v>
      </c>
      <c r="W77" s="60" t="s">
        <v>303</v>
      </c>
    </row>
    <row r="78">
      <c r="A78" s="12"/>
      <c r="B78" s="53" t="s">
        <v>310</v>
      </c>
      <c r="C78" s="57" t="s">
        <v>111</v>
      </c>
      <c r="D78" s="55" t="s">
        <v>112</v>
      </c>
      <c r="E78" s="55" t="s">
        <v>112</v>
      </c>
      <c r="F78" s="57" t="s">
        <v>111</v>
      </c>
      <c r="G78" s="57" t="s">
        <v>111</v>
      </c>
      <c r="H78" s="57" t="s">
        <v>111</v>
      </c>
      <c r="I78" s="58" t="s">
        <v>13</v>
      </c>
      <c r="J78" s="12"/>
      <c r="K78" s="12"/>
      <c r="L78" s="12"/>
      <c r="P78" s="62" t="s">
        <v>311</v>
      </c>
      <c r="Q78" s="62" t="s">
        <v>300</v>
      </c>
      <c r="R78" s="62" t="s">
        <v>301</v>
      </c>
      <c r="S78" s="62" t="s">
        <v>302</v>
      </c>
      <c r="T78" s="62" t="s">
        <v>302</v>
      </c>
      <c r="U78" s="62" t="s">
        <v>130</v>
      </c>
      <c r="V78" s="61" t="s">
        <v>13</v>
      </c>
      <c r="W78" s="62" t="s">
        <v>303</v>
      </c>
    </row>
    <row r="79">
      <c r="A79" s="12"/>
      <c r="B79" s="53" t="s">
        <v>312</v>
      </c>
      <c r="C79" s="54" t="s">
        <v>111</v>
      </c>
      <c r="D79" s="55" t="s">
        <v>112</v>
      </c>
      <c r="E79" s="54" t="s">
        <v>111</v>
      </c>
      <c r="F79" s="55" t="s">
        <v>112</v>
      </c>
      <c r="G79" s="54" t="s">
        <v>111</v>
      </c>
      <c r="H79" s="54" t="s">
        <v>111</v>
      </c>
      <c r="I79" s="58" t="s">
        <v>13</v>
      </c>
      <c r="J79" s="12"/>
      <c r="K79" s="12"/>
      <c r="L79" s="12"/>
      <c r="P79" s="60" t="s">
        <v>313</v>
      </c>
      <c r="Q79" s="60" t="s">
        <v>300</v>
      </c>
      <c r="R79" s="60" t="s">
        <v>301</v>
      </c>
      <c r="S79" s="60" t="s">
        <v>302</v>
      </c>
      <c r="T79" s="60" t="s">
        <v>302</v>
      </c>
      <c r="U79" s="60" t="s">
        <v>130</v>
      </c>
      <c r="V79" s="61" t="s">
        <v>13</v>
      </c>
      <c r="W79" s="60" t="s">
        <v>303</v>
      </c>
    </row>
    <row r="80">
      <c r="A80" s="12"/>
      <c r="B80" s="53" t="s">
        <v>314</v>
      </c>
      <c r="C80" s="57" t="s">
        <v>111</v>
      </c>
      <c r="D80" s="57" t="s">
        <v>111</v>
      </c>
      <c r="E80" s="57" t="s">
        <v>111</v>
      </c>
      <c r="F80" s="55" t="s">
        <v>112</v>
      </c>
      <c r="G80" s="57" t="s">
        <v>111</v>
      </c>
      <c r="H80" s="57" t="s">
        <v>111</v>
      </c>
      <c r="I80" s="56" t="s">
        <v>14</v>
      </c>
      <c r="J80" s="12"/>
      <c r="K80" s="12"/>
      <c r="L80" s="12"/>
      <c r="P80" s="62" t="s">
        <v>315</v>
      </c>
      <c r="Q80" s="62" t="s">
        <v>300</v>
      </c>
      <c r="R80" s="62" t="s">
        <v>301</v>
      </c>
      <c r="S80" s="62" t="s">
        <v>302</v>
      </c>
      <c r="T80" s="62" t="s">
        <v>302</v>
      </c>
      <c r="U80" s="62" t="s">
        <v>130</v>
      </c>
      <c r="V80" s="61" t="s">
        <v>13</v>
      </c>
      <c r="W80" s="62" t="s">
        <v>303</v>
      </c>
    </row>
    <row r="81">
      <c r="A81" s="12"/>
      <c r="B81" s="53" t="s">
        <v>316</v>
      </c>
      <c r="C81" s="55" t="s">
        <v>112</v>
      </c>
      <c r="D81" s="55" t="s">
        <v>112</v>
      </c>
      <c r="E81" s="55" t="s">
        <v>112</v>
      </c>
      <c r="F81" s="54" t="s">
        <v>111</v>
      </c>
      <c r="G81" s="54" t="s">
        <v>111</v>
      </c>
      <c r="H81" s="54" t="s">
        <v>111</v>
      </c>
      <c r="I81" s="58" t="s">
        <v>13</v>
      </c>
      <c r="J81" s="12"/>
      <c r="K81" s="12"/>
      <c r="L81" s="12"/>
      <c r="P81" s="60" t="s">
        <v>317</v>
      </c>
      <c r="Q81" s="60" t="s">
        <v>300</v>
      </c>
      <c r="R81" s="60" t="s">
        <v>301</v>
      </c>
      <c r="S81" s="60" t="s">
        <v>302</v>
      </c>
      <c r="T81" s="60" t="s">
        <v>302</v>
      </c>
      <c r="U81" s="60" t="s">
        <v>130</v>
      </c>
      <c r="V81" s="61" t="s">
        <v>13</v>
      </c>
      <c r="W81" s="60" t="s">
        <v>303</v>
      </c>
    </row>
    <row r="82">
      <c r="A82" s="12"/>
      <c r="B82" s="53" t="s">
        <v>318</v>
      </c>
      <c r="C82" s="57" t="s">
        <v>111</v>
      </c>
      <c r="D82" s="55" t="s">
        <v>112</v>
      </c>
      <c r="E82" s="55" t="s">
        <v>112</v>
      </c>
      <c r="F82" s="57" t="s">
        <v>111</v>
      </c>
      <c r="G82" s="57" t="s">
        <v>111</v>
      </c>
      <c r="H82" s="57" t="s">
        <v>111</v>
      </c>
      <c r="I82" s="58" t="s">
        <v>13</v>
      </c>
      <c r="J82" s="12"/>
      <c r="K82" s="12"/>
      <c r="L82" s="12"/>
      <c r="P82" s="62" t="s">
        <v>319</v>
      </c>
      <c r="Q82" s="62" t="s">
        <v>300</v>
      </c>
      <c r="R82" s="62" t="s">
        <v>301</v>
      </c>
      <c r="S82" s="62" t="s">
        <v>302</v>
      </c>
      <c r="T82" s="62" t="s">
        <v>302</v>
      </c>
      <c r="U82" s="62" t="s">
        <v>130</v>
      </c>
      <c r="V82" s="61" t="s">
        <v>13</v>
      </c>
      <c r="W82" s="62" t="s">
        <v>303</v>
      </c>
    </row>
    <row r="83">
      <c r="A83" s="12"/>
      <c r="B83" s="53" t="s">
        <v>320</v>
      </c>
      <c r="C83" s="54" t="s">
        <v>111</v>
      </c>
      <c r="D83" s="55" t="s">
        <v>112</v>
      </c>
      <c r="E83" s="54" t="s">
        <v>111</v>
      </c>
      <c r="F83" s="54" t="s">
        <v>111</v>
      </c>
      <c r="G83" s="54" t="s">
        <v>111</v>
      </c>
      <c r="H83" s="54" t="s">
        <v>111</v>
      </c>
      <c r="I83" s="58" t="s">
        <v>13</v>
      </c>
      <c r="J83" s="12"/>
      <c r="K83" s="12"/>
      <c r="L83" s="12"/>
      <c r="P83" s="60" t="s">
        <v>321</v>
      </c>
      <c r="Q83" s="60" t="s">
        <v>300</v>
      </c>
      <c r="R83" s="60" t="s">
        <v>301</v>
      </c>
      <c r="S83" s="60" t="s">
        <v>302</v>
      </c>
      <c r="T83" s="60" t="s">
        <v>302</v>
      </c>
      <c r="U83" s="60" t="s">
        <v>130</v>
      </c>
      <c r="V83" s="61" t="s">
        <v>13</v>
      </c>
      <c r="W83" s="60" t="s">
        <v>303</v>
      </c>
    </row>
    <row r="84">
      <c r="A84" s="12"/>
      <c r="B84" s="53" t="s">
        <v>322</v>
      </c>
      <c r="C84" s="57" t="s">
        <v>111</v>
      </c>
      <c r="D84" s="57" t="s">
        <v>111</v>
      </c>
      <c r="E84" s="57" t="s">
        <v>111</v>
      </c>
      <c r="F84" s="57" t="s">
        <v>111</v>
      </c>
      <c r="G84" s="57" t="s">
        <v>111</v>
      </c>
      <c r="H84" s="55" t="s">
        <v>112</v>
      </c>
      <c r="I84" s="56" t="s">
        <v>14</v>
      </c>
      <c r="J84" s="12"/>
      <c r="K84" s="12"/>
      <c r="L84" s="12"/>
      <c r="P84" s="62" t="s">
        <v>323</v>
      </c>
      <c r="Q84" s="62" t="s">
        <v>300</v>
      </c>
      <c r="R84" s="62" t="s">
        <v>301</v>
      </c>
      <c r="S84" s="62" t="s">
        <v>302</v>
      </c>
      <c r="T84" s="62" t="s">
        <v>302</v>
      </c>
      <c r="U84" s="62" t="s">
        <v>130</v>
      </c>
      <c r="V84" s="61" t="s">
        <v>13</v>
      </c>
      <c r="W84" s="62" t="s">
        <v>303</v>
      </c>
    </row>
    <row r="85">
      <c r="A85" s="12"/>
      <c r="B85" s="53" t="s">
        <v>324</v>
      </c>
      <c r="C85" s="54" t="s">
        <v>111</v>
      </c>
      <c r="D85" s="54" t="s">
        <v>111</v>
      </c>
      <c r="E85" s="54" t="s">
        <v>111</v>
      </c>
      <c r="F85" s="55" t="s">
        <v>112</v>
      </c>
      <c r="G85" s="54" t="s">
        <v>111</v>
      </c>
      <c r="H85" s="54" t="s">
        <v>111</v>
      </c>
      <c r="I85" s="56" t="s">
        <v>14</v>
      </c>
      <c r="J85" s="12"/>
      <c r="K85" s="12"/>
      <c r="L85" s="12"/>
      <c r="P85" s="60" t="s">
        <v>325</v>
      </c>
      <c r="Q85" s="60" t="s">
        <v>300</v>
      </c>
      <c r="R85" s="60" t="s">
        <v>301</v>
      </c>
      <c r="S85" s="60" t="s">
        <v>302</v>
      </c>
      <c r="T85" s="60" t="s">
        <v>302</v>
      </c>
      <c r="U85" s="60" t="s">
        <v>130</v>
      </c>
      <c r="V85" s="61" t="s">
        <v>13</v>
      </c>
      <c r="W85" s="60" t="s">
        <v>303</v>
      </c>
    </row>
    <row r="86">
      <c r="A86" s="12"/>
      <c r="B86" s="65" t="s">
        <v>326</v>
      </c>
      <c r="C86" s="66"/>
      <c r="D86" s="66"/>
      <c r="E86" s="66"/>
      <c r="F86" s="66"/>
      <c r="G86" s="66"/>
      <c r="H86" s="66"/>
      <c r="I86" s="67" t="s">
        <v>14</v>
      </c>
      <c r="J86" s="12"/>
      <c r="K86" s="12"/>
      <c r="L86" s="12"/>
      <c r="P86" s="62" t="s">
        <v>327</v>
      </c>
      <c r="Q86" s="62" t="s">
        <v>300</v>
      </c>
      <c r="R86" s="62" t="s">
        <v>301</v>
      </c>
      <c r="S86" s="62" t="s">
        <v>302</v>
      </c>
      <c r="T86" s="62" t="s">
        <v>302</v>
      </c>
      <c r="U86" s="62" t="s">
        <v>130</v>
      </c>
      <c r="V86" s="61" t="s">
        <v>13</v>
      </c>
      <c r="W86" s="62" t="s">
        <v>303</v>
      </c>
    </row>
    <row r="87">
      <c r="A87" s="12"/>
      <c r="B87" s="68"/>
      <c r="C87" s="66"/>
      <c r="D87" s="66"/>
      <c r="E87" s="66"/>
      <c r="F87" s="66"/>
      <c r="G87" s="66"/>
      <c r="H87" s="66"/>
      <c r="I87" s="67" t="s">
        <v>14</v>
      </c>
      <c r="J87" s="12"/>
      <c r="K87" s="12"/>
      <c r="L87" s="12"/>
      <c r="P87" s="60" t="s">
        <v>328</v>
      </c>
      <c r="Q87" s="60" t="s">
        <v>300</v>
      </c>
      <c r="R87" s="60" t="s">
        <v>301</v>
      </c>
      <c r="S87" s="60" t="s">
        <v>302</v>
      </c>
      <c r="T87" s="60" t="s">
        <v>302</v>
      </c>
      <c r="U87" s="60" t="s">
        <v>130</v>
      </c>
      <c r="V87" s="61" t="s">
        <v>13</v>
      </c>
      <c r="W87" s="60" t="s">
        <v>303</v>
      </c>
    </row>
    <row r="88">
      <c r="A88" s="12"/>
      <c r="B88" s="68"/>
      <c r="C88" s="66"/>
      <c r="D88" s="66"/>
      <c r="E88" s="66"/>
      <c r="F88" s="66"/>
      <c r="G88" s="66"/>
      <c r="H88" s="66"/>
      <c r="I88" s="67" t="s">
        <v>14</v>
      </c>
      <c r="J88" s="12"/>
      <c r="K88" s="12"/>
      <c r="L88" s="12"/>
      <c r="P88" s="62" t="s">
        <v>329</v>
      </c>
      <c r="Q88" s="62" t="s">
        <v>300</v>
      </c>
      <c r="R88" s="62" t="s">
        <v>301</v>
      </c>
      <c r="S88" s="62" t="s">
        <v>302</v>
      </c>
      <c r="T88" s="62" t="s">
        <v>302</v>
      </c>
      <c r="U88" s="62" t="s">
        <v>130</v>
      </c>
      <c r="V88" s="61" t="s">
        <v>13</v>
      </c>
      <c r="W88" s="62" t="s">
        <v>303</v>
      </c>
    </row>
    <row r="89">
      <c r="A89" s="12"/>
      <c r="B89" s="68"/>
      <c r="C89" s="66"/>
      <c r="D89" s="66"/>
      <c r="E89" s="66"/>
      <c r="F89" s="66"/>
      <c r="G89" s="66"/>
      <c r="H89" s="66"/>
      <c r="I89" s="67" t="s">
        <v>14</v>
      </c>
      <c r="J89" s="12"/>
      <c r="K89" s="12"/>
      <c r="L89" s="12"/>
      <c r="P89" s="60" t="s">
        <v>330</v>
      </c>
      <c r="Q89" s="60" t="s">
        <v>300</v>
      </c>
      <c r="R89" s="60" t="s">
        <v>301</v>
      </c>
      <c r="S89" s="60" t="s">
        <v>302</v>
      </c>
      <c r="T89" s="60" t="s">
        <v>302</v>
      </c>
      <c r="U89" s="60" t="s">
        <v>130</v>
      </c>
      <c r="V89" s="61" t="s">
        <v>13</v>
      </c>
      <c r="W89" s="60" t="s">
        <v>303</v>
      </c>
    </row>
    <row r="90">
      <c r="A90" s="12"/>
      <c r="B90" s="68"/>
      <c r="C90" s="66"/>
      <c r="D90" s="66"/>
      <c r="E90" s="66"/>
      <c r="F90" s="66"/>
      <c r="G90" s="66"/>
      <c r="H90" s="66"/>
      <c r="I90" s="67" t="s">
        <v>14</v>
      </c>
      <c r="J90" s="12"/>
      <c r="K90" s="12"/>
      <c r="L90" s="12"/>
      <c r="P90" s="62" t="s">
        <v>331</v>
      </c>
      <c r="Q90" s="62" t="s">
        <v>300</v>
      </c>
      <c r="R90" s="62" t="s">
        <v>301</v>
      </c>
      <c r="S90" s="62" t="s">
        <v>302</v>
      </c>
      <c r="T90" s="62" t="s">
        <v>302</v>
      </c>
      <c r="U90" s="62" t="s">
        <v>130</v>
      </c>
      <c r="V90" s="61" t="s">
        <v>13</v>
      </c>
      <c r="W90" s="62" t="s">
        <v>303</v>
      </c>
    </row>
    <row r="91">
      <c r="A91" s="12"/>
      <c r="B91" s="68"/>
      <c r="C91" s="66"/>
      <c r="D91" s="66"/>
      <c r="E91" s="66"/>
      <c r="F91" s="66"/>
      <c r="G91" s="66"/>
      <c r="H91" s="66"/>
      <c r="I91" s="67" t="s">
        <v>14</v>
      </c>
      <c r="J91" s="12"/>
      <c r="K91" s="12"/>
      <c r="L91" s="12"/>
      <c r="P91" s="60" t="s">
        <v>332</v>
      </c>
      <c r="Q91" s="60" t="s">
        <v>300</v>
      </c>
      <c r="R91" s="60" t="s">
        <v>301</v>
      </c>
      <c r="S91" s="60" t="s">
        <v>302</v>
      </c>
      <c r="T91" s="60" t="s">
        <v>302</v>
      </c>
      <c r="U91" s="60" t="s">
        <v>130</v>
      </c>
      <c r="V91" s="61" t="s">
        <v>13</v>
      </c>
      <c r="W91" s="60" t="s">
        <v>303</v>
      </c>
    </row>
    <row r="92">
      <c r="A92" s="12"/>
      <c r="B92" s="68"/>
      <c r="C92" s="66"/>
      <c r="D92" s="66"/>
      <c r="E92" s="66"/>
      <c r="F92" s="66"/>
      <c r="G92" s="66"/>
      <c r="H92" s="66"/>
      <c r="I92" s="67" t="s">
        <v>14</v>
      </c>
      <c r="J92" s="12"/>
      <c r="K92" s="12"/>
      <c r="L92" s="12"/>
      <c r="P92" s="62" t="s">
        <v>333</v>
      </c>
      <c r="Q92" s="62" t="s">
        <v>300</v>
      </c>
      <c r="R92" s="62" t="s">
        <v>301</v>
      </c>
      <c r="S92" s="62" t="s">
        <v>302</v>
      </c>
      <c r="T92" s="62" t="s">
        <v>302</v>
      </c>
      <c r="U92" s="62" t="s">
        <v>130</v>
      </c>
      <c r="V92" s="61" t="s">
        <v>13</v>
      </c>
      <c r="W92" s="62" t="s">
        <v>303</v>
      </c>
    </row>
    <row r="93">
      <c r="A93" s="12"/>
      <c r="B93" s="68"/>
      <c r="C93" s="66"/>
      <c r="D93" s="66"/>
      <c r="E93" s="66"/>
      <c r="F93" s="66"/>
      <c r="G93" s="66"/>
      <c r="H93" s="66"/>
      <c r="I93" s="67" t="s">
        <v>14</v>
      </c>
      <c r="J93" s="12"/>
      <c r="K93" s="12"/>
      <c r="L93" s="12"/>
      <c r="P93" s="60" t="s">
        <v>334</v>
      </c>
      <c r="Q93" s="60" t="s">
        <v>335</v>
      </c>
      <c r="R93" s="60" t="s">
        <v>301</v>
      </c>
      <c r="S93" s="60" t="s">
        <v>302</v>
      </c>
      <c r="T93" s="60" t="s">
        <v>302</v>
      </c>
      <c r="U93" s="60" t="s">
        <v>130</v>
      </c>
      <c r="V93" s="61" t="s">
        <v>13</v>
      </c>
      <c r="W93" s="60" t="s">
        <v>303</v>
      </c>
    </row>
    <row r="94">
      <c r="A94" s="69"/>
      <c r="B94" s="70"/>
      <c r="P94" s="48" t="s">
        <v>336</v>
      </c>
      <c r="Q94" s="48" t="s">
        <v>337</v>
      </c>
      <c r="R94" s="48" t="s">
        <v>301</v>
      </c>
      <c r="S94" s="48" t="s">
        <v>302</v>
      </c>
      <c r="T94" s="48" t="s">
        <v>302</v>
      </c>
      <c r="U94" s="48" t="s">
        <v>89</v>
      </c>
      <c r="V94" s="47" t="s">
        <v>14</v>
      </c>
      <c r="W94" s="48" t="s">
        <v>338</v>
      </c>
    </row>
    <row r="95">
      <c r="A95" s="71"/>
      <c r="B95" s="70"/>
      <c r="P95" s="60" t="s">
        <v>339</v>
      </c>
      <c r="Q95" s="60" t="s">
        <v>340</v>
      </c>
      <c r="R95" s="60" t="s">
        <v>341</v>
      </c>
      <c r="S95" s="60" t="s">
        <v>342</v>
      </c>
      <c r="T95" s="60" t="s">
        <v>342</v>
      </c>
      <c r="U95" s="63"/>
      <c r="V95" s="61" t="s">
        <v>13</v>
      </c>
      <c r="W95" s="60" t="s">
        <v>343</v>
      </c>
    </row>
    <row r="96">
      <c r="A96" s="69"/>
      <c r="B96" s="70"/>
      <c r="P96" s="62" t="s">
        <v>344</v>
      </c>
      <c r="Q96" s="62" t="s">
        <v>340</v>
      </c>
      <c r="R96" s="62" t="s">
        <v>341</v>
      </c>
      <c r="S96" s="62" t="s">
        <v>345</v>
      </c>
      <c r="T96" s="62" t="s">
        <v>345</v>
      </c>
      <c r="U96" s="62" t="s">
        <v>130</v>
      </c>
      <c r="V96" s="61" t="s">
        <v>13</v>
      </c>
      <c r="W96" s="62" t="s">
        <v>346</v>
      </c>
    </row>
    <row r="97">
      <c r="A97" s="71"/>
      <c r="B97" s="70"/>
      <c r="P97" s="60" t="s">
        <v>347</v>
      </c>
      <c r="Q97" s="60" t="s">
        <v>340</v>
      </c>
      <c r="R97" s="60" t="s">
        <v>341</v>
      </c>
      <c r="S97" s="60" t="s">
        <v>342</v>
      </c>
      <c r="T97" s="60" t="s">
        <v>342</v>
      </c>
      <c r="U97" s="63"/>
      <c r="V97" s="61" t="s">
        <v>13</v>
      </c>
      <c r="W97" s="60" t="s">
        <v>343</v>
      </c>
    </row>
    <row r="98">
      <c r="A98" s="72"/>
      <c r="B98" s="73"/>
      <c r="P98" s="62" t="s">
        <v>348</v>
      </c>
      <c r="Q98" s="62" t="s">
        <v>340</v>
      </c>
      <c r="R98" s="62" t="s">
        <v>341</v>
      </c>
      <c r="S98" s="62" t="s">
        <v>342</v>
      </c>
      <c r="T98" s="62" t="s">
        <v>342</v>
      </c>
      <c r="U98" s="62" t="s">
        <v>130</v>
      </c>
      <c r="V98" s="61" t="s">
        <v>13</v>
      </c>
      <c r="W98" s="62" t="s">
        <v>343</v>
      </c>
    </row>
    <row r="99">
      <c r="A99" s="74"/>
      <c r="B99" s="73"/>
      <c r="P99" s="60" t="s">
        <v>349</v>
      </c>
      <c r="Q99" s="60" t="s">
        <v>350</v>
      </c>
      <c r="R99" s="60" t="s">
        <v>341</v>
      </c>
      <c r="S99" s="60" t="s">
        <v>342</v>
      </c>
      <c r="T99" s="60" t="s">
        <v>342</v>
      </c>
      <c r="U99" s="60" t="s">
        <v>130</v>
      </c>
      <c r="V99" s="61" t="s">
        <v>13</v>
      </c>
      <c r="W99" s="60" t="s">
        <v>343</v>
      </c>
    </row>
    <row r="100">
      <c r="A100" s="72"/>
      <c r="B100" s="73"/>
      <c r="P100" s="62" t="s">
        <v>351</v>
      </c>
      <c r="Q100" s="62" t="s">
        <v>352</v>
      </c>
      <c r="R100" s="62" t="s">
        <v>341</v>
      </c>
      <c r="S100" s="62" t="s">
        <v>353</v>
      </c>
      <c r="T100" s="62" t="s">
        <v>353</v>
      </c>
      <c r="U100" s="62" t="s">
        <v>130</v>
      </c>
      <c r="V100" s="61" t="s">
        <v>13</v>
      </c>
      <c r="W100" s="62" t="s">
        <v>354</v>
      </c>
    </row>
    <row r="101">
      <c r="A101" s="71"/>
      <c r="B101" s="70"/>
      <c r="P101" s="60" t="s">
        <v>355</v>
      </c>
      <c r="Q101" s="60" t="s">
        <v>356</v>
      </c>
      <c r="R101" s="60" t="s">
        <v>357</v>
      </c>
      <c r="S101" s="60" t="s">
        <v>358</v>
      </c>
      <c r="T101" s="60" t="s">
        <v>358</v>
      </c>
      <c r="U101" s="60" t="s">
        <v>359</v>
      </c>
      <c r="V101" s="61" t="s">
        <v>13</v>
      </c>
      <c r="W101" s="60" t="s">
        <v>360</v>
      </c>
    </row>
    <row r="102">
      <c r="A102" s="69"/>
      <c r="B102" s="70"/>
      <c r="P102" s="62" t="s">
        <v>361</v>
      </c>
      <c r="Q102" s="62" t="s">
        <v>362</v>
      </c>
      <c r="R102" s="62" t="s">
        <v>363</v>
      </c>
      <c r="S102" s="62" t="s">
        <v>364</v>
      </c>
      <c r="T102" s="62" t="s">
        <v>364</v>
      </c>
      <c r="U102" s="64"/>
      <c r="V102" s="61" t="s">
        <v>13</v>
      </c>
      <c r="W102" s="62" t="s">
        <v>365</v>
      </c>
    </row>
    <row r="103">
      <c r="A103" s="71"/>
      <c r="B103" s="70"/>
      <c r="P103" s="60" t="s">
        <v>366</v>
      </c>
      <c r="Q103" s="60" t="s">
        <v>362</v>
      </c>
      <c r="R103" s="60" t="s">
        <v>363</v>
      </c>
      <c r="S103" s="60" t="s">
        <v>364</v>
      </c>
      <c r="T103" s="60" t="s">
        <v>364</v>
      </c>
      <c r="U103" s="63"/>
      <c r="V103" s="61" t="s">
        <v>13</v>
      </c>
      <c r="W103" s="60" t="s">
        <v>365</v>
      </c>
    </row>
    <row r="104">
      <c r="A104" s="69"/>
      <c r="B104" s="70"/>
      <c r="P104" s="62" t="s">
        <v>367</v>
      </c>
      <c r="Q104" s="62" t="s">
        <v>368</v>
      </c>
      <c r="R104" s="62" t="s">
        <v>363</v>
      </c>
      <c r="S104" s="62" t="s">
        <v>364</v>
      </c>
      <c r="T104" s="62" t="s">
        <v>364</v>
      </c>
      <c r="U104" s="62" t="s">
        <v>130</v>
      </c>
      <c r="V104" s="61" t="s">
        <v>13</v>
      </c>
      <c r="W104" s="62" t="s">
        <v>365</v>
      </c>
    </row>
    <row r="105">
      <c r="A105" s="71"/>
      <c r="B105" s="70"/>
      <c r="P105" s="60" t="s">
        <v>369</v>
      </c>
      <c r="Q105" s="60" t="s">
        <v>370</v>
      </c>
      <c r="R105" s="60" t="s">
        <v>363</v>
      </c>
      <c r="S105" s="60" t="s">
        <v>364</v>
      </c>
      <c r="T105" s="60" t="s">
        <v>364</v>
      </c>
      <c r="U105" s="63"/>
      <c r="V105" s="61" t="s">
        <v>13</v>
      </c>
      <c r="W105" s="60" t="s">
        <v>371</v>
      </c>
    </row>
    <row r="106">
      <c r="A106" s="69"/>
      <c r="B106" s="70"/>
      <c r="P106" s="62" t="s">
        <v>372</v>
      </c>
      <c r="Q106" s="62" t="s">
        <v>370</v>
      </c>
      <c r="R106" s="62" t="s">
        <v>363</v>
      </c>
      <c r="S106" s="62" t="s">
        <v>364</v>
      </c>
      <c r="T106" s="62" t="s">
        <v>364</v>
      </c>
      <c r="U106" s="64"/>
      <c r="V106" s="61" t="s">
        <v>13</v>
      </c>
      <c r="W106" s="62" t="s">
        <v>371</v>
      </c>
    </row>
    <row r="107">
      <c r="A107" s="71"/>
      <c r="B107" s="70"/>
      <c r="P107" s="60" t="s">
        <v>373</v>
      </c>
      <c r="Q107" s="60" t="s">
        <v>370</v>
      </c>
      <c r="R107" s="60" t="s">
        <v>363</v>
      </c>
      <c r="S107" s="60" t="s">
        <v>364</v>
      </c>
      <c r="T107" s="60" t="s">
        <v>364</v>
      </c>
      <c r="U107" s="60" t="s">
        <v>130</v>
      </c>
      <c r="V107" s="61" t="s">
        <v>13</v>
      </c>
      <c r="W107" s="60" t="s">
        <v>371</v>
      </c>
    </row>
    <row r="108">
      <c r="A108" s="69"/>
      <c r="B108" s="70"/>
      <c r="P108" s="62" t="s">
        <v>374</v>
      </c>
      <c r="Q108" s="62" t="s">
        <v>370</v>
      </c>
      <c r="R108" s="62" t="s">
        <v>363</v>
      </c>
      <c r="S108" s="62" t="s">
        <v>364</v>
      </c>
      <c r="T108" s="62" t="s">
        <v>364</v>
      </c>
      <c r="U108" s="62" t="s">
        <v>130</v>
      </c>
      <c r="V108" s="61" t="s">
        <v>13</v>
      </c>
      <c r="W108" s="62" t="s">
        <v>371</v>
      </c>
    </row>
    <row r="109">
      <c r="A109" s="71"/>
      <c r="B109" s="70"/>
      <c r="P109" s="60" t="s">
        <v>375</v>
      </c>
      <c r="Q109" s="60" t="s">
        <v>376</v>
      </c>
      <c r="R109" s="60" t="s">
        <v>363</v>
      </c>
      <c r="S109" s="60" t="s">
        <v>377</v>
      </c>
      <c r="T109" s="60" t="s">
        <v>377</v>
      </c>
      <c r="U109" s="60" t="s">
        <v>130</v>
      </c>
      <c r="V109" s="61" t="s">
        <v>13</v>
      </c>
      <c r="W109" s="60" t="s">
        <v>378</v>
      </c>
    </row>
    <row r="110">
      <c r="A110" s="69"/>
      <c r="B110" s="70"/>
      <c r="P110" s="62" t="s">
        <v>379</v>
      </c>
      <c r="Q110" s="62" t="s">
        <v>376</v>
      </c>
      <c r="R110" s="62" t="s">
        <v>363</v>
      </c>
      <c r="S110" s="62" t="s">
        <v>377</v>
      </c>
      <c r="T110" s="62" t="s">
        <v>377</v>
      </c>
      <c r="U110" s="62" t="s">
        <v>130</v>
      </c>
      <c r="V110" s="61" t="s">
        <v>13</v>
      </c>
      <c r="W110" s="62" t="s">
        <v>378</v>
      </c>
    </row>
    <row r="111">
      <c r="A111" s="71"/>
      <c r="B111" s="70"/>
      <c r="P111" s="60" t="s">
        <v>380</v>
      </c>
      <c r="Q111" s="60" t="s">
        <v>376</v>
      </c>
      <c r="R111" s="60" t="s">
        <v>363</v>
      </c>
      <c r="S111" s="60" t="s">
        <v>377</v>
      </c>
      <c r="T111" s="60" t="s">
        <v>377</v>
      </c>
      <c r="U111" s="60" t="s">
        <v>130</v>
      </c>
      <c r="V111" s="61" t="s">
        <v>13</v>
      </c>
      <c r="W111" s="60" t="s">
        <v>378</v>
      </c>
    </row>
    <row r="112">
      <c r="A112" s="69"/>
      <c r="B112" s="70"/>
      <c r="P112" s="48" t="s">
        <v>381</v>
      </c>
      <c r="Q112" s="48" t="s">
        <v>382</v>
      </c>
      <c r="R112" s="48" t="s">
        <v>363</v>
      </c>
      <c r="S112" s="48" t="s">
        <v>383</v>
      </c>
      <c r="T112" s="48" t="s">
        <v>383</v>
      </c>
      <c r="U112" s="49"/>
      <c r="V112" s="47" t="s">
        <v>14</v>
      </c>
      <c r="W112" s="48" t="s">
        <v>384</v>
      </c>
    </row>
    <row r="113">
      <c r="A113" s="71"/>
      <c r="B113" s="70"/>
      <c r="P113" s="45" t="s">
        <v>385</v>
      </c>
      <c r="Q113" s="45" t="s">
        <v>382</v>
      </c>
      <c r="R113" s="45" t="s">
        <v>363</v>
      </c>
      <c r="S113" s="45" t="s">
        <v>364</v>
      </c>
      <c r="T113" s="45" t="s">
        <v>364</v>
      </c>
      <c r="U113" s="46"/>
      <c r="V113" s="47" t="s">
        <v>14</v>
      </c>
      <c r="W113" s="45" t="s">
        <v>386</v>
      </c>
    </row>
    <row r="114">
      <c r="A114" s="69"/>
      <c r="B114" s="70"/>
      <c r="P114" s="48" t="s">
        <v>387</v>
      </c>
      <c r="Q114" s="48" t="s">
        <v>382</v>
      </c>
      <c r="R114" s="48" t="s">
        <v>363</v>
      </c>
      <c r="S114" s="48" t="s">
        <v>364</v>
      </c>
      <c r="T114" s="48" t="s">
        <v>364</v>
      </c>
      <c r="U114" s="49"/>
      <c r="V114" s="47" t="s">
        <v>14</v>
      </c>
      <c r="W114" s="48" t="s">
        <v>386</v>
      </c>
    </row>
    <row r="115">
      <c r="A115" s="71"/>
      <c r="B115" s="70"/>
      <c r="P115" s="45" t="s">
        <v>388</v>
      </c>
      <c r="Q115" s="45" t="s">
        <v>382</v>
      </c>
      <c r="R115" s="45" t="s">
        <v>363</v>
      </c>
      <c r="S115" s="45" t="s">
        <v>364</v>
      </c>
      <c r="T115" s="45" t="s">
        <v>364</v>
      </c>
      <c r="U115" s="46"/>
      <c r="V115" s="47" t="s">
        <v>14</v>
      </c>
      <c r="W115" s="45" t="s">
        <v>386</v>
      </c>
    </row>
    <row r="116">
      <c r="A116" s="69"/>
      <c r="B116" s="70"/>
      <c r="P116" s="48" t="s">
        <v>389</v>
      </c>
      <c r="Q116" s="48" t="s">
        <v>382</v>
      </c>
      <c r="R116" s="48" t="s">
        <v>363</v>
      </c>
      <c r="S116" s="48" t="s">
        <v>364</v>
      </c>
      <c r="T116" s="48" t="s">
        <v>364</v>
      </c>
      <c r="U116" s="49"/>
      <c r="V116" s="47" t="s">
        <v>14</v>
      </c>
      <c r="W116" s="48" t="s">
        <v>386</v>
      </c>
    </row>
    <row r="117">
      <c r="A117" s="71"/>
      <c r="B117" s="70"/>
      <c r="P117" s="45" t="s">
        <v>390</v>
      </c>
      <c r="Q117" s="45" t="s">
        <v>382</v>
      </c>
      <c r="R117" s="45" t="s">
        <v>363</v>
      </c>
      <c r="S117" s="45" t="s">
        <v>364</v>
      </c>
      <c r="T117" s="45" t="s">
        <v>364</v>
      </c>
      <c r="U117" s="46"/>
      <c r="V117" s="47" t="s">
        <v>14</v>
      </c>
      <c r="W117" s="45" t="s">
        <v>386</v>
      </c>
    </row>
    <row r="118">
      <c r="A118" s="69"/>
      <c r="B118" s="70"/>
      <c r="P118" s="62" t="s">
        <v>391</v>
      </c>
      <c r="Q118" s="62" t="s">
        <v>392</v>
      </c>
      <c r="R118" s="62" t="s">
        <v>393</v>
      </c>
      <c r="S118" s="62" t="s">
        <v>394</v>
      </c>
      <c r="T118" s="62" t="s">
        <v>394</v>
      </c>
      <c r="U118" s="62" t="s">
        <v>292</v>
      </c>
      <c r="V118" s="61" t="s">
        <v>13</v>
      </c>
      <c r="W118" s="62" t="s">
        <v>395</v>
      </c>
    </row>
    <row r="119">
      <c r="A119" s="71"/>
      <c r="B119" s="70"/>
      <c r="P119" s="60" t="s">
        <v>396</v>
      </c>
      <c r="Q119" s="60" t="s">
        <v>397</v>
      </c>
      <c r="R119" s="60" t="s">
        <v>393</v>
      </c>
      <c r="S119" s="60" t="s">
        <v>398</v>
      </c>
      <c r="T119" s="60" t="s">
        <v>398</v>
      </c>
      <c r="U119" s="63"/>
      <c r="V119" s="61" t="s">
        <v>13</v>
      </c>
      <c r="W119" s="60" t="s">
        <v>399</v>
      </c>
    </row>
    <row r="120">
      <c r="A120" s="75"/>
      <c r="B120" s="73"/>
      <c r="P120" s="62" t="s">
        <v>400</v>
      </c>
      <c r="Q120" s="62" t="s">
        <v>397</v>
      </c>
      <c r="R120" s="62" t="s">
        <v>393</v>
      </c>
      <c r="S120" s="62" t="s">
        <v>398</v>
      </c>
      <c r="T120" s="62" t="s">
        <v>398</v>
      </c>
      <c r="U120" s="64"/>
      <c r="V120" s="61" t="s">
        <v>13</v>
      </c>
      <c r="W120" s="62" t="s">
        <v>399</v>
      </c>
    </row>
    <row r="121">
      <c r="A121" s="74"/>
      <c r="B121" s="73"/>
      <c r="P121" s="60" t="s">
        <v>401</v>
      </c>
      <c r="Q121" s="60" t="s">
        <v>402</v>
      </c>
      <c r="R121" s="60" t="s">
        <v>393</v>
      </c>
      <c r="S121" s="60" t="s">
        <v>398</v>
      </c>
      <c r="T121" s="60" t="s">
        <v>398</v>
      </c>
      <c r="U121" s="60" t="s">
        <v>130</v>
      </c>
      <c r="V121" s="61" t="s">
        <v>13</v>
      </c>
      <c r="W121" s="60" t="s">
        <v>403</v>
      </c>
    </row>
    <row r="122">
      <c r="A122" s="72"/>
      <c r="B122" s="73"/>
      <c r="P122" s="62" t="s">
        <v>404</v>
      </c>
      <c r="Q122" s="62" t="s">
        <v>405</v>
      </c>
      <c r="R122" s="62" t="s">
        <v>393</v>
      </c>
      <c r="S122" s="62" t="s">
        <v>398</v>
      </c>
      <c r="T122" s="62" t="s">
        <v>398</v>
      </c>
      <c r="U122" s="62" t="s">
        <v>130</v>
      </c>
      <c r="V122" s="61" t="s">
        <v>13</v>
      </c>
      <c r="W122" s="62" t="s">
        <v>403</v>
      </c>
    </row>
    <row r="123">
      <c r="A123" s="74"/>
      <c r="B123" s="73"/>
      <c r="P123" s="45" t="s">
        <v>406</v>
      </c>
      <c r="Q123" s="45" t="s">
        <v>407</v>
      </c>
      <c r="R123" s="45" t="s">
        <v>393</v>
      </c>
      <c r="S123" s="45" t="s">
        <v>398</v>
      </c>
      <c r="T123" s="45" t="s">
        <v>398</v>
      </c>
      <c r="U123" s="46"/>
      <c r="V123" s="47" t="s">
        <v>14</v>
      </c>
      <c r="W123" s="45" t="s">
        <v>408</v>
      </c>
    </row>
    <row r="124">
      <c r="A124" s="72"/>
      <c r="B124" s="73"/>
      <c r="P124" s="48" t="s">
        <v>409</v>
      </c>
      <c r="Q124" s="48" t="s">
        <v>407</v>
      </c>
      <c r="R124" s="48" t="s">
        <v>393</v>
      </c>
      <c r="S124" s="48" t="s">
        <v>398</v>
      </c>
      <c r="T124" s="48" t="s">
        <v>398</v>
      </c>
      <c r="U124" s="49"/>
      <c r="V124" s="47" t="s">
        <v>14</v>
      </c>
      <c r="W124" s="48" t="s">
        <v>408</v>
      </c>
    </row>
    <row r="125">
      <c r="A125" s="74"/>
      <c r="B125" s="73"/>
      <c r="P125" s="45" t="s">
        <v>410</v>
      </c>
      <c r="Q125" s="45" t="s">
        <v>352</v>
      </c>
      <c r="R125" s="45" t="s">
        <v>393</v>
      </c>
      <c r="S125" s="45" t="s">
        <v>394</v>
      </c>
      <c r="T125" s="45" t="s">
        <v>394</v>
      </c>
      <c r="U125" s="46"/>
      <c r="V125" s="47" t="s">
        <v>14</v>
      </c>
      <c r="W125" s="45" t="s">
        <v>411</v>
      </c>
    </row>
    <row r="126">
      <c r="A126" s="69"/>
      <c r="B126" s="70"/>
      <c r="P126" s="48" t="s">
        <v>412</v>
      </c>
      <c r="Q126" s="48" t="s">
        <v>352</v>
      </c>
      <c r="R126" s="48" t="s">
        <v>393</v>
      </c>
      <c r="S126" s="48" t="s">
        <v>394</v>
      </c>
      <c r="T126" s="48" t="s">
        <v>394</v>
      </c>
      <c r="U126" s="49"/>
      <c r="V126" s="47" t="s">
        <v>14</v>
      </c>
      <c r="W126" s="48" t="s">
        <v>411</v>
      </c>
    </row>
    <row r="127">
      <c r="A127" s="71"/>
      <c r="B127" s="70"/>
      <c r="P127" s="45" t="s">
        <v>413</v>
      </c>
      <c r="Q127" s="45" t="s">
        <v>352</v>
      </c>
      <c r="R127" s="45" t="s">
        <v>393</v>
      </c>
      <c r="S127" s="45" t="s">
        <v>394</v>
      </c>
      <c r="T127" s="45" t="s">
        <v>394</v>
      </c>
      <c r="U127" s="46"/>
      <c r="V127" s="47" t="s">
        <v>14</v>
      </c>
      <c r="W127" s="45" t="s">
        <v>411</v>
      </c>
    </row>
    <row r="128">
      <c r="A128" s="69"/>
      <c r="B128" s="70"/>
      <c r="P128" s="48" t="s">
        <v>414</v>
      </c>
      <c r="Q128" s="48" t="s">
        <v>415</v>
      </c>
      <c r="R128" s="48" t="s">
        <v>393</v>
      </c>
      <c r="S128" s="48" t="s">
        <v>416</v>
      </c>
      <c r="T128" s="48" t="s">
        <v>416</v>
      </c>
      <c r="U128" s="48" t="s">
        <v>130</v>
      </c>
      <c r="V128" s="47" t="s">
        <v>14</v>
      </c>
      <c r="W128" s="48" t="s">
        <v>417</v>
      </c>
    </row>
    <row r="129">
      <c r="A129" s="76"/>
      <c r="B129" s="73"/>
      <c r="P129" s="45" t="s">
        <v>418</v>
      </c>
      <c r="Q129" s="45" t="s">
        <v>415</v>
      </c>
      <c r="R129" s="45" t="s">
        <v>393</v>
      </c>
      <c r="S129" s="45" t="s">
        <v>419</v>
      </c>
      <c r="T129" s="45" t="s">
        <v>419</v>
      </c>
      <c r="U129" s="45" t="s">
        <v>130</v>
      </c>
      <c r="V129" s="47" t="s">
        <v>14</v>
      </c>
      <c r="W129" s="45" t="s">
        <v>420</v>
      </c>
    </row>
    <row r="130">
      <c r="A130" s="69"/>
      <c r="B130" s="70"/>
      <c r="P130" s="48" t="s">
        <v>421</v>
      </c>
      <c r="Q130" s="48" t="s">
        <v>415</v>
      </c>
      <c r="R130" s="48" t="s">
        <v>393</v>
      </c>
      <c r="S130" s="48" t="s">
        <v>416</v>
      </c>
      <c r="T130" s="48" t="s">
        <v>416</v>
      </c>
      <c r="U130" s="49"/>
      <c r="V130" s="47" t="s">
        <v>14</v>
      </c>
      <c r="W130" s="48" t="s">
        <v>417</v>
      </c>
    </row>
    <row r="131">
      <c r="A131" s="71"/>
      <c r="B131" s="70"/>
      <c r="P131" s="45" t="s">
        <v>422</v>
      </c>
      <c r="Q131" s="45" t="s">
        <v>423</v>
      </c>
      <c r="R131" s="45" t="s">
        <v>393</v>
      </c>
      <c r="S131" s="45" t="s">
        <v>394</v>
      </c>
      <c r="T131" s="45" t="s">
        <v>394</v>
      </c>
      <c r="U131" s="46"/>
      <c r="V131" s="47" t="s">
        <v>14</v>
      </c>
      <c r="W131" s="45" t="s">
        <v>411</v>
      </c>
    </row>
    <row r="132">
      <c r="A132" s="69"/>
      <c r="B132" s="70"/>
      <c r="P132" s="62" t="s">
        <v>424</v>
      </c>
      <c r="Q132" s="62" t="s">
        <v>423</v>
      </c>
      <c r="R132" s="62" t="s">
        <v>393</v>
      </c>
      <c r="S132" s="62" t="s">
        <v>425</v>
      </c>
      <c r="T132" s="62" t="s">
        <v>425</v>
      </c>
      <c r="U132" s="62" t="s">
        <v>130</v>
      </c>
      <c r="V132" s="61" t="s">
        <v>13</v>
      </c>
      <c r="W132" s="62" t="s">
        <v>426</v>
      </c>
    </row>
    <row r="133">
      <c r="A133" s="74"/>
      <c r="B133" s="73"/>
      <c r="P133" s="60" t="s">
        <v>427</v>
      </c>
      <c r="Q133" s="60" t="s">
        <v>428</v>
      </c>
      <c r="R133" s="60" t="s">
        <v>393</v>
      </c>
      <c r="S133" s="60" t="s">
        <v>394</v>
      </c>
      <c r="T133" s="60" t="s">
        <v>394</v>
      </c>
      <c r="U133" s="60" t="s">
        <v>130</v>
      </c>
      <c r="V133" s="61" t="s">
        <v>13</v>
      </c>
      <c r="W133" s="60" t="s">
        <v>395</v>
      </c>
    </row>
    <row r="134">
      <c r="A134" s="72"/>
      <c r="B134" s="73"/>
      <c r="P134" s="62" t="s">
        <v>429</v>
      </c>
      <c r="Q134" s="62" t="s">
        <v>428</v>
      </c>
      <c r="R134" s="62" t="s">
        <v>393</v>
      </c>
      <c r="S134" s="62" t="s">
        <v>394</v>
      </c>
      <c r="T134" s="62" t="s">
        <v>394</v>
      </c>
      <c r="U134" s="62" t="s">
        <v>130</v>
      </c>
      <c r="V134" s="61" t="s">
        <v>13</v>
      </c>
      <c r="W134" s="62" t="s">
        <v>395</v>
      </c>
    </row>
    <row r="135">
      <c r="A135" s="74"/>
      <c r="B135" s="73"/>
      <c r="P135" s="60" t="s">
        <v>430</v>
      </c>
      <c r="Q135" s="60" t="s">
        <v>431</v>
      </c>
      <c r="R135" s="60" t="s">
        <v>393</v>
      </c>
      <c r="S135" s="60" t="s">
        <v>394</v>
      </c>
      <c r="T135" s="60" t="s">
        <v>394</v>
      </c>
      <c r="U135" s="60" t="s">
        <v>130</v>
      </c>
      <c r="V135" s="61" t="s">
        <v>13</v>
      </c>
      <c r="W135" s="60" t="s">
        <v>395</v>
      </c>
    </row>
    <row r="136">
      <c r="A136" s="72"/>
      <c r="B136" s="73"/>
      <c r="P136" s="62" t="s">
        <v>432</v>
      </c>
      <c r="Q136" s="62" t="s">
        <v>431</v>
      </c>
      <c r="R136" s="62" t="s">
        <v>393</v>
      </c>
      <c r="S136" s="62" t="s">
        <v>394</v>
      </c>
      <c r="T136" s="62" t="s">
        <v>394</v>
      </c>
      <c r="U136" s="62" t="s">
        <v>130</v>
      </c>
      <c r="V136" s="61" t="s">
        <v>13</v>
      </c>
      <c r="W136" s="62" t="s">
        <v>395</v>
      </c>
    </row>
    <row r="137">
      <c r="A137" s="74"/>
      <c r="B137" s="73"/>
      <c r="P137" s="60" t="s">
        <v>433</v>
      </c>
      <c r="Q137" s="60" t="s">
        <v>434</v>
      </c>
      <c r="R137" s="60" t="s">
        <v>393</v>
      </c>
      <c r="S137" s="60" t="s">
        <v>435</v>
      </c>
      <c r="T137" s="60" t="s">
        <v>435</v>
      </c>
      <c r="U137" s="60" t="s">
        <v>130</v>
      </c>
      <c r="V137" s="61" t="s">
        <v>13</v>
      </c>
      <c r="W137" s="60" t="s">
        <v>436</v>
      </c>
    </row>
    <row r="138">
      <c r="A138" s="72"/>
      <c r="B138" s="73"/>
      <c r="P138" s="62" t="s">
        <v>437</v>
      </c>
      <c r="Q138" s="62" t="s">
        <v>397</v>
      </c>
      <c r="R138" s="62" t="s">
        <v>393</v>
      </c>
      <c r="S138" s="62" t="s">
        <v>398</v>
      </c>
      <c r="T138" s="62" t="s">
        <v>398</v>
      </c>
      <c r="U138" s="62" t="s">
        <v>130</v>
      </c>
      <c r="V138" s="61" t="s">
        <v>13</v>
      </c>
      <c r="W138" s="62" t="s">
        <v>399</v>
      </c>
    </row>
    <row r="139">
      <c r="A139" s="71"/>
      <c r="B139" s="70"/>
      <c r="P139" s="60" t="s">
        <v>438</v>
      </c>
      <c r="Q139" s="60" t="s">
        <v>345</v>
      </c>
      <c r="R139" s="60" t="s">
        <v>439</v>
      </c>
      <c r="S139" s="60" t="s">
        <v>440</v>
      </c>
      <c r="T139" s="60" t="s">
        <v>440</v>
      </c>
      <c r="U139" s="60" t="s">
        <v>130</v>
      </c>
      <c r="V139" s="61" t="s">
        <v>13</v>
      </c>
      <c r="W139" s="60" t="s">
        <v>441</v>
      </c>
    </row>
    <row r="140">
      <c r="A140" s="69"/>
      <c r="B140" s="70"/>
      <c r="P140" s="48" t="s">
        <v>442</v>
      </c>
      <c r="Q140" s="48" t="s">
        <v>443</v>
      </c>
      <c r="R140" s="48" t="s">
        <v>444</v>
      </c>
      <c r="S140" s="48" t="s">
        <v>445</v>
      </c>
      <c r="T140" s="48" t="s">
        <v>445</v>
      </c>
      <c r="U140" s="48" t="s">
        <v>89</v>
      </c>
      <c r="V140" s="47" t="s">
        <v>14</v>
      </c>
      <c r="W140" s="48" t="s">
        <v>446</v>
      </c>
    </row>
    <row r="141">
      <c r="A141" s="76"/>
      <c r="B141" s="73"/>
      <c r="P141" s="45" t="s">
        <v>447</v>
      </c>
      <c r="Q141" s="45" t="s">
        <v>448</v>
      </c>
      <c r="R141" s="45" t="s">
        <v>444</v>
      </c>
      <c r="S141" s="45" t="s">
        <v>445</v>
      </c>
      <c r="T141" s="45" t="s">
        <v>445</v>
      </c>
      <c r="U141" s="46"/>
      <c r="V141" s="47" t="s">
        <v>14</v>
      </c>
      <c r="W141" s="45" t="s">
        <v>446</v>
      </c>
    </row>
    <row r="142">
      <c r="A142" s="75"/>
      <c r="B142" s="73"/>
      <c r="P142" s="48" t="s">
        <v>449</v>
      </c>
      <c r="Q142" s="48" t="s">
        <v>448</v>
      </c>
      <c r="R142" s="48" t="s">
        <v>444</v>
      </c>
      <c r="S142" s="48" t="s">
        <v>445</v>
      </c>
      <c r="T142" s="48" t="s">
        <v>445</v>
      </c>
      <c r="U142" s="48" t="s">
        <v>89</v>
      </c>
      <c r="V142" s="47" t="s">
        <v>14</v>
      </c>
      <c r="W142" s="48" t="s">
        <v>446</v>
      </c>
    </row>
    <row r="143">
      <c r="A143" s="76"/>
      <c r="B143" s="73"/>
      <c r="P143" s="45" t="s">
        <v>450</v>
      </c>
      <c r="Q143" s="45" t="s">
        <v>448</v>
      </c>
      <c r="R143" s="45" t="s">
        <v>444</v>
      </c>
      <c r="S143" s="45" t="s">
        <v>445</v>
      </c>
      <c r="T143" s="45" t="s">
        <v>445</v>
      </c>
      <c r="U143" s="46"/>
      <c r="V143" s="47" t="s">
        <v>14</v>
      </c>
      <c r="W143" s="45" t="s">
        <v>446</v>
      </c>
    </row>
    <row r="144">
      <c r="A144" s="75"/>
      <c r="B144" s="73"/>
      <c r="P144" s="48" t="s">
        <v>451</v>
      </c>
      <c r="Q144" s="48" t="s">
        <v>448</v>
      </c>
      <c r="R144" s="48" t="s">
        <v>444</v>
      </c>
      <c r="S144" s="48" t="s">
        <v>445</v>
      </c>
      <c r="T144" s="48" t="s">
        <v>445</v>
      </c>
      <c r="U144" s="48" t="s">
        <v>89</v>
      </c>
      <c r="V144" s="47" t="s">
        <v>14</v>
      </c>
      <c r="W144" s="48" t="s">
        <v>446</v>
      </c>
    </row>
    <row r="145">
      <c r="A145" s="71"/>
      <c r="B145" s="70"/>
      <c r="P145" s="60" t="s">
        <v>452</v>
      </c>
      <c r="Q145" s="60" t="s">
        <v>453</v>
      </c>
      <c r="R145" s="60" t="s">
        <v>444</v>
      </c>
      <c r="S145" s="60" t="s">
        <v>454</v>
      </c>
      <c r="T145" s="60" t="s">
        <v>454</v>
      </c>
      <c r="U145" s="63"/>
      <c r="V145" s="61" t="s">
        <v>13</v>
      </c>
      <c r="W145" s="60" t="s">
        <v>455</v>
      </c>
    </row>
    <row r="146">
      <c r="A146" s="69"/>
      <c r="B146" s="70"/>
      <c r="P146" s="62" t="s">
        <v>456</v>
      </c>
      <c r="Q146" s="62" t="s">
        <v>457</v>
      </c>
      <c r="R146" s="62" t="s">
        <v>458</v>
      </c>
      <c r="S146" s="62" t="s">
        <v>459</v>
      </c>
      <c r="T146" s="62" t="s">
        <v>459</v>
      </c>
      <c r="U146" s="64"/>
      <c r="V146" s="61" t="s">
        <v>13</v>
      </c>
      <c r="W146" s="62" t="s">
        <v>460</v>
      </c>
    </row>
    <row r="147">
      <c r="A147" s="74"/>
      <c r="B147" s="73"/>
      <c r="P147" s="60" t="s">
        <v>461</v>
      </c>
      <c r="Q147" s="60" t="s">
        <v>457</v>
      </c>
      <c r="R147" s="60" t="s">
        <v>458</v>
      </c>
      <c r="S147" s="60" t="s">
        <v>459</v>
      </c>
      <c r="T147" s="60" t="s">
        <v>459</v>
      </c>
      <c r="U147" s="63"/>
      <c r="V147" s="61" t="s">
        <v>13</v>
      </c>
      <c r="W147" s="60" t="s">
        <v>460</v>
      </c>
    </row>
    <row r="148">
      <c r="A148" s="72"/>
      <c r="B148" s="73"/>
      <c r="P148" s="62" t="s">
        <v>462</v>
      </c>
      <c r="Q148" s="62" t="s">
        <v>457</v>
      </c>
      <c r="R148" s="62" t="s">
        <v>458</v>
      </c>
      <c r="S148" s="62" t="s">
        <v>459</v>
      </c>
      <c r="T148" s="62" t="s">
        <v>459</v>
      </c>
      <c r="U148" s="64"/>
      <c r="V148" s="61" t="s">
        <v>13</v>
      </c>
      <c r="W148" s="62" t="s">
        <v>460</v>
      </c>
    </row>
    <row r="149">
      <c r="A149" s="74"/>
      <c r="B149" s="73"/>
      <c r="P149" s="60" t="s">
        <v>463</v>
      </c>
      <c r="Q149" s="60" t="s">
        <v>457</v>
      </c>
      <c r="R149" s="60" t="s">
        <v>458</v>
      </c>
      <c r="S149" s="60" t="s">
        <v>459</v>
      </c>
      <c r="T149" s="60" t="s">
        <v>459</v>
      </c>
      <c r="U149" s="63"/>
      <c r="V149" s="61" t="s">
        <v>13</v>
      </c>
      <c r="W149" s="60" t="s">
        <v>460</v>
      </c>
    </row>
    <row r="150">
      <c r="A150" s="72"/>
      <c r="B150" s="73"/>
      <c r="P150" s="62" t="s">
        <v>464</v>
      </c>
      <c r="Q150" s="62" t="s">
        <v>457</v>
      </c>
      <c r="R150" s="62" t="s">
        <v>458</v>
      </c>
      <c r="S150" s="62" t="s">
        <v>459</v>
      </c>
      <c r="T150" s="62" t="s">
        <v>459</v>
      </c>
      <c r="U150" s="64"/>
      <c r="V150" s="61" t="s">
        <v>13</v>
      </c>
      <c r="W150" s="62" t="s">
        <v>460</v>
      </c>
    </row>
    <row r="151">
      <c r="A151" s="74"/>
      <c r="B151" s="73"/>
      <c r="P151" s="60" t="s">
        <v>465</v>
      </c>
      <c r="Q151" s="60" t="s">
        <v>457</v>
      </c>
      <c r="R151" s="60" t="s">
        <v>458</v>
      </c>
      <c r="S151" s="60" t="s">
        <v>459</v>
      </c>
      <c r="T151" s="60" t="s">
        <v>459</v>
      </c>
      <c r="U151" s="63"/>
      <c r="V151" s="61" t="s">
        <v>13</v>
      </c>
      <c r="W151" s="60" t="s">
        <v>460</v>
      </c>
    </row>
    <row r="152">
      <c r="A152" s="72"/>
      <c r="B152" s="73"/>
      <c r="P152" s="48" t="s">
        <v>466</v>
      </c>
      <c r="Q152" s="48" t="s">
        <v>467</v>
      </c>
      <c r="R152" s="48" t="s">
        <v>458</v>
      </c>
      <c r="S152" s="48" t="s">
        <v>468</v>
      </c>
      <c r="T152" s="48" t="s">
        <v>468</v>
      </c>
      <c r="U152" s="49"/>
      <c r="V152" s="47" t="s">
        <v>14</v>
      </c>
      <c r="W152" s="48" t="s">
        <v>469</v>
      </c>
    </row>
    <row r="153">
      <c r="A153" s="76"/>
      <c r="B153" s="73"/>
      <c r="P153" s="45" t="s">
        <v>470</v>
      </c>
      <c r="Q153" s="45" t="s">
        <v>471</v>
      </c>
      <c r="R153" s="45" t="s">
        <v>472</v>
      </c>
      <c r="S153" s="45" t="s">
        <v>473</v>
      </c>
      <c r="T153" s="45" t="s">
        <v>473</v>
      </c>
      <c r="U153" s="46"/>
      <c r="V153" s="47" t="s">
        <v>14</v>
      </c>
      <c r="W153" s="45" t="s">
        <v>474</v>
      </c>
    </row>
    <row r="154">
      <c r="A154" s="69"/>
      <c r="B154" s="70"/>
      <c r="P154" s="48" t="s">
        <v>475</v>
      </c>
      <c r="Q154" s="48" t="s">
        <v>476</v>
      </c>
      <c r="R154" s="48" t="s">
        <v>472</v>
      </c>
      <c r="S154" s="48" t="s">
        <v>477</v>
      </c>
      <c r="T154" s="48" t="s">
        <v>477</v>
      </c>
      <c r="U154" s="49"/>
      <c r="V154" s="47" t="s">
        <v>14</v>
      </c>
      <c r="W154" s="48" t="s">
        <v>478</v>
      </c>
    </row>
    <row r="155">
      <c r="A155" s="74"/>
      <c r="B155" s="73"/>
      <c r="P155" s="45" t="s">
        <v>479</v>
      </c>
      <c r="Q155" s="45" t="s">
        <v>480</v>
      </c>
      <c r="R155" s="45" t="s">
        <v>481</v>
      </c>
      <c r="S155" s="45" t="s">
        <v>482</v>
      </c>
      <c r="T155" s="45" t="s">
        <v>482</v>
      </c>
      <c r="U155" s="45" t="s">
        <v>130</v>
      </c>
      <c r="V155" s="47" t="s">
        <v>14</v>
      </c>
      <c r="W155" s="45" t="s">
        <v>483</v>
      </c>
    </row>
    <row r="156">
      <c r="A156" s="72"/>
      <c r="B156" s="73"/>
      <c r="P156" s="48" t="s">
        <v>484</v>
      </c>
      <c r="Q156" s="48" t="s">
        <v>453</v>
      </c>
      <c r="R156" s="48" t="s">
        <v>472</v>
      </c>
      <c r="S156" s="48" t="s">
        <v>473</v>
      </c>
      <c r="T156" s="48" t="s">
        <v>473</v>
      </c>
      <c r="U156" s="49"/>
      <c r="V156" s="47" t="s">
        <v>14</v>
      </c>
      <c r="W156" s="48" t="s">
        <v>474</v>
      </c>
    </row>
    <row r="157">
      <c r="A157" s="71"/>
      <c r="B157" s="70"/>
      <c r="P157" s="45" t="s">
        <v>485</v>
      </c>
      <c r="Q157" s="45" t="s">
        <v>453</v>
      </c>
      <c r="R157" s="45" t="s">
        <v>472</v>
      </c>
      <c r="S157" s="45" t="s">
        <v>473</v>
      </c>
      <c r="T157" s="45" t="s">
        <v>473</v>
      </c>
      <c r="U157" s="45" t="s">
        <v>130</v>
      </c>
      <c r="V157" s="47" t="s">
        <v>14</v>
      </c>
      <c r="W157" s="45" t="s">
        <v>474</v>
      </c>
    </row>
    <row r="158">
      <c r="A158" s="69"/>
      <c r="B158" s="70"/>
      <c r="P158" s="62" t="s">
        <v>486</v>
      </c>
      <c r="Q158" s="62" t="s">
        <v>453</v>
      </c>
      <c r="R158" s="62" t="s">
        <v>472</v>
      </c>
      <c r="S158" s="62" t="s">
        <v>487</v>
      </c>
      <c r="T158" s="62" t="s">
        <v>487</v>
      </c>
      <c r="U158" s="64"/>
      <c r="V158" s="61" t="s">
        <v>13</v>
      </c>
      <c r="W158" s="62" t="s">
        <v>488</v>
      </c>
    </row>
    <row r="159">
      <c r="A159" s="71"/>
      <c r="B159" s="70"/>
      <c r="P159" s="45" t="s">
        <v>489</v>
      </c>
      <c r="Q159" s="45" t="s">
        <v>453</v>
      </c>
      <c r="R159" s="45" t="s">
        <v>472</v>
      </c>
      <c r="S159" s="45" t="s">
        <v>473</v>
      </c>
      <c r="T159" s="45" t="s">
        <v>473</v>
      </c>
      <c r="U159" s="46"/>
      <c r="V159" s="47" t="s">
        <v>14</v>
      </c>
      <c r="W159" s="45" t="s">
        <v>474</v>
      </c>
    </row>
    <row r="160">
      <c r="A160" s="69"/>
      <c r="B160" s="70"/>
      <c r="P160" s="62" t="s">
        <v>490</v>
      </c>
      <c r="Q160" s="62" t="s">
        <v>491</v>
      </c>
      <c r="R160" s="62" t="s">
        <v>481</v>
      </c>
      <c r="S160" s="62" t="s">
        <v>492</v>
      </c>
      <c r="T160" s="62" t="s">
        <v>492</v>
      </c>
      <c r="U160" s="62" t="s">
        <v>130</v>
      </c>
      <c r="V160" s="61" t="s">
        <v>13</v>
      </c>
      <c r="W160" s="62" t="s">
        <v>493</v>
      </c>
    </row>
    <row r="161">
      <c r="A161" s="71"/>
      <c r="B161" s="70"/>
      <c r="P161" s="60" t="s">
        <v>494</v>
      </c>
      <c r="Q161" s="60" t="s">
        <v>491</v>
      </c>
      <c r="R161" s="60" t="s">
        <v>481</v>
      </c>
      <c r="S161" s="60" t="s">
        <v>492</v>
      </c>
      <c r="T161" s="60" t="s">
        <v>492</v>
      </c>
      <c r="U161" s="60" t="s">
        <v>130</v>
      </c>
      <c r="V161" s="61" t="s">
        <v>13</v>
      </c>
      <c r="W161" s="60" t="s">
        <v>493</v>
      </c>
    </row>
    <row r="162">
      <c r="A162" s="69"/>
      <c r="B162" s="70"/>
      <c r="P162" s="62" t="s">
        <v>495</v>
      </c>
      <c r="Q162" s="62" t="s">
        <v>491</v>
      </c>
      <c r="R162" s="62" t="s">
        <v>481</v>
      </c>
      <c r="S162" s="62" t="s">
        <v>492</v>
      </c>
      <c r="T162" s="62" t="s">
        <v>492</v>
      </c>
      <c r="U162" s="62" t="s">
        <v>89</v>
      </c>
      <c r="V162" s="61" t="s">
        <v>13</v>
      </c>
      <c r="W162" s="62" t="s">
        <v>493</v>
      </c>
    </row>
    <row r="163">
      <c r="A163" s="71"/>
      <c r="B163" s="70"/>
      <c r="P163" s="60" t="s">
        <v>496</v>
      </c>
      <c r="Q163" s="60" t="s">
        <v>491</v>
      </c>
      <c r="R163" s="60" t="s">
        <v>481</v>
      </c>
      <c r="S163" s="60" t="s">
        <v>492</v>
      </c>
      <c r="T163" s="60" t="s">
        <v>492</v>
      </c>
      <c r="U163" s="63"/>
      <c r="V163" s="61" t="s">
        <v>13</v>
      </c>
      <c r="W163" s="60" t="s">
        <v>493</v>
      </c>
    </row>
    <row r="164">
      <c r="A164" s="69"/>
      <c r="B164" s="70"/>
      <c r="P164" s="62" t="s">
        <v>497</v>
      </c>
      <c r="Q164" s="62" t="s">
        <v>491</v>
      </c>
      <c r="R164" s="62" t="s">
        <v>481</v>
      </c>
      <c r="S164" s="62" t="s">
        <v>492</v>
      </c>
      <c r="T164" s="62" t="s">
        <v>492</v>
      </c>
      <c r="U164" s="62" t="s">
        <v>89</v>
      </c>
      <c r="V164" s="61" t="s">
        <v>13</v>
      </c>
      <c r="W164" s="62" t="s">
        <v>493</v>
      </c>
    </row>
    <row r="165">
      <c r="A165" s="71"/>
      <c r="B165" s="70"/>
      <c r="P165" s="60" t="s">
        <v>498</v>
      </c>
      <c r="Q165" s="60" t="s">
        <v>491</v>
      </c>
      <c r="R165" s="60" t="s">
        <v>481</v>
      </c>
      <c r="S165" s="60" t="s">
        <v>492</v>
      </c>
      <c r="T165" s="60" t="s">
        <v>492</v>
      </c>
      <c r="U165" s="63"/>
      <c r="V165" s="61" t="s">
        <v>13</v>
      </c>
      <c r="W165" s="60" t="s">
        <v>493</v>
      </c>
    </row>
    <row r="166">
      <c r="A166" s="69"/>
      <c r="B166" s="70"/>
      <c r="P166" s="62" t="s">
        <v>499</v>
      </c>
      <c r="Q166" s="62" t="s">
        <v>491</v>
      </c>
      <c r="R166" s="62" t="s">
        <v>481</v>
      </c>
      <c r="S166" s="62" t="s">
        <v>492</v>
      </c>
      <c r="T166" s="62" t="s">
        <v>492</v>
      </c>
      <c r="U166" s="64"/>
      <c r="V166" s="61" t="s">
        <v>13</v>
      </c>
      <c r="W166" s="62" t="s">
        <v>493</v>
      </c>
    </row>
    <row r="167">
      <c r="A167" s="71"/>
      <c r="B167" s="70"/>
      <c r="P167" s="60" t="s">
        <v>500</v>
      </c>
      <c r="Q167" s="60" t="s">
        <v>491</v>
      </c>
      <c r="R167" s="60" t="s">
        <v>481</v>
      </c>
      <c r="S167" s="60" t="s">
        <v>492</v>
      </c>
      <c r="T167" s="60" t="s">
        <v>492</v>
      </c>
      <c r="U167" s="63"/>
      <c r="V167" s="61" t="s">
        <v>13</v>
      </c>
      <c r="W167" s="60" t="s">
        <v>493</v>
      </c>
    </row>
    <row r="168">
      <c r="A168" s="69"/>
      <c r="B168" s="70"/>
      <c r="P168" s="48" t="s">
        <v>501</v>
      </c>
      <c r="Q168" s="48" t="s">
        <v>502</v>
      </c>
      <c r="R168" s="48" t="s">
        <v>472</v>
      </c>
      <c r="S168" s="48" t="s">
        <v>503</v>
      </c>
      <c r="T168" s="48" t="s">
        <v>503</v>
      </c>
      <c r="U168" s="49"/>
      <c r="V168" s="47" t="s">
        <v>14</v>
      </c>
      <c r="W168" s="48" t="s">
        <v>504</v>
      </c>
    </row>
    <row r="169">
      <c r="A169" s="71"/>
      <c r="B169" s="70"/>
      <c r="P169" s="60" t="s">
        <v>505</v>
      </c>
      <c r="Q169" s="60" t="s">
        <v>506</v>
      </c>
      <c r="R169" s="60" t="s">
        <v>472</v>
      </c>
      <c r="S169" s="60" t="s">
        <v>507</v>
      </c>
      <c r="T169" s="60" t="s">
        <v>507</v>
      </c>
      <c r="U169" s="63"/>
      <c r="V169" s="61" t="s">
        <v>13</v>
      </c>
      <c r="W169" s="60" t="s">
        <v>508</v>
      </c>
    </row>
    <row r="170">
      <c r="A170" s="69"/>
      <c r="B170" s="70"/>
      <c r="P170" s="62" t="s">
        <v>509</v>
      </c>
      <c r="Q170" s="62" t="s">
        <v>506</v>
      </c>
      <c r="R170" s="62" t="s">
        <v>472</v>
      </c>
      <c r="S170" s="62" t="s">
        <v>507</v>
      </c>
      <c r="T170" s="62" t="s">
        <v>507</v>
      </c>
      <c r="U170" s="64"/>
      <c r="V170" s="61" t="s">
        <v>13</v>
      </c>
      <c r="W170" s="62" t="s">
        <v>508</v>
      </c>
    </row>
    <row r="171">
      <c r="A171" s="71"/>
      <c r="B171" s="70"/>
      <c r="P171" s="60" t="s">
        <v>510</v>
      </c>
      <c r="Q171" s="60" t="s">
        <v>506</v>
      </c>
      <c r="R171" s="60" t="s">
        <v>472</v>
      </c>
      <c r="S171" s="60" t="s">
        <v>507</v>
      </c>
      <c r="T171" s="60" t="s">
        <v>507</v>
      </c>
      <c r="U171" s="63"/>
      <c r="V171" s="61" t="s">
        <v>13</v>
      </c>
      <c r="W171" s="60" t="s">
        <v>508</v>
      </c>
    </row>
    <row r="172">
      <c r="A172" s="72"/>
      <c r="B172" s="73"/>
      <c r="P172" s="62" t="s">
        <v>511</v>
      </c>
      <c r="Q172" s="62" t="s">
        <v>506</v>
      </c>
      <c r="R172" s="62" t="s">
        <v>472</v>
      </c>
      <c r="S172" s="62" t="s">
        <v>507</v>
      </c>
      <c r="T172" s="62" t="s">
        <v>507</v>
      </c>
      <c r="U172" s="64"/>
      <c r="V172" s="61" t="s">
        <v>13</v>
      </c>
      <c r="W172" s="62" t="s">
        <v>508</v>
      </c>
    </row>
    <row r="173">
      <c r="A173" s="71"/>
      <c r="B173" s="70"/>
      <c r="P173" s="60" t="s">
        <v>512</v>
      </c>
      <c r="Q173" s="60" t="s">
        <v>506</v>
      </c>
      <c r="R173" s="60" t="s">
        <v>472</v>
      </c>
      <c r="S173" s="60" t="s">
        <v>507</v>
      </c>
      <c r="T173" s="60" t="s">
        <v>507</v>
      </c>
      <c r="U173" s="63"/>
      <c r="V173" s="61" t="s">
        <v>13</v>
      </c>
      <c r="W173" s="60" t="s">
        <v>508</v>
      </c>
    </row>
    <row r="174">
      <c r="A174" s="72"/>
      <c r="B174" s="73"/>
      <c r="P174" s="62" t="s">
        <v>513</v>
      </c>
      <c r="Q174" s="62" t="s">
        <v>506</v>
      </c>
      <c r="R174" s="62" t="s">
        <v>472</v>
      </c>
      <c r="S174" s="62" t="s">
        <v>507</v>
      </c>
      <c r="T174" s="62" t="s">
        <v>507</v>
      </c>
      <c r="U174" s="64"/>
      <c r="V174" s="61" t="s">
        <v>13</v>
      </c>
      <c r="W174" s="62" t="s">
        <v>508</v>
      </c>
    </row>
    <row r="175">
      <c r="A175" s="71"/>
      <c r="B175" s="70"/>
      <c r="P175" s="45" t="s">
        <v>514</v>
      </c>
      <c r="Q175" s="45" t="s">
        <v>453</v>
      </c>
      <c r="R175" s="45" t="s">
        <v>472</v>
      </c>
      <c r="S175" s="45" t="s">
        <v>473</v>
      </c>
      <c r="T175" s="45" t="s">
        <v>473</v>
      </c>
      <c r="U175" s="46"/>
      <c r="V175" s="47" t="s">
        <v>14</v>
      </c>
      <c r="W175" s="45" t="s">
        <v>474</v>
      </c>
    </row>
    <row r="176">
      <c r="A176" s="69"/>
      <c r="B176" s="70"/>
      <c r="P176" s="62" t="s">
        <v>515</v>
      </c>
      <c r="Q176" s="62" t="s">
        <v>516</v>
      </c>
      <c r="R176" s="62" t="s">
        <v>481</v>
      </c>
      <c r="S176" s="62" t="s">
        <v>492</v>
      </c>
      <c r="T176" s="62" t="s">
        <v>492</v>
      </c>
      <c r="U176" s="64"/>
      <c r="V176" s="61" t="s">
        <v>13</v>
      </c>
      <c r="W176" s="62" t="s">
        <v>493</v>
      </c>
    </row>
    <row r="177">
      <c r="A177" s="71"/>
      <c r="B177" s="70"/>
      <c r="P177" s="60" t="s">
        <v>517</v>
      </c>
      <c r="Q177" s="60" t="s">
        <v>516</v>
      </c>
      <c r="R177" s="60" t="s">
        <v>481</v>
      </c>
      <c r="S177" s="60" t="s">
        <v>492</v>
      </c>
      <c r="T177" s="60" t="s">
        <v>492</v>
      </c>
      <c r="U177" s="60" t="s">
        <v>130</v>
      </c>
      <c r="V177" s="61" t="s">
        <v>13</v>
      </c>
      <c r="W177" s="60" t="s">
        <v>493</v>
      </c>
    </row>
    <row r="178">
      <c r="A178" s="69"/>
      <c r="B178" s="70"/>
      <c r="P178" s="62" t="s">
        <v>518</v>
      </c>
      <c r="Q178" s="62" t="s">
        <v>516</v>
      </c>
      <c r="R178" s="62" t="s">
        <v>481</v>
      </c>
      <c r="S178" s="62" t="s">
        <v>492</v>
      </c>
      <c r="T178" s="62" t="s">
        <v>492</v>
      </c>
      <c r="U178" s="64"/>
      <c r="V178" s="61" t="s">
        <v>13</v>
      </c>
      <c r="W178" s="62" t="s">
        <v>493</v>
      </c>
    </row>
    <row r="179">
      <c r="A179" s="71"/>
      <c r="B179" s="70"/>
      <c r="P179" s="60" t="s">
        <v>519</v>
      </c>
      <c r="Q179" s="60" t="s">
        <v>516</v>
      </c>
      <c r="R179" s="60" t="s">
        <v>481</v>
      </c>
      <c r="S179" s="60" t="s">
        <v>492</v>
      </c>
      <c r="T179" s="60" t="s">
        <v>492</v>
      </c>
      <c r="U179" s="60" t="s">
        <v>89</v>
      </c>
      <c r="V179" s="61" t="s">
        <v>13</v>
      </c>
      <c r="W179" s="60" t="s">
        <v>493</v>
      </c>
    </row>
    <row r="180">
      <c r="A180" s="69"/>
      <c r="B180" s="70"/>
      <c r="P180" s="62" t="s">
        <v>520</v>
      </c>
      <c r="Q180" s="62" t="s">
        <v>516</v>
      </c>
      <c r="R180" s="62" t="s">
        <v>481</v>
      </c>
      <c r="S180" s="62" t="s">
        <v>492</v>
      </c>
      <c r="T180" s="62" t="s">
        <v>492</v>
      </c>
      <c r="U180" s="62" t="s">
        <v>130</v>
      </c>
      <c r="V180" s="61" t="s">
        <v>13</v>
      </c>
      <c r="W180" s="62" t="s">
        <v>493</v>
      </c>
    </row>
    <row r="181">
      <c r="A181" s="71"/>
      <c r="B181" s="70"/>
      <c r="P181" s="60" t="s">
        <v>521</v>
      </c>
      <c r="Q181" s="60" t="s">
        <v>516</v>
      </c>
      <c r="R181" s="60" t="s">
        <v>481</v>
      </c>
      <c r="S181" s="60" t="s">
        <v>492</v>
      </c>
      <c r="T181" s="60" t="s">
        <v>492</v>
      </c>
      <c r="U181" s="63"/>
      <c r="V181" s="61" t="s">
        <v>13</v>
      </c>
      <c r="W181" s="60" t="s">
        <v>493</v>
      </c>
    </row>
    <row r="182">
      <c r="A182" s="72"/>
      <c r="B182" s="73"/>
      <c r="P182" s="62" t="s">
        <v>522</v>
      </c>
      <c r="Q182" s="62" t="s">
        <v>516</v>
      </c>
      <c r="R182" s="62" t="s">
        <v>481</v>
      </c>
      <c r="S182" s="62" t="s">
        <v>492</v>
      </c>
      <c r="T182" s="62" t="s">
        <v>492</v>
      </c>
      <c r="U182" s="64"/>
      <c r="V182" s="61" t="s">
        <v>13</v>
      </c>
      <c r="W182" s="62" t="s">
        <v>493</v>
      </c>
    </row>
    <row r="183">
      <c r="A183" s="74"/>
      <c r="B183" s="73"/>
      <c r="P183" s="60" t="s">
        <v>523</v>
      </c>
      <c r="Q183" s="60" t="s">
        <v>516</v>
      </c>
      <c r="R183" s="60" t="s">
        <v>481</v>
      </c>
      <c r="S183" s="60" t="s">
        <v>492</v>
      </c>
      <c r="T183" s="60" t="s">
        <v>492</v>
      </c>
      <c r="U183" s="63"/>
      <c r="V183" s="61" t="s">
        <v>13</v>
      </c>
      <c r="W183" s="60" t="s">
        <v>493</v>
      </c>
    </row>
    <row r="184">
      <c r="A184" s="72"/>
      <c r="B184" s="73"/>
      <c r="P184" s="62" t="s">
        <v>524</v>
      </c>
      <c r="Q184" s="62" t="s">
        <v>516</v>
      </c>
      <c r="R184" s="62" t="s">
        <v>481</v>
      </c>
      <c r="S184" s="62" t="s">
        <v>492</v>
      </c>
      <c r="T184" s="62" t="s">
        <v>492</v>
      </c>
      <c r="U184" s="64"/>
      <c r="V184" s="61" t="s">
        <v>13</v>
      </c>
      <c r="W184" s="62" t="s">
        <v>493</v>
      </c>
    </row>
    <row r="185">
      <c r="A185" s="74"/>
      <c r="B185" s="73"/>
      <c r="P185" s="60" t="s">
        <v>525</v>
      </c>
      <c r="Q185" s="60" t="s">
        <v>526</v>
      </c>
      <c r="R185" s="60" t="s">
        <v>481</v>
      </c>
      <c r="S185" s="60" t="s">
        <v>492</v>
      </c>
      <c r="T185" s="60" t="s">
        <v>492</v>
      </c>
      <c r="U185" s="63"/>
      <c r="V185" s="61" t="s">
        <v>13</v>
      </c>
      <c r="W185" s="60" t="s">
        <v>527</v>
      </c>
    </row>
    <row r="186">
      <c r="A186" s="72"/>
      <c r="B186" s="73"/>
      <c r="P186" s="62" t="s">
        <v>528</v>
      </c>
      <c r="Q186" s="62" t="s">
        <v>526</v>
      </c>
      <c r="R186" s="62" t="s">
        <v>481</v>
      </c>
      <c r="S186" s="62" t="s">
        <v>492</v>
      </c>
      <c r="T186" s="62" t="s">
        <v>492</v>
      </c>
      <c r="U186" s="62" t="s">
        <v>89</v>
      </c>
      <c r="V186" s="61" t="s">
        <v>13</v>
      </c>
      <c r="W186" s="62" t="s">
        <v>527</v>
      </c>
    </row>
    <row r="187">
      <c r="A187" s="74"/>
      <c r="B187" s="73"/>
      <c r="P187" s="60" t="s">
        <v>529</v>
      </c>
      <c r="Q187" s="60" t="s">
        <v>526</v>
      </c>
      <c r="R187" s="60" t="s">
        <v>481</v>
      </c>
      <c r="S187" s="60" t="s">
        <v>492</v>
      </c>
      <c r="T187" s="60" t="s">
        <v>492</v>
      </c>
      <c r="U187" s="60" t="s">
        <v>130</v>
      </c>
      <c r="V187" s="61" t="s">
        <v>13</v>
      </c>
      <c r="W187" s="60" t="s">
        <v>527</v>
      </c>
    </row>
    <row r="188">
      <c r="A188" s="69"/>
      <c r="B188" s="70"/>
      <c r="P188" s="62" t="s">
        <v>530</v>
      </c>
      <c r="Q188" s="62" t="s">
        <v>526</v>
      </c>
      <c r="R188" s="62" t="s">
        <v>481</v>
      </c>
      <c r="S188" s="62" t="s">
        <v>492</v>
      </c>
      <c r="T188" s="62" t="s">
        <v>492</v>
      </c>
      <c r="U188" s="62" t="s">
        <v>130</v>
      </c>
      <c r="V188" s="61" t="s">
        <v>13</v>
      </c>
      <c r="W188" s="62" t="s">
        <v>527</v>
      </c>
    </row>
    <row r="189">
      <c r="A189" s="71"/>
      <c r="B189" s="70"/>
      <c r="P189" s="60" t="s">
        <v>531</v>
      </c>
      <c r="Q189" s="60" t="s">
        <v>526</v>
      </c>
      <c r="R189" s="60" t="s">
        <v>481</v>
      </c>
      <c r="S189" s="60" t="s">
        <v>492</v>
      </c>
      <c r="T189" s="60" t="s">
        <v>492</v>
      </c>
      <c r="U189" s="60" t="s">
        <v>130</v>
      </c>
      <c r="V189" s="61" t="s">
        <v>13</v>
      </c>
      <c r="W189" s="60" t="s">
        <v>527</v>
      </c>
    </row>
    <row r="190">
      <c r="A190" s="69"/>
      <c r="B190" s="70"/>
      <c r="P190" s="62" t="s">
        <v>532</v>
      </c>
      <c r="Q190" s="62" t="s">
        <v>526</v>
      </c>
      <c r="R190" s="62" t="s">
        <v>481</v>
      </c>
      <c r="S190" s="62" t="s">
        <v>492</v>
      </c>
      <c r="T190" s="62" t="s">
        <v>492</v>
      </c>
      <c r="U190" s="62" t="s">
        <v>130</v>
      </c>
      <c r="V190" s="61" t="s">
        <v>13</v>
      </c>
      <c r="W190" s="62" t="s">
        <v>527</v>
      </c>
    </row>
    <row r="191">
      <c r="A191" s="71"/>
      <c r="B191" s="70"/>
      <c r="P191" s="45" t="s">
        <v>533</v>
      </c>
      <c r="Q191" s="45" t="s">
        <v>526</v>
      </c>
      <c r="R191" s="45" t="s">
        <v>472</v>
      </c>
      <c r="S191" s="45" t="s">
        <v>503</v>
      </c>
      <c r="T191" s="45" t="s">
        <v>503</v>
      </c>
      <c r="U191" s="46"/>
      <c r="V191" s="47" t="s">
        <v>14</v>
      </c>
      <c r="W191" s="45" t="s">
        <v>504</v>
      </c>
    </row>
    <row r="192">
      <c r="A192" s="69"/>
      <c r="B192" s="70"/>
      <c r="P192" s="62" t="s">
        <v>534</v>
      </c>
      <c r="Q192" s="62" t="s">
        <v>526</v>
      </c>
      <c r="R192" s="62" t="s">
        <v>481</v>
      </c>
      <c r="S192" s="62" t="s">
        <v>492</v>
      </c>
      <c r="T192" s="62" t="s">
        <v>492</v>
      </c>
      <c r="U192" s="62" t="s">
        <v>130</v>
      </c>
      <c r="V192" s="61" t="s">
        <v>13</v>
      </c>
      <c r="W192" s="62" t="s">
        <v>527</v>
      </c>
    </row>
    <row r="193">
      <c r="A193" s="71"/>
      <c r="B193" s="70"/>
      <c r="P193" s="45" t="s">
        <v>535</v>
      </c>
      <c r="Q193" s="45" t="s">
        <v>536</v>
      </c>
      <c r="R193" s="45" t="s">
        <v>537</v>
      </c>
      <c r="S193" s="45" t="s">
        <v>538</v>
      </c>
      <c r="T193" s="45" t="s">
        <v>538</v>
      </c>
      <c r="U193" s="45" t="s">
        <v>130</v>
      </c>
      <c r="V193" s="47" t="s">
        <v>14</v>
      </c>
      <c r="W193" s="45" t="s">
        <v>539</v>
      </c>
    </row>
    <row r="194">
      <c r="A194" s="72"/>
      <c r="B194" s="73"/>
      <c r="P194" s="48" t="s">
        <v>540</v>
      </c>
      <c r="Q194" s="48" t="s">
        <v>536</v>
      </c>
      <c r="R194" s="48" t="s">
        <v>537</v>
      </c>
      <c r="S194" s="48" t="s">
        <v>538</v>
      </c>
      <c r="T194" s="48" t="s">
        <v>538</v>
      </c>
      <c r="U194" s="48" t="s">
        <v>130</v>
      </c>
      <c r="V194" s="47" t="s">
        <v>14</v>
      </c>
      <c r="W194" s="48" t="s">
        <v>539</v>
      </c>
    </row>
    <row r="195">
      <c r="A195" s="74"/>
      <c r="B195" s="73"/>
      <c r="P195" s="60" t="s">
        <v>541</v>
      </c>
      <c r="Q195" s="60" t="s">
        <v>542</v>
      </c>
      <c r="R195" s="60" t="s">
        <v>537</v>
      </c>
      <c r="S195" s="60" t="s">
        <v>543</v>
      </c>
      <c r="T195" s="60" t="s">
        <v>543</v>
      </c>
      <c r="U195" s="63"/>
      <c r="V195" s="61" t="s">
        <v>13</v>
      </c>
      <c r="W195" s="60" t="s">
        <v>544</v>
      </c>
    </row>
    <row r="196">
      <c r="A196" s="72"/>
      <c r="B196" s="73"/>
      <c r="P196" s="62" t="s">
        <v>545</v>
      </c>
      <c r="Q196" s="62" t="s">
        <v>542</v>
      </c>
      <c r="R196" s="62" t="s">
        <v>537</v>
      </c>
      <c r="S196" s="62" t="s">
        <v>543</v>
      </c>
      <c r="T196" s="62" t="s">
        <v>543</v>
      </c>
      <c r="U196" s="64"/>
      <c r="V196" s="61" t="s">
        <v>13</v>
      </c>
      <c r="W196" s="62" t="s">
        <v>544</v>
      </c>
    </row>
    <row r="197">
      <c r="A197" s="74"/>
      <c r="B197" s="73"/>
      <c r="P197" s="60" t="s">
        <v>546</v>
      </c>
      <c r="Q197" s="60" t="s">
        <v>542</v>
      </c>
      <c r="R197" s="60" t="s">
        <v>537</v>
      </c>
      <c r="S197" s="60" t="s">
        <v>543</v>
      </c>
      <c r="T197" s="60" t="s">
        <v>543</v>
      </c>
      <c r="U197" s="63"/>
      <c r="V197" s="61" t="s">
        <v>13</v>
      </c>
      <c r="W197" s="60" t="s">
        <v>544</v>
      </c>
    </row>
    <row r="198">
      <c r="A198" s="72"/>
      <c r="B198" s="73"/>
      <c r="P198" s="62" t="s">
        <v>547</v>
      </c>
      <c r="Q198" s="62" t="s">
        <v>548</v>
      </c>
      <c r="R198" s="64"/>
      <c r="S198" s="64"/>
      <c r="T198" s="64"/>
      <c r="U198" s="62" t="s">
        <v>130</v>
      </c>
      <c r="V198" s="61" t="s">
        <v>13</v>
      </c>
      <c r="W198" s="62" t="s">
        <v>549</v>
      </c>
    </row>
    <row r="199">
      <c r="A199" s="74"/>
      <c r="B199" s="73"/>
      <c r="P199" s="45" t="s">
        <v>550</v>
      </c>
      <c r="Q199" s="45" t="s">
        <v>551</v>
      </c>
      <c r="R199" s="45" t="s">
        <v>537</v>
      </c>
      <c r="S199" s="45" t="s">
        <v>552</v>
      </c>
      <c r="T199" s="45" t="s">
        <v>552</v>
      </c>
      <c r="U199" s="46"/>
      <c r="V199" s="47" t="s">
        <v>14</v>
      </c>
      <c r="W199" s="45" t="s">
        <v>553</v>
      </c>
    </row>
    <row r="200">
      <c r="A200" s="72"/>
      <c r="B200" s="73"/>
      <c r="P200" s="48" t="s">
        <v>554</v>
      </c>
      <c r="Q200" s="48" t="s">
        <v>551</v>
      </c>
      <c r="R200" s="48" t="s">
        <v>537</v>
      </c>
      <c r="S200" s="48" t="s">
        <v>552</v>
      </c>
      <c r="T200" s="48" t="s">
        <v>552</v>
      </c>
      <c r="U200" s="48" t="s">
        <v>89</v>
      </c>
      <c r="V200" s="47" t="s">
        <v>14</v>
      </c>
      <c r="W200" s="48" t="s">
        <v>553</v>
      </c>
    </row>
    <row r="201">
      <c r="A201" s="74"/>
      <c r="B201" s="73"/>
      <c r="P201" s="45" t="s">
        <v>555</v>
      </c>
      <c r="Q201" s="45" t="s">
        <v>551</v>
      </c>
      <c r="R201" s="45" t="s">
        <v>537</v>
      </c>
      <c r="S201" s="45" t="s">
        <v>552</v>
      </c>
      <c r="T201" s="45" t="s">
        <v>552</v>
      </c>
      <c r="U201" s="46"/>
      <c r="V201" s="47" t="s">
        <v>14</v>
      </c>
      <c r="W201" s="45" t="s">
        <v>553</v>
      </c>
    </row>
    <row r="202">
      <c r="A202" s="72"/>
      <c r="B202" s="73"/>
      <c r="P202" s="48" t="s">
        <v>556</v>
      </c>
      <c r="Q202" s="48" t="s">
        <v>551</v>
      </c>
      <c r="R202" s="48" t="s">
        <v>537</v>
      </c>
      <c r="S202" s="48" t="s">
        <v>552</v>
      </c>
      <c r="T202" s="48" t="s">
        <v>552</v>
      </c>
      <c r="U202" s="49"/>
      <c r="V202" s="47" t="s">
        <v>14</v>
      </c>
      <c r="W202" s="48" t="s">
        <v>553</v>
      </c>
    </row>
    <row r="203">
      <c r="A203" s="71"/>
      <c r="B203" s="70"/>
      <c r="P203" s="45" t="s">
        <v>557</v>
      </c>
      <c r="Q203" s="45" t="s">
        <v>558</v>
      </c>
      <c r="R203" s="45" t="s">
        <v>537</v>
      </c>
      <c r="S203" s="45" t="s">
        <v>543</v>
      </c>
      <c r="T203" s="45" t="s">
        <v>543</v>
      </c>
      <c r="U203" s="46"/>
      <c r="V203" s="47" t="s">
        <v>14</v>
      </c>
      <c r="W203" s="45" t="s">
        <v>559</v>
      </c>
    </row>
    <row r="204">
      <c r="A204" s="69"/>
      <c r="B204" s="70"/>
      <c r="P204" s="48" t="s">
        <v>560</v>
      </c>
      <c r="Q204" s="48" t="s">
        <v>558</v>
      </c>
      <c r="R204" s="48" t="s">
        <v>537</v>
      </c>
      <c r="S204" s="48" t="s">
        <v>543</v>
      </c>
      <c r="T204" s="48" t="s">
        <v>543</v>
      </c>
      <c r="U204" s="49"/>
      <c r="V204" s="47" t="s">
        <v>14</v>
      </c>
      <c r="W204" s="48" t="s">
        <v>559</v>
      </c>
    </row>
    <row r="205">
      <c r="A205" s="74"/>
      <c r="B205" s="73"/>
      <c r="P205" s="45" t="s">
        <v>561</v>
      </c>
      <c r="Q205" s="45" t="s">
        <v>558</v>
      </c>
      <c r="R205" s="45" t="s">
        <v>537</v>
      </c>
      <c r="S205" s="45" t="s">
        <v>543</v>
      </c>
      <c r="T205" s="45" t="s">
        <v>543</v>
      </c>
      <c r="U205" s="46"/>
      <c r="V205" s="47" t="s">
        <v>14</v>
      </c>
      <c r="W205" s="45" t="s">
        <v>559</v>
      </c>
    </row>
    <row r="206">
      <c r="A206" s="72"/>
      <c r="B206" s="73"/>
      <c r="P206" s="48" t="s">
        <v>562</v>
      </c>
      <c r="Q206" s="48" t="s">
        <v>558</v>
      </c>
      <c r="R206" s="48" t="s">
        <v>537</v>
      </c>
      <c r="S206" s="48" t="s">
        <v>543</v>
      </c>
      <c r="T206" s="48" t="s">
        <v>543</v>
      </c>
      <c r="U206" s="49"/>
      <c r="V206" s="47" t="s">
        <v>14</v>
      </c>
      <c r="W206" s="48" t="s">
        <v>559</v>
      </c>
    </row>
    <row r="207">
      <c r="A207" s="74"/>
      <c r="B207" s="73"/>
      <c r="P207" s="45" t="s">
        <v>563</v>
      </c>
      <c r="Q207" s="45" t="s">
        <v>558</v>
      </c>
      <c r="R207" s="45" t="s">
        <v>537</v>
      </c>
      <c r="S207" s="45" t="s">
        <v>543</v>
      </c>
      <c r="T207" s="45" t="s">
        <v>543</v>
      </c>
      <c r="U207" s="45" t="s">
        <v>89</v>
      </c>
      <c r="V207" s="47" t="s">
        <v>14</v>
      </c>
      <c r="W207" s="45" t="s">
        <v>559</v>
      </c>
    </row>
    <row r="208">
      <c r="A208" s="72"/>
      <c r="B208" s="73"/>
      <c r="P208" s="48" t="s">
        <v>564</v>
      </c>
      <c r="Q208" s="48" t="s">
        <v>558</v>
      </c>
      <c r="R208" s="48" t="s">
        <v>537</v>
      </c>
      <c r="S208" s="48" t="s">
        <v>543</v>
      </c>
      <c r="T208" s="48" t="s">
        <v>543</v>
      </c>
      <c r="U208" s="49"/>
      <c r="V208" s="47" t="s">
        <v>14</v>
      </c>
      <c r="W208" s="48" t="s">
        <v>559</v>
      </c>
    </row>
    <row r="209">
      <c r="A209" s="74"/>
      <c r="B209" s="73"/>
      <c r="P209" s="45" t="s">
        <v>565</v>
      </c>
      <c r="Q209" s="45" t="s">
        <v>558</v>
      </c>
      <c r="R209" s="45" t="s">
        <v>537</v>
      </c>
      <c r="S209" s="45" t="s">
        <v>543</v>
      </c>
      <c r="T209" s="45" t="s">
        <v>543</v>
      </c>
      <c r="U209" s="46"/>
      <c r="V209" s="47" t="s">
        <v>14</v>
      </c>
      <c r="W209" s="45" t="s">
        <v>559</v>
      </c>
    </row>
    <row r="210">
      <c r="A210" s="72"/>
      <c r="B210" s="73"/>
      <c r="P210" s="48" t="s">
        <v>566</v>
      </c>
      <c r="Q210" s="48" t="s">
        <v>567</v>
      </c>
      <c r="R210" s="48" t="s">
        <v>568</v>
      </c>
      <c r="S210" s="48" t="s">
        <v>569</v>
      </c>
      <c r="T210" s="48" t="s">
        <v>569</v>
      </c>
      <c r="U210" s="49"/>
      <c r="V210" s="47" t="s">
        <v>14</v>
      </c>
      <c r="W210" s="48" t="s">
        <v>570</v>
      </c>
    </row>
    <row r="211">
      <c r="A211" s="74"/>
      <c r="B211" s="73"/>
      <c r="P211" s="45" t="s">
        <v>571</v>
      </c>
      <c r="Q211" s="45" t="s">
        <v>572</v>
      </c>
      <c r="R211" s="45" t="s">
        <v>573</v>
      </c>
      <c r="S211" s="45" t="s">
        <v>574</v>
      </c>
      <c r="T211" s="45" t="s">
        <v>574</v>
      </c>
      <c r="U211" s="45" t="s">
        <v>89</v>
      </c>
      <c r="V211" s="47" t="s">
        <v>14</v>
      </c>
      <c r="W211" s="45" t="s">
        <v>575</v>
      </c>
    </row>
    <row r="212">
      <c r="A212" s="69"/>
      <c r="B212" s="70"/>
      <c r="P212" s="48" t="s">
        <v>576</v>
      </c>
      <c r="Q212" s="48" t="s">
        <v>577</v>
      </c>
      <c r="R212" s="48" t="s">
        <v>573</v>
      </c>
      <c r="S212" s="48" t="s">
        <v>578</v>
      </c>
      <c r="T212" s="48" t="s">
        <v>578</v>
      </c>
      <c r="U212" s="49"/>
      <c r="V212" s="47" t="s">
        <v>14</v>
      </c>
      <c r="W212" s="48" t="s">
        <v>579</v>
      </c>
    </row>
    <row r="213">
      <c r="A213" s="71"/>
      <c r="B213" s="70"/>
      <c r="P213" s="45" t="s">
        <v>580</v>
      </c>
      <c r="Q213" s="45" t="s">
        <v>581</v>
      </c>
      <c r="R213" s="45" t="s">
        <v>573</v>
      </c>
      <c r="S213" s="45" t="s">
        <v>582</v>
      </c>
      <c r="T213" s="45" t="s">
        <v>582</v>
      </c>
      <c r="U213" s="46"/>
      <c r="V213" s="47" t="s">
        <v>14</v>
      </c>
      <c r="W213" s="45" t="s">
        <v>583</v>
      </c>
    </row>
    <row r="214">
      <c r="A214" s="69"/>
      <c r="B214" s="70"/>
      <c r="P214" s="48" t="s">
        <v>584</v>
      </c>
      <c r="Q214" s="48" t="s">
        <v>581</v>
      </c>
      <c r="R214" s="48" t="s">
        <v>573</v>
      </c>
      <c r="S214" s="48" t="s">
        <v>582</v>
      </c>
      <c r="T214" s="48" t="s">
        <v>582</v>
      </c>
      <c r="U214" s="49"/>
      <c r="V214" s="47" t="s">
        <v>14</v>
      </c>
      <c r="W214" s="48" t="s">
        <v>583</v>
      </c>
    </row>
    <row r="215">
      <c r="A215" s="71"/>
      <c r="B215" s="70"/>
      <c r="P215" s="45" t="s">
        <v>585</v>
      </c>
      <c r="Q215" s="45" t="s">
        <v>581</v>
      </c>
      <c r="R215" s="45" t="s">
        <v>573</v>
      </c>
      <c r="S215" s="45" t="s">
        <v>578</v>
      </c>
      <c r="T215" s="45" t="s">
        <v>578</v>
      </c>
      <c r="U215" s="46"/>
      <c r="V215" s="47" t="s">
        <v>14</v>
      </c>
      <c r="W215" s="45" t="s">
        <v>579</v>
      </c>
    </row>
    <row r="216">
      <c r="A216" s="69"/>
      <c r="B216" s="70"/>
      <c r="P216" s="48" t="s">
        <v>586</v>
      </c>
      <c r="Q216" s="48" t="s">
        <v>587</v>
      </c>
      <c r="R216" s="48" t="s">
        <v>573</v>
      </c>
      <c r="S216" s="48" t="s">
        <v>588</v>
      </c>
      <c r="T216" s="48" t="s">
        <v>588</v>
      </c>
      <c r="U216" s="49"/>
      <c r="V216" s="47" t="s">
        <v>14</v>
      </c>
      <c r="W216" s="48" t="s">
        <v>589</v>
      </c>
    </row>
    <row r="217">
      <c r="A217" s="74"/>
      <c r="B217" s="73"/>
      <c r="P217" s="45" t="s">
        <v>590</v>
      </c>
      <c r="Q217" s="45" t="s">
        <v>587</v>
      </c>
      <c r="R217" s="45" t="s">
        <v>573</v>
      </c>
      <c r="S217" s="45" t="s">
        <v>588</v>
      </c>
      <c r="T217" s="45" t="s">
        <v>588</v>
      </c>
      <c r="U217" s="46"/>
      <c r="V217" s="47" t="s">
        <v>14</v>
      </c>
      <c r="W217" s="45" t="s">
        <v>589</v>
      </c>
    </row>
    <row r="218">
      <c r="A218" s="72"/>
      <c r="B218" s="73"/>
      <c r="P218" s="48" t="s">
        <v>591</v>
      </c>
      <c r="Q218" s="48" t="s">
        <v>592</v>
      </c>
      <c r="R218" s="48" t="s">
        <v>573</v>
      </c>
      <c r="S218" s="48" t="s">
        <v>582</v>
      </c>
      <c r="T218" s="48" t="s">
        <v>582</v>
      </c>
      <c r="U218" s="49"/>
      <c r="V218" s="47" t="s">
        <v>14</v>
      </c>
      <c r="W218" s="48" t="s">
        <v>583</v>
      </c>
    </row>
    <row r="219">
      <c r="A219" s="71"/>
      <c r="B219" s="70"/>
      <c r="P219" s="45" t="s">
        <v>593</v>
      </c>
      <c r="Q219" s="45" t="s">
        <v>592</v>
      </c>
      <c r="R219" s="45" t="s">
        <v>573</v>
      </c>
      <c r="S219" s="45" t="s">
        <v>582</v>
      </c>
      <c r="T219" s="45" t="s">
        <v>582</v>
      </c>
      <c r="U219" s="46"/>
      <c r="V219" s="47" t="s">
        <v>14</v>
      </c>
      <c r="W219" s="45" t="s">
        <v>583</v>
      </c>
    </row>
    <row r="220">
      <c r="A220" s="69"/>
      <c r="B220" s="70"/>
      <c r="P220" s="48" t="s">
        <v>594</v>
      </c>
      <c r="Q220" s="48" t="s">
        <v>595</v>
      </c>
      <c r="R220" s="48" t="s">
        <v>573</v>
      </c>
      <c r="S220" s="48" t="s">
        <v>582</v>
      </c>
      <c r="T220" s="48" t="s">
        <v>582</v>
      </c>
      <c r="U220" s="49"/>
      <c r="V220" s="47" t="s">
        <v>14</v>
      </c>
      <c r="W220" s="48" t="s">
        <v>583</v>
      </c>
    </row>
    <row r="221">
      <c r="A221" s="71"/>
      <c r="B221" s="70"/>
      <c r="P221" s="45" t="s">
        <v>596</v>
      </c>
      <c r="Q221" s="45" t="s">
        <v>595</v>
      </c>
      <c r="R221" s="45" t="s">
        <v>573</v>
      </c>
      <c r="S221" s="45" t="s">
        <v>582</v>
      </c>
      <c r="T221" s="45" t="s">
        <v>582</v>
      </c>
      <c r="U221" s="46"/>
      <c r="V221" s="47" t="s">
        <v>14</v>
      </c>
      <c r="W221" s="45" t="s">
        <v>583</v>
      </c>
    </row>
    <row r="222">
      <c r="A222" s="72"/>
      <c r="B222" s="73"/>
      <c r="P222" s="48" t="s">
        <v>597</v>
      </c>
      <c r="Q222" s="48" t="s">
        <v>598</v>
      </c>
      <c r="R222" s="48" t="s">
        <v>573</v>
      </c>
      <c r="S222" s="48" t="s">
        <v>582</v>
      </c>
      <c r="T222" s="48" t="s">
        <v>582</v>
      </c>
      <c r="U222" s="48" t="s">
        <v>130</v>
      </c>
      <c r="V222" s="47" t="s">
        <v>14</v>
      </c>
      <c r="W222" s="48" t="s">
        <v>583</v>
      </c>
    </row>
    <row r="223">
      <c r="A223" s="74"/>
      <c r="B223" s="73"/>
      <c r="P223" s="60" t="s">
        <v>599</v>
      </c>
      <c r="Q223" s="60" t="s">
        <v>600</v>
      </c>
      <c r="R223" s="60" t="s">
        <v>601</v>
      </c>
      <c r="S223" s="60" t="s">
        <v>602</v>
      </c>
      <c r="T223" s="60" t="s">
        <v>602</v>
      </c>
      <c r="U223" s="60" t="s">
        <v>89</v>
      </c>
      <c r="V223" s="61" t="s">
        <v>13</v>
      </c>
      <c r="W223" s="60" t="s">
        <v>603</v>
      </c>
    </row>
    <row r="224">
      <c r="A224" s="72"/>
      <c r="B224" s="73"/>
      <c r="P224" s="62" t="s">
        <v>604</v>
      </c>
      <c r="Q224" s="62" t="s">
        <v>605</v>
      </c>
      <c r="R224" s="62" t="s">
        <v>601</v>
      </c>
      <c r="S224" s="62" t="s">
        <v>602</v>
      </c>
      <c r="T224" s="62" t="s">
        <v>602</v>
      </c>
      <c r="U224" s="62" t="s">
        <v>130</v>
      </c>
      <c r="V224" s="61" t="s">
        <v>13</v>
      </c>
      <c r="W224" s="62" t="s">
        <v>606</v>
      </c>
    </row>
    <row r="225">
      <c r="A225" s="74"/>
      <c r="B225" s="73"/>
      <c r="P225" s="60" t="s">
        <v>607</v>
      </c>
      <c r="Q225" s="60" t="s">
        <v>608</v>
      </c>
      <c r="R225" s="60" t="s">
        <v>601</v>
      </c>
      <c r="S225" s="60" t="s">
        <v>609</v>
      </c>
      <c r="T225" s="60" t="s">
        <v>609</v>
      </c>
      <c r="U225" s="63"/>
      <c r="V225" s="61" t="s">
        <v>13</v>
      </c>
      <c r="W225" s="60" t="s">
        <v>610</v>
      </c>
    </row>
    <row r="226">
      <c r="A226" s="69"/>
      <c r="B226" s="70"/>
      <c r="P226" s="48" t="s">
        <v>611</v>
      </c>
      <c r="Q226" s="48" t="s">
        <v>612</v>
      </c>
      <c r="R226" s="48" t="s">
        <v>601</v>
      </c>
      <c r="S226" s="48" t="s">
        <v>609</v>
      </c>
      <c r="T226" s="48" t="s">
        <v>609</v>
      </c>
      <c r="U226" s="48" t="s">
        <v>89</v>
      </c>
      <c r="V226" s="47" t="s">
        <v>14</v>
      </c>
      <c r="W226" s="48" t="s">
        <v>613</v>
      </c>
    </row>
    <row r="227">
      <c r="A227" s="74"/>
      <c r="B227" s="73"/>
      <c r="P227" s="45" t="s">
        <v>614</v>
      </c>
      <c r="Q227" s="45" t="s">
        <v>615</v>
      </c>
      <c r="R227" s="45" t="s">
        <v>616</v>
      </c>
      <c r="S227" s="45" t="s">
        <v>617</v>
      </c>
      <c r="T227" s="45" t="s">
        <v>617</v>
      </c>
      <c r="U227" s="45" t="s">
        <v>618</v>
      </c>
      <c r="V227" s="47" t="s">
        <v>14</v>
      </c>
      <c r="W227" s="45" t="s">
        <v>619</v>
      </c>
    </row>
    <row r="228">
      <c r="A228" s="72"/>
      <c r="B228" s="73"/>
      <c r="P228" s="48" t="s">
        <v>620</v>
      </c>
      <c r="Q228" s="48" t="s">
        <v>621</v>
      </c>
      <c r="R228" s="48" t="s">
        <v>616</v>
      </c>
      <c r="S228" s="48" t="s">
        <v>622</v>
      </c>
      <c r="T228" s="48" t="s">
        <v>622</v>
      </c>
      <c r="U228" s="49"/>
      <c r="V228" s="47" t="s">
        <v>14</v>
      </c>
      <c r="W228" s="48" t="s">
        <v>623</v>
      </c>
    </row>
    <row r="229">
      <c r="A229" s="74"/>
      <c r="B229" s="73"/>
      <c r="P229" s="45" t="s">
        <v>624</v>
      </c>
      <c r="Q229" s="45" t="s">
        <v>621</v>
      </c>
      <c r="R229" s="45" t="s">
        <v>616</v>
      </c>
      <c r="S229" s="45" t="s">
        <v>622</v>
      </c>
      <c r="T229" s="45" t="s">
        <v>622</v>
      </c>
      <c r="U229" s="46"/>
      <c r="V229" s="47" t="s">
        <v>14</v>
      </c>
      <c r="W229" s="45" t="s">
        <v>623</v>
      </c>
    </row>
    <row r="230">
      <c r="A230" s="69"/>
      <c r="B230" s="70"/>
      <c r="P230" s="48" t="s">
        <v>625</v>
      </c>
      <c r="Q230" s="48" t="s">
        <v>621</v>
      </c>
      <c r="R230" s="48" t="s">
        <v>616</v>
      </c>
      <c r="S230" s="48" t="s">
        <v>622</v>
      </c>
      <c r="T230" s="48" t="s">
        <v>622</v>
      </c>
      <c r="U230" s="49"/>
      <c r="V230" s="47" t="s">
        <v>14</v>
      </c>
      <c r="W230" s="48" t="s">
        <v>623</v>
      </c>
    </row>
    <row r="231">
      <c r="A231" s="71"/>
      <c r="B231" s="70"/>
      <c r="P231" s="45" t="s">
        <v>626</v>
      </c>
      <c r="Q231" s="45" t="s">
        <v>621</v>
      </c>
      <c r="R231" s="45" t="s">
        <v>616</v>
      </c>
      <c r="S231" s="45" t="s">
        <v>622</v>
      </c>
      <c r="T231" s="45" t="s">
        <v>622</v>
      </c>
      <c r="U231" s="46"/>
      <c r="V231" s="47" t="s">
        <v>14</v>
      </c>
      <c r="W231" s="45" t="s">
        <v>623</v>
      </c>
    </row>
    <row r="232">
      <c r="A232" s="72"/>
      <c r="B232" s="73"/>
      <c r="P232" s="48" t="s">
        <v>627</v>
      </c>
      <c r="Q232" s="48" t="s">
        <v>621</v>
      </c>
      <c r="R232" s="48" t="s">
        <v>616</v>
      </c>
      <c r="S232" s="48" t="s">
        <v>622</v>
      </c>
      <c r="T232" s="48" t="s">
        <v>622</v>
      </c>
      <c r="U232" s="49"/>
      <c r="V232" s="47" t="s">
        <v>14</v>
      </c>
      <c r="W232" s="48" t="s">
        <v>623</v>
      </c>
    </row>
    <row r="233">
      <c r="A233" s="74"/>
      <c r="B233" s="73"/>
      <c r="P233" s="60" t="s">
        <v>628</v>
      </c>
      <c r="Q233" s="60" t="s">
        <v>629</v>
      </c>
      <c r="R233" s="60" t="s">
        <v>630</v>
      </c>
      <c r="S233" s="60" t="s">
        <v>631</v>
      </c>
      <c r="T233" s="60" t="s">
        <v>631</v>
      </c>
      <c r="U233" s="63"/>
      <c r="V233" s="61" t="s">
        <v>13</v>
      </c>
      <c r="W233" s="60" t="s">
        <v>632</v>
      </c>
    </row>
    <row r="234">
      <c r="A234" s="69"/>
      <c r="B234" s="70"/>
      <c r="P234" s="62" t="s">
        <v>633</v>
      </c>
      <c r="Q234" s="62" t="s">
        <v>629</v>
      </c>
      <c r="R234" s="62" t="s">
        <v>630</v>
      </c>
      <c r="S234" s="62" t="s">
        <v>631</v>
      </c>
      <c r="T234" s="62" t="s">
        <v>631</v>
      </c>
      <c r="U234" s="64"/>
      <c r="V234" s="61" t="s">
        <v>13</v>
      </c>
      <c r="W234" s="62" t="s">
        <v>632</v>
      </c>
    </row>
    <row r="235">
      <c r="A235" s="71"/>
      <c r="B235" s="70"/>
      <c r="P235" s="60" t="s">
        <v>634</v>
      </c>
      <c r="Q235" s="60" t="s">
        <v>629</v>
      </c>
      <c r="R235" s="60" t="s">
        <v>630</v>
      </c>
      <c r="S235" s="60" t="s">
        <v>631</v>
      </c>
      <c r="T235" s="60" t="s">
        <v>631</v>
      </c>
      <c r="U235" s="63"/>
      <c r="V235" s="61" t="s">
        <v>13</v>
      </c>
      <c r="W235" s="60" t="s">
        <v>632</v>
      </c>
    </row>
    <row r="236">
      <c r="A236" s="72"/>
      <c r="B236" s="73"/>
      <c r="P236" s="62" t="s">
        <v>635</v>
      </c>
      <c r="Q236" s="62" t="s">
        <v>629</v>
      </c>
      <c r="R236" s="62" t="s">
        <v>630</v>
      </c>
      <c r="S236" s="62" t="s">
        <v>631</v>
      </c>
      <c r="T236" s="62" t="s">
        <v>631</v>
      </c>
      <c r="U236" s="64"/>
      <c r="V236" s="61" t="s">
        <v>13</v>
      </c>
      <c r="W236" s="62" t="s">
        <v>632</v>
      </c>
    </row>
    <row r="237">
      <c r="A237" s="74"/>
      <c r="B237" s="73"/>
      <c r="P237" s="60" t="s">
        <v>636</v>
      </c>
      <c r="Q237" s="60" t="s">
        <v>629</v>
      </c>
      <c r="R237" s="60" t="s">
        <v>630</v>
      </c>
      <c r="S237" s="60" t="s">
        <v>631</v>
      </c>
      <c r="T237" s="60" t="s">
        <v>631</v>
      </c>
      <c r="U237" s="63"/>
      <c r="V237" s="61" t="s">
        <v>13</v>
      </c>
      <c r="W237" s="60" t="s">
        <v>632</v>
      </c>
    </row>
    <row r="238">
      <c r="A238" s="72"/>
      <c r="B238" s="73"/>
      <c r="P238" s="62" t="s">
        <v>637</v>
      </c>
      <c r="Q238" s="62" t="s">
        <v>629</v>
      </c>
      <c r="R238" s="62" t="s">
        <v>630</v>
      </c>
      <c r="S238" s="62" t="s">
        <v>631</v>
      </c>
      <c r="T238" s="62" t="s">
        <v>631</v>
      </c>
      <c r="U238" s="64"/>
      <c r="V238" s="61" t="s">
        <v>13</v>
      </c>
      <c r="W238" s="62" t="s">
        <v>632</v>
      </c>
    </row>
    <row r="239">
      <c r="A239" s="74"/>
      <c r="B239" s="73"/>
      <c r="P239" s="45" t="s">
        <v>638</v>
      </c>
      <c r="Q239" s="45" t="s">
        <v>639</v>
      </c>
      <c r="R239" s="45" t="s">
        <v>630</v>
      </c>
      <c r="S239" s="45" t="s">
        <v>640</v>
      </c>
      <c r="T239" s="45" t="s">
        <v>640</v>
      </c>
      <c r="U239" s="46"/>
      <c r="V239" s="47" t="s">
        <v>14</v>
      </c>
      <c r="W239" s="45" t="s">
        <v>641</v>
      </c>
    </row>
    <row r="240">
      <c r="A240" s="72"/>
      <c r="B240" s="73"/>
      <c r="P240" s="48" t="s">
        <v>642</v>
      </c>
      <c r="Q240" s="48" t="s">
        <v>643</v>
      </c>
      <c r="R240" s="48" t="s">
        <v>644</v>
      </c>
      <c r="S240" s="48" t="s">
        <v>645</v>
      </c>
      <c r="T240" s="48" t="s">
        <v>645</v>
      </c>
      <c r="U240" s="48" t="s">
        <v>292</v>
      </c>
      <c r="V240" s="47" t="s">
        <v>14</v>
      </c>
      <c r="W240" s="48" t="s">
        <v>646</v>
      </c>
    </row>
    <row r="241">
      <c r="A241" s="74"/>
      <c r="B241" s="73"/>
      <c r="P241" s="45" t="s">
        <v>647</v>
      </c>
      <c r="Q241" s="45" t="s">
        <v>643</v>
      </c>
      <c r="R241" s="45" t="s">
        <v>644</v>
      </c>
      <c r="S241" s="45" t="s">
        <v>645</v>
      </c>
      <c r="T241" s="45" t="s">
        <v>645</v>
      </c>
      <c r="U241" s="45" t="s">
        <v>292</v>
      </c>
      <c r="V241" s="47" t="s">
        <v>14</v>
      </c>
      <c r="W241" s="45" t="s">
        <v>646</v>
      </c>
    </row>
    <row r="242">
      <c r="A242" s="72"/>
      <c r="B242" s="73"/>
      <c r="P242" s="48" t="s">
        <v>648</v>
      </c>
      <c r="Q242" s="48" t="s">
        <v>643</v>
      </c>
      <c r="R242" s="48" t="s">
        <v>644</v>
      </c>
      <c r="S242" s="48" t="s">
        <v>645</v>
      </c>
      <c r="T242" s="48" t="s">
        <v>645</v>
      </c>
      <c r="U242" s="48" t="s">
        <v>292</v>
      </c>
      <c r="V242" s="47" t="s">
        <v>14</v>
      </c>
      <c r="W242" s="48" t="s">
        <v>646</v>
      </c>
    </row>
    <row r="243">
      <c r="A243" s="74"/>
      <c r="B243" s="73"/>
      <c r="P243" s="45" t="s">
        <v>649</v>
      </c>
      <c r="Q243" s="45" t="s">
        <v>643</v>
      </c>
      <c r="R243" s="45" t="s">
        <v>644</v>
      </c>
      <c r="S243" s="45" t="s">
        <v>645</v>
      </c>
      <c r="T243" s="45" t="s">
        <v>645</v>
      </c>
      <c r="U243" s="45" t="s">
        <v>292</v>
      </c>
      <c r="V243" s="47" t="s">
        <v>14</v>
      </c>
      <c r="W243" s="45" t="s">
        <v>646</v>
      </c>
    </row>
    <row r="244">
      <c r="A244" s="72"/>
      <c r="B244" s="73"/>
      <c r="P244" s="62" t="s">
        <v>650</v>
      </c>
      <c r="Q244" s="62" t="s">
        <v>651</v>
      </c>
      <c r="R244" s="62" t="s">
        <v>644</v>
      </c>
      <c r="S244" s="62" t="s">
        <v>652</v>
      </c>
      <c r="T244" s="62" t="s">
        <v>652</v>
      </c>
      <c r="U244" s="64"/>
      <c r="V244" s="61" t="s">
        <v>13</v>
      </c>
      <c r="W244" s="62" t="s">
        <v>653</v>
      </c>
    </row>
    <row r="245">
      <c r="A245" s="74"/>
      <c r="B245" s="73"/>
      <c r="P245" s="60" t="s">
        <v>654</v>
      </c>
      <c r="Q245" s="60" t="s">
        <v>651</v>
      </c>
      <c r="R245" s="60" t="s">
        <v>644</v>
      </c>
      <c r="S245" s="60" t="s">
        <v>652</v>
      </c>
      <c r="T245" s="60" t="s">
        <v>652</v>
      </c>
      <c r="U245" s="63"/>
      <c r="V245" s="61" t="s">
        <v>13</v>
      </c>
      <c r="W245" s="60" t="s">
        <v>653</v>
      </c>
    </row>
    <row r="246">
      <c r="A246" s="72"/>
      <c r="B246" s="73"/>
      <c r="P246" s="62" t="s">
        <v>655</v>
      </c>
      <c r="Q246" s="62" t="s">
        <v>651</v>
      </c>
      <c r="R246" s="62" t="s">
        <v>644</v>
      </c>
      <c r="S246" s="62" t="s">
        <v>652</v>
      </c>
      <c r="T246" s="62" t="s">
        <v>652</v>
      </c>
      <c r="U246" s="64"/>
      <c r="V246" s="61" t="s">
        <v>13</v>
      </c>
      <c r="W246" s="62" t="s">
        <v>653</v>
      </c>
    </row>
    <row r="247">
      <c r="A247" s="71"/>
      <c r="B247" s="70"/>
      <c r="P247" s="60" t="s">
        <v>656</v>
      </c>
      <c r="Q247" s="60" t="s">
        <v>651</v>
      </c>
      <c r="R247" s="60" t="s">
        <v>644</v>
      </c>
      <c r="S247" s="60" t="s">
        <v>652</v>
      </c>
      <c r="T247" s="60" t="s">
        <v>652</v>
      </c>
      <c r="U247" s="63"/>
      <c r="V247" s="61" t="s">
        <v>13</v>
      </c>
      <c r="W247" s="60" t="s">
        <v>653</v>
      </c>
    </row>
    <row r="248">
      <c r="A248" s="69"/>
      <c r="B248" s="70"/>
      <c r="P248" s="62" t="s">
        <v>657</v>
      </c>
      <c r="Q248" s="62" t="s">
        <v>658</v>
      </c>
      <c r="R248" s="62" t="s">
        <v>644</v>
      </c>
      <c r="S248" s="62" t="s">
        <v>659</v>
      </c>
      <c r="T248" s="62" t="s">
        <v>659</v>
      </c>
      <c r="U248" s="64"/>
      <c r="V248" s="61" t="s">
        <v>13</v>
      </c>
      <c r="W248" s="62" t="s">
        <v>660</v>
      </c>
    </row>
    <row r="249">
      <c r="A249" s="71"/>
      <c r="B249" s="70"/>
      <c r="P249" s="60" t="s">
        <v>661</v>
      </c>
      <c r="Q249" s="60" t="s">
        <v>658</v>
      </c>
      <c r="R249" s="60" t="s">
        <v>644</v>
      </c>
      <c r="S249" s="60" t="s">
        <v>659</v>
      </c>
      <c r="T249" s="60" t="s">
        <v>659</v>
      </c>
      <c r="U249" s="63"/>
      <c r="V249" s="61" t="s">
        <v>13</v>
      </c>
      <c r="W249" s="60" t="s">
        <v>660</v>
      </c>
    </row>
    <row r="250">
      <c r="A250" s="69"/>
      <c r="B250" s="70"/>
      <c r="P250" s="62" t="s">
        <v>662</v>
      </c>
      <c r="Q250" s="62" t="s">
        <v>658</v>
      </c>
      <c r="R250" s="62" t="s">
        <v>644</v>
      </c>
      <c r="S250" s="62" t="s">
        <v>659</v>
      </c>
      <c r="T250" s="62" t="s">
        <v>659</v>
      </c>
      <c r="U250" s="64"/>
      <c r="V250" s="61" t="s">
        <v>13</v>
      </c>
      <c r="W250" s="62" t="s">
        <v>660</v>
      </c>
    </row>
    <row r="251">
      <c r="A251" s="71"/>
      <c r="B251" s="70"/>
      <c r="P251" s="60" t="s">
        <v>663</v>
      </c>
      <c r="Q251" s="60" t="s">
        <v>658</v>
      </c>
      <c r="R251" s="60" t="s">
        <v>644</v>
      </c>
      <c r="S251" s="60" t="s">
        <v>659</v>
      </c>
      <c r="T251" s="60" t="s">
        <v>659</v>
      </c>
      <c r="U251" s="63"/>
      <c r="V251" s="61" t="s">
        <v>13</v>
      </c>
      <c r="W251" s="60" t="s">
        <v>660</v>
      </c>
    </row>
    <row r="252">
      <c r="A252" s="69"/>
      <c r="B252" s="70"/>
      <c r="P252" s="62" t="s">
        <v>664</v>
      </c>
      <c r="Q252" s="62" t="s">
        <v>658</v>
      </c>
      <c r="R252" s="62" t="s">
        <v>644</v>
      </c>
      <c r="S252" s="62" t="s">
        <v>659</v>
      </c>
      <c r="T252" s="62" t="s">
        <v>659</v>
      </c>
      <c r="U252" s="64"/>
      <c r="V252" s="61" t="s">
        <v>13</v>
      </c>
      <c r="W252" s="62" t="s">
        <v>660</v>
      </c>
    </row>
    <row r="253">
      <c r="A253" s="74"/>
      <c r="B253" s="73"/>
      <c r="P253" s="60" t="s">
        <v>665</v>
      </c>
      <c r="Q253" s="60" t="s">
        <v>658</v>
      </c>
      <c r="R253" s="60" t="s">
        <v>644</v>
      </c>
      <c r="S253" s="60" t="s">
        <v>659</v>
      </c>
      <c r="T253" s="60" t="s">
        <v>659</v>
      </c>
      <c r="U253" s="63"/>
      <c r="V253" s="61" t="s">
        <v>13</v>
      </c>
      <c r="W253" s="60" t="s">
        <v>660</v>
      </c>
    </row>
    <row r="254">
      <c r="A254" s="72"/>
      <c r="B254" s="73"/>
      <c r="P254" s="62" t="s">
        <v>666</v>
      </c>
      <c r="Q254" s="62" t="s">
        <v>658</v>
      </c>
      <c r="R254" s="62" t="s">
        <v>644</v>
      </c>
      <c r="S254" s="62" t="s">
        <v>659</v>
      </c>
      <c r="T254" s="62" t="s">
        <v>659</v>
      </c>
      <c r="U254" s="64"/>
      <c r="V254" s="61" t="s">
        <v>13</v>
      </c>
      <c r="W254" s="62" t="s">
        <v>660</v>
      </c>
    </row>
    <row r="255">
      <c r="A255" s="74"/>
      <c r="B255" s="73"/>
      <c r="P255" s="60" t="s">
        <v>667</v>
      </c>
      <c r="Q255" s="60" t="s">
        <v>658</v>
      </c>
      <c r="R255" s="60" t="s">
        <v>644</v>
      </c>
      <c r="S255" s="60" t="s">
        <v>659</v>
      </c>
      <c r="T255" s="60" t="s">
        <v>659</v>
      </c>
      <c r="U255" s="63"/>
      <c r="V255" s="61" t="s">
        <v>13</v>
      </c>
      <c r="W255" s="60" t="s">
        <v>660</v>
      </c>
    </row>
    <row r="256">
      <c r="A256" s="72"/>
      <c r="B256" s="73"/>
      <c r="P256" s="62" t="s">
        <v>668</v>
      </c>
      <c r="Q256" s="62" t="s">
        <v>658</v>
      </c>
      <c r="R256" s="62" t="s">
        <v>644</v>
      </c>
      <c r="S256" s="62" t="s">
        <v>659</v>
      </c>
      <c r="T256" s="62" t="s">
        <v>659</v>
      </c>
      <c r="U256" s="64"/>
      <c r="V256" s="61" t="s">
        <v>13</v>
      </c>
      <c r="W256" s="62" t="s">
        <v>660</v>
      </c>
    </row>
    <row r="257">
      <c r="A257" s="74"/>
      <c r="B257" s="73"/>
      <c r="P257" s="45" t="s">
        <v>669</v>
      </c>
      <c r="Q257" s="45" t="s">
        <v>670</v>
      </c>
      <c r="R257" s="45" t="s">
        <v>644</v>
      </c>
      <c r="S257" s="45" t="s">
        <v>645</v>
      </c>
      <c r="T257" s="45" t="s">
        <v>645</v>
      </c>
      <c r="U257" s="45" t="s">
        <v>89</v>
      </c>
      <c r="V257" s="47" t="s">
        <v>14</v>
      </c>
      <c r="W257" s="45" t="s">
        <v>646</v>
      </c>
    </row>
    <row r="258">
      <c r="A258" s="72"/>
      <c r="B258" s="73"/>
      <c r="P258" s="48" t="s">
        <v>671</v>
      </c>
      <c r="Q258" s="48" t="s">
        <v>670</v>
      </c>
      <c r="R258" s="48" t="s">
        <v>644</v>
      </c>
      <c r="S258" s="48" t="s">
        <v>645</v>
      </c>
      <c r="T258" s="48" t="s">
        <v>645</v>
      </c>
      <c r="U258" s="48" t="s">
        <v>89</v>
      </c>
      <c r="V258" s="47" t="s">
        <v>14</v>
      </c>
      <c r="W258" s="48" t="s">
        <v>646</v>
      </c>
    </row>
    <row r="259">
      <c r="A259" s="74"/>
      <c r="B259" s="73"/>
      <c r="P259" s="45" t="s">
        <v>672</v>
      </c>
      <c r="Q259" s="45" t="s">
        <v>670</v>
      </c>
      <c r="R259" s="45" t="s">
        <v>644</v>
      </c>
      <c r="S259" s="45" t="s">
        <v>645</v>
      </c>
      <c r="T259" s="45" t="s">
        <v>645</v>
      </c>
      <c r="U259" s="45" t="s">
        <v>89</v>
      </c>
      <c r="V259" s="47" t="s">
        <v>14</v>
      </c>
      <c r="W259" s="45" t="s">
        <v>646</v>
      </c>
    </row>
    <row r="260">
      <c r="A260" s="72"/>
      <c r="B260" s="73"/>
      <c r="P260" s="48" t="s">
        <v>673</v>
      </c>
      <c r="Q260" s="48" t="s">
        <v>670</v>
      </c>
      <c r="R260" s="48" t="s">
        <v>644</v>
      </c>
      <c r="S260" s="48" t="s">
        <v>645</v>
      </c>
      <c r="T260" s="48" t="s">
        <v>645</v>
      </c>
      <c r="U260" s="48" t="s">
        <v>89</v>
      </c>
      <c r="V260" s="47" t="s">
        <v>14</v>
      </c>
      <c r="W260" s="48" t="s">
        <v>646</v>
      </c>
    </row>
    <row r="261">
      <c r="A261" s="74"/>
      <c r="B261" s="73"/>
      <c r="P261" s="45" t="s">
        <v>674</v>
      </c>
      <c r="Q261" s="45" t="s">
        <v>670</v>
      </c>
      <c r="R261" s="45" t="s">
        <v>644</v>
      </c>
      <c r="S261" s="45" t="s">
        <v>645</v>
      </c>
      <c r="T261" s="45" t="s">
        <v>645</v>
      </c>
      <c r="U261" s="45" t="s">
        <v>89</v>
      </c>
      <c r="V261" s="47" t="s">
        <v>14</v>
      </c>
      <c r="W261" s="45" t="s">
        <v>646</v>
      </c>
    </row>
    <row r="262">
      <c r="A262" s="72"/>
      <c r="B262" s="73"/>
      <c r="P262" s="48" t="s">
        <v>675</v>
      </c>
      <c r="Q262" s="48" t="s">
        <v>670</v>
      </c>
      <c r="R262" s="48" t="s">
        <v>644</v>
      </c>
      <c r="S262" s="48" t="s">
        <v>645</v>
      </c>
      <c r="T262" s="48" t="s">
        <v>645</v>
      </c>
      <c r="U262" s="48" t="s">
        <v>89</v>
      </c>
      <c r="V262" s="47" t="s">
        <v>14</v>
      </c>
      <c r="W262" s="48" t="s">
        <v>646</v>
      </c>
    </row>
    <row r="263">
      <c r="A263" s="74"/>
      <c r="B263" s="73"/>
      <c r="P263" s="45" t="s">
        <v>676</v>
      </c>
      <c r="Q263" s="45" t="s">
        <v>670</v>
      </c>
      <c r="R263" s="45" t="s">
        <v>644</v>
      </c>
      <c r="S263" s="45" t="s">
        <v>645</v>
      </c>
      <c r="T263" s="45" t="s">
        <v>645</v>
      </c>
      <c r="U263" s="46"/>
      <c r="V263" s="47" t="s">
        <v>14</v>
      </c>
      <c r="W263" s="45" t="s">
        <v>646</v>
      </c>
    </row>
    <row r="264">
      <c r="A264" s="72"/>
      <c r="B264" s="73"/>
      <c r="P264" s="48" t="s">
        <v>677</v>
      </c>
      <c r="Q264" s="48" t="s">
        <v>678</v>
      </c>
      <c r="R264" s="48" t="s">
        <v>644</v>
      </c>
      <c r="S264" s="48" t="s">
        <v>645</v>
      </c>
      <c r="T264" s="48" t="s">
        <v>645</v>
      </c>
      <c r="U264" s="49"/>
      <c r="V264" s="47" t="s">
        <v>14</v>
      </c>
      <c r="W264" s="48" t="s">
        <v>646</v>
      </c>
    </row>
    <row r="265">
      <c r="A265" s="74"/>
      <c r="B265" s="73"/>
      <c r="P265" s="45" t="s">
        <v>679</v>
      </c>
      <c r="Q265" s="45" t="s">
        <v>678</v>
      </c>
      <c r="R265" s="45" t="s">
        <v>644</v>
      </c>
      <c r="S265" s="45" t="s">
        <v>645</v>
      </c>
      <c r="T265" s="45" t="s">
        <v>645</v>
      </c>
      <c r="U265" s="45" t="s">
        <v>130</v>
      </c>
      <c r="V265" s="47" t="s">
        <v>14</v>
      </c>
      <c r="W265" s="45" t="s">
        <v>646</v>
      </c>
    </row>
    <row r="266">
      <c r="A266" s="72"/>
      <c r="B266" s="73"/>
      <c r="P266" s="48" t="s">
        <v>680</v>
      </c>
      <c r="Q266" s="48" t="s">
        <v>678</v>
      </c>
      <c r="R266" s="48" t="s">
        <v>644</v>
      </c>
      <c r="S266" s="48" t="s">
        <v>645</v>
      </c>
      <c r="T266" s="48" t="s">
        <v>645</v>
      </c>
      <c r="U266" s="49"/>
      <c r="V266" s="47" t="s">
        <v>14</v>
      </c>
      <c r="W266" s="48" t="s">
        <v>646</v>
      </c>
    </row>
    <row r="267">
      <c r="A267" s="74"/>
      <c r="B267" s="73"/>
      <c r="P267" s="45" t="s">
        <v>681</v>
      </c>
      <c r="Q267" s="45" t="s">
        <v>682</v>
      </c>
      <c r="R267" s="45" t="s">
        <v>644</v>
      </c>
      <c r="S267" s="45" t="s">
        <v>659</v>
      </c>
      <c r="T267" s="45" t="s">
        <v>659</v>
      </c>
      <c r="U267" s="45" t="s">
        <v>130</v>
      </c>
      <c r="V267" s="47" t="s">
        <v>14</v>
      </c>
      <c r="W267" s="45" t="s">
        <v>683</v>
      </c>
    </row>
    <row r="268">
      <c r="A268" s="72"/>
      <c r="B268" s="73"/>
      <c r="P268" s="48" t="s">
        <v>684</v>
      </c>
      <c r="Q268" s="48" t="s">
        <v>682</v>
      </c>
      <c r="R268" s="48" t="s">
        <v>644</v>
      </c>
      <c r="S268" s="48" t="s">
        <v>659</v>
      </c>
      <c r="T268" s="48" t="s">
        <v>659</v>
      </c>
      <c r="U268" s="48" t="s">
        <v>130</v>
      </c>
      <c r="V268" s="47" t="s">
        <v>14</v>
      </c>
      <c r="W268" s="48" t="s">
        <v>683</v>
      </c>
    </row>
    <row r="269">
      <c r="A269" s="74"/>
      <c r="B269" s="73"/>
      <c r="P269" s="45" t="s">
        <v>685</v>
      </c>
      <c r="Q269" s="45" t="s">
        <v>686</v>
      </c>
      <c r="R269" s="45" t="s">
        <v>644</v>
      </c>
      <c r="S269" s="45" t="s">
        <v>659</v>
      </c>
      <c r="T269" s="45" t="s">
        <v>659</v>
      </c>
      <c r="U269" s="45" t="s">
        <v>130</v>
      </c>
      <c r="V269" s="47" t="s">
        <v>14</v>
      </c>
      <c r="W269" s="45" t="s">
        <v>683</v>
      </c>
    </row>
    <row r="270">
      <c r="A270" s="69"/>
      <c r="B270" s="70"/>
      <c r="P270" s="48" t="s">
        <v>687</v>
      </c>
      <c r="Q270" s="48" t="s">
        <v>686</v>
      </c>
      <c r="R270" s="48" t="s">
        <v>644</v>
      </c>
      <c r="S270" s="48" t="s">
        <v>659</v>
      </c>
      <c r="T270" s="48" t="s">
        <v>659</v>
      </c>
      <c r="U270" s="48" t="s">
        <v>130</v>
      </c>
      <c r="V270" s="47" t="s">
        <v>14</v>
      </c>
      <c r="W270" s="48" t="s">
        <v>683</v>
      </c>
    </row>
    <row r="271">
      <c r="A271" s="71"/>
      <c r="B271" s="70"/>
      <c r="P271" s="45" t="s">
        <v>688</v>
      </c>
      <c r="Q271" s="45" t="s">
        <v>686</v>
      </c>
      <c r="R271" s="45" t="s">
        <v>644</v>
      </c>
      <c r="S271" s="45" t="s">
        <v>659</v>
      </c>
      <c r="T271" s="45" t="s">
        <v>659</v>
      </c>
      <c r="U271" s="45" t="s">
        <v>130</v>
      </c>
      <c r="V271" s="47" t="s">
        <v>14</v>
      </c>
      <c r="W271" s="45" t="s">
        <v>683</v>
      </c>
    </row>
    <row r="272">
      <c r="A272" s="69"/>
      <c r="B272" s="70"/>
      <c r="P272" s="48" t="s">
        <v>689</v>
      </c>
      <c r="Q272" s="48" t="s">
        <v>686</v>
      </c>
      <c r="R272" s="48" t="s">
        <v>644</v>
      </c>
      <c r="S272" s="48" t="s">
        <v>659</v>
      </c>
      <c r="T272" s="48" t="s">
        <v>659</v>
      </c>
      <c r="U272" s="48" t="s">
        <v>130</v>
      </c>
      <c r="V272" s="47" t="s">
        <v>14</v>
      </c>
      <c r="W272" s="48" t="s">
        <v>683</v>
      </c>
    </row>
    <row r="273">
      <c r="A273" s="76"/>
      <c r="B273" s="73"/>
      <c r="P273" s="45" t="s">
        <v>690</v>
      </c>
      <c r="Q273" s="45" t="s">
        <v>686</v>
      </c>
      <c r="R273" s="45" t="s">
        <v>644</v>
      </c>
      <c r="S273" s="45" t="s">
        <v>659</v>
      </c>
      <c r="T273" s="45" t="s">
        <v>659</v>
      </c>
      <c r="U273" s="45" t="s">
        <v>130</v>
      </c>
      <c r="V273" s="47" t="s">
        <v>14</v>
      </c>
      <c r="W273" s="45" t="s">
        <v>683</v>
      </c>
    </row>
    <row r="274">
      <c r="A274" s="75"/>
      <c r="B274" s="73"/>
      <c r="P274" s="48" t="s">
        <v>691</v>
      </c>
      <c r="Q274" s="48" t="s">
        <v>686</v>
      </c>
      <c r="R274" s="48" t="s">
        <v>644</v>
      </c>
      <c r="S274" s="48" t="s">
        <v>659</v>
      </c>
      <c r="T274" s="48" t="s">
        <v>659</v>
      </c>
      <c r="U274" s="48" t="s">
        <v>130</v>
      </c>
      <c r="V274" s="47" t="s">
        <v>14</v>
      </c>
      <c r="W274" s="48" t="s">
        <v>683</v>
      </c>
    </row>
    <row r="275">
      <c r="A275" s="74"/>
      <c r="B275" s="73"/>
      <c r="P275" s="45" t="s">
        <v>692</v>
      </c>
      <c r="Q275" s="45" t="s">
        <v>686</v>
      </c>
      <c r="R275" s="45" t="s">
        <v>644</v>
      </c>
      <c r="S275" s="45" t="s">
        <v>659</v>
      </c>
      <c r="T275" s="45" t="s">
        <v>659</v>
      </c>
      <c r="U275" s="45" t="s">
        <v>215</v>
      </c>
      <c r="V275" s="47" t="s">
        <v>14</v>
      </c>
      <c r="W275" s="45" t="s">
        <v>683</v>
      </c>
    </row>
    <row r="276">
      <c r="A276" s="69"/>
      <c r="B276" s="70"/>
      <c r="P276" s="48" t="s">
        <v>693</v>
      </c>
      <c r="Q276" s="48" t="s">
        <v>686</v>
      </c>
      <c r="R276" s="48" t="s">
        <v>644</v>
      </c>
      <c r="S276" s="48" t="s">
        <v>659</v>
      </c>
      <c r="T276" s="48" t="s">
        <v>659</v>
      </c>
      <c r="U276" s="48" t="s">
        <v>130</v>
      </c>
      <c r="V276" s="47" t="s">
        <v>14</v>
      </c>
      <c r="W276" s="48" t="s">
        <v>683</v>
      </c>
    </row>
    <row r="277">
      <c r="A277" s="74"/>
      <c r="B277" s="73"/>
      <c r="P277" s="45" t="s">
        <v>694</v>
      </c>
      <c r="Q277" s="45" t="s">
        <v>686</v>
      </c>
      <c r="R277" s="45" t="s">
        <v>644</v>
      </c>
      <c r="S277" s="45" t="s">
        <v>659</v>
      </c>
      <c r="T277" s="45" t="s">
        <v>659</v>
      </c>
      <c r="U277" s="45" t="s">
        <v>130</v>
      </c>
      <c r="V277" s="47" t="s">
        <v>14</v>
      </c>
      <c r="W277" s="45" t="s">
        <v>683</v>
      </c>
    </row>
    <row r="278">
      <c r="A278" s="72"/>
      <c r="B278" s="73"/>
      <c r="P278" s="48" t="s">
        <v>695</v>
      </c>
      <c r="Q278" s="48" t="s">
        <v>686</v>
      </c>
      <c r="R278" s="48" t="s">
        <v>644</v>
      </c>
      <c r="S278" s="48" t="s">
        <v>659</v>
      </c>
      <c r="T278" s="48" t="s">
        <v>659</v>
      </c>
      <c r="U278" s="48" t="s">
        <v>130</v>
      </c>
      <c r="V278" s="47" t="s">
        <v>14</v>
      </c>
      <c r="W278" s="48" t="s">
        <v>683</v>
      </c>
    </row>
    <row r="279">
      <c r="A279" s="71"/>
      <c r="B279" s="70"/>
      <c r="P279" s="45" t="s">
        <v>696</v>
      </c>
      <c r="Q279" s="45" t="s">
        <v>686</v>
      </c>
      <c r="R279" s="45" t="s">
        <v>644</v>
      </c>
      <c r="S279" s="45" t="s">
        <v>659</v>
      </c>
      <c r="T279" s="45" t="s">
        <v>659</v>
      </c>
      <c r="U279" s="45" t="s">
        <v>130</v>
      </c>
      <c r="V279" s="47" t="s">
        <v>14</v>
      </c>
      <c r="W279" s="45" t="s">
        <v>683</v>
      </c>
    </row>
    <row r="280">
      <c r="A280" s="69"/>
      <c r="B280" s="70"/>
      <c r="P280" s="48" t="s">
        <v>697</v>
      </c>
      <c r="Q280" s="48" t="s">
        <v>686</v>
      </c>
      <c r="R280" s="48" t="s">
        <v>644</v>
      </c>
      <c r="S280" s="48" t="s">
        <v>659</v>
      </c>
      <c r="T280" s="48" t="s">
        <v>659</v>
      </c>
      <c r="U280" s="48" t="s">
        <v>130</v>
      </c>
      <c r="V280" s="47" t="s">
        <v>14</v>
      </c>
      <c r="W280" s="48" t="s">
        <v>683</v>
      </c>
    </row>
    <row r="281">
      <c r="A281" s="74"/>
      <c r="B281" s="73"/>
      <c r="P281" s="45" t="s">
        <v>698</v>
      </c>
      <c r="Q281" s="45" t="s">
        <v>686</v>
      </c>
      <c r="R281" s="45" t="s">
        <v>644</v>
      </c>
      <c r="S281" s="45" t="s">
        <v>659</v>
      </c>
      <c r="T281" s="45" t="s">
        <v>659</v>
      </c>
      <c r="U281" s="45" t="s">
        <v>130</v>
      </c>
      <c r="V281" s="47" t="s">
        <v>14</v>
      </c>
      <c r="W281" s="45" t="s">
        <v>683</v>
      </c>
    </row>
    <row r="282">
      <c r="A282" s="69"/>
      <c r="B282" s="70"/>
      <c r="P282" s="48" t="s">
        <v>699</v>
      </c>
      <c r="Q282" s="48" t="s">
        <v>686</v>
      </c>
      <c r="R282" s="48" t="s">
        <v>644</v>
      </c>
      <c r="S282" s="48" t="s">
        <v>659</v>
      </c>
      <c r="T282" s="48" t="s">
        <v>659</v>
      </c>
      <c r="U282" s="48" t="s">
        <v>130</v>
      </c>
      <c r="V282" s="47" t="s">
        <v>14</v>
      </c>
      <c r="W282" s="48" t="s">
        <v>683</v>
      </c>
    </row>
    <row r="283">
      <c r="A283" s="71"/>
      <c r="B283" s="70"/>
      <c r="P283" s="45" t="s">
        <v>700</v>
      </c>
      <c r="Q283" s="45" t="s">
        <v>686</v>
      </c>
      <c r="R283" s="45" t="s">
        <v>644</v>
      </c>
      <c r="S283" s="45" t="s">
        <v>659</v>
      </c>
      <c r="T283" s="45" t="s">
        <v>659</v>
      </c>
      <c r="U283" s="45" t="s">
        <v>130</v>
      </c>
      <c r="V283" s="47" t="s">
        <v>14</v>
      </c>
      <c r="W283" s="45" t="s">
        <v>683</v>
      </c>
    </row>
    <row r="284">
      <c r="A284" s="69"/>
      <c r="B284" s="70"/>
      <c r="P284" s="48" t="s">
        <v>701</v>
      </c>
      <c r="Q284" s="48" t="s">
        <v>686</v>
      </c>
      <c r="R284" s="48" t="s">
        <v>644</v>
      </c>
      <c r="S284" s="48" t="s">
        <v>659</v>
      </c>
      <c r="T284" s="48" t="s">
        <v>659</v>
      </c>
      <c r="U284" s="48" t="s">
        <v>130</v>
      </c>
      <c r="V284" s="47" t="s">
        <v>14</v>
      </c>
      <c r="W284" s="48" t="s">
        <v>683</v>
      </c>
    </row>
    <row r="285">
      <c r="A285" s="71"/>
      <c r="B285" s="70"/>
      <c r="P285" s="45" t="s">
        <v>702</v>
      </c>
      <c r="Q285" s="45" t="s">
        <v>686</v>
      </c>
      <c r="R285" s="45" t="s">
        <v>644</v>
      </c>
      <c r="S285" s="45" t="s">
        <v>659</v>
      </c>
      <c r="T285" s="45" t="s">
        <v>659</v>
      </c>
      <c r="U285" s="45" t="s">
        <v>130</v>
      </c>
      <c r="V285" s="47" t="s">
        <v>14</v>
      </c>
      <c r="W285" s="45" t="s">
        <v>683</v>
      </c>
    </row>
    <row r="286">
      <c r="A286" s="69"/>
      <c r="B286" s="70"/>
      <c r="P286" s="48" t="s">
        <v>703</v>
      </c>
      <c r="Q286" s="48" t="s">
        <v>686</v>
      </c>
      <c r="R286" s="48" t="s">
        <v>644</v>
      </c>
      <c r="S286" s="48" t="s">
        <v>659</v>
      </c>
      <c r="T286" s="48" t="s">
        <v>659</v>
      </c>
      <c r="U286" s="48" t="s">
        <v>130</v>
      </c>
      <c r="V286" s="47" t="s">
        <v>14</v>
      </c>
      <c r="W286" s="48" t="s">
        <v>683</v>
      </c>
    </row>
    <row r="287">
      <c r="A287" s="71"/>
      <c r="B287" s="70"/>
      <c r="P287" s="45" t="s">
        <v>704</v>
      </c>
      <c r="Q287" s="45" t="s">
        <v>686</v>
      </c>
      <c r="R287" s="45" t="s">
        <v>644</v>
      </c>
      <c r="S287" s="45" t="s">
        <v>659</v>
      </c>
      <c r="T287" s="45" t="s">
        <v>659</v>
      </c>
      <c r="U287" s="45" t="s">
        <v>130</v>
      </c>
      <c r="V287" s="47" t="s">
        <v>14</v>
      </c>
      <c r="W287" s="45" t="s">
        <v>683</v>
      </c>
    </row>
    <row r="288">
      <c r="A288" s="72"/>
      <c r="B288" s="73"/>
      <c r="P288" s="48" t="s">
        <v>705</v>
      </c>
      <c r="Q288" s="48" t="s">
        <v>706</v>
      </c>
      <c r="R288" s="48" t="s">
        <v>644</v>
      </c>
      <c r="S288" s="48" t="s">
        <v>645</v>
      </c>
      <c r="T288" s="48" t="s">
        <v>645</v>
      </c>
      <c r="U288" s="49"/>
      <c r="V288" s="47" t="s">
        <v>14</v>
      </c>
      <c r="W288" s="48" t="s">
        <v>646</v>
      </c>
    </row>
    <row r="289">
      <c r="A289" s="74"/>
      <c r="B289" s="73"/>
      <c r="P289" s="45" t="s">
        <v>707</v>
      </c>
      <c r="Q289" s="45" t="s">
        <v>708</v>
      </c>
      <c r="R289" s="45" t="s">
        <v>644</v>
      </c>
      <c r="S289" s="45" t="s">
        <v>709</v>
      </c>
      <c r="T289" s="45" t="s">
        <v>709</v>
      </c>
      <c r="U289" s="45" t="s">
        <v>130</v>
      </c>
      <c r="V289" s="47" t="s">
        <v>14</v>
      </c>
      <c r="W289" s="45" t="s">
        <v>710</v>
      </c>
    </row>
    <row r="290">
      <c r="A290" s="72"/>
      <c r="B290" s="73"/>
      <c r="P290" s="48" t="s">
        <v>711</v>
      </c>
      <c r="Q290" s="48" t="s">
        <v>708</v>
      </c>
      <c r="R290" s="48" t="s">
        <v>644</v>
      </c>
      <c r="S290" s="48" t="s">
        <v>659</v>
      </c>
      <c r="T290" s="48" t="s">
        <v>659</v>
      </c>
      <c r="U290" s="48" t="s">
        <v>130</v>
      </c>
      <c r="V290" s="47" t="s">
        <v>14</v>
      </c>
      <c r="W290" s="48" t="s">
        <v>683</v>
      </c>
    </row>
    <row r="291">
      <c r="A291" s="74"/>
      <c r="B291" s="73"/>
      <c r="P291" s="45" t="s">
        <v>712</v>
      </c>
      <c r="Q291" s="45" t="s">
        <v>708</v>
      </c>
      <c r="R291" s="45" t="s">
        <v>644</v>
      </c>
      <c r="S291" s="45" t="s">
        <v>709</v>
      </c>
      <c r="T291" s="45" t="s">
        <v>709</v>
      </c>
      <c r="U291" s="45" t="s">
        <v>130</v>
      </c>
      <c r="V291" s="47" t="s">
        <v>14</v>
      </c>
      <c r="W291" s="45" t="s">
        <v>710</v>
      </c>
    </row>
    <row r="292">
      <c r="A292" s="72"/>
      <c r="B292" s="73"/>
      <c r="P292" s="48" t="s">
        <v>713</v>
      </c>
      <c r="Q292" s="48" t="s">
        <v>714</v>
      </c>
      <c r="R292" s="48" t="s">
        <v>644</v>
      </c>
      <c r="S292" s="48" t="s">
        <v>659</v>
      </c>
      <c r="T292" s="48" t="s">
        <v>659</v>
      </c>
      <c r="U292" s="48" t="s">
        <v>130</v>
      </c>
      <c r="V292" s="47" t="s">
        <v>14</v>
      </c>
      <c r="W292" s="48" t="s">
        <v>683</v>
      </c>
    </row>
    <row r="293">
      <c r="A293" s="74"/>
      <c r="B293" s="73"/>
      <c r="P293" s="60" t="s">
        <v>715</v>
      </c>
      <c r="Q293" s="60" t="s">
        <v>716</v>
      </c>
      <c r="R293" s="60" t="s">
        <v>644</v>
      </c>
      <c r="S293" s="60" t="s">
        <v>659</v>
      </c>
      <c r="T293" s="60" t="s">
        <v>659</v>
      </c>
      <c r="U293" s="60" t="s">
        <v>130</v>
      </c>
      <c r="V293" s="61" t="s">
        <v>13</v>
      </c>
      <c r="W293" s="60" t="s">
        <v>660</v>
      </c>
    </row>
    <row r="294">
      <c r="A294" s="72"/>
      <c r="B294" s="73"/>
      <c r="P294" s="48" t="s">
        <v>717</v>
      </c>
      <c r="Q294" s="48" t="s">
        <v>714</v>
      </c>
      <c r="R294" s="48" t="s">
        <v>644</v>
      </c>
      <c r="S294" s="48" t="s">
        <v>659</v>
      </c>
      <c r="T294" s="48" t="s">
        <v>659</v>
      </c>
      <c r="U294" s="48" t="s">
        <v>130</v>
      </c>
      <c r="V294" s="47" t="s">
        <v>14</v>
      </c>
      <c r="W294" s="48" t="s">
        <v>683</v>
      </c>
    </row>
    <row r="295">
      <c r="A295" s="74"/>
      <c r="B295" s="73"/>
      <c r="P295" s="45" t="s">
        <v>718</v>
      </c>
      <c r="Q295" s="45" t="s">
        <v>719</v>
      </c>
      <c r="R295" s="45" t="s">
        <v>644</v>
      </c>
      <c r="S295" s="45" t="s">
        <v>659</v>
      </c>
      <c r="T295" s="45" t="s">
        <v>659</v>
      </c>
      <c r="U295" s="45" t="s">
        <v>130</v>
      </c>
      <c r="V295" s="47" t="s">
        <v>14</v>
      </c>
      <c r="W295" s="45" t="s">
        <v>683</v>
      </c>
    </row>
    <row r="296">
      <c r="A296" s="72"/>
      <c r="B296" s="73"/>
      <c r="P296" s="48" t="s">
        <v>720</v>
      </c>
      <c r="Q296" s="48" t="s">
        <v>708</v>
      </c>
      <c r="R296" s="48" t="s">
        <v>644</v>
      </c>
      <c r="S296" s="48" t="s">
        <v>659</v>
      </c>
      <c r="T296" s="48" t="s">
        <v>659</v>
      </c>
      <c r="U296" s="48" t="s">
        <v>130</v>
      </c>
      <c r="V296" s="47" t="s">
        <v>14</v>
      </c>
      <c r="W296" s="48" t="s">
        <v>683</v>
      </c>
    </row>
    <row r="297">
      <c r="A297" s="77"/>
      <c r="B297" s="77"/>
      <c r="P297" s="60" t="s">
        <v>721</v>
      </c>
      <c r="Q297" s="60" t="s">
        <v>716</v>
      </c>
      <c r="R297" s="60" t="s">
        <v>644</v>
      </c>
      <c r="S297" s="60" t="s">
        <v>659</v>
      </c>
      <c r="T297" s="60" t="s">
        <v>659</v>
      </c>
      <c r="U297" s="63"/>
      <c r="V297" s="61" t="s">
        <v>13</v>
      </c>
      <c r="W297" s="60" t="s">
        <v>660</v>
      </c>
    </row>
    <row r="298">
      <c r="A298" s="77"/>
      <c r="B298" s="77"/>
      <c r="P298" s="48" t="s">
        <v>722</v>
      </c>
      <c r="Q298" s="48" t="s">
        <v>719</v>
      </c>
      <c r="R298" s="48" t="s">
        <v>644</v>
      </c>
      <c r="S298" s="48" t="s">
        <v>659</v>
      </c>
      <c r="T298" s="48" t="s">
        <v>659</v>
      </c>
      <c r="U298" s="48" t="s">
        <v>130</v>
      </c>
      <c r="V298" s="47" t="s">
        <v>14</v>
      </c>
      <c r="W298" s="48" t="s">
        <v>683</v>
      </c>
    </row>
    <row r="299">
      <c r="A299" s="77"/>
      <c r="B299" s="77"/>
      <c r="P299" s="45" t="s">
        <v>723</v>
      </c>
      <c r="Q299" s="45" t="s">
        <v>708</v>
      </c>
      <c r="R299" s="45" t="s">
        <v>644</v>
      </c>
      <c r="S299" s="45" t="s">
        <v>709</v>
      </c>
      <c r="T299" s="45" t="s">
        <v>709</v>
      </c>
      <c r="U299" s="45" t="s">
        <v>130</v>
      </c>
      <c r="V299" s="47" t="s">
        <v>14</v>
      </c>
      <c r="W299" s="45" t="s">
        <v>710</v>
      </c>
    </row>
    <row r="300">
      <c r="A300" s="77"/>
      <c r="B300" s="77"/>
      <c r="P300" s="48" t="s">
        <v>724</v>
      </c>
      <c r="Q300" s="48" t="s">
        <v>708</v>
      </c>
      <c r="R300" s="48" t="s">
        <v>644</v>
      </c>
      <c r="S300" s="48" t="s">
        <v>659</v>
      </c>
      <c r="T300" s="48" t="s">
        <v>659</v>
      </c>
      <c r="U300" s="48" t="s">
        <v>130</v>
      </c>
      <c r="V300" s="47" t="s">
        <v>14</v>
      </c>
      <c r="W300" s="48" t="s">
        <v>683</v>
      </c>
    </row>
    <row r="301">
      <c r="A301" s="77"/>
      <c r="B301" s="77"/>
      <c r="P301" s="60" t="s">
        <v>725</v>
      </c>
      <c r="Q301" s="60" t="s">
        <v>726</v>
      </c>
      <c r="R301" s="60" t="s">
        <v>644</v>
      </c>
      <c r="S301" s="60" t="s">
        <v>659</v>
      </c>
      <c r="T301" s="60" t="s">
        <v>659</v>
      </c>
      <c r="U301" s="60" t="s">
        <v>130</v>
      </c>
      <c r="V301" s="61" t="s">
        <v>13</v>
      </c>
      <c r="W301" s="60" t="s">
        <v>660</v>
      </c>
    </row>
    <row r="302">
      <c r="A302" s="77"/>
      <c r="B302" s="77"/>
      <c r="P302" s="62" t="s">
        <v>727</v>
      </c>
      <c r="Q302" s="62" t="s">
        <v>726</v>
      </c>
      <c r="R302" s="62" t="s">
        <v>644</v>
      </c>
      <c r="S302" s="62" t="s">
        <v>659</v>
      </c>
      <c r="T302" s="62" t="s">
        <v>659</v>
      </c>
      <c r="U302" s="62" t="s">
        <v>130</v>
      </c>
      <c r="V302" s="61" t="s">
        <v>13</v>
      </c>
      <c r="W302" s="62" t="s">
        <v>660</v>
      </c>
    </row>
    <row r="303">
      <c r="A303" s="77"/>
      <c r="B303" s="77"/>
      <c r="P303" s="45" t="s">
        <v>728</v>
      </c>
      <c r="Q303" s="45" t="s">
        <v>729</v>
      </c>
      <c r="R303" s="45" t="s">
        <v>644</v>
      </c>
      <c r="S303" s="45" t="s">
        <v>709</v>
      </c>
      <c r="T303" s="45" t="s">
        <v>709</v>
      </c>
      <c r="U303" s="45" t="s">
        <v>130</v>
      </c>
      <c r="V303" s="47" t="s">
        <v>14</v>
      </c>
      <c r="W303" s="45" t="s">
        <v>710</v>
      </c>
    </row>
    <row r="304">
      <c r="A304" s="77"/>
      <c r="B304" s="77"/>
      <c r="P304" s="48" t="s">
        <v>730</v>
      </c>
      <c r="Q304" s="48" t="s">
        <v>729</v>
      </c>
      <c r="R304" s="48" t="s">
        <v>644</v>
      </c>
      <c r="S304" s="48" t="s">
        <v>659</v>
      </c>
      <c r="T304" s="48" t="s">
        <v>659</v>
      </c>
      <c r="U304" s="48" t="s">
        <v>130</v>
      </c>
      <c r="V304" s="47" t="s">
        <v>14</v>
      </c>
      <c r="W304" s="48" t="s">
        <v>683</v>
      </c>
    </row>
    <row r="305">
      <c r="A305" s="77"/>
      <c r="B305" s="77"/>
      <c r="P305" s="45" t="s">
        <v>731</v>
      </c>
      <c r="Q305" s="45" t="s">
        <v>729</v>
      </c>
      <c r="R305" s="45" t="s">
        <v>644</v>
      </c>
      <c r="S305" s="45" t="s">
        <v>709</v>
      </c>
      <c r="T305" s="45" t="s">
        <v>709</v>
      </c>
      <c r="U305" s="45" t="s">
        <v>130</v>
      </c>
      <c r="V305" s="47" t="s">
        <v>14</v>
      </c>
      <c r="W305" s="45" t="s">
        <v>710</v>
      </c>
    </row>
    <row r="306">
      <c r="A306" s="77"/>
      <c r="B306" s="77"/>
      <c r="P306" s="48" t="s">
        <v>732</v>
      </c>
      <c r="Q306" s="48" t="s">
        <v>729</v>
      </c>
      <c r="R306" s="48" t="s">
        <v>644</v>
      </c>
      <c r="S306" s="48" t="s">
        <v>709</v>
      </c>
      <c r="T306" s="48" t="s">
        <v>709</v>
      </c>
      <c r="U306" s="48" t="s">
        <v>130</v>
      </c>
      <c r="V306" s="47" t="s">
        <v>14</v>
      </c>
      <c r="W306" s="48" t="s">
        <v>710</v>
      </c>
    </row>
    <row r="307">
      <c r="A307" s="77"/>
      <c r="B307" s="77"/>
      <c r="P307" s="60" t="s">
        <v>733</v>
      </c>
      <c r="Q307" s="60" t="s">
        <v>726</v>
      </c>
      <c r="R307" s="60" t="s">
        <v>644</v>
      </c>
      <c r="S307" s="60" t="s">
        <v>709</v>
      </c>
      <c r="T307" s="60" t="s">
        <v>709</v>
      </c>
      <c r="U307" s="60" t="s">
        <v>130</v>
      </c>
      <c r="V307" s="61" t="s">
        <v>13</v>
      </c>
      <c r="W307" s="60" t="s">
        <v>734</v>
      </c>
    </row>
    <row r="308">
      <c r="A308" s="77"/>
      <c r="B308" s="77"/>
      <c r="P308" s="62" t="s">
        <v>735</v>
      </c>
      <c r="Q308" s="62" t="s">
        <v>726</v>
      </c>
      <c r="R308" s="62" t="s">
        <v>644</v>
      </c>
      <c r="S308" s="62" t="s">
        <v>709</v>
      </c>
      <c r="T308" s="62" t="s">
        <v>709</v>
      </c>
      <c r="U308" s="62" t="s">
        <v>215</v>
      </c>
      <c r="V308" s="61" t="s">
        <v>13</v>
      </c>
      <c r="W308" s="62" t="s">
        <v>734</v>
      </c>
    </row>
    <row r="309">
      <c r="A309" s="77"/>
      <c r="B309" s="77"/>
      <c r="P309" s="45" t="s">
        <v>736</v>
      </c>
      <c r="Q309" s="45" t="s">
        <v>737</v>
      </c>
      <c r="R309" s="45" t="s">
        <v>644</v>
      </c>
      <c r="S309" s="45" t="s">
        <v>709</v>
      </c>
      <c r="T309" s="45" t="s">
        <v>709</v>
      </c>
      <c r="U309" s="45" t="s">
        <v>130</v>
      </c>
      <c r="V309" s="47" t="s">
        <v>14</v>
      </c>
      <c r="W309" s="45" t="s">
        <v>710</v>
      </c>
    </row>
    <row r="310">
      <c r="A310" s="77"/>
      <c r="B310" s="77"/>
      <c r="P310" s="48" t="s">
        <v>738</v>
      </c>
      <c r="Q310" s="48" t="s">
        <v>737</v>
      </c>
      <c r="R310" s="48" t="s">
        <v>644</v>
      </c>
      <c r="S310" s="48" t="s">
        <v>709</v>
      </c>
      <c r="T310" s="48" t="s">
        <v>709</v>
      </c>
      <c r="U310" s="48" t="s">
        <v>130</v>
      </c>
      <c r="V310" s="47" t="s">
        <v>14</v>
      </c>
      <c r="W310" s="48" t="s">
        <v>710</v>
      </c>
    </row>
    <row r="311">
      <c r="A311" s="77"/>
      <c r="B311" s="77"/>
      <c r="P311" s="45" t="s">
        <v>739</v>
      </c>
      <c r="Q311" s="45" t="s">
        <v>144</v>
      </c>
      <c r="R311" s="45" t="s">
        <v>644</v>
      </c>
      <c r="S311" s="45" t="s">
        <v>652</v>
      </c>
      <c r="T311" s="45" t="s">
        <v>652</v>
      </c>
      <c r="U311" s="46"/>
      <c r="V311" s="47" t="s">
        <v>14</v>
      </c>
      <c r="W311" s="45" t="s">
        <v>740</v>
      </c>
    </row>
    <row r="312">
      <c r="A312" s="77"/>
      <c r="B312" s="77"/>
      <c r="P312" s="48" t="s">
        <v>741</v>
      </c>
      <c r="Q312" s="48" t="s">
        <v>144</v>
      </c>
      <c r="R312" s="48" t="s">
        <v>644</v>
      </c>
      <c r="S312" s="48" t="s">
        <v>652</v>
      </c>
      <c r="T312" s="48" t="s">
        <v>652</v>
      </c>
      <c r="U312" s="49"/>
      <c r="V312" s="47" t="s">
        <v>14</v>
      </c>
      <c r="W312" s="48" t="s">
        <v>740</v>
      </c>
    </row>
    <row r="313">
      <c r="A313" s="77"/>
      <c r="B313" s="77"/>
      <c r="P313" s="45" t="s">
        <v>742</v>
      </c>
      <c r="Q313" s="45" t="s">
        <v>144</v>
      </c>
      <c r="R313" s="45" t="s">
        <v>644</v>
      </c>
      <c r="S313" s="45" t="s">
        <v>652</v>
      </c>
      <c r="T313" s="45" t="s">
        <v>652</v>
      </c>
      <c r="U313" s="46"/>
      <c r="V313" s="47" t="s">
        <v>14</v>
      </c>
      <c r="W313" s="45" t="s">
        <v>740</v>
      </c>
    </row>
    <row r="314">
      <c r="A314" s="77"/>
      <c r="B314" s="77"/>
      <c r="P314" s="48" t="s">
        <v>743</v>
      </c>
      <c r="Q314" s="48" t="s">
        <v>744</v>
      </c>
      <c r="R314" s="48" t="s">
        <v>745</v>
      </c>
      <c r="S314" s="48" t="s">
        <v>746</v>
      </c>
      <c r="T314" s="48" t="s">
        <v>746</v>
      </c>
      <c r="U314" s="48" t="s">
        <v>89</v>
      </c>
      <c r="V314" s="47" t="s">
        <v>14</v>
      </c>
      <c r="W314" s="48" t="s">
        <v>747</v>
      </c>
    </row>
    <row r="315">
      <c r="A315" s="77"/>
      <c r="B315" s="77"/>
      <c r="P315" s="45" t="s">
        <v>748</v>
      </c>
      <c r="Q315" s="45" t="s">
        <v>744</v>
      </c>
      <c r="R315" s="45" t="s">
        <v>745</v>
      </c>
      <c r="S315" s="45" t="s">
        <v>746</v>
      </c>
      <c r="T315" s="45" t="s">
        <v>746</v>
      </c>
      <c r="U315" s="45" t="s">
        <v>130</v>
      </c>
      <c r="V315" s="47" t="s">
        <v>14</v>
      </c>
      <c r="W315" s="45" t="s">
        <v>747</v>
      </c>
    </row>
    <row r="316">
      <c r="A316" s="77"/>
      <c r="B316" s="77"/>
      <c r="P316" s="48" t="s">
        <v>749</v>
      </c>
      <c r="Q316" s="48" t="s">
        <v>744</v>
      </c>
      <c r="R316" s="48" t="s">
        <v>745</v>
      </c>
      <c r="S316" s="48" t="s">
        <v>746</v>
      </c>
      <c r="T316" s="48" t="s">
        <v>746</v>
      </c>
      <c r="U316" s="48" t="s">
        <v>130</v>
      </c>
      <c r="V316" s="47" t="s">
        <v>14</v>
      </c>
      <c r="W316" s="48" t="s">
        <v>747</v>
      </c>
    </row>
    <row r="317">
      <c r="A317" s="77"/>
      <c r="B317" s="77"/>
      <c r="P317" s="45" t="s">
        <v>750</v>
      </c>
      <c r="Q317" s="45" t="s">
        <v>744</v>
      </c>
      <c r="R317" s="45" t="s">
        <v>745</v>
      </c>
      <c r="S317" s="45" t="s">
        <v>746</v>
      </c>
      <c r="T317" s="45" t="s">
        <v>746</v>
      </c>
      <c r="U317" s="45" t="s">
        <v>130</v>
      </c>
      <c r="V317" s="47" t="s">
        <v>14</v>
      </c>
      <c r="W317" s="45" t="s">
        <v>747</v>
      </c>
    </row>
    <row r="318">
      <c r="A318" s="77"/>
      <c r="B318" s="77"/>
      <c r="P318" s="62" t="s">
        <v>751</v>
      </c>
      <c r="Q318" s="62" t="s">
        <v>651</v>
      </c>
      <c r="R318" s="62" t="s">
        <v>644</v>
      </c>
      <c r="S318" s="62" t="s">
        <v>652</v>
      </c>
      <c r="T318" s="62" t="s">
        <v>652</v>
      </c>
      <c r="U318" s="64"/>
      <c r="V318" s="61" t="s">
        <v>13</v>
      </c>
      <c r="W318" s="62" t="s">
        <v>653</v>
      </c>
    </row>
    <row r="319">
      <c r="A319" s="77"/>
      <c r="B319" s="77"/>
      <c r="P319" s="45" t="s">
        <v>752</v>
      </c>
      <c r="Q319" s="45" t="s">
        <v>753</v>
      </c>
      <c r="R319" s="45" t="s">
        <v>745</v>
      </c>
      <c r="S319" s="45" t="s">
        <v>754</v>
      </c>
      <c r="T319" s="45" t="s">
        <v>754</v>
      </c>
      <c r="U319" s="46"/>
      <c r="V319" s="47" t="s">
        <v>14</v>
      </c>
      <c r="W319" s="45" t="s">
        <v>755</v>
      </c>
    </row>
    <row r="320">
      <c r="A320" s="77"/>
      <c r="B320" s="77"/>
      <c r="P320" s="48" t="s">
        <v>756</v>
      </c>
      <c r="Q320" s="48" t="s">
        <v>753</v>
      </c>
      <c r="R320" s="48" t="s">
        <v>745</v>
      </c>
      <c r="S320" s="48" t="s">
        <v>754</v>
      </c>
      <c r="T320" s="48" t="s">
        <v>754</v>
      </c>
      <c r="U320" s="48" t="s">
        <v>89</v>
      </c>
      <c r="V320" s="47" t="s">
        <v>14</v>
      </c>
      <c r="W320" s="48" t="s">
        <v>755</v>
      </c>
    </row>
    <row r="321">
      <c r="A321" s="77"/>
      <c r="B321" s="77"/>
      <c r="P321" s="45" t="s">
        <v>757</v>
      </c>
      <c r="Q321" s="45" t="s">
        <v>758</v>
      </c>
      <c r="R321" s="45" t="s">
        <v>745</v>
      </c>
      <c r="S321" s="45" t="s">
        <v>746</v>
      </c>
      <c r="T321" s="45" t="s">
        <v>746</v>
      </c>
      <c r="U321" s="45" t="s">
        <v>89</v>
      </c>
      <c r="V321" s="47" t="s">
        <v>14</v>
      </c>
      <c r="W321" s="45" t="s">
        <v>747</v>
      </c>
    </row>
    <row r="322">
      <c r="A322" s="77"/>
      <c r="B322" s="77"/>
      <c r="P322" s="48" t="s">
        <v>759</v>
      </c>
      <c r="Q322" s="48" t="s">
        <v>760</v>
      </c>
      <c r="R322" s="48" t="s">
        <v>761</v>
      </c>
      <c r="S322" s="48" t="s">
        <v>762</v>
      </c>
      <c r="T322" s="48" t="s">
        <v>762</v>
      </c>
      <c r="U322" s="48" t="s">
        <v>130</v>
      </c>
      <c r="V322" s="47" t="s">
        <v>14</v>
      </c>
      <c r="W322" s="48" t="s">
        <v>763</v>
      </c>
    </row>
    <row r="323">
      <c r="A323" s="77"/>
      <c r="B323" s="77"/>
      <c r="P323" s="45" t="s">
        <v>764</v>
      </c>
      <c r="Q323" s="45" t="s">
        <v>760</v>
      </c>
      <c r="R323" s="45" t="s">
        <v>761</v>
      </c>
      <c r="S323" s="45" t="s">
        <v>762</v>
      </c>
      <c r="T323" s="45" t="s">
        <v>762</v>
      </c>
      <c r="U323" s="45" t="s">
        <v>130</v>
      </c>
      <c r="V323" s="47" t="s">
        <v>14</v>
      </c>
      <c r="W323" s="45" t="s">
        <v>763</v>
      </c>
    </row>
    <row r="324">
      <c r="A324" s="77"/>
      <c r="B324" s="77"/>
      <c r="P324" s="48" t="s">
        <v>765</v>
      </c>
      <c r="Q324" s="48" t="s">
        <v>760</v>
      </c>
      <c r="R324" s="48" t="s">
        <v>761</v>
      </c>
      <c r="S324" s="48" t="s">
        <v>762</v>
      </c>
      <c r="T324" s="48" t="s">
        <v>762</v>
      </c>
      <c r="U324" s="48" t="s">
        <v>130</v>
      </c>
      <c r="V324" s="47" t="s">
        <v>14</v>
      </c>
      <c r="W324" s="48" t="s">
        <v>763</v>
      </c>
    </row>
    <row r="325">
      <c r="A325" s="77"/>
      <c r="B325" s="77"/>
      <c r="P325" s="45" t="s">
        <v>766</v>
      </c>
      <c r="Q325" s="45" t="s">
        <v>73</v>
      </c>
      <c r="R325" s="45" t="s">
        <v>74</v>
      </c>
      <c r="S325" s="45" t="s">
        <v>75</v>
      </c>
      <c r="T325" s="45" t="s">
        <v>75</v>
      </c>
      <c r="U325" s="45" t="s">
        <v>89</v>
      </c>
      <c r="V325" s="47" t="s">
        <v>14</v>
      </c>
      <c r="W325" s="45" t="s">
        <v>76</v>
      </c>
    </row>
    <row r="326">
      <c r="A326" s="77"/>
      <c r="B326" s="77"/>
      <c r="P326" s="62" t="s">
        <v>767</v>
      </c>
      <c r="Q326" s="62" t="s">
        <v>768</v>
      </c>
      <c r="R326" s="62" t="s">
        <v>107</v>
      </c>
      <c r="S326" s="62" t="s">
        <v>120</v>
      </c>
      <c r="T326" s="62" t="s">
        <v>120</v>
      </c>
      <c r="U326" s="64"/>
      <c r="V326" s="61" t="s">
        <v>13</v>
      </c>
      <c r="W326" s="62" t="s">
        <v>769</v>
      </c>
    </row>
    <row r="327">
      <c r="A327" s="77"/>
      <c r="B327" s="77"/>
      <c r="P327" s="60" t="s">
        <v>770</v>
      </c>
      <c r="Q327" s="60" t="s">
        <v>768</v>
      </c>
      <c r="R327" s="60" t="s">
        <v>107</v>
      </c>
      <c r="S327" s="60" t="s">
        <v>120</v>
      </c>
      <c r="T327" s="60" t="s">
        <v>120</v>
      </c>
      <c r="U327" s="63"/>
      <c r="V327" s="61" t="s">
        <v>13</v>
      </c>
      <c r="W327" s="60" t="s">
        <v>769</v>
      </c>
    </row>
    <row r="328">
      <c r="A328" s="77"/>
      <c r="B328" s="77"/>
      <c r="P328" s="62" t="s">
        <v>771</v>
      </c>
      <c r="Q328" s="62" t="s">
        <v>768</v>
      </c>
      <c r="R328" s="62" t="s">
        <v>107</v>
      </c>
      <c r="S328" s="62" t="s">
        <v>120</v>
      </c>
      <c r="T328" s="62" t="s">
        <v>120</v>
      </c>
      <c r="U328" s="64"/>
      <c r="V328" s="61" t="s">
        <v>13</v>
      </c>
      <c r="W328" s="62" t="s">
        <v>769</v>
      </c>
    </row>
    <row r="329">
      <c r="A329" s="77"/>
      <c r="B329" s="77"/>
      <c r="P329" s="45" t="s">
        <v>772</v>
      </c>
      <c r="Q329" s="45" t="s">
        <v>773</v>
      </c>
      <c r="R329" s="45" t="s">
        <v>107</v>
      </c>
      <c r="S329" s="45" t="s">
        <v>108</v>
      </c>
      <c r="T329" s="45" t="s">
        <v>108</v>
      </c>
      <c r="U329" s="45" t="s">
        <v>130</v>
      </c>
      <c r="V329" s="47" t="s">
        <v>14</v>
      </c>
      <c r="W329" s="45" t="s">
        <v>109</v>
      </c>
    </row>
    <row r="330">
      <c r="A330" s="77"/>
      <c r="B330" s="77"/>
      <c r="P330" s="62" t="s">
        <v>774</v>
      </c>
      <c r="Q330" s="62" t="s">
        <v>542</v>
      </c>
      <c r="R330" s="62" t="s">
        <v>139</v>
      </c>
      <c r="S330" s="62" t="s">
        <v>775</v>
      </c>
      <c r="T330" s="62" t="s">
        <v>775</v>
      </c>
      <c r="U330" s="64"/>
      <c r="V330" s="61" t="s">
        <v>13</v>
      </c>
      <c r="W330" s="62" t="s">
        <v>776</v>
      </c>
    </row>
    <row r="331">
      <c r="A331" s="77"/>
      <c r="B331" s="77"/>
      <c r="P331" s="60" t="s">
        <v>777</v>
      </c>
      <c r="Q331" s="60" t="s">
        <v>542</v>
      </c>
      <c r="R331" s="60" t="s">
        <v>139</v>
      </c>
      <c r="S331" s="60" t="s">
        <v>775</v>
      </c>
      <c r="T331" s="60" t="s">
        <v>775</v>
      </c>
      <c r="U331" s="63"/>
      <c r="V331" s="61" t="s">
        <v>13</v>
      </c>
      <c r="W331" s="60" t="s">
        <v>776</v>
      </c>
    </row>
    <row r="332">
      <c r="A332" s="77"/>
      <c r="B332" s="77"/>
      <c r="P332" s="62" t="s">
        <v>778</v>
      </c>
      <c r="Q332" s="62" t="s">
        <v>542</v>
      </c>
      <c r="R332" s="62" t="s">
        <v>139</v>
      </c>
      <c r="S332" s="62" t="s">
        <v>775</v>
      </c>
      <c r="T332" s="62" t="s">
        <v>775</v>
      </c>
      <c r="U332" s="62" t="s">
        <v>130</v>
      </c>
      <c r="V332" s="61" t="s">
        <v>13</v>
      </c>
      <c r="W332" s="62" t="s">
        <v>776</v>
      </c>
    </row>
    <row r="333">
      <c r="A333" s="77"/>
      <c r="B333" s="77"/>
      <c r="P333" s="60" t="s">
        <v>779</v>
      </c>
      <c r="Q333" s="60" t="s">
        <v>542</v>
      </c>
      <c r="R333" s="60" t="s">
        <v>139</v>
      </c>
      <c r="S333" s="60" t="s">
        <v>775</v>
      </c>
      <c r="T333" s="60" t="s">
        <v>775</v>
      </c>
      <c r="U333" s="63"/>
      <c r="V333" s="61" t="s">
        <v>13</v>
      </c>
      <c r="W333" s="60" t="s">
        <v>776</v>
      </c>
    </row>
    <row r="334">
      <c r="A334" s="77"/>
      <c r="B334" s="77"/>
      <c r="P334" s="62" t="s">
        <v>780</v>
      </c>
      <c r="Q334" s="62" t="s">
        <v>542</v>
      </c>
      <c r="R334" s="62" t="s">
        <v>139</v>
      </c>
      <c r="S334" s="62" t="s">
        <v>775</v>
      </c>
      <c r="T334" s="62" t="s">
        <v>775</v>
      </c>
      <c r="U334" s="62" t="s">
        <v>130</v>
      </c>
      <c r="V334" s="61" t="s">
        <v>13</v>
      </c>
      <c r="W334" s="62" t="s">
        <v>776</v>
      </c>
    </row>
    <row r="335">
      <c r="A335" s="77"/>
      <c r="B335" s="77"/>
      <c r="P335" s="60" t="s">
        <v>781</v>
      </c>
      <c r="Q335" s="60" t="s">
        <v>542</v>
      </c>
      <c r="R335" s="60" t="s">
        <v>139</v>
      </c>
      <c r="S335" s="60" t="s">
        <v>775</v>
      </c>
      <c r="T335" s="60" t="s">
        <v>775</v>
      </c>
      <c r="U335" s="60" t="s">
        <v>130</v>
      </c>
      <c r="V335" s="61" t="s">
        <v>13</v>
      </c>
      <c r="W335" s="60" t="s">
        <v>776</v>
      </c>
    </row>
    <row r="336">
      <c r="A336" s="77"/>
      <c r="B336" s="77"/>
      <c r="P336" s="48" t="s">
        <v>782</v>
      </c>
      <c r="Q336" s="48" t="s">
        <v>783</v>
      </c>
      <c r="R336" s="48" t="s">
        <v>139</v>
      </c>
      <c r="S336" s="48" t="s">
        <v>784</v>
      </c>
      <c r="T336" s="48" t="s">
        <v>784</v>
      </c>
      <c r="U336" s="49"/>
      <c r="V336" s="47" t="s">
        <v>14</v>
      </c>
      <c r="W336" s="48" t="s">
        <v>785</v>
      </c>
    </row>
    <row r="337">
      <c r="A337" s="77"/>
      <c r="B337" s="77"/>
      <c r="P337" s="60" t="s">
        <v>786</v>
      </c>
      <c r="Q337" s="60" t="s">
        <v>787</v>
      </c>
      <c r="R337" s="60" t="s">
        <v>139</v>
      </c>
      <c r="S337" s="60" t="s">
        <v>145</v>
      </c>
      <c r="T337" s="60" t="s">
        <v>145</v>
      </c>
      <c r="U337" s="60" t="s">
        <v>130</v>
      </c>
      <c r="V337" s="61" t="s">
        <v>13</v>
      </c>
      <c r="W337" s="60" t="s">
        <v>788</v>
      </c>
    </row>
    <row r="338">
      <c r="A338" s="77"/>
      <c r="B338" s="77"/>
      <c r="P338" s="62" t="s">
        <v>789</v>
      </c>
      <c r="Q338" s="62" t="s">
        <v>787</v>
      </c>
      <c r="R338" s="62" t="s">
        <v>139</v>
      </c>
      <c r="S338" s="62" t="s">
        <v>145</v>
      </c>
      <c r="T338" s="62" t="s">
        <v>145</v>
      </c>
      <c r="U338" s="62" t="s">
        <v>130</v>
      </c>
      <c r="V338" s="61" t="s">
        <v>13</v>
      </c>
      <c r="W338" s="62" t="s">
        <v>788</v>
      </c>
    </row>
    <row r="339">
      <c r="A339" s="77"/>
      <c r="B339" s="77"/>
      <c r="P339" s="60" t="s">
        <v>790</v>
      </c>
      <c r="Q339" s="60" t="s">
        <v>787</v>
      </c>
      <c r="R339" s="60" t="s">
        <v>139</v>
      </c>
      <c r="S339" s="60" t="s">
        <v>145</v>
      </c>
      <c r="T339" s="60" t="s">
        <v>145</v>
      </c>
      <c r="U339" s="60" t="s">
        <v>130</v>
      </c>
      <c r="V339" s="61" t="s">
        <v>13</v>
      </c>
      <c r="W339" s="60" t="s">
        <v>788</v>
      </c>
    </row>
    <row r="340">
      <c r="A340" s="77"/>
      <c r="B340" s="77"/>
      <c r="P340" s="62" t="s">
        <v>791</v>
      </c>
      <c r="Q340" s="62" t="s">
        <v>787</v>
      </c>
      <c r="R340" s="62" t="s">
        <v>139</v>
      </c>
      <c r="S340" s="62" t="s">
        <v>145</v>
      </c>
      <c r="T340" s="62" t="s">
        <v>145</v>
      </c>
      <c r="U340" s="62" t="s">
        <v>130</v>
      </c>
      <c r="V340" s="61" t="s">
        <v>13</v>
      </c>
      <c r="W340" s="62" t="s">
        <v>788</v>
      </c>
    </row>
    <row r="341">
      <c r="A341" s="77"/>
      <c r="B341" s="77"/>
      <c r="P341" s="60" t="s">
        <v>792</v>
      </c>
      <c r="Q341" s="60" t="s">
        <v>787</v>
      </c>
      <c r="R341" s="60" t="s">
        <v>139</v>
      </c>
      <c r="S341" s="60" t="s">
        <v>145</v>
      </c>
      <c r="T341" s="60" t="s">
        <v>145</v>
      </c>
      <c r="U341" s="60" t="s">
        <v>130</v>
      </c>
      <c r="V341" s="61" t="s">
        <v>13</v>
      </c>
      <c r="W341" s="60" t="s">
        <v>788</v>
      </c>
    </row>
    <row r="342">
      <c r="A342" s="77"/>
      <c r="B342" s="77"/>
      <c r="P342" s="48" t="s">
        <v>793</v>
      </c>
      <c r="Q342" s="48" t="s">
        <v>794</v>
      </c>
      <c r="R342" s="48" t="s">
        <v>795</v>
      </c>
      <c r="S342" s="48" t="s">
        <v>796</v>
      </c>
      <c r="T342" s="48" t="s">
        <v>796</v>
      </c>
      <c r="U342" s="48" t="s">
        <v>89</v>
      </c>
      <c r="V342" s="47" t="s">
        <v>14</v>
      </c>
      <c r="W342" s="48" t="s">
        <v>797</v>
      </c>
    </row>
    <row r="343">
      <c r="A343" s="77"/>
      <c r="B343" s="77"/>
      <c r="P343" s="45" t="s">
        <v>798</v>
      </c>
      <c r="Q343" s="45" t="s">
        <v>794</v>
      </c>
      <c r="R343" s="45" t="s">
        <v>795</v>
      </c>
      <c r="S343" s="45" t="s">
        <v>796</v>
      </c>
      <c r="T343" s="45" t="s">
        <v>796</v>
      </c>
      <c r="U343" s="45" t="s">
        <v>89</v>
      </c>
      <c r="V343" s="47" t="s">
        <v>14</v>
      </c>
      <c r="W343" s="45" t="s">
        <v>797</v>
      </c>
    </row>
    <row r="344">
      <c r="A344" s="77"/>
      <c r="B344" s="77"/>
      <c r="P344" s="62" t="s">
        <v>799</v>
      </c>
      <c r="Q344" s="62" t="s">
        <v>800</v>
      </c>
      <c r="R344" s="62" t="s">
        <v>795</v>
      </c>
      <c r="S344" s="62" t="s">
        <v>801</v>
      </c>
      <c r="T344" s="62" t="s">
        <v>801</v>
      </c>
      <c r="U344" s="64"/>
      <c r="V344" s="61" t="s">
        <v>13</v>
      </c>
      <c r="W344" s="62" t="s">
        <v>802</v>
      </c>
    </row>
    <row r="345">
      <c r="A345" s="77"/>
      <c r="B345" s="77"/>
      <c r="P345" s="60" t="s">
        <v>803</v>
      </c>
      <c r="Q345" s="60" t="s">
        <v>804</v>
      </c>
      <c r="R345" s="60" t="s">
        <v>795</v>
      </c>
      <c r="S345" s="60" t="s">
        <v>805</v>
      </c>
      <c r="T345" s="60" t="s">
        <v>805</v>
      </c>
      <c r="U345" s="60" t="s">
        <v>292</v>
      </c>
      <c r="V345" s="61" t="s">
        <v>13</v>
      </c>
      <c r="W345" s="60" t="s">
        <v>806</v>
      </c>
    </row>
    <row r="346">
      <c r="A346" s="77"/>
      <c r="B346" s="77"/>
      <c r="P346" s="48" t="s">
        <v>807</v>
      </c>
      <c r="Q346" s="48" t="s">
        <v>542</v>
      </c>
      <c r="R346" s="48" t="s">
        <v>180</v>
      </c>
      <c r="S346" s="48" t="s">
        <v>808</v>
      </c>
      <c r="T346" s="48" t="s">
        <v>808</v>
      </c>
      <c r="U346" s="49"/>
      <c r="V346" s="47" t="s">
        <v>14</v>
      </c>
      <c r="W346" s="48" t="s">
        <v>809</v>
      </c>
    </row>
    <row r="347">
      <c r="A347" s="77"/>
      <c r="B347" s="77"/>
      <c r="P347" s="45" t="s">
        <v>810</v>
      </c>
      <c r="Q347" s="45" t="s">
        <v>542</v>
      </c>
      <c r="R347" s="45" t="s">
        <v>180</v>
      </c>
      <c r="S347" s="45" t="s">
        <v>808</v>
      </c>
      <c r="T347" s="45" t="s">
        <v>808</v>
      </c>
      <c r="U347" s="46"/>
      <c r="V347" s="47" t="s">
        <v>14</v>
      </c>
      <c r="W347" s="45" t="s">
        <v>809</v>
      </c>
    </row>
    <row r="348">
      <c r="A348" s="77"/>
      <c r="B348" s="77"/>
      <c r="P348" s="48" t="s">
        <v>811</v>
      </c>
      <c r="Q348" s="48" t="s">
        <v>542</v>
      </c>
      <c r="R348" s="48" t="s">
        <v>180</v>
      </c>
      <c r="S348" s="48" t="s">
        <v>808</v>
      </c>
      <c r="T348" s="48" t="s">
        <v>808</v>
      </c>
      <c r="U348" s="49"/>
      <c r="V348" s="47" t="s">
        <v>14</v>
      </c>
      <c r="W348" s="48" t="s">
        <v>809</v>
      </c>
    </row>
    <row r="349">
      <c r="A349" s="77"/>
      <c r="B349" s="77"/>
      <c r="P349" s="45" t="s">
        <v>812</v>
      </c>
      <c r="Q349" s="45" t="s">
        <v>542</v>
      </c>
      <c r="R349" s="45" t="s">
        <v>180</v>
      </c>
      <c r="S349" s="45" t="s">
        <v>808</v>
      </c>
      <c r="T349" s="45" t="s">
        <v>808</v>
      </c>
      <c r="U349" s="46"/>
      <c r="V349" s="47" t="s">
        <v>14</v>
      </c>
      <c r="W349" s="45" t="s">
        <v>809</v>
      </c>
    </row>
    <row r="350">
      <c r="A350" s="77"/>
      <c r="B350" s="77"/>
      <c r="P350" s="62" t="s">
        <v>813</v>
      </c>
      <c r="Q350" s="62" t="s">
        <v>814</v>
      </c>
      <c r="R350" s="62" t="s">
        <v>180</v>
      </c>
      <c r="S350" s="62" t="s">
        <v>815</v>
      </c>
      <c r="T350" s="62" t="s">
        <v>815</v>
      </c>
      <c r="U350" s="62" t="s">
        <v>130</v>
      </c>
      <c r="V350" s="61" t="s">
        <v>13</v>
      </c>
      <c r="W350" s="62" t="s">
        <v>816</v>
      </c>
    </row>
    <row r="351">
      <c r="A351" s="77"/>
      <c r="B351" s="77"/>
      <c r="P351" s="60" t="s">
        <v>817</v>
      </c>
      <c r="Q351" s="60" t="s">
        <v>814</v>
      </c>
      <c r="R351" s="60" t="s">
        <v>180</v>
      </c>
      <c r="S351" s="60" t="s">
        <v>815</v>
      </c>
      <c r="T351" s="60" t="s">
        <v>815</v>
      </c>
      <c r="U351" s="60" t="s">
        <v>130</v>
      </c>
      <c r="V351" s="61" t="s">
        <v>13</v>
      </c>
      <c r="W351" s="60" t="s">
        <v>816</v>
      </c>
    </row>
    <row r="352">
      <c r="A352" s="77"/>
      <c r="B352" s="77"/>
      <c r="P352" s="62" t="s">
        <v>818</v>
      </c>
      <c r="Q352" s="62" t="s">
        <v>814</v>
      </c>
      <c r="R352" s="62" t="s">
        <v>180</v>
      </c>
      <c r="S352" s="62" t="s">
        <v>815</v>
      </c>
      <c r="T352" s="62" t="s">
        <v>815</v>
      </c>
      <c r="U352" s="62" t="s">
        <v>130</v>
      </c>
      <c r="V352" s="61" t="s">
        <v>13</v>
      </c>
      <c r="W352" s="62" t="s">
        <v>816</v>
      </c>
    </row>
    <row r="353">
      <c r="A353" s="77"/>
      <c r="B353" s="77"/>
      <c r="P353" s="60" t="s">
        <v>819</v>
      </c>
      <c r="Q353" s="60" t="s">
        <v>814</v>
      </c>
      <c r="R353" s="60" t="s">
        <v>180</v>
      </c>
      <c r="S353" s="60" t="s">
        <v>815</v>
      </c>
      <c r="T353" s="60" t="s">
        <v>815</v>
      </c>
      <c r="U353" s="60" t="s">
        <v>130</v>
      </c>
      <c r="V353" s="61" t="s">
        <v>13</v>
      </c>
      <c r="W353" s="60" t="s">
        <v>816</v>
      </c>
    </row>
    <row r="354">
      <c r="A354" s="77"/>
      <c r="B354" s="77"/>
      <c r="P354" s="62" t="s">
        <v>820</v>
      </c>
      <c r="Q354" s="62" t="s">
        <v>814</v>
      </c>
      <c r="R354" s="62" t="s">
        <v>180</v>
      </c>
      <c r="S354" s="62" t="s">
        <v>815</v>
      </c>
      <c r="T354" s="62" t="s">
        <v>815</v>
      </c>
      <c r="U354" s="64"/>
      <c r="V354" s="61" t="s">
        <v>13</v>
      </c>
      <c r="W354" s="62" t="s">
        <v>816</v>
      </c>
    </row>
    <row r="355">
      <c r="A355" s="77"/>
      <c r="B355" s="77"/>
      <c r="P355" s="60" t="s">
        <v>821</v>
      </c>
      <c r="Q355" s="60" t="s">
        <v>814</v>
      </c>
      <c r="R355" s="60" t="s">
        <v>180</v>
      </c>
      <c r="S355" s="60" t="s">
        <v>815</v>
      </c>
      <c r="T355" s="60" t="s">
        <v>815</v>
      </c>
      <c r="U355" s="63"/>
      <c r="V355" s="61" t="s">
        <v>13</v>
      </c>
      <c r="W355" s="60" t="s">
        <v>816</v>
      </c>
    </row>
    <row r="356">
      <c r="A356" s="77"/>
      <c r="B356" s="77"/>
      <c r="P356" s="62" t="s">
        <v>822</v>
      </c>
      <c r="Q356" s="62" t="s">
        <v>814</v>
      </c>
      <c r="R356" s="62" t="s">
        <v>180</v>
      </c>
      <c r="S356" s="62" t="s">
        <v>815</v>
      </c>
      <c r="T356" s="62" t="s">
        <v>815</v>
      </c>
      <c r="U356" s="64"/>
      <c r="V356" s="61" t="s">
        <v>13</v>
      </c>
      <c r="W356" s="62" t="s">
        <v>816</v>
      </c>
    </row>
    <row r="357">
      <c r="A357" s="77"/>
      <c r="B357" s="77"/>
      <c r="P357" s="60" t="s">
        <v>823</v>
      </c>
      <c r="Q357" s="60" t="s">
        <v>814</v>
      </c>
      <c r="R357" s="60" t="s">
        <v>180</v>
      </c>
      <c r="S357" s="60" t="s">
        <v>815</v>
      </c>
      <c r="T357" s="60" t="s">
        <v>815</v>
      </c>
      <c r="U357" s="63"/>
      <c r="V357" s="61" t="s">
        <v>13</v>
      </c>
      <c r="W357" s="60" t="s">
        <v>816</v>
      </c>
    </row>
    <row r="358">
      <c r="A358" s="77"/>
      <c r="B358" s="77"/>
      <c r="P358" s="62" t="s">
        <v>824</v>
      </c>
      <c r="Q358" s="62" t="s">
        <v>814</v>
      </c>
      <c r="R358" s="62" t="s">
        <v>180</v>
      </c>
      <c r="S358" s="62" t="s">
        <v>815</v>
      </c>
      <c r="T358" s="62" t="s">
        <v>815</v>
      </c>
      <c r="U358" s="62" t="s">
        <v>130</v>
      </c>
      <c r="V358" s="61" t="s">
        <v>13</v>
      </c>
      <c r="W358" s="62" t="s">
        <v>816</v>
      </c>
    </row>
    <row r="359">
      <c r="A359" s="77"/>
      <c r="B359" s="77"/>
      <c r="P359" s="45" t="s">
        <v>825</v>
      </c>
      <c r="Q359" s="45" t="s">
        <v>826</v>
      </c>
      <c r="R359" s="45" t="s">
        <v>180</v>
      </c>
      <c r="S359" s="45" t="s">
        <v>181</v>
      </c>
      <c r="T359" s="45" t="s">
        <v>181</v>
      </c>
      <c r="U359" s="45" t="s">
        <v>130</v>
      </c>
      <c r="V359" s="47" t="s">
        <v>14</v>
      </c>
      <c r="W359" s="45" t="s">
        <v>827</v>
      </c>
    </row>
    <row r="360">
      <c r="A360" s="77"/>
      <c r="B360" s="77"/>
      <c r="P360" s="62" t="s">
        <v>828</v>
      </c>
      <c r="Q360" s="62" t="s">
        <v>814</v>
      </c>
      <c r="R360" s="62" t="s">
        <v>180</v>
      </c>
      <c r="S360" s="62" t="s">
        <v>815</v>
      </c>
      <c r="T360" s="62" t="s">
        <v>815</v>
      </c>
      <c r="U360" s="64"/>
      <c r="V360" s="61" t="s">
        <v>13</v>
      </c>
      <c r="W360" s="62" t="s">
        <v>816</v>
      </c>
    </row>
    <row r="361">
      <c r="A361" s="77"/>
      <c r="B361" s="77"/>
      <c r="P361" s="45" t="s">
        <v>829</v>
      </c>
      <c r="Q361" s="45" t="s">
        <v>830</v>
      </c>
      <c r="R361" s="45" t="s">
        <v>180</v>
      </c>
      <c r="S361" s="45" t="s">
        <v>181</v>
      </c>
      <c r="T361" s="45" t="s">
        <v>181</v>
      </c>
      <c r="U361" s="46"/>
      <c r="V361" s="47" t="s">
        <v>14</v>
      </c>
      <c r="W361" s="45" t="s">
        <v>827</v>
      </c>
    </row>
    <row r="362">
      <c r="A362" s="77"/>
      <c r="B362" s="77"/>
      <c r="P362" s="48" t="s">
        <v>831</v>
      </c>
      <c r="Q362" s="48" t="s">
        <v>830</v>
      </c>
      <c r="R362" s="48" t="s">
        <v>180</v>
      </c>
      <c r="S362" s="48" t="s">
        <v>181</v>
      </c>
      <c r="T362" s="48" t="s">
        <v>181</v>
      </c>
      <c r="U362" s="49"/>
      <c r="V362" s="47" t="s">
        <v>14</v>
      </c>
      <c r="W362" s="48" t="s">
        <v>827</v>
      </c>
    </row>
    <row r="363">
      <c r="A363" s="77"/>
      <c r="B363" s="77"/>
      <c r="P363" s="45" t="s">
        <v>832</v>
      </c>
      <c r="Q363" s="45" t="s">
        <v>830</v>
      </c>
      <c r="R363" s="45" t="s">
        <v>180</v>
      </c>
      <c r="S363" s="45" t="s">
        <v>181</v>
      </c>
      <c r="T363" s="45" t="s">
        <v>181</v>
      </c>
      <c r="U363" s="46"/>
      <c r="V363" s="47" t="s">
        <v>14</v>
      </c>
      <c r="W363" s="45" t="s">
        <v>827</v>
      </c>
    </row>
    <row r="364">
      <c r="A364" s="77"/>
      <c r="B364" s="77"/>
      <c r="P364" s="48" t="s">
        <v>833</v>
      </c>
      <c r="Q364" s="48" t="s">
        <v>830</v>
      </c>
      <c r="R364" s="48" t="s">
        <v>180</v>
      </c>
      <c r="S364" s="48" t="s">
        <v>181</v>
      </c>
      <c r="T364" s="48" t="s">
        <v>181</v>
      </c>
      <c r="U364" s="49"/>
      <c r="V364" s="47" t="s">
        <v>14</v>
      </c>
      <c r="W364" s="48" t="s">
        <v>827</v>
      </c>
    </row>
    <row r="365">
      <c r="A365" s="77"/>
      <c r="B365" s="77"/>
      <c r="P365" s="45" t="s">
        <v>834</v>
      </c>
      <c r="Q365" s="45" t="s">
        <v>830</v>
      </c>
      <c r="R365" s="45" t="s">
        <v>180</v>
      </c>
      <c r="S365" s="45" t="s">
        <v>181</v>
      </c>
      <c r="T365" s="45" t="s">
        <v>181</v>
      </c>
      <c r="U365" s="46"/>
      <c r="V365" s="47" t="s">
        <v>14</v>
      </c>
      <c r="W365" s="45" t="s">
        <v>827</v>
      </c>
    </row>
    <row r="366">
      <c r="A366" s="77"/>
      <c r="B366" s="77"/>
      <c r="P366" s="62" t="s">
        <v>835</v>
      </c>
      <c r="Q366" s="62" t="s">
        <v>836</v>
      </c>
      <c r="R366" s="62" t="s">
        <v>180</v>
      </c>
      <c r="S366" s="62" t="s">
        <v>186</v>
      </c>
      <c r="T366" s="62" t="s">
        <v>186</v>
      </c>
      <c r="U366" s="62" t="s">
        <v>130</v>
      </c>
      <c r="V366" s="61" t="s">
        <v>13</v>
      </c>
      <c r="W366" s="62" t="s">
        <v>837</v>
      </c>
    </row>
    <row r="367">
      <c r="A367" s="77"/>
      <c r="B367" s="77"/>
      <c r="P367" s="60" t="s">
        <v>838</v>
      </c>
      <c r="Q367" s="60" t="s">
        <v>839</v>
      </c>
      <c r="R367" s="60" t="s">
        <v>180</v>
      </c>
      <c r="S367" s="60" t="s">
        <v>186</v>
      </c>
      <c r="T367" s="60" t="s">
        <v>186</v>
      </c>
      <c r="U367" s="60" t="s">
        <v>130</v>
      </c>
      <c r="V367" s="61" t="s">
        <v>13</v>
      </c>
      <c r="W367" s="60" t="s">
        <v>837</v>
      </c>
    </row>
    <row r="368">
      <c r="A368" s="77"/>
      <c r="B368" s="77"/>
      <c r="P368" s="62" t="s">
        <v>840</v>
      </c>
      <c r="Q368" s="62" t="s">
        <v>841</v>
      </c>
      <c r="R368" s="62" t="s">
        <v>180</v>
      </c>
      <c r="S368" s="62" t="s">
        <v>186</v>
      </c>
      <c r="T368" s="62" t="s">
        <v>186</v>
      </c>
      <c r="U368" s="62" t="s">
        <v>130</v>
      </c>
      <c r="V368" s="61" t="s">
        <v>13</v>
      </c>
      <c r="W368" s="62" t="s">
        <v>837</v>
      </c>
    </row>
    <row r="369">
      <c r="A369" s="77"/>
      <c r="B369" s="77"/>
      <c r="P369" s="45" t="s">
        <v>842</v>
      </c>
      <c r="Q369" s="45" t="s">
        <v>843</v>
      </c>
      <c r="R369" s="45" t="s">
        <v>180</v>
      </c>
      <c r="S369" s="45" t="s">
        <v>844</v>
      </c>
      <c r="T369" s="45" t="s">
        <v>844</v>
      </c>
      <c r="U369" s="45" t="s">
        <v>130</v>
      </c>
      <c r="V369" s="47" t="s">
        <v>14</v>
      </c>
      <c r="W369" s="45" t="s">
        <v>845</v>
      </c>
    </row>
    <row r="370">
      <c r="A370" s="77"/>
      <c r="B370" s="77"/>
      <c r="P370" s="48" t="s">
        <v>846</v>
      </c>
      <c r="Q370" s="48" t="s">
        <v>843</v>
      </c>
      <c r="R370" s="48" t="s">
        <v>180</v>
      </c>
      <c r="S370" s="48" t="s">
        <v>844</v>
      </c>
      <c r="T370" s="48" t="s">
        <v>844</v>
      </c>
      <c r="U370" s="48" t="s">
        <v>130</v>
      </c>
      <c r="V370" s="47" t="s">
        <v>14</v>
      </c>
      <c r="W370" s="48" t="s">
        <v>845</v>
      </c>
    </row>
    <row r="371">
      <c r="A371" s="77"/>
      <c r="B371" s="77"/>
      <c r="P371" s="45" t="s">
        <v>847</v>
      </c>
      <c r="Q371" s="45" t="s">
        <v>843</v>
      </c>
      <c r="R371" s="45" t="s">
        <v>180</v>
      </c>
      <c r="S371" s="45" t="s">
        <v>844</v>
      </c>
      <c r="T371" s="45" t="s">
        <v>844</v>
      </c>
      <c r="U371" s="45" t="s">
        <v>130</v>
      </c>
      <c r="V371" s="47" t="s">
        <v>14</v>
      </c>
      <c r="W371" s="45" t="s">
        <v>845</v>
      </c>
    </row>
    <row r="372">
      <c r="A372" s="77"/>
      <c r="B372" s="77"/>
      <c r="P372" s="48" t="s">
        <v>848</v>
      </c>
      <c r="Q372" s="48" t="s">
        <v>843</v>
      </c>
      <c r="R372" s="48" t="s">
        <v>180</v>
      </c>
      <c r="S372" s="48" t="s">
        <v>844</v>
      </c>
      <c r="T372" s="48" t="s">
        <v>844</v>
      </c>
      <c r="U372" s="48" t="s">
        <v>130</v>
      </c>
      <c r="V372" s="47" t="s">
        <v>14</v>
      </c>
      <c r="W372" s="48" t="s">
        <v>845</v>
      </c>
    </row>
    <row r="373">
      <c r="A373" s="77"/>
      <c r="B373" s="77"/>
      <c r="P373" s="60" t="s">
        <v>849</v>
      </c>
      <c r="Q373" s="60" t="s">
        <v>850</v>
      </c>
      <c r="R373" s="60" t="s">
        <v>213</v>
      </c>
      <c r="S373" s="60" t="s">
        <v>851</v>
      </c>
      <c r="T373" s="60" t="s">
        <v>851</v>
      </c>
      <c r="U373" s="63"/>
      <c r="V373" s="61" t="s">
        <v>13</v>
      </c>
      <c r="W373" s="60" t="s">
        <v>852</v>
      </c>
    </row>
    <row r="374">
      <c r="A374" s="77"/>
      <c r="B374" s="77"/>
      <c r="P374" s="62" t="s">
        <v>853</v>
      </c>
      <c r="Q374" s="62" t="s">
        <v>850</v>
      </c>
      <c r="R374" s="62" t="s">
        <v>213</v>
      </c>
      <c r="S374" s="62" t="s">
        <v>851</v>
      </c>
      <c r="T374" s="62" t="s">
        <v>851</v>
      </c>
      <c r="U374" s="64"/>
      <c r="V374" s="61" t="s">
        <v>13</v>
      </c>
      <c r="W374" s="62" t="s">
        <v>852</v>
      </c>
    </row>
    <row r="375">
      <c r="A375" s="77"/>
      <c r="B375" s="77"/>
      <c r="P375" s="60" t="s">
        <v>854</v>
      </c>
      <c r="Q375" s="60" t="s">
        <v>850</v>
      </c>
      <c r="R375" s="60" t="s">
        <v>213</v>
      </c>
      <c r="S375" s="60" t="s">
        <v>851</v>
      </c>
      <c r="T375" s="60" t="s">
        <v>851</v>
      </c>
      <c r="U375" s="63"/>
      <c r="V375" s="61" t="s">
        <v>13</v>
      </c>
      <c r="W375" s="60" t="s">
        <v>852</v>
      </c>
    </row>
    <row r="376">
      <c r="A376" s="77"/>
      <c r="B376" s="77"/>
      <c r="P376" s="48" t="s">
        <v>855</v>
      </c>
      <c r="Q376" s="48" t="s">
        <v>856</v>
      </c>
      <c r="R376" s="48" t="s">
        <v>213</v>
      </c>
      <c r="S376" s="48" t="s">
        <v>220</v>
      </c>
      <c r="T376" s="48" t="s">
        <v>220</v>
      </c>
      <c r="U376" s="48" t="s">
        <v>130</v>
      </c>
      <c r="V376" s="47" t="s">
        <v>14</v>
      </c>
      <c r="W376" s="48" t="s">
        <v>221</v>
      </c>
    </row>
    <row r="377">
      <c r="A377" s="77"/>
      <c r="B377" s="77"/>
      <c r="P377" s="45" t="s">
        <v>857</v>
      </c>
      <c r="Q377" s="45" t="s">
        <v>858</v>
      </c>
      <c r="R377" s="45" t="s">
        <v>213</v>
      </c>
      <c r="S377" s="45" t="s">
        <v>220</v>
      </c>
      <c r="T377" s="45" t="s">
        <v>220</v>
      </c>
      <c r="U377" s="45" t="s">
        <v>130</v>
      </c>
      <c r="V377" s="47" t="s">
        <v>14</v>
      </c>
      <c r="W377" s="45" t="s">
        <v>221</v>
      </c>
    </row>
    <row r="378">
      <c r="A378" s="77"/>
      <c r="B378" s="77"/>
      <c r="P378" s="62" t="s">
        <v>859</v>
      </c>
      <c r="Q378" s="62" t="s">
        <v>860</v>
      </c>
      <c r="R378" s="62" t="s">
        <v>213</v>
      </c>
      <c r="S378" s="62" t="s">
        <v>861</v>
      </c>
      <c r="T378" s="62" t="s">
        <v>861</v>
      </c>
      <c r="U378" s="62" t="s">
        <v>130</v>
      </c>
      <c r="V378" s="61" t="s">
        <v>13</v>
      </c>
      <c r="W378" s="62" t="s">
        <v>862</v>
      </c>
    </row>
    <row r="379">
      <c r="A379" s="77"/>
      <c r="B379" s="77"/>
      <c r="P379" s="45" t="s">
        <v>863</v>
      </c>
      <c r="Q379" s="45" t="s">
        <v>864</v>
      </c>
      <c r="R379" s="45" t="s">
        <v>213</v>
      </c>
      <c r="S379" s="45" t="s">
        <v>220</v>
      </c>
      <c r="T379" s="45" t="s">
        <v>220</v>
      </c>
      <c r="U379" s="46"/>
      <c r="V379" s="47" t="s">
        <v>14</v>
      </c>
      <c r="W379" s="45" t="s">
        <v>221</v>
      </c>
    </row>
    <row r="380">
      <c r="A380" s="77"/>
      <c r="B380" s="77"/>
      <c r="P380" s="62" t="s">
        <v>865</v>
      </c>
      <c r="Q380" s="62" t="s">
        <v>866</v>
      </c>
      <c r="R380" s="62" t="s">
        <v>213</v>
      </c>
      <c r="S380" s="62" t="s">
        <v>220</v>
      </c>
      <c r="T380" s="62" t="s">
        <v>220</v>
      </c>
      <c r="U380" s="64"/>
      <c r="V380" s="61" t="s">
        <v>13</v>
      </c>
      <c r="W380" s="62" t="s">
        <v>867</v>
      </c>
    </row>
    <row r="381">
      <c r="A381" s="77"/>
      <c r="B381" s="77"/>
      <c r="P381" s="60" t="s">
        <v>868</v>
      </c>
      <c r="Q381" s="60" t="s">
        <v>869</v>
      </c>
      <c r="R381" s="60" t="s">
        <v>213</v>
      </c>
      <c r="S381" s="60" t="s">
        <v>220</v>
      </c>
      <c r="T381" s="60" t="s">
        <v>220</v>
      </c>
      <c r="U381" s="63"/>
      <c r="V381" s="61" t="s">
        <v>13</v>
      </c>
      <c r="W381" s="60" t="s">
        <v>870</v>
      </c>
    </row>
    <row r="382">
      <c r="A382" s="77"/>
      <c r="B382" s="77"/>
      <c r="P382" s="62" t="s">
        <v>871</v>
      </c>
      <c r="Q382" s="62" t="s">
        <v>869</v>
      </c>
      <c r="R382" s="62" t="s">
        <v>213</v>
      </c>
      <c r="S382" s="62" t="s">
        <v>220</v>
      </c>
      <c r="T382" s="62" t="s">
        <v>220</v>
      </c>
      <c r="U382" s="64"/>
      <c r="V382" s="61" t="s">
        <v>13</v>
      </c>
      <c r="W382" s="62" t="s">
        <v>870</v>
      </c>
    </row>
    <row r="383">
      <c r="A383" s="77"/>
      <c r="B383" s="77"/>
      <c r="P383" s="60" t="s">
        <v>872</v>
      </c>
      <c r="Q383" s="60" t="s">
        <v>869</v>
      </c>
      <c r="R383" s="60" t="s">
        <v>213</v>
      </c>
      <c r="S383" s="60" t="s">
        <v>220</v>
      </c>
      <c r="T383" s="60" t="s">
        <v>220</v>
      </c>
      <c r="U383" s="63"/>
      <c r="V383" s="61" t="s">
        <v>13</v>
      </c>
      <c r="W383" s="60" t="s">
        <v>870</v>
      </c>
    </row>
    <row r="384">
      <c r="A384" s="77"/>
      <c r="B384" s="77"/>
      <c r="P384" s="62" t="s">
        <v>873</v>
      </c>
      <c r="Q384" s="62" t="s">
        <v>869</v>
      </c>
      <c r="R384" s="62" t="s">
        <v>213</v>
      </c>
      <c r="S384" s="62" t="s">
        <v>220</v>
      </c>
      <c r="T384" s="62" t="s">
        <v>220</v>
      </c>
      <c r="U384" s="64"/>
      <c r="V384" s="61" t="s">
        <v>13</v>
      </c>
      <c r="W384" s="62" t="s">
        <v>870</v>
      </c>
    </row>
    <row r="385">
      <c r="A385" s="77"/>
      <c r="B385" s="77"/>
      <c r="P385" s="60" t="s">
        <v>874</v>
      </c>
      <c r="Q385" s="60" t="s">
        <v>800</v>
      </c>
      <c r="R385" s="60" t="s">
        <v>213</v>
      </c>
      <c r="S385" s="60" t="s">
        <v>861</v>
      </c>
      <c r="T385" s="60" t="s">
        <v>861</v>
      </c>
      <c r="U385" s="63"/>
      <c r="V385" s="61" t="s">
        <v>13</v>
      </c>
      <c r="W385" s="60" t="s">
        <v>875</v>
      </c>
    </row>
    <row r="386">
      <c r="A386" s="77"/>
      <c r="B386" s="77"/>
      <c r="P386" s="62" t="s">
        <v>876</v>
      </c>
      <c r="Q386" s="62" t="s">
        <v>800</v>
      </c>
      <c r="R386" s="62" t="s">
        <v>213</v>
      </c>
      <c r="S386" s="62" t="s">
        <v>861</v>
      </c>
      <c r="T386" s="62" t="s">
        <v>861</v>
      </c>
      <c r="U386" s="64"/>
      <c r="V386" s="61" t="s">
        <v>13</v>
      </c>
      <c r="W386" s="62" t="s">
        <v>875</v>
      </c>
    </row>
    <row r="387">
      <c r="A387" s="77"/>
      <c r="B387" s="77"/>
      <c r="P387" s="45" t="s">
        <v>877</v>
      </c>
      <c r="Q387" s="45" t="s">
        <v>878</v>
      </c>
      <c r="R387" s="45" t="s">
        <v>231</v>
      </c>
      <c r="S387" s="45" t="s">
        <v>232</v>
      </c>
      <c r="T387" s="45" t="s">
        <v>232</v>
      </c>
      <c r="U387" s="46"/>
      <c r="V387" s="47" t="s">
        <v>14</v>
      </c>
      <c r="W387" s="45" t="s">
        <v>233</v>
      </c>
    </row>
    <row r="388">
      <c r="A388" s="77"/>
      <c r="B388" s="77"/>
      <c r="P388" s="48" t="s">
        <v>879</v>
      </c>
      <c r="Q388" s="48" t="s">
        <v>880</v>
      </c>
      <c r="R388" s="48" t="s">
        <v>258</v>
      </c>
      <c r="S388" s="48" t="s">
        <v>881</v>
      </c>
      <c r="T388" s="48" t="s">
        <v>881</v>
      </c>
      <c r="U388" s="49"/>
      <c r="V388" s="47" t="s">
        <v>14</v>
      </c>
      <c r="W388" s="48" t="s">
        <v>882</v>
      </c>
    </row>
    <row r="389">
      <c r="A389" s="77"/>
      <c r="B389" s="77"/>
      <c r="P389" s="60" t="s">
        <v>883</v>
      </c>
      <c r="Q389" s="60" t="s">
        <v>884</v>
      </c>
      <c r="R389" s="60" t="s">
        <v>258</v>
      </c>
      <c r="S389" s="60" t="s">
        <v>881</v>
      </c>
      <c r="T389" s="60" t="s">
        <v>881</v>
      </c>
      <c r="U389" s="60" t="s">
        <v>89</v>
      </c>
      <c r="V389" s="61" t="s">
        <v>13</v>
      </c>
      <c r="W389" s="60" t="s">
        <v>885</v>
      </c>
    </row>
    <row r="390">
      <c r="A390" s="77"/>
      <c r="B390" s="77"/>
      <c r="P390" s="62" t="s">
        <v>886</v>
      </c>
      <c r="Q390" s="62" t="s">
        <v>884</v>
      </c>
      <c r="R390" s="62" t="s">
        <v>258</v>
      </c>
      <c r="S390" s="62" t="s">
        <v>881</v>
      </c>
      <c r="T390" s="62" t="s">
        <v>881</v>
      </c>
      <c r="U390" s="62" t="s">
        <v>89</v>
      </c>
      <c r="V390" s="61" t="s">
        <v>13</v>
      </c>
      <c r="W390" s="62" t="s">
        <v>885</v>
      </c>
    </row>
    <row r="391">
      <c r="A391" s="77"/>
      <c r="B391" s="77"/>
      <c r="P391" s="60" t="s">
        <v>887</v>
      </c>
      <c r="Q391" s="60" t="s">
        <v>884</v>
      </c>
      <c r="R391" s="60" t="s">
        <v>258</v>
      </c>
      <c r="S391" s="60" t="s">
        <v>881</v>
      </c>
      <c r="T391" s="60" t="s">
        <v>881</v>
      </c>
      <c r="U391" s="60" t="s">
        <v>89</v>
      </c>
      <c r="V391" s="61" t="s">
        <v>13</v>
      </c>
      <c r="W391" s="60" t="s">
        <v>885</v>
      </c>
    </row>
    <row r="392">
      <c r="A392" s="77"/>
      <c r="B392" s="77"/>
      <c r="P392" s="62" t="s">
        <v>888</v>
      </c>
      <c r="Q392" s="62" t="s">
        <v>884</v>
      </c>
      <c r="R392" s="62" t="s">
        <v>258</v>
      </c>
      <c r="S392" s="62" t="s">
        <v>881</v>
      </c>
      <c r="T392" s="62" t="s">
        <v>881</v>
      </c>
      <c r="U392" s="62" t="s">
        <v>89</v>
      </c>
      <c r="V392" s="61" t="s">
        <v>13</v>
      </c>
      <c r="W392" s="62" t="s">
        <v>885</v>
      </c>
    </row>
    <row r="393">
      <c r="A393" s="77"/>
      <c r="B393" s="77"/>
      <c r="P393" s="60" t="s">
        <v>889</v>
      </c>
      <c r="Q393" s="60" t="s">
        <v>884</v>
      </c>
      <c r="R393" s="60" t="s">
        <v>258</v>
      </c>
      <c r="S393" s="60" t="s">
        <v>881</v>
      </c>
      <c r="T393" s="60" t="s">
        <v>881</v>
      </c>
      <c r="U393" s="60" t="s">
        <v>89</v>
      </c>
      <c r="V393" s="61" t="s">
        <v>13</v>
      </c>
      <c r="W393" s="60" t="s">
        <v>885</v>
      </c>
    </row>
    <row r="394">
      <c r="A394" s="77"/>
      <c r="B394" s="77"/>
      <c r="P394" s="62" t="s">
        <v>890</v>
      </c>
      <c r="Q394" s="62" t="s">
        <v>884</v>
      </c>
      <c r="R394" s="62" t="s">
        <v>258</v>
      </c>
      <c r="S394" s="62" t="s">
        <v>881</v>
      </c>
      <c r="T394" s="62" t="s">
        <v>881</v>
      </c>
      <c r="U394" s="62" t="s">
        <v>89</v>
      </c>
      <c r="V394" s="61" t="s">
        <v>13</v>
      </c>
      <c r="W394" s="62" t="s">
        <v>885</v>
      </c>
    </row>
    <row r="395">
      <c r="A395" s="77"/>
      <c r="B395" s="77"/>
      <c r="P395" s="45" t="s">
        <v>891</v>
      </c>
      <c r="Q395" s="45" t="s">
        <v>892</v>
      </c>
      <c r="R395" s="45" t="s">
        <v>258</v>
      </c>
      <c r="S395" s="45" t="s">
        <v>881</v>
      </c>
      <c r="T395" s="45" t="s">
        <v>881</v>
      </c>
      <c r="U395" s="46"/>
      <c r="V395" s="47" t="s">
        <v>14</v>
      </c>
      <c r="W395" s="45" t="s">
        <v>882</v>
      </c>
    </row>
    <row r="396">
      <c r="A396" s="77"/>
      <c r="B396" s="77"/>
      <c r="P396" s="48" t="s">
        <v>893</v>
      </c>
      <c r="Q396" s="48" t="s">
        <v>892</v>
      </c>
      <c r="R396" s="48" t="s">
        <v>258</v>
      </c>
      <c r="S396" s="48" t="s">
        <v>881</v>
      </c>
      <c r="T396" s="48" t="s">
        <v>881</v>
      </c>
      <c r="U396" s="49"/>
      <c r="V396" s="47" t="s">
        <v>14</v>
      </c>
      <c r="W396" s="48" t="s">
        <v>882</v>
      </c>
    </row>
    <row r="397">
      <c r="A397" s="77"/>
      <c r="B397" s="77"/>
      <c r="P397" s="45" t="s">
        <v>894</v>
      </c>
      <c r="Q397" s="45" t="s">
        <v>892</v>
      </c>
      <c r="R397" s="45" t="s">
        <v>258</v>
      </c>
      <c r="S397" s="45" t="s">
        <v>881</v>
      </c>
      <c r="T397" s="45" t="s">
        <v>881</v>
      </c>
      <c r="U397" s="46"/>
      <c r="V397" s="47" t="s">
        <v>14</v>
      </c>
      <c r="W397" s="45" t="s">
        <v>882</v>
      </c>
    </row>
    <row r="398">
      <c r="A398" s="77"/>
      <c r="B398" s="77"/>
      <c r="P398" s="48" t="s">
        <v>895</v>
      </c>
      <c r="Q398" s="48" t="s">
        <v>892</v>
      </c>
      <c r="R398" s="48" t="s">
        <v>258</v>
      </c>
      <c r="S398" s="48" t="s">
        <v>881</v>
      </c>
      <c r="T398" s="48" t="s">
        <v>881</v>
      </c>
      <c r="U398" s="49"/>
      <c r="V398" s="47" t="s">
        <v>14</v>
      </c>
      <c r="W398" s="48" t="s">
        <v>882</v>
      </c>
    </row>
    <row r="399">
      <c r="A399" s="77"/>
      <c r="B399" s="77"/>
      <c r="P399" s="60" t="s">
        <v>896</v>
      </c>
      <c r="Q399" s="60" t="s">
        <v>884</v>
      </c>
      <c r="R399" s="60" t="s">
        <v>258</v>
      </c>
      <c r="S399" s="60" t="s">
        <v>881</v>
      </c>
      <c r="T399" s="60" t="s">
        <v>881</v>
      </c>
      <c r="U399" s="60" t="s">
        <v>89</v>
      </c>
      <c r="V399" s="61" t="s">
        <v>13</v>
      </c>
      <c r="W399" s="60" t="s">
        <v>885</v>
      </c>
    </row>
    <row r="400">
      <c r="A400" s="77"/>
      <c r="B400" s="77"/>
      <c r="P400" s="62" t="s">
        <v>897</v>
      </c>
      <c r="Q400" s="62" t="s">
        <v>898</v>
      </c>
      <c r="R400" s="62" t="s">
        <v>258</v>
      </c>
      <c r="S400" s="62" t="s">
        <v>899</v>
      </c>
      <c r="T400" s="62" t="s">
        <v>899</v>
      </c>
      <c r="U400" s="64"/>
      <c r="V400" s="61" t="s">
        <v>13</v>
      </c>
      <c r="W400" s="62" t="s">
        <v>900</v>
      </c>
    </row>
    <row r="401">
      <c r="A401" s="77"/>
      <c r="B401" s="77"/>
      <c r="P401" s="60" t="s">
        <v>901</v>
      </c>
      <c r="Q401" s="60" t="s">
        <v>898</v>
      </c>
      <c r="R401" s="60" t="s">
        <v>258</v>
      </c>
      <c r="S401" s="60" t="s">
        <v>899</v>
      </c>
      <c r="T401" s="60" t="s">
        <v>899</v>
      </c>
      <c r="U401" s="63"/>
      <c r="V401" s="61" t="s">
        <v>13</v>
      </c>
      <c r="W401" s="60" t="s">
        <v>900</v>
      </c>
    </row>
    <row r="402">
      <c r="A402" s="77"/>
      <c r="B402" s="77"/>
      <c r="P402" s="62" t="s">
        <v>902</v>
      </c>
      <c r="Q402" s="62" t="s">
        <v>898</v>
      </c>
      <c r="R402" s="62" t="s">
        <v>258</v>
      </c>
      <c r="S402" s="62" t="s">
        <v>899</v>
      </c>
      <c r="T402" s="62" t="s">
        <v>899</v>
      </c>
      <c r="U402" s="64"/>
      <c r="V402" s="61" t="s">
        <v>13</v>
      </c>
      <c r="W402" s="62" t="s">
        <v>900</v>
      </c>
    </row>
    <row r="403">
      <c r="A403" s="77"/>
      <c r="B403" s="77"/>
      <c r="P403" s="60" t="s">
        <v>903</v>
      </c>
      <c r="Q403" s="60" t="s">
        <v>904</v>
      </c>
      <c r="R403" s="60" t="s">
        <v>258</v>
      </c>
      <c r="S403" s="60" t="s">
        <v>905</v>
      </c>
      <c r="T403" s="60" t="s">
        <v>905</v>
      </c>
      <c r="U403" s="63"/>
      <c r="V403" s="61" t="s">
        <v>13</v>
      </c>
      <c r="W403" s="60" t="s">
        <v>906</v>
      </c>
    </row>
    <row r="404">
      <c r="A404" s="77"/>
      <c r="B404" s="77"/>
      <c r="P404" s="48" t="s">
        <v>907</v>
      </c>
      <c r="Q404" s="48" t="s">
        <v>904</v>
      </c>
      <c r="R404" s="48" t="s">
        <v>258</v>
      </c>
      <c r="S404" s="48" t="s">
        <v>259</v>
      </c>
      <c r="T404" s="48" t="s">
        <v>259</v>
      </c>
      <c r="U404" s="49"/>
      <c r="V404" s="47" t="s">
        <v>14</v>
      </c>
      <c r="W404" s="48" t="s">
        <v>260</v>
      </c>
    </row>
    <row r="405">
      <c r="A405" s="77"/>
      <c r="B405" s="77"/>
      <c r="P405" s="60" t="s">
        <v>908</v>
      </c>
      <c r="Q405" s="60" t="s">
        <v>909</v>
      </c>
      <c r="R405" s="60" t="s">
        <v>258</v>
      </c>
      <c r="S405" s="60" t="s">
        <v>899</v>
      </c>
      <c r="T405" s="60" t="s">
        <v>899</v>
      </c>
      <c r="U405" s="63"/>
      <c r="V405" s="61" t="s">
        <v>13</v>
      </c>
      <c r="W405" s="60" t="s">
        <v>910</v>
      </c>
    </row>
    <row r="406">
      <c r="A406" s="77"/>
      <c r="B406" s="77"/>
      <c r="P406" s="48" t="s">
        <v>911</v>
      </c>
      <c r="Q406" s="48" t="s">
        <v>909</v>
      </c>
      <c r="R406" s="48" t="s">
        <v>258</v>
      </c>
      <c r="S406" s="48" t="s">
        <v>259</v>
      </c>
      <c r="T406" s="48" t="s">
        <v>259</v>
      </c>
      <c r="U406" s="49"/>
      <c r="V406" s="47" t="s">
        <v>14</v>
      </c>
      <c r="W406" s="48" t="s">
        <v>260</v>
      </c>
    </row>
    <row r="407">
      <c r="A407" s="77"/>
      <c r="B407" s="77"/>
      <c r="P407" s="45" t="s">
        <v>912</v>
      </c>
      <c r="Q407" s="45" t="s">
        <v>295</v>
      </c>
      <c r="R407" s="45" t="s">
        <v>264</v>
      </c>
      <c r="S407" s="45" t="s">
        <v>270</v>
      </c>
      <c r="T407" s="45" t="s">
        <v>270</v>
      </c>
      <c r="U407" s="46"/>
      <c r="V407" s="47" t="s">
        <v>14</v>
      </c>
      <c r="W407" s="45" t="s">
        <v>271</v>
      </c>
    </row>
    <row r="408">
      <c r="A408" s="77"/>
      <c r="B408" s="77"/>
      <c r="P408" s="48" t="s">
        <v>913</v>
      </c>
      <c r="Q408" s="48" t="s">
        <v>914</v>
      </c>
      <c r="R408" s="48" t="s">
        <v>264</v>
      </c>
      <c r="S408" s="48" t="s">
        <v>915</v>
      </c>
      <c r="T408" s="48" t="s">
        <v>915</v>
      </c>
      <c r="U408" s="48" t="s">
        <v>89</v>
      </c>
      <c r="V408" s="47" t="s">
        <v>14</v>
      </c>
      <c r="W408" s="48" t="s">
        <v>916</v>
      </c>
    </row>
    <row r="409">
      <c r="A409" s="77"/>
      <c r="B409" s="77"/>
      <c r="P409" s="60" t="s">
        <v>917</v>
      </c>
      <c r="Q409" s="60" t="s">
        <v>340</v>
      </c>
      <c r="R409" s="60" t="s">
        <v>341</v>
      </c>
      <c r="S409" s="60" t="s">
        <v>342</v>
      </c>
      <c r="T409" s="60" t="s">
        <v>342</v>
      </c>
      <c r="U409" s="60" t="s">
        <v>130</v>
      </c>
      <c r="V409" s="61" t="s">
        <v>13</v>
      </c>
      <c r="W409" s="60" t="s">
        <v>343</v>
      </c>
    </row>
    <row r="410">
      <c r="A410" s="77"/>
      <c r="B410" s="77"/>
      <c r="P410" s="62" t="s">
        <v>918</v>
      </c>
      <c r="Q410" s="62" t="s">
        <v>919</v>
      </c>
      <c r="R410" s="62" t="s">
        <v>357</v>
      </c>
      <c r="S410" s="62" t="s">
        <v>920</v>
      </c>
      <c r="T410" s="62" t="s">
        <v>920</v>
      </c>
      <c r="U410" s="62" t="s">
        <v>130</v>
      </c>
      <c r="V410" s="61" t="s">
        <v>13</v>
      </c>
      <c r="W410" s="62" t="s">
        <v>921</v>
      </c>
    </row>
    <row r="411">
      <c r="A411" s="77"/>
      <c r="B411" s="77"/>
      <c r="P411" s="60" t="s">
        <v>922</v>
      </c>
      <c r="Q411" s="60" t="s">
        <v>919</v>
      </c>
      <c r="R411" s="60" t="s">
        <v>357</v>
      </c>
      <c r="S411" s="60" t="s">
        <v>920</v>
      </c>
      <c r="T411" s="60" t="s">
        <v>920</v>
      </c>
      <c r="U411" s="63"/>
      <c r="V411" s="61" t="s">
        <v>13</v>
      </c>
      <c r="W411" s="60" t="s">
        <v>921</v>
      </c>
    </row>
    <row r="412">
      <c r="A412" s="77"/>
      <c r="B412" s="77"/>
      <c r="P412" s="62" t="s">
        <v>923</v>
      </c>
      <c r="Q412" s="62" t="s">
        <v>919</v>
      </c>
      <c r="R412" s="62" t="s">
        <v>357</v>
      </c>
      <c r="S412" s="62" t="s">
        <v>920</v>
      </c>
      <c r="T412" s="62" t="s">
        <v>920</v>
      </c>
      <c r="U412" s="62" t="s">
        <v>130</v>
      </c>
      <c r="V412" s="61" t="s">
        <v>13</v>
      </c>
      <c r="W412" s="62" t="s">
        <v>921</v>
      </c>
    </row>
    <row r="413">
      <c r="A413" s="77"/>
      <c r="B413" s="77"/>
      <c r="P413" s="60" t="s">
        <v>924</v>
      </c>
      <c r="Q413" s="60" t="s">
        <v>919</v>
      </c>
      <c r="R413" s="60" t="s">
        <v>357</v>
      </c>
      <c r="S413" s="60" t="s">
        <v>920</v>
      </c>
      <c r="T413" s="60" t="s">
        <v>920</v>
      </c>
      <c r="U413" s="60" t="s">
        <v>130</v>
      </c>
      <c r="V413" s="61" t="s">
        <v>13</v>
      </c>
      <c r="W413" s="60" t="s">
        <v>921</v>
      </c>
    </row>
    <row r="414">
      <c r="A414" s="77"/>
      <c r="B414" s="77"/>
      <c r="P414" s="62" t="s">
        <v>925</v>
      </c>
      <c r="Q414" s="62" t="s">
        <v>919</v>
      </c>
      <c r="R414" s="62" t="s">
        <v>357</v>
      </c>
      <c r="S414" s="62" t="s">
        <v>920</v>
      </c>
      <c r="T414" s="62" t="s">
        <v>920</v>
      </c>
      <c r="U414" s="64"/>
      <c r="V414" s="61" t="s">
        <v>13</v>
      </c>
      <c r="W414" s="62" t="s">
        <v>921</v>
      </c>
    </row>
    <row r="415">
      <c r="A415" s="77"/>
      <c r="B415" s="77"/>
      <c r="P415" s="45" t="s">
        <v>926</v>
      </c>
      <c r="Q415" s="45" t="s">
        <v>927</v>
      </c>
      <c r="R415" s="45" t="s">
        <v>363</v>
      </c>
      <c r="S415" s="45" t="s">
        <v>928</v>
      </c>
      <c r="T415" s="45" t="s">
        <v>928</v>
      </c>
      <c r="U415" s="45" t="s">
        <v>130</v>
      </c>
      <c r="V415" s="47" t="s">
        <v>14</v>
      </c>
      <c r="W415" s="45" t="s">
        <v>929</v>
      </c>
    </row>
    <row r="416">
      <c r="A416" s="77"/>
      <c r="B416" s="77"/>
      <c r="P416" s="48" t="s">
        <v>930</v>
      </c>
      <c r="Q416" s="48" t="s">
        <v>927</v>
      </c>
      <c r="R416" s="48" t="s">
        <v>363</v>
      </c>
      <c r="S416" s="48" t="s">
        <v>928</v>
      </c>
      <c r="T416" s="48" t="s">
        <v>928</v>
      </c>
      <c r="U416" s="48" t="s">
        <v>130</v>
      </c>
      <c r="V416" s="47" t="s">
        <v>14</v>
      </c>
      <c r="W416" s="48" t="s">
        <v>929</v>
      </c>
    </row>
    <row r="417">
      <c r="A417" s="77"/>
      <c r="B417" s="77"/>
      <c r="P417" s="45" t="s">
        <v>931</v>
      </c>
      <c r="Q417" s="45" t="s">
        <v>927</v>
      </c>
      <c r="R417" s="45" t="s">
        <v>363</v>
      </c>
      <c r="S417" s="45" t="s">
        <v>928</v>
      </c>
      <c r="T417" s="45" t="s">
        <v>928</v>
      </c>
      <c r="U417" s="45" t="s">
        <v>130</v>
      </c>
      <c r="V417" s="47" t="s">
        <v>14</v>
      </c>
      <c r="W417" s="45" t="s">
        <v>929</v>
      </c>
    </row>
    <row r="418">
      <c r="A418" s="77"/>
      <c r="B418" s="77"/>
      <c r="P418" s="48" t="s">
        <v>932</v>
      </c>
      <c r="Q418" s="48" t="s">
        <v>927</v>
      </c>
      <c r="R418" s="48" t="s">
        <v>363</v>
      </c>
      <c r="S418" s="48" t="s">
        <v>928</v>
      </c>
      <c r="T418" s="48" t="s">
        <v>928</v>
      </c>
      <c r="U418" s="48" t="s">
        <v>130</v>
      </c>
      <c r="V418" s="47" t="s">
        <v>14</v>
      </c>
      <c r="W418" s="48" t="s">
        <v>929</v>
      </c>
    </row>
    <row r="419">
      <c r="A419" s="77"/>
      <c r="B419" s="77"/>
      <c r="P419" s="60" t="s">
        <v>933</v>
      </c>
      <c r="Q419" s="60" t="s">
        <v>428</v>
      </c>
      <c r="R419" s="60" t="s">
        <v>393</v>
      </c>
      <c r="S419" s="60" t="s">
        <v>394</v>
      </c>
      <c r="T419" s="60" t="s">
        <v>394</v>
      </c>
      <c r="U419" s="60" t="s">
        <v>130</v>
      </c>
      <c r="V419" s="61" t="s">
        <v>13</v>
      </c>
      <c r="W419" s="60" t="s">
        <v>395</v>
      </c>
    </row>
    <row r="420">
      <c r="A420" s="77"/>
      <c r="B420" s="77"/>
      <c r="P420" s="48" t="s">
        <v>934</v>
      </c>
      <c r="Q420" s="48" t="s">
        <v>935</v>
      </c>
      <c r="R420" s="48" t="s">
        <v>393</v>
      </c>
      <c r="S420" s="48" t="s">
        <v>435</v>
      </c>
      <c r="T420" s="48" t="s">
        <v>435</v>
      </c>
      <c r="U420" s="48" t="s">
        <v>89</v>
      </c>
      <c r="V420" s="47" t="s">
        <v>14</v>
      </c>
      <c r="W420" s="48" t="s">
        <v>936</v>
      </c>
    </row>
    <row r="421">
      <c r="A421" s="77"/>
      <c r="B421" s="77"/>
      <c r="P421" s="45" t="s">
        <v>937</v>
      </c>
      <c r="Q421" s="45" t="s">
        <v>938</v>
      </c>
      <c r="R421" s="45" t="s">
        <v>439</v>
      </c>
      <c r="S421" s="45" t="s">
        <v>939</v>
      </c>
      <c r="T421" s="45" t="s">
        <v>939</v>
      </c>
      <c r="U421" s="45" t="s">
        <v>130</v>
      </c>
      <c r="V421" s="47" t="s">
        <v>14</v>
      </c>
      <c r="W421" s="45" t="s">
        <v>940</v>
      </c>
    </row>
    <row r="422">
      <c r="A422" s="77"/>
      <c r="B422" s="77"/>
      <c r="P422" s="48" t="s">
        <v>941</v>
      </c>
      <c r="Q422" s="48" t="s">
        <v>938</v>
      </c>
      <c r="R422" s="48" t="s">
        <v>439</v>
      </c>
      <c r="S422" s="48" t="s">
        <v>939</v>
      </c>
      <c r="T422" s="48" t="s">
        <v>939</v>
      </c>
      <c r="U422" s="48" t="s">
        <v>130</v>
      </c>
      <c r="V422" s="47" t="s">
        <v>14</v>
      </c>
      <c r="W422" s="48" t="s">
        <v>940</v>
      </c>
    </row>
    <row r="423">
      <c r="A423" s="77"/>
      <c r="B423" s="77"/>
      <c r="P423" s="45" t="s">
        <v>942</v>
      </c>
      <c r="Q423" s="45" t="s">
        <v>448</v>
      </c>
      <c r="R423" s="45" t="s">
        <v>444</v>
      </c>
      <c r="S423" s="45" t="s">
        <v>445</v>
      </c>
      <c r="T423" s="45" t="s">
        <v>445</v>
      </c>
      <c r="U423" s="46"/>
      <c r="V423" s="47" t="s">
        <v>14</v>
      </c>
      <c r="W423" s="45" t="s">
        <v>446</v>
      </c>
    </row>
    <row r="424">
      <c r="A424" s="77"/>
      <c r="B424" s="77"/>
      <c r="P424" s="48" t="s">
        <v>943</v>
      </c>
      <c r="Q424" s="48" t="s">
        <v>448</v>
      </c>
      <c r="R424" s="48" t="s">
        <v>444</v>
      </c>
      <c r="S424" s="48" t="s">
        <v>445</v>
      </c>
      <c r="T424" s="48" t="s">
        <v>445</v>
      </c>
      <c r="U424" s="48" t="s">
        <v>89</v>
      </c>
      <c r="V424" s="47" t="s">
        <v>14</v>
      </c>
      <c r="W424" s="48" t="s">
        <v>446</v>
      </c>
    </row>
    <row r="425">
      <c r="A425" s="77"/>
      <c r="B425" s="77"/>
      <c r="P425" s="60" t="s">
        <v>944</v>
      </c>
      <c r="Q425" s="60" t="s">
        <v>945</v>
      </c>
      <c r="R425" s="60" t="s">
        <v>444</v>
      </c>
      <c r="S425" s="60" t="s">
        <v>445</v>
      </c>
      <c r="T425" s="60" t="s">
        <v>445</v>
      </c>
      <c r="U425" s="63"/>
      <c r="V425" s="61" t="s">
        <v>13</v>
      </c>
      <c r="W425" s="60" t="s">
        <v>946</v>
      </c>
    </row>
    <row r="426">
      <c r="A426" s="77"/>
      <c r="B426" s="77"/>
      <c r="P426" s="62" t="s">
        <v>947</v>
      </c>
      <c r="Q426" s="62" t="s">
        <v>948</v>
      </c>
      <c r="R426" s="62" t="s">
        <v>444</v>
      </c>
      <c r="S426" s="62" t="s">
        <v>949</v>
      </c>
      <c r="T426" s="62" t="s">
        <v>949</v>
      </c>
      <c r="U426" s="64"/>
      <c r="V426" s="61" t="s">
        <v>13</v>
      </c>
      <c r="W426" s="62" t="s">
        <v>950</v>
      </c>
    </row>
    <row r="427">
      <c r="A427" s="77"/>
      <c r="B427" s="77"/>
      <c r="P427" s="60" t="s">
        <v>951</v>
      </c>
      <c r="Q427" s="60" t="s">
        <v>948</v>
      </c>
      <c r="R427" s="60" t="s">
        <v>444</v>
      </c>
      <c r="S427" s="60" t="s">
        <v>949</v>
      </c>
      <c r="T427" s="60" t="s">
        <v>949</v>
      </c>
      <c r="U427" s="63"/>
      <c r="V427" s="61" t="s">
        <v>13</v>
      </c>
      <c r="W427" s="60" t="s">
        <v>950</v>
      </c>
    </row>
    <row r="428">
      <c r="A428" s="77"/>
      <c r="B428" s="77"/>
      <c r="P428" s="48" t="s">
        <v>952</v>
      </c>
      <c r="Q428" s="48" t="s">
        <v>953</v>
      </c>
      <c r="R428" s="48" t="s">
        <v>444</v>
      </c>
      <c r="S428" s="48" t="s">
        <v>954</v>
      </c>
      <c r="T428" s="48" t="s">
        <v>954</v>
      </c>
      <c r="U428" s="48" t="s">
        <v>89</v>
      </c>
      <c r="V428" s="47" t="s">
        <v>14</v>
      </c>
      <c r="W428" s="48" t="s">
        <v>955</v>
      </c>
    </row>
    <row r="429">
      <c r="A429" s="77"/>
      <c r="B429" s="77"/>
      <c r="P429" s="45" t="s">
        <v>956</v>
      </c>
      <c r="Q429" s="45" t="s">
        <v>957</v>
      </c>
      <c r="R429" s="45" t="s">
        <v>444</v>
      </c>
      <c r="S429" s="45" t="s">
        <v>445</v>
      </c>
      <c r="T429" s="45" t="s">
        <v>445</v>
      </c>
      <c r="U429" s="45" t="s">
        <v>89</v>
      </c>
      <c r="V429" s="47" t="s">
        <v>14</v>
      </c>
      <c r="W429" s="45" t="s">
        <v>446</v>
      </c>
    </row>
    <row r="430">
      <c r="A430" s="77"/>
      <c r="B430" s="77"/>
      <c r="P430" s="48" t="s">
        <v>958</v>
      </c>
      <c r="Q430" s="48" t="s">
        <v>959</v>
      </c>
      <c r="R430" s="48" t="s">
        <v>444</v>
      </c>
      <c r="S430" s="48" t="s">
        <v>445</v>
      </c>
      <c r="T430" s="48" t="s">
        <v>445</v>
      </c>
      <c r="U430" s="49"/>
      <c r="V430" s="47" t="s">
        <v>14</v>
      </c>
      <c r="W430" s="48" t="s">
        <v>446</v>
      </c>
    </row>
    <row r="431">
      <c r="A431" s="77"/>
      <c r="B431" s="77"/>
      <c r="P431" s="45" t="s">
        <v>960</v>
      </c>
      <c r="Q431" s="45" t="s">
        <v>959</v>
      </c>
      <c r="R431" s="45" t="s">
        <v>444</v>
      </c>
      <c r="S431" s="45" t="s">
        <v>445</v>
      </c>
      <c r="T431" s="45" t="s">
        <v>445</v>
      </c>
      <c r="U431" s="46"/>
      <c r="V431" s="47" t="s">
        <v>14</v>
      </c>
      <c r="W431" s="45" t="s">
        <v>446</v>
      </c>
    </row>
    <row r="432">
      <c r="A432" s="77"/>
      <c r="B432" s="77"/>
      <c r="P432" s="48" t="s">
        <v>961</v>
      </c>
      <c r="Q432" s="48" t="s">
        <v>443</v>
      </c>
      <c r="R432" s="48" t="s">
        <v>444</v>
      </c>
      <c r="S432" s="48" t="s">
        <v>445</v>
      </c>
      <c r="T432" s="48" t="s">
        <v>445</v>
      </c>
      <c r="U432" s="48" t="s">
        <v>89</v>
      </c>
      <c r="V432" s="47" t="s">
        <v>14</v>
      </c>
      <c r="W432" s="48" t="s">
        <v>446</v>
      </c>
    </row>
    <row r="433">
      <c r="A433" s="77"/>
      <c r="B433" s="77"/>
      <c r="P433" s="60" t="s">
        <v>962</v>
      </c>
      <c r="Q433" s="60" t="s">
        <v>963</v>
      </c>
      <c r="R433" s="60" t="s">
        <v>458</v>
      </c>
      <c r="S433" s="60" t="s">
        <v>468</v>
      </c>
      <c r="T433" s="60" t="s">
        <v>468</v>
      </c>
      <c r="U433" s="63"/>
      <c r="V433" s="61" t="s">
        <v>13</v>
      </c>
      <c r="W433" s="60" t="s">
        <v>964</v>
      </c>
    </row>
    <row r="434">
      <c r="A434" s="77"/>
      <c r="B434" s="77"/>
      <c r="P434" s="62" t="s">
        <v>965</v>
      </c>
      <c r="Q434" s="62" t="s">
        <v>963</v>
      </c>
      <c r="R434" s="62" t="s">
        <v>458</v>
      </c>
      <c r="S434" s="62" t="s">
        <v>468</v>
      </c>
      <c r="T434" s="62" t="s">
        <v>468</v>
      </c>
      <c r="U434" s="64"/>
      <c r="V434" s="61" t="s">
        <v>13</v>
      </c>
      <c r="W434" s="62" t="s">
        <v>964</v>
      </c>
    </row>
    <row r="435">
      <c r="A435" s="77"/>
      <c r="B435" s="77"/>
      <c r="P435" s="60" t="s">
        <v>966</v>
      </c>
      <c r="Q435" s="60" t="s">
        <v>967</v>
      </c>
      <c r="R435" s="60" t="s">
        <v>458</v>
      </c>
      <c r="S435" s="60" t="s">
        <v>468</v>
      </c>
      <c r="T435" s="60" t="s">
        <v>468</v>
      </c>
      <c r="U435" s="63"/>
      <c r="V435" s="61" t="s">
        <v>13</v>
      </c>
      <c r="W435" s="60" t="s">
        <v>964</v>
      </c>
    </row>
    <row r="436">
      <c r="A436" s="77"/>
      <c r="B436" s="77"/>
      <c r="P436" s="62" t="s">
        <v>968</v>
      </c>
      <c r="Q436" s="62" t="s">
        <v>967</v>
      </c>
      <c r="R436" s="62" t="s">
        <v>458</v>
      </c>
      <c r="S436" s="62" t="s">
        <v>468</v>
      </c>
      <c r="T436" s="62" t="s">
        <v>468</v>
      </c>
      <c r="U436" s="64"/>
      <c r="V436" s="61" t="s">
        <v>13</v>
      </c>
      <c r="W436" s="62" t="s">
        <v>964</v>
      </c>
    </row>
    <row r="437">
      <c r="A437" s="77"/>
      <c r="B437" s="77"/>
      <c r="P437" s="45" t="s">
        <v>969</v>
      </c>
      <c r="Q437" s="45" t="s">
        <v>970</v>
      </c>
      <c r="R437" s="45" t="s">
        <v>458</v>
      </c>
      <c r="S437" s="45" t="s">
        <v>459</v>
      </c>
      <c r="T437" s="45" t="s">
        <v>459</v>
      </c>
      <c r="U437" s="46"/>
      <c r="V437" s="47" t="s">
        <v>14</v>
      </c>
      <c r="W437" s="45" t="s">
        <v>971</v>
      </c>
    </row>
    <row r="438">
      <c r="A438" s="77"/>
      <c r="B438" s="77"/>
      <c r="P438" s="48" t="s">
        <v>972</v>
      </c>
      <c r="Q438" s="48" t="s">
        <v>973</v>
      </c>
      <c r="R438" s="48" t="s">
        <v>458</v>
      </c>
      <c r="S438" s="48" t="s">
        <v>974</v>
      </c>
      <c r="T438" s="48" t="s">
        <v>974</v>
      </c>
      <c r="U438" s="49"/>
      <c r="V438" s="47" t="s">
        <v>14</v>
      </c>
      <c r="W438" s="48" t="s">
        <v>975</v>
      </c>
    </row>
    <row r="439">
      <c r="A439" s="77"/>
      <c r="B439" s="77"/>
      <c r="P439" s="45" t="s">
        <v>976</v>
      </c>
      <c r="Q439" s="45" t="s">
        <v>973</v>
      </c>
      <c r="R439" s="45" t="s">
        <v>458</v>
      </c>
      <c r="S439" s="45" t="s">
        <v>974</v>
      </c>
      <c r="T439" s="45" t="s">
        <v>974</v>
      </c>
      <c r="U439" s="46"/>
      <c r="V439" s="47" t="s">
        <v>14</v>
      </c>
      <c r="W439" s="45" t="s">
        <v>975</v>
      </c>
    </row>
    <row r="440">
      <c r="A440" s="77"/>
      <c r="B440" s="77"/>
      <c r="P440" s="48" t="s">
        <v>977</v>
      </c>
      <c r="Q440" s="48" t="s">
        <v>973</v>
      </c>
      <c r="R440" s="48" t="s">
        <v>458</v>
      </c>
      <c r="S440" s="48" t="s">
        <v>974</v>
      </c>
      <c r="T440" s="48" t="s">
        <v>974</v>
      </c>
      <c r="U440" s="48" t="s">
        <v>130</v>
      </c>
      <c r="V440" s="47" t="s">
        <v>14</v>
      </c>
      <c r="W440" s="48" t="s">
        <v>975</v>
      </c>
    </row>
    <row r="441">
      <c r="A441" s="77"/>
      <c r="B441" s="77"/>
      <c r="P441" s="45" t="s">
        <v>978</v>
      </c>
      <c r="Q441" s="45" t="s">
        <v>973</v>
      </c>
      <c r="R441" s="45" t="s">
        <v>458</v>
      </c>
      <c r="S441" s="45" t="s">
        <v>974</v>
      </c>
      <c r="T441" s="45" t="s">
        <v>974</v>
      </c>
      <c r="U441" s="45" t="s">
        <v>130</v>
      </c>
      <c r="V441" s="47" t="s">
        <v>14</v>
      </c>
      <c r="W441" s="45" t="s">
        <v>975</v>
      </c>
    </row>
    <row r="442">
      <c r="A442" s="77"/>
      <c r="B442" s="77"/>
      <c r="P442" s="48" t="s">
        <v>979</v>
      </c>
      <c r="Q442" s="48" t="s">
        <v>980</v>
      </c>
      <c r="R442" s="48" t="s">
        <v>472</v>
      </c>
      <c r="S442" s="48" t="s">
        <v>507</v>
      </c>
      <c r="T442" s="48" t="s">
        <v>507</v>
      </c>
      <c r="U442" s="48" t="s">
        <v>292</v>
      </c>
      <c r="V442" s="47" t="s">
        <v>14</v>
      </c>
      <c r="W442" s="48" t="s">
        <v>981</v>
      </c>
    </row>
    <row r="443">
      <c r="A443" s="77"/>
      <c r="B443" s="77"/>
      <c r="P443" s="45" t="s">
        <v>982</v>
      </c>
      <c r="Q443" s="45" t="s">
        <v>983</v>
      </c>
      <c r="R443" s="45" t="s">
        <v>472</v>
      </c>
      <c r="S443" s="45" t="s">
        <v>477</v>
      </c>
      <c r="T443" s="45" t="s">
        <v>477</v>
      </c>
      <c r="U443" s="46"/>
      <c r="V443" s="47" t="s">
        <v>14</v>
      </c>
      <c r="W443" s="45" t="s">
        <v>478</v>
      </c>
    </row>
    <row r="444">
      <c r="A444" s="77"/>
      <c r="B444" s="77"/>
      <c r="P444" s="48" t="s">
        <v>984</v>
      </c>
      <c r="Q444" s="48" t="s">
        <v>985</v>
      </c>
      <c r="R444" s="48" t="s">
        <v>481</v>
      </c>
      <c r="S444" s="48" t="s">
        <v>986</v>
      </c>
      <c r="T444" s="48" t="s">
        <v>986</v>
      </c>
      <c r="U444" s="49"/>
      <c r="V444" s="47" t="s">
        <v>14</v>
      </c>
      <c r="W444" s="48" t="s">
        <v>987</v>
      </c>
    </row>
    <row r="445">
      <c r="A445" s="77"/>
      <c r="B445" s="77"/>
      <c r="P445" s="45" t="s">
        <v>988</v>
      </c>
      <c r="Q445" s="45" t="s">
        <v>989</v>
      </c>
      <c r="R445" s="45" t="s">
        <v>481</v>
      </c>
      <c r="S445" s="45" t="s">
        <v>986</v>
      </c>
      <c r="T445" s="45" t="s">
        <v>986</v>
      </c>
      <c r="U445" s="45" t="s">
        <v>130</v>
      </c>
      <c r="V445" s="47" t="s">
        <v>14</v>
      </c>
      <c r="W445" s="45" t="s">
        <v>987</v>
      </c>
    </row>
    <row r="446">
      <c r="A446" s="77"/>
      <c r="B446" s="77"/>
      <c r="P446" s="48" t="s">
        <v>990</v>
      </c>
      <c r="Q446" s="48" t="s">
        <v>989</v>
      </c>
      <c r="R446" s="48" t="s">
        <v>481</v>
      </c>
      <c r="S446" s="48" t="s">
        <v>986</v>
      </c>
      <c r="T446" s="48" t="s">
        <v>986</v>
      </c>
      <c r="U446" s="48" t="s">
        <v>130</v>
      </c>
      <c r="V446" s="47" t="s">
        <v>14</v>
      </c>
      <c r="W446" s="48" t="s">
        <v>987</v>
      </c>
    </row>
    <row r="447">
      <c r="A447" s="77"/>
      <c r="B447" s="77"/>
      <c r="P447" s="45" t="s">
        <v>991</v>
      </c>
      <c r="Q447" s="45" t="s">
        <v>989</v>
      </c>
      <c r="R447" s="45" t="s">
        <v>481</v>
      </c>
      <c r="S447" s="45" t="s">
        <v>986</v>
      </c>
      <c r="T447" s="45" t="s">
        <v>986</v>
      </c>
      <c r="U447" s="46"/>
      <c r="V447" s="47" t="s">
        <v>14</v>
      </c>
      <c r="W447" s="45" t="s">
        <v>987</v>
      </c>
    </row>
    <row r="448">
      <c r="A448" s="77"/>
      <c r="B448" s="77"/>
      <c r="P448" s="48" t="s">
        <v>992</v>
      </c>
      <c r="Q448" s="48" t="s">
        <v>989</v>
      </c>
      <c r="R448" s="48" t="s">
        <v>481</v>
      </c>
      <c r="S448" s="48" t="s">
        <v>986</v>
      </c>
      <c r="T448" s="48" t="s">
        <v>986</v>
      </c>
      <c r="U448" s="48" t="s">
        <v>130</v>
      </c>
      <c r="V448" s="47" t="s">
        <v>14</v>
      </c>
      <c r="W448" s="48" t="s">
        <v>987</v>
      </c>
    </row>
    <row r="449">
      <c r="A449" s="77"/>
      <c r="B449" s="77"/>
      <c r="P449" s="45" t="s">
        <v>993</v>
      </c>
      <c r="Q449" s="45" t="s">
        <v>989</v>
      </c>
      <c r="R449" s="45" t="s">
        <v>481</v>
      </c>
      <c r="S449" s="45" t="s">
        <v>986</v>
      </c>
      <c r="T449" s="45" t="s">
        <v>986</v>
      </c>
      <c r="U449" s="45" t="s">
        <v>130</v>
      </c>
      <c r="V449" s="47" t="s">
        <v>14</v>
      </c>
      <c r="W449" s="45" t="s">
        <v>987</v>
      </c>
    </row>
    <row r="450">
      <c r="A450" s="77"/>
      <c r="B450" s="77"/>
      <c r="P450" s="48" t="s">
        <v>994</v>
      </c>
      <c r="Q450" s="48" t="s">
        <v>989</v>
      </c>
      <c r="R450" s="48" t="s">
        <v>481</v>
      </c>
      <c r="S450" s="48" t="s">
        <v>986</v>
      </c>
      <c r="T450" s="48" t="s">
        <v>986</v>
      </c>
      <c r="U450" s="49"/>
      <c r="V450" s="47" t="s">
        <v>14</v>
      </c>
      <c r="W450" s="48" t="s">
        <v>987</v>
      </c>
    </row>
    <row r="451">
      <c r="A451" s="77"/>
      <c r="B451" s="77"/>
      <c r="P451" s="45" t="s">
        <v>995</v>
      </c>
      <c r="Q451" s="45" t="s">
        <v>989</v>
      </c>
      <c r="R451" s="45" t="s">
        <v>481</v>
      </c>
      <c r="S451" s="45" t="s">
        <v>986</v>
      </c>
      <c r="T451" s="45" t="s">
        <v>986</v>
      </c>
      <c r="U451" s="46"/>
      <c r="V451" s="47" t="s">
        <v>14</v>
      </c>
      <c r="W451" s="45" t="s">
        <v>987</v>
      </c>
    </row>
    <row r="452">
      <c r="A452" s="77"/>
      <c r="B452" s="77"/>
      <c r="P452" s="48" t="s">
        <v>996</v>
      </c>
      <c r="Q452" s="48" t="s">
        <v>989</v>
      </c>
      <c r="R452" s="48" t="s">
        <v>481</v>
      </c>
      <c r="S452" s="48" t="s">
        <v>986</v>
      </c>
      <c r="T452" s="48" t="s">
        <v>986</v>
      </c>
      <c r="U452" s="48" t="s">
        <v>130</v>
      </c>
      <c r="V452" s="47" t="s">
        <v>14</v>
      </c>
      <c r="W452" s="48" t="s">
        <v>987</v>
      </c>
    </row>
    <row r="453">
      <c r="A453" s="77"/>
      <c r="B453" s="77"/>
      <c r="P453" s="45" t="s">
        <v>997</v>
      </c>
      <c r="Q453" s="45" t="s">
        <v>989</v>
      </c>
      <c r="R453" s="45" t="s">
        <v>481</v>
      </c>
      <c r="S453" s="45" t="s">
        <v>986</v>
      </c>
      <c r="T453" s="45" t="s">
        <v>986</v>
      </c>
      <c r="U453" s="45" t="s">
        <v>130</v>
      </c>
      <c r="V453" s="47" t="s">
        <v>14</v>
      </c>
      <c r="W453" s="45" t="s">
        <v>987</v>
      </c>
    </row>
    <row r="454">
      <c r="A454" s="77"/>
      <c r="B454" s="77"/>
      <c r="P454" s="48" t="s">
        <v>998</v>
      </c>
      <c r="Q454" s="48" t="s">
        <v>989</v>
      </c>
      <c r="R454" s="48" t="s">
        <v>481</v>
      </c>
      <c r="S454" s="48" t="s">
        <v>986</v>
      </c>
      <c r="T454" s="48" t="s">
        <v>986</v>
      </c>
      <c r="U454" s="48" t="s">
        <v>130</v>
      </c>
      <c r="V454" s="47" t="s">
        <v>14</v>
      </c>
      <c r="W454" s="48" t="s">
        <v>987</v>
      </c>
    </row>
    <row r="455">
      <c r="A455" s="77"/>
      <c r="B455" s="77"/>
      <c r="P455" s="45" t="s">
        <v>999</v>
      </c>
      <c r="Q455" s="45" t="s">
        <v>989</v>
      </c>
      <c r="R455" s="45" t="s">
        <v>481</v>
      </c>
      <c r="S455" s="45" t="s">
        <v>986</v>
      </c>
      <c r="T455" s="45" t="s">
        <v>986</v>
      </c>
      <c r="U455" s="46"/>
      <c r="V455" s="47" t="s">
        <v>14</v>
      </c>
      <c r="W455" s="45" t="s">
        <v>987</v>
      </c>
    </row>
    <row r="456">
      <c r="A456" s="77"/>
      <c r="B456" s="77"/>
      <c r="P456" s="48" t="s">
        <v>1000</v>
      </c>
      <c r="Q456" s="48" t="s">
        <v>989</v>
      </c>
      <c r="R456" s="48" t="s">
        <v>481</v>
      </c>
      <c r="S456" s="48" t="s">
        <v>986</v>
      </c>
      <c r="T456" s="48" t="s">
        <v>986</v>
      </c>
      <c r="U456" s="48" t="s">
        <v>130</v>
      </c>
      <c r="V456" s="47" t="s">
        <v>14</v>
      </c>
      <c r="W456" s="48" t="s">
        <v>987</v>
      </c>
    </row>
    <row r="457">
      <c r="A457" s="77"/>
      <c r="B457" s="77"/>
      <c r="P457" s="45" t="s">
        <v>1001</v>
      </c>
      <c r="Q457" s="45" t="s">
        <v>989</v>
      </c>
      <c r="R457" s="45" t="s">
        <v>481</v>
      </c>
      <c r="S457" s="45" t="s">
        <v>986</v>
      </c>
      <c r="T457" s="45" t="s">
        <v>986</v>
      </c>
      <c r="U457" s="46"/>
      <c r="V457" s="47" t="s">
        <v>14</v>
      </c>
      <c r="W457" s="45" t="s">
        <v>987</v>
      </c>
    </row>
    <row r="458">
      <c r="A458" s="77"/>
      <c r="B458" s="77"/>
      <c r="P458" s="48" t="s">
        <v>1002</v>
      </c>
      <c r="Q458" s="48" t="s">
        <v>989</v>
      </c>
      <c r="R458" s="48" t="s">
        <v>481</v>
      </c>
      <c r="S458" s="48" t="s">
        <v>986</v>
      </c>
      <c r="T458" s="48" t="s">
        <v>986</v>
      </c>
      <c r="U458" s="48" t="s">
        <v>292</v>
      </c>
      <c r="V458" s="47" t="s">
        <v>14</v>
      </c>
      <c r="W458" s="48" t="s">
        <v>987</v>
      </c>
    </row>
    <row r="459">
      <c r="A459" s="77"/>
      <c r="B459" s="77"/>
      <c r="P459" s="45" t="s">
        <v>1003</v>
      </c>
      <c r="Q459" s="45" t="s">
        <v>989</v>
      </c>
      <c r="R459" s="45" t="s">
        <v>481</v>
      </c>
      <c r="S459" s="45" t="s">
        <v>986</v>
      </c>
      <c r="T459" s="45" t="s">
        <v>986</v>
      </c>
      <c r="U459" s="45" t="s">
        <v>130</v>
      </c>
      <c r="V459" s="47" t="s">
        <v>14</v>
      </c>
      <c r="W459" s="45" t="s">
        <v>987</v>
      </c>
    </row>
    <row r="460">
      <c r="A460" s="77"/>
      <c r="B460" s="77"/>
      <c r="P460" s="48" t="s">
        <v>1004</v>
      </c>
      <c r="Q460" s="48" t="s">
        <v>989</v>
      </c>
      <c r="R460" s="48" t="s">
        <v>481</v>
      </c>
      <c r="S460" s="48" t="s">
        <v>986</v>
      </c>
      <c r="T460" s="48" t="s">
        <v>986</v>
      </c>
      <c r="U460" s="48" t="s">
        <v>130</v>
      </c>
      <c r="V460" s="47" t="s">
        <v>14</v>
      </c>
      <c r="W460" s="48" t="s">
        <v>987</v>
      </c>
    </row>
    <row r="461">
      <c r="A461" s="77"/>
      <c r="B461" s="77"/>
      <c r="P461" s="45" t="s">
        <v>1005</v>
      </c>
      <c r="Q461" s="45" t="s">
        <v>989</v>
      </c>
      <c r="R461" s="45" t="s">
        <v>481</v>
      </c>
      <c r="S461" s="45" t="s">
        <v>986</v>
      </c>
      <c r="T461" s="45" t="s">
        <v>986</v>
      </c>
      <c r="U461" s="46"/>
      <c r="V461" s="47" t="s">
        <v>14</v>
      </c>
      <c r="W461" s="45" t="s">
        <v>987</v>
      </c>
    </row>
    <row r="462">
      <c r="A462" s="77"/>
      <c r="B462" s="77"/>
      <c r="P462" s="48" t="s">
        <v>1006</v>
      </c>
      <c r="Q462" s="48" t="s">
        <v>989</v>
      </c>
      <c r="R462" s="48" t="s">
        <v>481</v>
      </c>
      <c r="S462" s="48" t="s">
        <v>986</v>
      </c>
      <c r="T462" s="48" t="s">
        <v>986</v>
      </c>
      <c r="U462" s="48" t="s">
        <v>130</v>
      </c>
      <c r="V462" s="47" t="s">
        <v>14</v>
      </c>
      <c r="W462" s="48" t="s">
        <v>987</v>
      </c>
    </row>
    <row r="463">
      <c r="A463" s="77"/>
      <c r="B463" s="77"/>
      <c r="P463" s="45" t="s">
        <v>1007</v>
      </c>
      <c r="Q463" s="45" t="s">
        <v>989</v>
      </c>
      <c r="R463" s="45" t="s">
        <v>481</v>
      </c>
      <c r="S463" s="45" t="s">
        <v>986</v>
      </c>
      <c r="T463" s="45" t="s">
        <v>986</v>
      </c>
      <c r="U463" s="45" t="s">
        <v>292</v>
      </c>
      <c r="V463" s="47" t="s">
        <v>14</v>
      </c>
      <c r="W463" s="45" t="s">
        <v>987</v>
      </c>
    </row>
    <row r="464">
      <c r="A464" s="77"/>
      <c r="B464" s="77"/>
      <c r="P464" s="48" t="s">
        <v>1008</v>
      </c>
      <c r="Q464" s="48" t="s">
        <v>989</v>
      </c>
      <c r="R464" s="48" t="s">
        <v>481</v>
      </c>
      <c r="S464" s="48" t="s">
        <v>986</v>
      </c>
      <c r="T464" s="48" t="s">
        <v>986</v>
      </c>
      <c r="U464" s="48" t="s">
        <v>130</v>
      </c>
      <c r="V464" s="47" t="s">
        <v>14</v>
      </c>
      <c r="W464" s="48" t="s">
        <v>987</v>
      </c>
    </row>
    <row r="465">
      <c r="A465" s="77"/>
      <c r="B465" s="77"/>
      <c r="P465" s="45" t="s">
        <v>1009</v>
      </c>
      <c r="Q465" s="45" t="s">
        <v>1010</v>
      </c>
      <c r="R465" s="45" t="s">
        <v>472</v>
      </c>
      <c r="S465" s="45" t="s">
        <v>507</v>
      </c>
      <c r="T465" s="45" t="s">
        <v>507</v>
      </c>
      <c r="U465" s="45" t="s">
        <v>130</v>
      </c>
      <c r="V465" s="47" t="s">
        <v>14</v>
      </c>
      <c r="W465" s="45" t="s">
        <v>981</v>
      </c>
    </row>
    <row r="466">
      <c r="A466" s="77"/>
      <c r="B466" s="77"/>
      <c r="P466" s="62" t="s">
        <v>1011</v>
      </c>
      <c r="Q466" s="62" t="s">
        <v>1012</v>
      </c>
      <c r="R466" s="62" t="s">
        <v>481</v>
      </c>
      <c r="S466" s="62" t="s">
        <v>986</v>
      </c>
      <c r="T466" s="62" t="s">
        <v>986</v>
      </c>
      <c r="U466" s="62" t="s">
        <v>130</v>
      </c>
      <c r="V466" s="61" t="s">
        <v>13</v>
      </c>
      <c r="W466" s="62" t="s">
        <v>1013</v>
      </c>
    </row>
    <row r="467">
      <c r="A467" s="77"/>
      <c r="B467" s="77"/>
      <c r="P467" s="60" t="s">
        <v>1014</v>
      </c>
      <c r="Q467" s="60" t="s">
        <v>1012</v>
      </c>
      <c r="R467" s="60" t="s">
        <v>481</v>
      </c>
      <c r="S467" s="60" t="s">
        <v>986</v>
      </c>
      <c r="T467" s="60" t="s">
        <v>986</v>
      </c>
      <c r="U467" s="60" t="s">
        <v>130</v>
      </c>
      <c r="V467" s="61" t="s">
        <v>13</v>
      </c>
      <c r="W467" s="60" t="s">
        <v>1013</v>
      </c>
    </row>
    <row r="468">
      <c r="A468" s="77"/>
      <c r="B468" s="77"/>
      <c r="P468" s="62" t="s">
        <v>1015</v>
      </c>
      <c r="Q468" s="62" t="s">
        <v>1012</v>
      </c>
      <c r="R468" s="62" t="s">
        <v>481</v>
      </c>
      <c r="S468" s="62" t="s">
        <v>986</v>
      </c>
      <c r="T468" s="62" t="s">
        <v>986</v>
      </c>
      <c r="U468" s="62" t="s">
        <v>130</v>
      </c>
      <c r="V468" s="61" t="s">
        <v>13</v>
      </c>
      <c r="W468" s="62" t="s">
        <v>1013</v>
      </c>
    </row>
    <row r="469">
      <c r="A469" s="77"/>
      <c r="B469" s="77"/>
      <c r="P469" s="60" t="s">
        <v>1016</v>
      </c>
      <c r="Q469" s="60" t="s">
        <v>1012</v>
      </c>
      <c r="R469" s="60" t="s">
        <v>481</v>
      </c>
      <c r="S469" s="60" t="s">
        <v>986</v>
      </c>
      <c r="T469" s="60" t="s">
        <v>986</v>
      </c>
      <c r="U469" s="60" t="s">
        <v>130</v>
      </c>
      <c r="V469" s="61" t="s">
        <v>13</v>
      </c>
      <c r="W469" s="60" t="s">
        <v>1013</v>
      </c>
    </row>
    <row r="470">
      <c r="A470" s="77"/>
      <c r="B470" s="77"/>
      <c r="P470" s="62" t="s">
        <v>1017</v>
      </c>
      <c r="Q470" s="62" t="s">
        <v>1012</v>
      </c>
      <c r="R470" s="62" t="s">
        <v>481</v>
      </c>
      <c r="S470" s="62" t="s">
        <v>986</v>
      </c>
      <c r="T470" s="62" t="s">
        <v>986</v>
      </c>
      <c r="U470" s="62" t="s">
        <v>130</v>
      </c>
      <c r="V470" s="61" t="s">
        <v>13</v>
      </c>
      <c r="W470" s="62" t="s">
        <v>1013</v>
      </c>
    </row>
    <row r="471">
      <c r="A471" s="77"/>
      <c r="B471" s="77"/>
      <c r="P471" s="60" t="s">
        <v>1018</v>
      </c>
      <c r="Q471" s="60" t="s">
        <v>1012</v>
      </c>
      <c r="R471" s="60" t="s">
        <v>481</v>
      </c>
      <c r="S471" s="60" t="s">
        <v>986</v>
      </c>
      <c r="T471" s="60" t="s">
        <v>986</v>
      </c>
      <c r="U471" s="60" t="s">
        <v>130</v>
      </c>
      <c r="V471" s="61" t="s">
        <v>13</v>
      </c>
      <c r="W471" s="60" t="s">
        <v>1013</v>
      </c>
    </row>
    <row r="472">
      <c r="A472" s="77"/>
      <c r="B472" s="77"/>
      <c r="P472" s="48" t="s">
        <v>1019</v>
      </c>
      <c r="Q472" s="48" t="s">
        <v>1020</v>
      </c>
      <c r="R472" s="48" t="s">
        <v>472</v>
      </c>
      <c r="S472" s="48" t="s">
        <v>507</v>
      </c>
      <c r="T472" s="48" t="s">
        <v>507</v>
      </c>
      <c r="U472" s="49"/>
      <c r="V472" s="47" t="s">
        <v>14</v>
      </c>
      <c r="W472" s="48" t="s">
        <v>981</v>
      </c>
    </row>
    <row r="473">
      <c r="A473" s="77"/>
      <c r="B473" s="77"/>
      <c r="P473" s="45" t="s">
        <v>1021</v>
      </c>
      <c r="Q473" s="45" t="s">
        <v>1020</v>
      </c>
      <c r="R473" s="45" t="s">
        <v>472</v>
      </c>
      <c r="S473" s="45" t="s">
        <v>507</v>
      </c>
      <c r="T473" s="45" t="s">
        <v>507</v>
      </c>
      <c r="U473" s="46"/>
      <c r="V473" s="47" t="s">
        <v>14</v>
      </c>
      <c r="W473" s="45" t="s">
        <v>981</v>
      </c>
    </row>
    <row r="474">
      <c r="A474" s="77"/>
      <c r="B474" s="77"/>
      <c r="P474" s="48" t="s">
        <v>1022</v>
      </c>
      <c r="Q474" s="48" t="s">
        <v>1020</v>
      </c>
      <c r="R474" s="48" t="s">
        <v>472</v>
      </c>
      <c r="S474" s="48" t="s">
        <v>507</v>
      </c>
      <c r="T474" s="48" t="s">
        <v>507</v>
      </c>
      <c r="U474" s="49"/>
      <c r="V474" s="47" t="s">
        <v>14</v>
      </c>
      <c r="W474" s="48" t="s">
        <v>981</v>
      </c>
    </row>
    <row r="475">
      <c r="A475" s="77"/>
      <c r="B475" s="77"/>
      <c r="P475" s="45" t="s">
        <v>1023</v>
      </c>
      <c r="Q475" s="45" t="s">
        <v>1020</v>
      </c>
      <c r="R475" s="45" t="s">
        <v>472</v>
      </c>
      <c r="S475" s="45" t="s">
        <v>507</v>
      </c>
      <c r="T475" s="45" t="s">
        <v>507</v>
      </c>
      <c r="U475" s="46"/>
      <c r="V475" s="47" t="s">
        <v>14</v>
      </c>
      <c r="W475" s="45" t="s">
        <v>981</v>
      </c>
    </row>
    <row r="476">
      <c r="A476" s="77"/>
      <c r="B476" s="77"/>
      <c r="P476" s="48" t="s">
        <v>1024</v>
      </c>
      <c r="Q476" s="48" t="s">
        <v>1020</v>
      </c>
      <c r="R476" s="48" t="s">
        <v>472</v>
      </c>
      <c r="S476" s="48" t="s">
        <v>507</v>
      </c>
      <c r="T476" s="48" t="s">
        <v>507</v>
      </c>
      <c r="U476" s="49"/>
      <c r="V476" s="47" t="s">
        <v>14</v>
      </c>
      <c r="W476" s="48" t="s">
        <v>981</v>
      </c>
    </row>
    <row r="477">
      <c r="A477" s="77"/>
      <c r="B477" s="77"/>
      <c r="P477" s="45" t="s">
        <v>1025</v>
      </c>
      <c r="Q477" s="45" t="s">
        <v>1020</v>
      </c>
      <c r="R477" s="45" t="s">
        <v>472</v>
      </c>
      <c r="S477" s="45" t="s">
        <v>507</v>
      </c>
      <c r="T477" s="45" t="s">
        <v>507</v>
      </c>
      <c r="U477" s="46"/>
      <c r="V477" s="47" t="s">
        <v>14</v>
      </c>
      <c r="W477" s="45" t="s">
        <v>981</v>
      </c>
    </row>
    <row r="478">
      <c r="A478" s="77"/>
      <c r="B478" s="77"/>
      <c r="P478" s="48" t="s">
        <v>1026</v>
      </c>
      <c r="Q478" s="48" t="s">
        <v>1020</v>
      </c>
      <c r="R478" s="48" t="s">
        <v>472</v>
      </c>
      <c r="S478" s="48" t="s">
        <v>507</v>
      </c>
      <c r="T478" s="48" t="s">
        <v>507</v>
      </c>
      <c r="U478" s="49"/>
      <c r="V478" s="47" t="s">
        <v>14</v>
      </c>
      <c r="W478" s="48" t="s">
        <v>981</v>
      </c>
    </row>
    <row r="479">
      <c r="A479" s="77"/>
      <c r="B479" s="77"/>
      <c r="P479" s="60" t="s">
        <v>1027</v>
      </c>
      <c r="Q479" s="60" t="s">
        <v>1028</v>
      </c>
      <c r="R479" s="60" t="s">
        <v>481</v>
      </c>
      <c r="S479" s="60" t="s">
        <v>986</v>
      </c>
      <c r="T479" s="60" t="s">
        <v>986</v>
      </c>
      <c r="U479" s="60" t="s">
        <v>130</v>
      </c>
      <c r="V479" s="61" t="s">
        <v>13</v>
      </c>
      <c r="W479" s="60" t="s">
        <v>1013</v>
      </c>
    </row>
    <row r="480">
      <c r="A480" s="77"/>
      <c r="B480" s="77"/>
      <c r="P480" s="62" t="s">
        <v>1029</v>
      </c>
      <c r="Q480" s="62" t="s">
        <v>1028</v>
      </c>
      <c r="R480" s="62" t="s">
        <v>481</v>
      </c>
      <c r="S480" s="62" t="s">
        <v>986</v>
      </c>
      <c r="T480" s="62" t="s">
        <v>986</v>
      </c>
      <c r="U480" s="62" t="s">
        <v>130</v>
      </c>
      <c r="V480" s="61" t="s">
        <v>13</v>
      </c>
      <c r="W480" s="62" t="s">
        <v>1013</v>
      </c>
    </row>
    <row r="481">
      <c r="A481" s="77"/>
      <c r="B481" s="77"/>
      <c r="P481" s="60" t="s">
        <v>1030</v>
      </c>
      <c r="Q481" s="60" t="s">
        <v>1028</v>
      </c>
      <c r="R481" s="60" t="s">
        <v>481</v>
      </c>
      <c r="S481" s="60" t="s">
        <v>986</v>
      </c>
      <c r="T481" s="60" t="s">
        <v>986</v>
      </c>
      <c r="U481" s="60" t="s">
        <v>130</v>
      </c>
      <c r="V481" s="61" t="s">
        <v>13</v>
      </c>
      <c r="W481" s="60" t="s">
        <v>1013</v>
      </c>
    </row>
    <row r="482">
      <c r="A482" s="77"/>
      <c r="B482" s="77"/>
      <c r="P482" s="62" t="s">
        <v>1031</v>
      </c>
      <c r="Q482" s="62" t="s">
        <v>1028</v>
      </c>
      <c r="R482" s="62" t="s">
        <v>481</v>
      </c>
      <c r="S482" s="62" t="s">
        <v>986</v>
      </c>
      <c r="T482" s="62" t="s">
        <v>986</v>
      </c>
      <c r="U482" s="62" t="s">
        <v>130</v>
      </c>
      <c r="V482" s="61" t="s">
        <v>13</v>
      </c>
      <c r="W482" s="62" t="s">
        <v>1013</v>
      </c>
    </row>
    <row r="483">
      <c r="A483" s="77"/>
      <c r="B483" s="77"/>
      <c r="P483" s="60" t="s">
        <v>1032</v>
      </c>
      <c r="Q483" s="60" t="s">
        <v>1028</v>
      </c>
      <c r="R483" s="60" t="s">
        <v>481</v>
      </c>
      <c r="S483" s="60" t="s">
        <v>986</v>
      </c>
      <c r="T483" s="60" t="s">
        <v>986</v>
      </c>
      <c r="U483" s="60" t="s">
        <v>130</v>
      </c>
      <c r="V483" s="61" t="s">
        <v>13</v>
      </c>
      <c r="W483" s="60" t="s">
        <v>1013</v>
      </c>
    </row>
    <row r="484">
      <c r="A484" s="77"/>
      <c r="B484" s="77"/>
      <c r="P484" s="62" t="s">
        <v>1033</v>
      </c>
      <c r="Q484" s="62" t="s">
        <v>1028</v>
      </c>
      <c r="R484" s="62" t="s">
        <v>481</v>
      </c>
      <c r="S484" s="62" t="s">
        <v>986</v>
      </c>
      <c r="T484" s="62" t="s">
        <v>986</v>
      </c>
      <c r="U484" s="62" t="s">
        <v>130</v>
      </c>
      <c r="V484" s="61" t="s">
        <v>13</v>
      </c>
      <c r="W484" s="62" t="s">
        <v>1013</v>
      </c>
    </row>
    <row r="485">
      <c r="A485" s="77"/>
      <c r="B485" s="77"/>
      <c r="P485" s="45" t="s">
        <v>1034</v>
      </c>
      <c r="Q485" s="45" t="s">
        <v>1035</v>
      </c>
      <c r="R485" s="45" t="s">
        <v>472</v>
      </c>
      <c r="S485" s="45" t="s">
        <v>1036</v>
      </c>
      <c r="T485" s="45" t="s">
        <v>1036</v>
      </c>
      <c r="U485" s="46"/>
      <c r="V485" s="47" t="s">
        <v>14</v>
      </c>
      <c r="W485" s="45" t="s">
        <v>1037</v>
      </c>
    </row>
    <row r="486">
      <c r="A486" s="77"/>
      <c r="B486" s="77"/>
      <c r="P486" s="48" t="s">
        <v>1038</v>
      </c>
      <c r="Q486" s="48" t="s">
        <v>1035</v>
      </c>
      <c r="R486" s="48" t="s">
        <v>472</v>
      </c>
      <c r="S486" s="48" t="s">
        <v>1036</v>
      </c>
      <c r="T486" s="48" t="s">
        <v>1036</v>
      </c>
      <c r="U486" s="49"/>
      <c r="V486" s="47" t="s">
        <v>14</v>
      </c>
      <c r="W486" s="48" t="s">
        <v>1037</v>
      </c>
    </row>
    <row r="487">
      <c r="A487" s="77"/>
      <c r="B487" s="77"/>
      <c r="P487" s="45" t="s">
        <v>1039</v>
      </c>
      <c r="Q487" s="45" t="s">
        <v>1035</v>
      </c>
      <c r="R487" s="45" t="s">
        <v>472</v>
      </c>
      <c r="S487" s="45" t="s">
        <v>1036</v>
      </c>
      <c r="T487" s="45" t="s">
        <v>1036</v>
      </c>
      <c r="U487" s="46"/>
      <c r="V487" s="47" t="s">
        <v>14</v>
      </c>
      <c r="W487" s="45" t="s">
        <v>1037</v>
      </c>
    </row>
    <row r="488">
      <c r="A488" s="77"/>
      <c r="B488" s="77"/>
      <c r="P488" s="48" t="s">
        <v>1040</v>
      </c>
      <c r="Q488" s="48" t="s">
        <v>1041</v>
      </c>
      <c r="R488" s="48" t="s">
        <v>537</v>
      </c>
      <c r="S488" s="48" t="s">
        <v>538</v>
      </c>
      <c r="T488" s="48" t="s">
        <v>538</v>
      </c>
      <c r="U488" s="48" t="s">
        <v>89</v>
      </c>
      <c r="V488" s="47" t="s">
        <v>14</v>
      </c>
      <c r="W488" s="48" t="s">
        <v>539</v>
      </c>
    </row>
    <row r="489">
      <c r="A489" s="77"/>
      <c r="B489" s="77"/>
      <c r="P489" s="45" t="s">
        <v>1042</v>
      </c>
      <c r="Q489" s="45" t="s">
        <v>1043</v>
      </c>
      <c r="R489" s="45" t="s">
        <v>537</v>
      </c>
      <c r="S489" s="45" t="s">
        <v>1044</v>
      </c>
      <c r="T489" s="45" t="s">
        <v>1044</v>
      </c>
      <c r="U489" s="46"/>
      <c r="V489" s="47" t="s">
        <v>14</v>
      </c>
      <c r="W489" s="45" t="s">
        <v>1045</v>
      </c>
    </row>
    <row r="490">
      <c r="A490" s="77"/>
      <c r="B490" s="77"/>
      <c r="P490" s="62" t="s">
        <v>1046</v>
      </c>
      <c r="Q490" s="62" t="s">
        <v>1047</v>
      </c>
      <c r="R490" s="62" t="s">
        <v>537</v>
      </c>
      <c r="S490" s="62" t="s">
        <v>552</v>
      </c>
      <c r="T490" s="62" t="s">
        <v>552</v>
      </c>
      <c r="U490" s="62" t="s">
        <v>130</v>
      </c>
      <c r="V490" s="61" t="s">
        <v>13</v>
      </c>
      <c r="W490" s="62" t="s">
        <v>1048</v>
      </c>
    </row>
    <row r="491">
      <c r="A491" s="77"/>
      <c r="B491" s="77"/>
      <c r="P491" s="60" t="s">
        <v>1049</v>
      </c>
      <c r="Q491" s="60" t="s">
        <v>1047</v>
      </c>
      <c r="R491" s="60" t="s">
        <v>537</v>
      </c>
      <c r="S491" s="60" t="s">
        <v>552</v>
      </c>
      <c r="T491" s="60" t="s">
        <v>552</v>
      </c>
      <c r="U491" s="60" t="s">
        <v>130</v>
      </c>
      <c r="V491" s="61" t="s">
        <v>13</v>
      </c>
      <c r="W491" s="60" t="s">
        <v>1048</v>
      </c>
    </row>
    <row r="492">
      <c r="A492" s="77"/>
      <c r="B492" s="77"/>
      <c r="P492" s="62" t="s">
        <v>1050</v>
      </c>
      <c r="Q492" s="62" t="s">
        <v>1047</v>
      </c>
      <c r="R492" s="62" t="s">
        <v>537</v>
      </c>
      <c r="S492" s="62" t="s">
        <v>552</v>
      </c>
      <c r="T492" s="62" t="s">
        <v>552</v>
      </c>
      <c r="U492" s="62" t="s">
        <v>130</v>
      </c>
      <c r="V492" s="61" t="s">
        <v>13</v>
      </c>
      <c r="W492" s="62" t="s">
        <v>1048</v>
      </c>
    </row>
    <row r="493">
      <c r="A493" s="77"/>
      <c r="B493" s="77"/>
      <c r="P493" s="60" t="s">
        <v>1051</v>
      </c>
      <c r="Q493" s="60" t="s">
        <v>1047</v>
      </c>
      <c r="R493" s="60" t="s">
        <v>537</v>
      </c>
      <c r="S493" s="60" t="s">
        <v>552</v>
      </c>
      <c r="T493" s="60" t="s">
        <v>552</v>
      </c>
      <c r="U493" s="60" t="s">
        <v>130</v>
      </c>
      <c r="V493" s="61" t="s">
        <v>13</v>
      </c>
      <c r="W493" s="60" t="s">
        <v>1048</v>
      </c>
    </row>
    <row r="494">
      <c r="A494" s="77"/>
      <c r="B494" s="77"/>
      <c r="P494" s="62" t="s">
        <v>1052</v>
      </c>
      <c r="Q494" s="62" t="s">
        <v>1047</v>
      </c>
      <c r="R494" s="62" t="s">
        <v>537</v>
      </c>
      <c r="S494" s="62" t="s">
        <v>552</v>
      </c>
      <c r="T494" s="62" t="s">
        <v>552</v>
      </c>
      <c r="U494" s="62" t="s">
        <v>130</v>
      </c>
      <c r="V494" s="61" t="s">
        <v>13</v>
      </c>
      <c r="W494" s="62" t="s">
        <v>1048</v>
      </c>
    </row>
    <row r="495">
      <c r="A495" s="77"/>
      <c r="B495" s="77"/>
      <c r="P495" s="60" t="s">
        <v>1053</v>
      </c>
      <c r="Q495" s="60" t="s">
        <v>1047</v>
      </c>
      <c r="R495" s="60" t="s">
        <v>537</v>
      </c>
      <c r="S495" s="60" t="s">
        <v>552</v>
      </c>
      <c r="T495" s="60" t="s">
        <v>552</v>
      </c>
      <c r="U495" s="60" t="s">
        <v>130</v>
      </c>
      <c r="V495" s="61" t="s">
        <v>13</v>
      </c>
      <c r="W495" s="60" t="s">
        <v>1048</v>
      </c>
    </row>
    <row r="496">
      <c r="A496" s="77"/>
      <c r="B496" s="77"/>
      <c r="P496" s="62" t="s">
        <v>1054</v>
      </c>
      <c r="Q496" s="62" t="s">
        <v>884</v>
      </c>
      <c r="R496" s="62" t="s">
        <v>568</v>
      </c>
      <c r="S496" s="62" t="s">
        <v>1055</v>
      </c>
      <c r="T496" s="62" t="s">
        <v>1055</v>
      </c>
      <c r="U496" s="62" t="s">
        <v>89</v>
      </c>
      <c r="V496" s="61" t="s">
        <v>13</v>
      </c>
      <c r="W496" s="62" t="s">
        <v>1056</v>
      </c>
    </row>
    <row r="497">
      <c r="A497" s="77"/>
      <c r="B497" s="77"/>
      <c r="P497" s="60" t="s">
        <v>1057</v>
      </c>
      <c r="Q497" s="60" t="s">
        <v>884</v>
      </c>
      <c r="R497" s="60" t="s">
        <v>568</v>
      </c>
      <c r="S497" s="60" t="s">
        <v>1055</v>
      </c>
      <c r="T497" s="60" t="s">
        <v>1055</v>
      </c>
      <c r="U497" s="60" t="s">
        <v>89</v>
      </c>
      <c r="V497" s="61" t="s">
        <v>13</v>
      </c>
      <c r="W497" s="60" t="s">
        <v>1056</v>
      </c>
    </row>
    <row r="498">
      <c r="A498" s="77"/>
      <c r="B498" s="77"/>
      <c r="P498" s="48" t="s">
        <v>1058</v>
      </c>
      <c r="Q498" s="48" t="s">
        <v>581</v>
      </c>
      <c r="R498" s="48" t="s">
        <v>573</v>
      </c>
      <c r="S498" s="48" t="s">
        <v>582</v>
      </c>
      <c r="T498" s="48" t="s">
        <v>582</v>
      </c>
      <c r="U498" s="49"/>
      <c r="V498" s="47" t="s">
        <v>14</v>
      </c>
      <c r="W498" s="48" t="s">
        <v>583</v>
      </c>
    </row>
    <row r="499">
      <c r="A499" s="77"/>
      <c r="B499" s="77"/>
      <c r="P499" s="60" t="s">
        <v>1059</v>
      </c>
      <c r="Q499" s="60" t="s">
        <v>898</v>
      </c>
      <c r="R499" s="60" t="s">
        <v>601</v>
      </c>
      <c r="S499" s="60" t="s">
        <v>609</v>
      </c>
      <c r="T499" s="60" t="s">
        <v>609</v>
      </c>
      <c r="U499" s="63"/>
      <c r="V499" s="61" t="s">
        <v>13</v>
      </c>
      <c r="W499" s="60" t="s">
        <v>1060</v>
      </c>
    </row>
    <row r="500">
      <c r="A500" s="77"/>
      <c r="B500" s="77"/>
      <c r="P500" s="62" t="s">
        <v>1061</v>
      </c>
      <c r="Q500" s="62" t="s">
        <v>898</v>
      </c>
      <c r="R500" s="62" t="s">
        <v>601</v>
      </c>
      <c r="S500" s="62" t="s">
        <v>609</v>
      </c>
      <c r="T500" s="62" t="s">
        <v>609</v>
      </c>
      <c r="U500" s="64"/>
      <c r="V500" s="61" t="s">
        <v>13</v>
      </c>
      <c r="W500" s="62" t="s">
        <v>1060</v>
      </c>
    </row>
    <row r="501">
      <c r="A501" s="77"/>
      <c r="B501" s="77"/>
      <c r="P501" s="45" t="s">
        <v>1062</v>
      </c>
      <c r="Q501" s="45" t="s">
        <v>340</v>
      </c>
      <c r="R501" s="45" t="s">
        <v>601</v>
      </c>
      <c r="S501" s="45" t="s">
        <v>1063</v>
      </c>
      <c r="T501" s="45" t="s">
        <v>1063</v>
      </c>
      <c r="U501" s="46"/>
      <c r="V501" s="47" t="s">
        <v>14</v>
      </c>
      <c r="W501" s="45" t="s">
        <v>1064</v>
      </c>
    </row>
    <row r="502">
      <c r="A502" s="77"/>
      <c r="B502" s="77"/>
      <c r="P502" s="48" t="s">
        <v>1065</v>
      </c>
      <c r="Q502" s="48" t="s">
        <v>340</v>
      </c>
      <c r="R502" s="48" t="s">
        <v>601</v>
      </c>
      <c r="S502" s="48" t="s">
        <v>1063</v>
      </c>
      <c r="T502" s="48" t="s">
        <v>1063</v>
      </c>
      <c r="U502" s="49"/>
      <c r="V502" s="47" t="s">
        <v>14</v>
      </c>
      <c r="W502" s="48" t="s">
        <v>1064</v>
      </c>
    </row>
    <row r="503">
      <c r="A503" s="77"/>
      <c r="B503" s="77"/>
      <c r="P503" s="45" t="s">
        <v>1066</v>
      </c>
      <c r="Q503" s="45" t="s">
        <v>340</v>
      </c>
      <c r="R503" s="45" t="s">
        <v>601</v>
      </c>
      <c r="S503" s="45" t="s">
        <v>1063</v>
      </c>
      <c r="T503" s="45" t="s">
        <v>1063</v>
      </c>
      <c r="U503" s="46"/>
      <c r="V503" s="47" t="s">
        <v>14</v>
      </c>
      <c r="W503" s="45" t="s">
        <v>1064</v>
      </c>
    </row>
    <row r="504">
      <c r="A504" s="77"/>
      <c r="B504" s="77"/>
      <c r="P504" s="48" t="s">
        <v>1067</v>
      </c>
      <c r="Q504" s="48" t="s">
        <v>340</v>
      </c>
      <c r="R504" s="48" t="s">
        <v>601</v>
      </c>
      <c r="S504" s="48" t="s">
        <v>1063</v>
      </c>
      <c r="T504" s="48" t="s">
        <v>1063</v>
      </c>
      <c r="U504" s="49"/>
      <c r="V504" s="47" t="s">
        <v>14</v>
      </c>
      <c r="W504" s="48" t="s">
        <v>1064</v>
      </c>
    </row>
    <row r="505">
      <c r="A505" s="77"/>
      <c r="B505" s="77"/>
      <c r="P505" s="45" t="s">
        <v>1068</v>
      </c>
      <c r="Q505" s="45" t="s">
        <v>340</v>
      </c>
      <c r="R505" s="45" t="s">
        <v>601</v>
      </c>
      <c r="S505" s="45" t="s">
        <v>1063</v>
      </c>
      <c r="T505" s="45" t="s">
        <v>1063</v>
      </c>
      <c r="U505" s="46"/>
      <c r="V505" s="47" t="s">
        <v>14</v>
      </c>
      <c r="W505" s="45" t="s">
        <v>1064</v>
      </c>
    </row>
    <row r="506">
      <c r="A506" s="77"/>
      <c r="B506" s="77"/>
      <c r="P506" s="48" t="s">
        <v>1069</v>
      </c>
      <c r="Q506" s="48" t="s">
        <v>1070</v>
      </c>
      <c r="R506" s="48" t="s">
        <v>601</v>
      </c>
      <c r="S506" s="48" t="s">
        <v>1063</v>
      </c>
      <c r="T506" s="48" t="s">
        <v>1063</v>
      </c>
      <c r="U506" s="48" t="s">
        <v>130</v>
      </c>
      <c r="V506" s="47" t="s">
        <v>14</v>
      </c>
      <c r="W506" s="48" t="s">
        <v>1064</v>
      </c>
    </row>
    <row r="507">
      <c r="A507" s="77"/>
      <c r="B507" s="77"/>
      <c r="P507" s="45" t="s">
        <v>1071</v>
      </c>
      <c r="Q507" s="45" t="s">
        <v>1070</v>
      </c>
      <c r="R507" s="45" t="s">
        <v>601</v>
      </c>
      <c r="S507" s="45" t="s">
        <v>1063</v>
      </c>
      <c r="T507" s="45" t="s">
        <v>1063</v>
      </c>
      <c r="U507" s="45" t="s">
        <v>130</v>
      </c>
      <c r="V507" s="47" t="s">
        <v>14</v>
      </c>
      <c r="W507" s="45" t="s">
        <v>1064</v>
      </c>
    </row>
    <row r="508">
      <c r="A508" s="77"/>
      <c r="B508" s="77"/>
      <c r="P508" s="48" t="s">
        <v>1072</v>
      </c>
      <c r="Q508" s="48" t="s">
        <v>1070</v>
      </c>
      <c r="R508" s="48" t="s">
        <v>601</v>
      </c>
      <c r="S508" s="48" t="s">
        <v>1063</v>
      </c>
      <c r="T508" s="48" t="s">
        <v>1063</v>
      </c>
      <c r="U508" s="48" t="s">
        <v>130</v>
      </c>
      <c r="V508" s="47" t="s">
        <v>14</v>
      </c>
      <c r="W508" s="48" t="s">
        <v>1064</v>
      </c>
    </row>
    <row r="509">
      <c r="A509" s="77"/>
      <c r="B509" s="77"/>
      <c r="P509" s="45" t="s">
        <v>1073</v>
      </c>
      <c r="Q509" s="45" t="s">
        <v>1070</v>
      </c>
      <c r="R509" s="45" t="s">
        <v>601</v>
      </c>
      <c r="S509" s="45" t="s">
        <v>1063</v>
      </c>
      <c r="T509" s="45" t="s">
        <v>1063</v>
      </c>
      <c r="U509" s="46"/>
      <c r="V509" s="47" t="s">
        <v>14</v>
      </c>
      <c r="W509" s="45" t="s">
        <v>1064</v>
      </c>
    </row>
    <row r="510">
      <c r="A510" s="77"/>
      <c r="B510" s="77"/>
      <c r="P510" s="48" t="s">
        <v>1074</v>
      </c>
      <c r="Q510" s="48" t="s">
        <v>1075</v>
      </c>
      <c r="R510" s="48" t="s">
        <v>616</v>
      </c>
      <c r="S510" s="48" t="s">
        <v>622</v>
      </c>
      <c r="T510" s="48" t="s">
        <v>622</v>
      </c>
      <c r="U510" s="48" t="s">
        <v>89</v>
      </c>
      <c r="V510" s="47" t="s">
        <v>14</v>
      </c>
      <c r="W510" s="48" t="s">
        <v>623</v>
      </c>
    </row>
    <row r="511">
      <c r="A511" s="77"/>
      <c r="B511" s="77"/>
      <c r="P511" s="45" t="s">
        <v>1076</v>
      </c>
      <c r="Q511" s="45" t="s">
        <v>1075</v>
      </c>
      <c r="R511" s="45" t="s">
        <v>616</v>
      </c>
      <c r="S511" s="45" t="s">
        <v>622</v>
      </c>
      <c r="T511" s="45" t="s">
        <v>622</v>
      </c>
      <c r="U511" s="45" t="s">
        <v>89</v>
      </c>
      <c r="V511" s="47" t="s">
        <v>14</v>
      </c>
      <c r="W511" s="45" t="s">
        <v>623</v>
      </c>
    </row>
    <row r="512">
      <c r="A512" s="77"/>
      <c r="B512" s="77"/>
      <c r="P512" s="48" t="s">
        <v>1077</v>
      </c>
      <c r="Q512" s="48" t="s">
        <v>1075</v>
      </c>
      <c r="R512" s="48" t="s">
        <v>616</v>
      </c>
      <c r="S512" s="48" t="s">
        <v>622</v>
      </c>
      <c r="T512" s="48" t="s">
        <v>622</v>
      </c>
      <c r="U512" s="48" t="s">
        <v>89</v>
      </c>
      <c r="V512" s="47" t="s">
        <v>14</v>
      </c>
      <c r="W512" s="48" t="s">
        <v>623</v>
      </c>
    </row>
    <row r="513">
      <c r="A513" s="77"/>
      <c r="B513" s="77"/>
      <c r="P513" s="45" t="s">
        <v>1078</v>
      </c>
      <c r="Q513" s="45" t="s">
        <v>1075</v>
      </c>
      <c r="R513" s="45" t="s">
        <v>616</v>
      </c>
      <c r="S513" s="45" t="s">
        <v>622</v>
      </c>
      <c r="T513" s="45" t="s">
        <v>622</v>
      </c>
      <c r="U513" s="45" t="s">
        <v>89</v>
      </c>
      <c r="V513" s="47" t="s">
        <v>14</v>
      </c>
      <c r="W513" s="45" t="s">
        <v>623</v>
      </c>
    </row>
    <row r="514">
      <c r="A514" s="77"/>
      <c r="B514" s="77"/>
      <c r="P514" s="48" t="s">
        <v>1079</v>
      </c>
      <c r="Q514" s="48" t="s">
        <v>1075</v>
      </c>
      <c r="R514" s="48" t="s">
        <v>616</v>
      </c>
      <c r="S514" s="48" t="s">
        <v>622</v>
      </c>
      <c r="T514" s="48" t="s">
        <v>622</v>
      </c>
      <c r="U514" s="48" t="s">
        <v>89</v>
      </c>
      <c r="V514" s="47" t="s">
        <v>14</v>
      </c>
      <c r="W514" s="48" t="s">
        <v>623</v>
      </c>
    </row>
    <row r="515">
      <c r="A515" s="77"/>
      <c r="B515" s="77"/>
      <c r="P515" s="45" t="s">
        <v>1080</v>
      </c>
      <c r="Q515" s="45" t="s">
        <v>1075</v>
      </c>
      <c r="R515" s="45" t="s">
        <v>616</v>
      </c>
      <c r="S515" s="45" t="s">
        <v>622</v>
      </c>
      <c r="T515" s="45" t="s">
        <v>622</v>
      </c>
      <c r="U515" s="45" t="s">
        <v>89</v>
      </c>
      <c r="V515" s="47" t="s">
        <v>14</v>
      </c>
      <c r="W515" s="45" t="s">
        <v>623</v>
      </c>
    </row>
    <row r="516">
      <c r="A516" s="77"/>
      <c r="B516" s="77"/>
      <c r="P516" s="48" t="s">
        <v>1081</v>
      </c>
      <c r="Q516" s="48" t="s">
        <v>1075</v>
      </c>
      <c r="R516" s="48" t="s">
        <v>616</v>
      </c>
      <c r="S516" s="48" t="s">
        <v>622</v>
      </c>
      <c r="T516" s="48" t="s">
        <v>622</v>
      </c>
      <c r="U516" s="48" t="s">
        <v>89</v>
      </c>
      <c r="V516" s="47" t="s">
        <v>14</v>
      </c>
      <c r="W516" s="48" t="s">
        <v>623</v>
      </c>
    </row>
    <row r="517">
      <c r="A517" s="77"/>
      <c r="B517" s="77"/>
      <c r="P517" s="45" t="s">
        <v>1082</v>
      </c>
      <c r="Q517" s="45" t="s">
        <v>1075</v>
      </c>
      <c r="R517" s="45" t="s">
        <v>616</v>
      </c>
      <c r="S517" s="45" t="s">
        <v>622</v>
      </c>
      <c r="T517" s="45" t="s">
        <v>622</v>
      </c>
      <c r="U517" s="45" t="s">
        <v>89</v>
      </c>
      <c r="V517" s="47" t="s">
        <v>14</v>
      </c>
      <c r="W517" s="45" t="s">
        <v>623</v>
      </c>
    </row>
    <row r="518">
      <c r="A518" s="77"/>
      <c r="B518" s="77"/>
      <c r="P518" s="48" t="s">
        <v>1083</v>
      </c>
      <c r="Q518" s="48" t="s">
        <v>1075</v>
      </c>
      <c r="R518" s="48" t="s">
        <v>616</v>
      </c>
      <c r="S518" s="48" t="s">
        <v>622</v>
      </c>
      <c r="T518" s="48" t="s">
        <v>622</v>
      </c>
      <c r="U518" s="48" t="s">
        <v>89</v>
      </c>
      <c r="V518" s="47" t="s">
        <v>14</v>
      </c>
      <c r="W518" s="48" t="s">
        <v>623</v>
      </c>
    </row>
    <row r="519">
      <c r="A519" s="77"/>
      <c r="B519" s="77"/>
      <c r="P519" s="60" t="s">
        <v>1084</v>
      </c>
      <c r="Q519" s="60" t="s">
        <v>794</v>
      </c>
      <c r="R519" s="60" t="s">
        <v>616</v>
      </c>
      <c r="S519" s="60" t="s">
        <v>622</v>
      </c>
      <c r="T519" s="60" t="s">
        <v>622</v>
      </c>
      <c r="U519" s="60" t="s">
        <v>89</v>
      </c>
      <c r="V519" s="61" t="s">
        <v>13</v>
      </c>
      <c r="W519" s="60" t="s">
        <v>1085</v>
      </c>
    </row>
    <row r="520">
      <c r="A520" s="77"/>
      <c r="B520" s="77"/>
      <c r="P520" s="48" t="s">
        <v>1086</v>
      </c>
      <c r="Q520" s="48" t="s">
        <v>1075</v>
      </c>
      <c r="R520" s="48" t="s">
        <v>616</v>
      </c>
      <c r="S520" s="48" t="s">
        <v>622</v>
      </c>
      <c r="T520" s="48" t="s">
        <v>622</v>
      </c>
      <c r="U520" s="48" t="s">
        <v>89</v>
      </c>
      <c r="V520" s="47" t="s">
        <v>14</v>
      </c>
      <c r="W520" s="48" t="s">
        <v>623</v>
      </c>
    </row>
    <row r="521">
      <c r="A521" s="77"/>
      <c r="B521" s="77"/>
      <c r="P521" s="60" t="s">
        <v>1087</v>
      </c>
      <c r="Q521" s="60" t="s">
        <v>1088</v>
      </c>
      <c r="R521" s="60" t="s">
        <v>630</v>
      </c>
      <c r="S521" s="60" t="s">
        <v>640</v>
      </c>
      <c r="T521" s="60" t="s">
        <v>640</v>
      </c>
      <c r="U521" s="60" t="s">
        <v>130</v>
      </c>
      <c r="V521" s="61" t="s">
        <v>13</v>
      </c>
      <c r="W521" s="60" t="s">
        <v>1089</v>
      </c>
    </row>
    <row r="522">
      <c r="A522" s="77"/>
      <c r="B522" s="77"/>
      <c r="P522" s="48" t="s">
        <v>1090</v>
      </c>
      <c r="Q522" s="48" t="s">
        <v>1091</v>
      </c>
      <c r="R522" s="48" t="s">
        <v>630</v>
      </c>
      <c r="S522" s="48" t="s">
        <v>640</v>
      </c>
      <c r="T522" s="48" t="s">
        <v>640</v>
      </c>
      <c r="U522" s="49"/>
      <c r="V522" s="47" t="s">
        <v>14</v>
      </c>
      <c r="W522" s="48" t="s">
        <v>641</v>
      </c>
    </row>
    <row r="523">
      <c r="A523" s="77"/>
      <c r="B523" s="77"/>
      <c r="P523" s="45" t="s">
        <v>1092</v>
      </c>
      <c r="Q523" s="45" t="s">
        <v>1091</v>
      </c>
      <c r="R523" s="45" t="s">
        <v>630</v>
      </c>
      <c r="S523" s="45" t="s">
        <v>640</v>
      </c>
      <c r="T523" s="45" t="s">
        <v>640</v>
      </c>
      <c r="U523" s="46"/>
      <c r="V523" s="47" t="s">
        <v>14</v>
      </c>
      <c r="W523" s="45" t="s">
        <v>641</v>
      </c>
    </row>
    <row r="524">
      <c r="A524" s="77"/>
      <c r="B524" s="77"/>
      <c r="P524" s="48" t="s">
        <v>1093</v>
      </c>
      <c r="Q524" s="48" t="s">
        <v>1091</v>
      </c>
      <c r="R524" s="48" t="s">
        <v>630</v>
      </c>
      <c r="S524" s="48" t="s">
        <v>640</v>
      </c>
      <c r="T524" s="48" t="s">
        <v>640</v>
      </c>
      <c r="U524" s="49"/>
      <c r="V524" s="47" t="s">
        <v>14</v>
      </c>
      <c r="W524" s="48" t="s">
        <v>641</v>
      </c>
    </row>
    <row r="525">
      <c r="A525" s="77"/>
      <c r="B525" s="77"/>
      <c r="P525" s="45" t="s">
        <v>1094</v>
      </c>
      <c r="Q525" s="45" t="s">
        <v>1091</v>
      </c>
      <c r="R525" s="45" t="s">
        <v>630</v>
      </c>
      <c r="S525" s="45" t="s">
        <v>640</v>
      </c>
      <c r="T525" s="45" t="s">
        <v>640</v>
      </c>
      <c r="U525" s="46"/>
      <c r="V525" s="47" t="s">
        <v>14</v>
      </c>
      <c r="W525" s="45" t="s">
        <v>641</v>
      </c>
    </row>
    <row r="526">
      <c r="A526" s="77"/>
      <c r="B526" s="77"/>
      <c r="P526" s="62" t="s">
        <v>1095</v>
      </c>
      <c r="Q526" s="62" t="s">
        <v>850</v>
      </c>
      <c r="R526" s="62" t="s">
        <v>630</v>
      </c>
      <c r="S526" s="62" t="s">
        <v>1096</v>
      </c>
      <c r="T526" s="62" t="s">
        <v>1096</v>
      </c>
      <c r="U526" s="64"/>
      <c r="V526" s="61" t="s">
        <v>13</v>
      </c>
      <c r="W526" s="62" t="s">
        <v>1097</v>
      </c>
    </row>
    <row r="527">
      <c r="A527" s="77"/>
      <c r="B527" s="77"/>
      <c r="P527" s="60" t="s">
        <v>1098</v>
      </c>
      <c r="Q527" s="60" t="s">
        <v>850</v>
      </c>
      <c r="R527" s="60" t="s">
        <v>630</v>
      </c>
      <c r="S527" s="60" t="s">
        <v>1099</v>
      </c>
      <c r="T527" s="60" t="s">
        <v>1099</v>
      </c>
      <c r="U527" s="63"/>
      <c r="V527" s="61" t="s">
        <v>13</v>
      </c>
      <c r="W527" s="60" t="s">
        <v>1100</v>
      </c>
    </row>
    <row r="528">
      <c r="A528" s="77"/>
      <c r="B528" s="77"/>
      <c r="P528" s="62" t="s">
        <v>1101</v>
      </c>
      <c r="Q528" s="62" t="s">
        <v>850</v>
      </c>
      <c r="R528" s="62" t="s">
        <v>630</v>
      </c>
      <c r="S528" s="62" t="s">
        <v>1096</v>
      </c>
      <c r="T528" s="62" t="s">
        <v>1096</v>
      </c>
      <c r="U528" s="64"/>
      <c r="V528" s="61" t="s">
        <v>13</v>
      </c>
      <c r="W528" s="62" t="s">
        <v>1097</v>
      </c>
    </row>
    <row r="529">
      <c r="A529" s="77"/>
      <c r="B529" s="77"/>
      <c r="P529" s="60" t="s">
        <v>1102</v>
      </c>
      <c r="Q529" s="60" t="s">
        <v>850</v>
      </c>
      <c r="R529" s="60" t="s">
        <v>630</v>
      </c>
      <c r="S529" s="60" t="s">
        <v>1096</v>
      </c>
      <c r="T529" s="60" t="s">
        <v>1096</v>
      </c>
      <c r="U529" s="63"/>
      <c r="V529" s="61" t="s">
        <v>13</v>
      </c>
      <c r="W529" s="60" t="s">
        <v>1097</v>
      </c>
    </row>
    <row r="530">
      <c r="A530" s="77"/>
      <c r="B530" s="77"/>
      <c r="P530" s="48" t="s">
        <v>1103</v>
      </c>
      <c r="Q530" s="48" t="s">
        <v>1104</v>
      </c>
      <c r="R530" s="48" t="s">
        <v>630</v>
      </c>
      <c r="S530" s="48" t="s">
        <v>640</v>
      </c>
      <c r="T530" s="48" t="s">
        <v>640</v>
      </c>
      <c r="U530" s="49"/>
      <c r="V530" s="47" t="s">
        <v>14</v>
      </c>
      <c r="W530" s="48" t="s">
        <v>641</v>
      </c>
    </row>
    <row r="531">
      <c r="A531" s="77"/>
      <c r="B531" s="77"/>
      <c r="P531" s="45" t="s">
        <v>1105</v>
      </c>
      <c r="Q531" s="45" t="s">
        <v>1104</v>
      </c>
      <c r="R531" s="45" t="s">
        <v>630</v>
      </c>
      <c r="S531" s="45" t="s">
        <v>640</v>
      </c>
      <c r="T531" s="45" t="s">
        <v>640</v>
      </c>
      <c r="U531" s="46"/>
      <c r="V531" s="47" t="s">
        <v>14</v>
      </c>
      <c r="W531" s="45" t="s">
        <v>641</v>
      </c>
    </row>
    <row r="532">
      <c r="A532" s="77"/>
      <c r="B532" s="77"/>
      <c r="P532" s="48" t="s">
        <v>1106</v>
      </c>
      <c r="Q532" s="48" t="s">
        <v>1104</v>
      </c>
      <c r="R532" s="48" t="s">
        <v>630</v>
      </c>
      <c r="S532" s="48" t="s">
        <v>640</v>
      </c>
      <c r="T532" s="48" t="s">
        <v>640</v>
      </c>
      <c r="U532" s="49"/>
      <c r="V532" s="47" t="s">
        <v>14</v>
      </c>
      <c r="W532" s="48" t="s">
        <v>641</v>
      </c>
    </row>
    <row r="533">
      <c r="A533" s="77"/>
      <c r="B533" s="77"/>
      <c r="P533" s="60" t="s">
        <v>1107</v>
      </c>
      <c r="Q533" s="60" t="s">
        <v>1108</v>
      </c>
      <c r="R533" s="60" t="s">
        <v>630</v>
      </c>
      <c r="S533" s="60" t="s">
        <v>640</v>
      </c>
      <c r="T533" s="60" t="s">
        <v>640</v>
      </c>
      <c r="U533" s="63"/>
      <c r="V533" s="61" t="s">
        <v>13</v>
      </c>
      <c r="W533" s="60" t="s">
        <v>1109</v>
      </c>
    </row>
    <row r="534">
      <c r="A534" s="77"/>
      <c r="B534" s="77"/>
      <c r="P534" s="62" t="s">
        <v>1110</v>
      </c>
      <c r="Q534" s="62" t="s">
        <v>1108</v>
      </c>
      <c r="R534" s="62" t="s">
        <v>630</v>
      </c>
      <c r="S534" s="62" t="s">
        <v>640</v>
      </c>
      <c r="T534" s="62" t="s">
        <v>640</v>
      </c>
      <c r="U534" s="64"/>
      <c r="V534" s="61" t="s">
        <v>13</v>
      </c>
      <c r="W534" s="62" t="s">
        <v>1109</v>
      </c>
    </row>
    <row r="535">
      <c r="A535" s="77"/>
      <c r="B535" s="77"/>
      <c r="P535" s="60" t="s">
        <v>1111</v>
      </c>
      <c r="Q535" s="60" t="s">
        <v>1108</v>
      </c>
      <c r="R535" s="60" t="s">
        <v>630</v>
      </c>
      <c r="S535" s="60" t="s">
        <v>640</v>
      </c>
      <c r="T535" s="60" t="s">
        <v>640</v>
      </c>
      <c r="U535" s="63"/>
      <c r="V535" s="61" t="s">
        <v>13</v>
      </c>
      <c r="W535" s="60" t="s">
        <v>1109</v>
      </c>
    </row>
    <row r="536">
      <c r="A536" s="77"/>
      <c r="B536" s="77"/>
      <c r="P536" s="62" t="s">
        <v>1112</v>
      </c>
      <c r="Q536" s="62" t="s">
        <v>1113</v>
      </c>
      <c r="R536" s="62" t="s">
        <v>630</v>
      </c>
      <c r="S536" s="62" t="s">
        <v>1096</v>
      </c>
      <c r="T536" s="62" t="s">
        <v>1096</v>
      </c>
      <c r="U536" s="64"/>
      <c r="V536" s="61" t="s">
        <v>13</v>
      </c>
      <c r="W536" s="62" t="s">
        <v>1114</v>
      </c>
    </row>
    <row r="537">
      <c r="A537" s="77"/>
      <c r="B537" s="77"/>
      <c r="P537" s="60" t="s">
        <v>1115</v>
      </c>
      <c r="Q537" s="60" t="s">
        <v>1113</v>
      </c>
      <c r="R537" s="60" t="s">
        <v>630</v>
      </c>
      <c r="S537" s="60" t="s">
        <v>640</v>
      </c>
      <c r="T537" s="60" t="s">
        <v>640</v>
      </c>
      <c r="U537" s="60" t="s">
        <v>89</v>
      </c>
      <c r="V537" s="61" t="s">
        <v>13</v>
      </c>
      <c r="W537" s="60" t="s">
        <v>1089</v>
      </c>
    </row>
    <row r="538">
      <c r="A538" s="77"/>
      <c r="B538" s="77"/>
      <c r="P538" s="62" t="s">
        <v>1116</v>
      </c>
      <c r="Q538" s="62" t="s">
        <v>1117</v>
      </c>
      <c r="R538" s="62" t="s">
        <v>630</v>
      </c>
      <c r="S538" s="62" t="s">
        <v>1096</v>
      </c>
      <c r="T538" s="62" t="s">
        <v>1096</v>
      </c>
      <c r="U538" s="64"/>
      <c r="V538" s="61" t="s">
        <v>13</v>
      </c>
      <c r="W538" s="62" t="s">
        <v>1114</v>
      </c>
    </row>
    <row r="539">
      <c r="A539" s="77"/>
      <c r="B539" s="77"/>
      <c r="P539" s="60" t="s">
        <v>1118</v>
      </c>
      <c r="Q539" s="60" t="s">
        <v>1117</v>
      </c>
      <c r="R539" s="60" t="s">
        <v>630</v>
      </c>
      <c r="S539" s="60" t="s">
        <v>1096</v>
      </c>
      <c r="T539" s="60" t="s">
        <v>1096</v>
      </c>
      <c r="U539" s="63"/>
      <c r="V539" s="61" t="s">
        <v>13</v>
      </c>
      <c r="W539" s="60" t="s">
        <v>1114</v>
      </c>
    </row>
    <row r="540">
      <c r="A540" s="77"/>
      <c r="B540" s="77"/>
      <c r="P540" s="62" t="s">
        <v>1119</v>
      </c>
      <c r="Q540" s="62" t="s">
        <v>1117</v>
      </c>
      <c r="R540" s="62" t="s">
        <v>630</v>
      </c>
      <c r="S540" s="62" t="s">
        <v>1096</v>
      </c>
      <c r="T540" s="62" t="s">
        <v>1096</v>
      </c>
      <c r="U540" s="64"/>
      <c r="V540" s="61" t="s">
        <v>13</v>
      </c>
      <c r="W540" s="62" t="s">
        <v>1114</v>
      </c>
    </row>
    <row r="541">
      <c r="A541" s="77"/>
      <c r="B541" s="77"/>
      <c r="P541" s="60" t="s">
        <v>1120</v>
      </c>
      <c r="Q541" s="60" t="s">
        <v>1121</v>
      </c>
      <c r="R541" s="60" t="s">
        <v>1122</v>
      </c>
      <c r="S541" s="60" t="s">
        <v>1123</v>
      </c>
      <c r="T541" s="60" t="s">
        <v>1123</v>
      </c>
      <c r="U541" s="60" t="s">
        <v>89</v>
      </c>
      <c r="V541" s="61" t="s">
        <v>13</v>
      </c>
      <c r="W541" s="60" t="s">
        <v>1124</v>
      </c>
    </row>
    <row r="542">
      <c r="A542" s="77"/>
      <c r="B542" s="77"/>
      <c r="P542" s="48" t="s">
        <v>1125</v>
      </c>
      <c r="Q542" s="48" t="s">
        <v>1126</v>
      </c>
      <c r="R542" s="48" t="s">
        <v>1122</v>
      </c>
      <c r="S542" s="48" t="s">
        <v>1123</v>
      </c>
      <c r="T542" s="48" t="s">
        <v>1123</v>
      </c>
      <c r="U542" s="48" t="s">
        <v>89</v>
      </c>
      <c r="V542" s="47" t="s">
        <v>14</v>
      </c>
      <c r="W542" s="48" t="s">
        <v>1127</v>
      </c>
    </row>
    <row r="543">
      <c r="A543" s="77"/>
      <c r="B543" s="77"/>
      <c r="P543" s="45" t="s">
        <v>1128</v>
      </c>
      <c r="Q543" s="45" t="s">
        <v>1129</v>
      </c>
      <c r="R543" s="45" t="s">
        <v>1130</v>
      </c>
      <c r="S543" s="45" t="s">
        <v>1131</v>
      </c>
      <c r="T543" s="45" t="s">
        <v>1131</v>
      </c>
      <c r="U543" s="45" t="s">
        <v>130</v>
      </c>
      <c r="V543" s="47" t="s">
        <v>14</v>
      </c>
      <c r="W543" s="45" t="s">
        <v>1132</v>
      </c>
    </row>
    <row r="544">
      <c r="A544" s="77"/>
      <c r="B544" s="77"/>
      <c r="P544" s="48" t="s">
        <v>1133</v>
      </c>
      <c r="Q544" s="48" t="s">
        <v>1129</v>
      </c>
      <c r="R544" s="48" t="s">
        <v>1130</v>
      </c>
      <c r="S544" s="48" t="s">
        <v>1131</v>
      </c>
      <c r="T544" s="48" t="s">
        <v>1131</v>
      </c>
      <c r="U544" s="48" t="s">
        <v>130</v>
      </c>
      <c r="V544" s="47" t="s">
        <v>14</v>
      </c>
      <c r="W544" s="48" t="s">
        <v>1132</v>
      </c>
    </row>
    <row r="545">
      <c r="A545" s="77"/>
      <c r="B545" s="77"/>
      <c r="P545" s="45" t="s">
        <v>1134</v>
      </c>
      <c r="Q545" s="45" t="s">
        <v>973</v>
      </c>
      <c r="R545" s="45" t="s">
        <v>1130</v>
      </c>
      <c r="S545" s="45" t="s">
        <v>1135</v>
      </c>
      <c r="T545" s="45" t="s">
        <v>1135</v>
      </c>
      <c r="U545" s="45" t="s">
        <v>130</v>
      </c>
      <c r="V545" s="47" t="s">
        <v>14</v>
      </c>
      <c r="W545" s="45" t="s">
        <v>1136</v>
      </c>
    </row>
    <row r="546">
      <c r="A546" s="77"/>
      <c r="B546" s="77"/>
      <c r="P546" s="48" t="s">
        <v>1137</v>
      </c>
      <c r="Q546" s="48" t="s">
        <v>973</v>
      </c>
      <c r="R546" s="48" t="s">
        <v>1130</v>
      </c>
      <c r="S546" s="48" t="s">
        <v>1135</v>
      </c>
      <c r="T546" s="48" t="s">
        <v>1135</v>
      </c>
      <c r="U546" s="48" t="s">
        <v>130</v>
      </c>
      <c r="V546" s="47" t="s">
        <v>14</v>
      </c>
      <c r="W546" s="48" t="s">
        <v>1136</v>
      </c>
    </row>
    <row r="547">
      <c r="A547" s="77"/>
      <c r="B547" s="77"/>
      <c r="P547" s="45" t="s">
        <v>1138</v>
      </c>
      <c r="Q547" s="45" t="s">
        <v>1139</v>
      </c>
      <c r="R547" s="45" t="s">
        <v>1130</v>
      </c>
      <c r="S547" s="45" t="s">
        <v>1135</v>
      </c>
      <c r="T547" s="45" t="s">
        <v>1135</v>
      </c>
      <c r="U547" s="45" t="s">
        <v>130</v>
      </c>
      <c r="V547" s="47" t="s">
        <v>14</v>
      </c>
      <c r="W547" s="45" t="s">
        <v>1136</v>
      </c>
    </row>
    <row r="548">
      <c r="A548" s="77"/>
      <c r="B548" s="77"/>
      <c r="P548" s="48" t="s">
        <v>1140</v>
      </c>
      <c r="Q548" s="48" t="s">
        <v>1139</v>
      </c>
      <c r="R548" s="48" t="s">
        <v>1130</v>
      </c>
      <c r="S548" s="48" t="s">
        <v>1135</v>
      </c>
      <c r="T548" s="48" t="s">
        <v>1135</v>
      </c>
      <c r="U548" s="48" t="s">
        <v>130</v>
      </c>
      <c r="V548" s="47" t="s">
        <v>14</v>
      </c>
      <c r="W548" s="48" t="s">
        <v>1136</v>
      </c>
    </row>
    <row r="549">
      <c r="A549" s="77"/>
      <c r="B549" s="77"/>
      <c r="P549" s="60" t="s">
        <v>1141</v>
      </c>
      <c r="Q549" s="60" t="s">
        <v>1142</v>
      </c>
      <c r="R549" s="60" t="s">
        <v>1130</v>
      </c>
      <c r="S549" s="60" t="s">
        <v>1135</v>
      </c>
      <c r="T549" s="60" t="s">
        <v>1135</v>
      </c>
      <c r="U549" s="60" t="s">
        <v>130</v>
      </c>
      <c r="V549" s="61" t="s">
        <v>13</v>
      </c>
      <c r="W549" s="60" t="s">
        <v>1143</v>
      </c>
    </row>
    <row r="550">
      <c r="A550" s="77"/>
      <c r="B550" s="77"/>
      <c r="P550" s="62" t="s">
        <v>1144</v>
      </c>
      <c r="Q550" s="62" t="s">
        <v>1142</v>
      </c>
      <c r="R550" s="62" t="s">
        <v>1130</v>
      </c>
      <c r="S550" s="62" t="s">
        <v>1135</v>
      </c>
      <c r="T550" s="62" t="s">
        <v>1135</v>
      </c>
      <c r="U550" s="62" t="s">
        <v>130</v>
      </c>
      <c r="V550" s="61" t="s">
        <v>13</v>
      </c>
      <c r="W550" s="62" t="s">
        <v>1143</v>
      </c>
    </row>
    <row r="551">
      <c r="A551" s="77"/>
      <c r="B551" s="77"/>
      <c r="P551" s="60" t="s">
        <v>1145</v>
      </c>
      <c r="Q551" s="60" t="s">
        <v>1142</v>
      </c>
      <c r="R551" s="60" t="s">
        <v>1130</v>
      </c>
      <c r="S551" s="60" t="s">
        <v>1135</v>
      </c>
      <c r="T551" s="60" t="s">
        <v>1135</v>
      </c>
      <c r="U551" s="60" t="s">
        <v>130</v>
      </c>
      <c r="V551" s="61" t="s">
        <v>13</v>
      </c>
      <c r="W551" s="60" t="s">
        <v>1143</v>
      </c>
    </row>
    <row r="552">
      <c r="A552" s="77"/>
      <c r="B552" s="77"/>
      <c r="P552" s="62" t="s">
        <v>1146</v>
      </c>
      <c r="Q552" s="62" t="s">
        <v>1142</v>
      </c>
      <c r="R552" s="62" t="s">
        <v>1130</v>
      </c>
      <c r="S552" s="62" t="s">
        <v>1135</v>
      </c>
      <c r="T552" s="62" t="s">
        <v>1135</v>
      </c>
      <c r="U552" s="62" t="s">
        <v>130</v>
      </c>
      <c r="V552" s="61" t="s">
        <v>13</v>
      </c>
      <c r="W552" s="62" t="s">
        <v>1143</v>
      </c>
    </row>
    <row r="553">
      <c r="A553" s="77"/>
      <c r="B553" s="77"/>
      <c r="P553" s="60" t="s">
        <v>1147</v>
      </c>
      <c r="Q553" s="60" t="s">
        <v>1142</v>
      </c>
      <c r="R553" s="60" t="s">
        <v>1130</v>
      </c>
      <c r="S553" s="60" t="s">
        <v>1135</v>
      </c>
      <c r="T553" s="60" t="s">
        <v>1135</v>
      </c>
      <c r="U553" s="60" t="s">
        <v>130</v>
      </c>
      <c r="V553" s="61" t="s">
        <v>13</v>
      </c>
      <c r="W553" s="60" t="s">
        <v>1143</v>
      </c>
    </row>
    <row r="554">
      <c r="A554" s="77"/>
      <c r="B554" s="77"/>
      <c r="P554" s="62" t="s">
        <v>1148</v>
      </c>
      <c r="Q554" s="62" t="s">
        <v>1142</v>
      </c>
      <c r="R554" s="62" t="s">
        <v>1130</v>
      </c>
      <c r="S554" s="62" t="s">
        <v>1135</v>
      </c>
      <c r="T554" s="62" t="s">
        <v>1135</v>
      </c>
      <c r="U554" s="64"/>
      <c r="V554" s="61" t="s">
        <v>13</v>
      </c>
      <c r="W554" s="62" t="s">
        <v>1143</v>
      </c>
    </row>
    <row r="555">
      <c r="A555" s="77"/>
      <c r="B555" s="77"/>
      <c r="P555" s="60" t="s">
        <v>1149</v>
      </c>
      <c r="Q555" s="60" t="s">
        <v>1142</v>
      </c>
      <c r="R555" s="60" t="s">
        <v>1130</v>
      </c>
      <c r="S555" s="60" t="s">
        <v>1135</v>
      </c>
      <c r="T555" s="60" t="s">
        <v>1135</v>
      </c>
      <c r="U555" s="60" t="s">
        <v>130</v>
      </c>
      <c r="V555" s="61" t="s">
        <v>13</v>
      </c>
      <c r="W555" s="60" t="s">
        <v>1143</v>
      </c>
    </row>
    <row r="556">
      <c r="A556" s="77"/>
      <c r="B556" s="77"/>
      <c r="P556" s="62" t="s">
        <v>1150</v>
      </c>
      <c r="Q556" s="62" t="s">
        <v>1142</v>
      </c>
      <c r="R556" s="62" t="s">
        <v>1130</v>
      </c>
      <c r="S556" s="62" t="s">
        <v>1135</v>
      </c>
      <c r="T556" s="62" t="s">
        <v>1135</v>
      </c>
      <c r="U556" s="62" t="s">
        <v>130</v>
      </c>
      <c r="V556" s="61" t="s">
        <v>13</v>
      </c>
      <c r="W556" s="62" t="s">
        <v>1143</v>
      </c>
    </row>
    <row r="557">
      <c r="A557" s="77"/>
      <c r="B557" s="77"/>
      <c r="P557" s="60" t="s">
        <v>1151</v>
      </c>
      <c r="Q557" s="60" t="s">
        <v>1142</v>
      </c>
      <c r="R557" s="60" t="s">
        <v>1130</v>
      </c>
      <c r="S557" s="60" t="s">
        <v>1135</v>
      </c>
      <c r="T557" s="60" t="s">
        <v>1135</v>
      </c>
      <c r="U557" s="60" t="s">
        <v>130</v>
      </c>
      <c r="V557" s="61" t="s">
        <v>13</v>
      </c>
      <c r="W557" s="60" t="s">
        <v>1143</v>
      </c>
    </row>
    <row r="558">
      <c r="A558" s="77"/>
      <c r="B558" s="77"/>
      <c r="P558" s="48" t="s">
        <v>1152</v>
      </c>
      <c r="Q558" s="48" t="s">
        <v>973</v>
      </c>
      <c r="R558" s="48" t="s">
        <v>1130</v>
      </c>
      <c r="S558" s="48" t="s">
        <v>1135</v>
      </c>
      <c r="T558" s="48" t="s">
        <v>1135</v>
      </c>
      <c r="U558" s="49"/>
      <c r="V558" s="47" t="s">
        <v>14</v>
      </c>
      <c r="W558" s="48" t="s">
        <v>1136</v>
      </c>
    </row>
    <row r="559">
      <c r="A559" s="77"/>
      <c r="B559" s="77"/>
      <c r="P559" s="45" t="s">
        <v>1153</v>
      </c>
      <c r="Q559" s="45" t="s">
        <v>973</v>
      </c>
      <c r="R559" s="45" t="s">
        <v>1130</v>
      </c>
      <c r="S559" s="45" t="s">
        <v>1135</v>
      </c>
      <c r="T559" s="45" t="s">
        <v>1135</v>
      </c>
      <c r="U559" s="46"/>
      <c r="V559" s="47" t="s">
        <v>14</v>
      </c>
      <c r="W559" s="45" t="s">
        <v>1136</v>
      </c>
    </row>
    <row r="560">
      <c r="A560" s="77"/>
      <c r="B560" s="77"/>
      <c r="P560" s="62" t="s">
        <v>1154</v>
      </c>
      <c r="Q560" s="62" t="s">
        <v>1142</v>
      </c>
      <c r="R560" s="62" t="s">
        <v>1130</v>
      </c>
      <c r="S560" s="62" t="s">
        <v>1135</v>
      </c>
      <c r="T560" s="62" t="s">
        <v>1135</v>
      </c>
      <c r="U560" s="62" t="s">
        <v>130</v>
      </c>
      <c r="V560" s="61" t="s">
        <v>13</v>
      </c>
      <c r="W560" s="62" t="s">
        <v>1143</v>
      </c>
    </row>
    <row r="561">
      <c r="A561" s="77"/>
      <c r="B561" s="77"/>
      <c r="P561" s="60" t="s">
        <v>1155</v>
      </c>
      <c r="Q561" s="60" t="s">
        <v>1142</v>
      </c>
      <c r="R561" s="60" t="s">
        <v>1130</v>
      </c>
      <c r="S561" s="60" t="s">
        <v>1135</v>
      </c>
      <c r="T561" s="60" t="s">
        <v>1135</v>
      </c>
      <c r="U561" s="60" t="s">
        <v>130</v>
      </c>
      <c r="V561" s="61" t="s">
        <v>13</v>
      </c>
      <c r="W561" s="60" t="s">
        <v>1143</v>
      </c>
    </row>
    <row r="562">
      <c r="A562" s="77"/>
      <c r="B562" s="77"/>
      <c r="P562" s="62" t="s">
        <v>1156</v>
      </c>
      <c r="Q562" s="62" t="s">
        <v>1142</v>
      </c>
      <c r="R562" s="62" t="s">
        <v>1130</v>
      </c>
      <c r="S562" s="62" t="s">
        <v>1135</v>
      </c>
      <c r="T562" s="62" t="s">
        <v>1135</v>
      </c>
      <c r="U562" s="62" t="s">
        <v>130</v>
      </c>
      <c r="V562" s="61" t="s">
        <v>13</v>
      </c>
      <c r="W562" s="62" t="s">
        <v>1143</v>
      </c>
    </row>
    <row r="563">
      <c r="A563" s="77"/>
      <c r="B563" s="77"/>
      <c r="P563" s="60" t="s">
        <v>1157</v>
      </c>
      <c r="Q563" s="60" t="s">
        <v>1142</v>
      </c>
      <c r="R563" s="60" t="s">
        <v>1130</v>
      </c>
      <c r="S563" s="60" t="s">
        <v>1135</v>
      </c>
      <c r="T563" s="60" t="s">
        <v>1135</v>
      </c>
      <c r="U563" s="60" t="s">
        <v>130</v>
      </c>
      <c r="V563" s="61" t="s">
        <v>13</v>
      </c>
      <c r="W563" s="60" t="s">
        <v>1143</v>
      </c>
    </row>
    <row r="564">
      <c r="A564" s="77"/>
      <c r="B564" s="77"/>
      <c r="P564" s="62" t="s">
        <v>1158</v>
      </c>
      <c r="Q564" s="62" t="s">
        <v>1142</v>
      </c>
      <c r="R564" s="62" t="s">
        <v>1130</v>
      </c>
      <c r="S564" s="62" t="s">
        <v>1135</v>
      </c>
      <c r="T564" s="62" t="s">
        <v>1135</v>
      </c>
      <c r="U564" s="62" t="s">
        <v>130</v>
      </c>
      <c r="V564" s="61" t="s">
        <v>13</v>
      </c>
      <c r="W564" s="62" t="s">
        <v>1143</v>
      </c>
    </row>
    <row r="565">
      <c r="A565" s="77"/>
      <c r="B565" s="77"/>
      <c r="P565" s="60" t="s">
        <v>1159</v>
      </c>
      <c r="Q565" s="60" t="s">
        <v>1142</v>
      </c>
      <c r="R565" s="60" t="s">
        <v>1130</v>
      </c>
      <c r="S565" s="60" t="s">
        <v>1135</v>
      </c>
      <c r="T565" s="60" t="s">
        <v>1135</v>
      </c>
      <c r="U565" s="60" t="s">
        <v>130</v>
      </c>
      <c r="V565" s="61" t="s">
        <v>13</v>
      </c>
      <c r="W565" s="60" t="s">
        <v>1143</v>
      </c>
    </row>
    <row r="566">
      <c r="A566" s="77"/>
      <c r="B566" s="77"/>
      <c r="P566" s="62" t="s">
        <v>1160</v>
      </c>
      <c r="Q566" s="62" t="s">
        <v>1142</v>
      </c>
      <c r="R566" s="62" t="s">
        <v>1130</v>
      </c>
      <c r="S566" s="62" t="s">
        <v>1135</v>
      </c>
      <c r="T566" s="62" t="s">
        <v>1135</v>
      </c>
      <c r="U566" s="62" t="s">
        <v>130</v>
      </c>
      <c r="V566" s="61" t="s">
        <v>13</v>
      </c>
      <c r="W566" s="62" t="s">
        <v>1143</v>
      </c>
    </row>
    <row r="567">
      <c r="A567" s="77"/>
      <c r="B567" s="77"/>
      <c r="P567" s="45" t="s">
        <v>1161</v>
      </c>
      <c r="Q567" s="45" t="s">
        <v>973</v>
      </c>
      <c r="R567" s="45" t="s">
        <v>1130</v>
      </c>
      <c r="S567" s="45" t="s">
        <v>1135</v>
      </c>
      <c r="T567" s="45" t="s">
        <v>1135</v>
      </c>
      <c r="U567" s="46"/>
      <c r="V567" s="47" t="s">
        <v>14</v>
      </c>
      <c r="W567" s="45" t="s">
        <v>1136</v>
      </c>
    </row>
    <row r="568">
      <c r="A568" s="77"/>
      <c r="B568" s="77"/>
      <c r="P568" s="48" t="s">
        <v>1162</v>
      </c>
      <c r="Q568" s="48" t="s">
        <v>973</v>
      </c>
      <c r="R568" s="48" t="s">
        <v>1130</v>
      </c>
      <c r="S568" s="48" t="s">
        <v>1135</v>
      </c>
      <c r="T568" s="48" t="s">
        <v>1135</v>
      </c>
      <c r="U568" s="49"/>
      <c r="V568" s="47" t="s">
        <v>14</v>
      </c>
      <c r="W568" s="48" t="s">
        <v>1136</v>
      </c>
    </row>
    <row r="569">
      <c r="A569" s="77"/>
      <c r="B569" s="77"/>
      <c r="P569" s="45" t="s">
        <v>1163</v>
      </c>
      <c r="Q569" s="45" t="s">
        <v>973</v>
      </c>
      <c r="R569" s="45" t="s">
        <v>1130</v>
      </c>
      <c r="S569" s="45" t="s">
        <v>1135</v>
      </c>
      <c r="T569" s="45" t="s">
        <v>1135</v>
      </c>
      <c r="U569" s="46"/>
      <c r="V569" s="47" t="s">
        <v>14</v>
      </c>
      <c r="W569" s="45" t="s">
        <v>1136</v>
      </c>
    </row>
    <row r="570">
      <c r="A570" s="77"/>
      <c r="B570" s="77"/>
      <c r="P570" s="48" t="s">
        <v>1164</v>
      </c>
      <c r="Q570" s="48" t="s">
        <v>973</v>
      </c>
      <c r="R570" s="48" t="s">
        <v>1130</v>
      </c>
      <c r="S570" s="48" t="s">
        <v>1135</v>
      </c>
      <c r="T570" s="48" t="s">
        <v>1135</v>
      </c>
      <c r="U570" s="49"/>
      <c r="V570" s="47" t="s">
        <v>14</v>
      </c>
      <c r="W570" s="48" t="s">
        <v>1136</v>
      </c>
    </row>
    <row r="571">
      <c r="A571" s="77"/>
      <c r="B571" s="77"/>
      <c r="P571" s="45" t="s">
        <v>1165</v>
      </c>
      <c r="Q571" s="45" t="s">
        <v>1166</v>
      </c>
      <c r="R571" s="45" t="s">
        <v>644</v>
      </c>
      <c r="S571" s="45" t="s">
        <v>1167</v>
      </c>
      <c r="T571" s="45" t="s">
        <v>1167</v>
      </c>
      <c r="U571" s="46"/>
      <c r="V571" s="47" t="s">
        <v>14</v>
      </c>
      <c r="W571" s="45" t="s">
        <v>1168</v>
      </c>
    </row>
    <row r="572">
      <c r="A572" s="77"/>
      <c r="B572" s="77"/>
      <c r="P572" s="62" t="s">
        <v>1169</v>
      </c>
      <c r="Q572" s="62" t="s">
        <v>1170</v>
      </c>
      <c r="R572" s="62" t="s">
        <v>644</v>
      </c>
      <c r="S572" s="62" t="s">
        <v>1171</v>
      </c>
      <c r="T572" s="62" t="s">
        <v>1171</v>
      </c>
      <c r="U572" s="62" t="s">
        <v>130</v>
      </c>
      <c r="V572" s="61" t="s">
        <v>13</v>
      </c>
      <c r="W572" s="62" t="s">
        <v>1172</v>
      </c>
    </row>
    <row r="573">
      <c r="A573" s="77"/>
      <c r="B573" s="77"/>
      <c r="P573" s="60" t="s">
        <v>1173</v>
      </c>
      <c r="Q573" s="60" t="s">
        <v>1174</v>
      </c>
      <c r="R573" s="60" t="s">
        <v>644</v>
      </c>
      <c r="S573" s="60" t="s">
        <v>659</v>
      </c>
      <c r="T573" s="60" t="s">
        <v>659</v>
      </c>
      <c r="U573" s="60" t="s">
        <v>130</v>
      </c>
      <c r="V573" s="61" t="s">
        <v>13</v>
      </c>
      <c r="W573" s="60" t="s">
        <v>660</v>
      </c>
    </row>
    <row r="574">
      <c r="A574" s="77"/>
      <c r="B574" s="77"/>
      <c r="P574" s="48" t="s">
        <v>1175</v>
      </c>
      <c r="Q574" s="48" t="s">
        <v>737</v>
      </c>
      <c r="R574" s="48" t="s">
        <v>644</v>
      </c>
      <c r="S574" s="48" t="s">
        <v>709</v>
      </c>
      <c r="T574" s="48" t="s">
        <v>709</v>
      </c>
      <c r="U574" s="48" t="s">
        <v>130</v>
      </c>
      <c r="V574" s="47" t="s">
        <v>14</v>
      </c>
      <c r="W574" s="48" t="s">
        <v>710</v>
      </c>
    </row>
    <row r="575">
      <c r="A575" s="77"/>
      <c r="B575" s="77"/>
      <c r="P575" s="45" t="s">
        <v>1176</v>
      </c>
      <c r="Q575" s="45" t="s">
        <v>686</v>
      </c>
      <c r="R575" s="45" t="s">
        <v>644</v>
      </c>
      <c r="S575" s="45" t="s">
        <v>709</v>
      </c>
      <c r="T575" s="45" t="s">
        <v>709</v>
      </c>
      <c r="U575" s="45" t="s">
        <v>130</v>
      </c>
      <c r="V575" s="47" t="s">
        <v>14</v>
      </c>
      <c r="W575" s="45" t="s">
        <v>710</v>
      </c>
    </row>
    <row r="576">
      <c r="A576" s="77"/>
      <c r="B576" s="77"/>
      <c r="P576" s="48" t="s">
        <v>1177</v>
      </c>
      <c r="Q576" s="48" t="s">
        <v>686</v>
      </c>
      <c r="R576" s="48" t="s">
        <v>644</v>
      </c>
      <c r="S576" s="48" t="s">
        <v>659</v>
      </c>
      <c r="T576" s="48" t="s">
        <v>659</v>
      </c>
      <c r="U576" s="48" t="s">
        <v>130</v>
      </c>
      <c r="V576" s="47" t="s">
        <v>14</v>
      </c>
      <c r="W576" s="48" t="s">
        <v>683</v>
      </c>
    </row>
    <row r="577">
      <c r="A577" s="77"/>
      <c r="B577" s="77"/>
      <c r="P577" s="60" t="s">
        <v>1178</v>
      </c>
      <c r="Q577" s="60" t="s">
        <v>1170</v>
      </c>
      <c r="R577" s="60" t="s">
        <v>644</v>
      </c>
      <c r="S577" s="60" t="s">
        <v>1171</v>
      </c>
      <c r="T577" s="60" t="s">
        <v>1171</v>
      </c>
      <c r="U577" s="60" t="s">
        <v>130</v>
      </c>
      <c r="V577" s="61" t="s">
        <v>13</v>
      </c>
      <c r="W577" s="60" t="s">
        <v>1172</v>
      </c>
    </row>
    <row r="578">
      <c r="A578" s="77"/>
      <c r="B578" s="77"/>
      <c r="P578" s="62" t="s">
        <v>1179</v>
      </c>
      <c r="Q578" s="62" t="s">
        <v>1180</v>
      </c>
      <c r="R578" s="62" t="s">
        <v>644</v>
      </c>
      <c r="S578" s="62" t="s">
        <v>709</v>
      </c>
      <c r="T578" s="62" t="s">
        <v>709</v>
      </c>
      <c r="U578" s="62" t="s">
        <v>130</v>
      </c>
      <c r="V578" s="61" t="s">
        <v>13</v>
      </c>
      <c r="W578" s="62" t="s">
        <v>734</v>
      </c>
    </row>
    <row r="579">
      <c r="A579" s="77"/>
      <c r="B579" s="77"/>
      <c r="P579" s="60" t="s">
        <v>1181</v>
      </c>
      <c r="Q579" s="60" t="s">
        <v>1180</v>
      </c>
      <c r="R579" s="60" t="s">
        <v>644</v>
      </c>
      <c r="S579" s="60" t="s">
        <v>709</v>
      </c>
      <c r="T579" s="60" t="s">
        <v>709</v>
      </c>
      <c r="U579" s="60" t="s">
        <v>130</v>
      </c>
      <c r="V579" s="61" t="s">
        <v>13</v>
      </c>
      <c r="W579" s="60" t="s">
        <v>734</v>
      </c>
    </row>
    <row r="580">
      <c r="A580" s="77"/>
      <c r="B580" s="77"/>
      <c r="P580" s="62" t="s">
        <v>1182</v>
      </c>
      <c r="Q580" s="62" t="s">
        <v>1174</v>
      </c>
      <c r="R580" s="62" t="s">
        <v>644</v>
      </c>
      <c r="S580" s="62" t="s">
        <v>659</v>
      </c>
      <c r="T580" s="62" t="s">
        <v>659</v>
      </c>
      <c r="U580" s="64"/>
      <c r="V580" s="61" t="s">
        <v>13</v>
      </c>
      <c r="W580" s="62" t="s">
        <v>660</v>
      </c>
    </row>
    <row r="581">
      <c r="A581" s="77"/>
      <c r="B581" s="77"/>
      <c r="P581" s="45" t="s">
        <v>1183</v>
      </c>
      <c r="Q581" s="45" t="s">
        <v>686</v>
      </c>
      <c r="R581" s="45" t="s">
        <v>644</v>
      </c>
      <c r="S581" s="45" t="s">
        <v>659</v>
      </c>
      <c r="T581" s="45" t="s">
        <v>659</v>
      </c>
      <c r="U581" s="46"/>
      <c r="V581" s="47" t="s">
        <v>14</v>
      </c>
      <c r="W581" s="45" t="s">
        <v>683</v>
      </c>
    </row>
    <row r="582">
      <c r="A582" s="77"/>
      <c r="B582" s="77"/>
      <c r="P582" s="62" t="s">
        <v>1184</v>
      </c>
      <c r="Q582" s="62" t="s">
        <v>1185</v>
      </c>
      <c r="R582" s="62" t="s">
        <v>644</v>
      </c>
      <c r="S582" s="62" t="s">
        <v>1171</v>
      </c>
      <c r="T582" s="62" t="s">
        <v>1171</v>
      </c>
      <c r="U582" s="62" t="s">
        <v>130</v>
      </c>
      <c r="V582" s="61" t="s">
        <v>13</v>
      </c>
      <c r="W582" s="62" t="s">
        <v>1186</v>
      </c>
    </row>
    <row r="583">
      <c r="A583" s="77"/>
      <c r="B583" s="77"/>
      <c r="P583" s="60" t="s">
        <v>1187</v>
      </c>
      <c r="Q583" s="60" t="s">
        <v>1188</v>
      </c>
      <c r="R583" s="60" t="s">
        <v>644</v>
      </c>
      <c r="S583" s="60" t="s">
        <v>1171</v>
      </c>
      <c r="T583" s="60" t="s">
        <v>1171</v>
      </c>
      <c r="U583" s="60" t="s">
        <v>130</v>
      </c>
      <c r="V583" s="61" t="s">
        <v>13</v>
      </c>
      <c r="W583" s="60" t="s">
        <v>1186</v>
      </c>
    </row>
    <row r="584">
      <c r="A584" s="77"/>
      <c r="B584" s="77"/>
      <c r="P584" s="62" t="s">
        <v>1189</v>
      </c>
      <c r="Q584" s="62" t="s">
        <v>1190</v>
      </c>
      <c r="R584" s="62" t="s">
        <v>644</v>
      </c>
      <c r="S584" s="62" t="s">
        <v>709</v>
      </c>
      <c r="T584" s="62" t="s">
        <v>709</v>
      </c>
      <c r="U584" s="62" t="s">
        <v>130</v>
      </c>
      <c r="V584" s="61" t="s">
        <v>13</v>
      </c>
      <c r="W584" s="62" t="s">
        <v>734</v>
      </c>
    </row>
    <row r="585">
      <c r="A585" s="77"/>
      <c r="B585" s="77"/>
      <c r="P585" s="45" t="s">
        <v>1191</v>
      </c>
      <c r="Q585" s="45" t="s">
        <v>1192</v>
      </c>
      <c r="R585" s="45" t="s">
        <v>644</v>
      </c>
      <c r="S585" s="45" t="s">
        <v>652</v>
      </c>
      <c r="T585" s="45" t="s">
        <v>652</v>
      </c>
      <c r="U585" s="45" t="s">
        <v>130</v>
      </c>
      <c r="V585" s="47" t="s">
        <v>14</v>
      </c>
      <c r="W585" s="45" t="s">
        <v>740</v>
      </c>
    </row>
    <row r="586">
      <c r="A586" s="77"/>
      <c r="B586" s="77"/>
      <c r="P586" s="48" t="s">
        <v>1193</v>
      </c>
      <c r="Q586" s="48" t="s">
        <v>1194</v>
      </c>
      <c r="R586" s="48" t="s">
        <v>644</v>
      </c>
      <c r="S586" s="48" t="s">
        <v>652</v>
      </c>
      <c r="T586" s="48" t="s">
        <v>652</v>
      </c>
      <c r="U586" s="48" t="s">
        <v>130</v>
      </c>
      <c r="V586" s="47" t="s">
        <v>14</v>
      </c>
      <c r="W586" s="48" t="s">
        <v>740</v>
      </c>
    </row>
    <row r="587">
      <c r="A587" s="77"/>
      <c r="B587" s="77"/>
      <c r="P587" s="60" t="s">
        <v>1195</v>
      </c>
      <c r="Q587" s="60" t="s">
        <v>1180</v>
      </c>
      <c r="R587" s="60" t="s">
        <v>644</v>
      </c>
      <c r="S587" s="60" t="s">
        <v>652</v>
      </c>
      <c r="T587" s="60" t="s">
        <v>652</v>
      </c>
      <c r="U587" s="60" t="s">
        <v>130</v>
      </c>
      <c r="V587" s="61" t="s">
        <v>13</v>
      </c>
      <c r="W587" s="60" t="s">
        <v>1196</v>
      </c>
    </row>
    <row r="588">
      <c r="A588" s="77"/>
      <c r="B588" s="77"/>
      <c r="P588" s="62" t="s">
        <v>1197</v>
      </c>
      <c r="Q588" s="62" t="s">
        <v>1192</v>
      </c>
      <c r="R588" s="62" t="s">
        <v>644</v>
      </c>
      <c r="S588" s="62" t="s">
        <v>1198</v>
      </c>
      <c r="T588" s="62" t="s">
        <v>1198</v>
      </c>
      <c r="U588" s="62" t="s">
        <v>130</v>
      </c>
      <c r="V588" s="61" t="s">
        <v>13</v>
      </c>
      <c r="W588" s="62" t="s">
        <v>1199</v>
      </c>
    </row>
    <row r="589">
      <c r="A589" s="77"/>
      <c r="B589" s="77"/>
      <c r="P589" s="45" t="s">
        <v>1200</v>
      </c>
      <c r="Q589" s="45" t="s">
        <v>1192</v>
      </c>
      <c r="R589" s="45" t="s">
        <v>644</v>
      </c>
      <c r="S589" s="45" t="s">
        <v>652</v>
      </c>
      <c r="T589" s="45" t="s">
        <v>652</v>
      </c>
      <c r="U589" s="46"/>
      <c r="V589" s="47" t="s">
        <v>14</v>
      </c>
      <c r="W589" s="45" t="s">
        <v>740</v>
      </c>
    </row>
    <row r="590">
      <c r="A590" s="77"/>
      <c r="B590" s="77"/>
      <c r="P590" s="48" t="s">
        <v>1201</v>
      </c>
      <c r="Q590" s="48" t="s">
        <v>1192</v>
      </c>
      <c r="R590" s="48" t="s">
        <v>644</v>
      </c>
      <c r="S590" s="48" t="s">
        <v>652</v>
      </c>
      <c r="T590" s="48" t="s">
        <v>652</v>
      </c>
      <c r="U590" s="48" t="s">
        <v>130</v>
      </c>
      <c r="V590" s="47" t="s">
        <v>14</v>
      </c>
      <c r="W590" s="48" t="s">
        <v>740</v>
      </c>
    </row>
    <row r="591">
      <c r="A591" s="77"/>
      <c r="B591" s="77"/>
      <c r="P591" s="60" t="s">
        <v>1202</v>
      </c>
      <c r="Q591" s="60" t="s">
        <v>1203</v>
      </c>
      <c r="R591" s="60" t="s">
        <v>644</v>
      </c>
      <c r="S591" s="60" t="s">
        <v>652</v>
      </c>
      <c r="T591" s="60" t="s">
        <v>652</v>
      </c>
      <c r="U591" s="60" t="s">
        <v>130</v>
      </c>
      <c r="V591" s="61" t="s">
        <v>13</v>
      </c>
      <c r="W591" s="60" t="s">
        <v>1196</v>
      </c>
    </row>
    <row r="592">
      <c r="A592" s="77"/>
      <c r="B592" s="77"/>
      <c r="P592" s="62" t="s">
        <v>1204</v>
      </c>
      <c r="Q592" s="62" t="s">
        <v>1205</v>
      </c>
      <c r="R592" s="62" t="s">
        <v>644</v>
      </c>
      <c r="S592" s="62" t="s">
        <v>1171</v>
      </c>
      <c r="T592" s="62" t="s">
        <v>1171</v>
      </c>
      <c r="U592" s="62" t="s">
        <v>130</v>
      </c>
      <c r="V592" s="61" t="s">
        <v>13</v>
      </c>
      <c r="W592" s="62" t="s">
        <v>1172</v>
      </c>
    </row>
    <row r="593">
      <c r="A593" s="77"/>
      <c r="B593" s="77"/>
      <c r="P593" s="60" t="s">
        <v>1206</v>
      </c>
      <c r="Q593" s="60" t="s">
        <v>1180</v>
      </c>
      <c r="R593" s="60" t="s">
        <v>644</v>
      </c>
      <c r="S593" s="60" t="s">
        <v>709</v>
      </c>
      <c r="T593" s="60" t="s">
        <v>709</v>
      </c>
      <c r="U593" s="60" t="s">
        <v>130</v>
      </c>
      <c r="V593" s="61" t="s">
        <v>13</v>
      </c>
      <c r="W593" s="60" t="s">
        <v>734</v>
      </c>
    </row>
    <row r="594">
      <c r="A594" s="77"/>
      <c r="B594" s="77"/>
      <c r="P594" s="62" t="s">
        <v>1207</v>
      </c>
      <c r="Q594" s="62" t="s">
        <v>1208</v>
      </c>
      <c r="R594" s="62" t="s">
        <v>644</v>
      </c>
      <c r="S594" s="62" t="s">
        <v>1198</v>
      </c>
      <c r="T594" s="62" t="s">
        <v>1198</v>
      </c>
      <c r="U594" s="62" t="s">
        <v>292</v>
      </c>
      <c r="V594" s="61" t="s">
        <v>13</v>
      </c>
      <c r="W594" s="62" t="s">
        <v>1209</v>
      </c>
    </row>
    <row r="595">
      <c r="A595" s="77"/>
      <c r="B595" s="77"/>
      <c r="P595" s="60" t="s">
        <v>1210</v>
      </c>
      <c r="Q595" s="60" t="s">
        <v>1208</v>
      </c>
      <c r="R595" s="60" t="s">
        <v>644</v>
      </c>
      <c r="S595" s="60" t="s">
        <v>1198</v>
      </c>
      <c r="T595" s="60" t="s">
        <v>1198</v>
      </c>
      <c r="U595" s="60" t="s">
        <v>292</v>
      </c>
      <c r="V595" s="61" t="s">
        <v>13</v>
      </c>
      <c r="W595" s="60" t="s">
        <v>1209</v>
      </c>
    </row>
    <row r="596">
      <c r="A596" s="77"/>
      <c r="B596" s="77"/>
      <c r="P596" s="62" t="s">
        <v>1211</v>
      </c>
      <c r="Q596" s="62" t="s">
        <v>1208</v>
      </c>
      <c r="R596" s="62" t="s">
        <v>644</v>
      </c>
      <c r="S596" s="62" t="s">
        <v>1198</v>
      </c>
      <c r="T596" s="62" t="s">
        <v>1198</v>
      </c>
      <c r="U596" s="62" t="s">
        <v>292</v>
      </c>
      <c r="V596" s="61" t="s">
        <v>13</v>
      </c>
      <c r="W596" s="62" t="s">
        <v>1209</v>
      </c>
    </row>
    <row r="597">
      <c r="A597" s="77"/>
      <c r="B597" s="77"/>
      <c r="P597" s="60" t="s">
        <v>1212</v>
      </c>
      <c r="Q597" s="60" t="s">
        <v>1208</v>
      </c>
      <c r="R597" s="60" t="s">
        <v>644</v>
      </c>
      <c r="S597" s="60" t="s">
        <v>1198</v>
      </c>
      <c r="T597" s="60" t="s">
        <v>1198</v>
      </c>
      <c r="U597" s="60" t="s">
        <v>292</v>
      </c>
      <c r="V597" s="61" t="s">
        <v>13</v>
      </c>
      <c r="W597" s="60" t="s">
        <v>1209</v>
      </c>
    </row>
    <row r="598">
      <c r="A598" s="77"/>
      <c r="B598" s="77"/>
      <c r="P598" s="62" t="s">
        <v>1213</v>
      </c>
      <c r="Q598" s="62" t="s">
        <v>1208</v>
      </c>
      <c r="R598" s="62" t="s">
        <v>644</v>
      </c>
      <c r="S598" s="62" t="s">
        <v>1198</v>
      </c>
      <c r="T598" s="62" t="s">
        <v>1198</v>
      </c>
      <c r="U598" s="62" t="s">
        <v>292</v>
      </c>
      <c r="V598" s="61" t="s">
        <v>13</v>
      </c>
      <c r="W598" s="62" t="s">
        <v>1209</v>
      </c>
    </row>
    <row r="599">
      <c r="A599" s="77"/>
      <c r="B599" s="77"/>
      <c r="P599" s="60" t="s">
        <v>1214</v>
      </c>
      <c r="Q599" s="60" t="s">
        <v>850</v>
      </c>
      <c r="R599" s="60" t="s">
        <v>644</v>
      </c>
      <c r="S599" s="60" t="s">
        <v>645</v>
      </c>
      <c r="T599" s="60" t="s">
        <v>645</v>
      </c>
      <c r="U599" s="63"/>
      <c r="V599" s="61" t="s">
        <v>13</v>
      </c>
      <c r="W599" s="60" t="s">
        <v>1215</v>
      </c>
    </row>
    <row r="600">
      <c r="A600" s="77"/>
      <c r="B600" s="77"/>
      <c r="P600" s="62" t="s">
        <v>1216</v>
      </c>
      <c r="Q600" s="62" t="s">
        <v>850</v>
      </c>
      <c r="R600" s="62" t="s">
        <v>644</v>
      </c>
      <c r="S600" s="62" t="s">
        <v>645</v>
      </c>
      <c r="T600" s="62" t="s">
        <v>645</v>
      </c>
      <c r="U600" s="64"/>
      <c r="V600" s="61" t="s">
        <v>13</v>
      </c>
      <c r="W600" s="62" t="s">
        <v>1215</v>
      </c>
    </row>
    <row r="601">
      <c r="A601" s="77"/>
      <c r="B601" s="77"/>
      <c r="P601" s="60" t="s">
        <v>1217</v>
      </c>
      <c r="Q601" s="60" t="s">
        <v>850</v>
      </c>
      <c r="R601" s="60" t="s">
        <v>644</v>
      </c>
      <c r="S601" s="60" t="s">
        <v>645</v>
      </c>
      <c r="T601" s="60" t="s">
        <v>645</v>
      </c>
      <c r="U601" s="63"/>
      <c r="V601" s="61" t="s">
        <v>13</v>
      </c>
      <c r="W601" s="60" t="s">
        <v>1215</v>
      </c>
    </row>
    <row r="602">
      <c r="A602" s="77"/>
      <c r="B602" s="77"/>
      <c r="P602" s="48" t="s">
        <v>1218</v>
      </c>
      <c r="Q602" s="48" t="s">
        <v>850</v>
      </c>
      <c r="R602" s="48" t="s">
        <v>644</v>
      </c>
      <c r="S602" s="48" t="s">
        <v>659</v>
      </c>
      <c r="T602" s="48" t="s">
        <v>659</v>
      </c>
      <c r="U602" s="49"/>
      <c r="V602" s="47" t="s">
        <v>14</v>
      </c>
      <c r="W602" s="48" t="s">
        <v>683</v>
      </c>
    </row>
    <row r="603">
      <c r="A603" s="77"/>
      <c r="B603" s="77"/>
      <c r="P603" s="45" t="s">
        <v>1219</v>
      </c>
      <c r="Q603" s="45" t="s">
        <v>850</v>
      </c>
      <c r="R603" s="45" t="s">
        <v>644</v>
      </c>
      <c r="S603" s="45" t="s">
        <v>659</v>
      </c>
      <c r="T603" s="45" t="s">
        <v>659</v>
      </c>
      <c r="U603" s="46"/>
      <c r="V603" s="47" t="s">
        <v>14</v>
      </c>
      <c r="W603" s="45" t="s">
        <v>683</v>
      </c>
    </row>
    <row r="604">
      <c r="A604" s="77"/>
      <c r="B604" s="77"/>
      <c r="P604" s="48" t="s">
        <v>1220</v>
      </c>
      <c r="Q604" s="48" t="s">
        <v>850</v>
      </c>
      <c r="R604" s="48" t="s">
        <v>644</v>
      </c>
      <c r="S604" s="48" t="s">
        <v>659</v>
      </c>
      <c r="T604" s="48" t="s">
        <v>659</v>
      </c>
      <c r="U604" s="49"/>
      <c r="V604" s="47" t="s">
        <v>14</v>
      </c>
      <c r="W604" s="48" t="s">
        <v>683</v>
      </c>
    </row>
    <row r="605">
      <c r="A605" s="77"/>
      <c r="B605" s="77"/>
      <c r="P605" s="45" t="s">
        <v>1221</v>
      </c>
      <c r="Q605" s="45" t="s">
        <v>850</v>
      </c>
      <c r="R605" s="45" t="s">
        <v>644</v>
      </c>
      <c r="S605" s="45" t="s">
        <v>659</v>
      </c>
      <c r="T605" s="45" t="s">
        <v>659</v>
      </c>
      <c r="U605" s="46"/>
      <c r="V605" s="47" t="s">
        <v>14</v>
      </c>
      <c r="W605" s="45" t="s">
        <v>683</v>
      </c>
    </row>
    <row r="606">
      <c r="A606" s="77"/>
      <c r="B606" s="77"/>
      <c r="P606" s="48" t="s">
        <v>1222</v>
      </c>
      <c r="Q606" s="48" t="s">
        <v>850</v>
      </c>
      <c r="R606" s="48" t="s">
        <v>644</v>
      </c>
      <c r="S606" s="48" t="s">
        <v>659</v>
      </c>
      <c r="T606" s="48" t="s">
        <v>659</v>
      </c>
      <c r="U606" s="49"/>
      <c r="V606" s="47" t="s">
        <v>14</v>
      </c>
      <c r="W606" s="48" t="s">
        <v>683</v>
      </c>
    </row>
    <row r="607">
      <c r="A607" s="77"/>
      <c r="B607" s="77"/>
      <c r="P607" s="60" t="s">
        <v>1223</v>
      </c>
      <c r="Q607" s="60" t="s">
        <v>1224</v>
      </c>
      <c r="R607" s="60" t="s">
        <v>644</v>
      </c>
      <c r="S607" s="60" t="s">
        <v>645</v>
      </c>
      <c r="T607" s="60" t="s">
        <v>645</v>
      </c>
      <c r="U607" s="63"/>
      <c r="V607" s="61" t="s">
        <v>13</v>
      </c>
      <c r="W607" s="60" t="s">
        <v>1225</v>
      </c>
    </row>
    <row r="608">
      <c r="A608" s="77"/>
      <c r="B608" s="77"/>
      <c r="P608" s="62" t="s">
        <v>1226</v>
      </c>
      <c r="Q608" s="62" t="s">
        <v>1224</v>
      </c>
      <c r="R608" s="62" t="s">
        <v>644</v>
      </c>
      <c r="S608" s="62" t="s">
        <v>645</v>
      </c>
      <c r="T608" s="62" t="s">
        <v>645</v>
      </c>
      <c r="U608" s="64"/>
      <c r="V608" s="61" t="s">
        <v>13</v>
      </c>
      <c r="W608" s="62" t="s">
        <v>1225</v>
      </c>
    </row>
    <row r="609">
      <c r="A609" s="77"/>
      <c r="B609" s="77"/>
      <c r="P609" s="60" t="s">
        <v>1227</v>
      </c>
      <c r="Q609" s="60" t="s">
        <v>1224</v>
      </c>
      <c r="R609" s="60" t="s">
        <v>644</v>
      </c>
      <c r="S609" s="60" t="s">
        <v>645</v>
      </c>
      <c r="T609" s="60" t="s">
        <v>645</v>
      </c>
      <c r="U609" s="63"/>
      <c r="V609" s="61" t="s">
        <v>13</v>
      </c>
      <c r="W609" s="60" t="s">
        <v>1225</v>
      </c>
    </row>
    <row r="610">
      <c r="A610" s="77"/>
      <c r="B610" s="77"/>
      <c r="P610" s="62" t="s">
        <v>1228</v>
      </c>
      <c r="Q610" s="62" t="s">
        <v>1229</v>
      </c>
      <c r="R610" s="62" t="s">
        <v>644</v>
      </c>
      <c r="S610" s="62" t="s">
        <v>652</v>
      </c>
      <c r="T610" s="62" t="s">
        <v>652</v>
      </c>
      <c r="U610" s="64"/>
      <c r="V610" s="61" t="s">
        <v>13</v>
      </c>
      <c r="W610" s="62" t="s">
        <v>1196</v>
      </c>
    </row>
    <row r="611">
      <c r="A611" s="77"/>
      <c r="B611" s="77"/>
      <c r="P611" s="60" t="s">
        <v>1230</v>
      </c>
      <c r="Q611" s="60" t="s">
        <v>1224</v>
      </c>
      <c r="R611" s="60" t="s">
        <v>644</v>
      </c>
      <c r="S611" s="60" t="s">
        <v>645</v>
      </c>
      <c r="T611" s="60" t="s">
        <v>645</v>
      </c>
      <c r="U611" s="63"/>
      <c r="V611" s="61" t="s">
        <v>13</v>
      </c>
      <c r="W611" s="60" t="s">
        <v>1225</v>
      </c>
    </row>
    <row r="612">
      <c r="A612" s="77"/>
      <c r="B612" s="77"/>
      <c r="P612" s="62" t="s">
        <v>1231</v>
      </c>
      <c r="Q612" s="62" t="s">
        <v>1232</v>
      </c>
      <c r="R612" s="62" t="s">
        <v>644</v>
      </c>
      <c r="S612" s="62" t="s">
        <v>652</v>
      </c>
      <c r="T612" s="62" t="s">
        <v>652</v>
      </c>
      <c r="U612" s="62" t="s">
        <v>130</v>
      </c>
      <c r="V612" s="61" t="s">
        <v>13</v>
      </c>
      <c r="W612" s="62" t="s">
        <v>1196</v>
      </c>
    </row>
    <row r="613">
      <c r="A613" s="77"/>
      <c r="B613" s="77"/>
      <c r="P613" s="60" t="s">
        <v>1233</v>
      </c>
      <c r="Q613" s="60" t="s">
        <v>1232</v>
      </c>
      <c r="R613" s="60" t="s">
        <v>644</v>
      </c>
      <c r="S613" s="60" t="s">
        <v>652</v>
      </c>
      <c r="T613" s="60" t="s">
        <v>652</v>
      </c>
      <c r="U613" s="60" t="s">
        <v>130</v>
      </c>
      <c r="V613" s="61" t="s">
        <v>13</v>
      </c>
      <c r="W613" s="60" t="s">
        <v>1196</v>
      </c>
    </row>
    <row r="614">
      <c r="A614" s="77"/>
      <c r="B614" s="77"/>
      <c r="P614" s="62" t="s">
        <v>1234</v>
      </c>
      <c r="Q614" s="62" t="s">
        <v>1232</v>
      </c>
      <c r="R614" s="62" t="s">
        <v>644</v>
      </c>
      <c r="S614" s="62" t="s">
        <v>652</v>
      </c>
      <c r="T614" s="62" t="s">
        <v>652</v>
      </c>
      <c r="U614" s="62" t="s">
        <v>130</v>
      </c>
      <c r="V614" s="61" t="s">
        <v>13</v>
      </c>
      <c r="W614" s="62" t="s">
        <v>1196</v>
      </c>
    </row>
    <row r="615">
      <c r="A615" s="77"/>
      <c r="B615" s="77"/>
      <c r="P615" s="60" t="s">
        <v>1235</v>
      </c>
      <c r="Q615" s="60" t="s">
        <v>1232</v>
      </c>
      <c r="R615" s="60" t="s">
        <v>644</v>
      </c>
      <c r="S615" s="60" t="s">
        <v>652</v>
      </c>
      <c r="T615" s="60" t="s">
        <v>652</v>
      </c>
      <c r="U615" s="60" t="s">
        <v>130</v>
      </c>
      <c r="V615" s="61" t="s">
        <v>13</v>
      </c>
      <c r="W615" s="60" t="s">
        <v>1196</v>
      </c>
    </row>
    <row r="616">
      <c r="A616" s="77"/>
      <c r="B616" s="77"/>
      <c r="P616" s="62" t="s">
        <v>1236</v>
      </c>
      <c r="Q616" s="62" t="s">
        <v>1237</v>
      </c>
      <c r="R616" s="62" t="s">
        <v>644</v>
      </c>
      <c r="S616" s="62" t="s">
        <v>652</v>
      </c>
      <c r="T616" s="62" t="s">
        <v>652</v>
      </c>
      <c r="U616" s="62" t="s">
        <v>130</v>
      </c>
      <c r="V616" s="61" t="s">
        <v>13</v>
      </c>
      <c r="W616" s="62" t="s">
        <v>1196</v>
      </c>
    </row>
    <row r="617">
      <c r="A617" s="77"/>
      <c r="B617" s="77"/>
      <c r="P617" s="60" t="s">
        <v>1238</v>
      </c>
      <c r="Q617" s="60" t="s">
        <v>1239</v>
      </c>
      <c r="R617" s="60" t="s">
        <v>644</v>
      </c>
      <c r="S617" s="60" t="s">
        <v>652</v>
      </c>
      <c r="T617" s="60" t="s">
        <v>652</v>
      </c>
      <c r="U617" s="60" t="s">
        <v>130</v>
      </c>
      <c r="V617" s="61" t="s">
        <v>13</v>
      </c>
      <c r="W617" s="60" t="s">
        <v>1196</v>
      </c>
    </row>
    <row r="618">
      <c r="A618" s="77"/>
      <c r="B618" s="77"/>
      <c r="P618" s="62" t="s">
        <v>1240</v>
      </c>
      <c r="Q618" s="62" t="s">
        <v>1239</v>
      </c>
      <c r="R618" s="62" t="s">
        <v>644</v>
      </c>
      <c r="S618" s="62" t="s">
        <v>652</v>
      </c>
      <c r="T618" s="62" t="s">
        <v>652</v>
      </c>
      <c r="U618" s="62" t="s">
        <v>130</v>
      </c>
      <c r="V618" s="61" t="s">
        <v>13</v>
      </c>
      <c r="W618" s="62" t="s">
        <v>1196</v>
      </c>
    </row>
    <row r="619">
      <c r="A619" s="77"/>
      <c r="B619" s="77"/>
      <c r="P619" s="60" t="s">
        <v>1241</v>
      </c>
      <c r="Q619" s="60" t="s">
        <v>1239</v>
      </c>
      <c r="R619" s="60" t="s">
        <v>644</v>
      </c>
      <c r="S619" s="60" t="s">
        <v>652</v>
      </c>
      <c r="T619" s="60" t="s">
        <v>652</v>
      </c>
      <c r="U619" s="60" t="s">
        <v>130</v>
      </c>
      <c r="V619" s="61" t="s">
        <v>13</v>
      </c>
      <c r="W619" s="60" t="s">
        <v>1196</v>
      </c>
    </row>
    <row r="620">
      <c r="A620" s="77"/>
      <c r="B620" s="77"/>
      <c r="P620" s="62" t="s">
        <v>1242</v>
      </c>
      <c r="Q620" s="62" t="s">
        <v>1239</v>
      </c>
      <c r="R620" s="62" t="s">
        <v>644</v>
      </c>
      <c r="S620" s="62" t="s">
        <v>652</v>
      </c>
      <c r="T620" s="62" t="s">
        <v>652</v>
      </c>
      <c r="U620" s="62" t="s">
        <v>130</v>
      </c>
      <c r="V620" s="61" t="s">
        <v>13</v>
      </c>
      <c r="W620" s="62" t="s">
        <v>1196</v>
      </c>
    </row>
    <row r="621">
      <c r="A621" s="77"/>
      <c r="B621" s="77"/>
      <c r="P621" s="60" t="s">
        <v>1243</v>
      </c>
      <c r="Q621" s="60" t="s">
        <v>1244</v>
      </c>
      <c r="R621" s="60" t="s">
        <v>644</v>
      </c>
      <c r="S621" s="60" t="s">
        <v>709</v>
      </c>
      <c r="T621" s="60" t="s">
        <v>709</v>
      </c>
      <c r="U621" s="60" t="s">
        <v>130</v>
      </c>
      <c r="V621" s="61" t="s">
        <v>13</v>
      </c>
      <c r="W621" s="60" t="s">
        <v>734</v>
      </c>
    </row>
    <row r="622">
      <c r="A622" s="77"/>
      <c r="B622" s="77"/>
      <c r="P622" s="62" t="s">
        <v>1245</v>
      </c>
      <c r="Q622" s="62" t="s">
        <v>1244</v>
      </c>
      <c r="R622" s="62" t="s">
        <v>644</v>
      </c>
      <c r="S622" s="62" t="s">
        <v>659</v>
      </c>
      <c r="T622" s="62" t="s">
        <v>659</v>
      </c>
      <c r="U622" s="62" t="s">
        <v>130</v>
      </c>
      <c r="V622" s="61" t="s">
        <v>13</v>
      </c>
      <c r="W622" s="62" t="s">
        <v>660</v>
      </c>
    </row>
    <row r="623">
      <c r="A623" s="77"/>
      <c r="B623" s="77"/>
      <c r="P623" s="60" t="s">
        <v>1246</v>
      </c>
      <c r="Q623" s="60" t="s">
        <v>1244</v>
      </c>
      <c r="R623" s="60" t="s">
        <v>644</v>
      </c>
      <c r="S623" s="60" t="s">
        <v>709</v>
      </c>
      <c r="T623" s="60" t="s">
        <v>709</v>
      </c>
      <c r="U623" s="60" t="s">
        <v>130</v>
      </c>
      <c r="V623" s="61" t="s">
        <v>13</v>
      </c>
      <c r="W623" s="60" t="s">
        <v>734</v>
      </c>
    </row>
    <row r="624">
      <c r="A624" s="77"/>
      <c r="B624" s="77"/>
      <c r="P624" s="48" t="s">
        <v>1247</v>
      </c>
      <c r="Q624" s="48" t="s">
        <v>402</v>
      </c>
      <c r="R624" s="48" t="s">
        <v>644</v>
      </c>
      <c r="S624" s="48" t="s">
        <v>659</v>
      </c>
      <c r="T624" s="48" t="s">
        <v>659</v>
      </c>
      <c r="U624" s="48" t="s">
        <v>130</v>
      </c>
      <c r="V624" s="47" t="s">
        <v>14</v>
      </c>
      <c r="W624" s="48" t="s">
        <v>683</v>
      </c>
    </row>
    <row r="625">
      <c r="A625" s="77"/>
      <c r="B625" s="77"/>
      <c r="P625" s="45" t="s">
        <v>1248</v>
      </c>
      <c r="Q625" s="45" t="s">
        <v>686</v>
      </c>
      <c r="R625" s="45" t="s">
        <v>644</v>
      </c>
      <c r="S625" s="45" t="s">
        <v>659</v>
      </c>
      <c r="T625" s="45" t="s">
        <v>659</v>
      </c>
      <c r="U625" s="45" t="s">
        <v>215</v>
      </c>
      <c r="V625" s="47" t="s">
        <v>14</v>
      </c>
      <c r="W625" s="45" t="s">
        <v>683</v>
      </c>
    </row>
    <row r="626">
      <c r="A626" s="77"/>
      <c r="B626" s="77"/>
      <c r="P626" s="48" t="s">
        <v>1249</v>
      </c>
      <c r="Q626" s="48" t="s">
        <v>706</v>
      </c>
      <c r="R626" s="48" t="s">
        <v>644</v>
      </c>
      <c r="S626" s="48" t="s">
        <v>645</v>
      </c>
      <c r="T626" s="48" t="s">
        <v>645</v>
      </c>
      <c r="U626" s="49"/>
      <c r="V626" s="47" t="s">
        <v>14</v>
      </c>
      <c r="W626" s="48" t="s">
        <v>646</v>
      </c>
    </row>
    <row r="627">
      <c r="A627" s="77"/>
      <c r="B627" s="77"/>
      <c r="P627" s="60" t="s">
        <v>1250</v>
      </c>
      <c r="Q627" s="60" t="s">
        <v>1251</v>
      </c>
      <c r="R627" s="60" t="s">
        <v>644</v>
      </c>
      <c r="S627" s="60" t="s">
        <v>709</v>
      </c>
      <c r="T627" s="60" t="s">
        <v>709</v>
      </c>
      <c r="U627" s="60" t="s">
        <v>130</v>
      </c>
      <c r="V627" s="61" t="s">
        <v>13</v>
      </c>
      <c r="W627" s="60" t="s">
        <v>734</v>
      </c>
    </row>
    <row r="628">
      <c r="A628" s="77"/>
      <c r="B628" s="77"/>
      <c r="P628" s="48" t="s">
        <v>1252</v>
      </c>
      <c r="Q628" s="48" t="s">
        <v>708</v>
      </c>
      <c r="R628" s="48" t="s">
        <v>644</v>
      </c>
      <c r="S628" s="48" t="s">
        <v>659</v>
      </c>
      <c r="T628" s="48" t="s">
        <v>659</v>
      </c>
      <c r="U628" s="48" t="s">
        <v>130</v>
      </c>
      <c r="V628" s="47" t="s">
        <v>14</v>
      </c>
      <c r="W628" s="48" t="s">
        <v>683</v>
      </c>
    </row>
    <row r="629">
      <c r="A629" s="77"/>
      <c r="B629" s="77"/>
      <c r="P629" s="60" t="s">
        <v>1253</v>
      </c>
      <c r="Q629" s="60" t="s">
        <v>716</v>
      </c>
      <c r="R629" s="60" t="s">
        <v>644</v>
      </c>
      <c r="S629" s="60" t="s">
        <v>709</v>
      </c>
      <c r="T629" s="60" t="s">
        <v>709</v>
      </c>
      <c r="U629" s="60" t="s">
        <v>130</v>
      </c>
      <c r="V629" s="61" t="s">
        <v>13</v>
      </c>
      <c r="W629" s="60" t="s">
        <v>734</v>
      </c>
    </row>
    <row r="630">
      <c r="A630" s="77"/>
      <c r="B630" s="77"/>
      <c r="P630" s="62" t="s">
        <v>1254</v>
      </c>
      <c r="Q630" s="62" t="s">
        <v>1255</v>
      </c>
      <c r="R630" s="62" t="s">
        <v>644</v>
      </c>
      <c r="S630" s="62" t="s">
        <v>709</v>
      </c>
      <c r="T630" s="62" t="s">
        <v>709</v>
      </c>
      <c r="U630" s="62" t="s">
        <v>130</v>
      </c>
      <c r="V630" s="61" t="s">
        <v>13</v>
      </c>
      <c r="W630" s="62" t="s">
        <v>1256</v>
      </c>
    </row>
    <row r="631">
      <c r="A631" s="77"/>
      <c r="B631" s="77"/>
      <c r="P631" s="45" t="s">
        <v>1257</v>
      </c>
      <c r="Q631" s="45" t="s">
        <v>708</v>
      </c>
      <c r="R631" s="45" t="s">
        <v>644</v>
      </c>
      <c r="S631" s="45" t="s">
        <v>659</v>
      </c>
      <c r="T631" s="45" t="s">
        <v>659</v>
      </c>
      <c r="U631" s="45" t="s">
        <v>215</v>
      </c>
      <c r="V631" s="47" t="s">
        <v>14</v>
      </c>
      <c r="W631" s="45" t="s">
        <v>683</v>
      </c>
    </row>
    <row r="632">
      <c r="A632" s="77"/>
      <c r="B632" s="77"/>
      <c r="P632" s="48" t="s">
        <v>1258</v>
      </c>
      <c r="Q632" s="48" t="s">
        <v>1255</v>
      </c>
      <c r="R632" s="48" t="s">
        <v>644</v>
      </c>
      <c r="S632" s="48" t="s">
        <v>659</v>
      </c>
      <c r="T632" s="48" t="s">
        <v>659</v>
      </c>
      <c r="U632" s="48" t="s">
        <v>130</v>
      </c>
      <c r="V632" s="47" t="s">
        <v>14</v>
      </c>
      <c r="W632" s="48" t="s">
        <v>683</v>
      </c>
    </row>
    <row r="633">
      <c r="A633" s="77"/>
      <c r="B633" s="77"/>
      <c r="P633" s="60" t="s">
        <v>1259</v>
      </c>
      <c r="Q633" s="60" t="s">
        <v>1260</v>
      </c>
      <c r="R633" s="60" t="s">
        <v>644</v>
      </c>
      <c r="S633" s="60" t="s">
        <v>1261</v>
      </c>
      <c r="T633" s="60" t="s">
        <v>1261</v>
      </c>
      <c r="U633" s="63"/>
      <c r="V633" s="61" t="s">
        <v>13</v>
      </c>
      <c r="W633" s="60" t="s">
        <v>1262</v>
      </c>
    </row>
    <row r="634">
      <c r="A634" s="77"/>
      <c r="B634" s="77"/>
      <c r="P634" s="48" t="s">
        <v>1263</v>
      </c>
      <c r="Q634" s="48" t="s">
        <v>682</v>
      </c>
      <c r="R634" s="48" t="s">
        <v>644</v>
      </c>
      <c r="S634" s="48" t="s">
        <v>659</v>
      </c>
      <c r="T634" s="48" t="s">
        <v>659</v>
      </c>
      <c r="U634" s="48" t="s">
        <v>130</v>
      </c>
      <c r="V634" s="47" t="s">
        <v>14</v>
      </c>
      <c r="W634" s="48" t="s">
        <v>683</v>
      </c>
    </row>
    <row r="635">
      <c r="A635" s="77"/>
      <c r="B635" s="77"/>
      <c r="P635" s="45" t="s">
        <v>1264</v>
      </c>
      <c r="Q635" s="45" t="s">
        <v>682</v>
      </c>
      <c r="R635" s="45" t="s">
        <v>644</v>
      </c>
      <c r="S635" s="45" t="s">
        <v>659</v>
      </c>
      <c r="T635" s="45" t="s">
        <v>659</v>
      </c>
      <c r="U635" s="45" t="s">
        <v>130</v>
      </c>
      <c r="V635" s="47" t="s">
        <v>14</v>
      </c>
      <c r="W635" s="45" t="s">
        <v>683</v>
      </c>
    </row>
    <row r="636">
      <c r="A636" s="77"/>
      <c r="B636" s="77"/>
      <c r="P636" s="48" t="s">
        <v>1265</v>
      </c>
      <c r="Q636" s="48" t="s">
        <v>682</v>
      </c>
      <c r="R636" s="48" t="s">
        <v>644</v>
      </c>
      <c r="S636" s="48" t="s">
        <v>659</v>
      </c>
      <c r="T636" s="48" t="s">
        <v>659</v>
      </c>
      <c r="U636" s="48" t="s">
        <v>130</v>
      </c>
      <c r="V636" s="47" t="s">
        <v>14</v>
      </c>
      <c r="W636" s="48" t="s">
        <v>683</v>
      </c>
    </row>
    <row r="637">
      <c r="A637" s="77"/>
      <c r="B637" s="77"/>
      <c r="P637" s="45" t="s">
        <v>1266</v>
      </c>
      <c r="Q637" s="45" t="s">
        <v>682</v>
      </c>
      <c r="R637" s="45" t="s">
        <v>644</v>
      </c>
      <c r="S637" s="45" t="s">
        <v>659</v>
      </c>
      <c r="T637" s="45" t="s">
        <v>659</v>
      </c>
      <c r="U637" s="45" t="s">
        <v>130</v>
      </c>
      <c r="V637" s="47" t="s">
        <v>14</v>
      </c>
      <c r="W637" s="45" t="s">
        <v>683</v>
      </c>
    </row>
    <row r="638">
      <c r="A638" s="77"/>
      <c r="B638" s="77"/>
      <c r="P638" s="48" t="s">
        <v>1267</v>
      </c>
      <c r="Q638" s="48" t="s">
        <v>682</v>
      </c>
      <c r="R638" s="48" t="s">
        <v>644</v>
      </c>
      <c r="S638" s="48" t="s">
        <v>659</v>
      </c>
      <c r="T638" s="48" t="s">
        <v>659</v>
      </c>
      <c r="U638" s="48" t="s">
        <v>130</v>
      </c>
      <c r="V638" s="47" t="s">
        <v>14</v>
      </c>
      <c r="W638" s="48" t="s">
        <v>683</v>
      </c>
    </row>
    <row r="639">
      <c r="A639" s="77"/>
      <c r="B639" s="77"/>
      <c r="P639" s="45" t="s">
        <v>1268</v>
      </c>
      <c r="Q639" s="45" t="s">
        <v>682</v>
      </c>
      <c r="R639" s="45" t="s">
        <v>644</v>
      </c>
      <c r="S639" s="45" t="s">
        <v>659</v>
      </c>
      <c r="T639" s="45" t="s">
        <v>659</v>
      </c>
      <c r="U639" s="45" t="s">
        <v>130</v>
      </c>
      <c r="V639" s="47" t="s">
        <v>14</v>
      </c>
      <c r="W639" s="45" t="s">
        <v>683</v>
      </c>
    </row>
    <row r="640">
      <c r="A640" s="77"/>
      <c r="B640" s="77"/>
      <c r="P640" s="62" t="s">
        <v>1269</v>
      </c>
      <c r="Q640" s="62" t="s">
        <v>1229</v>
      </c>
      <c r="R640" s="62" t="s">
        <v>644</v>
      </c>
      <c r="S640" s="62" t="s">
        <v>652</v>
      </c>
      <c r="T640" s="62" t="s">
        <v>652</v>
      </c>
      <c r="U640" s="64"/>
      <c r="V640" s="61" t="s">
        <v>13</v>
      </c>
      <c r="W640" s="62" t="s">
        <v>1196</v>
      </c>
    </row>
    <row r="641">
      <c r="A641" s="77"/>
      <c r="B641" s="77"/>
      <c r="P641" s="60" t="s">
        <v>1270</v>
      </c>
      <c r="Q641" s="60" t="s">
        <v>1229</v>
      </c>
      <c r="R641" s="60" t="s">
        <v>644</v>
      </c>
      <c r="S641" s="60" t="s">
        <v>652</v>
      </c>
      <c r="T641" s="60" t="s">
        <v>652</v>
      </c>
      <c r="U641" s="63"/>
      <c r="V641" s="61" t="s">
        <v>13</v>
      </c>
      <c r="W641" s="60" t="s">
        <v>1196</v>
      </c>
    </row>
    <row r="642">
      <c r="A642" s="77"/>
      <c r="B642" s="77"/>
      <c r="P642" s="62" t="s">
        <v>1271</v>
      </c>
      <c r="Q642" s="62" t="s">
        <v>1229</v>
      </c>
      <c r="R642" s="62" t="s">
        <v>644</v>
      </c>
      <c r="S642" s="62" t="s">
        <v>652</v>
      </c>
      <c r="T642" s="62" t="s">
        <v>652</v>
      </c>
      <c r="U642" s="64"/>
      <c r="V642" s="61" t="s">
        <v>13</v>
      </c>
      <c r="W642" s="62" t="s">
        <v>1196</v>
      </c>
    </row>
    <row r="643">
      <c r="A643" s="77"/>
      <c r="B643" s="77"/>
      <c r="P643" s="60" t="s">
        <v>1272</v>
      </c>
      <c r="Q643" s="60" t="s">
        <v>1273</v>
      </c>
      <c r="R643" s="60" t="s">
        <v>644</v>
      </c>
      <c r="S643" s="60" t="s">
        <v>645</v>
      </c>
      <c r="T643" s="60" t="s">
        <v>645</v>
      </c>
      <c r="U643" s="63"/>
      <c r="V643" s="61" t="s">
        <v>13</v>
      </c>
      <c r="W643" s="60" t="s">
        <v>1215</v>
      </c>
    </row>
    <row r="644">
      <c r="A644" s="77"/>
      <c r="B644" s="77"/>
      <c r="P644" s="62" t="s">
        <v>1274</v>
      </c>
      <c r="Q644" s="62" t="s">
        <v>1273</v>
      </c>
      <c r="R644" s="62" t="s">
        <v>644</v>
      </c>
      <c r="S644" s="62" t="s">
        <v>645</v>
      </c>
      <c r="T644" s="62" t="s">
        <v>645</v>
      </c>
      <c r="U644" s="64"/>
      <c r="V644" s="61" t="s">
        <v>13</v>
      </c>
      <c r="W644" s="62" t="s">
        <v>1215</v>
      </c>
    </row>
    <row r="645">
      <c r="A645" s="77"/>
      <c r="B645" s="77"/>
      <c r="P645" s="60" t="s">
        <v>1275</v>
      </c>
      <c r="Q645" s="60" t="s">
        <v>1273</v>
      </c>
      <c r="R645" s="60" t="s">
        <v>644</v>
      </c>
      <c r="S645" s="60" t="s">
        <v>645</v>
      </c>
      <c r="T645" s="60" t="s">
        <v>645</v>
      </c>
      <c r="U645" s="63"/>
      <c r="V645" s="61" t="s">
        <v>13</v>
      </c>
      <c r="W645" s="60" t="s">
        <v>1215</v>
      </c>
    </row>
    <row r="646">
      <c r="A646" s="77"/>
      <c r="B646" s="77"/>
      <c r="P646" s="62" t="s">
        <v>1276</v>
      </c>
      <c r="Q646" s="62" t="s">
        <v>1108</v>
      </c>
      <c r="R646" s="62" t="s">
        <v>630</v>
      </c>
      <c r="S646" s="62" t="s">
        <v>640</v>
      </c>
      <c r="T646" s="62" t="s">
        <v>640</v>
      </c>
      <c r="U646" s="64"/>
      <c r="V646" s="61" t="s">
        <v>13</v>
      </c>
      <c r="W646" s="62" t="s">
        <v>1109</v>
      </c>
    </row>
    <row r="647">
      <c r="A647" s="77"/>
      <c r="B647" s="77"/>
      <c r="P647" s="60" t="s">
        <v>1277</v>
      </c>
      <c r="Q647" s="60" t="s">
        <v>1108</v>
      </c>
      <c r="R647" s="60" t="s">
        <v>630</v>
      </c>
      <c r="S647" s="60" t="s">
        <v>640</v>
      </c>
      <c r="T647" s="60" t="s">
        <v>640</v>
      </c>
      <c r="U647" s="63"/>
      <c r="V647" s="61" t="s">
        <v>13</v>
      </c>
      <c r="W647" s="60" t="s">
        <v>1109</v>
      </c>
    </row>
    <row r="648">
      <c r="A648" s="77"/>
      <c r="B648" s="77"/>
      <c r="P648" s="62" t="s">
        <v>1278</v>
      </c>
      <c r="Q648" s="62" t="s">
        <v>1108</v>
      </c>
      <c r="R648" s="62" t="s">
        <v>630</v>
      </c>
      <c r="S648" s="62" t="s">
        <v>640</v>
      </c>
      <c r="T648" s="62" t="s">
        <v>640</v>
      </c>
      <c r="U648" s="62" t="s">
        <v>292</v>
      </c>
      <c r="V648" s="61" t="s">
        <v>13</v>
      </c>
      <c r="W648" s="62" t="s">
        <v>1109</v>
      </c>
    </row>
    <row r="649">
      <c r="A649" s="77"/>
      <c r="B649" s="77"/>
      <c r="P649" s="78" t="s">
        <v>1279</v>
      </c>
      <c r="Q649" s="79"/>
      <c r="R649" s="79"/>
      <c r="S649" s="79"/>
      <c r="T649" s="79"/>
      <c r="U649" s="79"/>
      <c r="V649" s="80" t="s">
        <v>13</v>
      </c>
      <c r="W649" s="78" t="s">
        <v>1280</v>
      </c>
    </row>
    <row r="650">
      <c r="A650" s="77"/>
      <c r="B650" s="77"/>
      <c r="P650" s="81" t="s">
        <v>1281</v>
      </c>
      <c r="Q650" s="82"/>
      <c r="R650" s="82"/>
      <c r="S650" s="82"/>
      <c r="T650" s="82"/>
      <c r="U650" s="82"/>
      <c r="V650" s="80" t="s">
        <v>13</v>
      </c>
      <c r="W650" s="81" t="s">
        <v>1280</v>
      </c>
    </row>
    <row r="651">
      <c r="A651" s="77"/>
      <c r="B651" s="77"/>
      <c r="P651" s="78" t="s">
        <v>1282</v>
      </c>
      <c r="Q651" s="79"/>
      <c r="R651" s="79"/>
      <c r="S651" s="79"/>
      <c r="T651" s="79"/>
      <c r="U651" s="79"/>
      <c r="V651" s="80" t="s">
        <v>13</v>
      </c>
      <c r="W651" s="78" t="s">
        <v>1280</v>
      </c>
    </row>
    <row r="652">
      <c r="A652" s="77"/>
      <c r="B652" s="77"/>
      <c r="P652" s="81" t="s">
        <v>1283</v>
      </c>
      <c r="Q652" s="82"/>
      <c r="R652" s="82"/>
      <c r="S652" s="82"/>
      <c r="T652" s="82"/>
      <c r="U652" s="82"/>
      <c r="V652" s="80" t="s">
        <v>13</v>
      </c>
      <c r="W652" s="81" t="s">
        <v>1280</v>
      </c>
    </row>
    <row r="653">
      <c r="A653" s="77"/>
      <c r="B653" s="77"/>
      <c r="P653" s="78" t="s">
        <v>1284</v>
      </c>
      <c r="Q653" s="79"/>
      <c r="R653" s="79"/>
      <c r="S653" s="79"/>
      <c r="T653" s="79"/>
      <c r="U653" s="79"/>
      <c r="V653" s="80" t="s">
        <v>13</v>
      </c>
      <c r="W653" s="78" t="s">
        <v>1280</v>
      </c>
    </row>
    <row r="654">
      <c r="A654" s="77"/>
      <c r="B654" s="77"/>
      <c r="P654" s="81" t="s">
        <v>1285</v>
      </c>
      <c r="Q654" s="82"/>
      <c r="R654" s="82"/>
      <c r="S654" s="82"/>
      <c r="T654" s="82"/>
      <c r="U654" s="82"/>
      <c r="V654" s="80" t="s">
        <v>13</v>
      </c>
      <c r="W654" s="81" t="s">
        <v>1280</v>
      </c>
    </row>
    <row r="655">
      <c r="A655" s="77"/>
      <c r="B655" s="77"/>
      <c r="P655" s="78" t="s">
        <v>1286</v>
      </c>
      <c r="Q655" s="79"/>
      <c r="R655" s="79"/>
      <c r="S655" s="79"/>
      <c r="T655" s="79"/>
      <c r="U655" s="79"/>
      <c r="V655" s="80" t="s">
        <v>13</v>
      </c>
      <c r="W655" s="78" t="s">
        <v>1280</v>
      </c>
    </row>
    <row r="656">
      <c r="A656" s="77"/>
      <c r="B656" s="77"/>
      <c r="P656" s="81" t="s">
        <v>1287</v>
      </c>
      <c r="Q656" s="82"/>
      <c r="R656" s="82"/>
      <c r="S656" s="82"/>
      <c r="T656" s="82"/>
      <c r="U656" s="82"/>
      <c r="V656" s="80" t="s">
        <v>13</v>
      </c>
      <c r="W656" s="81" t="s">
        <v>1280</v>
      </c>
    </row>
    <row r="657">
      <c r="A657" s="77"/>
      <c r="B657" s="77"/>
      <c r="P657" s="78" t="s">
        <v>1288</v>
      </c>
      <c r="Q657" s="79"/>
      <c r="R657" s="79"/>
      <c r="S657" s="79"/>
      <c r="T657" s="79"/>
      <c r="U657" s="79"/>
      <c r="V657" s="80" t="s">
        <v>13</v>
      </c>
      <c r="W657" s="78" t="s">
        <v>1280</v>
      </c>
    </row>
    <row r="658">
      <c r="A658" s="77"/>
      <c r="B658" s="77"/>
      <c r="P658" s="81" t="s">
        <v>1289</v>
      </c>
      <c r="Q658" s="82"/>
      <c r="R658" s="82"/>
      <c r="S658" s="82"/>
      <c r="T658" s="82"/>
      <c r="U658" s="82"/>
      <c r="V658" s="80" t="s">
        <v>13</v>
      </c>
      <c r="W658" s="81" t="s">
        <v>1280</v>
      </c>
    </row>
    <row r="659">
      <c r="A659" s="77"/>
      <c r="B659" s="77"/>
      <c r="P659" s="78" t="s">
        <v>1290</v>
      </c>
      <c r="Q659" s="79"/>
      <c r="R659" s="79"/>
      <c r="S659" s="79"/>
      <c r="T659" s="79"/>
      <c r="U659" s="79"/>
      <c r="V659" s="80" t="s">
        <v>13</v>
      </c>
      <c r="W659" s="78" t="s">
        <v>1280</v>
      </c>
    </row>
    <row r="660">
      <c r="A660" s="77"/>
      <c r="B660" s="77"/>
      <c r="P660" s="81" t="s">
        <v>1291</v>
      </c>
      <c r="Q660" s="82"/>
      <c r="R660" s="82"/>
      <c r="S660" s="82"/>
      <c r="T660" s="82"/>
      <c r="U660" s="82"/>
      <c r="V660" s="80" t="s">
        <v>13</v>
      </c>
      <c r="W660" s="81" t="s">
        <v>1280</v>
      </c>
    </row>
    <row r="661">
      <c r="A661" s="77"/>
      <c r="B661" s="77"/>
      <c r="P661" s="78" t="s">
        <v>1292</v>
      </c>
      <c r="Q661" s="79"/>
      <c r="R661" s="79"/>
      <c r="S661" s="79"/>
      <c r="T661" s="79"/>
      <c r="U661" s="79"/>
      <c r="V661" s="80" t="s">
        <v>13</v>
      </c>
      <c r="W661" s="78" t="s">
        <v>1280</v>
      </c>
    </row>
    <row r="662">
      <c r="A662" s="77"/>
      <c r="B662" s="77"/>
      <c r="P662" s="81" t="s">
        <v>1293</v>
      </c>
      <c r="Q662" s="82"/>
      <c r="R662" s="82"/>
      <c r="S662" s="82"/>
      <c r="T662" s="82"/>
      <c r="U662" s="82"/>
      <c r="V662" s="80" t="s">
        <v>13</v>
      </c>
      <c r="W662" s="81" t="s">
        <v>1280</v>
      </c>
    </row>
    <row r="663">
      <c r="A663" s="77"/>
      <c r="B663" s="77"/>
      <c r="P663" s="78" t="s">
        <v>1294</v>
      </c>
      <c r="Q663" s="79"/>
      <c r="R663" s="79"/>
      <c r="S663" s="79"/>
      <c r="T663" s="79"/>
      <c r="U663" s="79"/>
      <c r="V663" s="80" t="s">
        <v>13</v>
      </c>
      <c r="W663" s="78" t="s">
        <v>1280</v>
      </c>
    </row>
    <row r="664">
      <c r="A664" s="77"/>
      <c r="B664" s="77"/>
      <c r="P664" s="81" t="s">
        <v>1295</v>
      </c>
      <c r="Q664" s="82"/>
      <c r="R664" s="82"/>
      <c r="S664" s="82"/>
      <c r="T664" s="82"/>
      <c r="U664" s="82"/>
      <c r="V664" s="80" t="s">
        <v>13</v>
      </c>
      <c r="W664" s="81" t="s">
        <v>1280</v>
      </c>
    </row>
    <row r="665">
      <c r="A665" s="77"/>
      <c r="B665" s="77"/>
      <c r="P665" s="78" t="s">
        <v>1296</v>
      </c>
      <c r="Q665" s="79"/>
      <c r="R665" s="79"/>
      <c r="S665" s="79"/>
      <c r="T665" s="79"/>
      <c r="U665" s="79"/>
      <c r="V665" s="80" t="s">
        <v>13</v>
      </c>
      <c r="W665" s="78" t="s">
        <v>1280</v>
      </c>
    </row>
    <row r="666">
      <c r="A666" s="77"/>
      <c r="B666" s="77"/>
      <c r="P666" s="81" t="s">
        <v>1297</v>
      </c>
      <c r="Q666" s="82"/>
      <c r="R666" s="82"/>
      <c r="S666" s="82"/>
      <c r="T666" s="82"/>
      <c r="U666" s="82"/>
      <c r="V666" s="80" t="s">
        <v>13</v>
      </c>
      <c r="W666" s="81" t="s">
        <v>1280</v>
      </c>
    </row>
    <row r="667">
      <c r="A667" s="77"/>
      <c r="B667" s="77"/>
      <c r="P667" s="78" t="s">
        <v>1298</v>
      </c>
      <c r="Q667" s="79"/>
      <c r="R667" s="79"/>
      <c r="S667" s="79"/>
      <c r="T667" s="79"/>
      <c r="U667" s="79"/>
      <c r="V667" s="80" t="s">
        <v>13</v>
      </c>
      <c r="W667" s="78" t="s">
        <v>1280</v>
      </c>
    </row>
    <row r="668">
      <c r="A668" s="77"/>
      <c r="B668" s="77"/>
      <c r="P668" s="81" t="s">
        <v>1299</v>
      </c>
      <c r="Q668" s="82"/>
      <c r="R668" s="82"/>
      <c r="S668" s="82"/>
      <c r="T668" s="82"/>
      <c r="U668" s="82"/>
      <c r="V668" s="80" t="s">
        <v>13</v>
      </c>
      <c r="W668" s="81" t="s">
        <v>1280</v>
      </c>
    </row>
    <row r="669">
      <c r="A669" s="77"/>
      <c r="B669" s="77"/>
      <c r="P669" s="78" t="s">
        <v>1300</v>
      </c>
      <c r="Q669" s="79"/>
      <c r="R669" s="79"/>
      <c r="S669" s="79"/>
      <c r="T669" s="79"/>
      <c r="U669" s="79"/>
      <c r="V669" s="80" t="s">
        <v>13</v>
      </c>
      <c r="W669" s="78" t="s">
        <v>1280</v>
      </c>
    </row>
    <row r="670">
      <c r="A670" s="77"/>
      <c r="B670" s="77"/>
      <c r="P670" s="81" t="s">
        <v>1301</v>
      </c>
      <c r="Q670" s="82"/>
      <c r="R670" s="82"/>
      <c r="S670" s="82"/>
      <c r="T670" s="82"/>
      <c r="U670" s="82"/>
      <c r="V670" s="80" t="s">
        <v>13</v>
      </c>
      <c r="W670" s="81" t="s">
        <v>1280</v>
      </c>
    </row>
    <row r="671">
      <c r="A671" s="77"/>
      <c r="B671" s="77"/>
      <c r="P671" s="78" t="s">
        <v>1302</v>
      </c>
      <c r="Q671" s="79"/>
      <c r="R671" s="79"/>
      <c r="S671" s="79"/>
      <c r="T671" s="79"/>
      <c r="U671" s="79"/>
      <c r="V671" s="80" t="s">
        <v>13</v>
      </c>
      <c r="W671" s="78" t="s">
        <v>1280</v>
      </c>
    </row>
    <row r="672">
      <c r="A672" s="77"/>
      <c r="B672" s="77"/>
      <c r="P672" s="81" t="s">
        <v>1303</v>
      </c>
      <c r="Q672" s="82"/>
      <c r="R672" s="82"/>
      <c r="S672" s="82"/>
      <c r="T672" s="82"/>
      <c r="U672" s="82"/>
      <c r="V672" s="80" t="s">
        <v>13</v>
      </c>
      <c r="W672" s="81" t="s">
        <v>1280</v>
      </c>
    </row>
    <row r="673">
      <c r="A673" s="77"/>
      <c r="B673" s="77"/>
      <c r="P673" s="78" t="s">
        <v>1304</v>
      </c>
      <c r="Q673" s="79"/>
      <c r="R673" s="79"/>
      <c r="S673" s="79"/>
      <c r="T673" s="79"/>
      <c r="U673" s="79"/>
      <c r="V673" s="80" t="s">
        <v>13</v>
      </c>
      <c r="W673" s="78" t="s">
        <v>1280</v>
      </c>
    </row>
    <row r="674">
      <c r="A674" s="77"/>
      <c r="B674" s="77"/>
      <c r="P674" s="81" t="s">
        <v>1305</v>
      </c>
      <c r="Q674" s="82"/>
      <c r="R674" s="82"/>
      <c r="S674" s="82"/>
      <c r="T674" s="82"/>
      <c r="U674" s="82"/>
      <c r="V674" s="80" t="s">
        <v>13</v>
      </c>
      <c r="W674" s="81" t="s">
        <v>1280</v>
      </c>
    </row>
    <row r="675">
      <c r="A675" s="77"/>
      <c r="B675" s="77"/>
      <c r="P675" s="78" t="s">
        <v>1306</v>
      </c>
      <c r="Q675" s="79"/>
      <c r="R675" s="79"/>
      <c r="S675" s="79"/>
      <c r="T675" s="79"/>
      <c r="U675" s="79"/>
      <c r="V675" s="80" t="s">
        <v>13</v>
      </c>
      <c r="W675" s="78" t="s">
        <v>1280</v>
      </c>
    </row>
    <row r="676">
      <c r="A676" s="77"/>
      <c r="B676" s="77"/>
      <c r="P676" s="81" t="s">
        <v>1307</v>
      </c>
      <c r="Q676" s="82"/>
      <c r="R676" s="82"/>
      <c r="S676" s="82"/>
      <c r="T676" s="82"/>
      <c r="U676" s="82"/>
      <c r="V676" s="80" t="s">
        <v>13</v>
      </c>
      <c r="W676" s="81" t="s">
        <v>1280</v>
      </c>
    </row>
    <row r="677">
      <c r="A677" s="77"/>
      <c r="B677" s="77"/>
      <c r="P677" s="78" t="s">
        <v>1308</v>
      </c>
      <c r="Q677" s="79"/>
      <c r="R677" s="79"/>
      <c r="S677" s="79"/>
      <c r="T677" s="79"/>
      <c r="U677" s="79"/>
      <c r="V677" s="80" t="s">
        <v>13</v>
      </c>
      <c r="W677" s="78" t="s">
        <v>1280</v>
      </c>
    </row>
    <row r="678">
      <c r="A678" s="77"/>
      <c r="B678" s="77"/>
      <c r="P678" s="81" t="s">
        <v>1309</v>
      </c>
      <c r="Q678" s="82"/>
      <c r="R678" s="82"/>
      <c r="S678" s="82"/>
      <c r="T678" s="82"/>
      <c r="U678" s="82"/>
      <c r="V678" s="80" t="s">
        <v>13</v>
      </c>
      <c r="W678" s="81" t="s">
        <v>1280</v>
      </c>
    </row>
    <row r="679">
      <c r="A679" s="77"/>
      <c r="B679" s="77"/>
      <c r="P679" s="78" t="s">
        <v>1310</v>
      </c>
      <c r="Q679" s="79"/>
      <c r="R679" s="79"/>
      <c r="S679" s="79"/>
      <c r="T679" s="79"/>
      <c r="U679" s="79"/>
      <c r="V679" s="80" t="s">
        <v>13</v>
      </c>
      <c r="W679" s="78" t="s">
        <v>1280</v>
      </c>
    </row>
    <row r="680">
      <c r="A680" s="77"/>
      <c r="B680" s="77"/>
      <c r="P680" s="81" t="s">
        <v>1311</v>
      </c>
      <c r="Q680" s="82"/>
      <c r="R680" s="82"/>
      <c r="S680" s="82"/>
      <c r="T680" s="82"/>
      <c r="U680" s="82"/>
      <c r="V680" s="80" t="s">
        <v>13</v>
      </c>
      <c r="W680" s="81" t="s">
        <v>1280</v>
      </c>
    </row>
    <row r="681">
      <c r="A681" s="77"/>
      <c r="B681" s="77"/>
      <c r="P681" s="78" t="s">
        <v>1312</v>
      </c>
      <c r="Q681" s="79"/>
      <c r="R681" s="79"/>
      <c r="S681" s="79"/>
      <c r="T681" s="79"/>
      <c r="U681" s="79"/>
      <c r="V681" s="80" t="s">
        <v>13</v>
      </c>
      <c r="W681" s="78" t="s">
        <v>1280</v>
      </c>
    </row>
    <row r="682">
      <c r="A682" s="77"/>
      <c r="B682" s="77"/>
      <c r="P682" s="81" t="s">
        <v>1313</v>
      </c>
      <c r="Q682" s="82"/>
      <c r="R682" s="82"/>
      <c r="S682" s="82"/>
      <c r="T682" s="82"/>
      <c r="U682" s="82"/>
      <c r="V682" s="80" t="s">
        <v>13</v>
      </c>
      <c r="W682" s="81" t="s">
        <v>1280</v>
      </c>
    </row>
    <row r="683">
      <c r="A683" s="77"/>
      <c r="B683" s="77"/>
      <c r="P683" s="78" t="s">
        <v>1314</v>
      </c>
      <c r="Q683" s="79"/>
      <c r="R683" s="79"/>
      <c r="S683" s="79"/>
      <c r="T683" s="79"/>
      <c r="U683" s="79"/>
      <c r="V683" s="80" t="s">
        <v>13</v>
      </c>
      <c r="W683" s="78" t="s">
        <v>1280</v>
      </c>
    </row>
    <row r="684">
      <c r="A684" s="77"/>
      <c r="B684" s="77"/>
      <c r="P684" s="81" t="s">
        <v>1315</v>
      </c>
      <c r="Q684" s="82"/>
      <c r="R684" s="82"/>
      <c r="S684" s="82"/>
      <c r="T684" s="82"/>
      <c r="U684" s="82"/>
      <c r="V684" s="80" t="s">
        <v>13</v>
      </c>
      <c r="W684" s="81" t="s">
        <v>1280</v>
      </c>
    </row>
    <row r="685">
      <c r="A685" s="77"/>
      <c r="B685" s="77"/>
      <c r="P685" s="78" t="s">
        <v>1316</v>
      </c>
      <c r="Q685" s="79"/>
      <c r="R685" s="79"/>
      <c r="S685" s="79"/>
      <c r="T685" s="79"/>
      <c r="U685" s="79"/>
      <c r="V685" s="80" t="s">
        <v>13</v>
      </c>
      <c r="W685" s="78" t="s">
        <v>1280</v>
      </c>
    </row>
    <row r="686">
      <c r="A686" s="77"/>
      <c r="B686" s="77"/>
      <c r="P686" s="81" t="s">
        <v>1317</v>
      </c>
      <c r="Q686" s="82"/>
      <c r="R686" s="82"/>
      <c r="S686" s="82"/>
      <c r="T686" s="82"/>
      <c r="U686" s="82"/>
      <c r="V686" s="80" t="s">
        <v>13</v>
      </c>
      <c r="W686" s="81" t="s">
        <v>1280</v>
      </c>
    </row>
    <row r="687">
      <c r="A687" s="77"/>
      <c r="B687" s="77"/>
      <c r="P687" s="78" t="s">
        <v>1318</v>
      </c>
      <c r="Q687" s="79"/>
      <c r="R687" s="79"/>
      <c r="S687" s="79"/>
      <c r="T687" s="79"/>
      <c r="U687" s="79"/>
      <c r="V687" s="80" t="s">
        <v>13</v>
      </c>
      <c r="W687" s="78" t="s">
        <v>1280</v>
      </c>
    </row>
    <row r="688">
      <c r="A688" s="77"/>
      <c r="B688" s="77"/>
      <c r="P688" s="81" t="s">
        <v>1319</v>
      </c>
      <c r="Q688" s="82"/>
      <c r="R688" s="82"/>
      <c r="S688" s="82"/>
      <c r="T688" s="82"/>
      <c r="U688" s="82"/>
      <c r="V688" s="80" t="s">
        <v>13</v>
      </c>
      <c r="W688" s="81" t="s">
        <v>1280</v>
      </c>
    </row>
    <row r="689">
      <c r="A689" s="77"/>
      <c r="B689" s="77"/>
      <c r="P689" s="78" t="s">
        <v>1320</v>
      </c>
      <c r="Q689" s="79"/>
      <c r="R689" s="79"/>
      <c r="S689" s="79"/>
      <c r="T689" s="79"/>
      <c r="U689" s="79"/>
      <c r="V689" s="80" t="s">
        <v>13</v>
      </c>
      <c r="W689" s="78" t="s">
        <v>1280</v>
      </c>
    </row>
    <row r="690">
      <c r="A690" s="77"/>
      <c r="B690" s="77"/>
      <c r="P690" s="81" t="s">
        <v>1321</v>
      </c>
      <c r="Q690" s="82"/>
      <c r="R690" s="82"/>
      <c r="S690" s="82"/>
      <c r="T690" s="82"/>
      <c r="U690" s="82"/>
      <c r="V690" s="80" t="s">
        <v>13</v>
      </c>
      <c r="W690" s="81" t="s">
        <v>1280</v>
      </c>
    </row>
    <row r="691">
      <c r="A691" s="77"/>
      <c r="B691" s="77"/>
      <c r="P691" s="78" t="s">
        <v>1322</v>
      </c>
      <c r="Q691" s="79"/>
      <c r="R691" s="79"/>
      <c r="S691" s="79"/>
      <c r="T691" s="79"/>
      <c r="U691" s="79"/>
      <c r="V691" s="80" t="s">
        <v>13</v>
      </c>
      <c r="W691" s="78" t="s">
        <v>1280</v>
      </c>
    </row>
    <row r="692">
      <c r="A692" s="77"/>
      <c r="B692" s="77"/>
      <c r="P692" s="81" t="s">
        <v>1323</v>
      </c>
      <c r="Q692" s="82"/>
      <c r="R692" s="82"/>
      <c r="S692" s="82"/>
      <c r="T692" s="82"/>
      <c r="U692" s="82"/>
      <c r="V692" s="80" t="s">
        <v>13</v>
      </c>
      <c r="W692" s="81" t="s">
        <v>1280</v>
      </c>
    </row>
    <row r="693">
      <c r="A693" s="77"/>
      <c r="B693" s="77"/>
      <c r="P693" s="78" t="s">
        <v>1324</v>
      </c>
      <c r="Q693" s="79"/>
      <c r="R693" s="79"/>
      <c r="S693" s="79"/>
      <c r="T693" s="79"/>
      <c r="U693" s="79"/>
      <c r="V693" s="80" t="s">
        <v>13</v>
      </c>
      <c r="W693" s="78" t="s">
        <v>1280</v>
      </c>
    </row>
    <row r="694">
      <c r="A694" s="77"/>
      <c r="B694" s="77"/>
      <c r="P694" s="81" t="s">
        <v>1325</v>
      </c>
      <c r="Q694" s="82"/>
      <c r="R694" s="82"/>
      <c r="S694" s="82"/>
      <c r="T694" s="82"/>
      <c r="U694" s="82"/>
      <c r="V694" s="80" t="s">
        <v>13</v>
      </c>
      <c r="W694" s="81" t="s">
        <v>1280</v>
      </c>
    </row>
    <row r="695">
      <c r="A695" s="77"/>
      <c r="B695" s="77"/>
      <c r="P695" s="78" t="s">
        <v>1326</v>
      </c>
      <c r="Q695" s="79"/>
      <c r="R695" s="79"/>
      <c r="S695" s="79"/>
      <c r="T695" s="79"/>
      <c r="U695" s="79"/>
      <c r="V695" s="80" t="s">
        <v>13</v>
      </c>
      <c r="W695" s="78" t="s">
        <v>1280</v>
      </c>
    </row>
    <row r="696">
      <c r="A696" s="77"/>
      <c r="B696" s="77"/>
      <c r="P696" s="81" t="s">
        <v>1327</v>
      </c>
      <c r="Q696" s="82"/>
      <c r="R696" s="82"/>
      <c r="S696" s="82"/>
      <c r="T696" s="82"/>
      <c r="U696" s="82"/>
      <c r="V696" s="80" t="s">
        <v>13</v>
      </c>
      <c r="W696" s="81" t="s">
        <v>1280</v>
      </c>
    </row>
    <row r="697">
      <c r="A697" s="77"/>
      <c r="B697" s="77"/>
      <c r="P697" s="78" t="s">
        <v>1328</v>
      </c>
      <c r="Q697" s="79"/>
      <c r="R697" s="79"/>
      <c r="S697" s="79"/>
      <c r="T697" s="79"/>
      <c r="U697" s="79"/>
      <c r="V697" s="80" t="s">
        <v>13</v>
      </c>
      <c r="W697" s="78" t="s">
        <v>1280</v>
      </c>
    </row>
    <row r="698">
      <c r="A698" s="77"/>
      <c r="B698" s="77"/>
      <c r="P698" s="81" t="s">
        <v>1329</v>
      </c>
      <c r="Q698" s="82"/>
      <c r="R698" s="82"/>
      <c r="S698" s="82"/>
      <c r="T698" s="82"/>
      <c r="U698" s="82"/>
      <c r="V698" s="80" t="s">
        <v>13</v>
      </c>
      <c r="W698" s="81" t="s">
        <v>1280</v>
      </c>
    </row>
    <row r="699">
      <c r="A699" s="77"/>
      <c r="B699" s="77"/>
      <c r="P699" s="78" t="s">
        <v>1330</v>
      </c>
      <c r="Q699" s="79"/>
      <c r="R699" s="79"/>
      <c r="S699" s="79"/>
      <c r="T699" s="79"/>
      <c r="U699" s="79"/>
      <c r="V699" s="80" t="s">
        <v>13</v>
      </c>
      <c r="W699" s="78" t="s">
        <v>1280</v>
      </c>
    </row>
    <row r="700">
      <c r="A700" s="77"/>
      <c r="B700" s="77"/>
      <c r="P700" s="81" t="s">
        <v>1331</v>
      </c>
      <c r="Q700" s="82"/>
      <c r="R700" s="82"/>
      <c r="S700" s="82"/>
      <c r="T700" s="82"/>
      <c r="U700" s="82"/>
      <c r="V700" s="80" t="s">
        <v>13</v>
      </c>
      <c r="W700" s="81" t="s">
        <v>1280</v>
      </c>
    </row>
    <row r="701">
      <c r="A701" s="77"/>
      <c r="B701" s="77"/>
      <c r="P701" s="78" t="s">
        <v>1332</v>
      </c>
      <c r="Q701" s="79"/>
      <c r="R701" s="79"/>
      <c r="S701" s="79"/>
      <c r="T701" s="79"/>
      <c r="U701" s="79"/>
      <c r="V701" s="80" t="s">
        <v>13</v>
      </c>
      <c r="W701" s="78" t="s">
        <v>1280</v>
      </c>
    </row>
    <row r="702">
      <c r="A702" s="77"/>
      <c r="B702" s="77"/>
      <c r="P702" s="81" t="s">
        <v>1333</v>
      </c>
      <c r="Q702" s="82"/>
      <c r="R702" s="82"/>
      <c r="S702" s="82"/>
      <c r="T702" s="82"/>
      <c r="U702" s="82"/>
      <c r="V702" s="80" t="s">
        <v>13</v>
      </c>
      <c r="W702" s="81" t="s">
        <v>1280</v>
      </c>
    </row>
    <row r="703">
      <c r="A703" s="77"/>
      <c r="B703" s="77"/>
      <c r="P703" s="78" t="s">
        <v>1334</v>
      </c>
      <c r="Q703" s="79"/>
      <c r="R703" s="79"/>
      <c r="S703" s="79"/>
      <c r="T703" s="79"/>
      <c r="U703" s="79"/>
      <c r="V703" s="80" t="s">
        <v>13</v>
      </c>
      <c r="W703" s="78" t="s">
        <v>1280</v>
      </c>
    </row>
    <row r="704">
      <c r="A704" s="77"/>
      <c r="B704" s="77"/>
      <c r="P704" s="81" t="s">
        <v>1335</v>
      </c>
      <c r="Q704" s="82"/>
      <c r="R704" s="82"/>
      <c r="S704" s="82"/>
      <c r="T704" s="82"/>
      <c r="U704" s="82"/>
      <c r="V704" s="80" t="s">
        <v>13</v>
      </c>
      <c r="W704" s="81" t="s">
        <v>1280</v>
      </c>
    </row>
    <row r="705">
      <c r="A705" s="77"/>
      <c r="B705" s="77"/>
      <c r="P705" s="78" t="s">
        <v>1336</v>
      </c>
      <c r="Q705" s="79"/>
      <c r="R705" s="79"/>
      <c r="S705" s="79"/>
      <c r="T705" s="79"/>
      <c r="U705" s="79"/>
      <c r="V705" s="80" t="s">
        <v>13</v>
      </c>
      <c r="W705" s="78" t="s">
        <v>1280</v>
      </c>
    </row>
    <row r="706">
      <c r="A706" s="77"/>
      <c r="B706" s="77"/>
      <c r="P706" s="81" t="s">
        <v>1337</v>
      </c>
      <c r="Q706" s="82"/>
      <c r="R706" s="82"/>
      <c r="S706" s="82"/>
      <c r="T706" s="82"/>
      <c r="U706" s="82"/>
      <c r="V706" s="80" t="s">
        <v>13</v>
      </c>
      <c r="W706" s="81" t="s">
        <v>1280</v>
      </c>
    </row>
    <row r="707">
      <c r="A707" s="77"/>
      <c r="B707" s="77"/>
      <c r="P707" s="78" t="s">
        <v>1338</v>
      </c>
      <c r="Q707" s="79"/>
      <c r="R707" s="79"/>
      <c r="S707" s="79"/>
      <c r="T707" s="79"/>
      <c r="U707" s="79"/>
      <c r="V707" s="80" t="s">
        <v>13</v>
      </c>
      <c r="W707" s="78" t="s">
        <v>1280</v>
      </c>
    </row>
    <row r="708">
      <c r="A708" s="77"/>
      <c r="B708" s="77"/>
      <c r="P708" s="81" t="s">
        <v>1339</v>
      </c>
      <c r="Q708" s="82"/>
      <c r="R708" s="82"/>
      <c r="S708" s="82"/>
      <c r="T708" s="82"/>
      <c r="U708" s="82"/>
      <c r="V708" s="80" t="s">
        <v>13</v>
      </c>
      <c r="W708" s="81" t="s">
        <v>1280</v>
      </c>
    </row>
    <row r="709">
      <c r="A709" s="77"/>
      <c r="B709" s="77"/>
      <c r="P709" s="78" t="s">
        <v>1340</v>
      </c>
      <c r="Q709" s="79"/>
      <c r="R709" s="79"/>
      <c r="S709" s="79"/>
      <c r="T709" s="79"/>
      <c r="U709" s="79"/>
      <c r="V709" s="80" t="s">
        <v>13</v>
      </c>
      <c r="W709" s="78" t="s">
        <v>1280</v>
      </c>
    </row>
    <row r="710">
      <c r="A710" s="77"/>
      <c r="B710" s="77"/>
      <c r="P710" s="81" t="s">
        <v>1341</v>
      </c>
      <c r="Q710" s="82"/>
      <c r="R710" s="82"/>
      <c r="S710" s="82"/>
      <c r="T710" s="82"/>
      <c r="U710" s="82"/>
      <c r="V710" s="80" t="s">
        <v>13</v>
      </c>
      <c r="W710" s="81" t="s">
        <v>1280</v>
      </c>
    </row>
    <row r="711">
      <c r="A711" s="77"/>
      <c r="B711" s="77"/>
      <c r="P711" s="78" t="s">
        <v>1342</v>
      </c>
      <c r="Q711" s="79"/>
      <c r="R711" s="79"/>
      <c r="S711" s="79"/>
      <c r="T711" s="79"/>
      <c r="U711" s="79"/>
      <c r="V711" s="80" t="s">
        <v>13</v>
      </c>
      <c r="W711" s="78" t="s">
        <v>1280</v>
      </c>
    </row>
    <row r="712">
      <c r="A712" s="77"/>
      <c r="B712" s="77"/>
      <c r="P712" s="81" t="s">
        <v>1343</v>
      </c>
      <c r="Q712" s="82"/>
      <c r="R712" s="82"/>
      <c r="S712" s="82"/>
      <c r="T712" s="82"/>
      <c r="U712" s="82"/>
      <c r="V712" s="80" t="s">
        <v>13</v>
      </c>
      <c r="W712" s="81" t="s">
        <v>1280</v>
      </c>
    </row>
    <row r="713">
      <c r="A713" s="77"/>
      <c r="B713" s="77"/>
      <c r="P713" s="78" t="s">
        <v>1344</v>
      </c>
      <c r="Q713" s="79"/>
      <c r="R713" s="79"/>
      <c r="S713" s="79"/>
      <c r="T713" s="79"/>
      <c r="U713" s="79"/>
      <c r="V713" s="80" t="s">
        <v>13</v>
      </c>
      <c r="W713" s="78" t="s">
        <v>1280</v>
      </c>
    </row>
    <row r="714">
      <c r="A714" s="77"/>
      <c r="B714" s="77"/>
      <c r="P714" s="81" t="s">
        <v>1345</v>
      </c>
      <c r="Q714" s="82"/>
      <c r="R714" s="82"/>
      <c r="S714" s="82"/>
      <c r="T714" s="82"/>
      <c r="U714" s="82"/>
      <c r="V714" s="80" t="s">
        <v>13</v>
      </c>
      <c r="W714" s="81" t="s">
        <v>1280</v>
      </c>
    </row>
    <row r="715">
      <c r="A715" s="77"/>
      <c r="B715" s="77"/>
      <c r="P715" s="78" t="s">
        <v>1346</v>
      </c>
      <c r="Q715" s="79"/>
      <c r="R715" s="79"/>
      <c r="S715" s="79"/>
      <c r="T715" s="79"/>
      <c r="U715" s="79"/>
      <c r="V715" s="80" t="s">
        <v>13</v>
      </c>
      <c r="W715" s="78" t="s">
        <v>1280</v>
      </c>
    </row>
    <row r="716">
      <c r="A716" s="77"/>
      <c r="B716" s="77"/>
      <c r="P716" s="81" t="s">
        <v>1347</v>
      </c>
      <c r="Q716" s="82"/>
      <c r="R716" s="82"/>
      <c r="S716" s="82"/>
      <c r="T716" s="82"/>
      <c r="U716" s="82"/>
      <c r="V716" s="80" t="s">
        <v>13</v>
      </c>
      <c r="W716" s="81" t="s">
        <v>1280</v>
      </c>
    </row>
    <row r="717">
      <c r="A717" s="77"/>
      <c r="B717" s="77"/>
      <c r="P717" s="78" t="s">
        <v>1348</v>
      </c>
      <c r="Q717" s="79"/>
      <c r="R717" s="79"/>
      <c r="S717" s="79"/>
      <c r="T717" s="79"/>
      <c r="U717" s="79"/>
      <c r="V717" s="80" t="s">
        <v>13</v>
      </c>
      <c r="W717" s="78" t="s">
        <v>1280</v>
      </c>
    </row>
    <row r="718">
      <c r="A718" s="77"/>
      <c r="B718" s="77"/>
      <c r="P718" s="81" t="s">
        <v>1349</v>
      </c>
      <c r="Q718" s="82"/>
      <c r="R718" s="82"/>
      <c r="S718" s="82"/>
      <c r="T718" s="82"/>
      <c r="U718" s="82"/>
      <c r="V718" s="80" t="s">
        <v>13</v>
      </c>
      <c r="W718" s="81" t="s">
        <v>1280</v>
      </c>
    </row>
    <row r="719">
      <c r="A719" s="77"/>
      <c r="B719" s="77"/>
      <c r="P719" s="78" t="s">
        <v>1350</v>
      </c>
      <c r="Q719" s="79"/>
      <c r="R719" s="79"/>
      <c r="S719" s="79"/>
      <c r="T719" s="79"/>
      <c r="U719" s="79"/>
      <c r="V719" s="80" t="s">
        <v>13</v>
      </c>
      <c r="W719" s="78" t="s">
        <v>1280</v>
      </c>
    </row>
    <row r="720">
      <c r="A720" s="77"/>
      <c r="B720" s="77"/>
      <c r="P720" s="81" t="s">
        <v>1351</v>
      </c>
      <c r="Q720" s="82"/>
      <c r="R720" s="82"/>
      <c r="S720" s="82"/>
      <c r="T720" s="82"/>
      <c r="U720" s="82"/>
      <c r="V720" s="80" t="s">
        <v>13</v>
      </c>
      <c r="W720" s="81" t="s">
        <v>1280</v>
      </c>
    </row>
    <row r="721">
      <c r="A721" s="77"/>
      <c r="B721" s="77"/>
      <c r="P721" s="78" t="s">
        <v>1352</v>
      </c>
      <c r="Q721" s="79"/>
      <c r="R721" s="79"/>
      <c r="S721" s="79"/>
      <c r="T721" s="79"/>
      <c r="U721" s="79"/>
      <c r="V721" s="80" t="s">
        <v>13</v>
      </c>
      <c r="W721" s="78" t="s">
        <v>1280</v>
      </c>
    </row>
    <row r="722">
      <c r="A722" s="77"/>
      <c r="B722" s="77"/>
      <c r="P722" s="81" t="s">
        <v>1353</v>
      </c>
      <c r="Q722" s="82"/>
      <c r="R722" s="82"/>
      <c r="S722" s="82"/>
      <c r="T722" s="82"/>
      <c r="U722" s="82"/>
      <c r="V722" s="80" t="s">
        <v>13</v>
      </c>
      <c r="W722" s="81" t="s">
        <v>1280</v>
      </c>
    </row>
    <row r="723">
      <c r="A723" s="77"/>
      <c r="B723" s="77"/>
    </row>
    <row r="724">
      <c r="A724" s="77"/>
      <c r="B724" s="77"/>
    </row>
    <row r="725">
      <c r="A725" s="77"/>
      <c r="B725" s="77"/>
    </row>
    <row r="726">
      <c r="A726" s="77"/>
      <c r="B726" s="77"/>
    </row>
    <row r="727">
      <c r="A727" s="77"/>
      <c r="B727" s="77"/>
    </row>
    <row r="728">
      <c r="A728" s="77"/>
      <c r="B728" s="77"/>
    </row>
    <row r="729">
      <c r="A729" s="77"/>
      <c r="B729" s="77"/>
    </row>
    <row r="730">
      <c r="A730" s="77"/>
      <c r="B730" s="77"/>
    </row>
    <row r="731">
      <c r="A731" s="77"/>
      <c r="B731" s="77"/>
    </row>
    <row r="732">
      <c r="A732" s="77"/>
      <c r="B732" s="77"/>
    </row>
    <row r="733">
      <c r="A733" s="77"/>
      <c r="B733" s="77"/>
    </row>
    <row r="734">
      <c r="A734" s="77"/>
      <c r="B734" s="77"/>
    </row>
    <row r="735">
      <c r="A735" s="77"/>
      <c r="B735" s="77"/>
    </row>
    <row r="736">
      <c r="A736" s="77"/>
      <c r="B736" s="77"/>
    </row>
    <row r="737">
      <c r="A737" s="77"/>
      <c r="B737" s="77"/>
    </row>
    <row r="738">
      <c r="A738" s="77"/>
      <c r="B738" s="77"/>
    </row>
    <row r="739">
      <c r="A739" s="77"/>
      <c r="B739" s="77"/>
    </row>
    <row r="740">
      <c r="A740" s="77"/>
      <c r="B740" s="77"/>
    </row>
    <row r="741">
      <c r="A741" s="77"/>
      <c r="B741" s="77"/>
    </row>
    <row r="742">
      <c r="A742" s="77"/>
      <c r="B742" s="77"/>
    </row>
    <row r="743">
      <c r="A743" s="77"/>
      <c r="B743" s="77"/>
    </row>
    <row r="744">
      <c r="A744" s="77"/>
      <c r="B744" s="77"/>
    </row>
    <row r="745">
      <c r="A745" s="77"/>
      <c r="B745" s="77"/>
    </row>
    <row r="746">
      <c r="A746" s="77"/>
      <c r="B746" s="77"/>
    </row>
    <row r="747">
      <c r="A747" s="77"/>
      <c r="B747" s="77"/>
    </row>
    <row r="748">
      <c r="A748" s="77"/>
      <c r="B748" s="77"/>
    </row>
    <row r="749">
      <c r="A749" s="77"/>
      <c r="B749" s="77"/>
    </row>
    <row r="750">
      <c r="A750" s="77"/>
      <c r="B750" s="77"/>
    </row>
    <row r="751">
      <c r="A751" s="77"/>
      <c r="B751" s="77"/>
    </row>
    <row r="752">
      <c r="A752" s="77"/>
      <c r="B752" s="77"/>
    </row>
    <row r="753">
      <c r="A753" s="77"/>
      <c r="B753" s="77"/>
    </row>
    <row r="754">
      <c r="A754" s="77"/>
      <c r="B754" s="77"/>
    </row>
    <row r="755">
      <c r="A755" s="77"/>
      <c r="B755" s="77"/>
    </row>
    <row r="756">
      <c r="A756" s="77"/>
      <c r="B756" s="77"/>
    </row>
    <row r="757">
      <c r="A757" s="77"/>
      <c r="B757" s="77"/>
    </row>
    <row r="758">
      <c r="A758" s="77"/>
      <c r="B758" s="77"/>
    </row>
    <row r="759">
      <c r="A759" s="77"/>
      <c r="B759" s="77"/>
    </row>
    <row r="760">
      <c r="A760" s="77"/>
      <c r="B760" s="77"/>
    </row>
    <row r="761">
      <c r="A761" s="77"/>
      <c r="B761" s="77"/>
    </row>
    <row r="762">
      <c r="A762" s="77"/>
      <c r="B762" s="77"/>
    </row>
    <row r="763">
      <c r="A763" s="77"/>
      <c r="B763" s="77"/>
    </row>
    <row r="764">
      <c r="A764" s="77"/>
      <c r="B764" s="77"/>
    </row>
    <row r="765">
      <c r="A765" s="77"/>
      <c r="B765" s="77"/>
    </row>
    <row r="766">
      <c r="A766" s="77"/>
      <c r="B766" s="77"/>
    </row>
    <row r="767">
      <c r="A767" s="77"/>
      <c r="B767" s="77"/>
    </row>
    <row r="768">
      <c r="A768" s="77"/>
      <c r="B768" s="77"/>
    </row>
    <row r="769">
      <c r="A769" s="77"/>
      <c r="B769" s="77"/>
    </row>
    <row r="770">
      <c r="A770" s="77"/>
      <c r="B770" s="77"/>
    </row>
    <row r="771">
      <c r="A771" s="77"/>
      <c r="B771" s="77"/>
    </row>
    <row r="772">
      <c r="A772" s="77"/>
      <c r="B772" s="77"/>
    </row>
    <row r="773">
      <c r="A773" s="77"/>
      <c r="B773" s="77"/>
    </row>
    <row r="774">
      <c r="A774" s="77"/>
      <c r="B774" s="77"/>
    </row>
    <row r="775">
      <c r="A775" s="77"/>
      <c r="B775" s="77"/>
    </row>
    <row r="776">
      <c r="A776" s="77"/>
      <c r="B776" s="77"/>
    </row>
    <row r="777">
      <c r="A777" s="77"/>
      <c r="B777" s="77"/>
    </row>
    <row r="778">
      <c r="A778" s="77"/>
      <c r="B778" s="77"/>
    </row>
    <row r="779">
      <c r="A779" s="77"/>
      <c r="B779" s="77"/>
    </row>
    <row r="780">
      <c r="A780" s="77"/>
      <c r="B780" s="77"/>
    </row>
    <row r="781">
      <c r="A781" s="77"/>
      <c r="B781" s="77"/>
    </row>
    <row r="782">
      <c r="A782" s="77"/>
      <c r="B782" s="77"/>
    </row>
    <row r="783">
      <c r="A783" s="77"/>
      <c r="B783" s="77"/>
    </row>
    <row r="784">
      <c r="A784" s="77"/>
      <c r="B784" s="77"/>
    </row>
    <row r="785">
      <c r="A785" s="77"/>
      <c r="B785" s="77"/>
    </row>
    <row r="786">
      <c r="A786" s="77"/>
      <c r="B786" s="77"/>
    </row>
    <row r="787">
      <c r="A787" s="77"/>
      <c r="B787" s="77"/>
    </row>
    <row r="788">
      <c r="A788" s="77"/>
      <c r="B788" s="77"/>
    </row>
    <row r="789">
      <c r="A789" s="77"/>
      <c r="B789" s="77"/>
    </row>
    <row r="790">
      <c r="A790" s="77"/>
      <c r="B790" s="77"/>
    </row>
    <row r="791">
      <c r="A791" s="77"/>
      <c r="B791" s="77"/>
    </row>
    <row r="792">
      <c r="A792" s="77"/>
      <c r="B792" s="77"/>
    </row>
    <row r="793">
      <c r="A793" s="77"/>
      <c r="B793" s="77"/>
    </row>
    <row r="794">
      <c r="A794" s="77"/>
      <c r="B794" s="77"/>
    </row>
    <row r="795">
      <c r="A795" s="77"/>
      <c r="B795" s="77"/>
    </row>
    <row r="796">
      <c r="A796" s="77"/>
      <c r="B796" s="77"/>
    </row>
    <row r="797">
      <c r="A797" s="77"/>
      <c r="B797" s="77"/>
    </row>
    <row r="798">
      <c r="A798" s="77"/>
      <c r="B798" s="77"/>
    </row>
    <row r="799">
      <c r="A799" s="77"/>
      <c r="B799" s="77"/>
    </row>
    <row r="800">
      <c r="A800" s="77"/>
      <c r="B800" s="77"/>
    </row>
    <row r="801">
      <c r="A801" s="77"/>
      <c r="B801" s="77"/>
    </row>
    <row r="802">
      <c r="A802" s="77"/>
      <c r="B802" s="77"/>
    </row>
    <row r="803">
      <c r="A803" s="77"/>
      <c r="B803" s="77"/>
    </row>
    <row r="804">
      <c r="A804" s="77"/>
      <c r="B804" s="77"/>
    </row>
    <row r="805">
      <c r="A805" s="77"/>
      <c r="B805" s="77"/>
    </row>
    <row r="806">
      <c r="A806" s="77"/>
      <c r="B806" s="77"/>
    </row>
    <row r="807">
      <c r="A807" s="77"/>
      <c r="B807" s="77"/>
    </row>
    <row r="808">
      <c r="A808" s="77"/>
      <c r="B808" s="77"/>
    </row>
    <row r="809">
      <c r="A809" s="77"/>
      <c r="B809" s="77"/>
    </row>
    <row r="810">
      <c r="A810" s="77"/>
      <c r="B810" s="77"/>
    </row>
    <row r="811">
      <c r="A811" s="77"/>
      <c r="B811" s="77"/>
    </row>
    <row r="812">
      <c r="A812" s="77"/>
      <c r="B812" s="77"/>
    </row>
    <row r="813">
      <c r="A813" s="77"/>
      <c r="B813" s="77"/>
    </row>
    <row r="814">
      <c r="A814" s="77"/>
      <c r="B814" s="77"/>
    </row>
    <row r="815">
      <c r="A815" s="77"/>
      <c r="B815" s="77"/>
    </row>
    <row r="816">
      <c r="A816" s="77"/>
      <c r="B816" s="77"/>
    </row>
    <row r="817">
      <c r="A817" s="77"/>
      <c r="B817" s="77"/>
    </row>
    <row r="818">
      <c r="A818" s="77"/>
      <c r="B818" s="77"/>
    </row>
    <row r="819">
      <c r="A819" s="77"/>
      <c r="B819" s="77"/>
    </row>
    <row r="820">
      <c r="A820" s="77"/>
      <c r="B820" s="77"/>
    </row>
    <row r="821">
      <c r="A821" s="77"/>
      <c r="B821" s="77"/>
    </row>
    <row r="822">
      <c r="A822" s="77"/>
      <c r="B822" s="77"/>
    </row>
    <row r="823">
      <c r="A823" s="77"/>
      <c r="B823" s="77"/>
    </row>
    <row r="824">
      <c r="A824" s="77"/>
      <c r="B824" s="77"/>
    </row>
    <row r="825">
      <c r="A825" s="77"/>
      <c r="B825" s="77"/>
    </row>
    <row r="826">
      <c r="A826" s="77"/>
      <c r="B826" s="77"/>
    </row>
    <row r="827">
      <c r="A827" s="77"/>
      <c r="B827" s="77"/>
    </row>
    <row r="828">
      <c r="A828" s="77"/>
      <c r="B828" s="77"/>
    </row>
    <row r="829">
      <c r="A829" s="77"/>
      <c r="B829" s="77"/>
    </row>
    <row r="830">
      <c r="A830" s="77"/>
      <c r="B830" s="77"/>
    </row>
    <row r="831">
      <c r="A831" s="77"/>
      <c r="B831" s="77"/>
    </row>
    <row r="832">
      <c r="A832" s="77"/>
      <c r="B832" s="77"/>
    </row>
    <row r="833">
      <c r="A833" s="77"/>
      <c r="B833" s="77"/>
    </row>
    <row r="834">
      <c r="A834" s="77"/>
      <c r="B834" s="77"/>
    </row>
    <row r="835">
      <c r="A835" s="77"/>
      <c r="B835" s="77"/>
    </row>
    <row r="836">
      <c r="A836" s="77"/>
      <c r="B836" s="77"/>
    </row>
    <row r="837">
      <c r="A837" s="77"/>
      <c r="B837" s="77"/>
    </row>
    <row r="838">
      <c r="A838" s="77"/>
      <c r="B838" s="77"/>
    </row>
    <row r="839">
      <c r="A839" s="77"/>
      <c r="B839" s="77"/>
    </row>
    <row r="840">
      <c r="A840" s="77"/>
      <c r="B840" s="77"/>
    </row>
    <row r="841">
      <c r="A841" s="77"/>
      <c r="B841" s="77"/>
    </row>
    <row r="842">
      <c r="A842" s="77"/>
      <c r="B842" s="77"/>
    </row>
    <row r="843">
      <c r="A843" s="77"/>
      <c r="B843" s="77"/>
    </row>
    <row r="844">
      <c r="A844" s="77"/>
      <c r="B844" s="77"/>
    </row>
    <row r="845">
      <c r="A845" s="77"/>
      <c r="B845" s="77"/>
    </row>
    <row r="846">
      <c r="A846" s="77"/>
      <c r="B846" s="77"/>
    </row>
    <row r="847">
      <c r="A847" s="77"/>
      <c r="B847" s="77"/>
    </row>
    <row r="848">
      <c r="A848" s="77"/>
      <c r="B848" s="77"/>
    </row>
    <row r="849">
      <c r="A849" s="77"/>
      <c r="B849" s="77"/>
    </row>
    <row r="850">
      <c r="A850" s="77"/>
      <c r="B850" s="77"/>
    </row>
    <row r="851">
      <c r="A851" s="77"/>
      <c r="B851" s="77"/>
    </row>
    <row r="852">
      <c r="A852" s="77"/>
      <c r="B852" s="77"/>
    </row>
    <row r="853">
      <c r="A853" s="77"/>
      <c r="B853" s="77"/>
    </row>
    <row r="854">
      <c r="A854" s="77"/>
      <c r="B854" s="77"/>
    </row>
    <row r="855">
      <c r="A855" s="77"/>
      <c r="B855" s="77"/>
    </row>
    <row r="856">
      <c r="A856" s="77"/>
      <c r="B856" s="77"/>
    </row>
    <row r="857">
      <c r="A857" s="77"/>
      <c r="B857" s="77"/>
    </row>
    <row r="858">
      <c r="A858" s="77"/>
      <c r="B858" s="77"/>
    </row>
    <row r="859">
      <c r="A859" s="77"/>
      <c r="B859" s="77"/>
    </row>
    <row r="860">
      <c r="A860" s="77"/>
      <c r="B860" s="77"/>
    </row>
    <row r="861">
      <c r="A861" s="77"/>
      <c r="B861" s="77"/>
    </row>
    <row r="862">
      <c r="A862" s="77"/>
      <c r="B862" s="77"/>
    </row>
    <row r="863">
      <c r="A863" s="77"/>
      <c r="B863" s="77"/>
    </row>
    <row r="864">
      <c r="A864" s="77"/>
      <c r="B864" s="77"/>
    </row>
    <row r="865">
      <c r="A865" s="77"/>
      <c r="B865" s="77"/>
    </row>
    <row r="866">
      <c r="A866" s="77"/>
      <c r="B866" s="77"/>
    </row>
    <row r="867">
      <c r="A867" s="77"/>
      <c r="B867" s="77"/>
    </row>
    <row r="868">
      <c r="A868" s="77"/>
      <c r="B868" s="77"/>
    </row>
    <row r="869">
      <c r="A869" s="77"/>
      <c r="B869" s="77"/>
    </row>
    <row r="870">
      <c r="A870" s="77"/>
      <c r="B870" s="77"/>
    </row>
    <row r="871">
      <c r="A871" s="77"/>
      <c r="B871" s="77"/>
    </row>
    <row r="872">
      <c r="A872" s="77"/>
      <c r="B872" s="77"/>
    </row>
    <row r="873">
      <c r="A873" s="77"/>
      <c r="B873" s="77"/>
    </row>
    <row r="874">
      <c r="A874" s="77"/>
      <c r="B874" s="77"/>
    </row>
    <row r="875">
      <c r="A875" s="77"/>
      <c r="B875" s="77"/>
    </row>
    <row r="876">
      <c r="A876" s="77"/>
      <c r="B876" s="77"/>
    </row>
    <row r="877">
      <c r="A877" s="77"/>
      <c r="B877" s="77"/>
    </row>
    <row r="878">
      <c r="A878" s="77"/>
      <c r="B878" s="77"/>
    </row>
    <row r="879">
      <c r="A879" s="77"/>
      <c r="B879" s="77"/>
    </row>
    <row r="880">
      <c r="A880" s="77"/>
      <c r="B880" s="77"/>
    </row>
    <row r="881">
      <c r="A881" s="77"/>
      <c r="B881" s="77"/>
    </row>
    <row r="882">
      <c r="A882" s="77"/>
      <c r="B882" s="77"/>
    </row>
    <row r="883">
      <c r="A883" s="77"/>
      <c r="B883" s="77"/>
    </row>
    <row r="884">
      <c r="A884" s="77"/>
      <c r="B884" s="77"/>
    </row>
    <row r="885">
      <c r="A885" s="77"/>
      <c r="B885" s="77"/>
    </row>
    <row r="886">
      <c r="A886" s="77"/>
      <c r="B886" s="77"/>
    </row>
    <row r="887">
      <c r="A887" s="77"/>
      <c r="B887" s="77"/>
    </row>
    <row r="888">
      <c r="A888" s="77"/>
      <c r="B888" s="77"/>
    </row>
    <row r="889">
      <c r="A889" s="77"/>
      <c r="B889" s="77"/>
    </row>
    <row r="890">
      <c r="A890" s="77"/>
      <c r="B890" s="77"/>
    </row>
    <row r="891">
      <c r="A891" s="77"/>
      <c r="B891" s="77"/>
    </row>
    <row r="892">
      <c r="A892" s="77"/>
      <c r="B892" s="77"/>
    </row>
    <row r="893">
      <c r="A893" s="77"/>
      <c r="B893" s="77"/>
    </row>
    <row r="894">
      <c r="A894" s="77"/>
      <c r="B894" s="77"/>
    </row>
    <row r="895">
      <c r="A895" s="77"/>
      <c r="B895" s="77"/>
    </row>
    <row r="896">
      <c r="A896" s="77"/>
      <c r="B896" s="77"/>
    </row>
    <row r="897">
      <c r="A897" s="77"/>
      <c r="B897" s="77"/>
    </row>
    <row r="898">
      <c r="A898" s="77"/>
      <c r="B898" s="77"/>
    </row>
    <row r="899">
      <c r="A899" s="77"/>
      <c r="B899" s="77"/>
    </row>
    <row r="900">
      <c r="A900" s="77"/>
      <c r="B900" s="77"/>
    </row>
    <row r="901">
      <c r="A901" s="77"/>
      <c r="B901" s="77"/>
    </row>
    <row r="902">
      <c r="A902" s="77"/>
      <c r="B902" s="77"/>
    </row>
    <row r="903">
      <c r="A903" s="77"/>
      <c r="B903" s="77"/>
    </row>
    <row r="904">
      <c r="A904" s="77"/>
      <c r="B904" s="77"/>
    </row>
    <row r="905">
      <c r="A905" s="77"/>
      <c r="B905" s="77"/>
    </row>
    <row r="906">
      <c r="A906" s="77"/>
      <c r="B906" s="77"/>
    </row>
    <row r="907">
      <c r="A907" s="77"/>
      <c r="B907" s="77"/>
    </row>
    <row r="908">
      <c r="A908" s="77"/>
      <c r="B908" s="77"/>
    </row>
    <row r="909">
      <c r="A909" s="77"/>
      <c r="B909" s="77"/>
    </row>
    <row r="910">
      <c r="A910" s="77"/>
      <c r="B910" s="77"/>
    </row>
    <row r="911">
      <c r="A911" s="77"/>
      <c r="B911" s="77"/>
    </row>
    <row r="912">
      <c r="A912" s="77"/>
      <c r="B912" s="77"/>
    </row>
    <row r="913">
      <c r="A913" s="77"/>
      <c r="B913" s="77"/>
    </row>
    <row r="914">
      <c r="A914" s="77"/>
      <c r="B914" s="77"/>
    </row>
    <row r="915">
      <c r="A915" s="77"/>
      <c r="B915" s="77"/>
    </row>
    <row r="916">
      <c r="A916" s="77"/>
      <c r="B916" s="77"/>
    </row>
    <row r="917">
      <c r="A917" s="77"/>
      <c r="B917" s="77"/>
    </row>
    <row r="918">
      <c r="A918" s="77"/>
      <c r="B918" s="77"/>
    </row>
    <row r="919">
      <c r="A919" s="77"/>
      <c r="B919" s="77"/>
    </row>
    <row r="920">
      <c r="A920" s="77"/>
      <c r="B920" s="77"/>
    </row>
    <row r="921">
      <c r="A921" s="77"/>
      <c r="B921" s="77"/>
    </row>
    <row r="922">
      <c r="A922" s="77"/>
      <c r="B922" s="77"/>
    </row>
    <row r="923">
      <c r="A923" s="77"/>
      <c r="B923" s="77"/>
    </row>
    <row r="924">
      <c r="A924" s="77"/>
      <c r="B924" s="77"/>
    </row>
    <row r="925">
      <c r="A925" s="77"/>
      <c r="B925" s="77"/>
    </row>
    <row r="926">
      <c r="A926" s="77"/>
      <c r="B926" s="77"/>
    </row>
    <row r="927">
      <c r="A927" s="77"/>
      <c r="B927" s="77"/>
    </row>
    <row r="928">
      <c r="A928" s="77"/>
      <c r="B928" s="77"/>
    </row>
    <row r="929">
      <c r="A929" s="77"/>
      <c r="B929" s="77"/>
    </row>
    <row r="930">
      <c r="A930" s="77"/>
      <c r="B930" s="77"/>
    </row>
    <row r="931">
      <c r="A931" s="77"/>
      <c r="B931" s="77"/>
    </row>
    <row r="932">
      <c r="A932" s="77"/>
      <c r="B932" s="77"/>
    </row>
    <row r="933">
      <c r="A933" s="77"/>
      <c r="B933" s="77"/>
    </row>
    <row r="934">
      <c r="A934" s="77"/>
      <c r="B934" s="77"/>
    </row>
    <row r="935">
      <c r="A935" s="77"/>
      <c r="B935" s="77"/>
    </row>
    <row r="936">
      <c r="A936" s="77"/>
      <c r="B936" s="77"/>
    </row>
    <row r="937">
      <c r="A937" s="77"/>
      <c r="B937" s="77"/>
    </row>
    <row r="938">
      <c r="A938" s="77"/>
      <c r="B938" s="77"/>
    </row>
    <row r="939">
      <c r="A939" s="77"/>
      <c r="B939" s="77"/>
    </row>
    <row r="940">
      <c r="A940" s="77"/>
      <c r="B940" s="77"/>
    </row>
    <row r="941">
      <c r="A941" s="77"/>
      <c r="B941" s="77"/>
    </row>
    <row r="942">
      <c r="A942" s="77"/>
      <c r="B942" s="77"/>
    </row>
    <row r="943">
      <c r="A943" s="77"/>
      <c r="B943" s="77"/>
    </row>
    <row r="944">
      <c r="A944" s="77"/>
      <c r="B944" s="77"/>
    </row>
    <row r="945">
      <c r="A945" s="77"/>
      <c r="B945" s="77"/>
    </row>
    <row r="946">
      <c r="A946" s="77"/>
      <c r="B946" s="77"/>
    </row>
    <row r="947">
      <c r="A947" s="77"/>
      <c r="B947" s="77"/>
    </row>
    <row r="948">
      <c r="A948" s="77"/>
      <c r="B948" s="77"/>
    </row>
    <row r="949">
      <c r="A949" s="77"/>
      <c r="B949" s="77"/>
    </row>
    <row r="950">
      <c r="A950" s="77"/>
      <c r="B950" s="77"/>
    </row>
    <row r="951">
      <c r="A951" s="77"/>
      <c r="B951" s="77"/>
    </row>
    <row r="952">
      <c r="A952" s="77"/>
      <c r="B952" s="77"/>
    </row>
    <row r="953">
      <c r="A953" s="77"/>
      <c r="B953" s="77"/>
    </row>
    <row r="954">
      <c r="A954" s="77"/>
      <c r="B954" s="77"/>
    </row>
    <row r="955">
      <c r="A955" s="77"/>
      <c r="B955" s="77"/>
    </row>
    <row r="956">
      <c r="A956" s="77"/>
      <c r="B956" s="77"/>
    </row>
    <row r="957">
      <c r="A957" s="77"/>
      <c r="B957" s="77"/>
    </row>
    <row r="958">
      <c r="A958" s="77"/>
      <c r="B958" s="77"/>
    </row>
    <row r="959">
      <c r="A959" s="77"/>
      <c r="B959" s="77"/>
    </row>
    <row r="960">
      <c r="A960" s="77"/>
      <c r="B960" s="77"/>
    </row>
    <row r="961">
      <c r="A961" s="77"/>
      <c r="B961" s="77"/>
    </row>
    <row r="962">
      <c r="A962" s="77"/>
      <c r="B962" s="77"/>
    </row>
    <row r="963">
      <c r="A963" s="77"/>
      <c r="B963" s="77"/>
    </row>
    <row r="964">
      <c r="A964" s="77"/>
      <c r="B964" s="77"/>
    </row>
    <row r="965">
      <c r="A965" s="77"/>
      <c r="B965" s="77"/>
    </row>
    <row r="966">
      <c r="A966" s="77"/>
      <c r="B966" s="77"/>
    </row>
    <row r="967">
      <c r="A967" s="77"/>
      <c r="B967" s="77"/>
    </row>
    <row r="968">
      <c r="A968" s="77"/>
      <c r="B968" s="77"/>
    </row>
    <row r="969">
      <c r="A969" s="77"/>
      <c r="B969" s="77"/>
    </row>
    <row r="970">
      <c r="A970" s="77"/>
      <c r="B970" s="77"/>
    </row>
    <row r="971">
      <c r="A971" s="77"/>
      <c r="B971" s="77"/>
    </row>
    <row r="972">
      <c r="A972" s="77"/>
      <c r="B972" s="77"/>
    </row>
    <row r="973">
      <c r="A973" s="77"/>
      <c r="B973" s="77"/>
    </row>
    <row r="974">
      <c r="A974" s="77"/>
      <c r="B974" s="77"/>
    </row>
    <row r="975">
      <c r="A975" s="77"/>
      <c r="B975" s="77"/>
    </row>
    <row r="976">
      <c r="A976" s="77"/>
      <c r="B976" s="77"/>
    </row>
    <row r="977">
      <c r="A977" s="77"/>
      <c r="B977" s="77"/>
    </row>
    <row r="978">
      <c r="A978" s="77"/>
      <c r="B978" s="77"/>
    </row>
    <row r="979">
      <c r="A979" s="77"/>
      <c r="B979" s="77"/>
    </row>
    <row r="980">
      <c r="A980" s="77"/>
      <c r="B980" s="77"/>
    </row>
    <row r="981">
      <c r="A981" s="77"/>
      <c r="B981" s="77"/>
    </row>
    <row r="982">
      <c r="A982" s="77"/>
      <c r="B982" s="77"/>
    </row>
    <row r="983">
      <c r="A983" s="77"/>
      <c r="B983" s="77"/>
    </row>
    <row r="984">
      <c r="A984" s="77"/>
      <c r="B984" s="77"/>
    </row>
    <row r="985">
      <c r="A985" s="77"/>
      <c r="B985" s="77"/>
    </row>
    <row r="986">
      <c r="A986" s="77"/>
      <c r="B986" s="77"/>
    </row>
    <row r="987">
      <c r="A987" s="77"/>
      <c r="B987" s="77"/>
    </row>
    <row r="988">
      <c r="A988" s="77"/>
      <c r="B988" s="77"/>
    </row>
    <row r="989">
      <c r="A989" s="77"/>
      <c r="B989" s="77"/>
    </row>
    <row r="990">
      <c r="A990" s="77"/>
      <c r="B990" s="77"/>
    </row>
    <row r="991">
      <c r="A991" s="77"/>
      <c r="B991" s="77"/>
    </row>
    <row r="992">
      <c r="A992" s="77"/>
      <c r="B992" s="77"/>
    </row>
    <row r="993">
      <c r="A993" s="77"/>
      <c r="B993" s="77"/>
    </row>
    <row r="994">
      <c r="A994" s="77"/>
      <c r="B994" s="77"/>
    </row>
    <row r="995">
      <c r="A995" s="77"/>
      <c r="B995" s="77"/>
    </row>
    <row r="996">
      <c r="A996" s="77"/>
      <c r="B996" s="77"/>
    </row>
    <row r="997">
      <c r="A997" s="77"/>
      <c r="B997" s="77"/>
    </row>
    <row r="998">
      <c r="A998" s="77"/>
      <c r="B998" s="77"/>
    </row>
    <row r="999">
      <c r="A999" s="77"/>
      <c r="B999" s="77"/>
    </row>
    <row r="1000">
      <c r="A1000" s="77"/>
      <c r="B1000" s="77"/>
    </row>
  </sheetData>
  <mergeCells count="13">
    <mergeCell ref="C9:I9"/>
    <mergeCell ref="C10:I10"/>
    <mergeCell ref="C11:I11"/>
    <mergeCell ref="B13:I13"/>
    <mergeCell ref="B14:I14"/>
    <mergeCell ref="B16:I16"/>
    <mergeCell ref="B1:I1"/>
    <mergeCell ref="B2:I2"/>
    <mergeCell ref="B4:I4"/>
    <mergeCell ref="C5:I5"/>
    <mergeCell ref="C6:I6"/>
    <mergeCell ref="C7:I7"/>
    <mergeCell ref="C8:I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2" t="s">
        <v>1354</v>
      </c>
      <c r="B1" s="2" t="s">
        <v>10</v>
      </c>
    </row>
    <row r="2">
      <c r="A2" s="83" t="s">
        <v>1355</v>
      </c>
      <c r="B2" s="2">
        <v>75.0</v>
      </c>
    </row>
    <row r="3">
      <c r="A3" s="83" t="s">
        <v>1356</v>
      </c>
      <c r="B3" s="2">
        <v>100.0</v>
      </c>
    </row>
    <row r="4">
      <c r="A4" s="83" t="s">
        <v>1357</v>
      </c>
      <c r="B4" s="2">
        <v>100.0</v>
      </c>
    </row>
    <row r="5">
      <c r="A5" s="83" t="s">
        <v>1358</v>
      </c>
      <c r="B5" s="2">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25"/>
    <col customWidth="1" min="9" max="9" width="16.38"/>
  </cols>
  <sheetData>
    <row r="1">
      <c r="A1" s="84" t="s">
        <v>1359</v>
      </c>
      <c r="B1" s="84" t="s">
        <v>1360</v>
      </c>
      <c r="C1" s="84" t="s">
        <v>1361</v>
      </c>
      <c r="D1" s="84" t="s">
        <v>1362</v>
      </c>
      <c r="E1" s="84" t="s">
        <v>1363</v>
      </c>
      <c r="F1" s="84" t="s">
        <v>1364</v>
      </c>
      <c r="G1" s="84" t="s">
        <v>1365</v>
      </c>
      <c r="H1" s="84" t="s">
        <v>1366</v>
      </c>
      <c r="I1" s="84" t="s">
        <v>1367</v>
      </c>
      <c r="J1" s="84" t="s">
        <v>1368</v>
      </c>
      <c r="K1" s="84" t="s">
        <v>1369</v>
      </c>
      <c r="L1" s="84" t="s">
        <v>1370</v>
      </c>
      <c r="M1" s="84" t="s">
        <v>1371</v>
      </c>
      <c r="N1" s="84" t="s">
        <v>7</v>
      </c>
      <c r="O1" s="84" t="s">
        <v>1372</v>
      </c>
      <c r="P1" s="84" t="s">
        <v>1373</v>
      </c>
      <c r="Q1" s="84" t="s">
        <v>1374</v>
      </c>
      <c r="R1" s="84" t="s">
        <v>1375</v>
      </c>
      <c r="S1" s="84" t="s">
        <v>1376</v>
      </c>
      <c r="T1" s="84" t="s">
        <v>1377</v>
      </c>
      <c r="U1" s="84" t="s">
        <v>1378</v>
      </c>
      <c r="V1" s="84" t="s">
        <v>1379</v>
      </c>
      <c r="W1" s="84" t="s">
        <v>1380</v>
      </c>
      <c r="X1" s="84" t="s">
        <v>1381</v>
      </c>
      <c r="Y1" s="84" t="s">
        <v>8</v>
      </c>
      <c r="Z1" s="84" t="s">
        <v>1382</v>
      </c>
      <c r="AA1" s="84" t="s">
        <v>1383</v>
      </c>
      <c r="AB1" s="84" t="s">
        <v>1384</v>
      </c>
      <c r="AC1" s="84" t="s">
        <v>1385</v>
      </c>
      <c r="AD1" s="84" t="s">
        <v>1386</v>
      </c>
      <c r="AE1" s="84" t="s">
        <v>1387</v>
      </c>
      <c r="AF1" s="84" t="s">
        <v>1388</v>
      </c>
      <c r="AG1" s="84" t="s">
        <v>1389</v>
      </c>
      <c r="AH1" s="84" t="s">
        <v>1390</v>
      </c>
      <c r="AI1" s="84" t="s">
        <v>1391</v>
      </c>
      <c r="AJ1" s="84" t="s">
        <v>1392</v>
      </c>
      <c r="AK1" s="84" t="s">
        <v>1393</v>
      </c>
      <c r="AL1" s="84" t="s">
        <v>1394</v>
      </c>
    </row>
    <row r="2">
      <c r="A2" s="84" t="s">
        <v>1395</v>
      </c>
      <c r="B2" s="84" t="s">
        <v>1395</v>
      </c>
      <c r="C2" s="85"/>
      <c r="D2" s="85"/>
      <c r="E2" s="86">
        <v>46310.0</v>
      </c>
      <c r="F2" s="87">
        <v>1.0</v>
      </c>
      <c r="G2" s="87">
        <v>0.0</v>
      </c>
      <c r="H2" s="87">
        <v>0.0</v>
      </c>
      <c r="I2" s="87">
        <v>0.0</v>
      </c>
      <c r="J2" s="87">
        <v>0.267857</v>
      </c>
      <c r="K2" s="87">
        <v>0.085145</v>
      </c>
      <c r="L2" s="87">
        <v>0.051957</v>
      </c>
      <c r="M2" s="87">
        <v>0.085145</v>
      </c>
      <c r="N2" s="87">
        <v>1.0</v>
      </c>
      <c r="O2" s="87">
        <v>0.085145</v>
      </c>
      <c r="P2" s="87">
        <v>0.085145</v>
      </c>
      <c r="Q2" s="87">
        <v>0.085145</v>
      </c>
      <c r="R2" s="87">
        <v>0.085145</v>
      </c>
      <c r="S2" s="87">
        <v>0.085145</v>
      </c>
      <c r="T2" s="87">
        <v>0.085145</v>
      </c>
      <c r="U2" s="87">
        <v>0.085145</v>
      </c>
      <c r="V2" s="87">
        <v>0.085145</v>
      </c>
      <c r="W2" s="87">
        <v>0.085145</v>
      </c>
      <c r="X2" s="87">
        <v>0.085145</v>
      </c>
      <c r="Y2" s="87">
        <v>0.085145</v>
      </c>
      <c r="Z2" s="87">
        <v>0.0</v>
      </c>
      <c r="AA2" s="87">
        <v>0.1</v>
      </c>
      <c r="AB2" s="87">
        <v>0.001517</v>
      </c>
      <c r="AC2" s="87">
        <v>0.004412</v>
      </c>
      <c r="AD2" s="87">
        <v>0.085145</v>
      </c>
      <c r="AE2" s="87">
        <v>0.085145</v>
      </c>
      <c r="AF2" s="87">
        <v>0.085145</v>
      </c>
      <c r="AG2" s="87">
        <v>0.085145</v>
      </c>
      <c r="AH2" s="87">
        <v>0.0</v>
      </c>
      <c r="AI2" s="87">
        <v>0.1</v>
      </c>
      <c r="AJ2" s="87">
        <v>0.001517</v>
      </c>
      <c r="AK2" s="87">
        <v>0.004412</v>
      </c>
      <c r="AL2" s="88" t="s">
        <v>1396</v>
      </c>
    </row>
    <row r="3">
      <c r="A3" s="84" t="s">
        <v>1397</v>
      </c>
      <c r="B3" s="84" t="s">
        <v>1397</v>
      </c>
      <c r="C3" s="85"/>
      <c r="D3" s="85"/>
      <c r="E3" s="84" t="s">
        <v>1398</v>
      </c>
      <c r="F3" s="87">
        <v>3.0</v>
      </c>
      <c r="G3" s="87">
        <v>0.0</v>
      </c>
      <c r="H3" s="87">
        <v>436.0</v>
      </c>
      <c r="I3" s="87">
        <v>0.0</v>
      </c>
      <c r="J3" s="87">
        <v>0.285714</v>
      </c>
      <c r="K3" s="87">
        <v>0.332258</v>
      </c>
      <c r="L3" s="87">
        <v>0.386348</v>
      </c>
      <c r="M3" s="87">
        <v>0.232258</v>
      </c>
      <c r="N3" s="87">
        <v>0.699029</v>
      </c>
      <c r="O3" s="87">
        <v>0.0</v>
      </c>
      <c r="P3" s="87">
        <v>0.0</v>
      </c>
      <c r="Q3" s="87">
        <v>0.0</v>
      </c>
      <c r="R3" s="87">
        <v>0.1</v>
      </c>
      <c r="S3" s="87">
        <v>0.232258</v>
      </c>
      <c r="T3" s="87">
        <v>0.1</v>
      </c>
      <c r="U3" s="87">
        <v>0.1</v>
      </c>
      <c r="V3" s="87">
        <v>0.1</v>
      </c>
      <c r="W3" s="87">
        <v>0.232258</v>
      </c>
      <c r="X3" s="87">
        <v>0.232258</v>
      </c>
      <c r="Y3" s="87">
        <v>0.110753</v>
      </c>
      <c r="Z3" s="87">
        <v>0.0</v>
      </c>
      <c r="AA3" s="87">
        <v>0.1</v>
      </c>
      <c r="AB3" s="87">
        <v>0.001517</v>
      </c>
      <c r="AC3" s="87">
        <v>0.004412</v>
      </c>
      <c r="AD3" s="87">
        <v>0.1</v>
      </c>
      <c r="AE3" s="87">
        <v>0.232258</v>
      </c>
      <c r="AF3" s="87">
        <v>0.110753</v>
      </c>
      <c r="AG3" s="87">
        <v>0.110753</v>
      </c>
      <c r="AH3" s="87">
        <v>0.0</v>
      </c>
      <c r="AI3" s="87">
        <v>0.1</v>
      </c>
      <c r="AJ3" s="87">
        <v>0.001517</v>
      </c>
      <c r="AK3" s="87">
        <v>0.004412</v>
      </c>
      <c r="AL3" s="88" t="s">
        <v>1396</v>
      </c>
    </row>
    <row r="4">
      <c r="A4" s="84" t="s">
        <v>1399</v>
      </c>
      <c r="B4" s="84" t="s">
        <v>1399</v>
      </c>
      <c r="C4" s="85"/>
      <c r="D4" s="85"/>
      <c r="E4" s="84" t="s">
        <v>1400</v>
      </c>
      <c r="F4" s="87">
        <v>68.0</v>
      </c>
      <c r="G4" s="87">
        <v>0.0</v>
      </c>
      <c r="H4" s="87">
        <v>529.0</v>
      </c>
      <c r="I4" s="87">
        <v>0.0</v>
      </c>
      <c r="J4" s="87">
        <v>0.285714</v>
      </c>
      <c r="K4" s="87">
        <v>0.3</v>
      </c>
      <c r="L4" s="87">
        <v>0.352276</v>
      </c>
      <c r="M4" s="87">
        <v>0.3</v>
      </c>
      <c r="N4" s="87">
        <v>1.0</v>
      </c>
      <c r="O4" s="87">
        <v>0.0</v>
      </c>
      <c r="P4" s="87">
        <v>0.0</v>
      </c>
      <c r="Q4" s="87">
        <v>0.0</v>
      </c>
      <c r="R4" s="87">
        <v>0.0</v>
      </c>
      <c r="S4" s="87">
        <v>0.0</v>
      </c>
      <c r="T4" s="87">
        <v>0.033333</v>
      </c>
      <c r="U4" s="87">
        <v>0.033333</v>
      </c>
      <c r="V4" s="87">
        <v>0.033333</v>
      </c>
      <c r="W4" s="87">
        <v>0.1</v>
      </c>
      <c r="X4" s="87">
        <v>0.166667</v>
      </c>
      <c r="Y4" s="87">
        <v>0.004412</v>
      </c>
      <c r="Z4" s="87">
        <v>0.0</v>
      </c>
      <c r="AA4" s="87">
        <v>0.1</v>
      </c>
      <c r="AB4" s="87">
        <v>0.001517</v>
      </c>
      <c r="AC4" s="87">
        <v>0.004412</v>
      </c>
      <c r="AD4" s="87">
        <v>0.0</v>
      </c>
      <c r="AE4" s="87">
        <v>0.1</v>
      </c>
      <c r="AF4" s="87">
        <v>0.004412</v>
      </c>
      <c r="AG4" s="87">
        <v>0.004412</v>
      </c>
      <c r="AH4" s="87">
        <v>0.0</v>
      </c>
      <c r="AI4" s="87">
        <v>0.1</v>
      </c>
      <c r="AJ4" s="87">
        <v>0.001517</v>
      </c>
      <c r="AK4" s="87">
        <v>0.004412</v>
      </c>
      <c r="AL4" s="88" t="s">
        <v>1396</v>
      </c>
    </row>
    <row r="5">
      <c r="A5" s="84" t="s">
        <v>1401</v>
      </c>
      <c r="B5" s="84" t="s">
        <v>1401</v>
      </c>
      <c r="C5" s="85"/>
      <c r="D5" s="85"/>
      <c r="E5" s="89">
        <v>46300.0</v>
      </c>
      <c r="F5" s="87">
        <v>1.0</v>
      </c>
      <c r="G5" s="87">
        <v>0.0</v>
      </c>
      <c r="H5" s="87">
        <v>0.0</v>
      </c>
      <c r="I5" s="87">
        <v>0.0</v>
      </c>
      <c r="J5" s="87">
        <v>0.0</v>
      </c>
      <c r="K5" s="87">
        <v>0.0</v>
      </c>
      <c r="L5" s="87">
        <v>0.0</v>
      </c>
      <c r="M5" s="87">
        <v>0.0</v>
      </c>
      <c r="N5" s="87">
        <v>0.0</v>
      </c>
      <c r="O5" s="87">
        <v>0.0</v>
      </c>
      <c r="P5" s="87">
        <v>0.0</v>
      </c>
      <c r="Q5" s="87">
        <v>0.0</v>
      </c>
      <c r="R5" s="87">
        <v>0.0</v>
      </c>
      <c r="S5" s="87">
        <v>0.0</v>
      </c>
      <c r="T5" s="87">
        <v>0.0</v>
      </c>
      <c r="U5" s="87">
        <v>0.0</v>
      </c>
      <c r="V5" s="87">
        <v>0.0</v>
      </c>
      <c r="W5" s="87">
        <v>0.0</v>
      </c>
      <c r="X5" s="87">
        <v>0.0</v>
      </c>
      <c r="Y5" s="87">
        <v>0.0</v>
      </c>
      <c r="Z5" s="87">
        <v>0.0</v>
      </c>
      <c r="AA5" s="87">
        <v>0.1</v>
      </c>
      <c r="AB5" s="87">
        <v>0.001517</v>
      </c>
      <c r="AC5" s="87">
        <v>0.004412</v>
      </c>
      <c r="AD5" s="87">
        <v>0.0</v>
      </c>
      <c r="AE5" s="87">
        <v>0.0</v>
      </c>
      <c r="AF5" s="87">
        <v>0.0</v>
      </c>
      <c r="AG5" s="87">
        <v>0.0</v>
      </c>
      <c r="AH5" s="87">
        <v>0.0</v>
      </c>
      <c r="AI5" s="87">
        <v>0.1</v>
      </c>
      <c r="AJ5" s="87">
        <v>0.001517</v>
      </c>
      <c r="AK5" s="87">
        <v>0.004412</v>
      </c>
      <c r="AL5" s="88" t="s">
        <v>1396</v>
      </c>
    </row>
    <row r="6">
      <c r="A6" s="84" t="s">
        <v>1402</v>
      </c>
      <c r="B6" s="84" t="s">
        <v>1402</v>
      </c>
      <c r="C6" s="85"/>
      <c r="D6" s="85"/>
      <c r="E6" s="84" t="s">
        <v>1403</v>
      </c>
      <c r="F6" s="87">
        <v>400.0</v>
      </c>
      <c r="G6" s="87">
        <v>2.0</v>
      </c>
      <c r="H6" s="87">
        <v>112.0</v>
      </c>
      <c r="I6" s="87">
        <v>112.0</v>
      </c>
      <c r="J6" s="87">
        <v>0.0</v>
      </c>
      <c r="K6" s="87">
        <v>0.0</v>
      </c>
      <c r="L6" s="87">
        <v>0.0</v>
      </c>
      <c r="M6" s="87">
        <v>0.0</v>
      </c>
      <c r="N6" s="87">
        <v>0.0</v>
      </c>
      <c r="O6" s="87">
        <v>0.0</v>
      </c>
      <c r="P6" s="87">
        <v>0.0</v>
      </c>
      <c r="Q6" s="87">
        <v>0.0</v>
      </c>
      <c r="R6" s="87">
        <v>0.0</v>
      </c>
      <c r="S6" s="87">
        <v>0.0</v>
      </c>
      <c r="T6" s="87">
        <v>0.0</v>
      </c>
      <c r="U6" s="87">
        <v>0.0</v>
      </c>
      <c r="V6" s="87">
        <v>0.0</v>
      </c>
      <c r="W6" s="87">
        <v>0.0</v>
      </c>
      <c r="X6" s="87">
        <v>0.0</v>
      </c>
      <c r="Y6" s="87">
        <v>0.0</v>
      </c>
      <c r="Z6" s="87">
        <v>0.0</v>
      </c>
      <c r="AA6" s="87">
        <v>0.1</v>
      </c>
      <c r="AB6" s="87">
        <v>0.001517</v>
      </c>
      <c r="AC6" s="87">
        <v>0.004412</v>
      </c>
      <c r="AD6" s="87">
        <v>0.0</v>
      </c>
      <c r="AE6" s="87">
        <v>0.0</v>
      </c>
      <c r="AF6" s="87">
        <v>0.0</v>
      </c>
      <c r="AG6" s="87">
        <v>0.0</v>
      </c>
      <c r="AH6" s="87">
        <v>0.0</v>
      </c>
      <c r="AI6" s="87">
        <v>0.1</v>
      </c>
      <c r="AJ6" s="87">
        <v>0.001517</v>
      </c>
      <c r="AK6" s="87">
        <v>0.004412</v>
      </c>
      <c r="AL6" s="88" t="s">
        <v>1396</v>
      </c>
    </row>
    <row r="7">
      <c r="A7" s="84" t="s">
        <v>1404</v>
      </c>
      <c r="B7" s="84" t="s">
        <v>1405</v>
      </c>
      <c r="C7" s="84" t="s">
        <v>74</v>
      </c>
      <c r="D7" s="84" t="s">
        <v>1406</v>
      </c>
      <c r="E7" s="84" t="s">
        <v>1398</v>
      </c>
      <c r="F7" s="87">
        <v>1.0</v>
      </c>
      <c r="G7" s="87">
        <v>0.0</v>
      </c>
      <c r="H7" s="87">
        <v>0.0</v>
      </c>
      <c r="I7" s="87">
        <v>0.0</v>
      </c>
      <c r="J7" s="87">
        <v>0.076923</v>
      </c>
      <c r="K7" s="87">
        <v>2.034483</v>
      </c>
      <c r="L7" s="87">
        <v>0.118502</v>
      </c>
      <c r="M7" s="87">
        <v>2.034483</v>
      </c>
      <c r="N7" s="87">
        <v>1.0</v>
      </c>
      <c r="O7" s="87">
        <v>2.034483</v>
      </c>
      <c r="P7" s="87">
        <v>2.034483</v>
      </c>
      <c r="Q7" s="87">
        <v>2.034483</v>
      </c>
      <c r="R7" s="87">
        <v>2.034483</v>
      </c>
      <c r="S7" s="87">
        <v>2.034483</v>
      </c>
      <c r="T7" s="87">
        <v>2.034483</v>
      </c>
      <c r="U7" s="87">
        <v>2.034483</v>
      </c>
      <c r="V7" s="87">
        <v>2.034483</v>
      </c>
      <c r="W7" s="87">
        <v>2.034483</v>
      </c>
      <c r="X7" s="87">
        <v>2.034483</v>
      </c>
      <c r="Y7" s="87">
        <v>2.034483</v>
      </c>
      <c r="Z7" s="87">
        <v>0.0</v>
      </c>
      <c r="AA7" s="87">
        <v>2.034483</v>
      </c>
      <c r="AB7" s="87">
        <v>0.093992</v>
      </c>
      <c r="AC7" s="87">
        <v>0.0</v>
      </c>
      <c r="AD7" s="87">
        <v>2.034483</v>
      </c>
      <c r="AE7" s="87">
        <v>2.034483</v>
      </c>
      <c r="AF7" s="87">
        <v>1.703893</v>
      </c>
      <c r="AG7" s="87">
        <v>2.034483</v>
      </c>
      <c r="AH7" s="87">
        <v>1.849147</v>
      </c>
      <c r="AI7" s="87">
        <v>3.582599</v>
      </c>
      <c r="AJ7" s="87">
        <v>3.244024</v>
      </c>
      <c r="AK7" s="87">
        <v>2.034483</v>
      </c>
      <c r="AL7" s="88" t="s">
        <v>1396</v>
      </c>
    </row>
    <row r="8">
      <c r="A8" s="84" t="s">
        <v>1407</v>
      </c>
      <c r="B8" s="84" t="s">
        <v>1408</v>
      </c>
      <c r="C8" s="84" t="s">
        <v>74</v>
      </c>
      <c r="D8" s="84" t="s">
        <v>1406</v>
      </c>
      <c r="E8" s="84" t="s">
        <v>1400</v>
      </c>
      <c r="F8" s="87">
        <v>1.0</v>
      </c>
      <c r="G8" s="87">
        <v>0.0</v>
      </c>
      <c r="H8" s="87">
        <v>0.0</v>
      </c>
      <c r="I8" s="87">
        <v>0.0</v>
      </c>
      <c r="J8" s="87">
        <v>0.0</v>
      </c>
      <c r="K8" s="87">
        <v>0.0</v>
      </c>
      <c r="L8" s="87">
        <v>0.090909</v>
      </c>
      <c r="M8" s="87">
        <v>0.0</v>
      </c>
      <c r="N8" s="87">
        <v>0.0</v>
      </c>
      <c r="O8" s="87">
        <v>0.0</v>
      </c>
      <c r="P8" s="87">
        <v>0.0</v>
      </c>
      <c r="Q8" s="87">
        <v>0.0</v>
      </c>
      <c r="R8" s="87">
        <v>0.0</v>
      </c>
      <c r="S8" s="87">
        <v>0.0</v>
      </c>
      <c r="T8" s="87">
        <v>0.0</v>
      </c>
      <c r="U8" s="87">
        <v>0.0</v>
      </c>
      <c r="V8" s="87">
        <v>0.0</v>
      </c>
      <c r="W8" s="87">
        <v>0.0</v>
      </c>
      <c r="X8" s="87">
        <v>0.0</v>
      </c>
      <c r="Y8" s="87">
        <v>0.0</v>
      </c>
      <c r="Z8" s="87">
        <v>0.0</v>
      </c>
      <c r="AA8" s="87">
        <v>2.034483</v>
      </c>
      <c r="AB8" s="87">
        <v>0.093992</v>
      </c>
      <c r="AC8" s="87">
        <v>0.0</v>
      </c>
      <c r="AD8" s="87">
        <v>3.413527</v>
      </c>
      <c r="AE8" s="87">
        <v>3.582599</v>
      </c>
      <c r="AF8" s="87">
        <v>4.587337</v>
      </c>
      <c r="AG8" s="87">
        <v>3.737092</v>
      </c>
      <c r="AH8" s="87">
        <v>1.849147</v>
      </c>
      <c r="AI8" s="87">
        <v>3.582599</v>
      </c>
      <c r="AJ8" s="87">
        <v>3.244024</v>
      </c>
      <c r="AK8" s="87">
        <v>2.034483</v>
      </c>
      <c r="AL8" s="88" t="s">
        <v>1396</v>
      </c>
    </row>
    <row r="9">
      <c r="A9" s="84" t="s">
        <v>1409</v>
      </c>
      <c r="B9" s="84" t="s">
        <v>1410</v>
      </c>
      <c r="C9" s="84" t="s">
        <v>74</v>
      </c>
      <c r="D9" s="84" t="s">
        <v>1406</v>
      </c>
      <c r="E9" s="84" t="s">
        <v>1403</v>
      </c>
      <c r="F9" s="87">
        <v>1.0</v>
      </c>
      <c r="G9" s="87">
        <v>0.0</v>
      </c>
      <c r="H9" s="87">
        <v>0.0</v>
      </c>
      <c r="I9" s="87">
        <v>0.0</v>
      </c>
      <c r="J9" s="87">
        <v>0.0</v>
      </c>
      <c r="K9" s="87">
        <v>0.0</v>
      </c>
      <c r="L9" s="87">
        <v>0.0</v>
      </c>
      <c r="M9" s="87">
        <v>0.0</v>
      </c>
      <c r="N9" s="87">
        <v>0.0</v>
      </c>
      <c r="O9" s="87">
        <v>0.0</v>
      </c>
      <c r="P9" s="87">
        <v>0.0</v>
      </c>
      <c r="Q9" s="87">
        <v>0.0</v>
      </c>
      <c r="R9" s="87">
        <v>0.0</v>
      </c>
      <c r="S9" s="87">
        <v>0.0</v>
      </c>
      <c r="T9" s="87">
        <v>0.0</v>
      </c>
      <c r="U9" s="87">
        <v>0.0</v>
      </c>
      <c r="V9" s="87">
        <v>0.0</v>
      </c>
      <c r="W9" s="87">
        <v>0.0</v>
      </c>
      <c r="X9" s="87">
        <v>0.0</v>
      </c>
      <c r="Y9" s="87">
        <v>0.0</v>
      </c>
      <c r="Z9" s="87">
        <v>0.0</v>
      </c>
      <c r="AA9" s="87">
        <v>2.034483</v>
      </c>
      <c r="AB9" s="87">
        <v>0.093992</v>
      </c>
      <c r="AC9" s="87">
        <v>0.0</v>
      </c>
      <c r="AD9" s="87">
        <v>0.0</v>
      </c>
      <c r="AE9" s="87">
        <v>0.0</v>
      </c>
      <c r="AF9" s="87">
        <v>0.0</v>
      </c>
      <c r="AG9" s="87">
        <v>0.0</v>
      </c>
      <c r="AH9" s="87">
        <v>1.849147</v>
      </c>
      <c r="AI9" s="87">
        <v>3.582599</v>
      </c>
      <c r="AJ9" s="87">
        <v>3.244024</v>
      </c>
      <c r="AK9" s="87">
        <v>2.034483</v>
      </c>
      <c r="AL9" s="88" t="s">
        <v>1396</v>
      </c>
    </row>
    <row r="10">
      <c r="A10" s="84" t="s">
        <v>1411</v>
      </c>
      <c r="B10" s="84" t="s">
        <v>1412</v>
      </c>
      <c r="C10" s="84" t="s">
        <v>74</v>
      </c>
      <c r="D10" s="84" t="s">
        <v>75</v>
      </c>
      <c r="E10" s="84" t="s">
        <v>1413</v>
      </c>
      <c r="F10" s="87">
        <v>3.0</v>
      </c>
      <c r="G10" s="87">
        <v>0.0</v>
      </c>
      <c r="H10" s="87">
        <v>2144.0</v>
      </c>
      <c r="I10" s="87">
        <v>0.0</v>
      </c>
      <c r="J10" s="87">
        <v>14.95384</v>
      </c>
      <c r="K10" s="87">
        <v>13.47098</v>
      </c>
      <c r="L10" s="87">
        <v>14.19314</v>
      </c>
      <c r="M10" s="87">
        <v>6.131733</v>
      </c>
      <c r="N10" s="87">
        <v>0.455181</v>
      </c>
      <c r="O10" s="87">
        <v>2.696133</v>
      </c>
      <c r="P10" s="87">
        <v>2.696133</v>
      </c>
      <c r="Q10" s="87">
        <v>2.696133</v>
      </c>
      <c r="R10" s="87">
        <v>4.643116</v>
      </c>
      <c r="S10" s="87">
        <v>6.131733</v>
      </c>
      <c r="T10" s="87">
        <v>2.696133</v>
      </c>
      <c r="U10" s="87">
        <v>2.696133</v>
      </c>
      <c r="V10" s="87">
        <v>2.696133</v>
      </c>
      <c r="W10" s="87">
        <v>4.643116</v>
      </c>
      <c r="X10" s="87">
        <v>6.131733</v>
      </c>
      <c r="Y10" s="87">
        <v>4.490327</v>
      </c>
      <c r="Z10" s="87">
        <v>3.413527</v>
      </c>
      <c r="AA10" s="87">
        <v>4.407286</v>
      </c>
      <c r="AB10" s="87">
        <v>4.118029</v>
      </c>
      <c r="AC10" s="87">
        <v>4.490327</v>
      </c>
      <c r="AD10" s="87">
        <v>4.643116</v>
      </c>
      <c r="AE10" s="87">
        <v>4.643116</v>
      </c>
      <c r="AF10" s="87">
        <v>4.490327</v>
      </c>
      <c r="AG10" s="87">
        <v>4.490327</v>
      </c>
      <c r="AH10" s="87">
        <v>1.849147</v>
      </c>
      <c r="AI10" s="87">
        <v>3.582599</v>
      </c>
      <c r="AJ10" s="87">
        <v>3.244024</v>
      </c>
      <c r="AK10" s="87">
        <v>2.034483</v>
      </c>
      <c r="AL10" s="88" t="s">
        <v>1396</v>
      </c>
    </row>
    <row r="11">
      <c r="A11" s="84" t="s">
        <v>1404</v>
      </c>
      <c r="B11" s="84" t="s">
        <v>1414</v>
      </c>
      <c r="C11" s="84" t="s">
        <v>74</v>
      </c>
      <c r="D11" s="84" t="s">
        <v>75</v>
      </c>
      <c r="E11" s="84" t="s">
        <v>1398</v>
      </c>
      <c r="F11" s="87">
        <v>1.0</v>
      </c>
      <c r="G11" s="87">
        <v>0.0</v>
      </c>
      <c r="H11" s="87">
        <v>126.0</v>
      </c>
      <c r="I11" s="87">
        <v>0.0</v>
      </c>
      <c r="J11" s="87">
        <v>1.72381</v>
      </c>
      <c r="K11" s="87">
        <v>1.373303</v>
      </c>
      <c r="L11" s="87">
        <v>1.499379</v>
      </c>
      <c r="M11" s="87">
        <v>1.373303</v>
      </c>
      <c r="N11" s="87">
        <v>1.0</v>
      </c>
      <c r="O11" s="87">
        <v>1.373303</v>
      </c>
      <c r="P11" s="87">
        <v>1.373303</v>
      </c>
      <c r="Q11" s="87">
        <v>1.373303</v>
      </c>
      <c r="R11" s="87">
        <v>1.373303</v>
      </c>
      <c r="S11" s="87">
        <v>1.373303</v>
      </c>
      <c r="T11" s="87">
        <v>1.373303</v>
      </c>
      <c r="U11" s="87">
        <v>1.373303</v>
      </c>
      <c r="V11" s="87">
        <v>1.373303</v>
      </c>
      <c r="W11" s="87">
        <v>1.373303</v>
      </c>
      <c r="X11" s="87">
        <v>1.373303</v>
      </c>
      <c r="Y11" s="87">
        <v>1.373303</v>
      </c>
      <c r="Z11" s="87">
        <v>3.413527</v>
      </c>
      <c r="AA11" s="87">
        <v>4.407286</v>
      </c>
      <c r="AB11" s="87">
        <v>4.118029</v>
      </c>
      <c r="AC11" s="87">
        <v>4.490327</v>
      </c>
      <c r="AD11" s="87">
        <v>2.034483</v>
      </c>
      <c r="AE11" s="87">
        <v>2.034483</v>
      </c>
      <c r="AF11" s="87">
        <v>1.703893</v>
      </c>
      <c r="AG11" s="87">
        <v>2.034483</v>
      </c>
      <c r="AH11" s="87">
        <v>1.849147</v>
      </c>
      <c r="AI11" s="87">
        <v>3.582599</v>
      </c>
      <c r="AJ11" s="87">
        <v>3.244024</v>
      </c>
      <c r="AK11" s="87">
        <v>2.034483</v>
      </c>
      <c r="AL11" s="88" t="s">
        <v>1396</v>
      </c>
    </row>
    <row r="12">
      <c r="A12" s="84" t="s">
        <v>1407</v>
      </c>
      <c r="B12" s="84" t="s">
        <v>1415</v>
      </c>
      <c r="C12" s="84" t="s">
        <v>74</v>
      </c>
      <c r="D12" s="84" t="s">
        <v>75</v>
      </c>
      <c r="E12" s="84" t="s">
        <v>1400</v>
      </c>
      <c r="F12" s="87">
        <v>15.0</v>
      </c>
      <c r="G12" s="87">
        <v>0.0</v>
      </c>
      <c r="H12" s="87">
        <v>7866.0</v>
      </c>
      <c r="I12" s="87">
        <v>0.0</v>
      </c>
      <c r="J12" s="87">
        <v>81.20115</v>
      </c>
      <c r="K12" s="87">
        <v>81.0496</v>
      </c>
      <c r="L12" s="87">
        <v>80.08067</v>
      </c>
      <c r="M12" s="87">
        <v>36.67825</v>
      </c>
      <c r="N12" s="87">
        <v>0.452541</v>
      </c>
      <c r="O12" s="87">
        <v>0.668966</v>
      </c>
      <c r="P12" s="87">
        <v>1.849147</v>
      </c>
      <c r="Q12" s="87">
        <v>2.076899</v>
      </c>
      <c r="R12" s="87">
        <v>3.820168</v>
      </c>
      <c r="S12" s="87">
        <v>7.620216</v>
      </c>
      <c r="T12" s="87">
        <v>0.668966</v>
      </c>
      <c r="U12" s="87">
        <v>1.849147</v>
      </c>
      <c r="V12" s="87">
        <v>2.076899</v>
      </c>
      <c r="W12" s="87">
        <v>3.820168</v>
      </c>
      <c r="X12" s="87">
        <v>7.620216</v>
      </c>
      <c r="Y12" s="87">
        <v>5.403307</v>
      </c>
      <c r="Z12" s="87">
        <v>3.413527</v>
      </c>
      <c r="AA12" s="87">
        <v>4.407286</v>
      </c>
      <c r="AB12" s="87">
        <v>4.118029</v>
      </c>
      <c r="AC12" s="87">
        <v>4.490327</v>
      </c>
      <c r="AD12" s="87">
        <v>3.413527</v>
      </c>
      <c r="AE12" s="87">
        <v>3.582599</v>
      </c>
      <c r="AF12" s="87">
        <v>4.587337</v>
      </c>
      <c r="AG12" s="87">
        <v>3.737092</v>
      </c>
      <c r="AH12" s="87">
        <v>1.849147</v>
      </c>
      <c r="AI12" s="87">
        <v>3.582599</v>
      </c>
      <c r="AJ12" s="87">
        <v>3.244024</v>
      </c>
      <c r="AK12" s="87">
        <v>2.034483</v>
      </c>
      <c r="AL12" s="88" t="s">
        <v>1396</v>
      </c>
    </row>
    <row r="13">
      <c r="A13" s="84" t="s">
        <v>1416</v>
      </c>
      <c r="B13" s="84" t="s">
        <v>1417</v>
      </c>
      <c r="C13" s="84" t="s">
        <v>74</v>
      </c>
      <c r="D13" s="84" t="s">
        <v>75</v>
      </c>
      <c r="E13" s="89">
        <v>46300.0</v>
      </c>
      <c r="F13" s="87">
        <v>2.0</v>
      </c>
      <c r="G13" s="87">
        <v>0.0</v>
      </c>
      <c r="H13" s="87">
        <v>66.0</v>
      </c>
      <c r="I13" s="87">
        <v>0.0</v>
      </c>
      <c r="J13" s="87">
        <v>5.472222</v>
      </c>
      <c r="K13" s="87">
        <v>11.17486</v>
      </c>
      <c r="L13" s="87">
        <v>9.91429</v>
      </c>
      <c r="M13" s="87">
        <v>11.17486</v>
      </c>
      <c r="N13" s="87">
        <v>1.0</v>
      </c>
      <c r="O13" s="87">
        <v>0.0</v>
      </c>
      <c r="P13" s="87">
        <v>0.0</v>
      </c>
      <c r="Q13" s="87">
        <v>0.0</v>
      </c>
      <c r="R13" s="87">
        <v>11.17486</v>
      </c>
      <c r="S13" s="87">
        <v>11.17486</v>
      </c>
      <c r="T13" s="87">
        <v>11.17486</v>
      </c>
      <c r="U13" s="87">
        <v>11.17486</v>
      </c>
      <c r="V13" s="87">
        <v>11.17486</v>
      </c>
      <c r="W13" s="87">
        <v>11.17486</v>
      </c>
      <c r="X13" s="87">
        <v>11.17486</v>
      </c>
      <c r="Y13" s="87">
        <v>5.587432</v>
      </c>
      <c r="Z13" s="87">
        <v>3.413527</v>
      </c>
      <c r="AA13" s="87">
        <v>4.407286</v>
      </c>
      <c r="AB13" s="87">
        <v>4.118029</v>
      </c>
      <c r="AC13" s="87">
        <v>4.490327</v>
      </c>
      <c r="AD13" s="87">
        <v>11.17486</v>
      </c>
      <c r="AE13" s="87">
        <v>11.17486</v>
      </c>
      <c r="AF13" s="87">
        <v>5.587432</v>
      </c>
      <c r="AG13" s="87">
        <v>5.587432</v>
      </c>
      <c r="AH13" s="87">
        <v>1.849147</v>
      </c>
      <c r="AI13" s="87">
        <v>3.582599</v>
      </c>
      <c r="AJ13" s="87">
        <v>3.244024</v>
      </c>
      <c r="AK13" s="87">
        <v>2.034483</v>
      </c>
      <c r="AL13" s="88" t="s">
        <v>1396</v>
      </c>
    </row>
    <row r="14">
      <c r="A14" s="84" t="s">
        <v>1409</v>
      </c>
      <c r="B14" s="84" t="s">
        <v>1418</v>
      </c>
      <c r="C14" s="84" t="s">
        <v>74</v>
      </c>
      <c r="D14" s="84" t="s">
        <v>75</v>
      </c>
      <c r="E14" s="84" t="s">
        <v>1403</v>
      </c>
      <c r="F14" s="87">
        <v>5.0</v>
      </c>
      <c r="G14" s="87">
        <v>0.0</v>
      </c>
      <c r="H14" s="87">
        <v>0.0</v>
      </c>
      <c r="I14" s="87">
        <v>0.0</v>
      </c>
      <c r="J14" s="87">
        <v>0.0</v>
      </c>
      <c r="K14" s="87">
        <v>0.0</v>
      </c>
      <c r="L14" s="87">
        <v>0.0</v>
      </c>
      <c r="M14" s="87">
        <v>0.0</v>
      </c>
      <c r="N14" s="87">
        <v>0.0</v>
      </c>
      <c r="O14" s="87">
        <v>0.0</v>
      </c>
      <c r="P14" s="87">
        <v>0.0</v>
      </c>
      <c r="Q14" s="87">
        <v>0.0</v>
      </c>
      <c r="R14" s="87">
        <v>0.0</v>
      </c>
      <c r="S14" s="87">
        <v>0.0</v>
      </c>
      <c r="T14" s="87">
        <v>0.0</v>
      </c>
      <c r="U14" s="87">
        <v>0.0</v>
      </c>
      <c r="V14" s="87">
        <v>0.0</v>
      </c>
      <c r="W14" s="87">
        <v>0.0</v>
      </c>
      <c r="X14" s="87">
        <v>0.0</v>
      </c>
      <c r="Y14" s="87">
        <v>0.0</v>
      </c>
      <c r="Z14" s="87">
        <v>3.413527</v>
      </c>
      <c r="AA14" s="87">
        <v>4.407286</v>
      </c>
      <c r="AB14" s="87">
        <v>4.118029</v>
      </c>
      <c r="AC14" s="87">
        <v>4.490327</v>
      </c>
      <c r="AD14" s="87">
        <v>0.0</v>
      </c>
      <c r="AE14" s="87">
        <v>0.0</v>
      </c>
      <c r="AF14" s="87">
        <v>0.0</v>
      </c>
      <c r="AG14" s="87">
        <v>0.0</v>
      </c>
      <c r="AH14" s="87">
        <v>1.849147</v>
      </c>
      <c r="AI14" s="87">
        <v>3.582599</v>
      </c>
      <c r="AJ14" s="87">
        <v>3.244024</v>
      </c>
      <c r="AK14" s="87">
        <v>2.034483</v>
      </c>
      <c r="AL14" s="88" t="s">
        <v>1396</v>
      </c>
    </row>
    <row r="15">
      <c r="A15" s="84" t="s">
        <v>1407</v>
      </c>
      <c r="B15" s="84" t="s">
        <v>1419</v>
      </c>
      <c r="C15" s="84" t="s">
        <v>74</v>
      </c>
      <c r="D15" s="84" t="s">
        <v>1420</v>
      </c>
      <c r="E15" s="84" t="s">
        <v>1400</v>
      </c>
      <c r="F15" s="87">
        <v>9.0</v>
      </c>
      <c r="G15" s="87">
        <v>0.0</v>
      </c>
      <c r="H15" s="87">
        <v>3759.0</v>
      </c>
      <c r="I15" s="87">
        <v>0.0</v>
      </c>
      <c r="J15" s="87">
        <v>34.54381</v>
      </c>
      <c r="K15" s="87">
        <v>33.63383</v>
      </c>
      <c r="L15" s="87">
        <v>34.1862</v>
      </c>
      <c r="M15" s="87">
        <v>20.07087</v>
      </c>
      <c r="N15" s="87">
        <v>0.596747</v>
      </c>
      <c r="O15" s="87">
        <v>0.0</v>
      </c>
      <c r="P15" s="87">
        <v>0.932258</v>
      </c>
      <c r="Q15" s="87">
        <v>1.033333</v>
      </c>
      <c r="R15" s="87">
        <v>3.0</v>
      </c>
      <c r="S15" s="87">
        <v>3.6171</v>
      </c>
      <c r="T15" s="87">
        <v>0.932258</v>
      </c>
      <c r="U15" s="87">
        <v>1.033333</v>
      </c>
      <c r="V15" s="87">
        <v>1.768454</v>
      </c>
      <c r="W15" s="87">
        <v>3.211812</v>
      </c>
      <c r="X15" s="87">
        <v>3.6171</v>
      </c>
      <c r="Y15" s="87">
        <v>3.737092</v>
      </c>
      <c r="Z15" s="87">
        <v>0.932258</v>
      </c>
      <c r="AA15" s="87">
        <v>3.211812</v>
      </c>
      <c r="AB15" s="87">
        <v>2.242255</v>
      </c>
      <c r="AC15" s="87">
        <v>3.737092</v>
      </c>
      <c r="AD15" s="87">
        <v>3.413527</v>
      </c>
      <c r="AE15" s="87">
        <v>3.582599</v>
      </c>
      <c r="AF15" s="87">
        <v>4.587337</v>
      </c>
      <c r="AG15" s="87">
        <v>3.737092</v>
      </c>
      <c r="AH15" s="87">
        <v>1.849147</v>
      </c>
      <c r="AI15" s="87">
        <v>3.582599</v>
      </c>
      <c r="AJ15" s="87">
        <v>3.244024</v>
      </c>
      <c r="AK15" s="87">
        <v>2.034483</v>
      </c>
      <c r="AL15" s="88" t="s">
        <v>1396</v>
      </c>
    </row>
    <row r="16">
      <c r="A16" s="84" t="s">
        <v>1409</v>
      </c>
      <c r="B16" s="84" t="s">
        <v>1421</v>
      </c>
      <c r="C16" s="84" t="s">
        <v>74</v>
      </c>
      <c r="D16" s="84" t="s">
        <v>1420</v>
      </c>
      <c r="E16" s="84" t="s">
        <v>1403</v>
      </c>
      <c r="F16" s="87">
        <v>6.0</v>
      </c>
      <c r="G16" s="87">
        <v>0.0</v>
      </c>
      <c r="H16" s="87">
        <v>0.0</v>
      </c>
      <c r="I16" s="87">
        <v>0.0</v>
      </c>
      <c r="J16" s="87">
        <v>0.0</v>
      </c>
      <c r="K16" s="87">
        <v>0.0</v>
      </c>
      <c r="L16" s="87">
        <v>0.0</v>
      </c>
      <c r="M16" s="87">
        <v>0.0</v>
      </c>
      <c r="N16" s="87">
        <v>0.0</v>
      </c>
      <c r="O16" s="87">
        <v>0.0</v>
      </c>
      <c r="P16" s="87">
        <v>0.0</v>
      </c>
      <c r="Q16" s="87">
        <v>0.0</v>
      </c>
      <c r="R16" s="87">
        <v>0.0</v>
      </c>
      <c r="S16" s="87">
        <v>0.0</v>
      </c>
      <c r="T16" s="87">
        <v>0.0</v>
      </c>
      <c r="U16" s="87">
        <v>0.0</v>
      </c>
      <c r="V16" s="87">
        <v>0.0</v>
      </c>
      <c r="W16" s="87">
        <v>0.0</v>
      </c>
      <c r="X16" s="87">
        <v>0.0</v>
      </c>
      <c r="Y16" s="87">
        <v>0.0</v>
      </c>
      <c r="Z16" s="87">
        <v>0.932258</v>
      </c>
      <c r="AA16" s="87">
        <v>3.211812</v>
      </c>
      <c r="AB16" s="87">
        <v>2.242255</v>
      </c>
      <c r="AC16" s="87">
        <v>3.737092</v>
      </c>
      <c r="AD16" s="87">
        <v>0.0</v>
      </c>
      <c r="AE16" s="87">
        <v>0.0</v>
      </c>
      <c r="AF16" s="87">
        <v>0.0</v>
      </c>
      <c r="AG16" s="87">
        <v>0.0</v>
      </c>
      <c r="AH16" s="87">
        <v>1.849147</v>
      </c>
      <c r="AI16" s="87">
        <v>3.582599</v>
      </c>
      <c r="AJ16" s="87">
        <v>3.244024</v>
      </c>
      <c r="AK16" s="87">
        <v>2.034483</v>
      </c>
      <c r="AL16" s="88" t="s">
        <v>1396</v>
      </c>
    </row>
    <row r="17">
      <c r="A17" s="84" t="s">
        <v>1422</v>
      </c>
      <c r="B17" s="84" t="s">
        <v>1410</v>
      </c>
      <c r="C17" s="84" t="s">
        <v>107</v>
      </c>
      <c r="D17" s="84" t="s">
        <v>1406</v>
      </c>
      <c r="E17" s="84" t="s">
        <v>1403</v>
      </c>
      <c r="F17" s="87">
        <v>1.0</v>
      </c>
      <c r="G17" s="87">
        <v>0.0</v>
      </c>
      <c r="H17" s="87">
        <v>0.0</v>
      </c>
      <c r="I17" s="87">
        <v>0.0</v>
      </c>
      <c r="J17" s="87">
        <v>0.0</v>
      </c>
      <c r="K17" s="87">
        <v>0.0</v>
      </c>
      <c r="L17" s="87">
        <v>0.0</v>
      </c>
      <c r="M17" s="87">
        <v>0.0</v>
      </c>
      <c r="N17" s="87">
        <v>0.0</v>
      </c>
      <c r="O17" s="87">
        <v>0.0</v>
      </c>
      <c r="P17" s="87">
        <v>0.0</v>
      </c>
      <c r="Q17" s="87">
        <v>0.0</v>
      </c>
      <c r="R17" s="87">
        <v>0.0</v>
      </c>
      <c r="S17" s="87">
        <v>0.0</v>
      </c>
      <c r="T17" s="87">
        <v>0.0</v>
      </c>
      <c r="U17" s="87">
        <v>0.0</v>
      </c>
      <c r="V17" s="87">
        <v>0.0</v>
      </c>
      <c r="W17" s="87">
        <v>0.0</v>
      </c>
      <c r="X17" s="87">
        <v>0.0</v>
      </c>
      <c r="Y17" s="87">
        <v>0.0</v>
      </c>
      <c r="Z17" s="87">
        <v>0.0</v>
      </c>
      <c r="AA17" s="87">
        <v>2.034483</v>
      </c>
      <c r="AB17" s="87">
        <v>0.093992</v>
      </c>
      <c r="AC17" s="87">
        <v>0.0</v>
      </c>
      <c r="AD17" s="87">
        <v>0.0</v>
      </c>
      <c r="AE17" s="87">
        <v>0.0</v>
      </c>
      <c r="AF17" s="87">
        <v>0.0</v>
      </c>
      <c r="AG17" s="87">
        <v>0.0</v>
      </c>
      <c r="AH17" s="87">
        <v>0.0</v>
      </c>
      <c r="AI17" s="87">
        <v>1.944494</v>
      </c>
      <c r="AJ17" s="87">
        <v>1.674894</v>
      </c>
      <c r="AK17" s="87">
        <v>0.852062</v>
      </c>
      <c r="AL17" s="88" t="s">
        <v>1396</v>
      </c>
    </row>
    <row r="18">
      <c r="A18" s="84" t="s">
        <v>1423</v>
      </c>
      <c r="B18" s="84" t="s">
        <v>1424</v>
      </c>
      <c r="C18" s="84" t="s">
        <v>107</v>
      </c>
      <c r="D18" s="84" t="s">
        <v>1425</v>
      </c>
      <c r="E18" s="84" t="s">
        <v>1426</v>
      </c>
      <c r="F18" s="87">
        <v>1.0</v>
      </c>
      <c r="G18" s="87">
        <v>0.0</v>
      </c>
      <c r="H18" s="87">
        <v>1064.0</v>
      </c>
      <c r="I18" s="87">
        <v>0.0</v>
      </c>
      <c r="J18" s="87">
        <v>6.665784</v>
      </c>
      <c r="K18" s="87">
        <v>6.742408</v>
      </c>
      <c r="L18" s="87">
        <v>7.155114</v>
      </c>
      <c r="M18" s="87">
        <v>6.742408</v>
      </c>
      <c r="N18" s="87">
        <v>1.0</v>
      </c>
      <c r="O18" s="87">
        <v>6.742408</v>
      </c>
      <c r="P18" s="87">
        <v>6.742408</v>
      </c>
      <c r="Q18" s="87">
        <v>6.742408</v>
      </c>
      <c r="R18" s="87">
        <v>6.742408</v>
      </c>
      <c r="S18" s="87">
        <v>6.742408</v>
      </c>
      <c r="T18" s="87">
        <v>6.742408</v>
      </c>
      <c r="U18" s="87">
        <v>6.742408</v>
      </c>
      <c r="V18" s="87">
        <v>6.742408</v>
      </c>
      <c r="W18" s="87">
        <v>6.742408</v>
      </c>
      <c r="X18" s="87">
        <v>6.742408</v>
      </c>
      <c r="Y18" s="87">
        <v>6.742408</v>
      </c>
      <c r="Z18" s="87">
        <v>0.467593</v>
      </c>
      <c r="AA18" s="87">
        <v>0.907405</v>
      </c>
      <c r="AB18" s="87">
        <v>0.942045</v>
      </c>
      <c r="AC18" s="87">
        <v>0.852062</v>
      </c>
      <c r="AD18" s="87">
        <v>6.742408</v>
      </c>
      <c r="AE18" s="87">
        <v>13.98243</v>
      </c>
      <c r="AF18" s="87">
        <v>9.244738</v>
      </c>
      <c r="AG18" s="87">
        <v>6.742408</v>
      </c>
      <c r="AH18" s="87">
        <v>0.0</v>
      </c>
      <c r="AI18" s="87">
        <v>1.944494</v>
      </c>
      <c r="AJ18" s="87">
        <v>1.674894</v>
      </c>
      <c r="AK18" s="87">
        <v>0.852062</v>
      </c>
      <c r="AL18" s="88" t="s">
        <v>1396</v>
      </c>
    </row>
    <row r="19">
      <c r="A19" s="84" t="s">
        <v>1427</v>
      </c>
      <c r="B19" s="84" t="s">
        <v>1428</v>
      </c>
      <c r="C19" s="84" t="s">
        <v>107</v>
      </c>
      <c r="D19" s="84" t="s">
        <v>1425</v>
      </c>
      <c r="E19" s="86">
        <v>46310.0</v>
      </c>
      <c r="F19" s="87">
        <v>2.0</v>
      </c>
      <c r="G19" s="87">
        <v>0.0</v>
      </c>
      <c r="H19" s="87">
        <v>42.0</v>
      </c>
      <c r="I19" s="87">
        <v>0.0</v>
      </c>
      <c r="J19" s="87">
        <v>0.468254</v>
      </c>
      <c r="K19" s="87">
        <v>0.773333</v>
      </c>
      <c r="L19" s="87">
        <v>0.518926</v>
      </c>
      <c r="M19" s="87">
        <v>0.733333</v>
      </c>
      <c r="N19" s="87">
        <v>0.948276</v>
      </c>
      <c r="O19" s="87">
        <v>0.04</v>
      </c>
      <c r="P19" s="87">
        <v>0.04</v>
      </c>
      <c r="Q19" s="87">
        <v>0.04</v>
      </c>
      <c r="R19" s="87">
        <v>0.733333</v>
      </c>
      <c r="S19" s="87">
        <v>0.733333</v>
      </c>
      <c r="T19" s="87">
        <v>0.04</v>
      </c>
      <c r="U19" s="87">
        <v>0.04</v>
      </c>
      <c r="V19" s="87">
        <v>0.04</v>
      </c>
      <c r="W19" s="87">
        <v>0.733333</v>
      </c>
      <c r="X19" s="87">
        <v>0.733333</v>
      </c>
      <c r="Y19" s="87">
        <v>0.386667</v>
      </c>
      <c r="Z19" s="87">
        <v>0.467593</v>
      </c>
      <c r="AA19" s="87">
        <v>0.907405</v>
      </c>
      <c r="AB19" s="87">
        <v>0.942045</v>
      </c>
      <c r="AC19" s="87">
        <v>0.852062</v>
      </c>
      <c r="AD19" s="87">
        <v>4.940896</v>
      </c>
      <c r="AE19" s="87">
        <v>5.044467</v>
      </c>
      <c r="AF19" s="87">
        <v>6.358956</v>
      </c>
      <c r="AG19" s="87">
        <v>5.817529</v>
      </c>
      <c r="AH19" s="87">
        <v>0.0</v>
      </c>
      <c r="AI19" s="87">
        <v>1.944494</v>
      </c>
      <c r="AJ19" s="87">
        <v>1.674894</v>
      </c>
      <c r="AK19" s="87">
        <v>0.852062</v>
      </c>
      <c r="AL19" s="88" t="s">
        <v>1396</v>
      </c>
    </row>
    <row r="20">
      <c r="A20" s="84" t="s">
        <v>1429</v>
      </c>
      <c r="B20" s="84" t="s">
        <v>1430</v>
      </c>
      <c r="C20" s="84" t="s">
        <v>107</v>
      </c>
      <c r="D20" s="84" t="s">
        <v>1425</v>
      </c>
      <c r="E20" s="84" t="s">
        <v>1413</v>
      </c>
      <c r="F20" s="87">
        <v>2.0</v>
      </c>
      <c r="G20" s="87">
        <v>0.0</v>
      </c>
      <c r="H20" s="87">
        <v>377.0</v>
      </c>
      <c r="I20" s="87">
        <v>0.0</v>
      </c>
      <c r="J20" s="87">
        <v>1.979853</v>
      </c>
      <c r="K20" s="87">
        <v>1.704125</v>
      </c>
      <c r="L20" s="87">
        <v>1.760484</v>
      </c>
      <c r="M20" s="87">
        <v>1.365236</v>
      </c>
      <c r="N20" s="87">
        <v>0.801136</v>
      </c>
      <c r="O20" s="87">
        <v>0.338889</v>
      </c>
      <c r="P20" s="87">
        <v>0.338889</v>
      </c>
      <c r="Q20" s="87">
        <v>0.338889</v>
      </c>
      <c r="R20" s="87">
        <v>1.365236</v>
      </c>
      <c r="S20" s="87">
        <v>1.365236</v>
      </c>
      <c r="T20" s="87">
        <v>0.338889</v>
      </c>
      <c r="U20" s="87">
        <v>0.338889</v>
      </c>
      <c r="V20" s="87">
        <v>0.338889</v>
      </c>
      <c r="W20" s="87">
        <v>1.365236</v>
      </c>
      <c r="X20" s="87">
        <v>1.365236</v>
      </c>
      <c r="Y20" s="87">
        <v>0.852062</v>
      </c>
      <c r="Z20" s="87">
        <v>0.467593</v>
      </c>
      <c r="AA20" s="87">
        <v>0.907405</v>
      </c>
      <c r="AB20" s="87">
        <v>0.942045</v>
      </c>
      <c r="AC20" s="87">
        <v>0.852062</v>
      </c>
      <c r="AD20" s="87">
        <v>0.919298</v>
      </c>
      <c r="AE20" s="87">
        <v>1.380698</v>
      </c>
      <c r="AF20" s="87">
        <v>2.165781</v>
      </c>
      <c r="AG20" s="87">
        <v>2.559953</v>
      </c>
      <c r="AH20" s="87">
        <v>0.0</v>
      </c>
      <c r="AI20" s="87">
        <v>1.944494</v>
      </c>
      <c r="AJ20" s="87">
        <v>1.674894</v>
      </c>
      <c r="AK20" s="87">
        <v>0.852062</v>
      </c>
      <c r="AL20" s="88" t="s">
        <v>1396</v>
      </c>
    </row>
    <row r="21">
      <c r="A21" s="84" t="s">
        <v>1431</v>
      </c>
      <c r="B21" s="84" t="s">
        <v>1432</v>
      </c>
      <c r="C21" s="84" t="s">
        <v>107</v>
      </c>
      <c r="D21" s="84" t="s">
        <v>1425</v>
      </c>
      <c r="E21" s="84" t="s">
        <v>1398</v>
      </c>
      <c r="F21" s="87">
        <v>4.0</v>
      </c>
      <c r="G21" s="87">
        <v>0.0</v>
      </c>
      <c r="H21" s="87">
        <v>852.0</v>
      </c>
      <c r="I21" s="87">
        <v>0.0</v>
      </c>
      <c r="J21" s="87">
        <v>7.243529</v>
      </c>
      <c r="K21" s="87">
        <v>5.854608</v>
      </c>
      <c r="L21" s="87">
        <v>5.450274</v>
      </c>
      <c r="M21" s="87">
        <v>3.270005</v>
      </c>
      <c r="N21" s="87">
        <v>0.558535</v>
      </c>
      <c r="O21" s="87">
        <v>0.249957</v>
      </c>
      <c r="P21" s="87">
        <v>0.249957</v>
      </c>
      <c r="Q21" s="87">
        <v>0.309804</v>
      </c>
      <c r="R21" s="87">
        <v>2.024842</v>
      </c>
      <c r="S21" s="87">
        <v>2.024842</v>
      </c>
      <c r="T21" s="87">
        <v>0.249957</v>
      </c>
      <c r="U21" s="87">
        <v>0.249957</v>
      </c>
      <c r="V21" s="87">
        <v>0.309804</v>
      </c>
      <c r="W21" s="87">
        <v>2.024842</v>
      </c>
      <c r="X21" s="87">
        <v>2.024842</v>
      </c>
      <c r="Y21" s="87">
        <v>1.463652</v>
      </c>
      <c r="Z21" s="87">
        <v>0.467593</v>
      </c>
      <c r="AA21" s="87">
        <v>0.907405</v>
      </c>
      <c r="AB21" s="87">
        <v>0.942045</v>
      </c>
      <c r="AC21" s="87">
        <v>0.852062</v>
      </c>
      <c r="AD21" s="87">
        <v>0.604598</v>
      </c>
      <c r="AE21" s="87">
        <v>1.075268</v>
      </c>
      <c r="AF21" s="87">
        <v>2.905084</v>
      </c>
      <c r="AG21" s="87">
        <v>1.036618</v>
      </c>
      <c r="AH21" s="87">
        <v>0.0</v>
      </c>
      <c r="AI21" s="87">
        <v>1.944494</v>
      </c>
      <c r="AJ21" s="87">
        <v>1.674894</v>
      </c>
      <c r="AK21" s="87">
        <v>0.852062</v>
      </c>
      <c r="AL21" s="88" t="s">
        <v>1396</v>
      </c>
    </row>
    <row r="22">
      <c r="A22" s="84" t="s">
        <v>1433</v>
      </c>
      <c r="B22" s="84" t="s">
        <v>1434</v>
      </c>
      <c r="C22" s="84" t="s">
        <v>107</v>
      </c>
      <c r="D22" s="84" t="s">
        <v>1425</v>
      </c>
      <c r="E22" s="84" t="s">
        <v>1400</v>
      </c>
      <c r="F22" s="87">
        <v>7.0</v>
      </c>
      <c r="G22" s="87">
        <v>0.0</v>
      </c>
      <c r="H22" s="87">
        <v>1000.0</v>
      </c>
      <c r="I22" s="87">
        <v>0.0</v>
      </c>
      <c r="J22" s="87">
        <v>6.339069</v>
      </c>
      <c r="K22" s="87">
        <v>5.650506</v>
      </c>
      <c r="L22" s="87">
        <v>5.132868</v>
      </c>
      <c r="M22" s="87">
        <v>2.024209</v>
      </c>
      <c r="N22" s="87">
        <v>0.358235</v>
      </c>
      <c r="O22" s="87">
        <v>0.466889</v>
      </c>
      <c r="P22" s="87">
        <v>0.467593</v>
      </c>
      <c r="Q22" s="87">
        <v>0.818519</v>
      </c>
      <c r="R22" s="87">
        <v>0.907405</v>
      </c>
      <c r="S22" s="87">
        <v>0.965891</v>
      </c>
      <c r="T22" s="87">
        <v>0.466889</v>
      </c>
      <c r="U22" s="87">
        <v>0.467593</v>
      </c>
      <c r="V22" s="87">
        <v>0.818519</v>
      </c>
      <c r="W22" s="87">
        <v>0.907405</v>
      </c>
      <c r="X22" s="87">
        <v>0.965891</v>
      </c>
      <c r="Y22" s="87">
        <v>0.807215</v>
      </c>
      <c r="Z22" s="87">
        <v>0.467593</v>
      </c>
      <c r="AA22" s="87">
        <v>0.907405</v>
      </c>
      <c r="AB22" s="87">
        <v>0.942045</v>
      </c>
      <c r="AC22" s="87">
        <v>0.852062</v>
      </c>
      <c r="AD22" s="87">
        <v>0.819971</v>
      </c>
      <c r="AE22" s="87">
        <v>1.223488</v>
      </c>
      <c r="AF22" s="87">
        <v>1.50437</v>
      </c>
      <c r="AG22" s="87">
        <v>1.524539</v>
      </c>
      <c r="AH22" s="87">
        <v>0.0</v>
      </c>
      <c r="AI22" s="87">
        <v>1.944494</v>
      </c>
      <c r="AJ22" s="87">
        <v>1.674894</v>
      </c>
      <c r="AK22" s="87">
        <v>0.852062</v>
      </c>
      <c r="AL22" s="88" t="s">
        <v>1396</v>
      </c>
    </row>
    <row r="23">
      <c r="A23" s="84" t="s">
        <v>1422</v>
      </c>
      <c r="B23" s="84" t="s">
        <v>1435</v>
      </c>
      <c r="C23" s="84" t="s">
        <v>107</v>
      </c>
      <c r="D23" s="84" t="s">
        <v>1425</v>
      </c>
      <c r="E23" s="84" t="s">
        <v>1403</v>
      </c>
      <c r="F23" s="87">
        <v>6.0</v>
      </c>
      <c r="G23" s="87">
        <v>1.0</v>
      </c>
      <c r="H23" s="87">
        <v>173.0</v>
      </c>
      <c r="I23" s="87">
        <v>173.0</v>
      </c>
      <c r="J23" s="87">
        <v>0.0</v>
      </c>
      <c r="K23" s="87">
        <v>0.0</v>
      </c>
      <c r="L23" s="87">
        <v>0.0</v>
      </c>
      <c r="M23" s="87">
        <v>0.0</v>
      </c>
      <c r="N23" s="87">
        <v>0.0</v>
      </c>
      <c r="O23" s="87">
        <v>0.0</v>
      </c>
      <c r="P23" s="87">
        <v>0.0</v>
      </c>
      <c r="Q23" s="87">
        <v>0.0</v>
      </c>
      <c r="R23" s="87">
        <v>0.0</v>
      </c>
      <c r="S23" s="87">
        <v>0.0</v>
      </c>
      <c r="T23" s="87">
        <v>0.0</v>
      </c>
      <c r="U23" s="87">
        <v>0.0</v>
      </c>
      <c r="V23" s="87">
        <v>0.0</v>
      </c>
      <c r="W23" s="87">
        <v>0.0</v>
      </c>
      <c r="X23" s="87">
        <v>0.0</v>
      </c>
      <c r="Y23" s="87">
        <v>0.0</v>
      </c>
      <c r="Z23" s="87">
        <v>0.467593</v>
      </c>
      <c r="AA23" s="87">
        <v>0.907405</v>
      </c>
      <c r="AB23" s="87">
        <v>0.942045</v>
      </c>
      <c r="AC23" s="87">
        <v>0.852062</v>
      </c>
      <c r="AD23" s="87">
        <v>0.0</v>
      </c>
      <c r="AE23" s="87">
        <v>0.0</v>
      </c>
      <c r="AF23" s="87">
        <v>0.0</v>
      </c>
      <c r="AG23" s="87">
        <v>0.0</v>
      </c>
      <c r="AH23" s="87">
        <v>0.0</v>
      </c>
      <c r="AI23" s="87">
        <v>1.944494</v>
      </c>
      <c r="AJ23" s="87">
        <v>1.674894</v>
      </c>
      <c r="AK23" s="87">
        <v>0.852062</v>
      </c>
      <c r="AL23" s="88" t="s">
        <v>1396</v>
      </c>
    </row>
    <row r="24">
      <c r="A24" s="84" t="s">
        <v>1427</v>
      </c>
      <c r="B24" s="84" t="s">
        <v>1436</v>
      </c>
      <c r="C24" s="84" t="s">
        <v>107</v>
      </c>
      <c r="D24" s="84" t="s">
        <v>1437</v>
      </c>
      <c r="E24" s="86">
        <v>46310.0</v>
      </c>
      <c r="F24" s="87">
        <v>2.0</v>
      </c>
      <c r="G24" s="87">
        <v>0.0</v>
      </c>
      <c r="H24" s="87">
        <v>295.0</v>
      </c>
      <c r="I24" s="87">
        <v>0.0</v>
      </c>
      <c r="J24" s="87">
        <v>0.836508</v>
      </c>
      <c r="K24" s="87">
        <v>0.83352</v>
      </c>
      <c r="L24" s="87">
        <v>0.878924</v>
      </c>
      <c r="M24" s="87">
        <v>0.628758</v>
      </c>
      <c r="N24" s="87">
        <v>0.754341</v>
      </c>
      <c r="O24" s="87">
        <v>0.204762</v>
      </c>
      <c r="P24" s="87">
        <v>0.204762</v>
      </c>
      <c r="Q24" s="87">
        <v>0.204762</v>
      </c>
      <c r="R24" s="87">
        <v>0.628758</v>
      </c>
      <c r="S24" s="87">
        <v>0.628758</v>
      </c>
      <c r="T24" s="87">
        <v>0.204762</v>
      </c>
      <c r="U24" s="87">
        <v>0.204762</v>
      </c>
      <c r="V24" s="87">
        <v>0.204762</v>
      </c>
      <c r="W24" s="87">
        <v>0.628758</v>
      </c>
      <c r="X24" s="87">
        <v>0.628758</v>
      </c>
      <c r="Y24" s="87">
        <v>0.41676</v>
      </c>
      <c r="Z24" s="87">
        <v>0.033333</v>
      </c>
      <c r="AA24" s="87">
        <v>0.5</v>
      </c>
      <c r="AB24" s="87">
        <v>0.391923</v>
      </c>
      <c r="AC24" s="87">
        <v>0.41676</v>
      </c>
      <c r="AD24" s="87">
        <v>4.940896</v>
      </c>
      <c r="AE24" s="87">
        <v>5.044467</v>
      </c>
      <c r="AF24" s="87">
        <v>6.358956</v>
      </c>
      <c r="AG24" s="87">
        <v>5.817529</v>
      </c>
      <c r="AH24" s="87">
        <v>0.0</v>
      </c>
      <c r="AI24" s="87">
        <v>1.944494</v>
      </c>
      <c r="AJ24" s="87">
        <v>1.674894</v>
      </c>
      <c r="AK24" s="87">
        <v>0.852062</v>
      </c>
      <c r="AL24" s="88" t="s">
        <v>1396</v>
      </c>
    </row>
    <row r="25">
      <c r="A25" s="84" t="s">
        <v>1429</v>
      </c>
      <c r="B25" s="84" t="s">
        <v>1438</v>
      </c>
      <c r="C25" s="84" t="s">
        <v>107</v>
      </c>
      <c r="D25" s="84" t="s">
        <v>1437</v>
      </c>
      <c r="E25" s="84" t="s">
        <v>1413</v>
      </c>
      <c r="F25" s="87">
        <v>6.0</v>
      </c>
      <c r="G25" s="87">
        <v>0.0</v>
      </c>
      <c r="H25" s="87">
        <v>408.0</v>
      </c>
      <c r="I25" s="87">
        <v>0.0</v>
      </c>
      <c r="J25" s="87">
        <v>2.612338</v>
      </c>
      <c r="K25" s="87">
        <v>4.248377</v>
      </c>
      <c r="L25" s="87">
        <v>5.011963</v>
      </c>
      <c r="M25" s="87">
        <v>3.330643</v>
      </c>
      <c r="N25" s="87">
        <v>0.78398</v>
      </c>
      <c r="O25" s="87">
        <v>0.0</v>
      </c>
      <c r="P25" s="87">
        <v>0.0</v>
      </c>
      <c r="Q25" s="87">
        <v>0.0</v>
      </c>
      <c r="R25" s="87">
        <v>0.5</v>
      </c>
      <c r="S25" s="87">
        <v>1.380698</v>
      </c>
      <c r="T25" s="87">
        <v>0.417734</v>
      </c>
      <c r="U25" s="87">
        <v>0.417734</v>
      </c>
      <c r="V25" s="87">
        <v>0.5</v>
      </c>
      <c r="W25" s="87">
        <v>1.380698</v>
      </c>
      <c r="X25" s="87">
        <v>1.380698</v>
      </c>
      <c r="Y25" s="87">
        <v>0.708063</v>
      </c>
      <c r="Z25" s="87">
        <v>0.033333</v>
      </c>
      <c r="AA25" s="87">
        <v>0.5</v>
      </c>
      <c r="AB25" s="87">
        <v>0.391923</v>
      </c>
      <c r="AC25" s="87">
        <v>0.41676</v>
      </c>
      <c r="AD25" s="87">
        <v>0.919298</v>
      </c>
      <c r="AE25" s="87">
        <v>1.380698</v>
      </c>
      <c r="AF25" s="87">
        <v>2.165781</v>
      </c>
      <c r="AG25" s="87">
        <v>2.559953</v>
      </c>
      <c r="AH25" s="87">
        <v>0.0</v>
      </c>
      <c r="AI25" s="87">
        <v>1.944494</v>
      </c>
      <c r="AJ25" s="87">
        <v>1.674894</v>
      </c>
      <c r="AK25" s="87">
        <v>0.852062</v>
      </c>
      <c r="AL25" s="88" t="s">
        <v>1396</v>
      </c>
    </row>
    <row r="26">
      <c r="A26" s="84" t="s">
        <v>1431</v>
      </c>
      <c r="B26" s="84" t="s">
        <v>1439</v>
      </c>
      <c r="C26" s="84" t="s">
        <v>107</v>
      </c>
      <c r="D26" s="84" t="s">
        <v>1437</v>
      </c>
      <c r="E26" s="84" t="s">
        <v>1398</v>
      </c>
      <c r="F26" s="87">
        <v>3.0</v>
      </c>
      <c r="G26" s="87">
        <v>0.0</v>
      </c>
      <c r="H26" s="87">
        <v>110.0</v>
      </c>
      <c r="I26" s="87">
        <v>0.0</v>
      </c>
      <c r="J26" s="87">
        <v>0.896825</v>
      </c>
      <c r="K26" s="87">
        <v>1.018309</v>
      </c>
      <c r="L26" s="87">
        <v>2.470283</v>
      </c>
      <c r="M26" s="87">
        <v>0.572991</v>
      </c>
      <c r="N26" s="87">
        <v>0.562689</v>
      </c>
      <c r="O26" s="87">
        <v>0.0</v>
      </c>
      <c r="P26" s="87">
        <v>0.0</v>
      </c>
      <c r="Q26" s="87">
        <v>0.0</v>
      </c>
      <c r="R26" s="87">
        <v>0.445317</v>
      </c>
      <c r="S26" s="87">
        <v>0.572991</v>
      </c>
      <c r="T26" s="87">
        <v>0.445317</v>
      </c>
      <c r="U26" s="87">
        <v>0.445317</v>
      </c>
      <c r="V26" s="87">
        <v>0.445317</v>
      </c>
      <c r="W26" s="87">
        <v>0.572991</v>
      </c>
      <c r="X26" s="87">
        <v>0.572991</v>
      </c>
      <c r="Y26" s="87">
        <v>0.339436</v>
      </c>
      <c r="Z26" s="87">
        <v>0.033333</v>
      </c>
      <c r="AA26" s="87">
        <v>0.5</v>
      </c>
      <c r="AB26" s="87">
        <v>0.391923</v>
      </c>
      <c r="AC26" s="87">
        <v>0.41676</v>
      </c>
      <c r="AD26" s="87">
        <v>0.604598</v>
      </c>
      <c r="AE26" s="87">
        <v>1.075268</v>
      </c>
      <c r="AF26" s="87">
        <v>2.905084</v>
      </c>
      <c r="AG26" s="87">
        <v>1.036618</v>
      </c>
      <c r="AH26" s="87">
        <v>0.0</v>
      </c>
      <c r="AI26" s="87">
        <v>1.944494</v>
      </c>
      <c r="AJ26" s="87">
        <v>1.674894</v>
      </c>
      <c r="AK26" s="87">
        <v>0.852062</v>
      </c>
      <c r="AL26" s="88" t="s">
        <v>1396</v>
      </c>
    </row>
    <row r="27">
      <c r="A27" s="84" t="s">
        <v>1433</v>
      </c>
      <c r="B27" s="84" t="s">
        <v>1440</v>
      </c>
      <c r="C27" s="84" t="s">
        <v>107</v>
      </c>
      <c r="D27" s="84" t="s">
        <v>1437</v>
      </c>
      <c r="E27" s="84" t="s">
        <v>1400</v>
      </c>
      <c r="F27" s="87">
        <v>17.0</v>
      </c>
      <c r="G27" s="87">
        <v>0.0</v>
      </c>
      <c r="H27" s="87">
        <v>2346.0</v>
      </c>
      <c r="I27" s="87">
        <v>0.0</v>
      </c>
      <c r="J27" s="87">
        <v>11.15745</v>
      </c>
      <c r="K27" s="87">
        <v>11.92824</v>
      </c>
      <c r="L27" s="87">
        <v>13.27689</v>
      </c>
      <c r="M27" s="87">
        <v>7.785888</v>
      </c>
      <c r="N27" s="87">
        <v>0.652727</v>
      </c>
      <c r="O27" s="87">
        <v>0.0</v>
      </c>
      <c r="P27" s="87">
        <v>0.033333</v>
      </c>
      <c r="Q27" s="87">
        <v>0.066667</v>
      </c>
      <c r="R27" s="87">
        <v>0.280952</v>
      </c>
      <c r="S27" s="87">
        <v>0.907405</v>
      </c>
      <c r="T27" s="87">
        <v>0.033333</v>
      </c>
      <c r="U27" s="87">
        <v>0.066667</v>
      </c>
      <c r="V27" s="87">
        <v>0.142857</v>
      </c>
      <c r="W27" s="87">
        <v>0.366667</v>
      </c>
      <c r="X27" s="87">
        <v>1.196848</v>
      </c>
      <c r="Y27" s="87">
        <v>0.701661</v>
      </c>
      <c r="Z27" s="87">
        <v>0.033333</v>
      </c>
      <c r="AA27" s="87">
        <v>0.5</v>
      </c>
      <c r="AB27" s="87">
        <v>0.391923</v>
      </c>
      <c r="AC27" s="87">
        <v>0.41676</v>
      </c>
      <c r="AD27" s="87">
        <v>0.819971</v>
      </c>
      <c r="AE27" s="87">
        <v>1.223488</v>
      </c>
      <c r="AF27" s="87">
        <v>1.50437</v>
      </c>
      <c r="AG27" s="87">
        <v>1.524539</v>
      </c>
      <c r="AH27" s="87">
        <v>0.0</v>
      </c>
      <c r="AI27" s="87">
        <v>1.944494</v>
      </c>
      <c r="AJ27" s="87">
        <v>1.674894</v>
      </c>
      <c r="AK27" s="87">
        <v>0.852062</v>
      </c>
      <c r="AL27" s="88" t="s">
        <v>1396</v>
      </c>
    </row>
    <row r="28">
      <c r="A28" s="84" t="s">
        <v>1422</v>
      </c>
      <c r="B28" s="84" t="s">
        <v>1441</v>
      </c>
      <c r="C28" s="84" t="s">
        <v>107</v>
      </c>
      <c r="D28" s="84" t="s">
        <v>1437</v>
      </c>
      <c r="E28" s="84" t="s">
        <v>1403</v>
      </c>
      <c r="F28" s="87">
        <v>18.0</v>
      </c>
      <c r="G28" s="87">
        <v>1.0</v>
      </c>
      <c r="H28" s="87">
        <v>34.0</v>
      </c>
      <c r="I28" s="87">
        <v>34.0</v>
      </c>
      <c r="J28" s="87">
        <v>0.0</v>
      </c>
      <c r="K28" s="87">
        <v>0.0</v>
      </c>
      <c r="L28" s="87">
        <v>0.0</v>
      </c>
      <c r="M28" s="87">
        <v>0.0</v>
      </c>
      <c r="N28" s="87">
        <v>0.0</v>
      </c>
      <c r="O28" s="87">
        <v>0.0</v>
      </c>
      <c r="P28" s="87">
        <v>0.0</v>
      </c>
      <c r="Q28" s="87">
        <v>0.0</v>
      </c>
      <c r="R28" s="87">
        <v>0.0</v>
      </c>
      <c r="S28" s="87">
        <v>0.0</v>
      </c>
      <c r="T28" s="87">
        <v>0.0</v>
      </c>
      <c r="U28" s="87">
        <v>0.0</v>
      </c>
      <c r="V28" s="87">
        <v>0.0</v>
      </c>
      <c r="W28" s="87">
        <v>0.0</v>
      </c>
      <c r="X28" s="87">
        <v>0.0</v>
      </c>
      <c r="Y28" s="87">
        <v>0.0</v>
      </c>
      <c r="Z28" s="87">
        <v>0.033333</v>
      </c>
      <c r="AA28" s="87">
        <v>0.5</v>
      </c>
      <c r="AB28" s="87">
        <v>0.391923</v>
      </c>
      <c r="AC28" s="87">
        <v>0.41676</v>
      </c>
      <c r="AD28" s="87">
        <v>0.0</v>
      </c>
      <c r="AE28" s="87">
        <v>0.0</v>
      </c>
      <c r="AF28" s="87">
        <v>0.0</v>
      </c>
      <c r="AG28" s="87">
        <v>0.0</v>
      </c>
      <c r="AH28" s="87">
        <v>0.0</v>
      </c>
      <c r="AI28" s="87">
        <v>1.944494</v>
      </c>
      <c r="AJ28" s="87">
        <v>1.674894</v>
      </c>
      <c r="AK28" s="87">
        <v>0.852062</v>
      </c>
      <c r="AL28" s="88" t="s">
        <v>1396</v>
      </c>
    </row>
    <row r="29">
      <c r="A29" s="84" t="s">
        <v>1423</v>
      </c>
      <c r="B29" s="84" t="s">
        <v>1442</v>
      </c>
      <c r="C29" s="84" t="s">
        <v>107</v>
      </c>
      <c r="D29" s="84" t="s">
        <v>120</v>
      </c>
      <c r="E29" s="84" t="s">
        <v>1426</v>
      </c>
      <c r="F29" s="87">
        <v>2.0</v>
      </c>
      <c r="G29" s="87">
        <v>0.0</v>
      </c>
      <c r="H29" s="87">
        <v>3162.0</v>
      </c>
      <c r="I29" s="87">
        <v>0.0</v>
      </c>
      <c r="J29" s="87">
        <v>42.18712</v>
      </c>
      <c r="K29" s="87">
        <v>39.48128</v>
      </c>
      <c r="L29" s="87">
        <v>39.13113</v>
      </c>
      <c r="M29" s="87">
        <v>25.49885</v>
      </c>
      <c r="N29" s="87">
        <v>0.645847</v>
      </c>
      <c r="O29" s="87">
        <v>13.98243</v>
      </c>
      <c r="P29" s="87">
        <v>13.98243</v>
      </c>
      <c r="Q29" s="87">
        <v>13.98243</v>
      </c>
      <c r="R29" s="87">
        <v>25.49885</v>
      </c>
      <c r="S29" s="87">
        <v>25.49885</v>
      </c>
      <c r="T29" s="87">
        <v>13.98243</v>
      </c>
      <c r="U29" s="87">
        <v>13.98243</v>
      </c>
      <c r="V29" s="87">
        <v>13.98243</v>
      </c>
      <c r="W29" s="87">
        <v>25.49885</v>
      </c>
      <c r="X29" s="87">
        <v>25.49885</v>
      </c>
      <c r="Y29" s="87">
        <v>19.74064</v>
      </c>
      <c r="Z29" s="87">
        <v>0.0</v>
      </c>
      <c r="AA29" s="87">
        <v>4.700865</v>
      </c>
      <c r="AB29" s="87">
        <v>2.072861</v>
      </c>
      <c r="AC29" s="87">
        <v>2.559953</v>
      </c>
      <c r="AD29" s="87">
        <v>6.742408</v>
      </c>
      <c r="AE29" s="87">
        <v>13.98243</v>
      </c>
      <c r="AF29" s="87">
        <v>9.244738</v>
      </c>
      <c r="AG29" s="87">
        <v>6.742408</v>
      </c>
      <c r="AH29" s="87">
        <v>0.0</v>
      </c>
      <c r="AI29" s="87">
        <v>1.944494</v>
      </c>
      <c r="AJ29" s="87">
        <v>1.674894</v>
      </c>
      <c r="AK29" s="87">
        <v>0.852062</v>
      </c>
      <c r="AL29" s="88" t="s">
        <v>1396</v>
      </c>
    </row>
    <row r="30">
      <c r="A30" s="84" t="s">
        <v>1427</v>
      </c>
      <c r="B30" s="84" t="s">
        <v>1443</v>
      </c>
      <c r="C30" s="84" t="s">
        <v>107</v>
      </c>
      <c r="D30" s="84" t="s">
        <v>120</v>
      </c>
      <c r="E30" s="86">
        <v>46310.0</v>
      </c>
      <c r="F30" s="87">
        <v>20.0</v>
      </c>
      <c r="G30" s="87">
        <v>0.0</v>
      </c>
      <c r="H30" s="87">
        <v>10154.0</v>
      </c>
      <c r="I30" s="87">
        <v>0.0</v>
      </c>
      <c r="J30" s="87">
        <v>115.4056</v>
      </c>
      <c r="K30" s="87">
        <v>116.3506</v>
      </c>
      <c r="L30" s="87">
        <v>117.5589</v>
      </c>
      <c r="M30" s="87">
        <v>37.94324</v>
      </c>
      <c r="N30" s="87">
        <v>0.326111</v>
      </c>
      <c r="O30" s="87">
        <v>2.113793</v>
      </c>
      <c r="P30" s="87">
        <v>3.277392</v>
      </c>
      <c r="Q30" s="87">
        <v>3.852793</v>
      </c>
      <c r="R30" s="87">
        <v>6.018057</v>
      </c>
      <c r="S30" s="87">
        <v>8.02561</v>
      </c>
      <c r="T30" s="87">
        <v>2.113793</v>
      </c>
      <c r="U30" s="87">
        <v>3.277392</v>
      </c>
      <c r="V30" s="87">
        <v>3.852793</v>
      </c>
      <c r="W30" s="87">
        <v>6.018057</v>
      </c>
      <c r="X30" s="87">
        <v>8.02561</v>
      </c>
      <c r="Y30" s="87">
        <v>5.817529</v>
      </c>
      <c r="Z30" s="87">
        <v>0.0</v>
      </c>
      <c r="AA30" s="87">
        <v>4.700865</v>
      </c>
      <c r="AB30" s="87">
        <v>2.072861</v>
      </c>
      <c r="AC30" s="87">
        <v>2.559953</v>
      </c>
      <c r="AD30" s="87">
        <v>4.940896</v>
      </c>
      <c r="AE30" s="87">
        <v>5.044467</v>
      </c>
      <c r="AF30" s="87">
        <v>6.358956</v>
      </c>
      <c r="AG30" s="87">
        <v>5.817529</v>
      </c>
      <c r="AH30" s="87">
        <v>0.0</v>
      </c>
      <c r="AI30" s="87">
        <v>1.944494</v>
      </c>
      <c r="AJ30" s="87">
        <v>1.674894</v>
      </c>
      <c r="AK30" s="87">
        <v>0.852062</v>
      </c>
      <c r="AL30" s="88" t="s">
        <v>1396</v>
      </c>
    </row>
    <row r="31">
      <c r="A31" s="84" t="s">
        <v>1429</v>
      </c>
      <c r="B31" s="84" t="s">
        <v>1444</v>
      </c>
      <c r="C31" s="84" t="s">
        <v>107</v>
      </c>
      <c r="D31" s="84" t="s">
        <v>120</v>
      </c>
      <c r="E31" s="84" t="s">
        <v>1413</v>
      </c>
      <c r="F31" s="87">
        <v>6.0</v>
      </c>
      <c r="G31" s="87">
        <v>0.0</v>
      </c>
      <c r="H31" s="87">
        <v>1030.0</v>
      </c>
      <c r="I31" s="87">
        <v>0.0</v>
      </c>
      <c r="J31" s="87">
        <v>21.28644</v>
      </c>
      <c r="K31" s="87">
        <v>15.35972</v>
      </c>
      <c r="L31" s="87">
        <v>13.99204</v>
      </c>
      <c r="M31" s="87">
        <v>10.19609</v>
      </c>
      <c r="N31" s="87">
        <v>0.66382</v>
      </c>
      <c r="O31" s="87">
        <v>0.0</v>
      </c>
      <c r="P31" s="87">
        <v>0.25</v>
      </c>
      <c r="Q31" s="87">
        <v>0.25</v>
      </c>
      <c r="R31" s="87">
        <v>3.277122</v>
      </c>
      <c r="S31" s="87">
        <v>3.441991</v>
      </c>
      <c r="T31" s="87">
        <v>0.25</v>
      </c>
      <c r="U31" s="87">
        <v>1.636508</v>
      </c>
      <c r="V31" s="87">
        <v>1.636508</v>
      </c>
      <c r="W31" s="87">
        <v>3.277122</v>
      </c>
      <c r="X31" s="87">
        <v>3.441991</v>
      </c>
      <c r="Y31" s="87">
        <v>2.559953</v>
      </c>
      <c r="Z31" s="87">
        <v>0.0</v>
      </c>
      <c r="AA31" s="87">
        <v>4.700865</v>
      </c>
      <c r="AB31" s="87">
        <v>2.072861</v>
      </c>
      <c r="AC31" s="87">
        <v>2.559953</v>
      </c>
      <c r="AD31" s="87">
        <v>0.919298</v>
      </c>
      <c r="AE31" s="87">
        <v>1.380698</v>
      </c>
      <c r="AF31" s="87">
        <v>2.165781</v>
      </c>
      <c r="AG31" s="87">
        <v>2.559953</v>
      </c>
      <c r="AH31" s="87">
        <v>0.0</v>
      </c>
      <c r="AI31" s="87">
        <v>1.944494</v>
      </c>
      <c r="AJ31" s="87">
        <v>1.674894</v>
      </c>
      <c r="AK31" s="87">
        <v>0.852062</v>
      </c>
      <c r="AL31" s="88" t="s">
        <v>1396</v>
      </c>
    </row>
    <row r="32">
      <c r="A32" s="84" t="s">
        <v>1431</v>
      </c>
      <c r="B32" s="84" t="s">
        <v>1445</v>
      </c>
      <c r="C32" s="84" t="s">
        <v>107</v>
      </c>
      <c r="D32" s="84" t="s">
        <v>120</v>
      </c>
      <c r="E32" s="84" t="s">
        <v>1398</v>
      </c>
      <c r="F32" s="87">
        <v>5.0</v>
      </c>
      <c r="G32" s="87">
        <v>0.0</v>
      </c>
      <c r="H32" s="87">
        <v>532.0</v>
      </c>
      <c r="I32" s="87">
        <v>0.0</v>
      </c>
      <c r="J32" s="87">
        <v>3.931319</v>
      </c>
      <c r="K32" s="87">
        <v>5.183091</v>
      </c>
      <c r="L32" s="87">
        <v>4.518586</v>
      </c>
      <c r="M32" s="87">
        <v>1.839733</v>
      </c>
      <c r="N32" s="87">
        <v>0.354949</v>
      </c>
      <c r="O32" s="87">
        <v>0.0</v>
      </c>
      <c r="P32" s="87">
        <v>0.604598</v>
      </c>
      <c r="Q32" s="87">
        <v>0.604598</v>
      </c>
      <c r="R32" s="87">
        <v>1.075268</v>
      </c>
      <c r="S32" s="87">
        <v>1.663492</v>
      </c>
      <c r="T32" s="87">
        <v>0.604598</v>
      </c>
      <c r="U32" s="87">
        <v>0.604598</v>
      </c>
      <c r="V32" s="87">
        <v>1.075268</v>
      </c>
      <c r="W32" s="87">
        <v>1.663492</v>
      </c>
      <c r="X32" s="87">
        <v>1.663492</v>
      </c>
      <c r="Y32" s="87">
        <v>1.036618</v>
      </c>
      <c r="Z32" s="87">
        <v>0.0</v>
      </c>
      <c r="AA32" s="87">
        <v>4.700865</v>
      </c>
      <c r="AB32" s="87">
        <v>2.072861</v>
      </c>
      <c r="AC32" s="87">
        <v>2.559953</v>
      </c>
      <c r="AD32" s="87">
        <v>0.604598</v>
      </c>
      <c r="AE32" s="87">
        <v>1.075268</v>
      </c>
      <c r="AF32" s="87">
        <v>2.905084</v>
      </c>
      <c r="AG32" s="87">
        <v>1.036618</v>
      </c>
      <c r="AH32" s="87">
        <v>0.0</v>
      </c>
      <c r="AI32" s="87">
        <v>1.944494</v>
      </c>
      <c r="AJ32" s="87">
        <v>1.674894</v>
      </c>
      <c r="AK32" s="87">
        <v>0.852062</v>
      </c>
      <c r="AL32" s="88" t="s">
        <v>1396</v>
      </c>
    </row>
    <row r="33">
      <c r="A33" s="84" t="s">
        <v>1433</v>
      </c>
      <c r="B33" s="84" t="s">
        <v>1446</v>
      </c>
      <c r="C33" s="84" t="s">
        <v>107</v>
      </c>
      <c r="D33" s="84" t="s">
        <v>120</v>
      </c>
      <c r="E33" s="84" t="s">
        <v>1400</v>
      </c>
      <c r="F33" s="87">
        <v>23.0</v>
      </c>
      <c r="G33" s="87">
        <v>0.0</v>
      </c>
      <c r="H33" s="87">
        <v>5716.0</v>
      </c>
      <c r="I33" s="87">
        <v>0.0</v>
      </c>
      <c r="J33" s="87">
        <v>25.61588</v>
      </c>
      <c r="K33" s="87">
        <v>24.61555</v>
      </c>
      <c r="L33" s="87">
        <v>25.96152</v>
      </c>
      <c r="M33" s="87">
        <v>11.85411</v>
      </c>
      <c r="N33" s="87">
        <v>0.48157</v>
      </c>
      <c r="O33" s="87">
        <v>0.0</v>
      </c>
      <c r="P33" s="87">
        <v>0.333333</v>
      </c>
      <c r="Q33" s="87">
        <v>0.485965</v>
      </c>
      <c r="R33" s="87">
        <v>0.801372</v>
      </c>
      <c r="S33" s="87">
        <v>1.475322</v>
      </c>
      <c r="T33" s="87">
        <v>0.398925</v>
      </c>
      <c r="U33" s="87">
        <v>0.569342</v>
      </c>
      <c r="V33" s="87">
        <v>0.629032</v>
      </c>
      <c r="W33" s="87">
        <v>1.224731</v>
      </c>
      <c r="X33" s="87">
        <v>1.669429</v>
      </c>
      <c r="Y33" s="87">
        <v>1.070241</v>
      </c>
      <c r="Z33" s="87">
        <v>0.0</v>
      </c>
      <c r="AA33" s="87">
        <v>4.700865</v>
      </c>
      <c r="AB33" s="87">
        <v>2.072861</v>
      </c>
      <c r="AC33" s="87">
        <v>2.559953</v>
      </c>
      <c r="AD33" s="87">
        <v>0.819971</v>
      </c>
      <c r="AE33" s="87">
        <v>1.223488</v>
      </c>
      <c r="AF33" s="87">
        <v>1.50437</v>
      </c>
      <c r="AG33" s="87">
        <v>1.524539</v>
      </c>
      <c r="AH33" s="87">
        <v>0.0</v>
      </c>
      <c r="AI33" s="87">
        <v>1.944494</v>
      </c>
      <c r="AJ33" s="87">
        <v>1.674894</v>
      </c>
      <c r="AK33" s="87">
        <v>0.852062</v>
      </c>
      <c r="AL33" s="88" t="s">
        <v>1396</v>
      </c>
    </row>
    <row r="34">
      <c r="A34" s="84" t="s">
        <v>1447</v>
      </c>
      <c r="B34" s="84" t="s">
        <v>1448</v>
      </c>
      <c r="C34" s="84" t="s">
        <v>107</v>
      </c>
      <c r="D34" s="84" t="s">
        <v>120</v>
      </c>
      <c r="E34" s="89">
        <v>46300.0</v>
      </c>
      <c r="F34" s="87">
        <v>38.0</v>
      </c>
      <c r="G34" s="87">
        <v>0.0</v>
      </c>
      <c r="H34" s="87">
        <v>18259.0</v>
      </c>
      <c r="I34" s="87">
        <v>0.0</v>
      </c>
      <c r="J34" s="87">
        <v>226.9654</v>
      </c>
      <c r="K34" s="87">
        <v>232.2377</v>
      </c>
      <c r="L34" s="87">
        <v>228.7983</v>
      </c>
      <c r="M34" s="87">
        <v>130.1928</v>
      </c>
      <c r="N34" s="87">
        <v>0.560602</v>
      </c>
      <c r="O34" s="87">
        <v>0.0</v>
      </c>
      <c r="P34" s="87">
        <v>0.0</v>
      </c>
      <c r="Q34" s="87">
        <v>0.0</v>
      </c>
      <c r="R34" s="87">
        <v>5.351227</v>
      </c>
      <c r="S34" s="87">
        <v>7.837183</v>
      </c>
      <c r="T34" s="87">
        <v>3.219366</v>
      </c>
      <c r="U34" s="87">
        <v>4.829101</v>
      </c>
      <c r="V34" s="87">
        <v>5.351227</v>
      </c>
      <c r="W34" s="87">
        <v>6.859468</v>
      </c>
      <c r="X34" s="87">
        <v>9.697403</v>
      </c>
      <c r="Y34" s="87">
        <v>6.111517</v>
      </c>
      <c r="Z34" s="87">
        <v>0.0</v>
      </c>
      <c r="AA34" s="87">
        <v>4.700865</v>
      </c>
      <c r="AB34" s="87">
        <v>2.072861</v>
      </c>
      <c r="AC34" s="87">
        <v>2.559953</v>
      </c>
      <c r="AD34" s="87">
        <v>4.700865</v>
      </c>
      <c r="AE34" s="87">
        <v>6.467258</v>
      </c>
      <c r="AF34" s="87">
        <v>7.243518</v>
      </c>
      <c r="AG34" s="87">
        <v>12.02307</v>
      </c>
      <c r="AH34" s="87">
        <v>0.0</v>
      </c>
      <c r="AI34" s="87">
        <v>1.944494</v>
      </c>
      <c r="AJ34" s="87">
        <v>1.674894</v>
      </c>
      <c r="AK34" s="87">
        <v>0.852062</v>
      </c>
      <c r="AL34" s="88" t="s">
        <v>1396</v>
      </c>
    </row>
    <row r="35">
      <c r="A35" s="84" t="s">
        <v>1422</v>
      </c>
      <c r="B35" s="84" t="s">
        <v>1449</v>
      </c>
      <c r="C35" s="84" t="s">
        <v>107</v>
      </c>
      <c r="D35" s="84" t="s">
        <v>120</v>
      </c>
      <c r="E35" s="84" t="s">
        <v>1403</v>
      </c>
      <c r="F35" s="87">
        <v>115.0</v>
      </c>
      <c r="G35" s="87">
        <v>7.0</v>
      </c>
      <c r="H35" s="87">
        <v>849.0</v>
      </c>
      <c r="I35" s="87">
        <v>849.0</v>
      </c>
      <c r="J35" s="87">
        <v>0.0</v>
      </c>
      <c r="K35" s="87">
        <v>0.0</v>
      </c>
      <c r="L35" s="87">
        <v>0.0</v>
      </c>
      <c r="M35" s="87">
        <v>0.0</v>
      </c>
      <c r="N35" s="87">
        <v>0.0</v>
      </c>
      <c r="O35" s="87">
        <v>0.0</v>
      </c>
      <c r="P35" s="87">
        <v>0.0</v>
      </c>
      <c r="Q35" s="87">
        <v>0.0</v>
      </c>
      <c r="R35" s="87">
        <v>0.0</v>
      </c>
      <c r="S35" s="87">
        <v>0.0</v>
      </c>
      <c r="T35" s="87">
        <v>0.0</v>
      </c>
      <c r="U35" s="87">
        <v>0.0</v>
      </c>
      <c r="V35" s="87">
        <v>0.0</v>
      </c>
      <c r="W35" s="87">
        <v>0.0</v>
      </c>
      <c r="X35" s="87">
        <v>0.0</v>
      </c>
      <c r="Y35" s="87">
        <v>0.0</v>
      </c>
      <c r="Z35" s="87">
        <v>0.0</v>
      </c>
      <c r="AA35" s="87">
        <v>4.700865</v>
      </c>
      <c r="AB35" s="87">
        <v>2.072861</v>
      </c>
      <c r="AC35" s="87">
        <v>2.559953</v>
      </c>
      <c r="AD35" s="87">
        <v>0.0</v>
      </c>
      <c r="AE35" s="87">
        <v>0.0</v>
      </c>
      <c r="AF35" s="87">
        <v>0.0</v>
      </c>
      <c r="AG35" s="87">
        <v>0.0</v>
      </c>
      <c r="AH35" s="87">
        <v>0.0</v>
      </c>
      <c r="AI35" s="87">
        <v>1.944494</v>
      </c>
      <c r="AJ35" s="87">
        <v>1.674894</v>
      </c>
      <c r="AK35" s="87">
        <v>0.852062</v>
      </c>
      <c r="AL35" s="88" t="s">
        <v>1396</v>
      </c>
    </row>
    <row r="36">
      <c r="A36" s="84" t="s">
        <v>1427</v>
      </c>
      <c r="B36" s="84" t="s">
        <v>1450</v>
      </c>
      <c r="C36" s="84" t="s">
        <v>107</v>
      </c>
      <c r="D36" s="84" t="s">
        <v>1451</v>
      </c>
      <c r="E36" s="86">
        <v>46310.0</v>
      </c>
      <c r="F36" s="87">
        <v>1.0</v>
      </c>
      <c r="G36" s="87">
        <v>0.0</v>
      </c>
      <c r="H36" s="87">
        <v>0.0</v>
      </c>
      <c r="I36" s="87">
        <v>0.0</v>
      </c>
      <c r="J36" s="87">
        <v>0.0</v>
      </c>
      <c r="K36" s="87">
        <v>0.0</v>
      </c>
      <c r="L36" s="87">
        <v>0.0</v>
      </c>
      <c r="M36" s="87">
        <v>0.0</v>
      </c>
      <c r="N36" s="87">
        <v>0.0</v>
      </c>
      <c r="O36" s="87">
        <v>0.0</v>
      </c>
      <c r="P36" s="87">
        <v>0.0</v>
      </c>
      <c r="Q36" s="87">
        <v>0.0</v>
      </c>
      <c r="R36" s="87">
        <v>0.0</v>
      </c>
      <c r="S36" s="87">
        <v>0.0</v>
      </c>
      <c r="T36" s="87">
        <v>0.0</v>
      </c>
      <c r="U36" s="87">
        <v>0.0</v>
      </c>
      <c r="V36" s="87">
        <v>0.0</v>
      </c>
      <c r="W36" s="87">
        <v>0.0</v>
      </c>
      <c r="X36" s="87">
        <v>0.0</v>
      </c>
      <c r="Y36" s="87">
        <v>0.0</v>
      </c>
      <c r="Z36" s="87">
        <v>0.0</v>
      </c>
      <c r="AA36" s="87">
        <v>1.616149</v>
      </c>
      <c r="AB36" s="87">
        <v>0.818778</v>
      </c>
      <c r="AC36" s="87">
        <v>0.043478</v>
      </c>
      <c r="AD36" s="87">
        <v>4.940896</v>
      </c>
      <c r="AE36" s="87">
        <v>5.044467</v>
      </c>
      <c r="AF36" s="87">
        <v>6.358956</v>
      </c>
      <c r="AG36" s="87">
        <v>5.817529</v>
      </c>
      <c r="AH36" s="87">
        <v>0.0</v>
      </c>
      <c r="AI36" s="87">
        <v>1.944494</v>
      </c>
      <c r="AJ36" s="87">
        <v>1.674894</v>
      </c>
      <c r="AK36" s="87">
        <v>0.852062</v>
      </c>
      <c r="AL36" s="88" t="s">
        <v>1396</v>
      </c>
    </row>
    <row r="37">
      <c r="A37" s="84" t="s">
        <v>1431</v>
      </c>
      <c r="B37" s="84" t="s">
        <v>1452</v>
      </c>
      <c r="C37" s="84" t="s">
        <v>107</v>
      </c>
      <c r="D37" s="84" t="s">
        <v>1451</v>
      </c>
      <c r="E37" s="84" t="s">
        <v>1398</v>
      </c>
      <c r="F37" s="87">
        <v>1.0</v>
      </c>
      <c r="G37" s="87">
        <v>0.0</v>
      </c>
      <c r="H37" s="87">
        <v>0.0</v>
      </c>
      <c r="I37" s="87">
        <v>0.0</v>
      </c>
      <c r="J37" s="87">
        <v>0.142857</v>
      </c>
      <c r="K37" s="87">
        <v>0.043478</v>
      </c>
      <c r="L37" s="87">
        <v>0.393868</v>
      </c>
      <c r="M37" s="87">
        <v>0.043478</v>
      </c>
      <c r="N37" s="87">
        <v>1.0</v>
      </c>
      <c r="O37" s="87">
        <v>0.043478</v>
      </c>
      <c r="P37" s="87">
        <v>0.043478</v>
      </c>
      <c r="Q37" s="87">
        <v>0.043478</v>
      </c>
      <c r="R37" s="87">
        <v>0.043478</v>
      </c>
      <c r="S37" s="87">
        <v>0.043478</v>
      </c>
      <c r="T37" s="87">
        <v>0.043478</v>
      </c>
      <c r="U37" s="87">
        <v>0.043478</v>
      </c>
      <c r="V37" s="87">
        <v>0.043478</v>
      </c>
      <c r="W37" s="87">
        <v>0.043478</v>
      </c>
      <c r="X37" s="87">
        <v>0.043478</v>
      </c>
      <c r="Y37" s="87">
        <v>0.043478</v>
      </c>
      <c r="Z37" s="87">
        <v>0.0</v>
      </c>
      <c r="AA37" s="87">
        <v>1.616149</v>
      </c>
      <c r="AB37" s="87">
        <v>0.818778</v>
      </c>
      <c r="AC37" s="87">
        <v>0.043478</v>
      </c>
      <c r="AD37" s="87">
        <v>0.604598</v>
      </c>
      <c r="AE37" s="87">
        <v>1.075268</v>
      </c>
      <c r="AF37" s="87">
        <v>2.905084</v>
      </c>
      <c r="AG37" s="87">
        <v>1.036618</v>
      </c>
      <c r="AH37" s="87">
        <v>0.0</v>
      </c>
      <c r="AI37" s="87">
        <v>1.944494</v>
      </c>
      <c r="AJ37" s="87">
        <v>1.674894</v>
      </c>
      <c r="AK37" s="87">
        <v>0.852062</v>
      </c>
      <c r="AL37" s="88" t="s">
        <v>1396</v>
      </c>
    </row>
    <row r="38">
      <c r="A38" s="84" t="s">
        <v>1433</v>
      </c>
      <c r="B38" s="84" t="s">
        <v>1453</v>
      </c>
      <c r="C38" s="84" t="s">
        <v>107</v>
      </c>
      <c r="D38" s="84" t="s">
        <v>1451</v>
      </c>
      <c r="E38" s="84" t="s">
        <v>1400</v>
      </c>
      <c r="F38" s="87">
        <v>58.0</v>
      </c>
      <c r="G38" s="87">
        <v>1.0</v>
      </c>
      <c r="H38" s="87">
        <v>14295.0</v>
      </c>
      <c r="I38" s="87">
        <v>38.0</v>
      </c>
      <c r="J38" s="87">
        <v>95.22271</v>
      </c>
      <c r="K38" s="87">
        <v>98.20989</v>
      </c>
      <c r="L38" s="87">
        <v>93.58637</v>
      </c>
      <c r="M38" s="87">
        <v>62.78343</v>
      </c>
      <c r="N38" s="87">
        <v>0.639278</v>
      </c>
      <c r="O38" s="87">
        <v>0.0</v>
      </c>
      <c r="P38" s="87">
        <v>0.0</v>
      </c>
      <c r="Q38" s="87">
        <v>0.039416</v>
      </c>
      <c r="R38" s="87">
        <v>0.962324</v>
      </c>
      <c r="S38" s="87">
        <v>1.970503</v>
      </c>
      <c r="T38" s="87">
        <v>0.518687</v>
      </c>
      <c r="U38" s="87">
        <v>0.755759</v>
      </c>
      <c r="V38" s="87">
        <v>0.990988</v>
      </c>
      <c r="W38" s="87">
        <v>1.676232</v>
      </c>
      <c r="X38" s="87">
        <v>2.811014</v>
      </c>
      <c r="Y38" s="87">
        <v>1.693274</v>
      </c>
      <c r="Z38" s="87">
        <v>0.0</v>
      </c>
      <c r="AA38" s="87">
        <v>1.616149</v>
      </c>
      <c r="AB38" s="87">
        <v>0.818778</v>
      </c>
      <c r="AC38" s="87">
        <v>0.043478</v>
      </c>
      <c r="AD38" s="87">
        <v>0.819971</v>
      </c>
      <c r="AE38" s="87">
        <v>1.223488</v>
      </c>
      <c r="AF38" s="87">
        <v>1.50437</v>
      </c>
      <c r="AG38" s="87">
        <v>1.524539</v>
      </c>
      <c r="AH38" s="87">
        <v>0.0</v>
      </c>
      <c r="AI38" s="87">
        <v>1.944494</v>
      </c>
      <c r="AJ38" s="87">
        <v>1.674894</v>
      </c>
      <c r="AK38" s="87">
        <v>0.852062</v>
      </c>
      <c r="AL38" s="88" t="s">
        <v>1396</v>
      </c>
    </row>
    <row r="39">
      <c r="A39" s="84" t="s">
        <v>1422</v>
      </c>
      <c r="B39" s="84" t="s">
        <v>1454</v>
      </c>
      <c r="C39" s="84" t="s">
        <v>107</v>
      </c>
      <c r="D39" s="84" t="s">
        <v>1451</v>
      </c>
      <c r="E39" s="84" t="s">
        <v>1403</v>
      </c>
      <c r="F39" s="87">
        <v>60.0</v>
      </c>
      <c r="G39" s="87">
        <v>8.0</v>
      </c>
      <c r="H39" s="87">
        <v>190.0</v>
      </c>
      <c r="I39" s="87">
        <v>190.0</v>
      </c>
      <c r="J39" s="87">
        <v>0.0</v>
      </c>
      <c r="K39" s="87">
        <v>0.0</v>
      </c>
      <c r="L39" s="87">
        <v>0.0</v>
      </c>
      <c r="M39" s="87">
        <v>0.0</v>
      </c>
      <c r="N39" s="87">
        <v>0.0</v>
      </c>
      <c r="O39" s="87">
        <v>0.0</v>
      </c>
      <c r="P39" s="87">
        <v>0.0</v>
      </c>
      <c r="Q39" s="87">
        <v>0.0</v>
      </c>
      <c r="R39" s="87">
        <v>0.0</v>
      </c>
      <c r="S39" s="87">
        <v>0.0</v>
      </c>
      <c r="T39" s="87">
        <v>0.0</v>
      </c>
      <c r="U39" s="87">
        <v>0.0</v>
      </c>
      <c r="V39" s="87">
        <v>0.0</v>
      </c>
      <c r="W39" s="87">
        <v>0.0</v>
      </c>
      <c r="X39" s="87">
        <v>0.0</v>
      </c>
      <c r="Y39" s="87">
        <v>0.0</v>
      </c>
      <c r="Z39" s="87">
        <v>0.0</v>
      </c>
      <c r="AA39" s="87">
        <v>1.616149</v>
      </c>
      <c r="AB39" s="87">
        <v>0.818778</v>
      </c>
      <c r="AC39" s="87">
        <v>0.043478</v>
      </c>
      <c r="AD39" s="87">
        <v>0.0</v>
      </c>
      <c r="AE39" s="87">
        <v>0.0</v>
      </c>
      <c r="AF39" s="87">
        <v>0.0</v>
      </c>
      <c r="AG39" s="87">
        <v>0.0</v>
      </c>
      <c r="AH39" s="87">
        <v>0.0</v>
      </c>
      <c r="AI39" s="87">
        <v>1.944494</v>
      </c>
      <c r="AJ39" s="87">
        <v>1.674894</v>
      </c>
      <c r="AK39" s="87">
        <v>0.852062</v>
      </c>
      <c r="AL39" s="88" t="s">
        <v>1396</v>
      </c>
    </row>
    <row r="40">
      <c r="A40" s="84" t="s">
        <v>1427</v>
      </c>
      <c r="B40" s="84" t="s">
        <v>1455</v>
      </c>
      <c r="C40" s="84" t="s">
        <v>107</v>
      </c>
      <c r="D40" s="84" t="s">
        <v>108</v>
      </c>
      <c r="E40" s="86">
        <v>46310.0</v>
      </c>
      <c r="F40" s="87">
        <v>3.0</v>
      </c>
      <c r="G40" s="87">
        <v>0.0</v>
      </c>
      <c r="H40" s="87">
        <v>4233.0</v>
      </c>
      <c r="I40" s="87">
        <v>0.0</v>
      </c>
      <c r="J40" s="87">
        <v>50.95109</v>
      </c>
      <c r="K40" s="87">
        <v>46.51485</v>
      </c>
      <c r="L40" s="87">
        <v>44.6565</v>
      </c>
      <c r="M40" s="87">
        <v>24.61995</v>
      </c>
      <c r="N40" s="87">
        <v>0.529292</v>
      </c>
      <c r="O40" s="87">
        <v>5.741263</v>
      </c>
      <c r="P40" s="87">
        <v>5.741263</v>
      </c>
      <c r="Q40" s="87">
        <v>5.741263</v>
      </c>
      <c r="R40" s="87">
        <v>16.15364</v>
      </c>
      <c r="S40" s="87">
        <v>24.61995</v>
      </c>
      <c r="T40" s="87">
        <v>5.741263</v>
      </c>
      <c r="U40" s="87">
        <v>5.741263</v>
      </c>
      <c r="V40" s="87">
        <v>5.741263</v>
      </c>
      <c r="W40" s="87">
        <v>16.15364</v>
      </c>
      <c r="X40" s="87">
        <v>24.61995</v>
      </c>
      <c r="Y40" s="87">
        <v>15.50495</v>
      </c>
      <c r="Z40" s="87">
        <v>0.0</v>
      </c>
      <c r="AA40" s="87">
        <v>1.652932</v>
      </c>
      <c r="AB40" s="87">
        <v>0.962042</v>
      </c>
      <c r="AC40" s="87">
        <v>1.524539</v>
      </c>
      <c r="AD40" s="87">
        <v>4.940896</v>
      </c>
      <c r="AE40" s="87">
        <v>5.044467</v>
      </c>
      <c r="AF40" s="87">
        <v>6.358956</v>
      </c>
      <c r="AG40" s="87">
        <v>5.817529</v>
      </c>
      <c r="AH40" s="87">
        <v>0.0</v>
      </c>
      <c r="AI40" s="87">
        <v>1.944494</v>
      </c>
      <c r="AJ40" s="87">
        <v>1.674894</v>
      </c>
      <c r="AK40" s="87">
        <v>0.852062</v>
      </c>
      <c r="AL40" s="88" t="s">
        <v>1396</v>
      </c>
    </row>
    <row r="41">
      <c r="A41" s="84" t="s">
        <v>1433</v>
      </c>
      <c r="B41" s="84" t="s">
        <v>1456</v>
      </c>
      <c r="C41" s="84" t="s">
        <v>107</v>
      </c>
      <c r="D41" s="84" t="s">
        <v>108</v>
      </c>
      <c r="E41" s="84" t="s">
        <v>1400</v>
      </c>
      <c r="F41" s="87">
        <v>49.0</v>
      </c>
      <c r="G41" s="87">
        <v>3.0</v>
      </c>
      <c r="H41" s="87">
        <v>10365.0</v>
      </c>
      <c r="I41" s="87">
        <v>210.0</v>
      </c>
      <c r="J41" s="87">
        <v>73.40844</v>
      </c>
      <c r="K41" s="87">
        <v>74.70241</v>
      </c>
      <c r="L41" s="87">
        <v>73.97362</v>
      </c>
      <c r="M41" s="87">
        <v>46.94495</v>
      </c>
      <c r="N41" s="87">
        <v>0.628426</v>
      </c>
      <c r="O41" s="87">
        <v>0.0</v>
      </c>
      <c r="P41" s="87">
        <v>0.0</v>
      </c>
      <c r="Q41" s="87">
        <v>0.142062</v>
      </c>
      <c r="R41" s="87">
        <v>0.722572</v>
      </c>
      <c r="S41" s="87">
        <v>2.012851</v>
      </c>
      <c r="T41" s="87">
        <v>0.158333</v>
      </c>
      <c r="U41" s="87">
        <v>0.380023</v>
      </c>
      <c r="V41" s="87">
        <v>0.608453</v>
      </c>
      <c r="W41" s="87">
        <v>1.550621</v>
      </c>
      <c r="X41" s="87">
        <v>2.490825</v>
      </c>
      <c r="Y41" s="87">
        <v>1.524539</v>
      </c>
      <c r="Z41" s="87">
        <v>0.0</v>
      </c>
      <c r="AA41" s="87">
        <v>1.652932</v>
      </c>
      <c r="AB41" s="87">
        <v>0.962042</v>
      </c>
      <c r="AC41" s="87">
        <v>1.524539</v>
      </c>
      <c r="AD41" s="87">
        <v>0.819971</v>
      </c>
      <c r="AE41" s="87">
        <v>1.223488</v>
      </c>
      <c r="AF41" s="87">
        <v>1.50437</v>
      </c>
      <c r="AG41" s="87">
        <v>1.524539</v>
      </c>
      <c r="AH41" s="87">
        <v>0.0</v>
      </c>
      <c r="AI41" s="87">
        <v>1.944494</v>
      </c>
      <c r="AJ41" s="87">
        <v>1.674894</v>
      </c>
      <c r="AK41" s="87">
        <v>0.852062</v>
      </c>
      <c r="AL41" s="88" t="s">
        <v>1396</v>
      </c>
    </row>
    <row r="42">
      <c r="A42" s="84" t="s">
        <v>1422</v>
      </c>
      <c r="B42" s="84" t="s">
        <v>1457</v>
      </c>
      <c r="C42" s="84" t="s">
        <v>107</v>
      </c>
      <c r="D42" s="84" t="s">
        <v>108</v>
      </c>
      <c r="E42" s="84" t="s">
        <v>1403</v>
      </c>
      <c r="F42" s="87">
        <v>74.0</v>
      </c>
      <c r="G42" s="87">
        <v>8.0</v>
      </c>
      <c r="H42" s="87">
        <v>518.0</v>
      </c>
      <c r="I42" s="87">
        <v>518.0</v>
      </c>
      <c r="J42" s="87">
        <v>0.0</v>
      </c>
      <c r="K42" s="87">
        <v>0.0</v>
      </c>
      <c r="L42" s="87">
        <v>0.0</v>
      </c>
      <c r="M42" s="87">
        <v>0.0</v>
      </c>
      <c r="N42" s="87">
        <v>0.0</v>
      </c>
      <c r="O42" s="87">
        <v>0.0</v>
      </c>
      <c r="P42" s="87">
        <v>0.0</v>
      </c>
      <c r="Q42" s="87">
        <v>0.0</v>
      </c>
      <c r="R42" s="87">
        <v>0.0</v>
      </c>
      <c r="S42" s="87">
        <v>0.0</v>
      </c>
      <c r="T42" s="87">
        <v>0.0</v>
      </c>
      <c r="U42" s="87">
        <v>0.0</v>
      </c>
      <c r="V42" s="87">
        <v>0.0</v>
      </c>
      <c r="W42" s="87">
        <v>0.0</v>
      </c>
      <c r="X42" s="87">
        <v>0.0</v>
      </c>
      <c r="Y42" s="87">
        <v>0.0</v>
      </c>
      <c r="Z42" s="87">
        <v>0.0</v>
      </c>
      <c r="AA42" s="87">
        <v>1.652932</v>
      </c>
      <c r="AB42" s="87">
        <v>0.962042</v>
      </c>
      <c r="AC42" s="87">
        <v>1.524539</v>
      </c>
      <c r="AD42" s="87">
        <v>0.0</v>
      </c>
      <c r="AE42" s="87">
        <v>0.0</v>
      </c>
      <c r="AF42" s="87">
        <v>0.0</v>
      </c>
      <c r="AG42" s="87">
        <v>0.0</v>
      </c>
      <c r="AH42" s="87">
        <v>0.0</v>
      </c>
      <c r="AI42" s="87">
        <v>1.944494</v>
      </c>
      <c r="AJ42" s="87">
        <v>1.674894</v>
      </c>
      <c r="AK42" s="87">
        <v>0.852062</v>
      </c>
      <c r="AL42" s="88" t="s">
        <v>1396</v>
      </c>
    </row>
    <row r="43">
      <c r="A43" s="84" t="s">
        <v>1423</v>
      </c>
      <c r="B43" s="84" t="s">
        <v>1458</v>
      </c>
      <c r="C43" s="84" t="s">
        <v>107</v>
      </c>
      <c r="D43" s="84" t="s">
        <v>1459</v>
      </c>
      <c r="E43" s="84" t="s">
        <v>1426</v>
      </c>
      <c r="F43" s="87">
        <v>2.0</v>
      </c>
      <c r="G43" s="87">
        <v>0.0</v>
      </c>
      <c r="H43" s="87">
        <v>0.0</v>
      </c>
      <c r="I43" s="87">
        <v>0.0</v>
      </c>
      <c r="J43" s="87">
        <v>0.0</v>
      </c>
      <c r="K43" s="87">
        <v>0.0</v>
      </c>
      <c r="L43" s="87">
        <v>0.0</v>
      </c>
      <c r="M43" s="87">
        <v>0.0</v>
      </c>
      <c r="N43" s="87">
        <v>0.0</v>
      </c>
      <c r="O43" s="87">
        <v>0.0</v>
      </c>
      <c r="P43" s="87">
        <v>0.0</v>
      </c>
      <c r="Q43" s="87">
        <v>0.0</v>
      </c>
      <c r="R43" s="87">
        <v>0.0</v>
      </c>
      <c r="S43" s="87">
        <v>0.0</v>
      </c>
      <c r="T43" s="87">
        <v>0.0</v>
      </c>
      <c r="U43" s="87">
        <v>0.0</v>
      </c>
      <c r="V43" s="87">
        <v>0.0</v>
      </c>
      <c r="W43" s="87">
        <v>0.0</v>
      </c>
      <c r="X43" s="87">
        <v>0.0</v>
      </c>
      <c r="Y43" s="87">
        <v>0.0</v>
      </c>
      <c r="Z43" s="87">
        <v>0.0</v>
      </c>
      <c r="AA43" s="87">
        <v>3.050312</v>
      </c>
      <c r="AB43" s="87">
        <v>3.624828</v>
      </c>
      <c r="AC43" s="87">
        <v>0.0</v>
      </c>
      <c r="AD43" s="87">
        <v>6.742408</v>
      </c>
      <c r="AE43" s="87">
        <v>13.98243</v>
      </c>
      <c r="AF43" s="87">
        <v>9.244738</v>
      </c>
      <c r="AG43" s="87">
        <v>6.742408</v>
      </c>
      <c r="AH43" s="87">
        <v>0.0</v>
      </c>
      <c r="AI43" s="87">
        <v>1.944494</v>
      </c>
      <c r="AJ43" s="87">
        <v>1.674894</v>
      </c>
      <c r="AK43" s="87">
        <v>0.852062</v>
      </c>
      <c r="AL43" s="88" t="s">
        <v>1396</v>
      </c>
    </row>
    <row r="44">
      <c r="A44" s="84" t="s">
        <v>1427</v>
      </c>
      <c r="B44" s="84" t="s">
        <v>1460</v>
      </c>
      <c r="C44" s="84" t="s">
        <v>107</v>
      </c>
      <c r="D44" s="84" t="s">
        <v>1459</v>
      </c>
      <c r="E44" s="86">
        <v>46310.0</v>
      </c>
      <c r="F44" s="87">
        <v>8.0</v>
      </c>
      <c r="G44" s="87">
        <v>0.0</v>
      </c>
      <c r="H44" s="87">
        <v>4844.0</v>
      </c>
      <c r="I44" s="87">
        <v>0.0</v>
      </c>
      <c r="J44" s="87">
        <v>66.99415</v>
      </c>
      <c r="K44" s="87">
        <v>64.45013</v>
      </c>
      <c r="L44" s="87">
        <v>66.4603</v>
      </c>
      <c r="M44" s="87">
        <v>50.55019</v>
      </c>
      <c r="N44" s="87">
        <v>0.78433</v>
      </c>
      <c r="O44" s="87">
        <v>0.0</v>
      </c>
      <c r="P44" s="87">
        <v>0.777778</v>
      </c>
      <c r="Q44" s="87">
        <v>1.102844</v>
      </c>
      <c r="R44" s="87">
        <v>4.324937</v>
      </c>
      <c r="S44" s="87">
        <v>4.729509</v>
      </c>
      <c r="T44" s="87">
        <v>0.777778</v>
      </c>
      <c r="U44" s="87">
        <v>1.102844</v>
      </c>
      <c r="V44" s="87">
        <v>2.964866</v>
      </c>
      <c r="W44" s="87">
        <v>4.324937</v>
      </c>
      <c r="X44" s="87">
        <v>4.729509</v>
      </c>
      <c r="Y44" s="87">
        <v>8.056266</v>
      </c>
      <c r="Z44" s="87">
        <v>0.0</v>
      </c>
      <c r="AA44" s="87">
        <v>3.050312</v>
      </c>
      <c r="AB44" s="87">
        <v>3.624828</v>
      </c>
      <c r="AC44" s="87">
        <v>0.0</v>
      </c>
      <c r="AD44" s="87">
        <v>4.940896</v>
      </c>
      <c r="AE44" s="87">
        <v>5.044467</v>
      </c>
      <c r="AF44" s="87">
        <v>6.358956</v>
      </c>
      <c r="AG44" s="87">
        <v>5.817529</v>
      </c>
      <c r="AH44" s="87">
        <v>0.0</v>
      </c>
      <c r="AI44" s="87">
        <v>1.944494</v>
      </c>
      <c r="AJ44" s="87">
        <v>1.674894</v>
      </c>
      <c r="AK44" s="87">
        <v>0.852062</v>
      </c>
      <c r="AL44" s="88" t="s">
        <v>1396</v>
      </c>
    </row>
    <row r="45">
      <c r="A45" s="84" t="s">
        <v>1429</v>
      </c>
      <c r="B45" s="84" t="s">
        <v>1461</v>
      </c>
      <c r="C45" s="84" t="s">
        <v>107</v>
      </c>
      <c r="D45" s="84" t="s">
        <v>1459</v>
      </c>
      <c r="E45" s="84" t="s">
        <v>1413</v>
      </c>
      <c r="F45" s="87">
        <v>5.0</v>
      </c>
      <c r="G45" s="87">
        <v>0.0</v>
      </c>
      <c r="H45" s="87">
        <v>2180.0</v>
      </c>
      <c r="I45" s="87">
        <v>0.0</v>
      </c>
      <c r="J45" s="87">
        <v>20.71845</v>
      </c>
      <c r="K45" s="87">
        <v>19.83762</v>
      </c>
      <c r="L45" s="87">
        <v>20.37207</v>
      </c>
      <c r="M45" s="87">
        <v>18.87287</v>
      </c>
      <c r="N45" s="87">
        <v>0.951368</v>
      </c>
      <c r="O45" s="87">
        <v>0.0</v>
      </c>
      <c r="P45" s="87">
        <v>0.045455</v>
      </c>
      <c r="Q45" s="87">
        <v>0.045455</v>
      </c>
      <c r="R45" s="87">
        <v>0.919298</v>
      </c>
      <c r="S45" s="87">
        <v>7.330326</v>
      </c>
      <c r="T45" s="87">
        <v>0.045455</v>
      </c>
      <c r="U45" s="87">
        <v>0.045455</v>
      </c>
      <c r="V45" s="87">
        <v>0.919298</v>
      </c>
      <c r="W45" s="87">
        <v>7.330326</v>
      </c>
      <c r="X45" s="87">
        <v>7.330326</v>
      </c>
      <c r="Y45" s="87">
        <v>3.967524</v>
      </c>
      <c r="Z45" s="87">
        <v>0.0</v>
      </c>
      <c r="AA45" s="87">
        <v>3.050312</v>
      </c>
      <c r="AB45" s="87">
        <v>3.624828</v>
      </c>
      <c r="AC45" s="87">
        <v>0.0</v>
      </c>
      <c r="AD45" s="87">
        <v>0.919298</v>
      </c>
      <c r="AE45" s="87">
        <v>1.380698</v>
      </c>
      <c r="AF45" s="87">
        <v>2.165781</v>
      </c>
      <c r="AG45" s="87">
        <v>2.559953</v>
      </c>
      <c r="AH45" s="87">
        <v>0.0</v>
      </c>
      <c r="AI45" s="87">
        <v>1.944494</v>
      </c>
      <c r="AJ45" s="87">
        <v>1.674894</v>
      </c>
      <c r="AK45" s="87">
        <v>0.852062</v>
      </c>
      <c r="AL45" s="88" t="s">
        <v>1396</v>
      </c>
    </row>
    <row r="46">
      <c r="A46" s="84" t="s">
        <v>1431</v>
      </c>
      <c r="B46" s="84" t="s">
        <v>1462</v>
      </c>
      <c r="C46" s="84" t="s">
        <v>107</v>
      </c>
      <c r="D46" s="84" t="s">
        <v>1459</v>
      </c>
      <c r="E46" s="84" t="s">
        <v>1398</v>
      </c>
      <c r="F46" s="87">
        <v>7.0</v>
      </c>
      <c r="G46" s="87">
        <v>0.0</v>
      </c>
      <c r="H46" s="87">
        <v>4290.0</v>
      </c>
      <c r="I46" s="87">
        <v>0.0</v>
      </c>
      <c r="J46" s="87">
        <v>48.08331</v>
      </c>
      <c r="K46" s="87">
        <v>46.0022</v>
      </c>
      <c r="L46" s="87">
        <v>47.63755</v>
      </c>
      <c r="M46" s="87">
        <v>36.57724</v>
      </c>
      <c r="N46" s="87">
        <v>0.795119</v>
      </c>
      <c r="O46" s="87">
        <v>0.0</v>
      </c>
      <c r="P46" s="87">
        <v>0.142857</v>
      </c>
      <c r="Q46" s="87">
        <v>0.341043</v>
      </c>
      <c r="R46" s="87">
        <v>3.050312</v>
      </c>
      <c r="S46" s="87">
        <v>5.890748</v>
      </c>
      <c r="T46" s="87">
        <v>0.142857</v>
      </c>
      <c r="U46" s="87">
        <v>0.341043</v>
      </c>
      <c r="V46" s="87">
        <v>0.341043</v>
      </c>
      <c r="W46" s="87">
        <v>5.890748</v>
      </c>
      <c r="X46" s="87">
        <v>15.38482</v>
      </c>
      <c r="Y46" s="87">
        <v>6.571742</v>
      </c>
      <c r="Z46" s="87">
        <v>0.0</v>
      </c>
      <c r="AA46" s="87">
        <v>3.050312</v>
      </c>
      <c r="AB46" s="87">
        <v>3.624828</v>
      </c>
      <c r="AC46" s="87">
        <v>0.0</v>
      </c>
      <c r="AD46" s="87">
        <v>0.604598</v>
      </c>
      <c r="AE46" s="87">
        <v>1.075268</v>
      </c>
      <c r="AF46" s="87">
        <v>2.905084</v>
      </c>
      <c r="AG46" s="87">
        <v>1.036618</v>
      </c>
      <c r="AH46" s="87">
        <v>0.0</v>
      </c>
      <c r="AI46" s="87">
        <v>1.944494</v>
      </c>
      <c r="AJ46" s="87">
        <v>1.674894</v>
      </c>
      <c r="AK46" s="87">
        <v>0.852062</v>
      </c>
      <c r="AL46" s="88" t="s">
        <v>1396</v>
      </c>
    </row>
    <row r="47">
      <c r="A47" s="84" t="s">
        <v>1433</v>
      </c>
      <c r="B47" s="84" t="s">
        <v>1463</v>
      </c>
      <c r="C47" s="84" t="s">
        <v>107</v>
      </c>
      <c r="D47" s="84" t="s">
        <v>1459</v>
      </c>
      <c r="E47" s="84" t="s">
        <v>1400</v>
      </c>
      <c r="F47" s="87">
        <v>11.0</v>
      </c>
      <c r="G47" s="87">
        <v>1.0</v>
      </c>
      <c r="H47" s="87">
        <v>3831.0</v>
      </c>
      <c r="I47" s="87">
        <v>196.0</v>
      </c>
      <c r="J47" s="87">
        <v>33.41976</v>
      </c>
      <c r="K47" s="87">
        <v>33.11446</v>
      </c>
      <c r="L47" s="87">
        <v>35.57288</v>
      </c>
      <c r="M47" s="87">
        <v>22.2612</v>
      </c>
      <c r="N47" s="87">
        <v>0.67225</v>
      </c>
      <c r="O47" s="87">
        <v>0.066667</v>
      </c>
      <c r="P47" s="87">
        <v>0.130952</v>
      </c>
      <c r="Q47" s="87">
        <v>0.336111</v>
      </c>
      <c r="R47" s="87">
        <v>2.349372</v>
      </c>
      <c r="S47" s="87">
        <v>3.835817</v>
      </c>
      <c r="T47" s="87">
        <v>0.130952</v>
      </c>
      <c r="U47" s="87">
        <v>0.336111</v>
      </c>
      <c r="V47" s="87">
        <v>0.533333</v>
      </c>
      <c r="W47" s="87">
        <v>3.60101</v>
      </c>
      <c r="X47" s="87">
        <v>3.879196</v>
      </c>
      <c r="Y47" s="87">
        <v>3.010406</v>
      </c>
      <c r="Z47" s="87">
        <v>0.0</v>
      </c>
      <c r="AA47" s="87">
        <v>3.050312</v>
      </c>
      <c r="AB47" s="87">
        <v>3.624828</v>
      </c>
      <c r="AC47" s="87">
        <v>0.0</v>
      </c>
      <c r="AD47" s="87">
        <v>0.819971</v>
      </c>
      <c r="AE47" s="87">
        <v>1.223488</v>
      </c>
      <c r="AF47" s="87">
        <v>1.50437</v>
      </c>
      <c r="AG47" s="87">
        <v>1.524539</v>
      </c>
      <c r="AH47" s="87">
        <v>0.0</v>
      </c>
      <c r="AI47" s="87">
        <v>1.944494</v>
      </c>
      <c r="AJ47" s="87">
        <v>1.674894</v>
      </c>
      <c r="AK47" s="87">
        <v>0.852062</v>
      </c>
      <c r="AL47" s="88" t="s">
        <v>1396</v>
      </c>
    </row>
    <row r="48">
      <c r="A48" s="84" t="s">
        <v>1447</v>
      </c>
      <c r="B48" s="84" t="s">
        <v>1464</v>
      </c>
      <c r="C48" s="84" t="s">
        <v>107</v>
      </c>
      <c r="D48" s="84" t="s">
        <v>1459</v>
      </c>
      <c r="E48" s="89">
        <v>46300.0</v>
      </c>
      <c r="F48" s="87">
        <v>9.0</v>
      </c>
      <c r="G48" s="87">
        <v>0.0</v>
      </c>
      <c r="H48" s="87">
        <v>3989.0</v>
      </c>
      <c r="I48" s="87">
        <v>0.0</v>
      </c>
      <c r="J48" s="87">
        <v>102.2306</v>
      </c>
      <c r="K48" s="87">
        <v>108.2077</v>
      </c>
      <c r="L48" s="87">
        <v>107.931</v>
      </c>
      <c r="M48" s="87">
        <v>107.8466</v>
      </c>
      <c r="N48" s="87">
        <v>0.996663</v>
      </c>
      <c r="O48" s="87">
        <v>0.0</v>
      </c>
      <c r="P48" s="87">
        <v>0.0</v>
      </c>
      <c r="Q48" s="87">
        <v>0.0</v>
      </c>
      <c r="R48" s="87">
        <v>0.111111</v>
      </c>
      <c r="S48" s="87">
        <v>2.665578</v>
      </c>
      <c r="T48" s="87">
        <v>0.111111</v>
      </c>
      <c r="U48" s="87">
        <v>0.25</v>
      </c>
      <c r="V48" s="87">
        <v>0.25</v>
      </c>
      <c r="W48" s="87">
        <v>2.665578</v>
      </c>
      <c r="X48" s="87">
        <v>14.19258</v>
      </c>
      <c r="Y48" s="87">
        <v>12.02307</v>
      </c>
      <c r="Z48" s="87">
        <v>0.0</v>
      </c>
      <c r="AA48" s="87">
        <v>3.050312</v>
      </c>
      <c r="AB48" s="87">
        <v>3.624828</v>
      </c>
      <c r="AC48" s="87">
        <v>0.0</v>
      </c>
      <c r="AD48" s="87">
        <v>4.700865</v>
      </c>
      <c r="AE48" s="87">
        <v>6.467258</v>
      </c>
      <c r="AF48" s="87">
        <v>7.243518</v>
      </c>
      <c r="AG48" s="87">
        <v>12.02307</v>
      </c>
      <c r="AH48" s="87">
        <v>0.0</v>
      </c>
      <c r="AI48" s="87">
        <v>1.944494</v>
      </c>
      <c r="AJ48" s="87">
        <v>1.674894</v>
      </c>
      <c r="AK48" s="87">
        <v>0.852062</v>
      </c>
      <c r="AL48" s="88" t="s">
        <v>1396</v>
      </c>
    </row>
    <row r="49">
      <c r="A49" s="84" t="s">
        <v>1422</v>
      </c>
      <c r="B49" s="84" t="s">
        <v>1465</v>
      </c>
      <c r="C49" s="84" t="s">
        <v>107</v>
      </c>
      <c r="D49" s="84" t="s">
        <v>1459</v>
      </c>
      <c r="E49" s="84" t="s">
        <v>1403</v>
      </c>
      <c r="F49" s="87">
        <v>9.0</v>
      </c>
      <c r="G49" s="87">
        <v>3.0</v>
      </c>
      <c r="H49" s="87">
        <v>42.0</v>
      </c>
      <c r="I49" s="87">
        <v>42.0</v>
      </c>
      <c r="J49" s="87">
        <v>0.0</v>
      </c>
      <c r="K49" s="87">
        <v>0.0</v>
      </c>
      <c r="L49" s="87">
        <v>0.0</v>
      </c>
      <c r="M49" s="87">
        <v>0.0</v>
      </c>
      <c r="N49" s="87">
        <v>0.0</v>
      </c>
      <c r="O49" s="87">
        <v>0.0</v>
      </c>
      <c r="P49" s="87">
        <v>0.0</v>
      </c>
      <c r="Q49" s="87">
        <v>0.0</v>
      </c>
      <c r="R49" s="87">
        <v>0.0</v>
      </c>
      <c r="S49" s="87">
        <v>0.0</v>
      </c>
      <c r="T49" s="87">
        <v>0.0</v>
      </c>
      <c r="U49" s="87">
        <v>0.0</v>
      </c>
      <c r="V49" s="87">
        <v>0.0</v>
      </c>
      <c r="W49" s="87">
        <v>0.0</v>
      </c>
      <c r="X49" s="87">
        <v>0.0</v>
      </c>
      <c r="Y49" s="87">
        <v>0.0</v>
      </c>
      <c r="Z49" s="87">
        <v>0.0</v>
      </c>
      <c r="AA49" s="87">
        <v>3.050312</v>
      </c>
      <c r="AB49" s="87">
        <v>3.624828</v>
      </c>
      <c r="AC49" s="87">
        <v>0.0</v>
      </c>
      <c r="AD49" s="87">
        <v>0.0</v>
      </c>
      <c r="AE49" s="87">
        <v>0.0</v>
      </c>
      <c r="AF49" s="87">
        <v>0.0</v>
      </c>
      <c r="AG49" s="87">
        <v>0.0</v>
      </c>
      <c r="AH49" s="87">
        <v>0.0</v>
      </c>
      <c r="AI49" s="87">
        <v>1.944494</v>
      </c>
      <c r="AJ49" s="87">
        <v>1.674894</v>
      </c>
      <c r="AK49" s="87">
        <v>0.852062</v>
      </c>
      <c r="AL49" s="88" t="s">
        <v>1396</v>
      </c>
    </row>
    <row r="50">
      <c r="A50" s="84" t="s">
        <v>1466</v>
      </c>
      <c r="B50" s="84" t="s">
        <v>1467</v>
      </c>
      <c r="C50" s="84" t="s">
        <v>1468</v>
      </c>
      <c r="D50" s="84" t="s">
        <v>1469</v>
      </c>
      <c r="E50" s="84" t="s">
        <v>1403</v>
      </c>
      <c r="F50" s="87">
        <v>1.0</v>
      </c>
      <c r="G50" s="87">
        <v>0.0</v>
      </c>
      <c r="H50" s="87">
        <v>0.0</v>
      </c>
      <c r="I50" s="87">
        <v>0.0</v>
      </c>
      <c r="J50" s="87">
        <v>0.0</v>
      </c>
      <c r="K50" s="87">
        <v>0.0</v>
      </c>
      <c r="L50" s="87">
        <v>0.0</v>
      </c>
      <c r="M50" s="87">
        <v>0.0</v>
      </c>
      <c r="N50" s="87">
        <v>0.0</v>
      </c>
      <c r="O50" s="87">
        <v>0.0</v>
      </c>
      <c r="P50" s="87">
        <v>0.0</v>
      </c>
      <c r="Q50" s="87">
        <v>0.0</v>
      </c>
      <c r="R50" s="87">
        <v>0.0</v>
      </c>
      <c r="S50" s="87">
        <v>0.0</v>
      </c>
      <c r="T50" s="87">
        <v>0.0</v>
      </c>
      <c r="U50" s="87">
        <v>0.0</v>
      </c>
      <c r="V50" s="87">
        <v>0.0</v>
      </c>
      <c r="W50" s="87">
        <v>0.0</v>
      </c>
      <c r="X50" s="87">
        <v>0.0</v>
      </c>
      <c r="Y50" s="87">
        <v>0.0</v>
      </c>
      <c r="Z50" s="87">
        <v>0.0</v>
      </c>
      <c r="AA50" s="87">
        <v>0.0</v>
      </c>
      <c r="AB50" s="87">
        <v>0.0</v>
      </c>
      <c r="AC50" s="87">
        <v>0.0</v>
      </c>
      <c r="AD50" s="87">
        <v>0.0</v>
      </c>
      <c r="AE50" s="87">
        <v>0.0</v>
      </c>
      <c r="AF50" s="87">
        <v>0.0</v>
      </c>
      <c r="AG50" s="87">
        <v>0.0</v>
      </c>
      <c r="AH50" s="87">
        <v>0.0</v>
      </c>
      <c r="AI50" s="87">
        <v>0.0</v>
      </c>
      <c r="AJ50" s="87">
        <v>0.0</v>
      </c>
      <c r="AK50" s="87">
        <v>0.0</v>
      </c>
      <c r="AL50" s="88" t="s">
        <v>1396</v>
      </c>
    </row>
    <row r="51">
      <c r="A51" s="84" t="s">
        <v>1470</v>
      </c>
      <c r="B51" s="84" t="s">
        <v>1471</v>
      </c>
      <c r="C51" s="84" t="s">
        <v>1472</v>
      </c>
      <c r="D51" s="84" t="s">
        <v>1473</v>
      </c>
      <c r="E51" s="84" t="s">
        <v>1403</v>
      </c>
      <c r="F51" s="87">
        <v>1.0</v>
      </c>
      <c r="G51" s="87">
        <v>0.0</v>
      </c>
      <c r="H51" s="87">
        <v>0.0</v>
      </c>
      <c r="I51" s="87">
        <v>0.0</v>
      </c>
      <c r="J51" s="87">
        <v>0.0</v>
      </c>
      <c r="K51" s="87">
        <v>0.0</v>
      </c>
      <c r="L51" s="87">
        <v>0.0</v>
      </c>
      <c r="M51" s="87">
        <v>0.0</v>
      </c>
      <c r="N51" s="87">
        <v>0.0</v>
      </c>
      <c r="O51" s="87">
        <v>0.0</v>
      </c>
      <c r="P51" s="87">
        <v>0.0</v>
      </c>
      <c r="Q51" s="87">
        <v>0.0</v>
      </c>
      <c r="R51" s="87">
        <v>0.0</v>
      </c>
      <c r="S51" s="87">
        <v>0.0</v>
      </c>
      <c r="T51" s="87">
        <v>0.0</v>
      </c>
      <c r="U51" s="87">
        <v>0.0</v>
      </c>
      <c r="V51" s="87">
        <v>0.0</v>
      </c>
      <c r="W51" s="87">
        <v>0.0</v>
      </c>
      <c r="X51" s="87">
        <v>0.0</v>
      </c>
      <c r="Y51" s="87">
        <v>0.0</v>
      </c>
      <c r="Z51" s="87">
        <v>0.0</v>
      </c>
      <c r="AA51" s="87">
        <v>0.0</v>
      </c>
      <c r="AB51" s="87">
        <v>0.0</v>
      </c>
      <c r="AC51" s="87">
        <v>0.0</v>
      </c>
      <c r="AD51" s="87">
        <v>0.0</v>
      </c>
      <c r="AE51" s="87">
        <v>0.0</v>
      </c>
      <c r="AF51" s="87">
        <v>0.0</v>
      </c>
      <c r="AG51" s="87">
        <v>0.0</v>
      </c>
      <c r="AH51" s="87">
        <v>0.0</v>
      </c>
      <c r="AI51" s="87">
        <v>0.0</v>
      </c>
      <c r="AJ51" s="87">
        <v>0.0</v>
      </c>
      <c r="AK51" s="87">
        <v>0.0</v>
      </c>
      <c r="AL51" s="88" t="s">
        <v>1396</v>
      </c>
    </row>
    <row r="52">
      <c r="A52" s="84" t="s">
        <v>1474</v>
      </c>
      <c r="B52" s="84" t="s">
        <v>1475</v>
      </c>
      <c r="C52" s="84" t="s">
        <v>139</v>
      </c>
      <c r="D52" s="84" t="s">
        <v>1476</v>
      </c>
      <c r="E52" s="84" t="s">
        <v>1426</v>
      </c>
      <c r="F52" s="87">
        <v>15.0</v>
      </c>
      <c r="G52" s="87">
        <v>0.0</v>
      </c>
      <c r="H52" s="87">
        <v>2486.0</v>
      </c>
      <c r="I52" s="87">
        <v>0.0</v>
      </c>
      <c r="J52" s="87">
        <v>634.2962</v>
      </c>
      <c r="K52" s="87">
        <v>628.8995</v>
      </c>
      <c r="L52" s="87">
        <v>656.4332</v>
      </c>
      <c r="M52" s="87">
        <v>344.7442</v>
      </c>
      <c r="N52" s="87">
        <v>0.548171</v>
      </c>
      <c r="O52" s="87">
        <v>0.0</v>
      </c>
      <c r="P52" s="87">
        <v>0.0</v>
      </c>
      <c r="Q52" s="87">
        <v>13.79891</v>
      </c>
      <c r="R52" s="87">
        <v>28.98451</v>
      </c>
      <c r="S52" s="87">
        <v>50.09253</v>
      </c>
      <c r="T52" s="87">
        <v>19.39461</v>
      </c>
      <c r="U52" s="87">
        <v>27.63678</v>
      </c>
      <c r="V52" s="87">
        <v>28.98451</v>
      </c>
      <c r="W52" s="87">
        <v>43.25615</v>
      </c>
      <c r="X52" s="87">
        <v>58.49821</v>
      </c>
      <c r="Y52" s="87">
        <v>41.92664</v>
      </c>
      <c r="Z52" s="87">
        <v>0.0</v>
      </c>
      <c r="AA52" s="87">
        <v>27.63678</v>
      </c>
      <c r="AB52" s="87">
        <v>12.26908</v>
      </c>
      <c r="AC52" s="87">
        <v>17.62164</v>
      </c>
      <c r="AD52" s="87">
        <v>20.65125</v>
      </c>
      <c r="AE52" s="87">
        <v>28.6914</v>
      </c>
      <c r="AF52" s="87">
        <v>40.32366</v>
      </c>
      <c r="AG52" s="87">
        <v>26.71699</v>
      </c>
      <c r="AH52" s="87">
        <v>0.0</v>
      </c>
      <c r="AI52" s="87">
        <v>10.00627</v>
      </c>
      <c r="AJ52" s="87">
        <v>6.786101</v>
      </c>
      <c r="AK52" s="87">
        <v>3.965438</v>
      </c>
      <c r="AL52" s="88" t="s">
        <v>1396</v>
      </c>
    </row>
    <row r="53">
      <c r="A53" s="84" t="s">
        <v>1477</v>
      </c>
      <c r="B53" s="84" t="s">
        <v>1478</v>
      </c>
      <c r="C53" s="84" t="s">
        <v>139</v>
      </c>
      <c r="D53" s="84" t="s">
        <v>1476</v>
      </c>
      <c r="E53" s="86">
        <v>46310.0</v>
      </c>
      <c r="F53" s="87">
        <v>2.0</v>
      </c>
      <c r="G53" s="87">
        <v>0.0</v>
      </c>
      <c r="H53" s="87">
        <v>184.0</v>
      </c>
      <c r="I53" s="87">
        <v>0.0</v>
      </c>
      <c r="J53" s="87">
        <v>20.93597</v>
      </c>
      <c r="K53" s="87">
        <v>23.87518</v>
      </c>
      <c r="L53" s="87">
        <v>24.67801</v>
      </c>
      <c r="M53" s="87">
        <v>17.92778</v>
      </c>
      <c r="N53" s="87">
        <v>0.750896</v>
      </c>
      <c r="O53" s="87">
        <v>5.947398</v>
      </c>
      <c r="P53" s="87">
        <v>5.947398</v>
      </c>
      <c r="Q53" s="87">
        <v>5.947398</v>
      </c>
      <c r="R53" s="87">
        <v>17.92778</v>
      </c>
      <c r="S53" s="87">
        <v>17.92778</v>
      </c>
      <c r="T53" s="87">
        <v>5.947398</v>
      </c>
      <c r="U53" s="87">
        <v>5.947398</v>
      </c>
      <c r="V53" s="87">
        <v>5.947398</v>
      </c>
      <c r="W53" s="87">
        <v>17.92778</v>
      </c>
      <c r="X53" s="87">
        <v>17.92778</v>
      </c>
      <c r="Y53" s="87">
        <v>11.93759</v>
      </c>
      <c r="Z53" s="87">
        <v>0.0</v>
      </c>
      <c r="AA53" s="87">
        <v>27.63678</v>
      </c>
      <c r="AB53" s="87">
        <v>12.26908</v>
      </c>
      <c r="AC53" s="87">
        <v>17.62164</v>
      </c>
      <c r="AD53" s="87">
        <v>1.250293</v>
      </c>
      <c r="AE53" s="87">
        <v>6.357465</v>
      </c>
      <c r="AF53" s="87">
        <v>9.86724</v>
      </c>
      <c r="AG53" s="87">
        <v>2.585592</v>
      </c>
      <c r="AH53" s="87">
        <v>0.0</v>
      </c>
      <c r="AI53" s="87">
        <v>10.00627</v>
      </c>
      <c r="AJ53" s="87">
        <v>6.786101</v>
      </c>
      <c r="AK53" s="87">
        <v>3.965438</v>
      </c>
      <c r="AL53" s="88" t="s">
        <v>1396</v>
      </c>
    </row>
    <row r="54">
      <c r="A54" s="84" t="s">
        <v>1479</v>
      </c>
      <c r="B54" s="84" t="s">
        <v>1480</v>
      </c>
      <c r="C54" s="84" t="s">
        <v>139</v>
      </c>
      <c r="D54" s="84" t="s">
        <v>1476</v>
      </c>
      <c r="E54" s="84" t="s">
        <v>1413</v>
      </c>
      <c r="F54" s="87">
        <v>3.0</v>
      </c>
      <c r="G54" s="87">
        <v>0.0</v>
      </c>
      <c r="H54" s="87">
        <v>188.0</v>
      </c>
      <c r="I54" s="87">
        <v>0.0</v>
      </c>
      <c r="J54" s="87">
        <v>34.78915</v>
      </c>
      <c r="K54" s="87">
        <v>31.07873</v>
      </c>
      <c r="L54" s="87">
        <v>36.0961</v>
      </c>
      <c r="M54" s="87">
        <v>13.69016</v>
      </c>
      <c r="N54" s="87">
        <v>0.440499</v>
      </c>
      <c r="O54" s="87">
        <v>5.613659</v>
      </c>
      <c r="P54" s="87">
        <v>5.613659</v>
      </c>
      <c r="Q54" s="87">
        <v>5.613659</v>
      </c>
      <c r="R54" s="87">
        <v>11.77491</v>
      </c>
      <c r="S54" s="87">
        <v>13.69016</v>
      </c>
      <c r="T54" s="87">
        <v>5.613659</v>
      </c>
      <c r="U54" s="87">
        <v>5.613659</v>
      </c>
      <c r="V54" s="87">
        <v>5.613659</v>
      </c>
      <c r="W54" s="87">
        <v>11.77491</v>
      </c>
      <c r="X54" s="87">
        <v>13.69016</v>
      </c>
      <c r="Y54" s="87">
        <v>10.35958</v>
      </c>
      <c r="Z54" s="87">
        <v>0.0</v>
      </c>
      <c r="AA54" s="87">
        <v>27.63678</v>
      </c>
      <c r="AB54" s="87">
        <v>12.26908</v>
      </c>
      <c r="AC54" s="87">
        <v>17.62164</v>
      </c>
      <c r="AD54" s="87">
        <v>3.5</v>
      </c>
      <c r="AE54" s="87">
        <v>5.186141</v>
      </c>
      <c r="AF54" s="87">
        <v>11.12763</v>
      </c>
      <c r="AG54" s="87">
        <v>4.687512</v>
      </c>
      <c r="AH54" s="87">
        <v>0.0</v>
      </c>
      <c r="AI54" s="87">
        <v>10.00627</v>
      </c>
      <c r="AJ54" s="87">
        <v>6.786101</v>
      </c>
      <c r="AK54" s="87">
        <v>3.965438</v>
      </c>
      <c r="AL54" s="88" t="s">
        <v>1396</v>
      </c>
    </row>
    <row r="55">
      <c r="A55" s="84" t="s">
        <v>1481</v>
      </c>
      <c r="B55" s="84" t="s">
        <v>1482</v>
      </c>
      <c r="C55" s="84" t="s">
        <v>139</v>
      </c>
      <c r="D55" s="84" t="s">
        <v>1476</v>
      </c>
      <c r="E55" s="84" t="s">
        <v>1398</v>
      </c>
      <c r="F55" s="87">
        <v>1.0</v>
      </c>
      <c r="G55" s="87">
        <v>0.0</v>
      </c>
      <c r="H55" s="87">
        <v>64.0</v>
      </c>
      <c r="I55" s="87">
        <v>0.0</v>
      </c>
      <c r="J55" s="87">
        <v>14.76574</v>
      </c>
      <c r="K55" s="87">
        <v>17.62164</v>
      </c>
      <c r="L55" s="87">
        <v>17.94999</v>
      </c>
      <c r="M55" s="87">
        <v>17.62164</v>
      </c>
      <c r="N55" s="87">
        <v>1.0</v>
      </c>
      <c r="O55" s="87">
        <v>17.62164</v>
      </c>
      <c r="P55" s="87">
        <v>17.62164</v>
      </c>
      <c r="Q55" s="87">
        <v>17.62164</v>
      </c>
      <c r="R55" s="87">
        <v>17.62164</v>
      </c>
      <c r="S55" s="87">
        <v>17.62164</v>
      </c>
      <c r="T55" s="87">
        <v>17.62164</v>
      </c>
      <c r="U55" s="87">
        <v>17.62164</v>
      </c>
      <c r="V55" s="87">
        <v>17.62164</v>
      </c>
      <c r="W55" s="87">
        <v>17.62164</v>
      </c>
      <c r="X55" s="87">
        <v>17.62164</v>
      </c>
      <c r="Y55" s="87">
        <v>17.62164</v>
      </c>
      <c r="Z55" s="87">
        <v>0.0</v>
      </c>
      <c r="AA55" s="87">
        <v>27.63678</v>
      </c>
      <c r="AB55" s="87">
        <v>12.26908</v>
      </c>
      <c r="AC55" s="87">
        <v>17.62164</v>
      </c>
      <c r="AD55" s="87">
        <v>3.424888</v>
      </c>
      <c r="AE55" s="87">
        <v>3.622439</v>
      </c>
      <c r="AF55" s="87">
        <v>5.362943</v>
      </c>
      <c r="AG55" s="87">
        <v>4.135645</v>
      </c>
      <c r="AH55" s="87">
        <v>0.0</v>
      </c>
      <c r="AI55" s="87">
        <v>10.00627</v>
      </c>
      <c r="AJ55" s="87">
        <v>6.786101</v>
      </c>
      <c r="AK55" s="87">
        <v>3.965438</v>
      </c>
      <c r="AL55" s="88" t="s">
        <v>1396</v>
      </c>
    </row>
    <row r="56">
      <c r="A56" s="84" t="s">
        <v>1483</v>
      </c>
      <c r="B56" s="84" t="s">
        <v>1484</v>
      </c>
      <c r="C56" s="84" t="s">
        <v>139</v>
      </c>
      <c r="D56" s="84" t="s">
        <v>1476</v>
      </c>
      <c r="E56" s="86">
        <v>46300.0</v>
      </c>
      <c r="F56" s="87">
        <v>6.0</v>
      </c>
      <c r="G56" s="87">
        <v>0.0</v>
      </c>
      <c r="H56" s="87">
        <v>496.0</v>
      </c>
      <c r="I56" s="87">
        <v>0.0</v>
      </c>
      <c r="J56" s="87">
        <v>110.8267</v>
      </c>
      <c r="K56" s="87">
        <v>108.2841</v>
      </c>
      <c r="L56" s="87">
        <v>110.9007</v>
      </c>
      <c r="M56" s="87">
        <v>103.2206</v>
      </c>
      <c r="N56" s="87">
        <v>0.953238</v>
      </c>
      <c r="O56" s="87">
        <v>0.0</v>
      </c>
      <c r="P56" s="87">
        <v>0.0</v>
      </c>
      <c r="Q56" s="87">
        <v>0.0</v>
      </c>
      <c r="R56" s="87">
        <v>5.063565</v>
      </c>
      <c r="S56" s="87">
        <v>13.92996</v>
      </c>
      <c r="T56" s="87">
        <v>5.063565</v>
      </c>
      <c r="U56" s="87">
        <v>5.063565</v>
      </c>
      <c r="V56" s="87">
        <v>5.063565</v>
      </c>
      <c r="W56" s="87">
        <v>13.92996</v>
      </c>
      <c r="X56" s="87">
        <v>89.2906</v>
      </c>
      <c r="Y56" s="87">
        <v>18.04735</v>
      </c>
      <c r="Z56" s="87">
        <v>0.0</v>
      </c>
      <c r="AA56" s="87">
        <v>27.63678</v>
      </c>
      <c r="AB56" s="87">
        <v>12.26908</v>
      </c>
      <c r="AC56" s="87">
        <v>17.62164</v>
      </c>
      <c r="AD56" s="87">
        <v>5.533723</v>
      </c>
      <c r="AE56" s="87">
        <v>12.51933</v>
      </c>
      <c r="AF56" s="87">
        <v>16.38261</v>
      </c>
      <c r="AG56" s="87">
        <v>18.04735</v>
      </c>
      <c r="AH56" s="87">
        <v>0.0</v>
      </c>
      <c r="AI56" s="87">
        <v>10.00627</v>
      </c>
      <c r="AJ56" s="87">
        <v>6.786101</v>
      </c>
      <c r="AK56" s="87">
        <v>3.965438</v>
      </c>
      <c r="AL56" s="88" t="s">
        <v>1396</v>
      </c>
    </row>
    <row r="57">
      <c r="A57" s="84" t="s">
        <v>1485</v>
      </c>
      <c r="B57" s="84" t="s">
        <v>1486</v>
      </c>
      <c r="C57" s="84" t="s">
        <v>139</v>
      </c>
      <c r="D57" s="84" t="s">
        <v>1476</v>
      </c>
      <c r="E57" s="84" t="s">
        <v>1403</v>
      </c>
      <c r="F57" s="87">
        <v>39.0</v>
      </c>
      <c r="G57" s="87">
        <v>0.0</v>
      </c>
      <c r="H57" s="87">
        <v>0.0</v>
      </c>
      <c r="I57" s="87">
        <v>0.0</v>
      </c>
      <c r="J57" s="87">
        <v>0.0</v>
      </c>
      <c r="K57" s="87">
        <v>0.0</v>
      </c>
      <c r="L57" s="87">
        <v>0.0</v>
      </c>
      <c r="M57" s="87">
        <v>0.0</v>
      </c>
      <c r="N57" s="87">
        <v>0.0</v>
      </c>
      <c r="O57" s="87">
        <v>0.0</v>
      </c>
      <c r="P57" s="87">
        <v>0.0</v>
      </c>
      <c r="Q57" s="87">
        <v>0.0</v>
      </c>
      <c r="R57" s="87">
        <v>0.0</v>
      </c>
      <c r="S57" s="87">
        <v>0.0</v>
      </c>
      <c r="T57" s="87">
        <v>0.0</v>
      </c>
      <c r="U57" s="87">
        <v>0.0</v>
      </c>
      <c r="V57" s="87">
        <v>0.0</v>
      </c>
      <c r="W57" s="87">
        <v>0.0</v>
      </c>
      <c r="X57" s="87">
        <v>0.0</v>
      </c>
      <c r="Y57" s="87">
        <v>0.0</v>
      </c>
      <c r="Z57" s="87">
        <v>0.0</v>
      </c>
      <c r="AA57" s="87">
        <v>27.63678</v>
      </c>
      <c r="AB57" s="87">
        <v>12.26908</v>
      </c>
      <c r="AC57" s="87">
        <v>17.62164</v>
      </c>
      <c r="AD57" s="87">
        <v>0.0</v>
      </c>
      <c r="AE57" s="87">
        <v>0.0</v>
      </c>
      <c r="AF57" s="87">
        <v>0.0</v>
      </c>
      <c r="AG57" s="87">
        <v>0.0</v>
      </c>
      <c r="AH57" s="87">
        <v>0.0</v>
      </c>
      <c r="AI57" s="87">
        <v>10.00627</v>
      </c>
      <c r="AJ57" s="87">
        <v>6.786101</v>
      </c>
      <c r="AK57" s="87">
        <v>3.965438</v>
      </c>
      <c r="AL57" s="88" t="s">
        <v>1396</v>
      </c>
    </row>
    <row r="58">
      <c r="A58" s="84" t="s">
        <v>1477</v>
      </c>
      <c r="B58" s="84" t="s">
        <v>1487</v>
      </c>
      <c r="C58" s="84" t="s">
        <v>139</v>
      </c>
      <c r="D58" s="84" t="s">
        <v>1488</v>
      </c>
      <c r="E58" s="86">
        <v>46310.0</v>
      </c>
      <c r="F58" s="87">
        <v>2.0</v>
      </c>
      <c r="G58" s="87">
        <v>0.0</v>
      </c>
      <c r="H58" s="87">
        <v>0.0</v>
      </c>
      <c r="I58" s="87">
        <v>0.0</v>
      </c>
      <c r="J58" s="87">
        <v>0.0</v>
      </c>
      <c r="K58" s="87">
        <v>0.0</v>
      </c>
      <c r="L58" s="87">
        <v>0.0</v>
      </c>
      <c r="M58" s="87">
        <v>0.0</v>
      </c>
      <c r="N58" s="87">
        <v>0.0</v>
      </c>
      <c r="O58" s="87">
        <v>0.0</v>
      </c>
      <c r="P58" s="87">
        <v>0.0</v>
      </c>
      <c r="Q58" s="87">
        <v>0.0</v>
      </c>
      <c r="R58" s="87">
        <v>0.0</v>
      </c>
      <c r="S58" s="87">
        <v>0.0</v>
      </c>
      <c r="T58" s="87">
        <v>0.0</v>
      </c>
      <c r="U58" s="87">
        <v>0.0</v>
      </c>
      <c r="V58" s="87">
        <v>0.0</v>
      </c>
      <c r="W58" s="87">
        <v>0.0</v>
      </c>
      <c r="X58" s="87">
        <v>0.0</v>
      </c>
      <c r="Y58" s="87">
        <v>0.0</v>
      </c>
      <c r="Z58" s="87">
        <v>0.0</v>
      </c>
      <c r="AA58" s="87">
        <v>2.257019</v>
      </c>
      <c r="AB58" s="87">
        <v>0.458512</v>
      </c>
      <c r="AC58" s="87">
        <v>0.0</v>
      </c>
      <c r="AD58" s="87">
        <v>1.250293</v>
      </c>
      <c r="AE58" s="87">
        <v>6.357465</v>
      </c>
      <c r="AF58" s="87">
        <v>9.86724</v>
      </c>
      <c r="AG58" s="87">
        <v>2.585592</v>
      </c>
      <c r="AH58" s="87">
        <v>0.0</v>
      </c>
      <c r="AI58" s="87">
        <v>10.00627</v>
      </c>
      <c r="AJ58" s="87">
        <v>6.786101</v>
      </c>
      <c r="AK58" s="87">
        <v>3.965438</v>
      </c>
      <c r="AL58" s="88" t="s">
        <v>1396</v>
      </c>
    </row>
    <row r="59">
      <c r="A59" s="84" t="s">
        <v>1479</v>
      </c>
      <c r="B59" s="84" t="s">
        <v>1489</v>
      </c>
      <c r="C59" s="84" t="s">
        <v>139</v>
      </c>
      <c r="D59" s="84" t="s">
        <v>1488</v>
      </c>
      <c r="E59" s="84" t="s">
        <v>1413</v>
      </c>
      <c r="F59" s="87">
        <v>2.0</v>
      </c>
      <c r="G59" s="87">
        <v>0.0</v>
      </c>
      <c r="H59" s="87">
        <v>0.0</v>
      </c>
      <c r="I59" s="87">
        <v>0.0</v>
      </c>
      <c r="J59" s="87">
        <v>0.0</v>
      </c>
      <c r="K59" s="87">
        <v>0.0</v>
      </c>
      <c r="L59" s="87">
        <v>0.0</v>
      </c>
      <c r="M59" s="87">
        <v>0.0</v>
      </c>
      <c r="N59" s="87">
        <v>0.0</v>
      </c>
      <c r="O59" s="87">
        <v>0.0</v>
      </c>
      <c r="P59" s="87">
        <v>0.0</v>
      </c>
      <c r="Q59" s="87">
        <v>0.0</v>
      </c>
      <c r="R59" s="87">
        <v>0.0</v>
      </c>
      <c r="S59" s="87">
        <v>0.0</v>
      </c>
      <c r="T59" s="87">
        <v>0.0</v>
      </c>
      <c r="U59" s="87">
        <v>0.0</v>
      </c>
      <c r="V59" s="87">
        <v>0.0</v>
      </c>
      <c r="W59" s="87">
        <v>0.0</v>
      </c>
      <c r="X59" s="87">
        <v>0.0</v>
      </c>
      <c r="Y59" s="87">
        <v>0.0</v>
      </c>
      <c r="Z59" s="87">
        <v>0.0</v>
      </c>
      <c r="AA59" s="87">
        <v>2.257019</v>
      </c>
      <c r="AB59" s="87">
        <v>0.458512</v>
      </c>
      <c r="AC59" s="87">
        <v>0.0</v>
      </c>
      <c r="AD59" s="87">
        <v>3.5</v>
      </c>
      <c r="AE59" s="87">
        <v>5.186141</v>
      </c>
      <c r="AF59" s="87">
        <v>11.12763</v>
      </c>
      <c r="AG59" s="87">
        <v>4.687512</v>
      </c>
      <c r="AH59" s="87">
        <v>0.0</v>
      </c>
      <c r="AI59" s="87">
        <v>10.00627</v>
      </c>
      <c r="AJ59" s="87">
        <v>6.786101</v>
      </c>
      <c r="AK59" s="87">
        <v>3.965438</v>
      </c>
      <c r="AL59" s="88" t="s">
        <v>1396</v>
      </c>
    </row>
    <row r="60">
      <c r="A60" s="84" t="s">
        <v>1490</v>
      </c>
      <c r="B60" s="84" t="s">
        <v>1491</v>
      </c>
      <c r="C60" s="84" t="s">
        <v>139</v>
      </c>
      <c r="D60" s="84" t="s">
        <v>1488</v>
      </c>
      <c r="E60" s="84" t="s">
        <v>1400</v>
      </c>
      <c r="F60" s="87">
        <v>10.0</v>
      </c>
      <c r="G60" s="87">
        <v>0.0</v>
      </c>
      <c r="H60" s="87">
        <v>2288.0</v>
      </c>
      <c r="I60" s="87">
        <v>0.0</v>
      </c>
      <c r="J60" s="87">
        <v>33.79385</v>
      </c>
      <c r="K60" s="87">
        <v>33.92991</v>
      </c>
      <c r="L60" s="87">
        <v>37.87458</v>
      </c>
      <c r="M60" s="87">
        <v>29.38428</v>
      </c>
      <c r="N60" s="87">
        <v>0.866029</v>
      </c>
      <c r="O60" s="87">
        <v>0.0</v>
      </c>
      <c r="P60" s="87">
        <v>0.0</v>
      </c>
      <c r="Q60" s="87">
        <v>0.0</v>
      </c>
      <c r="R60" s="87">
        <v>1.545396</v>
      </c>
      <c r="S60" s="87">
        <v>2.257019</v>
      </c>
      <c r="T60" s="87">
        <v>1.388036</v>
      </c>
      <c r="U60" s="87">
        <v>1.545396</v>
      </c>
      <c r="V60" s="87">
        <v>1.545396</v>
      </c>
      <c r="W60" s="87">
        <v>2.257019</v>
      </c>
      <c r="X60" s="87">
        <v>4.856376</v>
      </c>
      <c r="Y60" s="87">
        <v>3.392991</v>
      </c>
      <c r="Z60" s="87">
        <v>0.0</v>
      </c>
      <c r="AA60" s="87">
        <v>2.257019</v>
      </c>
      <c r="AB60" s="87">
        <v>0.458512</v>
      </c>
      <c r="AC60" s="87">
        <v>0.0</v>
      </c>
      <c r="AD60" s="87">
        <v>1.545396</v>
      </c>
      <c r="AE60" s="87">
        <v>2.0</v>
      </c>
      <c r="AF60" s="87">
        <v>3.351121</v>
      </c>
      <c r="AG60" s="87">
        <v>3.010825</v>
      </c>
      <c r="AH60" s="87">
        <v>0.0</v>
      </c>
      <c r="AI60" s="87">
        <v>10.00627</v>
      </c>
      <c r="AJ60" s="87">
        <v>6.786101</v>
      </c>
      <c r="AK60" s="87">
        <v>3.965438</v>
      </c>
      <c r="AL60" s="88" t="s">
        <v>1396</v>
      </c>
    </row>
    <row r="61">
      <c r="A61" s="84" t="s">
        <v>1485</v>
      </c>
      <c r="B61" s="84" t="s">
        <v>1492</v>
      </c>
      <c r="C61" s="84" t="s">
        <v>139</v>
      </c>
      <c r="D61" s="84" t="s">
        <v>1488</v>
      </c>
      <c r="E61" s="84" t="s">
        <v>1403</v>
      </c>
      <c r="F61" s="87">
        <v>37.0</v>
      </c>
      <c r="G61" s="87">
        <v>0.0</v>
      </c>
      <c r="H61" s="87">
        <v>0.0</v>
      </c>
      <c r="I61" s="87">
        <v>0.0</v>
      </c>
      <c r="J61" s="87">
        <v>0.0</v>
      </c>
      <c r="K61" s="87">
        <v>0.0</v>
      </c>
      <c r="L61" s="87">
        <v>0.0</v>
      </c>
      <c r="M61" s="87">
        <v>0.0</v>
      </c>
      <c r="N61" s="87">
        <v>0.0</v>
      </c>
      <c r="O61" s="87">
        <v>0.0</v>
      </c>
      <c r="P61" s="87">
        <v>0.0</v>
      </c>
      <c r="Q61" s="87">
        <v>0.0</v>
      </c>
      <c r="R61" s="87">
        <v>0.0</v>
      </c>
      <c r="S61" s="87">
        <v>0.0</v>
      </c>
      <c r="T61" s="87">
        <v>0.0</v>
      </c>
      <c r="U61" s="87">
        <v>0.0</v>
      </c>
      <c r="V61" s="87">
        <v>0.0</v>
      </c>
      <c r="W61" s="87">
        <v>0.0</v>
      </c>
      <c r="X61" s="87">
        <v>0.0</v>
      </c>
      <c r="Y61" s="87">
        <v>0.0</v>
      </c>
      <c r="Z61" s="87">
        <v>0.0</v>
      </c>
      <c r="AA61" s="87">
        <v>2.257019</v>
      </c>
      <c r="AB61" s="87">
        <v>0.458512</v>
      </c>
      <c r="AC61" s="87">
        <v>0.0</v>
      </c>
      <c r="AD61" s="87">
        <v>0.0</v>
      </c>
      <c r="AE61" s="87">
        <v>0.0</v>
      </c>
      <c r="AF61" s="87">
        <v>0.0</v>
      </c>
      <c r="AG61" s="87">
        <v>0.0</v>
      </c>
      <c r="AH61" s="87">
        <v>0.0</v>
      </c>
      <c r="AI61" s="87">
        <v>10.00627</v>
      </c>
      <c r="AJ61" s="87">
        <v>6.786101</v>
      </c>
      <c r="AK61" s="87">
        <v>3.965438</v>
      </c>
      <c r="AL61" s="88" t="s">
        <v>1396</v>
      </c>
    </row>
    <row r="62">
      <c r="A62" s="84" t="s">
        <v>1474</v>
      </c>
      <c r="B62" s="84" t="s">
        <v>1493</v>
      </c>
      <c r="C62" s="84" t="s">
        <v>139</v>
      </c>
      <c r="D62" s="84" t="s">
        <v>1494</v>
      </c>
      <c r="E62" s="84" t="s">
        <v>1426</v>
      </c>
      <c r="F62" s="87">
        <v>16.0</v>
      </c>
      <c r="G62" s="87">
        <v>0.0</v>
      </c>
      <c r="H62" s="87">
        <v>2602.0</v>
      </c>
      <c r="I62" s="87">
        <v>0.0</v>
      </c>
      <c r="J62" s="87">
        <v>415.9207</v>
      </c>
      <c r="K62" s="87">
        <v>427.4718</v>
      </c>
      <c r="L62" s="87">
        <v>450.4285</v>
      </c>
      <c r="M62" s="87">
        <v>297.5673</v>
      </c>
      <c r="N62" s="87">
        <v>0.69611</v>
      </c>
      <c r="O62" s="87">
        <v>0.0</v>
      </c>
      <c r="P62" s="87">
        <v>1.166667</v>
      </c>
      <c r="Q62" s="87">
        <v>2.035483</v>
      </c>
      <c r="R62" s="87">
        <v>16.49978</v>
      </c>
      <c r="S62" s="87">
        <v>34.50944</v>
      </c>
      <c r="T62" s="87">
        <v>2.035483</v>
      </c>
      <c r="U62" s="87">
        <v>2.672798</v>
      </c>
      <c r="V62" s="87">
        <v>7.947657</v>
      </c>
      <c r="W62" s="87">
        <v>20.71314</v>
      </c>
      <c r="X62" s="87">
        <v>41.49443</v>
      </c>
      <c r="Y62" s="87">
        <v>26.71699</v>
      </c>
      <c r="Z62" s="87">
        <v>0.0</v>
      </c>
      <c r="AA62" s="87">
        <v>11.93117</v>
      </c>
      <c r="AB62" s="87">
        <v>6.99314</v>
      </c>
      <c r="AC62" s="87">
        <v>4.687512</v>
      </c>
      <c r="AD62" s="87">
        <v>20.65125</v>
      </c>
      <c r="AE62" s="87">
        <v>28.6914</v>
      </c>
      <c r="AF62" s="87">
        <v>40.32366</v>
      </c>
      <c r="AG62" s="87">
        <v>26.71699</v>
      </c>
      <c r="AH62" s="87">
        <v>0.0</v>
      </c>
      <c r="AI62" s="87">
        <v>10.00627</v>
      </c>
      <c r="AJ62" s="87">
        <v>6.786101</v>
      </c>
      <c r="AK62" s="87">
        <v>3.965438</v>
      </c>
      <c r="AL62" s="88" t="s">
        <v>1396</v>
      </c>
    </row>
    <row r="63">
      <c r="A63" s="84" t="s">
        <v>1477</v>
      </c>
      <c r="B63" s="84" t="s">
        <v>1495</v>
      </c>
      <c r="C63" s="84" t="s">
        <v>139</v>
      </c>
      <c r="D63" s="84" t="s">
        <v>1494</v>
      </c>
      <c r="E63" s="86">
        <v>46310.0</v>
      </c>
      <c r="F63" s="87">
        <v>2.0</v>
      </c>
      <c r="G63" s="87">
        <v>0.0</v>
      </c>
      <c r="H63" s="87">
        <v>0.0</v>
      </c>
      <c r="I63" s="87">
        <v>0.0</v>
      </c>
      <c r="J63" s="87">
        <v>0.0</v>
      </c>
      <c r="K63" s="87">
        <v>1.916667</v>
      </c>
      <c r="L63" s="87">
        <v>1.194444</v>
      </c>
      <c r="M63" s="87">
        <v>1.916667</v>
      </c>
      <c r="N63" s="87">
        <v>1.0</v>
      </c>
      <c r="O63" s="87">
        <v>0.0</v>
      </c>
      <c r="P63" s="87">
        <v>0.0</v>
      </c>
      <c r="Q63" s="87">
        <v>0.0</v>
      </c>
      <c r="R63" s="87">
        <v>1.916667</v>
      </c>
      <c r="S63" s="87">
        <v>1.916667</v>
      </c>
      <c r="T63" s="87">
        <v>1.916667</v>
      </c>
      <c r="U63" s="87">
        <v>1.916667</v>
      </c>
      <c r="V63" s="87">
        <v>1.916667</v>
      </c>
      <c r="W63" s="87">
        <v>1.916667</v>
      </c>
      <c r="X63" s="87">
        <v>1.916667</v>
      </c>
      <c r="Y63" s="87">
        <v>0.958333</v>
      </c>
      <c r="Z63" s="87">
        <v>0.0</v>
      </c>
      <c r="AA63" s="87">
        <v>11.93117</v>
      </c>
      <c r="AB63" s="87">
        <v>6.99314</v>
      </c>
      <c r="AC63" s="87">
        <v>4.687512</v>
      </c>
      <c r="AD63" s="87">
        <v>1.250293</v>
      </c>
      <c r="AE63" s="87">
        <v>6.357465</v>
      </c>
      <c r="AF63" s="87">
        <v>9.86724</v>
      </c>
      <c r="AG63" s="87">
        <v>2.585592</v>
      </c>
      <c r="AH63" s="87">
        <v>0.0</v>
      </c>
      <c r="AI63" s="87">
        <v>10.00627</v>
      </c>
      <c r="AJ63" s="87">
        <v>6.786101</v>
      </c>
      <c r="AK63" s="87">
        <v>3.965438</v>
      </c>
      <c r="AL63" s="88" t="s">
        <v>1396</v>
      </c>
    </row>
    <row r="64">
      <c r="A64" s="84" t="s">
        <v>1479</v>
      </c>
      <c r="B64" s="84" t="s">
        <v>1496</v>
      </c>
      <c r="C64" s="84" t="s">
        <v>139</v>
      </c>
      <c r="D64" s="84" t="s">
        <v>1494</v>
      </c>
      <c r="E64" s="84" t="s">
        <v>1413</v>
      </c>
      <c r="F64" s="87">
        <v>11.0</v>
      </c>
      <c r="G64" s="87">
        <v>0.0</v>
      </c>
      <c r="H64" s="87">
        <v>1491.0</v>
      </c>
      <c r="I64" s="87">
        <v>0.0</v>
      </c>
      <c r="J64" s="87">
        <v>35.51815</v>
      </c>
      <c r="K64" s="87">
        <v>51.56263</v>
      </c>
      <c r="L64" s="87">
        <v>49.99064</v>
      </c>
      <c r="M64" s="87">
        <v>32.0667</v>
      </c>
      <c r="N64" s="87">
        <v>0.621898</v>
      </c>
      <c r="O64" s="87">
        <v>0.0</v>
      </c>
      <c r="P64" s="87">
        <v>0.785714</v>
      </c>
      <c r="Q64" s="87">
        <v>2.498413</v>
      </c>
      <c r="R64" s="87">
        <v>3.5</v>
      </c>
      <c r="S64" s="87">
        <v>5.158348</v>
      </c>
      <c r="T64" s="87">
        <v>0.785714</v>
      </c>
      <c r="U64" s="87">
        <v>2.498413</v>
      </c>
      <c r="V64" s="87">
        <v>2.709111</v>
      </c>
      <c r="W64" s="87">
        <v>4.844343</v>
      </c>
      <c r="X64" s="87">
        <v>6.446825</v>
      </c>
      <c r="Y64" s="87">
        <v>4.687512</v>
      </c>
      <c r="Z64" s="87">
        <v>0.0</v>
      </c>
      <c r="AA64" s="87">
        <v>11.93117</v>
      </c>
      <c r="AB64" s="87">
        <v>6.99314</v>
      </c>
      <c r="AC64" s="87">
        <v>4.687512</v>
      </c>
      <c r="AD64" s="87">
        <v>3.5</v>
      </c>
      <c r="AE64" s="87">
        <v>5.186141</v>
      </c>
      <c r="AF64" s="87">
        <v>11.12763</v>
      </c>
      <c r="AG64" s="87">
        <v>4.687512</v>
      </c>
      <c r="AH64" s="87">
        <v>0.0</v>
      </c>
      <c r="AI64" s="87">
        <v>10.00627</v>
      </c>
      <c r="AJ64" s="87">
        <v>6.786101</v>
      </c>
      <c r="AK64" s="87">
        <v>3.965438</v>
      </c>
      <c r="AL64" s="88" t="s">
        <v>1396</v>
      </c>
    </row>
    <row r="65">
      <c r="A65" s="84" t="s">
        <v>1481</v>
      </c>
      <c r="B65" s="84" t="s">
        <v>1497</v>
      </c>
      <c r="C65" s="84" t="s">
        <v>139</v>
      </c>
      <c r="D65" s="84" t="s">
        <v>1494</v>
      </c>
      <c r="E65" s="84" t="s">
        <v>1398</v>
      </c>
      <c r="F65" s="87">
        <v>3.0</v>
      </c>
      <c r="G65" s="87">
        <v>0.0</v>
      </c>
      <c r="H65" s="87">
        <v>519.0</v>
      </c>
      <c r="I65" s="87">
        <v>0.0</v>
      </c>
      <c r="J65" s="87">
        <v>12.71128</v>
      </c>
      <c r="K65" s="87">
        <v>12.40693</v>
      </c>
      <c r="L65" s="87">
        <v>11.26669</v>
      </c>
      <c r="M65" s="87">
        <v>6.29363</v>
      </c>
      <c r="N65" s="87">
        <v>0.507267</v>
      </c>
      <c r="O65" s="87">
        <v>0.0</v>
      </c>
      <c r="P65" s="87">
        <v>0.0</v>
      </c>
      <c r="Q65" s="87">
        <v>0.0</v>
      </c>
      <c r="R65" s="87">
        <v>6.113304</v>
      </c>
      <c r="S65" s="87">
        <v>6.29363</v>
      </c>
      <c r="T65" s="87">
        <v>6.113304</v>
      </c>
      <c r="U65" s="87">
        <v>6.113304</v>
      </c>
      <c r="V65" s="87">
        <v>6.113304</v>
      </c>
      <c r="W65" s="87">
        <v>6.29363</v>
      </c>
      <c r="X65" s="87">
        <v>6.29363</v>
      </c>
      <c r="Y65" s="87">
        <v>4.135645</v>
      </c>
      <c r="Z65" s="87">
        <v>0.0</v>
      </c>
      <c r="AA65" s="87">
        <v>11.93117</v>
      </c>
      <c r="AB65" s="87">
        <v>6.99314</v>
      </c>
      <c r="AC65" s="87">
        <v>4.687512</v>
      </c>
      <c r="AD65" s="87">
        <v>3.424888</v>
      </c>
      <c r="AE65" s="87">
        <v>3.622439</v>
      </c>
      <c r="AF65" s="87">
        <v>5.362943</v>
      </c>
      <c r="AG65" s="87">
        <v>4.135645</v>
      </c>
      <c r="AH65" s="87">
        <v>0.0</v>
      </c>
      <c r="AI65" s="87">
        <v>10.00627</v>
      </c>
      <c r="AJ65" s="87">
        <v>6.786101</v>
      </c>
      <c r="AK65" s="87">
        <v>3.965438</v>
      </c>
      <c r="AL65" s="88" t="s">
        <v>1396</v>
      </c>
    </row>
    <row r="66">
      <c r="A66" s="84" t="s">
        <v>1483</v>
      </c>
      <c r="B66" s="84" t="s">
        <v>1498</v>
      </c>
      <c r="C66" s="84" t="s">
        <v>139</v>
      </c>
      <c r="D66" s="84" t="s">
        <v>1494</v>
      </c>
      <c r="E66" s="89">
        <v>46300.0</v>
      </c>
      <c r="F66" s="87">
        <v>5.0</v>
      </c>
      <c r="G66" s="87">
        <v>0.0</v>
      </c>
      <c r="H66" s="87">
        <v>650.0</v>
      </c>
      <c r="I66" s="87">
        <v>0.0</v>
      </c>
      <c r="J66" s="87">
        <v>97.85589</v>
      </c>
      <c r="K66" s="87">
        <v>101.0589</v>
      </c>
      <c r="L66" s="87">
        <v>103.593</v>
      </c>
      <c r="M66" s="87">
        <v>26.84986</v>
      </c>
      <c r="N66" s="87">
        <v>0.265685</v>
      </c>
      <c r="O66" s="87">
        <v>11.93117</v>
      </c>
      <c r="P66" s="87">
        <v>14.24853</v>
      </c>
      <c r="Q66" s="87">
        <v>14.24853</v>
      </c>
      <c r="R66" s="87">
        <v>22.9942</v>
      </c>
      <c r="S66" s="87">
        <v>25.03517</v>
      </c>
      <c r="T66" s="87">
        <v>11.93117</v>
      </c>
      <c r="U66" s="87">
        <v>14.24853</v>
      </c>
      <c r="V66" s="87">
        <v>14.24853</v>
      </c>
      <c r="W66" s="87">
        <v>22.9942</v>
      </c>
      <c r="X66" s="87">
        <v>25.03517</v>
      </c>
      <c r="Y66" s="87">
        <v>20.21179</v>
      </c>
      <c r="Z66" s="87">
        <v>0.0</v>
      </c>
      <c r="AA66" s="87">
        <v>11.93117</v>
      </c>
      <c r="AB66" s="87">
        <v>6.99314</v>
      </c>
      <c r="AC66" s="87">
        <v>4.687512</v>
      </c>
      <c r="AD66" s="87">
        <v>5.533723</v>
      </c>
      <c r="AE66" s="87">
        <v>12.51933</v>
      </c>
      <c r="AF66" s="87">
        <v>16.38261</v>
      </c>
      <c r="AG66" s="87">
        <v>18.04735</v>
      </c>
      <c r="AH66" s="87">
        <v>0.0</v>
      </c>
      <c r="AI66" s="87">
        <v>10.00627</v>
      </c>
      <c r="AJ66" s="87">
        <v>6.786101</v>
      </c>
      <c r="AK66" s="87">
        <v>3.965438</v>
      </c>
      <c r="AL66" s="88" t="s">
        <v>1396</v>
      </c>
    </row>
    <row r="67">
      <c r="A67" s="84" t="s">
        <v>1485</v>
      </c>
      <c r="B67" s="84" t="s">
        <v>1499</v>
      </c>
      <c r="C67" s="84" t="s">
        <v>139</v>
      </c>
      <c r="D67" s="84" t="s">
        <v>1494</v>
      </c>
      <c r="E67" s="84" t="s">
        <v>1403</v>
      </c>
      <c r="F67" s="87">
        <v>48.0</v>
      </c>
      <c r="G67" s="87">
        <v>0.0</v>
      </c>
      <c r="H67" s="87">
        <v>0.0</v>
      </c>
      <c r="I67" s="87">
        <v>0.0</v>
      </c>
      <c r="J67" s="87">
        <v>0.0</v>
      </c>
      <c r="K67" s="87">
        <v>0.0</v>
      </c>
      <c r="L67" s="87">
        <v>0.0</v>
      </c>
      <c r="M67" s="87">
        <v>0.0</v>
      </c>
      <c r="N67" s="87">
        <v>0.0</v>
      </c>
      <c r="O67" s="87">
        <v>0.0</v>
      </c>
      <c r="P67" s="87">
        <v>0.0</v>
      </c>
      <c r="Q67" s="87">
        <v>0.0</v>
      </c>
      <c r="R67" s="87">
        <v>0.0</v>
      </c>
      <c r="S67" s="87">
        <v>0.0</v>
      </c>
      <c r="T67" s="87">
        <v>0.0</v>
      </c>
      <c r="U67" s="87">
        <v>0.0</v>
      </c>
      <c r="V67" s="87">
        <v>0.0</v>
      </c>
      <c r="W67" s="87">
        <v>0.0</v>
      </c>
      <c r="X67" s="87">
        <v>0.0</v>
      </c>
      <c r="Y67" s="87">
        <v>0.0</v>
      </c>
      <c r="Z67" s="87">
        <v>0.0</v>
      </c>
      <c r="AA67" s="87">
        <v>11.93117</v>
      </c>
      <c r="AB67" s="87">
        <v>6.99314</v>
      </c>
      <c r="AC67" s="87">
        <v>4.687512</v>
      </c>
      <c r="AD67" s="87">
        <v>0.0</v>
      </c>
      <c r="AE67" s="87">
        <v>0.0</v>
      </c>
      <c r="AF67" s="87">
        <v>0.0</v>
      </c>
      <c r="AG67" s="87">
        <v>0.0</v>
      </c>
      <c r="AH67" s="87">
        <v>0.0</v>
      </c>
      <c r="AI67" s="87">
        <v>10.00627</v>
      </c>
      <c r="AJ67" s="87">
        <v>6.786101</v>
      </c>
      <c r="AK67" s="87">
        <v>3.965438</v>
      </c>
      <c r="AL67" s="88" t="s">
        <v>1396</v>
      </c>
    </row>
    <row r="68">
      <c r="A68" s="84" t="s">
        <v>1477</v>
      </c>
      <c r="B68" s="84" t="s">
        <v>1500</v>
      </c>
      <c r="C68" s="84" t="s">
        <v>139</v>
      </c>
      <c r="D68" s="84" t="s">
        <v>1501</v>
      </c>
      <c r="E68" s="86">
        <v>46310.0</v>
      </c>
      <c r="F68" s="87">
        <v>7.0</v>
      </c>
      <c r="G68" s="87">
        <v>0.0</v>
      </c>
      <c r="H68" s="87">
        <v>813.0</v>
      </c>
      <c r="I68" s="87">
        <v>0.0</v>
      </c>
      <c r="J68" s="87">
        <v>12.5</v>
      </c>
      <c r="K68" s="87">
        <v>12.5</v>
      </c>
      <c r="L68" s="87">
        <v>12.5</v>
      </c>
      <c r="M68" s="87">
        <v>6.5</v>
      </c>
      <c r="N68" s="87">
        <v>0.52</v>
      </c>
      <c r="O68" s="87">
        <v>0.0</v>
      </c>
      <c r="P68" s="87">
        <v>0.5</v>
      </c>
      <c r="Q68" s="87">
        <v>1.0</v>
      </c>
      <c r="R68" s="87">
        <v>2.0</v>
      </c>
      <c r="S68" s="87">
        <v>2.5</v>
      </c>
      <c r="T68" s="87">
        <v>0.5</v>
      </c>
      <c r="U68" s="87">
        <v>1.0</v>
      </c>
      <c r="V68" s="87">
        <v>1.0</v>
      </c>
      <c r="W68" s="87">
        <v>2.5</v>
      </c>
      <c r="X68" s="87">
        <v>3.0</v>
      </c>
      <c r="Y68" s="87">
        <v>1.785714</v>
      </c>
      <c r="Z68" s="87">
        <v>1.5</v>
      </c>
      <c r="AA68" s="87">
        <v>2.0</v>
      </c>
      <c r="AB68" s="87">
        <v>2.818182</v>
      </c>
      <c r="AC68" s="87">
        <v>1.5</v>
      </c>
      <c r="AD68" s="87">
        <v>1.250293</v>
      </c>
      <c r="AE68" s="87">
        <v>6.357465</v>
      </c>
      <c r="AF68" s="87">
        <v>9.86724</v>
      </c>
      <c r="AG68" s="87">
        <v>2.585592</v>
      </c>
      <c r="AH68" s="87">
        <v>0.0</v>
      </c>
      <c r="AI68" s="87">
        <v>10.00627</v>
      </c>
      <c r="AJ68" s="87">
        <v>6.786101</v>
      </c>
      <c r="AK68" s="87">
        <v>3.965438</v>
      </c>
      <c r="AL68" s="88" t="s">
        <v>1396</v>
      </c>
    </row>
    <row r="69">
      <c r="A69" s="84" t="s">
        <v>1481</v>
      </c>
      <c r="B69" s="84" t="s">
        <v>1502</v>
      </c>
      <c r="C69" s="84" t="s">
        <v>139</v>
      </c>
      <c r="D69" s="84" t="s">
        <v>1501</v>
      </c>
      <c r="E69" s="84" t="s">
        <v>1398</v>
      </c>
      <c r="F69" s="87">
        <v>1.0</v>
      </c>
      <c r="G69" s="87">
        <v>0.0</v>
      </c>
      <c r="H69" s="87">
        <v>199.0</v>
      </c>
      <c r="I69" s="87">
        <v>0.0</v>
      </c>
      <c r="J69" s="87">
        <v>1.5</v>
      </c>
      <c r="K69" s="87">
        <v>1.5</v>
      </c>
      <c r="L69" s="87">
        <v>1.5</v>
      </c>
      <c r="M69" s="87">
        <v>1.5</v>
      </c>
      <c r="N69" s="87">
        <v>1.0</v>
      </c>
      <c r="O69" s="87">
        <v>1.5</v>
      </c>
      <c r="P69" s="87">
        <v>1.5</v>
      </c>
      <c r="Q69" s="87">
        <v>1.5</v>
      </c>
      <c r="R69" s="87">
        <v>1.5</v>
      </c>
      <c r="S69" s="87">
        <v>1.5</v>
      </c>
      <c r="T69" s="87">
        <v>1.5</v>
      </c>
      <c r="U69" s="87">
        <v>1.5</v>
      </c>
      <c r="V69" s="87">
        <v>1.5</v>
      </c>
      <c r="W69" s="87">
        <v>1.5</v>
      </c>
      <c r="X69" s="87">
        <v>1.5</v>
      </c>
      <c r="Y69" s="87">
        <v>1.5</v>
      </c>
      <c r="Z69" s="87">
        <v>1.5</v>
      </c>
      <c r="AA69" s="87">
        <v>2.0</v>
      </c>
      <c r="AB69" s="87">
        <v>2.818182</v>
      </c>
      <c r="AC69" s="87">
        <v>1.5</v>
      </c>
      <c r="AD69" s="87">
        <v>3.424888</v>
      </c>
      <c r="AE69" s="87">
        <v>3.622439</v>
      </c>
      <c r="AF69" s="87">
        <v>5.362943</v>
      </c>
      <c r="AG69" s="87">
        <v>4.135645</v>
      </c>
      <c r="AH69" s="87">
        <v>0.0</v>
      </c>
      <c r="AI69" s="87">
        <v>10.00627</v>
      </c>
      <c r="AJ69" s="87">
        <v>6.786101</v>
      </c>
      <c r="AK69" s="87">
        <v>3.965438</v>
      </c>
      <c r="AL69" s="88" t="s">
        <v>1396</v>
      </c>
    </row>
    <row r="70">
      <c r="A70" s="84" t="s">
        <v>1490</v>
      </c>
      <c r="B70" s="84" t="s">
        <v>1503</v>
      </c>
      <c r="C70" s="84" t="s">
        <v>139</v>
      </c>
      <c r="D70" s="84" t="s">
        <v>1501</v>
      </c>
      <c r="E70" s="84" t="s">
        <v>1400</v>
      </c>
      <c r="F70" s="87">
        <v>7.0</v>
      </c>
      <c r="G70" s="87">
        <v>0.0</v>
      </c>
      <c r="H70" s="87">
        <v>1172.0</v>
      </c>
      <c r="I70" s="87">
        <v>0.0</v>
      </c>
      <c r="J70" s="87">
        <v>6.0</v>
      </c>
      <c r="K70" s="87">
        <v>6.0</v>
      </c>
      <c r="L70" s="87">
        <v>6.0</v>
      </c>
      <c r="M70" s="87">
        <v>3.5</v>
      </c>
      <c r="N70" s="87">
        <v>0.583333</v>
      </c>
      <c r="O70" s="87">
        <v>0.0</v>
      </c>
      <c r="P70" s="87">
        <v>0.5</v>
      </c>
      <c r="Q70" s="87">
        <v>0.5</v>
      </c>
      <c r="R70" s="87">
        <v>0.5</v>
      </c>
      <c r="S70" s="87">
        <v>1.0</v>
      </c>
      <c r="T70" s="87">
        <v>0.5</v>
      </c>
      <c r="U70" s="87">
        <v>0.5</v>
      </c>
      <c r="V70" s="87">
        <v>0.5</v>
      </c>
      <c r="W70" s="87">
        <v>1.0</v>
      </c>
      <c r="X70" s="87">
        <v>1.5</v>
      </c>
      <c r="Y70" s="87">
        <v>0.857143</v>
      </c>
      <c r="Z70" s="87">
        <v>1.5</v>
      </c>
      <c r="AA70" s="87">
        <v>2.0</v>
      </c>
      <c r="AB70" s="87">
        <v>2.818182</v>
      </c>
      <c r="AC70" s="87">
        <v>1.5</v>
      </c>
      <c r="AD70" s="87">
        <v>1.545396</v>
      </c>
      <c r="AE70" s="87">
        <v>2.0</v>
      </c>
      <c r="AF70" s="87">
        <v>3.351121</v>
      </c>
      <c r="AG70" s="87">
        <v>3.010825</v>
      </c>
      <c r="AH70" s="87">
        <v>0.0</v>
      </c>
      <c r="AI70" s="87">
        <v>10.00627</v>
      </c>
      <c r="AJ70" s="87">
        <v>6.786101</v>
      </c>
      <c r="AK70" s="87">
        <v>3.965438</v>
      </c>
      <c r="AL70" s="88" t="s">
        <v>1396</v>
      </c>
    </row>
    <row r="71">
      <c r="A71" s="84" t="s">
        <v>1483</v>
      </c>
      <c r="B71" s="84" t="s">
        <v>1504</v>
      </c>
      <c r="C71" s="84" t="s">
        <v>139</v>
      </c>
      <c r="D71" s="84" t="s">
        <v>1501</v>
      </c>
      <c r="E71" s="89">
        <v>46300.0</v>
      </c>
      <c r="F71" s="87">
        <v>5.0</v>
      </c>
      <c r="G71" s="87">
        <v>0.0</v>
      </c>
      <c r="H71" s="87">
        <v>843.0</v>
      </c>
      <c r="I71" s="87">
        <v>0.0</v>
      </c>
      <c r="J71" s="87">
        <v>42.0</v>
      </c>
      <c r="K71" s="87">
        <v>42.0</v>
      </c>
      <c r="L71" s="87">
        <v>42.0</v>
      </c>
      <c r="M71" s="87">
        <v>15.0</v>
      </c>
      <c r="N71" s="87">
        <v>0.357143</v>
      </c>
      <c r="O71" s="87">
        <v>4.0</v>
      </c>
      <c r="P71" s="87">
        <v>5.5</v>
      </c>
      <c r="Q71" s="87">
        <v>5.5</v>
      </c>
      <c r="R71" s="87">
        <v>6.5</v>
      </c>
      <c r="S71" s="87">
        <v>11.0</v>
      </c>
      <c r="T71" s="87">
        <v>4.0</v>
      </c>
      <c r="U71" s="87">
        <v>5.5</v>
      </c>
      <c r="V71" s="87">
        <v>5.5</v>
      </c>
      <c r="W71" s="87">
        <v>6.5</v>
      </c>
      <c r="X71" s="87">
        <v>11.0</v>
      </c>
      <c r="Y71" s="87">
        <v>8.4</v>
      </c>
      <c r="Z71" s="87">
        <v>1.5</v>
      </c>
      <c r="AA71" s="87">
        <v>2.0</v>
      </c>
      <c r="AB71" s="87">
        <v>2.818182</v>
      </c>
      <c r="AC71" s="87">
        <v>1.5</v>
      </c>
      <c r="AD71" s="87">
        <v>5.533723</v>
      </c>
      <c r="AE71" s="87">
        <v>12.51933</v>
      </c>
      <c r="AF71" s="87">
        <v>16.38261</v>
      </c>
      <c r="AG71" s="87">
        <v>18.04735</v>
      </c>
      <c r="AH71" s="87">
        <v>0.0</v>
      </c>
      <c r="AI71" s="87">
        <v>10.00627</v>
      </c>
      <c r="AJ71" s="87">
        <v>6.786101</v>
      </c>
      <c r="AK71" s="87">
        <v>3.965438</v>
      </c>
      <c r="AL71" s="88" t="s">
        <v>1396</v>
      </c>
    </row>
    <row r="72">
      <c r="A72" s="84" t="s">
        <v>1485</v>
      </c>
      <c r="B72" s="84" t="s">
        <v>1505</v>
      </c>
      <c r="C72" s="84" t="s">
        <v>139</v>
      </c>
      <c r="D72" s="84" t="s">
        <v>1501</v>
      </c>
      <c r="E72" s="84" t="s">
        <v>1403</v>
      </c>
      <c r="F72" s="87">
        <v>2.0</v>
      </c>
      <c r="G72" s="87">
        <v>1.0</v>
      </c>
      <c r="H72" s="87">
        <v>166.0</v>
      </c>
      <c r="I72" s="87">
        <v>166.0</v>
      </c>
      <c r="J72" s="87">
        <v>0.0</v>
      </c>
      <c r="K72" s="87">
        <v>0.0</v>
      </c>
      <c r="L72" s="87">
        <v>0.0</v>
      </c>
      <c r="M72" s="87">
        <v>0.0</v>
      </c>
      <c r="N72" s="87">
        <v>0.0</v>
      </c>
      <c r="O72" s="87">
        <v>0.0</v>
      </c>
      <c r="P72" s="87">
        <v>0.0</v>
      </c>
      <c r="Q72" s="87">
        <v>0.0</v>
      </c>
      <c r="R72" s="87">
        <v>0.0</v>
      </c>
      <c r="S72" s="87">
        <v>0.0</v>
      </c>
      <c r="T72" s="87">
        <v>0.0</v>
      </c>
      <c r="U72" s="87">
        <v>0.0</v>
      </c>
      <c r="V72" s="87">
        <v>0.0</v>
      </c>
      <c r="W72" s="87">
        <v>0.0</v>
      </c>
      <c r="X72" s="87">
        <v>0.0</v>
      </c>
      <c r="Y72" s="87">
        <v>0.0</v>
      </c>
      <c r="Z72" s="87">
        <v>1.5</v>
      </c>
      <c r="AA72" s="87">
        <v>2.0</v>
      </c>
      <c r="AB72" s="87">
        <v>2.818182</v>
      </c>
      <c r="AC72" s="87">
        <v>1.5</v>
      </c>
      <c r="AD72" s="87">
        <v>0.0</v>
      </c>
      <c r="AE72" s="87">
        <v>0.0</v>
      </c>
      <c r="AF72" s="87">
        <v>0.0</v>
      </c>
      <c r="AG72" s="87">
        <v>0.0</v>
      </c>
      <c r="AH72" s="87">
        <v>0.0</v>
      </c>
      <c r="AI72" s="87">
        <v>10.00627</v>
      </c>
      <c r="AJ72" s="87">
        <v>6.786101</v>
      </c>
      <c r="AK72" s="87">
        <v>3.965438</v>
      </c>
      <c r="AL72" s="88" t="s">
        <v>1396</v>
      </c>
    </row>
    <row r="73">
      <c r="A73" s="84" t="s">
        <v>1474</v>
      </c>
      <c r="B73" s="84" t="s">
        <v>1506</v>
      </c>
      <c r="C73" s="84" t="s">
        <v>139</v>
      </c>
      <c r="D73" s="84" t="s">
        <v>1507</v>
      </c>
      <c r="E73" s="84" t="s">
        <v>1426</v>
      </c>
      <c r="F73" s="87">
        <v>33.0</v>
      </c>
      <c r="G73" s="87">
        <v>0.0</v>
      </c>
      <c r="H73" s="87">
        <v>31546.0</v>
      </c>
      <c r="I73" s="87">
        <v>0.0</v>
      </c>
      <c r="J73" s="87">
        <v>707.587</v>
      </c>
      <c r="K73" s="87">
        <v>692.3224</v>
      </c>
      <c r="L73" s="87">
        <v>706.2398</v>
      </c>
      <c r="M73" s="87">
        <v>341.767</v>
      </c>
      <c r="N73" s="87">
        <v>0.493653</v>
      </c>
      <c r="O73" s="87">
        <v>2.965049</v>
      </c>
      <c r="P73" s="87">
        <v>4.832121</v>
      </c>
      <c r="Q73" s="87">
        <v>10.50709</v>
      </c>
      <c r="R73" s="87">
        <v>17.84662</v>
      </c>
      <c r="S73" s="87">
        <v>26.55589</v>
      </c>
      <c r="T73" s="87">
        <v>4.033333</v>
      </c>
      <c r="U73" s="87">
        <v>8.171028</v>
      </c>
      <c r="V73" s="87">
        <v>11.66908</v>
      </c>
      <c r="W73" s="87">
        <v>19.27282</v>
      </c>
      <c r="X73" s="87">
        <v>26.55589</v>
      </c>
      <c r="Y73" s="87">
        <v>20.97947</v>
      </c>
      <c r="Z73" s="87">
        <v>0.0</v>
      </c>
      <c r="AA73" s="87">
        <v>7.322463</v>
      </c>
      <c r="AB73" s="87">
        <v>4.18442</v>
      </c>
      <c r="AC73" s="87">
        <v>3.965438</v>
      </c>
      <c r="AD73" s="87">
        <v>20.65125</v>
      </c>
      <c r="AE73" s="87">
        <v>28.6914</v>
      </c>
      <c r="AF73" s="87">
        <v>40.32366</v>
      </c>
      <c r="AG73" s="87">
        <v>26.71699</v>
      </c>
      <c r="AH73" s="87">
        <v>0.0</v>
      </c>
      <c r="AI73" s="87">
        <v>10.00627</v>
      </c>
      <c r="AJ73" s="87">
        <v>6.786101</v>
      </c>
      <c r="AK73" s="87">
        <v>3.965438</v>
      </c>
      <c r="AL73" s="88" t="s">
        <v>1396</v>
      </c>
    </row>
    <row r="74">
      <c r="A74" s="84" t="s">
        <v>1477</v>
      </c>
      <c r="B74" s="84" t="s">
        <v>1508</v>
      </c>
      <c r="C74" s="84" t="s">
        <v>139</v>
      </c>
      <c r="D74" s="84" t="s">
        <v>1507</v>
      </c>
      <c r="E74" s="86">
        <v>46310.0</v>
      </c>
      <c r="F74" s="87">
        <v>24.0</v>
      </c>
      <c r="G74" s="87">
        <v>0.0</v>
      </c>
      <c r="H74" s="87">
        <v>3843.0</v>
      </c>
      <c r="I74" s="87">
        <v>0.0</v>
      </c>
      <c r="J74" s="87">
        <v>65.48949</v>
      </c>
      <c r="K74" s="87">
        <v>62.05422</v>
      </c>
      <c r="L74" s="87">
        <v>78.37251</v>
      </c>
      <c r="M74" s="87">
        <v>44.38456</v>
      </c>
      <c r="N74" s="87">
        <v>0.715254</v>
      </c>
      <c r="O74" s="87">
        <v>0.0</v>
      </c>
      <c r="P74" s="87">
        <v>0.0</v>
      </c>
      <c r="Q74" s="87">
        <v>0.0</v>
      </c>
      <c r="R74" s="87">
        <v>0.0</v>
      </c>
      <c r="S74" s="87">
        <v>3.792934</v>
      </c>
      <c r="T74" s="87">
        <v>1.354543</v>
      </c>
      <c r="U74" s="87">
        <v>2.792715</v>
      </c>
      <c r="V74" s="87">
        <v>3.792934</v>
      </c>
      <c r="W74" s="87">
        <v>4.45306</v>
      </c>
      <c r="X74" s="87">
        <v>6.357465</v>
      </c>
      <c r="Y74" s="87">
        <v>2.585592</v>
      </c>
      <c r="Z74" s="87">
        <v>0.0</v>
      </c>
      <c r="AA74" s="87">
        <v>7.322463</v>
      </c>
      <c r="AB74" s="87">
        <v>4.18442</v>
      </c>
      <c r="AC74" s="87">
        <v>3.965438</v>
      </c>
      <c r="AD74" s="87">
        <v>1.250293</v>
      </c>
      <c r="AE74" s="87">
        <v>6.357465</v>
      </c>
      <c r="AF74" s="87">
        <v>9.86724</v>
      </c>
      <c r="AG74" s="87">
        <v>2.585592</v>
      </c>
      <c r="AH74" s="87">
        <v>0.0</v>
      </c>
      <c r="AI74" s="87">
        <v>10.00627</v>
      </c>
      <c r="AJ74" s="87">
        <v>6.786101</v>
      </c>
      <c r="AK74" s="87">
        <v>3.965438</v>
      </c>
      <c r="AL74" s="88" t="s">
        <v>1396</v>
      </c>
    </row>
    <row r="75">
      <c r="A75" s="84" t="s">
        <v>1479</v>
      </c>
      <c r="B75" s="84" t="s">
        <v>1509</v>
      </c>
      <c r="C75" s="84" t="s">
        <v>139</v>
      </c>
      <c r="D75" s="84" t="s">
        <v>1507</v>
      </c>
      <c r="E75" s="84" t="s">
        <v>1413</v>
      </c>
      <c r="F75" s="87">
        <v>13.0</v>
      </c>
      <c r="G75" s="87">
        <v>0.0</v>
      </c>
      <c r="H75" s="87">
        <v>4284.0</v>
      </c>
      <c r="I75" s="87">
        <v>0.0</v>
      </c>
      <c r="J75" s="87">
        <v>51.07232</v>
      </c>
      <c r="K75" s="87">
        <v>51.5507</v>
      </c>
      <c r="L75" s="87">
        <v>58.62733</v>
      </c>
      <c r="M75" s="87">
        <v>26.29469</v>
      </c>
      <c r="N75" s="87">
        <v>0.510074</v>
      </c>
      <c r="O75" s="87">
        <v>0.0</v>
      </c>
      <c r="P75" s="87">
        <v>1.240256</v>
      </c>
      <c r="Q75" s="87">
        <v>1.436968</v>
      </c>
      <c r="R75" s="87">
        <v>3.676402</v>
      </c>
      <c r="S75" s="87">
        <v>5.186141</v>
      </c>
      <c r="T75" s="87">
        <v>1.436968</v>
      </c>
      <c r="U75" s="87">
        <v>1.962397</v>
      </c>
      <c r="V75" s="87">
        <v>3.632842</v>
      </c>
      <c r="W75" s="87">
        <v>3.774153</v>
      </c>
      <c r="X75" s="87">
        <v>5.186141</v>
      </c>
      <c r="Y75" s="87">
        <v>3.965438</v>
      </c>
      <c r="Z75" s="87">
        <v>0.0</v>
      </c>
      <c r="AA75" s="87">
        <v>7.322463</v>
      </c>
      <c r="AB75" s="87">
        <v>4.18442</v>
      </c>
      <c r="AC75" s="87">
        <v>3.965438</v>
      </c>
      <c r="AD75" s="87">
        <v>3.5</v>
      </c>
      <c r="AE75" s="87">
        <v>5.186141</v>
      </c>
      <c r="AF75" s="87">
        <v>11.12763</v>
      </c>
      <c r="AG75" s="87">
        <v>4.687512</v>
      </c>
      <c r="AH75" s="87">
        <v>0.0</v>
      </c>
      <c r="AI75" s="87">
        <v>10.00627</v>
      </c>
      <c r="AJ75" s="87">
        <v>6.786101</v>
      </c>
      <c r="AK75" s="87">
        <v>3.965438</v>
      </c>
      <c r="AL75" s="88" t="s">
        <v>1396</v>
      </c>
    </row>
    <row r="76">
      <c r="A76" s="84" t="s">
        <v>1481</v>
      </c>
      <c r="B76" s="84" t="s">
        <v>1510</v>
      </c>
      <c r="C76" s="84" t="s">
        <v>139</v>
      </c>
      <c r="D76" s="84" t="s">
        <v>1507</v>
      </c>
      <c r="E76" s="84" t="s">
        <v>1398</v>
      </c>
      <c r="F76" s="87">
        <v>3.0</v>
      </c>
      <c r="G76" s="87">
        <v>0.0</v>
      </c>
      <c r="H76" s="87">
        <v>408.0</v>
      </c>
      <c r="I76" s="87">
        <v>0.0</v>
      </c>
      <c r="J76" s="87">
        <v>16.88936</v>
      </c>
      <c r="K76" s="87">
        <v>16.17715</v>
      </c>
      <c r="L76" s="87">
        <v>16.19738</v>
      </c>
      <c r="M76" s="87">
        <v>14.23698</v>
      </c>
      <c r="N76" s="87">
        <v>0.880067</v>
      </c>
      <c r="O76" s="87">
        <v>0.861387</v>
      </c>
      <c r="P76" s="87">
        <v>0.861387</v>
      </c>
      <c r="Q76" s="87">
        <v>0.861387</v>
      </c>
      <c r="R76" s="87">
        <v>1.078788</v>
      </c>
      <c r="S76" s="87">
        <v>14.23698</v>
      </c>
      <c r="T76" s="87">
        <v>0.861387</v>
      </c>
      <c r="U76" s="87">
        <v>0.861387</v>
      </c>
      <c r="V76" s="87">
        <v>0.861387</v>
      </c>
      <c r="W76" s="87">
        <v>1.078788</v>
      </c>
      <c r="X76" s="87">
        <v>14.23698</v>
      </c>
      <c r="Y76" s="87">
        <v>5.392384</v>
      </c>
      <c r="Z76" s="87">
        <v>0.0</v>
      </c>
      <c r="AA76" s="87">
        <v>7.322463</v>
      </c>
      <c r="AB76" s="87">
        <v>4.18442</v>
      </c>
      <c r="AC76" s="87">
        <v>3.965438</v>
      </c>
      <c r="AD76" s="87">
        <v>3.424888</v>
      </c>
      <c r="AE76" s="87">
        <v>3.622439</v>
      </c>
      <c r="AF76" s="87">
        <v>5.362943</v>
      </c>
      <c r="AG76" s="87">
        <v>4.135645</v>
      </c>
      <c r="AH76" s="87">
        <v>0.0</v>
      </c>
      <c r="AI76" s="87">
        <v>10.00627</v>
      </c>
      <c r="AJ76" s="87">
        <v>6.786101</v>
      </c>
      <c r="AK76" s="87">
        <v>3.965438</v>
      </c>
      <c r="AL76" s="88" t="s">
        <v>1396</v>
      </c>
    </row>
    <row r="77">
      <c r="A77" s="84" t="s">
        <v>1490</v>
      </c>
      <c r="B77" s="84" t="s">
        <v>1511</v>
      </c>
      <c r="C77" s="84" t="s">
        <v>139</v>
      </c>
      <c r="D77" s="84" t="s">
        <v>1507</v>
      </c>
      <c r="E77" s="84" t="s">
        <v>1400</v>
      </c>
      <c r="F77" s="87">
        <v>6.0</v>
      </c>
      <c r="G77" s="87">
        <v>0.0</v>
      </c>
      <c r="H77" s="87">
        <v>952.0</v>
      </c>
      <c r="I77" s="87">
        <v>0.0</v>
      </c>
      <c r="J77" s="87">
        <v>16.22919</v>
      </c>
      <c r="K77" s="87">
        <v>18.06495</v>
      </c>
      <c r="L77" s="87">
        <v>16.93422</v>
      </c>
      <c r="M77" s="87">
        <v>10.45436</v>
      </c>
      <c r="N77" s="87">
        <v>0.57871</v>
      </c>
      <c r="O77" s="87">
        <v>0.0</v>
      </c>
      <c r="P77" s="87">
        <v>0.0</v>
      </c>
      <c r="Q77" s="87">
        <v>0.0</v>
      </c>
      <c r="R77" s="87">
        <v>3.988681</v>
      </c>
      <c r="S77" s="87">
        <v>4.564326</v>
      </c>
      <c r="T77" s="87">
        <v>3.621902</v>
      </c>
      <c r="U77" s="87">
        <v>3.621902</v>
      </c>
      <c r="V77" s="87">
        <v>3.988681</v>
      </c>
      <c r="W77" s="87">
        <v>4.564326</v>
      </c>
      <c r="X77" s="87">
        <v>4.564326</v>
      </c>
      <c r="Y77" s="87">
        <v>3.010825</v>
      </c>
      <c r="Z77" s="87">
        <v>0.0</v>
      </c>
      <c r="AA77" s="87">
        <v>7.322463</v>
      </c>
      <c r="AB77" s="87">
        <v>4.18442</v>
      </c>
      <c r="AC77" s="87">
        <v>3.965438</v>
      </c>
      <c r="AD77" s="87">
        <v>1.545396</v>
      </c>
      <c r="AE77" s="87">
        <v>2.0</v>
      </c>
      <c r="AF77" s="87">
        <v>3.351121</v>
      </c>
      <c r="AG77" s="87">
        <v>3.010825</v>
      </c>
      <c r="AH77" s="87">
        <v>0.0</v>
      </c>
      <c r="AI77" s="87">
        <v>10.00627</v>
      </c>
      <c r="AJ77" s="87">
        <v>6.786101</v>
      </c>
      <c r="AK77" s="87">
        <v>3.965438</v>
      </c>
      <c r="AL77" s="88" t="s">
        <v>1396</v>
      </c>
    </row>
    <row r="78">
      <c r="A78" s="84" t="s">
        <v>1483</v>
      </c>
      <c r="B78" s="84" t="s">
        <v>1512</v>
      </c>
      <c r="C78" s="84" t="s">
        <v>139</v>
      </c>
      <c r="D78" s="84" t="s">
        <v>1507</v>
      </c>
      <c r="E78" s="89">
        <v>46300.0</v>
      </c>
      <c r="F78" s="87">
        <v>15.0</v>
      </c>
      <c r="G78" s="87">
        <v>0.0</v>
      </c>
      <c r="H78" s="87">
        <v>9203.0</v>
      </c>
      <c r="I78" s="87">
        <v>0.0</v>
      </c>
      <c r="J78" s="87">
        <v>143.9538</v>
      </c>
      <c r="K78" s="87">
        <v>134.8004</v>
      </c>
      <c r="L78" s="87">
        <v>146.5095</v>
      </c>
      <c r="M78" s="87">
        <v>117.445</v>
      </c>
      <c r="N78" s="87">
        <v>0.871251</v>
      </c>
      <c r="O78" s="87">
        <v>0.0</v>
      </c>
      <c r="P78" s="87">
        <v>0.0</v>
      </c>
      <c r="Q78" s="87">
        <v>0.0</v>
      </c>
      <c r="R78" s="87">
        <v>0.0</v>
      </c>
      <c r="S78" s="87">
        <v>5.487309</v>
      </c>
      <c r="T78" s="87">
        <v>0.757576</v>
      </c>
      <c r="U78" s="87">
        <v>4.943384</v>
      </c>
      <c r="V78" s="87">
        <v>5.487309</v>
      </c>
      <c r="W78" s="87">
        <v>6.167138</v>
      </c>
      <c r="X78" s="87">
        <v>7.786098</v>
      </c>
      <c r="Y78" s="87">
        <v>8.986695</v>
      </c>
      <c r="Z78" s="87">
        <v>0.0</v>
      </c>
      <c r="AA78" s="87">
        <v>7.322463</v>
      </c>
      <c r="AB78" s="87">
        <v>4.18442</v>
      </c>
      <c r="AC78" s="87">
        <v>3.965438</v>
      </c>
      <c r="AD78" s="87">
        <v>5.533723</v>
      </c>
      <c r="AE78" s="87">
        <v>12.51933</v>
      </c>
      <c r="AF78" s="87">
        <v>16.38261</v>
      </c>
      <c r="AG78" s="87">
        <v>18.04735</v>
      </c>
      <c r="AH78" s="87">
        <v>0.0</v>
      </c>
      <c r="AI78" s="87">
        <v>10.00627</v>
      </c>
      <c r="AJ78" s="87">
        <v>6.786101</v>
      </c>
      <c r="AK78" s="87">
        <v>3.965438</v>
      </c>
      <c r="AL78" s="88" t="s">
        <v>1396</v>
      </c>
    </row>
    <row r="79">
      <c r="A79" s="84" t="s">
        <v>1485</v>
      </c>
      <c r="B79" s="84" t="s">
        <v>1513</v>
      </c>
      <c r="C79" s="84" t="s">
        <v>139</v>
      </c>
      <c r="D79" s="84" t="s">
        <v>1507</v>
      </c>
      <c r="E79" s="84" t="s">
        <v>1403</v>
      </c>
      <c r="F79" s="87">
        <v>139.0</v>
      </c>
      <c r="G79" s="87">
        <v>1.0</v>
      </c>
      <c r="H79" s="87">
        <v>18.0</v>
      </c>
      <c r="I79" s="87">
        <v>18.0</v>
      </c>
      <c r="J79" s="87">
        <v>0.0</v>
      </c>
      <c r="K79" s="87">
        <v>0.0</v>
      </c>
      <c r="L79" s="87">
        <v>0.0</v>
      </c>
      <c r="M79" s="87">
        <v>0.0</v>
      </c>
      <c r="N79" s="87">
        <v>0.0</v>
      </c>
      <c r="O79" s="87">
        <v>0.0</v>
      </c>
      <c r="P79" s="87">
        <v>0.0</v>
      </c>
      <c r="Q79" s="87">
        <v>0.0</v>
      </c>
      <c r="R79" s="87">
        <v>0.0</v>
      </c>
      <c r="S79" s="87">
        <v>0.0</v>
      </c>
      <c r="T79" s="87">
        <v>0.0</v>
      </c>
      <c r="U79" s="87">
        <v>0.0</v>
      </c>
      <c r="V79" s="87">
        <v>0.0</v>
      </c>
      <c r="W79" s="87">
        <v>0.0</v>
      </c>
      <c r="X79" s="87">
        <v>0.0</v>
      </c>
      <c r="Y79" s="87">
        <v>0.0</v>
      </c>
      <c r="Z79" s="87">
        <v>0.0</v>
      </c>
      <c r="AA79" s="87">
        <v>7.322463</v>
      </c>
      <c r="AB79" s="87">
        <v>4.18442</v>
      </c>
      <c r="AC79" s="87">
        <v>3.965438</v>
      </c>
      <c r="AD79" s="87">
        <v>0.0</v>
      </c>
      <c r="AE79" s="87">
        <v>0.0</v>
      </c>
      <c r="AF79" s="87">
        <v>0.0</v>
      </c>
      <c r="AG79" s="87">
        <v>0.0</v>
      </c>
      <c r="AH79" s="87">
        <v>0.0</v>
      </c>
      <c r="AI79" s="87">
        <v>10.00627</v>
      </c>
      <c r="AJ79" s="87">
        <v>6.786101</v>
      </c>
      <c r="AK79" s="87">
        <v>3.965438</v>
      </c>
      <c r="AL79" s="88" t="s">
        <v>1396</v>
      </c>
    </row>
    <row r="80">
      <c r="A80" s="84" t="s">
        <v>1474</v>
      </c>
      <c r="B80" s="84" t="s">
        <v>1514</v>
      </c>
      <c r="C80" s="84" t="s">
        <v>139</v>
      </c>
      <c r="D80" s="84" t="s">
        <v>775</v>
      </c>
      <c r="E80" s="84" t="s">
        <v>1426</v>
      </c>
      <c r="F80" s="87">
        <v>13.0</v>
      </c>
      <c r="G80" s="87">
        <v>0.0</v>
      </c>
      <c r="H80" s="87">
        <v>3020.0</v>
      </c>
      <c r="I80" s="87">
        <v>0.0</v>
      </c>
      <c r="J80" s="87">
        <v>894.5408</v>
      </c>
      <c r="K80" s="87">
        <v>906.5658</v>
      </c>
      <c r="L80" s="87">
        <v>852.683</v>
      </c>
      <c r="M80" s="87">
        <v>650.6405</v>
      </c>
      <c r="N80" s="87">
        <v>0.717698</v>
      </c>
      <c r="O80" s="87">
        <v>0.0</v>
      </c>
      <c r="P80" s="87">
        <v>0.0</v>
      </c>
      <c r="Q80" s="87">
        <v>0.0</v>
      </c>
      <c r="R80" s="87">
        <v>37.61793</v>
      </c>
      <c r="S80" s="87">
        <v>81.3921</v>
      </c>
      <c r="T80" s="87">
        <v>9.052474</v>
      </c>
      <c r="U80" s="87">
        <v>14.2625</v>
      </c>
      <c r="V80" s="87">
        <v>37.61793</v>
      </c>
      <c r="W80" s="87">
        <v>75.25357</v>
      </c>
      <c r="X80" s="87">
        <v>123.475</v>
      </c>
      <c r="Y80" s="87">
        <v>69.73583</v>
      </c>
      <c r="Z80" s="87">
        <v>0.0</v>
      </c>
      <c r="AA80" s="87">
        <v>24.57778</v>
      </c>
      <c r="AB80" s="87">
        <v>6.60078</v>
      </c>
      <c r="AC80" s="87">
        <v>16.03854</v>
      </c>
      <c r="AD80" s="87">
        <v>20.65125</v>
      </c>
      <c r="AE80" s="87">
        <v>28.6914</v>
      </c>
      <c r="AF80" s="87">
        <v>40.32366</v>
      </c>
      <c r="AG80" s="87">
        <v>26.71699</v>
      </c>
      <c r="AH80" s="87">
        <v>0.0</v>
      </c>
      <c r="AI80" s="87">
        <v>10.00627</v>
      </c>
      <c r="AJ80" s="87">
        <v>6.786101</v>
      </c>
      <c r="AK80" s="87">
        <v>3.965438</v>
      </c>
      <c r="AL80" s="88" t="s">
        <v>1396</v>
      </c>
    </row>
    <row r="81">
      <c r="A81" s="84" t="s">
        <v>1477</v>
      </c>
      <c r="B81" s="84" t="s">
        <v>1515</v>
      </c>
      <c r="C81" s="84" t="s">
        <v>139</v>
      </c>
      <c r="D81" s="84" t="s">
        <v>775</v>
      </c>
      <c r="E81" s="89">
        <v>46310.0</v>
      </c>
      <c r="F81" s="87">
        <v>53.0</v>
      </c>
      <c r="G81" s="87">
        <v>0.0</v>
      </c>
      <c r="H81" s="87">
        <v>2799.0</v>
      </c>
      <c r="I81" s="87">
        <v>0.0</v>
      </c>
      <c r="J81" s="87">
        <v>823.2874</v>
      </c>
      <c r="K81" s="87">
        <v>850.0426</v>
      </c>
      <c r="L81" s="87">
        <v>838.0169</v>
      </c>
      <c r="M81" s="87">
        <v>720.2122</v>
      </c>
      <c r="N81" s="87">
        <v>0.847266</v>
      </c>
      <c r="O81" s="87">
        <v>0.0</v>
      </c>
      <c r="P81" s="87">
        <v>0.0</v>
      </c>
      <c r="Q81" s="87">
        <v>0.0</v>
      </c>
      <c r="R81" s="87">
        <v>0.0</v>
      </c>
      <c r="S81" s="87">
        <v>12.83582</v>
      </c>
      <c r="T81" s="87">
        <v>5.799434</v>
      </c>
      <c r="U81" s="87">
        <v>12.93836</v>
      </c>
      <c r="V81" s="87">
        <v>20.33924</v>
      </c>
      <c r="W81" s="87">
        <v>30.13907</v>
      </c>
      <c r="X81" s="87">
        <v>48.10779</v>
      </c>
      <c r="Y81" s="87">
        <v>16.03854</v>
      </c>
      <c r="Z81" s="87">
        <v>0.0</v>
      </c>
      <c r="AA81" s="87">
        <v>24.57778</v>
      </c>
      <c r="AB81" s="87">
        <v>6.60078</v>
      </c>
      <c r="AC81" s="87">
        <v>16.03854</v>
      </c>
      <c r="AD81" s="87">
        <v>1.250293</v>
      </c>
      <c r="AE81" s="87">
        <v>6.357465</v>
      </c>
      <c r="AF81" s="87">
        <v>9.86724</v>
      </c>
      <c r="AG81" s="87">
        <v>2.585592</v>
      </c>
      <c r="AH81" s="87">
        <v>0.0</v>
      </c>
      <c r="AI81" s="87">
        <v>10.00627</v>
      </c>
      <c r="AJ81" s="87">
        <v>6.786101</v>
      </c>
      <c r="AK81" s="87">
        <v>3.965438</v>
      </c>
      <c r="AL81" s="88" t="s">
        <v>1396</v>
      </c>
    </row>
    <row r="82">
      <c r="A82" s="84" t="s">
        <v>1479</v>
      </c>
      <c r="B82" s="84" t="s">
        <v>1516</v>
      </c>
      <c r="C82" s="84" t="s">
        <v>139</v>
      </c>
      <c r="D82" s="84" t="s">
        <v>775</v>
      </c>
      <c r="E82" s="84" t="s">
        <v>1413</v>
      </c>
      <c r="F82" s="87">
        <v>20.0</v>
      </c>
      <c r="G82" s="87">
        <v>0.0</v>
      </c>
      <c r="H82" s="87">
        <v>1426.0</v>
      </c>
      <c r="I82" s="87">
        <v>0.0</v>
      </c>
      <c r="J82" s="87">
        <v>457.3658</v>
      </c>
      <c r="K82" s="87">
        <v>448.9307</v>
      </c>
      <c r="L82" s="87">
        <v>434.5436</v>
      </c>
      <c r="M82" s="87">
        <v>395.0567</v>
      </c>
      <c r="N82" s="87">
        <v>0.879995</v>
      </c>
      <c r="O82" s="87">
        <v>0.0</v>
      </c>
      <c r="P82" s="87">
        <v>0.0</v>
      </c>
      <c r="Q82" s="87">
        <v>0.0</v>
      </c>
      <c r="R82" s="87">
        <v>0.0</v>
      </c>
      <c r="S82" s="87">
        <v>11.28777</v>
      </c>
      <c r="T82" s="87">
        <v>5.539511</v>
      </c>
      <c r="U82" s="87">
        <v>8.660737</v>
      </c>
      <c r="V82" s="87">
        <v>9.894905</v>
      </c>
      <c r="W82" s="87">
        <v>18.49113</v>
      </c>
      <c r="X82" s="87">
        <v>24.39905</v>
      </c>
      <c r="Y82" s="87">
        <v>22.44653</v>
      </c>
      <c r="Z82" s="87">
        <v>0.0</v>
      </c>
      <c r="AA82" s="87">
        <v>24.57778</v>
      </c>
      <c r="AB82" s="87">
        <v>6.60078</v>
      </c>
      <c r="AC82" s="87">
        <v>16.03854</v>
      </c>
      <c r="AD82" s="87">
        <v>3.5</v>
      </c>
      <c r="AE82" s="87">
        <v>5.186141</v>
      </c>
      <c r="AF82" s="87">
        <v>11.12763</v>
      </c>
      <c r="AG82" s="87">
        <v>4.687512</v>
      </c>
      <c r="AH82" s="87">
        <v>0.0</v>
      </c>
      <c r="AI82" s="87">
        <v>10.00627</v>
      </c>
      <c r="AJ82" s="87">
        <v>6.786101</v>
      </c>
      <c r="AK82" s="87">
        <v>3.965438</v>
      </c>
      <c r="AL82" s="88" t="s">
        <v>1396</v>
      </c>
    </row>
    <row r="83">
      <c r="A83" s="84" t="s">
        <v>1481</v>
      </c>
      <c r="B83" s="84" t="s">
        <v>1517</v>
      </c>
      <c r="C83" s="84" t="s">
        <v>139</v>
      </c>
      <c r="D83" s="84" t="s">
        <v>775</v>
      </c>
      <c r="E83" s="84" t="s">
        <v>1398</v>
      </c>
      <c r="F83" s="87">
        <v>9.0</v>
      </c>
      <c r="G83" s="87">
        <v>0.0</v>
      </c>
      <c r="H83" s="87">
        <v>495.0</v>
      </c>
      <c r="I83" s="87">
        <v>0.0</v>
      </c>
      <c r="J83" s="87">
        <v>62.83355</v>
      </c>
      <c r="K83" s="87">
        <v>68.05879</v>
      </c>
      <c r="L83" s="87">
        <v>68.05396</v>
      </c>
      <c r="M83" s="87">
        <v>41.72726</v>
      </c>
      <c r="N83" s="87">
        <v>0.613106</v>
      </c>
      <c r="O83" s="87">
        <v>0.0</v>
      </c>
      <c r="P83" s="87">
        <v>0.0</v>
      </c>
      <c r="Q83" s="87">
        <v>2.245605</v>
      </c>
      <c r="R83" s="87">
        <v>6.063637</v>
      </c>
      <c r="S83" s="87">
        <v>8.235812</v>
      </c>
      <c r="T83" s="87">
        <v>2.245605</v>
      </c>
      <c r="U83" s="87">
        <v>2.833333</v>
      </c>
      <c r="V83" s="87">
        <v>6.063637</v>
      </c>
      <c r="W83" s="87">
        <v>6.953147</v>
      </c>
      <c r="X83" s="87">
        <v>8.235812</v>
      </c>
      <c r="Y83" s="87">
        <v>7.562088</v>
      </c>
      <c r="Z83" s="87">
        <v>0.0</v>
      </c>
      <c r="AA83" s="87">
        <v>24.57778</v>
      </c>
      <c r="AB83" s="87">
        <v>6.60078</v>
      </c>
      <c r="AC83" s="87">
        <v>16.03854</v>
      </c>
      <c r="AD83" s="87">
        <v>3.424888</v>
      </c>
      <c r="AE83" s="87">
        <v>3.622439</v>
      </c>
      <c r="AF83" s="87">
        <v>5.362943</v>
      </c>
      <c r="AG83" s="87">
        <v>4.135645</v>
      </c>
      <c r="AH83" s="87">
        <v>0.0</v>
      </c>
      <c r="AI83" s="87">
        <v>10.00627</v>
      </c>
      <c r="AJ83" s="87">
        <v>6.786101</v>
      </c>
      <c r="AK83" s="87">
        <v>3.965438</v>
      </c>
      <c r="AL83" s="88" t="s">
        <v>1396</v>
      </c>
    </row>
    <row r="84">
      <c r="A84" s="84" t="s">
        <v>1490</v>
      </c>
      <c r="B84" s="84" t="s">
        <v>1518</v>
      </c>
      <c r="C84" s="84" t="s">
        <v>139</v>
      </c>
      <c r="D84" s="84" t="s">
        <v>775</v>
      </c>
      <c r="E84" s="84" t="s">
        <v>1400</v>
      </c>
      <c r="F84" s="87">
        <v>5.0</v>
      </c>
      <c r="G84" s="87">
        <v>0.0</v>
      </c>
      <c r="H84" s="87">
        <v>371.0</v>
      </c>
      <c r="I84" s="87">
        <v>0.0</v>
      </c>
      <c r="J84" s="87">
        <v>44.33042</v>
      </c>
      <c r="K84" s="87">
        <v>46.24495</v>
      </c>
      <c r="L84" s="87">
        <v>48.44059</v>
      </c>
      <c r="M84" s="87">
        <v>16.65027</v>
      </c>
      <c r="N84" s="87">
        <v>0.360045</v>
      </c>
      <c r="O84" s="87">
        <v>0.0</v>
      </c>
      <c r="P84" s="87">
        <v>7.246023</v>
      </c>
      <c r="Q84" s="87">
        <v>7.246023</v>
      </c>
      <c r="R84" s="87">
        <v>9.794821</v>
      </c>
      <c r="S84" s="87">
        <v>12.55383</v>
      </c>
      <c r="T84" s="87">
        <v>7.246023</v>
      </c>
      <c r="U84" s="87">
        <v>7.246023</v>
      </c>
      <c r="V84" s="87">
        <v>9.794821</v>
      </c>
      <c r="W84" s="87">
        <v>12.55383</v>
      </c>
      <c r="X84" s="87">
        <v>12.55383</v>
      </c>
      <c r="Y84" s="87">
        <v>9.24899</v>
      </c>
      <c r="Z84" s="87">
        <v>0.0</v>
      </c>
      <c r="AA84" s="87">
        <v>24.57778</v>
      </c>
      <c r="AB84" s="87">
        <v>6.60078</v>
      </c>
      <c r="AC84" s="87">
        <v>16.03854</v>
      </c>
      <c r="AD84" s="87">
        <v>1.545396</v>
      </c>
      <c r="AE84" s="87">
        <v>2.0</v>
      </c>
      <c r="AF84" s="87">
        <v>3.351121</v>
      </c>
      <c r="AG84" s="87">
        <v>3.010825</v>
      </c>
      <c r="AH84" s="87">
        <v>0.0</v>
      </c>
      <c r="AI84" s="87">
        <v>10.00627</v>
      </c>
      <c r="AJ84" s="87">
        <v>6.786101</v>
      </c>
      <c r="AK84" s="87">
        <v>3.965438</v>
      </c>
      <c r="AL84" s="88" t="s">
        <v>1396</v>
      </c>
    </row>
    <row r="85">
      <c r="A85" s="84" t="s">
        <v>1483</v>
      </c>
      <c r="B85" s="84" t="s">
        <v>1519</v>
      </c>
      <c r="C85" s="84" t="s">
        <v>139</v>
      </c>
      <c r="D85" s="84" t="s">
        <v>775</v>
      </c>
      <c r="E85" s="86">
        <v>46300.0</v>
      </c>
      <c r="F85" s="87">
        <v>48.0</v>
      </c>
      <c r="G85" s="87">
        <v>0.0</v>
      </c>
      <c r="H85" s="87">
        <v>2563.0</v>
      </c>
      <c r="I85" s="87">
        <v>0.0</v>
      </c>
      <c r="J85" s="87">
        <v>914.1438</v>
      </c>
      <c r="K85" s="87">
        <v>927.7411</v>
      </c>
      <c r="L85" s="87">
        <v>975.8089</v>
      </c>
      <c r="M85" s="87">
        <v>721.2855</v>
      </c>
      <c r="N85" s="87">
        <v>0.777464</v>
      </c>
      <c r="O85" s="87">
        <v>0.0</v>
      </c>
      <c r="P85" s="87">
        <v>0.0</v>
      </c>
      <c r="Q85" s="87">
        <v>0.0</v>
      </c>
      <c r="R85" s="87">
        <v>0.0</v>
      </c>
      <c r="S85" s="87">
        <v>23.82957</v>
      </c>
      <c r="T85" s="87">
        <v>17.7057</v>
      </c>
      <c r="U85" s="87">
        <v>22.72444</v>
      </c>
      <c r="V85" s="87">
        <v>24.2201</v>
      </c>
      <c r="W85" s="87">
        <v>28.62059</v>
      </c>
      <c r="X85" s="87">
        <v>42.16407</v>
      </c>
      <c r="Y85" s="87">
        <v>19.32794</v>
      </c>
      <c r="Z85" s="87">
        <v>0.0</v>
      </c>
      <c r="AA85" s="87">
        <v>24.57778</v>
      </c>
      <c r="AB85" s="87">
        <v>6.60078</v>
      </c>
      <c r="AC85" s="87">
        <v>16.03854</v>
      </c>
      <c r="AD85" s="87">
        <v>5.533723</v>
      </c>
      <c r="AE85" s="87">
        <v>12.51933</v>
      </c>
      <c r="AF85" s="87">
        <v>16.38261</v>
      </c>
      <c r="AG85" s="87">
        <v>18.04735</v>
      </c>
      <c r="AH85" s="87">
        <v>0.0</v>
      </c>
      <c r="AI85" s="87">
        <v>10.00627</v>
      </c>
      <c r="AJ85" s="87">
        <v>6.786101</v>
      </c>
      <c r="AK85" s="87">
        <v>3.965438</v>
      </c>
      <c r="AL85" s="88" t="s">
        <v>1396</v>
      </c>
    </row>
    <row r="86">
      <c r="A86" s="84" t="s">
        <v>1485</v>
      </c>
      <c r="B86" s="84" t="s">
        <v>1520</v>
      </c>
      <c r="C86" s="84" t="s">
        <v>139</v>
      </c>
      <c r="D86" s="84" t="s">
        <v>775</v>
      </c>
      <c r="E86" s="84" t="s">
        <v>1403</v>
      </c>
      <c r="F86" s="87">
        <v>344.0</v>
      </c>
      <c r="G86" s="87">
        <v>0.0</v>
      </c>
      <c r="H86" s="87">
        <v>0.0</v>
      </c>
      <c r="I86" s="87">
        <v>0.0</v>
      </c>
      <c r="J86" s="87">
        <v>0.0</v>
      </c>
      <c r="K86" s="87">
        <v>0.0</v>
      </c>
      <c r="L86" s="87">
        <v>0.0</v>
      </c>
      <c r="M86" s="87">
        <v>0.0</v>
      </c>
      <c r="N86" s="87">
        <v>0.0</v>
      </c>
      <c r="O86" s="87">
        <v>0.0</v>
      </c>
      <c r="P86" s="87">
        <v>0.0</v>
      </c>
      <c r="Q86" s="87">
        <v>0.0</v>
      </c>
      <c r="R86" s="87">
        <v>0.0</v>
      </c>
      <c r="S86" s="87">
        <v>0.0</v>
      </c>
      <c r="T86" s="87">
        <v>0.0</v>
      </c>
      <c r="U86" s="87">
        <v>0.0</v>
      </c>
      <c r="V86" s="87">
        <v>0.0</v>
      </c>
      <c r="W86" s="87">
        <v>0.0</v>
      </c>
      <c r="X86" s="87">
        <v>0.0</v>
      </c>
      <c r="Y86" s="87">
        <v>0.0</v>
      </c>
      <c r="Z86" s="87">
        <v>0.0</v>
      </c>
      <c r="AA86" s="87">
        <v>24.57778</v>
      </c>
      <c r="AB86" s="87">
        <v>6.60078</v>
      </c>
      <c r="AC86" s="87">
        <v>16.03854</v>
      </c>
      <c r="AD86" s="87">
        <v>0.0</v>
      </c>
      <c r="AE86" s="87">
        <v>0.0</v>
      </c>
      <c r="AF86" s="87">
        <v>0.0</v>
      </c>
      <c r="AG86" s="87">
        <v>0.0</v>
      </c>
      <c r="AH86" s="87">
        <v>0.0</v>
      </c>
      <c r="AI86" s="87">
        <v>10.00627</v>
      </c>
      <c r="AJ86" s="87">
        <v>6.786101</v>
      </c>
      <c r="AK86" s="87">
        <v>3.965438</v>
      </c>
      <c r="AL86" s="88" t="s">
        <v>1396</v>
      </c>
    </row>
    <row r="87">
      <c r="A87" s="84" t="s">
        <v>1483</v>
      </c>
      <c r="B87" s="84" t="s">
        <v>1521</v>
      </c>
      <c r="C87" s="84" t="s">
        <v>139</v>
      </c>
      <c r="D87" s="84" t="s">
        <v>1522</v>
      </c>
      <c r="E87" s="89">
        <v>46300.0</v>
      </c>
      <c r="F87" s="87">
        <v>10.0</v>
      </c>
      <c r="G87" s="87">
        <v>0.0</v>
      </c>
      <c r="H87" s="87">
        <v>5193.0</v>
      </c>
      <c r="I87" s="87">
        <v>0.0</v>
      </c>
      <c r="J87" s="87">
        <v>237.9153</v>
      </c>
      <c r="K87" s="87">
        <v>243.4959</v>
      </c>
      <c r="L87" s="87">
        <v>248.498</v>
      </c>
      <c r="M87" s="87">
        <v>140.3481</v>
      </c>
      <c r="N87" s="87">
        <v>0.576388</v>
      </c>
      <c r="O87" s="87">
        <v>2.211421</v>
      </c>
      <c r="P87" s="87">
        <v>7.126867</v>
      </c>
      <c r="Q87" s="87">
        <v>7.549424</v>
      </c>
      <c r="R87" s="87">
        <v>11.67673</v>
      </c>
      <c r="S87" s="87">
        <v>46.51905</v>
      </c>
      <c r="T87" s="87">
        <v>2.211421</v>
      </c>
      <c r="U87" s="87">
        <v>7.126867</v>
      </c>
      <c r="V87" s="87">
        <v>7.549424</v>
      </c>
      <c r="W87" s="87">
        <v>11.67673</v>
      </c>
      <c r="X87" s="87">
        <v>46.51905</v>
      </c>
      <c r="Y87" s="87">
        <v>24.34959</v>
      </c>
      <c r="Z87" s="87">
        <v>0.0</v>
      </c>
      <c r="AA87" s="87">
        <v>11.67673</v>
      </c>
      <c r="AB87" s="87">
        <v>10.58678</v>
      </c>
      <c r="AC87" s="87">
        <v>24.34959</v>
      </c>
      <c r="AD87" s="87">
        <v>5.533723</v>
      </c>
      <c r="AE87" s="87">
        <v>12.51933</v>
      </c>
      <c r="AF87" s="87">
        <v>16.38261</v>
      </c>
      <c r="AG87" s="87">
        <v>18.04735</v>
      </c>
      <c r="AH87" s="87">
        <v>0.0</v>
      </c>
      <c r="AI87" s="87">
        <v>10.00627</v>
      </c>
      <c r="AJ87" s="87">
        <v>6.786101</v>
      </c>
      <c r="AK87" s="87">
        <v>3.965438</v>
      </c>
      <c r="AL87" s="88" t="s">
        <v>1396</v>
      </c>
    </row>
    <row r="88">
      <c r="A88" s="84" t="s">
        <v>1485</v>
      </c>
      <c r="B88" s="84" t="s">
        <v>1523</v>
      </c>
      <c r="C88" s="84" t="s">
        <v>139</v>
      </c>
      <c r="D88" s="84" t="s">
        <v>1522</v>
      </c>
      <c r="E88" s="84" t="s">
        <v>1403</v>
      </c>
      <c r="F88" s="87">
        <v>13.0</v>
      </c>
      <c r="G88" s="87">
        <v>0.0</v>
      </c>
      <c r="H88" s="87">
        <v>0.0</v>
      </c>
      <c r="I88" s="87">
        <v>0.0</v>
      </c>
      <c r="J88" s="87">
        <v>0.0</v>
      </c>
      <c r="K88" s="87">
        <v>0.0</v>
      </c>
      <c r="L88" s="87">
        <v>0.0</v>
      </c>
      <c r="M88" s="87">
        <v>0.0</v>
      </c>
      <c r="N88" s="87">
        <v>0.0</v>
      </c>
      <c r="O88" s="87">
        <v>0.0</v>
      </c>
      <c r="P88" s="87">
        <v>0.0</v>
      </c>
      <c r="Q88" s="87">
        <v>0.0</v>
      </c>
      <c r="R88" s="87">
        <v>0.0</v>
      </c>
      <c r="S88" s="87">
        <v>0.0</v>
      </c>
      <c r="T88" s="87">
        <v>0.0</v>
      </c>
      <c r="U88" s="87">
        <v>0.0</v>
      </c>
      <c r="V88" s="87">
        <v>0.0</v>
      </c>
      <c r="W88" s="87">
        <v>0.0</v>
      </c>
      <c r="X88" s="87">
        <v>0.0</v>
      </c>
      <c r="Y88" s="87">
        <v>0.0</v>
      </c>
      <c r="Z88" s="87">
        <v>0.0</v>
      </c>
      <c r="AA88" s="87">
        <v>11.67673</v>
      </c>
      <c r="AB88" s="87">
        <v>10.58678</v>
      </c>
      <c r="AC88" s="87">
        <v>24.34959</v>
      </c>
      <c r="AD88" s="87">
        <v>0.0</v>
      </c>
      <c r="AE88" s="87">
        <v>0.0</v>
      </c>
      <c r="AF88" s="87">
        <v>0.0</v>
      </c>
      <c r="AG88" s="87">
        <v>0.0</v>
      </c>
      <c r="AH88" s="87">
        <v>0.0</v>
      </c>
      <c r="AI88" s="87">
        <v>10.00627</v>
      </c>
      <c r="AJ88" s="87">
        <v>6.786101</v>
      </c>
      <c r="AK88" s="87">
        <v>3.965438</v>
      </c>
      <c r="AL88" s="88" t="s">
        <v>1396</v>
      </c>
    </row>
    <row r="89">
      <c r="A89" s="84" t="s">
        <v>1485</v>
      </c>
      <c r="B89" s="84" t="s">
        <v>1524</v>
      </c>
      <c r="C89" s="84" t="s">
        <v>139</v>
      </c>
      <c r="D89" s="84" t="s">
        <v>1525</v>
      </c>
      <c r="E89" s="84" t="s">
        <v>1403</v>
      </c>
      <c r="F89" s="87">
        <v>4.0</v>
      </c>
      <c r="G89" s="87">
        <v>0.0</v>
      </c>
      <c r="H89" s="87">
        <v>0.0</v>
      </c>
      <c r="I89" s="87">
        <v>0.0</v>
      </c>
      <c r="J89" s="87">
        <v>0.0</v>
      </c>
      <c r="K89" s="87">
        <v>0.0</v>
      </c>
      <c r="L89" s="87">
        <v>0.0</v>
      </c>
      <c r="M89" s="87">
        <v>0.0</v>
      </c>
      <c r="N89" s="87">
        <v>0.0</v>
      </c>
      <c r="O89" s="87">
        <v>0.0</v>
      </c>
      <c r="P89" s="87">
        <v>0.0</v>
      </c>
      <c r="Q89" s="87">
        <v>0.0</v>
      </c>
      <c r="R89" s="87">
        <v>0.0</v>
      </c>
      <c r="S89" s="87">
        <v>0.0</v>
      </c>
      <c r="T89" s="87">
        <v>0.0</v>
      </c>
      <c r="U89" s="87">
        <v>0.0</v>
      </c>
      <c r="V89" s="87">
        <v>0.0</v>
      </c>
      <c r="W89" s="87">
        <v>0.0</v>
      </c>
      <c r="X89" s="87">
        <v>0.0</v>
      </c>
      <c r="Y89" s="87">
        <v>0.0</v>
      </c>
      <c r="Z89" s="87">
        <v>0.0</v>
      </c>
      <c r="AA89" s="87">
        <v>0.0</v>
      </c>
      <c r="AB89" s="87">
        <v>0.0</v>
      </c>
      <c r="AC89" s="87">
        <v>0.0</v>
      </c>
      <c r="AD89" s="87">
        <v>0.0</v>
      </c>
      <c r="AE89" s="87">
        <v>0.0</v>
      </c>
      <c r="AF89" s="87">
        <v>0.0</v>
      </c>
      <c r="AG89" s="87">
        <v>0.0</v>
      </c>
      <c r="AH89" s="87">
        <v>0.0</v>
      </c>
      <c r="AI89" s="87">
        <v>10.00627</v>
      </c>
      <c r="AJ89" s="87">
        <v>6.786101</v>
      </c>
      <c r="AK89" s="87">
        <v>3.965438</v>
      </c>
      <c r="AL89" s="88" t="s">
        <v>1396</v>
      </c>
    </row>
    <row r="90">
      <c r="A90" s="84" t="s">
        <v>1474</v>
      </c>
      <c r="B90" s="84" t="s">
        <v>1526</v>
      </c>
      <c r="C90" s="84" t="s">
        <v>139</v>
      </c>
      <c r="D90" s="84" t="s">
        <v>1527</v>
      </c>
      <c r="E90" s="84" t="s">
        <v>1426</v>
      </c>
      <c r="F90" s="87">
        <v>13.0</v>
      </c>
      <c r="G90" s="87">
        <v>0.0</v>
      </c>
      <c r="H90" s="87">
        <v>17786.0</v>
      </c>
      <c r="I90" s="87">
        <v>0.0</v>
      </c>
      <c r="J90" s="87">
        <v>235.5438</v>
      </c>
      <c r="K90" s="87">
        <v>235.105</v>
      </c>
      <c r="L90" s="87">
        <v>225.9591</v>
      </c>
      <c r="M90" s="87">
        <v>151.4447</v>
      </c>
      <c r="N90" s="87">
        <v>0.644158</v>
      </c>
      <c r="O90" s="87">
        <v>0.0</v>
      </c>
      <c r="P90" s="87">
        <v>0.0</v>
      </c>
      <c r="Q90" s="87">
        <v>0.0</v>
      </c>
      <c r="R90" s="87">
        <v>8.851844</v>
      </c>
      <c r="S90" s="87">
        <v>32.5584</v>
      </c>
      <c r="T90" s="87">
        <v>4.912059</v>
      </c>
      <c r="U90" s="87">
        <v>8.851844</v>
      </c>
      <c r="V90" s="87">
        <v>13.0198</v>
      </c>
      <c r="W90" s="87">
        <v>32.5584</v>
      </c>
      <c r="X90" s="87">
        <v>49.0253</v>
      </c>
      <c r="Y90" s="87">
        <v>18.085</v>
      </c>
      <c r="Z90" s="87">
        <v>0.0</v>
      </c>
      <c r="AA90" s="87">
        <v>2.559341</v>
      </c>
      <c r="AB90" s="87">
        <v>3.405885</v>
      </c>
      <c r="AC90" s="87">
        <v>2.585125</v>
      </c>
      <c r="AD90" s="87">
        <v>20.65125</v>
      </c>
      <c r="AE90" s="87">
        <v>28.6914</v>
      </c>
      <c r="AF90" s="87">
        <v>40.32366</v>
      </c>
      <c r="AG90" s="87">
        <v>26.71699</v>
      </c>
      <c r="AH90" s="87">
        <v>0.0</v>
      </c>
      <c r="AI90" s="87">
        <v>10.00627</v>
      </c>
      <c r="AJ90" s="87">
        <v>6.786101</v>
      </c>
      <c r="AK90" s="87">
        <v>3.965438</v>
      </c>
      <c r="AL90" s="88" t="s">
        <v>1396</v>
      </c>
    </row>
    <row r="91">
      <c r="A91" s="84" t="s">
        <v>1477</v>
      </c>
      <c r="B91" s="84" t="s">
        <v>1528</v>
      </c>
      <c r="C91" s="84" t="s">
        <v>139</v>
      </c>
      <c r="D91" s="84" t="s">
        <v>1527</v>
      </c>
      <c r="E91" s="86">
        <v>46310.0</v>
      </c>
      <c r="F91" s="87">
        <v>10.0</v>
      </c>
      <c r="G91" s="87">
        <v>0.0</v>
      </c>
      <c r="H91" s="87">
        <v>3260.0</v>
      </c>
      <c r="I91" s="87">
        <v>0.0</v>
      </c>
      <c r="J91" s="87">
        <v>27.12171</v>
      </c>
      <c r="K91" s="87">
        <v>25.85125</v>
      </c>
      <c r="L91" s="87">
        <v>25.71144</v>
      </c>
      <c r="M91" s="87">
        <v>12.03953</v>
      </c>
      <c r="N91" s="87">
        <v>0.465723</v>
      </c>
      <c r="O91" s="87">
        <v>0.0</v>
      </c>
      <c r="P91" s="87">
        <v>1.106457</v>
      </c>
      <c r="Q91" s="87">
        <v>1.99428</v>
      </c>
      <c r="R91" s="87">
        <v>2.350962</v>
      </c>
      <c r="S91" s="87">
        <v>3.717223</v>
      </c>
      <c r="T91" s="87">
        <v>1.106457</v>
      </c>
      <c r="U91" s="87">
        <v>1.99428</v>
      </c>
      <c r="V91" s="87">
        <v>2.083455</v>
      </c>
      <c r="W91" s="87">
        <v>2.559341</v>
      </c>
      <c r="X91" s="87">
        <v>3.717223</v>
      </c>
      <c r="Y91" s="87">
        <v>2.585125</v>
      </c>
      <c r="Z91" s="87">
        <v>0.0</v>
      </c>
      <c r="AA91" s="87">
        <v>2.559341</v>
      </c>
      <c r="AB91" s="87">
        <v>3.405885</v>
      </c>
      <c r="AC91" s="87">
        <v>2.585125</v>
      </c>
      <c r="AD91" s="87">
        <v>1.250293</v>
      </c>
      <c r="AE91" s="87">
        <v>6.357465</v>
      </c>
      <c r="AF91" s="87">
        <v>9.86724</v>
      </c>
      <c r="AG91" s="87">
        <v>2.585592</v>
      </c>
      <c r="AH91" s="87">
        <v>0.0</v>
      </c>
      <c r="AI91" s="87">
        <v>10.00627</v>
      </c>
      <c r="AJ91" s="87">
        <v>6.786101</v>
      </c>
      <c r="AK91" s="87">
        <v>3.965438</v>
      </c>
      <c r="AL91" s="88" t="s">
        <v>1396</v>
      </c>
    </row>
    <row r="92">
      <c r="A92" s="84" t="s">
        <v>1479</v>
      </c>
      <c r="B92" s="84" t="s">
        <v>1529</v>
      </c>
      <c r="C92" s="84" t="s">
        <v>139</v>
      </c>
      <c r="D92" s="84" t="s">
        <v>1527</v>
      </c>
      <c r="E92" s="84" t="s">
        <v>1413</v>
      </c>
      <c r="F92" s="87">
        <v>4.0</v>
      </c>
      <c r="G92" s="87">
        <v>0.0</v>
      </c>
      <c r="H92" s="87">
        <v>1026.0</v>
      </c>
      <c r="I92" s="87">
        <v>0.0</v>
      </c>
      <c r="J92" s="87">
        <v>2.55</v>
      </c>
      <c r="K92" s="87">
        <v>1.744343</v>
      </c>
      <c r="L92" s="87">
        <v>2.103933</v>
      </c>
      <c r="M92" s="87">
        <v>0.952561</v>
      </c>
      <c r="N92" s="87">
        <v>0.546086</v>
      </c>
      <c r="O92" s="87">
        <v>0.1</v>
      </c>
      <c r="P92" s="87">
        <v>0.1</v>
      </c>
      <c r="Q92" s="87">
        <v>0.32619</v>
      </c>
      <c r="R92" s="87">
        <v>0.365591</v>
      </c>
      <c r="S92" s="87">
        <v>0.365591</v>
      </c>
      <c r="T92" s="87">
        <v>0.1</v>
      </c>
      <c r="U92" s="87">
        <v>0.1</v>
      </c>
      <c r="V92" s="87">
        <v>0.32619</v>
      </c>
      <c r="W92" s="87">
        <v>0.365591</v>
      </c>
      <c r="X92" s="87">
        <v>0.365591</v>
      </c>
      <c r="Y92" s="87">
        <v>0.436086</v>
      </c>
      <c r="Z92" s="87">
        <v>0.0</v>
      </c>
      <c r="AA92" s="87">
        <v>2.559341</v>
      </c>
      <c r="AB92" s="87">
        <v>3.405885</v>
      </c>
      <c r="AC92" s="87">
        <v>2.585125</v>
      </c>
      <c r="AD92" s="87">
        <v>3.5</v>
      </c>
      <c r="AE92" s="87">
        <v>5.186141</v>
      </c>
      <c r="AF92" s="87">
        <v>11.12763</v>
      </c>
      <c r="AG92" s="87">
        <v>4.687512</v>
      </c>
      <c r="AH92" s="87">
        <v>0.0</v>
      </c>
      <c r="AI92" s="87">
        <v>10.00627</v>
      </c>
      <c r="AJ92" s="87">
        <v>6.786101</v>
      </c>
      <c r="AK92" s="87">
        <v>3.965438</v>
      </c>
      <c r="AL92" s="88" t="s">
        <v>1396</v>
      </c>
    </row>
    <row r="93">
      <c r="A93" s="84" t="s">
        <v>1481</v>
      </c>
      <c r="B93" s="84" t="s">
        <v>1530</v>
      </c>
      <c r="C93" s="84" t="s">
        <v>139</v>
      </c>
      <c r="D93" s="84" t="s">
        <v>1527</v>
      </c>
      <c r="E93" s="84" t="s">
        <v>1398</v>
      </c>
      <c r="F93" s="87">
        <v>3.0</v>
      </c>
      <c r="G93" s="87">
        <v>0.0</v>
      </c>
      <c r="H93" s="87">
        <v>302.0</v>
      </c>
      <c r="I93" s="87">
        <v>0.0</v>
      </c>
      <c r="J93" s="87">
        <v>9.630267</v>
      </c>
      <c r="K93" s="87">
        <v>8.174436</v>
      </c>
      <c r="L93" s="87">
        <v>6.737585</v>
      </c>
      <c r="M93" s="87">
        <v>3.622439</v>
      </c>
      <c r="N93" s="87">
        <v>0.443142</v>
      </c>
      <c r="O93" s="87">
        <v>1.84781</v>
      </c>
      <c r="P93" s="87">
        <v>1.84781</v>
      </c>
      <c r="Q93" s="87">
        <v>1.84781</v>
      </c>
      <c r="R93" s="87">
        <v>2.704187</v>
      </c>
      <c r="S93" s="87">
        <v>3.622439</v>
      </c>
      <c r="T93" s="87">
        <v>1.84781</v>
      </c>
      <c r="U93" s="87">
        <v>1.84781</v>
      </c>
      <c r="V93" s="87">
        <v>1.84781</v>
      </c>
      <c r="W93" s="87">
        <v>2.704187</v>
      </c>
      <c r="X93" s="87">
        <v>3.622439</v>
      </c>
      <c r="Y93" s="87">
        <v>2.724812</v>
      </c>
      <c r="Z93" s="87">
        <v>0.0</v>
      </c>
      <c r="AA93" s="87">
        <v>2.559341</v>
      </c>
      <c r="AB93" s="87">
        <v>3.405885</v>
      </c>
      <c r="AC93" s="87">
        <v>2.585125</v>
      </c>
      <c r="AD93" s="87">
        <v>3.424888</v>
      </c>
      <c r="AE93" s="87">
        <v>3.622439</v>
      </c>
      <c r="AF93" s="87">
        <v>5.362943</v>
      </c>
      <c r="AG93" s="87">
        <v>4.135645</v>
      </c>
      <c r="AH93" s="87">
        <v>0.0</v>
      </c>
      <c r="AI93" s="87">
        <v>10.00627</v>
      </c>
      <c r="AJ93" s="87">
        <v>6.786101</v>
      </c>
      <c r="AK93" s="87">
        <v>3.965438</v>
      </c>
      <c r="AL93" s="88" t="s">
        <v>1396</v>
      </c>
    </row>
    <row r="94">
      <c r="A94" s="84" t="s">
        <v>1490</v>
      </c>
      <c r="B94" s="84" t="s">
        <v>1531</v>
      </c>
      <c r="C94" s="84" t="s">
        <v>139</v>
      </c>
      <c r="D94" s="84" t="s">
        <v>1527</v>
      </c>
      <c r="E94" s="84" t="s">
        <v>1400</v>
      </c>
      <c r="F94" s="87">
        <v>4.0</v>
      </c>
      <c r="G94" s="87">
        <v>0.0</v>
      </c>
      <c r="H94" s="87">
        <v>1004.0</v>
      </c>
      <c r="I94" s="87">
        <v>0.0</v>
      </c>
      <c r="J94" s="87">
        <v>5.531885</v>
      </c>
      <c r="K94" s="87">
        <v>5.112851</v>
      </c>
      <c r="L94" s="87">
        <v>5.243002</v>
      </c>
      <c r="M94" s="87">
        <v>1.699772</v>
      </c>
      <c r="N94" s="87">
        <v>0.332451</v>
      </c>
      <c r="O94" s="87">
        <v>0.753623</v>
      </c>
      <c r="P94" s="87">
        <v>0.753623</v>
      </c>
      <c r="Q94" s="87">
        <v>1.23908</v>
      </c>
      <c r="R94" s="87">
        <v>1.420376</v>
      </c>
      <c r="S94" s="87">
        <v>1.420376</v>
      </c>
      <c r="T94" s="87">
        <v>0.753623</v>
      </c>
      <c r="U94" s="87">
        <v>0.753623</v>
      </c>
      <c r="V94" s="87">
        <v>1.23908</v>
      </c>
      <c r="W94" s="87">
        <v>1.420376</v>
      </c>
      <c r="X94" s="87">
        <v>1.420376</v>
      </c>
      <c r="Y94" s="87">
        <v>1.278213</v>
      </c>
      <c r="Z94" s="87">
        <v>0.0</v>
      </c>
      <c r="AA94" s="87">
        <v>2.559341</v>
      </c>
      <c r="AB94" s="87">
        <v>3.405885</v>
      </c>
      <c r="AC94" s="87">
        <v>2.585125</v>
      </c>
      <c r="AD94" s="87">
        <v>1.545396</v>
      </c>
      <c r="AE94" s="87">
        <v>2.0</v>
      </c>
      <c r="AF94" s="87">
        <v>3.351121</v>
      </c>
      <c r="AG94" s="87">
        <v>3.010825</v>
      </c>
      <c r="AH94" s="87">
        <v>0.0</v>
      </c>
      <c r="AI94" s="87">
        <v>10.00627</v>
      </c>
      <c r="AJ94" s="87">
        <v>6.786101</v>
      </c>
      <c r="AK94" s="87">
        <v>3.965438</v>
      </c>
      <c r="AL94" s="88" t="s">
        <v>1396</v>
      </c>
    </row>
    <row r="95">
      <c r="A95" s="84" t="s">
        <v>1483</v>
      </c>
      <c r="B95" s="84" t="s">
        <v>1532</v>
      </c>
      <c r="C95" s="84" t="s">
        <v>139</v>
      </c>
      <c r="D95" s="84" t="s">
        <v>1527</v>
      </c>
      <c r="E95" s="89">
        <v>46300.0</v>
      </c>
      <c r="F95" s="87">
        <v>13.0</v>
      </c>
      <c r="G95" s="87">
        <v>0.0</v>
      </c>
      <c r="H95" s="87">
        <v>3043.0</v>
      </c>
      <c r="I95" s="87">
        <v>0.0</v>
      </c>
      <c r="J95" s="87">
        <v>17.67787</v>
      </c>
      <c r="K95" s="87">
        <v>33.94771</v>
      </c>
      <c r="L95" s="87">
        <v>42.57791</v>
      </c>
      <c r="M95" s="87">
        <v>23.08772</v>
      </c>
      <c r="N95" s="87">
        <v>0.680097</v>
      </c>
      <c r="O95" s="87">
        <v>0.0</v>
      </c>
      <c r="P95" s="87">
        <v>0.0</v>
      </c>
      <c r="Q95" s="87">
        <v>0.0</v>
      </c>
      <c r="R95" s="87">
        <v>2.032258</v>
      </c>
      <c r="S95" s="87">
        <v>3.523222</v>
      </c>
      <c r="T95" s="87">
        <v>0.111111</v>
      </c>
      <c r="U95" s="87">
        <v>0.5</v>
      </c>
      <c r="V95" s="87">
        <v>2.032258</v>
      </c>
      <c r="W95" s="87">
        <v>2.534575</v>
      </c>
      <c r="X95" s="87">
        <v>3.729749</v>
      </c>
      <c r="Y95" s="87">
        <v>2.611362</v>
      </c>
      <c r="Z95" s="87">
        <v>0.0</v>
      </c>
      <c r="AA95" s="87">
        <v>2.559341</v>
      </c>
      <c r="AB95" s="87">
        <v>3.405885</v>
      </c>
      <c r="AC95" s="87">
        <v>2.585125</v>
      </c>
      <c r="AD95" s="87">
        <v>5.533723</v>
      </c>
      <c r="AE95" s="87">
        <v>12.51933</v>
      </c>
      <c r="AF95" s="87">
        <v>16.38261</v>
      </c>
      <c r="AG95" s="87">
        <v>18.04735</v>
      </c>
      <c r="AH95" s="87">
        <v>0.0</v>
      </c>
      <c r="AI95" s="87">
        <v>10.00627</v>
      </c>
      <c r="AJ95" s="87">
        <v>6.786101</v>
      </c>
      <c r="AK95" s="87">
        <v>3.965438</v>
      </c>
      <c r="AL95" s="88" t="s">
        <v>1396</v>
      </c>
    </row>
    <row r="96">
      <c r="A96" s="84" t="s">
        <v>1485</v>
      </c>
      <c r="B96" s="84" t="s">
        <v>1533</v>
      </c>
      <c r="C96" s="84" t="s">
        <v>139</v>
      </c>
      <c r="D96" s="84" t="s">
        <v>1527</v>
      </c>
      <c r="E96" s="84" t="s">
        <v>1403</v>
      </c>
      <c r="F96" s="87">
        <v>44.0</v>
      </c>
      <c r="G96" s="87">
        <v>0.0</v>
      </c>
      <c r="H96" s="87">
        <v>0.0</v>
      </c>
      <c r="I96" s="87">
        <v>0.0</v>
      </c>
      <c r="J96" s="87">
        <v>0.0</v>
      </c>
      <c r="K96" s="87">
        <v>0.0</v>
      </c>
      <c r="L96" s="87">
        <v>0.0</v>
      </c>
      <c r="M96" s="87">
        <v>0.0</v>
      </c>
      <c r="N96" s="87">
        <v>0.0</v>
      </c>
      <c r="O96" s="87">
        <v>0.0</v>
      </c>
      <c r="P96" s="87">
        <v>0.0</v>
      </c>
      <c r="Q96" s="87">
        <v>0.0</v>
      </c>
      <c r="R96" s="87">
        <v>0.0</v>
      </c>
      <c r="S96" s="87">
        <v>0.0</v>
      </c>
      <c r="T96" s="87">
        <v>0.0</v>
      </c>
      <c r="U96" s="87">
        <v>0.0</v>
      </c>
      <c r="V96" s="87">
        <v>0.0</v>
      </c>
      <c r="W96" s="87">
        <v>0.0</v>
      </c>
      <c r="X96" s="87">
        <v>0.0</v>
      </c>
      <c r="Y96" s="87">
        <v>0.0</v>
      </c>
      <c r="Z96" s="87">
        <v>0.0</v>
      </c>
      <c r="AA96" s="87">
        <v>2.559341</v>
      </c>
      <c r="AB96" s="87">
        <v>3.405885</v>
      </c>
      <c r="AC96" s="87">
        <v>2.585125</v>
      </c>
      <c r="AD96" s="87">
        <v>0.0</v>
      </c>
      <c r="AE96" s="87">
        <v>0.0</v>
      </c>
      <c r="AF96" s="87">
        <v>0.0</v>
      </c>
      <c r="AG96" s="87">
        <v>0.0</v>
      </c>
      <c r="AH96" s="87">
        <v>0.0</v>
      </c>
      <c r="AI96" s="87">
        <v>10.00627</v>
      </c>
      <c r="AJ96" s="87">
        <v>6.786101</v>
      </c>
      <c r="AK96" s="87">
        <v>3.965438</v>
      </c>
      <c r="AL96" s="88" t="s">
        <v>1396</v>
      </c>
    </row>
    <row r="97">
      <c r="A97" s="84" t="s">
        <v>1474</v>
      </c>
      <c r="B97" s="84" t="s">
        <v>1534</v>
      </c>
      <c r="C97" s="84" t="s">
        <v>139</v>
      </c>
      <c r="D97" s="84" t="s">
        <v>1535</v>
      </c>
      <c r="E97" s="84" t="s">
        <v>1426</v>
      </c>
      <c r="F97" s="87">
        <v>10.0</v>
      </c>
      <c r="G97" s="87">
        <v>0.0</v>
      </c>
      <c r="H97" s="87">
        <v>6347.0</v>
      </c>
      <c r="I97" s="87">
        <v>0.0</v>
      </c>
      <c r="J97" s="87">
        <v>1154.713</v>
      </c>
      <c r="K97" s="87">
        <v>1182.325</v>
      </c>
      <c r="L97" s="87">
        <v>1226.123</v>
      </c>
      <c r="M97" s="87">
        <v>669.1316</v>
      </c>
      <c r="N97" s="87">
        <v>0.565946</v>
      </c>
      <c r="O97" s="87">
        <v>22.19238</v>
      </c>
      <c r="P97" s="87">
        <v>28.91813</v>
      </c>
      <c r="Q97" s="87">
        <v>30.81917</v>
      </c>
      <c r="R97" s="87">
        <v>99.24216</v>
      </c>
      <c r="S97" s="87">
        <v>173.2528</v>
      </c>
      <c r="T97" s="87">
        <v>22.19238</v>
      </c>
      <c r="U97" s="87">
        <v>28.91813</v>
      </c>
      <c r="V97" s="87">
        <v>30.81917</v>
      </c>
      <c r="W97" s="87">
        <v>99.24216</v>
      </c>
      <c r="X97" s="87">
        <v>173.2528</v>
      </c>
      <c r="Y97" s="87">
        <v>118.2325</v>
      </c>
      <c r="Z97" s="87">
        <v>0.0</v>
      </c>
      <c r="AA97" s="87">
        <v>10.67241</v>
      </c>
      <c r="AB97" s="87">
        <v>16.92199</v>
      </c>
      <c r="AC97" s="87">
        <v>9.439156</v>
      </c>
      <c r="AD97" s="87">
        <v>20.65125</v>
      </c>
      <c r="AE97" s="87">
        <v>28.6914</v>
      </c>
      <c r="AF97" s="87">
        <v>40.32366</v>
      </c>
      <c r="AG97" s="87">
        <v>26.71699</v>
      </c>
      <c r="AH97" s="87">
        <v>0.0</v>
      </c>
      <c r="AI97" s="87">
        <v>10.00627</v>
      </c>
      <c r="AJ97" s="87">
        <v>6.786101</v>
      </c>
      <c r="AK97" s="87">
        <v>3.965438</v>
      </c>
      <c r="AL97" s="88" t="s">
        <v>1396</v>
      </c>
    </row>
    <row r="98">
      <c r="A98" s="84" t="s">
        <v>1477</v>
      </c>
      <c r="B98" s="84" t="s">
        <v>1536</v>
      </c>
      <c r="C98" s="84" t="s">
        <v>139</v>
      </c>
      <c r="D98" s="84" t="s">
        <v>1535</v>
      </c>
      <c r="E98" s="89">
        <v>46310.0</v>
      </c>
      <c r="F98" s="87">
        <v>4.0</v>
      </c>
      <c r="G98" s="87">
        <v>0.0</v>
      </c>
      <c r="H98" s="87">
        <v>289.0</v>
      </c>
      <c r="I98" s="87">
        <v>0.0</v>
      </c>
      <c r="J98" s="87">
        <v>39.06553</v>
      </c>
      <c r="K98" s="87">
        <v>37.75662</v>
      </c>
      <c r="L98" s="87">
        <v>36.27687</v>
      </c>
      <c r="M98" s="87">
        <v>20.4165</v>
      </c>
      <c r="N98" s="87">
        <v>0.540739</v>
      </c>
      <c r="O98" s="87">
        <v>1.0</v>
      </c>
      <c r="P98" s="87">
        <v>1.0</v>
      </c>
      <c r="Q98" s="87">
        <v>5.260247</v>
      </c>
      <c r="R98" s="87">
        <v>11.07988</v>
      </c>
      <c r="S98" s="87">
        <v>11.07988</v>
      </c>
      <c r="T98" s="87">
        <v>1.0</v>
      </c>
      <c r="U98" s="87">
        <v>1.0</v>
      </c>
      <c r="V98" s="87">
        <v>5.260247</v>
      </c>
      <c r="W98" s="87">
        <v>11.07988</v>
      </c>
      <c r="X98" s="87">
        <v>11.07988</v>
      </c>
      <c r="Y98" s="87">
        <v>9.439156</v>
      </c>
      <c r="Z98" s="87">
        <v>0.0</v>
      </c>
      <c r="AA98" s="87">
        <v>10.67241</v>
      </c>
      <c r="AB98" s="87">
        <v>16.92199</v>
      </c>
      <c r="AC98" s="87">
        <v>9.439156</v>
      </c>
      <c r="AD98" s="87">
        <v>1.250293</v>
      </c>
      <c r="AE98" s="87">
        <v>6.357465</v>
      </c>
      <c r="AF98" s="87">
        <v>9.86724</v>
      </c>
      <c r="AG98" s="87">
        <v>2.585592</v>
      </c>
      <c r="AH98" s="87">
        <v>0.0</v>
      </c>
      <c r="AI98" s="87">
        <v>10.00627</v>
      </c>
      <c r="AJ98" s="87">
        <v>6.786101</v>
      </c>
      <c r="AK98" s="87">
        <v>3.965438</v>
      </c>
      <c r="AL98" s="88" t="s">
        <v>1396</v>
      </c>
    </row>
    <row r="99">
      <c r="A99" s="84" t="s">
        <v>1479</v>
      </c>
      <c r="B99" s="84" t="s">
        <v>1537</v>
      </c>
      <c r="C99" s="84" t="s">
        <v>139</v>
      </c>
      <c r="D99" s="84" t="s">
        <v>1535</v>
      </c>
      <c r="E99" s="84" t="s">
        <v>1413</v>
      </c>
      <c r="F99" s="87">
        <v>9.0</v>
      </c>
      <c r="G99" s="87">
        <v>0.0</v>
      </c>
      <c r="H99" s="87">
        <v>4635.0</v>
      </c>
      <c r="I99" s="87">
        <v>0.0</v>
      </c>
      <c r="J99" s="87">
        <v>145.4397</v>
      </c>
      <c r="K99" s="87">
        <v>133.1148</v>
      </c>
      <c r="L99" s="87">
        <v>145.6862</v>
      </c>
      <c r="M99" s="87">
        <v>103.4478</v>
      </c>
      <c r="N99" s="87">
        <v>0.777132</v>
      </c>
      <c r="O99" s="87">
        <v>0.0</v>
      </c>
      <c r="P99" s="87">
        <v>0.0</v>
      </c>
      <c r="Q99" s="87">
        <v>1.967553</v>
      </c>
      <c r="R99" s="87">
        <v>4.936735</v>
      </c>
      <c r="S99" s="87">
        <v>12.51975</v>
      </c>
      <c r="T99" s="87">
        <v>1.967553</v>
      </c>
      <c r="U99" s="87">
        <v>3.077631</v>
      </c>
      <c r="V99" s="87">
        <v>4.936735</v>
      </c>
      <c r="W99" s="87">
        <v>7.165295</v>
      </c>
      <c r="X99" s="87">
        <v>12.51975</v>
      </c>
      <c r="Y99" s="87">
        <v>14.79053</v>
      </c>
      <c r="Z99" s="87">
        <v>0.0</v>
      </c>
      <c r="AA99" s="87">
        <v>10.67241</v>
      </c>
      <c r="AB99" s="87">
        <v>16.92199</v>
      </c>
      <c r="AC99" s="87">
        <v>9.439156</v>
      </c>
      <c r="AD99" s="87">
        <v>3.5</v>
      </c>
      <c r="AE99" s="87">
        <v>5.186141</v>
      </c>
      <c r="AF99" s="87">
        <v>11.12763</v>
      </c>
      <c r="AG99" s="87">
        <v>4.687512</v>
      </c>
      <c r="AH99" s="87">
        <v>0.0</v>
      </c>
      <c r="AI99" s="87">
        <v>10.00627</v>
      </c>
      <c r="AJ99" s="87">
        <v>6.786101</v>
      </c>
      <c r="AK99" s="87">
        <v>3.965438</v>
      </c>
      <c r="AL99" s="88" t="s">
        <v>1396</v>
      </c>
    </row>
    <row r="100">
      <c r="A100" s="84" t="s">
        <v>1481</v>
      </c>
      <c r="B100" s="84" t="s">
        <v>1538</v>
      </c>
      <c r="C100" s="84" t="s">
        <v>139</v>
      </c>
      <c r="D100" s="84" t="s">
        <v>1535</v>
      </c>
      <c r="E100" s="84" t="s">
        <v>1398</v>
      </c>
      <c r="F100" s="87">
        <v>5.0</v>
      </c>
      <c r="G100" s="87">
        <v>0.0</v>
      </c>
      <c r="H100" s="87">
        <v>908.0</v>
      </c>
      <c r="I100" s="87">
        <v>0.0</v>
      </c>
      <c r="J100" s="87">
        <v>18.39682</v>
      </c>
      <c r="K100" s="87">
        <v>17.34154</v>
      </c>
      <c r="L100" s="87">
        <v>17.97977</v>
      </c>
      <c r="M100" s="87">
        <v>5.519759</v>
      </c>
      <c r="N100" s="87">
        <v>0.318297</v>
      </c>
      <c r="O100" s="87">
        <v>1.47619</v>
      </c>
      <c r="P100" s="87">
        <v>3.023332</v>
      </c>
      <c r="Q100" s="87">
        <v>3.023332</v>
      </c>
      <c r="R100" s="87">
        <v>3.424888</v>
      </c>
      <c r="S100" s="87">
        <v>3.897374</v>
      </c>
      <c r="T100" s="87">
        <v>1.47619</v>
      </c>
      <c r="U100" s="87">
        <v>3.023332</v>
      </c>
      <c r="V100" s="87">
        <v>3.023332</v>
      </c>
      <c r="W100" s="87">
        <v>3.424888</v>
      </c>
      <c r="X100" s="87">
        <v>3.897374</v>
      </c>
      <c r="Y100" s="87">
        <v>3.468309</v>
      </c>
      <c r="Z100" s="87">
        <v>0.0</v>
      </c>
      <c r="AA100" s="87">
        <v>10.67241</v>
      </c>
      <c r="AB100" s="87">
        <v>16.92199</v>
      </c>
      <c r="AC100" s="87">
        <v>9.439156</v>
      </c>
      <c r="AD100" s="87">
        <v>3.424888</v>
      </c>
      <c r="AE100" s="87">
        <v>3.622439</v>
      </c>
      <c r="AF100" s="87">
        <v>5.362943</v>
      </c>
      <c r="AG100" s="87">
        <v>4.135645</v>
      </c>
      <c r="AH100" s="87">
        <v>0.0</v>
      </c>
      <c r="AI100" s="87">
        <v>10.00627</v>
      </c>
      <c r="AJ100" s="87">
        <v>6.786101</v>
      </c>
      <c r="AK100" s="87">
        <v>3.965438</v>
      </c>
      <c r="AL100" s="88" t="s">
        <v>1396</v>
      </c>
    </row>
    <row r="101">
      <c r="A101" s="84" t="s">
        <v>1490</v>
      </c>
      <c r="B101" s="84" t="s">
        <v>1539</v>
      </c>
      <c r="C101" s="84" t="s">
        <v>139</v>
      </c>
      <c r="D101" s="84" t="s">
        <v>1535</v>
      </c>
      <c r="E101" s="84" t="s">
        <v>1400</v>
      </c>
      <c r="F101" s="87">
        <v>4.0</v>
      </c>
      <c r="G101" s="87">
        <v>0.0</v>
      </c>
      <c r="H101" s="87">
        <v>531.0</v>
      </c>
      <c r="I101" s="87">
        <v>0.0</v>
      </c>
      <c r="J101" s="87">
        <v>10.35577</v>
      </c>
      <c r="K101" s="87">
        <v>9.63249</v>
      </c>
      <c r="L101" s="87">
        <v>9.392969</v>
      </c>
      <c r="M101" s="87">
        <v>3.355467</v>
      </c>
      <c r="N101" s="87">
        <v>0.348349</v>
      </c>
      <c r="O101" s="87">
        <v>1.509213</v>
      </c>
      <c r="P101" s="87">
        <v>1.509213</v>
      </c>
      <c r="Q101" s="87">
        <v>1.897759</v>
      </c>
      <c r="R101" s="87">
        <v>2.870052</v>
      </c>
      <c r="S101" s="87">
        <v>2.870052</v>
      </c>
      <c r="T101" s="87">
        <v>1.509213</v>
      </c>
      <c r="U101" s="87">
        <v>1.509213</v>
      </c>
      <c r="V101" s="87">
        <v>1.897759</v>
      </c>
      <c r="W101" s="87">
        <v>2.870052</v>
      </c>
      <c r="X101" s="87">
        <v>2.870052</v>
      </c>
      <c r="Y101" s="87">
        <v>2.408122</v>
      </c>
      <c r="Z101" s="87">
        <v>0.0</v>
      </c>
      <c r="AA101" s="87">
        <v>10.67241</v>
      </c>
      <c r="AB101" s="87">
        <v>16.92199</v>
      </c>
      <c r="AC101" s="87">
        <v>9.439156</v>
      </c>
      <c r="AD101" s="87">
        <v>1.545396</v>
      </c>
      <c r="AE101" s="87">
        <v>2.0</v>
      </c>
      <c r="AF101" s="87">
        <v>3.351121</v>
      </c>
      <c r="AG101" s="87">
        <v>3.010825</v>
      </c>
      <c r="AH101" s="87">
        <v>0.0</v>
      </c>
      <c r="AI101" s="87">
        <v>10.00627</v>
      </c>
      <c r="AJ101" s="87">
        <v>6.786101</v>
      </c>
      <c r="AK101" s="87">
        <v>3.965438</v>
      </c>
      <c r="AL101" s="88" t="s">
        <v>1396</v>
      </c>
    </row>
    <row r="102">
      <c r="A102" s="84" t="s">
        <v>1483</v>
      </c>
      <c r="B102" s="84" t="s">
        <v>1540</v>
      </c>
      <c r="C102" s="84" t="s">
        <v>139</v>
      </c>
      <c r="D102" s="84" t="s">
        <v>1535</v>
      </c>
      <c r="E102" s="89">
        <v>46300.0</v>
      </c>
      <c r="F102" s="87">
        <v>17.0</v>
      </c>
      <c r="G102" s="87">
        <v>0.0</v>
      </c>
      <c r="H102" s="87">
        <v>4527.0</v>
      </c>
      <c r="I102" s="87">
        <v>0.0</v>
      </c>
      <c r="J102" s="87">
        <v>349.3509</v>
      </c>
      <c r="K102" s="87">
        <v>379.7165</v>
      </c>
      <c r="L102" s="87">
        <v>398.6122</v>
      </c>
      <c r="M102" s="87">
        <v>264.1515</v>
      </c>
      <c r="N102" s="87">
        <v>0.695655</v>
      </c>
      <c r="O102" s="87">
        <v>0.0</v>
      </c>
      <c r="P102" s="87">
        <v>4.648651</v>
      </c>
      <c r="Q102" s="87">
        <v>6.269259</v>
      </c>
      <c r="R102" s="87">
        <v>9.913104</v>
      </c>
      <c r="S102" s="87">
        <v>22.55789</v>
      </c>
      <c r="T102" s="87">
        <v>6.067788</v>
      </c>
      <c r="U102" s="87">
        <v>6.269259</v>
      </c>
      <c r="V102" s="87">
        <v>9.728793</v>
      </c>
      <c r="W102" s="87">
        <v>15.77701</v>
      </c>
      <c r="X102" s="87">
        <v>22.80128</v>
      </c>
      <c r="Y102" s="87">
        <v>22.33626</v>
      </c>
      <c r="Z102" s="87">
        <v>0.0</v>
      </c>
      <c r="AA102" s="87">
        <v>10.67241</v>
      </c>
      <c r="AB102" s="87">
        <v>16.92199</v>
      </c>
      <c r="AC102" s="87">
        <v>9.439156</v>
      </c>
      <c r="AD102" s="87">
        <v>5.533723</v>
      </c>
      <c r="AE102" s="87">
        <v>12.51933</v>
      </c>
      <c r="AF102" s="87">
        <v>16.38261</v>
      </c>
      <c r="AG102" s="87">
        <v>18.04735</v>
      </c>
      <c r="AH102" s="87">
        <v>0.0</v>
      </c>
      <c r="AI102" s="87">
        <v>10.00627</v>
      </c>
      <c r="AJ102" s="87">
        <v>6.786101</v>
      </c>
      <c r="AK102" s="87">
        <v>3.965438</v>
      </c>
      <c r="AL102" s="88" t="s">
        <v>1396</v>
      </c>
    </row>
    <row r="103">
      <c r="A103" s="84" t="s">
        <v>1485</v>
      </c>
      <c r="B103" s="84" t="s">
        <v>1541</v>
      </c>
      <c r="C103" s="84" t="s">
        <v>139</v>
      </c>
      <c r="D103" s="84" t="s">
        <v>1535</v>
      </c>
      <c r="E103" s="84" t="s">
        <v>1403</v>
      </c>
      <c r="F103" s="87">
        <v>55.0</v>
      </c>
      <c r="G103" s="87">
        <v>1.0</v>
      </c>
      <c r="H103" s="87">
        <v>2.0</v>
      </c>
      <c r="I103" s="87">
        <v>2.0</v>
      </c>
      <c r="J103" s="87">
        <v>0.0</v>
      </c>
      <c r="K103" s="87">
        <v>0.0</v>
      </c>
      <c r="L103" s="87">
        <v>0.0</v>
      </c>
      <c r="M103" s="87">
        <v>0.0</v>
      </c>
      <c r="N103" s="87">
        <v>0.0</v>
      </c>
      <c r="O103" s="87">
        <v>0.0</v>
      </c>
      <c r="P103" s="87">
        <v>0.0</v>
      </c>
      <c r="Q103" s="87">
        <v>0.0</v>
      </c>
      <c r="R103" s="87">
        <v>0.0</v>
      </c>
      <c r="S103" s="87">
        <v>0.0</v>
      </c>
      <c r="T103" s="87">
        <v>0.0</v>
      </c>
      <c r="U103" s="87">
        <v>0.0</v>
      </c>
      <c r="V103" s="87">
        <v>0.0</v>
      </c>
      <c r="W103" s="87">
        <v>0.0</v>
      </c>
      <c r="X103" s="87">
        <v>0.0</v>
      </c>
      <c r="Y103" s="87">
        <v>0.0</v>
      </c>
      <c r="Z103" s="87">
        <v>0.0</v>
      </c>
      <c r="AA103" s="87">
        <v>10.67241</v>
      </c>
      <c r="AB103" s="87">
        <v>16.92199</v>
      </c>
      <c r="AC103" s="87">
        <v>9.439156</v>
      </c>
      <c r="AD103" s="87">
        <v>0.0</v>
      </c>
      <c r="AE103" s="87">
        <v>0.0</v>
      </c>
      <c r="AF103" s="87">
        <v>0.0</v>
      </c>
      <c r="AG103" s="87">
        <v>0.0</v>
      </c>
      <c r="AH103" s="87">
        <v>0.0</v>
      </c>
      <c r="AI103" s="87">
        <v>10.00627</v>
      </c>
      <c r="AJ103" s="87">
        <v>6.786101</v>
      </c>
      <c r="AK103" s="87">
        <v>3.965438</v>
      </c>
      <c r="AL103" s="88" t="s">
        <v>1396</v>
      </c>
    </row>
    <row r="104">
      <c r="A104" s="84" t="s">
        <v>1474</v>
      </c>
      <c r="B104" s="84" t="s">
        <v>1542</v>
      </c>
      <c r="C104" s="84" t="s">
        <v>139</v>
      </c>
      <c r="D104" s="84" t="s">
        <v>1543</v>
      </c>
      <c r="E104" s="84" t="s">
        <v>1426</v>
      </c>
      <c r="F104" s="87">
        <v>1.0</v>
      </c>
      <c r="G104" s="87">
        <v>1.0</v>
      </c>
      <c r="H104" s="87">
        <v>7464.0</v>
      </c>
      <c r="I104" s="87">
        <v>7464.0</v>
      </c>
      <c r="J104" s="87">
        <v>0.0</v>
      </c>
      <c r="K104" s="87">
        <v>0.0</v>
      </c>
      <c r="L104" s="87">
        <v>0.0</v>
      </c>
      <c r="M104" s="87">
        <v>0.0</v>
      </c>
      <c r="N104" s="87">
        <v>0.0</v>
      </c>
      <c r="O104" s="87">
        <v>0.0</v>
      </c>
      <c r="P104" s="87">
        <v>0.0</v>
      </c>
      <c r="Q104" s="87">
        <v>0.0</v>
      </c>
      <c r="R104" s="87">
        <v>0.0</v>
      </c>
      <c r="S104" s="87">
        <v>0.0</v>
      </c>
      <c r="T104" s="87">
        <v>0.0</v>
      </c>
      <c r="U104" s="87">
        <v>0.0</v>
      </c>
      <c r="V104" s="87">
        <v>0.0</v>
      </c>
      <c r="W104" s="87">
        <v>0.0</v>
      </c>
      <c r="X104" s="87">
        <v>0.0</v>
      </c>
      <c r="Y104" s="87">
        <v>0.0</v>
      </c>
      <c r="Z104" s="87">
        <v>0.819481</v>
      </c>
      <c r="AA104" s="87">
        <v>6.669246</v>
      </c>
      <c r="AB104" s="87">
        <v>5.12954</v>
      </c>
      <c r="AC104" s="87">
        <v>4.110452</v>
      </c>
      <c r="AD104" s="87">
        <v>20.65125</v>
      </c>
      <c r="AE104" s="87">
        <v>28.6914</v>
      </c>
      <c r="AF104" s="87">
        <v>40.32366</v>
      </c>
      <c r="AG104" s="87">
        <v>26.71699</v>
      </c>
      <c r="AH104" s="87">
        <v>0.0</v>
      </c>
      <c r="AI104" s="87">
        <v>10.00627</v>
      </c>
      <c r="AJ104" s="87">
        <v>6.786101</v>
      </c>
      <c r="AK104" s="87">
        <v>3.965438</v>
      </c>
      <c r="AL104" s="88" t="s">
        <v>1396</v>
      </c>
    </row>
    <row r="105">
      <c r="A105" s="84" t="s">
        <v>1477</v>
      </c>
      <c r="B105" s="84" t="s">
        <v>1544</v>
      </c>
      <c r="C105" s="84" t="s">
        <v>139</v>
      </c>
      <c r="D105" s="84" t="s">
        <v>1543</v>
      </c>
      <c r="E105" s="86">
        <v>46310.0</v>
      </c>
      <c r="F105" s="87">
        <v>11.0</v>
      </c>
      <c r="G105" s="87">
        <v>0.0</v>
      </c>
      <c r="H105" s="87">
        <v>6956.0</v>
      </c>
      <c r="I105" s="87">
        <v>0.0</v>
      </c>
      <c r="J105" s="87">
        <v>116.6036</v>
      </c>
      <c r="K105" s="87">
        <v>120.7361</v>
      </c>
      <c r="L105" s="87">
        <v>119.3823</v>
      </c>
      <c r="M105" s="87">
        <v>69.99426</v>
      </c>
      <c r="N105" s="87">
        <v>0.579729</v>
      </c>
      <c r="O105" s="87">
        <v>1.665591</v>
      </c>
      <c r="P105" s="87">
        <v>3.158122</v>
      </c>
      <c r="Q105" s="87">
        <v>4.366858</v>
      </c>
      <c r="R105" s="87">
        <v>9.595428</v>
      </c>
      <c r="S105" s="87">
        <v>10.68225</v>
      </c>
      <c r="T105" s="87">
        <v>1.665591</v>
      </c>
      <c r="U105" s="87">
        <v>3.158122</v>
      </c>
      <c r="V105" s="87">
        <v>4.366858</v>
      </c>
      <c r="W105" s="87">
        <v>9.595428</v>
      </c>
      <c r="X105" s="87">
        <v>10.68225</v>
      </c>
      <c r="Y105" s="87">
        <v>10.97601</v>
      </c>
      <c r="Z105" s="87">
        <v>0.819481</v>
      </c>
      <c r="AA105" s="87">
        <v>6.669246</v>
      </c>
      <c r="AB105" s="87">
        <v>5.12954</v>
      </c>
      <c r="AC105" s="87">
        <v>4.110452</v>
      </c>
      <c r="AD105" s="87">
        <v>1.250293</v>
      </c>
      <c r="AE105" s="87">
        <v>6.357465</v>
      </c>
      <c r="AF105" s="87">
        <v>9.86724</v>
      </c>
      <c r="AG105" s="87">
        <v>2.585592</v>
      </c>
      <c r="AH105" s="87">
        <v>0.0</v>
      </c>
      <c r="AI105" s="87">
        <v>10.00627</v>
      </c>
      <c r="AJ105" s="87">
        <v>6.786101</v>
      </c>
      <c r="AK105" s="87">
        <v>3.965438</v>
      </c>
      <c r="AL105" s="88" t="s">
        <v>1396</v>
      </c>
    </row>
    <row r="106">
      <c r="A106" s="84" t="s">
        <v>1479</v>
      </c>
      <c r="B106" s="84" t="s">
        <v>1545</v>
      </c>
      <c r="C106" s="84" t="s">
        <v>139</v>
      </c>
      <c r="D106" s="84" t="s">
        <v>1543</v>
      </c>
      <c r="E106" s="84" t="s">
        <v>1413</v>
      </c>
      <c r="F106" s="87">
        <v>4.0</v>
      </c>
      <c r="G106" s="87">
        <v>0.0</v>
      </c>
      <c r="H106" s="87">
        <v>1734.0</v>
      </c>
      <c r="I106" s="87">
        <v>0.0</v>
      </c>
      <c r="J106" s="87">
        <v>17.20991</v>
      </c>
      <c r="K106" s="87">
        <v>16.44181</v>
      </c>
      <c r="L106" s="87">
        <v>14.84213</v>
      </c>
      <c r="M106" s="87">
        <v>6.669246</v>
      </c>
      <c r="N106" s="87">
        <v>0.405627</v>
      </c>
      <c r="O106" s="87">
        <v>2.082624</v>
      </c>
      <c r="P106" s="87">
        <v>2.082624</v>
      </c>
      <c r="Q106" s="87">
        <v>2.935308</v>
      </c>
      <c r="R106" s="87">
        <v>4.754632</v>
      </c>
      <c r="S106" s="87">
        <v>4.754632</v>
      </c>
      <c r="T106" s="87">
        <v>2.082624</v>
      </c>
      <c r="U106" s="87">
        <v>2.082624</v>
      </c>
      <c r="V106" s="87">
        <v>2.935308</v>
      </c>
      <c r="W106" s="87">
        <v>4.754632</v>
      </c>
      <c r="X106" s="87">
        <v>4.754632</v>
      </c>
      <c r="Y106" s="87">
        <v>4.110452</v>
      </c>
      <c r="Z106" s="87">
        <v>0.819481</v>
      </c>
      <c r="AA106" s="87">
        <v>6.669246</v>
      </c>
      <c r="AB106" s="87">
        <v>5.12954</v>
      </c>
      <c r="AC106" s="87">
        <v>4.110452</v>
      </c>
      <c r="AD106" s="87">
        <v>3.5</v>
      </c>
      <c r="AE106" s="87">
        <v>5.186141</v>
      </c>
      <c r="AF106" s="87">
        <v>11.12763</v>
      </c>
      <c r="AG106" s="87">
        <v>4.687512</v>
      </c>
      <c r="AH106" s="87">
        <v>0.0</v>
      </c>
      <c r="AI106" s="87">
        <v>10.00627</v>
      </c>
      <c r="AJ106" s="87">
        <v>6.786101</v>
      </c>
      <c r="AK106" s="87">
        <v>3.965438</v>
      </c>
      <c r="AL106" s="88" t="s">
        <v>1396</v>
      </c>
    </row>
    <row r="107">
      <c r="A107" s="84" t="s">
        <v>1481</v>
      </c>
      <c r="B107" s="84" t="s">
        <v>1546</v>
      </c>
      <c r="C107" s="84" t="s">
        <v>139</v>
      </c>
      <c r="D107" s="84" t="s">
        <v>1543</v>
      </c>
      <c r="E107" s="84" t="s">
        <v>1398</v>
      </c>
      <c r="F107" s="87">
        <v>3.0</v>
      </c>
      <c r="G107" s="87">
        <v>0.0</v>
      </c>
      <c r="H107" s="87">
        <v>1059.0</v>
      </c>
      <c r="I107" s="87">
        <v>0.0</v>
      </c>
      <c r="J107" s="87">
        <v>7.648302</v>
      </c>
      <c r="K107" s="87">
        <v>8.881902</v>
      </c>
      <c r="L107" s="87">
        <v>8.835594</v>
      </c>
      <c r="M107" s="87">
        <v>4.691806</v>
      </c>
      <c r="N107" s="87">
        <v>0.528243</v>
      </c>
      <c r="O107" s="87">
        <v>0.819481</v>
      </c>
      <c r="P107" s="87">
        <v>0.819481</v>
      </c>
      <c r="Q107" s="87">
        <v>0.819481</v>
      </c>
      <c r="R107" s="87">
        <v>3.370616</v>
      </c>
      <c r="S107" s="87">
        <v>4.691806</v>
      </c>
      <c r="T107" s="87">
        <v>0.819481</v>
      </c>
      <c r="U107" s="87">
        <v>0.819481</v>
      </c>
      <c r="V107" s="87">
        <v>0.819481</v>
      </c>
      <c r="W107" s="87">
        <v>3.370616</v>
      </c>
      <c r="X107" s="87">
        <v>4.691806</v>
      </c>
      <c r="Y107" s="87">
        <v>2.960634</v>
      </c>
      <c r="Z107" s="87">
        <v>0.819481</v>
      </c>
      <c r="AA107" s="87">
        <v>6.669246</v>
      </c>
      <c r="AB107" s="87">
        <v>5.12954</v>
      </c>
      <c r="AC107" s="87">
        <v>4.110452</v>
      </c>
      <c r="AD107" s="87">
        <v>3.424888</v>
      </c>
      <c r="AE107" s="87">
        <v>3.622439</v>
      </c>
      <c r="AF107" s="87">
        <v>5.362943</v>
      </c>
      <c r="AG107" s="87">
        <v>4.135645</v>
      </c>
      <c r="AH107" s="87">
        <v>0.0</v>
      </c>
      <c r="AI107" s="87">
        <v>10.00627</v>
      </c>
      <c r="AJ107" s="87">
        <v>6.786101</v>
      </c>
      <c r="AK107" s="87">
        <v>3.965438</v>
      </c>
      <c r="AL107" s="88" t="s">
        <v>1396</v>
      </c>
    </row>
    <row r="108">
      <c r="A108" s="84" t="s">
        <v>1490</v>
      </c>
      <c r="B108" s="84" t="s">
        <v>1547</v>
      </c>
      <c r="C108" s="84" t="s">
        <v>139</v>
      </c>
      <c r="D108" s="84" t="s">
        <v>1543</v>
      </c>
      <c r="E108" s="84" t="s">
        <v>1400</v>
      </c>
      <c r="F108" s="87">
        <v>1.0</v>
      </c>
      <c r="G108" s="87">
        <v>0.0</v>
      </c>
      <c r="H108" s="87">
        <v>507.0</v>
      </c>
      <c r="I108" s="87">
        <v>0.0</v>
      </c>
      <c r="J108" s="87">
        <v>4.930769</v>
      </c>
      <c r="K108" s="87">
        <v>5.00634</v>
      </c>
      <c r="L108" s="87">
        <v>4.514826</v>
      </c>
      <c r="M108" s="87">
        <v>5.00634</v>
      </c>
      <c r="N108" s="87">
        <v>1.0</v>
      </c>
      <c r="O108" s="87">
        <v>5.00634</v>
      </c>
      <c r="P108" s="87">
        <v>5.00634</v>
      </c>
      <c r="Q108" s="87">
        <v>5.00634</v>
      </c>
      <c r="R108" s="87">
        <v>5.00634</v>
      </c>
      <c r="S108" s="87">
        <v>5.00634</v>
      </c>
      <c r="T108" s="87">
        <v>5.00634</v>
      </c>
      <c r="U108" s="87">
        <v>5.00634</v>
      </c>
      <c r="V108" s="87">
        <v>5.00634</v>
      </c>
      <c r="W108" s="87">
        <v>5.00634</v>
      </c>
      <c r="X108" s="87">
        <v>5.00634</v>
      </c>
      <c r="Y108" s="87">
        <v>5.00634</v>
      </c>
      <c r="Z108" s="87">
        <v>0.819481</v>
      </c>
      <c r="AA108" s="87">
        <v>6.669246</v>
      </c>
      <c r="AB108" s="87">
        <v>5.12954</v>
      </c>
      <c r="AC108" s="87">
        <v>4.110452</v>
      </c>
      <c r="AD108" s="87">
        <v>1.545396</v>
      </c>
      <c r="AE108" s="87">
        <v>2.0</v>
      </c>
      <c r="AF108" s="87">
        <v>3.351121</v>
      </c>
      <c r="AG108" s="87">
        <v>3.010825</v>
      </c>
      <c r="AH108" s="87">
        <v>0.0</v>
      </c>
      <c r="AI108" s="87">
        <v>10.00627</v>
      </c>
      <c r="AJ108" s="87">
        <v>6.786101</v>
      </c>
      <c r="AK108" s="87">
        <v>3.965438</v>
      </c>
      <c r="AL108" s="88" t="s">
        <v>1396</v>
      </c>
    </row>
    <row r="109">
      <c r="A109" s="84" t="s">
        <v>1483</v>
      </c>
      <c r="B109" s="84" t="s">
        <v>1548</v>
      </c>
      <c r="C109" s="84" t="s">
        <v>139</v>
      </c>
      <c r="D109" s="84" t="s">
        <v>1543</v>
      </c>
      <c r="E109" s="89">
        <v>46300.0</v>
      </c>
      <c r="F109" s="87">
        <v>9.0</v>
      </c>
      <c r="G109" s="87">
        <v>0.0</v>
      </c>
      <c r="H109" s="87">
        <v>14067.0</v>
      </c>
      <c r="I109" s="87">
        <v>0.0</v>
      </c>
      <c r="J109" s="87">
        <v>112.2056</v>
      </c>
      <c r="K109" s="87">
        <v>125.929</v>
      </c>
      <c r="L109" s="87">
        <v>138.0434</v>
      </c>
      <c r="M109" s="87">
        <v>78.41724</v>
      </c>
      <c r="N109" s="87">
        <v>0.62271</v>
      </c>
      <c r="O109" s="87">
        <v>0.0</v>
      </c>
      <c r="P109" s="87">
        <v>2.060963</v>
      </c>
      <c r="Q109" s="87">
        <v>2.978243</v>
      </c>
      <c r="R109" s="87">
        <v>8.008898</v>
      </c>
      <c r="S109" s="87">
        <v>16.12874</v>
      </c>
      <c r="T109" s="87">
        <v>2.060963</v>
      </c>
      <c r="U109" s="87">
        <v>2.978243</v>
      </c>
      <c r="V109" s="87">
        <v>7.573787</v>
      </c>
      <c r="W109" s="87">
        <v>10.76115</v>
      </c>
      <c r="X109" s="87">
        <v>16.12874</v>
      </c>
      <c r="Y109" s="87">
        <v>13.99211</v>
      </c>
      <c r="Z109" s="87">
        <v>0.819481</v>
      </c>
      <c r="AA109" s="87">
        <v>6.669246</v>
      </c>
      <c r="AB109" s="87">
        <v>5.12954</v>
      </c>
      <c r="AC109" s="87">
        <v>4.110452</v>
      </c>
      <c r="AD109" s="87">
        <v>5.533723</v>
      </c>
      <c r="AE109" s="87">
        <v>12.51933</v>
      </c>
      <c r="AF109" s="87">
        <v>16.38261</v>
      </c>
      <c r="AG109" s="87">
        <v>18.04735</v>
      </c>
      <c r="AH109" s="87">
        <v>0.0</v>
      </c>
      <c r="AI109" s="87">
        <v>10.00627</v>
      </c>
      <c r="AJ109" s="87">
        <v>6.786101</v>
      </c>
      <c r="AK109" s="87">
        <v>3.965438</v>
      </c>
      <c r="AL109" s="88" t="s">
        <v>1396</v>
      </c>
    </row>
    <row r="110">
      <c r="A110" s="84" t="s">
        <v>1485</v>
      </c>
      <c r="B110" s="84" t="s">
        <v>1549</v>
      </c>
      <c r="C110" s="84" t="s">
        <v>139</v>
      </c>
      <c r="D110" s="84" t="s">
        <v>1543</v>
      </c>
      <c r="E110" s="84" t="s">
        <v>1403</v>
      </c>
      <c r="F110" s="87">
        <v>25.0</v>
      </c>
      <c r="G110" s="87">
        <v>0.0</v>
      </c>
      <c r="H110" s="87">
        <v>0.0</v>
      </c>
      <c r="I110" s="87">
        <v>0.0</v>
      </c>
      <c r="J110" s="87">
        <v>0.0</v>
      </c>
      <c r="K110" s="87">
        <v>0.0</v>
      </c>
      <c r="L110" s="87">
        <v>0.0</v>
      </c>
      <c r="M110" s="87">
        <v>0.0</v>
      </c>
      <c r="N110" s="87">
        <v>0.0</v>
      </c>
      <c r="O110" s="87">
        <v>0.0</v>
      </c>
      <c r="P110" s="87">
        <v>0.0</v>
      </c>
      <c r="Q110" s="87">
        <v>0.0</v>
      </c>
      <c r="R110" s="87">
        <v>0.0</v>
      </c>
      <c r="S110" s="87">
        <v>0.0</v>
      </c>
      <c r="T110" s="87">
        <v>0.0</v>
      </c>
      <c r="U110" s="87">
        <v>0.0</v>
      </c>
      <c r="V110" s="87">
        <v>0.0</v>
      </c>
      <c r="W110" s="87">
        <v>0.0</v>
      </c>
      <c r="X110" s="87">
        <v>0.0</v>
      </c>
      <c r="Y110" s="87">
        <v>0.0</v>
      </c>
      <c r="Z110" s="87">
        <v>0.819481</v>
      </c>
      <c r="AA110" s="87">
        <v>6.669246</v>
      </c>
      <c r="AB110" s="87">
        <v>5.12954</v>
      </c>
      <c r="AC110" s="87">
        <v>4.110452</v>
      </c>
      <c r="AD110" s="87">
        <v>0.0</v>
      </c>
      <c r="AE110" s="87">
        <v>0.0</v>
      </c>
      <c r="AF110" s="87">
        <v>0.0</v>
      </c>
      <c r="AG110" s="87">
        <v>0.0</v>
      </c>
      <c r="AH110" s="87">
        <v>0.0</v>
      </c>
      <c r="AI110" s="87">
        <v>10.00627</v>
      </c>
      <c r="AJ110" s="87">
        <v>6.786101</v>
      </c>
      <c r="AK110" s="87">
        <v>3.965438</v>
      </c>
      <c r="AL110" s="88" t="s">
        <v>1396</v>
      </c>
    </row>
    <row r="111">
      <c r="A111" s="84" t="s">
        <v>1550</v>
      </c>
      <c r="B111" s="84" t="s">
        <v>1551</v>
      </c>
      <c r="C111" s="84" t="s">
        <v>795</v>
      </c>
      <c r="D111" s="84" t="s">
        <v>1552</v>
      </c>
      <c r="E111" s="84" t="s">
        <v>1426</v>
      </c>
      <c r="F111" s="87">
        <v>7.0</v>
      </c>
      <c r="G111" s="87">
        <v>0.0</v>
      </c>
      <c r="H111" s="87">
        <v>1819.0</v>
      </c>
      <c r="I111" s="87">
        <v>0.0</v>
      </c>
      <c r="J111" s="87">
        <v>19.4995</v>
      </c>
      <c r="K111" s="87">
        <v>51.34863</v>
      </c>
      <c r="L111" s="87">
        <v>38.4786</v>
      </c>
      <c r="M111" s="87">
        <v>46.25604</v>
      </c>
      <c r="N111" s="87">
        <v>0.900823</v>
      </c>
      <c r="O111" s="87">
        <v>0.0</v>
      </c>
      <c r="P111" s="87">
        <v>0.0</v>
      </c>
      <c r="Q111" s="87">
        <v>0.0</v>
      </c>
      <c r="R111" s="87">
        <v>0.0</v>
      </c>
      <c r="S111" s="87">
        <v>5.092593</v>
      </c>
      <c r="T111" s="87">
        <v>5.092593</v>
      </c>
      <c r="U111" s="87">
        <v>5.092593</v>
      </c>
      <c r="V111" s="87">
        <v>5.092593</v>
      </c>
      <c r="W111" s="87">
        <v>15.5608</v>
      </c>
      <c r="X111" s="87">
        <v>30.69524</v>
      </c>
      <c r="Y111" s="87">
        <v>7.335519</v>
      </c>
      <c r="Z111" s="87">
        <v>0.0</v>
      </c>
      <c r="AA111" s="87">
        <v>5.092593</v>
      </c>
      <c r="AB111" s="87">
        <v>2.870349</v>
      </c>
      <c r="AC111" s="87">
        <v>5.235074</v>
      </c>
      <c r="AD111" s="87">
        <v>1.240724</v>
      </c>
      <c r="AE111" s="87">
        <v>5.092593</v>
      </c>
      <c r="AF111" s="87">
        <v>5.555719</v>
      </c>
      <c r="AG111" s="87">
        <v>5.7006</v>
      </c>
      <c r="AH111" s="87">
        <v>0.0</v>
      </c>
      <c r="AI111" s="87">
        <v>2.287482</v>
      </c>
      <c r="AJ111" s="87">
        <v>2.32081</v>
      </c>
      <c r="AK111" s="87">
        <v>2.214185</v>
      </c>
      <c r="AL111" s="88" t="s">
        <v>1396</v>
      </c>
    </row>
    <row r="112">
      <c r="A112" s="84" t="s">
        <v>1553</v>
      </c>
      <c r="B112" s="84" t="s">
        <v>1554</v>
      </c>
      <c r="C112" s="84" t="s">
        <v>795</v>
      </c>
      <c r="D112" s="84" t="s">
        <v>1552</v>
      </c>
      <c r="E112" s="86">
        <v>46310.0</v>
      </c>
      <c r="F112" s="87">
        <v>5.0</v>
      </c>
      <c r="G112" s="87">
        <v>0.0</v>
      </c>
      <c r="H112" s="87">
        <v>1388.0</v>
      </c>
      <c r="I112" s="87">
        <v>0.0</v>
      </c>
      <c r="J112" s="87">
        <v>24.0126</v>
      </c>
      <c r="K112" s="87">
        <v>26.17537</v>
      </c>
      <c r="L112" s="87">
        <v>25.55301</v>
      </c>
      <c r="M112" s="87">
        <v>20.33704</v>
      </c>
      <c r="N112" s="87">
        <v>0.776953</v>
      </c>
      <c r="O112" s="87">
        <v>0.0</v>
      </c>
      <c r="P112" s="87">
        <v>0.0</v>
      </c>
      <c r="Q112" s="87">
        <v>0.0</v>
      </c>
      <c r="R112" s="87">
        <v>2.084483</v>
      </c>
      <c r="S112" s="87">
        <v>3.753849</v>
      </c>
      <c r="T112" s="87">
        <v>2.084483</v>
      </c>
      <c r="U112" s="87">
        <v>2.084483</v>
      </c>
      <c r="V112" s="87">
        <v>2.084483</v>
      </c>
      <c r="W112" s="87">
        <v>3.753849</v>
      </c>
      <c r="X112" s="87">
        <v>20.33704</v>
      </c>
      <c r="Y112" s="87">
        <v>5.235074</v>
      </c>
      <c r="Z112" s="87">
        <v>0.0</v>
      </c>
      <c r="AA112" s="87">
        <v>5.092593</v>
      </c>
      <c r="AB112" s="87">
        <v>2.870349</v>
      </c>
      <c r="AC112" s="87">
        <v>5.235074</v>
      </c>
      <c r="AD112" s="87">
        <v>1.026282</v>
      </c>
      <c r="AE112" s="87">
        <v>2.666147</v>
      </c>
      <c r="AF112" s="87">
        <v>3.608131</v>
      </c>
      <c r="AG112" s="87">
        <v>4.445943</v>
      </c>
      <c r="AH112" s="87">
        <v>0.0</v>
      </c>
      <c r="AI112" s="87">
        <v>2.287482</v>
      </c>
      <c r="AJ112" s="87">
        <v>2.32081</v>
      </c>
      <c r="AK112" s="87">
        <v>2.214185</v>
      </c>
      <c r="AL112" s="88" t="s">
        <v>1396</v>
      </c>
    </row>
    <row r="113">
      <c r="A113" s="84" t="s">
        <v>1555</v>
      </c>
      <c r="B113" s="84" t="s">
        <v>1556</v>
      </c>
      <c r="C113" s="84" t="s">
        <v>795</v>
      </c>
      <c r="D113" s="84" t="s">
        <v>1552</v>
      </c>
      <c r="E113" s="84" t="s">
        <v>1413</v>
      </c>
      <c r="F113" s="87">
        <v>2.0</v>
      </c>
      <c r="G113" s="87">
        <v>0.0</v>
      </c>
      <c r="H113" s="87">
        <v>213.0</v>
      </c>
      <c r="I113" s="87">
        <v>0.0</v>
      </c>
      <c r="J113" s="87">
        <v>12.56869</v>
      </c>
      <c r="K113" s="87">
        <v>17.12851</v>
      </c>
      <c r="L113" s="87">
        <v>13.35658</v>
      </c>
      <c r="M113" s="87">
        <v>10.54206</v>
      </c>
      <c r="N113" s="87">
        <v>0.615469</v>
      </c>
      <c r="O113" s="87">
        <v>6.586443</v>
      </c>
      <c r="P113" s="87">
        <v>6.586443</v>
      </c>
      <c r="Q113" s="87">
        <v>6.586443</v>
      </c>
      <c r="R113" s="87">
        <v>10.54206</v>
      </c>
      <c r="S113" s="87">
        <v>10.54206</v>
      </c>
      <c r="T113" s="87">
        <v>6.586443</v>
      </c>
      <c r="U113" s="87">
        <v>6.586443</v>
      </c>
      <c r="V113" s="87">
        <v>6.586443</v>
      </c>
      <c r="W113" s="87">
        <v>10.54206</v>
      </c>
      <c r="X113" s="87">
        <v>10.54206</v>
      </c>
      <c r="Y113" s="87">
        <v>8.564253</v>
      </c>
      <c r="Z113" s="87">
        <v>0.0</v>
      </c>
      <c r="AA113" s="87">
        <v>5.092593</v>
      </c>
      <c r="AB113" s="87">
        <v>2.870349</v>
      </c>
      <c r="AC113" s="87">
        <v>5.235074</v>
      </c>
      <c r="AD113" s="87">
        <v>0.78254</v>
      </c>
      <c r="AE113" s="87">
        <v>1.372559</v>
      </c>
      <c r="AF113" s="87">
        <v>2.654174</v>
      </c>
      <c r="AG113" s="87">
        <v>2.350951</v>
      </c>
      <c r="AH113" s="87">
        <v>0.0</v>
      </c>
      <c r="AI113" s="87">
        <v>2.287482</v>
      </c>
      <c r="AJ113" s="87">
        <v>2.32081</v>
      </c>
      <c r="AK113" s="87">
        <v>2.214185</v>
      </c>
      <c r="AL113" s="88" t="s">
        <v>1396</v>
      </c>
    </row>
    <row r="114">
      <c r="A114" s="84" t="s">
        <v>1557</v>
      </c>
      <c r="B114" s="84" t="s">
        <v>1558</v>
      </c>
      <c r="C114" s="84" t="s">
        <v>795</v>
      </c>
      <c r="D114" s="84" t="s">
        <v>1552</v>
      </c>
      <c r="E114" s="84" t="s">
        <v>1398</v>
      </c>
      <c r="F114" s="87">
        <v>1.0</v>
      </c>
      <c r="G114" s="87">
        <v>0.0</v>
      </c>
      <c r="H114" s="87">
        <v>107.0</v>
      </c>
      <c r="I114" s="87">
        <v>0.0</v>
      </c>
      <c r="J114" s="87">
        <v>0.414286</v>
      </c>
      <c r="K114" s="87">
        <v>3.916071</v>
      </c>
      <c r="L114" s="87">
        <v>1.779865</v>
      </c>
      <c r="M114" s="87">
        <v>3.916071</v>
      </c>
      <c r="N114" s="87">
        <v>1.0</v>
      </c>
      <c r="O114" s="87">
        <v>3.916071</v>
      </c>
      <c r="P114" s="87">
        <v>3.916071</v>
      </c>
      <c r="Q114" s="87">
        <v>3.916071</v>
      </c>
      <c r="R114" s="87">
        <v>3.916071</v>
      </c>
      <c r="S114" s="87">
        <v>3.916071</v>
      </c>
      <c r="T114" s="87">
        <v>3.916071</v>
      </c>
      <c r="U114" s="87">
        <v>3.916071</v>
      </c>
      <c r="V114" s="87">
        <v>3.916071</v>
      </c>
      <c r="W114" s="87">
        <v>3.916071</v>
      </c>
      <c r="X114" s="87">
        <v>3.916071</v>
      </c>
      <c r="Y114" s="87">
        <v>3.916071</v>
      </c>
      <c r="Z114" s="87">
        <v>0.0</v>
      </c>
      <c r="AA114" s="87">
        <v>5.092593</v>
      </c>
      <c r="AB114" s="87">
        <v>2.870349</v>
      </c>
      <c r="AC114" s="87">
        <v>5.235074</v>
      </c>
      <c r="AD114" s="87">
        <v>0.524066</v>
      </c>
      <c r="AE114" s="87">
        <v>0.710909</v>
      </c>
      <c r="AF114" s="87">
        <v>1.46247</v>
      </c>
      <c r="AG114" s="87">
        <v>1.140152</v>
      </c>
      <c r="AH114" s="87">
        <v>0.0</v>
      </c>
      <c r="AI114" s="87">
        <v>2.287482</v>
      </c>
      <c r="AJ114" s="87">
        <v>2.32081</v>
      </c>
      <c r="AK114" s="87">
        <v>2.214185</v>
      </c>
      <c r="AL114" s="88" t="s">
        <v>1396</v>
      </c>
    </row>
    <row r="115">
      <c r="A115" s="84" t="s">
        <v>1559</v>
      </c>
      <c r="B115" s="84" t="s">
        <v>1560</v>
      </c>
      <c r="C115" s="84" t="s">
        <v>795</v>
      </c>
      <c r="D115" s="84" t="s">
        <v>1552</v>
      </c>
      <c r="E115" s="89">
        <v>46300.0</v>
      </c>
      <c r="F115" s="87">
        <v>7.0</v>
      </c>
      <c r="G115" s="87">
        <v>0.0</v>
      </c>
      <c r="H115" s="87">
        <v>2680.0</v>
      </c>
      <c r="I115" s="87">
        <v>0.0</v>
      </c>
      <c r="J115" s="87">
        <v>29.52031</v>
      </c>
      <c r="K115" s="87">
        <v>33.46745</v>
      </c>
      <c r="L115" s="87">
        <v>36.49511</v>
      </c>
      <c r="M115" s="87">
        <v>27.67794</v>
      </c>
      <c r="N115" s="87">
        <v>0.827011</v>
      </c>
      <c r="O115" s="87">
        <v>0.0</v>
      </c>
      <c r="P115" s="87">
        <v>0.773579</v>
      </c>
      <c r="Q115" s="87">
        <v>0.89561</v>
      </c>
      <c r="R115" s="87">
        <v>1.850075</v>
      </c>
      <c r="S115" s="87">
        <v>2.270245</v>
      </c>
      <c r="T115" s="87">
        <v>0.773579</v>
      </c>
      <c r="U115" s="87">
        <v>0.89561</v>
      </c>
      <c r="V115" s="87">
        <v>0.89561</v>
      </c>
      <c r="W115" s="87">
        <v>2.270245</v>
      </c>
      <c r="X115" s="87">
        <v>8.987626</v>
      </c>
      <c r="Y115" s="87">
        <v>4.781065</v>
      </c>
      <c r="Z115" s="87">
        <v>0.0</v>
      </c>
      <c r="AA115" s="87">
        <v>5.092593</v>
      </c>
      <c r="AB115" s="87">
        <v>2.870349</v>
      </c>
      <c r="AC115" s="87">
        <v>5.235074</v>
      </c>
      <c r="AD115" s="87">
        <v>2.38514</v>
      </c>
      <c r="AE115" s="87">
        <v>3.188342</v>
      </c>
      <c r="AF115" s="87">
        <v>8.263127</v>
      </c>
      <c r="AG115" s="87">
        <v>7.480711</v>
      </c>
      <c r="AH115" s="87">
        <v>0.0</v>
      </c>
      <c r="AI115" s="87">
        <v>2.287482</v>
      </c>
      <c r="AJ115" s="87">
        <v>2.32081</v>
      </c>
      <c r="AK115" s="87">
        <v>2.214185</v>
      </c>
      <c r="AL115" s="88" t="s">
        <v>1396</v>
      </c>
    </row>
    <row r="116">
      <c r="A116" s="84" t="s">
        <v>1561</v>
      </c>
      <c r="B116" s="84" t="s">
        <v>1562</v>
      </c>
      <c r="C116" s="84" t="s">
        <v>795</v>
      </c>
      <c r="D116" s="84" t="s">
        <v>1552</v>
      </c>
      <c r="E116" s="84" t="s">
        <v>1403</v>
      </c>
      <c r="F116" s="87">
        <v>24.0</v>
      </c>
      <c r="G116" s="87">
        <v>2.0</v>
      </c>
      <c r="H116" s="87">
        <v>138.0</v>
      </c>
      <c r="I116" s="87">
        <v>138.0</v>
      </c>
      <c r="J116" s="87">
        <v>0.0</v>
      </c>
      <c r="K116" s="87">
        <v>0.0</v>
      </c>
      <c r="L116" s="87">
        <v>0.0</v>
      </c>
      <c r="M116" s="87">
        <v>0.0</v>
      </c>
      <c r="N116" s="87">
        <v>0.0</v>
      </c>
      <c r="O116" s="87">
        <v>0.0</v>
      </c>
      <c r="P116" s="87">
        <v>0.0</v>
      </c>
      <c r="Q116" s="87">
        <v>0.0</v>
      </c>
      <c r="R116" s="87">
        <v>0.0</v>
      </c>
      <c r="S116" s="87">
        <v>0.0</v>
      </c>
      <c r="T116" s="87">
        <v>0.0</v>
      </c>
      <c r="U116" s="87">
        <v>0.0</v>
      </c>
      <c r="V116" s="87">
        <v>0.0</v>
      </c>
      <c r="W116" s="87">
        <v>0.0</v>
      </c>
      <c r="X116" s="87">
        <v>0.0</v>
      </c>
      <c r="Y116" s="87">
        <v>0.0</v>
      </c>
      <c r="Z116" s="87">
        <v>0.0</v>
      </c>
      <c r="AA116" s="87">
        <v>5.092593</v>
      </c>
      <c r="AB116" s="87">
        <v>2.870349</v>
      </c>
      <c r="AC116" s="87">
        <v>5.235074</v>
      </c>
      <c r="AD116" s="87">
        <v>0.0</v>
      </c>
      <c r="AE116" s="87">
        <v>0.0</v>
      </c>
      <c r="AF116" s="87">
        <v>0.0</v>
      </c>
      <c r="AG116" s="87">
        <v>0.0</v>
      </c>
      <c r="AH116" s="87">
        <v>0.0</v>
      </c>
      <c r="AI116" s="87">
        <v>2.287482</v>
      </c>
      <c r="AJ116" s="87">
        <v>2.32081</v>
      </c>
      <c r="AK116" s="87">
        <v>2.214185</v>
      </c>
      <c r="AL116" s="88" t="s">
        <v>1396</v>
      </c>
    </row>
    <row r="117">
      <c r="A117" s="84" t="s">
        <v>1550</v>
      </c>
      <c r="B117" s="84" t="s">
        <v>1563</v>
      </c>
      <c r="C117" s="84" t="s">
        <v>795</v>
      </c>
      <c r="D117" s="84" t="s">
        <v>796</v>
      </c>
      <c r="E117" s="84" t="s">
        <v>1426</v>
      </c>
      <c r="F117" s="87">
        <v>14.0</v>
      </c>
      <c r="G117" s="87">
        <v>0.0</v>
      </c>
      <c r="H117" s="87">
        <v>96.0</v>
      </c>
      <c r="I117" s="87">
        <v>0.0</v>
      </c>
      <c r="J117" s="87">
        <v>6.580372</v>
      </c>
      <c r="K117" s="87">
        <v>14.09347</v>
      </c>
      <c r="L117" s="87">
        <v>15.32427</v>
      </c>
      <c r="M117" s="87">
        <v>14.09347</v>
      </c>
      <c r="N117" s="87">
        <v>1.0</v>
      </c>
      <c r="O117" s="87">
        <v>0.0</v>
      </c>
      <c r="P117" s="87">
        <v>0.0</v>
      </c>
      <c r="Q117" s="87">
        <v>0.0</v>
      </c>
      <c r="R117" s="87">
        <v>0.0</v>
      </c>
      <c r="S117" s="87">
        <v>0.0</v>
      </c>
      <c r="T117" s="87">
        <v>0.066667</v>
      </c>
      <c r="U117" s="87">
        <v>0.066667</v>
      </c>
      <c r="V117" s="87">
        <v>0.066667</v>
      </c>
      <c r="W117" s="87">
        <v>5.929953</v>
      </c>
      <c r="X117" s="87">
        <v>8.096854</v>
      </c>
      <c r="Y117" s="87">
        <v>1.006677</v>
      </c>
      <c r="Z117" s="87">
        <v>0.0</v>
      </c>
      <c r="AA117" s="87">
        <v>1.026984</v>
      </c>
      <c r="AB117" s="87">
        <v>1.719213</v>
      </c>
      <c r="AC117" s="87">
        <v>1.042299</v>
      </c>
      <c r="AD117" s="87">
        <v>1.240724</v>
      </c>
      <c r="AE117" s="87">
        <v>5.092593</v>
      </c>
      <c r="AF117" s="87">
        <v>5.555719</v>
      </c>
      <c r="AG117" s="87">
        <v>5.7006</v>
      </c>
      <c r="AH117" s="87">
        <v>0.0</v>
      </c>
      <c r="AI117" s="87">
        <v>2.287482</v>
      </c>
      <c r="AJ117" s="87">
        <v>2.32081</v>
      </c>
      <c r="AK117" s="87">
        <v>2.214185</v>
      </c>
      <c r="AL117" s="88" t="s">
        <v>1396</v>
      </c>
    </row>
    <row r="118">
      <c r="A118" s="84" t="s">
        <v>1553</v>
      </c>
      <c r="B118" s="84" t="s">
        <v>1564</v>
      </c>
      <c r="C118" s="84" t="s">
        <v>795</v>
      </c>
      <c r="D118" s="84" t="s">
        <v>796</v>
      </c>
      <c r="E118" s="86">
        <v>46310.0</v>
      </c>
      <c r="F118" s="87">
        <v>17.0</v>
      </c>
      <c r="G118" s="87">
        <v>0.0</v>
      </c>
      <c r="H118" s="87">
        <v>2451.0</v>
      </c>
      <c r="I118" s="87">
        <v>0.0</v>
      </c>
      <c r="J118" s="87">
        <v>18.08885</v>
      </c>
      <c r="K118" s="87">
        <v>26.30332</v>
      </c>
      <c r="L118" s="87">
        <v>26.47959</v>
      </c>
      <c r="M118" s="87">
        <v>18.1482</v>
      </c>
      <c r="N118" s="87">
        <v>0.689958</v>
      </c>
      <c r="O118" s="87">
        <v>0.0</v>
      </c>
      <c r="P118" s="87">
        <v>0.0</v>
      </c>
      <c r="Q118" s="87">
        <v>0.186667</v>
      </c>
      <c r="R118" s="87">
        <v>0.548918</v>
      </c>
      <c r="S118" s="87">
        <v>1.910668</v>
      </c>
      <c r="T118" s="87">
        <v>0.388889</v>
      </c>
      <c r="U118" s="87">
        <v>0.466301</v>
      </c>
      <c r="V118" s="87">
        <v>0.548918</v>
      </c>
      <c r="W118" s="87">
        <v>1.910668</v>
      </c>
      <c r="X118" s="87">
        <v>3.051405</v>
      </c>
      <c r="Y118" s="87">
        <v>1.547254</v>
      </c>
      <c r="Z118" s="87">
        <v>0.0</v>
      </c>
      <c r="AA118" s="87">
        <v>1.026984</v>
      </c>
      <c r="AB118" s="87">
        <v>1.719213</v>
      </c>
      <c r="AC118" s="87">
        <v>1.042299</v>
      </c>
      <c r="AD118" s="87">
        <v>1.026282</v>
      </c>
      <c r="AE118" s="87">
        <v>2.666147</v>
      </c>
      <c r="AF118" s="87">
        <v>3.608131</v>
      </c>
      <c r="AG118" s="87">
        <v>4.445943</v>
      </c>
      <c r="AH118" s="87">
        <v>0.0</v>
      </c>
      <c r="AI118" s="87">
        <v>2.287482</v>
      </c>
      <c r="AJ118" s="87">
        <v>2.32081</v>
      </c>
      <c r="AK118" s="87">
        <v>2.214185</v>
      </c>
      <c r="AL118" s="88" t="s">
        <v>1396</v>
      </c>
    </row>
    <row r="119">
      <c r="A119" s="84" t="s">
        <v>1555</v>
      </c>
      <c r="B119" s="84" t="s">
        <v>1565</v>
      </c>
      <c r="C119" s="84" t="s">
        <v>795</v>
      </c>
      <c r="D119" s="84" t="s">
        <v>796</v>
      </c>
      <c r="E119" s="84" t="s">
        <v>1413</v>
      </c>
      <c r="F119" s="87">
        <v>20.0</v>
      </c>
      <c r="G119" s="87">
        <v>0.0</v>
      </c>
      <c r="H119" s="87">
        <v>4785.0</v>
      </c>
      <c r="I119" s="87">
        <v>0.0</v>
      </c>
      <c r="J119" s="87">
        <v>44.75529</v>
      </c>
      <c r="K119" s="87">
        <v>54.12733</v>
      </c>
      <c r="L119" s="87">
        <v>54.42862</v>
      </c>
      <c r="M119" s="87">
        <v>42.04822</v>
      </c>
      <c r="N119" s="87">
        <v>0.776839</v>
      </c>
      <c r="O119" s="87">
        <v>0.0</v>
      </c>
      <c r="P119" s="87">
        <v>0.0</v>
      </c>
      <c r="Q119" s="87">
        <v>0.291667</v>
      </c>
      <c r="R119" s="87">
        <v>0.635444</v>
      </c>
      <c r="S119" s="87">
        <v>2.50316</v>
      </c>
      <c r="T119" s="87">
        <v>0.291667</v>
      </c>
      <c r="U119" s="87">
        <v>0.449078</v>
      </c>
      <c r="V119" s="87">
        <v>0.600148</v>
      </c>
      <c r="W119" s="87">
        <v>1.026984</v>
      </c>
      <c r="X119" s="87">
        <v>2.988329</v>
      </c>
      <c r="Y119" s="87">
        <v>2.706367</v>
      </c>
      <c r="Z119" s="87">
        <v>0.0</v>
      </c>
      <c r="AA119" s="87">
        <v>1.026984</v>
      </c>
      <c r="AB119" s="87">
        <v>1.719213</v>
      </c>
      <c r="AC119" s="87">
        <v>1.042299</v>
      </c>
      <c r="AD119" s="87">
        <v>0.78254</v>
      </c>
      <c r="AE119" s="87">
        <v>1.372559</v>
      </c>
      <c r="AF119" s="87">
        <v>2.654174</v>
      </c>
      <c r="AG119" s="87">
        <v>2.350951</v>
      </c>
      <c r="AH119" s="87">
        <v>0.0</v>
      </c>
      <c r="AI119" s="87">
        <v>2.287482</v>
      </c>
      <c r="AJ119" s="87">
        <v>2.32081</v>
      </c>
      <c r="AK119" s="87">
        <v>2.214185</v>
      </c>
      <c r="AL119" s="88" t="s">
        <v>1396</v>
      </c>
    </row>
    <row r="120">
      <c r="A120" s="84" t="s">
        <v>1557</v>
      </c>
      <c r="B120" s="84" t="s">
        <v>1566</v>
      </c>
      <c r="C120" s="84" t="s">
        <v>795</v>
      </c>
      <c r="D120" s="84" t="s">
        <v>796</v>
      </c>
      <c r="E120" s="84" t="s">
        <v>1398</v>
      </c>
      <c r="F120" s="87">
        <v>8.0</v>
      </c>
      <c r="G120" s="87">
        <v>0.0</v>
      </c>
      <c r="H120" s="87">
        <v>471.0</v>
      </c>
      <c r="I120" s="87">
        <v>0.0</v>
      </c>
      <c r="J120" s="87">
        <v>2.630048</v>
      </c>
      <c r="K120" s="87">
        <v>8.338393</v>
      </c>
      <c r="L120" s="87">
        <v>8.454059</v>
      </c>
      <c r="M120" s="87">
        <v>7.353454</v>
      </c>
      <c r="N120" s="87">
        <v>0.881879</v>
      </c>
      <c r="O120" s="87">
        <v>0.0</v>
      </c>
      <c r="P120" s="87">
        <v>0.0</v>
      </c>
      <c r="Q120" s="87">
        <v>0.0</v>
      </c>
      <c r="R120" s="87">
        <v>0.366667</v>
      </c>
      <c r="S120" s="87">
        <v>0.438335</v>
      </c>
      <c r="T120" s="87">
        <v>0.179937</v>
      </c>
      <c r="U120" s="87">
        <v>0.366667</v>
      </c>
      <c r="V120" s="87">
        <v>0.366667</v>
      </c>
      <c r="W120" s="87">
        <v>0.438335</v>
      </c>
      <c r="X120" s="87">
        <v>3.379095</v>
      </c>
      <c r="Y120" s="87">
        <v>1.042299</v>
      </c>
      <c r="Z120" s="87">
        <v>0.0</v>
      </c>
      <c r="AA120" s="87">
        <v>1.026984</v>
      </c>
      <c r="AB120" s="87">
        <v>1.719213</v>
      </c>
      <c r="AC120" s="87">
        <v>1.042299</v>
      </c>
      <c r="AD120" s="87">
        <v>0.524066</v>
      </c>
      <c r="AE120" s="87">
        <v>0.710909</v>
      </c>
      <c r="AF120" s="87">
        <v>1.46247</v>
      </c>
      <c r="AG120" s="87">
        <v>1.140152</v>
      </c>
      <c r="AH120" s="87">
        <v>0.0</v>
      </c>
      <c r="AI120" s="87">
        <v>2.287482</v>
      </c>
      <c r="AJ120" s="87">
        <v>2.32081</v>
      </c>
      <c r="AK120" s="87">
        <v>2.214185</v>
      </c>
      <c r="AL120" s="88" t="s">
        <v>1396</v>
      </c>
    </row>
    <row r="121">
      <c r="A121" s="84" t="s">
        <v>1567</v>
      </c>
      <c r="B121" s="84" t="s">
        <v>1568</v>
      </c>
      <c r="C121" s="84" t="s">
        <v>795</v>
      </c>
      <c r="D121" s="84" t="s">
        <v>796</v>
      </c>
      <c r="E121" s="84" t="s">
        <v>1400</v>
      </c>
      <c r="F121" s="87">
        <v>10.0</v>
      </c>
      <c r="G121" s="87">
        <v>0.0</v>
      </c>
      <c r="H121" s="87">
        <v>949.0</v>
      </c>
      <c r="I121" s="87">
        <v>0.0</v>
      </c>
      <c r="J121" s="87">
        <v>5.951873</v>
      </c>
      <c r="K121" s="87">
        <v>6.706126</v>
      </c>
      <c r="L121" s="87">
        <v>6.471217</v>
      </c>
      <c r="M121" s="87">
        <v>3.878524</v>
      </c>
      <c r="N121" s="87">
        <v>0.578355</v>
      </c>
      <c r="O121" s="87">
        <v>0.033333</v>
      </c>
      <c r="P121" s="87">
        <v>0.088933</v>
      </c>
      <c r="Q121" s="87">
        <v>0.105128</v>
      </c>
      <c r="R121" s="87">
        <v>0.366667</v>
      </c>
      <c r="S121" s="87">
        <v>1.245869</v>
      </c>
      <c r="T121" s="87">
        <v>0.033333</v>
      </c>
      <c r="U121" s="87">
        <v>0.088933</v>
      </c>
      <c r="V121" s="87">
        <v>0.105128</v>
      </c>
      <c r="W121" s="87">
        <v>0.366667</v>
      </c>
      <c r="X121" s="87">
        <v>1.245869</v>
      </c>
      <c r="Y121" s="87">
        <v>0.670613</v>
      </c>
      <c r="Z121" s="87">
        <v>0.0</v>
      </c>
      <c r="AA121" s="87">
        <v>1.026984</v>
      </c>
      <c r="AB121" s="87">
        <v>1.719213</v>
      </c>
      <c r="AC121" s="87">
        <v>1.042299</v>
      </c>
      <c r="AD121" s="87">
        <v>0.717976</v>
      </c>
      <c r="AE121" s="87">
        <v>0.896774</v>
      </c>
      <c r="AF121" s="87">
        <v>1.796268</v>
      </c>
      <c r="AG121" s="87">
        <v>3.011085</v>
      </c>
      <c r="AH121" s="87">
        <v>0.0</v>
      </c>
      <c r="AI121" s="87">
        <v>2.287482</v>
      </c>
      <c r="AJ121" s="87">
        <v>2.32081</v>
      </c>
      <c r="AK121" s="87">
        <v>2.214185</v>
      </c>
      <c r="AL121" s="88" t="s">
        <v>1396</v>
      </c>
    </row>
    <row r="122">
      <c r="A122" s="84" t="s">
        <v>1559</v>
      </c>
      <c r="B122" s="84" t="s">
        <v>1569</v>
      </c>
      <c r="C122" s="84" t="s">
        <v>795</v>
      </c>
      <c r="D122" s="84" t="s">
        <v>796</v>
      </c>
      <c r="E122" s="89">
        <v>46300.0</v>
      </c>
      <c r="F122" s="87">
        <v>15.0</v>
      </c>
      <c r="G122" s="87">
        <v>0.0</v>
      </c>
      <c r="H122" s="87">
        <v>4425.0</v>
      </c>
      <c r="I122" s="87">
        <v>0.0</v>
      </c>
      <c r="J122" s="87">
        <v>181.2823</v>
      </c>
      <c r="K122" s="87">
        <v>194.7321</v>
      </c>
      <c r="L122" s="87">
        <v>207.9409</v>
      </c>
      <c r="M122" s="87">
        <v>171.4515</v>
      </c>
      <c r="N122" s="87">
        <v>0.880448</v>
      </c>
      <c r="O122" s="87">
        <v>0.0</v>
      </c>
      <c r="P122" s="87">
        <v>0.0</v>
      </c>
      <c r="Q122" s="87">
        <v>0.0</v>
      </c>
      <c r="R122" s="87">
        <v>0.584524</v>
      </c>
      <c r="S122" s="87">
        <v>2.781148</v>
      </c>
      <c r="T122" s="87">
        <v>0.174074</v>
      </c>
      <c r="U122" s="87">
        <v>0.584524</v>
      </c>
      <c r="V122" s="87">
        <v>1.0</v>
      </c>
      <c r="W122" s="87">
        <v>2.781148</v>
      </c>
      <c r="X122" s="87">
        <v>23.76869</v>
      </c>
      <c r="Y122" s="87">
        <v>12.98214</v>
      </c>
      <c r="Z122" s="87">
        <v>0.0</v>
      </c>
      <c r="AA122" s="87">
        <v>1.026984</v>
      </c>
      <c r="AB122" s="87">
        <v>1.719213</v>
      </c>
      <c r="AC122" s="87">
        <v>1.042299</v>
      </c>
      <c r="AD122" s="87">
        <v>2.38514</v>
      </c>
      <c r="AE122" s="87">
        <v>3.188342</v>
      </c>
      <c r="AF122" s="87">
        <v>8.263127</v>
      </c>
      <c r="AG122" s="87">
        <v>7.480711</v>
      </c>
      <c r="AH122" s="87">
        <v>0.0</v>
      </c>
      <c r="AI122" s="87">
        <v>2.287482</v>
      </c>
      <c r="AJ122" s="87">
        <v>2.32081</v>
      </c>
      <c r="AK122" s="87">
        <v>2.214185</v>
      </c>
      <c r="AL122" s="88" t="s">
        <v>1396</v>
      </c>
    </row>
    <row r="123">
      <c r="A123" s="84" t="s">
        <v>1561</v>
      </c>
      <c r="B123" s="84" t="s">
        <v>1570</v>
      </c>
      <c r="C123" s="84" t="s">
        <v>795</v>
      </c>
      <c r="D123" s="84" t="s">
        <v>796</v>
      </c>
      <c r="E123" s="84" t="s">
        <v>1403</v>
      </c>
      <c r="F123" s="87">
        <v>93.0</v>
      </c>
      <c r="G123" s="87">
        <v>6.0</v>
      </c>
      <c r="H123" s="87">
        <v>261.0</v>
      </c>
      <c r="I123" s="87">
        <v>261.0</v>
      </c>
      <c r="J123" s="87">
        <v>0.0</v>
      </c>
      <c r="K123" s="87">
        <v>0.0</v>
      </c>
      <c r="L123" s="87">
        <v>0.0</v>
      </c>
      <c r="M123" s="87">
        <v>0.0</v>
      </c>
      <c r="N123" s="87">
        <v>0.0</v>
      </c>
      <c r="O123" s="87">
        <v>0.0</v>
      </c>
      <c r="P123" s="87">
        <v>0.0</v>
      </c>
      <c r="Q123" s="87">
        <v>0.0</v>
      </c>
      <c r="R123" s="87">
        <v>0.0</v>
      </c>
      <c r="S123" s="87">
        <v>0.0</v>
      </c>
      <c r="T123" s="87">
        <v>0.0</v>
      </c>
      <c r="U123" s="87">
        <v>0.0</v>
      </c>
      <c r="V123" s="87">
        <v>0.0</v>
      </c>
      <c r="W123" s="87">
        <v>0.0</v>
      </c>
      <c r="X123" s="87">
        <v>0.0</v>
      </c>
      <c r="Y123" s="87">
        <v>0.0</v>
      </c>
      <c r="Z123" s="87">
        <v>0.0</v>
      </c>
      <c r="AA123" s="87">
        <v>1.026984</v>
      </c>
      <c r="AB123" s="87">
        <v>1.719213</v>
      </c>
      <c r="AC123" s="87">
        <v>1.042299</v>
      </c>
      <c r="AD123" s="87">
        <v>0.0</v>
      </c>
      <c r="AE123" s="87">
        <v>0.0</v>
      </c>
      <c r="AF123" s="87">
        <v>0.0</v>
      </c>
      <c r="AG123" s="87">
        <v>0.0</v>
      </c>
      <c r="AH123" s="87">
        <v>0.0</v>
      </c>
      <c r="AI123" s="87">
        <v>2.287482</v>
      </c>
      <c r="AJ123" s="87">
        <v>2.32081</v>
      </c>
      <c r="AK123" s="87">
        <v>2.214185</v>
      </c>
      <c r="AL123" s="88" t="s">
        <v>1396</v>
      </c>
    </row>
    <row r="124">
      <c r="A124" s="84" t="s">
        <v>1561</v>
      </c>
      <c r="B124" s="84" t="s">
        <v>1571</v>
      </c>
      <c r="C124" s="84" t="s">
        <v>795</v>
      </c>
      <c r="D124" s="84" t="s">
        <v>1572</v>
      </c>
      <c r="E124" s="84" t="s">
        <v>1403</v>
      </c>
      <c r="F124" s="87">
        <v>1.0</v>
      </c>
      <c r="G124" s="87">
        <v>0.0</v>
      </c>
      <c r="H124" s="87">
        <v>0.0</v>
      </c>
      <c r="I124" s="87">
        <v>0.0</v>
      </c>
      <c r="J124" s="87">
        <v>0.0</v>
      </c>
      <c r="K124" s="87">
        <v>0.0</v>
      </c>
      <c r="L124" s="87">
        <v>0.0</v>
      </c>
      <c r="M124" s="87">
        <v>0.0</v>
      </c>
      <c r="N124" s="87">
        <v>0.0</v>
      </c>
      <c r="O124" s="87">
        <v>0.0</v>
      </c>
      <c r="P124" s="87">
        <v>0.0</v>
      </c>
      <c r="Q124" s="87">
        <v>0.0</v>
      </c>
      <c r="R124" s="87">
        <v>0.0</v>
      </c>
      <c r="S124" s="87">
        <v>0.0</v>
      </c>
      <c r="T124" s="87">
        <v>0.0</v>
      </c>
      <c r="U124" s="87">
        <v>0.0</v>
      </c>
      <c r="V124" s="87">
        <v>0.0</v>
      </c>
      <c r="W124" s="87">
        <v>0.0</v>
      </c>
      <c r="X124" s="87">
        <v>0.0</v>
      </c>
      <c r="Y124" s="87">
        <v>0.0</v>
      </c>
      <c r="Z124" s="87">
        <v>0.0</v>
      </c>
      <c r="AA124" s="87">
        <v>0.0</v>
      </c>
      <c r="AB124" s="87">
        <v>0.0</v>
      </c>
      <c r="AC124" s="87">
        <v>0.0</v>
      </c>
      <c r="AD124" s="87">
        <v>0.0</v>
      </c>
      <c r="AE124" s="87">
        <v>0.0</v>
      </c>
      <c r="AF124" s="87">
        <v>0.0</v>
      </c>
      <c r="AG124" s="87">
        <v>0.0</v>
      </c>
      <c r="AH124" s="87">
        <v>0.0</v>
      </c>
      <c r="AI124" s="87">
        <v>2.287482</v>
      </c>
      <c r="AJ124" s="87">
        <v>2.32081</v>
      </c>
      <c r="AK124" s="87">
        <v>2.214185</v>
      </c>
      <c r="AL124" s="88" t="s">
        <v>1396</v>
      </c>
    </row>
    <row r="125">
      <c r="A125" s="84" t="s">
        <v>1550</v>
      </c>
      <c r="B125" s="84" t="s">
        <v>1573</v>
      </c>
      <c r="C125" s="84" t="s">
        <v>795</v>
      </c>
      <c r="D125" s="84" t="s">
        <v>805</v>
      </c>
      <c r="E125" s="84" t="s">
        <v>1426</v>
      </c>
      <c r="F125" s="87">
        <v>8.0</v>
      </c>
      <c r="G125" s="87">
        <v>0.0</v>
      </c>
      <c r="H125" s="87">
        <v>1709.0</v>
      </c>
      <c r="I125" s="87">
        <v>0.0</v>
      </c>
      <c r="J125" s="87">
        <v>11.34353</v>
      </c>
      <c r="K125" s="87">
        <v>15.00802</v>
      </c>
      <c r="L125" s="87">
        <v>19.7113</v>
      </c>
      <c r="M125" s="87">
        <v>8.721174</v>
      </c>
      <c r="N125" s="87">
        <v>0.581101</v>
      </c>
      <c r="O125" s="87">
        <v>0.0</v>
      </c>
      <c r="P125" s="87">
        <v>0.0</v>
      </c>
      <c r="Q125" s="87">
        <v>0.0</v>
      </c>
      <c r="R125" s="87">
        <v>2.301669</v>
      </c>
      <c r="S125" s="87">
        <v>2.310465</v>
      </c>
      <c r="T125" s="87">
        <v>1.674713</v>
      </c>
      <c r="U125" s="87">
        <v>2.301669</v>
      </c>
      <c r="V125" s="87">
        <v>2.301669</v>
      </c>
      <c r="W125" s="87">
        <v>2.310465</v>
      </c>
      <c r="X125" s="87">
        <v>3.058754</v>
      </c>
      <c r="Y125" s="87">
        <v>1.876003</v>
      </c>
      <c r="Z125" s="87">
        <v>0.0</v>
      </c>
      <c r="AA125" s="87">
        <v>3.058754</v>
      </c>
      <c r="AB125" s="87">
        <v>0.827331</v>
      </c>
      <c r="AC125" s="87">
        <v>1.876003</v>
      </c>
      <c r="AD125" s="87">
        <v>1.240724</v>
      </c>
      <c r="AE125" s="87">
        <v>5.092593</v>
      </c>
      <c r="AF125" s="87">
        <v>5.555719</v>
      </c>
      <c r="AG125" s="87">
        <v>5.7006</v>
      </c>
      <c r="AH125" s="87">
        <v>0.0</v>
      </c>
      <c r="AI125" s="87">
        <v>2.287482</v>
      </c>
      <c r="AJ125" s="87">
        <v>2.32081</v>
      </c>
      <c r="AK125" s="87">
        <v>2.214185</v>
      </c>
      <c r="AL125" s="88" t="s">
        <v>1396</v>
      </c>
    </row>
    <row r="126">
      <c r="A126" s="84" t="s">
        <v>1559</v>
      </c>
      <c r="B126" s="84" t="s">
        <v>1574</v>
      </c>
      <c r="C126" s="84" t="s">
        <v>795</v>
      </c>
      <c r="D126" s="84" t="s">
        <v>805</v>
      </c>
      <c r="E126" s="86">
        <v>46300.0</v>
      </c>
      <c r="F126" s="87">
        <v>1.0</v>
      </c>
      <c r="G126" s="87">
        <v>0.0</v>
      </c>
      <c r="H126" s="87">
        <v>41.0</v>
      </c>
      <c r="I126" s="87">
        <v>0.0</v>
      </c>
      <c r="J126" s="87">
        <v>0.314286</v>
      </c>
      <c r="K126" s="87">
        <v>4.020582</v>
      </c>
      <c r="L126" s="87">
        <v>2.815677</v>
      </c>
      <c r="M126" s="87">
        <v>4.020582</v>
      </c>
      <c r="N126" s="87">
        <v>1.0</v>
      </c>
      <c r="O126" s="87">
        <v>4.020582</v>
      </c>
      <c r="P126" s="87">
        <v>4.020582</v>
      </c>
      <c r="Q126" s="87">
        <v>4.020582</v>
      </c>
      <c r="R126" s="87">
        <v>4.020582</v>
      </c>
      <c r="S126" s="87">
        <v>4.020582</v>
      </c>
      <c r="T126" s="87">
        <v>4.020582</v>
      </c>
      <c r="U126" s="87">
        <v>4.020582</v>
      </c>
      <c r="V126" s="87">
        <v>4.020582</v>
      </c>
      <c r="W126" s="87">
        <v>4.020582</v>
      </c>
      <c r="X126" s="87">
        <v>4.020582</v>
      </c>
      <c r="Y126" s="87">
        <v>4.020582</v>
      </c>
      <c r="Z126" s="87">
        <v>0.0</v>
      </c>
      <c r="AA126" s="87">
        <v>3.058754</v>
      </c>
      <c r="AB126" s="87">
        <v>0.827331</v>
      </c>
      <c r="AC126" s="87">
        <v>1.876003</v>
      </c>
      <c r="AD126" s="87">
        <v>2.38514</v>
      </c>
      <c r="AE126" s="87">
        <v>3.188342</v>
      </c>
      <c r="AF126" s="87">
        <v>8.263127</v>
      </c>
      <c r="AG126" s="87">
        <v>7.480711</v>
      </c>
      <c r="AH126" s="87">
        <v>0.0</v>
      </c>
      <c r="AI126" s="87">
        <v>2.287482</v>
      </c>
      <c r="AJ126" s="87">
        <v>2.32081</v>
      </c>
      <c r="AK126" s="87">
        <v>2.214185</v>
      </c>
      <c r="AL126" s="88" t="s">
        <v>1396</v>
      </c>
    </row>
    <row r="127">
      <c r="A127" s="84" t="s">
        <v>1561</v>
      </c>
      <c r="B127" s="84" t="s">
        <v>1575</v>
      </c>
      <c r="C127" s="84" t="s">
        <v>795</v>
      </c>
      <c r="D127" s="84" t="s">
        <v>805</v>
      </c>
      <c r="E127" s="84" t="s">
        <v>1403</v>
      </c>
      <c r="F127" s="87">
        <v>14.0</v>
      </c>
      <c r="G127" s="87">
        <v>0.0</v>
      </c>
      <c r="H127" s="87">
        <v>0.0</v>
      </c>
      <c r="I127" s="87">
        <v>0.0</v>
      </c>
      <c r="J127" s="87">
        <v>0.0</v>
      </c>
      <c r="K127" s="87">
        <v>0.0</v>
      </c>
      <c r="L127" s="87">
        <v>0.0</v>
      </c>
      <c r="M127" s="87">
        <v>0.0</v>
      </c>
      <c r="N127" s="87">
        <v>0.0</v>
      </c>
      <c r="O127" s="87">
        <v>0.0</v>
      </c>
      <c r="P127" s="87">
        <v>0.0</v>
      </c>
      <c r="Q127" s="87">
        <v>0.0</v>
      </c>
      <c r="R127" s="87">
        <v>0.0</v>
      </c>
      <c r="S127" s="87">
        <v>0.0</v>
      </c>
      <c r="T127" s="87">
        <v>0.0</v>
      </c>
      <c r="U127" s="87">
        <v>0.0</v>
      </c>
      <c r="V127" s="87">
        <v>0.0</v>
      </c>
      <c r="W127" s="87">
        <v>0.0</v>
      </c>
      <c r="X127" s="87">
        <v>0.0</v>
      </c>
      <c r="Y127" s="87">
        <v>0.0</v>
      </c>
      <c r="Z127" s="87">
        <v>0.0</v>
      </c>
      <c r="AA127" s="87">
        <v>3.058754</v>
      </c>
      <c r="AB127" s="87">
        <v>0.827331</v>
      </c>
      <c r="AC127" s="87">
        <v>1.876003</v>
      </c>
      <c r="AD127" s="87">
        <v>0.0</v>
      </c>
      <c r="AE127" s="87">
        <v>0.0</v>
      </c>
      <c r="AF127" s="87">
        <v>0.0</v>
      </c>
      <c r="AG127" s="87">
        <v>0.0</v>
      </c>
      <c r="AH127" s="87">
        <v>0.0</v>
      </c>
      <c r="AI127" s="87">
        <v>2.287482</v>
      </c>
      <c r="AJ127" s="87">
        <v>2.32081</v>
      </c>
      <c r="AK127" s="87">
        <v>2.214185</v>
      </c>
      <c r="AL127" s="88" t="s">
        <v>1396</v>
      </c>
    </row>
    <row r="128">
      <c r="A128" s="84" t="s">
        <v>1550</v>
      </c>
      <c r="B128" s="84" t="s">
        <v>1576</v>
      </c>
      <c r="C128" s="84" t="s">
        <v>795</v>
      </c>
      <c r="D128" s="84" t="s">
        <v>1577</v>
      </c>
      <c r="E128" s="84" t="s">
        <v>1426</v>
      </c>
      <c r="F128" s="87">
        <v>17.0</v>
      </c>
      <c r="G128" s="87">
        <v>0.0</v>
      </c>
      <c r="H128" s="87">
        <v>13977.0</v>
      </c>
      <c r="I128" s="87">
        <v>0.0</v>
      </c>
      <c r="J128" s="87">
        <v>91.73429</v>
      </c>
      <c r="K128" s="87">
        <v>96.91019</v>
      </c>
      <c r="L128" s="87">
        <v>99.80189</v>
      </c>
      <c r="M128" s="87">
        <v>58.19202</v>
      </c>
      <c r="N128" s="87">
        <v>0.600474</v>
      </c>
      <c r="O128" s="87">
        <v>0.0</v>
      </c>
      <c r="P128" s="87">
        <v>1.240724</v>
      </c>
      <c r="Q128" s="87">
        <v>1.77951</v>
      </c>
      <c r="R128" s="87">
        <v>3.197622</v>
      </c>
      <c r="S128" s="87">
        <v>8.144512</v>
      </c>
      <c r="T128" s="87">
        <v>1.240724</v>
      </c>
      <c r="U128" s="87">
        <v>1.77951</v>
      </c>
      <c r="V128" s="87">
        <v>2.280624</v>
      </c>
      <c r="W128" s="87">
        <v>3.200932</v>
      </c>
      <c r="X128" s="87">
        <v>9.234272</v>
      </c>
      <c r="Y128" s="87">
        <v>5.7006</v>
      </c>
      <c r="Z128" s="87">
        <v>0.0</v>
      </c>
      <c r="AA128" s="87">
        <v>2.752121</v>
      </c>
      <c r="AB128" s="87">
        <v>2.98755</v>
      </c>
      <c r="AC128" s="87">
        <v>3.431121</v>
      </c>
      <c r="AD128" s="87">
        <v>1.240724</v>
      </c>
      <c r="AE128" s="87">
        <v>5.092593</v>
      </c>
      <c r="AF128" s="87">
        <v>5.555719</v>
      </c>
      <c r="AG128" s="87">
        <v>5.7006</v>
      </c>
      <c r="AH128" s="87">
        <v>0.0</v>
      </c>
      <c r="AI128" s="87">
        <v>2.287482</v>
      </c>
      <c r="AJ128" s="87">
        <v>2.32081</v>
      </c>
      <c r="AK128" s="87">
        <v>2.214185</v>
      </c>
      <c r="AL128" s="88" t="s">
        <v>1396</v>
      </c>
    </row>
    <row r="129">
      <c r="A129" s="84" t="s">
        <v>1553</v>
      </c>
      <c r="B129" s="84" t="s">
        <v>1578</v>
      </c>
      <c r="C129" s="84" t="s">
        <v>795</v>
      </c>
      <c r="D129" s="84" t="s">
        <v>1577</v>
      </c>
      <c r="E129" s="86">
        <v>46310.0</v>
      </c>
      <c r="F129" s="87">
        <v>17.0</v>
      </c>
      <c r="G129" s="87">
        <v>0.0</v>
      </c>
      <c r="H129" s="87">
        <v>9055.0</v>
      </c>
      <c r="I129" s="87">
        <v>0.0</v>
      </c>
      <c r="J129" s="87">
        <v>79.48375</v>
      </c>
      <c r="K129" s="87">
        <v>86.5114</v>
      </c>
      <c r="L129" s="87">
        <v>89.7516</v>
      </c>
      <c r="M129" s="87">
        <v>64.79784</v>
      </c>
      <c r="N129" s="87">
        <v>0.749009</v>
      </c>
      <c r="O129" s="87">
        <v>0.0</v>
      </c>
      <c r="P129" s="87">
        <v>0.0</v>
      </c>
      <c r="Q129" s="87">
        <v>0.0</v>
      </c>
      <c r="R129" s="87">
        <v>0.795503</v>
      </c>
      <c r="S129" s="87">
        <v>7.554545</v>
      </c>
      <c r="T129" s="87">
        <v>0.432258</v>
      </c>
      <c r="U129" s="87">
        <v>0.795503</v>
      </c>
      <c r="V129" s="87">
        <v>2.471078</v>
      </c>
      <c r="W129" s="87">
        <v>7.554545</v>
      </c>
      <c r="X129" s="87">
        <v>7.903555</v>
      </c>
      <c r="Y129" s="87">
        <v>5.088906</v>
      </c>
      <c r="Z129" s="87">
        <v>0.0</v>
      </c>
      <c r="AA129" s="87">
        <v>2.752121</v>
      </c>
      <c r="AB129" s="87">
        <v>2.98755</v>
      </c>
      <c r="AC129" s="87">
        <v>3.431121</v>
      </c>
      <c r="AD129" s="87">
        <v>1.026282</v>
      </c>
      <c r="AE129" s="87">
        <v>2.666147</v>
      </c>
      <c r="AF129" s="87">
        <v>3.608131</v>
      </c>
      <c r="AG129" s="87">
        <v>4.445943</v>
      </c>
      <c r="AH129" s="87">
        <v>0.0</v>
      </c>
      <c r="AI129" s="87">
        <v>2.287482</v>
      </c>
      <c r="AJ129" s="87">
        <v>2.32081</v>
      </c>
      <c r="AK129" s="87">
        <v>2.214185</v>
      </c>
      <c r="AL129" s="88" t="s">
        <v>1396</v>
      </c>
    </row>
    <row r="130">
      <c r="A130" s="84" t="s">
        <v>1555</v>
      </c>
      <c r="B130" s="84" t="s">
        <v>1579</v>
      </c>
      <c r="C130" s="84" t="s">
        <v>795</v>
      </c>
      <c r="D130" s="84" t="s">
        <v>1577</v>
      </c>
      <c r="E130" s="84" t="s">
        <v>1413</v>
      </c>
      <c r="F130" s="87">
        <v>8.0</v>
      </c>
      <c r="G130" s="87">
        <v>0.0</v>
      </c>
      <c r="H130" s="87">
        <v>1175.0</v>
      </c>
      <c r="I130" s="87">
        <v>0.0</v>
      </c>
      <c r="J130" s="87">
        <v>17.85123</v>
      </c>
      <c r="K130" s="87">
        <v>16.21182</v>
      </c>
      <c r="L130" s="87">
        <v>15.20364</v>
      </c>
      <c r="M130" s="87">
        <v>15.81834</v>
      </c>
      <c r="N130" s="87">
        <v>0.975729</v>
      </c>
      <c r="O130" s="87">
        <v>0.0</v>
      </c>
      <c r="P130" s="87">
        <v>0.0</v>
      </c>
      <c r="Q130" s="87">
        <v>0.0</v>
      </c>
      <c r="R130" s="87">
        <v>0.126812</v>
      </c>
      <c r="S130" s="87">
        <v>0.266667</v>
      </c>
      <c r="T130" s="87">
        <v>0.126812</v>
      </c>
      <c r="U130" s="87">
        <v>0.126812</v>
      </c>
      <c r="V130" s="87">
        <v>0.266667</v>
      </c>
      <c r="W130" s="87">
        <v>3.695489</v>
      </c>
      <c r="X130" s="87">
        <v>3.695489</v>
      </c>
      <c r="Y130" s="87">
        <v>2.026478</v>
      </c>
      <c r="Z130" s="87">
        <v>0.0</v>
      </c>
      <c r="AA130" s="87">
        <v>2.752121</v>
      </c>
      <c r="AB130" s="87">
        <v>2.98755</v>
      </c>
      <c r="AC130" s="87">
        <v>3.431121</v>
      </c>
      <c r="AD130" s="87">
        <v>0.78254</v>
      </c>
      <c r="AE130" s="87">
        <v>1.372559</v>
      </c>
      <c r="AF130" s="87">
        <v>2.654174</v>
      </c>
      <c r="AG130" s="87">
        <v>2.350951</v>
      </c>
      <c r="AH130" s="87">
        <v>0.0</v>
      </c>
      <c r="AI130" s="87">
        <v>2.287482</v>
      </c>
      <c r="AJ130" s="87">
        <v>2.32081</v>
      </c>
      <c r="AK130" s="87">
        <v>2.214185</v>
      </c>
      <c r="AL130" s="88" t="s">
        <v>1396</v>
      </c>
    </row>
    <row r="131">
      <c r="A131" s="84" t="s">
        <v>1557</v>
      </c>
      <c r="B131" s="84" t="s">
        <v>1580</v>
      </c>
      <c r="C131" s="84" t="s">
        <v>795</v>
      </c>
      <c r="D131" s="84" t="s">
        <v>1577</v>
      </c>
      <c r="E131" s="84" t="s">
        <v>1398</v>
      </c>
      <c r="F131" s="87">
        <v>5.0</v>
      </c>
      <c r="G131" s="87">
        <v>0.0</v>
      </c>
      <c r="H131" s="87">
        <v>2257.0</v>
      </c>
      <c r="I131" s="87">
        <v>0.0</v>
      </c>
      <c r="J131" s="87">
        <v>10.61039</v>
      </c>
      <c r="K131" s="87">
        <v>12.06917</v>
      </c>
      <c r="L131" s="87">
        <v>14.12111</v>
      </c>
      <c r="M131" s="87">
        <v>6.8526</v>
      </c>
      <c r="N131" s="87">
        <v>0.567777</v>
      </c>
      <c r="O131" s="87">
        <v>0.0</v>
      </c>
      <c r="P131" s="87">
        <v>0.623924</v>
      </c>
      <c r="Q131" s="87">
        <v>0.623924</v>
      </c>
      <c r="R131" s="87">
        <v>1.840526</v>
      </c>
      <c r="S131" s="87">
        <v>2.752121</v>
      </c>
      <c r="T131" s="87">
        <v>0.623924</v>
      </c>
      <c r="U131" s="87">
        <v>0.623924</v>
      </c>
      <c r="V131" s="87">
        <v>1.840526</v>
      </c>
      <c r="W131" s="87">
        <v>2.752121</v>
      </c>
      <c r="X131" s="87">
        <v>2.752121</v>
      </c>
      <c r="Y131" s="87">
        <v>2.413834</v>
      </c>
      <c r="Z131" s="87">
        <v>0.0</v>
      </c>
      <c r="AA131" s="87">
        <v>2.752121</v>
      </c>
      <c r="AB131" s="87">
        <v>2.98755</v>
      </c>
      <c r="AC131" s="87">
        <v>3.431121</v>
      </c>
      <c r="AD131" s="87">
        <v>0.524066</v>
      </c>
      <c r="AE131" s="87">
        <v>0.710909</v>
      </c>
      <c r="AF131" s="87">
        <v>1.46247</v>
      </c>
      <c r="AG131" s="87">
        <v>1.140152</v>
      </c>
      <c r="AH131" s="87">
        <v>0.0</v>
      </c>
      <c r="AI131" s="87">
        <v>2.287482</v>
      </c>
      <c r="AJ131" s="87">
        <v>2.32081</v>
      </c>
      <c r="AK131" s="87">
        <v>2.214185</v>
      </c>
      <c r="AL131" s="88" t="s">
        <v>1396</v>
      </c>
    </row>
    <row r="132">
      <c r="A132" s="84" t="s">
        <v>1567</v>
      </c>
      <c r="B132" s="84" t="s">
        <v>1581</v>
      </c>
      <c r="C132" s="84" t="s">
        <v>795</v>
      </c>
      <c r="D132" s="84" t="s">
        <v>1577</v>
      </c>
      <c r="E132" s="84" t="s">
        <v>1400</v>
      </c>
      <c r="F132" s="87">
        <v>12.0</v>
      </c>
      <c r="G132" s="87">
        <v>0.0</v>
      </c>
      <c r="H132" s="87">
        <v>6640.0</v>
      </c>
      <c r="I132" s="87">
        <v>0.0</v>
      </c>
      <c r="J132" s="87">
        <v>34.24382</v>
      </c>
      <c r="K132" s="87">
        <v>41.17346</v>
      </c>
      <c r="L132" s="87">
        <v>38.4319</v>
      </c>
      <c r="M132" s="87">
        <v>31.0335</v>
      </c>
      <c r="N132" s="87">
        <v>0.753726</v>
      </c>
      <c r="O132" s="87">
        <v>0.476874</v>
      </c>
      <c r="P132" s="87">
        <v>0.714454</v>
      </c>
      <c r="Q132" s="87">
        <v>0.715693</v>
      </c>
      <c r="R132" s="87">
        <v>1.458037</v>
      </c>
      <c r="S132" s="87">
        <v>2.993575</v>
      </c>
      <c r="T132" s="87">
        <v>0.476874</v>
      </c>
      <c r="U132" s="87">
        <v>0.714454</v>
      </c>
      <c r="V132" s="87">
        <v>0.715693</v>
      </c>
      <c r="W132" s="87">
        <v>1.458037</v>
      </c>
      <c r="X132" s="87">
        <v>2.993575</v>
      </c>
      <c r="Y132" s="87">
        <v>3.431121</v>
      </c>
      <c r="Z132" s="87">
        <v>0.0</v>
      </c>
      <c r="AA132" s="87">
        <v>2.752121</v>
      </c>
      <c r="AB132" s="87">
        <v>2.98755</v>
      </c>
      <c r="AC132" s="87">
        <v>3.431121</v>
      </c>
      <c r="AD132" s="87">
        <v>0.717976</v>
      </c>
      <c r="AE132" s="87">
        <v>0.896774</v>
      </c>
      <c r="AF132" s="87">
        <v>1.796268</v>
      </c>
      <c r="AG132" s="87">
        <v>3.011085</v>
      </c>
      <c r="AH132" s="87">
        <v>0.0</v>
      </c>
      <c r="AI132" s="87">
        <v>2.287482</v>
      </c>
      <c r="AJ132" s="87">
        <v>2.32081</v>
      </c>
      <c r="AK132" s="87">
        <v>2.214185</v>
      </c>
      <c r="AL132" s="88" t="s">
        <v>1396</v>
      </c>
    </row>
    <row r="133">
      <c r="A133" s="84" t="s">
        <v>1559</v>
      </c>
      <c r="B133" s="84" t="s">
        <v>1582</v>
      </c>
      <c r="C133" s="84" t="s">
        <v>795</v>
      </c>
      <c r="D133" s="84" t="s">
        <v>1577</v>
      </c>
      <c r="E133" s="86">
        <v>46300.0</v>
      </c>
      <c r="F133" s="87">
        <v>34.0</v>
      </c>
      <c r="G133" s="87">
        <v>0.0</v>
      </c>
      <c r="H133" s="87">
        <v>22093.0</v>
      </c>
      <c r="I133" s="87">
        <v>0.0</v>
      </c>
      <c r="J133" s="87">
        <v>239.0289</v>
      </c>
      <c r="K133" s="87">
        <v>257.995</v>
      </c>
      <c r="L133" s="87">
        <v>262.2563</v>
      </c>
      <c r="M133" s="87">
        <v>193.8051</v>
      </c>
      <c r="N133" s="87">
        <v>0.751197</v>
      </c>
      <c r="O133" s="87">
        <v>0.0</v>
      </c>
      <c r="P133" s="87">
        <v>0.087121</v>
      </c>
      <c r="Q133" s="87">
        <v>0.97207</v>
      </c>
      <c r="R133" s="87">
        <v>2.392239</v>
      </c>
      <c r="S133" s="87">
        <v>5.622691</v>
      </c>
      <c r="T133" s="87">
        <v>0.406798</v>
      </c>
      <c r="U133" s="87">
        <v>1.559514</v>
      </c>
      <c r="V133" s="87">
        <v>1.997079</v>
      </c>
      <c r="W133" s="87">
        <v>2.829032</v>
      </c>
      <c r="X133" s="87">
        <v>8.457981</v>
      </c>
      <c r="Y133" s="87">
        <v>7.588089</v>
      </c>
      <c r="Z133" s="87">
        <v>0.0</v>
      </c>
      <c r="AA133" s="87">
        <v>2.752121</v>
      </c>
      <c r="AB133" s="87">
        <v>2.98755</v>
      </c>
      <c r="AC133" s="87">
        <v>3.431121</v>
      </c>
      <c r="AD133" s="87">
        <v>2.38514</v>
      </c>
      <c r="AE133" s="87">
        <v>3.188342</v>
      </c>
      <c r="AF133" s="87">
        <v>8.263127</v>
      </c>
      <c r="AG133" s="87">
        <v>7.480711</v>
      </c>
      <c r="AH133" s="87">
        <v>0.0</v>
      </c>
      <c r="AI133" s="87">
        <v>2.287482</v>
      </c>
      <c r="AJ133" s="87">
        <v>2.32081</v>
      </c>
      <c r="AK133" s="87">
        <v>2.214185</v>
      </c>
      <c r="AL133" s="88" t="s">
        <v>1396</v>
      </c>
    </row>
    <row r="134">
      <c r="A134" s="84" t="s">
        <v>1561</v>
      </c>
      <c r="B134" s="84" t="s">
        <v>1583</v>
      </c>
      <c r="C134" s="84" t="s">
        <v>795</v>
      </c>
      <c r="D134" s="84" t="s">
        <v>1577</v>
      </c>
      <c r="E134" s="84" t="s">
        <v>1403</v>
      </c>
      <c r="F134" s="87">
        <v>78.0</v>
      </c>
      <c r="G134" s="87">
        <v>1.0</v>
      </c>
      <c r="H134" s="87">
        <v>3.0</v>
      </c>
      <c r="I134" s="87">
        <v>3.0</v>
      </c>
      <c r="J134" s="87">
        <v>0.0</v>
      </c>
      <c r="K134" s="87">
        <v>0.0</v>
      </c>
      <c r="L134" s="87">
        <v>0.0</v>
      </c>
      <c r="M134" s="87">
        <v>0.0</v>
      </c>
      <c r="N134" s="87">
        <v>0.0</v>
      </c>
      <c r="O134" s="87">
        <v>0.0</v>
      </c>
      <c r="P134" s="87">
        <v>0.0</v>
      </c>
      <c r="Q134" s="87">
        <v>0.0</v>
      </c>
      <c r="R134" s="87">
        <v>0.0</v>
      </c>
      <c r="S134" s="87">
        <v>0.0</v>
      </c>
      <c r="T134" s="87">
        <v>0.0</v>
      </c>
      <c r="U134" s="87">
        <v>0.0</v>
      </c>
      <c r="V134" s="87">
        <v>0.0</v>
      </c>
      <c r="W134" s="87">
        <v>0.0</v>
      </c>
      <c r="X134" s="87">
        <v>0.0</v>
      </c>
      <c r="Y134" s="87">
        <v>0.0</v>
      </c>
      <c r="Z134" s="87">
        <v>0.0</v>
      </c>
      <c r="AA134" s="87">
        <v>2.752121</v>
      </c>
      <c r="AB134" s="87">
        <v>2.98755</v>
      </c>
      <c r="AC134" s="87">
        <v>3.431121</v>
      </c>
      <c r="AD134" s="87">
        <v>0.0</v>
      </c>
      <c r="AE134" s="87">
        <v>0.0</v>
      </c>
      <c r="AF134" s="87">
        <v>0.0</v>
      </c>
      <c r="AG134" s="87">
        <v>0.0</v>
      </c>
      <c r="AH134" s="87">
        <v>0.0</v>
      </c>
      <c r="AI134" s="87">
        <v>2.287482</v>
      </c>
      <c r="AJ134" s="87">
        <v>2.32081</v>
      </c>
      <c r="AK134" s="87">
        <v>2.214185</v>
      </c>
      <c r="AL134" s="88" t="s">
        <v>1396</v>
      </c>
    </row>
    <row r="135">
      <c r="A135" s="84" t="s">
        <v>1550</v>
      </c>
      <c r="B135" s="84" t="s">
        <v>1584</v>
      </c>
      <c r="C135" s="84" t="s">
        <v>795</v>
      </c>
      <c r="D135" s="84" t="s">
        <v>1585</v>
      </c>
      <c r="E135" s="84" t="s">
        <v>1426</v>
      </c>
      <c r="F135" s="87">
        <v>8.0</v>
      </c>
      <c r="G135" s="87">
        <v>0.0</v>
      </c>
      <c r="H135" s="87">
        <v>12896.0</v>
      </c>
      <c r="I135" s="87">
        <v>0.0</v>
      </c>
      <c r="J135" s="87">
        <v>124.0344</v>
      </c>
      <c r="K135" s="87">
        <v>128.2042</v>
      </c>
      <c r="L135" s="87">
        <v>140.4992</v>
      </c>
      <c r="M135" s="87">
        <v>99.26394</v>
      </c>
      <c r="N135" s="87">
        <v>0.774264</v>
      </c>
      <c r="O135" s="87">
        <v>0.0</v>
      </c>
      <c r="P135" s="87">
        <v>0.0</v>
      </c>
      <c r="Q135" s="87">
        <v>0.0</v>
      </c>
      <c r="R135" s="87">
        <v>1.441403</v>
      </c>
      <c r="S135" s="87">
        <v>27.44888</v>
      </c>
      <c r="T135" s="87">
        <v>0.05</v>
      </c>
      <c r="U135" s="87">
        <v>1.441403</v>
      </c>
      <c r="V135" s="87">
        <v>1.441403</v>
      </c>
      <c r="W135" s="87">
        <v>27.44888</v>
      </c>
      <c r="X135" s="87">
        <v>27.92188</v>
      </c>
      <c r="Y135" s="87">
        <v>16.02553</v>
      </c>
      <c r="Z135" s="87">
        <v>0.116206</v>
      </c>
      <c r="AA135" s="87">
        <v>2.282539</v>
      </c>
      <c r="AB135" s="87">
        <v>3.638757</v>
      </c>
      <c r="AC135" s="87">
        <v>2.350951</v>
      </c>
      <c r="AD135" s="87">
        <v>1.240724</v>
      </c>
      <c r="AE135" s="87">
        <v>5.092593</v>
      </c>
      <c r="AF135" s="87">
        <v>5.555719</v>
      </c>
      <c r="AG135" s="87">
        <v>5.7006</v>
      </c>
      <c r="AH135" s="87">
        <v>0.0</v>
      </c>
      <c r="AI135" s="87">
        <v>2.287482</v>
      </c>
      <c r="AJ135" s="87">
        <v>2.32081</v>
      </c>
      <c r="AK135" s="87">
        <v>2.214185</v>
      </c>
      <c r="AL135" s="88" t="s">
        <v>1396</v>
      </c>
    </row>
    <row r="136">
      <c r="A136" s="84" t="s">
        <v>1553</v>
      </c>
      <c r="B136" s="84" t="s">
        <v>1586</v>
      </c>
      <c r="C136" s="84" t="s">
        <v>795</v>
      </c>
      <c r="D136" s="84" t="s">
        <v>1585</v>
      </c>
      <c r="E136" s="86">
        <v>46310.0</v>
      </c>
      <c r="F136" s="87">
        <v>13.0</v>
      </c>
      <c r="G136" s="87">
        <v>0.0</v>
      </c>
      <c r="H136" s="87">
        <v>7654.0</v>
      </c>
      <c r="I136" s="87">
        <v>0.0</v>
      </c>
      <c r="J136" s="87">
        <v>57.88329</v>
      </c>
      <c r="K136" s="87">
        <v>57.79726</v>
      </c>
      <c r="L136" s="87">
        <v>63.14291</v>
      </c>
      <c r="M136" s="87">
        <v>39.50539</v>
      </c>
      <c r="N136" s="87">
        <v>0.683517</v>
      </c>
      <c r="O136" s="87">
        <v>0.0</v>
      </c>
      <c r="P136" s="87">
        <v>0.0</v>
      </c>
      <c r="Q136" s="87">
        <v>0.266667</v>
      </c>
      <c r="R136" s="87">
        <v>2.282539</v>
      </c>
      <c r="S136" s="87">
        <v>7.340066</v>
      </c>
      <c r="T136" s="87">
        <v>0.467816</v>
      </c>
      <c r="U136" s="87">
        <v>2.034853</v>
      </c>
      <c r="V136" s="87">
        <v>2.282539</v>
      </c>
      <c r="W136" s="87">
        <v>3.279022</v>
      </c>
      <c r="X136" s="87">
        <v>7.790623</v>
      </c>
      <c r="Y136" s="87">
        <v>4.445943</v>
      </c>
      <c r="Z136" s="87">
        <v>0.116206</v>
      </c>
      <c r="AA136" s="87">
        <v>2.282539</v>
      </c>
      <c r="AB136" s="87">
        <v>3.638757</v>
      </c>
      <c r="AC136" s="87">
        <v>2.350951</v>
      </c>
      <c r="AD136" s="87">
        <v>1.026282</v>
      </c>
      <c r="AE136" s="87">
        <v>2.666147</v>
      </c>
      <c r="AF136" s="87">
        <v>3.608131</v>
      </c>
      <c r="AG136" s="87">
        <v>4.445943</v>
      </c>
      <c r="AH136" s="87">
        <v>0.0</v>
      </c>
      <c r="AI136" s="87">
        <v>2.287482</v>
      </c>
      <c r="AJ136" s="87">
        <v>2.32081</v>
      </c>
      <c r="AK136" s="87">
        <v>2.214185</v>
      </c>
      <c r="AL136" s="88" t="s">
        <v>1396</v>
      </c>
    </row>
    <row r="137">
      <c r="A137" s="84" t="s">
        <v>1555</v>
      </c>
      <c r="B137" s="84" t="s">
        <v>1587</v>
      </c>
      <c r="C137" s="84" t="s">
        <v>795</v>
      </c>
      <c r="D137" s="84" t="s">
        <v>1585</v>
      </c>
      <c r="E137" s="84" t="s">
        <v>1413</v>
      </c>
      <c r="F137" s="87">
        <v>7.0</v>
      </c>
      <c r="G137" s="87">
        <v>0.0</v>
      </c>
      <c r="H137" s="87">
        <v>2959.0</v>
      </c>
      <c r="I137" s="87">
        <v>0.0</v>
      </c>
      <c r="J137" s="87">
        <v>15.18753</v>
      </c>
      <c r="K137" s="87">
        <v>16.45666</v>
      </c>
      <c r="L137" s="87">
        <v>18.74698</v>
      </c>
      <c r="M137" s="87">
        <v>10.44199</v>
      </c>
      <c r="N137" s="87">
        <v>0.634515</v>
      </c>
      <c r="O137" s="87">
        <v>0.470189</v>
      </c>
      <c r="P137" s="87">
        <v>0.550495</v>
      </c>
      <c r="Q137" s="87">
        <v>0.78254</v>
      </c>
      <c r="R137" s="87">
        <v>1.338169</v>
      </c>
      <c r="S137" s="87">
        <v>2.87327</v>
      </c>
      <c r="T137" s="87">
        <v>0.470189</v>
      </c>
      <c r="U137" s="87">
        <v>0.550495</v>
      </c>
      <c r="V137" s="87">
        <v>0.78254</v>
      </c>
      <c r="W137" s="87">
        <v>1.338169</v>
      </c>
      <c r="X137" s="87">
        <v>2.87327</v>
      </c>
      <c r="Y137" s="87">
        <v>2.350951</v>
      </c>
      <c r="Z137" s="87">
        <v>0.116206</v>
      </c>
      <c r="AA137" s="87">
        <v>2.282539</v>
      </c>
      <c r="AB137" s="87">
        <v>3.638757</v>
      </c>
      <c r="AC137" s="87">
        <v>2.350951</v>
      </c>
      <c r="AD137" s="87">
        <v>0.78254</v>
      </c>
      <c r="AE137" s="87">
        <v>1.372559</v>
      </c>
      <c r="AF137" s="87">
        <v>2.654174</v>
      </c>
      <c r="AG137" s="87">
        <v>2.350951</v>
      </c>
      <c r="AH137" s="87">
        <v>0.0</v>
      </c>
      <c r="AI137" s="87">
        <v>2.287482</v>
      </c>
      <c r="AJ137" s="87">
        <v>2.32081</v>
      </c>
      <c r="AK137" s="87">
        <v>2.214185</v>
      </c>
      <c r="AL137" s="88" t="s">
        <v>1396</v>
      </c>
    </row>
    <row r="138">
      <c r="A138" s="84" t="s">
        <v>1557</v>
      </c>
      <c r="B138" s="84" t="s">
        <v>1588</v>
      </c>
      <c r="C138" s="84" t="s">
        <v>795</v>
      </c>
      <c r="D138" s="84" t="s">
        <v>1585</v>
      </c>
      <c r="E138" s="84" t="s">
        <v>1398</v>
      </c>
      <c r="F138" s="87">
        <v>1.0</v>
      </c>
      <c r="G138" s="87">
        <v>0.0</v>
      </c>
      <c r="H138" s="87">
        <v>80.0</v>
      </c>
      <c r="I138" s="87">
        <v>0.0</v>
      </c>
      <c r="J138" s="87">
        <v>0.342857</v>
      </c>
      <c r="K138" s="87">
        <v>0.514286</v>
      </c>
      <c r="L138" s="87">
        <v>1.201517</v>
      </c>
      <c r="M138" s="87">
        <v>0.514286</v>
      </c>
      <c r="N138" s="87">
        <v>1.0</v>
      </c>
      <c r="O138" s="87">
        <v>0.514286</v>
      </c>
      <c r="P138" s="87">
        <v>0.514286</v>
      </c>
      <c r="Q138" s="87">
        <v>0.514286</v>
      </c>
      <c r="R138" s="87">
        <v>0.514286</v>
      </c>
      <c r="S138" s="87">
        <v>0.514286</v>
      </c>
      <c r="T138" s="87">
        <v>0.514286</v>
      </c>
      <c r="U138" s="87">
        <v>0.514286</v>
      </c>
      <c r="V138" s="87">
        <v>0.514286</v>
      </c>
      <c r="W138" s="87">
        <v>0.514286</v>
      </c>
      <c r="X138" s="87">
        <v>0.514286</v>
      </c>
      <c r="Y138" s="87">
        <v>0.514286</v>
      </c>
      <c r="Z138" s="87">
        <v>0.116206</v>
      </c>
      <c r="AA138" s="87">
        <v>2.282539</v>
      </c>
      <c r="AB138" s="87">
        <v>3.638757</v>
      </c>
      <c r="AC138" s="87">
        <v>2.350951</v>
      </c>
      <c r="AD138" s="87">
        <v>0.524066</v>
      </c>
      <c r="AE138" s="87">
        <v>0.710909</v>
      </c>
      <c r="AF138" s="87">
        <v>1.46247</v>
      </c>
      <c r="AG138" s="87">
        <v>1.140152</v>
      </c>
      <c r="AH138" s="87">
        <v>0.0</v>
      </c>
      <c r="AI138" s="87">
        <v>2.287482</v>
      </c>
      <c r="AJ138" s="87">
        <v>2.32081</v>
      </c>
      <c r="AK138" s="87">
        <v>2.214185</v>
      </c>
      <c r="AL138" s="88" t="s">
        <v>1396</v>
      </c>
    </row>
    <row r="139">
      <c r="A139" s="84" t="s">
        <v>1567</v>
      </c>
      <c r="B139" s="84" t="s">
        <v>1589</v>
      </c>
      <c r="C139" s="84" t="s">
        <v>795</v>
      </c>
      <c r="D139" s="84" t="s">
        <v>1585</v>
      </c>
      <c r="E139" s="84" t="s">
        <v>1400</v>
      </c>
      <c r="F139" s="87">
        <v>15.0</v>
      </c>
      <c r="G139" s="87">
        <v>0.0</v>
      </c>
      <c r="H139" s="87">
        <v>2735.0</v>
      </c>
      <c r="I139" s="87">
        <v>0.0</v>
      </c>
      <c r="J139" s="87">
        <v>11.5978</v>
      </c>
      <c r="K139" s="87">
        <v>12.50824</v>
      </c>
      <c r="L139" s="87">
        <v>13.73945</v>
      </c>
      <c r="M139" s="87">
        <v>7.215499</v>
      </c>
      <c r="N139" s="87">
        <v>0.57686</v>
      </c>
      <c r="O139" s="87">
        <v>0.0</v>
      </c>
      <c r="P139" s="87">
        <v>0.078788</v>
      </c>
      <c r="Q139" s="87">
        <v>0.153623</v>
      </c>
      <c r="R139" s="87">
        <v>0.398925</v>
      </c>
      <c r="S139" s="87">
        <v>1.165591</v>
      </c>
      <c r="T139" s="87">
        <v>0.153623</v>
      </c>
      <c r="U139" s="87">
        <v>0.238186</v>
      </c>
      <c r="V139" s="87">
        <v>0.313333</v>
      </c>
      <c r="W139" s="87">
        <v>0.905821</v>
      </c>
      <c r="X139" s="87">
        <v>1.172883</v>
      </c>
      <c r="Y139" s="87">
        <v>0.833883</v>
      </c>
      <c r="Z139" s="87">
        <v>0.116206</v>
      </c>
      <c r="AA139" s="87">
        <v>2.282539</v>
      </c>
      <c r="AB139" s="87">
        <v>3.638757</v>
      </c>
      <c r="AC139" s="87">
        <v>2.350951</v>
      </c>
      <c r="AD139" s="87">
        <v>0.717976</v>
      </c>
      <c r="AE139" s="87">
        <v>0.896774</v>
      </c>
      <c r="AF139" s="87">
        <v>1.796268</v>
      </c>
      <c r="AG139" s="87">
        <v>3.011085</v>
      </c>
      <c r="AH139" s="87">
        <v>0.0</v>
      </c>
      <c r="AI139" s="87">
        <v>2.287482</v>
      </c>
      <c r="AJ139" s="87">
        <v>2.32081</v>
      </c>
      <c r="AK139" s="87">
        <v>2.214185</v>
      </c>
      <c r="AL139" s="88" t="s">
        <v>1396</v>
      </c>
    </row>
    <row r="140">
      <c r="A140" s="84" t="s">
        <v>1559</v>
      </c>
      <c r="B140" s="84" t="s">
        <v>1590</v>
      </c>
      <c r="C140" s="84" t="s">
        <v>795</v>
      </c>
      <c r="D140" s="84" t="s">
        <v>1585</v>
      </c>
      <c r="E140" s="89">
        <v>46300.0</v>
      </c>
      <c r="F140" s="87">
        <v>14.0</v>
      </c>
      <c r="G140" s="87">
        <v>0.0</v>
      </c>
      <c r="H140" s="87">
        <v>12327.0</v>
      </c>
      <c r="I140" s="87">
        <v>0.0</v>
      </c>
      <c r="J140" s="87">
        <v>105.7477</v>
      </c>
      <c r="K140" s="87">
        <v>104.73</v>
      </c>
      <c r="L140" s="87">
        <v>112.3246</v>
      </c>
      <c r="M140" s="87">
        <v>72.394</v>
      </c>
      <c r="N140" s="87">
        <v>0.691244</v>
      </c>
      <c r="O140" s="87">
        <v>0.0</v>
      </c>
      <c r="P140" s="87">
        <v>0.0</v>
      </c>
      <c r="Q140" s="87">
        <v>1.0</v>
      </c>
      <c r="R140" s="87">
        <v>4.132352</v>
      </c>
      <c r="S140" s="87">
        <v>6.030786</v>
      </c>
      <c r="T140" s="87">
        <v>1.0</v>
      </c>
      <c r="U140" s="87">
        <v>2.900667</v>
      </c>
      <c r="V140" s="87">
        <v>3.188342</v>
      </c>
      <c r="W140" s="87">
        <v>5.140875</v>
      </c>
      <c r="X140" s="87">
        <v>9.061987</v>
      </c>
      <c r="Y140" s="87">
        <v>7.480711</v>
      </c>
      <c r="Z140" s="87">
        <v>0.116206</v>
      </c>
      <c r="AA140" s="87">
        <v>2.282539</v>
      </c>
      <c r="AB140" s="87">
        <v>3.638757</v>
      </c>
      <c r="AC140" s="87">
        <v>2.350951</v>
      </c>
      <c r="AD140" s="87">
        <v>2.38514</v>
      </c>
      <c r="AE140" s="87">
        <v>3.188342</v>
      </c>
      <c r="AF140" s="87">
        <v>8.263127</v>
      </c>
      <c r="AG140" s="87">
        <v>7.480711</v>
      </c>
      <c r="AH140" s="87">
        <v>0.0</v>
      </c>
      <c r="AI140" s="87">
        <v>2.287482</v>
      </c>
      <c r="AJ140" s="87">
        <v>2.32081</v>
      </c>
      <c r="AK140" s="87">
        <v>2.214185</v>
      </c>
      <c r="AL140" s="88" t="s">
        <v>1396</v>
      </c>
    </row>
    <row r="141">
      <c r="A141" s="84" t="s">
        <v>1561</v>
      </c>
      <c r="B141" s="84" t="s">
        <v>1591</v>
      </c>
      <c r="C141" s="84" t="s">
        <v>795</v>
      </c>
      <c r="D141" s="84" t="s">
        <v>1585</v>
      </c>
      <c r="E141" s="84" t="s">
        <v>1403</v>
      </c>
      <c r="F141" s="87">
        <v>30.0</v>
      </c>
      <c r="G141" s="87">
        <v>2.0</v>
      </c>
      <c r="H141" s="87">
        <v>111.0</v>
      </c>
      <c r="I141" s="87">
        <v>111.0</v>
      </c>
      <c r="J141" s="87">
        <v>0.0</v>
      </c>
      <c r="K141" s="87">
        <v>0.0</v>
      </c>
      <c r="L141" s="87">
        <v>0.0</v>
      </c>
      <c r="M141" s="87">
        <v>0.0</v>
      </c>
      <c r="N141" s="87">
        <v>0.0</v>
      </c>
      <c r="O141" s="87">
        <v>0.0</v>
      </c>
      <c r="P141" s="87">
        <v>0.0</v>
      </c>
      <c r="Q141" s="87">
        <v>0.0</v>
      </c>
      <c r="R141" s="87">
        <v>0.0</v>
      </c>
      <c r="S141" s="87">
        <v>0.0</v>
      </c>
      <c r="T141" s="87">
        <v>0.0</v>
      </c>
      <c r="U141" s="87">
        <v>0.0</v>
      </c>
      <c r="V141" s="87">
        <v>0.0</v>
      </c>
      <c r="W141" s="87">
        <v>0.0</v>
      </c>
      <c r="X141" s="87">
        <v>0.0</v>
      </c>
      <c r="Y141" s="87">
        <v>0.0</v>
      </c>
      <c r="Z141" s="87">
        <v>0.116206</v>
      </c>
      <c r="AA141" s="87">
        <v>2.282539</v>
      </c>
      <c r="AB141" s="87">
        <v>3.638757</v>
      </c>
      <c r="AC141" s="87">
        <v>2.350951</v>
      </c>
      <c r="AD141" s="87">
        <v>0.0</v>
      </c>
      <c r="AE141" s="87">
        <v>0.0</v>
      </c>
      <c r="AF141" s="87">
        <v>0.0</v>
      </c>
      <c r="AG141" s="87">
        <v>0.0</v>
      </c>
      <c r="AH141" s="87">
        <v>0.0</v>
      </c>
      <c r="AI141" s="87">
        <v>2.287482</v>
      </c>
      <c r="AJ141" s="87">
        <v>2.32081</v>
      </c>
      <c r="AK141" s="87">
        <v>2.214185</v>
      </c>
      <c r="AL141" s="88" t="s">
        <v>1396</v>
      </c>
    </row>
    <row r="142">
      <c r="A142" s="84" t="s">
        <v>1550</v>
      </c>
      <c r="B142" s="84" t="s">
        <v>1592</v>
      </c>
      <c r="C142" s="84" t="s">
        <v>795</v>
      </c>
      <c r="D142" s="84" t="s">
        <v>801</v>
      </c>
      <c r="E142" s="84" t="s">
        <v>1426</v>
      </c>
      <c r="F142" s="87">
        <v>1.0</v>
      </c>
      <c r="G142" s="87">
        <v>0.0</v>
      </c>
      <c r="H142" s="87">
        <v>0.0</v>
      </c>
      <c r="I142" s="87">
        <v>0.0</v>
      </c>
      <c r="J142" s="87">
        <v>0.0</v>
      </c>
      <c r="K142" s="87">
        <v>0.0</v>
      </c>
      <c r="L142" s="87">
        <v>0.0</v>
      </c>
      <c r="M142" s="87">
        <v>0.0</v>
      </c>
      <c r="N142" s="87">
        <v>0.0</v>
      </c>
      <c r="O142" s="87">
        <v>0.0</v>
      </c>
      <c r="P142" s="87">
        <v>0.0</v>
      </c>
      <c r="Q142" s="87">
        <v>0.0</v>
      </c>
      <c r="R142" s="87">
        <v>0.0</v>
      </c>
      <c r="S142" s="87">
        <v>0.0</v>
      </c>
      <c r="T142" s="87">
        <v>0.0</v>
      </c>
      <c r="U142" s="87">
        <v>0.0</v>
      </c>
      <c r="V142" s="87">
        <v>0.0</v>
      </c>
      <c r="W142" s="87">
        <v>0.0</v>
      </c>
      <c r="X142" s="87">
        <v>0.0</v>
      </c>
      <c r="Y142" s="87">
        <v>0.0</v>
      </c>
      <c r="Z142" s="87">
        <v>0.0</v>
      </c>
      <c r="AA142" s="87">
        <v>1.372559</v>
      </c>
      <c r="AB142" s="87">
        <v>0.864746</v>
      </c>
      <c r="AC142" s="87">
        <v>1.140152</v>
      </c>
      <c r="AD142" s="87">
        <v>1.240724</v>
      </c>
      <c r="AE142" s="87">
        <v>5.092593</v>
      </c>
      <c r="AF142" s="87">
        <v>5.555719</v>
      </c>
      <c r="AG142" s="87">
        <v>5.7006</v>
      </c>
      <c r="AH142" s="87">
        <v>0.0</v>
      </c>
      <c r="AI142" s="87">
        <v>2.287482</v>
      </c>
      <c r="AJ142" s="87">
        <v>2.32081</v>
      </c>
      <c r="AK142" s="87">
        <v>2.214185</v>
      </c>
      <c r="AL142" s="88" t="s">
        <v>1396</v>
      </c>
    </row>
    <row r="143">
      <c r="A143" s="84" t="s">
        <v>1553</v>
      </c>
      <c r="B143" s="84" t="s">
        <v>1593</v>
      </c>
      <c r="C143" s="84" t="s">
        <v>795</v>
      </c>
      <c r="D143" s="84" t="s">
        <v>801</v>
      </c>
      <c r="E143" s="86">
        <v>46310.0</v>
      </c>
      <c r="F143" s="87">
        <v>6.0</v>
      </c>
      <c r="G143" s="87">
        <v>0.0</v>
      </c>
      <c r="H143" s="87">
        <v>1124.0</v>
      </c>
      <c r="I143" s="87">
        <v>0.0</v>
      </c>
      <c r="J143" s="87">
        <v>13.48215</v>
      </c>
      <c r="K143" s="87">
        <v>12.48424</v>
      </c>
      <c r="L143" s="87">
        <v>14.40974</v>
      </c>
      <c r="M143" s="87">
        <v>10.86039</v>
      </c>
      <c r="N143" s="87">
        <v>0.869928</v>
      </c>
      <c r="O143" s="87">
        <v>0.0</v>
      </c>
      <c r="P143" s="87">
        <v>0.033333</v>
      </c>
      <c r="Q143" s="87">
        <v>0.033333</v>
      </c>
      <c r="R143" s="87">
        <v>1.461351</v>
      </c>
      <c r="S143" s="87">
        <v>4.300995</v>
      </c>
      <c r="T143" s="87">
        <v>0.033333</v>
      </c>
      <c r="U143" s="87">
        <v>0.129167</v>
      </c>
      <c r="V143" s="87">
        <v>0.129167</v>
      </c>
      <c r="W143" s="87">
        <v>1.461351</v>
      </c>
      <c r="X143" s="87">
        <v>4.300995</v>
      </c>
      <c r="Y143" s="87">
        <v>2.080706</v>
      </c>
      <c r="Z143" s="87">
        <v>0.0</v>
      </c>
      <c r="AA143" s="87">
        <v>1.372559</v>
      </c>
      <c r="AB143" s="87">
        <v>0.864746</v>
      </c>
      <c r="AC143" s="87">
        <v>1.140152</v>
      </c>
      <c r="AD143" s="87">
        <v>1.026282</v>
      </c>
      <c r="AE143" s="87">
        <v>2.666147</v>
      </c>
      <c r="AF143" s="87">
        <v>3.608131</v>
      </c>
      <c r="AG143" s="87">
        <v>4.445943</v>
      </c>
      <c r="AH143" s="87">
        <v>0.0</v>
      </c>
      <c r="AI143" s="87">
        <v>2.287482</v>
      </c>
      <c r="AJ143" s="87">
        <v>2.32081</v>
      </c>
      <c r="AK143" s="87">
        <v>2.214185</v>
      </c>
      <c r="AL143" s="88" t="s">
        <v>1396</v>
      </c>
    </row>
    <row r="144">
      <c r="A144" s="84" t="s">
        <v>1555</v>
      </c>
      <c r="B144" s="84" t="s">
        <v>1594</v>
      </c>
      <c r="C144" s="84" t="s">
        <v>795</v>
      </c>
      <c r="D144" s="84" t="s">
        <v>801</v>
      </c>
      <c r="E144" s="84" t="s">
        <v>1413</v>
      </c>
      <c r="F144" s="87">
        <v>13.0</v>
      </c>
      <c r="G144" s="87">
        <v>0.0</v>
      </c>
      <c r="H144" s="87">
        <v>3173.0</v>
      </c>
      <c r="I144" s="87">
        <v>0.0</v>
      </c>
      <c r="J144" s="87">
        <v>24.50635</v>
      </c>
      <c r="K144" s="87">
        <v>28.7844</v>
      </c>
      <c r="L144" s="87">
        <v>33.64363</v>
      </c>
      <c r="M144" s="87">
        <v>21.0418</v>
      </c>
      <c r="N144" s="87">
        <v>0.731014</v>
      </c>
      <c r="O144" s="87">
        <v>0.0</v>
      </c>
      <c r="P144" s="87">
        <v>0.0</v>
      </c>
      <c r="Q144" s="87">
        <v>0.556667</v>
      </c>
      <c r="R144" s="87">
        <v>1.196603</v>
      </c>
      <c r="S144" s="87">
        <v>2.10044</v>
      </c>
      <c r="T144" s="87">
        <v>0.583333</v>
      </c>
      <c r="U144" s="87">
        <v>0.629167</v>
      </c>
      <c r="V144" s="87">
        <v>1.196603</v>
      </c>
      <c r="W144" s="87">
        <v>1.372559</v>
      </c>
      <c r="X144" s="87">
        <v>2.16091</v>
      </c>
      <c r="Y144" s="87">
        <v>2.214185</v>
      </c>
      <c r="Z144" s="87">
        <v>0.0</v>
      </c>
      <c r="AA144" s="87">
        <v>1.372559</v>
      </c>
      <c r="AB144" s="87">
        <v>0.864746</v>
      </c>
      <c r="AC144" s="87">
        <v>1.140152</v>
      </c>
      <c r="AD144" s="87">
        <v>0.78254</v>
      </c>
      <c r="AE144" s="87">
        <v>1.372559</v>
      </c>
      <c r="AF144" s="87">
        <v>2.654174</v>
      </c>
      <c r="AG144" s="87">
        <v>2.350951</v>
      </c>
      <c r="AH144" s="87">
        <v>0.0</v>
      </c>
      <c r="AI144" s="87">
        <v>2.287482</v>
      </c>
      <c r="AJ144" s="87">
        <v>2.32081</v>
      </c>
      <c r="AK144" s="87">
        <v>2.214185</v>
      </c>
      <c r="AL144" s="88" t="s">
        <v>1396</v>
      </c>
    </row>
    <row r="145">
      <c r="A145" s="84" t="s">
        <v>1557</v>
      </c>
      <c r="B145" s="84" t="s">
        <v>1595</v>
      </c>
      <c r="C145" s="84" t="s">
        <v>795</v>
      </c>
      <c r="D145" s="84" t="s">
        <v>801</v>
      </c>
      <c r="E145" s="84" t="s">
        <v>1398</v>
      </c>
      <c r="F145" s="87">
        <v>9.0</v>
      </c>
      <c r="G145" s="87">
        <v>0.0</v>
      </c>
      <c r="H145" s="87">
        <v>1835.0</v>
      </c>
      <c r="I145" s="87">
        <v>0.0</v>
      </c>
      <c r="J145" s="87">
        <v>8.476923</v>
      </c>
      <c r="K145" s="87">
        <v>10.26137</v>
      </c>
      <c r="L145" s="87">
        <v>12.95596</v>
      </c>
      <c r="M145" s="87">
        <v>8.127468</v>
      </c>
      <c r="N145" s="87">
        <v>0.792045</v>
      </c>
      <c r="O145" s="87">
        <v>0.0</v>
      </c>
      <c r="P145" s="87">
        <v>0.0</v>
      </c>
      <c r="Q145" s="87">
        <v>0.0</v>
      </c>
      <c r="R145" s="87">
        <v>0.524066</v>
      </c>
      <c r="S145" s="87">
        <v>0.710909</v>
      </c>
      <c r="T145" s="87">
        <v>0.298925</v>
      </c>
      <c r="U145" s="87">
        <v>0.524066</v>
      </c>
      <c r="V145" s="87">
        <v>0.524066</v>
      </c>
      <c r="W145" s="87">
        <v>0.710909</v>
      </c>
      <c r="X145" s="87">
        <v>2.570361</v>
      </c>
      <c r="Y145" s="87">
        <v>1.140152</v>
      </c>
      <c r="Z145" s="87">
        <v>0.0</v>
      </c>
      <c r="AA145" s="87">
        <v>1.372559</v>
      </c>
      <c r="AB145" s="87">
        <v>0.864746</v>
      </c>
      <c r="AC145" s="87">
        <v>1.140152</v>
      </c>
      <c r="AD145" s="87">
        <v>0.524066</v>
      </c>
      <c r="AE145" s="87">
        <v>0.710909</v>
      </c>
      <c r="AF145" s="87">
        <v>1.46247</v>
      </c>
      <c r="AG145" s="87">
        <v>1.140152</v>
      </c>
      <c r="AH145" s="87">
        <v>0.0</v>
      </c>
      <c r="AI145" s="87">
        <v>2.287482</v>
      </c>
      <c r="AJ145" s="87">
        <v>2.32081</v>
      </c>
      <c r="AK145" s="87">
        <v>2.214185</v>
      </c>
      <c r="AL145" s="88" t="s">
        <v>1396</v>
      </c>
    </row>
    <row r="146">
      <c r="A146" s="84" t="s">
        <v>1567</v>
      </c>
      <c r="B146" s="84" t="s">
        <v>1596</v>
      </c>
      <c r="C146" s="84" t="s">
        <v>795</v>
      </c>
      <c r="D146" s="84" t="s">
        <v>801</v>
      </c>
      <c r="E146" s="84" t="s">
        <v>1400</v>
      </c>
      <c r="F146" s="87">
        <v>5.0</v>
      </c>
      <c r="G146" s="87">
        <v>0.0</v>
      </c>
      <c r="H146" s="87">
        <v>1709.0</v>
      </c>
      <c r="I146" s="87">
        <v>0.0</v>
      </c>
      <c r="J146" s="87">
        <v>15.89348</v>
      </c>
      <c r="K146" s="87">
        <v>15.05543</v>
      </c>
      <c r="L146" s="87">
        <v>14.71869</v>
      </c>
      <c r="M146" s="87">
        <v>9.295592</v>
      </c>
      <c r="N146" s="87">
        <v>0.617425</v>
      </c>
      <c r="O146" s="87">
        <v>0.0</v>
      </c>
      <c r="P146" s="87">
        <v>0.0</v>
      </c>
      <c r="Q146" s="87">
        <v>0.0</v>
      </c>
      <c r="R146" s="87">
        <v>0.283333</v>
      </c>
      <c r="S146" s="87">
        <v>5.476501</v>
      </c>
      <c r="T146" s="87">
        <v>0.283333</v>
      </c>
      <c r="U146" s="87">
        <v>0.283333</v>
      </c>
      <c r="V146" s="87">
        <v>0.283333</v>
      </c>
      <c r="W146" s="87">
        <v>5.476501</v>
      </c>
      <c r="X146" s="87">
        <v>9.295592</v>
      </c>
      <c r="Y146" s="87">
        <v>3.011085</v>
      </c>
      <c r="Z146" s="87">
        <v>0.0</v>
      </c>
      <c r="AA146" s="87">
        <v>1.372559</v>
      </c>
      <c r="AB146" s="87">
        <v>0.864746</v>
      </c>
      <c r="AC146" s="87">
        <v>1.140152</v>
      </c>
      <c r="AD146" s="87">
        <v>0.717976</v>
      </c>
      <c r="AE146" s="87">
        <v>0.896774</v>
      </c>
      <c r="AF146" s="87">
        <v>1.796268</v>
      </c>
      <c r="AG146" s="87">
        <v>3.011085</v>
      </c>
      <c r="AH146" s="87">
        <v>0.0</v>
      </c>
      <c r="AI146" s="87">
        <v>2.287482</v>
      </c>
      <c r="AJ146" s="87">
        <v>2.32081</v>
      </c>
      <c r="AK146" s="87">
        <v>2.214185</v>
      </c>
      <c r="AL146" s="88" t="s">
        <v>1396</v>
      </c>
    </row>
    <row r="147">
      <c r="A147" s="84" t="s">
        <v>1559</v>
      </c>
      <c r="B147" s="84" t="s">
        <v>1597</v>
      </c>
      <c r="C147" s="84" t="s">
        <v>795</v>
      </c>
      <c r="D147" s="84" t="s">
        <v>801</v>
      </c>
      <c r="E147" s="89">
        <v>46300.0</v>
      </c>
      <c r="F147" s="87">
        <v>1.0</v>
      </c>
      <c r="G147" s="87">
        <v>0.0</v>
      </c>
      <c r="H147" s="87">
        <v>0.0</v>
      </c>
      <c r="I147" s="87">
        <v>0.0</v>
      </c>
      <c r="J147" s="87">
        <v>0.0</v>
      </c>
      <c r="K147" s="87">
        <v>0.0</v>
      </c>
      <c r="L147" s="87">
        <v>0.0</v>
      </c>
      <c r="M147" s="87">
        <v>0.0</v>
      </c>
      <c r="N147" s="87">
        <v>0.0</v>
      </c>
      <c r="O147" s="87">
        <v>0.0</v>
      </c>
      <c r="P147" s="87">
        <v>0.0</v>
      </c>
      <c r="Q147" s="87">
        <v>0.0</v>
      </c>
      <c r="R147" s="87">
        <v>0.0</v>
      </c>
      <c r="S147" s="87">
        <v>0.0</v>
      </c>
      <c r="T147" s="87">
        <v>0.0</v>
      </c>
      <c r="U147" s="87">
        <v>0.0</v>
      </c>
      <c r="V147" s="87">
        <v>0.0</v>
      </c>
      <c r="W147" s="87">
        <v>0.0</v>
      </c>
      <c r="X147" s="87">
        <v>0.0</v>
      </c>
      <c r="Y147" s="87">
        <v>0.0</v>
      </c>
      <c r="Z147" s="87">
        <v>0.0</v>
      </c>
      <c r="AA147" s="87">
        <v>1.372559</v>
      </c>
      <c r="AB147" s="87">
        <v>0.864746</v>
      </c>
      <c r="AC147" s="87">
        <v>1.140152</v>
      </c>
      <c r="AD147" s="87">
        <v>2.38514</v>
      </c>
      <c r="AE147" s="87">
        <v>3.188342</v>
      </c>
      <c r="AF147" s="87">
        <v>8.263127</v>
      </c>
      <c r="AG147" s="87">
        <v>7.480711</v>
      </c>
      <c r="AH147" s="87">
        <v>0.0</v>
      </c>
      <c r="AI147" s="87">
        <v>2.287482</v>
      </c>
      <c r="AJ147" s="87">
        <v>2.32081</v>
      </c>
      <c r="AK147" s="87">
        <v>2.214185</v>
      </c>
      <c r="AL147" s="88" t="s">
        <v>1396</v>
      </c>
    </row>
    <row r="148">
      <c r="A148" s="84" t="s">
        <v>1561</v>
      </c>
      <c r="B148" s="84" t="s">
        <v>1598</v>
      </c>
      <c r="C148" s="84" t="s">
        <v>795</v>
      </c>
      <c r="D148" s="84" t="s">
        <v>801</v>
      </c>
      <c r="E148" s="84" t="s">
        <v>1403</v>
      </c>
      <c r="F148" s="87">
        <v>42.0</v>
      </c>
      <c r="G148" s="87">
        <v>2.0</v>
      </c>
      <c r="H148" s="87">
        <v>101.0</v>
      </c>
      <c r="I148" s="87">
        <v>101.0</v>
      </c>
      <c r="J148" s="87">
        <v>0.0</v>
      </c>
      <c r="K148" s="87">
        <v>0.0</v>
      </c>
      <c r="L148" s="87">
        <v>0.0</v>
      </c>
      <c r="M148" s="87">
        <v>0.0</v>
      </c>
      <c r="N148" s="87">
        <v>0.0</v>
      </c>
      <c r="O148" s="87">
        <v>0.0</v>
      </c>
      <c r="P148" s="87">
        <v>0.0</v>
      </c>
      <c r="Q148" s="87">
        <v>0.0</v>
      </c>
      <c r="R148" s="87">
        <v>0.0</v>
      </c>
      <c r="S148" s="87">
        <v>0.0</v>
      </c>
      <c r="T148" s="87">
        <v>0.0</v>
      </c>
      <c r="U148" s="87">
        <v>0.0</v>
      </c>
      <c r="V148" s="87">
        <v>0.0</v>
      </c>
      <c r="W148" s="87">
        <v>0.0</v>
      </c>
      <c r="X148" s="87">
        <v>0.0</v>
      </c>
      <c r="Y148" s="87">
        <v>0.0</v>
      </c>
      <c r="Z148" s="87">
        <v>0.0</v>
      </c>
      <c r="AA148" s="87">
        <v>1.372559</v>
      </c>
      <c r="AB148" s="87">
        <v>0.864746</v>
      </c>
      <c r="AC148" s="87">
        <v>1.140152</v>
      </c>
      <c r="AD148" s="87">
        <v>0.0</v>
      </c>
      <c r="AE148" s="87">
        <v>0.0</v>
      </c>
      <c r="AF148" s="87">
        <v>0.0</v>
      </c>
      <c r="AG148" s="87">
        <v>0.0</v>
      </c>
      <c r="AH148" s="87">
        <v>0.0</v>
      </c>
      <c r="AI148" s="87">
        <v>2.287482</v>
      </c>
      <c r="AJ148" s="87">
        <v>2.32081</v>
      </c>
      <c r="AK148" s="87">
        <v>2.214185</v>
      </c>
      <c r="AL148" s="88" t="s">
        <v>1396</v>
      </c>
    </row>
    <row r="149">
      <c r="A149" s="84" t="s">
        <v>1599</v>
      </c>
      <c r="B149" s="84" t="s">
        <v>1600</v>
      </c>
      <c r="C149" s="84" t="s">
        <v>481</v>
      </c>
      <c r="D149" s="84" t="s">
        <v>1601</v>
      </c>
      <c r="E149" s="86">
        <v>46310.0</v>
      </c>
      <c r="F149" s="87">
        <v>1.0</v>
      </c>
      <c r="G149" s="87">
        <v>0.0</v>
      </c>
      <c r="H149" s="87">
        <v>540.0</v>
      </c>
      <c r="I149" s="87">
        <v>0.0</v>
      </c>
      <c r="J149" s="87">
        <v>0.0</v>
      </c>
      <c r="K149" s="87">
        <v>1.795671</v>
      </c>
      <c r="L149" s="87">
        <v>0.945524</v>
      </c>
      <c r="M149" s="87">
        <v>1.795671</v>
      </c>
      <c r="N149" s="87">
        <v>1.0</v>
      </c>
      <c r="O149" s="87">
        <v>1.795671</v>
      </c>
      <c r="P149" s="87">
        <v>1.795671</v>
      </c>
      <c r="Q149" s="87">
        <v>1.795671</v>
      </c>
      <c r="R149" s="87">
        <v>1.795671</v>
      </c>
      <c r="S149" s="87">
        <v>1.795671</v>
      </c>
      <c r="T149" s="87">
        <v>1.795671</v>
      </c>
      <c r="U149" s="87">
        <v>1.795671</v>
      </c>
      <c r="V149" s="87">
        <v>1.795671</v>
      </c>
      <c r="W149" s="87">
        <v>1.795671</v>
      </c>
      <c r="X149" s="87">
        <v>1.795671</v>
      </c>
      <c r="Y149" s="87">
        <v>1.795671</v>
      </c>
      <c r="Z149" s="87">
        <v>0.089712</v>
      </c>
      <c r="AA149" s="87">
        <v>0.372105</v>
      </c>
      <c r="AB149" s="87">
        <v>0.336865</v>
      </c>
      <c r="AC149" s="87">
        <v>1.660677</v>
      </c>
      <c r="AD149" s="87">
        <v>4.968142</v>
      </c>
      <c r="AE149" s="87">
        <v>4.968142</v>
      </c>
      <c r="AF149" s="87">
        <v>7.18525</v>
      </c>
      <c r="AG149" s="87">
        <v>2.3089</v>
      </c>
      <c r="AH149" s="87">
        <v>0.085523</v>
      </c>
      <c r="AI149" s="87">
        <v>0.45598</v>
      </c>
      <c r="AJ149" s="87">
        <v>0.680898</v>
      </c>
      <c r="AK149" s="87">
        <v>1.660677</v>
      </c>
      <c r="AL149" s="88" t="s">
        <v>1396</v>
      </c>
    </row>
    <row r="150">
      <c r="A150" s="84" t="s">
        <v>1602</v>
      </c>
      <c r="B150" s="84" t="s">
        <v>1603</v>
      </c>
      <c r="C150" s="84" t="s">
        <v>481</v>
      </c>
      <c r="D150" s="84" t="s">
        <v>1601</v>
      </c>
      <c r="E150" s="84" t="s">
        <v>1398</v>
      </c>
      <c r="F150" s="87">
        <v>2.0</v>
      </c>
      <c r="G150" s="87">
        <v>0.0</v>
      </c>
      <c r="H150" s="87">
        <v>223.0</v>
      </c>
      <c r="I150" s="87">
        <v>0.0</v>
      </c>
      <c r="J150" s="87">
        <v>1.832143</v>
      </c>
      <c r="K150" s="87">
        <v>3.321354</v>
      </c>
      <c r="L150" s="87">
        <v>2.21509</v>
      </c>
      <c r="M150" s="87">
        <v>2.403821</v>
      </c>
      <c r="N150" s="87">
        <v>0.723747</v>
      </c>
      <c r="O150" s="87">
        <v>0.917532</v>
      </c>
      <c r="P150" s="87">
        <v>0.917532</v>
      </c>
      <c r="Q150" s="87">
        <v>0.917532</v>
      </c>
      <c r="R150" s="87">
        <v>2.403821</v>
      </c>
      <c r="S150" s="87">
        <v>2.403821</v>
      </c>
      <c r="T150" s="87">
        <v>0.917532</v>
      </c>
      <c r="U150" s="87">
        <v>0.917532</v>
      </c>
      <c r="V150" s="87">
        <v>0.917532</v>
      </c>
      <c r="W150" s="87">
        <v>2.403821</v>
      </c>
      <c r="X150" s="87">
        <v>2.403821</v>
      </c>
      <c r="Y150" s="87">
        <v>1.660677</v>
      </c>
      <c r="Z150" s="87">
        <v>0.089712</v>
      </c>
      <c r="AA150" s="87">
        <v>0.372105</v>
      </c>
      <c r="AB150" s="87">
        <v>0.336865</v>
      </c>
      <c r="AC150" s="87">
        <v>1.660677</v>
      </c>
      <c r="AD150" s="87">
        <v>2.403821</v>
      </c>
      <c r="AE150" s="87">
        <v>2.403821</v>
      </c>
      <c r="AF150" s="87">
        <v>5.101909</v>
      </c>
      <c r="AG150" s="87">
        <v>1.818186</v>
      </c>
      <c r="AH150" s="87">
        <v>0.085523</v>
      </c>
      <c r="AI150" s="87">
        <v>0.45598</v>
      </c>
      <c r="AJ150" s="87">
        <v>0.680898</v>
      </c>
      <c r="AK150" s="87">
        <v>1.660677</v>
      </c>
      <c r="AL150" s="88" t="s">
        <v>1396</v>
      </c>
    </row>
    <row r="151">
      <c r="A151" s="84" t="s">
        <v>1604</v>
      </c>
      <c r="B151" s="84" t="s">
        <v>1605</v>
      </c>
      <c r="C151" s="84" t="s">
        <v>481</v>
      </c>
      <c r="D151" s="84" t="s">
        <v>1601</v>
      </c>
      <c r="E151" s="84" t="s">
        <v>1400</v>
      </c>
      <c r="F151" s="87">
        <v>117.0</v>
      </c>
      <c r="G151" s="87">
        <v>12.0</v>
      </c>
      <c r="H151" s="87">
        <v>16224.0</v>
      </c>
      <c r="I151" s="87">
        <v>1288.0</v>
      </c>
      <c r="J151" s="87">
        <v>53.27946</v>
      </c>
      <c r="K151" s="87">
        <v>53.83444</v>
      </c>
      <c r="L151" s="87">
        <v>52.89047</v>
      </c>
      <c r="M151" s="87">
        <v>32.19689</v>
      </c>
      <c r="N151" s="87">
        <v>0.598072</v>
      </c>
      <c r="O151" s="87">
        <v>0.0</v>
      </c>
      <c r="P151" s="87">
        <v>0.051271</v>
      </c>
      <c r="Q151" s="87">
        <v>0.105081</v>
      </c>
      <c r="R151" s="87">
        <v>0.303973</v>
      </c>
      <c r="S151" s="87">
        <v>0.499816</v>
      </c>
      <c r="T151" s="87">
        <v>0.062917</v>
      </c>
      <c r="U151" s="87">
        <v>0.106723</v>
      </c>
      <c r="V151" s="87">
        <v>0.168148</v>
      </c>
      <c r="W151" s="87">
        <v>0.357313</v>
      </c>
      <c r="X151" s="87">
        <v>0.590193</v>
      </c>
      <c r="Y151" s="87">
        <v>0.460123</v>
      </c>
      <c r="Z151" s="87">
        <v>0.089712</v>
      </c>
      <c r="AA151" s="87">
        <v>0.372105</v>
      </c>
      <c r="AB151" s="87">
        <v>0.336865</v>
      </c>
      <c r="AC151" s="87">
        <v>1.660677</v>
      </c>
      <c r="AD151" s="87">
        <v>0.37941</v>
      </c>
      <c r="AE151" s="87">
        <v>0.409412</v>
      </c>
      <c r="AF151" s="87">
        <v>0.833539</v>
      </c>
      <c r="AG151" s="87">
        <v>1.151648</v>
      </c>
      <c r="AH151" s="87">
        <v>0.085523</v>
      </c>
      <c r="AI151" s="87">
        <v>0.45598</v>
      </c>
      <c r="AJ151" s="87">
        <v>0.680898</v>
      </c>
      <c r="AK151" s="87">
        <v>1.660677</v>
      </c>
      <c r="AL151" s="88" t="s">
        <v>1396</v>
      </c>
    </row>
    <row r="152">
      <c r="A152" s="84" t="s">
        <v>1606</v>
      </c>
      <c r="B152" s="84" t="s">
        <v>1607</v>
      </c>
      <c r="C152" s="84" t="s">
        <v>481</v>
      </c>
      <c r="D152" s="84" t="s">
        <v>1601</v>
      </c>
      <c r="E152" s="84" t="s">
        <v>1403</v>
      </c>
      <c r="F152" s="87">
        <v>55.0</v>
      </c>
      <c r="G152" s="87">
        <v>24.0</v>
      </c>
      <c r="H152" s="87">
        <v>4855.0</v>
      </c>
      <c r="I152" s="87">
        <v>4855.0</v>
      </c>
      <c r="J152" s="87">
        <v>0.0</v>
      </c>
      <c r="K152" s="87">
        <v>0.0</v>
      </c>
      <c r="L152" s="87">
        <v>0.0</v>
      </c>
      <c r="M152" s="87">
        <v>0.0</v>
      </c>
      <c r="N152" s="87">
        <v>0.0</v>
      </c>
      <c r="O152" s="87">
        <v>0.0</v>
      </c>
      <c r="P152" s="87">
        <v>0.0</v>
      </c>
      <c r="Q152" s="87">
        <v>0.0</v>
      </c>
      <c r="R152" s="87">
        <v>0.0</v>
      </c>
      <c r="S152" s="87">
        <v>0.0</v>
      </c>
      <c r="T152" s="87">
        <v>0.0</v>
      </c>
      <c r="U152" s="87">
        <v>0.0</v>
      </c>
      <c r="V152" s="87">
        <v>0.0</v>
      </c>
      <c r="W152" s="87">
        <v>0.0</v>
      </c>
      <c r="X152" s="87">
        <v>0.0</v>
      </c>
      <c r="Y152" s="87">
        <v>0.0</v>
      </c>
      <c r="Z152" s="87">
        <v>0.089712</v>
      </c>
      <c r="AA152" s="87">
        <v>0.372105</v>
      </c>
      <c r="AB152" s="87">
        <v>0.336865</v>
      </c>
      <c r="AC152" s="87">
        <v>1.660677</v>
      </c>
      <c r="AD152" s="87">
        <v>0.0</v>
      </c>
      <c r="AE152" s="87">
        <v>0.0</v>
      </c>
      <c r="AF152" s="87">
        <v>0.0</v>
      </c>
      <c r="AG152" s="87">
        <v>0.0</v>
      </c>
      <c r="AH152" s="87">
        <v>0.085523</v>
      </c>
      <c r="AI152" s="87">
        <v>0.45598</v>
      </c>
      <c r="AJ152" s="87">
        <v>0.680898</v>
      </c>
      <c r="AK152" s="87">
        <v>1.660677</v>
      </c>
      <c r="AL152" s="88" t="s">
        <v>1396</v>
      </c>
    </row>
    <row r="153">
      <c r="A153" s="84" t="s">
        <v>1608</v>
      </c>
      <c r="B153" s="84" t="s">
        <v>1609</v>
      </c>
      <c r="C153" s="84" t="s">
        <v>481</v>
      </c>
      <c r="D153" s="84" t="s">
        <v>492</v>
      </c>
      <c r="E153" s="84" t="s">
        <v>1413</v>
      </c>
      <c r="F153" s="87">
        <v>2.0</v>
      </c>
      <c r="G153" s="87">
        <v>0.0</v>
      </c>
      <c r="H153" s="87">
        <v>410.0</v>
      </c>
      <c r="I153" s="87">
        <v>0.0</v>
      </c>
      <c r="J153" s="87">
        <v>1.0</v>
      </c>
      <c r="K153" s="87">
        <v>1.224222</v>
      </c>
      <c r="L153" s="87">
        <v>1.16575</v>
      </c>
      <c r="M153" s="87">
        <v>1.224222</v>
      </c>
      <c r="N153" s="87">
        <v>1.0</v>
      </c>
      <c r="O153" s="87">
        <v>0.0</v>
      </c>
      <c r="P153" s="87">
        <v>0.0</v>
      </c>
      <c r="Q153" s="87">
        <v>0.0</v>
      </c>
      <c r="R153" s="87">
        <v>1.224222</v>
      </c>
      <c r="S153" s="87">
        <v>1.224222</v>
      </c>
      <c r="T153" s="87">
        <v>1.224222</v>
      </c>
      <c r="U153" s="87">
        <v>1.224222</v>
      </c>
      <c r="V153" s="87">
        <v>1.224222</v>
      </c>
      <c r="W153" s="87">
        <v>1.224222</v>
      </c>
      <c r="X153" s="87">
        <v>1.224222</v>
      </c>
      <c r="Y153" s="87">
        <v>0.612111</v>
      </c>
      <c r="Z153" s="87">
        <v>0.0</v>
      </c>
      <c r="AA153" s="87">
        <v>1.145331</v>
      </c>
      <c r="AB153" s="87">
        <v>1.091392</v>
      </c>
      <c r="AC153" s="87">
        <v>1.692772</v>
      </c>
      <c r="AD153" s="87">
        <v>0.909788</v>
      </c>
      <c r="AE153" s="87">
        <v>1.224222</v>
      </c>
      <c r="AF153" s="87">
        <v>2.717904</v>
      </c>
      <c r="AG153" s="87">
        <v>2.297512</v>
      </c>
      <c r="AH153" s="87">
        <v>0.085523</v>
      </c>
      <c r="AI153" s="87">
        <v>0.45598</v>
      </c>
      <c r="AJ153" s="87">
        <v>0.680898</v>
      </c>
      <c r="AK153" s="87">
        <v>1.660677</v>
      </c>
      <c r="AL153" s="88" t="s">
        <v>1396</v>
      </c>
    </row>
    <row r="154">
      <c r="A154" s="84" t="s">
        <v>1602</v>
      </c>
      <c r="B154" s="84" t="s">
        <v>1610</v>
      </c>
      <c r="C154" s="84" t="s">
        <v>481</v>
      </c>
      <c r="D154" s="84" t="s">
        <v>492</v>
      </c>
      <c r="E154" s="84" t="s">
        <v>1398</v>
      </c>
      <c r="F154" s="87">
        <v>3.0</v>
      </c>
      <c r="G154" s="87">
        <v>0.0</v>
      </c>
      <c r="H154" s="87">
        <v>2696.0</v>
      </c>
      <c r="I154" s="87">
        <v>0.0</v>
      </c>
      <c r="J154" s="87">
        <v>28.54722</v>
      </c>
      <c r="K154" s="87">
        <v>28.75564</v>
      </c>
      <c r="L154" s="87">
        <v>27.37822</v>
      </c>
      <c r="M154" s="87">
        <v>15.92263</v>
      </c>
      <c r="N154" s="87">
        <v>0.553722</v>
      </c>
      <c r="O154" s="87">
        <v>6.172273</v>
      </c>
      <c r="P154" s="87">
        <v>6.172273</v>
      </c>
      <c r="Q154" s="87">
        <v>6.172273</v>
      </c>
      <c r="R154" s="87">
        <v>6.660739</v>
      </c>
      <c r="S154" s="87">
        <v>15.92263</v>
      </c>
      <c r="T154" s="87">
        <v>6.172273</v>
      </c>
      <c r="U154" s="87">
        <v>6.172273</v>
      </c>
      <c r="V154" s="87">
        <v>6.172273</v>
      </c>
      <c r="W154" s="87">
        <v>6.660739</v>
      </c>
      <c r="X154" s="87">
        <v>15.92263</v>
      </c>
      <c r="Y154" s="87">
        <v>9.585213</v>
      </c>
      <c r="Z154" s="87">
        <v>0.0</v>
      </c>
      <c r="AA154" s="87">
        <v>1.145331</v>
      </c>
      <c r="AB154" s="87">
        <v>1.091392</v>
      </c>
      <c r="AC154" s="87">
        <v>1.692772</v>
      </c>
      <c r="AD154" s="87">
        <v>2.403821</v>
      </c>
      <c r="AE154" s="87">
        <v>2.403821</v>
      </c>
      <c r="AF154" s="87">
        <v>5.101909</v>
      </c>
      <c r="AG154" s="87">
        <v>1.818186</v>
      </c>
      <c r="AH154" s="87">
        <v>0.085523</v>
      </c>
      <c r="AI154" s="87">
        <v>0.45598</v>
      </c>
      <c r="AJ154" s="87">
        <v>0.680898</v>
      </c>
      <c r="AK154" s="87">
        <v>1.660677</v>
      </c>
      <c r="AL154" s="88" t="s">
        <v>1396</v>
      </c>
    </row>
    <row r="155">
      <c r="A155" s="84" t="s">
        <v>1604</v>
      </c>
      <c r="B155" s="84" t="s">
        <v>1611</v>
      </c>
      <c r="C155" s="84" t="s">
        <v>481</v>
      </c>
      <c r="D155" s="84" t="s">
        <v>492</v>
      </c>
      <c r="E155" s="84" t="s">
        <v>1400</v>
      </c>
      <c r="F155" s="87">
        <v>30.0</v>
      </c>
      <c r="G155" s="87">
        <v>0.0</v>
      </c>
      <c r="H155" s="87">
        <v>6153.0</v>
      </c>
      <c r="I155" s="87">
        <v>0.0</v>
      </c>
      <c r="J155" s="87">
        <v>49.73686</v>
      </c>
      <c r="K155" s="87">
        <v>50.78317</v>
      </c>
      <c r="L155" s="87">
        <v>51.56502</v>
      </c>
      <c r="M155" s="87">
        <v>32.7173</v>
      </c>
      <c r="N155" s="87">
        <v>0.644255</v>
      </c>
      <c r="O155" s="87">
        <v>0.047619</v>
      </c>
      <c r="P155" s="87">
        <v>0.083333</v>
      </c>
      <c r="Q155" s="87">
        <v>0.188312</v>
      </c>
      <c r="R155" s="87">
        <v>0.770353</v>
      </c>
      <c r="S155" s="87">
        <v>2.43277</v>
      </c>
      <c r="T155" s="87">
        <v>0.047619</v>
      </c>
      <c r="U155" s="87">
        <v>0.083333</v>
      </c>
      <c r="V155" s="87">
        <v>0.188312</v>
      </c>
      <c r="W155" s="87">
        <v>0.770353</v>
      </c>
      <c r="X155" s="87">
        <v>2.43277</v>
      </c>
      <c r="Y155" s="87">
        <v>1.692772</v>
      </c>
      <c r="Z155" s="87">
        <v>0.0</v>
      </c>
      <c r="AA155" s="87">
        <v>1.145331</v>
      </c>
      <c r="AB155" s="87">
        <v>1.091392</v>
      </c>
      <c r="AC155" s="87">
        <v>1.692772</v>
      </c>
      <c r="AD155" s="87">
        <v>0.37941</v>
      </c>
      <c r="AE155" s="87">
        <v>0.409412</v>
      </c>
      <c r="AF155" s="87">
        <v>0.833539</v>
      </c>
      <c r="AG155" s="87">
        <v>1.151648</v>
      </c>
      <c r="AH155" s="87">
        <v>0.085523</v>
      </c>
      <c r="AI155" s="87">
        <v>0.45598</v>
      </c>
      <c r="AJ155" s="87">
        <v>0.680898</v>
      </c>
      <c r="AK155" s="87">
        <v>1.660677</v>
      </c>
      <c r="AL155" s="88" t="s">
        <v>1396</v>
      </c>
    </row>
    <row r="156">
      <c r="A156" s="84" t="s">
        <v>1606</v>
      </c>
      <c r="B156" s="84" t="s">
        <v>1612</v>
      </c>
      <c r="C156" s="84" t="s">
        <v>481</v>
      </c>
      <c r="D156" s="84" t="s">
        <v>492</v>
      </c>
      <c r="E156" s="84" t="s">
        <v>1403</v>
      </c>
      <c r="F156" s="87">
        <v>39.0</v>
      </c>
      <c r="G156" s="87">
        <v>5.0</v>
      </c>
      <c r="H156" s="87">
        <v>115.0</v>
      </c>
      <c r="I156" s="87">
        <v>115.0</v>
      </c>
      <c r="J156" s="87">
        <v>0.0</v>
      </c>
      <c r="K156" s="87">
        <v>0.0</v>
      </c>
      <c r="L156" s="87">
        <v>0.0</v>
      </c>
      <c r="M156" s="87">
        <v>0.0</v>
      </c>
      <c r="N156" s="87">
        <v>0.0</v>
      </c>
      <c r="O156" s="87">
        <v>0.0</v>
      </c>
      <c r="P156" s="87">
        <v>0.0</v>
      </c>
      <c r="Q156" s="87">
        <v>0.0</v>
      </c>
      <c r="R156" s="87">
        <v>0.0</v>
      </c>
      <c r="S156" s="87">
        <v>0.0</v>
      </c>
      <c r="T156" s="87">
        <v>0.0</v>
      </c>
      <c r="U156" s="87">
        <v>0.0</v>
      </c>
      <c r="V156" s="87">
        <v>0.0</v>
      </c>
      <c r="W156" s="87">
        <v>0.0</v>
      </c>
      <c r="X156" s="87">
        <v>0.0</v>
      </c>
      <c r="Y156" s="87">
        <v>0.0</v>
      </c>
      <c r="Z156" s="87">
        <v>0.0</v>
      </c>
      <c r="AA156" s="87">
        <v>1.145331</v>
      </c>
      <c r="AB156" s="87">
        <v>1.091392</v>
      </c>
      <c r="AC156" s="87">
        <v>1.692772</v>
      </c>
      <c r="AD156" s="87">
        <v>0.0</v>
      </c>
      <c r="AE156" s="87">
        <v>0.0</v>
      </c>
      <c r="AF156" s="87">
        <v>0.0</v>
      </c>
      <c r="AG156" s="87">
        <v>0.0</v>
      </c>
      <c r="AH156" s="87">
        <v>0.085523</v>
      </c>
      <c r="AI156" s="87">
        <v>0.45598</v>
      </c>
      <c r="AJ156" s="87">
        <v>0.680898</v>
      </c>
      <c r="AK156" s="87">
        <v>1.660677</v>
      </c>
      <c r="AL156" s="88" t="s">
        <v>1396</v>
      </c>
    </row>
    <row r="157">
      <c r="A157" s="84" t="s">
        <v>1599</v>
      </c>
      <c r="B157" s="84" t="s">
        <v>1613</v>
      </c>
      <c r="C157" s="84" t="s">
        <v>481</v>
      </c>
      <c r="D157" s="84" t="s">
        <v>986</v>
      </c>
      <c r="E157" s="86">
        <v>46310.0</v>
      </c>
      <c r="F157" s="87">
        <v>1.0</v>
      </c>
      <c r="G157" s="87">
        <v>0.0</v>
      </c>
      <c r="H157" s="87">
        <v>221.0</v>
      </c>
      <c r="I157" s="87">
        <v>0.0</v>
      </c>
      <c r="J157" s="87">
        <v>2.705495</v>
      </c>
      <c r="K157" s="87">
        <v>2.3089</v>
      </c>
      <c r="L157" s="87">
        <v>2.298918</v>
      </c>
      <c r="M157" s="87">
        <v>2.3089</v>
      </c>
      <c r="N157" s="87">
        <v>1.0</v>
      </c>
      <c r="O157" s="87">
        <v>2.3089</v>
      </c>
      <c r="P157" s="87">
        <v>2.3089</v>
      </c>
      <c r="Q157" s="87">
        <v>2.3089</v>
      </c>
      <c r="R157" s="87">
        <v>2.3089</v>
      </c>
      <c r="S157" s="87">
        <v>2.3089</v>
      </c>
      <c r="T157" s="87">
        <v>2.3089</v>
      </c>
      <c r="U157" s="87">
        <v>2.3089</v>
      </c>
      <c r="V157" s="87">
        <v>2.3089</v>
      </c>
      <c r="W157" s="87">
        <v>2.3089</v>
      </c>
      <c r="X157" s="87">
        <v>2.3089</v>
      </c>
      <c r="Y157" s="87">
        <v>2.3089</v>
      </c>
      <c r="Z157" s="87">
        <v>0.0</v>
      </c>
      <c r="AA157" s="87">
        <v>0.562937</v>
      </c>
      <c r="AB157" s="87">
        <v>0.301621</v>
      </c>
      <c r="AC157" s="87">
        <v>2.297512</v>
      </c>
      <c r="AD157" s="87">
        <v>4.968142</v>
      </c>
      <c r="AE157" s="87">
        <v>4.968142</v>
      </c>
      <c r="AF157" s="87">
        <v>7.18525</v>
      </c>
      <c r="AG157" s="87">
        <v>2.3089</v>
      </c>
      <c r="AH157" s="87">
        <v>0.085523</v>
      </c>
      <c r="AI157" s="87">
        <v>0.45598</v>
      </c>
      <c r="AJ157" s="87">
        <v>0.680898</v>
      </c>
      <c r="AK157" s="87">
        <v>1.660677</v>
      </c>
      <c r="AL157" s="88" t="s">
        <v>1396</v>
      </c>
    </row>
    <row r="158">
      <c r="A158" s="84" t="s">
        <v>1608</v>
      </c>
      <c r="B158" s="84" t="s">
        <v>1614</v>
      </c>
      <c r="C158" s="84" t="s">
        <v>481</v>
      </c>
      <c r="D158" s="84" t="s">
        <v>986</v>
      </c>
      <c r="E158" s="84" t="s">
        <v>1413</v>
      </c>
      <c r="F158" s="87">
        <v>1.0</v>
      </c>
      <c r="G158" s="87">
        <v>0.0</v>
      </c>
      <c r="H158" s="87">
        <v>27.0</v>
      </c>
      <c r="I158" s="87">
        <v>0.0</v>
      </c>
      <c r="J158" s="87">
        <v>3.560689</v>
      </c>
      <c r="K158" s="87">
        <v>2.297512</v>
      </c>
      <c r="L158" s="87">
        <v>2.394513</v>
      </c>
      <c r="M158" s="87">
        <v>2.297512</v>
      </c>
      <c r="N158" s="87">
        <v>1.0</v>
      </c>
      <c r="O158" s="87">
        <v>2.297512</v>
      </c>
      <c r="P158" s="87">
        <v>2.297512</v>
      </c>
      <c r="Q158" s="87">
        <v>2.297512</v>
      </c>
      <c r="R158" s="87">
        <v>2.297512</v>
      </c>
      <c r="S158" s="87">
        <v>2.297512</v>
      </c>
      <c r="T158" s="87">
        <v>2.297512</v>
      </c>
      <c r="U158" s="87">
        <v>2.297512</v>
      </c>
      <c r="V158" s="87">
        <v>2.297512</v>
      </c>
      <c r="W158" s="87">
        <v>2.297512</v>
      </c>
      <c r="X158" s="87">
        <v>2.297512</v>
      </c>
      <c r="Y158" s="87">
        <v>2.297512</v>
      </c>
      <c r="Z158" s="87">
        <v>0.0</v>
      </c>
      <c r="AA158" s="87">
        <v>0.562937</v>
      </c>
      <c r="AB158" s="87">
        <v>0.301621</v>
      </c>
      <c r="AC158" s="87">
        <v>2.297512</v>
      </c>
      <c r="AD158" s="87">
        <v>0.909788</v>
      </c>
      <c r="AE158" s="87">
        <v>1.224222</v>
      </c>
      <c r="AF158" s="87">
        <v>2.717904</v>
      </c>
      <c r="AG158" s="87">
        <v>2.297512</v>
      </c>
      <c r="AH158" s="87">
        <v>0.085523</v>
      </c>
      <c r="AI158" s="87">
        <v>0.45598</v>
      </c>
      <c r="AJ158" s="87">
        <v>0.680898</v>
      </c>
      <c r="AK158" s="87">
        <v>1.660677</v>
      </c>
      <c r="AL158" s="88" t="s">
        <v>1396</v>
      </c>
    </row>
    <row r="159">
      <c r="A159" s="84" t="s">
        <v>1604</v>
      </c>
      <c r="B159" s="84" t="s">
        <v>1615</v>
      </c>
      <c r="C159" s="84" t="s">
        <v>481</v>
      </c>
      <c r="D159" s="84" t="s">
        <v>986</v>
      </c>
      <c r="E159" s="84" t="s">
        <v>1400</v>
      </c>
      <c r="F159" s="87">
        <v>29.0</v>
      </c>
      <c r="G159" s="87">
        <v>0.0</v>
      </c>
      <c r="H159" s="87">
        <v>5404.0</v>
      </c>
      <c r="I159" s="87">
        <v>0.0</v>
      </c>
      <c r="J159" s="87">
        <v>31.47623</v>
      </c>
      <c r="K159" s="87">
        <v>33.39778</v>
      </c>
      <c r="L159" s="87">
        <v>32.18857</v>
      </c>
      <c r="M159" s="87">
        <v>23.65588</v>
      </c>
      <c r="N159" s="87">
        <v>0.708307</v>
      </c>
      <c r="O159" s="87">
        <v>0.157576</v>
      </c>
      <c r="P159" s="87">
        <v>0.2</v>
      </c>
      <c r="Q159" s="87">
        <v>0.243478</v>
      </c>
      <c r="R159" s="87">
        <v>0.555357</v>
      </c>
      <c r="S159" s="87">
        <v>0.763721</v>
      </c>
      <c r="T159" s="87">
        <v>0.157576</v>
      </c>
      <c r="U159" s="87">
        <v>0.2</v>
      </c>
      <c r="V159" s="87">
        <v>0.243478</v>
      </c>
      <c r="W159" s="87">
        <v>0.555357</v>
      </c>
      <c r="X159" s="87">
        <v>0.763721</v>
      </c>
      <c r="Y159" s="87">
        <v>1.151648</v>
      </c>
      <c r="Z159" s="87">
        <v>0.0</v>
      </c>
      <c r="AA159" s="87">
        <v>0.562937</v>
      </c>
      <c r="AB159" s="87">
        <v>0.301621</v>
      </c>
      <c r="AC159" s="87">
        <v>2.297512</v>
      </c>
      <c r="AD159" s="87">
        <v>0.37941</v>
      </c>
      <c r="AE159" s="87">
        <v>0.409412</v>
      </c>
      <c r="AF159" s="87">
        <v>0.833539</v>
      </c>
      <c r="AG159" s="87">
        <v>1.151648</v>
      </c>
      <c r="AH159" s="87">
        <v>0.085523</v>
      </c>
      <c r="AI159" s="87">
        <v>0.45598</v>
      </c>
      <c r="AJ159" s="87">
        <v>0.680898</v>
      </c>
      <c r="AK159" s="87">
        <v>1.660677</v>
      </c>
      <c r="AL159" s="88" t="s">
        <v>1396</v>
      </c>
    </row>
    <row r="160">
      <c r="A160" s="84" t="s">
        <v>1606</v>
      </c>
      <c r="B160" s="84" t="s">
        <v>1616</v>
      </c>
      <c r="C160" s="84" t="s">
        <v>481</v>
      </c>
      <c r="D160" s="84" t="s">
        <v>986</v>
      </c>
      <c r="E160" s="84" t="s">
        <v>1403</v>
      </c>
      <c r="F160" s="87">
        <v>95.0</v>
      </c>
      <c r="G160" s="87">
        <v>0.0</v>
      </c>
      <c r="H160" s="87">
        <v>0.0</v>
      </c>
      <c r="I160" s="87">
        <v>0.0</v>
      </c>
      <c r="J160" s="87">
        <v>0.0</v>
      </c>
      <c r="K160" s="87">
        <v>0.0</v>
      </c>
      <c r="L160" s="87">
        <v>0.0</v>
      </c>
      <c r="M160" s="87">
        <v>0.0</v>
      </c>
      <c r="N160" s="87">
        <v>0.0</v>
      </c>
      <c r="O160" s="87">
        <v>0.0</v>
      </c>
      <c r="P160" s="87">
        <v>0.0</v>
      </c>
      <c r="Q160" s="87">
        <v>0.0</v>
      </c>
      <c r="R160" s="87">
        <v>0.0</v>
      </c>
      <c r="S160" s="87">
        <v>0.0</v>
      </c>
      <c r="T160" s="87">
        <v>0.0</v>
      </c>
      <c r="U160" s="87">
        <v>0.0</v>
      </c>
      <c r="V160" s="87">
        <v>0.0</v>
      </c>
      <c r="W160" s="87">
        <v>0.0</v>
      </c>
      <c r="X160" s="87">
        <v>0.0</v>
      </c>
      <c r="Y160" s="87">
        <v>0.0</v>
      </c>
      <c r="Z160" s="87">
        <v>0.0</v>
      </c>
      <c r="AA160" s="87">
        <v>0.562937</v>
      </c>
      <c r="AB160" s="87">
        <v>0.301621</v>
      </c>
      <c r="AC160" s="87">
        <v>2.297512</v>
      </c>
      <c r="AD160" s="87">
        <v>0.0</v>
      </c>
      <c r="AE160" s="87">
        <v>0.0</v>
      </c>
      <c r="AF160" s="87">
        <v>0.0</v>
      </c>
      <c r="AG160" s="87">
        <v>0.0</v>
      </c>
      <c r="AH160" s="87">
        <v>0.085523</v>
      </c>
      <c r="AI160" s="87">
        <v>0.45598</v>
      </c>
      <c r="AJ160" s="87">
        <v>0.680898</v>
      </c>
      <c r="AK160" s="87">
        <v>1.660677</v>
      </c>
      <c r="AL160" s="88" t="s">
        <v>1396</v>
      </c>
    </row>
    <row r="161">
      <c r="A161" s="84" t="s">
        <v>1599</v>
      </c>
      <c r="B161" s="84" t="s">
        <v>1617</v>
      </c>
      <c r="C161" s="84" t="s">
        <v>481</v>
      </c>
      <c r="D161" s="84" t="s">
        <v>482</v>
      </c>
      <c r="E161" s="89">
        <v>46310.0</v>
      </c>
      <c r="F161" s="87">
        <v>8.0</v>
      </c>
      <c r="G161" s="87">
        <v>0.0</v>
      </c>
      <c r="H161" s="87">
        <v>5885.0</v>
      </c>
      <c r="I161" s="87">
        <v>0.0</v>
      </c>
      <c r="J161" s="87">
        <v>60.72231</v>
      </c>
      <c r="K161" s="87">
        <v>67.74793</v>
      </c>
      <c r="L161" s="87">
        <v>60.83029</v>
      </c>
      <c r="M161" s="87">
        <v>42.94694</v>
      </c>
      <c r="N161" s="87">
        <v>0.633923</v>
      </c>
      <c r="O161" s="87">
        <v>1.469831</v>
      </c>
      <c r="P161" s="87">
        <v>2.190673</v>
      </c>
      <c r="Q161" s="87">
        <v>4.197624</v>
      </c>
      <c r="R161" s="87">
        <v>5.287586</v>
      </c>
      <c r="S161" s="87">
        <v>6.68713</v>
      </c>
      <c r="T161" s="87">
        <v>1.469831</v>
      </c>
      <c r="U161" s="87">
        <v>2.190673</v>
      </c>
      <c r="V161" s="87">
        <v>4.197624</v>
      </c>
      <c r="W161" s="87">
        <v>5.287586</v>
      </c>
      <c r="X161" s="87">
        <v>6.68713</v>
      </c>
      <c r="Y161" s="87">
        <v>8.468491</v>
      </c>
      <c r="Z161" s="87">
        <v>0.297433</v>
      </c>
      <c r="AA161" s="87">
        <v>0.535342</v>
      </c>
      <c r="AB161" s="87">
        <v>1.019843</v>
      </c>
      <c r="AC161" s="87">
        <v>1.818186</v>
      </c>
      <c r="AD161" s="87">
        <v>4.968142</v>
      </c>
      <c r="AE161" s="87">
        <v>4.968142</v>
      </c>
      <c r="AF161" s="87">
        <v>7.18525</v>
      </c>
      <c r="AG161" s="87">
        <v>2.3089</v>
      </c>
      <c r="AH161" s="87">
        <v>0.085523</v>
      </c>
      <c r="AI161" s="87">
        <v>0.45598</v>
      </c>
      <c r="AJ161" s="87">
        <v>0.680898</v>
      </c>
      <c r="AK161" s="87">
        <v>1.660677</v>
      </c>
      <c r="AL161" s="88" t="s">
        <v>1396</v>
      </c>
    </row>
    <row r="162">
      <c r="A162" s="84" t="s">
        <v>1608</v>
      </c>
      <c r="B162" s="84" t="s">
        <v>1618</v>
      </c>
      <c r="C162" s="84" t="s">
        <v>481</v>
      </c>
      <c r="D162" s="84" t="s">
        <v>482</v>
      </c>
      <c r="E162" s="84" t="s">
        <v>1413</v>
      </c>
      <c r="F162" s="87">
        <v>6.0</v>
      </c>
      <c r="G162" s="87">
        <v>0.0</v>
      </c>
      <c r="H162" s="87">
        <v>1520.0</v>
      </c>
      <c r="I162" s="87">
        <v>0.0</v>
      </c>
      <c r="J162" s="87">
        <v>19.97276</v>
      </c>
      <c r="K162" s="87">
        <v>20.9394</v>
      </c>
      <c r="L162" s="87">
        <v>21.97161</v>
      </c>
      <c r="M162" s="87">
        <v>19.11463</v>
      </c>
      <c r="N162" s="87">
        <v>0.912855</v>
      </c>
      <c r="O162" s="87">
        <v>0.0</v>
      </c>
      <c r="P162" s="87">
        <v>0.1</v>
      </c>
      <c r="Q162" s="87">
        <v>0.1</v>
      </c>
      <c r="R162" s="87">
        <v>0.909788</v>
      </c>
      <c r="S162" s="87">
        <v>5.438251</v>
      </c>
      <c r="T162" s="87">
        <v>0.1</v>
      </c>
      <c r="U162" s="87">
        <v>0.814975</v>
      </c>
      <c r="V162" s="87">
        <v>0.814975</v>
      </c>
      <c r="W162" s="87">
        <v>0.909788</v>
      </c>
      <c r="X162" s="87">
        <v>5.438251</v>
      </c>
      <c r="Y162" s="87">
        <v>3.4899</v>
      </c>
      <c r="Z162" s="87">
        <v>0.297433</v>
      </c>
      <c r="AA162" s="87">
        <v>0.535342</v>
      </c>
      <c r="AB162" s="87">
        <v>1.019843</v>
      </c>
      <c r="AC162" s="87">
        <v>1.818186</v>
      </c>
      <c r="AD162" s="87">
        <v>0.909788</v>
      </c>
      <c r="AE162" s="87">
        <v>1.224222</v>
      </c>
      <c r="AF162" s="87">
        <v>2.717904</v>
      </c>
      <c r="AG162" s="87">
        <v>2.297512</v>
      </c>
      <c r="AH162" s="87">
        <v>0.085523</v>
      </c>
      <c r="AI162" s="87">
        <v>0.45598</v>
      </c>
      <c r="AJ162" s="87">
        <v>0.680898</v>
      </c>
      <c r="AK162" s="87">
        <v>1.660677</v>
      </c>
      <c r="AL162" s="88" t="s">
        <v>1396</v>
      </c>
    </row>
    <row r="163">
      <c r="A163" s="84" t="s">
        <v>1602</v>
      </c>
      <c r="B163" s="84" t="s">
        <v>1619</v>
      </c>
      <c r="C163" s="84" t="s">
        <v>481</v>
      </c>
      <c r="D163" s="84" t="s">
        <v>482</v>
      </c>
      <c r="E163" s="84" t="s">
        <v>1398</v>
      </c>
      <c r="F163" s="87">
        <v>2.0</v>
      </c>
      <c r="G163" s="87">
        <v>0.0</v>
      </c>
      <c r="H163" s="87">
        <v>172.0</v>
      </c>
      <c r="I163" s="87">
        <v>0.0</v>
      </c>
      <c r="J163" s="87">
        <v>4.150816</v>
      </c>
      <c r="K163" s="87">
        <v>3.636371</v>
      </c>
      <c r="L163" s="87">
        <v>3.624449</v>
      </c>
      <c r="M163" s="87">
        <v>1.985655</v>
      </c>
      <c r="N163" s="87">
        <v>0.546054</v>
      </c>
      <c r="O163" s="87">
        <v>1.650716</v>
      </c>
      <c r="P163" s="87">
        <v>1.650716</v>
      </c>
      <c r="Q163" s="87">
        <v>1.650716</v>
      </c>
      <c r="R163" s="87">
        <v>1.985655</v>
      </c>
      <c r="S163" s="87">
        <v>1.985655</v>
      </c>
      <c r="T163" s="87">
        <v>1.650716</v>
      </c>
      <c r="U163" s="87">
        <v>1.650716</v>
      </c>
      <c r="V163" s="87">
        <v>1.650716</v>
      </c>
      <c r="W163" s="87">
        <v>1.985655</v>
      </c>
      <c r="X163" s="87">
        <v>1.985655</v>
      </c>
      <c r="Y163" s="87">
        <v>1.818186</v>
      </c>
      <c r="Z163" s="87">
        <v>0.297433</v>
      </c>
      <c r="AA163" s="87">
        <v>0.535342</v>
      </c>
      <c r="AB163" s="87">
        <v>1.019843</v>
      </c>
      <c r="AC163" s="87">
        <v>1.818186</v>
      </c>
      <c r="AD163" s="87">
        <v>2.403821</v>
      </c>
      <c r="AE163" s="87">
        <v>2.403821</v>
      </c>
      <c r="AF163" s="87">
        <v>5.101909</v>
      </c>
      <c r="AG163" s="87">
        <v>1.818186</v>
      </c>
      <c r="AH163" s="87">
        <v>0.085523</v>
      </c>
      <c r="AI163" s="87">
        <v>0.45598</v>
      </c>
      <c r="AJ163" s="87">
        <v>0.680898</v>
      </c>
      <c r="AK163" s="87">
        <v>1.660677</v>
      </c>
      <c r="AL163" s="88" t="s">
        <v>1396</v>
      </c>
    </row>
    <row r="164">
      <c r="A164" s="84" t="s">
        <v>1604</v>
      </c>
      <c r="B164" s="84" t="s">
        <v>1620</v>
      </c>
      <c r="C164" s="84" t="s">
        <v>481</v>
      </c>
      <c r="D164" s="84" t="s">
        <v>482</v>
      </c>
      <c r="E164" s="84" t="s">
        <v>1400</v>
      </c>
      <c r="F164" s="87">
        <v>159.0</v>
      </c>
      <c r="G164" s="87">
        <v>1.0</v>
      </c>
      <c r="H164" s="87">
        <v>33275.0</v>
      </c>
      <c r="I164" s="87">
        <v>133.0</v>
      </c>
      <c r="J164" s="87">
        <v>152.4101</v>
      </c>
      <c r="K164" s="87">
        <v>141.2202</v>
      </c>
      <c r="L164" s="87">
        <v>126.3693</v>
      </c>
      <c r="M164" s="87">
        <v>87.03029</v>
      </c>
      <c r="N164" s="87">
        <v>0.616273</v>
      </c>
      <c r="O164" s="87">
        <v>0.068205</v>
      </c>
      <c r="P164" s="87">
        <v>0.156386</v>
      </c>
      <c r="Q164" s="87">
        <v>0.245158</v>
      </c>
      <c r="R164" s="87">
        <v>0.438736</v>
      </c>
      <c r="S164" s="87">
        <v>0.941778</v>
      </c>
      <c r="T164" s="87">
        <v>0.083472</v>
      </c>
      <c r="U164" s="87">
        <v>0.185408</v>
      </c>
      <c r="V164" s="87">
        <v>0.260287</v>
      </c>
      <c r="W164" s="87">
        <v>0.453458</v>
      </c>
      <c r="X164" s="87">
        <v>0.967796</v>
      </c>
      <c r="Y164" s="87">
        <v>0.888178</v>
      </c>
      <c r="Z164" s="87">
        <v>0.297433</v>
      </c>
      <c r="AA164" s="87">
        <v>0.535342</v>
      </c>
      <c r="AB164" s="87">
        <v>1.019843</v>
      </c>
      <c r="AC164" s="87">
        <v>1.818186</v>
      </c>
      <c r="AD164" s="87">
        <v>0.37941</v>
      </c>
      <c r="AE164" s="87">
        <v>0.409412</v>
      </c>
      <c r="AF164" s="87">
        <v>0.833539</v>
      </c>
      <c r="AG164" s="87">
        <v>1.151648</v>
      </c>
      <c r="AH164" s="87">
        <v>0.085523</v>
      </c>
      <c r="AI164" s="87">
        <v>0.45598</v>
      </c>
      <c r="AJ164" s="87">
        <v>0.680898</v>
      </c>
      <c r="AK164" s="87">
        <v>1.660677</v>
      </c>
      <c r="AL164" s="88" t="s">
        <v>1396</v>
      </c>
    </row>
    <row r="165">
      <c r="A165" s="84" t="s">
        <v>1606</v>
      </c>
      <c r="B165" s="84" t="s">
        <v>1621</v>
      </c>
      <c r="C165" s="84" t="s">
        <v>481</v>
      </c>
      <c r="D165" s="84" t="s">
        <v>482</v>
      </c>
      <c r="E165" s="84" t="s">
        <v>1403</v>
      </c>
      <c r="F165" s="87">
        <v>54.0</v>
      </c>
      <c r="G165" s="87">
        <v>18.0</v>
      </c>
      <c r="H165" s="87">
        <v>3326.0</v>
      </c>
      <c r="I165" s="87">
        <v>3326.0</v>
      </c>
      <c r="J165" s="87">
        <v>0.0</v>
      </c>
      <c r="K165" s="87">
        <v>0.0</v>
      </c>
      <c r="L165" s="87">
        <v>0.0</v>
      </c>
      <c r="M165" s="87">
        <v>0.0</v>
      </c>
      <c r="N165" s="87">
        <v>0.0</v>
      </c>
      <c r="O165" s="87">
        <v>0.0</v>
      </c>
      <c r="P165" s="87">
        <v>0.0</v>
      </c>
      <c r="Q165" s="87">
        <v>0.0</v>
      </c>
      <c r="R165" s="87">
        <v>0.0</v>
      </c>
      <c r="S165" s="87">
        <v>0.0</v>
      </c>
      <c r="T165" s="87">
        <v>0.0</v>
      </c>
      <c r="U165" s="87">
        <v>0.0</v>
      </c>
      <c r="V165" s="87">
        <v>0.0</v>
      </c>
      <c r="W165" s="87">
        <v>0.0</v>
      </c>
      <c r="X165" s="87">
        <v>0.0</v>
      </c>
      <c r="Y165" s="87">
        <v>0.0</v>
      </c>
      <c r="Z165" s="87">
        <v>0.297433</v>
      </c>
      <c r="AA165" s="87">
        <v>0.535342</v>
      </c>
      <c r="AB165" s="87">
        <v>1.019843</v>
      </c>
      <c r="AC165" s="87">
        <v>1.818186</v>
      </c>
      <c r="AD165" s="87">
        <v>0.0</v>
      </c>
      <c r="AE165" s="87">
        <v>0.0</v>
      </c>
      <c r="AF165" s="87">
        <v>0.0</v>
      </c>
      <c r="AG165" s="87">
        <v>0.0</v>
      </c>
      <c r="AH165" s="87">
        <v>0.085523</v>
      </c>
      <c r="AI165" s="87">
        <v>0.45598</v>
      </c>
      <c r="AJ165" s="87">
        <v>0.680898</v>
      </c>
      <c r="AK165" s="87">
        <v>1.660677</v>
      </c>
      <c r="AL165" s="88" t="s">
        <v>1396</v>
      </c>
    </row>
    <row r="166">
      <c r="A166" s="84" t="s">
        <v>1622</v>
      </c>
      <c r="B166" s="84" t="s">
        <v>1623</v>
      </c>
      <c r="C166" s="84" t="s">
        <v>1624</v>
      </c>
      <c r="D166" s="84" t="s">
        <v>1625</v>
      </c>
      <c r="E166" s="84" t="s">
        <v>1400</v>
      </c>
      <c r="F166" s="87">
        <v>1.0</v>
      </c>
      <c r="G166" s="87">
        <v>0.0</v>
      </c>
      <c r="H166" s="87">
        <v>835.0</v>
      </c>
      <c r="I166" s="87">
        <v>0.0</v>
      </c>
      <c r="J166" s="87">
        <v>0.285714</v>
      </c>
      <c r="K166" s="87">
        <v>0.398925</v>
      </c>
      <c r="L166" s="87">
        <v>0.53942</v>
      </c>
      <c r="M166" s="87">
        <v>0.398925</v>
      </c>
      <c r="N166" s="87">
        <v>1.0</v>
      </c>
      <c r="O166" s="87">
        <v>0.398925</v>
      </c>
      <c r="P166" s="87">
        <v>0.398925</v>
      </c>
      <c r="Q166" s="87">
        <v>0.398925</v>
      </c>
      <c r="R166" s="87">
        <v>0.398925</v>
      </c>
      <c r="S166" s="87">
        <v>0.398925</v>
      </c>
      <c r="T166" s="87">
        <v>0.398925</v>
      </c>
      <c r="U166" s="87">
        <v>0.398925</v>
      </c>
      <c r="V166" s="87">
        <v>0.398925</v>
      </c>
      <c r="W166" s="87">
        <v>0.398925</v>
      </c>
      <c r="X166" s="87">
        <v>0.398925</v>
      </c>
      <c r="Y166" s="87">
        <v>0.398925</v>
      </c>
      <c r="Z166" s="87">
        <v>0.398925</v>
      </c>
      <c r="AA166" s="87">
        <v>0.398925</v>
      </c>
      <c r="AB166" s="87">
        <v>0.398925</v>
      </c>
      <c r="AC166" s="87">
        <v>0.398925</v>
      </c>
      <c r="AD166" s="87">
        <v>0.398925</v>
      </c>
      <c r="AE166" s="87">
        <v>0.398925</v>
      </c>
      <c r="AF166" s="87">
        <v>0.398925</v>
      </c>
      <c r="AG166" s="87">
        <v>0.398925</v>
      </c>
      <c r="AH166" s="87">
        <v>0.398925</v>
      </c>
      <c r="AI166" s="87">
        <v>0.398925</v>
      </c>
      <c r="AJ166" s="87">
        <v>0.398925</v>
      </c>
      <c r="AK166" s="87">
        <v>0.398925</v>
      </c>
      <c r="AL166" s="88" t="s">
        <v>1396</v>
      </c>
    </row>
    <row r="167">
      <c r="A167" s="84" t="s">
        <v>1626</v>
      </c>
      <c r="B167" s="84" t="s">
        <v>1627</v>
      </c>
      <c r="C167" s="84" t="s">
        <v>180</v>
      </c>
      <c r="D167" s="84" t="s">
        <v>1628</v>
      </c>
      <c r="E167" s="84" t="s">
        <v>1400</v>
      </c>
      <c r="F167" s="87">
        <v>14.0</v>
      </c>
      <c r="G167" s="87">
        <v>0.0</v>
      </c>
      <c r="H167" s="87">
        <v>4723.0</v>
      </c>
      <c r="I167" s="87">
        <v>0.0</v>
      </c>
      <c r="J167" s="87">
        <v>42.84535</v>
      </c>
      <c r="K167" s="87">
        <v>53.06337</v>
      </c>
      <c r="L167" s="87">
        <v>45.62611</v>
      </c>
      <c r="M167" s="87">
        <v>39.87924</v>
      </c>
      <c r="N167" s="87">
        <v>0.75154</v>
      </c>
      <c r="O167" s="87">
        <v>0.596774</v>
      </c>
      <c r="P167" s="87">
        <v>0.607143</v>
      </c>
      <c r="Q167" s="87">
        <v>0.762366</v>
      </c>
      <c r="R167" s="87">
        <v>1.60386</v>
      </c>
      <c r="S167" s="87">
        <v>2.537356</v>
      </c>
      <c r="T167" s="87">
        <v>0.607143</v>
      </c>
      <c r="U167" s="87">
        <v>0.721503</v>
      </c>
      <c r="V167" s="87">
        <v>0.762366</v>
      </c>
      <c r="W167" s="87">
        <v>1.60386</v>
      </c>
      <c r="X167" s="87">
        <v>2.581923</v>
      </c>
      <c r="Y167" s="87">
        <v>3.790241</v>
      </c>
      <c r="Z167" s="87">
        <v>1.265591</v>
      </c>
      <c r="AA167" s="87">
        <v>1.60386</v>
      </c>
      <c r="AB167" s="87">
        <v>3.537558</v>
      </c>
      <c r="AC167" s="87">
        <v>3.790241</v>
      </c>
      <c r="AD167" s="87">
        <v>1.525666</v>
      </c>
      <c r="AE167" s="87">
        <v>2.537356</v>
      </c>
      <c r="AF167" s="87">
        <v>9.943698</v>
      </c>
      <c r="AG167" s="87">
        <v>4.141047</v>
      </c>
      <c r="AH167" s="87">
        <v>0.0</v>
      </c>
      <c r="AI167" s="87">
        <v>13.385</v>
      </c>
      <c r="AJ167" s="87">
        <v>8.800684</v>
      </c>
      <c r="AK167" s="87">
        <v>10.3256</v>
      </c>
      <c r="AL167" s="88" t="s">
        <v>1396</v>
      </c>
    </row>
    <row r="168">
      <c r="A168" s="84" t="s">
        <v>1629</v>
      </c>
      <c r="B168" s="84" t="s">
        <v>1630</v>
      </c>
      <c r="C168" s="84" t="s">
        <v>180</v>
      </c>
      <c r="D168" s="84" t="s">
        <v>1628</v>
      </c>
      <c r="E168" s="84" t="s">
        <v>1403</v>
      </c>
      <c r="F168" s="87">
        <v>1.0</v>
      </c>
      <c r="G168" s="87">
        <v>1.0</v>
      </c>
      <c r="H168" s="87">
        <v>32.0</v>
      </c>
      <c r="I168" s="87">
        <v>32.0</v>
      </c>
      <c r="J168" s="87">
        <v>0.0</v>
      </c>
      <c r="K168" s="87">
        <v>0.0</v>
      </c>
      <c r="L168" s="87">
        <v>0.0</v>
      </c>
      <c r="M168" s="87">
        <v>0.0</v>
      </c>
      <c r="N168" s="87">
        <v>0.0</v>
      </c>
      <c r="O168" s="87">
        <v>0.0</v>
      </c>
      <c r="P168" s="87">
        <v>0.0</v>
      </c>
      <c r="Q168" s="87">
        <v>0.0</v>
      </c>
      <c r="R168" s="87">
        <v>0.0</v>
      </c>
      <c r="S168" s="87">
        <v>0.0</v>
      </c>
      <c r="T168" s="87">
        <v>0.0</v>
      </c>
      <c r="U168" s="87">
        <v>0.0</v>
      </c>
      <c r="V168" s="87">
        <v>0.0</v>
      </c>
      <c r="W168" s="87">
        <v>0.0</v>
      </c>
      <c r="X168" s="87">
        <v>0.0</v>
      </c>
      <c r="Y168" s="87">
        <v>0.0</v>
      </c>
      <c r="Z168" s="87">
        <v>1.265591</v>
      </c>
      <c r="AA168" s="87">
        <v>1.60386</v>
      </c>
      <c r="AB168" s="87">
        <v>3.537558</v>
      </c>
      <c r="AC168" s="87">
        <v>3.790241</v>
      </c>
      <c r="AD168" s="87">
        <v>0.0</v>
      </c>
      <c r="AE168" s="87">
        <v>0.0</v>
      </c>
      <c r="AF168" s="87">
        <v>0.0</v>
      </c>
      <c r="AG168" s="87">
        <v>0.0</v>
      </c>
      <c r="AH168" s="87">
        <v>0.0</v>
      </c>
      <c r="AI168" s="87">
        <v>13.385</v>
      </c>
      <c r="AJ168" s="87">
        <v>8.800684</v>
      </c>
      <c r="AK168" s="87">
        <v>10.3256</v>
      </c>
      <c r="AL168" s="88" t="s">
        <v>1396</v>
      </c>
    </row>
    <row r="169">
      <c r="A169" s="84" t="s">
        <v>1629</v>
      </c>
      <c r="B169" s="84" t="s">
        <v>1631</v>
      </c>
      <c r="C169" s="84" t="s">
        <v>180</v>
      </c>
      <c r="D169" s="84" t="s">
        <v>1632</v>
      </c>
      <c r="E169" s="84" t="s">
        <v>1403</v>
      </c>
      <c r="F169" s="87">
        <v>9.0</v>
      </c>
      <c r="G169" s="87">
        <v>0.0</v>
      </c>
      <c r="H169" s="87">
        <v>0.0</v>
      </c>
      <c r="I169" s="87">
        <v>0.0</v>
      </c>
      <c r="J169" s="87">
        <v>0.0</v>
      </c>
      <c r="K169" s="87">
        <v>0.0</v>
      </c>
      <c r="L169" s="87">
        <v>0.0</v>
      </c>
      <c r="M169" s="87">
        <v>0.0</v>
      </c>
      <c r="N169" s="87">
        <v>0.0</v>
      </c>
      <c r="O169" s="87">
        <v>0.0</v>
      </c>
      <c r="P169" s="87">
        <v>0.0</v>
      </c>
      <c r="Q169" s="87">
        <v>0.0</v>
      </c>
      <c r="R169" s="87">
        <v>0.0</v>
      </c>
      <c r="S169" s="87">
        <v>0.0</v>
      </c>
      <c r="T169" s="87">
        <v>0.0</v>
      </c>
      <c r="U169" s="87">
        <v>0.0</v>
      </c>
      <c r="V169" s="87">
        <v>0.0</v>
      </c>
      <c r="W169" s="87">
        <v>0.0</v>
      </c>
      <c r="X169" s="87">
        <v>0.0</v>
      </c>
      <c r="Y169" s="87">
        <v>0.0</v>
      </c>
      <c r="Z169" s="87">
        <v>0.0</v>
      </c>
      <c r="AA169" s="87">
        <v>0.0</v>
      </c>
      <c r="AB169" s="87">
        <v>0.0</v>
      </c>
      <c r="AC169" s="87">
        <v>0.0</v>
      </c>
      <c r="AD169" s="87">
        <v>0.0</v>
      </c>
      <c r="AE169" s="87">
        <v>0.0</v>
      </c>
      <c r="AF169" s="87">
        <v>0.0</v>
      </c>
      <c r="AG169" s="87">
        <v>0.0</v>
      </c>
      <c r="AH169" s="87">
        <v>0.0</v>
      </c>
      <c r="AI169" s="87">
        <v>13.385</v>
      </c>
      <c r="AJ169" s="87">
        <v>8.800684</v>
      </c>
      <c r="AK169" s="87">
        <v>10.3256</v>
      </c>
      <c r="AL169" s="88" t="s">
        <v>1396</v>
      </c>
    </row>
    <row r="170">
      <c r="A170" s="84" t="s">
        <v>1633</v>
      </c>
      <c r="B170" s="84" t="s">
        <v>1634</v>
      </c>
      <c r="C170" s="84" t="s">
        <v>180</v>
      </c>
      <c r="D170" s="84" t="s">
        <v>808</v>
      </c>
      <c r="E170" s="84" t="s">
        <v>1426</v>
      </c>
      <c r="F170" s="87">
        <v>2.0</v>
      </c>
      <c r="G170" s="87">
        <v>0.0</v>
      </c>
      <c r="H170" s="87">
        <v>245.0</v>
      </c>
      <c r="I170" s="87">
        <v>0.0</v>
      </c>
      <c r="J170" s="87">
        <v>59.73156</v>
      </c>
      <c r="K170" s="87">
        <v>62.44503</v>
      </c>
      <c r="L170" s="87">
        <v>60.3908</v>
      </c>
      <c r="M170" s="87">
        <v>45.66748</v>
      </c>
      <c r="N170" s="87">
        <v>0.731323</v>
      </c>
      <c r="O170" s="87">
        <v>16.77755</v>
      </c>
      <c r="P170" s="87">
        <v>16.77755</v>
      </c>
      <c r="Q170" s="87">
        <v>16.77755</v>
      </c>
      <c r="R170" s="87">
        <v>45.66748</v>
      </c>
      <c r="S170" s="87">
        <v>45.66748</v>
      </c>
      <c r="T170" s="87">
        <v>16.77755</v>
      </c>
      <c r="U170" s="87">
        <v>16.77755</v>
      </c>
      <c r="V170" s="87">
        <v>16.77755</v>
      </c>
      <c r="W170" s="87">
        <v>45.66748</v>
      </c>
      <c r="X170" s="87">
        <v>45.66748</v>
      </c>
      <c r="Y170" s="87">
        <v>31.22251</v>
      </c>
      <c r="Z170" s="87">
        <v>0.0</v>
      </c>
      <c r="AA170" s="87">
        <v>26.02857</v>
      </c>
      <c r="AB170" s="87">
        <v>30.13319</v>
      </c>
      <c r="AC170" s="87">
        <v>24.47063</v>
      </c>
      <c r="AD170" s="87">
        <v>24.2854</v>
      </c>
      <c r="AE170" s="87">
        <v>32.85595</v>
      </c>
      <c r="AF170" s="87">
        <v>30.10181</v>
      </c>
      <c r="AG170" s="87">
        <v>29.55965</v>
      </c>
      <c r="AH170" s="87">
        <v>0.0</v>
      </c>
      <c r="AI170" s="87">
        <v>13.385</v>
      </c>
      <c r="AJ170" s="87">
        <v>8.800684</v>
      </c>
      <c r="AK170" s="87">
        <v>10.3256</v>
      </c>
      <c r="AL170" s="88" t="s">
        <v>1396</v>
      </c>
    </row>
    <row r="171">
      <c r="A171" s="84" t="s">
        <v>1635</v>
      </c>
      <c r="B171" s="84" t="s">
        <v>1636</v>
      </c>
      <c r="C171" s="84" t="s">
        <v>180</v>
      </c>
      <c r="D171" s="84" t="s">
        <v>808</v>
      </c>
      <c r="E171" s="86">
        <v>46310.0</v>
      </c>
      <c r="F171" s="87">
        <v>10.0</v>
      </c>
      <c r="G171" s="87">
        <v>0.0</v>
      </c>
      <c r="H171" s="87">
        <v>2517.0</v>
      </c>
      <c r="I171" s="87">
        <v>0.0</v>
      </c>
      <c r="J171" s="87">
        <v>786.5973</v>
      </c>
      <c r="K171" s="87">
        <v>771.004</v>
      </c>
      <c r="L171" s="87">
        <v>728.8066</v>
      </c>
      <c r="M171" s="87">
        <v>622.4395</v>
      </c>
      <c r="N171" s="87">
        <v>0.80731</v>
      </c>
      <c r="O171" s="87">
        <v>4.629357</v>
      </c>
      <c r="P171" s="87">
        <v>5.629932</v>
      </c>
      <c r="Q171" s="87">
        <v>7.728234</v>
      </c>
      <c r="R171" s="87">
        <v>24.40863</v>
      </c>
      <c r="S171" s="87">
        <v>45.40855</v>
      </c>
      <c r="T171" s="87">
        <v>4.629357</v>
      </c>
      <c r="U171" s="87">
        <v>5.629932</v>
      </c>
      <c r="V171" s="87">
        <v>7.728234</v>
      </c>
      <c r="W171" s="87">
        <v>24.40863</v>
      </c>
      <c r="X171" s="87">
        <v>45.40855</v>
      </c>
      <c r="Y171" s="87">
        <v>77.1004</v>
      </c>
      <c r="Z171" s="87">
        <v>0.0</v>
      </c>
      <c r="AA171" s="87">
        <v>26.02857</v>
      </c>
      <c r="AB171" s="87">
        <v>30.13319</v>
      </c>
      <c r="AC171" s="87">
        <v>24.47063</v>
      </c>
      <c r="AD171" s="87">
        <v>6.870801</v>
      </c>
      <c r="AE171" s="87">
        <v>12.43729</v>
      </c>
      <c r="AF171" s="87">
        <v>27.66828</v>
      </c>
      <c r="AG171" s="87">
        <v>14.65759</v>
      </c>
      <c r="AH171" s="87">
        <v>0.0</v>
      </c>
      <c r="AI171" s="87">
        <v>13.385</v>
      </c>
      <c r="AJ171" s="87">
        <v>8.800684</v>
      </c>
      <c r="AK171" s="87">
        <v>10.3256</v>
      </c>
      <c r="AL171" s="88" t="s">
        <v>1396</v>
      </c>
    </row>
    <row r="172">
      <c r="A172" s="84" t="s">
        <v>1637</v>
      </c>
      <c r="B172" s="84" t="s">
        <v>1638</v>
      </c>
      <c r="C172" s="84" t="s">
        <v>180</v>
      </c>
      <c r="D172" s="84" t="s">
        <v>808</v>
      </c>
      <c r="E172" s="84" t="s">
        <v>1413</v>
      </c>
      <c r="F172" s="87">
        <v>3.0</v>
      </c>
      <c r="G172" s="87">
        <v>0.0</v>
      </c>
      <c r="H172" s="87">
        <v>608.0</v>
      </c>
      <c r="I172" s="87">
        <v>0.0</v>
      </c>
      <c r="J172" s="87">
        <v>143.7369</v>
      </c>
      <c r="K172" s="87">
        <v>146.969</v>
      </c>
      <c r="L172" s="87">
        <v>149.2487</v>
      </c>
      <c r="M172" s="87">
        <v>142.3261</v>
      </c>
      <c r="N172" s="87">
        <v>0.968409</v>
      </c>
      <c r="O172" s="87">
        <v>0.0</v>
      </c>
      <c r="P172" s="87">
        <v>0.0</v>
      </c>
      <c r="Q172" s="87">
        <v>0.0</v>
      </c>
      <c r="R172" s="87">
        <v>4.642963</v>
      </c>
      <c r="S172" s="87">
        <v>142.3261</v>
      </c>
      <c r="T172" s="87">
        <v>4.642963</v>
      </c>
      <c r="U172" s="87">
        <v>4.642963</v>
      </c>
      <c r="V172" s="87">
        <v>4.642963</v>
      </c>
      <c r="W172" s="87">
        <v>142.3261</v>
      </c>
      <c r="X172" s="87">
        <v>142.3261</v>
      </c>
      <c r="Y172" s="87">
        <v>48.98967</v>
      </c>
      <c r="Z172" s="87">
        <v>0.0</v>
      </c>
      <c r="AA172" s="87">
        <v>26.02857</v>
      </c>
      <c r="AB172" s="87">
        <v>30.13319</v>
      </c>
      <c r="AC172" s="87">
        <v>24.47063</v>
      </c>
      <c r="AD172" s="87">
        <v>4.642963</v>
      </c>
      <c r="AE172" s="87">
        <v>6.617382</v>
      </c>
      <c r="AF172" s="87">
        <v>13.25379</v>
      </c>
      <c r="AG172" s="87">
        <v>11.37515</v>
      </c>
      <c r="AH172" s="87">
        <v>0.0</v>
      </c>
      <c r="AI172" s="87">
        <v>13.385</v>
      </c>
      <c r="AJ172" s="87">
        <v>8.800684</v>
      </c>
      <c r="AK172" s="87">
        <v>10.3256</v>
      </c>
      <c r="AL172" s="88" t="s">
        <v>1396</v>
      </c>
    </row>
    <row r="173">
      <c r="A173" s="84" t="s">
        <v>1639</v>
      </c>
      <c r="B173" s="84" t="s">
        <v>1640</v>
      </c>
      <c r="C173" s="84" t="s">
        <v>180</v>
      </c>
      <c r="D173" s="84" t="s">
        <v>808</v>
      </c>
      <c r="E173" s="84" t="s">
        <v>1398</v>
      </c>
      <c r="F173" s="87">
        <v>1.0</v>
      </c>
      <c r="G173" s="87">
        <v>0.0</v>
      </c>
      <c r="H173" s="87">
        <v>72.0</v>
      </c>
      <c r="I173" s="87">
        <v>0.0</v>
      </c>
      <c r="J173" s="87">
        <v>22.80692</v>
      </c>
      <c r="K173" s="87">
        <v>24.47063</v>
      </c>
      <c r="L173" s="87">
        <v>23.47084</v>
      </c>
      <c r="M173" s="87">
        <v>24.47063</v>
      </c>
      <c r="N173" s="87">
        <v>1.0</v>
      </c>
      <c r="O173" s="87">
        <v>24.47063</v>
      </c>
      <c r="P173" s="87">
        <v>24.47063</v>
      </c>
      <c r="Q173" s="87">
        <v>24.47063</v>
      </c>
      <c r="R173" s="87">
        <v>24.47063</v>
      </c>
      <c r="S173" s="87">
        <v>24.47063</v>
      </c>
      <c r="T173" s="87">
        <v>24.47063</v>
      </c>
      <c r="U173" s="87">
        <v>24.47063</v>
      </c>
      <c r="V173" s="87">
        <v>24.47063</v>
      </c>
      <c r="W173" s="87">
        <v>24.47063</v>
      </c>
      <c r="X173" s="87">
        <v>24.47063</v>
      </c>
      <c r="Y173" s="87">
        <v>24.47063</v>
      </c>
      <c r="Z173" s="87">
        <v>0.0</v>
      </c>
      <c r="AA173" s="87">
        <v>26.02857</v>
      </c>
      <c r="AB173" s="87">
        <v>30.13319</v>
      </c>
      <c r="AC173" s="87">
        <v>24.47063</v>
      </c>
      <c r="AD173" s="87">
        <v>3.238837</v>
      </c>
      <c r="AE173" s="87">
        <v>6.441452</v>
      </c>
      <c r="AF173" s="87">
        <v>6.514856</v>
      </c>
      <c r="AG173" s="87">
        <v>6.677616</v>
      </c>
      <c r="AH173" s="87">
        <v>0.0</v>
      </c>
      <c r="AI173" s="87">
        <v>13.385</v>
      </c>
      <c r="AJ173" s="87">
        <v>8.800684</v>
      </c>
      <c r="AK173" s="87">
        <v>10.3256</v>
      </c>
      <c r="AL173" s="88" t="s">
        <v>1396</v>
      </c>
    </row>
    <row r="174">
      <c r="A174" s="84" t="s">
        <v>1626</v>
      </c>
      <c r="B174" s="84" t="s">
        <v>1641</v>
      </c>
      <c r="C174" s="84" t="s">
        <v>180</v>
      </c>
      <c r="D174" s="84" t="s">
        <v>808</v>
      </c>
      <c r="E174" s="84" t="s">
        <v>1400</v>
      </c>
      <c r="F174" s="87">
        <v>1.0</v>
      </c>
      <c r="G174" s="87">
        <v>0.0</v>
      </c>
      <c r="H174" s="87">
        <v>48.0</v>
      </c>
      <c r="I174" s="87">
        <v>0.0</v>
      </c>
      <c r="J174" s="87">
        <v>14.62334</v>
      </c>
      <c r="K174" s="87">
        <v>16.57278</v>
      </c>
      <c r="L174" s="87">
        <v>16.37736</v>
      </c>
      <c r="M174" s="87">
        <v>16.57278</v>
      </c>
      <c r="N174" s="87">
        <v>1.0</v>
      </c>
      <c r="O174" s="87">
        <v>16.57278</v>
      </c>
      <c r="P174" s="87">
        <v>16.57278</v>
      </c>
      <c r="Q174" s="87">
        <v>16.57278</v>
      </c>
      <c r="R174" s="87">
        <v>16.57278</v>
      </c>
      <c r="S174" s="87">
        <v>16.57278</v>
      </c>
      <c r="T174" s="87">
        <v>16.57278</v>
      </c>
      <c r="U174" s="87">
        <v>16.57278</v>
      </c>
      <c r="V174" s="87">
        <v>16.57278</v>
      </c>
      <c r="W174" s="87">
        <v>16.57278</v>
      </c>
      <c r="X174" s="87">
        <v>16.57278</v>
      </c>
      <c r="Y174" s="87">
        <v>16.57278</v>
      </c>
      <c r="Z174" s="87">
        <v>0.0</v>
      </c>
      <c r="AA174" s="87">
        <v>26.02857</v>
      </c>
      <c r="AB174" s="87">
        <v>30.13319</v>
      </c>
      <c r="AC174" s="87">
        <v>24.47063</v>
      </c>
      <c r="AD174" s="87">
        <v>1.525666</v>
      </c>
      <c r="AE174" s="87">
        <v>2.537356</v>
      </c>
      <c r="AF174" s="87">
        <v>9.943698</v>
      </c>
      <c r="AG174" s="87">
        <v>4.141047</v>
      </c>
      <c r="AH174" s="87">
        <v>0.0</v>
      </c>
      <c r="AI174" s="87">
        <v>13.385</v>
      </c>
      <c r="AJ174" s="87">
        <v>8.800684</v>
      </c>
      <c r="AK174" s="87">
        <v>10.3256</v>
      </c>
      <c r="AL174" s="88" t="s">
        <v>1396</v>
      </c>
    </row>
    <row r="175">
      <c r="A175" s="84" t="s">
        <v>1642</v>
      </c>
      <c r="B175" s="84" t="s">
        <v>1643</v>
      </c>
      <c r="C175" s="84" t="s">
        <v>180</v>
      </c>
      <c r="D175" s="84" t="s">
        <v>808</v>
      </c>
      <c r="E175" s="89">
        <v>46300.0</v>
      </c>
      <c r="F175" s="87">
        <v>17.0</v>
      </c>
      <c r="G175" s="87">
        <v>0.0</v>
      </c>
      <c r="H175" s="87">
        <v>7763.0</v>
      </c>
      <c r="I175" s="87">
        <v>0.0</v>
      </c>
      <c r="J175" s="87">
        <v>1511.618</v>
      </c>
      <c r="K175" s="87">
        <v>1566.397</v>
      </c>
      <c r="L175" s="87">
        <v>1547.11</v>
      </c>
      <c r="M175" s="87">
        <v>1216.929</v>
      </c>
      <c r="N175" s="87">
        <v>0.776897</v>
      </c>
      <c r="O175" s="87">
        <v>0.0</v>
      </c>
      <c r="P175" s="87">
        <v>0.0</v>
      </c>
      <c r="Q175" s="87">
        <v>15.81412</v>
      </c>
      <c r="R175" s="87">
        <v>35.35509</v>
      </c>
      <c r="S175" s="87">
        <v>79.36863</v>
      </c>
      <c r="T175" s="87">
        <v>15.81412</v>
      </c>
      <c r="U175" s="87">
        <v>21.54587</v>
      </c>
      <c r="V175" s="87">
        <v>21.90565</v>
      </c>
      <c r="W175" s="87">
        <v>42.64474</v>
      </c>
      <c r="X175" s="87">
        <v>115.2264</v>
      </c>
      <c r="Y175" s="87">
        <v>92.14102</v>
      </c>
      <c r="Z175" s="87">
        <v>0.0</v>
      </c>
      <c r="AA175" s="87">
        <v>26.02857</v>
      </c>
      <c r="AB175" s="87">
        <v>30.13319</v>
      </c>
      <c r="AC175" s="87">
        <v>24.47063</v>
      </c>
      <c r="AD175" s="87">
        <v>3.638192</v>
      </c>
      <c r="AE175" s="87">
        <v>18.2145</v>
      </c>
      <c r="AF175" s="87">
        <v>26.13914</v>
      </c>
      <c r="AG175" s="87">
        <v>11.35567</v>
      </c>
      <c r="AH175" s="87">
        <v>0.0</v>
      </c>
      <c r="AI175" s="87">
        <v>13.385</v>
      </c>
      <c r="AJ175" s="87">
        <v>8.800684</v>
      </c>
      <c r="AK175" s="87">
        <v>10.3256</v>
      </c>
      <c r="AL175" s="88" t="s">
        <v>1396</v>
      </c>
    </row>
    <row r="176">
      <c r="A176" s="84" t="s">
        <v>1629</v>
      </c>
      <c r="B176" s="84" t="s">
        <v>1644</v>
      </c>
      <c r="C176" s="84" t="s">
        <v>180</v>
      </c>
      <c r="D176" s="84" t="s">
        <v>808</v>
      </c>
      <c r="E176" s="84" t="s">
        <v>1403</v>
      </c>
      <c r="F176" s="87">
        <v>47.0</v>
      </c>
      <c r="G176" s="87">
        <v>0.0</v>
      </c>
      <c r="H176" s="87">
        <v>0.0</v>
      </c>
      <c r="I176" s="87">
        <v>0.0</v>
      </c>
      <c r="J176" s="87">
        <v>0.0</v>
      </c>
      <c r="K176" s="87">
        <v>0.0</v>
      </c>
      <c r="L176" s="87">
        <v>0.0</v>
      </c>
      <c r="M176" s="87">
        <v>0.0</v>
      </c>
      <c r="N176" s="87">
        <v>0.0</v>
      </c>
      <c r="O176" s="87">
        <v>0.0</v>
      </c>
      <c r="P176" s="87">
        <v>0.0</v>
      </c>
      <c r="Q176" s="87">
        <v>0.0</v>
      </c>
      <c r="R176" s="87">
        <v>0.0</v>
      </c>
      <c r="S176" s="87">
        <v>0.0</v>
      </c>
      <c r="T176" s="87">
        <v>0.0</v>
      </c>
      <c r="U176" s="87">
        <v>0.0</v>
      </c>
      <c r="V176" s="87">
        <v>0.0</v>
      </c>
      <c r="W176" s="87">
        <v>0.0</v>
      </c>
      <c r="X176" s="87">
        <v>0.0</v>
      </c>
      <c r="Y176" s="87">
        <v>0.0</v>
      </c>
      <c r="Z176" s="87">
        <v>0.0</v>
      </c>
      <c r="AA176" s="87">
        <v>26.02857</v>
      </c>
      <c r="AB176" s="87">
        <v>30.13319</v>
      </c>
      <c r="AC176" s="87">
        <v>24.47063</v>
      </c>
      <c r="AD176" s="87">
        <v>0.0</v>
      </c>
      <c r="AE176" s="87">
        <v>0.0</v>
      </c>
      <c r="AF176" s="87">
        <v>0.0</v>
      </c>
      <c r="AG176" s="87">
        <v>0.0</v>
      </c>
      <c r="AH176" s="87">
        <v>0.0</v>
      </c>
      <c r="AI176" s="87">
        <v>13.385</v>
      </c>
      <c r="AJ176" s="87">
        <v>8.800684</v>
      </c>
      <c r="AK176" s="87">
        <v>10.3256</v>
      </c>
      <c r="AL176" s="88" t="s">
        <v>1396</v>
      </c>
    </row>
    <row r="177">
      <c r="A177" s="84" t="s">
        <v>1633</v>
      </c>
      <c r="B177" s="84" t="s">
        <v>1645</v>
      </c>
      <c r="C177" s="84" t="s">
        <v>180</v>
      </c>
      <c r="D177" s="84" t="s">
        <v>191</v>
      </c>
      <c r="E177" s="84" t="s">
        <v>1426</v>
      </c>
      <c r="F177" s="87">
        <v>21.0</v>
      </c>
      <c r="G177" s="87">
        <v>0.0</v>
      </c>
      <c r="H177" s="87">
        <v>18817.0</v>
      </c>
      <c r="I177" s="87">
        <v>0.0</v>
      </c>
      <c r="J177" s="87">
        <v>586.4877</v>
      </c>
      <c r="K177" s="87">
        <v>620.7526</v>
      </c>
      <c r="L177" s="87">
        <v>640.0613</v>
      </c>
      <c r="M177" s="87">
        <v>363.1909</v>
      </c>
      <c r="N177" s="87">
        <v>0.585082</v>
      </c>
      <c r="O177" s="87">
        <v>0.0</v>
      </c>
      <c r="P177" s="87">
        <v>0.0</v>
      </c>
      <c r="Q177" s="87">
        <v>0.0</v>
      </c>
      <c r="R177" s="87">
        <v>24.16854</v>
      </c>
      <c r="S177" s="87">
        <v>43.9694</v>
      </c>
      <c r="T177" s="87">
        <v>9.933918</v>
      </c>
      <c r="U177" s="87">
        <v>20.9795</v>
      </c>
      <c r="V177" s="87">
        <v>31.53914</v>
      </c>
      <c r="W177" s="87">
        <v>43.9694</v>
      </c>
      <c r="X177" s="87">
        <v>58.45508</v>
      </c>
      <c r="Y177" s="87">
        <v>29.55965</v>
      </c>
      <c r="Z177" s="87">
        <v>0.0</v>
      </c>
      <c r="AA177" s="87">
        <v>12.54583</v>
      </c>
      <c r="AB177" s="87">
        <v>7.4565</v>
      </c>
      <c r="AC177" s="87">
        <v>17.01665</v>
      </c>
      <c r="AD177" s="87">
        <v>24.2854</v>
      </c>
      <c r="AE177" s="87">
        <v>32.85595</v>
      </c>
      <c r="AF177" s="87">
        <v>30.10181</v>
      </c>
      <c r="AG177" s="87">
        <v>29.55965</v>
      </c>
      <c r="AH177" s="87">
        <v>0.0</v>
      </c>
      <c r="AI177" s="87">
        <v>13.385</v>
      </c>
      <c r="AJ177" s="87">
        <v>8.800684</v>
      </c>
      <c r="AK177" s="87">
        <v>10.3256</v>
      </c>
      <c r="AL177" s="88" t="s">
        <v>1396</v>
      </c>
    </row>
    <row r="178">
      <c r="A178" s="84" t="s">
        <v>1635</v>
      </c>
      <c r="B178" s="84" t="s">
        <v>1646</v>
      </c>
      <c r="C178" s="84" t="s">
        <v>180</v>
      </c>
      <c r="D178" s="84" t="s">
        <v>191</v>
      </c>
      <c r="E178" s="86">
        <v>46310.0</v>
      </c>
      <c r="F178" s="87">
        <v>6.0</v>
      </c>
      <c r="G178" s="87">
        <v>0.0</v>
      </c>
      <c r="H178" s="87">
        <v>6102.0</v>
      </c>
      <c r="I178" s="87">
        <v>0.0</v>
      </c>
      <c r="J178" s="87">
        <v>96.53055</v>
      </c>
      <c r="K178" s="87">
        <v>102.0999</v>
      </c>
      <c r="L178" s="87">
        <v>96.22076</v>
      </c>
      <c r="M178" s="87">
        <v>61.15004</v>
      </c>
      <c r="N178" s="87">
        <v>0.598924</v>
      </c>
      <c r="O178" s="87">
        <v>8.071574</v>
      </c>
      <c r="P178" s="87">
        <v>10.31546</v>
      </c>
      <c r="Q178" s="87">
        <v>10.31546</v>
      </c>
      <c r="R178" s="87">
        <v>11.66018</v>
      </c>
      <c r="S178" s="87">
        <v>14.78789</v>
      </c>
      <c r="T178" s="87">
        <v>8.071574</v>
      </c>
      <c r="U178" s="87">
        <v>10.31546</v>
      </c>
      <c r="V178" s="87">
        <v>10.31546</v>
      </c>
      <c r="W178" s="87">
        <v>11.66018</v>
      </c>
      <c r="X178" s="87">
        <v>14.78789</v>
      </c>
      <c r="Y178" s="87">
        <v>17.01665</v>
      </c>
      <c r="Z178" s="87">
        <v>0.0</v>
      </c>
      <c r="AA178" s="87">
        <v>12.54583</v>
      </c>
      <c r="AB178" s="87">
        <v>7.4565</v>
      </c>
      <c r="AC178" s="87">
        <v>17.01665</v>
      </c>
      <c r="AD178" s="87">
        <v>6.870801</v>
      </c>
      <c r="AE178" s="87">
        <v>12.43729</v>
      </c>
      <c r="AF178" s="87">
        <v>27.66828</v>
      </c>
      <c r="AG178" s="87">
        <v>14.65759</v>
      </c>
      <c r="AH178" s="87">
        <v>0.0</v>
      </c>
      <c r="AI178" s="87">
        <v>13.385</v>
      </c>
      <c r="AJ178" s="87">
        <v>8.800684</v>
      </c>
      <c r="AK178" s="87">
        <v>10.3256</v>
      </c>
      <c r="AL178" s="88" t="s">
        <v>1396</v>
      </c>
    </row>
    <row r="179">
      <c r="A179" s="84" t="s">
        <v>1637</v>
      </c>
      <c r="B179" s="84" t="s">
        <v>1647</v>
      </c>
      <c r="C179" s="84" t="s">
        <v>180</v>
      </c>
      <c r="D179" s="84" t="s">
        <v>191</v>
      </c>
      <c r="E179" s="84" t="s">
        <v>1413</v>
      </c>
      <c r="F179" s="87">
        <v>10.0</v>
      </c>
      <c r="G179" s="87">
        <v>0.0</v>
      </c>
      <c r="H179" s="87">
        <v>28805.0</v>
      </c>
      <c r="I179" s="87">
        <v>0.0</v>
      </c>
      <c r="J179" s="87">
        <v>230.4783</v>
      </c>
      <c r="K179" s="87">
        <v>241.5306</v>
      </c>
      <c r="L179" s="87">
        <v>244.9018</v>
      </c>
      <c r="M179" s="87">
        <v>167.9569</v>
      </c>
      <c r="N179" s="87">
        <v>0.695385</v>
      </c>
      <c r="O179" s="87">
        <v>1.423354</v>
      </c>
      <c r="P179" s="87">
        <v>3.745428</v>
      </c>
      <c r="Q179" s="87">
        <v>3.978901</v>
      </c>
      <c r="R179" s="87">
        <v>10.23336</v>
      </c>
      <c r="S179" s="87">
        <v>35.89582</v>
      </c>
      <c r="T179" s="87">
        <v>1.423354</v>
      </c>
      <c r="U179" s="87">
        <v>3.745428</v>
      </c>
      <c r="V179" s="87">
        <v>3.978901</v>
      </c>
      <c r="W179" s="87">
        <v>10.23336</v>
      </c>
      <c r="X179" s="87">
        <v>35.89582</v>
      </c>
      <c r="Y179" s="87">
        <v>24.15306</v>
      </c>
      <c r="Z179" s="87">
        <v>0.0</v>
      </c>
      <c r="AA179" s="87">
        <v>12.54583</v>
      </c>
      <c r="AB179" s="87">
        <v>7.4565</v>
      </c>
      <c r="AC179" s="87">
        <v>17.01665</v>
      </c>
      <c r="AD179" s="87">
        <v>4.642963</v>
      </c>
      <c r="AE179" s="87">
        <v>6.617382</v>
      </c>
      <c r="AF179" s="87">
        <v>13.25379</v>
      </c>
      <c r="AG179" s="87">
        <v>11.37515</v>
      </c>
      <c r="AH179" s="87">
        <v>0.0</v>
      </c>
      <c r="AI179" s="87">
        <v>13.385</v>
      </c>
      <c r="AJ179" s="87">
        <v>8.800684</v>
      </c>
      <c r="AK179" s="87">
        <v>10.3256</v>
      </c>
      <c r="AL179" s="88" t="s">
        <v>1396</v>
      </c>
    </row>
    <row r="180">
      <c r="A180" s="84" t="s">
        <v>1639</v>
      </c>
      <c r="B180" s="84" t="s">
        <v>1648</v>
      </c>
      <c r="C180" s="84" t="s">
        <v>180</v>
      </c>
      <c r="D180" s="84" t="s">
        <v>191</v>
      </c>
      <c r="E180" s="84" t="s">
        <v>1398</v>
      </c>
      <c r="F180" s="87">
        <v>8.0</v>
      </c>
      <c r="G180" s="87">
        <v>0.0</v>
      </c>
      <c r="H180" s="87">
        <v>5885.0</v>
      </c>
      <c r="I180" s="87">
        <v>0.0</v>
      </c>
      <c r="J180" s="87">
        <v>54.39574</v>
      </c>
      <c r="K180" s="87">
        <v>64.21305</v>
      </c>
      <c r="L180" s="87">
        <v>62.48621</v>
      </c>
      <c r="M180" s="87">
        <v>26.82716</v>
      </c>
      <c r="N180" s="87">
        <v>0.417784</v>
      </c>
      <c r="O180" s="87">
        <v>3.238837</v>
      </c>
      <c r="P180" s="87">
        <v>4.549103</v>
      </c>
      <c r="Q180" s="87">
        <v>6.249179</v>
      </c>
      <c r="R180" s="87">
        <v>8.266911</v>
      </c>
      <c r="S180" s="87">
        <v>8.667688</v>
      </c>
      <c r="T180" s="87">
        <v>3.238837</v>
      </c>
      <c r="U180" s="87">
        <v>4.549103</v>
      </c>
      <c r="V180" s="87">
        <v>6.249179</v>
      </c>
      <c r="W180" s="87">
        <v>8.266911</v>
      </c>
      <c r="X180" s="87">
        <v>8.667688</v>
      </c>
      <c r="Y180" s="87">
        <v>8.026631</v>
      </c>
      <c r="Z180" s="87">
        <v>0.0</v>
      </c>
      <c r="AA180" s="87">
        <v>12.54583</v>
      </c>
      <c r="AB180" s="87">
        <v>7.4565</v>
      </c>
      <c r="AC180" s="87">
        <v>17.01665</v>
      </c>
      <c r="AD180" s="87">
        <v>3.238837</v>
      </c>
      <c r="AE180" s="87">
        <v>6.441452</v>
      </c>
      <c r="AF180" s="87">
        <v>6.514856</v>
      </c>
      <c r="AG180" s="87">
        <v>6.677616</v>
      </c>
      <c r="AH180" s="87">
        <v>0.0</v>
      </c>
      <c r="AI180" s="87">
        <v>13.385</v>
      </c>
      <c r="AJ180" s="87">
        <v>8.800684</v>
      </c>
      <c r="AK180" s="87">
        <v>10.3256</v>
      </c>
      <c r="AL180" s="88" t="s">
        <v>1396</v>
      </c>
    </row>
    <row r="181">
      <c r="A181" s="84" t="s">
        <v>1642</v>
      </c>
      <c r="B181" s="84" t="s">
        <v>1649</v>
      </c>
      <c r="C181" s="84" t="s">
        <v>180</v>
      </c>
      <c r="D181" s="84" t="s">
        <v>191</v>
      </c>
      <c r="E181" s="89">
        <v>46300.0</v>
      </c>
      <c r="F181" s="87">
        <v>8.0</v>
      </c>
      <c r="G181" s="87">
        <v>0.0</v>
      </c>
      <c r="H181" s="87">
        <v>754.0</v>
      </c>
      <c r="I181" s="87">
        <v>0.0</v>
      </c>
      <c r="J181" s="87">
        <v>8.1005</v>
      </c>
      <c r="K181" s="87">
        <v>7.857228</v>
      </c>
      <c r="L181" s="87">
        <v>8.954401</v>
      </c>
      <c r="M181" s="87">
        <v>7.857228</v>
      </c>
      <c r="N181" s="87">
        <v>1.0</v>
      </c>
      <c r="O181" s="87">
        <v>0.0</v>
      </c>
      <c r="P181" s="87">
        <v>0.0</v>
      </c>
      <c r="Q181" s="87">
        <v>0.0</v>
      </c>
      <c r="R181" s="87">
        <v>0.0</v>
      </c>
      <c r="S181" s="87">
        <v>0.0</v>
      </c>
      <c r="T181" s="87">
        <v>2.917698</v>
      </c>
      <c r="U181" s="87">
        <v>2.917698</v>
      </c>
      <c r="V181" s="87">
        <v>2.917698</v>
      </c>
      <c r="W181" s="87">
        <v>4.93953</v>
      </c>
      <c r="X181" s="87">
        <v>4.93953</v>
      </c>
      <c r="Y181" s="87">
        <v>0.982153</v>
      </c>
      <c r="Z181" s="87">
        <v>0.0</v>
      </c>
      <c r="AA181" s="87">
        <v>12.54583</v>
      </c>
      <c r="AB181" s="87">
        <v>7.4565</v>
      </c>
      <c r="AC181" s="87">
        <v>17.01665</v>
      </c>
      <c r="AD181" s="87">
        <v>3.638192</v>
      </c>
      <c r="AE181" s="87">
        <v>18.2145</v>
      </c>
      <c r="AF181" s="87">
        <v>26.13914</v>
      </c>
      <c r="AG181" s="87">
        <v>11.35567</v>
      </c>
      <c r="AH181" s="87">
        <v>0.0</v>
      </c>
      <c r="AI181" s="87">
        <v>13.385</v>
      </c>
      <c r="AJ181" s="87">
        <v>8.800684</v>
      </c>
      <c r="AK181" s="87">
        <v>10.3256</v>
      </c>
      <c r="AL181" s="88" t="s">
        <v>1396</v>
      </c>
    </row>
    <row r="182">
      <c r="A182" s="84" t="s">
        <v>1629</v>
      </c>
      <c r="B182" s="84" t="s">
        <v>1650</v>
      </c>
      <c r="C182" s="84" t="s">
        <v>180</v>
      </c>
      <c r="D182" s="84" t="s">
        <v>191</v>
      </c>
      <c r="E182" s="84" t="s">
        <v>1403</v>
      </c>
      <c r="F182" s="87">
        <v>86.0</v>
      </c>
      <c r="G182" s="87">
        <v>4.0</v>
      </c>
      <c r="H182" s="87">
        <v>221.0</v>
      </c>
      <c r="I182" s="87">
        <v>221.0</v>
      </c>
      <c r="J182" s="87">
        <v>0.0</v>
      </c>
      <c r="K182" s="87">
        <v>0.0</v>
      </c>
      <c r="L182" s="87">
        <v>0.0</v>
      </c>
      <c r="M182" s="87">
        <v>0.0</v>
      </c>
      <c r="N182" s="87">
        <v>0.0</v>
      </c>
      <c r="O182" s="87">
        <v>0.0</v>
      </c>
      <c r="P182" s="87">
        <v>0.0</v>
      </c>
      <c r="Q182" s="87">
        <v>0.0</v>
      </c>
      <c r="R182" s="87">
        <v>0.0</v>
      </c>
      <c r="S182" s="87">
        <v>0.0</v>
      </c>
      <c r="T182" s="87">
        <v>0.0</v>
      </c>
      <c r="U182" s="87">
        <v>0.0</v>
      </c>
      <c r="V182" s="87">
        <v>0.0</v>
      </c>
      <c r="W182" s="87">
        <v>0.0</v>
      </c>
      <c r="X182" s="87">
        <v>0.0</v>
      </c>
      <c r="Y182" s="87">
        <v>0.0</v>
      </c>
      <c r="Z182" s="87">
        <v>0.0</v>
      </c>
      <c r="AA182" s="87">
        <v>12.54583</v>
      </c>
      <c r="AB182" s="87">
        <v>7.4565</v>
      </c>
      <c r="AC182" s="87">
        <v>17.01665</v>
      </c>
      <c r="AD182" s="87">
        <v>0.0</v>
      </c>
      <c r="AE182" s="87">
        <v>0.0</v>
      </c>
      <c r="AF182" s="87">
        <v>0.0</v>
      </c>
      <c r="AG182" s="87">
        <v>0.0</v>
      </c>
      <c r="AH182" s="87">
        <v>0.0</v>
      </c>
      <c r="AI182" s="87">
        <v>13.385</v>
      </c>
      <c r="AJ182" s="87">
        <v>8.800684</v>
      </c>
      <c r="AK182" s="87">
        <v>10.3256</v>
      </c>
      <c r="AL182" s="88" t="s">
        <v>1396</v>
      </c>
    </row>
    <row r="183">
      <c r="A183" s="84" t="s">
        <v>1633</v>
      </c>
      <c r="B183" s="84" t="s">
        <v>1651</v>
      </c>
      <c r="C183" s="84" t="s">
        <v>180</v>
      </c>
      <c r="D183" s="84" t="s">
        <v>844</v>
      </c>
      <c r="E183" s="84" t="s">
        <v>1426</v>
      </c>
      <c r="F183" s="87">
        <v>23.0</v>
      </c>
      <c r="G183" s="87">
        <v>0.0</v>
      </c>
      <c r="H183" s="87">
        <v>4375.0</v>
      </c>
      <c r="I183" s="87">
        <v>0.0</v>
      </c>
      <c r="J183" s="87">
        <v>371.5934</v>
      </c>
      <c r="K183" s="87">
        <v>382.4704</v>
      </c>
      <c r="L183" s="87">
        <v>396.186</v>
      </c>
      <c r="M183" s="87">
        <v>232.4995</v>
      </c>
      <c r="N183" s="87">
        <v>0.607889</v>
      </c>
      <c r="O183" s="87">
        <v>0.0</v>
      </c>
      <c r="P183" s="87">
        <v>0.0</v>
      </c>
      <c r="Q183" s="87">
        <v>0.0</v>
      </c>
      <c r="R183" s="87">
        <v>13.17738</v>
      </c>
      <c r="S183" s="87">
        <v>24.42536</v>
      </c>
      <c r="T183" s="87">
        <v>13.17738</v>
      </c>
      <c r="U183" s="87">
        <v>13.69861</v>
      </c>
      <c r="V183" s="87">
        <v>18.11029</v>
      </c>
      <c r="W183" s="87">
        <v>24.42536</v>
      </c>
      <c r="X183" s="87">
        <v>40.27415</v>
      </c>
      <c r="Y183" s="87">
        <v>16.62915</v>
      </c>
      <c r="Z183" s="87">
        <v>0.0</v>
      </c>
      <c r="AA183" s="87">
        <v>10.97099</v>
      </c>
      <c r="AB183" s="87">
        <v>3.29057</v>
      </c>
      <c r="AC183" s="87">
        <v>9.931681</v>
      </c>
      <c r="AD183" s="87">
        <v>24.2854</v>
      </c>
      <c r="AE183" s="87">
        <v>32.85595</v>
      </c>
      <c r="AF183" s="87">
        <v>30.10181</v>
      </c>
      <c r="AG183" s="87">
        <v>29.55965</v>
      </c>
      <c r="AH183" s="87">
        <v>0.0</v>
      </c>
      <c r="AI183" s="87">
        <v>13.385</v>
      </c>
      <c r="AJ183" s="87">
        <v>8.800684</v>
      </c>
      <c r="AK183" s="87">
        <v>10.3256</v>
      </c>
      <c r="AL183" s="88" t="s">
        <v>1396</v>
      </c>
    </row>
    <row r="184">
      <c r="A184" s="84" t="s">
        <v>1635</v>
      </c>
      <c r="B184" s="84" t="s">
        <v>1652</v>
      </c>
      <c r="C184" s="84" t="s">
        <v>180</v>
      </c>
      <c r="D184" s="84" t="s">
        <v>844</v>
      </c>
      <c r="E184" s="86">
        <v>46310.0</v>
      </c>
      <c r="F184" s="87">
        <v>46.0</v>
      </c>
      <c r="G184" s="87">
        <v>0.0</v>
      </c>
      <c r="H184" s="87">
        <v>14347.0</v>
      </c>
      <c r="I184" s="87">
        <v>0.0</v>
      </c>
      <c r="J184" s="87">
        <v>411.4885</v>
      </c>
      <c r="K184" s="87">
        <v>502.727</v>
      </c>
      <c r="L184" s="87">
        <v>517.0046</v>
      </c>
      <c r="M184" s="87">
        <v>328.4388</v>
      </c>
      <c r="N184" s="87">
        <v>0.653314</v>
      </c>
      <c r="O184" s="87">
        <v>0.0</v>
      </c>
      <c r="P184" s="87">
        <v>0.0</v>
      </c>
      <c r="Q184" s="87">
        <v>1.222655</v>
      </c>
      <c r="R184" s="87">
        <v>4.541937</v>
      </c>
      <c r="S184" s="87">
        <v>14.32235</v>
      </c>
      <c r="T184" s="87">
        <v>1.498076</v>
      </c>
      <c r="U184" s="87">
        <v>2.233886</v>
      </c>
      <c r="V184" s="87">
        <v>2.507161</v>
      </c>
      <c r="W184" s="87">
        <v>11.61769</v>
      </c>
      <c r="X184" s="87">
        <v>18.16236</v>
      </c>
      <c r="Y184" s="87">
        <v>10.92885</v>
      </c>
      <c r="Z184" s="87">
        <v>0.0</v>
      </c>
      <c r="AA184" s="87">
        <v>10.97099</v>
      </c>
      <c r="AB184" s="87">
        <v>3.29057</v>
      </c>
      <c r="AC184" s="87">
        <v>9.931681</v>
      </c>
      <c r="AD184" s="87">
        <v>6.870801</v>
      </c>
      <c r="AE184" s="87">
        <v>12.43729</v>
      </c>
      <c r="AF184" s="87">
        <v>27.66828</v>
      </c>
      <c r="AG184" s="87">
        <v>14.65759</v>
      </c>
      <c r="AH184" s="87">
        <v>0.0</v>
      </c>
      <c r="AI184" s="87">
        <v>13.385</v>
      </c>
      <c r="AJ184" s="87">
        <v>8.800684</v>
      </c>
      <c r="AK184" s="87">
        <v>10.3256</v>
      </c>
      <c r="AL184" s="88" t="s">
        <v>1396</v>
      </c>
    </row>
    <row r="185">
      <c r="A185" s="84" t="s">
        <v>1637</v>
      </c>
      <c r="B185" s="84" t="s">
        <v>1653</v>
      </c>
      <c r="C185" s="84" t="s">
        <v>180</v>
      </c>
      <c r="D185" s="84" t="s">
        <v>844</v>
      </c>
      <c r="E185" s="84" t="s">
        <v>1413</v>
      </c>
      <c r="F185" s="87">
        <v>15.0</v>
      </c>
      <c r="G185" s="87">
        <v>0.0</v>
      </c>
      <c r="H185" s="87">
        <v>12141.0</v>
      </c>
      <c r="I185" s="87">
        <v>0.0</v>
      </c>
      <c r="J185" s="87">
        <v>146.3268</v>
      </c>
      <c r="K185" s="87">
        <v>148.9752</v>
      </c>
      <c r="L185" s="87">
        <v>145.4352</v>
      </c>
      <c r="M185" s="87">
        <v>67.12195</v>
      </c>
      <c r="N185" s="87">
        <v>0.450558</v>
      </c>
      <c r="O185" s="87">
        <v>1.424129</v>
      </c>
      <c r="P185" s="87">
        <v>3.964914</v>
      </c>
      <c r="Q185" s="87">
        <v>4.873068</v>
      </c>
      <c r="R185" s="87">
        <v>9.697772</v>
      </c>
      <c r="S185" s="87">
        <v>12.57845</v>
      </c>
      <c r="T185" s="87">
        <v>1.943054</v>
      </c>
      <c r="U185" s="87">
        <v>3.964914</v>
      </c>
      <c r="V185" s="87">
        <v>6.11426</v>
      </c>
      <c r="W185" s="87">
        <v>10.2488</v>
      </c>
      <c r="X185" s="87">
        <v>12.57845</v>
      </c>
      <c r="Y185" s="87">
        <v>9.931681</v>
      </c>
      <c r="Z185" s="87">
        <v>0.0</v>
      </c>
      <c r="AA185" s="87">
        <v>10.97099</v>
      </c>
      <c r="AB185" s="87">
        <v>3.29057</v>
      </c>
      <c r="AC185" s="87">
        <v>9.931681</v>
      </c>
      <c r="AD185" s="87">
        <v>4.642963</v>
      </c>
      <c r="AE185" s="87">
        <v>6.617382</v>
      </c>
      <c r="AF185" s="87">
        <v>13.25379</v>
      </c>
      <c r="AG185" s="87">
        <v>11.37515</v>
      </c>
      <c r="AH185" s="87">
        <v>0.0</v>
      </c>
      <c r="AI185" s="87">
        <v>13.385</v>
      </c>
      <c r="AJ185" s="87">
        <v>8.800684</v>
      </c>
      <c r="AK185" s="87">
        <v>10.3256</v>
      </c>
      <c r="AL185" s="88" t="s">
        <v>1396</v>
      </c>
    </row>
    <row r="186">
      <c r="A186" s="84" t="s">
        <v>1639</v>
      </c>
      <c r="B186" s="84" t="s">
        <v>1654</v>
      </c>
      <c r="C186" s="84" t="s">
        <v>180</v>
      </c>
      <c r="D186" s="84" t="s">
        <v>844</v>
      </c>
      <c r="E186" s="84" t="s">
        <v>1398</v>
      </c>
      <c r="F186" s="87">
        <v>6.0</v>
      </c>
      <c r="G186" s="87">
        <v>0.0</v>
      </c>
      <c r="H186" s="87">
        <v>1790.0</v>
      </c>
      <c r="I186" s="87">
        <v>0.0</v>
      </c>
      <c r="J186" s="87">
        <v>29.03033</v>
      </c>
      <c r="K186" s="87">
        <v>28.3152</v>
      </c>
      <c r="L186" s="87">
        <v>29.00521</v>
      </c>
      <c r="M186" s="87">
        <v>17.60242</v>
      </c>
      <c r="N186" s="87">
        <v>0.62166</v>
      </c>
      <c r="O186" s="87">
        <v>0.0</v>
      </c>
      <c r="P186" s="87">
        <v>0.0</v>
      </c>
      <c r="Q186" s="87">
        <v>0.0</v>
      </c>
      <c r="R186" s="87">
        <v>8.209459</v>
      </c>
      <c r="S186" s="87">
        <v>8.668325</v>
      </c>
      <c r="T186" s="87">
        <v>2.503317</v>
      </c>
      <c r="U186" s="87">
        <v>2.503317</v>
      </c>
      <c r="V186" s="87">
        <v>8.209459</v>
      </c>
      <c r="W186" s="87">
        <v>8.668325</v>
      </c>
      <c r="X186" s="87">
        <v>8.668325</v>
      </c>
      <c r="Y186" s="87">
        <v>4.7192</v>
      </c>
      <c r="Z186" s="87">
        <v>0.0</v>
      </c>
      <c r="AA186" s="87">
        <v>10.97099</v>
      </c>
      <c r="AB186" s="87">
        <v>3.29057</v>
      </c>
      <c r="AC186" s="87">
        <v>9.931681</v>
      </c>
      <c r="AD186" s="87">
        <v>3.238837</v>
      </c>
      <c r="AE186" s="87">
        <v>6.441452</v>
      </c>
      <c r="AF186" s="87">
        <v>6.514856</v>
      </c>
      <c r="AG186" s="87">
        <v>6.677616</v>
      </c>
      <c r="AH186" s="87">
        <v>0.0</v>
      </c>
      <c r="AI186" s="87">
        <v>13.385</v>
      </c>
      <c r="AJ186" s="87">
        <v>8.800684</v>
      </c>
      <c r="AK186" s="87">
        <v>10.3256</v>
      </c>
      <c r="AL186" s="88" t="s">
        <v>1396</v>
      </c>
    </row>
    <row r="187">
      <c r="A187" s="84" t="s">
        <v>1626</v>
      </c>
      <c r="B187" s="84" t="s">
        <v>1655</v>
      </c>
      <c r="C187" s="84" t="s">
        <v>180</v>
      </c>
      <c r="D187" s="84" t="s">
        <v>844</v>
      </c>
      <c r="E187" s="84" t="s">
        <v>1400</v>
      </c>
      <c r="F187" s="87">
        <v>9.0</v>
      </c>
      <c r="G187" s="87">
        <v>0.0</v>
      </c>
      <c r="H187" s="87">
        <v>2664.0</v>
      </c>
      <c r="I187" s="87">
        <v>0.0</v>
      </c>
      <c r="J187" s="87">
        <v>6.382226</v>
      </c>
      <c r="K187" s="87">
        <v>9.078229</v>
      </c>
      <c r="L187" s="87">
        <v>8.34185</v>
      </c>
      <c r="M187" s="87">
        <v>4.192483</v>
      </c>
      <c r="N187" s="87">
        <v>0.461817</v>
      </c>
      <c r="O187" s="87">
        <v>0.066667</v>
      </c>
      <c r="P187" s="87">
        <v>0.1</v>
      </c>
      <c r="Q187" s="87">
        <v>0.266667</v>
      </c>
      <c r="R187" s="87">
        <v>1.0</v>
      </c>
      <c r="S187" s="87">
        <v>1.383273</v>
      </c>
      <c r="T187" s="87">
        <v>0.066667</v>
      </c>
      <c r="U187" s="87">
        <v>0.1</v>
      </c>
      <c r="V187" s="87">
        <v>0.266667</v>
      </c>
      <c r="W187" s="87">
        <v>1.0</v>
      </c>
      <c r="X187" s="87">
        <v>1.383273</v>
      </c>
      <c r="Y187" s="87">
        <v>1.008692</v>
      </c>
      <c r="Z187" s="87">
        <v>0.0</v>
      </c>
      <c r="AA187" s="87">
        <v>10.97099</v>
      </c>
      <c r="AB187" s="87">
        <v>3.29057</v>
      </c>
      <c r="AC187" s="87">
        <v>9.931681</v>
      </c>
      <c r="AD187" s="87">
        <v>1.525666</v>
      </c>
      <c r="AE187" s="87">
        <v>2.537356</v>
      </c>
      <c r="AF187" s="87">
        <v>9.943698</v>
      </c>
      <c r="AG187" s="87">
        <v>4.141047</v>
      </c>
      <c r="AH187" s="87">
        <v>0.0</v>
      </c>
      <c r="AI187" s="87">
        <v>13.385</v>
      </c>
      <c r="AJ187" s="87">
        <v>8.800684</v>
      </c>
      <c r="AK187" s="87">
        <v>10.3256</v>
      </c>
      <c r="AL187" s="88" t="s">
        <v>1396</v>
      </c>
    </row>
    <row r="188">
      <c r="A188" s="84" t="s">
        <v>1642</v>
      </c>
      <c r="B188" s="84" t="s">
        <v>1656</v>
      </c>
      <c r="C188" s="84" t="s">
        <v>180</v>
      </c>
      <c r="D188" s="84" t="s">
        <v>844</v>
      </c>
      <c r="E188" s="89">
        <v>46300.0</v>
      </c>
      <c r="F188" s="87">
        <v>54.0</v>
      </c>
      <c r="G188" s="87">
        <v>0.0</v>
      </c>
      <c r="H188" s="87">
        <v>29133.0</v>
      </c>
      <c r="I188" s="87">
        <v>0.0</v>
      </c>
      <c r="J188" s="87">
        <v>499.6841</v>
      </c>
      <c r="K188" s="87">
        <v>613.206</v>
      </c>
      <c r="L188" s="87">
        <v>649.4962</v>
      </c>
      <c r="M188" s="87">
        <v>464.9125</v>
      </c>
      <c r="N188" s="87">
        <v>0.758167</v>
      </c>
      <c r="O188" s="87">
        <v>0.0</v>
      </c>
      <c r="P188" s="87">
        <v>0.0</v>
      </c>
      <c r="Q188" s="87">
        <v>0.0</v>
      </c>
      <c r="R188" s="87">
        <v>1.67266</v>
      </c>
      <c r="S188" s="87">
        <v>11.7123</v>
      </c>
      <c r="T188" s="87">
        <v>1.503667</v>
      </c>
      <c r="U188" s="87">
        <v>2.0</v>
      </c>
      <c r="V188" s="87">
        <v>5.821588</v>
      </c>
      <c r="W188" s="87">
        <v>11.86904</v>
      </c>
      <c r="X188" s="87">
        <v>18.5</v>
      </c>
      <c r="Y188" s="87">
        <v>11.35567</v>
      </c>
      <c r="Z188" s="87">
        <v>0.0</v>
      </c>
      <c r="AA188" s="87">
        <v>10.97099</v>
      </c>
      <c r="AB188" s="87">
        <v>3.29057</v>
      </c>
      <c r="AC188" s="87">
        <v>9.931681</v>
      </c>
      <c r="AD188" s="87">
        <v>3.638192</v>
      </c>
      <c r="AE188" s="87">
        <v>18.2145</v>
      </c>
      <c r="AF188" s="87">
        <v>26.13914</v>
      </c>
      <c r="AG188" s="87">
        <v>11.35567</v>
      </c>
      <c r="AH188" s="87">
        <v>0.0</v>
      </c>
      <c r="AI188" s="87">
        <v>13.385</v>
      </c>
      <c r="AJ188" s="87">
        <v>8.800684</v>
      </c>
      <c r="AK188" s="87">
        <v>10.3256</v>
      </c>
      <c r="AL188" s="88" t="s">
        <v>1396</v>
      </c>
    </row>
    <row r="189">
      <c r="A189" s="84" t="s">
        <v>1629</v>
      </c>
      <c r="B189" s="84" t="s">
        <v>1657</v>
      </c>
      <c r="C189" s="84" t="s">
        <v>180</v>
      </c>
      <c r="D189" s="84" t="s">
        <v>844</v>
      </c>
      <c r="E189" s="84" t="s">
        <v>1403</v>
      </c>
      <c r="F189" s="87">
        <v>359.0</v>
      </c>
      <c r="G189" s="87">
        <v>28.0</v>
      </c>
      <c r="H189" s="87">
        <v>1053.0</v>
      </c>
      <c r="I189" s="87">
        <v>1053.0</v>
      </c>
      <c r="J189" s="87">
        <v>0.0</v>
      </c>
      <c r="K189" s="87">
        <v>0.0</v>
      </c>
      <c r="L189" s="87">
        <v>0.0</v>
      </c>
      <c r="M189" s="87">
        <v>0.0</v>
      </c>
      <c r="N189" s="87">
        <v>0.0</v>
      </c>
      <c r="O189" s="87">
        <v>0.0</v>
      </c>
      <c r="P189" s="87">
        <v>0.0</v>
      </c>
      <c r="Q189" s="87">
        <v>0.0</v>
      </c>
      <c r="R189" s="87">
        <v>0.0</v>
      </c>
      <c r="S189" s="87">
        <v>0.0</v>
      </c>
      <c r="T189" s="87">
        <v>0.0</v>
      </c>
      <c r="U189" s="87">
        <v>0.0</v>
      </c>
      <c r="V189" s="87">
        <v>0.0</v>
      </c>
      <c r="W189" s="87">
        <v>0.0</v>
      </c>
      <c r="X189" s="87">
        <v>0.0</v>
      </c>
      <c r="Y189" s="87">
        <v>0.0</v>
      </c>
      <c r="Z189" s="87">
        <v>0.0</v>
      </c>
      <c r="AA189" s="87">
        <v>10.97099</v>
      </c>
      <c r="AB189" s="87">
        <v>3.29057</v>
      </c>
      <c r="AC189" s="87">
        <v>9.931681</v>
      </c>
      <c r="AD189" s="87">
        <v>0.0</v>
      </c>
      <c r="AE189" s="87">
        <v>0.0</v>
      </c>
      <c r="AF189" s="87">
        <v>0.0</v>
      </c>
      <c r="AG189" s="87">
        <v>0.0</v>
      </c>
      <c r="AH189" s="87">
        <v>0.0</v>
      </c>
      <c r="AI189" s="87">
        <v>13.385</v>
      </c>
      <c r="AJ189" s="87">
        <v>8.800684</v>
      </c>
      <c r="AK189" s="87">
        <v>10.3256</v>
      </c>
      <c r="AL189" s="88" t="s">
        <v>1396</v>
      </c>
    </row>
    <row r="190">
      <c r="A190" s="84" t="s">
        <v>1629</v>
      </c>
      <c r="B190" s="84" t="s">
        <v>1658</v>
      </c>
      <c r="C190" s="84" t="s">
        <v>180</v>
      </c>
      <c r="D190" s="84" t="s">
        <v>1659</v>
      </c>
      <c r="E190" s="84" t="s">
        <v>1403</v>
      </c>
      <c r="F190" s="87">
        <v>1.0</v>
      </c>
      <c r="G190" s="87">
        <v>0.0</v>
      </c>
      <c r="H190" s="87">
        <v>0.0</v>
      </c>
      <c r="I190" s="87">
        <v>0.0</v>
      </c>
      <c r="J190" s="87">
        <v>0.0</v>
      </c>
      <c r="K190" s="87">
        <v>0.0</v>
      </c>
      <c r="L190" s="87">
        <v>0.0</v>
      </c>
      <c r="M190" s="87">
        <v>0.0</v>
      </c>
      <c r="N190" s="87">
        <v>0.0</v>
      </c>
      <c r="O190" s="87">
        <v>0.0</v>
      </c>
      <c r="P190" s="87">
        <v>0.0</v>
      </c>
      <c r="Q190" s="87">
        <v>0.0</v>
      </c>
      <c r="R190" s="87">
        <v>0.0</v>
      </c>
      <c r="S190" s="87">
        <v>0.0</v>
      </c>
      <c r="T190" s="87">
        <v>0.0</v>
      </c>
      <c r="U190" s="87">
        <v>0.0</v>
      </c>
      <c r="V190" s="87">
        <v>0.0</v>
      </c>
      <c r="W190" s="87">
        <v>0.0</v>
      </c>
      <c r="X190" s="87">
        <v>0.0</v>
      </c>
      <c r="Y190" s="87">
        <v>0.0</v>
      </c>
      <c r="Z190" s="87">
        <v>0.0</v>
      </c>
      <c r="AA190" s="87">
        <v>0.0</v>
      </c>
      <c r="AB190" s="87">
        <v>0.0</v>
      </c>
      <c r="AC190" s="87">
        <v>0.0</v>
      </c>
      <c r="AD190" s="87">
        <v>0.0</v>
      </c>
      <c r="AE190" s="87">
        <v>0.0</v>
      </c>
      <c r="AF190" s="87">
        <v>0.0</v>
      </c>
      <c r="AG190" s="87">
        <v>0.0</v>
      </c>
      <c r="AH190" s="87">
        <v>0.0</v>
      </c>
      <c r="AI190" s="87">
        <v>13.385</v>
      </c>
      <c r="AJ190" s="87">
        <v>8.800684</v>
      </c>
      <c r="AK190" s="87">
        <v>10.3256</v>
      </c>
      <c r="AL190" s="88" t="s">
        <v>1396</v>
      </c>
    </row>
    <row r="191">
      <c r="A191" s="84" t="s">
        <v>1633</v>
      </c>
      <c r="B191" s="84" t="s">
        <v>1660</v>
      </c>
      <c r="C191" s="84" t="s">
        <v>180</v>
      </c>
      <c r="D191" s="84" t="s">
        <v>815</v>
      </c>
      <c r="E191" s="84" t="s">
        <v>1426</v>
      </c>
      <c r="F191" s="87">
        <v>2.0</v>
      </c>
      <c r="G191" s="87">
        <v>0.0</v>
      </c>
      <c r="H191" s="87">
        <v>2835.0</v>
      </c>
      <c r="I191" s="87">
        <v>0.0</v>
      </c>
      <c r="J191" s="87">
        <v>31.11032</v>
      </c>
      <c r="K191" s="87">
        <v>31.04495</v>
      </c>
      <c r="L191" s="87">
        <v>33.65351</v>
      </c>
      <c r="M191" s="87">
        <v>31.04495</v>
      </c>
      <c r="N191" s="87">
        <v>1.0</v>
      </c>
      <c r="O191" s="87">
        <v>0.0</v>
      </c>
      <c r="P191" s="87">
        <v>0.0</v>
      </c>
      <c r="Q191" s="87">
        <v>0.0</v>
      </c>
      <c r="R191" s="87">
        <v>31.04495</v>
      </c>
      <c r="S191" s="87">
        <v>31.04495</v>
      </c>
      <c r="T191" s="87">
        <v>31.04495</v>
      </c>
      <c r="U191" s="87">
        <v>31.04495</v>
      </c>
      <c r="V191" s="87">
        <v>31.04495</v>
      </c>
      <c r="W191" s="87">
        <v>31.04495</v>
      </c>
      <c r="X191" s="87">
        <v>31.04495</v>
      </c>
      <c r="Y191" s="87">
        <v>15.52248</v>
      </c>
      <c r="Z191" s="87">
        <v>0.0</v>
      </c>
      <c r="AA191" s="87">
        <v>9.065835</v>
      </c>
      <c r="AB191" s="87">
        <v>2.560916</v>
      </c>
      <c r="AC191" s="87">
        <v>1.894988</v>
      </c>
      <c r="AD191" s="87">
        <v>24.2854</v>
      </c>
      <c r="AE191" s="87">
        <v>32.85595</v>
      </c>
      <c r="AF191" s="87">
        <v>30.10181</v>
      </c>
      <c r="AG191" s="87">
        <v>29.55965</v>
      </c>
      <c r="AH191" s="87">
        <v>0.0</v>
      </c>
      <c r="AI191" s="87">
        <v>13.385</v>
      </c>
      <c r="AJ191" s="87">
        <v>8.800684</v>
      </c>
      <c r="AK191" s="87">
        <v>10.3256</v>
      </c>
      <c r="AL191" s="88" t="s">
        <v>1396</v>
      </c>
    </row>
    <row r="192">
      <c r="A192" s="84" t="s">
        <v>1635</v>
      </c>
      <c r="B192" s="84" t="s">
        <v>1661</v>
      </c>
      <c r="C192" s="84" t="s">
        <v>180</v>
      </c>
      <c r="D192" s="84" t="s">
        <v>815</v>
      </c>
      <c r="E192" s="86">
        <v>46310.0</v>
      </c>
      <c r="F192" s="87">
        <v>12.0</v>
      </c>
      <c r="G192" s="87">
        <v>0.0</v>
      </c>
      <c r="H192" s="87">
        <v>4442.0</v>
      </c>
      <c r="I192" s="87">
        <v>0.0</v>
      </c>
      <c r="J192" s="87">
        <v>107.2764</v>
      </c>
      <c r="K192" s="87">
        <v>123.9072</v>
      </c>
      <c r="L192" s="87">
        <v>113.505</v>
      </c>
      <c r="M192" s="87">
        <v>102.2482</v>
      </c>
      <c r="N192" s="87">
        <v>0.8252</v>
      </c>
      <c r="O192" s="87">
        <v>0.0</v>
      </c>
      <c r="P192" s="87">
        <v>0.0</v>
      </c>
      <c r="Q192" s="87">
        <v>0.0</v>
      </c>
      <c r="R192" s="87">
        <v>4.913513</v>
      </c>
      <c r="S192" s="87">
        <v>9.065835</v>
      </c>
      <c r="T192" s="87">
        <v>4.913513</v>
      </c>
      <c r="U192" s="87">
        <v>7.679637</v>
      </c>
      <c r="V192" s="87">
        <v>7.679637</v>
      </c>
      <c r="W192" s="87">
        <v>25.68258</v>
      </c>
      <c r="X192" s="87">
        <v>33.49367</v>
      </c>
      <c r="Y192" s="87">
        <v>10.3256</v>
      </c>
      <c r="Z192" s="87">
        <v>0.0</v>
      </c>
      <c r="AA192" s="87">
        <v>9.065835</v>
      </c>
      <c r="AB192" s="87">
        <v>2.560916</v>
      </c>
      <c r="AC192" s="87">
        <v>1.894988</v>
      </c>
      <c r="AD192" s="87">
        <v>6.870801</v>
      </c>
      <c r="AE192" s="87">
        <v>12.43729</v>
      </c>
      <c r="AF192" s="87">
        <v>27.66828</v>
      </c>
      <c r="AG192" s="87">
        <v>14.65759</v>
      </c>
      <c r="AH192" s="87">
        <v>0.0</v>
      </c>
      <c r="AI192" s="87">
        <v>13.385</v>
      </c>
      <c r="AJ192" s="87">
        <v>8.800684</v>
      </c>
      <c r="AK192" s="87">
        <v>10.3256</v>
      </c>
      <c r="AL192" s="88" t="s">
        <v>1396</v>
      </c>
    </row>
    <row r="193">
      <c r="A193" s="84" t="s">
        <v>1637</v>
      </c>
      <c r="B193" s="84" t="s">
        <v>1662</v>
      </c>
      <c r="C193" s="84" t="s">
        <v>180</v>
      </c>
      <c r="D193" s="84" t="s">
        <v>815</v>
      </c>
      <c r="E193" s="84" t="s">
        <v>1413</v>
      </c>
      <c r="F193" s="87">
        <v>3.0</v>
      </c>
      <c r="G193" s="87">
        <v>0.0</v>
      </c>
      <c r="H193" s="87">
        <v>913.0</v>
      </c>
      <c r="I193" s="87">
        <v>0.0</v>
      </c>
      <c r="J193" s="87">
        <v>23.86085</v>
      </c>
      <c r="K193" s="87">
        <v>24.47051</v>
      </c>
      <c r="L193" s="87">
        <v>22.51733</v>
      </c>
      <c r="M193" s="87">
        <v>23.79597</v>
      </c>
      <c r="N193" s="87">
        <v>0.972434</v>
      </c>
      <c r="O193" s="87">
        <v>0.214286</v>
      </c>
      <c r="P193" s="87">
        <v>0.214286</v>
      </c>
      <c r="Q193" s="87">
        <v>0.214286</v>
      </c>
      <c r="R193" s="87">
        <v>0.460256</v>
      </c>
      <c r="S193" s="87">
        <v>23.79597</v>
      </c>
      <c r="T193" s="87">
        <v>0.214286</v>
      </c>
      <c r="U193" s="87">
        <v>0.214286</v>
      </c>
      <c r="V193" s="87">
        <v>0.214286</v>
      </c>
      <c r="W193" s="87">
        <v>0.460256</v>
      </c>
      <c r="X193" s="87">
        <v>23.79597</v>
      </c>
      <c r="Y193" s="87">
        <v>8.156838</v>
      </c>
      <c r="Z193" s="87">
        <v>0.0</v>
      </c>
      <c r="AA193" s="87">
        <v>9.065835</v>
      </c>
      <c r="AB193" s="87">
        <v>2.560916</v>
      </c>
      <c r="AC193" s="87">
        <v>1.894988</v>
      </c>
      <c r="AD193" s="87">
        <v>4.642963</v>
      </c>
      <c r="AE193" s="87">
        <v>6.617382</v>
      </c>
      <c r="AF193" s="87">
        <v>13.25379</v>
      </c>
      <c r="AG193" s="87">
        <v>11.37515</v>
      </c>
      <c r="AH193" s="87">
        <v>0.0</v>
      </c>
      <c r="AI193" s="87">
        <v>13.385</v>
      </c>
      <c r="AJ193" s="87">
        <v>8.800684</v>
      </c>
      <c r="AK193" s="87">
        <v>10.3256</v>
      </c>
      <c r="AL193" s="88" t="s">
        <v>1396</v>
      </c>
    </row>
    <row r="194">
      <c r="A194" s="84" t="s">
        <v>1639</v>
      </c>
      <c r="B194" s="84" t="s">
        <v>1663</v>
      </c>
      <c r="C194" s="84" t="s">
        <v>180</v>
      </c>
      <c r="D194" s="84" t="s">
        <v>815</v>
      </c>
      <c r="E194" s="84" t="s">
        <v>1398</v>
      </c>
      <c r="F194" s="87">
        <v>1.0</v>
      </c>
      <c r="G194" s="87">
        <v>0.0</v>
      </c>
      <c r="H194" s="87">
        <v>0.0</v>
      </c>
      <c r="I194" s="87">
        <v>0.0</v>
      </c>
      <c r="J194" s="87">
        <v>0.0</v>
      </c>
      <c r="K194" s="87">
        <v>0.0</v>
      </c>
      <c r="L194" s="87">
        <v>0.0</v>
      </c>
      <c r="M194" s="87">
        <v>0.0</v>
      </c>
      <c r="N194" s="87">
        <v>0.0</v>
      </c>
      <c r="O194" s="87">
        <v>0.0</v>
      </c>
      <c r="P194" s="87">
        <v>0.0</v>
      </c>
      <c r="Q194" s="87">
        <v>0.0</v>
      </c>
      <c r="R194" s="87">
        <v>0.0</v>
      </c>
      <c r="S194" s="87">
        <v>0.0</v>
      </c>
      <c r="T194" s="87">
        <v>0.0</v>
      </c>
      <c r="U194" s="87">
        <v>0.0</v>
      </c>
      <c r="V194" s="87">
        <v>0.0</v>
      </c>
      <c r="W194" s="87">
        <v>0.0</v>
      </c>
      <c r="X194" s="87">
        <v>0.0</v>
      </c>
      <c r="Y194" s="87">
        <v>0.0</v>
      </c>
      <c r="Z194" s="87">
        <v>0.0</v>
      </c>
      <c r="AA194" s="87">
        <v>9.065835</v>
      </c>
      <c r="AB194" s="87">
        <v>2.560916</v>
      </c>
      <c r="AC194" s="87">
        <v>1.894988</v>
      </c>
      <c r="AD194" s="87">
        <v>3.238837</v>
      </c>
      <c r="AE194" s="87">
        <v>6.441452</v>
      </c>
      <c r="AF194" s="87">
        <v>6.514856</v>
      </c>
      <c r="AG194" s="87">
        <v>6.677616</v>
      </c>
      <c r="AH194" s="87">
        <v>0.0</v>
      </c>
      <c r="AI194" s="87">
        <v>13.385</v>
      </c>
      <c r="AJ194" s="87">
        <v>8.800684</v>
      </c>
      <c r="AK194" s="87">
        <v>10.3256</v>
      </c>
      <c r="AL194" s="88" t="s">
        <v>1396</v>
      </c>
    </row>
    <row r="195">
      <c r="A195" s="84" t="s">
        <v>1626</v>
      </c>
      <c r="B195" s="84" t="s">
        <v>1664</v>
      </c>
      <c r="C195" s="84" t="s">
        <v>180</v>
      </c>
      <c r="D195" s="84" t="s">
        <v>815</v>
      </c>
      <c r="E195" s="84" t="s">
        <v>1400</v>
      </c>
      <c r="F195" s="87">
        <v>8.0</v>
      </c>
      <c r="G195" s="87">
        <v>0.0</v>
      </c>
      <c r="H195" s="87">
        <v>239.0</v>
      </c>
      <c r="I195" s="87">
        <v>0.0</v>
      </c>
      <c r="J195" s="87">
        <v>5.151923</v>
      </c>
      <c r="K195" s="87">
        <v>3.171087</v>
      </c>
      <c r="L195" s="87">
        <v>2.45185</v>
      </c>
      <c r="M195" s="87">
        <v>3.171087</v>
      </c>
      <c r="N195" s="87">
        <v>1.0</v>
      </c>
      <c r="O195" s="87">
        <v>0.0</v>
      </c>
      <c r="P195" s="87">
        <v>0.0</v>
      </c>
      <c r="Q195" s="87">
        <v>0.0</v>
      </c>
      <c r="R195" s="87">
        <v>0.0</v>
      </c>
      <c r="S195" s="87">
        <v>0.0</v>
      </c>
      <c r="T195" s="87">
        <v>1.058317</v>
      </c>
      <c r="U195" s="87">
        <v>1.058317</v>
      </c>
      <c r="V195" s="87">
        <v>1.058317</v>
      </c>
      <c r="W195" s="87">
        <v>2.112771</v>
      </c>
      <c r="X195" s="87">
        <v>2.112771</v>
      </c>
      <c r="Y195" s="87">
        <v>0.396386</v>
      </c>
      <c r="Z195" s="87">
        <v>0.0</v>
      </c>
      <c r="AA195" s="87">
        <v>9.065835</v>
      </c>
      <c r="AB195" s="87">
        <v>2.560916</v>
      </c>
      <c r="AC195" s="87">
        <v>1.894988</v>
      </c>
      <c r="AD195" s="87">
        <v>1.525666</v>
      </c>
      <c r="AE195" s="87">
        <v>2.537356</v>
      </c>
      <c r="AF195" s="87">
        <v>9.943698</v>
      </c>
      <c r="AG195" s="87">
        <v>4.141047</v>
      </c>
      <c r="AH195" s="87">
        <v>0.0</v>
      </c>
      <c r="AI195" s="87">
        <v>13.385</v>
      </c>
      <c r="AJ195" s="87">
        <v>8.800684</v>
      </c>
      <c r="AK195" s="87">
        <v>10.3256</v>
      </c>
      <c r="AL195" s="88" t="s">
        <v>1396</v>
      </c>
    </row>
    <row r="196">
      <c r="A196" s="84" t="s">
        <v>1642</v>
      </c>
      <c r="B196" s="84" t="s">
        <v>1665</v>
      </c>
      <c r="C196" s="84" t="s">
        <v>180</v>
      </c>
      <c r="D196" s="84" t="s">
        <v>815</v>
      </c>
      <c r="E196" s="89">
        <v>46300.0</v>
      </c>
      <c r="F196" s="87">
        <v>5.0</v>
      </c>
      <c r="G196" s="87">
        <v>0.0</v>
      </c>
      <c r="H196" s="87">
        <v>1027.0</v>
      </c>
      <c r="I196" s="87">
        <v>0.0</v>
      </c>
      <c r="J196" s="87">
        <v>7.619297</v>
      </c>
      <c r="K196" s="87">
        <v>9.474938</v>
      </c>
      <c r="L196" s="87">
        <v>10.00202</v>
      </c>
      <c r="M196" s="87">
        <v>9.474938</v>
      </c>
      <c r="N196" s="87">
        <v>1.0</v>
      </c>
      <c r="O196" s="87">
        <v>0.0</v>
      </c>
      <c r="P196" s="87">
        <v>0.0</v>
      </c>
      <c r="Q196" s="87">
        <v>0.0</v>
      </c>
      <c r="R196" s="87">
        <v>0.0</v>
      </c>
      <c r="S196" s="87">
        <v>0.0</v>
      </c>
      <c r="T196" s="87">
        <v>9.474938</v>
      </c>
      <c r="U196" s="87">
        <v>9.474938</v>
      </c>
      <c r="V196" s="87">
        <v>9.474938</v>
      </c>
      <c r="W196" s="87">
        <v>9.474938</v>
      </c>
      <c r="X196" s="87">
        <v>9.474938</v>
      </c>
      <c r="Y196" s="87">
        <v>1.894988</v>
      </c>
      <c r="Z196" s="87">
        <v>0.0</v>
      </c>
      <c r="AA196" s="87">
        <v>9.065835</v>
      </c>
      <c r="AB196" s="87">
        <v>2.560916</v>
      </c>
      <c r="AC196" s="87">
        <v>1.894988</v>
      </c>
      <c r="AD196" s="87">
        <v>3.638192</v>
      </c>
      <c r="AE196" s="87">
        <v>18.2145</v>
      </c>
      <c r="AF196" s="87">
        <v>26.13914</v>
      </c>
      <c r="AG196" s="87">
        <v>11.35567</v>
      </c>
      <c r="AH196" s="87">
        <v>0.0</v>
      </c>
      <c r="AI196" s="87">
        <v>13.385</v>
      </c>
      <c r="AJ196" s="87">
        <v>8.800684</v>
      </c>
      <c r="AK196" s="87">
        <v>10.3256</v>
      </c>
      <c r="AL196" s="88" t="s">
        <v>1396</v>
      </c>
    </row>
    <row r="197">
      <c r="A197" s="84" t="s">
        <v>1629</v>
      </c>
      <c r="B197" s="84" t="s">
        <v>1666</v>
      </c>
      <c r="C197" s="84" t="s">
        <v>180</v>
      </c>
      <c r="D197" s="84" t="s">
        <v>815</v>
      </c>
      <c r="E197" s="84" t="s">
        <v>1403</v>
      </c>
      <c r="F197" s="87">
        <v>44.0</v>
      </c>
      <c r="G197" s="87">
        <v>1.0</v>
      </c>
      <c r="H197" s="87">
        <v>31.0</v>
      </c>
      <c r="I197" s="87">
        <v>31.0</v>
      </c>
      <c r="J197" s="87">
        <v>0.0</v>
      </c>
      <c r="K197" s="87">
        <v>0.0</v>
      </c>
      <c r="L197" s="87">
        <v>0.0</v>
      </c>
      <c r="M197" s="87">
        <v>0.0</v>
      </c>
      <c r="N197" s="87">
        <v>0.0</v>
      </c>
      <c r="O197" s="87">
        <v>0.0</v>
      </c>
      <c r="P197" s="87">
        <v>0.0</v>
      </c>
      <c r="Q197" s="87">
        <v>0.0</v>
      </c>
      <c r="R197" s="87">
        <v>0.0</v>
      </c>
      <c r="S197" s="87">
        <v>0.0</v>
      </c>
      <c r="T197" s="87">
        <v>0.0</v>
      </c>
      <c r="U197" s="87">
        <v>0.0</v>
      </c>
      <c r="V197" s="87">
        <v>0.0</v>
      </c>
      <c r="W197" s="87">
        <v>0.0</v>
      </c>
      <c r="X197" s="87">
        <v>0.0</v>
      </c>
      <c r="Y197" s="87">
        <v>0.0</v>
      </c>
      <c r="Z197" s="87">
        <v>0.0</v>
      </c>
      <c r="AA197" s="87">
        <v>9.065835</v>
      </c>
      <c r="AB197" s="87">
        <v>2.560916</v>
      </c>
      <c r="AC197" s="87">
        <v>1.894988</v>
      </c>
      <c r="AD197" s="87">
        <v>0.0</v>
      </c>
      <c r="AE197" s="87">
        <v>0.0</v>
      </c>
      <c r="AF197" s="87">
        <v>0.0</v>
      </c>
      <c r="AG197" s="87">
        <v>0.0</v>
      </c>
      <c r="AH197" s="87">
        <v>0.0</v>
      </c>
      <c r="AI197" s="87">
        <v>13.385</v>
      </c>
      <c r="AJ197" s="87">
        <v>8.800684</v>
      </c>
      <c r="AK197" s="87">
        <v>10.3256</v>
      </c>
      <c r="AL197" s="88" t="s">
        <v>1396</v>
      </c>
    </row>
    <row r="198">
      <c r="A198" s="84" t="s">
        <v>1633</v>
      </c>
      <c r="B198" s="84" t="s">
        <v>1667</v>
      </c>
      <c r="C198" s="84" t="s">
        <v>180</v>
      </c>
      <c r="D198" s="84" t="s">
        <v>186</v>
      </c>
      <c r="E198" s="84" t="s">
        <v>1426</v>
      </c>
      <c r="F198" s="87">
        <v>27.0</v>
      </c>
      <c r="G198" s="87">
        <v>0.0</v>
      </c>
      <c r="H198" s="87">
        <v>22990.0</v>
      </c>
      <c r="I198" s="87">
        <v>0.0</v>
      </c>
      <c r="J198" s="87">
        <v>354.4641</v>
      </c>
      <c r="K198" s="87">
        <v>387.6094</v>
      </c>
      <c r="L198" s="87">
        <v>408.8259</v>
      </c>
      <c r="M198" s="87">
        <v>222.6702</v>
      </c>
      <c r="N198" s="87">
        <v>0.574471</v>
      </c>
      <c r="O198" s="87">
        <v>0.0</v>
      </c>
      <c r="P198" s="87">
        <v>0.0</v>
      </c>
      <c r="Q198" s="87">
        <v>0.0</v>
      </c>
      <c r="R198" s="87">
        <v>9.908089</v>
      </c>
      <c r="S198" s="87">
        <v>23.21125</v>
      </c>
      <c r="T198" s="87">
        <v>7.014326</v>
      </c>
      <c r="U198" s="87">
        <v>9.908089</v>
      </c>
      <c r="V198" s="87">
        <v>16.761</v>
      </c>
      <c r="W198" s="87">
        <v>23.21125</v>
      </c>
      <c r="X198" s="87">
        <v>26.0732</v>
      </c>
      <c r="Y198" s="87">
        <v>14.3559</v>
      </c>
      <c r="Z198" s="87">
        <v>0.0</v>
      </c>
      <c r="AA198" s="87">
        <v>9.908089</v>
      </c>
      <c r="AB198" s="87">
        <v>5.65977</v>
      </c>
      <c r="AC198" s="87">
        <v>10.69072</v>
      </c>
      <c r="AD198" s="87">
        <v>24.2854</v>
      </c>
      <c r="AE198" s="87">
        <v>32.85595</v>
      </c>
      <c r="AF198" s="87">
        <v>30.10181</v>
      </c>
      <c r="AG198" s="87">
        <v>29.55965</v>
      </c>
      <c r="AH198" s="87">
        <v>0.0</v>
      </c>
      <c r="AI198" s="87">
        <v>13.385</v>
      </c>
      <c r="AJ198" s="87">
        <v>8.800684</v>
      </c>
      <c r="AK198" s="87">
        <v>10.3256</v>
      </c>
      <c r="AL198" s="88" t="s">
        <v>1396</v>
      </c>
    </row>
    <row r="199">
      <c r="A199" s="84" t="s">
        <v>1635</v>
      </c>
      <c r="B199" s="84" t="s">
        <v>1668</v>
      </c>
      <c r="C199" s="84" t="s">
        <v>180</v>
      </c>
      <c r="D199" s="84" t="s">
        <v>186</v>
      </c>
      <c r="E199" s="89">
        <v>46310.0</v>
      </c>
      <c r="F199" s="87">
        <v>17.0</v>
      </c>
      <c r="G199" s="87">
        <v>0.0</v>
      </c>
      <c r="H199" s="87">
        <v>21683.0</v>
      </c>
      <c r="I199" s="87">
        <v>0.0</v>
      </c>
      <c r="J199" s="87">
        <v>225.5775</v>
      </c>
      <c r="K199" s="87">
        <v>249.1789</v>
      </c>
      <c r="L199" s="87">
        <v>256.0613</v>
      </c>
      <c r="M199" s="87">
        <v>213.3688</v>
      </c>
      <c r="N199" s="87">
        <v>0.856287</v>
      </c>
      <c r="O199" s="87">
        <v>0.0</v>
      </c>
      <c r="P199" s="87">
        <v>0.0</v>
      </c>
      <c r="Q199" s="87">
        <v>0.0</v>
      </c>
      <c r="R199" s="87">
        <v>1.166667</v>
      </c>
      <c r="S199" s="87">
        <v>10.56905</v>
      </c>
      <c r="T199" s="87">
        <v>0.776812</v>
      </c>
      <c r="U199" s="87">
        <v>1.166667</v>
      </c>
      <c r="V199" s="87">
        <v>1.187526</v>
      </c>
      <c r="W199" s="87">
        <v>10.56905</v>
      </c>
      <c r="X199" s="87">
        <v>23.98908</v>
      </c>
      <c r="Y199" s="87">
        <v>14.65759</v>
      </c>
      <c r="Z199" s="87">
        <v>0.0</v>
      </c>
      <c r="AA199" s="87">
        <v>9.908089</v>
      </c>
      <c r="AB199" s="87">
        <v>5.65977</v>
      </c>
      <c r="AC199" s="87">
        <v>10.69072</v>
      </c>
      <c r="AD199" s="87">
        <v>6.870801</v>
      </c>
      <c r="AE199" s="87">
        <v>12.43729</v>
      </c>
      <c r="AF199" s="87">
        <v>27.66828</v>
      </c>
      <c r="AG199" s="87">
        <v>14.65759</v>
      </c>
      <c r="AH199" s="87">
        <v>0.0</v>
      </c>
      <c r="AI199" s="87">
        <v>13.385</v>
      </c>
      <c r="AJ199" s="87">
        <v>8.800684</v>
      </c>
      <c r="AK199" s="87">
        <v>10.3256</v>
      </c>
      <c r="AL199" s="88" t="s">
        <v>1396</v>
      </c>
    </row>
    <row r="200">
      <c r="A200" s="84" t="s">
        <v>1637</v>
      </c>
      <c r="B200" s="84" t="s">
        <v>1669</v>
      </c>
      <c r="C200" s="84" t="s">
        <v>180</v>
      </c>
      <c r="D200" s="84" t="s">
        <v>186</v>
      </c>
      <c r="E200" s="84" t="s">
        <v>1413</v>
      </c>
      <c r="F200" s="87">
        <v>8.0</v>
      </c>
      <c r="G200" s="87">
        <v>0.0</v>
      </c>
      <c r="H200" s="87">
        <v>6461.0</v>
      </c>
      <c r="I200" s="87">
        <v>0.0</v>
      </c>
      <c r="J200" s="87">
        <v>76.48739</v>
      </c>
      <c r="K200" s="87">
        <v>91.00122</v>
      </c>
      <c r="L200" s="87">
        <v>84.81311</v>
      </c>
      <c r="M200" s="87">
        <v>75.95651</v>
      </c>
      <c r="N200" s="87">
        <v>0.834676</v>
      </c>
      <c r="O200" s="87">
        <v>0.182006</v>
      </c>
      <c r="P200" s="87">
        <v>0.208896</v>
      </c>
      <c r="Q200" s="87">
        <v>2.27863</v>
      </c>
      <c r="R200" s="87">
        <v>2.919932</v>
      </c>
      <c r="S200" s="87">
        <v>6.617382</v>
      </c>
      <c r="T200" s="87">
        <v>0.182006</v>
      </c>
      <c r="U200" s="87">
        <v>0.208896</v>
      </c>
      <c r="V200" s="87">
        <v>2.27863</v>
      </c>
      <c r="W200" s="87">
        <v>2.919932</v>
      </c>
      <c r="X200" s="87">
        <v>6.617382</v>
      </c>
      <c r="Y200" s="87">
        <v>11.37515</v>
      </c>
      <c r="Z200" s="87">
        <v>0.0</v>
      </c>
      <c r="AA200" s="87">
        <v>9.908089</v>
      </c>
      <c r="AB200" s="87">
        <v>5.65977</v>
      </c>
      <c r="AC200" s="87">
        <v>10.69072</v>
      </c>
      <c r="AD200" s="87">
        <v>4.642963</v>
      </c>
      <c r="AE200" s="87">
        <v>6.617382</v>
      </c>
      <c r="AF200" s="87">
        <v>13.25379</v>
      </c>
      <c r="AG200" s="87">
        <v>11.37515</v>
      </c>
      <c r="AH200" s="87">
        <v>0.0</v>
      </c>
      <c r="AI200" s="87">
        <v>13.385</v>
      </c>
      <c r="AJ200" s="87">
        <v>8.800684</v>
      </c>
      <c r="AK200" s="87">
        <v>10.3256</v>
      </c>
      <c r="AL200" s="88" t="s">
        <v>1396</v>
      </c>
    </row>
    <row r="201">
      <c r="A201" s="84" t="s">
        <v>1639</v>
      </c>
      <c r="B201" s="84" t="s">
        <v>1670</v>
      </c>
      <c r="C201" s="84" t="s">
        <v>180</v>
      </c>
      <c r="D201" s="84" t="s">
        <v>186</v>
      </c>
      <c r="E201" s="84" t="s">
        <v>1398</v>
      </c>
      <c r="F201" s="87">
        <v>7.0</v>
      </c>
      <c r="G201" s="87">
        <v>0.0</v>
      </c>
      <c r="H201" s="87">
        <v>3900.0</v>
      </c>
      <c r="I201" s="87">
        <v>0.0</v>
      </c>
      <c r="J201" s="87">
        <v>47.25561</v>
      </c>
      <c r="K201" s="87">
        <v>46.74331</v>
      </c>
      <c r="L201" s="87">
        <v>42.40557</v>
      </c>
      <c r="M201" s="87">
        <v>46.74331</v>
      </c>
      <c r="N201" s="87">
        <v>1.0</v>
      </c>
      <c r="O201" s="87">
        <v>0.0</v>
      </c>
      <c r="P201" s="87">
        <v>0.0</v>
      </c>
      <c r="Q201" s="87">
        <v>0.0</v>
      </c>
      <c r="R201" s="87">
        <v>0.0</v>
      </c>
      <c r="S201" s="87">
        <v>0.0</v>
      </c>
      <c r="T201" s="87">
        <v>0.886367</v>
      </c>
      <c r="U201" s="87">
        <v>0.886367</v>
      </c>
      <c r="V201" s="87">
        <v>0.886367</v>
      </c>
      <c r="W201" s="87">
        <v>45.85695</v>
      </c>
      <c r="X201" s="87">
        <v>45.85695</v>
      </c>
      <c r="Y201" s="87">
        <v>6.677616</v>
      </c>
      <c r="Z201" s="87">
        <v>0.0</v>
      </c>
      <c r="AA201" s="87">
        <v>9.908089</v>
      </c>
      <c r="AB201" s="87">
        <v>5.65977</v>
      </c>
      <c r="AC201" s="87">
        <v>10.69072</v>
      </c>
      <c r="AD201" s="87">
        <v>3.238837</v>
      </c>
      <c r="AE201" s="87">
        <v>6.441452</v>
      </c>
      <c r="AF201" s="87">
        <v>6.514856</v>
      </c>
      <c r="AG201" s="87">
        <v>6.677616</v>
      </c>
      <c r="AH201" s="87">
        <v>0.0</v>
      </c>
      <c r="AI201" s="87">
        <v>13.385</v>
      </c>
      <c r="AJ201" s="87">
        <v>8.800684</v>
      </c>
      <c r="AK201" s="87">
        <v>10.3256</v>
      </c>
      <c r="AL201" s="88" t="s">
        <v>1396</v>
      </c>
    </row>
    <row r="202">
      <c r="A202" s="84" t="s">
        <v>1626</v>
      </c>
      <c r="B202" s="84" t="s">
        <v>1671</v>
      </c>
      <c r="C202" s="84" t="s">
        <v>180</v>
      </c>
      <c r="D202" s="84" t="s">
        <v>186</v>
      </c>
      <c r="E202" s="84" t="s">
        <v>1400</v>
      </c>
      <c r="F202" s="87">
        <v>16.0</v>
      </c>
      <c r="G202" s="87">
        <v>2.0</v>
      </c>
      <c r="H202" s="87">
        <v>4303.0</v>
      </c>
      <c r="I202" s="87">
        <v>173.0</v>
      </c>
      <c r="J202" s="87">
        <v>71.21694</v>
      </c>
      <c r="K202" s="87">
        <v>66.25675</v>
      </c>
      <c r="L202" s="87">
        <v>65.68953</v>
      </c>
      <c r="M202" s="87">
        <v>63.77424</v>
      </c>
      <c r="N202" s="87">
        <v>0.962532</v>
      </c>
      <c r="O202" s="87">
        <v>0.0</v>
      </c>
      <c r="P202" s="87">
        <v>0.0</v>
      </c>
      <c r="Q202" s="87">
        <v>0.0</v>
      </c>
      <c r="R202" s="87">
        <v>0.502778</v>
      </c>
      <c r="S202" s="87">
        <v>0.666013</v>
      </c>
      <c r="T202" s="87">
        <v>0.086957</v>
      </c>
      <c r="U202" s="87">
        <v>0.502778</v>
      </c>
      <c r="V202" s="87">
        <v>0.564647</v>
      </c>
      <c r="W202" s="87">
        <v>0.666013</v>
      </c>
      <c r="X202" s="87">
        <v>12.77745</v>
      </c>
      <c r="Y202" s="87">
        <v>4.141047</v>
      </c>
      <c r="Z202" s="87">
        <v>0.0</v>
      </c>
      <c r="AA202" s="87">
        <v>9.908089</v>
      </c>
      <c r="AB202" s="87">
        <v>5.65977</v>
      </c>
      <c r="AC202" s="87">
        <v>10.69072</v>
      </c>
      <c r="AD202" s="87">
        <v>1.525666</v>
      </c>
      <c r="AE202" s="87">
        <v>2.537356</v>
      </c>
      <c r="AF202" s="87">
        <v>9.943698</v>
      </c>
      <c r="AG202" s="87">
        <v>4.141047</v>
      </c>
      <c r="AH202" s="87">
        <v>0.0</v>
      </c>
      <c r="AI202" s="87">
        <v>13.385</v>
      </c>
      <c r="AJ202" s="87">
        <v>8.800684</v>
      </c>
      <c r="AK202" s="87">
        <v>10.3256</v>
      </c>
      <c r="AL202" s="88" t="s">
        <v>1396</v>
      </c>
    </row>
    <row r="203">
      <c r="A203" s="84" t="s">
        <v>1642</v>
      </c>
      <c r="B203" s="84" t="s">
        <v>1672</v>
      </c>
      <c r="C203" s="84" t="s">
        <v>180</v>
      </c>
      <c r="D203" s="84" t="s">
        <v>186</v>
      </c>
      <c r="E203" s="89">
        <v>46300.0</v>
      </c>
      <c r="F203" s="87">
        <v>14.0</v>
      </c>
      <c r="G203" s="87">
        <v>0.0</v>
      </c>
      <c r="H203" s="87">
        <v>5728.0</v>
      </c>
      <c r="I203" s="87">
        <v>0.0</v>
      </c>
      <c r="J203" s="87">
        <v>131.8554</v>
      </c>
      <c r="K203" s="87">
        <v>149.6701</v>
      </c>
      <c r="L203" s="87">
        <v>154.6675</v>
      </c>
      <c r="M203" s="87">
        <v>135.1592</v>
      </c>
      <c r="N203" s="87">
        <v>0.903048</v>
      </c>
      <c r="O203" s="87">
        <v>0.0</v>
      </c>
      <c r="P203" s="87">
        <v>0.0</v>
      </c>
      <c r="Q203" s="87">
        <v>0.0</v>
      </c>
      <c r="R203" s="87">
        <v>1.469711</v>
      </c>
      <c r="S203" s="87">
        <v>3.786711</v>
      </c>
      <c r="T203" s="87">
        <v>0.5</v>
      </c>
      <c r="U203" s="87">
        <v>1.469711</v>
      </c>
      <c r="V203" s="87">
        <v>2.0</v>
      </c>
      <c r="W203" s="87">
        <v>6.75446</v>
      </c>
      <c r="X203" s="87">
        <v>22.74404</v>
      </c>
      <c r="Y203" s="87">
        <v>10.69072</v>
      </c>
      <c r="Z203" s="87">
        <v>0.0</v>
      </c>
      <c r="AA203" s="87">
        <v>9.908089</v>
      </c>
      <c r="AB203" s="87">
        <v>5.65977</v>
      </c>
      <c r="AC203" s="87">
        <v>10.69072</v>
      </c>
      <c r="AD203" s="87">
        <v>3.638192</v>
      </c>
      <c r="AE203" s="87">
        <v>18.2145</v>
      </c>
      <c r="AF203" s="87">
        <v>26.13914</v>
      </c>
      <c r="AG203" s="87">
        <v>11.35567</v>
      </c>
      <c r="AH203" s="87">
        <v>0.0</v>
      </c>
      <c r="AI203" s="87">
        <v>13.385</v>
      </c>
      <c r="AJ203" s="87">
        <v>8.800684</v>
      </c>
      <c r="AK203" s="87">
        <v>10.3256</v>
      </c>
      <c r="AL203" s="88" t="s">
        <v>1396</v>
      </c>
    </row>
    <row r="204">
      <c r="A204" s="84" t="s">
        <v>1629</v>
      </c>
      <c r="B204" s="84" t="s">
        <v>1673</v>
      </c>
      <c r="C204" s="84" t="s">
        <v>180</v>
      </c>
      <c r="D204" s="84" t="s">
        <v>186</v>
      </c>
      <c r="E204" s="84" t="s">
        <v>1403</v>
      </c>
      <c r="F204" s="87">
        <v>86.0</v>
      </c>
      <c r="G204" s="87">
        <v>7.0</v>
      </c>
      <c r="H204" s="87">
        <v>967.0</v>
      </c>
      <c r="I204" s="87">
        <v>967.0</v>
      </c>
      <c r="J204" s="87">
        <v>0.0</v>
      </c>
      <c r="K204" s="87">
        <v>0.0</v>
      </c>
      <c r="L204" s="87">
        <v>0.0</v>
      </c>
      <c r="M204" s="87">
        <v>0.0</v>
      </c>
      <c r="N204" s="87">
        <v>0.0</v>
      </c>
      <c r="O204" s="87">
        <v>0.0</v>
      </c>
      <c r="P204" s="87">
        <v>0.0</v>
      </c>
      <c r="Q204" s="87">
        <v>0.0</v>
      </c>
      <c r="R204" s="87">
        <v>0.0</v>
      </c>
      <c r="S204" s="87">
        <v>0.0</v>
      </c>
      <c r="T204" s="87">
        <v>0.0</v>
      </c>
      <c r="U204" s="87">
        <v>0.0</v>
      </c>
      <c r="V204" s="87">
        <v>0.0</v>
      </c>
      <c r="W204" s="87">
        <v>0.0</v>
      </c>
      <c r="X204" s="87">
        <v>0.0</v>
      </c>
      <c r="Y204" s="87">
        <v>0.0</v>
      </c>
      <c r="Z204" s="87">
        <v>0.0</v>
      </c>
      <c r="AA204" s="87">
        <v>9.908089</v>
      </c>
      <c r="AB204" s="87">
        <v>5.65977</v>
      </c>
      <c r="AC204" s="87">
        <v>10.69072</v>
      </c>
      <c r="AD204" s="87">
        <v>0.0</v>
      </c>
      <c r="AE204" s="87">
        <v>0.0</v>
      </c>
      <c r="AF204" s="87">
        <v>0.0</v>
      </c>
      <c r="AG204" s="87">
        <v>0.0</v>
      </c>
      <c r="AH204" s="87">
        <v>0.0</v>
      </c>
      <c r="AI204" s="87">
        <v>13.385</v>
      </c>
      <c r="AJ204" s="87">
        <v>8.800684</v>
      </c>
      <c r="AK204" s="87">
        <v>10.3256</v>
      </c>
      <c r="AL204" s="88" t="s">
        <v>1396</v>
      </c>
    </row>
    <row r="205">
      <c r="A205" s="84" t="s">
        <v>1633</v>
      </c>
      <c r="B205" s="84" t="s">
        <v>1674</v>
      </c>
      <c r="C205" s="84" t="s">
        <v>180</v>
      </c>
      <c r="D205" s="84" t="s">
        <v>181</v>
      </c>
      <c r="E205" s="84" t="s">
        <v>1426</v>
      </c>
      <c r="F205" s="87">
        <v>65.0</v>
      </c>
      <c r="G205" s="87">
        <v>0.0</v>
      </c>
      <c r="H205" s="87">
        <v>118095.0</v>
      </c>
      <c r="I205" s="87">
        <v>0.0</v>
      </c>
      <c r="J205" s="87">
        <v>2419.616</v>
      </c>
      <c r="K205" s="87">
        <v>2634.995</v>
      </c>
      <c r="L205" s="87">
        <v>2732.304</v>
      </c>
      <c r="M205" s="87">
        <v>1358.768</v>
      </c>
      <c r="N205" s="87">
        <v>0.515663</v>
      </c>
      <c r="O205" s="87">
        <v>0.0</v>
      </c>
      <c r="P205" s="87">
        <v>5.198394</v>
      </c>
      <c r="Q205" s="87">
        <v>20.15514</v>
      </c>
      <c r="R205" s="87">
        <v>32.61049</v>
      </c>
      <c r="S205" s="87">
        <v>47.08586</v>
      </c>
      <c r="T205" s="87">
        <v>11.52857</v>
      </c>
      <c r="U205" s="87">
        <v>23.453</v>
      </c>
      <c r="V205" s="87">
        <v>26.32651</v>
      </c>
      <c r="W205" s="87">
        <v>36.11122</v>
      </c>
      <c r="X205" s="87">
        <v>52.37445</v>
      </c>
      <c r="Y205" s="87">
        <v>40.53839</v>
      </c>
      <c r="Z205" s="87">
        <v>0.0</v>
      </c>
      <c r="AA205" s="87">
        <v>23.76197</v>
      </c>
      <c r="AB205" s="87">
        <v>14.74503</v>
      </c>
      <c r="AC205" s="87">
        <v>12.43132</v>
      </c>
      <c r="AD205" s="87">
        <v>24.2854</v>
      </c>
      <c r="AE205" s="87">
        <v>32.85595</v>
      </c>
      <c r="AF205" s="87">
        <v>30.10181</v>
      </c>
      <c r="AG205" s="87">
        <v>29.55965</v>
      </c>
      <c r="AH205" s="87">
        <v>0.0</v>
      </c>
      <c r="AI205" s="87">
        <v>13.385</v>
      </c>
      <c r="AJ205" s="87">
        <v>8.800684</v>
      </c>
      <c r="AK205" s="87">
        <v>10.3256</v>
      </c>
      <c r="AL205" s="88" t="s">
        <v>1396</v>
      </c>
    </row>
    <row r="206">
      <c r="A206" s="84" t="s">
        <v>1635</v>
      </c>
      <c r="B206" s="84" t="s">
        <v>1675</v>
      </c>
      <c r="C206" s="84" t="s">
        <v>180</v>
      </c>
      <c r="D206" s="84" t="s">
        <v>181</v>
      </c>
      <c r="E206" s="86">
        <v>46310.0</v>
      </c>
      <c r="F206" s="87">
        <v>30.0</v>
      </c>
      <c r="G206" s="87">
        <v>0.0</v>
      </c>
      <c r="H206" s="87">
        <v>85803.0</v>
      </c>
      <c r="I206" s="87">
        <v>0.0</v>
      </c>
      <c r="J206" s="87">
        <v>1933.844</v>
      </c>
      <c r="K206" s="87">
        <v>1986.263</v>
      </c>
      <c r="L206" s="87">
        <v>2054.151</v>
      </c>
      <c r="M206" s="87">
        <v>1479.416</v>
      </c>
      <c r="N206" s="87">
        <v>0.744824</v>
      </c>
      <c r="O206" s="87">
        <v>0.066667</v>
      </c>
      <c r="P206" s="87">
        <v>0.671429</v>
      </c>
      <c r="Q206" s="87">
        <v>7.428827</v>
      </c>
      <c r="R206" s="87">
        <v>24.09202</v>
      </c>
      <c r="S206" s="87">
        <v>44.28144</v>
      </c>
      <c r="T206" s="87">
        <v>0.395699</v>
      </c>
      <c r="U206" s="87">
        <v>6.663561</v>
      </c>
      <c r="V206" s="87">
        <v>14.54877</v>
      </c>
      <c r="W206" s="87">
        <v>24.87245</v>
      </c>
      <c r="X206" s="87">
        <v>44.28144</v>
      </c>
      <c r="Y206" s="87">
        <v>66.20878</v>
      </c>
      <c r="Z206" s="87">
        <v>0.0</v>
      </c>
      <c r="AA206" s="87">
        <v>23.76197</v>
      </c>
      <c r="AB206" s="87">
        <v>14.74503</v>
      </c>
      <c r="AC206" s="87">
        <v>12.43132</v>
      </c>
      <c r="AD206" s="87">
        <v>6.870801</v>
      </c>
      <c r="AE206" s="87">
        <v>12.43729</v>
      </c>
      <c r="AF206" s="87">
        <v>27.66828</v>
      </c>
      <c r="AG206" s="87">
        <v>14.65759</v>
      </c>
      <c r="AH206" s="87">
        <v>0.0</v>
      </c>
      <c r="AI206" s="87">
        <v>13.385</v>
      </c>
      <c r="AJ206" s="87">
        <v>8.800684</v>
      </c>
      <c r="AK206" s="87">
        <v>10.3256</v>
      </c>
      <c r="AL206" s="88" t="s">
        <v>1396</v>
      </c>
    </row>
    <row r="207">
      <c r="A207" s="84" t="s">
        <v>1637</v>
      </c>
      <c r="B207" s="84" t="s">
        <v>1676</v>
      </c>
      <c r="C207" s="84" t="s">
        <v>180</v>
      </c>
      <c r="D207" s="84" t="s">
        <v>181</v>
      </c>
      <c r="E207" s="84" t="s">
        <v>1413</v>
      </c>
      <c r="F207" s="87">
        <v>20.0</v>
      </c>
      <c r="G207" s="87">
        <v>0.0</v>
      </c>
      <c r="H207" s="87">
        <v>13728.0</v>
      </c>
      <c r="I207" s="87">
        <v>0.0</v>
      </c>
      <c r="J207" s="87">
        <v>223.4602</v>
      </c>
      <c r="K207" s="87">
        <v>230.9036</v>
      </c>
      <c r="L207" s="87">
        <v>239.9949</v>
      </c>
      <c r="M207" s="87">
        <v>148.356</v>
      </c>
      <c r="N207" s="87">
        <v>0.642502</v>
      </c>
      <c r="O207" s="87">
        <v>1.408377</v>
      </c>
      <c r="P207" s="87">
        <v>1.502826</v>
      </c>
      <c r="Q207" s="87">
        <v>2.225797</v>
      </c>
      <c r="R207" s="87">
        <v>7.162279</v>
      </c>
      <c r="S207" s="87">
        <v>9.58828</v>
      </c>
      <c r="T207" s="87">
        <v>1.436355</v>
      </c>
      <c r="U207" s="87">
        <v>2.064087</v>
      </c>
      <c r="V207" s="87">
        <v>2.576439</v>
      </c>
      <c r="W207" s="87">
        <v>8.726428</v>
      </c>
      <c r="X207" s="87">
        <v>9.58828</v>
      </c>
      <c r="Y207" s="87">
        <v>11.54518</v>
      </c>
      <c r="Z207" s="87">
        <v>0.0</v>
      </c>
      <c r="AA207" s="87">
        <v>23.76197</v>
      </c>
      <c r="AB207" s="87">
        <v>14.74503</v>
      </c>
      <c r="AC207" s="87">
        <v>12.43132</v>
      </c>
      <c r="AD207" s="87">
        <v>4.642963</v>
      </c>
      <c r="AE207" s="87">
        <v>6.617382</v>
      </c>
      <c r="AF207" s="87">
        <v>13.25379</v>
      </c>
      <c r="AG207" s="87">
        <v>11.37515</v>
      </c>
      <c r="AH207" s="87">
        <v>0.0</v>
      </c>
      <c r="AI207" s="87">
        <v>13.385</v>
      </c>
      <c r="AJ207" s="87">
        <v>8.800684</v>
      </c>
      <c r="AK207" s="87">
        <v>10.3256</v>
      </c>
      <c r="AL207" s="88" t="s">
        <v>1396</v>
      </c>
    </row>
    <row r="208">
      <c r="A208" s="84" t="s">
        <v>1639</v>
      </c>
      <c r="B208" s="84" t="s">
        <v>1677</v>
      </c>
      <c r="C208" s="84" t="s">
        <v>180</v>
      </c>
      <c r="D208" s="84" t="s">
        <v>181</v>
      </c>
      <c r="E208" s="84" t="s">
        <v>1398</v>
      </c>
      <c r="F208" s="87">
        <v>4.0</v>
      </c>
      <c r="G208" s="87">
        <v>0.0</v>
      </c>
      <c r="H208" s="87">
        <v>5322.0</v>
      </c>
      <c r="I208" s="87">
        <v>0.0</v>
      </c>
      <c r="J208" s="87">
        <v>49.65526</v>
      </c>
      <c r="K208" s="87">
        <v>49.72528</v>
      </c>
      <c r="L208" s="87">
        <v>41.71385</v>
      </c>
      <c r="M208" s="87">
        <v>23.87305</v>
      </c>
      <c r="N208" s="87">
        <v>0.480099</v>
      </c>
      <c r="O208" s="87">
        <v>0.0</v>
      </c>
      <c r="P208" s="87">
        <v>0.0</v>
      </c>
      <c r="Q208" s="87">
        <v>4.522231</v>
      </c>
      <c r="R208" s="87">
        <v>21.32999</v>
      </c>
      <c r="S208" s="87">
        <v>21.32999</v>
      </c>
      <c r="T208" s="87">
        <v>4.522231</v>
      </c>
      <c r="U208" s="87">
        <v>4.522231</v>
      </c>
      <c r="V208" s="87">
        <v>4.522231</v>
      </c>
      <c r="W208" s="87">
        <v>21.32999</v>
      </c>
      <c r="X208" s="87">
        <v>23.87305</v>
      </c>
      <c r="Y208" s="87">
        <v>12.43132</v>
      </c>
      <c r="Z208" s="87">
        <v>0.0</v>
      </c>
      <c r="AA208" s="87">
        <v>23.76197</v>
      </c>
      <c r="AB208" s="87">
        <v>14.74503</v>
      </c>
      <c r="AC208" s="87">
        <v>12.43132</v>
      </c>
      <c r="AD208" s="87">
        <v>3.238837</v>
      </c>
      <c r="AE208" s="87">
        <v>6.441452</v>
      </c>
      <c r="AF208" s="87">
        <v>6.514856</v>
      </c>
      <c r="AG208" s="87">
        <v>6.677616</v>
      </c>
      <c r="AH208" s="87">
        <v>0.0</v>
      </c>
      <c r="AI208" s="87">
        <v>13.385</v>
      </c>
      <c r="AJ208" s="87">
        <v>8.800684</v>
      </c>
      <c r="AK208" s="87">
        <v>10.3256</v>
      </c>
      <c r="AL208" s="88" t="s">
        <v>1396</v>
      </c>
    </row>
    <row r="209">
      <c r="A209" s="84" t="s">
        <v>1626</v>
      </c>
      <c r="B209" s="84" t="s">
        <v>1678</v>
      </c>
      <c r="C209" s="84" t="s">
        <v>180</v>
      </c>
      <c r="D209" s="84" t="s">
        <v>181</v>
      </c>
      <c r="E209" s="84" t="s">
        <v>1400</v>
      </c>
      <c r="F209" s="87">
        <v>20.0</v>
      </c>
      <c r="G209" s="87">
        <v>0.0</v>
      </c>
      <c r="H209" s="87">
        <v>13956.0</v>
      </c>
      <c r="I209" s="87">
        <v>0.0</v>
      </c>
      <c r="J209" s="87">
        <v>183.8263</v>
      </c>
      <c r="K209" s="87">
        <v>192.5455</v>
      </c>
      <c r="L209" s="87">
        <v>172.6665</v>
      </c>
      <c r="M209" s="87">
        <v>111.2089</v>
      </c>
      <c r="N209" s="87">
        <v>0.577572</v>
      </c>
      <c r="O209" s="87">
        <v>0.033333</v>
      </c>
      <c r="P209" s="87">
        <v>1.831184</v>
      </c>
      <c r="Q209" s="87">
        <v>3.080872</v>
      </c>
      <c r="R209" s="87">
        <v>6.257712</v>
      </c>
      <c r="S209" s="87">
        <v>12.4162</v>
      </c>
      <c r="T209" s="87">
        <v>0.521825</v>
      </c>
      <c r="U209" s="87">
        <v>2.398656</v>
      </c>
      <c r="V209" s="87">
        <v>4.942347</v>
      </c>
      <c r="W209" s="87">
        <v>7.337938</v>
      </c>
      <c r="X209" s="87">
        <v>12.4162</v>
      </c>
      <c r="Y209" s="87">
        <v>9.627275</v>
      </c>
      <c r="Z209" s="87">
        <v>0.0</v>
      </c>
      <c r="AA209" s="87">
        <v>23.76197</v>
      </c>
      <c r="AB209" s="87">
        <v>14.74503</v>
      </c>
      <c r="AC209" s="87">
        <v>12.43132</v>
      </c>
      <c r="AD209" s="87">
        <v>1.525666</v>
      </c>
      <c r="AE209" s="87">
        <v>2.537356</v>
      </c>
      <c r="AF209" s="87">
        <v>9.943698</v>
      </c>
      <c r="AG209" s="87">
        <v>4.141047</v>
      </c>
      <c r="AH209" s="87">
        <v>0.0</v>
      </c>
      <c r="AI209" s="87">
        <v>13.385</v>
      </c>
      <c r="AJ209" s="87">
        <v>8.800684</v>
      </c>
      <c r="AK209" s="87">
        <v>10.3256</v>
      </c>
      <c r="AL209" s="88" t="s">
        <v>1396</v>
      </c>
    </row>
    <row r="210">
      <c r="A210" s="84" t="s">
        <v>1642</v>
      </c>
      <c r="B210" s="84" t="s">
        <v>1679</v>
      </c>
      <c r="C210" s="84" t="s">
        <v>180</v>
      </c>
      <c r="D210" s="84" t="s">
        <v>181</v>
      </c>
      <c r="E210" s="89">
        <v>46300.0</v>
      </c>
      <c r="F210" s="87">
        <v>20.0</v>
      </c>
      <c r="G210" s="87">
        <v>0.0</v>
      </c>
      <c r="H210" s="87">
        <v>20108.0</v>
      </c>
      <c r="I210" s="87">
        <v>0.0</v>
      </c>
      <c r="J210" s="87">
        <v>316.7773</v>
      </c>
      <c r="K210" s="87">
        <v>346.4843</v>
      </c>
      <c r="L210" s="87">
        <v>364.4343</v>
      </c>
      <c r="M210" s="87">
        <v>292.639</v>
      </c>
      <c r="N210" s="87">
        <v>0.844595</v>
      </c>
      <c r="O210" s="87">
        <v>0.0</v>
      </c>
      <c r="P210" s="87">
        <v>0.0</v>
      </c>
      <c r="Q210" s="87">
        <v>0.0</v>
      </c>
      <c r="R210" s="87">
        <v>0.0</v>
      </c>
      <c r="S210" s="87">
        <v>11.16355</v>
      </c>
      <c r="T210" s="87">
        <v>1.168478</v>
      </c>
      <c r="U210" s="87">
        <v>5.923292</v>
      </c>
      <c r="V210" s="87">
        <v>7.952759</v>
      </c>
      <c r="W210" s="87">
        <v>27.63722</v>
      </c>
      <c r="X210" s="87">
        <v>64.91057</v>
      </c>
      <c r="Y210" s="87">
        <v>17.32422</v>
      </c>
      <c r="Z210" s="87">
        <v>0.0</v>
      </c>
      <c r="AA210" s="87">
        <v>23.76197</v>
      </c>
      <c r="AB210" s="87">
        <v>14.74503</v>
      </c>
      <c r="AC210" s="87">
        <v>12.43132</v>
      </c>
      <c r="AD210" s="87">
        <v>3.638192</v>
      </c>
      <c r="AE210" s="87">
        <v>18.2145</v>
      </c>
      <c r="AF210" s="87">
        <v>26.13914</v>
      </c>
      <c r="AG210" s="87">
        <v>11.35567</v>
      </c>
      <c r="AH210" s="87">
        <v>0.0</v>
      </c>
      <c r="AI210" s="87">
        <v>13.385</v>
      </c>
      <c r="AJ210" s="87">
        <v>8.800684</v>
      </c>
      <c r="AK210" s="87">
        <v>10.3256</v>
      </c>
      <c r="AL210" s="88" t="s">
        <v>1396</v>
      </c>
    </row>
    <row r="211">
      <c r="A211" s="84" t="s">
        <v>1629</v>
      </c>
      <c r="B211" s="84" t="s">
        <v>1680</v>
      </c>
      <c r="C211" s="84" t="s">
        <v>180</v>
      </c>
      <c r="D211" s="84" t="s">
        <v>181</v>
      </c>
      <c r="E211" s="84" t="s">
        <v>1403</v>
      </c>
      <c r="F211" s="87">
        <v>210.0</v>
      </c>
      <c r="G211" s="87">
        <v>7.0</v>
      </c>
      <c r="H211" s="87">
        <v>221.0</v>
      </c>
      <c r="I211" s="87">
        <v>221.0</v>
      </c>
      <c r="J211" s="87">
        <v>0.0</v>
      </c>
      <c r="K211" s="87">
        <v>0.0</v>
      </c>
      <c r="L211" s="87">
        <v>0.0</v>
      </c>
      <c r="M211" s="87">
        <v>0.0</v>
      </c>
      <c r="N211" s="87">
        <v>0.0</v>
      </c>
      <c r="O211" s="87">
        <v>0.0</v>
      </c>
      <c r="P211" s="87">
        <v>0.0</v>
      </c>
      <c r="Q211" s="87">
        <v>0.0</v>
      </c>
      <c r="R211" s="87">
        <v>0.0</v>
      </c>
      <c r="S211" s="87">
        <v>0.0</v>
      </c>
      <c r="T211" s="87">
        <v>0.0</v>
      </c>
      <c r="U211" s="87">
        <v>0.0</v>
      </c>
      <c r="V211" s="87">
        <v>0.0</v>
      </c>
      <c r="W211" s="87">
        <v>0.0</v>
      </c>
      <c r="X211" s="87">
        <v>0.0</v>
      </c>
      <c r="Y211" s="87">
        <v>0.0</v>
      </c>
      <c r="Z211" s="87">
        <v>0.0</v>
      </c>
      <c r="AA211" s="87">
        <v>23.76197</v>
      </c>
      <c r="AB211" s="87">
        <v>14.74503</v>
      </c>
      <c r="AC211" s="87">
        <v>12.43132</v>
      </c>
      <c r="AD211" s="87">
        <v>0.0</v>
      </c>
      <c r="AE211" s="87">
        <v>0.0</v>
      </c>
      <c r="AF211" s="87">
        <v>0.0</v>
      </c>
      <c r="AG211" s="87">
        <v>0.0</v>
      </c>
      <c r="AH211" s="87">
        <v>0.0</v>
      </c>
      <c r="AI211" s="87">
        <v>13.385</v>
      </c>
      <c r="AJ211" s="87">
        <v>8.800684</v>
      </c>
      <c r="AK211" s="87">
        <v>10.3256</v>
      </c>
      <c r="AL211" s="88" t="s">
        <v>1396</v>
      </c>
    </row>
    <row r="212">
      <c r="A212" s="84" t="s">
        <v>1633</v>
      </c>
      <c r="B212" s="84" t="s">
        <v>1681</v>
      </c>
      <c r="C212" s="84" t="s">
        <v>180</v>
      </c>
      <c r="D212" s="84" t="s">
        <v>202</v>
      </c>
      <c r="E212" s="84" t="s">
        <v>1426</v>
      </c>
      <c r="F212" s="87">
        <v>6.0</v>
      </c>
      <c r="G212" s="87">
        <v>0.0</v>
      </c>
      <c r="H212" s="87">
        <v>15706.0</v>
      </c>
      <c r="I212" s="87">
        <v>0.0</v>
      </c>
      <c r="J212" s="87">
        <v>252.2752</v>
      </c>
      <c r="K212" s="87">
        <v>275.5472</v>
      </c>
      <c r="L212" s="87">
        <v>276.8712</v>
      </c>
      <c r="M212" s="87">
        <v>165.1353</v>
      </c>
      <c r="N212" s="87">
        <v>0.599299</v>
      </c>
      <c r="O212" s="87">
        <v>3.15048</v>
      </c>
      <c r="P212" s="87">
        <v>31.12521</v>
      </c>
      <c r="Q212" s="87">
        <v>31.12521</v>
      </c>
      <c r="R212" s="87">
        <v>38.55567</v>
      </c>
      <c r="S212" s="87">
        <v>53.76366</v>
      </c>
      <c r="T212" s="87">
        <v>3.15048</v>
      </c>
      <c r="U212" s="87">
        <v>31.12521</v>
      </c>
      <c r="V212" s="87">
        <v>31.12521</v>
      </c>
      <c r="W212" s="87">
        <v>38.55567</v>
      </c>
      <c r="X212" s="87">
        <v>53.76366</v>
      </c>
      <c r="Y212" s="87">
        <v>45.92454</v>
      </c>
      <c r="Z212" s="87">
        <v>0.0</v>
      </c>
      <c r="AA212" s="87">
        <v>8.775795</v>
      </c>
      <c r="AB212" s="87">
        <v>9.40334</v>
      </c>
      <c r="AC212" s="87">
        <v>8.302396</v>
      </c>
      <c r="AD212" s="87">
        <v>24.2854</v>
      </c>
      <c r="AE212" s="87">
        <v>32.85595</v>
      </c>
      <c r="AF212" s="87">
        <v>30.10181</v>
      </c>
      <c r="AG212" s="87">
        <v>29.55965</v>
      </c>
      <c r="AH212" s="87">
        <v>0.0</v>
      </c>
      <c r="AI212" s="87">
        <v>13.385</v>
      </c>
      <c r="AJ212" s="87">
        <v>8.800684</v>
      </c>
      <c r="AK212" s="87">
        <v>10.3256</v>
      </c>
      <c r="AL212" s="88" t="s">
        <v>1396</v>
      </c>
    </row>
    <row r="213">
      <c r="A213" s="84" t="s">
        <v>1635</v>
      </c>
      <c r="B213" s="84" t="s">
        <v>1682</v>
      </c>
      <c r="C213" s="84" t="s">
        <v>180</v>
      </c>
      <c r="D213" s="84" t="s">
        <v>202</v>
      </c>
      <c r="E213" s="86">
        <v>46310.0</v>
      </c>
      <c r="F213" s="87">
        <v>20.0</v>
      </c>
      <c r="G213" s="87">
        <v>0.0</v>
      </c>
      <c r="H213" s="87">
        <v>11914.0</v>
      </c>
      <c r="I213" s="87">
        <v>0.0</v>
      </c>
      <c r="J213" s="87">
        <v>163.2496</v>
      </c>
      <c r="K213" s="87">
        <v>166.0479</v>
      </c>
      <c r="L213" s="87">
        <v>178.9097</v>
      </c>
      <c r="M213" s="87">
        <v>110.25</v>
      </c>
      <c r="N213" s="87">
        <v>0.663965</v>
      </c>
      <c r="O213" s="87">
        <v>0.0</v>
      </c>
      <c r="P213" s="87">
        <v>2.099654</v>
      </c>
      <c r="Q213" s="87">
        <v>2.436378</v>
      </c>
      <c r="R213" s="87">
        <v>3.793988</v>
      </c>
      <c r="S213" s="87">
        <v>6.437064</v>
      </c>
      <c r="T213" s="87">
        <v>2.099654</v>
      </c>
      <c r="U213" s="87">
        <v>2.436378</v>
      </c>
      <c r="V213" s="87">
        <v>3.536336</v>
      </c>
      <c r="W213" s="87">
        <v>3.931908</v>
      </c>
      <c r="X213" s="87">
        <v>6.437064</v>
      </c>
      <c r="Y213" s="87">
        <v>8.302396</v>
      </c>
      <c r="Z213" s="87">
        <v>0.0</v>
      </c>
      <c r="AA213" s="87">
        <v>8.775795</v>
      </c>
      <c r="AB213" s="87">
        <v>9.40334</v>
      </c>
      <c r="AC213" s="87">
        <v>8.302396</v>
      </c>
      <c r="AD213" s="87">
        <v>6.870801</v>
      </c>
      <c r="AE213" s="87">
        <v>12.43729</v>
      </c>
      <c r="AF213" s="87">
        <v>27.66828</v>
      </c>
      <c r="AG213" s="87">
        <v>14.65759</v>
      </c>
      <c r="AH213" s="87">
        <v>0.0</v>
      </c>
      <c r="AI213" s="87">
        <v>13.385</v>
      </c>
      <c r="AJ213" s="87">
        <v>8.800684</v>
      </c>
      <c r="AK213" s="87">
        <v>10.3256</v>
      </c>
      <c r="AL213" s="88" t="s">
        <v>1396</v>
      </c>
    </row>
    <row r="214">
      <c r="A214" s="84" t="s">
        <v>1637</v>
      </c>
      <c r="B214" s="84" t="s">
        <v>1683</v>
      </c>
      <c r="C214" s="84" t="s">
        <v>180</v>
      </c>
      <c r="D214" s="84" t="s">
        <v>202</v>
      </c>
      <c r="E214" s="84" t="s">
        <v>1413</v>
      </c>
      <c r="F214" s="87">
        <v>9.0</v>
      </c>
      <c r="G214" s="87">
        <v>0.0</v>
      </c>
      <c r="H214" s="87">
        <v>1903.0</v>
      </c>
      <c r="I214" s="87">
        <v>0.0</v>
      </c>
      <c r="J214" s="87">
        <v>11.33489</v>
      </c>
      <c r="K214" s="87">
        <v>17.40766</v>
      </c>
      <c r="L214" s="87">
        <v>35.30888</v>
      </c>
      <c r="M214" s="87">
        <v>14.55172</v>
      </c>
      <c r="N214" s="87">
        <v>0.835938</v>
      </c>
      <c r="O214" s="87">
        <v>0.0</v>
      </c>
      <c r="P214" s="87">
        <v>0.0</v>
      </c>
      <c r="Q214" s="87">
        <v>0.0</v>
      </c>
      <c r="R214" s="87">
        <v>0.114379</v>
      </c>
      <c r="S214" s="87">
        <v>2.109524</v>
      </c>
      <c r="T214" s="87">
        <v>0.114379</v>
      </c>
      <c r="U214" s="87">
        <v>0.632033</v>
      </c>
      <c r="V214" s="87">
        <v>0.632033</v>
      </c>
      <c r="W214" s="87">
        <v>2.109524</v>
      </c>
      <c r="X214" s="87">
        <v>4.221645</v>
      </c>
      <c r="Y214" s="87">
        <v>1.934184</v>
      </c>
      <c r="Z214" s="87">
        <v>0.0</v>
      </c>
      <c r="AA214" s="87">
        <v>8.775795</v>
      </c>
      <c r="AB214" s="87">
        <v>9.40334</v>
      </c>
      <c r="AC214" s="87">
        <v>8.302396</v>
      </c>
      <c r="AD214" s="87">
        <v>4.642963</v>
      </c>
      <c r="AE214" s="87">
        <v>6.617382</v>
      </c>
      <c r="AF214" s="87">
        <v>13.25379</v>
      </c>
      <c r="AG214" s="87">
        <v>11.37515</v>
      </c>
      <c r="AH214" s="87">
        <v>0.0</v>
      </c>
      <c r="AI214" s="87">
        <v>13.385</v>
      </c>
      <c r="AJ214" s="87">
        <v>8.800684</v>
      </c>
      <c r="AK214" s="87">
        <v>10.3256</v>
      </c>
      <c r="AL214" s="88" t="s">
        <v>1396</v>
      </c>
    </row>
    <row r="215">
      <c r="A215" s="84" t="s">
        <v>1639</v>
      </c>
      <c r="B215" s="84" t="s">
        <v>1684</v>
      </c>
      <c r="C215" s="84" t="s">
        <v>180</v>
      </c>
      <c r="D215" s="84" t="s">
        <v>202</v>
      </c>
      <c r="E215" s="84" t="s">
        <v>1398</v>
      </c>
      <c r="F215" s="87">
        <v>8.0</v>
      </c>
      <c r="G215" s="87">
        <v>0.0</v>
      </c>
      <c r="H215" s="87">
        <v>1672.0</v>
      </c>
      <c r="I215" s="87">
        <v>0.0</v>
      </c>
      <c r="J215" s="87">
        <v>17.83816</v>
      </c>
      <c r="K215" s="87">
        <v>14.55251</v>
      </c>
      <c r="L215" s="87">
        <v>15.89125</v>
      </c>
      <c r="M215" s="87">
        <v>9.870398</v>
      </c>
      <c r="N215" s="87">
        <v>0.678261</v>
      </c>
      <c r="O215" s="87">
        <v>0.0</v>
      </c>
      <c r="P215" s="87">
        <v>0.0</v>
      </c>
      <c r="Q215" s="87">
        <v>0.5</v>
      </c>
      <c r="R215" s="87">
        <v>1.587879</v>
      </c>
      <c r="S215" s="87">
        <v>1.688372</v>
      </c>
      <c r="T215" s="87">
        <v>0.5</v>
      </c>
      <c r="U215" s="87">
        <v>0.905861</v>
      </c>
      <c r="V215" s="87">
        <v>0.905861</v>
      </c>
      <c r="W215" s="87">
        <v>1.688372</v>
      </c>
      <c r="X215" s="87">
        <v>3.428946</v>
      </c>
      <c r="Y215" s="87">
        <v>1.819064</v>
      </c>
      <c r="Z215" s="87">
        <v>0.0</v>
      </c>
      <c r="AA215" s="87">
        <v>8.775795</v>
      </c>
      <c r="AB215" s="87">
        <v>9.40334</v>
      </c>
      <c r="AC215" s="87">
        <v>8.302396</v>
      </c>
      <c r="AD215" s="87">
        <v>3.238837</v>
      </c>
      <c r="AE215" s="87">
        <v>6.441452</v>
      </c>
      <c r="AF215" s="87">
        <v>6.514856</v>
      </c>
      <c r="AG215" s="87">
        <v>6.677616</v>
      </c>
      <c r="AH215" s="87">
        <v>0.0</v>
      </c>
      <c r="AI215" s="87">
        <v>13.385</v>
      </c>
      <c r="AJ215" s="87">
        <v>8.800684</v>
      </c>
      <c r="AK215" s="87">
        <v>10.3256</v>
      </c>
      <c r="AL215" s="88" t="s">
        <v>1396</v>
      </c>
    </row>
    <row r="216">
      <c r="A216" s="84" t="s">
        <v>1626</v>
      </c>
      <c r="B216" s="84" t="s">
        <v>1685</v>
      </c>
      <c r="C216" s="84" t="s">
        <v>180</v>
      </c>
      <c r="D216" s="84" t="s">
        <v>202</v>
      </c>
      <c r="E216" s="84" t="s">
        <v>1400</v>
      </c>
      <c r="F216" s="87">
        <v>11.0</v>
      </c>
      <c r="G216" s="87">
        <v>0.0</v>
      </c>
      <c r="H216" s="87">
        <v>26047.0</v>
      </c>
      <c r="I216" s="87">
        <v>0.0</v>
      </c>
      <c r="J216" s="87">
        <v>498.247</v>
      </c>
      <c r="K216" s="87">
        <v>444.8644</v>
      </c>
      <c r="L216" s="87">
        <v>428.0752</v>
      </c>
      <c r="M216" s="87">
        <v>417.5182</v>
      </c>
      <c r="N216" s="87">
        <v>0.938529</v>
      </c>
      <c r="O216" s="87">
        <v>0.0</v>
      </c>
      <c r="P216" s="87">
        <v>1.758382</v>
      </c>
      <c r="Q216" s="87">
        <v>1.865564</v>
      </c>
      <c r="R216" s="87">
        <v>5.70716</v>
      </c>
      <c r="S216" s="87">
        <v>8.797885</v>
      </c>
      <c r="T216" s="87">
        <v>1.758382</v>
      </c>
      <c r="U216" s="87">
        <v>1.865564</v>
      </c>
      <c r="V216" s="87">
        <v>2.737914</v>
      </c>
      <c r="W216" s="87">
        <v>6.479313</v>
      </c>
      <c r="X216" s="87">
        <v>23.00605</v>
      </c>
      <c r="Y216" s="87">
        <v>40.44222</v>
      </c>
      <c r="Z216" s="87">
        <v>0.0</v>
      </c>
      <c r="AA216" s="87">
        <v>8.775795</v>
      </c>
      <c r="AB216" s="87">
        <v>9.40334</v>
      </c>
      <c r="AC216" s="87">
        <v>8.302396</v>
      </c>
      <c r="AD216" s="87">
        <v>1.525666</v>
      </c>
      <c r="AE216" s="87">
        <v>2.537356</v>
      </c>
      <c r="AF216" s="87">
        <v>9.943698</v>
      </c>
      <c r="AG216" s="87">
        <v>4.141047</v>
      </c>
      <c r="AH216" s="87">
        <v>0.0</v>
      </c>
      <c r="AI216" s="87">
        <v>13.385</v>
      </c>
      <c r="AJ216" s="87">
        <v>8.800684</v>
      </c>
      <c r="AK216" s="87">
        <v>10.3256</v>
      </c>
      <c r="AL216" s="88" t="s">
        <v>1396</v>
      </c>
    </row>
    <row r="217">
      <c r="A217" s="84" t="s">
        <v>1642</v>
      </c>
      <c r="B217" s="84" t="s">
        <v>1686</v>
      </c>
      <c r="C217" s="84" t="s">
        <v>180</v>
      </c>
      <c r="D217" s="84" t="s">
        <v>202</v>
      </c>
      <c r="E217" s="89">
        <v>46300.0</v>
      </c>
      <c r="F217" s="87">
        <v>24.0</v>
      </c>
      <c r="G217" s="87">
        <v>0.0</v>
      </c>
      <c r="H217" s="87">
        <v>43113.0</v>
      </c>
      <c r="I217" s="87">
        <v>0.0</v>
      </c>
      <c r="J217" s="87">
        <v>995.6524</v>
      </c>
      <c r="K217" s="87">
        <v>1018.668</v>
      </c>
      <c r="L217" s="87">
        <v>1026.492</v>
      </c>
      <c r="M217" s="87">
        <v>612.7651</v>
      </c>
      <c r="N217" s="87">
        <v>0.601535</v>
      </c>
      <c r="O217" s="87">
        <v>0.0</v>
      </c>
      <c r="P217" s="87">
        <v>2.00574</v>
      </c>
      <c r="Q217" s="87">
        <v>8.775795</v>
      </c>
      <c r="R217" s="87">
        <v>28.99384</v>
      </c>
      <c r="S217" s="87">
        <v>50.88029</v>
      </c>
      <c r="T217" s="87">
        <v>8.310582</v>
      </c>
      <c r="U217" s="87">
        <v>10.58951</v>
      </c>
      <c r="V217" s="87">
        <v>20.55974</v>
      </c>
      <c r="W217" s="87">
        <v>30.99444</v>
      </c>
      <c r="X217" s="87">
        <v>63.60008</v>
      </c>
      <c r="Y217" s="87">
        <v>42.44451</v>
      </c>
      <c r="Z217" s="87">
        <v>0.0</v>
      </c>
      <c r="AA217" s="87">
        <v>8.775795</v>
      </c>
      <c r="AB217" s="87">
        <v>9.40334</v>
      </c>
      <c r="AC217" s="87">
        <v>8.302396</v>
      </c>
      <c r="AD217" s="87">
        <v>3.638192</v>
      </c>
      <c r="AE217" s="87">
        <v>18.2145</v>
      </c>
      <c r="AF217" s="87">
        <v>26.13914</v>
      </c>
      <c r="AG217" s="87">
        <v>11.35567</v>
      </c>
      <c r="AH217" s="87">
        <v>0.0</v>
      </c>
      <c r="AI217" s="87">
        <v>13.385</v>
      </c>
      <c r="AJ217" s="87">
        <v>8.800684</v>
      </c>
      <c r="AK217" s="87">
        <v>10.3256</v>
      </c>
      <c r="AL217" s="88" t="s">
        <v>1396</v>
      </c>
    </row>
    <row r="218">
      <c r="A218" s="84" t="s">
        <v>1629</v>
      </c>
      <c r="B218" s="84" t="s">
        <v>1687</v>
      </c>
      <c r="C218" s="84" t="s">
        <v>180</v>
      </c>
      <c r="D218" s="84" t="s">
        <v>202</v>
      </c>
      <c r="E218" s="84" t="s">
        <v>1403</v>
      </c>
      <c r="F218" s="87">
        <v>128.0</v>
      </c>
      <c r="G218" s="87">
        <v>10.0</v>
      </c>
      <c r="H218" s="87">
        <v>6695.0</v>
      </c>
      <c r="I218" s="87">
        <v>6695.0</v>
      </c>
      <c r="J218" s="87">
        <v>0.0</v>
      </c>
      <c r="K218" s="87">
        <v>0.0</v>
      </c>
      <c r="L218" s="87">
        <v>0.0</v>
      </c>
      <c r="M218" s="87">
        <v>0.0</v>
      </c>
      <c r="N218" s="87">
        <v>0.0</v>
      </c>
      <c r="O218" s="87">
        <v>0.0</v>
      </c>
      <c r="P218" s="87">
        <v>0.0</v>
      </c>
      <c r="Q218" s="87">
        <v>0.0</v>
      </c>
      <c r="R218" s="87">
        <v>0.0</v>
      </c>
      <c r="S218" s="87">
        <v>0.0</v>
      </c>
      <c r="T218" s="87">
        <v>0.0</v>
      </c>
      <c r="U218" s="87">
        <v>0.0</v>
      </c>
      <c r="V218" s="87">
        <v>0.0</v>
      </c>
      <c r="W218" s="87">
        <v>0.0</v>
      </c>
      <c r="X218" s="87">
        <v>0.0</v>
      </c>
      <c r="Y218" s="87">
        <v>0.0</v>
      </c>
      <c r="Z218" s="87">
        <v>0.0</v>
      </c>
      <c r="AA218" s="87">
        <v>8.775795</v>
      </c>
      <c r="AB218" s="87">
        <v>9.40334</v>
      </c>
      <c r="AC218" s="87">
        <v>8.302396</v>
      </c>
      <c r="AD218" s="87">
        <v>0.0</v>
      </c>
      <c r="AE218" s="87">
        <v>0.0</v>
      </c>
      <c r="AF218" s="87">
        <v>0.0</v>
      </c>
      <c r="AG218" s="87">
        <v>0.0</v>
      </c>
      <c r="AH218" s="87">
        <v>0.0</v>
      </c>
      <c r="AI218" s="87">
        <v>13.385</v>
      </c>
      <c r="AJ218" s="87">
        <v>8.800684</v>
      </c>
      <c r="AK218" s="87">
        <v>10.3256</v>
      </c>
      <c r="AL218" s="88" t="s">
        <v>1396</v>
      </c>
    </row>
    <row r="219">
      <c r="A219" s="84" t="s">
        <v>1688</v>
      </c>
      <c r="B219" s="84" t="s">
        <v>1643</v>
      </c>
      <c r="C219" s="84" t="s">
        <v>1689</v>
      </c>
      <c r="D219" s="84" t="s">
        <v>808</v>
      </c>
      <c r="E219" s="86">
        <v>46300.0</v>
      </c>
      <c r="F219" s="87">
        <v>3.0</v>
      </c>
      <c r="G219" s="87">
        <v>0.0</v>
      </c>
      <c r="H219" s="87">
        <v>0.0</v>
      </c>
      <c r="I219" s="87">
        <v>0.0</v>
      </c>
      <c r="J219" s="87">
        <v>0.0</v>
      </c>
      <c r="K219" s="87">
        <v>63.8619</v>
      </c>
      <c r="L219" s="87">
        <v>63.8619</v>
      </c>
      <c r="M219" s="87">
        <v>0.0</v>
      </c>
      <c r="N219" s="87">
        <v>0.0</v>
      </c>
      <c r="O219" s="87">
        <v>18.5</v>
      </c>
      <c r="P219" s="87">
        <v>18.5</v>
      </c>
      <c r="Q219" s="87">
        <v>18.5</v>
      </c>
      <c r="R219" s="87">
        <v>19.33333</v>
      </c>
      <c r="S219" s="87">
        <v>26.02857</v>
      </c>
      <c r="T219" s="87">
        <v>18.5</v>
      </c>
      <c r="U219" s="87">
        <v>18.5</v>
      </c>
      <c r="V219" s="87">
        <v>18.5</v>
      </c>
      <c r="W219" s="87">
        <v>19.33333</v>
      </c>
      <c r="X219" s="87">
        <v>26.02857</v>
      </c>
      <c r="Y219" s="87">
        <v>21.2873</v>
      </c>
      <c r="Z219" s="87">
        <v>0.0</v>
      </c>
      <c r="AA219" s="87">
        <v>26.02857</v>
      </c>
      <c r="AB219" s="87">
        <v>30.13319</v>
      </c>
      <c r="AC219" s="87">
        <v>24.47063</v>
      </c>
      <c r="AD219" s="87">
        <v>19.33333</v>
      </c>
      <c r="AE219" s="87">
        <v>19.33333</v>
      </c>
      <c r="AF219" s="87">
        <v>21.2873</v>
      </c>
      <c r="AG219" s="87">
        <v>21.2873</v>
      </c>
      <c r="AH219" s="87">
        <v>19.33333</v>
      </c>
      <c r="AI219" s="87">
        <v>19.33333</v>
      </c>
      <c r="AJ219" s="87">
        <v>21.2873</v>
      </c>
      <c r="AK219" s="87">
        <v>21.2873</v>
      </c>
      <c r="AL219" s="88" t="s">
        <v>1396</v>
      </c>
    </row>
    <row r="220">
      <c r="A220" s="84" t="s">
        <v>1690</v>
      </c>
      <c r="B220" s="84" t="s">
        <v>1691</v>
      </c>
      <c r="C220" s="84" t="s">
        <v>213</v>
      </c>
      <c r="D220" s="84" t="s">
        <v>220</v>
      </c>
      <c r="E220" s="84" t="s">
        <v>1426</v>
      </c>
      <c r="F220" s="87">
        <v>8.0</v>
      </c>
      <c r="G220" s="87">
        <v>1.0</v>
      </c>
      <c r="H220" s="87">
        <v>10295.0</v>
      </c>
      <c r="I220" s="87">
        <v>7003.0</v>
      </c>
      <c r="J220" s="87">
        <v>29.23455</v>
      </c>
      <c r="K220" s="87">
        <v>28.48926</v>
      </c>
      <c r="L220" s="87">
        <v>28.06525</v>
      </c>
      <c r="M220" s="87">
        <v>28.39835</v>
      </c>
      <c r="N220" s="87">
        <v>0.996809</v>
      </c>
      <c r="O220" s="87">
        <v>0.0</v>
      </c>
      <c r="P220" s="87">
        <v>0.0</v>
      </c>
      <c r="Q220" s="87">
        <v>0.0</v>
      </c>
      <c r="R220" s="87">
        <v>0.0</v>
      </c>
      <c r="S220" s="87">
        <v>0.090909</v>
      </c>
      <c r="T220" s="87">
        <v>0.090909</v>
      </c>
      <c r="U220" s="87">
        <v>0.090909</v>
      </c>
      <c r="V220" s="87">
        <v>0.090909</v>
      </c>
      <c r="W220" s="87">
        <v>13.68375</v>
      </c>
      <c r="X220" s="87">
        <v>14.71459</v>
      </c>
      <c r="Y220" s="87">
        <v>3.561157</v>
      </c>
      <c r="Z220" s="87">
        <v>0.0</v>
      </c>
      <c r="AA220" s="87">
        <v>3.710988</v>
      </c>
      <c r="AB220" s="87">
        <v>2.191575</v>
      </c>
      <c r="AC220" s="87">
        <v>3.369756</v>
      </c>
      <c r="AD220" s="87">
        <v>0.0</v>
      </c>
      <c r="AE220" s="87">
        <v>10.98637</v>
      </c>
      <c r="AF220" s="87">
        <v>7.658325</v>
      </c>
      <c r="AG220" s="87">
        <v>3.561157</v>
      </c>
      <c r="AH220" s="87">
        <v>0.0</v>
      </c>
      <c r="AI220" s="87">
        <v>3.153554</v>
      </c>
      <c r="AJ220" s="87">
        <v>2.659628</v>
      </c>
      <c r="AK220" s="87">
        <v>3.729674</v>
      </c>
      <c r="AL220" s="88" t="s">
        <v>1396</v>
      </c>
    </row>
    <row r="221">
      <c r="A221" s="84" t="s">
        <v>1692</v>
      </c>
      <c r="B221" s="84" t="s">
        <v>1693</v>
      </c>
      <c r="C221" s="84" t="s">
        <v>213</v>
      </c>
      <c r="D221" s="84" t="s">
        <v>220</v>
      </c>
      <c r="E221" s="86">
        <v>46310.0</v>
      </c>
      <c r="F221" s="87">
        <v>3.0</v>
      </c>
      <c r="G221" s="87">
        <v>0.0</v>
      </c>
      <c r="H221" s="87">
        <v>692.0</v>
      </c>
      <c r="I221" s="87">
        <v>0.0</v>
      </c>
      <c r="J221" s="87">
        <v>4.485531</v>
      </c>
      <c r="K221" s="87">
        <v>5.888702</v>
      </c>
      <c r="L221" s="87">
        <v>6.99181</v>
      </c>
      <c r="M221" s="87">
        <v>4.888702</v>
      </c>
      <c r="N221" s="87">
        <v>0.830183</v>
      </c>
      <c r="O221" s="87">
        <v>0.0</v>
      </c>
      <c r="P221" s="87">
        <v>0.0</v>
      </c>
      <c r="Q221" s="87">
        <v>0.0</v>
      </c>
      <c r="R221" s="87">
        <v>1.0</v>
      </c>
      <c r="S221" s="87">
        <v>4.888702</v>
      </c>
      <c r="T221" s="87">
        <v>1.0</v>
      </c>
      <c r="U221" s="87">
        <v>1.0</v>
      </c>
      <c r="V221" s="87">
        <v>1.0</v>
      </c>
      <c r="W221" s="87">
        <v>4.888702</v>
      </c>
      <c r="X221" s="87">
        <v>4.888702</v>
      </c>
      <c r="Y221" s="87">
        <v>1.962901</v>
      </c>
      <c r="Z221" s="87">
        <v>0.0</v>
      </c>
      <c r="AA221" s="87">
        <v>3.710988</v>
      </c>
      <c r="AB221" s="87">
        <v>2.191575</v>
      </c>
      <c r="AC221" s="87">
        <v>3.369756</v>
      </c>
      <c r="AD221" s="87">
        <v>2.767696</v>
      </c>
      <c r="AE221" s="87">
        <v>3.700099</v>
      </c>
      <c r="AF221" s="87">
        <v>5.497015</v>
      </c>
      <c r="AG221" s="87">
        <v>4.308011</v>
      </c>
      <c r="AH221" s="87">
        <v>0.0</v>
      </c>
      <c r="AI221" s="87">
        <v>3.153554</v>
      </c>
      <c r="AJ221" s="87">
        <v>2.659628</v>
      </c>
      <c r="AK221" s="87">
        <v>3.729674</v>
      </c>
      <c r="AL221" s="88" t="s">
        <v>1396</v>
      </c>
    </row>
    <row r="222">
      <c r="A222" s="84" t="s">
        <v>1694</v>
      </c>
      <c r="B222" s="84" t="s">
        <v>1695</v>
      </c>
      <c r="C222" s="84" t="s">
        <v>213</v>
      </c>
      <c r="D222" s="84" t="s">
        <v>220</v>
      </c>
      <c r="E222" s="84" t="s">
        <v>1413</v>
      </c>
      <c r="F222" s="87">
        <v>28.0</v>
      </c>
      <c r="G222" s="87">
        <v>0.0</v>
      </c>
      <c r="H222" s="87">
        <v>14053.0</v>
      </c>
      <c r="I222" s="87">
        <v>0.0</v>
      </c>
      <c r="J222" s="87">
        <v>180.9845</v>
      </c>
      <c r="K222" s="87">
        <v>189.5381</v>
      </c>
      <c r="L222" s="87">
        <v>193.2749</v>
      </c>
      <c r="M222" s="87">
        <v>116.2006</v>
      </c>
      <c r="N222" s="87">
        <v>0.613072</v>
      </c>
      <c r="O222" s="87">
        <v>0.0</v>
      </c>
      <c r="P222" s="87">
        <v>0.0</v>
      </c>
      <c r="Q222" s="87">
        <v>1.099073</v>
      </c>
      <c r="R222" s="87">
        <v>4.744572</v>
      </c>
      <c r="S222" s="87">
        <v>8.976697</v>
      </c>
      <c r="T222" s="87">
        <v>1.099073</v>
      </c>
      <c r="U222" s="87">
        <v>1.638304</v>
      </c>
      <c r="V222" s="87">
        <v>2.72912</v>
      </c>
      <c r="W222" s="87">
        <v>6.93207</v>
      </c>
      <c r="X222" s="87">
        <v>9.982938</v>
      </c>
      <c r="Y222" s="87">
        <v>6.769219</v>
      </c>
      <c r="Z222" s="87">
        <v>0.0</v>
      </c>
      <c r="AA222" s="87">
        <v>3.710988</v>
      </c>
      <c r="AB222" s="87">
        <v>2.191575</v>
      </c>
      <c r="AC222" s="87">
        <v>3.369756</v>
      </c>
      <c r="AD222" s="87">
        <v>2.486621</v>
      </c>
      <c r="AE222" s="87">
        <v>3.754754</v>
      </c>
      <c r="AF222" s="87">
        <v>6.282947</v>
      </c>
      <c r="AG222" s="87">
        <v>5.349321</v>
      </c>
      <c r="AH222" s="87">
        <v>0.0</v>
      </c>
      <c r="AI222" s="87">
        <v>3.153554</v>
      </c>
      <c r="AJ222" s="87">
        <v>2.659628</v>
      </c>
      <c r="AK222" s="87">
        <v>3.729674</v>
      </c>
      <c r="AL222" s="88" t="s">
        <v>1396</v>
      </c>
    </row>
    <row r="223">
      <c r="A223" s="84" t="s">
        <v>1696</v>
      </c>
      <c r="B223" s="84" t="s">
        <v>1697</v>
      </c>
      <c r="C223" s="84" t="s">
        <v>213</v>
      </c>
      <c r="D223" s="84" t="s">
        <v>220</v>
      </c>
      <c r="E223" s="84" t="s">
        <v>1398</v>
      </c>
      <c r="F223" s="87">
        <v>32.0</v>
      </c>
      <c r="G223" s="87">
        <v>0.0</v>
      </c>
      <c r="H223" s="87">
        <v>18378.0</v>
      </c>
      <c r="I223" s="87">
        <v>0.0</v>
      </c>
      <c r="J223" s="87">
        <v>207.163</v>
      </c>
      <c r="K223" s="87">
        <v>231.8136</v>
      </c>
      <c r="L223" s="87">
        <v>210.3384</v>
      </c>
      <c r="M223" s="87">
        <v>135.0789</v>
      </c>
      <c r="N223" s="87">
        <v>0.582705</v>
      </c>
      <c r="O223" s="87">
        <v>0.0</v>
      </c>
      <c r="P223" s="87">
        <v>0.668047</v>
      </c>
      <c r="Q223" s="87">
        <v>1.650411</v>
      </c>
      <c r="R223" s="87">
        <v>4.955505</v>
      </c>
      <c r="S223" s="87">
        <v>9.430761</v>
      </c>
      <c r="T223" s="87">
        <v>0.924145</v>
      </c>
      <c r="U223" s="87">
        <v>2.311879</v>
      </c>
      <c r="V223" s="87">
        <v>3.753247</v>
      </c>
      <c r="W223" s="87">
        <v>7.665551</v>
      </c>
      <c r="X223" s="87">
        <v>10.20368</v>
      </c>
      <c r="Y223" s="87">
        <v>7.244174</v>
      </c>
      <c r="Z223" s="87">
        <v>0.0</v>
      </c>
      <c r="AA223" s="87">
        <v>3.710988</v>
      </c>
      <c r="AB223" s="87">
        <v>2.191575</v>
      </c>
      <c r="AC223" s="87">
        <v>3.369756</v>
      </c>
      <c r="AD223" s="87">
        <v>2.833972</v>
      </c>
      <c r="AE223" s="87">
        <v>4.209152</v>
      </c>
      <c r="AF223" s="87">
        <v>6.771816</v>
      </c>
      <c r="AG223" s="87">
        <v>6.288573</v>
      </c>
      <c r="AH223" s="87">
        <v>0.0</v>
      </c>
      <c r="AI223" s="87">
        <v>3.153554</v>
      </c>
      <c r="AJ223" s="87">
        <v>2.659628</v>
      </c>
      <c r="AK223" s="87">
        <v>3.729674</v>
      </c>
      <c r="AL223" s="88" t="s">
        <v>1396</v>
      </c>
    </row>
    <row r="224">
      <c r="A224" s="84" t="s">
        <v>1698</v>
      </c>
      <c r="B224" s="84" t="s">
        <v>1699</v>
      </c>
      <c r="C224" s="84" t="s">
        <v>213</v>
      </c>
      <c r="D224" s="84" t="s">
        <v>220</v>
      </c>
      <c r="E224" s="84" t="s">
        <v>1400</v>
      </c>
      <c r="F224" s="87">
        <v>59.0</v>
      </c>
      <c r="G224" s="87">
        <v>0.0</v>
      </c>
      <c r="H224" s="87">
        <v>18160.0</v>
      </c>
      <c r="I224" s="87">
        <v>0.0</v>
      </c>
      <c r="J224" s="87">
        <v>193.9839</v>
      </c>
      <c r="K224" s="87">
        <v>198.8156</v>
      </c>
      <c r="L224" s="87">
        <v>190.4145</v>
      </c>
      <c r="M224" s="87">
        <v>119.9909</v>
      </c>
      <c r="N224" s="87">
        <v>0.603529</v>
      </c>
      <c r="O224" s="87">
        <v>0.0</v>
      </c>
      <c r="P224" s="87">
        <v>0.523249</v>
      </c>
      <c r="Q224" s="87">
        <v>0.910392</v>
      </c>
      <c r="R224" s="87">
        <v>2.00838</v>
      </c>
      <c r="S224" s="87">
        <v>3.562428</v>
      </c>
      <c r="T224" s="87">
        <v>0.583333</v>
      </c>
      <c r="U224" s="87">
        <v>0.900899</v>
      </c>
      <c r="V224" s="87">
        <v>1.154183</v>
      </c>
      <c r="W224" s="87">
        <v>2.242476</v>
      </c>
      <c r="X224" s="87">
        <v>4.081224</v>
      </c>
      <c r="Y224" s="87">
        <v>3.369756</v>
      </c>
      <c r="Z224" s="87">
        <v>0.0</v>
      </c>
      <c r="AA224" s="87">
        <v>3.710988</v>
      </c>
      <c r="AB224" s="87">
        <v>2.191575</v>
      </c>
      <c r="AC224" s="87">
        <v>3.369756</v>
      </c>
      <c r="AD224" s="87">
        <v>1.434963</v>
      </c>
      <c r="AE224" s="87">
        <v>1.887571</v>
      </c>
      <c r="AF224" s="87">
        <v>2.971249</v>
      </c>
      <c r="AG224" s="87">
        <v>3.364223</v>
      </c>
      <c r="AH224" s="87">
        <v>0.0</v>
      </c>
      <c r="AI224" s="87">
        <v>3.153554</v>
      </c>
      <c r="AJ224" s="87">
        <v>2.659628</v>
      </c>
      <c r="AK224" s="87">
        <v>3.729674</v>
      </c>
      <c r="AL224" s="88" t="s">
        <v>1396</v>
      </c>
    </row>
    <row r="225">
      <c r="A225" s="84" t="s">
        <v>1700</v>
      </c>
      <c r="B225" s="84" t="s">
        <v>1701</v>
      </c>
      <c r="C225" s="84" t="s">
        <v>213</v>
      </c>
      <c r="D225" s="84" t="s">
        <v>220</v>
      </c>
      <c r="E225" s="89">
        <v>46300.0</v>
      </c>
      <c r="F225" s="87">
        <v>15.0</v>
      </c>
      <c r="G225" s="87">
        <v>0.0</v>
      </c>
      <c r="H225" s="87">
        <v>1162.0</v>
      </c>
      <c r="I225" s="87">
        <v>0.0</v>
      </c>
      <c r="J225" s="87">
        <v>5.472394</v>
      </c>
      <c r="K225" s="87">
        <v>7.310412</v>
      </c>
      <c r="L225" s="87">
        <v>12.34199</v>
      </c>
      <c r="M225" s="87">
        <v>7.310412</v>
      </c>
      <c r="N225" s="87">
        <v>1.0</v>
      </c>
      <c r="O225" s="87">
        <v>0.0</v>
      </c>
      <c r="P225" s="87">
        <v>0.0</v>
      </c>
      <c r="Q225" s="87">
        <v>0.0</v>
      </c>
      <c r="R225" s="87">
        <v>0.0</v>
      </c>
      <c r="S225" s="87">
        <v>0.0</v>
      </c>
      <c r="T225" s="87">
        <v>1.0</v>
      </c>
      <c r="U225" s="87">
        <v>1.0</v>
      </c>
      <c r="V225" s="87">
        <v>1.0</v>
      </c>
      <c r="W225" s="87">
        <v>6.310412</v>
      </c>
      <c r="X225" s="87">
        <v>6.310412</v>
      </c>
      <c r="Y225" s="87">
        <v>0.487361</v>
      </c>
      <c r="Z225" s="87">
        <v>0.0</v>
      </c>
      <c r="AA225" s="87">
        <v>3.710988</v>
      </c>
      <c r="AB225" s="87">
        <v>2.191575</v>
      </c>
      <c r="AC225" s="87">
        <v>3.369756</v>
      </c>
      <c r="AD225" s="87">
        <v>0.0</v>
      </c>
      <c r="AE225" s="87">
        <v>7.742624</v>
      </c>
      <c r="AF225" s="87">
        <v>7.065822</v>
      </c>
      <c r="AG225" s="87">
        <v>7.003223</v>
      </c>
      <c r="AH225" s="87">
        <v>0.0</v>
      </c>
      <c r="AI225" s="87">
        <v>3.153554</v>
      </c>
      <c r="AJ225" s="87">
        <v>2.659628</v>
      </c>
      <c r="AK225" s="87">
        <v>3.729674</v>
      </c>
      <c r="AL225" s="88" t="s">
        <v>1396</v>
      </c>
    </row>
    <row r="226">
      <c r="A226" s="84" t="s">
        <v>1702</v>
      </c>
      <c r="B226" s="84" t="s">
        <v>1703</v>
      </c>
      <c r="C226" s="84" t="s">
        <v>213</v>
      </c>
      <c r="D226" s="84" t="s">
        <v>220</v>
      </c>
      <c r="E226" s="84" t="s">
        <v>1403</v>
      </c>
      <c r="F226" s="87">
        <v>157.0</v>
      </c>
      <c r="G226" s="87">
        <v>4.0</v>
      </c>
      <c r="H226" s="87">
        <v>28.0</v>
      </c>
      <c r="I226" s="87">
        <v>28.0</v>
      </c>
      <c r="J226" s="87">
        <v>0.0</v>
      </c>
      <c r="K226" s="87">
        <v>0.0</v>
      </c>
      <c r="L226" s="87">
        <v>0.0</v>
      </c>
      <c r="M226" s="87">
        <v>0.0</v>
      </c>
      <c r="N226" s="87">
        <v>0.0</v>
      </c>
      <c r="O226" s="87">
        <v>0.0</v>
      </c>
      <c r="P226" s="87">
        <v>0.0</v>
      </c>
      <c r="Q226" s="87">
        <v>0.0</v>
      </c>
      <c r="R226" s="87">
        <v>0.0</v>
      </c>
      <c r="S226" s="87">
        <v>0.0</v>
      </c>
      <c r="T226" s="87">
        <v>0.0</v>
      </c>
      <c r="U226" s="87">
        <v>0.0</v>
      </c>
      <c r="V226" s="87">
        <v>0.0</v>
      </c>
      <c r="W226" s="87">
        <v>0.0</v>
      </c>
      <c r="X226" s="87">
        <v>0.0</v>
      </c>
      <c r="Y226" s="87">
        <v>0.0</v>
      </c>
      <c r="Z226" s="87">
        <v>0.0</v>
      </c>
      <c r="AA226" s="87">
        <v>3.710988</v>
      </c>
      <c r="AB226" s="87">
        <v>2.191575</v>
      </c>
      <c r="AC226" s="87">
        <v>3.369756</v>
      </c>
      <c r="AD226" s="87">
        <v>0.0</v>
      </c>
      <c r="AE226" s="87">
        <v>0.0</v>
      </c>
      <c r="AF226" s="87">
        <v>0.0</v>
      </c>
      <c r="AG226" s="87">
        <v>0.0</v>
      </c>
      <c r="AH226" s="87">
        <v>0.0</v>
      </c>
      <c r="AI226" s="87">
        <v>3.153554</v>
      </c>
      <c r="AJ226" s="87">
        <v>2.659628</v>
      </c>
      <c r="AK226" s="87">
        <v>3.729674</v>
      </c>
      <c r="AL226" s="88" t="s">
        <v>1396</v>
      </c>
    </row>
    <row r="227">
      <c r="A227" s="84" t="s">
        <v>1690</v>
      </c>
      <c r="B227" s="84" t="s">
        <v>1704</v>
      </c>
      <c r="C227" s="84" t="s">
        <v>213</v>
      </c>
      <c r="D227" s="84" t="s">
        <v>214</v>
      </c>
      <c r="E227" s="84" t="s">
        <v>1426</v>
      </c>
      <c r="F227" s="87">
        <v>3.0</v>
      </c>
      <c r="G227" s="87">
        <v>0.0</v>
      </c>
      <c r="H227" s="87">
        <v>0.0</v>
      </c>
      <c r="I227" s="87">
        <v>0.0</v>
      </c>
      <c r="J227" s="87">
        <v>0.0</v>
      </c>
      <c r="K227" s="87">
        <v>0.0</v>
      </c>
      <c r="L227" s="87">
        <v>0.0</v>
      </c>
      <c r="M227" s="87">
        <v>0.0</v>
      </c>
      <c r="N227" s="87">
        <v>0.0</v>
      </c>
      <c r="O227" s="87">
        <v>0.0</v>
      </c>
      <c r="P227" s="87">
        <v>0.0</v>
      </c>
      <c r="Q227" s="87">
        <v>0.0</v>
      </c>
      <c r="R227" s="87">
        <v>0.0</v>
      </c>
      <c r="S227" s="87">
        <v>0.0</v>
      </c>
      <c r="T227" s="87">
        <v>0.0</v>
      </c>
      <c r="U227" s="87">
        <v>0.0</v>
      </c>
      <c r="V227" s="87">
        <v>0.0</v>
      </c>
      <c r="W227" s="87">
        <v>0.0</v>
      </c>
      <c r="X227" s="87">
        <v>0.0</v>
      </c>
      <c r="Y227" s="87">
        <v>0.0</v>
      </c>
      <c r="Z227" s="87">
        <v>0.0</v>
      </c>
      <c r="AA227" s="87">
        <v>3.80678</v>
      </c>
      <c r="AB227" s="87">
        <v>2.783852</v>
      </c>
      <c r="AC227" s="87">
        <v>4.143954</v>
      </c>
      <c r="AD227" s="87">
        <v>0.0</v>
      </c>
      <c r="AE227" s="87">
        <v>10.98637</v>
      </c>
      <c r="AF227" s="87">
        <v>7.658325</v>
      </c>
      <c r="AG227" s="87">
        <v>3.561157</v>
      </c>
      <c r="AH227" s="87">
        <v>0.0</v>
      </c>
      <c r="AI227" s="87">
        <v>3.153554</v>
      </c>
      <c r="AJ227" s="87">
        <v>2.659628</v>
      </c>
      <c r="AK227" s="87">
        <v>3.729674</v>
      </c>
      <c r="AL227" s="88" t="s">
        <v>1396</v>
      </c>
    </row>
    <row r="228">
      <c r="A228" s="84" t="s">
        <v>1692</v>
      </c>
      <c r="B228" s="84" t="s">
        <v>1705</v>
      </c>
      <c r="C228" s="84" t="s">
        <v>213</v>
      </c>
      <c r="D228" s="84" t="s">
        <v>214</v>
      </c>
      <c r="E228" s="86">
        <v>46310.0</v>
      </c>
      <c r="F228" s="87">
        <v>3.0</v>
      </c>
      <c r="G228" s="87">
        <v>0.0</v>
      </c>
      <c r="H228" s="87">
        <v>1068.0</v>
      </c>
      <c r="I228" s="87">
        <v>0.0</v>
      </c>
      <c r="J228" s="87">
        <v>16.75517</v>
      </c>
      <c r="K228" s="87">
        <v>18.52684</v>
      </c>
      <c r="L228" s="87">
        <v>18.77568</v>
      </c>
      <c r="M228" s="87">
        <v>15.16063</v>
      </c>
      <c r="N228" s="87">
        <v>0.818306</v>
      </c>
      <c r="O228" s="87">
        <v>0.0</v>
      </c>
      <c r="P228" s="87">
        <v>0.0</v>
      </c>
      <c r="Q228" s="87">
        <v>0.0</v>
      </c>
      <c r="R228" s="87">
        <v>3.366209</v>
      </c>
      <c r="S228" s="87">
        <v>15.16063</v>
      </c>
      <c r="T228" s="87">
        <v>3.366209</v>
      </c>
      <c r="U228" s="87">
        <v>3.366209</v>
      </c>
      <c r="V228" s="87">
        <v>3.366209</v>
      </c>
      <c r="W228" s="87">
        <v>15.16063</v>
      </c>
      <c r="X228" s="87">
        <v>15.16063</v>
      </c>
      <c r="Y228" s="87">
        <v>6.175613</v>
      </c>
      <c r="Z228" s="87">
        <v>0.0</v>
      </c>
      <c r="AA228" s="87">
        <v>3.80678</v>
      </c>
      <c r="AB228" s="87">
        <v>2.783852</v>
      </c>
      <c r="AC228" s="87">
        <v>4.143954</v>
      </c>
      <c r="AD228" s="87">
        <v>2.767696</v>
      </c>
      <c r="AE228" s="87">
        <v>3.700099</v>
      </c>
      <c r="AF228" s="87">
        <v>5.497015</v>
      </c>
      <c r="AG228" s="87">
        <v>4.308011</v>
      </c>
      <c r="AH228" s="87">
        <v>0.0</v>
      </c>
      <c r="AI228" s="87">
        <v>3.153554</v>
      </c>
      <c r="AJ228" s="87">
        <v>2.659628</v>
      </c>
      <c r="AK228" s="87">
        <v>3.729674</v>
      </c>
      <c r="AL228" s="88" t="s">
        <v>1396</v>
      </c>
    </row>
    <row r="229">
      <c r="A229" s="84" t="s">
        <v>1694</v>
      </c>
      <c r="B229" s="84" t="s">
        <v>1706</v>
      </c>
      <c r="C229" s="84" t="s">
        <v>213</v>
      </c>
      <c r="D229" s="84" t="s">
        <v>214</v>
      </c>
      <c r="E229" s="84" t="s">
        <v>1413</v>
      </c>
      <c r="F229" s="87">
        <v>14.0</v>
      </c>
      <c r="G229" s="87">
        <v>0.0</v>
      </c>
      <c r="H229" s="87">
        <v>6162.0</v>
      </c>
      <c r="I229" s="87">
        <v>0.0</v>
      </c>
      <c r="J229" s="87">
        <v>66.21142</v>
      </c>
      <c r="K229" s="87">
        <v>69.40717</v>
      </c>
      <c r="L229" s="87">
        <v>73.0733</v>
      </c>
      <c r="M229" s="87">
        <v>43.69183</v>
      </c>
      <c r="N229" s="87">
        <v>0.6295</v>
      </c>
      <c r="O229" s="87">
        <v>0.0</v>
      </c>
      <c r="P229" s="87">
        <v>0.0</v>
      </c>
      <c r="Q229" s="87">
        <v>1.932167</v>
      </c>
      <c r="R229" s="87">
        <v>3.346079</v>
      </c>
      <c r="S229" s="87">
        <v>4.196838</v>
      </c>
      <c r="T229" s="87">
        <v>1.932167</v>
      </c>
      <c r="U229" s="87">
        <v>2.089774</v>
      </c>
      <c r="V229" s="87">
        <v>3.013823</v>
      </c>
      <c r="W229" s="87">
        <v>3.726121</v>
      </c>
      <c r="X229" s="87">
        <v>5.766196</v>
      </c>
      <c r="Y229" s="87">
        <v>4.957655</v>
      </c>
      <c r="Z229" s="87">
        <v>0.0</v>
      </c>
      <c r="AA229" s="87">
        <v>3.80678</v>
      </c>
      <c r="AB229" s="87">
        <v>2.783852</v>
      </c>
      <c r="AC229" s="87">
        <v>4.143954</v>
      </c>
      <c r="AD229" s="87">
        <v>2.486621</v>
      </c>
      <c r="AE229" s="87">
        <v>3.754754</v>
      </c>
      <c r="AF229" s="87">
        <v>6.282947</v>
      </c>
      <c r="AG229" s="87">
        <v>5.349321</v>
      </c>
      <c r="AH229" s="87">
        <v>0.0</v>
      </c>
      <c r="AI229" s="87">
        <v>3.153554</v>
      </c>
      <c r="AJ229" s="87">
        <v>2.659628</v>
      </c>
      <c r="AK229" s="87">
        <v>3.729674</v>
      </c>
      <c r="AL229" s="88" t="s">
        <v>1396</v>
      </c>
    </row>
    <row r="230">
      <c r="A230" s="84" t="s">
        <v>1696</v>
      </c>
      <c r="B230" s="84" t="s">
        <v>1707</v>
      </c>
      <c r="C230" s="84" t="s">
        <v>213</v>
      </c>
      <c r="D230" s="84" t="s">
        <v>214</v>
      </c>
      <c r="E230" s="84" t="s">
        <v>1398</v>
      </c>
      <c r="F230" s="87">
        <v>5.0</v>
      </c>
      <c r="G230" s="87">
        <v>0.0</v>
      </c>
      <c r="H230" s="87">
        <v>5813.0</v>
      </c>
      <c r="I230" s="87">
        <v>0.0</v>
      </c>
      <c r="J230" s="87">
        <v>78.39766</v>
      </c>
      <c r="K230" s="87">
        <v>90.29616</v>
      </c>
      <c r="L230" s="87">
        <v>86.31312</v>
      </c>
      <c r="M230" s="87">
        <v>55.90284</v>
      </c>
      <c r="N230" s="87">
        <v>0.619105</v>
      </c>
      <c r="O230" s="87">
        <v>0.0</v>
      </c>
      <c r="P230" s="87">
        <v>2.045877</v>
      </c>
      <c r="Q230" s="87">
        <v>2.045877</v>
      </c>
      <c r="R230" s="87">
        <v>3.80678</v>
      </c>
      <c r="S230" s="87">
        <v>28.54066</v>
      </c>
      <c r="T230" s="87">
        <v>2.045877</v>
      </c>
      <c r="U230" s="87">
        <v>2.045877</v>
      </c>
      <c r="V230" s="87">
        <v>3.80678</v>
      </c>
      <c r="W230" s="87">
        <v>28.54066</v>
      </c>
      <c r="X230" s="87">
        <v>28.54066</v>
      </c>
      <c r="Y230" s="87">
        <v>18.05923</v>
      </c>
      <c r="Z230" s="87">
        <v>0.0</v>
      </c>
      <c r="AA230" s="87">
        <v>3.80678</v>
      </c>
      <c r="AB230" s="87">
        <v>2.783852</v>
      </c>
      <c r="AC230" s="87">
        <v>4.143954</v>
      </c>
      <c r="AD230" s="87">
        <v>2.833972</v>
      </c>
      <c r="AE230" s="87">
        <v>4.209152</v>
      </c>
      <c r="AF230" s="87">
        <v>6.771816</v>
      </c>
      <c r="AG230" s="87">
        <v>6.288573</v>
      </c>
      <c r="AH230" s="87">
        <v>0.0</v>
      </c>
      <c r="AI230" s="87">
        <v>3.153554</v>
      </c>
      <c r="AJ230" s="87">
        <v>2.659628</v>
      </c>
      <c r="AK230" s="87">
        <v>3.729674</v>
      </c>
      <c r="AL230" s="88" t="s">
        <v>1396</v>
      </c>
    </row>
    <row r="231">
      <c r="A231" s="84" t="s">
        <v>1698</v>
      </c>
      <c r="B231" s="84" t="s">
        <v>1708</v>
      </c>
      <c r="C231" s="84" t="s">
        <v>213</v>
      </c>
      <c r="D231" s="84" t="s">
        <v>214</v>
      </c>
      <c r="E231" s="84" t="s">
        <v>1400</v>
      </c>
      <c r="F231" s="87">
        <v>2.0</v>
      </c>
      <c r="G231" s="87">
        <v>0.0</v>
      </c>
      <c r="H231" s="87">
        <v>1225.0</v>
      </c>
      <c r="I231" s="87">
        <v>0.0</v>
      </c>
      <c r="J231" s="87">
        <v>8.412288</v>
      </c>
      <c r="K231" s="87">
        <v>8.287907</v>
      </c>
      <c r="L231" s="87">
        <v>7.796737</v>
      </c>
      <c r="M231" s="87">
        <v>5.13006</v>
      </c>
      <c r="N231" s="87">
        <v>0.618981</v>
      </c>
      <c r="O231" s="87">
        <v>3.157847</v>
      </c>
      <c r="P231" s="87">
        <v>3.157847</v>
      </c>
      <c r="Q231" s="87">
        <v>3.157847</v>
      </c>
      <c r="R231" s="87">
        <v>5.13006</v>
      </c>
      <c r="S231" s="87">
        <v>5.13006</v>
      </c>
      <c r="T231" s="87">
        <v>3.157847</v>
      </c>
      <c r="U231" s="87">
        <v>3.157847</v>
      </c>
      <c r="V231" s="87">
        <v>3.157847</v>
      </c>
      <c r="W231" s="87">
        <v>5.13006</v>
      </c>
      <c r="X231" s="87">
        <v>5.13006</v>
      </c>
      <c r="Y231" s="87">
        <v>4.143954</v>
      </c>
      <c r="Z231" s="87">
        <v>0.0</v>
      </c>
      <c r="AA231" s="87">
        <v>3.80678</v>
      </c>
      <c r="AB231" s="87">
        <v>2.783852</v>
      </c>
      <c r="AC231" s="87">
        <v>4.143954</v>
      </c>
      <c r="AD231" s="87">
        <v>1.434963</v>
      </c>
      <c r="AE231" s="87">
        <v>1.887571</v>
      </c>
      <c r="AF231" s="87">
        <v>2.971249</v>
      </c>
      <c r="AG231" s="87">
        <v>3.364223</v>
      </c>
      <c r="AH231" s="87">
        <v>0.0</v>
      </c>
      <c r="AI231" s="87">
        <v>3.153554</v>
      </c>
      <c r="AJ231" s="87">
        <v>2.659628</v>
      </c>
      <c r="AK231" s="87">
        <v>3.729674</v>
      </c>
      <c r="AL231" s="88" t="s">
        <v>1396</v>
      </c>
    </row>
    <row r="232">
      <c r="A232" s="84" t="s">
        <v>1700</v>
      </c>
      <c r="B232" s="84" t="s">
        <v>1709</v>
      </c>
      <c r="C232" s="84" t="s">
        <v>213</v>
      </c>
      <c r="D232" s="84" t="s">
        <v>214</v>
      </c>
      <c r="E232" s="89">
        <v>46300.0</v>
      </c>
      <c r="F232" s="87">
        <v>1.0</v>
      </c>
      <c r="G232" s="87">
        <v>0.0</v>
      </c>
      <c r="H232" s="87">
        <v>0.0</v>
      </c>
      <c r="I232" s="87">
        <v>0.0</v>
      </c>
      <c r="J232" s="87">
        <v>0.0</v>
      </c>
      <c r="K232" s="87">
        <v>0.0</v>
      </c>
      <c r="L232" s="87">
        <v>0.410714</v>
      </c>
      <c r="M232" s="87">
        <v>0.0</v>
      </c>
      <c r="N232" s="87">
        <v>0.0</v>
      </c>
      <c r="O232" s="87">
        <v>0.0</v>
      </c>
      <c r="P232" s="87">
        <v>0.0</v>
      </c>
      <c r="Q232" s="87">
        <v>0.0</v>
      </c>
      <c r="R232" s="87">
        <v>0.0</v>
      </c>
      <c r="S232" s="87">
        <v>0.0</v>
      </c>
      <c r="T232" s="87">
        <v>0.0</v>
      </c>
      <c r="U232" s="87">
        <v>0.0</v>
      </c>
      <c r="V232" s="87">
        <v>0.0</v>
      </c>
      <c r="W232" s="87">
        <v>0.0</v>
      </c>
      <c r="X232" s="87">
        <v>0.0</v>
      </c>
      <c r="Y232" s="87">
        <v>0.0</v>
      </c>
      <c r="Z232" s="87">
        <v>0.0</v>
      </c>
      <c r="AA232" s="87">
        <v>3.80678</v>
      </c>
      <c r="AB232" s="87">
        <v>2.783852</v>
      </c>
      <c r="AC232" s="87">
        <v>4.143954</v>
      </c>
      <c r="AD232" s="87">
        <v>0.0</v>
      </c>
      <c r="AE232" s="87">
        <v>7.742624</v>
      </c>
      <c r="AF232" s="87">
        <v>7.065822</v>
      </c>
      <c r="AG232" s="87">
        <v>7.003223</v>
      </c>
      <c r="AH232" s="87">
        <v>0.0</v>
      </c>
      <c r="AI232" s="87">
        <v>3.153554</v>
      </c>
      <c r="AJ232" s="87">
        <v>2.659628</v>
      </c>
      <c r="AK232" s="87">
        <v>3.729674</v>
      </c>
      <c r="AL232" s="88" t="s">
        <v>1396</v>
      </c>
    </row>
    <row r="233">
      <c r="A233" s="84" t="s">
        <v>1702</v>
      </c>
      <c r="B233" s="84" t="s">
        <v>1710</v>
      </c>
      <c r="C233" s="84" t="s">
        <v>213</v>
      </c>
      <c r="D233" s="84" t="s">
        <v>214</v>
      </c>
      <c r="E233" s="84" t="s">
        <v>1403</v>
      </c>
      <c r="F233" s="87">
        <v>39.0</v>
      </c>
      <c r="G233" s="87">
        <v>5.0</v>
      </c>
      <c r="H233" s="87">
        <v>1706.0</v>
      </c>
      <c r="I233" s="87">
        <v>1706.0</v>
      </c>
      <c r="J233" s="87">
        <v>0.0</v>
      </c>
      <c r="K233" s="87">
        <v>0.0</v>
      </c>
      <c r="L233" s="87">
        <v>0.0</v>
      </c>
      <c r="M233" s="87">
        <v>0.0</v>
      </c>
      <c r="N233" s="87">
        <v>0.0</v>
      </c>
      <c r="O233" s="87">
        <v>0.0</v>
      </c>
      <c r="P233" s="87">
        <v>0.0</v>
      </c>
      <c r="Q233" s="87">
        <v>0.0</v>
      </c>
      <c r="R233" s="87">
        <v>0.0</v>
      </c>
      <c r="S233" s="87">
        <v>0.0</v>
      </c>
      <c r="T233" s="87">
        <v>0.0</v>
      </c>
      <c r="U233" s="87">
        <v>0.0</v>
      </c>
      <c r="V233" s="87">
        <v>0.0</v>
      </c>
      <c r="W233" s="87">
        <v>0.0</v>
      </c>
      <c r="X233" s="87">
        <v>0.0</v>
      </c>
      <c r="Y233" s="87">
        <v>0.0</v>
      </c>
      <c r="Z233" s="87">
        <v>0.0</v>
      </c>
      <c r="AA233" s="87">
        <v>3.80678</v>
      </c>
      <c r="AB233" s="87">
        <v>2.783852</v>
      </c>
      <c r="AC233" s="87">
        <v>4.143954</v>
      </c>
      <c r="AD233" s="87">
        <v>0.0</v>
      </c>
      <c r="AE233" s="87">
        <v>0.0</v>
      </c>
      <c r="AF233" s="87">
        <v>0.0</v>
      </c>
      <c r="AG233" s="87">
        <v>0.0</v>
      </c>
      <c r="AH233" s="87">
        <v>0.0</v>
      </c>
      <c r="AI233" s="87">
        <v>3.153554</v>
      </c>
      <c r="AJ233" s="87">
        <v>2.659628</v>
      </c>
      <c r="AK233" s="87">
        <v>3.729674</v>
      </c>
      <c r="AL233" s="88" t="s">
        <v>1396</v>
      </c>
    </row>
    <row r="234">
      <c r="A234" s="84" t="s">
        <v>1690</v>
      </c>
      <c r="B234" s="84" t="s">
        <v>1711</v>
      </c>
      <c r="C234" s="84" t="s">
        <v>213</v>
      </c>
      <c r="D234" s="84" t="s">
        <v>851</v>
      </c>
      <c r="E234" s="84" t="s">
        <v>1426</v>
      </c>
      <c r="F234" s="87">
        <v>3.0</v>
      </c>
      <c r="G234" s="87">
        <v>1.0</v>
      </c>
      <c r="H234" s="87">
        <v>134.0</v>
      </c>
      <c r="I234" s="87">
        <v>18.0</v>
      </c>
      <c r="J234" s="87">
        <v>8.654762</v>
      </c>
      <c r="K234" s="87">
        <v>10.98637</v>
      </c>
      <c r="L234" s="87">
        <v>10.55251</v>
      </c>
      <c r="M234" s="87">
        <v>10.98637</v>
      </c>
      <c r="N234" s="87">
        <v>1.0</v>
      </c>
      <c r="O234" s="87">
        <v>0.0</v>
      </c>
      <c r="P234" s="87">
        <v>0.0</v>
      </c>
      <c r="Q234" s="87">
        <v>0.0</v>
      </c>
      <c r="R234" s="87">
        <v>0.0</v>
      </c>
      <c r="S234" s="87">
        <v>10.98637</v>
      </c>
      <c r="T234" s="87">
        <v>10.98637</v>
      </c>
      <c r="U234" s="87">
        <v>10.98637</v>
      </c>
      <c r="V234" s="87">
        <v>10.98637</v>
      </c>
      <c r="W234" s="87">
        <v>10.98637</v>
      </c>
      <c r="X234" s="87">
        <v>10.98637</v>
      </c>
      <c r="Y234" s="87">
        <v>3.662123</v>
      </c>
      <c r="Z234" s="87">
        <v>0.009259</v>
      </c>
      <c r="AA234" s="87">
        <v>2.683522</v>
      </c>
      <c r="AB234" s="87">
        <v>2.99155</v>
      </c>
      <c r="AC234" s="87">
        <v>3.662123</v>
      </c>
      <c r="AD234" s="87">
        <v>0.0</v>
      </c>
      <c r="AE234" s="87">
        <v>10.98637</v>
      </c>
      <c r="AF234" s="87">
        <v>7.658325</v>
      </c>
      <c r="AG234" s="87">
        <v>3.561157</v>
      </c>
      <c r="AH234" s="87">
        <v>0.0</v>
      </c>
      <c r="AI234" s="87">
        <v>3.153554</v>
      </c>
      <c r="AJ234" s="87">
        <v>2.659628</v>
      </c>
      <c r="AK234" s="87">
        <v>3.729674</v>
      </c>
      <c r="AL234" s="88" t="s">
        <v>1396</v>
      </c>
    </row>
    <row r="235">
      <c r="A235" s="84" t="s">
        <v>1692</v>
      </c>
      <c r="B235" s="84" t="s">
        <v>1712</v>
      </c>
      <c r="C235" s="84" t="s">
        <v>213</v>
      </c>
      <c r="D235" s="84" t="s">
        <v>851</v>
      </c>
      <c r="E235" s="86">
        <v>46310.0</v>
      </c>
      <c r="F235" s="87">
        <v>8.0</v>
      </c>
      <c r="G235" s="87">
        <v>0.0</v>
      </c>
      <c r="H235" s="87">
        <v>4688.0</v>
      </c>
      <c r="I235" s="87">
        <v>0.0</v>
      </c>
      <c r="J235" s="87">
        <v>96.35899</v>
      </c>
      <c r="K235" s="87">
        <v>98.04455</v>
      </c>
      <c r="L235" s="87">
        <v>94.09949</v>
      </c>
      <c r="M235" s="87">
        <v>93.30959</v>
      </c>
      <c r="N235" s="87">
        <v>0.951706</v>
      </c>
      <c r="O235" s="87">
        <v>0.0</v>
      </c>
      <c r="P235" s="87">
        <v>0.0</v>
      </c>
      <c r="Q235" s="87">
        <v>0.0</v>
      </c>
      <c r="R235" s="87">
        <v>1.722998</v>
      </c>
      <c r="S235" s="87">
        <v>3.011958</v>
      </c>
      <c r="T235" s="87">
        <v>1.722998</v>
      </c>
      <c r="U235" s="87">
        <v>1.722998</v>
      </c>
      <c r="V235" s="87">
        <v>3.011958</v>
      </c>
      <c r="W235" s="87">
        <v>31.80049</v>
      </c>
      <c r="X235" s="87">
        <v>31.80049</v>
      </c>
      <c r="Y235" s="87">
        <v>12.25557</v>
      </c>
      <c r="Z235" s="87">
        <v>0.009259</v>
      </c>
      <c r="AA235" s="87">
        <v>2.683522</v>
      </c>
      <c r="AB235" s="87">
        <v>2.99155</v>
      </c>
      <c r="AC235" s="87">
        <v>3.662123</v>
      </c>
      <c r="AD235" s="87">
        <v>2.767696</v>
      </c>
      <c r="AE235" s="87">
        <v>3.700099</v>
      </c>
      <c r="AF235" s="87">
        <v>5.497015</v>
      </c>
      <c r="AG235" s="87">
        <v>4.308011</v>
      </c>
      <c r="AH235" s="87">
        <v>0.0</v>
      </c>
      <c r="AI235" s="87">
        <v>3.153554</v>
      </c>
      <c r="AJ235" s="87">
        <v>2.659628</v>
      </c>
      <c r="AK235" s="87">
        <v>3.729674</v>
      </c>
      <c r="AL235" s="88" t="s">
        <v>1396</v>
      </c>
    </row>
    <row r="236">
      <c r="A236" s="84" t="s">
        <v>1694</v>
      </c>
      <c r="B236" s="84" t="s">
        <v>1713</v>
      </c>
      <c r="C236" s="84" t="s">
        <v>213</v>
      </c>
      <c r="D236" s="84" t="s">
        <v>851</v>
      </c>
      <c r="E236" s="84" t="s">
        <v>1413</v>
      </c>
      <c r="F236" s="87">
        <v>27.0</v>
      </c>
      <c r="G236" s="87">
        <v>0.0</v>
      </c>
      <c r="H236" s="87">
        <v>10169.0</v>
      </c>
      <c r="I236" s="87">
        <v>0.0</v>
      </c>
      <c r="J236" s="87">
        <v>143.3711</v>
      </c>
      <c r="K236" s="87">
        <v>141.4985</v>
      </c>
      <c r="L236" s="87">
        <v>144.675</v>
      </c>
      <c r="M236" s="87">
        <v>105.7451</v>
      </c>
      <c r="N236" s="87">
        <v>0.747323</v>
      </c>
      <c r="O236" s="87">
        <v>0.0</v>
      </c>
      <c r="P236" s="87">
        <v>0.0</v>
      </c>
      <c r="Q236" s="87">
        <v>0.424431</v>
      </c>
      <c r="R236" s="87">
        <v>2.034411</v>
      </c>
      <c r="S236" s="87">
        <v>4.554295</v>
      </c>
      <c r="T236" s="87">
        <v>0.424431</v>
      </c>
      <c r="U236" s="87">
        <v>0.597849</v>
      </c>
      <c r="V236" s="87">
        <v>1.114387</v>
      </c>
      <c r="W236" s="87">
        <v>3.797239</v>
      </c>
      <c r="X236" s="87">
        <v>5.111432</v>
      </c>
      <c r="Y236" s="87">
        <v>5.240685</v>
      </c>
      <c r="Z236" s="87">
        <v>0.009259</v>
      </c>
      <c r="AA236" s="87">
        <v>2.683522</v>
      </c>
      <c r="AB236" s="87">
        <v>2.99155</v>
      </c>
      <c r="AC236" s="87">
        <v>3.662123</v>
      </c>
      <c r="AD236" s="87">
        <v>2.486621</v>
      </c>
      <c r="AE236" s="87">
        <v>3.754754</v>
      </c>
      <c r="AF236" s="87">
        <v>6.282947</v>
      </c>
      <c r="AG236" s="87">
        <v>5.349321</v>
      </c>
      <c r="AH236" s="87">
        <v>0.0</v>
      </c>
      <c r="AI236" s="87">
        <v>3.153554</v>
      </c>
      <c r="AJ236" s="87">
        <v>2.659628</v>
      </c>
      <c r="AK236" s="87">
        <v>3.729674</v>
      </c>
      <c r="AL236" s="88" t="s">
        <v>1396</v>
      </c>
    </row>
    <row r="237">
      <c r="A237" s="84" t="s">
        <v>1696</v>
      </c>
      <c r="B237" s="84" t="s">
        <v>1714</v>
      </c>
      <c r="C237" s="84" t="s">
        <v>213</v>
      </c>
      <c r="D237" s="84" t="s">
        <v>851</v>
      </c>
      <c r="E237" s="84" t="s">
        <v>1398</v>
      </c>
      <c r="F237" s="87">
        <v>8.0</v>
      </c>
      <c r="G237" s="87">
        <v>0.0</v>
      </c>
      <c r="H237" s="87">
        <v>1765.0</v>
      </c>
      <c r="I237" s="87">
        <v>0.0</v>
      </c>
      <c r="J237" s="87">
        <v>17.28178</v>
      </c>
      <c r="K237" s="87">
        <v>15.29817</v>
      </c>
      <c r="L237" s="87">
        <v>15.421</v>
      </c>
      <c r="M237" s="87">
        <v>10.05974</v>
      </c>
      <c r="N237" s="87">
        <v>0.657578</v>
      </c>
      <c r="O237" s="87">
        <v>0.166667</v>
      </c>
      <c r="P237" s="87">
        <v>0.442532</v>
      </c>
      <c r="Q237" s="87">
        <v>0.546567</v>
      </c>
      <c r="R237" s="87">
        <v>1.29804</v>
      </c>
      <c r="S237" s="87">
        <v>1.71597</v>
      </c>
      <c r="T237" s="87">
        <v>0.166667</v>
      </c>
      <c r="U237" s="87">
        <v>0.442532</v>
      </c>
      <c r="V237" s="87">
        <v>0.546567</v>
      </c>
      <c r="W237" s="87">
        <v>1.29804</v>
      </c>
      <c r="X237" s="87">
        <v>1.71597</v>
      </c>
      <c r="Y237" s="87">
        <v>1.912271</v>
      </c>
      <c r="Z237" s="87">
        <v>0.009259</v>
      </c>
      <c r="AA237" s="87">
        <v>2.683522</v>
      </c>
      <c r="AB237" s="87">
        <v>2.99155</v>
      </c>
      <c r="AC237" s="87">
        <v>3.662123</v>
      </c>
      <c r="AD237" s="87">
        <v>2.833972</v>
      </c>
      <c r="AE237" s="87">
        <v>4.209152</v>
      </c>
      <c r="AF237" s="87">
        <v>6.771816</v>
      </c>
      <c r="AG237" s="87">
        <v>6.288573</v>
      </c>
      <c r="AH237" s="87">
        <v>0.0</v>
      </c>
      <c r="AI237" s="87">
        <v>3.153554</v>
      </c>
      <c r="AJ237" s="87">
        <v>2.659628</v>
      </c>
      <c r="AK237" s="87">
        <v>3.729674</v>
      </c>
      <c r="AL237" s="88" t="s">
        <v>1396</v>
      </c>
    </row>
    <row r="238">
      <c r="A238" s="84" t="s">
        <v>1698</v>
      </c>
      <c r="B238" s="84" t="s">
        <v>1715</v>
      </c>
      <c r="C238" s="84" t="s">
        <v>213</v>
      </c>
      <c r="D238" s="84" t="s">
        <v>851</v>
      </c>
      <c r="E238" s="84" t="s">
        <v>1400</v>
      </c>
      <c r="F238" s="87">
        <v>25.0</v>
      </c>
      <c r="G238" s="87">
        <v>0.0</v>
      </c>
      <c r="H238" s="87">
        <v>5325.0</v>
      </c>
      <c r="I238" s="87">
        <v>0.0</v>
      </c>
      <c r="J238" s="87">
        <v>49.20068</v>
      </c>
      <c r="K238" s="87">
        <v>47.03217</v>
      </c>
      <c r="L238" s="87">
        <v>49.27595</v>
      </c>
      <c r="M238" s="87">
        <v>24.15267</v>
      </c>
      <c r="N238" s="87">
        <v>0.513535</v>
      </c>
      <c r="O238" s="87">
        <v>0.0</v>
      </c>
      <c r="P238" s="87">
        <v>0.566667</v>
      </c>
      <c r="Q238" s="87">
        <v>0.609771</v>
      </c>
      <c r="R238" s="87">
        <v>1.132664</v>
      </c>
      <c r="S238" s="87">
        <v>2.683522</v>
      </c>
      <c r="T238" s="87">
        <v>0.566667</v>
      </c>
      <c r="U238" s="87">
        <v>0.609771</v>
      </c>
      <c r="V238" s="87">
        <v>0.951689</v>
      </c>
      <c r="W238" s="87">
        <v>1.437624</v>
      </c>
      <c r="X238" s="87">
        <v>2.78683</v>
      </c>
      <c r="Y238" s="87">
        <v>1.881287</v>
      </c>
      <c r="Z238" s="87">
        <v>0.009259</v>
      </c>
      <c r="AA238" s="87">
        <v>2.683522</v>
      </c>
      <c r="AB238" s="87">
        <v>2.99155</v>
      </c>
      <c r="AC238" s="87">
        <v>3.662123</v>
      </c>
      <c r="AD238" s="87">
        <v>1.434963</v>
      </c>
      <c r="AE238" s="87">
        <v>1.887571</v>
      </c>
      <c r="AF238" s="87">
        <v>2.971249</v>
      </c>
      <c r="AG238" s="87">
        <v>3.364223</v>
      </c>
      <c r="AH238" s="87">
        <v>0.0</v>
      </c>
      <c r="AI238" s="87">
        <v>3.153554</v>
      </c>
      <c r="AJ238" s="87">
        <v>2.659628</v>
      </c>
      <c r="AK238" s="87">
        <v>3.729674</v>
      </c>
      <c r="AL238" s="88" t="s">
        <v>1396</v>
      </c>
    </row>
    <row r="239">
      <c r="A239" s="84" t="s">
        <v>1700</v>
      </c>
      <c r="B239" s="84" t="s">
        <v>1716</v>
      </c>
      <c r="C239" s="84" t="s">
        <v>213</v>
      </c>
      <c r="D239" s="84" t="s">
        <v>851</v>
      </c>
      <c r="E239" s="89">
        <v>46300.0</v>
      </c>
      <c r="F239" s="87">
        <v>10.0</v>
      </c>
      <c r="G239" s="87">
        <v>0.0</v>
      </c>
      <c r="H239" s="87">
        <v>5485.0</v>
      </c>
      <c r="I239" s="87">
        <v>0.0</v>
      </c>
      <c r="J239" s="87">
        <v>66.3496</v>
      </c>
      <c r="K239" s="87">
        <v>70.05866</v>
      </c>
      <c r="L239" s="87">
        <v>73.36126</v>
      </c>
      <c r="M239" s="87">
        <v>46.42803</v>
      </c>
      <c r="N239" s="87">
        <v>0.662702</v>
      </c>
      <c r="O239" s="87">
        <v>0.0</v>
      </c>
      <c r="P239" s="87">
        <v>0.0</v>
      </c>
      <c r="Q239" s="87">
        <v>0.0</v>
      </c>
      <c r="R239" s="87">
        <v>7.402088</v>
      </c>
      <c r="S239" s="87">
        <v>8.485918</v>
      </c>
      <c r="T239" s="87">
        <v>7.402088</v>
      </c>
      <c r="U239" s="87">
        <v>7.742624</v>
      </c>
      <c r="V239" s="87">
        <v>7.742624</v>
      </c>
      <c r="W239" s="87">
        <v>8.485918</v>
      </c>
      <c r="X239" s="87">
        <v>12.08703</v>
      </c>
      <c r="Y239" s="87">
        <v>7.005866</v>
      </c>
      <c r="Z239" s="87">
        <v>0.009259</v>
      </c>
      <c r="AA239" s="87">
        <v>2.683522</v>
      </c>
      <c r="AB239" s="87">
        <v>2.99155</v>
      </c>
      <c r="AC239" s="87">
        <v>3.662123</v>
      </c>
      <c r="AD239" s="87">
        <v>0.0</v>
      </c>
      <c r="AE239" s="87">
        <v>7.742624</v>
      </c>
      <c r="AF239" s="87">
        <v>7.065822</v>
      </c>
      <c r="AG239" s="87">
        <v>7.003223</v>
      </c>
      <c r="AH239" s="87">
        <v>0.0</v>
      </c>
      <c r="AI239" s="87">
        <v>3.153554</v>
      </c>
      <c r="AJ239" s="87">
        <v>2.659628</v>
      </c>
      <c r="AK239" s="87">
        <v>3.729674</v>
      </c>
      <c r="AL239" s="88" t="s">
        <v>1396</v>
      </c>
    </row>
    <row r="240">
      <c r="A240" s="84" t="s">
        <v>1702</v>
      </c>
      <c r="B240" s="84" t="s">
        <v>1717</v>
      </c>
      <c r="C240" s="84" t="s">
        <v>213</v>
      </c>
      <c r="D240" s="84" t="s">
        <v>851</v>
      </c>
      <c r="E240" s="84" t="s">
        <v>1403</v>
      </c>
      <c r="F240" s="87">
        <v>47.0</v>
      </c>
      <c r="G240" s="87">
        <v>0.0</v>
      </c>
      <c r="H240" s="87">
        <v>0.0</v>
      </c>
      <c r="I240" s="87">
        <v>0.0</v>
      </c>
      <c r="J240" s="87">
        <v>0.0</v>
      </c>
      <c r="K240" s="87">
        <v>0.0</v>
      </c>
      <c r="L240" s="87">
        <v>0.0</v>
      </c>
      <c r="M240" s="87">
        <v>0.0</v>
      </c>
      <c r="N240" s="87">
        <v>0.0</v>
      </c>
      <c r="O240" s="87">
        <v>0.0</v>
      </c>
      <c r="P240" s="87">
        <v>0.0</v>
      </c>
      <c r="Q240" s="87">
        <v>0.0</v>
      </c>
      <c r="R240" s="87">
        <v>0.0</v>
      </c>
      <c r="S240" s="87">
        <v>0.0</v>
      </c>
      <c r="T240" s="87">
        <v>0.0</v>
      </c>
      <c r="U240" s="87">
        <v>0.0</v>
      </c>
      <c r="V240" s="87">
        <v>0.0</v>
      </c>
      <c r="W240" s="87">
        <v>0.0</v>
      </c>
      <c r="X240" s="87">
        <v>0.0</v>
      </c>
      <c r="Y240" s="87">
        <v>0.0</v>
      </c>
      <c r="Z240" s="87">
        <v>0.009259</v>
      </c>
      <c r="AA240" s="87">
        <v>2.683522</v>
      </c>
      <c r="AB240" s="87">
        <v>2.99155</v>
      </c>
      <c r="AC240" s="87">
        <v>3.662123</v>
      </c>
      <c r="AD240" s="87">
        <v>0.0</v>
      </c>
      <c r="AE240" s="87">
        <v>0.0</v>
      </c>
      <c r="AF240" s="87">
        <v>0.0</v>
      </c>
      <c r="AG240" s="87">
        <v>0.0</v>
      </c>
      <c r="AH240" s="87">
        <v>0.0</v>
      </c>
      <c r="AI240" s="87">
        <v>3.153554</v>
      </c>
      <c r="AJ240" s="87">
        <v>2.659628</v>
      </c>
      <c r="AK240" s="87">
        <v>3.729674</v>
      </c>
      <c r="AL240" s="88" t="s">
        <v>1396</v>
      </c>
    </row>
    <row r="241">
      <c r="A241" s="84" t="s">
        <v>1690</v>
      </c>
      <c r="B241" s="84" t="s">
        <v>1718</v>
      </c>
      <c r="C241" s="84" t="s">
        <v>213</v>
      </c>
      <c r="D241" s="84" t="s">
        <v>1719</v>
      </c>
      <c r="E241" s="84" t="s">
        <v>1426</v>
      </c>
      <c r="F241" s="87">
        <v>1.0</v>
      </c>
      <c r="G241" s="87">
        <v>0.0</v>
      </c>
      <c r="H241" s="87">
        <v>0.0</v>
      </c>
      <c r="I241" s="87">
        <v>0.0</v>
      </c>
      <c r="J241" s="87">
        <v>0.0</v>
      </c>
      <c r="K241" s="87">
        <v>0.1</v>
      </c>
      <c r="L241" s="87">
        <v>0.05</v>
      </c>
      <c r="M241" s="87">
        <v>0.1</v>
      </c>
      <c r="N241" s="87">
        <v>1.0</v>
      </c>
      <c r="O241" s="87">
        <v>0.1</v>
      </c>
      <c r="P241" s="87">
        <v>0.1</v>
      </c>
      <c r="Q241" s="87">
        <v>0.1</v>
      </c>
      <c r="R241" s="87">
        <v>0.1</v>
      </c>
      <c r="S241" s="87">
        <v>0.1</v>
      </c>
      <c r="T241" s="87">
        <v>0.1</v>
      </c>
      <c r="U241" s="87">
        <v>0.1</v>
      </c>
      <c r="V241" s="87">
        <v>0.1</v>
      </c>
      <c r="W241" s="87">
        <v>0.1</v>
      </c>
      <c r="X241" s="87">
        <v>0.1</v>
      </c>
      <c r="Y241" s="87">
        <v>0.1</v>
      </c>
      <c r="Z241" s="87">
        <v>0.0</v>
      </c>
      <c r="AA241" s="87">
        <v>3.523947</v>
      </c>
      <c r="AB241" s="87">
        <v>3.596005</v>
      </c>
      <c r="AC241" s="87">
        <v>3.729674</v>
      </c>
      <c r="AD241" s="87">
        <v>0.0</v>
      </c>
      <c r="AE241" s="87">
        <v>10.98637</v>
      </c>
      <c r="AF241" s="87">
        <v>7.658325</v>
      </c>
      <c r="AG241" s="87">
        <v>3.561157</v>
      </c>
      <c r="AH241" s="87">
        <v>0.0</v>
      </c>
      <c r="AI241" s="87">
        <v>3.153554</v>
      </c>
      <c r="AJ241" s="87">
        <v>2.659628</v>
      </c>
      <c r="AK241" s="87">
        <v>3.729674</v>
      </c>
      <c r="AL241" s="88" t="s">
        <v>1396</v>
      </c>
    </row>
    <row r="242">
      <c r="A242" s="84" t="s">
        <v>1692</v>
      </c>
      <c r="B242" s="84" t="s">
        <v>1720</v>
      </c>
      <c r="C242" s="84" t="s">
        <v>213</v>
      </c>
      <c r="D242" s="84" t="s">
        <v>1719</v>
      </c>
      <c r="E242" s="86">
        <v>46310.0</v>
      </c>
      <c r="F242" s="87">
        <v>17.0</v>
      </c>
      <c r="G242" s="87">
        <v>0.0</v>
      </c>
      <c r="H242" s="87">
        <v>3877.0</v>
      </c>
      <c r="I242" s="87">
        <v>0.0</v>
      </c>
      <c r="J242" s="87">
        <v>71.92256</v>
      </c>
      <c r="K242" s="87">
        <v>63.40445</v>
      </c>
      <c r="L242" s="87">
        <v>60.41944</v>
      </c>
      <c r="M242" s="87">
        <v>37.15399</v>
      </c>
      <c r="N242" s="87">
        <v>0.585984</v>
      </c>
      <c r="O242" s="87">
        <v>0.0</v>
      </c>
      <c r="P242" s="87">
        <v>0.0</v>
      </c>
      <c r="Q242" s="87">
        <v>0.0</v>
      </c>
      <c r="R242" s="87">
        <v>3.082841</v>
      </c>
      <c r="S242" s="87">
        <v>5.14577</v>
      </c>
      <c r="T242" s="87">
        <v>2.845395</v>
      </c>
      <c r="U242" s="87">
        <v>3.082841</v>
      </c>
      <c r="V242" s="87">
        <v>3.238224</v>
      </c>
      <c r="W242" s="87">
        <v>5.14577</v>
      </c>
      <c r="X242" s="87">
        <v>6.753669</v>
      </c>
      <c r="Y242" s="87">
        <v>3.729674</v>
      </c>
      <c r="Z242" s="87">
        <v>0.0</v>
      </c>
      <c r="AA242" s="87">
        <v>3.523947</v>
      </c>
      <c r="AB242" s="87">
        <v>3.596005</v>
      </c>
      <c r="AC242" s="87">
        <v>3.729674</v>
      </c>
      <c r="AD242" s="87">
        <v>2.767696</v>
      </c>
      <c r="AE242" s="87">
        <v>3.700099</v>
      </c>
      <c r="AF242" s="87">
        <v>5.497015</v>
      </c>
      <c r="AG242" s="87">
        <v>4.308011</v>
      </c>
      <c r="AH242" s="87">
        <v>0.0</v>
      </c>
      <c r="AI242" s="87">
        <v>3.153554</v>
      </c>
      <c r="AJ242" s="87">
        <v>2.659628</v>
      </c>
      <c r="AK242" s="87">
        <v>3.729674</v>
      </c>
      <c r="AL242" s="88" t="s">
        <v>1396</v>
      </c>
    </row>
    <row r="243">
      <c r="A243" s="84" t="s">
        <v>1694</v>
      </c>
      <c r="B243" s="84" t="s">
        <v>1721</v>
      </c>
      <c r="C243" s="84" t="s">
        <v>213</v>
      </c>
      <c r="D243" s="84" t="s">
        <v>1719</v>
      </c>
      <c r="E243" s="84" t="s">
        <v>1413</v>
      </c>
      <c r="F243" s="87">
        <v>7.0</v>
      </c>
      <c r="G243" s="87">
        <v>0.0</v>
      </c>
      <c r="H243" s="87">
        <v>4091.0</v>
      </c>
      <c r="I243" s="87">
        <v>0.0</v>
      </c>
      <c r="J243" s="87">
        <v>42.65747</v>
      </c>
      <c r="K243" s="87">
        <v>37.44524</v>
      </c>
      <c r="L243" s="87">
        <v>38.16541</v>
      </c>
      <c r="M243" s="87">
        <v>26.04529</v>
      </c>
      <c r="N243" s="87">
        <v>0.695557</v>
      </c>
      <c r="O243" s="87">
        <v>0.997998</v>
      </c>
      <c r="P243" s="87">
        <v>2.106897</v>
      </c>
      <c r="Q243" s="87">
        <v>2.34436</v>
      </c>
      <c r="R243" s="87">
        <v>2.3851</v>
      </c>
      <c r="S243" s="87">
        <v>3.565599</v>
      </c>
      <c r="T243" s="87">
        <v>0.997998</v>
      </c>
      <c r="U243" s="87">
        <v>2.106897</v>
      </c>
      <c r="V243" s="87">
        <v>2.34436</v>
      </c>
      <c r="W243" s="87">
        <v>2.3851</v>
      </c>
      <c r="X243" s="87">
        <v>3.565599</v>
      </c>
      <c r="Y243" s="87">
        <v>5.349321</v>
      </c>
      <c r="Z243" s="87">
        <v>0.0</v>
      </c>
      <c r="AA243" s="87">
        <v>3.523947</v>
      </c>
      <c r="AB243" s="87">
        <v>3.596005</v>
      </c>
      <c r="AC243" s="87">
        <v>3.729674</v>
      </c>
      <c r="AD243" s="87">
        <v>2.486621</v>
      </c>
      <c r="AE243" s="87">
        <v>3.754754</v>
      </c>
      <c r="AF243" s="87">
        <v>6.282947</v>
      </c>
      <c r="AG243" s="87">
        <v>5.349321</v>
      </c>
      <c r="AH243" s="87">
        <v>0.0</v>
      </c>
      <c r="AI243" s="87">
        <v>3.153554</v>
      </c>
      <c r="AJ243" s="87">
        <v>2.659628</v>
      </c>
      <c r="AK243" s="87">
        <v>3.729674</v>
      </c>
      <c r="AL243" s="88" t="s">
        <v>1396</v>
      </c>
    </row>
    <row r="244">
      <c r="A244" s="84" t="s">
        <v>1696</v>
      </c>
      <c r="B244" s="84" t="s">
        <v>1722</v>
      </c>
      <c r="C244" s="84" t="s">
        <v>213</v>
      </c>
      <c r="D244" s="84" t="s">
        <v>1719</v>
      </c>
      <c r="E244" s="84" t="s">
        <v>1398</v>
      </c>
      <c r="F244" s="87">
        <v>11.0</v>
      </c>
      <c r="G244" s="87">
        <v>0.0</v>
      </c>
      <c r="H244" s="87">
        <v>4518.0</v>
      </c>
      <c r="I244" s="87">
        <v>0.0</v>
      </c>
      <c r="J244" s="87">
        <v>37.90833</v>
      </c>
      <c r="K244" s="87">
        <v>50.51214</v>
      </c>
      <c r="L244" s="87">
        <v>47.19649</v>
      </c>
      <c r="M244" s="87">
        <v>34.32825</v>
      </c>
      <c r="N244" s="87">
        <v>0.679604</v>
      </c>
      <c r="O244" s="87">
        <v>0.0</v>
      </c>
      <c r="P244" s="87">
        <v>0.034483</v>
      </c>
      <c r="Q244" s="87">
        <v>0.308106</v>
      </c>
      <c r="R244" s="87">
        <v>3.523947</v>
      </c>
      <c r="S244" s="87">
        <v>6.382027</v>
      </c>
      <c r="T244" s="87">
        <v>0.034483</v>
      </c>
      <c r="U244" s="87">
        <v>0.308106</v>
      </c>
      <c r="V244" s="87">
        <v>1.726176</v>
      </c>
      <c r="W244" s="87">
        <v>4.209152</v>
      </c>
      <c r="X244" s="87">
        <v>8.944314</v>
      </c>
      <c r="Y244" s="87">
        <v>4.592013</v>
      </c>
      <c r="Z244" s="87">
        <v>0.0</v>
      </c>
      <c r="AA244" s="87">
        <v>3.523947</v>
      </c>
      <c r="AB244" s="87">
        <v>3.596005</v>
      </c>
      <c r="AC244" s="87">
        <v>3.729674</v>
      </c>
      <c r="AD244" s="87">
        <v>2.833972</v>
      </c>
      <c r="AE244" s="87">
        <v>4.209152</v>
      </c>
      <c r="AF244" s="87">
        <v>6.771816</v>
      </c>
      <c r="AG244" s="87">
        <v>6.288573</v>
      </c>
      <c r="AH244" s="87">
        <v>0.0</v>
      </c>
      <c r="AI244" s="87">
        <v>3.153554</v>
      </c>
      <c r="AJ244" s="87">
        <v>2.659628</v>
      </c>
      <c r="AK244" s="87">
        <v>3.729674</v>
      </c>
      <c r="AL244" s="88" t="s">
        <v>1396</v>
      </c>
    </row>
    <row r="245">
      <c r="A245" s="84" t="s">
        <v>1698</v>
      </c>
      <c r="B245" s="84" t="s">
        <v>1723</v>
      </c>
      <c r="C245" s="84" t="s">
        <v>213</v>
      </c>
      <c r="D245" s="84" t="s">
        <v>1719</v>
      </c>
      <c r="E245" s="84" t="s">
        <v>1400</v>
      </c>
      <c r="F245" s="87">
        <v>5.0</v>
      </c>
      <c r="G245" s="87">
        <v>0.0</v>
      </c>
      <c r="H245" s="87">
        <v>984.0</v>
      </c>
      <c r="I245" s="87">
        <v>0.0</v>
      </c>
      <c r="J245" s="87">
        <v>5.43315</v>
      </c>
      <c r="K245" s="87">
        <v>6.030664</v>
      </c>
      <c r="L245" s="87">
        <v>7.386429</v>
      </c>
      <c r="M245" s="87">
        <v>1.890565</v>
      </c>
      <c r="N245" s="87">
        <v>0.313492</v>
      </c>
      <c r="O245" s="87">
        <v>0.528846</v>
      </c>
      <c r="P245" s="87">
        <v>0.842775</v>
      </c>
      <c r="Q245" s="87">
        <v>0.842775</v>
      </c>
      <c r="R245" s="87">
        <v>1.126602</v>
      </c>
      <c r="S245" s="87">
        <v>1.641876</v>
      </c>
      <c r="T245" s="87">
        <v>0.528846</v>
      </c>
      <c r="U245" s="87">
        <v>0.842775</v>
      </c>
      <c r="V245" s="87">
        <v>0.842775</v>
      </c>
      <c r="W245" s="87">
        <v>1.126602</v>
      </c>
      <c r="X245" s="87">
        <v>1.641876</v>
      </c>
      <c r="Y245" s="87">
        <v>1.206133</v>
      </c>
      <c r="Z245" s="87">
        <v>0.0</v>
      </c>
      <c r="AA245" s="87">
        <v>3.523947</v>
      </c>
      <c r="AB245" s="87">
        <v>3.596005</v>
      </c>
      <c r="AC245" s="87">
        <v>3.729674</v>
      </c>
      <c r="AD245" s="87">
        <v>1.434963</v>
      </c>
      <c r="AE245" s="87">
        <v>1.887571</v>
      </c>
      <c r="AF245" s="87">
        <v>2.971249</v>
      </c>
      <c r="AG245" s="87">
        <v>3.364223</v>
      </c>
      <c r="AH245" s="87">
        <v>0.0</v>
      </c>
      <c r="AI245" s="87">
        <v>3.153554</v>
      </c>
      <c r="AJ245" s="87">
        <v>2.659628</v>
      </c>
      <c r="AK245" s="87">
        <v>3.729674</v>
      </c>
      <c r="AL245" s="88" t="s">
        <v>1396</v>
      </c>
    </row>
    <row r="246">
      <c r="A246" s="84" t="s">
        <v>1700</v>
      </c>
      <c r="B246" s="84" t="s">
        <v>1724</v>
      </c>
      <c r="C246" s="84" t="s">
        <v>213</v>
      </c>
      <c r="D246" s="84" t="s">
        <v>1719</v>
      </c>
      <c r="E246" s="89">
        <v>46300.0</v>
      </c>
      <c r="F246" s="87">
        <v>12.0</v>
      </c>
      <c r="G246" s="87">
        <v>1.0</v>
      </c>
      <c r="H246" s="87">
        <v>14781.0</v>
      </c>
      <c r="I246" s="87">
        <v>1.0</v>
      </c>
      <c r="J246" s="87">
        <v>183.5221</v>
      </c>
      <c r="K246" s="87">
        <v>191.32</v>
      </c>
      <c r="L246" s="87">
        <v>196.5104</v>
      </c>
      <c r="M246" s="87">
        <v>170.7088</v>
      </c>
      <c r="N246" s="87">
        <v>0.892269</v>
      </c>
      <c r="O246" s="87">
        <v>0.0</v>
      </c>
      <c r="P246" s="87">
        <v>0.0</v>
      </c>
      <c r="Q246" s="87">
        <v>0.0</v>
      </c>
      <c r="R246" s="87">
        <v>2.806847</v>
      </c>
      <c r="S246" s="87">
        <v>9.130591</v>
      </c>
      <c r="T246" s="87">
        <v>0.333333</v>
      </c>
      <c r="U246" s="87">
        <v>2.061385</v>
      </c>
      <c r="V246" s="87">
        <v>2.806847</v>
      </c>
      <c r="W246" s="87">
        <v>9.130591</v>
      </c>
      <c r="X246" s="87">
        <v>18.9345</v>
      </c>
      <c r="Y246" s="87">
        <v>15.94333</v>
      </c>
      <c r="Z246" s="87">
        <v>0.0</v>
      </c>
      <c r="AA246" s="87">
        <v>3.523947</v>
      </c>
      <c r="AB246" s="87">
        <v>3.596005</v>
      </c>
      <c r="AC246" s="87">
        <v>3.729674</v>
      </c>
      <c r="AD246" s="87">
        <v>0.0</v>
      </c>
      <c r="AE246" s="87">
        <v>7.742624</v>
      </c>
      <c r="AF246" s="87">
        <v>7.065822</v>
      </c>
      <c r="AG246" s="87">
        <v>7.003223</v>
      </c>
      <c r="AH246" s="87">
        <v>0.0</v>
      </c>
      <c r="AI246" s="87">
        <v>3.153554</v>
      </c>
      <c r="AJ246" s="87">
        <v>2.659628</v>
      </c>
      <c r="AK246" s="87">
        <v>3.729674</v>
      </c>
      <c r="AL246" s="88" t="s">
        <v>1396</v>
      </c>
    </row>
    <row r="247">
      <c r="A247" s="84" t="s">
        <v>1702</v>
      </c>
      <c r="B247" s="84" t="s">
        <v>1725</v>
      </c>
      <c r="C247" s="84" t="s">
        <v>213</v>
      </c>
      <c r="D247" s="84" t="s">
        <v>1719</v>
      </c>
      <c r="E247" s="84" t="s">
        <v>1403</v>
      </c>
      <c r="F247" s="87">
        <v>44.0</v>
      </c>
      <c r="G247" s="87">
        <v>0.0</v>
      </c>
      <c r="H247" s="87">
        <v>0.0</v>
      </c>
      <c r="I247" s="87">
        <v>0.0</v>
      </c>
      <c r="J247" s="87">
        <v>0.0</v>
      </c>
      <c r="K247" s="87">
        <v>0.0</v>
      </c>
      <c r="L247" s="87">
        <v>0.0</v>
      </c>
      <c r="M247" s="87">
        <v>0.0</v>
      </c>
      <c r="N247" s="87">
        <v>0.0</v>
      </c>
      <c r="O247" s="87">
        <v>0.0</v>
      </c>
      <c r="P247" s="87">
        <v>0.0</v>
      </c>
      <c r="Q247" s="87">
        <v>0.0</v>
      </c>
      <c r="R247" s="87">
        <v>0.0</v>
      </c>
      <c r="S247" s="87">
        <v>0.0</v>
      </c>
      <c r="T247" s="87">
        <v>0.0</v>
      </c>
      <c r="U247" s="87">
        <v>0.0</v>
      </c>
      <c r="V247" s="87">
        <v>0.0</v>
      </c>
      <c r="W247" s="87">
        <v>0.0</v>
      </c>
      <c r="X247" s="87">
        <v>0.0</v>
      </c>
      <c r="Y247" s="87">
        <v>0.0</v>
      </c>
      <c r="Z247" s="87">
        <v>0.0</v>
      </c>
      <c r="AA247" s="87">
        <v>3.523947</v>
      </c>
      <c r="AB247" s="87">
        <v>3.596005</v>
      </c>
      <c r="AC247" s="87">
        <v>3.729674</v>
      </c>
      <c r="AD247" s="87">
        <v>0.0</v>
      </c>
      <c r="AE247" s="87">
        <v>0.0</v>
      </c>
      <c r="AF247" s="87">
        <v>0.0</v>
      </c>
      <c r="AG247" s="87">
        <v>0.0</v>
      </c>
      <c r="AH247" s="87">
        <v>0.0</v>
      </c>
      <c r="AI247" s="87">
        <v>3.153554</v>
      </c>
      <c r="AJ247" s="87">
        <v>2.659628</v>
      </c>
      <c r="AK247" s="87">
        <v>3.729674</v>
      </c>
      <c r="AL247" s="88" t="s">
        <v>1396</v>
      </c>
    </row>
    <row r="248">
      <c r="A248" s="84" t="s">
        <v>1690</v>
      </c>
      <c r="B248" s="84" t="s">
        <v>1726</v>
      </c>
      <c r="C248" s="84" t="s">
        <v>213</v>
      </c>
      <c r="D248" s="84" t="s">
        <v>861</v>
      </c>
      <c r="E248" s="84" t="s">
        <v>1426</v>
      </c>
      <c r="F248" s="87">
        <v>2.0</v>
      </c>
      <c r="G248" s="87">
        <v>0.0</v>
      </c>
      <c r="H248" s="87">
        <v>9198.0</v>
      </c>
      <c r="I248" s="87">
        <v>0.0</v>
      </c>
      <c r="J248" s="87">
        <v>80.238</v>
      </c>
      <c r="K248" s="87">
        <v>90.61589</v>
      </c>
      <c r="L248" s="87">
        <v>88.27494</v>
      </c>
      <c r="M248" s="87">
        <v>80.83955</v>
      </c>
      <c r="N248" s="87">
        <v>0.892112</v>
      </c>
      <c r="O248" s="87">
        <v>9.776338</v>
      </c>
      <c r="P248" s="87">
        <v>9.776338</v>
      </c>
      <c r="Q248" s="87">
        <v>9.776338</v>
      </c>
      <c r="R248" s="87">
        <v>80.83955</v>
      </c>
      <c r="S248" s="87">
        <v>80.83955</v>
      </c>
      <c r="T248" s="87">
        <v>9.776338</v>
      </c>
      <c r="U248" s="87">
        <v>9.776338</v>
      </c>
      <c r="V248" s="87">
        <v>9.776338</v>
      </c>
      <c r="W248" s="87">
        <v>80.83955</v>
      </c>
      <c r="X248" s="87">
        <v>80.83955</v>
      </c>
      <c r="Y248" s="87">
        <v>45.30794</v>
      </c>
      <c r="Z248" s="87">
        <v>0.0</v>
      </c>
      <c r="AA248" s="87">
        <v>2.357458</v>
      </c>
      <c r="AB248" s="87">
        <v>2.658172</v>
      </c>
      <c r="AC248" s="87">
        <v>6.288573</v>
      </c>
      <c r="AD248" s="87">
        <v>0.0</v>
      </c>
      <c r="AE248" s="87">
        <v>10.98637</v>
      </c>
      <c r="AF248" s="87">
        <v>7.658325</v>
      </c>
      <c r="AG248" s="87">
        <v>3.561157</v>
      </c>
      <c r="AH248" s="87">
        <v>0.0</v>
      </c>
      <c r="AI248" s="87">
        <v>3.153554</v>
      </c>
      <c r="AJ248" s="87">
        <v>2.659628</v>
      </c>
      <c r="AK248" s="87">
        <v>3.729674</v>
      </c>
      <c r="AL248" s="88" t="s">
        <v>1396</v>
      </c>
    </row>
    <row r="249">
      <c r="A249" s="84" t="s">
        <v>1692</v>
      </c>
      <c r="B249" s="84" t="s">
        <v>1727</v>
      </c>
      <c r="C249" s="84" t="s">
        <v>213</v>
      </c>
      <c r="D249" s="84" t="s">
        <v>861</v>
      </c>
      <c r="E249" s="86">
        <v>46310.0</v>
      </c>
      <c r="F249" s="87">
        <v>13.0</v>
      </c>
      <c r="G249" s="87">
        <v>0.0</v>
      </c>
      <c r="H249" s="87">
        <v>4827.0</v>
      </c>
      <c r="I249" s="87">
        <v>0.0</v>
      </c>
      <c r="J249" s="87">
        <v>44.85018</v>
      </c>
      <c r="K249" s="87">
        <v>56.00414</v>
      </c>
      <c r="L249" s="87">
        <v>57.94043</v>
      </c>
      <c r="M249" s="87">
        <v>35.79052</v>
      </c>
      <c r="N249" s="87">
        <v>0.639069</v>
      </c>
      <c r="O249" s="87">
        <v>0.0</v>
      </c>
      <c r="P249" s="87">
        <v>0.0</v>
      </c>
      <c r="Q249" s="87">
        <v>0.25</v>
      </c>
      <c r="R249" s="87">
        <v>2.478712</v>
      </c>
      <c r="S249" s="87">
        <v>8.328297</v>
      </c>
      <c r="T249" s="87">
        <v>0.5</v>
      </c>
      <c r="U249" s="87">
        <v>2.46565</v>
      </c>
      <c r="V249" s="87">
        <v>2.478712</v>
      </c>
      <c r="W249" s="87">
        <v>3.423265</v>
      </c>
      <c r="X249" s="87">
        <v>9.59955</v>
      </c>
      <c r="Y249" s="87">
        <v>4.308011</v>
      </c>
      <c r="Z249" s="87">
        <v>0.0</v>
      </c>
      <c r="AA249" s="87">
        <v>2.357458</v>
      </c>
      <c r="AB249" s="87">
        <v>2.658172</v>
      </c>
      <c r="AC249" s="87">
        <v>6.288573</v>
      </c>
      <c r="AD249" s="87">
        <v>2.767696</v>
      </c>
      <c r="AE249" s="87">
        <v>3.700099</v>
      </c>
      <c r="AF249" s="87">
        <v>5.497015</v>
      </c>
      <c r="AG249" s="87">
        <v>4.308011</v>
      </c>
      <c r="AH249" s="87">
        <v>0.0</v>
      </c>
      <c r="AI249" s="87">
        <v>3.153554</v>
      </c>
      <c r="AJ249" s="87">
        <v>2.659628</v>
      </c>
      <c r="AK249" s="87">
        <v>3.729674</v>
      </c>
      <c r="AL249" s="88" t="s">
        <v>1396</v>
      </c>
    </row>
    <row r="250">
      <c r="A250" s="84" t="s">
        <v>1694</v>
      </c>
      <c r="B250" s="84" t="s">
        <v>1728</v>
      </c>
      <c r="C250" s="84" t="s">
        <v>213</v>
      </c>
      <c r="D250" s="84" t="s">
        <v>861</v>
      </c>
      <c r="E250" s="84" t="s">
        <v>1413</v>
      </c>
      <c r="F250" s="87">
        <v>18.0</v>
      </c>
      <c r="G250" s="87">
        <v>0.0</v>
      </c>
      <c r="H250" s="87">
        <v>8879.0</v>
      </c>
      <c r="I250" s="87">
        <v>0.0</v>
      </c>
      <c r="J250" s="87">
        <v>160.6766</v>
      </c>
      <c r="K250" s="87">
        <v>152.7079</v>
      </c>
      <c r="L250" s="87">
        <v>153.6135</v>
      </c>
      <c r="M250" s="87">
        <v>130.8127</v>
      </c>
      <c r="N250" s="87">
        <v>0.85662</v>
      </c>
      <c r="O250" s="87">
        <v>0.0</v>
      </c>
      <c r="P250" s="87">
        <v>0.0</v>
      </c>
      <c r="Q250" s="87">
        <v>0.707528</v>
      </c>
      <c r="R250" s="87">
        <v>1.766643</v>
      </c>
      <c r="S250" s="87">
        <v>3.273316</v>
      </c>
      <c r="T250" s="87">
        <v>0.707528</v>
      </c>
      <c r="U250" s="87">
        <v>1.04306</v>
      </c>
      <c r="V250" s="87">
        <v>1.560136</v>
      </c>
      <c r="W250" s="87">
        <v>2.487903</v>
      </c>
      <c r="X250" s="87">
        <v>7.366123</v>
      </c>
      <c r="Y250" s="87">
        <v>8.483774</v>
      </c>
      <c r="Z250" s="87">
        <v>0.0</v>
      </c>
      <c r="AA250" s="87">
        <v>2.357458</v>
      </c>
      <c r="AB250" s="87">
        <v>2.658172</v>
      </c>
      <c r="AC250" s="87">
        <v>6.288573</v>
      </c>
      <c r="AD250" s="87">
        <v>2.486621</v>
      </c>
      <c r="AE250" s="87">
        <v>3.754754</v>
      </c>
      <c r="AF250" s="87">
        <v>6.282947</v>
      </c>
      <c r="AG250" s="87">
        <v>5.349321</v>
      </c>
      <c r="AH250" s="87">
        <v>0.0</v>
      </c>
      <c r="AI250" s="87">
        <v>3.153554</v>
      </c>
      <c r="AJ250" s="87">
        <v>2.659628</v>
      </c>
      <c r="AK250" s="87">
        <v>3.729674</v>
      </c>
      <c r="AL250" s="88" t="s">
        <v>1396</v>
      </c>
    </row>
    <row r="251">
      <c r="A251" s="84" t="s">
        <v>1696</v>
      </c>
      <c r="B251" s="84" t="s">
        <v>1729</v>
      </c>
      <c r="C251" s="84" t="s">
        <v>213</v>
      </c>
      <c r="D251" s="84" t="s">
        <v>861</v>
      </c>
      <c r="E251" s="84" t="s">
        <v>1398</v>
      </c>
      <c r="F251" s="87">
        <v>18.0</v>
      </c>
      <c r="G251" s="87">
        <v>0.0</v>
      </c>
      <c r="H251" s="87">
        <v>9492.0</v>
      </c>
      <c r="I251" s="87">
        <v>0.0</v>
      </c>
      <c r="J251" s="87">
        <v>106.1831</v>
      </c>
      <c r="K251" s="87">
        <v>113.1943</v>
      </c>
      <c r="L251" s="87">
        <v>115.8782</v>
      </c>
      <c r="M251" s="87">
        <v>83.97189</v>
      </c>
      <c r="N251" s="87">
        <v>0.741838</v>
      </c>
      <c r="O251" s="87">
        <v>0.0</v>
      </c>
      <c r="P251" s="87">
        <v>0.2</v>
      </c>
      <c r="Q251" s="87">
        <v>0.374199</v>
      </c>
      <c r="R251" s="87">
        <v>1.766523</v>
      </c>
      <c r="S251" s="87">
        <v>8.228545</v>
      </c>
      <c r="T251" s="87">
        <v>0.364983</v>
      </c>
      <c r="U251" s="87">
        <v>0.521149</v>
      </c>
      <c r="V251" s="87">
        <v>1.277541</v>
      </c>
      <c r="W251" s="87">
        <v>2.421635</v>
      </c>
      <c r="X251" s="87">
        <v>9.440832</v>
      </c>
      <c r="Y251" s="87">
        <v>6.288573</v>
      </c>
      <c r="Z251" s="87">
        <v>0.0</v>
      </c>
      <c r="AA251" s="87">
        <v>2.357458</v>
      </c>
      <c r="AB251" s="87">
        <v>2.658172</v>
      </c>
      <c r="AC251" s="87">
        <v>6.288573</v>
      </c>
      <c r="AD251" s="87">
        <v>2.833972</v>
      </c>
      <c r="AE251" s="87">
        <v>4.209152</v>
      </c>
      <c r="AF251" s="87">
        <v>6.771816</v>
      </c>
      <c r="AG251" s="87">
        <v>6.288573</v>
      </c>
      <c r="AH251" s="87">
        <v>0.0</v>
      </c>
      <c r="AI251" s="87">
        <v>3.153554</v>
      </c>
      <c r="AJ251" s="87">
        <v>2.659628</v>
      </c>
      <c r="AK251" s="87">
        <v>3.729674</v>
      </c>
      <c r="AL251" s="88" t="s">
        <v>1396</v>
      </c>
    </row>
    <row r="252">
      <c r="A252" s="84" t="s">
        <v>1698</v>
      </c>
      <c r="B252" s="84" t="s">
        <v>1730</v>
      </c>
      <c r="C252" s="84" t="s">
        <v>213</v>
      </c>
      <c r="D252" s="84" t="s">
        <v>861</v>
      </c>
      <c r="E252" s="84" t="s">
        <v>1400</v>
      </c>
      <c r="F252" s="87">
        <v>26.0</v>
      </c>
      <c r="G252" s="87">
        <v>1.0</v>
      </c>
      <c r="H252" s="87">
        <v>8558.0</v>
      </c>
      <c r="I252" s="87">
        <v>53.0</v>
      </c>
      <c r="J252" s="87">
        <v>80.77441</v>
      </c>
      <c r="K252" s="87">
        <v>87.4698</v>
      </c>
      <c r="L252" s="87">
        <v>77.57933</v>
      </c>
      <c r="M252" s="87">
        <v>68.45568</v>
      </c>
      <c r="N252" s="87">
        <v>0.782621</v>
      </c>
      <c r="O252" s="87">
        <v>0.1</v>
      </c>
      <c r="P252" s="87">
        <v>0.265591</v>
      </c>
      <c r="Q252" s="87">
        <v>0.634596</v>
      </c>
      <c r="R252" s="87">
        <v>1.266508</v>
      </c>
      <c r="S252" s="87">
        <v>2.140635</v>
      </c>
      <c r="T252" s="87">
        <v>0.18799</v>
      </c>
      <c r="U252" s="87">
        <v>0.34058</v>
      </c>
      <c r="V252" s="87">
        <v>0.964125</v>
      </c>
      <c r="W252" s="87">
        <v>1.381101</v>
      </c>
      <c r="X252" s="87">
        <v>2.140635</v>
      </c>
      <c r="Y252" s="87">
        <v>3.364223</v>
      </c>
      <c r="Z252" s="87">
        <v>0.0</v>
      </c>
      <c r="AA252" s="87">
        <v>2.357458</v>
      </c>
      <c r="AB252" s="87">
        <v>2.658172</v>
      </c>
      <c r="AC252" s="87">
        <v>6.288573</v>
      </c>
      <c r="AD252" s="87">
        <v>1.434963</v>
      </c>
      <c r="AE252" s="87">
        <v>1.887571</v>
      </c>
      <c r="AF252" s="87">
        <v>2.971249</v>
      </c>
      <c r="AG252" s="87">
        <v>3.364223</v>
      </c>
      <c r="AH252" s="87">
        <v>0.0</v>
      </c>
      <c r="AI252" s="87">
        <v>3.153554</v>
      </c>
      <c r="AJ252" s="87">
        <v>2.659628</v>
      </c>
      <c r="AK252" s="87">
        <v>3.729674</v>
      </c>
      <c r="AL252" s="88" t="s">
        <v>1396</v>
      </c>
    </row>
    <row r="253">
      <c r="A253" s="84" t="s">
        <v>1700</v>
      </c>
      <c r="B253" s="84" t="s">
        <v>1731</v>
      </c>
      <c r="C253" s="84" t="s">
        <v>213</v>
      </c>
      <c r="D253" s="84" t="s">
        <v>861</v>
      </c>
      <c r="E253" s="86">
        <v>46300.0</v>
      </c>
      <c r="F253" s="87">
        <v>3.0</v>
      </c>
      <c r="G253" s="87">
        <v>0.0</v>
      </c>
      <c r="H253" s="87">
        <v>1441.0</v>
      </c>
      <c r="I253" s="87">
        <v>0.0</v>
      </c>
      <c r="J253" s="87">
        <v>27.63675</v>
      </c>
      <c r="K253" s="87">
        <v>21.00967</v>
      </c>
      <c r="L253" s="87">
        <v>18.7185</v>
      </c>
      <c r="M253" s="87">
        <v>13.81564</v>
      </c>
      <c r="N253" s="87">
        <v>0.657585</v>
      </c>
      <c r="O253" s="87">
        <v>0.0</v>
      </c>
      <c r="P253" s="87">
        <v>0.0</v>
      </c>
      <c r="Q253" s="87">
        <v>0.0</v>
      </c>
      <c r="R253" s="87">
        <v>7.194026</v>
      </c>
      <c r="S253" s="87">
        <v>13.81564</v>
      </c>
      <c r="T253" s="87">
        <v>7.194026</v>
      </c>
      <c r="U253" s="87">
        <v>7.194026</v>
      </c>
      <c r="V253" s="87">
        <v>7.194026</v>
      </c>
      <c r="W253" s="87">
        <v>13.81564</v>
      </c>
      <c r="X253" s="87">
        <v>13.81564</v>
      </c>
      <c r="Y253" s="87">
        <v>7.003223</v>
      </c>
      <c r="Z253" s="87">
        <v>0.0</v>
      </c>
      <c r="AA253" s="87">
        <v>2.357458</v>
      </c>
      <c r="AB253" s="87">
        <v>2.658172</v>
      </c>
      <c r="AC253" s="87">
        <v>6.288573</v>
      </c>
      <c r="AD253" s="87">
        <v>0.0</v>
      </c>
      <c r="AE253" s="87">
        <v>7.742624</v>
      </c>
      <c r="AF253" s="87">
        <v>7.065822</v>
      </c>
      <c r="AG253" s="87">
        <v>7.003223</v>
      </c>
      <c r="AH253" s="87">
        <v>0.0</v>
      </c>
      <c r="AI253" s="87">
        <v>3.153554</v>
      </c>
      <c r="AJ253" s="87">
        <v>2.659628</v>
      </c>
      <c r="AK253" s="87">
        <v>3.729674</v>
      </c>
      <c r="AL253" s="88" t="s">
        <v>1396</v>
      </c>
    </row>
    <row r="254">
      <c r="A254" s="84" t="s">
        <v>1702</v>
      </c>
      <c r="B254" s="84" t="s">
        <v>1732</v>
      </c>
      <c r="C254" s="84" t="s">
        <v>213</v>
      </c>
      <c r="D254" s="84" t="s">
        <v>861</v>
      </c>
      <c r="E254" s="84" t="s">
        <v>1403</v>
      </c>
      <c r="F254" s="87">
        <v>116.0</v>
      </c>
      <c r="G254" s="87">
        <v>2.0</v>
      </c>
      <c r="H254" s="87">
        <v>78.0</v>
      </c>
      <c r="I254" s="87">
        <v>78.0</v>
      </c>
      <c r="J254" s="87">
        <v>0.0</v>
      </c>
      <c r="K254" s="87">
        <v>0.0</v>
      </c>
      <c r="L254" s="87">
        <v>0.0</v>
      </c>
      <c r="M254" s="87">
        <v>0.0</v>
      </c>
      <c r="N254" s="87">
        <v>0.0</v>
      </c>
      <c r="O254" s="87">
        <v>0.0</v>
      </c>
      <c r="P254" s="87">
        <v>0.0</v>
      </c>
      <c r="Q254" s="87">
        <v>0.0</v>
      </c>
      <c r="R254" s="87">
        <v>0.0</v>
      </c>
      <c r="S254" s="87">
        <v>0.0</v>
      </c>
      <c r="T254" s="87">
        <v>0.0</v>
      </c>
      <c r="U254" s="87">
        <v>0.0</v>
      </c>
      <c r="V254" s="87">
        <v>0.0</v>
      </c>
      <c r="W254" s="87">
        <v>0.0</v>
      </c>
      <c r="X254" s="87">
        <v>0.0</v>
      </c>
      <c r="Y254" s="87">
        <v>0.0</v>
      </c>
      <c r="Z254" s="87">
        <v>0.0</v>
      </c>
      <c r="AA254" s="87">
        <v>2.357458</v>
      </c>
      <c r="AB254" s="87">
        <v>2.658172</v>
      </c>
      <c r="AC254" s="87">
        <v>6.288573</v>
      </c>
      <c r="AD254" s="87">
        <v>0.0</v>
      </c>
      <c r="AE254" s="87">
        <v>0.0</v>
      </c>
      <c r="AF254" s="87">
        <v>0.0</v>
      </c>
      <c r="AG254" s="87">
        <v>0.0</v>
      </c>
      <c r="AH254" s="87">
        <v>0.0</v>
      </c>
      <c r="AI254" s="87">
        <v>3.153554</v>
      </c>
      <c r="AJ254" s="87">
        <v>2.659628</v>
      </c>
      <c r="AK254" s="87">
        <v>3.729674</v>
      </c>
      <c r="AL254" s="88" t="s">
        <v>1396</v>
      </c>
    </row>
    <row r="255">
      <c r="A255" s="84" t="s">
        <v>1733</v>
      </c>
      <c r="B255" s="84" t="s">
        <v>1734</v>
      </c>
      <c r="C255" s="84" t="s">
        <v>1735</v>
      </c>
      <c r="D255" s="84" t="s">
        <v>1736</v>
      </c>
      <c r="E255" s="84" t="s">
        <v>1403</v>
      </c>
      <c r="F255" s="87">
        <v>1.0</v>
      </c>
      <c r="G255" s="87">
        <v>0.0</v>
      </c>
      <c r="H255" s="87">
        <v>0.0</v>
      </c>
      <c r="I255" s="87">
        <v>0.0</v>
      </c>
      <c r="J255" s="87">
        <v>0.0</v>
      </c>
      <c r="K255" s="87">
        <v>0.0</v>
      </c>
      <c r="L255" s="87">
        <v>0.0</v>
      </c>
      <c r="M255" s="87">
        <v>0.0</v>
      </c>
      <c r="N255" s="87">
        <v>0.0</v>
      </c>
      <c r="O255" s="87">
        <v>0.0</v>
      </c>
      <c r="P255" s="87">
        <v>0.0</v>
      </c>
      <c r="Q255" s="87">
        <v>0.0</v>
      </c>
      <c r="R255" s="87">
        <v>0.0</v>
      </c>
      <c r="S255" s="87">
        <v>0.0</v>
      </c>
      <c r="T255" s="87">
        <v>0.0</v>
      </c>
      <c r="U255" s="87">
        <v>0.0</v>
      </c>
      <c r="V255" s="87">
        <v>0.0</v>
      </c>
      <c r="W255" s="87">
        <v>0.0</v>
      </c>
      <c r="X255" s="87">
        <v>0.0</v>
      </c>
      <c r="Y255" s="87">
        <v>0.0</v>
      </c>
      <c r="Z255" s="87">
        <v>0.0</v>
      </c>
      <c r="AA255" s="87">
        <v>0.0</v>
      </c>
      <c r="AB255" s="87">
        <v>0.0</v>
      </c>
      <c r="AC255" s="87">
        <v>0.0</v>
      </c>
      <c r="AD255" s="87">
        <v>0.0</v>
      </c>
      <c r="AE255" s="87">
        <v>0.0</v>
      </c>
      <c r="AF255" s="87">
        <v>0.0</v>
      </c>
      <c r="AG255" s="87">
        <v>0.0</v>
      </c>
      <c r="AH255" s="87">
        <v>0.0</v>
      </c>
      <c r="AI255" s="87">
        <v>0.0</v>
      </c>
      <c r="AJ255" s="87">
        <v>0.0</v>
      </c>
      <c r="AK255" s="87">
        <v>0.0</v>
      </c>
      <c r="AL255" s="88" t="s">
        <v>1396</v>
      </c>
    </row>
    <row r="256">
      <c r="A256" s="84" t="s">
        <v>1737</v>
      </c>
      <c r="B256" s="84" t="s">
        <v>1737</v>
      </c>
      <c r="C256" s="84" t="s">
        <v>1738</v>
      </c>
      <c r="D256" s="84" t="s">
        <v>1738</v>
      </c>
      <c r="E256" s="84" t="s">
        <v>1403</v>
      </c>
      <c r="F256" s="87">
        <v>1.0</v>
      </c>
      <c r="G256" s="87">
        <v>0.0</v>
      </c>
      <c r="H256" s="87">
        <v>0.0</v>
      </c>
      <c r="I256" s="87">
        <v>0.0</v>
      </c>
      <c r="J256" s="87">
        <v>0.0</v>
      </c>
      <c r="K256" s="87">
        <v>0.0</v>
      </c>
      <c r="L256" s="87">
        <v>0.0</v>
      </c>
      <c r="M256" s="87">
        <v>0.0</v>
      </c>
      <c r="N256" s="87">
        <v>0.0</v>
      </c>
      <c r="O256" s="87">
        <v>0.0</v>
      </c>
      <c r="P256" s="87">
        <v>0.0</v>
      </c>
      <c r="Q256" s="87">
        <v>0.0</v>
      </c>
      <c r="R256" s="87">
        <v>0.0</v>
      </c>
      <c r="S256" s="87">
        <v>0.0</v>
      </c>
      <c r="T256" s="87">
        <v>0.0</v>
      </c>
      <c r="U256" s="87">
        <v>0.0</v>
      </c>
      <c r="V256" s="87">
        <v>0.0</v>
      </c>
      <c r="W256" s="87">
        <v>0.0</v>
      </c>
      <c r="X256" s="87">
        <v>0.0</v>
      </c>
      <c r="Y256" s="87">
        <v>0.0</v>
      </c>
      <c r="Z256" s="87">
        <v>0.0</v>
      </c>
      <c r="AA256" s="87">
        <v>0.0</v>
      </c>
      <c r="AB256" s="87">
        <v>0.0</v>
      </c>
      <c r="AC256" s="87">
        <v>0.0</v>
      </c>
      <c r="AD256" s="87">
        <v>0.0</v>
      </c>
      <c r="AE256" s="87">
        <v>0.0</v>
      </c>
      <c r="AF256" s="87">
        <v>0.0</v>
      </c>
      <c r="AG256" s="87">
        <v>0.0</v>
      </c>
      <c r="AH256" s="87">
        <v>0.0</v>
      </c>
      <c r="AI256" s="87">
        <v>0.0</v>
      </c>
      <c r="AJ256" s="87">
        <v>0.0</v>
      </c>
      <c r="AK256" s="87">
        <v>0.0</v>
      </c>
      <c r="AL256" s="88" t="s">
        <v>1396</v>
      </c>
    </row>
    <row r="257">
      <c r="A257" s="84" t="s">
        <v>1739</v>
      </c>
      <c r="B257" s="84" t="s">
        <v>1740</v>
      </c>
      <c r="C257" s="84" t="s">
        <v>225</v>
      </c>
      <c r="D257" s="84" t="s">
        <v>226</v>
      </c>
      <c r="E257" s="84" t="s">
        <v>1426</v>
      </c>
      <c r="F257" s="87">
        <v>12.0</v>
      </c>
      <c r="G257" s="87">
        <v>0.0</v>
      </c>
      <c r="H257" s="87">
        <v>2176.0</v>
      </c>
      <c r="I257" s="87">
        <v>0.0</v>
      </c>
      <c r="J257" s="87">
        <v>23.39554</v>
      </c>
      <c r="K257" s="87">
        <v>66.31924</v>
      </c>
      <c r="L257" s="87">
        <v>78.17922</v>
      </c>
      <c r="M257" s="87">
        <v>66.31924</v>
      </c>
      <c r="N257" s="87">
        <v>1.0</v>
      </c>
      <c r="O257" s="87">
        <v>0.0</v>
      </c>
      <c r="P257" s="87">
        <v>0.0</v>
      </c>
      <c r="Q257" s="87">
        <v>0.0</v>
      </c>
      <c r="R257" s="87">
        <v>0.0</v>
      </c>
      <c r="S257" s="87">
        <v>0.0</v>
      </c>
      <c r="T257" s="87">
        <v>19.35714</v>
      </c>
      <c r="U257" s="87">
        <v>19.35714</v>
      </c>
      <c r="V257" s="87">
        <v>19.35714</v>
      </c>
      <c r="W257" s="87">
        <v>46.9621</v>
      </c>
      <c r="X257" s="87">
        <v>46.9621</v>
      </c>
      <c r="Y257" s="87">
        <v>5.526603</v>
      </c>
      <c r="Z257" s="87">
        <v>0.0</v>
      </c>
      <c r="AA257" s="87">
        <v>3.714776</v>
      </c>
      <c r="AB257" s="87">
        <v>2.719049</v>
      </c>
      <c r="AC257" s="87">
        <v>4.693674</v>
      </c>
      <c r="AD257" s="87">
        <v>0.0</v>
      </c>
      <c r="AE257" s="87">
        <v>9.400519</v>
      </c>
      <c r="AF257" s="87">
        <v>7.425993</v>
      </c>
      <c r="AG257" s="87">
        <v>1.479105</v>
      </c>
      <c r="AH257" s="87">
        <v>0.0</v>
      </c>
      <c r="AI257" s="87">
        <v>2.924832</v>
      </c>
      <c r="AJ257" s="87">
        <v>3.002164</v>
      </c>
      <c r="AK257" s="87">
        <v>1.479105</v>
      </c>
      <c r="AL257" s="88" t="s">
        <v>1396</v>
      </c>
    </row>
    <row r="258">
      <c r="A258" s="84" t="s">
        <v>1741</v>
      </c>
      <c r="B258" s="84" t="s">
        <v>1742</v>
      </c>
      <c r="C258" s="84" t="s">
        <v>225</v>
      </c>
      <c r="D258" s="84" t="s">
        <v>226</v>
      </c>
      <c r="E258" s="86">
        <v>46310.0</v>
      </c>
      <c r="F258" s="87">
        <v>16.0</v>
      </c>
      <c r="G258" s="87">
        <v>0.0</v>
      </c>
      <c r="H258" s="87">
        <v>8339.0</v>
      </c>
      <c r="I258" s="87">
        <v>0.0</v>
      </c>
      <c r="J258" s="87">
        <v>113.3574</v>
      </c>
      <c r="K258" s="87">
        <v>114.7412</v>
      </c>
      <c r="L258" s="87">
        <v>116.1406</v>
      </c>
      <c r="M258" s="87">
        <v>91.40778</v>
      </c>
      <c r="N258" s="87">
        <v>0.796643</v>
      </c>
      <c r="O258" s="87">
        <v>0.0</v>
      </c>
      <c r="P258" s="87">
        <v>0.0</v>
      </c>
      <c r="Q258" s="87">
        <v>0.0</v>
      </c>
      <c r="R258" s="87">
        <v>3.714776</v>
      </c>
      <c r="S258" s="87">
        <v>5.815413</v>
      </c>
      <c r="T258" s="87">
        <v>3.669047</v>
      </c>
      <c r="U258" s="87">
        <v>3.714776</v>
      </c>
      <c r="V258" s="87">
        <v>4.524037</v>
      </c>
      <c r="W258" s="87">
        <v>5.815413</v>
      </c>
      <c r="X258" s="87">
        <v>11.88209</v>
      </c>
      <c r="Y258" s="87">
        <v>7.171323</v>
      </c>
      <c r="Z258" s="87">
        <v>0.0</v>
      </c>
      <c r="AA258" s="87">
        <v>3.714776</v>
      </c>
      <c r="AB258" s="87">
        <v>2.719049</v>
      </c>
      <c r="AC258" s="87">
        <v>4.693674</v>
      </c>
      <c r="AD258" s="87">
        <v>2.708225</v>
      </c>
      <c r="AE258" s="87">
        <v>3.714776</v>
      </c>
      <c r="AF258" s="87">
        <v>4.615439</v>
      </c>
      <c r="AG258" s="87">
        <v>4.09808</v>
      </c>
      <c r="AH258" s="87">
        <v>0.0</v>
      </c>
      <c r="AI258" s="87">
        <v>2.924832</v>
      </c>
      <c r="AJ258" s="87">
        <v>3.002164</v>
      </c>
      <c r="AK258" s="87">
        <v>1.479105</v>
      </c>
      <c r="AL258" s="88" t="s">
        <v>1396</v>
      </c>
    </row>
    <row r="259">
      <c r="A259" s="84" t="s">
        <v>1743</v>
      </c>
      <c r="B259" s="84" t="s">
        <v>1744</v>
      </c>
      <c r="C259" s="84" t="s">
        <v>225</v>
      </c>
      <c r="D259" s="84" t="s">
        <v>226</v>
      </c>
      <c r="E259" s="84" t="s">
        <v>1413</v>
      </c>
      <c r="F259" s="87">
        <v>9.0</v>
      </c>
      <c r="G259" s="87">
        <v>0.0</v>
      </c>
      <c r="H259" s="87">
        <v>2528.0</v>
      </c>
      <c r="I259" s="87">
        <v>0.0</v>
      </c>
      <c r="J259" s="87">
        <v>30.90143</v>
      </c>
      <c r="K259" s="87">
        <v>34.10735</v>
      </c>
      <c r="L259" s="87">
        <v>42.63538</v>
      </c>
      <c r="M259" s="87">
        <v>23.60008</v>
      </c>
      <c r="N259" s="87">
        <v>0.691935</v>
      </c>
      <c r="O259" s="87">
        <v>0.0</v>
      </c>
      <c r="P259" s="87">
        <v>0.066667</v>
      </c>
      <c r="Q259" s="87">
        <v>0.124074</v>
      </c>
      <c r="R259" s="87">
        <v>0.5</v>
      </c>
      <c r="S259" s="87">
        <v>8.182044</v>
      </c>
      <c r="T259" s="87">
        <v>0.066667</v>
      </c>
      <c r="U259" s="87">
        <v>0.124074</v>
      </c>
      <c r="V259" s="87">
        <v>0.134483</v>
      </c>
      <c r="W259" s="87">
        <v>1.5</v>
      </c>
      <c r="X259" s="87">
        <v>8.182044</v>
      </c>
      <c r="Y259" s="87">
        <v>3.789706</v>
      </c>
      <c r="Z259" s="87">
        <v>0.0</v>
      </c>
      <c r="AA259" s="87">
        <v>3.714776</v>
      </c>
      <c r="AB259" s="87">
        <v>2.719049</v>
      </c>
      <c r="AC259" s="87">
        <v>4.693674</v>
      </c>
      <c r="AD259" s="87">
        <v>1.5</v>
      </c>
      <c r="AE259" s="87">
        <v>1.961863</v>
      </c>
      <c r="AF259" s="87">
        <v>5.06927</v>
      </c>
      <c r="AG259" s="87">
        <v>3.687752</v>
      </c>
      <c r="AH259" s="87">
        <v>0.0</v>
      </c>
      <c r="AI259" s="87">
        <v>2.924832</v>
      </c>
      <c r="AJ259" s="87">
        <v>3.002164</v>
      </c>
      <c r="AK259" s="87">
        <v>1.479105</v>
      </c>
      <c r="AL259" s="88" t="s">
        <v>1396</v>
      </c>
    </row>
    <row r="260">
      <c r="A260" s="84" t="s">
        <v>1745</v>
      </c>
      <c r="B260" s="84" t="s">
        <v>1746</v>
      </c>
      <c r="C260" s="84" t="s">
        <v>225</v>
      </c>
      <c r="D260" s="84" t="s">
        <v>226</v>
      </c>
      <c r="E260" s="84" t="s">
        <v>1398</v>
      </c>
      <c r="F260" s="87">
        <v>17.0</v>
      </c>
      <c r="G260" s="87">
        <v>0.0</v>
      </c>
      <c r="H260" s="87">
        <v>9798.0</v>
      </c>
      <c r="I260" s="87">
        <v>0.0</v>
      </c>
      <c r="J260" s="87">
        <v>97.7052</v>
      </c>
      <c r="K260" s="87">
        <v>121.5409</v>
      </c>
      <c r="L260" s="87">
        <v>114.7413</v>
      </c>
      <c r="M260" s="87">
        <v>69.62182</v>
      </c>
      <c r="N260" s="87">
        <v>0.572826</v>
      </c>
      <c r="O260" s="87">
        <v>0.233333</v>
      </c>
      <c r="P260" s="87">
        <v>0.910545</v>
      </c>
      <c r="Q260" s="87">
        <v>2.861306</v>
      </c>
      <c r="R260" s="87">
        <v>4.836024</v>
      </c>
      <c r="S260" s="87">
        <v>10.16677</v>
      </c>
      <c r="T260" s="87">
        <v>0.616093</v>
      </c>
      <c r="U260" s="87">
        <v>1.502459</v>
      </c>
      <c r="V260" s="87">
        <v>2.861306</v>
      </c>
      <c r="W260" s="87">
        <v>6.004917</v>
      </c>
      <c r="X260" s="87">
        <v>11.24788</v>
      </c>
      <c r="Y260" s="87">
        <v>7.149465</v>
      </c>
      <c r="Z260" s="87">
        <v>0.0</v>
      </c>
      <c r="AA260" s="87">
        <v>3.714776</v>
      </c>
      <c r="AB260" s="87">
        <v>2.719049</v>
      </c>
      <c r="AC260" s="87">
        <v>4.693674</v>
      </c>
      <c r="AD260" s="87">
        <v>1.871809</v>
      </c>
      <c r="AE260" s="87">
        <v>2.939022</v>
      </c>
      <c r="AF260" s="87">
        <v>4.92713</v>
      </c>
      <c r="AG260" s="87">
        <v>1.405013</v>
      </c>
      <c r="AH260" s="87">
        <v>0.0</v>
      </c>
      <c r="AI260" s="87">
        <v>2.924832</v>
      </c>
      <c r="AJ260" s="87">
        <v>3.002164</v>
      </c>
      <c r="AK260" s="87">
        <v>1.479105</v>
      </c>
      <c r="AL260" s="88" t="s">
        <v>1396</v>
      </c>
    </row>
    <row r="261">
      <c r="A261" s="84" t="s">
        <v>1747</v>
      </c>
      <c r="B261" s="84" t="s">
        <v>1748</v>
      </c>
      <c r="C261" s="84" t="s">
        <v>225</v>
      </c>
      <c r="D261" s="84" t="s">
        <v>226</v>
      </c>
      <c r="E261" s="84" t="s">
        <v>1400</v>
      </c>
      <c r="F261" s="87">
        <v>16.0</v>
      </c>
      <c r="G261" s="87">
        <v>0.0</v>
      </c>
      <c r="H261" s="87">
        <v>12871.0</v>
      </c>
      <c r="I261" s="87">
        <v>0.0</v>
      </c>
      <c r="J261" s="87">
        <v>77.97087</v>
      </c>
      <c r="K261" s="87">
        <v>75.09879</v>
      </c>
      <c r="L261" s="87">
        <v>76.82695</v>
      </c>
      <c r="M261" s="87">
        <v>65.95674</v>
      </c>
      <c r="N261" s="87">
        <v>0.878266</v>
      </c>
      <c r="O261" s="87">
        <v>0.0</v>
      </c>
      <c r="P261" s="87">
        <v>0.0</v>
      </c>
      <c r="Q261" s="87">
        <v>0.2</v>
      </c>
      <c r="R261" s="87">
        <v>0.976923</v>
      </c>
      <c r="S261" s="87">
        <v>3.159863</v>
      </c>
      <c r="T261" s="87">
        <v>0.431183</v>
      </c>
      <c r="U261" s="87">
        <v>0.465591</v>
      </c>
      <c r="V261" s="87">
        <v>0.481962</v>
      </c>
      <c r="W261" s="87">
        <v>2.226814</v>
      </c>
      <c r="X261" s="87">
        <v>4.426995</v>
      </c>
      <c r="Y261" s="87">
        <v>4.693674</v>
      </c>
      <c r="Z261" s="87">
        <v>0.0</v>
      </c>
      <c r="AA261" s="87">
        <v>3.714776</v>
      </c>
      <c r="AB261" s="87">
        <v>2.719049</v>
      </c>
      <c r="AC261" s="87">
        <v>4.693674</v>
      </c>
      <c r="AD261" s="87">
        <v>0.481962</v>
      </c>
      <c r="AE261" s="87">
        <v>1.188351</v>
      </c>
      <c r="AF261" s="87">
        <v>2.536387</v>
      </c>
      <c r="AG261" s="87">
        <v>1.210274</v>
      </c>
      <c r="AH261" s="87">
        <v>0.0</v>
      </c>
      <c r="AI261" s="87">
        <v>2.924832</v>
      </c>
      <c r="AJ261" s="87">
        <v>3.002164</v>
      </c>
      <c r="AK261" s="87">
        <v>1.479105</v>
      </c>
      <c r="AL261" s="88" t="s">
        <v>1396</v>
      </c>
    </row>
    <row r="262">
      <c r="A262" s="84" t="s">
        <v>1749</v>
      </c>
      <c r="B262" s="84" t="s">
        <v>1750</v>
      </c>
      <c r="C262" s="84" t="s">
        <v>225</v>
      </c>
      <c r="D262" s="84" t="s">
        <v>226</v>
      </c>
      <c r="E262" s="89">
        <v>46300.0</v>
      </c>
      <c r="F262" s="87">
        <v>21.0</v>
      </c>
      <c r="G262" s="87">
        <v>0.0</v>
      </c>
      <c r="H262" s="87">
        <v>7083.0</v>
      </c>
      <c r="I262" s="87">
        <v>0.0</v>
      </c>
      <c r="J262" s="87">
        <v>92.08841</v>
      </c>
      <c r="K262" s="87">
        <v>91.2167</v>
      </c>
      <c r="L262" s="87">
        <v>97.14149</v>
      </c>
      <c r="M262" s="87">
        <v>81.26395</v>
      </c>
      <c r="N262" s="87">
        <v>0.890889</v>
      </c>
      <c r="O262" s="87">
        <v>0.0</v>
      </c>
      <c r="P262" s="87">
        <v>0.0</v>
      </c>
      <c r="Q262" s="87">
        <v>0.366667</v>
      </c>
      <c r="R262" s="87">
        <v>0.825485</v>
      </c>
      <c r="S262" s="87">
        <v>1.523779</v>
      </c>
      <c r="T262" s="87">
        <v>0.597645</v>
      </c>
      <c r="U262" s="87">
        <v>0.75317</v>
      </c>
      <c r="V262" s="87">
        <v>0.825485</v>
      </c>
      <c r="W262" s="87">
        <v>1.340073</v>
      </c>
      <c r="X262" s="87">
        <v>3.196441</v>
      </c>
      <c r="Y262" s="87">
        <v>4.343652</v>
      </c>
      <c r="Z262" s="87">
        <v>0.0</v>
      </c>
      <c r="AA262" s="87">
        <v>3.714776</v>
      </c>
      <c r="AB262" s="87">
        <v>2.719049</v>
      </c>
      <c r="AC262" s="87">
        <v>4.693674</v>
      </c>
      <c r="AD262" s="87">
        <v>1.105039</v>
      </c>
      <c r="AE262" s="87">
        <v>2.815647</v>
      </c>
      <c r="AF262" s="87">
        <v>5.950167</v>
      </c>
      <c r="AG262" s="87">
        <v>4.993988</v>
      </c>
      <c r="AH262" s="87">
        <v>0.0</v>
      </c>
      <c r="AI262" s="87">
        <v>2.924832</v>
      </c>
      <c r="AJ262" s="87">
        <v>3.002164</v>
      </c>
      <c r="AK262" s="87">
        <v>1.479105</v>
      </c>
      <c r="AL262" s="88" t="s">
        <v>1396</v>
      </c>
    </row>
    <row r="263">
      <c r="A263" s="84" t="s">
        <v>1751</v>
      </c>
      <c r="B263" s="84" t="s">
        <v>1752</v>
      </c>
      <c r="C263" s="84" t="s">
        <v>225</v>
      </c>
      <c r="D263" s="84" t="s">
        <v>226</v>
      </c>
      <c r="E263" s="84" t="s">
        <v>1403</v>
      </c>
      <c r="F263" s="87">
        <v>94.0</v>
      </c>
      <c r="G263" s="87">
        <v>1.0</v>
      </c>
      <c r="H263" s="87">
        <v>264.0</v>
      </c>
      <c r="I263" s="87">
        <v>264.0</v>
      </c>
      <c r="J263" s="87">
        <v>0.0</v>
      </c>
      <c r="K263" s="87">
        <v>0.0</v>
      </c>
      <c r="L263" s="87">
        <v>0.0</v>
      </c>
      <c r="M263" s="87">
        <v>0.0</v>
      </c>
      <c r="N263" s="87">
        <v>0.0</v>
      </c>
      <c r="O263" s="87">
        <v>0.0</v>
      </c>
      <c r="P263" s="87">
        <v>0.0</v>
      </c>
      <c r="Q263" s="87">
        <v>0.0</v>
      </c>
      <c r="R263" s="87">
        <v>0.0</v>
      </c>
      <c r="S263" s="87">
        <v>0.0</v>
      </c>
      <c r="T263" s="87">
        <v>0.0</v>
      </c>
      <c r="U263" s="87">
        <v>0.0</v>
      </c>
      <c r="V263" s="87">
        <v>0.0</v>
      </c>
      <c r="W263" s="87">
        <v>0.0</v>
      </c>
      <c r="X263" s="87">
        <v>0.0</v>
      </c>
      <c r="Y263" s="87">
        <v>0.0</v>
      </c>
      <c r="Z263" s="87">
        <v>0.0</v>
      </c>
      <c r="AA263" s="87">
        <v>3.714776</v>
      </c>
      <c r="AB263" s="87">
        <v>2.719049</v>
      </c>
      <c r="AC263" s="87">
        <v>4.693674</v>
      </c>
      <c r="AD263" s="87">
        <v>0.0</v>
      </c>
      <c r="AE263" s="87">
        <v>0.0</v>
      </c>
      <c r="AF263" s="87">
        <v>0.0</v>
      </c>
      <c r="AG263" s="87">
        <v>0.0</v>
      </c>
      <c r="AH263" s="87">
        <v>0.0</v>
      </c>
      <c r="AI263" s="87">
        <v>2.924832</v>
      </c>
      <c r="AJ263" s="87">
        <v>3.002164</v>
      </c>
      <c r="AK263" s="87">
        <v>1.479105</v>
      </c>
      <c r="AL263" s="88" t="s">
        <v>1396</v>
      </c>
    </row>
    <row r="264">
      <c r="A264" s="84" t="s">
        <v>1739</v>
      </c>
      <c r="B264" s="84" t="s">
        <v>1753</v>
      </c>
      <c r="C264" s="84" t="s">
        <v>225</v>
      </c>
      <c r="D264" s="84" t="s">
        <v>1754</v>
      </c>
      <c r="E264" s="84" t="s">
        <v>1426</v>
      </c>
      <c r="F264" s="87">
        <v>8.0</v>
      </c>
      <c r="G264" s="87">
        <v>0.0</v>
      </c>
      <c r="H264" s="87">
        <v>377.0</v>
      </c>
      <c r="I264" s="87">
        <v>0.0</v>
      </c>
      <c r="J264" s="87">
        <v>4.679665</v>
      </c>
      <c r="K264" s="87">
        <v>4.983831</v>
      </c>
      <c r="L264" s="87">
        <v>5.910551</v>
      </c>
      <c r="M264" s="87">
        <v>4.983831</v>
      </c>
      <c r="N264" s="87">
        <v>1.0</v>
      </c>
      <c r="O264" s="87">
        <v>0.0</v>
      </c>
      <c r="P264" s="87">
        <v>0.0</v>
      </c>
      <c r="Q264" s="87">
        <v>0.0</v>
      </c>
      <c r="R264" s="87">
        <v>0.0</v>
      </c>
      <c r="S264" s="87">
        <v>0.0</v>
      </c>
      <c r="T264" s="87">
        <v>0.066667</v>
      </c>
      <c r="U264" s="87">
        <v>0.066667</v>
      </c>
      <c r="V264" s="87">
        <v>0.066667</v>
      </c>
      <c r="W264" s="87">
        <v>4.917165</v>
      </c>
      <c r="X264" s="87">
        <v>4.917165</v>
      </c>
      <c r="Y264" s="87">
        <v>0.622979</v>
      </c>
      <c r="Z264" s="87">
        <v>0.0</v>
      </c>
      <c r="AA264" s="87">
        <v>4.917165</v>
      </c>
      <c r="AB264" s="87">
        <v>1.526855</v>
      </c>
      <c r="AC264" s="87">
        <v>0.622979</v>
      </c>
      <c r="AD264" s="87">
        <v>0.0</v>
      </c>
      <c r="AE264" s="87">
        <v>9.400519</v>
      </c>
      <c r="AF264" s="87">
        <v>7.425993</v>
      </c>
      <c r="AG264" s="87">
        <v>1.479105</v>
      </c>
      <c r="AH264" s="87">
        <v>0.0</v>
      </c>
      <c r="AI264" s="87">
        <v>2.924832</v>
      </c>
      <c r="AJ264" s="87">
        <v>3.002164</v>
      </c>
      <c r="AK264" s="87">
        <v>1.479105</v>
      </c>
      <c r="AL264" s="88" t="s">
        <v>1396</v>
      </c>
    </row>
    <row r="265">
      <c r="A265" s="84" t="s">
        <v>1741</v>
      </c>
      <c r="B265" s="84" t="s">
        <v>1755</v>
      </c>
      <c r="C265" s="84" t="s">
        <v>225</v>
      </c>
      <c r="D265" s="84" t="s">
        <v>1754</v>
      </c>
      <c r="E265" s="86">
        <v>46310.0</v>
      </c>
      <c r="F265" s="87">
        <v>3.0</v>
      </c>
      <c r="G265" s="87">
        <v>0.0</v>
      </c>
      <c r="H265" s="87">
        <v>572.0</v>
      </c>
      <c r="I265" s="87">
        <v>0.0</v>
      </c>
      <c r="J265" s="87">
        <v>6.318215</v>
      </c>
      <c r="K265" s="87">
        <v>3.923616</v>
      </c>
      <c r="L265" s="87">
        <v>4.111523</v>
      </c>
      <c r="M265" s="87">
        <v>2.738357</v>
      </c>
      <c r="N265" s="87">
        <v>0.697917</v>
      </c>
      <c r="O265" s="87">
        <v>0.359452</v>
      </c>
      <c r="P265" s="87">
        <v>0.359452</v>
      </c>
      <c r="Q265" s="87">
        <v>0.359452</v>
      </c>
      <c r="R265" s="87">
        <v>0.825806</v>
      </c>
      <c r="S265" s="87">
        <v>2.738357</v>
      </c>
      <c r="T265" s="87">
        <v>0.359452</v>
      </c>
      <c r="U265" s="87">
        <v>0.359452</v>
      </c>
      <c r="V265" s="87">
        <v>0.359452</v>
      </c>
      <c r="W265" s="87">
        <v>0.825806</v>
      </c>
      <c r="X265" s="87">
        <v>2.738357</v>
      </c>
      <c r="Y265" s="87">
        <v>1.307872</v>
      </c>
      <c r="Z265" s="87">
        <v>0.0</v>
      </c>
      <c r="AA265" s="87">
        <v>4.917165</v>
      </c>
      <c r="AB265" s="87">
        <v>1.526855</v>
      </c>
      <c r="AC265" s="87">
        <v>0.622979</v>
      </c>
      <c r="AD265" s="87">
        <v>2.708225</v>
      </c>
      <c r="AE265" s="87">
        <v>3.714776</v>
      </c>
      <c r="AF265" s="87">
        <v>4.615439</v>
      </c>
      <c r="AG265" s="87">
        <v>4.09808</v>
      </c>
      <c r="AH265" s="87">
        <v>0.0</v>
      </c>
      <c r="AI265" s="87">
        <v>2.924832</v>
      </c>
      <c r="AJ265" s="87">
        <v>3.002164</v>
      </c>
      <c r="AK265" s="87">
        <v>1.479105</v>
      </c>
      <c r="AL265" s="88" t="s">
        <v>1396</v>
      </c>
    </row>
    <row r="266">
      <c r="A266" s="84" t="s">
        <v>1745</v>
      </c>
      <c r="B266" s="84" t="s">
        <v>1756</v>
      </c>
      <c r="C266" s="84" t="s">
        <v>225</v>
      </c>
      <c r="D266" s="84" t="s">
        <v>1754</v>
      </c>
      <c r="E266" s="84" t="s">
        <v>1398</v>
      </c>
      <c r="F266" s="87">
        <v>1.0</v>
      </c>
      <c r="G266" s="87">
        <v>0.0</v>
      </c>
      <c r="H266" s="87">
        <v>70.0</v>
      </c>
      <c r="I266" s="87">
        <v>0.0</v>
      </c>
      <c r="J266" s="87">
        <v>0.0</v>
      </c>
      <c r="K266" s="87">
        <v>0.0</v>
      </c>
      <c r="L266" s="87">
        <v>0.2</v>
      </c>
      <c r="M266" s="87">
        <v>0.0</v>
      </c>
      <c r="N266" s="87">
        <v>0.0</v>
      </c>
      <c r="O266" s="87">
        <v>0.0</v>
      </c>
      <c r="P266" s="87">
        <v>0.0</v>
      </c>
      <c r="Q266" s="87">
        <v>0.0</v>
      </c>
      <c r="R266" s="87">
        <v>0.0</v>
      </c>
      <c r="S266" s="87">
        <v>0.0</v>
      </c>
      <c r="T266" s="87">
        <v>0.0</v>
      </c>
      <c r="U266" s="87">
        <v>0.0</v>
      </c>
      <c r="V266" s="87">
        <v>0.0</v>
      </c>
      <c r="W266" s="87">
        <v>0.0</v>
      </c>
      <c r="X266" s="87">
        <v>0.0</v>
      </c>
      <c r="Y266" s="87">
        <v>0.0</v>
      </c>
      <c r="Z266" s="87">
        <v>0.0</v>
      </c>
      <c r="AA266" s="87">
        <v>4.917165</v>
      </c>
      <c r="AB266" s="87">
        <v>1.526855</v>
      </c>
      <c r="AC266" s="87">
        <v>0.622979</v>
      </c>
      <c r="AD266" s="87">
        <v>1.871809</v>
      </c>
      <c r="AE266" s="87">
        <v>2.939022</v>
      </c>
      <c r="AF266" s="87">
        <v>4.92713</v>
      </c>
      <c r="AG266" s="87">
        <v>1.405013</v>
      </c>
      <c r="AH266" s="87">
        <v>0.0</v>
      </c>
      <c r="AI266" s="87">
        <v>2.924832</v>
      </c>
      <c r="AJ266" s="87">
        <v>3.002164</v>
      </c>
      <c r="AK266" s="87">
        <v>1.479105</v>
      </c>
      <c r="AL266" s="88" t="s">
        <v>1396</v>
      </c>
    </row>
    <row r="267">
      <c r="A267" s="84" t="s">
        <v>1749</v>
      </c>
      <c r="B267" s="84" t="s">
        <v>1757</v>
      </c>
      <c r="C267" s="84" t="s">
        <v>225</v>
      </c>
      <c r="D267" s="84" t="s">
        <v>1754</v>
      </c>
      <c r="E267" s="89">
        <v>46300.0</v>
      </c>
      <c r="F267" s="87">
        <v>8.0</v>
      </c>
      <c r="G267" s="87">
        <v>0.0</v>
      </c>
      <c r="H267" s="87">
        <v>3304.0</v>
      </c>
      <c r="I267" s="87">
        <v>0.0</v>
      </c>
      <c r="J267" s="87">
        <v>24.42214</v>
      </c>
      <c r="K267" s="87">
        <v>39.9519</v>
      </c>
      <c r="L267" s="87">
        <v>35.56979</v>
      </c>
      <c r="M267" s="87">
        <v>17.35109</v>
      </c>
      <c r="N267" s="87">
        <v>0.434299</v>
      </c>
      <c r="O267" s="87">
        <v>0.0</v>
      </c>
      <c r="P267" s="87">
        <v>0.0</v>
      </c>
      <c r="Q267" s="87">
        <v>2.461269</v>
      </c>
      <c r="R267" s="87">
        <v>6.468256</v>
      </c>
      <c r="S267" s="87">
        <v>7.65487</v>
      </c>
      <c r="T267" s="87">
        <v>2.461269</v>
      </c>
      <c r="U267" s="87">
        <v>6.016424</v>
      </c>
      <c r="V267" s="87">
        <v>6.016424</v>
      </c>
      <c r="W267" s="87">
        <v>7.65487</v>
      </c>
      <c r="X267" s="87">
        <v>8.497011</v>
      </c>
      <c r="Y267" s="87">
        <v>4.993988</v>
      </c>
      <c r="Z267" s="87">
        <v>0.0</v>
      </c>
      <c r="AA267" s="87">
        <v>4.917165</v>
      </c>
      <c r="AB267" s="87">
        <v>1.526855</v>
      </c>
      <c r="AC267" s="87">
        <v>0.622979</v>
      </c>
      <c r="AD267" s="87">
        <v>1.105039</v>
      </c>
      <c r="AE267" s="87">
        <v>2.815647</v>
      </c>
      <c r="AF267" s="87">
        <v>5.950167</v>
      </c>
      <c r="AG267" s="87">
        <v>4.993988</v>
      </c>
      <c r="AH267" s="87">
        <v>0.0</v>
      </c>
      <c r="AI267" s="87">
        <v>2.924832</v>
      </c>
      <c r="AJ267" s="87">
        <v>3.002164</v>
      </c>
      <c r="AK267" s="87">
        <v>1.479105</v>
      </c>
      <c r="AL267" s="88" t="s">
        <v>1396</v>
      </c>
    </row>
    <row r="268">
      <c r="A268" s="84" t="s">
        <v>1751</v>
      </c>
      <c r="B268" s="84" t="s">
        <v>1758</v>
      </c>
      <c r="C268" s="84" t="s">
        <v>225</v>
      </c>
      <c r="D268" s="84" t="s">
        <v>1754</v>
      </c>
      <c r="E268" s="84" t="s">
        <v>1403</v>
      </c>
      <c r="F268" s="87">
        <v>12.0</v>
      </c>
      <c r="G268" s="87">
        <v>0.0</v>
      </c>
      <c r="H268" s="87">
        <v>0.0</v>
      </c>
      <c r="I268" s="87">
        <v>0.0</v>
      </c>
      <c r="J268" s="87">
        <v>0.0</v>
      </c>
      <c r="K268" s="87">
        <v>0.0</v>
      </c>
      <c r="L268" s="87">
        <v>0.0</v>
      </c>
      <c r="M268" s="87">
        <v>0.0</v>
      </c>
      <c r="N268" s="87">
        <v>0.0</v>
      </c>
      <c r="O268" s="87">
        <v>0.0</v>
      </c>
      <c r="P268" s="87">
        <v>0.0</v>
      </c>
      <c r="Q268" s="87">
        <v>0.0</v>
      </c>
      <c r="R268" s="87">
        <v>0.0</v>
      </c>
      <c r="S268" s="87">
        <v>0.0</v>
      </c>
      <c r="T268" s="87">
        <v>0.0</v>
      </c>
      <c r="U268" s="87">
        <v>0.0</v>
      </c>
      <c r="V268" s="87">
        <v>0.0</v>
      </c>
      <c r="W268" s="87">
        <v>0.0</v>
      </c>
      <c r="X268" s="87">
        <v>0.0</v>
      </c>
      <c r="Y268" s="87">
        <v>0.0</v>
      </c>
      <c r="Z268" s="87">
        <v>0.0</v>
      </c>
      <c r="AA268" s="87">
        <v>4.917165</v>
      </c>
      <c r="AB268" s="87">
        <v>1.526855</v>
      </c>
      <c r="AC268" s="87">
        <v>0.622979</v>
      </c>
      <c r="AD268" s="87">
        <v>0.0</v>
      </c>
      <c r="AE268" s="87">
        <v>0.0</v>
      </c>
      <c r="AF268" s="87">
        <v>0.0</v>
      </c>
      <c r="AG268" s="87">
        <v>0.0</v>
      </c>
      <c r="AH268" s="87">
        <v>0.0</v>
      </c>
      <c r="AI268" s="87">
        <v>2.924832</v>
      </c>
      <c r="AJ268" s="87">
        <v>3.002164</v>
      </c>
      <c r="AK268" s="87">
        <v>1.479105</v>
      </c>
      <c r="AL268" s="88" t="s">
        <v>1396</v>
      </c>
    </row>
    <row r="269">
      <c r="A269" s="84" t="s">
        <v>1739</v>
      </c>
      <c r="B269" s="84" t="s">
        <v>1759</v>
      </c>
      <c r="C269" s="84" t="s">
        <v>225</v>
      </c>
      <c r="D269" s="84" t="s">
        <v>1760</v>
      </c>
      <c r="E269" s="84" t="s">
        <v>1426</v>
      </c>
      <c r="F269" s="87">
        <v>4.0</v>
      </c>
      <c r="G269" s="87">
        <v>0.0</v>
      </c>
      <c r="H269" s="87">
        <v>0.0</v>
      </c>
      <c r="I269" s="87">
        <v>0.0</v>
      </c>
      <c r="J269" s="87">
        <v>0.0</v>
      </c>
      <c r="K269" s="87">
        <v>0.090909</v>
      </c>
      <c r="L269" s="87">
        <v>0.691057</v>
      </c>
      <c r="M269" s="87">
        <v>0.090909</v>
      </c>
      <c r="N269" s="87">
        <v>1.0</v>
      </c>
      <c r="O269" s="87">
        <v>0.0</v>
      </c>
      <c r="P269" s="87">
        <v>0.0</v>
      </c>
      <c r="Q269" s="87">
        <v>0.0</v>
      </c>
      <c r="R269" s="87">
        <v>0.0</v>
      </c>
      <c r="S269" s="87">
        <v>0.0</v>
      </c>
      <c r="T269" s="87">
        <v>0.090909</v>
      </c>
      <c r="U269" s="87">
        <v>0.090909</v>
      </c>
      <c r="V269" s="87">
        <v>0.090909</v>
      </c>
      <c r="W269" s="87">
        <v>0.090909</v>
      </c>
      <c r="X269" s="87">
        <v>0.090909</v>
      </c>
      <c r="Y269" s="87">
        <v>0.022727</v>
      </c>
      <c r="Z269" s="87">
        <v>0.299121</v>
      </c>
      <c r="AA269" s="87">
        <v>3.15943</v>
      </c>
      <c r="AB269" s="87">
        <v>4.027446</v>
      </c>
      <c r="AC269" s="87">
        <v>5.218968</v>
      </c>
      <c r="AD269" s="87">
        <v>0.0</v>
      </c>
      <c r="AE269" s="87">
        <v>9.400519</v>
      </c>
      <c r="AF269" s="87">
        <v>7.425993</v>
      </c>
      <c r="AG269" s="87">
        <v>1.479105</v>
      </c>
      <c r="AH269" s="87">
        <v>0.0</v>
      </c>
      <c r="AI269" s="87">
        <v>2.924832</v>
      </c>
      <c r="AJ269" s="87">
        <v>3.002164</v>
      </c>
      <c r="AK269" s="87">
        <v>1.479105</v>
      </c>
      <c r="AL269" s="88" t="s">
        <v>1396</v>
      </c>
    </row>
    <row r="270">
      <c r="A270" s="84" t="s">
        <v>1741</v>
      </c>
      <c r="B270" s="84" t="s">
        <v>1761</v>
      </c>
      <c r="C270" s="84" t="s">
        <v>225</v>
      </c>
      <c r="D270" s="84" t="s">
        <v>1760</v>
      </c>
      <c r="E270" s="86">
        <v>46310.0</v>
      </c>
      <c r="F270" s="87">
        <v>2.0</v>
      </c>
      <c r="G270" s="87">
        <v>0.0</v>
      </c>
      <c r="H270" s="87">
        <v>1021.0</v>
      </c>
      <c r="I270" s="87">
        <v>0.0</v>
      </c>
      <c r="J270" s="87">
        <v>11.99774</v>
      </c>
      <c r="K270" s="87">
        <v>10.43794</v>
      </c>
      <c r="L270" s="87">
        <v>9.667171</v>
      </c>
      <c r="M270" s="87">
        <v>6.048798</v>
      </c>
      <c r="N270" s="87">
        <v>0.579501</v>
      </c>
      <c r="O270" s="87">
        <v>4.389137</v>
      </c>
      <c r="P270" s="87">
        <v>4.389137</v>
      </c>
      <c r="Q270" s="87">
        <v>4.389137</v>
      </c>
      <c r="R270" s="87">
        <v>6.048798</v>
      </c>
      <c r="S270" s="87">
        <v>6.048798</v>
      </c>
      <c r="T270" s="87">
        <v>4.389137</v>
      </c>
      <c r="U270" s="87">
        <v>4.389137</v>
      </c>
      <c r="V270" s="87">
        <v>4.389137</v>
      </c>
      <c r="W270" s="87">
        <v>6.048798</v>
      </c>
      <c r="X270" s="87">
        <v>6.048798</v>
      </c>
      <c r="Y270" s="87">
        <v>5.218968</v>
      </c>
      <c r="Z270" s="87">
        <v>0.299121</v>
      </c>
      <c r="AA270" s="87">
        <v>3.15943</v>
      </c>
      <c r="AB270" s="87">
        <v>4.027446</v>
      </c>
      <c r="AC270" s="87">
        <v>5.218968</v>
      </c>
      <c r="AD270" s="87">
        <v>2.708225</v>
      </c>
      <c r="AE270" s="87">
        <v>3.714776</v>
      </c>
      <c r="AF270" s="87">
        <v>4.615439</v>
      </c>
      <c r="AG270" s="87">
        <v>4.09808</v>
      </c>
      <c r="AH270" s="87">
        <v>0.0</v>
      </c>
      <c r="AI270" s="87">
        <v>2.924832</v>
      </c>
      <c r="AJ270" s="87">
        <v>3.002164</v>
      </c>
      <c r="AK270" s="87">
        <v>1.479105</v>
      </c>
      <c r="AL270" s="88" t="s">
        <v>1396</v>
      </c>
    </row>
    <row r="271">
      <c r="A271" s="84" t="s">
        <v>1743</v>
      </c>
      <c r="B271" s="84" t="s">
        <v>1762</v>
      </c>
      <c r="C271" s="84" t="s">
        <v>225</v>
      </c>
      <c r="D271" s="84" t="s">
        <v>1760</v>
      </c>
      <c r="E271" s="84" t="s">
        <v>1413</v>
      </c>
      <c r="F271" s="87">
        <v>8.0</v>
      </c>
      <c r="G271" s="87">
        <v>0.0</v>
      </c>
      <c r="H271" s="87">
        <v>6868.0</v>
      </c>
      <c r="I271" s="87">
        <v>0.0</v>
      </c>
      <c r="J271" s="87">
        <v>93.02148</v>
      </c>
      <c r="K271" s="87">
        <v>95.07917</v>
      </c>
      <c r="L271" s="87">
        <v>83.33816</v>
      </c>
      <c r="M271" s="87">
        <v>80.81155</v>
      </c>
      <c r="N271" s="87">
        <v>0.84994</v>
      </c>
      <c r="O271" s="87">
        <v>0.788477</v>
      </c>
      <c r="P271" s="87">
        <v>1.076587</v>
      </c>
      <c r="Q271" s="87">
        <v>2.589096</v>
      </c>
      <c r="R271" s="87">
        <v>3.15943</v>
      </c>
      <c r="S271" s="87">
        <v>3.558987</v>
      </c>
      <c r="T271" s="87">
        <v>0.788477</v>
      </c>
      <c r="U271" s="87">
        <v>1.076587</v>
      </c>
      <c r="V271" s="87">
        <v>2.589096</v>
      </c>
      <c r="W271" s="87">
        <v>3.15943</v>
      </c>
      <c r="X271" s="87">
        <v>3.558987</v>
      </c>
      <c r="Y271" s="87">
        <v>11.8849</v>
      </c>
      <c r="Z271" s="87">
        <v>0.299121</v>
      </c>
      <c r="AA271" s="87">
        <v>3.15943</v>
      </c>
      <c r="AB271" s="87">
        <v>4.027446</v>
      </c>
      <c r="AC271" s="87">
        <v>5.218968</v>
      </c>
      <c r="AD271" s="87">
        <v>1.5</v>
      </c>
      <c r="AE271" s="87">
        <v>1.961863</v>
      </c>
      <c r="AF271" s="87">
        <v>5.06927</v>
      </c>
      <c r="AG271" s="87">
        <v>3.687752</v>
      </c>
      <c r="AH271" s="87">
        <v>0.0</v>
      </c>
      <c r="AI271" s="87">
        <v>2.924832</v>
      </c>
      <c r="AJ271" s="87">
        <v>3.002164</v>
      </c>
      <c r="AK271" s="87">
        <v>1.479105</v>
      </c>
      <c r="AL271" s="88" t="s">
        <v>1396</v>
      </c>
    </row>
    <row r="272">
      <c r="A272" s="84" t="s">
        <v>1745</v>
      </c>
      <c r="B272" s="84" t="s">
        <v>1763</v>
      </c>
      <c r="C272" s="84" t="s">
        <v>225</v>
      </c>
      <c r="D272" s="84" t="s">
        <v>1760</v>
      </c>
      <c r="E272" s="84" t="s">
        <v>1398</v>
      </c>
      <c r="F272" s="87">
        <v>3.0</v>
      </c>
      <c r="G272" s="87">
        <v>0.0</v>
      </c>
      <c r="H272" s="87">
        <v>654.0</v>
      </c>
      <c r="I272" s="87">
        <v>0.0</v>
      </c>
      <c r="J272" s="87">
        <v>1.590909</v>
      </c>
      <c r="K272" s="87">
        <v>1.520794</v>
      </c>
      <c r="L272" s="87">
        <v>1.571714</v>
      </c>
      <c r="M272" s="87">
        <v>1.024899</v>
      </c>
      <c r="N272" s="87">
        <v>0.673924</v>
      </c>
      <c r="O272" s="87">
        <v>0.196774</v>
      </c>
      <c r="P272" s="87">
        <v>0.196774</v>
      </c>
      <c r="Q272" s="87">
        <v>0.196774</v>
      </c>
      <c r="R272" s="87">
        <v>0.299121</v>
      </c>
      <c r="S272" s="87">
        <v>1.024899</v>
      </c>
      <c r="T272" s="87">
        <v>0.196774</v>
      </c>
      <c r="U272" s="87">
        <v>0.196774</v>
      </c>
      <c r="V272" s="87">
        <v>0.196774</v>
      </c>
      <c r="W272" s="87">
        <v>0.299121</v>
      </c>
      <c r="X272" s="87">
        <v>1.024899</v>
      </c>
      <c r="Y272" s="87">
        <v>0.506931</v>
      </c>
      <c r="Z272" s="87">
        <v>0.299121</v>
      </c>
      <c r="AA272" s="87">
        <v>3.15943</v>
      </c>
      <c r="AB272" s="87">
        <v>4.027446</v>
      </c>
      <c r="AC272" s="87">
        <v>5.218968</v>
      </c>
      <c r="AD272" s="87">
        <v>1.871809</v>
      </c>
      <c r="AE272" s="87">
        <v>2.939022</v>
      </c>
      <c r="AF272" s="87">
        <v>4.92713</v>
      </c>
      <c r="AG272" s="87">
        <v>1.405013</v>
      </c>
      <c r="AH272" s="87">
        <v>0.0</v>
      </c>
      <c r="AI272" s="87">
        <v>2.924832</v>
      </c>
      <c r="AJ272" s="87">
        <v>3.002164</v>
      </c>
      <c r="AK272" s="87">
        <v>1.479105</v>
      </c>
      <c r="AL272" s="88" t="s">
        <v>1396</v>
      </c>
    </row>
    <row r="273">
      <c r="A273" s="84" t="s">
        <v>1749</v>
      </c>
      <c r="B273" s="84" t="s">
        <v>1764</v>
      </c>
      <c r="C273" s="84" t="s">
        <v>225</v>
      </c>
      <c r="D273" s="84" t="s">
        <v>1760</v>
      </c>
      <c r="E273" s="89">
        <v>46300.0</v>
      </c>
      <c r="F273" s="87">
        <v>9.0</v>
      </c>
      <c r="G273" s="87">
        <v>0.0</v>
      </c>
      <c r="H273" s="87">
        <v>2263.0</v>
      </c>
      <c r="I273" s="87">
        <v>0.0</v>
      </c>
      <c r="J273" s="87">
        <v>32.78333</v>
      </c>
      <c r="K273" s="87">
        <v>53.96905</v>
      </c>
      <c r="L273" s="87">
        <v>40.07413</v>
      </c>
      <c r="M273" s="87">
        <v>27.91464</v>
      </c>
      <c r="N273" s="87">
        <v>0.517234</v>
      </c>
      <c r="O273" s="87">
        <v>0.041667</v>
      </c>
      <c r="P273" s="87">
        <v>0.519481</v>
      </c>
      <c r="Q273" s="87">
        <v>1.371758</v>
      </c>
      <c r="R273" s="87">
        <v>3.836152</v>
      </c>
      <c r="S273" s="87">
        <v>8.651895</v>
      </c>
      <c r="T273" s="87">
        <v>0.041667</v>
      </c>
      <c r="U273" s="87">
        <v>0.519481</v>
      </c>
      <c r="V273" s="87">
        <v>1.371758</v>
      </c>
      <c r="W273" s="87">
        <v>3.836152</v>
      </c>
      <c r="X273" s="87">
        <v>8.651895</v>
      </c>
      <c r="Y273" s="87">
        <v>5.996561</v>
      </c>
      <c r="Z273" s="87">
        <v>0.299121</v>
      </c>
      <c r="AA273" s="87">
        <v>3.15943</v>
      </c>
      <c r="AB273" s="87">
        <v>4.027446</v>
      </c>
      <c r="AC273" s="87">
        <v>5.218968</v>
      </c>
      <c r="AD273" s="87">
        <v>1.105039</v>
      </c>
      <c r="AE273" s="87">
        <v>2.815647</v>
      </c>
      <c r="AF273" s="87">
        <v>5.950167</v>
      </c>
      <c r="AG273" s="87">
        <v>4.993988</v>
      </c>
      <c r="AH273" s="87">
        <v>0.0</v>
      </c>
      <c r="AI273" s="87">
        <v>2.924832</v>
      </c>
      <c r="AJ273" s="87">
        <v>3.002164</v>
      </c>
      <c r="AK273" s="87">
        <v>1.479105</v>
      </c>
      <c r="AL273" s="88" t="s">
        <v>1396</v>
      </c>
    </row>
    <row r="274">
      <c r="A274" s="84" t="s">
        <v>1751</v>
      </c>
      <c r="B274" s="84" t="s">
        <v>1765</v>
      </c>
      <c r="C274" s="84" t="s">
        <v>225</v>
      </c>
      <c r="D274" s="84" t="s">
        <v>1760</v>
      </c>
      <c r="E274" s="84" t="s">
        <v>1403</v>
      </c>
      <c r="F274" s="87">
        <v>14.0</v>
      </c>
      <c r="G274" s="87">
        <v>2.0</v>
      </c>
      <c r="H274" s="87">
        <v>112.0</v>
      </c>
      <c r="I274" s="87">
        <v>112.0</v>
      </c>
      <c r="J274" s="87">
        <v>0.0</v>
      </c>
      <c r="K274" s="87">
        <v>0.0</v>
      </c>
      <c r="L274" s="87">
        <v>0.0</v>
      </c>
      <c r="M274" s="87">
        <v>0.0</v>
      </c>
      <c r="N274" s="87">
        <v>0.0</v>
      </c>
      <c r="O274" s="87">
        <v>0.0</v>
      </c>
      <c r="P274" s="87">
        <v>0.0</v>
      </c>
      <c r="Q274" s="87">
        <v>0.0</v>
      </c>
      <c r="R274" s="87">
        <v>0.0</v>
      </c>
      <c r="S274" s="87">
        <v>0.0</v>
      </c>
      <c r="T274" s="87">
        <v>0.0</v>
      </c>
      <c r="U274" s="87">
        <v>0.0</v>
      </c>
      <c r="V274" s="87">
        <v>0.0</v>
      </c>
      <c r="W274" s="87">
        <v>0.0</v>
      </c>
      <c r="X274" s="87">
        <v>0.0</v>
      </c>
      <c r="Y274" s="87">
        <v>0.0</v>
      </c>
      <c r="Z274" s="87">
        <v>0.299121</v>
      </c>
      <c r="AA274" s="87">
        <v>3.15943</v>
      </c>
      <c r="AB274" s="87">
        <v>4.027446</v>
      </c>
      <c r="AC274" s="87">
        <v>5.218968</v>
      </c>
      <c r="AD274" s="87">
        <v>0.0</v>
      </c>
      <c r="AE274" s="87">
        <v>0.0</v>
      </c>
      <c r="AF274" s="87">
        <v>0.0</v>
      </c>
      <c r="AG274" s="87">
        <v>0.0</v>
      </c>
      <c r="AH274" s="87">
        <v>0.0</v>
      </c>
      <c r="AI274" s="87">
        <v>2.924832</v>
      </c>
      <c r="AJ274" s="87">
        <v>3.002164</v>
      </c>
      <c r="AK274" s="87">
        <v>1.479105</v>
      </c>
      <c r="AL274" s="88" t="s">
        <v>1396</v>
      </c>
    </row>
    <row r="275">
      <c r="A275" s="84" t="s">
        <v>1739</v>
      </c>
      <c r="B275" s="84" t="s">
        <v>1766</v>
      </c>
      <c r="C275" s="84" t="s">
        <v>225</v>
      </c>
      <c r="D275" s="84" t="s">
        <v>1767</v>
      </c>
      <c r="E275" s="84" t="s">
        <v>1426</v>
      </c>
      <c r="F275" s="87">
        <v>42.0</v>
      </c>
      <c r="G275" s="87">
        <v>0.0</v>
      </c>
      <c r="H275" s="87">
        <v>38147.0</v>
      </c>
      <c r="I275" s="87">
        <v>0.0</v>
      </c>
      <c r="J275" s="87">
        <v>430.5285</v>
      </c>
      <c r="K275" s="87">
        <v>482.564</v>
      </c>
      <c r="L275" s="87">
        <v>456.349</v>
      </c>
      <c r="M275" s="87">
        <v>420.4156</v>
      </c>
      <c r="N275" s="87">
        <v>0.871212</v>
      </c>
      <c r="O275" s="87">
        <v>0.0</v>
      </c>
      <c r="P275" s="87">
        <v>0.0</v>
      </c>
      <c r="Q275" s="87">
        <v>0.0</v>
      </c>
      <c r="R275" s="87">
        <v>0.0</v>
      </c>
      <c r="S275" s="87">
        <v>8.058314</v>
      </c>
      <c r="T275" s="87">
        <v>3.109524</v>
      </c>
      <c r="U275" s="87">
        <v>4.515344</v>
      </c>
      <c r="V275" s="87">
        <v>8.006496</v>
      </c>
      <c r="W275" s="87">
        <v>9.630742</v>
      </c>
      <c r="X275" s="87">
        <v>18.1761</v>
      </c>
      <c r="Y275" s="87">
        <v>11.48962</v>
      </c>
      <c r="Z275" s="87">
        <v>0.0</v>
      </c>
      <c r="AA275" s="87">
        <v>6.01086</v>
      </c>
      <c r="AB275" s="87">
        <v>5.057273</v>
      </c>
      <c r="AC275" s="87">
        <v>3.373846</v>
      </c>
      <c r="AD275" s="87">
        <v>0.0</v>
      </c>
      <c r="AE275" s="87">
        <v>9.400519</v>
      </c>
      <c r="AF275" s="87">
        <v>7.425993</v>
      </c>
      <c r="AG275" s="87">
        <v>1.479105</v>
      </c>
      <c r="AH275" s="87">
        <v>0.0</v>
      </c>
      <c r="AI275" s="87">
        <v>2.924832</v>
      </c>
      <c r="AJ275" s="87">
        <v>3.002164</v>
      </c>
      <c r="AK275" s="87">
        <v>1.479105</v>
      </c>
      <c r="AL275" s="88" t="s">
        <v>1396</v>
      </c>
    </row>
    <row r="276">
      <c r="A276" s="84" t="s">
        <v>1741</v>
      </c>
      <c r="B276" s="84" t="s">
        <v>1768</v>
      </c>
      <c r="C276" s="84" t="s">
        <v>225</v>
      </c>
      <c r="D276" s="84" t="s">
        <v>1767</v>
      </c>
      <c r="E276" s="86">
        <v>46310.0</v>
      </c>
      <c r="F276" s="87">
        <v>18.0</v>
      </c>
      <c r="G276" s="87">
        <v>0.0</v>
      </c>
      <c r="H276" s="87">
        <v>3221.0</v>
      </c>
      <c r="I276" s="87">
        <v>0.0</v>
      </c>
      <c r="J276" s="87">
        <v>38.40621</v>
      </c>
      <c r="K276" s="87">
        <v>60.72922</v>
      </c>
      <c r="L276" s="87">
        <v>56.5161</v>
      </c>
      <c r="M276" s="87">
        <v>35.79452</v>
      </c>
      <c r="N276" s="87">
        <v>0.589412</v>
      </c>
      <c r="O276" s="87">
        <v>0.0</v>
      </c>
      <c r="P276" s="87">
        <v>0.0</v>
      </c>
      <c r="Q276" s="87">
        <v>0.570115</v>
      </c>
      <c r="R276" s="87">
        <v>2.708225</v>
      </c>
      <c r="S276" s="87">
        <v>4.173637</v>
      </c>
      <c r="T276" s="87">
        <v>0.570115</v>
      </c>
      <c r="U276" s="87">
        <v>0.655686</v>
      </c>
      <c r="V276" s="87">
        <v>2.198443</v>
      </c>
      <c r="W276" s="87">
        <v>3.360609</v>
      </c>
      <c r="X276" s="87">
        <v>5.975358</v>
      </c>
      <c r="Y276" s="87">
        <v>3.373846</v>
      </c>
      <c r="Z276" s="87">
        <v>0.0</v>
      </c>
      <c r="AA276" s="87">
        <v>6.01086</v>
      </c>
      <c r="AB276" s="87">
        <v>5.057273</v>
      </c>
      <c r="AC276" s="87">
        <v>3.373846</v>
      </c>
      <c r="AD276" s="87">
        <v>2.708225</v>
      </c>
      <c r="AE276" s="87">
        <v>3.714776</v>
      </c>
      <c r="AF276" s="87">
        <v>4.615439</v>
      </c>
      <c r="AG276" s="87">
        <v>4.09808</v>
      </c>
      <c r="AH276" s="87">
        <v>0.0</v>
      </c>
      <c r="AI276" s="87">
        <v>2.924832</v>
      </c>
      <c r="AJ276" s="87">
        <v>3.002164</v>
      </c>
      <c r="AK276" s="87">
        <v>1.479105</v>
      </c>
      <c r="AL276" s="88" t="s">
        <v>1396</v>
      </c>
    </row>
    <row r="277">
      <c r="A277" s="84" t="s">
        <v>1743</v>
      </c>
      <c r="B277" s="84" t="s">
        <v>1769</v>
      </c>
      <c r="C277" s="84" t="s">
        <v>225</v>
      </c>
      <c r="D277" s="84" t="s">
        <v>1767</v>
      </c>
      <c r="E277" s="84" t="s">
        <v>1413</v>
      </c>
      <c r="F277" s="87">
        <v>6.0</v>
      </c>
      <c r="G277" s="87">
        <v>0.0</v>
      </c>
      <c r="H277" s="87">
        <v>794.0</v>
      </c>
      <c r="I277" s="87">
        <v>0.0</v>
      </c>
      <c r="J277" s="87">
        <v>4.087454</v>
      </c>
      <c r="K277" s="87">
        <v>11.81723</v>
      </c>
      <c r="L277" s="87">
        <v>16.22577</v>
      </c>
      <c r="M277" s="87">
        <v>9.918808</v>
      </c>
      <c r="N277" s="87">
        <v>0.839352</v>
      </c>
      <c r="O277" s="87">
        <v>0.138013</v>
      </c>
      <c r="P277" s="87">
        <v>0.48407</v>
      </c>
      <c r="Q277" s="87">
        <v>0.48407</v>
      </c>
      <c r="R277" s="87">
        <v>0.697168</v>
      </c>
      <c r="S277" s="87">
        <v>1.500437</v>
      </c>
      <c r="T277" s="87">
        <v>0.138013</v>
      </c>
      <c r="U277" s="87">
        <v>0.48407</v>
      </c>
      <c r="V277" s="87">
        <v>0.48407</v>
      </c>
      <c r="W277" s="87">
        <v>0.697168</v>
      </c>
      <c r="X277" s="87">
        <v>1.500437</v>
      </c>
      <c r="Y277" s="87">
        <v>1.969538</v>
      </c>
      <c r="Z277" s="87">
        <v>0.0</v>
      </c>
      <c r="AA277" s="87">
        <v>6.01086</v>
      </c>
      <c r="AB277" s="87">
        <v>5.057273</v>
      </c>
      <c r="AC277" s="87">
        <v>3.373846</v>
      </c>
      <c r="AD277" s="87">
        <v>1.5</v>
      </c>
      <c r="AE277" s="87">
        <v>1.961863</v>
      </c>
      <c r="AF277" s="87">
        <v>5.06927</v>
      </c>
      <c r="AG277" s="87">
        <v>3.687752</v>
      </c>
      <c r="AH277" s="87">
        <v>0.0</v>
      </c>
      <c r="AI277" s="87">
        <v>2.924832</v>
      </c>
      <c r="AJ277" s="87">
        <v>3.002164</v>
      </c>
      <c r="AK277" s="87">
        <v>1.479105</v>
      </c>
      <c r="AL277" s="88" t="s">
        <v>1396</v>
      </c>
    </row>
    <row r="278">
      <c r="A278" s="84" t="s">
        <v>1745</v>
      </c>
      <c r="B278" s="84" t="s">
        <v>1770</v>
      </c>
      <c r="C278" s="84" t="s">
        <v>225</v>
      </c>
      <c r="D278" s="84" t="s">
        <v>1767</v>
      </c>
      <c r="E278" s="84" t="s">
        <v>1398</v>
      </c>
      <c r="F278" s="87">
        <v>2.0</v>
      </c>
      <c r="G278" s="87">
        <v>0.0</v>
      </c>
      <c r="H278" s="87">
        <v>2142.0</v>
      </c>
      <c r="I278" s="87">
        <v>0.0</v>
      </c>
      <c r="J278" s="87">
        <v>14.83632</v>
      </c>
      <c r="K278" s="87">
        <v>19.47756</v>
      </c>
      <c r="L278" s="87">
        <v>23.57245</v>
      </c>
      <c r="M278" s="87">
        <v>18.60072</v>
      </c>
      <c r="N278" s="87">
        <v>0.954982</v>
      </c>
      <c r="O278" s="87">
        <v>0.87684</v>
      </c>
      <c r="P278" s="87">
        <v>0.87684</v>
      </c>
      <c r="Q278" s="87">
        <v>0.87684</v>
      </c>
      <c r="R278" s="87">
        <v>18.60072</v>
      </c>
      <c r="S278" s="87">
        <v>18.60072</v>
      </c>
      <c r="T278" s="87">
        <v>0.87684</v>
      </c>
      <c r="U278" s="87">
        <v>0.87684</v>
      </c>
      <c r="V278" s="87">
        <v>0.87684</v>
      </c>
      <c r="W278" s="87">
        <v>18.60072</v>
      </c>
      <c r="X278" s="87">
        <v>18.60072</v>
      </c>
      <c r="Y278" s="87">
        <v>9.738782</v>
      </c>
      <c r="Z278" s="87">
        <v>0.0</v>
      </c>
      <c r="AA278" s="87">
        <v>6.01086</v>
      </c>
      <c r="AB278" s="87">
        <v>5.057273</v>
      </c>
      <c r="AC278" s="87">
        <v>3.373846</v>
      </c>
      <c r="AD278" s="87">
        <v>1.871809</v>
      </c>
      <c r="AE278" s="87">
        <v>2.939022</v>
      </c>
      <c r="AF278" s="87">
        <v>4.92713</v>
      </c>
      <c r="AG278" s="87">
        <v>1.405013</v>
      </c>
      <c r="AH278" s="87">
        <v>0.0</v>
      </c>
      <c r="AI278" s="87">
        <v>2.924832</v>
      </c>
      <c r="AJ278" s="87">
        <v>3.002164</v>
      </c>
      <c r="AK278" s="87">
        <v>1.479105</v>
      </c>
      <c r="AL278" s="88" t="s">
        <v>1396</v>
      </c>
    </row>
    <row r="279">
      <c r="A279" s="84" t="s">
        <v>1747</v>
      </c>
      <c r="B279" s="84" t="s">
        <v>1771</v>
      </c>
      <c r="C279" s="84" t="s">
        <v>225</v>
      </c>
      <c r="D279" s="84" t="s">
        <v>1767</v>
      </c>
      <c r="E279" s="84" t="s">
        <v>1400</v>
      </c>
      <c r="F279" s="87">
        <v>7.0</v>
      </c>
      <c r="G279" s="87">
        <v>2.0</v>
      </c>
      <c r="H279" s="87">
        <v>249.0</v>
      </c>
      <c r="I279" s="87">
        <v>122.0</v>
      </c>
      <c r="J279" s="87">
        <v>1.178571</v>
      </c>
      <c r="K279" s="87">
        <v>1.803685</v>
      </c>
      <c r="L279" s="87">
        <v>4.212349</v>
      </c>
      <c r="M279" s="87">
        <v>1.803685</v>
      </c>
      <c r="N279" s="87">
        <v>1.0</v>
      </c>
      <c r="O279" s="87">
        <v>0.0</v>
      </c>
      <c r="P279" s="87">
        <v>0.0</v>
      </c>
      <c r="Q279" s="87">
        <v>0.0</v>
      </c>
      <c r="R279" s="87">
        <v>0.0</v>
      </c>
      <c r="S279" s="87">
        <v>0.0</v>
      </c>
      <c r="T279" s="87">
        <v>0.142857</v>
      </c>
      <c r="U279" s="87">
        <v>0.142857</v>
      </c>
      <c r="V279" s="87">
        <v>0.142857</v>
      </c>
      <c r="W279" s="87">
        <v>1.660828</v>
      </c>
      <c r="X279" s="87">
        <v>1.660828</v>
      </c>
      <c r="Y279" s="87">
        <v>0.257669</v>
      </c>
      <c r="Z279" s="87">
        <v>0.0</v>
      </c>
      <c r="AA279" s="87">
        <v>6.01086</v>
      </c>
      <c r="AB279" s="87">
        <v>5.057273</v>
      </c>
      <c r="AC279" s="87">
        <v>3.373846</v>
      </c>
      <c r="AD279" s="87">
        <v>0.481962</v>
      </c>
      <c r="AE279" s="87">
        <v>1.188351</v>
      </c>
      <c r="AF279" s="87">
        <v>2.536387</v>
      </c>
      <c r="AG279" s="87">
        <v>1.210274</v>
      </c>
      <c r="AH279" s="87">
        <v>0.0</v>
      </c>
      <c r="AI279" s="87">
        <v>2.924832</v>
      </c>
      <c r="AJ279" s="87">
        <v>3.002164</v>
      </c>
      <c r="AK279" s="87">
        <v>1.479105</v>
      </c>
      <c r="AL279" s="88" t="s">
        <v>1396</v>
      </c>
    </row>
    <row r="280">
      <c r="A280" s="84" t="s">
        <v>1749</v>
      </c>
      <c r="B280" s="84" t="s">
        <v>1772</v>
      </c>
      <c r="C280" s="84" t="s">
        <v>225</v>
      </c>
      <c r="D280" s="84" t="s">
        <v>1767</v>
      </c>
      <c r="E280" s="89">
        <v>46300.0</v>
      </c>
      <c r="F280" s="87">
        <v>33.0</v>
      </c>
      <c r="G280" s="87">
        <v>0.0</v>
      </c>
      <c r="H280" s="87">
        <v>24277.0</v>
      </c>
      <c r="I280" s="87">
        <v>0.0</v>
      </c>
      <c r="J280" s="87">
        <v>344.3236</v>
      </c>
      <c r="K280" s="87">
        <v>369.3183</v>
      </c>
      <c r="L280" s="87">
        <v>356.7379</v>
      </c>
      <c r="M280" s="87">
        <v>284.271</v>
      </c>
      <c r="N280" s="87">
        <v>0.769718</v>
      </c>
      <c r="O280" s="87">
        <v>0.0</v>
      </c>
      <c r="P280" s="87">
        <v>0.0</v>
      </c>
      <c r="Q280" s="87">
        <v>0.0</v>
      </c>
      <c r="R280" s="87">
        <v>3.527509</v>
      </c>
      <c r="S280" s="87">
        <v>8.744547</v>
      </c>
      <c r="T280" s="87">
        <v>0.998189</v>
      </c>
      <c r="U280" s="87">
        <v>3.418659</v>
      </c>
      <c r="V280" s="87">
        <v>3.527509</v>
      </c>
      <c r="W280" s="87">
        <v>6.979721</v>
      </c>
      <c r="X280" s="87">
        <v>21.76016</v>
      </c>
      <c r="Y280" s="87">
        <v>11.19146</v>
      </c>
      <c r="Z280" s="87">
        <v>0.0</v>
      </c>
      <c r="AA280" s="87">
        <v>6.01086</v>
      </c>
      <c r="AB280" s="87">
        <v>5.057273</v>
      </c>
      <c r="AC280" s="87">
        <v>3.373846</v>
      </c>
      <c r="AD280" s="87">
        <v>1.105039</v>
      </c>
      <c r="AE280" s="87">
        <v>2.815647</v>
      </c>
      <c r="AF280" s="87">
        <v>5.950167</v>
      </c>
      <c r="AG280" s="87">
        <v>4.993988</v>
      </c>
      <c r="AH280" s="87">
        <v>0.0</v>
      </c>
      <c r="AI280" s="87">
        <v>2.924832</v>
      </c>
      <c r="AJ280" s="87">
        <v>3.002164</v>
      </c>
      <c r="AK280" s="87">
        <v>1.479105</v>
      </c>
      <c r="AL280" s="88" t="s">
        <v>1396</v>
      </c>
    </row>
    <row r="281">
      <c r="A281" s="84" t="s">
        <v>1751</v>
      </c>
      <c r="B281" s="84" t="s">
        <v>1773</v>
      </c>
      <c r="C281" s="84" t="s">
        <v>225</v>
      </c>
      <c r="D281" s="84" t="s">
        <v>1767</v>
      </c>
      <c r="E281" s="84" t="s">
        <v>1403</v>
      </c>
      <c r="F281" s="87">
        <v>79.0</v>
      </c>
      <c r="G281" s="87">
        <v>4.0</v>
      </c>
      <c r="H281" s="87">
        <v>253.0</v>
      </c>
      <c r="I281" s="87">
        <v>253.0</v>
      </c>
      <c r="J281" s="87">
        <v>0.0</v>
      </c>
      <c r="K281" s="87">
        <v>0.0</v>
      </c>
      <c r="L281" s="87">
        <v>0.0</v>
      </c>
      <c r="M281" s="87">
        <v>0.0</v>
      </c>
      <c r="N281" s="87">
        <v>0.0</v>
      </c>
      <c r="O281" s="87">
        <v>0.0</v>
      </c>
      <c r="P281" s="87">
        <v>0.0</v>
      </c>
      <c r="Q281" s="87">
        <v>0.0</v>
      </c>
      <c r="R281" s="87">
        <v>0.0</v>
      </c>
      <c r="S281" s="87">
        <v>0.0</v>
      </c>
      <c r="T281" s="87">
        <v>0.0</v>
      </c>
      <c r="U281" s="87">
        <v>0.0</v>
      </c>
      <c r="V281" s="87">
        <v>0.0</v>
      </c>
      <c r="W281" s="87">
        <v>0.0</v>
      </c>
      <c r="X281" s="87">
        <v>0.0</v>
      </c>
      <c r="Y281" s="87">
        <v>0.0</v>
      </c>
      <c r="Z281" s="87">
        <v>0.0</v>
      </c>
      <c r="AA281" s="87">
        <v>6.01086</v>
      </c>
      <c r="AB281" s="87">
        <v>5.057273</v>
      </c>
      <c r="AC281" s="87">
        <v>3.373846</v>
      </c>
      <c r="AD281" s="87">
        <v>0.0</v>
      </c>
      <c r="AE281" s="87">
        <v>0.0</v>
      </c>
      <c r="AF281" s="87">
        <v>0.0</v>
      </c>
      <c r="AG281" s="87">
        <v>0.0</v>
      </c>
      <c r="AH281" s="87">
        <v>0.0</v>
      </c>
      <c r="AI281" s="87">
        <v>2.924832</v>
      </c>
      <c r="AJ281" s="87">
        <v>3.002164</v>
      </c>
      <c r="AK281" s="87">
        <v>1.479105</v>
      </c>
      <c r="AL281" s="88" t="s">
        <v>1396</v>
      </c>
    </row>
    <row r="282">
      <c r="A282" s="84" t="s">
        <v>1739</v>
      </c>
      <c r="B282" s="84" t="s">
        <v>1774</v>
      </c>
      <c r="C282" s="84" t="s">
        <v>225</v>
      </c>
      <c r="D282" s="84" t="s">
        <v>915</v>
      </c>
      <c r="E282" s="84" t="s">
        <v>1426</v>
      </c>
      <c r="F282" s="87">
        <v>2.0</v>
      </c>
      <c r="G282" s="87">
        <v>0.0</v>
      </c>
      <c r="H282" s="87">
        <v>1046.0</v>
      </c>
      <c r="I282" s="87">
        <v>0.0</v>
      </c>
      <c r="J282" s="87">
        <v>3.704712</v>
      </c>
      <c r="K282" s="87">
        <v>2.95821</v>
      </c>
      <c r="L282" s="87">
        <v>3.046961</v>
      </c>
      <c r="M282" s="87">
        <v>2.68202</v>
      </c>
      <c r="N282" s="87">
        <v>0.906636</v>
      </c>
      <c r="O282" s="87">
        <v>0.27619</v>
      </c>
      <c r="P282" s="87">
        <v>0.27619</v>
      </c>
      <c r="Q282" s="87">
        <v>0.27619</v>
      </c>
      <c r="R282" s="87">
        <v>2.68202</v>
      </c>
      <c r="S282" s="87">
        <v>2.68202</v>
      </c>
      <c r="T282" s="87">
        <v>0.27619</v>
      </c>
      <c r="U282" s="87">
        <v>0.27619</v>
      </c>
      <c r="V282" s="87">
        <v>0.27619</v>
      </c>
      <c r="W282" s="87">
        <v>2.68202</v>
      </c>
      <c r="X282" s="87">
        <v>2.68202</v>
      </c>
      <c r="Y282" s="87">
        <v>1.479105</v>
      </c>
      <c r="Z282" s="87">
        <v>0.0</v>
      </c>
      <c r="AA282" s="87">
        <v>0.803448</v>
      </c>
      <c r="AB282" s="87">
        <v>0.674716</v>
      </c>
      <c r="AC282" s="87">
        <v>0.539583</v>
      </c>
      <c r="AD282" s="87">
        <v>0.0</v>
      </c>
      <c r="AE282" s="87">
        <v>9.400519</v>
      </c>
      <c r="AF282" s="87">
        <v>7.425993</v>
      </c>
      <c r="AG282" s="87">
        <v>1.479105</v>
      </c>
      <c r="AH282" s="87">
        <v>0.0</v>
      </c>
      <c r="AI282" s="87">
        <v>2.924832</v>
      </c>
      <c r="AJ282" s="87">
        <v>3.002164</v>
      </c>
      <c r="AK282" s="87">
        <v>1.479105</v>
      </c>
      <c r="AL282" s="88" t="s">
        <v>1396</v>
      </c>
    </row>
    <row r="283">
      <c r="A283" s="84" t="s">
        <v>1743</v>
      </c>
      <c r="B283" s="84" t="s">
        <v>1775</v>
      </c>
      <c r="C283" s="84" t="s">
        <v>225</v>
      </c>
      <c r="D283" s="84" t="s">
        <v>915</v>
      </c>
      <c r="E283" s="84" t="s">
        <v>1413</v>
      </c>
      <c r="F283" s="87">
        <v>1.0</v>
      </c>
      <c r="G283" s="87">
        <v>0.0</v>
      </c>
      <c r="H283" s="87">
        <v>0.0</v>
      </c>
      <c r="I283" s="87">
        <v>0.0</v>
      </c>
      <c r="J283" s="87">
        <v>0.0</v>
      </c>
      <c r="K283" s="87">
        <v>0.0</v>
      </c>
      <c r="L283" s="87">
        <v>0.0</v>
      </c>
      <c r="M283" s="87">
        <v>0.0</v>
      </c>
      <c r="N283" s="87">
        <v>0.0</v>
      </c>
      <c r="O283" s="87">
        <v>0.0</v>
      </c>
      <c r="P283" s="87">
        <v>0.0</v>
      </c>
      <c r="Q283" s="87">
        <v>0.0</v>
      </c>
      <c r="R283" s="87">
        <v>0.0</v>
      </c>
      <c r="S283" s="87">
        <v>0.0</v>
      </c>
      <c r="T283" s="87">
        <v>0.0</v>
      </c>
      <c r="U283" s="87">
        <v>0.0</v>
      </c>
      <c r="V283" s="87">
        <v>0.0</v>
      </c>
      <c r="W283" s="87">
        <v>0.0</v>
      </c>
      <c r="X283" s="87">
        <v>0.0</v>
      </c>
      <c r="Y283" s="87">
        <v>0.0</v>
      </c>
      <c r="Z283" s="87">
        <v>0.0</v>
      </c>
      <c r="AA283" s="87">
        <v>0.803448</v>
      </c>
      <c r="AB283" s="87">
        <v>0.674716</v>
      </c>
      <c r="AC283" s="87">
        <v>0.539583</v>
      </c>
      <c r="AD283" s="87">
        <v>1.5</v>
      </c>
      <c r="AE283" s="87">
        <v>1.961863</v>
      </c>
      <c r="AF283" s="87">
        <v>5.06927</v>
      </c>
      <c r="AG283" s="87">
        <v>3.687752</v>
      </c>
      <c r="AH283" s="87">
        <v>0.0</v>
      </c>
      <c r="AI283" s="87">
        <v>2.924832</v>
      </c>
      <c r="AJ283" s="87">
        <v>3.002164</v>
      </c>
      <c r="AK283" s="87">
        <v>1.479105</v>
      </c>
      <c r="AL283" s="88" t="s">
        <v>1396</v>
      </c>
    </row>
    <row r="284">
      <c r="A284" s="84" t="s">
        <v>1745</v>
      </c>
      <c r="B284" s="84" t="s">
        <v>1776</v>
      </c>
      <c r="C284" s="84" t="s">
        <v>225</v>
      </c>
      <c r="D284" s="84" t="s">
        <v>915</v>
      </c>
      <c r="E284" s="84" t="s">
        <v>1398</v>
      </c>
      <c r="F284" s="87">
        <v>1.0</v>
      </c>
      <c r="G284" s="87">
        <v>0.0</v>
      </c>
      <c r="H284" s="87">
        <v>344.0</v>
      </c>
      <c r="I284" s="87">
        <v>0.0</v>
      </c>
      <c r="J284" s="87">
        <v>0.571429</v>
      </c>
      <c r="K284" s="87">
        <v>0.366667</v>
      </c>
      <c r="L284" s="87">
        <v>0.890138</v>
      </c>
      <c r="M284" s="87">
        <v>0.0</v>
      </c>
      <c r="N284" s="87">
        <v>0.0</v>
      </c>
      <c r="O284" s="87">
        <v>0.366667</v>
      </c>
      <c r="P284" s="87">
        <v>0.366667</v>
      </c>
      <c r="Q284" s="87">
        <v>0.366667</v>
      </c>
      <c r="R284" s="87">
        <v>0.366667</v>
      </c>
      <c r="S284" s="87">
        <v>0.366667</v>
      </c>
      <c r="T284" s="87">
        <v>0.366667</v>
      </c>
      <c r="U284" s="87">
        <v>0.366667</v>
      </c>
      <c r="V284" s="87">
        <v>0.366667</v>
      </c>
      <c r="W284" s="87">
        <v>0.366667</v>
      </c>
      <c r="X284" s="87">
        <v>0.366667</v>
      </c>
      <c r="Y284" s="87">
        <v>0.366667</v>
      </c>
      <c r="Z284" s="87">
        <v>0.0</v>
      </c>
      <c r="AA284" s="87">
        <v>0.803448</v>
      </c>
      <c r="AB284" s="87">
        <v>0.674716</v>
      </c>
      <c r="AC284" s="87">
        <v>0.539583</v>
      </c>
      <c r="AD284" s="87">
        <v>1.871809</v>
      </c>
      <c r="AE284" s="87">
        <v>2.939022</v>
      </c>
      <c r="AF284" s="87">
        <v>4.92713</v>
      </c>
      <c r="AG284" s="87">
        <v>1.405013</v>
      </c>
      <c r="AH284" s="87">
        <v>0.0</v>
      </c>
      <c r="AI284" s="87">
        <v>2.924832</v>
      </c>
      <c r="AJ284" s="87">
        <v>3.002164</v>
      </c>
      <c r="AK284" s="87">
        <v>1.479105</v>
      </c>
      <c r="AL284" s="88" t="s">
        <v>1396</v>
      </c>
    </row>
    <row r="285">
      <c r="A285" s="84" t="s">
        <v>1749</v>
      </c>
      <c r="B285" s="84" t="s">
        <v>1777</v>
      </c>
      <c r="C285" s="84" t="s">
        <v>225</v>
      </c>
      <c r="D285" s="84" t="s">
        <v>915</v>
      </c>
      <c r="E285" s="89">
        <v>46300.0</v>
      </c>
      <c r="F285" s="87">
        <v>7.0</v>
      </c>
      <c r="G285" s="87">
        <v>0.0</v>
      </c>
      <c r="H285" s="87">
        <v>2823.0</v>
      </c>
      <c r="I285" s="87">
        <v>0.0</v>
      </c>
      <c r="J285" s="87">
        <v>5.797619</v>
      </c>
      <c r="K285" s="87">
        <v>5.949444</v>
      </c>
      <c r="L285" s="87">
        <v>7.30132</v>
      </c>
      <c r="M285" s="87">
        <v>1.502447</v>
      </c>
      <c r="N285" s="87">
        <v>0.252536</v>
      </c>
      <c r="O285" s="87">
        <v>0.0</v>
      </c>
      <c r="P285" s="87">
        <v>0.497849</v>
      </c>
      <c r="Q285" s="87">
        <v>0.698925</v>
      </c>
      <c r="R285" s="87">
        <v>0.803448</v>
      </c>
      <c r="S285" s="87">
        <v>1.065591</v>
      </c>
      <c r="T285" s="87">
        <v>0.497849</v>
      </c>
      <c r="U285" s="87">
        <v>0.698925</v>
      </c>
      <c r="V285" s="87">
        <v>0.698925</v>
      </c>
      <c r="W285" s="87">
        <v>1.065591</v>
      </c>
      <c r="X285" s="87">
        <v>1.381183</v>
      </c>
      <c r="Y285" s="87">
        <v>0.849921</v>
      </c>
      <c r="Z285" s="87">
        <v>0.0</v>
      </c>
      <c r="AA285" s="87">
        <v>0.803448</v>
      </c>
      <c r="AB285" s="87">
        <v>0.674716</v>
      </c>
      <c r="AC285" s="87">
        <v>0.539583</v>
      </c>
      <c r="AD285" s="87">
        <v>1.105039</v>
      </c>
      <c r="AE285" s="87">
        <v>2.815647</v>
      </c>
      <c r="AF285" s="87">
        <v>5.950167</v>
      </c>
      <c r="AG285" s="87">
        <v>4.993988</v>
      </c>
      <c r="AH285" s="87">
        <v>0.0</v>
      </c>
      <c r="AI285" s="87">
        <v>2.924832</v>
      </c>
      <c r="AJ285" s="87">
        <v>3.002164</v>
      </c>
      <c r="AK285" s="87">
        <v>1.479105</v>
      </c>
      <c r="AL285" s="88" t="s">
        <v>1396</v>
      </c>
    </row>
    <row r="286">
      <c r="A286" s="84" t="s">
        <v>1751</v>
      </c>
      <c r="B286" s="84" t="s">
        <v>1778</v>
      </c>
      <c r="C286" s="84" t="s">
        <v>225</v>
      </c>
      <c r="D286" s="84" t="s">
        <v>915</v>
      </c>
      <c r="E286" s="84" t="s">
        <v>1403</v>
      </c>
      <c r="F286" s="87">
        <v>6.0</v>
      </c>
      <c r="G286" s="87">
        <v>0.0</v>
      </c>
      <c r="H286" s="87">
        <v>0.0</v>
      </c>
      <c r="I286" s="87">
        <v>0.0</v>
      </c>
      <c r="J286" s="87">
        <v>0.0</v>
      </c>
      <c r="K286" s="87">
        <v>0.0</v>
      </c>
      <c r="L286" s="87">
        <v>0.0</v>
      </c>
      <c r="M286" s="87">
        <v>0.0</v>
      </c>
      <c r="N286" s="87">
        <v>0.0</v>
      </c>
      <c r="O286" s="87">
        <v>0.0</v>
      </c>
      <c r="P286" s="87">
        <v>0.0</v>
      </c>
      <c r="Q286" s="87">
        <v>0.0</v>
      </c>
      <c r="R286" s="87">
        <v>0.0</v>
      </c>
      <c r="S286" s="87">
        <v>0.0</v>
      </c>
      <c r="T286" s="87">
        <v>0.0</v>
      </c>
      <c r="U286" s="87">
        <v>0.0</v>
      </c>
      <c r="V286" s="87">
        <v>0.0</v>
      </c>
      <c r="W286" s="87">
        <v>0.0</v>
      </c>
      <c r="X286" s="87">
        <v>0.0</v>
      </c>
      <c r="Y286" s="87">
        <v>0.0</v>
      </c>
      <c r="Z286" s="87">
        <v>0.0</v>
      </c>
      <c r="AA286" s="87">
        <v>0.803448</v>
      </c>
      <c r="AB286" s="87">
        <v>0.674716</v>
      </c>
      <c r="AC286" s="87">
        <v>0.539583</v>
      </c>
      <c r="AD286" s="87">
        <v>0.0</v>
      </c>
      <c r="AE286" s="87">
        <v>0.0</v>
      </c>
      <c r="AF286" s="87">
        <v>0.0</v>
      </c>
      <c r="AG286" s="87">
        <v>0.0</v>
      </c>
      <c r="AH286" s="87">
        <v>0.0</v>
      </c>
      <c r="AI286" s="87">
        <v>2.924832</v>
      </c>
      <c r="AJ286" s="87">
        <v>3.002164</v>
      </c>
      <c r="AK286" s="87">
        <v>1.479105</v>
      </c>
      <c r="AL286" s="88" t="s">
        <v>1396</v>
      </c>
    </row>
    <row r="287">
      <c r="A287" s="84" t="s">
        <v>1739</v>
      </c>
      <c r="B287" s="84" t="s">
        <v>1779</v>
      </c>
      <c r="C287" s="84" t="s">
        <v>225</v>
      </c>
      <c r="D287" s="84" t="s">
        <v>1780</v>
      </c>
      <c r="E287" s="84" t="s">
        <v>1426</v>
      </c>
      <c r="F287" s="87">
        <v>7.0</v>
      </c>
      <c r="G287" s="87">
        <v>0.0</v>
      </c>
      <c r="H287" s="87">
        <v>337.0</v>
      </c>
      <c r="I287" s="87">
        <v>0.0</v>
      </c>
      <c r="J287" s="87">
        <v>0.071429</v>
      </c>
      <c r="K287" s="87">
        <v>0.033333</v>
      </c>
      <c r="L287" s="87">
        <v>0.15</v>
      </c>
      <c r="M287" s="87">
        <v>0.033333</v>
      </c>
      <c r="N287" s="87">
        <v>1.0</v>
      </c>
      <c r="O287" s="87">
        <v>0.0</v>
      </c>
      <c r="P287" s="87">
        <v>0.0</v>
      </c>
      <c r="Q287" s="87">
        <v>0.0</v>
      </c>
      <c r="R287" s="87">
        <v>0.0</v>
      </c>
      <c r="S287" s="87">
        <v>0.0</v>
      </c>
      <c r="T287" s="87">
        <v>0.033333</v>
      </c>
      <c r="U287" s="87">
        <v>0.033333</v>
      </c>
      <c r="V287" s="87">
        <v>0.033333</v>
      </c>
      <c r="W287" s="87">
        <v>0.033333</v>
      </c>
      <c r="X287" s="87">
        <v>0.033333</v>
      </c>
      <c r="Y287" s="87">
        <v>0.004762</v>
      </c>
      <c r="Z287" s="87">
        <v>0.0</v>
      </c>
      <c r="AA287" s="87">
        <v>1.474242</v>
      </c>
      <c r="AB287" s="87">
        <v>1.406838</v>
      </c>
      <c r="AC287" s="87">
        <v>1.405013</v>
      </c>
      <c r="AD287" s="87">
        <v>0.0</v>
      </c>
      <c r="AE287" s="87">
        <v>9.400519</v>
      </c>
      <c r="AF287" s="87">
        <v>7.425993</v>
      </c>
      <c r="AG287" s="87">
        <v>1.479105</v>
      </c>
      <c r="AH287" s="87">
        <v>0.0</v>
      </c>
      <c r="AI287" s="87">
        <v>2.924832</v>
      </c>
      <c r="AJ287" s="87">
        <v>3.002164</v>
      </c>
      <c r="AK287" s="87">
        <v>1.479105</v>
      </c>
      <c r="AL287" s="88" t="s">
        <v>1396</v>
      </c>
    </row>
    <row r="288">
      <c r="A288" s="84" t="s">
        <v>1741</v>
      </c>
      <c r="B288" s="84" t="s">
        <v>1781</v>
      </c>
      <c r="C288" s="84" t="s">
        <v>225</v>
      </c>
      <c r="D288" s="84" t="s">
        <v>1780</v>
      </c>
      <c r="E288" s="86">
        <v>46310.0</v>
      </c>
      <c r="F288" s="87">
        <v>19.0</v>
      </c>
      <c r="G288" s="87">
        <v>0.0</v>
      </c>
      <c r="H288" s="87">
        <v>6339.0</v>
      </c>
      <c r="I288" s="87">
        <v>0.0</v>
      </c>
      <c r="J288" s="87">
        <v>77.04595</v>
      </c>
      <c r="K288" s="87">
        <v>77.86351</v>
      </c>
      <c r="L288" s="87">
        <v>77.25158</v>
      </c>
      <c r="M288" s="87">
        <v>45.61934</v>
      </c>
      <c r="N288" s="87">
        <v>0.585889</v>
      </c>
      <c r="O288" s="87">
        <v>0.033333</v>
      </c>
      <c r="P288" s="87">
        <v>0.666667</v>
      </c>
      <c r="Q288" s="87">
        <v>1.12346</v>
      </c>
      <c r="R288" s="87">
        <v>2.381723</v>
      </c>
      <c r="S288" s="87">
        <v>4.392294</v>
      </c>
      <c r="T288" s="87">
        <v>0.033333</v>
      </c>
      <c r="U288" s="87">
        <v>0.666667</v>
      </c>
      <c r="V288" s="87">
        <v>1.12346</v>
      </c>
      <c r="W288" s="87">
        <v>2.381723</v>
      </c>
      <c r="X288" s="87">
        <v>4.392294</v>
      </c>
      <c r="Y288" s="87">
        <v>4.09808</v>
      </c>
      <c r="Z288" s="87">
        <v>0.0</v>
      </c>
      <c r="AA288" s="87">
        <v>1.474242</v>
      </c>
      <c r="AB288" s="87">
        <v>1.406838</v>
      </c>
      <c r="AC288" s="87">
        <v>1.405013</v>
      </c>
      <c r="AD288" s="87">
        <v>2.708225</v>
      </c>
      <c r="AE288" s="87">
        <v>3.714776</v>
      </c>
      <c r="AF288" s="87">
        <v>4.615439</v>
      </c>
      <c r="AG288" s="87">
        <v>4.09808</v>
      </c>
      <c r="AH288" s="87">
        <v>0.0</v>
      </c>
      <c r="AI288" s="87">
        <v>2.924832</v>
      </c>
      <c r="AJ288" s="87">
        <v>3.002164</v>
      </c>
      <c r="AK288" s="87">
        <v>1.479105</v>
      </c>
      <c r="AL288" s="88" t="s">
        <v>1396</v>
      </c>
    </row>
    <row r="289">
      <c r="A289" s="84" t="s">
        <v>1743</v>
      </c>
      <c r="B289" s="84" t="s">
        <v>1782</v>
      </c>
      <c r="C289" s="84" t="s">
        <v>225</v>
      </c>
      <c r="D289" s="84" t="s">
        <v>1780</v>
      </c>
      <c r="E289" s="84" t="s">
        <v>1413</v>
      </c>
      <c r="F289" s="87">
        <v>14.0</v>
      </c>
      <c r="G289" s="87">
        <v>0.0</v>
      </c>
      <c r="H289" s="87">
        <v>3665.0</v>
      </c>
      <c r="I289" s="87">
        <v>0.0</v>
      </c>
      <c r="J289" s="87">
        <v>48.35365</v>
      </c>
      <c r="K289" s="87">
        <v>51.62853</v>
      </c>
      <c r="L289" s="87">
        <v>53.78132</v>
      </c>
      <c r="M289" s="87">
        <v>35.06388</v>
      </c>
      <c r="N289" s="87">
        <v>0.679157</v>
      </c>
      <c r="O289" s="87">
        <v>0.0</v>
      </c>
      <c r="P289" s="87">
        <v>0.241097</v>
      </c>
      <c r="Q289" s="87">
        <v>0.576923</v>
      </c>
      <c r="R289" s="87">
        <v>1.961863</v>
      </c>
      <c r="S289" s="87">
        <v>4.044084</v>
      </c>
      <c r="T289" s="87">
        <v>0.25</v>
      </c>
      <c r="U289" s="87">
        <v>0.576923</v>
      </c>
      <c r="V289" s="87">
        <v>0.669935</v>
      </c>
      <c r="W289" s="87">
        <v>3.659779</v>
      </c>
      <c r="X289" s="87">
        <v>4.304917</v>
      </c>
      <c r="Y289" s="87">
        <v>3.687752</v>
      </c>
      <c r="Z289" s="87">
        <v>0.0</v>
      </c>
      <c r="AA289" s="87">
        <v>1.474242</v>
      </c>
      <c r="AB289" s="87">
        <v>1.406838</v>
      </c>
      <c r="AC289" s="87">
        <v>1.405013</v>
      </c>
      <c r="AD289" s="87">
        <v>1.5</v>
      </c>
      <c r="AE289" s="87">
        <v>1.961863</v>
      </c>
      <c r="AF289" s="87">
        <v>5.06927</v>
      </c>
      <c r="AG289" s="87">
        <v>3.687752</v>
      </c>
      <c r="AH289" s="87">
        <v>0.0</v>
      </c>
      <c r="AI289" s="87">
        <v>2.924832</v>
      </c>
      <c r="AJ289" s="87">
        <v>3.002164</v>
      </c>
      <c r="AK289" s="87">
        <v>1.479105</v>
      </c>
      <c r="AL289" s="88" t="s">
        <v>1396</v>
      </c>
    </row>
    <row r="290">
      <c r="A290" s="84" t="s">
        <v>1745</v>
      </c>
      <c r="B290" s="84" t="s">
        <v>1783</v>
      </c>
      <c r="C290" s="84" t="s">
        <v>225</v>
      </c>
      <c r="D290" s="84" t="s">
        <v>1780</v>
      </c>
      <c r="E290" s="84" t="s">
        <v>1398</v>
      </c>
      <c r="F290" s="87">
        <v>7.0</v>
      </c>
      <c r="G290" s="87">
        <v>0.0</v>
      </c>
      <c r="H290" s="87">
        <v>731.0</v>
      </c>
      <c r="I290" s="87">
        <v>0.0</v>
      </c>
      <c r="J290" s="87">
        <v>8.172453</v>
      </c>
      <c r="K290" s="87">
        <v>9.835091</v>
      </c>
      <c r="L290" s="87">
        <v>9.200098</v>
      </c>
      <c r="M290" s="87">
        <v>7.049872</v>
      </c>
      <c r="N290" s="87">
        <v>0.716808</v>
      </c>
      <c r="O290" s="87">
        <v>0.0</v>
      </c>
      <c r="P290" s="87">
        <v>0.0</v>
      </c>
      <c r="Q290" s="87">
        <v>0.1</v>
      </c>
      <c r="R290" s="87">
        <v>0.81341</v>
      </c>
      <c r="S290" s="87">
        <v>1.871809</v>
      </c>
      <c r="T290" s="87">
        <v>0.1</v>
      </c>
      <c r="U290" s="87">
        <v>0.81341</v>
      </c>
      <c r="V290" s="87">
        <v>0.81341</v>
      </c>
      <c r="W290" s="87">
        <v>1.871809</v>
      </c>
      <c r="X290" s="87">
        <v>2.939022</v>
      </c>
      <c r="Y290" s="87">
        <v>1.405013</v>
      </c>
      <c r="Z290" s="87">
        <v>0.0</v>
      </c>
      <c r="AA290" s="87">
        <v>1.474242</v>
      </c>
      <c r="AB290" s="87">
        <v>1.406838</v>
      </c>
      <c r="AC290" s="87">
        <v>1.405013</v>
      </c>
      <c r="AD290" s="87">
        <v>1.871809</v>
      </c>
      <c r="AE290" s="87">
        <v>2.939022</v>
      </c>
      <c r="AF290" s="87">
        <v>4.92713</v>
      </c>
      <c r="AG290" s="87">
        <v>1.405013</v>
      </c>
      <c r="AH290" s="87">
        <v>0.0</v>
      </c>
      <c r="AI290" s="87">
        <v>2.924832</v>
      </c>
      <c r="AJ290" s="87">
        <v>3.002164</v>
      </c>
      <c r="AK290" s="87">
        <v>1.479105</v>
      </c>
      <c r="AL290" s="88" t="s">
        <v>1396</v>
      </c>
    </row>
    <row r="291">
      <c r="A291" s="84" t="s">
        <v>1747</v>
      </c>
      <c r="B291" s="84" t="s">
        <v>1784</v>
      </c>
      <c r="C291" s="84" t="s">
        <v>225</v>
      </c>
      <c r="D291" s="84" t="s">
        <v>1780</v>
      </c>
      <c r="E291" s="84" t="s">
        <v>1400</v>
      </c>
      <c r="F291" s="87">
        <v>14.0</v>
      </c>
      <c r="G291" s="87">
        <v>0.0</v>
      </c>
      <c r="H291" s="87">
        <v>1861.0</v>
      </c>
      <c r="I291" s="87">
        <v>0.0</v>
      </c>
      <c r="J291" s="87">
        <v>15.10562</v>
      </c>
      <c r="K291" s="87">
        <v>16.94383</v>
      </c>
      <c r="L291" s="87">
        <v>18.6329</v>
      </c>
      <c r="M291" s="87">
        <v>9.067008</v>
      </c>
      <c r="N291" s="87">
        <v>0.535121</v>
      </c>
      <c r="O291" s="87">
        <v>0.148333</v>
      </c>
      <c r="P291" s="87">
        <v>0.2</v>
      </c>
      <c r="Q291" s="87">
        <v>0.400044</v>
      </c>
      <c r="R291" s="87">
        <v>1.180651</v>
      </c>
      <c r="S291" s="87">
        <v>1.474242</v>
      </c>
      <c r="T291" s="87">
        <v>0.2</v>
      </c>
      <c r="U291" s="87">
        <v>0.387037</v>
      </c>
      <c r="V291" s="87">
        <v>0.400044</v>
      </c>
      <c r="W291" s="87">
        <v>1.180651</v>
      </c>
      <c r="X291" s="87">
        <v>1.733333</v>
      </c>
      <c r="Y291" s="87">
        <v>1.210274</v>
      </c>
      <c r="Z291" s="87">
        <v>0.0</v>
      </c>
      <c r="AA291" s="87">
        <v>1.474242</v>
      </c>
      <c r="AB291" s="87">
        <v>1.406838</v>
      </c>
      <c r="AC291" s="87">
        <v>1.405013</v>
      </c>
      <c r="AD291" s="87">
        <v>0.481962</v>
      </c>
      <c r="AE291" s="87">
        <v>1.188351</v>
      </c>
      <c r="AF291" s="87">
        <v>2.536387</v>
      </c>
      <c r="AG291" s="87">
        <v>1.210274</v>
      </c>
      <c r="AH291" s="87">
        <v>0.0</v>
      </c>
      <c r="AI291" s="87">
        <v>2.924832</v>
      </c>
      <c r="AJ291" s="87">
        <v>3.002164</v>
      </c>
      <c r="AK291" s="87">
        <v>1.479105</v>
      </c>
      <c r="AL291" s="88" t="s">
        <v>1396</v>
      </c>
    </row>
    <row r="292">
      <c r="A292" s="84" t="s">
        <v>1749</v>
      </c>
      <c r="B292" s="84" t="s">
        <v>1785</v>
      </c>
      <c r="C292" s="84" t="s">
        <v>225</v>
      </c>
      <c r="D292" s="84" t="s">
        <v>1780</v>
      </c>
      <c r="E292" s="89">
        <v>46300.0</v>
      </c>
      <c r="F292" s="87">
        <v>32.0</v>
      </c>
      <c r="G292" s="87">
        <v>1.0</v>
      </c>
      <c r="H292" s="87">
        <v>9208.0</v>
      </c>
      <c r="I292" s="87">
        <v>109.0</v>
      </c>
      <c r="J292" s="87">
        <v>77.99621</v>
      </c>
      <c r="K292" s="87">
        <v>94.11292</v>
      </c>
      <c r="L292" s="87">
        <v>111.1301</v>
      </c>
      <c r="M292" s="87">
        <v>81.18583</v>
      </c>
      <c r="N292" s="87">
        <v>0.862643</v>
      </c>
      <c r="O292" s="87">
        <v>0.0</v>
      </c>
      <c r="P292" s="87">
        <v>0.0</v>
      </c>
      <c r="Q292" s="87">
        <v>0.0</v>
      </c>
      <c r="R292" s="87">
        <v>0.571983</v>
      </c>
      <c r="S292" s="87">
        <v>1.969352</v>
      </c>
      <c r="T292" s="87">
        <v>0.165591</v>
      </c>
      <c r="U292" s="87">
        <v>0.203448</v>
      </c>
      <c r="V292" s="87">
        <v>0.571983</v>
      </c>
      <c r="W292" s="87">
        <v>1.186398</v>
      </c>
      <c r="X292" s="87">
        <v>2.390323</v>
      </c>
      <c r="Y292" s="87">
        <v>2.941029</v>
      </c>
      <c r="Z292" s="87">
        <v>0.0</v>
      </c>
      <c r="AA292" s="87">
        <v>1.474242</v>
      </c>
      <c r="AB292" s="87">
        <v>1.406838</v>
      </c>
      <c r="AC292" s="87">
        <v>1.405013</v>
      </c>
      <c r="AD292" s="87">
        <v>1.105039</v>
      </c>
      <c r="AE292" s="87">
        <v>2.815647</v>
      </c>
      <c r="AF292" s="87">
        <v>5.950167</v>
      </c>
      <c r="AG292" s="87">
        <v>4.993988</v>
      </c>
      <c r="AH292" s="87">
        <v>0.0</v>
      </c>
      <c r="AI292" s="87">
        <v>2.924832</v>
      </c>
      <c r="AJ292" s="87">
        <v>3.002164</v>
      </c>
      <c r="AK292" s="87">
        <v>1.479105</v>
      </c>
      <c r="AL292" s="88" t="s">
        <v>1396</v>
      </c>
    </row>
    <row r="293">
      <c r="A293" s="84" t="s">
        <v>1751</v>
      </c>
      <c r="B293" s="84" t="s">
        <v>1786</v>
      </c>
      <c r="C293" s="84" t="s">
        <v>225</v>
      </c>
      <c r="D293" s="84" t="s">
        <v>1780</v>
      </c>
      <c r="E293" s="84" t="s">
        <v>1403</v>
      </c>
      <c r="F293" s="87">
        <v>85.0</v>
      </c>
      <c r="G293" s="87">
        <v>1.0</v>
      </c>
      <c r="H293" s="87">
        <v>6.0</v>
      </c>
      <c r="I293" s="87">
        <v>6.0</v>
      </c>
      <c r="J293" s="87">
        <v>0.0</v>
      </c>
      <c r="K293" s="87">
        <v>0.0</v>
      </c>
      <c r="L293" s="87">
        <v>0.0</v>
      </c>
      <c r="M293" s="87">
        <v>0.0</v>
      </c>
      <c r="N293" s="87">
        <v>0.0</v>
      </c>
      <c r="O293" s="87">
        <v>0.0</v>
      </c>
      <c r="P293" s="87">
        <v>0.0</v>
      </c>
      <c r="Q293" s="87">
        <v>0.0</v>
      </c>
      <c r="R293" s="87">
        <v>0.0</v>
      </c>
      <c r="S293" s="87">
        <v>0.0</v>
      </c>
      <c r="T293" s="87">
        <v>0.0</v>
      </c>
      <c r="U293" s="87">
        <v>0.0</v>
      </c>
      <c r="V293" s="87">
        <v>0.0</v>
      </c>
      <c r="W293" s="87">
        <v>0.0</v>
      </c>
      <c r="X293" s="87">
        <v>0.0</v>
      </c>
      <c r="Y293" s="87">
        <v>0.0</v>
      </c>
      <c r="Z293" s="87">
        <v>0.0</v>
      </c>
      <c r="AA293" s="87">
        <v>1.474242</v>
      </c>
      <c r="AB293" s="87">
        <v>1.406838</v>
      </c>
      <c r="AC293" s="87">
        <v>1.405013</v>
      </c>
      <c r="AD293" s="87">
        <v>0.0</v>
      </c>
      <c r="AE293" s="87">
        <v>0.0</v>
      </c>
      <c r="AF293" s="87">
        <v>0.0</v>
      </c>
      <c r="AG293" s="87">
        <v>0.0</v>
      </c>
      <c r="AH293" s="87">
        <v>0.0</v>
      </c>
      <c r="AI293" s="87">
        <v>2.924832</v>
      </c>
      <c r="AJ293" s="87">
        <v>3.002164</v>
      </c>
      <c r="AK293" s="87">
        <v>1.479105</v>
      </c>
      <c r="AL293" s="88" t="s">
        <v>1396</v>
      </c>
    </row>
    <row r="294">
      <c r="A294" s="84" t="s">
        <v>1787</v>
      </c>
      <c r="B294" s="84" t="s">
        <v>1788</v>
      </c>
      <c r="C294" s="84" t="s">
        <v>231</v>
      </c>
      <c r="D294" s="84" t="s">
        <v>232</v>
      </c>
      <c r="E294" s="84" t="s">
        <v>1426</v>
      </c>
      <c r="F294" s="87">
        <v>2.0</v>
      </c>
      <c r="G294" s="87">
        <v>0.0</v>
      </c>
      <c r="H294" s="87">
        <v>1559.0</v>
      </c>
      <c r="I294" s="87">
        <v>0.0</v>
      </c>
      <c r="J294" s="87">
        <v>46.56214</v>
      </c>
      <c r="K294" s="87">
        <v>40.37868</v>
      </c>
      <c r="L294" s="87">
        <v>33.80433</v>
      </c>
      <c r="M294" s="87">
        <v>22.95029</v>
      </c>
      <c r="N294" s="87">
        <v>0.568376</v>
      </c>
      <c r="O294" s="87">
        <v>17.42839</v>
      </c>
      <c r="P294" s="87">
        <v>17.42839</v>
      </c>
      <c r="Q294" s="87">
        <v>17.42839</v>
      </c>
      <c r="R294" s="87">
        <v>22.95029</v>
      </c>
      <c r="S294" s="87">
        <v>22.95029</v>
      </c>
      <c r="T294" s="87">
        <v>17.42839</v>
      </c>
      <c r="U294" s="87">
        <v>17.42839</v>
      </c>
      <c r="V294" s="87">
        <v>17.42839</v>
      </c>
      <c r="W294" s="87">
        <v>22.95029</v>
      </c>
      <c r="X294" s="87">
        <v>22.95029</v>
      </c>
      <c r="Y294" s="87">
        <v>20.18934</v>
      </c>
      <c r="Z294" s="87">
        <v>0.0</v>
      </c>
      <c r="AA294" s="87">
        <v>13.63745</v>
      </c>
      <c r="AB294" s="87">
        <v>5.756151</v>
      </c>
      <c r="AC294" s="87">
        <v>12.48875</v>
      </c>
      <c r="AD294" s="87">
        <v>13.8789</v>
      </c>
      <c r="AE294" s="87">
        <v>22.84126</v>
      </c>
      <c r="AF294" s="87">
        <v>26.88872</v>
      </c>
      <c r="AG294" s="87">
        <v>25.74222</v>
      </c>
      <c r="AH294" s="87">
        <v>0.0</v>
      </c>
      <c r="AI294" s="87">
        <v>15.6481</v>
      </c>
      <c r="AJ294" s="87">
        <v>7.18899</v>
      </c>
      <c r="AK294" s="87">
        <v>8.873449</v>
      </c>
      <c r="AL294" s="88" t="s">
        <v>1396</v>
      </c>
    </row>
    <row r="295">
      <c r="A295" s="84" t="s">
        <v>1789</v>
      </c>
      <c r="B295" s="84" t="s">
        <v>1790</v>
      </c>
      <c r="C295" s="84" t="s">
        <v>231</v>
      </c>
      <c r="D295" s="84" t="s">
        <v>232</v>
      </c>
      <c r="E295" s="86">
        <v>46310.0</v>
      </c>
      <c r="F295" s="87">
        <v>27.0</v>
      </c>
      <c r="G295" s="87">
        <v>0.0</v>
      </c>
      <c r="H295" s="87">
        <v>10252.0</v>
      </c>
      <c r="I295" s="87">
        <v>0.0</v>
      </c>
      <c r="J295" s="87">
        <v>218.3365</v>
      </c>
      <c r="K295" s="87">
        <v>239.5831</v>
      </c>
      <c r="L295" s="87">
        <v>245.7426</v>
      </c>
      <c r="M295" s="87">
        <v>166.7633</v>
      </c>
      <c r="N295" s="87">
        <v>0.696056</v>
      </c>
      <c r="O295" s="87">
        <v>0.0</v>
      </c>
      <c r="P295" s="87">
        <v>0.0</v>
      </c>
      <c r="Q295" s="87">
        <v>0.0</v>
      </c>
      <c r="R295" s="87">
        <v>4.914766</v>
      </c>
      <c r="S295" s="87">
        <v>9.440431</v>
      </c>
      <c r="T295" s="87">
        <v>1.120696</v>
      </c>
      <c r="U295" s="87">
        <v>4.914766</v>
      </c>
      <c r="V295" s="87">
        <v>6.124663</v>
      </c>
      <c r="W295" s="87">
        <v>9.440431</v>
      </c>
      <c r="X295" s="87">
        <v>17.60458</v>
      </c>
      <c r="Y295" s="87">
        <v>8.873449</v>
      </c>
      <c r="Z295" s="87">
        <v>0.0</v>
      </c>
      <c r="AA295" s="87">
        <v>13.63745</v>
      </c>
      <c r="AB295" s="87">
        <v>5.756151</v>
      </c>
      <c r="AC295" s="87">
        <v>12.48875</v>
      </c>
      <c r="AD295" s="87">
        <v>14.50288</v>
      </c>
      <c r="AE295" s="87">
        <v>21.15481</v>
      </c>
      <c r="AF295" s="87">
        <v>29.92747</v>
      </c>
      <c r="AG295" s="87">
        <v>38.8682</v>
      </c>
      <c r="AH295" s="87">
        <v>0.0</v>
      </c>
      <c r="AI295" s="87">
        <v>15.6481</v>
      </c>
      <c r="AJ295" s="87">
        <v>7.18899</v>
      </c>
      <c r="AK295" s="87">
        <v>8.873449</v>
      </c>
      <c r="AL295" s="88" t="s">
        <v>1396</v>
      </c>
    </row>
    <row r="296">
      <c r="A296" s="84" t="s">
        <v>1791</v>
      </c>
      <c r="B296" s="84" t="s">
        <v>1792</v>
      </c>
      <c r="C296" s="84" t="s">
        <v>231</v>
      </c>
      <c r="D296" s="84" t="s">
        <v>232</v>
      </c>
      <c r="E296" s="84" t="s">
        <v>1413</v>
      </c>
      <c r="F296" s="87">
        <v>25.0</v>
      </c>
      <c r="G296" s="87">
        <v>0.0</v>
      </c>
      <c r="H296" s="87">
        <v>14209.0</v>
      </c>
      <c r="I296" s="87">
        <v>0.0</v>
      </c>
      <c r="J296" s="87">
        <v>320.7545</v>
      </c>
      <c r="K296" s="87">
        <v>324.5401</v>
      </c>
      <c r="L296" s="87">
        <v>308.1341</v>
      </c>
      <c r="M296" s="87">
        <v>208.1529</v>
      </c>
      <c r="N296" s="87">
        <v>0.641378</v>
      </c>
      <c r="O296" s="87">
        <v>0.0</v>
      </c>
      <c r="P296" s="87">
        <v>0.0</v>
      </c>
      <c r="Q296" s="87">
        <v>0.0</v>
      </c>
      <c r="R296" s="87">
        <v>6.160715</v>
      </c>
      <c r="S296" s="87">
        <v>13.63745</v>
      </c>
      <c r="T296" s="87">
        <v>6.160715</v>
      </c>
      <c r="U296" s="87">
        <v>8.116385</v>
      </c>
      <c r="V296" s="87">
        <v>12.05148</v>
      </c>
      <c r="W296" s="87">
        <v>24.12509</v>
      </c>
      <c r="X296" s="87">
        <v>27.54791</v>
      </c>
      <c r="Y296" s="87">
        <v>12.9816</v>
      </c>
      <c r="Z296" s="87">
        <v>0.0</v>
      </c>
      <c r="AA296" s="87">
        <v>13.63745</v>
      </c>
      <c r="AB296" s="87">
        <v>5.756151</v>
      </c>
      <c r="AC296" s="87">
        <v>12.48875</v>
      </c>
      <c r="AD296" s="87">
        <v>6.038515</v>
      </c>
      <c r="AE296" s="87">
        <v>13.32172</v>
      </c>
      <c r="AF296" s="87">
        <v>11.22386</v>
      </c>
      <c r="AG296" s="87">
        <v>12.9816</v>
      </c>
      <c r="AH296" s="87">
        <v>0.0</v>
      </c>
      <c r="AI296" s="87">
        <v>15.6481</v>
      </c>
      <c r="AJ296" s="87">
        <v>7.18899</v>
      </c>
      <c r="AK296" s="87">
        <v>8.873449</v>
      </c>
      <c r="AL296" s="88" t="s">
        <v>1396</v>
      </c>
    </row>
    <row r="297">
      <c r="A297" s="84" t="s">
        <v>1793</v>
      </c>
      <c r="B297" s="84" t="s">
        <v>1794</v>
      </c>
      <c r="C297" s="84" t="s">
        <v>231</v>
      </c>
      <c r="D297" s="84" t="s">
        <v>232</v>
      </c>
      <c r="E297" s="84" t="s">
        <v>1398</v>
      </c>
      <c r="F297" s="87">
        <v>20.0</v>
      </c>
      <c r="G297" s="87">
        <v>0.0</v>
      </c>
      <c r="H297" s="87">
        <v>6752.0</v>
      </c>
      <c r="I297" s="87">
        <v>0.0</v>
      </c>
      <c r="J297" s="87">
        <v>224.5214</v>
      </c>
      <c r="K297" s="87">
        <v>249.775</v>
      </c>
      <c r="L297" s="87">
        <v>232.5024</v>
      </c>
      <c r="M297" s="87">
        <v>224.7068</v>
      </c>
      <c r="N297" s="87">
        <v>0.899637</v>
      </c>
      <c r="O297" s="87">
        <v>0.0</v>
      </c>
      <c r="P297" s="87">
        <v>0.0</v>
      </c>
      <c r="Q297" s="87">
        <v>0.0</v>
      </c>
      <c r="R297" s="87">
        <v>0.849771</v>
      </c>
      <c r="S297" s="87">
        <v>6.284744</v>
      </c>
      <c r="T297" s="87">
        <v>0.849771</v>
      </c>
      <c r="U297" s="87">
        <v>2.64215</v>
      </c>
      <c r="V297" s="87">
        <v>3.576463</v>
      </c>
      <c r="W297" s="87">
        <v>6.284744</v>
      </c>
      <c r="X297" s="87">
        <v>23.13415</v>
      </c>
      <c r="Y297" s="87">
        <v>12.48875</v>
      </c>
      <c r="Z297" s="87">
        <v>0.0</v>
      </c>
      <c r="AA297" s="87">
        <v>13.63745</v>
      </c>
      <c r="AB297" s="87">
        <v>5.756151</v>
      </c>
      <c r="AC297" s="87">
        <v>12.48875</v>
      </c>
      <c r="AD297" s="87">
        <v>1.609195</v>
      </c>
      <c r="AE297" s="87">
        <v>5.070267</v>
      </c>
      <c r="AF297" s="87">
        <v>9.392614</v>
      </c>
      <c r="AG297" s="87">
        <v>5.083247</v>
      </c>
      <c r="AH297" s="87">
        <v>0.0</v>
      </c>
      <c r="AI297" s="87">
        <v>15.6481</v>
      </c>
      <c r="AJ297" s="87">
        <v>7.18899</v>
      </c>
      <c r="AK297" s="87">
        <v>8.873449</v>
      </c>
      <c r="AL297" s="88" t="s">
        <v>1396</v>
      </c>
    </row>
    <row r="298">
      <c r="A298" s="84" t="s">
        <v>1795</v>
      </c>
      <c r="B298" s="84" t="s">
        <v>1796</v>
      </c>
      <c r="C298" s="84" t="s">
        <v>231</v>
      </c>
      <c r="D298" s="84" t="s">
        <v>232</v>
      </c>
      <c r="E298" s="84" t="s">
        <v>1400</v>
      </c>
      <c r="F298" s="87">
        <v>11.0</v>
      </c>
      <c r="G298" s="87">
        <v>0.0</v>
      </c>
      <c r="H298" s="87">
        <v>1514.0</v>
      </c>
      <c r="I298" s="87">
        <v>0.0</v>
      </c>
      <c r="J298" s="87">
        <v>25.49935</v>
      </c>
      <c r="K298" s="87">
        <v>34.58686</v>
      </c>
      <c r="L298" s="87">
        <v>30.77636</v>
      </c>
      <c r="M298" s="87">
        <v>29.18466</v>
      </c>
      <c r="N298" s="87">
        <v>0.843808</v>
      </c>
      <c r="O298" s="87">
        <v>0.0</v>
      </c>
      <c r="P298" s="87">
        <v>0.0</v>
      </c>
      <c r="Q298" s="87">
        <v>0.0</v>
      </c>
      <c r="R298" s="87">
        <v>0.041667</v>
      </c>
      <c r="S298" s="87">
        <v>4.305805</v>
      </c>
      <c r="T298" s="87">
        <v>0.041667</v>
      </c>
      <c r="U298" s="87">
        <v>1.054731</v>
      </c>
      <c r="V298" s="87">
        <v>1.054731</v>
      </c>
      <c r="W298" s="87">
        <v>5.019298</v>
      </c>
      <c r="X298" s="87">
        <v>9.722456</v>
      </c>
      <c r="Y298" s="87">
        <v>3.14426</v>
      </c>
      <c r="Z298" s="87">
        <v>0.0</v>
      </c>
      <c r="AA298" s="87">
        <v>13.63745</v>
      </c>
      <c r="AB298" s="87">
        <v>5.756151</v>
      </c>
      <c r="AC298" s="87">
        <v>12.48875</v>
      </c>
      <c r="AD298" s="87">
        <v>0.712937</v>
      </c>
      <c r="AE298" s="87">
        <v>2.874776</v>
      </c>
      <c r="AF298" s="87">
        <v>3.923754</v>
      </c>
      <c r="AG298" s="87">
        <v>4.012343</v>
      </c>
      <c r="AH298" s="87">
        <v>0.0</v>
      </c>
      <c r="AI298" s="87">
        <v>15.6481</v>
      </c>
      <c r="AJ298" s="87">
        <v>7.18899</v>
      </c>
      <c r="AK298" s="87">
        <v>8.873449</v>
      </c>
      <c r="AL298" s="88" t="s">
        <v>1396</v>
      </c>
    </row>
    <row r="299">
      <c r="A299" s="84" t="s">
        <v>1797</v>
      </c>
      <c r="B299" s="84" t="s">
        <v>1798</v>
      </c>
      <c r="C299" s="84" t="s">
        <v>231</v>
      </c>
      <c r="D299" s="84" t="s">
        <v>232</v>
      </c>
      <c r="E299" s="89">
        <v>46300.0</v>
      </c>
      <c r="F299" s="87">
        <v>23.0</v>
      </c>
      <c r="G299" s="87">
        <v>0.0</v>
      </c>
      <c r="H299" s="87">
        <v>19999.0</v>
      </c>
      <c r="I299" s="87">
        <v>0.0</v>
      </c>
      <c r="J299" s="87">
        <v>711.613</v>
      </c>
      <c r="K299" s="87">
        <v>757.3956</v>
      </c>
      <c r="L299" s="87">
        <v>768.3509</v>
      </c>
      <c r="M299" s="87">
        <v>485.3018</v>
      </c>
      <c r="N299" s="87">
        <v>0.640751</v>
      </c>
      <c r="O299" s="87">
        <v>0.0</v>
      </c>
      <c r="P299" s="87">
        <v>0.0</v>
      </c>
      <c r="Q299" s="87">
        <v>2.150276</v>
      </c>
      <c r="R299" s="87">
        <v>15.79317</v>
      </c>
      <c r="S299" s="87">
        <v>43.40396</v>
      </c>
      <c r="T299" s="87">
        <v>2.150276</v>
      </c>
      <c r="U299" s="87">
        <v>12.93335</v>
      </c>
      <c r="V299" s="87">
        <v>13.44315</v>
      </c>
      <c r="W299" s="87">
        <v>24.89428</v>
      </c>
      <c r="X299" s="87">
        <v>68.03582</v>
      </c>
      <c r="Y299" s="87">
        <v>32.93024</v>
      </c>
      <c r="Z299" s="87">
        <v>0.0</v>
      </c>
      <c r="AA299" s="87">
        <v>13.63745</v>
      </c>
      <c r="AB299" s="87">
        <v>5.756151</v>
      </c>
      <c r="AC299" s="87">
        <v>12.48875</v>
      </c>
      <c r="AD299" s="87">
        <v>13.39132</v>
      </c>
      <c r="AE299" s="87">
        <v>19.69388</v>
      </c>
      <c r="AF299" s="87">
        <v>27.88075</v>
      </c>
      <c r="AG299" s="87">
        <v>20.92786</v>
      </c>
      <c r="AH299" s="87">
        <v>0.0</v>
      </c>
      <c r="AI299" s="87">
        <v>15.6481</v>
      </c>
      <c r="AJ299" s="87">
        <v>7.18899</v>
      </c>
      <c r="AK299" s="87">
        <v>8.873449</v>
      </c>
      <c r="AL299" s="88" t="s">
        <v>1396</v>
      </c>
    </row>
    <row r="300">
      <c r="A300" s="84" t="s">
        <v>1799</v>
      </c>
      <c r="B300" s="84" t="s">
        <v>1800</v>
      </c>
      <c r="C300" s="84" t="s">
        <v>231</v>
      </c>
      <c r="D300" s="84" t="s">
        <v>232</v>
      </c>
      <c r="E300" s="84" t="s">
        <v>1403</v>
      </c>
      <c r="F300" s="87">
        <v>178.0</v>
      </c>
      <c r="G300" s="87">
        <v>3.0</v>
      </c>
      <c r="H300" s="87">
        <v>641.0</v>
      </c>
      <c r="I300" s="87">
        <v>641.0</v>
      </c>
      <c r="J300" s="87">
        <v>0.0</v>
      </c>
      <c r="K300" s="87">
        <v>0.0</v>
      </c>
      <c r="L300" s="87">
        <v>0.0</v>
      </c>
      <c r="M300" s="87">
        <v>0.0</v>
      </c>
      <c r="N300" s="87">
        <v>0.0</v>
      </c>
      <c r="O300" s="87">
        <v>0.0</v>
      </c>
      <c r="P300" s="87">
        <v>0.0</v>
      </c>
      <c r="Q300" s="87">
        <v>0.0</v>
      </c>
      <c r="R300" s="87">
        <v>0.0</v>
      </c>
      <c r="S300" s="87">
        <v>0.0</v>
      </c>
      <c r="T300" s="87">
        <v>0.0</v>
      </c>
      <c r="U300" s="87">
        <v>0.0</v>
      </c>
      <c r="V300" s="87">
        <v>0.0</v>
      </c>
      <c r="W300" s="87">
        <v>0.0</v>
      </c>
      <c r="X300" s="87">
        <v>0.0</v>
      </c>
      <c r="Y300" s="87">
        <v>0.0</v>
      </c>
      <c r="Z300" s="87">
        <v>0.0</v>
      </c>
      <c r="AA300" s="87">
        <v>13.63745</v>
      </c>
      <c r="AB300" s="87">
        <v>5.756151</v>
      </c>
      <c r="AC300" s="87">
        <v>12.48875</v>
      </c>
      <c r="AD300" s="87">
        <v>0.0</v>
      </c>
      <c r="AE300" s="87">
        <v>0.0</v>
      </c>
      <c r="AF300" s="87">
        <v>0.0</v>
      </c>
      <c r="AG300" s="87">
        <v>0.0</v>
      </c>
      <c r="AH300" s="87">
        <v>0.0</v>
      </c>
      <c r="AI300" s="87">
        <v>15.6481</v>
      </c>
      <c r="AJ300" s="87">
        <v>7.18899</v>
      </c>
      <c r="AK300" s="87">
        <v>8.873449</v>
      </c>
      <c r="AL300" s="88" t="s">
        <v>1396</v>
      </c>
    </row>
    <row r="301">
      <c r="A301" s="84" t="s">
        <v>1787</v>
      </c>
      <c r="B301" s="84" t="s">
        <v>1801</v>
      </c>
      <c r="C301" s="84" t="s">
        <v>231</v>
      </c>
      <c r="D301" s="84" t="s">
        <v>1802</v>
      </c>
      <c r="E301" s="84" t="s">
        <v>1426</v>
      </c>
      <c r="F301" s="87">
        <v>2.0</v>
      </c>
      <c r="G301" s="87">
        <v>0.0</v>
      </c>
      <c r="H301" s="87">
        <v>12498.0</v>
      </c>
      <c r="I301" s="87">
        <v>0.0</v>
      </c>
      <c r="J301" s="87">
        <v>113.7317</v>
      </c>
      <c r="K301" s="87">
        <v>124.8642</v>
      </c>
      <c r="L301" s="87">
        <v>136.0064</v>
      </c>
      <c r="M301" s="87">
        <v>105.5044</v>
      </c>
      <c r="N301" s="87">
        <v>0.844954</v>
      </c>
      <c r="O301" s="87">
        <v>19.35974</v>
      </c>
      <c r="P301" s="87">
        <v>19.35974</v>
      </c>
      <c r="Q301" s="87">
        <v>19.35974</v>
      </c>
      <c r="R301" s="87">
        <v>105.5044</v>
      </c>
      <c r="S301" s="87">
        <v>105.5044</v>
      </c>
      <c r="T301" s="87">
        <v>19.35974</v>
      </c>
      <c r="U301" s="87">
        <v>19.35974</v>
      </c>
      <c r="V301" s="87">
        <v>19.35974</v>
      </c>
      <c r="W301" s="87">
        <v>105.5044</v>
      </c>
      <c r="X301" s="87">
        <v>105.5044</v>
      </c>
      <c r="Y301" s="87">
        <v>62.43209</v>
      </c>
      <c r="Z301" s="87">
        <v>0.0</v>
      </c>
      <c r="AA301" s="87">
        <v>19.35974</v>
      </c>
      <c r="AB301" s="87">
        <v>13.07516</v>
      </c>
      <c r="AC301" s="87">
        <v>13.08097</v>
      </c>
      <c r="AD301" s="87">
        <v>13.8789</v>
      </c>
      <c r="AE301" s="87">
        <v>22.84126</v>
      </c>
      <c r="AF301" s="87">
        <v>26.88872</v>
      </c>
      <c r="AG301" s="87">
        <v>25.74222</v>
      </c>
      <c r="AH301" s="87">
        <v>0.0</v>
      </c>
      <c r="AI301" s="87">
        <v>15.6481</v>
      </c>
      <c r="AJ301" s="87">
        <v>7.18899</v>
      </c>
      <c r="AK301" s="87">
        <v>8.873449</v>
      </c>
      <c r="AL301" s="88" t="s">
        <v>1396</v>
      </c>
    </row>
    <row r="302">
      <c r="A302" s="84" t="s">
        <v>1789</v>
      </c>
      <c r="B302" s="84" t="s">
        <v>1803</v>
      </c>
      <c r="C302" s="84" t="s">
        <v>231</v>
      </c>
      <c r="D302" s="84" t="s">
        <v>1802</v>
      </c>
      <c r="E302" s="86">
        <v>46310.0</v>
      </c>
      <c r="F302" s="87">
        <v>10.0</v>
      </c>
      <c r="G302" s="87">
        <v>0.0</v>
      </c>
      <c r="H302" s="87">
        <v>34330.0</v>
      </c>
      <c r="I302" s="87">
        <v>0.0</v>
      </c>
      <c r="J302" s="87">
        <v>522.0973</v>
      </c>
      <c r="K302" s="87">
        <v>538.2737</v>
      </c>
      <c r="L302" s="87">
        <v>556.8015</v>
      </c>
      <c r="M302" s="87">
        <v>286.0562</v>
      </c>
      <c r="N302" s="87">
        <v>0.531433</v>
      </c>
      <c r="O302" s="87">
        <v>6.328085</v>
      </c>
      <c r="P302" s="87">
        <v>13.14531</v>
      </c>
      <c r="Q302" s="87">
        <v>18.22521</v>
      </c>
      <c r="R302" s="87">
        <v>36.46377</v>
      </c>
      <c r="S302" s="87">
        <v>101.3548</v>
      </c>
      <c r="T302" s="87">
        <v>6.328085</v>
      </c>
      <c r="U302" s="87">
        <v>13.14531</v>
      </c>
      <c r="V302" s="87">
        <v>18.22521</v>
      </c>
      <c r="W302" s="87">
        <v>36.46377</v>
      </c>
      <c r="X302" s="87">
        <v>101.3548</v>
      </c>
      <c r="Y302" s="87">
        <v>53.82737</v>
      </c>
      <c r="Z302" s="87">
        <v>0.0</v>
      </c>
      <c r="AA302" s="87">
        <v>19.35974</v>
      </c>
      <c r="AB302" s="87">
        <v>13.07516</v>
      </c>
      <c r="AC302" s="87">
        <v>13.08097</v>
      </c>
      <c r="AD302" s="87">
        <v>14.50288</v>
      </c>
      <c r="AE302" s="87">
        <v>21.15481</v>
      </c>
      <c r="AF302" s="87">
        <v>29.92747</v>
      </c>
      <c r="AG302" s="87">
        <v>38.8682</v>
      </c>
      <c r="AH302" s="87">
        <v>0.0</v>
      </c>
      <c r="AI302" s="87">
        <v>15.6481</v>
      </c>
      <c r="AJ302" s="87">
        <v>7.18899</v>
      </c>
      <c r="AK302" s="87">
        <v>8.873449</v>
      </c>
      <c r="AL302" s="88" t="s">
        <v>1396</v>
      </c>
    </row>
    <row r="303">
      <c r="A303" s="84" t="s">
        <v>1791</v>
      </c>
      <c r="B303" s="84" t="s">
        <v>1804</v>
      </c>
      <c r="C303" s="84" t="s">
        <v>231</v>
      </c>
      <c r="D303" s="84" t="s">
        <v>1802</v>
      </c>
      <c r="E303" s="84" t="s">
        <v>1413</v>
      </c>
      <c r="F303" s="87">
        <v>3.0</v>
      </c>
      <c r="G303" s="87">
        <v>0.0</v>
      </c>
      <c r="H303" s="87">
        <v>3145.0</v>
      </c>
      <c r="I303" s="87">
        <v>0.0</v>
      </c>
      <c r="J303" s="87">
        <v>30.47711</v>
      </c>
      <c r="K303" s="87">
        <v>32.2157</v>
      </c>
      <c r="L303" s="87">
        <v>34.38653</v>
      </c>
      <c r="M303" s="87">
        <v>32.2157</v>
      </c>
      <c r="N303" s="87">
        <v>1.0</v>
      </c>
      <c r="O303" s="87">
        <v>0.0</v>
      </c>
      <c r="P303" s="87">
        <v>0.0</v>
      </c>
      <c r="Q303" s="87">
        <v>0.0</v>
      </c>
      <c r="R303" s="87">
        <v>0.0</v>
      </c>
      <c r="S303" s="87">
        <v>32.2157</v>
      </c>
      <c r="T303" s="87">
        <v>32.2157</v>
      </c>
      <c r="U303" s="87">
        <v>32.2157</v>
      </c>
      <c r="V303" s="87">
        <v>32.2157</v>
      </c>
      <c r="W303" s="87">
        <v>32.2157</v>
      </c>
      <c r="X303" s="87">
        <v>32.2157</v>
      </c>
      <c r="Y303" s="87">
        <v>10.73857</v>
      </c>
      <c r="Z303" s="87">
        <v>0.0</v>
      </c>
      <c r="AA303" s="87">
        <v>19.35974</v>
      </c>
      <c r="AB303" s="87">
        <v>13.07516</v>
      </c>
      <c r="AC303" s="87">
        <v>13.08097</v>
      </c>
      <c r="AD303" s="87">
        <v>6.038515</v>
      </c>
      <c r="AE303" s="87">
        <v>13.32172</v>
      </c>
      <c r="AF303" s="87">
        <v>11.22386</v>
      </c>
      <c r="AG303" s="87">
        <v>12.9816</v>
      </c>
      <c r="AH303" s="87">
        <v>0.0</v>
      </c>
      <c r="AI303" s="87">
        <v>15.6481</v>
      </c>
      <c r="AJ303" s="87">
        <v>7.18899</v>
      </c>
      <c r="AK303" s="87">
        <v>8.873449</v>
      </c>
      <c r="AL303" s="88" t="s">
        <v>1396</v>
      </c>
    </row>
    <row r="304">
      <c r="A304" s="84" t="s">
        <v>1793</v>
      </c>
      <c r="B304" s="84" t="s">
        <v>1805</v>
      </c>
      <c r="C304" s="84" t="s">
        <v>231</v>
      </c>
      <c r="D304" s="84" t="s">
        <v>1802</v>
      </c>
      <c r="E304" s="84" t="s">
        <v>1398</v>
      </c>
      <c r="F304" s="87">
        <v>8.0</v>
      </c>
      <c r="G304" s="87">
        <v>0.0</v>
      </c>
      <c r="H304" s="87">
        <v>4908.0</v>
      </c>
      <c r="I304" s="87">
        <v>0.0</v>
      </c>
      <c r="J304" s="87">
        <v>123.6332</v>
      </c>
      <c r="K304" s="87">
        <v>104.6477</v>
      </c>
      <c r="L304" s="87">
        <v>91.99844</v>
      </c>
      <c r="M304" s="87">
        <v>81.96163</v>
      </c>
      <c r="N304" s="87">
        <v>0.783215</v>
      </c>
      <c r="O304" s="87">
        <v>0.0</v>
      </c>
      <c r="P304" s="87">
        <v>0.041667</v>
      </c>
      <c r="Q304" s="87">
        <v>0.5</v>
      </c>
      <c r="R304" s="87">
        <v>2.66606</v>
      </c>
      <c r="S304" s="87">
        <v>17.86919</v>
      </c>
      <c r="T304" s="87">
        <v>0.041667</v>
      </c>
      <c r="U304" s="87">
        <v>0.5</v>
      </c>
      <c r="V304" s="87">
        <v>1.609195</v>
      </c>
      <c r="W304" s="87">
        <v>2.66606</v>
      </c>
      <c r="X304" s="87">
        <v>17.86919</v>
      </c>
      <c r="Y304" s="87">
        <v>13.08097</v>
      </c>
      <c r="Z304" s="87">
        <v>0.0</v>
      </c>
      <c r="AA304" s="87">
        <v>19.35974</v>
      </c>
      <c r="AB304" s="87">
        <v>13.07516</v>
      </c>
      <c r="AC304" s="87">
        <v>13.08097</v>
      </c>
      <c r="AD304" s="87">
        <v>1.609195</v>
      </c>
      <c r="AE304" s="87">
        <v>5.070267</v>
      </c>
      <c r="AF304" s="87">
        <v>9.392614</v>
      </c>
      <c r="AG304" s="87">
        <v>5.083247</v>
      </c>
      <c r="AH304" s="87">
        <v>0.0</v>
      </c>
      <c r="AI304" s="87">
        <v>15.6481</v>
      </c>
      <c r="AJ304" s="87">
        <v>7.18899</v>
      </c>
      <c r="AK304" s="87">
        <v>8.873449</v>
      </c>
      <c r="AL304" s="88" t="s">
        <v>1396</v>
      </c>
    </row>
    <row r="305">
      <c r="A305" s="84" t="s">
        <v>1795</v>
      </c>
      <c r="B305" s="84" t="s">
        <v>1806</v>
      </c>
      <c r="C305" s="84" t="s">
        <v>231</v>
      </c>
      <c r="D305" s="84" t="s">
        <v>1802</v>
      </c>
      <c r="E305" s="84" t="s">
        <v>1400</v>
      </c>
      <c r="F305" s="87">
        <v>5.0</v>
      </c>
      <c r="G305" s="87">
        <v>1.0</v>
      </c>
      <c r="H305" s="87">
        <v>2791.0</v>
      </c>
      <c r="I305" s="87">
        <v>514.0</v>
      </c>
      <c r="J305" s="87">
        <v>27.23299</v>
      </c>
      <c r="K305" s="87">
        <v>36.61258</v>
      </c>
      <c r="L305" s="87">
        <v>39.09587</v>
      </c>
      <c r="M305" s="87">
        <v>13.80882</v>
      </c>
      <c r="N305" s="87">
        <v>0.37716</v>
      </c>
      <c r="O305" s="87">
        <v>0.0</v>
      </c>
      <c r="P305" s="87">
        <v>0.0</v>
      </c>
      <c r="Q305" s="87">
        <v>0.0</v>
      </c>
      <c r="R305" s="87">
        <v>10.01853</v>
      </c>
      <c r="S305" s="87">
        <v>12.78524</v>
      </c>
      <c r="T305" s="87">
        <v>10.01853</v>
      </c>
      <c r="U305" s="87">
        <v>10.01853</v>
      </c>
      <c r="V305" s="87">
        <v>10.01853</v>
      </c>
      <c r="W305" s="87">
        <v>12.78524</v>
      </c>
      <c r="X305" s="87">
        <v>13.80882</v>
      </c>
      <c r="Y305" s="87">
        <v>7.322517</v>
      </c>
      <c r="Z305" s="87">
        <v>0.0</v>
      </c>
      <c r="AA305" s="87">
        <v>19.35974</v>
      </c>
      <c r="AB305" s="87">
        <v>13.07516</v>
      </c>
      <c r="AC305" s="87">
        <v>13.08097</v>
      </c>
      <c r="AD305" s="87">
        <v>0.712937</v>
      </c>
      <c r="AE305" s="87">
        <v>2.874776</v>
      </c>
      <c r="AF305" s="87">
        <v>3.923754</v>
      </c>
      <c r="AG305" s="87">
        <v>4.012343</v>
      </c>
      <c r="AH305" s="87">
        <v>0.0</v>
      </c>
      <c r="AI305" s="87">
        <v>15.6481</v>
      </c>
      <c r="AJ305" s="87">
        <v>7.18899</v>
      </c>
      <c r="AK305" s="87">
        <v>8.873449</v>
      </c>
      <c r="AL305" s="88" t="s">
        <v>1396</v>
      </c>
    </row>
    <row r="306">
      <c r="A306" s="84" t="s">
        <v>1797</v>
      </c>
      <c r="B306" s="84" t="s">
        <v>1807</v>
      </c>
      <c r="C306" s="84" t="s">
        <v>231</v>
      </c>
      <c r="D306" s="84" t="s">
        <v>1802</v>
      </c>
      <c r="E306" s="89">
        <v>46300.0</v>
      </c>
      <c r="F306" s="87">
        <v>3.0</v>
      </c>
      <c r="G306" s="87">
        <v>0.0</v>
      </c>
      <c r="H306" s="87">
        <v>4988.0</v>
      </c>
      <c r="I306" s="87">
        <v>0.0</v>
      </c>
      <c r="J306" s="87">
        <v>122.1904</v>
      </c>
      <c r="K306" s="87">
        <v>104.7978</v>
      </c>
      <c r="L306" s="87">
        <v>97.39757</v>
      </c>
      <c r="M306" s="87">
        <v>62.02672</v>
      </c>
      <c r="N306" s="87">
        <v>0.59187</v>
      </c>
      <c r="O306" s="87">
        <v>13.47494</v>
      </c>
      <c r="P306" s="87">
        <v>13.47494</v>
      </c>
      <c r="Q306" s="87">
        <v>13.47494</v>
      </c>
      <c r="R306" s="87">
        <v>29.29615</v>
      </c>
      <c r="S306" s="87">
        <v>62.02672</v>
      </c>
      <c r="T306" s="87">
        <v>13.47494</v>
      </c>
      <c r="U306" s="87">
        <v>13.47494</v>
      </c>
      <c r="V306" s="87">
        <v>13.47494</v>
      </c>
      <c r="W306" s="87">
        <v>29.29615</v>
      </c>
      <c r="X306" s="87">
        <v>62.02672</v>
      </c>
      <c r="Y306" s="87">
        <v>34.9326</v>
      </c>
      <c r="Z306" s="87">
        <v>0.0</v>
      </c>
      <c r="AA306" s="87">
        <v>19.35974</v>
      </c>
      <c r="AB306" s="87">
        <v>13.07516</v>
      </c>
      <c r="AC306" s="87">
        <v>13.08097</v>
      </c>
      <c r="AD306" s="87">
        <v>13.39132</v>
      </c>
      <c r="AE306" s="87">
        <v>19.69388</v>
      </c>
      <c r="AF306" s="87">
        <v>27.88075</v>
      </c>
      <c r="AG306" s="87">
        <v>20.92786</v>
      </c>
      <c r="AH306" s="87">
        <v>0.0</v>
      </c>
      <c r="AI306" s="87">
        <v>15.6481</v>
      </c>
      <c r="AJ306" s="87">
        <v>7.18899</v>
      </c>
      <c r="AK306" s="87">
        <v>8.873449</v>
      </c>
      <c r="AL306" s="88" t="s">
        <v>1396</v>
      </c>
    </row>
    <row r="307">
      <c r="A307" s="84" t="s">
        <v>1799</v>
      </c>
      <c r="B307" s="84" t="s">
        <v>1808</v>
      </c>
      <c r="C307" s="84" t="s">
        <v>231</v>
      </c>
      <c r="D307" s="84" t="s">
        <v>1802</v>
      </c>
      <c r="E307" s="84" t="s">
        <v>1403</v>
      </c>
      <c r="F307" s="87">
        <v>41.0</v>
      </c>
      <c r="G307" s="87">
        <v>5.0</v>
      </c>
      <c r="H307" s="87">
        <v>317.0</v>
      </c>
      <c r="I307" s="87">
        <v>317.0</v>
      </c>
      <c r="J307" s="87">
        <v>0.0</v>
      </c>
      <c r="K307" s="87">
        <v>0.0</v>
      </c>
      <c r="L307" s="87">
        <v>0.0</v>
      </c>
      <c r="M307" s="87">
        <v>0.0</v>
      </c>
      <c r="N307" s="87">
        <v>0.0</v>
      </c>
      <c r="O307" s="87">
        <v>0.0</v>
      </c>
      <c r="P307" s="87">
        <v>0.0</v>
      </c>
      <c r="Q307" s="87">
        <v>0.0</v>
      </c>
      <c r="R307" s="87">
        <v>0.0</v>
      </c>
      <c r="S307" s="87">
        <v>0.0</v>
      </c>
      <c r="T307" s="87">
        <v>0.0</v>
      </c>
      <c r="U307" s="87">
        <v>0.0</v>
      </c>
      <c r="V307" s="87">
        <v>0.0</v>
      </c>
      <c r="W307" s="87">
        <v>0.0</v>
      </c>
      <c r="X307" s="87">
        <v>0.0</v>
      </c>
      <c r="Y307" s="87">
        <v>0.0</v>
      </c>
      <c r="Z307" s="87">
        <v>0.0</v>
      </c>
      <c r="AA307" s="87">
        <v>19.35974</v>
      </c>
      <c r="AB307" s="87">
        <v>13.07516</v>
      </c>
      <c r="AC307" s="87">
        <v>13.08097</v>
      </c>
      <c r="AD307" s="87">
        <v>0.0</v>
      </c>
      <c r="AE307" s="87">
        <v>0.0</v>
      </c>
      <c r="AF307" s="87">
        <v>0.0</v>
      </c>
      <c r="AG307" s="87">
        <v>0.0</v>
      </c>
      <c r="AH307" s="87">
        <v>0.0</v>
      </c>
      <c r="AI307" s="87">
        <v>15.6481</v>
      </c>
      <c r="AJ307" s="87">
        <v>7.18899</v>
      </c>
      <c r="AK307" s="87">
        <v>8.873449</v>
      </c>
      <c r="AL307" s="88" t="s">
        <v>1396</v>
      </c>
    </row>
    <row r="308">
      <c r="A308" s="84" t="s">
        <v>1787</v>
      </c>
      <c r="B308" s="84" t="s">
        <v>1809</v>
      </c>
      <c r="C308" s="84" t="s">
        <v>231</v>
      </c>
      <c r="D308" s="84" t="s">
        <v>239</v>
      </c>
      <c r="E308" s="84" t="s">
        <v>1426</v>
      </c>
      <c r="F308" s="87">
        <v>6.0</v>
      </c>
      <c r="G308" s="87">
        <v>2.0</v>
      </c>
      <c r="H308" s="87">
        <v>13115.0</v>
      </c>
      <c r="I308" s="87">
        <v>12093.0</v>
      </c>
      <c r="J308" s="87">
        <v>142.912</v>
      </c>
      <c r="K308" s="87">
        <v>154.4533</v>
      </c>
      <c r="L308" s="87">
        <v>163.1954</v>
      </c>
      <c r="M308" s="87">
        <v>138.5795</v>
      </c>
      <c r="N308" s="87">
        <v>0.897226</v>
      </c>
      <c r="O308" s="87">
        <v>0.0</v>
      </c>
      <c r="P308" s="87">
        <v>0.0</v>
      </c>
      <c r="Q308" s="87">
        <v>0.0</v>
      </c>
      <c r="R308" s="87">
        <v>13.8789</v>
      </c>
      <c r="S308" s="87">
        <v>18.31248</v>
      </c>
      <c r="T308" s="87">
        <v>1.99494</v>
      </c>
      <c r="U308" s="87">
        <v>1.99494</v>
      </c>
      <c r="V308" s="87">
        <v>13.8789</v>
      </c>
      <c r="W308" s="87">
        <v>18.31248</v>
      </c>
      <c r="X308" s="87">
        <v>18.31248</v>
      </c>
      <c r="Y308" s="87">
        <v>25.74222</v>
      </c>
      <c r="Z308" s="87">
        <v>0.0</v>
      </c>
      <c r="AA308" s="87">
        <v>26.21996</v>
      </c>
      <c r="AB308" s="87">
        <v>10.6307</v>
      </c>
      <c r="AC308" s="87">
        <v>13.77816</v>
      </c>
      <c r="AD308" s="87">
        <v>13.8789</v>
      </c>
      <c r="AE308" s="87">
        <v>22.84126</v>
      </c>
      <c r="AF308" s="87">
        <v>26.88872</v>
      </c>
      <c r="AG308" s="87">
        <v>25.74222</v>
      </c>
      <c r="AH308" s="87">
        <v>0.0</v>
      </c>
      <c r="AI308" s="87">
        <v>15.6481</v>
      </c>
      <c r="AJ308" s="87">
        <v>7.18899</v>
      </c>
      <c r="AK308" s="87">
        <v>8.873449</v>
      </c>
      <c r="AL308" s="88" t="s">
        <v>1396</v>
      </c>
    </row>
    <row r="309">
      <c r="A309" s="84" t="s">
        <v>1789</v>
      </c>
      <c r="B309" s="84" t="s">
        <v>1810</v>
      </c>
      <c r="C309" s="84" t="s">
        <v>231</v>
      </c>
      <c r="D309" s="84" t="s">
        <v>239</v>
      </c>
      <c r="E309" s="86">
        <v>46310.0</v>
      </c>
      <c r="F309" s="87">
        <v>7.0</v>
      </c>
      <c r="G309" s="87">
        <v>0.0</v>
      </c>
      <c r="H309" s="87">
        <v>9482.0</v>
      </c>
      <c r="I309" s="87">
        <v>0.0</v>
      </c>
      <c r="J309" s="87">
        <v>218.6027</v>
      </c>
      <c r="K309" s="87">
        <v>272.0774</v>
      </c>
      <c r="L309" s="87">
        <v>262.808</v>
      </c>
      <c r="M309" s="87">
        <v>155.5638</v>
      </c>
      <c r="N309" s="87">
        <v>0.571763</v>
      </c>
      <c r="O309" s="87">
        <v>0.0</v>
      </c>
      <c r="P309" s="87">
        <v>0.111111</v>
      </c>
      <c r="Q309" s="87">
        <v>1.235332</v>
      </c>
      <c r="R309" s="87">
        <v>51.75</v>
      </c>
      <c r="S309" s="87">
        <v>63.41708</v>
      </c>
      <c r="T309" s="87">
        <v>0.111111</v>
      </c>
      <c r="U309" s="87">
        <v>1.235332</v>
      </c>
      <c r="V309" s="87">
        <v>1.235332</v>
      </c>
      <c r="W309" s="87">
        <v>63.41708</v>
      </c>
      <c r="X309" s="87">
        <v>69.21224</v>
      </c>
      <c r="Y309" s="87">
        <v>38.8682</v>
      </c>
      <c r="Z309" s="87">
        <v>0.0</v>
      </c>
      <c r="AA309" s="87">
        <v>26.21996</v>
      </c>
      <c r="AB309" s="87">
        <v>10.6307</v>
      </c>
      <c r="AC309" s="87">
        <v>13.77816</v>
      </c>
      <c r="AD309" s="87">
        <v>14.50288</v>
      </c>
      <c r="AE309" s="87">
        <v>21.15481</v>
      </c>
      <c r="AF309" s="87">
        <v>29.92747</v>
      </c>
      <c r="AG309" s="87">
        <v>38.8682</v>
      </c>
      <c r="AH309" s="87">
        <v>0.0</v>
      </c>
      <c r="AI309" s="87">
        <v>15.6481</v>
      </c>
      <c r="AJ309" s="87">
        <v>7.18899</v>
      </c>
      <c r="AK309" s="87">
        <v>8.873449</v>
      </c>
      <c r="AL309" s="88" t="s">
        <v>1396</v>
      </c>
    </row>
    <row r="310">
      <c r="A310" s="84" t="s">
        <v>1791</v>
      </c>
      <c r="B310" s="84" t="s">
        <v>1811</v>
      </c>
      <c r="C310" s="84" t="s">
        <v>231</v>
      </c>
      <c r="D310" s="84" t="s">
        <v>239</v>
      </c>
      <c r="E310" s="84" t="s">
        <v>1413</v>
      </c>
      <c r="F310" s="87">
        <v>5.0</v>
      </c>
      <c r="G310" s="87">
        <v>0.0</v>
      </c>
      <c r="H310" s="87">
        <v>2705.0</v>
      </c>
      <c r="I310" s="87">
        <v>0.0</v>
      </c>
      <c r="J310" s="87">
        <v>74.21702</v>
      </c>
      <c r="K310" s="87">
        <v>68.89081</v>
      </c>
      <c r="L310" s="87">
        <v>69.53143</v>
      </c>
      <c r="M310" s="87">
        <v>42.24228</v>
      </c>
      <c r="N310" s="87">
        <v>0.613177</v>
      </c>
      <c r="O310" s="87">
        <v>0.0</v>
      </c>
      <c r="P310" s="87">
        <v>0.0</v>
      </c>
      <c r="Q310" s="87">
        <v>0.0</v>
      </c>
      <c r="R310" s="87">
        <v>0.428571</v>
      </c>
      <c r="S310" s="87">
        <v>26.21996</v>
      </c>
      <c r="T310" s="87">
        <v>0.428571</v>
      </c>
      <c r="U310" s="87">
        <v>0.428571</v>
      </c>
      <c r="V310" s="87">
        <v>0.428571</v>
      </c>
      <c r="W310" s="87">
        <v>26.21996</v>
      </c>
      <c r="X310" s="87">
        <v>42.24228</v>
      </c>
      <c r="Y310" s="87">
        <v>13.77816</v>
      </c>
      <c r="Z310" s="87">
        <v>0.0</v>
      </c>
      <c r="AA310" s="87">
        <v>26.21996</v>
      </c>
      <c r="AB310" s="87">
        <v>10.6307</v>
      </c>
      <c r="AC310" s="87">
        <v>13.77816</v>
      </c>
      <c r="AD310" s="87">
        <v>6.038515</v>
      </c>
      <c r="AE310" s="87">
        <v>13.32172</v>
      </c>
      <c r="AF310" s="87">
        <v>11.22386</v>
      </c>
      <c r="AG310" s="87">
        <v>12.9816</v>
      </c>
      <c r="AH310" s="87">
        <v>0.0</v>
      </c>
      <c r="AI310" s="87">
        <v>15.6481</v>
      </c>
      <c r="AJ310" s="87">
        <v>7.18899</v>
      </c>
      <c r="AK310" s="87">
        <v>8.873449</v>
      </c>
      <c r="AL310" s="88" t="s">
        <v>1396</v>
      </c>
    </row>
    <row r="311">
      <c r="A311" s="84" t="s">
        <v>1793</v>
      </c>
      <c r="B311" s="84" t="s">
        <v>1812</v>
      </c>
      <c r="C311" s="84" t="s">
        <v>231</v>
      </c>
      <c r="D311" s="84" t="s">
        <v>239</v>
      </c>
      <c r="E311" s="84" t="s">
        <v>1398</v>
      </c>
      <c r="F311" s="87">
        <v>2.0</v>
      </c>
      <c r="G311" s="87">
        <v>0.0</v>
      </c>
      <c r="H311" s="87">
        <v>496.0</v>
      </c>
      <c r="I311" s="87">
        <v>0.0</v>
      </c>
      <c r="J311" s="87">
        <v>10.36573</v>
      </c>
      <c r="K311" s="87">
        <v>10.16649</v>
      </c>
      <c r="L311" s="87">
        <v>9.708917</v>
      </c>
      <c r="M311" s="87">
        <v>10.16649</v>
      </c>
      <c r="N311" s="87">
        <v>1.0</v>
      </c>
      <c r="O311" s="87">
        <v>0.0</v>
      </c>
      <c r="P311" s="87">
        <v>0.0</v>
      </c>
      <c r="Q311" s="87">
        <v>0.0</v>
      </c>
      <c r="R311" s="87">
        <v>10.16649</v>
      </c>
      <c r="S311" s="87">
        <v>10.16649</v>
      </c>
      <c r="T311" s="87">
        <v>10.16649</v>
      </c>
      <c r="U311" s="87">
        <v>10.16649</v>
      </c>
      <c r="V311" s="87">
        <v>10.16649</v>
      </c>
      <c r="W311" s="87">
        <v>10.16649</v>
      </c>
      <c r="X311" s="87">
        <v>10.16649</v>
      </c>
      <c r="Y311" s="87">
        <v>5.083247</v>
      </c>
      <c r="Z311" s="87">
        <v>0.0</v>
      </c>
      <c r="AA311" s="87">
        <v>26.21996</v>
      </c>
      <c r="AB311" s="87">
        <v>10.6307</v>
      </c>
      <c r="AC311" s="87">
        <v>13.77816</v>
      </c>
      <c r="AD311" s="87">
        <v>1.609195</v>
      </c>
      <c r="AE311" s="87">
        <v>5.070267</v>
      </c>
      <c r="AF311" s="87">
        <v>9.392614</v>
      </c>
      <c r="AG311" s="87">
        <v>5.083247</v>
      </c>
      <c r="AH311" s="87">
        <v>0.0</v>
      </c>
      <c r="AI311" s="87">
        <v>15.6481</v>
      </c>
      <c r="AJ311" s="87">
        <v>7.18899</v>
      </c>
      <c r="AK311" s="87">
        <v>8.873449</v>
      </c>
      <c r="AL311" s="88" t="s">
        <v>1396</v>
      </c>
    </row>
    <row r="312">
      <c r="A312" s="84" t="s">
        <v>1795</v>
      </c>
      <c r="B312" s="84" t="s">
        <v>1813</v>
      </c>
      <c r="C312" s="84" t="s">
        <v>231</v>
      </c>
      <c r="D312" s="84" t="s">
        <v>239</v>
      </c>
      <c r="E312" s="84" t="s">
        <v>1400</v>
      </c>
      <c r="F312" s="87">
        <v>2.0</v>
      </c>
      <c r="G312" s="87">
        <v>0.0</v>
      </c>
      <c r="H312" s="87">
        <v>743.0</v>
      </c>
      <c r="I312" s="87">
        <v>0.0</v>
      </c>
      <c r="J312" s="87">
        <v>10.05322</v>
      </c>
      <c r="K312" s="87">
        <v>9.853556</v>
      </c>
      <c r="L312" s="87">
        <v>8.945388</v>
      </c>
      <c r="M312" s="87">
        <v>9.853556</v>
      </c>
      <c r="N312" s="87">
        <v>1.0</v>
      </c>
      <c r="O312" s="87">
        <v>0.0</v>
      </c>
      <c r="P312" s="87">
        <v>0.0</v>
      </c>
      <c r="Q312" s="87">
        <v>0.0</v>
      </c>
      <c r="R312" s="87">
        <v>9.853556</v>
      </c>
      <c r="S312" s="87">
        <v>9.853556</v>
      </c>
      <c r="T312" s="87">
        <v>9.853556</v>
      </c>
      <c r="U312" s="87">
        <v>9.853556</v>
      </c>
      <c r="V312" s="87">
        <v>9.853556</v>
      </c>
      <c r="W312" s="87">
        <v>9.853556</v>
      </c>
      <c r="X312" s="87">
        <v>9.853556</v>
      </c>
      <c r="Y312" s="87">
        <v>4.926778</v>
      </c>
      <c r="Z312" s="87">
        <v>0.0</v>
      </c>
      <c r="AA312" s="87">
        <v>26.21996</v>
      </c>
      <c r="AB312" s="87">
        <v>10.6307</v>
      </c>
      <c r="AC312" s="87">
        <v>13.77816</v>
      </c>
      <c r="AD312" s="87">
        <v>0.712937</v>
      </c>
      <c r="AE312" s="87">
        <v>2.874776</v>
      </c>
      <c r="AF312" s="87">
        <v>3.923754</v>
      </c>
      <c r="AG312" s="87">
        <v>4.012343</v>
      </c>
      <c r="AH312" s="87">
        <v>0.0</v>
      </c>
      <c r="AI312" s="87">
        <v>15.6481</v>
      </c>
      <c r="AJ312" s="87">
        <v>7.18899</v>
      </c>
      <c r="AK312" s="87">
        <v>8.873449</v>
      </c>
      <c r="AL312" s="88" t="s">
        <v>1396</v>
      </c>
    </row>
    <row r="313">
      <c r="A313" s="84" t="s">
        <v>1797</v>
      </c>
      <c r="B313" s="84" t="s">
        <v>1814</v>
      </c>
      <c r="C313" s="84" t="s">
        <v>231</v>
      </c>
      <c r="D313" s="84" t="s">
        <v>239</v>
      </c>
      <c r="E313" s="89">
        <v>46300.0</v>
      </c>
      <c r="F313" s="87">
        <v>8.0</v>
      </c>
      <c r="G313" s="87">
        <v>0.0</v>
      </c>
      <c r="H313" s="87">
        <v>18941.0</v>
      </c>
      <c r="I313" s="87">
        <v>0.0</v>
      </c>
      <c r="J313" s="87">
        <v>451.5916</v>
      </c>
      <c r="K313" s="87">
        <v>494.4749</v>
      </c>
      <c r="L313" s="87">
        <v>500.0632</v>
      </c>
      <c r="M313" s="87">
        <v>362.2422</v>
      </c>
      <c r="N313" s="87">
        <v>0.73258</v>
      </c>
      <c r="O313" s="87">
        <v>0.0</v>
      </c>
      <c r="P313" s="87">
        <v>3.169658</v>
      </c>
      <c r="Q313" s="87">
        <v>3.950119</v>
      </c>
      <c r="R313" s="87">
        <v>33.8576</v>
      </c>
      <c r="S313" s="87">
        <v>71.56143</v>
      </c>
      <c r="T313" s="87">
        <v>3.169658</v>
      </c>
      <c r="U313" s="87">
        <v>3.950119</v>
      </c>
      <c r="V313" s="87">
        <v>19.69388</v>
      </c>
      <c r="W313" s="87">
        <v>33.8576</v>
      </c>
      <c r="X313" s="87">
        <v>71.56143</v>
      </c>
      <c r="Y313" s="87">
        <v>61.80937</v>
      </c>
      <c r="Z313" s="87">
        <v>0.0</v>
      </c>
      <c r="AA313" s="87">
        <v>26.21996</v>
      </c>
      <c r="AB313" s="87">
        <v>10.6307</v>
      </c>
      <c r="AC313" s="87">
        <v>13.77816</v>
      </c>
      <c r="AD313" s="87">
        <v>13.39132</v>
      </c>
      <c r="AE313" s="87">
        <v>19.69388</v>
      </c>
      <c r="AF313" s="87">
        <v>27.88075</v>
      </c>
      <c r="AG313" s="87">
        <v>20.92786</v>
      </c>
      <c r="AH313" s="87">
        <v>0.0</v>
      </c>
      <c r="AI313" s="87">
        <v>15.6481</v>
      </c>
      <c r="AJ313" s="87">
        <v>7.18899</v>
      </c>
      <c r="AK313" s="87">
        <v>8.873449</v>
      </c>
      <c r="AL313" s="88" t="s">
        <v>1396</v>
      </c>
    </row>
    <row r="314">
      <c r="A314" s="84" t="s">
        <v>1799</v>
      </c>
      <c r="B314" s="84" t="s">
        <v>1815</v>
      </c>
      <c r="C314" s="84" t="s">
        <v>231</v>
      </c>
      <c r="D314" s="84" t="s">
        <v>239</v>
      </c>
      <c r="E314" s="84" t="s">
        <v>1403</v>
      </c>
      <c r="F314" s="87">
        <v>65.0</v>
      </c>
      <c r="G314" s="87">
        <v>7.0</v>
      </c>
      <c r="H314" s="87">
        <v>562.0</v>
      </c>
      <c r="I314" s="87">
        <v>562.0</v>
      </c>
      <c r="J314" s="87">
        <v>0.0</v>
      </c>
      <c r="K314" s="87">
        <v>0.0</v>
      </c>
      <c r="L314" s="87">
        <v>0.0</v>
      </c>
      <c r="M314" s="87">
        <v>0.0</v>
      </c>
      <c r="N314" s="87">
        <v>0.0</v>
      </c>
      <c r="O314" s="87">
        <v>0.0</v>
      </c>
      <c r="P314" s="87">
        <v>0.0</v>
      </c>
      <c r="Q314" s="87">
        <v>0.0</v>
      </c>
      <c r="R314" s="87">
        <v>0.0</v>
      </c>
      <c r="S314" s="87">
        <v>0.0</v>
      </c>
      <c r="T314" s="87">
        <v>0.0</v>
      </c>
      <c r="U314" s="87">
        <v>0.0</v>
      </c>
      <c r="V314" s="87">
        <v>0.0</v>
      </c>
      <c r="W314" s="87">
        <v>0.0</v>
      </c>
      <c r="X314" s="87">
        <v>0.0</v>
      </c>
      <c r="Y314" s="87">
        <v>0.0</v>
      </c>
      <c r="Z314" s="87">
        <v>0.0</v>
      </c>
      <c r="AA314" s="87">
        <v>26.21996</v>
      </c>
      <c r="AB314" s="87">
        <v>10.6307</v>
      </c>
      <c r="AC314" s="87">
        <v>13.77816</v>
      </c>
      <c r="AD314" s="87">
        <v>0.0</v>
      </c>
      <c r="AE314" s="87">
        <v>0.0</v>
      </c>
      <c r="AF314" s="87">
        <v>0.0</v>
      </c>
      <c r="AG314" s="87">
        <v>0.0</v>
      </c>
      <c r="AH314" s="87">
        <v>0.0</v>
      </c>
      <c r="AI314" s="87">
        <v>15.6481</v>
      </c>
      <c r="AJ314" s="87">
        <v>7.18899</v>
      </c>
      <c r="AK314" s="87">
        <v>8.873449</v>
      </c>
      <c r="AL314" s="88" t="s">
        <v>1396</v>
      </c>
    </row>
    <row r="315">
      <c r="A315" s="84" t="s">
        <v>1787</v>
      </c>
      <c r="B315" s="84" t="s">
        <v>1816</v>
      </c>
      <c r="C315" s="84" t="s">
        <v>231</v>
      </c>
      <c r="D315" s="84" t="s">
        <v>243</v>
      </c>
      <c r="E315" s="84" t="s">
        <v>1426</v>
      </c>
      <c r="F315" s="87">
        <v>1.0</v>
      </c>
      <c r="G315" s="87">
        <v>1.0</v>
      </c>
      <c r="H315" s="87">
        <v>3781.0</v>
      </c>
      <c r="I315" s="87">
        <v>3781.0</v>
      </c>
      <c r="J315" s="87">
        <v>0.0</v>
      </c>
      <c r="K315" s="87">
        <v>0.0</v>
      </c>
      <c r="L315" s="87">
        <v>0.0</v>
      </c>
      <c r="M315" s="87">
        <v>0.0</v>
      </c>
      <c r="N315" s="87">
        <v>0.0</v>
      </c>
      <c r="O315" s="87">
        <v>0.0</v>
      </c>
      <c r="P315" s="87">
        <v>0.0</v>
      </c>
      <c r="Q315" s="87">
        <v>0.0</v>
      </c>
      <c r="R315" s="87">
        <v>0.0</v>
      </c>
      <c r="S315" s="87">
        <v>0.0</v>
      </c>
      <c r="T315" s="87">
        <v>0.0</v>
      </c>
      <c r="U315" s="87">
        <v>0.0</v>
      </c>
      <c r="V315" s="87">
        <v>0.0</v>
      </c>
      <c r="W315" s="87">
        <v>0.0</v>
      </c>
      <c r="X315" s="87">
        <v>0.0</v>
      </c>
      <c r="Y315" s="87">
        <v>0.0</v>
      </c>
      <c r="Z315" s="87">
        <v>0.0</v>
      </c>
      <c r="AA315" s="87">
        <v>8.91524</v>
      </c>
      <c r="AB315" s="87">
        <v>2.784657</v>
      </c>
      <c r="AC315" s="87">
        <v>2.535134</v>
      </c>
      <c r="AD315" s="87">
        <v>13.8789</v>
      </c>
      <c r="AE315" s="87">
        <v>22.84126</v>
      </c>
      <c r="AF315" s="87">
        <v>26.88872</v>
      </c>
      <c r="AG315" s="87">
        <v>25.74222</v>
      </c>
      <c r="AH315" s="87">
        <v>0.0</v>
      </c>
      <c r="AI315" s="87">
        <v>15.6481</v>
      </c>
      <c r="AJ315" s="87">
        <v>7.18899</v>
      </c>
      <c r="AK315" s="87">
        <v>8.873449</v>
      </c>
      <c r="AL315" s="88" t="s">
        <v>1396</v>
      </c>
    </row>
    <row r="316">
      <c r="A316" s="84" t="s">
        <v>1791</v>
      </c>
      <c r="B316" s="84" t="s">
        <v>1817</v>
      </c>
      <c r="C316" s="84" t="s">
        <v>231</v>
      </c>
      <c r="D316" s="84" t="s">
        <v>243</v>
      </c>
      <c r="E316" s="84" t="s">
        <v>1413</v>
      </c>
      <c r="F316" s="87">
        <v>4.0</v>
      </c>
      <c r="G316" s="87">
        <v>0.0</v>
      </c>
      <c r="H316" s="87">
        <v>3250.0</v>
      </c>
      <c r="I316" s="87">
        <v>0.0</v>
      </c>
      <c r="J316" s="87">
        <v>56.06535</v>
      </c>
      <c r="K316" s="87">
        <v>52.60756</v>
      </c>
      <c r="L316" s="87">
        <v>51.05513</v>
      </c>
      <c r="M316" s="87">
        <v>21.15369</v>
      </c>
      <c r="N316" s="87">
        <v>0.402103</v>
      </c>
      <c r="O316" s="87">
        <v>7.874087</v>
      </c>
      <c r="P316" s="87">
        <v>7.874087</v>
      </c>
      <c r="Q316" s="87">
        <v>8.91524</v>
      </c>
      <c r="R316" s="87">
        <v>14.66455</v>
      </c>
      <c r="S316" s="87">
        <v>14.66455</v>
      </c>
      <c r="T316" s="87">
        <v>7.874087</v>
      </c>
      <c r="U316" s="87">
        <v>7.874087</v>
      </c>
      <c r="V316" s="87">
        <v>8.91524</v>
      </c>
      <c r="W316" s="87">
        <v>14.66455</v>
      </c>
      <c r="X316" s="87">
        <v>14.66455</v>
      </c>
      <c r="Y316" s="87">
        <v>13.15189</v>
      </c>
      <c r="Z316" s="87">
        <v>0.0</v>
      </c>
      <c r="AA316" s="87">
        <v>8.91524</v>
      </c>
      <c r="AB316" s="87">
        <v>2.784657</v>
      </c>
      <c r="AC316" s="87">
        <v>2.535134</v>
      </c>
      <c r="AD316" s="87">
        <v>6.038515</v>
      </c>
      <c r="AE316" s="87">
        <v>13.32172</v>
      </c>
      <c r="AF316" s="87">
        <v>11.22386</v>
      </c>
      <c r="AG316" s="87">
        <v>12.9816</v>
      </c>
      <c r="AH316" s="87">
        <v>0.0</v>
      </c>
      <c r="AI316" s="87">
        <v>15.6481</v>
      </c>
      <c r="AJ316" s="87">
        <v>7.18899</v>
      </c>
      <c r="AK316" s="87">
        <v>8.873449</v>
      </c>
      <c r="AL316" s="88" t="s">
        <v>1396</v>
      </c>
    </row>
    <row r="317">
      <c r="A317" s="84" t="s">
        <v>1793</v>
      </c>
      <c r="B317" s="84" t="s">
        <v>1818</v>
      </c>
      <c r="C317" s="84" t="s">
        <v>231</v>
      </c>
      <c r="D317" s="84" t="s">
        <v>243</v>
      </c>
      <c r="E317" s="84" t="s">
        <v>1398</v>
      </c>
      <c r="F317" s="87">
        <v>2.0</v>
      </c>
      <c r="G317" s="87">
        <v>0.0</v>
      </c>
      <c r="H317" s="87">
        <v>499.0</v>
      </c>
      <c r="I317" s="87">
        <v>0.0</v>
      </c>
      <c r="J317" s="87">
        <v>4.266373</v>
      </c>
      <c r="K317" s="87">
        <v>5.070267</v>
      </c>
      <c r="L317" s="87">
        <v>5.573373</v>
      </c>
      <c r="M317" s="87">
        <v>5.070267</v>
      </c>
      <c r="N317" s="87">
        <v>1.0</v>
      </c>
      <c r="O317" s="87">
        <v>0.0</v>
      </c>
      <c r="P317" s="87">
        <v>0.0</v>
      </c>
      <c r="Q317" s="87">
        <v>0.0</v>
      </c>
      <c r="R317" s="87">
        <v>5.070267</v>
      </c>
      <c r="S317" s="87">
        <v>5.070267</v>
      </c>
      <c r="T317" s="87">
        <v>5.070267</v>
      </c>
      <c r="U317" s="87">
        <v>5.070267</v>
      </c>
      <c r="V317" s="87">
        <v>5.070267</v>
      </c>
      <c r="W317" s="87">
        <v>5.070267</v>
      </c>
      <c r="X317" s="87">
        <v>5.070267</v>
      </c>
      <c r="Y317" s="87">
        <v>2.535134</v>
      </c>
      <c r="Z317" s="87">
        <v>0.0</v>
      </c>
      <c r="AA317" s="87">
        <v>8.91524</v>
      </c>
      <c r="AB317" s="87">
        <v>2.784657</v>
      </c>
      <c r="AC317" s="87">
        <v>2.535134</v>
      </c>
      <c r="AD317" s="87">
        <v>1.609195</v>
      </c>
      <c r="AE317" s="87">
        <v>5.070267</v>
      </c>
      <c r="AF317" s="87">
        <v>9.392614</v>
      </c>
      <c r="AG317" s="87">
        <v>5.083247</v>
      </c>
      <c r="AH317" s="87">
        <v>0.0</v>
      </c>
      <c r="AI317" s="87">
        <v>15.6481</v>
      </c>
      <c r="AJ317" s="87">
        <v>7.18899</v>
      </c>
      <c r="AK317" s="87">
        <v>8.873449</v>
      </c>
      <c r="AL317" s="88" t="s">
        <v>1396</v>
      </c>
    </row>
    <row r="318">
      <c r="A318" s="84" t="s">
        <v>1795</v>
      </c>
      <c r="B318" s="84" t="s">
        <v>1819</v>
      </c>
      <c r="C318" s="84" t="s">
        <v>231</v>
      </c>
      <c r="D318" s="84" t="s">
        <v>243</v>
      </c>
      <c r="E318" s="84" t="s">
        <v>1400</v>
      </c>
      <c r="F318" s="87">
        <v>5.0</v>
      </c>
      <c r="G318" s="87">
        <v>0.0</v>
      </c>
      <c r="H318" s="87">
        <v>101.0</v>
      </c>
      <c r="I318" s="87">
        <v>0.0</v>
      </c>
      <c r="J318" s="87">
        <v>1.505952</v>
      </c>
      <c r="K318" s="87">
        <v>1.891725</v>
      </c>
      <c r="L318" s="87">
        <v>2.788162</v>
      </c>
      <c r="M318" s="87">
        <v>1.178788</v>
      </c>
      <c r="N318" s="87">
        <v>0.623129</v>
      </c>
      <c r="O318" s="87">
        <v>0.0</v>
      </c>
      <c r="P318" s="87">
        <v>0.0</v>
      </c>
      <c r="Q318" s="87">
        <v>0.0</v>
      </c>
      <c r="R318" s="87">
        <v>0.0</v>
      </c>
      <c r="S318" s="87">
        <v>0.712937</v>
      </c>
      <c r="T318" s="87">
        <v>0.712937</v>
      </c>
      <c r="U318" s="87">
        <v>0.712937</v>
      </c>
      <c r="V318" s="87">
        <v>0.712937</v>
      </c>
      <c r="W318" s="87">
        <v>1.178788</v>
      </c>
      <c r="X318" s="87">
        <v>1.178788</v>
      </c>
      <c r="Y318" s="87">
        <v>0.378345</v>
      </c>
      <c r="Z318" s="87">
        <v>0.0</v>
      </c>
      <c r="AA318" s="87">
        <v>8.91524</v>
      </c>
      <c r="AB318" s="87">
        <v>2.784657</v>
      </c>
      <c r="AC318" s="87">
        <v>2.535134</v>
      </c>
      <c r="AD318" s="87">
        <v>0.712937</v>
      </c>
      <c r="AE318" s="87">
        <v>2.874776</v>
      </c>
      <c r="AF318" s="87">
        <v>3.923754</v>
      </c>
      <c r="AG318" s="87">
        <v>4.012343</v>
      </c>
      <c r="AH318" s="87">
        <v>0.0</v>
      </c>
      <c r="AI318" s="87">
        <v>15.6481</v>
      </c>
      <c r="AJ318" s="87">
        <v>7.18899</v>
      </c>
      <c r="AK318" s="87">
        <v>8.873449</v>
      </c>
      <c r="AL318" s="88" t="s">
        <v>1396</v>
      </c>
    </row>
    <row r="319">
      <c r="A319" s="84" t="s">
        <v>1797</v>
      </c>
      <c r="B319" s="84" t="s">
        <v>1820</v>
      </c>
      <c r="C319" s="84" t="s">
        <v>231</v>
      </c>
      <c r="D319" s="84" t="s">
        <v>243</v>
      </c>
      <c r="E319" s="89">
        <v>46300.0</v>
      </c>
      <c r="F319" s="87">
        <v>7.0</v>
      </c>
      <c r="G319" s="87">
        <v>0.0</v>
      </c>
      <c r="H319" s="87">
        <v>5509.0</v>
      </c>
      <c r="I319" s="87">
        <v>0.0</v>
      </c>
      <c r="J319" s="87">
        <v>146.172</v>
      </c>
      <c r="K319" s="87">
        <v>146.4951</v>
      </c>
      <c r="L319" s="87">
        <v>147.3534</v>
      </c>
      <c r="M319" s="87">
        <v>94.17358</v>
      </c>
      <c r="N319" s="87">
        <v>0.642845</v>
      </c>
      <c r="O319" s="87">
        <v>0.0</v>
      </c>
      <c r="P319" s="87">
        <v>0.0</v>
      </c>
      <c r="Q319" s="87">
        <v>5.815498</v>
      </c>
      <c r="R319" s="87">
        <v>8.408535</v>
      </c>
      <c r="S319" s="87">
        <v>38.09744</v>
      </c>
      <c r="T319" s="87">
        <v>5.815498</v>
      </c>
      <c r="U319" s="87">
        <v>8.408535</v>
      </c>
      <c r="V319" s="87">
        <v>8.408535</v>
      </c>
      <c r="W319" s="87">
        <v>38.09744</v>
      </c>
      <c r="X319" s="87">
        <v>43.72703</v>
      </c>
      <c r="Y319" s="87">
        <v>20.92786</v>
      </c>
      <c r="Z319" s="87">
        <v>0.0</v>
      </c>
      <c r="AA319" s="87">
        <v>8.91524</v>
      </c>
      <c r="AB319" s="87">
        <v>2.784657</v>
      </c>
      <c r="AC319" s="87">
        <v>2.535134</v>
      </c>
      <c r="AD319" s="87">
        <v>13.39132</v>
      </c>
      <c r="AE319" s="87">
        <v>19.69388</v>
      </c>
      <c r="AF319" s="87">
        <v>27.88075</v>
      </c>
      <c r="AG319" s="87">
        <v>20.92786</v>
      </c>
      <c r="AH319" s="87">
        <v>0.0</v>
      </c>
      <c r="AI319" s="87">
        <v>15.6481</v>
      </c>
      <c r="AJ319" s="87">
        <v>7.18899</v>
      </c>
      <c r="AK319" s="87">
        <v>8.873449</v>
      </c>
      <c r="AL319" s="88" t="s">
        <v>1396</v>
      </c>
    </row>
    <row r="320">
      <c r="A320" s="84" t="s">
        <v>1799</v>
      </c>
      <c r="B320" s="84" t="s">
        <v>1821</v>
      </c>
      <c r="C320" s="84" t="s">
        <v>231</v>
      </c>
      <c r="D320" s="84" t="s">
        <v>243</v>
      </c>
      <c r="E320" s="84" t="s">
        <v>1403</v>
      </c>
      <c r="F320" s="87">
        <v>55.0</v>
      </c>
      <c r="G320" s="87">
        <v>2.0</v>
      </c>
      <c r="H320" s="87">
        <v>471.0</v>
      </c>
      <c r="I320" s="87">
        <v>471.0</v>
      </c>
      <c r="J320" s="87">
        <v>0.0</v>
      </c>
      <c r="K320" s="87">
        <v>0.0</v>
      </c>
      <c r="L320" s="87">
        <v>0.0</v>
      </c>
      <c r="M320" s="87">
        <v>0.0</v>
      </c>
      <c r="N320" s="87">
        <v>0.0</v>
      </c>
      <c r="O320" s="87">
        <v>0.0</v>
      </c>
      <c r="P320" s="87">
        <v>0.0</v>
      </c>
      <c r="Q320" s="87">
        <v>0.0</v>
      </c>
      <c r="R320" s="87">
        <v>0.0</v>
      </c>
      <c r="S320" s="87">
        <v>0.0</v>
      </c>
      <c r="T320" s="87">
        <v>0.0</v>
      </c>
      <c r="U320" s="87">
        <v>0.0</v>
      </c>
      <c r="V320" s="87">
        <v>0.0</v>
      </c>
      <c r="W320" s="87">
        <v>0.0</v>
      </c>
      <c r="X320" s="87">
        <v>0.0</v>
      </c>
      <c r="Y320" s="87">
        <v>0.0</v>
      </c>
      <c r="Z320" s="87">
        <v>0.0</v>
      </c>
      <c r="AA320" s="87">
        <v>8.91524</v>
      </c>
      <c r="AB320" s="87">
        <v>2.784657</v>
      </c>
      <c r="AC320" s="87">
        <v>2.535134</v>
      </c>
      <c r="AD320" s="87">
        <v>0.0</v>
      </c>
      <c r="AE320" s="87">
        <v>0.0</v>
      </c>
      <c r="AF320" s="87">
        <v>0.0</v>
      </c>
      <c r="AG320" s="87">
        <v>0.0</v>
      </c>
      <c r="AH320" s="87">
        <v>0.0</v>
      </c>
      <c r="AI320" s="87">
        <v>15.6481</v>
      </c>
      <c r="AJ320" s="87">
        <v>7.18899</v>
      </c>
      <c r="AK320" s="87">
        <v>8.873449</v>
      </c>
      <c r="AL320" s="88" t="s">
        <v>1396</v>
      </c>
    </row>
    <row r="321">
      <c r="A321" s="84" t="s">
        <v>1799</v>
      </c>
      <c r="B321" s="84" t="s">
        <v>1822</v>
      </c>
      <c r="C321" s="84" t="s">
        <v>231</v>
      </c>
      <c r="D321" s="84" t="s">
        <v>1823</v>
      </c>
      <c r="E321" s="84" t="s">
        <v>1403</v>
      </c>
      <c r="F321" s="87">
        <v>9.0</v>
      </c>
      <c r="G321" s="87">
        <v>1.0</v>
      </c>
      <c r="H321" s="87">
        <v>1.0</v>
      </c>
      <c r="I321" s="87">
        <v>1.0</v>
      </c>
      <c r="J321" s="87">
        <v>0.0</v>
      </c>
      <c r="K321" s="87">
        <v>0.0</v>
      </c>
      <c r="L321" s="87">
        <v>0.0</v>
      </c>
      <c r="M321" s="87">
        <v>0.0</v>
      </c>
      <c r="N321" s="87">
        <v>0.0</v>
      </c>
      <c r="O321" s="87">
        <v>0.0</v>
      </c>
      <c r="P321" s="87">
        <v>0.0</v>
      </c>
      <c r="Q321" s="87">
        <v>0.0</v>
      </c>
      <c r="R321" s="87">
        <v>0.0</v>
      </c>
      <c r="S321" s="87">
        <v>0.0</v>
      </c>
      <c r="T321" s="87">
        <v>0.0</v>
      </c>
      <c r="U321" s="87">
        <v>0.0</v>
      </c>
      <c r="V321" s="87">
        <v>0.0</v>
      </c>
      <c r="W321" s="87">
        <v>0.0</v>
      </c>
      <c r="X321" s="87">
        <v>0.0</v>
      </c>
      <c r="Y321" s="87">
        <v>0.0</v>
      </c>
      <c r="Z321" s="87">
        <v>0.0</v>
      </c>
      <c r="AA321" s="87">
        <v>0.0</v>
      </c>
      <c r="AB321" s="87">
        <v>0.0</v>
      </c>
      <c r="AC321" s="87">
        <v>0.0</v>
      </c>
      <c r="AD321" s="87">
        <v>0.0</v>
      </c>
      <c r="AE321" s="87">
        <v>0.0</v>
      </c>
      <c r="AF321" s="87">
        <v>0.0</v>
      </c>
      <c r="AG321" s="87">
        <v>0.0</v>
      </c>
      <c r="AH321" s="87">
        <v>0.0</v>
      </c>
      <c r="AI321" s="87">
        <v>15.6481</v>
      </c>
      <c r="AJ321" s="87">
        <v>7.18899</v>
      </c>
      <c r="AK321" s="87">
        <v>8.873449</v>
      </c>
      <c r="AL321" s="88" t="s">
        <v>1396</v>
      </c>
    </row>
    <row r="322">
      <c r="A322" s="84" t="s">
        <v>1789</v>
      </c>
      <c r="B322" s="84" t="s">
        <v>1824</v>
      </c>
      <c r="C322" s="84" t="s">
        <v>231</v>
      </c>
      <c r="D322" s="84" t="s">
        <v>1825</v>
      </c>
      <c r="E322" s="86">
        <v>46310.0</v>
      </c>
      <c r="F322" s="87">
        <v>19.0</v>
      </c>
      <c r="G322" s="87">
        <v>0.0</v>
      </c>
      <c r="H322" s="87">
        <v>41411.0</v>
      </c>
      <c r="I322" s="87">
        <v>0.0</v>
      </c>
      <c r="J322" s="87">
        <v>922.9814</v>
      </c>
      <c r="K322" s="87">
        <v>928.5481</v>
      </c>
      <c r="L322" s="87">
        <v>899.443</v>
      </c>
      <c r="M322" s="87">
        <v>638.5646</v>
      </c>
      <c r="N322" s="87">
        <v>0.687702</v>
      </c>
      <c r="O322" s="87">
        <v>0.0</v>
      </c>
      <c r="P322" s="87">
        <v>0.0</v>
      </c>
      <c r="Q322" s="87">
        <v>7.236529</v>
      </c>
      <c r="R322" s="87">
        <v>20.73049</v>
      </c>
      <c r="S322" s="87">
        <v>58.70784</v>
      </c>
      <c r="T322" s="87">
        <v>7.236529</v>
      </c>
      <c r="U322" s="87">
        <v>18.70375</v>
      </c>
      <c r="V322" s="87">
        <v>19.49858</v>
      </c>
      <c r="W322" s="87">
        <v>26.36144</v>
      </c>
      <c r="X322" s="87">
        <v>60.16193</v>
      </c>
      <c r="Y322" s="87">
        <v>48.87095</v>
      </c>
      <c r="Z322" s="87">
        <v>0.0</v>
      </c>
      <c r="AA322" s="87">
        <v>18.70375</v>
      </c>
      <c r="AB322" s="87">
        <v>10.52397</v>
      </c>
      <c r="AC322" s="87">
        <v>7.791667</v>
      </c>
      <c r="AD322" s="87">
        <v>14.50288</v>
      </c>
      <c r="AE322" s="87">
        <v>21.15481</v>
      </c>
      <c r="AF322" s="87">
        <v>29.92747</v>
      </c>
      <c r="AG322" s="87">
        <v>38.8682</v>
      </c>
      <c r="AH322" s="87">
        <v>0.0</v>
      </c>
      <c r="AI322" s="87">
        <v>15.6481</v>
      </c>
      <c r="AJ322" s="87">
        <v>7.18899</v>
      </c>
      <c r="AK322" s="87">
        <v>8.873449</v>
      </c>
      <c r="AL322" s="88" t="s">
        <v>1396</v>
      </c>
    </row>
    <row r="323">
      <c r="A323" s="84" t="s">
        <v>1791</v>
      </c>
      <c r="B323" s="84" t="s">
        <v>1826</v>
      </c>
      <c r="C323" s="84" t="s">
        <v>231</v>
      </c>
      <c r="D323" s="84" t="s">
        <v>1825</v>
      </c>
      <c r="E323" s="84" t="s">
        <v>1413</v>
      </c>
      <c r="F323" s="87">
        <v>15.0</v>
      </c>
      <c r="G323" s="87">
        <v>0.0</v>
      </c>
      <c r="H323" s="87">
        <v>5908.0</v>
      </c>
      <c r="I323" s="87">
        <v>0.0</v>
      </c>
      <c r="J323" s="87">
        <v>113.8679</v>
      </c>
      <c r="K323" s="87">
        <v>172.3493</v>
      </c>
      <c r="L323" s="87">
        <v>166.6556</v>
      </c>
      <c r="M323" s="87">
        <v>122.5647</v>
      </c>
      <c r="N323" s="87">
        <v>0.711141</v>
      </c>
      <c r="O323" s="87">
        <v>0.0</v>
      </c>
      <c r="P323" s="87">
        <v>0.0</v>
      </c>
      <c r="Q323" s="87">
        <v>0.0</v>
      </c>
      <c r="R323" s="87">
        <v>0.72029</v>
      </c>
      <c r="S323" s="87">
        <v>14.70942</v>
      </c>
      <c r="T323" s="87">
        <v>0.468247</v>
      </c>
      <c r="U323" s="87">
        <v>0.72029</v>
      </c>
      <c r="V323" s="87">
        <v>6.942356</v>
      </c>
      <c r="W323" s="87">
        <v>14.70942</v>
      </c>
      <c r="X323" s="87">
        <v>19.67793</v>
      </c>
      <c r="Y323" s="87">
        <v>11.48995</v>
      </c>
      <c r="Z323" s="87">
        <v>0.0</v>
      </c>
      <c r="AA323" s="87">
        <v>18.70375</v>
      </c>
      <c r="AB323" s="87">
        <v>10.52397</v>
      </c>
      <c r="AC323" s="87">
        <v>7.791667</v>
      </c>
      <c r="AD323" s="87">
        <v>6.038515</v>
      </c>
      <c r="AE323" s="87">
        <v>13.32172</v>
      </c>
      <c r="AF323" s="87">
        <v>11.22386</v>
      </c>
      <c r="AG323" s="87">
        <v>12.9816</v>
      </c>
      <c r="AH323" s="87">
        <v>0.0</v>
      </c>
      <c r="AI323" s="87">
        <v>15.6481</v>
      </c>
      <c r="AJ323" s="87">
        <v>7.18899</v>
      </c>
      <c r="AK323" s="87">
        <v>8.873449</v>
      </c>
      <c r="AL323" s="88" t="s">
        <v>1396</v>
      </c>
    </row>
    <row r="324">
      <c r="A324" s="84" t="s">
        <v>1793</v>
      </c>
      <c r="B324" s="84" t="s">
        <v>1827</v>
      </c>
      <c r="C324" s="84" t="s">
        <v>231</v>
      </c>
      <c r="D324" s="84" t="s">
        <v>1825</v>
      </c>
      <c r="E324" s="84" t="s">
        <v>1398</v>
      </c>
      <c r="F324" s="87">
        <v>5.0</v>
      </c>
      <c r="G324" s="87">
        <v>0.0</v>
      </c>
      <c r="H324" s="87">
        <v>710.0</v>
      </c>
      <c r="I324" s="87">
        <v>0.0</v>
      </c>
      <c r="J324" s="87">
        <v>13.3486</v>
      </c>
      <c r="K324" s="87">
        <v>18.8365</v>
      </c>
      <c r="L324" s="87">
        <v>18.02086</v>
      </c>
      <c r="M324" s="87">
        <v>12.75246</v>
      </c>
      <c r="N324" s="87">
        <v>0.677008</v>
      </c>
      <c r="O324" s="87">
        <v>0.0</v>
      </c>
      <c r="P324" s="87">
        <v>0.0</v>
      </c>
      <c r="Q324" s="87">
        <v>0.0</v>
      </c>
      <c r="R324" s="87">
        <v>1.810233</v>
      </c>
      <c r="S324" s="87">
        <v>4.27381</v>
      </c>
      <c r="T324" s="87">
        <v>1.810233</v>
      </c>
      <c r="U324" s="87">
        <v>1.810233</v>
      </c>
      <c r="V324" s="87">
        <v>1.810233</v>
      </c>
      <c r="W324" s="87">
        <v>4.27381</v>
      </c>
      <c r="X324" s="87">
        <v>12.75246</v>
      </c>
      <c r="Y324" s="87">
        <v>3.767301</v>
      </c>
      <c r="Z324" s="87">
        <v>0.0</v>
      </c>
      <c r="AA324" s="87">
        <v>18.70375</v>
      </c>
      <c r="AB324" s="87">
        <v>10.52397</v>
      </c>
      <c r="AC324" s="87">
        <v>7.791667</v>
      </c>
      <c r="AD324" s="87">
        <v>1.609195</v>
      </c>
      <c r="AE324" s="87">
        <v>5.070267</v>
      </c>
      <c r="AF324" s="87">
        <v>9.392614</v>
      </c>
      <c r="AG324" s="87">
        <v>5.083247</v>
      </c>
      <c r="AH324" s="87">
        <v>0.0</v>
      </c>
      <c r="AI324" s="87">
        <v>15.6481</v>
      </c>
      <c r="AJ324" s="87">
        <v>7.18899</v>
      </c>
      <c r="AK324" s="87">
        <v>8.873449</v>
      </c>
      <c r="AL324" s="88" t="s">
        <v>1396</v>
      </c>
    </row>
    <row r="325">
      <c r="A325" s="84" t="s">
        <v>1795</v>
      </c>
      <c r="B325" s="84" t="s">
        <v>1828</v>
      </c>
      <c r="C325" s="84" t="s">
        <v>231</v>
      </c>
      <c r="D325" s="84" t="s">
        <v>1825</v>
      </c>
      <c r="E325" s="84" t="s">
        <v>1400</v>
      </c>
      <c r="F325" s="87">
        <v>8.0</v>
      </c>
      <c r="G325" s="87">
        <v>0.0</v>
      </c>
      <c r="H325" s="87">
        <v>4384.0</v>
      </c>
      <c r="I325" s="87">
        <v>0.0</v>
      </c>
      <c r="J325" s="87">
        <v>39.52528</v>
      </c>
      <c r="K325" s="87">
        <v>48.83161</v>
      </c>
      <c r="L325" s="87">
        <v>66.93025</v>
      </c>
      <c r="M325" s="87">
        <v>43.73121</v>
      </c>
      <c r="N325" s="87">
        <v>0.895551</v>
      </c>
      <c r="O325" s="87">
        <v>0.0</v>
      </c>
      <c r="P325" s="87">
        <v>0.0</v>
      </c>
      <c r="Q325" s="87">
        <v>0.0</v>
      </c>
      <c r="R325" s="87">
        <v>2.18246</v>
      </c>
      <c r="S325" s="87">
        <v>2.348965</v>
      </c>
      <c r="T325" s="87">
        <v>0.568966</v>
      </c>
      <c r="U325" s="87">
        <v>2.18246</v>
      </c>
      <c r="V325" s="87">
        <v>2.18246</v>
      </c>
      <c r="W325" s="87">
        <v>2.348965</v>
      </c>
      <c r="X325" s="87">
        <v>2.897875</v>
      </c>
      <c r="Y325" s="87">
        <v>6.103951</v>
      </c>
      <c r="Z325" s="87">
        <v>0.0</v>
      </c>
      <c r="AA325" s="87">
        <v>18.70375</v>
      </c>
      <c r="AB325" s="87">
        <v>10.52397</v>
      </c>
      <c r="AC325" s="87">
        <v>7.791667</v>
      </c>
      <c r="AD325" s="87">
        <v>0.712937</v>
      </c>
      <c r="AE325" s="87">
        <v>2.874776</v>
      </c>
      <c r="AF325" s="87">
        <v>3.923754</v>
      </c>
      <c r="AG325" s="87">
        <v>4.012343</v>
      </c>
      <c r="AH325" s="87">
        <v>0.0</v>
      </c>
      <c r="AI325" s="87">
        <v>15.6481</v>
      </c>
      <c r="AJ325" s="87">
        <v>7.18899</v>
      </c>
      <c r="AK325" s="87">
        <v>8.873449</v>
      </c>
      <c r="AL325" s="88" t="s">
        <v>1396</v>
      </c>
    </row>
    <row r="326">
      <c r="A326" s="84" t="s">
        <v>1797</v>
      </c>
      <c r="B326" s="84" t="s">
        <v>1829</v>
      </c>
      <c r="C326" s="84" t="s">
        <v>231</v>
      </c>
      <c r="D326" s="84" t="s">
        <v>1825</v>
      </c>
      <c r="E326" s="89">
        <v>46300.0</v>
      </c>
      <c r="F326" s="87">
        <v>4.0</v>
      </c>
      <c r="G326" s="87">
        <v>0.0</v>
      </c>
      <c r="H326" s="87">
        <v>0.0</v>
      </c>
      <c r="I326" s="87">
        <v>0.0</v>
      </c>
      <c r="J326" s="87">
        <v>28.16667</v>
      </c>
      <c r="K326" s="87">
        <v>31.16667</v>
      </c>
      <c r="L326" s="87">
        <v>31.16667</v>
      </c>
      <c r="M326" s="87">
        <v>19.66667</v>
      </c>
      <c r="N326" s="87">
        <v>0.631016</v>
      </c>
      <c r="O326" s="87">
        <v>0.0</v>
      </c>
      <c r="P326" s="87">
        <v>0.0</v>
      </c>
      <c r="Q326" s="87">
        <v>0.0</v>
      </c>
      <c r="R326" s="87">
        <v>11.5</v>
      </c>
      <c r="S326" s="87">
        <v>11.5</v>
      </c>
      <c r="T326" s="87">
        <v>11.5</v>
      </c>
      <c r="U326" s="87">
        <v>11.5</v>
      </c>
      <c r="V326" s="87">
        <v>11.5</v>
      </c>
      <c r="W326" s="87">
        <v>19.66667</v>
      </c>
      <c r="X326" s="87">
        <v>19.66667</v>
      </c>
      <c r="Y326" s="87">
        <v>7.791667</v>
      </c>
      <c r="Z326" s="87">
        <v>0.0</v>
      </c>
      <c r="AA326" s="87">
        <v>18.70375</v>
      </c>
      <c r="AB326" s="87">
        <v>10.52397</v>
      </c>
      <c r="AC326" s="87">
        <v>7.791667</v>
      </c>
      <c r="AD326" s="87">
        <v>13.39132</v>
      </c>
      <c r="AE326" s="87">
        <v>19.69388</v>
      </c>
      <c r="AF326" s="87">
        <v>27.88075</v>
      </c>
      <c r="AG326" s="87">
        <v>20.92786</v>
      </c>
      <c r="AH326" s="87">
        <v>0.0</v>
      </c>
      <c r="AI326" s="87">
        <v>15.6481</v>
      </c>
      <c r="AJ326" s="87">
        <v>7.18899</v>
      </c>
      <c r="AK326" s="87">
        <v>8.873449</v>
      </c>
      <c r="AL326" s="88" t="s">
        <v>1396</v>
      </c>
    </row>
    <row r="327">
      <c r="A327" s="84" t="s">
        <v>1799</v>
      </c>
      <c r="B327" s="84" t="s">
        <v>1830</v>
      </c>
      <c r="C327" s="84" t="s">
        <v>231</v>
      </c>
      <c r="D327" s="84" t="s">
        <v>1825</v>
      </c>
      <c r="E327" s="84" t="s">
        <v>1403</v>
      </c>
      <c r="F327" s="87">
        <v>63.0</v>
      </c>
      <c r="G327" s="87">
        <v>3.0</v>
      </c>
      <c r="H327" s="87">
        <v>159.0</v>
      </c>
      <c r="I327" s="87">
        <v>159.0</v>
      </c>
      <c r="J327" s="87">
        <v>0.0</v>
      </c>
      <c r="K327" s="87">
        <v>0.0</v>
      </c>
      <c r="L327" s="87">
        <v>0.0</v>
      </c>
      <c r="M327" s="87">
        <v>0.0</v>
      </c>
      <c r="N327" s="87">
        <v>0.0</v>
      </c>
      <c r="O327" s="87">
        <v>0.0</v>
      </c>
      <c r="P327" s="87">
        <v>0.0</v>
      </c>
      <c r="Q327" s="87">
        <v>0.0</v>
      </c>
      <c r="R327" s="87">
        <v>0.0</v>
      </c>
      <c r="S327" s="87">
        <v>0.0</v>
      </c>
      <c r="T327" s="87">
        <v>0.0</v>
      </c>
      <c r="U327" s="87">
        <v>0.0</v>
      </c>
      <c r="V327" s="87">
        <v>0.0</v>
      </c>
      <c r="W327" s="87">
        <v>0.0</v>
      </c>
      <c r="X327" s="87">
        <v>0.0</v>
      </c>
      <c r="Y327" s="87">
        <v>0.0</v>
      </c>
      <c r="Z327" s="87">
        <v>0.0</v>
      </c>
      <c r="AA327" s="87">
        <v>18.70375</v>
      </c>
      <c r="AB327" s="87">
        <v>10.52397</v>
      </c>
      <c r="AC327" s="87">
        <v>7.791667</v>
      </c>
      <c r="AD327" s="87">
        <v>0.0</v>
      </c>
      <c r="AE327" s="87">
        <v>0.0</v>
      </c>
      <c r="AF327" s="87">
        <v>0.0</v>
      </c>
      <c r="AG327" s="87">
        <v>0.0</v>
      </c>
      <c r="AH327" s="87">
        <v>0.0</v>
      </c>
      <c r="AI327" s="87">
        <v>15.6481</v>
      </c>
      <c r="AJ327" s="87">
        <v>7.18899</v>
      </c>
      <c r="AK327" s="87">
        <v>8.873449</v>
      </c>
      <c r="AL327" s="88" t="s">
        <v>1396</v>
      </c>
    </row>
    <row r="328">
      <c r="A328" s="84" t="s">
        <v>1787</v>
      </c>
      <c r="B328" s="84" t="s">
        <v>1831</v>
      </c>
      <c r="C328" s="84" t="s">
        <v>231</v>
      </c>
      <c r="D328" s="84" t="s">
        <v>251</v>
      </c>
      <c r="E328" s="84" t="s">
        <v>1426</v>
      </c>
      <c r="F328" s="87">
        <v>7.0</v>
      </c>
      <c r="G328" s="87">
        <v>0.0</v>
      </c>
      <c r="H328" s="87">
        <v>10364.0</v>
      </c>
      <c r="I328" s="87">
        <v>0.0</v>
      </c>
      <c r="J328" s="87">
        <v>186.2622</v>
      </c>
      <c r="K328" s="87">
        <v>191.1895</v>
      </c>
      <c r="L328" s="87">
        <v>203.6433</v>
      </c>
      <c r="M328" s="87">
        <v>158.9567</v>
      </c>
      <c r="N328" s="87">
        <v>0.831409</v>
      </c>
      <c r="O328" s="87">
        <v>0.0</v>
      </c>
      <c r="P328" s="87">
        <v>0.0</v>
      </c>
      <c r="Q328" s="87">
        <v>0.0</v>
      </c>
      <c r="R328" s="87">
        <v>9.391576</v>
      </c>
      <c r="S328" s="87">
        <v>22.84126</v>
      </c>
      <c r="T328" s="87">
        <v>9.391576</v>
      </c>
      <c r="U328" s="87">
        <v>9.391576</v>
      </c>
      <c r="V328" s="87">
        <v>22.84126</v>
      </c>
      <c r="W328" s="87">
        <v>24.95165</v>
      </c>
      <c r="X328" s="87">
        <v>24.95165</v>
      </c>
      <c r="Y328" s="87">
        <v>27.31279</v>
      </c>
      <c r="Z328" s="87">
        <v>0.0</v>
      </c>
      <c r="AA328" s="87">
        <v>17.20859</v>
      </c>
      <c r="AB328" s="87">
        <v>7.726406</v>
      </c>
      <c r="AC328" s="87">
        <v>7.280778</v>
      </c>
      <c r="AD328" s="87">
        <v>13.8789</v>
      </c>
      <c r="AE328" s="87">
        <v>22.84126</v>
      </c>
      <c r="AF328" s="87">
        <v>26.88872</v>
      </c>
      <c r="AG328" s="87">
        <v>25.74222</v>
      </c>
      <c r="AH328" s="87">
        <v>0.0</v>
      </c>
      <c r="AI328" s="87">
        <v>15.6481</v>
      </c>
      <c r="AJ328" s="87">
        <v>7.18899</v>
      </c>
      <c r="AK328" s="87">
        <v>8.873449</v>
      </c>
      <c r="AL328" s="88" t="s">
        <v>1396</v>
      </c>
    </row>
    <row r="329">
      <c r="A329" s="84" t="s">
        <v>1789</v>
      </c>
      <c r="B329" s="84" t="s">
        <v>1832</v>
      </c>
      <c r="C329" s="84" t="s">
        <v>231</v>
      </c>
      <c r="D329" s="84" t="s">
        <v>251</v>
      </c>
      <c r="E329" s="86">
        <v>46310.0</v>
      </c>
      <c r="F329" s="87">
        <v>40.0</v>
      </c>
      <c r="G329" s="87">
        <v>0.0</v>
      </c>
      <c r="H329" s="87">
        <v>70184.0</v>
      </c>
      <c r="I329" s="87">
        <v>0.0</v>
      </c>
      <c r="J329" s="87">
        <v>1135.982</v>
      </c>
      <c r="K329" s="87">
        <v>1132.592</v>
      </c>
      <c r="L329" s="87">
        <v>1096.613</v>
      </c>
      <c r="M329" s="87">
        <v>690.1487</v>
      </c>
      <c r="N329" s="87">
        <v>0.609353</v>
      </c>
      <c r="O329" s="87">
        <v>0.191667</v>
      </c>
      <c r="P329" s="87">
        <v>3.995238</v>
      </c>
      <c r="Q329" s="87">
        <v>8.823386</v>
      </c>
      <c r="R329" s="87">
        <v>20.00677</v>
      </c>
      <c r="S329" s="87">
        <v>30.01891</v>
      </c>
      <c r="T329" s="87">
        <v>2.889195</v>
      </c>
      <c r="U329" s="87">
        <v>8.025733</v>
      </c>
      <c r="V329" s="87">
        <v>9.651867</v>
      </c>
      <c r="W329" s="87">
        <v>21.30786</v>
      </c>
      <c r="X329" s="87">
        <v>30.37077</v>
      </c>
      <c r="Y329" s="87">
        <v>28.31481</v>
      </c>
      <c r="Z329" s="87">
        <v>0.0</v>
      </c>
      <c r="AA329" s="87">
        <v>17.20859</v>
      </c>
      <c r="AB329" s="87">
        <v>7.726406</v>
      </c>
      <c r="AC329" s="87">
        <v>7.280778</v>
      </c>
      <c r="AD329" s="87">
        <v>14.50288</v>
      </c>
      <c r="AE329" s="87">
        <v>21.15481</v>
      </c>
      <c r="AF329" s="87">
        <v>29.92747</v>
      </c>
      <c r="AG329" s="87">
        <v>38.8682</v>
      </c>
      <c r="AH329" s="87">
        <v>0.0</v>
      </c>
      <c r="AI329" s="87">
        <v>15.6481</v>
      </c>
      <c r="AJ329" s="87">
        <v>7.18899</v>
      </c>
      <c r="AK329" s="87">
        <v>8.873449</v>
      </c>
      <c r="AL329" s="88" t="s">
        <v>1396</v>
      </c>
    </row>
    <row r="330">
      <c r="A330" s="84" t="s">
        <v>1791</v>
      </c>
      <c r="B330" s="84" t="s">
        <v>1833</v>
      </c>
      <c r="C330" s="84" t="s">
        <v>231</v>
      </c>
      <c r="D330" s="84" t="s">
        <v>251</v>
      </c>
      <c r="E330" s="84" t="s">
        <v>1413</v>
      </c>
      <c r="F330" s="87">
        <v>24.0</v>
      </c>
      <c r="G330" s="87">
        <v>0.0</v>
      </c>
      <c r="H330" s="87">
        <v>10156.0</v>
      </c>
      <c r="I330" s="87">
        <v>0.0</v>
      </c>
      <c r="J330" s="87">
        <v>163.6233</v>
      </c>
      <c r="K330" s="87">
        <v>174.7387</v>
      </c>
      <c r="L330" s="87">
        <v>169.2389</v>
      </c>
      <c r="M330" s="87">
        <v>91.65981</v>
      </c>
      <c r="N330" s="87">
        <v>0.524554</v>
      </c>
      <c r="O330" s="87">
        <v>0.0</v>
      </c>
      <c r="P330" s="87">
        <v>0.0</v>
      </c>
      <c r="Q330" s="87">
        <v>3.408704</v>
      </c>
      <c r="R330" s="87">
        <v>5.916315</v>
      </c>
      <c r="S330" s="87">
        <v>9.253656</v>
      </c>
      <c r="T330" s="87">
        <v>3.408704</v>
      </c>
      <c r="U330" s="87">
        <v>3.793055</v>
      </c>
      <c r="V330" s="87">
        <v>4.120621</v>
      </c>
      <c r="W330" s="87">
        <v>7.411842</v>
      </c>
      <c r="X330" s="87">
        <v>14.46172</v>
      </c>
      <c r="Y330" s="87">
        <v>7.280778</v>
      </c>
      <c r="Z330" s="87">
        <v>0.0</v>
      </c>
      <c r="AA330" s="87">
        <v>17.20859</v>
      </c>
      <c r="AB330" s="87">
        <v>7.726406</v>
      </c>
      <c r="AC330" s="87">
        <v>7.280778</v>
      </c>
      <c r="AD330" s="87">
        <v>6.038515</v>
      </c>
      <c r="AE330" s="87">
        <v>13.32172</v>
      </c>
      <c r="AF330" s="87">
        <v>11.22386</v>
      </c>
      <c r="AG330" s="87">
        <v>12.9816</v>
      </c>
      <c r="AH330" s="87">
        <v>0.0</v>
      </c>
      <c r="AI330" s="87">
        <v>15.6481</v>
      </c>
      <c r="AJ330" s="87">
        <v>7.18899</v>
      </c>
      <c r="AK330" s="87">
        <v>8.873449</v>
      </c>
      <c r="AL330" s="88" t="s">
        <v>1396</v>
      </c>
    </row>
    <row r="331">
      <c r="A331" s="84" t="s">
        <v>1793</v>
      </c>
      <c r="B331" s="84" t="s">
        <v>1834</v>
      </c>
      <c r="C331" s="84" t="s">
        <v>231</v>
      </c>
      <c r="D331" s="84" t="s">
        <v>251</v>
      </c>
      <c r="E331" s="84" t="s">
        <v>1398</v>
      </c>
      <c r="F331" s="87">
        <v>4.0</v>
      </c>
      <c r="G331" s="87">
        <v>0.0</v>
      </c>
      <c r="H331" s="87">
        <v>286.0</v>
      </c>
      <c r="I331" s="87">
        <v>0.0</v>
      </c>
      <c r="J331" s="87">
        <v>8.021032</v>
      </c>
      <c r="K331" s="87">
        <v>7.366253</v>
      </c>
      <c r="L331" s="87">
        <v>7.604068</v>
      </c>
      <c r="M331" s="87">
        <v>4.371436</v>
      </c>
      <c r="N331" s="87">
        <v>0.593441</v>
      </c>
      <c r="O331" s="87">
        <v>0.0</v>
      </c>
      <c r="P331" s="87">
        <v>0.0</v>
      </c>
      <c r="Q331" s="87">
        <v>0.0</v>
      </c>
      <c r="R331" s="87">
        <v>2.994817</v>
      </c>
      <c r="S331" s="87">
        <v>2.994817</v>
      </c>
      <c r="T331" s="87">
        <v>2.994817</v>
      </c>
      <c r="U331" s="87">
        <v>2.994817</v>
      </c>
      <c r="V331" s="87">
        <v>2.994817</v>
      </c>
      <c r="W331" s="87">
        <v>4.371436</v>
      </c>
      <c r="X331" s="87">
        <v>4.371436</v>
      </c>
      <c r="Y331" s="87">
        <v>1.841563</v>
      </c>
      <c r="Z331" s="87">
        <v>0.0</v>
      </c>
      <c r="AA331" s="87">
        <v>17.20859</v>
      </c>
      <c r="AB331" s="87">
        <v>7.726406</v>
      </c>
      <c r="AC331" s="87">
        <v>7.280778</v>
      </c>
      <c r="AD331" s="87">
        <v>1.609195</v>
      </c>
      <c r="AE331" s="87">
        <v>5.070267</v>
      </c>
      <c r="AF331" s="87">
        <v>9.392614</v>
      </c>
      <c r="AG331" s="87">
        <v>5.083247</v>
      </c>
      <c r="AH331" s="87">
        <v>0.0</v>
      </c>
      <c r="AI331" s="87">
        <v>15.6481</v>
      </c>
      <c r="AJ331" s="87">
        <v>7.18899</v>
      </c>
      <c r="AK331" s="87">
        <v>8.873449</v>
      </c>
      <c r="AL331" s="88" t="s">
        <v>1396</v>
      </c>
    </row>
    <row r="332">
      <c r="A332" s="84" t="s">
        <v>1795</v>
      </c>
      <c r="B332" s="84" t="s">
        <v>1835</v>
      </c>
      <c r="C332" s="84" t="s">
        <v>231</v>
      </c>
      <c r="D332" s="84" t="s">
        <v>251</v>
      </c>
      <c r="E332" s="84" t="s">
        <v>1400</v>
      </c>
      <c r="F332" s="87">
        <v>6.0</v>
      </c>
      <c r="G332" s="87">
        <v>0.0</v>
      </c>
      <c r="H332" s="87">
        <v>326.0</v>
      </c>
      <c r="I332" s="87">
        <v>0.0</v>
      </c>
      <c r="J332" s="87">
        <v>11.65952</v>
      </c>
      <c r="K332" s="87">
        <v>12.95962</v>
      </c>
      <c r="L332" s="87">
        <v>11.1111</v>
      </c>
      <c r="M332" s="87">
        <v>9.769538</v>
      </c>
      <c r="N332" s="87">
        <v>0.753845</v>
      </c>
      <c r="O332" s="87">
        <v>0.0</v>
      </c>
      <c r="P332" s="87">
        <v>0.0</v>
      </c>
      <c r="Q332" s="87">
        <v>0.0</v>
      </c>
      <c r="R332" s="87">
        <v>1.974539</v>
      </c>
      <c r="S332" s="87">
        <v>2.874776</v>
      </c>
      <c r="T332" s="87">
        <v>1.21554</v>
      </c>
      <c r="U332" s="87">
        <v>1.21554</v>
      </c>
      <c r="V332" s="87">
        <v>1.974539</v>
      </c>
      <c r="W332" s="87">
        <v>2.874776</v>
      </c>
      <c r="X332" s="87">
        <v>2.874776</v>
      </c>
      <c r="Y332" s="87">
        <v>2.159936</v>
      </c>
      <c r="Z332" s="87">
        <v>0.0</v>
      </c>
      <c r="AA332" s="87">
        <v>17.20859</v>
      </c>
      <c r="AB332" s="87">
        <v>7.726406</v>
      </c>
      <c r="AC332" s="87">
        <v>7.280778</v>
      </c>
      <c r="AD332" s="87">
        <v>0.712937</v>
      </c>
      <c r="AE332" s="87">
        <v>2.874776</v>
      </c>
      <c r="AF332" s="87">
        <v>3.923754</v>
      </c>
      <c r="AG332" s="87">
        <v>4.012343</v>
      </c>
      <c r="AH332" s="87">
        <v>0.0</v>
      </c>
      <c r="AI332" s="87">
        <v>15.6481</v>
      </c>
      <c r="AJ332" s="87">
        <v>7.18899</v>
      </c>
      <c r="AK332" s="87">
        <v>8.873449</v>
      </c>
      <c r="AL332" s="88" t="s">
        <v>1396</v>
      </c>
    </row>
    <row r="333">
      <c r="A333" s="84" t="s">
        <v>1797</v>
      </c>
      <c r="B333" s="84" t="s">
        <v>1836</v>
      </c>
      <c r="C333" s="84" t="s">
        <v>231</v>
      </c>
      <c r="D333" s="84" t="s">
        <v>251</v>
      </c>
      <c r="E333" s="89">
        <v>46300.0</v>
      </c>
      <c r="F333" s="87">
        <v>16.0</v>
      </c>
      <c r="G333" s="87">
        <v>0.0</v>
      </c>
      <c r="H333" s="87">
        <v>10654.0</v>
      </c>
      <c r="I333" s="87">
        <v>0.0</v>
      </c>
      <c r="J333" s="87">
        <v>211.8097</v>
      </c>
      <c r="K333" s="87">
        <v>235.0478</v>
      </c>
      <c r="L333" s="87">
        <v>237.5885</v>
      </c>
      <c r="M333" s="87">
        <v>186.6831</v>
      </c>
      <c r="N333" s="87">
        <v>0.794235</v>
      </c>
      <c r="O333" s="87">
        <v>0.0</v>
      </c>
      <c r="P333" s="87">
        <v>0.0</v>
      </c>
      <c r="Q333" s="87">
        <v>0.0</v>
      </c>
      <c r="R333" s="87">
        <v>2.25</v>
      </c>
      <c r="S333" s="87">
        <v>17.52398</v>
      </c>
      <c r="T333" s="87">
        <v>2.25</v>
      </c>
      <c r="U333" s="87">
        <v>11.32886</v>
      </c>
      <c r="V333" s="87">
        <v>17.26185</v>
      </c>
      <c r="W333" s="87">
        <v>19.55707</v>
      </c>
      <c r="X333" s="87">
        <v>24.53413</v>
      </c>
      <c r="Y333" s="87">
        <v>14.69049</v>
      </c>
      <c r="Z333" s="87">
        <v>0.0</v>
      </c>
      <c r="AA333" s="87">
        <v>17.20859</v>
      </c>
      <c r="AB333" s="87">
        <v>7.726406</v>
      </c>
      <c r="AC333" s="87">
        <v>7.280778</v>
      </c>
      <c r="AD333" s="87">
        <v>13.39132</v>
      </c>
      <c r="AE333" s="87">
        <v>19.69388</v>
      </c>
      <c r="AF333" s="87">
        <v>27.88075</v>
      </c>
      <c r="AG333" s="87">
        <v>20.92786</v>
      </c>
      <c r="AH333" s="87">
        <v>0.0</v>
      </c>
      <c r="AI333" s="87">
        <v>15.6481</v>
      </c>
      <c r="AJ333" s="87">
        <v>7.18899</v>
      </c>
      <c r="AK333" s="87">
        <v>8.873449</v>
      </c>
      <c r="AL333" s="88" t="s">
        <v>1396</v>
      </c>
    </row>
    <row r="334">
      <c r="A334" s="84" t="s">
        <v>1799</v>
      </c>
      <c r="B334" s="84" t="s">
        <v>1837</v>
      </c>
      <c r="C334" s="84" t="s">
        <v>231</v>
      </c>
      <c r="D334" s="84" t="s">
        <v>251</v>
      </c>
      <c r="E334" s="84" t="s">
        <v>1403</v>
      </c>
      <c r="F334" s="87">
        <v>130.0</v>
      </c>
      <c r="G334" s="87">
        <v>10.0</v>
      </c>
      <c r="H334" s="87">
        <v>877.0</v>
      </c>
      <c r="I334" s="87">
        <v>877.0</v>
      </c>
      <c r="J334" s="87">
        <v>0.0</v>
      </c>
      <c r="K334" s="87">
        <v>0.0</v>
      </c>
      <c r="L334" s="87">
        <v>0.0</v>
      </c>
      <c r="M334" s="87">
        <v>0.0</v>
      </c>
      <c r="N334" s="87">
        <v>0.0</v>
      </c>
      <c r="O334" s="87">
        <v>0.0</v>
      </c>
      <c r="P334" s="87">
        <v>0.0</v>
      </c>
      <c r="Q334" s="87">
        <v>0.0</v>
      </c>
      <c r="R334" s="87">
        <v>0.0</v>
      </c>
      <c r="S334" s="87">
        <v>0.0</v>
      </c>
      <c r="T334" s="87">
        <v>0.0</v>
      </c>
      <c r="U334" s="87">
        <v>0.0</v>
      </c>
      <c r="V334" s="87">
        <v>0.0</v>
      </c>
      <c r="W334" s="87">
        <v>0.0</v>
      </c>
      <c r="X334" s="87">
        <v>0.0</v>
      </c>
      <c r="Y334" s="87">
        <v>0.0</v>
      </c>
      <c r="Z334" s="87">
        <v>0.0</v>
      </c>
      <c r="AA334" s="87">
        <v>17.20859</v>
      </c>
      <c r="AB334" s="87">
        <v>7.726406</v>
      </c>
      <c r="AC334" s="87">
        <v>7.280778</v>
      </c>
      <c r="AD334" s="87">
        <v>0.0</v>
      </c>
      <c r="AE334" s="87">
        <v>0.0</v>
      </c>
      <c r="AF334" s="87">
        <v>0.0</v>
      </c>
      <c r="AG334" s="87">
        <v>0.0</v>
      </c>
      <c r="AH334" s="87">
        <v>0.0</v>
      </c>
      <c r="AI334" s="87">
        <v>15.6481</v>
      </c>
      <c r="AJ334" s="87">
        <v>7.18899</v>
      </c>
      <c r="AK334" s="87">
        <v>8.873449</v>
      </c>
      <c r="AL334" s="88" t="s">
        <v>1396</v>
      </c>
    </row>
    <row r="335">
      <c r="A335" s="84" t="s">
        <v>1787</v>
      </c>
      <c r="B335" s="84" t="s">
        <v>1838</v>
      </c>
      <c r="C335" s="84" t="s">
        <v>231</v>
      </c>
      <c r="D335" s="84" t="s">
        <v>1839</v>
      </c>
      <c r="E335" s="84" t="s">
        <v>1426</v>
      </c>
      <c r="F335" s="87">
        <v>1.0</v>
      </c>
      <c r="G335" s="87">
        <v>0.0</v>
      </c>
      <c r="H335" s="87">
        <v>0.0</v>
      </c>
      <c r="I335" s="87">
        <v>0.0</v>
      </c>
      <c r="J335" s="87">
        <v>0.0</v>
      </c>
      <c r="K335" s="87">
        <v>0.0</v>
      </c>
      <c r="L335" s="87">
        <v>0.0</v>
      </c>
      <c r="M335" s="87">
        <v>0.0</v>
      </c>
      <c r="N335" s="87">
        <v>0.0</v>
      </c>
      <c r="O335" s="87">
        <v>0.0</v>
      </c>
      <c r="P335" s="87">
        <v>0.0</v>
      </c>
      <c r="Q335" s="87">
        <v>0.0</v>
      </c>
      <c r="R335" s="87">
        <v>0.0</v>
      </c>
      <c r="S335" s="87">
        <v>0.0</v>
      </c>
      <c r="T335" s="87">
        <v>0.0</v>
      </c>
      <c r="U335" s="87">
        <v>0.0</v>
      </c>
      <c r="V335" s="87">
        <v>0.0</v>
      </c>
      <c r="W335" s="87">
        <v>0.0</v>
      </c>
      <c r="X335" s="87">
        <v>0.0</v>
      </c>
      <c r="Y335" s="87">
        <v>0.0</v>
      </c>
      <c r="Z335" s="87">
        <v>0.0</v>
      </c>
      <c r="AA335" s="87">
        <v>15.11179</v>
      </c>
      <c r="AB335" s="87">
        <v>4.046389</v>
      </c>
      <c r="AC335" s="87">
        <v>6.701361</v>
      </c>
      <c r="AD335" s="87">
        <v>13.8789</v>
      </c>
      <c r="AE335" s="87">
        <v>22.84126</v>
      </c>
      <c r="AF335" s="87">
        <v>26.88872</v>
      </c>
      <c r="AG335" s="87">
        <v>25.74222</v>
      </c>
      <c r="AH335" s="87">
        <v>0.0</v>
      </c>
      <c r="AI335" s="87">
        <v>15.6481</v>
      </c>
      <c r="AJ335" s="87">
        <v>7.18899</v>
      </c>
      <c r="AK335" s="87">
        <v>8.873449</v>
      </c>
      <c r="AL335" s="88" t="s">
        <v>1396</v>
      </c>
    </row>
    <row r="336">
      <c r="A336" s="84" t="s">
        <v>1789</v>
      </c>
      <c r="B336" s="84" t="s">
        <v>1840</v>
      </c>
      <c r="C336" s="84" t="s">
        <v>231</v>
      </c>
      <c r="D336" s="84" t="s">
        <v>1839</v>
      </c>
      <c r="E336" s="86">
        <v>46310.0</v>
      </c>
      <c r="F336" s="87">
        <v>12.0</v>
      </c>
      <c r="G336" s="87">
        <v>0.0</v>
      </c>
      <c r="H336" s="87">
        <v>45295.0</v>
      </c>
      <c r="I336" s="87">
        <v>0.0</v>
      </c>
      <c r="J336" s="87">
        <v>328.9458</v>
      </c>
      <c r="K336" s="87">
        <v>330.5844</v>
      </c>
      <c r="L336" s="87">
        <v>337.5784</v>
      </c>
      <c r="M336" s="87">
        <v>254.1783</v>
      </c>
      <c r="N336" s="87">
        <v>0.768876</v>
      </c>
      <c r="O336" s="87">
        <v>0.0</v>
      </c>
      <c r="P336" s="87">
        <v>0.0</v>
      </c>
      <c r="Q336" s="87">
        <v>0.0</v>
      </c>
      <c r="R336" s="87">
        <v>14.35097</v>
      </c>
      <c r="S336" s="87">
        <v>27.45568</v>
      </c>
      <c r="T336" s="87">
        <v>13.46273</v>
      </c>
      <c r="U336" s="87">
        <v>14.35097</v>
      </c>
      <c r="V336" s="87">
        <v>21.13671</v>
      </c>
      <c r="W336" s="87">
        <v>27.45568</v>
      </c>
      <c r="X336" s="87">
        <v>27.67846</v>
      </c>
      <c r="Y336" s="87">
        <v>27.5487</v>
      </c>
      <c r="Z336" s="87">
        <v>0.0</v>
      </c>
      <c r="AA336" s="87">
        <v>15.11179</v>
      </c>
      <c r="AB336" s="87">
        <v>4.046389</v>
      </c>
      <c r="AC336" s="87">
        <v>6.701361</v>
      </c>
      <c r="AD336" s="87">
        <v>14.50288</v>
      </c>
      <c r="AE336" s="87">
        <v>21.15481</v>
      </c>
      <c r="AF336" s="87">
        <v>29.92747</v>
      </c>
      <c r="AG336" s="87">
        <v>38.8682</v>
      </c>
      <c r="AH336" s="87">
        <v>0.0</v>
      </c>
      <c r="AI336" s="87">
        <v>15.6481</v>
      </c>
      <c r="AJ336" s="87">
        <v>7.18899</v>
      </c>
      <c r="AK336" s="87">
        <v>8.873449</v>
      </c>
      <c r="AL336" s="88" t="s">
        <v>1396</v>
      </c>
    </row>
    <row r="337">
      <c r="A337" s="84" t="s">
        <v>1791</v>
      </c>
      <c r="B337" s="84" t="s">
        <v>1841</v>
      </c>
      <c r="C337" s="84" t="s">
        <v>231</v>
      </c>
      <c r="D337" s="84" t="s">
        <v>1839</v>
      </c>
      <c r="E337" s="84" t="s">
        <v>1413</v>
      </c>
      <c r="F337" s="87">
        <v>12.0</v>
      </c>
      <c r="G337" s="87">
        <v>0.0</v>
      </c>
      <c r="H337" s="87">
        <v>13223.0</v>
      </c>
      <c r="I337" s="87">
        <v>0.0</v>
      </c>
      <c r="J337" s="87">
        <v>155.6158</v>
      </c>
      <c r="K337" s="87">
        <v>162.3572</v>
      </c>
      <c r="L337" s="87">
        <v>180.6604</v>
      </c>
      <c r="M337" s="87">
        <v>114.9871</v>
      </c>
      <c r="N337" s="87">
        <v>0.708235</v>
      </c>
      <c r="O337" s="87">
        <v>0.0</v>
      </c>
      <c r="P337" s="87">
        <v>0.0</v>
      </c>
      <c r="Q337" s="87">
        <v>0.083333</v>
      </c>
      <c r="R337" s="87">
        <v>7.864669</v>
      </c>
      <c r="S337" s="87">
        <v>16.51273</v>
      </c>
      <c r="T337" s="87">
        <v>0.083333</v>
      </c>
      <c r="U337" s="87">
        <v>2.477802</v>
      </c>
      <c r="V337" s="87">
        <v>5.319789</v>
      </c>
      <c r="W337" s="87">
        <v>15.11179</v>
      </c>
      <c r="X337" s="87">
        <v>30.2831</v>
      </c>
      <c r="Y337" s="87">
        <v>13.52977</v>
      </c>
      <c r="Z337" s="87">
        <v>0.0</v>
      </c>
      <c r="AA337" s="87">
        <v>15.11179</v>
      </c>
      <c r="AB337" s="87">
        <v>4.046389</v>
      </c>
      <c r="AC337" s="87">
        <v>6.701361</v>
      </c>
      <c r="AD337" s="87">
        <v>6.038515</v>
      </c>
      <c r="AE337" s="87">
        <v>13.32172</v>
      </c>
      <c r="AF337" s="87">
        <v>11.22386</v>
      </c>
      <c r="AG337" s="87">
        <v>12.9816</v>
      </c>
      <c r="AH337" s="87">
        <v>0.0</v>
      </c>
      <c r="AI337" s="87">
        <v>15.6481</v>
      </c>
      <c r="AJ337" s="87">
        <v>7.18899</v>
      </c>
      <c r="AK337" s="87">
        <v>8.873449</v>
      </c>
      <c r="AL337" s="88" t="s">
        <v>1396</v>
      </c>
    </row>
    <row r="338">
      <c r="A338" s="84" t="s">
        <v>1793</v>
      </c>
      <c r="B338" s="84" t="s">
        <v>1842</v>
      </c>
      <c r="C338" s="84" t="s">
        <v>231</v>
      </c>
      <c r="D338" s="84" t="s">
        <v>1839</v>
      </c>
      <c r="E338" s="84" t="s">
        <v>1398</v>
      </c>
      <c r="F338" s="87">
        <v>4.0</v>
      </c>
      <c r="G338" s="87">
        <v>0.0</v>
      </c>
      <c r="H338" s="87">
        <v>675.0</v>
      </c>
      <c r="I338" s="87">
        <v>0.0</v>
      </c>
      <c r="J338" s="87">
        <v>8.586344</v>
      </c>
      <c r="K338" s="87">
        <v>26.80544</v>
      </c>
      <c r="L338" s="87">
        <v>24.56298</v>
      </c>
      <c r="M338" s="87">
        <v>17.94268</v>
      </c>
      <c r="N338" s="87">
        <v>0.669367</v>
      </c>
      <c r="O338" s="87">
        <v>0.0</v>
      </c>
      <c r="P338" s="87">
        <v>0.0</v>
      </c>
      <c r="Q338" s="87">
        <v>0.0</v>
      </c>
      <c r="R338" s="87">
        <v>8.862766</v>
      </c>
      <c r="S338" s="87">
        <v>8.862766</v>
      </c>
      <c r="T338" s="87">
        <v>8.862766</v>
      </c>
      <c r="U338" s="87">
        <v>8.862766</v>
      </c>
      <c r="V338" s="87">
        <v>8.862766</v>
      </c>
      <c r="W338" s="87">
        <v>17.94268</v>
      </c>
      <c r="X338" s="87">
        <v>17.94268</v>
      </c>
      <c r="Y338" s="87">
        <v>6.701361</v>
      </c>
      <c r="Z338" s="87">
        <v>0.0</v>
      </c>
      <c r="AA338" s="87">
        <v>15.11179</v>
      </c>
      <c r="AB338" s="87">
        <v>4.046389</v>
      </c>
      <c r="AC338" s="87">
        <v>6.701361</v>
      </c>
      <c r="AD338" s="87">
        <v>1.609195</v>
      </c>
      <c r="AE338" s="87">
        <v>5.070267</v>
      </c>
      <c r="AF338" s="87">
        <v>9.392614</v>
      </c>
      <c r="AG338" s="87">
        <v>5.083247</v>
      </c>
      <c r="AH338" s="87">
        <v>0.0</v>
      </c>
      <c r="AI338" s="87">
        <v>15.6481</v>
      </c>
      <c r="AJ338" s="87">
        <v>7.18899</v>
      </c>
      <c r="AK338" s="87">
        <v>8.873449</v>
      </c>
      <c r="AL338" s="88" t="s">
        <v>1396</v>
      </c>
    </row>
    <row r="339">
      <c r="A339" s="84" t="s">
        <v>1795</v>
      </c>
      <c r="B339" s="84" t="s">
        <v>1843</v>
      </c>
      <c r="C339" s="84" t="s">
        <v>231</v>
      </c>
      <c r="D339" s="84" t="s">
        <v>1839</v>
      </c>
      <c r="E339" s="84" t="s">
        <v>1400</v>
      </c>
      <c r="F339" s="87">
        <v>5.0</v>
      </c>
      <c r="G339" s="87">
        <v>0.0</v>
      </c>
      <c r="H339" s="87">
        <v>1746.0</v>
      </c>
      <c r="I339" s="87">
        <v>0.0</v>
      </c>
      <c r="J339" s="87">
        <v>18.78558</v>
      </c>
      <c r="K339" s="87">
        <v>20.06171</v>
      </c>
      <c r="L339" s="87">
        <v>17.63116</v>
      </c>
      <c r="M339" s="87">
        <v>17.37337</v>
      </c>
      <c r="N339" s="87">
        <v>0.865996</v>
      </c>
      <c r="O339" s="87">
        <v>0.076923</v>
      </c>
      <c r="P339" s="87">
        <v>0.166667</v>
      </c>
      <c r="Q339" s="87">
        <v>0.166667</v>
      </c>
      <c r="R339" s="87">
        <v>0.382258</v>
      </c>
      <c r="S339" s="87">
        <v>2.0625</v>
      </c>
      <c r="T339" s="87">
        <v>0.076923</v>
      </c>
      <c r="U339" s="87">
        <v>0.166667</v>
      </c>
      <c r="V339" s="87">
        <v>0.166667</v>
      </c>
      <c r="W339" s="87">
        <v>0.382258</v>
      </c>
      <c r="X339" s="87">
        <v>2.0625</v>
      </c>
      <c r="Y339" s="87">
        <v>4.012343</v>
      </c>
      <c r="Z339" s="87">
        <v>0.0</v>
      </c>
      <c r="AA339" s="87">
        <v>15.11179</v>
      </c>
      <c r="AB339" s="87">
        <v>4.046389</v>
      </c>
      <c r="AC339" s="87">
        <v>6.701361</v>
      </c>
      <c r="AD339" s="87">
        <v>0.712937</v>
      </c>
      <c r="AE339" s="87">
        <v>2.874776</v>
      </c>
      <c r="AF339" s="87">
        <v>3.923754</v>
      </c>
      <c r="AG339" s="87">
        <v>4.012343</v>
      </c>
      <c r="AH339" s="87">
        <v>0.0</v>
      </c>
      <c r="AI339" s="87">
        <v>15.6481</v>
      </c>
      <c r="AJ339" s="87">
        <v>7.18899</v>
      </c>
      <c r="AK339" s="87">
        <v>8.873449</v>
      </c>
      <c r="AL339" s="88" t="s">
        <v>1396</v>
      </c>
    </row>
    <row r="340">
      <c r="A340" s="84" t="s">
        <v>1797</v>
      </c>
      <c r="B340" s="84" t="s">
        <v>1844</v>
      </c>
      <c r="C340" s="84" t="s">
        <v>231</v>
      </c>
      <c r="D340" s="84" t="s">
        <v>1839</v>
      </c>
      <c r="E340" s="89">
        <v>46300.0</v>
      </c>
      <c r="F340" s="87">
        <v>4.0</v>
      </c>
      <c r="G340" s="87">
        <v>0.0</v>
      </c>
      <c r="H340" s="87">
        <v>202.0</v>
      </c>
      <c r="I340" s="87">
        <v>0.0</v>
      </c>
      <c r="J340" s="87">
        <v>43.34982</v>
      </c>
      <c r="K340" s="87">
        <v>42.87116</v>
      </c>
      <c r="L340" s="87">
        <v>48.29642</v>
      </c>
      <c r="M340" s="87">
        <v>38.48095</v>
      </c>
      <c r="N340" s="87">
        <v>0.897595</v>
      </c>
      <c r="O340" s="87">
        <v>0.0</v>
      </c>
      <c r="P340" s="87">
        <v>0.0</v>
      </c>
      <c r="Q340" s="87">
        <v>0.0</v>
      </c>
      <c r="R340" s="87">
        <v>4.390203</v>
      </c>
      <c r="S340" s="87">
        <v>4.390203</v>
      </c>
      <c r="T340" s="87">
        <v>4.390203</v>
      </c>
      <c r="U340" s="87">
        <v>4.390203</v>
      </c>
      <c r="V340" s="87">
        <v>4.390203</v>
      </c>
      <c r="W340" s="87">
        <v>38.48095</v>
      </c>
      <c r="X340" s="87">
        <v>38.48095</v>
      </c>
      <c r="Y340" s="87">
        <v>10.71779</v>
      </c>
      <c r="Z340" s="87">
        <v>0.0</v>
      </c>
      <c r="AA340" s="87">
        <v>15.11179</v>
      </c>
      <c r="AB340" s="87">
        <v>4.046389</v>
      </c>
      <c r="AC340" s="87">
        <v>6.701361</v>
      </c>
      <c r="AD340" s="87">
        <v>13.39132</v>
      </c>
      <c r="AE340" s="87">
        <v>19.69388</v>
      </c>
      <c r="AF340" s="87">
        <v>27.88075</v>
      </c>
      <c r="AG340" s="87">
        <v>20.92786</v>
      </c>
      <c r="AH340" s="87">
        <v>0.0</v>
      </c>
      <c r="AI340" s="87">
        <v>15.6481</v>
      </c>
      <c r="AJ340" s="87">
        <v>7.18899</v>
      </c>
      <c r="AK340" s="87">
        <v>8.873449</v>
      </c>
      <c r="AL340" s="88" t="s">
        <v>1396</v>
      </c>
    </row>
    <row r="341">
      <c r="A341" s="84" t="s">
        <v>1799</v>
      </c>
      <c r="B341" s="84" t="s">
        <v>1845</v>
      </c>
      <c r="C341" s="84" t="s">
        <v>231</v>
      </c>
      <c r="D341" s="84" t="s">
        <v>1839</v>
      </c>
      <c r="E341" s="84" t="s">
        <v>1403</v>
      </c>
      <c r="F341" s="87">
        <v>106.0</v>
      </c>
      <c r="G341" s="87">
        <v>16.0</v>
      </c>
      <c r="H341" s="87">
        <v>967.0</v>
      </c>
      <c r="I341" s="87">
        <v>967.0</v>
      </c>
      <c r="J341" s="87">
        <v>0.0</v>
      </c>
      <c r="K341" s="87">
        <v>0.0</v>
      </c>
      <c r="L341" s="87">
        <v>0.0</v>
      </c>
      <c r="M341" s="87">
        <v>0.0</v>
      </c>
      <c r="N341" s="87">
        <v>0.0</v>
      </c>
      <c r="O341" s="87">
        <v>0.0</v>
      </c>
      <c r="P341" s="87">
        <v>0.0</v>
      </c>
      <c r="Q341" s="87">
        <v>0.0</v>
      </c>
      <c r="R341" s="87">
        <v>0.0</v>
      </c>
      <c r="S341" s="87">
        <v>0.0</v>
      </c>
      <c r="T341" s="87">
        <v>0.0</v>
      </c>
      <c r="U341" s="87">
        <v>0.0</v>
      </c>
      <c r="V341" s="87">
        <v>0.0</v>
      </c>
      <c r="W341" s="87">
        <v>0.0</v>
      </c>
      <c r="X341" s="87">
        <v>0.0</v>
      </c>
      <c r="Y341" s="87">
        <v>0.0</v>
      </c>
      <c r="Z341" s="87">
        <v>0.0</v>
      </c>
      <c r="AA341" s="87">
        <v>15.11179</v>
      </c>
      <c r="AB341" s="87">
        <v>4.046389</v>
      </c>
      <c r="AC341" s="87">
        <v>6.701361</v>
      </c>
      <c r="AD341" s="87">
        <v>0.0</v>
      </c>
      <c r="AE341" s="87">
        <v>0.0</v>
      </c>
      <c r="AF341" s="87">
        <v>0.0</v>
      </c>
      <c r="AG341" s="87">
        <v>0.0</v>
      </c>
      <c r="AH341" s="87">
        <v>0.0</v>
      </c>
      <c r="AI341" s="87">
        <v>15.6481</v>
      </c>
      <c r="AJ341" s="87">
        <v>7.18899</v>
      </c>
      <c r="AK341" s="87">
        <v>8.873449</v>
      </c>
      <c r="AL341" s="88" t="s">
        <v>1396</v>
      </c>
    </row>
    <row r="342">
      <c r="A342" s="84" t="s">
        <v>1846</v>
      </c>
      <c r="B342" s="84" t="s">
        <v>1847</v>
      </c>
      <c r="C342" s="84" t="s">
        <v>1848</v>
      </c>
      <c r="D342" s="84" t="s">
        <v>1849</v>
      </c>
      <c r="E342" s="86">
        <v>46310.0</v>
      </c>
      <c r="F342" s="87">
        <v>8.0</v>
      </c>
      <c r="G342" s="87">
        <v>0.0</v>
      </c>
      <c r="H342" s="87">
        <v>3494.0</v>
      </c>
      <c r="I342" s="87">
        <v>0.0</v>
      </c>
      <c r="J342" s="87">
        <v>21.03007</v>
      </c>
      <c r="K342" s="87">
        <v>21.49975</v>
      </c>
      <c r="L342" s="87">
        <v>25.88467</v>
      </c>
      <c r="M342" s="87">
        <v>14.9174</v>
      </c>
      <c r="N342" s="87">
        <v>0.693841</v>
      </c>
      <c r="O342" s="87">
        <v>0.0</v>
      </c>
      <c r="P342" s="87">
        <v>0.0</v>
      </c>
      <c r="Q342" s="87">
        <v>0.0</v>
      </c>
      <c r="R342" s="87">
        <v>0.125</v>
      </c>
      <c r="S342" s="87">
        <v>6.45735</v>
      </c>
      <c r="T342" s="87">
        <v>0.125</v>
      </c>
      <c r="U342" s="87">
        <v>0.125</v>
      </c>
      <c r="V342" s="87">
        <v>6.45735</v>
      </c>
      <c r="W342" s="87">
        <v>7.183434</v>
      </c>
      <c r="X342" s="87">
        <v>7.183434</v>
      </c>
      <c r="Y342" s="87">
        <v>2.687469</v>
      </c>
      <c r="Z342" s="87">
        <v>0.0</v>
      </c>
      <c r="AA342" s="87">
        <v>2.297998</v>
      </c>
      <c r="AB342" s="87">
        <v>1.288949</v>
      </c>
      <c r="AC342" s="87">
        <v>5.231345</v>
      </c>
      <c r="AD342" s="87">
        <v>3.10946</v>
      </c>
      <c r="AE342" s="87">
        <v>5.280214</v>
      </c>
      <c r="AF342" s="87">
        <v>5.444901</v>
      </c>
      <c r="AG342" s="87">
        <v>5.529688</v>
      </c>
      <c r="AH342" s="87">
        <v>0.001671</v>
      </c>
      <c r="AI342" s="87">
        <v>3.437315</v>
      </c>
      <c r="AJ342" s="87">
        <v>3.087702</v>
      </c>
      <c r="AK342" s="87">
        <v>4.05403</v>
      </c>
      <c r="AL342" s="88" t="s">
        <v>1396</v>
      </c>
    </row>
    <row r="343">
      <c r="A343" s="84" t="s">
        <v>1850</v>
      </c>
      <c r="B343" s="84" t="s">
        <v>1851</v>
      </c>
      <c r="C343" s="84" t="s">
        <v>1848</v>
      </c>
      <c r="D343" s="84" t="s">
        <v>1849</v>
      </c>
      <c r="E343" s="84" t="s">
        <v>1413</v>
      </c>
      <c r="F343" s="87">
        <v>1.0</v>
      </c>
      <c r="G343" s="87">
        <v>0.0</v>
      </c>
      <c r="H343" s="87">
        <v>579.0</v>
      </c>
      <c r="I343" s="87">
        <v>0.0</v>
      </c>
      <c r="J343" s="87">
        <v>6.312438</v>
      </c>
      <c r="K343" s="87">
        <v>5.231345</v>
      </c>
      <c r="L343" s="87">
        <v>5.49711</v>
      </c>
      <c r="M343" s="87">
        <v>5.231345</v>
      </c>
      <c r="N343" s="87">
        <v>1.0</v>
      </c>
      <c r="O343" s="87">
        <v>5.231345</v>
      </c>
      <c r="P343" s="87">
        <v>5.231345</v>
      </c>
      <c r="Q343" s="87">
        <v>5.231345</v>
      </c>
      <c r="R343" s="87">
        <v>5.231345</v>
      </c>
      <c r="S343" s="87">
        <v>5.231345</v>
      </c>
      <c r="T343" s="87">
        <v>5.231345</v>
      </c>
      <c r="U343" s="87">
        <v>5.231345</v>
      </c>
      <c r="V343" s="87">
        <v>5.231345</v>
      </c>
      <c r="W343" s="87">
        <v>5.231345</v>
      </c>
      <c r="X343" s="87">
        <v>5.231345</v>
      </c>
      <c r="Y343" s="87">
        <v>5.231345</v>
      </c>
      <c r="Z343" s="87">
        <v>0.0</v>
      </c>
      <c r="AA343" s="87">
        <v>2.297998</v>
      </c>
      <c r="AB343" s="87">
        <v>1.288949</v>
      </c>
      <c r="AC343" s="87">
        <v>5.231345</v>
      </c>
      <c r="AD343" s="87">
        <v>3.209933</v>
      </c>
      <c r="AE343" s="87">
        <v>3.886786</v>
      </c>
      <c r="AF343" s="87">
        <v>5.949701</v>
      </c>
      <c r="AG343" s="87">
        <v>5.231345</v>
      </c>
      <c r="AH343" s="87">
        <v>0.001671</v>
      </c>
      <c r="AI343" s="87">
        <v>3.437315</v>
      </c>
      <c r="AJ343" s="87">
        <v>3.087702</v>
      </c>
      <c r="AK343" s="87">
        <v>4.05403</v>
      </c>
      <c r="AL343" s="88" t="s">
        <v>1396</v>
      </c>
    </row>
    <row r="344">
      <c r="A344" s="84" t="s">
        <v>1852</v>
      </c>
      <c r="B344" s="84" t="s">
        <v>1853</v>
      </c>
      <c r="C344" s="84" t="s">
        <v>1848</v>
      </c>
      <c r="D344" s="84" t="s">
        <v>1849</v>
      </c>
      <c r="E344" s="84" t="s">
        <v>1398</v>
      </c>
      <c r="F344" s="87">
        <v>3.0</v>
      </c>
      <c r="G344" s="87">
        <v>0.0</v>
      </c>
      <c r="H344" s="87">
        <v>2498.0</v>
      </c>
      <c r="I344" s="87">
        <v>0.0</v>
      </c>
      <c r="J344" s="87">
        <v>22.59644</v>
      </c>
      <c r="K344" s="87">
        <v>23.77268</v>
      </c>
      <c r="L344" s="87">
        <v>23.21608</v>
      </c>
      <c r="M344" s="87">
        <v>13.53043</v>
      </c>
      <c r="N344" s="87">
        <v>0.569159</v>
      </c>
      <c r="O344" s="87">
        <v>1.117972</v>
      </c>
      <c r="P344" s="87">
        <v>1.117972</v>
      </c>
      <c r="Q344" s="87">
        <v>1.117972</v>
      </c>
      <c r="R344" s="87">
        <v>9.124273</v>
      </c>
      <c r="S344" s="87">
        <v>13.53043</v>
      </c>
      <c r="T344" s="87">
        <v>1.117972</v>
      </c>
      <c r="U344" s="87">
        <v>1.117972</v>
      </c>
      <c r="V344" s="87">
        <v>1.117972</v>
      </c>
      <c r="W344" s="87">
        <v>9.124273</v>
      </c>
      <c r="X344" s="87">
        <v>13.53043</v>
      </c>
      <c r="Y344" s="87">
        <v>7.924226</v>
      </c>
      <c r="Z344" s="87">
        <v>0.0</v>
      </c>
      <c r="AA344" s="87">
        <v>2.297998</v>
      </c>
      <c r="AB344" s="87">
        <v>1.288949</v>
      </c>
      <c r="AC344" s="87">
        <v>5.231345</v>
      </c>
      <c r="AD344" s="87">
        <v>2.255101</v>
      </c>
      <c r="AE344" s="87">
        <v>2.632497</v>
      </c>
      <c r="AF344" s="87">
        <v>4.943193</v>
      </c>
      <c r="AG344" s="87">
        <v>5.632813</v>
      </c>
      <c r="AH344" s="87">
        <v>0.001671</v>
      </c>
      <c r="AI344" s="87">
        <v>3.437315</v>
      </c>
      <c r="AJ344" s="87">
        <v>3.087702</v>
      </c>
      <c r="AK344" s="87">
        <v>4.05403</v>
      </c>
      <c r="AL344" s="88" t="s">
        <v>1396</v>
      </c>
    </row>
    <row r="345">
      <c r="A345" s="84" t="s">
        <v>1854</v>
      </c>
      <c r="B345" s="84" t="s">
        <v>1855</v>
      </c>
      <c r="C345" s="84" t="s">
        <v>1848</v>
      </c>
      <c r="D345" s="84" t="s">
        <v>1849</v>
      </c>
      <c r="E345" s="84" t="s">
        <v>1400</v>
      </c>
      <c r="F345" s="87">
        <v>17.0</v>
      </c>
      <c r="G345" s="87">
        <v>0.0</v>
      </c>
      <c r="H345" s="87">
        <v>4935.0</v>
      </c>
      <c r="I345" s="87">
        <v>0.0</v>
      </c>
      <c r="J345" s="87">
        <v>23.22596</v>
      </c>
      <c r="K345" s="87">
        <v>25.60211</v>
      </c>
      <c r="L345" s="87">
        <v>27.91309</v>
      </c>
      <c r="M345" s="87">
        <v>12.99089</v>
      </c>
      <c r="N345" s="87">
        <v>0.507415</v>
      </c>
      <c r="O345" s="87">
        <v>0.0</v>
      </c>
      <c r="P345" s="87">
        <v>0.037037</v>
      </c>
      <c r="Q345" s="87">
        <v>0.533333</v>
      </c>
      <c r="R345" s="87">
        <v>1.593135</v>
      </c>
      <c r="S345" s="87">
        <v>2.029255</v>
      </c>
      <c r="T345" s="87">
        <v>0.402299</v>
      </c>
      <c r="U345" s="87">
        <v>0.533333</v>
      </c>
      <c r="V345" s="87">
        <v>1.452447</v>
      </c>
      <c r="W345" s="87">
        <v>1.848199</v>
      </c>
      <c r="X345" s="87">
        <v>2.196537</v>
      </c>
      <c r="Y345" s="87">
        <v>1.506006</v>
      </c>
      <c r="Z345" s="87">
        <v>0.0</v>
      </c>
      <c r="AA345" s="87">
        <v>2.297998</v>
      </c>
      <c r="AB345" s="87">
        <v>1.288949</v>
      </c>
      <c r="AC345" s="87">
        <v>5.231345</v>
      </c>
      <c r="AD345" s="87">
        <v>2.141117</v>
      </c>
      <c r="AE345" s="87">
        <v>2.452696</v>
      </c>
      <c r="AF345" s="87">
        <v>3.429403</v>
      </c>
      <c r="AG345" s="87">
        <v>1.881183</v>
      </c>
      <c r="AH345" s="87">
        <v>0.001671</v>
      </c>
      <c r="AI345" s="87">
        <v>3.437315</v>
      </c>
      <c r="AJ345" s="87">
        <v>3.087702</v>
      </c>
      <c r="AK345" s="87">
        <v>4.05403</v>
      </c>
      <c r="AL345" s="88" t="s">
        <v>1396</v>
      </c>
    </row>
    <row r="346">
      <c r="A346" s="84" t="s">
        <v>1856</v>
      </c>
      <c r="B346" s="84" t="s">
        <v>1857</v>
      </c>
      <c r="C346" s="84" t="s">
        <v>1848</v>
      </c>
      <c r="D346" s="84" t="s">
        <v>1849</v>
      </c>
      <c r="E346" s="89">
        <v>46300.0</v>
      </c>
      <c r="F346" s="87">
        <v>6.0</v>
      </c>
      <c r="G346" s="87">
        <v>0.0</v>
      </c>
      <c r="H346" s="87">
        <v>3369.0</v>
      </c>
      <c r="I346" s="87">
        <v>0.0</v>
      </c>
      <c r="J346" s="87">
        <v>30.89963</v>
      </c>
      <c r="K346" s="87">
        <v>32.16585</v>
      </c>
      <c r="L346" s="87">
        <v>34.33385</v>
      </c>
      <c r="M346" s="87">
        <v>15.69319</v>
      </c>
      <c r="N346" s="87">
        <v>0.487884</v>
      </c>
      <c r="O346" s="87">
        <v>0.0</v>
      </c>
      <c r="P346" s="87">
        <v>4.74712</v>
      </c>
      <c r="Q346" s="87">
        <v>4.74712</v>
      </c>
      <c r="R346" s="87">
        <v>6.75152</v>
      </c>
      <c r="S346" s="87">
        <v>7.224877</v>
      </c>
      <c r="T346" s="87">
        <v>4.74712</v>
      </c>
      <c r="U346" s="87">
        <v>4.974018</v>
      </c>
      <c r="V346" s="87">
        <v>4.974018</v>
      </c>
      <c r="W346" s="87">
        <v>6.75152</v>
      </c>
      <c r="X346" s="87">
        <v>7.224877</v>
      </c>
      <c r="Y346" s="87">
        <v>5.360975</v>
      </c>
      <c r="Z346" s="87">
        <v>0.0</v>
      </c>
      <c r="AA346" s="87">
        <v>2.297998</v>
      </c>
      <c r="AB346" s="87">
        <v>1.288949</v>
      </c>
      <c r="AC346" s="87">
        <v>5.231345</v>
      </c>
      <c r="AD346" s="87">
        <v>2.927118</v>
      </c>
      <c r="AE346" s="87">
        <v>5.149803</v>
      </c>
      <c r="AF346" s="87">
        <v>7.553387</v>
      </c>
      <c r="AG346" s="87">
        <v>5.360975</v>
      </c>
      <c r="AH346" s="87">
        <v>0.001671</v>
      </c>
      <c r="AI346" s="87">
        <v>3.437315</v>
      </c>
      <c r="AJ346" s="87">
        <v>3.087702</v>
      </c>
      <c r="AK346" s="87">
        <v>4.05403</v>
      </c>
      <c r="AL346" s="88" t="s">
        <v>1396</v>
      </c>
    </row>
    <row r="347">
      <c r="A347" s="84" t="s">
        <v>1858</v>
      </c>
      <c r="B347" s="84" t="s">
        <v>1859</v>
      </c>
      <c r="C347" s="84" t="s">
        <v>1848</v>
      </c>
      <c r="D347" s="84" t="s">
        <v>1849</v>
      </c>
      <c r="E347" s="84" t="s">
        <v>1403</v>
      </c>
      <c r="F347" s="87">
        <v>49.0</v>
      </c>
      <c r="G347" s="87">
        <v>6.0</v>
      </c>
      <c r="H347" s="87">
        <v>193.0</v>
      </c>
      <c r="I347" s="87">
        <v>193.0</v>
      </c>
      <c r="J347" s="87">
        <v>0.0</v>
      </c>
      <c r="K347" s="87">
        <v>0.0</v>
      </c>
      <c r="L347" s="87">
        <v>0.0</v>
      </c>
      <c r="M347" s="87">
        <v>0.0</v>
      </c>
      <c r="N347" s="87">
        <v>0.0</v>
      </c>
      <c r="O347" s="87">
        <v>0.0</v>
      </c>
      <c r="P347" s="87">
        <v>0.0</v>
      </c>
      <c r="Q347" s="87">
        <v>0.0</v>
      </c>
      <c r="R347" s="87">
        <v>0.0</v>
      </c>
      <c r="S347" s="87">
        <v>0.0</v>
      </c>
      <c r="T347" s="87">
        <v>0.0</v>
      </c>
      <c r="U347" s="87">
        <v>0.0</v>
      </c>
      <c r="V347" s="87">
        <v>0.0</v>
      </c>
      <c r="W347" s="87">
        <v>0.0</v>
      </c>
      <c r="X347" s="87">
        <v>0.0</v>
      </c>
      <c r="Y347" s="87">
        <v>0.0</v>
      </c>
      <c r="Z347" s="87">
        <v>0.0</v>
      </c>
      <c r="AA347" s="87">
        <v>2.297998</v>
      </c>
      <c r="AB347" s="87">
        <v>1.288949</v>
      </c>
      <c r="AC347" s="87">
        <v>5.231345</v>
      </c>
      <c r="AD347" s="87">
        <v>0.0</v>
      </c>
      <c r="AE347" s="87">
        <v>0.0</v>
      </c>
      <c r="AF347" s="87">
        <v>0.0</v>
      </c>
      <c r="AG347" s="87">
        <v>0.0</v>
      </c>
      <c r="AH347" s="87">
        <v>0.001671</v>
      </c>
      <c r="AI347" s="87">
        <v>3.437315</v>
      </c>
      <c r="AJ347" s="87">
        <v>3.087702</v>
      </c>
      <c r="AK347" s="87">
        <v>4.05403</v>
      </c>
      <c r="AL347" s="88" t="s">
        <v>1396</v>
      </c>
    </row>
    <row r="348">
      <c r="A348" s="84" t="s">
        <v>1860</v>
      </c>
      <c r="B348" s="84" t="s">
        <v>1861</v>
      </c>
      <c r="C348" s="84" t="s">
        <v>1848</v>
      </c>
      <c r="D348" s="84" t="s">
        <v>1862</v>
      </c>
      <c r="E348" s="84" t="s">
        <v>1426</v>
      </c>
      <c r="F348" s="87">
        <v>1.0</v>
      </c>
      <c r="G348" s="87">
        <v>0.0</v>
      </c>
      <c r="H348" s="87">
        <v>0.0</v>
      </c>
      <c r="I348" s="87">
        <v>0.0</v>
      </c>
      <c r="J348" s="87">
        <v>0.0</v>
      </c>
      <c r="K348" s="87">
        <v>0.0</v>
      </c>
      <c r="L348" s="87">
        <v>0.0</v>
      </c>
      <c r="M348" s="87">
        <v>0.0</v>
      </c>
      <c r="N348" s="87">
        <v>0.0</v>
      </c>
      <c r="O348" s="87">
        <v>0.0</v>
      </c>
      <c r="P348" s="87">
        <v>0.0</v>
      </c>
      <c r="Q348" s="87">
        <v>0.0</v>
      </c>
      <c r="R348" s="87">
        <v>0.0</v>
      </c>
      <c r="S348" s="87">
        <v>0.0</v>
      </c>
      <c r="T348" s="87">
        <v>0.0</v>
      </c>
      <c r="U348" s="87">
        <v>0.0</v>
      </c>
      <c r="V348" s="87">
        <v>0.0</v>
      </c>
      <c r="W348" s="87">
        <v>0.0</v>
      </c>
      <c r="X348" s="87">
        <v>0.0</v>
      </c>
      <c r="Y348" s="87">
        <v>0.0</v>
      </c>
      <c r="Z348" s="87">
        <v>0.0</v>
      </c>
      <c r="AA348" s="87">
        <v>4.71768</v>
      </c>
      <c r="AB348" s="87">
        <v>2.340021</v>
      </c>
      <c r="AC348" s="87">
        <v>4.737282</v>
      </c>
      <c r="AD348" s="87">
        <v>0.0</v>
      </c>
      <c r="AE348" s="87">
        <v>10.52567</v>
      </c>
      <c r="AF348" s="87">
        <v>11.79982</v>
      </c>
      <c r="AG348" s="87">
        <v>0.0</v>
      </c>
      <c r="AH348" s="87">
        <v>0.001671</v>
      </c>
      <c r="AI348" s="87">
        <v>3.437315</v>
      </c>
      <c r="AJ348" s="87">
        <v>3.087702</v>
      </c>
      <c r="AK348" s="87">
        <v>4.05403</v>
      </c>
      <c r="AL348" s="88" t="s">
        <v>1396</v>
      </c>
    </row>
    <row r="349">
      <c r="A349" s="84" t="s">
        <v>1846</v>
      </c>
      <c r="B349" s="84" t="s">
        <v>1863</v>
      </c>
      <c r="C349" s="84" t="s">
        <v>1848</v>
      </c>
      <c r="D349" s="84" t="s">
        <v>1862</v>
      </c>
      <c r="E349" s="86">
        <v>46310.0</v>
      </c>
      <c r="F349" s="87">
        <v>9.0</v>
      </c>
      <c r="G349" s="87">
        <v>0.0</v>
      </c>
      <c r="H349" s="87">
        <v>3856.0</v>
      </c>
      <c r="I349" s="87">
        <v>0.0</v>
      </c>
      <c r="J349" s="87">
        <v>55.31464</v>
      </c>
      <c r="K349" s="87">
        <v>54.54481</v>
      </c>
      <c r="L349" s="87">
        <v>60.20997</v>
      </c>
      <c r="M349" s="87">
        <v>28.9303</v>
      </c>
      <c r="N349" s="87">
        <v>0.530395</v>
      </c>
      <c r="O349" s="87">
        <v>0.0</v>
      </c>
      <c r="P349" s="87">
        <v>0.0</v>
      </c>
      <c r="Q349" s="87">
        <v>2.234481</v>
      </c>
      <c r="R349" s="87">
        <v>5.254751</v>
      </c>
      <c r="S349" s="87">
        <v>8.515487</v>
      </c>
      <c r="T349" s="87">
        <v>2.234481</v>
      </c>
      <c r="U349" s="87">
        <v>4.020324</v>
      </c>
      <c r="V349" s="87">
        <v>5.254751</v>
      </c>
      <c r="W349" s="87">
        <v>5.589462</v>
      </c>
      <c r="X349" s="87">
        <v>8.515487</v>
      </c>
      <c r="Y349" s="87">
        <v>6.060534</v>
      </c>
      <c r="Z349" s="87">
        <v>0.0</v>
      </c>
      <c r="AA349" s="87">
        <v>4.71768</v>
      </c>
      <c r="AB349" s="87">
        <v>2.340021</v>
      </c>
      <c r="AC349" s="87">
        <v>4.737282</v>
      </c>
      <c r="AD349" s="87">
        <v>3.10946</v>
      </c>
      <c r="AE349" s="87">
        <v>5.280214</v>
      </c>
      <c r="AF349" s="87">
        <v>5.444901</v>
      </c>
      <c r="AG349" s="87">
        <v>5.529688</v>
      </c>
      <c r="AH349" s="87">
        <v>0.001671</v>
      </c>
      <c r="AI349" s="87">
        <v>3.437315</v>
      </c>
      <c r="AJ349" s="87">
        <v>3.087702</v>
      </c>
      <c r="AK349" s="87">
        <v>4.05403</v>
      </c>
      <c r="AL349" s="88" t="s">
        <v>1396</v>
      </c>
    </row>
    <row r="350">
      <c r="A350" s="84" t="s">
        <v>1850</v>
      </c>
      <c r="B350" s="84" t="s">
        <v>1864</v>
      </c>
      <c r="C350" s="84" t="s">
        <v>1848</v>
      </c>
      <c r="D350" s="84" t="s">
        <v>1862</v>
      </c>
      <c r="E350" s="84" t="s">
        <v>1413</v>
      </c>
      <c r="F350" s="87">
        <v>15.0</v>
      </c>
      <c r="G350" s="87">
        <v>0.0</v>
      </c>
      <c r="H350" s="87">
        <v>8765.0</v>
      </c>
      <c r="I350" s="87">
        <v>0.0</v>
      </c>
      <c r="J350" s="87">
        <v>73.24424</v>
      </c>
      <c r="K350" s="87">
        <v>71.05923</v>
      </c>
      <c r="L350" s="87">
        <v>71.26114</v>
      </c>
      <c r="M350" s="87">
        <v>28.02082</v>
      </c>
      <c r="N350" s="87">
        <v>0.394331</v>
      </c>
      <c r="O350" s="87">
        <v>1.479787</v>
      </c>
      <c r="P350" s="87">
        <v>2.521153</v>
      </c>
      <c r="Q350" s="87">
        <v>2.570174</v>
      </c>
      <c r="R350" s="87">
        <v>4.299175</v>
      </c>
      <c r="S350" s="87">
        <v>5.789401</v>
      </c>
      <c r="T350" s="87">
        <v>1.479787</v>
      </c>
      <c r="U350" s="87">
        <v>2.521153</v>
      </c>
      <c r="V350" s="87">
        <v>2.570174</v>
      </c>
      <c r="W350" s="87">
        <v>4.299175</v>
      </c>
      <c r="X350" s="87">
        <v>5.789401</v>
      </c>
      <c r="Y350" s="87">
        <v>4.737282</v>
      </c>
      <c r="Z350" s="87">
        <v>0.0</v>
      </c>
      <c r="AA350" s="87">
        <v>4.71768</v>
      </c>
      <c r="AB350" s="87">
        <v>2.340021</v>
      </c>
      <c r="AC350" s="87">
        <v>4.737282</v>
      </c>
      <c r="AD350" s="87">
        <v>3.209933</v>
      </c>
      <c r="AE350" s="87">
        <v>3.886786</v>
      </c>
      <c r="AF350" s="87">
        <v>5.949701</v>
      </c>
      <c r="AG350" s="87">
        <v>5.231345</v>
      </c>
      <c r="AH350" s="87">
        <v>0.001671</v>
      </c>
      <c r="AI350" s="87">
        <v>3.437315</v>
      </c>
      <c r="AJ350" s="87">
        <v>3.087702</v>
      </c>
      <c r="AK350" s="87">
        <v>4.05403</v>
      </c>
      <c r="AL350" s="88" t="s">
        <v>1396</v>
      </c>
    </row>
    <row r="351">
      <c r="A351" s="84" t="s">
        <v>1852</v>
      </c>
      <c r="B351" s="84" t="s">
        <v>1865</v>
      </c>
      <c r="C351" s="84" t="s">
        <v>1848</v>
      </c>
      <c r="D351" s="84" t="s">
        <v>1862</v>
      </c>
      <c r="E351" s="84" t="s">
        <v>1398</v>
      </c>
      <c r="F351" s="87">
        <v>8.0</v>
      </c>
      <c r="G351" s="87">
        <v>0.0</v>
      </c>
      <c r="H351" s="87">
        <v>4471.0</v>
      </c>
      <c r="I351" s="87">
        <v>0.0</v>
      </c>
      <c r="J351" s="87">
        <v>27.31748</v>
      </c>
      <c r="K351" s="87">
        <v>30.10548</v>
      </c>
      <c r="L351" s="87">
        <v>29.18069</v>
      </c>
      <c r="M351" s="87">
        <v>23.03592</v>
      </c>
      <c r="N351" s="87">
        <v>0.765174</v>
      </c>
      <c r="O351" s="87">
        <v>0.0</v>
      </c>
      <c r="P351" s="87">
        <v>0.111111</v>
      </c>
      <c r="Q351" s="87">
        <v>0.677744</v>
      </c>
      <c r="R351" s="87">
        <v>1.385468</v>
      </c>
      <c r="S351" s="87">
        <v>3.651669</v>
      </c>
      <c r="T351" s="87">
        <v>0.111111</v>
      </c>
      <c r="U351" s="87">
        <v>0.677744</v>
      </c>
      <c r="V351" s="87">
        <v>1.243565</v>
      </c>
      <c r="W351" s="87">
        <v>1.385468</v>
      </c>
      <c r="X351" s="87">
        <v>3.651669</v>
      </c>
      <c r="Y351" s="87">
        <v>3.763185</v>
      </c>
      <c r="Z351" s="87">
        <v>0.0</v>
      </c>
      <c r="AA351" s="87">
        <v>4.71768</v>
      </c>
      <c r="AB351" s="87">
        <v>2.340021</v>
      </c>
      <c r="AC351" s="87">
        <v>4.737282</v>
      </c>
      <c r="AD351" s="87">
        <v>2.255101</v>
      </c>
      <c r="AE351" s="87">
        <v>2.632497</v>
      </c>
      <c r="AF351" s="87">
        <v>4.943193</v>
      </c>
      <c r="AG351" s="87">
        <v>5.632813</v>
      </c>
      <c r="AH351" s="87">
        <v>0.001671</v>
      </c>
      <c r="AI351" s="87">
        <v>3.437315</v>
      </c>
      <c r="AJ351" s="87">
        <v>3.087702</v>
      </c>
      <c r="AK351" s="87">
        <v>4.05403</v>
      </c>
      <c r="AL351" s="88" t="s">
        <v>1396</v>
      </c>
    </row>
    <row r="352">
      <c r="A352" s="84" t="s">
        <v>1854</v>
      </c>
      <c r="B352" s="84" t="s">
        <v>1866</v>
      </c>
      <c r="C352" s="84" t="s">
        <v>1848</v>
      </c>
      <c r="D352" s="84" t="s">
        <v>1862</v>
      </c>
      <c r="E352" s="84" t="s">
        <v>1400</v>
      </c>
      <c r="F352" s="87">
        <v>6.0</v>
      </c>
      <c r="G352" s="87">
        <v>0.0</v>
      </c>
      <c r="H352" s="87">
        <v>3616.0</v>
      </c>
      <c r="I352" s="87">
        <v>0.0</v>
      </c>
      <c r="J352" s="87">
        <v>30.1566</v>
      </c>
      <c r="K352" s="87">
        <v>33.2693</v>
      </c>
      <c r="L352" s="87">
        <v>31.52843</v>
      </c>
      <c r="M352" s="87">
        <v>24.08728</v>
      </c>
      <c r="N352" s="87">
        <v>0.724009</v>
      </c>
      <c r="O352" s="87">
        <v>0.0</v>
      </c>
      <c r="P352" s="87">
        <v>0.0</v>
      </c>
      <c r="Q352" s="87">
        <v>0.0</v>
      </c>
      <c r="R352" s="87">
        <v>5.461484</v>
      </c>
      <c r="S352" s="87">
        <v>7.080358</v>
      </c>
      <c r="T352" s="87">
        <v>3.720532</v>
      </c>
      <c r="U352" s="87">
        <v>3.720532</v>
      </c>
      <c r="V352" s="87">
        <v>5.461484</v>
      </c>
      <c r="W352" s="87">
        <v>7.080358</v>
      </c>
      <c r="X352" s="87">
        <v>7.080358</v>
      </c>
      <c r="Y352" s="87">
        <v>5.544883</v>
      </c>
      <c r="Z352" s="87">
        <v>0.0</v>
      </c>
      <c r="AA352" s="87">
        <v>4.71768</v>
      </c>
      <c r="AB352" s="87">
        <v>2.340021</v>
      </c>
      <c r="AC352" s="87">
        <v>4.737282</v>
      </c>
      <c r="AD352" s="87">
        <v>2.141117</v>
      </c>
      <c r="AE352" s="87">
        <v>2.452696</v>
      </c>
      <c r="AF352" s="87">
        <v>3.429403</v>
      </c>
      <c r="AG352" s="87">
        <v>1.881183</v>
      </c>
      <c r="AH352" s="87">
        <v>0.001671</v>
      </c>
      <c r="AI352" s="87">
        <v>3.437315</v>
      </c>
      <c r="AJ352" s="87">
        <v>3.087702</v>
      </c>
      <c r="AK352" s="87">
        <v>4.05403</v>
      </c>
      <c r="AL352" s="88" t="s">
        <v>1396</v>
      </c>
    </row>
    <row r="353">
      <c r="A353" s="84" t="s">
        <v>1856</v>
      </c>
      <c r="B353" s="84" t="s">
        <v>1867</v>
      </c>
      <c r="C353" s="84" t="s">
        <v>1848</v>
      </c>
      <c r="D353" s="84" t="s">
        <v>1862</v>
      </c>
      <c r="E353" s="89">
        <v>46300.0</v>
      </c>
      <c r="F353" s="87">
        <v>3.0</v>
      </c>
      <c r="G353" s="87">
        <v>0.0</v>
      </c>
      <c r="H353" s="87">
        <v>1066.0</v>
      </c>
      <c r="I353" s="87">
        <v>0.0</v>
      </c>
      <c r="J353" s="87">
        <v>14.49256</v>
      </c>
      <c r="K353" s="87">
        <v>14.60301</v>
      </c>
      <c r="L353" s="87">
        <v>17.07128</v>
      </c>
      <c r="M353" s="87">
        <v>14.60301</v>
      </c>
      <c r="N353" s="87">
        <v>1.0</v>
      </c>
      <c r="O353" s="87">
        <v>0.0</v>
      </c>
      <c r="P353" s="87">
        <v>0.0</v>
      </c>
      <c r="Q353" s="87">
        <v>0.0</v>
      </c>
      <c r="R353" s="87">
        <v>0.0</v>
      </c>
      <c r="S353" s="87">
        <v>14.60301</v>
      </c>
      <c r="T353" s="87">
        <v>14.60301</v>
      </c>
      <c r="U353" s="87">
        <v>14.60301</v>
      </c>
      <c r="V353" s="87">
        <v>14.60301</v>
      </c>
      <c r="W353" s="87">
        <v>14.60301</v>
      </c>
      <c r="X353" s="87">
        <v>14.60301</v>
      </c>
      <c r="Y353" s="87">
        <v>4.867668</v>
      </c>
      <c r="Z353" s="87">
        <v>0.0</v>
      </c>
      <c r="AA353" s="87">
        <v>4.71768</v>
      </c>
      <c r="AB353" s="87">
        <v>2.340021</v>
      </c>
      <c r="AC353" s="87">
        <v>4.737282</v>
      </c>
      <c r="AD353" s="87">
        <v>2.927118</v>
      </c>
      <c r="AE353" s="87">
        <v>5.149803</v>
      </c>
      <c r="AF353" s="87">
        <v>7.553387</v>
      </c>
      <c r="AG353" s="87">
        <v>5.360975</v>
      </c>
      <c r="AH353" s="87">
        <v>0.001671</v>
      </c>
      <c r="AI353" s="87">
        <v>3.437315</v>
      </c>
      <c r="AJ353" s="87">
        <v>3.087702</v>
      </c>
      <c r="AK353" s="87">
        <v>4.05403</v>
      </c>
      <c r="AL353" s="88" t="s">
        <v>1396</v>
      </c>
    </row>
    <row r="354">
      <c r="A354" s="84" t="s">
        <v>1858</v>
      </c>
      <c r="B354" s="84" t="s">
        <v>1868</v>
      </c>
      <c r="C354" s="84" t="s">
        <v>1848</v>
      </c>
      <c r="D354" s="84" t="s">
        <v>1862</v>
      </c>
      <c r="E354" s="84" t="s">
        <v>1403</v>
      </c>
      <c r="F354" s="87">
        <v>45.0</v>
      </c>
      <c r="G354" s="87">
        <v>4.0</v>
      </c>
      <c r="H354" s="87">
        <v>115.0</v>
      </c>
      <c r="I354" s="87">
        <v>115.0</v>
      </c>
      <c r="J354" s="87">
        <v>0.0</v>
      </c>
      <c r="K354" s="87">
        <v>0.0</v>
      </c>
      <c r="L354" s="87">
        <v>0.0</v>
      </c>
      <c r="M354" s="87">
        <v>0.0</v>
      </c>
      <c r="N354" s="87">
        <v>0.0</v>
      </c>
      <c r="O354" s="87">
        <v>0.0</v>
      </c>
      <c r="P354" s="87">
        <v>0.0</v>
      </c>
      <c r="Q354" s="87">
        <v>0.0</v>
      </c>
      <c r="R354" s="87">
        <v>0.0</v>
      </c>
      <c r="S354" s="87">
        <v>0.0</v>
      </c>
      <c r="T354" s="87">
        <v>0.0</v>
      </c>
      <c r="U354" s="87">
        <v>0.0</v>
      </c>
      <c r="V354" s="87">
        <v>0.0</v>
      </c>
      <c r="W354" s="87">
        <v>0.0</v>
      </c>
      <c r="X354" s="87">
        <v>0.0</v>
      </c>
      <c r="Y354" s="87">
        <v>0.0</v>
      </c>
      <c r="Z354" s="87">
        <v>0.0</v>
      </c>
      <c r="AA354" s="87">
        <v>4.71768</v>
      </c>
      <c r="AB354" s="87">
        <v>2.340021</v>
      </c>
      <c r="AC354" s="87">
        <v>4.737282</v>
      </c>
      <c r="AD354" s="87">
        <v>0.0</v>
      </c>
      <c r="AE354" s="87">
        <v>0.0</v>
      </c>
      <c r="AF354" s="87">
        <v>0.0</v>
      </c>
      <c r="AG354" s="87">
        <v>0.0</v>
      </c>
      <c r="AH354" s="87">
        <v>0.001671</v>
      </c>
      <c r="AI354" s="87">
        <v>3.437315</v>
      </c>
      <c r="AJ354" s="87">
        <v>3.087702</v>
      </c>
      <c r="AK354" s="87">
        <v>4.05403</v>
      </c>
      <c r="AL354" s="88" t="s">
        <v>1396</v>
      </c>
    </row>
    <row r="355">
      <c r="A355" s="84" t="s">
        <v>1860</v>
      </c>
      <c r="B355" s="84" t="s">
        <v>1869</v>
      </c>
      <c r="C355" s="84" t="s">
        <v>1848</v>
      </c>
      <c r="D355" s="84" t="s">
        <v>1870</v>
      </c>
      <c r="E355" s="84" t="s">
        <v>1426</v>
      </c>
      <c r="F355" s="87">
        <v>2.0</v>
      </c>
      <c r="G355" s="87">
        <v>0.0</v>
      </c>
      <c r="H355" s="87">
        <v>0.0</v>
      </c>
      <c r="I355" s="87">
        <v>0.0</v>
      </c>
      <c r="J355" s="87">
        <v>0.0</v>
      </c>
      <c r="K355" s="87">
        <v>0.0</v>
      </c>
      <c r="L355" s="87">
        <v>0.0</v>
      </c>
      <c r="M355" s="87">
        <v>0.0</v>
      </c>
      <c r="N355" s="87">
        <v>0.0</v>
      </c>
      <c r="O355" s="87">
        <v>0.0</v>
      </c>
      <c r="P355" s="87">
        <v>0.0</v>
      </c>
      <c r="Q355" s="87">
        <v>0.0</v>
      </c>
      <c r="R355" s="87">
        <v>0.0</v>
      </c>
      <c r="S355" s="87">
        <v>0.0</v>
      </c>
      <c r="T355" s="87">
        <v>0.0</v>
      </c>
      <c r="U355" s="87">
        <v>0.0</v>
      </c>
      <c r="V355" s="87">
        <v>0.0</v>
      </c>
      <c r="W355" s="87">
        <v>0.0</v>
      </c>
      <c r="X355" s="87">
        <v>0.0</v>
      </c>
      <c r="Y355" s="87">
        <v>0.0</v>
      </c>
      <c r="Z355" s="87">
        <v>0.836296</v>
      </c>
      <c r="AA355" s="87">
        <v>2.138241</v>
      </c>
      <c r="AB355" s="87">
        <v>2.140033</v>
      </c>
      <c r="AC355" s="87">
        <v>1.716612</v>
      </c>
      <c r="AD355" s="87">
        <v>0.0</v>
      </c>
      <c r="AE355" s="87">
        <v>10.52567</v>
      </c>
      <c r="AF355" s="87">
        <v>11.79982</v>
      </c>
      <c r="AG355" s="87">
        <v>0.0</v>
      </c>
      <c r="AH355" s="87">
        <v>0.001671</v>
      </c>
      <c r="AI355" s="87">
        <v>3.437315</v>
      </c>
      <c r="AJ355" s="87">
        <v>3.087702</v>
      </c>
      <c r="AK355" s="87">
        <v>4.05403</v>
      </c>
      <c r="AL355" s="88" t="s">
        <v>1396</v>
      </c>
    </row>
    <row r="356">
      <c r="A356" s="84" t="s">
        <v>1846</v>
      </c>
      <c r="B356" s="84" t="s">
        <v>1871</v>
      </c>
      <c r="C356" s="84" t="s">
        <v>1848</v>
      </c>
      <c r="D356" s="84" t="s">
        <v>1870</v>
      </c>
      <c r="E356" s="86">
        <v>46310.0</v>
      </c>
      <c r="F356" s="87">
        <v>13.0</v>
      </c>
      <c r="G356" s="87">
        <v>0.0</v>
      </c>
      <c r="H356" s="87">
        <v>6864.0</v>
      </c>
      <c r="I356" s="87">
        <v>0.0</v>
      </c>
      <c r="J356" s="87">
        <v>70.04063</v>
      </c>
      <c r="K356" s="87">
        <v>71.88595</v>
      </c>
      <c r="L356" s="87">
        <v>67.09372</v>
      </c>
      <c r="M356" s="87">
        <v>49.93234</v>
      </c>
      <c r="N356" s="87">
        <v>0.694605</v>
      </c>
      <c r="O356" s="87">
        <v>0.0</v>
      </c>
      <c r="P356" s="87">
        <v>0.697849</v>
      </c>
      <c r="Q356" s="87">
        <v>0.771177</v>
      </c>
      <c r="R356" s="87">
        <v>3.207576</v>
      </c>
      <c r="S356" s="87">
        <v>5.069989</v>
      </c>
      <c r="T356" s="87">
        <v>0.771177</v>
      </c>
      <c r="U356" s="87">
        <v>1.136239</v>
      </c>
      <c r="V356" s="87">
        <v>2.795238</v>
      </c>
      <c r="W356" s="87">
        <v>3.308516</v>
      </c>
      <c r="X356" s="87">
        <v>5.069989</v>
      </c>
      <c r="Y356" s="87">
        <v>5.529688</v>
      </c>
      <c r="Z356" s="87">
        <v>0.836296</v>
      </c>
      <c r="AA356" s="87">
        <v>2.138241</v>
      </c>
      <c r="AB356" s="87">
        <v>2.140033</v>
      </c>
      <c r="AC356" s="87">
        <v>1.716612</v>
      </c>
      <c r="AD356" s="87">
        <v>3.10946</v>
      </c>
      <c r="AE356" s="87">
        <v>5.280214</v>
      </c>
      <c r="AF356" s="87">
        <v>5.444901</v>
      </c>
      <c r="AG356" s="87">
        <v>5.529688</v>
      </c>
      <c r="AH356" s="87">
        <v>0.001671</v>
      </c>
      <c r="AI356" s="87">
        <v>3.437315</v>
      </c>
      <c r="AJ356" s="87">
        <v>3.087702</v>
      </c>
      <c r="AK356" s="87">
        <v>4.05403</v>
      </c>
      <c r="AL356" s="88" t="s">
        <v>1396</v>
      </c>
    </row>
    <row r="357">
      <c r="A357" s="84" t="s">
        <v>1850</v>
      </c>
      <c r="B357" s="84" t="s">
        <v>1872</v>
      </c>
      <c r="C357" s="84" t="s">
        <v>1848</v>
      </c>
      <c r="D357" s="84" t="s">
        <v>1870</v>
      </c>
      <c r="E357" s="84" t="s">
        <v>1413</v>
      </c>
      <c r="F357" s="87">
        <v>14.0</v>
      </c>
      <c r="G357" s="87">
        <v>0.0</v>
      </c>
      <c r="H357" s="87">
        <v>4630.0</v>
      </c>
      <c r="I357" s="87">
        <v>0.0</v>
      </c>
      <c r="J357" s="87">
        <v>41.61409</v>
      </c>
      <c r="K357" s="87">
        <v>43.9963</v>
      </c>
      <c r="L357" s="87">
        <v>44.6462</v>
      </c>
      <c r="M357" s="87">
        <v>31.57013</v>
      </c>
      <c r="N357" s="87">
        <v>0.717563</v>
      </c>
      <c r="O357" s="87">
        <v>0.0</v>
      </c>
      <c r="P357" s="87">
        <v>0.232258</v>
      </c>
      <c r="Q357" s="87">
        <v>0.522092</v>
      </c>
      <c r="R357" s="87">
        <v>1.377104</v>
      </c>
      <c r="S357" s="87">
        <v>1.696478</v>
      </c>
      <c r="T357" s="87">
        <v>0.372496</v>
      </c>
      <c r="U357" s="87">
        <v>0.522092</v>
      </c>
      <c r="V357" s="87">
        <v>0.708128</v>
      </c>
      <c r="W357" s="87">
        <v>1.386567</v>
      </c>
      <c r="X357" s="87">
        <v>5.128663</v>
      </c>
      <c r="Y357" s="87">
        <v>3.142593</v>
      </c>
      <c r="Z357" s="87">
        <v>0.836296</v>
      </c>
      <c r="AA357" s="87">
        <v>2.138241</v>
      </c>
      <c r="AB357" s="87">
        <v>2.140033</v>
      </c>
      <c r="AC357" s="87">
        <v>1.716612</v>
      </c>
      <c r="AD357" s="87">
        <v>3.209933</v>
      </c>
      <c r="AE357" s="87">
        <v>3.886786</v>
      </c>
      <c r="AF357" s="87">
        <v>5.949701</v>
      </c>
      <c r="AG357" s="87">
        <v>5.231345</v>
      </c>
      <c r="AH357" s="87">
        <v>0.001671</v>
      </c>
      <c r="AI357" s="87">
        <v>3.437315</v>
      </c>
      <c r="AJ357" s="87">
        <v>3.087702</v>
      </c>
      <c r="AK357" s="87">
        <v>4.05403</v>
      </c>
      <c r="AL357" s="88" t="s">
        <v>1396</v>
      </c>
    </row>
    <row r="358">
      <c r="A358" s="84" t="s">
        <v>1852</v>
      </c>
      <c r="B358" s="84" t="s">
        <v>1873</v>
      </c>
      <c r="C358" s="84" t="s">
        <v>1848</v>
      </c>
      <c r="D358" s="84" t="s">
        <v>1870</v>
      </c>
      <c r="E358" s="84" t="s">
        <v>1398</v>
      </c>
      <c r="F358" s="87">
        <v>4.0</v>
      </c>
      <c r="G358" s="87">
        <v>0.0</v>
      </c>
      <c r="H358" s="87">
        <v>593.0</v>
      </c>
      <c r="I358" s="87">
        <v>0.0</v>
      </c>
      <c r="J358" s="87">
        <v>4.7</v>
      </c>
      <c r="K358" s="87">
        <v>3.898458</v>
      </c>
      <c r="L358" s="87">
        <v>6.66799</v>
      </c>
      <c r="M358" s="87">
        <v>1.729032</v>
      </c>
      <c r="N358" s="87">
        <v>0.443517</v>
      </c>
      <c r="O358" s="87">
        <v>0.312039</v>
      </c>
      <c r="P358" s="87">
        <v>0.312039</v>
      </c>
      <c r="Q358" s="87">
        <v>0.872712</v>
      </c>
      <c r="R358" s="87">
        <v>0.984674</v>
      </c>
      <c r="S358" s="87">
        <v>0.984674</v>
      </c>
      <c r="T358" s="87">
        <v>0.312039</v>
      </c>
      <c r="U358" s="87">
        <v>0.312039</v>
      </c>
      <c r="V358" s="87">
        <v>0.872712</v>
      </c>
      <c r="W358" s="87">
        <v>0.984674</v>
      </c>
      <c r="X358" s="87">
        <v>0.984674</v>
      </c>
      <c r="Y358" s="87">
        <v>0.974615</v>
      </c>
      <c r="Z358" s="87">
        <v>0.836296</v>
      </c>
      <c r="AA358" s="87">
        <v>2.138241</v>
      </c>
      <c r="AB358" s="87">
        <v>2.140033</v>
      </c>
      <c r="AC358" s="87">
        <v>1.716612</v>
      </c>
      <c r="AD358" s="87">
        <v>2.255101</v>
      </c>
      <c r="AE358" s="87">
        <v>2.632497</v>
      </c>
      <c r="AF358" s="87">
        <v>4.943193</v>
      </c>
      <c r="AG358" s="87">
        <v>5.632813</v>
      </c>
      <c r="AH358" s="87">
        <v>0.001671</v>
      </c>
      <c r="AI358" s="87">
        <v>3.437315</v>
      </c>
      <c r="AJ358" s="87">
        <v>3.087702</v>
      </c>
      <c r="AK358" s="87">
        <v>4.05403</v>
      </c>
      <c r="AL358" s="88" t="s">
        <v>1396</v>
      </c>
    </row>
    <row r="359">
      <c r="A359" s="84" t="s">
        <v>1854</v>
      </c>
      <c r="B359" s="84" t="s">
        <v>1874</v>
      </c>
      <c r="C359" s="84" t="s">
        <v>1848</v>
      </c>
      <c r="D359" s="84" t="s">
        <v>1870</v>
      </c>
      <c r="E359" s="84" t="s">
        <v>1400</v>
      </c>
      <c r="F359" s="87">
        <v>27.0</v>
      </c>
      <c r="G359" s="87">
        <v>0.0</v>
      </c>
      <c r="H359" s="87">
        <v>6307.0</v>
      </c>
      <c r="I359" s="87">
        <v>0.0</v>
      </c>
      <c r="J359" s="87">
        <v>39.83435</v>
      </c>
      <c r="K359" s="87">
        <v>46.34853</v>
      </c>
      <c r="L359" s="87">
        <v>47.35781</v>
      </c>
      <c r="M359" s="87">
        <v>22.75144</v>
      </c>
      <c r="N359" s="87">
        <v>0.490877</v>
      </c>
      <c r="O359" s="87">
        <v>0.0</v>
      </c>
      <c r="P359" s="87">
        <v>0.1</v>
      </c>
      <c r="Q359" s="87">
        <v>0.902063</v>
      </c>
      <c r="R359" s="87">
        <v>1.605215</v>
      </c>
      <c r="S359" s="87">
        <v>2.380537</v>
      </c>
      <c r="T359" s="87">
        <v>0.2</v>
      </c>
      <c r="U359" s="87">
        <v>0.902063</v>
      </c>
      <c r="V359" s="87">
        <v>1.010665</v>
      </c>
      <c r="W359" s="87">
        <v>1.86039</v>
      </c>
      <c r="X359" s="87">
        <v>2.620661</v>
      </c>
      <c r="Y359" s="87">
        <v>1.716612</v>
      </c>
      <c r="Z359" s="87">
        <v>0.836296</v>
      </c>
      <c r="AA359" s="87">
        <v>2.138241</v>
      </c>
      <c r="AB359" s="87">
        <v>2.140033</v>
      </c>
      <c r="AC359" s="87">
        <v>1.716612</v>
      </c>
      <c r="AD359" s="87">
        <v>2.141117</v>
      </c>
      <c r="AE359" s="87">
        <v>2.452696</v>
      </c>
      <c r="AF359" s="87">
        <v>3.429403</v>
      </c>
      <c r="AG359" s="87">
        <v>1.881183</v>
      </c>
      <c r="AH359" s="87">
        <v>0.001671</v>
      </c>
      <c r="AI359" s="87">
        <v>3.437315</v>
      </c>
      <c r="AJ359" s="87">
        <v>3.087702</v>
      </c>
      <c r="AK359" s="87">
        <v>4.05403</v>
      </c>
      <c r="AL359" s="88" t="s">
        <v>1396</v>
      </c>
    </row>
    <row r="360">
      <c r="A360" s="84" t="s">
        <v>1856</v>
      </c>
      <c r="B360" s="84" t="s">
        <v>1875</v>
      </c>
      <c r="C360" s="84" t="s">
        <v>1848</v>
      </c>
      <c r="D360" s="84" t="s">
        <v>1870</v>
      </c>
      <c r="E360" s="89">
        <v>46300.0</v>
      </c>
      <c r="F360" s="87">
        <v>16.0</v>
      </c>
      <c r="G360" s="87">
        <v>0.0</v>
      </c>
      <c r="H360" s="87">
        <v>4305.0</v>
      </c>
      <c r="I360" s="87">
        <v>0.0</v>
      </c>
      <c r="J360" s="87">
        <v>49.58224</v>
      </c>
      <c r="K360" s="87">
        <v>47.87407</v>
      </c>
      <c r="L360" s="87">
        <v>48.43769</v>
      </c>
      <c r="M360" s="87">
        <v>27.05597</v>
      </c>
      <c r="N360" s="87">
        <v>0.565149</v>
      </c>
      <c r="O360" s="87">
        <v>0.0</v>
      </c>
      <c r="P360" s="87">
        <v>0.0</v>
      </c>
      <c r="Q360" s="87">
        <v>0.45353</v>
      </c>
      <c r="R360" s="87">
        <v>2.779726</v>
      </c>
      <c r="S360" s="87">
        <v>5.04416</v>
      </c>
      <c r="T360" s="87">
        <v>1.067972</v>
      </c>
      <c r="U360" s="87">
        <v>1.818274</v>
      </c>
      <c r="V360" s="87">
        <v>2.717797</v>
      </c>
      <c r="W360" s="87">
        <v>3.846579</v>
      </c>
      <c r="X360" s="87">
        <v>5.149803</v>
      </c>
      <c r="Y360" s="87">
        <v>2.99213</v>
      </c>
      <c r="Z360" s="87">
        <v>0.836296</v>
      </c>
      <c r="AA360" s="87">
        <v>2.138241</v>
      </c>
      <c r="AB360" s="87">
        <v>2.140033</v>
      </c>
      <c r="AC360" s="87">
        <v>1.716612</v>
      </c>
      <c r="AD360" s="87">
        <v>2.927118</v>
      </c>
      <c r="AE360" s="87">
        <v>5.149803</v>
      </c>
      <c r="AF360" s="87">
        <v>7.553387</v>
      </c>
      <c r="AG360" s="87">
        <v>5.360975</v>
      </c>
      <c r="AH360" s="87">
        <v>0.001671</v>
      </c>
      <c r="AI360" s="87">
        <v>3.437315</v>
      </c>
      <c r="AJ360" s="87">
        <v>3.087702</v>
      </c>
      <c r="AK360" s="87">
        <v>4.05403</v>
      </c>
      <c r="AL360" s="88" t="s">
        <v>1396</v>
      </c>
    </row>
    <row r="361">
      <c r="A361" s="84" t="s">
        <v>1858</v>
      </c>
      <c r="B361" s="84" t="s">
        <v>1876</v>
      </c>
      <c r="C361" s="84" t="s">
        <v>1848</v>
      </c>
      <c r="D361" s="84" t="s">
        <v>1870</v>
      </c>
      <c r="E361" s="84" t="s">
        <v>1403</v>
      </c>
      <c r="F361" s="87">
        <v>24.0</v>
      </c>
      <c r="G361" s="87">
        <v>1.0</v>
      </c>
      <c r="H361" s="87">
        <v>14.0</v>
      </c>
      <c r="I361" s="87">
        <v>14.0</v>
      </c>
      <c r="J361" s="87">
        <v>0.0</v>
      </c>
      <c r="K361" s="87">
        <v>0.0</v>
      </c>
      <c r="L361" s="87">
        <v>0.0</v>
      </c>
      <c r="M361" s="87">
        <v>0.0</v>
      </c>
      <c r="N361" s="87">
        <v>0.0</v>
      </c>
      <c r="O361" s="87">
        <v>0.0</v>
      </c>
      <c r="P361" s="87">
        <v>0.0</v>
      </c>
      <c r="Q361" s="87">
        <v>0.0</v>
      </c>
      <c r="R361" s="87">
        <v>0.0</v>
      </c>
      <c r="S361" s="87">
        <v>0.0</v>
      </c>
      <c r="T361" s="87">
        <v>0.0</v>
      </c>
      <c r="U361" s="87">
        <v>0.0</v>
      </c>
      <c r="V361" s="87">
        <v>0.0</v>
      </c>
      <c r="W361" s="87">
        <v>0.0</v>
      </c>
      <c r="X361" s="87">
        <v>0.0</v>
      </c>
      <c r="Y361" s="87">
        <v>0.0</v>
      </c>
      <c r="Z361" s="87">
        <v>0.836296</v>
      </c>
      <c r="AA361" s="87">
        <v>2.138241</v>
      </c>
      <c r="AB361" s="87">
        <v>2.140033</v>
      </c>
      <c r="AC361" s="87">
        <v>1.716612</v>
      </c>
      <c r="AD361" s="87">
        <v>0.0</v>
      </c>
      <c r="AE361" s="87">
        <v>0.0</v>
      </c>
      <c r="AF361" s="87">
        <v>0.0</v>
      </c>
      <c r="AG361" s="87">
        <v>0.0</v>
      </c>
      <c r="AH361" s="87">
        <v>0.001671</v>
      </c>
      <c r="AI361" s="87">
        <v>3.437315</v>
      </c>
      <c r="AJ361" s="87">
        <v>3.087702</v>
      </c>
      <c r="AK361" s="87">
        <v>4.05403</v>
      </c>
      <c r="AL361" s="88" t="s">
        <v>1396</v>
      </c>
    </row>
    <row r="362">
      <c r="A362" s="84" t="s">
        <v>1860</v>
      </c>
      <c r="B362" s="84" t="s">
        <v>1877</v>
      </c>
      <c r="C362" s="84" t="s">
        <v>1848</v>
      </c>
      <c r="D362" s="84" t="s">
        <v>1878</v>
      </c>
      <c r="E362" s="84" t="s">
        <v>1426</v>
      </c>
      <c r="F362" s="87">
        <v>2.0</v>
      </c>
      <c r="G362" s="87">
        <v>0.0</v>
      </c>
      <c r="H362" s="87">
        <v>410.0</v>
      </c>
      <c r="I362" s="87">
        <v>0.0</v>
      </c>
      <c r="J362" s="87">
        <v>12.65808</v>
      </c>
      <c r="K362" s="87">
        <v>10.52567</v>
      </c>
      <c r="L362" s="87">
        <v>8.44636</v>
      </c>
      <c r="M362" s="87">
        <v>10.52567</v>
      </c>
      <c r="N362" s="87">
        <v>1.0</v>
      </c>
      <c r="O362" s="87">
        <v>0.0</v>
      </c>
      <c r="P362" s="87">
        <v>0.0</v>
      </c>
      <c r="Q362" s="87">
        <v>0.0</v>
      </c>
      <c r="R362" s="87">
        <v>10.52567</v>
      </c>
      <c r="S362" s="87">
        <v>10.52567</v>
      </c>
      <c r="T362" s="87">
        <v>10.52567</v>
      </c>
      <c r="U362" s="87">
        <v>10.52567</v>
      </c>
      <c r="V362" s="87">
        <v>10.52567</v>
      </c>
      <c r="W362" s="87">
        <v>10.52567</v>
      </c>
      <c r="X362" s="87">
        <v>10.52567</v>
      </c>
      <c r="Y362" s="87">
        <v>5.262833</v>
      </c>
      <c r="Z362" s="87">
        <v>0.366617</v>
      </c>
      <c r="AA362" s="87">
        <v>5.972496</v>
      </c>
      <c r="AB362" s="87">
        <v>5.16423</v>
      </c>
      <c r="AC362" s="87">
        <v>6.830055</v>
      </c>
      <c r="AD362" s="87">
        <v>0.0</v>
      </c>
      <c r="AE362" s="87">
        <v>10.52567</v>
      </c>
      <c r="AF362" s="87">
        <v>11.79982</v>
      </c>
      <c r="AG362" s="87">
        <v>0.0</v>
      </c>
      <c r="AH362" s="87">
        <v>0.001671</v>
      </c>
      <c r="AI362" s="87">
        <v>3.437315</v>
      </c>
      <c r="AJ362" s="87">
        <v>3.087702</v>
      </c>
      <c r="AK362" s="87">
        <v>4.05403</v>
      </c>
      <c r="AL362" s="88" t="s">
        <v>1396</v>
      </c>
    </row>
    <row r="363">
      <c r="A363" s="84" t="s">
        <v>1846</v>
      </c>
      <c r="B363" s="84" t="s">
        <v>1879</v>
      </c>
      <c r="C363" s="84" t="s">
        <v>1848</v>
      </c>
      <c r="D363" s="84" t="s">
        <v>1878</v>
      </c>
      <c r="E363" s="86">
        <v>46310.0</v>
      </c>
      <c r="F363" s="87">
        <v>11.0</v>
      </c>
      <c r="G363" s="87">
        <v>0.0</v>
      </c>
      <c r="H363" s="87">
        <v>9455.0</v>
      </c>
      <c r="I363" s="87">
        <v>0.0</v>
      </c>
      <c r="J363" s="87">
        <v>105.8894</v>
      </c>
      <c r="K363" s="87">
        <v>116.1569</v>
      </c>
      <c r="L363" s="87">
        <v>115.4679</v>
      </c>
      <c r="M363" s="87">
        <v>79.43173</v>
      </c>
      <c r="N363" s="87">
        <v>0.683832</v>
      </c>
      <c r="O363" s="87">
        <v>0.629868</v>
      </c>
      <c r="P363" s="87">
        <v>1.944315</v>
      </c>
      <c r="Q363" s="87">
        <v>2.408064</v>
      </c>
      <c r="R363" s="87">
        <v>5.972496</v>
      </c>
      <c r="S363" s="87">
        <v>11.33619</v>
      </c>
      <c r="T363" s="87">
        <v>1.944315</v>
      </c>
      <c r="U363" s="87">
        <v>2.408064</v>
      </c>
      <c r="V363" s="87">
        <v>3.10946</v>
      </c>
      <c r="W363" s="87">
        <v>11.32475</v>
      </c>
      <c r="X363" s="87">
        <v>17.07658</v>
      </c>
      <c r="Y363" s="87">
        <v>10.55972</v>
      </c>
      <c r="Z363" s="87">
        <v>0.366617</v>
      </c>
      <c r="AA363" s="87">
        <v>5.972496</v>
      </c>
      <c r="AB363" s="87">
        <v>5.16423</v>
      </c>
      <c r="AC363" s="87">
        <v>6.830055</v>
      </c>
      <c r="AD363" s="87">
        <v>3.10946</v>
      </c>
      <c r="AE363" s="87">
        <v>5.280214</v>
      </c>
      <c r="AF363" s="87">
        <v>5.444901</v>
      </c>
      <c r="AG363" s="87">
        <v>5.529688</v>
      </c>
      <c r="AH363" s="87">
        <v>0.001671</v>
      </c>
      <c r="AI363" s="87">
        <v>3.437315</v>
      </c>
      <c r="AJ363" s="87">
        <v>3.087702</v>
      </c>
      <c r="AK363" s="87">
        <v>4.05403</v>
      </c>
      <c r="AL363" s="88" t="s">
        <v>1396</v>
      </c>
    </row>
    <row r="364">
      <c r="A364" s="84" t="s">
        <v>1850</v>
      </c>
      <c r="B364" s="84" t="s">
        <v>1880</v>
      </c>
      <c r="C364" s="84" t="s">
        <v>1848</v>
      </c>
      <c r="D364" s="84" t="s">
        <v>1878</v>
      </c>
      <c r="E364" s="84" t="s">
        <v>1413</v>
      </c>
      <c r="F364" s="87">
        <v>11.0</v>
      </c>
      <c r="G364" s="87">
        <v>0.0</v>
      </c>
      <c r="H364" s="87">
        <v>9880.0</v>
      </c>
      <c r="I364" s="87">
        <v>0.0</v>
      </c>
      <c r="J364" s="87">
        <v>122.0583</v>
      </c>
      <c r="K364" s="87">
        <v>121.5093</v>
      </c>
      <c r="L364" s="87">
        <v>117.2597</v>
      </c>
      <c r="M364" s="87">
        <v>91.11268</v>
      </c>
      <c r="N364" s="87">
        <v>0.749841</v>
      </c>
      <c r="O364" s="87">
        <v>0.266667</v>
      </c>
      <c r="P364" s="87">
        <v>0.902299</v>
      </c>
      <c r="Q364" s="87">
        <v>1.102373</v>
      </c>
      <c r="R364" s="87">
        <v>5.395104</v>
      </c>
      <c r="S364" s="87">
        <v>11.09906</v>
      </c>
      <c r="T364" s="87">
        <v>0.902299</v>
      </c>
      <c r="U364" s="87">
        <v>1.102373</v>
      </c>
      <c r="V364" s="87">
        <v>2.762181</v>
      </c>
      <c r="W364" s="87">
        <v>8.868904</v>
      </c>
      <c r="X364" s="87">
        <v>13.54032</v>
      </c>
      <c r="Y364" s="87">
        <v>11.0463</v>
      </c>
      <c r="Z364" s="87">
        <v>0.366617</v>
      </c>
      <c r="AA364" s="87">
        <v>5.972496</v>
      </c>
      <c r="AB364" s="87">
        <v>5.16423</v>
      </c>
      <c r="AC364" s="87">
        <v>6.830055</v>
      </c>
      <c r="AD364" s="87">
        <v>3.209933</v>
      </c>
      <c r="AE364" s="87">
        <v>3.886786</v>
      </c>
      <c r="AF364" s="87">
        <v>5.949701</v>
      </c>
      <c r="AG364" s="87">
        <v>5.231345</v>
      </c>
      <c r="AH364" s="87">
        <v>0.001671</v>
      </c>
      <c r="AI364" s="87">
        <v>3.437315</v>
      </c>
      <c r="AJ364" s="87">
        <v>3.087702</v>
      </c>
      <c r="AK364" s="87">
        <v>4.05403</v>
      </c>
      <c r="AL364" s="88" t="s">
        <v>1396</v>
      </c>
    </row>
    <row r="365">
      <c r="A365" s="84" t="s">
        <v>1852</v>
      </c>
      <c r="B365" s="84" t="s">
        <v>1881</v>
      </c>
      <c r="C365" s="84" t="s">
        <v>1848</v>
      </c>
      <c r="D365" s="84" t="s">
        <v>1878</v>
      </c>
      <c r="E365" s="84" t="s">
        <v>1398</v>
      </c>
      <c r="F365" s="87">
        <v>5.0</v>
      </c>
      <c r="G365" s="87">
        <v>0.0</v>
      </c>
      <c r="H365" s="87">
        <v>3142.0</v>
      </c>
      <c r="I365" s="87">
        <v>0.0</v>
      </c>
      <c r="J365" s="87">
        <v>27.60974</v>
      </c>
      <c r="K365" s="87">
        <v>30.05334</v>
      </c>
      <c r="L365" s="87">
        <v>31.20787</v>
      </c>
      <c r="M365" s="87">
        <v>16.99206</v>
      </c>
      <c r="N365" s="87">
        <v>0.565397</v>
      </c>
      <c r="O365" s="87">
        <v>0.569935</v>
      </c>
      <c r="P365" s="87">
        <v>2.099307</v>
      </c>
      <c r="Q365" s="87">
        <v>2.099307</v>
      </c>
      <c r="R365" s="87">
        <v>3.384098</v>
      </c>
      <c r="S365" s="87">
        <v>7.007945</v>
      </c>
      <c r="T365" s="87">
        <v>0.569935</v>
      </c>
      <c r="U365" s="87">
        <v>2.099307</v>
      </c>
      <c r="V365" s="87">
        <v>2.099307</v>
      </c>
      <c r="W365" s="87">
        <v>3.384098</v>
      </c>
      <c r="X365" s="87">
        <v>7.007945</v>
      </c>
      <c r="Y365" s="87">
        <v>6.010668</v>
      </c>
      <c r="Z365" s="87">
        <v>0.366617</v>
      </c>
      <c r="AA365" s="87">
        <v>5.972496</v>
      </c>
      <c r="AB365" s="87">
        <v>5.16423</v>
      </c>
      <c r="AC365" s="87">
        <v>6.830055</v>
      </c>
      <c r="AD365" s="87">
        <v>2.255101</v>
      </c>
      <c r="AE365" s="87">
        <v>2.632497</v>
      </c>
      <c r="AF365" s="87">
        <v>4.943193</v>
      </c>
      <c r="AG365" s="87">
        <v>5.632813</v>
      </c>
      <c r="AH365" s="87">
        <v>0.001671</v>
      </c>
      <c r="AI365" s="87">
        <v>3.437315</v>
      </c>
      <c r="AJ365" s="87">
        <v>3.087702</v>
      </c>
      <c r="AK365" s="87">
        <v>4.05403</v>
      </c>
      <c r="AL365" s="88" t="s">
        <v>1396</v>
      </c>
    </row>
    <row r="366">
      <c r="A366" s="84" t="s">
        <v>1854</v>
      </c>
      <c r="B366" s="84" t="s">
        <v>1882</v>
      </c>
      <c r="C366" s="84" t="s">
        <v>1848</v>
      </c>
      <c r="D366" s="84" t="s">
        <v>1878</v>
      </c>
      <c r="E366" s="84" t="s">
        <v>1400</v>
      </c>
      <c r="F366" s="87">
        <v>15.0</v>
      </c>
      <c r="G366" s="87">
        <v>0.0</v>
      </c>
      <c r="H366" s="87">
        <v>12410.0</v>
      </c>
      <c r="I366" s="87">
        <v>0.0</v>
      </c>
      <c r="J366" s="87">
        <v>106.1721</v>
      </c>
      <c r="K366" s="87">
        <v>102.4508</v>
      </c>
      <c r="L366" s="87">
        <v>106.1502</v>
      </c>
      <c r="M366" s="87">
        <v>53.53833</v>
      </c>
      <c r="N366" s="87">
        <v>0.522576</v>
      </c>
      <c r="O366" s="87">
        <v>1.034631</v>
      </c>
      <c r="P366" s="87">
        <v>2.792448</v>
      </c>
      <c r="Q366" s="87">
        <v>2.982485</v>
      </c>
      <c r="R366" s="87">
        <v>5.582499</v>
      </c>
      <c r="S366" s="87">
        <v>6.040754</v>
      </c>
      <c r="T366" s="87">
        <v>1.034631</v>
      </c>
      <c r="U366" s="87">
        <v>2.792448</v>
      </c>
      <c r="V366" s="87">
        <v>2.982485</v>
      </c>
      <c r="W366" s="87">
        <v>5.582499</v>
      </c>
      <c r="X366" s="87">
        <v>6.040754</v>
      </c>
      <c r="Y366" s="87">
        <v>6.830055</v>
      </c>
      <c r="Z366" s="87">
        <v>0.366617</v>
      </c>
      <c r="AA366" s="87">
        <v>5.972496</v>
      </c>
      <c r="AB366" s="87">
        <v>5.16423</v>
      </c>
      <c r="AC366" s="87">
        <v>6.830055</v>
      </c>
      <c r="AD366" s="87">
        <v>2.141117</v>
      </c>
      <c r="AE366" s="87">
        <v>2.452696</v>
      </c>
      <c r="AF366" s="87">
        <v>3.429403</v>
      </c>
      <c r="AG366" s="87">
        <v>1.881183</v>
      </c>
      <c r="AH366" s="87">
        <v>0.001671</v>
      </c>
      <c r="AI366" s="87">
        <v>3.437315</v>
      </c>
      <c r="AJ366" s="87">
        <v>3.087702</v>
      </c>
      <c r="AK366" s="87">
        <v>4.05403</v>
      </c>
      <c r="AL366" s="88" t="s">
        <v>1396</v>
      </c>
    </row>
    <row r="367">
      <c r="A367" s="84" t="s">
        <v>1856</v>
      </c>
      <c r="B367" s="84" t="s">
        <v>1883</v>
      </c>
      <c r="C367" s="84" t="s">
        <v>1848</v>
      </c>
      <c r="D367" s="84" t="s">
        <v>1878</v>
      </c>
      <c r="E367" s="89">
        <v>46300.0</v>
      </c>
      <c r="F367" s="87">
        <v>11.0</v>
      </c>
      <c r="G367" s="87">
        <v>0.0</v>
      </c>
      <c r="H367" s="87">
        <v>14378.0</v>
      </c>
      <c r="I367" s="87">
        <v>0.0</v>
      </c>
      <c r="J367" s="87">
        <v>98.51916</v>
      </c>
      <c r="K367" s="87">
        <v>104.7417</v>
      </c>
      <c r="L367" s="87">
        <v>109.4736</v>
      </c>
      <c r="M367" s="87">
        <v>90.75684</v>
      </c>
      <c r="N367" s="87">
        <v>0.866483</v>
      </c>
      <c r="O367" s="87">
        <v>0.0</v>
      </c>
      <c r="P367" s="87">
        <v>0.0</v>
      </c>
      <c r="Q367" s="87">
        <v>0.0</v>
      </c>
      <c r="R367" s="87">
        <v>1.66901</v>
      </c>
      <c r="S367" s="87">
        <v>9.142013</v>
      </c>
      <c r="T367" s="87">
        <v>0.992575</v>
      </c>
      <c r="U367" s="87">
        <v>1.66901</v>
      </c>
      <c r="V367" s="87">
        <v>2.181226</v>
      </c>
      <c r="W367" s="87">
        <v>9.142013</v>
      </c>
      <c r="X367" s="87">
        <v>10.80182</v>
      </c>
      <c r="Y367" s="87">
        <v>9.521969</v>
      </c>
      <c r="Z367" s="87">
        <v>0.366617</v>
      </c>
      <c r="AA367" s="87">
        <v>5.972496</v>
      </c>
      <c r="AB367" s="87">
        <v>5.16423</v>
      </c>
      <c r="AC367" s="87">
        <v>6.830055</v>
      </c>
      <c r="AD367" s="87">
        <v>2.927118</v>
      </c>
      <c r="AE367" s="87">
        <v>5.149803</v>
      </c>
      <c r="AF367" s="87">
        <v>7.553387</v>
      </c>
      <c r="AG367" s="87">
        <v>5.360975</v>
      </c>
      <c r="AH367" s="87">
        <v>0.001671</v>
      </c>
      <c r="AI367" s="87">
        <v>3.437315</v>
      </c>
      <c r="AJ367" s="87">
        <v>3.087702</v>
      </c>
      <c r="AK367" s="87">
        <v>4.05403</v>
      </c>
      <c r="AL367" s="88" t="s">
        <v>1396</v>
      </c>
    </row>
    <row r="368">
      <c r="A368" s="84" t="s">
        <v>1858</v>
      </c>
      <c r="B368" s="84" t="s">
        <v>1884</v>
      </c>
      <c r="C368" s="84" t="s">
        <v>1848</v>
      </c>
      <c r="D368" s="84" t="s">
        <v>1878</v>
      </c>
      <c r="E368" s="84" t="s">
        <v>1403</v>
      </c>
      <c r="F368" s="87">
        <v>39.0</v>
      </c>
      <c r="G368" s="87">
        <v>2.0</v>
      </c>
      <c r="H368" s="87">
        <v>29.0</v>
      </c>
      <c r="I368" s="87">
        <v>29.0</v>
      </c>
      <c r="J368" s="87">
        <v>0.0</v>
      </c>
      <c r="K368" s="87">
        <v>0.0</v>
      </c>
      <c r="L368" s="87">
        <v>0.0</v>
      </c>
      <c r="M368" s="87">
        <v>0.0</v>
      </c>
      <c r="N368" s="87">
        <v>0.0</v>
      </c>
      <c r="O368" s="87">
        <v>0.0</v>
      </c>
      <c r="P368" s="87">
        <v>0.0</v>
      </c>
      <c r="Q368" s="87">
        <v>0.0</v>
      </c>
      <c r="R368" s="87">
        <v>0.0</v>
      </c>
      <c r="S368" s="87">
        <v>0.0</v>
      </c>
      <c r="T368" s="87">
        <v>0.0</v>
      </c>
      <c r="U368" s="87">
        <v>0.0</v>
      </c>
      <c r="V368" s="87">
        <v>0.0</v>
      </c>
      <c r="W368" s="87">
        <v>0.0</v>
      </c>
      <c r="X368" s="87">
        <v>0.0</v>
      </c>
      <c r="Y368" s="87">
        <v>0.0</v>
      </c>
      <c r="Z368" s="87">
        <v>0.366617</v>
      </c>
      <c r="AA368" s="87">
        <v>5.972496</v>
      </c>
      <c r="AB368" s="87">
        <v>5.16423</v>
      </c>
      <c r="AC368" s="87">
        <v>6.830055</v>
      </c>
      <c r="AD368" s="87">
        <v>0.0</v>
      </c>
      <c r="AE368" s="87">
        <v>0.0</v>
      </c>
      <c r="AF368" s="87">
        <v>0.0</v>
      </c>
      <c r="AG368" s="87">
        <v>0.0</v>
      </c>
      <c r="AH368" s="87">
        <v>0.001671</v>
      </c>
      <c r="AI368" s="87">
        <v>3.437315</v>
      </c>
      <c r="AJ368" s="87">
        <v>3.087702</v>
      </c>
      <c r="AK368" s="87">
        <v>4.05403</v>
      </c>
      <c r="AL368" s="88" t="s">
        <v>1396</v>
      </c>
    </row>
    <row r="369">
      <c r="A369" s="84" t="s">
        <v>1860</v>
      </c>
      <c r="B369" s="84" t="s">
        <v>1885</v>
      </c>
      <c r="C369" s="84" t="s">
        <v>1848</v>
      </c>
      <c r="D369" s="84" t="s">
        <v>1886</v>
      </c>
      <c r="E369" s="84" t="s">
        <v>1426</v>
      </c>
      <c r="F369" s="87">
        <v>1.0</v>
      </c>
      <c r="G369" s="87">
        <v>0.0</v>
      </c>
      <c r="H369" s="87">
        <v>0.0</v>
      </c>
      <c r="I369" s="87">
        <v>0.0</v>
      </c>
      <c r="J369" s="87">
        <v>0.0</v>
      </c>
      <c r="K369" s="87">
        <v>0.0</v>
      </c>
      <c r="L369" s="87">
        <v>0.0</v>
      </c>
      <c r="M369" s="87">
        <v>0.0</v>
      </c>
      <c r="N369" s="87">
        <v>0.0</v>
      </c>
      <c r="O369" s="87">
        <v>0.0</v>
      </c>
      <c r="P369" s="87">
        <v>0.0</v>
      </c>
      <c r="Q369" s="87">
        <v>0.0</v>
      </c>
      <c r="R369" s="87">
        <v>0.0</v>
      </c>
      <c r="S369" s="87">
        <v>0.0</v>
      </c>
      <c r="T369" s="87">
        <v>0.0</v>
      </c>
      <c r="U369" s="87">
        <v>0.0</v>
      </c>
      <c r="V369" s="87">
        <v>0.0</v>
      </c>
      <c r="W369" s="87">
        <v>0.0</v>
      </c>
      <c r="X369" s="87">
        <v>0.0</v>
      </c>
      <c r="Y369" s="87">
        <v>0.0</v>
      </c>
      <c r="Z369" s="87">
        <v>0.233333</v>
      </c>
      <c r="AA369" s="87">
        <v>2.679797</v>
      </c>
      <c r="AB369" s="87">
        <v>1.900014</v>
      </c>
      <c r="AC369" s="87">
        <v>1.990346</v>
      </c>
      <c r="AD369" s="87">
        <v>0.0</v>
      </c>
      <c r="AE369" s="87">
        <v>10.52567</v>
      </c>
      <c r="AF369" s="87">
        <v>11.79982</v>
      </c>
      <c r="AG369" s="87">
        <v>0.0</v>
      </c>
      <c r="AH369" s="87">
        <v>0.001671</v>
      </c>
      <c r="AI369" s="87">
        <v>3.437315</v>
      </c>
      <c r="AJ369" s="87">
        <v>3.087702</v>
      </c>
      <c r="AK369" s="87">
        <v>4.05403</v>
      </c>
      <c r="AL369" s="88" t="s">
        <v>1396</v>
      </c>
    </row>
    <row r="370">
      <c r="A370" s="84" t="s">
        <v>1846</v>
      </c>
      <c r="B370" s="84" t="s">
        <v>1887</v>
      </c>
      <c r="C370" s="84" t="s">
        <v>1848</v>
      </c>
      <c r="D370" s="84" t="s">
        <v>1886</v>
      </c>
      <c r="E370" s="86">
        <v>46310.0</v>
      </c>
      <c r="F370" s="87">
        <v>8.0</v>
      </c>
      <c r="G370" s="87">
        <v>0.0</v>
      </c>
      <c r="H370" s="87">
        <v>6120.0</v>
      </c>
      <c r="I370" s="87">
        <v>0.0</v>
      </c>
      <c r="J370" s="87">
        <v>31.96895</v>
      </c>
      <c r="K370" s="87">
        <v>37.48452</v>
      </c>
      <c r="L370" s="87">
        <v>39.70593</v>
      </c>
      <c r="M370" s="87">
        <v>17.50819</v>
      </c>
      <c r="N370" s="87">
        <v>0.467078</v>
      </c>
      <c r="O370" s="87">
        <v>0.666667</v>
      </c>
      <c r="P370" s="87">
        <v>0.997576</v>
      </c>
      <c r="Q370" s="87">
        <v>1.119048</v>
      </c>
      <c r="R370" s="87">
        <v>7.246906</v>
      </c>
      <c r="S370" s="87">
        <v>7.266346</v>
      </c>
      <c r="T370" s="87">
        <v>0.666667</v>
      </c>
      <c r="U370" s="87">
        <v>0.997576</v>
      </c>
      <c r="V370" s="87">
        <v>1.119048</v>
      </c>
      <c r="W370" s="87">
        <v>7.246906</v>
      </c>
      <c r="X370" s="87">
        <v>7.266346</v>
      </c>
      <c r="Y370" s="87">
        <v>4.685566</v>
      </c>
      <c r="Z370" s="87">
        <v>0.233333</v>
      </c>
      <c r="AA370" s="87">
        <v>2.679797</v>
      </c>
      <c r="AB370" s="87">
        <v>1.900014</v>
      </c>
      <c r="AC370" s="87">
        <v>1.990346</v>
      </c>
      <c r="AD370" s="87">
        <v>3.10946</v>
      </c>
      <c r="AE370" s="87">
        <v>5.280214</v>
      </c>
      <c r="AF370" s="87">
        <v>5.444901</v>
      </c>
      <c r="AG370" s="87">
        <v>5.529688</v>
      </c>
      <c r="AH370" s="87">
        <v>0.001671</v>
      </c>
      <c r="AI370" s="87">
        <v>3.437315</v>
      </c>
      <c r="AJ370" s="87">
        <v>3.087702</v>
      </c>
      <c r="AK370" s="87">
        <v>4.05403</v>
      </c>
      <c r="AL370" s="88" t="s">
        <v>1396</v>
      </c>
    </row>
    <row r="371">
      <c r="A371" s="84" t="s">
        <v>1850</v>
      </c>
      <c r="B371" s="84" t="s">
        <v>1888</v>
      </c>
      <c r="C371" s="84" t="s">
        <v>1848</v>
      </c>
      <c r="D371" s="84" t="s">
        <v>1886</v>
      </c>
      <c r="E371" s="84" t="s">
        <v>1413</v>
      </c>
      <c r="F371" s="87">
        <v>3.0</v>
      </c>
      <c r="G371" s="87">
        <v>0.0</v>
      </c>
      <c r="H371" s="87">
        <v>367.0</v>
      </c>
      <c r="I371" s="87">
        <v>0.0</v>
      </c>
      <c r="J371" s="87">
        <v>4.670413</v>
      </c>
      <c r="K371" s="87">
        <v>5.971038</v>
      </c>
      <c r="L371" s="87">
        <v>3.75224</v>
      </c>
      <c r="M371" s="87">
        <v>3.398023</v>
      </c>
      <c r="N371" s="87">
        <v>0.569084</v>
      </c>
      <c r="O371" s="87">
        <v>0.0</v>
      </c>
      <c r="P371" s="87">
        <v>0.0</v>
      </c>
      <c r="Q371" s="87">
        <v>0.0</v>
      </c>
      <c r="R371" s="87">
        <v>2.573016</v>
      </c>
      <c r="S371" s="87">
        <v>3.398023</v>
      </c>
      <c r="T371" s="87">
        <v>2.573016</v>
      </c>
      <c r="U371" s="87">
        <v>2.573016</v>
      </c>
      <c r="V371" s="87">
        <v>2.573016</v>
      </c>
      <c r="W371" s="87">
        <v>3.398023</v>
      </c>
      <c r="X371" s="87">
        <v>3.398023</v>
      </c>
      <c r="Y371" s="87">
        <v>1.990346</v>
      </c>
      <c r="Z371" s="87">
        <v>0.233333</v>
      </c>
      <c r="AA371" s="87">
        <v>2.679797</v>
      </c>
      <c r="AB371" s="87">
        <v>1.900014</v>
      </c>
      <c r="AC371" s="87">
        <v>1.990346</v>
      </c>
      <c r="AD371" s="87">
        <v>3.209933</v>
      </c>
      <c r="AE371" s="87">
        <v>3.886786</v>
      </c>
      <c r="AF371" s="87">
        <v>5.949701</v>
      </c>
      <c r="AG371" s="87">
        <v>5.231345</v>
      </c>
      <c r="AH371" s="87">
        <v>0.001671</v>
      </c>
      <c r="AI371" s="87">
        <v>3.437315</v>
      </c>
      <c r="AJ371" s="87">
        <v>3.087702</v>
      </c>
      <c r="AK371" s="87">
        <v>4.05403</v>
      </c>
      <c r="AL371" s="88" t="s">
        <v>1396</v>
      </c>
    </row>
    <row r="372">
      <c r="A372" s="84" t="s">
        <v>1854</v>
      </c>
      <c r="B372" s="84" t="s">
        <v>1889</v>
      </c>
      <c r="C372" s="84" t="s">
        <v>1848</v>
      </c>
      <c r="D372" s="84" t="s">
        <v>1886</v>
      </c>
      <c r="E372" s="84" t="s">
        <v>1400</v>
      </c>
      <c r="F372" s="87">
        <v>6.0</v>
      </c>
      <c r="G372" s="87">
        <v>1.0</v>
      </c>
      <c r="H372" s="87">
        <v>2335.0</v>
      </c>
      <c r="I372" s="87">
        <v>38.0</v>
      </c>
      <c r="J372" s="87">
        <v>8.157837</v>
      </c>
      <c r="K372" s="87">
        <v>7.55601</v>
      </c>
      <c r="L372" s="87">
        <v>7.321637</v>
      </c>
      <c r="M372" s="87">
        <v>6.256881</v>
      </c>
      <c r="N372" s="87">
        <v>0.828067</v>
      </c>
      <c r="O372" s="87">
        <v>0.0</v>
      </c>
      <c r="P372" s="87">
        <v>0.090909</v>
      </c>
      <c r="Q372" s="87">
        <v>0.090909</v>
      </c>
      <c r="R372" s="87">
        <v>0.974886</v>
      </c>
      <c r="S372" s="87">
        <v>1.234705</v>
      </c>
      <c r="T372" s="87">
        <v>0.090909</v>
      </c>
      <c r="U372" s="87">
        <v>0.233333</v>
      </c>
      <c r="V372" s="87">
        <v>0.233333</v>
      </c>
      <c r="W372" s="87">
        <v>0.974886</v>
      </c>
      <c r="X372" s="87">
        <v>1.234705</v>
      </c>
      <c r="Y372" s="87">
        <v>1.259335</v>
      </c>
      <c r="Z372" s="87">
        <v>0.233333</v>
      </c>
      <c r="AA372" s="87">
        <v>2.679797</v>
      </c>
      <c r="AB372" s="87">
        <v>1.900014</v>
      </c>
      <c r="AC372" s="87">
        <v>1.990346</v>
      </c>
      <c r="AD372" s="87">
        <v>2.141117</v>
      </c>
      <c r="AE372" s="87">
        <v>2.452696</v>
      </c>
      <c r="AF372" s="87">
        <v>3.429403</v>
      </c>
      <c r="AG372" s="87">
        <v>1.881183</v>
      </c>
      <c r="AH372" s="87">
        <v>0.001671</v>
      </c>
      <c r="AI372" s="87">
        <v>3.437315</v>
      </c>
      <c r="AJ372" s="87">
        <v>3.087702</v>
      </c>
      <c r="AK372" s="87">
        <v>4.05403</v>
      </c>
      <c r="AL372" s="88" t="s">
        <v>1396</v>
      </c>
    </row>
    <row r="373">
      <c r="A373" s="84" t="s">
        <v>1856</v>
      </c>
      <c r="B373" s="84" t="s">
        <v>1890</v>
      </c>
      <c r="C373" s="84" t="s">
        <v>1848</v>
      </c>
      <c r="D373" s="84" t="s">
        <v>1886</v>
      </c>
      <c r="E373" s="86">
        <v>46300.0</v>
      </c>
      <c r="F373" s="87">
        <v>3.0</v>
      </c>
      <c r="G373" s="87">
        <v>0.0</v>
      </c>
      <c r="H373" s="87">
        <v>1390.0</v>
      </c>
      <c r="I373" s="87">
        <v>0.0</v>
      </c>
      <c r="J373" s="87">
        <v>7.956996</v>
      </c>
      <c r="K373" s="87">
        <v>8.242025</v>
      </c>
      <c r="L373" s="87">
        <v>9.712462</v>
      </c>
      <c r="M373" s="87">
        <v>3.249674</v>
      </c>
      <c r="N373" s="87">
        <v>0.394281</v>
      </c>
      <c r="O373" s="87">
        <v>2.065233</v>
      </c>
      <c r="P373" s="87">
        <v>2.065233</v>
      </c>
      <c r="Q373" s="87">
        <v>2.065233</v>
      </c>
      <c r="R373" s="87">
        <v>2.927118</v>
      </c>
      <c r="S373" s="87">
        <v>3.249674</v>
      </c>
      <c r="T373" s="87">
        <v>2.065233</v>
      </c>
      <c r="U373" s="87">
        <v>2.065233</v>
      </c>
      <c r="V373" s="87">
        <v>2.065233</v>
      </c>
      <c r="W373" s="87">
        <v>2.927118</v>
      </c>
      <c r="X373" s="87">
        <v>3.249674</v>
      </c>
      <c r="Y373" s="87">
        <v>2.747342</v>
      </c>
      <c r="Z373" s="87">
        <v>0.233333</v>
      </c>
      <c r="AA373" s="87">
        <v>2.679797</v>
      </c>
      <c r="AB373" s="87">
        <v>1.900014</v>
      </c>
      <c r="AC373" s="87">
        <v>1.990346</v>
      </c>
      <c r="AD373" s="87">
        <v>2.927118</v>
      </c>
      <c r="AE373" s="87">
        <v>5.149803</v>
      </c>
      <c r="AF373" s="87">
        <v>7.553387</v>
      </c>
      <c r="AG373" s="87">
        <v>5.360975</v>
      </c>
      <c r="AH373" s="87">
        <v>0.001671</v>
      </c>
      <c r="AI373" s="87">
        <v>3.437315</v>
      </c>
      <c r="AJ373" s="87">
        <v>3.087702</v>
      </c>
      <c r="AK373" s="87">
        <v>4.05403</v>
      </c>
      <c r="AL373" s="88" t="s">
        <v>1396</v>
      </c>
    </row>
    <row r="374">
      <c r="A374" s="84" t="s">
        <v>1858</v>
      </c>
      <c r="B374" s="84" t="s">
        <v>1891</v>
      </c>
      <c r="C374" s="84" t="s">
        <v>1848</v>
      </c>
      <c r="D374" s="84" t="s">
        <v>1886</v>
      </c>
      <c r="E374" s="84" t="s">
        <v>1403</v>
      </c>
      <c r="F374" s="87">
        <v>13.0</v>
      </c>
      <c r="G374" s="87">
        <v>3.0</v>
      </c>
      <c r="H374" s="87">
        <v>116.0</v>
      </c>
      <c r="I374" s="87">
        <v>116.0</v>
      </c>
      <c r="J374" s="87">
        <v>0.0</v>
      </c>
      <c r="K374" s="87">
        <v>0.0</v>
      </c>
      <c r="L374" s="87">
        <v>0.0</v>
      </c>
      <c r="M374" s="87">
        <v>0.0</v>
      </c>
      <c r="N374" s="87">
        <v>0.0</v>
      </c>
      <c r="O374" s="87">
        <v>0.0</v>
      </c>
      <c r="P374" s="87">
        <v>0.0</v>
      </c>
      <c r="Q374" s="87">
        <v>0.0</v>
      </c>
      <c r="R374" s="87">
        <v>0.0</v>
      </c>
      <c r="S374" s="87">
        <v>0.0</v>
      </c>
      <c r="T374" s="87">
        <v>0.0</v>
      </c>
      <c r="U374" s="87">
        <v>0.0</v>
      </c>
      <c r="V374" s="87">
        <v>0.0</v>
      </c>
      <c r="W374" s="87">
        <v>0.0</v>
      </c>
      <c r="X374" s="87">
        <v>0.0</v>
      </c>
      <c r="Y374" s="87">
        <v>0.0</v>
      </c>
      <c r="Z374" s="87">
        <v>0.233333</v>
      </c>
      <c r="AA374" s="87">
        <v>2.679797</v>
      </c>
      <c r="AB374" s="87">
        <v>1.900014</v>
      </c>
      <c r="AC374" s="87">
        <v>1.990346</v>
      </c>
      <c r="AD374" s="87">
        <v>0.0</v>
      </c>
      <c r="AE374" s="87">
        <v>0.0</v>
      </c>
      <c r="AF374" s="87">
        <v>0.0</v>
      </c>
      <c r="AG374" s="87">
        <v>0.0</v>
      </c>
      <c r="AH374" s="87">
        <v>0.001671</v>
      </c>
      <c r="AI374" s="87">
        <v>3.437315</v>
      </c>
      <c r="AJ374" s="87">
        <v>3.087702</v>
      </c>
      <c r="AK374" s="87">
        <v>4.05403</v>
      </c>
      <c r="AL374" s="88" t="s">
        <v>1396</v>
      </c>
    </row>
    <row r="375">
      <c r="A375" s="84" t="s">
        <v>1854</v>
      </c>
      <c r="B375" s="84" t="s">
        <v>1892</v>
      </c>
      <c r="C375" s="84" t="s">
        <v>1848</v>
      </c>
      <c r="D375" s="84" t="s">
        <v>1893</v>
      </c>
      <c r="E375" s="84" t="s">
        <v>1400</v>
      </c>
      <c r="F375" s="87">
        <v>1.0</v>
      </c>
      <c r="G375" s="87">
        <v>0.0</v>
      </c>
      <c r="H375" s="87">
        <v>221.0</v>
      </c>
      <c r="I375" s="87">
        <v>0.0</v>
      </c>
      <c r="J375" s="87">
        <v>0.428571</v>
      </c>
      <c r="K375" s="87">
        <v>1.881183</v>
      </c>
      <c r="L375" s="87">
        <v>1.244556</v>
      </c>
      <c r="M375" s="87">
        <v>1.881183</v>
      </c>
      <c r="N375" s="87">
        <v>1.0</v>
      </c>
      <c r="O375" s="87">
        <v>1.881183</v>
      </c>
      <c r="P375" s="87">
        <v>1.881183</v>
      </c>
      <c r="Q375" s="87">
        <v>1.881183</v>
      </c>
      <c r="R375" s="87">
        <v>1.881183</v>
      </c>
      <c r="S375" s="87">
        <v>1.881183</v>
      </c>
      <c r="T375" s="87">
        <v>1.881183</v>
      </c>
      <c r="U375" s="87">
        <v>1.881183</v>
      </c>
      <c r="V375" s="87">
        <v>1.881183</v>
      </c>
      <c r="W375" s="87">
        <v>1.881183</v>
      </c>
      <c r="X375" s="87">
        <v>1.881183</v>
      </c>
      <c r="Y375" s="87">
        <v>1.881183</v>
      </c>
      <c r="Z375" s="87">
        <v>0.0</v>
      </c>
      <c r="AA375" s="87">
        <v>1.881183</v>
      </c>
      <c r="AB375" s="87">
        <v>0.20902</v>
      </c>
      <c r="AC375" s="87">
        <v>1.881183</v>
      </c>
      <c r="AD375" s="87">
        <v>2.141117</v>
      </c>
      <c r="AE375" s="87">
        <v>2.452696</v>
      </c>
      <c r="AF375" s="87">
        <v>3.429403</v>
      </c>
      <c r="AG375" s="87">
        <v>1.881183</v>
      </c>
      <c r="AH375" s="87">
        <v>0.001671</v>
      </c>
      <c r="AI375" s="87">
        <v>3.437315</v>
      </c>
      <c r="AJ375" s="87">
        <v>3.087702</v>
      </c>
      <c r="AK375" s="87">
        <v>4.05403</v>
      </c>
      <c r="AL375" s="88" t="s">
        <v>1396</v>
      </c>
    </row>
    <row r="376">
      <c r="A376" s="84" t="s">
        <v>1858</v>
      </c>
      <c r="B376" s="84" t="s">
        <v>1894</v>
      </c>
      <c r="C376" s="84" t="s">
        <v>1848</v>
      </c>
      <c r="D376" s="84" t="s">
        <v>1893</v>
      </c>
      <c r="E376" s="84" t="s">
        <v>1403</v>
      </c>
      <c r="F376" s="87">
        <v>8.0</v>
      </c>
      <c r="G376" s="87">
        <v>1.0</v>
      </c>
      <c r="H376" s="87">
        <v>32.0</v>
      </c>
      <c r="I376" s="87">
        <v>32.0</v>
      </c>
      <c r="J376" s="87">
        <v>0.0</v>
      </c>
      <c r="K376" s="87">
        <v>0.0</v>
      </c>
      <c r="L376" s="87">
        <v>0.0</v>
      </c>
      <c r="M376" s="87">
        <v>0.0</v>
      </c>
      <c r="N376" s="87">
        <v>0.0</v>
      </c>
      <c r="O376" s="87">
        <v>0.0</v>
      </c>
      <c r="P376" s="87">
        <v>0.0</v>
      </c>
      <c r="Q376" s="87">
        <v>0.0</v>
      </c>
      <c r="R376" s="87">
        <v>0.0</v>
      </c>
      <c r="S376" s="87">
        <v>0.0</v>
      </c>
      <c r="T376" s="87">
        <v>0.0</v>
      </c>
      <c r="U376" s="87">
        <v>0.0</v>
      </c>
      <c r="V376" s="87">
        <v>0.0</v>
      </c>
      <c r="W376" s="87">
        <v>0.0</v>
      </c>
      <c r="X376" s="87">
        <v>0.0</v>
      </c>
      <c r="Y376" s="87">
        <v>0.0</v>
      </c>
      <c r="Z376" s="87">
        <v>0.0</v>
      </c>
      <c r="AA376" s="87">
        <v>1.881183</v>
      </c>
      <c r="AB376" s="87">
        <v>0.20902</v>
      </c>
      <c r="AC376" s="87">
        <v>1.881183</v>
      </c>
      <c r="AD376" s="87">
        <v>0.0</v>
      </c>
      <c r="AE376" s="87">
        <v>0.0</v>
      </c>
      <c r="AF376" s="87">
        <v>0.0</v>
      </c>
      <c r="AG376" s="87">
        <v>0.0</v>
      </c>
      <c r="AH376" s="87">
        <v>0.001671</v>
      </c>
      <c r="AI376" s="87">
        <v>3.437315</v>
      </c>
      <c r="AJ376" s="87">
        <v>3.087702</v>
      </c>
      <c r="AK376" s="87">
        <v>4.05403</v>
      </c>
      <c r="AL376" s="88" t="s">
        <v>1396</v>
      </c>
    </row>
    <row r="377">
      <c r="A377" s="84" t="s">
        <v>1860</v>
      </c>
      <c r="B377" s="84" t="s">
        <v>1895</v>
      </c>
      <c r="C377" s="84" t="s">
        <v>1848</v>
      </c>
      <c r="D377" s="84" t="s">
        <v>1896</v>
      </c>
      <c r="E377" s="84" t="s">
        <v>1426</v>
      </c>
      <c r="F377" s="87">
        <v>3.0</v>
      </c>
      <c r="G377" s="87">
        <v>0.0</v>
      </c>
      <c r="H377" s="87">
        <v>8757.0</v>
      </c>
      <c r="I377" s="87">
        <v>0.0</v>
      </c>
      <c r="J377" s="87">
        <v>81.93885</v>
      </c>
      <c r="K377" s="87">
        <v>95.67273</v>
      </c>
      <c r="L377" s="87">
        <v>97.70306</v>
      </c>
      <c r="M377" s="87">
        <v>95.3394</v>
      </c>
      <c r="N377" s="87">
        <v>0.996516</v>
      </c>
      <c r="O377" s="87">
        <v>0.0</v>
      </c>
      <c r="P377" s="87">
        <v>0.0</v>
      </c>
      <c r="Q377" s="87">
        <v>0.0</v>
      </c>
      <c r="R377" s="87">
        <v>0.333333</v>
      </c>
      <c r="S377" s="87">
        <v>95.3394</v>
      </c>
      <c r="T377" s="87">
        <v>0.333333</v>
      </c>
      <c r="U377" s="87">
        <v>0.333333</v>
      </c>
      <c r="V377" s="87">
        <v>0.333333</v>
      </c>
      <c r="W377" s="87">
        <v>95.3394</v>
      </c>
      <c r="X377" s="87">
        <v>95.3394</v>
      </c>
      <c r="Y377" s="87">
        <v>31.89091</v>
      </c>
      <c r="Z377" s="87">
        <v>0.0</v>
      </c>
      <c r="AA377" s="87">
        <v>4.390977</v>
      </c>
      <c r="AB377" s="87">
        <v>4.183334</v>
      </c>
      <c r="AC377" s="87">
        <v>5.632813</v>
      </c>
      <c r="AD377" s="87">
        <v>0.0</v>
      </c>
      <c r="AE377" s="87">
        <v>10.52567</v>
      </c>
      <c r="AF377" s="87">
        <v>11.79982</v>
      </c>
      <c r="AG377" s="87">
        <v>0.0</v>
      </c>
      <c r="AH377" s="87">
        <v>0.001671</v>
      </c>
      <c r="AI377" s="87">
        <v>3.437315</v>
      </c>
      <c r="AJ377" s="87">
        <v>3.087702</v>
      </c>
      <c r="AK377" s="87">
        <v>4.05403</v>
      </c>
      <c r="AL377" s="88" t="s">
        <v>1396</v>
      </c>
    </row>
    <row r="378">
      <c r="A378" s="84" t="s">
        <v>1846</v>
      </c>
      <c r="B378" s="84" t="s">
        <v>1897</v>
      </c>
      <c r="C378" s="84" t="s">
        <v>1848</v>
      </c>
      <c r="D378" s="84" t="s">
        <v>1896</v>
      </c>
      <c r="E378" s="86">
        <v>46310.0</v>
      </c>
      <c r="F378" s="87">
        <v>25.0</v>
      </c>
      <c r="G378" s="87">
        <v>0.0</v>
      </c>
      <c r="H378" s="87">
        <v>10947.0</v>
      </c>
      <c r="I378" s="87">
        <v>0.0</v>
      </c>
      <c r="J378" s="87">
        <v>96.59882</v>
      </c>
      <c r="K378" s="87">
        <v>101.3507</v>
      </c>
      <c r="L378" s="87">
        <v>107.0961</v>
      </c>
      <c r="M378" s="87">
        <v>74.68667</v>
      </c>
      <c r="N378" s="87">
        <v>0.736913</v>
      </c>
      <c r="O378" s="87">
        <v>0.0</v>
      </c>
      <c r="P378" s="87">
        <v>0.0</v>
      </c>
      <c r="Q378" s="87">
        <v>0.0</v>
      </c>
      <c r="R378" s="87">
        <v>0.148352</v>
      </c>
      <c r="S378" s="87">
        <v>4.447421</v>
      </c>
      <c r="T378" s="87">
        <v>0.148352</v>
      </c>
      <c r="U378" s="87">
        <v>2.094098</v>
      </c>
      <c r="V378" s="87">
        <v>3.323334</v>
      </c>
      <c r="W378" s="87">
        <v>5.280214</v>
      </c>
      <c r="X378" s="87">
        <v>6.718366</v>
      </c>
      <c r="Y378" s="87">
        <v>4.05403</v>
      </c>
      <c r="Z378" s="87">
        <v>0.0</v>
      </c>
      <c r="AA378" s="87">
        <v>4.390977</v>
      </c>
      <c r="AB378" s="87">
        <v>4.183334</v>
      </c>
      <c r="AC378" s="87">
        <v>5.632813</v>
      </c>
      <c r="AD378" s="87">
        <v>3.10946</v>
      </c>
      <c r="AE378" s="87">
        <v>5.280214</v>
      </c>
      <c r="AF378" s="87">
        <v>5.444901</v>
      </c>
      <c r="AG378" s="87">
        <v>5.529688</v>
      </c>
      <c r="AH378" s="87">
        <v>0.001671</v>
      </c>
      <c r="AI378" s="87">
        <v>3.437315</v>
      </c>
      <c r="AJ378" s="87">
        <v>3.087702</v>
      </c>
      <c r="AK378" s="87">
        <v>4.05403</v>
      </c>
      <c r="AL378" s="88" t="s">
        <v>1396</v>
      </c>
    </row>
    <row r="379">
      <c r="A379" s="84" t="s">
        <v>1850</v>
      </c>
      <c r="B379" s="84" t="s">
        <v>1898</v>
      </c>
      <c r="C379" s="84" t="s">
        <v>1848</v>
      </c>
      <c r="D379" s="84" t="s">
        <v>1896</v>
      </c>
      <c r="E379" s="84" t="s">
        <v>1413</v>
      </c>
      <c r="F379" s="87">
        <v>23.0</v>
      </c>
      <c r="G379" s="87">
        <v>0.0</v>
      </c>
      <c r="H379" s="87">
        <v>15792.0</v>
      </c>
      <c r="I379" s="87">
        <v>0.0</v>
      </c>
      <c r="J379" s="87">
        <v>150.4831</v>
      </c>
      <c r="K379" s="87">
        <v>150.8628</v>
      </c>
      <c r="L379" s="87">
        <v>154.6338</v>
      </c>
      <c r="M379" s="87">
        <v>109.6033</v>
      </c>
      <c r="N379" s="87">
        <v>0.72651</v>
      </c>
      <c r="O379" s="87">
        <v>0.0</v>
      </c>
      <c r="P379" s="87">
        <v>0.0</v>
      </c>
      <c r="Q379" s="87">
        <v>0.969635</v>
      </c>
      <c r="R379" s="87">
        <v>3.282206</v>
      </c>
      <c r="S379" s="87">
        <v>5.201222</v>
      </c>
      <c r="T379" s="87">
        <v>0.969635</v>
      </c>
      <c r="U379" s="87">
        <v>1.730742</v>
      </c>
      <c r="V379" s="87">
        <v>3.209933</v>
      </c>
      <c r="W379" s="87">
        <v>4.436942</v>
      </c>
      <c r="X379" s="87">
        <v>5.655684</v>
      </c>
      <c r="Y379" s="87">
        <v>6.559252</v>
      </c>
      <c r="Z379" s="87">
        <v>0.0</v>
      </c>
      <c r="AA379" s="87">
        <v>4.390977</v>
      </c>
      <c r="AB379" s="87">
        <v>4.183334</v>
      </c>
      <c r="AC379" s="87">
        <v>5.632813</v>
      </c>
      <c r="AD379" s="87">
        <v>3.209933</v>
      </c>
      <c r="AE379" s="87">
        <v>3.886786</v>
      </c>
      <c r="AF379" s="87">
        <v>5.949701</v>
      </c>
      <c r="AG379" s="87">
        <v>5.231345</v>
      </c>
      <c r="AH379" s="87">
        <v>0.001671</v>
      </c>
      <c r="AI379" s="87">
        <v>3.437315</v>
      </c>
      <c r="AJ379" s="87">
        <v>3.087702</v>
      </c>
      <c r="AK379" s="87">
        <v>4.05403</v>
      </c>
      <c r="AL379" s="88" t="s">
        <v>1396</v>
      </c>
    </row>
    <row r="380">
      <c r="A380" s="84" t="s">
        <v>1852</v>
      </c>
      <c r="B380" s="84" t="s">
        <v>1899</v>
      </c>
      <c r="C380" s="84" t="s">
        <v>1848</v>
      </c>
      <c r="D380" s="84" t="s">
        <v>1896</v>
      </c>
      <c r="E380" s="84" t="s">
        <v>1398</v>
      </c>
      <c r="F380" s="87">
        <v>16.0</v>
      </c>
      <c r="G380" s="87">
        <v>0.0</v>
      </c>
      <c r="H380" s="87">
        <v>9254.0</v>
      </c>
      <c r="I380" s="87">
        <v>0.0</v>
      </c>
      <c r="J380" s="87">
        <v>92.92181</v>
      </c>
      <c r="K380" s="87">
        <v>90.125</v>
      </c>
      <c r="L380" s="87">
        <v>88.3577</v>
      </c>
      <c r="M380" s="87">
        <v>56.49514</v>
      </c>
      <c r="N380" s="87">
        <v>0.626853</v>
      </c>
      <c r="O380" s="87">
        <v>0.206667</v>
      </c>
      <c r="P380" s="87">
        <v>1.264454</v>
      </c>
      <c r="Q380" s="87">
        <v>1.977671</v>
      </c>
      <c r="R380" s="87">
        <v>2.985841</v>
      </c>
      <c r="S380" s="87">
        <v>7.55724</v>
      </c>
      <c r="T380" s="87">
        <v>0.969196</v>
      </c>
      <c r="U380" s="87">
        <v>1.977671</v>
      </c>
      <c r="V380" s="87">
        <v>2.070872</v>
      </c>
      <c r="W380" s="87">
        <v>2.985841</v>
      </c>
      <c r="X380" s="87">
        <v>7.55724</v>
      </c>
      <c r="Y380" s="87">
        <v>5.632813</v>
      </c>
      <c r="Z380" s="87">
        <v>0.0</v>
      </c>
      <c r="AA380" s="87">
        <v>4.390977</v>
      </c>
      <c r="AB380" s="87">
        <v>4.183334</v>
      </c>
      <c r="AC380" s="87">
        <v>5.632813</v>
      </c>
      <c r="AD380" s="87">
        <v>2.255101</v>
      </c>
      <c r="AE380" s="87">
        <v>2.632497</v>
      </c>
      <c r="AF380" s="87">
        <v>4.943193</v>
      </c>
      <c r="AG380" s="87">
        <v>5.632813</v>
      </c>
      <c r="AH380" s="87">
        <v>0.001671</v>
      </c>
      <c r="AI380" s="87">
        <v>3.437315</v>
      </c>
      <c r="AJ380" s="87">
        <v>3.087702</v>
      </c>
      <c r="AK380" s="87">
        <v>4.05403</v>
      </c>
      <c r="AL380" s="88" t="s">
        <v>1396</v>
      </c>
    </row>
    <row r="381">
      <c r="A381" s="84" t="s">
        <v>1854</v>
      </c>
      <c r="B381" s="84" t="s">
        <v>1900</v>
      </c>
      <c r="C381" s="84" t="s">
        <v>1848</v>
      </c>
      <c r="D381" s="84" t="s">
        <v>1896</v>
      </c>
      <c r="E381" s="84" t="s">
        <v>1400</v>
      </c>
      <c r="F381" s="87">
        <v>27.0</v>
      </c>
      <c r="G381" s="87">
        <v>0.0</v>
      </c>
      <c r="H381" s="87">
        <v>14732.0</v>
      </c>
      <c r="I381" s="87">
        <v>0.0</v>
      </c>
      <c r="J381" s="87">
        <v>117.9015</v>
      </c>
      <c r="K381" s="87">
        <v>122.403</v>
      </c>
      <c r="L381" s="87">
        <v>136.7038</v>
      </c>
      <c r="M381" s="87">
        <v>67.70696</v>
      </c>
      <c r="N381" s="87">
        <v>0.553148</v>
      </c>
      <c r="O381" s="87">
        <v>0.202381</v>
      </c>
      <c r="P381" s="87">
        <v>0.569278</v>
      </c>
      <c r="Q381" s="87">
        <v>1.595773</v>
      </c>
      <c r="R381" s="87">
        <v>3.774632</v>
      </c>
      <c r="S381" s="87">
        <v>5.446187</v>
      </c>
      <c r="T381" s="87">
        <v>0.362444</v>
      </c>
      <c r="U381" s="87">
        <v>1.068483</v>
      </c>
      <c r="V381" s="87">
        <v>1.595773</v>
      </c>
      <c r="W381" s="87">
        <v>4.223295</v>
      </c>
      <c r="X381" s="87">
        <v>5.544019</v>
      </c>
      <c r="Y381" s="87">
        <v>4.533443</v>
      </c>
      <c r="Z381" s="87">
        <v>0.0</v>
      </c>
      <c r="AA381" s="87">
        <v>4.390977</v>
      </c>
      <c r="AB381" s="87">
        <v>4.183334</v>
      </c>
      <c r="AC381" s="87">
        <v>5.632813</v>
      </c>
      <c r="AD381" s="87">
        <v>2.141117</v>
      </c>
      <c r="AE381" s="87">
        <v>2.452696</v>
      </c>
      <c r="AF381" s="87">
        <v>3.429403</v>
      </c>
      <c r="AG381" s="87">
        <v>1.881183</v>
      </c>
      <c r="AH381" s="87">
        <v>0.001671</v>
      </c>
      <c r="AI381" s="87">
        <v>3.437315</v>
      </c>
      <c r="AJ381" s="87">
        <v>3.087702</v>
      </c>
      <c r="AK381" s="87">
        <v>4.05403</v>
      </c>
      <c r="AL381" s="88" t="s">
        <v>1396</v>
      </c>
    </row>
    <row r="382">
      <c r="A382" s="84" t="s">
        <v>1856</v>
      </c>
      <c r="B382" s="84" t="s">
        <v>1901</v>
      </c>
      <c r="C382" s="84" t="s">
        <v>1848</v>
      </c>
      <c r="D382" s="84" t="s">
        <v>1896</v>
      </c>
      <c r="E382" s="89">
        <v>46300.0</v>
      </c>
      <c r="F382" s="87">
        <v>9.0</v>
      </c>
      <c r="G382" s="87">
        <v>0.0</v>
      </c>
      <c r="H382" s="87">
        <v>12825.0</v>
      </c>
      <c r="I382" s="87">
        <v>0.0</v>
      </c>
      <c r="J382" s="87">
        <v>142.1374</v>
      </c>
      <c r="K382" s="87">
        <v>154.9359</v>
      </c>
      <c r="L382" s="87">
        <v>159.6393</v>
      </c>
      <c r="M382" s="87">
        <v>86.95027</v>
      </c>
      <c r="N382" s="87">
        <v>0.561201</v>
      </c>
      <c r="O382" s="87">
        <v>0.0</v>
      </c>
      <c r="P382" s="87">
        <v>0.0</v>
      </c>
      <c r="Q382" s="87">
        <v>0.0</v>
      </c>
      <c r="R382" s="87">
        <v>10.51544</v>
      </c>
      <c r="S382" s="87">
        <v>29.89383</v>
      </c>
      <c r="T382" s="87">
        <v>0.074074</v>
      </c>
      <c r="U382" s="87">
        <v>10.51544</v>
      </c>
      <c r="V382" s="87">
        <v>10.51544</v>
      </c>
      <c r="W382" s="87">
        <v>29.89383</v>
      </c>
      <c r="X382" s="87">
        <v>39.47845</v>
      </c>
      <c r="Y382" s="87">
        <v>17.2151</v>
      </c>
      <c r="Z382" s="87">
        <v>0.0</v>
      </c>
      <c r="AA382" s="87">
        <v>4.390977</v>
      </c>
      <c r="AB382" s="87">
        <v>4.183334</v>
      </c>
      <c r="AC382" s="87">
        <v>5.632813</v>
      </c>
      <c r="AD382" s="87">
        <v>2.927118</v>
      </c>
      <c r="AE382" s="87">
        <v>5.149803</v>
      </c>
      <c r="AF382" s="87">
        <v>7.553387</v>
      </c>
      <c r="AG382" s="87">
        <v>5.360975</v>
      </c>
      <c r="AH382" s="87">
        <v>0.001671</v>
      </c>
      <c r="AI382" s="87">
        <v>3.437315</v>
      </c>
      <c r="AJ382" s="87">
        <v>3.087702</v>
      </c>
      <c r="AK382" s="87">
        <v>4.05403</v>
      </c>
      <c r="AL382" s="88" t="s">
        <v>1396</v>
      </c>
    </row>
    <row r="383">
      <c r="A383" s="84" t="s">
        <v>1858</v>
      </c>
      <c r="B383" s="84" t="s">
        <v>1902</v>
      </c>
      <c r="C383" s="84" t="s">
        <v>1848</v>
      </c>
      <c r="D383" s="84" t="s">
        <v>1896</v>
      </c>
      <c r="E383" s="84" t="s">
        <v>1403</v>
      </c>
      <c r="F383" s="87">
        <v>68.0</v>
      </c>
      <c r="G383" s="87">
        <v>11.0</v>
      </c>
      <c r="H383" s="87">
        <v>433.0</v>
      </c>
      <c r="I383" s="87">
        <v>433.0</v>
      </c>
      <c r="J383" s="87">
        <v>0.0</v>
      </c>
      <c r="K383" s="87">
        <v>0.0</v>
      </c>
      <c r="L383" s="87">
        <v>0.0</v>
      </c>
      <c r="M383" s="87">
        <v>0.0</v>
      </c>
      <c r="N383" s="87">
        <v>0.0</v>
      </c>
      <c r="O383" s="87">
        <v>0.0</v>
      </c>
      <c r="P383" s="87">
        <v>0.0</v>
      </c>
      <c r="Q383" s="87">
        <v>0.0</v>
      </c>
      <c r="R383" s="87">
        <v>0.0</v>
      </c>
      <c r="S383" s="87">
        <v>0.0</v>
      </c>
      <c r="T383" s="87">
        <v>0.0</v>
      </c>
      <c r="U383" s="87">
        <v>0.0</v>
      </c>
      <c r="V383" s="87">
        <v>0.0</v>
      </c>
      <c r="W383" s="87">
        <v>0.0</v>
      </c>
      <c r="X383" s="87">
        <v>0.0</v>
      </c>
      <c r="Y383" s="87">
        <v>0.0</v>
      </c>
      <c r="Z383" s="87">
        <v>0.0</v>
      </c>
      <c r="AA383" s="87">
        <v>4.390977</v>
      </c>
      <c r="AB383" s="87">
        <v>4.183334</v>
      </c>
      <c r="AC383" s="87">
        <v>5.632813</v>
      </c>
      <c r="AD383" s="87">
        <v>0.0</v>
      </c>
      <c r="AE383" s="87">
        <v>0.0</v>
      </c>
      <c r="AF383" s="87">
        <v>0.0</v>
      </c>
      <c r="AG383" s="87">
        <v>0.0</v>
      </c>
      <c r="AH383" s="87">
        <v>0.001671</v>
      </c>
      <c r="AI383" s="87">
        <v>3.437315</v>
      </c>
      <c r="AJ383" s="87">
        <v>3.087702</v>
      </c>
      <c r="AK383" s="87">
        <v>4.05403</v>
      </c>
      <c r="AL383" s="88" t="s">
        <v>1396</v>
      </c>
    </row>
    <row r="384">
      <c r="A384" s="84" t="s">
        <v>1903</v>
      </c>
      <c r="B384" s="84" t="s">
        <v>1904</v>
      </c>
      <c r="C384" s="84" t="s">
        <v>258</v>
      </c>
      <c r="D384" s="84" t="s">
        <v>899</v>
      </c>
      <c r="E384" s="84" t="s">
        <v>1426</v>
      </c>
      <c r="F384" s="87">
        <v>4.0</v>
      </c>
      <c r="G384" s="87">
        <v>0.0</v>
      </c>
      <c r="H384" s="87">
        <v>0.0</v>
      </c>
      <c r="I384" s="87">
        <v>0.0</v>
      </c>
      <c r="J384" s="87">
        <v>0.0</v>
      </c>
      <c r="K384" s="87">
        <v>0.15</v>
      </c>
      <c r="L384" s="87">
        <v>0.06</v>
      </c>
      <c r="M384" s="87">
        <v>0.15</v>
      </c>
      <c r="N384" s="87">
        <v>1.0</v>
      </c>
      <c r="O384" s="87">
        <v>0.0</v>
      </c>
      <c r="P384" s="87">
        <v>0.0</v>
      </c>
      <c r="Q384" s="87">
        <v>0.0</v>
      </c>
      <c r="R384" s="87">
        <v>0.0</v>
      </c>
      <c r="S384" s="87">
        <v>0.0</v>
      </c>
      <c r="T384" s="87">
        <v>0.15</v>
      </c>
      <c r="U384" s="87">
        <v>0.15</v>
      </c>
      <c r="V384" s="87">
        <v>0.15</v>
      </c>
      <c r="W384" s="87">
        <v>0.15</v>
      </c>
      <c r="X384" s="87">
        <v>0.15</v>
      </c>
      <c r="Y384" s="87">
        <v>0.0375</v>
      </c>
      <c r="Z384" s="87">
        <v>0.0</v>
      </c>
      <c r="AA384" s="87">
        <v>0.57038</v>
      </c>
      <c r="AB384" s="87">
        <v>1.049499</v>
      </c>
      <c r="AC384" s="87">
        <v>2.535065</v>
      </c>
      <c r="AD384" s="87">
        <v>0.0</v>
      </c>
      <c r="AE384" s="87">
        <v>2.378679</v>
      </c>
      <c r="AF384" s="87">
        <v>2.920235</v>
      </c>
      <c r="AG384" s="87">
        <v>0.0375</v>
      </c>
      <c r="AH384" s="87">
        <v>0.0</v>
      </c>
      <c r="AI384" s="87">
        <v>2.273165</v>
      </c>
      <c r="AJ384" s="87">
        <v>1.981524</v>
      </c>
      <c r="AK384" s="87">
        <v>2.172233</v>
      </c>
      <c r="AL384" s="88" t="s">
        <v>1396</v>
      </c>
    </row>
    <row r="385">
      <c r="A385" s="84" t="s">
        <v>1905</v>
      </c>
      <c r="B385" s="84" t="s">
        <v>1906</v>
      </c>
      <c r="C385" s="84" t="s">
        <v>258</v>
      </c>
      <c r="D385" s="84" t="s">
        <v>899</v>
      </c>
      <c r="E385" s="84" t="s">
        <v>1413</v>
      </c>
      <c r="F385" s="87">
        <v>2.0</v>
      </c>
      <c r="G385" s="87">
        <v>0.0</v>
      </c>
      <c r="H385" s="87">
        <v>1195.0</v>
      </c>
      <c r="I385" s="87">
        <v>0.0</v>
      </c>
      <c r="J385" s="87">
        <v>18.04162</v>
      </c>
      <c r="K385" s="87">
        <v>17.63252</v>
      </c>
      <c r="L385" s="87">
        <v>17.77231</v>
      </c>
      <c r="M385" s="87">
        <v>8.895524</v>
      </c>
      <c r="N385" s="87">
        <v>0.504495</v>
      </c>
      <c r="O385" s="87">
        <v>8.736996</v>
      </c>
      <c r="P385" s="87">
        <v>8.736996</v>
      </c>
      <c r="Q385" s="87">
        <v>8.736996</v>
      </c>
      <c r="R385" s="87">
        <v>8.895524</v>
      </c>
      <c r="S385" s="87">
        <v>8.895524</v>
      </c>
      <c r="T385" s="87">
        <v>8.736996</v>
      </c>
      <c r="U385" s="87">
        <v>8.736996</v>
      </c>
      <c r="V385" s="87">
        <v>8.736996</v>
      </c>
      <c r="W385" s="87">
        <v>8.895524</v>
      </c>
      <c r="X385" s="87">
        <v>8.895524</v>
      </c>
      <c r="Y385" s="87">
        <v>8.81626</v>
      </c>
      <c r="Z385" s="87">
        <v>0.0</v>
      </c>
      <c r="AA385" s="87">
        <v>0.57038</v>
      </c>
      <c r="AB385" s="87">
        <v>1.049499</v>
      </c>
      <c r="AC385" s="87">
        <v>2.535065</v>
      </c>
      <c r="AD385" s="87">
        <v>1.868644</v>
      </c>
      <c r="AE385" s="87">
        <v>2.843005</v>
      </c>
      <c r="AF385" s="87">
        <v>3.913201</v>
      </c>
      <c r="AG385" s="87">
        <v>3.58844</v>
      </c>
      <c r="AH385" s="87">
        <v>0.0</v>
      </c>
      <c r="AI385" s="87">
        <v>2.273165</v>
      </c>
      <c r="AJ385" s="87">
        <v>1.981524</v>
      </c>
      <c r="AK385" s="87">
        <v>2.172233</v>
      </c>
      <c r="AL385" s="88" t="s">
        <v>1396</v>
      </c>
    </row>
    <row r="386">
      <c r="A386" s="84" t="s">
        <v>1907</v>
      </c>
      <c r="B386" s="84" t="s">
        <v>1908</v>
      </c>
      <c r="C386" s="84" t="s">
        <v>258</v>
      </c>
      <c r="D386" s="84" t="s">
        <v>899</v>
      </c>
      <c r="E386" s="84" t="s">
        <v>1398</v>
      </c>
      <c r="F386" s="87">
        <v>2.0</v>
      </c>
      <c r="G386" s="87">
        <v>0.0</v>
      </c>
      <c r="H386" s="87">
        <v>1000.0</v>
      </c>
      <c r="I386" s="87">
        <v>0.0</v>
      </c>
      <c r="J386" s="87">
        <v>4.368132</v>
      </c>
      <c r="K386" s="87">
        <v>6.063907</v>
      </c>
      <c r="L386" s="87">
        <v>5.638744</v>
      </c>
      <c r="M386" s="87">
        <v>5.73534</v>
      </c>
      <c r="N386" s="87">
        <v>0.945816</v>
      </c>
      <c r="O386" s="87">
        <v>0.328567</v>
      </c>
      <c r="P386" s="87">
        <v>0.328567</v>
      </c>
      <c r="Q386" s="87">
        <v>0.328567</v>
      </c>
      <c r="R386" s="87">
        <v>5.73534</v>
      </c>
      <c r="S386" s="87">
        <v>5.73534</v>
      </c>
      <c r="T386" s="87">
        <v>0.328567</v>
      </c>
      <c r="U386" s="87">
        <v>0.328567</v>
      </c>
      <c r="V386" s="87">
        <v>0.328567</v>
      </c>
      <c r="W386" s="87">
        <v>5.73534</v>
      </c>
      <c r="X386" s="87">
        <v>5.73534</v>
      </c>
      <c r="Y386" s="87">
        <v>3.031953</v>
      </c>
      <c r="Z386" s="87">
        <v>0.0</v>
      </c>
      <c r="AA386" s="87">
        <v>0.57038</v>
      </c>
      <c r="AB386" s="87">
        <v>1.049499</v>
      </c>
      <c r="AC386" s="87">
        <v>2.535065</v>
      </c>
      <c r="AD386" s="87">
        <v>2.13156</v>
      </c>
      <c r="AE386" s="87">
        <v>2.42183</v>
      </c>
      <c r="AF386" s="87">
        <v>4.527598</v>
      </c>
      <c r="AG386" s="87">
        <v>2.900255</v>
      </c>
      <c r="AH386" s="87">
        <v>0.0</v>
      </c>
      <c r="AI386" s="87">
        <v>2.273165</v>
      </c>
      <c r="AJ386" s="87">
        <v>1.981524</v>
      </c>
      <c r="AK386" s="87">
        <v>2.172233</v>
      </c>
      <c r="AL386" s="88" t="s">
        <v>1396</v>
      </c>
    </row>
    <row r="387">
      <c r="A387" s="84" t="s">
        <v>1909</v>
      </c>
      <c r="B387" s="84" t="s">
        <v>1910</v>
      </c>
      <c r="C387" s="84" t="s">
        <v>258</v>
      </c>
      <c r="D387" s="84" t="s">
        <v>899</v>
      </c>
      <c r="E387" s="84" t="s">
        <v>1400</v>
      </c>
      <c r="F387" s="87">
        <v>5.0</v>
      </c>
      <c r="G387" s="87">
        <v>0.0</v>
      </c>
      <c r="H387" s="87">
        <v>1236.0</v>
      </c>
      <c r="I387" s="87">
        <v>0.0</v>
      </c>
      <c r="J387" s="87">
        <v>3.020646</v>
      </c>
      <c r="K387" s="87">
        <v>4.408705</v>
      </c>
      <c r="L387" s="87">
        <v>3.250629</v>
      </c>
      <c r="M387" s="87">
        <v>3.520661</v>
      </c>
      <c r="N387" s="87">
        <v>0.79857</v>
      </c>
      <c r="O387" s="87">
        <v>0.033333</v>
      </c>
      <c r="P387" s="87">
        <v>0.066667</v>
      </c>
      <c r="Q387" s="87">
        <v>0.066667</v>
      </c>
      <c r="R387" s="87">
        <v>0.217664</v>
      </c>
      <c r="S387" s="87">
        <v>0.57038</v>
      </c>
      <c r="T387" s="87">
        <v>0.033333</v>
      </c>
      <c r="U387" s="87">
        <v>0.066667</v>
      </c>
      <c r="V387" s="87">
        <v>0.066667</v>
      </c>
      <c r="W387" s="87">
        <v>0.217664</v>
      </c>
      <c r="X387" s="87">
        <v>0.57038</v>
      </c>
      <c r="Y387" s="87">
        <v>0.881741</v>
      </c>
      <c r="Z387" s="87">
        <v>0.0</v>
      </c>
      <c r="AA387" s="87">
        <v>0.57038</v>
      </c>
      <c r="AB387" s="87">
        <v>1.049499</v>
      </c>
      <c r="AC387" s="87">
        <v>2.535065</v>
      </c>
      <c r="AD387" s="87">
        <v>1.166657</v>
      </c>
      <c r="AE387" s="87">
        <v>1.467002</v>
      </c>
      <c r="AF387" s="87">
        <v>3.268284</v>
      </c>
      <c r="AG387" s="87">
        <v>1.547563</v>
      </c>
      <c r="AH387" s="87">
        <v>0.0</v>
      </c>
      <c r="AI387" s="87">
        <v>2.273165</v>
      </c>
      <c r="AJ387" s="87">
        <v>1.981524</v>
      </c>
      <c r="AK387" s="87">
        <v>2.172233</v>
      </c>
      <c r="AL387" s="88" t="s">
        <v>1396</v>
      </c>
    </row>
    <row r="388">
      <c r="A388" s="84" t="s">
        <v>1911</v>
      </c>
      <c r="B388" s="84" t="s">
        <v>1912</v>
      </c>
      <c r="C388" s="84" t="s">
        <v>258</v>
      </c>
      <c r="D388" s="84" t="s">
        <v>899</v>
      </c>
      <c r="E388" s="89">
        <v>46300.0</v>
      </c>
      <c r="F388" s="87">
        <v>5.0</v>
      </c>
      <c r="G388" s="87">
        <v>0.0</v>
      </c>
      <c r="H388" s="87">
        <v>740.0</v>
      </c>
      <c r="I388" s="87">
        <v>0.0</v>
      </c>
      <c r="J388" s="87">
        <v>12.97707</v>
      </c>
      <c r="K388" s="87">
        <v>12.67532</v>
      </c>
      <c r="L388" s="87">
        <v>11.99917</v>
      </c>
      <c r="M388" s="87">
        <v>12.67532</v>
      </c>
      <c r="N388" s="87">
        <v>1.0</v>
      </c>
      <c r="O388" s="87">
        <v>0.0</v>
      </c>
      <c r="P388" s="87">
        <v>0.0</v>
      </c>
      <c r="Q388" s="87">
        <v>0.0</v>
      </c>
      <c r="R388" s="87">
        <v>0.0</v>
      </c>
      <c r="S388" s="87">
        <v>0.0</v>
      </c>
      <c r="T388" s="87">
        <v>12.67532</v>
      </c>
      <c r="U388" s="87">
        <v>12.67532</v>
      </c>
      <c r="V388" s="87">
        <v>12.67532</v>
      </c>
      <c r="W388" s="87">
        <v>12.67532</v>
      </c>
      <c r="X388" s="87">
        <v>12.67532</v>
      </c>
      <c r="Y388" s="87">
        <v>2.535065</v>
      </c>
      <c r="Z388" s="87">
        <v>0.0</v>
      </c>
      <c r="AA388" s="87">
        <v>0.57038</v>
      </c>
      <c r="AB388" s="87">
        <v>1.049499</v>
      </c>
      <c r="AC388" s="87">
        <v>2.535065</v>
      </c>
      <c r="AD388" s="87">
        <v>0.697619</v>
      </c>
      <c r="AE388" s="87">
        <v>2.524233</v>
      </c>
      <c r="AF388" s="87">
        <v>3.076603</v>
      </c>
      <c r="AG388" s="87">
        <v>2.624092</v>
      </c>
      <c r="AH388" s="87">
        <v>0.0</v>
      </c>
      <c r="AI388" s="87">
        <v>2.273165</v>
      </c>
      <c r="AJ388" s="87">
        <v>1.981524</v>
      </c>
      <c r="AK388" s="87">
        <v>2.172233</v>
      </c>
      <c r="AL388" s="88" t="s">
        <v>1396</v>
      </c>
    </row>
    <row r="389">
      <c r="A389" s="84" t="s">
        <v>1913</v>
      </c>
      <c r="B389" s="84" t="s">
        <v>1914</v>
      </c>
      <c r="C389" s="84" t="s">
        <v>258</v>
      </c>
      <c r="D389" s="84" t="s">
        <v>899</v>
      </c>
      <c r="E389" s="84" t="s">
        <v>1403</v>
      </c>
      <c r="F389" s="87">
        <v>21.0</v>
      </c>
      <c r="G389" s="87">
        <v>0.0</v>
      </c>
      <c r="H389" s="87">
        <v>0.0</v>
      </c>
      <c r="I389" s="87">
        <v>0.0</v>
      </c>
      <c r="J389" s="87">
        <v>0.0</v>
      </c>
      <c r="K389" s="87">
        <v>0.0</v>
      </c>
      <c r="L389" s="87">
        <v>0.0</v>
      </c>
      <c r="M389" s="87">
        <v>0.0</v>
      </c>
      <c r="N389" s="87">
        <v>0.0</v>
      </c>
      <c r="O389" s="87">
        <v>0.0</v>
      </c>
      <c r="P389" s="87">
        <v>0.0</v>
      </c>
      <c r="Q389" s="87">
        <v>0.0</v>
      </c>
      <c r="R389" s="87">
        <v>0.0</v>
      </c>
      <c r="S389" s="87">
        <v>0.0</v>
      </c>
      <c r="T389" s="87">
        <v>0.0</v>
      </c>
      <c r="U389" s="87">
        <v>0.0</v>
      </c>
      <c r="V389" s="87">
        <v>0.0</v>
      </c>
      <c r="W389" s="87">
        <v>0.0</v>
      </c>
      <c r="X389" s="87">
        <v>0.0</v>
      </c>
      <c r="Y389" s="87">
        <v>0.0</v>
      </c>
      <c r="Z389" s="87">
        <v>0.0</v>
      </c>
      <c r="AA389" s="87">
        <v>0.57038</v>
      </c>
      <c r="AB389" s="87">
        <v>1.049499</v>
      </c>
      <c r="AC389" s="87">
        <v>2.535065</v>
      </c>
      <c r="AD389" s="87">
        <v>0.0</v>
      </c>
      <c r="AE389" s="87">
        <v>0.0</v>
      </c>
      <c r="AF389" s="87">
        <v>0.0</v>
      </c>
      <c r="AG389" s="87">
        <v>0.0</v>
      </c>
      <c r="AH389" s="87">
        <v>0.0</v>
      </c>
      <c r="AI389" s="87">
        <v>2.273165</v>
      </c>
      <c r="AJ389" s="87">
        <v>1.981524</v>
      </c>
      <c r="AK389" s="87">
        <v>2.172233</v>
      </c>
      <c r="AL389" s="88" t="s">
        <v>1396</v>
      </c>
    </row>
    <row r="390">
      <c r="A390" s="84" t="s">
        <v>1903</v>
      </c>
      <c r="B390" s="84" t="s">
        <v>1915</v>
      </c>
      <c r="C390" s="84" t="s">
        <v>258</v>
      </c>
      <c r="D390" s="84" t="s">
        <v>1916</v>
      </c>
      <c r="E390" s="84" t="s">
        <v>1426</v>
      </c>
      <c r="F390" s="87">
        <v>1.0</v>
      </c>
      <c r="G390" s="87">
        <v>0.0</v>
      </c>
      <c r="H390" s="87">
        <v>0.0</v>
      </c>
      <c r="I390" s="87">
        <v>0.0</v>
      </c>
      <c r="J390" s="87">
        <v>0.0</v>
      </c>
      <c r="K390" s="87">
        <v>0.0</v>
      </c>
      <c r="L390" s="87">
        <v>0.0</v>
      </c>
      <c r="M390" s="87">
        <v>0.0</v>
      </c>
      <c r="N390" s="87">
        <v>0.0</v>
      </c>
      <c r="O390" s="87">
        <v>0.0</v>
      </c>
      <c r="P390" s="87">
        <v>0.0</v>
      </c>
      <c r="Q390" s="87">
        <v>0.0</v>
      </c>
      <c r="R390" s="87">
        <v>0.0</v>
      </c>
      <c r="S390" s="87">
        <v>0.0</v>
      </c>
      <c r="T390" s="87">
        <v>0.0</v>
      </c>
      <c r="U390" s="87">
        <v>0.0</v>
      </c>
      <c r="V390" s="87">
        <v>0.0</v>
      </c>
      <c r="W390" s="87">
        <v>0.0</v>
      </c>
      <c r="X390" s="87">
        <v>0.0</v>
      </c>
      <c r="Y390" s="87">
        <v>0.0</v>
      </c>
      <c r="Z390" s="87">
        <v>0.0</v>
      </c>
      <c r="AA390" s="87">
        <v>5.642104</v>
      </c>
      <c r="AB390" s="87">
        <v>3.890216</v>
      </c>
      <c r="AC390" s="87">
        <v>0.382576</v>
      </c>
      <c r="AD390" s="87">
        <v>0.0</v>
      </c>
      <c r="AE390" s="87">
        <v>2.378679</v>
      </c>
      <c r="AF390" s="87">
        <v>2.920235</v>
      </c>
      <c r="AG390" s="87">
        <v>0.0375</v>
      </c>
      <c r="AH390" s="87">
        <v>0.0</v>
      </c>
      <c r="AI390" s="87">
        <v>2.273165</v>
      </c>
      <c r="AJ390" s="87">
        <v>1.981524</v>
      </c>
      <c r="AK390" s="87">
        <v>2.172233</v>
      </c>
      <c r="AL390" s="88" t="s">
        <v>1396</v>
      </c>
    </row>
    <row r="391">
      <c r="A391" s="84" t="s">
        <v>1917</v>
      </c>
      <c r="B391" s="84" t="s">
        <v>1918</v>
      </c>
      <c r="C391" s="84" t="s">
        <v>258</v>
      </c>
      <c r="D391" s="84" t="s">
        <v>1916</v>
      </c>
      <c r="E391" s="86">
        <v>46310.0</v>
      </c>
      <c r="F391" s="87">
        <v>1.0</v>
      </c>
      <c r="G391" s="87">
        <v>0.0</v>
      </c>
      <c r="H391" s="87">
        <v>29.0</v>
      </c>
      <c r="I391" s="87">
        <v>0.0</v>
      </c>
      <c r="J391" s="87">
        <v>0.071429</v>
      </c>
      <c r="K391" s="87">
        <v>0.382576</v>
      </c>
      <c r="L391" s="87">
        <v>1.337477</v>
      </c>
      <c r="M391" s="87">
        <v>0.382576</v>
      </c>
      <c r="N391" s="87">
        <v>1.0</v>
      </c>
      <c r="O391" s="87">
        <v>0.382576</v>
      </c>
      <c r="P391" s="87">
        <v>0.382576</v>
      </c>
      <c r="Q391" s="87">
        <v>0.382576</v>
      </c>
      <c r="R391" s="87">
        <v>0.382576</v>
      </c>
      <c r="S391" s="87">
        <v>0.382576</v>
      </c>
      <c r="T391" s="87">
        <v>0.382576</v>
      </c>
      <c r="U391" s="87">
        <v>0.382576</v>
      </c>
      <c r="V391" s="87">
        <v>0.382576</v>
      </c>
      <c r="W391" s="87">
        <v>0.382576</v>
      </c>
      <c r="X391" s="87">
        <v>0.382576</v>
      </c>
      <c r="Y391" s="87">
        <v>0.382576</v>
      </c>
      <c r="Z391" s="87">
        <v>0.0</v>
      </c>
      <c r="AA391" s="87">
        <v>5.642104</v>
      </c>
      <c r="AB391" s="87">
        <v>3.890216</v>
      </c>
      <c r="AC391" s="87">
        <v>0.382576</v>
      </c>
      <c r="AD391" s="87">
        <v>2.827784</v>
      </c>
      <c r="AE391" s="87">
        <v>4.759797</v>
      </c>
      <c r="AF391" s="87">
        <v>5.329438</v>
      </c>
      <c r="AG391" s="87">
        <v>4.61315</v>
      </c>
      <c r="AH391" s="87">
        <v>0.0</v>
      </c>
      <c r="AI391" s="87">
        <v>2.273165</v>
      </c>
      <c r="AJ391" s="87">
        <v>1.981524</v>
      </c>
      <c r="AK391" s="87">
        <v>2.172233</v>
      </c>
      <c r="AL391" s="88" t="s">
        <v>1396</v>
      </c>
    </row>
    <row r="392">
      <c r="A392" s="84" t="s">
        <v>1905</v>
      </c>
      <c r="B392" s="84" t="s">
        <v>1919</v>
      </c>
      <c r="C392" s="84" t="s">
        <v>258</v>
      </c>
      <c r="D392" s="84" t="s">
        <v>1916</v>
      </c>
      <c r="E392" s="84" t="s">
        <v>1413</v>
      </c>
      <c r="F392" s="87">
        <v>1.0</v>
      </c>
      <c r="G392" s="87">
        <v>0.0</v>
      </c>
      <c r="H392" s="87">
        <v>0.0</v>
      </c>
      <c r="I392" s="87">
        <v>0.0</v>
      </c>
      <c r="J392" s="87">
        <v>0.0</v>
      </c>
      <c r="K392" s="87">
        <v>0.0</v>
      </c>
      <c r="L392" s="87">
        <v>0.0</v>
      </c>
      <c r="M392" s="87">
        <v>0.0</v>
      </c>
      <c r="N392" s="87">
        <v>0.0</v>
      </c>
      <c r="O392" s="87">
        <v>0.0</v>
      </c>
      <c r="P392" s="87">
        <v>0.0</v>
      </c>
      <c r="Q392" s="87">
        <v>0.0</v>
      </c>
      <c r="R392" s="87">
        <v>0.0</v>
      </c>
      <c r="S392" s="87">
        <v>0.0</v>
      </c>
      <c r="T392" s="87">
        <v>0.0</v>
      </c>
      <c r="U392" s="87">
        <v>0.0</v>
      </c>
      <c r="V392" s="87">
        <v>0.0</v>
      </c>
      <c r="W392" s="87">
        <v>0.0</v>
      </c>
      <c r="X392" s="87">
        <v>0.0</v>
      </c>
      <c r="Y392" s="87">
        <v>0.0</v>
      </c>
      <c r="Z392" s="87">
        <v>0.0</v>
      </c>
      <c r="AA392" s="87">
        <v>5.642104</v>
      </c>
      <c r="AB392" s="87">
        <v>3.890216</v>
      </c>
      <c r="AC392" s="87">
        <v>0.382576</v>
      </c>
      <c r="AD392" s="87">
        <v>1.868644</v>
      </c>
      <c r="AE392" s="87">
        <v>2.843005</v>
      </c>
      <c r="AF392" s="87">
        <v>3.913201</v>
      </c>
      <c r="AG392" s="87">
        <v>3.58844</v>
      </c>
      <c r="AH392" s="87">
        <v>0.0</v>
      </c>
      <c r="AI392" s="87">
        <v>2.273165</v>
      </c>
      <c r="AJ392" s="87">
        <v>1.981524</v>
      </c>
      <c r="AK392" s="87">
        <v>2.172233</v>
      </c>
      <c r="AL392" s="88" t="s">
        <v>1396</v>
      </c>
    </row>
    <row r="393">
      <c r="A393" s="84" t="s">
        <v>1907</v>
      </c>
      <c r="B393" s="84" t="s">
        <v>1920</v>
      </c>
      <c r="C393" s="84" t="s">
        <v>258</v>
      </c>
      <c r="D393" s="84" t="s">
        <v>1916</v>
      </c>
      <c r="E393" s="84" t="s">
        <v>1398</v>
      </c>
      <c r="F393" s="87">
        <v>2.0</v>
      </c>
      <c r="G393" s="87">
        <v>0.0</v>
      </c>
      <c r="H393" s="87">
        <v>356.0</v>
      </c>
      <c r="I393" s="87">
        <v>0.0</v>
      </c>
      <c r="J393" s="87">
        <v>1.663276</v>
      </c>
      <c r="K393" s="87">
        <v>1.237273</v>
      </c>
      <c r="L393" s="87">
        <v>1.527337</v>
      </c>
      <c r="M393" s="87">
        <v>1.097273</v>
      </c>
      <c r="N393" s="87">
        <v>0.886848</v>
      </c>
      <c r="O393" s="87">
        <v>0.14</v>
      </c>
      <c r="P393" s="87">
        <v>0.14</v>
      </c>
      <c r="Q393" s="87">
        <v>0.14</v>
      </c>
      <c r="R393" s="87">
        <v>1.097273</v>
      </c>
      <c r="S393" s="87">
        <v>1.097273</v>
      </c>
      <c r="T393" s="87">
        <v>0.14</v>
      </c>
      <c r="U393" s="87">
        <v>0.14</v>
      </c>
      <c r="V393" s="87">
        <v>0.14</v>
      </c>
      <c r="W393" s="87">
        <v>1.097273</v>
      </c>
      <c r="X393" s="87">
        <v>1.097273</v>
      </c>
      <c r="Y393" s="87">
        <v>0.618637</v>
      </c>
      <c r="Z393" s="87">
        <v>0.0</v>
      </c>
      <c r="AA393" s="87">
        <v>5.642104</v>
      </c>
      <c r="AB393" s="87">
        <v>3.890216</v>
      </c>
      <c r="AC393" s="87">
        <v>0.382576</v>
      </c>
      <c r="AD393" s="87">
        <v>2.13156</v>
      </c>
      <c r="AE393" s="87">
        <v>2.42183</v>
      </c>
      <c r="AF393" s="87">
        <v>4.527598</v>
      </c>
      <c r="AG393" s="87">
        <v>2.900255</v>
      </c>
      <c r="AH393" s="87">
        <v>0.0</v>
      </c>
      <c r="AI393" s="87">
        <v>2.273165</v>
      </c>
      <c r="AJ393" s="87">
        <v>1.981524</v>
      </c>
      <c r="AK393" s="87">
        <v>2.172233</v>
      </c>
      <c r="AL393" s="88" t="s">
        <v>1396</v>
      </c>
    </row>
    <row r="394">
      <c r="A394" s="84" t="s">
        <v>1909</v>
      </c>
      <c r="B394" s="84" t="s">
        <v>1921</v>
      </c>
      <c r="C394" s="84" t="s">
        <v>258</v>
      </c>
      <c r="D394" s="84" t="s">
        <v>1916</v>
      </c>
      <c r="E394" s="84" t="s">
        <v>1400</v>
      </c>
      <c r="F394" s="87">
        <v>14.0</v>
      </c>
      <c r="G394" s="87">
        <v>0.0</v>
      </c>
      <c r="H394" s="87">
        <v>6843.0</v>
      </c>
      <c r="I394" s="87">
        <v>0.0</v>
      </c>
      <c r="J394" s="87">
        <v>104.3683</v>
      </c>
      <c r="K394" s="87">
        <v>103.416</v>
      </c>
      <c r="L394" s="87">
        <v>99.89855</v>
      </c>
      <c r="M394" s="87">
        <v>63.95664</v>
      </c>
      <c r="N394" s="87">
        <v>0.618441</v>
      </c>
      <c r="O394" s="87">
        <v>0.0</v>
      </c>
      <c r="P394" s="87">
        <v>0.0</v>
      </c>
      <c r="Q394" s="87">
        <v>0.1</v>
      </c>
      <c r="R394" s="87">
        <v>5.642104</v>
      </c>
      <c r="S394" s="87">
        <v>7.702449</v>
      </c>
      <c r="T394" s="87">
        <v>0.899107</v>
      </c>
      <c r="U394" s="87">
        <v>4.419952</v>
      </c>
      <c r="V394" s="87">
        <v>5.642104</v>
      </c>
      <c r="W394" s="87">
        <v>7.702449</v>
      </c>
      <c r="X394" s="87">
        <v>14.51334</v>
      </c>
      <c r="Y394" s="87">
        <v>7.386856</v>
      </c>
      <c r="Z394" s="87">
        <v>0.0</v>
      </c>
      <c r="AA394" s="87">
        <v>5.642104</v>
      </c>
      <c r="AB394" s="87">
        <v>3.890216</v>
      </c>
      <c r="AC394" s="87">
        <v>0.382576</v>
      </c>
      <c r="AD394" s="87">
        <v>1.166657</v>
      </c>
      <c r="AE394" s="87">
        <v>1.467002</v>
      </c>
      <c r="AF394" s="87">
        <v>3.268284</v>
      </c>
      <c r="AG394" s="87">
        <v>1.547563</v>
      </c>
      <c r="AH394" s="87">
        <v>0.0</v>
      </c>
      <c r="AI394" s="87">
        <v>2.273165</v>
      </c>
      <c r="AJ394" s="87">
        <v>1.981524</v>
      </c>
      <c r="AK394" s="87">
        <v>2.172233</v>
      </c>
      <c r="AL394" s="88" t="s">
        <v>1396</v>
      </c>
    </row>
    <row r="395">
      <c r="A395" s="84" t="s">
        <v>1913</v>
      </c>
      <c r="B395" s="84" t="s">
        <v>1922</v>
      </c>
      <c r="C395" s="84" t="s">
        <v>258</v>
      </c>
      <c r="D395" s="84" t="s">
        <v>1916</v>
      </c>
      <c r="E395" s="84" t="s">
        <v>1403</v>
      </c>
      <c r="F395" s="87">
        <v>8.0</v>
      </c>
      <c r="G395" s="87">
        <v>0.0</v>
      </c>
      <c r="H395" s="87">
        <v>0.0</v>
      </c>
      <c r="I395" s="87">
        <v>0.0</v>
      </c>
      <c r="J395" s="87">
        <v>0.0</v>
      </c>
      <c r="K395" s="87">
        <v>0.0</v>
      </c>
      <c r="L395" s="87">
        <v>0.0</v>
      </c>
      <c r="M395" s="87">
        <v>0.0</v>
      </c>
      <c r="N395" s="87">
        <v>0.0</v>
      </c>
      <c r="O395" s="87">
        <v>0.0</v>
      </c>
      <c r="P395" s="87">
        <v>0.0</v>
      </c>
      <c r="Q395" s="87">
        <v>0.0</v>
      </c>
      <c r="R395" s="87">
        <v>0.0</v>
      </c>
      <c r="S395" s="87">
        <v>0.0</v>
      </c>
      <c r="T395" s="87">
        <v>0.0</v>
      </c>
      <c r="U395" s="87">
        <v>0.0</v>
      </c>
      <c r="V395" s="87">
        <v>0.0</v>
      </c>
      <c r="W395" s="87">
        <v>0.0</v>
      </c>
      <c r="X395" s="87">
        <v>0.0</v>
      </c>
      <c r="Y395" s="87">
        <v>0.0</v>
      </c>
      <c r="Z395" s="87">
        <v>0.0</v>
      </c>
      <c r="AA395" s="87">
        <v>5.642104</v>
      </c>
      <c r="AB395" s="87">
        <v>3.890216</v>
      </c>
      <c r="AC395" s="87">
        <v>0.382576</v>
      </c>
      <c r="AD395" s="87">
        <v>0.0</v>
      </c>
      <c r="AE395" s="87">
        <v>0.0</v>
      </c>
      <c r="AF395" s="87">
        <v>0.0</v>
      </c>
      <c r="AG395" s="87">
        <v>0.0</v>
      </c>
      <c r="AH395" s="87">
        <v>0.0</v>
      </c>
      <c r="AI395" s="87">
        <v>2.273165</v>
      </c>
      <c r="AJ395" s="87">
        <v>1.981524</v>
      </c>
      <c r="AK395" s="87">
        <v>2.172233</v>
      </c>
      <c r="AL395" s="88" t="s">
        <v>1396</v>
      </c>
    </row>
    <row r="396">
      <c r="A396" s="84" t="s">
        <v>1913</v>
      </c>
      <c r="B396" s="84" t="s">
        <v>1923</v>
      </c>
      <c r="C396" s="84" t="s">
        <v>258</v>
      </c>
      <c r="D396" s="84" t="s">
        <v>1924</v>
      </c>
      <c r="E396" s="84" t="s">
        <v>1403</v>
      </c>
      <c r="F396" s="87">
        <v>2.0</v>
      </c>
      <c r="G396" s="87">
        <v>0.0</v>
      </c>
      <c r="H396" s="87">
        <v>0.0</v>
      </c>
      <c r="I396" s="87">
        <v>0.0</v>
      </c>
      <c r="J396" s="87">
        <v>0.0</v>
      </c>
      <c r="K396" s="87">
        <v>0.0</v>
      </c>
      <c r="L396" s="87">
        <v>0.0</v>
      </c>
      <c r="M396" s="87">
        <v>0.0</v>
      </c>
      <c r="N396" s="87">
        <v>0.0</v>
      </c>
      <c r="O396" s="87">
        <v>0.0</v>
      </c>
      <c r="P396" s="87">
        <v>0.0</v>
      </c>
      <c r="Q396" s="87">
        <v>0.0</v>
      </c>
      <c r="R396" s="87">
        <v>0.0</v>
      </c>
      <c r="S396" s="87">
        <v>0.0</v>
      </c>
      <c r="T396" s="87">
        <v>0.0</v>
      </c>
      <c r="U396" s="87">
        <v>0.0</v>
      </c>
      <c r="V396" s="87">
        <v>0.0</v>
      </c>
      <c r="W396" s="87">
        <v>0.0</v>
      </c>
      <c r="X396" s="87">
        <v>0.0</v>
      </c>
      <c r="Y396" s="87">
        <v>0.0</v>
      </c>
      <c r="Z396" s="87">
        <v>0.0</v>
      </c>
      <c r="AA396" s="87">
        <v>0.0</v>
      </c>
      <c r="AB396" s="87">
        <v>0.0</v>
      </c>
      <c r="AC396" s="87">
        <v>0.0</v>
      </c>
      <c r="AD396" s="87">
        <v>0.0</v>
      </c>
      <c r="AE396" s="87">
        <v>0.0</v>
      </c>
      <c r="AF396" s="87">
        <v>0.0</v>
      </c>
      <c r="AG396" s="87">
        <v>0.0</v>
      </c>
      <c r="AH396" s="87">
        <v>0.0</v>
      </c>
      <c r="AI396" s="87">
        <v>2.273165</v>
      </c>
      <c r="AJ396" s="87">
        <v>1.981524</v>
      </c>
      <c r="AK396" s="87">
        <v>2.172233</v>
      </c>
      <c r="AL396" s="88" t="s">
        <v>1396</v>
      </c>
    </row>
    <row r="397">
      <c r="A397" s="84" t="s">
        <v>1903</v>
      </c>
      <c r="B397" s="84" t="s">
        <v>1925</v>
      </c>
      <c r="C397" s="84" t="s">
        <v>258</v>
      </c>
      <c r="D397" s="84" t="s">
        <v>1926</v>
      </c>
      <c r="E397" s="84" t="s">
        <v>1426</v>
      </c>
      <c r="F397" s="87">
        <v>4.0</v>
      </c>
      <c r="G397" s="87">
        <v>0.0</v>
      </c>
      <c r="H397" s="87">
        <v>0.0</v>
      </c>
      <c r="I397" s="87">
        <v>0.0</v>
      </c>
      <c r="J397" s="87">
        <v>0.0</v>
      </c>
      <c r="K397" s="87">
        <v>0.0</v>
      </c>
      <c r="L397" s="87">
        <v>1.819935</v>
      </c>
      <c r="M397" s="87">
        <v>0.0</v>
      </c>
      <c r="N397" s="87">
        <v>0.0</v>
      </c>
      <c r="O397" s="87">
        <v>0.0</v>
      </c>
      <c r="P397" s="87">
        <v>0.0</v>
      </c>
      <c r="Q397" s="87">
        <v>0.0</v>
      </c>
      <c r="R397" s="87">
        <v>0.0</v>
      </c>
      <c r="S397" s="87">
        <v>0.0</v>
      </c>
      <c r="T397" s="87">
        <v>0.0</v>
      </c>
      <c r="U397" s="87">
        <v>0.0</v>
      </c>
      <c r="V397" s="87">
        <v>0.0</v>
      </c>
      <c r="W397" s="87">
        <v>0.0</v>
      </c>
      <c r="X397" s="87">
        <v>0.0</v>
      </c>
      <c r="Y397" s="87">
        <v>0.0</v>
      </c>
      <c r="Z397" s="87">
        <v>0.0</v>
      </c>
      <c r="AA397" s="87">
        <v>1.483333</v>
      </c>
      <c r="AB397" s="87">
        <v>1.603939</v>
      </c>
      <c r="AC397" s="87">
        <v>2.172233</v>
      </c>
      <c r="AD397" s="87">
        <v>0.0</v>
      </c>
      <c r="AE397" s="87">
        <v>2.378679</v>
      </c>
      <c r="AF397" s="87">
        <v>2.920235</v>
      </c>
      <c r="AG397" s="87">
        <v>0.0375</v>
      </c>
      <c r="AH397" s="87">
        <v>0.0</v>
      </c>
      <c r="AI397" s="87">
        <v>2.273165</v>
      </c>
      <c r="AJ397" s="87">
        <v>1.981524</v>
      </c>
      <c r="AK397" s="87">
        <v>2.172233</v>
      </c>
      <c r="AL397" s="88" t="s">
        <v>1396</v>
      </c>
    </row>
    <row r="398">
      <c r="A398" s="84" t="s">
        <v>1917</v>
      </c>
      <c r="B398" s="84" t="s">
        <v>1927</v>
      </c>
      <c r="C398" s="84" t="s">
        <v>258</v>
      </c>
      <c r="D398" s="84" t="s">
        <v>1926</v>
      </c>
      <c r="E398" s="89">
        <v>46310.0</v>
      </c>
      <c r="F398" s="87">
        <v>9.0</v>
      </c>
      <c r="G398" s="87">
        <v>0.0</v>
      </c>
      <c r="H398" s="87">
        <v>2182.0</v>
      </c>
      <c r="I398" s="87">
        <v>0.0</v>
      </c>
      <c r="J398" s="87">
        <v>38.05397</v>
      </c>
      <c r="K398" s="87">
        <v>41.51835</v>
      </c>
      <c r="L398" s="87">
        <v>46.77671</v>
      </c>
      <c r="M398" s="87">
        <v>22.95214</v>
      </c>
      <c r="N398" s="87">
        <v>0.552819</v>
      </c>
      <c r="O398" s="87">
        <v>0.0</v>
      </c>
      <c r="P398" s="87">
        <v>0.0</v>
      </c>
      <c r="Q398" s="87">
        <v>0.883333</v>
      </c>
      <c r="R398" s="87">
        <v>2.339642</v>
      </c>
      <c r="S398" s="87">
        <v>9.061792</v>
      </c>
      <c r="T398" s="87">
        <v>0.883333</v>
      </c>
      <c r="U398" s="87">
        <v>1.20821</v>
      </c>
      <c r="V398" s="87">
        <v>2.339642</v>
      </c>
      <c r="W398" s="87">
        <v>5.073234</v>
      </c>
      <c r="X398" s="87">
        <v>9.061792</v>
      </c>
      <c r="Y398" s="87">
        <v>4.61315</v>
      </c>
      <c r="Z398" s="87">
        <v>0.0</v>
      </c>
      <c r="AA398" s="87">
        <v>1.483333</v>
      </c>
      <c r="AB398" s="87">
        <v>1.603939</v>
      </c>
      <c r="AC398" s="87">
        <v>2.172233</v>
      </c>
      <c r="AD398" s="87">
        <v>2.827784</v>
      </c>
      <c r="AE398" s="87">
        <v>4.759797</v>
      </c>
      <c r="AF398" s="87">
        <v>5.329438</v>
      </c>
      <c r="AG398" s="87">
        <v>4.61315</v>
      </c>
      <c r="AH398" s="87">
        <v>0.0</v>
      </c>
      <c r="AI398" s="87">
        <v>2.273165</v>
      </c>
      <c r="AJ398" s="87">
        <v>1.981524</v>
      </c>
      <c r="AK398" s="87">
        <v>2.172233</v>
      </c>
      <c r="AL398" s="88" t="s">
        <v>1396</v>
      </c>
    </row>
    <row r="399">
      <c r="A399" s="84" t="s">
        <v>1905</v>
      </c>
      <c r="B399" s="84" t="s">
        <v>1928</v>
      </c>
      <c r="C399" s="84" t="s">
        <v>258</v>
      </c>
      <c r="D399" s="84" t="s">
        <v>1926</v>
      </c>
      <c r="E399" s="84" t="s">
        <v>1413</v>
      </c>
      <c r="F399" s="87">
        <v>17.0</v>
      </c>
      <c r="G399" s="87">
        <v>0.0</v>
      </c>
      <c r="H399" s="87">
        <v>7183.0</v>
      </c>
      <c r="I399" s="87">
        <v>0.0</v>
      </c>
      <c r="J399" s="87">
        <v>106.7934</v>
      </c>
      <c r="K399" s="87">
        <v>94.32673</v>
      </c>
      <c r="L399" s="87">
        <v>80.82068</v>
      </c>
      <c r="M399" s="87">
        <v>67.77741</v>
      </c>
      <c r="N399" s="87">
        <v>0.718539</v>
      </c>
      <c r="O399" s="87">
        <v>0.477649</v>
      </c>
      <c r="P399" s="87">
        <v>1.034869</v>
      </c>
      <c r="Q399" s="87">
        <v>2.069564</v>
      </c>
      <c r="R399" s="87">
        <v>2.478155</v>
      </c>
      <c r="S399" s="87">
        <v>3.906086</v>
      </c>
      <c r="T399" s="87">
        <v>0.566667</v>
      </c>
      <c r="U399" s="87">
        <v>1.170197</v>
      </c>
      <c r="V399" s="87">
        <v>2.069564</v>
      </c>
      <c r="W399" s="87">
        <v>2.504667</v>
      </c>
      <c r="X399" s="87">
        <v>4.904318</v>
      </c>
      <c r="Y399" s="87">
        <v>5.548631</v>
      </c>
      <c r="Z399" s="87">
        <v>0.0</v>
      </c>
      <c r="AA399" s="87">
        <v>1.483333</v>
      </c>
      <c r="AB399" s="87">
        <v>1.603939</v>
      </c>
      <c r="AC399" s="87">
        <v>2.172233</v>
      </c>
      <c r="AD399" s="87">
        <v>1.868644</v>
      </c>
      <c r="AE399" s="87">
        <v>2.843005</v>
      </c>
      <c r="AF399" s="87">
        <v>3.913201</v>
      </c>
      <c r="AG399" s="87">
        <v>3.58844</v>
      </c>
      <c r="AH399" s="87">
        <v>0.0</v>
      </c>
      <c r="AI399" s="87">
        <v>2.273165</v>
      </c>
      <c r="AJ399" s="87">
        <v>1.981524</v>
      </c>
      <c r="AK399" s="87">
        <v>2.172233</v>
      </c>
      <c r="AL399" s="88" t="s">
        <v>1396</v>
      </c>
    </row>
    <row r="400">
      <c r="A400" s="84" t="s">
        <v>1907</v>
      </c>
      <c r="B400" s="84" t="s">
        <v>1929</v>
      </c>
      <c r="C400" s="84" t="s">
        <v>258</v>
      </c>
      <c r="D400" s="84" t="s">
        <v>1926</v>
      </c>
      <c r="E400" s="84" t="s">
        <v>1398</v>
      </c>
      <c r="F400" s="87">
        <v>8.0</v>
      </c>
      <c r="G400" s="87">
        <v>0.0</v>
      </c>
      <c r="H400" s="87">
        <v>1747.0</v>
      </c>
      <c r="I400" s="87">
        <v>0.0</v>
      </c>
      <c r="J400" s="87">
        <v>14.30231</v>
      </c>
      <c r="K400" s="87">
        <v>17.37787</v>
      </c>
      <c r="L400" s="87">
        <v>18.72532</v>
      </c>
      <c r="M400" s="87">
        <v>10.246</v>
      </c>
      <c r="N400" s="87">
        <v>0.5896</v>
      </c>
      <c r="O400" s="87">
        <v>0.781337</v>
      </c>
      <c r="P400" s="87">
        <v>0.933333</v>
      </c>
      <c r="Q400" s="87">
        <v>0.970197</v>
      </c>
      <c r="R400" s="87">
        <v>1.483333</v>
      </c>
      <c r="S400" s="87">
        <v>1.669048</v>
      </c>
      <c r="T400" s="87">
        <v>0.781337</v>
      </c>
      <c r="U400" s="87">
        <v>0.933333</v>
      </c>
      <c r="V400" s="87">
        <v>0.970197</v>
      </c>
      <c r="W400" s="87">
        <v>1.483333</v>
      </c>
      <c r="X400" s="87">
        <v>1.669048</v>
      </c>
      <c r="Y400" s="87">
        <v>2.172233</v>
      </c>
      <c r="Z400" s="87">
        <v>0.0</v>
      </c>
      <c r="AA400" s="87">
        <v>1.483333</v>
      </c>
      <c r="AB400" s="87">
        <v>1.603939</v>
      </c>
      <c r="AC400" s="87">
        <v>2.172233</v>
      </c>
      <c r="AD400" s="87">
        <v>2.13156</v>
      </c>
      <c r="AE400" s="87">
        <v>2.42183</v>
      </c>
      <c r="AF400" s="87">
        <v>4.527598</v>
      </c>
      <c r="AG400" s="87">
        <v>2.900255</v>
      </c>
      <c r="AH400" s="87">
        <v>0.0</v>
      </c>
      <c r="AI400" s="87">
        <v>2.273165</v>
      </c>
      <c r="AJ400" s="87">
        <v>1.981524</v>
      </c>
      <c r="AK400" s="87">
        <v>2.172233</v>
      </c>
      <c r="AL400" s="88" t="s">
        <v>1396</v>
      </c>
    </row>
    <row r="401">
      <c r="A401" s="84" t="s">
        <v>1909</v>
      </c>
      <c r="B401" s="84" t="s">
        <v>1930</v>
      </c>
      <c r="C401" s="84" t="s">
        <v>258</v>
      </c>
      <c r="D401" s="84" t="s">
        <v>1926</v>
      </c>
      <c r="E401" s="84" t="s">
        <v>1400</v>
      </c>
      <c r="F401" s="87">
        <v>22.0</v>
      </c>
      <c r="G401" s="87">
        <v>0.0</v>
      </c>
      <c r="H401" s="87">
        <v>3732.0</v>
      </c>
      <c r="I401" s="87">
        <v>0.0</v>
      </c>
      <c r="J401" s="87">
        <v>21.99422</v>
      </c>
      <c r="K401" s="87">
        <v>23.20612</v>
      </c>
      <c r="L401" s="87">
        <v>24.64368</v>
      </c>
      <c r="M401" s="87">
        <v>8.73378</v>
      </c>
      <c r="N401" s="87">
        <v>0.376357</v>
      </c>
      <c r="O401" s="87">
        <v>0.474877</v>
      </c>
      <c r="P401" s="87">
        <v>0.552548</v>
      </c>
      <c r="Q401" s="87">
        <v>0.809971</v>
      </c>
      <c r="R401" s="87">
        <v>1.127957</v>
      </c>
      <c r="S401" s="87">
        <v>1.237439</v>
      </c>
      <c r="T401" s="87">
        <v>0.474877</v>
      </c>
      <c r="U401" s="87">
        <v>0.552548</v>
      </c>
      <c r="V401" s="87">
        <v>0.809971</v>
      </c>
      <c r="W401" s="87">
        <v>1.127957</v>
      </c>
      <c r="X401" s="87">
        <v>1.237439</v>
      </c>
      <c r="Y401" s="87">
        <v>1.054824</v>
      </c>
      <c r="Z401" s="87">
        <v>0.0</v>
      </c>
      <c r="AA401" s="87">
        <v>1.483333</v>
      </c>
      <c r="AB401" s="87">
        <v>1.603939</v>
      </c>
      <c r="AC401" s="87">
        <v>2.172233</v>
      </c>
      <c r="AD401" s="87">
        <v>1.166657</v>
      </c>
      <c r="AE401" s="87">
        <v>1.467002</v>
      </c>
      <c r="AF401" s="87">
        <v>3.268284</v>
      </c>
      <c r="AG401" s="87">
        <v>1.547563</v>
      </c>
      <c r="AH401" s="87">
        <v>0.0</v>
      </c>
      <c r="AI401" s="87">
        <v>2.273165</v>
      </c>
      <c r="AJ401" s="87">
        <v>1.981524</v>
      </c>
      <c r="AK401" s="87">
        <v>2.172233</v>
      </c>
      <c r="AL401" s="88" t="s">
        <v>1396</v>
      </c>
    </row>
    <row r="402">
      <c r="A402" s="84" t="s">
        <v>1911</v>
      </c>
      <c r="B402" s="84" t="s">
        <v>1931</v>
      </c>
      <c r="C402" s="84" t="s">
        <v>258</v>
      </c>
      <c r="D402" s="84" t="s">
        <v>1926</v>
      </c>
      <c r="E402" s="89">
        <v>46300.0</v>
      </c>
      <c r="F402" s="87">
        <v>3.0</v>
      </c>
      <c r="G402" s="87">
        <v>0.0</v>
      </c>
      <c r="H402" s="87">
        <v>134.0</v>
      </c>
      <c r="I402" s="87">
        <v>0.0</v>
      </c>
      <c r="J402" s="87">
        <v>8.662576</v>
      </c>
      <c r="K402" s="87">
        <v>12.83569</v>
      </c>
      <c r="L402" s="87">
        <v>9.654356</v>
      </c>
      <c r="M402" s="87">
        <v>10.31146</v>
      </c>
      <c r="N402" s="87">
        <v>0.803343</v>
      </c>
      <c r="O402" s="87">
        <v>0.0</v>
      </c>
      <c r="P402" s="87">
        <v>0.0</v>
      </c>
      <c r="Q402" s="87">
        <v>0.0</v>
      </c>
      <c r="R402" s="87">
        <v>2.524233</v>
      </c>
      <c r="S402" s="87">
        <v>10.31146</v>
      </c>
      <c r="T402" s="87">
        <v>2.524233</v>
      </c>
      <c r="U402" s="87">
        <v>2.524233</v>
      </c>
      <c r="V402" s="87">
        <v>2.524233</v>
      </c>
      <c r="W402" s="87">
        <v>10.31146</v>
      </c>
      <c r="X402" s="87">
        <v>10.31146</v>
      </c>
      <c r="Y402" s="87">
        <v>4.278563</v>
      </c>
      <c r="Z402" s="87">
        <v>0.0</v>
      </c>
      <c r="AA402" s="87">
        <v>1.483333</v>
      </c>
      <c r="AB402" s="87">
        <v>1.603939</v>
      </c>
      <c r="AC402" s="87">
        <v>2.172233</v>
      </c>
      <c r="AD402" s="87">
        <v>0.697619</v>
      </c>
      <c r="AE402" s="87">
        <v>2.524233</v>
      </c>
      <c r="AF402" s="87">
        <v>3.076603</v>
      </c>
      <c r="AG402" s="87">
        <v>2.624092</v>
      </c>
      <c r="AH402" s="87">
        <v>0.0</v>
      </c>
      <c r="AI402" s="87">
        <v>2.273165</v>
      </c>
      <c r="AJ402" s="87">
        <v>1.981524</v>
      </c>
      <c r="AK402" s="87">
        <v>2.172233</v>
      </c>
      <c r="AL402" s="88" t="s">
        <v>1396</v>
      </c>
    </row>
    <row r="403">
      <c r="A403" s="84" t="s">
        <v>1913</v>
      </c>
      <c r="B403" s="84" t="s">
        <v>1932</v>
      </c>
      <c r="C403" s="84" t="s">
        <v>258</v>
      </c>
      <c r="D403" s="84" t="s">
        <v>1926</v>
      </c>
      <c r="E403" s="84" t="s">
        <v>1403</v>
      </c>
      <c r="F403" s="87">
        <v>55.0</v>
      </c>
      <c r="G403" s="87">
        <v>3.0</v>
      </c>
      <c r="H403" s="87">
        <v>33.0</v>
      </c>
      <c r="I403" s="87">
        <v>33.0</v>
      </c>
      <c r="J403" s="87">
        <v>0.0</v>
      </c>
      <c r="K403" s="87">
        <v>0.0</v>
      </c>
      <c r="L403" s="87">
        <v>0.0</v>
      </c>
      <c r="M403" s="87">
        <v>0.0</v>
      </c>
      <c r="N403" s="87">
        <v>0.0</v>
      </c>
      <c r="O403" s="87">
        <v>0.0</v>
      </c>
      <c r="P403" s="87">
        <v>0.0</v>
      </c>
      <c r="Q403" s="87">
        <v>0.0</v>
      </c>
      <c r="R403" s="87">
        <v>0.0</v>
      </c>
      <c r="S403" s="87">
        <v>0.0</v>
      </c>
      <c r="T403" s="87">
        <v>0.0</v>
      </c>
      <c r="U403" s="87">
        <v>0.0</v>
      </c>
      <c r="V403" s="87">
        <v>0.0</v>
      </c>
      <c r="W403" s="87">
        <v>0.0</v>
      </c>
      <c r="X403" s="87">
        <v>0.0</v>
      </c>
      <c r="Y403" s="87">
        <v>0.0</v>
      </c>
      <c r="Z403" s="87">
        <v>0.0</v>
      </c>
      <c r="AA403" s="87">
        <v>1.483333</v>
      </c>
      <c r="AB403" s="87">
        <v>1.603939</v>
      </c>
      <c r="AC403" s="87">
        <v>2.172233</v>
      </c>
      <c r="AD403" s="87">
        <v>0.0</v>
      </c>
      <c r="AE403" s="87">
        <v>0.0</v>
      </c>
      <c r="AF403" s="87">
        <v>0.0</v>
      </c>
      <c r="AG403" s="87">
        <v>0.0</v>
      </c>
      <c r="AH403" s="87">
        <v>0.0</v>
      </c>
      <c r="AI403" s="87">
        <v>2.273165</v>
      </c>
      <c r="AJ403" s="87">
        <v>1.981524</v>
      </c>
      <c r="AK403" s="87">
        <v>2.172233</v>
      </c>
      <c r="AL403" s="88" t="s">
        <v>1396</v>
      </c>
    </row>
    <row r="404">
      <c r="A404" s="84" t="s">
        <v>1903</v>
      </c>
      <c r="B404" s="84" t="s">
        <v>1933</v>
      </c>
      <c r="C404" s="84" t="s">
        <v>258</v>
      </c>
      <c r="D404" s="84" t="s">
        <v>259</v>
      </c>
      <c r="E404" s="84" t="s">
        <v>1426</v>
      </c>
      <c r="F404" s="87">
        <v>5.0</v>
      </c>
      <c r="G404" s="87">
        <v>0.0</v>
      </c>
      <c r="H404" s="87">
        <v>5297.0</v>
      </c>
      <c r="I404" s="87">
        <v>0.0</v>
      </c>
      <c r="J404" s="87">
        <v>57.41102</v>
      </c>
      <c r="K404" s="87">
        <v>60.52103</v>
      </c>
      <c r="L404" s="87">
        <v>63.38283</v>
      </c>
      <c r="M404" s="87">
        <v>59.82493</v>
      </c>
      <c r="N404" s="87">
        <v>0.988498</v>
      </c>
      <c r="O404" s="87">
        <v>0.0</v>
      </c>
      <c r="P404" s="87">
        <v>0.0</v>
      </c>
      <c r="Q404" s="87">
        <v>0.0</v>
      </c>
      <c r="R404" s="87">
        <v>0.0</v>
      </c>
      <c r="S404" s="87">
        <v>0.696099</v>
      </c>
      <c r="T404" s="87">
        <v>0.696099</v>
      </c>
      <c r="U404" s="87">
        <v>0.696099</v>
      </c>
      <c r="V404" s="87">
        <v>0.696099</v>
      </c>
      <c r="W404" s="87">
        <v>59.82493</v>
      </c>
      <c r="X404" s="87">
        <v>59.82493</v>
      </c>
      <c r="Y404" s="87">
        <v>12.10421</v>
      </c>
      <c r="Z404" s="87">
        <v>0.0</v>
      </c>
      <c r="AA404" s="87">
        <v>2.592374</v>
      </c>
      <c r="AB404" s="87">
        <v>2.190321</v>
      </c>
      <c r="AC404" s="87">
        <v>3.58844</v>
      </c>
      <c r="AD404" s="87">
        <v>0.0</v>
      </c>
      <c r="AE404" s="87">
        <v>2.378679</v>
      </c>
      <c r="AF404" s="87">
        <v>2.920235</v>
      </c>
      <c r="AG404" s="87">
        <v>0.0375</v>
      </c>
      <c r="AH404" s="87">
        <v>0.0</v>
      </c>
      <c r="AI404" s="87">
        <v>2.273165</v>
      </c>
      <c r="AJ404" s="87">
        <v>1.981524</v>
      </c>
      <c r="AK404" s="87">
        <v>2.172233</v>
      </c>
      <c r="AL404" s="88" t="s">
        <v>1396</v>
      </c>
    </row>
    <row r="405">
      <c r="A405" s="84" t="s">
        <v>1917</v>
      </c>
      <c r="B405" s="84" t="s">
        <v>1934</v>
      </c>
      <c r="C405" s="84" t="s">
        <v>258</v>
      </c>
      <c r="D405" s="84" t="s">
        <v>259</v>
      </c>
      <c r="E405" s="89">
        <v>46310.0</v>
      </c>
      <c r="F405" s="87">
        <v>16.0</v>
      </c>
      <c r="G405" s="87">
        <v>0.0</v>
      </c>
      <c r="H405" s="87">
        <v>6840.0</v>
      </c>
      <c r="I405" s="87">
        <v>0.0</v>
      </c>
      <c r="J405" s="87">
        <v>71.47755</v>
      </c>
      <c r="K405" s="87">
        <v>71.33366</v>
      </c>
      <c r="L405" s="87">
        <v>79.83016</v>
      </c>
      <c r="M405" s="87">
        <v>39.99088</v>
      </c>
      <c r="N405" s="87">
        <v>0.560617</v>
      </c>
      <c r="O405" s="87">
        <v>0.0</v>
      </c>
      <c r="P405" s="87">
        <v>0.0</v>
      </c>
      <c r="Q405" s="87">
        <v>0.090909</v>
      </c>
      <c r="R405" s="87">
        <v>3.940067</v>
      </c>
      <c r="S405" s="87">
        <v>7.245553</v>
      </c>
      <c r="T405" s="87">
        <v>0.377778</v>
      </c>
      <c r="U405" s="87">
        <v>2.491393</v>
      </c>
      <c r="V405" s="87">
        <v>3.319476</v>
      </c>
      <c r="W405" s="87">
        <v>7.198997</v>
      </c>
      <c r="X405" s="87">
        <v>7.940808</v>
      </c>
      <c r="Y405" s="87">
        <v>4.458354</v>
      </c>
      <c r="Z405" s="87">
        <v>0.0</v>
      </c>
      <c r="AA405" s="87">
        <v>2.592374</v>
      </c>
      <c r="AB405" s="87">
        <v>2.190321</v>
      </c>
      <c r="AC405" s="87">
        <v>3.58844</v>
      </c>
      <c r="AD405" s="87">
        <v>2.827784</v>
      </c>
      <c r="AE405" s="87">
        <v>4.759797</v>
      </c>
      <c r="AF405" s="87">
        <v>5.329438</v>
      </c>
      <c r="AG405" s="87">
        <v>4.61315</v>
      </c>
      <c r="AH405" s="87">
        <v>0.0</v>
      </c>
      <c r="AI405" s="87">
        <v>2.273165</v>
      </c>
      <c r="AJ405" s="87">
        <v>1.981524</v>
      </c>
      <c r="AK405" s="87">
        <v>2.172233</v>
      </c>
      <c r="AL405" s="88" t="s">
        <v>1396</v>
      </c>
    </row>
    <row r="406">
      <c r="A406" s="84" t="s">
        <v>1905</v>
      </c>
      <c r="B406" s="84" t="s">
        <v>1935</v>
      </c>
      <c r="C406" s="84" t="s">
        <v>258</v>
      </c>
      <c r="D406" s="84" t="s">
        <v>259</v>
      </c>
      <c r="E406" s="84" t="s">
        <v>1413</v>
      </c>
      <c r="F406" s="87">
        <v>21.0</v>
      </c>
      <c r="G406" s="87">
        <v>0.0</v>
      </c>
      <c r="H406" s="87">
        <v>6380.0</v>
      </c>
      <c r="I406" s="87">
        <v>0.0</v>
      </c>
      <c r="J406" s="87">
        <v>76.54667</v>
      </c>
      <c r="K406" s="87">
        <v>75.35725</v>
      </c>
      <c r="L406" s="87">
        <v>77.96443</v>
      </c>
      <c r="M406" s="87">
        <v>70.74356</v>
      </c>
      <c r="N406" s="87">
        <v>0.938776</v>
      </c>
      <c r="O406" s="87">
        <v>0.0</v>
      </c>
      <c r="P406" s="87">
        <v>0.0</v>
      </c>
      <c r="Q406" s="87">
        <v>0.0</v>
      </c>
      <c r="R406" s="87">
        <v>0.033333</v>
      </c>
      <c r="S406" s="87">
        <v>1.28019</v>
      </c>
      <c r="T406" s="87">
        <v>0.074074</v>
      </c>
      <c r="U406" s="87">
        <v>0.190476</v>
      </c>
      <c r="V406" s="87">
        <v>0.938095</v>
      </c>
      <c r="W406" s="87">
        <v>2.097519</v>
      </c>
      <c r="X406" s="87">
        <v>5.09764</v>
      </c>
      <c r="Y406" s="87">
        <v>3.58844</v>
      </c>
      <c r="Z406" s="87">
        <v>0.0</v>
      </c>
      <c r="AA406" s="87">
        <v>2.592374</v>
      </c>
      <c r="AB406" s="87">
        <v>2.190321</v>
      </c>
      <c r="AC406" s="87">
        <v>3.58844</v>
      </c>
      <c r="AD406" s="87">
        <v>1.868644</v>
      </c>
      <c r="AE406" s="87">
        <v>2.843005</v>
      </c>
      <c r="AF406" s="87">
        <v>3.913201</v>
      </c>
      <c r="AG406" s="87">
        <v>3.58844</v>
      </c>
      <c r="AH406" s="87">
        <v>0.0</v>
      </c>
      <c r="AI406" s="87">
        <v>2.273165</v>
      </c>
      <c r="AJ406" s="87">
        <v>1.981524</v>
      </c>
      <c r="AK406" s="87">
        <v>2.172233</v>
      </c>
      <c r="AL406" s="88" t="s">
        <v>1396</v>
      </c>
    </row>
    <row r="407">
      <c r="A407" s="84" t="s">
        <v>1907</v>
      </c>
      <c r="B407" s="84" t="s">
        <v>1936</v>
      </c>
      <c r="C407" s="84" t="s">
        <v>258</v>
      </c>
      <c r="D407" s="84" t="s">
        <v>259</v>
      </c>
      <c r="E407" s="84" t="s">
        <v>1398</v>
      </c>
      <c r="F407" s="87">
        <v>27.0</v>
      </c>
      <c r="G407" s="87">
        <v>0.0</v>
      </c>
      <c r="H407" s="87">
        <v>7057.0</v>
      </c>
      <c r="I407" s="87">
        <v>0.0</v>
      </c>
      <c r="J407" s="87">
        <v>64.76558</v>
      </c>
      <c r="K407" s="87">
        <v>67.51045</v>
      </c>
      <c r="L407" s="87">
        <v>66.16654</v>
      </c>
      <c r="M407" s="87">
        <v>49.47096</v>
      </c>
      <c r="N407" s="87">
        <v>0.73279</v>
      </c>
      <c r="O407" s="87">
        <v>0.0</v>
      </c>
      <c r="P407" s="87">
        <v>0.0</v>
      </c>
      <c r="Q407" s="87">
        <v>0.166667</v>
      </c>
      <c r="R407" s="87">
        <v>1.090851</v>
      </c>
      <c r="S407" s="87">
        <v>2.321717</v>
      </c>
      <c r="T407" s="87">
        <v>0.331818</v>
      </c>
      <c r="U407" s="87">
        <v>0.456005</v>
      </c>
      <c r="V407" s="87">
        <v>1.090851</v>
      </c>
      <c r="W407" s="87">
        <v>2.292428</v>
      </c>
      <c r="X407" s="87">
        <v>3.015979</v>
      </c>
      <c r="Y407" s="87">
        <v>2.500387</v>
      </c>
      <c r="Z407" s="87">
        <v>0.0</v>
      </c>
      <c r="AA407" s="87">
        <v>2.592374</v>
      </c>
      <c r="AB407" s="87">
        <v>2.190321</v>
      </c>
      <c r="AC407" s="87">
        <v>3.58844</v>
      </c>
      <c r="AD407" s="87">
        <v>2.13156</v>
      </c>
      <c r="AE407" s="87">
        <v>2.42183</v>
      </c>
      <c r="AF407" s="87">
        <v>4.527598</v>
      </c>
      <c r="AG407" s="87">
        <v>2.900255</v>
      </c>
      <c r="AH407" s="87">
        <v>0.0</v>
      </c>
      <c r="AI407" s="87">
        <v>2.273165</v>
      </c>
      <c r="AJ407" s="87">
        <v>1.981524</v>
      </c>
      <c r="AK407" s="87">
        <v>2.172233</v>
      </c>
      <c r="AL407" s="88" t="s">
        <v>1396</v>
      </c>
    </row>
    <row r="408">
      <c r="A408" s="84" t="s">
        <v>1909</v>
      </c>
      <c r="B408" s="84" t="s">
        <v>1937</v>
      </c>
      <c r="C408" s="84" t="s">
        <v>258</v>
      </c>
      <c r="D408" s="84" t="s">
        <v>259</v>
      </c>
      <c r="E408" s="84" t="s">
        <v>1400</v>
      </c>
      <c r="F408" s="87">
        <v>69.0</v>
      </c>
      <c r="G408" s="87">
        <v>1.0</v>
      </c>
      <c r="H408" s="87">
        <v>28908.0</v>
      </c>
      <c r="I408" s="87">
        <v>68.0</v>
      </c>
      <c r="J408" s="87">
        <v>278.5702</v>
      </c>
      <c r="K408" s="87">
        <v>300.0523</v>
      </c>
      <c r="L408" s="87">
        <v>294.2875</v>
      </c>
      <c r="M408" s="87">
        <v>194.4733</v>
      </c>
      <c r="N408" s="87">
        <v>0.648131</v>
      </c>
      <c r="O408" s="87">
        <v>0.0</v>
      </c>
      <c r="P408" s="87">
        <v>0.034565</v>
      </c>
      <c r="Q408" s="87">
        <v>0.580178</v>
      </c>
      <c r="R408" s="87">
        <v>2.067398</v>
      </c>
      <c r="S408" s="87">
        <v>5.531304</v>
      </c>
      <c r="T408" s="87">
        <v>0.498478</v>
      </c>
      <c r="U408" s="87">
        <v>0.832555</v>
      </c>
      <c r="V408" s="87">
        <v>1.457118</v>
      </c>
      <c r="W408" s="87">
        <v>2.69412</v>
      </c>
      <c r="X408" s="87">
        <v>6.102415</v>
      </c>
      <c r="Y408" s="87">
        <v>4.348584</v>
      </c>
      <c r="Z408" s="87">
        <v>0.0</v>
      </c>
      <c r="AA408" s="87">
        <v>2.592374</v>
      </c>
      <c r="AB408" s="87">
        <v>2.190321</v>
      </c>
      <c r="AC408" s="87">
        <v>3.58844</v>
      </c>
      <c r="AD408" s="87">
        <v>1.166657</v>
      </c>
      <c r="AE408" s="87">
        <v>1.467002</v>
      </c>
      <c r="AF408" s="87">
        <v>3.268284</v>
      </c>
      <c r="AG408" s="87">
        <v>1.547563</v>
      </c>
      <c r="AH408" s="87">
        <v>0.0</v>
      </c>
      <c r="AI408" s="87">
        <v>2.273165</v>
      </c>
      <c r="AJ408" s="87">
        <v>1.981524</v>
      </c>
      <c r="AK408" s="87">
        <v>2.172233</v>
      </c>
      <c r="AL408" s="88" t="s">
        <v>1396</v>
      </c>
    </row>
    <row r="409">
      <c r="A409" s="84" t="s">
        <v>1911</v>
      </c>
      <c r="B409" s="84" t="s">
        <v>1938</v>
      </c>
      <c r="C409" s="84" t="s">
        <v>258</v>
      </c>
      <c r="D409" s="84" t="s">
        <v>259</v>
      </c>
      <c r="E409" s="89">
        <v>46300.0</v>
      </c>
      <c r="F409" s="87">
        <v>8.0</v>
      </c>
      <c r="G409" s="87">
        <v>0.0</v>
      </c>
      <c r="H409" s="87">
        <v>389.0</v>
      </c>
      <c r="I409" s="87">
        <v>0.0</v>
      </c>
      <c r="J409" s="87">
        <v>18.30023</v>
      </c>
      <c r="K409" s="87">
        <v>20.99274</v>
      </c>
      <c r="L409" s="87">
        <v>27.184</v>
      </c>
      <c r="M409" s="87">
        <v>20.49274</v>
      </c>
      <c r="N409" s="87">
        <v>0.976182</v>
      </c>
      <c r="O409" s="87">
        <v>0.0</v>
      </c>
      <c r="P409" s="87">
        <v>0.0</v>
      </c>
      <c r="Q409" s="87">
        <v>0.0</v>
      </c>
      <c r="R409" s="87">
        <v>0.0</v>
      </c>
      <c r="S409" s="87">
        <v>0.5</v>
      </c>
      <c r="T409" s="87">
        <v>0.5</v>
      </c>
      <c r="U409" s="87">
        <v>0.5</v>
      </c>
      <c r="V409" s="87">
        <v>0.5</v>
      </c>
      <c r="W409" s="87">
        <v>1.45</v>
      </c>
      <c r="X409" s="87">
        <v>19.04274</v>
      </c>
      <c r="Y409" s="87">
        <v>2.624092</v>
      </c>
      <c r="Z409" s="87">
        <v>0.0</v>
      </c>
      <c r="AA409" s="87">
        <v>2.592374</v>
      </c>
      <c r="AB409" s="87">
        <v>2.190321</v>
      </c>
      <c r="AC409" s="87">
        <v>3.58844</v>
      </c>
      <c r="AD409" s="87">
        <v>0.697619</v>
      </c>
      <c r="AE409" s="87">
        <v>2.524233</v>
      </c>
      <c r="AF409" s="87">
        <v>3.076603</v>
      </c>
      <c r="AG409" s="87">
        <v>2.624092</v>
      </c>
      <c r="AH409" s="87">
        <v>0.0</v>
      </c>
      <c r="AI409" s="87">
        <v>2.273165</v>
      </c>
      <c r="AJ409" s="87">
        <v>1.981524</v>
      </c>
      <c r="AK409" s="87">
        <v>2.172233</v>
      </c>
      <c r="AL409" s="88" t="s">
        <v>1396</v>
      </c>
    </row>
    <row r="410">
      <c r="A410" s="84" t="s">
        <v>1913</v>
      </c>
      <c r="B410" s="84" t="s">
        <v>1939</v>
      </c>
      <c r="C410" s="84" t="s">
        <v>258</v>
      </c>
      <c r="D410" s="84" t="s">
        <v>259</v>
      </c>
      <c r="E410" s="84" t="s">
        <v>1403</v>
      </c>
      <c r="F410" s="87">
        <v>126.0</v>
      </c>
      <c r="G410" s="87">
        <v>6.0</v>
      </c>
      <c r="H410" s="87">
        <v>138.0</v>
      </c>
      <c r="I410" s="87">
        <v>138.0</v>
      </c>
      <c r="J410" s="87">
        <v>0.0</v>
      </c>
      <c r="K410" s="87">
        <v>0.0</v>
      </c>
      <c r="L410" s="87">
        <v>0.0</v>
      </c>
      <c r="M410" s="87">
        <v>0.0</v>
      </c>
      <c r="N410" s="87">
        <v>0.0</v>
      </c>
      <c r="O410" s="87">
        <v>0.0</v>
      </c>
      <c r="P410" s="87">
        <v>0.0</v>
      </c>
      <c r="Q410" s="87">
        <v>0.0</v>
      </c>
      <c r="R410" s="87">
        <v>0.0</v>
      </c>
      <c r="S410" s="87">
        <v>0.0</v>
      </c>
      <c r="T410" s="87">
        <v>0.0</v>
      </c>
      <c r="U410" s="87">
        <v>0.0</v>
      </c>
      <c r="V410" s="87">
        <v>0.0</v>
      </c>
      <c r="W410" s="87">
        <v>0.0</v>
      </c>
      <c r="X410" s="87">
        <v>0.0</v>
      </c>
      <c r="Y410" s="87">
        <v>0.0</v>
      </c>
      <c r="Z410" s="87">
        <v>0.0</v>
      </c>
      <c r="AA410" s="87">
        <v>2.592374</v>
      </c>
      <c r="AB410" s="87">
        <v>2.190321</v>
      </c>
      <c r="AC410" s="87">
        <v>3.58844</v>
      </c>
      <c r="AD410" s="87">
        <v>0.0</v>
      </c>
      <c r="AE410" s="87">
        <v>0.0</v>
      </c>
      <c r="AF410" s="87">
        <v>0.0</v>
      </c>
      <c r="AG410" s="87">
        <v>0.0</v>
      </c>
      <c r="AH410" s="87">
        <v>0.0</v>
      </c>
      <c r="AI410" s="87">
        <v>2.273165</v>
      </c>
      <c r="AJ410" s="87">
        <v>1.981524</v>
      </c>
      <c r="AK410" s="87">
        <v>2.172233</v>
      </c>
      <c r="AL410" s="88" t="s">
        <v>1396</v>
      </c>
    </row>
    <row r="411">
      <c r="A411" s="84" t="s">
        <v>1917</v>
      </c>
      <c r="B411" s="84" t="s">
        <v>1940</v>
      </c>
      <c r="C411" s="84" t="s">
        <v>258</v>
      </c>
      <c r="D411" s="84" t="s">
        <v>905</v>
      </c>
      <c r="E411" s="86">
        <v>46310.0</v>
      </c>
      <c r="F411" s="87">
        <v>18.0</v>
      </c>
      <c r="G411" s="87">
        <v>0.0</v>
      </c>
      <c r="H411" s="87">
        <v>10165.0</v>
      </c>
      <c r="I411" s="87">
        <v>0.0</v>
      </c>
      <c r="J411" s="87">
        <v>204.4718</v>
      </c>
      <c r="K411" s="87">
        <v>181.4961</v>
      </c>
      <c r="L411" s="87">
        <v>163.9355</v>
      </c>
      <c r="M411" s="87">
        <v>100.2987</v>
      </c>
      <c r="N411" s="87">
        <v>0.552622</v>
      </c>
      <c r="O411" s="87">
        <v>0.0</v>
      </c>
      <c r="P411" s="87">
        <v>1.202549</v>
      </c>
      <c r="Q411" s="87">
        <v>2.827784</v>
      </c>
      <c r="R411" s="87">
        <v>8.341745</v>
      </c>
      <c r="S411" s="87">
        <v>10.80075</v>
      </c>
      <c r="T411" s="87">
        <v>1.202549</v>
      </c>
      <c r="U411" s="87">
        <v>2.827784</v>
      </c>
      <c r="V411" s="87">
        <v>5.720923</v>
      </c>
      <c r="W411" s="87">
        <v>8.37413</v>
      </c>
      <c r="X411" s="87">
        <v>18.23749</v>
      </c>
      <c r="Y411" s="87">
        <v>10.08312</v>
      </c>
      <c r="Z411" s="87">
        <v>0.006494</v>
      </c>
      <c r="AA411" s="87">
        <v>2.335037</v>
      </c>
      <c r="AB411" s="87">
        <v>2.701888</v>
      </c>
      <c r="AC411" s="87">
        <v>2.936445</v>
      </c>
      <c r="AD411" s="87">
        <v>2.827784</v>
      </c>
      <c r="AE411" s="87">
        <v>4.759797</v>
      </c>
      <c r="AF411" s="87">
        <v>5.329438</v>
      </c>
      <c r="AG411" s="87">
        <v>4.61315</v>
      </c>
      <c r="AH411" s="87">
        <v>0.0</v>
      </c>
      <c r="AI411" s="87">
        <v>2.273165</v>
      </c>
      <c r="AJ411" s="87">
        <v>1.981524</v>
      </c>
      <c r="AK411" s="87">
        <v>2.172233</v>
      </c>
      <c r="AL411" s="88" t="s">
        <v>1396</v>
      </c>
    </row>
    <row r="412">
      <c r="A412" s="84" t="s">
        <v>1905</v>
      </c>
      <c r="B412" s="84" t="s">
        <v>1941</v>
      </c>
      <c r="C412" s="84" t="s">
        <v>258</v>
      </c>
      <c r="D412" s="84" t="s">
        <v>905</v>
      </c>
      <c r="E412" s="84" t="s">
        <v>1413</v>
      </c>
      <c r="F412" s="87">
        <v>9.0</v>
      </c>
      <c r="G412" s="87">
        <v>0.0</v>
      </c>
      <c r="H412" s="87">
        <v>2175.0</v>
      </c>
      <c r="I412" s="87">
        <v>0.0</v>
      </c>
      <c r="J412" s="87">
        <v>21.25767</v>
      </c>
      <c r="K412" s="87">
        <v>14.97031</v>
      </c>
      <c r="L412" s="87">
        <v>13.97296</v>
      </c>
      <c r="M412" s="87">
        <v>8.042941</v>
      </c>
      <c r="N412" s="87">
        <v>0.53726</v>
      </c>
      <c r="O412" s="87">
        <v>0.0</v>
      </c>
      <c r="P412" s="87">
        <v>0.0</v>
      </c>
      <c r="Q412" s="87">
        <v>0.201149</v>
      </c>
      <c r="R412" s="87">
        <v>0.252258</v>
      </c>
      <c r="S412" s="87">
        <v>3.265223</v>
      </c>
      <c r="T412" s="87">
        <v>0.201149</v>
      </c>
      <c r="U412" s="87">
        <v>0.202299</v>
      </c>
      <c r="V412" s="87">
        <v>0.252258</v>
      </c>
      <c r="W412" s="87">
        <v>3.006435</v>
      </c>
      <c r="X412" s="87">
        <v>3.265223</v>
      </c>
      <c r="Y412" s="87">
        <v>1.663367</v>
      </c>
      <c r="Z412" s="87">
        <v>0.006494</v>
      </c>
      <c r="AA412" s="87">
        <v>2.335037</v>
      </c>
      <c r="AB412" s="87">
        <v>2.701888</v>
      </c>
      <c r="AC412" s="87">
        <v>2.936445</v>
      </c>
      <c r="AD412" s="87">
        <v>1.868644</v>
      </c>
      <c r="AE412" s="87">
        <v>2.843005</v>
      </c>
      <c r="AF412" s="87">
        <v>3.913201</v>
      </c>
      <c r="AG412" s="87">
        <v>3.58844</v>
      </c>
      <c r="AH412" s="87">
        <v>0.0</v>
      </c>
      <c r="AI412" s="87">
        <v>2.273165</v>
      </c>
      <c r="AJ412" s="87">
        <v>1.981524</v>
      </c>
      <c r="AK412" s="87">
        <v>2.172233</v>
      </c>
      <c r="AL412" s="88" t="s">
        <v>1396</v>
      </c>
    </row>
    <row r="413">
      <c r="A413" s="84" t="s">
        <v>1907</v>
      </c>
      <c r="B413" s="84" t="s">
        <v>1942</v>
      </c>
      <c r="C413" s="84" t="s">
        <v>258</v>
      </c>
      <c r="D413" s="84" t="s">
        <v>905</v>
      </c>
      <c r="E413" s="84" t="s">
        <v>1398</v>
      </c>
      <c r="F413" s="87">
        <v>36.0</v>
      </c>
      <c r="G413" s="87">
        <v>0.0</v>
      </c>
      <c r="H413" s="87">
        <v>16502.0</v>
      </c>
      <c r="I413" s="87">
        <v>0.0</v>
      </c>
      <c r="J413" s="87">
        <v>266.7003</v>
      </c>
      <c r="K413" s="87">
        <v>269.8144</v>
      </c>
      <c r="L413" s="87">
        <v>272.559</v>
      </c>
      <c r="M413" s="87">
        <v>178.0428</v>
      </c>
      <c r="N413" s="87">
        <v>0.659871</v>
      </c>
      <c r="O413" s="87">
        <v>0.0</v>
      </c>
      <c r="P413" s="87">
        <v>0.551307</v>
      </c>
      <c r="Q413" s="87">
        <v>1.13839</v>
      </c>
      <c r="R413" s="87">
        <v>5.150636</v>
      </c>
      <c r="S413" s="87">
        <v>8.694499</v>
      </c>
      <c r="T413" s="87">
        <v>0.551307</v>
      </c>
      <c r="U413" s="87">
        <v>1.13839</v>
      </c>
      <c r="V413" s="87">
        <v>1.693269</v>
      </c>
      <c r="W413" s="87">
        <v>5.61772</v>
      </c>
      <c r="X413" s="87">
        <v>10.16941</v>
      </c>
      <c r="Y413" s="87">
        <v>7.494846</v>
      </c>
      <c r="Z413" s="87">
        <v>0.006494</v>
      </c>
      <c r="AA413" s="87">
        <v>2.335037</v>
      </c>
      <c r="AB413" s="87">
        <v>2.701888</v>
      </c>
      <c r="AC413" s="87">
        <v>2.936445</v>
      </c>
      <c r="AD413" s="87">
        <v>2.13156</v>
      </c>
      <c r="AE413" s="87">
        <v>2.42183</v>
      </c>
      <c r="AF413" s="87">
        <v>4.527598</v>
      </c>
      <c r="AG413" s="87">
        <v>2.900255</v>
      </c>
      <c r="AH413" s="87">
        <v>0.0</v>
      </c>
      <c r="AI413" s="87">
        <v>2.273165</v>
      </c>
      <c r="AJ413" s="87">
        <v>1.981524</v>
      </c>
      <c r="AK413" s="87">
        <v>2.172233</v>
      </c>
      <c r="AL413" s="88" t="s">
        <v>1396</v>
      </c>
    </row>
    <row r="414">
      <c r="A414" s="84" t="s">
        <v>1909</v>
      </c>
      <c r="B414" s="84" t="s">
        <v>1943</v>
      </c>
      <c r="C414" s="84" t="s">
        <v>258</v>
      </c>
      <c r="D414" s="84" t="s">
        <v>905</v>
      </c>
      <c r="E414" s="84" t="s">
        <v>1400</v>
      </c>
      <c r="F414" s="87">
        <v>74.0</v>
      </c>
      <c r="G414" s="87">
        <v>0.0</v>
      </c>
      <c r="H414" s="87">
        <v>19948.0</v>
      </c>
      <c r="I414" s="87">
        <v>0.0</v>
      </c>
      <c r="J414" s="87">
        <v>218.0113</v>
      </c>
      <c r="K414" s="87">
        <v>217.2969</v>
      </c>
      <c r="L414" s="87">
        <v>211.5224</v>
      </c>
      <c r="M414" s="87">
        <v>155.9144</v>
      </c>
      <c r="N414" s="87">
        <v>0.717518</v>
      </c>
      <c r="O414" s="87">
        <v>0.0</v>
      </c>
      <c r="P414" s="87">
        <v>0.265394</v>
      </c>
      <c r="Q414" s="87">
        <v>0.555736</v>
      </c>
      <c r="R414" s="87">
        <v>1.063672</v>
      </c>
      <c r="S414" s="87">
        <v>2.446003</v>
      </c>
      <c r="T414" s="87">
        <v>0.268034</v>
      </c>
      <c r="U414" s="87">
        <v>0.560172</v>
      </c>
      <c r="V414" s="87">
        <v>0.697479</v>
      </c>
      <c r="W414" s="87">
        <v>1.203423</v>
      </c>
      <c r="X414" s="87">
        <v>2.998617</v>
      </c>
      <c r="Y414" s="87">
        <v>2.936445</v>
      </c>
      <c r="Z414" s="87">
        <v>0.006494</v>
      </c>
      <c r="AA414" s="87">
        <v>2.335037</v>
      </c>
      <c r="AB414" s="87">
        <v>2.701888</v>
      </c>
      <c r="AC414" s="87">
        <v>2.936445</v>
      </c>
      <c r="AD414" s="87">
        <v>1.166657</v>
      </c>
      <c r="AE414" s="87">
        <v>1.467002</v>
      </c>
      <c r="AF414" s="87">
        <v>3.268284</v>
      </c>
      <c r="AG414" s="87">
        <v>1.547563</v>
      </c>
      <c r="AH414" s="87">
        <v>0.0</v>
      </c>
      <c r="AI414" s="87">
        <v>2.273165</v>
      </c>
      <c r="AJ414" s="87">
        <v>1.981524</v>
      </c>
      <c r="AK414" s="87">
        <v>2.172233</v>
      </c>
      <c r="AL414" s="88" t="s">
        <v>1396</v>
      </c>
    </row>
    <row r="415">
      <c r="A415" s="84" t="s">
        <v>1913</v>
      </c>
      <c r="B415" s="84" t="s">
        <v>1944</v>
      </c>
      <c r="C415" s="84" t="s">
        <v>258</v>
      </c>
      <c r="D415" s="84" t="s">
        <v>905</v>
      </c>
      <c r="E415" s="84" t="s">
        <v>1403</v>
      </c>
      <c r="F415" s="87">
        <v>116.0</v>
      </c>
      <c r="G415" s="87">
        <v>11.0</v>
      </c>
      <c r="H415" s="87">
        <v>706.0</v>
      </c>
      <c r="I415" s="87">
        <v>706.0</v>
      </c>
      <c r="J415" s="87">
        <v>0.0</v>
      </c>
      <c r="K415" s="87">
        <v>0.0</v>
      </c>
      <c r="L415" s="87">
        <v>0.0</v>
      </c>
      <c r="M415" s="87">
        <v>0.0</v>
      </c>
      <c r="N415" s="87">
        <v>0.0</v>
      </c>
      <c r="O415" s="87">
        <v>0.0</v>
      </c>
      <c r="P415" s="87">
        <v>0.0</v>
      </c>
      <c r="Q415" s="87">
        <v>0.0</v>
      </c>
      <c r="R415" s="87">
        <v>0.0</v>
      </c>
      <c r="S415" s="87">
        <v>0.0</v>
      </c>
      <c r="T415" s="87">
        <v>0.0</v>
      </c>
      <c r="U415" s="87">
        <v>0.0</v>
      </c>
      <c r="V415" s="87">
        <v>0.0</v>
      </c>
      <c r="W415" s="87">
        <v>0.0</v>
      </c>
      <c r="X415" s="87">
        <v>0.0</v>
      </c>
      <c r="Y415" s="87">
        <v>0.0</v>
      </c>
      <c r="Z415" s="87">
        <v>0.006494</v>
      </c>
      <c r="AA415" s="87">
        <v>2.335037</v>
      </c>
      <c r="AB415" s="87">
        <v>2.701888</v>
      </c>
      <c r="AC415" s="87">
        <v>2.936445</v>
      </c>
      <c r="AD415" s="87">
        <v>0.0</v>
      </c>
      <c r="AE415" s="87">
        <v>0.0</v>
      </c>
      <c r="AF415" s="87">
        <v>0.0</v>
      </c>
      <c r="AG415" s="87">
        <v>0.0</v>
      </c>
      <c r="AH415" s="87">
        <v>0.0</v>
      </c>
      <c r="AI415" s="87">
        <v>2.273165</v>
      </c>
      <c r="AJ415" s="87">
        <v>1.981524</v>
      </c>
      <c r="AK415" s="87">
        <v>2.172233</v>
      </c>
      <c r="AL415" s="88" t="s">
        <v>1396</v>
      </c>
    </row>
    <row r="416">
      <c r="A416" s="84" t="s">
        <v>1917</v>
      </c>
      <c r="B416" s="84" t="s">
        <v>1945</v>
      </c>
      <c r="C416" s="84" t="s">
        <v>258</v>
      </c>
      <c r="D416" s="84" t="s">
        <v>1946</v>
      </c>
      <c r="E416" s="86">
        <v>46310.0</v>
      </c>
      <c r="F416" s="87">
        <v>4.0</v>
      </c>
      <c r="G416" s="87">
        <v>0.0</v>
      </c>
      <c r="H416" s="87">
        <v>1070.0</v>
      </c>
      <c r="I416" s="87">
        <v>0.0</v>
      </c>
      <c r="J416" s="87">
        <v>20.88091</v>
      </c>
      <c r="K416" s="87">
        <v>21.49592</v>
      </c>
      <c r="L416" s="87">
        <v>21.16753</v>
      </c>
      <c r="M416" s="87">
        <v>17.33287</v>
      </c>
      <c r="N416" s="87">
        <v>0.806333</v>
      </c>
      <c r="O416" s="87">
        <v>0.0</v>
      </c>
      <c r="P416" s="87">
        <v>0.0</v>
      </c>
      <c r="Q416" s="87">
        <v>1.20821</v>
      </c>
      <c r="R416" s="87">
        <v>2.954839</v>
      </c>
      <c r="S416" s="87">
        <v>2.954839</v>
      </c>
      <c r="T416" s="87">
        <v>1.20821</v>
      </c>
      <c r="U416" s="87">
        <v>1.20821</v>
      </c>
      <c r="V416" s="87">
        <v>1.20821</v>
      </c>
      <c r="W416" s="87">
        <v>2.954839</v>
      </c>
      <c r="X416" s="87">
        <v>17.33287</v>
      </c>
      <c r="Y416" s="87">
        <v>5.373981</v>
      </c>
      <c r="Z416" s="87">
        <v>0.0</v>
      </c>
      <c r="AA416" s="87">
        <v>1.752582</v>
      </c>
      <c r="AB416" s="87">
        <v>0.818801</v>
      </c>
      <c r="AC416" s="87">
        <v>1.547563</v>
      </c>
      <c r="AD416" s="87">
        <v>2.827784</v>
      </c>
      <c r="AE416" s="87">
        <v>4.759797</v>
      </c>
      <c r="AF416" s="87">
        <v>5.329438</v>
      </c>
      <c r="AG416" s="87">
        <v>4.61315</v>
      </c>
      <c r="AH416" s="87">
        <v>0.0</v>
      </c>
      <c r="AI416" s="87">
        <v>2.273165</v>
      </c>
      <c r="AJ416" s="87">
        <v>1.981524</v>
      </c>
      <c r="AK416" s="87">
        <v>2.172233</v>
      </c>
      <c r="AL416" s="88" t="s">
        <v>1396</v>
      </c>
    </row>
    <row r="417">
      <c r="A417" s="84" t="s">
        <v>1905</v>
      </c>
      <c r="B417" s="84" t="s">
        <v>1947</v>
      </c>
      <c r="C417" s="84" t="s">
        <v>258</v>
      </c>
      <c r="D417" s="84" t="s">
        <v>1946</v>
      </c>
      <c r="E417" s="84" t="s">
        <v>1413</v>
      </c>
      <c r="F417" s="87">
        <v>2.0</v>
      </c>
      <c r="G417" s="87">
        <v>0.0</v>
      </c>
      <c r="H417" s="87">
        <v>449.0</v>
      </c>
      <c r="I417" s="87">
        <v>0.0</v>
      </c>
      <c r="J417" s="87">
        <v>1.357143</v>
      </c>
      <c r="K417" s="87">
        <v>1.278489</v>
      </c>
      <c r="L417" s="87">
        <v>1.221684</v>
      </c>
      <c r="M417" s="87">
        <v>1.278489</v>
      </c>
      <c r="N417" s="87">
        <v>1.0</v>
      </c>
      <c r="O417" s="87">
        <v>0.0</v>
      </c>
      <c r="P417" s="87">
        <v>0.0</v>
      </c>
      <c r="Q417" s="87">
        <v>0.0</v>
      </c>
      <c r="R417" s="87">
        <v>1.278489</v>
      </c>
      <c r="S417" s="87">
        <v>1.278489</v>
      </c>
      <c r="T417" s="87">
        <v>1.278489</v>
      </c>
      <c r="U417" s="87">
        <v>1.278489</v>
      </c>
      <c r="V417" s="87">
        <v>1.278489</v>
      </c>
      <c r="W417" s="87">
        <v>1.278489</v>
      </c>
      <c r="X417" s="87">
        <v>1.278489</v>
      </c>
      <c r="Y417" s="87">
        <v>0.639245</v>
      </c>
      <c r="Z417" s="87">
        <v>0.0</v>
      </c>
      <c r="AA417" s="87">
        <v>1.752582</v>
      </c>
      <c r="AB417" s="87">
        <v>0.818801</v>
      </c>
      <c r="AC417" s="87">
        <v>1.547563</v>
      </c>
      <c r="AD417" s="87">
        <v>1.868644</v>
      </c>
      <c r="AE417" s="87">
        <v>2.843005</v>
      </c>
      <c r="AF417" s="87">
        <v>3.913201</v>
      </c>
      <c r="AG417" s="87">
        <v>3.58844</v>
      </c>
      <c r="AH417" s="87">
        <v>0.0</v>
      </c>
      <c r="AI417" s="87">
        <v>2.273165</v>
      </c>
      <c r="AJ417" s="87">
        <v>1.981524</v>
      </c>
      <c r="AK417" s="87">
        <v>2.172233</v>
      </c>
      <c r="AL417" s="88" t="s">
        <v>1396</v>
      </c>
    </row>
    <row r="418">
      <c r="A418" s="84" t="s">
        <v>1907</v>
      </c>
      <c r="B418" s="84" t="s">
        <v>1948</v>
      </c>
      <c r="C418" s="84" t="s">
        <v>258</v>
      </c>
      <c r="D418" s="84" t="s">
        <v>1946</v>
      </c>
      <c r="E418" s="84" t="s">
        <v>1398</v>
      </c>
      <c r="F418" s="87">
        <v>1.0</v>
      </c>
      <c r="G418" s="87">
        <v>0.0</v>
      </c>
      <c r="H418" s="87">
        <v>459.0</v>
      </c>
      <c r="I418" s="87">
        <v>0.0</v>
      </c>
      <c r="J418" s="87">
        <v>4.938828</v>
      </c>
      <c r="K418" s="87">
        <v>4.876312</v>
      </c>
      <c r="L418" s="87">
        <v>4.542545</v>
      </c>
      <c r="M418" s="87">
        <v>4.876312</v>
      </c>
      <c r="N418" s="87">
        <v>1.0</v>
      </c>
      <c r="O418" s="87">
        <v>4.876312</v>
      </c>
      <c r="P418" s="87">
        <v>4.876312</v>
      </c>
      <c r="Q418" s="87">
        <v>4.876312</v>
      </c>
      <c r="R418" s="87">
        <v>4.876312</v>
      </c>
      <c r="S418" s="87">
        <v>4.876312</v>
      </c>
      <c r="T418" s="87">
        <v>4.876312</v>
      </c>
      <c r="U418" s="87">
        <v>4.876312</v>
      </c>
      <c r="V418" s="87">
        <v>4.876312</v>
      </c>
      <c r="W418" s="87">
        <v>4.876312</v>
      </c>
      <c r="X418" s="87">
        <v>4.876312</v>
      </c>
      <c r="Y418" s="87">
        <v>4.876312</v>
      </c>
      <c r="Z418" s="87">
        <v>0.0</v>
      </c>
      <c r="AA418" s="87">
        <v>1.752582</v>
      </c>
      <c r="AB418" s="87">
        <v>0.818801</v>
      </c>
      <c r="AC418" s="87">
        <v>1.547563</v>
      </c>
      <c r="AD418" s="87">
        <v>2.13156</v>
      </c>
      <c r="AE418" s="87">
        <v>2.42183</v>
      </c>
      <c r="AF418" s="87">
        <v>4.527598</v>
      </c>
      <c r="AG418" s="87">
        <v>2.900255</v>
      </c>
      <c r="AH418" s="87">
        <v>0.0</v>
      </c>
      <c r="AI418" s="87">
        <v>2.273165</v>
      </c>
      <c r="AJ418" s="87">
        <v>1.981524</v>
      </c>
      <c r="AK418" s="87">
        <v>2.172233</v>
      </c>
      <c r="AL418" s="88" t="s">
        <v>1396</v>
      </c>
    </row>
    <row r="419">
      <c r="A419" s="84" t="s">
        <v>1909</v>
      </c>
      <c r="B419" s="84" t="s">
        <v>1949</v>
      </c>
      <c r="C419" s="84" t="s">
        <v>258</v>
      </c>
      <c r="D419" s="84" t="s">
        <v>1946</v>
      </c>
      <c r="E419" s="84" t="s">
        <v>1400</v>
      </c>
      <c r="F419" s="87">
        <v>7.0</v>
      </c>
      <c r="G419" s="87">
        <v>0.0</v>
      </c>
      <c r="H419" s="87">
        <v>308.0</v>
      </c>
      <c r="I419" s="87">
        <v>0.0</v>
      </c>
      <c r="J419" s="87">
        <v>13.72922</v>
      </c>
      <c r="K419" s="87">
        <v>10.83294</v>
      </c>
      <c r="L419" s="87">
        <v>8.891913</v>
      </c>
      <c r="M419" s="87">
        <v>8.719756</v>
      </c>
      <c r="N419" s="87">
        <v>0.804929</v>
      </c>
      <c r="O419" s="87">
        <v>0.0</v>
      </c>
      <c r="P419" s="87">
        <v>0.0</v>
      </c>
      <c r="Q419" s="87">
        <v>0.166667</v>
      </c>
      <c r="R419" s="87">
        <v>0.194444</v>
      </c>
      <c r="S419" s="87">
        <v>1.752077</v>
      </c>
      <c r="T419" s="87">
        <v>0.166667</v>
      </c>
      <c r="U419" s="87">
        <v>0.194444</v>
      </c>
      <c r="V419" s="87">
        <v>0.194444</v>
      </c>
      <c r="W419" s="87">
        <v>1.752077</v>
      </c>
      <c r="X419" s="87">
        <v>1.752582</v>
      </c>
      <c r="Y419" s="87">
        <v>1.547563</v>
      </c>
      <c r="Z419" s="87">
        <v>0.0</v>
      </c>
      <c r="AA419" s="87">
        <v>1.752582</v>
      </c>
      <c r="AB419" s="87">
        <v>0.818801</v>
      </c>
      <c r="AC419" s="87">
        <v>1.547563</v>
      </c>
      <c r="AD419" s="87">
        <v>1.166657</v>
      </c>
      <c r="AE419" s="87">
        <v>1.467002</v>
      </c>
      <c r="AF419" s="87">
        <v>3.268284</v>
      </c>
      <c r="AG419" s="87">
        <v>1.547563</v>
      </c>
      <c r="AH419" s="87">
        <v>0.0</v>
      </c>
      <c r="AI419" s="87">
        <v>2.273165</v>
      </c>
      <c r="AJ419" s="87">
        <v>1.981524</v>
      </c>
      <c r="AK419" s="87">
        <v>2.172233</v>
      </c>
      <c r="AL419" s="88" t="s">
        <v>1396</v>
      </c>
    </row>
    <row r="420">
      <c r="A420" s="84" t="s">
        <v>1911</v>
      </c>
      <c r="B420" s="84" t="s">
        <v>1950</v>
      </c>
      <c r="C420" s="84" t="s">
        <v>258</v>
      </c>
      <c r="D420" s="84" t="s">
        <v>1946</v>
      </c>
      <c r="E420" s="89">
        <v>46300.0</v>
      </c>
      <c r="F420" s="87">
        <v>1.0</v>
      </c>
      <c r="G420" s="87">
        <v>0.0</v>
      </c>
      <c r="H420" s="87">
        <v>0.0</v>
      </c>
      <c r="I420" s="87">
        <v>0.0</v>
      </c>
      <c r="J420" s="87">
        <v>0.0</v>
      </c>
      <c r="K420" s="87">
        <v>0.0</v>
      </c>
      <c r="L420" s="87">
        <v>0.0</v>
      </c>
      <c r="M420" s="87">
        <v>0.0</v>
      </c>
      <c r="N420" s="87">
        <v>0.0</v>
      </c>
      <c r="O420" s="87">
        <v>0.0</v>
      </c>
      <c r="P420" s="87">
        <v>0.0</v>
      </c>
      <c r="Q420" s="87">
        <v>0.0</v>
      </c>
      <c r="R420" s="87">
        <v>0.0</v>
      </c>
      <c r="S420" s="87">
        <v>0.0</v>
      </c>
      <c r="T420" s="87">
        <v>0.0</v>
      </c>
      <c r="U420" s="87">
        <v>0.0</v>
      </c>
      <c r="V420" s="87">
        <v>0.0</v>
      </c>
      <c r="W420" s="87">
        <v>0.0</v>
      </c>
      <c r="X420" s="87">
        <v>0.0</v>
      </c>
      <c r="Y420" s="87">
        <v>0.0</v>
      </c>
      <c r="Z420" s="87">
        <v>0.0</v>
      </c>
      <c r="AA420" s="87">
        <v>1.752582</v>
      </c>
      <c r="AB420" s="87">
        <v>0.818801</v>
      </c>
      <c r="AC420" s="87">
        <v>1.547563</v>
      </c>
      <c r="AD420" s="87">
        <v>0.697619</v>
      </c>
      <c r="AE420" s="87">
        <v>2.524233</v>
      </c>
      <c r="AF420" s="87">
        <v>3.076603</v>
      </c>
      <c r="AG420" s="87">
        <v>2.624092</v>
      </c>
      <c r="AH420" s="87">
        <v>0.0</v>
      </c>
      <c r="AI420" s="87">
        <v>2.273165</v>
      </c>
      <c r="AJ420" s="87">
        <v>1.981524</v>
      </c>
      <c r="AK420" s="87">
        <v>2.172233</v>
      </c>
      <c r="AL420" s="88" t="s">
        <v>1396</v>
      </c>
    </row>
    <row r="421">
      <c r="A421" s="84" t="s">
        <v>1913</v>
      </c>
      <c r="B421" s="84" t="s">
        <v>1951</v>
      </c>
      <c r="C421" s="84" t="s">
        <v>258</v>
      </c>
      <c r="D421" s="84" t="s">
        <v>1946</v>
      </c>
      <c r="E421" s="84" t="s">
        <v>1403</v>
      </c>
      <c r="F421" s="87">
        <v>32.0</v>
      </c>
      <c r="G421" s="87">
        <v>1.0</v>
      </c>
      <c r="H421" s="87">
        <v>161.0</v>
      </c>
      <c r="I421" s="87">
        <v>161.0</v>
      </c>
      <c r="J421" s="87">
        <v>0.0</v>
      </c>
      <c r="K421" s="87">
        <v>0.0</v>
      </c>
      <c r="L421" s="87">
        <v>0.0</v>
      </c>
      <c r="M421" s="87">
        <v>0.0</v>
      </c>
      <c r="N421" s="87">
        <v>0.0</v>
      </c>
      <c r="O421" s="87">
        <v>0.0</v>
      </c>
      <c r="P421" s="87">
        <v>0.0</v>
      </c>
      <c r="Q421" s="87">
        <v>0.0</v>
      </c>
      <c r="R421" s="87">
        <v>0.0</v>
      </c>
      <c r="S421" s="87">
        <v>0.0</v>
      </c>
      <c r="T421" s="87">
        <v>0.0</v>
      </c>
      <c r="U421" s="87">
        <v>0.0</v>
      </c>
      <c r="V421" s="87">
        <v>0.0</v>
      </c>
      <c r="W421" s="87">
        <v>0.0</v>
      </c>
      <c r="X421" s="87">
        <v>0.0</v>
      </c>
      <c r="Y421" s="87">
        <v>0.0</v>
      </c>
      <c r="Z421" s="87">
        <v>0.0</v>
      </c>
      <c r="AA421" s="87">
        <v>1.752582</v>
      </c>
      <c r="AB421" s="87">
        <v>0.818801</v>
      </c>
      <c r="AC421" s="87">
        <v>1.547563</v>
      </c>
      <c r="AD421" s="87">
        <v>0.0</v>
      </c>
      <c r="AE421" s="87">
        <v>0.0</v>
      </c>
      <c r="AF421" s="87">
        <v>0.0</v>
      </c>
      <c r="AG421" s="87">
        <v>0.0</v>
      </c>
      <c r="AH421" s="87">
        <v>0.0</v>
      </c>
      <c r="AI421" s="87">
        <v>2.273165</v>
      </c>
      <c r="AJ421" s="87">
        <v>1.981524</v>
      </c>
      <c r="AK421" s="87">
        <v>2.172233</v>
      </c>
      <c r="AL421" s="88" t="s">
        <v>1396</v>
      </c>
    </row>
    <row r="422">
      <c r="A422" s="84" t="s">
        <v>1903</v>
      </c>
      <c r="B422" s="84" t="s">
        <v>1952</v>
      </c>
      <c r="C422" s="84" t="s">
        <v>258</v>
      </c>
      <c r="D422" s="84" t="s">
        <v>881</v>
      </c>
      <c r="E422" s="84" t="s">
        <v>1426</v>
      </c>
      <c r="F422" s="87">
        <v>9.0</v>
      </c>
      <c r="G422" s="87">
        <v>1.0</v>
      </c>
      <c r="H422" s="87">
        <v>21876.0</v>
      </c>
      <c r="I422" s="87">
        <v>19426.0</v>
      </c>
      <c r="J422" s="87">
        <v>7.957875</v>
      </c>
      <c r="K422" s="87">
        <v>6.494374</v>
      </c>
      <c r="L422" s="87">
        <v>7.830588</v>
      </c>
      <c r="M422" s="87">
        <v>5.558593</v>
      </c>
      <c r="N422" s="87">
        <v>0.855909</v>
      </c>
      <c r="O422" s="87">
        <v>0.0</v>
      </c>
      <c r="P422" s="87">
        <v>0.0</v>
      </c>
      <c r="Q422" s="87">
        <v>0.0</v>
      </c>
      <c r="R422" s="87">
        <v>0.0</v>
      </c>
      <c r="S422" s="87">
        <v>0.93578</v>
      </c>
      <c r="T422" s="87">
        <v>0.93578</v>
      </c>
      <c r="U422" s="87">
        <v>0.93578</v>
      </c>
      <c r="V422" s="87">
        <v>0.93578</v>
      </c>
      <c r="W422" s="87">
        <v>2.378679</v>
      </c>
      <c r="X422" s="87">
        <v>3.179914</v>
      </c>
      <c r="Y422" s="87">
        <v>0.721597</v>
      </c>
      <c r="Z422" s="87">
        <v>0.0</v>
      </c>
      <c r="AA422" s="87">
        <v>2.338556</v>
      </c>
      <c r="AB422" s="87">
        <v>1.344119</v>
      </c>
      <c r="AC422" s="87">
        <v>2.900255</v>
      </c>
      <c r="AD422" s="87">
        <v>0.0</v>
      </c>
      <c r="AE422" s="87">
        <v>2.378679</v>
      </c>
      <c r="AF422" s="87">
        <v>2.920235</v>
      </c>
      <c r="AG422" s="87">
        <v>0.0375</v>
      </c>
      <c r="AH422" s="87">
        <v>0.0</v>
      </c>
      <c r="AI422" s="87">
        <v>2.273165</v>
      </c>
      <c r="AJ422" s="87">
        <v>1.981524</v>
      </c>
      <c r="AK422" s="87">
        <v>2.172233</v>
      </c>
      <c r="AL422" s="88" t="s">
        <v>1396</v>
      </c>
    </row>
    <row r="423">
      <c r="A423" s="84" t="s">
        <v>1917</v>
      </c>
      <c r="B423" s="84" t="s">
        <v>1953</v>
      </c>
      <c r="C423" s="84" t="s">
        <v>258</v>
      </c>
      <c r="D423" s="84" t="s">
        <v>881</v>
      </c>
      <c r="E423" s="86">
        <v>46310.0</v>
      </c>
      <c r="F423" s="87">
        <v>26.0</v>
      </c>
      <c r="G423" s="87">
        <v>0.0</v>
      </c>
      <c r="H423" s="87">
        <v>13767.0</v>
      </c>
      <c r="I423" s="87">
        <v>0.0</v>
      </c>
      <c r="J423" s="87">
        <v>78.78733</v>
      </c>
      <c r="K423" s="87">
        <v>78.1518</v>
      </c>
      <c r="L423" s="87">
        <v>79.11071</v>
      </c>
      <c r="M423" s="87">
        <v>48.91011</v>
      </c>
      <c r="N423" s="87">
        <v>0.625835</v>
      </c>
      <c r="O423" s="87">
        <v>0.0</v>
      </c>
      <c r="P423" s="87">
        <v>0.1</v>
      </c>
      <c r="Q423" s="87">
        <v>0.366667</v>
      </c>
      <c r="R423" s="87">
        <v>2.575535</v>
      </c>
      <c r="S423" s="87">
        <v>3.90761</v>
      </c>
      <c r="T423" s="87">
        <v>0.286346</v>
      </c>
      <c r="U423" s="87">
        <v>0.630108</v>
      </c>
      <c r="V423" s="87">
        <v>0.840394</v>
      </c>
      <c r="W423" s="87">
        <v>2.580096</v>
      </c>
      <c r="X423" s="87">
        <v>4.759797</v>
      </c>
      <c r="Y423" s="87">
        <v>3.005839</v>
      </c>
      <c r="Z423" s="87">
        <v>0.0</v>
      </c>
      <c r="AA423" s="87">
        <v>2.338556</v>
      </c>
      <c r="AB423" s="87">
        <v>1.344119</v>
      </c>
      <c r="AC423" s="87">
        <v>2.900255</v>
      </c>
      <c r="AD423" s="87">
        <v>2.827784</v>
      </c>
      <c r="AE423" s="87">
        <v>4.759797</v>
      </c>
      <c r="AF423" s="87">
        <v>5.329438</v>
      </c>
      <c r="AG423" s="87">
        <v>4.61315</v>
      </c>
      <c r="AH423" s="87">
        <v>0.0</v>
      </c>
      <c r="AI423" s="87">
        <v>2.273165</v>
      </c>
      <c r="AJ423" s="87">
        <v>1.981524</v>
      </c>
      <c r="AK423" s="87">
        <v>2.172233</v>
      </c>
      <c r="AL423" s="88" t="s">
        <v>1396</v>
      </c>
    </row>
    <row r="424">
      <c r="A424" s="84" t="s">
        <v>1905</v>
      </c>
      <c r="B424" s="84" t="s">
        <v>1954</v>
      </c>
      <c r="C424" s="84" t="s">
        <v>258</v>
      </c>
      <c r="D424" s="84" t="s">
        <v>881</v>
      </c>
      <c r="E424" s="84" t="s">
        <v>1413</v>
      </c>
      <c r="F424" s="87">
        <v>27.0</v>
      </c>
      <c r="G424" s="87">
        <v>0.0</v>
      </c>
      <c r="H424" s="87">
        <v>10520.0</v>
      </c>
      <c r="I424" s="87">
        <v>0.0</v>
      </c>
      <c r="J424" s="87">
        <v>91.65146</v>
      </c>
      <c r="K424" s="87">
        <v>105.5776</v>
      </c>
      <c r="L424" s="87">
        <v>93.04339</v>
      </c>
      <c r="M424" s="87">
        <v>61.57558</v>
      </c>
      <c r="N424" s="87">
        <v>0.583226</v>
      </c>
      <c r="O424" s="87">
        <v>0.045455</v>
      </c>
      <c r="P424" s="87">
        <v>0.561922</v>
      </c>
      <c r="Q424" s="87">
        <v>1.372562</v>
      </c>
      <c r="R424" s="87">
        <v>2.338556</v>
      </c>
      <c r="S424" s="87">
        <v>3.93809</v>
      </c>
      <c r="T424" s="87">
        <v>0.411364</v>
      </c>
      <c r="U424" s="87">
        <v>1.230052</v>
      </c>
      <c r="V424" s="87">
        <v>1.522556</v>
      </c>
      <c r="W424" s="87">
        <v>2.882366</v>
      </c>
      <c r="X424" s="87">
        <v>4.245402</v>
      </c>
      <c r="Y424" s="87">
        <v>3.91028</v>
      </c>
      <c r="Z424" s="87">
        <v>0.0</v>
      </c>
      <c r="AA424" s="87">
        <v>2.338556</v>
      </c>
      <c r="AB424" s="87">
        <v>1.344119</v>
      </c>
      <c r="AC424" s="87">
        <v>2.900255</v>
      </c>
      <c r="AD424" s="87">
        <v>1.868644</v>
      </c>
      <c r="AE424" s="87">
        <v>2.843005</v>
      </c>
      <c r="AF424" s="87">
        <v>3.913201</v>
      </c>
      <c r="AG424" s="87">
        <v>3.58844</v>
      </c>
      <c r="AH424" s="87">
        <v>0.0</v>
      </c>
      <c r="AI424" s="87">
        <v>2.273165</v>
      </c>
      <c r="AJ424" s="87">
        <v>1.981524</v>
      </c>
      <c r="AK424" s="87">
        <v>2.172233</v>
      </c>
      <c r="AL424" s="88" t="s">
        <v>1396</v>
      </c>
    </row>
    <row r="425">
      <c r="A425" s="84" t="s">
        <v>1907</v>
      </c>
      <c r="B425" s="84" t="s">
        <v>1955</v>
      </c>
      <c r="C425" s="84" t="s">
        <v>258</v>
      </c>
      <c r="D425" s="84" t="s">
        <v>881</v>
      </c>
      <c r="E425" s="84" t="s">
        <v>1398</v>
      </c>
      <c r="F425" s="87">
        <v>14.0</v>
      </c>
      <c r="G425" s="87">
        <v>0.0</v>
      </c>
      <c r="H425" s="87">
        <v>4237.0</v>
      </c>
      <c r="I425" s="87">
        <v>0.0</v>
      </c>
      <c r="J425" s="87">
        <v>45.73008</v>
      </c>
      <c r="K425" s="87">
        <v>40.60357</v>
      </c>
      <c r="L425" s="87">
        <v>36.83938</v>
      </c>
      <c r="M425" s="87">
        <v>17.47948</v>
      </c>
      <c r="N425" s="87">
        <v>0.430491</v>
      </c>
      <c r="O425" s="87">
        <v>1.237931</v>
      </c>
      <c r="P425" s="87">
        <v>1.252763</v>
      </c>
      <c r="Q425" s="87">
        <v>1.789119</v>
      </c>
      <c r="R425" s="87">
        <v>2.399485</v>
      </c>
      <c r="S425" s="87">
        <v>3.083639</v>
      </c>
      <c r="T425" s="87">
        <v>1.237931</v>
      </c>
      <c r="U425" s="87">
        <v>1.252763</v>
      </c>
      <c r="V425" s="87">
        <v>1.789119</v>
      </c>
      <c r="W425" s="87">
        <v>2.399485</v>
      </c>
      <c r="X425" s="87">
        <v>3.083639</v>
      </c>
      <c r="Y425" s="87">
        <v>2.900255</v>
      </c>
      <c r="Z425" s="87">
        <v>0.0</v>
      </c>
      <c r="AA425" s="87">
        <v>2.338556</v>
      </c>
      <c r="AB425" s="87">
        <v>1.344119</v>
      </c>
      <c r="AC425" s="87">
        <v>2.900255</v>
      </c>
      <c r="AD425" s="87">
        <v>2.13156</v>
      </c>
      <c r="AE425" s="87">
        <v>2.42183</v>
      </c>
      <c r="AF425" s="87">
        <v>4.527598</v>
      </c>
      <c r="AG425" s="87">
        <v>2.900255</v>
      </c>
      <c r="AH425" s="87">
        <v>0.0</v>
      </c>
      <c r="AI425" s="87">
        <v>2.273165</v>
      </c>
      <c r="AJ425" s="87">
        <v>1.981524</v>
      </c>
      <c r="AK425" s="87">
        <v>2.172233</v>
      </c>
      <c r="AL425" s="88" t="s">
        <v>1396</v>
      </c>
    </row>
    <row r="426">
      <c r="A426" s="84" t="s">
        <v>1909</v>
      </c>
      <c r="B426" s="84" t="s">
        <v>1956</v>
      </c>
      <c r="C426" s="84" t="s">
        <v>258</v>
      </c>
      <c r="D426" s="84" t="s">
        <v>881</v>
      </c>
      <c r="E426" s="84" t="s">
        <v>1400</v>
      </c>
      <c r="F426" s="87">
        <v>16.0</v>
      </c>
      <c r="G426" s="87">
        <v>0.0</v>
      </c>
      <c r="H426" s="87">
        <v>3069.0</v>
      </c>
      <c r="I426" s="87">
        <v>0.0</v>
      </c>
      <c r="J426" s="87">
        <v>15.76574</v>
      </c>
      <c r="K426" s="87">
        <v>17.32181</v>
      </c>
      <c r="L426" s="87">
        <v>19.16939</v>
      </c>
      <c r="M426" s="87">
        <v>10.34685</v>
      </c>
      <c r="N426" s="87">
        <v>0.597331</v>
      </c>
      <c r="O426" s="87">
        <v>0.0</v>
      </c>
      <c r="P426" s="87">
        <v>0.286243</v>
      </c>
      <c r="Q426" s="87">
        <v>0.3</v>
      </c>
      <c r="R426" s="87">
        <v>0.796774</v>
      </c>
      <c r="S426" s="87">
        <v>1.463441</v>
      </c>
      <c r="T426" s="87">
        <v>0.286243</v>
      </c>
      <c r="U426" s="87">
        <v>0.3</v>
      </c>
      <c r="V426" s="87">
        <v>0.511046</v>
      </c>
      <c r="W426" s="87">
        <v>1.073753</v>
      </c>
      <c r="X426" s="87">
        <v>1.463441</v>
      </c>
      <c r="Y426" s="87">
        <v>1.082613</v>
      </c>
      <c r="Z426" s="87">
        <v>0.0</v>
      </c>
      <c r="AA426" s="87">
        <v>2.338556</v>
      </c>
      <c r="AB426" s="87">
        <v>1.344119</v>
      </c>
      <c r="AC426" s="87">
        <v>2.900255</v>
      </c>
      <c r="AD426" s="87">
        <v>1.166657</v>
      </c>
      <c r="AE426" s="87">
        <v>1.467002</v>
      </c>
      <c r="AF426" s="87">
        <v>3.268284</v>
      </c>
      <c r="AG426" s="87">
        <v>1.547563</v>
      </c>
      <c r="AH426" s="87">
        <v>0.0</v>
      </c>
      <c r="AI426" s="87">
        <v>2.273165</v>
      </c>
      <c r="AJ426" s="87">
        <v>1.981524</v>
      </c>
      <c r="AK426" s="87">
        <v>2.172233</v>
      </c>
      <c r="AL426" s="88" t="s">
        <v>1396</v>
      </c>
    </row>
    <row r="427">
      <c r="A427" s="84" t="s">
        <v>1911</v>
      </c>
      <c r="B427" s="84" t="s">
        <v>1957</v>
      </c>
      <c r="C427" s="84" t="s">
        <v>258</v>
      </c>
      <c r="D427" s="84" t="s">
        <v>881</v>
      </c>
      <c r="E427" s="89">
        <v>46300.0</v>
      </c>
      <c r="F427" s="87">
        <v>21.0</v>
      </c>
      <c r="G427" s="87">
        <v>0.0</v>
      </c>
      <c r="H427" s="87">
        <v>24077.0</v>
      </c>
      <c r="I427" s="87">
        <v>0.0</v>
      </c>
      <c r="J427" s="87">
        <v>62.13653</v>
      </c>
      <c r="K427" s="87">
        <v>70.40715</v>
      </c>
      <c r="L427" s="87">
        <v>68.92428</v>
      </c>
      <c r="M427" s="87">
        <v>51.42151</v>
      </c>
      <c r="N427" s="87">
        <v>0.730345</v>
      </c>
      <c r="O427" s="87">
        <v>0.0</v>
      </c>
      <c r="P427" s="87">
        <v>0.142857</v>
      </c>
      <c r="Q427" s="87">
        <v>0.45</v>
      </c>
      <c r="R427" s="87">
        <v>1.564516</v>
      </c>
      <c r="S427" s="87">
        <v>2.90371</v>
      </c>
      <c r="T427" s="87">
        <v>0.172078</v>
      </c>
      <c r="U427" s="87">
        <v>0.697619</v>
      </c>
      <c r="V427" s="87">
        <v>1.265693</v>
      </c>
      <c r="W427" s="87">
        <v>2.36876</v>
      </c>
      <c r="X427" s="87">
        <v>3.367734</v>
      </c>
      <c r="Y427" s="87">
        <v>3.352721</v>
      </c>
      <c r="Z427" s="87">
        <v>0.0</v>
      </c>
      <c r="AA427" s="87">
        <v>2.338556</v>
      </c>
      <c r="AB427" s="87">
        <v>1.344119</v>
      </c>
      <c r="AC427" s="87">
        <v>2.900255</v>
      </c>
      <c r="AD427" s="87">
        <v>0.697619</v>
      </c>
      <c r="AE427" s="87">
        <v>2.524233</v>
      </c>
      <c r="AF427" s="87">
        <v>3.076603</v>
      </c>
      <c r="AG427" s="87">
        <v>2.624092</v>
      </c>
      <c r="AH427" s="87">
        <v>0.0</v>
      </c>
      <c r="AI427" s="87">
        <v>2.273165</v>
      </c>
      <c r="AJ427" s="87">
        <v>1.981524</v>
      </c>
      <c r="AK427" s="87">
        <v>2.172233</v>
      </c>
      <c r="AL427" s="88" t="s">
        <v>1396</v>
      </c>
    </row>
    <row r="428">
      <c r="A428" s="84" t="s">
        <v>1913</v>
      </c>
      <c r="B428" s="84" t="s">
        <v>1958</v>
      </c>
      <c r="C428" s="84" t="s">
        <v>258</v>
      </c>
      <c r="D428" s="84" t="s">
        <v>881</v>
      </c>
      <c r="E428" s="84" t="s">
        <v>1403</v>
      </c>
      <c r="F428" s="87">
        <v>124.0</v>
      </c>
      <c r="G428" s="87">
        <v>6.0</v>
      </c>
      <c r="H428" s="87">
        <v>162.0</v>
      </c>
      <c r="I428" s="87">
        <v>162.0</v>
      </c>
      <c r="J428" s="87">
        <v>0.0</v>
      </c>
      <c r="K428" s="87">
        <v>0.0</v>
      </c>
      <c r="L428" s="87">
        <v>0.0</v>
      </c>
      <c r="M428" s="87">
        <v>0.0</v>
      </c>
      <c r="N428" s="87">
        <v>0.0</v>
      </c>
      <c r="O428" s="87">
        <v>0.0</v>
      </c>
      <c r="P428" s="87">
        <v>0.0</v>
      </c>
      <c r="Q428" s="87">
        <v>0.0</v>
      </c>
      <c r="R428" s="87">
        <v>0.0</v>
      </c>
      <c r="S428" s="87">
        <v>0.0</v>
      </c>
      <c r="T428" s="87">
        <v>0.0</v>
      </c>
      <c r="U428" s="87">
        <v>0.0</v>
      </c>
      <c r="V428" s="87">
        <v>0.0</v>
      </c>
      <c r="W428" s="87">
        <v>0.0</v>
      </c>
      <c r="X428" s="87">
        <v>0.0</v>
      </c>
      <c r="Y428" s="87">
        <v>0.0</v>
      </c>
      <c r="Z428" s="87">
        <v>0.0</v>
      </c>
      <c r="AA428" s="87">
        <v>2.338556</v>
      </c>
      <c r="AB428" s="87">
        <v>1.344119</v>
      </c>
      <c r="AC428" s="87">
        <v>2.900255</v>
      </c>
      <c r="AD428" s="87">
        <v>0.0</v>
      </c>
      <c r="AE428" s="87">
        <v>0.0</v>
      </c>
      <c r="AF428" s="87">
        <v>0.0</v>
      </c>
      <c r="AG428" s="87">
        <v>0.0</v>
      </c>
      <c r="AH428" s="87">
        <v>0.0</v>
      </c>
      <c r="AI428" s="87">
        <v>2.273165</v>
      </c>
      <c r="AJ428" s="87">
        <v>1.981524</v>
      </c>
      <c r="AK428" s="87">
        <v>2.172233</v>
      </c>
      <c r="AL428" s="88" t="s">
        <v>1396</v>
      </c>
    </row>
    <row r="429">
      <c r="A429" s="84" t="s">
        <v>1959</v>
      </c>
      <c r="B429" s="84" t="s">
        <v>1960</v>
      </c>
      <c r="C429" s="84" t="s">
        <v>1961</v>
      </c>
      <c r="D429" s="84" t="s">
        <v>1962</v>
      </c>
      <c r="E429" s="84" t="s">
        <v>1400</v>
      </c>
      <c r="F429" s="87">
        <v>1.0</v>
      </c>
      <c r="G429" s="87">
        <v>0.0</v>
      </c>
      <c r="H429" s="87">
        <v>0.0</v>
      </c>
      <c r="I429" s="87">
        <v>0.0</v>
      </c>
      <c r="J429" s="87">
        <v>0.0</v>
      </c>
      <c r="K429" s="87">
        <v>0.0</v>
      </c>
      <c r="L429" s="87">
        <v>0.0</v>
      </c>
      <c r="M429" s="87">
        <v>0.0</v>
      </c>
      <c r="N429" s="87">
        <v>0.0</v>
      </c>
      <c r="O429" s="87">
        <v>0.0</v>
      </c>
      <c r="P429" s="87">
        <v>0.0</v>
      </c>
      <c r="Q429" s="87">
        <v>0.0</v>
      </c>
      <c r="R429" s="87">
        <v>0.0</v>
      </c>
      <c r="S429" s="87">
        <v>0.0</v>
      </c>
      <c r="T429" s="87">
        <v>0.0</v>
      </c>
      <c r="U429" s="87">
        <v>0.0</v>
      </c>
      <c r="V429" s="87">
        <v>0.0</v>
      </c>
      <c r="W429" s="87">
        <v>0.0</v>
      </c>
      <c r="X429" s="87">
        <v>0.0</v>
      </c>
      <c r="Y429" s="87">
        <v>0.0</v>
      </c>
      <c r="Z429" s="87">
        <v>0.0</v>
      </c>
      <c r="AA429" s="87">
        <v>0.0</v>
      </c>
      <c r="AB429" s="87">
        <v>0.0</v>
      </c>
      <c r="AC429" s="87">
        <v>0.0</v>
      </c>
      <c r="AD429" s="87">
        <v>0.0</v>
      </c>
      <c r="AE429" s="87">
        <v>0.033333</v>
      </c>
      <c r="AF429" s="87">
        <v>0.005556</v>
      </c>
      <c r="AG429" s="87">
        <v>0.0</v>
      </c>
      <c r="AH429" s="87">
        <v>0.0</v>
      </c>
      <c r="AI429" s="87">
        <v>0.033333</v>
      </c>
      <c r="AJ429" s="87">
        <v>0.002381</v>
      </c>
      <c r="AK429" s="87">
        <v>0.0</v>
      </c>
      <c r="AL429" s="88" t="s">
        <v>1396</v>
      </c>
    </row>
    <row r="430">
      <c r="A430" s="84" t="s">
        <v>1959</v>
      </c>
      <c r="B430" s="84" t="s">
        <v>1963</v>
      </c>
      <c r="C430" s="84" t="s">
        <v>1961</v>
      </c>
      <c r="D430" s="84" t="s">
        <v>1964</v>
      </c>
      <c r="E430" s="84" t="s">
        <v>1400</v>
      </c>
      <c r="F430" s="87">
        <v>1.0</v>
      </c>
      <c r="G430" s="87">
        <v>1.0</v>
      </c>
      <c r="H430" s="87">
        <v>4.0</v>
      </c>
      <c r="I430" s="87">
        <v>4.0</v>
      </c>
      <c r="J430" s="87">
        <v>0.0</v>
      </c>
      <c r="K430" s="87">
        <v>0.0</v>
      </c>
      <c r="L430" s="87">
        <v>0.0</v>
      </c>
      <c r="M430" s="87">
        <v>0.0</v>
      </c>
      <c r="N430" s="87">
        <v>0.0</v>
      </c>
      <c r="O430" s="87">
        <v>0.0</v>
      </c>
      <c r="P430" s="87">
        <v>0.0</v>
      </c>
      <c r="Q430" s="87">
        <v>0.0</v>
      </c>
      <c r="R430" s="87">
        <v>0.0</v>
      </c>
      <c r="S430" s="87">
        <v>0.0</v>
      </c>
      <c r="T430" s="87">
        <v>0.0</v>
      </c>
      <c r="U430" s="87">
        <v>0.0</v>
      </c>
      <c r="V430" s="87">
        <v>0.0</v>
      </c>
      <c r="W430" s="87">
        <v>0.0</v>
      </c>
      <c r="X430" s="87">
        <v>0.0</v>
      </c>
      <c r="Y430" s="87">
        <v>0.0</v>
      </c>
      <c r="Z430" s="87">
        <v>0.0</v>
      </c>
      <c r="AA430" s="87">
        <v>0.0</v>
      </c>
      <c r="AB430" s="87">
        <v>0.0</v>
      </c>
      <c r="AC430" s="87">
        <v>0.0</v>
      </c>
      <c r="AD430" s="87">
        <v>0.0</v>
      </c>
      <c r="AE430" s="87">
        <v>0.033333</v>
      </c>
      <c r="AF430" s="87">
        <v>0.005556</v>
      </c>
      <c r="AG430" s="87">
        <v>0.0</v>
      </c>
      <c r="AH430" s="87">
        <v>0.0</v>
      </c>
      <c r="AI430" s="87">
        <v>0.033333</v>
      </c>
      <c r="AJ430" s="87">
        <v>0.002381</v>
      </c>
      <c r="AK430" s="87">
        <v>0.0</v>
      </c>
      <c r="AL430" s="88" t="s">
        <v>1396</v>
      </c>
    </row>
    <row r="431">
      <c r="A431" s="84" t="s">
        <v>1959</v>
      </c>
      <c r="B431" s="84" t="s">
        <v>1965</v>
      </c>
      <c r="C431" s="84" t="s">
        <v>1961</v>
      </c>
      <c r="D431" s="84" t="s">
        <v>1966</v>
      </c>
      <c r="E431" s="84" t="s">
        <v>1400</v>
      </c>
      <c r="F431" s="87">
        <v>3.0</v>
      </c>
      <c r="G431" s="87">
        <v>1.0</v>
      </c>
      <c r="H431" s="87">
        <v>4.0</v>
      </c>
      <c r="I431" s="87">
        <v>4.0</v>
      </c>
      <c r="J431" s="87">
        <v>0.0</v>
      </c>
      <c r="K431" s="87">
        <v>0.0</v>
      </c>
      <c r="L431" s="87">
        <v>0.0</v>
      </c>
      <c r="M431" s="87">
        <v>0.0</v>
      </c>
      <c r="N431" s="87">
        <v>0.0</v>
      </c>
      <c r="O431" s="87">
        <v>0.0</v>
      </c>
      <c r="P431" s="87">
        <v>0.0</v>
      </c>
      <c r="Q431" s="87">
        <v>0.0</v>
      </c>
      <c r="R431" s="87">
        <v>0.0</v>
      </c>
      <c r="S431" s="87">
        <v>0.0</v>
      </c>
      <c r="T431" s="87">
        <v>0.0</v>
      </c>
      <c r="U431" s="87">
        <v>0.0</v>
      </c>
      <c r="V431" s="87">
        <v>0.0</v>
      </c>
      <c r="W431" s="87">
        <v>0.0</v>
      </c>
      <c r="X431" s="87">
        <v>0.0</v>
      </c>
      <c r="Y431" s="87">
        <v>0.0</v>
      </c>
      <c r="Z431" s="87">
        <v>0.0</v>
      </c>
      <c r="AA431" s="87">
        <v>0.0</v>
      </c>
      <c r="AB431" s="87">
        <v>0.0</v>
      </c>
      <c r="AC431" s="87">
        <v>0.0</v>
      </c>
      <c r="AD431" s="87">
        <v>0.0</v>
      </c>
      <c r="AE431" s="87">
        <v>0.033333</v>
      </c>
      <c r="AF431" s="87">
        <v>0.005556</v>
      </c>
      <c r="AG431" s="87">
        <v>0.0</v>
      </c>
      <c r="AH431" s="87">
        <v>0.0</v>
      </c>
      <c r="AI431" s="87">
        <v>0.033333</v>
      </c>
      <c r="AJ431" s="87">
        <v>0.002381</v>
      </c>
      <c r="AK431" s="87">
        <v>0.0</v>
      </c>
      <c r="AL431" s="88" t="s">
        <v>1396</v>
      </c>
    </row>
    <row r="432">
      <c r="A432" s="84" t="s">
        <v>1967</v>
      </c>
      <c r="B432" s="84" t="s">
        <v>1968</v>
      </c>
      <c r="C432" s="84" t="s">
        <v>1961</v>
      </c>
      <c r="D432" s="84" t="s">
        <v>1966</v>
      </c>
      <c r="E432" s="84" t="s">
        <v>1403</v>
      </c>
      <c r="F432" s="87">
        <v>4.0</v>
      </c>
      <c r="G432" s="87">
        <v>0.0</v>
      </c>
      <c r="H432" s="87">
        <v>0.0</v>
      </c>
      <c r="I432" s="87">
        <v>0.0</v>
      </c>
      <c r="J432" s="87">
        <v>0.0</v>
      </c>
      <c r="K432" s="87">
        <v>0.0</v>
      </c>
      <c r="L432" s="87">
        <v>0.0</v>
      </c>
      <c r="M432" s="87">
        <v>0.0</v>
      </c>
      <c r="N432" s="87">
        <v>0.0</v>
      </c>
      <c r="O432" s="87">
        <v>0.0</v>
      </c>
      <c r="P432" s="87">
        <v>0.0</v>
      </c>
      <c r="Q432" s="87">
        <v>0.0</v>
      </c>
      <c r="R432" s="87">
        <v>0.0</v>
      </c>
      <c r="S432" s="87">
        <v>0.0</v>
      </c>
      <c r="T432" s="87">
        <v>0.0</v>
      </c>
      <c r="U432" s="87">
        <v>0.0</v>
      </c>
      <c r="V432" s="87">
        <v>0.0</v>
      </c>
      <c r="W432" s="87">
        <v>0.0</v>
      </c>
      <c r="X432" s="87">
        <v>0.0</v>
      </c>
      <c r="Y432" s="87">
        <v>0.0</v>
      </c>
      <c r="Z432" s="87">
        <v>0.0</v>
      </c>
      <c r="AA432" s="87">
        <v>0.0</v>
      </c>
      <c r="AB432" s="87">
        <v>0.0</v>
      </c>
      <c r="AC432" s="87">
        <v>0.0</v>
      </c>
      <c r="AD432" s="87">
        <v>0.0</v>
      </c>
      <c r="AE432" s="87">
        <v>0.0</v>
      </c>
      <c r="AF432" s="87">
        <v>0.0</v>
      </c>
      <c r="AG432" s="87">
        <v>0.0</v>
      </c>
      <c r="AH432" s="87">
        <v>0.0</v>
      </c>
      <c r="AI432" s="87">
        <v>0.033333</v>
      </c>
      <c r="AJ432" s="87">
        <v>0.002381</v>
      </c>
      <c r="AK432" s="87">
        <v>0.0</v>
      </c>
      <c r="AL432" s="88" t="s">
        <v>1396</v>
      </c>
    </row>
    <row r="433">
      <c r="A433" s="84" t="s">
        <v>1969</v>
      </c>
      <c r="B433" s="84" t="s">
        <v>1970</v>
      </c>
      <c r="C433" s="84" t="s">
        <v>1961</v>
      </c>
      <c r="D433" s="84" t="s">
        <v>1971</v>
      </c>
      <c r="E433" s="84" t="s">
        <v>1398</v>
      </c>
      <c r="F433" s="87">
        <v>1.0</v>
      </c>
      <c r="G433" s="87">
        <v>1.0</v>
      </c>
      <c r="H433" s="87">
        <v>9.0</v>
      </c>
      <c r="I433" s="87">
        <v>9.0</v>
      </c>
      <c r="J433" s="87">
        <v>0.0</v>
      </c>
      <c r="K433" s="87">
        <v>0.0</v>
      </c>
      <c r="L433" s="87">
        <v>0.0</v>
      </c>
      <c r="M433" s="87">
        <v>0.0</v>
      </c>
      <c r="N433" s="87">
        <v>0.0</v>
      </c>
      <c r="O433" s="87">
        <v>0.0</v>
      </c>
      <c r="P433" s="87">
        <v>0.0</v>
      </c>
      <c r="Q433" s="87">
        <v>0.0</v>
      </c>
      <c r="R433" s="87">
        <v>0.0</v>
      </c>
      <c r="S433" s="87">
        <v>0.0</v>
      </c>
      <c r="T433" s="87">
        <v>0.0</v>
      </c>
      <c r="U433" s="87">
        <v>0.0</v>
      </c>
      <c r="V433" s="87">
        <v>0.0</v>
      </c>
      <c r="W433" s="87">
        <v>0.0</v>
      </c>
      <c r="X433" s="87">
        <v>0.0</v>
      </c>
      <c r="Y433" s="87">
        <v>0.0</v>
      </c>
      <c r="Z433" s="87">
        <v>0.0</v>
      </c>
      <c r="AA433" s="87">
        <v>0.033333</v>
      </c>
      <c r="AB433" s="87">
        <v>0.008333</v>
      </c>
      <c r="AC433" s="87">
        <v>0.0</v>
      </c>
      <c r="AD433" s="87">
        <v>0.0</v>
      </c>
      <c r="AE433" s="87">
        <v>0.0</v>
      </c>
      <c r="AF433" s="87">
        <v>0.0</v>
      </c>
      <c r="AG433" s="87">
        <v>0.0</v>
      </c>
      <c r="AH433" s="87">
        <v>0.0</v>
      </c>
      <c r="AI433" s="87">
        <v>0.033333</v>
      </c>
      <c r="AJ433" s="87">
        <v>0.002381</v>
      </c>
      <c r="AK433" s="87">
        <v>0.0</v>
      </c>
      <c r="AL433" s="88" t="s">
        <v>1396</v>
      </c>
    </row>
    <row r="434">
      <c r="A434" s="84" t="s">
        <v>1959</v>
      </c>
      <c r="B434" s="84" t="s">
        <v>1972</v>
      </c>
      <c r="C434" s="84" t="s">
        <v>1961</v>
      </c>
      <c r="D434" s="84" t="s">
        <v>1971</v>
      </c>
      <c r="E434" s="84" t="s">
        <v>1400</v>
      </c>
      <c r="F434" s="87">
        <v>1.0</v>
      </c>
      <c r="G434" s="87">
        <v>0.0</v>
      </c>
      <c r="H434" s="87">
        <v>42.0</v>
      </c>
      <c r="I434" s="87">
        <v>0.0</v>
      </c>
      <c r="J434" s="87">
        <v>0.071429</v>
      </c>
      <c r="K434" s="87">
        <v>0.033333</v>
      </c>
      <c r="L434" s="87">
        <v>0.016667</v>
      </c>
      <c r="M434" s="87">
        <v>0.033333</v>
      </c>
      <c r="N434" s="87">
        <v>1.0</v>
      </c>
      <c r="O434" s="87">
        <v>0.033333</v>
      </c>
      <c r="P434" s="87">
        <v>0.033333</v>
      </c>
      <c r="Q434" s="87">
        <v>0.033333</v>
      </c>
      <c r="R434" s="87">
        <v>0.033333</v>
      </c>
      <c r="S434" s="87">
        <v>0.033333</v>
      </c>
      <c r="T434" s="87">
        <v>0.033333</v>
      </c>
      <c r="U434" s="87">
        <v>0.033333</v>
      </c>
      <c r="V434" s="87">
        <v>0.033333</v>
      </c>
      <c r="W434" s="87">
        <v>0.033333</v>
      </c>
      <c r="X434" s="87">
        <v>0.033333</v>
      </c>
      <c r="Y434" s="87">
        <v>0.033333</v>
      </c>
      <c r="Z434" s="87">
        <v>0.0</v>
      </c>
      <c r="AA434" s="87">
        <v>0.033333</v>
      </c>
      <c r="AB434" s="87">
        <v>0.008333</v>
      </c>
      <c r="AC434" s="87">
        <v>0.0</v>
      </c>
      <c r="AD434" s="87">
        <v>0.0</v>
      </c>
      <c r="AE434" s="87">
        <v>0.033333</v>
      </c>
      <c r="AF434" s="87">
        <v>0.005556</v>
      </c>
      <c r="AG434" s="87">
        <v>0.0</v>
      </c>
      <c r="AH434" s="87">
        <v>0.0</v>
      </c>
      <c r="AI434" s="87">
        <v>0.033333</v>
      </c>
      <c r="AJ434" s="87">
        <v>0.002381</v>
      </c>
      <c r="AK434" s="87">
        <v>0.0</v>
      </c>
      <c r="AL434" s="88" t="s">
        <v>1396</v>
      </c>
    </row>
    <row r="435">
      <c r="A435" s="84" t="s">
        <v>1967</v>
      </c>
      <c r="B435" s="84" t="s">
        <v>1973</v>
      </c>
      <c r="C435" s="84" t="s">
        <v>1961</v>
      </c>
      <c r="D435" s="84" t="s">
        <v>1971</v>
      </c>
      <c r="E435" s="84" t="s">
        <v>1403</v>
      </c>
      <c r="F435" s="87">
        <v>2.0</v>
      </c>
      <c r="G435" s="87">
        <v>1.0</v>
      </c>
      <c r="H435" s="87">
        <v>90.0</v>
      </c>
      <c r="I435" s="87">
        <v>90.0</v>
      </c>
      <c r="J435" s="87">
        <v>0.0</v>
      </c>
      <c r="K435" s="87">
        <v>0.0</v>
      </c>
      <c r="L435" s="87">
        <v>0.0</v>
      </c>
      <c r="M435" s="87">
        <v>0.0</v>
      </c>
      <c r="N435" s="87">
        <v>0.0</v>
      </c>
      <c r="O435" s="87">
        <v>0.0</v>
      </c>
      <c r="P435" s="87">
        <v>0.0</v>
      </c>
      <c r="Q435" s="87">
        <v>0.0</v>
      </c>
      <c r="R435" s="87">
        <v>0.0</v>
      </c>
      <c r="S435" s="87">
        <v>0.0</v>
      </c>
      <c r="T435" s="87">
        <v>0.0</v>
      </c>
      <c r="U435" s="87">
        <v>0.0</v>
      </c>
      <c r="V435" s="87">
        <v>0.0</v>
      </c>
      <c r="W435" s="87">
        <v>0.0</v>
      </c>
      <c r="X435" s="87">
        <v>0.0</v>
      </c>
      <c r="Y435" s="87">
        <v>0.0</v>
      </c>
      <c r="Z435" s="87">
        <v>0.0</v>
      </c>
      <c r="AA435" s="87">
        <v>0.033333</v>
      </c>
      <c r="AB435" s="87">
        <v>0.008333</v>
      </c>
      <c r="AC435" s="87">
        <v>0.0</v>
      </c>
      <c r="AD435" s="87">
        <v>0.0</v>
      </c>
      <c r="AE435" s="87">
        <v>0.0</v>
      </c>
      <c r="AF435" s="87">
        <v>0.0</v>
      </c>
      <c r="AG435" s="87">
        <v>0.0</v>
      </c>
      <c r="AH435" s="87">
        <v>0.0</v>
      </c>
      <c r="AI435" s="87">
        <v>0.033333</v>
      </c>
      <c r="AJ435" s="87">
        <v>0.002381</v>
      </c>
      <c r="AK435" s="87">
        <v>0.0</v>
      </c>
      <c r="AL435" s="88" t="s">
        <v>1396</v>
      </c>
    </row>
    <row r="436">
      <c r="A436" s="84" t="s">
        <v>1967</v>
      </c>
      <c r="B436" s="84" t="s">
        <v>1974</v>
      </c>
      <c r="C436" s="84" t="s">
        <v>1961</v>
      </c>
      <c r="D436" s="84" t="s">
        <v>1975</v>
      </c>
      <c r="E436" s="84" t="s">
        <v>1403</v>
      </c>
      <c r="F436" s="87">
        <v>1.0</v>
      </c>
      <c r="G436" s="87">
        <v>0.0</v>
      </c>
      <c r="H436" s="87">
        <v>0.0</v>
      </c>
      <c r="I436" s="87">
        <v>0.0</v>
      </c>
      <c r="J436" s="87">
        <v>0.0</v>
      </c>
      <c r="K436" s="87">
        <v>0.0</v>
      </c>
      <c r="L436" s="87">
        <v>0.0</v>
      </c>
      <c r="M436" s="87">
        <v>0.0</v>
      </c>
      <c r="N436" s="87">
        <v>0.0</v>
      </c>
      <c r="O436" s="87">
        <v>0.0</v>
      </c>
      <c r="P436" s="87">
        <v>0.0</v>
      </c>
      <c r="Q436" s="87">
        <v>0.0</v>
      </c>
      <c r="R436" s="87">
        <v>0.0</v>
      </c>
      <c r="S436" s="87">
        <v>0.0</v>
      </c>
      <c r="T436" s="87">
        <v>0.0</v>
      </c>
      <c r="U436" s="87">
        <v>0.0</v>
      </c>
      <c r="V436" s="87">
        <v>0.0</v>
      </c>
      <c r="W436" s="87">
        <v>0.0</v>
      </c>
      <c r="X436" s="87">
        <v>0.0</v>
      </c>
      <c r="Y436" s="87">
        <v>0.0</v>
      </c>
      <c r="Z436" s="87">
        <v>0.0</v>
      </c>
      <c r="AA436" s="87">
        <v>0.0</v>
      </c>
      <c r="AB436" s="87">
        <v>0.0</v>
      </c>
      <c r="AC436" s="87">
        <v>0.0</v>
      </c>
      <c r="AD436" s="87">
        <v>0.0</v>
      </c>
      <c r="AE436" s="87">
        <v>0.0</v>
      </c>
      <c r="AF436" s="87">
        <v>0.0</v>
      </c>
      <c r="AG436" s="87">
        <v>0.0</v>
      </c>
      <c r="AH436" s="87">
        <v>0.0</v>
      </c>
      <c r="AI436" s="87">
        <v>0.033333</v>
      </c>
      <c r="AJ436" s="87">
        <v>0.002381</v>
      </c>
      <c r="AK436" s="87">
        <v>0.0</v>
      </c>
      <c r="AL436" s="88" t="s">
        <v>1396</v>
      </c>
    </row>
    <row r="437">
      <c r="A437" s="84" t="s">
        <v>1976</v>
      </c>
      <c r="B437" s="84" t="s">
        <v>1774</v>
      </c>
      <c r="C437" s="84" t="s">
        <v>264</v>
      </c>
      <c r="D437" s="84" t="s">
        <v>915</v>
      </c>
      <c r="E437" s="84" t="s">
        <v>1426</v>
      </c>
      <c r="F437" s="87">
        <v>4.0</v>
      </c>
      <c r="G437" s="87">
        <v>0.0</v>
      </c>
      <c r="H437" s="87">
        <v>2522.0</v>
      </c>
      <c r="I437" s="87">
        <v>0.0</v>
      </c>
      <c r="J437" s="87">
        <v>13.65883</v>
      </c>
      <c r="K437" s="87">
        <v>11.72012</v>
      </c>
      <c r="L437" s="87">
        <v>13.64171</v>
      </c>
      <c r="M437" s="87">
        <v>11.17449</v>
      </c>
      <c r="N437" s="87">
        <v>0.953445</v>
      </c>
      <c r="O437" s="87">
        <v>0.269444</v>
      </c>
      <c r="P437" s="87">
        <v>0.269444</v>
      </c>
      <c r="Q437" s="87">
        <v>0.27619</v>
      </c>
      <c r="R437" s="87">
        <v>2.68202</v>
      </c>
      <c r="S437" s="87">
        <v>2.68202</v>
      </c>
      <c r="T437" s="87">
        <v>0.269444</v>
      </c>
      <c r="U437" s="87">
        <v>0.269444</v>
      </c>
      <c r="V437" s="87">
        <v>0.27619</v>
      </c>
      <c r="W437" s="87">
        <v>2.68202</v>
      </c>
      <c r="X437" s="87">
        <v>2.68202</v>
      </c>
      <c r="Y437" s="87">
        <v>2.930031</v>
      </c>
      <c r="Z437" s="87">
        <v>0.0</v>
      </c>
      <c r="AA437" s="87">
        <v>0.803448</v>
      </c>
      <c r="AB437" s="87">
        <v>0.674716</v>
      </c>
      <c r="AC437" s="87">
        <v>0.539583</v>
      </c>
      <c r="AD437" s="87">
        <v>0.142857</v>
      </c>
      <c r="AE437" s="87">
        <v>7.88405</v>
      </c>
      <c r="AF437" s="87">
        <v>6.932916</v>
      </c>
      <c r="AG437" s="87">
        <v>5.796112</v>
      </c>
      <c r="AH437" s="87">
        <v>0.0</v>
      </c>
      <c r="AI437" s="87">
        <v>2.108531</v>
      </c>
      <c r="AJ437" s="87">
        <v>2.358695</v>
      </c>
      <c r="AK437" s="87">
        <v>1.811916</v>
      </c>
      <c r="AL437" s="88" t="s">
        <v>1396</v>
      </c>
    </row>
    <row r="438">
      <c r="A438" s="84" t="s">
        <v>1977</v>
      </c>
      <c r="B438" s="84" t="s">
        <v>1978</v>
      </c>
      <c r="C438" s="84" t="s">
        <v>264</v>
      </c>
      <c r="D438" s="84" t="s">
        <v>915</v>
      </c>
      <c r="E438" s="89">
        <v>46310.0</v>
      </c>
      <c r="F438" s="87">
        <v>1.0</v>
      </c>
      <c r="G438" s="87">
        <v>0.0</v>
      </c>
      <c r="H438" s="87">
        <v>553.0</v>
      </c>
      <c r="I438" s="87">
        <v>0.0</v>
      </c>
      <c r="J438" s="87">
        <v>3.946007</v>
      </c>
      <c r="K438" s="87">
        <v>3.277325</v>
      </c>
      <c r="L438" s="87">
        <v>2.970689</v>
      </c>
      <c r="M438" s="87">
        <v>3.277325</v>
      </c>
      <c r="N438" s="87">
        <v>1.0</v>
      </c>
      <c r="O438" s="87">
        <v>3.277325</v>
      </c>
      <c r="P438" s="87">
        <v>3.277325</v>
      </c>
      <c r="Q438" s="87">
        <v>3.277325</v>
      </c>
      <c r="R438" s="87">
        <v>3.277325</v>
      </c>
      <c r="S438" s="87">
        <v>3.277325</v>
      </c>
      <c r="T438" s="87">
        <v>3.277325</v>
      </c>
      <c r="U438" s="87">
        <v>3.277325</v>
      </c>
      <c r="V438" s="87">
        <v>3.277325</v>
      </c>
      <c r="W438" s="87">
        <v>3.277325</v>
      </c>
      <c r="X438" s="87">
        <v>3.277325</v>
      </c>
      <c r="Y438" s="87">
        <v>3.277325</v>
      </c>
      <c r="Z438" s="87">
        <v>0.0</v>
      </c>
      <c r="AA438" s="87">
        <v>0.803448</v>
      </c>
      <c r="AB438" s="87">
        <v>0.674716</v>
      </c>
      <c r="AC438" s="87">
        <v>0.539583</v>
      </c>
      <c r="AD438" s="87">
        <v>1.556213</v>
      </c>
      <c r="AE438" s="87">
        <v>2.304163</v>
      </c>
      <c r="AF438" s="87">
        <v>4.648562</v>
      </c>
      <c r="AG438" s="87">
        <v>3.80075</v>
      </c>
      <c r="AH438" s="87">
        <v>0.0</v>
      </c>
      <c r="AI438" s="87">
        <v>2.108531</v>
      </c>
      <c r="AJ438" s="87">
        <v>2.358695</v>
      </c>
      <c r="AK438" s="87">
        <v>1.811916</v>
      </c>
      <c r="AL438" s="88" t="s">
        <v>1396</v>
      </c>
    </row>
    <row r="439">
      <c r="A439" s="84" t="s">
        <v>1979</v>
      </c>
      <c r="B439" s="84" t="s">
        <v>1775</v>
      </c>
      <c r="C439" s="84" t="s">
        <v>264</v>
      </c>
      <c r="D439" s="84" t="s">
        <v>915</v>
      </c>
      <c r="E439" s="84" t="s">
        <v>1413</v>
      </c>
      <c r="F439" s="87">
        <v>1.0</v>
      </c>
      <c r="G439" s="87">
        <v>0.0</v>
      </c>
      <c r="H439" s="87">
        <v>0.0</v>
      </c>
      <c r="I439" s="87">
        <v>0.0</v>
      </c>
      <c r="J439" s="87">
        <v>0.0</v>
      </c>
      <c r="K439" s="87">
        <v>0.0</v>
      </c>
      <c r="L439" s="87">
        <v>0.0</v>
      </c>
      <c r="M439" s="87">
        <v>0.0</v>
      </c>
      <c r="N439" s="87">
        <v>0.0</v>
      </c>
      <c r="O439" s="87">
        <v>0.0</v>
      </c>
      <c r="P439" s="87">
        <v>0.0</v>
      </c>
      <c r="Q439" s="87">
        <v>0.0</v>
      </c>
      <c r="R439" s="87">
        <v>0.0</v>
      </c>
      <c r="S439" s="87">
        <v>0.0</v>
      </c>
      <c r="T439" s="87">
        <v>0.0</v>
      </c>
      <c r="U439" s="87">
        <v>0.0</v>
      </c>
      <c r="V439" s="87">
        <v>0.0</v>
      </c>
      <c r="W439" s="87">
        <v>0.0</v>
      </c>
      <c r="X439" s="87">
        <v>0.0</v>
      </c>
      <c r="Y439" s="87">
        <v>0.0</v>
      </c>
      <c r="Z439" s="87">
        <v>0.0</v>
      </c>
      <c r="AA439" s="87">
        <v>0.803448</v>
      </c>
      <c r="AB439" s="87">
        <v>0.674716</v>
      </c>
      <c r="AC439" s="87">
        <v>0.539583</v>
      </c>
      <c r="AD439" s="87">
        <v>1.419601</v>
      </c>
      <c r="AE439" s="87">
        <v>1.570635</v>
      </c>
      <c r="AF439" s="87">
        <v>3.087707</v>
      </c>
      <c r="AG439" s="87">
        <v>1.811916</v>
      </c>
      <c r="AH439" s="87">
        <v>0.0</v>
      </c>
      <c r="AI439" s="87">
        <v>2.108531</v>
      </c>
      <c r="AJ439" s="87">
        <v>2.358695</v>
      </c>
      <c r="AK439" s="87">
        <v>1.811916</v>
      </c>
      <c r="AL439" s="88" t="s">
        <v>1396</v>
      </c>
    </row>
    <row r="440">
      <c r="A440" s="84" t="s">
        <v>1980</v>
      </c>
      <c r="B440" s="84" t="s">
        <v>1776</v>
      </c>
      <c r="C440" s="84" t="s">
        <v>264</v>
      </c>
      <c r="D440" s="84" t="s">
        <v>915</v>
      </c>
      <c r="E440" s="84" t="s">
        <v>1398</v>
      </c>
      <c r="F440" s="87">
        <v>2.0</v>
      </c>
      <c r="G440" s="87">
        <v>0.0</v>
      </c>
      <c r="H440" s="87">
        <v>528.0</v>
      </c>
      <c r="I440" s="87">
        <v>0.0</v>
      </c>
      <c r="J440" s="87">
        <v>1.0</v>
      </c>
      <c r="K440" s="87">
        <v>1.079167</v>
      </c>
      <c r="L440" s="87">
        <v>1.639078</v>
      </c>
      <c r="M440" s="87">
        <v>0.7125</v>
      </c>
      <c r="N440" s="87">
        <v>0.660232</v>
      </c>
      <c r="O440" s="87">
        <v>0.366667</v>
      </c>
      <c r="P440" s="87">
        <v>0.366667</v>
      </c>
      <c r="Q440" s="87">
        <v>0.366667</v>
      </c>
      <c r="R440" s="87">
        <v>0.7125</v>
      </c>
      <c r="S440" s="87">
        <v>0.7125</v>
      </c>
      <c r="T440" s="87">
        <v>0.366667</v>
      </c>
      <c r="U440" s="87">
        <v>0.366667</v>
      </c>
      <c r="V440" s="87">
        <v>0.366667</v>
      </c>
      <c r="W440" s="87">
        <v>0.7125</v>
      </c>
      <c r="X440" s="87">
        <v>0.7125</v>
      </c>
      <c r="Y440" s="87">
        <v>0.539583</v>
      </c>
      <c r="Z440" s="87">
        <v>0.0</v>
      </c>
      <c r="AA440" s="87">
        <v>0.803448</v>
      </c>
      <c r="AB440" s="87">
        <v>0.674716</v>
      </c>
      <c r="AC440" s="87">
        <v>0.539583</v>
      </c>
      <c r="AD440" s="87">
        <v>0.982266</v>
      </c>
      <c r="AE440" s="87">
        <v>1.394663</v>
      </c>
      <c r="AF440" s="87">
        <v>3.045819</v>
      </c>
      <c r="AG440" s="87">
        <v>1.453326</v>
      </c>
      <c r="AH440" s="87">
        <v>0.0</v>
      </c>
      <c r="AI440" s="87">
        <v>2.108531</v>
      </c>
      <c r="AJ440" s="87">
        <v>2.358695</v>
      </c>
      <c r="AK440" s="87">
        <v>1.811916</v>
      </c>
      <c r="AL440" s="88" t="s">
        <v>1396</v>
      </c>
    </row>
    <row r="441">
      <c r="A441" s="84" t="s">
        <v>1981</v>
      </c>
      <c r="B441" s="84" t="s">
        <v>1982</v>
      </c>
      <c r="C441" s="84" t="s">
        <v>264</v>
      </c>
      <c r="D441" s="84" t="s">
        <v>915</v>
      </c>
      <c r="E441" s="84" t="s">
        <v>1400</v>
      </c>
      <c r="F441" s="87">
        <v>3.0</v>
      </c>
      <c r="G441" s="87">
        <v>1.0</v>
      </c>
      <c r="H441" s="87">
        <v>510.0</v>
      </c>
      <c r="I441" s="87">
        <v>192.0</v>
      </c>
      <c r="J441" s="87">
        <v>0.0</v>
      </c>
      <c r="K441" s="87">
        <v>1.1</v>
      </c>
      <c r="L441" s="87">
        <v>1.36104</v>
      </c>
      <c r="M441" s="87">
        <v>1.033333</v>
      </c>
      <c r="N441" s="87">
        <v>0.939394</v>
      </c>
      <c r="O441" s="87">
        <v>0.0</v>
      </c>
      <c r="P441" s="87">
        <v>0.0</v>
      </c>
      <c r="Q441" s="87">
        <v>0.0</v>
      </c>
      <c r="R441" s="87">
        <v>0.066667</v>
      </c>
      <c r="S441" s="87">
        <v>1.033333</v>
      </c>
      <c r="T441" s="87">
        <v>0.066667</v>
      </c>
      <c r="U441" s="87">
        <v>0.066667</v>
      </c>
      <c r="V441" s="87">
        <v>0.066667</v>
      </c>
      <c r="W441" s="87">
        <v>1.033333</v>
      </c>
      <c r="X441" s="87">
        <v>1.033333</v>
      </c>
      <c r="Y441" s="87">
        <v>0.366667</v>
      </c>
      <c r="Z441" s="87">
        <v>0.0</v>
      </c>
      <c r="AA441" s="87">
        <v>0.803448</v>
      </c>
      <c r="AB441" s="87">
        <v>0.674716</v>
      </c>
      <c r="AC441" s="87">
        <v>0.539583</v>
      </c>
      <c r="AD441" s="87">
        <v>0.366667</v>
      </c>
      <c r="AE441" s="87">
        <v>0.501923</v>
      </c>
      <c r="AF441" s="87">
        <v>0.86811</v>
      </c>
      <c r="AG441" s="87">
        <v>0.961</v>
      </c>
      <c r="AH441" s="87">
        <v>0.0</v>
      </c>
      <c r="AI441" s="87">
        <v>2.108531</v>
      </c>
      <c r="AJ441" s="87">
        <v>2.358695</v>
      </c>
      <c r="AK441" s="87">
        <v>1.811916</v>
      </c>
      <c r="AL441" s="88" t="s">
        <v>1396</v>
      </c>
    </row>
    <row r="442">
      <c r="A442" s="84" t="s">
        <v>1983</v>
      </c>
      <c r="B442" s="84" t="s">
        <v>1777</v>
      </c>
      <c r="C442" s="84" t="s">
        <v>264</v>
      </c>
      <c r="D442" s="84" t="s">
        <v>915</v>
      </c>
      <c r="E442" s="89">
        <v>46300.0</v>
      </c>
      <c r="F442" s="87">
        <v>21.0</v>
      </c>
      <c r="G442" s="87">
        <v>1.0</v>
      </c>
      <c r="H442" s="87">
        <v>6924.0</v>
      </c>
      <c r="I442" s="87">
        <v>173.0</v>
      </c>
      <c r="J442" s="87">
        <v>31.42715</v>
      </c>
      <c r="K442" s="87">
        <v>29.55051</v>
      </c>
      <c r="L442" s="87">
        <v>32.27859</v>
      </c>
      <c r="M442" s="87">
        <v>24.04771</v>
      </c>
      <c r="N442" s="87">
        <v>0.813783</v>
      </c>
      <c r="O442" s="87">
        <v>0.0</v>
      </c>
      <c r="P442" s="87">
        <v>0.0</v>
      </c>
      <c r="Q442" s="87">
        <v>0.066667</v>
      </c>
      <c r="R442" s="87">
        <v>0.497849</v>
      </c>
      <c r="S442" s="87">
        <v>1.381183</v>
      </c>
      <c r="T442" s="87">
        <v>0.250265</v>
      </c>
      <c r="U442" s="87">
        <v>0.438875</v>
      </c>
      <c r="V442" s="87">
        <v>0.497849</v>
      </c>
      <c r="W442" s="87">
        <v>1.065591</v>
      </c>
      <c r="X442" s="87">
        <v>2.449968</v>
      </c>
      <c r="Y442" s="87">
        <v>1.407167</v>
      </c>
      <c r="Z442" s="87">
        <v>0.0</v>
      </c>
      <c r="AA442" s="87">
        <v>0.803448</v>
      </c>
      <c r="AB442" s="87">
        <v>0.674716</v>
      </c>
      <c r="AC442" s="87">
        <v>0.539583</v>
      </c>
      <c r="AD442" s="87">
        <v>1.136302</v>
      </c>
      <c r="AE442" s="87">
        <v>3.697048</v>
      </c>
      <c r="AF442" s="87">
        <v>4.970773</v>
      </c>
      <c r="AG442" s="87">
        <v>3.803112</v>
      </c>
      <c r="AH442" s="87">
        <v>0.0</v>
      </c>
      <c r="AI442" s="87">
        <v>2.108531</v>
      </c>
      <c r="AJ442" s="87">
        <v>2.358695</v>
      </c>
      <c r="AK442" s="87">
        <v>1.811916</v>
      </c>
      <c r="AL442" s="88" t="s">
        <v>1396</v>
      </c>
    </row>
    <row r="443">
      <c r="A443" s="84" t="s">
        <v>1984</v>
      </c>
      <c r="B443" s="84" t="s">
        <v>1778</v>
      </c>
      <c r="C443" s="84" t="s">
        <v>264</v>
      </c>
      <c r="D443" s="84" t="s">
        <v>915</v>
      </c>
      <c r="E443" s="84" t="s">
        <v>1403</v>
      </c>
      <c r="F443" s="87">
        <v>34.0</v>
      </c>
      <c r="G443" s="87">
        <v>0.0</v>
      </c>
      <c r="H443" s="87">
        <v>0.0</v>
      </c>
      <c r="I443" s="87">
        <v>0.0</v>
      </c>
      <c r="J443" s="87">
        <v>0.0</v>
      </c>
      <c r="K443" s="87">
        <v>0.0</v>
      </c>
      <c r="L443" s="87">
        <v>0.0</v>
      </c>
      <c r="M443" s="87">
        <v>0.0</v>
      </c>
      <c r="N443" s="87">
        <v>0.0</v>
      </c>
      <c r="O443" s="87">
        <v>0.0</v>
      </c>
      <c r="P443" s="87">
        <v>0.0</v>
      </c>
      <c r="Q443" s="87">
        <v>0.0</v>
      </c>
      <c r="R443" s="87">
        <v>0.0</v>
      </c>
      <c r="S443" s="87">
        <v>0.0</v>
      </c>
      <c r="T443" s="87">
        <v>0.0</v>
      </c>
      <c r="U443" s="87">
        <v>0.0</v>
      </c>
      <c r="V443" s="87">
        <v>0.0</v>
      </c>
      <c r="W443" s="87">
        <v>0.0</v>
      </c>
      <c r="X443" s="87">
        <v>0.0</v>
      </c>
      <c r="Y443" s="87">
        <v>0.0</v>
      </c>
      <c r="Z443" s="87">
        <v>0.0</v>
      </c>
      <c r="AA443" s="87">
        <v>0.803448</v>
      </c>
      <c r="AB443" s="87">
        <v>0.674716</v>
      </c>
      <c r="AC443" s="87">
        <v>0.539583</v>
      </c>
      <c r="AD443" s="87">
        <v>0.0</v>
      </c>
      <c r="AE443" s="87">
        <v>0.0</v>
      </c>
      <c r="AF443" s="87">
        <v>0.0</v>
      </c>
      <c r="AG443" s="87">
        <v>0.0</v>
      </c>
      <c r="AH443" s="87">
        <v>0.0</v>
      </c>
      <c r="AI443" s="87">
        <v>2.108531</v>
      </c>
      <c r="AJ443" s="87">
        <v>2.358695</v>
      </c>
      <c r="AK443" s="87">
        <v>1.811916</v>
      </c>
      <c r="AL443" s="88" t="s">
        <v>1396</v>
      </c>
    </row>
    <row r="444">
      <c r="A444" s="84" t="s">
        <v>1976</v>
      </c>
      <c r="B444" s="84" t="s">
        <v>1985</v>
      </c>
      <c r="C444" s="84" t="s">
        <v>264</v>
      </c>
      <c r="D444" s="84" t="s">
        <v>265</v>
      </c>
      <c r="E444" s="84" t="s">
        <v>1426</v>
      </c>
      <c r="F444" s="87">
        <v>10.0</v>
      </c>
      <c r="G444" s="87">
        <v>1.0</v>
      </c>
      <c r="H444" s="87">
        <v>4522.0</v>
      </c>
      <c r="I444" s="87">
        <v>2226.0</v>
      </c>
      <c r="J444" s="87">
        <v>31.49406</v>
      </c>
      <c r="K444" s="87">
        <v>31.4084</v>
      </c>
      <c r="L444" s="87">
        <v>31.47047</v>
      </c>
      <c r="M444" s="87">
        <v>31.36078</v>
      </c>
      <c r="N444" s="87">
        <v>0.998484</v>
      </c>
      <c r="O444" s="87">
        <v>0.0</v>
      </c>
      <c r="P444" s="87">
        <v>0.0</v>
      </c>
      <c r="Q444" s="87">
        <v>0.0</v>
      </c>
      <c r="R444" s="87">
        <v>0.0</v>
      </c>
      <c r="S444" s="87">
        <v>0.047619</v>
      </c>
      <c r="T444" s="87">
        <v>0.047619</v>
      </c>
      <c r="U444" s="87">
        <v>0.047619</v>
      </c>
      <c r="V444" s="87">
        <v>0.047619</v>
      </c>
      <c r="W444" s="87">
        <v>0.285256</v>
      </c>
      <c r="X444" s="87">
        <v>31.07552</v>
      </c>
      <c r="Y444" s="87">
        <v>3.14084</v>
      </c>
      <c r="Z444" s="87">
        <v>0.0</v>
      </c>
      <c r="AA444" s="87">
        <v>1.899116</v>
      </c>
      <c r="AB444" s="87">
        <v>1.720163</v>
      </c>
      <c r="AC444" s="87">
        <v>3.14084</v>
      </c>
      <c r="AD444" s="87">
        <v>0.142857</v>
      </c>
      <c r="AE444" s="87">
        <v>7.88405</v>
      </c>
      <c r="AF444" s="87">
        <v>6.932916</v>
      </c>
      <c r="AG444" s="87">
        <v>5.796112</v>
      </c>
      <c r="AH444" s="87">
        <v>0.0</v>
      </c>
      <c r="AI444" s="87">
        <v>2.108531</v>
      </c>
      <c r="AJ444" s="87">
        <v>2.358695</v>
      </c>
      <c r="AK444" s="87">
        <v>1.811916</v>
      </c>
      <c r="AL444" s="88" t="s">
        <v>1396</v>
      </c>
    </row>
    <row r="445">
      <c r="A445" s="84" t="s">
        <v>1977</v>
      </c>
      <c r="B445" s="84" t="s">
        <v>1986</v>
      </c>
      <c r="C445" s="84" t="s">
        <v>264</v>
      </c>
      <c r="D445" s="84" t="s">
        <v>265</v>
      </c>
      <c r="E445" s="89">
        <v>46310.0</v>
      </c>
      <c r="F445" s="87">
        <v>3.0</v>
      </c>
      <c r="G445" s="87">
        <v>0.0</v>
      </c>
      <c r="H445" s="87">
        <v>1705.0</v>
      </c>
      <c r="I445" s="87">
        <v>0.0</v>
      </c>
      <c r="J445" s="87">
        <v>11.46612</v>
      </c>
      <c r="K445" s="87">
        <v>19.26312</v>
      </c>
      <c r="L445" s="87">
        <v>15.54456</v>
      </c>
      <c r="M445" s="87">
        <v>18.97503</v>
      </c>
      <c r="N445" s="87">
        <v>0.985044</v>
      </c>
      <c r="O445" s="87">
        <v>0.0</v>
      </c>
      <c r="P445" s="87">
        <v>0.0</v>
      </c>
      <c r="Q445" s="87">
        <v>0.0</v>
      </c>
      <c r="R445" s="87">
        <v>0.288095</v>
      </c>
      <c r="S445" s="87">
        <v>18.97503</v>
      </c>
      <c r="T445" s="87">
        <v>0.288095</v>
      </c>
      <c r="U445" s="87">
        <v>0.288095</v>
      </c>
      <c r="V445" s="87">
        <v>0.288095</v>
      </c>
      <c r="W445" s="87">
        <v>18.97503</v>
      </c>
      <c r="X445" s="87">
        <v>18.97503</v>
      </c>
      <c r="Y445" s="87">
        <v>6.421041</v>
      </c>
      <c r="Z445" s="87">
        <v>0.0</v>
      </c>
      <c r="AA445" s="87">
        <v>1.899116</v>
      </c>
      <c r="AB445" s="87">
        <v>1.720163</v>
      </c>
      <c r="AC445" s="87">
        <v>3.14084</v>
      </c>
      <c r="AD445" s="87">
        <v>1.556213</v>
      </c>
      <c r="AE445" s="87">
        <v>2.304163</v>
      </c>
      <c r="AF445" s="87">
        <v>4.648562</v>
      </c>
      <c r="AG445" s="87">
        <v>3.80075</v>
      </c>
      <c r="AH445" s="87">
        <v>0.0</v>
      </c>
      <c r="AI445" s="87">
        <v>2.108531</v>
      </c>
      <c r="AJ445" s="87">
        <v>2.358695</v>
      </c>
      <c r="AK445" s="87">
        <v>1.811916</v>
      </c>
      <c r="AL445" s="88" t="s">
        <v>1396</v>
      </c>
    </row>
    <row r="446">
      <c r="A446" s="84" t="s">
        <v>1979</v>
      </c>
      <c r="B446" s="84" t="s">
        <v>1987</v>
      </c>
      <c r="C446" s="84" t="s">
        <v>264</v>
      </c>
      <c r="D446" s="84" t="s">
        <v>265</v>
      </c>
      <c r="E446" s="84" t="s">
        <v>1413</v>
      </c>
      <c r="F446" s="87">
        <v>6.0</v>
      </c>
      <c r="G446" s="87">
        <v>0.0</v>
      </c>
      <c r="H446" s="87">
        <v>1018.0</v>
      </c>
      <c r="I446" s="87">
        <v>0.0</v>
      </c>
      <c r="J446" s="87">
        <v>6.693834</v>
      </c>
      <c r="K446" s="87">
        <v>7.348037</v>
      </c>
      <c r="L446" s="87">
        <v>7.260955</v>
      </c>
      <c r="M446" s="87">
        <v>4.125697</v>
      </c>
      <c r="N446" s="87">
        <v>0.561469</v>
      </c>
      <c r="O446" s="87">
        <v>0.0</v>
      </c>
      <c r="P446" s="87">
        <v>0.47193</v>
      </c>
      <c r="Q446" s="87">
        <v>0.47193</v>
      </c>
      <c r="R446" s="87">
        <v>1.809568</v>
      </c>
      <c r="S446" s="87">
        <v>1.899116</v>
      </c>
      <c r="T446" s="87">
        <v>0.47193</v>
      </c>
      <c r="U446" s="87">
        <v>0.940842</v>
      </c>
      <c r="V446" s="87">
        <v>0.940842</v>
      </c>
      <c r="W446" s="87">
        <v>1.809568</v>
      </c>
      <c r="X446" s="87">
        <v>1.899116</v>
      </c>
      <c r="Y446" s="87">
        <v>1.224673</v>
      </c>
      <c r="Z446" s="87">
        <v>0.0</v>
      </c>
      <c r="AA446" s="87">
        <v>1.899116</v>
      </c>
      <c r="AB446" s="87">
        <v>1.720163</v>
      </c>
      <c r="AC446" s="87">
        <v>3.14084</v>
      </c>
      <c r="AD446" s="87">
        <v>1.419601</v>
      </c>
      <c r="AE446" s="87">
        <v>1.570635</v>
      </c>
      <c r="AF446" s="87">
        <v>3.087707</v>
      </c>
      <c r="AG446" s="87">
        <v>1.811916</v>
      </c>
      <c r="AH446" s="87">
        <v>0.0</v>
      </c>
      <c r="AI446" s="87">
        <v>2.108531</v>
      </c>
      <c r="AJ446" s="87">
        <v>2.358695</v>
      </c>
      <c r="AK446" s="87">
        <v>1.811916</v>
      </c>
      <c r="AL446" s="88" t="s">
        <v>1396</v>
      </c>
    </row>
    <row r="447">
      <c r="A447" s="84" t="s">
        <v>1980</v>
      </c>
      <c r="B447" s="84" t="s">
        <v>1988</v>
      </c>
      <c r="C447" s="84" t="s">
        <v>264</v>
      </c>
      <c r="D447" s="84" t="s">
        <v>265</v>
      </c>
      <c r="E447" s="84" t="s">
        <v>1398</v>
      </c>
      <c r="F447" s="87">
        <v>4.0</v>
      </c>
      <c r="G447" s="87">
        <v>0.0</v>
      </c>
      <c r="H447" s="87">
        <v>238.0</v>
      </c>
      <c r="I447" s="87">
        <v>0.0</v>
      </c>
      <c r="J447" s="87">
        <v>0.590909</v>
      </c>
      <c r="K447" s="87">
        <v>1.585389</v>
      </c>
      <c r="L447" s="87">
        <v>0.760678</v>
      </c>
      <c r="M447" s="87">
        <v>1.0</v>
      </c>
      <c r="N447" s="87">
        <v>0.63076</v>
      </c>
      <c r="O447" s="87">
        <v>0.066667</v>
      </c>
      <c r="P447" s="87">
        <v>0.066667</v>
      </c>
      <c r="Q447" s="87">
        <v>0.238095</v>
      </c>
      <c r="R447" s="87">
        <v>0.280627</v>
      </c>
      <c r="S447" s="87">
        <v>0.280627</v>
      </c>
      <c r="T447" s="87">
        <v>0.066667</v>
      </c>
      <c r="U447" s="87">
        <v>0.066667</v>
      </c>
      <c r="V447" s="87">
        <v>0.238095</v>
      </c>
      <c r="W447" s="87">
        <v>0.280627</v>
      </c>
      <c r="X447" s="87">
        <v>0.280627</v>
      </c>
      <c r="Y447" s="87">
        <v>0.396347</v>
      </c>
      <c r="Z447" s="87">
        <v>0.0</v>
      </c>
      <c r="AA447" s="87">
        <v>1.899116</v>
      </c>
      <c r="AB447" s="87">
        <v>1.720163</v>
      </c>
      <c r="AC447" s="87">
        <v>3.14084</v>
      </c>
      <c r="AD447" s="87">
        <v>0.982266</v>
      </c>
      <c r="AE447" s="87">
        <v>1.394663</v>
      </c>
      <c r="AF447" s="87">
        <v>3.045819</v>
      </c>
      <c r="AG447" s="87">
        <v>1.453326</v>
      </c>
      <c r="AH447" s="87">
        <v>0.0</v>
      </c>
      <c r="AI447" s="87">
        <v>2.108531</v>
      </c>
      <c r="AJ447" s="87">
        <v>2.358695</v>
      </c>
      <c r="AK447" s="87">
        <v>1.811916</v>
      </c>
      <c r="AL447" s="88" t="s">
        <v>1396</v>
      </c>
    </row>
    <row r="448">
      <c r="A448" s="84" t="s">
        <v>1983</v>
      </c>
      <c r="B448" s="84" t="s">
        <v>1989</v>
      </c>
      <c r="C448" s="84" t="s">
        <v>264</v>
      </c>
      <c r="D448" s="84" t="s">
        <v>265</v>
      </c>
      <c r="E448" s="86">
        <v>46300.0</v>
      </c>
      <c r="F448" s="87">
        <v>12.0</v>
      </c>
      <c r="G448" s="87">
        <v>0.0</v>
      </c>
      <c r="H448" s="87">
        <v>4423.0</v>
      </c>
      <c r="I448" s="87">
        <v>0.0</v>
      </c>
      <c r="J448" s="87">
        <v>29.47761</v>
      </c>
      <c r="K448" s="87">
        <v>60.80645</v>
      </c>
      <c r="L448" s="87">
        <v>61.50333</v>
      </c>
      <c r="M448" s="87">
        <v>49.2133</v>
      </c>
      <c r="N448" s="87">
        <v>0.809343</v>
      </c>
      <c r="O448" s="87">
        <v>0.0</v>
      </c>
      <c r="P448" s="87">
        <v>0.0</v>
      </c>
      <c r="Q448" s="87">
        <v>0.0</v>
      </c>
      <c r="R448" s="87">
        <v>3.172717</v>
      </c>
      <c r="S448" s="87">
        <v>4.880293</v>
      </c>
      <c r="T448" s="87">
        <v>3.172717</v>
      </c>
      <c r="U448" s="87">
        <v>3.540136</v>
      </c>
      <c r="V448" s="87">
        <v>3.540136</v>
      </c>
      <c r="W448" s="87">
        <v>6.912339</v>
      </c>
      <c r="X448" s="87">
        <v>7.650895</v>
      </c>
      <c r="Y448" s="87">
        <v>5.067204</v>
      </c>
      <c r="Z448" s="87">
        <v>0.0</v>
      </c>
      <c r="AA448" s="87">
        <v>1.899116</v>
      </c>
      <c r="AB448" s="87">
        <v>1.720163</v>
      </c>
      <c r="AC448" s="87">
        <v>3.14084</v>
      </c>
      <c r="AD448" s="87">
        <v>1.136302</v>
      </c>
      <c r="AE448" s="87">
        <v>3.697048</v>
      </c>
      <c r="AF448" s="87">
        <v>4.970773</v>
      </c>
      <c r="AG448" s="87">
        <v>3.803112</v>
      </c>
      <c r="AH448" s="87">
        <v>0.0</v>
      </c>
      <c r="AI448" s="87">
        <v>2.108531</v>
      </c>
      <c r="AJ448" s="87">
        <v>2.358695</v>
      </c>
      <c r="AK448" s="87">
        <v>1.811916</v>
      </c>
      <c r="AL448" s="88" t="s">
        <v>1396</v>
      </c>
    </row>
    <row r="449">
      <c r="A449" s="84" t="s">
        <v>1984</v>
      </c>
      <c r="B449" s="84" t="s">
        <v>1990</v>
      </c>
      <c r="C449" s="84" t="s">
        <v>264</v>
      </c>
      <c r="D449" s="84" t="s">
        <v>265</v>
      </c>
      <c r="E449" s="84" t="s">
        <v>1403</v>
      </c>
      <c r="F449" s="87">
        <v>35.0</v>
      </c>
      <c r="G449" s="87">
        <v>5.0</v>
      </c>
      <c r="H449" s="87">
        <v>147.0</v>
      </c>
      <c r="I449" s="87">
        <v>147.0</v>
      </c>
      <c r="J449" s="87">
        <v>0.0</v>
      </c>
      <c r="K449" s="87">
        <v>0.0</v>
      </c>
      <c r="L449" s="87">
        <v>0.0</v>
      </c>
      <c r="M449" s="87">
        <v>0.0</v>
      </c>
      <c r="N449" s="87">
        <v>0.0</v>
      </c>
      <c r="O449" s="87">
        <v>0.0</v>
      </c>
      <c r="P449" s="87">
        <v>0.0</v>
      </c>
      <c r="Q449" s="87">
        <v>0.0</v>
      </c>
      <c r="R449" s="87">
        <v>0.0</v>
      </c>
      <c r="S449" s="87">
        <v>0.0</v>
      </c>
      <c r="T449" s="87">
        <v>0.0</v>
      </c>
      <c r="U449" s="87">
        <v>0.0</v>
      </c>
      <c r="V449" s="87">
        <v>0.0</v>
      </c>
      <c r="W449" s="87">
        <v>0.0</v>
      </c>
      <c r="X449" s="87">
        <v>0.0</v>
      </c>
      <c r="Y449" s="87">
        <v>0.0</v>
      </c>
      <c r="Z449" s="87">
        <v>0.0</v>
      </c>
      <c r="AA449" s="87">
        <v>1.899116</v>
      </c>
      <c r="AB449" s="87">
        <v>1.720163</v>
      </c>
      <c r="AC449" s="87">
        <v>3.14084</v>
      </c>
      <c r="AD449" s="87">
        <v>0.0</v>
      </c>
      <c r="AE449" s="87">
        <v>0.0</v>
      </c>
      <c r="AF449" s="87">
        <v>0.0</v>
      </c>
      <c r="AG449" s="87">
        <v>0.0</v>
      </c>
      <c r="AH449" s="87">
        <v>0.0</v>
      </c>
      <c r="AI449" s="87">
        <v>2.108531</v>
      </c>
      <c r="AJ449" s="87">
        <v>2.358695</v>
      </c>
      <c r="AK449" s="87">
        <v>1.811916</v>
      </c>
      <c r="AL449" s="88" t="s">
        <v>1396</v>
      </c>
    </row>
    <row r="450">
      <c r="A450" s="84" t="s">
        <v>1976</v>
      </c>
      <c r="B450" s="84" t="s">
        <v>1991</v>
      </c>
      <c r="C450" s="84" t="s">
        <v>264</v>
      </c>
      <c r="D450" s="84" t="s">
        <v>275</v>
      </c>
      <c r="E450" s="84" t="s">
        <v>1426</v>
      </c>
      <c r="F450" s="87">
        <v>3.0</v>
      </c>
      <c r="G450" s="87">
        <v>0.0</v>
      </c>
      <c r="H450" s="87">
        <v>552.0</v>
      </c>
      <c r="I450" s="87">
        <v>0.0</v>
      </c>
      <c r="J450" s="87">
        <v>11.9827</v>
      </c>
      <c r="K450" s="87">
        <v>17.38834</v>
      </c>
      <c r="L450" s="87">
        <v>16.42875</v>
      </c>
      <c r="M450" s="87">
        <v>10.10002</v>
      </c>
      <c r="N450" s="87">
        <v>0.58085</v>
      </c>
      <c r="O450" s="87">
        <v>0.0</v>
      </c>
      <c r="P450" s="87">
        <v>0.0</v>
      </c>
      <c r="Q450" s="87">
        <v>0.0</v>
      </c>
      <c r="R450" s="87">
        <v>7.288322</v>
      </c>
      <c r="S450" s="87">
        <v>10.10002</v>
      </c>
      <c r="T450" s="87">
        <v>7.288322</v>
      </c>
      <c r="U450" s="87">
        <v>7.288322</v>
      </c>
      <c r="V450" s="87">
        <v>7.288322</v>
      </c>
      <c r="W450" s="87">
        <v>10.10002</v>
      </c>
      <c r="X450" s="87">
        <v>10.10002</v>
      </c>
      <c r="Y450" s="87">
        <v>5.796112</v>
      </c>
      <c r="Z450" s="87">
        <v>0.0</v>
      </c>
      <c r="AA450" s="87">
        <v>2.039007</v>
      </c>
      <c r="AB450" s="87">
        <v>1.504264</v>
      </c>
      <c r="AC450" s="87">
        <v>1.61454</v>
      </c>
      <c r="AD450" s="87">
        <v>0.142857</v>
      </c>
      <c r="AE450" s="87">
        <v>7.88405</v>
      </c>
      <c r="AF450" s="87">
        <v>6.932916</v>
      </c>
      <c r="AG450" s="87">
        <v>5.796112</v>
      </c>
      <c r="AH450" s="87">
        <v>0.0</v>
      </c>
      <c r="AI450" s="87">
        <v>2.108531</v>
      </c>
      <c r="AJ450" s="87">
        <v>2.358695</v>
      </c>
      <c r="AK450" s="87">
        <v>1.811916</v>
      </c>
      <c r="AL450" s="88" t="s">
        <v>1396</v>
      </c>
    </row>
    <row r="451">
      <c r="A451" s="84" t="s">
        <v>1977</v>
      </c>
      <c r="B451" s="84" t="s">
        <v>1992</v>
      </c>
      <c r="C451" s="84" t="s">
        <v>264</v>
      </c>
      <c r="D451" s="84" t="s">
        <v>275</v>
      </c>
      <c r="E451" s="86">
        <v>46310.0</v>
      </c>
      <c r="F451" s="87">
        <v>11.0</v>
      </c>
      <c r="G451" s="87">
        <v>0.0</v>
      </c>
      <c r="H451" s="87">
        <v>3637.0</v>
      </c>
      <c r="I451" s="87">
        <v>0.0</v>
      </c>
      <c r="J451" s="87">
        <v>40.35463</v>
      </c>
      <c r="K451" s="87">
        <v>41.80826</v>
      </c>
      <c r="L451" s="87">
        <v>40.10083</v>
      </c>
      <c r="M451" s="87">
        <v>26.1842</v>
      </c>
      <c r="N451" s="87">
        <v>0.626292</v>
      </c>
      <c r="O451" s="87">
        <v>0.166667</v>
      </c>
      <c r="P451" s="87">
        <v>0.996774</v>
      </c>
      <c r="Q451" s="87">
        <v>1.03029</v>
      </c>
      <c r="R451" s="87">
        <v>2.667597</v>
      </c>
      <c r="S451" s="87">
        <v>4.911376</v>
      </c>
      <c r="T451" s="87">
        <v>0.996774</v>
      </c>
      <c r="U451" s="87">
        <v>1.03029</v>
      </c>
      <c r="V451" s="87">
        <v>1.794033</v>
      </c>
      <c r="W451" s="87">
        <v>4.057321</v>
      </c>
      <c r="X451" s="87">
        <v>5.040774</v>
      </c>
      <c r="Y451" s="87">
        <v>3.80075</v>
      </c>
      <c r="Z451" s="87">
        <v>0.0</v>
      </c>
      <c r="AA451" s="87">
        <v>2.039007</v>
      </c>
      <c r="AB451" s="87">
        <v>1.504264</v>
      </c>
      <c r="AC451" s="87">
        <v>1.61454</v>
      </c>
      <c r="AD451" s="87">
        <v>1.556213</v>
      </c>
      <c r="AE451" s="87">
        <v>2.304163</v>
      </c>
      <c r="AF451" s="87">
        <v>4.648562</v>
      </c>
      <c r="AG451" s="87">
        <v>3.80075</v>
      </c>
      <c r="AH451" s="87">
        <v>0.0</v>
      </c>
      <c r="AI451" s="87">
        <v>2.108531</v>
      </c>
      <c r="AJ451" s="87">
        <v>2.358695</v>
      </c>
      <c r="AK451" s="87">
        <v>1.811916</v>
      </c>
      <c r="AL451" s="88" t="s">
        <v>1396</v>
      </c>
    </row>
    <row r="452">
      <c r="A452" s="84" t="s">
        <v>1979</v>
      </c>
      <c r="B452" s="84" t="s">
        <v>1993</v>
      </c>
      <c r="C452" s="84" t="s">
        <v>264</v>
      </c>
      <c r="D452" s="84" t="s">
        <v>275</v>
      </c>
      <c r="E452" s="84" t="s">
        <v>1413</v>
      </c>
      <c r="F452" s="87">
        <v>6.0</v>
      </c>
      <c r="G452" s="87">
        <v>0.0</v>
      </c>
      <c r="H452" s="87">
        <v>1130.0</v>
      </c>
      <c r="I452" s="87">
        <v>0.0</v>
      </c>
      <c r="J452" s="87">
        <v>12.1106</v>
      </c>
      <c r="K452" s="87">
        <v>9.687239</v>
      </c>
      <c r="L452" s="87">
        <v>10.4813</v>
      </c>
      <c r="M452" s="87">
        <v>6.903386</v>
      </c>
      <c r="N452" s="87">
        <v>0.712627</v>
      </c>
      <c r="O452" s="87">
        <v>0.25</v>
      </c>
      <c r="P452" s="87">
        <v>0.365744</v>
      </c>
      <c r="Q452" s="87">
        <v>0.365744</v>
      </c>
      <c r="R452" s="87">
        <v>1.414997</v>
      </c>
      <c r="S452" s="87">
        <v>2.284668</v>
      </c>
      <c r="T452" s="87">
        <v>0.25</v>
      </c>
      <c r="U452" s="87">
        <v>0.365744</v>
      </c>
      <c r="V452" s="87">
        <v>0.365744</v>
      </c>
      <c r="W452" s="87">
        <v>1.414997</v>
      </c>
      <c r="X452" s="87">
        <v>2.284668</v>
      </c>
      <c r="Y452" s="87">
        <v>1.61454</v>
      </c>
      <c r="Z452" s="87">
        <v>0.0</v>
      </c>
      <c r="AA452" s="87">
        <v>2.039007</v>
      </c>
      <c r="AB452" s="87">
        <v>1.504264</v>
      </c>
      <c r="AC452" s="87">
        <v>1.61454</v>
      </c>
      <c r="AD452" s="87">
        <v>1.419601</v>
      </c>
      <c r="AE452" s="87">
        <v>1.570635</v>
      </c>
      <c r="AF452" s="87">
        <v>3.087707</v>
      </c>
      <c r="AG452" s="87">
        <v>1.811916</v>
      </c>
      <c r="AH452" s="87">
        <v>0.0</v>
      </c>
      <c r="AI452" s="87">
        <v>2.108531</v>
      </c>
      <c r="AJ452" s="87">
        <v>2.358695</v>
      </c>
      <c r="AK452" s="87">
        <v>1.811916</v>
      </c>
      <c r="AL452" s="88" t="s">
        <v>1396</v>
      </c>
    </row>
    <row r="453">
      <c r="A453" s="84" t="s">
        <v>1980</v>
      </c>
      <c r="B453" s="84" t="s">
        <v>1994</v>
      </c>
      <c r="C453" s="84" t="s">
        <v>264</v>
      </c>
      <c r="D453" s="84" t="s">
        <v>275</v>
      </c>
      <c r="E453" s="84" t="s">
        <v>1398</v>
      </c>
      <c r="F453" s="87">
        <v>3.0</v>
      </c>
      <c r="G453" s="87">
        <v>0.0</v>
      </c>
      <c r="H453" s="87">
        <v>479.0</v>
      </c>
      <c r="I453" s="87">
        <v>0.0</v>
      </c>
      <c r="J453" s="87">
        <v>5.15873</v>
      </c>
      <c r="K453" s="87">
        <v>3.205812</v>
      </c>
      <c r="L453" s="87">
        <v>3.118349</v>
      </c>
      <c r="M453" s="87">
        <v>2.294614</v>
      </c>
      <c r="N453" s="87">
        <v>0.715767</v>
      </c>
      <c r="O453" s="87">
        <v>0.058824</v>
      </c>
      <c r="P453" s="87">
        <v>0.058824</v>
      </c>
      <c r="Q453" s="87">
        <v>0.058824</v>
      </c>
      <c r="R453" s="87">
        <v>0.852374</v>
      </c>
      <c r="S453" s="87">
        <v>2.294614</v>
      </c>
      <c r="T453" s="87">
        <v>0.058824</v>
      </c>
      <c r="U453" s="87">
        <v>0.058824</v>
      </c>
      <c r="V453" s="87">
        <v>0.058824</v>
      </c>
      <c r="W453" s="87">
        <v>0.852374</v>
      </c>
      <c r="X453" s="87">
        <v>2.294614</v>
      </c>
      <c r="Y453" s="87">
        <v>1.068604</v>
      </c>
      <c r="Z453" s="87">
        <v>0.0</v>
      </c>
      <c r="AA453" s="87">
        <v>2.039007</v>
      </c>
      <c r="AB453" s="87">
        <v>1.504264</v>
      </c>
      <c r="AC453" s="87">
        <v>1.61454</v>
      </c>
      <c r="AD453" s="87">
        <v>0.982266</v>
      </c>
      <c r="AE453" s="87">
        <v>1.394663</v>
      </c>
      <c r="AF453" s="87">
        <v>3.045819</v>
      </c>
      <c r="AG453" s="87">
        <v>1.453326</v>
      </c>
      <c r="AH453" s="87">
        <v>0.0</v>
      </c>
      <c r="AI453" s="87">
        <v>2.108531</v>
      </c>
      <c r="AJ453" s="87">
        <v>2.358695</v>
      </c>
      <c r="AK453" s="87">
        <v>1.811916</v>
      </c>
      <c r="AL453" s="88" t="s">
        <v>1396</v>
      </c>
    </row>
    <row r="454">
      <c r="A454" s="84" t="s">
        <v>1983</v>
      </c>
      <c r="B454" s="84" t="s">
        <v>1995</v>
      </c>
      <c r="C454" s="84" t="s">
        <v>264</v>
      </c>
      <c r="D454" s="84" t="s">
        <v>275</v>
      </c>
      <c r="E454" s="89">
        <v>46300.0</v>
      </c>
      <c r="F454" s="87">
        <v>6.0</v>
      </c>
      <c r="G454" s="87">
        <v>0.0</v>
      </c>
      <c r="H454" s="87">
        <v>757.0</v>
      </c>
      <c r="I454" s="87">
        <v>0.0</v>
      </c>
      <c r="J454" s="87">
        <v>6.399717</v>
      </c>
      <c r="K454" s="87">
        <v>7.63636</v>
      </c>
      <c r="L454" s="87">
        <v>7.364917</v>
      </c>
      <c r="M454" s="87">
        <v>5.646342</v>
      </c>
      <c r="N454" s="87">
        <v>0.739402</v>
      </c>
      <c r="O454" s="87">
        <v>0.0</v>
      </c>
      <c r="P454" s="87">
        <v>0.266667</v>
      </c>
      <c r="Q454" s="87">
        <v>0.266667</v>
      </c>
      <c r="R454" s="87">
        <v>1.443193</v>
      </c>
      <c r="S454" s="87">
        <v>2.039007</v>
      </c>
      <c r="T454" s="87">
        <v>0.266667</v>
      </c>
      <c r="U454" s="87">
        <v>0.280159</v>
      </c>
      <c r="V454" s="87">
        <v>0.280159</v>
      </c>
      <c r="W454" s="87">
        <v>1.443193</v>
      </c>
      <c r="X454" s="87">
        <v>2.039007</v>
      </c>
      <c r="Y454" s="87">
        <v>1.272727</v>
      </c>
      <c r="Z454" s="87">
        <v>0.0</v>
      </c>
      <c r="AA454" s="87">
        <v>2.039007</v>
      </c>
      <c r="AB454" s="87">
        <v>1.504264</v>
      </c>
      <c r="AC454" s="87">
        <v>1.61454</v>
      </c>
      <c r="AD454" s="87">
        <v>1.136302</v>
      </c>
      <c r="AE454" s="87">
        <v>3.697048</v>
      </c>
      <c r="AF454" s="87">
        <v>4.970773</v>
      </c>
      <c r="AG454" s="87">
        <v>3.803112</v>
      </c>
      <c r="AH454" s="87">
        <v>0.0</v>
      </c>
      <c r="AI454" s="87">
        <v>2.108531</v>
      </c>
      <c r="AJ454" s="87">
        <v>2.358695</v>
      </c>
      <c r="AK454" s="87">
        <v>1.811916</v>
      </c>
      <c r="AL454" s="88" t="s">
        <v>1396</v>
      </c>
    </row>
    <row r="455">
      <c r="A455" s="84" t="s">
        <v>1984</v>
      </c>
      <c r="B455" s="84" t="s">
        <v>1996</v>
      </c>
      <c r="C455" s="84" t="s">
        <v>264</v>
      </c>
      <c r="D455" s="84" t="s">
        <v>275</v>
      </c>
      <c r="E455" s="84" t="s">
        <v>1403</v>
      </c>
      <c r="F455" s="87">
        <v>24.0</v>
      </c>
      <c r="G455" s="87">
        <v>4.0</v>
      </c>
      <c r="H455" s="87">
        <v>276.0</v>
      </c>
      <c r="I455" s="87">
        <v>276.0</v>
      </c>
      <c r="J455" s="87">
        <v>0.0</v>
      </c>
      <c r="K455" s="87">
        <v>0.0</v>
      </c>
      <c r="L455" s="87">
        <v>0.0</v>
      </c>
      <c r="M455" s="87">
        <v>0.0</v>
      </c>
      <c r="N455" s="87">
        <v>0.0</v>
      </c>
      <c r="O455" s="87">
        <v>0.0</v>
      </c>
      <c r="P455" s="87">
        <v>0.0</v>
      </c>
      <c r="Q455" s="87">
        <v>0.0</v>
      </c>
      <c r="R455" s="87">
        <v>0.0</v>
      </c>
      <c r="S455" s="87">
        <v>0.0</v>
      </c>
      <c r="T455" s="87">
        <v>0.0</v>
      </c>
      <c r="U455" s="87">
        <v>0.0</v>
      </c>
      <c r="V455" s="87">
        <v>0.0</v>
      </c>
      <c r="W455" s="87">
        <v>0.0</v>
      </c>
      <c r="X455" s="87">
        <v>0.0</v>
      </c>
      <c r="Y455" s="87">
        <v>0.0</v>
      </c>
      <c r="Z455" s="87">
        <v>0.0</v>
      </c>
      <c r="AA455" s="87">
        <v>2.039007</v>
      </c>
      <c r="AB455" s="87">
        <v>1.504264</v>
      </c>
      <c r="AC455" s="87">
        <v>1.61454</v>
      </c>
      <c r="AD455" s="87">
        <v>0.0</v>
      </c>
      <c r="AE455" s="87">
        <v>0.0</v>
      </c>
      <c r="AF455" s="87">
        <v>0.0</v>
      </c>
      <c r="AG455" s="87">
        <v>0.0</v>
      </c>
      <c r="AH455" s="87">
        <v>0.0</v>
      </c>
      <c r="AI455" s="87">
        <v>2.108531</v>
      </c>
      <c r="AJ455" s="87">
        <v>2.358695</v>
      </c>
      <c r="AK455" s="87">
        <v>1.811916</v>
      </c>
      <c r="AL455" s="88" t="s">
        <v>1396</v>
      </c>
    </row>
    <row r="456">
      <c r="A456" s="84" t="s">
        <v>1976</v>
      </c>
      <c r="B456" s="84" t="s">
        <v>1997</v>
      </c>
      <c r="C456" s="84" t="s">
        <v>264</v>
      </c>
      <c r="D456" s="84" t="s">
        <v>1998</v>
      </c>
      <c r="E456" s="84" t="s">
        <v>1426</v>
      </c>
      <c r="F456" s="87">
        <v>1.0</v>
      </c>
      <c r="G456" s="87">
        <v>0.0</v>
      </c>
      <c r="H456" s="87">
        <v>2525.0</v>
      </c>
      <c r="I456" s="87">
        <v>0.0</v>
      </c>
      <c r="J456" s="87">
        <v>26.84396</v>
      </c>
      <c r="K456" s="87">
        <v>28.24847</v>
      </c>
      <c r="L456" s="87">
        <v>31.22804</v>
      </c>
      <c r="M456" s="87">
        <v>28.24847</v>
      </c>
      <c r="N456" s="87">
        <v>1.0</v>
      </c>
      <c r="O456" s="87">
        <v>28.24847</v>
      </c>
      <c r="P456" s="87">
        <v>28.24847</v>
      </c>
      <c r="Q456" s="87">
        <v>28.24847</v>
      </c>
      <c r="R456" s="87">
        <v>28.24847</v>
      </c>
      <c r="S456" s="87">
        <v>28.24847</v>
      </c>
      <c r="T456" s="87">
        <v>28.24847</v>
      </c>
      <c r="U456" s="87">
        <v>28.24847</v>
      </c>
      <c r="V456" s="87">
        <v>28.24847</v>
      </c>
      <c r="W456" s="87">
        <v>28.24847</v>
      </c>
      <c r="X456" s="87">
        <v>28.24847</v>
      </c>
      <c r="Y456" s="87">
        <v>28.24847</v>
      </c>
      <c r="Z456" s="87">
        <v>0.424229</v>
      </c>
      <c r="AA456" s="87">
        <v>2.64803</v>
      </c>
      <c r="AB456" s="87">
        <v>5.160593</v>
      </c>
      <c r="AC456" s="87">
        <v>4.91013</v>
      </c>
      <c r="AD456" s="87">
        <v>0.142857</v>
      </c>
      <c r="AE456" s="87">
        <v>7.88405</v>
      </c>
      <c r="AF456" s="87">
        <v>6.932916</v>
      </c>
      <c r="AG456" s="87">
        <v>5.796112</v>
      </c>
      <c r="AH456" s="87">
        <v>0.0</v>
      </c>
      <c r="AI456" s="87">
        <v>2.108531</v>
      </c>
      <c r="AJ456" s="87">
        <v>2.358695</v>
      </c>
      <c r="AK456" s="87">
        <v>1.811916</v>
      </c>
      <c r="AL456" s="88" t="s">
        <v>1396</v>
      </c>
    </row>
    <row r="457">
      <c r="A457" s="84" t="s">
        <v>1977</v>
      </c>
      <c r="B457" s="84" t="s">
        <v>1999</v>
      </c>
      <c r="C457" s="84" t="s">
        <v>264</v>
      </c>
      <c r="D457" s="84" t="s">
        <v>1998</v>
      </c>
      <c r="E457" s="86">
        <v>46310.0</v>
      </c>
      <c r="F457" s="87">
        <v>3.0</v>
      </c>
      <c r="G457" s="87">
        <v>0.0</v>
      </c>
      <c r="H457" s="87">
        <v>4718.0</v>
      </c>
      <c r="I457" s="87">
        <v>0.0</v>
      </c>
      <c r="J457" s="87">
        <v>70.57882</v>
      </c>
      <c r="K457" s="87">
        <v>71.15488</v>
      </c>
      <c r="L457" s="87">
        <v>68.33611</v>
      </c>
      <c r="M457" s="87">
        <v>64.8143</v>
      </c>
      <c r="N457" s="87">
        <v>0.91089</v>
      </c>
      <c r="O457" s="87">
        <v>1.080435</v>
      </c>
      <c r="P457" s="87">
        <v>1.080435</v>
      </c>
      <c r="Q457" s="87">
        <v>1.080435</v>
      </c>
      <c r="R457" s="87">
        <v>5.260151</v>
      </c>
      <c r="S457" s="87">
        <v>64.8143</v>
      </c>
      <c r="T457" s="87">
        <v>1.080435</v>
      </c>
      <c r="U457" s="87">
        <v>1.080435</v>
      </c>
      <c r="V457" s="87">
        <v>1.080435</v>
      </c>
      <c r="W457" s="87">
        <v>5.260151</v>
      </c>
      <c r="X457" s="87">
        <v>64.8143</v>
      </c>
      <c r="Y457" s="87">
        <v>23.71829</v>
      </c>
      <c r="Z457" s="87">
        <v>0.424229</v>
      </c>
      <c r="AA457" s="87">
        <v>2.64803</v>
      </c>
      <c r="AB457" s="87">
        <v>5.160593</v>
      </c>
      <c r="AC457" s="87">
        <v>4.91013</v>
      </c>
      <c r="AD457" s="87">
        <v>1.556213</v>
      </c>
      <c r="AE457" s="87">
        <v>2.304163</v>
      </c>
      <c r="AF457" s="87">
        <v>4.648562</v>
      </c>
      <c r="AG457" s="87">
        <v>3.80075</v>
      </c>
      <c r="AH457" s="87">
        <v>0.0</v>
      </c>
      <c r="AI457" s="87">
        <v>2.108531</v>
      </c>
      <c r="AJ457" s="87">
        <v>2.358695</v>
      </c>
      <c r="AK457" s="87">
        <v>1.811916</v>
      </c>
      <c r="AL457" s="88" t="s">
        <v>1396</v>
      </c>
    </row>
    <row r="458">
      <c r="A458" s="84" t="s">
        <v>1979</v>
      </c>
      <c r="B458" s="84" t="s">
        <v>2000</v>
      </c>
      <c r="C458" s="84" t="s">
        <v>264</v>
      </c>
      <c r="D458" s="84" t="s">
        <v>1998</v>
      </c>
      <c r="E458" s="84" t="s">
        <v>1413</v>
      </c>
      <c r="F458" s="87">
        <v>5.0</v>
      </c>
      <c r="G458" s="87">
        <v>0.0</v>
      </c>
      <c r="H458" s="87">
        <v>2343.0</v>
      </c>
      <c r="I458" s="87">
        <v>0.0</v>
      </c>
      <c r="J458" s="87">
        <v>24.20183</v>
      </c>
      <c r="K458" s="87">
        <v>24.55065</v>
      </c>
      <c r="L458" s="87">
        <v>24.28729</v>
      </c>
      <c r="M458" s="87">
        <v>19.74484</v>
      </c>
      <c r="N458" s="87">
        <v>0.804249</v>
      </c>
      <c r="O458" s="87">
        <v>0.165591</v>
      </c>
      <c r="P458" s="87">
        <v>0.424229</v>
      </c>
      <c r="Q458" s="87">
        <v>0.424229</v>
      </c>
      <c r="R458" s="87">
        <v>1.567956</v>
      </c>
      <c r="S458" s="87">
        <v>2.64803</v>
      </c>
      <c r="T458" s="87">
        <v>0.165591</v>
      </c>
      <c r="U458" s="87">
        <v>0.424229</v>
      </c>
      <c r="V458" s="87">
        <v>0.424229</v>
      </c>
      <c r="W458" s="87">
        <v>1.567956</v>
      </c>
      <c r="X458" s="87">
        <v>2.64803</v>
      </c>
      <c r="Y458" s="87">
        <v>4.91013</v>
      </c>
      <c r="Z458" s="87">
        <v>0.424229</v>
      </c>
      <c r="AA458" s="87">
        <v>2.64803</v>
      </c>
      <c r="AB458" s="87">
        <v>5.160593</v>
      </c>
      <c r="AC458" s="87">
        <v>4.91013</v>
      </c>
      <c r="AD458" s="87">
        <v>1.419601</v>
      </c>
      <c r="AE458" s="87">
        <v>1.570635</v>
      </c>
      <c r="AF458" s="87">
        <v>3.087707</v>
      </c>
      <c r="AG458" s="87">
        <v>1.811916</v>
      </c>
      <c r="AH458" s="87">
        <v>0.0</v>
      </c>
      <c r="AI458" s="87">
        <v>2.108531</v>
      </c>
      <c r="AJ458" s="87">
        <v>2.358695</v>
      </c>
      <c r="AK458" s="87">
        <v>1.811916</v>
      </c>
      <c r="AL458" s="88" t="s">
        <v>1396</v>
      </c>
    </row>
    <row r="459">
      <c r="A459" s="84" t="s">
        <v>1980</v>
      </c>
      <c r="B459" s="84" t="s">
        <v>2001</v>
      </c>
      <c r="C459" s="84" t="s">
        <v>264</v>
      </c>
      <c r="D459" s="84" t="s">
        <v>1998</v>
      </c>
      <c r="E459" s="84" t="s">
        <v>1398</v>
      </c>
      <c r="F459" s="87">
        <v>2.0</v>
      </c>
      <c r="G459" s="87">
        <v>0.0</v>
      </c>
      <c r="H459" s="87">
        <v>1280.0</v>
      </c>
      <c r="I459" s="87">
        <v>0.0</v>
      </c>
      <c r="J459" s="87">
        <v>18.51638</v>
      </c>
      <c r="K459" s="87">
        <v>16.28954</v>
      </c>
      <c r="L459" s="87">
        <v>15.42925</v>
      </c>
      <c r="M459" s="87">
        <v>9.746639</v>
      </c>
      <c r="N459" s="87">
        <v>0.598337</v>
      </c>
      <c r="O459" s="87">
        <v>6.542901</v>
      </c>
      <c r="P459" s="87">
        <v>6.542901</v>
      </c>
      <c r="Q459" s="87">
        <v>6.542901</v>
      </c>
      <c r="R459" s="87">
        <v>9.746639</v>
      </c>
      <c r="S459" s="87">
        <v>9.746639</v>
      </c>
      <c r="T459" s="87">
        <v>6.542901</v>
      </c>
      <c r="U459" s="87">
        <v>6.542901</v>
      </c>
      <c r="V459" s="87">
        <v>6.542901</v>
      </c>
      <c r="W459" s="87">
        <v>9.746639</v>
      </c>
      <c r="X459" s="87">
        <v>9.746639</v>
      </c>
      <c r="Y459" s="87">
        <v>8.14477</v>
      </c>
      <c r="Z459" s="87">
        <v>0.424229</v>
      </c>
      <c r="AA459" s="87">
        <v>2.64803</v>
      </c>
      <c r="AB459" s="87">
        <v>5.160593</v>
      </c>
      <c r="AC459" s="87">
        <v>4.91013</v>
      </c>
      <c r="AD459" s="87">
        <v>0.982266</v>
      </c>
      <c r="AE459" s="87">
        <v>1.394663</v>
      </c>
      <c r="AF459" s="87">
        <v>3.045819</v>
      </c>
      <c r="AG459" s="87">
        <v>1.453326</v>
      </c>
      <c r="AH459" s="87">
        <v>0.0</v>
      </c>
      <c r="AI459" s="87">
        <v>2.108531</v>
      </c>
      <c r="AJ459" s="87">
        <v>2.358695</v>
      </c>
      <c r="AK459" s="87">
        <v>1.811916</v>
      </c>
      <c r="AL459" s="88" t="s">
        <v>1396</v>
      </c>
    </row>
    <row r="460">
      <c r="A460" s="84" t="s">
        <v>1981</v>
      </c>
      <c r="B460" s="84" t="s">
        <v>2002</v>
      </c>
      <c r="C460" s="84" t="s">
        <v>264</v>
      </c>
      <c r="D460" s="84" t="s">
        <v>1998</v>
      </c>
      <c r="E460" s="84" t="s">
        <v>1400</v>
      </c>
      <c r="F460" s="87">
        <v>2.0</v>
      </c>
      <c r="G460" s="87">
        <v>0.0</v>
      </c>
      <c r="H460" s="87">
        <v>489.0</v>
      </c>
      <c r="I460" s="87">
        <v>0.0</v>
      </c>
      <c r="J460" s="87">
        <v>2.955628</v>
      </c>
      <c r="K460" s="87">
        <v>3.052198</v>
      </c>
      <c r="L460" s="87">
        <v>2.945695</v>
      </c>
      <c r="M460" s="87">
        <v>2.852198</v>
      </c>
      <c r="N460" s="87">
        <v>0.934473</v>
      </c>
      <c r="O460" s="87">
        <v>0.2</v>
      </c>
      <c r="P460" s="87">
        <v>0.2</v>
      </c>
      <c r="Q460" s="87">
        <v>0.2</v>
      </c>
      <c r="R460" s="87">
        <v>2.852198</v>
      </c>
      <c r="S460" s="87">
        <v>2.852198</v>
      </c>
      <c r="T460" s="87">
        <v>0.2</v>
      </c>
      <c r="U460" s="87">
        <v>0.2</v>
      </c>
      <c r="V460" s="87">
        <v>0.2</v>
      </c>
      <c r="W460" s="87">
        <v>2.852198</v>
      </c>
      <c r="X460" s="87">
        <v>2.852198</v>
      </c>
      <c r="Y460" s="87">
        <v>1.526099</v>
      </c>
      <c r="Z460" s="87">
        <v>0.424229</v>
      </c>
      <c r="AA460" s="87">
        <v>2.64803</v>
      </c>
      <c r="AB460" s="87">
        <v>5.160593</v>
      </c>
      <c r="AC460" s="87">
        <v>4.91013</v>
      </c>
      <c r="AD460" s="87">
        <v>0.366667</v>
      </c>
      <c r="AE460" s="87">
        <v>0.501923</v>
      </c>
      <c r="AF460" s="87">
        <v>0.86811</v>
      </c>
      <c r="AG460" s="87">
        <v>0.961</v>
      </c>
      <c r="AH460" s="87">
        <v>0.0</v>
      </c>
      <c r="AI460" s="87">
        <v>2.108531</v>
      </c>
      <c r="AJ460" s="87">
        <v>2.358695</v>
      </c>
      <c r="AK460" s="87">
        <v>1.811916</v>
      </c>
      <c r="AL460" s="88" t="s">
        <v>1396</v>
      </c>
    </row>
    <row r="461">
      <c r="A461" s="84" t="s">
        <v>1983</v>
      </c>
      <c r="B461" s="84" t="s">
        <v>2003</v>
      </c>
      <c r="C461" s="84" t="s">
        <v>264</v>
      </c>
      <c r="D461" s="84" t="s">
        <v>1998</v>
      </c>
      <c r="E461" s="89">
        <v>46300.0</v>
      </c>
      <c r="F461" s="87">
        <v>10.0</v>
      </c>
      <c r="G461" s="87">
        <v>0.0</v>
      </c>
      <c r="H461" s="87">
        <v>2970.0</v>
      </c>
      <c r="I461" s="87">
        <v>0.0</v>
      </c>
      <c r="J461" s="87">
        <v>32.08016</v>
      </c>
      <c r="K461" s="87">
        <v>37.32503</v>
      </c>
      <c r="L461" s="87">
        <v>37.9191</v>
      </c>
      <c r="M461" s="87">
        <v>29.34207</v>
      </c>
      <c r="N461" s="87">
        <v>0.786123</v>
      </c>
      <c r="O461" s="87">
        <v>0.0</v>
      </c>
      <c r="P461" s="87">
        <v>0.386147</v>
      </c>
      <c r="Q461" s="87">
        <v>0.5</v>
      </c>
      <c r="R461" s="87">
        <v>0.882479</v>
      </c>
      <c r="S461" s="87">
        <v>2.851284</v>
      </c>
      <c r="T461" s="87">
        <v>0.386147</v>
      </c>
      <c r="U461" s="87">
        <v>0.5</v>
      </c>
      <c r="V461" s="87">
        <v>0.758333</v>
      </c>
      <c r="W461" s="87">
        <v>2.604723</v>
      </c>
      <c r="X461" s="87">
        <v>2.851284</v>
      </c>
      <c r="Y461" s="87">
        <v>3.732503</v>
      </c>
      <c r="Z461" s="87">
        <v>0.424229</v>
      </c>
      <c r="AA461" s="87">
        <v>2.64803</v>
      </c>
      <c r="AB461" s="87">
        <v>5.160593</v>
      </c>
      <c r="AC461" s="87">
        <v>4.91013</v>
      </c>
      <c r="AD461" s="87">
        <v>1.136302</v>
      </c>
      <c r="AE461" s="87">
        <v>3.697048</v>
      </c>
      <c r="AF461" s="87">
        <v>4.970773</v>
      </c>
      <c r="AG461" s="87">
        <v>3.803112</v>
      </c>
      <c r="AH461" s="87">
        <v>0.0</v>
      </c>
      <c r="AI461" s="87">
        <v>2.108531</v>
      </c>
      <c r="AJ461" s="87">
        <v>2.358695</v>
      </c>
      <c r="AK461" s="87">
        <v>1.811916</v>
      </c>
      <c r="AL461" s="88" t="s">
        <v>1396</v>
      </c>
    </row>
    <row r="462">
      <c r="A462" s="84" t="s">
        <v>1984</v>
      </c>
      <c r="B462" s="84" t="s">
        <v>2004</v>
      </c>
      <c r="C462" s="84" t="s">
        <v>264</v>
      </c>
      <c r="D462" s="84" t="s">
        <v>1998</v>
      </c>
      <c r="E462" s="84" t="s">
        <v>1403</v>
      </c>
      <c r="F462" s="87">
        <v>12.0</v>
      </c>
      <c r="G462" s="87">
        <v>0.0</v>
      </c>
      <c r="H462" s="87">
        <v>0.0</v>
      </c>
      <c r="I462" s="87">
        <v>0.0</v>
      </c>
      <c r="J462" s="87">
        <v>0.0</v>
      </c>
      <c r="K462" s="87">
        <v>0.0</v>
      </c>
      <c r="L462" s="87">
        <v>0.0</v>
      </c>
      <c r="M462" s="87">
        <v>0.0</v>
      </c>
      <c r="N462" s="87">
        <v>0.0</v>
      </c>
      <c r="O462" s="87">
        <v>0.0</v>
      </c>
      <c r="P462" s="87">
        <v>0.0</v>
      </c>
      <c r="Q462" s="87">
        <v>0.0</v>
      </c>
      <c r="R462" s="87">
        <v>0.0</v>
      </c>
      <c r="S462" s="87">
        <v>0.0</v>
      </c>
      <c r="T462" s="87">
        <v>0.0</v>
      </c>
      <c r="U462" s="87">
        <v>0.0</v>
      </c>
      <c r="V462" s="87">
        <v>0.0</v>
      </c>
      <c r="W462" s="87">
        <v>0.0</v>
      </c>
      <c r="X462" s="87">
        <v>0.0</v>
      </c>
      <c r="Y462" s="87">
        <v>0.0</v>
      </c>
      <c r="Z462" s="87">
        <v>0.424229</v>
      </c>
      <c r="AA462" s="87">
        <v>2.64803</v>
      </c>
      <c r="AB462" s="87">
        <v>5.160593</v>
      </c>
      <c r="AC462" s="87">
        <v>4.91013</v>
      </c>
      <c r="AD462" s="87">
        <v>0.0</v>
      </c>
      <c r="AE462" s="87">
        <v>0.0</v>
      </c>
      <c r="AF462" s="87">
        <v>0.0</v>
      </c>
      <c r="AG462" s="87">
        <v>0.0</v>
      </c>
      <c r="AH462" s="87">
        <v>0.0</v>
      </c>
      <c r="AI462" s="87">
        <v>2.108531</v>
      </c>
      <c r="AJ462" s="87">
        <v>2.358695</v>
      </c>
      <c r="AK462" s="87">
        <v>1.811916</v>
      </c>
      <c r="AL462" s="88" t="s">
        <v>1396</v>
      </c>
    </row>
    <row r="463">
      <c r="A463" s="84" t="s">
        <v>1976</v>
      </c>
      <c r="B463" s="84" t="s">
        <v>2005</v>
      </c>
      <c r="C463" s="84" t="s">
        <v>264</v>
      </c>
      <c r="D463" s="84" t="s">
        <v>287</v>
      </c>
      <c r="E463" s="84" t="s">
        <v>1426</v>
      </c>
      <c r="F463" s="87">
        <v>1.0</v>
      </c>
      <c r="G463" s="87">
        <v>0.0</v>
      </c>
      <c r="H463" s="87">
        <v>0.0</v>
      </c>
      <c r="I463" s="87">
        <v>0.0</v>
      </c>
      <c r="J463" s="87">
        <v>0.0</v>
      </c>
      <c r="K463" s="87">
        <v>0.0</v>
      </c>
      <c r="L463" s="87">
        <v>0.0</v>
      </c>
      <c r="M463" s="87">
        <v>0.0</v>
      </c>
      <c r="N463" s="87">
        <v>0.0</v>
      </c>
      <c r="O463" s="87">
        <v>0.0</v>
      </c>
      <c r="P463" s="87">
        <v>0.0</v>
      </c>
      <c r="Q463" s="87">
        <v>0.0</v>
      </c>
      <c r="R463" s="87">
        <v>0.0</v>
      </c>
      <c r="S463" s="87">
        <v>0.0</v>
      </c>
      <c r="T463" s="87">
        <v>0.0</v>
      </c>
      <c r="U463" s="87">
        <v>0.0</v>
      </c>
      <c r="V463" s="87">
        <v>0.0</v>
      </c>
      <c r="W463" s="87">
        <v>0.0</v>
      </c>
      <c r="X463" s="87">
        <v>0.0</v>
      </c>
      <c r="Y463" s="87">
        <v>0.0</v>
      </c>
      <c r="Z463" s="87">
        <v>0.010417</v>
      </c>
      <c r="AA463" s="87">
        <v>3.184162</v>
      </c>
      <c r="AB463" s="87">
        <v>2.78494</v>
      </c>
      <c r="AC463" s="87">
        <v>1.685723</v>
      </c>
      <c r="AD463" s="87">
        <v>0.142857</v>
      </c>
      <c r="AE463" s="87">
        <v>7.88405</v>
      </c>
      <c r="AF463" s="87">
        <v>6.932916</v>
      </c>
      <c r="AG463" s="87">
        <v>5.796112</v>
      </c>
      <c r="AH463" s="87">
        <v>0.0</v>
      </c>
      <c r="AI463" s="87">
        <v>2.108531</v>
      </c>
      <c r="AJ463" s="87">
        <v>2.358695</v>
      </c>
      <c r="AK463" s="87">
        <v>1.811916</v>
      </c>
      <c r="AL463" s="88" t="s">
        <v>1396</v>
      </c>
    </row>
    <row r="464">
      <c r="A464" s="84" t="s">
        <v>1977</v>
      </c>
      <c r="B464" s="84" t="s">
        <v>2006</v>
      </c>
      <c r="C464" s="84" t="s">
        <v>264</v>
      </c>
      <c r="D464" s="84" t="s">
        <v>287</v>
      </c>
      <c r="E464" s="86">
        <v>46310.0</v>
      </c>
      <c r="F464" s="87">
        <v>23.0</v>
      </c>
      <c r="G464" s="87">
        <v>0.0</v>
      </c>
      <c r="H464" s="87">
        <v>13648.0</v>
      </c>
      <c r="I464" s="87">
        <v>0.0</v>
      </c>
      <c r="J464" s="87">
        <v>146.3891</v>
      </c>
      <c r="K464" s="87">
        <v>165.6433</v>
      </c>
      <c r="L464" s="87">
        <v>169.8434</v>
      </c>
      <c r="M464" s="87">
        <v>121.1342</v>
      </c>
      <c r="N464" s="87">
        <v>0.731296</v>
      </c>
      <c r="O464" s="87">
        <v>0.2</v>
      </c>
      <c r="P464" s="87">
        <v>0.757994</v>
      </c>
      <c r="Q464" s="87">
        <v>1.326448</v>
      </c>
      <c r="R464" s="87">
        <v>3.558287</v>
      </c>
      <c r="S464" s="87">
        <v>6.501778</v>
      </c>
      <c r="T464" s="87">
        <v>0.757994</v>
      </c>
      <c r="U464" s="87">
        <v>1.326448</v>
      </c>
      <c r="V464" s="87">
        <v>1.563705</v>
      </c>
      <c r="W464" s="87">
        <v>3.669419</v>
      </c>
      <c r="X464" s="87">
        <v>6.501778</v>
      </c>
      <c r="Y464" s="87">
        <v>7.201881</v>
      </c>
      <c r="Z464" s="87">
        <v>0.010417</v>
      </c>
      <c r="AA464" s="87">
        <v>3.184162</v>
      </c>
      <c r="AB464" s="87">
        <v>2.78494</v>
      </c>
      <c r="AC464" s="87">
        <v>1.685723</v>
      </c>
      <c r="AD464" s="87">
        <v>1.556213</v>
      </c>
      <c r="AE464" s="87">
        <v>2.304163</v>
      </c>
      <c r="AF464" s="87">
        <v>4.648562</v>
      </c>
      <c r="AG464" s="87">
        <v>3.80075</v>
      </c>
      <c r="AH464" s="87">
        <v>0.0</v>
      </c>
      <c r="AI464" s="87">
        <v>2.108531</v>
      </c>
      <c r="AJ464" s="87">
        <v>2.358695</v>
      </c>
      <c r="AK464" s="87">
        <v>1.811916</v>
      </c>
      <c r="AL464" s="88" t="s">
        <v>1396</v>
      </c>
    </row>
    <row r="465">
      <c r="A465" s="84" t="s">
        <v>1979</v>
      </c>
      <c r="B465" s="84" t="s">
        <v>2007</v>
      </c>
      <c r="C465" s="84" t="s">
        <v>264</v>
      </c>
      <c r="D465" s="84" t="s">
        <v>287</v>
      </c>
      <c r="E465" s="84" t="s">
        <v>1413</v>
      </c>
      <c r="F465" s="87">
        <v>18.0</v>
      </c>
      <c r="G465" s="87">
        <v>0.0</v>
      </c>
      <c r="H465" s="87">
        <v>7120.0</v>
      </c>
      <c r="I465" s="87">
        <v>0.0</v>
      </c>
      <c r="J465" s="87">
        <v>71.55352</v>
      </c>
      <c r="K465" s="87">
        <v>73.65311</v>
      </c>
      <c r="L465" s="87">
        <v>74.34969</v>
      </c>
      <c r="M465" s="87">
        <v>47.37009</v>
      </c>
      <c r="N465" s="87">
        <v>0.643151</v>
      </c>
      <c r="O465" s="87">
        <v>0.041667</v>
      </c>
      <c r="P465" s="87">
        <v>1.136031</v>
      </c>
      <c r="Q465" s="87">
        <v>1.319656</v>
      </c>
      <c r="R465" s="87">
        <v>1.708032</v>
      </c>
      <c r="S465" s="87">
        <v>4.882454</v>
      </c>
      <c r="T465" s="87">
        <v>1.047712</v>
      </c>
      <c r="U465" s="87">
        <v>1.231297</v>
      </c>
      <c r="V465" s="87">
        <v>1.341687</v>
      </c>
      <c r="W465" s="87">
        <v>1.708032</v>
      </c>
      <c r="X465" s="87">
        <v>4.882454</v>
      </c>
      <c r="Y465" s="87">
        <v>4.091839</v>
      </c>
      <c r="Z465" s="87">
        <v>0.010417</v>
      </c>
      <c r="AA465" s="87">
        <v>3.184162</v>
      </c>
      <c r="AB465" s="87">
        <v>2.78494</v>
      </c>
      <c r="AC465" s="87">
        <v>1.685723</v>
      </c>
      <c r="AD465" s="87">
        <v>1.419601</v>
      </c>
      <c r="AE465" s="87">
        <v>1.570635</v>
      </c>
      <c r="AF465" s="87">
        <v>3.087707</v>
      </c>
      <c r="AG465" s="87">
        <v>1.811916</v>
      </c>
      <c r="AH465" s="87">
        <v>0.0</v>
      </c>
      <c r="AI465" s="87">
        <v>2.108531</v>
      </c>
      <c r="AJ465" s="87">
        <v>2.358695</v>
      </c>
      <c r="AK465" s="87">
        <v>1.811916</v>
      </c>
      <c r="AL465" s="88" t="s">
        <v>1396</v>
      </c>
    </row>
    <row r="466">
      <c r="A466" s="84" t="s">
        <v>1980</v>
      </c>
      <c r="B466" s="84" t="s">
        <v>2008</v>
      </c>
      <c r="C466" s="84" t="s">
        <v>264</v>
      </c>
      <c r="D466" s="84" t="s">
        <v>287</v>
      </c>
      <c r="E466" s="84" t="s">
        <v>1398</v>
      </c>
      <c r="F466" s="87">
        <v>7.0</v>
      </c>
      <c r="G466" s="87">
        <v>0.0</v>
      </c>
      <c r="H466" s="87">
        <v>937.0</v>
      </c>
      <c r="I466" s="87">
        <v>0.0</v>
      </c>
      <c r="J466" s="87">
        <v>7.063753</v>
      </c>
      <c r="K466" s="87">
        <v>11.80006</v>
      </c>
      <c r="L466" s="87">
        <v>11.10624</v>
      </c>
      <c r="M466" s="87">
        <v>8.818156</v>
      </c>
      <c r="N466" s="87">
        <v>0.747298</v>
      </c>
      <c r="O466" s="87">
        <v>0.0</v>
      </c>
      <c r="P466" s="87">
        <v>0.0</v>
      </c>
      <c r="Q466" s="87">
        <v>0.166667</v>
      </c>
      <c r="R466" s="87">
        <v>0.240741</v>
      </c>
      <c r="S466" s="87">
        <v>2.574497</v>
      </c>
      <c r="T466" s="87">
        <v>0.166667</v>
      </c>
      <c r="U466" s="87">
        <v>0.240741</v>
      </c>
      <c r="V466" s="87">
        <v>0.240741</v>
      </c>
      <c r="W466" s="87">
        <v>2.574497</v>
      </c>
      <c r="X466" s="87">
        <v>4.011902</v>
      </c>
      <c r="Y466" s="87">
        <v>1.685723</v>
      </c>
      <c r="Z466" s="87">
        <v>0.010417</v>
      </c>
      <c r="AA466" s="87">
        <v>3.184162</v>
      </c>
      <c r="AB466" s="87">
        <v>2.78494</v>
      </c>
      <c r="AC466" s="87">
        <v>1.685723</v>
      </c>
      <c r="AD466" s="87">
        <v>0.982266</v>
      </c>
      <c r="AE466" s="87">
        <v>1.394663</v>
      </c>
      <c r="AF466" s="87">
        <v>3.045819</v>
      </c>
      <c r="AG466" s="87">
        <v>1.453326</v>
      </c>
      <c r="AH466" s="87">
        <v>0.0</v>
      </c>
      <c r="AI466" s="87">
        <v>2.108531</v>
      </c>
      <c r="AJ466" s="87">
        <v>2.358695</v>
      </c>
      <c r="AK466" s="87">
        <v>1.811916</v>
      </c>
      <c r="AL466" s="88" t="s">
        <v>1396</v>
      </c>
    </row>
    <row r="467">
      <c r="A467" s="84" t="s">
        <v>1981</v>
      </c>
      <c r="B467" s="84" t="s">
        <v>2009</v>
      </c>
      <c r="C467" s="84" t="s">
        <v>264</v>
      </c>
      <c r="D467" s="84" t="s">
        <v>287</v>
      </c>
      <c r="E467" s="84" t="s">
        <v>1400</v>
      </c>
      <c r="F467" s="87">
        <v>5.0</v>
      </c>
      <c r="G467" s="87">
        <v>0.0</v>
      </c>
      <c r="H467" s="87">
        <v>436.0</v>
      </c>
      <c r="I467" s="87">
        <v>0.0</v>
      </c>
      <c r="J467" s="87">
        <v>3.732814</v>
      </c>
      <c r="K467" s="87">
        <v>4.805001</v>
      </c>
      <c r="L467" s="87">
        <v>5.850896</v>
      </c>
      <c r="M467" s="87">
        <v>1.858794</v>
      </c>
      <c r="N467" s="87">
        <v>0.386846</v>
      </c>
      <c r="O467" s="87">
        <v>0.0</v>
      </c>
      <c r="P467" s="87">
        <v>0.382381</v>
      </c>
      <c r="Q467" s="87">
        <v>0.382381</v>
      </c>
      <c r="R467" s="87">
        <v>1.279589</v>
      </c>
      <c r="S467" s="87">
        <v>1.284236</v>
      </c>
      <c r="T467" s="87">
        <v>0.382381</v>
      </c>
      <c r="U467" s="87">
        <v>0.382381</v>
      </c>
      <c r="V467" s="87">
        <v>1.279589</v>
      </c>
      <c r="W467" s="87">
        <v>1.284236</v>
      </c>
      <c r="X467" s="87">
        <v>1.284236</v>
      </c>
      <c r="Y467" s="87">
        <v>0.961</v>
      </c>
      <c r="Z467" s="87">
        <v>0.010417</v>
      </c>
      <c r="AA467" s="87">
        <v>3.184162</v>
      </c>
      <c r="AB467" s="87">
        <v>2.78494</v>
      </c>
      <c r="AC467" s="87">
        <v>1.685723</v>
      </c>
      <c r="AD467" s="87">
        <v>0.366667</v>
      </c>
      <c r="AE467" s="87">
        <v>0.501923</v>
      </c>
      <c r="AF467" s="87">
        <v>0.86811</v>
      </c>
      <c r="AG467" s="87">
        <v>0.961</v>
      </c>
      <c r="AH467" s="87">
        <v>0.0</v>
      </c>
      <c r="AI467" s="87">
        <v>2.108531</v>
      </c>
      <c r="AJ467" s="87">
        <v>2.358695</v>
      </c>
      <c r="AK467" s="87">
        <v>1.811916</v>
      </c>
      <c r="AL467" s="88" t="s">
        <v>1396</v>
      </c>
    </row>
    <row r="468">
      <c r="A468" s="84" t="s">
        <v>1983</v>
      </c>
      <c r="B468" s="84" t="s">
        <v>2010</v>
      </c>
      <c r="C468" s="84" t="s">
        <v>264</v>
      </c>
      <c r="D468" s="84" t="s">
        <v>287</v>
      </c>
      <c r="E468" s="89">
        <v>46300.0</v>
      </c>
      <c r="F468" s="87">
        <v>10.0</v>
      </c>
      <c r="G468" s="87">
        <v>0.0</v>
      </c>
      <c r="H468" s="87">
        <v>3134.0</v>
      </c>
      <c r="I468" s="87">
        <v>0.0</v>
      </c>
      <c r="J468" s="87">
        <v>39.43317</v>
      </c>
      <c r="K468" s="87">
        <v>44.87211</v>
      </c>
      <c r="L468" s="87">
        <v>44.03596</v>
      </c>
      <c r="M468" s="87">
        <v>26.81095</v>
      </c>
      <c r="N468" s="87">
        <v>0.597497</v>
      </c>
      <c r="O468" s="87">
        <v>0.0</v>
      </c>
      <c r="P468" s="87">
        <v>0.0</v>
      </c>
      <c r="Q468" s="87">
        <v>0.0</v>
      </c>
      <c r="R468" s="87">
        <v>3.195087</v>
      </c>
      <c r="S468" s="87">
        <v>8.497196</v>
      </c>
      <c r="T468" s="87">
        <v>1.936151</v>
      </c>
      <c r="U468" s="87">
        <v>3.195087</v>
      </c>
      <c r="V468" s="87">
        <v>3.195087</v>
      </c>
      <c r="W468" s="87">
        <v>8.497196</v>
      </c>
      <c r="X468" s="87">
        <v>12.09949</v>
      </c>
      <c r="Y468" s="87">
        <v>4.487211</v>
      </c>
      <c r="Z468" s="87">
        <v>0.010417</v>
      </c>
      <c r="AA468" s="87">
        <v>3.184162</v>
      </c>
      <c r="AB468" s="87">
        <v>2.78494</v>
      </c>
      <c r="AC468" s="87">
        <v>1.685723</v>
      </c>
      <c r="AD468" s="87">
        <v>1.136302</v>
      </c>
      <c r="AE468" s="87">
        <v>3.697048</v>
      </c>
      <c r="AF468" s="87">
        <v>4.970773</v>
      </c>
      <c r="AG468" s="87">
        <v>3.803112</v>
      </c>
      <c r="AH468" s="87">
        <v>0.0</v>
      </c>
      <c r="AI468" s="87">
        <v>2.108531</v>
      </c>
      <c r="AJ468" s="87">
        <v>2.358695</v>
      </c>
      <c r="AK468" s="87">
        <v>1.811916</v>
      </c>
      <c r="AL468" s="88" t="s">
        <v>1396</v>
      </c>
    </row>
    <row r="469">
      <c r="A469" s="84" t="s">
        <v>1984</v>
      </c>
      <c r="B469" s="84" t="s">
        <v>2011</v>
      </c>
      <c r="C469" s="84" t="s">
        <v>264</v>
      </c>
      <c r="D469" s="84" t="s">
        <v>287</v>
      </c>
      <c r="E469" s="84" t="s">
        <v>1403</v>
      </c>
      <c r="F469" s="87">
        <v>44.0</v>
      </c>
      <c r="G469" s="87">
        <v>9.0</v>
      </c>
      <c r="H469" s="87">
        <v>258.0</v>
      </c>
      <c r="I469" s="87">
        <v>258.0</v>
      </c>
      <c r="J469" s="87">
        <v>0.0</v>
      </c>
      <c r="K469" s="87">
        <v>0.0</v>
      </c>
      <c r="L469" s="87">
        <v>0.0</v>
      </c>
      <c r="M469" s="87">
        <v>0.0</v>
      </c>
      <c r="N469" s="87">
        <v>0.0</v>
      </c>
      <c r="O469" s="87">
        <v>0.0</v>
      </c>
      <c r="P469" s="87">
        <v>0.0</v>
      </c>
      <c r="Q469" s="87">
        <v>0.0</v>
      </c>
      <c r="R469" s="87">
        <v>0.0</v>
      </c>
      <c r="S469" s="87">
        <v>0.0</v>
      </c>
      <c r="T469" s="87">
        <v>0.0</v>
      </c>
      <c r="U469" s="87">
        <v>0.0</v>
      </c>
      <c r="V469" s="87">
        <v>0.0</v>
      </c>
      <c r="W469" s="87">
        <v>0.0</v>
      </c>
      <c r="X469" s="87">
        <v>0.0</v>
      </c>
      <c r="Y469" s="87">
        <v>0.0</v>
      </c>
      <c r="Z469" s="87">
        <v>0.010417</v>
      </c>
      <c r="AA469" s="87">
        <v>3.184162</v>
      </c>
      <c r="AB469" s="87">
        <v>2.78494</v>
      </c>
      <c r="AC469" s="87">
        <v>1.685723</v>
      </c>
      <c r="AD469" s="87">
        <v>0.0</v>
      </c>
      <c r="AE469" s="87">
        <v>0.0</v>
      </c>
      <c r="AF469" s="87">
        <v>0.0</v>
      </c>
      <c r="AG469" s="87">
        <v>0.0</v>
      </c>
      <c r="AH469" s="87">
        <v>0.0</v>
      </c>
      <c r="AI469" s="87">
        <v>2.108531</v>
      </c>
      <c r="AJ469" s="87">
        <v>2.358695</v>
      </c>
      <c r="AK469" s="87">
        <v>1.811916</v>
      </c>
      <c r="AL469" s="88" t="s">
        <v>1396</v>
      </c>
    </row>
    <row r="470">
      <c r="A470" s="84" t="s">
        <v>1976</v>
      </c>
      <c r="B470" s="84" t="s">
        <v>2012</v>
      </c>
      <c r="C470" s="84" t="s">
        <v>264</v>
      </c>
      <c r="D470" s="84" t="s">
        <v>270</v>
      </c>
      <c r="E470" s="84" t="s">
        <v>1426</v>
      </c>
      <c r="F470" s="87">
        <v>20.0</v>
      </c>
      <c r="G470" s="87">
        <v>1.0</v>
      </c>
      <c r="H470" s="87">
        <v>15261.0</v>
      </c>
      <c r="I470" s="87">
        <v>1435.0</v>
      </c>
      <c r="J470" s="87">
        <v>149.6239</v>
      </c>
      <c r="K470" s="87">
        <v>164.7661</v>
      </c>
      <c r="L470" s="87">
        <v>176.3409</v>
      </c>
      <c r="M470" s="87">
        <v>139.6387</v>
      </c>
      <c r="N470" s="87">
        <v>0.847496</v>
      </c>
      <c r="O470" s="87">
        <v>0.0</v>
      </c>
      <c r="P470" s="87">
        <v>0.0</v>
      </c>
      <c r="Q470" s="87">
        <v>0.0</v>
      </c>
      <c r="R470" s="87">
        <v>0.142857</v>
      </c>
      <c r="S470" s="87">
        <v>8.079333</v>
      </c>
      <c r="T470" s="87">
        <v>0.2</v>
      </c>
      <c r="U470" s="87">
        <v>0.5</v>
      </c>
      <c r="V470" s="87">
        <v>7.314011</v>
      </c>
      <c r="W470" s="87">
        <v>8.891246</v>
      </c>
      <c r="X470" s="87">
        <v>34.86577</v>
      </c>
      <c r="Y470" s="87">
        <v>8.238305</v>
      </c>
      <c r="Z470" s="87">
        <v>0.0</v>
      </c>
      <c r="AA470" s="87">
        <v>2.133237</v>
      </c>
      <c r="AB470" s="87">
        <v>2.51253</v>
      </c>
      <c r="AC470" s="87">
        <v>3.385656</v>
      </c>
      <c r="AD470" s="87">
        <v>0.142857</v>
      </c>
      <c r="AE470" s="87">
        <v>7.88405</v>
      </c>
      <c r="AF470" s="87">
        <v>6.932916</v>
      </c>
      <c r="AG470" s="87">
        <v>5.796112</v>
      </c>
      <c r="AH470" s="87">
        <v>0.0</v>
      </c>
      <c r="AI470" s="87">
        <v>2.108531</v>
      </c>
      <c r="AJ470" s="87">
        <v>2.358695</v>
      </c>
      <c r="AK470" s="87">
        <v>1.811916</v>
      </c>
      <c r="AL470" s="88" t="s">
        <v>1396</v>
      </c>
    </row>
    <row r="471">
      <c r="A471" s="84" t="s">
        <v>1977</v>
      </c>
      <c r="B471" s="84" t="s">
        <v>2013</v>
      </c>
      <c r="C471" s="84" t="s">
        <v>264</v>
      </c>
      <c r="D471" s="84" t="s">
        <v>270</v>
      </c>
      <c r="E471" s="86">
        <v>46310.0</v>
      </c>
      <c r="F471" s="87">
        <v>76.0</v>
      </c>
      <c r="G471" s="87">
        <v>0.0</v>
      </c>
      <c r="H471" s="87">
        <v>20680.0</v>
      </c>
      <c r="I471" s="87">
        <v>0.0</v>
      </c>
      <c r="J471" s="87">
        <v>245.8274</v>
      </c>
      <c r="K471" s="87">
        <v>257.3099</v>
      </c>
      <c r="L471" s="87">
        <v>263.5821</v>
      </c>
      <c r="M471" s="87">
        <v>194.408</v>
      </c>
      <c r="N471" s="87">
        <v>0.75554</v>
      </c>
      <c r="O471" s="87">
        <v>0.0</v>
      </c>
      <c r="P471" s="87">
        <v>0.0</v>
      </c>
      <c r="Q471" s="87">
        <v>0.178263</v>
      </c>
      <c r="R471" s="87">
        <v>1.204519</v>
      </c>
      <c r="S471" s="87">
        <v>2.808857</v>
      </c>
      <c r="T471" s="87">
        <v>0.226407</v>
      </c>
      <c r="U471" s="87">
        <v>0.623925</v>
      </c>
      <c r="V471" s="87">
        <v>1.084156</v>
      </c>
      <c r="W471" s="87">
        <v>1.998873</v>
      </c>
      <c r="X471" s="87">
        <v>4.415928</v>
      </c>
      <c r="Y471" s="87">
        <v>3.385656</v>
      </c>
      <c r="Z471" s="87">
        <v>0.0</v>
      </c>
      <c r="AA471" s="87">
        <v>2.133237</v>
      </c>
      <c r="AB471" s="87">
        <v>2.51253</v>
      </c>
      <c r="AC471" s="87">
        <v>3.385656</v>
      </c>
      <c r="AD471" s="87">
        <v>1.556213</v>
      </c>
      <c r="AE471" s="87">
        <v>2.304163</v>
      </c>
      <c r="AF471" s="87">
        <v>4.648562</v>
      </c>
      <c r="AG471" s="87">
        <v>3.80075</v>
      </c>
      <c r="AH471" s="87">
        <v>0.0</v>
      </c>
      <c r="AI471" s="87">
        <v>2.108531</v>
      </c>
      <c r="AJ471" s="87">
        <v>2.358695</v>
      </c>
      <c r="AK471" s="87">
        <v>1.811916</v>
      </c>
      <c r="AL471" s="88" t="s">
        <v>1396</v>
      </c>
    </row>
    <row r="472">
      <c r="A472" s="84" t="s">
        <v>1979</v>
      </c>
      <c r="B472" s="84" t="s">
        <v>2014</v>
      </c>
      <c r="C472" s="84" t="s">
        <v>264</v>
      </c>
      <c r="D472" s="84" t="s">
        <v>270</v>
      </c>
      <c r="E472" s="84" t="s">
        <v>1413</v>
      </c>
      <c r="F472" s="87">
        <v>44.0</v>
      </c>
      <c r="G472" s="87">
        <v>1.0</v>
      </c>
      <c r="H472" s="87">
        <v>12971.0</v>
      </c>
      <c r="I472" s="87">
        <v>251.0</v>
      </c>
      <c r="J472" s="87">
        <v>138.3826</v>
      </c>
      <c r="K472" s="87">
        <v>139.4323</v>
      </c>
      <c r="L472" s="87">
        <v>144.9151</v>
      </c>
      <c r="M472" s="87">
        <v>101.8936</v>
      </c>
      <c r="N472" s="87">
        <v>0.730775</v>
      </c>
      <c r="O472" s="87">
        <v>0.0</v>
      </c>
      <c r="P472" s="87">
        <v>0.132258</v>
      </c>
      <c r="Q472" s="87">
        <v>0.3</v>
      </c>
      <c r="R472" s="87">
        <v>1.353689</v>
      </c>
      <c r="S472" s="87">
        <v>2.441148</v>
      </c>
      <c r="T472" s="87">
        <v>0.233333</v>
      </c>
      <c r="U472" s="87">
        <v>0.359217</v>
      </c>
      <c r="V472" s="87">
        <v>0.739674</v>
      </c>
      <c r="W472" s="87">
        <v>1.48071</v>
      </c>
      <c r="X472" s="87">
        <v>3.450992</v>
      </c>
      <c r="Y472" s="87">
        <v>3.168915</v>
      </c>
      <c r="Z472" s="87">
        <v>0.0</v>
      </c>
      <c r="AA472" s="87">
        <v>2.133237</v>
      </c>
      <c r="AB472" s="87">
        <v>2.51253</v>
      </c>
      <c r="AC472" s="87">
        <v>3.385656</v>
      </c>
      <c r="AD472" s="87">
        <v>1.419601</v>
      </c>
      <c r="AE472" s="87">
        <v>1.570635</v>
      </c>
      <c r="AF472" s="87">
        <v>3.087707</v>
      </c>
      <c r="AG472" s="87">
        <v>1.811916</v>
      </c>
      <c r="AH472" s="87">
        <v>0.0</v>
      </c>
      <c r="AI472" s="87">
        <v>2.108531</v>
      </c>
      <c r="AJ472" s="87">
        <v>2.358695</v>
      </c>
      <c r="AK472" s="87">
        <v>1.811916</v>
      </c>
      <c r="AL472" s="88" t="s">
        <v>1396</v>
      </c>
    </row>
    <row r="473">
      <c r="A473" s="84" t="s">
        <v>1980</v>
      </c>
      <c r="B473" s="84" t="s">
        <v>2015</v>
      </c>
      <c r="C473" s="84" t="s">
        <v>264</v>
      </c>
      <c r="D473" s="84" t="s">
        <v>270</v>
      </c>
      <c r="E473" s="84" t="s">
        <v>1398</v>
      </c>
      <c r="F473" s="87">
        <v>24.0</v>
      </c>
      <c r="G473" s="87">
        <v>0.0</v>
      </c>
      <c r="H473" s="87">
        <v>12714.0</v>
      </c>
      <c r="I473" s="87">
        <v>0.0</v>
      </c>
      <c r="J473" s="87">
        <v>112.7559</v>
      </c>
      <c r="K473" s="87">
        <v>103.5194</v>
      </c>
      <c r="L473" s="87">
        <v>108.1965</v>
      </c>
      <c r="M473" s="87">
        <v>86.02945</v>
      </c>
      <c r="N473" s="87">
        <v>0.831047</v>
      </c>
      <c r="O473" s="87">
        <v>0.0</v>
      </c>
      <c r="P473" s="87">
        <v>0.132258</v>
      </c>
      <c r="Q473" s="87">
        <v>0.838333</v>
      </c>
      <c r="R473" s="87">
        <v>1.318777</v>
      </c>
      <c r="S473" s="87">
        <v>1.598901</v>
      </c>
      <c r="T473" s="87">
        <v>0.572222</v>
      </c>
      <c r="U473" s="87">
        <v>0.871242</v>
      </c>
      <c r="V473" s="87">
        <v>1.24329</v>
      </c>
      <c r="W473" s="87">
        <v>1.419351</v>
      </c>
      <c r="X473" s="87">
        <v>2.16716</v>
      </c>
      <c r="Y473" s="87">
        <v>4.313307</v>
      </c>
      <c r="Z473" s="87">
        <v>0.0</v>
      </c>
      <c r="AA473" s="87">
        <v>2.133237</v>
      </c>
      <c r="AB473" s="87">
        <v>2.51253</v>
      </c>
      <c r="AC473" s="87">
        <v>3.385656</v>
      </c>
      <c r="AD473" s="87">
        <v>0.982266</v>
      </c>
      <c r="AE473" s="87">
        <v>1.394663</v>
      </c>
      <c r="AF473" s="87">
        <v>3.045819</v>
      </c>
      <c r="AG473" s="87">
        <v>1.453326</v>
      </c>
      <c r="AH473" s="87">
        <v>0.0</v>
      </c>
      <c r="AI473" s="87">
        <v>2.108531</v>
      </c>
      <c r="AJ473" s="87">
        <v>2.358695</v>
      </c>
      <c r="AK473" s="87">
        <v>1.811916</v>
      </c>
      <c r="AL473" s="88" t="s">
        <v>1396</v>
      </c>
    </row>
    <row r="474">
      <c r="A474" s="84" t="s">
        <v>1981</v>
      </c>
      <c r="B474" s="84" t="s">
        <v>2016</v>
      </c>
      <c r="C474" s="84" t="s">
        <v>264</v>
      </c>
      <c r="D474" s="84" t="s">
        <v>270</v>
      </c>
      <c r="E474" s="84" t="s">
        <v>1400</v>
      </c>
      <c r="F474" s="87">
        <v>7.0</v>
      </c>
      <c r="G474" s="87">
        <v>1.0</v>
      </c>
      <c r="H474" s="87">
        <v>467.0</v>
      </c>
      <c r="I474" s="87">
        <v>85.0</v>
      </c>
      <c r="J474" s="87">
        <v>3.496104</v>
      </c>
      <c r="K474" s="87">
        <v>3.609931</v>
      </c>
      <c r="L474" s="87">
        <v>4.719953</v>
      </c>
      <c r="M474" s="87">
        <v>3.239561</v>
      </c>
      <c r="N474" s="87">
        <v>0.897402</v>
      </c>
      <c r="O474" s="87">
        <v>0.0</v>
      </c>
      <c r="P474" s="87">
        <v>0.0</v>
      </c>
      <c r="Q474" s="87">
        <v>0.033333</v>
      </c>
      <c r="R474" s="87">
        <v>0.037037</v>
      </c>
      <c r="S474" s="87">
        <v>0.3</v>
      </c>
      <c r="T474" s="87">
        <v>0.033333</v>
      </c>
      <c r="U474" s="87">
        <v>0.037037</v>
      </c>
      <c r="V474" s="87">
        <v>0.037037</v>
      </c>
      <c r="W474" s="87">
        <v>0.3</v>
      </c>
      <c r="X474" s="87">
        <v>0.366667</v>
      </c>
      <c r="Y474" s="87">
        <v>0.515704</v>
      </c>
      <c r="Z474" s="87">
        <v>0.0</v>
      </c>
      <c r="AA474" s="87">
        <v>2.133237</v>
      </c>
      <c r="AB474" s="87">
        <v>2.51253</v>
      </c>
      <c r="AC474" s="87">
        <v>3.385656</v>
      </c>
      <c r="AD474" s="87">
        <v>0.366667</v>
      </c>
      <c r="AE474" s="87">
        <v>0.501923</v>
      </c>
      <c r="AF474" s="87">
        <v>0.86811</v>
      </c>
      <c r="AG474" s="87">
        <v>0.961</v>
      </c>
      <c r="AH474" s="87">
        <v>0.0</v>
      </c>
      <c r="AI474" s="87">
        <v>2.108531</v>
      </c>
      <c r="AJ474" s="87">
        <v>2.358695</v>
      </c>
      <c r="AK474" s="87">
        <v>1.811916</v>
      </c>
      <c r="AL474" s="88" t="s">
        <v>1396</v>
      </c>
    </row>
    <row r="475">
      <c r="A475" s="84" t="s">
        <v>1983</v>
      </c>
      <c r="B475" s="84" t="s">
        <v>2017</v>
      </c>
      <c r="C475" s="84" t="s">
        <v>264</v>
      </c>
      <c r="D475" s="84" t="s">
        <v>270</v>
      </c>
      <c r="E475" s="89">
        <v>46300.0</v>
      </c>
      <c r="F475" s="87">
        <v>64.0</v>
      </c>
      <c r="G475" s="87">
        <v>0.0</v>
      </c>
      <c r="H475" s="87">
        <v>37284.0</v>
      </c>
      <c r="I475" s="87">
        <v>0.0</v>
      </c>
      <c r="J475" s="87">
        <v>417.4207</v>
      </c>
      <c r="K475" s="87">
        <v>439.3883</v>
      </c>
      <c r="L475" s="87">
        <v>432.4096</v>
      </c>
      <c r="M475" s="87">
        <v>333.9805</v>
      </c>
      <c r="N475" s="87">
        <v>0.760103</v>
      </c>
      <c r="O475" s="87">
        <v>0.0</v>
      </c>
      <c r="P475" s="87">
        <v>0.0</v>
      </c>
      <c r="Q475" s="87">
        <v>0.0</v>
      </c>
      <c r="R475" s="87">
        <v>1.5637</v>
      </c>
      <c r="S475" s="87">
        <v>5.913852</v>
      </c>
      <c r="T475" s="87">
        <v>0.766667</v>
      </c>
      <c r="U475" s="87">
        <v>1.481807</v>
      </c>
      <c r="V475" s="87">
        <v>2.243618</v>
      </c>
      <c r="W475" s="87">
        <v>5.493482</v>
      </c>
      <c r="X475" s="87">
        <v>11.47186</v>
      </c>
      <c r="Y475" s="87">
        <v>6.865441</v>
      </c>
      <c r="Z475" s="87">
        <v>0.0</v>
      </c>
      <c r="AA475" s="87">
        <v>2.133237</v>
      </c>
      <c r="AB475" s="87">
        <v>2.51253</v>
      </c>
      <c r="AC475" s="87">
        <v>3.385656</v>
      </c>
      <c r="AD475" s="87">
        <v>1.136302</v>
      </c>
      <c r="AE475" s="87">
        <v>3.697048</v>
      </c>
      <c r="AF475" s="87">
        <v>4.970773</v>
      </c>
      <c r="AG475" s="87">
        <v>3.803112</v>
      </c>
      <c r="AH475" s="87">
        <v>0.0</v>
      </c>
      <c r="AI475" s="87">
        <v>2.108531</v>
      </c>
      <c r="AJ475" s="87">
        <v>2.358695</v>
      </c>
      <c r="AK475" s="87">
        <v>1.811916</v>
      </c>
      <c r="AL475" s="88" t="s">
        <v>1396</v>
      </c>
    </row>
    <row r="476">
      <c r="A476" s="84" t="s">
        <v>1984</v>
      </c>
      <c r="B476" s="84" t="s">
        <v>2018</v>
      </c>
      <c r="C476" s="84" t="s">
        <v>264</v>
      </c>
      <c r="D476" s="84" t="s">
        <v>270</v>
      </c>
      <c r="E476" s="84" t="s">
        <v>1403</v>
      </c>
      <c r="F476" s="87">
        <v>206.0</v>
      </c>
      <c r="G476" s="87">
        <v>15.0</v>
      </c>
      <c r="H476" s="87">
        <v>359.0</v>
      </c>
      <c r="I476" s="87">
        <v>359.0</v>
      </c>
      <c r="J476" s="87">
        <v>0.0</v>
      </c>
      <c r="K476" s="87">
        <v>0.0</v>
      </c>
      <c r="L476" s="87">
        <v>0.0</v>
      </c>
      <c r="M476" s="87">
        <v>0.0</v>
      </c>
      <c r="N476" s="87">
        <v>0.0</v>
      </c>
      <c r="O476" s="87">
        <v>0.0</v>
      </c>
      <c r="P476" s="87">
        <v>0.0</v>
      </c>
      <c r="Q476" s="87">
        <v>0.0</v>
      </c>
      <c r="R476" s="87">
        <v>0.0</v>
      </c>
      <c r="S476" s="87">
        <v>0.0</v>
      </c>
      <c r="T476" s="87">
        <v>0.0</v>
      </c>
      <c r="U476" s="87">
        <v>0.0</v>
      </c>
      <c r="V476" s="87">
        <v>0.0</v>
      </c>
      <c r="W476" s="87">
        <v>0.0</v>
      </c>
      <c r="X476" s="87">
        <v>0.0</v>
      </c>
      <c r="Y476" s="87">
        <v>0.0</v>
      </c>
      <c r="Z476" s="87">
        <v>0.0</v>
      </c>
      <c r="AA476" s="87">
        <v>2.133237</v>
      </c>
      <c r="AB476" s="87">
        <v>2.51253</v>
      </c>
      <c r="AC476" s="87">
        <v>3.385656</v>
      </c>
      <c r="AD476" s="87">
        <v>0.0</v>
      </c>
      <c r="AE476" s="87">
        <v>0.0</v>
      </c>
      <c r="AF476" s="87">
        <v>0.0</v>
      </c>
      <c r="AG476" s="87">
        <v>0.0</v>
      </c>
      <c r="AH476" s="87">
        <v>0.0</v>
      </c>
      <c r="AI476" s="87">
        <v>2.108531</v>
      </c>
      <c r="AJ476" s="87">
        <v>2.358695</v>
      </c>
      <c r="AK476" s="87">
        <v>1.811916</v>
      </c>
      <c r="AL476" s="88" t="s">
        <v>1396</v>
      </c>
    </row>
    <row r="477">
      <c r="A477" s="84" t="s">
        <v>1976</v>
      </c>
      <c r="B477" s="84" t="s">
        <v>2019</v>
      </c>
      <c r="C477" s="84" t="s">
        <v>264</v>
      </c>
      <c r="D477" s="84" t="s">
        <v>2020</v>
      </c>
      <c r="E477" s="84" t="s">
        <v>1426</v>
      </c>
      <c r="F477" s="87">
        <v>4.0</v>
      </c>
      <c r="G477" s="87">
        <v>0.0</v>
      </c>
      <c r="H477" s="87">
        <v>3053.0</v>
      </c>
      <c r="I477" s="87">
        <v>0.0</v>
      </c>
      <c r="J477" s="87">
        <v>42.83962</v>
      </c>
      <c r="K477" s="87">
        <v>44.58398</v>
      </c>
      <c r="L477" s="87">
        <v>47.09763</v>
      </c>
      <c r="M477" s="87">
        <v>36.41467</v>
      </c>
      <c r="N477" s="87">
        <v>0.816766</v>
      </c>
      <c r="O477" s="87">
        <v>0.0</v>
      </c>
      <c r="P477" s="87">
        <v>0.0</v>
      </c>
      <c r="Q477" s="87">
        <v>0.285256</v>
      </c>
      <c r="R477" s="87">
        <v>7.88405</v>
      </c>
      <c r="S477" s="87">
        <v>7.88405</v>
      </c>
      <c r="T477" s="87">
        <v>0.285256</v>
      </c>
      <c r="U477" s="87">
        <v>0.285256</v>
      </c>
      <c r="V477" s="87">
        <v>0.285256</v>
      </c>
      <c r="W477" s="87">
        <v>7.88405</v>
      </c>
      <c r="X477" s="87">
        <v>36.41467</v>
      </c>
      <c r="Y477" s="87">
        <v>11.14599</v>
      </c>
      <c r="Z477" s="87">
        <v>0.0</v>
      </c>
      <c r="AA477" s="87">
        <v>2.747406</v>
      </c>
      <c r="AB477" s="87">
        <v>2.12632</v>
      </c>
      <c r="AC477" s="87">
        <v>1.811916</v>
      </c>
      <c r="AD477" s="87">
        <v>0.142857</v>
      </c>
      <c r="AE477" s="87">
        <v>7.88405</v>
      </c>
      <c r="AF477" s="87">
        <v>6.932916</v>
      </c>
      <c r="AG477" s="87">
        <v>5.796112</v>
      </c>
      <c r="AH477" s="87">
        <v>0.0</v>
      </c>
      <c r="AI477" s="87">
        <v>2.108531</v>
      </c>
      <c r="AJ477" s="87">
        <v>2.358695</v>
      </c>
      <c r="AK477" s="87">
        <v>1.811916</v>
      </c>
      <c r="AL477" s="88" t="s">
        <v>1396</v>
      </c>
    </row>
    <row r="478">
      <c r="A478" s="84" t="s">
        <v>1977</v>
      </c>
      <c r="B478" s="84" t="s">
        <v>2021</v>
      </c>
      <c r="C478" s="84" t="s">
        <v>264</v>
      </c>
      <c r="D478" s="84" t="s">
        <v>2020</v>
      </c>
      <c r="E478" s="86">
        <v>46310.0</v>
      </c>
      <c r="F478" s="87">
        <v>8.0</v>
      </c>
      <c r="G478" s="87">
        <v>0.0</v>
      </c>
      <c r="H478" s="87">
        <v>1673.0</v>
      </c>
      <c r="I478" s="87">
        <v>0.0</v>
      </c>
      <c r="J478" s="87">
        <v>18.97547</v>
      </c>
      <c r="K478" s="87">
        <v>22.61351</v>
      </c>
      <c r="L478" s="87">
        <v>22.7552</v>
      </c>
      <c r="M478" s="87">
        <v>16.74295</v>
      </c>
      <c r="N478" s="87">
        <v>0.740396</v>
      </c>
      <c r="O478" s="87">
        <v>0.0</v>
      </c>
      <c r="P478" s="87">
        <v>0.0</v>
      </c>
      <c r="Q478" s="87">
        <v>0.216667</v>
      </c>
      <c r="R478" s="87">
        <v>1.640842</v>
      </c>
      <c r="S478" s="87">
        <v>2.48364</v>
      </c>
      <c r="T478" s="87">
        <v>0.216667</v>
      </c>
      <c r="U478" s="87">
        <v>1.529418</v>
      </c>
      <c r="V478" s="87">
        <v>1.529418</v>
      </c>
      <c r="W478" s="87">
        <v>2.48364</v>
      </c>
      <c r="X478" s="87">
        <v>5.424998</v>
      </c>
      <c r="Y478" s="87">
        <v>2.826689</v>
      </c>
      <c r="Z478" s="87">
        <v>0.0</v>
      </c>
      <c r="AA478" s="87">
        <v>2.747406</v>
      </c>
      <c r="AB478" s="87">
        <v>2.12632</v>
      </c>
      <c r="AC478" s="87">
        <v>1.811916</v>
      </c>
      <c r="AD478" s="87">
        <v>1.556213</v>
      </c>
      <c r="AE478" s="87">
        <v>2.304163</v>
      </c>
      <c r="AF478" s="87">
        <v>4.648562</v>
      </c>
      <c r="AG478" s="87">
        <v>3.80075</v>
      </c>
      <c r="AH478" s="87">
        <v>0.0</v>
      </c>
      <c r="AI478" s="87">
        <v>2.108531</v>
      </c>
      <c r="AJ478" s="87">
        <v>2.358695</v>
      </c>
      <c r="AK478" s="87">
        <v>1.811916</v>
      </c>
      <c r="AL478" s="88" t="s">
        <v>1396</v>
      </c>
    </row>
    <row r="479">
      <c r="A479" s="84" t="s">
        <v>1979</v>
      </c>
      <c r="B479" s="84" t="s">
        <v>2022</v>
      </c>
      <c r="C479" s="84" t="s">
        <v>264</v>
      </c>
      <c r="D479" s="84" t="s">
        <v>2020</v>
      </c>
      <c r="E479" s="84" t="s">
        <v>1413</v>
      </c>
      <c r="F479" s="87">
        <v>6.0</v>
      </c>
      <c r="G479" s="87">
        <v>0.0</v>
      </c>
      <c r="H479" s="87">
        <v>1078.0</v>
      </c>
      <c r="I479" s="87">
        <v>0.0</v>
      </c>
      <c r="J479" s="87">
        <v>11.46756</v>
      </c>
      <c r="K479" s="87">
        <v>10.8715</v>
      </c>
      <c r="L479" s="87">
        <v>12.79053</v>
      </c>
      <c r="M479" s="87">
        <v>7.152002</v>
      </c>
      <c r="N479" s="87">
        <v>0.657867</v>
      </c>
      <c r="O479" s="87">
        <v>0.465768</v>
      </c>
      <c r="P479" s="87">
        <v>0.632393</v>
      </c>
      <c r="Q479" s="87">
        <v>0.632393</v>
      </c>
      <c r="R479" s="87">
        <v>1.928475</v>
      </c>
      <c r="S479" s="87">
        <v>2.747406</v>
      </c>
      <c r="T479" s="87">
        <v>0.465768</v>
      </c>
      <c r="U479" s="87">
        <v>0.632393</v>
      </c>
      <c r="V479" s="87">
        <v>0.632393</v>
      </c>
      <c r="W479" s="87">
        <v>1.928475</v>
      </c>
      <c r="X479" s="87">
        <v>2.747406</v>
      </c>
      <c r="Y479" s="87">
        <v>1.811916</v>
      </c>
      <c r="Z479" s="87">
        <v>0.0</v>
      </c>
      <c r="AA479" s="87">
        <v>2.747406</v>
      </c>
      <c r="AB479" s="87">
        <v>2.12632</v>
      </c>
      <c r="AC479" s="87">
        <v>1.811916</v>
      </c>
      <c r="AD479" s="87">
        <v>1.419601</v>
      </c>
      <c r="AE479" s="87">
        <v>1.570635</v>
      </c>
      <c r="AF479" s="87">
        <v>3.087707</v>
      </c>
      <c r="AG479" s="87">
        <v>1.811916</v>
      </c>
      <c r="AH479" s="87">
        <v>0.0</v>
      </c>
      <c r="AI479" s="87">
        <v>2.108531</v>
      </c>
      <c r="AJ479" s="87">
        <v>2.358695</v>
      </c>
      <c r="AK479" s="87">
        <v>1.811916</v>
      </c>
      <c r="AL479" s="88" t="s">
        <v>1396</v>
      </c>
    </row>
    <row r="480">
      <c r="A480" s="84" t="s">
        <v>1980</v>
      </c>
      <c r="B480" s="84" t="s">
        <v>2023</v>
      </c>
      <c r="C480" s="84" t="s">
        <v>264</v>
      </c>
      <c r="D480" s="84" t="s">
        <v>2020</v>
      </c>
      <c r="E480" s="84" t="s">
        <v>1398</v>
      </c>
      <c r="F480" s="87">
        <v>6.0</v>
      </c>
      <c r="G480" s="87">
        <v>0.0</v>
      </c>
      <c r="H480" s="87">
        <v>626.0</v>
      </c>
      <c r="I480" s="87">
        <v>0.0</v>
      </c>
      <c r="J480" s="87">
        <v>7.557751</v>
      </c>
      <c r="K480" s="87">
        <v>8.719955</v>
      </c>
      <c r="L480" s="87">
        <v>8.10894</v>
      </c>
      <c r="M480" s="87">
        <v>8.719955</v>
      </c>
      <c r="N480" s="87">
        <v>1.0</v>
      </c>
      <c r="O480" s="87">
        <v>0.0</v>
      </c>
      <c r="P480" s="87">
        <v>0.0</v>
      </c>
      <c r="Q480" s="87">
        <v>0.0</v>
      </c>
      <c r="R480" s="87">
        <v>0.0</v>
      </c>
      <c r="S480" s="87">
        <v>2.813152</v>
      </c>
      <c r="T480" s="87">
        <v>2.813152</v>
      </c>
      <c r="U480" s="87">
        <v>2.813152</v>
      </c>
      <c r="V480" s="87">
        <v>2.813152</v>
      </c>
      <c r="W480" s="87">
        <v>5.906803</v>
      </c>
      <c r="X480" s="87">
        <v>5.906803</v>
      </c>
      <c r="Y480" s="87">
        <v>1.453326</v>
      </c>
      <c r="Z480" s="87">
        <v>0.0</v>
      </c>
      <c r="AA480" s="87">
        <v>2.747406</v>
      </c>
      <c r="AB480" s="87">
        <v>2.12632</v>
      </c>
      <c r="AC480" s="87">
        <v>1.811916</v>
      </c>
      <c r="AD480" s="87">
        <v>0.982266</v>
      </c>
      <c r="AE480" s="87">
        <v>1.394663</v>
      </c>
      <c r="AF480" s="87">
        <v>3.045819</v>
      </c>
      <c r="AG480" s="87">
        <v>1.453326</v>
      </c>
      <c r="AH480" s="87">
        <v>0.0</v>
      </c>
      <c r="AI480" s="87">
        <v>2.108531</v>
      </c>
      <c r="AJ480" s="87">
        <v>2.358695</v>
      </c>
      <c r="AK480" s="87">
        <v>1.811916</v>
      </c>
      <c r="AL480" s="88" t="s">
        <v>1396</v>
      </c>
    </row>
    <row r="481">
      <c r="A481" s="84" t="s">
        <v>1981</v>
      </c>
      <c r="B481" s="84" t="s">
        <v>2024</v>
      </c>
      <c r="C481" s="84" t="s">
        <v>264</v>
      </c>
      <c r="D481" s="84" t="s">
        <v>2020</v>
      </c>
      <c r="E481" s="84" t="s">
        <v>1400</v>
      </c>
      <c r="F481" s="87">
        <v>4.0</v>
      </c>
      <c r="G481" s="87">
        <v>0.0</v>
      </c>
      <c r="H481" s="87">
        <v>1020.0</v>
      </c>
      <c r="I481" s="87">
        <v>0.0</v>
      </c>
      <c r="J481" s="87">
        <v>5.856616</v>
      </c>
      <c r="K481" s="87">
        <v>5.663173</v>
      </c>
      <c r="L481" s="87">
        <v>6.313289</v>
      </c>
      <c r="M481" s="87">
        <v>3.719648</v>
      </c>
      <c r="N481" s="87">
        <v>0.656813</v>
      </c>
      <c r="O481" s="87">
        <v>0.067816</v>
      </c>
      <c r="P481" s="87">
        <v>0.067816</v>
      </c>
      <c r="Q481" s="87">
        <v>0.501923</v>
      </c>
      <c r="R481" s="87">
        <v>1.373786</v>
      </c>
      <c r="S481" s="87">
        <v>1.373786</v>
      </c>
      <c r="T481" s="87">
        <v>0.067816</v>
      </c>
      <c r="U481" s="87">
        <v>0.067816</v>
      </c>
      <c r="V481" s="87">
        <v>0.501923</v>
      </c>
      <c r="W481" s="87">
        <v>1.373786</v>
      </c>
      <c r="X481" s="87">
        <v>1.373786</v>
      </c>
      <c r="Y481" s="87">
        <v>1.415793</v>
      </c>
      <c r="Z481" s="87">
        <v>0.0</v>
      </c>
      <c r="AA481" s="87">
        <v>2.747406</v>
      </c>
      <c r="AB481" s="87">
        <v>2.12632</v>
      </c>
      <c r="AC481" s="87">
        <v>1.811916</v>
      </c>
      <c r="AD481" s="87">
        <v>0.366667</v>
      </c>
      <c r="AE481" s="87">
        <v>0.501923</v>
      </c>
      <c r="AF481" s="87">
        <v>0.86811</v>
      </c>
      <c r="AG481" s="87">
        <v>0.961</v>
      </c>
      <c r="AH481" s="87">
        <v>0.0</v>
      </c>
      <c r="AI481" s="87">
        <v>2.108531</v>
      </c>
      <c r="AJ481" s="87">
        <v>2.358695</v>
      </c>
      <c r="AK481" s="87">
        <v>1.811916</v>
      </c>
      <c r="AL481" s="88" t="s">
        <v>1396</v>
      </c>
    </row>
    <row r="482">
      <c r="A482" s="84" t="s">
        <v>1983</v>
      </c>
      <c r="B482" s="84" t="s">
        <v>2025</v>
      </c>
      <c r="C482" s="84" t="s">
        <v>264</v>
      </c>
      <c r="D482" s="84" t="s">
        <v>2020</v>
      </c>
      <c r="E482" s="86">
        <v>46300.0</v>
      </c>
      <c r="F482" s="87">
        <v>7.0</v>
      </c>
      <c r="G482" s="87">
        <v>0.0</v>
      </c>
      <c r="H482" s="87">
        <v>1567.0</v>
      </c>
      <c r="I482" s="87">
        <v>0.0</v>
      </c>
      <c r="J482" s="87">
        <v>22.00434</v>
      </c>
      <c r="K482" s="87">
        <v>26.62178</v>
      </c>
      <c r="L482" s="87">
        <v>25.2618</v>
      </c>
      <c r="M482" s="87">
        <v>15.8035</v>
      </c>
      <c r="N482" s="87">
        <v>0.59363</v>
      </c>
      <c r="O482" s="87">
        <v>0.0</v>
      </c>
      <c r="P482" s="87">
        <v>0.0</v>
      </c>
      <c r="Q482" s="87">
        <v>0.0</v>
      </c>
      <c r="R482" s="87">
        <v>4.879529</v>
      </c>
      <c r="S482" s="87">
        <v>5.938754</v>
      </c>
      <c r="T482" s="87">
        <v>4.879529</v>
      </c>
      <c r="U482" s="87">
        <v>4.879529</v>
      </c>
      <c r="V482" s="87">
        <v>5.938754</v>
      </c>
      <c r="W482" s="87">
        <v>7.212432</v>
      </c>
      <c r="X482" s="87">
        <v>7.212432</v>
      </c>
      <c r="Y482" s="87">
        <v>3.803112</v>
      </c>
      <c r="Z482" s="87">
        <v>0.0</v>
      </c>
      <c r="AA482" s="87">
        <v>2.747406</v>
      </c>
      <c r="AB482" s="87">
        <v>2.12632</v>
      </c>
      <c r="AC482" s="87">
        <v>1.811916</v>
      </c>
      <c r="AD482" s="87">
        <v>1.136302</v>
      </c>
      <c r="AE482" s="87">
        <v>3.697048</v>
      </c>
      <c r="AF482" s="87">
        <v>4.970773</v>
      </c>
      <c r="AG482" s="87">
        <v>3.803112</v>
      </c>
      <c r="AH482" s="87">
        <v>0.0</v>
      </c>
      <c r="AI482" s="87">
        <v>2.108531</v>
      </c>
      <c r="AJ482" s="87">
        <v>2.358695</v>
      </c>
      <c r="AK482" s="87">
        <v>1.811916</v>
      </c>
      <c r="AL482" s="88" t="s">
        <v>1396</v>
      </c>
    </row>
    <row r="483">
      <c r="A483" s="84" t="s">
        <v>1984</v>
      </c>
      <c r="B483" s="84" t="s">
        <v>2026</v>
      </c>
      <c r="C483" s="84" t="s">
        <v>264</v>
      </c>
      <c r="D483" s="84" t="s">
        <v>2020</v>
      </c>
      <c r="E483" s="84" t="s">
        <v>1403</v>
      </c>
      <c r="F483" s="87">
        <v>21.0</v>
      </c>
      <c r="G483" s="87">
        <v>0.0</v>
      </c>
      <c r="H483" s="87">
        <v>0.0</v>
      </c>
      <c r="I483" s="87">
        <v>0.0</v>
      </c>
      <c r="J483" s="87">
        <v>0.0</v>
      </c>
      <c r="K483" s="87">
        <v>0.0</v>
      </c>
      <c r="L483" s="87">
        <v>0.0</v>
      </c>
      <c r="M483" s="87">
        <v>0.0</v>
      </c>
      <c r="N483" s="87">
        <v>0.0</v>
      </c>
      <c r="O483" s="87">
        <v>0.0</v>
      </c>
      <c r="P483" s="87">
        <v>0.0</v>
      </c>
      <c r="Q483" s="87">
        <v>0.0</v>
      </c>
      <c r="R483" s="87">
        <v>0.0</v>
      </c>
      <c r="S483" s="87">
        <v>0.0</v>
      </c>
      <c r="T483" s="87">
        <v>0.0</v>
      </c>
      <c r="U483" s="87">
        <v>0.0</v>
      </c>
      <c r="V483" s="87">
        <v>0.0</v>
      </c>
      <c r="W483" s="87">
        <v>0.0</v>
      </c>
      <c r="X483" s="87">
        <v>0.0</v>
      </c>
      <c r="Y483" s="87">
        <v>0.0</v>
      </c>
      <c r="Z483" s="87">
        <v>0.0</v>
      </c>
      <c r="AA483" s="87">
        <v>2.747406</v>
      </c>
      <c r="AB483" s="87">
        <v>2.12632</v>
      </c>
      <c r="AC483" s="87">
        <v>1.811916</v>
      </c>
      <c r="AD483" s="87">
        <v>0.0</v>
      </c>
      <c r="AE483" s="87">
        <v>0.0</v>
      </c>
      <c r="AF483" s="87">
        <v>0.0</v>
      </c>
      <c r="AG483" s="87">
        <v>0.0</v>
      </c>
      <c r="AH483" s="87">
        <v>0.0</v>
      </c>
      <c r="AI483" s="87">
        <v>2.108531</v>
      </c>
      <c r="AJ483" s="87">
        <v>2.358695</v>
      </c>
      <c r="AK483" s="87">
        <v>1.811916</v>
      </c>
      <c r="AL483" s="88" t="s">
        <v>1396</v>
      </c>
    </row>
    <row r="484">
      <c r="A484" s="84" t="s">
        <v>2027</v>
      </c>
      <c r="B484" s="84" t="s">
        <v>2028</v>
      </c>
      <c r="C484" s="84" t="s">
        <v>2029</v>
      </c>
      <c r="D484" s="84" t="s">
        <v>2030</v>
      </c>
      <c r="E484" s="84" t="s">
        <v>1403</v>
      </c>
      <c r="F484" s="87">
        <v>1.0</v>
      </c>
      <c r="G484" s="87">
        <v>0.0</v>
      </c>
      <c r="H484" s="87">
        <v>0.0</v>
      </c>
      <c r="I484" s="87">
        <v>0.0</v>
      </c>
      <c r="J484" s="87">
        <v>0.0</v>
      </c>
      <c r="K484" s="87">
        <v>0.0</v>
      </c>
      <c r="L484" s="87">
        <v>0.0</v>
      </c>
      <c r="M484" s="87">
        <v>0.0</v>
      </c>
      <c r="N484" s="87">
        <v>0.0</v>
      </c>
      <c r="O484" s="87">
        <v>0.0</v>
      </c>
      <c r="P484" s="87">
        <v>0.0</v>
      </c>
      <c r="Q484" s="87">
        <v>0.0</v>
      </c>
      <c r="R484" s="87">
        <v>0.0</v>
      </c>
      <c r="S484" s="87">
        <v>0.0</v>
      </c>
      <c r="T484" s="87">
        <v>0.0</v>
      </c>
      <c r="U484" s="87">
        <v>0.0</v>
      </c>
      <c r="V484" s="87">
        <v>0.0</v>
      </c>
      <c r="W484" s="87">
        <v>0.0</v>
      </c>
      <c r="X484" s="87">
        <v>0.0</v>
      </c>
      <c r="Y484" s="87">
        <v>0.0</v>
      </c>
      <c r="Z484" s="87">
        <v>0.0</v>
      </c>
      <c r="AA484" s="87">
        <v>13.41578</v>
      </c>
      <c r="AB484" s="87">
        <v>9.614123</v>
      </c>
      <c r="AC484" s="87">
        <v>10.92956</v>
      </c>
      <c r="AD484" s="87">
        <v>0.0</v>
      </c>
      <c r="AE484" s="87">
        <v>0.0</v>
      </c>
      <c r="AF484" s="87">
        <v>0.0</v>
      </c>
      <c r="AG484" s="87">
        <v>0.0</v>
      </c>
      <c r="AH484" s="87">
        <v>0.0</v>
      </c>
      <c r="AI484" s="87">
        <v>0.0</v>
      </c>
      <c r="AJ484" s="87">
        <v>0.0</v>
      </c>
      <c r="AK484" s="87">
        <v>0.0</v>
      </c>
      <c r="AL484" s="88" t="s">
        <v>1396</v>
      </c>
    </row>
    <row r="485">
      <c r="A485" s="84" t="s">
        <v>2031</v>
      </c>
      <c r="B485" s="84" t="s">
        <v>2032</v>
      </c>
      <c r="C485" s="84" t="s">
        <v>2033</v>
      </c>
      <c r="D485" s="84" t="s">
        <v>2034</v>
      </c>
      <c r="E485" s="86">
        <v>46310.0</v>
      </c>
      <c r="F485" s="87">
        <v>7.0</v>
      </c>
      <c r="G485" s="87">
        <v>0.0</v>
      </c>
      <c r="H485" s="87">
        <v>5229.0</v>
      </c>
      <c r="I485" s="87">
        <v>0.0</v>
      </c>
      <c r="J485" s="87">
        <v>176.1755</v>
      </c>
      <c r="K485" s="87">
        <v>152.7209</v>
      </c>
      <c r="L485" s="87">
        <v>151.4653</v>
      </c>
      <c r="M485" s="87">
        <v>104.5078</v>
      </c>
      <c r="N485" s="87">
        <v>0.684306</v>
      </c>
      <c r="O485" s="87">
        <v>0.0</v>
      </c>
      <c r="P485" s="87">
        <v>8.622393</v>
      </c>
      <c r="Q485" s="87">
        <v>8.901852</v>
      </c>
      <c r="R485" s="87">
        <v>9.053233</v>
      </c>
      <c r="S485" s="87">
        <v>21.63561</v>
      </c>
      <c r="T485" s="87">
        <v>8.622393</v>
      </c>
      <c r="U485" s="87">
        <v>8.901852</v>
      </c>
      <c r="V485" s="87">
        <v>8.901852</v>
      </c>
      <c r="W485" s="87">
        <v>21.63561</v>
      </c>
      <c r="X485" s="87">
        <v>39.77435</v>
      </c>
      <c r="Y485" s="87">
        <v>21.81727</v>
      </c>
      <c r="Z485" s="87">
        <v>0.0</v>
      </c>
      <c r="AA485" s="87">
        <v>5.787174</v>
      </c>
      <c r="AB485" s="87">
        <v>1.981486</v>
      </c>
      <c r="AC485" s="87">
        <v>3.176665</v>
      </c>
      <c r="AD485" s="87">
        <v>8.622393</v>
      </c>
      <c r="AE485" s="87">
        <v>10.99386</v>
      </c>
      <c r="AF485" s="87">
        <v>23.75393</v>
      </c>
      <c r="AG485" s="87">
        <v>21.81727</v>
      </c>
      <c r="AH485" s="87">
        <v>0.0</v>
      </c>
      <c r="AI485" s="87">
        <v>6.303017</v>
      </c>
      <c r="AJ485" s="87">
        <v>4.150458</v>
      </c>
      <c r="AK485" s="87">
        <v>2.571396</v>
      </c>
      <c r="AL485" s="88" t="s">
        <v>1396</v>
      </c>
    </row>
    <row r="486">
      <c r="A486" s="84" t="s">
        <v>2035</v>
      </c>
      <c r="B486" s="84" t="s">
        <v>2036</v>
      </c>
      <c r="C486" s="84" t="s">
        <v>2033</v>
      </c>
      <c r="D486" s="84" t="s">
        <v>2034</v>
      </c>
      <c r="E486" s="84" t="s">
        <v>1413</v>
      </c>
      <c r="F486" s="87">
        <v>12.0</v>
      </c>
      <c r="G486" s="87">
        <v>0.0</v>
      </c>
      <c r="H486" s="87">
        <v>1057.0</v>
      </c>
      <c r="I486" s="87">
        <v>0.0</v>
      </c>
      <c r="J486" s="87">
        <v>34.67759</v>
      </c>
      <c r="K486" s="87">
        <v>38.11998</v>
      </c>
      <c r="L486" s="87">
        <v>49.45266</v>
      </c>
      <c r="M486" s="87">
        <v>26.59704</v>
      </c>
      <c r="N486" s="87">
        <v>0.697719</v>
      </c>
      <c r="O486" s="87">
        <v>0.0</v>
      </c>
      <c r="P486" s="87">
        <v>0.0</v>
      </c>
      <c r="Q486" s="87">
        <v>0.0</v>
      </c>
      <c r="R486" s="87">
        <v>2.489683</v>
      </c>
      <c r="S486" s="87">
        <v>3.5</v>
      </c>
      <c r="T486" s="87">
        <v>2.266245</v>
      </c>
      <c r="U486" s="87">
        <v>2.489683</v>
      </c>
      <c r="V486" s="87">
        <v>3.267015</v>
      </c>
      <c r="W486" s="87">
        <v>3.5</v>
      </c>
      <c r="X486" s="87">
        <v>5.86476</v>
      </c>
      <c r="Y486" s="87">
        <v>3.176665</v>
      </c>
      <c r="Z486" s="87">
        <v>0.0</v>
      </c>
      <c r="AA486" s="87">
        <v>5.787174</v>
      </c>
      <c r="AB486" s="87">
        <v>1.981486</v>
      </c>
      <c r="AC486" s="87">
        <v>3.176665</v>
      </c>
      <c r="AD486" s="87">
        <v>2.489683</v>
      </c>
      <c r="AE486" s="87">
        <v>3.5</v>
      </c>
      <c r="AF486" s="87">
        <v>6.503556</v>
      </c>
      <c r="AG486" s="87">
        <v>3.176665</v>
      </c>
      <c r="AH486" s="87">
        <v>0.0</v>
      </c>
      <c r="AI486" s="87">
        <v>6.303017</v>
      </c>
      <c r="AJ486" s="87">
        <v>4.150458</v>
      </c>
      <c r="AK486" s="87">
        <v>2.571396</v>
      </c>
      <c r="AL486" s="88" t="s">
        <v>1396</v>
      </c>
    </row>
    <row r="487">
      <c r="A487" s="84" t="s">
        <v>2037</v>
      </c>
      <c r="B487" s="84" t="s">
        <v>2038</v>
      </c>
      <c r="C487" s="84" t="s">
        <v>2033</v>
      </c>
      <c r="D487" s="84" t="s">
        <v>2034</v>
      </c>
      <c r="E487" s="84" t="s">
        <v>1398</v>
      </c>
      <c r="F487" s="87">
        <v>7.0</v>
      </c>
      <c r="G487" s="87">
        <v>0.0</v>
      </c>
      <c r="H487" s="87">
        <v>19.0</v>
      </c>
      <c r="I487" s="87">
        <v>0.0</v>
      </c>
      <c r="J487" s="87">
        <v>11.37024</v>
      </c>
      <c r="K487" s="87">
        <v>13.34399</v>
      </c>
      <c r="L487" s="87">
        <v>14.20139</v>
      </c>
      <c r="M487" s="87">
        <v>11.34399</v>
      </c>
      <c r="N487" s="87">
        <v>0.85012</v>
      </c>
      <c r="O487" s="87">
        <v>0.0</v>
      </c>
      <c r="P487" s="87">
        <v>0.0</v>
      </c>
      <c r="Q487" s="87">
        <v>0.0</v>
      </c>
      <c r="R487" s="87">
        <v>1.0</v>
      </c>
      <c r="S487" s="87">
        <v>1.0</v>
      </c>
      <c r="T487" s="87">
        <v>1.0</v>
      </c>
      <c r="U487" s="87">
        <v>1.0</v>
      </c>
      <c r="V487" s="87">
        <v>1.0</v>
      </c>
      <c r="W487" s="87">
        <v>5.093993</v>
      </c>
      <c r="X487" s="87">
        <v>5.093993</v>
      </c>
      <c r="Y487" s="87">
        <v>1.906285</v>
      </c>
      <c r="Z487" s="87">
        <v>0.0</v>
      </c>
      <c r="AA487" s="87">
        <v>5.787174</v>
      </c>
      <c r="AB487" s="87">
        <v>1.981486</v>
      </c>
      <c r="AC487" s="87">
        <v>3.176665</v>
      </c>
      <c r="AD487" s="87">
        <v>4.601602</v>
      </c>
      <c r="AE487" s="87">
        <v>6.25</v>
      </c>
      <c r="AF487" s="87">
        <v>12.33352</v>
      </c>
      <c r="AG487" s="87">
        <v>1.906285</v>
      </c>
      <c r="AH487" s="87">
        <v>0.0</v>
      </c>
      <c r="AI487" s="87">
        <v>6.303017</v>
      </c>
      <c r="AJ487" s="87">
        <v>4.150458</v>
      </c>
      <c r="AK487" s="87">
        <v>2.571396</v>
      </c>
      <c r="AL487" s="88" t="s">
        <v>1396</v>
      </c>
    </row>
    <row r="488">
      <c r="A488" s="84" t="s">
        <v>2039</v>
      </c>
      <c r="B488" s="84" t="s">
        <v>2040</v>
      </c>
      <c r="C488" s="84" t="s">
        <v>2033</v>
      </c>
      <c r="D488" s="84" t="s">
        <v>2034</v>
      </c>
      <c r="E488" s="84" t="s">
        <v>1400</v>
      </c>
      <c r="F488" s="87">
        <v>19.0</v>
      </c>
      <c r="G488" s="87">
        <v>0.0</v>
      </c>
      <c r="H488" s="87">
        <v>2062.0</v>
      </c>
      <c r="I488" s="87">
        <v>0.0</v>
      </c>
      <c r="J488" s="87">
        <v>46.31372</v>
      </c>
      <c r="K488" s="87">
        <v>48.85652</v>
      </c>
      <c r="L488" s="87">
        <v>54.54255</v>
      </c>
      <c r="M488" s="87">
        <v>29.92008</v>
      </c>
      <c r="N488" s="87">
        <v>0.612407</v>
      </c>
      <c r="O488" s="87">
        <v>0.0</v>
      </c>
      <c r="P488" s="87">
        <v>0.0</v>
      </c>
      <c r="Q488" s="87">
        <v>0.0</v>
      </c>
      <c r="R488" s="87">
        <v>0.87327</v>
      </c>
      <c r="S488" s="87">
        <v>5.615816</v>
      </c>
      <c r="T488" s="87">
        <v>0.87327</v>
      </c>
      <c r="U488" s="87">
        <v>1.433294</v>
      </c>
      <c r="V488" s="87">
        <v>1.799355</v>
      </c>
      <c r="W488" s="87">
        <v>5.615816</v>
      </c>
      <c r="X488" s="87">
        <v>6.449958</v>
      </c>
      <c r="Y488" s="87">
        <v>2.571396</v>
      </c>
      <c r="Z488" s="87">
        <v>0.0</v>
      </c>
      <c r="AA488" s="87">
        <v>5.787174</v>
      </c>
      <c r="AB488" s="87">
        <v>1.981486</v>
      </c>
      <c r="AC488" s="87">
        <v>3.176665</v>
      </c>
      <c r="AD488" s="87">
        <v>1.094931</v>
      </c>
      <c r="AE488" s="87">
        <v>5.615816</v>
      </c>
      <c r="AF488" s="87">
        <v>3.408146</v>
      </c>
      <c r="AG488" s="87">
        <v>2.571396</v>
      </c>
      <c r="AH488" s="87">
        <v>0.0</v>
      </c>
      <c r="AI488" s="87">
        <v>6.303017</v>
      </c>
      <c r="AJ488" s="87">
        <v>4.150458</v>
      </c>
      <c r="AK488" s="87">
        <v>2.571396</v>
      </c>
      <c r="AL488" s="88" t="s">
        <v>1396</v>
      </c>
    </row>
    <row r="489">
      <c r="A489" s="84" t="s">
        <v>2041</v>
      </c>
      <c r="B489" s="84" t="s">
        <v>2042</v>
      </c>
      <c r="C489" s="84" t="s">
        <v>2033</v>
      </c>
      <c r="D489" s="84" t="s">
        <v>2034</v>
      </c>
      <c r="E489" s="89">
        <v>46300.0</v>
      </c>
      <c r="F489" s="87">
        <v>2.0</v>
      </c>
      <c r="G489" s="87">
        <v>0.0</v>
      </c>
      <c r="H489" s="87">
        <v>0.0</v>
      </c>
      <c r="I489" s="87">
        <v>0.0</v>
      </c>
      <c r="J489" s="87">
        <v>6.083333</v>
      </c>
      <c r="K489" s="87">
        <v>6.533333</v>
      </c>
      <c r="L489" s="87">
        <v>17.2</v>
      </c>
      <c r="M489" s="87">
        <v>4.45</v>
      </c>
      <c r="N489" s="87">
        <v>0.681122</v>
      </c>
      <c r="O489" s="87">
        <v>2.083333</v>
      </c>
      <c r="P489" s="87">
        <v>2.083333</v>
      </c>
      <c r="Q489" s="87">
        <v>2.083333</v>
      </c>
      <c r="R489" s="87">
        <v>4.45</v>
      </c>
      <c r="S489" s="87">
        <v>4.45</v>
      </c>
      <c r="T489" s="87">
        <v>2.083333</v>
      </c>
      <c r="U489" s="87">
        <v>2.083333</v>
      </c>
      <c r="V489" s="87">
        <v>2.083333</v>
      </c>
      <c r="W489" s="87">
        <v>4.45</v>
      </c>
      <c r="X489" s="87">
        <v>4.45</v>
      </c>
      <c r="Y489" s="87">
        <v>3.266667</v>
      </c>
      <c r="Z489" s="87">
        <v>0.0</v>
      </c>
      <c r="AA489" s="87">
        <v>5.787174</v>
      </c>
      <c r="AB489" s="87">
        <v>1.981486</v>
      </c>
      <c r="AC489" s="87">
        <v>3.176665</v>
      </c>
      <c r="AD489" s="87">
        <v>5.235618</v>
      </c>
      <c r="AE489" s="87">
        <v>15.57458</v>
      </c>
      <c r="AF489" s="87">
        <v>19.59049</v>
      </c>
      <c r="AG489" s="87">
        <v>22.85526</v>
      </c>
      <c r="AH489" s="87">
        <v>0.0</v>
      </c>
      <c r="AI489" s="87">
        <v>6.303017</v>
      </c>
      <c r="AJ489" s="87">
        <v>4.150458</v>
      </c>
      <c r="AK489" s="87">
        <v>2.571396</v>
      </c>
      <c r="AL489" s="88" t="s">
        <v>1396</v>
      </c>
    </row>
    <row r="490">
      <c r="A490" s="84" t="s">
        <v>2043</v>
      </c>
      <c r="B490" s="84" t="s">
        <v>2044</v>
      </c>
      <c r="C490" s="84" t="s">
        <v>2033</v>
      </c>
      <c r="D490" s="84" t="s">
        <v>2034</v>
      </c>
      <c r="E490" s="84" t="s">
        <v>1403</v>
      </c>
      <c r="F490" s="87">
        <v>84.0</v>
      </c>
      <c r="G490" s="87">
        <v>0.0</v>
      </c>
      <c r="H490" s="87">
        <v>0.0</v>
      </c>
      <c r="I490" s="87">
        <v>0.0</v>
      </c>
      <c r="J490" s="87">
        <v>0.0</v>
      </c>
      <c r="K490" s="87">
        <v>0.0</v>
      </c>
      <c r="L490" s="87">
        <v>0.0</v>
      </c>
      <c r="M490" s="87">
        <v>0.0</v>
      </c>
      <c r="N490" s="87">
        <v>0.0</v>
      </c>
      <c r="O490" s="87">
        <v>0.0</v>
      </c>
      <c r="P490" s="87">
        <v>0.0</v>
      </c>
      <c r="Q490" s="87">
        <v>0.0</v>
      </c>
      <c r="R490" s="87">
        <v>0.0</v>
      </c>
      <c r="S490" s="87">
        <v>0.0</v>
      </c>
      <c r="T490" s="87">
        <v>0.0</v>
      </c>
      <c r="U490" s="87">
        <v>0.0</v>
      </c>
      <c r="V490" s="87">
        <v>0.0</v>
      </c>
      <c r="W490" s="87">
        <v>0.0</v>
      </c>
      <c r="X490" s="87">
        <v>0.0</v>
      </c>
      <c r="Y490" s="87">
        <v>0.0</v>
      </c>
      <c r="Z490" s="87">
        <v>0.0</v>
      </c>
      <c r="AA490" s="87">
        <v>5.787174</v>
      </c>
      <c r="AB490" s="87">
        <v>1.981486</v>
      </c>
      <c r="AC490" s="87">
        <v>3.176665</v>
      </c>
      <c r="AD490" s="87">
        <v>0.0</v>
      </c>
      <c r="AE490" s="87">
        <v>0.0</v>
      </c>
      <c r="AF490" s="87">
        <v>0.0</v>
      </c>
      <c r="AG490" s="87">
        <v>0.0</v>
      </c>
      <c r="AH490" s="87">
        <v>0.0</v>
      </c>
      <c r="AI490" s="87">
        <v>6.303017</v>
      </c>
      <c r="AJ490" s="87">
        <v>4.150458</v>
      </c>
      <c r="AK490" s="87">
        <v>2.571396</v>
      </c>
      <c r="AL490" s="88" t="s">
        <v>1396</v>
      </c>
    </row>
    <row r="491">
      <c r="A491" s="84" t="s">
        <v>2031</v>
      </c>
      <c r="B491" s="84" t="s">
        <v>2045</v>
      </c>
      <c r="C491" s="84" t="s">
        <v>2033</v>
      </c>
      <c r="D491" s="84" t="s">
        <v>2046</v>
      </c>
      <c r="E491" s="86">
        <v>46310.0</v>
      </c>
      <c r="F491" s="87">
        <v>13.0</v>
      </c>
      <c r="G491" s="87">
        <v>0.0</v>
      </c>
      <c r="H491" s="87">
        <v>12650.0</v>
      </c>
      <c r="I491" s="87">
        <v>0.0</v>
      </c>
      <c r="J491" s="87">
        <v>393.293</v>
      </c>
      <c r="K491" s="87">
        <v>399.431</v>
      </c>
      <c r="L491" s="87">
        <v>388.0087</v>
      </c>
      <c r="M491" s="87">
        <v>329.487</v>
      </c>
      <c r="N491" s="87">
        <v>0.824891</v>
      </c>
      <c r="O491" s="87">
        <v>0.0</v>
      </c>
      <c r="P491" s="87">
        <v>0.0</v>
      </c>
      <c r="Q491" s="87">
        <v>0.0</v>
      </c>
      <c r="R491" s="87">
        <v>5.758213</v>
      </c>
      <c r="S491" s="87">
        <v>34.17309</v>
      </c>
      <c r="T491" s="87">
        <v>5.758213</v>
      </c>
      <c r="U491" s="87">
        <v>7.461535</v>
      </c>
      <c r="V491" s="87">
        <v>22.55118</v>
      </c>
      <c r="W491" s="87">
        <v>34.17309</v>
      </c>
      <c r="X491" s="87">
        <v>40.51715</v>
      </c>
      <c r="Y491" s="87">
        <v>30.72546</v>
      </c>
      <c r="Z491" s="87">
        <v>0.0</v>
      </c>
      <c r="AA491" s="87">
        <v>10.513</v>
      </c>
      <c r="AB491" s="87">
        <v>7.979558</v>
      </c>
      <c r="AC491" s="87">
        <v>17.24295</v>
      </c>
      <c r="AD491" s="87">
        <v>8.622393</v>
      </c>
      <c r="AE491" s="87">
        <v>10.99386</v>
      </c>
      <c r="AF491" s="87">
        <v>23.75393</v>
      </c>
      <c r="AG491" s="87">
        <v>21.81727</v>
      </c>
      <c r="AH491" s="87">
        <v>0.0</v>
      </c>
      <c r="AI491" s="87">
        <v>6.303017</v>
      </c>
      <c r="AJ491" s="87">
        <v>4.150458</v>
      </c>
      <c r="AK491" s="87">
        <v>2.571396</v>
      </c>
      <c r="AL491" s="88" t="s">
        <v>1396</v>
      </c>
    </row>
    <row r="492">
      <c r="A492" s="84" t="s">
        <v>2035</v>
      </c>
      <c r="B492" s="84" t="s">
        <v>2047</v>
      </c>
      <c r="C492" s="84" t="s">
        <v>2033</v>
      </c>
      <c r="D492" s="84" t="s">
        <v>2046</v>
      </c>
      <c r="E492" s="84" t="s">
        <v>1413</v>
      </c>
      <c r="F492" s="87">
        <v>20.0</v>
      </c>
      <c r="G492" s="87">
        <v>0.0</v>
      </c>
      <c r="H492" s="87">
        <v>10034.0</v>
      </c>
      <c r="I492" s="87">
        <v>0.0</v>
      </c>
      <c r="J492" s="87">
        <v>177.04</v>
      </c>
      <c r="K492" s="87">
        <v>181.6597</v>
      </c>
      <c r="L492" s="87">
        <v>180.1982</v>
      </c>
      <c r="M492" s="87">
        <v>136.4895</v>
      </c>
      <c r="N492" s="87">
        <v>0.751347</v>
      </c>
      <c r="O492" s="87">
        <v>0.0</v>
      </c>
      <c r="P492" s="87">
        <v>0.0</v>
      </c>
      <c r="Q492" s="87">
        <v>0.0</v>
      </c>
      <c r="R492" s="87">
        <v>3.294885</v>
      </c>
      <c r="S492" s="87">
        <v>10.97172</v>
      </c>
      <c r="T492" s="87">
        <v>1.833333</v>
      </c>
      <c r="U492" s="87">
        <v>3.022822</v>
      </c>
      <c r="V492" s="87">
        <v>3.294885</v>
      </c>
      <c r="W492" s="87">
        <v>6.178776</v>
      </c>
      <c r="X492" s="87">
        <v>16.98259</v>
      </c>
      <c r="Y492" s="87">
        <v>9.082983</v>
      </c>
      <c r="Z492" s="87">
        <v>0.0</v>
      </c>
      <c r="AA492" s="87">
        <v>10.513</v>
      </c>
      <c r="AB492" s="87">
        <v>7.979558</v>
      </c>
      <c r="AC492" s="87">
        <v>17.24295</v>
      </c>
      <c r="AD492" s="87">
        <v>2.489683</v>
      </c>
      <c r="AE492" s="87">
        <v>3.5</v>
      </c>
      <c r="AF492" s="87">
        <v>6.503556</v>
      </c>
      <c r="AG492" s="87">
        <v>3.176665</v>
      </c>
      <c r="AH492" s="87">
        <v>0.0</v>
      </c>
      <c r="AI492" s="87">
        <v>6.303017</v>
      </c>
      <c r="AJ492" s="87">
        <v>4.150458</v>
      </c>
      <c r="AK492" s="87">
        <v>2.571396</v>
      </c>
      <c r="AL492" s="88" t="s">
        <v>1396</v>
      </c>
    </row>
    <row r="493">
      <c r="A493" s="84" t="s">
        <v>2037</v>
      </c>
      <c r="B493" s="84" t="s">
        <v>2048</v>
      </c>
      <c r="C493" s="84" t="s">
        <v>2033</v>
      </c>
      <c r="D493" s="84" t="s">
        <v>2046</v>
      </c>
      <c r="E493" s="84" t="s">
        <v>1398</v>
      </c>
      <c r="F493" s="87">
        <v>22.0</v>
      </c>
      <c r="G493" s="87">
        <v>0.0</v>
      </c>
      <c r="H493" s="87">
        <v>10612.0</v>
      </c>
      <c r="I493" s="87">
        <v>0.0</v>
      </c>
      <c r="J493" s="87">
        <v>357.7476</v>
      </c>
      <c r="K493" s="87">
        <v>379.3449</v>
      </c>
      <c r="L493" s="87">
        <v>377.8764</v>
      </c>
      <c r="M493" s="87">
        <v>287.2212</v>
      </c>
      <c r="N493" s="87">
        <v>0.757151</v>
      </c>
      <c r="O493" s="87">
        <v>0.0</v>
      </c>
      <c r="P493" s="87">
        <v>2.503202</v>
      </c>
      <c r="Q493" s="87">
        <v>3.510716</v>
      </c>
      <c r="R493" s="87">
        <v>6.745718</v>
      </c>
      <c r="S493" s="87">
        <v>10.513</v>
      </c>
      <c r="T493" s="87">
        <v>2.503202</v>
      </c>
      <c r="U493" s="87">
        <v>3.510716</v>
      </c>
      <c r="V493" s="87">
        <v>4.601602</v>
      </c>
      <c r="W493" s="87">
        <v>7.803244</v>
      </c>
      <c r="X493" s="87">
        <v>17.74677</v>
      </c>
      <c r="Y493" s="87">
        <v>17.24295</v>
      </c>
      <c r="Z493" s="87">
        <v>0.0</v>
      </c>
      <c r="AA493" s="87">
        <v>10.513</v>
      </c>
      <c r="AB493" s="87">
        <v>7.979558</v>
      </c>
      <c r="AC493" s="87">
        <v>17.24295</v>
      </c>
      <c r="AD493" s="87">
        <v>4.601602</v>
      </c>
      <c r="AE493" s="87">
        <v>6.25</v>
      </c>
      <c r="AF493" s="87">
        <v>12.33352</v>
      </c>
      <c r="AG493" s="87">
        <v>1.906285</v>
      </c>
      <c r="AH493" s="87">
        <v>0.0</v>
      </c>
      <c r="AI493" s="87">
        <v>6.303017</v>
      </c>
      <c r="AJ493" s="87">
        <v>4.150458</v>
      </c>
      <c r="AK493" s="87">
        <v>2.571396</v>
      </c>
      <c r="AL493" s="88" t="s">
        <v>1396</v>
      </c>
    </row>
    <row r="494">
      <c r="A494" s="84" t="s">
        <v>2039</v>
      </c>
      <c r="B494" s="84" t="s">
        <v>2049</v>
      </c>
      <c r="C494" s="84" t="s">
        <v>2033</v>
      </c>
      <c r="D494" s="84" t="s">
        <v>2046</v>
      </c>
      <c r="E494" s="84" t="s">
        <v>1400</v>
      </c>
      <c r="F494" s="87">
        <v>8.0</v>
      </c>
      <c r="G494" s="87">
        <v>0.0</v>
      </c>
      <c r="H494" s="87">
        <v>1492.0</v>
      </c>
      <c r="I494" s="87">
        <v>0.0</v>
      </c>
      <c r="J494" s="87">
        <v>47.2207</v>
      </c>
      <c r="K494" s="87">
        <v>47.84346</v>
      </c>
      <c r="L494" s="87">
        <v>46.544</v>
      </c>
      <c r="M494" s="87">
        <v>37.82887</v>
      </c>
      <c r="N494" s="87">
        <v>0.79068</v>
      </c>
      <c r="O494" s="87">
        <v>0.0</v>
      </c>
      <c r="P494" s="87">
        <v>0.0</v>
      </c>
      <c r="Q494" s="87">
        <v>0.0</v>
      </c>
      <c r="R494" s="87">
        <v>1.094931</v>
      </c>
      <c r="S494" s="87">
        <v>8.919665</v>
      </c>
      <c r="T494" s="87">
        <v>1.094931</v>
      </c>
      <c r="U494" s="87">
        <v>1.094931</v>
      </c>
      <c r="V494" s="87">
        <v>8.919665</v>
      </c>
      <c r="W494" s="87">
        <v>12.63366</v>
      </c>
      <c r="X494" s="87">
        <v>12.63366</v>
      </c>
      <c r="Y494" s="87">
        <v>5.980433</v>
      </c>
      <c r="Z494" s="87">
        <v>0.0</v>
      </c>
      <c r="AA494" s="87">
        <v>10.513</v>
      </c>
      <c r="AB494" s="87">
        <v>7.979558</v>
      </c>
      <c r="AC494" s="87">
        <v>17.24295</v>
      </c>
      <c r="AD494" s="87">
        <v>1.094931</v>
      </c>
      <c r="AE494" s="87">
        <v>5.615816</v>
      </c>
      <c r="AF494" s="87">
        <v>3.408146</v>
      </c>
      <c r="AG494" s="87">
        <v>2.571396</v>
      </c>
      <c r="AH494" s="87">
        <v>0.0</v>
      </c>
      <c r="AI494" s="87">
        <v>6.303017</v>
      </c>
      <c r="AJ494" s="87">
        <v>4.150458</v>
      </c>
      <c r="AK494" s="87">
        <v>2.571396</v>
      </c>
      <c r="AL494" s="88" t="s">
        <v>1396</v>
      </c>
    </row>
    <row r="495">
      <c r="A495" s="84" t="s">
        <v>2041</v>
      </c>
      <c r="B495" s="84" t="s">
        <v>2050</v>
      </c>
      <c r="C495" s="84" t="s">
        <v>2033</v>
      </c>
      <c r="D495" s="84" t="s">
        <v>2046</v>
      </c>
      <c r="E495" s="89">
        <v>46300.0</v>
      </c>
      <c r="F495" s="87">
        <v>10.0</v>
      </c>
      <c r="G495" s="87">
        <v>0.0</v>
      </c>
      <c r="H495" s="87">
        <v>12271.0</v>
      </c>
      <c r="I495" s="87">
        <v>0.0</v>
      </c>
      <c r="J495" s="87">
        <v>227.7814</v>
      </c>
      <c r="K495" s="87">
        <v>228.5526</v>
      </c>
      <c r="L495" s="87">
        <v>226.3833</v>
      </c>
      <c r="M495" s="87">
        <v>163.5453</v>
      </c>
      <c r="N495" s="87">
        <v>0.71557</v>
      </c>
      <c r="O495" s="87">
        <v>0.0</v>
      </c>
      <c r="P495" s="87">
        <v>0.0</v>
      </c>
      <c r="Q495" s="87">
        <v>5.20498</v>
      </c>
      <c r="R495" s="87">
        <v>15.57458</v>
      </c>
      <c r="S495" s="87">
        <v>22.16495</v>
      </c>
      <c r="T495" s="87">
        <v>5.20498</v>
      </c>
      <c r="U495" s="87">
        <v>5.235618</v>
      </c>
      <c r="V495" s="87">
        <v>15.57458</v>
      </c>
      <c r="W495" s="87">
        <v>16.82716</v>
      </c>
      <c r="X495" s="87">
        <v>22.16495</v>
      </c>
      <c r="Y495" s="87">
        <v>22.85526</v>
      </c>
      <c r="Z495" s="87">
        <v>0.0</v>
      </c>
      <c r="AA495" s="87">
        <v>10.513</v>
      </c>
      <c r="AB495" s="87">
        <v>7.979558</v>
      </c>
      <c r="AC495" s="87">
        <v>17.24295</v>
      </c>
      <c r="AD495" s="87">
        <v>5.235618</v>
      </c>
      <c r="AE495" s="87">
        <v>15.57458</v>
      </c>
      <c r="AF495" s="87">
        <v>19.59049</v>
      </c>
      <c r="AG495" s="87">
        <v>22.85526</v>
      </c>
      <c r="AH495" s="87">
        <v>0.0</v>
      </c>
      <c r="AI495" s="87">
        <v>6.303017</v>
      </c>
      <c r="AJ495" s="87">
        <v>4.150458</v>
      </c>
      <c r="AK495" s="87">
        <v>2.571396</v>
      </c>
      <c r="AL495" s="88" t="s">
        <v>1396</v>
      </c>
    </row>
    <row r="496">
      <c r="A496" s="84" t="s">
        <v>2043</v>
      </c>
      <c r="B496" s="84" t="s">
        <v>2051</v>
      </c>
      <c r="C496" s="84" t="s">
        <v>2033</v>
      </c>
      <c r="D496" s="84" t="s">
        <v>2046</v>
      </c>
      <c r="E496" s="84" t="s">
        <v>1403</v>
      </c>
      <c r="F496" s="87">
        <v>82.0</v>
      </c>
      <c r="G496" s="87">
        <v>0.0</v>
      </c>
      <c r="H496" s="87">
        <v>0.0</v>
      </c>
      <c r="I496" s="87">
        <v>0.0</v>
      </c>
      <c r="J496" s="87">
        <v>0.0</v>
      </c>
      <c r="K496" s="87">
        <v>0.0</v>
      </c>
      <c r="L496" s="87">
        <v>0.0</v>
      </c>
      <c r="M496" s="87">
        <v>0.0</v>
      </c>
      <c r="N496" s="87">
        <v>0.0</v>
      </c>
      <c r="O496" s="87">
        <v>0.0</v>
      </c>
      <c r="P496" s="87">
        <v>0.0</v>
      </c>
      <c r="Q496" s="87">
        <v>0.0</v>
      </c>
      <c r="R496" s="87">
        <v>0.0</v>
      </c>
      <c r="S496" s="87">
        <v>0.0</v>
      </c>
      <c r="T496" s="87">
        <v>0.0</v>
      </c>
      <c r="U496" s="87">
        <v>0.0</v>
      </c>
      <c r="V496" s="87">
        <v>0.0</v>
      </c>
      <c r="W496" s="87">
        <v>0.0</v>
      </c>
      <c r="X496" s="87">
        <v>0.0</v>
      </c>
      <c r="Y496" s="87">
        <v>0.0</v>
      </c>
      <c r="Z496" s="87">
        <v>0.0</v>
      </c>
      <c r="AA496" s="87">
        <v>10.513</v>
      </c>
      <c r="AB496" s="87">
        <v>7.979558</v>
      </c>
      <c r="AC496" s="87">
        <v>17.24295</v>
      </c>
      <c r="AD496" s="87">
        <v>0.0</v>
      </c>
      <c r="AE496" s="87">
        <v>0.0</v>
      </c>
      <c r="AF496" s="87">
        <v>0.0</v>
      </c>
      <c r="AG496" s="87">
        <v>0.0</v>
      </c>
      <c r="AH496" s="87">
        <v>0.0</v>
      </c>
      <c r="AI496" s="87">
        <v>6.303017</v>
      </c>
      <c r="AJ496" s="87">
        <v>4.150458</v>
      </c>
      <c r="AK496" s="87">
        <v>2.571396</v>
      </c>
      <c r="AL496" s="88" t="s">
        <v>1396</v>
      </c>
    </row>
    <row r="497">
      <c r="A497" s="84" t="s">
        <v>2031</v>
      </c>
      <c r="B497" s="84" t="s">
        <v>2052</v>
      </c>
      <c r="C497" s="84" t="s">
        <v>2033</v>
      </c>
      <c r="D497" s="84" t="s">
        <v>2053</v>
      </c>
      <c r="E497" s="89">
        <v>46310.0</v>
      </c>
      <c r="F497" s="87">
        <v>1.0</v>
      </c>
      <c r="G497" s="87">
        <v>0.0</v>
      </c>
      <c r="H497" s="87">
        <v>592.0</v>
      </c>
      <c r="I497" s="87">
        <v>0.0</v>
      </c>
      <c r="J497" s="87">
        <v>11.16355</v>
      </c>
      <c r="K497" s="87">
        <v>10.99386</v>
      </c>
      <c r="L497" s="87">
        <v>11.41815</v>
      </c>
      <c r="M497" s="87">
        <v>10.99386</v>
      </c>
      <c r="N497" s="87">
        <v>1.0</v>
      </c>
      <c r="O497" s="87">
        <v>10.99386</v>
      </c>
      <c r="P497" s="87">
        <v>10.99386</v>
      </c>
      <c r="Q497" s="87">
        <v>10.99386</v>
      </c>
      <c r="R497" s="87">
        <v>10.99386</v>
      </c>
      <c r="S497" s="87">
        <v>10.99386</v>
      </c>
      <c r="T497" s="87">
        <v>10.99386</v>
      </c>
      <c r="U497" s="87">
        <v>10.99386</v>
      </c>
      <c r="V497" s="87">
        <v>10.99386</v>
      </c>
      <c r="W497" s="87">
        <v>10.99386</v>
      </c>
      <c r="X497" s="87">
        <v>10.99386</v>
      </c>
      <c r="Y497" s="87">
        <v>10.99386</v>
      </c>
      <c r="Z497" s="87">
        <v>0.0</v>
      </c>
      <c r="AA497" s="87">
        <v>0.866735</v>
      </c>
      <c r="AB497" s="87">
        <v>0.209318</v>
      </c>
      <c r="AC497" s="87">
        <v>0.661295</v>
      </c>
      <c r="AD497" s="87">
        <v>8.622393</v>
      </c>
      <c r="AE497" s="87">
        <v>10.99386</v>
      </c>
      <c r="AF497" s="87">
        <v>23.75393</v>
      </c>
      <c r="AG497" s="87">
        <v>21.81727</v>
      </c>
      <c r="AH497" s="87">
        <v>0.0</v>
      </c>
      <c r="AI497" s="87">
        <v>6.303017</v>
      </c>
      <c r="AJ497" s="87">
        <v>4.150458</v>
      </c>
      <c r="AK497" s="87">
        <v>2.571396</v>
      </c>
      <c r="AL497" s="88" t="s">
        <v>1396</v>
      </c>
    </row>
    <row r="498">
      <c r="A498" s="84" t="s">
        <v>2035</v>
      </c>
      <c r="B498" s="84" t="s">
        <v>2054</v>
      </c>
      <c r="C498" s="84" t="s">
        <v>2033</v>
      </c>
      <c r="D498" s="84" t="s">
        <v>2053</v>
      </c>
      <c r="E498" s="84" t="s">
        <v>1413</v>
      </c>
      <c r="F498" s="87">
        <v>1.0</v>
      </c>
      <c r="G498" s="87">
        <v>0.0</v>
      </c>
      <c r="H498" s="87">
        <v>0.0</v>
      </c>
      <c r="I498" s="87">
        <v>0.0</v>
      </c>
      <c r="J498" s="87">
        <v>0.0</v>
      </c>
      <c r="K498" s="87">
        <v>0.0</v>
      </c>
      <c r="L498" s="87">
        <v>0.0</v>
      </c>
      <c r="M498" s="87">
        <v>0.0</v>
      </c>
      <c r="N498" s="87">
        <v>0.0</v>
      </c>
      <c r="O498" s="87">
        <v>0.0</v>
      </c>
      <c r="P498" s="87">
        <v>0.0</v>
      </c>
      <c r="Q498" s="87">
        <v>0.0</v>
      </c>
      <c r="R498" s="87">
        <v>0.0</v>
      </c>
      <c r="S498" s="87">
        <v>0.0</v>
      </c>
      <c r="T498" s="87">
        <v>0.0</v>
      </c>
      <c r="U498" s="87">
        <v>0.0</v>
      </c>
      <c r="V498" s="87">
        <v>0.0</v>
      </c>
      <c r="W498" s="87">
        <v>0.0</v>
      </c>
      <c r="X498" s="87">
        <v>0.0</v>
      </c>
      <c r="Y498" s="87">
        <v>0.0</v>
      </c>
      <c r="Z498" s="87">
        <v>0.0</v>
      </c>
      <c r="AA498" s="87">
        <v>0.866735</v>
      </c>
      <c r="AB498" s="87">
        <v>0.209318</v>
      </c>
      <c r="AC498" s="87">
        <v>0.661295</v>
      </c>
      <c r="AD498" s="87">
        <v>2.489683</v>
      </c>
      <c r="AE498" s="87">
        <v>3.5</v>
      </c>
      <c r="AF498" s="87">
        <v>6.503556</v>
      </c>
      <c r="AG498" s="87">
        <v>3.176665</v>
      </c>
      <c r="AH498" s="87">
        <v>0.0</v>
      </c>
      <c r="AI498" s="87">
        <v>6.303017</v>
      </c>
      <c r="AJ498" s="87">
        <v>4.150458</v>
      </c>
      <c r="AK498" s="87">
        <v>2.571396</v>
      </c>
      <c r="AL498" s="88" t="s">
        <v>1396</v>
      </c>
    </row>
    <row r="499">
      <c r="A499" s="84" t="s">
        <v>2037</v>
      </c>
      <c r="B499" s="84" t="s">
        <v>2055</v>
      </c>
      <c r="C499" s="84" t="s">
        <v>2033</v>
      </c>
      <c r="D499" s="84" t="s">
        <v>2053</v>
      </c>
      <c r="E499" s="84" t="s">
        <v>1398</v>
      </c>
      <c r="F499" s="87">
        <v>3.0</v>
      </c>
      <c r="G499" s="87">
        <v>0.0</v>
      </c>
      <c r="H499" s="87">
        <v>288.0</v>
      </c>
      <c r="I499" s="87">
        <v>0.0</v>
      </c>
      <c r="J499" s="87">
        <v>2.478114</v>
      </c>
      <c r="K499" s="87">
        <v>1.983885</v>
      </c>
      <c r="L499" s="87">
        <v>2.029832</v>
      </c>
      <c r="M499" s="87">
        <v>0.866735</v>
      </c>
      <c r="N499" s="87">
        <v>0.436888</v>
      </c>
      <c r="O499" s="87">
        <v>0.315152</v>
      </c>
      <c r="P499" s="87">
        <v>0.315152</v>
      </c>
      <c r="Q499" s="87">
        <v>0.315152</v>
      </c>
      <c r="R499" s="87">
        <v>0.801998</v>
      </c>
      <c r="S499" s="87">
        <v>0.866735</v>
      </c>
      <c r="T499" s="87">
        <v>0.315152</v>
      </c>
      <c r="U499" s="87">
        <v>0.315152</v>
      </c>
      <c r="V499" s="87">
        <v>0.315152</v>
      </c>
      <c r="W499" s="87">
        <v>0.801998</v>
      </c>
      <c r="X499" s="87">
        <v>0.866735</v>
      </c>
      <c r="Y499" s="87">
        <v>0.661295</v>
      </c>
      <c r="Z499" s="87">
        <v>0.0</v>
      </c>
      <c r="AA499" s="87">
        <v>0.866735</v>
      </c>
      <c r="AB499" s="87">
        <v>0.209318</v>
      </c>
      <c r="AC499" s="87">
        <v>0.661295</v>
      </c>
      <c r="AD499" s="87">
        <v>4.601602</v>
      </c>
      <c r="AE499" s="87">
        <v>6.25</v>
      </c>
      <c r="AF499" s="87">
        <v>12.33352</v>
      </c>
      <c r="AG499" s="87">
        <v>1.906285</v>
      </c>
      <c r="AH499" s="87">
        <v>0.0</v>
      </c>
      <c r="AI499" s="87">
        <v>6.303017</v>
      </c>
      <c r="AJ499" s="87">
        <v>4.150458</v>
      </c>
      <c r="AK499" s="87">
        <v>2.571396</v>
      </c>
      <c r="AL499" s="88" t="s">
        <v>1396</v>
      </c>
    </row>
    <row r="500">
      <c r="A500" s="84" t="s">
        <v>2043</v>
      </c>
      <c r="B500" s="84" t="s">
        <v>2056</v>
      </c>
      <c r="C500" s="84" t="s">
        <v>2033</v>
      </c>
      <c r="D500" s="84" t="s">
        <v>2053</v>
      </c>
      <c r="E500" s="84" t="s">
        <v>1403</v>
      </c>
      <c r="F500" s="87">
        <v>57.0</v>
      </c>
      <c r="G500" s="87">
        <v>0.0</v>
      </c>
      <c r="H500" s="87">
        <v>0.0</v>
      </c>
      <c r="I500" s="87">
        <v>0.0</v>
      </c>
      <c r="J500" s="87">
        <v>0.0</v>
      </c>
      <c r="K500" s="87">
        <v>0.0</v>
      </c>
      <c r="L500" s="87">
        <v>0.0</v>
      </c>
      <c r="M500" s="87">
        <v>0.0</v>
      </c>
      <c r="N500" s="87">
        <v>0.0</v>
      </c>
      <c r="O500" s="87">
        <v>0.0</v>
      </c>
      <c r="P500" s="87">
        <v>0.0</v>
      </c>
      <c r="Q500" s="87">
        <v>0.0</v>
      </c>
      <c r="R500" s="87">
        <v>0.0</v>
      </c>
      <c r="S500" s="87">
        <v>0.0</v>
      </c>
      <c r="T500" s="87">
        <v>0.0</v>
      </c>
      <c r="U500" s="87">
        <v>0.0</v>
      </c>
      <c r="V500" s="87">
        <v>0.0</v>
      </c>
      <c r="W500" s="87">
        <v>0.0</v>
      </c>
      <c r="X500" s="87">
        <v>0.0</v>
      </c>
      <c r="Y500" s="87">
        <v>0.0</v>
      </c>
      <c r="Z500" s="87">
        <v>0.0</v>
      </c>
      <c r="AA500" s="87">
        <v>0.866735</v>
      </c>
      <c r="AB500" s="87">
        <v>0.209318</v>
      </c>
      <c r="AC500" s="87">
        <v>0.661295</v>
      </c>
      <c r="AD500" s="87">
        <v>0.0</v>
      </c>
      <c r="AE500" s="87">
        <v>0.0</v>
      </c>
      <c r="AF500" s="87">
        <v>0.0</v>
      </c>
      <c r="AG500" s="87">
        <v>0.0</v>
      </c>
      <c r="AH500" s="87">
        <v>0.0</v>
      </c>
      <c r="AI500" s="87">
        <v>6.303017</v>
      </c>
      <c r="AJ500" s="87">
        <v>4.150458</v>
      </c>
      <c r="AK500" s="87">
        <v>2.571396</v>
      </c>
      <c r="AL500" s="88" t="s">
        <v>1396</v>
      </c>
    </row>
    <row r="501">
      <c r="A501" s="84" t="s">
        <v>2031</v>
      </c>
      <c r="B501" s="84" t="s">
        <v>2057</v>
      </c>
      <c r="C501" s="84" t="s">
        <v>2033</v>
      </c>
      <c r="D501" s="84" t="s">
        <v>2058</v>
      </c>
      <c r="E501" s="86">
        <v>46310.0</v>
      </c>
      <c r="F501" s="87">
        <v>3.0</v>
      </c>
      <c r="G501" s="87">
        <v>0.0</v>
      </c>
      <c r="H501" s="87">
        <v>237.0</v>
      </c>
      <c r="I501" s="87">
        <v>0.0</v>
      </c>
      <c r="J501" s="87">
        <v>7.256061</v>
      </c>
      <c r="K501" s="87">
        <v>6.948503</v>
      </c>
      <c r="L501" s="87">
        <v>5.519447</v>
      </c>
      <c r="M501" s="87">
        <v>2.856786</v>
      </c>
      <c r="N501" s="87">
        <v>0.411137</v>
      </c>
      <c r="O501" s="87">
        <v>1.544971</v>
      </c>
      <c r="P501" s="87">
        <v>1.544971</v>
      </c>
      <c r="Q501" s="87">
        <v>1.544971</v>
      </c>
      <c r="R501" s="87">
        <v>2.546746</v>
      </c>
      <c r="S501" s="87">
        <v>2.856786</v>
      </c>
      <c r="T501" s="87">
        <v>1.544971</v>
      </c>
      <c r="U501" s="87">
        <v>1.544971</v>
      </c>
      <c r="V501" s="87">
        <v>1.544971</v>
      </c>
      <c r="W501" s="87">
        <v>2.546746</v>
      </c>
      <c r="X501" s="87">
        <v>2.856786</v>
      </c>
      <c r="Y501" s="87">
        <v>2.316168</v>
      </c>
      <c r="Z501" s="87">
        <v>0.0</v>
      </c>
      <c r="AA501" s="87">
        <v>2.546746</v>
      </c>
      <c r="AB501" s="87">
        <v>0.728114</v>
      </c>
      <c r="AC501" s="87">
        <v>1.848135</v>
      </c>
      <c r="AD501" s="87">
        <v>8.622393</v>
      </c>
      <c r="AE501" s="87">
        <v>10.99386</v>
      </c>
      <c r="AF501" s="87">
        <v>23.75393</v>
      </c>
      <c r="AG501" s="87">
        <v>21.81727</v>
      </c>
      <c r="AH501" s="87">
        <v>0.0</v>
      </c>
      <c r="AI501" s="87">
        <v>6.303017</v>
      </c>
      <c r="AJ501" s="87">
        <v>4.150458</v>
      </c>
      <c r="AK501" s="87">
        <v>2.571396</v>
      </c>
      <c r="AL501" s="88" t="s">
        <v>1396</v>
      </c>
    </row>
    <row r="502">
      <c r="A502" s="84" t="s">
        <v>2035</v>
      </c>
      <c r="B502" s="84" t="s">
        <v>2059</v>
      </c>
      <c r="C502" s="84" t="s">
        <v>2033</v>
      </c>
      <c r="D502" s="84" t="s">
        <v>2058</v>
      </c>
      <c r="E502" s="84" t="s">
        <v>1413</v>
      </c>
      <c r="F502" s="87">
        <v>1.0</v>
      </c>
      <c r="G502" s="87">
        <v>0.0</v>
      </c>
      <c r="H502" s="87">
        <v>145.0</v>
      </c>
      <c r="I502" s="87">
        <v>0.0</v>
      </c>
      <c r="J502" s="87">
        <v>0.434066</v>
      </c>
      <c r="K502" s="87">
        <v>1.341265</v>
      </c>
      <c r="L502" s="87">
        <v>1.008532</v>
      </c>
      <c r="M502" s="87">
        <v>1.341265</v>
      </c>
      <c r="N502" s="87">
        <v>1.0</v>
      </c>
      <c r="O502" s="87">
        <v>1.341265</v>
      </c>
      <c r="P502" s="87">
        <v>1.341265</v>
      </c>
      <c r="Q502" s="87">
        <v>1.341265</v>
      </c>
      <c r="R502" s="87">
        <v>1.341265</v>
      </c>
      <c r="S502" s="87">
        <v>1.341265</v>
      </c>
      <c r="T502" s="87">
        <v>1.341265</v>
      </c>
      <c r="U502" s="87">
        <v>1.341265</v>
      </c>
      <c r="V502" s="87">
        <v>1.341265</v>
      </c>
      <c r="W502" s="87">
        <v>1.341265</v>
      </c>
      <c r="X502" s="87">
        <v>1.341265</v>
      </c>
      <c r="Y502" s="87">
        <v>1.341265</v>
      </c>
      <c r="Z502" s="87">
        <v>0.0</v>
      </c>
      <c r="AA502" s="87">
        <v>2.546746</v>
      </c>
      <c r="AB502" s="87">
        <v>0.728114</v>
      </c>
      <c r="AC502" s="87">
        <v>1.848135</v>
      </c>
      <c r="AD502" s="87">
        <v>2.489683</v>
      </c>
      <c r="AE502" s="87">
        <v>3.5</v>
      </c>
      <c r="AF502" s="87">
        <v>6.503556</v>
      </c>
      <c r="AG502" s="87">
        <v>3.176665</v>
      </c>
      <c r="AH502" s="87">
        <v>0.0</v>
      </c>
      <c r="AI502" s="87">
        <v>6.303017</v>
      </c>
      <c r="AJ502" s="87">
        <v>4.150458</v>
      </c>
      <c r="AK502" s="87">
        <v>2.571396</v>
      </c>
      <c r="AL502" s="88" t="s">
        <v>1396</v>
      </c>
    </row>
    <row r="503">
      <c r="A503" s="84" t="s">
        <v>2039</v>
      </c>
      <c r="B503" s="84" t="s">
        <v>2060</v>
      </c>
      <c r="C503" s="84" t="s">
        <v>2033</v>
      </c>
      <c r="D503" s="84" t="s">
        <v>2058</v>
      </c>
      <c r="E503" s="84" t="s">
        <v>1400</v>
      </c>
      <c r="F503" s="87">
        <v>3.0</v>
      </c>
      <c r="G503" s="87">
        <v>0.0</v>
      </c>
      <c r="H503" s="87">
        <v>222.0</v>
      </c>
      <c r="I503" s="87">
        <v>0.0</v>
      </c>
      <c r="J503" s="87">
        <v>3.992258</v>
      </c>
      <c r="K503" s="87">
        <v>5.544406</v>
      </c>
      <c r="L503" s="87">
        <v>4.915136</v>
      </c>
      <c r="M503" s="87">
        <v>3.512616</v>
      </c>
      <c r="N503" s="87">
        <v>0.633542</v>
      </c>
      <c r="O503" s="87">
        <v>0.0</v>
      </c>
      <c r="P503" s="87">
        <v>0.0</v>
      </c>
      <c r="Q503" s="87">
        <v>0.0</v>
      </c>
      <c r="R503" s="87">
        <v>2.031789</v>
      </c>
      <c r="S503" s="87">
        <v>3.512616</v>
      </c>
      <c r="T503" s="87">
        <v>2.031789</v>
      </c>
      <c r="U503" s="87">
        <v>2.031789</v>
      </c>
      <c r="V503" s="87">
        <v>2.031789</v>
      </c>
      <c r="W503" s="87">
        <v>3.512616</v>
      </c>
      <c r="X503" s="87">
        <v>3.512616</v>
      </c>
      <c r="Y503" s="87">
        <v>1.848135</v>
      </c>
      <c r="Z503" s="87">
        <v>0.0</v>
      </c>
      <c r="AA503" s="87">
        <v>2.546746</v>
      </c>
      <c r="AB503" s="87">
        <v>0.728114</v>
      </c>
      <c r="AC503" s="87">
        <v>1.848135</v>
      </c>
      <c r="AD503" s="87">
        <v>1.094931</v>
      </c>
      <c r="AE503" s="87">
        <v>5.615816</v>
      </c>
      <c r="AF503" s="87">
        <v>3.408146</v>
      </c>
      <c r="AG503" s="87">
        <v>2.571396</v>
      </c>
      <c r="AH503" s="87">
        <v>0.0</v>
      </c>
      <c r="AI503" s="87">
        <v>6.303017</v>
      </c>
      <c r="AJ503" s="87">
        <v>4.150458</v>
      </c>
      <c r="AK503" s="87">
        <v>2.571396</v>
      </c>
      <c r="AL503" s="88" t="s">
        <v>1396</v>
      </c>
    </row>
    <row r="504">
      <c r="A504" s="84" t="s">
        <v>2043</v>
      </c>
      <c r="B504" s="84" t="s">
        <v>2061</v>
      </c>
      <c r="C504" s="84" t="s">
        <v>2033</v>
      </c>
      <c r="D504" s="84" t="s">
        <v>2058</v>
      </c>
      <c r="E504" s="84" t="s">
        <v>1403</v>
      </c>
      <c r="F504" s="87">
        <v>12.0</v>
      </c>
      <c r="G504" s="87">
        <v>0.0</v>
      </c>
      <c r="H504" s="87">
        <v>0.0</v>
      </c>
      <c r="I504" s="87">
        <v>0.0</v>
      </c>
      <c r="J504" s="87">
        <v>0.0</v>
      </c>
      <c r="K504" s="87">
        <v>0.0</v>
      </c>
      <c r="L504" s="87">
        <v>0.0</v>
      </c>
      <c r="M504" s="87">
        <v>0.0</v>
      </c>
      <c r="N504" s="87">
        <v>0.0</v>
      </c>
      <c r="O504" s="87">
        <v>0.0</v>
      </c>
      <c r="P504" s="87">
        <v>0.0</v>
      </c>
      <c r="Q504" s="87">
        <v>0.0</v>
      </c>
      <c r="R504" s="87">
        <v>0.0</v>
      </c>
      <c r="S504" s="87">
        <v>0.0</v>
      </c>
      <c r="T504" s="87">
        <v>0.0</v>
      </c>
      <c r="U504" s="87">
        <v>0.0</v>
      </c>
      <c r="V504" s="87">
        <v>0.0</v>
      </c>
      <c r="W504" s="87">
        <v>0.0</v>
      </c>
      <c r="X504" s="87">
        <v>0.0</v>
      </c>
      <c r="Y504" s="87">
        <v>0.0</v>
      </c>
      <c r="Z504" s="87">
        <v>0.0</v>
      </c>
      <c r="AA504" s="87">
        <v>2.546746</v>
      </c>
      <c r="AB504" s="87">
        <v>0.728114</v>
      </c>
      <c r="AC504" s="87">
        <v>1.848135</v>
      </c>
      <c r="AD504" s="87">
        <v>0.0</v>
      </c>
      <c r="AE504" s="87">
        <v>0.0</v>
      </c>
      <c r="AF504" s="87">
        <v>0.0</v>
      </c>
      <c r="AG504" s="87">
        <v>0.0</v>
      </c>
      <c r="AH504" s="87">
        <v>0.0</v>
      </c>
      <c r="AI504" s="87">
        <v>6.303017</v>
      </c>
      <c r="AJ504" s="87">
        <v>4.150458</v>
      </c>
      <c r="AK504" s="87">
        <v>2.571396</v>
      </c>
      <c r="AL504" s="88" t="s">
        <v>1396</v>
      </c>
    </row>
    <row r="505">
      <c r="A505" s="84" t="s">
        <v>2062</v>
      </c>
      <c r="B505" s="84" t="s">
        <v>2063</v>
      </c>
      <c r="C505" s="84" t="s">
        <v>301</v>
      </c>
      <c r="D505" s="84" t="s">
        <v>2064</v>
      </c>
      <c r="E505" s="89">
        <v>46310.0</v>
      </c>
      <c r="F505" s="87">
        <v>7.0</v>
      </c>
      <c r="G505" s="87">
        <v>0.0</v>
      </c>
      <c r="H505" s="87">
        <v>2696.0</v>
      </c>
      <c r="I505" s="87">
        <v>0.0</v>
      </c>
      <c r="J505" s="87">
        <v>22.20396</v>
      </c>
      <c r="K505" s="87">
        <v>20.6607</v>
      </c>
      <c r="L505" s="87">
        <v>23.89368</v>
      </c>
      <c r="M505" s="87">
        <v>17.03065</v>
      </c>
      <c r="N505" s="87">
        <v>0.824302</v>
      </c>
      <c r="O505" s="87">
        <v>0.22549</v>
      </c>
      <c r="P505" s="87">
        <v>0.42907</v>
      </c>
      <c r="Q505" s="87">
        <v>0.84193</v>
      </c>
      <c r="R505" s="87">
        <v>1.0</v>
      </c>
      <c r="S505" s="87">
        <v>1.133556</v>
      </c>
      <c r="T505" s="87">
        <v>0.22549</v>
      </c>
      <c r="U505" s="87">
        <v>0.42907</v>
      </c>
      <c r="V505" s="87">
        <v>0.84193</v>
      </c>
      <c r="W505" s="87">
        <v>1.0</v>
      </c>
      <c r="X505" s="87">
        <v>1.133556</v>
      </c>
      <c r="Y505" s="87">
        <v>2.951528</v>
      </c>
      <c r="Z505" s="87">
        <v>0.22549</v>
      </c>
      <c r="AA505" s="87">
        <v>3.446502</v>
      </c>
      <c r="AB505" s="87">
        <v>4.023258</v>
      </c>
      <c r="AC505" s="87">
        <v>2.951528</v>
      </c>
      <c r="AD505" s="87">
        <v>4.599938</v>
      </c>
      <c r="AE505" s="87">
        <v>5.193283</v>
      </c>
      <c r="AF505" s="87">
        <v>8.265352</v>
      </c>
      <c r="AG505" s="87">
        <v>5.08004</v>
      </c>
      <c r="AH505" s="87">
        <v>0.05798</v>
      </c>
      <c r="AI505" s="87">
        <v>3.636165</v>
      </c>
      <c r="AJ505" s="87">
        <v>3.450359</v>
      </c>
      <c r="AK505" s="87">
        <v>2.867357</v>
      </c>
      <c r="AL505" s="88" t="s">
        <v>1396</v>
      </c>
    </row>
    <row r="506">
      <c r="A506" s="84" t="s">
        <v>2065</v>
      </c>
      <c r="B506" s="84" t="s">
        <v>2066</v>
      </c>
      <c r="C506" s="84" t="s">
        <v>301</v>
      </c>
      <c r="D506" s="84" t="s">
        <v>2064</v>
      </c>
      <c r="E506" s="84" t="s">
        <v>1413</v>
      </c>
      <c r="F506" s="87">
        <v>4.0</v>
      </c>
      <c r="G506" s="87">
        <v>0.0</v>
      </c>
      <c r="H506" s="87">
        <v>1913.0</v>
      </c>
      <c r="I506" s="87">
        <v>0.0</v>
      </c>
      <c r="J506" s="87">
        <v>15.57789</v>
      </c>
      <c r="K506" s="87">
        <v>16.33897</v>
      </c>
      <c r="L506" s="87">
        <v>15.49331</v>
      </c>
      <c r="M506" s="87">
        <v>7.527078</v>
      </c>
      <c r="N506" s="87">
        <v>0.460683</v>
      </c>
      <c r="O506" s="87">
        <v>0.21978</v>
      </c>
      <c r="P506" s="87">
        <v>0.21978</v>
      </c>
      <c r="Q506" s="87">
        <v>3.446502</v>
      </c>
      <c r="R506" s="87">
        <v>5.14561</v>
      </c>
      <c r="S506" s="87">
        <v>5.14561</v>
      </c>
      <c r="T506" s="87">
        <v>0.21978</v>
      </c>
      <c r="U506" s="87">
        <v>0.21978</v>
      </c>
      <c r="V506" s="87">
        <v>3.446502</v>
      </c>
      <c r="W506" s="87">
        <v>5.14561</v>
      </c>
      <c r="X506" s="87">
        <v>5.14561</v>
      </c>
      <c r="Y506" s="87">
        <v>4.084743</v>
      </c>
      <c r="Z506" s="87">
        <v>0.22549</v>
      </c>
      <c r="AA506" s="87">
        <v>3.446502</v>
      </c>
      <c r="AB506" s="87">
        <v>4.023258</v>
      </c>
      <c r="AC506" s="87">
        <v>2.951528</v>
      </c>
      <c r="AD506" s="87">
        <v>2.050821</v>
      </c>
      <c r="AE506" s="87">
        <v>2.050821</v>
      </c>
      <c r="AF506" s="87">
        <v>3.770238</v>
      </c>
      <c r="AG506" s="87">
        <v>4.084743</v>
      </c>
      <c r="AH506" s="87">
        <v>0.05798</v>
      </c>
      <c r="AI506" s="87">
        <v>3.636165</v>
      </c>
      <c r="AJ506" s="87">
        <v>3.450359</v>
      </c>
      <c r="AK506" s="87">
        <v>2.867357</v>
      </c>
      <c r="AL506" s="88" t="s">
        <v>1396</v>
      </c>
    </row>
    <row r="507">
      <c r="A507" s="84" t="s">
        <v>2067</v>
      </c>
      <c r="B507" s="84" t="s">
        <v>2068</v>
      </c>
      <c r="C507" s="84" t="s">
        <v>301</v>
      </c>
      <c r="D507" s="84" t="s">
        <v>2064</v>
      </c>
      <c r="E507" s="84" t="s">
        <v>1398</v>
      </c>
      <c r="F507" s="87">
        <v>1.0</v>
      </c>
      <c r="G507" s="87">
        <v>0.0</v>
      </c>
      <c r="H507" s="87">
        <v>0.0</v>
      </c>
      <c r="I507" s="87">
        <v>0.0</v>
      </c>
      <c r="J507" s="87">
        <v>0.0</v>
      </c>
      <c r="K507" s="87">
        <v>0.0</v>
      </c>
      <c r="L507" s="87">
        <v>0.083333</v>
      </c>
      <c r="M507" s="87">
        <v>0.0</v>
      </c>
      <c r="N507" s="87">
        <v>0.0</v>
      </c>
      <c r="O507" s="87">
        <v>0.0</v>
      </c>
      <c r="P507" s="87">
        <v>0.0</v>
      </c>
      <c r="Q507" s="87">
        <v>0.0</v>
      </c>
      <c r="R507" s="87">
        <v>0.0</v>
      </c>
      <c r="S507" s="87">
        <v>0.0</v>
      </c>
      <c r="T507" s="87">
        <v>0.0</v>
      </c>
      <c r="U507" s="87">
        <v>0.0</v>
      </c>
      <c r="V507" s="87">
        <v>0.0</v>
      </c>
      <c r="W507" s="87">
        <v>0.0</v>
      </c>
      <c r="X507" s="87">
        <v>0.0</v>
      </c>
      <c r="Y507" s="87">
        <v>0.0</v>
      </c>
      <c r="Z507" s="87">
        <v>0.22549</v>
      </c>
      <c r="AA507" s="87">
        <v>3.446502</v>
      </c>
      <c r="AB507" s="87">
        <v>4.023258</v>
      </c>
      <c r="AC507" s="87">
        <v>2.951528</v>
      </c>
      <c r="AD507" s="87">
        <v>1.166786</v>
      </c>
      <c r="AE507" s="87">
        <v>1.78984</v>
      </c>
      <c r="AF507" s="87">
        <v>3.38514</v>
      </c>
      <c r="AG507" s="87">
        <v>1.62192</v>
      </c>
      <c r="AH507" s="87">
        <v>0.05798</v>
      </c>
      <c r="AI507" s="87">
        <v>3.636165</v>
      </c>
      <c r="AJ507" s="87">
        <v>3.450359</v>
      </c>
      <c r="AK507" s="87">
        <v>2.867357</v>
      </c>
      <c r="AL507" s="88" t="s">
        <v>1396</v>
      </c>
    </row>
    <row r="508">
      <c r="A508" s="84" t="s">
        <v>2069</v>
      </c>
      <c r="B508" s="84" t="s">
        <v>2070</v>
      </c>
      <c r="C508" s="84" t="s">
        <v>301</v>
      </c>
      <c r="D508" s="84" t="s">
        <v>2064</v>
      </c>
      <c r="E508" s="84" t="s">
        <v>1400</v>
      </c>
      <c r="F508" s="87">
        <v>5.0</v>
      </c>
      <c r="G508" s="87">
        <v>0.0</v>
      </c>
      <c r="H508" s="87">
        <v>1111.0</v>
      </c>
      <c r="I508" s="87">
        <v>0.0</v>
      </c>
      <c r="J508" s="87">
        <v>4.124786</v>
      </c>
      <c r="K508" s="87">
        <v>3.970758</v>
      </c>
      <c r="L508" s="87">
        <v>4.153277</v>
      </c>
      <c r="M508" s="87">
        <v>1.932161</v>
      </c>
      <c r="N508" s="87">
        <v>0.486598</v>
      </c>
      <c r="O508" s="87">
        <v>0.033333</v>
      </c>
      <c r="P508" s="87">
        <v>0.116667</v>
      </c>
      <c r="Q508" s="87">
        <v>0.116667</v>
      </c>
      <c r="R508" s="87">
        <v>0.929032</v>
      </c>
      <c r="S508" s="87">
        <v>0.959565</v>
      </c>
      <c r="T508" s="87">
        <v>0.033333</v>
      </c>
      <c r="U508" s="87">
        <v>0.116667</v>
      </c>
      <c r="V508" s="87">
        <v>0.116667</v>
      </c>
      <c r="W508" s="87">
        <v>0.929032</v>
      </c>
      <c r="X508" s="87">
        <v>0.959565</v>
      </c>
      <c r="Y508" s="87">
        <v>0.794152</v>
      </c>
      <c r="Z508" s="87">
        <v>0.22549</v>
      </c>
      <c r="AA508" s="87">
        <v>3.446502</v>
      </c>
      <c r="AB508" s="87">
        <v>4.023258</v>
      </c>
      <c r="AC508" s="87">
        <v>2.951528</v>
      </c>
      <c r="AD508" s="87">
        <v>0.37404</v>
      </c>
      <c r="AE508" s="87">
        <v>0.396774</v>
      </c>
      <c r="AF508" s="87">
        <v>1.174227</v>
      </c>
      <c r="AG508" s="87">
        <v>0.794152</v>
      </c>
      <c r="AH508" s="87">
        <v>0.05798</v>
      </c>
      <c r="AI508" s="87">
        <v>3.636165</v>
      </c>
      <c r="AJ508" s="87">
        <v>3.450359</v>
      </c>
      <c r="AK508" s="87">
        <v>2.867357</v>
      </c>
      <c r="AL508" s="88" t="s">
        <v>1396</v>
      </c>
    </row>
    <row r="509">
      <c r="A509" s="84" t="s">
        <v>2071</v>
      </c>
      <c r="B509" s="84" t="s">
        <v>2072</v>
      </c>
      <c r="C509" s="84" t="s">
        <v>301</v>
      </c>
      <c r="D509" s="84" t="s">
        <v>2064</v>
      </c>
      <c r="E509" s="89">
        <v>46300.0</v>
      </c>
      <c r="F509" s="87">
        <v>9.0</v>
      </c>
      <c r="G509" s="87">
        <v>0.0</v>
      </c>
      <c r="H509" s="87">
        <v>9810.0</v>
      </c>
      <c r="I509" s="87">
        <v>0.0</v>
      </c>
      <c r="J509" s="87">
        <v>119.4504</v>
      </c>
      <c r="K509" s="87">
        <v>119.9599</v>
      </c>
      <c r="L509" s="87">
        <v>122.771</v>
      </c>
      <c r="M509" s="87">
        <v>75.161</v>
      </c>
      <c r="N509" s="87">
        <v>0.626551</v>
      </c>
      <c r="O509" s="87">
        <v>0.0</v>
      </c>
      <c r="P509" s="87">
        <v>0.0</v>
      </c>
      <c r="Q509" s="87">
        <v>4.393816</v>
      </c>
      <c r="R509" s="87">
        <v>7.477121</v>
      </c>
      <c r="S509" s="87">
        <v>18.14454</v>
      </c>
      <c r="T509" s="87">
        <v>4.393816</v>
      </c>
      <c r="U509" s="87">
        <v>6.760997</v>
      </c>
      <c r="V509" s="87">
        <v>7.477121</v>
      </c>
      <c r="W509" s="87">
        <v>8.022422</v>
      </c>
      <c r="X509" s="87">
        <v>18.14454</v>
      </c>
      <c r="Y509" s="87">
        <v>13.32888</v>
      </c>
      <c r="Z509" s="87">
        <v>0.22549</v>
      </c>
      <c r="AA509" s="87">
        <v>3.446502</v>
      </c>
      <c r="AB509" s="87">
        <v>4.023258</v>
      </c>
      <c r="AC509" s="87">
        <v>2.951528</v>
      </c>
      <c r="AD509" s="87">
        <v>4.920936</v>
      </c>
      <c r="AE509" s="87">
        <v>7.905824</v>
      </c>
      <c r="AF509" s="87">
        <v>8.454032</v>
      </c>
      <c r="AG509" s="87">
        <v>11.9242</v>
      </c>
      <c r="AH509" s="87">
        <v>0.05798</v>
      </c>
      <c r="AI509" s="87">
        <v>3.636165</v>
      </c>
      <c r="AJ509" s="87">
        <v>3.450359</v>
      </c>
      <c r="AK509" s="87">
        <v>2.867357</v>
      </c>
      <c r="AL509" s="88" t="s">
        <v>1396</v>
      </c>
    </row>
    <row r="510">
      <c r="A510" s="84" t="s">
        <v>2073</v>
      </c>
      <c r="B510" s="84" t="s">
        <v>2074</v>
      </c>
      <c r="C510" s="84" t="s">
        <v>301</v>
      </c>
      <c r="D510" s="84" t="s">
        <v>2064</v>
      </c>
      <c r="E510" s="84" t="s">
        <v>1403</v>
      </c>
      <c r="F510" s="87">
        <v>14.0</v>
      </c>
      <c r="G510" s="87">
        <v>0.0</v>
      </c>
      <c r="H510" s="87">
        <v>0.0</v>
      </c>
      <c r="I510" s="87">
        <v>0.0</v>
      </c>
      <c r="J510" s="87">
        <v>0.0</v>
      </c>
      <c r="K510" s="87">
        <v>0.0</v>
      </c>
      <c r="L510" s="87">
        <v>0.0</v>
      </c>
      <c r="M510" s="87">
        <v>0.0</v>
      </c>
      <c r="N510" s="87">
        <v>0.0</v>
      </c>
      <c r="O510" s="87">
        <v>0.0</v>
      </c>
      <c r="P510" s="87">
        <v>0.0</v>
      </c>
      <c r="Q510" s="87">
        <v>0.0</v>
      </c>
      <c r="R510" s="87">
        <v>0.0</v>
      </c>
      <c r="S510" s="87">
        <v>0.0</v>
      </c>
      <c r="T510" s="87">
        <v>0.0</v>
      </c>
      <c r="U510" s="87">
        <v>0.0</v>
      </c>
      <c r="V510" s="87">
        <v>0.0</v>
      </c>
      <c r="W510" s="87">
        <v>0.0</v>
      </c>
      <c r="X510" s="87">
        <v>0.0</v>
      </c>
      <c r="Y510" s="87">
        <v>0.0</v>
      </c>
      <c r="Z510" s="87">
        <v>0.22549</v>
      </c>
      <c r="AA510" s="87">
        <v>3.446502</v>
      </c>
      <c r="AB510" s="87">
        <v>4.023258</v>
      </c>
      <c r="AC510" s="87">
        <v>2.951528</v>
      </c>
      <c r="AD510" s="87">
        <v>0.0</v>
      </c>
      <c r="AE510" s="87">
        <v>0.0</v>
      </c>
      <c r="AF510" s="87">
        <v>0.0</v>
      </c>
      <c r="AG510" s="87">
        <v>0.0</v>
      </c>
      <c r="AH510" s="87">
        <v>0.05798</v>
      </c>
      <c r="AI510" s="87">
        <v>3.636165</v>
      </c>
      <c r="AJ510" s="87">
        <v>3.450359</v>
      </c>
      <c r="AK510" s="87">
        <v>2.867357</v>
      </c>
      <c r="AL510" s="88" t="s">
        <v>1396</v>
      </c>
    </row>
    <row r="511">
      <c r="A511" s="84" t="s">
        <v>2075</v>
      </c>
      <c r="B511" s="84" t="s">
        <v>2076</v>
      </c>
      <c r="C511" s="84" t="s">
        <v>301</v>
      </c>
      <c r="D511" s="84" t="s">
        <v>2077</v>
      </c>
      <c r="E511" s="84" t="s">
        <v>1426</v>
      </c>
      <c r="F511" s="87">
        <v>3.0</v>
      </c>
      <c r="G511" s="87">
        <v>0.0</v>
      </c>
      <c r="H511" s="87">
        <v>472.0</v>
      </c>
      <c r="I511" s="87">
        <v>0.0</v>
      </c>
      <c r="J511" s="87">
        <v>10.05572</v>
      </c>
      <c r="K511" s="87">
        <v>9.862016</v>
      </c>
      <c r="L511" s="87">
        <v>8.053495</v>
      </c>
      <c r="M511" s="87">
        <v>4.948931</v>
      </c>
      <c r="N511" s="87">
        <v>0.501817</v>
      </c>
      <c r="O511" s="87">
        <v>0.0</v>
      </c>
      <c r="P511" s="87">
        <v>0.0</v>
      </c>
      <c r="Q511" s="87">
        <v>0.0</v>
      </c>
      <c r="R511" s="87">
        <v>4.913085</v>
      </c>
      <c r="S511" s="87">
        <v>4.948931</v>
      </c>
      <c r="T511" s="87">
        <v>4.913085</v>
      </c>
      <c r="U511" s="87">
        <v>4.913085</v>
      </c>
      <c r="V511" s="87">
        <v>4.913085</v>
      </c>
      <c r="W511" s="87">
        <v>4.948931</v>
      </c>
      <c r="X511" s="87">
        <v>4.948931</v>
      </c>
      <c r="Y511" s="87">
        <v>3.287339</v>
      </c>
      <c r="Z511" s="87">
        <v>0.9165</v>
      </c>
      <c r="AA511" s="87">
        <v>3.759121</v>
      </c>
      <c r="AB511" s="87">
        <v>2.750597</v>
      </c>
      <c r="AC511" s="87">
        <v>2.263846</v>
      </c>
      <c r="AD511" s="87">
        <v>4.948931</v>
      </c>
      <c r="AE511" s="87">
        <v>7.60461</v>
      </c>
      <c r="AF511" s="87">
        <v>5.42146</v>
      </c>
      <c r="AG511" s="87">
        <v>3.287339</v>
      </c>
      <c r="AH511" s="87">
        <v>0.05798</v>
      </c>
      <c r="AI511" s="87">
        <v>3.636165</v>
      </c>
      <c r="AJ511" s="87">
        <v>3.450359</v>
      </c>
      <c r="AK511" s="87">
        <v>2.867357</v>
      </c>
      <c r="AL511" s="88" t="s">
        <v>1396</v>
      </c>
    </row>
    <row r="512">
      <c r="A512" s="84" t="s">
        <v>2062</v>
      </c>
      <c r="B512" s="84" t="s">
        <v>2078</v>
      </c>
      <c r="C512" s="84" t="s">
        <v>301</v>
      </c>
      <c r="D512" s="84" t="s">
        <v>2077</v>
      </c>
      <c r="E512" s="89">
        <v>46310.0</v>
      </c>
      <c r="F512" s="87">
        <v>12.0</v>
      </c>
      <c r="G512" s="87">
        <v>0.0</v>
      </c>
      <c r="H512" s="87">
        <v>5752.0</v>
      </c>
      <c r="I512" s="87">
        <v>0.0</v>
      </c>
      <c r="J512" s="87">
        <v>55.91756</v>
      </c>
      <c r="K512" s="87">
        <v>60.96048</v>
      </c>
      <c r="L512" s="87">
        <v>61.93845</v>
      </c>
      <c r="M512" s="87">
        <v>29.0172</v>
      </c>
      <c r="N512" s="87">
        <v>0.476</v>
      </c>
      <c r="O512" s="87">
        <v>2.249104</v>
      </c>
      <c r="P512" s="87">
        <v>2.644825</v>
      </c>
      <c r="Q512" s="87">
        <v>2.823116</v>
      </c>
      <c r="R512" s="87">
        <v>4.189257</v>
      </c>
      <c r="S512" s="87">
        <v>7.399302</v>
      </c>
      <c r="T512" s="87">
        <v>2.644825</v>
      </c>
      <c r="U512" s="87">
        <v>2.823116</v>
      </c>
      <c r="V512" s="87">
        <v>3.759121</v>
      </c>
      <c r="W512" s="87">
        <v>4.189257</v>
      </c>
      <c r="X512" s="87">
        <v>7.399302</v>
      </c>
      <c r="Y512" s="87">
        <v>5.08004</v>
      </c>
      <c r="Z512" s="87">
        <v>0.9165</v>
      </c>
      <c r="AA512" s="87">
        <v>3.759121</v>
      </c>
      <c r="AB512" s="87">
        <v>2.750597</v>
      </c>
      <c r="AC512" s="87">
        <v>2.263846</v>
      </c>
      <c r="AD512" s="87">
        <v>4.599938</v>
      </c>
      <c r="AE512" s="87">
        <v>5.193283</v>
      </c>
      <c r="AF512" s="87">
        <v>8.265352</v>
      </c>
      <c r="AG512" s="87">
        <v>5.08004</v>
      </c>
      <c r="AH512" s="87">
        <v>0.05798</v>
      </c>
      <c r="AI512" s="87">
        <v>3.636165</v>
      </c>
      <c r="AJ512" s="87">
        <v>3.450359</v>
      </c>
      <c r="AK512" s="87">
        <v>2.867357</v>
      </c>
      <c r="AL512" s="88" t="s">
        <v>1396</v>
      </c>
    </row>
    <row r="513">
      <c r="A513" s="84" t="s">
        <v>2065</v>
      </c>
      <c r="B513" s="84" t="s">
        <v>2079</v>
      </c>
      <c r="C513" s="84" t="s">
        <v>301</v>
      </c>
      <c r="D513" s="84" t="s">
        <v>2077</v>
      </c>
      <c r="E513" s="84" t="s">
        <v>1413</v>
      </c>
      <c r="F513" s="87">
        <v>3.0</v>
      </c>
      <c r="G513" s="87">
        <v>0.0</v>
      </c>
      <c r="H513" s="87">
        <v>1217.0</v>
      </c>
      <c r="I513" s="87">
        <v>0.0</v>
      </c>
      <c r="J513" s="87">
        <v>6.686605</v>
      </c>
      <c r="K513" s="87">
        <v>6.791538</v>
      </c>
      <c r="L513" s="87">
        <v>6.204879</v>
      </c>
      <c r="M513" s="87">
        <v>4.036378</v>
      </c>
      <c r="N513" s="87">
        <v>0.594325</v>
      </c>
      <c r="O513" s="87">
        <v>1.226128</v>
      </c>
      <c r="P513" s="87">
        <v>1.226128</v>
      </c>
      <c r="Q513" s="87">
        <v>1.226128</v>
      </c>
      <c r="R513" s="87">
        <v>1.529032</v>
      </c>
      <c r="S513" s="87">
        <v>4.036378</v>
      </c>
      <c r="T513" s="87">
        <v>1.226128</v>
      </c>
      <c r="U513" s="87">
        <v>1.226128</v>
      </c>
      <c r="V513" s="87">
        <v>1.226128</v>
      </c>
      <c r="W513" s="87">
        <v>1.529032</v>
      </c>
      <c r="X513" s="87">
        <v>4.036378</v>
      </c>
      <c r="Y513" s="87">
        <v>2.263846</v>
      </c>
      <c r="Z513" s="87">
        <v>0.9165</v>
      </c>
      <c r="AA513" s="87">
        <v>3.759121</v>
      </c>
      <c r="AB513" s="87">
        <v>2.750597</v>
      </c>
      <c r="AC513" s="87">
        <v>2.263846</v>
      </c>
      <c r="AD513" s="87">
        <v>2.050821</v>
      </c>
      <c r="AE513" s="87">
        <v>2.050821</v>
      </c>
      <c r="AF513" s="87">
        <v>3.770238</v>
      </c>
      <c r="AG513" s="87">
        <v>4.084743</v>
      </c>
      <c r="AH513" s="87">
        <v>0.05798</v>
      </c>
      <c r="AI513" s="87">
        <v>3.636165</v>
      </c>
      <c r="AJ513" s="87">
        <v>3.450359</v>
      </c>
      <c r="AK513" s="87">
        <v>2.867357</v>
      </c>
      <c r="AL513" s="88" t="s">
        <v>1396</v>
      </c>
    </row>
    <row r="514">
      <c r="A514" s="84" t="s">
        <v>2067</v>
      </c>
      <c r="B514" s="84" t="s">
        <v>2080</v>
      </c>
      <c r="C514" s="84" t="s">
        <v>301</v>
      </c>
      <c r="D514" s="84" t="s">
        <v>2077</v>
      </c>
      <c r="E514" s="84" t="s">
        <v>1398</v>
      </c>
      <c r="F514" s="87">
        <v>5.0</v>
      </c>
      <c r="G514" s="87">
        <v>0.0</v>
      </c>
      <c r="H514" s="87">
        <v>1029.0</v>
      </c>
      <c r="I514" s="87">
        <v>0.0</v>
      </c>
      <c r="J514" s="87">
        <v>9.677611</v>
      </c>
      <c r="K514" s="87">
        <v>8.109598</v>
      </c>
      <c r="L514" s="87">
        <v>7.606012</v>
      </c>
      <c r="M514" s="87">
        <v>3.613193</v>
      </c>
      <c r="N514" s="87">
        <v>0.445545</v>
      </c>
      <c r="O514" s="87">
        <v>0.0</v>
      </c>
      <c r="P514" s="87">
        <v>1.166786</v>
      </c>
      <c r="Q514" s="87">
        <v>1.166786</v>
      </c>
      <c r="R514" s="87">
        <v>1.53978</v>
      </c>
      <c r="S514" s="87">
        <v>1.78984</v>
      </c>
      <c r="T514" s="87">
        <v>1.166786</v>
      </c>
      <c r="U514" s="87">
        <v>1.166786</v>
      </c>
      <c r="V514" s="87">
        <v>1.53978</v>
      </c>
      <c r="W514" s="87">
        <v>1.78984</v>
      </c>
      <c r="X514" s="87">
        <v>1.78984</v>
      </c>
      <c r="Y514" s="87">
        <v>1.62192</v>
      </c>
      <c r="Z514" s="87">
        <v>0.9165</v>
      </c>
      <c r="AA514" s="87">
        <v>3.759121</v>
      </c>
      <c r="AB514" s="87">
        <v>2.750597</v>
      </c>
      <c r="AC514" s="87">
        <v>2.263846</v>
      </c>
      <c r="AD514" s="87">
        <v>1.166786</v>
      </c>
      <c r="AE514" s="87">
        <v>1.78984</v>
      </c>
      <c r="AF514" s="87">
        <v>3.38514</v>
      </c>
      <c r="AG514" s="87">
        <v>1.62192</v>
      </c>
      <c r="AH514" s="87">
        <v>0.05798</v>
      </c>
      <c r="AI514" s="87">
        <v>3.636165</v>
      </c>
      <c r="AJ514" s="87">
        <v>3.450359</v>
      </c>
      <c r="AK514" s="87">
        <v>2.867357</v>
      </c>
      <c r="AL514" s="88" t="s">
        <v>1396</v>
      </c>
    </row>
    <row r="515">
      <c r="A515" s="84" t="s">
        <v>2069</v>
      </c>
      <c r="B515" s="84" t="s">
        <v>2081</v>
      </c>
      <c r="C515" s="84" t="s">
        <v>301</v>
      </c>
      <c r="D515" s="84" t="s">
        <v>2077</v>
      </c>
      <c r="E515" s="84" t="s">
        <v>1400</v>
      </c>
      <c r="F515" s="87">
        <v>4.0</v>
      </c>
      <c r="G515" s="87">
        <v>0.0</v>
      </c>
      <c r="H515" s="87">
        <v>584.0</v>
      </c>
      <c r="I515" s="87">
        <v>0.0</v>
      </c>
      <c r="J515" s="87">
        <v>1.5</v>
      </c>
      <c r="K515" s="87">
        <v>1.661685</v>
      </c>
      <c r="L515" s="87">
        <v>1.442271</v>
      </c>
      <c r="M515" s="87">
        <v>0.9165</v>
      </c>
      <c r="N515" s="87">
        <v>0.551549</v>
      </c>
      <c r="O515" s="87">
        <v>0.166667</v>
      </c>
      <c r="P515" s="87">
        <v>0.166667</v>
      </c>
      <c r="Q515" s="87">
        <v>0.279593</v>
      </c>
      <c r="R515" s="87">
        <v>0.298925</v>
      </c>
      <c r="S515" s="87">
        <v>0.298925</v>
      </c>
      <c r="T515" s="87">
        <v>0.166667</v>
      </c>
      <c r="U515" s="87">
        <v>0.166667</v>
      </c>
      <c r="V515" s="87">
        <v>0.279593</v>
      </c>
      <c r="W515" s="87">
        <v>0.298925</v>
      </c>
      <c r="X515" s="87">
        <v>0.298925</v>
      </c>
      <c r="Y515" s="87">
        <v>0.415421</v>
      </c>
      <c r="Z515" s="87">
        <v>0.9165</v>
      </c>
      <c r="AA515" s="87">
        <v>3.759121</v>
      </c>
      <c r="AB515" s="87">
        <v>2.750597</v>
      </c>
      <c r="AC515" s="87">
        <v>2.263846</v>
      </c>
      <c r="AD515" s="87">
        <v>0.37404</v>
      </c>
      <c r="AE515" s="87">
        <v>0.396774</v>
      </c>
      <c r="AF515" s="87">
        <v>1.174227</v>
      </c>
      <c r="AG515" s="87">
        <v>0.794152</v>
      </c>
      <c r="AH515" s="87">
        <v>0.05798</v>
      </c>
      <c r="AI515" s="87">
        <v>3.636165</v>
      </c>
      <c r="AJ515" s="87">
        <v>3.450359</v>
      </c>
      <c r="AK515" s="87">
        <v>2.867357</v>
      </c>
      <c r="AL515" s="88" t="s">
        <v>1396</v>
      </c>
    </row>
    <row r="516">
      <c r="A516" s="84" t="s">
        <v>2071</v>
      </c>
      <c r="B516" s="84" t="s">
        <v>2082</v>
      </c>
      <c r="C516" s="84" t="s">
        <v>301</v>
      </c>
      <c r="D516" s="84" t="s">
        <v>2077</v>
      </c>
      <c r="E516" s="89">
        <v>46300.0</v>
      </c>
      <c r="F516" s="87">
        <v>13.0</v>
      </c>
      <c r="G516" s="87">
        <v>0.0</v>
      </c>
      <c r="H516" s="87">
        <v>6300.0</v>
      </c>
      <c r="I516" s="87">
        <v>0.0</v>
      </c>
      <c r="J516" s="87">
        <v>78.18728</v>
      </c>
      <c r="K516" s="87">
        <v>77.6505</v>
      </c>
      <c r="L516" s="87">
        <v>80.65199</v>
      </c>
      <c r="M516" s="87">
        <v>53.08383</v>
      </c>
      <c r="N516" s="87">
        <v>0.683625</v>
      </c>
      <c r="O516" s="87">
        <v>0.0</v>
      </c>
      <c r="P516" s="87">
        <v>0.0</v>
      </c>
      <c r="Q516" s="87">
        <v>0.166667</v>
      </c>
      <c r="R516" s="87">
        <v>3.59757</v>
      </c>
      <c r="S516" s="87">
        <v>6.192476</v>
      </c>
      <c r="T516" s="87">
        <v>1.0</v>
      </c>
      <c r="U516" s="87">
        <v>2.515452</v>
      </c>
      <c r="V516" s="87">
        <v>3.59757</v>
      </c>
      <c r="W516" s="87">
        <v>5.606509</v>
      </c>
      <c r="X516" s="87">
        <v>7.905824</v>
      </c>
      <c r="Y516" s="87">
        <v>5.973116</v>
      </c>
      <c r="Z516" s="87">
        <v>0.9165</v>
      </c>
      <c r="AA516" s="87">
        <v>3.759121</v>
      </c>
      <c r="AB516" s="87">
        <v>2.750597</v>
      </c>
      <c r="AC516" s="87">
        <v>2.263846</v>
      </c>
      <c r="AD516" s="87">
        <v>4.920936</v>
      </c>
      <c r="AE516" s="87">
        <v>7.905824</v>
      </c>
      <c r="AF516" s="87">
        <v>8.454032</v>
      </c>
      <c r="AG516" s="87">
        <v>11.9242</v>
      </c>
      <c r="AH516" s="87">
        <v>0.05798</v>
      </c>
      <c r="AI516" s="87">
        <v>3.636165</v>
      </c>
      <c r="AJ516" s="87">
        <v>3.450359</v>
      </c>
      <c r="AK516" s="87">
        <v>2.867357</v>
      </c>
      <c r="AL516" s="88" t="s">
        <v>1396</v>
      </c>
    </row>
    <row r="517">
      <c r="A517" s="84" t="s">
        <v>2073</v>
      </c>
      <c r="B517" s="84" t="s">
        <v>2083</v>
      </c>
      <c r="C517" s="84" t="s">
        <v>301</v>
      </c>
      <c r="D517" s="84" t="s">
        <v>2077</v>
      </c>
      <c r="E517" s="84" t="s">
        <v>1403</v>
      </c>
      <c r="F517" s="87">
        <v>20.0</v>
      </c>
      <c r="G517" s="87">
        <v>1.0</v>
      </c>
      <c r="H517" s="87">
        <v>98.0</v>
      </c>
      <c r="I517" s="87">
        <v>98.0</v>
      </c>
      <c r="J517" s="87">
        <v>0.0</v>
      </c>
      <c r="K517" s="87">
        <v>0.0</v>
      </c>
      <c r="L517" s="87">
        <v>0.0</v>
      </c>
      <c r="M517" s="87">
        <v>0.0</v>
      </c>
      <c r="N517" s="87">
        <v>0.0</v>
      </c>
      <c r="O517" s="87">
        <v>0.0</v>
      </c>
      <c r="P517" s="87">
        <v>0.0</v>
      </c>
      <c r="Q517" s="87">
        <v>0.0</v>
      </c>
      <c r="R517" s="87">
        <v>0.0</v>
      </c>
      <c r="S517" s="87">
        <v>0.0</v>
      </c>
      <c r="T517" s="87">
        <v>0.0</v>
      </c>
      <c r="U517" s="87">
        <v>0.0</v>
      </c>
      <c r="V517" s="87">
        <v>0.0</v>
      </c>
      <c r="W517" s="87">
        <v>0.0</v>
      </c>
      <c r="X517" s="87">
        <v>0.0</v>
      </c>
      <c r="Y517" s="87">
        <v>0.0</v>
      </c>
      <c r="Z517" s="87">
        <v>0.9165</v>
      </c>
      <c r="AA517" s="87">
        <v>3.759121</v>
      </c>
      <c r="AB517" s="87">
        <v>2.750597</v>
      </c>
      <c r="AC517" s="87">
        <v>2.263846</v>
      </c>
      <c r="AD517" s="87">
        <v>0.0</v>
      </c>
      <c r="AE517" s="87">
        <v>0.0</v>
      </c>
      <c r="AF517" s="87">
        <v>0.0</v>
      </c>
      <c r="AG517" s="87">
        <v>0.0</v>
      </c>
      <c r="AH517" s="87">
        <v>0.05798</v>
      </c>
      <c r="AI517" s="87">
        <v>3.636165</v>
      </c>
      <c r="AJ517" s="87">
        <v>3.450359</v>
      </c>
      <c r="AK517" s="87">
        <v>2.867357</v>
      </c>
      <c r="AL517" s="88" t="s">
        <v>1396</v>
      </c>
    </row>
    <row r="518">
      <c r="A518" s="84" t="s">
        <v>2075</v>
      </c>
      <c r="B518" s="84" t="s">
        <v>2084</v>
      </c>
      <c r="C518" s="84" t="s">
        <v>301</v>
      </c>
      <c r="D518" s="84" t="s">
        <v>302</v>
      </c>
      <c r="E518" s="84" t="s">
        <v>1426</v>
      </c>
      <c r="F518" s="87">
        <v>19.0</v>
      </c>
      <c r="G518" s="87">
        <v>0.0</v>
      </c>
      <c r="H518" s="87">
        <v>7470.0</v>
      </c>
      <c r="I518" s="87">
        <v>0.0</v>
      </c>
      <c r="J518" s="87">
        <v>107.3037</v>
      </c>
      <c r="K518" s="87">
        <v>113.8316</v>
      </c>
      <c r="L518" s="87">
        <v>110.1479</v>
      </c>
      <c r="M518" s="87">
        <v>59.99403</v>
      </c>
      <c r="N518" s="87">
        <v>0.527042</v>
      </c>
      <c r="O518" s="87">
        <v>0.0</v>
      </c>
      <c r="P518" s="87">
        <v>0.0</v>
      </c>
      <c r="Q518" s="87">
        <v>0.0</v>
      </c>
      <c r="R518" s="87">
        <v>5.731126</v>
      </c>
      <c r="S518" s="87">
        <v>8.421081</v>
      </c>
      <c r="T518" s="87">
        <v>5.519524</v>
      </c>
      <c r="U518" s="87">
        <v>5.731126</v>
      </c>
      <c r="V518" s="87">
        <v>7.341449</v>
      </c>
      <c r="W518" s="87">
        <v>8.421081</v>
      </c>
      <c r="X518" s="87">
        <v>11.75945</v>
      </c>
      <c r="Y518" s="87">
        <v>5.991134</v>
      </c>
      <c r="Z518" s="87">
        <v>0.0</v>
      </c>
      <c r="AA518" s="87">
        <v>3.55002</v>
      </c>
      <c r="AB518" s="87">
        <v>2.23251</v>
      </c>
      <c r="AC518" s="87">
        <v>1.745184</v>
      </c>
      <c r="AD518" s="87">
        <v>4.948931</v>
      </c>
      <c r="AE518" s="87">
        <v>7.60461</v>
      </c>
      <c r="AF518" s="87">
        <v>5.42146</v>
      </c>
      <c r="AG518" s="87">
        <v>3.287339</v>
      </c>
      <c r="AH518" s="87">
        <v>0.05798</v>
      </c>
      <c r="AI518" s="87">
        <v>3.636165</v>
      </c>
      <c r="AJ518" s="87">
        <v>3.450359</v>
      </c>
      <c r="AK518" s="87">
        <v>2.867357</v>
      </c>
      <c r="AL518" s="88" t="s">
        <v>1396</v>
      </c>
    </row>
    <row r="519">
      <c r="A519" s="84" t="s">
        <v>2062</v>
      </c>
      <c r="B519" s="84" t="s">
        <v>2085</v>
      </c>
      <c r="C519" s="84" t="s">
        <v>301</v>
      </c>
      <c r="D519" s="84" t="s">
        <v>302</v>
      </c>
      <c r="E519" s="86">
        <v>46310.0</v>
      </c>
      <c r="F519" s="87">
        <v>14.0</v>
      </c>
      <c r="G519" s="87">
        <v>0.0</v>
      </c>
      <c r="H519" s="87">
        <v>6047.0</v>
      </c>
      <c r="I519" s="87">
        <v>0.0</v>
      </c>
      <c r="J519" s="87">
        <v>59.76681</v>
      </c>
      <c r="K519" s="87">
        <v>62.49929</v>
      </c>
      <c r="L519" s="87">
        <v>63.41487</v>
      </c>
      <c r="M519" s="87">
        <v>30.58316</v>
      </c>
      <c r="N519" s="87">
        <v>0.489336</v>
      </c>
      <c r="O519" s="87">
        <v>0.0</v>
      </c>
      <c r="P519" s="87">
        <v>0.722838</v>
      </c>
      <c r="Q519" s="87">
        <v>1.703656</v>
      </c>
      <c r="R519" s="87">
        <v>4.599938</v>
      </c>
      <c r="S519" s="87">
        <v>6.359314</v>
      </c>
      <c r="T519" s="87">
        <v>0.807108</v>
      </c>
      <c r="U519" s="87">
        <v>1.703656</v>
      </c>
      <c r="V519" s="87">
        <v>2.178247</v>
      </c>
      <c r="W519" s="87">
        <v>5.925449</v>
      </c>
      <c r="X519" s="87">
        <v>7.14115</v>
      </c>
      <c r="Y519" s="87">
        <v>4.464235</v>
      </c>
      <c r="Z519" s="87">
        <v>0.0</v>
      </c>
      <c r="AA519" s="87">
        <v>3.55002</v>
      </c>
      <c r="AB519" s="87">
        <v>2.23251</v>
      </c>
      <c r="AC519" s="87">
        <v>1.745184</v>
      </c>
      <c r="AD519" s="87">
        <v>4.599938</v>
      </c>
      <c r="AE519" s="87">
        <v>5.193283</v>
      </c>
      <c r="AF519" s="87">
        <v>8.265352</v>
      </c>
      <c r="AG519" s="87">
        <v>5.08004</v>
      </c>
      <c r="AH519" s="87">
        <v>0.05798</v>
      </c>
      <c r="AI519" s="87">
        <v>3.636165</v>
      </c>
      <c r="AJ519" s="87">
        <v>3.450359</v>
      </c>
      <c r="AK519" s="87">
        <v>2.867357</v>
      </c>
      <c r="AL519" s="88" t="s">
        <v>1396</v>
      </c>
    </row>
    <row r="520">
      <c r="A520" s="84" t="s">
        <v>2065</v>
      </c>
      <c r="B520" s="84" t="s">
        <v>2086</v>
      </c>
      <c r="C520" s="84" t="s">
        <v>301</v>
      </c>
      <c r="D520" s="84" t="s">
        <v>302</v>
      </c>
      <c r="E520" s="84" t="s">
        <v>1413</v>
      </c>
      <c r="F520" s="87">
        <v>6.0</v>
      </c>
      <c r="G520" s="87">
        <v>0.0</v>
      </c>
      <c r="H520" s="87">
        <v>1972.0</v>
      </c>
      <c r="I520" s="87">
        <v>0.0</v>
      </c>
      <c r="J520" s="87">
        <v>10.67239</v>
      </c>
      <c r="K520" s="87">
        <v>10.4711</v>
      </c>
      <c r="L520" s="87">
        <v>10.67277</v>
      </c>
      <c r="M520" s="87">
        <v>5.600841</v>
      </c>
      <c r="N520" s="87">
        <v>0.534885</v>
      </c>
      <c r="O520" s="87">
        <v>0.377778</v>
      </c>
      <c r="P520" s="87">
        <v>1.284875</v>
      </c>
      <c r="Q520" s="87">
        <v>1.284875</v>
      </c>
      <c r="R520" s="87">
        <v>1.616879</v>
      </c>
      <c r="S520" s="87">
        <v>2.050821</v>
      </c>
      <c r="T520" s="87">
        <v>0.377778</v>
      </c>
      <c r="U520" s="87">
        <v>1.284875</v>
      </c>
      <c r="V520" s="87">
        <v>1.284875</v>
      </c>
      <c r="W520" s="87">
        <v>1.616879</v>
      </c>
      <c r="X520" s="87">
        <v>2.050821</v>
      </c>
      <c r="Y520" s="87">
        <v>1.745184</v>
      </c>
      <c r="Z520" s="87">
        <v>0.0</v>
      </c>
      <c r="AA520" s="87">
        <v>3.55002</v>
      </c>
      <c r="AB520" s="87">
        <v>2.23251</v>
      </c>
      <c r="AC520" s="87">
        <v>1.745184</v>
      </c>
      <c r="AD520" s="87">
        <v>2.050821</v>
      </c>
      <c r="AE520" s="87">
        <v>2.050821</v>
      </c>
      <c r="AF520" s="87">
        <v>3.770238</v>
      </c>
      <c r="AG520" s="87">
        <v>4.084743</v>
      </c>
      <c r="AH520" s="87">
        <v>0.05798</v>
      </c>
      <c r="AI520" s="87">
        <v>3.636165</v>
      </c>
      <c r="AJ520" s="87">
        <v>3.450359</v>
      </c>
      <c r="AK520" s="87">
        <v>2.867357</v>
      </c>
      <c r="AL520" s="88" t="s">
        <v>1396</v>
      </c>
    </row>
    <row r="521">
      <c r="A521" s="84" t="s">
        <v>2067</v>
      </c>
      <c r="B521" s="84" t="s">
        <v>2087</v>
      </c>
      <c r="C521" s="84" t="s">
        <v>301</v>
      </c>
      <c r="D521" s="84" t="s">
        <v>302</v>
      </c>
      <c r="E521" s="84" t="s">
        <v>1398</v>
      </c>
      <c r="F521" s="87">
        <v>2.0</v>
      </c>
      <c r="G521" s="87">
        <v>0.0</v>
      </c>
      <c r="H521" s="87">
        <v>183.0</v>
      </c>
      <c r="I521" s="87">
        <v>0.0</v>
      </c>
      <c r="J521" s="87">
        <v>0.071429</v>
      </c>
      <c r="K521" s="87">
        <v>0.0625</v>
      </c>
      <c r="L521" s="87">
        <v>0.0625</v>
      </c>
      <c r="M521" s="87">
        <v>0.0625</v>
      </c>
      <c r="N521" s="87">
        <v>1.0</v>
      </c>
      <c r="O521" s="87">
        <v>0.0</v>
      </c>
      <c r="P521" s="87">
        <v>0.0</v>
      </c>
      <c r="Q521" s="87">
        <v>0.0</v>
      </c>
      <c r="R521" s="87">
        <v>0.0625</v>
      </c>
      <c r="S521" s="87">
        <v>0.0625</v>
      </c>
      <c r="T521" s="87">
        <v>0.0625</v>
      </c>
      <c r="U521" s="87">
        <v>0.0625</v>
      </c>
      <c r="V521" s="87">
        <v>0.0625</v>
      </c>
      <c r="W521" s="87">
        <v>0.0625</v>
      </c>
      <c r="X521" s="87">
        <v>0.0625</v>
      </c>
      <c r="Y521" s="87">
        <v>0.03125</v>
      </c>
      <c r="Z521" s="87">
        <v>0.0</v>
      </c>
      <c r="AA521" s="87">
        <v>3.55002</v>
      </c>
      <c r="AB521" s="87">
        <v>2.23251</v>
      </c>
      <c r="AC521" s="87">
        <v>1.745184</v>
      </c>
      <c r="AD521" s="87">
        <v>1.166786</v>
      </c>
      <c r="AE521" s="87">
        <v>1.78984</v>
      </c>
      <c r="AF521" s="87">
        <v>3.38514</v>
      </c>
      <c r="AG521" s="87">
        <v>1.62192</v>
      </c>
      <c r="AH521" s="87">
        <v>0.05798</v>
      </c>
      <c r="AI521" s="87">
        <v>3.636165</v>
      </c>
      <c r="AJ521" s="87">
        <v>3.450359</v>
      </c>
      <c r="AK521" s="87">
        <v>2.867357</v>
      </c>
      <c r="AL521" s="88" t="s">
        <v>1396</v>
      </c>
    </row>
    <row r="522">
      <c r="A522" s="84" t="s">
        <v>2069</v>
      </c>
      <c r="B522" s="84" t="s">
        <v>2088</v>
      </c>
      <c r="C522" s="84" t="s">
        <v>301</v>
      </c>
      <c r="D522" s="84" t="s">
        <v>302</v>
      </c>
      <c r="E522" s="84" t="s">
        <v>1400</v>
      </c>
      <c r="F522" s="87">
        <v>14.0</v>
      </c>
      <c r="G522" s="87">
        <v>0.0</v>
      </c>
      <c r="H522" s="87">
        <v>2061.0</v>
      </c>
      <c r="I522" s="87">
        <v>0.0</v>
      </c>
      <c r="J522" s="87">
        <v>5.868132</v>
      </c>
      <c r="K522" s="87">
        <v>4.443477</v>
      </c>
      <c r="L522" s="87">
        <v>4.582199</v>
      </c>
      <c r="M522" s="87">
        <v>2.303846</v>
      </c>
      <c r="N522" s="87">
        <v>0.518478</v>
      </c>
      <c r="O522" s="87">
        <v>0.066667</v>
      </c>
      <c r="P522" s="87">
        <v>0.133333</v>
      </c>
      <c r="Q522" s="87">
        <v>0.138095</v>
      </c>
      <c r="R522" s="87">
        <v>0.2</v>
      </c>
      <c r="S522" s="87">
        <v>0.396774</v>
      </c>
      <c r="T522" s="87">
        <v>0.133333</v>
      </c>
      <c r="U522" s="87">
        <v>0.133333</v>
      </c>
      <c r="V522" s="87">
        <v>0.138095</v>
      </c>
      <c r="W522" s="87">
        <v>0.2</v>
      </c>
      <c r="X522" s="87">
        <v>0.433333</v>
      </c>
      <c r="Y522" s="87">
        <v>0.317391</v>
      </c>
      <c r="Z522" s="87">
        <v>0.0</v>
      </c>
      <c r="AA522" s="87">
        <v>3.55002</v>
      </c>
      <c r="AB522" s="87">
        <v>2.23251</v>
      </c>
      <c r="AC522" s="87">
        <v>1.745184</v>
      </c>
      <c r="AD522" s="87">
        <v>0.37404</v>
      </c>
      <c r="AE522" s="87">
        <v>0.396774</v>
      </c>
      <c r="AF522" s="87">
        <v>1.174227</v>
      </c>
      <c r="AG522" s="87">
        <v>0.794152</v>
      </c>
      <c r="AH522" s="87">
        <v>0.05798</v>
      </c>
      <c r="AI522" s="87">
        <v>3.636165</v>
      </c>
      <c r="AJ522" s="87">
        <v>3.450359</v>
      </c>
      <c r="AK522" s="87">
        <v>2.867357</v>
      </c>
      <c r="AL522" s="88" t="s">
        <v>1396</v>
      </c>
    </row>
    <row r="523">
      <c r="A523" s="84" t="s">
        <v>2071</v>
      </c>
      <c r="B523" s="84" t="s">
        <v>2089</v>
      </c>
      <c r="C523" s="84" t="s">
        <v>301</v>
      </c>
      <c r="D523" s="84" t="s">
        <v>302</v>
      </c>
      <c r="E523" s="89">
        <v>46300.0</v>
      </c>
      <c r="F523" s="87">
        <v>19.0</v>
      </c>
      <c r="G523" s="87">
        <v>0.0</v>
      </c>
      <c r="H523" s="87">
        <v>9395.0</v>
      </c>
      <c r="I523" s="87">
        <v>0.0</v>
      </c>
      <c r="J523" s="87">
        <v>118.3432</v>
      </c>
      <c r="K523" s="87">
        <v>121.2435</v>
      </c>
      <c r="L523" s="87">
        <v>119.2533</v>
      </c>
      <c r="M523" s="87">
        <v>72.18441</v>
      </c>
      <c r="N523" s="87">
        <v>0.595367</v>
      </c>
      <c r="O523" s="87">
        <v>0.0</v>
      </c>
      <c r="P523" s="87">
        <v>0.0</v>
      </c>
      <c r="Q523" s="87">
        <v>0.0</v>
      </c>
      <c r="R523" s="87">
        <v>2.484157</v>
      </c>
      <c r="S523" s="87">
        <v>9.626339</v>
      </c>
      <c r="T523" s="87">
        <v>2.483998</v>
      </c>
      <c r="U523" s="87">
        <v>2.484157</v>
      </c>
      <c r="V523" s="87">
        <v>5.268581</v>
      </c>
      <c r="W523" s="87">
        <v>9.626339</v>
      </c>
      <c r="X523" s="87">
        <v>15.78739</v>
      </c>
      <c r="Y523" s="87">
        <v>6.381239</v>
      </c>
      <c r="Z523" s="87">
        <v>0.0</v>
      </c>
      <c r="AA523" s="87">
        <v>3.55002</v>
      </c>
      <c r="AB523" s="87">
        <v>2.23251</v>
      </c>
      <c r="AC523" s="87">
        <v>1.745184</v>
      </c>
      <c r="AD523" s="87">
        <v>4.920936</v>
      </c>
      <c r="AE523" s="87">
        <v>7.905824</v>
      </c>
      <c r="AF523" s="87">
        <v>8.454032</v>
      </c>
      <c r="AG523" s="87">
        <v>11.9242</v>
      </c>
      <c r="AH523" s="87">
        <v>0.05798</v>
      </c>
      <c r="AI523" s="87">
        <v>3.636165</v>
      </c>
      <c r="AJ523" s="87">
        <v>3.450359</v>
      </c>
      <c r="AK523" s="87">
        <v>2.867357</v>
      </c>
      <c r="AL523" s="88" t="s">
        <v>1396</v>
      </c>
    </row>
    <row r="524">
      <c r="A524" s="84" t="s">
        <v>2073</v>
      </c>
      <c r="B524" s="84" t="s">
        <v>2090</v>
      </c>
      <c r="C524" s="84" t="s">
        <v>301</v>
      </c>
      <c r="D524" s="84" t="s">
        <v>302</v>
      </c>
      <c r="E524" s="84" t="s">
        <v>1403</v>
      </c>
      <c r="F524" s="87">
        <v>66.0</v>
      </c>
      <c r="G524" s="87">
        <v>10.0</v>
      </c>
      <c r="H524" s="87">
        <v>1160.0</v>
      </c>
      <c r="I524" s="87">
        <v>1160.0</v>
      </c>
      <c r="J524" s="87">
        <v>0.0</v>
      </c>
      <c r="K524" s="87">
        <v>0.0</v>
      </c>
      <c r="L524" s="87">
        <v>0.0</v>
      </c>
      <c r="M524" s="87">
        <v>0.0</v>
      </c>
      <c r="N524" s="87">
        <v>0.0</v>
      </c>
      <c r="O524" s="87">
        <v>0.0</v>
      </c>
      <c r="P524" s="87">
        <v>0.0</v>
      </c>
      <c r="Q524" s="87">
        <v>0.0</v>
      </c>
      <c r="R524" s="87">
        <v>0.0</v>
      </c>
      <c r="S524" s="87">
        <v>0.0</v>
      </c>
      <c r="T524" s="87">
        <v>0.0</v>
      </c>
      <c r="U524" s="87">
        <v>0.0</v>
      </c>
      <c r="V524" s="87">
        <v>0.0</v>
      </c>
      <c r="W524" s="87">
        <v>0.0</v>
      </c>
      <c r="X524" s="87">
        <v>0.0</v>
      </c>
      <c r="Y524" s="87">
        <v>0.0</v>
      </c>
      <c r="Z524" s="87">
        <v>0.0</v>
      </c>
      <c r="AA524" s="87">
        <v>3.55002</v>
      </c>
      <c r="AB524" s="87">
        <v>2.23251</v>
      </c>
      <c r="AC524" s="87">
        <v>1.745184</v>
      </c>
      <c r="AD524" s="87">
        <v>0.0</v>
      </c>
      <c r="AE524" s="87">
        <v>0.0</v>
      </c>
      <c r="AF524" s="87">
        <v>0.0</v>
      </c>
      <c r="AG524" s="87">
        <v>0.0</v>
      </c>
      <c r="AH524" s="87">
        <v>0.05798</v>
      </c>
      <c r="AI524" s="87">
        <v>3.636165</v>
      </c>
      <c r="AJ524" s="87">
        <v>3.450359</v>
      </c>
      <c r="AK524" s="87">
        <v>2.867357</v>
      </c>
      <c r="AL524" s="88" t="s">
        <v>1396</v>
      </c>
    </row>
    <row r="525">
      <c r="A525" s="84" t="s">
        <v>2075</v>
      </c>
      <c r="B525" s="84" t="s">
        <v>2091</v>
      </c>
      <c r="C525" s="84" t="s">
        <v>301</v>
      </c>
      <c r="D525" s="84" t="s">
        <v>2092</v>
      </c>
      <c r="E525" s="84" t="s">
        <v>1426</v>
      </c>
      <c r="F525" s="87">
        <v>1.0</v>
      </c>
      <c r="G525" s="87">
        <v>0.0</v>
      </c>
      <c r="H525" s="87">
        <v>0.0</v>
      </c>
      <c r="I525" s="87">
        <v>0.0</v>
      </c>
      <c r="J525" s="87">
        <v>1.0</v>
      </c>
      <c r="K525" s="87">
        <v>1.0</v>
      </c>
      <c r="L525" s="87">
        <v>1.783333</v>
      </c>
      <c r="M525" s="87">
        <v>1.0</v>
      </c>
      <c r="N525" s="87">
        <v>1.0</v>
      </c>
      <c r="O525" s="87">
        <v>1.0</v>
      </c>
      <c r="P525" s="87">
        <v>1.0</v>
      </c>
      <c r="Q525" s="87">
        <v>1.0</v>
      </c>
      <c r="R525" s="87">
        <v>1.0</v>
      </c>
      <c r="S525" s="87">
        <v>1.0</v>
      </c>
      <c r="T525" s="87">
        <v>1.0</v>
      </c>
      <c r="U525" s="87">
        <v>1.0</v>
      </c>
      <c r="V525" s="87">
        <v>1.0</v>
      </c>
      <c r="W525" s="87">
        <v>1.0</v>
      </c>
      <c r="X525" s="87">
        <v>1.0</v>
      </c>
      <c r="Y525" s="87">
        <v>1.0</v>
      </c>
      <c r="Z525" s="87">
        <v>0.716963</v>
      </c>
      <c r="AA525" s="87">
        <v>4.349694</v>
      </c>
      <c r="AB525" s="87">
        <v>5.849962</v>
      </c>
      <c r="AC525" s="87">
        <v>5.104142</v>
      </c>
      <c r="AD525" s="87">
        <v>4.948931</v>
      </c>
      <c r="AE525" s="87">
        <v>7.60461</v>
      </c>
      <c r="AF525" s="87">
        <v>5.42146</v>
      </c>
      <c r="AG525" s="87">
        <v>3.287339</v>
      </c>
      <c r="AH525" s="87">
        <v>0.05798</v>
      </c>
      <c r="AI525" s="87">
        <v>3.636165</v>
      </c>
      <c r="AJ525" s="87">
        <v>3.450359</v>
      </c>
      <c r="AK525" s="87">
        <v>2.867357</v>
      </c>
      <c r="AL525" s="88" t="s">
        <v>1396</v>
      </c>
    </row>
    <row r="526">
      <c r="A526" s="84" t="s">
        <v>2062</v>
      </c>
      <c r="B526" s="84" t="s">
        <v>2093</v>
      </c>
      <c r="C526" s="84" t="s">
        <v>301</v>
      </c>
      <c r="D526" s="84" t="s">
        <v>2092</v>
      </c>
      <c r="E526" s="89">
        <v>46310.0</v>
      </c>
      <c r="F526" s="87">
        <v>12.0</v>
      </c>
      <c r="G526" s="87">
        <v>0.0</v>
      </c>
      <c r="H526" s="87">
        <v>21206.0</v>
      </c>
      <c r="I526" s="87">
        <v>0.0</v>
      </c>
      <c r="J526" s="87">
        <v>207.6872</v>
      </c>
      <c r="K526" s="87">
        <v>227.8204</v>
      </c>
      <c r="L526" s="87">
        <v>211.1534</v>
      </c>
      <c r="M526" s="87">
        <v>149.1091</v>
      </c>
      <c r="N526" s="87">
        <v>0.654503</v>
      </c>
      <c r="O526" s="87">
        <v>4.119601</v>
      </c>
      <c r="P526" s="87">
        <v>5.193283</v>
      </c>
      <c r="Q526" s="87">
        <v>6.904895</v>
      </c>
      <c r="R526" s="87">
        <v>10.84112</v>
      </c>
      <c r="S526" s="87">
        <v>20.94221</v>
      </c>
      <c r="T526" s="87">
        <v>4.119601</v>
      </c>
      <c r="U526" s="87">
        <v>5.193283</v>
      </c>
      <c r="V526" s="87">
        <v>6.904895</v>
      </c>
      <c r="W526" s="87">
        <v>10.84112</v>
      </c>
      <c r="X526" s="87">
        <v>20.94221</v>
      </c>
      <c r="Y526" s="87">
        <v>18.98503</v>
      </c>
      <c r="Z526" s="87">
        <v>0.716963</v>
      </c>
      <c r="AA526" s="87">
        <v>4.349694</v>
      </c>
      <c r="AB526" s="87">
        <v>5.849962</v>
      </c>
      <c r="AC526" s="87">
        <v>5.104142</v>
      </c>
      <c r="AD526" s="87">
        <v>4.599938</v>
      </c>
      <c r="AE526" s="87">
        <v>5.193283</v>
      </c>
      <c r="AF526" s="87">
        <v>8.265352</v>
      </c>
      <c r="AG526" s="87">
        <v>5.08004</v>
      </c>
      <c r="AH526" s="87">
        <v>0.05798</v>
      </c>
      <c r="AI526" s="87">
        <v>3.636165</v>
      </c>
      <c r="AJ526" s="87">
        <v>3.450359</v>
      </c>
      <c r="AK526" s="87">
        <v>2.867357</v>
      </c>
      <c r="AL526" s="88" t="s">
        <v>1396</v>
      </c>
    </row>
    <row r="527">
      <c r="A527" s="84" t="s">
        <v>2065</v>
      </c>
      <c r="B527" s="84" t="s">
        <v>2094</v>
      </c>
      <c r="C527" s="84" t="s">
        <v>301</v>
      </c>
      <c r="D527" s="84" t="s">
        <v>2092</v>
      </c>
      <c r="E527" s="84" t="s">
        <v>1413</v>
      </c>
      <c r="F527" s="87">
        <v>10.0</v>
      </c>
      <c r="G527" s="87">
        <v>0.0</v>
      </c>
      <c r="H527" s="87">
        <v>8237.0</v>
      </c>
      <c r="I527" s="87">
        <v>0.0</v>
      </c>
      <c r="J527" s="87">
        <v>50.67428</v>
      </c>
      <c r="K527" s="87">
        <v>53.11387</v>
      </c>
      <c r="L527" s="87">
        <v>50.05851</v>
      </c>
      <c r="M527" s="87">
        <v>25.73404</v>
      </c>
      <c r="N527" s="87">
        <v>0.484507</v>
      </c>
      <c r="O527" s="87">
        <v>1.127818</v>
      </c>
      <c r="P527" s="87">
        <v>1.857944</v>
      </c>
      <c r="Q527" s="87">
        <v>1.969412</v>
      </c>
      <c r="R527" s="87">
        <v>4.73938</v>
      </c>
      <c r="S527" s="87">
        <v>6.65709</v>
      </c>
      <c r="T527" s="87">
        <v>1.127818</v>
      </c>
      <c r="U527" s="87">
        <v>1.857944</v>
      </c>
      <c r="V527" s="87">
        <v>1.969412</v>
      </c>
      <c r="W527" s="87">
        <v>4.73938</v>
      </c>
      <c r="X527" s="87">
        <v>6.65709</v>
      </c>
      <c r="Y527" s="87">
        <v>5.311387</v>
      </c>
      <c r="Z527" s="87">
        <v>0.716963</v>
      </c>
      <c r="AA527" s="87">
        <v>4.349694</v>
      </c>
      <c r="AB527" s="87">
        <v>5.849962</v>
      </c>
      <c r="AC527" s="87">
        <v>5.104142</v>
      </c>
      <c r="AD527" s="87">
        <v>2.050821</v>
      </c>
      <c r="AE527" s="87">
        <v>2.050821</v>
      </c>
      <c r="AF527" s="87">
        <v>3.770238</v>
      </c>
      <c r="AG527" s="87">
        <v>4.084743</v>
      </c>
      <c r="AH527" s="87">
        <v>0.05798</v>
      </c>
      <c r="AI527" s="87">
        <v>3.636165</v>
      </c>
      <c r="AJ527" s="87">
        <v>3.450359</v>
      </c>
      <c r="AK527" s="87">
        <v>2.867357</v>
      </c>
      <c r="AL527" s="88" t="s">
        <v>1396</v>
      </c>
    </row>
    <row r="528">
      <c r="A528" s="84" t="s">
        <v>2067</v>
      </c>
      <c r="B528" s="84" t="s">
        <v>2095</v>
      </c>
      <c r="C528" s="84" t="s">
        <v>301</v>
      </c>
      <c r="D528" s="84" t="s">
        <v>2092</v>
      </c>
      <c r="E528" s="84" t="s">
        <v>1398</v>
      </c>
      <c r="F528" s="87">
        <v>11.0</v>
      </c>
      <c r="G528" s="87">
        <v>0.0</v>
      </c>
      <c r="H528" s="87">
        <v>7074.0</v>
      </c>
      <c r="I528" s="87">
        <v>0.0</v>
      </c>
      <c r="J528" s="87">
        <v>57.10205</v>
      </c>
      <c r="K528" s="87">
        <v>56.14556</v>
      </c>
      <c r="L528" s="87">
        <v>56.87051</v>
      </c>
      <c r="M528" s="87">
        <v>46.47701</v>
      </c>
      <c r="N528" s="87">
        <v>0.827795</v>
      </c>
      <c r="O528" s="87">
        <v>0.125</v>
      </c>
      <c r="P528" s="87">
        <v>0.929032</v>
      </c>
      <c r="Q528" s="87">
        <v>0.97957</v>
      </c>
      <c r="R528" s="87">
        <v>1.796878</v>
      </c>
      <c r="S528" s="87">
        <v>2.90577</v>
      </c>
      <c r="T528" s="87">
        <v>0.929032</v>
      </c>
      <c r="U528" s="87">
        <v>0.97957</v>
      </c>
      <c r="V528" s="87">
        <v>1.101298</v>
      </c>
      <c r="W528" s="87">
        <v>1.831005</v>
      </c>
      <c r="X528" s="87">
        <v>5.106191</v>
      </c>
      <c r="Y528" s="87">
        <v>5.104142</v>
      </c>
      <c r="Z528" s="87">
        <v>0.716963</v>
      </c>
      <c r="AA528" s="87">
        <v>4.349694</v>
      </c>
      <c r="AB528" s="87">
        <v>5.849962</v>
      </c>
      <c r="AC528" s="87">
        <v>5.104142</v>
      </c>
      <c r="AD528" s="87">
        <v>1.166786</v>
      </c>
      <c r="AE528" s="87">
        <v>1.78984</v>
      </c>
      <c r="AF528" s="87">
        <v>3.38514</v>
      </c>
      <c r="AG528" s="87">
        <v>1.62192</v>
      </c>
      <c r="AH528" s="87">
        <v>0.05798</v>
      </c>
      <c r="AI528" s="87">
        <v>3.636165</v>
      </c>
      <c r="AJ528" s="87">
        <v>3.450359</v>
      </c>
      <c r="AK528" s="87">
        <v>2.867357</v>
      </c>
      <c r="AL528" s="88" t="s">
        <v>1396</v>
      </c>
    </row>
    <row r="529">
      <c r="A529" s="84" t="s">
        <v>2069</v>
      </c>
      <c r="B529" s="84" t="s">
        <v>2096</v>
      </c>
      <c r="C529" s="84" t="s">
        <v>301</v>
      </c>
      <c r="D529" s="84" t="s">
        <v>2092</v>
      </c>
      <c r="E529" s="84" t="s">
        <v>1400</v>
      </c>
      <c r="F529" s="87">
        <v>10.0</v>
      </c>
      <c r="G529" s="87">
        <v>0.0</v>
      </c>
      <c r="H529" s="87">
        <v>2970.0</v>
      </c>
      <c r="I529" s="87">
        <v>0.0</v>
      </c>
      <c r="J529" s="87">
        <v>34.61792</v>
      </c>
      <c r="K529" s="87">
        <v>28.67357</v>
      </c>
      <c r="L529" s="87">
        <v>24.47588</v>
      </c>
      <c r="M529" s="87">
        <v>23.70537</v>
      </c>
      <c r="N529" s="87">
        <v>0.826732</v>
      </c>
      <c r="O529" s="87">
        <v>0.198925</v>
      </c>
      <c r="P529" s="87">
        <v>0.37404</v>
      </c>
      <c r="Q529" s="87">
        <v>0.423925</v>
      </c>
      <c r="R529" s="87">
        <v>0.595699</v>
      </c>
      <c r="S529" s="87">
        <v>2.269526</v>
      </c>
      <c r="T529" s="87">
        <v>0.198925</v>
      </c>
      <c r="U529" s="87">
        <v>0.37404</v>
      </c>
      <c r="V529" s="87">
        <v>0.423925</v>
      </c>
      <c r="W529" s="87">
        <v>0.595699</v>
      </c>
      <c r="X529" s="87">
        <v>2.269526</v>
      </c>
      <c r="Y529" s="87">
        <v>2.867357</v>
      </c>
      <c r="Z529" s="87">
        <v>0.716963</v>
      </c>
      <c r="AA529" s="87">
        <v>4.349694</v>
      </c>
      <c r="AB529" s="87">
        <v>5.849962</v>
      </c>
      <c r="AC529" s="87">
        <v>5.104142</v>
      </c>
      <c r="AD529" s="87">
        <v>0.37404</v>
      </c>
      <c r="AE529" s="87">
        <v>0.396774</v>
      </c>
      <c r="AF529" s="87">
        <v>1.174227</v>
      </c>
      <c r="AG529" s="87">
        <v>0.794152</v>
      </c>
      <c r="AH529" s="87">
        <v>0.05798</v>
      </c>
      <c r="AI529" s="87">
        <v>3.636165</v>
      </c>
      <c r="AJ529" s="87">
        <v>3.450359</v>
      </c>
      <c r="AK529" s="87">
        <v>2.867357</v>
      </c>
      <c r="AL529" s="88" t="s">
        <v>1396</v>
      </c>
    </row>
    <row r="530">
      <c r="A530" s="84" t="s">
        <v>2071</v>
      </c>
      <c r="B530" s="84" t="s">
        <v>2097</v>
      </c>
      <c r="C530" s="84" t="s">
        <v>301</v>
      </c>
      <c r="D530" s="84" t="s">
        <v>2092</v>
      </c>
      <c r="E530" s="89">
        <v>46300.0</v>
      </c>
      <c r="F530" s="87">
        <v>8.0</v>
      </c>
      <c r="G530" s="87">
        <v>0.0</v>
      </c>
      <c r="H530" s="87">
        <v>6548.0</v>
      </c>
      <c r="I530" s="87">
        <v>0.0</v>
      </c>
      <c r="J530" s="87">
        <v>94.89182</v>
      </c>
      <c r="K530" s="87">
        <v>95.39361</v>
      </c>
      <c r="L530" s="87">
        <v>97.64412</v>
      </c>
      <c r="M530" s="87">
        <v>84.09605</v>
      </c>
      <c r="N530" s="87">
        <v>0.881569</v>
      </c>
      <c r="O530" s="87">
        <v>0.0</v>
      </c>
      <c r="P530" s="87">
        <v>0.0</v>
      </c>
      <c r="Q530" s="87">
        <v>0.0</v>
      </c>
      <c r="R530" s="87">
        <v>4.920936</v>
      </c>
      <c r="S530" s="87">
        <v>6.043287</v>
      </c>
      <c r="T530" s="87">
        <v>0.333333</v>
      </c>
      <c r="U530" s="87">
        <v>4.920936</v>
      </c>
      <c r="V530" s="87">
        <v>4.920936</v>
      </c>
      <c r="W530" s="87">
        <v>6.043287</v>
      </c>
      <c r="X530" s="87">
        <v>8.221788</v>
      </c>
      <c r="Y530" s="87">
        <v>11.9242</v>
      </c>
      <c r="Z530" s="87">
        <v>0.716963</v>
      </c>
      <c r="AA530" s="87">
        <v>4.349694</v>
      </c>
      <c r="AB530" s="87">
        <v>5.849962</v>
      </c>
      <c r="AC530" s="87">
        <v>5.104142</v>
      </c>
      <c r="AD530" s="87">
        <v>4.920936</v>
      </c>
      <c r="AE530" s="87">
        <v>7.905824</v>
      </c>
      <c r="AF530" s="87">
        <v>8.454032</v>
      </c>
      <c r="AG530" s="87">
        <v>11.9242</v>
      </c>
      <c r="AH530" s="87">
        <v>0.05798</v>
      </c>
      <c r="AI530" s="87">
        <v>3.636165</v>
      </c>
      <c r="AJ530" s="87">
        <v>3.450359</v>
      </c>
      <c r="AK530" s="87">
        <v>2.867357</v>
      </c>
      <c r="AL530" s="88" t="s">
        <v>1396</v>
      </c>
    </row>
    <row r="531">
      <c r="A531" s="84" t="s">
        <v>2073</v>
      </c>
      <c r="B531" s="84" t="s">
        <v>2098</v>
      </c>
      <c r="C531" s="84" t="s">
        <v>301</v>
      </c>
      <c r="D531" s="84" t="s">
        <v>2092</v>
      </c>
      <c r="E531" s="84" t="s">
        <v>1403</v>
      </c>
      <c r="F531" s="87">
        <v>27.0</v>
      </c>
      <c r="G531" s="87">
        <v>0.0</v>
      </c>
      <c r="H531" s="87">
        <v>0.0</v>
      </c>
      <c r="I531" s="87">
        <v>0.0</v>
      </c>
      <c r="J531" s="87">
        <v>0.0</v>
      </c>
      <c r="K531" s="87">
        <v>0.0</v>
      </c>
      <c r="L531" s="87">
        <v>0.0</v>
      </c>
      <c r="M531" s="87">
        <v>0.0</v>
      </c>
      <c r="N531" s="87">
        <v>0.0</v>
      </c>
      <c r="O531" s="87">
        <v>0.0</v>
      </c>
      <c r="P531" s="87">
        <v>0.0</v>
      </c>
      <c r="Q531" s="87">
        <v>0.0</v>
      </c>
      <c r="R531" s="87">
        <v>0.0</v>
      </c>
      <c r="S531" s="87">
        <v>0.0</v>
      </c>
      <c r="T531" s="87">
        <v>0.0</v>
      </c>
      <c r="U531" s="87">
        <v>0.0</v>
      </c>
      <c r="V531" s="87">
        <v>0.0</v>
      </c>
      <c r="W531" s="87">
        <v>0.0</v>
      </c>
      <c r="X531" s="87">
        <v>0.0</v>
      </c>
      <c r="Y531" s="87">
        <v>0.0</v>
      </c>
      <c r="Z531" s="87">
        <v>0.716963</v>
      </c>
      <c r="AA531" s="87">
        <v>4.349694</v>
      </c>
      <c r="AB531" s="87">
        <v>5.849962</v>
      </c>
      <c r="AC531" s="87">
        <v>5.104142</v>
      </c>
      <c r="AD531" s="87">
        <v>0.0</v>
      </c>
      <c r="AE531" s="87">
        <v>0.0</v>
      </c>
      <c r="AF531" s="87">
        <v>0.0</v>
      </c>
      <c r="AG531" s="87">
        <v>0.0</v>
      </c>
      <c r="AH531" s="87">
        <v>0.05798</v>
      </c>
      <c r="AI531" s="87">
        <v>3.636165</v>
      </c>
      <c r="AJ531" s="87">
        <v>3.450359</v>
      </c>
      <c r="AK531" s="87">
        <v>2.867357</v>
      </c>
      <c r="AL531" s="88" t="s">
        <v>1396</v>
      </c>
    </row>
    <row r="532">
      <c r="A532" s="84" t="s">
        <v>2099</v>
      </c>
      <c r="B532" s="84" t="s">
        <v>2100</v>
      </c>
      <c r="C532" s="84" t="s">
        <v>341</v>
      </c>
      <c r="D532" s="84" t="s">
        <v>342</v>
      </c>
      <c r="E532" s="84" t="s">
        <v>1426</v>
      </c>
      <c r="F532" s="87">
        <v>1.0</v>
      </c>
      <c r="G532" s="87">
        <v>0.0</v>
      </c>
      <c r="H532" s="87">
        <v>367.0</v>
      </c>
      <c r="I532" s="87">
        <v>0.0</v>
      </c>
      <c r="J532" s="87">
        <v>393.7263</v>
      </c>
      <c r="K532" s="87">
        <v>393.3354</v>
      </c>
      <c r="L532" s="87">
        <v>393.3354</v>
      </c>
      <c r="M532" s="87">
        <v>393.3354</v>
      </c>
      <c r="N532" s="87">
        <v>1.0</v>
      </c>
      <c r="O532" s="87">
        <v>393.3354</v>
      </c>
      <c r="P532" s="87">
        <v>393.3354</v>
      </c>
      <c r="Q532" s="87">
        <v>393.3354</v>
      </c>
      <c r="R532" s="87">
        <v>393.3354</v>
      </c>
      <c r="S532" s="87">
        <v>393.3354</v>
      </c>
      <c r="T532" s="87">
        <v>393.3354</v>
      </c>
      <c r="U532" s="87">
        <v>393.3354</v>
      </c>
      <c r="V532" s="87">
        <v>393.3354</v>
      </c>
      <c r="W532" s="87">
        <v>393.3354</v>
      </c>
      <c r="X532" s="87">
        <v>393.3354</v>
      </c>
      <c r="Y532" s="87">
        <v>393.3354</v>
      </c>
      <c r="Z532" s="87">
        <v>0.0</v>
      </c>
      <c r="AA532" s="87">
        <v>289.3735</v>
      </c>
      <c r="AB532" s="87">
        <v>48.14914</v>
      </c>
      <c r="AC532" s="87">
        <v>214.6603</v>
      </c>
      <c r="AD532" s="87">
        <v>393.3354</v>
      </c>
      <c r="AE532" s="87">
        <v>393.3354</v>
      </c>
      <c r="AF532" s="87">
        <v>393.3354</v>
      </c>
      <c r="AG532" s="87">
        <v>393.3354</v>
      </c>
      <c r="AH532" s="87">
        <v>0.0</v>
      </c>
      <c r="AI532" s="87">
        <v>149.7945</v>
      </c>
      <c r="AJ532" s="87">
        <v>33.14633</v>
      </c>
      <c r="AK532" s="87">
        <v>96.74148</v>
      </c>
      <c r="AL532" s="88" t="s">
        <v>1396</v>
      </c>
    </row>
    <row r="533">
      <c r="A533" s="84" t="s">
        <v>2101</v>
      </c>
      <c r="B533" s="84" t="s">
        <v>2102</v>
      </c>
      <c r="C533" s="84" t="s">
        <v>341</v>
      </c>
      <c r="D533" s="84" t="s">
        <v>342</v>
      </c>
      <c r="E533" s="86">
        <v>46310.0</v>
      </c>
      <c r="F533" s="87">
        <v>2.0</v>
      </c>
      <c r="G533" s="87">
        <v>0.0</v>
      </c>
      <c r="H533" s="87">
        <v>129.0</v>
      </c>
      <c r="I533" s="87">
        <v>0.0</v>
      </c>
      <c r="J533" s="87">
        <v>289.9199</v>
      </c>
      <c r="K533" s="87">
        <v>289.3735</v>
      </c>
      <c r="L533" s="87">
        <v>289.3735</v>
      </c>
      <c r="M533" s="87">
        <v>289.3735</v>
      </c>
      <c r="N533" s="87">
        <v>1.0</v>
      </c>
      <c r="O533" s="87">
        <v>0.0</v>
      </c>
      <c r="P533" s="87">
        <v>0.0</v>
      </c>
      <c r="Q533" s="87">
        <v>0.0</v>
      </c>
      <c r="R533" s="87">
        <v>289.3735</v>
      </c>
      <c r="S533" s="87">
        <v>289.3735</v>
      </c>
      <c r="T533" s="87">
        <v>289.3735</v>
      </c>
      <c r="U533" s="87">
        <v>289.3735</v>
      </c>
      <c r="V533" s="87">
        <v>289.3735</v>
      </c>
      <c r="W533" s="87">
        <v>289.3735</v>
      </c>
      <c r="X533" s="87">
        <v>289.3735</v>
      </c>
      <c r="Y533" s="87">
        <v>144.6867</v>
      </c>
      <c r="Z533" s="87">
        <v>0.0</v>
      </c>
      <c r="AA533" s="87">
        <v>289.3735</v>
      </c>
      <c r="AB533" s="87">
        <v>48.14914</v>
      </c>
      <c r="AC533" s="87">
        <v>214.6603</v>
      </c>
      <c r="AD533" s="87">
        <v>289.3735</v>
      </c>
      <c r="AE533" s="87">
        <v>566.4787</v>
      </c>
      <c r="AF533" s="87">
        <v>213.963</v>
      </c>
      <c r="AG533" s="87">
        <v>283.2393</v>
      </c>
      <c r="AH533" s="87">
        <v>0.0</v>
      </c>
      <c r="AI533" s="87">
        <v>149.7945</v>
      </c>
      <c r="AJ533" s="87">
        <v>33.14633</v>
      </c>
      <c r="AK533" s="87">
        <v>96.74148</v>
      </c>
      <c r="AL533" s="88" t="s">
        <v>1396</v>
      </c>
    </row>
    <row r="534">
      <c r="A534" s="84" t="s">
        <v>2103</v>
      </c>
      <c r="B534" s="84" t="s">
        <v>2104</v>
      </c>
      <c r="C534" s="84" t="s">
        <v>341</v>
      </c>
      <c r="D534" s="84" t="s">
        <v>342</v>
      </c>
      <c r="E534" s="84" t="s">
        <v>1413</v>
      </c>
      <c r="F534" s="87">
        <v>1.0</v>
      </c>
      <c r="G534" s="87">
        <v>0.0</v>
      </c>
      <c r="H534" s="87">
        <v>817.0</v>
      </c>
      <c r="I534" s="87">
        <v>0.0</v>
      </c>
      <c r="J534" s="87">
        <v>263.0071</v>
      </c>
      <c r="K534" s="87">
        <v>305.4729</v>
      </c>
      <c r="L534" s="87">
        <v>271.7496</v>
      </c>
      <c r="M534" s="87">
        <v>305.4729</v>
      </c>
      <c r="N534" s="87">
        <v>1.0</v>
      </c>
      <c r="O534" s="87">
        <v>305.4729</v>
      </c>
      <c r="P534" s="87">
        <v>305.4729</v>
      </c>
      <c r="Q534" s="87">
        <v>305.4729</v>
      </c>
      <c r="R534" s="87">
        <v>305.4729</v>
      </c>
      <c r="S534" s="87">
        <v>305.4729</v>
      </c>
      <c r="T534" s="87">
        <v>305.4729</v>
      </c>
      <c r="U534" s="87">
        <v>305.4729</v>
      </c>
      <c r="V534" s="87">
        <v>305.4729</v>
      </c>
      <c r="W534" s="87">
        <v>305.4729</v>
      </c>
      <c r="X534" s="87">
        <v>305.4729</v>
      </c>
      <c r="Y534" s="87">
        <v>305.4729</v>
      </c>
      <c r="Z534" s="87">
        <v>0.0</v>
      </c>
      <c r="AA534" s="87">
        <v>289.3735</v>
      </c>
      <c r="AB534" s="87">
        <v>48.14914</v>
      </c>
      <c r="AC534" s="87">
        <v>214.6603</v>
      </c>
      <c r="AD534" s="87">
        <v>41.28333</v>
      </c>
      <c r="AE534" s="87">
        <v>305.4729</v>
      </c>
      <c r="AF534" s="87">
        <v>115.5854</v>
      </c>
      <c r="AG534" s="87">
        <v>305.4729</v>
      </c>
      <c r="AH534" s="87">
        <v>0.0</v>
      </c>
      <c r="AI534" s="87">
        <v>149.7945</v>
      </c>
      <c r="AJ534" s="87">
        <v>33.14633</v>
      </c>
      <c r="AK534" s="87">
        <v>96.74148</v>
      </c>
      <c r="AL534" s="88" t="s">
        <v>1396</v>
      </c>
    </row>
    <row r="535">
      <c r="A535" s="84" t="s">
        <v>2105</v>
      </c>
      <c r="B535" s="84" t="s">
        <v>2106</v>
      </c>
      <c r="C535" s="84" t="s">
        <v>341</v>
      </c>
      <c r="D535" s="84" t="s">
        <v>342</v>
      </c>
      <c r="E535" s="84" t="s">
        <v>1400</v>
      </c>
      <c r="F535" s="87">
        <v>2.0</v>
      </c>
      <c r="G535" s="87">
        <v>0.0</v>
      </c>
      <c r="H535" s="87">
        <v>6601.0</v>
      </c>
      <c r="I535" s="87">
        <v>0.0</v>
      </c>
      <c r="J535" s="87">
        <v>113.2617</v>
      </c>
      <c r="K535" s="87">
        <v>193.483</v>
      </c>
      <c r="L535" s="87">
        <v>149.8115</v>
      </c>
      <c r="M535" s="87">
        <v>149.7945</v>
      </c>
      <c r="N535" s="87">
        <v>0.7742</v>
      </c>
      <c r="O535" s="87">
        <v>43.68844</v>
      </c>
      <c r="P535" s="87">
        <v>43.68844</v>
      </c>
      <c r="Q535" s="87">
        <v>43.68844</v>
      </c>
      <c r="R535" s="87">
        <v>149.7945</v>
      </c>
      <c r="S535" s="87">
        <v>149.7945</v>
      </c>
      <c r="T535" s="87">
        <v>43.68844</v>
      </c>
      <c r="U535" s="87">
        <v>43.68844</v>
      </c>
      <c r="V535" s="87">
        <v>43.68844</v>
      </c>
      <c r="W535" s="87">
        <v>149.7945</v>
      </c>
      <c r="X535" s="87">
        <v>149.7945</v>
      </c>
      <c r="Y535" s="87">
        <v>96.74148</v>
      </c>
      <c r="Z535" s="87">
        <v>0.0</v>
      </c>
      <c r="AA535" s="87">
        <v>289.3735</v>
      </c>
      <c r="AB535" s="87">
        <v>48.14914</v>
      </c>
      <c r="AC535" s="87">
        <v>214.6603</v>
      </c>
      <c r="AD535" s="87">
        <v>42.88627</v>
      </c>
      <c r="AE535" s="87">
        <v>126.8209</v>
      </c>
      <c r="AF535" s="87">
        <v>63.43911</v>
      </c>
      <c r="AG535" s="87">
        <v>71.48531</v>
      </c>
      <c r="AH535" s="87">
        <v>0.0</v>
      </c>
      <c r="AI535" s="87">
        <v>149.7945</v>
      </c>
      <c r="AJ535" s="87">
        <v>33.14633</v>
      </c>
      <c r="AK535" s="87">
        <v>96.74148</v>
      </c>
      <c r="AL535" s="88" t="s">
        <v>1396</v>
      </c>
    </row>
    <row r="536">
      <c r="A536" s="84" t="s">
        <v>2107</v>
      </c>
      <c r="B536" s="84" t="s">
        <v>2108</v>
      </c>
      <c r="C536" s="84" t="s">
        <v>341</v>
      </c>
      <c r="D536" s="84" t="s">
        <v>342</v>
      </c>
      <c r="E536" s="86">
        <v>46300.0</v>
      </c>
      <c r="F536" s="87">
        <v>1.0</v>
      </c>
      <c r="G536" s="87">
        <v>0.0</v>
      </c>
      <c r="H536" s="87">
        <v>3374.0</v>
      </c>
      <c r="I536" s="87">
        <v>0.0</v>
      </c>
      <c r="J536" s="87">
        <v>291.8846</v>
      </c>
      <c r="K536" s="87">
        <v>214.6603</v>
      </c>
      <c r="L536" s="87">
        <v>160.3886</v>
      </c>
      <c r="M536" s="87">
        <v>214.6603</v>
      </c>
      <c r="N536" s="87">
        <v>1.0</v>
      </c>
      <c r="O536" s="87">
        <v>214.6603</v>
      </c>
      <c r="P536" s="87">
        <v>214.6603</v>
      </c>
      <c r="Q536" s="87">
        <v>214.6603</v>
      </c>
      <c r="R536" s="87">
        <v>214.6603</v>
      </c>
      <c r="S536" s="87">
        <v>214.6603</v>
      </c>
      <c r="T536" s="87">
        <v>214.6603</v>
      </c>
      <c r="U536" s="87">
        <v>214.6603</v>
      </c>
      <c r="V536" s="87">
        <v>214.6603</v>
      </c>
      <c r="W536" s="87">
        <v>214.6603</v>
      </c>
      <c r="X536" s="87">
        <v>214.6603</v>
      </c>
      <c r="Y536" s="87">
        <v>214.6603</v>
      </c>
      <c r="Z536" s="87">
        <v>0.0</v>
      </c>
      <c r="AA536" s="87">
        <v>289.3735</v>
      </c>
      <c r="AB536" s="87">
        <v>48.14914</v>
      </c>
      <c r="AC536" s="87">
        <v>214.6603</v>
      </c>
      <c r="AD536" s="87">
        <v>92.45479</v>
      </c>
      <c r="AE536" s="87">
        <v>214.6603</v>
      </c>
      <c r="AF536" s="87">
        <v>136.3465</v>
      </c>
      <c r="AG536" s="87">
        <v>214.6603</v>
      </c>
      <c r="AH536" s="87">
        <v>0.0</v>
      </c>
      <c r="AI536" s="87">
        <v>149.7945</v>
      </c>
      <c r="AJ536" s="87">
        <v>33.14633</v>
      </c>
      <c r="AK536" s="87">
        <v>96.74148</v>
      </c>
      <c r="AL536" s="88" t="s">
        <v>1396</v>
      </c>
    </row>
    <row r="537">
      <c r="A537" s="84" t="s">
        <v>2109</v>
      </c>
      <c r="B537" s="84" t="s">
        <v>2110</v>
      </c>
      <c r="C537" s="84" t="s">
        <v>341</v>
      </c>
      <c r="D537" s="84" t="s">
        <v>342</v>
      </c>
      <c r="E537" s="84" t="s">
        <v>1403</v>
      </c>
      <c r="F537" s="87">
        <v>22.0</v>
      </c>
      <c r="G537" s="87">
        <v>0.0</v>
      </c>
      <c r="H537" s="87">
        <v>0.0</v>
      </c>
      <c r="I537" s="87">
        <v>0.0</v>
      </c>
      <c r="J537" s="87">
        <v>0.0</v>
      </c>
      <c r="K537" s="87">
        <v>0.0</v>
      </c>
      <c r="L537" s="87">
        <v>0.0</v>
      </c>
      <c r="M537" s="87">
        <v>0.0</v>
      </c>
      <c r="N537" s="87">
        <v>0.0</v>
      </c>
      <c r="O537" s="87">
        <v>0.0</v>
      </c>
      <c r="P537" s="87">
        <v>0.0</v>
      </c>
      <c r="Q537" s="87">
        <v>0.0</v>
      </c>
      <c r="R537" s="87">
        <v>0.0</v>
      </c>
      <c r="S537" s="87">
        <v>0.0</v>
      </c>
      <c r="T537" s="87">
        <v>0.0</v>
      </c>
      <c r="U537" s="87">
        <v>0.0</v>
      </c>
      <c r="V537" s="87">
        <v>0.0</v>
      </c>
      <c r="W537" s="87">
        <v>0.0</v>
      </c>
      <c r="X537" s="87">
        <v>0.0</v>
      </c>
      <c r="Y537" s="87">
        <v>0.0</v>
      </c>
      <c r="Z537" s="87">
        <v>0.0</v>
      </c>
      <c r="AA537" s="87">
        <v>289.3735</v>
      </c>
      <c r="AB537" s="87">
        <v>48.14914</v>
      </c>
      <c r="AC537" s="87">
        <v>214.6603</v>
      </c>
      <c r="AD537" s="87">
        <v>0.0</v>
      </c>
      <c r="AE537" s="87">
        <v>0.0</v>
      </c>
      <c r="AF537" s="87">
        <v>0.0</v>
      </c>
      <c r="AG537" s="87">
        <v>0.0</v>
      </c>
      <c r="AH537" s="87">
        <v>0.0</v>
      </c>
      <c r="AI537" s="87">
        <v>149.7945</v>
      </c>
      <c r="AJ537" s="87">
        <v>33.14633</v>
      </c>
      <c r="AK537" s="87">
        <v>96.74148</v>
      </c>
      <c r="AL537" s="88" t="s">
        <v>1396</v>
      </c>
    </row>
    <row r="538">
      <c r="A538" s="84" t="s">
        <v>2111</v>
      </c>
      <c r="B538" s="84" t="s">
        <v>2112</v>
      </c>
      <c r="C538" s="84" t="s">
        <v>341</v>
      </c>
      <c r="D538" s="84" t="s">
        <v>345</v>
      </c>
      <c r="E538" s="84" t="s">
        <v>1398</v>
      </c>
      <c r="F538" s="87">
        <v>2.0</v>
      </c>
      <c r="G538" s="87">
        <v>0.0</v>
      </c>
      <c r="H538" s="87">
        <v>5153.0</v>
      </c>
      <c r="I538" s="87">
        <v>0.0</v>
      </c>
      <c r="J538" s="87">
        <v>372.5698</v>
      </c>
      <c r="K538" s="87">
        <v>377.9795</v>
      </c>
      <c r="L538" s="87">
        <v>322.5114</v>
      </c>
      <c r="M538" s="87">
        <v>377.9795</v>
      </c>
      <c r="N538" s="87">
        <v>1.0</v>
      </c>
      <c r="O538" s="87">
        <v>0.0</v>
      </c>
      <c r="P538" s="87">
        <v>0.0</v>
      </c>
      <c r="Q538" s="87">
        <v>0.0</v>
      </c>
      <c r="R538" s="87">
        <v>377.9795</v>
      </c>
      <c r="S538" s="87">
        <v>377.9795</v>
      </c>
      <c r="T538" s="87">
        <v>377.9795</v>
      </c>
      <c r="U538" s="87">
        <v>377.9795</v>
      </c>
      <c r="V538" s="87">
        <v>377.9795</v>
      </c>
      <c r="W538" s="87">
        <v>377.9795</v>
      </c>
      <c r="X538" s="87">
        <v>377.9795</v>
      </c>
      <c r="Y538" s="87">
        <v>188.9897</v>
      </c>
      <c r="Z538" s="87">
        <v>0.0</v>
      </c>
      <c r="AA538" s="87">
        <v>128.7029</v>
      </c>
      <c r="AB538" s="87">
        <v>37.99448</v>
      </c>
      <c r="AC538" s="87">
        <v>71.48531</v>
      </c>
      <c r="AD538" s="87">
        <v>0.0</v>
      </c>
      <c r="AE538" s="87">
        <v>377.9795</v>
      </c>
      <c r="AF538" s="87">
        <v>47.24743</v>
      </c>
      <c r="AG538" s="87">
        <v>188.9897</v>
      </c>
      <c r="AH538" s="87">
        <v>0.0</v>
      </c>
      <c r="AI538" s="87">
        <v>149.7945</v>
      </c>
      <c r="AJ538" s="87">
        <v>33.14633</v>
      </c>
      <c r="AK538" s="87">
        <v>96.74148</v>
      </c>
      <c r="AL538" s="88" t="s">
        <v>1396</v>
      </c>
    </row>
    <row r="539">
      <c r="A539" s="84" t="s">
        <v>2105</v>
      </c>
      <c r="B539" s="84" t="s">
        <v>2113</v>
      </c>
      <c r="C539" s="84" t="s">
        <v>341</v>
      </c>
      <c r="D539" s="84" t="s">
        <v>345</v>
      </c>
      <c r="E539" s="84" t="s">
        <v>1400</v>
      </c>
      <c r="F539" s="87">
        <v>8.0</v>
      </c>
      <c r="G539" s="87">
        <v>0.0</v>
      </c>
      <c r="H539" s="87">
        <v>10270.0</v>
      </c>
      <c r="I539" s="87">
        <v>0.0</v>
      </c>
      <c r="J539" s="87">
        <v>493.4632</v>
      </c>
      <c r="K539" s="87">
        <v>571.8825</v>
      </c>
      <c r="L539" s="87">
        <v>502.4056</v>
      </c>
      <c r="M539" s="87">
        <v>354.0093</v>
      </c>
      <c r="N539" s="87">
        <v>0.619025</v>
      </c>
      <c r="O539" s="87">
        <v>0.0</v>
      </c>
      <c r="P539" s="87">
        <v>0.0</v>
      </c>
      <c r="Q539" s="87">
        <v>0.0</v>
      </c>
      <c r="R539" s="87">
        <v>91.05228</v>
      </c>
      <c r="S539" s="87">
        <v>126.8209</v>
      </c>
      <c r="T539" s="87">
        <v>91.05228</v>
      </c>
      <c r="U539" s="87">
        <v>91.05228</v>
      </c>
      <c r="V539" s="87">
        <v>126.8209</v>
      </c>
      <c r="W539" s="87">
        <v>128.7029</v>
      </c>
      <c r="X539" s="87">
        <v>128.7029</v>
      </c>
      <c r="Y539" s="87">
        <v>71.48531</v>
      </c>
      <c r="Z539" s="87">
        <v>0.0</v>
      </c>
      <c r="AA539" s="87">
        <v>128.7029</v>
      </c>
      <c r="AB539" s="87">
        <v>37.99448</v>
      </c>
      <c r="AC539" s="87">
        <v>71.48531</v>
      </c>
      <c r="AD539" s="87">
        <v>42.88627</v>
      </c>
      <c r="AE539" s="87">
        <v>126.8209</v>
      </c>
      <c r="AF539" s="87">
        <v>63.43911</v>
      </c>
      <c r="AG539" s="87">
        <v>71.48531</v>
      </c>
      <c r="AH539" s="87">
        <v>0.0</v>
      </c>
      <c r="AI539" s="87">
        <v>149.7945</v>
      </c>
      <c r="AJ539" s="87">
        <v>33.14633</v>
      </c>
      <c r="AK539" s="87">
        <v>96.74148</v>
      </c>
      <c r="AL539" s="88" t="s">
        <v>1396</v>
      </c>
    </row>
    <row r="540">
      <c r="A540" s="84" t="s">
        <v>2109</v>
      </c>
      <c r="B540" s="84" t="s">
        <v>2114</v>
      </c>
      <c r="C540" s="84" t="s">
        <v>341</v>
      </c>
      <c r="D540" s="84" t="s">
        <v>345</v>
      </c>
      <c r="E540" s="84" t="s">
        <v>1403</v>
      </c>
      <c r="F540" s="87">
        <v>15.0</v>
      </c>
      <c r="G540" s="87">
        <v>0.0</v>
      </c>
      <c r="H540" s="87">
        <v>0.0</v>
      </c>
      <c r="I540" s="87">
        <v>0.0</v>
      </c>
      <c r="J540" s="87">
        <v>0.0</v>
      </c>
      <c r="K540" s="87">
        <v>0.0</v>
      </c>
      <c r="L540" s="87">
        <v>0.0</v>
      </c>
      <c r="M540" s="87">
        <v>0.0</v>
      </c>
      <c r="N540" s="87">
        <v>0.0</v>
      </c>
      <c r="O540" s="87">
        <v>0.0</v>
      </c>
      <c r="P540" s="87">
        <v>0.0</v>
      </c>
      <c r="Q540" s="87">
        <v>0.0</v>
      </c>
      <c r="R540" s="87">
        <v>0.0</v>
      </c>
      <c r="S540" s="87">
        <v>0.0</v>
      </c>
      <c r="T540" s="87">
        <v>0.0</v>
      </c>
      <c r="U540" s="87">
        <v>0.0</v>
      </c>
      <c r="V540" s="87">
        <v>0.0</v>
      </c>
      <c r="W540" s="87">
        <v>0.0</v>
      </c>
      <c r="X540" s="87">
        <v>0.0</v>
      </c>
      <c r="Y540" s="87">
        <v>0.0</v>
      </c>
      <c r="Z540" s="87">
        <v>0.0</v>
      </c>
      <c r="AA540" s="87">
        <v>128.7029</v>
      </c>
      <c r="AB540" s="87">
        <v>37.99448</v>
      </c>
      <c r="AC540" s="87">
        <v>71.48531</v>
      </c>
      <c r="AD540" s="87">
        <v>0.0</v>
      </c>
      <c r="AE540" s="87">
        <v>0.0</v>
      </c>
      <c r="AF540" s="87">
        <v>0.0</v>
      </c>
      <c r="AG540" s="87">
        <v>0.0</v>
      </c>
      <c r="AH540" s="87">
        <v>0.0</v>
      </c>
      <c r="AI540" s="87">
        <v>149.7945</v>
      </c>
      <c r="AJ540" s="87">
        <v>33.14633</v>
      </c>
      <c r="AK540" s="87">
        <v>96.74148</v>
      </c>
      <c r="AL540" s="88" t="s">
        <v>1396</v>
      </c>
    </row>
    <row r="541">
      <c r="A541" s="84" t="s">
        <v>2101</v>
      </c>
      <c r="B541" s="84" t="s">
        <v>2115</v>
      </c>
      <c r="C541" s="84" t="s">
        <v>341</v>
      </c>
      <c r="D541" s="84" t="s">
        <v>353</v>
      </c>
      <c r="E541" s="86">
        <v>46310.0</v>
      </c>
      <c r="F541" s="87">
        <v>2.0</v>
      </c>
      <c r="G541" s="87">
        <v>0.0</v>
      </c>
      <c r="H541" s="87">
        <v>3759.0</v>
      </c>
      <c r="I541" s="87">
        <v>0.0</v>
      </c>
      <c r="J541" s="87">
        <v>562.1729</v>
      </c>
      <c r="K541" s="87">
        <v>566.4787</v>
      </c>
      <c r="L541" s="87">
        <v>438.1249</v>
      </c>
      <c r="M541" s="87">
        <v>566.4787</v>
      </c>
      <c r="N541" s="87">
        <v>1.0</v>
      </c>
      <c r="O541" s="87">
        <v>0.0</v>
      </c>
      <c r="P541" s="87">
        <v>0.0</v>
      </c>
      <c r="Q541" s="87">
        <v>0.0</v>
      </c>
      <c r="R541" s="87">
        <v>566.4787</v>
      </c>
      <c r="S541" s="87">
        <v>566.4787</v>
      </c>
      <c r="T541" s="87">
        <v>566.4787</v>
      </c>
      <c r="U541" s="87">
        <v>566.4787</v>
      </c>
      <c r="V541" s="87">
        <v>566.4787</v>
      </c>
      <c r="W541" s="87">
        <v>566.4787</v>
      </c>
      <c r="X541" s="87">
        <v>566.4787</v>
      </c>
      <c r="Y541" s="87">
        <v>283.2393</v>
      </c>
      <c r="Z541" s="87">
        <v>0.0</v>
      </c>
      <c r="AA541" s="87">
        <v>92.45479</v>
      </c>
      <c r="AB541" s="87">
        <v>22.23877</v>
      </c>
      <c r="AC541" s="87">
        <v>20.64167</v>
      </c>
      <c r="AD541" s="87">
        <v>289.3735</v>
      </c>
      <c r="AE541" s="87">
        <v>566.4787</v>
      </c>
      <c r="AF541" s="87">
        <v>213.963</v>
      </c>
      <c r="AG541" s="87">
        <v>283.2393</v>
      </c>
      <c r="AH541" s="87">
        <v>0.0</v>
      </c>
      <c r="AI541" s="87">
        <v>149.7945</v>
      </c>
      <c r="AJ541" s="87">
        <v>33.14633</v>
      </c>
      <c r="AK541" s="87">
        <v>96.74148</v>
      </c>
      <c r="AL541" s="88" t="s">
        <v>1396</v>
      </c>
    </row>
    <row r="542">
      <c r="A542" s="84" t="s">
        <v>2103</v>
      </c>
      <c r="B542" s="84" t="s">
        <v>2116</v>
      </c>
      <c r="C542" s="84" t="s">
        <v>341</v>
      </c>
      <c r="D542" s="84" t="s">
        <v>353</v>
      </c>
      <c r="E542" s="84" t="s">
        <v>1413</v>
      </c>
      <c r="F542" s="87">
        <v>2.0</v>
      </c>
      <c r="G542" s="87">
        <v>0.0</v>
      </c>
      <c r="H542" s="87">
        <v>934.0</v>
      </c>
      <c r="I542" s="87">
        <v>0.0</v>
      </c>
      <c r="J542" s="87">
        <v>41.28333</v>
      </c>
      <c r="K542" s="87">
        <v>41.28333</v>
      </c>
      <c r="L542" s="87">
        <v>41.28333</v>
      </c>
      <c r="M542" s="87">
        <v>41.28333</v>
      </c>
      <c r="N542" s="87">
        <v>1.0</v>
      </c>
      <c r="O542" s="87">
        <v>0.0</v>
      </c>
      <c r="P542" s="87">
        <v>0.0</v>
      </c>
      <c r="Q542" s="87">
        <v>0.0</v>
      </c>
      <c r="R542" s="87">
        <v>41.28333</v>
      </c>
      <c r="S542" s="87">
        <v>41.28333</v>
      </c>
      <c r="T542" s="87">
        <v>41.28333</v>
      </c>
      <c r="U542" s="87">
        <v>41.28333</v>
      </c>
      <c r="V542" s="87">
        <v>41.28333</v>
      </c>
      <c r="W542" s="87">
        <v>41.28333</v>
      </c>
      <c r="X542" s="87">
        <v>41.28333</v>
      </c>
      <c r="Y542" s="87">
        <v>20.64167</v>
      </c>
      <c r="Z542" s="87">
        <v>0.0</v>
      </c>
      <c r="AA542" s="87">
        <v>92.45479</v>
      </c>
      <c r="AB542" s="87">
        <v>22.23877</v>
      </c>
      <c r="AC542" s="87">
        <v>20.64167</v>
      </c>
      <c r="AD542" s="87">
        <v>41.28333</v>
      </c>
      <c r="AE542" s="87">
        <v>305.4729</v>
      </c>
      <c r="AF542" s="87">
        <v>115.5854</v>
      </c>
      <c r="AG542" s="87">
        <v>305.4729</v>
      </c>
      <c r="AH542" s="87">
        <v>0.0</v>
      </c>
      <c r="AI542" s="87">
        <v>149.7945</v>
      </c>
      <c r="AJ542" s="87">
        <v>33.14633</v>
      </c>
      <c r="AK542" s="87">
        <v>96.74148</v>
      </c>
      <c r="AL542" s="88" t="s">
        <v>1396</v>
      </c>
    </row>
    <row r="543">
      <c r="A543" s="84" t="s">
        <v>2111</v>
      </c>
      <c r="B543" s="84" t="s">
        <v>2117</v>
      </c>
      <c r="C543" s="84" t="s">
        <v>341</v>
      </c>
      <c r="D543" s="84" t="s">
        <v>353</v>
      </c>
      <c r="E543" s="84" t="s">
        <v>1398</v>
      </c>
      <c r="F543" s="87">
        <v>6.0</v>
      </c>
      <c r="G543" s="87">
        <v>0.0</v>
      </c>
      <c r="H543" s="87">
        <v>0.0</v>
      </c>
      <c r="I543" s="87">
        <v>0.0</v>
      </c>
      <c r="J543" s="87">
        <v>0.0</v>
      </c>
      <c r="K543" s="87">
        <v>0.0</v>
      </c>
      <c r="L543" s="87">
        <v>0.0</v>
      </c>
      <c r="M543" s="87">
        <v>0.0</v>
      </c>
      <c r="N543" s="87">
        <v>0.0</v>
      </c>
      <c r="O543" s="87">
        <v>0.0</v>
      </c>
      <c r="P543" s="87">
        <v>0.0</v>
      </c>
      <c r="Q543" s="87">
        <v>0.0</v>
      </c>
      <c r="R543" s="87">
        <v>0.0</v>
      </c>
      <c r="S543" s="87">
        <v>0.0</v>
      </c>
      <c r="T543" s="87">
        <v>0.0</v>
      </c>
      <c r="U543" s="87">
        <v>0.0</v>
      </c>
      <c r="V543" s="87">
        <v>0.0</v>
      </c>
      <c r="W543" s="87">
        <v>0.0</v>
      </c>
      <c r="X543" s="87">
        <v>0.0</v>
      </c>
      <c r="Y543" s="87">
        <v>0.0</v>
      </c>
      <c r="Z543" s="87">
        <v>0.0</v>
      </c>
      <c r="AA543" s="87">
        <v>92.45479</v>
      </c>
      <c r="AB543" s="87">
        <v>22.23877</v>
      </c>
      <c r="AC543" s="87">
        <v>20.64167</v>
      </c>
      <c r="AD543" s="87">
        <v>0.0</v>
      </c>
      <c r="AE543" s="87">
        <v>377.9795</v>
      </c>
      <c r="AF543" s="87">
        <v>47.24743</v>
      </c>
      <c r="AG543" s="87">
        <v>188.9897</v>
      </c>
      <c r="AH543" s="87">
        <v>0.0</v>
      </c>
      <c r="AI543" s="87">
        <v>149.7945</v>
      </c>
      <c r="AJ543" s="87">
        <v>33.14633</v>
      </c>
      <c r="AK543" s="87">
        <v>96.74148</v>
      </c>
      <c r="AL543" s="88" t="s">
        <v>1396</v>
      </c>
    </row>
    <row r="544">
      <c r="A544" s="84" t="s">
        <v>2105</v>
      </c>
      <c r="B544" s="84" t="s">
        <v>2118</v>
      </c>
      <c r="C544" s="84" t="s">
        <v>341</v>
      </c>
      <c r="D544" s="84" t="s">
        <v>353</v>
      </c>
      <c r="E544" s="84" t="s">
        <v>1400</v>
      </c>
      <c r="F544" s="87">
        <v>3.0</v>
      </c>
      <c r="G544" s="87">
        <v>0.0</v>
      </c>
      <c r="H544" s="87">
        <v>2353.0</v>
      </c>
      <c r="I544" s="87">
        <v>0.0</v>
      </c>
      <c r="J544" s="87">
        <v>61.32808</v>
      </c>
      <c r="K544" s="87">
        <v>59.343</v>
      </c>
      <c r="L544" s="87">
        <v>56.58403</v>
      </c>
      <c r="M544" s="87">
        <v>42.88627</v>
      </c>
      <c r="N544" s="87">
        <v>0.722685</v>
      </c>
      <c r="O544" s="87">
        <v>0.0</v>
      </c>
      <c r="P544" s="87">
        <v>0.0</v>
      </c>
      <c r="Q544" s="87">
        <v>0.0</v>
      </c>
      <c r="R544" s="87">
        <v>16.45673</v>
      </c>
      <c r="S544" s="87">
        <v>42.88627</v>
      </c>
      <c r="T544" s="87">
        <v>16.45673</v>
      </c>
      <c r="U544" s="87">
        <v>16.45673</v>
      </c>
      <c r="V544" s="87">
        <v>16.45673</v>
      </c>
      <c r="W544" s="87">
        <v>42.88627</v>
      </c>
      <c r="X544" s="87">
        <v>42.88627</v>
      </c>
      <c r="Y544" s="87">
        <v>19.781</v>
      </c>
      <c r="Z544" s="87">
        <v>0.0</v>
      </c>
      <c r="AA544" s="87">
        <v>92.45479</v>
      </c>
      <c r="AB544" s="87">
        <v>22.23877</v>
      </c>
      <c r="AC544" s="87">
        <v>20.64167</v>
      </c>
      <c r="AD544" s="87">
        <v>42.88627</v>
      </c>
      <c r="AE544" s="87">
        <v>126.8209</v>
      </c>
      <c r="AF544" s="87">
        <v>63.43911</v>
      </c>
      <c r="AG544" s="87">
        <v>71.48531</v>
      </c>
      <c r="AH544" s="87">
        <v>0.0</v>
      </c>
      <c r="AI544" s="87">
        <v>149.7945</v>
      </c>
      <c r="AJ544" s="87">
        <v>33.14633</v>
      </c>
      <c r="AK544" s="87">
        <v>96.74148</v>
      </c>
      <c r="AL544" s="88" t="s">
        <v>1396</v>
      </c>
    </row>
    <row r="545">
      <c r="A545" s="84" t="s">
        <v>2107</v>
      </c>
      <c r="B545" s="84" t="s">
        <v>2119</v>
      </c>
      <c r="C545" s="84" t="s">
        <v>341</v>
      </c>
      <c r="D545" s="84" t="s">
        <v>353</v>
      </c>
      <c r="E545" s="89">
        <v>46300.0</v>
      </c>
      <c r="F545" s="87">
        <v>4.0</v>
      </c>
      <c r="G545" s="87">
        <v>0.0</v>
      </c>
      <c r="H545" s="87">
        <v>19792.0</v>
      </c>
      <c r="I545" s="87">
        <v>0.0</v>
      </c>
      <c r="J545" s="87">
        <v>609.9578</v>
      </c>
      <c r="K545" s="87">
        <v>467.0723</v>
      </c>
      <c r="L545" s="87">
        <v>378.8508</v>
      </c>
      <c r="M545" s="87">
        <v>374.6175</v>
      </c>
      <c r="N545" s="87">
        <v>0.802055</v>
      </c>
      <c r="O545" s="87">
        <v>0.0</v>
      </c>
      <c r="P545" s="87">
        <v>0.0</v>
      </c>
      <c r="Q545" s="87">
        <v>0.0</v>
      </c>
      <c r="R545" s="87">
        <v>92.45479</v>
      </c>
      <c r="S545" s="87">
        <v>92.45479</v>
      </c>
      <c r="T545" s="87">
        <v>92.45479</v>
      </c>
      <c r="U545" s="87">
        <v>92.45479</v>
      </c>
      <c r="V545" s="87">
        <v>92.45479</v>
      </c>
      <c r="W545" s="87">
        <v>374.6175</v>
      </c>
      <c r="X545" s="87">
        <v>374.6175</v>
      </c>
      <c r="Y545" s="87">
        <v>116.7681</v>
      </c>
      <c r="Z545" s="87">
        <v>0.0</v>
      </c>
      <c r="AA545" s="87">
        <v>92.45479</v>
      </c>
      <c r="AB545" s="87">
        <v>22.23877</v>
      </c>
      <c r="AC545" s="87">
        <v>20.64167</v>
      </c>
      <c r="AD545" s="87">
        <v>92.45479</v>
      </c>
      <c r="AE545" s="87">
        <v>214.6603</v>
      </c>
      <c r="AF545" s="87">
        <v>136.3465</v>
      </c>
      <c r="AG545" s="87">
        <v>214.6603</v>
      </c>
      <c r="AH545" s="87">
        <v>0.0</v>
      </c>
      <c r="AI545" s="87">
        <v>149.7945</v>
      </c>
      <c r="AJ545" s="87">
        <v>33.14633</v>
      </c>
      <c r="AK545" s="87">
        <v>96.74148</v>
      </c>
      <c r="AL545" s="88" t="s">
        <v>1396</v>
      </c>
    </row>
    <row r="546">
      <c r="A546" s="84" t="s">
        <v>2109</v>
      </c>
      <c r="B546" s="84" t="s">
        <v>2120</v>
      </c>
      <c r="C546" s="84" t="s">
        <v>341</v>
      </c>
      <c r="D546" s="84" t="s">
        <v>353</v>
      </c>
      <c r="E546" s="84" t="s">
        <v>1403</v>
      </c>
      <c r="F546" s="87">
        <v>34.0</v>
      </c>
      <c r="G546" s="87">
        <v>0.0</v>
      </c>
      <c r="H546" s="87">
        <v>0.0</v>
      </c>
      <c r="I546" s="87">
        <v>0.0</v>
      </c>
      <c r="J546" s="87">
        <v>0.0</v>
      </c>
      <c r="K546" s="87">
        <v>0.0</v>
      </c>
      <c r="L546" s="87">
        <v>0.0</v>
      </c>
      <c r="M546" s="87">
        <v>0.0</v>
      </c>
      <c r="N546" s="87">
        <v>0.0</v>
      </c>
      <c r="O546" s="87">
        <v>0.0</v>
      </c>
      <c r="P546" s="87">
        <v>0.0</v>
      </c>
      <c r="Q546" s="87">
        <v>0.0</v>
      </c>
      <c r="R546" s="87">
        <v>0.0</v>
      </c>
      <c r="S546" s="87">
        <v>0.0</v>
      </c>
      <c r="T546" s="87">
        <v>0.0</v>
      </c>
      <c r="U546" s="87">
        <v>0.0</v>
      </c>
      <c r="V546" s="87">
        <v>0.0</v>
      </c>
      <c r="W546" s="87">
        <v>0.0</v>
      </c>
      <c r="X546" s="87">
        <v>0.0</v>
      </c>
      <c r="Y546" s="87">
        <v>0.0</v>
      </c>
      <c r="Z546" s="87">
        <v>0.0</v>
      </c>
      <c r="AA546" s="87">
        <v>92.45479</v>
      </c>
      <c r="AB546" s="87">
        <v>22.23877</v>
      </c>
      <c r="AC546" s="87">
        <v>20.64167</v>
      </c>
      <c r="AD546" s="87">
        <v>0.0</v>
      </c>
      <c r="AE546" s="87">
        <v>0.0</v>
      </c>
      <c r="AF546" s="87">
        <v>0.0</v>
      </c>
      <c r="AG546" s="87">
        <v>0.0</v>
      </c>
      <c r="AH546" s="87">
        <v>0.0</v>
      </c>
      <c r="AI546" s="87">
        <v>149.7945</v>
      </c>
      <c r="AJ546" s="87">
        <v>33.14633</v>
      </c>
      <c r="AK546" s="87">
        <v>96.74148</v>
      </c>
      <c r="AL546" s="88" t="s">
        <v>1396</v>
      </c>
    </row>
    <row r="547">
      <c r="A547" s="84" t="s">
        <v>2121</v>
      </c>
      <c r="B547" s="84" t="s">
        <v>1410</v>
      </c>
      <c r="C547" s="84" t="s">
        <v>2122</v>
      </c>
      <c r="D547" s="84" t="s">
        <v>1406</v>
      </c>
      <c r="E547" s="84" t="s">
        <v>1403</v>
      </c>
      <c r="F547" s="87">
        <v>1.0</v>
      </c>
      <c r="G547" s="87">
        <v>0.0</v>
      </c>
      <c r="H547" s="87">
        <v>0.0</v>
      </c>
      <c r="I547" s="87">
        <v>0.0</v>
      </c>
      <c r="J547" s="87">
        <v>0.0</v>
      </c>
      <c r="K547" s="87">
        <v>0.0</v>
      </c>
      <c r="L547" s="87">
        <v>0.0</v>
      </c>
      <c r="M547" s="87">
        <v>0.0</v>
      </c>
      <c r="N547" s="87">
        <v>0.0</v>
      </c>
      <c r="O547" s="87">
        <v>0.0</v>
      </c>
      <c r="P547" s="87">
        <v>0.0</v>
      </c>
      <c r="Q547" s="87">
        <v>0.0</v>
      </c>
      <c r="R547" s="87">
        <v>0.0</v>
      </c>
      <c r="S547" s="87">
        <v>0.0</v>
      </c>
      <c r="T547" s="87">
        <v>0.0</v>
      </c>
      <c r="U547" s="87">
        <v>0.0</v>
      </c>
      <c r="V547" s="87">
        <v>0.0</v>
      </c>
      <c r="W547" s="87">
        <v>0.0</v>
      </c>
      <c r="X547" s="87">
        <v>0.0</v>
      </c>
      <c r="Y547" s="87">
        <v>0.0</v>
      </c>
      <c r="Z547" s="87">
        <v>0.0</v>
      </c>
      <c r="AA547" s="87">
        <v>2.034483</v>
      </c>
      <c r="AB547" s="87">
        <v>0.093992</v>
      </c>
      <c r="AC547" s="87">
        <v>0.0</v>
      </c>
      <c r="AD547" s="87">
        <v>0.0</v>
      </c>
      <c r="AE547" s="87">
        <v>0.0</v>
      </c>
      <c r="AF547" s="87">
        <v>0.0</v>
      </c>
      <c r="AG547" s="87">
        <v>0.0</v>
      </c>
      <c r="AH547" s="87">
        <v>0.0</v>
      </c>
      <c r="AI547" s="87">
        <v>0.0</v>
      </c>
      <c r="AJ547" s="87">
        <v>0.0</v>
      </c>
      <c r="AK547" s="87">
        <v>0.0</v>
      </c>
      <c r="AL547" s="88" t="s">
        <v>1396</v>
      </c>
    </row>
    <row r="548">
      <c r="A548" s="84" t="s">
        <v>2123</v>
      </c>
      <c r="B548" s="84" t="s">
        <v>2124</v>
      </c>
      <c r="C548" s="84" t="s">
        <v>2122</v>
      </c>
      <c r="D548" s="84" t="s">
        <v>2125</v>
      </c>
      <c r="E548" s="84" t="s">
        <v>1400</v>
      </c>
      <c r="F548" s="87">
        <v>20.0</v>
      </c>
      <c r="G548" s="87">
        <v>0.0</v>
      </c>
      <c r="H548" s="87">
        <v>0.0</v>
      </c>
      <c r="I548" s="87">
        <v>0.0</v>
      </c>
      <c r="J548" s="87">
        <v>0.0</v>
      </c>
      <c r="K548" s="87">
        <v>0.0</v>
      </c>
      <c r="L548" s="87">
        <v>0.0</v>
      </c>
      <c r="M548" s="87">
        <v>0.0</v>
      </c>
      <c r="N548" s="87">
        <v>0.0</v>
      </c>
      <c r="O548" s="87">
        <v>0.0</v>
      </c>
      <c r="P548" s="87">
        <v>0.0</v>
      </c>
      <c r="Q548" s="87">
        <v>0.0</v>
      </c>
      <c r="R548" s="87">
        <v>0.0</v>
      </c>
      <c r="S548" s="87">
        <v>0.0</v>
      </c>
      <c r="T548" s="87">
        <v>0.0</v>
      </c>
      <c r="U548" s="87">
        <v>0.0</v>
      </c>
      <c r="V548" s="87">
        <v>0.0</v>
      </c>
      <c r="W548" s="87">
        <v>0.0</v>
      </c>
      <c r="X548" s="87">
        <v>0.0</v>
      </c>
      <c r="Y548" s="87">
        <v>0.0</v>
      </c>
      <c r="Z548" s="87">
        <v>0.0</v>
      </c>
      <c r="AA548" s="87">
        <v>0.0</v>
      </c>
      <c r="AB548" s="87">
        <v>0.0</v>
      </c>
      <c r="AC548" s="87">
        <v>0.0</v>
      </c>
      <c r="AD548" s="87">
        <v>0.0</v>
      </c>
      <c r="AE548" s="87">
        <v>0.0</v>
      </c>
      <c r="AF548" s="87">
        <v>0.0</v>
      </c>
      <c r="AG548" s="87">
        <v>0.0</v>
      </c>
      <c r="AH548" s="87">
        <v>0.0</v>
      </c>
      <c r="AI548" s="87">
        <v>0.0</v>
      </c>
      <c r="AJ548" s="87">
        <v>0.0</v>
      </c>
      <c r="AK548" s="87">
        <v>0.0</v>
      </c>
      <c r="AL548" s="88" t="s">
        <v>1396</v>
      </c>
    </row>
    <row r="549">
      <c r="A549" s="84" t="s">
        <v>2126</v>
      </c>
      <c r="B549" s="84" t="s">
        <v>2127</v>
      </c>
      <c r="C549" s="84" t="s">
        <v>357</v>
      </c>
      <c r="D549" s="84" t="s">
        <v>920</v>
      </c>
      <c r="E549" s="84" t="s">
        <v>1398</v>
      </c>
      <c r="F549" s="87">
        <v>2.0</v>
      </c>
      <c r="G549" s="87">
        <v>0.0</v>
      </c>
      <c r="H549" s="87">
        <v>79.0</v>
      </c>
      <c r="I549" s="87">
        <v>0.0</v>
      </c>
      <c r="J549" s="87">
        <v>5.855517</v>
      </c>
      <c r="K549" s="87">
        <v>6.409657</v>
      </c>
      <c r="L549" s="87">
        <v>6.856138</v>
      </c>
      <c r="M549" s="87">
        <v>6.409657</v>
      </c>
      <c r="N549" s="87">
        <v>1.0</v>
      </c>
      <c r="O549" s="87">
        <v>0.0</v>
      </c>
      <c r="P549" s="87">
        <v>0.0</v>
      </c>
      <c r="Q549" s="87">
        <v>0.0</v>
      </c>
      <c r="R549" s="87">
        <v>6.409657</v>
      </c>
      <c r="S549" s="87">
        <v>6.409657</v>
      </c>
      <c r="T549" s="87">
        <v>6.409657</v>
      </c>
      <c r="U549" s="87">
        <v>6.409657</v>
      </c>
      <c r="V549" s="87">
        <v>6.409657</v>
      </c>
      <c r="W549" s="87">
        <v>6.409657</v>
      </c>
      <c r="X549" s="87">
        <v>6.409657</v>
      </c>
      <c r="Y549" s="87">
        <v>3.204829</v>
      </c>
      <c r="Z549" s="87">
        <v>0.0</v>
      </c>
      <c r="AA549" s="87">
        <v>7.166667</v>
      </c>
      <c r="AB549" s="87">
        <v>0.938998</v>
      </c>
      <c r="AC549" s="87">
        <v>3.204829</v>
      </c>
      <c r="AD549" s="87">
        <v>6.409657</v>
      </c>
      <c r="AE549" s="87">
        <v>6.409657</v>
      </c>
      <c r="AF549" s="87">
        <v>3.204829</v>
      </c>
      <c r="AG549" s="87">
        <v>3.204829</v>
      </c>
      <c r="AH549" s="87">
        <v>0.0</v>
      </c>
      <c r="AI549" s="87">
        <v>13.53545</v>
      </c>
      <c r="AJ549" s="87">
        <v>2.121092</v>
      </c>
      <c r="AK549" s="87">
        <v>3.204829</v>
      </c>
      <c r="AL549" s="88" t="s">
        <v>1396</v>
      </c>
    </row>
    <row r="550">
      <c r="A550" s="84" t="s">
        <v>2128</v>
      </c>
      <c r="B550" s="84" t="s">
        <v>2129</v>
      </c>
      <c r="C550" s="84" t="s">
        <v>357</v>
      </c>
      <c r="D550" s="84" t="s">
        <v>920</v>
      </c>
      <c r="E550" s="84" t="s">
        <v>1400</v>
      </c>
      <c r="F550" s="87">
        <v>10.0</v>
      </c>
      <c r="G550" s="87">
        <v>0.0</v>
      </c>
      <c r="H550" s="87">
        <v>283.0</v>
      </c>
      <c r="I550" s="87">
        <v>0.0</v>
      </c>
      <c r="J550" s="87">
        <v>32.67516</v>
      </c>
      <c r="K550" s="87">
        <v>46.17425</v>
      </c>
      <c r="L550" s="87">
        <v>53.98394</v>
      </c>
      <c r="M550" s="87">
        <v>29.3619</v>
      </c>
      <c r="N550" s="87">
        <v>0.635894</v>
      </c>
      <c r="O550" s="87">
        <v>0.0</v>
      </c>
      <c r="P550" s="87">
        <v>0.0</v>
      </c>
      <c r="Q550" s="87">
        <v>0.0</v>
      </c>
      <c r="R550" s="87">
        <v>3.145675</v>
      </c>
      <c r="S550" s="87">
        <v>7.166667</v>
      </c>
      <c r="T550" s="87">
        <v>3.145675</v>
      </c>
      <c r="U550" s="87">
        <v>6.5</v>
      </c>
      <c r="V550" s="87">
        <v>6.5</v>
      </c>
      <c r="W550" s="87">
        <v>7.166667</v>
      </c>
      <c r="X550" s="87">
        <v>13.65896</v>
      </c>
      <c r="Y550" s="87">
        <v>4.617425</v>
      </c>
      <c r="Z550" s="87">
        <v>0.0</v>
      </c>
      <c r="AA550" s="87">
        <v>7.166667</v>
      </c>
      <c r="AB550" s="87">
        <v>0.938998</v>
      </c>
      <c r="AC550" s="87">
        <v>3.204829</v>
      </c>
      <c r="AD550" s="87">
        <v>0.0</v>
      </c>
      <c r="AE550" s="87">
        <v>7.166667</v>
      </c>
      <c r="AF550" s="87">
        <v>3.847854</v>
      </c>
      <c r="AG550" s="87">
        <v>4.617425</v>
      </c>
      <c r="AH550" s="87">
        <v>0.0</v>
      </c>
      <c r="AI550" s="87">
        <v>13.53545</v>
      </c>
      <c r="AJ550" s="87">
        <v>2.121092</v>
      </c>
      <c r="AK550" s="87">
        <v>3.204829</v>
      </c>
      <c r="AL550" s="88" t="s">
        <v>1396</v>
      </c>
    </row>
    <row r="551">
      <c r="A551" s="84" t="s">
        <v>2130</v>
      </c>
      <c r="B551" s="84" t="s">
        <v>2131</v>
      </c>
      <c r="C551" s="84" t="s">
        <v>357</v>
      </c>
      <c r="D551" s="84" t="s">
        <v>920</v>
      </c>
      <c r="E551" s="84" t="s">
        <v>1403</v>
      </c>
      <c r="F551" s="87">
        <v>44.0</v>
      </c>
      <c r="G551" s="87">
        <v>1.0</v>
      </c>
      <c r="H551" s="87">
        <v>6.0</v>
      </c>
      <c r="I551" s="87">
        <v>6.0</v>
      </c>
      <c r="J551" s="87">
        <v>0.0</v>
      </c>
      <c r="K551" s="87">
        <v>0.0</v>
      </c>
      <c r="L551" s="87">
        <v>0.0</v>
      </c>
      <c r="M551" s="87">
        <v>0.0</v>
      </c>
      <c r="N551" s="87">
        <v>0.0</v>
      </c>
      <c r="O551" s="87">
        <v>0.0</v>
      </c>
      <c r="P551" s="87">
        <v>0.0</v>
      </c>
      <c r="Q551" s="87">
        <v>0.0</v>
      </c>
      <c r="R551" s="87">
        <v>0.0</v>
      </c>
      <c r="S551" s="87">
        <v>0.0</v>
      </c>
      <c r="T551" s="87">
        <v>0.0</v>
      </c>
      <c r="U551" s="87">
        <v>0.0</v>
      </c>
      <c r="V551" s="87">
        <v>0.0</v>
      </c>
      <c r="W551" s="87">
        <v>0.0</v>
      </c>
      <c r="X551" s="87">
        <v>0.0</v>
      </c>
      <c r="Y551" s="87">
        <v>0.0</v>
      </c>
      <c r="Z551" s="87">
        <v>0.0</v>
      </c>
      <c r="AA551" s="87">
        <v>7.166667</v>
      </c>
      <c r="AB551" s="87">
        <v>0.938998</v>
      </c>
      <c r="AC551" s="87">
        <v>3.204829</v>
      </c>
      <c r="AD551" s="87">
        <v>0.0</v>
      </c>
      <c r="AE551" s="87">
        <v>0.0</v>
      </c>
      <c r="AF551" s="87">
        <v>0.0</v>
      </c>
      <c r="AG551" s="87">
        <v>0.0</v>
      </c>
      <c r="AH551" s="87">
        <v>0.0</v>
      </c>
      <c r="AI551" s="87">
        <v>13.53545</v>
      </c>
      <c r="AJ551" s="87">
        <v>2.121092</v>
      </c>
      <c r="AK551" s="87">
        <v>3.204829</v>
      </c>
      <c r="AL551" s="88" t="s">
        <v>1396</v>
      </c>
    </row>
    <row r="552">
      <c r="A552" s="84" t="s">
        <v>2132</v>
      </c>
      <c r="B552" s="84" t="s">
        <v>2133</v>
      </c>
      <c r="C552" s="84" t="s">
        <v>357</v>
      </c>
      <c r="D552" s="84" t="s">
        <v>358</v>
      </c>
      <c r="E552" s="84" t="s">
        <v>1426</v>
      </c>
      <c r="F552" s="87">
        <v>1.0</v>
      </c>
      <c r="G552" s="87">
        <v>0.0</v>
      </c>
      <c r="H552" s="87">
        <v>538.0</v>
      </c>
      <c r="I552" s="87">
        <v>0.0</v>
      </c>
      <c r="J552" s="87">
        <v>7.598232</v>
      </c>
      <c r="K552" s="87">
        <v>13.81772</v>
      </c>
      <c r="L552" s="87">
        <v>48.8514</v>
      </c>
      <c r="M552" s="87">
        <v>13.81772</v>
      </c>
      <c r="N552" s="87">
        <v>1.0</v>
      </c>
      <c r="O552" s="87">
        <v>13.81772</v>
      </c>
      <c r="P552" s="87">
        <v>13.81772</v>
      </c>
      <c r="Q552" s="87">
        <v>13.81772</v>
      </c>
      <c r="R552" s="87">
        <v>13.81772</v>
      </c>
      <c r="S552" s="87">
        <v>13.81772</v>
      </c>
      <c r="T552" s="87">
        <v>13.81772</v>
      </c>
      <c r="U552" s="87">
        <v>13.81772</v>
      </c>
      <c r="V552" s="87">
        <v>13.81772</v>
      </c>
      <c r="W552" s="87">
        <v>13.81772</v>
      </c>
      <c r="X552" s="87">
        <v>13.81772</v>
      </c>
      <c r="Y552" s="87">
        <v>13.81772</v>
      </c>
      <c r="Z552" s="87">
        <v>13.81772</v>
      </c>
      <c r="AA552" s="87">
        <v>13.81772</v>
      </c>
      <c r="AB552" s="87">
        <v>22.57226</v>
      </c>
      <c r="AC552" s="87">
        <v>24.76089</v>
      </c>
      <c r="AD552" s="87">
        <v>13.81772</v>
      </c>
      <c r="AE552" s="87">
        <v>13.81772</v>
      </c>
      <c r="AF552" s="87">
        <v>13.81772</v>
      </c>
      <c r="AG552" s="87">
        <v>13.81772</v>
      </c>
      <c r="AH552" s="87">
        <v>0.0</v>
      </c>
      <c r="AI552" s="87">
        <v>13.53545</v>
      </c>
      <c r="AJ552" s="87">
        <v>2.121092</v>
      </c>
      <c r="AK552" s="87">
        <v>3.204829</v>
      </c>
      <c r="AL552" s="88" t="s">
        <v>1396</v>
      </c>
    </row>
    <row r="553">
      <c r="A553" s="84" t="s">
        <v>2134</v>
      </c>
      <c r="B553" s="84" t="s">
        <v>2135</v>
      </c>
      <c r="C553" s="84" t="s">
        <v>357</v>
      </c>
      <c r="D553" s="84" t="s">
        <v>358</v>
      </c>
      <c r="E553" s="89">
        <v>46300.0</v>
      </c>
      <c r="F553" s="87">
        <v>4.0</v>
      </c>
      <c r="G553" s="87">
        <v>0.0</v>
      </c>
      <c r="H553" s="87">
        <v>1949.0</v>
      </c>
      <c r="I553" s="87">
        <v>0.0</v>
      </c>
      <c r="J553" s="87">
        <v>97.61728</v>
      </c>
      <c r="K553" s="87">
        <v>99.04356</v>
      </c>
      <c r="L553" s="87">
        <v>180.3668</v>
      </c>
      <c r="M553" s="87">
        <v>43.33976</v>
      </c>
      <c r="N553" s="87">
        <v>0.437583</v>
      </c>
      <c r="O553" s="87">
        <v>10.91869</v>
      </c>
      <c r="P553" s="87">
        <v>10.91869</v>
      </c>
      <c r="Q553" s="87">
        <v>13.53545</v>
      </c>
      <c r="R553" s="87">
        <v>31.24966</v>
      </c>
      <c r="S553" s="87">
        <v>31.24966</v>
      </c>
      <c r="T553" s="87">
        <v>10.91869</v>
      </c>
      <c r="U553" s="87">
        <v>10.91869</v>
      </c>
      <c r="V553" s="87">
        <v>13.53545</v>
      </c>
      <c r="W553" s="87">
        <v>31.24966</v>
      </c>
      <c r="X553" s="87">
        <v>31.24966</v>
      </c>
      <c r="Y553" s="87">
        <v>24.76089</v>
      </c>
      <c r="Z553" s="87">
        <v>13.81772</v>
      </c>
      <c r="AA553" s="87">
        <v>13.81772</v>
      </c>
      <c r="AB553" s="87">
        <v>22.57226</v>
      </c>
      <c r="AC553" s="87">
        <v>24.76089</v>
      </c>
      <c r="AD553" s="87">
        <v>31.24966</v>
      </c>
      <c r="AE553" s="87">
        <v>31.24966</v>
      </c>
      <c r="AF553" s="87">
        <v>24.76089</v>
      </c>
      <c r="AG553" s="87">
        <v>24.76089</v>
      </c>
      <c r="AH553" s="87">
        <v>0.0</v>
      </c>
      <c r="AI553" s="87">
        <v>13.53545</v>
      </c>
      <c r="AJ553" s="87">
        <v>2.121092</v>
      </c>
      <c r="AK553" s="87">
        <v>3.204829</v>
      </c>
      <c r="AL553" s="88" t="s">
        <v>1396</v>
      </c>
    </row>
    <row r="554">
      <c r="A554" s="84" t="s">
        <v>2130</v>
      </c>
      <c r="B554" s="84" t="s">
        <v>2136</v>
      </c>
      <c r="C554" s="84" t="s">
        <v>357</v>
      </c>
      <c r="D554" s="84" t="s">
        <v>2137</v>
      </c>
      <c r="E554" s="84" t="s">
        <v>1403</v>
      </c>
      <c r="F554" s="87">
        <v>1.0</v>
      </c>
      <c r="G554" s="87">
        <v>0.0</v>
      </c>
      <c r="H554" s="87">
        <v>0.0</v>
      </c>
      <c r="I554" s="87">
        <v>0.0</v>
      </c>
      <c r="J554" s="87">
        <v>0.0</v>
      </c>
      <c r="K554" s="87">
        <v>0.0</v>
      </c>
      <c r="L554" s="87">
        <v>0.0</v>
      </c>
      <c r="M554" s="87">
        <v>0.0</v>
      </c>
      <c r="N554" s="87">
        <v>0.0</v>
      </c>
      <c r="O554" s="87">
        <v>0.0</v>
      </c>
      <c r="P554" s="87">
        <v>0.0</v>
      </c>
      <c r="Q554" s="87">
        <v>0.0</v>
      </c>
      <c r="R554" s="87">
        <v>0.0</v>
      </c>
      <c r="S554" s="87">
        <v>0.0</v>
      </c>
      <c r="T554" s="87">
        <v>0.0</v>
      </c>
      <c r="U554" s="87">
        <v>0.0</v>
      </c>
      <c r="V554" s="87">
        <v>0.0</v>
      </c>
      <c r="W554" s="87">
        <v>0.0</v>
      </c>
      <c r="X554" s="87">
        <v>0.0</v>
      </c>
      <c r="Y554" s="87">
        <v>0.0</v>
      </c>
      <c r="Z554" s="87">
        <v>0.0</v>
      </c>
      <c r="AA554" s="87">
        <v>0.0</v>
      </c>
      <c r="AB554" s="87">
        <v>0.0</v>
      </c>
      <c r="AC554" s="87">
        <v>0.0</v>
      </c>
      <c r="AD554" s="87">
        <v>0.0</v>
      </c>
      <c r="AE554" s="87">
        <v>0.0</v>
      </c>
      <c r="AF554" s="87">
        <v>0.0</v>
      </c>
      <c r="AG554" s="87">
        <v>0.0</v>
      </c>
      <c r="AH554" s="87">
        <v>0.0</v>
      </c>
      <c r="AI554" s="87">
        <v>13.53545</v>
      </c>
      <c r="AJ554" s="87">
        <v>2.121092</v>
      </c>
      <c r="AK554" s="87">
        <v>3.204829</v>
      </c>
      <c r="AL554" s="88" t="s">
        <v>1396</v>
      </c>
    </row>
    <row r="555">
      <c r="A555" s="84" t="s">
        <v>2128</v>
      </c>
      <c r="B555" s="84" t="s">
        <v>2138</v>
      </c>
      <c r="C555" s="84" t="s">
        <v>357</v>
      </c>
      <c r="D555" s="84" t="s">
        <v>2139</v>
      </c>
      <c r="E555" s="84" t="s">
        <v>1400</v>
      </c>
      <c r="F555" s="87">
        <v>2.0</v>
      </c>
      <c r="G555" s="87">
        <v>0.0</v>
      </c>
      <c r="H555" s="87">
        <v>0.0</v>
      </c>
      <c r="I555" s="87">
        <v>0.0</v>
      </c>
      <c r="J555" s="87">
        <v>0.0</v>
      </c>
      <c r="K555" s="87">
        <v>0.0</v>
      </c>
      <c r="L555" s="87">
        <v>0.0</v>
      </c>
      <c r="M555" s="87">
        <v>0.0</v>
      </c>
      <c r="N555" s="87">
        <v>0.0</v>
      </c>
      <c r="O555" s="87">
        <v>0.0</v>
      </c>
      <c r="P555" s="87">
        <v>0.0</v>
      </c>
      <c r="Q555" s="87">
        <v>0.0</v>
      </c>
      <c r="R555" s="87">
        <v>0.0</v>
      </c>
      <c r="S555" s="87">
        <v>0.0</v>
      </c>
      <c r="T555" s="87">
        <v>0.0</v>
      </c>
      <c r="U555" s="87">
        <v>0.0</v>
      </c>
      <c r="V555" s="87">
        <v>0.0</v>
      </c>
      <c r="W555" s="87">
        <v>0.0</v>
      </c>
      <c r="X555" s="87">
        <v>0.0</v>
      </c>
      <c r="Y555" s="87">
        <v>0.0</v>
      </c>
      <c r="Z555" s="87">
        <v>0.0</v>
      </c>
      <c r="AA555" s="87">
        <v>0.0</v>
      </c>
      <c r="AB555" s="87">
        <v>0.0</v>
      </c>
      <c r="AC555" s="87">
        <v>0.0</v>
      </c>
      <c r="AD555" s="87">
        <v>0.0</v>
      </c>
      <c r="AE555" s="87">
        <v>7.166667</v>
      </c>
      <c r="AF555" s="87">
        <v>3.847854</v>
      </c>
      <c r="AG555" s="87">
        <v>4.617425</v>
      </c>
      <c r="AH555" s="87">
        <v>0.0</v>
      </c>
      <c r="AI555" s="87">
        <v>13.53545</v>
      </c>
      <c r="AJ555" s="87">
        <v>2.121092</v>
      </c>
      <c r="AK555" s="87">
        <v>3.204829</v>
      </c>
      <c r="AL555" s="88" t="s">
        <v>1396</v>
      </c>
    </row>
    <row r="556">
      <c r="A556" s="84" t="s">
        <v>2130</v>
      </c>
      <c r="B556" s="84" t="s">
        <v>2140</v>
      </c>
      <c r="C556" s="84" t="s">
        <v>357</v>
      </c>
      <c r="D556" s="84" t="s">
        <v>2139</v>
      </c>
      <c r="E556" s="84" t="s">
        <v>1403</v>
      </c>
      <c r="F556" s="87">
        <v>14.0</v>
      </c>
      <c r="G556" s="87">
        <v>0.0</v>
      </c>
      <c r="H556" s="87">
        <v>0.0</v>
      </c>
      <c r="I556" s="87">
        <v>0.0</v>
      </c>
      <c r="J556" s="87">
        <v>0.0</v>
      </c>
      <c r="K556" s="87">
        <v>0.0</v>
      </c>
      <c r="L556" s="87">
        <v>0.0</v>
      </c>
      <c r="M556" s="87">
        <v>0.0</v>
      </c>
      <c r="N556" s="87">
        <v>0.0</v>
      </c>
      <c r="O556" s="87">
        <v>0.0</v>
      </c>
      <c r="P556" s="87">
        <v>0.0</v>
      </c>
      <c r="Q556" s="87">
        <v>0.0</v>
      </c>
      <c r="R556" s="87">
        <v>0.0</v>
      </c>
      <c r="S556" s="87">
        <v>0.0</v>
      </c>
      <c r="T556" s="87">
        <v>0.0</v>
      </c>
      <c r="U556" s="87">
        <v>0.0</v>
      </c>
      <c r="V556" s="87">
        <v>0.0</v>
      </c>
      <c r="W556" s="87">
        <v>0.0</v>
      </c>
      <c r="X556" s="87">
        <v>0.0</v>
      </c>
      <c r="Y556" s="87">
        <v>0.0</v>
      </c>
      <c r="Z556" s="87">
        <v>0.0</v>
      </c>
      <c r="AA556" s="87">
        <v>0.0</v>
      </c>
      <c r="AB556" s="87">
        <v>0.0</v>
      </c>
      <c r="AC556" s="87">
        <v>0.0</v>
      </c>
      <c r="AD556" s="87">
        <v>0.0</v>
      </c>
      <c r="AE556" s="87">
        <v>0.0</v>
      </c>
      <c r="AF556" s="87">
        <v>0.0</v>
      </c>
      <c r="AG556" s="87">
        <v>0.0</v>
      </c>
      <c r="AH556" s="87">
        <v>0.0</v>
      </c>
      <c r="AI556" s="87">
        <v>13.53545</v>
      </c>
      <c r="AJ556" s="87">
        <v>2.121092</v>
      </c>
      <c r="AK556" s="87">
        <v>3.204829</v>
      </c>
      <c r="AL556" s="88" t="s">
        <v>1396</v>
      </c>
    </row>
    <row r="557">
      <c r="A557" s="84" t="s">
        <v>2141</v>
      </c>
      <c r="B557" s="84" t="s">
        <v>2142</v>
      </c>
      <c r="C557" s="84" t="s">
        <v>363</v>
      </c>
      <c r="D557" s="84" t="s">
        <v>2030</v>
      </c>
      <c r="E557" s="86">
        <v>46310.0</v>
      </c>
      <c r="F557" s="87">
        <v>14.0</v>
      </c>
      <c r="G557" s="87">
        <v>0.0</v>
      </c>
      <c r="H557" s="87">
        <v>7292.0</v>
      </c>
      <c r="I557" s="87">
        <v>0.0</v>
      </c>
      <c r="J557" s="87">
        <v>1025.573</v>
      </c>
      <c r="K557" s="87">
        <v>1043.741</v>
      </c>
      <c r="L557" s="87">
        <v>1070.401</v>
      </c>
      <c r="M557" s="87">
        <v>869.0013</v>
      </c>
      <c r="N557" s="87">
        <v>0.832584</v>
      </c>
      <c r="O557" s="87">
        <v>0.0</v>
      </c>
      <c r="P557" s="87">
        <v>0.0</v>
      </c>
      <c r="Q557" s="87">
        <v>11.78333</v>
      </c>
      <c r="R557" s="87">
        <v>20.98035</v>
      </c>
      <c r="S557" s="87">
        <v>28.36451</v>
      </c>
      <c r="T557" s="87">
        <v>11.78333</v>
      </c>
      <c r="U557" s="87">
        <v>13.41578</v>
      </c>
      <c r="V557" s="87">
        <v>16.22404</v>
      </c>
      <c r="W557" s="87">
        <v>23.7013</v>
      </c>
      <c r="X557" s="87">
        <v>52.4254</v>
      </c>
      <c r="Y557" s="87">
        <v>74.55289</v>
      </c>
      <c r="Z557" s="87">
        <v>0.0</v>
      </c>
      <c r="AA557" s="87">
        <v>13.41578</v>
      </c>
      <c r="AB557" s="87">
        <v>9.614123</v>
      </c>
      <c r="AC557" s="87">
        <v>10.92956</v>
      </c>
      <c r="AD557" s="87">
        <v>16.22404</v>
      </c>
      <c r="AE557" s="87">
        <v>23.56137</v>
      </c>
      <c r="AF557" s="87">
        <v>73.71073</v>
      </c>
      <c r="AG557" s="87">
        <v>96.0095</v>
      </c>
      <c r="AH557" s="87">
        <v>0.0</v>
      </c>
      <c r="AI557" s="87">
        <v>11.83143</v>
      </c>
      <c r="AJ557" s="87">
        <v>8.423615</v>
      </c>
      <c r="AK557" s="87">
        <v>17.8252</v>
      </c>
      <c r="AL557" s="88" t="s">
        <v>1396</v>
      </c>
    </row>
    <row r="558">
      <c r="A558" s="84" t="s">
        <v>2143</v>
      </c>
      <c r="B558" s="84" t="s">
        <v>2144</v>
      </c>
      <c r="C558" s="84" t="s">
        <v>363</v>
      </c>
      <c r="D558" s="84" t="s">
        <v>2030</v>
      </c>
      <c r="E558" s="84" t="s">
        <v>1413</v>
      </c>
      <c r="F558" s="87">
        <v>14.0</v>
      </c>
      <c r="G558" s="87">
        <v>0.0</v>
      </c>
      <c r="H558" s="87">
        <v>2136.0</v>
      </c>
      <c r="I558" s="87">
        <v>0.0</v>
      </c>
      <c r="J558" s="87">
        <v>284.0333</v>
      </c>
      <c r="K558" s="87">
        <v>251.5687</v>
      </c>
      <c r="L558" s="87">
        <v>309.1403</v>
      </c>
      <c r="M558" s="87">
        <v>216.542</v>
      </c>
      <c r="N558" s="87">
        <v>0.860767</v>
      </c>
      <c r="O558" s="87">
        <v>0.0</v>
      </c>
      <c r="P558" s="87">
        <v>0.0</v>
      </c>
      <c r="Q558" s="87">
        <v>0.0</v>
      </c>
      <c r="R558" s="87">
        <v>2.5</v>
      </c>
      <c r="S558" s="87">
        <v>10.22857</v>
      </c>
      <c r="T558" s="87">
        <v>0.5</v>
      </c>
      <c r="U558" s="87">
        <v>1.0</v>
      </c>
      <c r="V558" s="87">
        <v>2.5</v>
      </c>
      <c r="W558" s="87">
        <v>10.22857</v>
      </c>
      <c r="X558" s="87">
        <v>17.56074</v>
      </c>
      <c r="Y558" s="87">
        <v>17.9692</v>
      </c>
      <c r="Z558" s="87">
        <v>0.0</v>
      </c>
      <c r="AA558" s="87">
        <v>13.41578</v>
      </c>
      <c r="AB558" s="87">
        <v>9.614123</v>
      </c>
      <c r="AC558" s="87">
        <v>10.92956</v>
      </c>
      <c r="AD558" s="87">
        <v>10.22857</v>
      </c>
      <c r="AE558" s="87">
        <v>16.15838</v>
      </c>
      <c r="AF558" s="87">
        <v>34.47357</v>
      </c>
      <c r="AG558" s="87">
        <v>43.26238</v>
      </c>
      <c r="AH558" s="87">
        <v>0.0</v>
      </c>
      <c r="AI558" s="87">
        <v>11.83143</v>
      </c>
      <c r="AJ558" s="87">
        <v>8.423615</v>
      </c>
      <c r="AK558" s="87">
        <v>17.8252</v>
      </c>
      <c r="AL558" s="88" t="s">
        <v>1396</v>
      </c>
    </row>
    <row r="559">
      <c r="A559" s="84" t="s">
        <v>2145</v>
      </c>
      <c r="B559" s="84" t="s">
        <v>2146</v>
      </c>
      <c r="C559" s="84" t="s">
        <v>363</v>
      </c>
      <c r="D559" s="84" t="s">
        <v>2030</v>
      </c>
      <c r="E559" s="84" t="s">
        <v>1398</v>
      </c>
      <c r="F559" s="87">
        <v>6.0</v>
      </c>
      <c r="G559" s="87">
        <v>0.0</v>
      </c>
      <c r="H559" s="87">
        <v>1881.0</v>
      </c>
      <c r="I559" s="87">
        <v>0.0</v>
      </c>
      <c r="J559" s="87">
        <v>272.7509</v>
      </c>
      <c r="K559" s="87">
        <v>301.1206</v>
      </c>
      <c r="L559" s="87">
        <v>306.6944</v>
      </c>
      <c r="M559" s="87">
        <v>162.4878</v>
      </c>
      <c r="N559" s="87">
        <v>0.53961</v>
      </c>
      <c r="O559" s="87">
        <v>15.92313</v>
      </c>
      <c r="P559" s="87">
        <v>17.56667</v>
      </c>
      <c r="Q559" s="87">
        <v>17.56667</v>
      </c>
      <c r="R559" s="87">
        <v>53.52372</v>
      </c>
      <c r="S559" s="87">
        <v>55.98251</v>
      </c>
      <c r="T559" s="87">
        <v>15.92313</v>
      </c>
      <c r="U559" s="87">
        <v>17.56667</v>
      </c>
      <c r="V559" s="87">
        <v>17.56667</v>
      </c>
      <c r="W559" s="87">
        <v>53.52372</v>
      </c>
      <c r="X559" s="87">
        <v>55.98251</v>
      </c>
      <c r="Y559" s="87">
        <v>50.18677</v>
      </c>
      <c r="Z559" s="87">
        <v>0.0</v>
      </c>
      <c r="AA559" s="87">
        <v>13.41578</v>
      </c>
      <c r="AB559" s="87">
        <v>9.614123</v>
      </c>
      <c r="AC559" s="87">
        <v>10.92956</v>
      </c>
      <c r="AD559" s="87">
        <v>8.398016</v>
      </c>
      <c r="AE559" s="87">
        <v>15.92313</v>
      </c>
      <c r="AF559" s="87">
        <v>36.51833</v>
      </c>
      <c r="AG559" s="87">
        <v>17.85337</v>
      </c>
      <c r="AH559" s="87">
        <v>0.0</v>
      </c>
      <c r="AI559" s="87">
        <v>11.83143</v>
      </c>
      <c r="AJ559" s="87">
        <v>8.423615</v>
      </c>
      <c r="AK559" s="87">
        <v>17.8252</v>
      </c>
      <c r="AL559" s="88" t="s">
        <v>1396</v>
      </c>
    </row>
    <row r="560">
      <c r="A560" s="84" t="s">
        <v>2147</v>
      </c>
      <c r="B560" s="84" t="s">
        <v>2148</v>
      </c>
      <c r="C560" s="84" t="s">
        <v>363</v>
      </c>
      <c r="D560" s="84" t="s">
        <v>2030</v>
      </c>
      <c r="E560" s="84" t="s">
        <v>1400</v>
      </c>
      <c r="F560" s="87">
        <v>20.0</v>
      </c>
      <c r="G560" s="87">
        <v>0.0</v>
      </c>
      <c r="H560" s="87">
        <v>1491.0</v>
      </c>
      <c r="I560" s="87">
        <v>0.0</v>
      </c>
      <c r="J560" s="87">
        <v>152.7474</v>
      </c>
      <c r="K560" s="87">
        <v>171.2533</v>
      </c>
      <c r="L560" s="87">
        <v>177.2365</v>
      </c>
      <c r="M560" s="87">
        <v>90.41459</v>
      </c>
      <c r="N560" s="87">
        <v>0.527958</v>
      </c>
      <c r="O560" s="87">
        <v>0.0</v>
      </c>
      <c r="P560" s="87">
        <v>0.0</v>
      </c>
      <c r="Q560" s="87">
        <v>5.185714</v>
      </c>
      <c r="R560" s="87">
        <v>7.382576</v>
      </c>
      <c r="S560" s="87">
        <v>10.59031</v>
      </c>
      <c r="T560" s="87">
        <v>5.209681</v>
      </c>
      <c r="U560" s="87">
        <v>6.145549</v>
      </c>
      <c r="V560" s="87">
        <v>7.382576</v>
      </c>
      <c r="W560" s="87">
        <v>9.855328</v>
      </c>
      <c r="X560" s="87">
        <v>11.33211</v>
      </c>
      <c r="Y560" s="87">
        <v>8.562664</v>
      </c>
      <c r="Z560" s="87">
        <v>0.0</v>
      </c>
      <c r="AA560" s="87">
        <v>13.41578</v>
      </c>
      <c r="AB560" s="87">
        <v>9.614123</v>
      </c>
      <c r="AC560" s="87">
        <v>10.92956</v>
      </c>
      <c r="AD560" s="87">
        <v>4.017019</v>
      </c>
      <c r="AE560" s="87">
        <v>7.382576</v>
      </c>
      <c r="AF560" s="87">
        <v>17.29257</v>
      </c>
      <c r="AG560" s="87">
        <v>8.562664</v>
      </c>
      <c r="AH560" s="87">
        <v>0.0</v>
      </c>
      <c r="AI560" s="87">
        <v>11.83143</v>
      </c>
      <c r="AJ560" s="87">
        <v>8.423615</v>
      </c>
      <c r="AK560" s="87">
        <v>17.8252</v>
      </c>
      <c r="AL560" s="88" t="s">
        <v>1396</v>
      </c>
    </row>
    <row r="561">
      <c r="A561" s="84" t="s">
        <v>2149</v>
      </c>
      <c r="B561" s="84" t="s">
        <v>2150</v>
      </c>
      <c r="C561" s="84" t="s">
        <v>363</v>
      </c>
      <c r="D561" s="84" t="s">
        <v>2030</v>
      </c>
      <c r="E561" s="89">
        <v>46300.0</v>
      </c>
      <c r="F561" s="87">
        <v>1.0</v>
      </c>
      <c r="G561" s="87">
        <v>0.0</v>
      </c>
      <c r="H561" s="87">
        <v>166.0</v>
      </c>
      <c r="I561" s="87">
        <v>0.0</v>
      </c>
      <c r="J561" s="87">
        <v>10.94279</v>
      </c>
      <c r="K561" s="87">
        <v>10.92956</v>
      </c>
      <c r="L561" s="87">
        <v>11.05731</v>
      </c>
      <c r="M561" s="87">
        <v>10.92956</v>
      </c>
      <c r="N561" s="87">
        <v>1.0</v>
      </c>
      <c r="O561" s="87">
        <v>10.92956</v>
      </c>
      <c r="P561" s="87">
        <v>10.92956</v>
      </c>
      <c r="Q561" s="87">
        <v>10.92956</v>
      </c>
      <c r="R561" s="87">
        <v>10.92956</v>
      </c>
      <c r="S561" s="87">
        <v>10.92956</v>
      </c>
      <c r="T561" s="87">
        <v>10.92956</v>
      </c>
      <c r="U561" s="87">
        <v>10.92956</v>
      </c>
      <c r="V561" s="87">
        <v>10.92956</v>
      </c>
      <c r="W561" s="87">
        <v>10.92956</v>
      </c>
      <c r="X561" s="87">
        <v>10.92956</v>
      </c>
      <c r="Y561" s="87">
        <v>10.92956</v>
      </c>
      <c r="Z561" s="87">
        <v>0.0</v>
      </c>
      <c r="AA561" s="87">
        <v>13.41578</v>
      </c>
      <c r="AB561" s="87">
        <v>9.614123</v>
      </c>
      <c r="AC561" s="87">
        <v>10.92956</v>
      </c>
      <c r="AD561" s="87">
        <v>10.92956</v>
      </c>
      <c r="AE561" s="87">
        <v>17.8252</v>
      </c>
      <c r="AF561" s="87">
        <v>28.7881</v>
      </c>
      <c r="AG561" s="87">
        <v>17.8252</v>
      </c>
      <c r="AH561" s="87">
        <v>0.0</v>
      </c>
      <c r="AI561" s="87">
        <v>11.83143</v>
      </c>
      <c r="AJ561" s="87">
        <v>8.423615</v>
      </c>
      <c r="AK561" s="87">
        <v>17.8252</v>
      </c>
      <c r="AL561" s="88" t="s">
        <v>1396</v>
      </c>
    </row>
    <row r="562">
      <c r="A562" s="84" t="s">
        <v>2151</v>
      </c>
      <c r="B562" s="84" t="s">
        <v>2028</v>
      </c>
      <c r="C562" s="84" t="s">
        <v>363</v>
      </c>
      <c r="D562" s="84" t="s">
        <v>2030</v>
      </c>
      <c r="E562" s="84" t="s">
        <v>1403</v>
      </c>
      <c r="F562" s="87">
        <v>129.0</v>
      </c>
      <c r="G562" s="87">
        <v>0.0</v>
      </c>
      <c r="H562" s="87">
        <v>0.0</v>
      </c>
      <c r="I562" s="87">
        <v>0.0</v>
      </c>
      <c r="J562" s="87">
        <v>0.0</v>
      </c>
      <c r="K562" s="87">
        <v>0.0</v>
      </c>
      <c r="L562" s="87">
        <v>0.0</v>
      </c>
      <c r="M562" s="87">
        <v>0.0</v>
      </c>
      <c r="N562" s="87">
        <v>0.0</v>
      </c>
      <c r="O562" s="87">
        <v>0.0</v>
      </c>
      <c r="P562" s="87">
        <v>0.0</v>
      </c>
      <c r="Q562" s="87">
        <v>0.0</v>
      </c>
      <c r="R562" s="87">
        <v>0.0</v>
      </c>
      <c r="S562" s="87">
        <v>0.0</v>
      </c>
      <c r="T562" s="87">
        <v>0.0</v>
      </c>
      <c r="U562" s="87">
        <v>0.0</v>
      </c>
      <c r="V562" s="87">
        <v>0.0</v>
      </c>
      <c r="W562" s="87">
        <v>0.0</v>
      </c>
      <c r="X562" s="87">
        <v>0.0</v>
      </c>
      <c r="Y562" s="87">
        <v>0.0</v>
      </c>
      <c r="Z562" s="87">
        <v>0.0</v>
      </c>
      <c r="AA562" s="87">
        <v>13.41578</v>
      </c>
      <c r="AB562" s="87">
        <v>9.614123</v>
      </c>
      <c r="AC562" s="87">
        <v>10.92956</v>
      </c>
      <c r="AD562" s="87">
        <v>0.0</v>
      </c>
      <c r="AE562" s="87">
        <v>0.0</v>
      </c>
      <c r="AF562" s="87">
        <v>0.0</v>
      </c>
      <c r="AG562" s="87">
        <v>0.0</v>
      </c>
      <c r="AH562" s="87">
        <v>0.0</v>
      </c>
      <c r="AI562" s="87">
        <v>11.83143</v>
      </c>
      <c r="AJ562" s="87">
        <v>8.423615</v>
      </c>
      <c r="AK562" s="87">
        <v>17.8252</v>
      </c>
      <c r="AL562" s="88" t="s">
        <v>1396</v>
      </c>
    </row>
    <row r="563">
      <c r="A563" s="84" t="s">
        <v>2141</v>
      </c>
      <c r="B563" s="84" t="s">
        <v>2152</v>
      </c>
      <c r="C563" s="84" t="s">
        <v>363</v>
      </c>
      <c r="D563" s="84" t="s">
        <v>364</v>
      </c>
      <c r="E563" s="86">
        <v>46310.0</v>
      </c>
      <c r="F563" s="87">
        <v>5.0</v>
      </c>
      <c r="G563" s="87">
        <v>0.0</v>
      </c>
      <c r="H563" s="87">
        <v>4357.0</v>
      </c>
      <c r="I563" s="87">
        <v>0.0</v>
      </c>
      <c r="J563" s="87">
        <v>639.7843</v>
      </c>
      <c r="K563" s="87">
        <v>671.2432</v>
      </c>
      <c r="L563" s="87">
        <v>735.642</v>
      </c>
      <c r="M563" s="87">
        <v>562.6657</v>
      </c>
      <c r="N563" s="87">
        <v>0.838244</v>
      </c>
      <c r="O563" s="87">
        <v>0.0</v>
      </c>
      <c r="P563" s="87">
        <v>3.05</v>
      </c>
      <c r="Q563" s="87">
        <v>3.05</v>
      </c>
      <c r="R563" s="87">
        <v>23.56137</v>
      </c>
      <c r="S563" s="87">
        <v>81.96617</v>
      </c>
      <c r="T563" s="87">
        <v>3.05</v>
      </c>
      <c r="U563" s="87">
        <v>3.05</v>
      </c>
      <c r="V563" s="87">
        <v>23.56137</v>
      </c>
      <c r="W563" s="87">
        <v>81.96617</v>
      </c>
      <c r="X563" s="87">
        <v>81.96617</v>
      </c>
      <c r="Y563" s="87">
        <v>134.2486</v>
      </c>
      <c r="Z563" s="87">
        <v>0.0</v>
      </c>
      <c r="AA563" s="87">
        <v>8.398016</v>
      </c>
      <c r="AB563" s="87">
        <v>10.87684</v>
      </c>
      <c r="AC563" s="87">
        <v>50.27981</v>
      </c>
      <c r="AD563" s="87">
        <v>16.22404</v>
      </c>
      <c r="AE563" s="87">
        <v>23.56137</v>
      </c>
      <c r="AF563" s="87">
        <v>73.71073</v>
      </c>
      <c r="AG563" s="87">
        <v>96.0095</v>
      </c>
      <c r="AH563" s="87">
        <v>0.0</v>
      </c>
      <c r="AI563" s="87">
        <v>11.83143</v>
      </c>
      <c r="AJ563" s="87">
        <v>8.423615</v>
      </c>
      <c r="AK563" s="87">
        <v>17.8252</v>
      </c>
      <c r="AL563" s="88" t="s">
        <v>1396</v>
      </c>
    </row>
    <row r="564">
      <c r="A564" s="84" t="s">
        <v>2143</v>
      </c>
      <c r="B564" s="84" t="s">
        <v>2153</v>
      </c>
      <c r="C564" s="84" t="s">
        <v>363</v>
      </c>
      <c r="D564" s="84" t="s">
        <v>364</v>
      </c>
      <c r="E564" s="84" t="s">
        <v>1413</v>
      </c>
      <c r="F564" s="87">
        <v>12.0</v>
      </c>
      <c r="G564" s="87">
        <v>0.0</v>
      </c>
      <c r="H564" s="87">
        <v>3191.0</v>
      </c>
      <c r="I564" s="87">
        <v>0.0</v>
      </c>
      <c r="J564" s="87">
        <v>581.7939</v>
      </c>
      <c r="K564" s="87">
        <v>609.5887</v>
      </c>
      <c r="L564" s="87">
        <v>639.071</v>
      </c>
      <c r="M564" s="87">
        <v>396.4105</v>
      </c>
      <c r="N564" s="87">
        <v>0.650292</v>
      </c>
      <c r="O564" s="87">
        <v>0.0</v>
      </c>
      <c r="P564" s="87">
        <v>3.472325</v>
      </c>
      <c r="Q564" s="87">
        <v>3.740241</v>
      </c>
      <c r="R564" s="87">
        <v>18.71745</v>
      </c>
      <c r="S564" s="87">
        <v>85.19181</v>
      </c>
      <c r="T564" s="87">
        <v>3.740241</v>
      </c>
      <c r="U564" s="87">
        <v>13.55467</v>
      </c>
      <c r="V564" s="87">
        <v>16.15838</v>
      </c>
      <c r="W564" s="87">
        <v>72.34338</v>
      </c>
      <c r="X564" s="87">
        <v>103.0067</v>
      </c>
      <c r="Y564" s="87">
        <v>50.79906</v>
      </c>
      <c r="Z564" s="87">
        <v>0.0</v>
      </c>
      <c r="AA564" s="87">
        <v>8.398016</v>
      </c>
      <c r="AB564" s="87">
        <v>10.87684</v>
      </c>
      <c r="AC564" s="87">
        <v>50.27981</v>
      </c>
      <c r="AD564" s="87">
        <v>10.22857</v>
      </c>
      <c r="AE564" s="87">
        <v>16.15838</v>
      </c>
      <c r="AF564" s="87">
        <v>34.47357</v>
      </c>
      <c r="AG564" s="87">
        <v>43.26238</v>
      </c>
      <c r="AH564" s="87">
        <v>0.0</v>
      </c>
      <c r="AI564" s="87">
        <v>11.83143</v>
      </c>
      <c r="AJ564" s="87">
        <v>8.423615</v>
      </c>
      <c r="AK564" s="87">
        <v>17.8252</v>
      </c>
      <c r="AL564" s="88" t="s">
        <v>1396</v>
      </c>
    </row>
    <row r="565">
      <c r="A565" s="84" t="s">
        <v>2145</v>
      </c>
      <c r="B565" s="84" t="s">
        <v>2154</v>
      </c>
      <c r="C565" s="84" t="s">
        <v>363</v>
      </c>
      <c r="D565" s="84" t="s">
        <v>364</v>
      </c>
      <c r="E565" s="84" t="s">
        <v>1398</v>
      </c>
      <c r="F565" s="87">
        <v>13.0</v>
      </c>
      <c r="G565" s="87">
        <v>0.0</v>
      </c>
      <c r="H565" s="87">
        <v>3040.0</v>
      </c>
      <c r="I565" s="87">
        <v>0.0</v>
      </c>
      <c r="J565" s="87">
        <v>636.4521</v>
      </c>
      <c r="K565" s="87">
        <v>653.6376</v>
      </c>
      <c r="L565" s="87">
        <v>691.8458</v>
      </c>
      <c r="M565" s="87">
        <v>578.3935</v>
      </c>
      <c r="N565" s="87">
        <v>0.884884</v>
      </c>
      <c r="O565" s="87">
        <v>0.0</v>
      </c>
      <c r="P565" s="87">
        <v>0.0</v>
      </c>
      <c r="Q565" s="87">
        <v>5.07881</v>
      </c>
      <c r="R565" s="87">
        <v>6.911631</v>
      </c>
      <c r="S565" s="87">
        <v>30.88448</v>
      </c>
      <c r="T565" s="87">
        <v>5.394871</v>
      </c>
      <c r="U565" s="87">
        <v>6.073333</v>
      </c>
      <c r="V565" s="87">
        <v>6.911631</v>
      </c>
      <c r="W565" s="87">
        <v>12.50289</v>
      </c>
      <c r="X565" s="87">
        <v>171.2128</v>
      </c>
      <c r="Y565" s="87">
        <v>50.27981</v>
      </c>
      <c r="Z565" s="87">
        <v>0.0</v>
      </c>
      <c r="AA565" s="87">
        <v>8.398016</v>
      </c>
      <c r="AB565" s="87">
        <v>10.87684</v>
      </c>
      <c r="AC565" s="87">
        <v>50.27981</v>
      </c>
      <c r="AD565" s="87">
        <v>8.398016</v>
      </c>
      <c r="AE565" s="87">
        <v>15.92313</v>
      </c>
      <c r="AF565" s="87">
        <v>36.51833</v>
      </c>
      <c r="AG565" s="87">
        <v>17.85337</v>
      </c>
      <c r="AH565" s="87">
        <v>0.0</v>
      </c>
      <c r="AI565" s="87">
        <v>11.83143</v>
      </c>
      <c r="AJ565" s="87">
        <v>8.423615</v>
      </c>
      <c r="AK565" s="87">
        <v>17.8252</v>
      </c>
      <c r="AL565" s="88" t="s">
        <v>1396</v>
      </c>
    </row>
    <row r="566">
      <c r="A566" s="84" t="s">
        <v>2147</v>
      </c>
      <c r="B566" s="84" t="s">
        <v>2155</v>
      </c>
      <c r="C566" s="84" t="s">
        <v>363</v>
      </c>
      <c r="D566" s="84" t="s">
        <v>364</v>
      </c>
      <c r="E566" s="84" t="s">
        <v>1400</v>
      </c>
      <c r="F566" s="87">
        <v>21.0</v>
      </c>
      <c r="G566" s="87">
        <v>0.0</v>
      </c>
      <c r="H566" s="87">
        <v>1993.0</v>
      </c>
      <c r="I566" s="87">
        <v>0.0</v>
      </c>
      <c r="J566" s="87">
        <v>422.4744</v>
      </c>
      <c r="K566" s="87">
        <v>452.0183</v>
      </c>
      <c r="L566" s="87">
        <v>489.8759</v>
      </c>
      <c r="M566" s="87">
        <v>432.7912</v>
      </c>
      <c r="N566" s="87">
        <v>0.957464</v>
      </c>
      <c r="O566" s="87">
        <v>0.0</v>
      </c>
      <c r="P566" s="87">
        <v>0.145833</v>
      </c>
      <c r="Q566" s="87">
        <v>0.477778</v>
      </c>
      <c r="R566" s="87">
        <v>1.267399</v>
      </c>
      <c r="S566" s="87">
        <v>4.242857</v>
      </c>
      <c r="T566" s="87">
        <v>0.325</v>
      </c>
      <c r="U566" s="87">
        <v>0.527778</v>
      </c>
      <c r="V566" s="87">
        <v>0.740909</v>
      </c>
      <c r="W566" s="87">
        <v>1.533333</v>
      </c>
      <c r="X566" s="87">
        <v>4.866667</v>
      </c>
      <c r="Y566" s="87">
        <v>21.52468</v>
      </c>
      <c r="Z566" s="87">
        <v>0.0</v>
      </c>
      <c r="AA566" s="87">
        <v>8.398016</v>
      </c>
      <c r="AB566" s="87">
        <v>10.87684</v>
      </c>
      <c r="AC566" s="87">
        <v>50.27981</v>
      </c>
      <c r="AD566" s="87">
        <v>4.017019</v>
      </c>
      <c r="AE566" s="87">
        <v>7.382576</v>
      </c>
      <c r="AF566" s="87">
        <v>17.29257</v>
      </c>
      <c r="AG566" s="87">
        <v>8.562664</v>
      </c>
      <c r="AH566" s="87">
        <v>0.0</v>
      </c>
      <c r="AI566" s="87">
        <v>11.83143</v>
      </c>
      <c r="AJ566" s="87">
        <v>8.423615</v>
      </c>
      <c r="AK566" s="87">
        <v>17.8252</v>
      </c>
      <c r="AL566" s="88" t="s">
        <v>1396</v>
      </c>
    </row>
    <row r="567">
      <c r="A567" s="84" t="s">
        <v>2149</v>
      </c>
      <c r="B567" s="84" t="s">
        <v>2156</v>
      </c>
      <c r="C567" s="84" t="s">
        <v>363</v>
      </c>
      <c r="D567" s="84" t="s">
        <v>364</v>
      </c>
      <c r="E567" s="89">
        <v>46300.0</v>
      </c>
      <c r="F567" s="87">
        <v>3.0</v>
      </c>
      <c r="G567" s="87">
        <v>0.0</v>
      </c>
      <c r="H567" s="87">
        <v>453.0</v>
      </c>
      <c r="I567" s="87">
        <v>0.0</v>
      </c>
      <c r="J567" s="87">
        <v>109.982</v>
      </c>
      <c r="K567" s="87">
        <v>115.1857</v>
      </c>
      <c r="L567" s="87">
        <v>134.2185</v>
      </c>
      <c r="M567" s="87">
        <v>112.6857</v>
      </c>
      <c r="N567" s="87">
        <v>0.978296</v>
      </c>
      <c r="O567" s="87">
        <v>0.0</v>
      </c>
      <c r="P567" s="87">
        <v>0.0</v>
      </c>
      <c r="Q567" s="87">
        <v>0.0</v>
      </c>
      <c r="R567" s="87">
        <v>2.5</v>
      </c>
      <c r="S567" s="87">
        <v>112.6857</v>
      </c>
      <c r="T567" s="87">
        <v>2.5</v>
      </c>
      <c r="U567" s="87">
        <v>2.5</v>
      </c>
      <c r="V567" s="87">
        <v>2.5</v>
      </c>
      <c r="W567" s="87">
        <v>112.6857</v>
      </c>
      <c r="X567" s="87">
        <v>112.6857</v>
      </c>
      <c r="Y567" s="87">
        <v>38.39524</v>
      </c>
      <c r="Z567" s="87">
        <v>0.0</v>
      </c>
      <c r="AA567" s="87">
        <v>8.398016</v>
      </c>
      <c r="AB567" s="87">
        <v>10.87684</v>
      </c>
      <c r="AC567" s="87">
        <v>50.27981</v>
      </c>
      <c r="AD567" s="87">
        <v>10.92956</v>
      </c>
      <c r="AE567" s="87">
        <v>17.8252</v>
      </c>
      <c r="AF567" s="87">
        <v>28.7881</v>
      </c>
      <c r="AG567" s="87">
        <v>17.8252</v>
      </c>
      <c r="AH567" s="87">
        <v>0.0</v>
      </c>
      <c r="AI567" s="87">
        <v>11.83143</v>
      </c>
      <c r="AJ567" s="87">
        <v>8.423615</v>
      </c>
      <c r="AK567" s="87">
        <v>17.8252</v>
      </c>
      <c r="AL567" s="88" t="s">
        <v>1396</v>
      </c>
    </row>
    <row r="568">
      <c r="A568" s="84" t="s">
        <v>2151</v>
      </c>
      <c r="B568" s="84" t="s">
        <v>2157</v>
      </c>
      <c r="C568" s="84" t="s">
        <v>363</v>
      </c>
      <c r="D568" s="84" t="s">
        <v>364</v>
      </c>
      <c r="E568" s="84" t="s">
        <v>1403</v>
      </c>
      <c r="F568" s="87">
        <v>176.0</v>
      </c>
      <c r="G568" s="87">
        <v>9.0</v>
      </c>
      <c r="H568" s="87">
        <v>508.0</v>
      </c>
      <c r="I568" s="87">
        <v>508.0</v>
      </c>
      <c r="J568" s="87">
        <v>0.0</v>
      </c>
      <c r="K568" s="87">
        <v>0.0</v>
      </c>
      <c r="L568" s="87">
        <v>0.0</v>
      </c>
      <c r="M568" s="87">
        <v>0.0</v>
      </c>
      <c r="N568" s="87">
        <v>0.0</v>
      </c>
      <c r="O568" s="87">
        <v>0.0</v>
      </c>
      <c r="P568" s="87">
        <v>0.0</v>
      </c>
      <c r="Q568" s="87">
        <v>0.0</v>
      </c>
      <c r="R568" s="87">
        <v>0.0</v>
      </c>
      <c r="S568" s="87">
        <v>0.0</v>
      </c>
      <c r="T568" s="87">
        <v>0.0</v>
      </c>
      <c r="U568" s="87">
        <v>0.0</v>
      </c>
      <c r="V568" s="87">
        <v>0.0</v>
      </c>
      <c r="W568" s="87">
        <v>0.0</v>
      </c>
      <c r="X568" s="87">
        <v>0.0</v>
      </c>
      <c r="Y568" s="87">
        <v>0.0</v>
      </c>
      <c r="Z568" s="87">
        <v>0.0</v>
      </c>
      <c r="AA568" s="87">
        <v>8.398016</v>
      </c>
      <c r="AB568" s="87">
        <v>10.87684</v>
      </c>
      <c r="AC568" s="87">
        <v>50.27981</v>
      </c>
      <c r="AD568" s="87">
        <v>0.0</v>
      </c>
      <c r="AE568" s="87">
        <v>0.0</v>
      </c>
      <c r="AF568" s="87">
        <v>0.0</v>
      </c>
      <c r="AG568" s="87">
        <v>0.0</v>
      </c>
      <c r="AH568" s="87">
        <v>0.0</v>
      </c>
      <c r="AI568" s="87">
        <v>11.83143</v>
      </c>
      <c r="AJ568" s="87">
        <v>8.423615</v>
      </c>
      <c r="AK568" s="87">
        <v>17.8252</v>
      </c>
      <c r="AL568" s="88" t="s">
        <v>1396</v>
      </c>
    </row>
    <row r="569">
      <c r="A569" s="84" t="s">
        <v>2147</v>
      </c>
      <c r="B569" s="84" t="s">
        <v>2158</v>
      </c>
      <c r="C569" s="84" t="s">
        <v>363</v>
      </c>
      <c r="D569" s="84" t="s">
        <v>2159</v>
      </c>
      <c r="E569" s="84" t="s">
        <v>1400</v>
      </c>
      <c r="F569" s="87">
        <v>1.0</v>
      </c>
      <c r="G569" s="87">
        <v>0.0</v>
      </c>
      <c r="H569" s="87">
        <v>0.0</v>
      </c>
      <c r="I569" s="87">
        <v>0.0</v>
      </c>
      <c r="J569" s="87">
        <v>0.0</v>
      </c>
      <c r="K569" s="87">
        <v>0.0</v>
      </c>
      <c r="L569" s="87">
        <v>1.0</v>
      </c>
      <c r="M569" s="87">
        <v>0.0</v>
      </c>
      <c r="N569" s="87">
        <v>0.0</v>
      </c>
      <c r="O569" s="87">
        <v>0.0</v>
      </c>
      <c r="P569" s="87">
        <v>0.0</v>
      </c>
      <c r="Q569" s="87">
        <v>0.0</v>
      </c>
      <c r="R569" s="87">
        <v>0.0</v>
      </c>
      <c r="S569" s="87">
        <v>0.0</v>
      </c>
      <c r="T569" s="87">
        <v>0.0</v>
      </c>
      <c r="U569" s="87">
        <v>0.0</v>
      </c>
      <c r="V569" s="87">
        <v>0.0</v>
      </c>
      <c r="W569" s="87">
        <v>0.0</v>
      </c>
      <c r="X569" s="87">
        <v>0.0</v>
      </c>
      <c r="Y569" s="87">
        <v>0.0</v>
      </c>
      <c r="Z569" s="87">
        <v>0.0</v>
      </c>
      <c r="AA569" s="87">
        <v>0.0</v>
      </c>
      <c r="AB569" s="87">
        <v>0.0</v>
      </c>
      <c r="AC569" s="87">
        <v>0.0</v>
      </c>
      <c r="AD569" s="87">
        <v>4.017019</v>
      </c>
      <c r="AE569" s="87">
        <v>7.382576</v>
      </c>
      <c r="AF569" s="87">
        <v>17.29257</v>
      </c>
      <c r="AG569" s="87">
        <v>8.562664</v>
      </c>
      <c r="AH569" s="87">
        <v>0.0</v>
      </c>
      <c r="AI569" s="87">
        <v>11.83143</v>
      </c>
      <c r="AJ569" s="87">
        <v>8.423615</v>
      </c>
      <c r="AK569" s="87">
        <v>17.8252</v>
      </c>
      <c r="AL569" s="88" t="s">
        <v>1396</v>
      </c>
    </row>
    <row r="570">
      <c r="A570" s="84" t="s">
        <v>2151</v>
      </c>
      <c r="B570" s="84" t="s">
        <v>2160</v>
      </c>
      <c r="C570" s="84" t="s">
        <v>363</v>
      </c>
      <c r="D570" s="84" t="s">
        <v>2159</v>
      </c>
      <c r="E570" s="84" t="s">
        <v>1403</v>
      </c>
      <c r="F570" s="87">
        <v>22.0</v>
      </c>
      <c r="G570" s="87">
        <v>0.0</v>
      </c>
      <c r="H570" s="87">
        <v>0.0</v>
      </c>
      <c r="I570" s="87">
        <v>0.0</v>
      </c>
      <c r="J570" s="87">
        <v>0.0</v>
      </c>
      <c r="K570" s="87">
        <v>0.0</v>
      </c>
      <c r="L570" s="87">
        <v>0.0</v>
      </c>
      <c r="M570" s="87">
        <v>0.0</v>
      </c>
      <c r="N570" s="87">
        <v>0.0</v>
      </c>
      <c r="O570" s="87">
        <v>0.0</v>
      </c>
      <c r="P570" s="87">
        <v>0.0</v>
      </c>
      <c r="Q570" s="87">
        <v>0.0</v>
      </c>
      <c r="R570" s="87">
        <v>0.0</v>
      </c>
      <c r="S570" s="87">
        <v>0.0</v>
      </c>
      <c r="T570" s="87">
        <v>0.0</v>
      </c>
      <c r="U570" s="87">
        <v>0.0</v>
      </c>
      <c r="V570" s="87">
        <v>0.0</v>
      </c>
      <c r="W570" s="87">
        <v>0.0</v>
      </c>
      <c r="X570" s="87">
        <v>0.0</v>
      </c>
      <c r="Y570" s="87">
        <v>0.0</v>
      </c>
      <c r="Z570" s="87">
        <v>0.0</v>
      </c>
      <c r="AA570" s="87">
        <v>0.0</v>
      </c>
      <c r="AB570" s="87">
        <v>0.0</v>
      </c>
      <c r="AC570" s="87">
        <v>0.0</v>
      </c>
      <c r="AD570" s="87">
        <v>0.0</v>
      </c>
      <c r="AE570" s="87">
        <v>0.0</v>
      </c>
      <c r="AF570" s="87">
        <v>0.0</v>
      </c>
      <c r="AG570" s="87">
        <v>0.0</v>
      </c>
      <c r="AH570" s="87">
        <v>0.0</v>
      </c>
      <c r="AI570" s="87">
        <v>11.83143</v>
      </c>
      <c r="AJ570" s="87">
        <v>8.423615</v>
      </c>
      <c r="AK570" s="87">
        <v>17.8252</v>
      </c>
      <c r="AL570" s="88" t="s">
        <v>1396</v>
      </c>
    </row>
    <row r="571">
      <c r="A571" s="84" t="s">
        <v>2141</v>
      </c>
      <c r="B571" s="84" t="s">
        <v>2161</v>
      </c>
      <c r="C571" s="84" t="s">
        <v>363</v>
      </c>
      <c r="D571" s="84" t="s">
        <v>383</v>
      </c>
      <c r="E571" s="86">
        <v>46310.0</v>
      </c>
      <c r="F571" s="87">
        <v>1.0</v>
      </c>
      <c r="G571" s="87">
        <v>0.0</v>
      </c>
      <c r="H571" s="87">
        <v>906.0</v>
      </c>
      <c r="I571" s="87">
        <v>0.0</v>
      </c>
      <c r="J571" s="87">
        <v>123.7598</v>
      </c>
      <c r="K571" s="87">
        <v>96.0095</v>
      </c>
      <c r="L571" s="87">
        <v>91.30434</v>
      </c>
      <c r="M571" s="87">
        <v>96.0095</v>
      </c>
      <c r="N571" s="87">
        <v>1.0</v>
      </c>
      <c r="O571" s="87">
        <v>96.0095</v>
      </c>
      <c r="P571" s="87">
        <v>96.0095</v>
      </c>
      <c r="Q571" s="87">
        <v>96.0095</v>
      </c>
      <c r="R571" s="87">
        <v>96.0095</v>
      </c>
      <c r="S571" s="87">
        <v>96.0095</v>
      </c>
      <c r="T571" s="87">
        <v>96.0095</v>
      </c>
      <c r="U571" s="87">
        <v>96.0095</v>
      </c>
      <c r="V571" s="87">
        <v>96.0095</v>
      </c>
      <c r="W571" s="87">
        <v>96.0095</v>
      </c>
      <c r="X571" s="87">
        <v>96.0095</v>
      </c>
      <c r="Y571" s="87">
        <v>96.0095</v>
      </c>
      <c r="Z571" s="87">
        <v>0.0</v>
      </c>
      <c r="AA571" s="87">
        <v>24.96597</v>
      </c>
      <c r="AB571" s="87">
        <v>3.039621</v>
      </c>
      <c r="AC571" s="87">
        <v>15.50279</v>
      </c>
      <c r="AD571" s="87">
        <v>16.22404</v>
      </c>
      <c r="AE571" s="87">
        <v>23.56137</v>
      </c>
      <c r="AF571" s="87">
        <v>73.71073</v>
      </c>
      <c r="AG571" s="87">
        <v>96.0095</v>
      </c>
      <c r="AH571" s="87">
        <v>0.0</v>
      </c>
      <c r="AI571" s="87">
        <v>11.83143</v>
      </c>
      <c r="AJ571" s="87">
        <v>8.423615</v>
      </c>
      <c r="AK571" s="87">
        <v>17.8252</v>
      </c>
      <c r="AL571" s="88" t="s">
        <v>1396</v>
      </c>
    </row>
    <row r="572">
      <c r="A572" s="84" t="s">
        <v>2145</v>
      </c>
      <c r="B572" s="84" t="s">
        <v>2162</v>
      </c>
      <c r="C572" s="84" t="s">
        <v>363</v>
      </c>
      <c r="D572" s="84" t="s">
        <v>383</v>
      </c>
      <c r="E572" s="84" t="s">
        <v>1398</v>
      </c>
      <c r="F572" s="87">
        <v>2.0</v>
      </c>
      <c r="G572" s="87">
        <v>0.0</v>
      </c>
      <c r="H572" s="87">
        <v>226.0</v>
      </c>
      <c r="I572" s="87">
        <v>0.0</v>
      </c>
      <c r="J572" s="87">
        <v>35.16492</v>
      </c>
      <c r="K572" s="87">
        <v>31.00558</v>
      </c>
      <c r="L572" s="87">
        <v>29.2052</v>
      </c>
      <c r="M572" s="87">
        <v>16.0162</v>
      </c>
      <c r="N572" s="87">
        <v>0.516559</v>
      </c>
      <c r="O572" s="87">
        <v>14.98938</v>
      </c>
      <c r="P572" s="87">
        <v>14.98938</v>
      </c>
      <c r="Q572" s="87">
        <v>14.98938</v>
      </c>
      <c r="R572" s="87">
        <v>16.0162</v>
      </c>
      <c r="S572" s="87">
        <v>16.0162</v>
      </c>
      <c r="T572" s="87">
        <v>14.98938</v>
      </c>
      <c r="U572" s="87">
        <v>14.98938</v>
      </c>
      <c r="V572" s="87">
        <v>14.98938</v>
      </c>
      <c r="W572" s="87">
        <v>16.0162</v>
      </c>
      <c r="X572" s="87">
        <v>16.0162</v>
      </c>
      <c r="Y572" s="87">
        <v>15.50279</v>
      </c>
      <c r="Z572" s="87">
        <v>0.0</v>
      </c>
      <c r="AA572" s="87">
        <v>24.96597</v>
      </c>
      <c r="AB572" s="87">
        <v>3.039621</v>
      </c>
      <c r="AC572" s="87">
        <v>15.50279</v>
      </c>
      <c r="AD572" s="87">
        <v>8.398016</v>
      </c>
      <c r="AE572" s="87">
        <v>15.92313</v>
      </c>
      <c r="AF572" s="87">
        <v>36.51833</v>
      </c>
      <c r="AG572" s="87">
        <v>17.85337</v>
      </c>
      <c r="AH572" s="87">
        <v>0.0</v>
      </c>
      <c r="AI572" s="87">
        <v>11.83143</v>
      </c>
      <c r="AJ572" s="87">
        <v>8.423615</v>
      </c>
      <c r="AK572" s="87">
        <v>17.8252</v>
      </c>
      <c r="AL572" s="88" t="s">
        <v>1396</v>
      </c>
    </row>
    <row r="573">
      <c r="A573" s="84" t="s">
        <v>2147</v>
      </c>
      <c r="B573" s="84" t="s">
        <v>2163</v>
      </c>
      <c r="C573" s="84" t="s">
        <v>363</v>
      </c>
      <c r="D573" s="84" t="s">
        <v>383</v>
      </c>
      <c r="E573" s="84" t="s">
        <v>1400</v>
      </c>
      <c r="F573" s="87">
        <v>3.0</v>
      </c>
      <c r="G573" s="87">
        <v>0.0</v>
      </c>
      <c r="H573" s="87">
        <v>206.0</v>
      </c>
      <c r="I573" s="87">
        <v>0.0</v>
      </c>
      <c r="J573" s="87">
        <v>20.96714</v>
      </c>
      <c r="K573" s="87">
        <v>24.96597</v>
      </c>
      <c r="L573" s="87">
        <v>31.50956</v>
      </c>
      <c r="M573" s="87">
        <v>24.96597</v>
      </c>
      <c r="N573" s="87">
        <v>1.0</v>
      </c>
      <c r="O573" s="87">
        <v>0.0</v>
      </c>
      <c r="P573" s="87">
        <v>0.0</v>
      </c>
      <c r="Q573" s="87">
        <v>0.0</v>
      </c>
      <c r="R573" s="87">
        <v>0.0</v>
      </c>
      <c r="S573" s="87">
        <v>24.96597</v>
      </c>
      <c r="T573" s="87">
        <v>24.96597</v>
      </c>
      <c r="U573" s="87">
        <v>24.96597</v>
      </c>
      <c r="V573" s="87">
        <v>24.96597</v>
      </c>
      <c r="W573" s="87">
        <v>24.96597</v>
      </c>
      <c r="X573" s="87">
        <v>24.96597</v>
      </c>
      <c r="Y573" s="87">
        <v>8.321991</v>
      </c>
      <c r="Z573" s="87">
        <v>0.0</v>
      </c>
      <c r="AA573" s="87">
        <v>24.96597</v>
      </c>
      <c r="AB573" s="87">
        <v>3.039621</v>
      </c>
      <c r="AC573" s="87">
        <v>15.50279</v>
      </c>
      <c r="AD573" s="87">
        <v>4.017019</v>
      </c>
      <c r="AE573" s="87">
        <v>7.382576</v>
      </c>
      <c r="AF573" s="87">
        <v>17.29257</v>
      </c>
      <c r="AG573" s="87">
        <v>8.562664</v>
      </c>
      <c r="AH573" s="87">
        <v>0.0</v>
      </c>
      <c r="AI573" s="87">
        <v>11.83143</v>
      </c>
      <c r="AJ573" s="87">
        <v>8.423615</v>
      </c>
      <c r="AK573" s="87">
        <v>17.8252</v>
      </c>
      <c r="AL573" s="88" t="s">
        <v>1396</v>
      </c>
    </row>
    <row r="574">
      <c r="A574" s="84" t="s">
        <v>2151</v>
      </c>
      <c r="B574" s="84" t="s">
        <v>2164</v>
      </c>
      <c r="C574" s="84" t="s">
        <v>363</v>
      </c>
      <c r="D574" s="84" t="s">
        <v>383</v>
      </c>
      <c r="E574" s="84" t="s">
        <v>1403</v>
      </c>
      <c r="F574" s="87">
        <v>44.0</v>
      </c>
      <c r="G574" s="87">
        <v>1.0</v>
      </c>
      <c r="H574" s="87">
        <v>57.0</v>
      </c>
      <c r="I574" s="87">
        <v>57.0</v>
      </c>
      <c r="J574" s="87">
        <v>0.0</v>
      </c>
      <c r="K574" s="87">
        <v>0.0</v>
      </c>
      <c r="L574" s="87">
        <v>0.0</v>
      </c>
      <c r="M574" s="87">
        <v>0.0</v>
      </c>
      <c r="N574" s="87">
        <v>0.0</v>
      </c>
      <c r="O574" s="87">
        <v>0.0</v>
      </c>
      <c r="P574" s="87">
        <v>0.0</v>
      </c>
      <c r="Q574" s="87">
        <v>0.0</v>
      </c>
      <c r="R574" s="87">
        <v>0.0</v>
      </c>
      <c r="S574" s="87">
        <v>0.0</v>
      </c>
      <c r="T574" s="87">
        <v>0.0</v>
      </c>
      <c r="U574" s="87">
        <v>0.0</v>
      </c>
      <c r="V574" s="87">
        <v>0.0</v>
      </c>
      <c r="W574" s="87">
        <v>0.0</v>
      </c>
      <c r="X574" s="87">
        <v>0.0</v>
      </c>
      <c r="Y574" s="87">
        <v>0.0</v>
      </c>
      <c r="Z574" s="87">
        <v>0.0</v>
      </c>
      <c r="AA574" s="87">
        <v>24.96597</v>
      </c>
      <c r="AB574" s="87">
        <v>3.039621</v>
      </c>
      <c r="AC574" s="87">
        <v>15.50279</v>
      </c>
      <c r="AD574" s="87">
        <v>0.0</v>
      </c>
      <c r="AE574" s="87">
        <v>0.0</v>
      </c>
      <c r="AF574" s="87">
        <v>0.0</v>
      </c>
      <c r="AG574" s="87">
        <v>0.0</v>
      </c>
      <c r="AH574" s="87">
        <v>0.0</v>
      </c>
      <c r="AI574" s="87">
        <v>11.83143</v>
      </c>
      <c r="AJ574" s="87">
        <v>8.423615</v>
      </c>
      <c r="AK574" s="87">
        <v>17.8252</v>
      </c>
      <c r="AL574" s="88" t="s">
        <v>1396</v>
      </c>
    </row>
    <row r="575">
      <c r="A575" s="84" t="s">
        <v>2145</v>
      </c>
      <c r="B575" s="84" t="s">
        <v>2165</v>
      </c>
      <c r="C575" s="84" t="s">
        <v>363</v>
      </c>
      <c r="D575" s="84" t="s">
        <v>2166</v>
      </c>
      <c r="E575" s="84" t="s">
        <v>1398</v>
      </c>
      <c r="F575" s="87">
        <v>1.0</v>
      </c>
      <c r="G575" s="87">
        <v>0.0</v>
      </c>
      <c r="H575" s="87">
        <v>40.0</v>
      </c>
      <c r="I575" s="87">
        <v>0.0</v>
      </c>
      <c r="J575" s="87">
        <v>3.136536</v>
      </c>
      <c r="K575" s="87">
        <v>4.289216</v>
      </c>
      <c r="L575" s="87">
        <v>5.469549</v>
      </c>
      <c r="M575" s="87">
        <v>4.289216</v>
      </c>
      <c r="N575" s="87">
        <v>1.0</v>
      </c>
      <c r="O575" s="87">
        <v>4.289216</v>
      </c>
      <c r="P575" s="87">
        <v>4.289216</v>
      </c>
      <c r="Q575" s="87">
        <v>4.289216</v>
      </c>
      <c r="R575" s="87">
        <v>4.289216</v>
      </c>
      <c r="S575" s="87">
        <v>4.289216</v>
      </c>
      <c r="T575" s="87">
        <v>4.289216</v>
      </c>
      <c r="U575" s="87">
        <v>4.289216</v>
      </c>
      <c r="V575" s="87">
        <v>4.289216</v>
      </c>
      <c r="W575" s="87">
        <v>4.289216</v>
      </c>
      <c r="X575" s="87">
        <v>4.289216</v>
      </c>
      <c r="Y575" s="87">
        <v>4.289216</v>
      </c>
      <c r="Z575" s="87">
        <v>0.0</v>
      </c>
      <c r="AA575" s="87">
        <v>4.289216</v>
      </c>
      <c r="AB575" s="87">
        <v>0.204248</v>
      </c>
      <c r="AC575" s="87">
        <v>4.289216</v>
      </c>
      <c r="AD575" s="87">
        <v>8.398016</v>
      </c>
      <c r="AE575" s="87">
        <v>15.92313</v>
      </c>
      <c r="AF575" s="87">
        <v>36.51833</v>
      </c>
      <c r="AG575" s="87">
        <v>17.85337</v>
      </c>
      <c r="AH575" s="87">
        <v>0.0</v>
      </c>
      <c r="AI575" s="87">
        <v>11.83143</v>
      </c>
      <c r="AJ575" s="87">
        <v>8.423615</v>
      </c>
      <c r="AK575" s="87">
        <v>17.8252</v>
      </c>
      <c r="AL575" s="88" t="s">
        <v>1396</v>
      </c>
    </row>
    <row r="576">
      <c r="A576" s="84" t="s">
        <v>2151</v>
      </c>
      <c r="B576" s="84" t="s">
        <v>2167</v>
      </c>
      <c r="C576" s="84" t="s">
        <v>363</v>
      </c>
      <c r="D576" s="84" t="s">
        <v>2166</v>
      </c>
      <c r="E576" s="84" t="s">
        <v>1403</v>
      </c>
      <c r="F576" s="87">
        <v>20.0</v>
      </c>
      <c r="G576" s="87">
        <v>1.0</v>
      </c>
      <c r="H576" s="87">
        <v>12.0</v>
      </c>
      <c r="I576" s="87">
        <v>12.0</v>
      </c>
      <c r="J576" s="87">
        <v>0.0</v>
      </c>
      <c r="K576" s="87">
        <v>0.0</v>
      </c>
      <c r="L576" s="87">
        <v>0.0</v>
      </c>
      <c r="M576" s="87">
        <v>0.0</v>
      </c>
      <c r="N576" s="87">
        <v>0.0</v>
      </c>
      <c r="O576" s="87">
        <v>0.0</v>
      </c>
      <c r="P576" s="87">
        <v>0.0</v>
      </c>
      <c r="Q576" s="87">
        <v>0.0</v>
      </c>
      <c r="R576" s="87">
        <v>0.0</v>
      </c>
      <c r="S576" s="87">
        <v>0.0</v>
      </c>
      <c r="T576" s="87">
        <v>0.0</v>
      </c>
      <c r="U576" s="87">
        <v>0.0</v>
      </c>
      <c r="V576" s="87">
        <v>0.0</v>
      </c>
      <c r="W576" s="87">
        <v>0.0</v>
      </c>
      <c r="X576" s="87">
        <v>0.0</v>
      </c>
      <c r="Y576" s="87">
        <v>0.0</v>
      </c>
      <c r="Z576" s="87">
        <v>0.0</v>
      </c>
      <c r="AA576" s="87">
        <v>4.289216</v>
      </c>
      <c r="AB576" s="87">
        <v>0.204248</v>
      </c>
      <c r="AC576" s="87">
        <v>4.289216</v>
      </c>
      <c r="AD576" s="87">
        <v>0.0</v>
      </c>
      <c r="AE576" s="87">
        <v>0.0</v>
      </c>
      <c r="AF576" s="87">
        <v>0.0</v>
      </c>
      <c r="AG576" s="87">
        <v>0.0</v>
      </c>
      <c r="AH576" s="87">
        <v>0.0</v>
      </c>
      <c r="AI576" s="87">
        <v>11.83143</v>
      </c>
      <c r="AJ576" s="87">
        <v>8.423615</v>
      </c>
      <c r="AK576" s="87">
        <v>17.8252</v>
      </c>
      <c r="AL576" s="88" t="s">
        <v>1396</v>
      </c>
    </row>
    <row r="577">
      <c r="A577" s="84" t="s">
        <v>2141</v>
      </c>
      <c r="B577" s="84" t="s">
        <v>2168</v>
      </c>
      <c r="C577" s="84" t="s">
        <v>363</v>
      </c>
      <c r="D577" s="84" t="s">
        <v>928</v>
      </c>
      <c r="E577" s="86">
        <v>46310.0</v>
      </c>
      <c r="F577" s="87">
        <v>5.0</v>
      </c>
      <c r="G577" s="87">
        <v>0.0</v>
      </c>
      <c r="H577" s="87">
        <v>437.0</v>
      </c>
      <c r="I577" s="87">
        <v>0.0</v>
      </c>
      <c r="J577" s="87">
        <v>31.32622</v>
      </c>
      <c r="K577" s="87">
        <v>31.77517</v>
      </c>
      <c r="L577" s="87">
        <v>34.47431</v>
      </c>
      <c r="M577" s="87">
        <v>22.38991</v>
      </c>
      <c r="N577" s="87">
        <v>0.704635</v>
      </c>
      <c r="O577" s="87">
        <v>0.0</v>
      </c>
      <c r="P577" s="87">
        <v>0.043478</v>
      </c>
      <c r="Q577" s="87">
        <v>0.043478</v>
      </c>
      <c r="R577" s="87">
        <v>2.663711</v>
      </c>
      <c r="S577" s="87">
        <v>6.678075</v>
      </c>
      <c r="T577" s="87">
        <v>0.043478</v>
      </c>
      <c r="U577" s="87">
        <v>0.043478</v>
      </c>
      <c r="V577" s="87">
        <v>2.663711</v>
      </c>
      <c r="W577" s="87">
        <v>6.678075</v>
      </c>
      <c r="X577" s="87">
        <v>6.678075</v>
      </c>
      <c r="Y577" s="87">
        <v>6.355034</v>
      </c>
      <c r="Z577" s="87">
        <v>0.0</v>
      </c>
      <c r="AA577" s="87">
        <v>8.691365</v>
      </c>
      <c r="AB577" s="87">
        <v>7.222392</v>
      </c>
      <c r="AC577" s="87">
        <v>17.85337</v>
      </c>
      <c r="AD577" s="87">
        <v>16.22404</v>
      </c>
      <c r="AE577" s="87">
        <v>23.56137</v>
      </c>
      <c r="AF577" s="87">
        <v>73.71073</v>
      </c>
      <c r="AG577" s="87">
        <v>96.0095</v>
      </c>
      <c r="AH577" s="87">
        <v>0.0</v>
      </c>
      <c r="AI577" s="87">
        <v>11.83143</v>
      </c>
      <c r="AJ577" s="87">
        <v>8.423615</v>
      </c>
      <c r="AK577" s="87">
        <v>17.8252</v>
      </c>
      <c r="AL577" s="88" t="s">
        <v>1396</v>
      </c>
    </row>
    <row r="578">
      <c r="A578" s="84" t="s">
        <v>2143</v>
      </c>
      <c r="B578" s="84" t="s">
        <v>2169</v>
      </c>
      <c r="C578" s="84" t="s">
        <v>363</v>
      </c>
      <c r="D578" s="84" t="s">
        <v>928</v>
      </c>
      <c r="E578" s="84" t="s">
        <v>1413</v>
      </c>
      <c r="F578" s="87">
        <v>4.0</v>
      </c>
      <c r="G578" s="87">
        <v>0.0</v>
      </c>
      <c r="H578" s="87">
        <v>776.0</v>
      </c>
      <c r="I578" s="87">
        <v>0.0</v>
      </c>
      <c r="J578" s="87">
        <v>162.7224</v>
      </c>
      <c r="K578" s="87">
        <v>173.0495</v>
      </c>
      <c r="L578" s="87">
        <v>165.1596</v>
      </c>
      <c r="M578" s="87">
        <v>152.1967</v>
      </c>
      <c r="N578" s="87">
        <v>0.879498</v>
      </c>
      <c r="O578" s="87">
        <v>0.0</v>
      </c>
      <c r="P578" s="87">
        <v>0.0</v>
      </c>
      <c r="Q578" s="87">
        <v>6.767814</v>
      </c>
      <c r="R578" s="87">
        <v>14.08506</v>
      </c>
      <c r="S578" s="87">
        <v>14.08506</v>
      </c>
      <c r="T578" s="87">
        <v>6.767814</v>
      </c>
      <c r="U578" s="87">
        <v>6.767814</v>
      </c>
      <c r="V578" s="87">
        <v>6.767814</v>
      </c>
      <c r="W578" s="87">
        <v>14.08506</v>
      </c>
      <c r="X578" s="87">
        <v>152.1967</v>
      </c>
      <c r="Y578" s="87">
        <v>43.26238</v>
      </c>
      <c r="Z578" s="87">
        <v>0.0</v>
      </c>
      <c r="AA578" s="87">
        <v>8.691365</v>
      </c>
      <c r="AB578" s="87">
        <v>7.222392</v>
      </c>
      <c r="AC578" s="87">
        <v>17.85337</v>
      </c>
      <c r="AD578" s="87">
        <v>10.22857</v>
      </c>
      <c r="AE578" s="87">
        <v>16.15838</v>
      </c>
      <c r="AF578" s="87">
        <v>34.47357</v>
      </c>
      <c r="AG578" s="87">
        <v>43.26238</v>
      </c>
      <c r="AH578" s="87">
        <v>0.0</v>
      </c>
      <c r="AI578" s="87">
        <v>11.83143</v>
      </c>
      <c r="AJ578" s="87">
        <v>8.423615</v>
      </c>
      <c r="AK578" s="87">
        <v>17.8252</v>
      </c>
      <c r="AL578" s="88" t="s">
        <v>1396</v>
      </c>
    </row>
    <row r="579">
      <c r="A579" s="84" t="s">
        <v>2145</v>
      </c>
      <c r="B579" s="84" t="s">
        <v>2170</v>
      </c>
      <c r="C579" s="84" t="s">
        <v>363</v>
      </c>
      <c r="D579" s="84" t="s">
        <v>928</v>
      </c>
      <c r="E579" s="84" t="s">
        <v>1398</v>
      </c>
      <c r="F579" s="87">
        <v>10.0</v>
      </c>
      <c r="G579" s="87">
        <v>0.0</v>
      </c>
      <c r="H579" s="87">
        <v>1148.0</v>
      </c>
      <c r="I579" s="87">
        <v>0.0</v>
      </c>
      <c r="J579" s="87">
        <v>175.6404</v>
      </c>
      <c r="K579" s="87">
        <v>178.5337</v>
      </c>
      <c r="L579" s="87">
        <v>196.2306</v>
      </c>
      <c r="M579" s="87">
        <v>165.675</v>
      </c>
      <c r="N579" s="87">
        <v>0.927976</v>
      </c>
      <c r="O579" s="87">
        <v>0.0</v>
      </c>
      <c r="P579" s="87">
        <v>0.0</v>
      </c>
      <c r="Q579" s="87">
        <v>0.0</v>
      </c>
      <c r="R579" s="87">
        <v>2.186025</v>
      </c>
      <c r="S579" s="87">
        <v>6.0</v>
      </c>
      <c r="T579" s="87">
        <v>1.081481</v>
      </c>
      <c r="U579" s="87">
        <v>2.186025</v>
      </c>
      <c r="V579" s="87">
        <v>2.186025</v>
      </c>
      <c r="W579" s="87">
        <v>6.0</v>
      </c>
      <c r="X579" s="87">
        <v>64.76308</v>
      </c>
      <c r="Y579" s="87">
        <v>17.85337</v>
      </c>
      <c r="Z579" s="87">
        <v>0.0</v>
      </c>
      <c r="AA579" s="87">
        <v>8.691365</v>
      </c>
      <c r="AB579" s="87">
        <v>7.222392</v>
      </c>
      <c r="AC579" s="87">
        <v>17.85337</v>
      </c>
      <c r="AD579" s="87">
        <v>8.398016</v>
      </c>
      <c r="AE579" s="87">
        <v>15.92313</v>
      </c>
      <c r="AF579" s="87">
        <v>36.51833</v>
      </c>
      <c r="AG579" s="87">
        <v>17.85337</v>
      </c>
      <c r="AH579" s="87">
        <v>0.0</v>
      </c>
      <c r="AI579" s="87">
        <v>11.83143</v>
      </c>
      <c r="AJ579" s="87">
        <v>8.423615</v>
      </c>
      <c r="AK579" s="87">
        <v>17.8252</v>
      </c>
      <c r="AL579" s="88" t="s">
        <v>1396</v>
      </c>
    </row>
    <row r="580">
      <c r="A580" s="84" t="s">
        <v>2147</v>
      </c>
      <c r="B580" s="84" t="s">
        <v>2171</v>
      </c>
      <c r="C580" s="84" t="s">
        <v>363</v>
      </c>
      <c r="D580" s="84" t="s">
        <v>928</v>
      </c>
      <c r="E580" s="84" t="s">
        <v>1400</v>
      </c>
      <c r="F580" s="87">
        <v>24.0</v>
      </c>
      <c r="G580" s="87">
        <v>0.0</v>
      </c>
      <c r="H580" s="87">
        <v>5583.0</v>
      </c>
      <c r="I580" s="87">
        <v>0.0</v>
      </c>
      <c r="J580" s="87">
        <v>544.9016</v>
      </c>
      <c r="K580" s="87">
        <v>544.9498</v>
      </c>
      <c r="L580" s="87">
        <v>550.7808</v>
      </c>
      <c r="M580" s="87">
        <v>453.9451</v>
      </c>
      <c r="N580" s="87">
        <v>0.833004</v>
      </c>
      <c r="O580" s="87">
        <v>0.0</v>
      </c>
      <c r="P580" s="87">
        <v>0.0</v>
      </c>
      <c r="Q580" s="87">
        <v>1.671264</v>
      </c>
      <c r="R580" s="87">
        <v>4.221074</v>
      </c>
      <c r="S580" s="87">
        <v>10.02094</v>
      </c>
      <c r="T580" s="87">
        <v>1.671264</v>
      </c>
      <c r="U580" s="87">
        <v>3.584475</v>
      </c>
      <c r="V580" s="87">
        <v>4.017019</v>
      </c>
      <c r="W580" s="87">
        <v>9.4293</v>
      </c>
      <c r="X580" s="87">
        <v>25.85278</v>
      </c>
      <c r="Y580" s="87">
        <v>22.70624</v>
      </c>
      <c r="Z580" s="87">
        <v>0.0</v>
      </c>
      <c r="AA580" s="87">
        <v>8.691365</v>
      </c>
      <c r="AB580" s="87">
        <v>7.222392</v>
      </c>
      <c r="AC580" s="87">
        <v>17.85337</v>
      </c>
      <c r="AD580" s="87">
        <v>4.017019</v>
      </c>
      <c r="AE580" s="87">
        <v>7.382576</v>
      </c>
      <c r="AF580" s="87">
        <v>17.29257</v>
      </c>
      <c r="AG580" s="87">
        <v>8.562664</v>
      </c>
      <c r="AH580" s="87">
        <v>0.0</v>
      </c>
      <c r="AI580" s="87">
        <v>11.83143</v>
      </c>
      <c r="AJ580" s="87">
        <v>8.423615</v>
      </c>
      <c r="AK580" s="87">
        <v>17.8252</v>
      </c>
      <c r="AL580" s="88" t="s">
        <v>1396</v>
      </c>
    </row>
    <row r="581">
      <c r="A581" s="84" t="s">
        <v>2149</v>
      </c>
      <c r="B581" s="84" t="s">
        <v>2172</v>
      </c>
      <c r="C581" s="84" t="s">
        <v>363</v>
      </c>
      <c r="D581" s="84" t="s">
        <v>928</v>
      </c>
      <c r="E581" s="89">
        <v>46300.0</v>
      </c>
      <c r="F581" s="87">
        <v>1.0</v>
      </c>
      <c r="G581" s="87">
        <v>0.0</v>
      </c>
      <c r="H581" s="87">
        <v>152.0</v>
      </c>
      <c r="I581" s="87">
        <v>0.0</v>
      </c>
      <c r="J581" s="87">
        <v>18.4854</v>
      </c>
      <c r="K581" s="87">
        <v>17.8252</v>
      </c>
      <c r="L581" s="87">
        <v>17.8252</v>
      </c>
      <c r="M581" s="87">
        <v>17.8252</v>
      </c>
      <c r="N581" s="87">
        <v>1.0</v>
      </c>
      <c r="O581" s="87">
        <v>17.8252</v>
      </c>
      <c r="P581" s="87">
        <v>17.8252</v>
      </c>
      <c r="Q581" s="87">
        <v>17.8252</v>
      </c>
      <c r="R581" s="87">
        <v>17.8252</v>
      </c>
      <c r="S581" s="87">
        <v>17.8252</v>
      </c>
      <c r="T581" s="87">
        <v>17.8252</v>
      </c>
      <c r="U581" s="87">
        <v>17.8252</v>
      </c>
      <c r="V581" s="87">
        <v>17.8252</v>
      </c>
      <c r="W581" s="87">
        <v>17.8252</v>
      </c>
      <c r="X581" s="87">
        <v>17.8252</v>
      </c>
      <c r="Y581" s="87">
        <v>17.8252</v>
      </c>
      <c r="Z581" s="87">
        <v>0.0</v>
      </c>
      <c r="AA581" s="87">
        <v>8.691365</v>
      </c>
      <c r="AB581" s="87">
        <v>7.222392</v>
      </c>
      <c r="AC581" s="87">
        <v>17.85337</v>
      </c>
      <c r="AD581" s="87">
        <v>10.92956</v>
      </c>
      <c r="AE581" s="87">
        <v>17.8252</v>
      </c>
      <c r="AF581" s="87">
        <v>28.7881</v>
      </c>
      <c r="AG581" s="87">
        <v>17.8252</v>
      </c>
      <c r="AH581" s="87">
        <v>0.0</v>
      </c>
      <c r="AI581" s="87">
        <v>11.83143</v>
      </c>
      <c r="AJ581" s="87">
        <v>8.423615</v>
      </c>
      <c r="AK581" s="87">
        <v>17.8252</v>
      </c>
      <c r="AL581" s="88" t="s">
        <v>1396</v>
      </c>
    </row>
    <row r="582">
      <c r="A582" s="84" t="s">
        <v>2151</v>
      </c>
      <c r="B582" s="84" t="s">
        <v>2173</v>
      </c>
      <c r="C582" s="84" t="s">
        <v>363</v>
      </c>
      <c r="D582" s="84" t="s">
        <v>928</v>
      </c>
      <c r="E582" s="84" t="s">
        <v>1403</v>
      </c>
      <c r="F582" s="87">
        <v>87.0</v>
      </c>
      <c r="G582" s="87">
        <v>0.0</v>
      </c>
      <c r="H582" s="87">
        <v>0.0</v>
      </c>
      <c r="I582" s="87">
        <v>0.0</v>
      </c>
      <c r="J582" s="87">
        <v>0.0</v>
      </c>
      <c r="K582" s="87">
        <v>0.0</v>
      </c>
      <c r="L582" s="87">
        <v>0.0</v>
      </c>
      <c r="M582" s="87">
        <v>0.0</v>
      </c>
      <c r="N582" s="87">
        <v>0.0</v>
      </c>
      <c r="O582" s="87">
        <v>0.0</v>
      </c>
      <c r="P582" s="87">
        <v>0.0</v>
      </c>
      <c r="Q582" s="87">
        <v>0.0</v>
      </c>
      <c r="R582" s="87">
        <v>0.0</v>
      </c>
      <c r="S582" s="87">
        <v>0.0</v>
      </c>
      <c r="T582" s="87">
        <v>0.0</v>
      </c>
      <c r="U582" s="87">
        <v>0.0</v>
      </c>
      <c r="V582" s="87">
        <v>0.0</v>
      </c>
      <c r="W582" s="87">
        <v>0.0</v>
      </c>
      <c r="X582" s="87">
        <v>0.0</v>
      </c>
      <c r="Y582" s="87">
        <v>0.0</v>
      </c>
      <c r="Z582" s="87">
        <v>0.0</v>
      </c>
      <c r="AA582" s="87">
        <v>8.691365</v>
      </c>
      <c r="AB582" s="87">
        <v>7.222392</v>
      </c>
      <c r="AC582" s="87">
        <v>17.85337</v>
      </c>
      <c r="AD582" s="87">
        <v>0.0</v>
      </c>
      <c r="AE582" s="87">
        <v>0.0</v>
      </c>
      <c r="AF582" s="87">
        <v>0.0</v>
      </c>
      <c r="AG582" s="87">
        <v>0.0</v>
      </c>
      <c r="AH582" s="87">
        <v>0.0</v>
      </c>
      <c r="AI582" s="87">
        <v>11.83143</v>
      </c>
      <c r="AJ582" s="87">
        <v>8.423615</v>
      </c>
      <c r="AK582" s="87">
        <v>17.8252</v>
      </c>
      <c r="AL582" s="88" t="s">
        <v>1396</v>
      </c>
    </row>
    <row r="583">
      <c r="A583" s="84" t="s">
        <v>2174</v>
      </c>
      <c r="B583" s="84" t="s">
        <v>2175</v>
      </c>
      <c r="C583" s="84" t="s">
        <v>393</v>
      </c>
      <c r="D583" s="84" t="s">
        <v>2176</v>
      </c>
      <c r="E583" s="89">
        <v>46310.0</v>
      </c>
      <c r="F583" s="87">
        <v>4.0</v>
      </c>
      <c r="G583" s="87">
        <v>0.0</v>
      </c>
      <c r="H583" s="87">
        <v>2126.0</v>
      </c>
      <c r="I583" s="87">
        <v>0.0</v>
      </c>
      <c r="J583" s="87">
        <v>19.34817</v>
      </c>
      <c r="K583" s="87">
        <v>19.68588</v>
      </c>
      <c r="L583" s="87">
        <v>20.69413</v>
      </c>
      <c r="M583" s="87">
        <v>19.60254</v>
      </c>
      <c r="N583" s="87">
        <v>0.995767</v>
      </c>
      <c r="O583" s="87">
        <v>0.0</v>
      </c>
      <c r="P583" s="87">
        <v>0.0</v>
      </c>
      <c r="Q583" s="87">
        <v>0.0</v>
      </c>
      <c r="R583" s="87">
        <v>0.083333</v>
      </c>
      <c r="S583" s="87">
        <v>0.083333</v>
      </c>
      <c r="T583" s="87">
        <v>0.083333</v>
      </c>
      <c r="U583" s="87">
        <v>0.083333</v>
      </c>
      <c r="V583" s="87">
        <v>0.083333</v>
      </c>
      <c r="W583" s="87">
        <v>19.60254</v>
      </c>
      <c r="X583" s="87">
        <v>19.60254</v>
      </c>
      <c r="Y583" s="87">
        <v>4.921469</v>
      </c>
      <c r="Z583" s="87">
        <v>2.161067</v>
      </c>
      <c r="AA583" s="87">
        <v>4.335111</v>
      </c>
      <c r="AB583" s="87">
        <v>4.039271</v>
      </c>
      <c r="AC583" s="87">
        <v>4.11386</v>
      </c>
      <c r="AD583" s="87">
        <v>1.466667</v>
      </c>
      <c r="AE583" s="87">
        <v>5.650186</v>
      </c>
      <c r="AF583" s="87">
        <v>4.970648</v>
      </c>
      <c r="AG583" s="87">
        <v>3.187063</v>
      </c>
      <c r="AH583" s="87">
        <v>0.0</v>
      </c>
      <c r="AI583" s="87">
        <v>3.424101</v>
      </c>
      <c r="AJ583" s="87">
        <v>1.863473</v>
      </c>
      <c r="AK583" s="87">
        <v>2.220125</v>
      </c>
      <c r="AL583" s="88" t="s">
        <v>1396</v>
      </c>
    </row>
    <row r="584">
      <c r="A584" s="84" t="s">
        <v>2177</v>
      </c>
      <c r="B584" s="84" t="s">
        <v>2178</v>
      </c>
      <c r="C584" s="84" t="s">
        <v>393</v>
      </c>
      <c r="D584" s="84" t="s">
        <v>2176</v>
      </c>
      <c r="E584" s="84" t="s">
        <v>1413</v>
      </c>
      <c r="F584" s="87">
        <v>5.0</v>
      </c>
      <c r="G584" s="87">
        <v>0.0</v>
      </c>
      <c r="H584" s="87">
        <v>2301.0</v>
      </c>
      <c r="I584" s="87">
        <v>0.0</v>
      </c>
      <c r="J584" s="87">
        <v>23.51572</v>
      </c>
      <c r="K584" s="87">
        <v>20.5693</v>
      </c>
      <c r="L584" s="87">
        <v>21.42193</v>
      </c>
      <c r="M584" s="87">
        <v>9.055591</v>
      </c>
      <c r="N584" s="87">
        <v>0.440248</v>
      </c>
      <c r="O584" s="87">
        <v>0.0</v>
      </c>
      <c r="P584" s="87">
        <v>2.714263</v>
      </c>
      <c r="Q584" s="87">
        <v>2.714263</v>
      </c>
      <c r="R584" s="87">
        <v>3.999308</v>
      </c>
      <c r="S584" s="87">
        <v>4.800139</v>
      </c>
      <c r="T584" s="87">
        <v>2.714263</v>
      </c>
      <c r="U584" s="87">
        <v>2.714263</v>
      </c>
      <c r="V584" s="87">
        <v>3.999308</v>
      </c>
      <c r="W584" s="87">
        <v>4.800139</v>
      </c>
      <c r="X584" s="87">
        <v>4.800139</v>
      </c>
      <c r="Y584" s="87">
        <v>4.11386</v>
      </c>
      <c r="Z584" s="87">
        <v>2.161067</v>
      </c>
      <c r="AA584" s="87">
        <v>4.335111</v>
      </c>
      <c r="AB584" s="87">
        <v>4.039271</v>
      </c>
      <c r="AC584" s="87">
        <v>4.11386</v>
      </c>
      <c r="AD584" s="87">
        <v>2.714263</v>
      </c>
      <c r="AE584" s="87">
        <v>3.315106</v>
      </c>
      <c r="AF584" s="87">
        <v>5.962422</v>
      </c>
      <c r="AG584" s="87">
        <v>4.11386</v>
      </c>
      <c r="AH584" s="87">
        <v>0.0</v>
      </c>
      <c r="AI584" s="87">
        <v>3.424101</v>
      </c>
      <c r="AJ584" s="87">
        <v>1.863473</v>
      </c>
      <c r="AK584" s="87">
        <v>2.220125</v>
      </c>
      <c r="AL584" s="88" t="s">
        <v>1396</v>
      </c>
    </row>
    <row r="585">
      <c r="A585" s="84" t="s">
        <v>2179</v>
      </c>
      <c r="B585" s="84" t="s">
        <v>2180</v>
      </c>
      <c r="C585" s="84" t="s">
        <v>393</v>
      </c>
      <c r="D585" s="84" t="s">
        <v>2176</v>
      </c>
      <c r="E585" s="84" t="s">
        <v>1398</v>
      </c>
      <c r="F585" s="87">
        <v>9.0</v>
      </c>
      <c r="G585" s="87">
        <v>0.0</v>
      </c>
      <c r="H585" s="87">
        <v>3876.0</v>
      </c>
      <c r="I585" s="87">
        <v>0.0</v>
      </c>
      <c r="J585" s="87">
        <v>34.58832</v>
      </c>
      <c r="K585" s="87">
        <v>35.16632</v>
      </c>
      <c r="L585" s="87">
        <v>37.48881</v>
      </c>
      <c r="M585" s="87">
        <v>23.25555</v>
      </c>
      <c r="N585" s="87">
        <v>0.661302</v>
      </c>
      <c r="O585" s="87">
        <v>0.058824</v>
      </c>
      <c r="P585" s="87">
        <v>0.95</v>
      </c>
      <c r="Q585" s="87">
        <v>0.96459</v>
      </c>
      <c r="R585" s="87">
        <v>1.515971</v>
      </c>
      <c r="S585" s="87">
        <v>5.217136</v>
      </c>
      <c r="T585" s="87">
        <v>0.058824</v>
      </c>
      <c r="U585" s="87">
        <v>0.95</v>
      </c>
      <c r="V585" s="87">
        <v>0.96459</v>
      </c>
      <c r="W585" s="87">
        <v>1.515971</v>
      </c>
      <c r="X585" s="87">
        <v>5.217136</v>
      </c>
      <c r="Y585" s="87">
        <v>3.907369</v>
      </c>
      <c r="Z585" s="87">
        <v>2.161067</v>
      </c>
      <c r="AA585" s="87">
        <v>4.335111</v>
      </c>
      <c r="AB585" s="87">
        <v>4.039271</v>
      </c>
      <c r="AC585" s="87">
        <v>4.11386</v>
      </c>
      <c r="AD585" s="87">
        <v>1.931258</v>
      </c>
      <c r="AE585" s="87">
        <v>3.242048</v>
      </c>
      <c r="AF585" s="87">
        <v>5.10822</v>
      </c>
      <c r="AG585" s="87">
        <v>5.437323</v>
      </c>
      <c r="AH585" s="87">
        <v>0.0</v>
      </c>
      <c r="AI585" s="87">
        <v>3.424101</v>
      </c>
      <c r="AJ585" s="87">
        <v>1.863473</v>
      </c>
      <c r="AK585" s="87">
        <v>2.220125</v>
      </c>
      <c r="AL585" s="88" t="s">
        <v>1396</v>
      </c>
    </row>
    <row r="586">
      <c r="A586" s="84" t="s">
        <v>2181</v>
      </c>
      <c r="B586" s="84" t="s">
        <v>2182</v>
      </c>
      <c r="C586" s="84" t="s">
        <v>393</v>
      </c>
      <c r="D586" s="84" t="s">
        <v>2176</v>
      </c>
      <c r="E586" s="84" t="s">
        <v>1400</v>
      </c>
      <c r="F586" s="87">
        <v>24.0</v>
      </c>
      <c r="G586" s="87">
        <v>0.0</v>
      </c>
      <c r="H586" s="87">
        <v>13035.0</v>
      </c>
      <c r="I586" s="87">
        <v>0.0</v>
      </c>
      <c r="J586" s="87">
        <v>96.39037</v>
      </c>
      <c r="K586" s="87">
        <v>110.385</v>
      </c>
      <c r="L586" s="87">
        <v>101.3407</v>
      </c>
      <c r="M586" s="87">
        <v>54.34314</v>
      </c>
      <c r="N586" s="87">
        <v>0.492306</v>
      </c>
      <c r="O586" s="87">
        <v>0.0</v>
      </c>
      <c r="P586" s="87">
        <v>0.358333</v>
      </c>
      <c r="Q586" s="87">
        <v>1.908194</v>
      </c>
      <c r="R586" s="87">
        <v>4.335111</v>
      </c>
      <c r="S586" s="87">
        <v>5.991178</v>
      </c>
      <c r="T586" s="87">
        <v>0.654032</v>
      </c>
      <c r="U586" s="87">
        <v>1.908194</v>
      </c>
      <c r="V586" s="87">
        <v>2.161067</v>
      </c>
      <c r="W586" s="87">
        <v>4.395451</v>
      </c>
      <c r="X586" s="87">
        <v>7.313377</v>
      </c>
      <c r="Y586" s="87">
        <v>4.599374</v>
      </c>
      <c r="Z586" s="87">
        <v>2.161067</v>
      </c>
      <c r="AA586" s="87">
        <v>4.335111</v>
      </c>
      <c r="AB586" s="87">
        <v>4.039271</v>
      </c>
      <c r="AC586" s="87">
        <v>4.11386</v>
      </c>
      <c r="AD586" s="87">
        <v>1.503895</v>
      </c>
      <c r="AE586" s="87">
        <v>2.043666</v>
      </c>
      <c r="AF586" s="87">
        <v>2.858365</v>
      </c>
      <c r="AG586" s="87">
        <v>2.088727</v>
      </c>
      <c r="AH586" s="87">
        <v>0.0</v>
      </c>
      <c r="AI586" s="87">
        <v>3.424101</v>
      </c>
      <c r="AJ586" s="87">
        <v>1.863473</v>
      </c>
      <c r="AK586" s="87">
        <v>2.220125</v>
      </c>
      <c r="AL586" s="88" t="s">
        <v>1396</v>
      </c>
    </row>
    <row r="587">
      <c r="A587" s="84" t="s">
        <v>2183</v>
      </c>
      <c r="B587" s="84" t="s">
        <v>2184</v>
      </c>
      <c r="C587" s="84" t="s">
        <v>393</v>
      </c>
      <c r="D587" s="84" t="s">
        <v>2176</v>
      </c>
      <c r="E587" s="84" t="s">
        <v>1403</v>
      </c>
      <c r="F587" s="87">
        <v>4.0</v>
      </c>
      <c r="G587" s="87">
        <v>0.0</v>
      </c>
      <c r="H587" s="87">
        <v>0.0</v>
      </c>
      <c r="I587" s="87">
        <v>0.0</v>
      </c>
      <c r="J587" s="87">
        <v>0.0</v>
      </c>
      <c r="K587" s="87">
        <v>0.0</v>
      </c>
      <c r="L587" s="87">
        <v>0.0</v>
      </c>
      <c r="M587" s="87">
        <v>0.0</v>
      </c>
      <c r="N587" s="87">
        <v>0.0</v>
      </c>
      <c r="O587" s="87">
        <v>0.0</v>
      </c>
      <c r="P587" s="87">
        <v>0.0</v>
      </c>
      <c r="Q587" s="87">
        <v>0.0</v>
      </c>
      <c r="R587" s="87">
        <v>0.0</v>
      </c>
      <c r="S587" s="87">
        <v>0.0</v>
      </c>
      <c r="T587" s="87">
        <v>0.0</v>
      </c>
      <c r="U587" s="87">
        <v>0.0</v>
      </c>
      <c r="V587" s="87">
        <v>0.0</v>
      </c>
      <c r="W587" s="87">
        <v>0.0</v>
      </c>
      <c r="X587" s="87">
        <v>0.0</v>
      </c>
      <c r="Y587" s="87">
        <v>0.0</v>
      </c>
      <c r="Z587" s="87">
        <v>2.161067</v>
      </c>
      <c r="AA587" s="87">
        <v>4.335111</v>
      </c>
      <c r="AB587" s="87">
        <v>4.039271</v>
      </c>
      <c r="AC587" s="87">
        <v>4.11386</v>
      </c>
      <c r="AD587" s="87">
        <v>0.0</v>
      </c>
      <c r="AE587" s="87">
        <v>0.0</v>
      </c>
      <c r="AF587" s="87">
        <v>0.0</v>
      </c>
      <c r="AG587" s="87">
        <v>0.0</v>
      </c>
      <c r="AH587" s="87">
        <v>0.0</v>
      </c>
      <c r="AI587" s="87">
        <v>3.424101</v>
      </c>
      <c r="AJ587" s="87">
        <v>1.863473</v>
      </c>
      <c r="AK587" s="87">
        <v>2.220125</v>
      </c>
      <c r="AL587" s="88" t="s">
        <v>1396</v>
      </c>
    </row>
    <row r="588">
      <c r="A588" s="84" t="s">
        <v>2185</v>
      </c>
      <c r="B588" s="84" t="s">
        <v>2186</v>
      </c>
      <c r="C588" s="84" t="s">
        <v>393</v>
      </c>
      <c r="D588" s="84" t="s">
        <v>435</v>
      </c>
      <c r="E588" s="84" t="s">
        <v>1426</v>
      </c>
      <c r="F588" s="87">
        <v>1.0</v>
      </c>
      <c r="G588" s="87">
        <v>0.0</v>
      </c>
      <c r="H588" s="87">
        <v>0.0</v>
      </c>
      <c r="I588" s="87">
        <v>0.0</v>
      </c>
      <c r="J588" s="87">
        <v>0.0</v>
      </c>
      <c r="K588" s="87">
        <v>0.0</v>
      </c>
      <c r="L588" s="87">
        <v>0.0</v>
      </c>
      <c r="M588" s="87">
        <v>0.0</v>
      </c>
      <c r="N588" s="87">
        <v>0.0</v>
      </c>
      <c r="O588" s="87">
        <v>0.0</v>
      </c>
      <c r="P588" s="87">
        <v>0.0</v>
      </c>
      <c r="Q588" s="87">
        <v>0.0</v>
      </c>
      <c r="R588" s="87">
        <v>0.0</v>
      </c>
      <c r="S588" s="87">
        <v>0.0</v>
      </c>
      <c r="T588" s="87">
        <v>0.0</v>
      </c>
      <c r="U588" s="87">
        <v>0.0</v>
      </c>
      <c r="V588" s="87">
        <v>0.0</v>
      </c>
      <c r="W588" s="87">
        <v>0.0</v>
      </c>
      <c r="X588" s="87">
        <v>0.0</v>
      </c>
      <c r="Y588" s="87">
        <v>0.0</v>
      </c>
      <c r="Z588" s="87">
        <v>0.0</v>
      </c>
      <c r="AA588" s="87">
        <v>3.906563</v>
      </c>
      <c r="AB588" s="87">
        <v>0.906302</v>
      </c>
      <c r="AC588" s="87">
        <v>1.874188</v>
      </c>
      <c r="AD588" s="87">
        <v>0.0</v>
      </c>
      <c r="AE588" s="87">
        <v>15.863</v>
      </c>
      <c r="AF588" s="87">
        <v>4.466136</v>
      </c>
      <c r="AG588" s="87">
        <v>0.0</v>
      </c>
      <c r="AH588" s="87">
        <v>0.0</v>
      </c>
      <c r="AI588" s="87">
        <v>3.424101</v>
      </c>
      <c r="AJ588" s="87">
        <v>1.863473</v>
      </c>
      <c r="AK588" s="87">
        <v>2.220125</v>
      </c>
      <c r="AL588" s="88" t="s">
        <v>1396</v>
      </c>
    </row>
    <row r="589">
      <c r="A589" s="84" t="s">
        <v>2174</v>
      </c>
      <c r="B589" s="84" t="s">
        <v>2187</v>
      </c>
      <c r="C589" s="84" t="s">
        <v>393</v>
      </c>
      <c r="D589" s="84" t="s">
        <v>435</v>
      </c>
      <c r="E589" s="86">
        <v>46310.0</v>
      </c>
      <c r="F589" s="87">
        <v>6.0</v>
      </c>
      <c r="G589" s="87">
        <v>0.0</v>
      </c>
      <c r="H589" s="87">
        <v>1797.0</v>
      </c>
      <c r="I589" s="87">
        <v>0.0</v>
      </c>
      <c r="J589" s="87">
        <v>19.6735</v>
      </c>
      <c r="K589" s="87">
        <v>19.12238</v>
      </c>
      <c r="L589" s="87">
        <v>21.131</v>
      </c>
      <c r="M589" s="87">
        <v>12.20229</v>
      </c>
      <c r="N589" s="87">
        <v>0.638116</v>
      </c>
      <c r="O589" s="87">
        <v>0.0</v>
      </c>
      <c r="P589" s="87">
        <v>1.216569</v>
      </c>
      <c r="Q589" s="87">
        <v>1.216569</v>
      </c>
      <c r="R589" s="87">
        <v>3.906563</v>
      </c>
      <c r="S589" s="87">
        <v>4.205951</v>
      </c>
      <c r="T589" s="87">
        <v>1.216569</v>
      </c>
      <c r="U589" s="87">
        <v>1.796954</v>
      </c>
      <c r="V589" s="87">
        <v>1.796954</v>
      </c>
      <c r="W589" s="87">
        <v>3.906563</v>
      </c>
      <c r="X589" s="87">
        <v>4.205951</v>
      </c>
      <c r="Y589" s="87">
        <v>3.187063</v>
      </c>
      <c r="Z589" s="87">
        <v>0.0</v>
      </c>
      <c r="AA589" s="87">
        <v>3.906563</v>
      </c>
      <c r="AB589" s="87">
        <v>0.906302</v>
      </c>
      <c r="AC589" s="87">
        <v>1.874188</v>
      </c>
      <c r="AD589" s="87">
        <v>1.466667</v>
      </c>
      <c r="AE589" s="87">
        <v>5.650186</v>
      </c>
      <c r="AF589" s="87">
        <v>4.970648</v>
      </c>
      <c r="AG589" s="87">
        <v>3.187063</v>
      </c>
      <c r="AH589" s="87">
        <v>0.0</v>
      </c>
      <c r="AI589" s="87">
        <v>3.424101</v>
      </c>
      <c r="AJ589" s="87">
        <v>1.863473</v>
      </c>
      <c r="AK589" s="87">
        <v>2.220125</v>
      </c>
      <c r="AL589" s="88" t="s">
        <v>1396</v>
      </c>
    </row>
    <row r="590">
      <c r="A590" s="84" t="s">
        <v>2177</v>
      </c>
      <c r="B590" s="84" t="s">
        <v>2188</v>
      </c>
      <c r="C590" s="84" t="s">
        <v>393</v>
      </c>
      <c r="D590" s="84" t="s">
        <v>435</v>
      </c>
      <c r="E590" s="84" t="s">
        <v>1413</v>
      </c>
      <c r="F590" s="87">
        <v>1.0</v>
      </c>
      <c r="G590" s="87">
        <v>0.0</v>
      </c>
      <c r="H590" s="87">
        <v>418.0</v>
      </c>
      <c r="I590" s="87">
        <v>0.0</v>
      </c>
      <c r="J590" s="87">
        <v>1.5</v>
      </c>
      <c r="K590" s="87">
        <v>1.874188</v>
      </c>
      <c r="L590" s="87">
        <v>2.189494</v>
      </c>
      <c r="M590" s="87">
        <v>1.874188</v>
      </c>
      <c r="N590" s="87">
        <v>1.0</v>
      </c>
      <c r="O590" s="87">
        <v>1.874188</v>
      </c>
      <c r="P590" s="87">
        <v>1.874188</v>
      </c>
      <c r="Q590" s="87">
        <v>1.874188</v>
      </c>
      <c r="R590" s="87">
        <v>1.874188</v>
      </c>
      <c r="S590" s="87">
        <v>1.874188</v>
      </c>
      <c r="T590" s="87">
        <v>1.874188</v>
      </c>
      <c r="U590" s="87">
        <v>1.874188</v>
      </c>
      <c r="V590" s="87">
        <v>1.874188</v>
      </c>
      <c r="W590" s="87">
        <v>1.874188</v>
      </c>
      <c r="X590" s="87">
        <v>1.874188</v>
      </c>
      <c r="Y590" s="87">
        <v>1.874188</v>
      </c>
      <c r="Z590" s="87">
        <v>0.0</v>
      </c>
      <c r="AA590" s="87">
        <v>3.906563</v>
      </c>
      <c r="AB590" s="87">
        <v>0.906302</v>
      </c>
      <c r="AC590" s="87">
        <v>1.874188</v>
      </c>
      <c r="AD590" s="87">
        <v>2.714263</v>
      </c>
      <c r="AE590" s="87">
        <v>3.315106</v>
      </c>
      <c r="AF590" s="87">
        <v>5.962422</v>
      </c>
      <c r="AG590" s="87">
        <v>4.11386</v>
      </c>
      <c r="AH590" s="87">
        <v>0.0</v>
      </c>
      <c r="AI590" s="87">
        <v>3.424101</v>
      </c>
      <c r="AJ590" s="87">
        <v>1.863473</v>
      </c>
      <c r="AK590" s="87">
        <v>2.220125</v>
      </c>
      <c r="AL590" s="88" t="s">
        <v>1396</v>
      </c>
    </row>
    <row r="591">
      <c r="A591" s="84" t="s">
        <v>2179</v>
      </c>
      <c r="B591" s="84" t="s">
        <v>2189</v>
      </c>
      <c r="C591" s="84" t="s">
        <v>393</v>
      </c>
      <c r="D591" s="84" t="s">
        <v>435</v>
      </c>
      <c r="E591" s="84" t="s">
        <v>1398</v>
      </c>
      <c r="F591" s="87">
        <v>2.0</v>
      </c>
      <c r="G591" s="87">
        <v>0.0</v>
      </c>
      <c r="H591" s="87">
        <v>38.0</v>
      </c>
      <c r="I591" s="87">
        <v>0.0</v>
      </c>
      <c r="J591" s="87">
        <v>1.066667</v>
      </c>
      <c r="K591" s="87">
        <v>0.488486</v>
      </c>
      <c r="L591" s="87">
        <v>3.017559</v>
      </c>
      <c r="M591" s="87">
        <v>0.377375</v>
      </c>
      <c r="N591" s="87">
        <v>0.77254</v>
      </c>
      <c r="O591" s="87">
        <v>0.111111</v>
      </c>
      <c r="P591" s="87">
        <v>0.111111</v>
      </c>
      <c r="Q591" s="87">
        <v>0.111111</v>
      </c>
      <c r="R591" s="87">
        <v>0.377375</v>
      </c>
      <c r="S591" s="87">
        <v>0.377375</v>
      </c>
      <c r="T591" s="87">
        <v>0.111111</v>
      </c>
      <c r="U591" s="87">
        <v>0.111111</v>
      </c>
      <c r="V591" s="87">
        <v>0.111111</v>
      </c>
      <c r="W591" s="87">
        <v>0.377375</v>
      </c>
      <c r="X591" s="87">
        <v>0.377375</v>
      </c>
      <c r="Y591" s="87">
        <v>0.244243</v>
      </c>
      <c r="Z591" s="87">
        <v>0.0</v>
      </c>
      <c r="AA591" s="87">
        <v>3.906563</v>
      </c>
      <c r="AB591" s="87">
        <v>0.906302</v>
      </c>
      <c r="AC591" s="87">
        <v>1.874188</v>
      </c>
      <c r="AD591" s="87">
        <v>1.931258</v>
      </c>
      <c r="AE591" s="87">
        <v>3.242048</v>
      </c>
      <c r="AF591" s="87">
        <v>5.10822</v>
      </c>
      <c r="AG591" s="87">
        <v>5.437323</v>
      </c>
      <c r="AH591" s="87">
        <v>0.0</v>
      </c>
      <c r="AI591" s="87">
        <v>3.424101</v>
      </c>
      <c r="AJ591" s="87">
        <v>1.863473</v>
      </c>
      <c r="AK591" s="87">
        <v>2.220125</v>
      </c>
      <c r="AL591" s="88" t="s">
        <v>1396</v>
      </c>
    </row>
    <row r="592">
      <c r="A592" s="84" t="s">
        <v>2190</v>
      </c>
      <c r="B592" s="84" t="s">
        <v>2191</v>
      </c>
      <c r="C592" s="84" t="s">
        <v>393</v>
      </c>
      <c r="D592" s="84" t="s">
        <v>435</v>
      </c>
      <c r="E592" s="89">
        <v>46300.0</v>
      </c>
      <c r="F592" s="87">
        <v>4.0</v>
      </c>
      <c r="G592" s="87">
        <v>0.0</v>
      </c>
      <c r="H592" s="87">
        <v>5112.0</v>
      </c>
      <c r="I592" s="87">
        <v>0.0</v>
      </c>
      <c r="J592" s="87">
        <v>54.18317</v>
      </c>
      <c r="K592" s="87">
        <v>53.73804</v>
      </c>
      <c r="L592" s="87">
        <v>52.60375</v>
      </c>
      <c r="M592" s="87">
        <v>37.81997</v>
      </c>
      <c r="N592" s="87">
        <v>0.703784</v>
      </c>
      <c r="O592" s="87">
        <v>0.0</v>
      </c>
      <c r="P592" s="87">
        <v>0.0</v>
      </c>
      <c r="Q592" s="87">
        <v>0.0</v>
      </c>
      <c r="R592" s="87">
        <v>15.91807</v>
      </c>
      <c r="S592" s="87">
        <v>15.91807</v>
      </c>
      <c r="T592" s="87">
        <v>15.91807</v>
      </c>
      <c r="U592" s="87">
        <v>15.91807</v>
      </c>
      <c r="V592" s="87">
        <v>15.91807</v>
      </c>
      <c r="W592" s="87">
        <v>37.81997</v>
      </c>
      <c r="X592" s="87">
        <v>37.81997</v>
      </c>
      <c r="Y592" s="87">
        <v>13.43451</v>
      </c>
      <c r="Z592" s="87">
        <v>0.0</v>
      </c>
      <c r="AA592" s="87">
        <v>3.906563</v>
      </c>
      <c r="AB592" s="87">
        <v>0.906302</v>
      </c>
      <c r="AC592" s="87">
        <v>1.874188</v>
      </c>
      <c r="AD592" s="87">
        <v>0.0</v>
      </c>
      <c r="AE592" s="87">
        <v>13.57639</v>
      </c>
      <c r="AF592" s="87">
        <v>6.403852</v>
      </c>
      <c r="AG592" s="87">
        <v>4.081619</v>
      </c>
      <c r="AH592" s="87">
        <v>0.0</v>
      </c>
      <c r="AI592" s="87">
        <v>3.424101</v>
      </c>
      <c r="AJ592" s="87">
        <v>1.863473</v>
      </c>
      <c r="AK592" s="87">
        <v>2.220125</v>
      </c>
      <c r="AL592" s="88" t="s">
        <v>1396</v>
      </c>
    </row>
    <row r="593">
      <c r="A593" s="84" t="s">
        <v>2183</v>
      </c>
      <c r="B593" s="84" t="s">
        <v>2192</v>
      </c>
      <c r="C593" s="84" t="s">
        <v>393</v>
      </c>
      <c r="D593" s="84" t="s">
        <v>435</v>
      </c>
      <c r="E593" s="84" t="s">
        <v>1403</v>
      </c>
      <c r="F593" s="87">
        <v>69.0</v>
      </c>
      <c r="G593" s="87">
        <v>5.0</v>
      </c>
      <c r="H593" s="87">
        <v>159.0</v>
      </c>
      <c r="I593" s="87">
        <v>159.0</v>
      </c>
      <c r="J593" s="87">
        <v>0.0</v>
      </c>
      <c r="K593" s="87">
        <v>0.0</v>
      </c>
      <c r="L593" s="87">
        <v>0.0</v>
      </c>
      <c r="M593" s="87">
        <v>0.0</v>
      </c>
      <c r="N593" s="87">
        <v>0.0</v>
      </c>
      <c r="O593" s="87">
        <v>0.0</v>
      </c>
      <c r="P593" s="87">
        <v>0.0</v>
      </c>
      <c r="Q593" s="87">
        <v>0.0</v>
      </c>
      <c r="R593" s="87">
        <v>0.0</v>
      </c>
      <c r="S593" s="87">
        <v>0.0</v>
      </c>
      <c r="T593" s="87">
        <v>0.0</v>
      </c>
      <c r="U593" s="87">
        <v>0.0</v>
      </c>
      <c r="V593" s="87">
        <v>0.0</v>
      </c>
      <c r="W593" s="87">
        <v>0.0</v>
      </c>
      <c r="X593" s="87">
        <v>0.0</v>
      </c>
      <c r="Y593" s="87">
        <v>0.0</v>
      </c>
      <c r="Z593" s="87">
        <v>0.0</v>
      </c>
      <c r="AA593" s="87">
        <v>3.906563</v>
      </c>
      <c r="AB593" s="87">
        <v>0.906302</v>
      </c>
      <c r="AC593" s="87">
        <v>1.874188</v>
      </c>
      <c r="AD593" s="87">
        <v>0.0</v>
      </c>
      <c r="AE593" s="87">
        <v>0.0</v>
      </c>
      <c r="AF593" s="87">
        <v>0.0</v>
      </c>
      <c r="AG593" s="87">
        <v>0.0</v>
      </c>
      <c r="AH593" s="87">
        <v>0.0</v>
      </c>
      <c r="AI593" s="87">
        <v>3.424101</v>
      </c>
      <c r="AJ593" s="87">
        <v>1.863473</v>
      </c>
      <c r="AK593" s="87">
        <v>2.220125</v>
      </c>
      <c r="AL593" s="88" t="s">
        <v>1396</v>
      </c>
    </row>
    <row r="594">
      <c r="A594" s="84" t="s">
        <v>2185</v>
      </c>
      <c r="B594" s="84" t="s">
        <v>2193</v>
      </c>
      <c r="C594" s="84" t="s">
        <v>393</v>
      </c>
      <c r="D594" s="84" t="s">
        <v>425</v>
      </c>
      <c r="E594" s="84" t="s">
        <v>1426</v>
      </c>
      <c r="F594" s="87">
        <v>1.0</v>
      </c>
      <c r="G594" s="87">
        <v>0.0</v>
      </c>
      <c r="H594" s="87">
        <v>4425.0</v>
      </c>
      <c r="I594" s="87">
        <v>0.0</v>
      </c>
      <c r="J594" s="87">
        <v>46.29121</v>
      </c>
      <c r="K594" s="87">
        <v>57.58751</v>
      </c>
      <c r="L594" s="87">
        <v>60.42987</v>
      </c>
      <c r="M594" s="87">
        <v>57.58751</v>
      </c>
      <c r="N594" s="87">
        <v>1.0</v>
      </c>
      <c r="O594" s="87">
        <v>57.58751</v>
      </c>
      <c r="P594" s="87">
        <v>57.58751</v>
      </c>
      <c r="Q594" s="87">
        <v>57.58751</v>
      </c>
      <c r="R594" s="87">
        <v>57.58751</v>
      </c>
      <c r="S594" s="87">
        <v>57.58751</v>
      </c>
      <c r="T594" s="87">
        <v>57.58751</v>
      </c>
      <c r="U594" s="87">
        <v>57.58751</v>
      </c>
      <c r="V594" s="87">
        <v>57.58751</v>
      </c>
      <c r="W594" s="87">
        <v>57.58751</v>
      </c>
      <c r="X594" s="87">
        <v>57.58751</v>
      </c>
      <c r="Y594" s="87">
        <v>57.58751</v>
      </c>
      <c r="Z594" s="87">
        <v>0.0</v>
      </c>
      <c r="AA594" s="87">
        <v>3.75859</v>
      </c>
      <c r="AB594" s="87">
        <v>2.948201</v>
      </c>
      <c r="AC594" s="87">
        <v>5.169157</v>
      </c>
      <c r="AD594" s="87">
        <v>0.0</v>
      </c>
      <c r="AE594" s="87">
        <v>15.863</v>
      </c>
      <c r="AF594" s="87">
        <v>4.466136</v>
      </c>
      <c r="AG594" s="87">
        <v>0.0</v>
      </c>
      <c r="AH594" s="87">
        <v>0.0</v>
      </c>
      <c r="AI594" s="87">
        <v>3.424101</v>
      </c>
      <c r="AJ594" s="87">
        <v>1.863473</v>
      </c>
      <c r="AK594" s="87">
        <v>2.220125</v>
      </c>
      <c r="AL594" s="88" t="s">
        <v>1396</v>
      </c>
    </row>
    <row r="595">
      <c r="A595" s="84" t="s">
        <v>2174</v>
      </c>
      <c r="B595" s="84" t="s">
        <v>2194</v>
      </c>
      <c r="C595" s="84" t="s">
        <v>393</v>
      </c>
      <c r="D595" s="84" t="s">
        <v>425</v>
      </c>
      <c r="E595" s="86">
        <v>46310.0</v>
      </c>
      <c r="F595" s="87">
        <v>2.0</v>
      </c>
      <c r="G595" s="87">
        <v>0.0</v>
      </c>
      <c r="H595" s="87">
        <v>2621.0</v>
      </c>
      <c r="I595" s="87">
        <v>0.0</v>
      </c>
      <c r="J595" s="87">
        <v>29.71648</v>
      </c>
      <c r="K595" s="87">
        <v>32.90426</v>
      </c>
      <c r="L595" s="87">
        <v>33.66617</v>
      </c>
      <c r="M595" s="87">
        <v>20.91376</v>
      </c>
      <c r="N595" s="87">
        <v>0.635594</v>
      </c>
      <c r="O595" s="87">
        <v>11.9905</v>
      </c>
      <c r="P595" s="87">
        <v>11.9905</v>
      </c>
      <c r="Q595" s="87">
        <v>11.9905</v>
      </c>
      <c r="R595" s="87">
        <v>20.91376</v>
      </c>
      <c r="S595" s="87">
        <v>20.91376</v>
      </c>
      <c r="T595" s="87">
        <v>11.9905</v>
      </c>
      <c r="U595" s="87">
        <v>11.9905</v>
      </c>
      <c r="V595" s="87">
        <v>11.9905</v>
      </c>
      <c r="W595" s="87">
        <v>20.91376</v>
      </c>
      <c r="X595" s="87">
        <v>20.91376</v>
      </c>
      <c r="Y595" s="87">
        <v>16.45213</v>
      </c>
      <c r="Z595" s="87">
        <v>0.0</v>
      </c>
      <c r="AA595" s="87">
        <v>3.75859</v>
      </c>
      <c r="AB595" s="87">
        <v>2.948201</v>
      </c>
      <c r="AC595" s="87">
        <v>5.169157</v>
      </c>
      <c r="AD595" s="87">
        <v>1.466667</v>
      </c>
      <c r="AE595" s="87">
        <v>5.650186</v>
      </c>
      <c r="AF595" s="87">
        <v>4.970648</v>
      </c>
      <c r="AG595" s="87">
        <v>3.187063</v>
      </c>
      <c r="AH595" s="87">
        <v>0.0</v>
      </c>
      <c r="AI595" s="87">
        <v>3.424101</v>
      </c>
      <c r="AJ595" s="87">
        <v>1.863473</v>
      </c>
      <c r="AK595" s="87">
        <v>2.220125</v>
      </c>
      <c r="AL595" s="88" t="s">
        <v>1396</v>
      </c>
    </row>
    <row r="596">
      <c r="A596" s="84" t="s">
        <v>2177</v>
      </c>
      <c r="B596" s="84" t="s">
        <v>2195</v>
      </c>
      <c r="C596" s="84" t="s">
        <v>393</v>
      </c>
      <c r="D596" s="84" t="s">
        <v>425</v>
      </c>
      <c r="E596" s="84" t="s">
        <v>1413</v>
      </c>
      <c r="F596" s="87">
        <v>2.0</v>
      </c>
      <c r="G596" s="87">
        <v>0.0</v>
      </c>
      <c r="H596" s="87">
        <v>126.0</v>
      </c>
      <c r="I596" s="87">
        <v>0.0</v>
      </c>
      <c r="J596" s="87">
        <v>13.78571</v>
      </c>
      <c r="K596" s="87">
        <v>13.99138</v>
      </c>
      <c r="L596" s="87">
        <v>16.77336</v>
      </c>
      <c r="M596" s="87">
        <v>13.36638</v>
      </c>
      <c r="N596" s="87">
        <v>0.95533</v>
      </c>
      <c r="O596" s="87">
        <v>0.625</v>
      </c>
      <c r="P596" s="87">
        <v>0.625</v>
      </c>
      <c r="Q596" s="87">
        <v>0.625</v>
      </c>
      <c r="R596" s="87">
        <v>13.36638</v>
      </c>
      <c r="S596" s="87">
        <v>13.36638</v>
      </c>
      <c r="T596" s="87">
        <v>0.625</v>
      </c>
      <c r="U596" s="87">
        <v>0.625</v>
      </c>
      <c r="V596" s="87">
        <v>0.625</v>
      </c>
      <c r="W596" s="87">
        <v>13.36638</v>
      </c>
      <c r="X596" s="87">
        <v>13.36638</v>
      </c>
      <c r="Y596" s="87">
        <v>6.995692</v>
      </c>
      <c r="Z596" s="87">
        <v>0.0</v>
      </c>
      <c r="AA596" s="87">
        <v>3.75859</v>
      </c>
      <c r="AB596" s="87">
        <v>2.948201</v>
      </c>
      <c r="AC596" s="87">
        <v>5.169157</v>
      </c>
      <c r="AD596" s="87">
        <v>2.714263</v>
      </c>
      <c r="AE596" s="87">
        <v>3.315106</v>
      </c>
      <c r="AF596" s="87">
        <v>5.962422</v>
      </c>
      <c r="AG596" s="87">
        <v>4.11386</v>
      </c>
      <c r="AH596" s="87">
        <v>0.0</v>
      </c>
      <c r="AI596" s="87">
        <v>3.424101</v>
      </c>
      <c r="AJ596" s="87">
        <v>1.863473</v>
      </c>
      <c r="AK596" s="87">
        <v>2.220125</v>
      </c>
      <c r="AL596" s="88" t="s">
        <v>1396</v>
      </c>
    </row>
    <row r="597">
      <c r="A597" s="84" t="s">
        <v>2179</v>
      </c>
      <c r="B597" s="84" t="s">
        <v>2196</v>
      </c>
      <c r="C597" s="84" t="s">
        <v>393</v>
      </c>
      <c r="D597" s="84" t="s">
        <v>425</v>
      </c>
      <c r="E597" s="84" t="s">
        <v>1398</v>
      </c>
      <c r="F597" s="87">
        <v>2.0</v>
      </c>
      <c r="G597" s="87">
        <v>0.0</v>
      </c>
      <c r="H597" s="87">
        <v>1386.0</v>
      </c>
      <c r="I597" s="87">
        <v>0.0</v>
      </c>
      <c r="J597" s="87">
        <v>4.420208</v>
      </c>
      <c r="K597" s="87">
        <v>10.33831</v>
      </c>
      <c r="L597" s="87">
        <v>7.260015</v>
      </c>
      <c r="M597" s="87">
        <v>8.170497</v>
      </c>
      <c r="N597" s="87">
        <v>0.790312</v>
      </c>
      <c r="O597" s="87">
        <v>2.167816</v>
      </c>
      <c r="P597" s="87">
        <v>2.167816</v>
      </c>
      <c r="Q597" s="87">
        <v>2.167816</v>
      </c>
      <c r="R597" s="87">
        <v>8.170497</v>
      </c>
      <c r="S597" s="87">
        <v>8.170497</v>
      </c>
      <c r="T597" s="87">
        <v>2.167816</v>
      </c>
      <c r="U597" s="87">
        <v>2.167816</v>
      </c>
      <c r="V597" s="87">
        <v>2.167816</v>
      </c>
      <c r="W597" s="87">
        <v>8.170497</v>
      </c>
      <c r="X597" s="87">
        <v>8.170497</v>
      </c>
      <c r="Y597" s="87">
        <v>5.169157</v>
      </c>
      <c r="Z597" s="87">
        <v>0.0</v>
      </c>
      <c r="AA597" s="87">
        <v>3.75859</v>
      </c>
      <c r="AB597" s="87">
        <v>2.948201</v>
      </c>
      <c r="AC597" s="87">
        <v>5.169157</v>
      </c>
      <c r="AD597" s="87">
        <v>1.931258</v>
      </c>
      <c r="AE597" s="87">
        <v>3.242048</v>
      </c>
      <c r="AF597" s="87">
        <v>5.10822</v>
      </c>
      <c r="AG597" s="87">
        <v>5.437323</v>
      </c>
      <c r="AH597" s="87">
        <v>0.0</v>
      </c>
      <c r="AI597" s="87">
        <v>3.424101</v>
      </c>
      <c r="AJ597" s="87">
        <v>1.863473</v>
      </c>
      <c r="AK597" s="87">
        <v>2.220125</v>
      </c>
      <c r="AL597" s="88" t="s">
        <v>1396</v>
      </c>
    </row>
    <row r="598">
      <c r="A598" s="84" t="s">
        <v>2181</v>
      </c>
      <c r="B598" s="84" t="s">
        <v>2197</v>
      </c>
      <c r="C598" s="84" t="s">
        <v>393</v>
      </c>
      <c r="D598" s="84" t="s">
        <v>425</v>
      </c>
      <c r="E598" s="84" t="s">
        <v>1400</v>
      </c>
      <c r="F598" s="87">
        <v>4.0</v>
      </c>
      <c r="G598" s="87">
        <v>0.0</v>
      </c>
      <c r="H598" s="87">
        <v>726.0</v>
      </c>
      <c r="I598" s="87">
        <v>0.0</v>
      </c>
      <c r="J598" s="87">
        <v>7.495574</v>
      </c>
      <c r="K598" s="87">
        <v>8.880501</v>
      </c>
      <c r="L598" s="87">
        <v>8.05791</v>
      </c>
      <c r="M598" s="87">
        <v>3.75859</v>
      </c>
      <c r="N598" s="87">
        <v>0.423241</v>
      </c>
      <c r="O598" s="87">
        <v>0.228623</v>
      </c>
      <c r="P598" s="87">
        <v>0.228623</v>
      </c>
      <c r="Q598" s="87">
        <v>2.260965</v>
      </c>
      <c r="R598" s="87">
        <v>2.632323</v>
      </c>
      <c r="S598" s="87">
        <v>2.632323</v>
      </c>
      <c r="T598" s="87">
        <v>0.228623</v>
      </c>
      <c r="U598" s="87">
        <v>0.228623</v>
      </c>
      <c r="V598" s="87">
        <v>2.260965</v>
      </c>
      <c r="W598" s="87">
        <v>2.632323</v>
      </c>
      <c r="X598" s="87">
        <v>2.632323</v>
      </c>
      <c r="Y598" s="87">
        <v>2.220125</v>
      </c>
      <c r="Z598" s="87">
        <v>0.0</v>
      </c>
      <c r="AA598" s="87">
        <v>3.75859</v>
      </c>
      <c r="AB598" s="87">
        <v>2.948201</v>
      </c>
      <c r="AC598" s="87">
        <v>5.169157</v>
      </c>
      <c r="AD598" s="87">
        <v>1.503895</v>
      </c>
      <c r="AE598" s="87">
        <v>2.043666</v>
      </c>
      <c r="AF598" s="87">
        <v>2.858365</v>
      </c>
      <c r="AG598" s="87">
        <v>2.088727</v>
      </c>
      <c r="AH598" s="87">
        <v>0.0</v>
      </c>
      <c r="AI598" s="87">
        <v>3.424101</v>
      </c>
      <c r="AJ598" s="87">
        <v>1.863473</v>
      </c>
      <c r="AK598" s="87">
        <v>2.220125</v>
      </c>
      <c r="AL598" s="88" t="s">
        <v>1396</v>
      </c>
    </row>
    <row r="599">
      <c r="A599" s="84" t="s">
        <v>2190</v>
      </c>
      <c r="B599" s="84" t="s">
        <v>2198</v>
      </c>
      <c r="C599" s="84" t="s">
        <v>393</v>
      </c>
      <c r="D599" s="84" t="s">
        <v>425</v>
      </c>
      <c r="E599" s="89">
        <v>46300.0</v>
      </c>
      <c r="F599" s="87">
        <v>3.0</v>
      </c>
      <c r="G599" s="87">
        <v>0.0</v>
      </c>
      <c r="H599" s="87">
        <v>469.0</v>
      </c>
      <c r="I599" s="87">
        <v>0.0</v>
      </c>
      <c r="J599" s="87">
        <v>15.40798</v>
      </c>
      <c r="K599" s="87">
        <v>14.86346</v>
      </c>
      <c r="L599" s="87">
        <v>13.65117</v>
      </c>
      <c r="M599" s="87">
        <v>14.62081</v>
      </c>
      <c r="N599" s="87">
        <v>0.983675</v>
      </c>
      <c r="O599" s="87">
        <v>0.0</v>
      </c>
      <c r="P599" s="87">
        <v>0.0</v>
      </c>
      <c r="Q599" s="87">
        <v>0.0</v>
      </c>
      <c r="R599" s="87">
        <v>0.242647</v>
      </c>
      <c r="S599" s="87">
        <v>14.62081</v>
      </c>
      <c r="T599" s="87">
        <v>0.242647</v>
      </c>
      <c r="U599" s="87">
        <v>0.242647</v>
      </c>
      <c r="V599" s="87">
        <v>0.242647</v>
      </c>
      <c r="W599" s="87">
        <v>14.62081</v>
      </c>
      <c r="X599" s="87">
        <v>14.62081</v>
      </c>
      <c r="Y599" s="87">
        <v>4.954487</v>
      </c>
      <c r="Z599" s="87">
        <v>0.0</v>
      </c>
      <c r="AA599" s="87">
        <v>3.75859</v>
      </c>
      <c r="AB599" s="87">
        <v>2.948201</v>
      </c>
      <c r="AC599" s="87">
        <v>5.169157</v>
      </c>
      <c r="AD599" s="87">
        <v>0.0</v>
      </c>
      <c r="AE599" s="87">
        <v>13.57639</v>
      </c>
      <c r="AF599" s="87">
        <v>6.403852</v>
      </c>
      <c r="AG599" s="87">
        <v>4.081619</v>
      </c>
      <c r="AH599" s="87">
        <v>0.0</v>
      </c>
      <c r="AI599" s="87">
        <v>3.424101</v>
      </c>
      <c r="AJ599" s="87">
        <v>1.863473</v>
      </c>
      <c r="AK599" s="87">
        <v>2.220125</v>
      </c>
      <c r="AL599" s="88" t="s">
        <v>1396</v>
      </c>
    </row>
    <row r="600">
      <c r="A600" s="84" t="s">
        <v>2183</v>
      </c>
      <c r="B600" s="84" t="s">
        <v>2199</v>
      </c>
      <c r="C600" s="84" t="s">
        <v>393</v>
      </c>
      <c r="D600" s="84" t="s">
        <v>425</v>
      </c>
      <c r="E600" s="84" t="s">
        <v>1403</v>
      </c>
      <c r="F600" s="87">
        <v>33.0</v>
      </c>
      <c r="G600" s="87">
        <v>4.0</v>
      </c>
      <c r="H600" s="87">
        <v>49.0</v>
      </c>
      <c r="I600" s="87">
        <v>49.0</v>
      </c>
      <c r="J600" s="87">
        <v>0.0</v>
      </c>
      <c r="K600" s="87">
        <v>0.0</v>
      </c>
      <c r="L600" s="87">
        <v>0.0</v>
      </c>
      <c r="M600" s="87">
        <v>0.0</v>
      </c>
      <c r="N600" s="87">
        <v>0.0</v>
      </c>
      <c r="O600" s="87">
        <v>0.0</v>
      </c>
      <c r="P600" s="87">
        <v>0.0</v>
      </c>
      <c r="Q600" s="87">
        <v>0.0</v>
      </c>
      <c r="R600" s="87">
        <v>0.0</v>
      </c>
      <c r="S600" s="87">
        <v>0.0</v>
      </c>
      <c r="T600" s="87">
        <v>0.0</v>
      </c>
      <c r="U600" s="87">
        <v>0.0</v>
      </c>
      <c r="V600" s="87">
        <v>0.0</v>
      </c>
      <c r="W600" s="87">
        <v>0.0</v>
      </c>
      <c r="X600" s="87">
        <v>0.0</v>
      </c>
      <c r="Y600" s="87">
        <v>0.0</v>
      </c>
      <c r="Z600" s="87">
        <v>0.0</v>
      </c>
      <c r="AA600" s="87">
        <v>3.75859</v>
      </c>
      <c r="AB600" s="87">
        <v>2.948201</v>
      </c>
      <c r="AC600" s="87">
        <v>5.169157</v>
      </c>
      <c r="AD600" s="87">
        <v>0.0</v>
      </c>
      <c r="AE600" s="87">
        <v>0.0</v>
      </c>
      <c r="AF600" s="87">
        <v>0.0</v>
      </c>
      <c r="AG600" s="87">
        <v>0.0</v>
      </c>
      <c r="AH600" s="87">
        <v>0.0</v>
      </c>
      <c r="AI600" s="87">
        <v>3.424101</v>
      </c>
      <c r="AJ600" s="87">
        <v>1.863473</v>
      </c>
      <c r="AK600" s="87">
        <v>2.220125</v>
      </c>
      <c r="AL600" s="88" t="s">
        <v>1396</v>
      </c>
    </row>
    <row r="601">
      <c r="A601" s="84" t="s">
        <v>2185</v>
      </c>
      <c r="B601" s="84" t="s">
        <v>2200</v>
      </c>
      <c r="C601" s="84" t="s">
        <v>393</v>
      </c>
      <c r="D601" s="84" t="s">
        <v>394</v>
      </c>
      <c r="E601" s="84" t="s">
        <v>1426</v>
      </c>
      <c r="F601" s="87">
        <v>1.0</v>
      </c>
      <c r="G601" s="87">
        <v>0.0</v>
      </c>
      <c r="H601" s="87">
        <v>0.0</v>
      </c>
      <c r="I601" s="87">
        <v>0.0</v>
      </c>
      <c r="J601" s="87">
        <v>0.0</v>
      </c>
      <c r="K601" s="87">
        <v>0.0</v>
      </c>
      <c r="L601" s="87">
        <v>0.0</v>
      </c>
      <c r="M601" s="87">
        <v>0.0</v>
      </c>
      <c r="N601" s="87">
        <v>0.0</v>
      </c>
      <c r="O601" s="87">
        <v>0.0</v>
      </c>
      <c r="P601" s="87">
        <v>0.0</v>
      </c>
      <c r="Q601" s="87">
        <v>0.0</v>
      </c>
      <c r="R601" s="87">
        <v>0.0</v>
      </c>
      <c r="S601" s="87">
        <v>0.0</v>
      </c>
      <c r="T601" s="87">
        <v>0.0</v>
      </c>
      <c r="U601" s="87">
        <v>0.0</v>
      </c>
      <c r="V601" s="87">
        <v>0.0</v>
      </c>
      <c r="W601" s="87">
        <v>0.0</v>
      </c>
      <c r="X601" s="87">
        <v>0.0</v>
      </c>
      <c r="Y601" s="87">
        <v>0.0</v>
      </c>
      <c r="Z601" s="87">
        <v>0.0</v>
      </c>
      <c r="AA601" s="87">
        <v>2.714263</v>
      </c>
      <c r="AB601" s="87">
        <v>0.795617</v>
      </c>
      <c r="AC601" s="87">
        <v>2.088727</v>
      </c>
      <c r="AD601" s="87">
        <v>0.0</v>
      </c>
      <c r="AE601" s="87">
        <v>15.863</v>
      </c>
      <c r="AF601" s="87">
        <v>4.466136</v>
      </c>
      <c r="AG601" s="87">
        <v>0.0</v>
      </c>
      <c r="AH601" s="87">
        <v>0.0</v>
      </c>
      <c r="AI601" s="87">
        <v>3.424101</v>
      </c>
      <c r="AJ601" s="87">
        <v>1.863473</v>
      </c>
      <c r="AK601" s="87">
        <v>2.220125</v>
      </c>
      <c r="AL601" s="88" t="s">
        <v>1396</v>
      </c>
    </row>
    <row r="602">
      <c r="A602" s="84" t="s">
        <v>2174</v>
      </c>
      <c r="B602" s="84" t="s">
        <v>2201</v>
      </c>
      <c r="C602" s="84" t="s">
        <v>393</v>
      </c>
      <c r="D602" s="84" t="s">
        <v>394</v>
      </c>
      <c r="E602" s="86">
        <v>46310.0</v>
      </c>
      <c r="F602" s="87">
        <v>7.0</v>
      </c>
      <c r="G602" s="87">
        <v>0.0</v>
      </c>
      <c r="H602" s="87">
        <v>1678.0</v>
      </c>
      <c r="I602" s="87">
        <v>0.0</v>
      </c>
      <c r="J602" s="87">
        <v>13.47299</v>
      </c>
      <c r="K602" s="87">
        <v>17.76505</v>
      </c>
      <c r="L602" s="87">
        <v>19.95776</v>
      </c>
      <c r="M602" s="87">
        <v>17.68172</v>
      </c>
      <c r="N602" s="87">
        <v>0.995309</v>
      </c>
      <c r="O602" s="87">
        <v>0.0</v>
      </c>
      <c r="P602" s="87">
        <v>0.0</v>
      </c>
      <c r="Q602" s="87">
        <v>0.0</v>
      </c>
      <c r="R602" s="87">
        <v>0.0</v>
      </c>
      <c r="S602" s="87">
        <v>0.083333</v>
      </c>
      <c r="T602" s="87">
        <v>0.083333</v>
      </c>
      <c r="U602" s="87">
        <v>0.083333</v>
      </c>
      <c r="V602" s="87">
        <v>0.083333</v>
      </c>
      <c r="W602" s="87">
        <v>7.395956</v>
      </c>
      <c r="X602" s="87">
        <v>10.28576</v>
      </c>
      <c r="Y602" s="87">
        <v>2.537865</v>
      </c>
      <c r="Z602" s="87">
        <v>0.0</v>
      </c>
      <c r="AA602" s="87">
        <v>2.714263</v>
      </c>
      <c r="AB602" s="87">
        <v>0.795617</v>
      </c>
      <c r="AC602" s="87">
        <v>2.088727</v>
      </c>
      <c r="AD602" s="87">
        <v>1.466667</v>
      </c>
      <c r="AE602" s="87">
        <v>5.650186</v>
      </c>
      <c r="AF602" s="87">
        <v>4.970648</v>
      </c>
      <c r="AG602" s="87">
        <v>3.187063</v>
      </c>
      <c r="AH602" s="87">
        <v>0.0</v>
      </c>
      <c r="AI602" s="87">
        <v>3.424101</v>
      </c>
      <c r="AJ602" s="87">
        <v>1.863473</v>
      </c>
      <c r="AK602" s="87">
        <v>2.220125</v>
      </c>
      <c r="AL602" s="88" t="s">
        <v>1396</v>
      </c>
    </row>
    <row r="603">
      <c r="A603" s="84" t="s">
        <v>2177</v>
      </c>
      <c r="B603" s="84" t="s">
        <v>2202</v>
      </c>
      <c r="C603" s="84" t="s">
        <v>393</v>
      </c>
      <c r="D603" s="84" t="s">
        <v>394</v>
      </c>
      <c r="E603" s="84" t="s">
        <v>1413</v>
      </c>
      <c r="F603" s="87">
        <v>12.0</v>
      </c>
      <c r="G603" s="87">
        <v>0.0</v>
      </c>
      <c r="H603" s="87">
        <v>4477.0</v>
      </c>
      <c r="I603" s="87">
        <v>0.0</v>
      </c>
      <c r="J603" s="87">
        <v>34.38749</v>
      </c>
      <c r="K603" s="87">
        <v>45.76793</v>
      </c>
      <c r="L603" s="87">
        <v>51.61311</v>
      </c>
      <c r="M603" s="87">
        <v>36.44551</v>
      </c>
      <c r="N603" s="87">
        <v>0.796311</v>
      </c>
      <c r="O603" s="87">
        <v>0.0</v>
      </c>
      <c r="P603" s="87">
        <v>0.0</v>
      </c>
      <c r="Q603" s="87">
        <v>0.0</v>
      </c>
      <c r="R603" s="87">
        <v>2.714263</v>
      </c>
      <c r="S603" s="87">
        <v>3.19672</v>
      </c>
      <c r="T603" s="87">
        <v>0.625</v>
      </c>
      <c r="U603" s="87">
        <v>2.714263</v>
      </c>
      <c r="V603" s="87">
        <v>2.786437</v>
      </c>
      <c r="W603" s="87">
        <v>3.19672</v>
      </c>
      <c r="X603" s="87">
        <v>7.814811</v>
      </c>
      <c r="Y603" s="87">
        <v>3.813994</v>
      </c>
      <c r="Z603" s="87">
        <v>0.0</v>
      </c>
      <c r="AA603" s="87">
        <v>2.714263</v>
      </c>
      <c r="AB603" s="87">
        <v>0.795617</v>
      </c>
      <c r="AC603" s="87">
        <v>2.088727</v>
      </c>
      <c r="AD603" s="87">
        <v>2.714263</v>
      </c>
      <c r="AE603" s="87">
        <v>3.315106</v>
      </c>
      <c r="AF603" s="87">
        <v>5.962422</v>
      </c>
      <c r="AG603" s="87">
        <v>4.11386</v>
      </c>
      <c r="AH603" s="87">
        <v>0.0</v>
      </c>
      <c r="AI603" s="87">
        <v>3.424101</v>
      </c>
      <c r="AJ603" s="87">
        <v>1.863473</v>
      </c>
      <c r="AK603" s="87">
        <v>2.220125</v>
      </c>
      <c r="AL603" s="88" t="s">
        <v>1396</v>
      </c>
    </row>
    <row r="604">
      <c r="A604" s="84" t="s">
        <v>2179</v>
      </c>
      <c r="B604" s="84" t="s">
        <v>2203</v>
      </c>
      <c r="C604" s="84" t="s">
        <v>393</v>
      </c>
      <c r="D604" s="84" t="s">
        <v>394</v>
      </c>
      <c r="E604" s="84" t="s">
        <v>1398</v>
      </c>
      <c r="F604" s="87">
        <v>12.0</v>
      </c>
      <c r="G604" s="87">
        <v>0.0</v>
      </c>
      <c r="H604" s="87">
        <v>5980.0</v>
      </c>
      <c r="I604" s="87">
        <v>0.0</v>
      </c>
      <c r="J604" s="87">
        <v>74.09101</v>
      </c>
      <c r="K604" s="87">
        <v>82.45817</v>
      </c>
      <c r="L604" s="87">
        <v>89.74899</v>
      </c>
      <c r="M604" s="87">
        <v>72.59225</v>
      </c>
      <c r="N604" s="87">
        <v>0.880352</v>
      </c>
      <c r="O604" s="87">
        <v>0.0</v>
      </c>
      <c r="P604" s="87">
        <v>0.0</v>
      </c>
      <c r="Q604" s="87">
        <v>0.058824</v>
      </c>
      <c r="R604" s="87">
        <v>1.931258</v>
      </c>
      <c r="S604" s="87">
        <v>3.242048</v>
      </c>
      <c r="T604" s="87">
        <v>0.058824</v>
      </c>
      <c r="U604" s="87">
        <v>0.95</v>
      </c>
      <c r="V604" s="87">
        <v>1.515971</v>
      </c>
      <c r="W604" s="87">
        <v>2.167816</v>
      </c>
      <c r="X604" s="87">
        <v>7.028342</v>
      </c>
      <c r="Y604" s="87">
        <v>6.871514</v>
      </c>
      <c r="Z604" s="87">
        <v>0.0</v>
      </c>
      <c r="AA604" s="87">
        <v>2.714263</v>
      </c>
      <c r="AB604" s="87">
        <v>0.795617</v>
      </c>
      <c r="AC604" s="87">
        <v>2.088727</v>
      </c>
      <c r="AD604" s="87">
        <v>1.931258</v>
      </c>
      <c r="AE604" s="87">
        <v>3.242048</v>
      </c>
      <c r="AF604" s="87">
        <v>5.10822</v>
      </c>
      <c r="AG604" s="87">
        <v>5.437323</v>
      </c>
      <c r="AH604" s="87">
        <v>0.0</v>
      </c>
      <c r="AI604" s="87">
        <v>3.424101</v>
      </c>
      <c r="AJ604" s="87">
        <v>1.863473</v>
      </c>
      <c r="AK604" s="87">
        <v>2.220125</v>
      </c>
      <c r="AL604" s="88" t="s">
        <v>1396</v>
      </c>
    </row>
    <row r="605">
      <c r="A605" s="84" t="s">
        <v>2181</v>
      </c>
      <c r="B605" s="84" t="s">
        <v>2204</v>
      </c>
      <c r="C605" s="84" t="s">
        <v>393</v>
      </c>
      <c r="D605" s="84" t="s">
        <v>394</v>
      </c>
      <c r="E605" s="84" t="s">
        <v>1400</v>
      </c>
      <c r="F605" s="87">
        <v>20.0</v>
      </c>
      <c r="G605" s="87">
        <v>0.0</v>
      </c>
      <c r="H605" s="87">
        <v>4588.0</v>
      </c>
      <c r="I605" s="87">
        <v>0.0</v>
      </c>
      <c r="J605" s="87">
        <v>45.94877</v>
      </c>
      <c r="K605" s="87">
        <v>41.77454</v>
      </c>
      <c r="L605" s="87">
        <v>38.10928</v>
      </c>
      <c r="M605" s="87">
        <v>27.85134</v>
      </c>
      <c r="N605" s="87">
        <v>0.666706</v>
      </c>
      <c r="O605" s="87">
        <v>0.0</v>
      </c>
      <c r="P605" s="87">
        <v>0.0</v>
      </c>
      <c r="Q605" s="87">
        <v>0.654032</v>
      </c>
      <c r="R605" s="87">
        <v>1.033333</v>
      </c>
      <c r="S605" s="87">
        <v>1.908194</v>
      </c>
      <c r="T605" s="87">
        <v>0.723732</v>
      </c>
      <c r="U605" s="87">
        <v>0.770115</v>
      </c>
      <c r="V605" s="87">
        <v>1.033333</v>
      </c>
      <c r="W605" s="87">
        <v>1.812338</v>
      </c>
      <c r="X605" s="87">
        <v>2.979389</v>
      </c>
      <c r="Y605" s="87">
        <v>2.088727</v>
      </c>
      <c r="Z605" s="87">
        <v>0.0</v>
      </c>
      <c r="AA605" s="87">
        <v>2.714263</v>
      </c>
      <c r="AB605" s="87">
        <v>0.795617</v>
      </c>
      <c r="AC605" s="87">
        <v>2.088727</v>
      </c>
      <c r="AD605" s="87">
        <v>1.503895</v>
      </c>
      <c r="AE605" s="87">
        <v>2.043666</v>
      </c>
      <c r="AF605" s="87">
        <v>2.858365</v>
      </c>
      <c r="AG605" s="87">
        <v>2.088727</v>
      </c>
      <c r="AH605" s="87">
        <v>0.0</v>
      </c>
      <c r="AI605" s="87">
        <v>3.424101</v>
      </c>
      <c r="AJ605" s="87">
        <v>1.863473</v>
      </c>
      <c r="AK605" s="87">
        <v>2.220125</v>
      </c>
      <c r="AL605" s="88" t="s">
        <v>1396</v>
      </c>
    </row>
    <row r="606">
      <c r="A606" s="84" t="s">
        <v>2190</v>
      </c>
      <c r="B606" s="84" t="s">
        <v>2205</v>
      </c>
      <c r="C606" s="84" t="s">
        <v>393</v>
      </c>
      <c r="D606" s="84" t="s">
        <v>394</v>
      </c>
      <c r="E606" s="89">
        <v>46300.0</v>
      </c>
      <c r="F606" s="87">
        <v>10.0</v>
      </c>
      <c r="G606" s="87">
        <v>0.0</v>
      </c>
      <c r="H606" s="87">
        <v>0.0</v>
      </c>
      <c r="I606" s="87">
        <v>0.0</v>
      </c>
      <c r="J606" s="87">
        <v>0.0</v>
      </c>
      <c r="K606" s="87">
        <v>0.0</v>
      </c>
      <c r="L606" s="87">
        <v>24.60259</v>
      </c>
      <c r="M606" s="87">
        <v>0.0</v>
      </c>
      <c r="N606" s="87">
        <v>0.0</v>
      </c>
      <c r="O606" s="87">
        <v>0.0</v>
      </c>
      <c r="P606" s="87">
        <v>0.0</v>
      </c>
      <c r="Q606" s="87">
        <v>0.0</v>
      </c>
      <c r="R606" s="87">
        <v>0.0</v>
      </c>
      <c r="S606" s="87">
        <v>0.0</v>
      </c>
      <c r="T606" s="87">
        <v>0.0</v>
      </c>
      <c r="U606" s="87">
        <v>0.0</v>
      </c>
      <c r="V606" s="87">
        <v>0.0</v>
      </c>
      <c r="W606" s="87">
        <v>0.0</v>
      </c>
      <c r="X606" s="87">
        <v>0.0</v>
      </c>
      <c r="Y606" s="87">
        <v>0.0</v>
      </c>
      <c r="Z606" s="87">
        <v>0.0</v>
      </c>
      <c r="AA606" s="87">
        <v>2.714263</v>
      </c>
      <c r="AB606" s="87">
        <v>0.795617</v>
      </c>
      <c r="AC606" s="87">
        <v>2.088727</v>
      </c>
      <c r="AD606" s="87">
        <v>0.0</v>
      </c>
      <c r="AE606" s="87">
        <v>13.57639</v>
      </c>
      <c r="AF606" s="87">
        <v>6.403852</v>
      </c>
      <c r="AG606" s="87">
        <v>4.081619</v>
      </c>
      <c r="AH606" s="87">
        <v>0.0</v>
      </c>
      <c r="AI606" s="87">
        <v>3.424101</v>
      </c>
      <c r="AJ606" s="87">
        <v>1.863473</v>
      </c>
      <c r="AK606" s="87">
        <v>2.220125</v>
      </c>
      <c r="AL606" s="88" t="s">
        <v>1396</v>
      </c>
    </row>
    <row r="607">
      <c r="A607" s="84" t="s">
        <v>2183</v>
      </c>
      <c r="B607" s="84" t="s">
        <v>2206</v>
      </c>
      <c r="C607" s="84" t="s">
        <v>393</v>
      </c>
      <c r="D607" s="84" t="s">
        <v>394</v>
      </c>
      <c r="E607" s="84" t="s">
        <v>1403</v>
      </c>
      <c r="F607" s="87">
        <v>174.0</v>
      </c>
      <c r="G607" s="87">
        <v>17.0</v>
      </c>
      <c r="H607" s="87">
        <v>2433.0</v>
      </c>
      <c r="I607" s="87">
        <v>2433.0</v>
      </c>
      <c r="J607" s="87">
        <v>0.0</v>
      </c>
      <c r="K607" s="87">
        <v>0.0</v>
      </c>
      <c r="L607" s="87">
        <v>0.0</v>
      </c>
      <c r="M607" s="87">
        <v>0.0</v>
      </c>
      <c r="N607" s="87">
        <v>0.0</v>
      </c>
      <c r="O607" s="87">
        <v>0.0</v>
      </c>
      <c r="P607" s="87">
        <v>0.0</v>
      </c>
      <c r="Q607" s="87">
        <v>0.0</v>
      </c>
      <c r="R607" s="87">
        <v>0.0</v>
      </c>
      <c r="S607" s="87">
        <v>0.0</v>
      </c>
      <c r="T607" s="87">
        <v>0.0</v>
      </c>
      <c r="U607" s="87">
        <v>0.0</v>
      </c>
      <c r="V607" s="87">
        <v>0.0</v>
      </c>
      <c r="W607" s="87">
        <v>0.0</v>
      </c>
      <c r="X607" s="87">
        <v>0.0</v>
      </c>
      <c r="Y607" s="87">
        <v>0.0</v>
      </c>
      <c r="Z607" s="87">
        <v>0.0</v>
      </c>
      <c r="AA607" s="87">
        <v>2.714263</v>
      </c>
      <c r="AB607" s="87">
        <v>0.795617</v>
      </c>
      <c r="AC607" s="87">
        <v>2.088727</v>
      </c>
      <c r="AD607" s="87">
        <v>0.0</v>
      </c>
      <c r="AE607" s="87">
        <v>0.0</v>
      </c>
      <c r="AF607" s="87">
        <v>0.0</v>
      </c>
      <c r="AG607" s="87">
        <v>0.0</v>
      </c>
      <c r="AH607" s="87">
        <v>0.0</v>
      </c>
      <c r="AI607" s="87">
        <v>3.424101</v>
      </c>
      <c r="AJ607" s="87">
        <v>1.863473</v>
      </c>
      <c r="AK607" s="87">
        <v>2.220125</v>
      </c>
      <c r="AL607" s="88" t="s">
        <v>1396</v>
      </c>
    </row>
    <row r="608">
      <c r="A608" s="84" t="s">
        <v>2174</v>
      </c>
      <c r="B608" s="84" t="s">
        <v>2207</v>
      </c>
      <c r="C608" s="84" t="s">
        <v>393</v>
      </c>
      <c r="D608" s="84" t="s">
        <v>398</v>
      </c>
      <c r="E608" s="89">
        <v>46310.0</v>
      </c>
      <c r="F608" s="87">
        <v>1.0</v>
      </c>
      <c r="G608" s="87">
        <v>0.0</v>
      </c>
      <c r="H608" s="87">
        <v>0.0</v>
      </c>
      <c r="I608" s="87">
        <v>0.0</v>
      </c>
      <c r="J608" s="87">
        <v>0.0</v>
      </c>
      <c r="K608" s="87">
        <v>0.0</v>
      </c>
      <c r="L608" s="87">
        <v>0.0</v>
      </c>
      <c r="M608" s="87">
        <v>0.0</v>
      </c>
      <c r="N608" s="87">
        <v>0.0</v>
      </c>
      <c r="O608" s="87">
        <v>0.0</v>
      </c>
      <c r="P608" s="87">
        <v>0.0</v>
      </c>
      <c r="Q608" s="87">
        <v>0.0</v>
      </c>
      <c r="R608" s="87">
        <v>0.0</v>
      </c>
      <c r="S608" s="87">
        <v>0.0</v>
      </c>
      <c r="T608" s="87">
        <v>0.0</v>
      </c>
      <c r="U608" s="87">
        <v>0.0</v>
      </c>
      <c r="V608" s="87">
        <v>0.0</v>
      </c>
      <c r="W608" s="87">
        <v>0.0</v>
      </c>
      <c r="X608" s="87">
        <v>0.0</v>
      </c>
      <c r="Y608" s="87">
        <v>0.0</v>
      </c>
      <c r="Z608" s="87">
        <v>0.0</v>
      </c>
      <c r="AA608" s="87">
        <v>1.222488</v>
      </c>
      <c r="AB608" s="87">
        <v>0.618159</v>
      </c>
      <c r="AC608" s="87">
        <v>1.389594</v>
      </c>
      <c r="AD608" s="87">
        <v>1.466667</v>
      </c>
      <c r="AE608" s="87">
        <v>5.650186</v>
      </c>
      <c r="AF608" s="87">
        <v>4.970648</v>
      </c>
      <c r="AG608" s="87">
        <v>3.187063</v>
      </c>
      <c r="AH608" s="87">
        <v>0.0</v>
      </c>
      <c r="AI608" s="87">
        <v>3.424101</v>
      </c>
      <c r="AJ608" s="87">
        <v>1.863473</v>
      </c>
      <c r="AK608" s="87">
        <v>2.220125</v>
      </c>
      <c r="AL608" s="88" t="s">
        <v>1396</v>
      </c>
    </row>
    <row r="609">
      <c r="A609" s="84" t="s">
        <v>2177</v>
      </c>
      <c r="B609" s="84" t="s">
        <v>2208</v>
      </c>
      <c r="C609" s="84" t="s">
        <v>393</v>
      </c>
      <c r="D609" s="84" t="s">
        <v>398</v>
      </c>
      <c r="E609" s="84" t="s">
        <v>1413</v>
      </c>
      <c r="F609" s="87">
        <v>2.0</v>
      </c>
      <c r="G609" s="87">
        <v>0.0</v>
      </c>
      <c r="H609" s="87">
        <v>285.0</v>
      </c>
      <c r="I609" s="87">
        <v>0.0</v>
      </c>
      <c r="J609" s="87">
        <v>0.839683</v>
      </c>
      <c r="K609" s="87">
        <v>3.000251</v>
      </c>
      <c r="L609" s="87">
        <v>19.88672</v>
      </c>
      <c r="M609" s="87">
        <v>2.0</v>
      </c>
      <c r="N609" s="87">
        <v>0.666611</v>
      </c>
      <c r="O609" s="87">
        <v>1.000251</v>
      </c>
      <c r="P609" s="87">
        <v>1.000251</v>
      </c>
      <c r="Q609" s="87">
        <v>1.000251</v>
      </c>
      <c r="R609" s="87">
        <v>2.0</v>
      </c>
      <c r="S609" s="87">
        <v>2.0</v>
      </c>
      <c r="T609" s="87">
        <v>1.000251</v>
      </c>
      <c r="U609" s="87">
        <v>1.000251</v>
      </c>
      <c r="V609" s="87">
        <v>1.000251</v>
      </c>
      <c r="W609" s="87">
        <v>2.0</v>
      </c>
      <c r="X609" s="87">
        <v>2.0</v>
      </c>
      <c r="Y609" s="87">
        <v>1.500125</v>
      </c>
      <c r="Z609" s="87">
        <v>0.0</v>
      </c>
      <c r="AA609" s="87">
        <v>1.222488</v>
      </c>
      <c r="AB609" s="87">
        <v>0.618159</v>
      </c>
      <c r="AC609" s="87">
        <v>1.389594</v>
      </c>
      <c r="AD609" s="87">
        <v>2.714263</v>
      </c>
      <c r="AE609" s="87">
        <v>3.315106</v>
      </c>
      <c r="AF609" s="87">
        <v>5.962422</v>
      </c>
      <c r="AG609" s="87">
        <v>4.11386</v>
      </c>
      <c r="AH609" s="87">
        <v>0.0</v>
      </c>
      <c r="AI609" s="87">
        <v>3.424101</v>
      </c>
      <c r="AJ609" s="87">
        <v>1.863473</v>
      </c>
      <c r="AK609" s="87">
        <v>2.220125</v>
      </c>
      <c r="AL609" s="88" t="s">
        <v>1396</v>
      </c>
    </row>
    <row r="610">
      <c r="A610" s="84" t="s">
        <v>2179</v>
      </c>
      <c r="B610" s="84" t="s">
        <v>2209</v>
      </c>
      <c r="C610" s="84" t="s">
        <v>393</v>
      </c>
      <c r="D610" s="84" t="s">
        <v>398</v>
      </c>
      <c r="E610" s="84" t="s">
        <v>1398</v>
      </c>
      <c r="F610" s="87">
        <v>4.0</v>
      </c>
      <c r="G610" s="87">
        <v>0.0</v>
      </c>
      <c r="H610" s="87">
        <v>509.0</v>
      </c>
      <c r="I610" s="87">
        <v>0.0</v>
      </c>
      <c r="J610" s="87">
        <v>5.720696</v>
      </c>
      <c r="K610" s="87">
        <v>5.558374</v>
      </c>
      <c r="L610" s="87">
        <v>6.645067</v>
      </c>
      <c r="M610" s="87">
        <v>5.558374</v>
      </c>
      <c r="N610" s="87">
        <v>1.0</v>
      </c>
      <c r="O610" s="87">
        <v>0.0</v>
      </c>
      <c r="P610" s="87">
        <v>0.0</v>
      </c>
      <c r="Q610" s="87">
        <v>0.0</v>
      </c>
      <c r="R610" s="87">
        <v>0.0</v>
      </c>
      <c r="S610" s="87">
        <v>0.0</v>
      </c>
      <c r="T610" s="87">
        <v>5.558374</v>
      </c>
      <c r="U610" s="87">
        <v>5.558374</v>
      </c>
      <c r="V610" s="87">
        <v>5.558374</v>
      </c>
      <c r="W610" s="87">
        <v>5.558374</v>
      </c>
      <c r="X610" s="87">
        <v>5.558374</v>
      </c>
      <c r="Y610" s="87">
        <v>1.389594</v>
      </c>
      <c r="Z610" s="87">
        <v>0.0</v>
      </c>
      <c r="AA610" s="87">
        <v>1.222488</v>
      </c>
      <c r="AB610" s="87">
        <v>0.618159</v>
      </c>
      <c r="AC610" s="87">
        <v>1.389594</v>
      </c>
      <c r="AD610" s="87">
        <v>1.931258</v>
      </c>
      <c r="AE610" s="87">
        <v>3.242048</v>
      </c>
      <c r="AF610" s="87">
        <v>5.10822</v>
      </c>
      <c r="AG610" s="87">
        <v>5.437323</v>
      </c>
      <c r="AH610" s="87">
        <v>0.0</v>
      </c>
      <c r="AI610" s="87">
        <v>3.424101</v>
      </c>
      <c r="AJ610" s="87">
        <v>1.863473</v>
      </c>
      <c r="AK610" s="87">
        <v>2.220125</v>
      </c>
      <c r="AL610" s="88" t="s">
        <v>1396</v>
      </c>
    </row>
    <row r="611">
      <c r="A611" s="84" t="s">
        <v>2181</v>
      </c>
      <c r="B611" s="84" t="s">
        <v>2210</v>
      </c>
      <c r="C611" s="84" t="s">
        <v>393</v>
      </c>
      <c r="D611" s="84" t="s">
        <v>398</v>
      </c>
      <c r="E611" s="84" t="s">
        <v>1400</v>
      </c>
      <c r="F611" s="87">
        <v>14.0</v>
      </c>
      <c r="G611" s="87">
        <v>0.0</v>
      </c>
      <c r="H611" s="87">
        <v>4513.0</v>
      </c>
      <c r="I611" s="87">
        <v>0.0</v>
      </c>
      <c r="J611" s="87">
        <v>30.15265</v>
      </c>
      <c r="K611" s="87">
        <v>29.1491</v>
      </c>
      <c r="L611" s="87">
        <v>32.63911</v>
      </c>
      <c r="M611" s="87">
        <v>25.52408</v>
      </c>
      <c r="N611" s="87">
        <v>0.875639</v>
      </c>
      <c r="O611" s="87">
        <v>0.0</v>
      </c>
      <c r="P611" s="87">
        <v>0.0</v>
      </c>
      <c r="Q611" s="87">
        <v>0.0</v>
      </c>
      <c r="R611" s="87">
        <v>0.232258</v>
      </c>
      <c r="S611" s="87">
        <v>1.221342</v>
      </c>
      <c r="T611" s="87">
        <v>0.125</v>
      </c>
      <c r="U611" s="87">
        <v>0.125</v>
      </c>
      <c r="V611" s="87">
        <v>0.232258</v>
      </c>
      <c r="W611" s="87">
        <v>1.221342</v>
      </c>
      <c r="X611" s="87">
        <v>1.503895</v>
      </c>
      <c r="Y611" s="87">
        <v>2.082078</v>
      </c>
      <c r="Z611" s="87">
        <v>0.0</v>
      </c>
      <c r="AA611" s="87">
        <v>1.222488</v>
      </c>
      <c r="AB611" s="87">
        <v>0.618159</v>
      </c>
      <c r="AC611" s="87">
        <v>1.389594</v>
      </c>
      <c r="AD611" s="87">
        <v>1.503895</v>
      </c>
      <c r="AE611" s="87">
        <v>2.043666</v>
      </c>
      <c r="AF611" s="87">
        <v>2.858365</v>
      </c>
      <c r="AG611" s="87">
        <v>2.088727</v>
      </c>
      <c r="AH611" s="87">
        <v>0.0</v>
      </c>
      <c r="AI611" s="87">
        <v>3.424101</v>
      </c>
      <c r="AJ611" s="87">
        <v>1.863473</v>
      </c>
      <c r="AK611" s="87">
        <v>2.220125</v>
      </c>
      <c r="AL611" s="88" t="s">
        <v>1396</v>
      </c>
    </row>
    <row r="612">
      <c r="A612" s="84" t="s">
        <v>2190</v>
      </c>
      <c r="B612" s="84" t="s">
        <v>2211</v>
      </c>
      <c r="C612" s="84" t="s">
        <v>393</v>
      </c>
      <c r="D612" s="84" t="s">
        <v>398</v>
      </c>
      <c r="E612" s="89">
        <v>46300.0</v>
      </c>
      <c r="F612" s="87">
        <v>2.0</v>
      </c>
      <c r="G612" s="87">
        <v>0.0</v>
      </c>
      <c r="H612" s="87">
        <v>0.0</v>
      </c>
      <c r="I612" s="87">
        <v>0.0</v>
      </c>
      <c r="J612" s="87">
        <v>0.0</v>
      </c>
      <c r="K612" s="87">
        <v>0.0</v>
      </c>
      <c r="L612" s="87">
        <v>0.083333</v>
      </c>
      <c r="M612" s="87">
        <v>0.0</v>
      </c>
      <c r="N612" s="87">
        <v>0.0</v>
      </c>
      <c r="O612" s="87">
        <v>0.0</v>
      </c>
      <c r="P612" s="87">
        <v>0.0</v>
      </c>
      <c r="Q612" s="87">
        <v>0.0</v>
      </c>
      <c r="R612" s="87">
        <v>0.0</v>
      </c>
      <c r="S612" s="87">
        <v>0.0</v>
      </c>
      <c r="T612" s="87">
        <v>0.0</v>
      </c>
      <c r="U612" s="87">
        <v>0.0</v>
      </c>
      <c r="V612" s="87">
        <v>0.0</v>
      </c>
      <c r="W612" s="87">
        <v>0.0</v>
      </c>
      <c r="X612" s="87">
        <v>0.0</v>
      </c>
      <c r="Y612" s="87">
        <v>0.0</v>
      </c>
      <c r="Z612" s="87">
        <v>0.0</v>
      </c>
      <c r="AA612" s="87">
        <v>1.222488</v>
      </c>
      <c r="AB612" s="87">
        <v>0.618159</v>
      </c>
      <c r="AC612" s="87">
        <v>1.389594</v>
      </c>
      <c r="AD612" s="87">
        <v>0.0</v>
      </c>
      <c r="AE612" s="87">
        <v>13.57639</v>
      </c>
      <c r="AF612" s="87">
        <v>6.403852</v>
      </c>
      <c r="AG612" s="87">
        <v>4.081619</v>
      </c>
      <c r="AH612" s="87">
        <v>0.0</v>
      </c>
      <c r="AI612" s="87">
        <v>3.424101</v>
      </c>
      <c r="AJ612" s="87">
        <v>1.863473</v>
      </c>
      <c r="AK612" s="87">
        <v>2.220125</v>
      </c>
      <c r="AL612" s="88" t="s">
        <v>1396</v>
      </c>
    </row>
    <row r="613">
      <c r="A613" s="84" t="s">
        <v>2183</v>
      </c>
      <c r="B613" s="84" t="s">
        <v>2212</v>
      </c>
      <c r="C613" s="84" t="s">
        <v>393</v>
      </c>
      <c r="D613" s="84" t="s">
        <v>398</v>
      </c>
      <c r="E613" s="84" t="s">
        <v>1403</v>
      </c>
      <c r="F613" s="87">
        <v>38.0</v>
      </c>
      <c r="G613" s="87">
        <v>1.0</v>
      </c>
      <c r="H613" s="87">
        <v>192.0</v>
      </c>
      <c r="I613" s="87">
        <v>192.0</v>
      </c>
      <c r="J613" s="87">
        <v>0.0</v>
      </c>
      <c r="K613" s="87">
        <v>0.0</v>
      </c>
      <c r="L613" s="87">
        <v>0.0</v>
      </c>
      <c r="M613" s="87">
        <v>0.0</v>
      </c>
      <c r="N613" s="87">
        <v>0.0</v>
      </c>
      <c r="O613" s="87">
        <v>0.0</v>
      </c>
      <c r="P613" s="87">
        <v>0.0</v>
      </c>
      <c r="Q613" s="87">
        <v>0.0</v>
      </c>
      <c r="R613" s="87">
        <v>0.0</v>
      </c>
      <c r="S613" s="87">
        <v>0.0</v>
      </c>
      <c r="T613" s="87">
        <v>0.0</v>
      </c>
      <c r="U613" s="87">
        <v>0.0</v>
      </c>
      <c r="V613" s="87">
        <v>0.0</v>
      </c>
      <c r="W613" s="87">
        <v>0.0</v>
      </c>
      <c r="X613" s="87">
        <v>0.0</v>
      </c>
      <c r="Y613" s="87">
        <v>0.0</v>
      </c>
      <c r="Z613" s="87">
        <v>0.0</v>
      </c>
      <c r="AA613" s="87">
        <v>1.222488</v>
      </c>
      <c r="AB613" s="87">
        <v>0.618159</v>
      </c>
      <c r="AC613" s="87">
        <v>1.389594</v>
      </c>
      <c r="AD613" s="87">
        <v>0.0</v>
      </c>
      <c r="AE613" s="87">
        <v>0.0</v>
      </c>
      <c r="AF613" s="87">
        <v>0.0</v>
      </c>
      <c r="AG613" s="87">
        <v>0.0</v>
      </c>
      <c r="AH613" s="87">
        <v>0.0</v>
      </c>
      <c r="AI613" s="87">
        <v>3.424101</v>
      </c>
      <c r="AJ613" s="87">
        <v>1.863473</v>
      </c>
      <c r="AK613" s="87">
        <v>2.220125</v>
      </c>
      <c r="AL613" s="88" t="s">
        <v>1396</v>
      </c>
    </row>
    <row r="614">
      <c r="A614" s="84" t="s">
        <v>2185</v>
      </c>
      <c r="B614" s="84" t="s">
        <v>2213</v>
      </c>
      <c r="C614" s="84" t="s">
        <v>393</v>
      </c>
      <c r="D614" s="84" t="s">
        <v>419</v>
      </c>
      <c r="E614" s="84" t="s">
        <v>1426</v>
      </c>
      <c r="F614" s="87">
        <v>5.0</v>
      </c>
      <c r="G614" s="87">
        <v>0.0</v>
      </c>
      <c r="H614" s="87">
        <v>0.0</v>
      </c>
      <c r="I614" s="87">
        <v>0.0</v>
      </c>
      <c r="J614" s="87">
        <v>0.0</v>
      </c>
      <c r="K614" s="87">
        <v>0.0</v>
      </c>
      <c r="L614" s="87">
        <v>0.333333</v>
      </c>
      <c r="M614" s="87">
        <v>0.0</v>
      </c>
      <c r="N614" s="87">
        <v>0.0</v>
      </c>
      <c r="O614" s="87">
        <v>0.0</v>
      </c>
      <c r="P614" s="87">
        <v>0.0</v>
      </c>
      <c r="Q614" s="87">
        <v>0.0</v>
      </c>
      <c r="R614" s="87">
        <v>0.0</v>
      </c>
      <c r="S614" s="87">
        <v>0.0</v>
      </c>
      <c r="T614" s="87">
        <v>0.0</v>
      </c>
      <c r="U614" s="87">
        <v>0.0</v>
      </c>
      <c r="V614" s="87">
        <v>0.0</v>
      </c>
      <c r="W614" s="87">
        <v>0.0</v>
      </c>
      <c r="X614" s="87">
        <v>0.0</v>
      </c>
      <c r="Y614" s="87">
        <v>0.0</v>
      </c>
      <c r="Z614" s="87">
        <v>0.0</v>
      </c>
      <c r="AA614" s="87">
        <v>4.044399</v>
      </c>
      <c r="AB614" s="87">
        <v>1.403849</v>
      </c>
      <c r="AC614" s="87">
        <v>0.924206</v>
      </c>
      <c r="AD614" s="87">
        <v>0.0</v>
      </c>
      <c r="AE614" s="87">
        <v>15.863</v>
      </c>
      <c r="AF614" s="87">
        <v>4.466136</v>
      </c>
      <c r="AG614" s="87">
        <v>0.0</v>
      </c>
      <c r="AH614" s="87">
        <v>0.0</v>
      </c>
      <c r="AI614" s="87">
        <v>3.424101</v>
      </c>
      <c r="AJ614" s="87">
        <v>1.863473</v>
      </c>
      <c r="AK614" s="87">
        <v>2.220125</v>
      </c>
      <c r="AL614" s="88" t="s">
        <v>1396</v>
      </c>
    </row>
    <row r="615">
      <c r="A615" s="84" t="s">
        <v>2174</v>
      </c>
      <c r="B615" s="84" t="s">
        <v>2214</v>
      </c>
      <c r="C615" s="84" t="s">
        <v>393</v>
      </c>
      <c r="D615" s="84" t="s">
        <v>419</v>
      </c>
      <c r="E615" s="86">
        <v>46310.0</v>
      </c>
      <c r="F615" s="87">
        <v>11.0</v>
      </c>
      <c r="G615" s="87">
        <v>0.0</v>
      </c>
      <c r="H615" s="87">
        <v>7087.0</v>
      </c>
      <c r="I615" s="87">
        <v>0.0</v>
      </c>
      <c r="J615" s="87">
        <v>77.34145</v>
      </c>
      <c r="K615" s="87">
        <v>86.96864</v>
      </c>
      <c r="L615" s="87">
        <v>106.8314</v>
      </c>
      <c r="M615" s="87">
        <v>53.37117</v>
      </c>
      <c r="N615" s="87">
        <v>0.613683</v>
      </c>
      <c r="O615" s="87">
        <v>0.0</v>
      </c>
      <c r="P615" s="87">
        <v>0.371324</v>
      </c>
      <c r="Q615" s="87">
        <v>1.0</v>
      </c>
      <c r="R615" s="87">
        <v>5.314797</v>
      </c>
      <c r="S615" s="87">
        <v>12.11207</v>
      </c>
      <c r="T615" s="87">
        <v>0.371324</v>
      </c>
      <c r="U615" s="87">
        <v>1.0</v>
      </c>
      <c r="V615" s="87">
        <v>4.342907</v>
      </c>
      <c r="W615" s="87">
        <v>10.45637</v>
      </c>
      <c r="X615" s="87">
        <v>14.385</v>
      </c>
      <c r="Y615" s="87">
        <v>7.90624</v>
      </c>
      <c r="Z615" s="87">
        <v>0.0</v>
      </c>
      <c r="AA615" s="87">
        <v>4.044399</v>
      </c>
      <c r="AB615" s="87">
        <v>1.403849</v>
      </c>
      <c r="AC615" s="87">
        <v>0.924206</v>
      </c>
      <c r="AD615" s="87">
        <v>1.466667</v>
      </c>
      <c r="AE615" s="87">
        <v>5.650186</v>
      </c>
      <c r="AF615" s="87">
        <v>4.970648</v>
      </c>
      <c r="AG615" s="87">
        <v>3.187063</v>
      </c>
      <c r="AH615" s="87">
        <v>0.0</v>
      </c>
      <c r="AI615" s="87">
        <v>3.424101</v>
      </c>
      <c r="AJ615" s="87">
        <v>1.863473</v>
      </c>
      <c r="AK615" s="87">
        <v>2.220125</v>
      </c>
      <c r="AL615" s="88" t="s">
        <v>1396</v>
      </c>
    </row>
    <row r="616">
      <c r="A616" s="84" t="s">
        <v>2177</v>
      </c>
      <c r="B616" s="84" t="s">
        <v>2215</v>
      </c>
      <c r="C616" s="84" t="s">
        <v>393</v>
      </c>
      <c r="D616" s="84" t="s">
        <v>419</v>
      </c>
      <c r="E616" s="84" t="s">
        <v>1413</v>
      </c>
      <c r="F616" s="87">
        <v>12.0</v>
      </c>
      <c r="G616" s="87">
        <v>0.0</v>
      </c>
      <c r="H616" s="87">
        <v>6906.0</v>
      </c>
      <c r="I616" s="87">
        <v>0.0</v>
      </c>
      <c r="J616" s="87">
        <v>87.65175</v>
      </c>
      <c r="K616" s="87">
        <v>81.57259</v>
      </c>
      <c r="L616" s="87">
        <v>78.94642</v>
      </c>
      <c r="M616" s="87">
        <v>61.10159</v>
      </c>
      <c r="N616" s="87">
        <v>0.749046</v>
      </c>
      <c r="O616" s="87">
        <v>0.0</v>
      </c>
      <c r="P616" s="87">
        <v>0.088933</v>
      </c>
      <c r="Q616" s="87">
        <v>0.108187</v>
      </c>
      <c r="R616" s="87">
        <v>3.84072</v>
      </c>
      <c r="S616" s="87">
        <v>7.53588</v>
      </c>
      <c r="T616" s="87">
        <v>0.108187</v>
      </c>
      <c r="U616" s="87">
        <v>1.785525</v>
      </c>
      <c r="V616" s="87">
        <v>3.067358</v>
      </c>
      <c r="W616" s="87">
        <v>4.044399</v>
      </c>
      <c r="X616" s="87">
        <v>11.43228</v>
      </c>
      <c r="Y616" s="87">
        <v>6.797716</v>
      </c>
      <c r="Z616" s="87">
        <v>0.0</v>
      </c>
      <c r="AA616" s="87">
        <v>4.044399</v>
      </c>
      <c r="AB616" s="87">
        <v>1.403849</v>
      </c>
      <c r="AC616" s="87">
        <v>0.924206</v>
      </c>
      <c r="AD616" s="87">
        <v>2.714263</v>
      </c>
      <c r="AE616" s="87">
        <v>3.315106</v>
      </c>
      <c r="AF616" s="87">
        <v>5.962422</v>
      </c>
      <c r="AG616" s="87">
        <v>4.11386</v>
      </c>
      <c r="AH616" s="87">
        <v>0.0</v>
      </c>
      <c r="AI616" s="87">
        <v>3.424101</v>
      </c>
      <c r="AJ616" s="87">
        <v>1.863473</v>
      </c>
      <c r="AK616" s="87">
        <v>2.220125</v>
      </c>
      <c r="AL616" s="88" t="s">
        <v>1396</v>
      </c>
    </row>
    <row r="617">
      <c r="A617" s="84" t="s">
        <v>2179</v>
      </c>
      <c r="B617" s="84" t="s">
        <v>2216</v>
      </c>
      <c r="C617" s="84" t="s">
        <v>393</v>
      </c>
      <c r="D617" s="84" t="s">
        <v>419</v>
      </c>
      <c r="E617" s="84" t="s">
        <v>1398</v>
      </c>
      <c r="F617" s="87">
        <v>3.0</v>
      </c>
      <c r="G617" s="87">
        <v>0.0</v>
      </c>
      <c r="H617" s="87">
        <v>1654.0</v>
      </c>
      <c r="I617" s="87">
        <v>0.0</v>
      </c>
      <c r="J617" s="87">
        <v>14.04873</v>
      </c>
      <c r="K617" s="87">
        <v>16.96664</v>
      </c>
      <c r="L617" s="87">
        <v>16.9797</v>
      </c>
      <c r="M617" s="87">
        <v>10.54241</v>
      </c>
      <c r="N617" s="87">
        <v>0.621361</v>
      </c>
      <c r="O617" s="87">
        <v>1.679293</v>
      </c>
      <c r="P617" s="87">
        <v>1.679293</v>
      </c>
      <c r="Q617" s="87">
        <v>1.679293</v>
      </c>
      <c r="R617" s="87">
        <v>4.744942</v>
      </c>
      <c r="S617" s="87">
        <v>10.54241</v>
      </c>
      <c r="T617" s="87">
        <v>1.679293</v>
      </c>
      <c r="U617" s="87">
        <v>1.679293</v>
      </c>
      <c r="V617" s="87">
        <v>1.679293</v>
      </c>
      <c r="W617" s="87">
        <v>4.744942</v>
      </c>
      <c r="X617" s="87">
        <v>10.54241</v>
      </c>
      <c r="Y617" s="87">
        <v>5.655548</v>
      </c>
      <c r="Z617" s="87">
        <v>0.0</v>
      </c>
      <c r="AA617" s="87">
        <v>4.044399</v>
      </c>
      <c r="AB617" s="87">
        <v>1.403849</v>
      </c>
      <c r="AC617" s="87">
        <v>0.924206</v>
      </c>
      <c r="AD617" s="87">
        <v>1.931258</v>
      </c>
      <c r="AE617" s="87">
        <v>3.242048</v>
      </c>
      <c r="AF617" s="87">
        <v>5.10822</v>
      </c>
      <c r="AG617" s="87">
        <v>5.437323</v>
      </c>
      <c r="AH617" s="87">
        <v>0.0</v>
      </c>
      <c r="AI617" s="87">
        <v>3.424101</v>
      </c>
      <c r="AJ617" s="87">
        <v>1.863473</v>
      </c>
      <c r="AK617" s="87">
        <v>2.220125</v>
      </c>
      <c r="AL617" s="88" t="s">
        <v>1396</v>
      </c>
    </row>
    <row r="618">
      <c r="A618" s="84" t="s">
        <v>2181</v>
      </c>
      <c r="B618" s="84" t="s">
        <v>2217</v>
      </c>
      <c r="C618" s="84" t="s">
        <v>393</v>
      </c>
      <c r="D618" s="84" t="s">
        <v>419</v>
      </c>
      <c r="E618" s="84" t="s">
        <v>1400</v>
      </c>
      <c r="F618" s="87">
        <v>5.0</v>
      </c>
      <c r="G618" s="87">
        <v>0.0</v>
      </c>
      <c r="H618" s="87">
        <v>487.0</v>
      </c>
      <c r="I618" s="87">
        <v>0.0</v>
      </c>
      <c r="J618" s="87">
        <v>4.304906</v>
      </c>
      <c r="K618" s="87">
        <v>4.621029</v>
      </c>
      <c r="L618" s="87">
        <v>4.876366</v>
      </c>
      <c r="M618" s="87">
        <v>1.943014</v>
      </c>
      <c r="N618" s="87">
        <v>0.420472</v>
      </c>
      <c r="O618" s="87">
        <v>0.0</v>
      </c>
      <c r="P618" s="87">
        <v>0.0</v>
      </c>
      <c r="Q618" s="87">
        <v>0.0</v>
      </c>
      <c r="R618" s="87">
        <v>1.158824</v>
      </c>
      <c r="S618" s="87">
        <v>1.519192</v>
      </c>
      <c r="T618" s="87">
        <v>1.158824</v>
      </c>
      <c r="U618" s="87">
        <v>1.158824</v>
      </c>
      <c r="V618" s="87">
        <v>1.158824</v>
      </c>
      <c r="W618" s="87">
        <v>1.519192</v>
      </c>
      <c r="X618" s="87">
        <v>1.943014</v>
      </c>
      <c r="Y618" s="87">
        <v>0.924206</v>
      </c>
      <c r="Z618" s="87">
        <v>0.0</v>
      </c>
      <c r="AA618" s="87">
        <v>4.044399</v>
      </c>
      <c r="AB618" s="87">
        <v>1.403849</v>
      </c>
      <c r="AC618" s="87">
        <v>0.924206</v>
      </c>
      <c r="AD618" s="87">
        <v>1.503895</v>
      </c>
      <c r="AE618" s="87">
        <v>2.043666</v>
      </c>
      <c r="AF618" s="87">
        <v>2.858365</v>
      </c>
      <c r="AG618" s="87">
        <v>2.088727</v>
      </c>
      <c r="AH618" s="87">
        <v>0.0</v>
      </c>
      <c r="AI618" s="87">
        <v>3.424101</v>
      </c>
      <c r="AJ618" s="87">
        <v>1.863473</v>
      </c>
      <c r="AK618" s="87">
        <v>2.220125</v>
      </c>
      <c r="AL618" s="88" t="s">
        <v>1396</v>
      </c>
    </row>
    <row r="619">
      <c r="A619" s="84" t="s">
        <v>2190</v>
      </c>
      <c r="B619" s="84" t="s">
        <v>2218</v>
      </c>
      <c r="C619" s="84" t="s">
        <v>393</v>
      </c>
      <c r="D619" s="84" t="s">
        <v>419</v>
      </c>
      <c r="E619" s="89">
        <v>46300.0</v>
      </c>
      <c r="F619" s="87">
        <v>13.0</v>
      </c>
      <c r="G619" s="87">
        <v>0.0</v>
      </c>
      <c r="H619" s="87">
        <v>0.0</v>
      </c>
      <c r="I619" s="87">
        <v>0.0</v>
      </c>
      <c r="J619" s="87">
        <v>0.25</v>
      </c>
      <c r="K619" s="87">
        <v>2.198352</v>
      </c>
      <c r="L619" s="87">
        <v>12.12919</v>
      </c>
      <c r="M619" s="87">
        <v>2.198352</v>
      </c>
      <c r="N619" s="87">
        <v>1.0</v>
      </c>
      <c r="O619" s="87">
        <v>0.0</v>
      </c>
      <c r="P619" s="87">
        <v>0.0</v>
      </c>
      <c r="Q619" s="87">
        <v>0.0</v>
      </c>
      <c r="R619" s="87">
        <v>0.0</v>
      </c>
      <c r="S619" s="87">
        <v>0.0</v>
      </c>
      <c r="T619" s="87">
        <v>0.198352</v>
      </c>
      <c r="U619" s="87">
        <v>0.198352</v>
      </c>
      <c r="V619" s="87">
        <v>0.198352</v>
      </c>
      <c r="W619" s="87">
        <v>2.0</v>
      </c>
      <c r="X619" s="87">
        <v>2.0</v>
      </c>
      <c r="Y619" s="87">
        <v>0.169104</v>
      </c>
      <c r="Z619" s="87">
        <v>0.0</v>
      </c>
      <c r="AA619" s="87">
        <v>4.044399</v>
      </c>
      <c r="AB619" s="87">
        <v>1.403849</v>
      </c>
      <c r="AC619" s="87">
        <v>0.924206</v>
      </c>
      <c r="AD619" s="87">
        <v>0.0</v>
      </c>
      <c r="AE619" s="87">
        <v>13.57639</v>
      </c>
      <c r="AF619" s="87">
        <v>6.403852</v>
      </c>
      <c r="AG619" s="87">
        <v>4.081619</v>
      </c>
      <c r="AH619" s="87">
        <v>0.0</v>
      </c>
      <c r="AI619" s="87">
        <v>3.424101</v>
      </c>
      <c r="AJ619" s="87">
        <v>1.863473</v>
      </c>
      <c r="AK619" s="87">
        <v>2.220125</v>
      </c>
      <c r="AL619" s="88" t="s">
        <v>1396</v>
      </c>
    </row>
    <row r="620">
      <c r="A620" s="84" t="s">
        <v>2183</v>
      </c>
      <c r="B620" s="84" t="s">
        <v>2219</v>
      </c>
      <c r="C620" s="84" t="s">
        <v>393</v>
      </c>
      <c r="D620" s="84" t="s">
        <v>419</v>
      </c>
      <c r="E620" s="84" t="s">
        <v>1403</v>
      </c>
      <c r="F620" s="87">
        <v>88.0</v>
      </c>
      <c r="G620" s="87">
        <v>6.0</v>
      </c>
      <c r="H620" s="87">
        <v>566.0</v>
      </c>
      <c r="I620" s="87">
        <v>566.0</v>
      </c>
      <c r="J620" s="87">
        <v>0.0</v>
      </c>
      <c r="K620" s="87">
        <v>0.0</v>
      </c>
      <c r="L620" s="87">
        <v>0.0</v>
      </c>
      <c r="M620" s="87">
        <v>0.0</v>
      </c>
      <c r="N620" s="87">
        <v>0.0</v>
      </c>
      <c r="O620" s="87">
        <v>0.0</v>
      </c>
      <c r="P620" s="87">
        <v>0.0</v>
      </c>
      <c r="Q620" s="87">
        <v>0.0</v>
      </c>
      <c r="R620" s="87">
        <v>0.0</v>
      </c>
      <c r="S620" s="87">
        <v>0.0</v>
      </c>
      <c r="T620" s="87">
        <v>0.0</v>
      </c>
      <c r="U620" s="87">
        <v>0.0</v>
      </c>
      <c r="V620" s="87">
        <v>0.0</v>
      </c>
      <c r="W620" s="87">
        <v>0.0</v>
      </c>
      <c r="X620" s="87">
        <v>0.0</v>
      </c>
      <c r="Y620" s="87">
        <v>0.0</v>
      </c>
      <c r="Z620" s="87">
        <v>0.0</v>
      </c>
      <c r="AA620" s="87">
        <v>4.044399</v>
      </c>
      <c r="AB620" s="87">
        <v>1.403849</v>
      </c>
      <c r="AC620" s="87">
        <v>0.924206</v>
      </c>
      <c r="AD620" s="87">
        <v>0.0</v>
      </c>
      <c r="AE620" s="87">
        <v>0.0</v>
      </c>
      <c r="AF620" s="87">
        <v>0.0</v>
      </c>
      <c r="AG620" s="87">
        <v>0.0</v>
      </c>
      <c r="AH620" s="87">
        <v>0.0</v>
      </c>
      <c r="AI620" s="87">
        <v>3.424101</v>
      </c>
      <c r="AJ620" s="87">
        <v>1.863473</v>
      </c>
      <c r="AK620" s="87">
        <v>2.220125</v>
      </c>
      <c r="AL620" s="88" t="s">
        <v>1396</v>
      </c>
    </row>
    <row r="621">
      <c r="A621" s="84" t="s">
        <v>2185</v>
      </c>
      <c r="B621" s="84" t="s">
        <v>2220</v>
      </c>
      <c r="C621" s="84" t="s">
        <v>393</v>
      </c>
      <c r="D621" s="84" t="s">
        <v>416</v>
      </c>
      <c r="E621" s="84" t="s">
        <v>1426</v>
      </c>
      <c r="F621" s="87">
        <v>4.0</v>
      </c>
      <c r="G621" s="87">
        <v>0.0</v>
      </c>
      <c r="H621" s="87">
        <v>3201.0</v>
      </c>
      <c r="I621" s="87">
        <v>0.0</v>
      </c>
      <c r="J621" s="87">
        <v>33.10107</v>
      </c>
      <c r="K621" s="87">
        <v>36.20135</v>
      </c>
      <c r="L621" s="87">
        <v>38.06863</v>
      </c>
      <c r="M621" s="87">
        <v>15.863</v>
      </c>
      <c r="N621" s="87">
        <v>0.438188</v>
      </c>
      <c r="O621" s="87">
        <v>0.0</v>
      </c>
      <c r="P621" s="87">
        <v>0.0</v>
      </c>
      <c r="Q621" s="87">
        <v>5.910741</v>
      </c>
      <c r="R621" s="87">
        <v>14.42761</v>
      </c>
      <c r="S621" s="87">
        <v>14.42761</v>
      </c>
      <c r="T621" s="87">
        <v>5.910741</v>
      </c>
      <c r="U621" s="87">
        <v>5.910741</v>
      </c>
      <c r="V621" s="87">
        <v>5.910741</v>
      </c>
      <c r="W621" s="87">
        <v>14.42761</v>
      </c>
      <c r="X621" s="87">
        <v>15.863</v>
      </c>
      <c r="Y621" s="87">
        <v>9.050337</v>
      </c>
      <c r="Z621" s="87">
        <v>4.980479</v>
      </c>
      <c r="AA621" s="87">
        <v>6.427363</v>
      </c>
      <c r="AB621" s="87">
        <v>10.00302</v>
      </c>
      <c r="AC621" s="87">
        <v>9.050337</v>
      </c>
      <c r="AD621" s="87">
        <v>0.0</v>
      </c>
      <c r="AE621" s="87">
        <v>15.863</v>
      </c>
      <c r="AF621" s="87">
        <v>4.466136</v>
      </c>
      <c r="AG621" s="87">
        <v>0.0</v>
      </c>
      <c r="AH621" s="87">
        <v>0.0</v>
      </c>
      <c r="AI621" s="87">
        <v>3.424101</v>
      </c>
      <c r="AJ621" s="87">
        <v>1.863473</v>
      </c>
      <c r="AK621" s="87">
        <v>2.220125</v>
      </c>
      <c r="AL621" s="88" t="s">
        <v>1396</v>
      </c>
    </row>
    <row r="622">
      <c r="A622" s="84" t="s">
        <v>2174</v>
      </c>
      <c r="B622" s="84" t="s">
        <v>2221</v>
      </c>
      <c r="C622" s="84" t="s">
        <v>393</v>
      </c>
      <c r="D622" s="84" t="s">
        <v>416</v>
      </c>
      <c r="E622" s="86">
        <v>46310.0</v>
      </c>
      <c r="F622" s="87">
        <v>14.0</v>
      </c>
      <c r="G622" s="87">
        <v>0.0</v>
      </c>
      <c r="H622" s="87">
        <v>10458.0</v>
      </c>
      <c r="I622" s="87">
        <v>0.0</v>
      </c>
      <c r="J622" s="87">
        <v>112.4889</v>
      </c>
      <c r="K622" s="87">
        <v>126.726</v>
      </c>
      <c r="L622" s="87">
        <v>139.2924</v>
      </c>
      <c r="M622" s="87">
        <v>63.45762</v>
      </c>
      <c r="N622" s="87">
        <v>0.500747</v>
      </c>
      <c r="O622" s="87">
        <v>0.0</v>
      </c>
      <c r="P622" s="87">
        <v>0.371324</v>
      </c>
      <c r="Q622" s="87">
        <v>4.350785</v>
      </c>
      <c r="R622" s="87">
        <v>7.102505</v>
      </c>
      <c r="S622" s="87">
        <v>12.26261</v>
      </c>
      <c r="T622" s="87">
        <v>3.36859</v>
      </c>
      <c r="U622" s="87">
        <v>4.350785</v>
      </c>
      <c r="V622" s="87">
        <v>5.479722</v>
      </c>
      <c r="W622" s="87">
        <v>10.81726</v>
      </c>
      <c r="X622" s="87">
        <v>13.86535</v>
      </c>
      <c r="Y622" s="87">
        <v>9.051854</v>
      </c>
      <c r="Z622" s="87">
        <v>4.980479</v>
      </c>
      <c r="AA622" s="87">
        <v>6.427363</v>
      </c>
      <c r="AB622" s="87">
        <v>10.00302</v>
      </c>
      <c r="AC622" s="87">
        <v>9.050337</v>
      </c>
      <c r="AD622" s="87">
        <v>1.466667</v>
      </c>
      <c r="AE622" s="87">
        <v>5.650186</v>
      </c>
      <c r="AF622" s="87">
        <v>4.970648</v>
      </c>
      <c r="AG622" s="87">
        <v>3.187063</v>
      </c>
      <c r="AH622" s="87">
        <v>0.0</v>
      </c>
      <c r="AI622" s="87">
        <v>3.424101</v>
      </c>
      <c r="AJ622" s="87">
        <v>1.863473</v>
      </c>
      <c r="AK622" s="87">
        <v>2.220125</v>
      </c>
      <c r="AL622" s="88" t="s">
        <v>1396</v>
      </c>
    </row>
    <row r="623">
      <c r="A623" s="84" t="s">
        <v>2177</v>
      </c>
      <c r="B623" s="84" t="s">
        <v>2222</v>
      </c>
      <c r="C623" s="84" t="s">
        <v>393</v>
      </c>
      <c r="D623" s="84" t="s">
        <v>416</v>
      </c>
      <c r="E623" s="84" t="s">
        <v>1413</v>
      </c>
      <c r="F623" s="87">
        <v>15.0</v>
      </c>
      <c r="G623" s="87">
        <v>0.0</v>
      </c>
      <c r="H623" s="87">
        <v>17391.0</v>
      </c>
      <c r="I623" s="87">
        <v>0.0</v>
      </c>
      <c r="J623" s="87">
        <v>165.4873</v>
      </c>
      <c r="K623" s="87">
        <v>172.3628</v>
      </c>
      <c r="L623" s="87">
        <v>192.5652</v>
      </c>
      <c r="M623" s="87">
        <v>121.3775</v>
      </c>
      <c r="N623" s="87">
        <v>0.704198</v>
      </c>
      <c r="O623" s="87">
        <v>0.0</v>
      </c>
      <c r="P623" s="87">
        <v>1.407558</v>
      </c>
      <c r="Q623" s="87">
        <v>1.754463</v>
      </c>
      <c r="R623" s="87">
        <v>3.067358</v>
      </c>
      <c r="S623" s="87">
        <v>8.037046</v>
      </c>
      <c r="T623" s="87">
        <v>1.407558</v>
      </c>
      <c r="U623" s="87">
        <v>1.754463</v>
      </c>
      <c r="V623" s="87">
        <v>1.785525</v>
      </c>
      <c r="W623" s="87">
        <v>3.315106</v>
      </c>
      <c r="X623" s="87">
        <v>23.29226</v>
      </c>
      <c r="Y623" s="87">
        <v>11.49085</v>
      </c>
      <c r="Z623" s="87">
        <v>4.980479</v>
      </c>
      <c r="AA623" s="87">
        <v>6.427363</v>
      </c>
      <c r="AB623" s="87">
        <v>10.00302</v>
      </c>
      <c r="AC623" s="87">
        <v>9.050337</v>
      </c>
      <c r="AD623" s="87">
        <v>2.714263</v>
      </c>
      <c r="AE623" s="87">
        <v>3.315106</v>
      </c>
      <c r="AF623" s="87">
        <v>5.962422</v>
      </c>
      <c r="AG623" s="87">
        <v>4.11386</v>
      </c>
      <c r="AH623" s="87">
        <v>0.0</v>
      </c>
      <c r="AI623" s="87">
        <v>3.424101</v>
      </c>
      <c r="AJ623" s="87">
        <v>1.863473</v>
      </c>
      <c r="AK623" s="87">
        <v>2.220125</v>
      </c>
      <c r="AL623" s="88" t="s">
        <v>1396</v>
      </c>
    </row>
    <row r="624">
      <c r="A624" s="84" t="s">
        <v>2179</v>
      </c>
      <c r="B624" s="84" t="s">
        <v>2223</v>
      </c>
      <c r="C624" s="84" t="s">
        <v>393</v>
      </c>
      <c r="D624" s="84" t="s">
        <v>416</v>
      </c>
      <c r="E624" s="84" t="s">
        <v>1398</v>
      </c>
      <c r="F624" s="87">
        <v>6.0</v>
      </c>
      <c r="G624" s="87">
        <v>0.0</v>
      </c>
      <c r="H624" s="87">
        <v>3640.0</v>
      </c>
      <c r="I624" s="87">
        <v>0.0</v>
      </c>
      <c r="J624" s="87">
        <v>30.99666</v>
      </c>
      <c r="K624" s="87">
        <v>34.73841</v>
      </c>
      <c r="L624" s="87">
        <v>40.41614</v>
      </c>
      <c r="M624" s="87">
        <v>20.9096</v>
      </c>
      <c r="N624" s="87">
        <v>0.601916</v>
      </c>
      <c r="O624" s="87">
        <v>0.0</v>
      </c>
      <c r="P624" s="87">
        <v>3.643</v>
      </c>
      <c r="Q624" s="87">
        <v>3.643</v>
      </c>
      <c r="R624" s="87">
        <v>6.311311</v>
      </c>
      <c r="S624" s="87">
        <v>7.283431</v>
      </c>
      <c r="T624" s="87">
        <v>3.643</v>
      </c>
      <c r="U624" s="87">
        <v>3.874506</v>
      </c>
      <c r="V624" s="87">
        <v>3.874506</v>
      </c>
      <c r="W624" s="87">
        <v>6.311311</v>
      </c>
      <c r="X624" s="87">
        <v>7.283431</v>
      </c>
      <c r="Y624" s="87">
        <v>5.789736</v>
      </c>
      <c r="Z624" s="87">
        <v>4.980479</v>
      </c>
      <c r="AA624" s="87">
        <v>6.427363</v>
      </c>
      <c r="AB624" s="87">
        <v>10.00302</v>
      </c>
      <c r="AC624" s="87">
        <v>9.050337</v>
      </c>
      <c r="AD624" s="87">
        <v>1.931258</v>
      </c>
      <c r="AE624" s="87">
        <v>3.242048</v>
      </c>
      <c r="AF624" s="87">
        <v>5.10822</v>
      </c>
      <c r="AG624" s="87">
        <v>5.437323</v>
      </c>
      <c r="AH624" s="87">
        <v>0.0</v>
      </c>
      <c r="AI624" s="87">
        <v>3.424101</v>
      </c>
      <c r="AJ624" s="87">
        <v>1.863473</v>
      </c>
      <c r="AK624" s="87">
        <v>2.220125</v>
      </c>
      <c r="AL624" s="88" t="s">
        <v>1396</v>
      </c>
    </row>
    <row r="625">
      <c r="A625" s="84" t="s">
        <v>2181</v>
      </c>
      <c r="B625" s="84" t="s">
        <v>2224</v>
      </c>
      <c r="C625" s="84" t="s">
        <v>393</v>
      </c>
      <c r="D625" s="84" t="s">
        <v>416</v>
      </c>
      <c r="E625" s="84" t="s">
        <v>1400</v>
      </c>
      <c r="F625" s="87">
        <v>1.0</v>
      </c>
      <c r="G625" s="87">
        <v>0.0</v>
      </c>
      <c r="H625" s="87">
        <v>364.0</v>
      </c>
      <c r="I625" s="87">
        <v>0.0</v>
      </c>
      <c r="J625" s="87">
        <v>1.785714</v>
      </c>
      <c r="K625" s="87">
        <v>1.943014</v>
      </c>
      <c r="L625" s="87">
        <v>2.335186</v>
      </c>
      <c r="M625" s="87">
        <v>1.943014</v>
      </c>
      <c r="N625" s="87">
        <v>1.0</v>
      </c>
      <c r="O625" s="87">
        <v>1.943014</v>
      </c>
      <c r="P625" s="87">
        <v>1.943014</v>
      </c>
      <c r="Q625" s="87">
        <v>1.943014</v>
      </c>
      <c r="R625" s="87">
        <v>1.943014</v>
      </c>
      <c r="S625" s="87">
        <v>1.943014</v>
      </c>
      <c r="T625" s="87">
        <v>1.943014</v>
      </c>
      <c r="U625" s="87">
        <v>1.943014</v>
      </c>
      <c r="V625" s="87">
        <v>1.943014</v>
      </c>
      <c r="W625" s="87">
        <v>1.943014</v>
      </c>
      <c r="X625" s="87">
        <v>1.943014</v>
      </c>
      <c r="Y625" s="87">
        <v>1.943014</v>
      </c>
      <c r="Z625" s="87">
        <v>4.980479</v>
      </c>
      <c r="AA625" s="87">
        <v>6.427363</v>
      </c>
      <c r="AB625" s="87">
        <v>10.00302</v>
      </c>
      <c r="AC625" s="87">
        <v>9.050337</v>
      </c>
      <c r="AD625" s="87">
        <v>1.503895</v>
      </c>
      <c r="AE625" s="87">
        <v>2.043666</v>
      </c>
      <c r="AF625" s="87">
        <v>2.858365</v>
      </c>
      <c r="AG625" s="87">
        <v>2.088727</v>
      </c>
      <c r="AH625" s="87">
        <v>0.0</v>
      </c>
      <c r="AI625" s="87">
        <v>3.424101</v>
      </c>
      <c r="AJ625" s="87">
        <v>1.863473</v>
      </c>
      <c r="AK625" s="87">
        <v>2.220125</v>
      </c>
      <c r="AL625" s="88" t="s">
        <v>1396</v>
      </c>
    </row>
    <row r="626">
      <c r="A626" s="84" t="s">
        <v>2190</v>
      </c>
      <c r="B626" s="84" t="s">
        <v>2225</v>
      </c>
      <c r="C626" s="84" t="s">
        <v>393</v>
      </c>
      <c r="D626" s="84" t="s">
        <v>416</v>
      </c>
      <c r="E626" s="89">
        <v>46300.0</v>
      </c>
      <c r="F626" s="87">
        <v>21.0</v>
      </c>
      <c r="G626" s="87">
        <v>0.0</v>
      </c>
      <c r="H626" s="87">
        <v>24593.0</v>
      </c>
      <c r="I626" s="87">
        <v>0.0</v>
      </c>
      <c r="J626" s="87">
        <v>293.7937</v>
      </c>
      <c r="K626" s="87">
        <v>298.2305</v>
      </c>
      <c r="L626" s="87">
        <v>316.3834</v>
      </c>
      <c r="M626" s="87">
        <v>202.06</v>
      </c>
      <c r="N626" s="87">
        <v>0.67753</v>
      </c>
      <c r="O626" s="87">
        <v>0.0</v>
      </c>
      <c r="P626" s="87">
        <v>0.736877</v>
      </c>
      <c r="Q626" s="87">
        <v>2.0</v>
      </c>
      <c r="R626" s="87">
        <v>5.987889</v>
      </c>
      <c r="S626" s="87">
        <v>17.8587</v>
      </c>
      <c r="T626" s="87">
        <v>0.887081</v>
      </c>
      <c r="U626" s="87">
        <v>3.46927</v>
      </c>
      <c r="V626" s="87">
        <v>5.128999</v>
      </c>
      <c r="W626" s="87">
        <v>13.57639</v>
      </c>
      <c r="X626" s="87">
        <v>20.30525</v>
      </c>
      <c r="Y626" s="87">
        <v>14.20145</v>
      </c>
      <c r="Z626" s="87">
        <v>4.980479</v>
      </c>
      <c r="AA626" s="87">
        <v>6.427363</v>
      </c>
      <c r="AB626" s="87">
        <v>10.00302</v>
      </c>
      <c r="AC626" s="87">
        <v>9.050337</v>
      </c>
      <c r="AD626" s="87">
        <v>0.0</v>
      </c>
      <c r="AE626" s="87">
        <v>13.57639</v>
      </c>
      <c r="AF626" s="87">
        <v>6.403852</v>
      </c>
      <c r="AG626" s="87">
        <v>4.081619</v>
      </c>
      <c r="AH626" s="87">
        <v>0.0</v>
      </c>
      <c r="AI626" s="87">
        <v>3.424101</v>
      </c>
      <c r="AJ626" s="87">
        <v>1.863473</v>
      </c>
      <c r="AK626" s="87">
        <v>2.220125</v>
      </c>
      <c r="AL626" s="88" t="s">
        <v>1396</v>
      </c>
    </row>
    <row r="627">
      <c r="A627" s="84" t="s">
        <v>2183</v>
      </c>
      <c r="B627" s="84" t="s">
        <v>2226</v>
      </c>
      <c r="C627" s="84" t="s">
        <v>393</v>
      </c>
      <c r="D627" s="84" t="s">
        <v>416</v>
      </c>
      <c r="E627" s="84" t="s">
        <v>1403</v>
      </c>
      <c r="F627" s="87">
        <v>6.0</v>
      </c>
      <c r="G627" s="87">
        <v>0.0</v>
      </c>
      <c r="H627" s="87">
        <v>0.0</v>
      </c>
      <c r="I627" s="87">
        <v>0.0</v>
      </c>
      <c r="J627" s="87">
        <v>0.0</v>
      </c>
      <c r="K627" s="87">
        <v>0.0</v>
      </c>
      <c r="L627" s="87">
        <v>0.0</v>
      </c>
      <c r="M627" s="87">
        <v>0.0</v>
      </c>
      <c r="N627" s="87">
        <v>0.0</v>
      </c>
      <c r="O627" s="87">
        <v>0.0</v>
      </c>
      <c r="P627" s="87">
        <v>0.0</v>
      </c>
      <c r="Q627" s="87">
        <v>0.0</v>
      </c>
      <c r="R627" s="87">
        <v>0.0</v>
      </c>
      <c r="S627" s="87">
        <v>0.0</v>
      </c>
      <c r="T627" s="87">
        <v>0.0</v>
      </c>
      <c r="U627" s="87">
        <v>0.0</v>
      </c>
      <c r="V627" s="87">
        <v>0.0</v>
      </c>
      <c r="W627" s="87">
        <v>0.0</v>
      </c>
      <c r="X627" s="87">
        <v>0.0</v>
      </c>
      <c r="Y627" s="87">
        <v>0.0</v>
      </c>
      <c r="Z627" s="87">
        <v>4.980479</v>
      </c>
      <c r="AA627" s="87">
        <v>6.427363</v>
      </c>
      <c r="AB627" s="87">
        <v>10.00302</v>
      </c>
      <c r="AC627" s="87">
        <v>9.050337</v>
      </c>
      <c r="AD627" s="87">
        <v>0.0</v>
      </c>
      <c r="AE627" s="87">
        <v>0.0</v>
      </c>
      <c r="AF627" s="87">
        <v>0.0</v>
      </c>
      <c r="AG627" s="87">
        <v>0.0</v>
      </c>
      <c r="AH627" s="87">
        <v>0.0</v>
      </c>
      <c r="AI627" s="87">
        <v>3.424101</v>
      </c>
      <c r="AJ627" s="87">
        <v>1.863473</v>
      </c>
      <c r="AK627" s="87">
        <v>2.220125</v>
      </c>
      <c r="AL627" s="88" t="s">
        <v>1396</v>
      </c>
    </row>
    <row r="628">
      <c r="A628" s="84" t="s">
        <v>2185</v>
      </c>
      <c r="B628" s="84" t="s">
        <v>2227</v>
      </c>
      <c r="C628" s="84" t="s">
        <v>393</v>
      </c>
      <c r="D628" s="84" t="s">
        <v>2228</v>
      </c>
      <c r="E628" s="84" t="s">
        <v>1426</v>
      </c>
      <c r="F628" s="87">
        <v>9.0</v>
      </c>
      <c r="G628" s="87">
        <v>0.0</v>
      </c>
      <c r="H628" s="87">
        <v>0.0</v>
      </c>
      <c r="I628" s="87">
        <v>0.0</v>
      </c>
      <c r="J628" s="87">
        <v>0.0</v>
      </c>
      <c r="K628" s="87">
        <v>0.0</v>
      </c>
      <c r="L628" s="87">
        <v>0.0</v>
      </c>
      <c r="M628" s="87">
        <v>0.0</v>
      </c>
      <c r="N628" s="87">
        <v>0.0</v>
      </c>
      <c r="O628" s="87">
        <v>0.0</v>
      </c>
      <c r="P628" s="87">
        <v>0.0</v>
      </c>
      <c r="Q628" s="87">
        <v>0.0</v>
      </c>
      <c r="R628" s="87">
        <v>0.0</v>
      </c>
      <c r="S628" s="87">
        <v>0.0</v>
      </c>
      <c r="T628" s="87">
        <v>0.0</v>
      </c>
      <c r="U628" s="87">
        <v>0.0</v>
      </c>
      <c r="V628" s="87">
        <v>0.0</v>
      </c>
      <c r="W628" s="87">
        <v>0.0</v>
      </c>
      <c r="X628" s="87">
        <v>0.0</v>
      </c>
      <c r="Y628" s="87">
        <v>0.0</v>
      </c>
      <c r="Z628" s="87">
        <v>0.0</v>
      </c>
      <c r="AA628" s="87">
        <v>2.019419</v>
      </c>
      <c r="AB628" s="87">
        <v>1.071947</v>
      </c>
      <c r="AC628" s="87">
        <v>1.244532</v>
      </c>
      <c r="AD628" s="87">
        <v>0.0</v>
      </c>
      <c r="AE628" s="87">
        <v>15.863</v>
      </c>
      <c r="AF628" s="87">
        <v>4.466136</v>
      </c>
      <c r="AG628" s="87">
        <v>0.0</v>
      </c>
      <c r="AH628" s="87">
        <v>0.0</v>
      </c>
      <c r="AI628" s="87">
        <v>3.424101</v>
      </c>
      <c r="AJ628" s="87">
        <v>1.863473</v>
      </c>
      <c r="AK628" s="87">
        <v>2.220125</v>
      </c>
      <c r="AL628" s="88" t="s">
        <v>1396</v>
      </c>
    </row>
    <row r="629">
      <c r="A629" s="84" t="s">
        <v>2174</v>
      </c>
      <c r="B629" s="84" t="s">
        <v>2229</v>
      </c>
      <c r="C629" s="84" t="s">
        <v>393</v>
      </c>
      <c r="D629" s="84" t="s">
        <v>2228</v>
      </c>
      <c r="E629" s="86">
        <v>46310.0</v>
      </c>
      <c r="F629" s="87">
        <v>20.0</v>
      </c>
      <c r="G629" s="87">
        <v>0.0</v>
      </c>
      <c r="H629" s="87">
        <v>2891.0</v>
      </c>
      <c r="I629" s="87">
        <v>0.0</v>
      </c>
      <c r="J629" s="87">
        <v>21.34788</v>
      </c>
      <c r="K629" s="87">
        <v>24.89063</v>
      </c>
      <c r="L629" s="87">
        <v>26.29687</v>
      </c>
      <c r="M629" s="87">
        <v>21.117</v>
      </c>
      <c r="N629" s="87">
        <v>0.848391</v>
      </c>
      <c r="O629" s="87">
        <v>0.0</v>
      </c>
      <c r="P629" s="87">
        <v>0.0</v>
      </c>
      <c r="Q629" s="87">
        <v>0.0</v>
      </c>
      <c r="R629" s="87">
        <v>0.0</v>
      </c>
      <c r="S629" s="87">
        <v>1.466667</v>
      </c>
      <c r="T629" s="87">
        <v>0.085145</v>
      </c>
      <c r="U629" s="87">
        <v>0.251166</v>
      </c>
      <c r="V629" s="87">
        <v>1.466667</v>
      </c>
      <c r="W629" s="87">
        <v>2.487285</v>
      </c>
      <c r="X629" s="87">
        <v>3.411768</v>
      </c>
      <c r="Y629" s="87">
        <v>1.244532</v>
      </c>
      <c r="Z629" s="87">
        <v>0.0</v>
      </c>
      <c r="AA629" s="87">
        <v>2.019419</v>
      </c>
      <c r="AB629" s="87">
        <v>1.071947</v>
      </c>
      <c r="AC629" s="87">
        <v>1.244532</v>
      </c>
      <c r="AD629" s="87">
        <v>1.466667</v>
      </c>
      <c r="AE629" s="87">
        <v>5.650186</v>
      </c>
      <c r="AF629" s="87">
        <v>4.970648</v>
      </c>
      <c r="AG629" s="87">
        <v>3.187063</v>
      </c>
      <c r="AH629" s="87">
        <v>0.0</v>
      </c>
      <c r="AI629" s="87">
        <v>3.424101</v>
      </c>
      <c r="AJ629" s="87">
        <v>1.863473</v>
      </c>
      <c r="AK629" s="87">
        <v>2.220125</v>
      </c>
      <c r="AL629" s="88" t="s">
        <v>1396</v>
      </c>
    </row>
    <row r="630">
      <c r="A630" s="84" t="s">
        <v>2177</v>
      </c>
      <c r="B630" s="84" t="s">
        <v>2230</v>
      </c>
      <c r="C630" s="84" t="s">
        <v>393</v>
      </c>
      <c r="D630" s="84" t="s">
        <v>2228</v>
      </c>
      <c r="E630" s="84" t="s">
        <v>1413</v>
      </c>
      <c r="F630" s="87">
        <v>8.0</v>
      </c>
      <c r="G630" s="87">
        <v>0.0</v>
      </c>
      <c r="H630" s="87">
        <v>344.0</v>
      </c>
      <c r="I630" s="87">
        <v>0.0</v>
      </c>
      <c r="J630" s="87">
        <v>6.27265</v>
      </c>
      <c r="K630" s="87">
        <v>9.554524</v>
      </c>
      <c r="L630" s="87">
        <v>6.887878</v>
      </c>
      <c r="M630" s="87">
        <v>8.554524</v>
      </c>
      <c r="N630" s="87">
        <v>0.895338</v>
      </c>
      <c r="O630" s="87">
        <v>0.0</v>
      </c>
      <c r="P630" s="87">
        <v>0.0</v>
      </c>
      <c r="Q630" s="87">
        <v>0.0</v>
      </c>
      <c r="R630" s="87">
        <v>0.0</v>
      </c>
      <c r="S630" s="87">
        <v>1.0</v>
      </c>
      <c r="T630" s="87">
        <v>1.0</v>
      </c>
      <c r="U630" s="87">
        <v>1.0</v>
      </c>
      <c r="V630" s="87">
        <v>1.0</v>
      </c>
      <c r="W630" s="87">
        <v>2.877106</v>
      </c>
      <c r="X630" s="87">
        <v>5.677418</v>
      </c>
      <c r="Y630" s="87">
        <v>1.194316</v>
      </c>
      <c r="Z630" s="87">
        <v>0.0</v>
      </c>
      <c r="AA630" s="87">
        <v>2.019419</v>
      </c>
      <c r="AB630" s="87">
        <v>1.071947</v>
      </c>
      <c r="AC630" s="87">
        <v>1.244532</v>
      </c>
      <c r="AD630" s="87">
        <v>2.714263</v>
      </c>
      <c r="AE630" s="87">
        <v>3.315106</v>
      </c>
      <c r="AF630" s="87">
        <v>5.962422</v>
      </c>
      <c r="AG630" s="87">
        <v>4.11386</v>
      </c>
      <c r="AH630" s="87">
        <v>0.0</v>
      </c>
      <c r="AI630" s="87">
        <v>3.424101</v>
      </c>
      <c r="AJ630" s="87">
        <v>1.863473</v>
      </c>
      <c r="AK630" s="87">
        <v>2.220125</v>
      </c>
      <c r="AL630" s="88" t="s">
        <v>1396</v>
      </c>
    </row>
    <row r="631">
      <c r="A631" s="84" t="s">
        <v>2179</v>
      </c>
      <c r="B631" s="84" t="s">
        <v>2231</v>
      </c>
      <c r="C631" s="84" t="s">
        <v>393</v>
      </c>
      <c r="D631" s="84" t="s">
        <v>2228</v>
      </c>
      <c r="E631" s="84" t="s">
        <v>1398</v>
      </c>
      <c r="F631" s="87">
        <v>21.0</v>
      </c>
      <c r="G631" s="87">
        <v>0.0</v>
      </c>
      <c r="H631" s="87">
        <v>7185.0</v>
      </c>
      <c r="I631" s="87">
        <v>0.0</v>
      </c>
      <c r="J631" s="87">
        <v>94.58792</v>
      </c>
      <c r="K631" s="87">
        <v>86.69658</v>
      </c>
      <c r="L631" s="87">
        <v>93.37477</v>
      </c>
      <c r="M631" s="87">
        <v>72.82306</v>
      </c>
      <c r="N631" s="87">
        <v>0.839976</v>
      </c>
      <c r="O631" s="87">
        <v>0.0</v>
      </c>
      <c r="P631" s="87">
        <v>0.0</v>
      </c>
      <c r="Q631" s="87">
        <v>0.0</v>
      </c>
      <c r="R631" s="87">
        <v>1.006971</v>
      </c>
      <c r="S631" s="87">
        <v>2.019419</v>
      </c>
      <c r="T631" s="87">
        <v>0.848422</v>
      </c>
      <c r="U631" s="87">
        <v>0.933333</v>
      </c>
      <c r="V631" s="87">
        <v>1.751291</v>
      </c>
      <c r="W631" s="87">
        <v>2.019419</v>
      </c>
      <c r="X631" s="87">
        <v>6.30057</v>
      </c>
      <c r="Y631" s="87">
        <v>4.128409</v>
      </c>
      <c r="Z631" s="87">
        <v>0.0</v>
      </c>
      <c r="AA631" s="87">
        <v>2.019419</v>
      </c>
      <c r="AB631" s="87">
        <v>1.071947</v>
      </c>
      <c r="AC631" s="87">
        <v>1.244532</v>
      </c>
      <c r="AD631" s="87">
        <v>1.931258</v>
      </c>
      <c r="AE631" s="87">
        <v>3.242048</v>
      </c>
      <c r="AF631" s="87">
        <v>5.10822</v>
      </c>
      <c r="AG631" s="87">
        <v>5.437323</v>
      </c>
      <c r="AH631" s="87">
        <v>0.0</v>
      </c>
      <c r="AI631" s="87">
        <v>3.424101</v>
      </c>
      <c r="AJ631" s="87">
        <v>1.863473</v>
      </c>
      <c r="AK631" s="87">
        <v>2.220125</v>
      </c>
      <c r="AL631" s="88" t="s">
        <v>1396</v>
      </c>
    </row>
    <row r="632">
      <c r="A632" s="84" t="s">
        <v>2181</v>
      </c>
      <c r="B632" s="84" t="s">
        <v>2232</v>
      </c>
      <c r="C632" s="84" t="s">
        <v>393</v>
      </c>
      <c r="D632" s="84" t="s">
        <v>2228</v>
      </c>
      <c r="E632" s="84" t="s">
        <v>1400</v>
      </c>
      <c r="F632" s="87">
        <v>22.0</v>
      </c>
      <c r="G632" s="87">
        <v>0.0</v>
      </c>
      <c r="H632" s="87">
        <v>5886.0</v>
      </c>
      <c r="I632" s="87">
        <v>0.0</v>
      </c>
      <c r="J632" s="87">
        <v>64.23443</v>
      </c>
      <c r="K632" s="87">
        <v>69.58264</v>
      </c>
      <c r="L632" s="87">
        <v>67.04466</v>
      </c>
      <c r="M632" s="87">
        <v>44.91059</v>
      </c>
      <c r="N632" s="87">
        <v>0.645428</v>
      </c>
      <c r="O632" s="87">
        <v>0.0</v>
      </c>
      <c r="P632" s="87">
        <v>0.0</v>
      </c>
      <c r="Q632" s="87">
        <v>0.533333</v>
      </c>
      <c r="R632" s="87">
        <v>1.967937</v>
      </c>
      <c r="S632" s="87">
        <v>4.332212</v>
      </c>
      <c r="T632" s="87">
        <v>0.533333</v>
      </c>
      <c r="U632" s="87">
        <v>1.371239</v>
      </c>
      <c r="V632" s="87">
        <v>1.484309</v>
      </c>
      <c r="W632" s="87">
        <v>2.784011</v>
      </c>
      <c r="X632" s="87">
        <v>4.335696</v>
      </c>
      <c r="Y632" s="87">
        <v>3.162847</v>
      </c>
      <c r="Z632" s="87">
        <v>0.0</v>
      </c>
      <c r="AA632" s="87">
        <v>2.019419</v>
      </c>
      <c r="AB632" s="87">
        <v>1.071947</v>
      </c>
      <c r="AC632" s="87">
        <v>1.244532</v>
      </c>
      <c r="AD632" s="87">
        <v>1.503895</v>
      </c>
      <c r="AE632" s="87">
        <v>2.043666</v>
      </c>
      <c r="AF632" s="87">
        <v>2.858365</v>
      </c>
      <c r="AG632" s="87">
        <v>2.088727</v>
      </c>
      <c r="AH632" s="87">
        <v>0.0</v>
      </c>
      <c r="AI632" s="87">
        <v>3.424101</v>
      </c>
      <c r="AJ632" s="87">
        <v>1.863473</v>
      </c>
      <c r="AK632" s="87">
        <v>2.220125</v>
      </c>
      <c r="AL632" s="88" t="s">
        <v>1396</v>
      </c>
    </row>
    <row r="633">
      <c r="A633" s="84" t="s">
        <v>2190</v>
      </c>
      <c r="B633" s="84" t="s">
        <v>2233</v>
      </c>
      <c r="C633" s="84" t="s">
        <v>393</v>
      </c>
      <c r="D633" s="84" t="s">
        <v>2228</v>
      </c>
      <c r="E633" s="89">
        <v>46300.0</v>
      </c>
      <c r="F633" s="87">
        <v>10.0</v>
      </c>
      <c r="G633" s="87">
        <v>0.0</v>
      </c>
      <c r="H633" s="87">
        <v>3652.0</v>
      </c>
      <c r="I633" s="87">
        <v>0.0</v>
      </c>
      <c r="J633" s="87">
        <v>39.00268</v>
      </c>
      <c r="K633" s="87">
        <v>40.81619</v>
      </c>
      <c r="L633" s="87">
        <v>51.14869</v>
      </c>
      <c r="M633" s="87">
        <v>40.78286</v>
      </c>
      <c r="N633" s="87">
        <v>0.999183</v>
      </c>
      <c r="O633" s="87">
        <v>0.0</v>
      </c>
      <c r="P633" s="87">
        <v>0.0</v>
      </c>
      <c r="Q633" s="87">
        <v>0.0</v>
      </c>
      <c r="R633" s="87">
        <v>0.0</v>
      </c>
      <c r="S633" s="87">
        <v>0.033333</v>
      </c>
      <c r="T633" s="87">
        <v>0.033333</v>
      </c>
      <c r="U633" s="87">
        <v>0.033333</v>
      </c>
      <c r="V633" s="87">
        <v>0.033333</v>
      </c>
      <c r="W633" s="87">
        <v>1.478982</v>
      </c>
      <c r="X633" s="87">
        <v>39.30387</v>
      </c>
      <c r="Y633" s="87">
        <v>4.081619</v>
      </c>
      <c r="Z633" s="87">
        <v>0.0</v>
      </c>
      <c r="AA633" s="87">
        <v>2.019419</v>
      </c>
      <c r="AB633" s="87">
        <v>1.071947</v>
      </c>
      <c r="AC633" s="87">
        <v>1.244532</v>
      </c>
      <c r="AD633" s="87">
        <v>0.0</v>
      </c>
      <c r="AE633" s="87">
        <v>13.57639</v>
      </c>
      <c r="AF633" s="87">
        <v>6.403852</v>
      </c>
      <c r="AG633" s="87">
        <v>4.081619</v>
      </c>
      <c r="AH633" s="87">
        <v>0.0</v>
      </c>
      <c r="AI633" s="87">
        <v>3.424101</v>
      </c>
      <c r="AJ633" s="87">
        <v>1.863473</v>
      </c>
      <c r="AK633" s="87">
        <v>2.220125</v>
      </c>
      <c r="AL633" s="88" t="s">
        <v>1396</v>
      </c>
    </row>
    <row r="634">
      <c r="A634" s="84" t="s">
        <v>2183</v>
      </c>
      <c r="B634" s="84" t="s">
        <v>2234</v>
      </c>
      <c r="C634" s="84" t="s">
        <v>393</v>
      </c>
      <c r="D634" s="84" t="s">
        <v>2228</v>
      </c>
      <c r="E634" s="84" t="s">
        <v>1403</v>
      </c>
      <c r="F634" s="87">
        <v>126.0</v>
      </c>
      <c r="G634" s="87">
        <v>3.0</v>
      </c>
      <c r="H634" s="87">
        <v>132.0</v>
      </c>
      <c r="I634" s="87">
        <v>132.0</v>
      </c>
      <c r="J634" s="87">
        <v>0.0</v>
      </c>
      <c r="K634" s="87">
        <v>0.0</v>
      </c>
      <c r="L634" s="87">
        <v>0.0</v>
      </c>
      <c r="M634" s="87">
        <v>0.0</v>
      </c>
      <c r="N634" s="87">
        <v>0.0</v>
      </c>
      <c r="O634" s="87">
        <v>0.0</v>
      </c>
      <c r="P634" s="87">
        <v>0.0</v>
      </c>
      <c r="Q634" s="87">
        <v>0.0</v>
      </c>
      <c r="R634" s="87">
        <v>0.0</v>
      </c>
      <c r="S634" s="87">
        <v>0.0</v>
      </c>
      <c r="T634" s="87">
        <v>0.0</v>
      </c>
      <c r="U634" s="87">
        <v>0.0</v>
      </c>
      <c r="V634" s="87">
        <v>0.0</v>
      </c>
      <c r="W634" s="87">
        <v>0.0</v>
      </c>
      <c r="X634" s="87">
        <v>0.0</v>
      </c>
      <c r="Y634" s="87">
        <v>0.0</v>
      </c>
      <c r="Z634" s="87">
        <v>0.0</v>
      </c>
      <c r="AA634" s="87">
        <v>2.019419</v>
      </c>
      <c r="AB634" s="87">
        <v>1.071947</v>
      </c>
      <c r="AC634" s="87">
        <v>1.244532</v>
      </c>
      <c r="AD634" s="87">
        <v>0.0</v>
      </c>
      <c r="AE634" s="87">
        <v>0.0</v>
      </c>
      <c r="AF634" s="87">
        <v>0.0</v>
      </c>
      <c r="AG634" s="87">
        <v>0.0</v>
      </c>
      <c r="AH634" s="87">
        <v>0.0</v>
      </c>
      <c r="AI634" s="87">
        <v>3.424101</v>
      </c>
      <c r="AJ634" s="87">
        <v>1.863473</v>
      </c>
      <c r="AK634" s="87">
        <v>2.220125</v>
      </c>
      <c r="AL634" s="88" t="s">
        <v>1396</v>
      </c>
    </row>
    <row r="635">
      <c r="A635" s="84" t="s">
        <v>2174</v>
      </c>
      <c r="B635" s="84" t="s">
        <v>2235</v>
      </c>
      <c r="C635" s="84" t="s">
        <v>393</v>
      </c>
      <c r="D635" s="84" t="s">
        <v>2236</v>
      </c>
      <c r="E635" s="89">
        <v>46310.0</v>
      </c>
      <c r="F635" s="87">
        <v>1.0</v>
      </c>
      <c r="G635" s="87">
        <v>0.0</v>
      </c>
      <c r="H635" s="87">
        <v>0.0</v>
      </c>
      <c r="I635" s="87">
        <v>0.0</v>
      </c>
      <c r="J635" s="87">
        <v>0.0</v>
      </c>
      <c r="K635" s="87">
        <v>0.0</v>
      </c>
      <c r="L635" s="87">
        <v>0.5</v>
      </c>
      <c r="M635" s="87">
        <v>0.0</v>
      </c>
      <c r="N635" s="87">
        <v>0.0</v>
      </c>
      <c r="O635" s="87">
        <v>0.0</v>
      </c>
      <c r="P635" s="87">
        <v>0.0</v>
      </c>
      <c r="Q635" s="87">
        <v>0.0</v>
      </c>
      <c r="R635" s="87">
        <v>0.0</v>
      </c>
      <c r="S635" s="87">
        <v>0.0</v>
      </c>
      <c r="T635" s="87">
        <v>0.0</v>
      </c>
      <c r="U635" s="87">
        <v>0.0</v>
      </c>
      <c r="V635" s="87">
        <v>0.0</v>
      </c>
      <c r="W635" s="87">
        <v>0.0</v>
      </c>
      <c r="X635" s="87">
        <v>0.0</v>
      </c>
      <c r="Y635" s="87">
        <v>0.0</v>
      </c>
      <c r="Z635" s="87">
        <v>0.0</v>
      </c>
      <c r="AA635" s="87">
        <v>3.056509</v>
      </c>
      <c r="AB635" s="87">
        <v>1.170553</v>
      </c>
      <c r="AC635" s="87">
        <v>2.815325</v>
      </c>
      <c r="AD635" s="87">
        <v>1.466667</v>
      </c>
      <c r="AE635" s="87">
        <v>5.650186</v>
      </c>
      <c r="AF635" s="87">
        <v>4.970648</v>
      </c>
      <c r="AG635" s="87">
        <v>3.187063</v>
      </c>
      <c r="AH635" s="87">
        <v>0.0</v>
      </c>
      <c r="AI635" s="87">
        <v>3.424101</v>
      </c>
      <c r="AJ635" s="87">
        <v>1.863473</v>
      </c>
      <c r="AK635" s="87">
        <v>2.220125</v>
      </c>
      <c r="AL635" s="88" t="s">
        <v>1396</v>
      </c>
    </row>
    <row r="636">
      <c r="A636" s="84" t="s">
        <v>2177</v>
      </c>
      <c r="B636" s="84" t="s">
        <v>2237</v>
      </c>
      <c r="C636" s="84" t="s">
        <v>393</v>
      </c>
      <c r="D636" s="84" t="s">
        <v>2236</v>
      </c>
      <c r="E636" s="84" t="s">
        <v>1413</v>
      </c>
      <c r="F636" s="87">
        <v>3.0</v>
      </c>
      <c r="G636" s="87">
        <v>0.0</v>
      </c>
      <c r="H636" s="87">
        <v>692.0</v>
      </c>
      <c r="I636" s="87">
        <v>0.0</v>
      </c>
      <c r="J636" s="87">
        <v>9.544694</v>
      </c>
      <c r="K636" s="87">
        <v>8.607602</v>
      </c>
      <c r="L636" s="87">
        <v>12.10956</v>
      </c>
      <c r="M636" s="87">
        <v>8.010777</v>
      </c>
      <c r="N636" s="87">
        <v>0.930663</v>
      </c>
      <c r="O636" s="87">
        <v>0.072751</v>
      </c>
      <c r="P636" s="87">
        <v>0.072751</v>
      </c>
      <c r="Q636" s="87">
        <v>0.072751</v>
      </c>
      <c r="R636" s="87">
        <v>0.524074</v>
      </c>
      <c r="S636" s="87">
        <v>8.010777</v>
      </c>
      <c r="T636" s="87">
        <v>0.072751</v>
      </c>
      <c r="U636" s="87">
        <v>0.072751</v>
      </c>
      <c r="V636" s="87">
        <v>0.072751</v>
      </c>
      <c r="W636" s="87">
        <v>0.524074</v>
      </c>
      <c r="X636" s="87">
        <v>8.010777</v>
      </c>
      <c r="Y636" s="87">
        <v>2.869201</v>
      </c>
      <c r="Z636" s="87">
        <v>0.0</v>
      </c>
      <c r="AA636" s="87">
        <v>3.056509</v>
      </c>
      <c r="AB636" s="87">
        <v>1.170553</v>
      </c>
      <c r="AC636" s="87">
        <v>2.815325</v>
      </c>
      <c r="AD636" s="87">
        <v>2.714263</v>
      </c>
      <c r="AE636" s="87">
        <v>3.315106</v>
      </c>
      <c r="AF636" s="87">
        <v>5.962422</v>
      </c>
      <c r="AG636" s="87">
        <v>4.11386</v>
      </c>
      <c r="AH636" s="87">
        <v>0.0</v>
      </c>
      <c r="AI636" s="87">
        <v>3.424101</v>
      </c>
      <c r="AJ636" s="87">
        <v>1.863473</v>
      </c>
      <c r="AK636" s="87">
        <v>2.220125</v>
      </c>
      <c r="AL636" s="88" t="s">
        <v>1396</v>
      </c>
    </row>
    <row r="637">
      <c r="A637" s="84" t="s">
        <v>2179</v>
      </c>
      <c r="B637" s="84" t="s">
        <v>2238</v>
      </c>
      <c r="C637" s="84" t="s">
        <v>393</v>
      </c>
      <c r="D637" s="84" t="s">
        <v>2236</v>
      </c>
      <c r="E637" s="84" t="s">
        <v>1398</v>
      </c>
      <c r="F637" s="87">
        <v>3.0</v>
      </c>
      <c r="G637" s="87">
        <v>0.0</v>
      </c>
      <c r="H637" s="87">
        <v>3360.0</v>
      </c>
      <c r="I637" s="87">
        <v>0.0</v>
      </c>
      <c r="J637" s="87">
        <v>45.02438</v>
      </c>
      <c r="K637" s="87">
        <v>43.311</v>
      </c>
      <c r="L637" s="87">
        <v>44.61973</v>
      </c>
      <c r="M637" s="87">
        <v>32.76311</v>
      </c>
      <c r="N637" s="87">
        <v>0.756461</v>
      </c>
      <c r="O637" s="87">
        <v>3.056509</v>
      </c>
      <c r="P637" s="87">
        <v>3.056509</v>
      </c>
      <c r="Q637" s="87">
        <v>3.056509</v>
      </c>
      <c r="R637" s="87">
        <v>7.491388</v>
      </c>
      <c r="S637" s="87">
        <v>32.76311</v>
      </c>
      <c r="T637" s="87">
        <v>3.056509</v>
      </c>
      <c r="U637" s="87">
        <v>3.056509</v>
      </c>
      <c r="V637" s="87">
        <v>3.056509</v>
      </c>
      <c r="W637" s="87">
        <v>7.491388</v>
      </c>
      <c r="X637" s="87">
        <v>32.76311</v>
      </c>
      <c r="Y637" s="87">
        <v>14.437</v>
      </c>
      <c r="Z637" s="87">
        <v>0.0</v>
      </c>
      <c r="AA637" s="87">
        <v>3.056509</v>
      </c>
      <c r="AB637" s="87">
        <v>1.170553</v>
      </c>
      <c r="AC637" s="87">
        <v>2.815325</v>
      </c>
      <c r="AD637" s="87">
        <v>1.931258</v>
      </c>
      <c r="AE637" s="87">
        <v>3.242048</v>
      </c>
      <c r="AF637" s="87">
        <v>5.10822</v>
      </c>
      <c r="AG637" s="87">
        <v>5.437323</v>
      </c>
      <c r="AH637" s="87">
        <v>0.0</v>
      </c>
      <c r="AI637" s="87">
        <v>3.424101</v>
      </c>
      <c r="AJ637" s="87">
        <v>1.863473</v>
      </c>
      <c r="AK637" s="87">
        <v>2.220125</v>
      </c>
      <c r="AL637" s="88" t="s">
        <v>1396</v>
      </c>
    </row>
    <row r="638">
      <c r="A638" s="84" t="s">
        <v>2181</v>
      </c>
      <c r="B638" s="84" t="s">
        <v>2239</v>
      </c>
      <c r="C638" s="84" t="s">
        <v>393</v>
      </c>
      <c r="D638" s="84" t="s">
        <v>2236</v>
      </c>
      <c r="E638" s="84" t="s">
        <v>1400</v>
      </c>
      <c r="F638" s="87">
        <v>9.0</v>
      </c>
      <c r="G638" s="87">
        <v>0.0</v>
      </c>
      <c r="H638" s="87">
        <v>2270.0</v>
      </c>
      <c r="I638" s="87">
        <v>0.0</v>
      </c>
      <c r="J638" s="87">
        <v>27.91084</v>
      </c>
      <c r="K638" s="87">
        <v>25.33792</v>
      </c>
      <c r="L638" s="87">
        <v>23.80645</v>
      </c>
      <c r="M638" s="87">
        <v>15.58282</v>
      </c>
      <c r="N638" s="87">
        <v>0.615</v>
      </c>
      <c r="O638" s="87">
        <v>0.0</v>
      </c>
      <c r="P638" s="87">
        <v>0.0</v>
      </c>
      <c r="Q638" s="87">
        <v>0.142857</v>
      </c>
      <c r="R638" s="87">
        <v>1.52549</v>
      </c>
      <c r="S638" s="87">
        <v>5.199978</v>
      </c>
      <c r="T638" s="87">
        <v>0.142857</v>
      </c>
      <c r="U638" s="87">
        <v>0.166667</v>
      </c>
      <c r="V638" s="87">
        <v>1.52549</v>
      </c>
      <c r="W638" s="87">
        <v>2.720114</v>
      </c>
      <c r="X638" s="87">
        <v>5.199978</v>
      </c>
      <c r="Y638" s="87">
        <v>2.815325</v>
      </c>
      <c r="Z638" s="87">
        <v>0.0</v>
      </c>
      <c r="AA638" s="87">
        <v>3.056509</v>
      </c>
      <c r="AB638" s="87">
        <v>1.170553</v>
      </c>
      <c r="AC638" s="87">
        <v>2.815325</v>
      </c>
      <c r="AD638" s="87">
        <v>1.503895</v>
      </c>
      <c r="AE638" s="87">
        <v>2.043666</v>
      </c>
      <c r="AF638" s="87">
        <v>2.858365</v>
      </c>
      <c r="AG638" s="87">
        <v>2.088727</v>
      </c>
      <c r="AH638" s="87">
        <v>0.0</v>
      </c>
      <c r="AI638" s="87">
        <v>3.424101</v>
      </c>
      <c r="AJ638" s="87">
        <v>1.863473</v>
      </c>
      <c r="AK638" s="87">
        <v>2.220125</v>
      </c>
      <c r="AL638" s="88" t="s">
        <v>1396</v>
      </c>
    </row>
    <row r="639">
      <c r="A639" s="84" t="s">
        <v>2190</v>
      </c>
      <c r="B639" s="84" t="s">
        <v>2240</v>
      </c>
      <c r="C639" s="84" t="s">
        <v>393</v>
      </c>
      <c r="D639" s="84" t="s">
        <v>2236</v>
      </c>
      <c r="E639" s="89">
        <v>46300.0</v>
      </c>
      <c r="F639" s="87">
        <v>1.0</v>
      </c>
      <c r="G639" s="87">
        <v>0.0</v>
      </c>
      <c r="H639" s="87">
        <v>0.0</v>
      </c>
      <c r="I639" s="87">
        <v>0.0</v>
      </c>
      <c r="J639" s="87">
        <v>0.0</v>
      </c>
      <c r="K639" s="87">
        <v>0.0</v>
      </c>
      <c r="L639" s="87">
        <v>0.0</v>
      </c>
      <c r="M639" s="87">
        <v>0.0</v>
      </c>
      <c r="N639" s="87">
        <v>0.0</v>
      </c>
      <c r="O639" s="87">
        <v>0.0</v>
      </c>
      <c r="P639" s="87">
        <v>0.0</v>
      </c>
      <c r="Q639" s="87">
        <v>0.0</v>
      </c>
      <c r="R639" s="87">
        <v>0.0</v>
      </c>
      <c r="S639" s="87">
        <v>0.0</v>
      </c>
      <c r="T639" s="87">
        <v>0.0</v>
      </c>
      <c r="U639" s="87">
        <v>0.0</v>
      </c>
      <c r="V639" s="87">
        <v>0.0</v>
      </c>
      <c r="W639" s="87">
        <v>0.0</v>
      </c>
      <c r="X639" s="87">
        <v>0.0</v>
      </c>
      <c r="Y639" s="87">
        <v>0.0</v>
      </c>
      <c r="Z639" s="87">
        <v>0.0</v>
      </c>
      <c r="AA639" s="87">
        <v>3.056509</v>
      </c>
      <c r="AB639" s="87">
        <v>1.170553</v>
      </c>
      <c r="AC639" s="87">
        <v>2.815325</v>
      </c>
      <c r="AD639" s="87">
        <v>0.0</v>
      </c>
      <c r="AE639" s="87">
        <v>13.57639</v>
      </c>
      <c r="AF639" s="87">
        <v>6.403852</v>
      </c>
      <c r="AG639" s="87">
        <v>4.081619</v>
      </c>
      <c r="AH639" s="87">
        <v>0.0</v>
      </c>
      <c r="AI639" s="87">
        <v>3.424101</v>
      </c>
      <c r="AJ639" s="87">
        <v>1.863473</v>
      </c>
      <c r="AK639" s="87">
        <v>2.220125</v>
      </c>
      <c r="AL639" s="88" t="s">
        <v>1396</v>
      </c>
    </row>
    <row r="640">
      <c r="A640" s="84" t="s">
        <v>2183</v>
      </c>
      <c r="B640" s="84" t="s">
        <v>2241</v>
      </c>
      <c r="C640" s="84" t="s">
        <v>393</v>
      </c>
      <c r="D640" s="84" t="s">
        <v>2236</v>
      </c>
      <c r="E640" s="84" t="s">
        <v>1403</v>
      </c>
      <c r="F640" s="87">
        <v>49.0</v>
      </c>
      <c r="G640" s="87">
        <v>0.0</v>
      </c>
      <c r="H640" s="87">
        <v>0.0</v>
      </c>
      <c r="I640" s="87">
        <v>0.0</v>
      </c>
      <c r="J640" s="87">
        <v>0.0</v>
      </c>
      <c r="K640" s="87">
        <v>0.0</v>
      </c>
      <c r="L640" s="87">
        <v>0.0</v>
      </c>
      <c r="M640" s="87">
        <v>0.0</v>
      </c>
      <c r="N640" s="87">
        <v>0.0</v>
      </c>
      <c r="O640" s="87">
        <v>0.0</v>
      </c>
      <c r="P640" s="87">
        <v>0.0</v>
      </c>
      <c r="Q640" s="87">
        <v>0.0</v>
      </c>
      <c r="R640" s="87">
        <v>0.0</v>
      </c>
      <c r="S640" s="87">
        <v>0.0</v>
      </c>
      <c r="T640" s="87">
        <v>0.0</v>
      </c>
      <c r="U640" s="87">
        <v>0.0</v>
      </c>
      <c r="V640" s="87">
        <v>0.0</v>
      </c>
      <c r="W640" s="87">
        <v>0.0</v>
      </c>
      <c r="X640" s="87">
        <v>0.0</v>
      </c>
      <c r="Y640" s="87">
        <v>0.0</v>
      </c>
      <c r="Z640" s="87">
        <v>0.0</v>
      </c>
      <c r="AA640" s="87">
        <v>3.056509</v>
      </c>
      <c r="AB640" s="87">
        <v>1.170553</v>
      </c>
      <c r="AC640" s="87">
        <v>2.815325</v>
      </c>
      <c r="AD640" s="87">
        <v>0.0</v>
      </c>
      <c r="AE640" s="87">
        <v>0.0</v>
      </c>
      <c r="AF640" s="87">
        <v>0.0</v>
      </c>
      <c r="AG640" s="87">
        <v>0.0</v>
      </c>
      <c r="AH640" s="87">
        <v>0.0</v>
      </c>
      <c r="AI640" s="87">
        <v>3.424101</v>
      </c>
      <c r="AJ640" s="87">
        <v>1.863473</v>
      </c>
      <c r="AK640" s="87">
        <v>2.220125</v>
      </c>
      <c r="AL640" s="88" t="s">
        <v>1396</v>
      </c>
    </row>
    <row r="641">
      <c r="A641" s="84" t="s">
        <v>2177</v>
      </c>
      <c r="B641" s="84" t="s">
        <v>2242</v>
      </c>
      <c r="C641" s="84" t="s">
        <v>393</v>
      </c>
      <c r="D641" s="84" t="s">
        <v>2243</v>
      </c>
      <c r="E641" s="84" t="s">
        <v>1413</v>
      </c>
      <c r="F641" s="87">
        <v>2.0</v>
      </c>
      <c r="G641" s="87">
        <v>0.0</v>
      </c>
      <c r="H641" s="87">
        <v>905.0</v>
      </c>
      <c r="I641" s="87">
        <v>0.0</v>
      </c>
      <c r="J641" s="87">
        <v>14.55698</v>
      </c>
      <c r="K641" s="87">
        <v>12.36959</v>
      </c>
      <c r="L641" s="87">
        <v>11.79042</v>
      </c>
      <c r="M641" s="87">
        <v>6.85056</v>
      </c>
      <c r="N641" s="87">
        <v>0.553823</v>
      </c>
      <c r="O641" s="87">
        <v>5.519028</v>
      </c>
      <c r="P641" s="87">
        <v>5.519028</v>
      </c>
      <c r="Q641" s="87">
        <v>5.519028</v>
      </c>
      <c r="R641" s="87">
        <v>6.85056</v>
      </c>
      <c r="S641" s="87">
        <v>6.85056</v>
      </c>
      <c r="T641" s="87">
        <v>5.519028</v>
      </c>
      <c r="U641" s="87">
        <v>5.519028</v>
      </c>
      <c r="V641" s="87">
        <v>5.519028</v>
      </c>
      <c r="W641" s="87">
        <v>6.85056</v>
      </c>
      <c r="X641" s="87">
        <v>6.85056</v>
      </c>
      <c r="Y641" s="87">
        <v>6.184794</v>
      </c>
      <c r="Z641" s="87">
        <v>0.0</v>
      </c>
      <c r="AA641" s="87">
        <v>3.127632</v>
      </c>
      <c r="AB641" s="87">
        <v>1.530459</v>
      </c>
      <c r="AC641" s="87">
        <v>5.437323</v>
      </c>
      <c r="AD641" s="87">
        <v>2.714263</v>
      </c>
      <c r="AE641" s="87">
        <v>3.315106</v>
      </c>
      <c r="AF641" s="87">
        <v>5.962422</v>
      </c>
      <c r="AG641" s="87">
        <v>4.11386</v>
      </c>
      <c r="AH641" s="87">
        <v>0.0</v>
      </c>
      <c r="AI641" s="87">
        <v>3.424101</v>
      </c>
      <c r="AJ641" s="87">
        <v>1.863473</v>
      </c>
      <c r="AK641" s="87">
        <v>2.220125</v>
      </c>
      <c r="AL641" s="88" t="s">
        <v>1396</v>
      </c>
    </row>
    <row r="642">
      <c r="A642" s="84" t="s">
        <v>2179</v>
      </c>
      <c r="B642" s="84" t="s">
        <v>2244</v>
      </c>
      <c r="C642" s="84" t="s">
        <v>393</v>
      </c>
      <c r="D642" s="84" t="s">
        <v>2243</v>
      </c>
      <c r="E642" s="84" t="s">
        <v>1398</v>
      </c>
      <c r="F642" s="87">
        <v>3.0</v>
      </c>
      <c r="G642" s="87">
        <v>0.0</v>
      </c>
      <c r="H642" s="87">
        <v>656.0</v>
      </c>
      <c r="I642" s="87">
        <v>0.0</v>
      </c>
      <c r="J642" s="87">
        <v>12.40018</v>
      </c>
      <c r="K642" s="87">
        <v>16.31197</v>
      </c>
      <c r="L642" s="87">
        <v>14.75733</v>
      </c>
      <c r="M642" s="87">
        <v>10.47005</v>
      </c>
      <c r="N642" s="87">
        <v>0.641863</v>
      </c>
      <c r="O642" s="87">
        <v>2.285949</v>
      </c>
      <c r="P642" s="87">
        <v>2.285949</v>
      </c>
      <c r="Q642" s="87">
        <v>2.285949</v>
      </c>
      <c r="R642" s="87">
        <v>3.555975</v>
      </c>
      <c r="S642" s="87">
        <v>10.47005</v>
      </c>
      <c r="T642" s="87">
        <v>2.285949</v>
      </c>
      <c r="U642" s="87">
        <v>2.285949</v>
      </c>
      <c r="V642" s="87">
        <v>2.285949</v>
      </c>
      <c r="W642" s="87">
        <v>3.555975</v>
      </c>
      <c r="X642" s="87">
        <v>10.47005</v>
      </c>
      <c r="Y642" s="87">
        <v>5.437323</v>
      </c>
      <c r="Z642" s="87">
        <v>0.0</v>
      </c>
      <c r="AA642" s="87">
        <v>3.127632</v>
      </c>
      <c r="AB642" s="87">
        <v>1.530459</v>
      </c>
      <c r="AC642" s="87">
        <v>5.437323</v>
      </c>
      <c r="AD642" s="87">
        <v>1.931258</v>
      </c>
      <c r="AE642" s="87">
        <v>3.242048</v>
      </c>
      <c r="AF642" s="87">
        <v>5.10822</v>
      </c>
      <c r="AG642" s="87">
        <v>5.437323</v>
      </c>
      <c r="AH642" s="87">
        <v>0.0</v>
      </c>
      <c r="AI642" s="87">
        <v>3.424101</v>
      </c>
      <c r="AJ642" s="87">
        <v>1.863473</v>
      </c>
      <c r="AK642" s="87">
        <v>2.220125</v>
      </c>
      <c r="AL642" s="88" t="s">
        <v>1396</v>
      </c>
    </row>
    <row r="643">
      <c r="A643" s="84" t="s">
        <v>2181</v>
      </c>
      <c r="B643" s="84" t="s">
        <v>2245</v>
      </c>
      <c r="C643" s="84" t="s">
        <v>393</v>
      </c>
      <c r="D643" s="84" t="s">
        <v>2243</v>
      </c>
      <c r="E643" s="84" t="s">
        <v>1400</v>
      </c>
      <c r="F643" s="87">
        <v>8.0</v>
      </c>
      <c r="G643" s="87">
        <v>0.0</v>
      </c>
      <c r="H643" s="87">
        <v>941.0</v>
      </c>
      <c r="I643" s="87">
        <v>0.0</v>
      </c>
      <c r="J643" s="87">
        <v>12.34135</v>
      </c>
      <c r="K643" s="87">
        <v>14.1713</v>
      </c>
      <c r="L643" s="87">
        <v>11.87305</v>
      </c>
      <c r="M643" s="87">
        <v>10.48981</v>
      </c>
      <c r="N643" s="87">
        <v>0.740215</v>
      </c>
      <c r="O643" s="87">
        <v>0.0</v>
      </c>
      <c r="P643" s="87">
        <v>0.04</v>
      </c>
      <c r="Q643" s="87">
        <v>0.652778</v>
      </c>
      <c r="R643" s="87">
        <v>0.884693</v>
      </c>
      <c r="S643" s="87">
        <v>1.372632</v>
      </c>
      <c r="T643" s="87">
        <v>0.04</v>
      </c>
      <c r="U643" s="87">
        <v>0.652778</v>
      </c>
      <c r="V643" s="87">
        <v>0.731385</v>
      </c>
      <c r="W643" s="87">
        <v>0.884693</v>
      </c>
      <c r="X643" s="87">
        <v>1.372632</v>
      </c>
      <c r="Y643" s="87">
        <v>1.771413</v>
      </c>
      <c r="Z643" s="87">
        <v>0.0</v>
      </c>
      <c r="AA643" s="87">
        <v>3.127632</v>
      </c>
      <c r="AB643" s="87">
        <v>1.530459</v>
      </c>
      <c r="AC643" s="87">
        <v>5.437323</v>
      </c>
      <c r="AD643" s="87">
        <v>1.503895</v>
      </c>
      <c r="AE643" s="87">
        <v>2.043666</v>
      </c>
      <c r="AF643" s="87">
        <v>2.858365</v>
      </c>
      <c r="AG643" s="87">
        <v>2.088727</v>
      </c>
      <c r="AH643" s="87">
        <v>0.0</v>
      </c>
      <c r="AI643" s="87">
        <v>3.424101</v>
      </c>
      <c r="AJ643" s="87">
        <v>1.863473</v>
      </c>
      <c r="AK643" s="87">
        <v>2.220125</v>
      </c>
      <c r="AL643" s="88" t="s">
        <v>1396</v>
      </c>
    </row>
    <row r="644">
      <c r="A644" s="84" t="s">
        <v>2183</v>
      </c>
      <c r="B644" s="84" t="s">
        <v>2246</v>
      </c>
      <c r="C644" s="84" t="s">
        <v>393</v>
      </c>
      <c r="D644" s="84" t="s">
        <v>2243</v>
      </c>
      <c r="E644" s="84" t="s">
        <v>1403</v>
      </c>
      <c r="F644" s="87">
        <v>15.0</v>
      </c>
      <c r="G644" s="87">
        <v>0.0</v>
      </c>
      <c r="H644" s="87">
        <v>0.0</v>
      </c>
      <c r="I644" s="87">
        <v>0.0</v>
      </c>
      <c r="J644" s="87">
        <v>0.0</v>
      </c>
      <c r="K644" s="87">
        <v>0.0</v>
      </c>
      <c r="L644" s="87">
        <v>0.0</v>
      </c>
      <c r="M644" s="87">
        <v>0.0</v>
      </c>
      <c r="N644" s="87">
        <v>0.0</v>
      </c>
      <c r="O644" s="87">
        <v>0.0</v>
      </c>
      <c r="P644" s="87">
        <v>0.0</v>
      </c>
      <c r="Q644" s="87">
        <v>0.0</v>
      </c>
      <c r="R644" s="87">
        <v>0.0</v>
      </c>
      <c r="S644" s="87">
        <v>0.0</v>
      </c>
      <c r="T644" s="87">
        <v>0.0</v>
      </c>
      <c r="U644" s="87">
        <v>0.0</v>
      </c>
      <c r="V644" s="87">
        <v>0.0</v>
      </c>
      <c r="W644" s="87">
        <v>0.0</v>
      </c>
      <c r="X644" s="87">
        <v>0.0</v>
      </c>
      <c r="Y644" s="87">
        <v>0.0</v>
      </c>
      <c r="Z644" s="87">
        <v>0.0</v>
      </c>
      <c r="AA644" s="87">
        <v>3.127632</v>
      </c>
      <c r="AB644" s="87">
        <v>1.530459</v>
      </c>
      <c r="AC644" s="87">
        <v>5.437323</v>
      </c>
      <c r="AD644" s="87">
        <v>0.0</v>
      </c>
      <c r="AE644" s="87">
        <v>0.0</v>
      </c>
      <c r="AF644" s="87">
        <v>0.0</v>
      </c>
      <c r="AG644" s="87">
        <v>0.0</v>
      </c>
      <c r="AH644" s="87">
        <v>0.0</v>
      </c>
      <c r="AI644" s="87">
        <v>3.424101</v>
      </c>
      <c r="AJ644" s="87">
        <v>1.863473</v>
      </c>
      <c r="AK644" s="87">
        <v>2.220125</v>
      </c>
      <c r="AL644" s="88" t="s">
        <v>1396</v>
      </c>
    </row>
    <row r="645">
      <c r="A645" s="84" t="s">
        <v>2247</v>
      </c>
      <c r="B645" s="84" t="s">
        <v>2248</v>
      </c>
      <c r="C645" s="84" t="s">
        <v>2249</v>
      </c>
      <c r="D645" s="84" t="s">
        <v>2250</v>
      </c>
      <c r="E645" s="84" t="s">
        <v>1403</v>
      </c>
      <c r="F645" s="87">
        <v>1.0</v>
      </c>
      <c r="G645" s="87">
        <v>0.0</v>
      </c>
      <c r="H645" s="87">
        <v>0.0</v>
      </c>
      <c r="I645" s="87">
        <v>0.0</v>
      </c>
      <c r="J645" s="87">
        <v>0.0</v>
      </c>
      <c r="K645" s="87">
        <v>0.0</v>
      </c>
      <c r="L645" s="87">
        <v>0.0</v>
      </c>
      <c r="M645" s="87">
        <v>0.0</v>
      </c>
      <c r="N645" s="87">
        <v>0.0</v>
      </c>
      <c r="O645" s="87">
        <v>0.0</v>
      </c>
      <c r="P645" s="87">
        <v>0.0</v>
      </c>
      <c r="Q645" s="87">
        <v>0.0</v>
      </c>
      <c r="R645" s="87">
        <v>0.0</v>
      </c>
      <c r="S645" s="87">
        <v>0.0</v>
      </c>
      <c r="T645" s="87">
        <v>0.0</v>
      </c>
      <c r="U645" s="87">
        <v>0.0</v>
      </c>
      <c r="V645" s="87">
        <v>0.0</v>
      </c>
      <c r="W645" s="87">
        <v>0.0</v>
      </c>
      <c r="X645" s="87">
        <v>0.0</v>
      </c>
      <c r="Y645" s="87">
        <v>0.0</v>
      </c>
      <c r="Z645" s="87">
        <v>0.0</v>
      </c>
      <c r="AA645" s="87">
        <v>0.0</v>
      </c>
      <c r="AB645" s="87">
        <v>0.0</v>
      </c>
      <c r="AC645" s="87">
        <v>0.0</v>
      </c>
      <c r="AD645" s="87">
        <v>0.0</v>
      </c>
      <c r="AE645" s="87">
        <v>0.0</v>
      </c>
      <c r="AF645" s="87">
        <v>0.0</v>
      </c>
      <c r="AG645" s="87">
        <v>0.0</v>
      </c>
      <c r="AH645" s="87">
        <v>0.0</v>
      </c>
      <c r="AI645" s="87">
        <v>0.0</v>
      </c>
      <c r="AJ645" s="87">
        <v>0.0</v>
      </c>
      <c r="AK645" s="87">
        <v>0.0</v>
      </c>
      <c r="AL645" s="88" t="s">
        <v>1396</v>
      </c>
    </row>
    <row r="646">
      <c r="A646" s="84" t="s">
        <v>2251</v>
      </c>
      <c r="B646" s="84" t="s">
        <v>2252</v>
      </c>
      <c r="C646" s="84" t="s">
        <v>439</v>
      </c>
      <c r="D646" s="84" t="s">
        <v>2253</v>
      </c>
      <c r="E646" s="84" t="s">
        <v>1426</v>
      </c>
      <c r="F646" s="87">
        <v>8.0</v>
      </c>
      <c r="G646" s="87">
        <v>0.0</v>
      </c>
      <c r="H646" s="87">
        <v>4164.0</v>
      </c>
      <c r="I646" s="87">
        <v>0.0</v>
      </c>
      <c r="J646" s="87">
        <v>1169.364</v>
      </c>
      <c r="K646" s="87">
        <v>1210.432</v>
      </c>
      <c r="L646" s="87">
        <v>1222.765</v>
      </c>
      <c r="M646" s="87">
        <v>761.0477</v>
      </c>
      <c r="N646" s="87">
        <v>0.628741</v>
      </c>
      <c r="O646" s="87">
        <v>23.91667</v>
      </c>
      <c r="P646" s="87">
        <v>44.72252</v>
      </c>
      <c r="Q646" s="87">
        <v>70.1093</v>
      </c>
      <c r="R646" s="87">
        <v>106.6479</v>
      </c>
      <c r="S646" s="87">
        <v>128.7688</v>
      </c>
      <c r="T646" s="87">
        <v>23.91667</v>
      </c>
      <c r="U646" s="87">
        <v>44.72252</v>
      </c>
      <c r="V646" s="87">
        <v>70.1093</v>
      </c>
      <c r="W646" s="87">
        <v>106.6479</v>
      </c>
      <c r="X646" s="87">
        <v>128.7688</v>
      </c>
      <c r="Y646" s="87">
        <v>151.304</v>
      </c>
      <c r="Z646" s="87">
        <v>0.0</v>
      </c>
      <c r="AA646" s="87">
        <v>57.74105</v>
      </c>
      <c r="AB646" s="87">
        <v>29.59328</v>
      </c>
      <c r="AC646" s="87">
        <v>57.24584</v>
      </c>
      <c r="AD646" s="87">
        <v>30.80029</v>
      </c>
      <c r="AE646" s="87">
        <v>139.1616</v>
      </c>
      <c r="AF646" s="87">
        <v>171.5419</v>
      </c>
      <c r="AG646" s="87">
        <v>155.5724</v>
      </c>
      <c r="AH646" s="87">
        <v>0.0</v>
      </c>
      <c r="AI646" s="87">
        <v>42.06852</v>
      </c>
      <c r="AJ646" s="87">
        <v>16.83678</v>
      </c>
      <c r="AK646" s="87">
        <v>4.562106</v>
      </c>
      <c r="AL646" s="88" t="s">
        <v>1396</v>
      </c>
    </row>
    <row r="647">
      <c r="A647" s="84" t="s">
        <v>2254</v>
      </c>
      <c r="B647" s="84" t="s">
        <v>2255</v>
      </c>
      <c r="C647" s="84" t="s">
        <v>439</v>
      </c>
      <c r="D647" s="84" t="s">
        <v>2253</v>
      </c>
      <c r="E647" s="86">
        <v>46310.0</v>
      </c>
      <c r="F647" s="87">
        <v>7.0</v>
      </c>
      <c r="G647" s="87">
        <v>0.0</v>
      </c>
      <c r="H647" s="87">
        <v>1583.0</v>
      </c>
      <c r="I647" s="87">
        <v>0.0</v>
      </c>
      <c r="J647" s="87">
        <v>386.5707</v>
      </c>
      <c r="K647" s="87">
        <v>400.7209</v>
      </c>
      <c r="L647" s="87">
        <v>413.9035</v>
      </c>
      <c r="M647" s="87">
        <v>305.4411</v>
      </c>
      <c r="N647" s="87">
        <v>0.762229</v>
      </c>
      <c r="O647" s="87">
        <v>0.0</v>
      </c>
      <c r="P647" s="87">
        <v>3.546559</v>
      </c>
      <c r="Q647" s="87">
        <v>13.88929</v>
      </c>
      <c r="R647" s="87">
        <v>21.92668</v>
      </c>
      <c r="S647" s="87">
        <v>55.91727</v>
      </c>
      <c r="T647" s="87">
        <v>3.546559</v>
      </c>
      <c r="U647" s="87">
        <v>13.88929</v>
      </c>
      <c r="V647" s="87">
        <v>13.88929</v>
      </c>
      <c r="W647" s="87">
        <v>55.91727</v>
      </c>
      <c r="X647" s="87">
        <v>83.51787</v>
      </c>
      <c r="Y647" s="87">
        <v>57.24584</v>
      </c>
      <c r="Z647" s="87">
        <v>0.0</v>
      </c>
      <c r="AA647" s="87">
        <v>57.74105</v>
      </c>
      <c r="AB647" s="87">
        <v>29.59328</v>
      </c>
      <c r="AC647" s="87">
        <v>57.24584</v>
      </c>
      <c r="AD647" s="87">
        <v>20.94259</v>
      </c>
      <c r="AE647" s="87">
        <v>38.47775</v>
      </c>
      <c r="AF647" s="87">
        <v>70.46158</v>
      </c>
      <c r="AG647" s="87">
        <v>50.02146</v>
      </c>
      <c r="AH647" s="87">
        <v>0.0</v>
      </c>
      <c r="AI647" s="87">
        <v>42.06852</v>
      </c>
      <c r="AJ647" s="87">
        <v>16.83678</v>
      </c>
      <c r="AK647" s="87">
        <v>4.562106</v>
      </c>
      <c r="AL647" s="88" t="s">
        <v>1396</v>
      </c>
    </row>
    <row r="648">
      <c r="A648" s="84" t="s">
        <v>2256</v>
      </c>
      <c r="B648" s="84" t="s">
        <v>2257</v>
      </c>
      <c r="C648" s="84" t="s">
        <v>439</v>
      </c>
      <c r="D648" s="84" t="s">
        <v>2253</v>
      </c>
      <c r="E648" s="84" t="s">
        <v>1413</v>
      </c>
      <c r="F648" s="87">
        <v>1.0</v>
      </c>
      <c r="G648" s="87">
        <v>0.0</v>
      </c>
      <c r="H648" s="87">
        <v>511.0</v>
      </c>
      <c r="I648" s="87">
        <v>0.0</v>
      </c>
      <c r="J648" s="87">
        <v>116.8183</v>
      </c>
      <c r="K648" s="87">
        <v>107.3217</v>
      </c>
      <c r="L648" s="87">
        <v>97.98014</v>
      </c>
      <c r="M648" s="87">
        <v>107.3217</v>
      </c>
      <c r="N648" s="87">
        <v>1.0</v>
      </c>
      <c r="O648" s="87">
        <v>107.3217</v>
      </c>
      <c r="P648" s="87">
        <v>107.3217</v>
      </c>
      <c r="Q648" s="87">
        <v>107.3217</v>
      </c>
      <c r="R648" s="87">
        <v>107.3217</v>
      </c>
      <c r="S648" s="87">
        <v>107.3217</v>
      </c>
      <c r="T648" s="87">
        <v>107.3217</v>
      </c>
      <c r="U648" s="87">
        <v>107.3217</v>
      </c>
      <c r="V648" s="87">
        <v>107.3217</v>
      </c>
      <c r="W648" s="87">
        <v>107.3217</v>
      </c>
      <c r="X648" s="87">
        <v>107.3217</v>
      </c>
      <c r="Y648" s="87">
        <v>107.3217</v>
      </c>
      <c r="Z648" s="87">
        <v>0.0</v>
      </c>
      <c r="AA648" s="87">
        <v>57.74105</v>
      </c>
      <c r="AB648" s="87">
        <v>29.59328</v>
      </c>
      <c r="AC648" s="87">
        <v>57.24584</v>
      </c>
      <c r="AD648" s="87">
        <v>4.59486</v>
      </c>
      <c r="AE648" s="87">
        <v>18.50337</v>
      </c>
      <c r="AF648" s="87">
        <v>23.50484</v>
      </c>
      <c r="AG648" s="87">
        <v>27.71601</v>
      </c>
      <c r="AH648" s="87">
        <v>0.0</v>
      </c>
      <c r="AI648" s="87">
        <v>42.06852</v>
      </c>
      <c r="AJ648" s="87">
        <v>16.83678</v>
      </c>
      <c r="AK648" s="87">
        <v>4.562106</v>
      </c>
      <c r="AL648" s="88" t="s">
        <v>1396</v>
      </c>
    </row>
    <row r="649">
      <c r="A649" s="84" t="s">
        <v>2258</v>
      </c>
      <c r="B649" s="84" t="s">
        <v>2259</v>
      </c>
      <c r="C649" s="84" t="s">
        <v>439</v>
      </c>
      <c r="D649" s="84" t="s">
        <v>2253</v>
      </c>
      <c r="E649" s="89">
        <v>46300.0</v>
      </c>
      <c r="F649" s="87">
        <v>16.0</v>
      </c>
      <c r="G649" s="87">
        <v>0.0</v>
      </c>
      <c r="H649" s="87">
        <v>2626.0</v>
      </c>
      <c r="I649" s="87">
        <v>0.0</v>
      </c>
      <c r="J649" s="87">
        <v>827.6921</v>
      </c>
      <c r="K649" s="87">
        <v>885.7345</v>
      </c>
      <c r="L649" s="87">
        <v>938.7158</v>
      </c>
      <c r="M649" s="87">
        <v>609.4579</v>
      </c>
      <c r="N649" s="87">
        <v>0.688082</v>
      </c>
      <c r="O649" s="87">
        <v>0.0</v>
      </c>
      <c r="P649" s="87">
        <v>9.046353</v>
      </c>
      <c r="Q649" s="87">
        <v>14.61286</v>
      </c>
      <c r="R649" s="87">
        <v>34.73412</v>
      </c>
      <c r="S649" s="87">
        <v>57.74105</v>
      </c>
      <c r="T649" s="87">
        <v>14.61286</v>
      </c>
      <c r="U649" s="87">
        <v>16.82866</v>
      </c>
      <c r="V649" s="87">
        <v>27.17529</v>
      </c>
      <c r="W649" s="87">
        <v>35.26914</v>
      </c>
      <c r="X649" s="87">
        <v>87.96707</v>
      </c>
      <c r="Y649" s="87">
        <v>55.3584</v>
      </c>
      <c r="Z649" s="87">
        <v>0.0</v>
      </c>
      <c r="AA649" s="87">
        <v>57.74105</v>
      </c>
      <c r="AB649" s="87">
        <v>29.59328</v>
      </c>
      <c r="AC649" s="87">
        <v>57.24584</v>
      </c>
      <c r="AD649" s="87">
        <v>22.33082</v>
      </c>
      <c r="AE649" s="87">
        <v>48.09648</v>
      </c>
      <c r="AF649" s="87">
        <v>97.41213</v>
      </c>
      <c r="AG649" s="87">
        <v>56.11059</v>
      </c>
      <c r="AH649" s="87">
        <v>0.0</v>
      </c>
      <c r="AI649" s="87">
        <v>42.06852</v>
      </c>
      <c r="AJ649" s="87">
        <v>16.83678</v>
      </c>
      <c r="AK649" s="87">
        <v>4.562106</v>
      </c>
      <c r="AL649" s="88" t="s">
        <v>1396</v>
      </c>
    </row>
    <row r="650">
      <c r="A650" s="84" t="s">
        <v>2260</v>
      </c>
      <c r="B650" s="84" t="s">
        <v>2261</v>
      </c>
      <c r="C650" s="84" t="s">
        <v>439</v>
      </c>
      <c r="D650" s="84" t="s">
        <v>2253</v>
      </c>
      <c r="E650" s="84" t="s">
        <v>1403</v>
      </c>
      <c r="F650" s="87">
        <v>56.0</v>
      </c>
      <c r="G650" s="87">
        <v>0.0</v>
      </c>
      <c r="H650" s="87">
        <v>0.0</v>
      </c>
      <c r="I650" s="87">
        <v>0.0</v>
      </c>
      <c r="J650" s="87">
        <v>0.0</v>
      </c>
      <c r="K650" s="87">
        <v>0.0</v>
      </c>
      <c r="L650" s="87">
        <v>0.0</v>
      </c>
      <c r="M650" s="87">
        <v>0.0</v>
      </c>
      <c r="N650" s="87">
        <v>0.0</v>
      </c>
      <c r="O650" s="87">
        <v>0.0</v>
      </c>
      <c r="P650" s="87">
        <v>0.0</v>
      </c>
      <c r="Q650" s="87">
        <v>0.0</v>
      </c>
      <c r="R650" s="87">
        <v>0.0</v>
      </c>
      <c r="S650" s="87">
        <v>0.0</v>
      </c>
      <c r="T650" s="87">
        <v>0.0</v>
      </c>
      <c r="U650" s="87">
        <v>0.0</v>
      </c>
      <c r="V650" s="87">
        <v>0.0</v>
      </c>
      <c r="W650" s="87">
        <v>0.0</v>
      </c>
      <c r="X650" s="87">
        <v>0.0</v>
      </c>
      <c r="Y650" s="87">
        <v>0.0</v>
      </c>
      <c r="Z650" s="87">
        <v>0.0</v>
      </c>
      <c r="AA650" s="87">
        <v>57.74105</v>
      </c>
      <c r="AB650" s="87">
        <v>29.59328</v>
      </c>
      <c r="AC650" s="87">
        <v>57.24584</v>
      </c>
      <c r="AD650" s="87">
        <v>0.0</v>
      </c>
      <c r="AE650" s="87">
        <v>0.0</v>
      </c>
      <c r="AF650" s="87">
        <v>0.0</v>
      </c>
      <c r="AG650" s="87">
        <v>0.0</v>
      </c>
      <c r="AH650" s="87">
        <v>0.0</v>
      </c>
      <c r="AI650" s="87">
        <v>42.06852</v>
      </c>
      <c r="AJ650" s="87">
        <v>16.83678</v>
      </c>
      <c r="AK650" s="87">
        <v>4.562106</v>
      </c>
      <c r="AL650" s="88" t="s">
        <v>1396</v>
      </c>
    </row>
    <row r="651">
      <c r="A651" s="84" t="s">
        <v>2254</v>
      </c>
      <c r="B651" s="84" t="s">
        <v>2262</v>
      </c>
      <c r="C651" s="84" t="s">
        <v>439</v>
      </c>
      <c r="D651" s="84" t="s">
        <v>1261</v>
      </c>
      <c r="E651" s="86">
        <v>46310.0</v>
      </c>
      <c r="F651" s="87">
        <v>2.0</v>
      </c>
      <c r="G651" s="87">
        <v>0.0</v>
      </c>
      <c r="H651" s="87">
        <v>0.0</v>
      </c>
      <c r="I651" s="87">
        <v>0.0</v>
      </c>
      <c r="J651" s="87">
        <v>0.0</v>
      </c>
      <c r="K651" s="87">
        <v>0.428571</v>
      </c>
      <c r="L651" s="87">
        <v>0.710714</v>
      </c>
      <c r="M651" s="87">
        <v>0.0</v>
      </c>
      <c r="N651" s="87">
        <v>0.0</v>
      </c>
      <c r="O651" s="87">
        <v>0.0</v>
      </c>
      <c r="P651" s="87">
        <v>0.0</v>
      </c>
      <c r="Q651" s="87">
        <v>0.0</v>
      </c>
      <c r="R651" s="87">
        <v>0.428571</v>
      </c>
      <c r="S651" s="87">
        <v>0.428571</v>
      </c>
      <c r="T651" s="87">
        <v>0.428571</v>
      </c>
      <c r="U651" s="87">
        <v>0.428571</v>
      </c>
      <c r="V651" s="87">
        <v>0.428571</v>
      </c>
      <c r="W651" s="87">
        <v>0.428571</v>
      </c>
      <c r="X651" s="87">
        <v>0.428571</v>
      </c>
      <c r="Y651" s="87">
        <v>0.214286</v>
      </c>
      <c r="Z651" s="87">
        <v>0.0</v>
      </c>
      <c r="AA651" s="87">
        <v>3.125113</v>
      </c>
      <c r="AB651" s="87">
        <v>2.496493</v>
      </c>
      <c r="AC651" s="87">
        <v>2.493009</v>
      </c>
      <c r="AD651" s="87">
        <v>20.94259</v>
      </c>
      <c r="AE651" s="87">
        <v>38.47775</v>
      </c>
      <c r="AF651" s="87">
        <v>70.46158</v>
      </c>
      <c r="AG651" s="87">
        <v>50.02146</v>
      </c>
      <c r="AH651" s="87">
        <v>0.0</v>
      </c>
      <c r="AI651" s="87">
        <v>42.06852</v>
      </c>
      <c r="AJ651" s="87">
        <v>16.83678</v>
      </c>
      <c r="AK651" s="87">
        <v>4.562106</v>
      </c>
      <c r="AL651" s="88" t="s">
        <v>1396</v>
      </c>
    </row>
    <row r="652">
      <c r="A652" s="84" t="s">
        <v>2263</v>
      </c>
      <c r="B652" s="84" t="s">
        <v>2264</v>
      </c>
      <c r="C652" s="84" t="s">
        <v>439</v>
      </c>
      <c r="D652" s="84" t="s">
        <v>1261</v>
      </c>
      <c r="E652" s="84" t="s">
        <v>1400</v>
      </c>
      <c r="F652" s="87">
        <v>2.0</v>
      </c>
      <c r="G652" s="87">
        <v>0.0</v>
      </c>
      <c r="H652" s="87">
        <v>0.0</v>
      </c>
      <c r="I652" s="87">
        <v>0.0</v>
      </c>
      <c r="J652" s="87">
        <v>0.0</v>
      </c>
      <c r="K652" s="87">
        <v>0.533333</v>
      </c>
      <c r="L652" s="87">
        <v>0.725</v>
      </c>
      <c r="M652" s="87">
        <v>0.0</v>
      </c>
      <c r="N652" s="87">
        <v>0.0</v>
      </c>
      <c r="O652" s="87">
        <v>0.2</v>
      </c>
      <c r="P652" s="87">
        <v>0.2</v>
      </c>
      <c r="Q652" s="87">
        <v>0.2</v>
      </c>
      <c r="R652" s="87">
        <v>0.333333</v>
      </c>
      <c r="S652" s="87">
        <v>0.333333</v>
      </c>
      <c r="T652" s="87">
        <v>0.2</v>
      </c>
      <c r="U652" s="87">
        <v>0.2</v>
      </c>
      <c r="V652" s="87">
        <v>0.2</v>
      </c>
      <c r="W652" s="87">
        <v>0.333333</v>
      </c>
      <c r="X652" s="87">
        <v>0.333333</v>
      </c>
      <c r="Y652" s="87">
        <v>0.266667</v>
      </c>
      <c r="Z652" s="87">
        <v>0.0</v>
      </c>
      <c r="AA652" s="87">
        <v>3.125113</v>
      </c>
      <c r="AB652" s="87">
        <v>2.496493</v>
      </c>
      <c r="AC652" s="87">
        <v>2.493009</v>
      </c>
      <c r="AD652" s="87">
        <v>0.0</v>
      </c>
      <c r="AE652" s="87">
        <v>6.302089</v>
      </c>
      <c r="AF652" s="87">
        <v>16.94774</v>
      </c>
      <c r="AG652" s="87">
        <v>2.29922</v>
      </c>
      <c r="AH652" s="87">
        <v>0.0</v>
      </c>
      <c r="AI652" s="87">
        <v>42.06852</v>
      </c>
      <c r="AJ652" s="87">
        <v>16.83678</v>
      </c>
      <c r="AK652" s="87">
        <v>4.562106</v>
      </c>
      <c r="AL652" s="88" t="s">
        <v>1396</v>
      </c>
    </row>
    <row r="653">
      <c r="A653" s="84" t="s">
        <v>2260</v>
      </c>
      <c r="B653" s="84" t="s">
        <v>2265</v>
      </c>
      <c r="C653" s="84" t="s">
        <v>439</v>
      </c>
      <c r="D653" s="84" t="s">
        <v>1261</v>
      </c>
      <c r="E653" s="84" t="s">
        <v>1403</v>
      </c>
      <c r="F653" s="87">
        <v>5.0</v>
      </c>
      <c r="G653" s="87">
        <v>0.0</v>
      </c>
      <c r="H653" s="87">
        <v>0.0</v>
      </c>
      <c r="I653" s="87">
        <v>0.0</v>
      </c>
      <c r="J653" s="87">
        <v>0.0</v>
      </c>
      <c r="K653" s="87">
        <v>0.0</v>
      </c>
      <c r="L653" s="87">
        <v>0.0</v>
      </c>
      <c r="M653" s="87">
        <v>0.0</v>
      </c>
      <c r="N653" s="87">
        <v>0.0</v>
      </c>
      <c r="O653" s="87">
        <v>0.0</v>
      </c>
      <c r="P653" s="87">
        <v>0.0</v>
      </c>
      <c r="Q653" s="87">
        <v>0.0</v>
      </c>
      <c r="R653" s="87">
        <v>0.0</v>
      </c>
      <c r="S653" s="87">
        <v>0.0</v>
      </c>
      <c r="T653" s="87">
        <v>0.0</v>
      </c>
      <c r="U653" s="87">
        <v>0.0</v>
      </c>
      <c r="V653" s="87">
        <v>0.0</v>
      </c>
      <c r="W653" s="87">
        <v>0.0</v>
      </c>
      <c r="X653" s="87">
        <v>0.0</v>
      </c>
      <c r="Y653" s="87">
        <v>0.0</v>
      </c>
      <c r="Z653" s="87">
        <v>0.0</v>
      </c>
      <c r="AA653" s="87">
        <v>3.125113</v>
      </c>
      <c r="AB653" s="87">
        <v>2.496493</v>
      </c>
      <c r="AC653" s="87">
        <v>2.493009</v>
      </c>
      <c r="AD653" s="87">
        <v>0.0</v>
      </c>
      <c r="AE653" s="87">
        <v>0.0</v>
      </c>
      <c r="AF653" s="87">
        <v>0.0</v>
      </c>
      <c r="AG653" s="87">
        <v>0.0</v>
      </c>
      <c r="AH653" s="87">
        <v>0.0</v>
      </c>
      <c r="AI653" s="87">
        <v>42.06852</v>
      </c>
      <c r="AJ653" s="87">
        <v>16.83678</v>
      </c>
      <c r="AK653" s="87">
        <v>4.562106</v>
      </c>
      <c r="AL653" s="88" t="s">
        <v>1396</v>
      </c>
    </row>
    <row r="654">
      <c r="A654" s="84" t="s">
        <v>2260</v>
      </c>
      <c r="B654" s="84" t="s">
        <v>1644</v>
      </c>
      <c r="C654" s="84" t="s">
        <v>439</v>
      </c>
      <c r="D654" s="84" t="s">
        <v>808</v>
      </c>
      <c r="E654" s="84" t="s">
        <v>1403</v>
      </c>
      <c r="F654" s="87">
        <v>4.0</v>
      </c>
      <c r="G654" s="87">
        <v>0.0</v>
      </c>
      <c r="H654" s="87">
        <v>0.0</v>
      </c>
      <c r="I654" s="87">
        <v>0.0</v>
      </c>
      <c r="J654" s="87">
        <v>0.0</v>
      </c>
      <c r="K654" s="87">
        <v>0.0</v>
      </c>
      <c r="L654" s="87">
        <v>0.0</v>
      </c>
      <c r="M654" s="87">
        <v>0.0</v>
      </c>
      <c r="N654" s="87">
        <v>0.0</v>
      </c>
      <c r="O654" s="87">
        <v>0.0</v>
      </c>
      <c r="P654" s="87">
        <v>0.0</v>
      </c>
      <c r="Q654" s="87">
        <v>0.0</v>
      </c>
      <c r="R654" s="87">
        <v>0.0</v>
      </c>
      <c r="S654" s="87">
        <v>0.0</v>
      </c>
      <c r="T654" s="87">
        <v>0.0</v>
      </c>
      <c r="U654" s="87">
        <v>0.0</v>
      </c>
      <c r="V654" s="87">
        <v>0.0</v>
      </c>
      <c r="W654" s="87">
        <v>0.0</v>
      </c>
      <c r="X654" s="87">
        <v>0.0</v>
      </c>
      <c r="Y654" s="87">
        <v>0.0</v>
      </c>
      <c r="Z654" s="87">
        <v>0.0</v>
      </c>
      <c r="AA654" s="87">
        <v>26.02857</v>
      </c>
      <c r="AB654" s="87">
        <v>30.13319</v>
      </c>
      <c r="AC654" s="87">
        <v>24.47063</v>
      </c>
      <c r="AD654" s="87">
        <v>0.0</v>
      </c>
      <c r="AE654" s="87">
        <v>0.0</v>
      </c>
      <c r="AF654" s="87">
        <v>0.0</v>
      </c>
      <c r="AG654" s="87">
        <v>0.0</v>
      </c>
      <c r="AH654" s="87">
        <v>0.0</v>
      </c>
      <c r="AI654" s="87">
        <v>42.06852</v>
      </c>
      <c r="AJ654" s="87">
        <v>16.83678</v>
      </c>
      <c r="AK654" s="87">
        <v>4.562106</v>
      </c>
      <c r="AL654" s="88" t="s">
        <v>1396</v>
      </c>
    </row>
    <row r="655">
      <c r="A655" s="84" t="s">
        <v>2251</v>
      </c>
      <c r="B655" s="84" t="s">
        <v>2266</v>
      </c>
      <c r="C655" s="84" t="s">
        <v>439</v>
      </c>
      <c r="D655" s="84" t="s">
        <v>2267</v>
      </c>
      <c r="E655" s="84" t="s">
        <v>1426</v>
      </c>
      <c r="F655" s="87">
        <v>19.0</v>
      </c>
      <c r="G655" s="87">
        <v>3.0</v>
      </c>
      <c r="H655" s="87">
        <v>31818.0</v>
      </c>
      <c r="I655" s="87">
        <v>43.0</v>
      </c>
      <c r="J655" s="87">
        <v>4423.675</v>
      </c>
      <c r="K655" s="87">
        <v>4613.58</v>
      </c>
      <c r="L655" s="87">
        <v>5084.452</v>
      </c>
      <c r="M655" s="87">
        <v>3983.334</v>
      </c>
      <c r="N655" s="87">
        <v>0.863393</v>
      </c>
      <c r="O655" s="87">
        <v>0.0</v>
      </c>
      <c r="P655" s="87">
        <v>0.0</v>
      </c>
      <c r="Q655" s="87">
        <v>0.0</v>
      </c>
      <c r="R655" s="87">
        <v>37.45651</v>
      </c>
      <c r="S655" s="87">
        <v>86.12665</v>
      </c>
      <c r="T655" s="87">
        <v>43.0</v>
      </c>
      <c r="U655" s="87">
        <v>45.67567</v>
      </c>
      <c r="V655" s="87">
        <v>47.83679</v>
      </c>
      <c r="W655" s="87">
        <v>370.1504</v>
      </c>
      <c r="X655" s="87">
        <v>515.7688</v>
      </c>
      <c r="Y655" s="87">
        <v>242.82</v>
      </c>
      <c r="Z655" s="87">
        <v>0.0</v>
      </c>
      <c r="AA655" s="87">
        <v>42.3182</v>
      </c>
      <c r="AB655" s="87">
        <v>18.92661</v>
      </c>
      <c r="AC655" s="87">
        <v>31.48961</v>
      </c>
      <c r="AD655" s="87">
        <v>30.80029</v>
      </c>
      <c r="AE655" s="87">
        <v>139.1616</v>
      </c>
      <c r="AF655" s="87">
        <v>171.5419</v>
      </c>
      <c r="AG655" s="87">
        <v>155.5724</v>
      </c>
      <c r="AH655" s="87">
        <v>0.0</v>
      </c>
      <c r="AI655" s="87">
        <v>42.06852</v>
      </c>
      <c r="AJ655" s="87">
        <v>16.83678</v>
      </c>
      <c r="AK655" s="87">
        <v>4.562106</v>
      </c>
      <c r="AL655" s="88" t="s">
        <v>1396</v>
      </c>
    </row>
    <row r="656">
      <c r="A656" s="84" t="s">
        <v>2254</v>
      </c>
      <c r="B656" s="84" t="s">
        <v>2268</v>
      </c>
      <c r="C656" s="84" t="s">
        <v>439</v>
      </c>
      <c r="D656" s="84" t="s">
        <v>2267</v>
      </c>
      <c r="E656" s="89">
        <v>46310.0</v>
      </c>
      <c r="F656" s="87">
        <v>45.0</v>
      </c>
      <c r="G656" s="87">
        <v>0.0</v>
      </c>
      <c r="H656" s="87">
        <v>20856.0</v>
      </c>
      <c r="I656" s="87">
        <v>0.0</v>
      </c>
      <c r="J656" s="87">
        <v>3989.654</v>
      </c>
      <c r="K656" s="87">
        <v>4128.321</v>
      </c>
      <c r="L656" s="87">
        <v>4369.67</v>
      </c>
      <c r="M656" s="87">
        <v>3340.684</v>
      </c>
      <c r="N656" s="87">
        <v>0.809211</v>
      </c>
      <c r="O656" s="87">
        <v>0.0</v>
      </c>
      <c r="P656" s="87">
        <v>0.0</v>
      </c>
      <c r="Q656" s="87">
        <v>0.0</v>
      </c>
      <c r="R656" s="87">
        <v>25.67097</v>
      </c>
      <c r="S656" s="87">
        <v>56.33636</v>
      </c>
      <c r="T656" s="87">
        <v>6.198363</v>
      </c>
      <c r="U656" s="87">
        <v>23.1041</v>
      </c>
      <c r="V656" s="87">
        <v>33.89132</v>
      </c>
      <c r="W656" s="87">
        <v>54.06732</v>
      </c>
      <c r="X656" s="87">
        <v>117.9514</v>
      </c>
      <c r="Y656" s="87">
        <v>91.74047</v>
      </c>
      <c r="Z656" s="87">
        <v>0.0</v>
      </c>
      <c r="AA656" s="87">
        <v>42.3182</v>
      </c>
      <c r="AB656" s="87">
        <v>18.92661</v>
      </c>
      <c r="AC656" s="87">
        <v>31.48961</v>
      </c>
      <c r="AD656" s="87">
        <v>20.94259</v>
      </c>
      <c r="AE656" s="87">
        <v>38.47775</v>
      </c>
      <c r="AF656" s="87">
        <v>70.46158</v>
      </c>
      <c r="AG656" s="87">
        <v>50.02146</v>
      </c>
      <c r="AH656" s="87">
        <v>0.0</v>
      </c>
      <c r="AI656" s="87">
        <v>42.06852</v>
      </c>
      <c r="AJ656" s="87">
        <v>16.83678</v>
      </c>
      <c r="AK656" s="87">
        <v>4.562106</v>
      </c>
      <c r="AL656" s="88" t="s">
        <v>1396</v>
      </c>
    </row>
    <row r="657">
      <c r="A657" s="84" t="s">
        <v>2256</v>
      </c>
      <c r="B657" s="84" t="s">
        <v>2269</v>
      </c>
      <c r="C657" s="84" t="s">
        <v>439</v>
      </c>
      <c r="D657" s="84" t="s">
        <v>2267</v>
      </c>
      <c r="E657" s="84" t="s">
        <v>1413</v>
      </c>
      <c r="F657" s="87">
        <v>36.0</v>
      </c>
      <c r="G657" s="87">
        <v>0.0</v>
      </c>
      <c r="H657" s="87">
        <v>4123.0</v>
      </c>
      <c r="I657" s="87">
        <v>0.0</v>
      </c>
      <c r="J657" s="87">
        <v>1021.964</v>
      </c>
      <c r="K657" s="87">
        <v>997.7765</v>
      </c>
      <c r="L657" s="87">
        <v>1146.305</v>
      </c>
      <c r="M657" s="87">
        <v>816.2523</v>
      </c>
      <c r="N657" s="87">
        <v>0.818071</v>
      </c>
      <c r="O657" s="87">
        <v>0.0</v>
      </c>
      <c r="P657" s="87">
        <v>0.0</v>
      </c>
      <c r="Q657" s="87">
        <v>0.0</v>
      </c>
      <c r="R657" s="87">
        <v>4.59486</v>
      </c>
      <c r="S657" s="87">
        <v>27.96219</v>
      </c>
      <c r="T657" s="87">
        <v>3.43846</v>
      </c>
      <c r="U657" s="87">
        <v>5.583333</v>
      </c>
      <c r="V657" s="87">
        <v>11.40004</v>
      </c>
      <c r="W657" s="87">
        <v>27.96219</v>
      </c>
      <c r="X657" s="87">
        <v>49.7741</v>
      </c>
      <c r="Y657" s="87">
        <v>27.71601</v>
      </c>
      <c r="Z657" s="87">
        <v>0.0</v>
      </c>
      <c r="AA657" s="87">
        <v>42.3182</v>
      </c>
      <c r="AB657" s="87">
        <v>18.92661</v>
      </c>
      <c r="AC657" s="87">
        <v>31.48961</v>
      </c>
      <c r="AD657" s="87">
        <v>4.59486</v>
      </c>
      <c r="AE657" s="87">
        <v>18.50337</v>
      </c>
      <c r="AF657" s="87">
        <v>23.50484</v>
      </c>
      <c r="AG657" s="87">
        <v>27.71601</v>
      </c>
      <c r="AH657" s="87">
        <v>0.0</v>
      </c>
      <c r="AI657" s="87">
        <v>42.06852</v>
      </c>
      <c r="AJ657" s="87">
        <v>16.83678</v>
      </c>
      <c r="AK657" s="87">
        <v>4.562106</v>
      </c>
      <c r="AL657" s="88" t="s">
        <v>1396</v>
      </c>
    </row>
    <row r="658">
      <c r="A658" s="84" t="s">
        <v>2270</v>
      </c>
      <c r="B658" s="84" t="s">
        <v>2271</v>
      </c>
      <c r="C658" s="84" t="s">
        <v>439</v>
      </c>
      <c r="D658" s="84" t="s">
        <v>2267</v>
      </c>
      <c r="E658" s="84" t="s">
        <v>1398</v>
      </c>
      <c r="F658" s="87">
        <v>22.0</v>
      </c>
      <c r="G658" s="87">
        <v>0.0</v>
      </c>
      <c r="H658" s="87">
        <v>1865.0</v>
      </c>
      <c r="I658" s="87">
        <v>0.0</v>
      </c>
      <c r="J658" s="87">
        <v>360.4348</v>
      </c>
      <c r="K658" s="87">
        <v>400.6797</v>
      </c>
      <c r="L658" s="87">
        <v>421.936</v>
      </c>
      <c r="M658" s="87">
        <v>301.6269</v>
      </c>
      <c r="N658" s="87">
        <v>0.752788</v>
      </c>
      <c r="O658" s="87">
        <v>0.0</v>
      </c>
      <c r="P658" s="87">
        <v>0.0</v>
      </c>
      <c r="Q658" s="87">
        <v>0.0</v>
      </c>
      <c r="R658" s="87">
        <v>7.349062</v>
      </c>
      <c r="S658" s="87">
        <v>14.95779</v>
      </c>
      <c r="T658" s="87">
        <v>5.752324</v>
      </c>
      <c r="U658" s="87">
        <v>6.198224</v>
      </c>
      <c r="V658" s="87">
        <v>7.349062</v>
      </c>
      <c r="W658" s="87">
        <v>12.97484</v>
      </c>
      <c r="X658" s="87">
        <v>19.28652</v>
      </c>
      <c r="Y658" s="87">
        <v>18.21271</v>
      </c>
      <c r="Z658" s="87">
        <v>0.0</v>
      </c>
      <c r="AA658" s="87">
        <v>42.3182</v>
      </c>
      <c r="AB658" s="87">
        <v>18.92661</v>
      </c>
      <c r="AC658" s="87">
        <v>31.48961</v>
      </c>
      <c r="AD658" s="87">
        <v>5.210668</v>
      </c>
      <c r="AE658" s="87">
        <v>11.8932</v>
      </c>
      <c r="AF658" s="87">
        <v>13.5243</v>
      </c>
      <c r="AG658" s="87">
        <v>1.009846</v>
      </c>
      <c r="AH658" s="87">
        <v>0.0</v>
      </c>
      <c r="AI658" s="87">
        <v>42.06852</v>
      </c>
      <c r="AJ658" s="87">
        <v>16.83678</v>
      </c>
      <c r="AK658" s="87">
        <v>4.562106</v>
      </c>
      <c r="AL658" s="88" t="s">
        <v>1396</v>
      </c>
    </row>
    <row r="659">
      <c r="A659" s="84" t="s">
        <v>2263</v>
      </c>
      <c r="B659" s="84" t="s">
        <v>2272</v>
      </c>
      <c r="C659" s="84" t="s">
        <v>439</v>
      </c>
      <c r="D659" s="84" t="s">
        <v>2267</v>
      </c>
      <c r="E659" s="84" t="s">
        <v>1400</v>
      </c>
      <c r="F659" s="87">
        <v>13.0</v>
      </c>
      <c r="G659" s="87">
        <v>0.0</v>
      </c>
      <c r="H659" s="87">
        <v>2064.0</v>
      </c>
      <c r="I659" s="87">
        <v>0.0</v>
      </c>
      <c r="J659" s="87">
        <v>393.3585</v>
      </c>
      <c r="K659" s="87">
        <v>409.3649</v>
      </c>
      <c r="L659" s="87">
        <v>460.2442</v>
      </c>
      <c r="M659" s="87">
        <v>401.2287</v>
      </c>
      <c r="N659" s="87">
        <v>0.980125</v>
      </c>
      <c r="O659" s="87">
        <v>0.0</v>
      </c>
      <c r="P659" s="87">
        <v>0.0</v>
      </c>
      <c r="Q659" s="87">
        <v>0.0</v>
      </c>
      <c r="R659" s="87">
        <v>0.0</v>
      </c>
      <c r="S659" s="87">
        <v>6.302089</v>
      </c>
      <c r="T659" s="87">
        <v>1.834109</v>
      </c>
      <c r="U659" s="87">
        <v>6.302089</v>
      </c>
      <c r="V659" s="87">
        <v>6.302089</v>
      </c>
      <c r="W659" s="87">
        <v>19.54312</v>
      </c>
      <c r="X659" s="87">
        <v>28.75037</v>
      </c>
      <c r="Y659" s="87">
        <v>31.48961</v>
      </c>
      <c r="Z659" s="87">
        <v>0.0</v>
      </c>
      <c r="AA659" s="87">
        <v>42.3182</v>
      </c>
      <c r="AB659" s="87">
        <v>18.92661</v>
      </c>
      <c r="AC659" s="87">
        <v>31.48961</v>
      </c>
      <c r="AD659" s="87">
        <v>0.0</v>
      </c>
      <c r="AE659" s="87">
        <v>6.302089</v>
      </c>
      <c r="AF659" s="87">
        <v>16.94774</v>
      </c>
      <c r="AG659" s="87">
        <v>2.29922</v>
      </c>
      <c r="AH659" s="87">
        <v>0.0</v>
      </c>
      <c r="AI659" s="87">
        <v>42.06852</v>
      </c>
      <c r="AJ659" s="87">
        <v>16.83678</v>
      </c>
      <c r="AK659" s="87">
        <v>4.562106</v>
      </c>
      <c r="AL659" s="88" t="s">
        <v>1396</v>
      </c>
    </row>
    <row r="660">
      <c r="A660" s="84" t="s">
        <v>2258</v>
      </c>
      <c r="B660" s="84" t="s">
        <v>2273</v>
      </c>
      <c r="C660" s="84" t="s">
        <v>439</v>
      </c>
      <c r="D660" s="84" t="s">
        <v>2267</v>
      </c>
      <c r="E660" s="89">
        <v>46300.0</v>
      </c>
      <c r="F660" s="87">
        <v>30.0</v>
      </c>
      <c r="G660" s="87">
        <v>0.0</v>
      </c>
      <c r="H660" s="87">
        <v>43047.0</v>
      </c>
      <c r="I660" s="87">
        <v>0.0</v>
      </c>
      <c r="J660" s="87">
        <v>6702.92</v>
      </c>
      <c r="K660" s="87">
        <v>6976.318</v>
      </c>
      <c r="L660" s="87">
        <v>7368.183</v>
      </c>
      <c r="M660" s="87">
        <v>5224.462</v>
      </c>
      <c r="N660" s="87">
        <v>0.748885</v>
      </c>
      <c r="O660" s="87">
        <v>0.0</v>
      </c>
      <c r="P660" s="87">
        <v>0.0</v>
      </c>
      <c r="Q660" s="87">
        <v>12.71578</v>
      </c>
      <c r="R660" s="87">
        <v>30.98333</v>
      </c>
      <c r="S660" s="87">
        <v>233.5151</v>
      </c>
      <c r="T660" s="87">
        <v>14.65217</v>
      </c>
      <c r="U660" s="87">
        <v>23.7747</v>
      </c>
      <c r="V660" s="87">
        <v>25.93085</v>
      </c>
      <c r="W660" s="87">
        <v>174.852</v>
      </c>
      <c r="X660" s="87">
        <v>472.0432</v>
      </c>
      <c r="Y660" s="87">
        <v>232.5439</v>
      </c>
      <c r="Z660" s="87">
        <v>0.0</v>
      </c>
      <c r="AA660" s="87">
        <v>42.3182</v>
      </c>
      <c r="AB660" s="87">
        <v>18.92661</v>
      </c>
      <c r="AC660" s="87">
        <v>31.48961</v>
      </c>
      <c r="AD660" s="87">
        <v>22.33082</v>
      </c>
      <c r="AE660" s="87">
        <v>48.09648</v>
      </c>
      <c r="AF660" s="87">
        <v>97.41213</v>
      </c>
      <c r="AG660" s="87">
        <v>56.11059</v>
      </c>
      <c r="AH660" s="87">
        <v>0.0</v>
      </c>
      <c r="AI660" s="87">
        <v>42.06852</v>
      </c>
      <c r="AJ660" s="87">
        <v>16.83678</v>
      </c>
      <c r="AK660" s="87">
        <v>4.562106</v>
      </c>
      <c r="AL660" s="88" t="s">
        <v>1396</v>
      </c>
    </row>
    <row r="661">
      <c r="A661" s="84" t="s">
        <v>2260</v>
      </c>
      <c r="B661" s="84" t="s">
        <v>2274</v>
      </c>
      <c r="C661" s="84" t="s">
        <v>439</v>
      </c>
      <c r="D661" s="84" t="s">
        <v>2267</v>
      </c>
      <c r="E661" s="84" t="s">
        <v>1403</v>
      </c>
      <c r="F661" s="87">
        <v>761.0</v>
      </c>
      <c r="G661" s="87">
        <v>0.0</v>
      </c>
      <c r="H661" s="87">
        <v>0.0</v>
      </c>
      <c r="I661" s="87">
        <v>0.0</v>
      </c>
      <c r="J661" s="87">
        <v>0.0</v>
      </c>
      <c r="K661" s="87">
        <v>0.0</v>
      </c>
      <c r="L661" s="87">
        <v>0.0</v>
      </c>
      <c r="M661" s="87">
        <v>0.0</v>
      </c>
      <c r="N661" s="87">
        <v>0.0</v>
      </c>
      <c r="O661" s="87">
        <v>0.0</v>
      </c>
      <c r="P661" s="87">
        <v>0.0</v>
      </c>
      <c r="Q661" s="87">
        <v>0.0</v>
      </c>
      <c r="R661" s="87">
        <v>0.0</v>
      </c>
      <c r="S661" s="87">
        <v>0.0</v>
      </c>
      <c r="T661" s="87">
        <v>0.0</v>
      </c>
      <c r="U661" s="87">
        <v>0.0</v>
      </c>
      <c r="V661" s="87">
        <v>0.0</v>
      </c>
      <c r="W661" s="87">
        <v>0.0</v>
      </c>
      <c r="X661" s="87">
        <v>0.0</v>
      </c>
      <c r="Y661" s="87">
        <v>0.0</v>
      </c>
      <c r="Z661" s="87">
        <v>0.0</v>
      </c>
      <c r="AA661" s="87">
        <v>42.3182</v>
      </c>
      <c r="AB661" s="87">
        <v>18.92661</v>
      </c>
      <c r="AC661" s="87">
        <v>31.48961</v>
      </c>
      <c r="AD661" s="87">
        <v>0.0</v>
      </c>
      <c r="AE661" s="87">
        <v>0.0</v>
      </c>
      <c r="AF661" s="87">
        <v>0.0</v>
      </c>
      <c r="AG661" s="87">
        <v>0.0</v>
      </c>
      <c r="AH661" s="87">
        <v>0.0</v>
      </c>
      <c r="AI661" s="87">
        <v>42.06852</v>
      </c>
      <c r="AJ661" s="87">
        <v>16.83678</v>
      </c>
      <c r="AK661" s="87">
        <v>4.562106</v>
      </c>
      <c r="AL661" s="88" t="s">
        <v>1396</v>
      </c>
    </row>
    <row r="662">
      <c r="A662" s="84" t="s">
        <v>2251</v>
      </c>
      <c r="B662" s="84" t="s">
        <v>2275</v>
      </c>
      <c r="C662" s="84" t="s">
        <v>439</v>
      </c>
      <c r="D662" s="84" t="s">
        <v>2276</v>
      </c>
      <c r="E662" s="84" t="s">
        <v>1426</v>
      </c>
      <c r="F662" s="87">
        <v>14.0</v>
      </c>
      <c r="G662" s="87">
        <v>0.0</v>
      </c>
      <c r="H662" s="87">
        <v>14329.0</v>
      </c>
      <c r="I662" s="87">
        <v>0.0</v>
      </c>
      <c r="J662" s="87">
        <v>2364.873</v>
      </c>
      <c r="K662" s="87">
        <v>2450.705</v>
      </c>
      <c r="L662" s="87">
        <v>2630.966</v>
      </c>
      <c r="M662" s="87">
        <v>1666.814</v>
      </c>
      <c r="N662" s="87">
        <v>0.680137</v>
      </c>
      <c r="O662" s="87">
        <v>0.0</v>
      </c>
      <c r="P662" s="87">
        <v>0.0</v>
      </c>
      <c r="Q662" s="87">
        <v>55.11224</v>
      </c>
      <c r="R662" s="87">
        <v>92.8509</v>
      </c>
      <c r="S662" s="87">
        <v>139.1616</v>
      </c>
      <c r="T662" s="87">
        <v>65.46219</v>
      </c>
      <c r="U662" s="87">
        <v>67.96508</v>
      </c>
      <c r="V662" s="87">
        <v>92.8509</v>
      </c>
      <c r="W662" s="87">
        <v>139.1616</v>
      </c>
      <c r="X662" s="87">
        <v>339.908</v>
      </c>
      <c r="Y662" s="87">
        <v>175.0504</v>
      </c>
      <c r="Z662" s="87">
        <v>0.0</v>
      </c>
      <c r="AA662" s="87">
        <v>92.8509</v>
      </c>
      <c r="AB662" s="87">
        <v>30.06223</v>
      </c>
      <c r="AC662" s="87">
        <v>2.879558</v>
      </c>
      <c r="AD662" s="87">
        <v>30.80029</v>
      </c>
      <c r="AE662" s="87">
        <v>139.1616</v>
      </c>
      <c r="AF662" s="87">
        <v>171.5419</v>
      </c>
      <c r="AG662" s="87">
        <v>155.5724</v>
      </c>
      <c r="AH662" s="87">
        <v>0.0</v>
      </c>
      <c r="AI662" s="87">
        <v>42.06852</v>
      </c>
      <c r="AJ662" s="87">
        <v>16.83678</v>
      </c>
      <c r="AK662" s="87">
        <v>4.562106</v>
      </c>
      <c r="AL662" s="88" t="s">
        <v>1396</v>
      </c>
    </row>
    <row r="663">
      <c r="A663" s="84" t="s">
        <v>2258</v>
      </c>
      <c r="B663" s="84" t="s">
        <v>2277</v>
      </c>
      <c r="C663" s="84" t="s">
        <v>439</v>
      </c>
      <c r="D663" s="84" t="s">
        <v>2276</v>
      </c>
      <c r="E663" s="89">
        <v>46300.0</v>
      </c>
      <c r="F663" s="87">
        <v>5.0</v>
      </c>
      <c r="G663" s="87">
        <v>0.0</v>
      </c>
      <c r="H663" s="87">
        <v>0.0</v>
      </c>
      <c r="I663" s="87">
        <v>0.0</v>
      </c>
      <c r="J663" s="87">
        <v>12.7009</v>
      </c>
      <c r="K663" s="87">
        <v>14.39779</v>
      </c>
      <c r="L663" s="87">
        <v>49.98722</v>
      </c>
      <c r="M663" s="87">
        <v>10.99789</v>
      </c>
      <c r="N663" s="87">
        <v>0.76386</v>
      </c>
      <c r="O663" s="87">
        <v>0.0</v>
      </c>
      <c r="P663" s="87">
        <v>0.0</v>
      </c>
      <c r="Q663" s="87">
        <v>0.0</v>
      </c>
      <c r="R663" s="87">
        <v>1.0</v>
      </c>
      <c r="S663" s="87">
        <v>2.399896</v>
      </c>
      <c r="T663" s="87">
        <v>1.0</v>
      </c>
      <c r="U663" s="87">
        <v>1.0</v>
      </c>
      <c r="V663" s="87">
        <v>1.0</v>
      </c>
      <c r="W663" s="87">
        <v>2.399896</v>
      </c>
      <c r="X663" s="87">
        <v>10.99789</v>
      </c>
      <c r="Y663" s="87">
        <v>2.879558</v>
      </c>
      <c r="Z663" s="87">
        <v>0.0</v>
      </c>
      <c r="AA663" s="87">
        <v>92.8509</v>
      </c>
      <c r="AB663" s="87">
        <v>30.06223</v>
      </c>
      <c r="AC663" s="87">
        <v>2.879558</v>
      </c>
      <c r="AD663" s="87">
        <v>22.33082</v>
      </c>
      <c r="AE663" s="87">
        <v>48.09648</v>
      </c>
      <c r="AF663" s="87">
        <v>97.41213</v>
      </c>
      <c r="AG663" s="87">
        <v>56.11059</v>
      </c>
      <c r="AH663" s="87">
        <v>0.0</v>
      </c>
      <c r="AI663" s="87">
        <v>42.06852</v>
      </c>
      <c r="AJ663" s="87">
        <v>16.83678</v>
      </c>
      <c r="AK663" s="87">
        <v>4.562106</v>
      </c>
      <c r="AL663" s="88" t="s">
        <v>1396</v>
      </c>
    </row>
    <row r="664">
      <c r="A664" s="84" t="s">
        <v>2260</v>
      </c>
      <c r="B664" s="84" t="s">
        <v>2278</v>
      </c>
      <c r="C664" s="84" t="s">
        <v>439</v>
      </c>
      <c r="D664" s="84" t="s">
        <v>2276</v>
      </c>
      <c r="E664" s="84" t="s">
        <v>1403</v>
      </c>
      <c r="F664" s="87">
        <v>63.0</v>
      </c>
      <c r="G664" s="87">
        <v>0.0</v>
      </c>
      <c r="H664" s="87">
        <v>0.0</v>
      </c>
      <c r="I664" s="87">
        <v>0.0</v>
      </c>
      <c r="J664" s="87">
        <v>0.0</v>
      </c>
      <c r="K664" s="87">
        <v>0.0</v>
      </c>
      <c r="L664" s="87">
        <v>0.0</v>
      </c>
      <c r="M664" s="87">
        <v>0.0</v>
      </c>
      <c r="N664" s="87">
        <v>0.0</v>
      </c>
      <c r="O664" s="87">
        <v>0.0</v>
      </c>
      <c r="P664" s="87">
        <v>0.0</v>
      </c>
      <c r="Q664" s="87">
        <v>0.0</v>
      </c>
      <c r="R664" s="87">
        <v>0.0</v>
      </c>
      <c r="S664" s="87">
        <v>0.0</v>
      </c>
      <c r="T664" s="87">
        <v>0.0</v>
      </c>
      <c r="U664" s="87">
        <v>0.0</v>
      </c>
      <c r="V664" s="87">
        <v>0.0</v>
      </c>
      <c r="W664" s="87">
        <v>0.0</v>
      </c>
      <c r="X664" s="87">
        <v>0.0</v>
      </c>
      <c r="Y664" s="87">
        <v>0.0</v>
      </c>
      <c r="Z664" s="87">
        <v>0.0</v>
      </c>
      <c r="AA664" s="87">
        <v>92.8509</v>
      </c>
      <c r="AB664" s="87">
        <v>30.06223</v>
      </c>
      <c r="AC664" s="87">
        <v>2.879558</v>
      </c>
      <c r="AD664" s="87">
        <v>0.0</v>
      </c>
      <c r="AE664" s="87">
        <v>0.0</v>
      </c>
      <c r="AF664" s="87">
        <v>0.0</v>
      </c>
      <c r="AG664" s="87">
        <v>0.0</v>
      </c>
      <c r="AH664" s="87">
        <v>0.0</v>
      </c>
      <c r="AI664" s="87">
        <v>42.06852</v>
      </c>
      <c r="AJ664" s="87">
        <v>16.83678</v>
      </c>
      <c r="AK664" s="87">
        <v>4.562106</v>
      </c>
      <c r="AL664" s="88" t="s">
        <v>1396</v>
      </c>
    </row>
    <row r="665">
      <c r="A665" s="84" t="s">
        <v>2251</v>
      </c>
      <c r="B665" s="84" t="s">
        <v>2279</v>
      </c>
      <c r="C665" s="84" t="s">
        <v>439</v>
      </c>
      <c r="D665" s="84" t="s">
        <v>440</v>
      </c>
      <c r="E665" s="84" t="s">
        <v>1426</v>
      </c>
      <c r="F665" s="87">
        <v>1.0</v>
      </c>
      <c r="G665" s="87">
        <v>0.0</v>
      </c>
      <c r="H665" s="87">
        <v>0.0</v>
      </c>
      <c r="I665" s="87">
        <v>0.0</v>
      </c>
      <c r="J665" s="87">
        <v>0.0</v>
      </c>
      <c r="K665" s="87">
        <v>0.0</v>
      </c>
      <c r="L665" s="87">
        <v>0.0</v>
      </c>
      <c r="M665" s="87">
        <v>0.0</v>
      </c>
      <c r="N665" s="87">
        <v>0.0</v>
      </c>
      <c r="O665" s="87">
        <v>0.0</v>
      </c>
      <c r="P665" s="87">
        <v>0.0</v>
      </c>
      <c r="Q665" s="87">
        <v>0.0</v>
      </c>
      <c r="R665" s="87">
        <v>0.0</v>
      </c>
      <c r="S665" s="87">
        <v>0.0</v>
      </c>
      <c r="T665" s="87">
        <v>0.0</v>
      </c>
      <c r="U665" s="87">
        <v>0.0</v>
      </c>
      <c r="V665" s="87">
        <v>0.0</v>
      </c>
      <c r="W665" s="87">
        <v>0.0</v>
      </c>
      <c r="X665" s="87">
        <v>0.0</v>
      </c>
      <c r="Y665" s="87">
        <v>0.0</v>
      </c>
      <c r="Z665" s="87">
        <v>0.0</v>
      </c>
      <c r="AA665" s="87">
        <v>18.75332</v>
      </c>
      <c r="AB665" s="87">
        <v>2.615904</v>
      </c>
      <c r="AC665" s="87">
        <v>0.0</v>
      </c>
      <c r="AD665" s="87">
        <v>30.80029</v>
      </c>
      <c r="AE665" s="87">
        <v>139.1616</v>
      </c>
      <c r="AF665" s="87">
        <v>171.5419</v>
      </c>
      <c r="AG665" s="87">
        <v>155.5724</v>
      </c>
      <c r="AH665" s="87">
        <v>0.0</v>
      </c>
      <c r="AI665" s="87">
        <v>42.06852</v>
      </c>
      <c r="AJ665" s="87">
        <v>16.83678</v>
      </c>
      <c r="AK665" s="87">
        <v>4.562106</v>
      </c>
      <c r="AL665" s="88" t="s">
        <v>1396</v>
      </c>
    </row>
    <row r="666">
      <c r="A666" s="84" t="s">
        <v>2254</v>
      </c>
      <c r="B666" s="84" t="s">
        <v>2280</v>
      </c>
      <c r="C666" s="84" t="s">
        <v>439</v>
      </c>
      <c r="D666" s="84" t="s">
        <v>440</v>
      </c>
      <c r="E666" s="86">
        <v>46310.0</v>
      </c>
      <c r="F666" s="87">
        <v>1.0</v>
      </c>
      <c r="G666" s="87">
        <v>0.0</v>
      </c>
      <c r="H666" s="87">
        <v>0.0</v>
      </c>
      <c r="I666" s="87">
        <v>0.0</v>
      </c>
      <c r="J666" s="87">
        <v>0.0</v>
      </c>
      <c r="K666" s="87">
        <v>0.0</v>
      </c>
      <c r="L666" s="87">
        <v>0.0</v>
      </c>
      <c r="M666" s="87">
        <v>0.0</v>
      </c>
      <c r="N666" s="87">
        <v>0.0</v>
      </c>
      <c r="O666" s="87">
        <v>0.0</v>
      </c>
      <c r="P666" s="87">
        <v>0.0</v>
      </c>
      <c r="Q666" s="87">
        <v>0.0</v>
      </c>
      <c r="R666" s="87">
        <v>0.0</v>
      </c>
      <c r="S666" s="87">
        <v>0.0</v>
      </c>
      <c r="T666" s="87">
        <v>0.0</v>
      </c>
      <c r="U666" s="87">
        <v>0.0</v>
      </c>
      <c r="V666" s="87">
        <v>0.0</v>
      </c>
      <c r="W666" s="87">
        <v>0.0</v>
      </c>
      <c r="X666" s="87">
        <v>0.0</v>
      </c>
      <c r="Y666" s="87">
        <v>0.0</v>
      </c>
      <c r="Z666" s="87">
        <v>0.0</v>
      </c>
      <c r="AA666" s="87">
        <v>18.75332</v>
      </c>
      <c r="AB666" s="87">
        <v>2.615904</v>
      </c>
      <c r="AC666" s="87">
        <v>0.0</v>
      </c>
      <c r="AD666" s="87">
        <v>20.94259</v>
      </c>
      <c r="AE666" s="87">
        <v>38.47775</v>
      </c>
      <c r="AF666" s="87">
        <v>70.46158</v>
      </c>
      <c r="AG666" s="87">
        <v>50.02146</v>
      </c>
      <c r="AH666" s="87">
        <v>0.0</v>
      </c>
      <c r="AI666" s="87">
        <v>42.06852</v>
      </c>
      <c r="AJ666" s="87">
        <v>16.83678</v>
      </c>
      <c r="AK666" s="87">
        <v>4.562106</v>
      </c>
      <c r="AL666" s="88" t="s">
        <v>1396</v>
      </c>
    </row>
    <row r="667">
      <c r="A667" s="84" t="s">
        <v>2256</v>
      </c>
      <c r="B667" s="84" t="s">
        <v>2281</v>
      </c>
      <c r="C667" s="84" t="s">
        <v>439</v>
      </c>
      <c r="D667" s="84" t="s">
        <v>440</v>
      </c>
      <c r="E667" s="84" t="s">
        <v>1413</v>
      </c>
      <c r="F667" s="87">
        <v>8.0</v>
      </c>
      <c r="G667" s="87">
        <v>0.0</v>
      </c>
      <c r="H667" s="87">
        <v>214.0</v>
      </c>
      <c r="I667" s="87">
        <v>0.0</v>
      </c>
      <c r="J667" s="87">
        <v>31.37425</v>
      </c>
      <c r="K667" s="87">
        <v>36.49685</v>
      </c>
      <c r="L667" s="87">
        <v>52.4937</v>
      </c>
      <c r="M667" s="87">
        <v>34.74685</v>
      </c>
      <c r="N667" s="87">
        <v>0.952051</v>
      </c>
      <c r="O667" s="87">
        <v>0.0</v>
      </c>
      <c r="P667" s="87">
        <v>0.0</v>
      </c>
      <c r="Q667" s="87">
        <v>0.0</v>
      </c>
      <c r="R667" s="87">
        <v>0.75</v>
      </c>
      <c r="S667" s="87">
        <v>1.0</v>
      </c>
      <c r="T667" s="87">
        <v>0.75</v>
      </c>
      <c r="U667" s="87">
        <v>0.75</v>
      </c>
      <c r="V667" s="87">
        <v>1.0</v>
      </c>
      <c r="W667" s="87">
        <v>15.99353</v>
      </c>
      <c r="X667" s="87">
        <v>15.99353</v>
      </c>
      <c r="Y667" s="87">
        <v>4.562106</v>
      </c>
      <c r="Z667" s="87">
        <v>0.0</v>
      </c>
      <c r="AA667" s="87">
        <v>18.75332</v>
      </c>
      <c r="AB667" s="87">
        <v>2.615904</v>
      </c>
      <c r="AC667" s="87">
        <v>0.0</v>
      </c>
      <c r="AD667" s="87">
        <v>4.59486</v>
      </c>
      <c r="AE667" s="87">
        <v>18.50337</v>
      </c>
      <c r="AF667" s="87">
        <v>23.50484</v>
      </c>
      <c r="AG667" s="87">
        <v>27.71601</v>
      </c>
      <c r="AH667" s="87">
        <v>0.0</v>
      </c>
      <c r="AI667" s="87">
        <v>42.06852</v>
      </c>
      <c r="AJ667" s="87">
        <v>16.83678</v>
      </c>
      <c r="AK667" s="87">
        <v>4.562106</v>
      </c>
      <c r="AL667" s="88" t="s">
        <v>1396</v>
      </c>
    </row>
    <row r="668">
      <c r="A668" s="84" t="s">
        <v>2270</v>
      </c>
      <c r="B668" s="84" t="s">
        <v>2282</v>
      </c>
      <c r="C668" s="84" t="s">
        <v>439</v>
      </c>
      <c r="D668" s="84" t="s">
        <v>440</v>
      </c>
      <c r="E668" s="84" t="s">
        <v>1398</v>
      </c>
      <c r="F668" s="87">
        <v>3.0</v>
      </c>
      <c r="G668" s="87">
        <v>0.0</v>
      </c>
      <c r="H668" s="87">
        <v>0.0</v>
      </c>
      <c r="I668" s="87">
        <v>0.0</v>
      </c>
      <c r="J668" s="87">
        <v>0.0</v>
      </c>
      <c r="K668" s="87">
        <v>0.0</v>
      </c>
      <c r="L668" s="87">
        <v>0.0</v>
      </c>
      <c r="M668" s="87">
        <v>0.0</v>
      </c>
      <c r="N668" s="87">
        <v>0.0</v>
      </c>
      <c r="O668" s="87">
        <v>0.0</v>
      </c>
      <c r="P668" s="87">
        <v>0.0</v>
      </c>
      <c r="Q668" s="87">
        <v>0.0</v>
      </c>
      <c r="R668" s="87">
        <v>0.0</v>
      </c>
      <c r="S668" s="87">
        <v>0.0</v>
      </c>
      <c r="T668" s="87">
        <v>0.0</v>
      </c>
      <c r="U668" s="87">
        <v>0.0</v>
      </c>
      <c r="V668" s="87">
        <v>0.0</v>
      </c>
      <c r="W668" s="87">
        <v>0.0</v>
      </c>
      <c r="X668" s="87">
        <v>0.0</v>
      </c>
      <c r="Y668" s="87">
        <v>0.0</v>
      </c>
      <c r="Z668" s="87">
        <v>0.0</v>
      </c>
      <c r="AA668" s="87">
        <v>18.75332</v>
      </c>
      <c r="AB668" s="87">
        <v>2.615904</v>
      </c>
      <c r="AC668" s="87">
        <v>0.0</v>
      </c>
      <c r="AD668" s="87">
        <v>5.210668</v>
      </c>
      <c r="AE668" s="87">
        <v>11.8932</v>
      </c>
      <c r="AF668" s="87">
        <v>13.5243</v>
      </c>
      <c r="AG668" s="87">
        <v>1.009846</v>
      </c>
      <c r="AH668" s="87">
        <v>0.0</v>
      </c>
      <c r="AI668" s="87">
        <v>42.06852</v>
      </c>
      <c r="AJ668" s="87">
        <v>16.83678</v>
      </c>
      <c r="AK668" s="87">
        <v>4.562106</v>
      </c>
      <c r="AL668" s="88" t="s">
        <v>1396</v>
      </c>
    </row>
    <row r="669">
      <c r="A669" s="84" t="s">
        <v>2263</v>
      </c>
      <c r="B669" s="84" t="s">
        <v>2283</v>
      </c>
      <c r="C669" s="84" t="s">
        <v>439</v>
      </c>
      <c r="D669" s="84" t="s">
        <v>440</v>
      </c>
      <c r="E669" s="84" t="s">
        <v>1400</v>
      </c>
      <c r="F669" s="87">
        <v>4.0</v>
      </c>
      <c r="G669" s="87">
        <v>0.0</v>
      </c>
      <c r="H669" s="87">
        <v>0.0</v>
      </c>
      <c r="I669" s="87">
        <v>0.0</v>
      </c>
      <c r="J669" s="87">
        <v>0.0</v>
      </c>
      <c r="K669" s="87">
        <v>0.0</v>
      </c>
      <c r="L669" s="87">
        <v>0.0</v>
      </c>
      <c r="M669" s="87">
        <v>0.0</v>
      </c>
      <c r="N669" s="87">
        <v>0.0</v>
      </c>
      <c r="O669" s="87">
        <v>0.0</v>
      </c>
      <c r="P669" s="87">
        <v>0.0</v>
      </c>
      <c r="Q669" s="87">
        <v>0.0</v>
      </c>
      <c r="R669" s="87">
        <v>0.0</v>
      </c>
      <c r="S669" s="87">
        <v>0.0</v>
      </c>
      <c r="T669" s="87">
        <v>0.0</v>
      </c>
      <c r="U669" s="87">
        <v>0.0</v>
      </c>
      <c r="V669" s="87">
        <v>0.0</v>
      </c>
      <c r="W669" s="87">
        <v>0.0</v>
      </c>
      <c r="X669" s="87">
        <v>0.0</v>
      </c>
      <c r="Y669" s="87">
        <v>0.0</v>
      </c>
      <c r="Z669" s="87">
        <v>0.0</v>
      </c>
      <c r="AA669" s="87">
        <v>18.75332</v>
      </c>
      <c r="AB669" s="87">
        <v>2.615904</v>
      </c>
      <c r="AC669" s="87">
        <v>0.0</v>
      </c>
      <c r="AD669" s="87">
        <v>0.0</v>
      </c>
      <c r="AE669" s="87">
        <v>6.302089</v>
      </c>
      <c r="AF669" s="87">
        <v>16.94774</v>
      </c>
      <c r="AG669" s="87">
        <v>2.29922</v>
      </c>
      <c r="AH669" s="87">
        <v>0.0</v>
      </c>
      <c r="AI669" s="87">
        <v>42.06852</v>
      </c>
      <c r="AJ669" s="87">
        <v>16.83678</v>
      </c>
      <c r="AK669" s="87">
        <v>4.562106</v>
      </c>
      <c r="AL669" s="88" t="s">
        <v>1396</v>
      </c>
    </row>
    <row r="670">
      <c r="A670" s="84" t="s">
        <v>2258</v>
      </c>
      <c r="B670" s="84" t="s">
        <v>2284</v>
      </c>
      <c r="C670" s="84" t="s">
        <v>439</v>
      </c>
      <c r="D670" s="84" t="s">
        <v>440</v>
      </c>
      <c r="E670" s="89">
        <v>46300.0</v>
      </c>
      <c r="F670" s="87">
        <v>9.0</v>
      </c>
      <c r="G670" s="87">
        <v>0.0</v>
      </c>
      <c r="H670" s="87">
        <v>3028.0</v>
      </c>
      <c r="I670" s="87">
        <v>0.0</v>
      </c>
      <c r="J670" s="87">
        <v>472.9645</v>
      </c>
      <c r="K670" s="87">
        <v>504.9953</v>
      </c>
      <c r="L670" s="87">
        <v>510.4668</v>
      </c>
      <c r="M670" s="87">
        <v>445.6668</v>
      </c>
      <c r="N670" s="87">
        <v>0.882517</v>
      </c>
      <c r="O670" s="87">
        <v>0.0</v>
      </c>
      <c r="P670" s="87">
        <v>0.0</v>
      </c>
      <c r="Q670" s="87">
        <v>0.0</v>
      </c>
      <c r="R670" s="87">
        <v>12.00189</v>
      </c>
      <c r="S670" s="87">
        <v>22.33082</v>
      </c>
      <c r="T670" s="87">
        <v>6.164583</v>
      </c>
      <c r="U670" s="87">
        <v>12.00189</v>
      </c>
      <c r="V670" s="87">
        <v>12.00189</v>
      </c>
      <c r="W670" s="87">
        <v>22.33082</v>
      </c>
      <c r="X670" s="87">
        <v>157.6822</v>
      </c>
      <c r="Y670" s="87">
        <v>56.11059</v>
      </c>
      <c r="Z670" s="87">
        <v>0.0</v>
      </c>
      <c r="AA670" s="87">
        <v>18.75332</v>
      </c>
      <c r="AB670" s="87">
        <v>2.615904</v>
      </c>
      <c r="AC670" s="87">
        <v>0.0</v>
      </c>
      <c r="AD670" s="87">
        <v>22.33082</v>
      </c>
      <c r="AE670" s="87">
        <v>48.09648</v>
      </c>
      <c r="AF670" s="87">
        <v>97.41213</v>
      </c>
      <c r="AG670" s="87">
        <v>56.11059</v>
      </c>
      <c r="AH670" s="87">
        <v>0.0</v>
      </c>
      <c r="AI670" s="87">
        <v>42.06852</v>
      </c>
      <c r="AJ670" s="87">
        <v>16.83678</v>
      </c>
      <c r="AK670" s="87">
        <v>4.562106</v>
      </c>
      <c r="AL670" s="88" t="s">
        <v>1396</v>
      </c>
    </row>
    <row r="671">
      <c r="A671" s="84" t="s">
        <v>2260</v>
      </c>
      <c r="B671" s="84" t="s">
        <v>2285</v>
      </c>
      <c r="C671" s="84" t="s">
        <v>439</v>
      </c>
      <c r="D671" s="84" t="s">
        <v>440</v>
      </c>
      <c r="E671" s="84" t="s">
        <v>1403</v>
      </c>
      <c r="F671" s="87">
        <v>181.0</v>
      </c>
      <c r="G671" s="87">
        <v>0.0</v>
      </c>
      <c r="H671" s="87">
        <v>0.0</v>
      </c>
      <c r="I671" s="87">
        <v>0.0</v>
      </c>
      <c r="J671" s="87">
        <v>0.0</v>
      </c>
      <c r="K671" s="87">
        <v>0.0</v>
      </c>
      <c r="L671" s="87">
        <v>0.0</v>
      </c>
      <c r="M671" s="87">
        <v>0.0</v>
      </c>
      <c r="N671" s="87">
        <v>0.0</v>
      </c>
      <c r="O671" s="87">
        <v>0.0</v>
      </c>
      <c r="P671" s="87">
        <v>0.0</v>
      </c>
      <c r="Q671" s="87">
        <v>0.0</v>
      </c>
      <c r="R671" s="87">
        <v>0.0</v>
      </c>
      <c r="S671" s="87">
        <v>0.0</v>
      </c>
      <c r="T671" s="87">
        <v>0.0</v>
      </c>
      <c r="U671" s="87">
        <v>0.0</v>
      </c>
      <c r="V671" s="87">
        <v>0.0</v>
      </c>
      <c r="W671" s="87">
        <v>0.0</v>
      </c>
      <c r="X671" s="87">
        <v>0.0</v>
      </c>
      <c r="Y671" s="87">
        <v>0.0</v>
      </c>
      <c r="Z671" s="87">
        <v>0.0</v>
      </c>
      <c r="AA671" s="87">
        <v>18.75332</v>
      </c>
      <c r="AB671" s="87">
        <v>2.615904</v>
      </c>
      <c r="AC671" s="87">
        <v>0.0</v>
      </c>
      <c r="AD671" s="87">
        <v>0.0</v>
      </c>
      <c r="AE671" s="87">
        <v>0.0</v>
      </c>
      <c r="AF671" s="87">
        <v>0.0</v>
      </c>
      <c r="AG671" s="87">
        <v>0.0</v>
      </c>
      <c r="AH671" s="87">
        <v>0.0</v>
      </c>
      <c r="AI671" s="87">
        <v>42.06852</v>
      </c>
      <c r="AJ671" s="87">
        <v>16.83678</v>
      </c>
      <c r="AK671" s="87">
        <v>4.562106</v>
      </c>
      <c r="AL671" s="88" t="s">
        <v>1396</v>
      </c>
    </row>
    <row r="672">
      <c r="A672" s="84" t="s">
        <v>2251</v>
      </c>
      <c r="B672" s="84" t="s">
        <v>2286</v>
      </c>
      <c r="C672" s="84" t="s">
        <v>439</v>
      </c>
      <c r="D672" s="84" t="s">
        <v>939</v>
      </c>
      <c r="E672" s="84" t="s">
        <v>1426</v>
      </c>
      <c r="F672" s="87">
        <v>67.0</v>
      </c>
      <c r="G672" s="87">
        <v>2.0</v>
      </c>
      <c r="H672" s="87">
        <v>107162.0</v>
      </c>
      <c r="I672" s="87">
        <v>44.0</v>
      </c>
      <c r="J672" s="87">
        <v>10115.24</v>
      </c>
      <c r="K672" s="87">
        <v>10423.35</v>
      </c>
      <c r="L672" s="87">
        <v>10838.22</v>
      </c>
      <c r="M672" s="87">
        <v>8778.118</v>
      </c>
      <c r="N672" s="87">
        <v>0.842159</v>
      </c>
      <c r="O672" s="87">
        <v>0.0</v>
      </c>
      <c r="P672" s="87">
        <v>0.0</v>
      </c>
      <c r="Q672" s="87">
        <v>0.0</v>
      </c>
      <c r="R672" s="87">
        <v>10.03317</v>
      </c>
      <c r="S672" s="87">
        <v>131.3203</v>
      </c>
      <c r="T672" s="87">
        <v>16.62751</v>
      </c>
      <c r="U672" s="87">
        <v>25.08333</v>
      </c>
      <c r="V672" s="87">
        <v>53.31515</v>
      </c>
      <c r="W672" s="87">
        <v>159.3695</v>
      </c>
      <c r="X672" s="87">
        <v>257.3409</v>
      </c>
      <c r="Y672" s="87">
        <v>155.5724</v>
      </c>
      <c r="Z672" s="87">
        <v>0.0</v>
      </c>
      <c r="AA672" s="87">
        <v>37.37621</v>
      </c>
      <c r="AB672" s="87">
        <v>15.9002</v>
      </c>
      <c r="AC672" s="87">
        <v>14.18516</v>
      </c>
      <c r="AD672" s="87">
        <v>30.80029</v>
      </c>
      <c r="AE672" s="87">
        <v>139.1616</v>
      </c>
      <c r="AF672" s="87">
        <v>171.5419</v>
      </c>
      <c r="AG672" s="87">
        <v>155.5724</v>
      </c>
      <c r="AH672" s="87">
        <v>0.0</v>
      </c>
      <c r="AI672" s="87">
        <v>42.06852</v>
      </c>
      <c r="AJ672" s="87">
        <v>16.83678</v>
      </c>
      <c r="AK672" s="87">
        <v>4.562106</v>
      </c>
      <c r="AL672" s="88" t="s">
        <v>1396</v>
      </c>
    </row>
    <row r="673">
      <c r="A673" s="84" t="s">
        <v>2254</v>
      </c>
      <c r="B673" s="84" t="s">
        <v>2287</v>
      </c>
      <c r="C673" s="84" t="s">
        <v>439</v>
      </c>
      <c r="D673" s="84" t="s">
        <v>939</v>
      </c>
      <c r="E673" s="86">
        <v>46310.0</v>
      </c>
      <c r="F673" s="87">
        <v>32.0</v>
      </c>
      <c r="G673" s="87">
        <v>0.0</v>
      </c>
      <c r="H673" s="87">
        <v>10292.0</v>
      </c>
      <c r="I673" s="87">
        <v>0.0</v>
      </c>
      <c r="J673" s="87">
        <v>1557.495</v>
      </c>
      <c r="K673" s="87">
        <v>1600.687</v>
      </c>
      <c r="L673" s="87">
        <v>1612.74</v>
      </c>
      <c r="M673" s="87">
        <v>1230.252</v>
      </c>
      <c r="N673" s="87">
        <v>0.768578</v>
      </c>
      <c r="O673" s="87">
        <v>0.0</v>
      </c>
      <c r="P673" s="87">
        <v>0.833333</v>
      </c>
      <c r="Q673" s="87">
        <v>5.25573</v>
      </c>
      <c r="R673" s="87">
        <v>21.69103</v>
      </c>
      <c r="S673" s="87">
        <v>35.17502</v>
      </c>
      <c r="T673" s="87">
        <v>2.153444</v>
      </c>
      <c r="U673" s="87">
        <v>8.049019</v>
      </c>
      <c r="V673" s="87">
        <v>10.70035</v>
      </c>
      <c r="W673" s="87">
        <v>23.59783</v>
      </c>
      <c r="X673" s="87">
        <v>41.53425</v>
      </c>
      <c r="Y673" s="87">
        <v>50.02146</v>
      </c>
      <c r="Z673" s="87">
        <v>0.0</v>
      </c>
      <c r="AA673" s="87">
        <v>37.37621</v>
      </c>
      <c r="AB673" s="87">
        <v>15.9002</v>
      </c>
      <c r="AC673" s="87">
        <v>14.18516</v>
      </c>
      <c r="AD673" s="87">
        <v>20.94259</v>
      </c>
      <c r="AE673" s="87">
        <v>38.47775</v>
      </c>
      <c r="AF673" s="87">
        <v>70.46158</v>
      </c>
      <c r="AG673" s="87">
        <v>50.02146</v>
      </c>
      <c r="AH673" s="87">
        <v>0.0</v>
      </c>
      <c r="AI673" s="87">
        <v>42.06852</v>
      </c>
      <c r="AJ673" s="87">
        <v>16.83678</v>
      </c>
      <c r="AK673" s="87">
        <v>4.562106</v>
      </c>
      <c r="AL673" s="88" t="s">
        <v>1396</v>
      </c>
    </row>
    <row r="674">
      <c r="A674" s="84" t="s">
        <v>2256</v>
      </c>
      <c r="B674" s="84" t="s">
        <v>2288</v>
      </c>
      <c r="C674" s="84" t="s">
        <v>439</v>
      </c>
      <c r="D674" s="84" t="s">
        <v>939</v>
      </c>
      <c r="E674" s="84" t="s">
        <v>1413</v>
      </c>
      <c r="F674" s="87">
        <v>9.0</v>
      </c>
      <c r="G674" s="87">
        <v>0.0</v>
      </c>
      <c r="H674" s="87">
        <v>1687.0</v>
      </c>
      <c r="I674" s="87">
        <v>0.0</v>
      </c>
      <c r="J674" s="87">
        <v>127.097</v>
      </c>
      <c r="K674" s="87">
        <v>127.6665</v>
      </c>
      <c r="L674" s="87">
        <v>143.8224</v>
      </c>
      <c r="M674" s="87">
        <v>59.52133</v>
      </c>
      <c r="N674" s="87">
        <v>0.466225</v>
      </c>
      <c r="O674" s="87">
        <v>1.854412</v>
      </c>
      <c r="P674" s="87">
        <v>3.180976</v>
      </c>
      <c r="Q674" s="87">
        <v>4.162319</v>
      </c>
      <c r="R674" s="87">
        <v>12.53202</v>
      </c>
      <c r="S674" s="87">
        <v>19.49167</v>
      </c>
      <c r="T674" s="87">
        <v>1.854412</v>
      </c>
      <c r="U674" s="87">
        <v>3.180976</v>
      </c>
      <c r="V674" s="87">
        <v>4.162319</v>
      </c>
      <c r="W674" s="87">
        <v>12.53202</v>
      </c>
      <c r="X674" s="87">
        <v>19.49167</v>
      </c>
      <c r="Y674" s="87">
        <v>14.18516</v>
      </c>
      <c r="Z674" s="87">
        <v>0.0</v>
      </c>
      <c r="AA674" s="87">
        <v>37.37621</v>
      </c>
      <c r="AB674" s="87">
        <v>15.9002</v>
      </c>
      <c r="AC674" s="87">
        <v>14.18516</v>
      </c>
      <c r="AD674" s="87">
        <v>4.59486</v>
      </c>
      <c r="AE674" s="87">
        <v>18.50337</v>
      </c>
      <c r="AF674" s="87">
        <v>23.50484</v>
      </c>
      <c r="AG674" s="87">
        <v>27.71601</v>
      </c>
      <c r="AH674" s="87">
        <v>0.0</v>
      </c>
      <c r="AI674" s="87">
        <v>42.06852</v>
      </c>
      <c r="AJ674" s="87">
        <v>16.83678</v>
      </c>
      <c r="AK674" s="87">
        <v>4.562106</v>
      </c>
      <c r="AL674" s="88" t="s">
        <v>1396</v>
      </c>
    </row>
    <row r="675">
      <c r="A675" s="84" t="s">
        <v>2270</v>
      </c>
      <c r="B675" s="84" t="s">
        <v>2289</v>
      </c>
      <c r="C675" s="84" t="s">
        <v>439</v>
      </c>
      <c r="D675" s="84" t="s">
        <v>939</v>
      </c>
      <c r="E675" s="84" t="s">
        <v>1398</v>
      </c>
      <c r="F675" s="87">
        <v>5.0</v>
      </c>
      <c r="G675" s="87">
        <v>0.0</v>
      </c>
      <c r="H675" s="87">
        <v>75.0</v>
      </c>
      <c r="I675" s="87">
        <v>0.0</v>
      </c>
      <c r="J675" s="87">
        <v>4.073699</v>
      </c>
      <c r="K675" s="87">
        <v>5.049228</v>
      </c>
      <c r="L675" s="87">
        <v>5.245925</v>
      </c>
      <c r="M675" s="87">
        <v>3.62044</v>
      </c>
      <c r="N675" s="87">
        <v>0.717028</v>
      </c>
      <c r="O675" s="87">
        <v>0.0</v>
      </c>
      <c r="P675" s="87">
        <v>0.0</v>
      </c>
      <c r="Q675" s="87">
        <v>0.0</v>
      </c>
      <c r="R675" s="87">
        <v>0.083333</v>
      </c>
      <c r="S675" s="87">
        <v>1.345455</v>
      </c>
      <c r="T675" s="87">
        <v>0.083333</v>
      </c>
      <c r="U675" s="87">
        <v>0.083333</v>
      </c>
      <c r="V675" s="87">
        <v>0.083333</v>
      </c>
      <c r="W675" s="87">
        <v>1.345455</v>
      </c>
      <c r="X675" s="87">
        <v>3.62044</v>
      </c>
      <c r="Y675" s="87">
        <v>1.009846</v>
      </c>
      <c r="Z675" s="87">
        <v>0.0</v>
      </c>
      <c r="AA675" s="87">
        <v>37.37621</v>
      </c>
      <c r="AB675" s="87">
        <v>15.9002</v>
      </c>
      <c r="AC675" s="87">
        <v>14.18516</v>
      </c>
      <c r="AD675" s="87">
        <v>5.210668</v>
      </c>
      <c r="AE675" s="87">
        <v>11.8932</v>
      </c>
      <c r="AF675" s="87">
        <v>13.5243</v>
      </c>
      <c r="AG675" s="87">
        <v>1.009846</v>
      </c>
      <c r="AH675" s="87">
        <v>0.0</v>
      </c>
      <c r="AI675" s="87">
        <v>42.06852</v>
      </c>
      <c r="AJ675" s="87">
        <v>16.83678</v>
      </c>
      <c r="AK675" s="87">
        <v>4.562106</v>
      </c>
      <c r="AL675" s="88" t="s">
        <v>1396</v>
      </c>
    </row>
    <row r="676">
      <c r="A676" s="84" t="s">
        <v>2263</v>
      </c>
      <c r="B676" s="84" t="s">
        <v>2290</v>
      </c>
      <c r="C676" s="84" t="s">
        <v>439</v>
      </c>
      <c r="D676" s="84" t="s">
        <v>939</v>
      </c>
      <c r="E676" s="84" t="s">
        <v>1400</v>
      </c>
      <c r="F676" s="87">
        <v>6.0</v>
      </c>
      <c r="G676" s="87">
        <v>0.0</v>
      </c>
      <c r="H676" s="87">
        <v>3.0</v>
      </c>
      <c r="I676" s="87">
        <v>0.0</v>
      </c>
      <c r="J676" s="87">
        <v>11.71151</v>
      </c>
      <c r="K676" s="87">
        <v>13.79532</v>
      </c>
      <c r="L676" s="87">
        <v>17.72675</v>
      </c>
      <c r="M676" s="87">
        <v>13.79532</v>
      </c>
      <c r="N676" s="87">
        <v>1.0</v>
      </c>
      <c r="O676" s="87">
        <v>0.0</v>
      </c>
      <c r="P676" s="87">
        <v>0.0</v>
      </c>
      <c r="Q676" s="87">
        <v>0.0</v>
      </c>
      <c r="R676" s="87">
        <v>0.0</v>
      </c>
      <c r="S676" s="87">
        <v>3.090909</v>
      </c>
      <c r="T676" s="87">
        <v>3.090909</v>
      </c>
      <c r="U676" s="87">
        <v>3.090909</v>
      </c>
      <c r="V676" s="87">
        <v>3.090909</v>
      </c>
      <c r="W676" s="87">
        <v>10.70441</v>
      </c>
      <c r="X676" s="87">
        <v>10.70441</v>
      </c>
      <c r="Y676" s="87">
        <v>2.29922</v>
      </c>
      <c r="Z676" s="87">
        <v>0.0</v>
      </c>
      <c r="AA676" s="87">
        <v>37.37621</v>
      </c>
      <c r="AB676" s="87">
        <v>15.9002</v>
      </c>
      <c r="AC676" s="87">
        <v>14.18516</v>
      </c>
      <c r="AD676" s="87">
        <v>0.0</v>
      </c>
      <c r="AE676" s="87">
        <v>6.302089</v>
      </c>
      <c r="AF676" s="87">
        <v>16.94774</v>
      </c>
      <c r="AG676" s="87">
        <v>2.29922</v>
      </c>
      <c r="AH676" s="87">
        <v>0.0</v>
      </c>
      <c r="AI676" s="87">
        <v>42.06852</v>
      </c>
      <c r="AJ676" s="87">
        <v>16.83678</v>
      </c>
      <c r="AK676" s="87">
        <v>4.562106</v>
      </c>
      <c r="AL676" s="88" t="s">
        <v>1396</v>
      </c>
    </row>
    <row r="677">
      <c r="A677" s="84" t="s">
        <v>2258</v>
      </c>
      <c r="B677" s="84" t="s">
        <v>2291</v>
      </c>
      <c r="C677" s="84" t="s">
        <v>439</v>
      </c>
      <c r="D677" s="84" t="s">
        <v>939</v>
      </c>
      <c r="E677" s="89">
        <v>46300.0</v>
      </c>
      <c r="F677" s="87">
        <v>72.0</v>
      </c>
      <c r="G677" s="87">
        <v>0.0</v>
      </c>
      <c r="H677" s="87">
        <v>31352.0</v>
      </c>
      <c r="I677" s="87">
        <v>0.0</v>
      </c>
      <c r="J677" s="87">
        <v>4272.167</v>
      </c>
      <c r="K677" s="87">
        <v>4476.956</v>
      </c>
      <c r="L677" s="87">
        <v>4707.783</v>
      </c>
      <c r="M677" s="87">
        <v>3033.672</v>
      </c>
      <c r="N677" s="87">
        <v>0.677619</v>
      </c>
      <c r="O677" s="87">
        <v>0.0</v>
      </c>
      <c r="P677" s="87">
        <v>0.0</v>
      </c>
      <c r="Q677" s="87">
        <v>11.23967</v>
      </c>
      <c r="R677" s="87">
        <v>22.195</v>
      </c>
      <c r="S677" s="87">
        <v>67.36342</v>
      </c>
      <c r="T677" s="87">
        <v>13.69032</v>
      </c>
      <c r="U677" s="87">
        <v>16.20689</v>
      </c>
      <c r="V677" s="87">
        <v>21.2995</v>
      </c>
      <c r="W677" s="87">
        <v>50.13541</v>
      </c>
      <c r="X677" s="87">
        <v>102.4479</v>
      </c>
      <c r="Y677" s="87">
        <v>62.17994</v>
      </c>
      <c r="Z677" s="87">
        <v>0.0</v>
      </c>
      <c r="AA677" s="87">
        <v>37.37621</v>
      </c>
      <c r="AB677" s="87">
        <v>15.9002</v>
      </c>
      <c r="AC677" s="87">
        <v>14.18516</v>
      </c>
      <c r="AD677" s="87">
        <v>22.33082</v>
      </c>
      <c r="AE677" s="87">
        <v>48.09648</v>
      </c>
      <c r="AF677" s="87">
        <v>97.41213</v>
      </c>
      <c r="AG677" s="87">
        <v>56.11059</v>
      </c>
      <c r="AH677" s="87">
        <v>0.0</v>
      </c>
      <c r="AI677" s="87">
        <v>42.06852</v>
      </c>
      <c r="AJ677" s="87">
        <v>16.83678</v>
      </c>
      <c r="AK677" s="87">
        <v>4.562106</v>
      </c>
      <c r="AL677" s="88" t="s">
        <v>1396</v>
      </c>
    </row>
    <row r="678">
      <c r="A678" s="84" t="s">
        <v>2260</v>
      </c>
      <c r="B678" s="84" t="s">
        <v>2292</v>
      </c>
      <c r="C678" s="84" t="s">
        <v>439</v>
      </c>
      <c r="D678" s="84" t="s">
        <v>939</v>
      </c>
      <c r="E678" s="84" t="s">
        <v>1403</v>
      </c>
      <c r="F678" s="87">
        <v>856.0</v>
      </c>
      <c r="G678" s="87">
        <v>0.0</v>
      </c>
      <c r="H678" s="87">
        <v>0.0</v>
      </c>
      <c r="I678" s="87">
        <v>0.0</v>
      </c>
      <c r="J678" s="87">
        <v>0.0</v>
      </c>
      <c r="K678" s="87">
        <v>0.0</v>
      </c>
      <c r="L678" s="87">
        <v>0.0</v>
      </c>
      <c r="M678" s="87">
        <v>0.0</v>
      </c>
      <c r="N678" s="87">
        <v>0.0</v>
      </c>
      <c r="O678" s="87">
        <v>0.0</v>
      </c>
      <c r="P678" s="87">
        <v>0.0</v>
      </c>
      <c r="Q678" s="87">
        <v>0.0</v>
      </c>
      <c r="R678" s="87">
        <v>0.0</v>
      </c>
      <c r="S678" s="87">
        <v>0.0</v>
      </c>
      <c r="T678" s="87">
        <v>0.0</v>
      </c>
      <c r="U678" s="87">
        <v>0.0</v>
      </c>
      <c r="V678" s="87">
        <v>0.0</v>
      </c>
      <c r="W678" s="87">
        <v>0.0</v>
      </c>
      <c r="X678" s="87">
        <v>0.0</v>
      </c>
      <c r="Y678" s="87">
        <v>0.0</v>
      </c>
      <c r="Z678" s="87">
        <v>0.0</v>
      </c>
      <c r="AA678" s="87">
        <v>37.37621</v>
      </c>
      <c r="AB678" s="87">
        <v>15.9002</v>
      </c>
      <c r="AC678" s="87">
        <v>14.18516</v>
      </c>
      <c r="AD678" s="87">
        <v>0.0</v>
      </c>
      <c r="AE678" s="87">
        <v>0.0</v>
      </c>
      <c r="AF678" s="87">
        <v>0.0</v>
      </c>
      <c r="AG678" s="87">
        <v>0.0</v>
      </c>
      <c r="AH678" s="87">
        <v>0.0</v>
      </c>
      <c r="AI678" s="87">
        <v>42.06852</v>
      </c>
      <c r="AJ678" s="87">
        <v>16.83678</v>
      </c>
      <c r="AK678" s="87">
        <v>4.562106</v>
      </c>
      <c r="AL678" s="88" t="s">
        <v>1396</v>
      </c>
    </row>
    <row r="679">
      <c r="A679" s="84" t="s">
        <v>2293</v>
      </c>
      <c r="B679" s="84" t="s">
        <v>1408</v>
      </c>
      <c r="C679" s="84" t="s">
        <v>2294</v>
      </c>
      <c r="D679" s="84" t="s">
        <v>1406</v>
      </c>
      <c r="E679" s="84" t="s">
        <v>1400</v>
      </c>
      <c r="F679" s="87">
        <v>10.0</v>
      </c>
      <c r="G679" s="87">
        <v>1.0</v>
      </c>
      <c r="H679" s="87">
        <v>175.0</v>
      </c>
      <c r="I679" s="87">
        <v>54.0</v>
      </c>
      <c r="J679" s="87">
        <v>0.0</v>
      </c>
      <c r="K679" s="87">
        <v>0.033333</v>
      </c>
      <c r="L679" s="87">
        <v>0.117816</v>
      </c>
      <c r="M679" s="87">
        <v>0.033333</v>
      </c>
      <c r="N679" s="87">
        <v>1.0</v>
      </c>
      <c r="O679" s="87">
        <v>0.0</v>
      </c>
      <c r="P679" s="87">
        <v>0.0</v>
      </c>
      <c r="Q679" s="87">
        <v>0.0</v>
      </c>
      <c r="R679" s="87">
        <v>0.0</v>
      </c>
      <c r="S679" s="87">
        <v>0.0</v>
      </c>
      <c r="T679" s="87">
        <v>0.033333</v>
      </c>
      <c r="U679" s="87">
        <v>0.033333</v>
      </c>
      <c r="V679" s="87">
        <v>0.033333</v>
      </c>
      <c r="W679" s="87">
        <v>0.033333</v>
      </c>
      <c r="X679" s="87">
        <v>0.033333</v>
      </c>
      <c r="Y679" s="87">
        <v>0.003333</v>
      </c>
      <c r="Z679" s="87">
        <v>0.0</v>
      </c>
      <c r="AA679" s="87">
        <v>2.034483</v>
      </c>
      <c r="AB679" s="87">
        <v>0.093992</v>
      </c>
      <c r="AC679" s="87">
        <v>0.0</v>
      </c>
      <c r="AD679" s="87">
        <v>0.0</v>
      </c>
      <c r="AE679" s="87">
        <v>0.033333</v>
      </c>
      <c r="AF679" s="87">
        <v>0.001389</v>
      </c>
      <c r="AG679" s="87">
        <v>0.0</v>
      </c>
      <c r="AH679" s="87">
        <v>0.0</v>
      </c>
      <c r="AI679" s="87">
        <v>0.033333</v>
      </c>
      <c r="AJ679" s="87">
        <v>7.25E-4</v>
      </c>
      <c r="AK679" s="87">
        <v>0.0</v>
      </c>
      <c r="AL679" s="88" t="s">
        <v>1396</v>
      </c>
    </row>
    <row r="680">
      <c r="A680" s="84" t="s">
        <v>2295</v>
      </c>
      <c r="B680" s="84" t="s">
        <v>1410</v>
      </c>
      <c r="C680" s="84" t="s">
        <v>2294</v>
      </c>
      <c r="D680" s="84" t="s">
        <v>1406</v>
      </c>
      <c r="E680" s="84" t="s">
        <v>1403</v>
      </c>
      <c r="F680" s="87">
        <v>7.0</v>
      </c>
      <c r="G680" s="87">
        <v>0.0</v>
      </c>
      <c r="H680" s="87">
        <v>0.0</v>
      </c>
      <c r="I680" s="87">
        <v>0.0</v>
      </c>
      <c r="J680" s="87">
        <v>0.0</v>
      </c>
      <c r="K680" s="87">
        <v>0.0</v>
      </c>
      <c r="L680" s="87">
        <v>0.0</v>
      </c>
      <c r="M680" s="87">
        <v>0.0</v>
      </c>
      <c r="N680" s="87">
        <v>0.0</v>
      </c>
      <c r="O680" s="87">
        <v>0.0</v>
      </c>
      <c r="P680" s="87">
        <v>0.0</v>
      </c>
      <c r="Q680" s="87">
        <v>0.0</v>
      </c>
      <c r="R680" s="87">
        <v>0.0</v>
      </c>
      <c r="S680" s="87">
        <v>0.0</v>
      </c>
      <c r="T680" s="87">
        <v>0.0</v>
      </c>
      <c r="U680" s="87">
        <v>0.0</v>
      </c>
      <c r="V680" s="87">
        <v>0.0</v>
      </c>
      <c r="W680" s="87">
        <v>0.0</v>
      </c>
      <c r="X680" s="87">
        <v>0.0</v>
      </c>
      <c r="Y680" s="87">
        <v>0.0</v>
      </c>
      <c r="Z680" s="87">
        <v>0.0</v>
      </c>
      <c r="AA680" s="87">
        <v>2.034483</v>
      </c>
      <c r="AB680" s="87">
        <v>0.093992</v>
      </c>
      <c r="AC680" s="87">
        <v>0.0</v>
      </c>
      <c r="AD680" s="87">
        <v>0.0</v>
      </c>
      <c r="AE680" s="87">
        <v>0.0</v>
      </c>
      <c r="AF680" s="87">
        <v>0.0</v>
      </c>
      <c r="AG680" s="87">
        <v>0.0</v>
      </c>
      <c r="AH680" s="87">
        <v>0.0</v>
      </c>
      <c r="AI680" s="87">
        <v>0.033333</v>
      </c>
      <c r="AJ680" s="87">
        <v>7.25E-4</v>
      </c>
      <c r="AK680" s="87">
        <v>0.0</v>
      </c>
      <c r="AL680" s="88" t="s">
        <v>1396</v>
      </c>
    </row>
    <row r="681">
      <c r="A681" s="84" t="s">
        <v>2293</v>
      </c>
      <c r="B681" s="84" t="s">
        <v>2296</v>
      </c>
      <c r="C681" s="84" t="s">
        <v>2294</v>
      </c>
      <c r="D681" s="84" t="s">
        <v>2297</v>
      </c>
      <c r="E681" s="84" t="s">
        <v>1400</v>
      </c>
      <c r="F681" s="87">
        <v>2.0</v>
      </c>
      <c r="G681" s="87">
        <v>1.0</v>
      </c>
      <c r="H681" s="87">
        <v>55.0</v>
      </c>
      <c r="I681" s="87">
        <v>55.0</v>
      </c>
      <c r="J681" s="87">
        <v>0.0</v>
      </c>
      <c r="K681" s="87">
        <v>0.0</v>
      </c>
      <c r="L681" s="87">
        <v>0.0</v>
      </c>
      <c r="M681" s="87">
        <v>0.0</v>
      </c>
      <c r="N681" s="87">
        <v>0.0</v>
      </c>
      <c r="O681" s="87">
        <v>0.0</v>
      </c>
      <c r="P681" s="87">
        <v>0.0</v>
      </c>
      <c r="Q681" s="87">
        <v>0.0</v>
      </c>
      <c r="R681" s="87">
        <v>0.0</v>
      </c>
      <c r="S681" s="87">
        <v>0.0</v>
      </c>
      <c r="T681" s="87">
        <v>0.0</v>
      </c>
      <c r="U681" s="87">
        <v>0.0</v>
      </c>
      <c r="V681" s="87">
        <v>0.0</v>
      </c>
      <c r="W681" s="87">
        <v>0.0</v>
      </c>
      <c r="X681" s="87">
        <v>0.0</v>
      </c>
      <c r="Y681" s="87">
        <v>0.0</v>
      </c>
      <c r="Z681" s="87">
        <v>0.0</v>
      </c>
      <c r="AA681" s="87">
        <v>0.0</v>
      </c>
      <c r="AB681" s="87">
        <v>0.0</v>
      </c>
      <c r="AC681" s="87">
        <v>0.0</v>
      </c>
      <c r="AD681" s="87">
        <v>0.0</v>
      </c>
      <c r="AE681" s="87">
        <v>0.033333</v>
      </c>
      <c r="AF681" s="87">
        <v>0.001389</v>
      </c>
      <c r="AG681" s="87">
        <v>0.0</v>
      </c>
      <c r="AH681" s="87">
        <v>0.0</v>
      </c>
      <c r="AI681" s="87">
        <v>0.033333</v>
      </c>
      <c r="AJ681" s="87">
        <v>7.25E-4</v>
      </c>
      <c r="AK681" s="87">
        <v>0.0</v>
      </c>
      <c r="AL681" s="88" t="s">
        <v>1396</v>
      </c>
    </row>
    <row r="682">
      <c r="A682" s="84" t="s">
        <v>2295</v>
      </c>
      <c r="B682" s="84" t="s">
        <v>2298</v>
      </c>
      <c r="C682" s="84" t="s">
        <v>2294</v>
      </c>
      <c r="D682" s="84" t="s">
        <v>2297</v>
      </c>
      <c r="E682" s="84" t="s">
        <v>1403</v>
      </c>
      <c r="F682" s="87">
        <v>1.0</v>
      </c>
      <c r="G682" s="87">
        <v>0.0</v>
      </c>
      <c r="H682" s="87">
        <v>0.0</v>
      </c>
      <c r="I682" s="87">
        <v>0.0</v>
      </c>
      <c r="J682" s="87">
        <v>0.0</v>
      </c>
      <c r="K682" s="87">
        <v>0.0</v>
      </c>
      <c r="L682" s="87">
        <v>0.0</v>
      </c>
      <c r="M682" s="87">
        <v>0.0</v>
      </c>
      <c r="N682" s="87">
        <v>0.0</v>
      </c>
      <c r="O682" s="87">
        <v>0.0</v>
      </c>
      <c r="P682" s="87">
        <v>0.0</v>
      </c>
      <c r="Q682" s="87">
        <v>0.0</v>
      </c>
      <c r="R682" s="87">
        <v>0.0</v>
      </c>
      <c r="S682" s="87">
        <v>0.0</v>
      </c>
      <c r="T682" s="87">
        <v>0.0</v>
      </c>
      <c r="U682" s="87">
        <v>0.0</v>
      </c>
      <c r="V682" s="87">
        <v>0.0</v>
      </c>
      <c r="W682" s="87">
        <v>0.0</v>
      </c>
      <c r="X682" s="87">
        <v>0.0</v>
      </c>
      <c r="Y682" s="87">
        <v>0.0</v>
      </c>
      <c r="Z682" s="87">
        <v>0.0</v>
      </c>
      <c r="AA682" s="87">
        <v>0.0</v>
      </c>
      <c r="AB682" s="87">
        <v>0.0</v>
      </c>
      <c r="AC682" s="87">
        <v>0.0</v>
      </c>
      <c r="AD682" s="87">
        <v>0.0</v>
      </c>
      <c r="AE682" s="87">
        <v>0.0</v>
      </c>
      <c r="AF682" s="87">
        <v>0.0</v>
      </c>
      <c r="AG682" s="87">
        <v>0.0</v>
      </c>
      <c r="AH682" s="87">
        <v>0.0</v>
      </c>
      <c r="AI682" s="87">
        <v>0.033333</v>
      </c>
      <c r="AJ682" s="87">
        <v>7.25E-4</v>
      </c>
      <c r="AK682" s="87">
        <v>0.0</v>
      </c>
      <c r="AL682" s="88" t="s">
        <v>1396</v>
      </c>
    </row>
    <row r="683">
      <c r="A683" s="84" t="s">
        <v>2293</v>
      </c>
      <c r="B683" s="84" t="s">
        <v>2299</v>
      </c>
      <c r="C683" s="84" t="s">
        <v>2294</v>
      </c>
      <c r="D683" s="84" t="s">
        <v>2300</v>
      </c>
      <c r="E683" s="84" t="s">
        <v>1400</v>
      </c>
      <c r="F683" s="87">
        <v>6.0</v>
      </c>
      <c r="G683" s="87">
        <v>0.0</v>
      </c>
      <c r="H683" s="87">
        <v>0.0</v>
      </c>
      <c r="I683" s="87">
        <v>0.0</v>
      </c>
      <c r="J683" s="87">
        <v>0.0</v>
      </c>
      <c r="K683" s="87">
        <v>0.0</v>
      </c>
      <c r="L683" s="87">
        <v>0.0</v>
      </c>
      <c r="M683" s="87">
        <v>0.0</v>
      </c>
      <c r="N683" s="87">
        <v>0.0</v>
      </c>
      <c r="O683" s="87">
        <v>0.0</v>
      </c>
      <c r="P683" s="87">
        <v>0.0</v>
      </c>
      <c r="Q683" s="87">
        <v>0.0</v>
      </c>
      <c r="R683" s="87">
        <v>0.0</v>
      </c>
      <c r="S683" s="87">
        <v>0.0</v>
      </c>
      <c r="T683" s="87">
        <v>0.0</v>
      </c>
      <c r="U683" s="87">
        <v>0.0</v>
      </c>
      <c r="V683" s="87">
        <v>0.0</v>
      </c>
      <c r="W683" s="87">
        <v>0.0</v>
      </c>
      <c r="X683" s="87">
        <v>0.0</v>
      </c>
      <c r="Y683" s="87">
        <v>0.0</v>
      </c>
      <c r="Z683" s="87">
        <v>0.0</v>
      </c>
      <c r="AA683" s="87">
        <v>0.0</v>
      </c>
      <c r="AB683" s="87">
        <v>0.0</v>
      </c>
      <c r="AC683" s="87">
        <v>0.0</v>
      </c>
      <c r="AD683" s="87">
        <v>0.0</v>
      </c>
      <c r="AE683" s="87">
        <v>0.033333</v>
      </c>
      <c r="AF683" s="87">
        <v>0.001389</v>
      </c>
      <c r="AG683" s="87">
        <v>0.0</v>
      </c>
      <c r="AH683" s="87">
        <v>0.0</v>
      </c>
      <c r="AI683" s="87">
        <v>0.033333</v>
      </c>
      <c r="AJ683" s="87">
        <v>7.25E-4</v>
      </c>
      <c r="AK683" s="87">
        <v>0.0</v>
      </c>
      <c r="AL683" s="88" t="s">
        <v>1396</v>
      </c>
    </row>
    <row r="684">
      <c r="A684" s="84" t="s">
        <v>2295</v>
      </c>
      <c r="B684" s="84" t="s">
        <v>2301</v>
      </c>
      <c r="C684" s="84" t="s">
        <v>2294</v>
      </c>
      <c r="D684" s="84" t="s">
        <v>2300</v>
      </c>
      <c r="E684" s="84" t="s">
        <v>1403</v>
      </c>
      <c r="F684" s="87">
        <v>2.0</v>
      </c>
      <c r="G684" s="87">
        <v>0.0</v>
      </c>
      <c r="H684" s="87">
        <v>0.0</v>
      </c>
      <c r="I684" s="87">
        <v>0.0</v>
      </c>
      <c r="J684" s="87">
        <v>0.0</v>
      </c>
      <c r="K684" s="87">
        <v>0.0</v>
      </c>
      <c r="L684" s="87">
        <v>0.0</v>
      </c>
      <c r="M684" s="87">
        <v>0.0</v>
      </c>
      <c r="N684" s="87">
        <v>0.0</v>
      </c>
      <c r="O684" s="87">
        <v>0.0</v>
      </c>
      <c r="P684" s="87">
        <v>0.0</v>
      </c>
      <c r="Q684" s="87">
        <v>0.0</v>
      </c>
      <c r="R684" s="87">
        <v>0.0</v>
      </c>
      <c r="S684" s="87">
        <v>0.0</v>
      </c>
      <c r="T684" s="87">
        <v>0.0</v>
      </c>
      <c r="U684" s="87">
        <v>0.0</v>
      </c>
      <c r="V684" s="87">
        <v>0.0</v>
      </c>
      <c r="W684" s="87">
        <v>0.0</v>
      </c>
      <c r="X684" s="87">
        <v>0.0</v>
      </c>
      <c r="Y684" s="87">
        <v>0.0</v>
      </c>
      <c r="Z684" s="87">
        <v>0.0</v>
      </c>
      <c r="AA684" s="87">
        <v>0.0</v>
      </c>
      <c r="AB684" s="87">
        <v>0.0</v>
      </c>
      <c r="AC684" s="87">
        <v>0.0</v>
      </c>
      <c r="AD684" s="87">
        <v>0.0</v>
      </c>
      <c r="AE684" s="87">
        <v>0.0</v>
      </c>
      <c r="AF684" s="87">
        <v>0.0</v>
      </c>
      <c r="AG684" s="87">
        <v>0.0</v>
      </c>
      <c r="AH684" s="87">
        <v>0.0</v>
      </c>
      <c r="AI684" s="87">
        <v>0.033333</v>
      </c>
      <c r="AJ684" s="87">
        <v>7.25E-4</v>
      </c>
      <c r="AK684" s="87">
        <v>0.0</v>
      </c>
      <c r="AL684" s="88" t="s">
        <v>1396</v>
      </c>
    </row>
    <row r="685">
      <c r="A685" s="84" t="s">
        <v>2293</v>
      </c>
      <c r="B685" s="84" t="s">
        <v>2302</v>
      </c>
      <c r="C685" s="84" t="s">
        <v>2294</v>
      </c>
      <c r="D685" s="84" t="s">
        <v>2303</v>
      </c>
      <c r="E685" s="84" t="s">
        <v>1400</v>
      </c>
      <c r="F685" s="87">
        <v>6.0</v>
      </c>
      <c r="G685" s="87">
        <v>6.0</v>
      </c>
      <c r="H685" s="87">
        <v>142.0</v>
      </c>
      <c r="I685" s="87">
        <v>142.0</v>
      </c>
      <c r="J685" s="87">
        <v>0.0</v>
      </c>
      <c r="K685" s="87">
        <v>0.0</v>
      </c>
      <c r="L685" s="87">
        <v>0.0</v>
      </c>
      <c r="M685" s="87">
        <v>0.0</v>
      </c>
      <c r="N685" s="87">
        <v>0.0</v>
      </c>
      <c r="O685" s="87">
        <v>0.0</v>
      </c>
      <c r="P685" s="87">
        <v>0.0</v>
      </c>
      <c r="Q685" s="87">
        <v>0.0</v>
      </c>
      <c r="R685" s="87">
        <v>0.0</v>
      </c>
      <c r="S685" s="87">
        <v>0.0</v>
      </c>
      <c r="T685" s="87">
        <v>0.0</v>
      </c>
      <c r="U685" s="87">
        <v>0.0</v>
      </c>
      <c r="V685" s="87">
        <v>0.0</v>
      </c>
      <c r="W685" s="87">
        <v>0.0</v>
      </c>
      <c r="X685" s="87">
        <v>0.0</v>
      </c>
      <c r="Y685" s="87">
        <v>0.0</v>
      </c>
      <c r="Z685" s="87">
        <v>0.0</v>
      </c>
      <c r="AA685" s="87">
        <v>0.0</v>
      </c>
      <c r="AB685" s="87">
        <v>0.0</v>
      </c>
      <c r="AC685" s="87">
        <v>0.0</v>
      </c>
      <c r="AD685" s="87">
        <v>0.0</v>
      </c>
      <c r="AE685" s="87">
        <v>0.033333</v>
      </c>
      <c r="AF685" s="87">
        <v>0.001389</v>
      </c>
      <c r="AG685" s="87">
        <v>0.0</v>
      </c>
      <c r="AH685" s="87">
        <v>0.0</v>
      </c>
      <c r="AI685" s="87">
        <v>0.033333</v>
      </c>
      <c r="AJ685" s="87">
        <v>7.25E-4</v>
      </c>
      <c r="AK685" s="87">
        <v>0.0</v>
      </c>
      <c r="AL685" s="88" t="s">
        <v>1396</v>
      </c>
    </row>
    <row r="686">
      <c r="A686" s="84" t="s">
        <v>2295</v>
      </c>
      <c r="B686" s="84" t="s">
        <v>2304</v>
      </c>
      <c r="C686" s="84" t="s">
        <v>2294</v>
      </c>
      <c r="D686" s="84" t="s">
        <v>2303</v>
      </c>
      <c r="E686" s="84" t="s">
        <v>1403</v>
      </c>
      <c r="F686" s="87">
        <v>12.0</v>
      </c>
      <c r="G686" s="87">
        <v>5.0</v>
      </c>
      <c r="H686" s="87">
        <v>123.0</v>
      </c>
      <c r="I686" s="87">
        <v>123.0</v>
      </c>
      <c r="J686" s="87">
        <v>0.0</v>
      </c>
      <c r="K686" s="87">
        <v>0.0</v>
      </c>
      <c r="L686" s="87">
        <v>0.0</v>
      </c>
      <c r="M686" s="87">
        <v>0.0</v>
      </c>
      <c r="N686" s="87">
        <v>0.0</v>
      </c>
      <c r="O686" s="87">
        <v>0.0</v>
      </c>
      <c r="P686" s="87">
        <v>0.0</v>
      </c>
      <c r="Q686" s="87">
        <v>0.0</v>
      </c>
      <c r="R686" s="87">
        <v>0.0</v>
      </c>
      <c r="S686" s="87">
        <v>0.0</v>
      </c>
      <c r="T686" s="87">
        <v>0.0</v>
      </c>
      <c r="U686" s="87">
        <v>0.0</v>
      </c>
      <c r="V686" s="87">
        <v>0.0</v>
      </c>
      <c r="W686" s="87">
        <v>0.0</v>
      </c>
      <c r="X686" s="87">
        <v>0.0</v>
      </c>
      <c r="Y686" s="87">
        <v>0.0</v>
      </c>
      <c r="Z686" s="87">
        <v>0.0</v>
      </c>
      <c r="AA686" s="87">
        <v>0.0</v>
      </c>
      <c r="AB686" s="87">
        <v>0.0</v>
      </c>
      <c r="AC686" s="87">
        <v>0.0</v>
      </c>
      <c r="AD686" s="87">
        <v>0.0</v>
      </c>
      <c r="AE686" s="87">
        <v>0.0</v>
      </c>
      <c r="AF686" s="87">
        <v>0.0</v>
      </c>
      <c r="AG686" s="87">
        <v>0.0</v>
      </c>
      <c r="AH686" s="87">
        <v>0.0</v>
      </c>
      <c r="AI686" s="87">
        <v>0.033333</v>
      </c>
      <c r="AJ686" s="87">
        <v>7.25E-4</v>
      </c>
      <c r="AK686" s="87">
        <v>0.0</v>
      </c>
      <c r="AL686" s="88" t="s">
        <v>1396</v>
      </c>
    </row>
    <row r="687">
      <c r="A687" s="84" t="s">
        <v>2305</v>
      </c>
      <c r="B687" s="84" t="s">
        <v>2306</v>
      </c>
      <c r="C687" s="84" t="s">
        <v>2307</v>
      </c>
      <c r="D687" s="84" t="s">
        <v>2308</v>
      </c>
      <c r="E687" s="84" t="s">
        <v>1400</v>
      </c>
      <c r="F687" s="87">
        <v>2.0</v>
      </c>
      <c r="G687" s="87">
        <v>0.0</v>
      </c>
      <c r="H687" s="87">
        <v>0.0</v>
      </c>
      <c r="I687" s="87">
        <v>0.0</v>
      </c>
      <c r="J687" s="87">
        <v>0.0</v>
      </c>
      <c r="K687" s="87">
        <v>0.0</v>
      </c>
      <c r="L687" s="87">
        <v>0.0</v>
      </c>
      <c r="M687" s="87">
        <v>0.0</v>
      </c>
      <c r="N687" s="87">
        <v>0.0</v>
      </c>
      <c r="O687" s="87">
        <v>0.0</v>
      </c>
      <c r="P687" s="87">
        <v>0.0</v>
      </c>
      <c r="Q687" s="87">
        <v>0.0</v>
      </c>
      <c r="R687" s="87">
        <v>0.0</v>
      </c>
      <c r="S687" s="87">
        <v>0.0</v>
      </c>
      <c r="T687" s="87">
        <v>0.0</v>
      </c>
      <c r="U687" s="87">
        <v>0.0</v>
      </c>
      <c r="V687" s="87">
        <v>0.0</v>
      </c>
      <c r="W687" s="87">
        <v>0.0</v>
      </c>
      <c r="X687" s="87">
        <v>0.0</v>
      </c>
      <c r="Y687" s="87">
        <v>0.0</v>
      </c>
      <c r="Z687" s="87">
        <v>0.0</v>
      </c>
      <c r="AA687" s="87">
        <v>0.0</v>
      </c>
      <c r="AB687" s="87">
        <v>0.0</v>
      </c>
      <c r="AC687" s="87">
        <v>0.0</v>
      </c>
      <c r="AD687" s="87">
        <v>0.0</v>
      </c>
      <c r="AE687" s="87">
        <v>0.0</v>
      </c>
      <c r="AF687" s="87">
        <v>0.0</v>
      </c>
      <c r="AG687" s="87">
        <v>0.0</v>
      </c>
      <c r="AH687" s="87">
        <v>0.0</v>
      </c>
      <c r="AI687" s="87">
        <v>593.6391</v>
      </c>
      <c r="AJ687" s="87">
        <v>15.65758</v>
      </c>
      <c r="AK687" s="87">
        <v>0.0</v>
      </c>
      <c r="AL687" s="88" t="s">
        <v>1396</v>
      </c>
    </row>
    <row r="688">
      <c r="A688" s="84" t="s">
        <v>2309</v>
      </c>
      <c r="B688" s="84" t="s">
        <v>2310</v>
      </c>
      <c r="C688" s="84" t="s">
        <v>2307</v>
      </c>
      <c r="D688" s="84" t="s">
        <v>2308</v>
      </c>
      <c r="E688" s="84" t="s">
        <v>1403</v>
      </c>
      <c r="F688" s="87">
        <v>58.0</v>
      </c>
      <c r="G688" s="87">
        <v>0.0</v>
      </c>
      <c r="H688" s="87">
        <v>0.0</v>
      </c>
      <c r="I688" s="87">
        <v>0.0</v>
      </c>
      <c r="J688" s="87">
        <v>0.0</v>
      </c>
      <c r="K688" s="87">
        <v>0.0</v>
      </c>
      <c r="L688" s="87">
        <v>0.0</v>
      </c>
      <c r="M688" s="87">
        <v>0.0</v>
      </c>
      <c r="N688" s="87">
        <v>0.0</v>
      </c>
      <c r="O688" s="87">
        <v>0.0</v>
      </c>
      <c r="P688" s="87">
        <v>0.0</v>
      </c>
      <c r="Q688" s="87">
        <v>0.0</v>
      </c>
      <c r="R688" s="87">
        <v>0.0</v>
      </c>
      <c r="S688" s="87">
        <v>0.0</v>
      </c>
      <c r="T688" s="87">
        <v>0.0</v>
      </c>
      <c r="U688" s="87">
        <v>0.0</v>
      </c>
      <c r="V688" s="87">
        <v>0.0</v>
      </c>
      <c r="W688" s="87">
        <v>0.0</v>
      </c>
      <c r="X688" s="87">
        <v>0.0</v>
      </c>
      <c r="Y688" s="87">
        <v>0.0</v>
      </c>
      <c r="Z688" s="87">
        <v>0.0</v>
      </c>
      <c r="AA688" s="87">
        <v>0.0</v>
      </c>
      <c r="AB688" s="87">
        <v>0.0</v>
      </c>
      <c r="AC688" s="87">
        <v>0.0</v>
      </c>
      <c r="AD688" s="87">
        <v>0.0</v>
      </c>
      <c r="AE688" s="87">
        <v>0.0</v>
      </c>
      <c r="AF688" s="87">
        <v>0.0</v>
      </c>
      <c r="AG688" s="87">
        <v>0.0</v>
      </c>
      <c r="AH688" s="87">
        <v>0.0</v>
      </c>
      <c r="AI688" s="87">
        <v>593.6391</v>
      </c>
      <c r="AJ688" s="87">
        <v>15.65758</v>
      </c>
      <c r="AK688" s="87">
        <v>0.0</v>
      </c>
      <c r="AL688" s="88" t="s">
        <v>1396</v>
      </c>
    </row>
    <row r="689">
      <c r="A689" s="84" t="s">
        <v>2311</v>
      </c>
      <c r="B689" s="84" t="s">
        <v>2312</v>
      </c>
      <c r="C689" s="84" t="s">
        <v>2307</v>
      </c>
      <c r="D689" s="84" t="s">
        <v>2313</v>
      </c>
      <c r="E689" s="84" t="s">
        <v>1426</v>
      </c>
      <c r="F689" s="87">
        <v>3.0</v>
      </c>
      <c r="G689" s="87">
        <v>0.0</v>
      </c>
      <c r="H689" s="87">
        <v>23391.0</v>
      </c>
      <c r="I689" s="87">
        <v>0.0</v>
      </c>
      <c r="J689" s="87">
        <v>1352.256</v>
      </c>
      <c r="K689" s="87">
        <v>1456.154</v>
      </c>
      <c r="L689" s="87">
        <v>1483.295</v>
      </c>
      <c r="M689" s="87">
        <v>685.1338</v>
      </c>
      <c r="N689" s="87">
        <v>0.470509</v>
      </c>
      <c r="O689" s="87">
        <v>177.3816</v>
      </c>
      <c r="P689" s="87">
        <v>177.3816</v>
      </c>
      <c r="Q689" s="87">
        <v>177.3816</v>
      </c>
      <c r="R689" s="87">
        <v>593.6391</v>
      </c>
      <c r="S689" s="87">
        <v>685.1338</v>
      </c>
      <c r="T689" s="87">
        <v>177.3816</v>
      </c>
      <c r="U689" s="87">
        <v>177.3816</v>
      </c>
      <c r="V689" s="87">
        <v>177.3816</v>
      </c>
      <c r="W689" s="87">
        <v>593.6391</v>
      </c>
      <c r="X689" s="87">
        <v>685.1338</v>
      </c>
      <c r="Y689" s="87">
        <v>485.3848</v>
      </c>
      <c r="Z689" s="87">
        <v>0.0</v>
      </c>
      <c r="AA689" s="87">
        <v>593.6391</v>
      </c>
      <c r="AB689" s="87">
        <v>161.7949</v>
      </c>
      <c r="AC689" s="87">
        <v>0.0</v>
      </c>
      <c r="AD689" s="87">
        <v>593.6391</v>
      </c>
      <c r="AE689" s="87">
        <v>593.6391</v>
      </c>
      <c r="AF689" s="87">
        <v>485.3848</v>
      </c>
      <c r="AG689" s="87">
        <v>485.3848</v>
      </c>
      <c r="AH689" s="87">
        <v>0.0</v>
      </c>
      <c r="AI689" s="87">
        <v>593.6391</v>
      </c>
      <c r="AJ689" s="87">
        <v>15.65758</v>
      </c>
      <c r="AK689" s="87">
        <v>0.0</v>
      </c>
      <c r="AL689" s="88" t="s">
        <v>1396</v>
      </c>
    </row>
    <row r="690">
      <c r="A690" s="84" t="s">
        <v>2305</v>
      </c>
      <c r="B690" s="84" t="s">
        <v>2314</v>
      </c>
      <c r="C690" s="84" t="s">
        <v>2307</v>
      </c>
      <c r="D690" s="84" t="s">
        <v>2313</v>
      </c>
      <c r="E690" s="84" t="s">
        <v>1400</v>
      </c>
      <c r="F690" s="87">
        <v>1.0</v>
      </c>
      <c r="G690" s="87">
        <v>0.0</v>
      </c>
      <c r="H690" s="87">
        <v>0.0</v>
      </c>
      <c r="I690" s="87">
        <v>0.0</v>
      </c>
      <c r="J690" s="87">
        <v>0.0</v>
      </c>
      <c r="K690" s="87">
        <v>0.0</v>
      </c>
      <c r="L690" s="87">
        <v>0.0</v>
      </c>
      <c r="M690" s="87">
        <v>0.0</v>
      </c>
      <c r="N690" s="87">
        <v>0.0</v>
      </c>
      <c r="O690" s="87">
        <v>0.0</v>
      </c>
      <c r="P690" s="87">
        <v>0.0</v>
      </c>
      <c r="Q690" s="87">
        <v>0.0</v>
      </c>
      <c r="R690" s="87">
        <v>0.0</v>
      </c>
      <c r="S690" s="87">
        <v>0.0</v>
      </c>
      <c r="T690" s="87">
        <v>0.0</v>
      </c>
      <c r="U690" s="87">
        <v>0.0</v>
      </c>
      <c r="V690" s="87">
        <v>0.0</v>
      </c>
      <c r="W690" s="87">
        <v>0.0</v>
      </c>
      <c r="X690" s="87">
        <v>0.0</v>
      </c>
      <c r="Y690" s="87">
        <v>0.0</v>
      </c>
      <c r="Z690" s="87">
        <v>0.0</v>
      </c>
      <c r="AA690" s="87">
        <v>593.6391</v>
      </c>
      <c r="AB690" s="87">
        <v>161.7949</v>
      </c>
      <c r="AC690" s="87">
        <v>0.0</v>
      </c>
      <c r="AD690" s="87">
        <v>0.0</v>
      </c>
      <c r="AE690" s="87">
        <v>0.0</v>
      </c>
      <c r="AF690" s="87">
        <v>0.0</v>
      </c>
      <c r="AG690" s="87">
        <v>0.0</v>
      </c>
      <c r="AH690" s="87">
        <v>0.0</v>
      </c>
      <c r="AI690" s="87">
        <v>593.6391</v>
      </c>
      <c r="AJ690" s="87">
        <v>15.65758</v>
      </c>
      <c r="AK690" s="87">
        <v>0.0</v>
      </c>
      <c r="AL690" s="88" t="s">
        <v>1396</v>
      </c>
    </row>
    <row r="691">
      <c r="A691" s="84" t="s">
        <v>2309</v>
      </c>
      <c r="B691" s="84" t="s">
        <v>2315</v>
      </c>
      <c r="C691" s="84" t="s">
        <v>2307</v>
      </c>
      <c r="D691" s="84" t="s">
        <v>2313</v>
      </c>
      <c r="E691" s="84" t="s">
        <v>1403</v>
      </c>
      <c r="F691" s="87">
        <v>5.0</v>
      </c>
      <c r="G691" s="87">
        <v>0.0</v>
      </c>
      <c r="H691" s="87">
        <v>0.0</v>
      </c>
      <c r="I691" s="87">
        <v>0.0</v>
      </c>
      <c r="J691" s="87">
        <v>0.0</v>
      </c>
      <c r="K691" s="87">
        <v>0.0</v>
      </c>
      <c r="L691" s="87">
        <v>0.0</v>
      </c>
      <c r="M691" s="87">
        <v>0.0</v>
      </c>
      <c r="N691" s="87">
        <v>0.0</v>
      </c>
      <c r="O691" s="87">
        <v>0.0</v>
      </c>
      <c r="P691" s="87">
        <v>0.0</v>
      </c>
      <c r="Q691" s="87">
        <v>0.0</v>
      </c>
      <c r="R691" s="87">
        <v>0.0</v>
      </c>
      <c r="S691" s="87">
        <v>0.0</v>
      </c>
      <c r="T691" s="87">
        <v>0.0</v>
      </c>
      <c r="U691" s="87">
        <v>0.0</v>
      </c>
      <c r="V691" s="87">
        <v>0.0</v>
      </c>
      <c r="W691" s="87">
        <v>0.0</v>
      </c>
      <c r="X691" s="87">
        <v>0.0</v>
      </c>
      <c r="Y691" s="87">
        <v>0.0</v>
      </c>
      <c r="Z691" s="87">
        <v>0.0</v>
      </c>
      <c r="AA691" s="87">
        <v>593.6391</v>
      </c>
      <c r="AB691" s="87">
        <v>161.7949</v>
      </c>
      <c r="AC691" s="87">
        <v>0.0</v>
      </c>
      <c r="AD691" s="87">
        <v>0.0</v>
      </c>
      <c r="AE691" s="87">
        <v>0.0</v>
      </c>
      <c r="AF691" s="87">
        <v>0.0</v>
      </c>
      <c r="AG691" s="87">
        <v>0.0</v>
      </c>
      <c r="AH691" s="87">
        <v>0.0</v>
      </c>
      <c r="AI691" s="87">
        <v>593.6391</v>
      </c>
      <c r="AJ691" s="87">
        <v>15.65758</v>
      </c>
      <c r="AK691" s="87">
        <v>0.0</v>
      </c>
      <c r="AL691" s="88" t="s">
        <v>1396</v>
      </c>
    </row>
    <row r="692">
      <c r="A692" s="84" t="s">
        <v>2305</v>
      </c>
      <c r="B692" s="84" t="s">
        <v>2316</v>
      </c>
      <c r="C692" s="84" t="s">
        <v>2307</v>
      </c>
      <c r="D692" s="84" t="s">
        <v>2317</v>
      </c>
      <c r="E692" s="84" t="s">
        <v>1400</v>
      </c>
      <c r="F692" s="87">
        <v>15.0</v>
      </c>
      <c r="G692" s="87">
        <v>0.0</v>
      </c>
      <c r="H692" s="87">
        <v>0.0</v>
      </c>
      <c r="I692" s="87">
        <v>0.0</v>
      </c>
      <c r="J692" s="87">
        <v>0.0</v>
      </c>
      <c r="K692" s="87">
        <v>0.0</v>
      </c>
      <c r="L692" s="87">
        <v>0.0</v>
      </c>
      <c r="M692" s="87">
        <v>0.0</v>
      </c>
      <c r="N692" s="87">
        <v>0.0</v>
      </c>
      <c r="O692" s="87">
        <v>0.0</v>
      </c>
      <c r="P692" s="87">
        <v>0.0</v>
      </c>
      <c r="Q692" s="87">
        <v>0.0</v>
      </c>
      <c r="R692" s="87">
        <v>0.0</v>
      </c>
      <c r="S692" s="87">
        <v>0.0</v>
      </c>
      <c r="T692" s="87">
        <v>0.0</v>
      </c>
      <c r="U692" s="87">
        <v>0.0</v>
      </c>
      <c r="V692" s="87">
        <v>0.0</v>
      </c>
      <c r="W692" s="87">
        <v>0.0</v>
      </c>
      <c r="X692" s="87">
        <v>0.0</v>
      </c>
      <c r="Y692" s="87">
        <v>0.0</v>
      </c>
      <c r="Z692" s="87">
        <v>0.0</v>
      </c>
      <c r="AA692" s="87">
        <v>0.0</v>
      </c>
      <c r="AB692" s="87">
        <v>0.0</v>
      </c>
      <c r="AC692" s="87">
        <v>0.0</v>
      </c>
      <c r="AD692" s="87">
        <v>0.0</v>
      </c>
      <c r="AE692" s="87">
        <v>0.0</v>
      </c>
      <c r="AF692" s="87">
        <v>0.0</v>
      </c>
      <c r="AG692" s="87">
        <v>0.0</v>
      </c>
      <c r="AH692" s="87">
        <v>0.0</v>
      </c>
      <c r="AI692" s="87">
        <v>593.6391</v>
      </c>
      <c r="AJ692" s="87">
        <v>15.65758</v>
      </c>
      <c r="AK692" s="87">
        <v>0.0</v>
      </c>
      <c r="AL692" s="88" t="s">
        <v>1396</v>
      </c>
    </row>
    <row r="693">
      <c r="A693" s="84" t="s">
        <v>2309</v>
      </c>
      <c r="B693" s="84" t="s">
        <v>2318</v>
      </c>
      <c r="C693" s="84" t="s">
        <v>2307</v>
      </c>
      <c r="D693" s="84" t="s">
        <v>2317</v>
      </c>
      <c r="E693" s="84" t="s">
        <v>1403</v>
      </c>
      <c r="F693" s="87">
        <v>9.0</v>
      </c>
      <c r="G693" s="87">
        <v>0.0</v>
      </c>
      <c r="H693" s="87">
        <v>0.0</v>
      </c>
      <c r="I693" s="87">
        <v>0.0</v>
      </c>
      <c r="J693" s="87">
        <v>0.0</v>
      </c>
      <c r="K693" s="87">
        <v>0.0</v>
      </c>
      <c r="L693" s="87">
        <v>0.0</v>
      </c>
      <c r="M693" s="87">
        <v>0.0</v>
      </c>
      <c r="N693" s="87">
        <v>0.0</v>
      </c>
      <c r="O693" s="87">
        <v>0.0</v>
      </c>
      <c r="P693" s="87">
        <v>0.0</v>
      </c>
      <c r="Q693" s="87">
        <v>0.0</v>
      </c>
      <c r="R693" s="87">
        <v>0.0</v>
      </c>
      <c r="S693" s="87">
        <v>0.0</v>
      </c>
      <c r="T693" s="87">
        <v>0.0</v>
      </c>
      <c r="U693" s="87">
        <v>0.0</v>
      </c>
      <c r="V693" s="87">
        <v>0.0</v>
      </c>
      <c r="W693" s="87">
        <v>0.0</v>
      </c>
      <c r="X693" s="87">
        <v>0.0</v>
      </c>
      <c r="Y693" s="87">
        <v>0.0</v>
      </c>
      <c r="Z693" s="87">
        <v>0.0</v>
      </c>
      <c r="AA693" s="87">
        <v>0.0</v>
      </c>
      <c r="AB693" s="87">
        <v>0.0</v>
      </c>
      <c r="AC693" s="87">
        <v>0.0</v>
      </c>
      <c r="AD693" s="87">
        <v>0.0</v>
      </c>
      <c r="AE693" s="87">
        <v>0.0</v>
      </c>
      <c r="AF693" s="87">
        <v>0.0</v>
      </c>
      <c r="AG693" s="87">
        <v>0.0</v>
      </c>
      <c r="AH693" s="87">
        <v>0.0</v>
      </c>
      <c r="AI693" s="87">
        <v>593.6391</v>
      </c>
      <c r="AJ693" s="87">
        <v>15.65758</v>
      </c>
      <c r="AK693" s="87">
        <v>0.0</v>
      </c>
      <c r="AL693" s="88" t="s">
        <v>1396</v>
      </c>
    </row>
    <row r="694">
      <c r="A694" s="84" t="s">
        <v>2319</v>
      </c>
      <c r="B694" s="84" t="s">
        <v>2320</v>
      </c>
      <c r="C694" s="84" t="s">
        <v>2321</v>
      </c>
      <c r="D694" s="84" t="s">
        <v>2322</v>
      </c>
      <c r="E694" s="84" t="s">
        <v>1413</v>
      </c>
      <c r="F694" s="87">
        <v>1.0</v>
      </c>
      <c r="G694" s="87">
        <v>1.0</v>
      </c>
      <c r="H694" s="87">
        <v>2.0</v>
      </c>
      <c r="I694" s="87">
        <v>2.0</v>
      </c>
      <c r="J694" s="87">
        <v>0.0</v>
      </c>
      <c r="K694" s="87">
        <v>0.0</v>
      </c>
      <c r="L694" s="87">
        <v>0.0</v>
      </c>
      <c r="M694" s="87">
        <v>0.0</v>
      </c>
      <c r="N694" s="87">
        <v>0.0</v>
      </c>
      <c r="O694" s="87">
        <v>0.0</v>
      </c>
      <c r="P694" s="87">
        <v>0.0</v>
      </c>
      <c r="Q694" s="87">
        <v>0.0</v>
      </c>
      <c r="R694" s="87">
        <v>0.0</v>
      </c>
      <c r="S694" s="87">
        <v>0.0</v>
      </c>
      <c r="T694" s="87">
        <v>0.0</v>
      </c>
      <c r="U694" s="87">
        <v>0.0</v>
      </c>
      <c r="V694" s="87">
        <v>0.0</v>
      </c>
      <c r="W694" s="87">
        <v>0.0</v>
      </c>
      <c r="X694" s="87">
        <v>0.0</v>
      </c>
      <c r="Y694" s="87">
        <v>0.0</v>
      </c>
      <c r="Z694" s="87">
        <v>0.0</v>
      </c>
      <c r="AA694" s="87">
        <v>0.0</v>
      </c>
      <c r="AB694" s="87">
        <v>0.0</v>
      </c>
      <c r="AC694" s="87">
        <v>0.0</v>
      </c>
      <c r="AD694" s="87">
        <v>0.0</v>
      </c>
      <c r="AE694" s="87">
        <v>0.0</v>
      </c>
      <c r="AF694" s="87">
        <v>0.0</v>
      </c>
      <c r="AG694" s="87">
        <v>0.0</v>
      </c>
      <c r="AH694" s="87">
        <v>0.0</v>
      </c>
      <c r="AI694" s="87">
        <v>0.0</v>
      </c>
      <c r="AJ694" s="87">
        <v>0.0</v>
      </c>
      <c r="AK694" s="87">
        <v>0.0</v>
      </c>
      <c r="AL694" s="88" t="s">
        <v>1396</v>
      </c>
    </row>
    <row r="695">
      <c r="A695" s="84" t="s">
        <v>2323</v>
      </c>
      <c r="B695" s="84" t="s">
        <v>2324</v>
      </c>
      <c r="C695" s="84" t="s">
        <v>2321</v>
      </c>
      <c r="D695" s="84" t="s">
        <v>2322</v>
      </c>
      <c r="E695" s="84" t="s">
        <v>1400</v>
      </c>
      <c r="F695" s="87">
        <v>16.0</v>
      </c>
      <c r="G695" s="87">
        <v>16.0</v>
      </c>
      <c r="H695" s="87">
        <v>102.0</v>
      </c>
      <c r="I695" s="87">
        <v>102.0</v>
      </c>
      <c r="J695" s="87">
        <v>0.0</v>
      </c>
      <c r="K695" s="87">
        <v>0.0</v>
      </c>
      <c r="L695" s="87">
        <v>0.0</v>
      </c>
      <c r="M695" s="87">
        <v>0.0</v>
      </c>
      <c r="N695" s="87">
        <v>0.0</v>
      </c>
      <c r="O695" s="87">
        <v>0.0</v>
      </c>
      <c r="P695" s="87">
        <v>0.0</v>
      </c>
      <c r="Q695" s="87">
        <v>0.0</v>
      </c>
      <c r="R695" s="87">
        <v>0.0</v>
      </c>
      <c r="S695" s="87">
        <v>0.0</v>
      </c>
      <c r="T695" s="87">
        <v>0.0</v>
      </c>
      <c r="U695" s="87">
        <v>0.0</v>
      </c>
      <c r="V695" s="87">
        <v>0.0</v>
      </c>
      <c r="W695" s="87">
        <v>0.0</v>
      </c>
      <c r="X695" s="87">
        <v>0.0</v>
      </c>
      <c r="Y695" s="87">
        <v>0.0</v>
      </c>
      <c r="Z695" s="87">
        <v>0.0</v>
      </c>
      <c r="AA695" s="87">
        <v>0.0</v>
      </c>
      <c r="AB695" s="87">
        <v>0.0</v>
      </c>
      <c r="AC695" s="87">
        <v>0.0</v>
      </c>
      <c r="AD695" s="87">
        <v>0.0</v>
      </c>
      <c r="AE695" s="87">
        <v>0.0</v>
      </c>
      <c r="AF695" s="87">
        <v>0.0</v>
      </c>
      <c r="AG695" s="87">
        <v>0.0</v>
      </c>
      <c r="AH695" s="87">
        <v>0.0</v>
      </c>
      <c r="AI695" s="87">
        <v>0.0</v>
      </c>
      <c r="AJ695" s="87">
        <v>0.0</v>
      </c>
      <c r="AK695" s="87">
        <v>0.0</v>
      </c>
      <c r="AL695" s="88" t="s">
        <v>1396</v>
      </c>
    </row>
    <row r="696">
      <c r="A696" s="84" t="s">
        <v>2325</v>
      </c>
      <c r="B696" s="84" t="s">
        <v>2326</v>
      </c>
      <c r="C696" s="84" t="s">
        <v>2321</v>
      </c>
      <c r="D696" s="84" t="s">
        <v>2322</v>
      </c>
      <c r="E696" s="84" t="s">
        <v>1403</v>
      </c>
      <c r="F696" s="87">
        <v>24.0</v>
      </c>
      <c r="G696" s="87">
        <v>14.0</v>
      </c>
      <c r="H696" s="87">
        <v>39.0</v>
      </c>
      <c r="I696" s="87">
        <v>39.0</v>
      </c>
      <c r="J696" s="87">
        <v>0.0</v>
      </c>
      <c r="K696" s="87">
        <v>0.0</v>
      </c>
      <c r="L696" s="87">
        <v>0.0</v>
      </c>
      <c r="M696" s="87">
        <v>0.0</v>
      </c>
      <c r="N696" s="87">
        <v>0.0</v>
      </c>
      <c r="O696" s="87">
        <v>0.0</v>
      </c>
      <c r="P696" s="87">
        <v>0.0</v>
      </c>
      <c r="Q696" s="87">
        <v>0.0</v>
      </c>
      <c r="R696" s="87">
        <v>0.0</v>
      </c>
      <c r="S696" s="87">
        <v>0.0</v>
      </c>
      <c r="T696" s="87">
        <v>0.0</v>
      </c>
      <c r="U696" s="87">
        <v>0.0</v>
      </c>
      <c r="V696" s="87">
        <v>0.0</v>
      </c>
      <c r="W696" s="87">
        <v>0.0</v>
      </c>
      <c r="X696" s="87">
        <v>0.0</v>
      </c>
      <c r="Y696" s="87">
        <v>0.0</v>
      </c>
      <c r="Z696" s="87">
        <v>0.0</v>
      </c>
      <c r="AA696" s="87">
        <v>0.0</v>
      </c>
      <c r="AB696" s="87">
        <v>0.0</v>
      </c>
      <c r="AC696" s="87">
        <v>0.0</v>
      </c>
      <c r="AD696" s="87">
        <v>0.0</v>
      </c>
      <c r="AE696" s="87">
        <v>0.0</v>
      </c>
      <c r="AF696" s="87">
        <v>0.0</v>
      </c>
      <c r="AG696" s="87">
        <v>0.0</v>
      </c>
      <c r="AH696" s="87">
        <v>0.0</v>
      </c>
      <c r="AI696" s="87">
        <v>0.0</v>
      </c>
      <c r="AJ696" s="87">
        <v>0.0</v>
      </c>
      <c r="AK696" s="87">
        <v>0.0</v>
      </c>
      <c r="AL696" s="88" t="s">
        <v>1396</v>
      </c>
    </row>
    <row r="697">
      <c r="A697" s="84" t="s">
        <v>2327</v>
      </c>
      <c r="B697" s="84" t="s">
        <v>2328</v>
      </c>
      <c r="C697" s="84" t="s">
        <v>444</v>
      </c>
      <c r="D697" s="84" t="s">
        <v>2329</v>
      </c>
      <c r="E697" s="84" t="s">
        <v>1400</v>
      </c>
      <c r="F697" s="87">
        <v>7.0</v>
      </c>
      <c r="G697" s="87">
        <v>0.0</v>
      </c>
      <c r="H697" s="87">
        <v>1167.0</v>
      </c>
      <c r="I697" s="87">
        <v>0.0</v>
      </c>
      <c r="J697" s="87">
        <v>2.645982</v>
      </c>
      <c r="K697" s="87">
        <v>4.896183</v>
      </c>
      <c r="L697" s="87">
        <v>3.998429</v>
      </c>
      <c r="M697" s="87">
        <v>2.211404</v>
      </c>
      <c r="N697" s="87">
        <v>0.451659</v>
      </c>
      <c r="O697" s="87">
        <v>0.066667</v>
      </c>
      <c r="P697" s="87">
        <v>0.435632</v>
      </c>
      <c r="Q697" s="87">
        <v>0.595967</v>
      </c>
      <c r="R697" s="87">
        <v>0.645639</v>
      </c>
      <c r="S697" s="87">
        <v>0.940873</v>
      </c>
      <c r="T697" s="87">
        <v>0.066667</v>
      </c>
      <c r="U697" s="87">
        <v>0.435632</v>
      </c>
      <c r="V697" s="87">
        <v>0.595967</v>
      </c>
      <c r="W697" s="87">
        <v>0.645639</v>
      </c>
      <c r="X697" s="87">
        <v>0.940873</v>
      </c>
      <c r="Y697" s="87">
        <v>0.699455</v>
      </c>
      <c r="Z697" s="87">
        <v>0.645639</v>
      </c>
      <c r="AA697" s="87">
        <v>0.645639</v>
      </c>
      <c r="AB697" s="87">
        <v>0.612023</v>
      </c>
      <c r="AC697" s="87">
        <v>0.699455</v>
      </c>
      <c r="AD697" s="87">
        <v>0.650285</v>
      </c>
      <c r="AE697" s="87">
        <v>0.711954</v>
      </c>
      <c r="AF697" s="87">
        <v>1.250086</v>
      </c>
      <c r="AG697" s="87">
        <v>0.699455</v>
      </c>
      <c r="AH697" s="87">
        <v>0.0</v>
      </c>
      <c r="AI697" s="87">
        <v>0.986303</v>
      </c>
      <c r="AJ697" s="87">
        <v>1.251559</v>
      </c>
      <c r="AK697" s="87">
        <v>1.237381</v>
      </c>
      <c r="AL697" s="88" t="s">
        <v>1396</v>
      </c>
    </row>
    <row r="698">
      <c r="A698" s="84" t="s">
        <v>2330</v>
      </c>
      <c r="B698" s="84" t="s">
        <v>2331</v>
      </c>
      <c r="C698" s="84" t="s">
        <v>444</v>
      </c>
      <c r="D698" s="84" t="s">
        <v>2329</v>
      </c>
      <c r="E698" s="84" t="s">
        <v>1403</v>
      </c>
      <c r="F698" s="87">
        <v>1.0</v>
      </c>
      <c r="G698" s="87">
        <v>0.0</v>
      </c>
      <c r="H698" s="87">
        <v>0.0</v>
      </c>
      <c r="I698" s="87">
        <v>0.0</v>
      </c>
      <c r="J698" s="87">
        <v>0.0</v>
      </c>
      <c r="K698" s="87">
        <v>0.0</v>
      </c>
      <c r="L698" s="87">
        <v>0.0</v>
      </c>
      <c r="M698" s="87">
        <v>0.0</v>
      </c>
      <c r="N698" s="87">
        <v>0.0</v>
      </c>
      <c r="O698" s="87">
        <v>0.0</v>
      </c>
      <c r="P698" s="87">
        <v>0.0</v>
      </c>
      <c r="Q698" s="87">
        <v>0.0</v>
      </c>
      <c r="R698" s="87">
        <v>0.0</v>
      </c>
      <c r="S698" s="87">
        <v>0.0</v>
      </c>
      <c r="T698" s="87">
        <v>0.0</v>
      </c>
      <c r="U698" s="87">
        <v>0.0</v>
      </c>
      <c r="V698" s="87">
        <v>0.0</v>
      </c>
      <c r="W698" s="87">
        <v>0.0</v>
      </c>
      <c r="X698" s="87">
        <v>0.0</v>
      </c>
      <c r="Y698" s="87">
        <v>0.0</v>
      </c>
      <c r="Z698" s="87">
        <v>0.645639</v>
      </c>
      <c r="AA698" s="87">
        <v>0.645639</v>
      </c>
      <c r="AB698" s="87">
        <v>0.612023</v>
      </c>
      <c r="AC698" s="87">
        <v>0.699455</v>
      </c>
      <c r="AD698" s="87">
        <v>0.0</v>
      </c>
      <c r="AE698" s="87">
        <v>0.0</v>
      </c>
      <c r="AF698" s="87">
        <v>0.0</v>
      </c>
      <c r="AG698" s="87">
        <v>0.0</v>
      </c>
      <c r="AH698" s="87">
        <v>0.0</v>
      </c>
      <c r="AI698" s="87">
        <v>0.986303</v>
      </c>
      <c r="AJ698" s="87">
        <v>1.251559</v>
      </c>
      <c r="AK698" s="87">
        <v>1.237381</v>
      </c>
      <c r="AL698" s="88" t="s">
        <v>1396</v>
      </c>
    </row>
    <row r="699">
      <c r="A699" s="84" t="s">
        <v>2332</v>
      </c>
      <c r="B699" s="84" t="s">
        <v>2333</v>
      </c>
      <c r="C699" s="84" t="s">
        <v>444</v>
      </c>
      <c r="D699" s="84" t="s">
        <v>2334</v>
      </c>
      <c r="E699" s="86">
        <v>46310.0</v>
      </c>
      <c r="F699" s="87">
        <v>4.0</v>
      </c>
      <c r="G699" s="87">
        <v>0.0</v>
      </c>
      <c r="H699" s="87">
        <v>915.0</v>
      </c>
      <c r="I699" s="87">
        <v>0.0</v>
      </c>
      <c r="J699" s="87">
        <v>9.151016</v>
      </c>
      <c r="K699" s="87">
        <v>9.832945</v>
      </c>
      <c r="L699" s="87">
        <v>8.275006</v>
      </c>
      <c r="M699" s="87">
        <v>5.823439</v>
      </c>
      <c r="N699" s="87">
        <v>0.592238</v>
      </c>
      <c r="O699" s="87">
        <v>0.0</v>
      </c>
      <c r="P699" s="87">
        <v>0.0</v>
      </c>
      <c r="Q699" s="87">
        <v>0.0</v>
      </c>
      <c r="R699" s="87">
        <v>4.009506</v>
      </c>
      <c r="S699" s="87">
        <v>4.009506</v>
      </c>
      <c r="T699" s="87">
        <v>4.009506</v>
      </c>
      <c r="U699" s="87">
        <v>4.009506</v>
      </c>
      <c r="V699" s="87">
        <v>4.009506</v>
      </c>
      <c r="W699" s="87">
        <v>5.823439</v>
      </c>
      <c r="X699" s="87">
        <v>5.823439</v>
      </c>
      <c r="Y699" s="87">
        <v>2.458236</v>
      </c>
      <c r="Z699" s="87">
        <v>0.531746</v>
      </c>
      <c r="AA699" s="87">
        <v>1.804525</v>
      </c>
      <c r="AB699" s="87">
        <v>1.361839</v>
      </c>
      <c r="AC699" s="87">
        <v>1.824598</v>
      </c>
      <c r="AD699" s="87">
        <v>7.088522</v>
      </c>
      <c r="AE699" s="87">
        <v>10.87701</v>
      </c>
      <c r="AF699" s="87">
        <v>8.804544</v>
      </c>
      <c r="AG699" s="87">
        <v>11.39917</v>
      </c>
      <c r="AH699" s="87">
        <v>0.0</v>
      </c>
      <c r="AI699" s="87">
        <v>0.986303</v>
      </c>
      <c r="AJ699" s="87">
        <v>1.251559</v>
      </c>
      <c r="AK699" s="87">
        <v>1.237381</v>
      </c>
      <c r="AL699" s="88" t="s">
        <v>1396</v>
      </c>
    </row>
    <row r="700">
      <c r="A700" s="84" t="s">
        <v>2335</v>
      </c>
      <c r="B700" s="84" t="s">
        <v>2336</v>
      </c>
      <c r="C700" s="84" t="s">
        <v>444</v>
      </c>
      <c r="D700" s="84" t="s">
        <v>2334</v>
      </c>
      <c r="E700" s="84" t="s">
        <v>1413</v>
      </c>
      <c r="F700" s="87">
        <v>4.0</v>
      </c>
      <c r="G700" s="87">
        <v>0.0</v>
      </c>
      <c r="H700" s="87">
        <v>1325.0</v>
      </c>
      <c r="I700" s="87">
        <v>0.0</v>
      </c>
      <c r="J700" s="87">
        <v>5.977978</v>
      </c>
      <c r="K700" s="87">
        <v>7.298392</v>
      </c>
      <c r="L700" s="87">
        <v>6.874026</v>
      </c>
      <c r="M700" s="87">
        <v>2.84351</v>
      </c>
      <c r="N700" s="87">
        <v>0.389608</v>
      </c>
      <c r="O700" s="87">
        <v>0.650067</v>
      </c>
      <c r="P700" s="87">
        <v>0.650067</v>
      </c>
      <c r="Q700" s="87">
        <v>1.032258</v>
      </c>
      <c r="R700" s="87">
        <v>2.772557</v>
      </c>
      <c r="S700" s="87">
        <v>2.772557</v>
      </c>
      <c r="T700" s="87">
        <v>0.650067</v>
      </c>
      <c r="U700" s="87">
        <v>0.650067</v>
      </c>
      <c r="V700" s="87">
        <v>1.032258</v>
      </c>
      <c r="W700" s="87">
        <v>2.772557</v>
      </c>
      <c r="X700" s="87">
        <v>2.772557</v>
      </c>
      <c r="Y700" s="87">
        <v>1.824598</v>
      </c>
      <c r="Z700" s="87">
        <v>0.531746</v>
      </c>
      <c r="AA700" s="87">
        <v>1.804525</v>
      </c>
      <c r="AB700" s="87">
        <v>1.361839</v>
      </c>
      <c r="AC700" s="87">
        <v>1.824598</v>
      </c>
      <c r="AD700" s="87">
        <v>5.729772</v>
      </c>
      <c r="AE700" s="87">
        <v>5.729772</v>
      </c>
      <c r="AF700" s="87">
        <v>8.178527</v>
      </c>
      <c r="AG700" s="87">
        <v>7.494876</v>
      </c>
      <c r="AH700" s="87">
        <v>0.0</v>
      </c>
      <c r="AI700" s="87">
        <v>0.986303</v>
      </c>
      <c r="AJ700" s="87">
        <v>1.251559</v>
      </c>
      <c r="AK700" s="87">
        <v>1.237381</v>
      </c>
      <c r="AL700" s="88" t="s">
        <v>1396</v>
      </c>
    </row>
    <row r="701">
      <c r="A701" s="84" t="s">
        <v>2337</v>
      </c>
      <c r="B701" s="84" t="s">
        <v>2338</v>
      </c>
      <c r="C701" s="84" t="s">
        <v>444</v>
      </c>
      <c r="D701" s="84" t="s">
        <v>2334</v>
      </c>
      <c r="E701" s="84" t="s">
        <v>1398</v>
      </c>
      <c r="F701" s="87">
        <v>2.0</v>
      </c>
      <c r="G701" s="87">
        <v>0.0</v>
      </c>
      <c r="H701" s="87">
        <v>508.0</v>
      </c>
      <c r="I701" s="87">
        <v>0.0</v>
      </c>
      <c r="J701" s="87">
        <v>1.524542</v>
      </c>
      <c r="K701" s="87">
        <v>2.474763</v>
      </c>
      <c r="L701" s="87">
        <v>2.1866</v>
      </c>
      <c r="M701" s="87">
        <v>1.804525</v>
      </c>
      <c r="N701" s="87">
        <v>0.729171</v>
      </c>
      <c r="O701" s="87">
        <v>0.670238</v>
      </c>
      <c r="P701" s="87">
        <v>0.670238</v>
      </c>
      <c r="Q701" s="87">
        <v>0.670238</v>
      </c>
      <c r="R701" s="87">
        <v>1.804525</v>
      </c>
      <c r="S701" s="87">
        <v>1.804525</v>
      </c>
      <c r="T701" s="87">
        <v>0.670238</v>
      </c>
      <c r="U701" s="87">
        <v>0.670238</v>
      </c>
      <c r="V701" s="87">
        <v>0.670238</v>
      </c>
      <c r="W701" s="87">
        <v>1.804525</v>
      </c>
      <c r="X701" s="87">
        <v>1.804525</v>
      </c>
      <c r="Y701" s="87">
        <v>1.237381</v>
      </c>
      <c r="Z701" s="87">
        <v>0.531746</v>
      </c>
      <c r="AA701" s="87">
        <v>1.804525</v>
      </c>
      <c r="AB701" s="87">
        <v>1.361839</v>
      </c>
      <c r="AC701" s="87">
        <v>1.824598</v>
      </c>
      <c r="AD701" s="87">
        <v>1.006722</v>
      </c>
      <c r="AE701" s="87">
        <v>1.213114</v>
      </c>
      <c r="AF701" s="87">
        <v>1.850158</v>
      </c>
      <c r="AG701" s="87">
        <v>1.237381</v>
      </c>
      <c r="AH701" s="87">
        <v>0.0</v>
      </c>
      <c r="AI701" s="87">
        <v>0.986303</v>
      </c>
      <c r="AJ701" s="87">
        <v>1.251559</v>
      </c>
      <c r="AK701" s="87">
        <v>1.237381</v>
      </c>
      <c r="AL701" s="88" t="s">
        <v>1396</v>
      </c>
    </row>
    <row r="702">
      <c r="A702" s="84" t="s">
        <v>2327</v>
      </c>
      <c r="B702" s="84" t="s">
        <v>2339</v>
      </c>
      <c r="C702" s="84" t="s">
        <v>444</v>
      </c>
      <c r="D702" s="84" t="s">
        <v>2334</v>
      </c>
      <c r="E702" s="84" t="s">
        <v>1400</v>
      </c>
      <c r="F702" s="87">
        <v>3.0</v>
      </c>
      <c r="G702" s="87">
        <v>0.0</v>
      </c>
      <c r="H702" s="87">
        <v>374.0</v>
      </c>
      <c r="I702" s="87">
        <v>0.0</v>
      </c>
      <c r="J702" s="87">
        <v>1.142857</v>
      </c>
      <c r="K702" s="87">
        <v>1.899121</v>
      </c>
      <c r="L702" s="87">
        <v>1.899396</v>
      </c>
      <c r="M702" s="87">
        <v>1.300708</v>
      </c>
      <c r="N702" s="87">
        <v>0.6849</v>
      </c>
      <c r="O702" s="87">
        <v>0.066667</v>
      </c>
      <c r="P702" s="87">
        <v>0.066667</v>
      </c>
      <c r="Q702" s="87">
        <v>0.066667</v>
      </c>
      <c r="R702" s="87">
        <v>0.531746</v>
      </c>
      <c r="S702" s="87">
        <v>1.300708</v>
      </c>
      <c r="T702" s="87">
        <v>0.066667</v>
      </c>
      <c r="U702" s="87">
        <v>0.066667</v>
      </c>
      <c r="V702" s="87">
        <v>0.066667</v>
      </c>
      <c r="W702" s="87">
        <v>0.531746</v>
      </c>
      <c r="X702" s="87">
        <v>1.300708</v>
      </c>
      <c r="Y702" s="87">
        <v>0.63304</v>
      </c>
      <c r="Z702" s="87">
        <v>0.531746</v>
      </c>
      <c r="AA702" s="87">
        <v>1.804525</v>
      </c>
      <c r="AB702" s="87">
        <v>1.361839</v>
      </c>
      <c r="AC702" s="87">
        <v>1.824598</v>
      </c>
      <c r="AD702" s="87">
        <v>0.650285</v>
      </c>
      <c r="AE702" s="87">
        <v>0.711954</v>
      </c>
      <c r="AF702" s="87">
        <v>1.250086</v>
      </c>
      <c r="AG702" s="87">
        <v>0.699455</v>
      </c>
      <c r="AH702" s="87">
        <v>0.0</v>
      </c>
      <c r="AI702" s="87">
        <v>0.986303</v>
      </c>
      <c r="AJ702" s="87">
        <v>1.251559</v>
      </c>
      <c r="AK702" s="87">
        <v>1.237381</v>
      </c>
      <c r="AL702" s="88" t="s">
        <v>1396</v>
      </c>
    </row>
    <row r="703">
      <c r="A703" s="84" t="s">
        <v>2340</v>
      </c>
      <c r="B703" s="84" t="s">
        <v>2341</v>
      </c>
      <c r="C703" s="84" t="s">
        <v>444</v>
      </c>
      <c r="D703" s="84" t="s">
        <v>2334</v>
      </c>
      <c r="E703" s="86">
        <v>46300.0</v>
      </c>
      <c r="F703" s="87">
        <v>3.0</v>
      </c>
      <c r="G703" s="87">
        <v>0.0</v>
      </c>
      <c r="H703" s="87">
        <v>990.0</v>
      </c>
      <c r="I703" s="87">
        <v>0.0</v>
      </c>
      <c r="J703" s="87">
        <v>12.34871</v>
      </c>
      <c r="K703" s="87">
        <v>13.90259</v>
      </c>
      <c r="L703" s="87">
        <v>13.39609</v>
      </c>
      <c r="M703" s="87">
        <v>8.426714</v>
      </c>
      <c r="N703" s="87">
        <v>0.606125</v>
      </c>
      <c r="O703" s="87">
        <v>1.76654</v>
      </c>
      <c r="P703" s="87">
        <v>1.76654</v>
      </c>
      <c r="Q703" s="87">
        <v>1.76654</v>
      </c>
      <c r="R703" s="87">
        <v>3.70934</v>
      </c>
      <c r="S703" s="87">
        <v>8.426714</v>
      </c>
      <c r="T703" s="87">
        <v>1.76654</v>
      </c>
      <c r="U703" s="87">
        <v>1.76654</v>
      </c>
      <c r="V703" s="87">
        <v>1.76654</v>
      </c>
      <c r="W703" s="87">
        <v>3.70934</v>
      </c>
      <c r="X703" s="87">
        <v>8.426714</v>
      </c>
      <c r="Y703" s="87">
        <v>4.634198</v>
      </c>
      <c r="Z703" s="87">
        <v>0.531746</v>
      </c>
      <c r="AA703" s="87">
        <v>1.804525</v>
      </c>
      <c r="AB703" s="87">
        <v>1.361839</v>
      </c>
      <c r="AC703" s="87">
        <v>1.824598</v>
      </c>
      <c r="AD703" s="87">
        <v>6.447052</v>
      </c>
      <c r="AE703" s="87">
        <v>6.447052</v>
      </c>
      <c r="AF703" s="87">
        <v>5.456616</v>
      </c>
      <c r="AG703" s="87">
        <v>6.279034</v>
      </c>
      <c r="AH703" s="87">
        <v>0.0</v>
      </c>
      <c r="AI703" s="87">
        <v>0.986303</v>
      </c>
      <c r="AJ703" s="87">
        <v>1.251559</v>
      </c>
      <c r="AK703" s="87">
        <v>1.237381</v>
      </c>
      <c r="AL703" s="88" t="s">
        <v>1396</v>
      </c>
    </row>
    <row r="704">
      <c r="A704" s="84" t="s">
        <v>2330</v>
      </c>
      <c r="B704" s="84" t="s">
        <v>2342</v>
      </c>
      <c r="C704" s="84" t="s">
        <v>444</v>
      </c>
      <c r="D704" s="84" t="s">
        <v>2334</v>
      </c>
      <c r="E704" s="84" t="s">
        <v>1403</v>
      </c>
      <c r="F704" s="87">
        <v>10.0</v>
      </c>
      <c r="G704" s="87">
        <v>0.0</v>
      </c>
      <c r="H704" s="87">
        <v>0.0</v>
      </c>
      <c r="I704" s="87">
        <v>0.0</v>
      </c>
      <c r="J704" s="87">
        <v>0.0</v>
      </c>
      <c r="K704" s="87">
        <v>0.0</v>
      </c>
      <c r="L704" s="87">
        <v>0.0</v>
      </c>
      <c r="M704" s="87">
        <v>0.0</v>
      </c>
      <c r="N704" s="87">
        <v>0.0</v>
      </c>
      <c r="O704" s="87">
        <v>0.0</v>
      </c>
      <c r="P704" s="87">
        <v>0.0</v>
      </c>
      <c r="Q704" s="87">
        <v>0.0</v>
      </c>
      <c r="R704" s="87">
        <v>0.0</v>
      </c>
      <c r="S704" s="87">
        <v>0.0</v>
      </c>
      <c r="T704" s="87">
        <v>0.0</v>
      </c>
      <c r="U704" s="87">
        <v>0.0</v>
      </c>
      <c r="V704" s="87">
        <v>0.0</v>
      </c>
      <c r="W704" s="87">
        <v>0.0</v>
      </c>
      <c r="X704" s="87">
        <v>0.0</v>
      </c>
      <c r="Y704" s="87">
        <v>0.0</v>
      </c>
      <c r="Z704" s="87">
        <v>0.531746</v>
      </c>
      <c r="AA704" s="87">
        <v>1.804525</v>
      </c>
      <c r="AB704" s="87">
        <v>1.361839</v>
      </c>
      <c r="AC704" s="87">
        <v>1.824598</v>
      </c>
      <c r="AD704" s="87">
        <v>0.0</v>
      </c>
      <c r="AE704" s="87">
        <v>0.0</v>
      </c>
      <c r="AF704" s="87">
        <v>0.0</v>
      </c>
      <c r="AG704" s="87">
        <v>0.0</v>
      </c>
      <c r="AH704" s="87">
        <v>0.0</v>
      </c>
      <c r="AI704" s="87">
        <v>0.986303</v>
      </c>
      <c r="AJ704" s="87">
        <v>1.251559</v>
      </c>
      <c r="AK704" s="87">
        <v>1.237381</v>
      </c>
      <c r="AL704" s="88" t="s">
        <v>1396</v>
      </c>
    </row>
    <row r="705">
      <c r="A705" s="84" t="s">
        <v>2343</v>
      </c>
      <c r="B705" s="84" t="s">
        <v>2344</v>
      </c>
      <c r="C705" s="84" t="s">
        <v>444</v>
      </c>
      <c r="D705" s="84" t="s">
        <v>954</v>
      </c>
      <c r="E705" s="84" t="s">
        <v>1426</v>
      </c>
      <c r="F705" s="87">
        <v>2.0</v>
      </c>
      <c r="G705" s="87">
        <v>0.0</v>
      </c>
      <c r="H705" s="87">
        <v>0.0</v>
      </c>
      <c r="I705" s="87">
        <v>0.0</v>
      </c>
      <c r="J705" s="87">
        <v>0.0</v>
      </c>
      <c r="K705" s="87">
        <v>0.0</v>
      </c>
      <c r="L705" s="87">
        <v>0.0</v>
      </c>
      <c r="M705" s="87">
        <v>0.0</v>
      </c>
      <c r="N705" s="87">
        <v>0.0</v>
      </c>
      <c r="O705" s="87">
        <v>0.0</v>
      </c>
      <c r="P705" s="87">
        <v>0.0</v>
      </c>
      <c r="Q705" s="87">
        <v>0.0</v>
      </c>
      <c r="R705" s="87">
        <v>0.0</v>
      </c>
      <c r="S705" s="87">
        <v>0.0</v>
      </c>
      <c r="T705" s="87">
        <v>0.0</v>
      </c>
      <c r="U705" s="87">
        <v>0.0</v>
      </c>
      <c r="V705" s="87">
        <v>0.0</v>
      </c>
      <c r="W705" s="87">
        <v>0.0</v>
      </c>
      <c r="X705" s="87">
        <v>0.0</v>
      </c>
      <c r="Y705" s="87">
        <v>0.0</v>
      </c>
      <c r="Z705" s="87">
        <v>0.0</v>
      </c>
      <c r="AA705" s="87">
        <v>9.501305</v>
      </c>
      <c r="AB705" s="87">
        <v>1.570606</v>
      </c>
      <c r="AC705" s="87">
        <v>1.006722</v>
      </c>
      <c r="AD705" s="87">
        <v>0.0</v>
      </c>
      <c r="AE705" s="87">
        <v>0.0</v>
      </c>
      <c r="AF705" s="87">
        <v>0.0</v>
      </c>
      <c r="AG705" s="87">
        <v>0.0</v>
      </c>
      <c r="AH705" s="87">
        <v>0.0</v>
      </c>
      <c r="AI705" s="87">
        <v>0.986303</v>
      </c>
      <c r="AJ705" s="87">
        <v>1.251559</v>
      </c>
      <c r="AK705" s="87">
        <v>1.237381</v>
      </c>
      <c r="AL705" s="88" t="s">
        <v>1396</v>
      </c>
    </row>
    <row r="706">
      <c r="A706" s="84" t="s">
        <v>2335</v>
      </c>
      <c r="B706" s="84" t="s">
        <v>2345</v>
      </c>
      <c r="C706" s="84" t="s">
        <v>444</v>
      </c>
      <c r="D706" s="84" t="s">
        <v>954</v>
      </c>
      <c r="E706" s="84" t="s">
        <v>1413</v>
      </c>
      <c r="F706" s="87">
        <v>2.0</v>
      </c>
      <c r="G706" s="87">
        <v>0.0</v>
      </c>
      <c r="H706" s="87">
        <v>2074.0</v>
      </c>
      <c r="I706" s="87">
        <v>0.0</v>
      </c>
      <c r="J706" s="87">
        <v>29.7703</v>
      </c>
      <c r="K706" s="87">
        <v>27.26419</v>
      </c>
      <c r="L706" s="87">
        <v>27.10534</v>
      </c>
      <c r="M706" s="87">
        <v>17.76289</v>
      </c>
      <c r="N706" s="87">
        <v>0.65151</v>
      </c>
      <c r="O706" s="87">
        <v>9.501305</v>
      </c>
      <c r="P706" s="87">
        <v>9.501305</v>
      </c>
      <c r="Q706" s="87">
        <v>9.501305</v>
      </c>
      <c r="R706" s="87">
        <v>17.76289</v>
      </c>
      <c r="S706" s="87">
        <v>17.76289</v>
      </c>
      <c r="T706" s="87">
        <v>9.501305</v>
      </c>
      <c r="U706" s="87">
        <v>9.501305</v>
      </c>
      <c r="V706" s="87">
        <v>9.501305</v>
      </c>
      <c r="W706" s="87">
        <v>17.76289</v>
      </c>
      <c r="X706" s="87">
        <v>17.76289</v>
      </c>
      <c r="Y706" s="87">
        <v>13.6321</v>
      </c>
      <c r="Z706" s="87">
        <v>0.0</v>
      </c>
      <c r="AA706" s="87">
        <v>9.501305</v>
      </c>
      <c r="AB706" s="87">
        <v>1.570606</v>
      </c>
      <c r="AC706" s="87">
        <v>1.006722</v>
      </c>
      <c r="AD706" s="87">
        <v>5.729772</v>
      </c>
      <c r="AE706" s="87">
        <v>5.729772</v>
      </c>
      <c r="AF706" s="87">
        <v>8.178527</v>
      </c>
      <c r="AG706" s="87">
        <v>7.494876</v>
      </c>
      <c r="AH706" s="87">
        <v>0.0</v>
      </c>
      <c r="AI706" s="87">
        <v>0.986303</v>
      </c>
      <c r="AJ706" s="87">
        <v>1.251559</v>
      </c>
      <c r="AK706" s="87">
        <v>1.237381</v>
      </c>
      <c r="AL706" s="88" t="s">
        <v>1396</v>
      </c>
    </row>
    <row r="707">
      <c r="A707" s="84" t="s">
        <v>2337</v>
      </c>
      <c r="B707" s="84" t="s">
        <v>2346</v>
      </c>
      <c r="C707" s="84" t="s">
        <v>444</v>
      </c>
      <c r="D707" s="84" t="s">
        <v>954</v>
      </c>
      <c r="E707" s="84" t="s">
        <v>1398</v>
      </c>
      <c r="F707" s="87">
        <v>1.0</v>
      </c>
      <c r="G707" s="87">
        <v>0.0</v>
      </c>
      <c r="H707" s="87">
        <v>288.0</v>
      </c>
      <c r="I707" s="87">
        <v>0.0</v>
      </c>
      <c r="J707" s="87">
        <v>0.5</v>
      </c>
      <c r="K707" s="87">
        <v>1.006722</v>
      </c>
      <c r="L707" s="87">
        <v>1.380202</v>
      </c>
      <c r="M707" s="87">
        <v>1.006722</v>
      </c>
      <c r="N707" s="87">
        <v>1.0</v>
      </c>
      <c r="O707" s="87">
        <v>1.006722</v>
      </c>
      <c r="P707" s="87">
        <v>1.006722</v>
      </c>
      <c r="Q707" s="87">
        <v>1.006722</v>
      </c>
      <c r="R707" s="87">
        <v>1.006722</v>
      </c>
      <c r="S707" s="87">
        <v>1.006722</v>
      </c>
      <c r="T707" s="87">
        <v>1.006722</v>
      </c>
      <c r="U707" s="87">
        <v>1.006722</v>
      </c>
      <c r="V707" s="87">
        <v>1.006722</v>
      </c>
      <c r="W707" s="87">
        <v>1.006722</v>
      </c>
      <c r="X707" s="87">
        <v>1.006722</v>
      </c>
      <c r="Y707" s="87">
        <v>1.006722</v>
      </c>
      <c r="Z707" s="87">
        <v>0.0</v>
      </c>
      <c r="AA707" s="87">
        <v>9.501305</v>
      </c>
      <c r="AB707" s="87">
        <v>1.570606</v>
      </c>
      <c r="AC707" s="87">
        <v>1.006722</v>
      </c>
      <c r="AD707" s="87">
        <v>1.006722</v>
      </c>
      <c r="AE707" s="87">
        <v>1.213114</v>
      </c>
      <c r="AF707" s="87">
        <v>1.850158</v>
      </c>
      <c r="AG707" s="87">
        <v>1.237381</v>
      </c>
      <c r="AH707" s="87">
        <v>0.0</v>
      </c>
      <c r="AI707" s="87">
        <v>0.986303</v>
      </c>
      <c r="AJ707" s="87">
        <v>1.251559</v>
      </c>
      <c r="AK707" s="87">
        <v>1.237381</v>
      </c>
      <c r="AL707" s="88" t="s">
        <v>1396</v>
      </c>
    </row>
    <row r="708">
      <c r="A708" s="84" t="s">
        <v>2330</v>
      </c>
      <c r="B708" s="84" t="s">
        <v>2347</v>
      </c>
      <c r="C708" s="84" t="s">
        <v>444</v>
      </c>
      <c r="D708" s="84" t="s">
        <v>954</v>
      </c>
      <c r="E708" s="84" t="s">
        <v>1403</v>
      </c>
      <c r="F708" s="87">
        <v>13.0</v>
      </c>
      <c r="G708" s="87">
        <v>0.0</v>
      </c>
      <c r="H708" s="87">
        <v>0.0</v>
      </c>
      <c r="I708" s="87">
        <v>0.0</v>
      </c>
      <c r="J708" s="87">
        <v>0.0</v>
      </c>
      <c r="K708" s="87">
        <v>0.0</v>
      </c>
      <c r="L708" s="87">
        <v>0.0</v>
      </c>
      <c r="M708" s="87">
        <v>0.0</v>
      </c>
      <c r="N708" s="87">
        <v>0.0</v>
      </c>
      <c r="O708" s="87">
        <v>0.0</v>
      </c>
      <c r="P708" s="87">
        <v>0.0</v>
      </c>
      <c r="Q708" s="87">
        <v>0.0</v>
      </c>
      <c r="R708" s="87">
        <v>0.0</v>
      </c>
      <c r="S708" s="87">
        <v>0.0</v>
      </c>
      <c r="T708" s="87">
        <v>0.0</v>
      </c>
      <c r="U708" s="87">
        <v>0.0</v>
      </c>
      <c r="V708" s="87">
        <v>0.0</v>
      </c>
      <c r="W708" s="87">
        <v>0.0</v>
      </c>
      <c r="X708" s="87">
        <v>0.0</v>
      </c>
      <c r="Y708" s="87">
        <v>0.0</v>
      </c>
      <c r="Z708" s="87">
        <v>0.0</v>
      </c>
      <c r="AA708" s="87">
        <v>9.501305</v>
      </c>
      <c r="AB708" s="87">
        <v>1.570606</v>
      </c>
      <c r="AC708" s="87">
        <v>1.006722</v>
      </c>
      <c r="AD708" s="87">
        <v>0.0</v>
      </c>
      <c r="AE708" s="87">
        <v>0.0</v>
      </c>
      <c r="AF708" s="87">
        <v>0.0</v>
      </c>
      <c r="AG708" s="87">
        <v>0.0</v>
      </c>
      <c r="AH708" s="87">
        <v>0.0</v>
      </c>
      <c r="AI708" s="87">
        <v>0.986303</v>
      </c>
      <c r="AJ708" s="87">
        <v>1.251559</v>
      </c>
      <c r="AK708" s="87">
        <v>1.237381</v>
      </c>
      <c r="AL708" s="88" t="s">
        <v>1396</v>
      </c>
    </row>
    <row r="709">
      <c r="A709" s="84" t="s">
        <v>2332</v>
      </c>
      <c r="B709" s="84" t="s">
        <v>2348</v>
      </c>
      <c r="C709" s="84" t="s">
        <v>444</v>
      </c>
      <c r="D709" s="84" t="s">
        <v>454</v>
      </c>
      <c r="E709" s="86">
        <v>46310.0</v>
      </c>
      <c r="F709" s="87">
        <v>2.0</v>
      </c>
      <c r="G709" s="87">
        <v>0.0</v>
      </c>
      <c r="H709" s="87">
        <v>3996.0</v>
      </c>
      <c r="I709" s="87">
        <v>0.0</v>
      </c>
      <c r="J709" s="87">
        <v>37.89872</v>
      </c>
      <c r="K709" s="87">
        <v>37.80506</v>
      </c>
      <c r="L709" s="87">
        <v>35.10902</v>
      </c>
      <c r="M709" s="87">
        <v>30.71654</v>
      </c>
      <c r="N709" s="87">
        <v>0.812498</v>
      </c>
      <c r="O709" s="87">
        <v>7.088522</v>
      </c>
      <c r="P709" s="87">
        <v>7.088522</v>
      </c>
      <c r="Q709" s="87">
        <v>7.088522</v>
      </c>
      <c r="R709" s="87">
        <v>30.71654</v>
      </c>
      <c r="S709" s="87">
        <v>30.71654</v>
      </c>
      <c r="T709" s="87">
        <v>7.088522</v>
      </c>
      <c r="U709" s="87">
        <v>7.088522</v>
      </c>
      <c r="V709" s="87">
        <v>7.088522</v>
      </c>
      <c r="W709" s="87">
        <v>30.71654</v>
      </c>
      <c r="X709" s="87">
        <v>30.71654</v>
      </c>
      <c r="Y709" s="87">
        <v>18.90253</v>
      </c>
      <c r="Z709" s="87">
        <v>0.0</v>
      </c>
      <c r="AA709" s="87">
        <v>2.543769</v>
      </c>
      <c r="AB709" s="87">
        <v>1.978457</v>
      </c>
      <c r="AC709" s="87">
        <v>6.279034</v>
      </c>
      <c r="AD709" s="87">
        <v>7.088522</v>
      </c>
      <c r="AE709" s="87">
        <v>10.87701</v>
      </c>
      <c r="AF709" s="87">
        <v>8.804544</v>
      </c>
      <c r="AG709" s="87">
        <v>11.39917</v>
      </c>
      <c r="AH709" s="87">
        <v>0.0</v>
      </c>
      <c r="AI709" s="87">
        <v>0.986303</v>
      </c>
      <c r="AJ709" s="87">
        <v>1.251559</v>
      </c>
      <c r="AK709" s="87">
        <v>1.237381</v>
      </c>
      <c r="AL709" s="88" t="s">
        <v>1396</v>
      </c>
    </row>
    <row r="710">
      <c r="A710" s="84" t="s">
        <v>2335</v>
      </c>
      <c r="B710" s="84" t="s">
        <v>2349</v>
      </c>
      <c r="C710" s="84" t="s">
        <v>444</v>
      </c>
      <c r="D710" s="84" t="s">
        <v>454</v>
      </c>
      <c r="E710" s="84" t="s">
        <v>1413</v>
      </c>
      <c r="F710" s="87">
        <v>3.0</v>
      </c>
      <c r="G710" s="87">
        <v>0.0</v>
      </c>
      <c r="H710" s="87">
        <v>2059.0</v>
      </c>
      <c r="I710" s="87">
        <v>0.0</v>
      </c>
      <c r="J710" s="87">
        <v>24.46643</v>
      </c>
      <c r="K710" s="87">
        <v>22.48463</v>
      </c>
      <c r="L710" s="87">
        <v>21.8773</v>
      </c>
      <c r="M710" s="87">
        <v>12.49437</v>
      </c>
      <c r="N710" s="87">
        <v>0.555685</v>
      </c>
      <c r="O710" s="87">
        <v>1.463441</v>
      </c>
      <c r="P710" s="87">
        <v>1.463441</v>
      </c>
      <c r="Q710" s="87">
        <v>1.463441</v>
      </c>
      <c r="R710" s="87">
        <v>8.526815</v>
      </c>
      <c r="S710" s="87">
        <v>12.49437</v>
      </c>
      <c r="T710" s="87">
        <v>1.463441</v>
      </c>
      <c r="U710" s="87">
        <v>1.463441</v>
      </c>
      <c r="V710" s="87">
        <v>1.463441</v>
      </c>
      <c r="W710" s="87">
        <v>8.526815</v>
      </c>
      <c r="X710" s="87">
        <v>12.49437</v>
      </c>
      <c r="Y710" s="87">
        <v>7.494876</v>
      </c>
      <c r="Z710" s="87">
        <v>0.0</v>
      </c>
      <c r="AA710" s="87">
        <v>2.543769</v>
      </c>
      <c r="AB710" s="87">
        <v>1.978457</v>
      </c>
      <c r="AC710" s="87">
        <v>6.279034</v>
      </c>
      <c r="AD710" s="87">
        <v>5.729772</v>
      </c>
      <c r="AE710" s="87">
        <v>5.729772</v>
      </c>
      <c r="AF710" s="87">
        <v>8.178527</v>
      </c>
      <c r="AG710" s="87">
        <v>7.494876</v>
      </c>
      <c r="AH710" s="87">
        <v>0.0</v>
      </c>
      <c r="AI710" s="87">
        <v>0.986303</v>
      </c>
      <c r="AJ710" s="87">
        <v>1.251559</v>
      </c>
      <c r="AK710" s="87">
        <v>1.237381</v>
      </c>
      <c r="AL710" s="88" t="s">
        <v>1396</v>
      </c>
    </row>
    <row r="711">
      <c r="A711" s="84" t="s">
        <v>2337</v>
      </c>
      <c r="B711" s="84" t="s">
        <v>2350</v>
      </c>
      <c r="C711" s="84" t="s">
        <v>444</v>
      </c>
      <c r="D711" s="84" t="s">
        <v>454</v>
      </c>
      <c r="E711" s="84" t="s">
        <v>1398</v>
      </c>
      <c r="F711" s="87">
        <v>9.0</v>
      </c>
      <c r="G711" s="87">
        <v>0.0</v>
      </c>
      <c r="H711" s="87">
        <v>3366.0</v>
      </c>
      <c r="I711" s="87">
        <v>0.0</v>
      </c>
      <c r="J711" s="87">
        <v>28.51968</v>
      </c>
      <c r="K711" s="87">
        <v>25.09233</v>
      </c>
      <c r="L711" s="87">
        <v>24.7869</v>
      </c>
      <c r="M711" s="87">
        <v>13.38857</v>
      </c>
      <c r="N711" s="87">
        <v>0.533572</v>
      </c>
      <c r="O711" s="87">
        <v>0.0</v>
      </c>
      <c r="P711" s="87">
        <v>0.333333</v>
      </c>
      <c r="Q711" s="87">
        <v>0.5</v>
      </c>
      <c r="R711" s="87">
        <v>2.301697</v>
      </c>
      <c r="S711" s="87">
        <v>3.741576</v>
      </c>
      <c r="T711" s="87">
        <v>0.333333</v>
      </c>
      <c r="U711" s="87">
        <v>0.5</v>
      </c>
      <c r="V711" s="87">
        <v>1.447303</v>
      </c>
      <c r="W711" s="87">
        <v>3.379852</v>
      </c>
      <c r="X711" s="87">
        <v>3.741576</v>
      </c>
      <c r="Y711" s="87">
        <v>2.788037</v>
      </c>
      <c r="Z711" s="87">
        <v>0.0</v>
      </c>
      <c r="AA711" s="87">
        <v>2.543769</v>
      </c>
      <c r="AB711" s="87">
        <v>1.978457</v>
      </c>
      <c r="AC711" s="87">
        <v>6.279034</v>
      </c>
      <c r="AD711" s="87">
        <v>1.006722</v>
      </c>
      <c r="AE711" s="87">
        <v>1.213114</v>
      </c>
      <c r="AF711" s="87">
        <v>1.850158</v>
      </c>
      <c r="AG711" s="87">
        <v>1.237381</v>
      </c>
      <c r="AH711" s="87">
        <v>0.0</v>
      </c>
      <c r="AI711" s="87">
        <v>0.986303</v>
      </c>
      <c r="AJ711" s="87">
        <v>1.251559</v>
      </c>
      <c r="AK711" s="87">
        <v>1.237381</v>
      </c>
      <c r="AL711" s="88" t="s">
        <v>1396</v>
      </c>
    </row>
    <row r="712">
      <c r="A712" s="84" t="s">
        <v>2327</v>
      </c>
      <c r="B712" s="84" t="s">
        <v>2351</v>
      </c>
      <c r="C712" s="84" t="s">
        <v>444</v>
      </c>
      <c r="D712" s="84" t="s">
        <v>454</v>
      </c>
      <c r="E712" s="84" t="s">
        <v>1400</v>
      </c>
      <c r="F712" s="87">
        <v>19.0</v>
      </c>
      <c r="G712" s="87">
        <v>0.0</v>
      </c>
      <c r="H712" s="87">
        <v>8188.0</v>
      </c>
      <c r="I712" s="87">
        <v>0.0</v>
      </c>
      <c r="J712" s="87">
        <v>51.96908</v>
      </c>
      <c r="K712" s="87">
        <v>58.01432</v>
      </c>
      <c r="L712" s="87">
        <v>57.73239</v>
      </c>
      <c r="M712" s="87">
        <v>28.63658</v>
      </c>
      <c r="N712" s="87">
        <v>0.493612</v>
      </c>
      <c r="O712" s="87">
        <v>0.233333</v>
      </c>
      <c r="P712" s="87">
        <v>0.778655</v>
      </c>
      <c r="Q712" s="87">
        <v>1.166667</v>
      </c>
      <c r="R712" s="87">
        <v>2.113297</v>
      </c>
      <c r="S712" s="87">
        <v>4.716468</v>
      </c>
      <c r="T712" s="87">
        <v>0.233333</v>
      </c>
      <c r="U712" s="87">
        <v>0.778655</v>
      </c>
      <c r="V712" s="87">
        <v>1.166667</v>
      </c>
      <c r="W712" s="87">
        <v>2.113297</v>
      </c>
      <c r="X712" s="87">
        <v>4.716468</v>
      </c>
      <c r="Y712" s="87">
        <v>3.053385</v>
      </c>
      <c r="Z712" s="87">
        <v>0.0</v>
      </c>
      <c r="AA712" s="87">
        <v>2.543769</v>
      </c>
      <c r="AB712" s="87">
        <v>1.978457</v>
      </c>
      <c r="AC712" s="87">
        <v>6.279034</v>
      </c>
      <c r="AD712" s="87">
        <v>0.650285</v>
      </c>
      <c r="AE712" s="87">
        <v>0.711954</v>
      </c>
      <c r="AF712" s="87">
        <v>1.250086</v>
      </c>
      <c r="AG712" s="87">
        <v>0.699455</v>
      </c>
      <c r="AH712" s="87">
        <v>0.0</v>
      </c>
      <c r="AI712" s="87">
        <v>0.986303</v>
      </c>
      <c r="AJ712" s="87">
        <v>1.251559</v>
      </c>
      <c r="AK712" s="87">
        <v>1.237381</v>
      </c>
      <c r="AL712" s="88" t="s">
        <v>1396</v>
      </c>
    </row>
    <row r="713">
      <c r="A713" s="84" t="s">
        <v>2340</v>
      </c>
      <c r="B713" s="84" t="s">
        <v>2352</v>
      </c>
      <c r="C713" s="84" t="s">
        <v>444</v>
      </c>
      <c r="D713" s="84" t="s">
        <v>454</v>
      </c>
      <c r="E713" s="89">
        <v>46300.0</v>
      </c>
      <c r="F713" s="87">
        <v>3.0</v>
      </c>
      <c r="G713" s="87">
        <v>0.0</v>
      </c>
      <c r="H713" s="87">
        <v>290.0</v>
      </c>
      <c r="I713" s="87">
        <v>0.0</v>
      </c>
      <c r="J713" s="87">
        <v>8.672744</v>
      </c>
      <c r="K713" s="87">
        <v>18.8371</v>
      </c>
      <c r="L713" s="87">
        <v>15.14739</v>
      </c>
      <c r="M713" s="87">
        <v>10.57521</v>
      </c>
      <c r="N713" s="87">
        <v>0.561403</v>
      </c>
      <c r="O713" s="87">
        <v>1.814841</v>
      </c>
      <c r="P713" s="87">
        <v>1.814841</v>
      </c>
      <c r="Q713" s="87">
        <v>1.814841</v>
      </c>
      <c r="R713" s="87">
        <v>6.447052</v>
      </c>
      <c r="S713" s="87">
        <v>10.57521</v>
      </c>
      <c r="T713" s="87">
        <v>1.814841</v>
      </c>
      <c r="U713" s="87">
        <v>1.814841</v>
      </c>
      <c r="V713" s="87">
        <v>1.814841</v>
      </c>
      <c r="W713" s="87">
        <v>6.447052</v>
      </c>
      <c r="X713" s="87">
        <v>10.57521</v>
      </c>
      <c r="Y713" s="87">
        <v>6.279034</v>
      </c>
      <c r="Z713" s="87">
        <v>0.0</v>
      </c>
      <c r="AA713" s="87">
        <v>2.543769</v>
      </c>
      <c r="AB713" s="87">
        <v>1.978457</v>
      </c>
      <c r="AC713" s="87">
        <v>6.279034</v>
      </c>
      <c r="AD713" s="87">
        <v>6.447052</v>
      </c>
      <c r="AE713" s="87">
        <v>6.447052</v>
      </c>
      <c r="AF713" s="87">
        <v>5.456616</v>
      </c>
      <c r="AG713" s="87">
        <v>6.279034</v>
      </c>
      <c r="AH713" s="87">
        <v>0.0</v>
      </c>
      <c r="AI713" s="87">
        <v>0.986303</v>
      </c>
      <c r="AJ713" s="87">
        <v>1.251559</v>
      </c>
      <c r="AK713" s="87">
        <v>1.237381</v>
      </c>
      <c r="AL713" s="88" t="s">
        <v>1396</v>
      </c>
    </row>
    <row r="714">
      <c r="A714" s="84" t="s">
        <v>2330</v>
      </c>
      <c r="B714" s="84" t="s">
        <v>2353</v>
      </c>
      <c r="C714" s="84" t="s">
        <v>444</v>
      </c>
      <c r="D714" s="84" t="s">
        <v>454</v>
      </c>
      <c r="E714" s="84" t="s">
        <v>1403</v>
      </c>
      <c r="F714" s="87">
        <v>46.0</v>
      </c>
      <c r="G714" s="87">
        <v>2.0</v>
      </c>
      <c r="H714" s="87">
        <v>313.0</v>
      </c>
      <c r="I714" s="87">
        <v>313.0</v>
      </c>
      <c r="J714" s="87">
        <v>0.0</v>
      </c>
      <c r="K714" s="87">
        <v>0.0</v>
      </c>
      <c r="L714" s="87">
        <v>0.0</v>
      </c>
      <c r="M714" s="87">
        <v>0.0</v>
      </c>
      <c r="N714" s="87">
        <v>0.0</v>
      </c>
      <c r="O714" s="87">
        <v>0.0</v>
      </c>
      <c r="P714" s="87">
        <v>0.0</v>
      </c>
      <c r="Q714" s="87">
        <v>0.0</v>
      </c>
      <c r="R714" s="87">
        <v>0.0</v>
      </c>
      <c r="S714" s="87">
        <v>0.0</v>
      </c>
      <c r="T714" s="87">
        <v>0.0</v>
      </c>
      <c r="U714" s="87">
        <v>0.0</v>
      </c>
      <c r="V714" s="87">
        <v>0.0</v>
      </c>
      <c r="W714" s="87">
        <v>0.0</v>
      </c>
      <c r="X714" s="87">
        <v>0.0</v>
      </c>
      <c r="Y714" s="87">
        <v>0.0</v>
      </c>
      <c r="Z714" s="87">
        <v>0.0</v>
      </c>
      <c r="AA714" s="87">
        <v>2.543769</v>
      </c>
      <c r="AB714" s="87">
        <v>1.978457</v>
      </c>
      <c r="AC714" s="87">
        <v>6.279034</v>
      </c>
      <c r="AD714" s="87">
        <v>0.0</v>
      </c>
      <c r="AE714" s="87">
        <v>0.0</v>
      </c>
      <c r="AF714" s="87">
        <v>0.0</v>
      </c>
      <c r="AG714" s="87">
        <v>0.0</v>
      </c>
      <c r="AH714" s="87">
        <v>0.0</v>
      </c>
      <c r="AI714" s="87">
        <v>0.986303</v>
      </c>
      <c r="AJ714" s="87">
        <v>1.251559</v>
      </c>
      <c r="AK714" s="87">
        <v>1.237381</v>
      </c>
      <c r="AL714" s="88" t="s">
        <v>1396</v>
      </c>
    </row>
    <row r="715">
      <c r="A715" s="84" t="s">
        <v>2337</v>
      </c>
      <c r="B715" s="84" t="s">
        <v>2354</v>
      </c>
      <c r="C715" s="84" t="s">
        <v>444</v>
      </c>
      <c r="D715" s="84" t="s">
        <v>2355</v>
      </c>
      <c r="E715" s="84" t="s">
        <v>1398</v>
      </c>
      <c r="F715" s="87">
        <v>6.0</v>
      </c>
      <c r="G715" s="87">
        <v>0.0</v>
      </c>
      <c r="H715" s="87">
        <v>1282.0</v>
      </c>
      <c r="I715" s="87">
        <v>0.0</v>
      </c>
      <c r="J715" s="87">
        <v>1.87987</v>
      </c>
      <c r="K715" s="87">
        <v>2.992112</v>
      </c>
      <c r="L715" s="87">
        <v>2.204186</v>
      </c>
      <c r="M715" s="87">
        <v>1.807823</v>
      </c>
      <c r="N715" s="87">
        <v>0.604196</v>
      </c>
      <c r="O715" s="87">
        <v>0.032258</v>
      </c>
      <c r="P715" s="87">
        <v>0.297849</v>
      </c>
      <c r="Q715" s="87">
        <v>0.297849</v>
      </c>
      <c r="R715" s="87">
        <v>0.556332</v>
      </c>
      <c r="S715" s="87">
        <v>0.594709</v>
      </c>
      <c r="T715" s="87">
        <v>0.032258</v>
      </c>
      <c r="U715" s="87">
        <v>0.297849</v>
      </c>
      <c r="V715" s="87">
        <v>0.297849</v>
      </c>
      <c r="W715" s="87">
        <v>0.556332</v>
      </c>
      <c r="X715" s="87">
        <v>0.594709</v>
      </c>
      <c r="Y715" s="87">
        <v>0.498685</v>
      </c>
      <c r="Z715" s="87">
        <v>0.297849</v>
      </c>
      <c r="AA715" s="87">
        <v>0.297849</v>
      </c>
      <c r="AB715" s="87">
        <v>0.363021</v>
      </c>
      <c r="AC715" s="87">
        <v>0.498685</v>
      </c>
      <c r="AD715" s="87">
        <v>1.006722</v>
      </c>
      <c r="AE715" s="87">
        <v>1.213114</v>
      </c>
      <c r="AF715" s="87">
        <v>1.850158</v>
      </c>
      <c r="AG715" s="87">
        <v>1.237381</v>
      </c>
      <c r="AH715" s="87">
        <v>0.0</v>
      </c>
      <c r="AI715" s="87">
        <v>0.986303</v>
      </c>
      <c r="AJ715" s="87">
        <v>1.251559</v>
      </c>
      <c r="AK715" s="87">
        <v>1.237381</v>
      </c>
      <c r="AL715" s="88" t="s">
        <v>1396</v>
      </c>
    </row>
    <row r="716">
      <c r="A716" s="84" t="s">
        <v>2327</v>
      </c>
      <c r="B716" s="84" t="s">
        <v>2356</v>
      </c>
      <c r="C716" s="84" t="s">
        <v>444</v>
      </c>
      <c r="D716" s="84" t="s">
        <v>2355</v>
      </c>
      <c r="E716" s="84" t="s">
        <v>1400</v>
      </c>
      <c r="F716" s="87">
        <v>4.0</v>
      </c>
      <c r="G716" s="87">
        <v>1.0</v>
      </c>
      <c r="H716" s="87">
        <v>722.0</v>
      </c>
      <c r="I716" s="87">
        <v>220.0</v>
      </c>
      <c r="J716" s="87">
        <v>0.571429</v>
      </c>
      <c r="K716" s="87">
        <v>0.638095</v>
      </c>
      <c r="L716" s="87">
        <v>0.725613</v>
      </c>
      <c r="M716" s="87">
        <v>0.233333</v>
      </c>
      <c r="N716" s="87">
        <v>0.365672</v>
      </c>
      <c r="O716" s="87">
        <v>0.0</v>
      </c>
      <c r="P716" s="87">
        <v>0.0</v>
      </c>
      <c r="Q716" s="87">
        <v>0.2</v>
      </c>
      <c r="R716" s="87">
        <v>0.204762</v>
      </c>
      <c r="S716" s="87">
        <v>0.204762</v>
      </c>
      <c r="T716" s="87">
        <v>0.2</v>
      </c>
      <c r="U716" s="87">
        <v>0.2</v>
      </c>
      <c r="V716" s="87">
        <v>0.2</v>
      </c>
      <c r="W716" s="87">
        <v>0.204762</v>
      </c>
      <c r="X716" s="87">
        <v>0.233333</v>
      </c>
      <c r="Y716" s="87">
        <v>0.159524</v>
      </c>
      <c r="Z716" s="87">
        <v>0.297849</v>
      </c>
      <c r="AA716" s="87">
        <v>0.297849</v>
      </c>
      <c r="AB716" s="87">
        <v>0.363021</v>
      </c>
      <c r="AC716" s="87">
        <v>0.498685</v>
      </c>
      <c r="AD716" s="87">
        <v>0.650285</v>
      </c>
      <c r="AE716" s="87">
        <v>0.711954</v>
      </c>
      <c r="AF716" s="87">
        <v>1.250086</v>
      </c>
      <c r="AG716" s="87">
        <v>0.699455</v>
      </c>
      <c r="AH716" s="87">
        <v>0.0</v>
      </c>
      <c r="AI716" s="87">
        <v>0.986303</v>
      </c>
      <c r="AJ716" s="87">
        <v>1.251559</v>
      </c>
      <c r="AK716" s="87">
        <v>1.237381</v>
      </c>
      <c r="AL716" s="88" t="s">
        <v>1396</v>
      </c>
    </row>
    <row r="717">
      <c r="A717" s="84" t="s">
        <v>2335</v>
      </c>
      <c r="B717" s="84" t="s">
        <v>2357</v>
      </c>
      <c r="C717" s="84" t="s">
        <v>444</v>
      </c>
      <c r="D717" s="84" t="s">
        <v>949</v>
      </c>
      <c r="E717" s="84" t="s">
        <v>1413</v>
      </c>
      <c r="F717" s="87">
        <v>2.0</v>
      </c>
      <c r="G717" s="87">
        <v>0.0</v>
      </c>
      <c r="H717" s="87">
        <v>417.0</v>
      </c>
      <c r="I717" s="87">
        <v>0.0</v>
      </c>
      <c r="J717" s="87">
        <v>9.225114</v>
      </c>
      <c r="K717" s="87">
        <v>8.703903</v>
      </c>
      <c r="L717" s="87">
        <v>8.326137</v>
      </c>
      <c r="M717" s="87">
        <v>5.729772</v>
      </c>
      <c r="N717" s="87">
        <v>0.658299</v>
      </c>
      <c r="O717" s="87">
        <v>2.974132</v>
      </c>
      <c r="P717" s="87">
        <v>2.974132</v>
      </c>
      <c r="Q717" s="87">
        <v>2.974132</v>
      </c>
      <c r="R717" s="87">
        <v>5.729772</v>
      </c>
      <c r="S717" s="87">
        <v>5.729772</v>
      </c>
      <c r="T717" s="87">
        <v>2.974132</v>
      </c>
      <c r="U717" s="87">
        <v>2.974132</v>
      </c>
      <c r="V717" s="87">
        <v>2.974132</v>
      </c>
      <c r="W717" s="87">
        <v>5.729772</v>
      </c>
      <c r="X717" s="87">
        <v>5.729772</v>
      </c>
      <c r="Y717" s="87">
        <v>4.351952</v>
      </c>
      <c r="Z717" s="87">
        <v>0.0</v>
      </c>
      <c r="AA717" s="87">
        <v>5.729772</v>
      </c>
      <c r="AB717" s="87">
        <v>0.621707</v>
      </c>
      <c r="AC717" s="87">
        <v>0.0</v>
      </c>
      <c r="AD717" s="87">
        <v>5.729772</v>
      </c>
      <c r="AE717" s="87">
        <v>5.729772</v>
      </c>
      <c r="AF717" s="87">
        <v>8.178527</v>
      </c>
      <c r="AG717" s="87">
        <v>7.494876</v>
      </c>
      <c r="AH717" s="87">
        <v>0.0</v>
      </c>
      <c r="AI717" s="87">
        <v>0.986303</v>
      </c>
      <c r="AJ717" s="87">
        <v>1.251559</v>
      </c>
      <c r="AK717" s="87">
        <v>1.237381</v>
      </c>
      <c r="AL717" s="88" t="s">
        <v>1396</v>
      </c>
    </row>
    <row r="718">
      <c r="A718" s="84" t="s">
        <v>2327</v>
      </c>
      <c r="B718" s="84" t="s">
        <v>2358</v>
      </c>
      <c r="C718" s="84" t="s">
        <v>444</v>
      </c>
      <c r="D718" s="84" t="s">
        <v>949</v>
      </c>
      <c r="E718" s="84" t="s">
        <v>1400</v>
      </c>
      <c r="F718" s="87">
        <v>1.0</v>
      </c>
      <c r="G718" s="87">
        <v>0.0</v>
      </c>
      <c r="H718" s="87">
        <v>0.0</v>
      </c>
      <c r="I718" s="87">
        <v>0.0</v>
      </c>
      <c r="J718" s="87">
        <v>0.0</v>
      </c>
      <c r="K718" s="87">
        <v>0.0</v>
      </c>
      <c r="L718" s="87">
        <v>0.090909</v>
      </c>
      <c r="M718" s="87">
        <v>0.0</v>
      </c>
      <c r="N718" s="87">
        <v>0.0</v>
      </c>
      <c r="O718" s="87">
        <v>0.0</v>
      </c>
      <c r="P718" s="87">
        <v>0.0</v>
      </c>
      <c r="Q718" s="87">
        <v>0.0</v>
      </c>
      <c r="R718" s="87">
        <v>0.0</v>
      </c>
      <c r="S718" s="87">
        <v>0.0</v>
      </c>
      <c r="T718" s="87">
        <v>0.0</v>
      </c>
      <c r="U718" s="87">
        <v>0.0</v>
      </c>
      <c r="V718" s="87">
        <v>0.0</v>
      </c>
      <c r="W718" s="87">
        <v>0.0</v>
      </c>
      <c r="X718" s="87">
        <v>0.0</v>
      </c>
      <c r="Y718" s="87">
        <v>0.0</v>
      </c>
      <c r="Z718" s="87">
        <v>0.0</v>
      </c>
      <c r="AA718" s="87">
        <v>5.729772</v>
      </c>
      <c r="AB718" s="87">
        <v>0.621707</v>
      </c>
      <c r="AC718" s="87">
        <v>0.0</v>
      </c>
      <c r="AD718" s="87">
        <v>0.650285</v>
      </c>
      <c r="AE718" s="87">
        <v>0.711954</v>
      </c>
      <c r="AF718" s="87">
        <v>1.250086</v>
      </c>
      <c r="AG718" s="87">
        <v>0.699455</v>
      </c>
      <c r="AH718" s="87">
        <v>0.0</v>
      </c>
      <c r="AI718" s="87">
        <v>0.986303</v>
      </c>
      <c r="AJ718" s="87">
        <v>1.251559</v>
      </c>
      <c r="AK718" s="87">
        <v>1.237381</v>
      </c>
      <c r="AL718" s="88" t="s">
        <v>1396</v>
      </c>
    </row>
    <row r="719">
      <c r="A719" s="84" t="s">
        <v>2330</v>
      </c>
      <c r="B719" s="84" t="s">
        <v>2359</v>
      </c>
      <c r="C719" s="84" t="s">
        <v>444</v>
      </c>
      <c r="D719" s="84" t="s">
        <v>949</v>
      </c>
      <c r="E719" s="84" t="s">
        <v>1403</v>
      </c>
      <c r="F719" s="87">
        <v>11.0</v>
      </c>
      <c r="G719" s="87">
        <v>0.0</v>
      </c>
      <c r="H719" s="87">
        <v>0.0</v>
      </c>
      <c r="I719" s="87">
        <v>0.0</v>
      </c>
      <c r="J719" s="87">
        <v>0.0</v>
      </c>
      <c r="K719" s="87">
        <v>0.0</v>
      </c>
      <c r="L719" s="87">
        <v>0.0</v>
      </c>
      <c r="M719" s="87">
        <v>0.0</v>
      </c>
      <c r="N719" s="87">
        <v>0.0</v>
      </c>
      <c r="O719" s="87">
        <v>0.0</v>
      </c>
      <c r="P719" s="87">
        <v>0.0</v>
      </c>
      <c r="Q719" s="87">
        <v>0.0</v>
      </c>
      <c r="R719" s="87">
        <v>0.0</v>
      </c>
      <c r="S719" s="87">
        <v>0.0</v>
      </c>
      <c r="T719" s="87">
        <v>0.0</v>
      </c>
      <c r="U719" s="87">
        <v>0.0</v>
      </c>
      <c r="V719" s="87">
        <v>0.0</v>
      </c>
      <c r="W719" s="87">
        <v>0.0</v>
      </c>
      <c r="X719" s="87">
        <v>0.0</v>
      </c>
      <c r="Y719" s="87">
        <v>0.0</v>
      </c>
      <c r="Z719" s="87">
        <v>0.0</v>
      </c>
      <c r="AA719" s="87">
        <v>5.729772</v>
      </c>
      <c r="AB719" s="87">
        <v>0.621707</v>
      </c>
      <c r="AC719" s="87">
        <v>0.0</v>
      </c>
      <c r="AD719" s="87">
        <v>0.0</v>
      </c>
      <c r="AE719" s="87">
        <v>0.0</v>
      </c>
      <c r="AF719" s="87">
        <v>0.0</v>
      </c>
      <c r="AG719" s="87">
        <v>0.0</v>
      </c>
      <c r="AH719" s="87">
        <v>0.0</v>
      </c>
      <c r="AI719" s="87">
        <v>0.986303</v>
      </c>
      <c r="AJ719" s="87">
        <v>1.251559</v>
      </c>
      <c r="AK719" s="87">
        <v>1.237381</v>
      </c>
      <c r="AL719" s="88" t="s">
        <v>1396</v>
      </c>
    </row>
    <row r="720">
      <c r="A720" s="84" t="s">
        <v>2332</v>
      </c>
      <c r="B720" s="84" t="s">
        <v>2360</v>
      </c>
      <c r="C720" s="84" t="s">
        <v>444</v>
      </c>
      <c r="D720" s="84" t="s">
        <v>445</v>
      </c>
      <c r="E720" s="86">
        <v>46310.0</v>
      </c>
      <c r="F720" s="87">
        <v>2.0</v>
      </c>
      <c r="G720" s="87">
        <v>0.0</v>
      </c>
      <c r="H720" s="87">
        <v>926.0</v>
      </c>
      <c r="I720" s="87">
        <v>0.0</v>
      </c>
      <c r="J720" s="87">
        <v>27.99895</v>
      </c>
      <c r="K720" s="87">
        <v>22.79835</v>
      </c>
      <c r="L720" s="87">
        <v>16.60364</v>
      </c>
      <c r="M720" s="87">
        <v>11.92133</v>
      </c>
      <c r="N720" s="87">
        <v>0.522903</v>
      </c>
      <c r="O720" s="87">
        <v>10.87701</v>
      </c>
      <c r="P720" s="87">
        <v>10.87701</v>
      </c>
      <c r="Q720" s="87">
        <v>10.87701</v>
      </c>
      <c r="R720" s="87">
        <v>11.92133</v>
      </c>
      <c r="S720" s="87">
        <v>11.92133</v>
      </c>
      <c r="T720" s="87">
        <v>10.87701</v>
      </c>
      <c r="U720" s="87">
        <v>10.87701</v>
      </c>
      <c r="V720" s="87">
        <v>10.87701</v>
      </c>
      <c r="W720" s="87">
        <v>11.92133</v>
      </c>
      <c r="X720" s="87">
        <v>11.92133</v>
      </c>
      <c r="Y720" s="87">
        <v>11.39917</v>
      </c>
      <c r="Z720" s="87">
        <v>0.0</v>
      </c>
      <c r="AA720" s="87">
        <v>0.681737</v>
      </c>
      <c r="AB720" s="87">
        <v>1.021122</v>
      </c>
      <c r="AC720" s="87">
        <v>3.58708</v>
      </c>
      <c r="AD720" s="87">
        <v>7.088522</v>
      </c>
      <c r="AE720" s="87">
        <v>10.87701</v>
      </c>
      <c r="AF720" s="87">
        <v>8.804544</v>
      </c>
      <c r="AG720" s="87">
        <v>11.39917</v>
      </c>
      <c r="AH720" s="87">
        <v>0.0</v>
      </c>
      <c r="AI720" s="87">
        <v>0.986303</v>
      </c>
      <c r="AJ720" s="87">
        <v>1.251559</v>
      </c>
      <c r="AK720" s="87">
        <v>1.237381</v>
      </c>
      <c r="AL720" s="88" t="s">
        <v>1396</v>
      </c>
    </row>
    <row r="721">
      <c r="A721" s="84" t="s">
        <v>2335</v>
      </c>
      <c r="B721" s="84" t="s">
        <v>2361</v>
      </c>
      <c r="C721" s="84" t="s">
        <v>444</v>
      </c>
      <c r="D721" s="84" t="s">
        <v>445</v>
      </c>
      <c r="E721" s="84" t="s">
        <v>1413</v>
      </c>
      <c r="F721" s="87">
        <v>7.0</v>
      </c>
      <c r="G721" s="87">
        <v>0.0</v>
      </c>
      <c r="H721" s="87">
        <v>6922.0</v>
      </c>
      <c r="I721" s="87">
        <v>0.0</v>
      </c>
      <c r="J721" s="87">
        <v>86.88921</v>
      </c>
      <c r="K721" s="87">
        <v>81.46237</v>
      </c>
      <c r="L721" s="87">
        <v>83.64272</v>
      </c>
      <c r="M721" s="87">
        <v>62.94333</v>
      </c>
      <c r="N721" s="87">
        <v>0.772668</v>
      </c>
      <c r="O721" s="87">
        <v>0.0</v>
      </c>
      <c r="P721" s="87">
        <v>0.315018</v>
      </c>
      <c r="Q721" s="87">
        <v>0.326812</v>
      </c>
      <c r="R721" s="87">
        <v>6.093805</v>
      </c>
      <c r="S721" s="87">
        <v>11.7834</v>
      </c>
      <c r="T721" s="87">
        <v>0.315018</v>
      </c>
      <c r="U721" s="87">
        <v>0.326812</v>
      </c>
      <c r="V721" s="87">
        <v>0.326812</v>
      </c>
      <c r="W721" s="87">
        <v>11.7834</v>
      </c>
      <c r="X721" s="87">
        <v>21.17313</v>
      </c>
      <c r="Y721" s="87">
        <v>11.63748</v>
      </c>
      <c r="Z721" s="87">
        <v>0.0</v>
      </c>
      <c r="AA721" s="87">
        <v>0.681737</v>
      </c>
      <c r="AB721" s="87">
        <v>1.021122</v>
      </c>
      <c r="AC721" s="87">
        <v>3.58708</v>
      </c>
      <c r="AD721" s="87">
        <v>5.729772</v>
      </c>
      <c r="AE721" s="87">
        <v>5.729772</v>
      </c>
      <c r="AF721" s="87">
        <v>8.178527</v>
      </c>
      <c r="AG721" s="87">
        <v>7.494876</v>
      </c>
      <c r="AH721" s="87">
        <v>0.0</v>
      </c>
      <c r="AI721" s="87">
        <v>0.986303</v>
      </c>
      <c r="AJ721" s="87">
        <v>1.251559</v>
      </c>
      <c r="AK721" s="87">
        <v>1.237381</v>
      </c>
      <c r="AL721" s="88" t="s">
        <v>1396</v>
      </c>
    </row>
    <row r="722">
      <c r="A722" s="84" t="s">
        <v>2337</v>
      </c>
      <c r="B722" s="84" t="s">
        <v>2362</v>
      </c>
      <c r="C722" s="84" t="s">
        <v>444</v>
      </c>
      <c r="D722" s="84" t="s">
        <v>445</v>
      </c>
      <c r="E722" s="84" t="s">
        <v>1398</v>
      </c>
      <c r="F722" s="87">
        <v>1.0</v>
      </c>
      <c r="G722" s="87">
        <v>0.0</v>
      </c>
      <c r="H722" s="87">
        <v>231.0</v>
      </c>
      <c r="I722" s="87">
        <v>0.0</v>
      </c>
      <c r="J722" s="87">
        <v>4.71158</v>
      </c>
      <c r="K722" s="87">
        <v>3.58708</v>
      </c>
      <c r="L722" s="87">
        <v>3.244874</v>
      </c>
      <c r="M722" s="87">
        <v>3.58708</v>
      </c>
      <c r="N722" s="87">
        <v>1.0</v>
      </c>
      <c r="O722" s="87">
        <v>3.58708</v>
      </c>
      <c r="P722" s="87">
        <v>3.58708</v>
      </c>
      <c r="Q722" s="87">
        <v>3.58708</v>
      </c>
      <c r="R722" s="87">
        <v>3.58708</v>
      </c>
      <c r="S722" s="87">
        <v>3.58708</v>
      </c>
      <c r="T722" s="87">
        <v>3.58708</v>
      </c>
      <c r="U722" s="87">
        <v>3.58708</v>
      </c>
      <c r="V722" s="87">
        <v>3.58708</v>
      </c>
      <c r="W722" s="87">
        <v>3.58708</v>
      </c>
      <c r="X722" s="87">
        <v>3.58708</v>
      </c>
      <c r="Y722" s="87">
        <v>3.58708</v>
      </c>
      <c r="Z722" s="87">
        <v>0.0</v>
      </c>
      <c r="AA722" s="87">
        <v>0.681737</v>
      </c>
      <c r="AB722" s="87">
        <v>1.021122</v>
      </c>
      <c r="AC722" s="87">
        <v>3.58708</v>
      </c>
      <c r="AD722" s="87">
        <v>1.006722</v>
      </c>
      <c r="AE722" s="87">
        <v>1.213114</v>
      </c>
      <c r="AF722" s="87">
        <v>1.850158</v>
      </c>
      <c r="AG722" s="87">
        <v>1.237381</v>
      </c>
      <c r="AH722" s="87">
        <v>0.0</v>
      </c>
      <c r="AI722" s="87">
        <v>0.986303</v>
      </c>
      <c r="AJ722" s="87">
        <v>1.251559</v>
      </c>
      <c r="AK722" s="87">
        <v>1.237381</v>
      </c>
      <c r="AL722" s="88" t="s">
        <v>1396</v>
      </c>
    </row>
    <row r="723">
      <c r="A723" s="84" t="s">
        <v>2327</v>
      </c>
      <c r="B723" s="84" t="s">
        <v>2363</v>
      </c>
      <c r="C723" s="84" t="s">
        <v>444</v>
      </c>
      <c r="D723" s="84" t="s">
        <v>445</v>
      </c>
      <c r="E723" s="84" t="s">
        <v>1400</v>
      </c>
      <c r="F723" s="87">
        <v>93.0</v>
      </c>
      <c r="G723" s="87">
        <v>1.0</v>
      </c>
      <c r="H723" s="87">
        <v>16875.0</v>
      </c>
      <c r="I723" s="87">
        <v>54.0</v>
      </c>
      <c r="J723" s="87">
        <v>83.77399</v>
      </c>
      <c r="K723" s="87">
        <v>93.31322</v>
      </c>
      <c r="L723" s="87">
        <v>89.56182</v>
      </c>
      <c r="M723" s="87">
        <v>58.5476</v>
      </c>
      <c r="N723" s="87">
        <v>0.627431</v>
      </c>
      <c r="O723" s="87">
        <v>0.0</v>
      </c>
      <c r="P723" s="87">
        <v>0.12048</v>
      </c>
      <c r="Q723" s="87">
        <v>0.228515</v>
      </c>
      <c r="R723" s="87">
        <v>0.567951</v>
      </c>
      <c r="S723" s="87">
        <v>1.054946</v>
      </c>
      <c r="T723" s="87">
        <v>0.133333</v>
      </c>
      <c r="U723" s="87">
        <v>0.212839</v>
      </c>
      <c r="V723" s="87">
        <v>0.324121</v>
      </c>
      <c r="W723" s="87">
        <v>0.660562</v>
      </c>
      <c r="X723" s="87">
        <v>1.229038</v>
      </c>
      <c r="Y723" s="87">
        <v>1.003368</v>
      </c>
      <c r="Z723" s="87">
        <v>0.0</v>
      </c>
      <c r="AA723" s="87">
        <v>0.681737</v>
      </c>
      <c r="AB723" s="87">
        <v>1.021122</v>
      </c>
      <c r="AC723" s="87">
        <v>3.58708</v>
      </c>
      <c r="AD723" s="87">
        <v>0.650285</v>
      </c>
      <c r="AE723" s="87">
        <v>0.711954</v>
      </c>
      <c r="AF723" s="87">
        <v>1.250086</v>
      </c>
      <c r="AG723" s="87">
        <v>0.699455</v>
      </c>
      <c r="AH723" s="87">
        <v>0.0</v>
      </c>
      <c r="AI723" s="87">
        <v>0.986303</v>
      </c>
      <c r="AJ723" s="87">
        <v>1.251559</v>
      </c>
      <c r="AK723" s="87">
        <v>1.237381</v>
      </c>
      <c r="AL723" s="88" t="s">
        <v>1396</v>
      </c>
    </row>
    <row r="724">
      <c r="A724" s="84" t="s">
        <v>2330</v>
      </c>
      <c r="B724" s="84" t="s">
        <v>2364</v>
      </c>
      <c r="C724" s="84" t="s">
        <v>444</v>
      </c>
      <c r="D724" s="84" t="s">
        <v>445</v>
      </c>
      <c r="E724" s="84" t="s">
        <v>1403</v>
      </c>
      <c r="F724" s="87">
        <v>94.0</v>
      </c>
      <c r="G724" s="87">
        <v>0.0</v>
      </c>
      <c r="H724" s="87">
        <v>0.0</v>
      </c>
      <c r="I724" s="87">
        <v>0.0</v>
      </c>
      <c r="J724" s="87">
        <v>0.0</v>
      </c>
      <c r="K724" s="87">
        <v>0.0</v>
      </c>
      <c r="L724" s="87">
        <v>0.0</v>
      </c>
      <c r="M724" s="87">
        <v>0.0</v>
      </c>
      <c r="N724" s="87">
        <v>0.0</v>
      </c>
      <c r="O724" s="87">
        <v>0.0</v>
      </c>
      <c r="P724" s="87">
        <v>0.0</v>
      </c>
      <c r="Q724" s="87">
        <v>0.0</v>
      </c>
      <c r="R724" s="87">
        <v>0.0</v>
      </c>
      <c r="S724" s="87">
        <v>0.0</v>
      </c>
      <c r="T724" s="87">
        <v>0.0</v>
      </c>
      <c r="U724" s="87">
        <v>0.0</v>
      </c>
      <c r="V724" s="87">
        <v>0.0</v>
      </c>
      <c r="W724" s="87">
        <v>0.0</v>
      </c>
      <c r="X724" s="87">
        <v>0.0</v>
      </c>
      <c r="Y724" s="87">
        <v>0.0</v>
      </c>
      <c r="Z724" s="87">
        <v>0.0</v>
      </c>
      <c r="AA724" s="87">
        <v>0.681737</v>
      </c>
      <c r="AB724" s="87">
        <v>1.021122</v>
      </c>
      <c r="AC724" s="87">
        <v>3.58708</v>
      </c>
      <c r="AD724" s="87">
        <v>0.0</v>
      </c>
      <c r="AE724" s="87">
        <v>0.0</v>
      </c>
      <c r="AF724" s="87">
        <v>0.0</v>
      </c>
      <c r="AG724" s="87">
        <v>0.0</v>
      </c>
      <c r="AH724" s="87">
        <v>0.0</v>
      </c>
      <c r="AI724" s="87">
        <v>0.986303</v>
      </c>
      <c r="AJ724" s="87">
        <v>1.251559</v>
      </c>
      <c r="AK724" s="87">
        <v>1.237381</v>
      </c>
      <c r="AL724" s="88" t="s">
        <v>1396</v>
      </c>
    </row>
    <row r="725">
      <c r="A725" s="84" t="s">
        <v>2365</v>
      </c>
      <c r="B725" s="84" t="s">
        <v>2366</v>
      </c>
      <c r="C725" s="84" t="s">
        <v>2367</v>
      </c>
      <c r="D725" s="84" t="s">
        <v>2368</v>
      </c>
      <c r="E725" s="86">
        <v>46310.0</v>
      </c>
      <c r="F725" s="87">
        <v>1.0</v>
      </c>
      <c r="G725" s="87">
        <v>0.0</v>
      </c>
      <c r="H725" s="87">
        <v>0.0</v>
      </c>
      <c r="I725" s="87">
        <v>0.0</v>
      </c>
      <c r="J725" s="87">
        <v>0.0</v>
      </c>
      <c r="K725" s="87">
        <v>0.0</v>
      </c>
      <c r="L725" s="87">
        <v>0.0</v>
      </c>
      <c r="M725" s="87">
        <v>0.0</v>
      </c>
      <c r="N725" s="87">
        <v>0.0</v>
      </c>
      <c r="O725" s="87">
        <v>0.0</v>
      </c>
      <c r="P725" s="87">
        <v>0.0</v>
      </c>
      <c r="Q725" s="87">
        <v>0.0</v>
      </c>
      <c r="R725" s="87">
        <v>0.0</v>
      </c>
      <c r="S725" s="87">
        <v>0.0</v>
      </c>
      <c r="T725" s="87">
        <v>0.0</v>
      </c>
      <c r="U725" s="87">
        <v>0.0</v>
      </c>
      <c r="V725" s="87">
        <v>0.0</v>
      </c>
      <c r="W725" s="87">
        <v>0.0</v>
      </c>
      <c r="X725" s="87">
        <v>0.0</v>
      </c>
      <c r="Y725" s="87">
        <v>0.0</v>
      </c>
      <c r="Z725" s="87">
        <v>0.0</v>
      </c>
      <c r="AA725" s="87">
        <v>0.0</v>
      </c>
      <c r="AB725" s="87">
        <v>0.0</v>
      </c>
      <c r="AC725" s="87">
        <v>0.0</v>
      </c>
      <c r="AD725" s="87">
        <v>0.0</v>
      </c>
      <c r="AE725" s="87">
        <v>0.0</v>
      </c>
      <c r="AF725" s="87">
        <v>0.0</v>
      </c>
      <c r="AG725" s="87">
        <v>0.0</v>
      </c>
      <c r="AH725" s="87">
        <v>0.0</v>
      </c>
      <c r="AI725" s="87">
        <v>0.0</v>
      </c>
      <c r="AJ725" s="87">
        <v>0.0</v>
      </c>
      <c r="AK725" s="87">
        <v>0.0</v>
      </c>
      <c r="AL725" s="88" t="s">
        <v>1396</v>
      </c>
    </row>
    <row r="726">
      <c r="A726" s="84" t="s">
        <v>2369</v>
      </c>
      <c r="B726" s="84" t="s">
        <v>2370</v>
      </c>
      <c r="C726" s="84" t="s">
        <v>2367</v>
      </c>
      <c r="D726" s="84" t="s">
        <v>2368</v>
      </c>
      <c r="E726" s="84" t="s">
        <v>1398</v>
      </c>
      <c r="F726" s="87">
        <v>2.0</v>
      </c>
      <c r="G726" s="87">
        <v>0.0</v>
      </c>
      <c r="H726" s="87">
        <v>0.0</v>
      </c>
      <c r="I726" s="87">
        <v>0.0</v>
      </c>
      <c r="J726" s="87">
        <v>0.0</v>
      </c>
      <c r="K726" s="87">
        <v>0.0</v>
      </c>
      <c r="L726" s="87">
        <v>0.0</v>
      </c>
      <c r="M726" s="87">
        <v>0.0</v>
      </c>
      <c r="N726" s="87">
        <v>0.0</v>
      </c>
      <c r="O726" s="87">
        <v>0.0</v>
      </c>
      <c r="P726" s="87">
        <v>0.0</v>
      </c>
      <c r="Q726" s="87">
        <v>0.0</v>
      </c>
      <c r="R726" s="87">
        <v>0.0</v>
      </c>
      <c r="S726" s="87">
        <v>0.0</v>
      </c>
      <c r="T726" s="87">
        <v>0.0</v>
      </c>
      <c r="U726" s="87">
        <v>0.0</v>
      </c>
      <c r="V726" s="87">
        <v>0.0</v>
      </c>
      <c r="W726" s="87">
        <v>0.0</v>
      </c>
      <c r="X726" s="87">
        <v>0.0</v>
      </c>
      <c r="Y726" s="87">
        <v>0.0</v>
      </c>
      <c r="Z726" s="87">
        <v>0.0</v>
      </c>
      <c r="AA726" s="87">
        <v>0.0</v>
      </c>
      <c r="AB726" s="87">
        <v>0.0</v>
      </c>
      <c r="AC726" s="87">
        <v>0.0</v>
      </c>
      <c r="AD726" s="87">
        <v>0.0</v>
      </c>
      <c r="AE726" s="87">
        <v>0.0</v>
      </c>
      <c r="AF726" s="87">
        <v>0.0</v>
      </c>
      <c r="AG726" s="87">
        <v>0.0</v>
      </c>
      <c r="AH726" s="87">
        <v>0.0</v>
      </c>
      <c r="AI726" s="87">
        <v>0.0</v>
      </c>
      <c r="AJ726" s="87">
        <v>0.0</v>
      </c>
      <c r="AK726" s="87">
        <v>0.0</v>
      </c>
      <c r="AL726" s="88" t="s">
        <v>1396</v>
      </c>
    </row>
    <row r="727">
      <c r="A727" s="84" t="s">
        <v>2371</v>
      </c>
      <c r="B727" s="84" t="s">
        <v>2372</v>
      </c>
      <c r="C727" s="84" t="s">
        <v>2367</v>
      </c>
      <c r="D727" s="84" t="s">
        <v>2368</v>
      </c>
      <c r="E727" s="84" t="s">
        <v>1400</v>
      </c>
      <c r="F727" s="87">
        <v>2.0</v>
      </c>
      <c r="G727" s="87">
        <v>0.0</v>
      </c>
      <c r="H727" s="87">
        <v>0.0</v>
      </c>
      <c r="I727" s="87">
        <v>0.0</v>
      </c>
      <c r="J727" s="87">
        <v>0.0</v>
      </c>
      <c r="K727" s="87">
        <v>0.0</v>
      </c>
      <c r="L727" s="87">
        <v>0.0</v>
      </c>
      <c r="M727" s="87">
        <v>0.0</v>
      </c>
      <c r="N727" s="87">
        <v>0.0</v>
      </c>
      <c r="O727" s="87">
        <v>0.0</v>
      </c>
      <c r="P727" s="87">
        <v>0.0</v>
      </c>
      <c r="Q727" s="87">
        <v>0.0</v>
      </c>
      <c r="R727" s="87">
        <v>0.0</v>
      </c>
      <c r="S727" s="87">
        <v>0.0</v>
      </c>
      <c r="T727" s="87">
        <v>0.0</v>
      </c>
      <c r="U727" s="87">
        <v>0.0</v>
      </c>
      <c r="V727" s="87">
        <v>0.0</v>
      </c>
      <c r="W727" s="87">
        <v>0.0</v>
      </c>
      <c r="X727" s="87">
        <v>0.0</v>
      </c>
      <c r="Y727" s="87">
        <v>0.0</v>
      </c>
      <c r="Z727" s="87">
        <v>0.0</v>
      </c>
      <c r="AA727" s="87">
        <v>0.0</v>
      </c>
      <c r="AB727" s="87">
        <v>0.0</v>
      </c>
      <c r="AC727" s="87">
        <v>0.0</v>
      </c>
      <c r="AD727" s="87">
        <v>0.0</v>
      </c>
      <c r="AE727" s="87">
        <v>0.0</v>
      </c>
      <c r="AF727" s="87">
        <v>0.0</v>
      </c>
      <c r="AG727" s="87">
        <v>0.0</v>
      </c>
      <c r="AH727" s="87">
        <v>0.0</v>
      </c>
      <c r="AI727" s="87">
        <v>0.0</v>
      </c>
      <c r="AJ727" s="87">
        <v>0.0</v>
      </c>
      <c r="AK727" s="87">
        <v>0.0</v>
      </c>
      <c r="AL727" s="88" t="s">
        <v>1396</v>
      </c>
    </row>
    <row r="728">
      <c r="A728" s="84" t="s">
        <v>2373</v>
      </c>
      <c r="B728" s="84" t="s">
        <v>2374</v>
      </c>
      <c r="C728" s="84" t="s">
        <v>2367</v>
      </c>
      <c r="D728" s="84" t="s">
        <v>2368</v>
      </c>
      <c r="E728" s="84" t="s">
        <v>1403</v>
      </c>
      <c r="F728" s="87">
        <v>1.0</v>
      </c>
      <c r="G728" s="87">
        <v>0.0</v>
      </c>
      <c r="H728" s="87">
        <v>0.0</v>
      </c>
      <c r="I728" s="87">
        <v>0.0</v>
      </c>
      <c r="J728" s="87">
        <v>0.0</v>
      </c>
      <c r="K728" s="87">
        <v>0.0</v>
      </c>
      <c r="L728" s="87">
        <v>0.0</v>
      </c>
      <c r="M728" s="87">
        <v>0.0</v>
      </c>
      <c r="N728" s="87">
        <v>0.0</v>
      </c>
      <c r="O728" s="87">
        <v>0.0</v>
      </c>
      <c r="P728" s="87">
        <v>0.0</v>
      </c>
      <c r="Q728" s="87">
        <v>0.0</v>
      </c>
      <c r="R728" s="87">
        <v>0.0</v>
      </c>
      <c r="S728" s="87">
        <v>0.0</v>
      </c>
      <c r="T728" s="87">
        <v>0.0</v>
      </c>
      <c r="U728" s="87">
        <v>0.0</v>
      </c>
      <c r="V728" s="87">
        <v>0.0</v>
      </c>
      <c r="W728" s="87">
        <v>0.0</v>
      </c>
      <c r="X728" s="87">
        <v>0.0</v>
      </c>
      <c r="Y728" s="87">
        <v>0.0</v>
      </c>
      <c r="Z728" s="87">
        <v>0.0</v>
      </c>
      <c r="AA728" s="87">
        <v>0.0</v>
      </c>
      <c r="AB728" s="87">
        <v>0.0</v>
      </c>
      <c r="AC728" s="87">
        <v>0.0</v>
      </c>
      <c r="AD728" s="87">
        <v>0.0</v>
      </c>
      <c r="AE728" s="87">
        <v>0.0</v>
      </c>
      <c r="AF728" s="87">
        <v>0.0</v>
      </c>
      <c r="AG728" s="87">
        <v>0.0</v>
      </c>
      <c r="AH728" s="87">
        <v>0.0</v>
      </c>
      <c r="AI728" s="87">
        <v>0.0</v>
      </c>
      <c r="AJ728" s="87">
        <v>0.0</v>
      </c>
      <c r="AK728" s="87">
        <v>0.0</v>
      </c>
      <c r="AL728" s="88" t="s">
        <v>1396</v>
      </c>
    </row>
    <row r="729">
      <c r="A729" s="84" t="s">
        <v>2373</v>
      </c>
      <c r="B729" s="84" t="s">
        <v>2375</v>
      </c>
      <c r="C729" s="84" t="s">
        <v>2367</v>
      </c>
      <c r="D729" s="84" t="s">
        <v>2376</v>
      </c>
      <c r="E729" s="84" t="s">
        <v>1403</v>
      </c>
      <c r="F729" s="87">
        <v>2.0</v>
      </c>
      <c r="G729" s="87">
        <v>0.0</v>
      </c>
      <c r="H729" s="87">
        <v>0.0</v>
      </c>
      <c r="I729" s="87">
        <v>0.0</v>
      </c>
      <c r="J729" s="87">
        <v>0.0</v>
      </c>
      <c r="K729" s="87">
        <v>0.0</v>
      </c>
      <c r="L729" s="87">
        <v>0.0</v>
      </c>
      <c r="M729" s="87">
        <v>0.0</v>
      </c>
      <c r="N729" s="87">
        <v>0.0</v>
      </c>
      <c r="O729" s="87">
        <v>0.0</v>
      </c>
      <c r="P729" s="87">
        <v>0.0</v>
      </c>
      <c r="Q729" s="87">
        <v>0.0</v>
      </c>
      <c r="R729" s="87">
        <v>0.0</v>
      </c>
      <c r="S729" s="87">
        <v>0.0</v>
      </c>
      <c r="T729" s="87">
        <v>0.0</v>
      </c>
      <c r="U729" s="87">
        <v>0.0</v>
      </c>
      <c r="V729" s="87">
        <v>0.0</v>
      </c>
      <c r="W729" s="87">
        <v>0.0</v>
      </c>
      <c r="X729" s="87">
        <v>0.0</v>
      </c>
      <c r="Y729" s="87">
        <v>0.0</v>
      </c>
      <c r="Z729" s="87">
        <v>0.0</v>
      </c>
      <c r="AA729" s="87">
        <v>0.0</v>
      </c>
      <c r="AB729" s="87">
        <v>0.0</v>
      </c>
      <c r="AC729" s="87">
        <v>0.0</v>
      </c>
      <c r="AD729" s="87">
        <v>0.0</v>
      </c>
      <c r="AE729" s="87">
        <v>0.0</v>
      </c>
      <c r="AF729" s="87">
        <v>0.0</v>
      </c>
      <c r="AG729" s="87">
        <v>0.0</v>
      </c>
      <c r="AH729" s="87">
        <v>0.0</v>
      </c>
      <c r="AI729" s="87">
        <v>0.0</v>
      </c>
      <c r="AJ729" s="87">
        <v>0.0</v>
      </c>
      <c r="AK729" s="87">
        <v>0.0</v>
      </c>
      <c r="AL729" s="88" t="s">
        <v>1396</v>
      </c>
    </row>
    <row r="730">
      <c r="A730" s="84" t="s">
        <v>2377</v>
      </c>
      <c r="B730" s="84" t="s">
        <v>2378</v>
      </c>
      <c r="C730" s="84" t="s">
        <v>2379</v>
      </c>
      <c r="D730" s="84" t="s">
        <v>2380</v>
      </c>
      <c r="E730" s="84" t="s">
        <v>1403</v>
      </c>
      <c r="F730" s="87">
        <v>2.0</v>
      </c>
      <c r="G730" s="87">
        <v>0.0</v>
      </c>
      <c r="H730" s="87">
        <v>0.0</v>
      </c>
      <c r="I730" s="87">
        <v>0.0</v>
      </c>
      <c r="J730" s="87">
        <v>0.0</v>
      </c>
      <c r="K730" s="87">
        <v>0.0</v>
      </c>
      <c r="L730" s="87">
        <v>0.0</v>
      </c>
      <c r="M730" s="87">
        <v>0.0</v>
      </c>
      <c r="N730" s="87">
        <v>0.0</v>
      </c>
      <c r="O730" s="87">
        <v>0.0</v>
      </c>
      <c r="P730" s="87">
        <v>0.0</v>
      </c>
      <c r="Q730" s="87">
        <v>0.0</v>
      </c>
      <c r="R730" s="87">
        <v>0.0</v>
      </c>
      <c r="S730" s="87">
        <v>0.0</v>
      </c>
      <c r="T730" s="87">
        <v>0.0</v>
      </c>
      <c r="U730" s="87">
        <v>0.0</v>
      </c>
      <c r="V730" s="87">
        <v>0.0</v>
      </c>
      <c r="W730" s="87">
        <v>0.0</v>
      </c>
      <c r="X730" s="87">
        <v>0.0</v>
      </c>
      <c r="Y730" s="87">
        <v>0.0</v>
      </c>
      <c r="Z730" s="87">
        <v>0.0</v>
      </c>
      <c r="AA730" s="87">
        <v>0.0</v>
      </c>
      <c r="AB730" s="87">
        <v>0.0</v>
      </c>
      <c r="AC730" s="87">
        <v>0.0</v>
      </c>
      <c r="AD730" s="87">
        <v>0.0</v>
      </c>
      <c r="AE730" s="87">
        <v>0.0</v>
      </c>
      <c r="AF730" s="87">
        <v>0.0</v>
      </c>
      <c r="AG730" s="87">
        <v>0.0</v>
      </c>
      <c r="AH730" s="87">
        <v>0.0</v>
      </c>
      <c r="AI730" s="87">
        <v>0.0</v>
      </c>
      <c r="AJ730" s="87">
        <v>0.0</v>
      </c>
      <c r="AK730" s="87">
        <v>0.0</v>
      </c>
      <c r="AL730" s="88" t="s">
        <v>1396</v>
      </c>
    </row>
    <row r="731">
      <c r="A731" s="84" t="s">
        <v>2381</v>
      </c>
      <c r="B731" s="84" t="s">
        <v>2382</v>
      </c>
      <c r="C731" s="84" t="s">
        <v>458</v>
      </c>
      <c r="D731" s="84" t="s">
        <v>2383</v>
      </c>
      <c r="E731" s="84" t="s">
        <v>1400</v>
      </c>
      <c r="F731" s="87">
        <v>2.0</v>
      </c>
      <c r="G731" s="87">
        <v>0.0</v>
      </c>
      <c r="H731" s="87">
        <v>52.0</v>
      </c>
      <c r="I731" s="87">
        <v>0.0</v>
      </c>
      <c r="J731" s="87">
        <v>0.333333</v>
      </c>
      <c r="K731" s="87">
        <v>0.333333</v>
      </c>
      <c r="L731" s="87">
        <v>0.333333</v>
      </c>
      <c r="M731" s="87">
        <v>0.333333</v>
      </c>
      <c r="N731" s="87">
        <v>1.0</v>
      </c>
      <c r="O731" s="87">
        <v>0.0</v>
      </c>
      <c r="P731" s="87">
        <v>0.0</v>
      </c>
      <c r="Q731" s="87">
        <v>0.0</v>
      </c>
      <c r="R731" s="87">
        <v>0.333333</v>
      </c>
      <c r="S731" s="87">
        <v>0.333333</v>
      </c>
      <c r="T731" s="87">
        <v>0.333333</v>
      </c>
      <c r="U731" s="87">
        <v>0.333333</v>
      </c>
      <c r="V731" s="87">
        <v>0.333333</v>
      </c>
      <c r="W731" s="87">
        <v>0.333333</v>
      </c>
      <c r="X731" s="87">
        <v>0.333333</v>
      </c>
      <c r="Y731" s="87">
        <v>0.166667</v>
      </c>
      <c r="Z731" s="87">
        <v>0.0</v>
      </c>
      <c r="AA731" s="87">
        <v>0.333333</v>
      </c>
      <c r="AB731" s="87">
        <v>0.111111</v>
      </c>
      <c r="AC731" s="87">
        <v>0.166667</v>
      </c>
      <c r="AD731" s="87">
        <v>0.251282</v>
      </c>
      <c r="AE731" s="87">
        <v>0.714516</v>
      </c>
      <c r="AF731" s="87">
        <v>0.916026</v>
      </c>
      <c r="AG731" s="87">
        <v>0.28564</v>
      </c>
      <c r="AH731" s="87">
        <v>0.0</v>
      </c>
      <c r="AI731" s="87">
        <v>0.822372</v>
      </c>
      <c r="AJ731" s="87">
        <v>0.818295</v>
      </c>
      <c r="AK731" s="87">
        <v>0.399242</v>
      </c>
      <c r="AL731" s="88" t="s">
        <v>1396</v>
      </c>
    </row>
    <row r="732">
      <c r="A732" s="84" t="s">
        <v>2384</v>
      </c>
      <c r="B732" s="84" t="s">
        <v>2385</v>
      </c>
      <c r="C732" s="84" t="s">
        <v>458</v>
      </c>
      <c r="D732" s="84" t="s">
        <v>2383</v>
      </c>
      <c r="E732" s="84" t="s">
        <v>1403</v>
      </c>
      <c r="F732" s="87">
        <v>1.0</v>
      </c>
      <c r="G732" s="87">
        <v>0.0</v>
      </c>
      <c r="H732" s="87">
        <v>0.0</v>
      </c>
      <c r="I732" s="87">
        <v>0.0</v>
      </c>
      <c r="J732" s="87">
        <v>0.0</v>
      </c>
      <c r="K732" s="87">
        <v>0.0</v>
      </c>
      <c r="L732" s="87">
        <v>0.0</v>
      </c>
      <c r="M732" s="87">
        <v>0.0</v>
      </c>
      <c r="N732" s="87">
        <v>0.0</v>
      </c>
      <c r="O732" s="87">
        <v>0.0</v>
      </c>
      <c r="P732" s="87">
        <v>0.0</v>
      </c>
      <c r="Q732" s="87">
        <v>0.0</v>
      </c>
      <c r="R732" s="87">
        <v>0.0</v>
      </c>
      <c r="S732" s="87">
        <v>0.0</v>
      </c>
      <c r="T732" s="87">
        <v>0.0</v>
      </c>
      <c r="U732" s="87">
        <v>0.0</v>
      </c>
      <c r="V732" s="87">
        <v>0.0</v>
      </c>
      <c r="W732" s="87">
        <v>0.0</v>
      </c>
      <c r="X732" s="87">
        <v>0.0</v>
      </c>
      <c r="Y732" s="87">
        <v>0.0</v>
      </c>
      <c r="Z732" s="87">
        <v>0.0</v>
      </c>
      <c r="AA732" s="87">
        <v>0.333333</v>
      </c>
      <c r="AB732" s="87">
        <v>0.111111</v>
      </c>
      <c r="AC732" s="87">
        <v>0.166667</v>
      </c>
      <c r="AD732" s="87">
        <v>0.0</v>
      </c>
      <c r="AE732" s="87">
        <v>0.0</v>
      </c>
      <c r="AF732" s="87">
        <v>0.0</v>
      </c>
      <c r="AG732" s="87">
        <v>0.0</v>
      </c>
      <c r="AH732" s="87">
        <v>0.0</v>
      </c>
      <c r="AI732" s="87">
        <v>0.822372</v>
      </c>
      <c r="AJ732" s="87">
        <v>0.818295</v>
      </c>
      <c r="AK732" s="87">
        <v>0.399242</v>
      </c>
      <c r="AL732" s="88" t="s">
        <v>1396</v>
      </c>
    </row>
    <row r="733">
      <c r="A733" s="84" t="s">
        <v>2381</v>
      </c>
      <c r="B733" s="84" t="s">
        <v>2386</v>
      </c>
      <c r="C733" s="84" t="s">
        <v>458</v>
      </c>
      <c r="D733" s="84" t="s">
        <v>2387</v>
      </c>
      <c r="E733" s="84" t="s">
        <v>1400</v>
      </c>
      <c r="F733" s="87">
        <v>1.0</v>
      </c>
      <c r="G733" s="87">
        <v>0.0</v>
      </c>
      <c r="H733" s="87">
        <v>0.0</v>
      </c>
      <c r="I733" s="87">
        <v>0.0</v>
      </c>
      <c r="J733" s="87">
        <v>0.0</v>
      </c>
      <c r="K733" s="87">
        <v>0.0</v>
      </c>
      <c r="L733" s="87">
        <v>0.0</v>
      </c>
      <c r="M733" s="87">
        <v>0.0</v>
      </c>
      <c r="N733" s="87">
        <v>0.0</v>
      </c>
      <c r="O733" s="87">
        <v>0.0</v>
      </c>
      <c r="P733" s="87">
        <v>0.0</v>
      </c>
      <c r="Q733" s="87">
        <v>0.0</v>
      </c>
      <c r="R733" s="87">
        <v>0.0</v>
      </c>
      <c r="S733" s="87">
        <v>0.0</v>
      </c>
      <c r="T733" s="87">
        <v>0.0</v>
      </c>
      <c r="U733" s="87">
        <v>0.0</v>
      </c>
      <c r="V733" s="87">
        <v>0.0</v>
      </c>
      <c r="W733" s="87">
        <v>0.0</v>
      </c>
      <c r="X733" s="87">
        <v>0.0</v>
      </c>
      <c r="Y733" s="87">
        <v>0.0</v>
      </c>
      <c r="Z733" s="87">
        <v>0.0</v>
      </c>
      <c r="AA733" s="87">
        <v>0.0</v>
      </c>
      <c r="AB733" s="87">
        <v>0.0</v>
      </c>
      <c r="AC733" s="87">
        <v>0.0</v>
      </c>
      <c r="AD733" s="87">
        <v>0.251282</v>
      </c>
      <c r="AE733" s="87">
        <v>0.714516</v>
      </c>
      <c r="AF733" s="87">
        <v>0.916026</v>
      </c>
      <c r="AG733" s="87">
        <v>0.28564</v>
      </c>
      <c r="AH733" s="87">
        <v>0.0</v>
      </c>
      <c r="AI733" s="87">
        <v>0.822372</v>
      </c>
      <c r="AJ733" s="87">
        <v>0.818295</v>
      </c>
      <c r="AK733" s="87">
        <v>0.399242</v>
      </c>
      <c r="AL733" s="88" t="s">
        <v>1396</v>
      </c>
    </row>
    <row r="734">
      <c r="A734" s="84" t="s">
        <v>2384</v>
      </c>
      <c r="B734" s="84" t="s">
        <v>2388</v>
      </c>
      <c r="C734" s="84" t="s">
        <v>458</v>
      </c>
      <c r="D734" s="84" t="s">
        <v>2387</v>
      </c>
      <c r="E734" s="84" t="s">
        <v>1403</v>
      </c>
      <c r="F734" s="87">
        <v>1.0</v>
      </c>
      <c r="G734" s="87">
        <v>0.0</v>
      </c>
      <c r="H734" s="87">
        <v>0.0</v>
      </c>
      <c r="I734" s="87">
        <v>0.0</v>
      </c>
      <c r="J734" s="87">
        <v>0.0</v>
      </c>
      <c r="K734" s="87">
        <v>0.0</v>
      </c>
      <c r="L734" s="87">
        <v>0.0</v>
      </c>
      <c r="M734" s="87">
        <v>0.0</v>
      </c>
      <c r="N734" s="87">
        <v>0.0</v>
      </c>
      <c r="O734" s="87">
        <v>0.0</v>
      </c>
      <c r="P734" s="87">
        <v>0.0</v>
      </c>
      <c r="Q734" s="87">
        <v>0.0</v>
      </c>
      <c r="R734" s="87">
        <v>0.0</v>
      </c>
      <c r="S734" s="87">
        <v>0.0</v>
      </c>
      <c r="T734" s="87">
        <v>0.0</v>
      </c>
      <c r="U734" s="87">
        <v>0.0</v>
      </c>
      <c r="V734" s="87">
        <v>0.0</v>
      </c>
      <c r="W734" s="87">
        <v>0.0</v>
      </c>
      <c r="X734" s="87">
        <v>0.0</v>
      </c>
      <c r="Y734" s="87">
        <v>0.0</v>
      </c>
      <c r="Z734" s="87">
        <v>0.0</v>
      </c>
      <c r="AA734" s="87">
        <v>0.0</v>
      </c>
      <c r="AB734" s="87">
        <v>0.0</v>
      </c>
      <c r="AC734" s="87">
        <v>0.0</v>
      </c>
      <c r="AD734" s="87">
        <v>0.0</v>
      </c>
      <c r="AE734" s="87">
        <v>0.0</v>
      </c>
      <c r="AF734" s="87">
        <v>0.0</v>
      </c>
      <c r="AG734" s="87">
        <v>0.0</v>
      </c>
      <c r="AH734" s="87">
        <v>0.0</v>
      </c>
      <c r="AI734" s="87">
        <v>0.822372</v>
      </c>
      <c r="AJ734" s="87">
        <v>0.818295</v>
      </c>
      <c r="AK734" s="87">
        <v>0.399242</v>
      </c>
      <c r="AL734" s="88" t="s">
        <v>1396</v>
      </c>
    </row>
    <row r="735">
      <c r="A735" s="84" t="s">
        <v>2389</v>
      </c>
      <c r="B735" s="84" t="s">
        <v>2390</v>
      </c>
      <c r="C735" s="84" t="s">
        <v>458</v>
      </c>
      <c r="D735" s="84" t="s">
        <v>468</v>
      </c>
      <c r="E735" s="84" t="s">
        <v>1426</v>
      </c>
      <c r="F735" s="87">
        <v>1.0</v>
      </c>
      <c r="G735" s="87">
        <v>0.0</v>
      </c>
      <c r="H735" s="87">
        <v>206.0</v>
      </c>
      <c r="I735" s="87">
        <v>0.0</v>
      </c>
      <c r="J735" s="87">
        <v>1.142857</v>
      </c>
      <c r="K735" s="87">
        <v>1.083234</v>
      </c>
      <c r="L735" s="87">
        <v>1.083234</v>
      </c>
      <c r="M735" s="87">
        <v>1.083234</v>
      </c>
      <c r="N735" s="87">
        <v>1.0</v>
      </c>
      <c r="O735" s="87">
        <v>1.083234</v>
      </c>
      <c r="P735" s="87">
        <v>1.083234</v>
      </c>
      <c r="Q735" s="87">
        <v>1.083234</v>
      </c>
      <c r="R735" s="87">
        <v>1.083234</v>
      </c>
      <c r="S735" s="87">
        <v>1.083234</v>
      </c>
      <c r="T735" s="87">
        <v>1.083234</v>
      </c>
      <c r="U735" s="87">
        <v>1.083234</v>
      </c>
      <c r="V735" s="87">
        <v>1.083234</v>
      </c>
      <c r="W735" s="87">
        <v>1.083234</v>
      </c>
      <c r="X735" s="87">
        <v>1.083234</v>
      </c>
      <c r="Y735" s="87">
        <v>1.083234</v>
      </c>
      <c r="Z735" s="87">
        <v>0.0</v>
      </c>
      <c r="AA735" s="87">
        <v>1.068698</v>
      </c>
      <c r="AB735" s="87">
        <v>1.022781</v>
      </c>
      <c r="AC735" s="87">
        <v>1.906542</v>
      </c>
      <c r="AD735" s="87">
        <v>1.083234</v>
      </c>
      <c r="AE735" s="87">
        <v>1.534944</v>
      </c>
      <c r="AF735" s="87">
        <v>4.488549</v>
      </c>
      <c r="AG735" s="87">
        <v>1.083234</v>
      </c>
      <c r="AH735" s="87">
        <v>0.0</v>
      </c>
      <c r="AI735" s="87">
        <v>0.822372</v>
      </c>
      <c r="AJ735" s="87">
        <v>0.818295</v>
      </c>
      <c r="AK735" s="87">
        <v>0.399242</v>
      </c>
      <c r="AL735" s="88" t="s">
        <v>1396</v>
      </c>
    </row>
    <row r="736">
      <c r="A736" s="84" t="s">
        <v>2391</v>
      </c>
      <c r="B736" s="84" t="s">
        <v>2392</v>
      </c>
      <c r="C736" s="84" t="s">
        <v>458</v>
      </c>
      <c r="D736" s="84" t="s">
        <v>468</v>
      </c>
      <c r="E736" s="89">
        <v>46310.0</v>
      </c>
      <c r="F736" s="87">
        <v>4.0</v>
      </c>
      <c r="G736" s="87">
        <v>0.0</v>
      </c>
      <c r="H736" s="87">
        <v>1740.0</v>
      </c>
      <c r="I736" s="87">
        <v>0.0</v>
      </c>
      <c r="J736" s="87">
        <v>6.721123</v>
      </c>
      <c r="K736" s="87">
        <v>7.62617</v>
      </c>
      <c r="L736" s="87">
        <v>8.010377</v>
      </c>
      <c r="M736" s="87">
        <v>6.65894</v>
      </c>
      <c r="N736" s="87">
        <v>0.87317</v>
      </c>
      <c r="O736" s="87">
        <v>0.055556</v>
      </c>
      <c r="P736" s="87">
        <v>0.055556</v>
      </c>
      <c r="Q736" s="87">
        <v>0.429843</v>
      </c>
      <c r="R736" s="87">
        <v>0.481831</v>
      </c>
      <c r="S736" s="87">
        <v>0.481831</v>
      </c>
      <c r="T736" s="87">
        <v>0.055556</v>
      </c>
      <c r="U736" s="87">
        <v>0.055556</v>
      </c>
      <c r="V736" s="87">
        <v>0.429843</v>
      </c>
      <c r="W736" s="87">
        <v>0.481831</v>
      </c>
      <c r="X736" s="87">
        <v>0.481831</v>
      </c>
      <c r="Y736" s="87">
        <v>1.906542</v>
      </c>
      <c r="Z736" s="87">
        <v>0.0</v>
      </c>
      <c r="AA736" s="87">
        <v>1.068698</v>
      </c>
      <c r="AB736" s="87">
        <v>1.022781</v>
      </c>
      <c r="AC736" s="87">
        <v>1.906542</v>
      </c>
      <c r="AD736" s="87">
        <v>0.481831</v>
      </c>
      <c r="AE736" s="87">
        <v>0.679475</v>
      </c>
      <c r="AF736" s="87">
        <v>2.178121</v>
      </c>
      <c r="AG736" s="87">
        <v>0.75</v>
      </c>
      <c r="AH736" s="87">
        <v>0.0</v>
      </c>
      <c r="AI736" s="87">
        <v>0.822372</v>
      </c>
      <c r="AJ736" s="87">
        <v>0.818295</v>
      </c>
      <c r="AK736" s="87">
        <v>0.399242</v>
      </c>
      <c r="AL736" s="88" t="s">
        <v>1396</v>
      </c>
    </row>
    <row r="737">
      <c r="A737" s="84" t="s">
        <v>2393</v>
      </c>
      <c r="B737" s="84" t="s">
        <v>2394</v>
      </c>
      <c r="C737" s="84" t="s">
        <v>458</v>
      </c>
      <c r="D737" s="84" t="s">
        <v>468</v>
      </c>
      <c r="E737" s="84" t="s">
        <v>1413</v>
      </c>
      <c r="F737" s="87">
        <v>3.0</v>
      </c>
      <c r="G737" s="87">
        <v>0.0</v>
      </c>
      <c r="H737" s="87">
        <v>584.0</v>
      </c>
      <c r="I737" s="87">
        <v>0.0</v>
      </c>
      <c r="J737" s="87">
        <v>12.19127</v>
      </c>
      <c r="K737" s="87">
        <v>11.04395</v>
      </c>
      <c r="L737" s="87">
        <v>8.399531</v>
      </c>
      <c r="M737" s="87">
        <v>5.057762</v>
      </c>
      <c r="N737" s="87">
        <v>0.457967</v>
      </c>
      <c r="O737" s="87">
        <v>1.264021</v>
      </c>
      <c r="P737" s="87">
        <v>1.264021</v>
      </c>
      <c r="Q737" s="87">
        <v>1.264021</v>
      </c>
      <c r="R737" s="87">
        <v>4.722167</v>
      </c>
      <c r="S737" s="87">
        <v>5.057762</v>
      </c>
      <c r="T737" s="87">
        <v>1.264021</v>
      </c>
      <c r="U737" s="87">
        <v>1.264021</v>
      </c>
      <c r="V737" s="87">
        <v>1.264021</v>
      </c>
      <c r="W737" s="87">
        <v>4.722167</v>
      </c>
      <c r="X737" s="87">
        <v>5.057762</v>
      </c>
      <c r="Y737" s="87">
        <v>3.681317</v>
      </c>
      <c r="Z737" s="87">
        <v>0.0</v>
      </c>
      <c r="AA737" s="87">
        <v>1.068698</v>
      </c>
      <c r="AB737" s="87">
        <v>1.022781</v>
      </c>
      <c r="AC737" s="87">
        <v>1.906542</v>
      </c>
      <c r="AD737" s="87">
        <v>0.681233</v>
      </c>
      <c r="AE737" s="87">
        <v>1.264021</v>
      </c>
      <c r="AF737" s="87">
        <v>1.455046</v>
      </c>
      <c r="AG737" s="87">
        <v>0.989448</v>
      </c>
      <c r="AH737" s="87">
        <v>0.0</v>
      </c>
      <c r="AI737" s="87">
        <v>0.822372</v>
      </c>
      <c r="AJ737" s="87">
        <v>0.818295</v>
      </c>
      <c r="AK737" s="87">
        <v>0.399242</v>
      </c>
      <c r="AL737" s="88" t="s">
        <v>1396</v>
      </c>
    </row>
    <row r="738">
      <c r="A738" s="84" t="s">
        <v>2395</v>
      </c>
      <c r="B738" s="84" t="s">
        <v>2396</v>
      </c>
      <c r="C738" s="84" t="s">
        <v>458</v>
      </c>
      <c r="D738" s="84" t="s">
        <v>468</v>
      </c>
      <c r="E738" s="84" t="s">
        <v>1398</v>
      </c>
      <c r="F738" s="87">
        <v>4.0</v>
      </c>
      <c r="G738" s="87">
        <v>0.0</v>
      </c>
      <c r="H738" s="87">
        <v>2548.0</v>
      </c>
      <c r="I738" s="87">
        <v>0.0</v>
      </c>
      <c r="J738" s="87">
        <v>25.18615</v>
      </c>
      <c r="K738" s="87">
        <v>26.4521</v>
      </c>
      <c r="L738" s="87">
        <v>24.09396</v>
      </c>
      <c r="M738" s="87">
        <v>15.98719</v>
      </c>
      <c r="N738" s="87">
        <v>0.604383</v>
      </c>
      <c r="O738" s="87">
        <v>0.204762</v>
      </c>
      <c r="P738" s="87">
        <v>0.204762</v>
      </c>
      <c r="Q738" s="87">
        <v>0.594624</v>
      </c>
      <c r="R738" s="87">
        <v>9.665518</v>
      </c>
      <c r="S738" s="87">
        <v>9.665518</v>
      </c>
      <c r="T738" s="87">
        <v>0.204762</v>
      </c>
      <c r="U738" s="87">
        <v>0.204762</v>
      </c>
      <c r="V738" s="87">
        <v>0.594624</v>
      </c>
      <c r="W738" s="87">
        <v>9.665518</v>
      </c>
      <c r="X738" s="87">
        <v>9.665518</v>
      </c>
      <c r="Y738" s="87">
        <v>6.613025</v>
      </c>
      <c r="Z738" s="87">
        <v>0.0</v>
      </c>
      <c r="AA738" s="87">
        <v>1.068698</v>
      </c>
      <c r="AB738" s="87">
        <v>1.022781</v>
      </c>
      <c r="AC738" s="87">
        <v>1.906542</v>
      </c>
      <c r="AD738" s="87">
        <v>1.137793</v>
      </c>
      <c r="AE738" s="87">
        <v>1.219993</v>
      </c>
      <c r="AF738" s="87">
        <v>2.465241</v>
      </c>
      <c r="AG738" s="87">
        <v>2.0</v>
      </c>
      <c r="AH738" s="87">
        <v>0.0</v>
      </c>
      <c r="AI738" s="87">
        <v>0.822372</v>
      </c>
      <c r="AJ738" s="87">
        <v>0.818295</v>
      </c>
      <c r="AK738" s="87">
        <v>0.399242</v>
      </c>
      <c r="AL738" s="88" t="s">
        <v>1396</v>
      </c>
    </row>
    <row r="739">
      <c r="A739" s="84" t="s">
        <v>2381</v>
      </c>
      <c r="B739" s="84" t="s">
        <v>2397</v>
      </c>
      <c r="C739" s="84" t="s">
        <v>458</v>
      </c>
      <c r="D739" s="84" t="s">
        <v>468</v>
      </c>
      <c r="E739" s="84" t="s">
        <v>1400</v>
      </c>
      <c r="F739" s="87">
        <v>10.0</v>
      </c>
      <c r="G739" s="87">
        <v>1.0</v>
      </c>
      <c r="H739" s="87">
        <v>1021.0</v>
      </c>
      <c r="I739" s="87">
        <v>36.0</v>
      </c>
      <c r="J739" s="87">
        <v>6.343601</v>
      </c>
      <c r="K739" s="87">
        <v>7.260118</v>
      </c>
      <c r="L739" s="87">
        <v>8.128036</v>
      </c>
      <c r="M739" s="87">
        <v>5.849618</v>
      </c>
      <c r="N739" s="87">
        <v>0.805719</v>
      </c>
      <c r="O739" s="87">
        <v>0.0</v>
      </c>
      <c r="P739" s="87">
        <v>0.0</v>
      </c>
      <c r="Q739" s="87">
        <v>0.033333</v>
      </c>
      <c r="R739" s="87">
        <v>0.266667</v>
      </c>
      <c r="S739" s="87">
        <v>0.757868</v>
      </c>
      <c r="T739" s="87">
        <v>0.033333</v>
      </c>
      <c r="U739" s="87">
        <v>0.052632</v>
      </c>
      <c r="V739" s="87">
        <v>0.266667</v>
      </c>
      <c r="W739" s="87">
        <v>0.3</v>
      </c>
      <c r="X739" s="87">
        <v>0.757868</v>
      </c>
      <c r="Y739" s="87">
        <v>0.726012</v>
      </c>
      <c r="Z739" s="87">
        <v>0.0</v>
      </c>
      <c r="AA739" s="87">
        <v>1.068698</v>
      </c>
      <c r="AB739" s="87">
        <v>1.022781</v>
      </c>
      <c r="AC739" s="87">
        <v>1.906542</v>
      </c>
      <c r="AD739" s="87">
        <v>0.251282</v>
      </c>
      <c r="AE739" s="87">
        <v>0.714516</v>
      </c>
      <c r="AF739" s="87">
        <v>0.916026</v>
      </c>
      <c r="AG739" s="87">
        <v>0.28564</v>
      </c>
      <c r="AH739" s="87">
        <v>0.0</v>
      </c>
      <c r="AI739" s="87">
        <v>0.822372</v>
      </c>
      <c r="AJ739" s="87">
        <v>0.818295</v>
      </c>
      <c r="AK739" s="87">
        <v>0.399242</v>
      </c>
      <c r="AL739" s="88" t="s">
        <v>1396</v>
      </c>
    </row>
    <row r="740">
      <c r="A740" s="84" t="s">
        <v>2398</v>
      </c>
      <c r="B740" s="84" t="s">
        <v>2399</v>
      </c>
      <c r="C740" s="84" t="s">
        <v>458</v>
      </c>
      <c r="D740" s="84" t="s">
        <v>468</v>
      </c>
      <c r="E740" s="89">
        <v>46300.0</v>
      </c>
      <c r="F740" s="87">
        <v>5.0</v>
      </c>
      <c r="G740" s="87">
        <v>0.0</v>
      </c>
      <c r="H740" s="87">
        <v>1716.0</v>
      </c>
      <c r="I740" s="87">
        <v>0.0</v>
      </c>
      <c r="J740" s="87">
        <v>8.866817</v>
      </c>
      <c r="K740" s="87">
        <v>11.9924</v>
      </c>
      <c r="L740" s="87">
        <v>11.53261</v>
      </c>
      <c r="M740" s="87">
        <v>6.285604</v>
      </c>
      <c r="N740" s="87">
        <v>0.524132</v>
      </c>
      <c r="O740" s="87">
        <v>0.862366</v>
      </c>
      <c r="P740" s="87">
        <v>0.966815</v>
      </c>
      <c r="Q740" s="87">
        <v>0.966815</v>
      </c>
      <c r="R740" s="87">
        <v>1.068698</v>
      </c>
      <c r="S740" s="87">
        <v>2.808917</v>
      </c>
      <c r="T740" s="87">
        <v>0.862366</v>
      </c>
      <c r="U740" s="87">
        <v>0.966815</v>
      </c>
      <c r="V740" s="87">
        <v>0.966815</v>
      </c>
      <c r="W740" s="87">
        <v>1.068698</v>
      </c>
      <c r="X740" s="87">
        <v>2.808917</v>
      </c>
      <c r="Y740" s="87">
        <v>2.39848</v>
      </c>
      <c r="Z740" s="87">
        <v>0.0</v>
      </c>
      <c r="AA740" s="87">
        <v>1.068698</v>
      </c>
      <c r="AB740" s="87">
        <v>1.022781</v>
      </c>
      <c r="AC740" s="87">
        <v>1.906542</v>
      </c>
      <c r="AD740" s="87">
        <v>0.633333</v>
      </c>
      <c r="AE740" s="87">
        <v>0.767816</v>
      </c>
      <c r="AF740" s="87">
        <v>1.459706</v>
      </c>
      <c r="AG740" s="87">
        <v>0.903096</v>
      </c>
      <c r="AH740" s="87">
        <v>0.0</v>
      </c>
      <c r="AI740" s="87">
        <v>0.822372</v>
      </c>
      <c r="AJ740" s="87">
        <v>0.818295</v>
      </c>
      <c r="AK740" s="87">
        <v>0.399242</v>
      </c>
      <c r="AL740" s="88" t="s">
        <v>1396</v>
      </c>
    </row>
    <row r="741">
      <c r="A741" s="84" t="s">
        <v>2384</v>
      </c>
      <c r="B741" s="84" t="s">
        <v>2400</v>
      </c>
      <c r="C741" s="84" t="s">
        <v>458</v>
      </c>
      <c r="D741" s="84" t="s">
        <v>468</v>
      </c>
      <c r="E741" s="84" t="s">
        <v>1403</v>
      </c>
      <c r="F741" s="87">
        <v>37.0</v>
      </c>
      <c r="G741" s="87">
        <v>0.0</v>
      </c>
      <c r="H741" s="87">
        <v>0.0</v>
      </c>
      <c r="I741" s="87">
        <v>0.0</v>
      </c>
      <c r="J741" s="87">
        <v>0.0</v>
      </c>
      <c r="K741" s="87">
        <v>0.0</v>
      </c>
      <c r="L741" s="87">
        <v>0.0</v>
      </c>
      <c r="M741" s="87">
        <v>0.0</v>
      </c>
      <c r="N741" s="87">
        <v>0.0</v>
      </c>
      <c r="O741" s="87">
        <v>0.0</v>
      </c>
      <c r="P741" s="87">
        <v>0.0</v>
      </c>
      <c r="Q741" s="87">
        <v>0.0</v>
      </c>
      <c r="R741" s="87">
        <v>0.0</v>
      </c>
      <c r="S741" s="87">
        <v>0.0</v>
      </c>
      <c r="T741" s="87">
        <v>0.0</v>
      </c>
      <c r="U741" s="87">
        <v>0.0</v>
      </c>
      <c r="V741" s="87">
        <v>0.0</v>
      </c>
      <c r="W741" s="87">
        <v>0.0</v>
      </c>
      <c r="X741" s="87">
        <v>0.0</v>
      </c>
      <c r="Y741" s="87">
        <v>0.0</v>
      </c>
      <c r="Z741" s="87">
        <v>0.0</v>
      </c>
      <c r="AA741" s="87">
        <v>1.068698</v>
      </c>
      <c r="AB741" s="87">
        <v>1.022781</v>
      </c>
      <c r="AC741" s="87">
        <v>1.906542</v>
      </c>
      <c r="AD741" s="87">
        <v>0.0</v>
      </c>
      <c r="AE741" s="87">
        <v>0.0</v>
      </c>
      <c r="AF741" s="87">
        <v>0.0</v>
      </c>
      <c r="AG741" s="87">
        <v>0.0</v>
      </c>
      <c r="AH741" s="87">
        <v>0.0</v>
      </c>
      <c r="AI741" s="87">
        <v>0.822372</v>
      </c>
      <c r="AJ741" s="87">
        <v>0.818295</v>
      </c>
      <c r="AK741" s="87">
        <v>0.399242</v>
      </c>
      <c r="AL741" s="88" t="s">
        <v>1396</v>
      </c>
    </row>
    <row r="742">
      <c r="A742" s="84" t="s">
        <v>2391</v>
      </c>
      <c r="B742" s="84" t="s">
        <v>2401</v>
      </c>
      <c r="C742" s="84" t="s">
        <v>458</v>
      </c>
      <c r="D742" s="84" t="s">
        <v>2402</v>
      </c>
      <c r="E742" s="86">
        <v>46310.0</v>
      </c>
      <c r="F742" s="87">
        <v>8.0</v>
      </c>
      <c r="G742" s="87">
        <v>0.0</v>
      </c>
      <c r="H742" s="87">
        <v>2385.0</v>
      </c>
      <c r="I742" s="87">
        <v>0.0</v>
      </c>
      <c r="J742" s="87">
        <v>25.06882</v>
      </c>
      <c r="K742" s="87">
        <v>21.35247</v>
      </c>
      <c r="L742" s="87">
        <v>19.83572</v>
      </c>
      <c r="M742" s="87">
        <v>15.2035</v>
      </c>
      <c r="N742" s="87">
        <v>0.712025</v>
      </c>
      <c r="O742" s="87">
        <v>0.0</v>
      </c>
      <c r="P742" s="87">
        <v>0.0</v>
      </c>
      <c r="Q742" s="87">
        <v>0.526667</v>
      </c>
      <c r="R742" s="87">
        <v>2.100873</v>
      </c>
      <c r="S742" s="87">
        <v>2.802547</v>
      </c>
      <c r="T742" s="87">
        <v>0.526667</v>
      </c>
      <c r="U742" s="87">
        <v>0.718883</v>
      </c>
      <c r="V742" s="87">
        <v>0.718883</v>
      </c>
      <c r="W742" s="87">
        <v>2.802547</v>
      </c>
      <c r="X742" s="87">
        <v>5.766927</v>
      </c>
      <c r="Y742" s="87">
        <v>2.669059</v>
      </c>
      <c r="Z742" s="87">
        <v>0.670115</v>
      </c>
      <c r="AA742" s="87">
        <v>2.100873</v>
      </c>
      <c r="AB742" s="87">
        <v>2.132127</v>
      </c>
      <c r="AC742" s="87">
        <v>2.669059</v>
      </c>
      <c r="AD742" s="87">
        <v>0.481831</v>
      </c>
      <c r="AE742" s="87">
        <v>0.679475</v>
      </c>
      <c r="AF742" s="87">
        <v>2.178121</v>
      </c>
      <c r="AG742" s="87">
        <v>0.75</v>
      </c>
      <c r="AH742" s="87">
        <v>0.0</v>
      </c>
      <c r="AI742" s="87">
        <v>0.822372</v>
      </c>
      <c r="AJ742" s="87">
        <v>0.818295</v>
      </c>
      <c r="AK742" s="87">
        <v>0.399242</v>
      </c>
      <c r="AL742" s="88" t="s">
        <v>1396</v>
      </c>
    </row>
    <row r="743">
      <c r="A743" s="84" t="s">
        <v>2393</v>
      </c>
      <c r="B743" s="84" t="s">
        <v>2403</v>
      </c>
      <c r="C743" s="84" t="s">
        <v>458</v>
      </c>
      <c r="D743" s="84" t="s">
        <v>2402</v>
      </c>
      <c r="E743" s="84" t="s">
        <v>1413</v>
      </c>
      <c r="F743" s="87">
        <v>12.0</v>
      </c>
      <c r="G743" s="87">
        <v>1.0</v>
      </c>
      <c r="H743" s="87">
        <v>2295.0</v>
      </c>
      <c r="I743" s="87">
        <v>14.0</v>
      </c>
      <c r="J743" s="87">
        <v>30.24774</v>
      </c>
      <c r="K743" s="87">
        <v>25.2929</v>
      </c>
      <c r="L743" s="87">
        <v>23.17993</v>
      </c>
      <c r="M743" s="87">
        <v>13.82457</v>
      </c>
      <c r="N743" s="87">
        <v>0.546579</v>
      </c>
      <c r="O743" s="87">
        <v>0.033333</v>
      </c>
      <c r="P743" s="87">
        <v>0.2</v>
      </c>
      <c r="Q743" s="87">
        <v>0.815873</v>
      </c>
      <c r="R743" s="87">
        <v>2.205305</v>
      </c>
      <c r="S743" s="87">
        <v>2.70387</v>
      </c>
      <c r="T743" s="87">
        <v>0.2</v>
      </c>
      <c r="U743" s="87">
        <v>0.815873</v>
      </c>
      <c r="V743" s="87">
        <v>1.560546</v>
      </c>
      <c r="W743" s="87">
        <v>2.205305</v>
      </c>
      <c r="X743" s="87">
        <v>2.70387</v>
      </c>
      <c r="Y743" s="87">
        <v>2.107742</v>
      </c>
      <c r="Z743" s="87">
        <v>0.670115</v>
      </c>
      <c r="AA743" s="87">
        <v>2.100873</v>
      </c>
      <c r="AB743" s="87">
        <v>2.132127</v>
      </c>
      <c r="AC743" s="87">
        <v>2.669059</v>
      </c>
      <c r="AD743" s="87">
        <v>0.681233</v>
      </c>
      <c r="AE743" s="87">
        <v>1.264021</v>
      </c>
      <c r="AF743" s="87">
        <v>1.455046</v>
      </c>
      <c r="AG743" s="87">
        <v>0.989448</v>
      </c>
      <c r="AH743" s="87">
        <v>0.0</v>
      </c>
      <c r="AI743" s="87">
        <v>0.822372</v>
      </c>
      <c r="AJ743" s="87">
        <v>0.818295</v>
      </c>
      <c r="AK743" s="87">
        <v>0.399242</v>
      </c>
      <c r="AL743" s="88" t="s">
        <v>1396</v>
      </c>
    </row>
    <row r="744">
      <c r="A744" s="84" t="s">
        <v>2395</v>
      </c>
      <c r="B744" s="84" t="s">
        <v>2404</v>
      </c>
      <c r="C744" s="84" t="s">
        <v>458</v>
      </c>
      <c r="D744" s="84" t="s">
        <v>2402</v>
      </c>
      <c r="E744" s="84" t="s">
        <v>1398</v>
      </c>
      <c r="F744" s="87">
        <v>5.0</v>
      </c>
      <c r="G744" s="87">
        <v>0.0</v>
      </c>
      <c r="H744" s="87">
        <v>1916.0</v>
      </c>
      <c r="I744" s="87">
        <v>0.0</v>
      </c>
      <c r="J744" s="87">
        <v>24.50413</v>
      </c>
      <c r="K744" s="87">
        <v>23.62394</v>
      </c>
      <c r="L744" s="87">
        <v>26.59743</v>
      </c>
      <c r="M744" s="87">
        <v>10.14794</v>
      </c>
      <c r="N744" s="87">
        <v>0.429562</v>
      </c>
      <c r="O744" s="87">
        <v>1.219993</v>
      </c>
      <c r="P744" s="87">
        <v>1.290108</v>
      </c>
      <c r="Q744" s="87">
        <v>1.290108</v>
      </c>
      <c r="R744" s="87">
        <v>4.590911</v>
      </c>
      <c r="S744" s="87">
        <v>6.374978</v>
      </c>
      <c r="T744" s="87">
        <v>1.219993</v>
      </c>
      <c r="U744" s="87">
        <v>1.290108</v>
      </c>
      <c r="V744" s="87">
        <v>1.290108</v>
      </c>
      <c r="W744" s="87">
        <v>4.590911</v>
      </c>
      <c r="X744" s="87">
        <v>6.374978</v>
      </c>
      <c r="Y744" s="87">
        <v>4.724787</v>
      </c>
      <c r="Z744" s="87">
        <v>0.670115</v>
      </c>
      <c r="AA744" s="87">
        <v>2.100873</v>
      </c>
      <c r="AB744" s="87">
        <v>2.132127</v>
      </c>
      <c r="AC744" s="87">
        <v>2.669059</v>
      </c>
      <c r="AD744" s="87">
        <v>1.137793</v>
      </c>
      <c r="AE744" s="87">
        <v>1.219993</v>
      </c>
      <c r="AF744" s="87">
        <v>2.465241</v>
      </c>
      <c r="AG744" s="87">
        <v>2.0</v>
      </c>
      <c r="AH744" s="87">
        <v>0.0</v>
      </c>
      <c r="AI744" s="87">
        <v>0.822372</v>
      </c>
      <c r="AJ744" s="87">
        <v>0.818295</v>
      </c>
      <c r="AK744" s="87">
        <v>0.399242</v>
      </c>
      <c r="AL744" s="88" t="s">
        <v>1396</v>
      </c>
    </row>
    <row r="745">
      <c r="A745" s="84" t="s">
        <v>2381</v>
      </c>
      <c r="B745" s="84" t="s">
        <v>2405</v>
      </c>
      <c r="C745" s="84" t="s">
        <v>458</v>
      </c>
      <c r="D745" s="84" t="s">
        <v>2402</v>
      </c>
      <c r="E745" s="84" t="s">
        <v>1400</v>
      </c>
      <c r="F745" s="87">
        <v>16.0</v>
      </c>
      <c r="G745" s="87">
        <v>0.0</v>
      </c>
      <c r="H745" s="87">
        <v>3292.0</v>
      </c>
      <c r="I745" s="87">
        <v>0.0</v>
      </c>
      <c r="J745" s="87">
        <v>37.13858</v>
      </c>
      <c r="K745" s="87">
        <v>34.23507</v>
      </c>
      <c r="L745" s="87">
        <v>32.94416</v>
      </c>
      <c r="M745" s="87">
        <v>23.11412</v>
      </c>
      <c r="N745" s="87">
        <v>0.675159</v>
      </c>
      <c r="O745" s="87">
        <v>0.339401</v>
      </c>
      <c r="P745" s="87">
        <v>0.397849</v>
      </c>
      <c r="Q745" s="87">
        <v>0.631183</v>
      </c>
      <c r="R745" s="87">
        <v>1.476974</v>
      </c>
      <c r="S745" s="87">
        <v>2.074245</v>
      </c>
      <c r="T745" s="87">
        <v>0.339401</v>
      </c>
      <c r="U745" s="87">
        <v>0.397849</v>
      </c>
      <c r="V745" s="87">
        <v>0.631183</v>
      </c>
      <c r="W745" s="87">
        <v>1.476974</v>
      </c>
      <c r="X745" s="87">
        <v>2.074245</v>
      </c>
      <c r="Y745" s="87">
        <v>2.139692</v>
      </c>
      <c r="Z745" s="87">
        <v>0.670115</v>
      </c>
      <c r="AA745" s="87">
        <v>2.100873</v>
      </c>
      <c r="AB745" s="87">
        <v>2.132127</v>
      </c>
      <c r="AC745" s="87">
        <v>2.669059</v>
      </c>
      <c r="AD745" s="87">
        <v>0.251282</v>
      </c>
      <c r="AE745" s="87">
        <v>0.714516</v>
      </c>
      <c r="AF745" s="87">
        <v>0.916026</v>
      </c>
      <c r="AG745" s="87">
        <v>0.28564</v>
      </c>
      <c r="AH745" s="87">
        <v>0.0</v>
      </c>
      <c r="AI745" s="87">
        <v>0.822372</v>
      </c>
      <c r="AJ745" s="87">
        <v>0.818295</v>
      </c>
      <c r="AK745" s="87">
        <v>0.399242</v>
      </c>
      <c r="AL745" s="88" t="s">
        <v>1396</v>
      </c>
    </row>
    <row r="746">
      <c r="A746" s="84" t="s">
        <v>2398</v>
      </c>
      <c r="B746" s="84" t="s">
        <v>2406</v>
      </c>
      <c r="C746" s="84" t="s">
        <v>458</v>
      </c>
      <c r="D746" s="84" t="s">
        <v>2402</v>
      </c>
      <c r="E746" s="89">
        <v>46300.0</v>
      </c>
      <c r="F746" s="87">
        <v>8.0</v>
      </c>
      <c r="G746" s="87">
        <v>0.0</v>
      </c>
      <c r="H746" s="87">
        <v>2622.0</v>
      </c>
      <c r="I746" s="87">
        <v>0.0</v>
      </c>
      <c r="J746" s="87">
        <v>39.22436</v>
      </c>
      <c r="K746" s="87">
        <v>40.48024</v>
      </c>
      <c r="L746" s="87">
        <v>39.07337</v>
      </c>
      <c r="M746" s="87">
        <v>28.17105</v>
      </c>
      <c r="N746" s="87">
        <v>0.695921</v>
      </c>
      <c r="O746" s="87">
        <v>0.0</v>
      </c>
      <c r="P746" s="87">
        <v>0.0</v>
      </c>
      <c r="Q746" s="87">
        <v>0.0</v>
      </c>
      <c r="R746" s="87">
        <v>4.346485</v>
      </c>
      <c r="S746" s="87">
        <v>4.42908</v>
      </c>
      <c r="T746" s="87">
        <v>3.533633</v>
      </c>
      <c r="U746" s="87">
        <v>4.346485</v>
      </c>
      <c r="V746" s="87">
        <v>4.346485</v>
      </c>
      <c r="W746" s="87">
        <v>4.42908</v>
      </c>
      <c r="X746" s="87">
        <v>11.04832</v>
      </c>
      <c r="Y746" s="87">
        <v>5.06003</v>
      </c>
      <c r="Z746" s="87">
        <v>0.670115</v>
      </c>
      <c r="AA746" s="87">
        <v>2.100873</v>
      </c>
      <c r="AB746" s="87">
        <v>2.132127</v>
      </c>
      <c r="AC746" s="87">
        <v>2.669059</v>
      </c>
      <c r="AD746" s="87">
        <v>0.633333</v>
      </c>
      <c r="AE746" s="87">
        <v>0.767816</v>
      </c>
      <c r="AF746" s="87">
        <v>1.459706</v>
      </c>
      <c r="AG746" s="87">
        <v>0.903096</v>
      </c>
      <c r="AH746" s="87">
        <v>0.0</v>
      </c>
      <c r="AI746" s="87">
        <v>0.822372</v>
      </c>
      <c r="AJ746" s="87">
        <v>0.818295</v>
      </c>
      <c r="AK746" s="87">
        <v>0.399242</v>
      </c>
      <c r="AL746" s="88" t="s">
        <v>1396</v>
      </c>
    </row>
    <row r="747">
      <c r="A747" s="84" t="s">
        <v>2384</v>
      </c>
      <c r="B747" s="84" t="s">
        <v>2407</v>
      </c>
      <c r="C747" s="84" t="s">
        <v>458</v>
      </c>
      <c r="D747" s="84" t="s">
        <v>2402</v>
      </c>
      <c r="E747" s="84" t="s">
        <v>1403</v>
      </c>
      <c r="F747" s="87">
        <v>19.0</v>
      </c>
      <c r="G747" s="87">
        <v>0.0</v>
      </c>
      <c r="H747" s="87">
        <v>0.0</v>
      </c>
      <c r="I747" s="87">
        <v>0.0</v>
      </c>
      <c r="J747" s="87">
        <v>0.0</v>
      </c>
      <c r="K747" s="87">
        <v>0.0</v>
      </c>
      <c r="L747" s="87">
        <v>0.0</v>
      </c>
      <c r="M747" s="87">
        <v>0.0</v>
      </c>
      <c r="N747" s="87">
        <v>0.0</v>
      </c>
      <c r="O747" s="87">
        <v>0.0</v>
      </c>
      <c r="P747" s="87">
        <v>0.0</v>
      </c>
      <c r="Q747" s="87">
        <v>0.0</v>
      </c>
      <c r="R747" s="87">
        <v>0.0</v>
      </c>
      <c r="S747" s="87">
        <v>0.0</v>
      </c>
      <c r="T747" s="87">
        <v>0.0</v>
      </c>
      <c r="U747" s="87">
        <v>0.0</v>
      </c>
      <c r="V747" s="87">
        <v>0.0</v>
      </c>
      <c r="W747" s="87">
        <v>0.0</v>
      </c>
      <c r="X747" s="87">
        <v>0.0</v>
      </c>
      <c r="Y747" s="87">
        <v>0.0</v>
      </c>
      <c r="Z747" s="87">
        <v>0.670115</v>
      </c>
      <c r="AA747" s="87">
        <v>2.100873</v>
      </c>
      <c r="AB747" s="87">
        <v>2.132127</v>
      </c>
      <c r="AC747" s="87">
        <v>2.669059</v>
      </c>
      <c r="AD747" s="87">
        <v>0.0</v>
      </c>
      <c r="AE747" s="87">
        <v>0.0</v>
      </c>
      <c r="AF747" s="87">
        <v>0.0</v>
      </c>
      <c r="AG747" s="87">
        <v>0.0</v>
      </c>
      <c r="AH747" s="87">
        <v>0.0</v>
      </c>
      <c r="AI747" s="87">
        <v>0.822372</v>
      </c>
      <c r="AJ747" s="87">
        <v>0.818295</v>
      </c>
      <c r="AK747" s="87">
        <v>0.399242</v>
      </c>
      <c r="AL747" s="88" t="s">
        <v>1396</v>
      </c>
    </row>
    <row r="748">
      <c r="A748" s="84" t="s">
        <v>2391</v>
      </c>
      <c r="B748" s="84" t="s">
        <v>2408</v>
      </c>
      <c r="C748" s="84" t="s">
        <v>458</v>
      </c>
      <c r="D748" s="84" t="s">
        <v>974</v>
      </c>
      <c r="E748" s="86">
        <v>46310.0</v>
      </c>
      <c r="F748" s="87">
        <v>3.0</v>
      </c>
      <c r="G748" s="87">
        <v>0.0</v>
      </c>
      <c r="H748" s="87">
        <v>541.0</v>
      </c>
      <c r="I748" s="87">
        <v>0.0</v>
      </c>
      <c r="J748" s="87">
        <v>2.309127</v>
      </c>
      <c r="K748" s="87">
        <v>1.048185</v>
      </c>
      <c r="L748" s="87">
        <v>1.12689</v>
      </c>
      <c r="M748" s="87">
        <v>0.581518</v>
      </c>
      <c r="N748" s="87">
        <v>0.554786</v>
      </c>
      <c r="O748" s="87">
        <v>0.133333</v>
      </c>
      <c r="P748" s="87">
        <v>0.133333</v>
      </c>
      <c r="Q748" s="87">
        <v>0.133333</v>
      </c>
      <c r="R748" s="87">
        <v>0.333333</v>
      </c>
      <c r="S748" s="87">
        <v>0.581518</v>
      </c>
      <c r="T748" s="87">
        <v>0.133333</v>
      </c>
      <c r="U748" s="87">
        <v>0.133333</v>
      </c>
      <c r="V748" s="87">
        <v>0.133333</v>
      </c>
      <c r="W748" s="87">
        <v>0.333333</v>
      </c>
      <c r="X748" s="87">
        <v>0.581518</v>
      </c>
      <c r="Y748" s="87">
        <v>0.349395</v>
      </c>
      <c r="Z748" s="87">
        <v>0.04</v>
      </c>
      <c r="AA748" s="87">
        <v>0.164516</v>
      </c>
      <c r="AB748" s="87">
        <v>0.215456</v>
      </c>
      <c r="AC748" s="87">
        <v>0.25</v>
      </c>
      <c r="AD748" s="87">
        <v>0.481831</v>
      </c>
      <c r="AE748" s="87">
        <v>0.679475</v>
      </c>
      <c r="AF748" s="87">
        <v>2.178121</v>
      </c>
      <c r="AG748" s="87">
        <v>0.75</v>
      </c>
      <c r="AH748" s="87">
        <v>0.0</v>
      </c>
      <c r="AI748" s="87">
        <v>0.822372</v>
      </c>
      <c r="AJ748" s="87">
        <v>0.818295</v>
      </c>
      <c r="AK748" s="87">
        <v>0.399242</v>
      </c>
      <c r="AL748" s="88" t="s">
        <v>1396</v>
      </c>
    </row>
    <row r="749">
      <c r="A749" s="84" t="s">
        <v>2393</v>
      </c>
      <c r="B749" s="84" t="s">
        <v>2409</v>
      </c>
      <c r="C749" s="84" t="s">
        <v>458</v>
      </c>
      <c r="D749" s="84" t="s">
        <v>974</v>
      </c>
      <c r="E749" s="84" t="s">
        <v>1413</v>
      </c>
      <c r="F749" s="87">
        <v>1.0</v>
      </c>
      <c r="G749" s="87">
        <v>0.0</v>
      </c>
      <c r="H749" s="87">
        <v>0.0</v>
      </c>
      <c r="I749" s="87">
        <v>0.0</v>
      </c>
      <c r="J749" s="87">
        <v>0.0</v>
      </c>
      <c r="K749" s="87">
        <v>0.0</v>
      </c>
      <c r="L749" s="87">
        <v>0.0</v>
      </c>
      <c r="M749" s="87">
        <v>0.0</v>
      </c>
      <c r="N749" s="87">
        <v>0.0</v>
      </c>
      <c r="O749" s="87">
        <v>0.0</v>
      </c>
      <c r="P749" s="87">
        <v>0.0</v>
      </c>
      <c r="Q749" s="87">
        <v>0.0</v>
      </c>
      <c r="R749" s="87">
        <v>0.0</v>
      </c>
      <c r="S749" s="87">
        <v>0.0</v>
      </c>
      <c r="T749" s="87">
        <v>0.0</v>
      </c>
      <c r="U749" s="87">
        <v>0.0</v>
      </c>
      <c r="V749" s="87">
        <v>0.0</v>
      </c>
      <c r="W749" s="87">
        <v>0.0</v>
      </c>
      <c r="X749" s="87">
        <v>0.0</v>
      </c>
      <c r="Y749" s="87">
        <v>0.0</v>
      </c>
      <c r="Z749" s="87">
        <v>0.04</v>
      </c>
      <c r="AA749" s="87">
        <v>0.164516</v>
      </c>
      <c r="AB749" s="87">
        <v>0.215456</v>
      </c>
      <c r="AC749" s="87">
        <v>0.25</v>
      </c>
      <c r="AD749" s="87">
        <v>0.681233</v>
      </c>
      <c r="AE749" s="87">
        <v>1.264021</v>
      </c>
      <c r="AF749" s="87">
        <v>1.455046</v>
      </c>
      <c r="AG749" s="87">
        <v>0.989448</v>
      </c>
      <c r="AH749" s="87">
        <v>0.0</v>
      </c>
      <c r="AI749" s="87">
        <v>0.822372</v>
      </c>
      <c r="AJ749" s="87">
        <v>0.818295</v>
      </c>
      <c r="AK749" s="87">
        <v>0.399242</v>
      </c>
      <c r="AL749" s="88" t="s">
        <v>1396</v>
      </c>
    </row>
    <row r="750">
      <c r="A750" s="84" t="s">
        <v>2395</v>
      </c>
      <c r="B750" s="84" t="s">
        <v>2410</v>
      </c>
      <c r="C750" s="84" t="s">
        <v>458</v>
      </c>
      <c r="D750" s="84" t="s">
        <v>974</v>
      </c>
      <c r="E750" s="84" t="s">
        <v>1398</v>
      </c>
      <c r="F750" s="87">
        <v>1.0</v>
      </c>
      <c r="G750" s="87">
        <v>0.0</v>
      </c>
      <c r="H750" s="87">
        <v>43.0</v>
      </c>
      <c r="I750" s="87">
        <v>0.0</v>
      </c>
      <c r="J750" s="87">
        <v>0.111111</v>
      </c>
      <c r="K750" s="87">
        <v>0.04</v>
      </c>
      <c r="L750" s="87">
        <v>0.658327</v>
      </c>
      <c r="M750" s="87">
        <v>0.04</v>
      </c>
      <c r="N750" s="87">
        <v>1.0</v>
      </c>
      <c r="O750" s="87">
        <v>0.04</v>
      </c>
      <c r="P750" s="87">
        <v>0.04</v>
      </c>
      <c r="Q750" s="87">
        <v>0.04</v>
      </c>
      <c r="R750" s="87">
        <v>0.04</v>
      </c>
      <c r="S750" s="87">
        <v>0.04</v>
      </c>
      <c r="T750" s="87">
        <v>0.04</v>
      </c>
      <c r="U750" s="87">
        <v>0.04</v>
      </c>
      <c r="V750" s="87">
        <v>0.04</v>
      </c>
      <c r="W750" s="87">
        <v>0.04</v>
      </c>
      <c r="X750" s="87">
        <v>0.04</v>
      </c>
      <c r="Y750" s="87">
        <v>0.04</v>
      </c>
      <c r="Z750" s="87">
        <v>0.04</v>
      </c>
      <c r="AA750" s="87">
        <v>0.164516</v>
      </c>
      <c r="AB750" s="87">
        <v>0.215456</v>
      </c>
      <c r="AC750" s="87">
        <v>0.25</v>
      </c>
      <c r="AD750" s="87">
        <v>1.137793</v>
      </c>
      <c r="AE750" s="87">
        <v>1.219993</v>
      </c>
      <c r="AF750" s="87">
        <v>2.465241</v>
      </c>
      <c r="AG750" s="87">
        <v>2.0</v>
      </c>
      <c r="AH750" s="87">
        <v>0.0</v>
      </c>
      <c r="AI750" s="87">
        <v>0.822372</v>
      </c>
      <c r="AJ750" s="87">
        <v>0.818295</v>
      </c>
      <c r="AK750" s="87">
        <v>0.399242</v>
      </c>
      <c r="AL750" s="88" t="s">
        <v>1396</v>
      </c>
    </row>
    <row r="751">
      <c r="A751" s="84" t="s">
        <v>2381</v>
      </c>
      <c r="B751" s="84" t="s">
        <v>2411</v>
      </c>
      <c r="C751" s="84" t="s">
        <v>458</v>
      </c>
      <c r="D751" s="84" t="s">
        <v>974</v>
      </c>
      <c r="E751" s="84" t="s">
        <v>1400</v>
      </c>
      <c r="F751" s="87">
        <v>5.0</v>
      </c>
      <c r="G751" s="87">
        <v>1.0</v>
      </c>
      <c r="H751" s="87">
        <v>927.0</v>
      </c>
      <c r="I751" s="87">
        <v>272.0</v>
      </c>
      <c r="J751" s="87">
        <v>1.579004</v>
      </c>
      <c r="K751" s="87">
        <v>1.428202</v>
      </c>
      <c r="L751" s="87">
        <v>1.661116</v>
      </c>
      <c r="M751" s="87">
        <v>1.163686</v>
      </c>
      <c r="N751" s="87">
        <v>0.814791</v>
      </c>
      <c r="O751" s="87">
        <v>0.033333</v>
      </c>
      <c r="P751" s="87">
        <v>0.033333</v>
      </c>
      <c r="Q751" s="87">
        <v>0.033333</v>
      </c>
      <c r="R751" s="87">
        <v>0.033333</v>
      </c>
      <c r="S751" s="87">
        <v>0.164516</v>
      </c>
      <c r="T751" s="87">
        <v>0.033333</v>
      </c>
      <c r="U751" s="87">
        <v>0.033333</v>
      </c>
      <c r="V751" s="87">
        <v>0.033333</v>
      </c>
      <c r="W751" s="87">
        <v>0.033333</v>
      </c>
      <c r="X751" s="87">
        <v>0.164516</v>
      </c>
      <c r="Y751" s="87">
        <v>0.28564</v>
      </c>
      <c r="Z751" s="87">
        <v>0.04</v>
      </c>
      <c r="AA751" s="87">
        <v>0.164516</v>
      </c>
      <c r="AB751" s="87">
        <v>0.215456</v>
      </c>
      <c r="AC751" s="87">
        <v>0.25</v>
      </c>
      <c r="AD751" s="87">
        <v>0.251282</v>
      </c>
      <c r="AE751" s="87">
        <v>0.714516</v>
      </c>
      <c r="AF751" s="87">
        <v>0.916026</v>
      </c>
      <c r="AG751" s="87">
        <v>0.28564</v>
      </c>
      <c r="AH751" s="87">
        <v>0.0</v>
      </c>
      <c r="AI751" s="87">
        <v>0.822372</v>
      </c>
      <c r="AJ751" s="87">
        <v>0.818295</v>
      </c>
      <c r="AK751" s="87">
        <v>0.399242</v>
      </c>
      <c r="AL751" s="88" t="s">
        <v>1396</v>
      </c>
    </row>
    <row r="752">
      <c r="A752" s="84" t="s">
        <v>2398</v>
      </c>
      <c r="B752" s="84" t="s">
        <v>2412</v>
      </c>
      <c r="C752" s="84" t="s">
        <v>458</v>
      </c>
      <c r="D752" s="84" t="s">
        <v>974</v>
      </c>
      <c r="E752" s="89">
        <v>46300.0</v>
      </c>
      <c r="F752" s="87">
        <v>2.0</v>
      </c>
      <c r="G752" s="87">
        <v>0.0</v>
      </c>
      <c r="H752" s="87">
        <v>111.0</v>
      </c>
      <c r="I752" s="87">
        <v>0.0</v>
      </c>
      <c r="J752" s="87">
        <v>0.428571</v>
      </c>
      <c r="K752" s="87">
        <v>0.5</v>
      </c>
      <c r="L752" s="87">
        <v>0.704211</v>
      </c>
      <c r="M752" s="87">
        <v>0.5</v>
      </c>
      <c r="N752" s="87">
        <v>1.0</v>
      </c>
      <c r="O752" s="87">
        <v>0.0</v>
      </c>
      <c r="P752" s="87">
        <v>0.0</v>
      </c>
      <c r="Q752" s="87">
        <v>0.0</v>
      </c>
      <c r="R752" s="87">
        <v>0.5</v>
      </c>
      <c r="S752" s="87">
        <v>0.5</v>
      </c>
      <c r="T752" s="87">
        <v>0.5</v>
      </c>
      <c r="U752" s="87">
        <v>0.5</v>
      </c>
      <c r="V752" s="87">
        <v>0.5</v>
      </c>
      <c r="W752" s="87">
        <v>0.5</v>
      </c>
      <c r="X752" s="87">
        <v>0.5</v>
      </c>
      <c r="Y752" s="87">
        <v>0.25</v>
      </c>
      <c r="Z752" s="87">
        <v>0.04</v>
      </c>
      <c r="AA752" s="87">
        <v>0.164516</v>
      </c>
      <c r="AB752" s="87">
        <v>0.215456</v>
      </c>
      <c r="AC752" s="87">
        <v>0.25</v>
      </c>
      <c r="AD752" s="87">
        <v>0.633333</v>
      </c>
      <c r="AE752" s="87">
        <v>0.767816</v>
      </c>
      <c r="AF752" s="87">
        <v>1.459706</v>
      </c>
      <c r="AG752" s="87">
        <v>0.903096</v>
      </c>
      <c r="AH752" s="87">
        <v>0.0</v>
      </c>
      <c r="AI752" s="87">
        <v>0.822372</v>
      </c>
      <c r="AJ752" s="87">
        <v>0.818295</v>
      </c>
      <c r="AK752" s="87">
        <v>0.399242</v>
      </c>
      <c r="AL752" s="88" t="s">
        <v>1396</v>
      </c>
    </row>
    <row r="753">
      <c r="A753" s="84" t="s">
        <v>2384</v>
      </c>
      <c r="B753" s="84" t="s">
        <v>2413</v>
      </c>
      <c r="C753" s="84" t="s">
        <v>458</v>
      </c>
      <c r="D753" s="84" t="s">
        <v>974</v>
      </c>
      <c r="E753" s="84" t="s">
        <v>1403</v>
      </c>
      <c r="F753" s="87">
        <v>2.0</v>
      </c>
      <c r="G753" s="87">
        <v>0.0</v>
      </c>
      <c r="H753" s="87">
        <v>0.0</v>
      </c>
      <c r="I753" s="87">
        <v>0.0</v>
      </c>
      <c r="J753" s="87">
        <v>0.0</v>
      </c>
      <c r="K753" s="87">
        <v>0.0</v>
      </c>
      <c r="L753" s="87">
        <v>0.0</v>
      </c>
      <c r="M753" s="87">
        <v>0.0</v>
      </c>
      <c r="N753" s="87">
        <v>0.0</v>
      </c>
      <c r="O753" s="87">
        <v>0.0</v>
      </c>
      <c r="P753" s="87">
        <v>0.0</v>
      </c>
      <c r="Q753" s="87">
        <v>0.0</v>
      </c>
      <c r="R753" s="87">
        <v>0.0</v>
      </c>
      <c r="S753" s="87">
        <v>0.0</v>
      </c>
      <c r="T753" s="87">
        <v>0.0</v>
      </c>
      <c r="U753" s="87">
        <v>0.0</v>
      </c>
      <c r="V753" s="87">
        <v>0.0</v>
      </c>
      <c r="W753" s="87">
        <v>0.0</v>
      </c>
      <c r="X753" s="87">
        <v>0.0</v>
      </c>
      <c r="Y753" s="87">
        <v>0.0</v>
      </c>
      <c r="Z753" s="87">
        <v>0.04</v>
      </c>
      <c r="AA753" s="87">
        <v>0.164516</v>
      </c>
      <c r="AB753" s="87">
        <v>0.215456</v>
      </c>
      <c r="AC753" s="87">
        <v>0.25</v>
      </c>
      <c r="AD753" s="87">
        <v>0.0</v>
      </c>
      <c r="AE753" s="87">
        <v>0.0</v>
      </c>
      <c r="AF753" s="87">
        <v>0.0</v>
      </c>
      <c r="AG753" s="87">
        <v>0.0</v>
      </c>
      <c r="AH753" s="87">
        <v>0.0</v>
      </c>
      <c r="AI753" s="87">
        <v>0.822372</v>
      </c>
      <c r="AJ753" s="87">
        <v>0.818295</v>
      </c>
      <c r="AK753" s="87">
        <v>0.399242</v>
      </c>
      <c r="AL753" s="88" t="s">
        <v>1396</v>
      </c>
    </row>
    <row r="754">
      <c r="A754" s="84" t="s">
        <v>2384</v>
      </c>
      <c r="B754" s="84" t="s">
        <v>2414</v>
      </c>
      <c r="C754" s="84" t="s">
        <v>458</v>
      </c>
      <c r="D754" s="84" t="s">
        <v>2415</v>
      </c>
      <c r="E754" s="84" t="s">
        <v>1403</v>
      </c>
      <c r="F754" s="87">
        <v>1.0</v>
      </c>
      <c r="G754" s="87">
        <v>0.0</v>
      </c>
      <c r="H754" s="87">
        <v>0.0</v>
      </c>
      <c r="I754" s="87">
        <v>0.0</v>
      </c>
      <c r="J754" s="87">
        <v>0.0</v>
      </c>
      <c r="K754" s="87">
        <v>0.0</v>
      </c>
      <c r="L754" s="87">
        <v>0.0</v>
      </c>
      <c r="M754" s="87">
        <v>0.0</v>
      </c>
      <c r="N754" s="87">
        <v>0.0</v>
      </c>
      <c r="O754" s="87">
        <v>0.0</v>
      </c>
      <c r="P754" s="87">
        <v>0.0</v>
      </c>
      <c r="Q754" s="87">
        <v>0.0</v>
      </c>
      <c r="R754" s="87">
        <v>0.0</v>
      </c>
      <c r="S754" s="87">
        <v>0.0</v>
      </c>
      <c r="T754" s="87">
        <v>0.0</v>
      </c>
      <c r="U754" s="87">
        <v>0.0</v>
      </c>
      <c r="V754" s="87">
        <v>0.0</v>
      </c>
      <c r="W754" s="87">
        <v>0.0</v>
      </c>
      <c r="X754" s="87">
        <v>0.0</v>
      </c>
      <c r="Y754" s="87">
        <v>0.0</v>
      </c>
      <c r="Z754" s="87">
        <v>0.0</v>
      </c>
      <c r="AA754" s="87">
        <v>0.0</v>
      </c>
      <c r="AB754" s="87">
        <v>0.0</v>
      </c>
      <c r="AC754" s="87">
        <v>0.0</v>
      </c>
      <c r="AD754" s="87">
        <v>0.0</v>
      </c>
      <c r="AE754" s="87">
        <v>0.0</v>
      </c>
      <c r="AF754" s="87">
        <v>0.0</v>
      </c>
      <c r="AG754" s="87">
        <v>0.0</v>
      </c>
      <c r="AH754" s="87">
        <v>0.0</v>
      </c>
      <c r="AI754" s="87">
        <v>0.822372</v>
      </c>
      <c r="AJ754" s="87">
        <v>0.818295</v>
      </c>
      <c r="AK754" s="87">
        <v>0.399242</v>
      </c>
      <c r="AL754" s="88" t="s">
        <v>1396</v>
      </c>
    </row>
    <row r="755">
      <c r="A755" s="84" t="s">
        <v>2389</v>
      </c>
      <c r="B755" s="84" t="s">
        <v>2416</v>
      </c>
      <c r="C755" s="84" t="s">
        <v>458</v>
      </c>
      <c r="D755" s="84" t="s">
        <v>2417</v>
      </c>
      <c r="E755" s="84" t="s">
        <v>1426</v>
      </c>
      <c r="F755" s="87">
        <v>4.0</v>
      </c>
      <c r="G755" s="87">
        <v>0.0</v>
      </c>
      <c r="H755" s="87">
        <v>250.0</v>
      </c>
      <c r="I755" s="87">
        <v>0.0</v>
      </c>
      <c r="J755" s="87">
        <v>1.159341</v>
      </c>
      <c r="K755" s="87">
        <v>1.094869</v>
      </c>
      <c r="L755" s="87">
        <v>1.506153</v>
      </c>
      <c r="M755" s="87">
        <v>1.094869</v>
      </c>
      <c r="N755" s="87">
        <v>1.0</v>
      </c>
      <c r="O755" s="87">
        <v>0.0</v>
      </c>
      <c r="P755" s="87">
        <v>0.0</v>
      </c>
      <c r="Q755" s="87">
        <v>0.0</v>
      </c>
      <c r="R755" s="87">
        <v>0.0</v>
      </c>
      <c r="S755" s="87">
        <v>0.0</v>
      </c>
      <c r="T755" s="87">
        <v>1.094869</v>
      </c>
      <c r="U755" s="87">
        <v>1.094869</v>
      </c>
      <c r="V755" s="87">
        <v>1.094869</v>
      </c>
      <c r="W755" s="87">
        <v>1.094869</v>
      </c>
      <c r="X755" s="87">
        <v>1.094869</v>
      </c>
      <c r="Y755" s="87">
        <v>0.273717</v>
      </c>
      <c r="Z755" s="87">
        <v>0.0</v>
      </c>
      <c r="AA755" s="87">
        <v>0.233333</v>
      </c>
      <c r="AB755" s="87">
        <v>0.126848</v>
      </c>
      <c r="AC755" s="87">
        <v>0.171045</v>
      </c>
      <c r="AD755" s="87">
        <v>1.083234</v>
      </c>
      <c r="AE755" s="87">
        <v>1.534944</v>
      </c>
      <c r="AF755" s="87">
        <v>4.488549</v>
      </c>
      <c r="AG755" s="87">
        <v>1.083234</v>
      </c>
      <c r="AH755" s="87">
        <v>0.0</v>
      </c>
      <c r="AI755" s="87">
        <v>0.822372</v>
      </c>
      <c r="AJ755" s="87">
        <v>0.818295</v>
      </c>
      <c r="AK755" s="87">
        <v>0.399242</v>
      </c>
      <c r="AL755" s="88" t="s">
        <v>1396</v>
      </c>
    </row>
    <row r="756">
      <c r="A756" s="84" t="s">
        <v>2391</v>
      </c>
      <c r="B756" s="84" t="s">
        <v>2418</v>
      </c>
      <c r="C756" s="84" t="s">
        <v>458</v>
      </c>
      <c r="D756" s="84" t="s">
        <v>2417</v>
      </c>
      <c r="E756" s="89">
        <v>46310.0</v>
      </c>
      <c r="F756" s="87">
        <v>5.0</v>
      </c>
      <c r="G756" s="87">
        <v>1.0</v>
      </c>
      <c r="H756" s="87">
        <v>973.0</v>
      </c>
      <c r="I756" s="87">
        <v>211.0</v>
      </c>
      <c r="J756" s="87">
        <v>3.557226</v>
      </c>
      <c r="K756" s="87">
        <v>2.867193</v>
      </c>
      <c r="L756" s="87">
        <v>2.924957</v>
      </c>
      <c r="M756" s="87">
        <v>1.721052</v>
      </c>
      <c r="N756" s="87">
        <v>0.600257</v>
      </c>
      <c r="O756" s="87">
        <v>0.0</v>
      </c>
      <c r="P756" s="87">
        <v>0.033333</v>
      </c>
      <c r="Q756" s="87">
        <v>0.033333</v>
      </c>
      <c r="R756" s="87">
        <v>0.433333</v>
      </c>
      <c r="S756" s="87">
        <v>0.679475</v>
      </c>
      <c r="T756" s="87">
        <v>0.033333</v>
      </c>
      <c r="U756" s="87">
        <v>0.033333</v>
      </c>
      <c r="V756" s="87">
        <v>0.433333</v>
      </c>
      <c r="W756" s="87">
        <v>0.679475</v>
      </c>
      <c r="X756" s="87">
        <v>0.679475</v>
      </c>
      <c r="Y756" s="87">
        <v>0.573439</v>
      </c>
      <c r="Z756" s="87">
        <v>0.0</v>
      </c>
      <c r="AA756" s="87">
        <v>0.233333</v>
      </c>
      <c r="AB756" s="87">
        <v>0.126848</v>
      </c>
      <c r="AC756" s="87">
        <v>0.171045</v>
      </c>
      <c r="AD756" s="87">
        <v>0.481831</v>
      </c>
      <c r="AE756" s="87">
        <v>0.679475</v>
      </c>
      <c r="AF756" s="87">
        <v>2.178121</v>
      </c>
      <c r="AG756" s="87">
        <v>0.75</v>
      </c>
      <c r="AH756" s="87">
        <v>0.0</v>
      </c>
      <c r="AI756" s="87">
        <v>0.822372</v>
      </c>
      <c r="AJ756" s="87">
        <v>0.818295</v>
      </c>
      <c r="AK756" s="87">
        <v>0.399242</v>
      </c>
      <c r="AL756" s="88" t="s">
        <v>1396</v>
      </c>
    </row>
    <row r="757">
      <c r="A757" s="84" t="s">
        <v>2393</v>
      </c>
      <c r="B757" s="84" t="s">
        <v>2419</v>
      </c>
      <c r="C757" s="84" t="s">
        <v>458</v>
      </c>
      <c r="D757" s="84" t="s">
        <v>2417</v>
      </c>
      <c r="E757" s="84" t="s">
        <v>1413</v>
      </c>
      <c r="F757" s="87">
        <v>9.0</v>
      </c>
      <c r="G757" s="87">
        <v>2.0</v>
      </c>
      <c r="H757" s="87">
        <v>1993.0</v>
      </c>
      <c r="I757" s="87">
        <v>364.0</v>
      </c>
      <c r="J757" s="87">
        <v>1.892857</v>
      </c>
      <c r="K757" s="87">
        <v>1.539401</v>
      </c>
      <c r="L757" s="87">
        <v>2.221166</v>
      </c>
      <c r="M757" s="87">
        <v>0.839401</v>
      </c>
      <c r="N757" s="87">
        <v>0.545278</v>
      </c>
      <c r="O757" s="87">
        <v>0.0</v>
      </c>
      <c r="P757" s="87">
        <v>0.0</v>
      </c>
      <c r="Q757" s="87">
        <v>0.066667</v>
      </c>
      <c r="R757" s="87">
        <v>0.133333</v>
      </c>
      <c r="S757" s="87">
        <v>0.233333</v>
      </c>
      <c r="T757" s="87">
        <v>0.066667</v>
      </c>
      <c r="U757" s="87">
        <v>0.1</v>
      </c>
      <c r="V757" s="87">
        <v>0.133333</v>
      </c>
      <c r="W757" s="87">
        <v>0.166667</v>
      </c>
      <c r="X757" s="87">
        <v>0.233333</v>
      </c>
      <c r="Y757" s="87">
        <v>0.171045</v>
      </c>
      <c r="Z757" s="87">
        <v>0.0</v>
      </c>
      <c r="AA757" s="87">
        <v>0.233333</v>
      </c>
      <c r="AB757" s="87">
        <v>0.126848</v>
      </c>
      <c r="AC757" s="87">
        <v>0.171045</v>
      </c>
      <c r="AD757" s="87">
        <v>0.681233</v>
      </c>
      <c r="AE757" s="87">
        <v>1.264021</v>
      </c>
      <c r="AF757" s="87">
        <v>1.455046</v>
      </c>
      <c r="AG757" s="87">
        <v>0.989448</v>
      </c>
      <c r="AH757" s="87">
        <v>0.0</v>
      </c>
      <c r="AI757" s="87">
        <v>0.822372</v>
      </c>
      <c r="AJ757" s="87">
        <v>0.818295</v>
      </c>
      <c r="AK757" s="87">
        <v>0.399242</v>
      </c>
      <c r="AL757" s="88" t="s">
        <v>1396</v>
      </c>
    </row>
    <row r="758">
      <c r="A758" s="84" t="s">
        <v>2395</v>
      </c>
      <c r="B758" s="84" t="s">
        <v>2420</v>
      </c>
      <c r="C758" s="84" t="s">
        <v>458</v>
      </c>
      <c r="D758" s="84" t="s">
        <v>2417</v>
      </c>
      <c r="E758" s="84" t="s">
        <v>1398</v>
      </c>
      <c r="F758" s="87">
        <v>4.0</v>
      </c>
      <c r="G758" s="87">
        <v>1.0</v>
      </c>
      <c r="H758" s="87">
        <v>747.0</v>
      </c>
      <c r="I758" s="87">
        <v>198.0</v>
      </c>
      <c r="J758" s="87">
        <v>0.071429</v>
      </c>
      <c r="K758" s="87">
        <v>0.548925</v>
      </c>
      <c r="L758" s="87">
        <v>0.38306</v>
      </c>
      <c r="M758" s="87">
        <v>0.448925</v>
      </c>
      <c r="N758" s="87">
        <v>0.817826</v>
      </c>
      <c r="O758" s="87">
        <v>0.0</v>
      </c>
      <c r="P758" s="87">
        <v>0.0</v>
      </c>
      <c r="Q758" s="87">
        <v>0.0</v>
      </c>
      <c r="R758" s="87">
        <v>0.1</v>
      </c>
      <c r="S758" s="87">
        <v>0.1</v>
      </c>
      <c r="T758" s="87">
        <v>0.1</v>
      </c>
      <c r="U758" s="87">
        <v>0.1</v>
      </c>
      <c r="V758" s="87">
        <v>0.1</v>
      </c>
      <c r="W758" s="87">
        <v>0.448925</v>
      </c>
      <c r="X758" s="87">
        <v>0.448925</v>
      </c>
      <c r="Y758" s="87">
        <v>0.137231</v>
      </c>
      <c r="Z758" s="87">
        <v>0.0</v>
      </c>
      <c r="AA758" s="87">
        <v>0.233333</v>
      </c>
      <c r="AB758" s="87">
        <v>0.126848</v>
      </c>
      <c r="AC758" s="87">
        <v>0.171045</v>
      </c>
      <c r="AD758" s="87">
        <v>1.137793</v>
      </c>
      <c r="AE758" s="87">
        <v>1.219993</v>
      </c>
      <c r="AF758" s="87">
        <v>2.465241</v>
      </c>
      <c r="AG758" s="87">
        <v>2.0</v>
      </c>
      <c r="AH758" s="87">
        <v>0.0</v>
      </c>
      <c r="AI758" s="87">
        <v>0.822372</v>
      </c>
      <c r="AJ758" s="87">
        <v>0.818295</v>
      </c>
      <c r="AK758" s="87">
        <v>0.399242</v>
      </c>
      <c r="AL758" s="88" t="s">
        <v>1396</v>
      </c>
    </row>
    <row r="759">
      <c r="A759" s="84" t="s">
        <v>2381</v>
      </c>
      <c r="B759" s="84" t="s">
        <v>2421</v>
      </c>
      <c r="C759" s="84" t="s">
        <v>458</v>
      </c>
      <c r="D759" s="84" t="s">
        <v>2417</v>
      </c>
      <c r="E759" s="84" t="s">
        <v>1400</v>
      </c>
      <c r="F759" s="87">
        <v>9.0</v>
      </c>
      <c r="G759" s="87">
        <v>3.0</v>
      </c>
      <c r="H759" s="87">
        <v>1640.0</v>
      </c>
      <c r="I759" s="87">
        <v>610.0</v>
      </c>
      <c r="J759" s="87">
        <v>0.862637</v>
      </c>
      <c r="K759" s="87">
        <v>0.748768</v>
      </c>
      <c r="L759" s="87">
        <v>0.783537</v>
      </c>
      <c r="M759" s="87">
        <v>0.414286</v>
      </c>
      <c r="N759" s="87">
        <v>0.553289</v>
      </c>
      <c r="O759" s="87">
        <v>0.0</v>
      </c>
      <c r="P759" s="87">
        <v>0.0</v>
      </c>
      <c r="Q759" s="87">
        <v>0.0</v>
      </c>
      <c r="R759" s="87">
        <v>0.066667</v>
      </c>
      <c r="S759" s="87">
        <v>0.134483</v>
      </c>
      <c r="T759" s="87">
        <v>0.066667</v>
      </c>
      <c r="U759" s="87">
        <v>0.133333</v>
      </c>
      <c r="V759" s="87">
        <v>0.133333</v>
      </c>
      <c r="W759" s="87">
        <v>0.134483</v>
      </c>
      <c r="X759" s="87">
        <v>0.138095</v>
      </c>
      <c r="Y759" s="87">
        <v>0.083196</v>
      </c>
      <c r="Z759" s="87">
        <v>0.0</v>
      </c>
      <c r="AA759" s="87">
        <v>0.233333</v>
      </c>
      <c r="AB759" s="87">
        <v>0.126848</v>
      </c>
      <c r="AC759" s="87">
        <v>0.171045</v>
      </c>
      <c r="AD759" s="87">
        <v>0.251282</v>
      </c>
      <c r="AE759" s="87">
        <v>0.714516</v>
      </c>
      <c r="AF759" s="87">
        <v>0.916026</v>
      </c>
      <c r="AG759" s="87">
        <v>0.28564</v>
      </c>
      <c r="AH759" s="87">
        <v>0.0</v>
      </c>
      <c r="AI759" s="87">
        <v>0.822372</v>
      </c>
      <c r="AJ759" s="87">
        <v>0.818295</v>
      </c>
      <c r="AK759" s="87">
        <v>0.399242</v>
      </c>
      <c r="AL759" s="88" t="s">
        <v>1396</v>
      </c>
    </row>
    <row r="760">
      <c r="A760" s="84" t="s">
        <v>2398</v>
      </c>
      <c r="B760" s="84" t="s">
        <v>2422</v>
      </c>
      <c r="C760" s="84" t="s">
        <v>458</v>
      </c>
      <c r="D760" s="84" t="s">
        <v>2417</v>
      </c>
      <c r="E760" s="89">
        <v>46300.0</v>
      </c>
      <c r="F760" s="87">
        <v>1.0</v>
      </c>
      <c r="G760" s="87">
        <v>0.0</v>
      </c>
      <c r="H760" s="87">
        <v>248.0</v>
      </c>
      <c r="I760" s="87">
        <v>0.0</v>
      </c>
      <c r="J760" s="87">
        <v>0.285714</v>
      </c>
      <c r="K760" s="87">
        <v>0.431183</v>
      </c>
      <c r="L760" s="87">
        <v>0.632959</v>
      </c>
      <c r="M760" s="87">
        <v>0.431183</v>
      </c>
      <c r="N760" s="87">
        <v>1.0</v>
      </c>
      <c r="O760" s="87">
        <v>0.431183</v>
      </c>
      <c r="P760" s="87">
        <v>0.431183</v>
      </c>
      <c r="Q760" s="87">
        <v>0.431183</v>
      </c>
      <c r="R760" s="87">
        <v>0.431183</v>
      </c>
      <c r="S760" s="87">
        <v>0.431183</v>
      </c>
      <c r="T760" s="87">
        <v>0.431183</v>
      </c>
      <c r="U760" s="87">
        <v>0.431183</v>
      </c>
      <c r="V760" s="87">
        <v>0.431183</v>
      </c>
      <c r="W760" s="87">
        <v>0.431183</v>
      </c>
      <c r="X760" s="87">
        <v>0.431183</v>
      </c>
      <c r="Y760" s="87">
        <v>0.431183</v>
      </c>
      <c r="Z760" s="87">
        <v>0.0</v>
      </c>
      <c r="AA760" s="87">
        <v>0.233333</v>
      </c>
      <c r="AB760" s="87">
        <v>0.126848</v>
      </c>
      <c r="AC760" s="87">
        <v>0.171045</v>
      </c>
      <c r="AD760" s="87">
        <v>0.633333</v>
      </c>
      <c r="AE760" s="87">
        <v>0.767816</v>
      </c>
      <c r="AF760" s="87">
        <v>1.459706</v>
      </c>
      <c r="AG760" s="87">
        <v>0.903096</v>
      </c>
      <c r="AH760" s="87">
        <v>0.0</v>
      </c>
      <c r="AI760" s="87">
        <v>0.822372</v>
      </c>
      <c r="AJ760" s="87">
        <v>0.818295</v>
      </c>
      <c r="AK760" s="87">
        <v>0.399242</v>
      </c>
      <c r="AL760" s="88" t="s">
        <v>1396</v>
      </c>
    </row>
    <row r="761">
      <c r="A761" s="84" t="s">
        <v>2384</v>
      </c>
      <c r="B761" s="84" t="s">
        <v>2423</v>
      </c>
      <c r="C761" s="84" t="s">
        <v>458</v>
      </c>
      <c r="D761" s="84" t="s">
        <v>2417</v>
      </c>
      <c r="E761" s="84" t="s">
        <v>1403</v>
      </c>
      <c r="F761" s="87">
        <v>25.0</v>
      </c>
      <c r="G761" s="87">
        <v>0.0</v>
      </c>
      <c r="H761" s="87">
        <v>0.0</v>
      </c>
      <c r="I761" s="87">
        <v>0.0</v>
      </c>
      <c r="J761" s="87">
        <v>0.0</v>
      </c>
      <c r="K761" s="87">
        <v>0.0</v>
      </c>
      <c r="L761" s="87">
        <v>0.0</v>
      </c>
      <c r="M761" s="87">
        <v>0.0</v>
      </c>
      <c r="N761" s="87">
        <v>0.0</v>
      </c>
      <c r="O761" s="87">
        <v>0.0</v>
      </c>
      <c r="P761" s="87">
        <v>0.0</v>
      </c>
      <c r="Q761" s="87">
        <v>0.0</v>
      </c>
      <c r="R761" s="87">
        <v>0.0</v>
      </c>
      <c r="S761" s="87">
        <v>0.0</v>
      </c>
      <c r="T761" s="87">
        <v>0.0</v>
      </c>
      <c r="U761" s="87">
        <v>0.0</v>
      </c>
      <c r="V761" s="87">
        <v>0.0</v>
      </c>
      <c r="W761" s="87">
        <v>0.0</v>
      </c>
      <c r="X761" s="87">
        <v>0.0</v>
      </c>
      <c r="Y761" s="87">
        <v>0.0</v>
      </c>
      <c r="Z761" s="87">
        <v>0.0</v>
      </c>
      <c r="AA761" s="87">
        <v>0.233333</v>
      </c>
      <c r="AB761" s="87">
        <v>0.126848</v>
      </c>
      <c r="AC761" s="87">
        <v>0.171045</v>
      </c>
      <c r="AD761" s="87">
        <v>0.0</v>
      </c>
      <c r="AE761" s="87">
        <v>0.0</v>
      </c>
      <c r="AF761" s="87">
        <v>0.0</v>
      </c>
      <c r="AG761" s="87">
        <v>0.0</v>
      </c>
      <c r="AH761" s="87">
        <v>0.0</v>
      </c>
      <c r="AI761" s="87">
        <v>0.822372</v>
      </c>
      <c r="AJ761" s="87">
        <v>0.818295</v>
      </c>
      <c r="AK761" s="87">
        <v>0.399242</v>
      </c>
      <c r="AL761" s="88" t="s">
        <v>1396</v>
      </c>
    </row>
    <row r="762">
      <c r="A762" s="84" t="s">
        <v>2384</v>
      </c>
      <c r="B762" s="84" t="s">
        <v>2424</v>
      </c>
      <c r="C762" s="84" t="s">
        <v>458</v>
      </c>
      <c r="D762" s="84" t="s">
        <v>2425</v>
      </c>
      <c r="E762" s="84" t="s">
        <v>1403</v>
      </c>
      <c r="F762" s="87">
        <v>1.0</v>
      </c>
      <c r="G762" s="87">
        <v>0.0</v>
      </c>
      <c r="H762" s="87">
        <v>0.0</v>
      </c>
      <c r="I762" s="87">
        <v>0.0</v>
      </c>
      <c r="J762" s="87">
        <v>0.0</v>
      </c>
      <c r="K762" s="87">
        <v>0.0</v>
      </c>
      <c r="L762" s="87">
        <v>0.0</v>
      </c>
      <c r="M762" s="87">
        <v>0.0</v>
      </c>
      <c r="N762" s="87">
        <v>0.0</v>
      </c>
      <c r="O762" s="87">
        <v>0.0</v>
      </c>
      <c r="P762" s="87">
        <v>0.0</v>
      </c>
      <c r="Q762" s="87">
        <v>0.0</v>
      </c>
      <c r="R762" s="87">
        <v>0.0</v>
      </c>
      <c r="S762" s="87">
        <v>0.0</v>
      </c>
      <c r="T762" s="87">
        <v>0.0</v>
      </c>
      <c r="U762" s="87">
        <v>0.0</v>
      </c>
      <c r="V762" s="87">
        <v>0.0</v>
      </c>
      <c r="W762" s="87">
        <v>0.0</v>
      </c>
      <c r="X762" s="87">
        <v>0.0</v>
      </c>
      <c r="Y762" s="87">
        <v>0.0</v>
      </c>
      <c r="Z762" s="87">
        <v>0.0</v>
      </c>
      <c r="AA762" s="87">
        <v>0.733333</v>
      </c>
      <c r="AB762" s="87">
        <v>0.166765</v>
      </c>
      <c r="AC762" s="87">
        <v>0.554762</v>
      </c>
      <c r="AD762" s="87">
        <v>0.0</v>
      </c>
      <c r="AE762" s="87">
        <v>0.0</v>
      </c>
      <c r="AF762" s="87">
        <v>0.0</v>
      </c>
      <c r="AG762" s="87">
        <v>0.0</v>
      </c>
      <c r="AH762" s="87">
        <v>0.0</v>
      </c>
      <c r="AI762" s="87">
        <v>0.822372</v>
      </c>
      <c r="AJ762" s="87">
        <v>0.818295</v>
      </c>
      <c r="AK762" s="87">
        <v>0.399242</v>
      </c>
      <c r="AL762" s="88" t="s">
        <v>1396</v>
      </c>
    </row>
    <row r="763">
      <c r="A763" s="84" t="s">
        <v>2381</v>
      </c>
      <c r="B763" s="84" t="s">
        <v>2426</v>
      </c>
      <c r="C763" s="84" t="s">
        <v>458</v>
      </c>
      <c r="D763" s="84" t="s">
        <v>2427</v>
      </c>
      <c r="E763" s="84" t="s">
        <v>1400</v>
      </c>
      <c r="F763" s="87">
        <v>1.0</v>
      </c>
      <c r="G763" s="87">
        <v>0.0</v>
      </c>
      <c r="H763" s="87">
        <v>0.0</v>
      </c>
      <c r="I763" s="87">
        <v>0.0</v>
      </c>
      <c r="J763" s="87">
        <v>0.0</v>
      </c>
      <c r="K763" s="87">
        <v>0.0</v>
      </c>
      <c r="L763" s="87">
        <v>0.149573</v>
      </c>
      <c r="M763" s="87">
        <v>0.0</v>
      </c>
      <c r="N763" s="87">
        <v>0.0</v>
      </c>
      <c r="O763" s="87">
        <v>0.0</v>
      </c>
      <c r="P763" s="87">
        <v>0.0</v>
      </c>
      <c r="Q763" s="87">
        <v>0.0</v>
      </c>
      <c r="R763" s="87">
        <v>0.0</v>
      </c>
      <c r="S763" s="87">
        <v>0.0</v>
      </c>
      <c r="T763" s="87">
        <v>0.0</v>
      </c>
      <c r="U763" s="87">
        <v>0.0</v>
      </c>
      <c r="V763" s="87">
        <v>0.0</v>
      </c>
      <c r="W763" s="87">
        <v>0.0</v>
      </c>
      <c r="X763" s="87">
        <v>0.0</v>
      </c>
      <c r="Y763" s="87">
        <v>0.0</v>
      </c>
      <c r="Z763" s="87">
        <v>0.0</v>
      </c>
      <c r="AA763" s="87">
        <v>0.0</v>
      </c>
      <c r="AB763" s="87">
        <v>0.0</v>
      </c>
      <c r="AC763" s="87">
        <v>0.0</v>
      </c>
      <c r="AD763" s="87">
        <v>0.251282</v>
      </c>
      <c r="AE763" s="87">
        <v>0.714516</v>
      </c>
      <c r="AF763" s="87">
        <v>0.916026</v>
      </c>
      <c r="AG763" s="87">
        <v>0.28564</v>
      </c>
      <c r="AH763" s="87">
        <v>0.0</v>
      </c>
      <c r="AI763" s="87">
        <v>0.822372</v>
      </c>
      <c r="AJ763" s="87">
        <v>0.818295</v>
      </c>
      <c r="AK763" s="87">
        <v>0.399242</v>
      </c>
      <c r="AL763" s="88" t="s">
        <v>1396</v>
      </c>
    </row>
    <row r="764">
      <c r="A764" s="84" t="s">
        <v>2384</v>
      </c>
      <c r="B764" s="84" t="s">
        <v>2428</v>
      </c>
      <c r="C764" s="84" t="s">
        <v>458</v>
      </c>
      <c r="D764" s="84" t="s">
        <v>2427</v>
      </c>
      <c r="E764" s="84" t="s">
        <v>1403</v>
      </c>
      <c r="F764" s="87">
        <v>1.0</v>
      </c>
      <c r="G764" s="87">
        <v>0.0</v>
      </c>
      <c r="H764" s="87">
        <v>0.0</v>
      </c>
      <c r="I764" s="87">
        <v>0.0</v>
      </c>
      <c r="J764" s="87">
        <v>0.0</v>
      </c>
      <c r="K764" s="87">
        <v>0.0</v>
      </c>
      <c r="L764" s="87">
        <v>0.0</v>
      </c>
      <c r="M764" s="87">
        <v>0.0</v>
      </c>
      <c r="N764" s="87">
        <v>0.0</v>
      </c>
      <c r="O764" s="87">
        <v>0.0</v>
      </c>
      <c r="P764" s="87">
        <v>0.0</v>
      </c>
      <c r="Q764" s="87">
        <v>0.0</v>
      </c>
      <c r="R764" s="87">
        <v>0.0</v>
      </c>
      <c r="S764" s="87">
        <v>0.0</v>
      </c>
      <c r="T764" s="87">
        <v>0.0</v>
      </c>
      <c r="U764" s="87">
        <v>0.0</v>
      </c>
      <c r="V764" s="87">
        <v>0.0</v>
      </c>
      <c r="W764" s="87">
        <v>0.0</v>
      </c>
      <c r="X764" s="87">
        <v>0.0</v>
      </c>
      <c r="Y764" s="87">
        <v>0.0</v>
      </c>
      <c r="Z764" s="87">
        <v>0.0</v>
      </c>
      <c r="AA764" s="87">
        <v>0.0</v>
      </c>
      <c r="AB764" s="87">
        <v>0.0</v>
      </c>
      <c r="AC764" s="87">
        <v>0.0</v>
      </c>
      <c r="AD764" s="87">
        <v>0.0</v>
      </c>
      <c r="AE764" s="87">
        <v>0.0</v>
      </c>
      <c r="AF764" s="87">
        <v>0.0</v>
      </c>
      <c r="AG764" s="87">
        <v>0.0</v>
      </c>
      <c r="AH764" s="87">
        <v>0.0</v>
      </c>
      <c r="AI764" s="87">
        <v>0.822372</v>
      </c>
      <c r="AJ764" s="87">
        <v>0.818295</v>
      </c>
      <c r="AK764" s="87">
        <v>0.399242</v>
      </c>
      <c r="AL764" s="88" t="s">
        <v>1396</v>
      </c>
    </row>
    <row r="765">
      <c r="A765" s="84" t="s">
        <v>2389</v>
      </c>
      <c r="B765" s="84" t="s">
        <v>2429</v>
      </c>
      <c r="C765" s="84" t="s">
        <v>458</v>
      </c>
      <c r="D765" s="84" t="s">
        <v>2430</v>
      </c>
      <c r="E765" s="84" t="s">
        <v>1426</v>
      </c>
      <c r="F765" s="87">
        <v>2.0</v>
      </c>
      <c r="G765" s="87">
        <v>0.0</v>
      </c>
      <c r="H765" s="87">
        <v>4385.0</v>
      </c>
      <c r="I765" s="87">
        <v>0.0</v>
      </c>
      <c r="J765" s="87">
        <v>41.50427</v>
      </c>
      <c r="K765" s="87">
        <v>44.89671</v>
      </c>
      <c r="L765" s="87">
        <v>45.86428</v>
      </c>
      <c r="M765" s="87">
        <v>44.89671</v>
      </c>
      <c r="N765" s="87">
        <v>1.0</v>
      </c>
      <c r="O765" s="87">
        <v>0.0</v>
      </c>
      <c r="P765" s="87">
        <v>0.0</v>
      </c>
      <c r="Q765" s="87">
        <v>0.0</v>
      </c>
      <c r="R765" s="87">
        <v>44.89671</v>
      </c>
      <c r="S765" s="87">
        <v>44.89671</v>
      </c>
      <c r="T765" s="87">
        <v>44.89671</v>
      </c>
      <c r="U765" s="87">
        <v>44.89671</v>
      </c>
      <c r="V765" s="87">
        <v>44.89671</v>
      </c>
      <c r="W765" s="87">
        <v>44.89671</v>
      </c>
      <c r="X765" s="87">
        <v>44.89671</v>
      </c>
      <c r="Y765" s="87">
        <v>22.44836</v>
      </c>
      <c r="Z765" s="87">
        <v>0.0</v>
      </c>
      <c r="AA765" s="87">
        <v>4.910586</v>
      </c>
      <c r="AB765" s="87">
        <v>2.576323</v>
      </c>
      <c r="AC765" s="87">
        <v>3.964497</v>
      </c>
      <c r="AD765" s="87">
        <v>1.083234</v>
      </c>
      <c r="AE765" s="87">
        <v>1.534944</v>
      </c>
      <c r="AF765" s="87">
        <v>4.488549</v>
      </c>
      <c r="AG765" s="87">
        <v>1.083234</v>
      </c>
      <c r="AH765" s="87">
        <v>0.0</v>
      </c>
      <c r="AI765" s="87">
        <v>0.822372</v>
      </c>
      <c r="AJ765" s="87">
        <v>0.818295</v>
      </c>
      <c r="AK765" s="87">
        <v>0.399242</v>
      </c>
      <c r="AL765" s="88" t="s">
        <v>1396</v>
      </c>
    </row>
    <row r="766">
      <c r="A766" s="84" t="s">
        <v>2391</v>
      </c>
      <c r="B766" s="84" t="s">
        <v>2431</v>
      </c>
      <c r="C766" s="84" t="s">
        <v>458</v>
      </c>
      <c r="D766" s="84" t="s">
        <v>2430</v>
      </c>
      <c r="E766" s="89">
        <v>46310.0</v>
      </c>
      <c r="F766" s="87">
        <v>3.0</v>
      </c>
      <c r="G766" s="87">
        <v>0.0</v>
      </c>
      <c r="H766" s="87">
        <v>3076.0</v>
      </c>
      <c r="I766" s="87">
        <v>0.0</v>
      </c>
      <c r="J766" s="87">
        <v>34.51002</v>
      </c>
      <c r="K766" s="87">
        <v>35.48576</v>
      </c>
      <c r="L766" s="87">
        <v>34.9142</v>
      </c>
      <c r="M766" s="87">
        <v>19.4292</v>
      </c>
      <c r="N766" s="87">
        <v>0.547521</v>
      </c>
      <c r="O766" s="87">
        <v>2.38519</v>
      </c>
      <c r="P766" s="87">
        <v>2.38519</v>
      </c>
      <c r="Q766" s="87">
        <v>2.38519</v>
      </c>
      <c r="R766" s="87">
        <v>13.67137</v>
      </c>
      <c r="S766" s="87">
        <v>19.4292</v>
      </c>
      <c r="T766" s="87">
        <v>2.38519</v>
      </c>
      <c r="U766" s="87">
        <v>2.38519</v>
      </c>
      <c r="V766" s="87">
        <v>2.38519</v>
      </c>
      <c r="W766" s="87">
        <v>13.67137</v>
      </c>
      <c r="X766" s="87">
        <v>19.4292</v>
      </c>
      <c r="Y766" s="87">
        <v>11.82859</v>
      </c>
      <c r="Z766" s="87">
        <v>0.0</v>
      </c>
      <c r="AA766" s="87">
        <v>4.910586</v>
      </c>
      <c r="AB766" s="87">
        <v>2.576323</v>
      </c>
      <c r="AC766" s="87">
        <v>3.964497</v>
      </c>
      <c r="AD766" s="87">
        <v>0.481831</v>
      </c>
      <c r="AE766" s="87">
        <v>0.679475</v>
      </c>
      <c r="AF766" s="87">
        <v>2.178121</v>
      </c>
      <c r="AG766" s="87">
        <v>0.75</v>
      </c>
      <c r="AH766" s="87">
        <v>0.0</v>
      </c>
      <c r="AI766" s="87">
        <v>0.822372</v>
      </c>
      <c r="AJ766" s="87">
        <v>0.818295</v>
      </c>
      <c r="AK766" s="87">
        <v>0.399242</v>
      </c>
      <c r="AL766" s="88" t="s">
        <v>1396</v>
      </c>
    </row>
    <row r="767">
      <c r="A767" s="84" t="s">
        <v>2393</v>
      </c>
      <c r="B767" s="84" t="s">
        <v>2432</v>
      </c>
      <c r="C767" s="84" t="s">
        <v>458</v>
      </c>
      <c r="D767" s="84" t="s">
        <v>2430</v>
      </c>
      <c r="E767" s="84" t="s">
        <v>1413</v>
      </c>
      <c r="F767" s="87">
        <v>3.0</v>
      </c>
      <c r="G767" s="87">
        <v>0.0</v>
      </c>
      <c r="H767" s="87">
        <v>1475.0</v>
      </c>
      <c r="I767" s="87">
        <v>0.0</v>
      </c>
      <c r="J767" s="87">
        <v>12.31998</v>
      </c>
      <c r="K767" s="87">
        <v>11.89349</v>
      </c>
      <c r="L767" s="87">
        <v>12.9459</v>
      </c>
      <c r="M767" s="87">
        <v>4.910586</v>
      </c>
      <c r="N767" s="87">
        <v>0.41288</v>
      </c>
      <c r="O767" s="87">
        <v>2.471774</v>
      </c>
      <c r="P767" s="87">
        <v>2.471774</v>
      </c>
      <c r="Q767" s="87">
        <v>2.471774</v>
      </c>
      <c r="R767" s="87">
        <v>4.511131</v>
      </c>
      <c r="S767" s="87">
        <v>4.910586</v>
      </c>
      <c r="T767" s="87">
        <v>2.471774</v>
      </c>
      <c r="U767" s="87">
        <v>2.471774</v>
      </c>
      <c r="V767" s="87">
        <v>2.471774</v>
      </c>
      <c r="W767" s="87">
        <v>4.511131</v>
      </c>
      <c r="X767" s="87">
        <v>4.910586</v>
      </c>
      <c r="Y767" s="87">
        <v>3.964497</v>
      </c>
      <c r="Z767" s="87">
        <v>0.0</v>
      </c>
      <c r="AA767" s="87">
        <v>4.910586</v>
      </c>
      <c r="AB767" s="87">
        <v>2.576323</v>
      </c>
      <c r="AC767" s="87">
        <v>3.964497</v>
      </c>
      <c r="AD767" s="87">
        <v>0.681233</v>
      </c>
      <c r="AE767" s="87">
        <v>1.264021</v>
      </c>
      <c r="AF767" s="87">
        <v>1.455046</v>
      </c>
      <c r="AG767" s="87">
        <v>0.989448</v>
      </c>
      <c r="AH767" s="87">
        <v>0.0</v>
      </c>
      <c r="AI767" s="87">
        <v>0.822372</v>
      </c>
      <c r="AJ767" s="87">
        <v>0.818295</v>
      </c>
      <c r="AK767" s="87">
        <v>0.399242</v>
      </c>
      <c r="AL767" s="88" t="s">
        <v>1396</v>
      </c>
    </row>
    <row r="768">
      <c r="A768" s="84" t="s">
        <v>2381</v>
      </c>
      <c r="B768" s="84" t="s">
        <v>2433</v>
      </c>
      <c r="C768" s="84" t="s">
        <v>458</v>
      </c>
      <c r="D768" s="84" t="s">
        <v>2430</v>
      </c>
      <c r="E768" s="84" t="s">
        <v>1400</v>
      </c>
      <c r="F768" s="87">
        <v>7.0</v>
      </c>
      <c r="G768" s="87">
        <v>0.0</v>
      </c>
      <c r="H768" s="87">
        <v>1644.0</v>
      </c>
      <c r="I768" s="87">
        <v>0.0</v>
      </c>
      <c r="J768" s="87">
        <v>12.34073</v>
      </c>
      <c r="K768" s="87">
        <v>13.35329</v>
      </c>
      <c r="L768" s="87">
        <v>15.42876</v>
      </c>
      <c r="M768" s="87">
        <v>10.85347</v>
      </c>
      <c r="N768" s="87">
        <v>0.812794</v>
      </c>
      <c r="O768" s="87">
        <v>0.0</v>
      </c>
      <c r="P768" s="87">
        <v>0.0</v>
      </c>
      <c r="Q768" s="87">
        <v>0.0</v>
      </c>
      <c r="R768" s="87">
        <v>0.0</v>
      </c>
      <c r="S768" s="87">
        <v>2.499816</v>
      </c>
      <c r="T768" s="87">
        <v>2.499816</v>
      </c>
      <c r="U768" s="87">
        <v>2.499816</v>
      </c>
      <c r="V768" s="87">
        <v>2.499816</v>
      </c>
      <c r="W768" s="87">
        <v>3.938316</v>
      </c>
      <c r="X768" s="87">
        <v>6.915154</v>
      </c>
      <c r="Y768" s="87">
        <v>1.907612</v>
      </c>
      <c r="Z768" s="87">
        <v>0.0</v>
      </c>
      <c r="AA768" s="87">
        <v>4.910586</v>
      </c>
      <c r="AB768" s="87">
        <v>2.576323</v>
      </c>
      <c r="AC768" s="87">
        <v>3.964497</v>
      </c>
      <c r="AD768" s="87">
        <v>0.251282</v>
      </c>
      <c r="AE768" s="87">
        <v>0.714516</v>
      </c>
      <c r="AF768" s="87">
        <v>0.916026</v>
      </c>
      <c r="AG768" s="87">
        <v>0.28564</v>
      </c>
      <c r="AH768" s="87">
        <v>0.0</v>
      </c>
      <c r="AI768" s="87">
        <v>0.822372</v>
      </c>
      <c r="AJ768" s="87">
        <v>0.818295</v>
      </c>
      <c r="AK768" s="87">
        <v>0.399242</v>
      </c>
      <c r="AL768" s="88" t="s">
        <v>1396</v>
      </c>
    </row>
    <row r="769">
      <c r="A769" s="84" t="s">
        <v>2384</v>
      </c>
      <c r="B769" s="84" t="s">
        <v>2434</v>
      </c>
      <c r="C769" s="84" t="s">
        <v>458</v>
      </c>
      <c r="D769" s="84" t="s">
        <v>2430</v>
      </c>
      <c r="E769" s="84" t="s">
        <v>1403</v>
      </c>
      <c r="F769" s="87">
        <v>26.0</v>
      </c>
      <c r="G769" s="87">
        <v>0.0</v>
      </c>
      <c r="H769" s="87">
        <v>0.0</v>
      </c>
      <c r="I769" s="87">
        <v>0.0</v>
      </c>
      <c r="J769" s="87">
        <v>0.0</v>
      </c>
      <c r="K769" s="87">
        <v>0.0</v>
      </c>
      <c r="L769" s="87">
        <v>0.0</v>
      </c>
      <c r="M769" s="87">
        <v>0.0</v>
      </c>
      <c r="N769" s="87">
        <v>0.0</v>
      </c>
      <c r="O769" s="87">
        <v>0.0</v>
      </c>
      <c r="P769" s="87">
        <v>0.0</v>
      </c>
      <c r="Q769" s="87">
        <v>0.0</v>
      </c>
      <c r="R769" s="87">
        <v>0.0</v>
      </c>
      <c r="S769" s="87">
        <v>0.0</v>
      </c>
      <c r="T769" s="87">
        <v>0.0</v>
      </c>
      <c r="U769" s="87">
        <v>0.0</v>
      </c>
      <c r="V769" s="87">
        <v>0.0</v>
      </c>
      <c r="W769" s="87">
        <v>0.0</v>
      </c>
      <c r="X769" s="87">
        <v>0.0</v>
      </c>
      <c r="Y769" s="87">
        <v>0.0</v>
      </c>
      <c r="Z769" s="87">
        <v>0.0</v>
      </c>
      <c r="AA769" s="87">
        <v>4.910586</v>
      </c>
      <c r="AB769" s="87">
        <v>2.576323</v>
      </c>
      <c r="AC769" s="87">
        <v>3.964497</v>
      </c>
      <c r="AD769" s="87">
        <v>0.0</v>
      </c>
      <c r="AE769" s="87">
        <v>0.0</v>
      </c>
      <c r="AF769" s="87">
        <v>0.0</v>
      </c>
      <c r="AG769" s="87">
        <v>0.0</v>
      </c>
      <c r="AH769" s="87">
        <v>0.0</v>
      </c>
      <c r="AI769" s="87">
        <v>0.822372</v>
      </c>
      <c r="AJ769" s="87">
        <v>0.818295</v>
      </c>
      <c r="AK769" s="87">
        <v>0.399242</v>
      </c>
      <c r="AL769" s="88" t="s">
        <v>1396</v>
      </c>
    </row>
    <row r="770">
      <c r="A770" s="84" t="s">
        <v>2389</v>
      </c>
      <c r="B770" s="84" t="s">
        <v>2435</v>
      </c>
      <c r="C770" s="84" t="s">
        <v>458</v>
      </c>
      <c r="D770" s="84" t="s">
        <v>459</v>
      </c>
      <c r="E770" s="84" t="s">
        <v>1426</v>
      </c>
      <c r="F770" s="87">
        <v>7.0</v>
      </c>
      <c r="G770" s="87">
        <v>0.0</v>
      </c>
      <c r="H770" s="87">
        <v>3800.0</v>
      </c>
      <c r="I770" s="87">
        <v>0.0</v>
      </c>
      <c r="J770" s="87">
        <v>32.14822</v>
      </c>
      <c r="K770" s="87">
        <v>33.10967</v>
      </c>
      <c r="L770" s="87">
        <v>32.42805</v>
      </c>
      <c r="M770" s="87">
        <v>26.3135</v>
      </c>
      <c r="N770" s="87">
        <v>0.794738</v>
      </c>
      <c r="O770" s="87">
        <v>0.0</v>
      </c>
      <c r="P770" s="87">
        <v>0.0</v>
      </c>
      <c r="Q770" s="87">
        <v>0.1</v>
      </c>
      <c r="R770" s="87">
        <v>1.534944</v>
      </c>
      <c r="S770" s="87">
        <v>5.161225</v>
      </c>
      <c r="T770" s="87">
        <v>0.1</v>
      </c>
      <c r="U770" s="87">
        <v>1.534944</v>
      </c>
      <c r="V770" s="87">
        <v>1.534944</v>
      </c>
      <c r="W770" s="87">
        <v>5.161225</v>
      </c>
      <c r="X770" s="87">
        <v>6.060445</v>
      </c>
      <c r="Y770" s="87">
        <v>4.729952</v>
      </c>
      <c r="Z770" s="87">
        <v>0.0</v>
      </c>
      <c r="AA770" s="87">
        <v>0.681233</v>
      </c>
      <c r="AB770" s="87">
        <v>0.740115</v>
      </c>
      <c r="AC770" s="87">
        <v>0.989448</v>
      </c>
      <c r="AD770" s="87">
        <v>1.083234</v>
      </c>
      <c r="AE770" s="87">
        <v>1.534944</v>
      </c>
      <c r="AF770" s="87">
        <v>4.488549</v>
      </c>
      <c r="AG770" s="87">
        <v>1.083234</v>
      </c>
      <c r="AH770" s="87">
        <v>0.0</v>
      </c>
      <c r="AI770" s="87">
        <v>0.822372</v>
      </c>
      <c r="AJ770" s="87">
        <v>0.818295</v>
      </c>
      <c r="AK770" s="87">
        <v>0.399242</v>
      </c>
      <c r="AL770" s="88" t="s">
        <v>1396</v>
      </c>
    </row>
    <row r="771">
      <c r="A771" s="84" t="s">
        <v>2391</v>
      </c>
      <c r="B771" s="84" t="s">
        <v>2436</v>
      </c>
      <c r="C771" s="84" t="s">
        <v>458</v>
      </c>
      <c r="D771" s="84" t="s">
        <v>459</v>
      </c>
      <c r="E771" s="86">
        <v>46310.0</v>
      </c>
      <c r="F771" s="87">
        <v>9.0</v>
      </c>
      <c r="G771" s="87">
        <v>0.0</v>
      </c>
      <c r="H771" s="87">
        <v>1164.0</v>
      </c>
      <c r="I771" s="87">
        <v>0.0</v>
      </c>
      <c r="J771" s="87">
        <v>2.944755</v>
      </c>
      <c r="K771" s="87">
        <v>2.665325</v>
      </c>
      <c r="L771" s="87">
        <v>2.916804</v>
      </c>
      <c r="M771" s="87">
        <v>1.854652</v>
      </c>
      <c r="N771" s="87">
        <v>0.695845</v>
      </c>
      <c r="O771" s="87">
        <v>0.0</v>
      </c>
      <c r="P771" s="87">
        <v>0.0</v>
      </c>
      <c r="Q771" s="87">
        <v>0.0</v>
      </c>
      <c r="R771" s="87">
        <v>0.142857</v>
      </c>
      <c r="S771" s="87">
        <v>0.301149</v>
      </c>
      <c r="T771" s="87">
        <v>0.066667</v>
      </c>
      <c r="U771" s="87">
        <v>0.142857</v>
      </c>
      <c r="V771" s="87">
        <v>0.142857</v>
      </c>
      <c r="W771" s="87">
        <v>0.301149</v>
      </c>
      <c r="X771" s="87">
        <v>0.545128</v>
      </c>
      <c r="Y771" s="87">
        <v>0.296147</v>
      </c>
      <c r="Z771" s="87">
        <v>0.0</v>
      </c>
      <c r="AA771" s="87">
        <v>0.681233</v>
      </c>
      <c r="AB771" s="87">
        <v>0.740115</v>
      </c>
      <c r="AC771" s="87">
        <v>0.989448</v>
      </c>
      <c r="AD771" s="87">
        <v>0.481831</v>
      </c>
      <c r="AE771" s="87">
        <v>0.679475</v>
      </c>
      <c r="AF771" s="87">
        <v>2.178121</v>
      </c>
      <c r="AG771" s="87">
        <v>0.75</v>
      </c>
      <c r="AH771" s="87">
        <v>0.0</v>
      </c>
      <c r="AI771" s="87">
        <v>0.822372</v>
      </c>
      <c r="AJ771" s="87">
        <v>0.818295</v>
      </c>
      <c r="AK771" s="87">
        <v>0.399242</v>
      </c>
      <c r="AL771" s="88" t="s">
        <v>1396</v>
      </c>
    </row>
    <row r="772">
      <c r="A772" s="84" t="s">
        <v>2393</v>
      </c>
      <c r="B772" s="84" t="s">
        <v>2437</v>
      </c>
      <c r="C772" s="84" t="s">
        <v>458</v>
      </c>
      <c r="D772" s="84" t="s">
        <v>459</v>
      </c>
      <c r="E772" s="84" t="s">
        <v>1413</v>
      </c>
      <c r="F772" s="87">
        <v>14.0</v>
      </c>
      <c r="G772" s="87">
        <v>0.0</v>
      </c>
      <c r="H772" s="87">
        <v>2982.0</v>
      </c>
      <c r="I772" s="87">
        <v>0.0</v>
      </c>
      <c r="J772" s="87">
        <v>16.30016</v>
      </c>
      <c r="K772" s="87">
        <v>13.85227</v>
      </c>
      <c r="L772" s="87">
        <v>14.62076</v>
      </c>
      <c r="M772" s="87">
        <v>7.193229</v>
      </c>
      <c r="N772" s="87">
        <v>0.519282</v>
      </c>
      <c r="O772" s="87">
        <v>0.264516</v>
      </c>
      <c r="P772" s="87">
        <v>0.298925</v>
      </c>
      <c r="Q772" s="87">
        <v>0.34418</v>
      </c>
      <c r="R772" s="87">
        <v>0.681233</v>
      </c>
      <c r="S772" s="87">
        <v>1.307834</v>
      </c>
      <c r="T772" s="87">
        <v>0.298925</v>
      </c>
      <c r="U772" s="87">
        <v>0.309524</v>
      </c>
      <c r="V772" s="87">
        <v>0.34418</v>
      </c>
      <c r="W772" s="87">
        <v>0.681233</v>
      </c>
      <c r="X772" s="87">
        <v>1.473443</v>
      </c>
      <c r="Y772" s="87">
        <v>0.989448</v>
      </c>
      <c r="Z772" s="87">
        <v>0.0</v>
      </c>
      <c r="AA772" s="87">
        <v>0.681233</v>
      </c>
      <c r="AB772" s="87">
        <v>0.740115</v>
      </c>
      <c r="AC772" s="87">
        <v>0.989448</v>
      </c>
      <c r="AD772" s="87">
        <v>0.681233</v>
      </c>
      <c r="AE772" s="87">
        <v>1.264021</v>
      </c>
      <c r="AF772" s="87">
        <v>1.455046</v>
      </c>
      <c r="AG772" s="87">
        <v>0.989448</v>
      </c>
      <c r="AH772" s="87">
        <v>0.0</v>
      </c>
      <c r="AI772" s="87">
        <v>0.822372</v>
      </c>
      <c r="AJ772" s="87">
        <v>0.818295</v>
      </c>
      <c r="AK772" s="87">
        <v>0.399242</v>
      </c>
      <c r="AL772" s="88" t="s">
        <v>1396</v>
      </c>
    </row>
    <row r="773">
      <c r="A773" s="84" t="s">
        <v>2395</v>
      </c>
      <c r="B773" s="84" t="s">
        <v>2438</v>
      </c>
      <c r="C773" s="84" t="s">
        <v>458</v>
      </c>
      <c r="D773" s="84" t="s">
        <v>459</v>
      </c>
      <c r="E773" s="84" t="s">
        <v>1398</v>
      </c>
      <c r="F773" s="87">
        <v>11.0</v>
      </c>
      <c r="G773" s="87">
        <v>1.0</v>
      </c>
      <c r="H773" s="87">
        <v>2348.0</v>
      </c>
      <c r="I773" s="87">
        <v>95.0</v>
      </c>
      <c r="J773" s="87">
        <v>14.25583</v>
      </c>
      <c r="K773" s="87">
        <v>13.09965</v>
      </c>
      <c r="L773" s="87">
        <v>12.57551</v>
      </c>
      <c r="M773" s="87">
        <v>9.1854</v>
      </c>
      <c r="N773" s="87">
        <v>0.701194</v>
      </c>
      <c r="O773" s="87">
        <v>0.0</v>
      </c>
      <c r="P773" s="87">
        <v>0.066667</v>
      </c>
      <c r="Q773" s="87">
        <v>0.1</v>
      </c>
      <c r="R773" s="87">
        <v>0.998925</v>
      </c>
      <c r="S773" s="87">
        <v>1.168001</v>
      </c>
      <c r="T773" s="87">
        <v>0.066667</v>
      </c>
      <c r="U773" s="87">
        <v>0.1</v>
      </c>
      <c r="V773" s="87">
        <v>0.442866</v>
      </c>
      <c r="W773" s="87">
        <v>1.137793</v>
      </c>
      <c r="X773" s="87">
        <v>2.047512</v>
      </c>
      <c r="Y773" s="87">
        <v>1.190877</v>
      </c>
      <c r="Z773" s="87">
        <v>0.0</v>
      </c>
      <c r="AA773" s="87">
        <v>0.681233</v>
      </c>
      <c r="AB773" s="87">
        <v>0.740115</v>
      </c>
      <c r="AC773" s="87">
        <v>0.989448</v>
      </c>
      <c r="AD773" s="87">
        <v>1.137793</v>
      </c>
      <c r="AE773" s="87">
        <v>1.219993</v>
      </c>
      <c r="AF773" s="87">
        <v>2.465241</v>
      </c>
      <c r="AG773" s="87">
        <v>2.0</v>
      </c>
      <c r="AH773" s="87">
        <v>0.0</v>
      </c>
      <c r="AI773" s="87">
        <v>0.822372</v>
      </c>
      <c r="AJ773" s="87">
        <v>0.818295</v>
      </c>
      <c r="AK773" s="87">
        <v>0.399242</v>
      </c>
      <c r="AL773" s="88" t="s">
        <v>1396</v>
      </c>
    </row>
    <row r="774">
      <c r="A774" s="84" t="s">
        <v>2381</v>
      </c>
      <c r="B774" s="84" t="s">
        <v>2439</v>
      </c>
      <c r="C774" s="84" t="s">
        <v>458</v>
      </c>
      <c r="D774" s="84" t="s">
        <v>459</v>
      </c>
      <c r="E774" s="84" t="s">
        <v>1400</v>
      </c>
      <c r="F774" s="87">
        <v>16.0</v>
      </c>
      <c r="G774" s="87">
        <v>1.0</v>
      </c>
      <c r="H774" s="87">
        <v>2566.0</v>
      </c>
      <c r="I774" s="87">
        <v>141.0</v>
      </c>
      <c r="J774" s="87">
        <v>8.337346</v>
      </c>
      <c r="K774" s="87">
        <v>9.006985</v>
      </c>
      <c r="L774" s="87">
        <v>8.953023</v>
      </c>
      <c r="M774" s="87">
        <v>6.681624</v>
      </c>
      <c r="N774" s="87">
        <v>0.741827</v>
      </c>
      <c r="O774" s="87">
        <v>0.0</v>
      </c>
      <c r="P774" s="87">
        <v>0.033333</v>
      </c>
      <c r="Q774" s="87">
        <v>0.073333</v>
      </c>
      <c r="R774" s="87">
        <v>0.3</v>
      </c>
      <c r="S774" s="87">
        <v>0.514641</v>
      </c>
      <c r="T774" s="87">
        <v>0.033333</v>
      </c>
      <c r="U774" s="87">
        <v>0.073333</v>
      </c>
      <c r="V774" s="87">
        <v>0.205128</v>
      </c>
      <c r="W774" s="87">
        <v>0.3</v>
      </c>
      <c r="X774" s="87">
        <v>0.514641</v>
      </c>
      <c r="Y774" s="87">
        <v>0.562937</v>
      </c>
      <c r="Z774" s="87">
        <v>0.0</v>
      </c>
      <c r="AA774" s="87">
        <v>0.681233</v>
      </c>
      <c r="AB774" s="87">
        <v>0.740115</v>
      </c>
      <c r="AC774" s="87">
        <v>0.989448</v>
      </c>
      <c r="AD774" s="87">
        <v>0.251282</v>
      </c>
      <c r="AE774" s="87">
        <v>0.714516</v>
      </c>
      <c r="AF774" s="87">
        <v>0.916026</v>
      </c>
      <c r="AG774" s="87">
        <v>0.28564</v>
      </c>
      <c r="AH774" s="87">
        <v>0.0</v>
      </c>
      <c r="AI774" s="87">
        <v>0.822372</v>
      </c>
      <c r="AJ774" s="87">
        <v>0.818295</v>
      </c>
      <c r="AK774" s="87">
        <v>0.399242</v>
      </c>
      <c r="AL774" s="88" t="s">
        <v>1396</v>
      </c>
    </row>
    <row r="775">
      <c r="A775" s="84" t="s">
        <v>2398</v>
      </c>
      <c r="B775" s="84" t="s">
        <v>2440</v>
      </c>
      <c r="C775" s="84" t="s">
        <v>458</v>
      </c>
      <c r="D775" s="84" t="s">
        <v>459</v>
      </c>
      <c r="E775" s="89">
        <v>46300.0</v>
      </c>
      <c r="F775" s="87">
        <v>12.0</v>
      </c>
      <c r="G775" s="87">
        <v>0.0</v>
      </c>
      <c r="H775" s="87">
        <v>3709.0</v>
      </c>
      <c r="I775" s="87">
        <v>0.0</v>
      </c>
      <c r="J775" s="87">
        <v>26.31818</v>
      </c>
      <c r="K775" s="87">
        <v>25.96126</v>
      </c>
      <c r="L775" s="87">
        <v>24.35668</v>
      </c>
      <c r="M775" s="87">
        <v>20.76227</v>
      </c>
      <c r="N775" s="87">
        <v>0.79974</v>
      </c>
      <c r="O775" s="87">
        <v>0.0</v>
      </c>
      <c r="P775" s="87">
        <v>0.0</v>
      </c>
      <c r="Q775" s="87">
        <v>0.214286</v>
      </c>
      <c r="R775" s="87">
        <v>1.036593</v>
      </c>
      <c r="S775" s="87">
        <v>1.490708</v>
      </c>
      <c r="T775" s="87">
        <v>0.214286</v>
      </c>
      <c r="U775" s="87">
        <v>0.56574</v>
      </c>
      <c r="V775" s="87">
        <v>0.691667</v>
      </c>
      <c r="W775" s="87">
        <v>1.2</v>
      </c>
      <c r="X775" s="87">
        <v>4.248211</v>
      </c>
      <c r="Y775" s="87">
        <v>2.163438</v>
      </c>
      <c r="Z775" s="87">
        <v>0.0</v>
      </c>
      <c r="AA775" s="87">
        <v>0.681233</v>
      </c>
      <c r="AB775" s="87">
        <v>0.740115</v>
      </c>
      <c r="AC775" s="87">
        <v>0.989448</v>
      </c>
      <c r="AD775" s="87">
        <v>0.633333</v>
      </c>
      <c r="AE775" s="87">
        <v>0.767816</v>
      </c>
      <c r="AF775" s="87">
        <v>1.459706</v>
      </c>
      <c r="AG775" s="87">
        <v>0.903096</v>
      </c>
      <c r="AH775" s="87">
        <v>0.0</v>
      </c>
      <c r="AI775" s="87">
        <v>0.822372</v>
      </c>
      <c r="AJ775" s="87">
        <v>0.818295</v>
      </c>
      <c r="AK775" s="87">
        <v>0.399242</v>
      </c>
      <c r="AL775" s="88" t="s">
        <v>1396</v>
      </c>
    </row>
    <row r="776">
      <c r="A776" s="84" t="s">
        <v>2384</v>
      </c>
      <c r="B776" s="84" t="s">
        <v>2441</v>
      </c>
      <c r="C776" s="84" t="s">
        <v>458</v>
      </c>
      <c r="D776" s="84" t="s">
        <v>459</v>
      </c>
      <c r="E776" s="84" t="s">
        <v>1403</v>
      </c>
      <c r="F776" s="87">
        <v>63.0</v>
      </c>
      <c r="G776" s="87">
        <v>1.0</v>
      </c>
      <c r="H776" s="87">
        <v>184.0</v>
      </c>
      <c r="I776" s="87">
        <v>184.0</v>
      </c>
      <c r="J776" s="87">
        <v>0.0</v>
      </c>
      <c r="K776" s="87">
        <v>0.0</v>
      </c>
      <c r="L776" s="87">
        <v>0.0</v>
      </c>
      <c r="M776" s="87">
        <v>0.0</v>
      </c>
      <c r="N776" s="87">
        <v>0.0</v>
      </c>
      <c r="O776" s="87">
        <v>0.0</v>
      </c>
      <c r="P776" s="87">
        <v>0.0</v>
      </c>
      <c r="Q776" s="87">
        <v>0.0</v>
      </c>
      <c r="R776" s="87">
        <v>0.0</v>
      </c>
      <c r="S776" s="87">
        <v>0.0</v>
      </c>
      <c r="T776" s="87">
        <v>0.0</v>
      </c>
      <c r="U776" s="87">
        <v>0.0</v>
      </c>
      <c r="V776" s="87">
        <v>0.0</v>
      </c>
      <c r="W776" s="87">
        <v>0.0</v>
      </c>
      <c r="X776" s="87">
        <v>0.0</v>
      </c>
      <c r="Y776" s="87">
        <v>0.0</v>
      </c>
      <c r="Z776" s="87">
        <v>0.0</v>
      </c>
      <c r="AA776" s="87">
        <v>0.681233</v>
      </c>
      <c r="AB776" s="87">
        <v>0.740115</v>
      </c>
      <c r="AC776" s="87">
        <v>0.989448</v>
      </c>
      <c r="AD776" s="87">
        <v>0.0</v>
      </c>
      <c r="AE776" s="87">
        <v>0.0</v>
      </c>
      <c r="AF776" s="87">
        <v>0.0</v>
      </c>
      <c r="AG776" s="87">
        <v>0.0</v>
      </c>
      <c r="AH776" s="87">
        <v>0.0</v>
      </c>
      <c r="AI776" s="87">
        <v>0.822372</v>
      </c>
      <c r="AJ776" s="87">
        <v>0.818295</v>
      </c>
      <c r="AK776" s="87">
        <v>0.399242</v>
      </c>
      <c r="AL776" s="88" t="s">
        <v>1396</v>
      </c>
    </row>
    <row r="777">
      <c r="A777" s="84" t="s">
        <v>2391</v>
      </c>
      <c r="B777" s="84" t="s">
        <v>2442</v>
      </c>
      <c r="C777" s="84" t="s">
        <v>458</v>
      </c>
      <c r="D777" s="84" t="s">
        <v>2443</v>
      </c>
      <c r="E777" s="86">
        <v>46310.0</v>
      </c>
      <c r="F777" s="87">
        <v>2.0</v>
      </c>
      <c r="G777" s="87">
        <v>0.0</v>
      </c>
      <c r="H777" s="87">
        <v>0.0</v>
      </c>
      <c r="I777" s="87">
        <v>0.0</v>
      </c>
      <c r="J777" s="87">
        <v>0.0</v>
      </c>
      <c r="K777" s="87">
        <v>1.5</v>
      </c>
      <c r="L777" s="87">
        <v>0.317992</v>
      </c>
      <c r="M777" s="87">
        <v>1.5</v>
      </c>
      <c r="N777" s="87">
        <v>1.0</v>
      </c>
      <c r="O777" s="87">
        <v>0.0</v>
      </c>
      <c r="P777" s="87">
        <v>0.0</v>
      </c>
      <c r="Q777" s="87">
        <v>0.0</v>
      </c>
      <c r="R777" s="87">
        <v>1.5</v>
      </c>
      <c r="S777" s="87">
        <v>1.5</v>
      </c>
      <c r="T777" s="87">
        <v>1.5</v>
      </c>
      <c r="U777" s="87">
        <v>1.5</v>
      </c>
      <c r="V777" s="87">
        <v>1.5</v>
      </c>
      <c r="W777" s="87">
        <v>1.5</v>
      </c>
      <c r="X777" s="87">
        <v>1.5</v>
      </c>
      <c r="Y777" s="87">
        <v>0.75</v>
      </c>
      <c r="Z777" s="87">
        <v>0.090536</v>
      </c>
      <c r="AA777" s="87">
        <v>0.647375</v>
      </c>
      <c r="AB777" s="87">
        <v>0.494174</v>
      </c>
      <c r="AC777" s="87">
        <v>0.75</v>
      </c>
      <c r="AD777" s="87">
        <v>0.481831</v>
      </c>
      <c r="AE777" s="87">
        <v>0.679475</v>
      </c>
      <c r="AF777" s="87">
        <v>2.178121</v>
      </c>
      <c r="AG777" s="87">
        <v>0.75</v>
      </c>
      <c r="AH777" s="87">
        <v>0.0</v>
      </c>
      <c r="AI777" s="87">
        <v>0.822372</v>
      </c>
      <c r="AJ777" s="87">
        <v>0.818295</v>
      </c>
      <c r="AK777" s="87">
        <v>0.399242</v>
      </c>
      <c r="AL777" s="88" t="s">
        <v>1396</v>
      </c>
    </row>
    <row r="778">
      <c r="A778" s="84" t="s">
        <v>2393</v>
      </c>
      <c r="B778" s="84" t="s">
        <v>2444</v>
      </c>
      <c r="C778" s="84" t="s">
        <v>458</v>
      </c>
      <c r="D778" s="84" t="s">
        <v>2443</v>
      </c>
      <c r="E778" s="84" t="s">
        <v>1413</v>
      </c>
      <c r="F778" s="87">
        <v>1.0</v>
      </c>
      <c r="G778" s="87">
        <v>0.0</v>
      </c>
      <c r="H778" s="87">
        <v>0.0</v>
      </c>
      <c r="I778" s="87">
        <v>0.0</v>
      </c>
      <c r="J778" s="87">
        <v>0.0</v>
      </c>
      <c r="K778" s="87">
        <v>0.0</v>
      </c>
      <c r="L778" s="87">
        <v>0.0</v>
      </c>
      <c r="M778" s="87">
        <v>0.0</v>
      </c>
      <c r="N778" s="87">
        <v>0.0</v>
      </c>
      <c r="O778" s="87">
        <v>0.0</v>
      </c>
      <c r="P778" s="87">
        <v>0.0</v>
      </c>
      <c r="Q778" s="87">
        <v>0.0</v>
      </c>
      <c r="R778" s="87">
        <v>0.0</v>
      </c>
      <c r="S778" s="87">
        <v>0.0</v>
      </c>
      <c r="T778" s="87">
        <v>0.0</v>
      </c>
      <c r="U778" s="87">
        <v>0.0</v>
      </c>
      <c r="V778" s="87">
        <v>0.0</v>
      </c>
      <c r="W778" s="87">
        <v>0.0</v>
      </c>
      <c r="X778" s="87">
        <v>0.0</v>
      </c>
      <c r="Y778" s="87">
        <v>0.0</v>
      </c>
      <c r="Z778" s="87">
        <v>0.090536</v>
      </c>
      <c r="AA778" s="87">
        <v>0.647375</v>
      </c>
      <c r="AB778" s="87">
        <v>0.494174</v>
      </c>
      <c r="AC778" s="87">
        <v>0.75</v>
      </c>
      <c r="AD778" s="87">
        <v>0.681233</v>
      </c>
      <c r="AE778" s="87">
        <v>1.264021</v>
      </c>
      <c r="AF778" s="87">
        <v>1.455046</v>
      </c>
      <c r="AG778" s="87">
        <v>0.989448</v>
      </c>
      <c r="AH778" s="87">
        <v>0.0</v>
      </c>
      <c r="AI778" s="87">
        <v>0.822372</v>
      </c>
      <c r="AJ778" s="87">
        <v>0.818295</v>
      </c>
      <c r="AK778" s="87">
        <v>0.399242</v>
      </c>
      <c r="AL778" s="88" t="s">
        <v>1396</v>
      </c>
    </row>
    <row r="779">
      <c r="A779" s="84" t="s">
        <v>2395</v>
      </c>
      <c r="B779" s="84" t="s">
        <v>2445</v>
      </c>
      <c r="C779" s="84" t="s">
        <v>458</v>
      </c>
      <c r="D779" s="84" t="s">
        <v>2443</v>
      </c>
      <c r="E779" s="84" t="s">
        <v>1398</v>
      </c>
      <c r="F779" s="87">
        <v>1.0</v>
      </c>
      <c r="G779" s="87">
        <v>0.0</v>
      </c>
      <c r="H779" s="87">
        <v>338.0</v>
      </c>
      <c r="I779" s="87">
        <v>0.0</v>
      </c>
      <c r="J779" s="87">
        <v>3.272727</v>
      </c>
      <c r="K779" s="87">
        <v>3.26213</v>
      </c>
      <c r="L779" s="87">
        <v>2.881782</v>
      </c>
      <c r="M779" s="87">
        <v>3.26213</v>
      </c>
      <c r="N779" s="87">
        <v>1.0</v>
      </c>
      <c r="O779" s="87">
        <v>3.26213</v>
      </c>
      <c r="P779" s="87">
        <v>3.26213</v>
      </c>
      <c r="Q779" s="87">
        <v>3.26213</v>
      </c>
      <c r="R779" s="87">
        <v>3.26213</v>
      </c>
      <c r="S779" s="87">
        <v>3.26213</v>
      </c>
      <c r="T779" s="87">
        <v>3.26213</v>
      </c>
      <c r="U779" s="87">
        <v>3.26213</v>
      </c>
      <c r="V779" s="87">
        <v>3.26213</v>
      </c>
      <c r="W779" s="87">
        <v>3.26213</v>
      </c>
      <c r="X779" s="87">
        <v>3.26213</v>
      </c>
      <c r="Y779" s="87">
        <v>3.26213</v>
      </c>
      <c r="Z779" s="87">
        <v>0.090536</v>
      </c>
      <c r="AA779" s="87">
        <v>0.647375</v>
      </c>
      <c r="AB779" s="87">
        <v>0.494174</v>
      </c>
      <c r="AC779" s="87">
        <v>0.75</v>
      </c>
      <c r="AD779" s="87">
        <v>1.137793</v>
      </c>
      <c r="AE779" s="87">
        <v>1.219993</v>
      </c>
      <c r="AF779" s="87">
        <v>2.465241</v>
      </c>
      <c r="AG779" s="87">
        <v>2.0</v>
      </c>
      <c r="AH779" s="87">
        <v>0.0</v>
      </c>
      <c r="AI779" s="87">
        <v>0.822372</v>
      </c>
      <c r="AJ779" s="87">
        <v>0.818295</v>
      </c>
      <c r="AK779" s="87">
        <v>0.399242</v>
      </c>
      <c r="AL779" s="88" t="s">
        <v>1396</v>
      </c>
    </row>
    <row r="780">
      <c r="A780" s="84" t="s">
        <v>2398</v>
      </c>
      <c r="B780" s="84" t="s">
        <v>2446</v>
      </c>
      <c r="C780" s="84" t="s">
        <v>458</v>
      </c>
      <c r="D780" s="84" t="s">
        <v>2443</v>
      </c>
      <c r="E780" s="89">
        <v>46300.0</v>
      </c>
      <c r="F780" s="87">
        <v>43.0</v>
      </c>
      <c r="G780" s="87">
        <v>0.0</v>
      </c>
      <c r="H780" s="87">
        <v>11007.0</v>
      </c>
      <c r="I780" s="87">
        <v>0.0</v>
      </c>
      <c r="J780" s="87">
        <v>27.23501</v>
      </c>
      <c r="K780" s="87">
        <v>28.51681</v>
      </c>
      <c r="L780" s="87">
        <v>29.09424</v>
      </c>
      <c r="M780" s="87">
        <v>12.54089</v>
      </c>
      <c r="N780" s="87">
        <v>0.439772</v>
      </c>
      <c r="O780" s="87">
        <v>0.165591</v>
      </c>
      <c r="P780" s="87">
        <v>0.265591</v>
      </c>
      <c r="Q780" s="87">
        <v>0.297849</v>
      </c>
      <c r="R780" s="87">
        <v>0.563124</v>
      </c>
      <c r="S780" s="87">
        <v>0.802299</v>
      </c>
      <c r="T780" s="87">
        <v>0.2</v>
      </c>
      <c r="U780" s="87">
        <v>0.266667</v>
      </c>
      <c r="V780" s="87">
        <v>0.3</v>
      </c>
      <c r="W780" s="87">
        <v>0.593298</v>
      </c>
      <c r="X780" s="87">
        <v>0.802299</v>
      </c>
      <c r="Y780" s="87">
        <v>0.663182</v>
      </c>
      <c r="Z780" s="87">
        <v>0.090536</v>
      </c>
      <c r="AA780" s="87">
        <v>0.647375</v>
      </c>
      <c r="AB780" s="87">
        <v>0.494174</v>
      </c>
      <c r="AC780" s="87">
        <v>0.75</v>
      </c>
      <c r="AD780" s="87">
        <v>0.633333</v>
      </c>
      <c r="AE780" s="87">
        <v>0.767816</v>
      </c>
      <c r="AF780" s="87">
        <v>1.459706</v>
      </c>
      <c r="AG780" s="87">
        <v>0.903096</v>
      </c>
      <c r="AH780" s="87">
        <v>0.0</v>
      </c>
      <c r="AI780" s="87">
        <v>0.822372</v>
      </c>
      <c r="AJ780" s="87">
        <v>0.818295</v>
      </c>
      <c r="AK780" s="87">
        <v>0.399242</v>
      </c>
      <c r="AL780" s="88" t="s">
        <v>1396</v>
      </c>
    </row>
    <row r="781">
      <c r="A781" s="84" t="s">
        <v>2384</v>
      </c>
      <c r="B781" s="84" t="s">
        <v>2447</v>
      </c>
      <c r="C781" s="84" t="s">
        <v>458</v>
      </c>
      <c r="D781" s="84" t="s">
        <v>2443</v>
      </c>
      <c r="E781" s="84" t="s">
        <v>1403</v>
      </c>
      <c r="F781" s="87">
        <v>13.0</v>
      </c>
      <c r="G781" s="87">
        <v>0.0</v>
      </c>
      <c r="H781" s="87">
        <v>0.0</v>
      </c>
      <c r="I781" s="87">
        <v>0.0</v>
      </c>
      <c r="J781" s="87">
        <v>0.0</v>
      </c>
      <c r="K781" s="87">
        <v>0.0</v>
      </c>
      <c r="L781" s="87">
        <v>0.0</v>
      </c>
      <c r="M781" s="87">
        <v>0.0</v>
      </c>
      <c r="N781" s="87">
        <v>0.0</v>
      </c>
      <c r="O781" s="87">
        <v>0.0</v>
      </c>
      <c r="P781" s="87">
        <v>0.0</v>
      </c>
      <c r="Q781" s="87">
        <v>0.0</v>
      </c>
      <c r="R781" s="87">
        <v>0.0</v>
      </c>
      <c r="S781" s="87">
        <v>0.0</v>
      </c>
      <c r="T781" s="87">
        <v>0.0</v>
      </c>
      <c r="U781" s="87">
        <v>0.0</v>
      </c>
      <c r="V781" s="87">
        <v>0.0</v>
      </c>
      <c r="W781" s="87">
        <v>0.0</v>
      </c>
      <c r="X781" s="87">
        <v>0.0</v>
      </c>
      <c r="Y781" s="87">
        <v>0.0</v>
      </c>
      <c r="Z781" s="87">
        <v>0.090536</v>
      </c>
      <c r="AA781" s="87">
        <v>0.647375</v>
      </c>
      <c r="AB781" s="87">
        <v>0.494174</v>
      </c>
      <c r="AC781" s="87">
        <v>0.75</v>
      </c>
      <c r="AD781" s="87">
        <v>0.0</v>
      </c>
      <c r="AE781" s="87">
        <v>0.0</v>
      </c>
      <c r="AF781" s="87">
        <v>0.0</v>
      </c>
      <c r="AG781" s="87">
        <v>0.0</v>
      </c>
      <c r="AH781" s="87">
        <v>0.0</v>
      </c>
      <c r="AI781" s="87">
        <v>0.822372</v>
      </c>
      <c r="AJ781" s="87">
        <v>0.818295</v>
      </c>
      <c r="AK781" s="87">
        <v>0.399242</v>
      </c>
      <c r="AL781" s="88" t="s">
        <v>1396</v>
      </c>
    </row>
    <row r="782">
      <c r="A782" s="84" t="s">
        <v>2391</v>
      </c>
      <c r="B782" s="84" t="s">
        <v>1887</v>
      </c>
      <c r="C782" s="84" t="s">
        <v>458</v>
      </c>
      <c r="D782" s="84" t="s">
        <v>1886</v>
      </c>
      <c r="E782" s="89">
        <v>46310.0</v>
      </c>
      <c r="F782" s="87">
        <v>1.0</v>
      </c>
      <c r="G782" s="87">
        <v>0.0</v>
      </c>
      <c r="H782" s="87">
        <v>2033.0</v>
      </c>
      <c r="I782" s="87">
        <v>0.0</v>
      </c>
      <c r="J782" s="87">
        <v>7.146653</v>
      </c>
      <c r="K782" s="87">
        <v>7.246906</v>
      </c>
      <c r="L782" s="87">
        <v>8.777258</v>
      </c>
      <c r="M782" s="87">
        <v>0.0</v>
      </c>
      <c r="N782" s="87">
        <v>0.0</v>
      </c>
      <c r="O782" s="87">
        <v>7.246906</v>
      </c>
      <c r="P782" s="87">
        <v>7.246906</v>
      </c>
      <c r="Q782" s="87">
        <v>7.246906</v>
      </c>
      <c r="R782" s="87">
        <v>7.246906</v>
      </c>
      <c r="S782" s="87">
        <v>7.246906</v>
      </c>
      <c r="T782" s="87">
        <v>7.246906</v>
      </c>
      <c r="U782" s="87">
        <v>7.246906</v>
      </c>
      <c r="V782" s="87">
        <v>7.246906</v>
      </c>
      <c r="W782" s="87">
        <v>7.246906</v>
      </c>
      <c r="X782" s="87">
        <v>7.246906</v>
      </c>
      <c r="Y782" s="87">
        <v>7.246906</v>
      </c>
      <c r="Z782" s="87">
        <v>0.233333</v>
      </c>
      <c r="AA782" s="87">
        <v>2.679797</v>
      </c>
      <c r="AB782" s="87">
        <v>1.900014</v>
      </c>
      <c r="AC782" s="87">
        <v>1.990346</v>
      </c>
      <c r="AD782" s="87">
        <v>0.481831</v>
      </c>
      <c r="AE782" s="87">
        <v>0.679475</v>
      </c>
      <c r="AF782" s="87">
        <v>2.178121</v>
      </c>
      <c r="AG782" s="87">
        <v>0.75</v>
      </c>
      <c r="AH782" s="87">
        <v>0.0</v>
      </c>
      <c r="AI782" s="87">
        <v>0.822372</v>
      </c>
      <c r="AJ782" s="87">
        <v>0.818295</v>
      </c>
      <c r="AK782" s="87">
        <v>0.399242</v>
      </c>
      <c r="AL782" s="88" t="s">
        <v>1396</v>
      </c>
    </row>
    <row r="783">
      <c r="A783" s="84" t="s">
        <v>2389</v>
      </c>
      <c r="B783" s="84" t="s">
        <v>2448</v>
      </c>
      <c r="C783" s="84" t="s">
        <v>458</v>
      </c>
      <c r="D783" s="84" t="s">
        <v>1135</v>
      </c>
      <c r="E783" s="84" t="s">
        <v>1426</v>
      </c>
      <c r="F783" s="87">
        <v>5.0</v>
      </c>
      <c r="G783" s="87">
        <v>0.0</v>
      </c>
      <c r="H783" s="87">
        <v>4995.0</v>
      </c>
      <c r="I783" s="87">
        <v>0.0</v>
      </c>
      <c r="J783" s="87">
        <v>2.582418</v>
      </c>
      <c r="K783" s="87">
        <v>5.097948</v>
      </c>
      <c r="L783" s="87">
        <v>8.713537</v>
      </c>
      <c r="M783" s="87">
        <v>4.401174</v>
      </c>
      <c r="N783" s="87">
        <v>0.863323</v>
      </c>
      <c r="O783" s="87">
        <v>0.0</v>
      </c>
      <c r="P783" s="87">
        <v>0.696774</v>
      </c>
      <c r="Q783" s="87">
        <v>0.696774</v>
      </c>
      <c r="R783" s="87">
        <v>1.281959</v>
      </c>
      <c r="S783" s="87">
        <v>1.2834</v>
      </c>
      <c r="T783" s="87">
        <v>0.696774</v>
      </c>
      <c r="U783" s="87">
        <v>0.696774</v>
      </c>
      <c r="V783" s="87">
        <v>1.281959</v>
      </c>
      <c r="W783" s="87">
        <v>1.2834</v>
      </c>
      <c r="X783" s="87">
        <v>1.2834</v>
      </c>
      <c r="Y783" s="87">
        <v>1.01959</v>
      </c>
      <c r="Z783" s="87">
        <v>0.0</v>
      </c>
      <c r="AA783" s="87">
        <v>0.778993</v>
      </c>
      <c r="AB783" s="87">
        <v>0.270118</v>
      </c>
      <c r="AC783" s="87">
        <v>0.672438</v>
      </c>
      <c r="AD783" s="87">
        <v>1.083234</v>
      </c>
      <c r="AE783" s="87">
        <v>1.534944</v>
      </c>
      <c r="AF783" s="87">
        <v>4.488549</v>
      </c>
      <c r="AG783" s="87">
        <v>1.083234</v>
      </c>
      <c r="AH783" s="87">
        <v>0.0</v>
      </c>
      <c r="AI783" s="87">
        <v>0.822372</v>
      </c>
      <c r="AJ783" s="87">
        <v>0.818295</v>
      </c>
      <c r="AK783" s="87">
        <v>0.399242</v>
      </c>
      <c r="AL783" s="88" t="s">
        <v>1396</v>
      </c>
    </row>
    <row r="784">
      <c r="A784" s="84" t="s">
        <v>2391</v>
      </c>
      <c r="B784" s="84" t="s">
        <v>2449</v>
      </c>
      <c r="C784" s="84" t="s">
        <v>458</v>
      </c>
      <c r="D784" s="84" t="s">
        <v>1135</v>
      </c>
      <c r="E784" s="86">
        <v>46310.0</v>
      </c>
      <c r="F784" s="87">
        <v>2.0</v>
      </c>
      <c r="G784" s="87">
        <v>0.0</v>
      </c>
      <c r="H784" s="87">
        <v>291.0</v>
      </c>
      <c r="I784" s="87">
        <v>0.0</v>
      </c>
      <c r="J784" s="87">
        <v>0.071429</v>
      </c>
      <c r="K784" s="87">
        <v>0.798485</v>
      </c>
      <c r="L784" s="87">
        <v>17.4737</v>
      </c>
      <c r="M784" s="87">
        <v>0.0</v>
      </c>
      <c r="N784" s="87">
        <v>0.0</v>
      </c>
      <c r="O784" s="87">
        <v>0.033333</v>
      </c>
      <c r="P784" s="87">
        <v>0.033333</v>
      </c>
      <c r="Q784" s="87">
        <v>0.033333</v>
      </c>
      <c r="R784" s="87">
        <v>0.765152</v>
      </c>
      <c r="S784" s="87">
        <v>0.765152</v>
      </c>
      <c r="T784" s="87">
        <v>0.033333</v>
      </c>
      <c r="U784" s="87">
        <v>0.033333</v>
      </c>
      <c r="V784" s="87">
        <v>0.033333</v>
      </c>
      <c r="W784" s="87">
        <v>0.765152</v>
      </c>
      <c r="X784" s="87">
        <v>0.765152</v>
      </c>
      <c r="Y784" s="87">
        <v>0.399242</v>
      </c>
      <c r="Z784" s="87">
        <v>0.0</v>
      </c>
      <c r="AA784" s="87">
        <v>0.778993</v>
      </c>
      <c r="AB784" s="87">
        <v>0.270118</v>
      </c>
      <c r="AC784" s="87">
        <v>0.672438</v>
      </c>
      <c r="AD784" s="87">
        <v>0.481831</v>
      </c>
      <c r="AE784" s="87">
        <v>0.679475</v>
      </c>
      <c r="AF784" s="87">
        <v>2.178121</v>
      </c>
      <c r="AG784" s="87">
        <v>0.75</v>
      </c>
      <c r="AH784" s="87">
        <v>0.0</v>
      </c>
      <c r="AI784" s="87">
        <v>0.822372</v>
      </c>
      <c r="AJ784" s="87">
        <v>0.818295</v>
      </c>
      <c r="AK784" s="87">
        <v>0.399242</v>
      </c>
      <c r="AL784" s="88" t="s">
        <v>1396</v>
      </c>
    </row>
    <row r="785">
      <c r="A785" s="84" t="s">
        <v>2393</v>
      </c>
      <c r="B785" s="84" t="s">
        <v>2450</v>
      </c>
      <c r="C785" s="84" t="s">
        <v>458</v>
      </c>
      <c r="D785" s="84" t="s">
        <v>1135</v>
      </c>
      <c r="E785" s="84" t="s">
        <v>1413</v>
      </c>
      <c r="F785" s="87">
        <v>1.0</v>
      </c>
      <c r="G785" s="87">
        <v>0.0</v>
      </c>
      <c r="H785" s="87">
        <v>430.0</v>
      </c>
      <c r="I785" s="87">
        <v>0.0</v>
      </c>
      <c r="J785" s="87">
        <v>0.571429</v>
      </c>
      <c r="K785" s="87">
        <v>0.4</v>
      </c>
      <c r="L785" s="87">
        <v>0.952639</v>
      </c>
      <c r="M785" s="87">
        <v>0.0</v>
      </c>
      <c r="N785" s="87">
        <v>0.0</v>
      </c>
      <c r="O785" s="87">
        <v>0.4</v>
      </c>
      <c r="P785" s="87">
        <v>0.4</v>
      </c>
      <c r="Q785" s="87">
        <v>0.4</v>
      </c>
      <c r="R785" s="87">
        <v>0.4</v>
      </c>
      <c r="S785" s="87">
        <v>0.4</v>
      </c>
      <c r="T785" s="87">
        <v>0.4</v>
      </c>
      <c r="U785" s="87">
        <v>0.4</v>
      </c>
      <c r="V785" s="87">
        <v>0.4</v>
      </c>
      <c r="W785" s="87">
        <v>0.4</v>
      </c>
      <c r="X785" s="87">
        <v>0.4</v>
      </c>
      <c r="Y785" s="87">
        <v>0.4</v>
      </c>
      <c r="Z785" s="87">
        <v>0.0</v>
      </c>
      <c r="AA785" s="87">
        <v>0.778993</v>
      </c>
      <c r="AB785" s="87">
        <v>0.270118</v>
      </c>
      <c r="AC785" s="87">
        <v>0.672438</v>
      </c>
      <c r="AD785" s="87">
        <v>0.681233</v>
      </c>
      <c r="AE785" s="87">
        <v>1.264021</v>
      </c>
      <c r="AF785" s="87">
        <v>1.455046</v>
      </c>
      <c r="AG785" s="87">
        <v>0.989448</v>
      </c>
      <c r="AH785" s="87">
        <v>0.0</v>
      </c>
      <c r="AI785" s="87">
        <v>0.822372</v>
      </c>
      <c r="AJ785" s="87">
        <v>0.818295</v>
      </c>
      <c r="AK785" s="87">
        <v>0.399242</v>
      </c>
      <c r="AL785" s="88" t="s">
        <v>1396</v>
      </c>
    </row>
    <row r="786">
      <c r="A786" s="84" t="s">
        <v>2395</v>
      </c>
      <c r="B786" s="84" t="s">
        <v>2451</v>
      </c>
      <c r="C786" s="84" t="s">
        <v>458</v>
      </c>
      <c r="D786" s="84" t="s">
        <v>1135</v>
      </c>
      <c r="E786" s="84" t="s">
        <v>1398</v>
      </c>
      <c r="F786" s="87">
        <v>1.0</v>
      </c>
      <c r="G786" s="87">
        <v>0.0</v>
      </c>
      <c r="H786" s="87">
        <v>0.0</v>
      </c>
      <c r="I786" s="87">
        <v>0.0</v>
      </c>
      <c r="J786" s="87">
        <v>0.0</v>
      </c>
      <c r="K786" s="87">
        <v>2.0</v>
      </c>
      <c r="L786" s="87">
        <v>0.51348</v>
      </c>
      <c r="M786" s="87">
        <v>0.0</v>
      </c>
      <c r="N786" s="87">
        <v>0.0</v>
      </c>
      <c r="O786" s="87">
        <v>2.0</v>
      </c>
      <c r="P786" s="87">
        <v>2.0</v>
      </c>
      <c r="Q786" s="87">
        <v>2.0</v>
      </c>
      <c r="R786" s="87">
        <v>2.0</v>
      </c>
      <c r="S786" s="87">
        <v>2.0</v>
      </c>
      <c r="T786" s="87">
        <v>2.0</v>
      </c>
      <c r="U786" s="87">
        <v>2.0</v>
      </c>
      <c r="V786" s="87">
        <v>2.0</v>
      </c>
      <c r="W786" s="87">
        <v>2.0</v>
      </c>
      <c r="X786" s="87">
        <v>2.0</v>
      </c>
      <c r="Y786" s="87">
        <v>2.0</v>
      </c>
      <c r="Z786" s="87">
        <v>0.0</v>
      </c>
      <c r="AA786" s="87">
        <v>0.778993</v>
      </c>
      <c r="AB786" s="87">
        <v>0.270118</v>
      </c>
      <c r="AC786" s="87">
        <v>0.672438</v>
      </c>
      <c r="AD786" s="87">
        <v>1.137793</v>
      </c>
      <c r="AE786" s="87">
        <v>1.219993</v>
      </c>
      <c r="AF786" s="87">
        <v>2.465241</v>
      </c>
      <c r="AG786" s="87">
        <v>2.0</v>
      </c>
      <c r="AH786" s="87">
        <v>0.0</v>
      </c>
      <c r="AI786" s="87">
        <v>0.822372</v>
      </c>
      <c r="AJ786" s="87">
        <v>0.818295</v>
      </c>
      <c r="AK786" s="87">
        <v>0.399242</v>
      </c>
      <c r="AL786" s="88" t="s">
        <v>1396</v>
      </c>
    </row>
    <row r="787">
      <c r="A787" s="84" t="s">
        <v>2381</v>
      </c>
      <c r="B787" s="84" t="s">
        <v>2452</v>
      </c>
      <c r="C787" s="84" t="s">
        <v>458</v>
      </c>
      <c r="D787" s="84" t="s">
        <v>1135</v>
      </c>
      <c r="E787" s="84" t="s">
        <v>1400</v>
      </c>
      <c r="F787" s="87">
        <v>26.0</v>
      </c>
      <c r="G787" s="87">
        <v>1.0</v>
      </c>
      <c r="H787" s="87">
        <v>186.0</v>
      </c>
      <c r="I787" s="87">
        <v>186.0</v>
      </c>
      <c r="J787" s="87">
        <v>0.0</v>
      </c>
      <c r="K787" s="87">
        <v>20.65675</v>
      </c>
      <c r="L787" s="87">
        <v>3.987365</v>
      </c>
      <c r="M787" s="87">
        <v>14.40278</v>
      </c>
      <c r="N787" s="87">
        <v>0.697243</v>
      </c>
      <c r="O787" s="87">
        <v>0.0</v>
      </c>
      <c r="P787" s="87">
        <v>0.0</v>
      </c>
      <c r="Q787" s="87">
        <v>0.0</v>
      </c>
      <c r="R787" s="87">
        <v>1.0</v>
      </c>
      <c r="S787" s="87">
        <v>1.142857</v>
      </c>
      <c r="T787" s="87">
        <v>1.0</v>
      </c>
      <c r="U787" s="87">
        <v>1.0</v>
      </c>
      <c r="V787" s="87">
        <v>1.0</v>
      </c>
      <c r="W787" s="87">
        <v>1.166667</v>
      </c>
      <c r="X787" s="87">
        <v>2.0</v>
      </c>
      <c r="Y787" s="87">
        <v>0.79449</v>
      </c>
      <c r="Z787" s="87">
        <v>0.0</v>
      </c>
      <c r="AA787" s="87">
        <v>0.778993</v>
      </c>
      <c r="AB787" s="87">
        <v>0.270118</v>
      </c>
      <c r="AC787" s="87">
        <v>0.672438</v>
      </c>
      <c r="AD787" s="87">
        <v>0.251282</v>
      </c>
      <c r="AE787" s="87">
        <v>0.714516</v>
      </c>
      <c r="AF787" s="87">
        <v>0.916026</v>
      </c>
      <c r="AG787" s="87">
        <v>0.28564</v>
      </c>
      <c r="AH787" s="87">
        <v>0.0</v>
      </c>
      <c r="AI787" s="87">
        <v>0.822372</v>
      </c>
      <c r="AJ787" s="87">
        <v>0.818295</v>
      </c>
      <c r="AK787" s="87">
        <v>0.399242</v>
      </c>
      <c r="AL787" s="88" t="s">
        <v>1396</v>
      </c>
    </row>
    <row r="788">
      <c r="A788" s="84" t="s">
        <v>2398</v>
      </c>
      <c r="B788" s="84" t="s">
        <v>2453</v>
      </c>
      <c r="C788" s="84" t="s">
        <v>458</v>
      </c>
      <c r="D788" s="84" t="s">
        <v>1135</v>
      </c>
      <c r="E788" s="89">
        <v>46300.0</v>
      </c>
      <c r="F788" s="87">
        <v>5.0</v>
      </c>
      <c r="G788" s="87">
        <v>0.0</v>
      </c>
      <c r="H788" s="87">
        <v>1855.0</v>
      </c>
      <c r="I788" s="87">
        <v>0.0</v>
      </c>
      <c r="J788" s="87">
        <v>4.439394</v>
      </c>
      <c r="K788" s="87">
        <v>4.515481</v>
      </c>
      <c r="L788" s="87">
        <v>5.626791</v>
      </c>
      <c r="M788" s="87">
        <v>2.924083</v>
      </c>
      <c r="N788" s="87">
        <v>0.647568</v>
      </c>
      <c r="O788" s="87">
        <v>0.297849</v>
      </c>
      <c r="P788" s="87">
        <v>0.46129</v>
      </c>
      <c r="Q788" s="87">
        <v>0.46129</v>
      </c>
      <c r="R788" s="87">
        <v>0.832258</v>
      </c>
      <c r="S788" s="87">
        <v>1.09418</v>
      </c>
      <c r="T788" s="87">
        <v>0.297849</v>
      </c>
      <c r="U788" s="87">
        <v>0.46129</v>
      </c>
      <c r="V788" s="87">
        <v>0.46129</v>
      </c>
      <c r="W788" s="87">
        <v>0.832258</v>
      </c>
      <c r="X788" s="87">
        <v>1.09418</v>
      </c>
      <c r="Y788" s="87">
        <v>0.903096</v>
      </c>
      <c r="Z788" s="87">
        <v>0.0</v>
      </c>
      <c r="AA788" s="87">
        <v>0.778993</v>
      </c>
      <c r="AB788" s="87">
        <v>0.270118</v>
      </c>
      <c r="AC788" s="87">
        <v>0.672438</v>
      </c>
      <c r="AD788" s="87">
        <v>0.633333</v>
      </c>
      <c r="AE788" s="87">
        <v>0.767816</v>
      </c>
      <c r="AF788" s="87">
        <v>1.459706</v>
      </c>
      <c r="AG788" s="87">
        <v>0.903096</v>
      </c>
      <c r="AH788" s="87">
        <v>0.0</v>
      </c>
      <c r="AI788" s="87">
        <v>0.822372</v>
      </c>
      <c r="AJ788" s="87">
        <v>0.818295</v>
      </c>
      <c r="AK788" s="87">
        <v>0.399242</v>
      </c>
      <c r="AL788" s="88" t="s">
        <v>1396</v>
      </c>
    </row>
    <row r="789">
      <c r="A789" s="84" t="s">
        <v>2384</v>
      </c>
      <c r="B789" s="84" t="s">
        <v>2454</v>
      </c>
      <c r="C789" s="84" t="s">
        <v>458</v>
      </c>
      <c r="D789" s="84" t="s">
        <v>1135</v>
      </c>
      <c r="E789" s="84" t="s">
        <v>1403</v>
      </c>
      <c r="F789" s="87">
        <v>114.0</v>
      </c>
      <c r="G789" s="87">
        <v>0.0</v>
      </c>
      <c r="H789" s="87">
        <v>0.0</v>
      </c>
      <c r="I789" s="87">
        <v>0.0</v>
      </c>
      <c r="J789" s="87">
        <v>0.0</v>
      </c>
      <c r="K789" s="87">
        <v>0.0</v>
      </c>
      <c r="L789" s="87">
        <v>0.0</v>
      </c>
      <c r="M789" s="87">
        <v>0.0</v>
      </c>
      <c r="N789" s="87">
        <v>0.0</v>
      </c>
      <c r="O789" s="87">
        <v>0.0</v>
      </c>
      <c r="P789" s="87">
        <v>0.0</v>
      </c>
      <c r="Q789" s="87">
        <v>0.0</v>
      </c>
      <c r="R789" s="87">
        <v>0.0</v>
      </c>
      <c r="S789" s="87">
        <v>0.0</v>
      </c>
      <c r="T789" s="87">
        <v>0.0</v>
      </c>
      <c r="U789" s="87">
        <v>0.0</v>
      </c>
      <c r="V789" s="87">
        <v>0.0</v>
      </c>
      <c r="W789" s="87">
        <v>0.0</v>
      </c>
      <c r="X789" s="87">
        <v>0.0</v>
      </c>
      <c r="Y789" s="87">
        <v>0.0</v>
      </c>
      <c r="Z789" s="87">
        <v>0.0</v>
      </c>
      <c r="AA789" s="87">
        <v>0.778993</v>
      </c>
      <c r="AB789" s="87">
        <v>0.270118</v>
      </c>
      <c r="AC789" s="87">
        <v>0.672438</v>
      </c>
      <c r="AD789" s="87">
        <v>0.0</v>
      </c>
      <c r="AE789" s="87">
        <v>0.0</v>
      </c>
      <c r="AF789" s="87">
        <v>0.0</v>
      </c>
      <c r="AG789" s="87">
        <v>0.0</v>
      </c>
      <c r="AH789" s="87">
        <v>0.0</v>
      </c>
      <c r="AI789" s="87">
        <v>0.822372</v>
      </c>
      <c r="AJ789" s="87">
        <v>0.818295</v>
      </c>
      <c r="AK789" s="87">
        <v>0.399242</v>
      </c>
      <c r="AL789" s="88" t="s">
        <v>1396</v>
      </c>
    </row>
    <row r="790">
      <c r="A790" s="84" t="s">
        <v>2395</v>
      </c>
      <c r="B790" s="84" t="s">
        <v>2455</v>
      </c>
      <c r="C790" s="84" t="s">
        <v>458</v>
      </c>
      <c r="D790" s="84" t="s">
        <v>2456</v>
      </c>
      <c r="E790" s="84" t="s">
        <v>1398</v>
      </c>
      <c r="F790" s="87">
        <v>1.0</v>
      </c>
      <c r="G790" s="87">
        <v>0.0</v>
      </c>
      <c r="H790" s="87">
        <v>0.0</v>
      </c>
      <c r="I790" s="87">
        <v>0.0</v>
      </c>
      <c r="J790" s="87">
        <v>0.0</v>
      </c>
      <c r="K790" s="87">
        <v>0.0</v>
      </c>
      <c r="L790" s="87">
        <v>0.0</v>
      </c>
      <c r="M790" s="87">
        <v>0.0</v>
      </c>
      <c r="N790" s="87">
        <v>0.0</v>
      </c>
      <c r="O790" s="87">
        <v>0.0</v>
      </c>
      <c r="P790" s="87">
        <v>0.0</v>
      </c>
      <c r="Q790" s="87">
        <v>0.0</v>
      </c>
      <c r="R790" s="87">
        <v>0.0</v>
      </c>
      <c r="S790" s="87">
        <v>0.0</v>
      </c>
      <c r="T790" s="87">
        <v>0.0</v>
      </c>
      <c r="U790" s="87">
        <v>0.0</v>
      </c>
      <c r="V790" s="87">
        <v>0.0</v>
      </c>
      <c r="W790" s="87">
        <v>0.0</v>
      </c>
      <c r="X790" s="87">
        <v>0.0</v>
      </c>
      <c r="Y790" s="87">
        <v>0.0</v>
      </c>
      <c r="Z790" s="87">
        <v>0.0</v>
      </c>
      <c r="AA790" s="87">
        <v>0.168966</v>
      </c>
      <c r="AB790" s="87">
        <v>0.303534</v>
      </c>
      <c r="AC790" s="87">
        <v>0.15955</v>
      </c>
      <c r="AD790" s="87">
        <v>1.137793</v>
      </c>
      <c r="AE790" s="87">
        <v>1.219993</v>
      </c>
      <c r="AF790" s="87">
        <v>2.465241</v>
      </c>
      <c r="AG790" s="87">
        <v>2.0</v>
      </c>
      <c r="AH790" s="87">
        <v>0.0</v>
      </c>
      <c r="AI790" s="87">
        <v>0.822372</v>
      </c>
      <c r="AJ790" s="87">
        <v>0.818295</v>
      </c>
      <c r="AK790" s="87">
        <v>0.399242</v>
      </c>
      <c r="AL790" s="88" t="s">
        <v>1396</v>
      </c>
    </row>
    <row r="791">
      <c r="A791" s="84" t="s">
        <v>2381</v>
      </c>
      <c r="B791" s="84" t="s">
        <v>2457</v>
      </c>
      <c r="C791" s="84" t="s">
        <v>458</v>
      </c>
      <c r="D791" s="84" t="s">
        <v>2456</v>
      </c>
      <c r="E791" s="84" t="s">
        <v>1400</v>
      </c>
      <c r="F791" s="87">
        <v>2.0</v>
      </c>
      <c r="G791" s="87">
        <v>0.0</v>
      </c>
      <c r="H791" s="87">
        <v>0.0</v>
      </c>
      <c r="I791" s="87">
        <v>0.0</v>
      </c>
      <c r="J791" s="87">
        <v>0.0</v>
      </c>
      <c r="K791" s="87">
        <v>0.0</v>
      </c>
      <c r="L791" s="87">
        <v>0.0</v>
      </c>
      <c r="M791" s="87">
        <v>0.0</v>
      </c>
      <c r="N791" s="87">
        <v>0.0</v>
      </c>
      <c r="O791" s="87">
        <v>0.0</v>
      </c>
      <c r="P791" s="87">
        <v>0.0</v>
      </c>
      <c r="Q791" s="87">
        <v>0.0</v>
      </c>
      <c r="R791" s="87">
        <v>0.0</v>
      </c>
      <c r="S791" s="87">
        <v>0.0</v>
      </c>
      <c r="T791" s="87">
        <v>0.0</v>
      </c>
      <c r="U791" s="87">
        <v>0.0</v>
      </c>
      <c r="V791" s="87">
        <v>0.0</v>
      </c>
      <c r="W791" s="87">
        <v>0.0</v>
      </c>
      <c r="X791" s="87">
        <v>0.0</v>
      </c>
      <c r="Y791" s="87">
        <v>0.0</v>
      </c>
      <c r="Z791" s="87">
        <v>0.0</v>
      </c>
      <c r="AA791" s="87">
        <v>0.168966</v>
      </c>
      <c r="AB791" s="87">
        <v>0.303534</v>
      </c>
      <c r="AC791" s="87">
        <v>0.15955</v>
      </c>
      <c r="AD791" s="87">
        <v>0.251282</v>
      </c>
      <c r="AE791" s="87">
        <v>0.714516</v>
      </c>
      <c r="AF791" s="87">
        <v>0.916026</v>
      </c>
      <c r="AG791" s="87">
        <v>0.28564</v>
      </c>
      <c r="AH791" s="87">
        <v>0.0</v>
      </c>
      <c r="AI791" s="87">
        <v>0.822372</v>
      </c>
      <c r="AJ791" s="87">
        <v>0.818295</v>
      </c>
      <c r="AK791" s="87">
        <v>0.399242</v>
      </c>
      <c r="AL791" s="88" t="s">
        <v>1396</v>
      </c>
    </row>
    <row r="792">
      <c r="A792" s="84" t="s">
        <v>2398</v>
      </c>
      <c r="B792" s="84" t="s">
        <v>2458</v>
      </c>
      <c r="C792" s="84" t="s">
        <v>458</v>
      </c>
      <c r="D792" s="84" t="s">
        <v>2456</v>
      </c>
      <c r="E792" s="86">
        <v>46300.0</v>
      </c>
      <c r="F792" s="87">
        <v>1.0</v>
      </c>
      <c r="G792" s="87">
        <v>0.0</v>
      </c>
      <c r="H792" s="87">
        <v>0.0</v>
      </c>
      <c r="I792" s="87">
        <v>0.0</v>
      </c>
      <c r="J792" s="87">
        <v>0.0</v>
      </c>
      <c r="K792" s="87">
        <v>0.0</v>
      </c>
      <c r="L792" s="87">
        <v>0.0</v>
      </c>
      <c r="M792" s="87">
        <v>0.0</v>
      </c>
      <c r="N792" s="87">
        <v>0.0</v>
      </c>
      <c r="O792" s="87">
        <v>0.0</v>
      </c>
      <c r="P792" s="87">
        <v>0.0</v>
      </c>
      <c r="Q792" s="87">
        <v>0.0</v>
      </c>
      <c r="R792" s="87">
        <v>0.0</v>
      </c>
      <c r="S792" s="87">
        <v>0.0</v>
      </c>
      <c r="T792" s="87">
        <v>0.0</v>
      </c>
      <c r="U792" s="87">
        <v>0.0</v>
      </c>
      <c r="V792" s="87">
        <v>0.0</v>
      </c>
      <c r="W792" s="87">
        <v>0.0</v>
      </c>
      <c r="X792" s="87">
        <v>0.0</v>
      </c>
      <c r="Y792" s="87">
        <v>0.0</v>
      </c>
      <c r="Z792" s="87">
        <v>0.0</v>
      </c>
      <c r="AA792" s="87">
        <v>0.168966</v>
      </c>
      <c r="AB792" s="87">
        <v>0.303534</v>
      </c>
      <c r="AC792" s="87">
        <v>0.15955</v>
      </c>
      <c r="AD792" s="87">
        <v>0.633333</v>
      </c>
      <c r="AE792" s="87">
        <v>0.767816</v>
      </c>
      <c r="AF792" s="87">
        <v>1.459706</v>
      </c>
      <c r="AG792" s="87">
        <v>0.903096</v>
      </c>
      <c r="AH792" s="87">
        <v>0.0</v>
      </c>
      <c r="AI792" s="87">
        <v>0.822372</v>
      </c>
      <c r="AJ792" s="87">
        <v>0.818295</v>
      </c>
      <c r="AK792" s="87">
        <v>0.399242</v>
      </c>
      <c r="AL792" s="88" t="s">
        <v>1396</v>
      </c>
    </row>
    <row r="793">
      <c r="A793" s="84" t="s">
        <v>2384</v>
      </c>
      <c r="B793" s="84" t="s">
        <v>2459</v>
      </c>
      <c r="C793" s="84" t="s">
        <v>458</v>
      </c>
      <c r="D793" s="84" t="s">
        <v>2456</v>
      </c>
      <c r="E793" s="84" t="s">
        <v>1403</v>
      </c>
      <c r="F793" s="87">
        <v>4.0</v>
      </c>
      <c r="G793" s="87">
        <v>0.0</v>
      </c>
      <c r="H793" s="87">
        <v>0.0</v>
      </c>
      <c r="I793" s="87">
        <v>0.0</v>
      </c>
      <c r="J793" s="87">
        <v>0.0</v>
      </c>
      <c r="K793" s="87">
        <v>0.0</v>
      </c>
      <c r="L793" s="87">
        <v>0.0</v>
      </c>
      <c r="M793" s="87">
        <v>0.0</v>
      </c>
      <c r="N793" s="87">
        <v>0.0</v>
      </c>
      <c r="O793" s="87">
        <v>0.0</v>
      </c>
      <c r="P793" s="87">
        <v>0.0</v>
      </c>
      <c r="Q793" s="87">
        <v>0.0</v>
      </c>
      <c r="R793" s="87">
        <v>0.0</v>
      </c>
      <c r="S793" s="87">
        <v>0.0</v>
      </c>
      <c r="T793" s="87">
        <v>0.0</v>
      </c>
      <c r="U793" s="87">
        <v>0.0</v>
      </c>
      <c r="V793" s="87">
        <v>0.0</v>
      </c>
      <c r="W793" s="87">
        <v>0.0</v>
      </c>
      <c r="X793" s="87">
        <v>0.0</v>
      </c>
      <c r="Y793" s="87">
        <v>0.0</v>
      </c>
      <c r="Z793" s="87">
        <v>0.0</v>
      </c>
      <c r="AA793" s="87">
        <v>0.168966</v>
      </c>
      <c r="AB793" s="87">
        <v>0.303534</v>
      </c>
      <c r="AC793" s="87">
        <v>0.15955</v>
      </c>
      <c r="AD793" s="87">
        <v>0.0</v>
      </c>
      <c r="AE793" s="87">
        <v>0.0</v>
      </c>
      <c r="AF793" s="87">
        <v>0.0</v>
      </c>
      <c r="AG793" s="87">
        <v>0.0</v>
      </c>
      <c r="AH793" s="87">
        <v>0.0</v>
      </c>
      <c r="AI793" s="87">
        <v>0.822372</v>
      </c>
      <c r="AJ793" s="87">
        <v>0.818295</v>
      </c>
      <c r="AK793" s="87">
        <v>0.399242</v>
      </c>
      <c r="AL793" s="88" t="s">
        <v>1396</v>
      </c>
    </row>
    <row r="794">
      <c r="A794" s="84" t="s">
        <v>2384</v>
      </c>
      <c r="B794" s="84" t="s">
        <v>2460</v>
      </c>
      <c r="C794" s="84" t="s">
        <v>458</v>
      </c>
      <c r="D794" s="84" t="s">
        <v>2461</v>
      </c>
      <c r="E794" s="84" t="s">
        <v>1403</v>
      </c>
      <c r="F794" s="87">
        <v>1.0</v>
      </c>
      <c r="G794" s="87">
        <v>1.0</v>
      </c>
      <c r="H794" s="87">
        <v>2.0</v>
      </c>
      <c r="I794" s="87">
        <v>2.0</v>
      </c>
      <c r="J794" s="87">
        <v>0.0</v>
      </c>
      <c r="K794" s="87">
        <v>0.0</v>
      </c>
      <c r="L794" s="87">
        <v>0.0</v>
      </c>
      <c r="M794" s="87">
        <v>0.0</v>
      </c>
      <c r="N794" s="87">
        <v>0.0</v>
      </c>
      <c r="O794" s="87">
        <v>0.0</v>
      </c>
      <c r="P794" s="87">
        <v>0.0</v>
      </c>
      <c r="Q794" s="87">
        <v>0.0</v>
      </c>
      <c r="R794" s="87">
        <v>0.0</v>
      </c>
      <c r="S794" s="87">
        <v>0.0</v>
      </c>
      <c r="T794" s="87">
        <v>0.0</v>
      </c>
      <c r="U794" s="87">
        <v>0.0</v>
      </c>
      <c r="V794" s="87">
        <v>0.0</v>
      </c>
      <c r="W794" s="87">
        <v>0.0</v>
      </c>
      <c r="X794" s="87">
        <v>0.0</v>
      </c>
      <c r="Y794" s="87">
        <v>0.0</v>
      </c>
      <c r="Z794" s="87">
        <v>0.0</v>
      </c>
      <c r="AA794" s="87">
        <v>0.0</v>
      </c>
      <c r="AB794" s="87">
        <v>0.0</v>
      </c>
      <c r="AC794" s="87">
        <v>0.0</v>
      </c>
      <c r="AD794" s="87">
        <v>0.0</v>
      </c>
      <c r="AE794" s="87">
        <v>0.0</v>
      </c>
      <c r="AF794" s="87">
        <v>0.0</v>
      </c>
      <c r="AG794" s="87">
        <v>0.0</v>
      </c>
      <c r="AH794" s="87">
        <v>0.0</v>
      </c>
      <c r="AI794" s="87">
        <v>0.822372</v>
      </c>
      <c r="AJ794" s="87">
        <v>0.818295</v>
      </c>
      <c r="AK794" s="87">
        <v>0.399242</v>
      </c>
      <c r="AL794" s="88" t="s">
        <v>1396</v>
      </c>
    </row>
    <row r="795">
      <c r="A795" s="84" t="s">
        <v>2462</v>
      </c>
      <c r="B795" s="84" t="s">
        <v>2454</v>
      </c>
      <c r="C795" s="84" t="s">
        <v>2463</v>
      </c>
      <c r="D795" s="84" t="s">
        <v>1135</v>
      </c>
      <c r="E795" s="84" t="s">
        <v>1403</v>
      </c>
      <c r="F795" s="87">
        <v>2.0</v>
      </c>
      <c r="G795" s="87">
        <v>0.0</v>
      </c>
      <c r="H795" s="87">
        <v>0.0</v>
      </c>
      <c r="I795" s="87">
        <v>0.0</v>
      </c>
      <c r="J795" s="87">
        <v>0.0</v>
      </c>
      <c r="K795" s="87">
        <v>0.0</v>
      </c>
      <c r="L795" s="87">
        <v>0.0</v>
      </c>
      <c r="M795" s="87">
        <v>0.0</v>
      </c>
      <c r="N795" s="87">
        <v>0.0</v>
      </c>
      <c r="O795" s="87">
        <v>0.0</v>
      </c>
      <c r="P795" s="87">
        <v>0.0</v>
      </c>
      <c r="Q795" s="87">
        <v>0.0</v>
      </c>
      <c r="R795" s="87">
        <v>0.0</v>
      </c>
      <c r="S795" s="87">
        <v>0.0</v>
      </c>
      <c r="T795" s="87">
        <v>0.0</v>
      </c>
      <c r="U795" s="87">
        <v>0.0</v>
      </c>
      <c r="V795" s="87">
        <v>0.0</v>
      </c>
      <c r="W795" s="87">
        <v>0.0</v>
      </c>
      <c r="X795" s="87">
        <v>0.0</v>
      </c>
      <c r="Y795" s="87">
        <v>0.0</v>
      </c>
      <c r="Z795" s="87">
        <v>0.0</v>
      </c>
      <c r="AA795" s="87">
        <v>0.778993</v>
      </c>
      <c r="AB795" s="87">
        <v>0.270118</v>
      </c>
      <c r="AC795" s="87">
        <v>0.672438</v>
      </c>
      <c r="AD795" s="87">
        <v>0.0</v>
      </c>
      <c r="AE795" s="87">
        <v>0.0</v>
      </c>
      <c r="AF795" s="87">
        <v>0.0</v>
      </c>
      <c r="AG795" s="87">
        <v>0.0</v>
      </c>
      <c r="AH795" s="87">
        <v>0.0</v>
      </c>
      <c r="AI795" s="87">
        <v>0.0</v>
      </c>
      <c r="AJ795" s="87">
        <v>0.0</v>
      </c>
      <c r="AK795" s="87">
        <v>0.0</v>
      </c>
      <c r="AL795" s="88" t="s">
        <v>1396</v>
      </c>
    </row>
    <row r="796">
      <c r="A796" s="84" t="s">
        <v>2433</v>
      </c>
      <c r="B796" s="84" t="s">
        <v>2464</v>
      </c>
      <c r="C796" s="84" t="s">
        <v>2430</v>
      </c>
      <c r="D796" s="84" t="s">
        <v>2415</v>
      </c>
      <c r="E796" s="84" t="s">
        <v>1400</v>
      </c>
      <c r="F796" s="87">
        <v>2.0</v>
      </c>
      <c r="G796" s="87">
        <v>0.0</v>
      </c>
      <c r="H796" s="87">
        <v>0.0</v>
      </c>
      <c r="I796" s="87">
        <v>0.0</v>
      </c>
      <c r="J796" s="87">
        <v>0.0</v>
      </c>
      <c r="K796" s="87">
        <v>0.0</v>
      </c>
      <c r="L796" s="87">
        <v>0.0</v>
      </c>
      <c r="M796" s="87">
        <v>0.0</v>
      </c>
      <c r="N796" s="87">
        <v>0.0</v>
      </c>
      <c r="O796" s="87">
        <v>0.0</v>
      </c>
      <c r="P796" s="87">
        <v>0.0</v>
      </c>
      <c r="Q796" s="87">
        <v>0.0</v>
      </c>
      <c r="R796" s="87">
        <v>0.0</v>
      </c>
      <c r="S796" s="87">
        <v>0.0</v>
      </c>
      <c r="T796" s="87">
        <v>0.0</v>
      </c>
      <c r="U796" s="87">
        <v>0.0</v>
      </c>
      <c r="V796" s="87">
        <v>0.0</v>
      </c>
      <c r="W796" s="87">
        <v>0.0</v>
      </c>
      <c r="X796" s="87">
        <v>0.0</v>
      </c>
      <c r="Y796" s="87">
        <v>0.0</v>
      </c>
      <c r="Z796" s="87">
        <v>0.0</v>
      </c>
      <c r="AA796" s="87">
        <v>0.0</v>
      </c>
      <c r="AB796" s="87">
        <v>0.0</v>
      </c>
      <c r="AC796" s="87">
        <v>0.0</v>
      </c>
      <c r="AD796" s="87">
        <v>0.0</v>
      </c>
      <c r="AE796" s="87">
        <v>0.0</v>
      </c>
      <c r="AF796" s="87">
        <v>0.0</v>
      </c>
      <c r="AG796" s="87">
        <v>0.0</v>
      </c>
      <c r="AH796" s="87">
        <v>0.0</v>
      </c>
      <c r="AI796" s="87">
        <v>0.0</v>
      </c>
      <c r="AJ796" s="87">
        <v>0.0</v>
      </c>
      <c r="AK796" s="87">
        <v>0.0</v>
      </c>
      <c r="AL796" s="88" t="s">
        <v>1396</v>
      </c>
    </row>
    <row r="797">
      <c r="A797" s="84" t="s">
        <v>2434</v>
      </c>
      <c r="B797" s="84" t="s">
        <v>2414</v>
      </c>
      <c r="C797" s="84" t="s">
        <v>2430</v>
      </c>
      <c r="D797" s="84" t="s">
        <v>2415</v>
      </c>
      <c r="E797" s="84" t="s">
        <v>1403</v>
      </c>
      <c r="F797" s="87">
        <v>2.0</v>
      </c>
      <c r="G797" s="87">
        <v>0.0</v>
      </c>
      <c r="H797" s="87">
        <v>0.0</v>
      </c>
      <c r="I797" s="87">
        <v>0.0</v>
      </c>
      <c r="J797" s="87">
        <v>0.0</v>
      </c>
      <c r="K797" s="87">
        <v>0.0</v>
      </c>
      <c r="L797" s="87">
        <v>0.0</v>
      </c>
      <c r="M797" s="87">
        <v>0.0</v>
      </c>
      <c r="N797" s="87">
        <v>0.0</v>
      </c>
      <c r="O797" s="87">
        <v>0.0</v>
      </c>
      <c r="P797" s="87">
        <v>0.0</v>
      </c>
      <c r="Q797" s="87">
        <v>0.0</v>
      </c>
      <c r="R797" s="87">
        <v>0.0</v>
      </c>
      <c r="S797" s="87">
        <v>0.0</v>
      </c>
      <c r="T797" s="87">
        <v>0.0</v>
      </c>
      <c r="U797" s="87">
        <v>0.0</v>
      </c>
      <c r="V797" s="87">
        <v>0.0</v>
      </c>
      <c r="W797" s="87">
        <v>0.0</v>
      </c>
      <c r="X797" s="87">
        <v>0.0</v>
      </c>
      <c r="Y797" s="87">
        <v>0.0</v>
      </c>
      <c r="Z797" s="87">
        <v>0.0</v>
      </c>
      <c r="AA797" s="87">
        <v>0.0</v>
      </c>
      <c r="AB797" s="87">
        <v>0.0</v>
      </c>
      <c r="AC797" s="87">
        <v>0.0</v>
      </c>
      <c r="AD797" s="87">
        <v>0.0</v>
      </c>
      <c r="AE797" s="87">
        <v>0.0</v>
      </c>
      <c r="AF797" s="87">
        <v>0.0</v>
      </c>
      <c r="AG797" s="87">
        <v>0.0</v>
      </c>
      <c r="AH797" s="87">
        <v>0.0</v>
      </c>
      <c r="AI797" s="87">
        <v>0.0</v>
      </c>
      <c r="AJ797" s="87">
        <v>0.0</v>
      </c>
      <c r="AK797" s="87">
        <v>0.0</v>
      </c>
      <c r="AL797" s="88" t="s">
        <v>1396</v>
      </c>
    </row>
    <row r="798">
      <c r="A798" s="84" t="s">
        <v>2433</v>
      </c>
      <c r="B798" s="84" t="s">
        <v>2465</v>
      </c>
      <c r="C798" s="84" t="s">
        <v>2430</v>
      </c>
      <c r="D798" s="84" t="s">
        <v>2461</v>
      </c>
      <c r="E798" s="84" t="s">
        <v>1400</v>
      </c>
      <c r="F798" s="87">
        <v>2.0</v>
      </c>
      <c r="G798" s="87">
        <v>0.0</v>
      </c>
      <c r="H798" s="87">
        <v>0.0</v>
      </c>
      <c r="I798" s="87">
        <v>0.0</v>
      </c>
      <c r="J798" s="87">
        <v>0.0</v>
      </c>
      <c r="K798" s="87">
        <v>0.0</v>
      </c>
      <c r="L798" s="87">
        <v>0.0</v>
      </c>
      <c r="M798" s="87">
        <v>0.0</v>
      </c>
      <c r="N798" s="87">
        <v>0.0</v>
      </c>
      <c r="O798" s="87">
        <v>0.0</v>
      </c>
      <c r="P798" s="87">
        <v>0.0</v>
      </c>
      <c r="Q798" s="87">
        <v>0.0</v>
      </c>
      <c r="R798" s="87">
        <v>0.0</v>
      </c>
      <c r="S798" s="87">
        <v>0.0</v>
      </c>
      <c r="T798" s="87">
        <v>0.0</v>
      </c>
      <c r="U798" s="87">
        <v>0.0</v>
      </c>
      <c r="V798" s="87">
        <v>0.0</v>
      </c>
      <c r="W798" s="87">
        <v>0.0</v>
      </c>
      <c r="X798" s="87">
        <v>0.0</v>
      </c>
      <c r="Y798" s="87">
        <v>0.0</v>
      </c>
      <c r="Z798" s="87">
        <v>0.0</v>
      </c>
      <c r="AA798" s="87">
        <v>0.0</v>
      </c>
      <c r="AB798" s="87">
        <v>0.0</v>
      </c>
      <c r="AC798" s="87">
        <v>0.0</v>
      </c>
      <c r="AD798" s="87">
        <v>0.0</v>
      </c>
      <c r="AE798" s="87">
        <v>0.0</v>
      </c>
      <c r="AF798" s="87">
        <v>0.0</v>
      </c>
      <c r="AG798" s="87">
        <v>0.0</v>
      </c>
      <c r="AH798" s="87">
        <v>0.0</v>
      </c>
      <c r="AI798" s="87">
        <v>0.0</v>
      </c>
      <c r="AJ798" s="87">
        <v>0.0</v>
      </c>
      <c r="AK798" s="87">
        <v>0.0</v>
      </c>
      <c r="AL798" s="88" t="s">
        <v>1396</v>
      </c>
    </row>
    <row r="799">
      <c r="A799" s="84" t="s">
        <v>2466</v>
      </c>
      <c r="B799" s="84" t="s">
        <v>2467</v>
      </c>
      <c r="C799" s="84" t="s">
        <v>472</v>
      </c>
      <c r="D799" s="84" t="s">
        <v>2468</v>
      </c>
      <c r="E799" s="84" t="s">
        <v>1426</v>
      </c>
      <c r="F799" s="87">
        <v>4.0</v>
      </c>
      <c r="G799" s="87">
        <v>0.0</v>
      </c>
      <c r="H799" s="87">
        <v>2249.0</v>
      </c>
      <c r="I799" s="87">
        <v>0.0</v>
      </c>
      <c r="J799" s="87">
        <v>17.94672</v>
      </c>
      <c r="K799" s="87">
        <v>19.98375</v>
      </c>
      <c r="L799" s="87">
        <v>20.75855</v>
      </c>
      <c r="M799" s="87">
        <v>19.98375</v>
      </c>
      <c r="N799" s="87">
        <v>1.0</v>
      </c>
      <c r="O799" s="87">
        <v>0.0</v>
      </c>
      <c r="P799" s="87">
        <v>0.0</v>
      </c>
      <c r="Q799" s="87">
        <v>0.0</v>
      </c>
      <c r="R799" s="87">
        <v>0.0</v>
      </c>
      <c r="S799" s="87">
        <v>0.0</v>
      </c>
      <c r="T799" s="87">
        <v>19.98375</v>
      </c>
      <c r="U799" s="87">
        <v>19.98375</v>
      </c>
      <c r="V799" s="87">
        <v>19.98375</v>
      </c>
      <c r="W799" s="87">
        <v>19.98375</v>
      </c>
      <c r="X799" s="87">
        <v>19.98375</v>
      </c>
      <c r="Y799" s="87">
        <v>4.995937</v>
      </c>
      <c r="Z799" s="87">
        <v>0.0</v>
      </c>
      <c r="AA799" s="87">
        <v>3.283816</v>
      </c>
      <c r="AB799" s="87">
        <v>2.567719</v>
      </c>
      <c r="AC799" s="87">
        <v>4.995937</v>
      </c>
      <c r="AD799" s="87">
        <v>0.0</v>
      </c>
      <c r="AE799" s="87">
        <v>1.0</v>
      </c>
      <c r="AF799" s="87">
        <v>1.741777</v>
      </c>
      <c r="AG799" s="87">
        <v>0.24998</v>
      </c>
      <c r="AH799" s="87">
        <v>7.62E-4</v>
      </c>
      <c r="AI799" s="87">
        <v>1.946808</v>
      </c>
      <c r="AJ799" s="87">
        <v>2.031295</v>
      </c>
      <c r="AK799" s="87">
        <v>3.59538</v>
      </c>
      <c r="AL799" s="88" t="s">
        <v>1396</v>
      </c>
    </row>
    <row r="800">
      <c r="A800" s="84" t="s">
        <v>2469</v>
      </c>
      <c r="B800" s="84" t="s">
        <v>2470</v>
      </c>
      <c r="C800" s="84" t="s">
        <v>472</v>
      </c>
      <c r="D800" s="84" t="s">
        <v>2468</v>
      </c>
      <c r="E800" s="86">
        <v>46310.0</v>
      </c>
      <c r="F800" s="87">
        <v>6.0</v>
      </c>
      <c r="G800" s="87">
        <v>0.0</v>
      </c>
      <c r="H800" s="87">
        <v>3772.0</v>
      </c>
      <c r="I800" s="87">
        <v>0.0</v>
      </c>
      <c r="J800" s="87">
        <v>48.54386</v>
      </c>
      <c r="K800" s="87">
        <v>52.98617</v>
      </c>
      <c r="L800" s="87">
        <v>58.88609</v>
      </c>
      <c r="M800" s="87">
        <v>51.42506</v>
      </c>
      <c r="N800" s="87">
        <v>0.970537</v>
      </c>
      <c r="O800" s="87">
        <v>0.0</v>
      </c>
      <c r="P800" s="87">
        <v>0.0</v>
      </c>
      <c r="Q800" s="87">
        <v>0.0</v>
      </c>
      <c r="R800" s="87">
        <v>1.25</v>
      </c>
      <c r="S800" s="87">
        <v>10.39076</v>
      </c>
      <c r="T800" s="87">
        <v>0.311111</v>
      </c>
      <c r="U800" s="87">
        <v>0.311111</v>
      </c>
      <c r="V800" s="87">
        <v>1.25</v>
      </c>
      <c r="W800" s="87">
        <v>10.39076</v>
      </c>
      <c r="X800" s="87">
        <v>10.39076</v>
      </c>
      <c r="Y800" s="87">
        <v>8.831028</v>
      </c>
      <c r="Z800" s="87">
        <v>0.0</v>
      </c>
      <c r="AA800" s="87">
        <v>3.283816</v>
      </c>
      <c r="AB800" s="87">
        <v>2.567719</v>
      </c>
      <c r="AC800" s="87">
        <v>4.995937</v>
      </c>
      <c r="AD800" s="87">
        <v>2.207549</v>
      </c>
      <c r="AE800" s="87">
        <v>3.258818</v>
      </c>
      <c r="AF800" s="87">
        <v>6.393384</v>
      </c>
      <c r="AG800" s="87">
        <v>7.03161</v>
      </c>
      <c r="AH800" s="87">
        <v>7.62E-4</v>
      </c>
      <c r="AI800" s="87">
        <v>1.946808</v>
      </c>
      <c r="AJ800" s="87">
        <v>2.031295</v>
      </c>
      <c r="AK800" s="87">
        <v>3.59538</v>
      </c>
      <c r="AL800" s="88" t="s">
        <v>1396</v>
      </c>
    </row>
    <row r="801">
      <c r="A801" s="84" t="s">
        <v>2471</v>
      </c>
      <c r="B801" s="84" t="s">
        <v>2472</v>
      </c>
      <c r="C801" s="84" t="s">
        <v>472</v>
      </c>
      <c r="D801" s="84" t="s">
        <v>2468</v>
      </c>
      <c r="E801" s="84" t="s">
        <v>1413</v>
      </c>
      <c r="F801" s="87">
        <v>19.0</v>
      </c>
      <c r="G801" s="87">
        <v>0.0</v>
      </c>
      <c r="H801" s="87">
        <v>10058.0</v>
      </c>
      <c r="I801" s="87">
        <v>0.0</v>
      </c>
      <c r="J801" s="87">
        <v>113.3548</v>
      </c>
      <c r="K801" s="87">
        <v>120.0739</v>
      </c>
      <c r="L801" s="87">
        <v>109.9331</v>
      </c>
      <c r="M801" s="87">
        <v>53.68103</v>
      </c>
      <c r="N801" s="87">
        <v>0.447067</v>
      </c>
      <c r="O801" s="87">
        <v>0.190909</v>
      </c>
      <c r="P801" s="87">
        <v>1.315441</v>
      </c>
      <c r="Q801" s="87">
        <v>2.143432</v>
      </c>
      <c r="R801" s="87">
        <v>5.293922</v>
      </c>
      <c r="S801" s="87">
        <v>8.991717</v>
      </c>
      <c r="T801" s="87">
        <v>0.831746</v>
      </c>
      <c r="U801" s="87">
        <v>1.883087</v>
      </c>
      <c r="V801" s="87">
        <v>3.896706</v>
      </c>
      <c r="W801" s="87">
        <v>6.979737</v>
      </c>
      <c r="X801" s="87">
        <v>8.991717</v>
      </c>
      <c r="Y801" s="87">
        <v>6.319677</v>
      </c>
      <c r="Z801" s="87">
        <v>0.0</v>
      </c>
      <c r="AA801" s="87">
        <v>3.283816</v>
      </c>
      <c r="AB801" s="87">
        <v>2.567719</v>
      </c>
      <c r="AC801" s="87">
        <v>4.995937</v>
      </c>
      <c r="AD801" s="87">
        <v>2.819979</v>
      </c>
      <c r="AE801" s="87">
        <v>3.242291</v>
      </c>
      <c r="AF801" s="87">
        <v>4.465617</v>
      </c>
      <c r="AG801" s="87">
        <v>4.582879</v>
      </c>
      <c r="AH801" s="87">
        <v>7.62E-4</v>
      </c>
      <c r="AI801" s="87">
        <v>1.946808</v>
      </c>
      <c r="AJ801" s="87">
        <v>2.031295</v>
      </c>
      <c r="AK801" s="87">
        <v>3.59538</v>
      </c>
      <c r="AL801" s="88" t="s">
        <v>1396</v>
      </c>
    </row>
    <row r="802">
      <c r="A802" s="84" t="s">
        <v>2473</v>
      </c>
      <c r="B802" s="84" t="s">
        <v>2474</v>
      </c>
      <c r="C802" s="84" t="s">
        <v>472</v>
      </c>
      <c r="D802" s="84" t="s">
        <v>2468</v>
      </c>
      <c r="E802" s="84" t="s">
        <v>1398</v>
      </c>
      <c r="F802" s="87">
        <v>12.0</v>
      </c>
      <c r="G802" s="87">
        <v>0.0</v>
      </c>
      <c r="H802" s="87">
        <v>5345.0</v>
      </c>
      <c r="I802" s="87">
        <v>0.0</v>
      </c>
      <c r="J802" s="87">
        <v>40.12508</v>
      </c>
      <c r="K802" s="87">
        <v>53.88738</v>
      </c>
      <c r="L802" s="87">
        <v>49.31287</v>
      </c>
      <c r="M802" s="87">
        <v>40.21541</v>
      </c>
      <c r="N802" s="87">
        <v>0.746286</v>
      </c>
      <c r="O802" s="87">
        <v>0.470115</v>
      </c>
      <c r="P802" s="87">
        <v>0.473485</v>
      </c>
      <c r="Q802" s="87">
        <v>0.943966</v>
      </c>
      <c r="R802" s="87">
        <v>2.258922</v>
      </c>
      <c r="S802" s="87">
        <v>3.603215</v>
      </c>
      <c r="T802" s="87">
        <v>0.473485</v>
      </c>
      <c r="U802" s="87">
        <v>0.943966</v>
      </c>
      <c r="V802" s="87">
        <v>1.374262</v>
      </c>
      <c r="W802" s="87">
        <v>2.258922</v>
      </c>
      <c r="X802" s="87">
        <v>3.603215</v>
      </c>
      <c r="Y802" s="87">
        <v>4.490615</v>
      </c>
      <c r="Z802" s="87">
        <v>0.0</v>
      </c>
      <c r="AA802" s="87">
        <v>3.283816</v>
      </c>
      <c r="AB802" s="87">
        <v>2.567719</v>
      </c>
      <c r="AC802" s="87">
        <v>4.995937</v>
      </c>
      <c r="AD802" s="87">
        <v>1.403229</v>
      </c>
      <c r="AE802" s="87">
        <v>1.774821</v>
      </c>
      <c r="AF802" s="87">
        <v>3.147805</v>
      </c>
      <c r="AG802" s="87">
        <v>3.59538</v>
      </c>
      <c r="AH802" s="87">
        <v>7.62E-4</v>
      </c>
      <c r="AI802" s="87">
        <v>1.946808</v>
      </c>
      <c r="AJ802" s="87">
        <v>2.031295</v>
      </c>
      <c r="AK802" s="87">
        <v>3.59538</v>
      </c>
      <c r="AL802" s="88" t="s">
        <v>1396</v>
      </c>
    </row>
    <row r="803">
      <c r="A803" s="84" t="s">
        <v>2475</v>
      </c>
      <c r="B803" s="84" t="s">
        <v>2476</v>
      </c>
      <c r="C803" s="84" t="s">
        <v>472</v>
      </c>
      <c r="D803" s="84" t="s">
        <v>2468</v>
      </c>
      <c r="E803" s="84" t="s">
        <v>1400</v>
      </c>
      <c r="F803" s="87">
        <v>34.0</v>
      </c>
      <c r="G803" s="87">
        <v>0.0</v>
      </c>
      <c r="H803" s="87">
        <v>13102.0</v>
      </c>
      <c r="I803" s="87">
        <v>0.0</v>
      </c>
      <c r="J803" s="87">
        <v>141.0843</v>
      </c>
      <c r="K803" s="87">
        <v>145.447</v>
      </c>
      <c r="L803" s="87">
        <v>136.1345</v>
      </c>
      <c r="M803" s="87">
        <v>84.60817</v>
      </c>
      <c r="N803" s="87">
        <v>0.581711</v>
      </c>
      <c r="O803" s="87">
        <v>0.639153</v>
      </c>
      <c r="P803" s="87">
        <v>1.141544</v>
      </c>
      <c r="Q803" s="87">
        <v>1.56566</v>
      </c>
      <c r="R803" s="87">
        <v>2.48878</v>
      </c>
      <c r="S803" s="87">
        <v>3.910611</v>
      </c>
      <c r="T803" s="87">
        <v>0.663441</v>
      </c>
      <c r="U803" s="87">
        <v>1.325565</v>
      </c>
      <c r="V803" s="87">
        <v>1.56566</v>
      </c>
      <c r="W803" s="87">
        <v>2.48878</v>
      </c>
      <c r="X803" s="87">
        <v>4.237548</v>
      </c>
      <c r="Y803" s="87">
        <v>4.277854</v>
      </c>
      <c r="Z803" s="87">
        <v>0.0</v>
      </c>
      <c r="AA803" s="87">
        <v>3.283816</v>
      </c>
      <c r="AB803" s="87">
        <v>2.567719</v>
      </c>
      <c r="AC803" s="87">
        <v>4.995937</v>
      </c>
      <c r="AD803" s="87">
        <v>0.961283</v>
      </c>
      <c r="AE803" s="87">
        <v>1.229542</v>
      </c>
      <c r="AF803" s="87">
        <v>1.996813</v>
      </c>
      <c r="AG803" s="87">
        <v>2.11362</v>
      </c>
      <c r="AH803" s="87">
        <v>7.62E-4</v>
      </c>
      <c r="AI803" s="87">
        <v>1.946808</v>
      </c>
      <c r="AJ803" s="87">
        <v>2.031295</v>
      </c>
      <c r="AK803" s="87">
        <v>3.59538</v>
      </c>
      <c r="AL803" s="88" t="s">
        <v>1396</v>
      </c>
    </row>
    <row r="804">
      <c r="A804" s="84" t="s">
        <v>2477</v>
      </c>
      <c r="B804" s="84" t="s">
        <v>2478</v>
      </c>
      <c r="C804" s="84" t="s">
        <v>472</v>
      </c>
      <c r="D804" s="84" t="s">
        <v>2468</v>
      </c>
      <c r="E804" s="89">
        <v>46300.0</v>
      </c>
      <c r="F804" s="87">
        <v>9.0</v>
      </c>
      <c r="G804" s="87">
        <v>0.0</v>
      </c>
      <c r="H804" s="87">
        <v>4100.0</v>
      </c>
      <c r="I804" s="87">
        <v>0.0</v>
      </c>
      <c r="J804" s="87">
        <v>48.24907</v>
      </c>
      <c r="K804" s="87">
        <v>51.83711</v>
      </c>
      <c r="L804" s="87">
        <v>53.0917</v>
      </c>
      <c r="M804" s="87">
        <v>45.05025</v>
      </c>
      <c r="N804" s="87">
        <v>0.869073</v>
      </c>
      <c r="O804" s="87">
        <v>0.0</v>
      </c>
      <c r="P804" s="87">
        <v>0.0</v>
      </c>
      <c r="Q804" s="87">
        <v>0.416667</v>
      </c>
      <c r="R804" s="87">
        <v>1.031919</v>
      </c>
      <c r="S804" s="87">
        <v>3.061782</v>
      </c>
      <c r="T804" s="87">
        <v>0.416667</v>
      </c>
      <c r="U804" s="87">
        <v>0.553748</v>
      </c>
      <c r="V804" s="87">
        <v>1.031919</v>
      </c>
      <c r="W804" s="87">
        <v>1.72274</v>
      </c>
      <c r="X804" s="87">
        <v>3.061782</v>
      </c>
      <c r="Y804" s="87">
        <v>5.759678</v>
      </c>
      <c r="Z804" s="87">
        <v>0.0</v>
      </c>
      <c r="AA804" s="87">
        <v>3.283816</v>
      </c>
      <c r="AB804" s="87">
        <v>2.567719</v>
      </c>
      <c r="AC804" s="87">
        <v>4.995937</v>
      </c>
      <c r="AD804" s="87">
        <v>0.67381</v>
      </c>
      <c r="AE804" s="87">
        <v>4.99603</v>
      </c>
      <c r="AF804" s="87">
        <v>6.862284</v>
      </c>
      <c r="AG804" s="87">
        <v>5.759678</v>
      </c>
      <c r="AH804" s="87">
        <v>7.62E-4</v>
      </c>
      <c r="AI804" s="87">
        <v>1.946808</v>
      </c>
      <c r="AJ804" s="87">
        <v>2.031295</v>
      </c>
      <c r="AK804" s="87">
        <v>3.59538</v>
      </c>
      <c r="AL804" s="88" t="s">
        <v>1396</v>
      </c>
    </row>
    <row r="805">
      <c r="A805" s="84" t="s">
        <v>2479</v>
      </c>
      <c r="B805" s="84" t="s">
        <v>2480</v>
      </c>
      <c r="C805" s="84" t="s">
        <v>472</v>
      </c>
      <c r="D805" s="84" t="s">
        <v>2468</v>
      </c>
      <c r="E805" s="84" t="s">
        <v>1403</v>
      </c>
      <c r="F805" s="87">
        <v>89.0</v>
      </c>
      <c r="G805" s="87">
        <v>12.0</v>
      </c>
      <c r="H805" s="87">
        <v>374.0</v>
      </c>
      <c r="I805" s="87">
        <v>374.0</v>
      </c>
      <c r="J805" s="87">
        <v>0.0</v>
      </c>
      <c r="K805" s="87">
        <v>0.0</v>
      </c>
      <c r="L805" s="87">
        <v>0.0</v>
      </c>
      <c r="M805" s="87">
        <v>0.0</v>
      </c>
      <c r="N805" s="87">
        <v>0.0</v>
      </c>
      <c r="O805" s="87">
        <v>0.0</v>
      </c>
      <c r="P805" s="87">
        <v>0.0</v>
      </c>
      <c r="Q805" s="87">
        <v>0.0</v>
      </c>
      <c r="R805" s="87">
        <v>0.0</v>
      </c>
      <c r="S805" s="87">
        <v>0.0</v>
      </c>
      <c r="T805" s="87">
        <v>0.0</v>
      </c>
      <c r="U805" s="87">
        <v>0.0</v>
      </c>
      <c r="V805" s="87">
        <v>0.0</v>
      </c>
      <c r="W805" s="87">
        <v>0.0</v>
      </c>
      <c r="X805" s="87">
        <v>0.0</v>
      </c>
      <c r="Y805" s="87">
        <v>0.0</v>
      </c>
      <c r="Z805" s="87">
        <v>0.0</v>
      </c>
      <c r="AA805" s="87">
        <v>3.283816</v>
      </c>
      <c r="AB805" s="87">
        <v>2.567719</v>
      </c>
      <c r="AC805" s="87">
        <v>4.995937</v>
      </c>
      <c r="AD805" s="87">
        <v>0.0</v>
      </c>
      <c r="AE805" s="87">
        <v>0.0</v>
      </c>
      <c r="AF805" s="87">
        <v>0.0</v>
      </c>
      <c r="AG805" s="87">
        <v>0.0</v>
      </c>
      <c r="AH805" s="87">
        <v>7.62E-4</v>
      </c>
      <c r="AI805" s="87">
        <v>1.946808</v>
      </c>
      <c r="AJ805" s="87">
        <v>2.031295</v>
      </c>
      <c r="AK805" s="87">
        <v>3.59538</v>
      </c>
      <c r="AL805" s="88" t="s">
        <v>1396</v>
      </c>
    </row>
    <row r="806">
      <c r="A806" s="84" t="s">
        <v>2466</v>
      </c>
      <c r="B806" s="84" t="s">
        <v>2481</v>
      </c>
      <c r="C806" s="84" t="s">
        <v>472</v>
      </c>
      <c r="D806" s="84" t="s">
        <v>507</v>
      </c>
      <c r="E806" s="84" t="s">
        <v>1426</v>
      </c>
      <c r="F806" s="87">
        <v>5.0</v>
      </c>
      <c r="G806" s="87">
        <v>0.0</v>
      </c>
      <c r="H806" s="87">
        <v>0.0</v>
      </c>
      <c r="I806" s="87">
        <v>0.0</v>
      </c>
      <c r="J806" s="87">
        <v>0.0</v>
      </c>
      <c r="K806" s="87">
        <v>0.0</v>
      </c>
      <c r="L806" s="87">
        <v>1.617605</v>
      </c>
      <c r="M806" s="87">
        <v>0.0</v>
      </c>
      <c r="N806" s="87">
        <v>0.0</v>
      </c>
      <c r="O806" s="87">
        <v>0.0</v>
      </c>
      <c r="P806" s="87">
        <v>0.0</v>
      </c>
      <c r="Q806" s="87">
        <v>0.0</v>
      </c>
      <c r="R806" s="87">
        <v>0.0</v>
      </c>
      <c r="S806" s="87">
        <v>0.0</v>
      </c>
      <c r="T806" s="87">
        <v>0.0</v>
      </c>
      <c r="U806" s="87">
        <v>0.0</v>
      </c>
      <c r="V806" s="87">
        <v>0.0</v>
      </c>
      <c r="W806" s="87">
        <v>0.0</v>
      </c>
      <c r="X806" s="87">
        <v>0.0</v>
      </c>
      <c r="Y806" s="87">
        <v>0.0</v>
      </c>
      <c r="Z806" s="87">
        <v>0.0</v>
      </c>
      <c r="AA806" s="87">
        <v>0.609795</v>
      </c>
      <c r="AB806" s="87">
        <v>0.517984</v>
      </c>
      <c r="AC806" s="87">
        <v>0.753123</v>
      </c>
      <c r="AD806" s="87">
        <v>0.0</v>
      </c>
      <c r="AE806" s="87">
        <v>1.0</v>
      </c>
      <c r="AF806" s="87">
        <v>1.741777</v>
      </c>
      <c r="AG806" s="87">
        <v>0.24998</v>
      </c>
      <c r="AH806" s="87">
        <v>7.62E-4</v>
      </c>
      <c r="AI806" s="87">
        <v>1.946808</v>
      </c>
      <c r="AJ806" s="87">
        <v>2.031295</v>
      </c>
      <c r="AK806" s="87">
        <v>3.59538</v>
      </c>
      <c r="AL806" s="88" t="s">
        <v>1396</v>
      </c>
    </row>
    <row r="807">
      <c r="A807" s="84" t="s">
        <v>2469</v>
      </c>
      <c r="B807" s="84" t="s">
        <v>2482</v>
      </c>
      <c r="C807" s="84" t="s">
        <v>472</v>
      </c>
      <c r="D807" s="84" t="s">
        <v>507</v>
      </c>
      <c r="E807" s="86">
        <v>46310.0</v>
      </c>
      <c r="F807" s="87">
        <v>16.0</v>
      </c>
      <c r="G807" s="87">
        <v>0.0</v>
      </c>
      <c r="H807" s="87">
        <v>1745.0</v>
      </c>
      <c r="I807" s="87">
        <v>0.0</v>
      </c>
      <c r="J807" s="87">
        <v>17.99246</v>
      </c>
      <c r="K807" s="87">
        <v>22.14016</v>
      </c>
      <c r="L807" s="87">
        <v>21.71555</v>
      </c>
      <c r="M807" s="87">
        <v>14.61995</v>
      </c>
      <c r="N807" s="87">
        <v>0.660336</v>
      </c>
      <c r="O807" s="87">
        <v>0.0</v>
      </c>
      <c r="P807" s="87">
        <v>0.0</v>
      </c>
      <c r="Q807" s="87">
        <v>0.078462</v>
      </c>
      <c r="R807" s="87">
        <v>0.983251</v>
      </c>
      <c r="S807" s="87">
        <v>2.148132</v>
      </c>
      <c r="T807" s="87">
        <v>0.266667</v>
      </c>
      <c r="U807" s="87">
        <v>0.397849</v>
      </c>
      <c r="V807" s="87">
        <v>0.557576</v>
      </c>
      <c r="W807" s="87">
        <v>2.050829</v>
      </c>
      <c r="X807" s="87">
        <v>2.282188</v>
      </c>
      <c r="Y807" s="87">
        <v>1.38376</v>
      </c>
      <c r="Z807" s="87">
        <v>0.0</v>
      </c>
      <c r="AA807" s="87">
        <v>0.609795</v>
      </c>
      <c r="AB807" s="87">
        <v>0.517984</v>
      </c>
      <c r="AC807" s="87">
        <v>0.753123</v>
      </c>
      <c r="AD807" s="87">
        <v>2.207549</v>
      </c>
      <c r="AE807" s="87">
        <v>3.258818</v>
      </c>
      <c r="AF807" s="87">
        <v>6.393384</v>
      </c>
      <c r="AG807" s="87">
        <v>7.03161</v>
      </c>
      <c r="AH807" s="87">
        <v>7.62E-4</v>
      </c>
      <c r="AI807" s="87">
        <v>1.946808</v>
      </c>
      <c r="AJ807" s="87">
        <v>2.031295</v>
      </c>
      <c r="AK807" s="87">
        <v>3.59538</v>
      </c>
      <c r="AL807" s="88" t="s">
        <v>1396</v>
      </c>
    </row>
    <row r="808">
      <c r="A808" s="84" t="s">
        <v>2471</v>
      </c>
      <c r="B808" s="84" t="s">
        <v>2483</v>
      </c>
      <c r="C808" s="84" t="s">
        <v>472</v>
      </c>
      <c r="D808" s="84" t="s">
        <v>507</v>
      </c>
      <c r="E808" s="84" t="s">
        <v>1413</v>
      </c>
      <c r="F808" s="87">
        <v>25.0</v>
      </c>
      <c r="G808" s="87">
        <v>0.0</v>
      </c>
      <c r="H808" s="87">
        <v>5194.0</v>
      </c>
      <c r="I808" s="87">
        <v>0.0</v>
      </c>
      <c r="J808" s="87">
        <v>46.56848</v>
      </c>
      <c r="K808" s="87">
        <v>50.24188</v>
      </c>
      <c r="L808" s="87">
        <v>51.6973</v>
      </c>
      <c r="M808" s="87">
        <v>25.64319</v>
      </c>
      <c r="N808" s="87">
        <v>0.510395</v>
      </c>
      <c r="O808" s="87">
        <v>0.242403</v>
      </c>
      <c r="P808" s="87">
        <v>0.676243</v>
      </c>
      <c r="Q808" s="87">
        <v>0.770353</v>
      </c>
      <c r="R808" s="87">
        <v>1.32677</v>
      </c>
      <c r="S808" s="87">
        <v>2.683046</v>
      </c>
      <c r="T808" s="87">
        <v>0.422195</v>
      </c>
      <c r="U808" s="87">
        <v>0.676243</v>
      </c>
      <c r="V808" s="87">
        <v>0.979076</v>
      </c>
      <c r="W808" s="87">
        <v>1.566667</v>
      </c>
      <c r="X808" s="87">
        <v>2.683046</v>
      </c>
      <c r="Y808" s="87">
        <v>2.009675</v>
      </c>
      <c r="Z808" s="87">
        <v>0.0</v>
      </c>
      <c r="AA808" s="87">
        <v>0.609795</v>
      </c>
      <c r="AB808" s="87">
        <v>0.517984</v>
      </c>
      <c r="AC808" s="87">
        <v>0.753123</v>
      </c>
      <c r="AD808" s="87">
        <v>2.819979</v>
      </c>
      <c r="AE808" s="87">
        <v>3.242291</v>
      </c>
      <c r="AF808" s="87">
        <v>4.465617</v>
      </c>
      <c r="AG808" s="87">
        <v>4.582879</v>
      </c>
      <c r="AH808" s="87">
        <v>7.62E-4</v>
      </c>
      <c r="AI808" s="87">
        <v>1.946808</v>
      </c>
      <c r="AJ808" s="87">
        <v>2.031295</v>
      </c>
      <c r="AK808" s="87">
        <v>3.59538</v>
      </c>
      <c r="AL808" s="88" t="s">
        <v>1396</v>
      </c>
    </row>
    <row r="809">
      <c r="A809" s="84" t="s">
        <v>2473</v>
      </c>
      <c r="B809" s="84" t="s">
        <v>2484</v>
      </c>
      <c r="C809" s="84" t="s">
        <v>472</v>
      </c>
      <c r="D809" s="84" t="s">
        <v>507</v>
      </c>
      <c r="E809" s="84" t="s">
        <v>1398</v>
      </c>
      <c r="F809" s="87">
        <v>25.0</v>
      </c>
      <c r="G809" s="87">
        <v>1.0</v>
      </c>
      <c r="H809" s="87">
        <v>4021.0</v>
      </c>
      <c r="I809" s="87">
        <v>33.0</v>
      </c>
      <c r="J809" s="87">
        <v>19.55624</v>
      </c>
      <c r="K809" s="87">
        <v>18.82807</v>
      </c>
      <c r="L809" s="87">
        <v>22.35067</v>
      </c>
      <c r="M809" s="87">
        <v>12.73417</v>
      </c>
      <c r="N809" s="87">
        <v>0.67634</v>
      </c>
      <c r="O809" s="87">
        <v>0.0</v>
      </c>
      <c r="P809" s="87">
        <v>0.033333</v>
      </c>
      <c r="Q809" s="87">
        <v>0.232258</v>
      </c>
      <c r="R809" s="87">
        <v>0.332258</v>
      </c>
      <c r="S809" s="87">
        <v>0.625275</v>
      </c>
      <c r="T809" s="87">
        <v>0.232258</v>
      </c>
      <c r="U809" s="87">
        <v>0.242857</v>
      </c>
      <c r="V809" s="87">
        <v>0.331183</v>
      </c>
      <c r="W809" s="87">
        <v>0.529167</v>
      </c>
      <c r="X809" s="87">
        <v>1.139014</v>
      </c>
      <c r="Y809" s="87">
        <v>0.753123</v>
      </c>
      <c r="Z809" s="87">
        <v>0.0</v>
      </c>
      <c r="AA809" s="87">
        <v>0.609795</v>
      </c>
      <c r="AB809" s="87">
        <v>0.517984</v>
      </c>
      <c r="AC809" s="87">
        <v>0.753123</v>
      </c>
      <c r="AD809" s="87">
        <v>1.403229</v>
      </c>
      <c r="AE809" s="87">
        <v>1.774821</v>
      </c>
      <c r="AF809" s="87">
        <v>3.147805</v>
      </c>
      <c r="AG809" s="87">
        <v>3.59538</v>
      </c>
      <c r="AH809" s="87">
        <v>7.62E-4</v>
      </c>
      <c r="AI809" s="87">
        <v>1.946808</v>
      </c>
      <c r="AJ809" s="87">
        <v>2.031295</v>
      </c>
      <c r="AK809" s="87">
        <v>3.59538</v>
      </c>
      <c r="AL809" s="88" t="s">
        <v>1396</v>
      </c>
    </row>
    <row r="810">
      <c r="A810" s="84" t="s">
        <v>2475</v>
      </c>
      <c r="B810" s="84" t="s">
        <v>2485</v>
      </c>
      <c r="C810" s="84" t="s">
        <v>472</v>
      </c>
      <c r="D810" s="84" t="s">
        <v>507</v>
      </c>
      <c r="E810" s="84" t="s">
        <v>1400</v>
      </c>
      <c r="F810" s="87">
        <v>104.0</v>
      </c>
      <c r="G810" s="87">
        <v>0.0</v>
      </c>
      <c r="H810" s="87">
        <v>13699.0</v>
      </c>
      <c r="I810" s="87">
        <v>0.0</v>
      </c>
      <c r="J810" s="87">
        <v>65.55366</v>
      </c>
      <c r="K810" s="87">
        <v>64.17187</v>
      </c>
      <c r="L810" s="87">
        <v>66.94777</v>
      </c>
      <c r="M810" s="87">
        <v>43.29714</v>
      </c>
      <c r="N810" s="87">
        <v>0.674706</v>
      </c>
      <c r="O810" s="87">
        <v>0.0</v>
      </c>
      <c r="P810" s="87">
        <v>0.002908</v>
      </c>
      <c r="Q810" s="87">
        <v>0.08335</v>
      </c>
      <c r="R810" s="87">
        <v>0.260181</v>
      </c>
      <c r="S810" s="87">
        <v>0.6352</v>
      </c>
      <c r="T810" s="87">
        <v>0.085714</v>
      </c>
      <c r="U810" s="87">
        <v>0.140806</v>
      </c>
      <c r="V810" s="87">
        <v>0.195473</v>
      </c>
      <c r="W810" s="87">
        <v>0.36819</v>
      </c>
      <c r="X810" s="87">
        <v>0.9239</v>
      </c>
      <c r="Y810" s="87">
        <v>0.617037</v>
      </c>
      <c r="Z810" s="87">
        <v>0.0</v>
      </c>
      <c r="AA810" s="87">
        <v>0.609795</v>
      </c>
      <c r="AB810" s="87">
        <v>0.517984</v>
      </c>
      <c r="AC810" s="87">
        <v>0.753123</v>
      </c>
      <c r="AD810" s="87">
        <v>0.961283</v>
      </c>
      <c r="AE810" s="87">
        <v>1.229542</v>
      </c>
      <c r="AF810" s="87">
        <v>1.996813</v>
      </c>
      <c r="AG810" s="87">
        <v>2.11362</v>
      </c>
      <c r="AH810" s="87">
        <v>7.62E-4</v>
      </c>
      <c r="AI810" s="87">
        <v>1.946808</v>
      </c>
      <c r="AJ810" s="87">
        <v>2.031295</v>
      </c>
      <c r="AK810" s="87">
        <v>3.59538</v>
      </c>
      <c r="AL810" s="88" t="s">
        <v>1396</v>
      </c>
    </row>
    <row r="811">
      <c r="A811" s="84" t="s">
        <v>2477</v>
      </c>
      <c r="B811" s="84" t="s">
        <v>2486</v>
      </c>
      <c r="C811" s="84" t="s">
        <v>472</v>
      </c>
      <c r="D811" s="84" t="s">
        <v>507</v>
      </c>
      <c r="E811" s="89">
        <v>46300.0</v>
      </c>
      <c r="F811" s="87">
        <v>12.0</v>
      </c>
      <c r="G811" s="87">
        <v>0.0</v>
      </c>
      <c r="H811" s="87">
        <v>2919.0</v>
      </c>
      <c r="I811" s="87">
        <v>0.0</v>
      </c>
      <c r="J811" s="87">
        <v>47.07182</v>
      </c>
      <c r="K811" s="87">
        <v>43.52384</v>
      </c>
      <c r="L811" s="87">
        <v>42.89701</v>
      </c>
      <c r="M811" s="87">
        <v>32.92729</v>
      </c>
      <c r="N811" s="87">
        <v>0.756535</v>
      </c>
      <c r="O811" s="87">
        <v>0.0</v>
      </c>
      <c r="P811" s="87">
        <v>0.0</v>
      </c>
      <c r="Q811" s="87">
        <v>0.0</v>
      </c>
      <c r="R811" s="87">
        <v>0.236111</v>
      </c>
      <c r="S811" s="87">
        <v>5.364411</v>
      </c>
      <c r="T811" s="87">
        <v>0.236111</v>
      </c>
      <c r="U811" s="87">
        <v>4.99603</v>
      </c>
      <c r="V811" s="87">
        <v>4.99603</v>
      </c>
      <c r="W811" s="87">
        <v>6.23203</v>
      </c>
      <c r="X811" s="87">
        <v>10.76734</v>
      </c>
      <c r="Y811" s="87">
        <v>3.626986</v>
      </c>
      <c r="Z811" s="87">
        <v>0.0</v>
      </c>
      <c r="AA811" s="87">
        <v>0.609795</v>
      </c>
      <c r="AB811" s="87">
        <v>0.517984</v>
      </c>
      <c r="AC811" s="87">
        <v>0.753123</v>
      </c>
      <c r="AD811" s="87">
        <v>0.67381</v>
      </c>
      <c r="AE811" s="87">
        <v>4.99603</v>
      </c>
      <c r="AF811" s="87">
        <v>6.862284</v>
      </c>
      <c r="AG811" s="87">
        <v>5.759678</v>
      </c>
      <c r="AH811" s="87">
        <v>7.62E-4</v>
      </c>
      <c r="AI811" s="87">
        <v>1.946808</v>
      </c>
      <c r="AJ811" s="87">
        <v>2.031295</v>
      </c>
      <c r="AK811" s="87">
        <v>3.59538</v>
      </c>
      <c r="AL811" s="88" t="s">
        <v>1396</v>
      </c>
    </row>
    <row r="812">
      <c r="A812" s="84" t="s">
        <v>2479</v>
      </c>
      <c r="B812" s="84" t="s">
        <v>2487</v>
      </c>
      <c r="C812" s="84" t="s">
        <v>472</v>
      </c>
      <c r="D812" s="84" t="s">
        <v>507</v>
      </c>
      <c r="E812" s="84" t="s">
        <v>1403</v>
      </c>
      <c r="F812" s="87">
        <v>197.0</v>
      </c>
      <c r="G812" s="87">
        <v>18.0</v>
      </c>
      <c r="H812" s="87">
        <v>1876.0</v>
      </c>
      <c r="I812" s="87">
        <v>1876.0</v>
      </c>
      <c r="J812" s="87">
        <v>0.0</v>
      </c>
      <c r="K812" s="87">
        <v>0.0</v>
      </c>
      <c r="L812" s="87">
        <v>0.0</v>
      </c>
      <c r="M812" s="87">
        <v>0.0</v>
      </c>
      <c r="N812" s="87">
        <v>0.0</v>
      </c>
      <c r="O812" s="87">
        <v>0.0</v>
      </c>
      <c r="P812" s="87">
        <v>0.0</v>
      </c>
      <c r="Q812" s="87">
        <v>0.0</v>
      </c>
      <c r="R812" s="87">
        <v>0.0</v>
      </c>
      <c r="S812" s="87">
        <v>0.0</v>
      </c>
      <c r="T812" s="87">
        <v>0.0</v>
      </c>
      <c r="U812" s="87">
        <v>0.0</v>
      </c>
      <c r="V812" s="87">
        <v>0.0</v>
      </c>
      <c r="W812" s="87">
        <v>0.0</v>
      </c>
      <c r="X812" s="87">
        <v>0.0</v>
      </c>
      <c r="Y812" s="87">
        <v>0.0</v>
      </c>
      <c r="Z812" s="87">
        <v>0.0</v>
      </c>
      <c r="AA812" s="87">
        <v>0.609795</v>
      </c>
      <c r="AB812" s="87">
        <v>0.517984</v>
      </c>
      <c r="AC812" s="87">
        <v>0.753123</v>
      </c>
      <c r="AD812" s="87">
        <v>0.0</v>
      </c>
      <c r="AE812" s="87">
        <v>0.0</v>
      </c>
      <c r="AF812" s="87">
        <v>0.0</v>
      </c>
      <c r="AG812" s="87">
        <v>0.0</v>
      </c>
      <c r="AH812" s="87">
        <v>7.62E-4</v>
      </c>
      <c r="AI812" s="87">
        <v>1.946808</v>
      </c>
      <c r="AJ812" s="87">
        <v>2.031295</v>
      </c>
      <c r="AK812" s="87">
        <v>3.59538</v>
      </c>
      <c r="AL812" s="88" t="s">
        <v>1396</v>
      </c>
    </row>
    <row r="813">
      <c r="A813" s="84" t="s">
        <v>2466</v>
      </c>
      <c r="B813" s="84" t="s">
        <v>2488</v>
      </c>
      <c r="C813" s="84" t="s">
        <v>472</v>
      </c>
      <c r="D813" s="84" t="s">
        <v>1036</v>
      </c>
      <c r="E813" s="84" t="s">
        <v>1426</v>
      </c>
      <c r="F813" s="87">
        <v>4.0</v>
      </c>
      <c r="G813" s="87">
        <v>0.0</v>
      </c>
      <c r="H813" s="87">
        <v>0.0</v>
      </c>
      <c r="I813" s="87">
        <v>0.0</v>
      </c>
      <c r="J813" s="87">
        <v>0.0</v>
      </c>
      <c r="K813" s="87">
        <v>0.0</v>
      </c>
      <c r="L813" s="87">
        <v>0.0</v>
      </c>
      <c r="M813" s="87">
        <v>0.0</v>
      </c>
      <c r="N813" s="87">
        <v>0.0</v>
      </c>
      <c r="O813" s="87">
        <v>0.0</v>
      </c>
      <c r="P813" s="87">
        <v>0.0</v>
      </c>
      <c r="Q813" s="87">
        <v>0.0</v>
      </c>
      <c r="R813" s="87">
        <v>0.0</v>
      </c>
      <c r="S813" s="87">
        <v>0.0</v>
      </c>
      <c r="T813" s="87">
        <v>0.0</v>
      </c>
      <c r="U813" s="87">
        <v>0.0</v>
      </c>
      <c r="V813" s="87">
        <v>0.0</v>
      </c>
      <c r="W813" s="87">
        <v>0.0</v>
      </c>
      <c r="X813" s="87">
        <v>0.0</v>
      </c>
      <c r="Y813" s="87">
        <v>0.0</v>
      </c>
      <c r="Z813" s="87">
        <v>0.0</v>
      </c>
      <c r="AA813" s="87">
        <v>4.672363</v>
      </c>
      <c r="AB813" s="87">
        <v>2.042796</v>
      </c>
      <c r="AC813" s="87">
        <v>3.59538</v>
      </c>
      <c r="AD813" s="87">
        <v>0.0</v>
      </c>
      <c r="AE813" s="87">
        <v>1.0</v>
      </c>
      <c r="AF813" s="87">
        <v>1.741777</v>
      </c>
      <c r="AG813" s="87">
        <v>0.24998</v>
      </c>
      <c r="AH813" s="87">
        <v>7.62E-4</v>
      </c>
      <c r="AI813" s="87">
        <v>1.946808</v>
      </c>
      <c r="AJ813" s="87">
        <v>2.031295</v>
      </c>
      <c r="AK813" s="87">
        <v>3.59538</v>
      </c>
      <c r="AL813" s="88" t="s">
        <v>1396</v>
      </c>
    </row>
    <row r="814">
      <c r="A814" s="84" t="s">
        <v>2469</v>
      </c>
      <c r="B814" s="84" t="s">
        <v>2489</v>
      </c>
      <c r="C814" s="84" t="s">
        <v>472</v>
      </c>
      <c r="D814" s="84" t="s">
        <v>1036</v>
      </c>
      <c r="E814" s="86">
        <v>46310.0</v>
      </c>
      <c r="F814" s="87">
        <v>5.0</v>
      </c>
      <c r="G814" s="87">
        <v>0.0</v>
      </c>
      <c r="H814" s="87">
        <v>7390.0</v>
      </c>
      <c r="I814" s="87">
        <v>0.0</v>
      </c>
      <c r="J814" s="87">
        <v>83.74177</v>
      </c>
      <c r="K814" s="87">
        <v>85.56145</v>
      </c>
      <c r="L814" s="87">
        <v>90.81743</v>
      </c>
      <c r="M814" s="87">
        <v>62.09793</v>
      </c>
      <c r="N814" s="87">
        <v>0.72577</v>
      </c>
      <c r="O814" s="87">
        <v>0.147712</v>
      </c>
      <c r="P814" s="87">
        <v>2.016667</v>
      </c>
      <c r="Q814" s="87">
        <v>2.016667</v>
      </c>
      <c r="R814" s="87">
        <v>3.12036</v>
      </c>
      <c r="S814" s="87">
        <v>18.17878</v>
      </c>
      <c r="T814" s="87">
        <v>0.147712</v>
      </c>
      <c r="U814" s="87">
        <v>2.016667</v>
      </c>
      <c r="V814" s="87">
        <v>2.016667</v>
      </c>
      <c r="W814" s="87">
        <v>3.12036</v>
      </c>
      <c r="X814" s="87">
        <v>18.17878</v>
      </c>
      <c r="Y814" s="87">
        <v>17.11229</v>
      </c>
      <c r="Z814" s="87">
        <v>0.0</v>
      </c>
      <c r="AA814" s="87">
        <v>4.672363</v>
      </c>
      <c r="AB814" s="87">
        <v>2.042796</v>
      </c>
      <c r="AC814" s="87">
        <v>3.59538</v>
      </c>
      <c r="AD814" s="87">
        <v>2.207549</v>
      </c>
      <c r="AE814" s="87">
        <v>3.258818</v>
      </c>
      <c r="AF814" s="87">
        <v>6.393384</v>
      </c>
      <c r="AG814" s="87">
        <v>7.03161</v>
      </c>
      <c r="AH814" s="87">
        <v>7.62E-4</v>
      </c>
      <c r="AI814" s="87">
        <v>1.946808</v>
      </c>
      <c r="AJ814" s="87">
        <v>2.031295</v>
      </c>
      <c r="AK814" s="87">
        <v>3.59538</v>
      </c>
      <c r="AL814" s="88" t="s">
        <v>1396</v>
      </c>
    </row>
    <row r="815">
      <c r="A815" s="84" t="s">
        <v>2471</v>
      </c>
      <c r="B815" s="84" t="s">
        <v>2490</v>
      </c>
      <c r="C815" s="84" t="s">
        <v>472</v>
      </c>
      <c r="D815" s="84" t="s">
        <v>1036</v>
      </c>
      <c r="E815" s="84" t="s">
        <v>1413</v>
      </c>
      <c r="F815" s="87">
        <v>6.0</v>
      </c>
      <c r="G815" s="87">
        <v>0.0</v>
      </c>
      <c r="H815" s="87">
        <v>1680.0</v>
      </c>
      <c r="I815" s="87">
        <v>0.0</v>
      </c>
      <c r="J815" s="87">
        <v>31.2784</v>
      </c>
      <c r="K815" s="87">
        <v>26.98642</v>
      </c>
      <c r="L815" s="87">
        <v>26.14585</v>
      </c>
      <c r="M815" s="87">
        <v>22.31406</v>
      </c>
      <c r="N815" s="87">
        <v>0.826862</v>
      </c>
      <c r="O815" s="87">
        <v>0.0</v>
      </c>
      <c r="P815" s="87">
        <v>0.0</v>
      </c>
      <c r="Q815" s="87">
        <v>0.0</v>
      </c>
      <c r="R815" s="87">
        <v>4.672363</v>
      </c>
      <c r="S815" s="87">
        <v>6.818813</v>
      </c>
      <c r="T815" s="87">
        <v>4.672363</v>
      </c>
      <c r="U815" s="87">
        <v>4.672363</v>
      </c>
      <c r="V815" s="87">
        <v>4.672363</v>
      </c>
      <c r="W815" s="87">
        <v>6.818813</v>
      </c>
      <c r="X815" s="87">
        <v>15.49525</v>
      </c>
      <c r="Y815" s="87">
        <v>4.497737</v>
      </c>
      <c r="Z815" s="87">
        <v>0.0</v>
      </c>
      <c r="AA815" s="87">
        <v>4.672363</v>
      </c>
      <c r="AB815" s="87">
        <v>2.042796</v>
      </c>
      <c r="AC815" s="87">
        <v>3.59538</v>
      </c>
      <c r="AD815" s="87">
        <v>2.819979</v>
      </c>
      <c r="AE815" s="87">
        <v>3.242291</v>
      </c>
      <c r="AF815" s="87">
        <v>4.465617</v>
      </c>
      <c r="AG815" s="87">
        <v>4.582879</v>
      </c>
      <c r="AH815" s="87">
        <v>7.62E-4</v>
      </c>
      <c r="AI815" s="87">
        <v>1.946808</v>
      </c>
      <c r="AJ815" s="87">
        <v>2.031295</v>
      </c>
      <c r="AK815" s="87">
        <v>3.59538</v>
      </c>
      <c r="AL815" s="88" t="s">
        <v>1396</v>
      </c>
    </row>
    <row r="816">
      <c r="A816" s="84" t="s">
        <v>2473</v>
      </c>
      <c r="B816" s="84" t="s">
        <v>2491</v>
      </c>
      <c r="C816" s="84" t="s">
        <v>472</v>
      </c>
      <c r="D816" s="84" t="s">
        <v>1036</v>
      </c>
      <c r="E816" s="84" t="s">
        <v>1398</v>
      </c>
      <c r="F816" s="87">
        <v>8.0</v>
      </c>
      <c r="G816" s="87">
        <v>0.0</v>
      </c>
      <c r="H816" s="87">
        <v>2110.0</v>
      </c>
      <c r="I816" s="87">
        <v>0.0</v>
      </c>
      <c r="J816" s="87">
        <v>25.9205</v>
      </c>
      <c r="K816" s="87">
        <v>28.76304</v>
      </c>
      <c r="L816" s="87">
        <v>31.00534</v>
      </c>
      <c r="M816" s="87">
        <v>26.28532</v>
      </c>
      <c r="N816" s="87">
        <v>0.913858</v>
      </c>
      <c r="O816" s="87">
        <v>0.0</v>
      </c>
      <c r="P816" s="87">
        <v>0.0</v>
      </c>
      <c r="Q816" s="87">
        <v>0.0</v>
      </c>
      <c r="R816" s="87">
        <v>0.266667</v>
      </c>
      <c r="S816" s="87">
        <v>2.21105</v>
      </c>
      <c r="T816" s="87">
        <v>0.266667</v>
      </c>
      <c r="U816" s="87">
        <v>0.266667</v>
      </c>
      <c r="V816" s="87">
        <v>2.21105</v>
      </c>
      <c r="W816" s="87">
        <v>7.002452</v>
      </c>
      <c r="X816" s="87">
        <v>7.002452</v>
      </c>
      <c r="Y816" s="87">
        <v>3.59538</v>
      </c>
      <c r="Z816" s="87">
        <v>0.0</v>
      </c>
      <c r="AA816" s="87">
        <v>4.672363</v>
      </c>
      <c r="AB816" s="87">
        <v>2.042796</v>
      </c>
      <c r="AC816" s="87">
        <v>3.59538</v>
      </c>
      <c r="AD816" s="87">
        <v>1.403229</v>
      </c>
      <c r="AE816" s="87">
        <v>1.774821</v>
      </c>
      <c r="AF816" s="87">
        <v>3.147805</v>
      </c>
      <c r="AG816" s="87">
        <v>3.59538</v>
      </c>
      <c r="AH816" s="87">
        <v>7.62E-4</v>
      </c>
      <c r="AI816" s="87">
        <v>1.946808</v>
      </c>
      <c r="AJ816" s="87">
        <v>2.031295</v>
      </c>
      <c r="AK816" s="87">
        <v>3.59538</v>
      </c>
      <c r="AL816" s="88" t="s">
        <v>1396</v>
      </c>
    </row>
    <row r="817">
      <c r="A817" s="84" t="s">
        <v>2475</v>
      </c>
      <c r="B817" s="84" t="s">
        <v>2492</v>
      </c>
      <c r="C817" s="84" t="s">
        <v>472</v>
      </c>
      <c r="D817" s="84" t="s">
        <v>1036</v>
      </c>
      <c r="E817" s="84" t="s">
        <v>1400</v>
      </c>
      <c r="F817" s="87">
        <v>4.0</v>
      </c>
      <c r="G817" s="87">
        <v>0.0</v>
      </c>
      <c r="H817" s="87">
        <v>427.0</v>
      </c>
      <c r="I817" s="87">
        <v>0.0</v>
      </c>
      <c r="J817" s="87">
        <v>11.08127</v>
      </c>
      <c r="K817" s="87">
        <v>11.51444</v>
      </c>
      <c r="L817" s="87">
        <v>10.22987</v>
      </c>
      <c r="M817" s="87">
        <v>8.804441</v>
      </c>
      <c r="N817" s="87">
        <v>0.764644</v>
      </c>
      <c r="O817" s="87">
        <v>0.0</v>
      </c>
      <c r="P817" s="87">
        <v>0.0</v>
      </c>
      <c r="Q817" s="87">
        <v>0.0</v>
      </c>
      <c r="R817" s="87">
        <v>2.709997</v>
      </c>
      <c r="S817" s="87">
        <v>2.709997</v>
      </c>
      <c r="T817" s="87">
        <v>2.709997</v>
      </c>
      <c r="U817" s="87">
        <v>2.709997</v>
      </c>
      <c r="V817" s="87">
        <v>2.709997</v>
      </c>
      <c r="W817" s="87">
        <v>8.804441</v>
      </c>
      <c r="X817" s="87">
        <v>8.804441</v>
      </c>
      <c r="Y817" s="87">
        <v>2.878609</v>
      </c>
      <c r="Z817" s="87">
        <v>0.0</v>
      </c>
      <c r="AA817" s="87">
        <v>4.672363</v>
      </c>
      <c r="AB817" s="87">
        <v>2.042796</v>
      </c>
      <c r="AC817" s="87">
        <v>3.59538</v>
      </c>
      <c r="AD817" s="87">
        <v>0.961283</v>
      </c>
      <c r="AE817" s="87">
        <v>1.229542</v>
      </c>
      <c r="AF817" s="87">
        <v>1.996813</v>
      </c>
      <c r="AG817" s="87">
        <v>2.11362</v>
      </c>
      <c r="AH817" s="87">
        <v>7.62E-4</v>
      </c>
      <c r="AI817" s="87">
        <v>1.946808</v>
      </c>
      <c r="AJ817" s="87">
        <v>2.031295</v>
      </c>
      <c r="AK817" s="87">
        <v>3.59538</v>
      </c>
      <c r="AL817" s="88" t="s">
        <v>1396</v>
      </c>
    </row>
    <row r="818">
      <c r="A818" s="84" t="s">
        <v>2477</v>
      </c>
      <c r="B818" s="84" t="s">
        <v>2493</v>
      </c>
      <c r="C818" s="84" t="s">
        <v>472</v>
      </c>
      <c r="D818" s="84" t="s">
        <v>1036</v>
      </c>
      <c r="E818" s="89">
        <v>46300.0</v>
      </c>
      <c r="F818" s="87">
        <v>8.0</v>
      </c>
      <c r="G818" s="87">
        <v>0.0</v>
      </c>
      <c r="H818" s="87">
        <v>3932.0</v>
      </c>
      <c r="I818" s="87">
        <v>0.0</v>
      </c>
      <c r="J818" s="87">
        <v>60.54338</v>
      </c>
      <c r="K818" s="87">
        <v>73.92498</v>
      </c>
      <c r="L818" s="87">
        <v>78.45367</v>
      </c>
      <c r="M818" s="87">
        <v>72.81854</v>
      </c>
      <c r="N818" s="87">
        <v>0.985033</v>
      </c>
      <c r="O818" s="87">
        <v>0.0</v>
      </c>
      <c r="P818" s="87">
        <v>0.0</v>
      </c>
      <c r="Q818" s="87">
        <v>0.0</v>
      </c>
      <c r="R818" s="87">
        <v>0.37381</v>
      </c>
      <c r="S818" s="87">
        <v>0.67381</v>
      </c>
      <c r="T818" s="87">
        <v>0.058824</v>
      </c>
      <c r="U818" s="87">
        <v>0.37381</v>
      </c>
      <c r="V818" s="87">
        <v>0.37381</v>
      </c>
      <c r="W818" s="87">
        <v>0.67381</v>
      </c>
      <c r="X818" s="87">
        <v>12.30743</v>
      </c>
      <c r="Y818" s="87">
        <v>9.240623</v>
      </c>
      <c r="Z818" s="87">
        <v>0.0</v>
      </c>
      <c r="AA818" s="87">
        <v>4.672363</v>
      </c>
      <c r="AB818" s="87">
        <v>2.042796</v>
      </c>
      <c r="AC818" s="87">
        <v>3.59538</v>
      </c>
      <c r="AD818" s="87">
        <v>0.67381</v>
      </c>
      <c r="AE818" s="87">
        <v>4.99603</v>
      </c>
      <c r="AF818" s="87">
        <v>6.862284</v>
      </c>
      <c r="AG818" s="87">
        <v>5.759678</v>
      </c>
      <c r="AH818" s="87">
        <v>7.62E-4</v>
      </c>
      <c r="AI818" s="87">
        <v>1.946808</v>
      </c>
      <c r="AJ818" s="87">
        <v>2.031295</v>
      </c>
      <c r="AK818" s="87">
        <v>3.59538</v>
      </c>
      <c r="AL818" s="88" t="s">
        <v>1396</v>
      </c>
    </row>
    <row r="819">
      <c r="A819" s="84" t="s">
        <v>2479</v>
      </c>
      <c r="B819" s="84" t="s">
        <v>2494</v>
      </c>
      <c r="C819" s="84" t="s">
        <v>472</v>
      </c>
      <c r="D819" s="84" t="s">
        <v>1036</v>
      </c>
      <c r="E819" s="84" t="s">
        <v>1403</v>
      </c>
      <c r="F819" s="87">
        <v>76.0</v>
      </c>
      <c r="G819" s="87">
        <v>1.0</v>
      </c>
      <c r="H819" s="87">
        <v>4.0</v>
      </c>
      <c r="I819" s="87">
        <v>4.0</v>
      </c>
      <c r="J819" s="87">
        <v>0.0</v>
      </c>
      <c r="K819" s="87">
        <v>0.0</v>
      </c>
      <c r="L819" s="87">
        <v>0.0</v>
      </c>
      <c r="M819" s="87">
        <v>0.0</v>
      </c>
      <c r="N819" s="87">
        <v>0.0</v>
      </c>
      <c r="O819" s="87">
        <v>0.0</v>
      </c>
      <c r="P819" s="87">
        <v>0.0</v>
      </c>
      <c r="Q819" s="87">
        <v>0.0</v>
      </c>
      <c r="R819" s="87">
        <v>0.0</v>
      </c>
      <c r="S819" s="87">
        <v>0.0</v>
      </c>
      <c r="T819" s="87">
        <v>0.0</v>
      </c>
      <c r="U819" s="87">
        <v>0.0</v>
      </c>
      <c r="V819" s="87">
        <v>0.0</v>
      </c>
      <c r="W819" s="87">
        <v>0.0</v>
      </c>
      <c r="X819" s="87">
        <v>0.0</v>
      </c>
      <c r="Y819" s="87">
        <v>0.0</v>
      </c>
      <c r="Z819" s="87">
        <v>0.0</v>
      </c>
      <c r="AA819" s="87">
        <v>4.672363</v>
      </c>
      <c r="AB819" s="87">
        <v>2.042796</v>
      </c>
      <c r="AC819" s="87">
        <v>3.59538</v>
      </c>
      <c r="AD819" s="87">
        <v>0.0</v>
      </c>
      <c r="AE819" s="87">
        <v>0.0</v>
      </c>
      <c r="AF819" s="87">
        <v>0.0</v>
      </c>
      <c r="AG819" s="87">
        <v>0.0</v>
      </c>
      <c r="AH819" s="87">
        <v>7.62E-4</v>
      </c>
      <c r="AI819" s="87">
        <v>1.946808</v>
      </c>
      <c r="AJ819" s="87">
        <v>2.031295</v>
      </c>
      <c r="AK819" s="87">
        <v>3.59538</v>
      </c>
      <c r="AL819" s="88" t="s">
        <v>1396</v>
      </c>
    </row>
    <row r="820">
      <c r="A820" s="84" t="s">
        <v>2469</v>
      </c>
      <c r="B820" s="84" t="s">
        <v>2495</v>
      </c>
      <c r="C820" s="84" t="s">
        <v>472</v>
      </c>
      <c r="D820" s="84" t="s">
        <v>2496</v>
      </c>
      <c r="E820" s="86">
        <v>46310.0</v>
      </c>
      <c r="F820" s="87">
        <v>13.0</v>
      </c>
      <c r="G820" s="87">
        <v>0.0</v>
      </c>
      <c r="H820" s="87">
        <v>3988.0</v>
      </c>
      <c r="I820" s="87">
        <v>0.0</v>
      </c>
      <c r="J820" s="87">
        <v>53.49856</v>
      </c>
      <c r="K820" s="87">
        <v>61.73395</v>
      </c>
      <c r="L820" s="87">
        <v>60.29093</v>
      </c>
      <c r="M820" s="87">
        <v>34.71563</v>
      </c>
      <c r="N820" s="87">
        <v>0.562343</v>
      </c>
      <c r="O820" s="87">
        <v>0.0</v>
      </c>
      <c r="P820" s="87">
        <v>0.0</v>
      </c>
      <c r="Q820" s="87">
        <v>0.0</v>
      </c>
      <c r="R820" s="87">
        <v>3.687936</v>
      </c>
      <c r="S820" s="87">
        <v>8.896522</v>
      </c>
      <c r="T820" s="87">
        <v>1.204243</v>
      </c>
      <c r="U820" s="87">
        <v>2.857901</v>
      </c>
      <c r="V820" s="87">
        <v>3.687936</v>
      </c>
      <c r="W820" s="87">
        <v>5.209189</v>
      </c>
      <c r="X820" s="87">
        <v>10.41185</v>
      </c>
      <c r="Y820" s="87">
        <v>4.748766</v>
      </c>
      <c r="Z820" s="87">
        <v>0.011111</v>
      </c>
      <c r="AA820" s="87">
        <v>3.352176</v>
      </c>
      <c r="AB820" s="87">
        <v>2.457584</v>
      </c>
      <c r="AC820" s="87">
        <v>4.748766</v>
      </c>
      <c r="AD820" s="87">
        <v>2.207549</v>
      </c>
      <c r="AE820" s="87">
        <v>3.258818</v>
      </c>
      <c r="AF820" s="87">
        <v>6.393384</v>
      </c>
      <c r="AG820" s="87">
        <v>7.03161</v>
      </c>
      <c r="AH820" s="87">
        <v>7.62E-4</v>
      </c>
      <c r="AI820" s="87">
        <v>1.946808</v>
      </c>
      <c r="AJ820" s="87">
        <v>2.031295</v>
      </c>
      <c r="AK820" s="87">
        <v>3.59538</v>
      </c>
      <c r="AL820" s="88" t="s">
        <v>1396</v>
      </c>
    </row>
    <row r="821">
      <c r="A821" s="84" t="s">
        <v>2471</v>
      </c>
      <c r="B821" s="84" t="s">
        <v>2497</v>
      </c>
      <c r="C821" s="84" t="s">
        <v>472</v>
      </c>
      <c r="D821" s="84" t="s">
        <v>2496</v>
      </c>
      <c r="E821" s="84" t="s">
        <v>1413</v>
      </c>
      <c r="F821" s="87">
        <v>40.0</v>
      </c>
      <c r="G821" s="87">
        <v>0.0</v>
      </c>
      <c r="H821" s="87">
        <v>17850.0</v>
      </c>
      <c r="I821" s="87">
        <v>0.0</v>
      </c>
      <c r="J821" s="87">
        <v>184.4851</v>
      </c>
      <c r="K821" s="87">
        <v>209.5633</v>
      </c>
      <c r="L821" s="87">
        <v>206.1649</v>
      </c>
      <c r="M821" s="87">
        <v>103.9422</v>
      </c>
      <c r="N821" s="87">
        <v>0.495994</v>
      </c>
      <c r="O821" s="87">
        <v>0.722578</v>
      </c>
      <c r="P821" s="87">
        <v>2.052142</v>
      </c>
      <c r="Q821" s="87">
        <v>2.797059</v>
      </c>
      <c r="R821" s="87">
        <v>4.150744</v>
      </c>
      <c r="S821" s="87">
        <v>5.488396</v>
      </c>
      <c r="T821" s="87">
        <v>1.553994</v>
      </c>
      <c r="U821" s="87">
        <v>2.53422</v>
      </c>
      <c r="V821" s="87">
        <v>3.031228</v>
      </c>
      <c r="W821" s="87">
        <v>4.35531</v>
      </c>
      <c r="X821" s="87">
        <v>5.488396</v>
      </c>
      <c r="Y821" s="87">
        <v>5.239083</v>
      </c>
      <c r="Z821" s="87">
        <v>0.011111</v>
      </c>
      <c r="AA821" s="87">
        <v>3.352176</v>
      </c>
      <c r="AB821" s="87">
        <v>2.457584</v>
      </c>
      <c r="AC821" s="87">
        <v>4.748766</v>
      </c>
      <c r="AD821" s="87">
        <v>2.819979</v>
      </c>
      <c r="AE821" s="87">
        <v>3.242291</v>
      </c>
      <c r="AF821" s="87">
        <v>4.465617</v>
      </c>
      <c r="AG821" s="87">
        <v>4.582879</v>
      </c>
      <c r="AH821" s="87">
        <v>7.62E-4</v>
      </c>
      <c r="AI821" s="87">
        <v>1.946808</v>
      </c>
      <c r="AJ821" s="87">
        <v>2.031295</v>
      </c>
      <c r="AK821" s="87">
        <v>3.59538</v>
      </c>
      <c r="AL821" s="88" t="s">
        <v>1396</v>
      </c>
    </row>
    <row r="822">
      <c r="A822" s="84" t="s">
        <v>2473</v>
      </c>
      <c r="B822" s="84" t="s">
        <v>2498</v>
      </c>
      <c r="C822" s="84" t="s">
        <v>472</v>
      </c>
      <c r="D822" s="84" t="s">
        <v>2496</v>
      </c>
      <c r="E822" s="84" t="s">
        <v>1398</v>
      </c>
      <c r="F822" s="87">
        <v>13.0</v>
      </c>
      <c r="G822" s="87">
        <v>0.0</v>
      </c>
      <c r="H822" s="87">
        <v>3305.0</v>
      </c>
      <c r="I822" s="87">
        <v>0.0</v>
      </c>
      <c r="J822" s="87">
        <v>22.69317</v>
      </c>
      <c r="K822" s="87">
        <v>24.7564</v>
      </c>
      <c r="L822" s="87">
        <v>27.85141</v>
      </c>
      <c r="M822" s="87">
        <v>17.46945</v>
      </c>
      <c r="N822" s="87">
        <v>0.705654</v>
      </c>
      <c r="O822" s="87">
        <v>0.0</v>
      </c>
      <c r="P822" s="87">
        <v>0.033333</v>
      </c>
      <c r="Q822" s="87">
        <v>0.232258</v>
      </c>
      <c r="R822" s="87">
        <v>1.281272</v>
      </c>
      <c r="S822" s="87">
        <v>1.621743</v>
      </c>
      <c r="T822" s="87">
        <v>0.232258</v>
      </c>
      <c r="U822" s="87">
        <v>0.335632</v>
      </c>
      <c r="V822" s="87">
        <v>0.97825</v>
      </c>
      <c r="W822" s="87">
        <v>1.300649</v>
      </c>
      <c r="X822" s="87">
        <v>1.621743</v>
      </c>
      <c r="Y822" s="87">
        <v>1.904338</v>
      </c>
      <c r="Z822" s="87">
        <v>0.011111</v>
      </c>
      <c r="AA822" s="87">
        <v>3.352176</v>
      </c>
      <c r="AB822" s="87">
        <v>2.457584</v>
      </c>
      <c r="AC822" s="87">
        <v>4.748766</v>
      </c>
      <c r="AD822" s="87">
        <v>1.403229</v>
      </c>
      <c r="AE822" s="87">
        <v>1.774821</v>
      </c>
      <c r="AF822" s="87">
        <v>3.147805</v>
      </c>
      <c r="AG822" s="87">
        <v>3.59538</v>
      </c>
      <c r="AH822" s="87">
        <v>7.62E-4</v>
      </c>
      <c r="AI822" s="87">
        <v>1.946808</v>
      </c>
      <c r="AJ822" s="87">
        <v>2.031295</v>
      </c>
      <c r="AK822" s="87">
        <v>3.59538</v>
      </c>
      <c r="AL822" s="88" t="s">
        <v>1396</v>
      </c>
    </row>
    <row r="823">
      <c r="A823" s="84" t="s">
        <v>2475</v>
      </c>
      <c r="B823" s="84" t="s">
        <v>2499</v>
      </c>
      <c r="C823" s="84" t="s">
        <v>472</v>
      </c>
      <c r="D823" s="84" t="s">
        <v>2496</v>
      </c>
      <c r="E823" s="84" t="s">
        <v>1400</v>
      </c>
      <c r="F823" s="87">
        <v>9.0</v>
      </c>
      <c r="G823" s="87">
        <v>1.0</v>
      </c>
      <c r="H823" s="87">
        <v>941.0</v>
      </c>
      <c r="I823" s="87">
        <v>70.0</v>
      </c>
      <c r="J823" s="87">
        <v>10.63069</v>
      </c>
      <c r="K823" s="87">
        <v>10.98543</v>
      </c>
      <c r="L823" s="87">
        <v>9.906052</v>
      </c>
      <c r="M823" s="87">
        <v>5.603615</v>
      </c>
      <c r="N823" s="87">
        <v>0.510095</v>
      </c>
      <c r="O823" s="87">
        <v>0.0</v>
      </c>
      <c r="P823" s="87">
        <v>0.2</v>
      </c>
      <c r="Q823" s="87">
        <v>0.233333</v>
      </c>
      <c r="R823" s="87">
        <v>0.487668</v>
      </c>
      <c r="S823" s="87">
        <v>2.298375</v>
      </c>
      <c r="T823" s="87">
        <v>0.2</v>
      </c>
      <c r="U823" s="87">
        <v>0.233333</v>
      </c>
      <c r="V823" s="87">
        <v>0.340278</v>
      </c>
      <c r="W823" s="87">
        <v>1.822164</v>
      </c>
      <c r="X823" s="87">
        <v>2.298375</v>
      </c>
      <c r="Y823" s="87">
        <v>1.220604</v>
      </c>
      <c r="Z823" s="87">
        <v>0.011111</v>
      </c>
      <c r="AA823" s="87">
        <v>3.352176</v>
      </c>
      <c r="AB823" s="87">
        <v>2.457584</v>
      </c>
      <c r="AC823" s="87">
        <v>4.748766</v>
      </c>
      <c r="AD823" s="87">
        <v>0.961283</v>
      </c>
      <c r="AE823" s="87">
        <v>1.229542</v>
      </c>
      <c r="AF823" s="87">
        <v>1.996813</v>
      </c>
      <c r="AG823" s="87">
        <v>2.11362</v>
      </c>
      <c r="AH823" s="87">
        <v>7.62E-4</v>
      </c>
      <c r="AI823" s="87">
        <v>1.946808</v>
      </c>
      <c r="AJ823" s="87">
        <v>2.031295</v>
      </c>
      <c r="AK823" s="87">
        <v>3.59538</v>
      </c>
      <c r="AL823" s="88" t="s">
        <v>1396</v>
      </c>
    </row>
    <row r="824">
      <c r="A824" s="84" t="s">
        <v>2477</v>
      </c>
      <c r="B824" s="84" t="s">
        <v>2500</v>
      </c>
      <c r="C824" s="84" t="s">
        <v>472</v>
      </c>
      <c r="D824" s="84" t="s">
        <v>2496</v>
      </c>
      <c r="E824" s="89">
        <v>46300.0</v>
      </c>
      <c r="F824" s="87">
        <v>5.0</v>
      </c>
      <c r="G824" s="87">
        <v>0.0</v>
      </c>
      <c r="H824" s="87">
        <v>4520.0</v>
      </c>
      <c r="I824" s="87">
        <v>0.0</v>
      </c>
      <c r="J824" s="87">
        <v>32.71872</v>
      </c>
      <c r="K824" s="87">
        <v>34.56506</v>
      </c>
      <c r="L824" s="87">
        <v>30.90165</v>
      </c>
      <c r="M824" s="87">
        <v>33.28887</v>
      </c>
      <c r="N824" s="87">
        <v>0.963079</v>
      </c>
      <c r="O824" s="87">
        <v>0.0</v>
      </c>
      <c r="P824" s="87">
        <v>0.166667</v>
      </c>
      <c r="Q824" s="87">
        <v>0.166667</v>
      </c>
      <c r="R824" s="87">
        <v>0.509524</v>
      </c>
      <c r="S824" s="87">
        <v>0.6</v>
      </c>
      <c r="T824" s="87">
        <v>0.166667</v>
      </c>
      <c r="U824" s="87">
        <v>0.166667</v>
      </c>
      <c r="V824" s="87">
        <v>0.509524</v>
      </c>
      <c r="W824" s="87">
        <v>0.6</v>
      </c>
      <c r="X824" s="87">
        <v>0.6</v>
      </c>
      <c r="Y824" s="87">
        <v>6.913012</v>
      </c>
      <c r="Z824" s="87">
        <v>0.011111</v>
      </c>
      <c r="AA824" s="87">
        <v>3.352176</v>
      </c>
      <c r="AB824" s="87">
        <v>2.457584</v>
      </c>
      <c r="AC824" s="87">
        <v>4.748766</v>
      </c>
      <c r="AD824" s="87">
        <v>0.67381</v>
      </c>
      <c r="AE824" s="87">
        <v>4.99603</v>
      </c>
      <c r="AF824" s="87">
        <v>6.862284</v>
      </c>
      <c r="AG824" s="87">
        <v>5.759678</v>
      </c>
      <c r="AH824" s="87">
        <v>7.62E-4</v>
      </c>
      <c r="AI824" s="87">
        <v>1.946808</v>
      </c>
      <c r="AJ824" s="87">
        <v>2.031295</v>
      </c>
      <c r="AK824" s="87">
        <v>3.59538</v>
      </c>
      <c r="AL824" s="88" t="s">
        <v>1396</v>
      </c>
    </row>
    <row r="825">
      <c r="A825" s="84" t="s">
        <v>2479</v>
      </c>
      <c r="B825" s="84" t="s">
        <v>2501</v>
      </c>
      <c r="C825" s="84" t="s">
        <v>472</v>
      </c>
      <c r="D825" s="84" t="s">
        <v>2496</v>
      </c>
      <c r="E825" s="84" t="s">
        <v>1403</v>
      </c>
      <c r="F825" s="87">
        <v>59.0</v>
      </c>
      <c r="G825" s="87">
        <v>11.0</v>
      </c>
      <c r="H825" s="87">
        <v>297.0</v>
      </c>
      <c r="I825" s="87">
        <v>297.0</v>
      </c>
      <c r="J825" s="87">
        <v>0.0</v>
      </c>
      <c r="K825" s="87">
        <v>0.0</v>
      </c>
      <c r="L825" s="87">
        <v>0.0</v>
      </c>
      <c r="M825" s="87">
        <v>0.0</v>
      </c>
      <c r="N825" s="87">
        <v>0.0</v>
      </c>
      <c r="O825" s="87">
        <v>0.0</v>
      </c>
      <c r="P825" s="87">
        <v>0.0</v>
      </c>
      <c r="Q825" s="87">
        <v>0.0</v>
      </c>
      <c r="R825" s="87">
        <v>0.0</v>
      </c>
      <c r="S825" s="87">
        <v>0.0</v>
      </c>
      <c r="T825" s="87">
        <v>0.0</v>
      </c>
      <c r="U825" s="87">
        <v>0.0</v>
      </c>
      <c r="V825" s="87">
        <v>0.0</v>
      </c>
      <c r="W825" s="87">
        <v>0.0</v>
      </c>
      <c r="X825" s="87">
        <v>0.0</v>
      </c>
      <c r="Y825" s="87">
        <v>0.0</v>
      </c>
      <c r="Z825" s="87">
        <v>0.011111</v>
      </c>
      <c r="AA825" s="87">
        <v>3.352176</v>
      </c>
      <c r="AB825" s="87">
        <v>2.457584</v>
      </c>
      <c r="AC825" s="87">
        <v>4.748766</v>
      </c>
      <c r="AD825" s="87">
        <v>0.0</v>
      </c>
      <c r="AE825" s="87">
        <v>0.0</v>
      </c>
      <c r="AF825" s="87">
        <v>0.0</v>
      </c>
      <c r="AG825" s="87">
        <v>0.0</v>
      </c>
      <c r="AH825" s="87">
        <v>7.62E-4</v>
      </c>
      <c r="AI825" s="87">
        <v>1.946808</v>
      </c>
      <c r="AJ825" s="87">
        <v>2.031295</v>
      </c>
      <c r="AK825" s="87">
        <v>3.59538</v>
      </c>
      <c r="AL825" s="88" t="s">
        <v>1396</v>
      </c>
    </row>
    <row r="826">
      <c r="A826" s="84" t="s">
        <v>2466</v>
      </c>
      <c r="B826" s="84" t="s">
        <v>2502</v>
      </c>
      <c r="C826" s="84" t="s">
        <v>472</v>
      </c>
      <c r="D826" s="84" t="s">
        <v>473</v>
      </c>
      <c r="E826" s="84" t="s">
        <v>1426</v>
      </c>
      <c r="F826" s="87">
        <v>7.0</v>
      </c>
      <c r="G826" s="87">
        <v>0.0</v>
      </c>
      <c r="H826" s="87">
        <v>391.0</v>
      </c>
      <c r="I826" s="87">
        <v>0.0</v>
      </c>
      <c r="J826" s="87">
        <v>1.8171</v>
      </c>
      <c r="K826" s="87">
        <v>1.749863</v>
      </c>
      <c r="L826" s="87">
        <v>2.33198</v>
      </c>
      <c r="M826" s="87">
        <v>1.749863</v>
      </c>
      <c r="N826" s="87">
        <v>1.0</v>
      </c>
      <c r="O826" s="87">
        <v>0.0</v>
      </c>
      <c r="P826" s="87">
        <v>0.0</v>
      </c>
      <c r="Q826" s="87">
        <v>0.0</v>
      </c>
      <c r="R826" s="87">
        <v>0.0</v>
      </c>
      <c r="S826" s="87">
        <v>0.0</v>
      </c>
      <c r="T826" s="87">
        <v>0.166667</v>
      </c>
      <c r="U826" s="87">
        <v>0.166667</v>
      </c>
      <c r="V826" s="87">
        <v>0.166667</v>
      </c>
      <c r="W826" s="87">
        <v>1.583197</v>
      </c>
      <c r="X826" s="87">
        <v>1.583197</v>
      </c>
      <c r="Y826" s="87">
        <v>0.24998</v>
      </c>
      <c r="Z826" s="87">
        <v>1.209993</v>
      </c>
      <c r="AA826" s="87">
        <v>3.636687</v>
      </c>
      <c r="AB826" s="87">
        <v>4.341515</v>
      </c>
      <c r="AC826" s="87">
        <v>4.57915</v>
      </c>
      <c r="AD826" s="87">
        <v>0.0</v>
      </c>
      <c r="AE826" s="87">
        <v>1.0</v>
      </c>
      <c r="AF826" s="87">
        <v>1.741777</v>
      </c>
      <c r="AG826" s="87">
        <v>0.24998</v>
      </c>
      <c r="AH826" s="87">
        <v>7.62E-4</v>
      </c>
      <c r="AI826" s="87">
        <v>1.946808</v>
      </c>
      <c r="AJ826" s="87">
        <v>2.031295</v>
      </c>
      <c r="AK826" s="87">
        <v>3.59538</v>
      </c>
      <c r="AL826" s="88" t="s">
        <v>1396</v>
      </c>
    </row>
    <row r="827">
      <c r="A827" s="84" t="s">
        <v>2469</v>
      </c>
      <c r="B827" s="84" t="s">
        <v>2503</v>
      </c>
      <c r="C827" s="84" t="s">
        <v>472</v>
      </c>
      <c r="D827" s="84" t="s">
        <v>473</v>
      </c>
      <c r="E827" s="86">
        <v>46310.0</v>
      </c>
      <c r="F827" s="87">
        <v>22.0</v>
      </c>
      <c r="G827" s="87">
        <v>0.0</v>
      </c>
      <c r="H827" s="87">
        <v>29970.0</v>
      </c>
      <c r="I827" s="87">
        <v>0.0</v>
      </c>
      <c r="J827" s="87">
        <v>226.1563</v>
      </c>
      <c r="K827" s="87">
        <v>228.5773</v>
      </c>
      <c r="L827" s="87">
        <v>230.8762</v>
      </c>
      <c r="M827" s="87">
        <v>128.1558</v>
      </c>
      <c r="N827" s="87">
        <v>0.560667</v>
      </c>
      <c r="O827" s="87">
        <v>0.398925</v>
      </c>
      <c r="P827" s="87">
        <v>0.604293</v>
      </c>
      <c r="Q827" s="87">
        <v>3.468081</v>
      </c>
      <c r="R827" s="87">
        <v>8.957867</v>
      </c>
      <c r="S827" s="87">
        <v>11.96222</v>
      </c>
      <c r="T827" s="87">
        <v>0.604293</v>
      </c>
      <c r="U827" s="87">
        <v>3.468081</v>
      </c>
      <c r="V827" s="87">
        <v>4.628129</v>
      </c>
      <c r="W827" s="87">
        <v>9.755982</v>
      </c>
      <c r="X827" s="87">
        <v>17.91998</v>
      </c>
      <c r="Y827" s="87">
        <v>10.38988</v>
      </c>
      <c r="Z827" s="87">
        <v>1.209993</v>
      </c>
      <c r="AA827" s="87">
        <v>3.636687</v>
      </c>
      <c r="AB827" s="87">
        <v>4.341515</v>
      </c>
      <c r="AC827" s="87">
        <v>4.57915</v>
      </c>
      <c r="AD827" s="87">
        <v>2.207549</v>
      </c>
      <c r="AE827" s="87">
        <v>3.258818</v>
      </c>
      <c r="AF827" s="87">
        <v>6.393384</v>
      </c>
      <c r="AG827" s="87">
        <v>7.03161</v>
      </c>
      <c r="AH827" s="87">
        <v>7.62E-4</v>
      </c>
      <c r="AI827" s="87">
        <v>1.946808</v>
      </c>
      <c r="AJ827" s="87">
        <v>2.031295</v>
      </c>
      <c r="AK827" s="87">
        <v>3.59538</v>
      </c>
      <c r="AL827" s="88" t="s">
        <v>1396</v>
      </c>
    </row>
    <row r="828">
      <c r="A828" s="84" t="s">
        <v>2471</v>
      </c>
      <c r="B828" s="84" t="s">
        <v>2504</v>
      </c>
      <c r="C828" s="84" t="s">
        <v>472</v>
      </c>
      <c r="D828" s="84" t="s">
        <v>473</v>
      </c>
      <c r="E828" s="84" t="s">
        <v>1413</v>
      </c>
      <c r="F828" s="87">
        <v>15.0</v>
      </c>
      <c r="G828" s="87">
        <v>0.0</v>
      </c>
      <c r="H828" s="87">
        <v>15961.0</v>
      </c>
      <c r="I828" s="87">
        <v>0.0</v>
      </c>
      <c r="J828" s="87">
        <v>118.1008</v>
      </c>
      <c r="K828" s="87">
        <v>122.9922</v>
      </c>
      <c r="L828" s="87">
        <v>118.8694</v>
      </c>
      <c r="M828" s="87">
        <v>53.84784</v>
      </c>
      <c r="N828" s="87">
        <v>0.437815</v>
      </c>
      <c r="O828" s="87">
        <v>1.177398</v>
      </c>
      <c r="P828" s="87">
        <v>3.74265</v>
      </c>
      <c r="Q828" s="87">
        <v>3.9364</v>
      </c>
      <c r="R828" s="87">
        <v>6.99274</v>
      </c>
      <c r="S828" s="87">
        <v>10.82996</v>
      </c>
      <c r="T828" s="87">
        <v>1.719987</v>
      </c>
      <c r="U828" s="87">
        <v>3.74265</v>
      </c>
      <c r="V828" s="87">
        <v>4.094905</v>
      </c>
      <c r="W828" s="87">
        <v>8.361349</v>
      </c>
      <c r="X828" s="87">
        <v>10.82996</v>
      </c>
      <c r="Y828" s="87">
        <v>8.199482</v>
      </c>
      <c r="Z828" s="87">
        <v>1.209993</v>
      </c>
      <c r="AA828" s="87">
        <v>3.636687</v>
      </c>
      <c r="AB828" s="87">
        <v>4.341515</v>
      </c>
      <c r="AC828" s="87">
        <v>4.57915</v>
      </c>
      <c r="AD828" s="87">
        <v>2.819979</v>
      </c>
      <c r="AE828" s="87">
        <v>3.242291</v>
      </c>
      <c r="AF828" s="87">
        <v>4.465617</v>
      </c>
      <c r="AG828" s="87">
        <v>4.582879</v>
      </c>
      <c r="AH828" s="87">
        <v>7.62E-4</v>
      </c>
      <c r="AI828" s="87">
        <v>1.946808</v>
      </c>
      <c r="AJ828" s="87">
        <v>2.031295</v>
      </c>
      <c r="AK828" s="87">
        <v>3.59538</v>
      </c>
      <c r="AL828" s="88" t="s">
        <v>1396</v>
      </c>
    </row>
    <row r="829">
      <c r="A829" s="84" t="s">
        <v>2473</v>
      </c>
      <c r="B829" s="84" t="s">
        <v>2505</v>
      </c>
      <c r="C829" s="84" t="s">
        <v>472</v>
      </c>
      <c r="D829" s="84" t="s">
        <v>473</v>
      </c>
      <c r="E829" s="84" t="s">
        <v>1398</v>
      </c>
      <c r="F829" s="87">
        <v>18.0</v>
      </c>
      <c r="G829" s="87">
        <v>0.0</v>
      </c>
      <c r="H829" s="87">
        <v>11667.0</v>
      </c>
      <c r="I829" s="87">
        <v>0.0</v>
      </c>
      <c r="J829" s="87">
        <v>72.85706</v>
      </c>
      <c r="K829" s="87">
        <v>82.42469</v>
      </c>
      <c r="L829" s="87">
        <v>82.39502</v>
      </c>
      <c r="M829" s="87">
        <v>51.97831</v>
      </c>
      <c r="N829" s="87">
        <v>0.630616</v>
      </c>
      <c r="O829" s="87">
        <v>0.25</v>
      </c>
      <c r="P829" s="87">
        <v>1.62381</v>
      </c>
      <c r="Q829" s="87">
        <v>2.0676</v>
      </c>
      <c r="R829" s="87">
        <v>2.631932</v>
      </c>
      <c r="S829" s="87">
        <v>3.916667</v>
      </c>
      <c r="T829" s="87">
        <v>1.182674</v>
      </c>
      <c r="U829" s="87">
        <v>1.625</v>
      </c>
      <c r="V829" s="87">
        <v>2.146105</v>
      </c>
      <c r="W829" s="87">
        <v>2.631932</v>
      </c>
      <c r="X829" s="87">
        <v>3.916667</v>
      </c>
      <c r="Y829" s="87">
        <v>4.57915</v>
      </c>
      <c r="Z829" s="87">
        <v>1.209993</v>
      </c>
      <c r="AA829" s="87">
        <v>3.636687</v>
      </c>
      <c r="AB829" s="87">
        <v>4.341515</v>
      </c>
      <c r="AC829" s="87">
        <v>4.57915</v>
      </c>
      <c r="AD829" s="87">
        <v>1.403229</v>
      </c>
      <c r="AE829" s="87">
        <v>1.774821</v>
      </c>
      <c r="AF829" s="87">
        <v>3.147805</v>
      </c>
      <c r="AG829" s="87">
        <v>3.59538</v>
      </c>
      <c r="AH829" s="87">
        <v>7.62E-4</v>
      </c>
      <c r="AI829" s="87">
        <v>1.946808</v>
      </c>
      <c r="AJ829" s="87">
        <v>2.031295</v>
      </c>
      <c r="AK829" s="87">
        <v>3.59538</v>
      </c>
      <c r="AL829" s="88" t="s">
        <v>1396</v>
      </c>
    </row>
    <row r="830">
      <c r="A830" s="84" t="s">
        <v>2475</v>
      </c>
      <c r="B830" s="84" t="s">
        <v>2506</v>
      </c>
      <c r="C830" s="84" t="s">
        <v>472</v>
      </c>
      <c r="D830" s="84" t="s">
        <v>473</v>
      </c>
      <c r="E830" s="84" t="s">
        <v>1400</v>
      </c>
      <c r="F830" s="87">
        <v>35.0</v>
      </c>
      <c r="G830" s="87">
        <v>1.0</v>
      </c>
      <c r="H830" s="87">
        <v>13704.0</v>
      </c>
      <c r="I830" s="87">
        <v>119.0</v>
      </c>
      <c r="J830" s="87">
        <v>70.9683</v>
      </c>
      <c r="K830" s="87">
        <v>73.97669</v>
      </c>
      <c r="L830" s="87">
        <v>77.05543</v>
      </c>
      <c r="M830" s="87">
        <v>44.41887</v>
      </c>
      <c r="N830" s="87">
        <v>0.600444</v>
      </c>
      <c r="O830" s="87">
        <v>0.0</v>
      </c>
      <c r="P830" s="87">
        <v>0.125</v>
      </c>
      <c r="Q830" s="87">
        <v>0.666667</v>
      </c>
      <c r="R830" s="87">
        <v>1.26229</v>
      </c>
      <c r="S830" s="87">
        <v>2.334102</v>
      </c>
      <c r="T830" s="87">
        <v>0.125</v>
      </c>
      <c r="U830" s="87">
        <v>0.666667</v>
      </c>
      <c r="V830" s="87">
        <v>0.852232</v>
      </c>
      <c r="W830" s="87">
        <v>1.47255</v>
      </c>
      <c r="X830" s="87">
        <v>2.751392</v>
      </c>
      <c r="Y830" s="87">
        <v>2.11362</v>
      </c>
      <c r="Z830" s="87">
        <v>1.209993</v>
      </c>
      <c r="AA830" s="87">
        <v>3.636687</v>
      </c>
      <c r="AB830" s="87">
        <v>4.341515</v>
      </c>
      <c r="AC830" s="87">
        <v>4.57915</v>
      </c>
      <c r="AD830" s="87">
        <v>0.961283</v>
      </c>
      <c r="AE830" s="87">
        <v>1.229542</v>
      </c>
      <c r="AF830" s="87">
        <v>1.996813</v>
      </c>
      <c r="AG830" s="87">
        <v>2.11362</v>
      </c>
      <c r="AH830" s="87">
        <v>7.62E-4</v>
      </c>
      <c r="AI830" s="87">
        <v>1.946808</v>
      </c>
      <c r="AJ830" s="87">
        <v>2.031295</v>
      </c>
      <c r="AK830" s="87">
        <v>3.59538</v>
      </c>
      <c r="AL830" s="88" t="s">
        <v>1396</v>
      </c>
    </row>
    <row r="831">
      <c r="A831" s="84" t="s">
        <v>2477</v>
      </c>
      <c r="B831" s="84" t="s">
        <v>2507</v>
      </c>
      <c r="C831" s="84" t="s">
        <v>472</v>
      </c>
      <c r="D831" s="84" t="s">
        <v>473</v>
      </c>
      <c r="E831" s="89">
        <v>46300.0</v>
      </c>
      <c r="F831" s="87">
        <v>11.0</v>
      </c>
      <c r="G831" s="87">
        <v>0.0</v>
      </c>
      <c r="H831" s="87">
        <v>7726.0</v>
      </c>
      <c r="I831" s="87">
        <v>0.0</v>
      </c>
      <c r="J831" s="87">
        <v>117.9669</v>
      </c>
      <c r="K831" s="87">
        <v>119.7989</v>
      </c>
      <c r="L831" s="87">
        <v>125.6924</v>
      </c>
      <c r="M831" s="87">
        <v>80.85208</v>
      </c>
      <c r="N831" s="87">
        <v>0.674899</v>
      </c>
      <c r="O831" s="87">
        <v>0.0</v>
      </c>
      <c r="P831" s="87">
        <v>0.0</v>
      </c>
      <c r="Q831" s="87">
        <v>1.018224</v>
      </c>
      <c r="R831" s="87">
        <v>7.063365</v>
      </c>
      <c r="S831" s="87">
        <v>15.68003</v>
      </c>
      <c r="T831" s="87">
        <v>1.018224</v>
      </c>
      <c r="U831" s="87">
        <v>6.152379</v>
      </c>
      <c r="V831" s="87">
        <v>7.063365</v>
      </c>
      <c r="W831" s="87">
        <v>15.68003</v>
      </c>
      <c r="X831" s="87">
        <v>21.879</v>
      </c>
      <c r="Y831" s="87">
        <v>10.8908</v>
      </c>
      <c r="Z831" s="87">
        <v>1.209993</v>
      </c>
      <c r="AA831" s="87">
        <v>3.636687</v>
      </c>
      <c r="AB831" s="87">
        <v>4.341515</v>
      </c>
      <c r="AC831" s="87">
        <v>4.57915</v>
      </c>
      <c r="AD831" s="87">
        <v>0.67381</v>
      </c>
      <c r="AE831" s="87">
        <v>4.99603</v>
      </c>
      <c r="AF831" s="87">
        <v>6.862284</v>
      </c>
      <c r="AG831" s="87">
        <v>5.759678</v>
      </c>
      <c r="AH831" s="87">
        <v>7.62E-4</v>
      </c>
      <c r="AI831" s="87">
        <v>1.946808</v>
      </c>
      <c r="AJ831" s="87">
        <v>2.031295</v>
      </c>
      <c r="AK831" s="87">
        <v>3.59538</v>
      </c>
      <c r="AL831" s="88" t="s">
        <v>1396</v>
      </c>
    </row>
    <row r="832">
      <c r="A832" s="84" t="s">
        <v>2479</v>
      </c>
      <c r="B832" s="84" t="s">
        <v>2508</v>
      </c>
      <c r="C832" s="84" t="s">
        <v>472</v>
      </c>
      <c r="D832" s="84" t="s">
        <v>473</v>
      </c>
      <c r="E832" s="84" t="s">
        <v>1403</v>
      </c>
      <c r="F832" s="87">
        <v>37.0</v>
      </c>
      <c r="G832" s="87">
        <v>0.0</v>
      </c>
      <c r="H832" s="87">
        <v>0.0</v>
      </c>
      <c r="I832" s="87">
        <v>0.0</v>
      </c>
      <c r="J832" s="87">
        <v>0.0</v>
      </c>
      <c r="K832" s="87">
        <v>0.0</v>
      </c>
      <c r="L832" s="87">
        <v>0.0</v>
      </c>
      <c r="M832" s="87">
        <v>0.0</v>
      </c>
      <c r="N832" s="87">
        <v>0.0</v>
      </c>
      <c r="O832" s="87">
        <v>0.0</v>
      </c>
      <c r="P832" s="87">
        <v>0.0</v>
      </c>
      <c r="Q832" s="87">
        <v>0.0</v>
      </c>
      <c r="R832" s="87">
        <v>0.0</v>
      </c>
      <c r="S832" s="87">
        <v>0.0</v>
      </c>
      <c r="T832" s="87">
        <v>0.0</v>
      </c>
      <c r="U832" s="87">
        <v>0.0</v>
      </c>
      <c r="V832" s="87">
        <v>0.0</v>
      </c>
      <c r="W832" s="87">
        <v>0.0</v>
      </c>
      <c r="X832" s="87">
        <v>0.0</v>
      </c>
      <c r="Y832" s="87">
        <v>0.0</v>
      </c>
      <c r="Z832" s="87">
        <v>1.209993</v>
      </c>
      <c r="AA832" s="87">
        <v>3.636687</v>
      </c>
      <c r="AB832" s="87">
        <v>4.341515</v>
      </c>
      <c r="AC832" s="87">
        <v>4.57915</v>
      </c>
      <c r="AD832" s="87">
        <v>0.0</v>
      </c>
      <c r="AE832" s="87">
        <v>0.0</v>
      </c>
      <c r="AF832" s="87">
        <v>0.0</v>
      </c>
      <c r="AG832" s="87">
        <v>0.0</v>
      </c>
      <c r="AH832" s="87">
        <v>7.62E-4</v>
      </c>
      <c r="AI832" s="87">
        <v>1.946808</v>
      </c>
      <c r="AJ832" s="87">
        <v>2.031295</v>
      </c>
      <c r="AK832" s="87">
        <v>3.59538</v>
      </c>
      <c r="AL832" s="88" t="s">
        <v>1396</v>
      </c>
    </row>
    <row r="833">
      <c r="A833" s="84" t="s">
        <v>2466</v>
      </c>
      <c r="B833" s="84" t="s">
        <v>2509</v>
      </c>
      <c r="C833" s="84" t="s">
        <v>472</v>
      </c>
      <c r="D833" s="84" t="s">
        <v>503</v>
      </c>
      <c r="E833" s="84" t="s">
        <v>1426</v>
      </c>
      <c r="F833" s="87">
        <v>8.0</v>
      </c>
      <c r="G833" s="87">
        <v>0.0</v>
      </c>
      <c r="H833" s="87">
        <v>0.0</v>
      </c>
      <c r="I833" s="87">
        <v>0.0</v>
      </c>
      <c r="J833" s="87">
        <v>0.0</v>
      </c>
      <c r="K833" s="87">
        <v>0.5</v>
      </c>
      <c r="L833" s="87">
        <v>1.784314</v>
      </c>
      <c r="M833" s="87">
        <v>0.5</v>
      </c>
      <c r="N833" s="87">
        <v>1.0</v>
      </c>
      <c r="O833" s="87">
        <v>0.0</v>
      </c>
      <c r="P833" s="87">
        <v>0.0</v>
      </c>
      <c r="Q833" s="87">
        <v>0.0</v>
      </c>
      <c r="R833" s="87">
        <v>0.0</v>
      </c>
      <c r="S833" s="87">
        <v>0.0</v>
      </c>
      <c r="T833" s="87">
        <v>0.5</v>
      </c>
      <c r="U833" s="87">
        <v>0.5</v>
      </c>
      <c r="V833" s="87">
        <v>0.5</v>
      </c>
      <c r="W833" s="87">
        <v>0.5</v>
      </c>
      <c r="X833" s="87">
        <v>0.5</v>
      </c>
      <c r="Y833" s="87">
        <v>0.0625</v>
      </c>
      <c r="Z833" s="87">
        <v>0.005698</v>
      </c>
      <c r="AA833" s="87">
        <v>1.237026</v>
      </c>
      <c r="AB833" s="87">
        <v>1.204899</v>
      </c>
      <c r="AC833" s="87">
        <v>2.004324</v>
      </c>
      <c r="AD833" s="87">
        <v>0.0</v>
      </c>
      <c r="AE833" s="87">
        <v>1.0</v>
      </c>
      <c r="AF833" s="87">
        <v>1.741777</v>
      </c>
      <c r="AG833" s="87">
        <v>0.24998</v>
      </c>
      <c r="AH833" s="87">
        <v>7.62E-4</v>
      </c>
      <c r="AI833" s="87">
        <v>1.946808</v>
      </c>
      <c r="AJ833" s="87">
        <v>2.031295</v>
      </c>
      <c r="AK833" s="87">
        <v>3.59538</v>
      </c>
      <c r="AL833" s="88" t="s">
        <v>1396</v>
      </c>
    </row>
    <row r="834">
      <c r="A834" s="84" t="s">
        <v>2469</v>
      </c>
      <c r="B834" s="84" t="s">
        <v>2510</v>
      </c>
      <c r="C834" s="84" t="s">
        <v>472</v>
      </c>
      <c r="D834" s="84" t="s">
        <v>503</v>
      </c>
      <c r="E834" s="86">
        <v>46310.0</v>
      </c>
      <c r="F834" s="87">
        <v>28.0</v>
      </c>
      <c r="G834" s="87">
        <v>0.0</v>
      </c>
      <c r="H834" s="87">
        <v>4685.0</v>
      </c>
      <c r="I834" s="87">
        <v>0.0</v>
      </c>
      <c r="J834" s="87">
        <v>52.60666</v>
      </c>
      <c r="K834" s="87">
        <v>59.90004</v>
      </c>
      <c r="L834" s="87">
        <v>64.00952</v>
      </c>
      <c r="M834" s="87">
        <v>41.34348</v>
      </c>
      <c r="N834" s="87">
        <v>0.690208</v>
      </c>
      <c r="O834" s="87">
        <v>0.076923</v>
      </c>
      <c r="P834" s="87">
        <v>0.39529</v>
      </c>
      <c r="Q834" s="87">
        <v>0.433013</v>
      </c>
      <c r="R834" s="87">
        <v>1.124432</v>
      </c>
      <c r="S834" s="87">
        <v>1.771575</v>
      </c>
      <c r="T834" s="87">
        <v>0.1</v>
      </c>
      <c r="U834" s="87">
        <v>0.432258</v>
      </c>
      <c r="V834" s="87">
        <v>0.6</v>
      </c>
      <c r="W834" s="87">
        <v>1.279915</v>
      </c>
      <c r="X834" s="87">
        <v>1.95049</v>
      </c>
      <c r="Y834" s="87">
        <v>2.139287</v>
      </c>
      <c r="Z834" s="87">
        <v>0.005698</v>
      </c>
      <c r="AA834" s="87">
        <v>1.237026</v>
      </c>
      <c r="AB834" s="87">
        <v>1.204899</v>
      </c>
      <c r="AC834" s="87">
        <v>2.004324</v>
      </c>
      <c r="AD834" s="87">
        <v>2.207549</v>
      </c>
      <c r="AE834" s="87">
        <v>3.258818</v>
      </c>
      <c r="AF834" s="87">
        <v>6.393384</v>
      </c>
      <c r="AG834" s="87">
        <v>7.03161</v>
      </c>
      <c r="AH834" s="87">
        <v>7.62E-4</v>
      </c>
      <c r="AI834" s="87">
        <v>1.946808</v>
      </c>
      <c r="AJ834" s="87">
        <v>2.031295</v>
      </c>
      <c r="AK834" s="87">
        <v>3.59538</v>
      </c>
      <c r="AL834" s="88" t="s">
        <v>1396</v>
      </c>
    </row>
    <row r="835">
      <c r="A835" s="84" t="s">
        <v>2471</v>
      </c>
      <c r="B835" s="84" t="s">
        <v>2511</v>
      </c>
      <c r="C835" s="84" t="s">
        <v>472</v>
      </c>
      <c r="D835" s="84" t="s">
        <v>503</v>
      </c>
      <c r="E835" s="84" t="s">
        <v>1413</v>
      </c>
      <c r="F835" s="87">
        <v>33.0</v>
      </c>
      <c r="G835" s="87">
        <v>0.0</v>
      </c>
      <c r="H835" s="87">
        <v>8451.0</v>
      </c>
      <c r="I835" s="87">
        <v>0.0</v>
      </c>
      <c r="J835" s="87">
        <v>63.79703</v>
      </c>
      <c r="K835" s="87">
        <v>75.83148</v>
      </c>
      <c r="L835" s="87">
        <v>81.29014</v>
      </c>
      <c r="M835" s="87">
        <v>46.41228</v>
      </c>
      <c r="N835" s="87">
        <v>0.612045</v>
      </c>
      <c r="O835" s="87">
        <v>0.0</v>
      </c>
      <c r="P835" s="87">
        <v>0.233333</v>
      </c>
      <c r="Q835" s="87">
        <v>0.568968</v>
      </c>
      <c r="R835" s="87">
        <v>1.277778</v>
      </c>
      <c r="S835" s="87">
        <v>3.139747</v>
      </c>
      <c r="T835" s="87">
        <v>0.316667</v>
      </c>
      <c r="U835" s="87">
        <v>0.67619</v>
      </c>
      <c r="V835" s="87">
        <v>1.098999</v>
      </c>
      <c r="W835" s="87">
        <v>1.661544</v>
      </c>
      <c r="X835" s="87">
        <v>3.162863</v>
      </c>
      <c r="Y835" s="87">
        <v>2.297924</v>
      </c>
      <c r="Z835" s="87">
        <v>0.005698</v>
      </c>
      <c r="AA835" s="87">
        <v>1.237026</v>
      </c>
      <c r="AB835" s="87">
        <v>1.204899</v>
      </c>
      <c r="AC835" s="87">
        <v>2.004324</v>
      </c>
      <c r="AD835" s="87">
        <v>2.819979</v>
      </c>
      <c r="AE835" s="87">
        <v>3.242291</v>
      </c>
      <c r="AF835" s="87">
        <v>4.465617</v>
      </c>
      <c r="AG835" s="87">
        <v>4.582879</v>
      </c>
      <c r="AH835" s="87">
        <v>7.62E-4</v>
      </c>
      <c r="AI835" s="87">
        <v>1.946808</v>
      </c>
      <c r="AJ835" s="87">
        <v>2.031295</v>
      </c>
      <c r="AK835" s="87">
        <v>3.59538</v>
      </c>
      <c r="AL835" s="88" t="s">
        <v>1396</v>
      </c>
    </row>
    <row r="836">
      <c r="A836" s="84" t="s">
        <v>2473</v>
      </c>
      <c r="B836" s="84" t="s">
        <v>2512</v>
      </c>
      <c r="C836" s="84" t="s">
        <v>472</v>
      </c>
      <c r="D836" s="84" t="s">
        <v>503</v>
      </c>
      <c r="E836" s="84" t="s">
        <v>1398</v>
      </c>
      <c r="F836" s="87">
        <v>37.0</v>
      </c>
      <c r="G836" s="87">
        <v>0.0</v>
      </c>
      <c r="H836" s="87">
        <v>8867.0</v>
      </c>
      <c r="I836" s="87">
        <v>0.0</v>
      </c>
      <c r="J836" s="87">
        <v>103.2531</v>
      </c>
      <c r="K836" s="87">
        <v>99.53345</v>
      </c>
      <c r="L836" s="87">
        <v>102.2171</v>
      </c>
      <c r="M836" s="87">
        <v>62.63975</v>
      </c>
      <c r="N836" s="87">
        <v>0.629334</v>
      </c>
      <c r="O836" s="87">
        <v>0.058824</v>
      </c>
      <c r="P836" s="87">
        <v>0.37619</v>
      </c>
      <c r="Q836" s="87">
        <v>0.832258</v>
      </c>
      <c r="R836" s="87">
        <v>1.62063</v>
      </c>
      <c r="S836" s="87">
        <v>2.649795</v>
      </c>
      <c r="T836" s="87">
        <v>0.234886</v>
      </c>
      <c r="U836" s="87">
        <v>0.642029</v>
      </c>
      <c r="V836" s="87">
        <v>0.974304</v>
      </c>
      <c r="W836" s="87">
        <v>1.987125</v>
      </c>
      <c r="X836" s="87">
        <v>2.922436</v>
      </c>
      <c r="Y836" s="87">
        <v>2.690093</v>
      </c>
      <c r="Z836" s="87">
        <v>0.005698</v>
      </c>
      <c r="AA836" s="87">
        <v>1.237026</v>
      </c>
      <c r="AB836" s="87">
        <v>1.204899</v>
      </c>
      <c r="AC836" s="87">
        <v>2.004324</v>
      </c>
      <c r="AD836" s="87">
        <v>1.403229</v>
      </c>
      <c r="AE836" s="87">
        <v>1.774821</v>
      </c>
      <c r="AF836" s="87">
        <v>3.147805</v>
      </c>
      <c r="AG836" s="87">
        <v>3.59538</v>
      </c>
      <c r="AH836" s="87">
        <v>7.62E-4</v>
      </c>
      <c r="AI836" s="87">
        <v>1.946808</v>
      </c>
      <c r="AJ836" s="87">
        <v>2.031295</v>
      </c>
      <c r="AK836" s="87">
        <v>3.59538</v>
      </c>
      <c r="AL836" s="88" t="s">
        <v>1396</v>
      </c>
    </row>
    <row r="837">
      <c r="A837" s="84" t="s">
        <v>2475</v>
      </c>
      <c r="B837" s="84" t="s">
        <v>2513</v>
      </c>
      <c r="C837" s="84" t="s">
        <v>472</v>
      </c>
      <c r="D837" s="84" t="s">
        <v>503</v>
      </c>
      <c r="E837" s="84" t="s">
        <v>1400</v>
      </c>
      <c r="F837" s="87">
        <v>65.0</v>
      </c>
      <c r="G837" s="87">
        <v>0.0</v>
      </c>
      <c r="H837" s="87">
        <v>18680.0</v>
      </c>
      <c r="I837" s="87">
        <v>0.0</v>
      </c>
      <c r="J837" s="87">
        <v>123.3464</v>
      </c>
      <c r="K837" s="87">
        <v>130.2811</v>
      </c>
      <c r="L837" s="87">
        <v>135.4987</v>
      </c>
      <c r="M837" s="87">
        <v>88.88888</v>
      </c>
      <c r="N837" s="87">
        <v>0.682285</v>
      </c>
      <c r="O837" s="87">
        <v>0.033333</v>
      </c>
      <c r="P837" s="87">
        <v>0.260698</v>
      </c>
      <c r="Q837" s="87">
        <v>0.447614</v>
      </c>
      <c r="R837" s="87">
        <v>0.833945</v>
      </c>
      <c r="S837" s="87">
        <v>1.688222</v>
      </c>
      <c r="T837" s="87">
        <v>0.235706</v>
      </c>
      <c r="U837" s="87">
        <v>0.4</v>
      </c>
      <c r="V837" s="87">
        <v>0.531975</v>
      </c>
      <c r="W837" s="87">
        <v>0.951831</v>
      </c>
      <c r="X837" s="87">
        <v>2.0491</v>
      </c>
      <c r="Y837" s="87">
        <v>2.004324</v>
      </c>
      <c r="Z837" s="87">
        <v>0.005698</v>
      </c>
      <c r="AA837" s="87">
        <v>1.237026</v>
      </c>
      <c r="AB837" s="87">
        <v>1.204899</v>
      </c>
      <c r="AC837" s="87">
        <v>2.004324</v>
      </c>
      <c r="AD837" s="87">
        <v>0.961283</v>
      </c>
      <c r="AE837" s="87">
        <v>1.229542</v>
      </c>
      <c r="AF837" s="87">
        <v>1.996813</v>
      </c>
      <c r="AG837" s="87">
        <v>2.11362</v>
      </c>
      <c r="AH837" s="87">
        <v>7.62E-4</v>
      </c>
      <c r="AI837" s="87">
        <v>1.946808</v>
      </c>
      <c r="AJ837" s="87">
        <v>2.031295</v>
      </c>
      <c r="AK837" s="87">
        <v>3.59538</v>
      </c>
      <c r="AL837" s="88" t="s">
        <v>1396</v>
      </c>
    </row>
    <row r="838">
      <c r="A838" s="84" t="s">
        <v>2477</v>
      </c>
      <c r="B838" s="84" t="s">
        <v>2514</v>
      </c>
      <c r="C838" s="84" t="s">
        <v>472</v>
      </c>
      <c r="D838" s="84" t="s">
        <v>503</v>
      </c>
      <c r="E838" s="89">
        <v>46300.0</v>
      </c>
      <c r="F838" s="87">
        <v>10.0</v>
      </c>
      <c r="G838" s="87">
        <v>0.0</v>
      </c>
      <c r="H838" s="87">
        <v>100.0</v>
      </c>
      <c r="I838" s="87">
        <v>0.0</v>
      </c>
      <c r="J838" s="87">
        <v>3.115018</v>
      </c>
      <c r="K838" s="87">
        <v>6.26764</v>
      </c>
      <c r="L838" s="87">
        <v>11.21733</v>
      </c>
      <c r="M838" s="87">
        <v>6.14264</v>
      </c>
      <c r="N838" s="87">
        <v>0.980056</v>
      </c>
      <c r="O838" s="87">
        <v>0.0</v>
      </c>
      <c r="P838" s="87">
        <v>0.0</v>
      </c>
      <c r="Q838" s="87">
        <v>0.0</v>
      </c>
      <c r="R838" s="87">
        <v>0.0</v>
      </c>
      <c r="S838" s="87">
        <v>0.125</v>
      </c>
      <c r="T838" s="87">
        <v>0.125</v>
      </c>
      <c r="U838" s="87">
        <v>0.125</v>
      </c>
      <c r="V838" s="87">
        <v>0.125</v>
      </c>
      <c r="W838" s="87">
        <v>1.411957</v>
      </c>
      <c r="X838" s="87">
        <v>4.730684</v>
      </c>
      <c r="Y838" s="87">
        <v>0.626764</v>
      </c>
      <c r="Z838" s="87">
        <v>0.005698</v>
      </c>
      <c r="AA838" s="87">
        <v>1.237026</v>
      </c>
      <c r="AB838" s="87">
        <v>1.204899</v>
      </c>
      <c r="AC838" s="87">
        <v>2.004324</v>
      </c>
      <c r="AD838" s="87">
        <v>0.67381</v>
      </c>
      <c r="AE838" s="87">
        <v>4.99603</v>
      </c>
      <c r="AF838" s="87">
        <v>6.862284</v>
      </c>
      <c r="AG838" s="87">
        <v>5.759678</v>
      </c>
      <c r="AH838" s="87">
        <v>7.62E-4</v>
      </c>
      <c r="AI838" s="87">
        <v>1.946808</v>
      </c>
      <c r="AJ838" s="87">
        <v>2.031295</v>
      </c>
      <c r="AK838" s="87">
        <v>3.59538</v>
      </c>
      <c r="AL838" s="88" t="s">
        <v>1396</v>
      </c>
    </row>
    <row r="839">
      <c r="A839" s="84" t="s">
        <v>2479</v>
      </c>
      <c r="B839" s="84" t="s">
        <v>2515</v>
      </c>
      <c r="C839" s="84" t="s">
        <v>472</v>
      </c>
      <c r="D839" s="84" t="s">
        <v>503</v>
      </c>
      <c r="E839" s="84" t="s">
        <v>1403</v>
      </c>
      <c r="F839" s="87">
        <v>128.0</v>
      </c>
      <c r="G839" s="87">
        <v>35.0</v>
      </c>
      <c r="H839" s="87">
        <v>4406.0</v>
      </c>
      <c r="I839" s="87">
        <v>4406.0</v>
      </c>
      <c r="J839" s="87">
        <v>0.0</v>
      </c>
      <c r="K839" s="87">
        <v>0.0</v>
      </c>
      <c r="L839" s="87">
        <v>0.0</v>
      </c>
      <c r="M839" s="87">
        <v>0.0</v>
      </c>
      <c r="N839" s="87">
        <v>0.0</v>
      </c>
      <c r="O839" s="87">
        <v>0.0</v>
      </c>
      <c r="P839" s="87">
        <v>0.0</v>
      </c>
      <c r="Q839" s="87">
        <v>0.0</v>
      </c>
      <c r="R839" s="87">
        <v>0.0</v>
      </c>
      <c r="S839" s="87">
        <v>0.0</v>
      </c>
      <c r="T839" s="87">
        <v>0.0</v>
      </c>
      <c r="U839" s="87">
        <v>0.0</v>
      </c>
      <c r="V839" s="87">
        <v>0.0</v>
      </c>
      <c r="W839" s="87">
        <v>0.0</v>
      </c>
      <c r="X839" s="87">
        <v>0.0</v>
      </c>
      <c r="Y839" s="87">
        <v>0.0</v>
      </c>
      <c r="Z839" s="87">
        <v>0.005698</v>
      </c>
      <c r="AA839" s="87">
        <v>1.237026</v>
      </c>
      <c r="AB839" s="87">
        <v>1.204899</v>
      </c>
      <c r="AC839" s="87">
        <v>2.004324</v>
      </c>
      <c r="AD839" s="87">
        <v>0.0</v>
      </c>
      <c r="AE839" s="87">
        <v>0.0</v>
      </c>
      <c r="AF839" s="87">
        <v>0.0</v>
      </c>
      <c r="AG839" s="87">
        <v>0.0</v>
      </c>
      <c r="AH839" s="87">
        <v>7.62E-4</v>
      </c>
      <c r="AI839" s="87">
        <v>1.946808</v>
      </c>
      <c r="AJ839" s="87">
        <v>2.031295</v>
      </c>
      <c r="AK839" s="87">
        <v>3.59538</v>
      </c>
      <c r="AL839" s="88" t="s">
        <v>1396</v>
      </c>
    </row>
    <row r="840">
      <c r="A840" s="84" t="s">
        <v>2466</v>
      </c>
      <c r="B840" s="84" t="s">
        <v>2516</v>
      </c>
      <c r="C840" s="84" t="s">
        <v>472</v>
      </c>
      <c r="D840" s="84" t="s">
        <v>2517</v>
      </c>
      <c r="E840" s="84" t="s">
        <v>1426</v>
      </c>
      <c r="F840" s="87">
        <v>1.0</v>
      </c>
      <c r="G840" s="87">
        <v>0.0</v>
      </c>
      <c r="H840" s="87">
        <v>0.0</v>
      </c>
      <c r="I840" s="87">
        <v>0.0</v>
      </c>
      <c r="J840" s="87">
        <v>0.0</v>
      </c>
      <c r="K840" s="87">
        <v>1.0</v>
      </c>
      <c r="L840" s="87">
        <v>4.0</v>
      </c>
      <c r="M840" s="87">
        <v>1.0</v>
      </c>
      <c r="N840" s="87">
        <v>1.0</v>
      </c>
      <c r="O840" s="87">
        <v>1.0</v>
      </c>
      <c r="P840" s="87">
        <v>1.0</v>
      </c>
      <c r="Q840" s="87">
        <v>1.0</v>
      </c>
      <c r="R840" s="87">
        <v>1.0</v>
      </c>
      <c r="S840" s="87">
        <v>1.0</v>
      </c>
      <c r="T840" s="87">
        <v>1.0</v>
      </c>
      <c r="U840" s="87">
        <v>1.0</v>
      </c>
      <c r="V840" s="87">
        <v>1.0</v>
      </c>
      <c r="W840" s="87">
        <v>1.0</v>
      </c>
      <c r="X840" s="87">
        <v>1.0</v>
      </c>
      <c r="Y840" s="87">
        <v>1.0</v>
      </c>
      <c r="Z840" s="87">
        <v>0.010417</v>
      </c>
      <c r="AA840" s="87">
        <v>3.998935</v>
      </c>
      <c r="AB840" s="87">
        <v>3.770438</v>
      </c>
      <c r="AC840" s="87">
        <v>4.456731</v>
      </c>
      <c r="AD840" s="87">
        <v>0.0</v>
      </c>
      <c r="AE840" s="87">
        <v>1.0</v>
      </c>
      <c r="AF840" s="87">
        <v>1.741777</v>
      </c>
      <c r="AG840" s="87">
        <v>0.24998</v>
      </c>
      <c r="AH840" s="87">
        <v>7.62E-4</v>
      </c>
      <c r="AI840" s="87">
        <v>1.946808</v>
      </c>
      <c r="AJ840" s="87">
        <v>2.031295</v>
      </c>
      <c r="AK840" s="87">
        <v>3.59538</v>
      </c>
      <c r="AL840" s="88" t="s">
        <v>1396</v>
      </c>
    </row>
    <row r="841">
      <c r="A841" s="84" t="s">
        <v>2469</v>
      </c>
      <c r="B841" s="84" t="s">
        <v>2518</v>
      </c>
      <c r="C841" s="84" t="s">
        <v>472</v>
      </c>
      <c r="D841" s="84" t="s">
        <v>2517</v>
      </c>
      <c r="E841" s="89">
        <v>46310.0</v>
      </c>
      <c r="F841" s="87">
        <v>11.0</v>
      </c>
      <c r="G841" s="87">
        <v>0.0</v>
      </c>
      <c r="H841" s="87">
        <v>4945.0</v>
      </c>
      <c r="I841" s="87">
        <v>0.0</v>
      </c>
      <c r="J841" s="87">
        <v>52.5958</v>
      </c>
      <c r="K841" s="87">
        <v>63.24976</v>
      </c>
      <c r="L841" s="87">
        <v>56.7413</v>
      </c>
      <c r="M841" s="87">
        <v>37.95306</v>
      </c>
      <c r="N841" s="87">
        <v>0.600051</v>
      </c>
      <c r="O841" s="87">
        <v>0.129194</v>
      </c>
      <c r="P841" s="87">
        <v>2.482816</v>
      </c>
      <c r="Q841" s="87">
        <v>3.820686</v>
      </c>
      <c r="R841" s="87">
        <v>4.378757</v>
      </c>
      <c r="S841" s="87">
        <v>5.539226</v>
      </c>
      <c r="T841" s="87">
        <v>0.129194</v>
      </c>
      <c r="U841" s="87">
        <v>2.482816</v>
      </c>
      <c r="V841" s="87">
        <v>3.820686</v>
      </c>
      <c r="W841" s="87">
        <v>4.378757</v>
      </c>
      <c r="X841" s="87">
        <v>5.539226</v>
      </c>
      <c r="Y841" s="87">
        <v>5.749978</v>
      </c>
      <c r="Z841" s="87">
        <v>0.010417</v>
      </c>
      <c r="AA841" s="87">
        <v>3.998935</v>
      </c>
      <c r="AB841" s="87">
        <v>3.770438</v>
      </c>
      <c r="AC841" s="87">
        <v>4.456731</v>
      </c>
      <c r="AD841" s="87">
        <v>2.207549</v>
      </c>
      <c r="AE841" s="87">
        <v>3.258818</v>
      </c>
      <c r="AF841" s="87">
        <v>6.393384</v>
      </c>
      <c r="AG841" s="87">
        <v>7.03161</v>
      </c>
      <c r="AH841" s="87">
        <v>7.62E-4</v>
      </c>
      <c r="AI841" s="87">
        <v>1.946808</v>
      </c>
      <c r="AJ841" s="87">
        <v>2.031295</v>
      </c>
      <c r="AK841" s="87">
        <v>3.59538</v>
      </c>
      <c r="AL841" s="88" t="s">
        <v>1396</v>
      </c>
    </row>
    <row r="842">
      <c r="A842" s="84" t="s">
        <v>2471</v>
      </c>
      <c r="B842" s="84" t="s">
        <v>2519</v>
      </c>
      <c r="C842" s="84" t="s">
        <v>472</v>
      </c>
      <c r="D842" s="84" t="s">
        <v>2517</v>
      </c>
      <c r="E842" s="84" t="s">
        <v>1413</v>
      </c>
      <c r="F842" s="87">
        <v>12.0</v>
      </c>
      <c r="G842" s="87">
        <v>0.0</v>
      </c>
      <c r="H842" s="87">
        <v>4450.0</v>
      </c>
      <c r="I842" s="87">
        <v>0.0</v>
      </c>
      <c r="J842" s="87">
        <v>34.23303</v>
      </c>
      <c r="K842" s="87">
        <v>53.48077</v>
      </c>
      <c r="L842" s="87">
        <v>47.0247</v>
      </c>
      <c r="M842" s="87">
        <v>27.96623</v>
      </c>
      <c r="N842" s="87">
        <v>0.522921</v>
      </c>
      <c r="O842" s="87">
        <v>0.65353</v>
      </c>
      <c r="P842" s="87">
        <v>0.773074</v>
      </c>
      <c r="Q842" s="87">
        <v>2.321622</v>
      </c>
      <c r="R842" s="87">
        <v>3.913593</v>
      </c>
      <c r="S842" s="87">
        <v>6.004097</v>
      </c>
      <c r="T842" s="87">
        <v>0.65353</v>
      </c>
      <c r="U842" s="87">
        <v>0.773074</v>
      </c>
      <c r="V842" s="87">
        <v>2.321622</v>
      </c>
      <c r="W842" s="87">
        <v>3.913593</v>
      </c>
      <c r="X842" s="87">
        <v>6.004097</v>
      </c>
      <c r="Y842" s="87">
        <v>4.456731</v>
      </c>
      <c r="Z842" s="87">
        <v>0.010417</v>
      </c>
      <c r="AA842" s="87">
        <v>3.998935</v>
      </c>
      <c r="AB842" s="87">
        <v>3.770438</v>
      </c>
      <c r="AC842" s="87">
        <v>4.456731</v>
      </c>
      <c r="AD842" s="87">
        <v>2.819979</v>
      </c>
      <c r="AE842" s="87">
        <v>3.242291</v>
      </c>
      <c r="AF842" s="87">
        <v>4.465617</v>
      </c>
      <c r="AG842" s="87">
        <v>4.582879</v>
      </c>
      <c r="AH842" s="87">
        <v>7.62E-4</v>
      </c>
      <c r="AI842" s="87">
        <v>1.946808</v>
      </c>
      <c r="AJ842" s="87">
        <v>2.031295</v>
      </c>
      <c r="AK842" s="87">
        <v>3.59538</v>
      </c>
      <c r="AL842" s="88" t="s">
        <v>1396</v>
      </c>
    </row>
    <row r="843">
      <c r="A843" s="84" t="s">
        <v>2473</v>
      </c>
      <c r="B843" s="84" t="s">
        <v>2520</v>
      </c>
      <c r="C843" s="84" t="s">
        <v>472</v>
      </c>
      <c r="D843" s="84" t="s">
        <v>2517</v>
      </c>
      <c r="E843" s="84" t="s">
        <v>1398</v>
      </c>
      <c r="F843" s="87">
        <v>10.0</v>
      </c>
      <c r="G843" s="87">
        <v>0.0</v>
      </c>
      <c r="H843" s="87">
        <v>4960.0</v>
      </c>
      <c r="I843" s="87">
        <v>0.0</v>
      </c>
      <c r="J843" s="87">
        <v>57.57868</v>
      </c>
      <c r="K843" s="87">
        <v>53.57922</v>
      </c>
      <c r="L843" s="87">
        <v>53.24202</v>
      </c>
      <c r="M843" s="87">
        <v>26.47881</v>
      </c>
      <c r="N843" s="87">
        <v>0.494199</v>
      </c>
      <c r="O843" s="87">
        <v>0.63337</v>
      </c>
      <c r="P843" s="87">
        <v>1.122821</v>
      </c>
      <c r="Q843" s="87">
        <v>1.69304</v>
      </c>
      <c r="R843" s="87">
        <v>3.841196</v>
      </c>
      <c r="S843" s="87">
        <v>11.71539</v>
      </c>
      <c r="T843" s="87">
        <v>0.63337</v>
      </c>
      <c r="U843" s="87">
        <v>1.122821</v>
      </c>
      <c r="V843" s="87">
        <v>1.69304</v>
      </c>
      <c r="W843" s="87">
        <v>3.841196</v>
      </c>
      <c r="X843" s="87">
        <v>11.71539</v>
      </c>
      <c r="Y843" s="87">
        <v>5.357922</v>
      </c>
      <c r="Z843" s="87">
        <v>0.010417</v>
      </c>
      <c r="AA843" s="87">
        <v>3.998935</v>
      </c>
      <c r="AB843" s="87">
        <v>3.770438</v>
      </c>
      <c r="AC843" s="87">
        <v>4.456731</v>
      </c>
      <c r="AD843" s="87">
        <v>1.403229</v>
      </c>
      <c r="AE843" s="87">
        <v>1.774821</v>
      </c>
      <c r="AF843" s="87">
        <v>3.147805</v>
      </c>
      <c r="AG843" s="87">
        <v>3.59538</v>
      </c>
      <c r="AH843" s="87">
        <v>7.62E-4</v>
      </c>
      <c r="AI843" s="87">
        <v>1.946808</v>
      </c>
      <c r="AJ843" s="87">
        <v>2.031295</v>
      </c>
      <c r="AK843" s="87">
        <v>3.59538</v>
      </c>
      <c r="AL843" s="88" t="s">
        <v>1396</v>
      </c>
    </row>
    <row r="844">
      <c r="A844" s="84" t="s">
        <v>2475</v>
      </c>
      <c r="B844" s="84" t="s">
        <v>2521</v>
      </c>
      <c r="C844" s="84" t="s">
        <v>472</v>
      </c>
      <c r="D844" s="84" t="s">
        <v>2517</v>
      </c>
      <c r="E844" s="84" t="s">
        <v>1400</v>
      </c>
      <c r="F844" s="87">
        <v>3.0</v>
      </c>
      <c r="G844" s="87">
        <v>0.0</v>
      </c>
      <c r="H844" s="87">
        <v>720.0</v>
      </c>
      <c r="I844" s="87">
        <v>0.0</v>
      </c>
      <c r="J844" s="87">
        <v>13.90839</v>
      </c>
      <c r="K844" s="87">
        <v>13.29097</v>
      </c>
      <c r="L844" s="87">
        <v>10.59394</v>
      </c>
      <c r="M844" s="87">
        <v>7.750365</v>
      </c>
      <c r="N844" s="87">
        <v>0.58313</v>
      </c>
      <c r="O844" s="87">
        <v>2.540604</v>
      </c>
      <c r="P844" s="87">
        <v>2.540604</v>
      </c>
      <c r="Q844" s="87">
        <v>2.540604</v>
      </c>
      <c r="R844" s="87">
        <v>3.0</v>
      </c>
      <c r="S844" s="87">
        <v>7.750365</v>
      </c>
      <c r="T844" s="87">
        <v>2.540604</v>
      </c>
      <c r="U844" s="87">
        <v>2.540604</v>
      </c>
      <c r="V844" s="87">
        <v>2.540604</v>
      </c>
      <c r="W844" s="87">
        <v>3.0</v>
      </c>
      <c r="X844" s="87">
        <v>7.750365</v>
      </c>
      <c r="Y844" s="87">
        <v>4.430323</v>
      </c>
      <c r="Z844" s="87">
        <v>0.010417</v>
      </c>
      <c r="AA844" s="87">
        <v>3.998935</v>
      </c>
      <c r="AB844" s="87">
        <v>3.770438</v>
      </c>
      <c r="AC844" s="87">
        <v>4.456731</v>
      </c>
      <c r="AD844" s="87">
        <v>0.961283</v>
      </c>
      <c r="AE844" s="87">
        <v>1.229542</v>
      </c>
      <c r="AF844" s="87">
        <v>1.996813</v>
      </c>
      <c r="AG844" s="87">
        <v>2.11362</v>
      </c>
      <c r="AH844" s="87">
        <v>7.62E-4</v>
      </c>
      <c r="AI844" s="87">
        <v>1.946808</v>
      </c>
      <c r="AJ844" s="87">
        <v>2.031295</v>
      </c>
      <c r="AK844" s="87">
        <v>3.59538</v>
      </c>
      <c r="AL844" s="88" t="s">
        <v>1396</v>
      </c>
    </row>
    <row r="845">
      <c r="A845" s="84" t="s">
        <v>2477</v>
      </c>
      <c r="B845" s="84" t="s">
        <v>2522</v>
      </c>
      <c r="C845" s="84" t="s">
        <v>472</v>
      </c>
      <c r="D845" s="84" t="s">
        <v>2517</v>
      </c>
      <c r="E845" s="89">
        <v>46300.0</v>
      </c>
      <c r="F845" s="87">
        <v>9.0</v>
      </c>
      <c r="G845" s="87">
        <v>0.0</v>
      </c>
      <c r="H845" s="87">
        <v>13144.0</v>
      </c>
      <c r="I845" s="87">
        <v>0.0</v>
      </c>
      <c r="J845" s="87">
        <v>136.6665</v>
      </c>
      <c r="K845" s="87">
        <v>150.9682</v>
      </c>
      <c r="L845" s="87">
        <v>178.0139</v>
      </c>
      <c r="M845" s="87">
        <v>110.0398</v>
      </c>
      <c r="N845" s="87">
        <v>0.728893</v>
      </c>
      <c r="O845" s="87">
        <v>0.0</v>
      </c>
      <c r="P845" s="87">
        <v>0.0</v>
      </c>
      <c r="Q845" s="87">
        <v>0.0</v>
      </c>
      <c r="R845" s="87">
        <v>5.813484</v>
      </c>
      <c r="S845" s="87">
        <v>20.67872</v>
      </c>
      <c r="T845" s="87">
        <v>1.0</v>
      </c>
      <c r="U845" s="87">
        <v>5.813484</v>
      </c>
      <c r="V845" s="87">
        <v>5.813484</v>
      </c>
      <c r="W845" s="87">
        <v>20.67872</v>
      </c>
      <c r="X845" s="87">
        <v>27.91437</v>
      </c>
      <c r="Y845" s="87">
        <v>16.77425</v>
      </c>
      <c r="Z845" s="87">
        <v>0.010417</v>
      </c>
      <c r="AA845" s="87">
        <v>3.998935</v>
      </c>
      <c r="AB845" s="87">
        <v>3.770438</v>
      </c>
      <c r="AC845" s="87">
        <v>4.456731</v>
      </c>
      <c r="AD845" s="87">
        <v>0.67381</v>
      </c>
      <c r="AE845" s="87">
        <v>4.99603</v>
      </c>
      <c r="AF845" s="87">
        <v>6.862284</v>
      </c>
      <c r="AG845" s="87">
        <v>5.759678</v>
      </c>
      <c r="AH845" s="87">
        <v>7.62E-4</v>
      </c>
      <c r="AI845" s="87">
        <v>1.946808</v>
      </c>
      <c r="AJ845" s="87">
        <v>2.031295</v>
      </c>
      <c r="AK845" s="87">
        <v>3.59538</v>
      </c>
      <c r="AL845" s="88" t="s">
        <v>1396</v>
      </c>
    </row>
    <row r="846">
      <c r="A846" s="84" t="s">
        <v>2479</v>
      </c>
      <c r="B846" s="84" t="s">
        <v>2523</v>
      </c>
      <c r="C846" s="84" t="s">
        <v>472</v>
      </c>
      <c r="D846" s="84" t="s">
        <v>2517</v>
      </c>
      <c r="E846" s="84" t="s">
        <v>1403</v>
      </c>
      <c r="F846" s="87">
        <v>43.0</v>
      </c>
      <c r="G846" s="87">
        <v>4.0</v>
      </c>
      <c r="H846" s="87">
        <v>77.0</v>
      </c>
      <c r="I846" s="87">
        <v>77.0</v>
      </c>
      <c r="J846" s="87">
        <v>0.0</v>
      </c>
      <c r="K846" s="87">
        <v>0.0</v>
      </c>
      <c r="L846" s="87">
        <v>0.0</v>
      </c>
      <c r="M846" s="87">
        <v>0.0</v>
      </c>
      <c r="N846" s="87">
        <v>0.0</v>
      </c>
      <c r="O846" s="87">
        <v>0.0</v>
      </c>
      <c r="P846" s="87">
        <v>0.0</v>
      </c>
      <c r="Q846" s="87">
        <v>0.0</v>
      </c>
      <c r="R846" s="87">
        <v>0.0</v>
      </c>
      <c r="S846" s="87">
        <v>0.0</v>
      </c>
      <c r="T846" s="87">
        <v>0.0</v>
      </c>
      <c r="U846" s="87">
        <v>0.0</v>
      </c>
      <c r="V846" s="87">
        <v>0.0</v>
      </c>
      <c r="W846" s="87">
        <v>0.0</v>
      </c>
      <c r="X846" s="87">
        <v>0.0</v>
      </c>
      <c r="Y846" s="87">
        <v>0.0</v>
      </c>
      <c r="Z846" s="87">
        <v>0.010417</v>
      </c>
      <c r="AA846" s="87">
        <v>3.998935</v>
      </c>
      <c r="AB846" s="87">
        <v>3.770438</v>
      </c>
      <c r="AC846" s="87">
        <v>4.456731</v>
      </c>
      <c r="AD846" s="87">
        <v>0.0</v>
      </c>
      <c r="AE846" s="87">
        <v>0.0</v>
      </c>
      <c r="AF846" s="87">
        <v>0.0</v>
      </c>
      <c r="AG846" s="87">
        <v>0.0</v>
      </c>
      <c r="AH846" s="87">
        <v>7.62E-4</v>
      </c>
      <c r="AI846" s="87">
        <v>1.946808</v>
      </c>
      <c r="AJ846" s="87">
        <v>2.031295</v>
      </c>
      <c r="AK846" s="87">
        <v>3.59538</v>
      </c>
      <c r="AL846" s="88" t="s">
        <v>1396</v>
      </c>
    </row>
    <row r="847">
      <c r="A847" s="84" t="s">
        <v>2466</v>
      </c>
      <c r="B847" s="84" t="s">
        <v>2524</v>
      </c>
      <c r="C847" s="84" t="s">
        <v>472</v>
      </c>
      <c r="D847" s="84" t="s">
        <v>477</v>
      </c>
      <c r="E847" s="84" t="s">
        <v>1426</v>
      </c>
      <c r="F847" s="87">
        <v>4.0</v>
      </c>
      <c r="G847" s="87">
        <v>0.0</v>
      </c>
      <c r="H847" s="87">
        <v>2068.0</v>
      </c>
      <c r="I847" s="87">
        <v>0.0</v>
      </c>
      <c r="J847" s="87">
        <v>34.92504</v>
      </c>
      <c r="K847" s="87">
        <v>34.24504</v>
      </c>
      <c r="L847" s="87">
        <v>32.9071</v>
      </c>
      <c r="M847" s="87">
        <v>34.18622</v>
      </c>
      <c r="N847" s="87">
        <v>0.998282</v>
      </c>
      <c r="O847" s="87">
        <v>0.0</v>
      </c>
      <c r="P847" s="87">
        <v>0.0</v>
      </c>
      <c r="Q847" s="87">
        <v>0.0</v>
      </c>
      <c r="R847" s="87">
        <v>0.058824</v>
      </c>
      <c r="S847" s="87">
        <v>0.058824</v>
      </c>
      <c r="T847" s="87">
        <v>0.058824</v>
      </c>
      <c r="U847" s="87">
        <v>0.058824</v>
      </c>
      <c r="V847" s="87">
        <v>0.058824</v>
      </c>
      <c r="W847" s="87">
        <v>34.18622</v>
      </c>
      <c r="X847" s="87">
        <v>34.18622</v>
      </c>
      <c r="Y847" s="87">
        <v>8.561261</v>
      </c>
      <c r="Z847" s="87">
        <v>0.182659</v>
      </c>
      <c r="AA847" s="87">
        <v>2.486757</v>
      </c>
      <c r="AB847" s="87">
        <v>2.870898</v>
      </c>
      <c r="AC847" s="87">
        <v>5.030053</v>
      </c>
      <c r="AD847" s="87">
        <v>0.0</v>
      </c>
      <c r="AE847" s="87">
        <v>1.0</v>
      </c>
      <c r="AF847" s="87">
        <v>1.741777</v>
      </c>
      <c r="AG847" s="87">
        <v>0.24998</v>
      </c>
      <c r="AH847" s="87">
        <v>7.62E-4</v>
      </c>
      <c r="AI847" s="87">
        <v>1.946808</v>
      </c>
      <c r="AJ847" s="87">
        <v>2.031295</v>
      </c>
      <c r="AK847" s="87">
        <v>3.59538</v>
      </c>
      <c r="AL847" s="88" t="s">
        <v>1396</v>
      </c>
    </row>
    <row r="848">
      <c r="A848" s="84" t="s">
        <v>2469</v>
      </c>
      <c r="B848" s="84" t="s">
        <v>2525</v>
      </c>
      <c r="C848" s="84" t="s">
        <v>472</v>
      </c>
      <c r="D848" s="84" t="s">
        <v>477</v>
      </c>
      <c r="E848" s="89">
        <v>46310.0</v>
      </c>
      <c r="F848" s="87">
        <v>15.0</v>
      </c>
      <c r="G848" s="87">
        <v>0.0</v>
      </c>
      <c r="H848" s="87">
        <v>12817.0</v>
      </c>
      <c r="I848" s="87">
        <v>0.0</v>
      </c>
      <c r="J848" s="87">
        <v>156.03</v>
      </c>
      <c r="K848" s="87">
        <v>162.3779</v>
      </c>
      <c r="L848" s="87">
        <v>165.8825</v>
      </c>
      <c r="M848" s="87">
        <v>126.0722</v>
      </c>
      <c r="N848" s="87">
        <v>0.776413</v>
      </c>
      <c r="O848" s="87">
        <v>0.0</v>
      </c>
      <c r="P848" s="87">
        <v>0.0</v>
      </c>
      <c r="Q848" s="87">
        <v>0.0</v>
      </c>
      <c r="R848" s="87">
        <v>1.974416</v>
      </c>
      <c r="S848" s="87">
        <v>6.181647</v>
      </c>
      <c r="T848" s="87">
        <v>1.114252</v>
      </c>
      <c r="U848" s="87">
        <v>1.974416</v>
      </c>
      <c r="V848" s="87">
        <v>3.525</v>
      </c>
      <c r="W848" s="87">
        <v>6.181647</v>
      </c>
      <c r="X848" s="87">
        <v>18.63217</v>
      </c>
      <c r="Y848" s="87">
        <v>10.82519</v>
      </c>
      <c r="Z848" s="87">
        <v>0.182659</v>
      </c>
      <c r="AA848" s="87">
        <v>2.486757</v>
      </c>
      <c r="AB848" s="87">
        <v>2.870898</v>
      </c>
      <c r="AC848" s="87">
        <v>5.030053</v>
      </c>
      <c r="AD848" s="87">
        <v>2.207549</v>
      </c>
      <c r="AE848" s="87">
        <v>3.258818</v>
      </c>
      <c r="AF848" s="87">
        <v>6.393384</v>
      </c>
      <c r="AG848" s="87">
        <v>7.03161</v>
      </c>
      <c r="AH848" s="87">
        <v>7.62E-4</v>
      </c>
      <c r="AI848" s="87">
        <v>1.946808</v>
      </c>
      <c r="AJ848" s="87">
        <v>2.031295</v>
      </c>
      <c r="AK848" s="87">
        <v>3.59538</v>
      </c>
      <c r="AL848" s="88" t="s">
        <v>1396</v>
      </c>
    </row>
    <row r="849">
      <c r="A849" s="84" t="s">
        <v>2471</v>
      </c>
      <c r="B849" s="84" t="s">
        <v>2526</v>
      </c>
      <c r="C849" s="84" t="s">
        <v>472</v>
      </c>
      <c r="D849" s="84" t="s">
        <v>477</v>
      </c>
      <c r="E849" s="84" t="s">
        <v>1413</v>
      </c>
      <c r="F849" s="87">
        <v>16.0</v>
      </c>
      <c r="G849" s="87">
        <v>0.0</v>
      </c>
      <c r="H849" s="87">
        <v>5461.0</v>
      </c>
      <c r="I849" s="87">
        <v>0.0</v>
      </c>
      <c r="J849" s="87">
        <v>84.73423</v>
      </c>
      <c r="K849" s="87">
        <v>80.48086</v>
      </c>
      <c r="L849" s="87">
        <v>82.01924</v>
      </c>
      <c r="M849" s="87">
        <v>64.24169</v>
      </c>
      <c r="N849" s="87">
        <v>0.798223</v>
      </c>
      <c r="O849" s="87">
        <v>0.294631</v>
      </c>
      <c r="P849" s="87">
        <v>1.189947</v>
      </c>
      <c r="Q849" s="87">
        <v>1.226705</v>
      </c>
      <c r="R849" s="87">
        <v>1.901465</v>
      </c>
      <c r="S849" s="87">
        <v>2.897759</v>
      </c>
      <c r="T849" s="87">
        <v>0.303019</v>
      </c>
      <c r="U849" s="87">
        <v>1.226705</v>
      </c>
      <c r="V849" s="87">
        <v>1.296384</v>
      </c>
      <c r="W849" s="87">
        <v>1.901465</v>
      </c>
      <c r="X849" s="87">
        <v>2.897759</v>
      </c>
      <c r="Y849" s="87">
        <v>5.030053</v>
      </c>
      <c r="Z849" s="87">
        <v>0.182659</v>
      </c>
      <c r="AA849" s="87">
        <v>2.486757</v>
      </c>
      <c r="AB849" s="87">
        <v>2.870898</v>
      </c>
      <c r="AC849" s="87">
        <v>5.030053</v>
      </c>
      <c r="AD849" s="87">
        <v>2.819979</v>
      </c>
      <c r="AE849" s="87">
        <v>3.242291</v>
      </c>
      <c r="AF849" s="87">
        <v>4.465617</v>
      </c>
      <c r="AG849" s="87">
        <v>4.582879</v>
      </c>
      <c r="AH849" s="87">
        <v>7.62E-4</v>
      </c>
      <c r="AI849" s="87">
        <v>1.946808</v>
      </c>
      <c r="AJ849" s="87">
        <v>2.031295</v>
      </c>
      <c r="AK849" s="87">
        <v>3.59538</v>
      </c>
      <c r="AL849" s="88" t="s">
        <v>1396</v>
      </c>
    </row>
    <row r="850">
      <c r="A850" s="84" t="s">
        <v>2473</v>
      </c>
      <c r="B850" s="84" t="s">
        <v>2527</v>
      </c>
      <c r="C850" s="84" t="s">
        <v>472</v>
      </c>
      <c r="D850" s="84" t="s">
        <v>477</v>
      </c>
      <c r="E850" s="84" t="s">
        <v>1398</v>
      </c>
      <c r="F850" s="87">
        <v>14.0</v>
      </c>
      <c r="G850" s="87">
        <v>0.0</v>
      </c>
      <c r="H850" s="87">
        <v>11413.0</v>
      </c>
      <c r="I850" s="87">
        <v>0.0</v>
      </c>
      <c r="J850" s="87">
        <v>74.09275</v>
      </c>
      <c r="K850" s="87">
        <v>84.08542</v>
      </c>
      <c r="L850" s="87">
        <v>81.32965</v>
      </c>
      <c r="M850" s="87">
        <v>57.18759</v>
      </c>
      <c r="N850" s="87">
        <v>0.680113</v>
      </c>
      <c r="O850" s="87">
        <v>0.463441</v>
      </c>
      <c r="P850" s="87">
        <v>0.874037</v>
      </c>
      <c r="Q850" s="87">
        <v>1.124731</v>
      </c>
      <c r="R850" s="87">
        <v>3.759688</v>
      </c>
      <c r="S850" s="87">
        <v>4.421761</v>
      </c>
      <c r="T850" s="87">
        <v>0.874037</v>
      </c>
      <c r="U850" s="87">
        <v>1.111054</v>
      </c>
      <c r="V850" s="87">
        <v>1.124731</v>
      </c>
      <c r="W850" s="87">
        <v>3.759688</v>
      </c>
      <c r="X850" s="87">
        <v>5.436763</v>
      </c>
      <c r="Y850" s="87">
        <v>6.006102</v>
      </c>
      <c r="Z850" s="87">
        <v>0.182659</v>
      </c>
      <c r="AA850" s="87">
        <v>2.486757</v>
      </c>
      <c r="AB850" s="87">
        <v>2.870898</v>
      </c>
      <c r="AC850" s="87">
        <v>5.030053</v>
      </c>
      <c r="AD850" s="87">
        <v>1.403229</v>
      </c>
      <c r="AE850" s="87">
        <v>1.774821</v>
      </c>
      <c r="AF850" s="87">
        <v>3.147805</v>
      </c>
      <c r="AG850" s="87">
        <v>3.59538</v>
      </c>
      <c r="AH850" s="87">
        <v>7.62E-4</v>
      </c>
      <c r="AI850" s="87">
        <v>1.946808</v>
      </c>
      <c r="AJ850" s="87">
        <v>2.031295</v>
      </c>
      <c r="AK850" s="87">
        <v>3.59538</v>
      </c>
      <c r="AL850" s="88" t="s">
        <v>1396</v>
      </c>
    </row>
    <row r="851">
      <c r="A851" s="84" t="s">
        <v>2475</v>
      </c>
      <c r="B851" s="84" t="s">
        <v>2528</v>
      </c>
      <c r="C851" s="84" t="s">
        <v>472</v>
      </c>
      <c r="D851" s="84" t="s">
        <v>477</v>
      </c>
      <c r="E851" s="84" t="s">
        <v>1400</v>
      </c>
      <c r="F851" s="87">
        <v>72.0</v>
      </c>
      <c r="G851" s="87">
        <v>0.0</v>
      </c>
      <c r="H851" s="87">
        <v>29945.0</v>
      </c>
      <c r="I851" s="87">
        <v>0.0</v>
      </c>
      <c r="J851" s="87">
        <v>190.185</v>
      </c>
      <c r="K851" s="87">
        <v>201.7199</v>
      </c>
      <c r="L851" s="87">
        <v>200.5125</v>
      </c>
      <c r="M851" s="87">
        <v>119.5515</v>
      </c>
      <c r="N851" s="87">
        <v>0.592661</v>
      </c>
      <c r="O851" s="87">
        <v>0.106667</v>
      </c>
      <c r="P851" s="87">
        <v>0.339545</v>
      </c>
      <c r="Q851" s="87">
        <v>0.801736</v>
      </c>
      <c r="R851" s="87">
        <v>1.903078</v>
      </c>
      <c r="S851" s="87">
        <v>3.001274</v>
      </c>
      <c r="T851" s="87">
        <v>0.309886</v>
      </c>
      <c r="U851" s="87">
        <v>0.600234</v>
      </c>
      <c r="V851" s="87">
        <v>1.084457</v>
      </c>
      <c r="W851" s="87">
        <v>2.12737</v>
      </c>
      <c r="X851" s="87">
        <v>3.250131</v>
      </c>
      <c r="Y851" s="87">
        <v>2.801665</v>
      </c>
      <c r="Z851" s="87">
        <v>0.182659</v>
      </c>
      <c r="AA851" s="87">
        <v>2.486757</v>
      </c>
      <c r="AB851" s="87">
        <v>2.870898</v>
      </c>
      <c r="AC851" s="87">
        <v>5.030053</v>
      </c>
      <c r="AD851" s="87">
        <v>0.961283</v>
      </c>
      <c r="AE851" s="87">
        <v>1.229542</v>
      </c>
      <c r="AF851" s="87">
        <v>1.996813</v>
      </c>
      <c r="AG851" s="87">
        <v>2.11362</v>
      </c>
      <c r="AH851" s="87">
        <v>7.62E-4</v>
      </c>
      <c r="AI851" s="87">
        <v>1.946808</v>
      </c>
      <c r="AJ851" s="87">
        <v>2.031295</v>
      </c>
      <c r="AK851" s="87">
        <v>3.59538</v>
      </c>
      <c r="AL851" s="88" t="s">
        <v>1396</v>
      </c>
    </row>
    <row r="852">
      <c r="A852" s="84" t="s">
        <v>2477</v>
      </c>
      <c r="B852" s="84" t="s">
        <v>2529</v>
      </c>
      <c r="C852" s="84" t="s">
        <v>472</v>
      </c>
      <c r="D852" s="84" t="s">
        <v>477</v>
      </c>
      <c r="E852" s="89">
        <v>46300.0</v>
      </c>
      <c r="F852" s="87">
        <v>17.0</v>
      </c>
      <c r="G852" s="87">
        <v>0.0</v>
      </c>
      <c r="H852" s="87">
        <v>5518.0</v>
      </c>
      <c r="I852" s="87">
        <v>0.0</v>
      </c>
      <c r="J852" s="87">
        <v>73.33998</v>
      </c>
      <c r="K852" s="87">
        <v>77.30125</v>
      </c>
      <c r="L852" s="87">
        <v>78.22248</v>
      </c>
      <c r="M852" s="87">
        <v>57.36669</v>
      </c>
      <c r="N852" s="87">
        <v>0.742119</v>
      </c>
      <c r="O852" s="87">
        <v>0.0</v>
      </c>
      <c r="P852" s="87">
        <v>0.0</v>
      </c>
      <c r="Q852" s="87">
        <v>0.0</v>
      </c>
      <c r="R852" s="87">
        <v>2.482884</v>
      </c>
      <c r="S852" s="87">
        <v>4.015854</v>
      </c>
      <c r="T852" s="87">
        <v>1.753514</v>
      </c>
      <c r="U852" s="87">
        <v>2.482884</v>
      </c>
      <c r="V852" s="87">
        <v>2.667707</v>
      </c>
      <c r="W852" s="87">
        <v>4.015854</v>
      </c>
      <c r="X852" s="87">
        <v>7.812115</v>
      </c>
      <c r="Y852" s="87">
        <v>4.547132</v>
      </c>
      <c r="Z852" s="87">
        <v>0.182659</v>
      </c>
      <c r="AA852" s="87">
        <v>2.486757</v>
      </c>
      <c r="AB852" s="87">
        <v>2.870898</v>
      </c>
      <c r="AC852" s="87">
        <v>5.030053</v>
      </c>
      <c r="AD852" s="87">
        <v>0.67381</v>
      </c>
      <c r="AE852" s="87">
        <v>4.99603</v>
      </c>
      <c r="AF852" s="87">
        <v>6.862284</v>
      </c>
      <c r="AG852" s="87">
        <v>5.759678</v>
      </c>
      <c r="AH852" s="87">
        <v>7.62E-4</v>
      </c>
      <c r="AI852" s="87">
        <v>1.946808</v>
      </c>
      <c r="AJ852" s="87">
        <v>2.031295</v>
      </c>
      <c r="AK852" s="87">
        <v>3.59538</v>
      </c>
      <c r="AL852" s="88" t="s">
        <v>1396</v>
      </c>
    </row>
    <row r="853">
      <c r="A853" s="84" t="s">
        <v>2479</v>
      </c>
      <c r="B853" s="84" t="s">
        <v>2530</v>
      </c>
      <c r="C853" s="84" t="s">
        <v>472</v>
      </c>
      <c r="D853" s="84" t="s">
        <v>477</v>
      </c>
      <c r="E853" s="84" t="s">
        <v>1403</v>
      </c>
      <c r="F853" s="87">
        <v>85.0</v>
      </c>
      <c r="G853" s="87">
        <v>16.0</v>
      </c>
      <c r="H853" s="87">
        <v>584.0</v>
      </c>
      <c r="I853" s="87">
        <v>584.0</v>
      </c>
      <c r="J853" s="87">
        <v>0.0</v>
      </c>
      <c r="K853" s="87">
        <v>0.0</v>
      </c>
      <c r="L853" s="87">
        <v>0.0</v>
      </c>
      <c r="M853" s="87">
        <v>0.0</v>
      </c>
      <c r="N853" s="87">
        <v>0.0</v>
      </c>
      <c r="O853" s="87">
        <v>0.0</v>
      </c>
      <c r="P853" s="87">
        <v>0.0</v>
      </c>
      <c r="Q853" s="87">
        <v>0.0</v>
      </c>
      <c r="R853" s="87">
        <v>0.0</v>
      </c>
      <c r="S853" s="87">
        <v>0.0</v>
      </c>
      <c r="T853" s="87">
        <v>0.0</v>
      </c>
      <c r="U853" s="87">
        <v>0.0</v>
      </c>
      <c r="V853" s="87">
        <v>0.0</v>
      </c>
      <c r="W853" s="87">
        <v>0.0</v>
      </c>
      <c r="X853" s="87">
        <v>0.0</v>
      </c>
      <c r="Y853" s="87">
        <v>0.0</v>
      </c>
      <c r="Z853" s="87">
        <v>0.182659</v>
      </c>
      <c r="AA853" s="87">
        <v>2.486757</v>
      </c>
      <c r="AB853" s="87">
        <v>2.870898</v>
      </c>
      <c r="AC853" s="87">
        <v>5.030053</v>
      </c>
      <c r="AD853" s="87">
        <v>0.0</v>
      </c>
      <c r="AE853" s="87">
        <v>0.0</v>
      </c>
      <c r="AF853" s="87">
        <v>0.0</v>
      </c>
      <c r="AG853" s="87">
        <v>0.0</v>
      </c>
      <c r="AH853" s="87">
        <v>7.62E-4</v>
      </c>
      <c r="AI853" s="87">
        <v>1.946808</v>
      </c>
      <c r="AJ853" s="87">
        <v>2.031295</v>
      </c>
      <c r="AK853" s="87">
        <v>3.59538</v>
      </c>
      <c r="AL853" s="88" t="s">
        <v>1396</v>
      </c>
    </row>
    <row r="854">
      <c r="A854" s="84" t="s">
        <v>2469</v>
      </c>
      <c r="B854" s="84" t="s">
        <v>2531</v>
      </c>
      <c r="C854" s="84" t="s">
        <v>472</v>
      </c>
      <c r="D854" s="84" t="s">
        <v>487</v>
      </c>
      <c r="E854" s="86">
        <v>46310.0</v>
      </c>
      <c r="F854" s="87">
        <v>8.0</v>
      </c>
      <c r="G854" s="87">
        <v>0.0</v>
      </c>
      <c r="H854" s="87">
        <v>5011.0</v>
      </c>
      <c r="I854" s="87">
        <v>0.0</v>
      </c>
      <c r="J854" s="87">
        <v>54.79871</v>
      </c>
      <c r="K854" s="87">
        <v>56.25288</v>
      </c>
      <c r="L854" s="87">
        <v>54.27352</v>
      </c>
      <c r="M854" s="87">
        <v>35.41158</v>
      </c>
      <c r="N854" s="87">
        <v>0.629507</v>
      </c>
      <c r="O854" s="87">
        <v>0.482578</v>
      </c>
      <c r="P854" s="87">
        <v>0.652991</v>
      </c>
      <c r="Q854" s="87">
        <v>2.383818</v>
      </c>
      <c r="R854" s="87">
        <v>5.755548</v>
      </c>
      <c r="S854" s="87">
        <v>7.600953</v>
      </c>
      <c r="T854" s="87">
        <v>0.482578</v>
      </c>
      <c r="U854" s="87">
        <v>0.652991</v>
      </c>
      <c r="V854" s="87">
        <v>2.383818</v>
      </c>
      <c r="W854" s="87">
        <v>5.755548</v>
      </c>
      <c r="X854" s="87">
        <v>7.600953</v>
      </c>
      <c r="Y854" s="87">
        <v>7.03161</v>
      </c>
      <c r="Z854" s="87">
        <v>0.594612</v>
      </c>
      <c r="AA854" s="87">
        <v>1.83138</v>
      </c>
      <c r="AB854" s="87">
        <v>2.092687</v>
      </c>
      <c r="AC854" s="87">
        <v>4.520344</v>
      </c>
      <c r="AD854" s="87">
        <v>2.207549</v>
      </c>
      <c r="AE854" s="87">
        <v>3.258818</v>
      </c>
      <c r="AF854" s="87">
        <v>6.393384</v>
      </c>
      <c r="AG854" s="87">
        <v>7.03161</v>
      </c>
      <c r="AH854" s="87">
        <v>7.62E-4</v>
      </c>
      <c r="AI854" s="87">
        <v>1.946808</v>
      </c>
      <c r="AJ854" s="87">
        <v>2.031295</v>
      </c>
      <c r="AK854" s="87">
        <v>3.59538</v>
      </c>
      <c r="AL854" s="88" t="s">
        <v>1396</v>
      </c>
    </row>
    <row r="855">
      <c r="A855" s="84" t="s">
        <v>2471</v>
      </c>
      <c r="B855" s="84" t="s">
        <v>2532</v>
      </c>
      <c r="C855" s="84" t="s">
        <v>472</v>
      </c>
      <c r="D855" s="84" t="s">
        <v>487</v>
      </c>
      <c r="E855" s="84" t="s">
        <v>1413</v>
      </c>
      <c r="F855" s="87">
        <v>14.0</v>
      </c>
      <c r="G855" s="87">
        <v>0.0</v>
      </c>
      <c r="H855" s="87">
        <v>6390.0</v>
      </c>
      <c r="I855" s="87">
        <v>0.0</v>
      </c>
      <c r="J855" s="87">
        <v>61.19</v>
      </c>
      <c r="K855" s="87">
        <v>64.1603</v>
      </c>
      <c r="L855" s="87">
        <v>68.32093</v>
      </c>
      <c r="M855" s="87">
        <v>32.97968</v>
      </c>
      <c r="N855" s="87">
        <v>0.51402</v>
      </c>
      <c r="O855" s="87">
        <v>0.573016</v>
      </c>
      <c r="P855" s="87">
        <v>0.699854</v>
      </c>
      <c r="Q855" s="87">
        <v>1.769262</v>
      </c>
      <c r="R855" s="87">
        <v>4.80386</v>
      </c>
      <c r="S855" s="87">
        <v>5.920979</v>
      </c>
      <c r="T855" s="87">
        <v>0.573016</v>
      </c>
      <c r="U855" s="87">
        <v>0.699854</v>
      </c>
      <c r="V855" s="87">
        <v>1.769262</v>
      </c>
      <c r="W855" s="87">
        <v>4.80386</v>
      </c>
      <c r="X855" s="87">
        <v>5.920979</v>
      </c>
      <c r="Y855" s="87">
        <v>4.582879</v>
      </c>
      <c r="Z855" s="87">
        <v>0.594612</v>
      </c>
      <c r="AA855" s="87">
        <v>1.83138</v>
      </c>
      <c r="AB855" s="87">
        <v>2.092687</v>
      </c>
      <c r="AC855" s="87">
        <v>4.520344</v>
      </c>
      <c r="AD855" s="87">
        <v>2.819979</v>
      </c>
      <c r="AE855" s="87">
        <v>3.242291</v>
      </c>
      <c r="AF855" s="87">
        <v>4.465617</v>
      </c>
      <c r="AG855" s="87">
        <v>4.582879</v>
      </c>
      <c r="AH855" s="87">
        <v>7.62E-4</v>
      </c>
      <c r="AI855" s="87">
        <v>1.946808</v>
      </c>
      <c r="AJ855" s="87">
        <v>2.031295</v>
      </c>
      <c r="AK855" s="87">
        <v>3.59538</v>
      </c>
      <c r="AL855" s="88" t="s">
        <v>1396</v>
      </c>
    </row>
    <row r="856">
      <c r="A856" s="84" t="s">
        <v>2473</v>
      </c>
      <c r="B856" s="84" t="s">
        <v>2533</v>
      </c>
      <c r="C856" s="84" t="s">
        <v>472</v>
      </c>
      <c r="D856" s="84" t="s">
        <v>487</v>
      </c>
      <c r="E856" s="84" t="s">
        <v>1398</v>
      </c>
      <c r="F856" s="87">
        <v>10.0</v>
      </c>
      <c r="G856" s="87">
        <v>0.0</v>
      </c>
      <c r="H856" s="87">
        <v>1613.0</v>
      </c>
      <c r="I856" s="87">
        <v>0.0</v>
      </c>
      <c r="J856" s="87">
        <v>17.55214</v>
      </c>
      <c r="K856" s="87">
        <v>16.86969</v>
      </c>
      <c r="L856" s="87">
        <v>19.58267</v>
      </c>
      <c r="M856" s="87">
        <v>10.5142</v>
      </c>
      <c r="N856" s="87">
        <v>0.62326</v>
      </c>
      <c r="O856" s="87">
        <v>0.339459</v>
      </c>
      <c r="P856" s="87">
        <v>0.553561</v>
      </c>
      <c r="Q856" s="87">
        <v>0.594612</v>
      </c>
      <c r="R856" s="87">
        <v>1.031685</v>
      </c>
      <c r="S856" s="87">
        <v>2.124349</v>
      </c>
      <c r="T856" s="87">
        <v>0.339459</v>
      </c>
      <c r="U856" s="87">
        <v>0.553561</v>
      </c>
      <c r="V856" s="87">
        <v>0.594612</v>
      </c>
      <c r="W856" s="87">
        <v>1.031685</v>
      </c>
      <c r="X856" s="87">
        <v>2.124349</v>
      </c>
      <c r="Y856" s="87">
        <v>1.686969</v>
      </c>
      <c r="Z856" s="87">
        <v>0.594612</v>
      </c>
      <c r="AA856" s="87">
        <v>1.83138</v>
      </c>
      <c r="AB856" s="87">
        <v>2.092687</v>
      </c>
      <c r="AC856" s="87">
        <v>4.520344</v>
      </c>
      <c r="AD856" s="87">
        <v>1.403229</v>
      </c>
      <c r="AE856" s="87">
        <v>1.774821</v>
      </c>
      <c r="AF856" s="87">
        <v>3.147805</v>
      </c>
      <c r="AG856" s="87">
        <v>3.59538</v>
      </c>
      <c r="AH856" s="87">
        <v>7.62E-4</v>
      </c>
      <c r="AI856" s="87">
        <v>1.946808</v>
      </c>
      <c r="AJ856" s="87">
        <v>2.031295</v>
      </c>
      <c r="AK856" s="87">
        <v>3.59538</v>
      </c>
      <c r="AL856" s="88" t="s">
        <v>1396</v>
      </c>
    </row>
    <row r="857">
      <c r="A857" s="84" t="s">
        <v>2475</v>
      </c>
      <c r="B857" s="84" t="s">
        <v>2534</v>
      </c>
      <c r="C857" s="84" t="s">
        <v>472</v>
      </c>
      <c r="D857" s="84" t="s">
        <v>487</v>
      </c>
      <c r="E857" s="84" t="s">
        <v>1400</v>
      </c>
      <c r="F857" s="87">
        <v>34.0</v>
      </c>
      <c r="G857" s="87">
        <v>0.0</v>
      </c>
      <c r="H857" s="87">
        <v>9289.0</v>
      </c>
      <c r="I857" s="87">
        <v>0.0</v>
      </c>
      <c r="J857" s="87">
        <v>63.16992</v>
      </c>
      <c r="K857" s="87">
        <v>67.46546</v>
      </c>
      <c r="L857" s="87">
        <v>65.62727</v>
      </c>
      <c r="M857" s="87">
        <v>39.67956</v>
      </c>
      <c r="N857" s="87">
        <v>0.588146</v>
      </c>
      <c r="O857" s="87">
        <v>0.142857</v>
      </c>
      <c r="P857" s="87">
        <v>0.182051</v>
      </c>
      <c r="Q857" s="87">
        <v>0.283791</v>
      </c>
      <c r="R857" s="87">
        <v>1.333333</v>
      </c>
      <c r="S857" s="87">
        <v>2.124496</v>
      </c>
      <c r="T857" s="87">
        <v>0.172266</v>
      </c>
      <c r="U857" s="87">
        <v>0.266667</v>
      </c>
      <c r="V857" s="87">
        <v>0.426424</v>
      </c>
      <c r="W857" s="87">
        <v>1.571129</v>
      </c>
      <c r="X857" s="87">
        <v>2.778538</v>
      </c>
      <c r="Y857" s="87">
        <v>1.984278</v>
      </c>
      <c r="Z857" s="87">
        <v>0.594612</v>
      </c>
      <c r="AA857" s="87">
        <v>1.83138</v>
      </c>
      <c r="AB857" s="87">
        <v>2.092687</v>
      </c>
      <c r="AC857" s="87">
        <v>4.520344</v>
      </c>
      <c r="AD857" s="87">
        <v>0.961283</v>
      </c>
      <c r="AE857" s="87">
        <v>1.229542</v>
      </c>
      <c r="AF857" s="87">
        <v>1.996813</v>
      </c>
      <c r="AG857" s="87">
        <v>2.11362</v>
      </c>
      <c r="AH857" s="87">
        <v>7.62E-4</v>
      </c>
      <c r="AI857" s="87">
        <v>1.946808</v>
      </c>
      <c r="AJ857" s="87">
        <v>2.031295</v>
      </c>
      <c r="AK857" s="87">
        <v>3.59538</v>
      </c>
      <c r="AL857" s="88" t="s">
        <v>1396</v>
      </c>
    </row>
    <row r="858">
      <c r="A858" s="84" t="s">
        <v>2477</v>
      </c>
      <c r="B858" s="84" t="s">
        <v>2535</v>
      </c>
      <c r="C858" s="84" t="s">
        <v>472</v>
      </c>
      <c r="D858" s="84" t="s">
        <v>487</v>
      </c>
      <c r="E858" s="89">
        <v>46300.0</v>
      </c>
      <c r="F858" s="87">
        <v>1.0</v>
      </c>
      <c r="G858" s="87">
        <v>0.0</v>
      </c>
      <c r="H858" s="87">
        <v>85.0</v>
      </c>
      <c r="I858" s="87">
        <v>0.0</v>
      </c>
      <c r="J858" s="87">
        <v>4.73903</v>
      </c>
      <c r="K858" s="87">
        <v>4.520344</v>
      </c>
      <c r="L858" s="87">
        <v>4.54106</v>
      </c>
      <c r="M858" s="87">
        <v>4.520344</v>
      </c>
      <c r="N858" s="87">
        <v>1.0</v>
      </c>
      <c r="O858" s="87">
        <v>4.520344</v>
      </c>
      <c r="P858" s="87">
        <v>4.520344</v>
      </c>
      <c r="Q858" s="87">
        <v>4.520344</v>
      </c>
      <c r="R858" s="87">
        <v>4.520344</v>
      </c>
      <c r="S858" s="87">
        <v>4.520344</v>
      </c>
      <c r="T858" s="87">
        <v>4.520344</v>
      </c>
      <c r="U858" s="87">
        <v>4.520344</v>
      </c>
      <c r="V858" s="87">
        <v>4.520344</v>
      </c>
      <c r="W858" s="87">
        <v>4.520344</v>
      </c>
      <c r="X858" s="87">
        <v>4.520344</v>
      </c>
      <c r="Y858" s="87">
        <v>4.520344</v>
      </c>
      <c r="Z858" s="87">
        <v>0.594612</v>
      </c>
      <c r="AA858" s="87">
        <v>1.83138</v>
      </c>
      <c r="AB858" s="87">
        <v>2.092687</v>
      </c>
      <c r="AC858" s="87">
        <v>4.520344</v>
      </c>
      <c r="AD858" s="87">
        <v>0.67381</v>
      </c>
      <c r="AE858" s="87">
        <v>4.99603</v>
      </c>
      <c r="AF858" s="87">
        <v>6.862284</v>
      </c>
      <c r="AG858" s="87">
        <v>5.759678</v>
      </c>
      <c r="AH858" s="87">
        <v>7.62E-4</v>
      </c>
      <c r="AI858" s="87">
        <v>1.946808</v>
      </c>
      <c r="AJ858" s="87">
        <v>2.031295</v>
      </c>
      <c r="AK858" s="87">
        <v>3.59538</v>
      </c>
      <c r="AL858" s="88" t="s">
        <v>1396</v>
      </c>
    </row>
    <row r="859">
      <c r="A859" s="84" t="s">
        <v>2479</v>
      </c>
      <c r="B859" s="84" t="s">
        <v>2536</v>
      </c>
      <c r="C859" s="84" t="s">
        <v>472</v>
      </c>
      <c r="D859" s="84" t="s">
        <v>487</v>
      </c>
      <c r="E859" s="84" t="s">
        <v>1403</v>
      </c>
      <c r="F859" s="87">
        <v>33.0</v>
      </c>
      <c r="G859" s="87">
        <v>0.0</v>
      </c>
      <c r="H859" s="87">
        <v>0.0</v>
      </c>
      <c r="I859" s="87">
        <v>0.0</v>
      </c>
      <c r="J859" s="87">
        <v>0.0</v>
      </c>
      <c r="K859" s="87">
        <v>0.0</v>
      </c>
      <c r="L859" s="87">
        <v>0.0</v>
      </c>
      <c r="M859" s="87">
        <v>0.0</v>
      </c>
      <c r="N859" s="87">
        <v>0.0</v>
      </c>
      <c r="O859" s="87">
        <v>0.0</v>
      </c>
      <c r="P859" s="87">
        <v>0.0</v>
      </c>
      <c r="Q859" s="87">
        <v>0.0</v>
      </c>
      <c r="R859" s="87">
        <v>0.0</v>
      </c>
      <c r="S859" s="87">
        <v>0.0</v>
      </c>
      <c r="T859" s="87">
        <v>0.0</v>
      </c>
      <c r="U859" s="87">
        <v>0.0</v>
      </c>
      <c r="V859" s="87">
        <v>0.0</v>
      </c>
      <c r="W859" s="87">
        <v>0.0</v>
      </c>
      <c r="X859" s="87">
        <v>0.0</v>
      </c>
      <c r="Y859" s="87">
        <v>0.0</v>
      </c>
      <c r="Z859" s="87">
        <v>0.594612</v>
      </c>
      <c r="AA859" s="87">
        <v>1.83138</v>
      </c>
      <c r="AB859" s="87">
        <v>2.092687</v>
      </c>
      <c r="AC859" s="87">
        <v>4.520344</v>
      </c>
      <c r="AD859" s="87">
        <v>0.0</v>
      </c>
      <c r="AE859" s="87">
        <v>0.0</v>
      </c>
      <c r="AF859" s="87">
        <v>0.0</v>
      </c>
      <c r="AG859" s="87">
        <v>0.0</v>
      </c>
      <c r="AH859" s="87">
        <v>7.62E-4</v>
      </c>
      <c r="AI859" s="87">
        <v>1.946808</v>
      </c>
      <c r="AJ859" s="87">
        <v>2.031295</v>
      </c>
      <c r="AK859" s="87">
        <v>3.59538</v>
      </c>
      <c r="AL859" s="88" t="s">
        <v>1396</v>
      </c>
    </row>
    <row r="860">
      <c r="A860" s="84" t="s">
        <v>2537</v>
      </c>
      <c r="B860" s="84" t="s">
        <v>2538</v>
      </c>
      <c r="C860" s="84" t="s">
        <v>537</v>
      </c>
      <c r="D860" s="84" t="s">
        <v>2539</v>
      </c>
      <c r="E860" s="84" t="s">
        <v>1426</v>
      </c>
      <c r="F860" s="87">
        <v>3.0</v>
      </c>
      <c r="G860" s="87">
        <v>0.0</v>
      </c>
      <c r="H860" s="87">
        <v>29138.0</v>
      </c>
      <c r="I860" s="87">
        <v>0.0</v>
      </c>
      <c r="J860" s="87">
        <v>300.1979</v>
      </c>
      <c r="K860" s="87">
        <v>320.7329</v>
      </c>
      <c r="L860" s="87">
        <v>370.6284</v>
      </c>
      <c r="M860" s="87">
        <v>179.8663</v>
      </c>
      <c r="N860" s="87">
        <v>0.560798</v>
      </c>
      <c r="O860" s="87">
        <v>0.0</v>
      </c>
      <c r="P860" s="87">
        <v>0.0</v>
      </c>
      <c r="Q860" s="87">
        <v>0.0</v>
      </c>
      <c r="R860" s="87">
        <v>140.8666</v>
      </c>
      <c r="S860" s="87">
        <v>179.8663</v>
      </c>
      <c r="T860" s="87">
        <v>140.8666</v>
      </c>
      <c r="U860" s="87">
        <v>140.8666</v>
      </c>
      <c r="V860" s="87">
        <v>140.8666</v>
      </c>
      <c r="W860" s="87">
        <v>179.8663</v>
      </c>
      <c r="X860" s="87">
        <v>179.8663</v>
      </c>
      <c r="Y860" s="87">
        <v>106.911</v>
      </c>
      <c r="Z860" s="87">
        <v>0.0</v>
      </c>
      <c r="AA860" s="87">
        <v>16.68171</v>
      </c>
      <c r="AB860" s="87">
        <v>13.9124</v>
      </c>
      <c r="AC860" s="87">
        <v>9.490585</v>
      </c>
      <c r="AD860" s="87">
        <v>3.776061</v>
      </c>
      <c r="AE860" s="87">
        <v>11.41809</v>
      </c>
      <c r="AF860" s="87">
        <v>24.74782</v>
      </c>
      <c r="AG860" s="87">
        <v>16.83352</v>
      </c>
      <c r="AH860" s="87">
        <v>0.0</v>
      </c>
      <c r="AI860" s="87">
        <v>5.947368</v>
      </c>
      <c r="AJ860" s="87">
        <v>5.120093</v>
      </c>
      <c r="AK860" s="87">
        <v>4.914999</v>
      </c>
      <c r="AL860" s="88" t="s">
        <v>1396</v>
      </c>
    </row>
    <row r="861">
      <c r="A861" s="84" t="s">
        <v>2540</v>
      </c>
      <c r="B861" s="84" t="s">
        <v>2541</v>
      </c>
      <c r="C861" s="84" t="s">
        <v>537</v>
      </c>
      <c r="D861" s="84" t="s">
        <v>2539</v>
      </c>
      <c r="E861" s="86">
        <v>46310.0</v>
      </c>
      <c r="F861" s="87">
        <v>7.0</v>
      </c>
      <c r="G861" s="87">
        <v>0.0</v>
      </c>
      <c r="H861" s="87">
        <v>8299.0</v>
      </c>
      <c r="I861" s="87">
        <v>0.0</v>
      </c>
      <c r="J861" s="87">
        <v>64.18724</v>
      </c>
      <c r="K861" s="87">
        <v>66.4341</v>
      </c>
      <c r="L861" s="87">
        <v>66.52696</v>
      </c>
      <c r="M861" s="87">
        <v>41.04993</v>
      </c>
      <c r="N861" s="87">
        <v>0.617905</v>
      </c>
      <c r="O861" s="87">
        <v>0.0</v>
      </c>
      <c r="P861" s="87">
        <v>2.977077</v>
      </c>
      <c r="Q861" s="87">
        <v>4.829947</v>
      </c>
      <c r="R861" s="87">
        <v>8.384758</v>
      </c>
      <c r="S861" s="87">
        <v>9.192384</v>
      </c>
      <c r="T861" s="87">
        <v>2.977077</v>
      </c>
      <c r="U861" s="87">
        <v>4.829947</v>
      </c>
      <c r="V861" s="87">
        <v>4.829947</v>
      </c>
      <c r="W861" s="87">
        <v>9.192384</v>
      </c>
      <c r="X861" s="87">
        <v>18.46149</v>
      </c>
      <c r="Y861" s="87">
        <v>9.490585</v>
      </c>
      <c r="Z861" s="87">
        <v>0.0</v>
      </c>
      <c r="AA861" s="87">
        <v>16.68171</v>
      </c>
      <c r="AB861" s="87">
        <v>13.9124</v>
      </c>
      <c r="AC861" s="87">
        <v>9.490585</v>
      </c>
      <c r="AD861" s="87">
        <v>6.969965</v>
      </c>
      <c r="AE861" s="87">
        <v>14.57774</v>
      </c>
      <c r="AF861" s="87">
        <v>10.80476</v>
      </c>
      <c r="AG861" s="87">
        <v>9.490585</v>
      </c>
      <c r="AH861" s="87">
        <v>0.0</v>
      </c>
      <c r="AI861" s="87">
        <v>5.947368</v>
      </c>
      <c r="AJ861" s="87">
        <v>5.120093</v>
      </c>
      <c r="AK861" s="87">
        <v>4.914999</v>
      </c>
      <c r="AL861" s="88" t="s">
        <v>1396</v>
      </c>
    </row>
    <row r="862">
      <c r="A862" s="84" t="s">
        <v>2542</v>
      </c>
      <c r="B862" s="84" t="s">
        <v>2543</v>
      </c>
      <c r="C862" s="84" t="s">
        <v>537</v>
      </c>
      <c r="D862" s="84" t="s">
        <v>2539</v>
      </c>
      <c r="E862" s="84" t="s">
        <v>1398</v>
      </c>
      <c r="F862" s="87">
        <v>2.0</v>
      </c>
      <c r="G862" s="87">
        <v>0.0</v>
      </c>
      <c r="H862" s="87">
        <v>58.0</v>
      </c>
      <c r="I862" s="87">
        <v>0.0</v>
      </c>
      <c r="J862" s="87">
        <v>1.236111</v>
      </c>
      <c r="K862" s="87">
        <v>3.219113</v>
      </c>
      <c r="L862" s="87">
        <v>2.732923</v>
      </c>
      <c r="M862" s="87">
        <v>3.219113</v>
      </c>
      <c r="N862" s="87">
        <v>1.0</v>
      </c>
      <c r="O862" s="87">
        <v>0.0</v>
      </c>
      <c r="P862" s="87">
        <v>0.0</v>
      </c>
      <c r="Q862" s="87">
        <v>0.0</v>
      </c>
      <c r="R862" s="87">
        <v>3.219113</v>
      </c>
      <c r="S862" s="87">
        <v>3.219113</v>
      </c>
      <c r="T862" s="87">
        <v>3.219113</v>
      </c>
      <c r="U862" s="87">
        <v>3.219113</v>
      </c>
      <c r="V862" s="87">
        <v>3.219113</v>
      </c>
      <c r="W862" s="87">
        <v>3.219113</v>
      </c>
      <c r="X862" s="87">
        <v>3.219113</v>
      </c>
      <c r="Y862" s="87">
        <v>1.609556</v>
      </c>
      <c r="Z862" s="87">
        <v>0.0</v>
      </c>
      <c r="AA862" s="87">
        <v>16.68171</v>
      </c>
      <c r="AB862" s="87">
        <v>13.9124</v>
      </c>
      <c r="AC862" s="87">
        <v>9.490585</v>
      </c>
      <c r="AD862" s="87">
        <v>6.810826</v>
      </c>
      <c r="AE862" s="87">
        <v>7.616977</v>
      </c>
      <c r="AF862" s="87">
        <v>7.621931</v>
      </c>
      <c r="AG862" s="87">
        <v>5.950041</v>
      </c>
      <c r="AH862" s="87">
        <v>0.0</v>
      </c>
      <c r="AI862" s="87">
        <v>5.947368</v>
      </c>
      <c r="AJ862" s="87">
        <v>5.120093</v>
      </c>
      <c r="AK862" s="87">
        <v>4.914999</v>
      </c>
      <c r="AL862" s="88" t="s">
        <v>1396</v>
      </c>
    </row>
    <row r="863">
      <c r="A863" s="84" t="s">
        <v>2544</v>
      </c>
      <c r="B863" s="84" t="s">
        <v>2545</v>
      </c>
      <c r="C863" s="84" t="s">
        <v>537</v>
      </c>
      <c r="D863" s="84" t="s">
        <v>2539</v>
      </c>
      <c r="E863" s="84" t="s">
        <v>1400</v>
      </c>
      <c r="F863" s="87">
        <v>1.0</v>
      </c>
      <c r="G863" s="87">
        <v>0.0</v>
      </c>
      <c r="H863" s="87">
        <v>424.0</v>
      </c>
      <c r="I863" s="87">
        <v>0.0</v>
      </c>
      <c r="J863" s="87">
        <v>3.449351</v>
      </c>
      <c r="K863" s="87">
        <v>3.42651</v>
      </c>
      <c r="L863" s="87">
        <v>2.973548</v>
      </c>
      <c r="M863" s="87">
        <v>3.42651</v>
      </c>
      <c r="N863" s="87">
        <v>1.0</v>
      </c>
      <c r="O863" s="87">
        <v>3.42651</v>
      </c>
      <c r="P863" s="87">
        <v>3.42651</v>
      </c>
      <c r="Q863" s="87">
        <v>3.42651</v>
      </c>
      <c r="R863" s="87">
        <v>3.42651</v>
      </c>
      <c r="S863" s="87">
        <v>3.42651</v>
      </c>
      <c r="T863" s="87">
        <v>3.42651</v>
      </c>
      <c r="U863" s="87">
        <v>3.42651</v>
      </c>
      <c r="V863" s="87">
        <v>3.42651</v>
      </c>
      <c r="W863" s="87">
        <v>3.42651</v>
      </c>
      <c r="X863" s="87">
        <v>3.42651</v>
      </c>
      <c r="Y863" s="87">
        <v>3.42651</v>
      </c>
      <c r="Z863" s="87">
        <v>0.0</v>
      </c>
      <c r="AA863" s="87">
        <v>16.68171</v>
      </c>
      <c r="AB863" s="87">
        <v>13.9124</v>
      </c>
      <c r="AC863" s="87">
        <v>9.490585</v>
      </c>
      <c r="AD863" s="87">
        <v>2.908863</v>
      </c>
      <c r="AE863" s="87">
        <v>3.356965</v>
      </c>
      <c r="AF863" s="87">
        <v>6.565551</v>
      </c>
      <c r="AG863" s="87">
        <v>4.914999</v>
      </c>
      <c r="AH863" s="87">
        <v>0.0</v>
      </c>
      <c r="AI863" s="87">
        <v>5.947368</v>
      </c>
      <c r="AJ863" s="87">
        <v>5.120093</v>
      </c>
      <c r="AK863" s="87">
        <v>4.914999</v>
      </c>
      <c r="AL863" s="88" t="s">
        <v>1396</v>
      </c>
    </row>
    <row r="864">
      <c r="A864" s="84" t="s">
        <v>2546</v>
      </c>
      <c r="B864" s="84" t="s">
        <v>2547</v>
      </c>
      <c r="C864" s="84" t="s">
        <v>537</v>
      </c>
      <c r="D864" s="84" t="s">
        <v>2539</v>
      </c>
      <c r="E864" s="89">
        <v>46300.0</v>
      </c>
      <c r="F864" s="87">
        <v>7.0</v>
      </c>
      <c r="G864" s="87">
        <v>0.0</v>
      </c>
      <c r="H864" s="87">
        <v>10793.0</v>
      </c>
      <c r="I864" s="87">
        <v>0.0</v>
      </c>
      <c r="J864" s="87">
        <v>112.9861</v>
      </c>
      <c r="K864" s="87">
        <v>120.9461</v>
      </c>
      <c r="L864" s="87">
        <v>119.9359</v>
      </c>
      <c r="M864" s="87">
        <v>57.39888</v>
      </c>
      <c r="N864" s="87">
        <v>0.474582</v>
      </c>
      <c r="O864" s="87">
        <v>0.0</v>
      </c>
      <c r="P864" s="87">
        <v>13.74716</v>
      </c>
      <c r="Q864" s="87">
        <v>14.91615</v>
      </c>
      <c r="R864" s="87">
        <v>16.68171</v>
      </c>
      <c r="S864" s="87">
        <v>18.20219</v>
      </c>
      <c r="T864" s="87">
        <v>13.74716</v>
      </c>
      <c r="U864" s="87">
        <v>14.91615</v>
      </c>
      <c r="V864" s="87">
        <v>14.91615</v>
      </c>
      <c r="W864" s="87">
        <v>18.20219</v>
      </c>
      <c r="X864" s="87">
        <v>27.96461</v>
      </c>
      <c r="Y864" s="87">
        <v>17.27801</v>
      </c>
      <c r="Z864" s="87">
        <v>0.0</v>
      </c>
      <c r="AA864" s="87">
        <v>16.68171</v>
      </c>
      <c r="AB864" s="87">
        <v>13.9124</v>
      </c>
      <c r="AC864" s="87">
        <v>9.490585</v>
      </c>
      <c r="AD864" s="87">
        <v>9.237934</v>
      </c>
      <c r="AE864" s="87">
        <v>13.92059</v>
      </c>
      <c r="AF864" s="87">
        <v>15.83545</v>
      </c>
      <c r="AG864" s="87">
        <v>14.4841</v>
      </c>
      <c r="AH864" s="87">
        <v>0.0</v>
      </c>
      <c r="AI864" s="87">
        <v>5.947368</v>
      </c>
      <c r="AJ864" s="87">
        <v>5.120093</v>
      </c>
      <c r="AK864" s="87">
        <v>4.914999</v>
      </c>
      <c r="AL864" s="88" t="s">
        <v>1396</v>
      </c>
    </row>
    <row r="865">
      <c r="A865" s="84" t="s">
        <v>2548</v>
      </c>
      <c r="B865" s="84" t="s">
        <v>2549</v>
      </c>
      <c r="C865" s="84" t="s">
        <v>537</v>
      </c>
      <c r="D865" s="84" t="s">
        <v>2539</v>
      </c>
      <c r="E865" s="84" t="s">
        <v>1403</v>
      </c>
      <c r="F865" s="87">
        <v>17.0</v>
      </c>
      <c r="G865" s="87">
        <v>3.0</v>
      </c>
      <c r="H865" s="87">
        <v>423.0</v>
      </c>
      <c r="I865" s="87">
        <v>423.0</v>
      </c>
      <c r="J865" s="87">
        <v>0.0</v>
      </c>
      <c r="K865" s="87">
        <v>0.0</v>
      </c>
      <c r="L865" s="87">
        <v>0.0</v>
      </c>
      <c r="M865" s="87">
        <v>0.0</v>
      </c>
      <c r="N865" s="87">
        <v>0.0</v>
      </c>
      <c r="O865" s="87">
        <v>0.0</v>
      </c>
      <c r="P865" s="87">
        <v>0.0</v>
      </c>
      <c r="Q865" s="87">
        <v>0.0</v>
      </c>
      <c r="R865" s="87">
        <v>0.0</v>
      </c>
      <c r="S865" s="87">
        <v>0.0</v>
      </c>
      <c r="T865" s="87">
        <v>0.0</v>
      </c>
      <c r="U865" s="87">
        <v>0.0</v>
      </c>
      <c r="V865" s="87">
        <v>0.0</v>
      </c>
      <c r="W865" s="87">
        <v>0.0</v>
      </c>
      <c r="X865" s="87">
        <v>0.0</v>
      </c>
      <c r="Y865" s="87">
        <v>0.0</v>
      </c>
      <c r="Z865" s="87">
        <v>0.0</v>
      </c>
      <c r="AA865" s="87">
        <v>16.68171</v>
      </c>
      <c r="AB865" s="87">
        <v>13.9124</v>
      </c>
      <c r="AC865" s="87">
        <v>9.490585</v>
      </c>
      <c r="AD865" s="87">
        <v>0.0</v>
      </c>
      <c r="AE865" s="87">
        <v>0.0</v>
      </c>
      <c r="AF865" s="87">
        <v>0.0</v>
      </c>
      <c r="AG865" s="87">
        <v>0.0</v>
      </c>
      <c r="AH865" s="87">
        <v>0.0</v>
      </c>
      <c r="AI865" s="87">
        <v>5.947368</v>
      </c>
      <c r="AJ865" s="87">
        <v>5.120093</v>
      </c>
      <c r="AK865" s="87">
        <v>4.914999</v>
      </c>
      <c r="AL865" s="88" t="s">
        <v>1396</v>
      </c>
    </row>
    <row r="866">
      <c r="A866" s="84" t="s">
        <v>2537</v>
      </c>
      <c r="B866" s="84" t="s">
        <v>2550</v>
      </c>
      <c r="C866" s="84" t="s">
        <v>537</v>
      </c>
      <c r="D866" s="84" t="s">
        <v>552</v>
      </c>
      <c r="E866" s="84" t="s">
        <v>1426</v>
      </c>
      <c r="F866" s="87">
        <v>6.0</v>
      </c>
      <c r="G866" s="87">
        <v>1.0</v>
      </c>
      <c r="H866" s="87">
        <v>5676.0</v>
      </c>
      <c r="I866" s="87">
        <v>3786.0</v>
      </c>
      <c r="J866" s="87">
        <v>12.443</v>
      </c>
      <c r="K866" s="87">
        <v>12.79761</v>
      </c>
      <c r="L866" s="87">
        <v>14.87545</v>
      </c>
      <c r="M866" s="87">
        <v>9.625327</v>
      </c>
      <c r="N866" s="87">
        <v>0.752119</v>
      </c>
      <c r="O866" s="87">
        <v>0.0</v>
      </c>
      <c r="P866" s="87">
        <v>0.0</v>
      </c>
      <c r="Q866" s="87">
        <v>0.0</v>
      </c>
      <c r="R866" s="87">
        <v>3.172288</v>
      </c>
      <c r="S866" s="87">
        <v>3.776061</v>
      </c>
      <c r="T866" s="87">
        <v>3.172288</v>
      </c>
      <c r="U866" s="87">
        <v>3.172288</v>
      </c>
      <c r="V866" s="87">
        <v>3.172288</v>
      </c>
      <c r="W866" s="87">
        <v>3.776061</v>
      </c>
      <c r="X866" s="87">
        <v>5.849266</v>
      </c>
      <c r="Y866" s="87">
        <v>2.132936</v>
      </c>
      <c r="Z866" s="87">
        <v>0.0</v>
      </c>
      <c r="AA866" s="87">
        <v>5.849266</v>
      </c>
      <c r="AB866" s="87">
        <v>4.32401</v>
      </c>
      <c r="AC866" s="87">
        <v>5.950041</v>
      </c>
      <c r="AD866" s="87">
        <v>3.776061</v>
      </c>
      <c r="AE866" s="87">
        <v>11.41809</v>
      </c>
      <c r="AF866" s="87">
        <v>24.74782</v>
      </c>
      <c r="AG866" s="87">
        <v>16.83352</v>
      </c>
      <c r="AH866" s="87">
        <v>0.0</v>
      </c>
      <c r="AI866" s="87">
        <v>5.947368</v>
      </c>
      <c r="AJ866" s="87">
        <v>5.120093</v>
      </c>
      <c r="AK866" s="87">
        <v>4.914999</v>
      </c>
      <c r="AL866" s="88" t="s">
        <v>1396</v>
      </c>
    </row>
    <row r="867">
      <c r="A867" s="84" t="s">
        <v>2540</v>
      </c>
      <c r="B867" s="84" t="s">
        <v>2551</v>
      </c>
      <c r="C867" s="84" t="s">
        <v>537</v>
      </c>
      <c r="D867" s="84" t="s">
        <v>552</v>
      </c>
      <c r="E867" s="89">
        <v>46310.0</v>
      </c>
      <c r="F867" s="87">
        <v>7.0</v>
      </c>
      <c r="G867" s="87">
        <v>0.0</v>
      </c>
      <c r="H867" s="87">
        <v>7549.0</v>
      </c>
      <c r="I867" s="87">
        <v>0.0</v>
      </c>
      <c r="J867" s="87">
        <v>115.3872</v>
      </c>
      <c r="K867" s="87">
        <v>121.588</v>
      </c>
      <c r="L867" s="87">
        <v>132.7847</v>
      </c>
      <c r="M867" s="87">
        <v>87.52099</v>
      </c>
      <c r="N867" s="87">
        <v>0.719816</v>
      </c>
      <c r="O867" s="87">
        <v>0.0</v>
      </c>
      <c r="P867" s="87">
        <v>0.0</v>
      </c>
      <c r="Q867" s="87">
        <v>0.0</v>
      </c>
      <c r="R867" s="87">
        <v>9.368653</v>
      </c>
      <c r="S867" s="87">
        <v>24.69835</v>
      </c>
      <c r="T867" s="87">
        <v>9.368653</v>
      </c>
      <c r="U867" s="87">
        <v>9.368653</v>
      </c>
      <c r="V867" s="87">
        <v>24.69835</v>
      </c>
      <c r="W867" s="87">
        <v>26.08776</v>
      </c>
      <c r="X867" s="87">
        <v>26.08776</v>
      </c>
      <c r="Y867" s="87">
        <v>17.36971</v>
      </c>
      <c r="Z867" s="87">
        <v>0.0</v>
      </c>
      <c r="AA867" s="87">
        <v>5.849266</v>
      </c>
      <c r="AB867" s="87">
        <v>4.32401</v>
      </c>
      <c r="AC867" s="87">
        <v>5.950041</v>
      </c>
      <c r="AD867" s="87">
        <v>6.969965</v>
      </c>
      <c r="AE867" s="87">
        <v>14.57774</v>
      </c>
      <c r="AF867" s="87">
        <v>10.80476</v>
      </c>
      <c r="AG867" s="87">
        <v>9.490585</v>
      </c>
      <c r="AH867" s="87">
        <v>0.0</v>
      </c>
      <c r="AI867" s="87">
        <v>5.947368</v>
      </c>
      <c r="AJ867" s="87">
        <v>5.120093</v>
      </c>
      <c r="AK867" s="87">
        <v>4.914999</v>
      </c>
      <c r="AL867" s="88" t="s">
        <v>1396</v>
      </c>
    </row>
    <row r="868">
      <c r="A868" s="84" t="s">
        <v>2552</v>
      </c>
      <c r="B868" s="84" t="s">
        <v>2553</v>
      </c>
      <c r="C868" s="84" t="s">
        <v>537</v>
      </c>
      <c r="D868" s="84" t="s">
        <v>552</v>
      </c>
      <c r="E868" s="84" t="s">
        <v>1413</v>
      </c>
      <c r="F868" s="87">
        <v>11.0</v>
      </c>
      <c r="G868" s="87">
        <v>0.0</v>
      </c>
      <c r="H868" s="87">
        <v>10713.0</v>
      </c>
      <c r="I868" s="87">
        <v>0.0</v>
      </c>
      <c r="J868" s="87">
        <v>49.83606</v>
      </c>
      <c r="K868" s="87">
        <v>56.5693</v>
      </c>
      <c r="L868" s="87">
        <v>65.63323</v>
      </c>
      <c r="M868" s="87">
        <v>35.1666</v>
      </c>
      <c r="N868" s="87">
        <v>0.621655</v>
      </c>
      <c r="O868" s="87">
        <v>0.0</v>
      </c>
      <c r="P868" s="87">
        <v>0.96129</v>
      </c>
      <c r="Q868" s="87">
        <v>2.929443</v>
      </c>
      <c r="R868" s="87">
        <v>4.13276</v>
      </c>
      <c r="S868" s="87">
        <v>5.118582</v>
      </c>
      <c r="T868" s="87">
        <v>0.96129</v>
      </c>
      <c r="U868" s="87">
        <v>2.929443</v>
      </c>
      <c r="V868" s="87">
        <v>3.410753</v>
      </c>
      <c r="W868" s="87">
        <v>4.84987</v>
      </c>
      <c r="X868" s="87">
        <v>7.298925</v>
      </c>
      <c r="Y868" s="87">
        <v>5.142663</v>
      </c>
      <c r="Z868" s="87">
        <v>0.0</v>
      </c>
      <c r="AA868" s="87">
        <v>5.849266</v>
      </c>
      <c r="AB868" s="87">
        <v>4.32401</v>
      </c>
      <c r="AC868" s="87">
        <v>5.950041</v>
      </c>
      <c r="AD868" s="87">
        <v>2.929443</v>
      </c>
      <c r="AE868" s="87">
        <v>4.13276</v>
      </c>
      <c r="AF868" s="87">
        <v>3.989409</v>
      </c>
      <c r="AG868" s="87">
        <v>3.2088</v>
      </c>
      <c r="AH868" s="87">
        <v>0.0</v>
      </c>
      <c r="AI868" s="87">
        <v>5.947368</v>
      </c>
      <c r="AJ868" s="87">
        <v>5.120093</v>
      </c>
      <c r="AK868" s="87">
        <v>4.914999</v>
      </c>
      <c r="AL868" s="88" t="s">
        <v>1396</v>
      </c>
    </row>
    <row r="869">
      <c r="A869" s="84" t="s">
        <v>2542</v>
      </c>
      <c r="B869" s="84" t="s">
        <v>2554</v>
      </c>
      <c r="C869" s="84" t="s">
        <v>537</v>
      </c>
      <c r="D869" s="84" t="s">
        <v>552</v>
      </c>
      <c r="E869" s="84" t="s">
        <v>1398</v>
      </c>
      <c r="F869" s="87">
        <v>12.0</v>
      </c>
      <c r="G869" s="87">
        <v>0.0</v>
      </c>
      <c r="H869" s="87">
        <v>11025.0</v>
      </c>
      <c r="I869" s="87">
        <v>0.0</v>
      </c>
      <c r="J869" s="87">
        <v>39.03988</v>
      </c>
      <c r="K869" s="87">
        <v>71.4005</v>
      </c>
      <c r="L869" s="87">
        <v>62.54811</v>
      </c>
      <c r="M869" s="87">
        <v>31.71587</v>
      </c>
      <c r="N869" s="87">
        <v>0.444197</v>
      </c>
      <c r="O869" s="87">
        <v>0.999147</v>
      </c>
      <c r="P869" s="87">
        <v>1.1625</v>
      </c>
      <c r="Q869" s="87">
        <v>3.083441</v>
      </c>
      <c r="R869" s="87">
        <v>7.01342</v>
      </c>
      <c r="S869" s="87">
        <v>9.407307</v>
      </c>
      <c r="T869" s="87">
        <v>1.1625</v>
      </c>
      <c r="U869" s="87">
        <v>3.083441</v>
      </c>
      <c r="V869" s="87">
        <v>4.400677</v>
      </c>
      <c r="W869" s="87">
        <v>7.01342</v>
      </c>
      <c r="X869" s="87">
        <v>9.407307</v>
      </c>
      <c r="Y869" s="87">
        <v>5.950041</v>
      </c>
      <c r="Z869" s="87">
        <v>0.0</v>
      </c>
      <c r="AA869" s="87">
        <v>5.849266</v>
      </c>
      <c r="AB869" s="87">
        <v>4.32401</v>
      </c>
      <c r="AC869" s="87">
        <v>5.950041</v>
      </c>
      <c r="AD869" s="87">
        <v>6.810826</v>
      </c>
      <c r="AE869" s="87">
        <v>7.616977</v>
      </c>
      <c r="AF869" s="87">
        <v>7.621931</v>
      </c>
      <c r="AG869" s="87">
        <v>5.950041</v>
      </c>
      <c r="AH869" s="87">
        <v>0.0</v>
      </c>
      <c r="AI869" s="87">
        <v>5.947368</v>
      </c>
      <c r="AJ869" s="87">
        <v>5.120093</v>
      </c>
      <c r="AK869" s="87">
        <v>4.914999</v>
      </c>
      <c r="AL869" s="88" t="s">
        <v>1396</v>
      </c>
    </row>
    <row r="870">
      <c r="A870" s="84" t="s">
        <v>2544</v>
      </c>
      <c r="B870" s="84" t="s">
        <v>2555</v>
      </c>
      <c r="C870" s="84" t="s">
        <v>537</v>
      </c>
      <c r="D870" s="84" t="s">
        <v>552</v>
      </c>
      <c r="E870" s="84" t="s">
        <v>1400</v>
      </c>
      <c r="F870" s="87">
        <v>72.0</v>
      </c>
      <c r="G870" s="87">
        <v>0.0</v>
      </c>
      <c r="H870" s="87">
        <v>65672.0</v>
      </c>
      <c r="I870" s="87">
        <v>0.0</v>
      </c>
      <c r="J870" s="87">
        <v>582.13</v>
      </c>
      <c r="K870" s="87">
        <v>633.793</v>
      </c>
      <c r="L870" s="87">
        <v>584.8987</v>
      </c>
      <c r="M870" s="87">
        <v>456.4888</v>
      </c>
      <c r="N870" s="87">
        <v>0.720249</v>
      </c>
      <c r="O870" s="87">
        <v>0.0</v>
      </c>
      <c r="P870" s="87">
        <v>0.762773</v>
      </c>
      <c r="Q870" s="87">
        <v>2.006158</v>
      </c>
      <c r="R870" s="87">
        <v>3.470306</v>
      </c>
      <c r="S870" s="87">
        <v>6.721318</v>
      </c>
      <c r="T870" s="87">
        <v>0.733407</v>
      </c>
      <c r="U870" s="87">
        <v>1.937401</v>
      </c>
      <c r="V870" s="87">
        <v>2.631344</v>
      </c>
      <c r="W870" s="87">
        <v>4.23226</v>
      </c>
      <c r="X870" s="87">
        <v>7.274736</v>
      </c>
      <c r="Y870" s="87">
        <v>8.80268</v>
      </c>
      <c r="Z870" s="87">
        <v>0.0</v>
      </c>
      <c r="AA870" s="87">
        <v>5.849266</v>
      </c>
      <c r="AB870" s="87">
        <v>4.32401</v>
      </c>
      <c r="AC870" s="87">
        <v>5.950041</v>
      </c>
      <c r="AD870" s="87">
        <v>2.908863</v>
      </c>
      <c r="AE870" s="87">
        <v>3.356965</v>
      </c>
      <c r="AF870" s="87">
        <v>6.565551</v>
      </c>
      <c r="AG870" s="87">
        <v>4.914999</v>
      </c>
      <c r="AH870" s="87">
        <v>0.0</v>
      </c>
      <c r="AI870" s="87">
        <v>5.947368</v>
      </c>
      <c r="AJ870" s="87">
        <v>5.120093</v>
      </c>
      <c r="AK870" s="87">
        <v>4.914999</v>
      </c>
      <c r="AL870" s="88" t="s">
        <v>1396</v>
      </c>
    </row>
    <row r="871">
      <c r="A871" s="84" t="s">
        <v>2546</v>
      </c>
      <c r="B871" s="84" t="s">
        <v>2556</v>
      </c>
      <c r="C871" s="84" t="s">
        <v>537</v>
      </c>
      <c r="D871" s="84" t="s">
        <v>552</v>
      </c>
      <c r="E871" s="89">
        <v>46300.0</v>
      </c>
      <c r="F871" s="87">
        <v>12.0</v>
      </c>
      <c r="G871" s="87">
        <v>0.0</v>
      </c>
      <c r="H871" s="87">
        <v>13278.0</v>
      </c>
      <c r="I871" s="87">
        <v>0.0</v>
      </c>
      <c r="J871" s="87">
        <v>126.3585</v>
      </c>
      <c r="K871" s="87">
        <v>132.966</v>
      </c>
      <c r="L871" s="87">
        <v>136.9578</v>
      </c>
      <c r="M871" s="87">
        <v>82.85371</v>
      </c>
      <c r="N871" s="87">
        <v>0.623119</v>
      </c>
      <c r="O871" s="87">
        <v>0.0</v>
      </c>
      <c r="P871" s="87">
        <v>0.0</v>
      </c>
      <c r="Q871" s="87">
        <v>0.0</v>
      </c>
      <c r="R871" s="87">
        <v>10.66104</v>
      </c>
      <c r="S871" s="87">
        <v>15.94097</v>
      </c>
      <c r="T871" s="87">
        <v>8.040793</v>
      </c>
      <c r="U871" s="87">
        <v>10.66104</v>
      </c>
      <c r="V871" s="87">
        <v>15.4695</v>
      </c>
      <c r="W871" s="87">
        <v>15.94097</v>
      </c>
      <c r="X871" s="87">
        <v>17.82531</v>
      </c>
      <c r="Y871" s="87">
        <v>11.0805</v>
      </c>
      <c r="Z871" s="87">
        <v>0.0</v>
      </c>
      <c r="AA871" s="87">
        <v>5.849266</v>
      </c>
      <c r="AB871" s="87">
        <v>4.32401</v>
      </c>
      <c r="AC871" s="87">
        <v>5.950041</v>
      </c>
      <c r="AD871" s="87">
        <v>9.237934</v>
      </c>
      <c r="AE871" s="87">
        <v>13.92059</v>
      </c>
      <c r="AF871" s="87">
        <v>15.83545</v>
      </c>
      <c r="AG871" s="87">
        <v>14.4841</v>
      </c>
      <c r="AH871" s="87">
        <v>0.0</v>
      </c>
      <c r="AI871" s="87">
        <v>5.947368</v>
      </c>
      <c r="AJ871" s="87">
        <v>5.120093</v>
      </c>
      <c r="AK871" s="87">
        <v>4.914999</v>
      </c>
      <c r="AL871" s="88" t="s">
        <v>1396</v>
      </c>
    </row>
    <row r="872">
      <c r="A872" s="84" t="s">
        <v>2548</v>
      </c>
      <c r="B872" s="84" t="s">
        <v>2557</v>
      </c>
      <c r="C872" s="84" t="s">
        <v>537</v>
      </c>
      <c r="D872" s="84" t="s">
        <v>552</v>
      </c>
      <c r="E872" s="84" t="s">
        <v>1403</v>
      </c>
      <c r="F872" s="87">
        <v>118.0</v>
      </c>
      <c r="G872" s="87">
        <v>3.0</v>
      </c>
      <c r="H872" s="87">
        <v>10056.0</v>
      </c>
      <c r="I872" s="87">
        <v>10056.0</v>
      </c>
      <c r="J872" s="87">
        <v>0.0</v>
      </c>
      <c r="K872" s="87">
        <v>0.0</v>
      </c>
      <c r="L872" s="87">
        <v>0.0</v>
      </c>
      <c r="M872" s="87">
        <v>0.0</v>
      </c>
      <c r="N872" s="87">
        <v>0.0</v>
      </c>
      <c r="O872" s="87">
        <v>0.0</v>
      </c>
      <c r="P872" s="87">
        <v>0.0</v>
      </c>
      <c r="Q872" s="87">
        <v>0.0</v>
      </c>
      <c r="R872" s="87">
        <v>0.0</v>
      </c>
      <c r="S872" s="87">
        <v>0.0</v>
      </c>
      <c r="T872" s="87">
        <v>0.0</v>
      </c>
      <c r="U872" s="87">
        <v>0.0</v>
      </c>
      <c r="V872" s="87">
        <v>0.0</v>
      </c>
      <c r="W872" s="87">
        <v>0.0</v>
      </c>
      <c r="X872" s="87">
        <v>0.0</v>
      </c>
      <c r="Y872" s="87">
        <v>0.0</v>
      </c>
      <c r="Z872" s="87">
        <v>0.0</v>
      </c>
      <c r="AA872" s="87">
        <v>5.849266</v>
      </c>
      <c r="AB872" s="87">
        <v>4.32401</v>
      </c>
      <c r="AC872" s="87">
        <v>5.950041</v>
      </c>
      <c r="AD872" s="87">
        <v>0.0</v>
      </c>
      <c r="AE872" s="87">
        <v>0.0</v>
      </c>
      <c r="AF872" s="87">
        <v>0.0</v>
      </c>
      <c r="AG872" s="87">
        <v>0.0</v>
      </c>
      <c r="AH872" s="87">
        <v>0.0</v>
      </c>
      <c r="AI872" s="87">
        <v>5.947368</v>
      </c>
      <c r="AJ872" s="87">
        <v>5.120093</v>
      </c>
      <c r="AK872" s="87">
        <v>4.914999</v>
      </c>
      <c r="AL872" s="88" t="s">
        <v>1396</v>
      </c>
    </row>
    <row r="873">
      <c r="A873" s="84" t="s">
        <v>2540</v>
      </c>
      <c r="B873" s="84" t="s">
        <v>2558</v>
      </c>
      <c r="C873" s="84" t="s">
        <v>537</v>
      </c>
      <c r="D873" s="84" t="s">
        <v>1044</v>
      </c>
      <c r="E873" s="86">
        <v>46310.0</v>
      </c>
      <c r="F873" s="87">
        <v>1.0</v>
      </c>
      <c r="G873" s="87">
        <v>0.0</v>
      </c>
      <c r="H873" s="87">
        <v>0.0</v>
      </c>
      <c r="I873" s="87">
        <v>0.0</v>
      </c>
      <c r="J873" s="87">
        <v>0.0</v>
      </c>
      <c r="K873" s="87">
        <v>0.0</v>
      </c>
      <c r="L873" s="87">
        <v>0.0</v>
      </c>
      <c r="M873" s="87">
        <v>0.0</v>
      </c>
      <c r="N873" s="87">
        <v>0.0</v>
      </c>
      <c r="O873" s="87">
        <v>0.0</v>
      </c>
      <c r="P873" s="87">
        <v>0.0</v>
      </c>
      <c r="Q873" s="87">
        <v>0.0</v>
      </c>
      <c r="R873" s="87">
        <v>0.0</v>
      </c>
      <c r="S873" s="87">
        <v>0.0</v>
      </c>
      <c r="T873" s="87">
        <v>0.0</v>
      </c>
      <c r="U873" s="87">
        <v>0.0</v>
      </c>
      <c r="V873" s="87">
        <v>0.0</v>
      </c>
      <c r="W873" s="87">
        <v>0.0</v>
      </c>
      <c r="X873" s="87">
        <v>0.0</v>
      </c>
      <c r="Y873" s="87">
        <v>0.0</v>
      </c>
      <c r="Z873" s="87">
        <v>0.0</v>
      </c>
      <c r="AA873" s="87">
        <v>3.049261</v>
      </c>
      <c r="AB873" s="87">
        <v>2.107315</v>
      </c>
      <c r="AC873" s="87">
        <v>3.835392</v>
      </c>
      <c r="AD873" s="87">
        <v>6.969965</v>
      </c>
      <c r="AE873" s="87">
        <v>14.57774</v>
      </c>
      <c r="AF873" s="87">
        <v>10.80476</v>
      </c>
      <c r="AG873" s="87">
        <v>9.490585</v>
      </c>
      <c r="AH873" s="87">
        <v>0.0</v>
      </c>
      <c r="AI873" s="87">
        <v>5.947368</v>
      </c>
      <c r="AJ873" s="87">
        <v>5.120093</v>
      </c>
      <c r="AK873" s="87">
        <v>4.914999</v>
      </c>
      <c r="AL873" s="88" t="s">
        <v>1396</v>
      </c>
    </row>
    <row r="874">
      <c r="A874" s="84" t="s">
        <v>2552</v>
      </c>
      <c r="B874" s="84" t="s">
        <v>2559</v>
      </c>
      <c r="C874" s="84" t="s">
        <v>537</v>
      </c>
      <c r="D874" s="84" t="s">
        <v>1044</v>
      </c>
      <c r="E874" s="84" t="s">
        <v>1413</v>
      </c>
      <c r="F874" s="87">
        <v>1.0</v>
      </c>
      <c r="G874" s="87">
        <v>0.0</v>
      </c>
      <c r="H874" s="87">
        <v>0.0</v>
      </c>
      <c r="I874" s="87">
        <v>0.0</v>
      </c>
      <c r="J874" s="87">
        <v>0.0</v>
      </c>
      <c r="K874" s="87">
        <v>0.0</v>
      </c>
      <c r="L874" s="87">
        <v>0.0</v>
      </c>
      <c r="M874" s="87">
        <v>0.0</v>
      </c>
      <c r="N874" s="87">
        <v>0.0</v>
      </c>
      <c r="O874" s="87">
        <v>0.0</v>
      </c>
      <c r="P874" s="87">
        <v>0.0</v>
      </c>
      <c r="Q874" s="87">
        <v>0.0</v>
      </c>
      <c r="R874" s="87">
        <v>0.0</v>
      </c>
      <c r="S874" s="87">
        <v>0.0</v>
      </c>
      <c r="T874" s="87">
        <v>0.0</v>
      </c>
      <c r="U874" s="87">
        <v>0.0</v>
      </c>
      <c r="V874" s="87">
        <v>0.0</v>
      </c>
      <c r="W874" s="87">
        <v>0.0</v>
      </c>
      <c r="X874" s="87">
        <v>0.0</v>
      </c>
      <c r="Y874" s="87">
        <v>0.0</v>
      </c>
      <c r="Z874" s="87">
        <v>0.0</v>
      </c>
      <c r="AA874" s="87">
        <v>3.049261</v>
      </c>
      <c r="AB874" s="87">
        <v>2.107315</v>
      </c>
      <c r="AC874" s="87">
        <v>3.835392</v>
      </c>
      <c r="AD874" s="87">
        <v>2.929443</v>
      </c>
      <c r="AE874" s="87">
        <v>4.13276</v>
      </c>
      <c r="AF874" s="87">
        <v>3.989409</v>
      </c>
      <c r="AG874" s="87">
        <v>3.2088</v>
      </c>
      <c r="AH874" s="87">
        <v>0.0</v>
      </c>
      <c r="AI874" s="87">
        <v>5.947368</v>
      </c>
      <c r="AJ874" s="87">
        <v>5.120093</v>
      </c>
      <c r="AK874" s="87">
        <v>4.914999</v>
      </c>
      <c r="AL874" s="88" t="s">
        <v>1396</v>
      </c>
    </row>
    <row r="875">
      <c r="A875" s="84" t="s">
        <v>2542</v>
      </c>
      <c r="B875" s="84" t="s">
        <v>2560</v>
      </c>
      <c r="C875" s="84" t="s">
        <v>537</v>
      </c>
      <c r="D875" s="84" t="s">
        <v>1044</v>
      </c>
      <c r="E875" s="84" t="s">
        <v>1398</v>
      </c>
      <c r="F875" s="87">
        <v>7.0</v>
      </c>
      <c r="G875" s="87">
        <v>0.0</v>
      </c>
      <c r="H875" s="87">
        <v>3301.0</v>
      </c>
      <c r="I875" s="87">
        <v>0.0</v>
      </c>
      <c r="J875" s="87">
        <v>35.12493</v>
      </c>
      <c r="K875" s="87">
        <v>31.50676</v>
      </c>
      <c r="L875" s="87">
        <v>33.89555</v>
      </c>
      <c r="M875" s="87">
        <v>18.01185</v>
      </c>
      <c r="N875" s="87">
        <v>0.571682</v>
      </c>
      <c r="O875" s="87">
        <v>0.0</v>
      </c>
      <c r="P875" s="87">
        <v>0.0</v>
      </c>
      <c r="Q875" s="87">
        <v>3.049261</v>
      </c>
      <c r="R875" s="87">
        <v>4.694485</v>
      </c>
      <c r="S875" s="87">
        <v>5.75117</v>
      </c>
      <c r="T875" s="87">
        <v>3.049261</v>
      </c>
      <c r="U875" s="87">
        <v>4.694485</v>
      </c>
      <c r="V875" s="87">
        <v>4.694485</v>
      </c>
      <c r="W875" s="87">
        <v>5.75117</v>
      </c>
      <c r="X875" s="87">
        <v>7.972697</v>
      </c>
      <c r="Y875" s="87">
        <v>4.500966</v>
      </c>
      <c r="Z875" s="87">
        <v>0.0</v>
      </c>
      <c r="AA875" s="87">
        <v>3.049261</v>
      </c>
      <c r="AB875" s="87">
        <v>2.107315</v>
      </c>
      <c r="AC875" s="87">
        <v>3.835392</v>
      </c>
      <c r="AD875" s="87">
        <v>6.810826</v>
      </c>
      <c r="AE875" s="87">
        <v>7.616977</v>
      </c>
      <c r="AF875" s="87">
        <v>7.621931</v>
      </c>
      <c r="AG875" s="87">
        <v>5.950041</v>
      </c>
      <c r="AH875" s="87">
        <v>0.0</v>
      </c>
      <c r="AI875" s="87">
        <v>5.947368</v>
      </c>
      <c r="AJ875" s="87">
        <v>5.120093</v>
      </c>
      <c r="AK875" s="87">
        <v>4.914999</v>
      </c>
      <c r="AL875" s="88" t="s">
        <v>1396</v>
      </c>
    </row>
    <row r="876">
      <c r="A876" s="84" t="s">
        <v>2544</v>
      </c>
      <c r="B876" s="84" t="s">
        <v>2561</v>
      </c>
      <c r="C876" s="84" t="s">
        <v>537</v>
      </c>
      <c r="D876" s="84" t="s">
        <v>1044</v>
      </c>
      <c r="E876" s="84" t="s">
        <v>1400</v>
      </c>
      <c r="F876" s="87">
        <v>8.0</v>
      </c>
      <c r="G876" s="87">
        <v>0.0</v>
      </c>
      <c r="H876" s="87">
        <v>3818.0</v>
      </c>
      <c r="I876" s="87">
        <v>0.0</v>
      </c>
      <c r="J876" s="87">
        <v>25.91727</v>
      </c>
      <c r="K876" s="87">
        <v>30.68313</v>
      </c>
      <c r="L876" s="87">
        <v>34.76732</v>
      </c>
      <c r="M876" s="87">
        <v>14.7196</v>
      </c>
      <c r="N876" s="87">
        <v>0.479729</v>
      </c>
      <c r="O876" s="87">
        <v>0.517766</v>
      </c>
      <c r="P876" s="87">
        <v>1.668339</v>
      </c>
      <c r="Q876" s="87">
        <v>2.516019</v>
      </c>
      <c r="R876" s="87">
        <v>2.892788</v>
      </c>
      <c r="S876" s="87">
        <v>5.828186</v>
      </c>
      <c r="T876" s="87">
        <v>0.517766</v>
      </c>
      <c r="U876" s="87">
        <v>1.668339</v>
      </c>
      <c r="V876" s="87">
        <v>2.516019</v>
      </c>
      <c r="W876" s="87">
        <v>2.892788</v>
      </c>
      <c r="X876" s="87">
        <v>5.828186</v>
      </c>
      <c r="Y876" s="87">
        <v>3.835392</v>
      </c>
      <c r="Z876" s="87">
        <v>0.0</v>
      </c>
      <c r="AA876" s="87">
        <v>3.049261</v>
      </c>
      <c r="AB876" s="87">
        <v>2.107315</v>
      </c>
      <c r="AC876" s="87">
        <v>3.835392</v>
      </c>
      <c r="AD876" s="87">
        <v>2.908863</v>
      </c>
      <c r="AE876" s="87">
        <v>3.356965</v>
      </c>
      <c r="AF876" s="87">
        <v>6.565551</v>
      </c>
      <c r="AG876" s="87">
        <v>4.914999</v>
      </c>
      <c r="AH876" s="87">
        <v>0.0</v>
      </c>
      <c r="AI876" s="87">
        <v>5.947368</v>
      </c>
      <c r="AJ876" s="87">
        <v>5.120093</v>
      </c>
      <c r="AK876" s="87">
        <v>4.914999</v>
      </c>
      <c r="AL876" s="88" t="s">
        <v>1396</v>
      </c>
    </row>
    <row r="877">
      <c r="A877" s="84" t="s">
        <v>2546</v>
      </c>
      <c r="B877" s="84" t="s">
        <v>2562</v>
      </c>
      <c r="C877" s="84" t="s">
        <v>537</v>
      </c>
      <c r="D877" s="84" t="s">
        <v>1044</v>
      </c>
      <c r="E877" s="89">
        <v>46300.0</v>
      </c>
      <c r="F877" s="87">
        <v>9.0</v>
      </c>
      <c r="G877" s="87">
        <v>0.0</v>
      </c>
      <c r="H877" s="87">
        <v>6075.0</v>
      </c>
      <c r="I877" s="87">
        <v>0.0</v>
      </c>
      <c r="J877" s="87">
        <v>32.50832</v>
      </c>
      <c r="K877" s="87">
        <v>36.8539</v>
      </c>
      <c r="L877" s="87">
        <v>35.21539</v>
      </c>
      <c r="M877" s="87">
        <v>22.26718</v>
      </c>
      <c r="N877" s="87">
        <v>0.604202</v>
      </c>
      <c r="O877" s="87">
        <v>0.0</v>
      </c>
      <c r="P877" s="87">
        <v>1.819319</v>
      </c>
      <c r="Q877" s="87">
        <v>1.885694</v>
      </c>
      <c r="R877" s="87">
        <v>2.737031</v>
      </c>
      <c r="S877" s="87">
        <v>3.483226</v>
      </c>
      <c r="T877" s="87">
        <v>1.819319</v>
      </c>
      <c r="U877" s="87">
        <v>1.885694</v>
      </c>
      <c r="V877" s="87">
        <v>1.887868</v>
      </c>
      <c r="W877" s="87">
        <v>2.773577</v>
      </c>
      <c r="X877" s="87">
        <v>3.483226</v>
      </c>
      <c r="Y877" s="87">
        <v>4.094877</v>
      </c>
      <c r="Z877" s="87">
        <v>0.0</v>
      </c>
      <c r="AA877" s="87">
        <v>3.049261</v>
      </c>
      <c r="AB877" s="87">
        <v>2.107315</v>
      </c>
      <c r="AC877" s="87">
        <v>3.835392</v>
      </c>
      <c r="AD877" s="87">
        <v>9.237934</v>
      </c>
      <c r="AE877" s="87">
        <v>13.92059</v>
      </c>
      <c r="AF877" s="87">
        <v>15.83545</v>
      </c>
      <c r="AG877" s="87">
        <v>14.4841</v>
      </c>
      <c r="AH877" s="87">
        <v>0.0</v>
      </c>
      <c r="AI877" s="87">
        <v>5.947368</v>
      </c>
      <c r="AJ877" s="87">
        <v>5.120093</v>
      </c>
      <c r="AK877" s="87">
        <v>4.914999</v>
      </c>
      <c r="AL877" s="88" t="s">
        <v>1396</v>
      </c>
    </row>
    <row r="878">
      <c r="A878" s="84" t="s">
        <v>2548</v>
      </c>
      <c r="B878" s="84" t="s">
        <v>2563</v>
      </c>
      <c r="C878" s="84" t="s">
        <v>537</v>
      </c>
      <c r="D878" s="84" t="s">
        <v>1044</v>
      </c>
      <c r="E878" s="84" t="s">
        <v>1403</v>
      </c>
      <c r="F878" s="87">
        <v>21.0</v>
      </c>
      <c r="G878" s="87">
        <v>0.0</v>
      </c>
      <c r="H878" s="87">
        <v>0.0</v>
      </c>
      <c r="I878" s="87">
        <v>0.0</v>
      </c>
      <c r="J878" s="87">
        <v>0.0</v>
      </c>
      <c r="K878" s="87">
        <v>0.0</v>
      </c>
      <c r="L878" s="87">
        <v>0.0</v>
      </c>
      <c r="M878" s="87">
        <v>0.0</v>
      </c>
      <c r="N878" s="87">
        <v>0.0</v>
      </c>
      <c r="O878" s="87">
        <v>0.0</v>
      </c>
      <c r="P878" s="87">
        <v>0.0</v>
      </c>
      <c r="Q878" s="87">
        <v>0.0</v>
      </c>
      <c r="R878" s="87">
        <v>0.0</v>
      </c>
      <c r="S878" s="87">
        <v>0.0</v>
      </c>
      <c r="T878" s="87">
        <v>0.0</v>
      </c>
      <c r="U878" s="87">
        <v>0.0</v>
      </c>
      <c r="V878" s="87">
        <v>0.0</v>
      </c>
      <c r="W878" s="87">
        <v>0.0</v>
      </c>
      <c r="X878" s="87">
        <v>0.0</v>
      </c>
      <c r="Y878" s="87">
        <v>0.0</v>
      </c>
      <c r="Z878" s="87">
        <v>0.0</v>
      </c>
      <c r="AA878" s="87">
        <v>3.049261</v>
      </c>
      <c r="AB878" s="87">
        <v>2.107315</v>
      </c>
      <c r="AC878" s="87">
        <v>3.835392</v>
      </c>
      <c r="AD878" s="87">
        <v>0.0</v>
      </c>
      <c r="AE878" s="87">
        <v>0.0</v>
      </c>
      <c r="AF878" s="87">
        <v>0.0</v>
      </c>
      <c r="AG878" s="87">
        <v>0.0</v>
      </c>
      <c r="AH878" s="87">
        <v>0.0</v>
      </c>
      <c r="AI878" s="87">
        <v>5.947368</v>
      </c>
      <c r="AJ878" s="87">
        <v>5.120093</v>
      </c>
      <c r="AK878" s="87">
        <v>4.914999</v>
      </c>
      <c r="AL878" s="88" t="s">
        <v>1396</v>
      </c>
    </row>
    <row r="879">
      <c r="A879" s="84" t="s">
        <v>2552</v>
      </c>
      <c r="B879" s="84" t="s">
        <v>2564</v>
      </c>
      <c r="C879" s="84" t="s">
        <v>537</v>
      </c>
      <c r="D879" s="84" t="s">
        <v>543</v>
      </c>
      <c r="E879" s="84" t="s">
        <v>1413</v>
      </c>
      <c r="F879" s="87">
        <v>3.0</v>
      </c>
      <c r="G879" s="87">
        <v>0.0</v>
      </c>
      <c r="H879" s="87">
        <v>1136.0</v>
      </c>
      <c r="I879" s="87">
        <v>0.0</v>
      </c>
      <c r="J879" s="87">
        <v>7.403755</v>
      </c>
      <c r="K879" s="87">
        <v>6.369267</v>
      </c>
      <c r="L879" s="87">
        <v>6.919509</v>
      </c>
      <c r="M879" s="87">
        <v>2.245337</v>
      </c>
      <c r="N879" s="87">
        <v>0.352527</v>
      </c>
      <c r="O879" s="87">
        <v>1.970634</v>
      </c>
      <c r="P879" s="87">
        <v>1.970634</v>
      </c>
      <c r="Q879" s="87">
        <v>1.970634</v>
      </c>
      <c r="R879" s="87">
        <v>2.153296</v>
      </c>
      <c r="S879" s="87">
        <v>2.245337</v>
      </c>
      <c r="T879" s="87">
        <v>1.970634</v>
      </c>
      <c r="U879" s="87">
        <v>1.970634</v>
      </c>
      <c r="V879" s="87">
        <v>1.970634</v>
      </c>
      <c r="W879" s="87">
        <v>2.153296</v>
      </c>
      <c r="X879" s="87">
        <v>2.245337</v>
      </c>
      <c r="Y879" s="87">
        <v>2.123089</v>
      </c>
      <c r="Z879" s="87">
        <v>0.0</v>
      </c>
      <c r="AA879" s="87">
        <v>2.245337</v>
      </c>
      <c r="AB879" s="87">
        <v>2.383283</v>
      </c>
      <c r="AC879" s="87">
        <v>2.123089</v>
      </c>
      <c r="AD879" s="87">
        <v>2.929443</v>
      </c>
      <c r="AE879" s="87">
        <v>4.13276</v>
      </c>
      <c r="AF879" s="87">
        <v>3.989409</v>
      </c>
      <c r="AG879" s="87">
        <v>3.2088</v>
      </c>
      <c r="AH879" s="87">
        <v>0.0</v>
      </c>
      <c r="AI879" s="87">
        <v>5.947368</v>
      </c>
      <c r="AJ879" s="87">
        <v>5.120093</v>
      </c>
      <c r="AK879" s="87">
        <v>4.914999</v>
      </c>
      <c r="AL879" s="88" t="s">
        <v>1396</v>
      </c>
    </row>
    <row r="880">
      <c r="A880" s="84" t="s">
        <v>2544</v>
      </c>
      <c r="B880" s="84" t="s">
        <v>2565</v>
      </c>
      <c r="C880" s="84" t="s">
        <v>537</v>
      </c>
      <c r="D880" s="84" t="s">
        <v>543</v>
      </c>
      <c r="E880" s="84" t="s">
        <v>1400</v>
      </c>
      <c r="F880" s="87">
        <v>10.0</v>
      </c>
      <c r="G880" s="87">
        <v>0.0</v>
      </c>
      <c r="H880" s="87">
        <v>9104.0</v>
      </c>
      <c r="I880" s="87">
        <v>0.0</v>
      </c>
      <c r="J880" s="87">
        <v>48.74713</v>
      </c>
      <c r="K880" s="87">
        <v>53.2128</v>
      </c>
      <c r="L880" s="87">
        <v>61.39521</v>
      </c>
      <c r="M880" s="87">
        <v>33.42003</v>
      </c>
      <c r="N880" s="87">
        <v>0.628045</v>
      </c>
      <c r="O880" s="87">
        <v>0.0</v>
      </c>
      <c r="P880" s="87">
        <v>0.2</v>
      </c>
      <c r="Q880" s="87">
        <v>2.058343</v>
      </c>
      <c r="R880" s="87">
        <v>4.604342</v>
      </c>
      <c r="S880" s="87">
        <v>5.924895</v>
      </c>
      <c r="T880" s="87">
        <v>0.2</v>
      </c>
      <c r="U880" s="87">
        <v>2.058343</v>
      </c>
      <c r="V880" s="87">
        <v>2.185847</v>
      </c>
      <c r="W880" s="87">
        <v>4.819341</v>
      </c>
      <c r="X880" s="87">
        <v>5.924895</v>
      </c>
      <c r="Y880" s="87">
        <v>5.32128</v>
      </c>
      <c r="Z880" s="87">
        <v>0.0</v>
      </c>
      <c r="AA880" s="87">
        <v>2.245337</v>
      </c>
      <c r="AB880" s="87">
        <v>2.383283</v>
      </c>
      <c r="AC880" s="87">
        <v>2.123089</v>
      </c>
      <c r="AD880" s="87">
        <v>2.908863</v>
      </c>
      <c r="AE880" s="87">
        <v>3.356965</v>
      </c>
      <c r="AF880" s="87">
        <v>6.565551</v>
      </c>
      <c r="AG880" s="87">
        <v>4.914999</v>
      </c>
      <c r="AH880" s="87">
        <v>0.0</v>
      </c>
      <c r="AI880" s="87">
        <v>5.947368</v>
      </c>
      <c r="AJ880" s="87">
        <v>5.120093</v>
      </c>
      <c r="AK880" s="87">
        <v>4.914999</v>
      </c>
      <c r="AL880" s="88" t="s">
        <v>1396</v>
      </c>
    </row>
    <row r="881">
      <c r="A881" s="84" t="s">
        <v>2548</v>
      </c>
      <c r="B881" s="84" t="s">
        <v>2566</v>
      </c>
      <c r="C881" s="84" t="s">
        <v>537</v>
      </c>
      <c r="D881" s="84" t="s">
        <v>543</v>
      </c>
      <c r="E881" s="84" t="s">
        <v>1403</v>
      </c>
      <c r="F881" s="87">
        <v>12.0</v>
      </c>
      <c r="G881" s="87">
        <v>1.0</v>
      </c>
      <c r="H881" s="87">
        <v>116.0</v>
      </c>
      <c r="I881" s="87">
        <v>116.0</v>
      </c>
      <c r="J881" s="87">
        <v>0.0</v>
      </c>
      <c r="K881" s="87">
        <v>0.0</v>
      </c>
      <c r="L881" s="87">
        <v>0.0</v>
      </c>
      <c r="M881" s="87">
        <v>0.0</v>
      </c>
      <c r="N881" s="87">
        <v>0.0</v>
      </c>
      <c r="O881" s="87">
        <v>0.0</v>
      </c>
      <c r="P881" s="87">
        <v>0.0</v>
      </c>
      <c r="Q881" s="87">
        <v>0.0</v>
      </c>
      <c r="R881" s="87">
        <v>0.0</v>
      </c>
      <c r="S881" s="87">
        <v>0.0</v>
      </c>
      <c r="T881" s="87">
        <v>0.0</v>
      </c>
      <c r="U881" s="87">
        <v>0.0</v>
      </c>
      <c r="V881" s="87">
        <v>0.0</v>
      </c>
      <c r="W881" s="87">
        <v>0.0</v>
      </c>
      <c r="X881" s="87">
        <v>0.0</v>
      </c>
      <c r="Y881" s="87">
        <v>0.0</v>
      </c>
      <c r="Z881" s="87">
        <v>0.0</v>
      </c>
      <c r="AA881" s="87">
        <v>2.245337</v>
      </c>
      <c r="AB881" s="87">
        <v>2.383283</v>
      </c>
      <c r="AC881" s="87">
        <v>2.123089</v>
      </c>
      <c r="AD881" s="87">
        <v>0.0</v>
      </c>
      <c r="AE881" s="87">
        <v>0.0</v>
      </c>
      <c r="AF881" s="87">
        <v>0.0</v>
      </c>
      <c r="AG881" s="87">
        <v>0.0</v>
      </c>
      <c r="AH881" s="87">
        <v>0.0</v>
      </c>
      <c r="AI881" s="87">
        <v>5.947368</v>
      </c>
      <c r="AJ881" s="87">
        <v>5.120093</v>
      </c>
      <c r="AK881" s="87">
        <v>4.914999</v>
      </c>
      <c r="AL881" s="88" t="s">
        <v>1396</v>
      </c>
    </row>
    <row r="882">
      <c r="A882" s="84" t="s">
        <v>2540</v>
      </c>
      <c r="B882" s="84" t="s">
        <v>2567</v>
      </c>
      <c r="C882" s="84" t="s">
        <v>537</v>
      </c>
      <c r="D882" s="84" t="s">
        <v>2568</v>
      </c>
      <c r="E882" s="86">
        <v>46310.0</v>
      </c>
      <c r="F882" s="87">
        <v>6.0</v>
      </c>
      <c r="G882" s="87">
        <v>0.0</v>
      </c>
      <c r="H882" s="87">
        <v>6452.0</v>
      </c>
      <c r="I882" s="87">
        <v>0.0</v>
      </c>
      <c r="J882" s="87">
        <v>76.49078</v>
      </c>
      <c r="K882" s="87">
        <v>78.67015</v>
      </c>
      <c r="L882" s="87">
        <v>80.44865</v>
      </c>
      <c r="M882" s="87">
        <v>55.42325</v>
      </c>
      <c r="N882" s="87">
        <v>0.704502</v>
      </c>
      <c r="O882" s="87">
        <v>0.0</v>
      </c>
      <c r="P882" s="87">
        <v>1.008713</v>
      </c>
      <c r="Q882" s="87">
        <v>1.008713</v>
      </c>
      <c r="R882" s="87">
        <v>15.26822</v>
      </c>
      <c r="S882" s="87">
        <v>27.12199</v>
      </c>
      <c r="T882" s="87">
        <v>1.008713</v>
      </c>
      <c r="U882" s="87">
        <v>6.969965</v>
      </c>
      <c r="V882" s="87">
        <v>6.969965</v>
      </c>
      <c r="W882" s="87">
        <v>15.26822</v>
      </c>
      <c r="X882" s="87">
        <v>27.12199</v>
      </c>
      <c r="Y882" s="87">
        <v>13.11169</v>
      </c>
      <c r="Z882" s="87">
        <v>0.0</v>
      </c>
      <c r="AA882" s="87">
        <v>6.528852</v>
      </c>
      <c r="AB882" s="87">
        <v>4.583169</v>
      </c>
      <c r="AC882" s="87">
        <v>13.11169</v>
      </c>
      <c r="AD882" s="87">
        <v>6.969965</v>
      </c>
      <c r="AE882" s="87">
        <v>14.57774</v>
      </c>
      <c r="AF882" s="87">
        <v>10.80476</v>
      </c>
      <c r="AG882" s="87">
        <v>9.490585</v>
      </c>
      <c r="AH882" s="87">
        <v>0.0</v>
      </c>
      <c r="AI882" s="87">
        <v>5.947368</v>
      </c>
      <c r="AJ882" s="87">
        <v>5.120093</v>
      </c>
      <c r="AK882" s="87">
        <v>4.914999</v>
      </c>
      <c r="AL882" s="88" t="s">
        <v>1396</v>
      </c>
    </row>
    <row r="883">
      <c r="A883" s="84" t="s">
        <v>2552</v>
      </c>
      <c r="B883" s="84" t="s">
        <v>2569</v>
      </c>
      <c r="C883" s="84" t="s">
        <v>537</v>
      </c>
      <c r="D883" s="84" t="s">
        <v>2568</v>
      </c>
      <c r="E883" s="84" t="s">
        <v>1413</v>
      </c>
      <c r="F883" s="87">
        <v>2.0</v>
      </c>
      <c r="G883" s="87">
        <v>0.0</v>
      </c>
      <c r="H883" s="87">
        <v>791.0</v>
      </c>
      <c r="I883" s="87">
        <v>0.0</v>
      </c>
      <c r="J883" s="87">
        <v>15.38182</v>
      </c>
      <c r="K883" s="87">
        <v>10.34566</v>
      </c>
      <c r="L883" s="87">
        <v>9.440232</v>
      </c>
      <c r="M883" s="87">
        <v>10.34566</v>
      </c>
      <c r="N883" s="87">
        <v>1.0</v>
      </c>
      <c r="O883" s="87">
        <v>0.0</v>
      </c>
      <c r="P883" s="87">
        <v>0.0</v>
      </c>
      <c r="Q883" s="87">
        <v>0.0</v>
      </c>
      <c r="R883" s="87">
        <v>10.34566</v>
      </c>
      <c r="S883" s="87">
        <v>10.34566</v>
      </c>
      <c r="T883" s="87">
        <v>10.34566</v>
      </c>
      <c r="U883" s="87">
        <v>10.34566</v>
      </c>
      <c r="V883" s="87">
        <v>10.34566</v>
      </c>
      <c r="W883" s="87">
        <v>10.34566</v>
      </c>
      <c r="X883" s="87">
        <v>10.34566</v>
      </c>
      <c r="Y883" s="87">
        <v>5.172829</v>
      </c>
      <c r="Z883" s="87">
        <v>0.0</v>
      </c>
      <c r="AA883" s="87">
        <v>6.528852</v>
      </c>
      <c r="AB883" s="87">
        <v>4.583169</v>
      </c>
      <c r="AC883" s="87">
        <v>13.11169</v>
      </c>
      <c r="AD883" s="87">
        <v>2.929443</v>
      </c>
      <c r="AE883" s="87">
        <v>4.13276</v>
      </c>
      <c r="AF883" s="87">
        <v>3.989409</v>
      </c>
      <c r="AG883" s="87">
        <v>3.2088</v>
      </c>
      <c r="AH883" s="87">
        <v>0.0</v>
      </c>
      <c r="AI883" s="87">
        <v>5.947368</v>
      </c>
      <c r="AJ883" s="87">
        <v>5.120093</v>
      </c>
      <c r="AK883" s="87">
        <v>4.914999</v>
      </c>
      <c r="AL883" s="88" t="s">
        <v>1396</v>
      </c>
    </row>
    <row r="884">
      <c r="A884" s="84" t="s">
        <v>2542</v>
      </c>
      <c r="B884" s="84" t="s">
        <v>2570</v>
      </c>
      <c r="C884" s="84" t="s">
        <v>537</v>
      </c>
      <c r="D884" s="84" t="s">
        <v>2568</v>
      </c>
      <c r="E884" s="84" t="s">
        <v>1398</v>
      </c>
      <c r="F884" s="87">
        <v>4.0</v>
      </c>
      <c r="G884" s="87">
        <v>0.0</v>
      </c>
      <c r="H884" s="87">
        <v>9283.0</v>
      </c>
      <c r="I884" s="87">
        <v>0.0</v>
      </c>
      <c r="J884" s="87">
        <v>57.07173</v>
      </c>
      <c r="K884" s="87">
        <v>82.68843</v>
      </c>
      <c r="L884" s="87">
        <v>82.8531</v>
      </c>
      <c r="M884" s="87">
        <v>45.49836</v>
      </c>
      <c r="N884" s="87">
        <v>0.550239</v>
      </c>
      <c r="O884" s="87">
        <v>6.810826</v>
      </c>
      <c r="P884" s="87">
        <v>6.810826</v>
      </c>
      <c r="Q884" s="87">
        <v>7.616977</v>
      </c>
      <c r="R884" s="87">
        <v>22.76227</v>
      </c>
      <c r="S884" s="87">
        <v>22.76227</v>
      </c>
      <c r="T884" s="87">
        <v>6.810826</v>
      </c>
      <c r="U884" s="87">
        <v>6.810826</v>
      </c>
      <c r="V884" s="87">
        <v>7.616977</v>
      </c>
      <c r="W884" s="87">
        <v>22.76227</v>
      </c>
      <c r="X884" s="87">
        <v>22.76227</v>
      </c>
      <c r="Y884" s="87">
        <v>20.67211</v>
      </c>
      <c r="Z884" s="87">
        <v>0.0</v>
      </c>
      <c r="AA884" s="87">
        <v>6.528852</v>
      </c>
      <c r="AB884" s="87">
        <v>4.583169</v>
      </c>
      <c r="AC884" s="87">
        <v>13.11169</v>
      </c>
      <c r="AD884" s="87">
        <v>6.810826</v>
      </c>
      <c r="AE884" s="87">
        <v>7.616977</v>
      </c>
      <c r="AF884" s="87">
        <v>7.621931</v>
      </c>
      <c r="AG884" s="87">
        <v>5.950041</v>
      </c>
      <c r="AH884" s="87">
        <v>0.0</v>
      </c>
      <c r="AI884" s="87">
        <v>5.947368</v>
      </c>
      <c r="AJ884" s="87">
        <v>5.120093</v>
      </c>
      <c r="AK884" s="87">
        <v>4.914999</v>
      </c>
      <c r="AL884" s="88" t="s">
        <v>1396</v>
      </c>
    </row>
    <row r="885">
      <c r="A885" s="84" t="s">
        <v>2544</v>
      </c>
      <c r="B885" s="84" t="s">
        <v>2571</v>
      </c>
      <c r="C885" s="84" t="s">
        <v>537</v>
      </c>
      <c r="D885" s="84" t="s">
        <v>2568</v>
      </c>
      <c r="E885" s="84" t="s">
        <v>1400</v>
      </c>
      <c r="F885" s="87">
        <v>19.0</v>
      </c>
      <c r="G885" s="87">
        <v>0.0</v>
      </c>
      <c r="H885" s="87">
        <v>13889.0</v>
      </c>
      <c r="I885" s="87">
        <v>0.0</v>
      </c>
      <c r="J885" s="87">
        <v>99.48164</v>
      </c>
      <c r="K885" s="87">
        <v>93.38499</v>
      </c>
      <c r="L885" s="87">
        <v>99.39098</v>
      </c>
      <c r="M885" s="87">
        <v>49.93608</v>
      </c>
      <c r="N885" s="87">
        <v>0.534733</v>
      </c>
      <c r="O885" s="87">
        <v>0.0</v>
      </c>
      <c r="P885" s="87">
        <v>1.330188</v>
      </c>
      <c r="Q885" s="87">
        <v>1.668966</v>
      </c>
      <c r="R885" s="87">
        <v>3.763354</v>
      </c>
      <c r="S885" s="87">
        <v>4.943236</v>
      </c>
      <c r="T885" s="87">
        <v>1.330188</v>
      </c>
      <c r="U885" s="87">
        <v>1.668966</v>
      </c>
      <c r="V885" s="87">
        <v>2.945225</v>
      </c>
      <c r="W885" s="87">
        <v>4.700668</v>
      </c>
      <c r="X885" s="87">
        <v>4.943236</v>
      </c>
      <c r="Y885" s="87">
        <v>4.914999</v>
      </c>
      <c r="Z885" s="87">
        <v>0.0</v>
      </c>
      <c r="AA885" s="87">
        <v>6.528852</v>
      </c>
      <c r="AB885" s="87">
        <v>4.583169</v>
      </c>
      <c r="AC885" s="87">
        <v>13.11169</v>
      </c>
      <c r="AD885" s="87">
        <v>2.908863</v>
      </c>
      <c r="AE885" s="87">
        <v>3.356965</v>
      </c>
      <c r="AF885" s="87">
        <v>6.565551</v>
      </c>
      <c r="AG885" s="87">
        <v>4.914999</v>
      </c>
      <c r="AH885" s="87">
        <v>0.0</v>
      </c>
      <c r="AI885" s="87">
        <v>5.947368</v>
      </c>
      <c r="AJ885" s="87">
        <v>5.120093</v>
      </c>
      <c r="AK885" s="87">
        <v>4.914999</v>
      </c>
      <c r="AL885" s="88" t="s">
        <v>1396</v>
      </c>
    </row>
    <row r="886">
      <c r="A886" s="84" t="s">
        <v>2546</v>
      </c>
      <c r="B886" s="84" t="s">
        <v>2572</v>
      </c>
      <c r="C886" s="84" t="s">
        <v>537</v>
      </c>
      <c r="D886" s="84" t="s">
        <v>2568</v>
      </c>
      <c r="E886" s="89">
        <v>46300.0</v>
      </c>
      <c r="F886" s="87">
        <v>1.0</v>
      </c>
      <c r="G886" s="87">
        <v>0.0</v>
      </c>
      <c r="H886" s="87">
        <v>2192.0</v>
      </c>
      <c r="I886" s="87">
        <v>0.0</v>
      </c>
      <c r="J886" s="87">
        <v>12.02692</v>
      </c>
      <c r="K886" s="87">
        <v>14.4841</v>
      </c>
      <c r="L886" s="87">
        <v>17.03022</v>
      </c>
      <c r="M886" s="87">
        <v>14.4841</v>
      </c>
      <c r="N886" s="87">
        <v>1.0</v>
      </c>
      <c r="O886" s="87">
        <v>14.4841</v>
      </c>
      <c r="P886" s="87">
        <v>14.4841</v>
      </c>
      <c r="Q886" s="87">
        <v>14.4841</v>
      </c>
      <c r="R886" s="87">
        <v>14.4841</v>
      </c>
      <c r="S886" s="87">
        <v>14.4841</v>
      </c>
      <c r="T886" s="87">
        <v>14.4841</v>
      </c>
      <c r="U886" s="87">
        <v>14.4841</v>
      </c>
      <c r="V886" s="87">
        <v>14.4841</v>
      </c>
      <c r="W886" s="87">
        <v>14.4841</v>
      </c>
      <c r="X886" s="87">
        <v>14.4841</v>
      </c>
      <c r="Y886" s="87">
        <v>14.4841</v>
      </c>
      <c r="Z886" s="87">
        <v>0.0</v>
      </c>
      <c r="AA886" s="87">
        <v>6.528852</v>
      </c>
      <c r="AB886" s="87">
        <v>4.583169</v>
      </c>
      <c r="AC886" s="87">
        <v>13.11169</v>
      </c>
      <c r="AD886" s="87">
        <v>9.237934</v>
      </c>
      <c r="AE886" s="87">
        <v>13.92059</v>
      </c>
      <c r="AF886" s="87">
        <v>15.83545</v>
      </c>
      <c r="AG886" s="87">
        <v>14.4841</v>
      </c>
      <c r="AH886" s="87">
        <v>0.0</v>
      </c>
      <c r="AI886" s="87">
        <v>5.947368</v>
      </c>
      <c r="AJ886" s="87">
        <v>5.120093</v>
      </c>
      <c r="AK886" s="87">
        <v>4.914999</v>
      </c>
      <c r="AL886" s="88" t="s">
        <v>1396</v>
      </c>
    </row>
    <row r="887">
      <c r="A887" s="84" t="s">
        <v>2548</v>
      </c>
      <c r="B887" s="84" t="s">
        <v>2573</v>
      </c>
      <c r="C887" s="84" t="s">
        <v>537</v>
      </c>
      <c r="D887" s="84" t="s">
        <v>2568</v>
      </c>
      <c r="E887" s="84" t="s">
        <v>1403</v>
      </c>
      <c r="F887" s="87">
        <v>29.0</v>
      </c>
      <c r="G887" s="87">
        <v>0.0</v>
      </c>
      <c r="H887" s="87">
        <v>0.0</v>
      </c>
      <c r="I887" s="87">
        <v>0.0</v>
      </c>
      <c r="J887" s="87">
        <v>0.0</v>
      </c>
      <c r="K887" s="87">
        <v>0.0</v>
      </c>
      <c r="L887" s="87">
        <v>0.0</v>
      </c>
      <c r="M887" s="87">
        <v>0.0</v>
      </c>
      <c r="N887" s="87">
        <v>0.0</v>
      </c>
      <c r="O887" s="87">
        <v>0.0</v>
      </c>
      <c r="P887" s="87">
        <v>0.0</v>
      </c>
      <c r="Q887" s="87">
        <v>0.0</v>
      </c>
      <c r="R887" s="87">
        <v>0.0</v>
      </c>
      <c r="S887" s="87">
        <v>0.0</v>
      </c>
      <c r="T887" s="87">
        <v>0.0</v>
      </c>
      <c r="U887" s="87">
        <v>0.0</v>
      </c>
      <c r="V887" s="87">
        <v>0.0</v>
      </c>
      <c r="W887" s="87">
        <v>0.0</v>
      </c>
      <c r="X887" s="87">
        <v>0.0</v>
      </c>
      <c r="Y887" s="87">
        <v>0.0</v>
      </c>
      <c r="Z887" s="87">
        <v>0.0</v>
      </c>
      <c r="AA887" s="87">
        <v>6.528852</v>
      </c>
      <c r="AB887" s="87">
        <v>4.583169</v>
      </c>
      <c r="AC887" s="87">
        <v>13.11169</v>
      </c>
      <c r="AD887" s="87">
        <v>0.0</v>
      </c>
      <c r="AE887" s="87">
        <v>0.0</v>
      </c>
      <c r="AF887" s="87">
        <v>0.0</v>
      </c>
      <c r="AG887" s="87">
        <v>0.0</v>
      </c>
      <c r="AH887" s="87">
        <v>0.0</v>
      </c>
      <c r="AI887" s="87">
        <v>5.947368</v>
      </c>
      <c r="AJ887" s="87">
        <v>5.120093</v>
      </c>
      <c r="AK887" s="87">
        <v>4.914999</v>
      </c>
      <c r="AL887" s="88" t="s">
        <v>1396</v>
      </c>
    </row>
    <row r="888">
      <c r="A888" s="84" t="s">
        <v>2537</v>
      </c>
      <c r="B888" s="84" t="s">
        <v>2574</v>
      </c>
      <c r="C888" s="84" t="s">
        <v>537</v>
      </c>
      <c r="D888" s="84" t="s">
        <v>538</v>
      </c>
      <c r="E888" s="84" t="s">
        <v>1426</v>
      </c>
      <c r="F888" s="87">
        <v>14.0</v>
      </c>
      <c r="G888" s="87">
        <v>0.0</v>
      </c>
      <c r="H888" s="87">
        <v>23850.0</v>
      </c>
      <c r="I888" s="87">
        <v>0.0</v>
      </c>
      <c r="J888" s="87">
        <v>229.4379</v>
      </c>
      <c r="K888" s="87">
        <v>235.6692</v>
      </c>
      <c r="L888" s="87">
        <v>245.2159</v>
      </c>
      <c r="M888" s="87">
        <v>181.5356</v>
      </c>
      <c r="N888" s="87">
        <v>0.770298</v>
      </c>
      <c r="O888" s="87">
        <v>0.0</v>
      </c>
      <c r="P888" s="87">
        <v>0.0</v>
      </c>
      <c r="Q888" s="87">
        <v>0.0</v>
      </c>
      <c r="R888" s="87">
        <v>6.028147</v>
      </c>
      <c r="S888" s="87">
        <v>11.41809</v>
      </c>
      <c r="T888" s="87">
        <v>5.895884</v>
      </c>
      <c r="U888" s="87">
        <v>6.028147</v>
      </c>
      <c r="V888" s="87">
        <v>8.170238</v>
      </c>
      <c r="W888" s="87">
        <v>22.62125</v>
      </c>
      <c r="X888" s="87">
        <v>44.44449</v>
      </c>
      <c r="Y888" s="87">
        <v>16.83352</v>
      </c>
      <c r="Z888" s="87">
        <v>0.0</v>
      </c>
      <c r="AA888" s="87">
        <v>7.130965</v>
      </c>
      <c r="AB888" s="87">
        <v>5.619745</v>
      </c>
      <c r="AC888" s="87">
        <v>8.710425</v>
      </c>
      <c r="AD888" s="87">
        <v>3.776061</v>
      </c>
      <c r="AE888" s="87">
        <v>11.41809</v>
      </c>
      <c r="AF888" s="87">
        <v>24.74782</v>
      </c>
      <c r="AG888" s="87">
        <v>16.83352</v>
      </c>
      <c r="AH888" s="87">
        <v>0.0</v>
      </c>
      <c r="AI888" s="87">
        <v>5.947368</v>
      </c>
      <c r="AJ888" s="87">
        <v>5.120093</v>
      </c>
      <c r="AK888" s="87">
        <v>4.914999</v>
      </c>
      <c r="AL888" s="88" t="s">
        <v>1396</v>
      </c>
    </row>
    <row r="889">
      <c r="A889" s="84" t="s">
        <v>2540</v>
      </c>
      <c r="B889" s="84" t="s">
        <v>2575</v>
      </c>
      <c r="C889" s="84" t="s">
        <v>537</v>
      </c>
      <c r="D889" s="84" t="s">
        <v>538</v>
      </c>
      <c r="E889" s="86">
        <v>46310.0</v>
      </c>
      <c r="F889" s="87">
        <v>19.0</v>
      </c>
      <c r="G889" s="87">
        <v>1.0</v>
      </c>
      <c r="H889" s="87">
        <v>11477.0</v>
      </c>
      <c r="I889" s="87">
        <v>218.0</v>
      </c>
      <c r="J889" s="87">
        <v>166.3524</v>
      </c>
      <c r="K889" s="87">
        <v>165.4981</v>
      </c>
      <c r="L889" s="87">
        <v>163.6594</v>
      </c>
      <c r="M889" s="87">
        <v>109.1928</v>
      </c>
      <c r="N889" s="87">
        <v>0.659783</v>
      </c>
      <c r="O889" s="87">
        <v>0.0</v>
      </c>
      <c r="P889" s="87">
        <v>0.0</v>
      </c>
      <c r="Q889" s="87">
        <v>0.0</v>
      </c>
      <c r="R889" s="87">
        <v>2.092168</v>
      </c>
      <c r="S889" s="87">
        <v>12.90948</v>
      </c>
      <c r="T889" s="87">
        <v>5.944126</v>
      </c>
      <c r="U889" s="87">
        <v>8.902662</v>
      </c>
      <c r="V889" s="87">
        <v>11.87907</v>
      </c>
      <c r="W889" s="87">
        <v>14.57774</v>
      </c>
      <c r="X889" s="87">
        <v>27.7045</v>
      </c>
      <c r="Y889" s="87">
        <v>8.710425</v>
      </c>
      <c r="Z889" s="87">
        <v>0.0</v>
      </c>
      <c r="AA889" s="87">
        <v>7.130965</v>
      </c>
      <c r="AB889" s="87">
        <v>5.619745</v>
      </c>
      <c r="AC889" s="87">
        <v>8.710425</v>
      </c>
      <c r="AD889" s="87">
        <v>6.969965</v>
      </c>
      <c r="AE889" s="87">
        <v>14.57774</v>
      </c>
      <c r="AF889" s="87">
        <v>10.80476</v>
      </c>
      <c r="AG889" s="87">
        <v>9.490585</v>
      </c>
      <c r="AH889" s="87">
        <v>0.0</v>
      </c>
      <c r="AI889" s="87">
        <v>5.947368</v>
      </c>
      <c r="AJ889" s="87">
        <v>5.120093</v>
      </c>
      <c r="AK889" s="87">
        <v>4.914999</v>
      </c>
      <c r="AL889" s="88" t="s">
        <v>1396</v>
      </c>
    </row>
    <row r="890">
      <c r="A890" s="84" t="s">
        <v>2552</v>
      </c>
      <c r="B890" s="84" t="s">
        <v>2576</v>
      </c>
      <c r="C890" s="84" t="s">
        <v>537</v>
      </c>
      <c r="D890" s="84" t="s">
        <v>538</v>
      </c>
      <c r="E890" s="84" t="s">
        <v>1413</v>
      </c>
      <c r="F890" s="87">
        <v>7.0</v>
      </c>
      <c r="G890" s="87">
        <v>0.0</v>
      </c>
      <c r="H890" s="87">
        <v>5488.0</v>
      </c>
      <c r="I890" s="87">
        <v>0.0</v>
      </c>
      <c r="J890" s="87">
        <v>20.51818</v>
      </c>
      <c r="K890" s="87">
        <v>22.4616</v>
      </c>
      <c r="L890" s="87">
        <v>21.45752</v>
      </c>
      <c r="M890" s="87">
        <v>11.89065</v>
      </c>
      <c r="N890" s="87">
        <v>0.529377</v>
      </c>
      <c r="O890" s="87">
        <v>0.343424</v>
      </c>
      <c r="P890" s="87">
        <v>1.603773</v>
      </c>
      <c r="Q890" s="87">
        <v>1.621018</v>
      </c>
      <c r="R890" s="87">
        <v>2.771429</v>
      </c>
      <c r="S890" s="87">
        <v>4.231312</v>
      </c>
      <c r="T890" s="87">
        <v>0.343424</v>
      </c>
      <c r="U890" s="87">
        <v>1.603773</v>
      </c>
      <c r="V890" s="87">
        <v>1.621018</v>
      </c>
      <c r="W890" s="87">
        <v>2.771429</v>
      </c>
      <c r="X890" s="87">
        <v>4.231312</v>
      </c>
      <c r="Y890" s="87">
        <v>3.2088</v>
      </c>
      <c r="Z890" s="87">
        <v>0.0</v>
      </c>
      <c r="AA890" s="87">
        <v>7.130965</v>
      </c>
      <c r="AB890" s="87">
        <v>5.619745</v>
      </c>
      <c r="AC890" s="87">
        <v>8.710425</v>
      </c>
      <c r="AD890" s="87">
        <v>2.929443</v>
      </c>
      <c r="AE890" s="87">
        <v>4.13276</v>
      </c>
      <c r="AF890" s="87">
        <v>3.989409</v>
      </c>
      <c r="AG890" s="87">
        <v>3.2088</v>
      </c>
      <c r="AH890" s="87">
        <v>0.0</v>
      </c>
      <c r="AI890" s="87">
        <v>5.947368</v>
      </c>
      <c r="AJ890" s="87">
        <v>5.120093</v>
      </c>
      <c r="AK890" s="87">
        <v>4.914999</v>
      </c>
      <c r="AL890" s="88" t="s">
        <v>1396</v>
      </c>
    </row>
    <row r="891">
      <c r="A891" s="84" t="s">
        <v>2542</v>
      </c>
      <c r="B891" s="84" t="s">
        <v>2577</v>
      </c>
      <c r="C891" s="84" t="s">
        <v>537</v>
      </c>
      <c r="D891" s="84" t="s">
        <v>538</v>
      </c>
      <c r="E891" s="84" t="s">
        <v>1398</v>
      </c>
      <c r="F891" s="87">
        <v>1.0</v>
      </c>
      <c r="G891" s="87">
        <v>0.0</v>
      </c>
      <c r="H891" s="87">
        <v>930.0</v>
      </c>
      <c r="I891" s="87">
        <v>0.0</v>
      </c>
      <c r="J891" s="87">
        <v>8.62316</v>
      </c>
      <c r="K891" s="87">
        <v>9.355413</v>
      </c>
      <c r="L891" s="87">
        <v>10.15462</v>
      </c>
      <c r="M891" s="87">
        <v>9.355413</v>
      </c>
      <c r="N891" s="87">
        <v>1.0</v>
      </c>
      <c r="O891" s="87">
        <v>9.355413</v>
      </c>
      <c r="P891" s="87">
        <v>9.355413</v>
      </c>
      <c r="Q891" s="87">
        <v>9.355413</v>
      </c>
      <c r="R891" s="87">
        <v>9.355413</v>
      </c>
      <c r="S891" s="87">
        <v>9.355413</v>
      </c>
      <c r="T891" s="87">
        <v>9.355413</v>
      </c>
      <c r="U891" s="87">
        <v>9.355413</v>
      </c>
      <c r="V891" s="87">
        <v>9.355413</v>
      </c>
      <c r="W891" s="87">
        <v>9.355413</v>
      </c>
      <c r="X891" s="87">
        <v>9.355413</v>
      </c>
      <c r="Y891" s="87">
        <v>9.355413</v>
      </c>
      <c r="Z891" s="87">
        <v>0.0</v>
      </c>
      <c r="AA891" s="87">
        <v>7.130965</v>
      </c>
      <c r="AB891" s="87">
        <v>5.619745</v>
      </c>
      <c r="AC891" s="87">
        <v>8.710425</v>
      </c>
      <c r="AD891" s="87">
        <v>6.810826</v>
      </c>
      <c r="AE891" s="87">
        <v>7.616977</v>
      </c>
      <c r="AF891" s="87">
        <v>7.621931</v>
      </c>
      <c r="AG891" s="87">
        <v>5.950041</v>
      </c>
      <c r="AH891" s="87">
        <v>0.0</v>
      </c>
      <c r="AI891" s="87">
        <v>5.947368</v>
      </c>
      <c r="AJ891" s="87">
        <v>5.120093</v>
      </c>
      <c r="AK891" s="87">
        <v>4.914999</v>
      </c>
      <c r="AL891" s="88" t="s">
        <v>1396</v>
      </c>
    </row>
    <row r="892">
      <c r="A892" s="84" t="s">
        <v>2544</v>
      </c>
      <c r="B892" s="84" t="s">
        <v>2578</v>
      </c>
      <c r="C892" s="84" t="s">
        <v>537</v>
      </c>
      <c r="D892" s="84" t="s">
        <v>538</v>
      </c>
      <c r="E892" s="84" t="s">
        <v>1400</v>
      </c>
      <c r="F892" s="87">
        <v>21.0</v>
      </c>
      <c r="G892" s="87">
        <v>0.0</v>
      </c>
      <c r="H892" s="87">
        <v>13811.0</v>
      </c>
      <c r="I892" s="87">
        <v>0.0</v>
      </c>
      <c r="J892" s="87">
        <v>39.84647</v>
      </c>
      <c r="K892" s="87">
        <v>45.58683</v>
      </c>
      <c r="L892" s="87">
        <v>44.16606</v>
      </c>
      <c r="M892" s="87">
        <v>29.53807</v>
      </c>
      <c r="N892" s="87">
        <v>0.647952</v>
      </c>
      <c r="O892" s="87">
        <v>0.333333</v>
      </c>
      <c r="P892" s="87">
        <v>0.703462</v>
      </c>
      <c r="Q892" s="87">
        <v>0.765591</v>
      </c>
      <c r="R892" s="87">
        <v>1.092473</v>
      </c>
      <c r="S892" s="87">
        <v>1.711484</v>
      </c>
      <c r="T892" s="87">
        <v>0.570197</v>
      </c>
      <c r="U892" s="87">
        <v>0.753846</v>
      </c>
      <c r="V892" s="87">
        <v>0.921774</v>
      </c>
      <c r="W892" s="87">
        <v>1.301224</v>
      </c>
      <c r="X892" s="87">
        <v>2.47931</v>
      </c>
      <c r="Y892" s="87">
        <v>2.170801</v>
      </c>
      <c r="Z892" s="87">
        <v>0.0</v>
      </c>
      <c r="AA892" s="87">
        <v>7.130965</v>
      </c>
      <c r="AB892" s="87">
        <v>5.619745</v>
      </c>
      <c r="AC892" s="87">
        <v>8.710425</v>
      </c>
      <c r="AD892" s="87">
        <v>2.908863</v>
      </c>
      <c r="AE892" s="87">
        <v>3.356965</v>
      </c>
      <c r="AF892" s="87">
        <v>6.565551</v>
      </c>
      <c r="AG892" s="87">
        <v>4.914999</v>
      </c>
      <c r="AH892" s="87">
        <v>0.0</v>
      </c>
      <c r="AI892" s="87">
        <v>5.947368</v>
      </c>
      <c r="AJ892" s="87">
        <v>5.120093</v>
      </c>
      <c r="AK892" s="87">
        <v>4.914999</v>
      </c>
      <c r="AL892" s="88" t="s">
        <v>1396</v>
      </c>
    </row>
    <row r="893">
      <c r="A893" s="84" t="s">
        <v>2546</v>
      </c>
      <c r="B893" s="84" t="s">
        <v>2579</v>
      </c>
      <c r="C893" s="84" t="s">
        <v>537</v>
      </c>
      <c r="D893" s="84" t="s">
        <v>538</v>
      </c>
      <c r="E893" s="89">
        <v>46300.0</v>
      </c>
      <c r="F893" s="87">
        <v>36.0</v>
      </c>
      <c r="G893" s="87">
        <v>0.0</v>
      </c>
      <c r="H893" s="87">
        <v>84864.0</v>
      </c>
      <c r="I893" s="87">
        <v>0.0</v>
      </c>
      <c r="J893" s="87">
        <v>676.0844</v>
      </c>
      <c r="K893" s="87">
        <v>724.0542</v>
      </c>
      <c r="L893" s="87">
        <v>744.4515</v>
      </c>
      <c r="M893" s="87">
        <v>498.6382</v>
      </c>
      <c r="N893" s="87">
        <v>0.688675</v>
      </c>
      <c r="O893" s="87">
        <v>0.0</v>
      </c>
      <c r="P893" s="87">
        <v>1.755522</v>
      </c>
      <c r="Q893" s="87">
        <v>5.271668</v>
      </c>
      <c r="R893" s="87">
        <v>10.64978</v>
      </c>
      <c r="S893" s="87">
        <v>16.44798</v>
      </c>
      <c r="T893" s="87">
        <v>4.139755</v>
      </c>
      <c r="U893" s="87">
        <v>5.63193</v>
      </c>
      <c r="V893" s="87">
        <v>7.130965</v>
      </c>
      <c r="W893" s="87">
        <v>13.46953</v>
      </c>
      <c r="X893" s="87">
        <v>28.61932</v>
      </c>
      <c r="Y893" s="87">
        <v>20.11262</v>
      </c>
      <c r="Z893" s="87">
        <v>0.0</v>
      </c>
      <c r="AA893" s="87">
        <v>7.130965</v>
      </c>
      <c r="AB893" s="87">
        <v>5.619745</v>
      </c>
      <c r="AC893" s="87">
        <v>8.710425</v>
      </c>
      <c r="AD893" s="87">
        <v>9.237934</v>
      </c>
      <c r="AE893" s="87">
        <v>13.92059</v>
      </c>
      <c r="AF893" s="87">
        <v>15.83545</v>
      </c>
      <c r="AG893" s="87">
        <v>14.4841</v>
      </c>
      <c r="AH893" s="87">
        <v>0.0</v>
      </c>
      <c r="AI893" s="87">
        <v>5.947368</v>
      </c>
      <c r="AJ893" s="87">
        <v>5.120093</v>
      </c>
      <c r="AK893" s="87">
        <v>4.914999</v>
      </c>
      <c r="AL893" s="88" t="s">
        <v>1396</v>
      </c>
    </row>
    <row r="894">
      <c r="A894" s="84" t="s">
        <v>2548</v>
      </c>
      <c r="B894" s="84" t="s">
        <v>2580</v>
      </c>
      <c r="C894" s="84" t="s">
        <v>537</v>
      </c>
      <c r="D894" s="84" t="s">
        <v>538</v>
      </c>
      <c r="E894" s="84" t="s">
        <v>1403</v>
      </c>
      <c r="F894" s="87">
        <v>116.0</v>
      </c>
      <c r="G894" s="87">
        <v>15.0</v>
      </c>
      <c r="H894" s="87">
        <v>457.0</v>
      </c>
      <c r="I894" s="87">
        <v>457.0</v>
      </c>
      <c r="J894" s="87">
        <v>0.0</v>
      </c>
      <c r="K894" s="87">
        <v>0.0</v>
      </c>
      <c r="L894" s="87">
        <v>0.0</v>
      </c>
      <c r="M894" s="87">
        <v>0.0</v>
      </c>
      <c r="N894" s="87">
        <v>0.0</v>
      </c>
      <c r="O894" s="87">
        <v>0.0</v>
      </c>
      <c r="P894" s="87">
        <v>0.0</v>
      </c>
      <c r="Q894" s="87">
        <v>0.0</v>
      </c>
      <c r="R894" s="87">
        <v>0.0</v>
      </c>
      <c r="S894" s="87">
        <v>0.0</v>
      </c>
      <c r="T894" s="87">
        <v>0.0</v>
      </c>
      <c r="U894" s="87">
        <v>0.0</v>
      </c>
      <c r="V894" s="87">
        <v>0.0</v>
      </c>
      <c r="W894" s="87">
        <v>0.0</v>
      </c>
      <c r="X894" s="87">
        <v>0.0</v>
      </c>
      <c r="Y894" s="87">
        <v>0.0</v>
      </c>
      <c r="Z894" s="87">
        <v>0.0</v>
      </c>
      <c r="AA894" s="87">
        <v>7.130965</v>
      </c>
      <c r="AB894" s="87">
        <v>5.619745</v>
      </c>
      <c r="AC894" s="87">
        <v>8.710425</v>
      </c>
      <c r="AD894" s="87">
        <v>0.0</v>
      </c>
      <c r="AE894" s="87">
        <v>0.0</v>
      </c>
      <c r="AF894" s="87">
        <v>0.0</v>
      </c>
      <c r="AG894" s="87">
        <v>0.0</v>
      </c>
      <c r="AH894" s="87">
        <v>0.0</v>
      </c>
      <c r="AI894" s="87">
        <v>5.947368</v>
      </c>
      <c r="AJ894" s="87">
        <v>5.120093</v>
      </c>
      <c r="AK894" s="87">
        <v>4.914999</v>
      </c>
      <c r="AL894" s="88" t="s">
        <v>1396</v>
      </c>
    </row>
    <row r="895">
      <c r="A895" s="84" t="s">
        <v>2581</v>
      </c>
      <c r="B895" s="84" t="s">
        <v>2582</v>
      </c>
      <c r="C895" s="84" t="s">
        <v>568</v>
      </c>
      <c r="D895" s="84" t="s">
        <v>2583</v>
      </c>
      <c r="E895" s="86">
        <v>46310.0</v>
      </c>
      <c r="F895" s="87">
        <v>1.0</v>
      </c>
      <c r="G895" s="87">
        <v>0.0</v>
      </c>
      <c r="H895" s="87">
        <v>538.0</v>
      </c>
      <c r="I895" s="87">
        <v>0.0</v>
      </c>
      <c r="J895" s="87">
        <v>4.094755</v>
      </c>
      <c r="K895" s="87">
        <v>3.743157</v>
      </c>
      <c r="L895" s="87">
        <v>3.839116</v>
      </c>
      <c r="M895" s="87">
        <v>3.743157</v>
      </c>
      <c r="N895" s="87">
        <v>1.0</v>
      </c>
      <c r="O895" s="87">
        <v>3.743157</v>
      </c>
      <c r="P895" s="87">
        <v>3.743157</v>
      </c>
      <c r="Q895" s="87">
        <v>3.743157</v>
      </c>
      <c r="R895" s="87">
        <v>3.743157</v>
      </c>
      <c r="S895" s="87">
        <v>3.743157</v>
      </c>
      <c r="T895" s="87">
        <v>3.743157</v>
      </c>
      <c r="U895" s="87">
        <v>3.743157</v>
      </c>
      <c r="V895" s="87">
        <v>3.743157</v>
      </c>
      <c r="W895" s="87">
        <v>3.743157</v>
      </c>
      <c r="X895" s="87">
        <v>3.743157</v>
      </c>
      <c r="Y895" s="87">
        <v>3.743157</v>
      </c>
      <c r="Z895" s="87">
        <v>0.0</v>
      </c>
      <c r="AA895" s="87">
        <v>1.640699</v>
      </c>
      <c r="AB895" s="87">
        <v>0.170326</v>
      </c>
      <c r="AC895" s="87">
        <v>1.640699</v>
      </c>
      <c r="AD895" s="87">
        <v>2.1228</v>
      </c>
      <c r="AE895" s="87">
        <v>2.1228</v>
      </c>
      <c r="AF895" s="87">
        <v>1.590883</v>
      </c>
      <c r="AG895" s="87">
        <v>3.743157</v>
      </c>
      <c r="AH895" s="87">
        <v>0.0</v>
      </c>
      <c r="AI895" s="87">
        <v>1.097849</v>
      </c>
      <c r="AJ895" s="87">
        <v>0.316252</v>
      </c>
      <c r="AK895" s="87">
        <v>0.167588</v>
      </c>
      <c r="AL895" s="88" t="s">
        <v>1396</v>
      </c>
    </row>
    <row r="896">
      <c r="A896" s="84" t="s">
        <v>2584</v>
      </c>
      <c r="B896" s="84" t="s">
        <v>2585</v>
      </c>
      <c r="C896" s="84" t="s">
        <v>568</v>
      </c>
      <c r="D896" s="84" t="s">
        <v>2583</v>
      </c>
      <c r="E896" s="84" t="s">
        <v>1398</v>
      </c>
      <c r="F896" s="87">
        <v>1.0</v>
      </c>
      <c r="G896" s="87">
        <v>0.0</v>
      </c>
      <c r="H896" s="87">
        <v>227.0</v>
      </c>
      <c r="I896" s="87">
        <v>0.0</v>
      </c>
      <c r="J896" s="87">
        <v>1.594322</v>
      </c>
      <c r="K896" s="87">
        <v>1.640699</v>
      </c>
      <c r="L896" s="87">
        <v>1.629239</v>
      </c>
      <c r="M896" s="87">
        <v>1.640699</v>
      </c>
      <c r="N896" s="87">
        <v>1.0</v>
      </c>
      <c r="O896" s="87">
        <v>1.640699</v>
      </c>
      <c r="P896" s="87">
        <v>1.640699</v>
      </c>
      <c r="Q896" s="87">
        <v>1.640699</v>
      </c>
      <c r="R896" s="87">
        <v>1.640699</v>
      </c>
      <c r="S896" s="87">
        <v>1.640699</v>
      </c>
      <c r="T896" s="87">
        <v>1.640699</v>
      </c>
      <c r="U896" s="87">
        <v>1.640699</v>
      </c>
      <c r="V896" s="87">
        <v>1.640699</v>
      </c>
      <c r="W896" s="87">
        <v>1.640699</v>
      </c>
      <c r="X896" s="87">
        <v>1.640699</v>
      </c>
      <c r="Y896" s="87">
        <v>1.640699</v>
      </c>
      <c r="Z896" s="87">
        <v>0.0</v>
      </c>
      <c r="AA896" s="87">
        <v>1.640699</v>
      </c>
      <c r="AB896" s="87">
        <v>0.170326</v>
      </c>
      <c r="AC896" s="87">
        <v>1.640699</v>
      </c>
      <c r="AD896" s="87">
        <v>0.204762</v>
      </c>
      <c r="AE896" s="87">
        <v>0.204762</v>
      </c>
      <c r="AF896" s="87">
        <v>0.385175</v>
      </c>
      <c r="AG896" s="87">
        <v>0.167588</v>
      </c>
      <c r="AH896" s="87">
        <v>0.0</v>
      </c>
      <c r="AI896" s="87">
        <v>1.097849</v>
      </c>
      <c r="AJ896" s="87">
        <v>0.316252</v>
      </c>
      <c r="AK896" s="87">
        <v>0.167588</v>
      </c>
      <c r="AL896" s="88" t="s">
        <v>1396</v>
      </c>
    </row>
    <row r="897">
      <c r="A897" s="84" t="s">
        <v>2586</v>
      </c>
      <c r="B897" s="84" t="s">
        <v>2587</v>
      </c>
      <c r="C897" s="84" t="s">
        <v>568</v>
      </c>
      <c r="D897" s="84" t="s">
        <v>2583</v>
      </c>
      <c r="E897" s="84" t="s">
        <v>1400</v>
      </c>
      <c r="F897" s="87">
        <v>9.0</v>
      </c>
      <c r="G897" s="87">
        <v>0.0</v>
      </c>
      <c r="H897" s="87">
        <v>59.0</v>
      </c>
      <c r="I897" s="87">
        <v>0.0</v>
      </c>
      <c r="J897" s="87">
        <v>0.396104</v>
      </c>
      <c r="K897" s="87">
        <v>0.747863</v>
      </c>
      <c r="L897" s="87">
        <v>0.784704</v>
      </c>
      <c r="M897" s="87">
        <v>0.747863</v>
      </c>
      <c r="N897" s="87">
        <v>1.0</v>
      </c>
      <c r="O897" s="87">
        <v>0.0</v>
      </c>
      <c r="P897" s="87">
        <v>0.0</v>
      </c>
      <c r="Q897" s="87">
        <v>0.0</v>
      </c>
      <c r="R897" s="87">
        <v>0.0</v>
      </c>
      <c r="S897" s="87">
        <v>0.0</v>
      </c>
      <c r="T897" s="87">
        <v>0.747863</v>
      </c>
      <c r="U897" s="87">
        <v>0.747863</v>
      </c>
      <c r="V897" s="87">
        <v>0.747863</v>
      </c>
      <c r="W897" s="87">
        <v>0.747863</v>
      </c>
      <c r="X897" s="87">
        <v>0.747863</v>
      </c>
      <c r="Y897" s="87">
        <v>0.083096</v>
      </c>
      <c r="Z897" s="87">
        <v>0.0</v>
      </c>
      <c r="AA897" s="87">
        <v>1.640699</v>
      </c>
      <c r="AB897" s="87">
        <v>0.170326</v>
      </c>
      <c r="AC897" s="87">
        <v>1.640699</v>
      </c>
      <c r="AD897" s="87">
        <v>0.0</v>
      </c>
      <c r="AE897" s="87">
        <v>0.747863</v>
      </c>
      <c r="AF897" s="87">
        <v>0.067988</v>
      </c>
      <c r="AG897" s="87">
        <v>0.083096</v>
      </c>
      <c r="AH897" s="87">
        <v>0.0</v>
      </c>
      <c r="AI897" s="87">
        <v>1.097849</v>
      </c>
      <c r="AJ897" s="87">
        <v>0.316252</v>
      </c>
      <c r="AK897" s="87">
        <v>0.167588</v>
      </c>
      <c r="AL897" s="88" t="s">
        <v>1396</v>
      </c>
    </row>
    <row r="898">
      <c r="A898" s="84" t="s">
        <v>2588</v>
      </c>
      <c r="B898" s="84" t="s">
        <v>2589</v>
      </c>
      <c r="C898" s="84" t="s">
        <v>568</v>
      </c>
      <c r="D898" s="84" t="s">
        <v>2583</v>
      </c>
      <c r="E898" s="84" t="s">
        <v>1403</v>
      </c>
      <c r="F898" s="87">
        <v>25.0</v>
      </c>
      <c r="G898" s="87">
        <v>0.0</v>
      </c>
      <c r="H898" s="87">
        <v>0.0</v>
      </c>
      <c r="I898" s="87">
        <v>0.0</v>
      </c>
      <c r="J898" s="87">
        <v>0.0</v>
      </c>
      <c r="K898" s="87">
        <v>0.0</v>
      </c>
      <c r="L898" s="87">
        <v>0.0</v>
      </c>
      <c r="M898" s="87">
        <v>0.0</v>
      </c>
      <c r="N898" s="87">
        <v>0.0</v>
      </c>
      <c r="O898" s="87">
        <v>0.0</v>
      </c>
      <c r="P898" s="87">
        <v>0.0</v>
      </c>
      <c r="Q898" s="87">
        <v>0.0</v>
      </c>
      <c r="R898" s="87">
        <v>0.0</v>
      </c>
      <c r="S898" s="87">
        <v>0.0</v>
      </c>
      <c r="T898" s="87">
        <v>0.0</v>
      </c>
      <c r="U898" s="87">
        <v>0.0</v>
      </c>
      <c r="V898" s="87">
        <v>0.0</v>
      </c>
      <c r="W898" s="87">
        <v>0.0</v>
      </c>
      <c r="X898" s="87">
        <v>0.0</v>
      </c>
      <c r="Y898" s="87">
        <v>0.0</v>
      </c>
      <c r="Z898" s="87">
        <v>0.0</v>
      </c>
      <c r="AA898" s="87">
        <v>1.640699</v>
      </c>
      <c r="AB898" s="87">
        <v>0.170326</v>
      </c>
      <c r="AC898" s="87">
        <v>1.640699</v>
      </c>
      <c r="AD898" s="87">
        <v>0.0</v>
      </c>
      <c r="AE898" s="87">
        <v>0.0</v>
      </c>
      <c r="AF898" s="87">
        <v>0.0</v>
      </c>
      <c r="AG898" s="87">
        <v>0.0</v>
      </c>
      <c r="AH898" s="87">
        <v>0.0</v>
      </c>
      <c r="AI898" s="87">
        <v>1.097849</v>
      </c>
      <c r="AJ898" s="87">
        <v>0.316252</v>
      </c>
      <c r="AK898" s="87">
        <v>0.167588</v>
      </c>
      <c r="AL898" s="88" t="s">
        <v>1396</v>
      </c>
    </row>
    <row r="899">
      <c r="A899" s="84" t="s">
        <v>2590</v>
      </c>
      <c r="B899" s="84" t="s">
        <v>2591</v>
      </c>
      <c r="C899" s="84" t="s">
        <v>568</v>
      </c>
      <c r="D899" s="84" t="s">
        <v>569</v>
      </c>
      <c r="E899" s="84" t="s">
        <v>1426</v>
      </c>
      <c r="F899" s="87">
        <v>1.0</v>
      </c>
      <c r="G899" s="87">
        <v>0.0</v>
      </c>
      <c r="H899" s="87">
        <v>0.0</v>
      </c>
      <c r="I899" s="87">
        <v>0.0</v>
      </c>
      <c r="J899" s="87">
        <v>0.0</v>
      </c>
      <c r="K899" s="87">
        <v>0.0</v>
      </c>
      <c r="L899" s="87">
        <v>0.0</v>
      </c>
      <c r="M899" s="87">
        <v>0.0</v>
      </c>
      <c r="N899" s="87">
        <v>0.0</v>
      </c>
      <c r="O899" s="87">
        <v>0.0</v>
      </c>
      <c r="P899" s="87">
        <v>0.0</v>
      </c>
      <c r="Q899" s="87">
        <v>0.0</v>
      </c>
      <c r="R899" s="87">
        <v>0.0</v>
      </c>
      <c r="S899" s="87">
        <v>0.0</v>
      </c>
      <c r="T899" s="87">
        <v>0.0</v>
      </c>
      <c r="U899" s="87">
        <v>0.0</v>
      </c>
      <c r="V899" s="87">
        <v>0.0</v>
      </c>
      <c r="W899" s="87">
        <v>0.0</v>
      </c>
      <c r="X899" s="87">
        <v>0.0</v>
      </c>
      <c r="Y899" s="87">
        <v>0.0</v>
      </c>
      <c r="Z899" s="87">
        <v>0.0</v>
      </c>
      <c r="AA899" s="87">
        <v>1.783335</v>
      </c>
      <c r="AB899" s="87">
        <v>0.441881</v>
      </c>
      <c r="AC899" s="87">
        <v>0.0</v>
      </c>
      <c r="AD899" s="87">
        <v>0.0</v>
      </c>
      <c r="AE899" s="87">
        <v>0.0</v>
      </c>
      <c r="AF899" s="87">
        <v>0.0</v>
      </c>
      <c r="AG899" s="87">
        <v>0.0</v>
      </c>
      <c r="AH899" s="87">
        <v>0.0</v>
      </c>
      <c r="AI899" s="87">
        <v>1.097849</v>
      </c>
      <c r="AJ899" s="87">
        <v>0.316252</v>
      </c>
      <c r="AK899" s="87">
        <v>0.167588</v>
      </c>
      <c r="AL899" s="88" t="s">
        <v>1396</v>
      </c>
    </row>
    <row r="900">
      <c r="A900" s="84" t="s">
        <v>2581</v>
      </c>
      <c r="B900" s="84" t="s">
        <v>2592</v>
      </c>
      <c r="C900" s="84" t="s">
        <v>568</v>
      </c>
      <c r="D900" s="84" t="s">
        <v>569</v>
      </c>
      <c r="E900" s="86">
        <v>46310.0</v>
      </c>
      <c r="F900" s="87">
        <v>3.0</v>
      </c>
      <c r="G900" s="87">
        <v>0.0</v>
      </c>
      <c r="H900" s="87">
        <v>495.0</v>
      </c>
      <c r="I900" s="87">
        <v>0.0</v>
      </c>
      <c r="J900" s="87">
        <v>2.363095</v>
      </c>
      <c r="K900" s="87">
        <v>2.620376</v>
      </c>
      <c r="L900" s="87">
        <v>2.731343</v>
      </c>
      <c r="M900" s="87">
        <v>2.1228</v>
      </c>
      <c r="N900" s="87">
        <v>0.810113</v>
      </c>
      <c r="O900" s="87">
        <v>0.0</v>
      </c>
      <c r="P900" s="87">
        <v>0.0</v>
      </c>
      <c r="Q900" s="87">
        <v>0.0</v>
      </c>
      <c r="R900" s="87">
        <v>0.497576</v>
      </c>
      <c r="S900" s="87">
        <v>2.1228</v>
      </c>
      <c r="T900" s="87">
        <v>0.497576</v>
      </c>
      <c r="U900" s="87">
        <v>0.497576</v>
      </c>
      <c r="V900" s="87">
        <v>0.497576</v>
      </c>
      <c r="W900" s="87">
        <v>2.1228</v>
      </c>
      <c r="X900" s="87">
        <v>2.1228</v>
      </c>
      <c r="Y900" s="87">
        <v>0.873459</v>
      </c>
      <c r="Z900" s="87">
        <v>0.0</v>
      </c>
      <c r="AA900" s="87">
        <v>1.783335</v>
      </c>
      <c r="AB900" s="87">
        <v>0.441881</v>
      </c>
      <c r="AC900" s="87">
        <v>0.0</v>
      </c>
      <c r="AD900" s="87">
        <v>2.1228</v>
      </c>
      <c r="AE900" s="87">
        <v>2.1228</v>
      </c>
      <c r="AF900" s="87">
        <v>1.590883</v>
      </c>
      <c r="AG900" s="87">
        <v>3.743157</v>
      </c>
      <c r="AH900" s="87">
        <v>0.0</v>
      </c>
      <c r="AI900" s="87">
        <v>1.097849</v>
      </c>
      <c r="AJ900" s="87">
        <v>0.316252</v>
      </c>
      <c r="AK900" s="87">
        <v>0.167588</v>
      </c>
      <c r="AL900" s="88" t="s">
        <v>1396</v>
      </c>
    </row>
    <row r="901">
      <c r="A901" s="84" t="s">
        <v>2593</v>
      </c>
      <c r="B901" s="84" t="s">
        <v>2594</v>
      </c>
      <c r="C901" s="84" t="s">
        <v>568</v>
      </c>
      <c r="D901" s="84" t="s">
        <v>569</v>
      </c>
      <c r="E901" s="84" t="s">
        <v>1413</v>
      </c>
      <c r="F901" s="87">
        <v>4.0</v>
      </c>
      <c r="G901" s="87">
        <v>0.0</v>
      </c>
      <c r="H901" s="87">
        <v>1202.0</v>
      </c>
      <c r="I901" s="87">
        <v>0.0</v>
      </c>
      <c r="J901" s="87">
        <v>9.936344</v>
      </c>
      <c r="K901" s="87">
        <v>8.70814</v>
      </c>
      <c r="L901" s="87">
        <v>10.32146</v>
      </c>
      <c r="M901" s="87">
        <v>6.615367</v>
      </c>
      <c r="N901" s="87">
        <v>0.759676</v>
      </c>
      <c r="O901" s="87">
        <v>0.5</v>
      </c>
      <c r="P901" s="87">
        <v>0.5</v>
      </c>
      <c r="Q901" s="87">
        <v>0.627182</v>
      </c>
      <c r="R901" s="87">
        <v>0.965591</v>
      </c>
      <c r="S901" s="87">
        <v>0.965591</v>
      </c>
      <c r="T901" s="87">
        <v>0.5</v>
      </c>
      <c r="U901" s="87">
        <v>0.5</v>
      </c>
      <c r="V901" s="87">
        <v>0.627182</v>
      </c>
      <c r="W901" s="87">
        <v>0.965591</v>
      </c>
      <c r="X901" s="87">
        <v>0.965591</v>
      </c>
      <c r="Y901" s="87">
        <v>2.177035</v>
      </c>
      <c r="Z901" s="87">
        <v>0.0</v>
      </c>
      <c r="AA901" s="87">
        <v>1.783335</v>
      </c>
      <c r="AB901" s="87">
        <v>0.441881</v>
      </c>
      <c r="AC901" s="87">
        <v>0.0</v>
      </c>
      <c r="AD901" s="87">
        <v>0.965591</v>
      </c>
      <c r="AE901" s="87">
        <v>0.965591</v>
      </c>
      <c r="AF901" s="87">
        <v>1.769434</v>
      </c>
      <c r="AG901" s="87">
        <v>2.177035</v>
      </c>
      <c r="AH901" s="87">
        <v>0.0</v>
      </c>
      <c r="AI901" s="87">
        <v>1.097849</v>
      </c>
      <c r="AJ901" s="87">
        <v>0.316252</v>
      </c>
      <c r="AK901" s="87">
        <v>0.167588</v>
      </c>
      <c r="AL901" s="88" t="s">
        <v>1396</v>
      </c>
    </row>
    <row r="902">
      <c r="A902" s="84" t="s">
        <v>2584</v>
      </c>
      <c r="B902" s="84" t="s">
        <v>2595</v>
      </c>
      <c r="C902" s="84" t="s">
        <v>568</v>
      </c>
      <c r="D902" s="84" t="s">
        <v>569</v>
      </c>
      <c r="E902" s="84" t="s">
        <v>1398</v>
      </c>
      <c r="F902" s="87">
        <v>1.0</v>
      </c>
      <c r="G902" s="87">
        <v>0.0</v>
      </c>
      <c r="H902" s="87">
        <v>0.0</v>
      </c>
      <c r="I902" s="87">
        <v>0.0</v>
      </c>
      <c r="J902" s="87">
        <v>0.0</v>
      </c>
      <c r="K902" s="87">
        <v>0.0</v>
      </c>
      <c r="L902" s="87">
        <v>0.0</v>
      </c>
      <c r="M902" s="87">
        <v>0.0</v>
      </c>
      <c r="N902" s="87">
        <v>0.0</v>
      </c>
      <c r="O902" s="87">
        <v>0.0</v>
      </c>
      <c r="P902" s="87">
        <v>0.0</v>
      </c>
      <c r="Q902" s="87">
        <v>0.0</v>
      </c>
      <c r="R902" s="87">
        <v>0.0</v>
      </c>
      <c r="S902" s="87">
        <v>0.0</v>
      </c>
      <c r="T902" s="87">
        <v>0.0</v>
      </c>
      <c r="U902" s="87">
        <v>0.0</v>
      </c>
      <c r="V902" s="87">
        <v>0.0</v>
      </c>
      <c r="W902" s="87">
        <v>0.0</v>
      </c>
      <c r="X902" s="87">
        <v>0.0</v>
      </c>
      <c r="Y902" s="87">
        <v>0.0</v>
      </c>
      <c r="Z902" s="87">
        <v>0.0</v>
      </c>
      <c r="AA902" s="87">
        <v>1.783335</v>
      </c>
      <c r="AB902" s="87">
        <v>0.441881</v>
      </c>
      <c r="AC902" s="87">
        <v>0.0</v>
      </c>
      <c r="AD902" s="87">
        <v>0.204762</v>
      </c>
      <c r="AE902" s="87">
        <v>0.204762</v>
      </c>
      <c r="AF902" s="87">
        <v>0.385175</v>
      </c>
      <c r="AG902" s="87">
        <v>0.167588</v>
      </c>
      <c r="AH902" s="87">
        <v>0.0</v>
      </c>
      <c r="AI902" s="87">
        <v>1.097849</v>
      </c>
      <c r="AJ902" s="87">
        <v>0.316252</v>
      </c>
      <c r="AK902" s="87">
        <v>0.167588</v>
      </c>
      <c r="AL902" s="88" t="s">
        <v>1396</v>
      </c>
    </row>
    <row r="903">
      <c r="A903" s="84" t="s">
        <v>2586</v>
      </c>
      <c r="B903" s="84" t="s">
        <v>2596</v>
      </c>
      <c r="C903" s="84" t="s">
        <v>568</v>
      </c>
      <c r="D903" s="84" t="s">
        <v>569</v>
      </c>
      <c r="E903" s="84" t="s">
        <v>1400</v>
      </c>
      <c r="F903" s="87">
        <v>2.0</v>
      </c>
      <c r="G903" s="87">
        <v>1.0</v>
      </c>
      <c r="H903" s="87">
        <v>23.0</v>
      </c>
      <c r="I903" s="87">
        <v>23.0</v>
      </c>
      <c r="J903" s="87">
        <v>0.0</v>
      </c>
      <c r="K903" s="87">
        <v>0.0</v>
      </c>
      <c r="L903" s="87">
        <v>0.052632</v>
      </c>
      <c r="M903" s="87">
        <v>0.0</v>
      </c>
      <c r="N903" s="87">
        <v>0.0</v>
      </c>
      <c r="O903" s="87">
        <v>0.0</v>
      </c>
      <c r="P903" s="87">
        <v>0.0</v>
      </c>
      <c r="Q903" s="87">
        <v>0.0</v>
      </c>
      <c r="R903" s="87">
        <v>0.0</v>
      </c>
      <c r="S903" s="87">
        <v>0.0</v>
      </c>
      <c r="T903" s="87">
        <v>0.0</v>
      </c>
      <c r="U903" s="87">
        <v>0.0</v>
      </c>
      <c r="V903" s="87">
        <v>0.0</v>
      </c>
      <c r="W903" s="87">
        <v>0.0</v>
      </c>
      <c r="X903" s="87">
        <v>0.0</v>
      </c>
      <c r="Y903" s="87">
        <v>0.0</v>
      </c>
      <c r="Z903" s="87">
        <v>0.0</v>
      </c>
      <c r="AA903" s="87">
        <v>1.783335</v>
      </c>
      <c r="AB903" s="87">
        <v>0.441881</v>
      </c>
      <c r="AC903" s="87">
        <v>0.0</v>
      </c>
      <c r="AD903" s="87">
        <v>0.0</v>
      </c>
      <c r="AE903" s="87">
        <v>0.747863</v>
      </c>
      <c r="AF903" s="87">
        <v>0.067988</v>
      </c>
      <c r="AG903" s="87">
        <v>0.083096</v>
      </c>
      <c r="AH903" s="87">
        <v>0.0</v>
      </c>
      <c r="AI903" s="87">
        <v>1.097849</v>
      </c>
      <c r="AJ903" s="87">
        <v>0.316252</v>
      </c>
      <c r="AK903" s="87">
        <v>0.167588</v>
      </c>
      <c r="AL903" s="88" t="s">
        <v>1396</v>
      </c>
    </row>
    <row r="904">
      <c r="A904" s="84" t="s">
        <v>2597</v>
      </c>
      <c r="B904" s="84" t="s">
        <v>2598</v>
      </c>
      <c r="C904" s="84" t="s">
        <v>568</v>
      </c>
      <c r="D904" s="84" t="s">
        <v>569</v>
      </c>
      <c r="E904" s="86">
        <v>46300.0</v>
      </c>
      <c r="F904" s="87">
        <v>6.0</v>
      </c>
      <c r="G904" s="87">
        <v>0.0</v>
      </c>
      <c r="H904" s="87">
        <v>1458.0</v>
      </c>
      <c r="I904" s="87">
        <v>0.0</v>
      </c>
      <c r="J904" s="87">
        <v>7.455495</v>
      </c>
      <c r="K904" s="87">
        <v>10.76552</v>
      </c>
      <c r="L904" s="87">
        <v>9.32291</v>
      </c>
      <c r="M904" s="87">
        <v>4.81245</v>
      </c>
      <c r="N904" s="87">
        <v>0.447025</v>
      </c>
      <c r="O904" s="87">
        <v>1.007143</v>
      </c>
      <c r="P904" s="87">
        <v>1.097849</v>
      </c>
      <c r="Q904" s="87">
        <v>1.097849</v>
      </c>
      <c r="R904" s="87">
        <v>2.064739</v>
      </c>
      <c r="S904" s="87">
        <v>2.0949</v>
      </c>
      <c r="T904" s="87">
        <v>1.007143</v>
      </c>
      <c r="U904" s="87">
        <v>1.097849</v>
      </c>
      <c r="V904" s="87">
        <v>1.097849</v>
      </c>
      <c r="W904" s="87">
        <v>2.064739</v>
      </c>
      <c r="X904" s="87">
        <v>2.0949</v>
      </c>
      <c r="Y904" s="87">
        <v>1.794253</v>
      </c>
      <c r="Z904" s="87">
        <v>0.0</v>
      </c>
      <c r="AA904" s="87">
        <v>1.783335</v>
      </c>
      <c r="AB904" s="87">
        <v>0.441881</v>
      </c>
      <c r="AC904" s="87">
        <v>0.0</v>
      </c>
      <c r="AD904" s="87">
        <v>2.064739</v>
      </c>
      <c r="AE904" s="87">
        <v>2.064739</v>
      </c>
      <c r="AF904" s="87">
        <v>1.794253</v>
      </c>
      <c r="AG904" s="87">
        <v>1.794253</v>
      </c>
      <c r="AH904" s="87">
        <v>0.0</v>
      </c>
      <c r="AI904" s="87">
        <v>1.097849</v>
      </c>
      <c r="AJ904" s="87">
        <v>0.316252</v>
      </c>
      <c r="AK904" s="87">
        <v>0.167588</v>
      </c>
      <c r="AL904" s="88" t="s">
        <v>1396</v>
      </c>
    </row>
    <row r="905">
      <c r="A905" s="84" t="s">
        <v>2588</v>
      </c>
      <c r="B905" s="84" t="s">
        <v>2599</v>
      </c>
      <c r="C905" s="84" t="s">
        <v>568</v>
      </c>
      <c r="D905" s="84" t="s">
        <v>569</v>
      </c>
      <c r="E905" s="84" t="s">
        <v>1403</v>
      </c>
      <c r="F905" s="87">
        <v>33.0</v>
      </c>
      <c r="G905" s="87">
        <v>0.0</v>
      </c>
      <c r="H905" s="87">
        <v>0.0</v>
      </c>
      <c r="I905" s="87">
        <v>0.0</v>
      </c>
      <c r="J905" s="87">
        <v>0.0</v>
      </c>
      <c r="K905" s="87">
        <v>0.0</v>
      </c>
      <c r="L905" s="87">
        <v>0.0</v>
      </c>
      <c r="M905" s="87">
        <v>0.0</v>
      </c>
      <c r="N905" s="87">
        <v>0.0</v>
      </c>
      <c r="O905" s="87">
        <v>0.0</v>
      </c>
      <c r="P905" s="87">
        <v>0.0</v>
      </c>
      <c r="Q905" s="87">
        <v>0.0</v>
      </c>
      <c r="R905" s="87">
        <v>0.0</v>
      </c>
      <c r="S905" s="87">
        <v>0.0</v>
      </c>
      <c r="T905" s="87">
        <v>0.0</v>
      </c>
      <c r="U905" s="87">
        <v>0.0</v>
      </c>
      <c r="V905" s="87">
        <v>0.0</v>
      </c>
      <c r="W905" s="87">
        <v>0.0</v>
      </c>
      <c r="X905" s="87">
        <v>0.0</v>
      </c>
      <c r="Y905" s="87">
        <v>0.0</v>
      </c>
      <c r="Z905" s="87">
        <v>0.0</v>
      </c>
      <c r="AA905" s="87">
        <v>1.783335</v>
      </c>
      <c r="AB905" s="87">
        <v>0.441881</v>
      </c>
      <c r="AC905" s="87">
        <v>0.0</v>
      </c>
      <c r="AD905" s="87">
        <v>0.0</v>
      </c>
      <c r="AE905" s="87">
        <v>0.0</v>
      </c>
      <c r="AF905" s="87">
        <v>0.0</v>
      </c>
      <c r="AG905" s="87">
        <v>0.0</v>
      </c>
      <c r="AH905" s="87">
        <v>0.0</v>
      </c>
      <c r="AI905" s="87">
        <v>1.097849</v>
      </c>
      <c r="AJ905" s="87">
        <v>0.316252</v>
      </c>
      <c r="AK905" s="87">
        <v>0.167588</v>
      </c>
      <c r="AL905" s="88" t="s">
        <v>1396</v>
      </c>
    </row>
    <row r="906">
      <c r="A906" s="84" t="s">
        <v>2593</v>
      </c>
      <c r="B906" s="84" t="s">
        <v>2600</v>
      </c>
      <c r="C906" s="84" t="s">
        <v>568</v>
      </c>
      <c r="D906" s="84" t="s">
        <v>1055</v>
      </c>
      <c r="E906" s="84" t="s">
        <v>1413</v>
      </c>
      <c r="F906" s="87">
        <v>3.0</v>
      </c>
      <c r="G906" s="87">
        <v>0.0</v>
      </c>
      <c r="H906" s="87">
        <v>371.0</v>
      </c>
      <c r="I906" s="87">
        <v>0.0</v>
      </c>
      <c r="J906" s="87">
        <v>0.829004</v>
      </c>
      <c r="K906" s="87">
        <v>3.677897</v>
      </c>
      <c r="L906" s="87">
        <v>2.456327</v>
      </c>
      <c r="M906" s="87">
        <v>2.045772</v>
      </c>
      <c r="N906" s="87">
        <v>0.556234</v>
      </c>
      <c r="O906" s="87">
        <v>0.298925</v>
      </c>
      <c r="P906" s="87">
        <v>0.298925</v>
      </c>
      <c r="Q906" s="87">
        <v>0.298925</v>
      </c>
      <c r="R906" s="87">
        <v>1.3332</v>
      </c>
      <c r="S906" s="87">
        <v>2.045772</v>
      </c>
      <c r="T906" s="87">
        <v>0.298925</v>
      </c>
      <c r="U906" s="87">
        <v>0.298925</v>
      </c>
      <c r="V906" s="87">
        <v>0.298925</v>
      </c>
      <c r="W906" s="87">
        <v>1.3332</v>
      </c>
      <c r="X906" s="87">
        <v>2.045772</v>
      </c>
      <c r="Y906" s="87">
        <v>1.225966</v>
      </c>
      <c r="Z906" s="87">
        <v>0.0</v>
      </c>
      <c r="AA906" s="87">
        <v>0.266667</v>
      </c>
      <c r="AB906" s="87">
        <v>0.255779</v>
      </c>
      <c r="AC906" s="87">
        <v>0.167588</v>
      </c>
      <c r="AD906" s="87">
        <v>0.965591</v>
      </c>
      <c r="AE906" s="87">
        <v>0.965591</v>
      </c>
      <c r="AF906" s="87">
        <v>1.769434</v>
      </c>
      <c r="AG906" s="87">
        <v>2.177035</v>
      </c>
      <c r="AH906" s="87">
        <v>0.0</v>
      </c>
      <c r="AI906" s="87">
        <v>1.097849</v>
      </c>
      <c r="AJ906" s="87">
        <v>0.316252</v>
      </c>
      <c r="AK906" s="87">
        <v>0.167588</v>
      </c>
      <c r="AL906" s="88" t="s">
        <v>1396</v>
      </c>
    </row>
    <row r="907">
      <c r="A907" s="84" t="s">
        <v>2584</v>
      </c>
      <c r="B907" s="84" t="s">
        <v>2601</v>
      </c>
      <c r="C907" s="84" t="s">
        <v>568</v>
      </c>
      <c r="D907" s="84" t="s">
        <v>1055</v>
      </c>
      <c r="E907" s="84" t="s">
        <v>1398</v>
      </c>
      <c r="F907" s="87">
        <v>4.0</v>
      </c>
      <c r="G907" s="87">
        <v>0.0</v>
      </c>
      <c r="H907" s="87">
        <v>938.0</v>
      </c>
      <c r="I907" s="87">
        <v>0.0</v>
      </c>
      <c r="J907" s="87">
        <v>0.5</v>
      </c>
      <c r="K907" s="87">
        <v>0.670353</v>
      </c>
      <c r="L907" s="87">
        <v>1.16165</v>
      </c>
      <c r="M907" s="87">
        <v>0.266667</v>
      </c>
      <c r="N907" s="87">
        <v>0.3978</v>
      </c>
      <c r="O907" s="87">
        <v>0.098925</v>
      </c>
      <c r="P907" s="87">
        <v>0.098925</v>
      </c>
      <c r="Q907" s="87">
        <v>0.1</v>
      </c>
      <c r="R907" s="87">
        <v>0.204762</v>
      </c>
      <c r="S907" s="87">
        <v>0.204762</v>
      </c>
      <c r="T907" s="87">
        <v>0.098925</v>
      </c>
      <c r="U907" s="87">
        <v>0.098925</v>
      </c>
      <c r="V907" s="87">
        <v>0.1</v>
      </c>
      <c r="W907" s="87">
        <v>0.204762</v>
      </c>
      <c r="X907" s="87">
        <v>0.204762</v>
      </c>
      <c r="Y907" s="87">
        <v>0.167588</v>
      </c>
      <c r="Z907" s="87">
        <v>0.0</v>
      </c>
      <c r="AA907" s="87">
        <v>0.266667</v>
      </c>
      <c r="AB907" s="87">
        <v>0.255779</v>
      </c>
      <c r="AC907" s="87">
        <v>0.167588</v>
      </c>
      <c r="AD907" s="87">
        <v>0.204762</v>
      </c>
      <c r="AE907" s="87">
        <v>0.204762</v>
      </c>
      <c r="AF907" s="87">
        <v>0.385175</v>
      </c>
      <c r="AG907" s="87">
        <v>0.167588</v>
      </c>
      <c r="AH907" s="87">
        <v>0.0</v>
      </c>
      <c r="AI907" s="87">
        <v>1.097849</v>
      </c>
      <c r="AJ907" s="87">
        <v>0.316252</v>
      </c>
      <c r="AK907" s="87">
        <v>0.167588</v>
      </c>
      <c r="AL907" s="88" t="s">
        <v>1396</v>
      </c>
    </row>
    <row r="908">
      <c r="A908" s="84" t="s">
        <v>2588</v>
      </c>
      <c r="B908" s="84" t="s">
        <v>2602</v>
      </c>
      <c r="C908" s="84" t="s">
        <v>568</v>
      </c>
      <c r="D908" s="84" t="s">
        <v>1055</v>
      </c>
      <c r="E908" s="84" t="s">
        <v>1403</v>
      </c>
      <c r="F908" s="87">
        <v>10.0</v>
      </c>
      <c r="G908" s="87">
        <v>0.0</v>
      </c>
      <c r="H908" s="87">
        <v>0.0</v>
      </c>
      <c r="I908" s="87">
        <v>0.0</v>
      </c>
      <c r="J908" s="87">
        <v>0.0</v>
      </c>
      <c r="K908" s="87">
        <v>0.0</v>
      </c>
      <c r="L908" s="87">
        <v>0.0</v>
      </c>
      <c r="M908" s="87">
        <v>0.0</v>
      </c>
      <c r="N908" s="87">
        <v>0.0</v>
      </c>
      <c r="O908" s="87">
        <v>0.0</v>
      </c>
      <c r="P908" s="87">
        <v>0.0</v>
      </c>
      <c r="Q908" s="87">
        <v>0.0</v>
      </c>
      <c r="R908" s="87">
        <v>0.0</v>
      </c>
      <c r="S908" s="87">
        <v>0.0</v>
      </c>
      <c r="T908" s="87">
        <v>0.0</v>
      </c>
      <c r="U908" s="87">
        <v>0.0</v>
      </c>
      <c r="V908" s="87">
        <v>0.0</v>
      </c>
      <c r="W908" s="87">
        <v>0.0</v>
      </c>
      <c r="X908" s="87">
        <v>0.0</v>
      </c>
      <c r="Y908" s="87">
        <v>0.0</v>
      </c>
      <c r="Z908" s="87">
        <v>0.0</v>
      </c>
      <c r="AA908" s="87">
        <v>0.266667</v>
      </c>
      <c r="AB908" s="87">
        <v>0.255779</v>
      </c>
      <c r="AC908" s="87">
        <v>0.167588</v>
      </c>
      <c r="AD908" s="87">
        <v>0.0</v>
      </c>
      <c r="AE908" s="87">
        <v>0.0</v>
      </c>
      <c r="AF908" s="87">
        <v>0.0</v>
      </c>
      <c r="AG908" s="87">
        <v>0.0</v>
      </c>
      <c r="AH908" s="87">
        <v>0.0</v>
      </c>
      <c r="AI908" s="87">
        <v>1.097849</v>
      </c>
      <c r="AJ908" s="87">
        <v>0.316252</v>
      </c>
      <c r="AK908" s="87">
        <v>0.167588</v>
      </c>
      <c r="AL908" s="88" t="s">
        <v>1396</v>
      </c>
    </row>
    <row r="909">
      <c r="A909" s="84" t="s">
        <v>2603</v>
      </c>
      <c r="B909" s="84" t="s">
        <v>2604</v>
      </c>
      <c r="C909" s="84" t="s">
        <v>2605</v>
      </c>
      <c r="D909" s="84" t="s">
        <v>2606</v>
      </c>
      <c r="E909" s="84" t="s">
        <v>1400</v>
      </c>
      <c r="F909" s="87">
        <v>4.0</v>
      </c>
      <c r="G909" s="87">
        <v>0.0</v>
      </c>
      <c r="H909" s="87">
        <v>0.0</v>
      </c>
      <c r="I909" s="87">
        <v>0.0</v>
      </c>
      <c r="J909" s="87">
        <v>0.0</v>
      </c>
      <c r="K909" s="87">
        <v>0.0</v>
      </c>
      <c r="L909" s="87">
        <v>0.0</v>
      </c>
      <c r="M909" s="87">
        <v>0.0</v>
      </c>
      <c r="N909" s="87">
        <v>0.0</v>
      </c>
      <c r="O909" s="87">
        <v>0.0</v>
      </c>
      <c r="P909" s="87">
        <v>0.0</v>
      </c>
      <c r="Q909" s="87">
        <v>0.0</v>
      </c>
      <c r="R909" s="87">
        <v>0.0</v>
      </c>
      <c r="S909" s="87">
        <v>0.0</v>
      </c>
      <c r="T909" s="87">
        <v>0.0</v>
      </c>
      <c r="U909" s="87">
        <v>0.0</v>
      </c>
      <c r="V909" s="87">
        <v>0.0</v>
      </c>
      <c r="W909" s="87">
        <v>0.0</v>
      </c>
      <c r="X909" s="87">
        <v>0.0</v>
      </c>
      <c r="Y909" s="87">
        <v>0.0</v>
      </c>
      <c r="Z909" s="87">
        <v>0.0</v>
      </c>
      <c r="AA909" s="87">
        <v>0.0</v>
      </c>
      <c r="AB909" s="87">
        <v>0.0</v>
      </c>
      <c r="AC909" s="87">
        <v>0.0</v>
      </c>
      <c r="AD909" s="87">
        <v>0.0</v>
      </c>
      <c r="AE909" s="87">
        <v>0.0</v>
      </c>
      <c r="AF909" s="87">
        <v>0.0</v>
      </c>
      <c r="AG909" s="87">
        <v>0.0</v>
      </c>
      <c r="AH909" s="87">
        <v>0.0</v>
      </c>
      <c r="AI909" s="87">
        <v>0.0</v>
      </c>
      <c r="AJ909" s="87">
        <v>0.0</v>
      </c>
      <c r="AK909" s="87">
        <v>0.0</v>
      </c>
      <c r="AL909" s="88" t="s">
        <v>1396</v>
      </c>
    </row>
    <row r="910">
      <c r="A910" s="84" t="s">
        <v>2607</v>
      </c>
      <c r="B910" s="84" t="s">
        <v>2608</v>
      </c>
      <c r="C910" s="84" t="s">
        <v>2609</v>
      </c>
      <c r="D910" s="84" t="s">
        <v>2610</v>
      </c>
      <c r="E910" s="86">
        <v>46310.0</v>
      </c>
      <c r="F910" s="87">
        <v>4.0</v>
      </c>
      <c r="G910" s="87">
        <v>0.0</v>
      </c>
      <c r="H910" s="87">
        <v>3033.0</v>
      </c>
      <c r="I910" s="87">
        <v>0.0</v>
      </c>
      <c r="J910" s="87">
        <v>32.26169</v>
      </c>
      <c r="K910" s="87">
        <v>30.34352</v>
      </c>
      <c r="L910" s="87">
        <v>32.44868</v>
      </c>
      <c r="M910" s="87">
        <v>18.04316</v>
      </c>
      <c r="N910" s="87">
        <v>0.59463</v>
      </c>
      <c r="O910" s="87">
        <v>0.0</v>
      </c>
      <c r="P910" s="87">
        <v>0.0</v>
      </c>
      <c r="Q910" s="87">
        <v>0.506979</v>
      </c>
      <c r="R910" s="87">
        <v>11.79338</v>
      </c>
      <c r="S910" s="87">
        <v>11.79338</v>
      </c>
      <c r="T910" s="87">
        <v>0.506979</v>
      </c>
      <c r="U910" s="87">
        <v>0.506979</v>
      </c>
      <c r="V910" s="87">
        <v>0.506979</v>
      </c>
      <c r="W910" s="87">
        <v>11.79338</v>
      </c>
      <c r="X910" s="87">
        <v>18.04316</v>
      </c>
      <c r="Y910" s="87">
        <v>7.58588</v>
      </c>
      <c r="Z910" s="87">
        <v>0.0</v>
      </c>
      <c r="AA910" s="87">
        <v>11.79338</v>
      </c>
      <c r="AB910" s="87">
        <v>3.034352</v>
      </c>
      <c r="AC910" s="87">
        <v>7.58588</v>
      </c>
      <c r="AD910" s="87">
        <v>1.15078</v>
      </c>
      <c r="AE910" s="87">
        <v>6.669654</v>
      </c>
      <c r="AF910" s="87">
        <v>6.098044</v>
      </c>
      <c r="AG910" s="87">
        <v>6.77189</v>
      </c>
      <c r="AH910" s="87">
        <v>0.0</v>
      </c>
      <c r="AI910" s="87">
        <v>5.662867</v>
      </c>
      <c r="AJ910" s="87">
        <v>4.85563</v>
      </c>
      <c r="AK910" s="87">
        <v>6.77189</v>
      </c>
      <c r="AL910" s="88" t="s">
        <v>1396</v>
      </c>
    </row>
    <row r="911">
      <c r="A911" s="84" t="s">
        <v>2611</v>
      </c>
      <c r="B911" s="84" t="s">
        <v>2612</v>
      </c>
      <c r="C911" s="84" t="s">
        <v>2609</v>
      </c>
      <c r="D911" s="84" t="s">
        <v>2610</v>
      </c>
      <c r="E911" s="84" t="s">
        <v>1403</v>
      </c>
      <c r="F911" s="87">
        <v>6.0</v>
      </c>
      <c r="G911" s="87">
        <v>0.0</v>
      </c>
      <c r="H911" s="87">
        <v>0.0</v>
      </c>
      <c r="I911" s="87">
        <v>0.0</v>
      </c>
      <c r="J911" s="87">
        <v>0.0</v>
      </c>
      <c r="K911" s="87">
        <v>0.0</v>
      </c>
      <c r="L911" s="87">
        <v>0.0</v>
      </c>
      <c r="M911" s="87">
        <v>0.0</v>
      </c>
      <c r="N911" s="87">
        <v>0.0</v>
      </c>
      <c r="O911" s="87">
        <v>0.0</v>
      </c>
      <c r="P911" s="87">
        <v>0.0</v>
      </c>
      <c r="Q911" s="87">
        <v>0.0</v>
      </c>
      <c r="R911" s="87">
        <v>0.0</v>
      </c>
      <c r="S911" s="87">
        <v>0.0</v>
      </c>
      <c r="T911" s="87">
        <v>0.0</v>
      </c>
      <c r="U911" s="87">
        <v>0.0</v>
      </c>
      <c r="V911" s="87">
        <v>0.0</v>
      </c>
      <c r="W911" s="87">
        <v>0.0</v>
      </c>
      <c r="X911" s="87">
        <v>0.0</v>
      </c>
      <c r="Y911" s="87">
        <v>0.0</v>
      </c>
      <c r="Z911" s="87">
        <v>0.0</v>
      </c>
      <c r="AA911" s="87">
        <v>11.79338</v>
      </c>
      <c r="AB911" s="87">
        <v>3.034352</v>
      </c>
      <c r="AC911" s="87">
        <v>7.58588</v>
      </c>
      <c r="AD911" s="87">
        <v>0.0</v>
      </c>
      <c r="AE911" s="87">
        <v>0.0</v>
      </c>
      <c r="AF911" s="87">
        <v>0.0</v>
      </c>
      <c r="AG911" s="87">
        <v>0.0</v>
      </c>
      <c r="AH911" s="87">
        <v>0.0</v>
      </c>
      <c r="AI911" s="87">
        <v>5.662867</v>
      </c>
      <c r="AJ911" s="87">
        <v>4.85563</v>
      </c>
      <c r="AK911" s="87">
        <v>6.77189</v>
      </c>
      <c r="AL911" s="88" t="s">
        <v>1396</v>
      </c>
    </row>
    <row r="912">
      <c r="A912" s="84" t="s">
        <v>2607</v>
      </c>
      <c r="B912" s="84" t="s">
        <v>2613</v>
      </c>
      <c r="C912" s="84" t="s">
        <v>2609</v>
      </c>
      <c r="D912" s="84" t="s">
        <v>2614</v>
      </c>
      <c r="E912" s="86">
        <v>46310.0</v>
      </c>
      <c r="F912" s="87">
        <v>3.0</v>
      </c>
      <c r="G912" s="87">
        <v>0.0</v>
      </c>
      <c r="H912" s="87">
        <v>2362.0</v>
      </c>
      <c r="I912" s="87">
        <v>0.0</v>
      </c>
      <c r="J912" s="87">
        <v>25.5459</v>
      </c>
      <c r="K912" s="87">
        <v>27.60706</v>
      </c>
      <c r="L912" s="87">
        <v>29.61487</v>
      </c>
      <c r="M912" s="87">
        <v>26.45628</v>
      </c>
      <c r="N912" s="87">
        <v>0.958316</v>
      </c>
      <c r="O912" s="87">
        <v>0.0</v>
      </c>
      <c r="P912" s="87">
        <v>0.0</v>
      </c>
      <c r="Q912" s="87">
        <v>0.0</v>
      </c>
      <c r="R912" s="87">
        <v>1.15078</v>
      </c>
      <c r="S912" s="87">
        <v>26.45628</v>
      </c>
      <c r="T912" s="87">
        <v>1.15078</v>
      </c>
      <c r="U912" s="87">
        <v>1.15078</v>
      </c>
      <c r="V912" s="87">
        <v>1.15078</v>
      </c>
      <c r="W912" s="87">
        <v>26.45628</v>
      </c>
      <c r="X912" s="87">
        <v>26.45628</v>
      </c>
      <c r="Y912" s="87">
        <v>9.202354</v>
      </c>
      <c r="Z912" s="87">
        <v>0.166667</v>
      </c>
      <c r="AA912" s="87">
        <v>5.838864</v>
      </c>
      <c r="AB912" s="87">
        <v>6.344813</v>
      </c>
      <c r="AC912" s="87">
        <v>9.238964</v>
      </c>
      <c r="AD912" s="87">
        <v>1.15078</v>
      </c>
      <c r="AE912" s="87">
        <v>6.669654</v>
      </c>
      <c r="AF912" s="87">
        <v>6.098044</v>
      </c>
      <c r="AG912" s="87">
        <v>6.77189</v>
      </c>
      <c r="AH912" s="87">
        <v>0.0</v>
      </c>
      <c r="AI912" s="87">
        <v>5.662867</v>
      </c>
      <c r="AJ912" s="87">
        <v>4.85563</v>
      </c>
      <c r="AK912" s="87">
        <v>6.77189</v>
      </c>
      <c r="AL912" s="88" t="s">
        <v>1396</v>
      </c>
    </row>
    <row r="913">
      <c r="A913" s="84" t="s">
        <v>2615</v>
      </c>
      <c r="B913" s="84" t="s">
        <v>2616</v>
      </c>
      <c r="C913" s="84" t="s">
        <v>2609</v>
      </c>
      <c r="D913" s="84" t="s">
        <v>2614</v>
      </c>
      <c r="E913" s="84" t="s">
        <v>1413</v>
      </c>
      <c r="F913" s="87">
        <v>3.0</v>
      </c>
      <c r="G913" s="87">
        <v>0.0</v>
      </c>
      <c r="H913" s="87">
        <v>1885.0</v>
      </c>
      <c r="I913" s="87">
        <v>0.0</v>
      </c>
      <c r="J913" s="87">
        <v>52.18093</v>
      </c>
      <c r="K913" s="87">
        <v>59.39367</v>
      </c>
      <c r="L913" s="87">
        <v>58.50833</v>
      </c>
      <c r="M913" s="87">
        <v>28.85</v>
      </c>
      <c r="N913" s="87">
        <v>0.485742</v>
      </c>
      <c r="O913" s="87">
        <v>4.13782</v>
      </c>
      <c r="P913" s="87">
        <v>4.13782</v>
      </c>
      <c r="Q913" s="87">
        <v>4.13782</v>
      </c>
      <c r="R913" s="87">
        <v>26.40585</v>
      </c>
      <c r="S913" s="87">
        <v>28.85</v>
      </c>
      <c r="T913" s="87">
        <v>4.13782</v>
      </c>
      <c r="U913" s="87">
        <v>4.13782</v>
      </c>
      <c r="V913" s="87">
        <v>4.13782</v>
      </c>
      <c r="W913" s="87">
        <v>26.40585</v>
      </c>
      <c r="X913" s="87">
        <v>28.85</v>
      </c>
      <c r="Y913" s="87">
        <v>19.79789</v>
      </c>
      <c r="Z913" s="87">
        <v>0.166667</v>
      </c>
      <c r="AA913" s="87">
        <v>5.838864</v>
      </c>
      <c r="AB913" s="87">
        <v>6.344813</v>
      </c>
      <c r="AC913" s="87">
        <v>9.238964</v>
      </c>
      <c r="AD913" s="87">
        <v>8.043792</v>
      </c>
      <c r="AE913" s="87">
        <v>8.043792</v>
      </c>
      <c r="AF913" s="87">
        <v>18.18586</v>
      </c>
      <c r="AG913" s="87">
        <v>15.96255</v>
      </c>
      <c r="AH913" s="87">
        <v>0.0</v>
      </c>
      <c r="AI913" s="87">
        <v>5.662867</v>
      </c>
      <c r="AJ913" s="87">
        <v>4.85563</v>
      </c>
      <c r="AK913" s="87">
        <v>6.77189</v>
      </c>
      <c r="AL913" s="88" t="s">
        <v>1396</v>
      </c>
    </row>
    <row r="914">
      <c r="A914" s="84" t="s">
        <v>2617</v>
      </c>
      <c r="B914" s="84" t="s">
        <v>2618</v>
      </c>
      <c r="C914" s="84" t="s">
        <v>2609</v>
      </c>
      <c r="D914" s="84" t="s">
        <v>2614</v>
      </c>
      <c r="E914" s="84" t="s">
        <v>1398</v>
      </c>
      <c r="F914" s="87">
        <v>3.0</v>
      </c>
      <c r="G914" s="87">
        <v>0.0</v>
      </c>
      <c r="H914" s="87">
        <v>9240.0</v>
      </c>
      <c r="I914" s="87">
        <v>0.0</v>
      </c>
      <c r="J914" s="87">
        <v>94.9152</v>
      </c>
      <c r="K914" s="87">
        <v>93.21336</v>
      </c>
      <c r="L914" s="87">
        <v>99.74242</v>
      </c>
      <c r="M914" s="87">
        <v>69.95625</v>
      </c>
      <c r="N914" s="87">
        <v>0.750496</v>
      </c>
      <c r="O914" s="87">
        <v>5.838864</v>
      </c>
      <c r="P914" s="87">
        <v>5.838864</v>
      </c>
      <c r="Q914" s="87">
        <v>5.838864</v>
      </c>
      <c r="R914" s="87">
        <v>17.41825</v>
      </c>
      <c r="S914" s="87">
        <v>69.95625</v>
      </c>
      <c r="T914" s="87">
        <v>5.838864</v>
      </c>
      <c r="U914" s="87">
        <v>5.838864</v>
      </c>
      <c r="V914" s="87">
        <v>5.838864</v>
      </c>
      <c r="W914" s="87">
        <v>17.41825</v>
      </c>
      <c r="X914" s="87">
        <v>69.95625</v>
      </c>
      <c r="Y914" s="87">
        <v>31.07112</v>
      </c>
      <c r="Z914" s="87">
        <v>0.166667</v>
      </c>
      <c r="AA914" s="87">
        <v>5.838864</v>
      </c>
      <c r="AB914" s="87">
        <v>6.344813</v>
      </c>
      <c r="AC914" s="87">
        <v>9.238964</v>
      </c>
      <c r="AD914" s="87">
        <v>12.38936</v>
      </c>
      <c r="AE914" s="87">
        <v>13.07402</v>
      </c>
      <c r="AF914" s="87">
        <v>16.72206</v>
      </c>
      <c r="AG914" s="87">
        <v>16.88018</v>
      </c>
      <c r="AH914" s="87">
        <v>0.0</v>
      </c>
      <c r="AI914" s="87">
        <v>5.662867</v>
      </c>
      <c r="AJ914" s="87">
        <v>4.85563</v>
      </c>
      <c r="AK914" s="87">
        <v>6.77189</v>
      </c>
      <c r="AL914" s="88" t="s">
        <v>1396</v>
      </c>
    </row>
    <row r="915">
      <c r="A915" s="84" t="s">
        <v>2619</v>
      </c>
      <c r="B915" s="84" t="s">
        <v>2620</v>
      </c>
      <c r="C915" s="84" t="s">
        <v>2609</v>
      </c>
      <c r="D915" s="84" t="s">
        <v>2614</v>
      </c>
      <c r="E915" s="84" t="s">
        <v>1400</v>
      </c>
      <c r="F915" s="87">
        <v>32.0</v>
      </c>
      <c r="G915" s="87">
        <v>0.0</v>
      </c>
      <c r="H915" s="87">
        <v>22726.0</v>
      </c>
      <c r="I915" s="87">
        <v>0.0</v>
      </c>
      <c r="J915" s="87">
        <v>297.0263</v>
      </c>
      <c r="K915" s="87">
        <v>295.6468</v>
      </c>
      <c r="L915" s="87">
        <v>290.7101</v>
      </c>
      <c r="M915" s="87">
        <v>199.3234</v>
      </c>
      <c r="N915" s="87">
        <v>0.674194</v>
      </c>
      <c r="O915" s="87">
        <v>0.229167</v>
      </c>
      <c r="P915" s="87">
        <v>1.130877</v>
      </c>
      <c r="Q915" s="87">
        <v>2.185365</v>
      </c>
      <c r="R915" s="87">
        <v>4.218509</v>
      </c>
      <c r="S915" s="87">
        <v>8.755702</v>
      </c>
      <c r="T915" s="87">
        <v>0.953165</v>
      </c>
      <c r="U915" s="87">
        <v>1.876729</v>
      </c>
      <c r="V915" s="87">
        <v>2.846844</v>
      </c>
      <c r="W915" s="87">
        <v>5.628712</v>
      </c>
      <c r="X915" s="87">
        <v>11.16194</v>
      </c>
      <c r="Y915" s="87">
        <v>9.238964</v>
      </c>
      <c r="Z915" s="87">
        <v>0.166667</v>
      </c>
      <c r="AA915" s="87">
        <v>5.838864</v>
      </c>
      <c r="AB915" s="87">
        <v>6.344813</v>
      </c>
      <c r="AC915" s="87">
        <v>9.238964</v>
      </c>
      <c r="AD915" s="87">
        <v>2.890377</v>
      </c>
      <c r="AE915" s="87">
        <v>3.280319</v>
      </c>
      <c r="AF915" s="87">
        <v>6.198858</v>
      </c>
      <c r="AG915" s="87">
        <v>5.59645</v>
      </c>
      <c r="AH915" s="87">
        <v>0.0</v>
      </c>
      <c r="AI915" s="87">
        <v>5.662867</v>
      </c>
      <c r="AJ915" s="87">
        <v>4.85563</v>
      </c>
      <c r="AK915" s="87">
        <v>6.77189</v>
      </c>
      <c r="AL915" s="88" t="s">
        <v>1396</v>
      </c>
    </row>
    <row r="916">
      <c r="A916" s="84" t="s">
        <v>2611</v>
      </c>
      <c r="B916" s="84" t="s">
        <v>2621</v>
      </c>
      <c r="C916" s="84" t="s">
        <v>2609</v>
      </c>
      <c r="D916" s="84" t="s">
        <v>2614</v>
      </c>
      <c r="E916" s="84" t="s">
        <v>1403</v>
      </c>
      <c r="F916" s="87">
        <v>34.0</v>
      </c>
      <c r="G916" s="87">
        <v>2.0</v>
      </c>
      <c r="H916" s="87">
        <v>159.0</v>
      </c>
      <c r="I916" s="87">
        <v>159.0</v>
      </c>
      <c r="J916" s="87">
        <v>0.0</v>
      </c>
      <c r="K916" s="87">
        <v>0.0</v>
      </c>
      <c r="L916" s="87">
        <v>0.0</v>
      </c>
      <c r="M916" s="87">
        <v>0.0</v>
      </c>
      <c r="N916" s="87">
        <v>0.0</v>
      </c>
      <c r="O916" s="87">
        <v>0.0</v>
      </c>
      <c r="P916" s="87">
        <v>0.0</v>
      </c>
      <c r="Q916" s="87">
        <v>0.0</v>
      </c>
      <c r="R916" s="87">
        <v>0.0</v>
      </c>
      <c r="S916" s="87">
        <v>0.0</v>
      </c>
      <c r="T916" s="87">
        <v>0.0</v>
      </c>
      <c r="U916" s="87">
        <v>0.0</v>
      </c>
      <c r="V916" s="87">
        <v>0.0</v>
      </c>
      <c r="W916" s="87">
        <v>0.0</v>
      </c>
      <c r="X916" s="87">
        <v>0.0</v>
      </c>
      <c r="Y916" s="87">
        <v>0.0</v>
      </c>
      <c r="Z916" s="87">
        <v>0.166667</v>
      </c>
      <c r="AA916" s="87">
        <v>5.838864</v>
      </c>
      <c r="AB916" s="87">
        <v>6.344813</v>
      </c>
      <c r="AC916" s="87">
        <v>9.238964</v>
      </c>
      <c r="AD916" s="87">
        <v>0.0</v>
      </c>
      <c r="AE916" s="87">
        <v>0.0</v>
      </c>
      <c r="AF916" s="87">
        <v>0.0</v>
      </c>
      <c r="AG916" s="87">
        <v>0.0</v>
      </c>
      <c r="AH916" s="87">
        <v>0.0</v>
      </c>
      <c r="AI916" s="87">
        <v>5.662867</v>
      </c>
      <c r="AJ916" s="87">
        <v>4.85563</v>
      </c>
      <c r="AK916" s="87">
        <v>6.77189</v>
      </c>
      <c r="AL916" s="88" t="s">
        <v>1396</v>
      </c>
    </row>
    <row r="917">
      <c r="A917" s="84" t="s">
        <v>2607</v>
      </c>
      <c r="B917" s="84" t="s">
        <v>2622</v>
      </c>
      <c r="C917" s="84" t="s">
        <v>2609</v>
      </c>
      <c r="D917" s="84" t="s">
        <v>2623</v>
      </c>
      <c r="E917" s="86">
        <v>46310.0</v>
      </c>
      <c r="F917" s="87">
        <v>3.0</v>
      </c>
      <c r="G917" s="87">
        <v>0.0</v>
      </c>
      <c r="H917" s="87">
        <v>0.0</v>
      </c>
      <c r="I917" s="87">
        <v>0.0</v>
      </c>
      <c r="J917" s="87">
        <v>0.0</v>
      </c>
      <c r="K917" s="87">
        <v>0.0</v>
      </c>
      <c r="L917" s="87">
        <v>0.2</v>
      </c>
      <c r="M917" s="87">
        <v>0.0</v>
      </c>
      <c r="N917" s="87">
        <v>0.0</v>
      </c>
      <c r="O917" s="87">
        <v>0.0</v>
      </c>
      <c r="P917" s="87">
        <v>0.0</v>
      </c>
      <c r="Q917" s="87">
        <v>0.0</v>
      </c>
      <c r="R917" s="87">
        <v>0.0</v>
      </c>
      <c r="S917" s="87">
        <v>0.0</v>
      </c>
      <c r="T917" s="87">
        <v>0.0</v>
      </c>
      <c r="U917" s="87">
        <v>0.0</v>
      </c>
      <c r="V917" s="87">
        <v>0.0</v>
      </c>
      <c r="W917" s="87">
        <v>0.0</v>
      </c>
      <c r="X917" s="87">
        <v>0.0</v>
      </c>
      <c r="Y917" s="87">
        <v>0.0</v>
      </c>
      <c r="Z917" s="87">
        <v>0.0</v>
      </c>
      <c r="AA917" s="87">
        <v>3.041475</v>
      </c>
      <c r="AB917" s="87">
        <v>2.992615</v>
      </c>
      <c r="AC917" s="87">
        <v>11.32953</v>
      </c>
      <c r="AD917" s="87">
        <v>1.15078</v>
      </c>
      <c r="AE917" s="87">
        <v>6.669654</v>
      </c>
      <c r="AF917" s="87">
        <v>6.098044</v>
      </c>
      <c r="AG917" s="87">
        <v>6.77189</v>
      </c>
      <c r="AH917" s="87">
        <v>0.0</v>
      </c>
      <c r="AI917" s="87">
        <v>5.662867</v>
      </c>
      <c r="AJ917" s="87">
        <v>4.85563</v>
      </c>
      <c r="AK917" s="87">
        <v>6.77189</v>
      </c>
      <c r="AL917" s="88" t="s">
        <v>1396</v>
      </c>
    </row>
    <row r="918">
      <c r="A918" s="84" t="s">
        <v>2615</v>
      </c>
      <c r="B918" s="84" t="s">
        <v>2624</v>
      </c>
      <c r="C918" s="84" t="s">
        <v>2609</v>
      </c>
      <c r="D918" s="84" t="s">
        <v>2623</v>
      </c>
      <c r="E918" s="84" t="s">
        <v>1413</v>
      </c>
      <c r="F918" s="87">
        <v>3.0</v>
      </c>
      <c r="G918" s="87">
        <v>0.0</v>
      </c>
      <c r="H918" s="87">
        <v>5131.0</v>
      </c>
      <c r="I918" s="87">
        <v>0.0</v>
      </c>
      <c r="J918" s="87">
        <v>44.63426</v>
      </c>
      <c r="K918" s="87">
        <v>47.88765</v>
      </c>
      <c r="L918" s="87">
        <v>52.33572</v>
      </c>
      <c r="M918" s="87">
        <v>33.98472</v>
      </c>
      <c r="N918" s="87">
        <v>0.709676</v>
      </c>
      <c r="O918" s="87">
        <v>3.047653</v>
      </c>
      <c r="P918" s="87">
        <v>3.047653</v>
      </c>
      <c r="Q918" s="87">
        <v>3.047653</v>
      </c>
      <c r="R918" s="87">
        <v>10.85528</v>
      </c>
      <c r="S918" s="87">
        <v>33.98472</v>
      </c>
      <c r="T918" s="87">
        <v>3.047653</v>
      </c>
      <c r="U918" s="87">
        <v>3.047653</v>
      </c>
      <c r="V918" s="87">
        <v>3.047653</v>
      </c>
      <c r="W918" s="87">
        <v>10.85528</v>
      </c>
      <c r="X918" s="87">
        <v>33.98472</v>
      </c>
      <c r="Y918" s="87">
        <v>15.96255</v>
      </c>
      <c r="Z918" s="87">
        <v>0.0</v>
      </c>
      <c r="AA918" s="87">
        <v>3.041475</v>
      </c>
      <c r="AB918" s="87">
        <v>2.992615</v>
      </c>
      <c r="AC918" s="87">
        <v>11.32953</v>
      </c>
      <c r="AD918" s="87">
        <v>8.043792</v>
      </c>
      <c r="AE918" s="87">
        <v>8.043792</v>
      </c>
      <c r="AF918" s="87">
        <v>18.18586</v>
      </c>
      <c r="AG918" s="87">
        <v>15.96255</v>
      </c>
      <c r="AH918" s="87">
        <v>0.0</v>
      </c>
      <c r="AI918" s="87">
        <v>5.662867</v>
      </c>
      <c r="AJ918" s="87">
        <v>4.85563</v>
      </c>
      <c r="AK918" s="87">
        <v>6.77189</v>
      </c>
      <c r="AL918" s="88" t="s">
        <v>1396</v>
      </c>
    </row>
    <row r="919">
      <c r="A919" s="84" t="s">
        <v>2617</v>
      </c>
      <c r="B919" s="84" t="s">
        <v>2625</v>
      </c>
      <c r="C919" s="84" t="s">
        <v>2609</v>
      </c>
      <c r="D919" s="84" t="s">
        <v>2623</v>
      </c>
      <c r="E919" s="84" t="s">
        <v>1398</v>
      </c>
      <c r="F919" s="87">
        <v>7.0</v>
      </c>
      <c r="G919" s="87">
        <v>0.0</v>
      </c>
      <c r="H919" s="87">
        <v>6079.0</v>
      </c>
      <c r="I919" s="87">
        <v>0.0</v>
      </c>
      <c r="J919" s="87">
        <v>84.009</v>
      </c>
      <c r="K919" s="87">
        <v>79.30674</v>
      </c>
      <c r="L919" s="87">
        <v>77.08599</v>
      </c>
      <c r="M919" s="87">
        <v>66.61336</v>
      </c>
      <c r="N919" s="87">
        <v>0.839946</v>
      </c>
      <c r="O919" s="87">
        <v>0.0</v>
      </c>
      <c r="P919" s="87">
        <v>0.528304</v>
      </c>
      <c r="Q919" s="87">
        <v>3.041475</v>
      </c>
      <c r="R919" s="87">
        <v>3.477815</v>
      </c>
      <c r="S919" s="87">
        <v>5.645779</v>
      </c>
      <c r="T919" s="87">
        <v>0.528304</v>
      </c>
      <c r="U919" s="87">
        <v>3.041475</v>
      </c>
      <c r="V919" s="87">
        <v>3.041475</v>
      </c>
      <c r="W919" s="87">
        <v>5.645779</v>
      </c>
      <c r="X919" s="87">
        <v>16.83286</v>
      </c>
      <c r="Y919" s="87">
        <v>11.32953</v>
      </c>
      <c r="Z919" s="87">
        <v>0.0</v>
      </c>
      <c r="AA919" s="87">
        <v>3.041475</v>
      </c>
      <c r="AB919" s="87">
        <v>2.992615</v>
      </c>
      <c r="AC919" s="87">
        <v>11.32953</v>
      </c>
      <c r="AD919" s="87">
        <v>12.38936</v>
      </c>
      <c r="AE919" s="87">
        <v>13.07402</v>
      </c>
      <c r="AF919" s="87">
        <v>16.72206</v>
      </c>
      <c r="AG919" s="87">
        <v>16.88018</v>
      </c>
      <c r="AH919" s="87">
        <v>0.0</v>
      </c>
      <c r="AI919" s="87">
        <v>5.662867</v>
      </c>
      <c r="AJ919" s="87">
        <v>4.85563</v>
      </c>
      <c r="AK919" s="87">
        <v>6.77189</v>
      </c>
      <c r="AL919" s="88" t="s">
        <v>1396</v>
      </c>
    </row>
    <row r="920">
      <c r="A920" s="84" t="s">
        <v>2619</v>
      </c>
      <c r="B920" s="84" t="s">
        <v>2626</v>
      </c>
      <c r="C920" s="84" t="s">
        <v>2609</v>
      </c>
      <c r="D920" s="84" t="s">
        <v>2623</v>
      </c>
      <c r="E920" s="84" t="s">
        <v>1400</v>
      </c>
      <c r="F920" s="87">
        <v>22.0</v>
      </c>
      <c r="G920" s="87">
        <v>0.0</v>
      </c>
      <c r="H920" s="87">
        <v>6009.0</v>
      </c>
      <c r="I920" s="87">
        <v>0.0</v>
      </c>
      <c r="J920" s="87">
        <v>59.20756</v>
      </c>
      <c r="K920" s="87">
        <v>58.04358</v>
      </c>
      <c r="L920" s="87">
        <v>63.6819</v>
      </c>
      <c r="M920" s="87">
        <v>36.19347</v>
      </c>
      <c r="N920" s="87">
        <v>0.623557</v>
      </c>
      <c r="O920" s="87">
        <v>0.294754</v>
      </c>
      <c r="P920" s="87">
        <v>0.466245</v>
      </c>
      <c r="Q920" s="87">
        <v>0.704762</v>
      </c>
      <c r="R920" s="87">
        <v>1.74844</v>
      </c>
      <c r="S920" s="87">
        <v>2.861608</v>
      </c>
      <c r="T920" s="87">
        <v>0.466245</v>
      </c>
      <c r="U920" s="87">
        <v>0.704762</v>
      </c>
      <c r="V920" s="87">
        <v>0.857967</v>
      </c>
      <c r="W920" s="87">
        <v>2.064734</v>
      </c>
      <c r="X920" s="87">
        <v>3.444643</v>
      </c>
      <c r="Y920" s="87">
        <v>2.638344</v>
      </c>
      <c r="Z920" s="87">
        <v>0.0</v>
      </c>
      <c r="AA920" s="87">
        <v>3.041475</v>
      </c>
      <c r="AB920" s="87">
        <v>2.992615</v>
      </c>
      <c r="AC920" s="87">
        <v>11.32953</v>
      </c>
      <c r="AD920" s="87">
        <v>2.890377</v>
      </c>
      <c r="AE920" s="87">
        <v>3.280319</v>
      </c>
      <c r="AF920" s="87">
        <v>6.198858</v>
      </c>
      <c r="AG920" s="87">
        <v>5.59645</v>
      </c>
      <c r="AH920" s="87">
        <v>0.0</v>
      </c>
      <c r="AI920" s="87">
        <v>5.662867</v>
      </c>
      <c r="AJ920" s="87">
        <v>4.85563</v>
      </c>
      <c r="AK920" s="87">
        <v>6.77189</v>
      </c>
      <c r="AL920" s="88" t="s">
        <v>1396</v>
      </c>
    </row>
    <row r="921">
      <c r="A921" s="84" t="s">
        <v>2627</v>
      </c>
      <c r="B921" s="84" t="s">
        <v>2628</v>
      </c>
      <c r="C921" s="84" t="s">
        <v>2609</v>
      </c>
      <c r="D921" s="84" t="s">
        <v>2623</v>
      </c>
      <c r="E921" s="86">
        <v>46300.0</v>
      </c>
      <c r="F921" s="87">
        <v>1.0</v>
      </c>
      <c r="G921" s="87">
        <v>0.0</v>
      </c>
      <c r="H921" s="87">
        <v>1158.0</v>
      </c>
      <c r="I921" s="87">
        <v>0.0</v>
      </c>
      <c r="J921" s="87">
        <v>45.41131</v>
      </c>
      <c r="K921" s="87">
        <v>45.19336</v>
      </c>
      <c r="L921" s="87">
        <v>46.27695</v>
      </c>
      <c r="M921" s="87">
        <v>45.19336</v>
      </c>
      <c r="N921" s="87">
        <v>1.0</v>
      </c>
      <c r="O921" s="87">
        <v>45.19336</v>
      </c>
      <c r="P921" s="87">
        <v>45.19336</v>
      </c>
      <c r="Q921" s="87">
        <v>45.19336</v>
      </c>
      <c r="R921" s="87">
        <v>45.19336</v>
      </c>
      <c r="S921" s="87">
        <v>45.19336</v>
      </c>
      <c r="T921" s="87">
        <v>45.19336</v>
      </c>
      <c r="U921" s="87">
        <v>45.19336</v>
      </c>
      <c r="V921" s="87">
        <v>45.19336</v>
      </c>
      <c r="W921" s="87">
        <v>45.19336</v>
      </c>
      <c r="X921" s="87">
        <v>45.19336</v>
      </c>
      <c r="Y921" s="87">
        <v>45.19336</v>
      </c>
      <c r="Z921" s="87">
        <v>0.0</v>
      </c>
      <c r="AA921" s="87">
        <v>3.041475</v>
      </c>
      <c r="AB921" s="87">
        <v>2.992615</v>
      </c>
      <c r="AC921" s="87">
        <v>11.32953</v>
      </c>
      <c r="AD921" s="87">
        <v>45.19336</v>
      </c>
      <c r="AE921" s="87">
        <v>45.19336</v>
      </c>
      <c r="AF921" s="87">
        <v>45.19336</v>
      </c>
      <c r="AG921" s="87">
        <v>45.19336</v>
      </c>
      <c r="AH921" s="87">
        <v>0.0</v>
      </c>
      <c r="AI921" s="87">
        <v>5.662867</v>
      </c>
      <c r="AJ921" s="87">
        <v>4.85563</v>
      </c>
      <c r="AK921" s="87">
        <v>6.77189</v>
      </c>
      <c r="AL921" s="88" t="s">
        <v>1396</v>
      </c>
    </row>
    <row r="922">
      <c r="A922" s="84" t="s">
        <v>2611</v>
      </c>
      <c r="B922" s="84" t="s">
        <v>2629</v>
      </c>
      <c r="C922" s="84" t="s">
        <v>2609</v>
      </c>
      <c r="D922" s="84" t="s">
        <v>2623</v>
      </c>
      <c r="E922" s="84" t="s">
        <v>1403</v>
      </c>
      <c r="F922" s="87">
        <v>41.0</v>
      </c>
      <c r="G922" s="87">
        <v>1.0</v>
      </c>
      <c r="H922" s="87">
        <v>32.0</v>
      </c>
      <c r="I922" s="87">
        <v>32.0</v>
      </c>
      <c r="J922" s="87">
        <v>0.0</v>
      </c>
      <c r="K922" s="87">
        <v>0.0</v>
      </c>
      <c r="L922" s="87">
        <v>0.0</v>
      </c>
      <c r="M922" s="87">
        <v>0.0</v>
      </c>
      <c r="N922" s="87">
        <v>0.0</v>
      </c>
      <c r="O922" s="87">
        <v>0.0</v>
      </c>
      <c r="P922" s="87">
        <v>0.0</v>
      </c>
      <c r="Q922" s="87">
        <v>0.0</v>
      </c>
      <c r="R922" s="87">
        <v>0.0</v>
      </c>
      <c r="S922" s="87">
        <v>0.0</v>
      </c>
      <c r="T922" s="87">
        <v>0.0</v>
      </c>
      <c r="U922" s="87">
        <v>0.0</v>
      </c>
      <c r="V922" s="87">
        <v>0.0</v>
      </c>
      <c r="W922" s="87">
        <v>0.0</v>
      </c>
      <c r="X922" s="87">
        <v>0.0</v>
      </c>
      <c r="Y922" s="87">
        <v>0.0</v>
      </c>
      <c r="Z922" s="87">
        <v>0.0</v>
      </c>
      <c r="AA922" s="87">
        <v>3.041475</v>
      </c>
      <c r="AB922" s="87">
        <v>2.992615</v>
      </c>
      <c r="AC922" s="87">
        <v>11.32953</v>
      </c>
      <c r="AD922" s="87">
        <v>0.0</v>
      </c>
      <c r="AE922" s="87">
        <v>0.0</v>
      </c>
      <c r="AF922" s="87">
        <v>0.0</v>
      </c>
      <c r="AG922" s="87">
        <v>0.0</v>
      </c>
      <c r="AH922" s="87">
        <v>0.0</v>
      </c>
      <c r="AI922" s="87">
        <v>5.662867</v>
      </c>
      <c r="AJ922" s="87">
        <v>4.85563</v>
      </c>
      <c r="AK922" s="87">
        <v>6.77189</v>
      </c>
      <c r="AL922" s="88" t="s">
        <v>1396</v>
      </c>
    </row>
    <row r="923">
      <c r="A923" s="84" t="s">
        <v>2615</v>
      </c>
      <c r="B923" s="84" t="s">
        <v>2630</v>
      </c>
      <c r="C923" s="84" t="s">
        <v>2609</v>
      </c>
      <c r="D923" s="84" t="s">
        <v>2631</v>
      </c>
      <c r="E923" s="84" t="s">
        <v>1413</v>
      </c>
      <c r="F923" s="87">
        <v>1.0</v>
      </c>
      <c r="G923" s="87">
        <v>0.0</v>
      </c>
      <c r="H923" s="87">
        <v>14314.0</v>
      </c>
      <c r="I923" s="87">
        <v>0.0</v>
      </c>
      <c r="J923" s="87">
        <v>139.1098</v>
      </c>
      <c r="K923" s="87">
        <v>133.4236</v>
      </c>
      <c r="L923" s="87">
        <v>123.8093</v>
      </c>
      <c r="M923" s="87">
        <v>133.4236</v>
      </c>
      <c r="N923" s="87">
        <v>1.0</v>
      </c>
      <c r="O923" s="87">
        <v>133.4236</v>
      </c>
      <c r="P923" s="87">
        <v>133.4236</v>
      </c>
      <c r="Q923" s="87">
        <v>133.4236</v>
      </c>
      <c r="R923" s="87">
        <v>133.4236</v>
      </c>
      <c r="S923" s="87">
        <v>133.4236</v>
      </c>
      <c r="T923" s="87">
        <v>133.4236</v>
      </c>
      <c r="U923" s="87">
        <v>133.4236</v>
      </c>
      <c r="V923" s="87">
        <v>133.4236</v>
      </c>
      <c r="W923" s="87">
        <v>133.4236</v>
      </c>
      <c r="X923" s="87">
        <v>133.4236</v>
      </c>
      <c r="Y923" s="87">
        <v>133.4236</v>
      </c>
      <c r="Z923" s="87">
        <v>0.0</v>
      </c>
      <c r="AA923" s="87">
        <v>3.914955</v>
      </c>
      <c r="AB923" s="87">
        <v>12.25277</v>
      </c>
      <c r="AC923" s="87">
        <v>6.296003</v>
      </c>
      <c r="AD923" s="87">
        <v>8.043792</v>
      </c>
      <c r="AE923" s="87">
        <v>8.043792</v>
      </c>
      <c r="AF923" s="87">
        <v>18.18586</v>
      </c>
      <c r="AG923" s="87">
        <v>15.96255</v>
      </c>
      <c r="AH923" s="87">
        <v>0.0</v>
      </c>
      <c r="AI923" s="87">
        <v>5.662867</v>
      </c>
      <c r="AJ923" s="87">
        <v>4.85563</v>
      </c>
      <c r="AK923" s="87">
        <v>6.77189</v>
      </c>
      <c r="AL923" s="88" t="s">
        <v>1396</v>
      </c>
    </row>
    <row r="924">
      <c r="A924" s="84" t="s">
        <v>2619</v>
      </c>
      <c r="B924" s="84" t="s">
        <v>2632</v>
      </c>
      <c r="C924" s="84" t="s">
        <v>2609</v>
      </c>
      <c r="D924" s="84" t="s">
        <v>2631</v>
      </c>
      <c r="E924" s="84" t="s">
        <v>1400</v>
      </c>
      <c r="F924" s="87">
        <v>8.0</v>
      </c>
      <c r="G924" s="87">
        <v>0.0</v>
      </c>
      <c r="H924" s="87">
        <v>6615.0</v>
      </c>
      <c r="I924" s="87">
        <v>0.0</v>
      </c>
      <c r="J924" s="87">
        <v>53.20285</v>
      </c>
      <c r="K924" s="87">
        <v>50.36802</v>
      </c>
      <c r="L924" s="87">
        <v>49.34663</v>
      </c>
      <c r="M924" s="87">
        <v>38.12915</v>
      </c>
      <c r="N924" s="87">
        <v>0.757011</v>
      </c>
      <c r="O924" s="87">
        <v>0.0</v>
      </c>
      <c r="P924" s="87">
        <v>0.0</v>
      </c>
      <c r="Q924" s="87">
        <v>2.567444</v>
      </c>
      <c r="R924" s="87">
        <v>2.959305</v>
      </c>
      <c r="S924" s="87">
        <v>3.914955</v>
      </c>
      <c r="T924" s="87">
        <v>2.567444</v>
      </c>
      <c r="U924" s="87">
        <v>2.797165</v>
      </c>
      <c r="V924" s="87">
        <v>2.797165</v>
      </c>
      <c r="W924" s="87">
        <v>3.914955</v>
      </c>
      <c r="X924" s="87">
        <v>9.190802</v>
      </c>
      <c r="Y924" s="87">
        <v>6.296003</v>
      </c>
      <c r="Z924" s="87">
        <v>0.0</v>
      </c>
      <c r="AA924" s="87">
        <v>3.914955</v>
      </c>
      <c r="AB924" s="87">
        <v>12.25277</v>
      </c>
      <c r="AC924" s="87">
        <v>6.296003</v>
      </c>
      <c r="AD924" s="87">
        <v>2.890377</v>
      </c>
      <c r="AE924" s="87">
        <v>3.280319</v>
      </c>
      <c r="AF924" s="87">
        <v>6.198858</v>
      </c>
      <c r="AG924" s="87">
        <v>5.59645</v>
      </c>
      <c r="AH924" s="87">
        <v>0.0</v>
      </c>
      <c r="AI924" s="87">
        <v>5.662867</v>
      </c>
      <c r="AJ924" s="87">
        <v>4.85563</v>
      </c>
      <c r="AK924" s="87">
        <v>6.77189</v>
      </c>
      <c r="AL924" s="88" t="s">
        <v>1396</v>
      </c>
    </row>
    <row r="925">
      <c r="A925" s="84" t="s">
        <v>2611</v>
      </c>
      <c r="B925" s="84" t="s">
        <v>2633</v>
      </c>
      <c r="C925" s="84" t="s">
        <v>2609</v>
      </c>
      <c r="D925" s="84" t="s">
        <v>2631</v>
      </c>
      <c r="E925" s="84" t="s">
        <v>1403</v>
      </c>
      <c r="F925" s="87">
        <v>6.0</v>
      </c>
      <c r="G925" s="87">
        <v>0.0</v>
      </c>
      <c r="H925" s="87">
        <v>0.0</v>
      </c>
      <c r="I925" s="87">
        <v>0.0</v>
      </c>
      <c r="J925" s="87">
        <v>0.0</v>
      </c>
      <c r="K925" s="87">
        <v>0.0</v>
      </c>
      <c r="L925" s="87">
        <v>0.0</v>
      </c>
      <c r="M925" s="87">
        <v>0.0</v>
      </c>
      <c r="N925" s="87">
        <v>0.0</v>
      </c>
      <c r="O925" s="87">
        <v>0.0</v>
      </c>
      <c r="P925" s="87">
        <v>0.0</v>
      </c>
      <c r="Q925" s="87">
        <v>0.0</v>
      </c>
      <c r="R925" s="87">
        <v>0.0</v>
      </c>
      <c r="S925" s="87">
        <v>0.0</v>
      </c>
      <c r="T925" s="87">
        <v>0.0</v>
      </c>
      <c r="U925" s="87">
        <v>0.0</v>
      </c>
      <c r="V925" s="87">
        <v>0.0</v>
      </c>
      <c r="W925" s="87">
        <v>0.0</v>
      </c>
      <c r="X925" s="87">
        <v>0.0</v>
      </c>
      <c r="Y925" s="87">
        <v>0.0</v>
      </c>
      <c r="Z925" s="87">
        <v>0.0</v>
      </c>
      <c r="AA925" s="87">
        <v>3.914955</v>
      </c>
      <c r="AB925" s="87">
        <v>12.25277</v>
      </c>
      <c r="AC925" s="87">
        <v>6.296003</v>
      </c>
      <c r="AD925" s="87">
        <v>0.0</v>
      </c>
      <c r="AE925" s="87">
        <v>0.0</v>
      </c>
      <c r="AF925" s="87">
        <v>0.0</v>
      </c>
      <c r="AG925" s="87">
        <v>0.0</v>
      </c>
      <c r="AH925" s="87">
        <v>0.0</v>
      </c>
      <c r="AI925" s="87">
        <v>5.662867</v>
      </c>
      <c r="AJ925" s="87">
        <v>4.85563</v>
      </c>
      <c r="AK925" s="87">
        <v>6.77189</v>
      </c>
      <c r="AL925" s="88" t="s">
        <v>1396</v>
      </c>
    </row>
    <row r="926">
      <c r="A926" s="84" t="s">
        <v>2607</v>
      </c>
      <c r="B926" s="84" t="s">
        <v>2634</v>
      </c>
      <c r="C926" s="84" t="s">
        <v>2609</v>
      </c>
      <c r="D926" s="84" t="s">
        <v>2635</v>
      </c>
      <c r="E926" s="89">
        <v>46310.0</v>
      </c>
      <c r="F926" s="87">
        <v>5.0</v>
      </c>
      <c r="G926" s="87">
        <v>0.0</v>
      </c>
      <c r="H926" s="87">
        <v>3712.0</v>
      </c>
      <c r="I926" s="87">
        <v>0.0</v>
      </c>
      <c r="J926" s="87">
        <v>31.11711</v>
      </c>
      <c r="K926" s="87">
        <v>33.85945</v>
      </c>
      <c r="L926" s="87">
        <v>38.54614</v>
      </c>
      <c r="M926" s="87">
        <v>20.98646</v>
      </c>
      <c r="N926" s="87">
        <v>0.619811</v>
      </c>
      <c r="O926" s="87">
        <v>0.0</v>
      </c>
      <c r="P926" s="87">
        <v>0.25</v>
      </c>
      <c r="Q926" s="87">
        <v>0.25</v>
      </c>
      <c r="R926" s="87">
        <v>5.953333</v>
      </c>
      <c r="S926" s="87">
        <v>6.669654</v>
      </c>
      <c r="T926" s="87">
        <v>0.25</v>
      </c>
      <c r="U926" s="87">
        <v>0.25</v>
      </c>
      <c r="V926" s="87">
        <v>5.953333</v>
      </c>
      <c r="W926" s="87">
        <v>6.669654</v>
      </c>
      <c r="X926" s="87">
        <v>6.669654</v>
      </c>
      <c r="Y926" s="87">
        <v>6.77189</v>
      </c>
      <c r="Z926" s="87">
        <v>0.0</v>
      </c>
      <c r="AA926" s="87">
        <v>7.826342</v>
      </c>
      <c r="AB926" s="87">
        <v>4.457029</v>
      </c>
      <c r="AC926" s="87">
        <v>5.59645</v>
      </c>
      <c r="AD926" s="87">
        <v>1.15078</v>
      </c>
      <c r="AE926" s="87">
        <v>6.669654</v>
      </c>
      <c r="AF926" s="87">
        <v>6.098044</v>
      </c>
      <c r="AG926" s="87">
        <v>6.77189</v>
      </c>
      <c r="AH926" s="87">
        <v>0.0</v>
      </c>
      <c r="AI926" s="87">
        <v>5.662867</v>
      </c>
      <c r="AJ926" s="87">
        <v>4.85563</v>
      </c>
      <c r="AK926" s="87">
        <v>6.77189</v>
      </c>
      <c r="AL926" s="88" t="s">
        <v>1396</v>
      </c>
    </row>
    <row r="927">
      <c r="A927" s="84" t="s">
        <v>2615</v>
      </c>
      <c r="B927" s="84" t="s">
        <v>2636</v>
      </c>
      <c r="C927" s="84" t="s">
        <v>2609</v>
      </c>
      <c r="D927" s="84" t="s">
        <v>2635</v>
      </c>
      <c r="E927" s="84" t="s">
        <v>1413</v>
      </c>
      <c r="F927" s="87">
        <v>6.0</v>
      </c>
      <c r="G927" s="87">
        <v>0.0</v>
      </c>
      <c r="H927" s="87">
        <v>1255.0</v>
      </c>
      <c r="I927" s="87">
        <v>0.0</v>
      </c>
      <c r="J927" s="87">
        <v>33.93197</v>
      </c>
      <c r="K927" s="87">
        <v>29.27645</v>
      </c>
      <c r="L927" s="87">
        <v>30.07706</v>
      </c>
      <c r="M927" s="87">
        <v>17.85476</v>
      </c>
      <c r="N927" s="87">
        <v>0.609868</v>
      </c>
      <c r="O927" s="87">
        <v>0.0</v>
      </c>
      <c r="P927" s="87">
        <v>3.188942</v>
      </c>
      <c r="Q927" s="87">
        <v>3.188942</v>
      </c>
      <c r="R927" s="87">
        <v>4.930501</v>
      </c>
      <c r="S927" s="87">
        <v>7.975223</v>
      </c>
      <c r="T927" s="87">
        <v>3.188942</v>
      </c>
      <c r="U927" s="87">
        <v>3.302244</v>
      </c>
      <c r="V927" s="87">
        <v>3.302244</v>
      </c>
      <c r="W927" s="87">
        <v>4.930501</v>
      </c>
      <c r="X927" s="87">
        <v>7.975223</v>
      </c>
      <c r="Y927" s="87">
        <v>4.879408</v>
      </c>
      <c r="Z927" s="87">
        <v>0.0</v>
      </c>
      <c r="AA927" s="87">
        <v>7.826342</v>
      </c>
      <c r="AB927" s="87">
        <v>4.457029</v>
      </c>
      <c r="AC927" s="87">
        <v>5.59645</v>
      </c>
      <c r="AD927" s="87">
        <v>8.043792</v>
      </c>
      <c r="AE927" s="87">
        <v>8.043792</v>
      </c>
      <c r="AF927" s="87">
        <v>18.18586</v>
      </c>
      <c r="AG927" s="87">
        <v>15.96255</v>
      </c>
      <c r="AH927" s="87">
        <v>0.0</v>
      </c>
      <c r="AI927" s="87">
        <v>5.662867</v>
      </c>
      <c r="AJ927" s="87">
        <v>4.85563</v>
      </c>
      <c r="AK927" s="87">
        <v>6.77189</v>
      </c>
      <c r="AL927" s="88" t="s">
        <v>1396</v>
      </c>
    </row>
    <row r="928">
      <c r="A928" s="84" t="s">
        <v>2617</v>
      </c>
      <c r="B928" s="84" t="s">
        <v>2637</v>
      </c>
      <c r="C928" s="84" t="s">
        <v>2609</v>
      </c>
      <c r="D928" s="84" t="s">
        <v>2635</v>
      </c>
      <c r="E928" s="84" t="s">
        <v>1398</v>
      </c>
      <c r="F928" s="87">
        <v>14.0</v>
      </c>
      <c r="G928" s="87">
        <v>0.0</v>
      </c>
      <c r="H928" s="87">
        <v>20487.0</v>
      </c>
      <c r="I928" s="87">
        <v>0.0</v>
      </c>
      <c r="J928" s="87">
        <v>209.3747</v>
      </c>
      <c r="K928" s="87">
        <v>236.3225</v>
      </c>
      <c r="L928" s="87">
        <v>249.6543</v>
      </c>
      <c r="M928" s="87">
        <v>104.1492</v>
      </c>
      <c r="N928" s="87">
        <v>0.440708</v>
      </c>
      <c r="O928" s="87">
        <v>5.610831</v>
      </c>
      <c r="P928" s="87">
        <v>5.804654</v>
      </c>
      <c r="Q928" s="87">
        <v>10.925</v>
      </c>
      <c r="R928" s="87">
        <v>14.11784</v>
      </c>
      <c r="S928" s="87">
        <v>21.11896</v>
      </c>
      <c r="T928" s="87">
        <v>5.804654</v>
      </c>
      <c r="U928" s="87">
        <v>7.950105</v>
      </c>
      <c r="V928" s="87">
        <v>10.925</v>
      </c>
      <c r="W928" s="87">
        <v>14.11784</v>
      </c>
      <c r="X928" s="87">
        <v>24.1505</v>
      </c>
      <c r="Y928" s="87">
        <v>16.88018</v>
      </c>
      <c r="Z928" s="87">
        <v>0.0</v>
      </c>
      <c r="AA928" s="87">
        <v>7.826342</v>
      </c>
      <c r="AB928" s="87">
        <v>4.457029</v>
      </c>
      <c r="AC928" s="87">
        <v>5.59645</v>
      </c>
      <c r="AD928" s="87">
        <v>12.38936</v>
      </c>
      <c r="AE928" s="87">
        <v>13.07402</v>
      </c>
      <c r="AF928" s="87">
        <v>16.72206</v>
      </c>
      <c r="AG928" s="87">
        <v>16.88018</v>
      </c>
      <c r="AH928" s="87">
        <v>0.0</v>
      </c>
      <c r="AI928" s="87">
        <v>5.662867</v>
      </c>
      <c r="AJ928" s="87">
        <v>4.85563</v>
      </c>
      <c r="AK928" s="87">
        <v>6.77189</v>
      </c>
      <c r="AL928" s="88" t="s">
        <v>1396</v>
      </c>
    </row>
    <row r="929">
      <c r="A929" s="84" t="s">
        <v>2619</v>
      </c>
      <c r="B929" s="84" t="s">
        <v>2638</v>
      </c>
      <c r="C929" s="84" t="s">
        <v>2609</v>
      </c>
      <c r="D929" s="84" t="s">
        <v>2635</v>
      </c>
      <c r="E929" s="84" t="s">
        <v>1400</v>
      </c>
      <c r="F929" s="87">
        <v>11.0</v>
      </c>
      <c r="G929" s="87">
        <v>0.0</v>
      </c>
      <c r="H929" s="87">
        <v>4795.0</v>
      </c>
      <c r="I929" s="87">
        <v>0.0</v>
      </c>
      <c r="J929" s="87">
        <v>64.50669</v>
      </c>
      <c r="K929" s="87">
        <v>61.56095</v>
      </c>
      <c r="L929" s="87">
        <v>63.23529</v>
      </c>
      <c r="M929" s="87">
        <v>33.27311</v>
      </c>
      <c r="N929" s="87">
        <v>0.54049</v>
      </c>
      <c r="O929" s="87">
        <v>2.201068</v>
      </c>
      <c r="P929" s="87">
        <v>2.52624</v>
      </c>
      <c r="Q929" s="87">
        <v>2.56396</v>
      </c>
      <c r="R929" s="87">
        <v>3.999812</v>
      </c>
      <c r="S929" s="87">
        <v>6.943448</v>
      </c>
      <c r="T929" s="87">
        <v>2.201068</v>
      </c>
      <c r="U929" s="87">
        <v>2.52624</v>
      </c>
      <c r="V929" s="87">
        <v>2.56396</v>
      </c>
      <c r="W929" s="87">
        <v>3.999812</v>
      </c>
      <c r="X929" s="87">
        <v>6.943448</v>
      </c>
      <c r="Y929" s="87">
        <v>5.59645</v>
      </c>
      <c r="Z929" s="87">
        <v>0.0</v>
      </c>
      <c r="AA929" s="87">
        <v>7.826342</v>
      </c>
      <c r="AB929" s="87">
        <v>4.457029</v>
      </c>
      <c r="AC929" s="87">
        <v>5.59645</v>
      </c>
      <c r="AD929" s="87">
        <v>2.890377</v>
      </c>
      <c r="AE929" s="87">
        <v>3.280319</v>
      </c>
      <c r="AF929" s="87">
        <v>6.198858</v>
      </c>
      <c r="AG929" s="87">
        <v>5.59645</v>
      </c>
      <c r="AH929" s="87">
        <v>0.0</v>
      </c>
      <c r="AI929" s="87">
        <v>5.662867</v>
      </c>
      <c r="AJ929" s="87">
        <v>4.85563</v>
      </c>
      <c r="AK929" s="87">
        <v>6.77189</v>
      </c>
      <c r="AL929" s="88" t="s">
        <v>1396</v>
      </c>
    </row>
    <row r="930">
      <c r="A930" s="84" t="s">
        <v>2611</v>
      </c>
      <c r="B930" s="84" t="s">
        <v>2639</v>
      </c>
      <c r="C930" s="84" t="s">
        <v>2609</v>
      </c>
      <c r="D930" s="84" t="s">
        <v>2635</v>
      </c>
      <c r="E930" s="84" t="s">
        <v>1403</v>
      </c>
      <c r="F930" s="87">
        <v>45.0</v>
      </c>
      <c r="G930" s="87">
        <v>5.0</v>
      </c>
      <c r="H930" s="87">
        <v>284.0</v>
      </c>
      <c r="I930" s="87">
        <v>284.0</v>
      </c>
      <c r="J930" s="87">
        <v>0.0</v>
      </c>
      <c r="K930" s="87">
        <v>0.0</v>
      </c>
      <c r="L930" s="87">
        <v>0.0</v>
      </c>
      <c r="M930" s="87">
        <v>0.0</v>
      </c>
      <c r="N930" s="87">
        <v>0.0</v>
      </c>
      <c r="O930" s="87">
        <v>0.0</v>
      </c>
      <c r="P930" s="87">
        <v>0.0</v>
      </c>
      <c r="Q930" s="87">
        <v>0.0</v>
      </c>
      <c r="R930" s="87">
        <v>0.0</v>
      </c>
      <c r="S930" s="87">
        <v>0.0</v>
      </c>
      <c r="T930" s="87">
        <v>0.0</v>
      </c>
      <c r="U930" s="87">
        <v>0.0</v>
      </c>
      <c r="V930" s="87">
        <v>0.0</v>
      </c>
      <c r="W930" s="87">
        <v>0.0</v>
      </c>
      <c r="X930" s="87">
        <v>0.0</v>
      </c>
      <c r="Y930" s="87">
        <v>0.0</v>
      </c>
      <c r="Z930" s="87">
        <v>0.0</v>
      </c>
      <c r="AA930" s="87">
        <v>7.826342</v>
      </c>
      <c r="AB930" s="87">
        <v>4.457029</v>
      </c>
      <c r="AC930" s="87">
        <v>5.59645</v>
      </c>
      <c r="AD930" s="87">
        <v>0.0</v>
      </c>
      <c r="AE930" s="87">
        <v>0.0</v>
      </c>
      <c r="AF930" s="87">
        <v>0.0</v>
      </c>
      <c r="AG930" s="87">
        <v>0.0</v>
      </c>
      <c r="AH930" s="87">
        <v>0.0</v>
      </c>
      <c r="AI930" s="87">
        <v>5.662867</v>
      </c>
      <c r="AJ930" s="87">
        <v>4.85563</v>
      </c>
      <c r="AK930" s="87">
        <v>6.77189</v>
      </c>
      <c r="AL930" s="88" t="s">
        <v>1396</v>
      </c>
    </row>
    <row r="931">
      <c r="A931" s="84" t="s">
        <v>2607</v>
      </c>
      <c r="B931" s="84" t="s">
        <v>2640</v>
      </c>
      <c r="C931" s="84" t="s">
        <v>2609</v>
      </c>
      <c r="D931" s="84" t="s">
        <v>2641</v>
      </c>
      <c r="E931" s="89">
        <v>46310.0</v>
      </c>
      <c r="F931" s="87">
        <v>1.0</v>
      </c>
      <c r="G931" s="87">
        <v>0.0</v>
      </c>
      <c r="H931" s="87">
        <v>339.0</v>
      </c>
      <c r="I931" s="87">
        <v>0.0</v>
      </c>
      <c r="J931" s="87">
        <v>9.50873</v>
      </c>
      <c r="K931" s="87">
        <v>5.75868</v>
      </c>
      <c r="L931" s="87">
        <v>5.714207</v>
      </c>
      <c r="M931" s="87">
        <v>5.75868</v>
      </c>
      <c r="N931" s="87">
        <v>1.0</v>
      </c>
      <c r="O931" s="87">
        <v>5.75868</v>
      </c>
      <c r="P931" s="87">
        <v>5.75868</v>
      </c>
      <c r="Q931" s="87">
        <v>5.75868</v>
      </c>
      <c r="R931" s="87">
        <v>5.75868</v>
      </c>
      <c r="S931" s="87">
        <v>5.75868</v>
      </c>
      <c r="T931" s="87">
        <v>5.75868</v>
      </c>
      <c r="U931" s="87">
        <v>5.75868</v>
      </c>
      <c r="V931" s="87">
        <v>5.75868</v>
      </c>
      <c r="W931" s="87">
        <v>5.75868</v>
      </c>
      <c r="X931" s="87">
        <v>5.75868</v>
      </c>
      <c r="Y931" s="87">
        <v>5.75868</v>
      </c>
      <c r="Z931" s="87">
        <v>1.348148</v>
      </c>
      <c r="AA931" s="87">
        <v>5.75868</v>
      </c>
      <c r="AB931" s="87">
        <v>3.167738</v>
      </c>
      <c r="AC931" s="87">
        <v>5.75868</v>
      </c>
      <c r="AD931" s="87">
        <v>1.15078</v>
      </c>
      <c r="AE931" s="87">
        <v>6.669654</v>
      </c>
      <c r="AF931" s="87">
        <v>6.098044</v>
      </c>
      <c r="AG931" s="87">
        <v>6.77189</v>
      </c>
      <c r="AH931" s="87">
        <v>0.0</v>
      </c>
      <c r="AI931" s="87">
        <v>5.662867</v>
      </c>
      <c r="AJ931" s="87">
        <v>4.85563</v>
      </c>
      <c r="AK931" s="87">
        <v>6.77189</v>
      </c>
      <c r="AL931" s="88" t="s">
        <v>1396</v>
      </c>
    </row>
    <row r="932">
      <c r="A932" s="84" t="s">
        <v>2615</v>
      </c>
      <c r="B932" s="84" t="s">
        <v>2642</v>
      </c>
      <c r="C932" s="84" t="s">
        <v>2609</v>
      </c>
      <c r="D932" s="84" t="s">
        <v>2641</v>
      </c>
      <c r="E932" s="84" t="s">
        <v>1413</v>
      </c>
      <c r="F932" s="87">
        <v>3.0</v>
      </c>
      <c r="G932" s="87">
        <v>0.0</v>
      </c>
      <c r="H932" s="87">
        <v>1945.0</v>
      </c>
      <c r="I932" s="87">
        <v>0.0</v>
      </c>
      <c r="J932" s="87">
        <v>20.81238</v>
      </c>
      <c r="K932" s="87">
        <v>20.9925</v>
      </c>
      <c r="L932" s="87">
        <v>20.79477</v>
      </c>
      <c r="M932" s="87">
        <v>10.99248</v>
      </c>
      <c r="N932" s="87">
        <v>0.523638</v>
      </c>
      <c r="O932" s="87">
        <v>1.956235</v>
      </c>
      <c r="P932" s="87">
        <v>1.956235</v>
      </c>
      <c r="Q932" s="87">
        <v>1.956235</v>
      </c>
      <c r="R932" s="87">
        <v>8.043792</v>
      </c>
      <c r="S932" s="87">
        <v>10.99248</v>
      </c>
      <c r="T932" s="87">
        <v>1.956235</v>
      </c>
      <c r="U932" s="87">
        <v>1.956235</v>
      </c>
      <c r="V932" s="87">
        <v>1.956235</v>
      </c>
      <c r="W932" s="87">
        <v>8.043792</v>
      </c>
      <c r="X932" s="87">
        <v>10.99248</v>
      </c>
      <c r="Y932" s="87">
        <v>6.997501</v>
      </c>
      <c r="Z932" s="87">
        <v>1.348148</v>
      </c>
      <c r="AA932" s="87">
        <v>5.75868</v>
      </c>
      <c r="AB932" s="87">
        <v>3.167738</v>
      </c>
      <c r="AC932" s="87">
        <v>5.75868</v>
      </c>
      <c r="AD932" s="87">
        <v>8.043792</v>
      </c>
      <c r="AE932" s="87">
        <v>8.043792</v>
      </c>
      <c r="AF932" s="87">
        <v>18.18586</v>
      </c>
      <c r="AG932" s="87">
        <v>15.96255</v>
      </c>
      <c r="AH932" s="87">
        <v>0.0</v>
      </c>
      <c r="AI932" s="87">
        <v>5.662867</v>
      </c>
      <c r="AJ932" s="87">
        <v>4.85563</v>
      </c>
      <c r="AK932" s="87">
        <v>6.77189</v>
      </c>
      <c r="AL932" s="88" t="s">
        <v>1396</v>
      </c>
    </row>
    <row r="933">
      <c r="A933" s="84" t="s">
        <v>2617</v>
      </c>
      <c r="B933" s="84" t="s">
        <v>2643</v>
      </c>
      <c r="C933" s="84" t="s">
        <v>2609</v>
      </c>
      <c r="D933" s="84" t="s">
        <v>2641</v>
      </c>
      <c r="E933" s="84" t="s">
        <v>1398</v>
      </c>
      <c r="F933" s="87">
        <v>1.0</v>
      </c>
      <c r="G933" s="87">
        <v>0.0</v>
      </c>
      <c r="H933" s="87">
        <v>720.0</v>
      </c>
      <c r="I933" s="87">
        <v>0.0</v>
      </c>
      <c r="J933" s="87">
        <v>9.808908</v>
      </c>
      <c r="K933" s="87">
        <v>9.208822</v>
      </c>
      <c r="L933" s="87">
        <v>8.815569</v>
      </c>
      <c r="M933" s="87">
        <v>9.208822</v>
      </c>
      <c r="N933" s="87">
        <v>1.0</v>
      </c>
      <c r="O933" s="87">
        <v>9.208822</v>
      </c>
      <c r="P933" s="87">
        <v>9.208822</v>
      </c>
      <c r="Q933" s="87">
        <v>9.208822</v>
      </c>
      <c r="R933" s="87">
        <v>9.208822</v>
      </c>
      <c r="S933" s="87">
        <v>9.208822</v>
      </c>
      <c r="T933" s="87">
        <v>9.208822</v>
      </c>
      <c r="U933" s="87">
        <v>9.208822</v>
      </c>
      <c r="V933" s="87">
        <v>9.208822</v>
      </c>
      <c r="W933" s="87">
        <v>9.208822</v>
      </c>
      <c r="X933" s="87">
        <v>9.208822</v>
      </c>
      <c r="Y933" s="87">
        <v>9.208822</v>
      </c>
      <c r="Z933" s="87">
        <v>1.348148</v>
      </c>
      <c r="AA933" s="87">
        <v>5.75868</v>
      </c>
      <c r="AB933" s="87">
        <v>3.167738</v>
      </c>
      <c r="AC933" s="87">
        <v>5.75868</v>
      </c>
      <c r="AD933" s="87">
        <v>12.38936</v>
      </c>
      <c r="AE933" s="87">
        <v>13.07402</v>
      </c>
      <c r="AF933" s="87">
        <v>16.72206</v>
      </c>
      <c r="AG933" s="87">
        <v>16.88018</v>
      </c>
      <c r="AH933" s="87">
        <v>0.0</v>
      </c>
      <c r="AI933" s="87">
        <v>5.662867</v>
      </c>
      <c r="AJ933" s="87">
        <v>4.85563</v>
      </c>
      <c r="AK933" s="87">
        <v>6.77189</v>
      </c>
      <c r="AL933" s="88" t="s">
        <v>1396</v>
      </c>
    </row>
    <row r="934">
      <c r="A934" s="84" t="s">
        <v>2619</v>
      </c>
      <c r="B934" s="84" t="s">
        <v>2644</v>
      </c>
      <c r="C934" s="84" t="s">
        <v>2609</v>
      </c>
      <c r="D934" s="84" t="s">
        <v>2641</v>
      </c>
      <c r="E934" s="84" t="s">
        <v>1400</v>
      </c>
      <c r="F934" s="87">
        <v>5.0</v>
      </c>
      <c r="G934" s="87">
        <v>0.0</v>
      </c>
      <c r="H934" s="87">
        <v>2258.0</v>
      </c>
      <c r="I934" s="87">
        <v>0.0</v>
      </c>
      <c r="J934" s="87">
        <v>17.21671</v>
      </c>
      <c r="K934" s="87">
        <v>17.89154</v>
      </c>
      <c r="L934" s="87">
        <v>16.89058</v>
      </c>
      <c r="M934" s="87">
        <v>8.626086</v>
      </c>
      <c r="N934" s="87">
        <v>0.482132</v>
      </c>
      <c r="O934" s="87">
        <v>1.225396</v>
      </c>
      <c r="P934" s="87">
        <v>1.348148</v>
      </c>
      <c r="Q934" s="87">
        <v>1.348148</v>
      </c>
      <c r="R934" s="87">
        <v>2.649648</v>
      </c>
      <c r="S934" s="87">
        <v>4.042266</v>
      </c>
      <c r="T934" s="87">
        <v>1.225396</v>
      </c>
      <c r="U934" s="87">
        <v>1.348148</v>
      </c>
      <c r="V934" s="87">
        <v>1.348148</v>
      </c>
      <c r="W934" s="87">
        <v>2.649648</v>
      </c>
      <c r="X934" s="87">
        <v>4.042266</v>
      </c>
      <c r="Y934" s="87">
        <v>3.578309</v>
      </c>
      <c r="Z934" s="87">
        <v>1.348148</v>
      </c>
      <c r="AA934" s="87">
        <v>5.75868</v>
      </c>
      <c r="AB934" s="87">
        <v>3.167738</v>
      </c>
      <c r="AC934" s="87">
        <v>5.75868</v>
      </c>
      <c r="AD934" s="87">
        <v>2.890377</v>
      </c>
      <c r="AE934" s="87">
        <v>3.280319</v>
      </c>
      <c r="AF934" s="87">
        <v>6.198858</v>
      </c>
      <c r="AG934" s="87">
        <v>5.59645</v>
      </c>
      <c r="AH934" s="87">
        <v>0.0</v>
      </c>
      <c r="AI934" s="87">
        <v>5.662867</v>
      </c>
      <c r="AJ934" s="87">
        <v>4.85563</v>
      </c>
      <c r="AK934" s="87">
        <v>6.77189</v>
      </c>
      <c r="AL934" s="88" t="s">
        <v>1396</v>
      </c>
    </row>
    <row r="935">
      <c r="A935" s="84" t="s">
        <v>2611</v>
      </c>
      <c r="B935" s="84" t="s">
        <v>2645</v>
      </c>
      <c r="C935" s="84" t="s">
        <v>2609</v>
      </c>
      <c r="D935" s="84" t="s">
        <v>2641</v>
      </c>
      <c r="E935" s="84" t="s">
        <v>1403</v>
      </c>
      <c r="F935" s="87">
        <v>7.0</v>
      </c>
      <c r="G935" s="87">
        <v>1.0</v>
      </c>
      <c r="H935" s="87">
        <v>61.0</v>
      </c>
      <c r="I935" s="87">
        <v>61.0</v>
      </c>
      <c r="J935" s="87">
        <v>0.0</v>
      </c>
      <c r="K935" s="87">
        <v>0.0</v>
      </c>
      <c r="L935" s="87">
        <v>0.0</v>
      </c>
      <c r="M935" s="87">
        <v>0.0</v>
      </c>
      <c r="N935" s="87">
        <v>0.0</v>
      </c>
      <c r="O935" s="87">
        <v>0.0</v>
      </c>
      <c r="P935" s="87">
        <v>0.0</v>
      </c>
      <c r="Q935" s="87">
        <v>0.0</v>
      </c>
      <c r="R935" s="87">
        <v>0.0</v>
      </c>
      <c r="S935" s="87">
        <v>0.0</v>
      </c>
      <c r="T935" s="87">
        <v>0.0</v>
      </c>
      <c r="U935" s="87">
        <v>0.0</v>
      </c>
      <c r="V935" s="87">
        <v>0.0</v>
      </c>
      <c r="W935" s="87">
        <v>0.0</v>
      </c>
      <c r="X935" s="87">
        <v>0.0</v>
      </c>
      <c r="Y935" s="87">
        <v>0.0</v>
      </c>
      <c r="Z935" s="87">
        <v>1.348148</v>
      </c>
      <c r="AA935" s="87">
        <v>5.75868</v>
      </c>
      <c r="AB935" s="87">
        <v>3.167738</v>
      </c>
      <c r="AC935" s="87">
        <v>5.75868</v>
      </c>
      <c r="AD935" s="87">
        <v>0.0</v>
      </c>
      <c r="AE935" s="87">
        <v>0.0</v>
      </c>
      <c r="AF935" s="87">
        <v>0.0</v>
      </c>
      <c r="AG935" s="87">
        <v>0.0</v>
      </c>
      <c r="AH935" s="87">
        <v>0.0</v>
      </c>
      <c r="AI935" s="87">
        <v>5.662867</v>
      </c>
      <c r="AJ935" s="87">
        <v>4.85563</v>
      </c>
      <c r="AK935" s="87">
        <v>6.77189</v>
      </c>
      <c r="AL935" s="88" t="s">
        <v>1396</v>
      </c>
    </row>
    <row r="936">
      <c r="A936" s="84" t="s">
        <v>2646</v>
      </c>
      <c r="B936" s="84" t="s">
        <v>2647</v>
      </c>
      <c r="C936" s="84" t="s">
        <v>573</v>
      </c>
      <c r="D936" s="84" t="s">
        <v>588</v>
      </c>
      <c r="E936" s="84" t="s">
        <v>1426</v>
      </c>
      <c r="F936" s="87">
        <v>3.0</v>
      </c>
      <c r="G936" s="87">
        <v>2.0</v>
      </c>
      <c r="H936" s="87">
        <v>9401.0</v>
      </c>
      <c r="I936" s="87">
        <v>6697.0</v>
      </c>
      <c r="J936" s="87">
        <v>61.72373</v>
      </c>
      <c r="K936" s="87">
        <v>49.45741</v>
      </c>
      <c r="L936" s="87">
        <v>38.36726</v>
      </c>
      <c r="M936" s="87">
        <v>49.45741</v>
      </c>
      <c r="N936" s="87">
        <v>1.0</v>
      </c>
      <c r="O936" s="87">
        <v>0.0</v>
      </c>
      <c r="P936" s="87">
        <v>0.0</v>
      </c>
      <c r="Q936" s="87">
        <v>0.0</v>
      </c>
      <c r="R936" s="87">
        <v>0.0</v>
      </c>
      <c r="S936" s="87">
        <v>49.45741</v>
      </c>
      <c r="T936" s="87">
        <v>49.45741</v>
      </c>
      <c r="U936" s="87">
        <v>49.45741</v>
      </c>
      <c r="V936" s="87">
        <v>49.45741</v>
      </c>
      <c r="W936" s="87">
        <v>49.45741</v>
      </c>
      <c r="X936" s="87">
        <v>49.45741</v>
      </c>
      <c r="Y936" s="87">
        <v>16.4858</v>
      </c>
      <c r="Z936" s="87">
        <v>0.0</v>
      </c>
      <c r="AA936" s="87">
        <v>11.02704</v>
      </c>
      <c r="AB936" s="87">
        <v>8.881344</v>
      </c>
      <c r="AC936" s="87">
        <v>16.4858</v>
      </c>
      <c r="AD936" s="87">
        <v>27.40054</v>
      </c>
      <c r="AE936" s="87">
        <v>50.06303</v>
      </c>
      <c r="AF936" s="87">
        <v>58.06657</v>
      </c>
      <c r="AG936" s="87">
        <v>73.22041</v>
      </c>
      <c r="AH936" s="87">
        <v>0.0</v>
      </c>
      <c r="AI936" s="87">
        <v>22.3954</v>
      </c>
      <c r="AJ936" s="87">
        <v>15.01045</v>
      </c>
      <c r="AK936" s="87">
        <v>13.80265</v>
      </c>
      <c r="AL936" s="88" t="s">
        <v>1396</v>
      </c>
    </row>
    <row r="937">
      <c r="A937" s="84" t="s">
        <v>2648</v>
      </c>
      <c r="B937" s="84" t="s">
        <v>2649</v>
      </c>
      <c r="C937" s="84" t="s">
        <v>573</v>
      </c>
      <c r="D937" s="84" t="s">
        <v>588</v>
      </c>
      <c r="E937" s="86">
        <v>46310.0</v>
      </c>
      <c r="F937" s="87">
        <v>15.0</v>
      </c>
      <c r="G937" s="87">
        <v>0.0</v>
      </c>
      <c r="H937" s="87">
        <v>31050.0</v>
      </c>
      <c r="I937" s="87">
        <v>0.0</v>
      </c>
      <c r="J937" s="87">
        <v>459.5522</v>
      </c>
      <c r="K937" s="87">
        <v>438.5445</v>
      </c>
      <c r="L937" s="87">
        <v>428.0172</v>
      </c>
      <c r="M937" s="87">
        <v>199.6705</v>
      </c>
      <c r="N937" s="87">
        <v>0.455303</v>
      </c>
      <c r="O937" s="87">
        <v>0.0</v>
      </c>
      <c r="P937" s="87">
        <v>0.0</v>
      </c>
      <c r="Q937" s="87">
        <v>20.727</v>
      </c>
      <c r="R937" s="87">
        <v>25.75344</v>
      </c>
      <c r="S937" s="87">
        <v>35.65478</v>
      </c>
      <c r="T937" s="87">
        <v>25.47841</v>
      </c>
      <c r="U937" s="87">
        <v>25.6157</v>
      </c>
      <c r="V937" s="87">
        <v>25.75344</v>
      </c>
      <c r="W937" s="87">
        <v>34.60472</v>
      </c>
      <c r="X937" s="87">
        <v>40.72775</v>
      </c>
      <c r="Y937" s="87">
        <v>29.2363</v>
      </c>
      <c r="Z937" s="87">
        <v>0.0</v>
      </c>
      <c r="AA937" s="87">
        <v>11.02704</v>
      </c>
      <c r="AB937" s="87">
        <v>8.881344</v>
      </c>
      <c r="AC937" s="87">
        <v>16.4858</v>
      </c>
      <c r="AD937" s="87">
        <v>14.08066</v>
      </c>
      <c r="AE937" s="87">
        <v>25.75344</v>
      </c>
      <c r="AF937" s="87">
        <v>38.02622</v>
      </c>
      <c r="AG937" s="87">
        <v>23.65956</v>
      </c>
      <c r="AH937" s="87">
        <v>0.0</v>
      </c>
      <c r="AI937" s="87">
        <v>22.3954</v>
      </c>
      <c r="AJ937" s="87">
        <v>15.01045</v>
      </c>
      <c r="AK937" s="87">
        <v>13.80265</v>
      </c>
      <c r="AL937" s="88" t="s">
        <v>1396</v>
      </c>
    </row>
    <row r="938">
      <c r="A938" s="84" t="s">
        <v>2650</v>
      </c>
      <c r="B938" s="84" t="s">
        <v>2651</v>
      </c>
      <c r="C938" s="84" t="s">
        <v>573</v>
      </c>
      <c r="D938" s="84" t="s">
        <v>588</v>
      </c>
      <c r="E938" s="84" t="s">
        <v>1413</v>
      </c>
      <c r="F938" s="87">
        <v>20.0</v>
      </c>
      <c r="G938" s="87">
        <v>0.0</v>
      </c>
      <c r="H938" s="87">
        <v>32723.0</v>
      </c>
      <c r="I938" s="87">
        <v>0.0</v>
      </c>
      <c r="J938" s="87">
        <v>407.2175</v>
      </c>
      <c r="K938" s="87">
        <v>400.4822</v>
      </c>
      <c r="L938" s="87">
        <v>408.4135</v>
      </c>
      <c r="M938" s="87">
        <v>253.0272</v>
      </c>
      <c r="N938" s="87">
        <v>0.631806</v>
      </c>
      <c r="O938" s="87">
        <v>3.378993</v>
      </c>
      <c r="P938" s="87">
        <v>4.046124</v>
      </c>
      <c r="Q938" s="87">
        <v>6.804458</v>
      </c>
      <c r="R938" s="87">
        <v>10.576</v>
      </c>
      <c r="S938" s="87">
        <v>18.77315</v>
      </c>
      <c r="T938" s="87">
        <v>3.378993</v>
      </c>
      <c r="U938" s="87">
        <v>4.046124</v>
      </c>
      <c r="V938" s="87">
        <v>6.804458</v>
      </c>
      <c r="W938" s="87">
        <v>10.576</v>
      </c>
      <c r="X938" s="87">
        <v>18.77315</v>
      </c>
      <c r="Y938" s="87">
        <v>20.02411</v>
      </c>
      <c r="Z938" s="87">
        <v>0.0</v>
      </c>
      <c r="AA938" s="87">
        <v>11.02704</v>
      </c>
      <c r="AB938" s="87">
        <v>8.881344</v>
      </c>
      <c r="AC938" s="87">
        <v>16.4858</v>
      </c>
      <c r="AD938" s="87">
        <v>5.953594</v>
      </c>
      <c r="AE938" s="87">
        <v>10.01471</v>
      </c>
      <c r="AF938" s="87">
        <v>12.23075</v>
      </c>
      <c r="AG938" s="87">
        <v>4.074551</v>
      </c>
      <c r="AH938" s="87">
        <v>0.0</v>
      </c>
      <c r="AI938" s="87">
        <v>22.3954</v>
      </c>
      <c r="AJ938" s="87">
        <v>15.01045</v>
      </c>
      <c r="AK938" s="87">
        <v>13.80265</v>
      </c>
      <c r="AL938" s="88" t="s">
        <v>1396</v>
      </c>
    </row>
    <row r="939">
      <c r="A939" s="84" t="s">
        <v>2652</v>
      </c>
      <c r="B939" s="84" t="s">
        <v>2653</v>
      </c>
      <c r="C939" s="84" t="s">
        <v>573</v>
      </c>
      <c r="D939" s="84" t="s">
        <v>588</v>
      </c>
      <c r="E939" s="84" t="s">
        <v>1398</v>
      </c>
      <c r="F939" s="87">
        <v>7.0</v>
      </c>
      <c r="G939" s="87">
        <v>0.0</v>
      </c>
      <c r="H939" s="87">
        <v>4504.0</v>
      </c>
      <c r="I939" s="87">
        <v>0.0</v>
      </c>
      <c r="J939" s="87">
        <v>49.69857</v>
      </c>
      <c r="K939" s="87">
        <v>51.58241</v>
      </c>
      <c r="L939" s="87">
        <v>50.9716</v>
      </c>
      <c r="M939" s="87">
        <v>30.42755</v>
      </c>
      <c r="N939" s="87">
        <v>0.589882</v>
      </c>
      <c r="O939" s="87">
        <v>0.0</v>
      </c>
      <c r="P939" s="87">
        <v>0.0</v>
      </c>
      <c r="Q939" s="87">
        <v>6.038674</v>
      </c>
      <c r="R939" s="87">
        <v>7.540051</v>
      </c>
      <c r="S939" s="87">
        <v>7.576134</v>
      </c>
      <c r="T939" s="87">
        <v>6.038674</v>
      </c>
      <c r="U939" s="87">
        <v>7.540051</v>
      </c>
      <c r="V939" s="87">
        <v>7.540051</v>
      </c>
      <c r="W939" s="87">
        <v>7.576134</v>
      </c>
      <c r="X939" s="87">
        <v>11.02704</v>
      </c>
      <c r="Y939" s="87">
        <v>7.368916</v>
      </c>
      <c r="Z939" s="87">
        <v>0.0</v>
      </c>
      <c r="AA939" s="87">
        <v>11.02704</v>
      </c>
      <c r="AB939" s="87">
        <v>8.881344</v>
      </c>
      <c r="AC939" s="87">
        <v>16.4858</v>
      </c>
      <c r="AD939" s="87">
        <v>3.779246</v>
      </c>
      <c r="AE939" s="87">
        <v>7.576134</v>
      </c>
      <c r="AF939" s="87">
        <v>8.717212</v>
      </c>
      <c r="AG939" s="87">
        <v>7.368916</v>
      </c>
      <c r="AH939" s="87">
        <v>0.0</v>
      </c>
      <c r="AI939" s="87">
        <v>22.3954</v>
      </c>
      <c r="AJ939" s="87">
        <v>15.01045</v>
      </c>
      <c r="AK939" s="87">
        <v>13.80265</v>
      </c>
      <c r="AL939" s="88" t="s">
        <v>1396</v>
      </c>
    </row>
    <row r="940">
      <c r="A940" s="84" t="s">
        <v>2654</v>
      </c>
      <c r="B940" s="84" t="s">
        <v>2655</v>
      </c>
      <c r="C940" s="84" t="s">
        <v>573</v>
      </c>
      <c r="D940" s="84" t="s">
        <v>588</v>
      </c>
      <c r="E940" s="84" t="s">
        <v>1400</v>
      </c>
      <c r="F940" s="87">
        <v>12.0</v>
      </c>
      <c r="G940" s="87">
        <v>0.0</v>
      </c>
      <c r="H940" s="87">
        <v>19467.0</v>
      </c>
      <c r="I940" s="87">
        <v>0.0</v>
      </c>
      <c r="J940" s="87">
        <v>240.7202</v>
      </c>
      <c r="K940" s="87">
        <v>226.5098</v>
      </c>
      <c r="L940" s="87">
        <v>220.9236</v>
      </c>
      <c r="M940" s="87">
        <v>178.3437</v>
      </c>
      <c r="N940" s="87">
        <v>0.787356</v>
      </c>
      <c r="O940" s="87">
        <v>0.052632</v>
      </c>
      <c r="P940" s="87">
        <v>1.062752</v>
      </c>
      <c r="Q940" s="87">
        <v>3.290767</v>
      </c>
      <c r="R940" s="87">
        <v>9.717716</v>
      </c>
      <c r="S940" s="87">
        <v>11.78948</v>
      </c>
      <c r="T940" s="87">
        <v>1.062752</v>
      </c>
      <c r="U940" s="87">
        <v>3.290767</v>
      </c>
      <c r="V940" s="87">
        <v>5.775776</v>
      </c>
      <c r="W940" s="87">
        <v>9.717716</v>
      </c>
      <c r="X940" s="87">
        <v>11.78948</v>
      </c>
      <c r="Y940" s="87">
        <v>18.87581</v>
      </c>
      <c r="Z940" s="87">
        <v>0.0</v>
      </c>
      <c r="AA940" s="87">
        <v>11.02704</v>
      </c>
      <c r="AB940" s="87">
        <v>8.881344</v>
      </c>
      <c r="AC940" s="87">
        <v>16.4858</v>
      </c>
      <c r="AD940" s="87">
        <v>3.290767</v>
      </c>
      <c r="AE940" s="87">
        <v>7.822324</v>
      </c>
      <c r="AF940" s="87">
        <v>12.21202</v>
      </c>
      <c r="AG940" s="87">
        <v>13.70559</v>
      </c>
      <c r="AH940" s="87">
        <v>0.0</v>
      </c>
      <c r="AI940" s="87">
        <v>22.3954</v>
      </c>
      <c r="AJ940" s="87">
        <v>15.01045</v>
      </c>
      <c r="AK940" s="87">
        <v>13.80265</v>
      </c>
      <c r="AL940" s="88" t="s">
        <v>1396</v>
      </c>
    </row>
    <row r="941">
      <c r="A941" s="84" t="s">
        <v>2656</v>
      </c>
      <c r="B941" s="84" t="s">
        <v>2657</v>
      </c>
      <c r="C941" s="84" t="s">
        <v>573</v>
      </c>
      <c r="D941" s="84" t="s">
        <v>588</v>
      </c>
      <c r="E941" s="89">
        <v>46300.0</v>
      </c>
      <c r="F941" s="87">
        <v>7.0</v>
      </c>
      <c r="G941" s="87">
        <v>0.0</v>
      </c>
      <c r="H941" s="87">
        <v>5597.0</v>
      </c>
      <c r="I941" s="87">
        <v>0.0</v>
      </c>
      <c r="J941" s="87">
        <v>86.57169</v>
      </c>
      <c r="K941" s="87">
        <v>94.57446</v>
      </c>
      <c r="L941" s="87">
        <v>90.04995</v>
      </c>
      <c r="M941" s="87">
        <v>59.46564</v>
      </c>
      <c r="N941" s="87">
        <v>0.628771</v>
      </c>
      <c r="O941" s="87">
        <v>5.497828</v>
      </c>
      <c r="P941" s="87">
        <v>5.735311</v>
      </c>
      <c r="Q941" s="87">
        <v>7.24776</v>
      </c>
      <c r="R941" s="87">
        <v>7.787207</v>
      </c>
      <c r="S941" s="87">
        <v>8.840716</v>
      </c>
      <c r="T941" s="87">
        <v>5.497828</v>
      </c>
      <c r="U941" s="87">
        <v>5.735311</v>
      </c>
      <c r="V941" s="87">
        <v>7.24776</v>
      </c>
      <c r="W941" s="87">
        <v>7.787207</v>
      </c>
      <c r="X941" s="87">
        <v>8.840716</v>
      </c>
      <c r="Y941" s="87">
        <v>13.51064</v>
      </c>
      <c r="Z941" s="87">
        <v>0.0</v>
      </c>
      <c r="AA941" s="87">
        <v>11.02704</v>
      </c>
      <c r="AB941" s="87">
        <v>8.881344</v>
      </c>
      <c r="AC941" s="87">
        <v>16.4858</v>
      </c>
      <c r="AD941" s="87">
        <v>15.90924</v>
      </c>
      <c r="AE941" s="87">
        <v>25.32017</v>
      </c>
      <c r="AF941" s="87">
        <v>48.9939</v>
      </c>
      <c r="AG941" s="87">
        <v>35.69141</v>
      </c>
      <c r="AH941" s="87">
        <v>0.0</v>
      </c>
      <c r="AI941" s="87">
        <v>22.3954</v>
      </c>
      <c r="AJ941" s="87">
        <v>15.01045</v>
      </c>
      <c r="AK941" s="87">
        <v>13.80265</v>
      </c>
      <c r="AL941" s="88" t="s">
        <v>1396</v>
      </c>
    </row>
    <row r="942">
      <c r="A942" s="84" t="s">
        <v>2658</v>
      </c>
      <c r="B942" s="84" t="s">
        <v>2659</v>
      </c>
      <c r="C942" s="84" t="s">
        <v>573</v>
      </c>
      <c r="D942" s="84" t="s">
        <v>588</v>
      </c>
      <c r="E942" s="84" t="s">
        <v>1403</v>
      </c>
      <c r="F942" s="87">
        <v>78.0</v>
      </c>
      <c r="G942" s="87">
        <v>3.0</v>
      </c>
      <c r="H942" s="87">
        <v>632.0</v>
      </c>
      <c r="I942" s="87">
        <v>632.0</v>
      </c>
      <c r="J942" s="87">
        <v>0.0</v>
      </c>
      <c r="K942" s="87">
        <v>0.0</v>
      </c>
      <c r="L942" s="87">
        <v>0.0</v>
      </c>
      <c r="M942" s="87">
        <v>0.0</v>
      </c>
      <c r="N942" s="87">
        <v>0.0</v>
      </c>
      <c r="O942" s="87">
        <v>0.0</v>
      </c>
      <c r="P942" s="87">
        <v>0.0</v>
      </c>
      <c r="Q942" s="87">
        <v>0.0</v>
      </c>
      <c r="R942" s="87">
        <v>0.0</v>
      </c>
      <c r="S942" s="87">
        <v>0.0</v>
      </c>
      <c r="T942" s="87">
        <v>0.0</v>
      </c>
      <c r="U942" s="87">
        <v>0.0</v>
      </c>
      <c r="V942" s="87">
        <v>0.0</v>
      </c>
      <c r="W942" s="87">
        <v>0.0</v>
      </c>
      <c r="X942" s="87">
        <v>0.0</v>
      </c>
      <c r="Y942" s="87">
        <v>0.0</v>
      </c>
      <c r="Z942" s="87">
        <v>0.0</v>
      </c>
      <c r="AA942" s="87">
        <v>11.02704</v>
      </c>
      <c r="AB942" s="87">
        <v>8.881344</v>
      </c>
      <c r="AC942" s="87">
        <v>16.4858</v>
      </c>
      <c r="AD942" s="87">
        <v>0.0</v>
      </c>
      <c r="AE942" s="87">
        <v>0.0</v>
      </c>
      <c r="AF942" s="87">
        <v>0.0</v>
      </c>
      <c r="AG942" s="87">
        <v>0.0</v>
      </c>
      <c r="AH942" s="87">
        <v>0.0</v>
      </c>
      <c r="AI942" s="87">
        <v>22.3954</v>
      </c>
      <c r="AJ942" s="87">
        <v>15.01045</v>
      </c>
      <c r="AK942" s="87">
        <v>13.80265</v>
      </c>
      <c r="AL942" s="88" t="s">
        <v>1396</v>
      </c>
    </row>
    <row r="943">
      <c r="A943" s="84" t="s">
        <v>2646</v>
      </c>
      <c r="B943" s="84" t="s">
        <v>2660</v>
      </c>
      <c r="C943" s="84" t="s">
        <v>573</v>
      </c>
      <c r="D943" s="84" t="s">
        <v>574</v>
      </c>
      <c r="E943" s="84" t="s">
        <v>1426</v>
      </c>
      <c r="F943" s="87">
        <v>6.0</v>
      </c>
      <c r="G943" s="87">
        <v>0.0</v>
      </c>
      <c r="H943" s="87">
        <v>5693.0</v>
      </c>
      <c r="I943" s="87">
        <v>0.0</v>
      </c>
      <c r="J943" s="87">
        <v>686.3879</v>
      </c>
      <c r="K943" s="87">
        <v>704.6912</v>
      </c>
      <c r="L943" s="87">
        <v>680.5618</v>
      </c>
      <c r="M943" s="87">
        <v>451.9721</v>
      </c>
      <c r="N943" s="87">
        <v>0.641376</v>
      </c>
      <c r="O943" s="87">
        <v>11.58764</v>
      </c>
      <c r="P943" s="87">
        <v>38.24032</v>
      </c>
      <c r="Q943" s="87">
        <v>38.24032</v>
      </c>
      <c r="R943" s="87">
        <v>156.1968</v>
      </c>
      <c r="S943" s="87">
        <v>186.7759</v>
      </c>
      <c r="T943" s="87">
        <v>11.58764</v>
      </c>
      <c r="U943" s="87">
        <v>38.24032</v>
      </c>
      <c r="V943" s="87">
        <v>38.24032</v>
      </c>
      <c r="W943" s="87">
        <v>156.1968</v>
      </c>
      <c r="X943" s="87">
        <v>186.7759</v>
      </c>
      <c r="Y943" s="87">
        <v>117.4485</v>
      </c>
      <c r="Z943" s="87">
        <v>0.0</v>
      </c>
      <c r="AA943" s="87">
        <v>24.97829</v>
      </c>
      <c r="AB943" s="87">
        <v>11.30455</v>
      </c>
      <c r="AC943" s="87">
        <v>2.982502</v>
      </c>
      <c r="AD943" s="87">
        <v>27.40054</v>
      </c>
      <c r="AE943" s="87">
        <v>50.06303</v>
      </c>
      <c r="AF943" s="87">
        <v>58.06657</v>
      </c>
      <c r="AG943" s="87">
        <v>73.22041</v>
      </c>
      <c r="AH943" s="87">
        <v>0.0</v>
      </c>
      <c r="AI943" s="87">
        <v>22.3954</v>
      </c>
      <c r="AJ943" s="87">
        <v>15.01045</v>
      </c>
      <c r="AK943" s="87">
        <v>13.80265</v>
      </c>
      <c r="AL943" s="88" t="s">
        <v>1396</v>
      </c>
    </row>
    <row r="944">
      <c r="A944" s="84" t="s">
        <v>2648</v>
      </c>
      <c r="B944" s="84" t="s">
        <v>2661</v>
      </c>
      <c r="C944" s="84" t="s">
        <v>573</v>
      </c>
      <c r="D944" s="84" t="s">
        <v>574</v>
      </c>
      <c r="E944" s="86">
        <v>46310.0</v>
      </c>
      <c r="F944" s="87">
        <v>6.0</v>
      </c>
      <c r="G944" s="87">
        <v>0.0</v>
      </c>
      <c r="H944" s="87">
        <v>46.0</v>
      </c>
      <c r="I944" s="87">
        <v>0.0</v>
      </c>
      <c r="J944" s="87">
        <v>5.871873</v>
      </c>
      <c r="K944" s="87">
        <v>17.89501</v>
      </c>
      <c r="L944" s="87">
        <v>22.2273</v>
      </c>
      <c r="M944" s="87">
        <v>17.89501</v>
      </c>
      <c r="N944" s="87">
        <v>1.0</v>
      </c>
      <c r="O944" s="87">
        <v>0.0</v>
      </c>
      <c r="P944" s="87">
        <v>0.0</v>
      </c>
      <c r="Q944" s="87">
        <v>0.0</v>
      </c>
      <c r="R944" s="87">
        <v>0.0</v>
      </c>
      <c r="S944" s="87">
        <v>8.663889</v>
      </c>
      <c r="T944" s="87">
        <v>8.663889</v>
      </c>
      <c r="U944" s="87">
        <v>8.663889</v>
      </c>
      <c r="V944" s="87">
        <v>8.663889</v>
      </c>
      <c r="W944" s="87">
        <v>9.231126</v>
      </c>
      <c r="X944" s="87">
        <v>9.231126</v>
      </c>
      <c r="Y944" s="87">
        <v>2.982502</v>
      </c>
      <c r="Z944" s="87">
        <v>0.0</v>
      </c>
      <c r="AA944" s="87">
        <v>24.97829</v>
      </c>
      <c r="AB944" s="87">
        <v>11.30455</v>
      </c>
      <c r="AC944" s="87">
        <v>2.982502</v>
      </c>
      <c r="AD944" s="87">
        <v>14.08066</v>
      </c>
      <c r="AE944" s="87">
        <v>25.75344</v>
      </c>
      <c r="AF944" s="87">
        <v>38.02622</v>
      </c>
      <c r="AG944" s="87">
        <v>23.65956</v>
      </c>
      <c r="AH944" s="87">
        <v>0.0</v>
      </c>
      <c r="AI944" s="87">
        <v>22.3954</v>
      </c>
      <c r="AJ944" s="87">
        <v>15.01045</v>
      </c>
      <c r="AK944" s="87">
        <v>13.80265</v>
      </c>
      <c r="AL944" s="88" t="s">
        <v>1396</v>
      </c>
    </row>
    <row r="945">
      <c r="A945" s="84" t="s">
        <v>2650</v>
      </c>
      <c r="B945" s="84" t="s">
        <v>2662</v>
      </c>
      <c r="C945" s="84" t="s">
        <v>573</v>
      </c>
      <c r="D945" s="84" t="s">
        <v>574</v>
      </c>
      <c r="E945" s="84" t="s">
        <v>1413</v>
      </c>
      <c r="F945" s="87">
        <v>6.0</v>
      </c>
      <c r="G945" s="87">
        <v>0.0</v>
      </c>
      <c r="H945" s="87">
        <v>658.0</v>
      </c>
      <c r="I945" s="87">
        <v>0.0</v>
      </c>
      <c r="J945" s="87">
        <v>13.53694</v>
      </c>
      <c r="K945" s="87">
        <v>17.04056</v>
      </c>
      <c r="L945" s="87">
        <v>17.74188</v>
      </c>
      <c r="M945" s="87">
        <v>16.28298</v>
      </c>
      <c r="N945" s="87">
        <v>0.955543</v>
      </c>
      <c r="O945" s="87">
        <v>0.0</v>
      </c>
      <c r="P945" s="87">
        <v>0.0</v>
      </c>
      <c r="Q945" s="87">
        <v>0.0</v>
      </c>
      <c r="R945" s="87">
        <v>0.757576</v>
      </c>
      <c r="S945" s="87">
        <v>7.055087</v>
      </c>
      <c r="T945" s="87">
        <v>0.757576</v>
      </c>
      <c r="U945" s="87">
        <v>0.757576</v>
      </c>
      <c r="V945" s="87">
        <v>0.757576</v>
      </c>
      <c r="W945" s="87">
        <v>7.055087</v>
      </c>
      <c r="X945" s="87">
        <v>9.227893</v>
      </c>
      <c r="Y945" s="87">
        <v>2.840093</v>
      </c>
      <c r="Z945" s="87">
        <v>0.0</v>
      </c>
      <c r="AA945" s="87">
        <v>24.97829</v>
      </c>
      <c r="AB945" s="87">
        <v>11.30455</v>
      </c>
      <c r="AC945" s="87">
        <v>2.982502</v>
      </c>
      <c r="AD945" s="87">
        <v>5.953594</v>
      </c>
      <c r="AE945" s="87">
        <v>10.01471</v>
      </c>
      <c r="AF945" s="87">
        <v>12.23075</v>
      </c>
      <c r="AG945" s="87">
        <v>4.074551</v>
      </c>
      <c r="AH945" s="87">
        <v>0.0</v>
      </c>
      <c r="AI945" s="87">
        <v>22.3954</v>
      </c>
      <c r="AJ945" s="87">
        <v>15.01045</v>
      </c>
      <c r="AK945" s="87">
        <v>13.80265</v>
      </c>
      <c r="AL945" s="88" t="s">
        <v>1396</v>
      </c>
    </row>
    <row r="946">
      <c r="A946" s="84" t="s">
        <v>2656</v>
      </c>
      <c r="B946" s="84" t="s">
        <v>2663</v>
      </c>
      <c r="C946" s="84" t="s">
        <v>573</v>
      </c>
      <c r="D946" s="84" t="s">
        <v>574</v>
      </c>
      <c r="E946" s="86">
        <v>46300.0</v>
      </c>
      <c r="F946" s="87">
        <v>10.0</v>
      </c>
      <c r="G946" s="87">
        <v>0.0</v>
      </c>
      <c r="H946" s="87">
        <v>23377.0</v>
      </c>
      <c r="I946" s="87">
        <v>0.0</v>
      </c>
      <c r="J946" s="87">
        <v>312.6292</v>
      </c>
      <c r="K946" s="87">
        <v>356.9141</v>
      </c>
      <c r="L946" s="87">
        <v>352.782</v>
      </c>
      <c r="M946" s="87">
        <v>254.6176</v>
      </c>
      <c r="N946" s="87">
        <v>0.713386</v>
      </c>
      <c r="O946" s="87">
        <v>0.0</v>
      </c>
      <c r="P946" s="87">
        <v>0.0</v>
      </c>
      <c r="Q946" s="87">
        <v>0.0</v>
      </c>
      <c r="R946" s="87">
        <v>21.92264</v>
      </c>
      <c r="S946" s="87">
        <v>48.72798</v>
      </c>
      <c r="T946" s="87">
        <v>6.667591</v>
      </c>
      <c r="U946" s="87">
        <v>21.92264</v>
      </c>
      <c r="V946" s="87">
        <v>21.92264</v>
      </c>
      <c r="W946" s="87">
        <v>48.72798</v>
      </c>
      <c r="X946" s="87">
        <v>70.79114</v>
      </c>
      <c r="Y946" s="87">
        <v>35.69141</v>
      </c>
      <c r="Z946" s="87">
        <v>0.0</v>
      </c>
      <c r="AA946" s="87">
        <v>24.97829</v>
      </c>
      <c r="AB946" s="87">
        <v>11.30455</v>
      </c>
      <c r="AC946" s="87">
        <v>2.982502</v>
      </c>
      <c r="AD946" s="87">
        <v>15.90924</v>
      </c>
      <c r="AE946" s="87">
        <v>25.32017</v>
      </c>
      <c r="AF946" s="87">
        <v>48.9939</v>
      </c>
      <c r="AG946" s="87">
        <v>35.69141</v>
      </c>
      <c r="AH946" s="87">
        <v>0.0</v>
      </c>
      <c r="AI946" s="87">
        <v>22.3954</v>
      </c>
      <c r="AJ946" s="87">
        <v>15.01045</v>
      </c>
      <c r="AK946" s="87">
        <v>13.80265</v>
      </c>
      <c r="AL946" s="88" t="s">
        <v>1396</v>
      </c>
    </row>
    <row r="947">
      <c r="A947" s="84" t="s">
        <v>2658</v>
      </c>
      <c r="B947" s="84" t="s">
        <v>2664</v>
      </c>
      <c r="C947" s="84" t="s">
        <v>573</v>
      </c>
      <c r="D947" s="84" t="s">
        <v>574</v>
      </c>
      <c r="E947" s="84" t="s">
        <v>1403</v>
      </c>
      <c r="F947" s="87">
        <v>69.0</v>
      </c>
      <c r="G947" s="87">
        <v>1.0</v>
      </c>
      <c r="H947" s="87">
        <v>20.0</v>
      </c>
      <c r="I947" s="87">
        <v>20.0</v>
      </c>
      <c r="J947" s="87">
        <v>0.0</v>
      </c>
      <c r="K947" s="87">
        <v>0.0</v>
      </c>
      <c r="L947" s="87">
        <v>0.0</v>
      </c>
      <c r="M947" s="87">
        <v>0.0</v>
      </c>
      <c r="N947" s="87">
        <v>0.0</v>
      </c>
      <c r="O947" s="87">
        <v>0.0</v>
      </c>
      <c r="P947" s="87">
        <v>0.0</v>
      </c>
      <c r="Q947" s="87">
        <v>0.0</v>
      </c>
      <c r="R947" s="87">
        <v>0.0</v>
      </c>
      <c r="S947" s="87">
        <v>0.0</v>
      </c>
      <c r="T947" s="87">
        <v>0.0</v>
      </c>
      <c r="U947" s="87">
        <v>0.0</v>
      </c>
      <c r="V947" s="87">
        <v>0.0</v>
      </c>
      <c r="W947" s="87">
        <v>0.0</v>
      </c>
      <c r="X947" s="87">
        <v>0.0</v>
      </c>
      <c r="Y947" s="87">
        <v>0.0</v>
      </c>
      <c r="Z947" s="87">
        <v>0.0</v>
      </c>
      <c r="AA947" s="87">
        <v>24.97829</v>
      </c>
      <c r="AB947" s="87">
        <v>11.30455</v>
      </c>
      <c r="AC947" s="87">
        <v>2.982502</v>
      </c>
      <c r="AD947" s="87">
        <v>0.0</v>
      </c>
      <c r="AE947" s="87">
        <v>0.0</v>
      </c>
      <c r="AF947" s="87">
        <v>0.0</v>
      </c>
      <c r="AG947" s="87">
        <v>0.0</v>
      </c>
      <c r="AH947" s="87">
        <v>0.0</v>
      </c>
      <c r="AI947" s="87">
        <v>22.3954</v>
      </c>
      <c r="AJ947" s="87">
        <v>15.01045</v>
      </c>
      <c r="AK947" s="87">
        <v>13.80265</v>
      </c>
      <c r="AL947" s="88" t="s">
        <v>1396</v>
      </c>
    </row>
    <row r="948">
      <c r="A948" s="84" t="s">
        <v>2646</v>
      </c>
      <c r="B948" s="84" t="s">
        <v>2665</v>
      </c>
      <c r="C948" s="84" t="s">
        <v>573</v>
      </c>
      <c r="D948" s="84" t="s">
        <v>2666</v>
      </c>
      <c r="E948" s="84" t="s">
        <v>1426</v>
      </c>
      <c r="F948" s="87">
        <v>14.0</v>
      </c>
      <c r="G948" s="87">
        <v>0.0</v>
      </c>
      <c r="H948" s="87">
        <v>7876.0</v>
      </c>
      <c r="I948" s="87">
        <v>0.0</v>
      </c>
      <c r="J948" s="87">
        <v>220.2381</v>
      </c>
      <c r="K948" s="87">
        <v>280.7305</v>
      </c>
      <c r="L948" s="87">
        <v>245.6778</v>
      </c>
      <c r="M948" s="87">
        <v>175.351</v>
      </c>
      <c r="N948" s="87">
        <v>0.624624</v>
      </c>
      <c r="O948" s="87">
        <v>1.0</v>
      </c>
      <c r="P948" s="87">
        <v>1.801054</v>
      </c>
      <c r="Q948" s="87">
        <v>4.807992</v>
      </c>
      <c r="R948" s="87">
        <v>14.86349</v>
      </c>
      <c r="S948" s="87">
        <v>22.13812</v>
      </c>
      <c r="T948" s="87">
        <v>1.801054</v>
      </c>
      <c r="U948" s="87">
        <v>3.896944</v>
      </c>
      <c r="V948" s="87">
        <v>4.807992</v>
      </c>
      <c r="W948" s="87">
        <v>14.86349</v>
      </c>
      <c r="X948" s="87">
        <v>23.97106</v>
      </c>
      <c r="Y948" s="87">
        <v>20.05218</v>
      </c>
      <c r="Z948" s="87">
        <v>0.0</v>
      </c>
      <c r="AA948" s="87">
        <v>18.62787</v>
      </c>
      <c r="AB948" s="87">
        <v>6.883822</v>
      </c>
      <c r="AC948" s="87">
        <v>20.05218</v>
      </c>
      <c r="AD948" s="87">
        <v>27.40054</v>
      </c>
      <c r="AE948" s="87">
        <v>50.06303</v>
      </c>
      <c r="AF948" s="87">
        <v>58.06657</v>
      </c>
      <c r="AG948" s="87">
        <v>73.22041</v>
      </c>
      <c r="AH948" s="87">
        <v>0.0</v>
      </c>
      <c r="AI948" s="87">
        <v>22.3954</v>
      </c>
      <c r="AJ948" s="87">
        <v>15.01045</v>
      </c>
      <c r="AK948" s="87">
        <v>13.80265</v>
      </c>
      <c r="AL948" s="88" t="s">
        <v>1396</v>
      </c>
    </row>
    <row r="949">
      <c r="A949" s="84" t="s">
        <v>2648</v>
      </c>
      <c r="B949" s="84" t="s">
        <v>2667</v>
      </c>
      <c r="C949" s="84" t="s">
        <v>573</v>
      </c>
      <c r="D949" s="84" t="s">
        <v>2666</v>
      </c>
      <c r="E949" s="86">
        <v>46310.0</v>
      </c>
      <c r="F949" s="87">
        <v>2.0</v>
      </c>
      <c r="G949" s="87">
        <v>0.0</v>
      </c>
      <c r="H949" s="87">
        <v>4925.0</v>
      </c>
      <c r="I949" s="87">
        <v>0.0</v>
      </c>
      <c r="J949" s="87">
        <v>66.3207</v>
      </c>
      <c r="K949" s="87">
        <v>67.84731</v>
      </c>
      <c r="L949" s="87">
        <v>67.07411</v>
      </c>
      <c r="M949" s="87">
        <v>45.16394</v>
      </c>
      <c r="N949" s="87">
        <v>0.66567</v>
      </c>
      <c r="O949" s="87">
        <v>22.68337</v>
      </c>
      <c r="P949" s="87">
        <v>22.68337</v>
      </c>
      <c r="Q949" s="87">
        <v>22.68337</v>
      </c>
      <c r="R949" s="87">
        <v>45.16394</v>
      </c>
      <c r="S949" s="87">
        <v>45.16394</v>
      </c>
      <c r="T949" s="87">
        <v>22.68337</v>
      </c>
      <c r="U949" s="87">
        <v>22.68337</v>
      </c>
      <c r="V949" s="87">
        <v>22.68337</v>
      </c>
      <c r="W949" s="87">
        <v>45.16394</v>
      </c>
      <c r="X949" s="87">
        <v>45.16394</v>
      </c>
      <c r="Y949" s="87">
        <v>33.92365</v>
      </c>
      <c r="Z949" s="87">
        <v>0.0</v>
      </c>
      <c r="AA949" s="87">
        <v>18.62787</v>
      </c>
      <c r="AB949" s="87">
        <v>6.883822</v>
      </c>
      <c r="AC949" s="87">
        <v>20.05218</v>
      </c>
      <c r="AD949" s="87">
        <v>14.08066</v>
      </c>
      <c r="AE949" s="87">
        <v>25.75344</v>
      </c>
      <c r="AF949" s="87">
        <v>38.02622</v>
      </c>
      <c r="AG949" s="87">
        <v>23.65956</v>
      </c>
      <c r="AH949" s="87">
        <v>0.0</v>
      </c>
      <c r="AI949" s="87">
        <v>22.3954</v>
      </c>
      <c r="AJ949" s="87">
        <v>15.01045</v>
      </c>
      <c r="AK949" s="87">
        <v>13.80265</v>
      </c>
      <c r="AL949" s="88" t="s">
        <v>1396</v>
      </c>
    </row>
    <row r="950">
      <c r="A950" s="84" t="s">
        <v>2650</v>
      </c>
      <c r="B950" s="84" t="s">
        <v>2668</v>
      </c>
      <c r="C950" s="84" t="s">
        <v>573</v>
      </c>
      <c r="D950" s="84" t="s">
        <v>2666</v>
      </c>
      <c r="E950" s="84" t="s">
        <v>1413</v>
      </c>
      <c r="F950" s="87">
        <v>2.0</v>
      </c>
      <c r="G950" s="87">
        <v>0.0</v>
      </c>
      <c r="H950" s="87">
        <v>208.0</v>
      </c>
      <c r="I950" s="87">
        <v>0.0</v>
      </c>
      <c r="J950" s="87">
        <v>5.86307</v>
      </c>
      <c r="K950" s="87">
        <v>8.149101</v>
      </c>
      <c r="L950" s="87">
        <v>5.016001</v>
      </c>
      <c r="M950" s="87">
        <v>7.227027</v>
      </c>
      <c r="N950" s="87">
        <v>0.88685</v>
      </c>
      <c r="O950" s="87">
        <v>0.922074</v>
      </c>
      <c r="P950" s="87">
        <v>0.922074</v>
      </c>
      <c r="Q950" s="87">
        <v>0.922074</v>
      </c>
      <c r="R950" s="87">
        <v>7.227027</v>
      </c>
      <c r="S950" s="87">
        <v>7.227027</v>
      </c>
      <c r="T950" s="87">
        <v>0.922074</v>
      </c>
      <c r="U950" s="87">
        <v>0.922074</v>
      </c>
      <c r="V950" s="87">
        <v>0.922074</v>
      </c>
      <c r="W950" s="87">
        <v>7.227027</v>
      </c>
      <c r="X950" s="87">
        <v>7.227027</v>
      </c>
      <c r="Y950" s="87">
        <v>4.074551</v>
      </c>
      <c r="Z950" s="87">
        <v>0.0</v>
      </c>
      <c r="AA950" s="87">
        <v>18.62787</v>
      </c>
      <c r="AB950" s="87">
        <v>6.883822</v>
      </c>
      <c r="AC950" s="87">
        <v>20.05218</v>
      </c>
      <c r="AD950" s="87">
        <v>5.953594</v>
      </c>
      <c r="AE950" s="87">
        <v>10.01471</v>
      </c>
      <c r="AF950" s="87">
        <v>12.23075</v>
      </c>
      <c r="AG950" s="87">
        <v>4.074551</v>
      </c>
      <c r="AH950" s="87">
        <v>0.0</v>
      </c>
      <c r="AI950" s="87">
        <v>22.3954</v>
      </c>
      <c r="AJ950" s="87">
        <v>15.01045</v>
      </c>
      <c r="AK950" s="87">
        <v>13.80265</v>
      </c>
      <c r="AL950" s="88" t="s">
        <v>1396</v>
      </c>
    </row>
    <row r="951">
      <c r="A951" s="84" t="s">
        <v>2656</v>
      </c>
      <c r="B951" s="84" t="s">
        <v>2669</v>
      </c>
      <c r="C951" s="84" t="s">
        <v>573</v>
      </c>
      <c r="D951" s="84" t="s">
        <v>2666</v>
      </c>
      <c r="E951" s="86">
        <v>46300.0</v>
      </c>
      <c r="F951" s="87">
        <v>19.0</v>
      </c>
      <c r="G951" s="87">
        <v>0.0</v>
      </c>
      <c r="H951" s="87">
        <v>18181.0</v>
      </c>
      <c r="I951" s="87">
        <v>0.0</v>
      </c>
      <c r="J951" s="87">
        <v>658.2804</v>
      </c>
      <c r="K951" s="87">
        <v>641.4273</v>
      </c>
      <c r="L951" s="87">
        <v>679.2313</v>
      </c>
      <c r="M951" s="87">
        <v>484.2286</v>
      </c>
      <c r="N951" s="87">
        <v>0.754924</v>
      </c>
      <c r="O951" s="87">
        <v>0.0</v>
      </c>
      <c r="P951" s="87">
        <v>0.0</v>
      </c>
      <c r="Q951" s="87">
        <v>0.514286</v>
      </c>
      <c r="R951" s="87">
        <v>4.779427</v>
      </c>
      <c r="S951" s="87">
        <v>37.1678</v>
      </c>
      <c r="T951" s="87">
        <v>0.514286</v>
      </c>
      <c r="U951" s="87">
        <v>3.328822</v>
      </c>
      <c r="V951" s="87">
        <v>3.703662</v>
      </c>
      <c r="W951" s="87">
        <v>23.29213</v>
      </c>
      <c r="X951" s="87">
        <v>42.47269</v>
      </c>
      <c r="Y951" s="87">
        <v>33.75933</v>
      </c>
      <c r="Z951" s="87">
        <v>0.0</v>
      </c>
      <c r="AA951" s="87">
        <v>18.62787</v>
      </c>
      <c r="AB951" s="87">
        <v>6.883822</v>
      </c>
      <c r="AC951" s="87">
        <v>20.05218</v>
      </c>
      <c r="AD951" s="87">
        <v>15.90924</v>
      </c>
      <c r="AE951" s="87">
        <v>25.32017</v>
      </c>
      <c r="AF951" s="87">
        <v>48.9939</v>
      </c>
      <c r="AG951" s="87">
        <v>35.69141</v>
      </c>
      <c r="AH951" s="87">
        <v>0.0</v>
      </c>
      <c r="AI951" s="87">
        <v>22.3954</v>
      </c>
      <c r="AJ951" s="87">
        <v>15.01045</v>
      </c>
      <c r="AK951" s="87">
        <v>13.80265</v>
      </c>
      <c r="AL951" s="88" t="s">
        <v>1396</v>
      </c>
    </row>
    <row r="952">
      <c r="A952" s="84" t="s">
        <v>2658</v>
      </c>
      <c r="B952" s="84" t="s">
        <v>2670</v>
      </c>
      <c r="C952" s="84" t="s">
        <v>573</v>
      </c>
      <c r="D952" s="84" t="s">
        <v>2666</v>
      </c>
      <c r="E952" s="84" t="s">
        <v>1403</v>
      </c>
      <c r="F952" s="87">
        <v>108.0</v>
      </c>
      <c r="G952" s="87">
        <v>9.0</v>
      </c>
      <c r="H952" s="87">
        <v>1293.0</v>
      </c>
      <c r="I952" s="87">
        <v>1293.0</v>
      </c>
      <c r="J952" s="87">
        <v>0.0</v>
      </c>
      <c r="K952" s="87">
        <v>0.0</v>
      </c>
      <c r="L952" s="87">
        <v>0.0</v>
      </c>
      <c r="M952" s="87">
        <v>0.0</v>
      </c>
      <c r="N952" s="87">
        <v>0.0</v>
      </c>
      <c r="O952" s="87">
        <v>0.0</v>
      </c>
      <c r="P952" s="87">
        <v>0.0</v>
      </c>
      <c r="Q952" s="87">
        <v>0.0</v>
      </c>
      <c r="R952" s="87">
        <v>0.0</v>
      </c>
      <c r="S952" s="87">
        <v>0.0</v>
      </c>
      <c r="T952" s="87">
        <v>0.0</v>
      </c>
      <c r="U952" s="87">
        <v>0.0</v>
      </c>
      <c r="V952" s="87">
        <v>0.0</v>
      </c>
      <c r="W952" s="87">
        <v>0.0</v>
      </c>
      <c r="X952" s="87">
        <v>0.0</v>
      </c>
      <c r="Y952" s="87">
        <v>0.0</v>
      </c>
      <c r="Z952" s="87">
        <v>0.0</v>
      </c>
      <c r="AA952" s="87">
        <v>18.62787</v>
      </c>
      <c r="AB952" s="87">
        <v>6.883822</v>
      </c>
      <c r="AC952" s="87">
        <v>20.05218</v>
      </c>
      <c r="AD952" s="87">
        <v>0.0</v>
      </c>
      <c r="AE952" s="87">
        <v>0.0</v>
      </c>
      <c r="AF952" s="87">
        <v>0.0</v>
      </c>
      <c r="AG952" s="87">
        <v>0.0</v>
      </c>
      <c r="AH952" s="87">
        <v>0.0</v>
      </c>
      <c r="AI952" s="87">
        <v>22.3954</v>
      </c>
      <c r="AJ952" s="87">
        <v>15.01045</v>
      </c>
      <c r="AK952" s="87">
        <v>13.80265</v>
      </c>
      <c r="AL952" s="88" t="s">
        <v>1396</v>
      </c>
    </row>
    <row r="953">
      <c r="A953" s="84" t="s">
        <v>2646</v>
      </c>
      <c r="B953" s="84" t="s">
        <v>2671</v>
      </c>
      <c r="C953" s="84" t="s">
        <v>573</v>
      </c>
      <c r="D953" s="84" t="s">
        <v>582</v>
      </c>
      <c r="E953" s="84" t="s">
        <v>1426</v>
      </c>
      <c r="F953" s="87">
        <v>14.0</v>
      </c>
      <c r="G953" s="87">
        <v>0.0</v>
      </c>
      <c r="H953" s="87">
        <v>30670.0</v>
      </c>
      <c r="I953" s="87">
        <v>0.0</v>
      </c>
      <c r="J953" s="87">
        <v>1195.963</v>
      </c>
      <c r="K953" s="87">
        <v>1212.056</v>
      </c>
      <c r="L953" s="87">
        <v>1248.858</v>
      </c>
      <c r="M953" s="87">
        <v>640.1004</v>
      </c>
      <c r="N953" s="87">
        <v>0.528111</v>
      </c>
      <c r="O953" s="87">
        <v>0.0</v>
      </c>
      <c r="P953" s="87">
        <v>28.02313</v>
      </c>
      <c r="Q953" s="87">
        <v>40.19155</v>
      </c>
      <c r="R953" s="87">
        <v>74.50869</v>
      </c>
      <c r="S953" s="87">
        <v>92.22879</v>
      </c>
      <c r="T953" s="87">
        <v>31.16845</v>
      </c>
      <c r="U953" s="87">
        <v>40.19155</v>
      </c>
      <c r="V953" s="87">
        <v>43.88738</v>
      </c>
      <c r="W953" s="87">
        <v>81.41861</v>
      </c>
      <c r="X953" s="87">
        <v>111.4909</v>
      </c>
      <c r="Y953" s="87">
        <v>86.57545</v>
      </c>
      <c r="Z953" s="87">
        <v>0.0</v>
      </c>
      <c r="AA953" s="87">
        <v>22.86821</v>
      </c>
      <c r="AB953" s="87">
        <v>13.56974</v>
      </c>
      <c r="AC953" s="87">
        <v>16.03911</v>
      </c>
      <c r="AD953" s="87">
        <v>27.40054</v>
      </c>
      <c r="AE953" s="87">
        <v>50.06303</v>
      </c>
      <c r="AF953" s="87">
        <v>58.06657</v>
      </c>
      <c r="AG953" s="87">
        <v>73.22041</v>
      </c>
      <c r="AH953" s="87">
        <v>0.0</v>
      </c>
      <c r="AI953" s="87">
        <v>22.3954</v>
      </c>
      <c r="AJ953" s="87">
        <v>15.01045</v>
      </c>
      <c r="AK953" s="87">
        <v>13.80265</v>
      </c>
      <c r="AL953" s="88" t="s">
        <v>1396</v>
      </c>
    </row>
    <row r="954">
      <c r="A954" s="84" t="s">
        <v>2648</v>
      </c>
      <c r="B954" s="84" t="s">
        <v>2672</v>
      </c>
      <c r="C954" s="84" t="s">
        <v>573</v>
      </c>
      <c r="D954" s="84" t="s">
        <v>582</v>
      </c>
      <c r="E954" s="89">
        <v>46310.0</v>
      </c>
      <c r="F954" s="87">
        <v>28.0</v>
      </c>
      <c r="G954" s="87">
        <v>0.0</v>
      </c>
      <c r="H954" s="87">
        <v>12125.0</v>
      </c>
      <c r="I954" s="87">
        <v>0.0</v>
      </c>
      <c r="J954" s="87">
        <v>443.9336</v>
      </c>
      <c r="K954" s="87">
        <v>449.095</v>
      </c>
      <c r="L954" s="87">
        <v>425.9289</v>
      </c>
      <c r="M954" s="87">
        <v>291.1778</v>
      </c>
      <c r="N954" s="87">
        <v>0.648366</v>
      </c>
      <c r="O954" s="87">
        <v>0.0</v>
      </c>
      <c r="P954" s="87">
        <v>0.0</v>
      </c>
      <c r="Q954" s="87">
        <v>0.0</v>
      </c>
      <c r="R954" s="87">
        <v>11.00078</v>
      </c>
      <c r="S954" s="87">
        <v>17.40411</v>
      </c>
      <c r="T954" s="87">
        <v>7.353783</v>
      </c>
      <c r="U954" s="87">
        <v>10.96876</v>
      </c>
      <c r="V954" s="87">
        <v>11.70662</v>
      </c>
      <c r="W954" s="87">
        <v>17.40411</v>
      </c>
      <c r="X954" s="87">
        <v>22.86821</v>
      </c>
      <c r="Y954" s="87">
        <v>16.03911</v>
      </c>
      <c r="Z954" s="87">
        <v>0.0</v>
      </c>
      <c r="AA954" s="87">
        <v>22.86821</v>
      </c>
      <c r="AB954" s="87">
        <v>13.56974</v>
      </c>
      <c r="AC954" s="87">
        <v>16.03911</v>
      </c>
      <c r="AD954" s="87">
        <v>14.08066</v>
      </c>
      <c r="AE954" s="87">
        <v>25.75344</v>
      </c>
      <c r="AF954" s="87">
        <v>38.02622</v>
      </c>
      <c r="AG954" s="87">
        <v>23.65956</v>
      </c>
      <c r="AH954" s="87">
        <v>0.0</v>
      </c>
      <c r="AI954" s="87">
        <v>22.3954</v>
      </c>
      <c r="AJ954" s="87">
        <v>15.01045</v>
      </c>
      <c r="AK954" s="87">
        <v>13.80265</v>
      </c>
      <c r="AL954" s="88" t="s">
        <v>1396</v>
      </c>
    </row>
    <row r="955">
      <c r="A955" s="84" t="s">
        <v>2650</v>
      </c>
      <c r="B955" s="84" t="s">
        <v>2673</v>
      </c>
      <c r="C955" s="84" t="s">
        <v>573</v>
      </c>
      <c r="D955" s="84" t="s">
        <v>582</v>
      </c>
      <c r="E955" s="84" t="s">
        <v>1413</v>
      </c>
      <c r="F955" s="87">
        <v>13.0</v>
      </c>
      <c r="G955" s="87">
        <v>0.0</v>
      </c>
      <c r="H955" s="87">
        <v>2298.0</v>
      </c>
      <c r="I955" s="87">
        <v>0.0</v>
      </c>
      <c r="J955" s="87">
        <v>93.76546</v>
      </c>
      <c r="K955" s="87">
        <v>91.14303</v>
      </c>
      <c r="L955" s="87">
        <v>85.3197</v>
      </c>
      <c r="M955" s="87">
        <v>57.75845</v>
      </c>
      <c r="N955" s="87">
        <v>0.633712</v>
      </c>
      <c r="O955" s="87">
        <v>0.0</v>
      </c>
      <c r="P955" s="87">
        <v>0.0</v>
      </c>
      <c r="Q955" s="87">
        <v>0.0</v>
      </c>
      <c r="R955" s="87">
        <v>2.0</v>
      </c>
      <c r="S955" s="87">
        <v>13.22529</v>
      </c>
      <c r="T955" s="87">
        <v>2.0</v>
      </c>
      <c r="U955" s="87">
        <v>5.5</v>
      </c>
      <c r="V955" s="87">
        <v>12.6593</v>
      </c>
      <c r="W955" s="87">
        <v>13.22529</v>
      </c>
      <c r="X955" s="87">
        <v>14.80216</v>
      </c>
      <c r="Y955" s="87">
        <v>7.011002</v>
      </c>
      <c r="Z955" s="87">
        <v>0.0</v>
      </c>
      <c r="AA955" s="87">
        <v>22.86821</v>
      </c>
      <c r="AB955" s="87">
        <v>13.56974</v>
      </c>
      <c r="AC955" s="87">
        <v>16.03911</v>
      </c>
      <c r="AD955" s="87">
        <v>5.953594</v>
      </c>
      <c r="AE955" s="87">
        <v>10.01471</v>
      </c>
      <c r="AF955" s="87">
        <v>12.23075</v>
      </c>
      <c r="AG955" s="87">
        <v>4.074551</v>
      </c>
      <c r="AH955" s="87">
        <v>0.0</v>
      </c>
      <c r="AI955" s="87">
        <v>22.3954</v>
      </c>
      <c r="AJ955" s="87">
        <v>15.01045</v>
      </c>
      <c r="AK955" s="87">
        <v>13.80265</v>
      </c>
      <c r="AL955" s="88" t="s">
        <v>1396</v>
      </c>
    </row>
    <row r="956">
      <c r="A956" s="84" t="s">
        <v>2654</v>
      </c>
      <c r="B956" s="84" t="s">
        <v>2674</v>
      </c>
      <c r="C956" s="84" t="s">
        <v>573</v>
      </c>
      <c r="D956" s="84" t="s">
        <v>582</v>
      </c>
      <c r="E956" s="84" t="s">
        <v>1400</v>
      </c>
      <c r="F956" s="87">
        <v>3.0</v>
      </c>
      <c r="G956" s="87">
        <v>0.0</v>
      </c>
      <c r="H956" s="87">
        <v>0.0</v>
      </c>
      <c r="I956" s="87">
        <v>0.0</v>
      </c>
      <c r="J956" s="87">
        <v>0.0</v>
      </c>
      <c r="K956" s="87">
        <v>0.0</v>
      </c>
      <c r="L956" s="87">
        <v>0.0</v>
      </c>
      <c r="M956" s="87">
        <v>0.0</v>
      </c>
      <c r="N956" s="87">
        <v>0.0</v>
      </c>
      <c r="O956" s="87">
        <v>0.0</v>
      </c>
      <c r="P956" s="87">
        <v>0.0</v>
      </c>
      <c r="Q956" s="87">
        <v>0.0</v>
      </c>
      <c r="R956" s="87">
        <v>0.0</v>
      </c>
      <c r="S956" s="87">
        <v>0.0</v>
      </c>
      <c r="T956" s="87">
        <v>0.0</v>
      </c>
      <c r="U956" s="87">
        <v>0.0</v>
      </c>
      <c r="V956" s="87">
        <v>0.0</v>
      </c>
      <c r="W956" s="87">
        <v>0.0</v>
      </c>
      <c r="X956" s="87">
        <v>0.0</v>
      </c>
      <c r="Y956" s="87">
        <v>0.0</v>
      </c>
      <c r="Z956" s="87">
        <v>0.0</v>
      </c>
      <c r="AA956" s="87">
        <v>22.86821</v>
      </c>
      <c r="AB956" s="87">
        <v>13.56974</v>
      </c>
      <c r="AC956" s="87">
        <v>16.03911</v>
      </c>
      <c r="AD956" s="87">
        <v>3.290767</v>
      </c>
      <c r="AE956" s="87">
        <v>7.822324</v>
      </c>
      <c r="AF956" s="87">
        <v>12.21202</v>
      </c>
      <c r="AG956" s="87">
        <v>13.70559</v>
      </c>
      <c r="AH956" s="87">
        <v>0.0</v>
      </c>
      <c r="AI956" s="87">
        <v>22.3954</v>
      </c>
      <c r="AJ956" s="87">
        <v>15.01045</v>
      </c>
      <c r="AK956" s="87">
        <v>13.80265</v>
      </c>
      <c r="AL956" s="88" t="s">
        <v>1396</v>
      </c>
    </row>
    <row r="957">
      <c r="A957" s="84" t="s">
        <v>2656</v>
      </c>
      <c r="B957" s="84" t="s">
        <v>2675</v>
      </c>
      <c r="C957" s="84" t="s">
        <v>573</v>
      </c>
      <c r="D957" s="84" t="s">
        <v>582</v>
      </c>
      <c r="E957" s="86">
        <v>46300.0</v>
      </c>
      <c r="F957" s="87">
        <v>53.0</v>
      </c>
      <c r="G957" s="87">
        <v>0.0</v>
      </c>
      <c r="H957" s="87">
        <v>64700.0</v>
      </c>
      <c r="I957" s="87">
        <v>0.0</v>
      </c>
      <c r="J957" s="87">
        <v>1670.111</v>
      </c>
      <c r="K957" s="87">
        <v>1707.989</v>
      </c>
      <c r="L957" s="87">
        <v>1654.974</v>
      </c>
      <c r="M957" s="87">
        <v>1154.072</v>
      </c>
      <c r="N957" s="87">
        <v>0.67569</v>
      </c>
      <c r="O957" s="87">
        <v>0.0</v>
      </c>
      <c r="P957" s="87">
        <v>0.0</v>
      </c>
      <c r="Q957" s="87">
        <v>0.475</v>
      </c>
      <c r="R957" s="87">
        <v>15.80403</v>
      </c>
      <c r="S957" s="87">
        <v>39.07988</v>
      </c>
      <c r="T957" s="87">
        <v>2.184524</v>
      </c>
      <c r="U957" s="87">
        <v>15.47195</v>
      </c>
      <c r="V957" s="87">
        <v>15.70056</v>
      </c>
      <c r="W957" s="87">
        <v>30.14088</v>
      </c>
      <c r="X957" s="87">
        <v>48.57557</v>
      </c>
      <c r="Y957" s="87">
        <v>32.22621</v>
      </c>
      <c r="Z957" s="87">
        <v>0.0</v>
      </c>
      <c r="AA957" s="87">
        <v>22.86821</v>
      </c>
      <c r="AB957" s="87">
        <v>13.56974</v>
      </c>
      <c r="AC957" s="87">
        <v>16.03911</v>
      </c>
      <c r="AD957" s="87">
        <v>15.90924</v>
      </c>
      <c r="AE957" s="87">
        <v>25.32017</v>
      </c>
      <c r="AF957" s="87">
        <v>48.9939</v>
      </c>
      <c r="AG957" s="87">
        <v>35.69141</v>
      </c>
      <c r="AH957" s="87">
        <v>0.0</v>
      </c>
      <c r="AI957" s="87">
        <v>22.3954</v>
      </c>
      <c r="AJ957" s="87">
        <v>15.01045</v>
      </c>
      <c r="AK957" s="87">
        <v>13.80265</v>
      </c>
      <c r="AL957" s="88" t="s">
        <v>1396</v>
      </c>
    </row>
    <row r="958">
      <c r="A958" s="84" t="s">
        <v>2658</v>
      </c>
      <c r="B958" s="84" t="s">
        <v>2676</v>
      </c>
      <c r="C958" s="84" t="s">
        <v>573</v>
      </c>
      <c r="D958" s="84" t="s">
        <v>582</v>
      </c>
      <c r="E958" s="84" t="s">
        <v>1403</v>
      </c>
      <c r="F958" s="87">
        <v>144.0</v>
      </c>
      <c r="G958" s="87">
        <v>2.0</v>
      </c>
      <c r="H958" s="87">
        <v>88.0</v>
      </c>
      <c r="I958" s="87">
        <v>88.0</v>
      </c>
      <c r="J958" s="87">
        <v>0.0</v>
      </c>
      <c r="K958" s="87">
        <v>0.0</v>
      </c>
      <c r="L958" s="87">
        <v>0.0</v>
      </c>
      <c r="M958" s="87">
        <v>0.0</v>
      </c>
      <c r="N958" s="87">
        <v>0.0</v>
      </c>
      <c r="O958" s="87">
        <v>0.0</v>
      </c>
      <c r="P958" s="87">
        <v>0.0</v>
      </c>
      <c r="Q958" s="87">
        <v>0.0</v>
      </c>
      <c r="R958" s="87">
        <v>0.0</v>
      </c>
      <c r="S958" s="87">
        <v>0.0</v>
      </c>
      <c r="T958" s="87">
        <v>0.0</v>
      </c>
      <c r="U958" s="87">
        <v>0.0</v>
      </c>
      <c r="V958" s="87">
        <v>0.0</v>
      </c>
      <c r="W958" s="87">
        <v>0.0</v>
      </c>
      <c r="X958" s="87">
        <v>0.0</v>
      </c>
      <c r="Y958" s="87">
        <v>0.0</v>
      </c>
      <c r="Z958" s="87">
        <v>0.0</v>
      </c>
      <c r="AA958" s="87">
        <v>22.86821</v>
      </c>
      <c r="AB958" s="87">
        <v>13.56974</v>
      </c>
      <c r="AC958" s="87">
        <v>16.03911</v>
      </c>
      <c r="AD958" s="87">
        <v>0.0</v>
      </c>
      <c r="AE958" s="87">
        <v>0.0</v>
      </c>
      <c r="AF958" s="87">
        <v>0.0</v>
      </c>
      <c r="AG958" s="87">
        <v>0.0</v>
      </c>
      <c r="AH958" s="87">
        <v>0.0</v>
      </c>
      <c r="AI958" s="87">
        <v>22.3954</v>
      </c>
      <c r="AJ958" s="87">
        <v>15.01045</v>
      </c>
      <c r="AK958" s="87">
        <v>13.80265</v>
      </c>
      <c r="AL958" s="88" t="s">
        <v>1396</v>
      </c>
    </row>
    <row r="959">
      <c r="A959" s="84" t="s">
        <v>2646</v>
      </c>
      <c r="B959" s="84" t="s">
        <v>2677</v>
      </c>
      <c r="C959" s="84" t="s">
        <v>573</v>
      </c>
      <c r="D959" s="84" t="s">
        <v>2678</v>
      </c>
      <c r="E959" s="84" t="s">
        <v>1426</v>
      </c>
      <c r="F959" s="87">
        <v>5.0</v>
      </c>
      <c r="G959" s="87">
        <v>0.0</v>
      </c>
      <c r="H959" s="87">
        <v>1586.0</v>
      </c>
      <c r="I959" s="87">
        <v>0.0</v>
      </c>
      <c r="J959" s="87">
        <v>447.7159</v>
      </c>
      <c r="K959" s="87">
        <v>463.6417</v>
      </c>
      <c r="L959" s="87">
        <v>480.226</v>
      </c>
      <c r="M959" s="87">
        <v>264.2262</v>
      </c>
      <c r="N959" s="87">
        <v>0.569893</v>
      </c>
      <c r="O959" s="87">
        <v>0.0</v>
      </c>
      <c r="P959" s="87">
        <v>0.0</v>
      </c>
      <c r="Q959" s="87">
        <v>0.0</v>
      </c>
      <c r="R959" s="87">
        <v>50.06303</v>
      </c>
      <c r="S959" s="87">
        <v>149.3525</v>
      </c>
      <c r="T959" s="87">
        <v>50.06303</v>
      </c>
      <c r="U959" s="87">
        <v>50.06303</v>
      </c>
      <c r="V959" s="87">
        <v>50.06303</v>
      </c>
      <c r="W959" s="87">
        <v>149.3525</v>
      </c>
      <c r="X959" s="87">
        <v>264.2262</v>
      </c>
      <c r="Y959" s="87">
        <v>92.72833</v>
      </c>
      <c r="Z959" s="87">
        <v>0.0</v>
      </c>
      <c r="AA959" s="87">
        <v>50.72845</v>
      </c>
      <c r="AB959" s="87">
        <v>45.09672</v>
      </c>
      <c r="AC959" s="87">
        <v>92.72833</v>
      </c>
      <c r="AD959" s="87">
        <v>27.40054</v>
      </c>
      <c r="AE959" s="87">
        <v>50.06303</v>
      </c>
      <c r="AF959" s="87">
        <v>58.06657</v>
      </c>
      <c r="AG959" s="87">
        <v>73.22041</v>
      </c>
      <c r="AH959" s="87">
        <v>0.0</v>
      </c>
      <c r="AI959" s="87">
        <v>22.3954</v>
      </c>
      <c r="AJ959" s="87">
        <v>15.01045</v>
      </c>
      <c r="AK959" s="87">
        <v>13.80265</v>
      </c>
      <c r="AL959" s="88" t="s">
        <v>1396</v>
      </c>
    </row>
    <row r="960">
      <c r="A960" s="84" t="s">
        <v>2648</v>
      </c>
      <c r="B960" s="84" t="s">
        <v>2679</v>
      </c>
      <c r="C960" s="84" t="s">
        <v>573</v>
      </c>
      <c r="D960" s="84" t="s">
        <v>2678</v>
      </c>
      <c r="E960" s="86">
        <v>46310.0</v>
      </c>
      <c r="F960" s="87">
        <v>9.0</v>
      </c>
      <c r="G960" s="87">
        <v>0.0</v>
      </c>
      <c r="H960" s="87">
        <v>5529.0</v>
      </c>
      <c r="I960" s="87">
        <v>0.0</v>
      </c>
      <c r="J960" s="87">
        <v>1464.608</v>
      </c>
      <c r="K960" s="87">
        <v>1482.418</v>
      </c>
      <c r="L960" s="87">
        <v>1540.57</v>
      </c>
      <c r="M960" s="87">
        <v>980.1542</v>
      </c>
      <c r="N960" s="87">
        <v>0.661186</v>
      </c>
      <c r="O960" s="87">
        <v>0.0</v>
      </c>
      <c r="P960" s="87">
        <v>13.45707</v>
      </c>
      <c r="Q960" s="87">
        <v>48.93221</v>
      </c>
      <c r="R960" s="87">
        <v>50.72845</v>
      </c>
      <c r="S960" s="87">
        <v>250.8202</v>
      </c>
      <c r="T960" s="87">
        <v>13.45707</v>
      </c>
      <c r="U960" s="87">
        <v>48.93221</v>
      </c>
      <c r="V960" s="87">
        <v>49.91002</v>
      </c>
      <c r="W960" s="87">
        <v>88.41608</v>
      </c>
      <c r="X960" s="87">
        <v>250.8202</v>
      </c>
      <c r="Y960" s="87">
        <v>164.7131</v>
      </c>
      <c r="Z960" s="87">
        <v>0.0</v>
      </c>
      <c r="AA960" s="87">
        <v>50.72845</v>
      </c>
      <c r="AB960" s="87">
        <v>45.09672</v>
      </c>
      <c r="AC960" s="87">
        <v>92.72833</v>
      </c>
      <c r="AD960" s="87">
        <v>14.08066</v>
      </c>
      <c r="AE960" s="87">
        <v>25.75344</v>
      </c>
      <c r="AF960" s="87">
        <v>38.02622</v>
      </c>
      <c r="AG960" s="87">
        <v>23.65956</v>
      </c>
      <c r="AH960" s="87">
        <v>0.0</v>
      </c>
      <c r="AI960" s="87">
        <v>22.3954</v>
      </c>
      <c r="AJ960" s="87">
        <v>15.01045</v>
      </c>
      <c r="AK960" s="87">
        <v>13.80265</v>
      </c>
      <c r="AL960" s="88" t="s">
        <v>1396</v>
      </c>
    </row>
    <row r="961">
      <c r="A961" s="84" t="s">
        <v>2650</v>
      </c>
      <c r="B961" s="84" t="s">
        <v>2680</v>
      </c>
      <c r="C961" s="84" t="s">
        <v>573</v>
      </c>
      <c r="D961" s="84" t="s">
        <v>2678</v>
      </c>
      <c r="E961" s="84" t="s">
        <v>1413</v>
      </c>
      <c r="F961" s="87">
        <v>1.0</v>
      </c>
      <c r="G961" s="87">
        <v>0.0</v>
      </c>
      <c r="H961" s="87">
        <v>576.0</v>
      </c>
      <c r="I961" s="87">
        <v>0.0</v>
      </c>
      <c r="J961" s="87">
        <v>83.24228</v>
      </c>
      <c r="K961" s="87">
        <v>81.229</v>
      </c>
      <c r="L961" s="87">
        <v>78.69935</v>
      </c>
      <c r="M961" s="87">
        <v>81.229</v>
      </c>
      <c r="N961" s="87">
        <v>1.0</v>
      </c>
      <c r="O961" s="87">
        <v>81.229</v>
      </c>
      <c r="P961" s="87">
        <v>81.229</v>
      </c>
      <c r="Q961" s="87">
        <v>81.229</v>
      </c>
      <c r="R961" s="87">
        <v>81.229</v>
      </c>
      <c r="S961" s="87">
        <v>81.229</v>
      </c>
      <c r="T961" s="87">
        <v>81.229</v>
      </c>
      <c r="U961" s="87">
        <v>81.229</v>
      </c>
      <c r="V961" s="87">
        <v>81.229</v>
      </c>
      <c r="W961" s="87">
        <v>81.229</v>
      </c>
      <c r="X961" s="87">
        <v>81.229</v>
      </c>
      <c r="Y961" s="87">
        <v>81.229</v>
      </c>
      <c r="Z961" s="87">
        <v>0.0</v>
      </c>
      <c r="AA961" s="87">
        <v>50.72845</v>
      </c>
      <c r="AB961" s="87">
        <v>45.09672</v>
      </c>
      <c r="AC961" s="87">
        <v>92.72833</v>
      </c>
      <c r="AD961" s="87">
        <v>5.953594</v>
      </c>
      <c r="AE961" s="87">
        <v>10.01471</v>
      </c>
      <c r="AF961" s="87">
        <v>12.23075</v>
      </c>
      <c r="AG961" s="87">
        <v>4.074551</v>
      </c>
      <c r="AH961" s="87">
        <v>0.0</v>
      </c>
      <c r="AI961" s="87">
        <v>22.3954</v>
      </c>
      <c r="AJ961" s="87">
        <v>15.01045</v>
      </c>
      <c r="AK961" s="87">
        <v>13.80265</v>
      </c>
      <c r="AL961" s="88" t="s">
        <v>1396</v>
      </c>
    </row>
    <row r="962">
      <c r="A962" s="84" t="s">
        <v>2652</v>
      </c>
      <c r="B962" s="84" t="s">
        <v>2681</v>
      </c>
      <c r="C962" s="84" t="s">
        <v>573</v>
      </c>
      <c r="D962" s="84" t="s">
        <v>2678</v>
      </c>
      <c r="E962" s="84" t="s">
        <v>1398</v>
      </c>
      <c r="F962" s="87">
        <v>1.0</v>
      </c>
      <c r="G962" s="87">
        <v>0.0</v>
      </c>
      <c r="H962" s="87">
        <v>274.0</v>
      </c>
      <c r="I962" s="87">
        <v>0.0</v>
      </c>
      <c r="J962" s="87">
        <v>77.21472</v>
      </c>
      <c r="K962" s="87">
        <v>73.74808</v>
      </c>
      <c r="L962" s="87">
        <v>78.32704</v>
      </c>
      <c r="M962" s="87">
        <v>73.74808</v>
      </c>
      <c r="N962" s="87">
        <v>1.0</v>
      </c>
      <c r="O962" s="87">
        <v>73.74808</v>
      </c>
      <c r="P962" s="87">
        <v>73.74808</v>
      </c>
      <c r="Q962" s="87">
        <v>73.74808</v>
      </c>
      <c r="R962" s="87">
        <v>73.74808</v>
      </c>
      <c r="S962" s="87">
        <v>73.74808</v>
      </c>
      <c r="T962" s="87">
        <v>73.74808</v>
      </c>
      <c r="U962" s="87">
        <v>73.74808</v>
      </c>
      <c r="V962" s="87">
        <v>73.74808</v>
      </c>
      <c r="W962" s="87">
        <v>73.74808</v>
      </c>
      <c r="X962" s="87">
        <v>73.74808</v>
      </c>
      <c r="Y962" s="87">
        <v>73.74808</v>
      </c>
      <c r="Z962" s="87">
        <v>0.0</v>
      </c>
      <c r="AA962" s="87">
        <v>50.72845</v>
      </c>
      <c r="AB962" s="87">
        <v>45.09672</v>
      </c>
      <c r="AC962" s="87">
        <v>92.72833</v>
      </c>
      <c r="AD962" s="87">
        <v>3.779246</v>
      </c>
      <c r="AE962" s="87">
        <v>7.576134</v>
      </c>
      <c r="AF962" s="87">
        <v>8.717212</v>
      </c>
      <c r="AG962" s="87">
        <v>7.368916</v>
      </c>
      <c r="AH962" s="87">
        <v>0.0</v>
      </c>
      <c r="AI962" s="87">
        <v>22.3954</v>
      </c>
      <c r="AJ962" s="87">
        <v>15.01045</v>
      </c>
      <c r="AK962" s="87">
        <v>13.80265</v>
      </c>
      <c r="AL962" s="88" t="s">
        <v>1396</v>
      </c>
    </row>
    <row r="963">
      <c r="A963" s="84" t="s">
        <v>2656</v>
      </c>
      <c r="B963" s="84" t="s">
        <v>2682</v>
      </c>
      <c r="C963" s="84" t="s">
        <v>573</v>
      </c>
      <c r="D963" s="84" t="s">
        <v>2678</v>
      </c>
      <c r="E963" s="89">
        <v>46300.0</v>
      </c>
      <c r="F963" s="87">
        <v>11.0</v>
      </c>
      <c r="G963" s="87">
        <v>0.0</v>
      </c>
      <c r="H963" s="87">
        <v>3494.0</v>
      </c>
      <c r="I963" s="87">
        <v>0.0</v>
      </c>
      <c r="J963" s="87">
        <v>1148.176</v>
      </c>
      <c r="K963" s="87">
        <v>1191.024</v>
      </c>
      <c r="L963" s="87">
        <v>1210.735</v>
      </c>
      <c r="M963" s="87">
        <v>1066.32</v>
      </c>
      <c r="N963" s="87">
        <v>0.895297</v>
      </c>
      <c r="O963" s="87">
        <v>3.0</v>
      </c>
      <c r="P963" s="87">
        <v>3.0</v>
      </c>
      <c r="Q963" s="87">
        <v>14.62255</v>
      </c>
      <c r="R963" s="87">
        <v>18.37337</v>
      </c>
      <c r="S963" s="87">
        <v>46.29025</v>
      </c>
      <c r="T963" s="87">
        <v>3.0</v>
      </c>
      <c r="U963" s="87">
        <v>14.62255</v>
      </c>
      <c r="V963" s="87">
        <v>15.86314</v>
      </c>
      <c r="W963" s="87">
        <v>23.55462</v>
      </c>
      <c r="X963" s="87">
        <v>67.13309</v>
      </c>
      <c r="Y963" s="87">
        <v>108.2749</v>
      </c>
      <c r="Z963" s="87">
        <v>0.0</v>
      </c>
      <c r="AA963" s="87">
        <v>50.72845</v>
      </c>
      <c r="AB963" s="87">
        <v>45.09672</v>
      </c>
      <c r="AC963" s="87">
        <v>92.72833</v>
      </c>
      <c r="AD963" s="87">
        <v>15.90924</v>
      </c>
      <c r="AE963" s="87">
        <v>25.32017</v>
      </c>
      <c r="AF963" s="87">
        <v>48.9939</v>
      </c>
      <c r="AG963" s="87">
        <v>35.69141</v>
      </c>
      <c r="AH963" s="87">
        <v>0.0</v>
      </c>
      <c r="AI963" s="87">
        <v>22.3954</v>
      </c>
      <c r="AJ963" s="87">
        <v>15.01045</v>
      </c>
      <c r="AK963" s="87">
        <v>13.80265</v>
      </c>
      <c r="AL963" s="88" t="s">
        <v>1396</v>
      </c>
    </row>
    <row r="964">
      <c r="A964" s="84" t="s">
        <v>2658</v>
      </c>
      <c r="B964" s="84" t="s">
        <v>2683</v>
      </c>
      <c r="C964" s="84" t="s">
        <v>573</v>
      </c>
      <c r="D964" s="84" t="s">
        <v>2678</v>
      </c>
      <c r="E964" s="84" t="s">
        <v>1403</v>
      </c>
      <c r="F964" s="87">
        <v>46.0</v>
      </c>
      <c r="G964" s="87">
        <v>7.0</v>
      </c>
      <c r="H964" s="87">
        <v>223.0</v>
      </c>
      <c r="I964" s="87">
        <v>223.0</v>
      </c>
      <c r="J964" s="87">
        <v>0.0</v>
      </c>
      <c r="K964" s="87">
        <v>0.0</v>
      </c>
      <c r="L964" s="87">
        <v>0.0</v>
      </c>
      <c r="M964" s="87">
        <v>0.0</v>
      </c>
      <c r="N964" s="87">
        <v>0.0</v>
      </c>
      <c r="O964" s="87">
        <v>0.0</v>
      </c>
      <c r="P964" s="87">
        <v>0.0</v>
      </c>
      <c r="Q964" s="87">
        <v>0.0</v>
      </c>
      <c r="R964" s="87">
        <v>0.0</v>
      </c>
      <c r="S964" s="87">
        <v>0.0</v>
      </c>
      <c r="T964" s="87">
        <v>0.0</v>
      </c>
      <c r="U964" s="87">
        <v>0.0</v>
      </c>
      <c r="V964" s="87">
        <v>0.0</v>
      </c>
      <c r="W964" s="87">
        <v>0.0</v>
      </c>
      <c r="X964" s="87">
        <v>0.0</v>
      </c>
      <c r="Y964" s="87">
        <v>0.0</v>
      </c>
      <c r="Z964" s="87">
        <v>0.0</v>
      </c>
      <c r="AA964" s="87">
        <v>50.72845</v>
      </c>
      <c r="AB964" s="87">
        <v>45.09672</v>
      </c>
      <c r="AC964" s="87">
        <v>92.72833</v>
      </c>
      <c r="AD964" s="87">
        <v>0.0</v>
      </c>
      <c r="AE964" s="87">
        <v>0.0</v>
      </c>
      <c r="AF964" s="87">
        <v>0.0</v>
      </c>
      <c r="AG964" s="87">
        <v>0.0</v>
      </c>
      <c r="AH964" s="87">
        <v>0.0</v>
      </c>
      <c r="AI964" s="87">
        <v>22.3954</v>
      </c>
      <c r="AJ964" s="87">
        <v>15.01045</v>
      </c>
      <c r="AK964" s="87">
        <v>13.80265</v>
      </c>
      <c r="AL964" s="88" t="s">
        <v>1396</v>
      </c>
    </row>
    <row r="965">
      <c r="A965" s="84" t="s">
        <v>2648</v>
      </c>
      <c r="B965" s="84" t="s">
        <v>2684</v>
      </c>
      <c r="C965" s="84" t="s">
        <v>573</v>
      </c>
      <c r="D965" s="84" t="s">
        <v>578</v>
      </c>
      <c r="E965" s="89">
        <v>46310.0</v>
      </c>
      <c r="F965" s="87">
        <v>1.0</v>
      </c>
      <c r="G965" s="87">
        <v>0.0</v>
      </c>
      <c r="H965" s="87">
        <v>0.0</v>
      </c>
      <c r="I965" s="87">
        <v>0.0</v>
      </c>
      <c r="J965" s="87">
        <v>0.0</v>
      </c>
      <c r="K965" s="87">
        <v>0.0</v>
      </c>
      <c r="L965" s="87">
        <v>0.0</v>
      </c>
      <c r="M965" s="87">
        <v>0.0</v>
      </c>
      <c r="N965" s="87">
        <v>0.0</v>
      </c>
      <c r="O965" s="87">
        <v>0.0</v>
      </c>
      <c r="P965" s="87">
        <v>0.0</v>
      </c>
      <c r="Q965" s="87">
        <v>0.0</v>
      </c>
      <c r="R965" s="87">
        <v>0.0</v>
      </c>
      <c r="S965" s="87">
        <v>0.0</v>
      </c>
      <c r="T965" s="87">
        <v>0.0</v>
      </c>
      <c r="U965" s="87">
        <v>0.0</v>
      </c>
      <c r="V965" s="87">
        <v>0.0</v>
      </c>
      <c r="W965" s="87">
        <v>0.0</v>
      </c>
      <c r="X965" s="87">
        <v>0.0</v>
      </c>
      <c r="Y965" s="87">
        <v>0.0</v>
      </c>
      <c r="Z965" s="87">
        <v>0.0</v>
      </c>
      <c r="AA965" s="87">
        <v>12.01543</v>
      </c>
      <c r="AB965" s="87">
        <v>0.222508</v>
      </c>
      <c r="AC965" s="87">
        <v>0.0</v>
      </c>
      <c r="AD965" s="87">
        <v>14.08066</v>
      </c>
      <c r="AE965" s="87">
        <v>25.75344</v>
      </c>
      <c r="AF965" s="87">
        <v>38.02622</v>
      </c>
      <c r="AG965" s="87">
        <v>23.65956</v>
      </c>
      <c r="AH965" s="87">
        <v>0.0</v>
      </c>
      <c r="AI965" s="87">
        <v>22.3954</v>
      </c>
      <c r="AJ965" s="87">
        <v>15.01045</v>
      </c>
      <c r="AK965" s="87">
        <v>13.80265</v>
      </c>
      <c r="AL965" s="88" t="s">
        <v>1396</v>
      </c>
    </row>
    <row r="966">
      <c r="A966" s="84" t="s">
        <v>2654</v>
      </c>
      <c r="B966" s="84" t="s">
        <v>2685</v>
      </c>
      <c r="C966" s="84" t="s">
        <v>573</v>
      </c>
      <c r="D966" s="84" t="s">
        <v>578</v>
      </c>
      <c r="E966" s="84" t="s">
        <v>1400</v>
      </c>
      <c r="F966" s="87">
        <v>1.0</v>
      </c>
      <c r="G966" s="87">
        <v>0.0</v>
      </c>
      <c r="H966" s="87">
        <v>747.0</v>
      </c>
      <c r="I966" s="87">
        <v>0.0</v>
      </c>
      <c r="J966" s="87">
        <v>12.12995</v>
      </c>
      <c r="K966" s="87">
        <v>12.01543</v>
      </c>
      <c r="L966" s="87">
        <v>10.91363</v>
      </c>
      <c r="M966" s="87">
        <v>12.01543</v>
      </c>
      <c r="N966" s="87">
        <v>1.0</v>
      </c>
      <c r="O966" s="87">
        <v>12.01543</v>
      </c>
      <c r="P966" s="87">
        <v>12.01543</v>
      </c>
      <c r="Q966" s="87">
        <v>12.01543</v>
      </c>
      <c r="R966" s="87">
        <v>12.01543</v>
      </c>
      <c r="S966" s="87">
        <v>12.01543</v>
      </c>
      <c r="T966" s="87">
        <v>12.01543</v>
      </c>
      <c r="U966" s="87">
        <v>12.01543</v>
      </c>
      <c r="V966" s="87">
        <v>12.01543</v>
      </c>
      <c r="W966" s="87">
        <v>12.01543</v>
      </c>
      <c r="X966" s="87">
        <v>12.01543</v>
      </c>
      <c r="Y966" s="87">
        <v>12.01543</v>
      </c>
      <c r="Z966" s="87">
        <v>0.0</v>
      </c>
      <c r="AA966" s="87">
        <v>12.01543</v>
      </c>
      <c r="AB966" s="87">
        <v>0.222508</v>
      </c>
      <c r="AC966" s="87">
        <v>0.0</v>
      </c>
      <c r="AD966" s="87">
        <v>3.290767</v>
      </c>
      <c r="AE966" s="87">
        <v>7.822324</v>
      </c>
      <c r="AF966" s="87">
        <v>12.21202</v>
      </c>
      <c r="AG966" s="87">
        <v>13.70559</v>
      </c>
      <c r="AH966" s="87">
        <v>0.0</v>
      </c>
      <c r="AI966" s="87">
        <v>22.3954</v>
      </c>
      <c r="AJ966" s="87">
        <v>15.01045</v>
      </c>
      <c r="AK966" s="87">
        <v>13.80265</v>
      </c>
      <c r="AL966" s="88" t="s">
        <v>1396</v>
      </c>
    </row>
    <row r="967">
      <c r="A967" s="84" t="s">
        <v>2656</v>
      </c>
      <c r="B967" s="84" t="s">
        <v>2686</v>
      </c>
      <c r="C967" s="84" t="s">
        <v>573</v>
      </c>
      <c r="D967" s="84" t="s">
        <v>578</v>
      </c>
      <c r="E967" s="89">
        <v>46300.0</v>
      </c>
      <c r="F967" s="87">
        <v>2.0</v>
      </c>
      <c r="G967" s="87">
        <v>0.0</v>
      </c>
      <c r="H967" s="87">
        <v>0.0</v>
      </c>
      <c r="I967" s="87">
        <v>0.0</v>
      </c>
      <c r="J967" s="87">
        <v>0.0</v>
      </c>
      <c r="K967" s="87">
        <v>0.0</v>
      </c>
      <c r="L967" s="87">
        <v>0.0</v>
      </c>
      <c r="M967" s="87">
        <v>0.0</v>
      </c>
      <c r="N967" s="87">
        <v>0.0</v>
      </c>
      <c r="O967" s="87">
        <v>0.0</v>
      </c>
      <c r="P967" s="87">
        <v>0.0</v>
      </c>
      <c r="Q967" s="87">
        <v>0.0</v>
      </c>
      <c r="R967" s="87">
        <v>0.0</v>
      </c>
      <c r="S967" s="87">
        <v>0.0</v>
      </c>
      <c r="T967" s="87">
        <v>0.0</v>
      </c>
      <c r="U967" s="87">
        <v>0.0</v>
      </c>
      <c r="V967" s="87">
        <v>0.0</v>
      </c>
      <c r="W967" s="87">
        <v>0.0</v>
      </c>
      <c r="X967" s="87">
        <v>0.0</v>
      </c>
      <c r="Y967" s="87">
        <v>0.0</v>
      </c>
      <c r="Z967" s="87">
        <v>0.0</v>
      </c>
      <c r="AA967" s="87">
        <v>12.01543</v>
      </c>
      <c r="AB967" s="87">
        <v>0.222508</v>
      </c>
      <c r="AC967" s="87">
        <v>0.0</v>
      </c>
      <c r="AD967" s="87">
        <v>15.90924</v>
      </c>
      <c r="AE967" s="87">
        <v>25.32017</v>
      </c>
      <c r="AF967" s="87">
        <v>48.9939</v>
      </c>
      <c r="AG967" s="87">
        <v>35.69141</v>
      </c>
      <c r="AH967" s="87">
        <v>0.0</v>
      </c>
      <c r="AI967" s="87">
        <v>22.3954</v>
      </c>
      <c r="AJ967" s="87">
        <v>15.01045</v>
      </c>
      <c r="AK967" s="87">
        <v>13.80265</v>
      </c>
      <c r="AL967" s="88" t="s">
        <v>1396</v>
      </c>
    </row>
    <row r="968">
      <c r="A968" s="84" t="s">
        <v>2658</v>
      </c>
      <c r="B968" s="84" t="s">
        <v>2687</v>
      </c>
      <c r="C968" s="84" t="s">
        <v>573</v>
      </c>
      <c r="D968" s="84" t="s">
        <v>578</v>
      </c>
      <c r="E968" s="84" t="s">
        <v>1403</v>
      </c>
      <c r="F968" s="87">
        <v>50.0</v>
      </c>
      <c r="G968" s="87">
        <v>1.0</v>
      </c>
      <c r="H968" s="87">
        <v>77.0</v>
      </c>
      <c r="I968" s="87">
        <v>77.0</v>
      </c>
      <c r="J968" s="87">
        <v>0.0</v>
      </c>
      <c r="K968" s="87">
        <v>0.0</v>
      </c>
      <c r="L968" s="87">
        <v>0.0</v>
      </c>
      <c r="M968" s="87">
        <v>0.0</v>
      </c>
      <c r="N968" s="87">
        <v>0.0</v>
      </c>
      <c r="O968" s="87">
        <v>0.0</v>
      </c>
      <c r="P968" s="87">
        <v>0.0</v>
      </c>
      <c r="Q968" s="87">
        <v>0.0</v>
      </c>
      <c r="R968" s="87">
        <v>0.0</v>
      </c>
      <c r="S968" s="87">
        <v>0.0</v>
      </c>
      <c r="T968" s="87">
        <v>0.0</v>
      </c>
      <c r="U968" s="87">
        <v>0.0</v>
      </c>
      <c r="V968" s="87">
        <v>0.0</v>
      </c>
      <c r="W968" s="87">
        <v>0.0</v>
      </c>
      <c r="X968" s="87">
        <v>0.0</v>
      </c>
      <c r="Y968" s="87">
        <v>0.0</v>
      </c>
      <c r="Z968" s="87">
        <v>0.0</v>
      </c>
      <c r="AA968" s="87">
        <v>12.01543</v>
      </c>
      <c r="AB968" s="87">
        <v>0.222508</v>
      </c>
      <c r="AC968" s="87">
        <v>0.0</v>
      </c>
      <c r="AD968" s="87">
        <v>0.0</v>
      </c>
      <c r="AE968" s="87">
        <v>0.0</v>
      </c>
      <c r="AF968" s="87">
        <v>0.0</v>
      </c>
      <c r="AG968" s="87">
        <v>0.0</v>
      </c>
      <c r="AH968" s="87">
        <v>0.0</v>
      </c>
      <c r="AI968" s="87">
        <v>22.3954</v>
      </c>
      <c r="AJ968" s="87">
        <v>15.01045</v>
      </c>
      <c r="AK968" s="87">
        <v>13.80265</v>
      </c>
      <c r="AL968" s="88" t="s">
        <v>1396</v>
      </c>
    </row>
    <row r="969">
      <c r="A969" s="84" t="s">
        <v>2646</v>
      </c>
      <c r="B969" s="84" t="s">
        <v>2688</v>
      </c>
      <c r="C969" s="84" t="s">
        <v>573</v>
      </c>
      <c r="D969" s="84" t="s">
        <v>2689</v>
      </c>
      <c r="E969" s="84" t="s">
        <v>1426</v>
      </c>
      <c r="F969" s="87">
        <v>7.0</v>
      </c>
      <c r="G969" s="87">
        <v>0.0</v>
      </c>
      <c r="H969" s="87">
        <v>53744.0</v>
      </c>
      <c r="I969" s="87">
        <v>0.0</v>
      </c>
      <c r="J969" s="87">
        <v>539.9149</v>
      </c>
      <c r="K969" s="87">
        <v>512.5429</v>
      </c>
      <c r="L969" s="87">
        <v>480.4575</v>
      </c>
      <c r="M969" s="87">
        <v>459.5722</v>
      </c>
      <c r="N969" s="87">
        <v>0.896651</v>
      </c>
      <c r="O969" s="87">
        <v>0.0</v>
      </c>
      <c r="P969" s="87">
        <v>0.0</v>
      </c>
      <c r="Q969" s="87">
        <v>0.2</v>
      </c>
      <c r="R969" s="87">
        <v>14.84436</v>
      </c>
      <c r="S969" s="87">
        <v>37.92634</v>
      </c>
      <c r="T969" s="87">
        <v>0.2</v>
      </c>
      <c r="U969" s="87">
        <v>14.84436</v>
      </c>
      <c r="V969" s="87">
        <v>14.84436</v>
      </c>
      <c r="W969" s="87">
        <v>37.92634</v>
      </c>
      <c r="X969" s="87">
        <v>163.3042</v>
      </c>
      <c r="Y969" s="87">
        <v>73.22041</v>
      </c>
      <c r="Z969" s="87">
        <v>0.0</v>
      </c>
      <c r="AA969" s="87">
        <v>22.64167</v>
      </c>
      <c r="AB969" s="87">
        <v>16.1855</v>
      </c>
      <c r="AC969" s="87">
        <v>23.65956</v>
      </c>
      <c r="AD969" s="87">
        <v>27.40054</v>
      </c>
      <c r="AE969" s="87">
        <v>50.06303</v>
      </c>
      <c r="AF969" s="87">
        <v>58.06657</v>
      </c>
      <c r="AG969" s="87">
        <v>73.22041</v>
      </c>
      <c r="AH969" s="87">
        <v>0.0</v>
      </c>
      <c r="AI969" s="87">
        <v>22.3954</v>
      </c>
      <c r="AJ969" s="87">
        <v>15.01045</v>
      </c>
      <c r="AK969" s="87">
        <v>13.80265</v>
      </c>
      <c r="AL969" s="88" t="s">
        <v>1396</v>
      </c>
    </row>
    <row r="970">
      <c r="A970" s="84" t="s">
        <v>2648</v>
      </c>
      <c r="B970" s="84" t="s">
        <v>2690</v>
      </c>
      <c r="C970" s="84" t="s">
        <v>573</v>
      </c>
      <c r="D970" s="84" t="s">
        <v>2689</v>
      </c>
      <c r="E970" s="89">
        <v>46310.0</v>
      </c>
      <c r="F970" s="87">
        <v>1.0</v>
      </c>
      <c r="G970" s="87">
        <v>0.0</v>
      </c>
      <c r="H970" s="87">
        <v>1806.0</v>
      </c>
      <c r="I970" s="87">
        <v>0.0</v>
      </c>
      <c r="J970" s="87">
        <v>24.1044</v>
      </c>
      <c r="K970" s="87">
        <v>23.65956</v>
      </c>
      <c r="L970" s="87">
        <v>23.53433</v>
      </c>
      <c r="M970" s="87">
        <v>23.65956</v>
      </c>
      <c r="N970" s="87">
        <v>1.0</v>
      </c>
      <c r="O970" s="87">
        <v>23.65956</v>
      </c>
      <c r="P970" s="87">
        <v>23.65956</v>
      </c>
      <c r="Q970" s="87">
        <v>23.65956</v>
      </c>
      <c r="R970" s="87">
        <v>23.65956</v>
      </c>
      <c r="S970" s="87">
        <v>23.65956</v>
      </c>
      <c r="T970" s="87">
        <v>23.65956</v>
      </c>
      <c r="U970" s="87">
        <v>23.65956</v>
      </c>
      <c r="V970" s="87">
        <v>23.65956</v>
      </c>
      <c r="W970" s="87">
        <v>23.65956</v>
      </c>
      <c r="X970" s="87">
        <v>23.65956</v>
      </c>
      <c r="Y970" s="87">
        <v>23.65956</v>
      </c>
      <c r="Z970" s="87">
        <v>0.0</v>
      </c>
      <c r="AA970" s="87">
        <v>22.64167</v>
      </c>
      <c r="AB970" s="87">
        <v>16.1855</v>
      </c>
      <c r="AC970" s="87">
        <v>23.65956</v>
      </c>
      <c r="AD970" s="87">
        <v>14.08066</v>
      </c>
      <c r="AE970" s="87">
        <v>25.75344</v>
      </c>
      <c r="AF970" s="87">
        <v>38.02622</v>
      </c>
      <c r="AG970" s="87">
        <v>23.65956</v>
      </c>
      <c r="AH970" s="87">
        <v>0.0</v>
      </c>
      <c r="AI970" s="87">
        <v>22.3954</v>
      </c>
      <c r="AJ970" s="87">
        <v>15.01045</v>
      </c>
      <c r="AK970" s="87">
        <v>13.80265</v>
      </c>
      <c r="AL970" s="88" t="s">
        <v>1396</v>
      </c>
    </row>
    <row r="971">
      <c r="A971" s="84" t="s">
        <v>2650</v>
      </c>
      <c r="B971" s="84" t="s">
        <v>2691</v>
      </c>
      <c r="C971" s="84" t="s">
        <v>573</v>
      </c>
      <c r="D971" s="84" t="s">
        <v>2689</v>
      </c>
      <c r="E971" s="84" t="s">
        <v>1413</v>
      </c>
      <c r="F971" s="87">
        <v>7.0</v>
      </c>
      <c r="G971" s="87">
        <v>0.0</v>
      </c>
      <c r="H971" s="87">
        <v>11218.0</v>
      </c>
      <c r="I971" s="87">
        <v>0.0</v>
      </c>
      <c r="J971" s="87">
        <v>141.677</v>
      </c>
      <c r="K971" s="87">
        <v>148.7891</v>
      </c>
      <c r="L971" s="87">
        <v>154.989</v>
      </c>
      <c r="M971" s="87">
        <v>101.2281</v>
      </c>
      <c r="N971" s="87">
        <v>0.680346</v>
      </c>
      <c r="O971" s="87">
        <v>4.750445</v>
      </c>
      <c r="P971" s="87">
        <v>7.173643</v>
      </c>
      <c r="Q971" s="87">
        <v>8.029113</v>
      </c>
      <c r="R971" s="87">
        <v>10.21868</v>
      </c>
      <c r="S971" s="87">
        <v>17.38911</v>
      </c>
      <c r="T971" s="87">
        <v>4.750445</v>
      </c>
      <c r="U971" s="87">
        <v>7.173643</v>
      </c>
      <c r="V971" s="87">
        <v>8.029113</v>
      </c>
      <c r="W971" s="87">
        <v>10.21868</v>
      </c>
      <c r="X971" s="87">
        <v>17.38911</v>
      </c>
      <c r="Y971" s="87">
        <v>21.25559</v>
      </c>
      <c r="Z971" s="87">
        <v>0.0</v>
      </c>
      <c r="AA971" s="87">
        <v>22.64167</v>
      </c>
      <c r="AB971" s="87">
        <v>16.1855</v>
      </c>
      <c r="AC971" s="87">
        <v>23.65956</v>
      </c>
      <c r="AD971" s="87">
        <v>5.953594</v>
      </c>
      <c r="AE971" s="87">
        <v>10.01471</v>
      </c>
      <c r="AF971" s="87">
        <v>12.23075</v>
      </c>
      <c r="AG971" s="87">
        <v>4.074551</v>
      </c>
      <c r="AH971" s="87">
        <v>0.0</v>
      </c>
      <c r="AI971" s="87">
        <v>22.3954</v>
      </c>
      <c r="AJ971" s="87">
        <v>15.01045</v>
      </c>
      <c r="AK971" s="87">
        <v>13.80265</v>
      </c>
      <c r="AL971" s="88" t="s">
        <v>1396</v>
      </c>
    </row>
    <row r="972">
      <c r="A972" s="84" t="s">
        <v>2654</v>
      </c>
      <c r="B972" s="84" t="s">
        <v>2692</v>
      </c>
      <c r="C972" s="84" t="s">
        <v>573</v>
      </c>
      <c r="D972" s="84" t="s">
        <v>2689</v>
      </c>
      <c r="E972" s="84" t="s">
        <v>1400</v>
      </c>
      <c r="F972" s="87">
        <v>2.0</v>
      </c>
      <c r="G972" s="87">
        <v>0.0</v>
      </c>
      <c r="H972" s="87">
        <v>5638.0</v>
      </c>
      <c r="I972" s="87">
        <v>0.0</v>
      </c>
      <c r="J972" s="87">
        <v>36.12757</v>
      </c>
      <c r="K972" s="87">
        <v>35.82421</v>
      </c>
      <c r="L972" s="87">
        <v>38.31828</v>
      </c>
      <c r="M972" s="87">
        <v>34.72421</v>
      </c>
      <c r="N972" s="87">
        <v>0.969295</v>
      </c>
      <c r="O972" s="87">
        <v>1.1</v>
      </c>
      <c r="P972" s="87">
        <v>1.1</v>
      </c>
      <c r="Q972" s="87">
        <v>1.1</v>
      </c>
      <c r="R972" s="87">
        <v>34.72421</v>
      </c>
      <c r="S972" s="87">
        <v>34.72421</v>
      </c>
      <c r="T972" s="87">
        <v>1.1</v>
      </c>
      <c r="U972" s="87">
        <v>1.1</v>
      </c>
      <c r="V972" s="87">
        <v>1.1</v>
      </c>
      <c r="W972" s="87">
        <v>34.72421</v>
      </c>
      <c r="X972" s="87">
        <v>34.72421</v>
      </c>
      <c r="Y972" s="87">
        <v>17.9121</v>
      </c>
      <c r="Z972" s="87">
        <v>0.0</v>
      </c>
      <c r="AA972" s="87">
        <v>22.64167</v>
      </c>
      <c r="AB972" s="87">
        <v>16.1855</v>
      </c>
      <c r="AC972" s="87">
        <v>23.65956</v>
      </c>
      <c r="AD972" s="87">
        <v>3.290767</v>
      </c>
      <c r="AE972" s="87">
        <v>7.822324</v>
      </c>
      <c r="AF972" s="87">
        <v>12.21202</v>
      </c>
      <c r="AG972" s="87">
        <v>13.70559</v>
      </c>
      <c r="AH972" s="87">
        <v>0.0</v>
      </c>
      <c r="AI972" s="87">
        <v>22.3954</v>
      </c>
      <c r="AJ972" s="87">
        <v>15.01045</v>
      </c>
      <c r="AK972" s="87">
        <v>13.80265</v>
      </c>
      <c r="AL972" s="88" t="s">
        <v>1396</v>
      </c>
    </row>
    <row r="973">
      <c r="A973" s="84" t="s">
        <v>2656</v>
      </c>
      <c r="B973" s="84" t="s">
        <v>2693</v>
      </c>
      <c r="C973" s="84" t="s">
        <v>573</v>
      </c>
      <c r="D973" s="84" t="s">
        <v>2689</v>
      </c>
      <c r="E973" s="89">
        <v>46300.0</v>
      </c>
      <c r="F973" s="87">
        <v>4.0</v>
      </c>
      <c r="G973" s="87">
        <v>0.0</v>
      </c>
      <c r="H973" s="87">
        <v>1385.0</v>
      </c>
      <c r="I973" s="87">
        <v>0.0</v>
      </c>
      <c r="J973" s="87">
        <v>217.0954</v>
      </c>
      <c r="K973" s="87">
        <v>217.9435</v>
      </c>
      <c r="L973" s="87">
        <v>222.1019</v>
      </c>
      <c r="M973" s="87">
        <v>195.3019</v>
      </c>
      <c r="N973" s="87">
        <v>0.896112</v>
      </c>
      <c r="O973" s="87">
        <v>0.0</v>
      </c>
      <c r="P973" s="87">
        <v>0.0</v>
      </c>
      <c r="Q973" s="87">
        <v>0.0</v>
      </c>
      <c r="R973" s="87">
        <v>22.64167</v>
      </c>
      <c r="S973" s="87">
        <v>22.64167</v>
      </c>
      <c r="T973" s="87">
        <v>22.64167</v>
      </c>
      <c r="U973" s="87">
        <v>22.64167</v>
      </c>
      <c r="V973" s="87">
        <v>22.64167</v>
      </c>
      <c r="W973" s="87">
        <v>195.3019</v>
      </c>
      <c r="X973" s="87">
        <v>195.3019</v>
      </c>
      <c r="Y973" s="87">
        <v>54.48588</v>
      </c>
      <c r="Z973" s="87">
        <v>0.0</v>
      </c>
      <c r="AA973" s="87">
        <v>22.64167</v>
      </c>
      <c r="AB973" s="87">
        <v>16.1855</v>
      </c>
      <c r="AC973" s="87">
        <v>23.65956</v>
      </c>
      <c r="AD973" s="87">
        <v>15.90924</v>
      </c>
      <c r="AE973" s="87">
        <v>25.32017</v>
      </c>
      <c r="AF973" s="87">
        <v>48.9939</v>
      </c>
      <c r="AG973" s="87">
        <v>35.69141</v>
      </c>
      <c r="AH973" s="87">
        <v>0.0</v>
      </c>
      <c r="AI973" s="87">
        <v>22.3954</v>
      </c>
      <c r="AJ973" s="87">
        <v>15.01045</v>
      </c>
      <c r="AK973" s="87">
        <v>13.80265</v>
      </c>
      <c r="AL973" s="88" t="s">
        <v>1396</v>
      </c>
    </row>
    <row r="974">
      <c r="A974" s="84" t="s">
        <v>2658</v>
      </c>
      <c r="B974" s="84" t="s">
        <v>2694</v>
      </c>
      <c r="C974" s="84" t="s">
        <v>573</v>
      </c>
      <c r="D974" s="84" t="s">
        <v>2689</v>
      </c>
      <c r="E974" s="84" t="s">
        <v>1403</v>
      </c>
      <c r="F974" s="87">
        <v>37.0</v>
      </c>
      <c r="G974" s="87">
        <v>5.0</v>
      </c>
      <c r="H974" s="87">
        <v>60.0</v>
      </c>
      <c r="I974" s="87">
        <v>60.0</v>
      </c>
      <c r="J974" s="87">
        <v>0.0</v>
      </c>
      <c r="K974" s="87">
        <v>0.0</v>
      </c>
      <c r="L974" s="87">
        <v>0.0</v>
      </c>
      <c r="M974" s="87">
        <v>0.0</v>
      </c>
      <c r="N974" s="87">
        <v>0.0</v>
      </c>
      <c r="O974" s="87">
        <v>0.0</v>
      </c>
      <c r="P974" s="87">
        <v>0.0</v>
      </c>
      <c r="Q974" s="87">
        <v>0.0</v>
      </c>
      <c r="R974" s="87">
        <v>0.0</v>
      </c>
      <c r="S974" s="87">
        <v>0.0</v>
      </c>
      <c r="T974" s="87">
        <v>0.0</v>
      </c>
      <c r="U974" s="87">
        <v>0.0</v>
      </c>
      <c r="V974" s="87">
        <v>0.0</v>
      </c>
      <c r="W974" s="87">
        <v>0.0</v>
      </c>
      <c r="X974" s="87">
        <v>0.0</v>
      </c>
      <c r="Y974" s="87">
        <v>0.0</v>
      </c>
      <c r="Z974" s="87">
        <v>0.0</v>
      </c>
      <c r="AA974" s="87">
        <v>22.64167</v>
      </c>
      <c r="AB974" s="87">
        <v>16.1855</v>
      </c>
      <c r="AC974" s="87">
        <v>23.65956</v>
      </c>
      <c r="AD974" s="87">
        <v>0.0</v>
      </c>
      <c r="AE974" s="87">
        <v>0.0</v>
      </c>
      <c r="AF974" s="87">
        <v>0.0</v>
      </c>
      <c r="AG974" s="87">
        <v>0.0</v>
      </c>
      <c r="AH974" s="87">
        <v>0.0</v>
      </c>
      <c r="AI974" s="87">
        <v>22.3954</v>
      </c>
      <c r="AJ974" s="87">
        <v>15.01045</v>
      </c>
      <c r="AK974" s="87">
        <v>13.80265</v>
      </c>
      <c r="AL974" s="88" t="s">
        <v>1396</v>
      </c>
    </row>
    <row r="975">
      <c r="A975" s="84" t="s">
        <v>2646</v>
      </c>
      <c r="B975" s="84" t="s">
        <v>2695</v>
      </c>
      <c r="C975" s="84" t="s">
        <v>573</v>
      </c>
      <c r="D975" s="84" t="s">
        <v>2696</v>
      </c>
      <c r="E975" s="84" t="s">
        <v>1426</v>
      </c>
      <c r="F975" s="87">
        <v>10.0</v>
      </c>
      <c r="G975" s="87">
        <v>0.0</v>
      </c>
      <c r="H975" s="87">
        <v>21500.0</v>
      </c>
      <c r="I975" s="87">
        <v>0.0</v>
      </c>
      <c r="J975" s="87">
        <v>883.2047</v>
      </c>
      <c r="K975" s="87">
        <v>914.6813</v>
      </c>
      <c r="L975" s="87">
        <v>978.6952</v>
      </c>
      <c r="M975" s="87">
        <v>402.0018</v>
      </c>
      <c r="N975" s="87">
        <v>0.439499</v>
      </c>
      <c r="O975" s="87">
        <v>0.0</v>
      </c>
      <c r="P975" s="87">
        <v>18.53198</v>
      </c>
      <c r="Q975" s="87">
        <v>71.61173</v>
      </c>
      <c r="R975" s="87">
        <v>84.79241</v>
      </c>
      <c r="S975" s="87">
        <v>137.0936</v>
      </c>
      <c r="T975" s="87">
        <v>18.53198</v>
      </c>
      <c r="U975" s="87">
        <v>71.61173</v>
      </c>
      <c r="V975" s="87">
        <v>82.74787</v>
      </c>
      <c r="W975" s="87">
        <v>117.9018</v>
      </c>
      <c r="X975" s="87">
        <v>137.0936</v>
      </c>
      <c r="Y975" s="87">
        <v>91.46813</v>
      </c>
      <c r="Z975" s="87">
        <v>0.0</v>
      </c>
      <c r="AA975" s="87">
        <v>64.70498</v>
      </c>
      <c r="AB975" s="87">
        <v>32.27248</v>
      </c>
      <c r="AC975" s="87">
        <v>60.546</v>
      </c>
      <c r="AD975" s="87">
        <v>27.40054</v>
      </c>
      <c r="AE975" s="87">
        <v>50.06303</v>
      </c>
      <c r="AF975" s="87">
        <v>58.06657</v>
      </c>
      <c r="AG975" s="87">
        <v>73.22041</v>
      </c>
      <c r="AH975" s="87">
        <v>0.0</v>
      </c>
      <c r="AI975" s="87">
        <v>22.3954</v>
      </c>
      <c r="AJ975" s="87">
        <v>15.01045</v>
      </c>
      <c r="AK975" s="87">
        <v>13.80265</v>
      </c>
      <c r="AL975" s="88" t="s">
        <v>1396</v>
      </c>
    </row>
    <row r="976">
      <c r="A976" s="84" t="s">
        <v>2648</v>
      </c>
      <c r="B976" s="84" t="s">
        <v>2697</v>
      </c>
      <c r="C976" s="84" t="s">
        <v>573</v>
      </c>
      <c r="D976" s="84" t="s">
        <v>2696</v>
      </c>
      <c r="E976" s="86">
        <v>46310.0</v>
      </c>
      <c r="F976" s="87">
        <v>9.0</v>
      </c>
      <c r="G976" s="87">
        <v>0.0</v>
      </c>
      <c r="H976" s="87">
        <v>14576.0</v>
      </c>
      <c r="I976" s="87">
        <v>0.0</v>
      </c>
      <c r="J976" s="87">
        <v>489.9074</v>
      </c>
      <c r="K976" s="87">
        <v>544.914</v>
      </c>
      <c r="L976" s="87">
        <v>608.4861</v>
      </c>
      <c r="M976" s="87">
        <v>373.9742</v>
      </c>
      <c r="N976" s="87">
        <v>0.686299</v>
      </c>
      <c r="O976" s="87">
        <v>0.0</v>
      </c>
      <c r="P976" s="87">
        <v>9.297469</v>
      </c>
      <c r="Q976" s="87">
        <v>9.891532</v>
      </c>
      <c r="R976" s="87">
        <v>36.91874</v>
      </c>
      <c r="S976" s="87">
        <v>49.2208</v>
      </c>
      <c r="T976" s="87">
        <v>9.297469</v>
      </c>
      <c r="U976" s="87">
        <v>9.891532</v>
      </c>
      <c r="V976" s="87">
        <v>18.46184</v>
      </c>
      <c r="W976" s="87">
        <v>47.14942</v>
      </c>
      <c r="X976" s="87">
        <v>49.2208</v>
      </c>
      <c r="Y976" s="87">
        <v>60.546</v>
      </c>
      <c r="Z976" s="87">
        <v>0.0</v>
      </c>
      <c r="AA976" s="87">
        <v>64.70498</v>
      </c>
      <c r="AB976" s="87">
        <v>32.27248</v>
      </c>
      <c r="AC976" s="87">
        <v>60.546</v>
      </c>
      <c r="AD976" s="87">
        <v>14.08066</v>
      </c>
      <c r="AE976" s="87">
        <v>25.75344</v>
      </c>
      <c r="AF976" s="87">
        <v>38.02622</v>
      </c>
      <c r="AG976" s="87">
        <v>23.65956</v>
      </c>
      <c r="AH976" s="87">
        <v>0.0</v>
      </c>
      <c r="AI976" s="87">
        <v>22.3954</v>
      </c>
      <c r="AJ976" s="87">
        <v>15.01045</v>
      </c>
      <c r="AK976" s="87">
        <v>13.80265</v>
      </c>
      <c r="AL976" s="88" t="s">
        <v>1396</v>
      </c>
    </row>
    <row r="977">
      <c r="A977" s="84" t="s">
        <v>2650</v>
      </c>
      <c r="B977" s="84" t="s">
        <v>2698</v>
      </c>
      <c r="C977" s="84" t="s">
        <v>573</v>
      </c>
      <c r="D977" s="84" t="s">
        <v>2696</v>
      </c>
      <c r="E977" s="84" t="s">
        <v>1413</v>
      </c>
      <c r="F977" s="87">
        <v>2.0</v>
      </c>
      <c r="G977" s="87">
        <v>0.0</v>
      </c>
      <c r="H977" s="87">
        <v>0.0</v>
      </c>
      <c r="I977" s="87">
        <v>0.0</v>
      </c>
      <c r="J977" s="87">
        <v>0.0</v>
      </c>
      <c r="K977" s="87">
        <v>0.0</v>
      </c>
      <c r="L977" s="87">
        <v>7.995362</v>
      </c>
      <c r="M977" s="87">
        <v>0.0</v>
      </c>
      <c r="N977" s="87">
        <v>0.0</v>
      </c>
      <c r="O977" s="87">
        <v>0.0</v>
      </c>
      <c r="P977" s="87">
        <v>0.0</v>
      </c>
      <c r="Q977" s="87">
        <v>0.0</v>
      </c>
      <c r="R977" s="87">
        <v>0.0</v>
      </c>
      <c r="S977" s="87">
        <v>0.0</v>
      </c>
      <c r="T977" s="87">
        <v>0.0</v>
      </c>
      <c r="U977" s="87">
        <v>0.0</v>
      </c>
      <c r="V977" s="87">
        <v>0.0</v>
      </c>
      <c r="W977" s="87">
        <v>0.0</v>
      </c>
      <c r="X977" s="87">
        <v>0.0</v>
      </c>
      <c r="Y977" s="87">
        <v>0.0</v>
      </c>
      <c r="Z977" s="87">
        <v>0.0</v>
      </c>
      <c r="AA977" s="87">
        <v>64.70498</v>
      </c>
      <c r="AB977" s="87">
        <v>32.27248</v>
      </c>
      <c r="AC977" s="87">
        <v>60.546</v>
      </c>
      <c r="AD977" s="87">
        <v>5.953594</v>
      </c>
      <c r="AE977" s="87">
        <v>10.01471</v>
      </c>
      <c r="AF977" s="87">
        <v>12.23075</v>
      </c>
      <c r="AG977" s="87">
        <v>4.074551</v>
      </c>
      <c r="AH977" s="87">
        <v>0.0</v>
      </c>
      <c r="AI977" s="87">
        <v>22.3954</v>
      </c>
      <c r="AJ977" s="87">
        <v>15.01045</v>
      </c>
      <c r="AK977" s="87">
        <v>13.80265</v>
      </c>
      <c r="AL977" s="88" t="s">
        <v>1396</v>
      </c>
    </row>
    <row r="978">
      <c r="A978" s="84" t="s">
        <v>2654</v>
      </c>
      <c r="B978" s="84" t="s">
        <v>2699</v>
      </c>
      <c r="C978" s="84" t="s">
        <v>573</v>
      </c>
      <c r="D978" s="84" t="s">
        <v>2696</v>
      </c>
      <c r="E978" s="84" t="s">
        <v>1400</v>
      </c>
      <c r="F978" s="87">
        <v>8.0</v>
      </c>
      <c r="G978" s="87">
        <v>0.0</v>
      </c>
      <c r="H978" s="87">
        <v>2906.0</v>
      </c>
      <c r="I978" s="87">
        <v>0.0</v>
      </c>
      <c r="J978" s="87">
        <v>101.0505</v>
      </c>
      <c r="K978" s="87">
        <v>109.6447</v>
      </c>
      <c r="L978" s="87">
        <v>101.6946</v>
      </c>
      <c r="M978" s="87">
        <v>83.26444</v>
      </c>
      <c r="N978" s="87">
        <v>0.759402</v>
      </c>
      <c r="O978" s="87">
        <v>0.0</v>
      </c>
      <c r="P978" s="87">
        <v>0.0</v>
      </c>
      <c r="Q978" s="87">
        <v>0.0</v>
      </c>
      <c r="R978" s="87">
        <v>7.822324</v>
      </c>
      <c r="S978" s="87">
        <v>15.19152</v>
      </c>
      <c r="T978" s="87">
        <v>3.366431</v>
      </c>
      <c r="U978" s="87">
        <v>7.822324</v>
      </c>
      <c r="V978" s="87">
        <v>7.822324</v>
      </c>
      <c r="W978" s="87">
        <v>15.19152</v>
      </c>
      <c r="X978" s="87">
        <v>18.55945</v>
      </c>
      <c r="Y978" s="87">
        <v>13.70559</v>
      </c>
      <c r="Z978" s="87">
        <v>0.0</v>
      </c>
      <c r="AA978" s="87">
        <v>64.70498</v>
      </c>
      <c r="AB978" s="87">
        <v>32.27248</v>
      </c>
      <c r="AC978" s="87">
        <v>60.546</v>
      </c>
      <c r="AD978" s="87">
        <v>3.290767</v>
      </c>
      <c r="AE978" s="87">
        <v>7.822324</v>
      </c>
      <c r="AF978" s="87">
        <v>12.21202</v>
      </c>
      <c r="AG978" s="87">
        <v>13.70559</v>
      </c>
      <c r="AH978" s="87">
        <v>0.0</v>
      </c>
      <c r="AI978" s="87">
        <v>22.3954</v>
      </c>
      <c r="AJ978" s="87">
        <v>15.01045</v>
      </c>
      <c r="AK978" s="87">
        <v>13.80265</v>
      </c>
      <c r="AL978" s="88" t="s">
        <v>1396</v>
      </c>
    </row>
    <row r="979">
      <c r="A979" s="84" t="s">
        <v>2656</v>
      </c>
      <c r="B979" s="84" t="s">
        <v>2700</v>
      </c>
      <c r="C979" s="84" t="s">
        <v>573</v>
      </c>
      <c r="D979" s="84" t="s">
        <v>2696</v>
      </c>
      <c r="E979" s="89">
        <v>46300.0</v>
      </c>
      <c r="F979" s="87">
        <v>17.0</v>
      </c>
      <c r="G979" s="87">
        <v>0.0</v>
      </c>
      <c r="H979" s="87">
        <v>40109.0</v>
      </c>
      <c r="I979" s="87">
        <v>0.0</v>
      </c>
      <c r="J979" s="87">
        <v>2008.696</v>
      </c>
      <c r="K979" s="87">
        <v>2109.823</v>
      </c>
      <c r="L979" s="87">
        <v>2270.64</v>
      </c>
      <c r="M979" s="87">
        <v>1441.803</v>
      </c>
      <c r="N979" s="87">
        <v>0.683376</v>
      </c>
      <c r="O979" s="87">
        <v>1.0</v>
      </c>
      <c r="P979" s="87">
        <v>15.05941</v>
      </c>
      <c r="Q979" s="87">
        <v>27.5531</v>
      </c>
      <c r="R979" s="87">
        <v>67.9313</v>
      </c>
      <c r="S979" s="87">
        <v>121.3816</v>
      </c>
      <c r="T979" s="87">
        <v>13.23785</v>
      </c>
      <c r="U979" s="87">
        <v>26.0</v>
      </c>
      <c r="V979" s="87">
        <v>27.5531</v>
      </c>
      <c r="W979" s="87">
        <v>72.51093</v>
      </c>
      <c r="X979" s="87">
        <v>154.8068</v>
      </c>
      <c r="Y979" s="87">
        <v>124.1072</v>
      </c>
      <c r="Z979" s="87">
        <v>0.0</v>
      </c>
      <c r="AA979" s="87">
        <v>64.70498</v>
      </c>
      <c r="AB979" s="87">
        <v>32.27248</v>
      </c>
      <c r="AC979" s="87">
        <v>60.546</v>
      </c>
      <c r="AD979" s="87">
        <v>15.90924</v>
      </c>
      <c r="AE979" s="87">
        <v>25.32017</v>
      </c>
      <c r="AF979" s="87">
        <v>48.9939</v>
      </c>
      <c r="AG979" s="87">
        <v>35.69141</v>
      </c>
      <c r="AH979" s="87">
        <v>0.0</v>
      </c>
      <c r="AI979" s="87">
        <v>22.3954</v>
      </c>
      <c r="AJ979" s="87">
        <v>15.01045</v>
      </c>
      <c r="AK979" s="87">
        <v>13.80265</v>
      </c>
      <c r="AL979" s="88" t="s">
        <v>1396</v>
      </c>
    </row>
    <row r="980">
      <c r="A980" s="84" t="s">
        <v>2658</v>
      </c>
      <c r="B980" s="84" t="s">
        <v>2701</v>
      </c>
      <c r="C980" s="84" t="s">
        <v>573</v>
      </c>
      <c r="D980" s="84" t="s">
        <v>2696</v>
      </c>
      <c r="E980" s="84" t="s">
        <v>1403</v>
      </c>
      <c r="F980" s="87">
        <v>68.0</v>
      </c>
      <c r="G980" s="87">
        <v>4.0</v>
      </c>
      <c r="H980" s="87">
        <v>1868.0</v>
      </c>
      <c r="I980" s="87">
        <v>1868.0</v>
      </c>
      <c r="J980" s="87">
        <v>0.0</v>
      </c>
      <c r="K980" s="87">
        <v>0.0</v>
      </c>
      <c r="L980" s="87">
        <v>0.0</v>
      </c>
      <c r="M980" s="87">
        <v>0.0</v>
      </c>
      <c r="N980" s="87">
        <v>0.0</v>
      </c>
      <c r="O980" s="87">
        <v>0.0</v>
      </c>
      <c r="P980" s="87">
        <v>0.0</v>
      </c>
      <c r="Q980" s="87">
        <v>0.0</v>
      </c>
      <c r="R980" s="87">
        <v>0.0</v>
      </c>
      <c r="S980" s="87">
        <v>0.0</v>
      </c>
      <c r="T980" s="87">
        <v>0.0</v>
      </c>
      <c r="U980" s="87">
        <v>0.0</v>
      </c>
      <c r="V980" s="87">
        <v>0.0</v>
      </c>
      <c r="W980" s="87">
        <v>0.0</v>
      </c>
      <c r="X980" s="87">
        <v>0.0</v>
      </c>
      <c r="Y980" s="87">
        <v>0.0</v>
      </c>
      <c r="Z980" s="87">
        <v>0.0</v>
      </c>
      <c r="AA980" s="87">
        <v>64.70498</v>
      </c>
      <c r="AB980" s="87">
        <v>32.27248</v>
      </c>
      <c r="AC980" s="87">
        <v>60.546</v>
      </c>
      <c r="AD980" s="87">
        <v>0.0</v>
      </c>
      <c r="AE980" s="87">
        <v>0.0</v>
      </c>
      <c r="AF980" s="87">
        <v>0.0</v>
      </c>
      <c r="AG980" s="87">
        <v>0.0</v>
      </c>
      <c r="AH980" s="87">
        <v>0.0</v>
      </c>
      <c r="AI980" s="87">
        <v>22.3954</v>
      </c>
      <c r="AJ980" s="87">
        <v>15.01045</v>
      </c>
      <c r="AK980" s="87">
        <v>13.80265</v>
      </c>
      <c r="AL980" s="88" t="s">
        <v>1396</v>
      </c>
    </row>
    <row r="981">
      <c r="A981" s="84" t="s">
        <v>2646</v>
      </c>
      <c r="B981" s="84" t="s">
        <v>2702</v>
      </c>
      <c r="C981" s="84" t="s">
        <v>573</v>
      </c>
      <c r="D981" s="84" t="s">
        <v>2703</v>
      </c>
      <c r="E981" s="84" t="s">
        <v>1426</v>
      </c>
      <c r="F981" s="87">
        <v>6.0</v>
      </c>
      <c r="G981" s="87">
        <v>0.0</v>
      </c>
      <c r="H981" s="87">
        <v>6212.0</v>
      </c>
      <c r="I981" s="87">
        <v>0.0</v>
      </c>
      <c r="J981" s="87">
        <v>84.38381</v>
      </c>
      <c r="K981" s="87">
        <v>78.31371</v>
      </c>
      <c r="L981" s="87">
        <v>74.86942</v>
      </c>
      <c r="M981" s="87">
        <v>67.41513</v>
      </c>
      <c r="N981" s="87">
        <v>0.860834</v>
      </c>
      <c r="O981" s="87">
        <v>0.0</v>
      </c>
      <c r="P981" s="87">
        <v>0.0</v>
      </c>
      <c r="Q981" s="87">
        <v>0.0</v>
      </c>
      <c r="R981" s="87">
        <v>10.89858</v>
      </c>
      <c r="S981" s="87">
        <v>15.16576</v>
      </c>
      <c r="T981" s="87">
        <v>10.89858</v>
      </c>
      <c r="U981" s="87">
        <v>10.89858</v>
      </c>
      <c r="V981" s="87">
        <v>10.89858</v>
      </c>
      <c r="W981" s="87">
        <v>15.16576</v>
      </c>
      <c r="X981" s="87">
        <v>52.24937</v>
      </c>
      <c r="Y981" s="87">
        <v>13.05228</v>
      </c>
      <c r="Z981" s="87">
        <v>0.0</v>
      </c>
      <c r="AA981" s="87">
        <v>4.524745</v>
      </c>
      <c r="AB981" s="87">
        <v>3.362306</v>
      </c>
      <c r="AC981" s="87">
        <v>1.965209</v>
      </c>
      <c r="AD981" s="87">
        <v>27.40054</v>
      </c>
      <c r="AE981" s="87">
        <v>50.06303</v>
      </c>
      <c r="AF981" s="87">
        <v>58.06657</v>
      </c>
      <c r="AG981" s="87">
        <v>73.22041</v>
      </c>
      <c r="AH981" s="87">
        <v>0.0</v>
      </c>
      <c r="AI981" s="87">
        <v>22.3954</v>
      </c>
      <c r="AJ981" s="87">
        <v>15.01045</v>
      </c>
      <c r="AK981" s="87">
        <v>13.80265</v>
      </c>
      <c r="AL981" s="88" t="s">
        <v>1396</v>
      </c>
    </row>
    <row r="982">
      <c r="A982" s="84" t="s">
        <v>2648</v>
      </c>
      <c r="B982" s="84" t="s">
        <v>2704</v>
      </c>
      <c r="C982" s="84" t="s">
        <v>573</v>
      </c>
      <c r="D982" s="84" t="s">
        <v>2703</v>
      </c>
      <c r="E982" s="86">
        <v>46310.0</v>
      </c>
      <c r="F982" s="87">
        <v>3.0</v>
      </c>
      <c r="G982" s="87">
        <v>0.0</v>
      </c>
      <c r="H982" s="87">
        <v>326.0</v>
      </c>
      <c r="I982" s="87">
        <v>0.0</v>
      </c>
      <c r="J982" s="87">
        <v>5.22851</v>
      </c>
      <c r="K982" s="87">
        <v>5.895628</v>
      </c>
      <c r="L982" s="87">
        <v>4.740996</v>
      </c>
      <c r="M982" s="87">
        <v>4.211393</v>
      </c>
      <c r="N982" s="87">
        <v>0.714325</v>
      </c>
      <c r="O982" s="87">
        <v>0.0</v>
      </c>
      <c r="P982" s="87">
        <v>0.0</v>
      </c>
      <c r="Q982" s="87">
        <v>0.0</v>
      </c>
      <c r="R982" s="87">
        <v>1.684235</v>
      </c>
      <c r="S982" s="87">
        <v>4.211393</v>
      </c>
      <c r="T982" s="87">
        <v>1.684235</v>
      </c>
      <c r="U982" s="87">
        <v>1.684235</v>
      </c>
      <c r="V982" s="87">
        <v>1.684235</v>
      </c>
      <c r="W982" s="87">
        <v>4.211393</v>
      </c>
      <c r="X982" s="87">
        <v>4.211393</v>
      </c>
      <c r="Y982" s="87">
        <v>1.965209</v>
      </c>
      <c r="Z982" s="87">
        <v>0.0</v>
      </c>
      <c r="AA982" s="87">
        <v>4.524745</v>
      </c>
      <c r="AB982" s="87">
        <v>3.362306</v>
      </c>
      <c r="AC982" s="87">
        <v>1.965209</v>
      </c>
      <c r="AD982" s="87">
        <v>14.08066</v>
      </c>
      <c r="AE982" s="87">
        <v>25.75344</v>
      </c>
      <c r="AF982" s="87">
        <v>38.02622</v>
      </c>
      <c r="AG982" s="87">
        <v>23.65956</v>
      </c>
      <c r="AH982" s="87">
        <v>0.0</v>
      </c>
      <c r="AI982" s="87">
        <v>22.3954</v>
      </c>
      <c r="AJ982" s="87">
        <v>15.01045</v>
      </c>
      <c r="AK982" s="87">
        <v>13.80265</v>
      </c>
      <c r="AL982" s="88" t="s">
        <v>1396</v>
      </c>
    </row>
    <row r="983">
      <c r="A983" s="84" t="s">
        <v>2650</v>
      </c>
      <c r="B983" s="84" t="s">
        <v>2705</v>
      </c>
      <c r="C983" s="84" t="s">
        <v>573</v>
      </c>
      <c r="D983" s="84" t="s">
        <v>2703</v>
      </c>
      <c r="E983" s="84" t="s">
        <v>1413</v>
      </c>
      <c r="F983" s="87">
        <v>6.0</v>
      </c>
      <c r="G983" s="87">
        <v>0.0</v>
      </c>
      <c r="H983" s="87">
        <v>895.0</v>
      </c>
      <c r="I983" s="87">
        <v>0.0</v>
      </c>
      <c r="J983" s="87">
        <v>11.02774</v>
      </c>
      <c r="K983" s="87">
        <v>10.97318</v>
      </c>
      <c r="L983" s="87">
        <v>11.11863</v>
      </c>
      <c r="M983" s="87">
        <v>10.97318</v>
      </c>
      <c r="N983" s="87">
        <v>1.0</v>
      </c>
      <c r="O983" s="87">
        <v>0.0</v>
      </c>
      <c r="P983" s="87">
        <v>0.0</v>
      </c>
      <c r="Q983" s="87">
        <v>0.0</v>
      </c>
      <c r="R983" s="87">
        <v>0.0</v>
      </c>
      <c r="S983" s="87">
        <v>0.083333</v>
      </c>
      <c r="T983" s="87">
        <v>0.083333</v>
      </c>
      <c r="U983" s="87">
        <v>0.083333</v>
      </c>
      <c r="V983" s="87">
        <v>0.083333</v>
      </c>
      <c r="W983" s="87">
        <v>10.88985</v>
      </c>
      <c r="X983" s="87">
        <v>10.88985</v>
      </c>
      <c r="Y983" s="87">
        <v>1.828864</v>
      </c>
      <c r="Z983" s="87">
        <v>0.0</v>
      </c>
      <c r="AA983" s="87">
        <v>4.524745</v>
      </c>
      <c r="AB983" s="87">
        <v>3.362306</v>
      </c>
      <c r="AC983" s="87">
        <v>1.965209</v>
      </c>
      <c r="AD983" s="87">
        <v>5.953594</v>
      </c>
      <c r="AE983" s="87">
        <v>10.01471</v>
      </c>
      <c r="AF983" s="87">
        <v>12.23075</v>
      </c>
      <c r="AG983" s="87">
        <v>4.074551</v>
      </c>
      <c r="AH983" s="87">
        <v>0.0</v>
      </c>
      <c r="AI983" s="87">
        <v>22.3954</v>
      </c>
      <c r="AJ983" s="87">
        <v>15.01045</v>
      </c>
      <c r="AK983" s="87">
        <v>13.80265</v>
      </c>
      <c r="AL983" s="88" t="s">
        <v>1396</v>
      </c>
    </row>
    <row r="984">
      <c r="A984" s="84" t="s">
        <v>2652</v>
      </c>
      <c r="B984" s="84" t="s">
        <v>2706</v>
      </c>
      <c r="C984" s="84" t="s">
        <v>573</v>
      </c>
      <c r="D984" s="84" t="s">
        <v>2703</v>
      </c>
      <c r="E984" s="84" t="s">
        <v>1398</v>
      </c>
      <c r="F984" s="87">
        <v>4.0</v>
      </c>
      <c r="G984" s="87">
        <v>0.0</v>
      </c>
      <c r="H984" s="87">
        <v>1131.0</v>
      </c>
      <c r="I984" s="87">
        <v>0.0</v>
      </c>
      <c r="J984" s="87">
        <v>8.311905</v>
      </c>
      <c r="K984" s="87">
        <v>9.871397</v>
      </c>
      <c r="L984" s="87">
        <v>11.17884</v>
      </c>
      <c r="M984" s="87">
        <v>4.524745</v>
      </c>
      <c r="N984" s="87">
        <v>0.458369</v>
      </c>
      <c r="O984" s="87">
        <v>0.0</v>
      </c>
      <c r="P984" s="87">
        <v>0.0</v>
      </c>
      <c r="Q984" s="87">
        <v>1.567406</v>
      </c>
      <c r="R984" s="87">
        <v>3.779246</v>
      </c>
      <c r="S984" s="87">
        <v>3.779246</v>
      </c>
      <c r="T984" s="87">
        <v>1.567406</v>
      </c>
      <c r="U984" s="87">
        <v>1.567406</v>
      </c>
      <c r="V984" s="87">
        <v>1.567406</v>
      </c>
      <c r="W984" s="87">
        <v>3.779246</v>
      </c>
      <c r="X984" s="87">
        <v>4.524745</v>
      </c>
      <c r="Y984" s="87">
        <v>2.467849</v>
      </c>
      <c r="Z984" s="87">
        <v>0.0</v>
      </c>
      <c r="AA984" s="87">
        <v>4.524745</v>
      </c>
      <c r="AB984" s="87">
        <v>3.362306</v>
      </c>
      <c r="AC984" s="87">
        <v>1.965209</v>
      </c>
      <c r="AD984" s="87">
        <v>3.779246</v>
      </c>
      <c r="AE984" s="87">
        <v>7.576134</v>
      </c>
      <c r="AF984" s="87">
        <v>8.717212</v>
      </c>
      <c r="AG984" s="87">
        <v>7.368916</v>
      </c>
      <c r="AH984" s="87">
        <v>0.0</v>
      </c>
      <c r="AI984" s="87">
        <v>22.3954</v>
      </c>
      <c r="AJ984" s="87">
        <v>15.01045</v>
      </c>
      <c r="AK984" s="87">
        <v>13.80265</v>
      </c>
      <c r="AL984" s="88" t="s">
        <v>1396</v>
      </c>
    </row>
    <row r="985">
      <c r="A985" s="84" t="s">
        <v>2654</v>
      </c>
      <c r="B985" s="84" t="s">
        <v>2707</v>
      </c>
      <c r="C985" s="84" t="s">
        <v>573</v>
      </c>
      <c r="D985" s="84" t="s">
        <v>2703</v>
      </c>
      <c r="E985" s="84" t="s">
        <v>1400</v>
      </c>
      <c r="F985" s="87">
        <v>6.0</v>
      </c>
      <c r="G985" s="87">
        <v>0.0</v>
      </c>
      <c r="H985" s="87">
        <v>1196.0</v>
      </c>
      <c r="I985" s="87">
        <v>0.0</v>
      </c>
      <c r="J985" s="87">
        <v>5.005891</v>
      </c>
      <c r="K985" s="87">
        <v>6.790539</v>
      </c>
      <c r="L985" s="87">
        <v>6.767263</v>
      </c>
      <c r="M985" s="87">
        <v>4.844899</v>
      </c>
      <c r="N985" s="87">
        <v>0.713478</v>
      </c>
      <c r="O985" s="87">
        <v>0.0</v>
      </c>
      <c r="P985" s="87">
        <v>0.179167</v>
      </c>
      <c r="Q985" s="87">
        <v>0.179167</v>
      </c>
      <c r="R985" s="87">
        <v>1.483407</v>
      </c>
      <c r="S985" s="87">
        <v>1.685801</v>
      </c>
      <c r="T985" s="87">
        <v>0.179167</v>
      </c>
      <c r="U985" s="87">
        <v>0.283066</v>
      </c>
      <c r="V985" s="87">
        <v>0.283066</v>
      </c>
      <c r="W985" s="87">
        <v>1.483407</v>
      </c>
      <c r="X985" s="87">
        <v>1.685801</v>
      </c>
      <c r="Y985" s="87">
        <v>1.131757</v>
      </c>
      <c r="Z985" s="87">
        <v>0.0</v>
      </c>
      <c r="AA985" s="87">
        <v>4.524745</v>
      </c>
      <c r="AB985" s="87">
        <v>3.362306</v>
      </c>
      <c r="AC985" s="87">
        <v>1.965209</v>
      </c>
      <c r="AD985" s="87">
        <v>3.290767</v>
      </c>
      <c r="AE985" s="87">
        <v>7.822324</v>
      </c>
      <c r="AF985" s="87">
        <v>12.21202</v>
      </c>
      <c r="AG985" s="87">
        <v>13.70559</v>
      </c>
      <c r="AH985" s="87">
        <v>0.0</v>
      </c>
      <c r="AI985" s="87">
        <v>22.3954</v>
      </c>
      <c r="AJ985" s="87">
        <v>15.01045</v>
      </c>
      <c r="AK985" s="87">
        <v>13.80265</v>
      </c>
      <c r="AL985" s="88" t="s">
        <v>1396</v>
      </c>
    </row>
    <row r="986">
      <c r="A986" s="84" t="s">
        <v>2656</v>
      </c>
      <c r="B986" s="84" t="s">
        <v>2708</v>
      </c>
      <c r="C986" s="84" t="s">
        <v>573</v>
      </c>
      <c r="D986" s="84" t="s">
        <v>2703</v>
      </c>
      <c r="E986" s="89">
        <v>46300.0</v>
      </c>
      <c r="F986" s="87">
        <v>7.0</v>
      </c>
      <c r="G986" s="87">
        <v>0.0</v>
      </c>
      <c r="H986" s="87">
        <v>7509.0</v>
      </c>
      <c r="I986" s="87">
        <v>0.0</v>
      </c>
      <c r="J986" s="87">
        <v>84.25083</v>
      </c>
      <c r="K986" s="87">
        <v>96.61855</v>
      </c>
      <c r="L986" s="87">
        <v>99.75389</v>
      </c>
      <c r="M986" s="87">
        <v>49.51141</v>
      </c>
      <c r="N986" s="87">
        <v>0.512442</v>
      </c>
      <c r="O986" s="87">
        <v>0.1125</v>
      </c>
      <c r="P986" s="87">
        <v>5.73955</v>
      </c>
      <c r="Q986" s="87">
        <v>11.42978</v>
      </c>
      <c r="R986" s="87">
        <v>12.1831</v>
      </c>
      <c r="S986" s="87">
        <v>17.64222</v>
      </c>
      <c r="T986" s="87">
        <v>0.1125</v>
      </c>
      <c r="U986" s="87">
        <v>5.73955</v>
      </c>
      <c r="V986" s="87">
        <v>11.42978</v>
      </c>
      <c r="W986" s="87">
        <v>12.1831</v>
      </c>
      <c r="X986" s="87">
        <v>17.64222</v>
      </c>
      <c r="Y986" s="87">
        <v>13.80265</v>
      </c>
      <c r="Z986" s="87">
        <v>0.0</v>
      </c>
      <c r="AA986" s="87">
        <v>4.524745</v>
      </c>
      <c r="AB986" s="87">
        <v>3.362306</v>
      </c>
      <c r="AC986" s="87">
        <v>1.965209</v>
      </c>
      <c r="AD986" s="87">
        <v>15.90924</v>
      </c>
      <c r="AE986" s="87">
        <v>25.32017</v>
      </c>
      <c r="AF986" s="87">
        <v>48.9939</v>
      </c>
      <c r="AG986" s="87">
        <v>35.69141</v>
      </c>
      <c r="AH986" s="87">
        <v>0.0</v>
      </c>
      <c r="AI986" s="87">
        <v>22.3954</v>
      </c>
      <c r="AJ986" s="87">
        <v>15.01045</v>
      </c>
      <c r="AK986" s="87">
        <v>13.80265</v>
      </c>
      <c r="AL986" s="88" t="s">
        <v>1396</v>
      </c>
    </row>
    <row r="987">
      <c r="A987" s="84" t="s">
        <v>2658</v>
      </c>
      <c r="B987" s="84" t="s">
        <v>2709</v>
      </c>
      <c r="C987" s="84" t="s">
        <v>573</v>
      </c>
      <c r="D987" s="84" t="s">
        <v>2703</v>
      </c>
      <c r="E987" s="84" t="s">
        <v>1403</v>
      </c>
      <c r="F987" s="87">
        <v>30.0</v>
      </c>
      <c r="G987" s="87">
        <v>3.0</v>
      </c>
      <c r="H987" s="87">
        <v>124.0</v>
      </c>
      <c r="I987" s="87">
        <v>124.0</v>
      </c>
      <c r="J987" s="87">
        <v>0.0</v>
      </c>
      <c r="K987" s="87">
        <v>0.0</v>
      </c>
      <c r="L987" s="87">
        <v>0.0</v>
      </c>
      <c r="M987" s="87">
        <v>0.0</v>
      </c>
      <c r="N987" s="87">
        <v>0.0</v>
      </c>
      <c r="O987" s="87">
        <v>0.0</v>
      </c>
      <c r="P987" s="87">
        <v>0.0</v>
      </c>
      <c r="Q987" s="87">
        <v>0.0</v>
      </c>
      <c r="R987" s="87">
        <v>0.0</v>
      </c>
      <c r="S987" s="87">
        <v>0.0</v>
      </c>
      <c r="T987" s="87">
        <v>0.0</v>
      </c>
      <c r="U987" s="87">
        <v>0.0</v>
      </c>
      <c r="V987" s="87">
        <v>0.0</v>
      </c>
      <c r="W987" s="87">
        <v>0.0</v>
      </c>
      <c r="X987" s="87">
        <v>0.0</v>
      </c>
      <c r="Y987" s="87">
        <v>0.0</v>
      </c>
      <c r="Z987" s="87">
        <v>0.0</v>
      </c>
      <c r="AA987" s="87">
        <v>4.524745</v>
      </c>
      <c r="AB987" s="87">
        <v>3.362306</v>
      </c>
      <c r="AC987" s="87">
        <v>1.965209</v>
      </c>
      <c r="AD987" s="87">
        <v>0.0</v>
      </c>
      <c r="AE987" s="87">
        <v>0.0</v>
      </c>
      <c r="AF987" s="87">
        <v>0.0</v>
      </c>
      <c r="AG987" s="87">
        <v>0.0</v>
      </c>
      <c r="AH987" s="87">
        <v>0.0</v>
      </c>
      <c r="AI987" s="87">
        <v>22.3954</v>
      </c>
      <c r="AJ987" s="87">
        <v>15.01045</v>
      </c>
      <c r="AK987" s="87">
        <v>13.80265</v>
      </c>
      <c r="AL987" s="88" t="s">
        <v>1396</v>
      </c>
    </row>
    <row r="988">
      <c r="A988" s="84" t="s">
        <v>2646</v>
      </c>
      <c r="B988" s="84" t="s">
        <v>2710</v>
      </c>
      <c r="C988" s="84" t="s">
        <v>573</v>
      </c>
      <c r="D988" s="84" t="s">
        <v>2711</v>
      </c>
      <c r="E988" s="84" t="s">
        <v>1426</v>
      </c>
      <c r="F988" s="87">
        <v>28.0</v>
      </c>
      <c r="G988" s="87">
        <v>0.0</v>
      </c>
      <c r="H988" s="87">
        <v>19089.0</v>
      </c>
      <c r="I988" s="87">
        <v>0.0</v>
      </c>
      <c r="J988" s="87">
        <v>1160.777</v>
      </c>
      <c r="K988" s="87">
        <v>1184.076</v>
      </c>
      <c r="L988" s="87">
        <v>1128.715</v>
      </c>
      <c r="M988" s="87">
        <v>793.7798</v>
      </c>
      <c r="N988" s="87">
        <v>0.670379</v>
      </c>
      <c r="O988" s="87">
        <v>0.0</v>
      </c>
      <c r="P988" s="87">
        <v>0.0</v>
      </c>
      <c r="Q988" s="87">
        <v>0.0</v>
      </c>
      <c r="R988" s="87">
        <v>24.38911</v>
      </c>
      <c r="S988" s="87">
        <v>53.24201</v>
      </c>
      <c r="T988" s="87">
        <v>0.583333</v>
      </c>
      <c r="U988" s="87">
        <v>12.71589</v>
      </c>
      <c r="V988" s="87">
        <v>24.38911</v>
      </c>
      <c r="W988" s="87">
        <v>51.1597</v>
      </c>
      <c r="X988" s="87">
        <v>82.44104</v>
      </c>
      <c r="Y988" s="87">
        <v>42.28843</v>
      </c>
      <c r="Z988" s="87">
        <v>0.0</v>
      </c>
      <c r="AA988" s="87">
        <v>29.9</v>
      </c>
      <c r="AB988" s="87">
        <v>15.50626</v>
      </c>
      <c r="AC988" s="87">
        <v>16.39328</v>
      </c>
      <c r="AD988" s="87">
        <v>27.40054</v>
      </c>
      <c r="AE988" s="87">
        <v>50.06303</v>
      </c>
      <c r="AF988" s="87">
        <v>58.06657</v>
      </c>
      <c r="AG988" s="87">
        <v>73.22041</v>
      </c>
      <c r="AH988" s="87">
        <v>0.0</v>
      </c>
      <c r="AI988" s="87">
        <v>22.3954</v>
      </c>
      <c r="AJ988" s="87">
        <v>15.01045</v>
      </c>
      <c r="AK988" s="87">
        <v>13.80265</v>
      </c>
      <c r="AL988" s="88" t="s">
        <v>1396</v>
      </c>
    </row>
    <row r="989">
      <c r="A989" s="84" t="s">
        <v>2648</v>
      </c>
      <c r="B989" s="84" t="s">
        <v>2712</v>
      </c>
      <c r="C989" s="84" t="s">
        <v>573</v>
      </c>
      <c r="D989" s="84" t="s">
        <v>2711</v>
      </c>
      <c r="E989" s="86">
        <v>46310.0</v>
      </c>
      <c r="F989" s="87">
        <v>10.0</v>
      </c>
      <c r="G989" s="87">
        <v>0.0</v>
      </c>
      <c r="H989" s="87">
        <v>5975.0</v>
      </c>
      <c r="I989" s="87">
        <v>0.0</v>
      </c>
      <c r="J989" s="87">
        <v>173.4481</v>
      </c>
      <c r="K989" s="87">
        <v>163.9328</v>
      </c>
      <c r="L989" s="87">
        <v>149.0033</v>
      </c>
      <c r="M989" s="87">
        <v>126.7635</v>
      </c>
      <c r="N989" s="87">
        <v>0.773265</v>
      </c>
      <c r="O989" s="87">
        <v>0.0</v>
      </c>
      <c r="P989" s="87">
        <v>0.0</v>
      </c>
      <c r="Q989" s="87">
        <v>0.0</v>
      </c>
      <c r="R989" s="87">
        <v>0.0</v>
      </c>
      <c r="S989" s="87">
        <v>19.08192</v>
      </c>
      <c r="T989" s="87">
        <v>18.08738</v>
      </c>
      <c r="U989" s="87">
        <v>18.08738</v>
      </c>
      <c r="V989" s="87">
        <v>19.08192</v>
      </c>
      <c r="W989" s="87">
        <v>55.68022</v>
      </c>
      <c r="X989" s="87">
        <v>55.68022</v>
      </c>
      <c r="Y989" s="87">
        <v>16.39328</v>
      </c>
      <c r="Z989" s="87">
        <v>0.0</v>
      </c>
      <c r="AA989" s="87">
        <v>29.9</v>
      </c>
      <c r="AB989" s="87">
        <v>15.50626</v>
      </c>
      <c r="AC989" s="87">
        <v>16.39328</v>
      </c>
      <c r="AD989" s="87">
        <v>14.08066</v>
      </c>
      <c r="AE989" s="87">
        <v>25.75344</v>
      </c>
      <c r="AF989" s="87">
        <v>38.02622</v>
      </c>
      <c r="AG989" s="87">
        <v>23.65956</v>
      </c>
      <c r="AH989" s="87">
        <v>0.0</v>
      </c>
      <c r="AI989" s="87">
        <v>22.3954</v>
      </c>
      <c r="AJ989" s="87">
        <v>15.01045</v>
      </c>
      <c r="AK989" s="87">
        <v>13.80265</v>
      </c>
      <c r="AL989" s="88" t="s">
        <v>1396</v>
      </c>
    </row>
    <row r="990">
      <c r="A990" s="84" t="s">
        <v>2650</v>
      </c>
      <c r="B990" s="84" t="s">
        <v>2713</v>
      </c>
      <c r="C990" s="84" t="s">
        <v>573</v>
      </c>
      <c r="D990" s="84" t="s">
        <v>2711</v>
      </c>
      <c r="E990" s="84" t="s">
        <v>1413</v>
      </c>
      <c r="F990" s="87">
        <v>5.0</v>
      </c>
      <c r="G990" s="87">
        <v>0.0</v>
      </c>
      <c r="H990" s="87">
        <v>0.0</v>
      </c>
      <c r="I990" s="87">
        <v>0.0</v>
      </c>
      <c r="J990" s="87">
        <v>0.5</v>
      </c>
      <c r="K990" s="87">
        <v>0.5</v>
      </c>
      <c r="L990" s="87">
        <v>0.7</v>
      </c>
      <c r="M990" s="87">
        <v>0.5</v>
      </c>
      <c r="N990" s="87">
        <v>1.0</v>
      </c>
      <c r="O990" s="87">
        <v>0.0</v>
      </c>
      <c r="P990" s="87">
        <v>0.0</v>
      </c>
      <c r="Q990" s="87">
        <v>0.0</v>
      </c>
      <c r="R990" s="87">
        <v>0.0</v>
      </c>
      <c r="S990" s="87">
        <v>0.0</v>
      </c>
      <c r="T990" s="87">
        <v>0.5</v>
      </c>
      <c r="U990" s="87">
        <v>0.5</v>
      </c>
      <c r="V990" s="87">
        <v>0.5</v>
      </c>
      <c r="W990" s="87">
        <v>0.5</v>
      </c>
      <c r="X990" s="87">
        <v>0.5</v>
      </c>
      <c r="Y990" s="87">
        <v>0.1</v>
      </c>
      <c r="Z990" s="87">
        <v>0.0</v>
      </c>
      <c r="AA990" s="87">
        <v>29.9</v>
      </c>
      <c r="AB990" s="87">
        <v>15.50626</v>
      </c>
      <c r="AC990" s="87">
        <v>16.39328</v>
      </c>
      <c r="AD990" s="87">
        <v>5.953594</v>
      </c>
      <c r="AE990" s="87">
        <v>10.01471</v>
      </c>
      <c r="AF990" s="87">
        <v>12.23075</v>
      </c>
      <c r="AG990" s="87">
        <v>4.074551</v>
      </c>
      <c r="AH990" s="87">
        <v>0.0</v>
      </c>
      <c r="AI990" s="87">
        <v>22.3954</v>
      </c>
      <c r="AJ990" s="87">
        <v>15.01045</v>
      </c>
      <c r="AK990" s="87">
        <v>13.80265</v>
      </c>
      <c r="AL990" s="88" t="s">
        <v>1396</v>
      </c>
    </row>
    <row r="991">
      <c r="A991" s="84" t="s">
        <v>2652</v>
      </c>
      <c r="B991" s="84" t="s">
        <v>2714</v>
      </c>
      <c r="C991" s="84" t="s">
        <v>573</v>
      </c>
      <c r="D991" s="84" t="s">
        <v>2711</v>
      </c>
      <c r="E991" s="84" t="s">
        <v>1398</v>
      </c>
      <c r="F991" s="87">
        <v>5.0</v>
      </c>
      <c r="G991" s="87">
        <v>0.0</v>
      </c>
      <c r="H991" s="87">
        <v>711.0</v>
      </c>
      <c r="I991" s="87">
        <v>0.0</v>
      </c>
      <c r="J991" s="87">
        <v>13.18823</v>
      </c>
      <c r="K991" s="87">
        <v>12.99071</v>
      </c>
      <c r="L991" s="87">
        <v>11.37516</v>
      </c>
      <c r="M991" s="87">
        <v>12.99071</v>
      </c>
      <c r="N991" s="87">
        <v>1.0</v>
      </c>
      <c r="O991" s="87">
        <v>0.0</v>
      </c>
      <c r="P991" s="87">
        <v>0.0</v>
      </c>
      <c r="Q991" s="87">
        <v>0.0</v>
      </c>
      <c r="R991" s="87">
        <v>0.0</v>
      </c>
      <c r="S991" s="87">
        <v>0.0</v>
      </c>
      <c r="T991" s="87">
        <v>12.99071</v>
      </c>
      <c r="U991" s="87">
        <v>12.99071</v>
      </c>
      <c r="V991" s="87">
        <v>12.99071</v>
      </c>
      <c r="W991" s="87">
        <v>12.99071</v>
      </c>
      <c r="X991" s="87">
        <v>12.99071</v>
      </c>
      <c r="Y991" s="87">
        <v>2.598142</v>
      </c>
      <c r="Z991" s="87">
        <v>0.0</v>
      </c>
      <c r="AA991" s="87">
        <v>29.9</v>
      </c>
      <c r="AB991" s="87">
        <v>15.50626</v>
      </c>
      <c r="AC991" s="87">
        <v>16.39328</v>
      </c>
      <c r="AD991" s="87">
        <v>3.779246</v>
      </c>
      <c r="AE991" s="87">
        <v>7.576134</v>
      </c>
      <c r="AF991" s="87">
        <v>8.717212</v>
      </c>
      <c r="AG991" s="87">
        <v>7.368916</v>
      </c>
      <c r="AH991" s="87">
        <v>0.0</v>
      </c>
      <c r="AI991" s="87">
        <v>22.3954</v>
      </c>
      <c r="AJ991" s="87">
        <v>15.01045</v>
      </c>
      <c r="AK991" s="87">
        <v>13.80265</v>
      </c>
      <c r="AL991" s="88" t="s">
        <v>1396</v>
      </c>
    </row>
    <row r="992">
      <c r="A992" s="84" t="s">
        <v>2656</v>
      </c>
      <c r="B992" s="84" t="s">
        <v>2715</v>
      </c>
      <c r="C992" s="84" t="s">
        <v>573</v>
      </c>
      <c r="D992" s="84" t="s">
        <v>2711</v>
      </c>
      <c r="E992" s="89">
        <v>46300.0</v>
      </c>
      <c r="F992" s="87">
        <v>14.0</v>
      </c>
      <c r="G992" s="87">
        <v>0.0</v>
      </c>
      <c r="H992" s="87">
        <v>20251.0</v>
      </c>
      <c r="I992" s="87">
        <v>0.0</v>
      </c>
      <c r="J992" s="87">
        <v>663.2412</v>
      </c>
      <c r="K992" s="87">
        <v>638.8081</v>
      </c>
      <c r="L992" s="87">
        <v>632.9733</v>
      </c>
      <c r="M992" s="87">
        <v>455.9578</v>
      </c>
      <c r="N992" s="87">
        <v>0.713763</v>
      </c>
      <c r="O992" s="87">
        <v>0.0</v>
      </c>
      <c r="P992" s="87">
        <v>0.0</v>
      </c>
      <c r="Q992" s="87">
        <v>1.0</v>
      </c>
      <c r="R992" s="87">
        <v>11.01842</v>
      </c>
      <c r="S992" s="87">
        <v>35.03836</v>
      </c>
      <c r="T992" s="87">
        <v>1.305903</v>
      </c>
      <c r="U992" s="87">
        <v>6.830925</v>
      </c>
      <c r="V992" s="87">
        <v>11.01842</v>
      </c>
      <c r="W992" s="87">
        <v>35.03836</v>
      </c>
      <c r="X992" s="87">
        <v>110.5058</v>
      </c>
      <c r="Y992" s="87">
        <v>45.62915</v>
      </c>
      <c r="Z992" s="87">
        <v>0.0</v>
      </c>
      <c r="AA992" s="87">
        <v>29.9</v>
      </c>
      <c r="AB992" s="87">
        <v>15.50626</v>
      </c>
      <c r="AC992" s="87">
        <v>16.39328</v>
      </c>
      <c r="AD992" s="87">
        <v>15.90924</v>
      </c>
      <c r="AE992" s="87">
        <v>25.32017</v>
      </c>
      <c r="AF992" s="87">
        <v>48.9939</v>
      </c>
      <c r="AG992" s="87">
        <v>35.69141</v>
      </c>
      <c r="AH992" s="87">
        <v>0.0</v>
      </c>
      <c r="AI992" s="87">
        <v>22.3954</v>
      </c>
      <c r="AJ992" s="87">
        <v>15.01045</v>
      </c>
      <c r="AK992" s="87">
        <v>13.80265</v>
      </c>
      <c r="AL992" s="88" t="s">
        <v>1396</v>
      </c>
    </row>
    <row r="993">
      <c r="A993" s="84" t="s">
        <v>2658</v>
      </c>
      <c r="B993" s="84" t="s">
        <v>2716</v>
      </c>
      <c r="C993" s="84" t="s">
        <v>573</v>
      </c>
      <c r="D993" s="84" t="s">
        <v>2711</v>
      </c>
      <c r="E993" s="84" t="s">
        <v>1403</v>
      </c>
      <c r="F993" s="87">
        <v>67.0</v>
      </c>
      <c r="G993" s="87">
        <v>3.0</v>
      </c>
      <c r="H993" s="87">
        <v>128.0</v>
      </c>
      <c r="I993" s="87">
        <v>128.0</v>
      </c>
      <c r="J993" s="87">
        <v>0.0</v>
      </c>
      <c r="K993" s="87">
        <v>0.0</v>
      </c>
      <c r="L993" s="87">
        <v>0.0</v>
      </c>
      <c r="M993" s="87">
        <v>0.0</v>
      </c>
      <c r="N993" s="87">
        <v>0.0</v>
      </c>
      <c r="O993" s="87">
        <v>0.0</v>
      </c>
      <c r="P993" s="87">
        <v>0.0</v>
      </c>
      <c r="Q993" s="87">
        <v>0.0</v>
      </c>
      <c r="R993" s="87">
        <v>0.0</v>
      </c>
      <c r="S993" s="87">
        <v>0.0</v>
      </c>
      <c r="T993" s="87">
        <v>0.0</v>
      </c>
      <c r="U993" s="87">
        <v>0.0</v>
      </c>
      <c r="V993" s="87">
        <v>0.0</v>
      </c>
      <c r="W993" s="87">
        <v>0.0</v>
      </c>
      <c r="X993" s="87">
        <v>0.0</v>
      </c>
      <c r="Y993" s="87">
        <v>0.0</v>
      </c>
      <c r="Z993" s="87">
        <v>0.0</v>
      </c>
      <c r="AA993" s="87">
        <v>29.9</v>
      </c>
      <c r="AB993" s="87">
        <v>15.50626</v>
      </c>
      <c r="AC993" s="87">
        <v>16.39328</v>
      </c>
      <c r="AD993" s="87">
        <v>0.0</v>
      </c>
      <c r="AE993" s="87">
        <v>0.0</v>
      </c>
      <c r="AF993" s="87">
        <v>0.0</v>
      </c>
      <c r="AG993" s="87">
        <v>0.0</v>
      </c>
      <c r="AH993" s="87">
        <v>0.0</v>
      </c>
      <c r="AI993" s="87">
        <v>22.3954</v>
      </c>
      <c r="AJ993" s="87">
        <v>15.01045</v>
      </c>
      <c r="AK993" s="87">
        <v>13.80265</v>
      </c>
      <c r="AL993" s="88" t="s">
        <v>1396</v>
      </c>
    </row>
    <row r="994">
      <c r="A994" s="84" t="s">
        <v>2717</v>
      </c>
      <c r="B994" s="84" t="s">
        <v>2718</v>
      </c>
      <c r="C994" s="84" t="s">
        <v>2719</v>
      </c>
      <c r="D994" s="84" t="s">
        <v>2720</v>
      </c>
      <c r="E994" s="84" t="s">
        <v>1400</v>
      </c>
      <c r="F994" s="87">
        <v>9.0</v>
      </c>
      <c r="G994" s="87">
        <v>6.0</v>
      </c>
      <c r="H994" s="87">
        <v>127.0</v>
      </c>
      <c r="I994" s="87">
        <v>127.0</v>
      </c>
      <c r="J994" s="87">
        <v>0.0</v>
      </c>
      <c r="K994" s="87">
        <v>0.0</v>
      </c>
      <c r="L994" s="87">
        <v>0.0</v>
      </c>
      <c r="M994" s="87">
        <v>0.0</v>
      </c>
      <c r="N994" s="87">
        <v>0.0</v>
      </c>
      <c r="O994" s="87">
        <v>0.0</v>
      </c>
      <c r="P994" s="87">
        <v>0.0</v>
      </c>
      <c r="Q994" s="87">
        <v>0.0</v>
      </c>
      <c r="R994" s="87">
        <v>0.0</v>
      </c>
      <c r="S994" s="87">
        <v>0.0</v>
      </c>
      <c r="T994" s="87">
        <v>0.0</v>
      </c>
      <c r="U994" s="87">
        <v>0.0</v>
      </c>
      <c r="V994" s="87">
        <v>0.0</v>
      </c>
      <c r="W994" s="87">
        <v>0.0</v>
      </c>
      <c r="X994" s="87">
        <v>0.0</v>
      </c>
      <c r="Y994" s="87">
        <v>0.0</v>
      </c>
      <c r="Z994" s="87">
        <v>0.0</v>
      </c>
      <c r="AA994" s="87">
        <v>0.0</v>
      </c>
      <c r="AB994" s="87">
        <v>0.0</v>
      </c>
      <c r="AC994" s="87">
        <v>0.0</v>
      </c>
      <c r="AD994" s="87">
        <v>0.0</v>
      </c>
      <c r="AE994" s="87">
        <v>0.033333</v>
      </c>
      <c r="AF994" s="87">
        <v>0.001299</v>
      </c>
      <c r="AG994" s="87">
        <v>0.0</v>
      </c>
      <c r="AH994" s="87">
        <v>0.0</v>
      </c>
      <c r="AI994" s="87">
        <v>0.033333</v>
      </c>
      <c r="AJ994" s="87">
        <v>3.56E-4</v>
      </c>
      <c r="AK994" s="87">
        <v>0.0</v>
      </c>
      <c r="AL994" s="88" t="s">
        <v>1396</v>
      </c>
    </row>
    <row r="995">
      <c r="A995" s="84" t="s">
        <v>2721</v>
      </c>
      <c r="B995" s="84" t="s">
        <v>2722</v>
      </c>
      <c r="C995" s="84" t="s">
        <v>2719</v>
      </c>
      <c r="D995" s="84" t="s">
        <v>2720</v>
      </c>
      <c r="E995" s="84" t="s">
        <v>1403</v>
      </c>
      <c r="F995" s="87">
        <v>2.0</v>
      </c>
      <c r="G995" s="87">
        <v>0.0</v>
      </c>
      <c r="H995" s="87">
        <v>0.0</v>
      </c>
      <c r="I995" s="87">
        <v>0.0</v>
      </c>
      <c r="J995" s="87">
        <v>0.0</v>
      </c>
      <c r="K995" s="87">
        <v>0.0</v>
      </c>
      <c r="L995" s="87">
        <v>0.0</v>
      </c>
      <c r="M995" s="87">
        <v>0.0</v>
      </c>
      <c r="N995" s="87">
        <v>0.0</v>
      </c>
      <c r="O995" s="87">
        <v>0.0</v>
      </c>
      <c r="P995" s="87">
        <v>0.0</v>
      </c>
      <c r="Q995" s="87">
        <v>0.0</v>
      </c>
      <c r="R995" s="87">
        <v>0.0</v>
      </c>
      <c r="S995" s="87">
        <v>0.0</v>
      </c>
      <c r="T995" s="87">
        <v>0.0</v>
      </c>
      <c r="U995" s="87">
        <v>0.0</v>
      </c>
      <c r="V995" s="87">
        <v>0.0</v>
      </c>
      <c r="W995" s="87">
        <v>0.0</v>
      </c>
      <c r="X995" s="87">
        <v>0.0</v>
      </c>
      <c r="Y995" s="87">
        <v>0.0</v>
      </c>
      <c r="Z995" s="87">
        <v>0.0</v>
      </c>
      <c r="AA995" s="87">
        <v>0.0</v>
      </c>
      <c r="AB995" s="87">
        <v>0.0</v>
      </c>
      <c r="AC995" s="87">
        <v>0.0</v>
      </c>
      <c r="AD995" s="87">
        <v>0.0</v>
      </c>
      <c r="AE995" s="87">
        <v>0.0</v>
      </c>
      <c r="AF995" s="87">
        <v>0.0</v>
      </c>
      <c r="AG995" s="87">
        <v>0.0</v>
      </c>
      <c r="AH995" s="87">
        <v>0.0</v>
      </c>
      <c r="AI995" s="87">
        <v>0.033333</v>
      </c>
      <c r="AJ995" s="87">
        <v>3.56E-4</v>
      </c>
      <c r="AK995" s="87">
        <v>0.0</v>
      </c>
      <c r="AL995" s="88" t="s">
        <v>1396</v>
      </c>
    </row>
    <row r="996">
      <c r="A996" s="84" t="s">
        <v>2717</v>
      </c>
      <c r="B996" s="84" t="s">
        <v>2723</v>
      </c>
      <c r="C996" s="84" t="s">
        <v>2719</v>
      </c>
      <c r="D996" s="84" t="s">
        <v>2724</v>
      </c>
      <c r="E996" s="84" t="s">
        <v>1400</v>
      </c>
      <c r="F996" s="87">
        <v>17.0</v>
      </c>
      <c r="G996" s="87">
        <v>7.0</v>
      </c>
      <c r="H996" s="87">
        <v>75.0</v>
      </c>
      <c r="I996" s="87">
        <v>75.0</v>
      </c>
      <c r="J996" s="87">
        <v>0.0</v>
      </c>
      <c r="K996" s="87">
        <v>0.0</v>
      </c>
      <c r="L996" s="87">
        <v>0.0</v>
      </c>
      <c r="M996" s="87">
        <v>0.0</v>
      </c>
      <c r="N996" s="87">
        <v>0.0</v>
      </c>
      <c r="O996" s="87">
        <v>0.0</v>
      </c>
      <c r="P996" s="87">
        <v>0.0</v>
      </c>
      <c r="Q996" s="87">
        <v>0.0</v>
      </c>
      <c r="R996" s="87">
        <v>0.0</v>
      </c>
      <c r="S996" s="87">
        <v>0.0</v>
      </c>
      <c r="T996" s="87">
        <v>0.0</v>
      </c>
      <c r="U996" s="87">
        <v>0.0</v>
      </c>
      <c r="V996" s="87">
        <v>0.0</v>
      </c>
      <c r="W996" s="87">
        <v>0.0</v>
      </c>
      <c r="X996" s="87">
        <v>0.0</v>
      </c>
      <c r="Y996" s="87">
        <v>0.0</v>
      </c>
      <c r="Z996" s="87">
        <v>0.0</v>
      </c>
      <c r="AA996" s="87">
        <v>0.0</v>
      </c>
      <c r="AB996" s="87">
        <v>0.0</v>
      </c>
      <c r="AC996" s="87">
        <v>0.0</v>
      </c>
      <c r="AD996" s="87">
        <v>0.0</v>
      </c>
      <c r="AE996" s="87">
        <v>0.033333</v>
      </c>
      <c r="AF996" s="87">
        <v>0.001299</v>
      </c>
      <c r="AG996" s="87">
        <v>0.0</v>
      </c>
      <c r="AH996" s="87">
        <v>0.0</v>
      </c>
      <c r="AI996" s="87">
        <v>0.033333</v>
      </c>
      <c r="AJ996" s="87">
        <v>3.56E-4</v>
      </c>
      <c r="AK996" s="87">
        <v>0.0</v>
      </c>
      <c r="AL996" s="88" t="s">
        <v>1396</v>
      </c>
    </row>
    <row r="997">
      <c r="A997" s="84" t="s">
        <v>2721</v>
      </c>
      <c r="B997" s="84" t="s">
        <v>2725</v>
      </c>
      <c r="C997" s="84" t="s">
        <v>2719</v>
      </c>
      <c r="D997" s="84" t="s">
        <v>2724</v>
      </c>
      <c r="E997" s="84" t="s">
        <v>1403</v>
      </c>
      <c r="F997" s="87">
        <v>34.0</v>
      </c>
      <c r="G997" s="87">
        <v>0.0</v>
      </c>
      <c r="H997" s="87">
        <v>0.0</v>
      </c>
      <c r="I997" s="87">
        <v>0.0</v>
      </c>
      <c r="J997" s="87">
        <v>0.0</v>
      </c>
      <c r="K997" s="87">
        <v>0.0</v>
      </c>
      <c r="L997" s="87">
        <v>0.0</v>
      </c>
      <c r="M997" s="87">
        <v>0.0</v>
      </c>
      <c r="N997" s="87">
        <v>0.0</v>
      </c>
      <c r="O997" s="87">
        <v>0.0</v>
      </c>
      <c r="P997" s="87">
        <v>0.0</v>
      </c>
      <c r="Q997" s="87">
        <v>0.0</v>
      </c>
      <c r="R997" s="87">
        <v>0.0</v>
      </c>
      <c r="S997" s="87">
        <v>0.0</v>
      </c>
      <c r="T997" s="87">
        <v>0.0</v>
      </c>
      <c r="U997" s="87">
        <v>0.0</v>
      </c>
      <c r="V997" s="87">
        <v>0.0</v>
      </c>
      <c r="W997" s="87">
        <v>0.0</v>
      </c>
      <c r="X997" s="87">
        <v>0.0</v>
      </c>
      <c r="Y997" s="87">
        <v>0.0</v>
      </c>
      <c r="Z997" s="87">
        <v>0.0</v>
      </c>
      <c r="AA997" s="87">
        <v>0.0</v>
      </c>
      <c r="AB997" s="87">
        <v>0.0</v>
      </c>
      <c r="AC997" s="87">
        <v>0.0</v>
      </c>
      <c r="AD997" s="87">
        <v>0.0</v>
      </c>
      <c r="AE997" s="87">
        <v>0.0</v>
      </c>
      <c r="AF997" s="87">
        <v>0.0</v>
      </c>
      <c r="AG997" s="87">
        <v>0.0</v>
      </c>
      <c r="AH997" s="87">
        <v>0.0</v>
      </c>
      <c r="AI997" s="87">
        <v>0.033333</v>
      </c>
      <c r="AJ997" s="87">
        <v>3.56E-4</v>
      </c>
      <c r="AK997" s="87">
        <v>0.0</v>
      </c>
      <c r="AL997" s="88" t="s">
        <v>1396</v>
      </c>
    </row>
    <row r="998">
      <c r="A998" s="84" t="s">
        <v>2717</v>
      </c>
      <c r="B998" s="84" t="s">
        <v>2726</v>
      </c>
      <c r="C998" s="84" t="s">
        <v>2719</v>
      </c>
      <c r="D998" s="84" t="s">
        <v>2727</v>
      </c>
      <c r="E998" s="84" t="s">
        <v>1400</v>
      </c>
      <c r="F998" s="87">
        <v>15.0</v>
      </c>
      <c r="G998" s="87">
        <v>8.0</v>
      </c>
      <c r="H998" s="87">
        <v>575.0</v>
      </c>
      <c r="I998" s="87">
        <v>415.0</v>
      </c>
      <c r="J998" s="87">
        <v>0.214286</v>
      </c>
      <c r="K998" s="87">
        <v>0.1</v>
      </c>
      <c r="L998" s="87">
        <v>0.083333</v>
      </c>
      <c r="M998" s="87">
        <v>0.1</v>
      </c>
      <c r="N998" s="87">
        <v>1.0</v>
      </c>
      <c r="O998" s="87">
        <v>0.0</v>
      </c>
      <c r="P998" s="87">
        <v>0.0</v>
      </c>
      <c r="Q998" s="87">
        <v>0.0</v>
      </c>
      <c r="R998" s="87">
        <v>0.0</v>
      </c>
      <c r="S998" s="87">
        <v>0.0</v>
      </c>
      <c r="T998" s="87">
        <v>0.033333</v>
      </c>
      <c r="U998" s="87">
        <v>0.033333</v>
      </c>
      <c r="V998" s="87">
        <v>0.033333</v>
      </c>
      <c r="W998" s="87">
        <v>0.033333</v>
      </c>
      <c r="X998" s="87">
        <v>0.033333</v>
      </c>
      <c r="Y998" s="87">
        <v>0.006667</v>
      </c>
      <c r="Z998" s="87">
        <v>0.0</v>
      </c>
      <c r="AA998" s="87">
        <v>0.033333</v>
      </c>
      <c r="AB998" s="87">
        <v>0.001515</v>
      </c>
      <c r="AC998" s="87">
        <v>0.006667</v>
      </c>
      <c r="AD998" s="87">
        <v>0.0</v>
      </c>
      <c r="AE998" s="87">
        <v>0.033333</v>
      </c>
      <c r="AF998" s="87">
        <v>0.001299</v>
      </c>
      <c r="AG998" s="87">
        <v>0.0</v>
      </c>
      <c r="AH998" s="87">
        <v>0.0</v>
      </c>
      <c r="AI998" s="87">
        <v>0.033333</v>
      </c>
      <c r="AJ998" s="87">
        <v>3.56E-4</v>
      </c>
      <c r="AK998" s="87">
        <v>0.0</v>
      </c>
      <c r="AL998" s="88" t="s">
        <v>1396</v>
      </c>
    </row>
    <row r="999">
      <c r="A999" s="84" t="s">
        <v>2721</v>
      </c>
      <c r="B999" s="84" t="s">
        <v>2728</v>
      </c>
      <c r="C999" s="84" t="s">
        <v>2719</v>
      </c>
      <c r="D999" s="84" t="s">
        <v>2727</v>
      </c>
      <c r="E999" s="84" t="s">
        <v>1403</v>
      </c>
      <c r="F999" s="87">
        <v>51.0</v>
      </c>
      <c r="G999" s="87">
        <v>11.0</v>
      </c>
      <c r="H999" s="87">
        <v>384.0</v>
      </c>
      <c r="I999" s="87">
        <v>384.0</v>
      </c>
      <c r="J999" s="87">
        <v>0.0</v>
      </c>
      <c r="K999" s="87">
        <v>0.0</v>
      </c>
      <c r="L999" s="87">
        <v>0.0</v>
      </c>
      <c r="M999" s="87">
        <v>0.0</v>
      </c>
      <c r="N999" s="87">
        <v>0.0</v>
      </c>
      <c r="O999" s="87">
        <v>0.0</v>
      </c>
      <c r="P999" s="87">
        <v>0.0</v>
      </c>
      <c r="Q999" s="87">
        <v>0.0</v>
      </c>
      <c r="R999" s="87">
        <v>0.0</v>
      </c>
      <c r="S999" s="87">
        <v>0.0</v>
      </c>
      <c r="T999" s="87">
        <v>0.0</v>
      </c>
      <c r="U999" s="87">
        <v>0.0</v>
      </c>
      <c r="V999" s="87">
        <v>0.0</v>
      </c>
      <c r="W999" s="87">
        <v>0.0</v>
      </c>
      <c r="X999" s="87">
        <v>0.0</v>
      </c>
      <c r="Y999" s="87">
        <v>0.0</v>
      </c>
      <c r="Z999" s="87">
        <v>0.0</v>
      </c>
      <c r="AA999" s="87">
        <v>0.033333</v>
      </c>
      <c r="AB999" s="87">
        <v>0.001515</v>
      </c>
      <c r="AC999" s="87">
        <v>0.006667</v>
      </c>
      <c r="AD999" s="87">
        <v>0.0</v>
      </c>
      <c r="AE999" s="87">
        <v>0.0</v>
      </c>
      <c r="AF999" s="87">
        <v>0.0</v>
      </c>
      <c r="AG999" s="87">
        <v>0.0</v>
      </c>
      <c r="AH999" s="87">
        <v>0.0</v>
      </c>
      <c r="AI999" s="87">
        <v>0.033333</v>
      </c>
      <c r="AJ999" s="87">
        <v>3.56E-4</v>
      </c>
      <c r="AK999" s="87">
        <v>0.0</v>
      </c>
      <c r="AL999" s="88" t="s">
        <v>1396</v>
      </c>
    </row>
    <row r="1000">
      <c r="A1000" s="84" t="s">
        <v>2729</v>
      </c>
      <c r="B1000" s="84" t="s">
        <v>2730</v>
      </c>
      <c r="C1000" s="84" t="s">
        <v>2719</v>
      </c>
      <c r="D1000" s="84" t="s">
        <v>1962</v>
      </c>
      <c r="E1000" s="84" t="s">
        <v>1413</v>
      </c>
      <c r="F1000" s="87">
        <v>1.0</v>
      </c>
      <c r="G1000" s="87">
        <v>1.0</v>
      </c>
      <c r="H1000" s="87">
        <v>59.0</v>
      </c>
      <c r="I1000" s="87">
        <v>59.0</v>
      </c>
      <c r="J1000" s="87">
        <v>0.0</v>
      </c>
      <c r="K1000" s="87">
        <v>0.0</v>
      </c>
      <c r="L1000" s="87">
        <v>0.0</v>
      </c>
      <c r="M1000" s="87">
        <v>0.0</v>
      </c>
      <c r="N1000" s="87">
        <v>0.0</v>
      </c>
      <c r="O1000" s="87">
        <v>0.0</v>
      </c>
      <c r="P1000" s="87">
        <v>0.0</v>
      </c>
      <c r="Q1000" s="87">
        <v>0.0</v>
      </c>
      <c r="R1000" s="87">
        <v>0.0</v>
      </c>
      <c r="S1000" s="87">
        <v>0.0</v>
      </c>
      <c r="T1000" s="87">
        <v>0.0</v>
      </c>
      <c r="U1000" s="87">
        <v>0.0</v>
      </c>
      <c r="V1000" s="87">
        <v>0.0</v>
      </c>
      <c r="W1000" s="87">
        <v>0.0</v>
      </c>
      <c r="X1000" s="87">
        <v>0.0</v>
      </c>
      <c r="Y1000" s="87">
        <v>0.0</v>
      </c>
      <c r="Z1000" s="87">
        <v>0.0</v>
      </c>
      <c r="AA1000" s="87">
        <v>0.0</v>
      </c>
      <c r="AB1000" s="87">
        <v>0.0</v>
      </c>
      <c r="AC1000" s="87">
        <v>0.0</v>
      </c>
      <c r="AD1000" s="87">
        <v>0.0</v>
      </c>
      <c r="AE1000" s="87">
        <v>0.0</v>
      </c>
      <c r="AF1000" s="87">
        <v>0.0</v>
      </c>
      <c r="AG1000" s="87">
        <v>0.0</v>
      </c>
      <c r="AH1000" s="87">
        <v>0.0</v>
      </c>
      <c r="AI1000" s="87">
        <v>0.033333</v>
      </c>
      <c r="AJ1000" s="87">
        <v>3.56E-4</v>
      </c>
      <c r="AK1000" s="87">
        <v>0.0</v>
      </c>
      <c r="AL1000" s="88" t="s">
        <v>1396</v>
      </c>
    </row>
    <row r="1001">
      <c r="A1001" s="84" t="s">
        <v>2717</v>
      </c>
      <c r="B1001" s="84" t="s">
        <v>1960</v>
      </c>
      <c r="C1001" s="84" t="s">
        <v>2719</v>
      </c>
      <c r="D1001" s="84" t="s">
        <v>1962</v>
      </c>
      <c r="E1001" s="84" t="s">
        <v>1400</v>
      </c>
      <c r="F1001" s="87">
        <v>22.0</v>
      </c>
      <c r="G1001" s="87">
        <v>8.0</v>
      </c>
      <c r="H1001" s="87">
        <v>88.0</v>
      </c>
      <c r="I1001" s="87">
        <v>88.0</v>
      </c>
      <c r="J1001" s="87">
        <v>0.0</v>
      </c>
      <c r="K1001" s="87">
        <v>0.0</v>
      </c>
      <c r="L1001" s="87">
        <v>0.0</v>
      </c>
      <c r="M1001" s="87">
        <v>0.0</v>
      </c>
      <c r="N1001" s="87">
        <v>0.0</v>
      </c>
      <c r="O1001" s="87">
        <v>0.0</v>
      </c>
      <c r="P1001" s="87">
        <v>0.0</v>
      </c>
      <c r="Q1001" s="87">
        <v>0.0</v>
      </c>
      <c r="R1001" s="87">
        <v>0.0</v>
      </c>
      <c r="S1001" s="87">
        <v>0.0</v>
      </c>
      <c r="T1001" s="87">
        <v>0.0</v>
      </c>
      <c r="U1001" s="87">
        <v>0.0</v>
      </c>
      <c r="V1001" s="87">
        <v>0.0</v>
      </c>
      <c r="W1001" s="87">
        <v>0.0</v>
      </c>
      <c r="X1001" s="87">
        <v>0.0</v>
      </c>
      <c r="Y1001" s="87">
        <v>0.0</v>
      </c>
      <c r="Z1001" s="87">
        <v>0.0</v>
      </c>
      <c r="AA1001" s="87">
        <v>0.0</v>
      </c>
      <c r="AB1001" s="87">
        <v>0.0</v>
      </c>
      <c r="AC1001" s="87">
        <v>0.0</v>
      </c>
      <c r="AD1001" s="87">
        <v>0.0</v>
      </c>
      <c r="AE1001" s="87">
        <v>0.033333</v>
      </c>
      <c r="AF1001" s="87">
        <v>0.001299</v>
      </c>
      <c r="AG1001" s="87">
        <v>0.0</v>
      </c>
      <c r="AH1001" s="87">
        <v>0.0</v>
      </c>
      <c r="AI1001" s="87">
        <v>0.033333</v>
      </c>
      <c r="AJ1001" s="87">
        <v>3.56E-4</v>
      </c>
      <c r="AK1001" s="87">
        <v>0.0</v>
      </c>
      <c r="AL1001" s="88" t="s">
        <v>1396</v>
      </c>
    </row>
    <row r="1002">
      <c r="A1002" s="84" t="s">
        <v>2721</v>
      </c>
      <c r="B1002" s="84" t="s">
        <v>2731</v>
      </c>
      <c r="C1002" s="84" t="s">
        <v>2719</v>
      </c>
      <c r="D1002" s="84" t="s">
        <v>1962</v>
      </c>
      <c r="E1002" s="84" t="s">
        <v>1403</v>
      </c>
      <c r="F1002" s="87">
        <v>52.0</v>
      </c>
      <c r="G1002" s="87">
        <v>0.0</v>
      </c>
      <c r="H1002" s="87">
        <v>0.0</v>
      </c>
      <c r="I1002" s="87">
        <v>0.0</v>
      </c>
      <c r="J1002" s="87">
        <v>0.0</v>
      </c>
      <c r="K1002" s="87">
        <v>0.0</v>
      </c>
      <c r="L1002" s="87">
        <v>0.0</v>
      </c>
      <c r="M1002" s="87">
        <v>0.0</v>
      </c>
      <c r="N1002" s="87">
        <v>0.0</v>
      </c>
      <c r="O1002" s="87">
        <v>0.0</v>
      </c>
      <c r="P1002" s="87">
        <v>0.0</v>
      </c>
      <c r="Q1002" s="87">
        <v>0.0</v>
      </c>
      <c r="R1002" s="87">
        <v>0.0</v>
      </c>
      <c r="S1002" s="87">
        <v>0.0</v>
      </c>
      <c r="T1002" s="87">
        <v>0.0</v>
      </c>
      <c r="U1002" s="87">
        <v>0.0</v>
      </c>
      <c r="V1002" s="87">
        <v>0.0</v>
      </c>
      <c r="W1002" s="87">
        <v>0.0</v>
      </c>
      <c r="X1002" s="87">
        <v>0.0</v>
      </c>
      <c r="Y1002" s="87">
        <v>0.0</v>
      </c>
      <c r="Z1002" s="87">
        <v>0.0</v>
      </c>
      <c r="AA1002" s="87">
        <v>0.0</v>
      </c>
      <c r="AB1002" s="87">
        <v>0.0</v>
      </c>
      <c r="AC1002" s="87">
        <v>0.0</v>
      </c>
      <c r="AD1002" s="87">
        <v>0.0</v>
      </c>
      <c r="AE1002" s="87">
        <v>0.0</v>
      </c>
      <c r="AF1002" s="87">
        <v>0.0</v>
      </c>
      <c r="AG1002" s="87">
        <v>0.0</v>
      </c>
      <c r="AH1002" s="87">
        <v>0.0</v>
      </c>
      <c r="AI1002" s="87">
        <v>0.033333</v>
      </c>
      <c r="AJ1002" s="87">
        <v>3.56E-4</v>
      </c>
      <c r="AK1002" s="87">
        <v>0.0</v>
      </c>
      <c r="AL1002" s="88" t="s">
        <v>1396</v>
      </c>
    </row>
    <row r="1003">
      <c r="A1003" s="84" t="s">
        <v>2721</v>
      </c>
      <c r="B1003" s="84" t="s">
        <v>2326</v>
      </c>
      <c r="C1003" s="84" t="s">
        <v>2719</v>
      </c>
      <c r="D1003" s="84" t="s">
        <v>2322</v>
      </c>
      <c r="E1003" s="84" t="s">
        <v>1403</v>
      </c>
      <c r="F1003" s="87">
        <v>1.0</v>
      </c>
      <c r="G1003" s="87">
        <v>0.0</v>
      </c>
      <c r="H1003" s="87">
        <v>0.0</v>
      </c>
      <c r="I1003" s="87">
        <v>0.0</v>
      </c>
      <c r="J1003" s="87">
        <v>0.0</v>
      </c>
      <c r="K1003" s="87">
        <v>0.0</v>
      </c>
      <c r="L1003" s="87">
        <v>0.0</v>
      </c>
      <c r="M1003" s="87">
        <v>0.0</v>
      </c>
      <c r="N1003" s="87">
        <v>0.0</v>
      </c>
      <c r="O1003" s="87">
        <v>0.0</v>
      </c>
      <c r="P1003" s="87">
        <v>0.0</v>
      </c>
      <c r="Q1003" s="87">
        <v>0.0</v>
      </c>
      <c r="R1003" s="87">
        <v>0.0</v>
      </c>
      <c r="S1003" s="87">
        <v>0.0</v>
      </c>
      <c r="T1003" s="87">
        <v>0.0</v>
      </c>
      <c r="U1003" s="87">
        <v>0.0</v>
      </c>
      <c r="V1003" s="87">
        <v>0.0</v>
      </c>
      <c r="W1003" s="87">
        <v>0.0</v>
      </c>
      <c r="X1003" s="87">
        <v>0.0</v>
      </c>
      <c r="Y1003" s="87">
        <v>0.0</v>
      </c>
      <c r="Z1003" s="87">
        <v>0.0</v>
      </c>
      <c r="AA1003" s="87">
        <v>0.0</v>
      </c>
      <c r="AB1003" s="87">
        <v>0.0</v>
      </c>
      <c r="AC1003" s="87">
        <v>0.0</v>
      </c>
      <c r="AD1003" s="87">
        <v>0.0</v>
      </c>
      <c r="AE1003" s="87">
        <v>0.0</v>
      </c>
      <c r="AF1003" s="87">
        <v>0.0</v>
      </c>
      <c r="AG1003" s="87">
        <v>0.0</v>
      </c>
      <c r="AH1003" s="87">
        <v>0.0</v>
      </c>
      <c r="AI1003" s="87">
        <v>0.033333</v>
      </c>
      <c r="AJ1003" s="87">
        <v>3.56E-4</v>
      </c>
      <c r="AK1003" s="87">
        <v>0.0</v>
      </c>
      <c r="AL1003" s="88" t="s">
        <v>1396</v>
      </c>
    </row>
    <row r="1004">
      <c r="A1004" s="84" t="s">
        <v>2717</v>
      </c>
      <c r="B1004" s="84" t="s">
        <v>2732</v>
      </c>
      <c r="C1004" s="84" t="s">
        <v>2719</v>
      </c>
      <c r="D1004" s="84" t="s">
        <v>2733</v>
      </c>
      <c r="E1004" s="84" t="s">
        <v>1400</v>
      </c>
      <c r="F1004" s="87">
        <v>8.0</v>
      </c>
      <c r="G1004" s="87">
        <v>4.0</v>
      </c>
      <c r="H1004" s="87">
        <v>34.0</v>
      </c>
      <c r="I1004" s="87">
        <v>34.0</v>
      </c>
      <c r="J1004" s="87">
        <v>0.0</v>
      </c>
      <c r="K1004" s="87">
        <v>0.0</v>
      </c>
      <c r="L1004" s="87">
        <v>0.0</v>
      </c>
      <c r="M1004" s="87">
        <v>0.0</v>
      </c>
      <c r="N1004" s="87">
        <v>0.0</v>
      </c>
      <c r="O1004" s="87">
        <v>0.0</v>
      </c>
      <c r="P1004" s="87">
        <v>0.0</v>
      </c>
      <c r="Q1004" s="87">
        <v>0.0</v>
      </c>
      <c r="R1004" s="87">
        <v>0.0</v>
      </c>
      <c r="S1004" s="87">
        <v>0.0</v>
      </c>
      <c r="T1004" s="87">
        <v>0.0</v>
      </c>
      <c r="U1004" s="87">
        <v>0.0</v>
      </c>
      <c r="V1004" s="87">
        <v>0.0</v>
      </c>
      <c r="W1004" s="87">
        <v>0.0</v>
      </c>
      <c r="X1004" s="87">
        <v>0.0</v>
      </c>
      <c r="Y1004" s="87">
        <v>0.0</v>
      </c>
      <c r="Z1004" s="87">
        <v>0.0</v>
      </c>
      <c r="AA1004" s="87">
        <v>0.0</v>
      </c>
      <c r="AB1004" s="87">
        <v>0.0</v>
      </c>
      <c r="AC1004" s="87">
        <v>0.0</v>
      </c>
      <c r="AD1004" s="87">
        <v>0.0</v>
      </c>
      <c r="AE1004" s="87">
        <v>0.033333</v>
      </c>
      <c r="AF1004" s="87">
        <v>0.001299</v>
      </c>
      <c r="AG1004" s="87">
        <v>0.0</v>
      </c>
      <c r="AH1004" s="87">
        <v>0.0</v>
      </c>
      <c r="AI1004" s="87">
        <v>0.033333</v>
      </c>
      <c r="AJ1004" s="87">
        <v>3.56E-4</v>
      </c>
      <c r="AK1004" s="87">
        <v>0.0</v>
      </c>
      <c r="AL1004" s="88" t="s">
        <v>1396</v>
      </c>
    </row>
    <row r="1005">
      <c r="A1005" s="84" t="s">
        <v>2721</v>
      </c>
      <c r="B1005" s="84" t="s">
        <v>2734</v>
      </c>
      <c r="C1005" s="84" t="s">
        <v>2719</v>
      </c>
      <c r="D1005" s="84" t="s">
        <v>2733</v>
      </c>
      <c r="E1005" s="84" t="s">
        <v>1403</v>
      </c>
      <c r="F1005" s="87">
        <v>6.0</v>
      </c>
      <c r="G1005" s="87">
        <v>0.0</v>
      </c>
      <c r="H1005" s="87">
        <v>0.0</v>
      </c>
      <c r="I1005" s="87">
        <v>0.0</v>
      </c>
      <c r="J1005" s="87">
        <v>0.0</v>
      </c>
      <c r="K1005" s="87">
        <v>0.0</v>
      </c>
      <c r="L1005" s="87">
        <v>0.0</v>
      </c>
      <c r="M1005" s="87">
        <v>0.0</v>
      </c>
      <c r="N1005" s="87">
        <v>0.0</v>
      </c>
      <c r="O1005" s="87">
        <v>0.0</v>
      </c>
      <c r="P1005" s="87">
        <v>0.0</v>
      </c>
      <c r="Q1005" s="87">
        <v>0.0</v>
      </c>
      <c r="R1005" s="87">
        <v>0.0</v>
      </c>
      <c r="S1005" s="87">
        <v>0.0</v>
      </c>
      <c r="T1005" s="87">
        <v>0.0</v>
      </c>
      <c r="U1005" s="87">
        <v>0.0</v>
      </c>
      <c r="V1005" s="87">
        <v>0.0</v>
      </c>
      <c r="W1005" s="87">
        <v>0.0</v>
      </c>
      <c r="X1005" s="87">
        <v>0.0</v>
      </c>
      <c r="Y1005" s="87">
        <v>0.0</v>
      </c>
      <c r="Z1005" s="87">
        <v>0.0</v>
      </c>
      <c r="AA1005" s="87">
        <v>0.0</v>
      </c>
      <c r="AB1005" s="87">
        <v>0.0</v>
      </c>
      <c r="AC1005" s="87">
        <v>0.0</v>
      </c>
      <c r="AD1005" s="87">
        <v>0.0</v>
      </c>
      <c r="AE1005" s="87">
        <v>0.0</v>
      </c>
      <c r="AF1005" s="87">
        <v>0.0</v>
      </c>
      <c r="AG1005" s="87">
        <v>0.0</v>
      </c>
      <c r="AH1005" s="87">
        <v>0.0</v>
      </c>
      <c r="AI1005" s="87">
        <v>0.033333</v>
      </c>
      <c r="AJ1005" s="87">
        <v>3.56E-4</v>
      </c>
      <c r="AK1005" s="87">
        <v>0.0</v>
      </c>
      <c r="AL1005" s="88" t="s">
        <v>1396</v>
      </c>
    </row>
    <row r="1006">
      <c r="A1006" s="84" t="s">
        <v>2735</v>
      </c>
      <c r="B1006" s="84" t="s">
        <v>2736</v>
      </c>
      <c r="C1006" s="84" t="s">
        <v>2719</v>
      </c>
      <c r="D1006" s="84" t="s">
        <v>2737</v>
      </c>
      <c r="E1006" s="84" t="s">
        <v>1426</v>
      </c>
      <c r="F1006" s="87">
        <v>1.0</v>
      </c>
      <c r="G1006" s="87">
        <v>1.0</v>
      </c>
      <c r="H1006" s="87">
        <v>39.0</v>
      </c>
      <c r="I1006" s="87">
        <v>39.0</v>
      </c>
      <c r="J1006" s="87">
        <v>0.0</v>
      </c>
      <c r="K1006" s="87">
        <v>0.0</v>
      </c>
      <c r="L1006" s="87">
        <v>0.0</v>
      </c>
      <c r="M1006" s="87">
        <v>0.0</v>
      </c>
      <c r="N1006" s="87">
        <v>0.0</v>
      </c>
      <c r="O1006" s="87">
        <v>0.0</v>
      </c>
      <c r="P1006" s="87">
        <v>0.0</v>
      </c>
      <c r="Q1006" s="87">
        <v>0.0</v>
      </c>
      <c r="R1006" s="87">
        <v>0.0</v>
      </c>
      <c r="S1006" s="87">
        <v>0.0</v>
      </c>
      <c r="T1006" s="87">
        <v>0.0</v>
      </c>
      <c r="U1006" s="87">
        <v>0.0</v>
      </c>
      <c r="V1006" s="87">
        <v>0.0</v>
      </c>
      <c r="W1006" s="87">
        <v>0.0</v>
      </c>
      <c r="X1006" s="87">
        <v>0.0</v>
      </c>
      <c r="Y1006" s="87">
        <v>0.0</v>
      </c>
      <c r="Z1006" s="87">
        <v>0.0</v>
      </c>
      <c r="AA1006" s="87">
        <v>0.0</v>
      </c>
      <c r="AB1006" s="87">
        <v>0.0</v>
      </c>
      <c r="AC1006" s="87">
        <v>0.0</v>
      </c>
      <c r="AD1006" s="87">
        <v>0.0</v>
      </c>
      <c r="AE1006" s="87">
        <v>0.0</v>
      </c>
      <c r="AF1006" s="87">
        <v>0.0</v>
      </c>
      <c r="AG1006" s="87">
        <v>0.0</v>
      </c>
      <c r="AH1006" s="87">
        <v>0.0</v>
      </c>
      <c r="AI1006" s="87">
        <v>0.033333</v>
      </c>
      <c r="AJ1006" s="87">
        <v>3.56E-4</v>
      </c>
      <c r="AK1006" s="87">
        <v>0.0</v>
      </c>
      <c r="AL1006" s="88" t="s">
        <v>1396</v>
      </c>
    </row>
    <row r="1007">
      <c r="A1007" s="84" t="s">
        <v>2717</v>
      </c>
      <c r="B1007" s="84" t="s">
        <v>2738</v>
      </c>
      <c r="C1007" s="84" t="s">
        <v>2719</v>
      </c>
      <c r="D1007" s="84" t="s">
        <v>2737</v>
      </c>
      <c r="E1007" s="84" t="s">
        <v>1400</v>
      </c>
      <c r="F1007" s="87">
        <v>5.0</v>
      </c>
      <c r="G1007" s="87">
        <v>4.0</v>
      </c>
      <c r="H1007" s="87">
        <v>6.0</v>
      </c>
      <c r="I1007" s="87">
        <v>6.0</v>
      </c>
      <c r="J1007" s="87">
        <v>0.0</v>
      </c>
      <c r="K1007" s="87">
        <v>0.0</v>
      </c>
      <c r="L1007" s="87">
        <v>0.0</v>
      </c>
      <c r="M1007" s="87">
        <v>0.0</v>
      </c>
      <c r="N1007" s="87">
        <v>0.0</v>
      </c>
      <c r="O1007" s="87">
        <v>0.0</v>
      </c>
      <c r="P1007" s="87">
        <v>0.0</v>
      </c>
      <c r="Q1007" s="87">
        <v>0.0</v>
      </c>
      <c r="R1007" s="87">
        <v>0.0</v>
      </c>
      <c r="S1007" s="87">
        <v>0.0</v>
      </c>
      <c r="T1007" s="87">
        <v>0.0</v>
      </c>
      <c r="U1007" s="87">
        <v>0.0</v>
      </c>
      <c r="V1007" s="87">
        <v>0.0</v>
      </c>
      <c r="W1007" s="87">
        <v>0.0</v>
      </c>
      <c r="X1007" s="87">
        <v>0.0</v>
      </c>
      <c r="Y1007" s="87">
        <v>0.0</v>
      </c>
      <c r="Z1007" s="87">
        <v>0.0</v>
      </c>
      <c r="AA1007" s="87">
        <v>0.0</v>
      </c>
      <c r="AB1007" s="87">
        <v>0.0</v>
      </c>
      <c r="AC1007" s="87">
        <v>0.0</v>
      </c>
      <c r="AD1007" s="87">
        <v>0.0</v>
      </c>
      <c r="AE1007" s="87">
        <v>0.033333</v>
      </c>
      <c r="AF1007" s="87">
        <v>0.001299</v>
      </c>
      <c r="AG1007" s="87">
        <v>0.0</v>
      </c>
      <c r="AH1007" s="87">
        <v>0.0</v>
      </c>
      <c r="AI1007" s="87">
        <v>0.033333</v>
      </c>
      <c r="AJ1007" s="87">
        <v>3.56E-4</v>
      </c>
      <c r="AK1007" s="87">
        <v>0.0</v>
      </c>
      <c r="AL1007" s="88" t="s">
        <v>1396</v>
      </c>
    </row>
    <row r="1008">
      <c r="A1008" s="84" t="s">
        <v>2721</v>
      </c>
      <c r="B1008" s="84" t="s">
        <v>2739</v>
      </c>
      <c r="C1008" s="84" t="s">
        <v>2719</v>
      </c>
      <c r="D1008" s="84" t="s">
        <v>2737</v>
      </c>
      <c r="E1008" s="84" t="s">
        <v>1403</v>
      </c>
      <c r="F1008" s="87">
        <v>55.0</v>
      </c>
      <c r="G1008" s="87">
        <v>29.0</v>
      </c>
      <c r="H1008" s="87">
        <v>58.0</v>
      </c>
      <c r="I1008" s="87">
        <v>58.0</v>
      </c>
      <c r="J1008" s="87">
        <v>0.0</v>
      </c>
      <c r="K1008" s="87">
        <v>0.0</v>
      </c>
      <c r="L1008" s="87">
        <v>0.0</v>
      </c>
      <c r="M1008" s="87">
        <v>0.0</v>
      </c>
      <c r="N1008" s="87">
        <v>0.0</v>
      </c>
      <c r="O1008" s="87">
        <v>0.0</v>
      </c>
      <c r="P1008" s="87">
        <v>0.0</v>
      </c>
      <c r="Q1008" s="87">
        <v>0.0</v>
      </c>
      <c r="R1008" s="87">
        <v>0.0</v>
      </c>
      <c r="S1008" s="87">
        <v>0.0</v>
      </c>
      <c r="T1008" s="87">
        <v>0.0</v>
      </c>
      <c r="U1008" s="87">
        <v>0.0</v>
      </c>
      <c r="V1008" s="87">
        <v>0.0</v>
      </c>
      <c r="W1008" s="87">
        <v>0.0</v>
      </c>
      <c r="X1008" s="87">
        <v>0.0</v>
      </c>
      <c r="Y1008" s="87">
        <v>0.0</v>
      </c>
      <c r="Z1008" s="87">
        <v>0.0</v>
      </c>
      <c r="AA1008" s="87">
        <v>0.0</v>
      </c>
      <c r="AB1008" s="87">
        <v>0.0</v>
      </c>
      <c r="AC1008" s="87">
        <v>0.0</v>
      </c>
      <c r="AD1008" s="87">
        <v>0.0</v>
      </c>
      <c r="AE1008" s="87">
        <v>0.0</v>
      </c>
      <c r="AF1008" s="87">
        <v>0.0</v>
      </c>
      <c r="AG1008" s="87">
        <v>0.0</v>
      </c>
      <c r="AH1008" s="87">
        <v>0.0</v>
      </c>
      <c r="AI1008" s="87">
        <v>0.033333</v>
      </c>
      <c r="AJ1008" s="87">
        <v>3.56E-4</v>
      </c>
      <c r="AK1008" s="87">
        <v>0.0</v>
      </c>
      <c r="AL1008" s="88" t="s">
        <v>1396</v>
      </c>
    </row>
    <row r="1009">
      <c r="A1009" s="84" t="s">
        <v>2717</v>
      </c>
      <c r="B1009" s="84" t="s">
        <v>2740</v>
      </c>
      <c r="C1009" s="84" t="s">
        <v>2719</v>
      </c>
      <c r="D1009" s="84" t="s">
        <v>2741</v>
      </c>
      <c r="E1009" s="84" t="s">
        <v>1400</v>
      </c>
      <c r="F1009" s="87">
        <v>1.0</v>
      </c>
      <c r="G1009" s="87">
        <v>0.0</v>
      </c>
      <c r="H1009" s="87">
        <v>0.0</v>
      </c>
      <c r="I1009" s="87">
        <v>0.0</v>
      </c>
      <c r="J1009" s="87">
        <v>0.0</v>
      </c>
      <c r="K1009" s="87">
        <v>0.0</v>
      </c>
      <c r="L1009" s="87">
        <v>0.0</v>
      </c>
      <c r="M1009" s="87">
        <v>0.0</v>
      </c>
      <c r="N1009" s="87">
        <v>0.0</v>
      </c>
      <c r="O1009" s="87">
        <v>0.0</v>
      </c>
      <c r="P1009" s="87">
        <v>0.0</v>
      </c>
      <c r="Q1009" s="87">
        <v>0.0</v>
      </c>
      <c r="R1009" s="87">
        <v>0.0</v>
      </c>
      <c r="S1009" s="87">
        <v>0.0</v>
      </c>
      <c r="T1009" s="87">
        <v>0.0</v>
      </c>
      <c r="U1009" s="87">
        <v>0.0</v>
      </c>
      <c r="V1009" s="87">
        <v>0.0</v>
      </c>
      <c r="W1009" s="87">
        <v>0.0</v>
      </c>
      <c r="X1009" s="87">
        <v>0.0</v>
      </c>
      <c r="Y1009" s="87">
        <v>0.0</v>
      </c>
      <c r="Z1009" s="87">
        <v>0.0</v>
      </c>
      <c r="AA1009" s="87">
        <v>0.0</v>
      </c>
      <c r="AB1009" s="87">
        <v>0.0</v>
      </c>
      <c r="AC1009" s="87">
        <v>0.0</v>
      </c>
      <c r="AD1009" s="87">
        <v>0.0</v>
      </c>
      <c r="AE1009" s="87">
        <v>0.033333</v>
      </c>
      <c r="AF1009" s="87">
        <v>0.001299</v>
      </c>
      <c r="AG1009" s="87">
        <v>0.0</v>
      </c>
      <c r="AH1009" s="87">
        <v>0.0</v>
      </c>
      <c r="AI1009" s="87">
        <v>0.033333</v>
      </c>
      <c r="AJ1009" s="87">
        <v>3.56E-4</v>
      </c>
      <c r="AK1009" s="87">
        <v>0.0</v>
      </c>
      <c r="AL1009" s="88" t="s">
        <v>1396</v>
      </c>
    </row>
    <row r="1010">
      <c r="A1010" s="84" t="s">
        <v>2721</v>
      </c>
      <c r="B1010" s="84" t="s">
        <v>2742</v>
      </c>
      <c r="C1010" s="84" t="s">
        <v>2719</v>
      </c>
      <c r="D1010" s="84" t="s">
        <v>2741</v>
      </c>
      <c r="E1010" s="84" t="s">
        <v>1403</v>
      </c>
      <c r="F1010" s="87">
        <v>1.0</v>
      </c>
      <c r="G1010" s="87">
        <v>0.0</v>
      </c>
      <c r="H1010" s="87">
        <v>0.0</v>
      </c>
      <c r="I1010" s="87">
        <v>0.0</v>
      </c>
      <c r="J1010" s="87">
        <v>0.0</v>
      </c>
      <c r="K1010" s="87">
        <v>0.0</v>
      </c>
      <c r="L1010" s="87">
        <v>0.0</v>
      </c>
      <c r="M1010" s="87">
        <v>0.0</v>
      </c>
      <c r="N1010" s="87">
        <v>0.0</v>
      </c>
      <c r="O1010" s="87">
        <v>0.0</v>
      </c>
      <c r="P1010" s="87">
        <v>0.0</v>
      </c>
      <c r="Q1010" s="87">
        <v>0.0</v>
      </c>
      <c r="R1010" s="87">
        <v>0.0</v>
      </c>
      <c r="S1010" s="87">
        <v>0.0</v>
      </c>
      <c r="T1010" s="87">
        <v>0.0</v>
      </c>
      <c r="U1010" s="87">
        <v>0.0</v>
      </c>
      <c r="V1010" s="87">
        <v>0.0</v>
      </c>
      <c r="W1010" s="87">
        <v>0.0</v>
      </c>
      <c r="X1010" s="87">
        <v>0.0</v>
      </c>
      <c r="Y1010" s="87">
        <v>0.0</v>
      </c>
      <c r="Z1010" s="87">
        <v>0.0</v>
      </c>
      <c r="AA1010" s="87">
        <v>0.0</v>
      </c>
      <c r="AB1010" s="87">
        <v>0.0</v>
      </c>
      <c r="AC1010" s="87">
        <v>0.0</v>
      </c>
      <c r="AD1010" s="87">
        <v>0.0</v>
      </c>
      <c r="AE1010" s="87">
        <v>0.0</v>
      </c>
      <c r="AF1010" s="87">
        <v>0.0</v>
      </c>
      <c r="AG1010" s="87">
        <v>0.0</v>
      </c>
      <c r="AH1010" s="87">
        <v>0.0</v>
      </c>
      <c r="AI1010" s="87">
        <v>0.033333</v>
      </c>
      <c r="AJ1010" s="87">
        <v>3.56E-4</v>
      </c>
      <c r="AK1010" s="87">
        <v>0.0</v>
      </c>
      <c r="AL1010" s="88" t="s">
        <v>1396</v>
      </c>
    </row>
    <row r="1011">
      <c r="A1011" s="84" t="s">
        <v>2743</v>
      </c>
      <c r="B1011" s="84" t="s">
        <v>2744</v>
      </c>
      <c r="C1011" s="84" t="s">
        <v>2745</v>
      </c>
      <c r="D1011" s="84" t="s">
        <v>2746</v>
      </c>
      <c r="E1011" s="84" t="s">
        <v>1400</v>
      </c>
      <c r="F1011" s="87">
        <v>32.0</v>
      </c>
      <c r="G1011" s="87">
        <v>0.0</v>
      </c>
      <c r="H1011" s="87">
        <v>0.0</v>
      </c>
      <c r="I1011" s="87">
        <v>0.0</v>
      </c>
      <c r="J1011" s="87">
        <v>0.0</v>
      </c>
      <c r="K1011" s="87">
        <v>0.0</v>
      </c>
      <c r="L1011" s="87">
        <v>0.0</v>
      </c>
      <c r="M1011" s="87">
        <v>0.0</v>
      </c>
      <c r="N1011" s="87">
        <v>0.0</v>
      </c>
      <c r="O1011" s="87">
        <v>0.0</v>
      </c>
      <c r="P1011" s="87">
        <v>0.0</v>
      </c>
      <c r="Q1011" s="87">
        <v>0.0</v>
      </c>
      <c r="R1011" s="87">
        <v>0.0</v>
      </c>
      <c r="S1011" s="87">
        <v>0.0</v>
      </c>
      <c r="T1011" s="87">
        <v>0.0</v>
      </c>
      <c r="U1011" s="87">
        <v>0.0</v>
      </c>
      <c r="V1011" s="87">
        <v>0.0</v>
      </c>
      <c r="W1011" s="87">
        <v>0.0</v>
      </c>
      <c r="X1011" s="87">
        <v>0.0</v>
      </c>
      <c r="Y1011" s="87">
        <v>0.0</v>
      </c>
      <c r="Z1011" s="87">
        <v>0.0</v>
      </c>
      <c r="AA1011" s="87">
        <v>0.0</v>
      </c>
      <c r="AB1011" s="87">
        <v>0.0</v>
      </c>
      <c r="AC1011" s="87">
        <v>0.0</v>
      </c>
      <c r="AD1011" s="87">
        <v>0.0</v>
      </c>
      <c r="AE1011" s="87">
        <v>0.0</v>
      </c>
      <c r="AF1011" s="87">
        <v>0.0</v>
      </c>
      <c r="AG1011" s="87">
        <v>0.0</v>
      </c>
      <c r="AH1011" s="87">
        <v>0.0</v>
      </c>
      <c r="AI1011" s="87">
        <v>0.0</v>
      </c>
      <c r="AJ1011" s="87">
        <v>0.0</v>
      </c>
      <c r="AK1011" s="87">
        <v>0.0</v>
      </c>
      <c r="AL1011" s="88" t="s">
        <v>1396</v>
      </c>
    </row>
    <row r="1012">
      <c r="A1012" s="84" t="s">
        <v>2747</v>
      </c>
      <c r="B1012" s="84" t="s">
        <v>2748</v>
      </c>
      <c r="C1012" s="84" t="s">
        <v>2745</v>
      </c>
      <c r="D1012" s="84" t="s">
        <v>2746</v>
      </c>
      <c r="E1012" s="84" t="s">
        <v>1403</v>
      </c>
      <c r="F1012" s="87">
        <v>90.0</v>
      </c>
      <c r="G1012" s="87">
        <v>6.0</v>
      </c>
      <c r="H1012" s="87">
        <v>12.0</v>
      </c>
      <c r="I1012" s="87">
        <v>12.0</v>
      </c>
      <c r="J1012" s="87">
        <v>0.0</v>
      </c>
      <c r="K1012" s="87">
        <v>0.0</v>
      </c>
      <c r="L1012" s="87">
        <v>0.0</v>
      </c>
      <c r="M1012" s="87">
        <v>0.0</v>
      </c>
      <c r="N1012" s="87">
        <v>0.0</v>
      </c>
      <c r="O1012" s="87">
        <v>0.0</v>
      </c>
      <c r="P1012" s="87">
        <v>0.0</v>
      </c>
      <c r="Q1012" s="87">
        <v>0.0</v>
      </c>
      <c r="R1012" s="87">
        <v>0.0</v>
      </c>
      <c r="S1012" s="87">
        <v>0.0</v>
      </c>
      <c r="T1012" s="87">
        <v>0.0</v>
      </c>
      <c r="U1012" s="87">
        <v>0.0</v>
      </c>
      <c r="V1012" s="87">
        <v>0.0</v>
      </c>
      <c r="W1012" s="87">
        <v>0.0</v>
      </c>
      <c r="X1012" s="87">
        <v>0.0</v>
      </c>
      <c r="Y1012" s="87">
        <v>0.0</v>
      </c>
      <c r="Z1012" s="87">
        <v>0.0</v>
      </c>
      <c r="AA1012" s="87">
        <v>0.0</v>
      </c>
      <c r="AB1012" s="87">
        <v>0.0</v>
      </c>
      <c r="AC1012" s="87">
        <v>0.0</v>
      </c>
      <c r="AD1012" s="87">
        <v>0.0</v>
      </c>
      <c r="AE1012" s="87">
        <v>0.0</v>
      </c>
      <c r="AF1012" s="87">
        <v>0.0</v>
      </c>
      <c r="AG1012" s="87">
        <v>0.0</v>
      </c>
      <c r="AH1012" s="87">
        <v>0.0</v>
      </c>
      <c r="AI1012" s="87">
        <v>0.0</v>
      </c>
      <c r="AJ1012" s="87">
        <v>0.0</v>
      </c>
      <c r="AK1012" s="87">
        <v>0.0</v>
      </c>
      <c r="AL1012" s="88" t="s">
        <v>1396</v>
      </c>
    </row>
    <row r="1013">
      <c r="A1013" s="84" t="s">
        <v>2743</v>
      </c>
      <c r="B1013" s="84" t="s">
        <v>2749</v>
      </c>
      <c r="C1013" s="84" t="s">
        <v>2745</v>
      </c>
      <c r="D1013" s="84" t="s">
        <v>2750</v>
      </c>
      <c r="E1013" s="84" t="s">
        <v>1400</v>
      </c>
      <c r="F1013" s="87">
        <v>15.0</v>
      </c>
      <c r="G1013" s="87">
        <v>2.0</v>
      </c>
      <c r="H1013" s="87">
        <v>89.0</v>
      </c>
      <c r="I1013" s="87">
        <v>89.0</v>
      </c>
      <c r="J1013" s="87">
        <v>0.0</v>
      </c>
      <c r="K1013" s="87">
        <v>0.0</v>
      </c>
      <c r="L1013" s="87">
        <v>0.0</v>
      </c>
      <c r="M1013" s="87">
        <v>0.0</v>
      </c>
      <c r="N1013" s="87">
        <v>0.0</v>
      </c>
      <c r="O1013" s="87">
        <v>0.0</v>
      </c>
      <c r="P1013" s="87">
        <v>0.0</v>
      </c>
      <c r="Q1013" s="87">
        <v>0.0</v>
      </c>
      <c r="R1013" s="87">
        <v>0.0</v>
      </c>
      <c r="S1013" s="87">
        <v>0.0</v>
      </c>
      <c r="T1013" s="87">
        <v>0.0</v>
      </c>
      <c r="U1013" s="87">
        <v>0.0</v>
      </c>
      <c r="V1013" s="87">
        <v>0.0</v>
      </c>
      <c r="W1013" s="87">
        <v>0.0</v>
      </c>
      <c r="X1013" s="87">
        <v>0.0</v>
      </c>
      <c r="Y1013" s="87">
        <v>0.0</v>
      </c>
      <c r="Z1013" s="87">
        <v>0.0</v>
      </c>
      <c r="AA1013" s="87">
        <v>0.0</v>
      </c>
      <c r="AB1013" s="87">
        <v>0.0</v>
      </c>
      <c r="AC1013" s="87">
        <v>0.0</v>
      </c>
      <c r="AD1013" s="87">
        <v>0.0</v>
      </c>
      <c r="AE1013" s="87">
        <v>0.0</v>
      </c>
      <c r="AF1013" s="87">
        <v>0.0</v>
      </c>
      <c r="AG1013" s="87">
        <v>0.0</v>
      </c>
      <c r="AH1013" s="87">
        <v>0.0</v>
      </c>
      <c r="AI1013" s="87">
        <v>0.0</v>
      </c>
      <c r="AJ1013" s="87">
        <v>0.0</v>
      </c>
      <c r="AK1013" s="87">
        <v>0.0</v>
      </c>
      <c r="AL1013" s="88" t="s">
        <v>1396</v>
      </c>
    </row>
    <row r="1014">
      <c r="A1014" s="84" t="s">
        <v>2747</v>
      </c>
      <c r="B1014" s="84" t="s">
        <v>2751</v>
      </c>
      <c r="C1014" s="84" t="s">
        <v>2745</v>
      </c>
      <c r="D1014" s="84" t="s">
        <v>2750</v>
      </c>
      <c r="E1014" s="84" t="s">
        <v>1403</v>
      </c>
      <c r="F1014" s="87">
        <v>149.0</v>
      </c>
      <c r="G1014" s="87">
        <v>0.0</v>
      </c>
      <c r="H1014" s="87">
        <v>0.0</v>
      </c>
      <c r="I1014" s="87">
        <v>0.0</v>
      </c>
      <c r="J1014" s="87">
        <v>0.0</v>
      </c>
      <c r="K1014" s="87">
        <v>0.0</v>
      </c>
      <c r="L1014" s="87">
        <v>0.0</v>
      </c>
      <c r="M1014" s="87">
        <v>0.0</v>
      </c>
      <c r="N1014" s="87">
        <v>0.0</v>
      </c>
      <c r="O1014" s="87">
        <v>0.0</v>
      </c>
      <c r="P1014" s="87">
        <v>0.0</v>
      </c>
      <c r="Q1014" s="87">
        <v>0.0</v>
      </c>
      <c r="R1014" s="87">
        <v>0.0</v>
      </c>
      <c r="S1014" s="87">
        <v>0.0</v>
      </c>
      <c r="T1014" s="87">
        <v>0.0</v>
      </c>
      <c r="U1014" s="87">
        <v>0.0</v>
      </c>
      <c r="V1014" s="87">
        <v>0.0</v>
      </c>
      <c r="W1014" s="87">
        <v>0.0</v>
      </c>
      <c r="X1014" s="87">
        <v>0.0</v>
      </c>
      <c r="Y1014" s="87">
        <v>0.0</v>
      </c>
      <c r="Z1014" s="87">
        <v>0.0</v>
      </c>
      <c r="AA1014" s="87">
        <v>0.0</v>
      </c>
      <c r="AB1014" s="87">
        <v>0.0</v>
      </c>
      <c r="AC1014" s="87">
        <v>0.0</v>
      </c>
      <c r="AD1014" s="87">
        <v>0.0</v>
      </c>
      <c r="AE1014" s="87">
        <v>0.0</v>
      </c>
      <c r="AF1014" s="87">
        <v>0.0</v>
      </c>
      <c r="AG1014" s="87">
        <v>0.0</v>
      </c>
      <c r="AH1014" s="87">
        <v>0.0</v>
      </c>
      <c r="AI1014" s="87">
        <v>0.0</v>
      </c>
      <c r="AJ1014" s="87">
        <v>0.0</v>
      </c>
      <c r="AK1014" s="87">
        <v>0.0</v>
      </c>
      <c r="AL1014" s="88" t="s">
        <v>1396</v>
      </c>
    </row>
    <row r="1015">
      <c r="A1015" s="84" t="s">
        <v>2743</v>
      </c>
      <c r="B1015" s="84" t="s">
        <v>2752</v>
      </c>
      <c r="C1015" s="84" t="s">
        <v>2745</v>
      </c>
      <c r="D1015" s="84" t="s">
        <v>2753</v>
      </c>
      <c r="E1015" s="84" t="s">
        <v>1400</v>
      </c>
      <c r="F1015" s="87">
        <v>15.0</v>
      </c>
      <c r="G1015" s="87">
        <v>0.0</v>
      </c>
      <c r="H1015" s="87">
        <v>0.0</v>
      </c>
      <c r="I1015" s="87">
        <v>0.0</v>
      </c>
      <c r="J1015" s="87">
        <v>0.0</v>
      </c>
      <c r="K1015" s="87">
        <v>0.0</v>
      </c>
      <c r="L1015" s="87">
        <v>0.0</v>
      </c>
      <c r="M1015" s="87">
        <v>0.0</v>
      </c>
      <c r="N1015" s="87">
        <v>0.0</v>
      </c>
      <c r="O1015" s="87">
        <v>0.0</v>
      </c>
      <c r="P1015" s="87">
        <v>0.0</v>
      </c>
      <c r="Q1015" s="87">
        <v>0.0</v>
      </c>
      <c r="R1015" s="87">
        <v>0.0</v>
      </c>
      <c r="S1015" s="87">
        <v>0.0</v>
      </c>
      <c r="T1015" s="87">
        <v>0.0</v>
      </c>
      <c r="U1015" s="87">
        <v>0.0</v>
      </c>
      <c r="V1015" s="87">
        <v>0.0</v>
      </c>
      <c r="W1015" s="87">
        <v>0.0</v>
      </c>
      <c r="X1015" s="87">
        <v>0.0</v>
      </c>
      <c r="Y1015" s="87">
        <v>0.0</v>
      </c>
      <c r="Z1015" s="87">
        <v>0.0</v>
      </c>
      <c r="AA1015" s="87">
        <v>0.0</v>
      </c>
      <c r="AB1015" s="87">
        <v>0.0</v>
      </c>
      <c r="AC1015" s="87">
        <v>0.0</v>
      </c>
      <c r="AD1015" s="87">
        <v>0.0</v>
      </c>
      <c r="AE1015" s="87">
        <v>0.0</v>
      </c>
      <c r="AF1015" s="87">
        <v>0.0</v>
      </c>
      <c r="AG1015" s="87">
        <v>0.0</v>
      </c>
      <c r="AH1015" s="87">
        <v>0.0</v>
      </c>
      <c r="AI1015" s="87">
        <v>0.0</v>
      </c>
      <c r="AJ1015" s="87">
        <v>0.0</v>
      </c>
      <c r="AK1015" s="87">
        <v>0.0</v>
      </c>
      <c r="AL1015" s="88" t="s">
        <v>1396</v>
      </c>
    </row>
    <row r="1016">
      <c r="A1016" s="84" t="s">
        <v>2747</v>
      </c>
      <c r="B1016" s="84" t="s">
        <v>2754</v>
      </c>
      <c r="C1016" s="84" t="s">
        <v>2745</v>
      </c>
      <c r="D1016" s="84" t="s">
        <v>2753</v>
      </c>
      <c r="E1016" s="84" t="s">
        <v>1403</v>
      </c>
      <c r="F1016" s="87">
        <v>24.0</v>
      </c>
      <c r="G1016" s="87">
        <v>0.0</v>
      </c>
      <c r="H1016" s="87">
        <v>0.0</v>
      </c>
      <c r="I1016" s="87">
        <v>0.0</v>
      </c>
      <c r="J1016" s="87">
        <v>0.0</v>
      </c>
      <c r="K1016" s="87">
        <v>0.0</v>
      </c>
      <c r="L1016" s="87">
        <v>0.0</v>
      </c>
      <c r="M1016" s="87">
        <v>0.0</v>
      </c>
      <c r="N1016" s="87">
        <v>0.0</v>
      </c>
      <c r="O1016" s="87">
        <v>0.0</v>
      </c>
      <c r="P1016" s="87">
        <v>0.0</v>
      </c>
      <c r="Q1016" s="87">
        <v>0.0</v>
      </c>
      <c r="R1016" s="87">
        <v>0.0</v>
      </c>
      <c r="S1016" s="87">
        <v>0.0</v>
      </c>
      <c r="T1016" s="87">
        <v>0.0</v>
      </c>
      <c r="U1016" s="87">
        <v>0.0</v>
      </c>
      <c r="V1016" s="87">
        <v>0.0</v>
      </c>
      <c r="W1016" s="87">
        <v>0.0</v>
      </c>
      <c r="X1016" s="87">
        <v>0.0</v>
      </c>
      <c r="Y1016" s="87">
        <v>0.0</v>
      </c>
      <c r="Z1016" s="87">
        <v>0.0</v>
      </c>
      <c r="AA1016" s="87">
        <v>0.0</v>
      </c>
      <c r="AB1016" s="87">
        <v>0.0</v>
      </c>
      <c r="AC1016" s="87">
        <v>0.0</v>
      </c>
      <c r="AD1016" s="87">
        <v>0.0</v>
      </c>
      <c r="AE1016" s="87">
        <v>0.0</v>
      </c>
      <c r="AF1016" s="87">
        <v>0.0</v>
      </c>
      <c r="AG1016" s="87">
        <v>0.0</v>
      </c>
      <c r="AH1016" s="87">
        <v>0.0</v>
      </c>
      <c r="AI1016" s="87">
        <v>0.0</v>
      </c>
      <c r="AJ1016" s="87">
        <v>0.0</v>
      </c>
      <c r="AK1016" s="87">
        <v>0.0</v>
      </c>
      <c r="AL1016" s="88" t="s">
        <v>1396</v>
      </c>
    </row>
    <row r="1017">
      <c r="A1017" s="84" t="s">
        <v>2755</v>
      </c>
      <c r="B1017" s="84" t="s">
        <v>2756</v>
      </c>
      <c r="C1017" s="84" t="s">
        <v>2757</v>
      </c>
      <c r="D1017" s="84" t="s">
        <v>2758</v>
      </c>
      <c r="E1017" s="86">
        <v>46310.0</v>
      </c>
      <c r="F1017" s="87">
        <v>2.0</v>
      </c>
      <c r="G1017" s="87">
        <v>0.0</v>
      </c>
      <c r="H1017" s="87">
        <v>0.0</v>
      </c>
      <c r="I1017" s="87">
        <v>0.0</v>
      </c>
      <c r="J1017" s="87">
        <v>0.53956</v>
      </c>
      <c r="K1017" s="87">
        <v>1.299099</v>
      </c>
      <c r="L1017" s="87">
        <v>1.006923</v>
      </c>
      <c r="M1017" s="87">
        <v>1.032489</v>
      </c>
      <c r="N1017" s="87">
        <v>0.794773</v>
      </c>
      <c r="O1017" s="87">
        <v>0.26661</v>
      </c>
      <c r="P1017" s="87">
        <v>0.26661</v>
      </c>
      <c r="Q1017" s="87">
        <v>0.26661</v>
      </c>
      <c r="R1017" s="87">
        <v>1.032489</v>
      </c>
      <c r="S1017" s="87">
        <v>1.032489</v>
      </c>
      <c r="T1017" s="87">
        <v>0.26661</v>
      </c>
      <c r="U1017" s="87">
        <v>0.26661</v>
      </c>
      <c r="V1017" s="87">
        <v>0.26661</v>
      </c>
      <c r="W1017" s="87">
        <v>1.032489</v>
      </c>
      <c r="X1017" s="87">
        <v>1.032489</v>
      </c>
      <c r="Y1017" s="87">
        <v>0.649549</v>
      </c>
      <c r="Z1017" s="87">
        <v>0.0</v>
      </c>
      <c r="AA1017" s="87">
        <v>1.032489</v>
      </c>
      <c r="AB1017" s="87">
        <v>0.086607</v>
      </c>
      <c r="AC1017" s="87">
        <v>0.649549</v>
      </c>
      <c r="AD1017" s="87">
        <v>0.280109</v>
      </c>
      <c r="AE1017" s="87">
        <v>0.280109</v>
      </c>
      <c r="AF1017" s="87">
        <v>0.469476</v>
      </c>
      <c r="AG1017" s="87">
        <v>0.649549</v>
      </c>
      <c r="AH1017" s="87">
        <v>0.0</v>
      </c>
      <c r="AI1017" s="87">
        <v>0.574074</v>
      </c>
      <c r="AJ1017" s="87">
        <v>0.18544</v>
      </c>
      <c r="AK1017" s="87">
        <v>0.649549</v>
      </c>
      <c r="AL1017" s="88" t="s">
        <v>1396</v>
      </c>
    </row>
    <row r="1018">
      <c r="A1018" s="84" t="s">
        <v>2759</v>
      </c>
      <c r="B1018" s="84" t="s">
        <v>2760</v>
      </c>
      <c r="C1018" s="84" t="s">
        <v>2757</v>
      </c>
      <c r="D1018" s="84" t="s">
        <v>2758</v>
      </c>
      <c r="E1018" s="84" t="s">
        <v>1403</v>
      </c>
      <c r="F1018" s="87">
        <v>13.0</v>
      </c>
      <c r="G1018" s="87">
        <v>0.0</v>
      </c>
      <c r="H1018" s="87">
        <v>0.0</v>
      </c>
      <c r="I1018" s="87">
        <v>0.0</v>
      </c>
      <c r="J1018" s="87">
        <v>0.0</v>
      </c>
      <c r="K1018" s="87">
        <v>0.0</v>
      </c>
      <c r="L1018" s="87">
        <v>0.0</v>
      </c>
      <c r="M1018" s="87">
        <v>0.0</v>
      </c>
      <c r="N1018" s="87">
        <v>0.0</v>
      </c>
      <c r="O1018" s="87">
        <v>0.0</v>
      </c>
      <c r="P1018" s="87">
        <v>0.0</v>
      </c>
      <c r="Q1018" s="87">
        <v>0.0</v>
      </c>
      <c r="R1018" s="87">
        <v>0.0</v>
      </c>
      <c r="S1018" s="87">
        <v>0.0</v>
      </c>
      <c r="T1018" s="87">
        <v>0.0</v>
      </c>
      <c r="U1018" s="87">
        <v>0.0</v>
      </c>
      <c r="V1018" s="87">
        <v>0.0</v>
      </c>
      <c r="W1018" s="87">
        <v>0.0</v>
      </c>
      <c r="X1018" s="87">
        <v>0.0</v>
      </c>
      <c r="Y1018" s="87">
        <v>0.0</v>
      </c>
      <c r="Z1018" s="87">
        <v>0.0</v>
      </c>
      <c r="AA1018" s="87">
        <v>1.032489</v>
      </c>
      <c r="AB1018" s="87">
        <v>0.086607</v>
      </c>
      <c r="AC1018" s="87">
        <v>0.649549</v>
      </c>
      <c r="AD1018" s="87">
        <v>0.0</v>
      </c>
      <c r="AE1018" s="87">
        <v>0.0</v>
      </c>
      <c r="AF1018" s="87">
        <v>0.0</v>
      </c>
      <c r="AG1018" s="87">
        <v>0.0</v>
      </c>
      <c r="AH1018" s="87">
        <v>0.0</v>
      </c>
      <c r="AI1018" s="87">
        <v>0.574074</v>
      </c>
      <c r="AJ1018" s="87">
        <v>0.18544</v>
      </c>
      <c r="AK1018" s="87">
        <v>0.649549</v>
      </c>
      <c r="AL1018" s="88" t="s">
        <v>1396</v>
      </c>
    </row>
    <row r="1019">
      <c r="A1019" s="84" t="s">
        <v>2755</v>
      </c>
      <c r="B1019" s="84" t="s">
        <v>2761</v>
      </c>
      <c r="C1019" s="84" t="s">
        <v>2757</v>
      </c>
      <c r="D1019" s="84" t="s">
        <v>2762</v>
      </c>
      <c r="E1019" s="86">
        <v>46310.0</v>
      </c>
      <c r="F1019" s="87">
        <v>3.0</v>
      </c>
      <c r="G1019" s="87">
        <v>0.0</v>
      </c>
      <c r="H1019" s="87">
        <v>0.0</v>
      </c>
      <c r="I1019" s="87">
        <v>0.0</v>
      </c>
      <c r="J1019" s="87">
        <v>1.369048</v>
      </c>
      <c r="K1019" s="87">
        <v>1.048283</v>
      </c>
      <c r="L1019" s="87">
        <v>0.561581</v>
      </c>
      <c r="M1019" s="87">
        <v>0.574074</v>
      </c>
      <c r="N1019" s="87">
        <v>0.547633</v>
      </c>
      <c r="O1019" s="87">
        <v>0.194099</v>
      </c>
      <c r="P1019" s="87">
        <v>0.194099</v>
      </c>
      <c r="Q1019" s="87">
        <v>0.194099</v>
      </c>
      <c r="R1019" s="87">
        <v>0.280109</v>
      </c>
      <c r="S1019" s="87">
        <v>0.574074</v>
      </c>
      <c r="T1019" s="87">
        <v>0.194099</v>
      </c>
      <c r="U1019" s="87">
        <v>0.194099</v>
      </c>
      <c r="V1019" s="87">
        <v>0.194099</v>
      </c>
      <c r="W1019" s="87">
        <v>0.280109</v>
      </c>
      <c r="X1019" s="87">
        <v>0.574074</v>
      </c>
      <c r="Y1019" s="87">
        <v>0.349428</v>
      </c>
      <c r="Z1019" s="87">
        <v>0.574074</v>
      </c>
      <c r="AA1019" s="87">
        <v>0.574074</v>
      </c>
      <c r="AB1019" s="87">
        <v>0.556068</v>
      </c>
      <c r="AC1019" s="87">
        <v>1.175988</v>
      </c>
      <c r="AD1019" s="87">
        <v>0.280109</v>
      </c>
      <c r="AE1019" s="87">
        <v>0.280109</v>
      </c>
      <c r="AF1019" s="87">
        <v>0.469476</v>
      </c>
      <c r="AG1019" s="87">
        <v>0.649549</v>
      </c>
      <c r="AH1019" s="87">
        <v>0.0</v>
      </c>
      <c r="AI1019" s="87">
        <v>0.574074</v>
      </c>
      <c r="AJ1019" s="87">
        <v>0.18544</v>
      </c>
      <c r="AK1019" s="87">
        <v>0.649549</v>
      </c>
      <c r="AL1019" s="88" t="s">
        <v>1396</v>
      </c>
    </row>
    <row r="1020">
      <c r="A1020" s="84" t="s">
        <v>2763</v>
      </c>
      <c r="B1020" s="84" t="s">
        <v>2764</v>
      </c>
      <c r="C1020" s="84" t="s">
        <v>2757</v>
      </c>
      <c r="D1020" s="84" t="s">
        <v>2762</v>
      </c>
      <c r="E1020" s="84" t="s">
        <v>1413</v>
      </c>
      <c r="F1020" s="87">
        <v>1.0</v>
      </c>
      <c r="G1020" s="87">
        <v>0.0</v>
      </c>
      <c r="H1020" s="87">
        <v>0.0</v>
      </c>
      <c r="I1020" s="87">
        <v>0.0</v>
      </c>
      <c r="J1020" s="87">
        <v>2.599817</v>
      </c>
      <c r="K1020" s="87">
        <v>1.175988</v>
      </c>
      <c r="L1020" s="87">
        <v>0.849813</v>
      </c>
      <c r="M1020" s="87">
        <v>1.175988</v>
      </c>
      <c r="N1020" s="87">
        <v>1.0</v>
      </c>
      <c r="O1020" s="87">
        <v>1.175988</v>
      </c>
      <c r="P1020" s="87">
        <v>1.175988</v>
      </c>
      <c r="Q1020" s="87">
        <v>1.175988</v>
      </c>
      <c r="R1020" s="87">
        <v>1.175988</v>
      </c>
      <c r="S1020" s="87">
        <v>1.175988</v>
      </c>
      <c r="T1020" s="87">
        <v>1.175988</v>
      </c>
      <c r="U1020" s="87">
        <v>1.175988</v>
      </c>
      <c r="V1020" s="87">
        <v>1.175988</v>
      </c>
      <c r="W1020" s="87">
        <v>1.175988</v>
      </c>
      <c r="X1020" s="87">
        <v>1.175988</v>
      </c>
      <c r="Y1020" s="87">
        <v>1.175988</v>
      </c>
      <c r="Z1020" s="87">
        <v>0.574074</v>
      </c>
      <c r="AA1020" s="87">
        <v>0.574074</v>
      </c>
      <c r="AB1020" s="87">
        <v>0.556068</v>
      </c>
      <c r="AC1020" s="87">
        <v>1.175988</v>
      </c>
      <c r="AD1020" s="87">
        <v>1.175988</v>
      </c>
      <c r="AE1020" s="87">
        <v>1.175988</v>
      </c>
      <c r="AF1020" s="87">
        <v>1.175988</v>
      </c>
      <c r="AG1020" s="87">
        <v>1.175988</v>
      </c>
      <c r="AH1020" s="87">
        <v>0.0</v>
      </c>
      <c r="AI1020" s="87">
        <v>0.574074</v>
      </c>
      <c r="AJ1020" s="87">
        <v>0.18544</v>
      </c>
      <c r="AK1020" s="87">
        <v>0.649549</v>
      </c>
      <c r="AL1020" s="88" t="s">
        <v>1396</v>
      </c>
    </row>
    <row r="1021">
      <c r="A1021" s="84" t="s">
        <v>2765</v>
      </c>
      <c r="B1021" s="84" t="s">
        <v>1474</v>
      </c>
      <c r="C1021" s="84" t="s">
        <v>2766</v>
      </c>
      <c r="D1021" s="84" t="s">
        <v>139</v>
      </c>
      <c r="E1021" s="84" t="s">
        <v>1426</v>
      </c>
      <c r="F1021" s="87">
        <v>1.0</v>
      </c>
      <c r="G1021" s="87">
        <v>0.0</v>
      </c>
      <c r="H1021" s="87">
        <v>0.0</v>
      </c>
      <c r="I1021" s="87">
        <v>0.0</v>
      </c>
      <c r="J1021" s="87">
        <v>0.0</v>
      </c>
      <c r="K1021" s="87">
        <v>0.0</v>
      </c>
      <c r="L1021" s="87">
        <v>0.0</v>
      </c>
      <c r="M1021" s="87">
        <v>0.0</v>
      </c>
      <c r="N1021" s="87">
        <v>0.0</v>
      </c>
      <c r="O1021" s="87">
        <v>0.0</v>
      </c>
      <c r="P1021" s="87">
        <v>0.0</v>
      </c>
      <c r="Q1021" s="87">
        <v>0.0</v>
      </c>
      <c r="R1021" s="87">
        <v>0.0</v>
      </c>
      <c r="S1021" s="87">
        <v>0.0</v>
      </c>
      <c r="T1021" s="87">
        <v>0.0</v>
      </c>
      <c r="U1021" s="87">
        <v>0.0</v>
      </c>
      <c r="V1021" s="87">
        <v>0.0</v>
      </c>
      <c r="W1021" s="87">
        <v>0.0</v>
      </c>
      <c r="X1021" s="87">
        <v>0.0</v>
      </c>
      <c r="Y1021" s="87">
        <v>0.0</v>
      </c>
      <c r="Z1021" s="87">
        <v>0.0</v>
      </c>
      <c r="AA1021" s="87">
        <v>0.0</v>
      </c>
      <c r="AB1021" s="87">
        <v>0.0</v>
      </c>
      <c r="AC1021" s="87">
        <v>0.0</v>
      </c>
      <c r="AD1021" s="87">
        <v>0.0</v>
      </c>
      <c r="AE1021" s="87">
        <v>0.0</v>
      </c>
      <c r="AF1021" s="87">
        <v>0.0</v>
      </c>
      <c r="AG1021" s="87">
        <v>0.0</v>
      </c>
      <c r="AH1021" s="87">
        <v>0.0</v>
      </c>
      <c r="AI1021" s="87">
        <v>11.5</v>
      </c>
      <c r="AJ1021" s="87">
        <v>3.646212</v>
      </c>
      <c r="AK1021" s="87">
        <v>0.0</v>
      </c>
      <c r="AL1021" s="88" t="s">
        <v>1396</v>
      </c>
    </row>
    <row r="1022">
      <c r="A1022" s="84" t="s">
        <v>2767</v>
      </c>
      <c r="B1022" s="84" t="s">
        <v>1477</v>
      </c>
      <c r="C1022" s="84" t="s">
        <v>2766</v>
      </c>
      <c r="D1022" s="84" t="s">
        <v>139</v>
      </c>
      <c r="E1022" s="86">
        <v>46310.0</v>
      </c>
      <c r="F1022" s="87">
        <v>1.0</v>
      </c>
      <c r="G1022" s="87">
        <v>0.0</v>
      </c>
      <c r="H1022" s="87">
        <v>0.0</v>
      </c>
      <c r="I1022" s="87">
        <v>0.0</v>
      </c>
      <c r="J1022" s="87">
        <v>0.0</v>
      </c>
      <c r="K1022" s="87">
        <v>0.0</v>
      </c>
      <c r="L1022" s="87">
        <v>4.5421</v>
      </c>
      <c r="M1022" s="87">
        <v>0.0</v>
      </c>
      <c r="N1022" s="87">
        <v>0.0</v>
      </c>
      <c r="O1022" s="87">
        <v>0.0</v>
      </c>
      <c r="P1022" s="87">
        <v>0.0</v>
      </c>
      <c r="Q1022" s="87">
        <v>0.0</v>
      </c>
      <c r="R1022" s="87">
        <v>0.0</v>
      </c>
      <c r="S1022" s="87">
        <v>0.0</v>
      </c>
      <c r="T1022" s="87">
        <v>0.0</v>
      </c>
      <c r="U1022" s="87">
        <v>0.0</v>
      </c>
      <c r="V1022" s="87">
        <v>0.0</v>
      </c>
      <c r="W1022" s="87">
        <v>0.0</v>
      </c>
      <c r="X1022" s="87">
        <v>0.0</v>
      </c>
      <c r="Y1022" s="87">
        <v>0.0</v>
      </c>
      <c r="Z1022" s="87">
        <v>0.0</v>
      </c>
      <c r="AA1022" s="87">
        <v>0.0</v>
      </c>
      <c r="AB1022" s="87">
        <v>0.0</v>
      </c>
      <c r="AC1022" s="87">
        <v>0.0</v>
      </c>
      <c r="AD1022" s="87">
        <v>0.0</v>
      </c>
      <c r="AE1022" s="87">
        <v>51.75</v>
      </c>
      <c r="AF1022" s="87">
        <v>12.9375</v>
      </c>
      <c r="AG1022" s="87">
        <v>0.0</v>
      </c>
      <c r="AH1022" s="87">
        <v>0.0</v>
      </c>
      <c r="AI1022" s="87">
        <v>11.5</v>
      </c>
      <c r="AJ1022" s="87">
        <v>3.646212</v>
      </c>
      <c r="AK1022" s="87">
        <v>0.0</v>
      </c>
      <c r="AL1022" s="88" t="s">
        <v>1396</v>
      </c>
    </row>
    <row r="1023">
      <c r="A1023" s="84" t="s">
        <v>2768</v>
      </c>
      <c r="B1023" s="84" t="s">
        <v>1479</v>
      </c>
      <c r="C1023" s="84" t="s">
        <v>2766</v>
      </c>
      <c r="D1023" s="84" t="s">
        <v>139</v>
      </c>
      <c r="E1023" s="84" t="s">
        <v>1413</v>
      </c>
      <c r="F1023" s="87">
        <v>2.0</v>
      </c>
      <c r="G1023" s="87">
        <v>0.0</v>
      </c>
      <c r="H1023" s="87">
        <v>0.0</v>
      </c>
      <c r="I1023" s="87">
        <v>0.0</v>
      </c>
      <c r="J1023" s="87">
        <v>0.0</v>
      </c>
      <c r="K1023" s="87">
        <v>0.0</v>
      </c>
      <c r="L1023" s="87">
        <v>0.0</v>
      </c>
      <c r="M1023" s="87">
        <v>0.0</v>
      </c>
      <c r="N1023" s="87">
        <v>0.0</v>
      </c>
      <c r="O1023" s="87">
        <v>0.0</v>
      </c>
      <c r="P1023" s="87">
        <v>0.0</v>
      </c>
      <c r="Q1023" s="87">
        <v>0.0</v>
      </c>
      <c r="R1023" s="87">
        <v>0.0</v>
      </c>
      <c r="S1023" s="87">
        <v>0.0</v>
      </c>
      <c r="T1023" s="87">
        <v>0.0</v>
      </c>
      <c r="U1023" s="87">
        <v>0.0</v>
      </c>
      <c r="V1023" s="87">
        <v>0.0</v>
      </c>
      <c r="W1023" s="87">
        <v>0.0</v>
      </c>
      <c r="X1023" s="87">
        <v>0.0</v>
      </c>
      <c r="Y1023" s="87">
        <v>0.0</v>
      </c>
      <c r="Z1023" s="87">
        <v>0.0</v>
      </c>
      <c r="AA1023" s="87">
        <v>0.0</v>
      </c>
      <c r="AB1023" s="87">
        <v>0.0</v>
      </c>
      <c r="AC1023" s="87">
        <v>0.0</v>
      </c>
      <c r="AD1023" s="87">
        <v>1.0</v>
      </c>
      <c r="AE1023" s="87">
        <v>70.85</v>
      </c>
      <c r="AF1023" s="87">
        <v>17.9625</v>
      </c>
      <c r="AG1023" s="87">
        <v>1.0</v>
      </c>
      <c r="AH1023" s="87">
        <v>0.0</v>
      </c>
      <c r="AI1023" s="87">
        <v>11.5</v>
      </c>
      <c r="AJ1023" s="87">
        <v>3.646212</v>
      </c>
      <c r="AK1023" s="87">
        <v>0.0</v>
      </c>
      <c r="AL1023" s="88" t="s">
        <v>1396</v>
      </c>
    </row>
    <row r="1024">
      <c r="A1024" s="84" t="s">
        <v>2769</v>
      </c>
      <c r="B1024" s="84" t="s">
        <v>1483</v>
      </c>
      <c r="C1024" s="84" t="s">
        <v>2766</v>
      </c>
      <c r="D1024" s="84" t="s">
        <v>139</v>
      </c>
      <c r="E1024" s="89">
        <v>46300.0</v>
      </c>
      <c r="F1024" s="87">
        <v>6.0</v>
      </c>
      <c r="G1024" s="87">
        <v>0.0</v>
      </c>
      <c r="H1024" s="87">
        <v>0.0</v>
      </c>
      <c r="I1024" s="87">
        <v>0.0</v>
      </c>
      <c r="J1024" s="87">
        <v>0.0</v>
      </c>
      <c r="K1024" s="87">
        <v>0.0</v>
      </c>
      <c r="L1024" s="87">
        <v>4.159524</v>
      </c>
      <c r="M1024" s="87">
        <v>0.0</v>
      </c>
      <c r="N1024" s="87">
        <v>0.0</v>
      </c>
      <c r="O1024" s="87">
        <v>0.0</v>
      </c>
      <c r="P1024" s="87">
        <v>0.0</v>
      </c>
      <c r="Q1024" s="87">
        <v>0.0</v>
      </c>
      <c r="R1024" s="87">
        <v>0.0</v>
      </c>
      <c r="S1024" s="87">
        <v>0.0</v>
      </c>
      <c r="T1024" s="87">
        <v>0.0</v>
      </c>
      <c r="U1024" s="87">
        <v>0.0</v>
      </c>
      <c r="V1024" s="87">
        <v>0.0</v>
      </c>
      <c r="W1024" s="87">
        <v>0.0</v>
      </c>
      <c r="X1024" s="87">
        <v>0.0</v>
      </c>
      <c r="Y1024" s="87">
        <v>0.0</v>
      </c>
      <c r="Z1024" s="87">
        <v>0.0</v>
      </c>
      <c r="AA1024" s="87">
        <v>0.0</v>
      </c>
      <c r="AB1024" s="87">
        <v>0.0</v>
      </c>
      <c r="AC1024" s="87">
        <v>0.0</v>
      </c>
      <c r="AD1024" s="87">
        <v>0.0</v>
      </c>
      <c r="AE1024" s="87">
        <v>3.0</v>
      </c>
      <c r="AF1024" s="87">
        <v>3.069444</v>
      </c>
      <c r="AG1024" s="87">
        <v>3.0</v>
      </c>
      <c r="AH1024" s="87">
        <v>0.0</v>
      </c>
      <c r="AI1024" s="87">
        <v>11.5</v>
      </c>
      <c r="AJ1024" s="87">
        <v>3.646212</v>
      </c>
      <c r="AK1024" s="87">
        <v>0.0</v>
      </c>
      <c r="AL1024" s="88" t="s">
        <v>1396</v>
      </c>
    </row>
    <row r="1025">
      <c r="A1025" s="84" t="s">
        <v>2770</v>
      </c>
      <c r="B1025" s="84" t="s">
        <v>1485</v>
      </c>
      <c r="C1025" s="84" t="s">
        <v>2766</v>
      </c>
      <c r="D1025" s="84" t="s">
        <v>139</v>
      </c>
      <c r="E1025" s="84" t="s">
        <v>1403</v>
      </c>
      <c r="F1025" s="87">
        <v>6.0</v>
      </c>
      <c r="G1025" s="87">
        <v>0.0</v>
      </c>
      <c r="H1025" s="87">
        <v>0.0</v>
      </c>
      <c r="I1025" s="87">
        <v>0.0</v>
      </c>
      <c r="J1025" s="87">
        <v>0.0</v>
      </c>
      <c r="K1025" s="87">
        <v>0.0</v>
      </c>
      <c r="L1025" s="87">
        <v>0.0</v>
      </c>
      <c r="M1025" s="87">
        <v>0.0</v>
      </c>
      <c r="N1025" s="87">
        <v>0.0</v>
      </c>
      <c r="O1025" s="87">
        <v>0.0</v>
      </c>
      <c r="P1025" s="87">
        <v>0.0</v>
      </c>
      <c r="Q1025" s="87">
        <v>0.0</v>
      </c>
      <c r="R1025" s="87">
        <v>0.0</v>
      </c>
      <c r="S1025" s="87">
        <v>0.0</v>
      </c>
      <c r="T1025" s="87">
        <v>0.0</v>
      </c>
      <c r="U1025" s="87">
        <v>0.0</v>
      </c>
      <c r="V1025" s="87">
        <v>0.0</v>
      </c>
      <c r="W1025" s="87">
        <v>0.0</v>
      </c>
      <c r="X1025" s="87">
        <v>0.0</v>
      </c>
      <c r="Y1025" s="87">
        <v>0.0</v>
      </c>
      <c r="Z1025" s="87">
        <v>0.0</v>
      </c>
      <c r="AA1025" s="87">
        <v>0.0</v>
      </c>
      <c r="AB1025" s="87">
        <v>0.0</v>
      </c>
      <c r="AC1025" s="87">
        <v>0.0</v>
      </c>
      <c r="AD1025" s="87">
        <v>0.0</v>
      </c>
      <c r="AE1025" s="87">
        <v>0.0</v>
      </c>
      <c r="AF1025" s="87">
        <v>0.0</v>
      </c>
      <c r="AG1025" s="87">
        <v>0.0</v>
      </c>
      <c r="AH1025" s="87">
        <v>0.0</v>
      </c>
      <c r="AI1025" s="87">
        <v>11.5</v>
      </c>
      <c r="AJ1025" s="87">
        <v>3.646212</v>
      </c>
      <c r="AK1025" s="87">
        <v>0.0</v>
      </c>
      <c r="AL1025" s="88" t="s">
        <v>1396</v>
      </c>
    </row>
    <row r="1026">
      <c r="A1026" s="84" t="s">
        <v>2767</v>
      </c>
      <c r="B1026" s="84" t="s">
        <v>1789</v>
      </c>
      <c r="C1026" s="84" t="s">
        <v>2766</v>
      </c>
      <c r="D1026" s="84" t="s">
        <v>231</v>
      </c>
      <c r="E1026" s="86">
        <v>46310.0</v>
      </c>
      <c r="F1026" s="87">
        <v>1.0</v>
      </c>
      <c r="G1026" s="87">
        <v>0.0</v>
      </c>
      <c r="H1026" s="87">
        <v>0.0</v>
      </c>
      <c r="I1026" s="87">
        <v>0.0</v>
      </c>
      <c r="J1026" s="87">
        <v>3.5</v>
      </c>
      <c r="K1026" s="87">
        <v>51.75</v>
      </c>
      <c r="L1026" s="87">
        <v>52.4</v>
      </c>
      <c r="M1026" s="87">
        <v>51.75</v>
      </c>
      <c r="N1026" s="87">
        <v>1.0</v>
      </c>
      <c r="O1026" s="87">
        <v>51.75</v>
      </c>
      <c r="P1026" s="87">
        <v>51.75</v>
      </c>
      <c r="Q1026" s="87">
        <v>51.75</v>
      </c>
      <c r="R1026" s="87">
        <v>51.75</v>
      </c>
      <c r="S1026" s="87">
        <v>51.75</v>
      </c>
      <c r="T1026" s="87">
        <v>51.75</v>
      </c>
      <c r="U1026" s="87">
        <v>51.75</v>
      </c>
      <c r="V1026" s="87">
        <v>51.75</v>
      </c>
      <c r="W1026" s="87">
        <v>51.75</v>
      </c>
      <c r="X1026" s="87">
        <v>51.75</v>
      </c>
      <c r="Y1026" s="87">
        <v>51.75</v>
      </c>
      <c r="Z1026" s="87">
        <v>16.83333</v>
      </c>
      <c r="AA1026" s="87">
        <v>51.75</v>
      </c>
      <c r="AB1026" s="87">
        <v>30.18667</v>
      </c>
      <c r="AC1026" s="87">
        <v>51.75</v>
      </c>
      <c r="AD1026" s="87">
        <v>0.0</v>
      </c>
      <c r="AE1026" s="87">
        <v>51.75</v>
      </c>
      <c r="AF1026" s="87">
        <v>12.9375</v>
      </c>
      <c r="AG1026" s="87">
        <v>0.0</v>
      </c>
      <c r="AH1026" s="87">
        <v>0.0</v>
      </c>
      <c r="AI1026" s="87">
        <v>11.5</v>
      </c>
      <c r="AJ1026" s="87">
        <v>3.646212</v>
      </c>
      <c r="AK1026" s="87">
        <v>0.0</v>
      </c>
      <c r="AL1026" s="88" t="s">
        <v>1396</v>
      </c>
    </row>
    <row r="1027">
      <c r="A1027" s="84" t="s">
        <v>2768</v>
      </c>
      <c r="B1027" s="84" t="s">
        <v>1791</v>
      </c>
      <c r="C1027" s="84" t="s">
        <v>2766</v>
      </c>
      <c r="D1027" s="84" t="s">
        <v>231</v>
      </c>
      <c r="E1027" s="84" t="s">
        <v>1413</v>
      </c>
      <c r="F1027" s="87">
        <v>1.0</v>
      </c>
      <c r="G1027" s="87">
        <v>0.0</v>
      </c>
      <c r="H1027" s="87">
        <v>0.0</v>
      </c>
      <c r="I1027" s="87">
        <v>0.0</v>
      </c>
      <c r="J1027" s="87">
        <v>14.0</v>
      </c>
      <c r="K1027" s="87">
        <v>70.85</v>
      </c>
      <c r="L1027" s="87">
        <v>63.59286</v>
      </c>
      <c r="M1027" s="87">
        <v>70.85</v>
      </c>
      <c r="N1027" s="87">
        <v>1.0</v>
      </c>
      <c r="O1027" s="87">
        <v>70.85</v>
      </c>
      <c r="P1027" s="87">
        <v>70.85</v>
      </c>
      <c r="Q1027" s="87">
        <v>70.85</v>
      </c>
      <c r="R1027" s="87">
        <v>70.85</v>
      </c>
      <c r="S1027" s="87">
        <v>70.85</v>
      </c>
      <c r="T1027" s="87">
        <v>70.85</v>
      </c>
      <c r="U1027" s="87">
        <v>70.85</v>
      </c>
      <c r="V1027" s="87">
        <v>70.85</v>
      </c>
      <c r="W1027" s="87">
        <v>70.85</v>
      </c>
      <c r="X1027" s="87">
        <v>70.85</v>
      </c>
      <c r="Y1027" s="87">
        <v>70.85</v>
      </c>
      <c r="Z1027" s="87">
        <v>16.83333</v>
      </c>
      <c r="AA1027" s="87">
        <v>51.75</v>
      </c>
      <c r="AB1027" s="87">
        <v>30.18667</v>
      </c>
      <c r="AC1027" s="87">
        <v>51.75</v>
      </c>
      <c r="AD1027" s="87">
        <v>1.0</v>
      </c>
      <c r="AE1027" s="87">
        <v>70.85</v>
      </c>
      <c r="AF1027" s="87">
        <v>17.9625</v>
      </c>
      <c r="AG1027" s="87">
        <v>1.0</v>
      </c>
      <c r="AH1027" s="87">
        <v>0.0</v>
      </c>
      <c r="AI1027" s="87">
        <v>11.5</v>
      </c>
      <c r="AJ1027" s="87">
        <v>3.646212</v>
      </c>
      <c r="AK1027" s="87">
        <v>0.0</v>
      </c>
      <c r="AL1027" s="88" t="s">
        <v>1396</v>
      </c>
    </row>
    <row r="1028">
      <c r="A1028" s="84" t="s">
        <v>2769</v>
      </c>
      <c r="B1028" s="84" t="s">
        <v>1797</v>
      </c>
      <c r="C1028" s="84" t="s">
        <v>2766</v>
      </c>
      <c r="D1028" s="84" t="s">
        <v>231</v>
      </c>
      <c r="E1028" s="89">
        <v>46300.0</v>
      </c>
      <c r="F1028" s="87">
        <v>2.0</v>
      </c>
      <c r="G1028" s="87">
        <v>0.0</v>
      </c>
      <c r="H1028" s="87">
        <v>0.0</v>
      </c>
      <c r="I1028" s="87">
        <v>0.0</v>
      </c>
      <c r="J1028" s="87">
        <v>26.83333</v>
      </c>
      <c r="K1028" s="87">
        <v>28.33333</v>
      </c>
      <c r="L1028" s="87">
        <v>28.89286</v>
      </c>
      <c r="M1028" s="87">
        <v>16.83333</v>
      </c>
      <c r="N1028" s="87">
        <v>0.594118</v>
      </c>
      <c r="O1028" s="87">
        <v>11.5</v>
      </c>
      <c r="P1028" s="87">
        <v>11.5</v>
      </c>
      <c r="Q1028" s="87">
        <v>11.5</v>
      </c>
      <c r="R1028" s="87">
        <v>16.83333</v>
      </c>
      <c r="S1028" s="87">
        <v>16.83333</v>
      </c>
      <c r="T1028" s="87">
        <v>11.5</v>
      </c>
      <c r="U1028" s="87">
        <v>11.5</v>
      </c>
      <c r="V1028" s="87">
        <v>11.5</v>
      </c>
      <c r="W1028" s="87">
        <v>16.83333</v>
      </c>
      <c r="X1028" s="87">
        <v>16.83333</v>
      </c>
      <c r="Y1028" s="87">
        <v>14.16667</v>
      </c>
      <c r="Z1028" s="87">
        <v>16.83333</v>
      </c>
      <c r="AA1028" s="87">
        <v>51.75</v>
      </c>
      <c r="AB1028" s="87">
        <v>30.18667</v>
      </c>
      <c r="AC1028" s="87">
        <v>51.75</v>
      </c>
      <c r="AD1028" s="87">
        <v>0.0</v>
      </c>
      <c r="AE1028" s="87">
        <v>3.0</v>
      </c>
      <c r="AF1028" s="87">
        <v>3.069444</v>
      </c>
      <c r="AG1028" s="87">
        <v>3.0</v>
      </c>
      <c r="AH1028" s="87">
        <v>0.0</v>
      </c>
      <c r="AI1028" s="87">
        <v>11.5</v>
      </c>
      <c r="AJ1028" s="87">
        <v>3.646212</v>
      </c>
      <c r="AK1028" s="87">
        <v>0.0</v>
      </c>
      <c r="AL1028" s="88" t="s">
        <v>1396</v>
      </c>
    </row>
    <row r="1029">
      <c r="A1029" s="84" t="s">
        <v>2770</v>
      </c>
      <c r="B1029" s="84" t="s">
        <v>1799</v>
      </c>
      <c r="C1029" s="84" t="s">
        <v>2766</v>
      </c>
      <c r="D1029" s="84" t="s">
        <v>231</v>
      </c>
      <c r="E1029" s="84" t="s">
        <v>1403</v>
      </c>
      <c r="F1029" s="87">
        <v>1.0</v>
      </c>
      <c r="G1029" s="87">
        <v>0.0</v>
      </c>
      <c r="H1029" s="87">
        <v>0.0</v>
      </c>
      <c r="I1029" s="87">
        <v>0.0</v>
      </c>
      <c r="J1029" s="87">
        <v>0.0</v>
      </c>
      <c r="K1029" s="87">
        <v>0.0</v>
      </c>
      <c r="L1029" s="87">
        <v>0.0</v>
      </c>
      <c r="M1029" s="87">
        <v>0.0</v>
      </c>
      <c r="N1029" s="87">
        <v>0.0</v>
      </c>
      <c r="O1029" s="87">
        <v>0.0</v>
      </c>
      <c r="P1029" s="87">
        <v>0.0</v>
      </c>
      <c r="Q1029" s="87">
        <v>0.0</v>
      </c>
      <c r="R1029" s="87">
        <v>0.0</v>
      </c>
      <c r="S1029" s="87">
        <v>0.0</v>
      </c>
      <c r="T1029" s="87">
        <v>0.0</v>
      </c>
      <c r="U1029" s="87">
        <v>0.0</v>
      </c>
      <c r="V1029" s="87">
        <v>0.0</v>
      </c>
      <c r="W1029" s="87">
        <v>0.0</v>
      </c>
      <c r="X1029" s="87">
        <v>0.0</v>
      </c>
      <c r="Y1029" s="87">
        <v>0.0</v>
      </c>
      <c r="Z1029" s="87">
        <v>16.83333</v>
      </c>
      <c r="AA1029" s="87">
        <v>51.75</v>
      </c>
      <c r="AB1029" s="87">
        <v>30.18667</v>
      </c>
      <c r="AC1029" s="87">
        <v>51.75</v>
      </c>
      <c r="AD1029" s="87">
        <v>0.0</v>
      </c>
      <c r="AE1029" s="87">
        <v>0.0</v>
      </c>
      <c r="AF1029" s="87">
        <v>0.0</v>
      </c>
      <c r="AG1029" s="87">
        <v>0.0</v>
      </c>
      <c r="AH1029" s="87">
        <v>0.0</v>
      </c>
      <c r="AI1029" s="87">
        <v>11.5</v>
      </c>
      <c r="AJ1029" s="87">
        <v>3.646212</v>
      </c>
      <c r="AK1029" s="87">
        <v>0.0</v>
      </c>
      <c r="AL1029" s="88" t="s">
        <v>1396</v>
      </c>
    </row>
    <row r="1030">
      <c r="A1030" s="84" t="s">
        <v>2767</v>
      </c>
      <c r="B1030" s="84" t="s">
        <v>2141</v>
      </c>
      <c r="C1030" s="84" t="s">
        <v>2766</v>
      </c>
      <c r="D1030" s="84" t="s">
        <v>363</v>
      </c>
      <c r="E1030" s="86">
        <v>46310.0</v>
      </c>
      <c r="F1030" s="87">
        <v>1.0</v>
      </c>
      <c r="G1030" s="87">
        <v>0.0</v>
      </c>
      <c r="H1030" s="87">
        <v>0.0</v>
      </c>
      <c r="I1030" s="87">
        <v>0.0</v>
      </c>
      <c r="J1030" s="87">
        <v>0.0</v>
      </c>
      <c r="K1030" s="87">
        <v>0.0</v>
      </c>
      <c r="L1030" s="87">
        <v>0.0</v>
      </c>
      <c r="M1030" s="87">
        <v>0.0</v>
      </c>
      <c r="N1030" s="87">
        <v>0.0</v>
      </c>
      <c r="O1030" s="87">
        <v>0.0</v>
      </c>
      <c r="P1030" s="87">
        <v>0.0</v>
      </c>
      <c r="Q1030" s="87">
        <v>0.0</v>
      </c>
      <c r="R1030" s="87">
        <v>0.0</v>
      </c>
      <c r="S1030" s="87">
        <v>0.0</v>
      </c>
      <c r="T1030" s="87">
        <v>0.0</v>
      </c>
      <c r="U1030" s="87">
        <v>0.0</v>
      </c>
      <c r="V1030" s="87">
        <v>0.0</v>
      </c>
      <c r="W1030" s="87">
        <v>0.0</v>
      </c>
      <c r="X1030" s="87">
        <v>0.0</v>
      </c>
      <c r="Y1030" s="87">
        <v>0.0</v>
      </c>
      <c r="Z1030" s="87">
        <v>0.0</v>
      </c>
      <c r="AA1030" s="87">
        <v>2.5</v>
      </c>
      <c r="AB1030" s="87">
        <v>0.269231</v>
      </c>
      <c r="AC1030" s="87">
        <v>1.0</v>
      </c>
      <c r="AD1030" s="87">
        <v>0.0</v>
      </c>
      <c r="AE1030" s="87">
        <v>51.75</v>
      </c>
      <c r="AF1030" s="87">
        <v>12.9375</v>
      </c>
      <c r="AG1030" s="87">
        <v>0.0</v>
      </c>
      <c r="AH1030" s="87">
        <v>0.0</v>
      </c>
      <c r="AI1030" s="87">
        <v>11.5</v>
      </c>
      <c r="AJ1030" s="87">
        <v>3.646212</v>
      </c>
      <c r="AK1030" s="87">
        <v>0.0</v>
      </c>
      <c r="AL1030" s="88" t="s">
        <v>1396</v>
      </c>
    </row>
    <row r="1031">
      <c r="A1031" s="84" t="s">
        <v>2768</v>
      </c>
      <c r="B1031" s="84" t="s">
        <v>2143</v>
      </c>
      <c r="C1031" s="84" t="s">
        <v>2766</v>
      </c>
      <c r="D1031" s="84" t="s">
        <v>363</v>
      </c>
      <c r="E1031" s="84" t="s">
        <v>1413</v>
      </c>
      <c r="F1031" s="87">
        <v>1.0</v>
      </c>
      <c r="G1031" s="87">
        <v>0.0</v>
      </c>
      <c r="H1031" s="87">
        <v>0.0</v>
      </c>
      <c r="I1031" s="87">
        <v>0.0</v>
      </c>
      <c r="J1031" s="87">
        <v>0.0</v>
      </c>
      <c r="K1031" s="87">
        <v>1.0</v>
      </c>
      <c r="L1031" s="87">
        <v>2.97619</v>
      </c>
      <c r="M1031" s="87">
        <v>1.0</v>
      </c>
      <c r="N1031" s="87">
        <v>1.0</v>
      </c>
      <c r="O1031" s="87">
        <v>1.0</v>
      </c>
      <c r="P1031" s="87">
        <v>1.0</v>
      </c>
      <c r="Q1031" s="87">
        <v>1.0</v>
      </c>
      <c r="R1031" s="87">
        <v>1.0</v>
      </c>
      <c r="S1031" s="87">
        <v>1.0</v>
      </c>
      <c r="T1031" s="87">
        <v>1.0</v>
      </c>
      <c r="U1031" s="87">
        <v>1.0</v>
      </c>
      <c r="V1031" s="87">
        <v>1.0</v>
      </c>
      <c r="W1031" s="87">
        <v>1.0</v>
      </c>
      <c r="X1031" s="87">
        <v>1.0</v>
      </c>
      <c r="Y1031" s="87">
        <v>1.0</v>
      </c>
      <c r="Z1031" s="87">
        <v>0.0</v>
      </c>
      <c r="AA1031" s="87">
        <v>2.5</v>
      </c>
      <c r="AB1031" s="87">
        <v>0.269231</v>
      </c>
      <c r="AC1031" s="87">
        <v>1.0</v>
      </c>
      <c r="AD1031" s="87">
        <v>1.0</v>
      </c>
      <c r="AE1031" s="87">
        <v>70.85</v>
      </c>
      <c r="AF1031" s="87">
        <v>17.9625</v>
      </c>
      <c r="AG1031" s="87">
        <v>1.0</v>
      </c>
      <c r="AH1031" s="87">
        <v>0.0</v>
      </c>
      <c r="AI1031" s="87">
        <v>11.5</v>
      </c>
      <c r="AJ1031" s="87">
        <v>3.646212</v>
      </c>
      <c r="AK1031" s="87">
        <v>0.0</v>
      </c>
      <c r="AL1031" s="88" t="s">
        <v>1396</v>
      </c>
    </row>
    <row r="1032">
      <c r="A1032" s="84" t="s">
        <v>2769</v>
      </c>
      <c r="B1032" s="84" t="s">
        <v>2149</v>
      </c>
      <c r="C1032" s="84" t="s">
        <v>2766</v>
      </c>
      <c r="D1032" s="84" t="s">
        <v>363</v>
      </c>
      <c r="E1032" s="89">
        <v>46300.0</v>
      </c>
      <c r="F1032" s="87">
        <v>2.0</v>
      </c>
      <c r="G1032" s="87">
        <v>0.0</v>
      </c>
      <c r="H1032" s="87">
        <v>0.0</v>
      </c>
      <c r="I1032" s="87">
        <v>0.0</v>
      </c>
      <c r="J1032" s="87">
        <v>2.5</v>
      </c>
      <c r="K1032" s="87">
        <v>2.5</v>
      </c>
      <c r="L1032" s="87">
        <v>19.2381</v>
      </c>
      <c r="M1032" s="87">
        <v>2.5</v>
      </c>
      <c r="N1032" s="87">
        <v>1.0</v>
      </c>
      <c r="O1032" s="87">
        <v>0.0</v>
      </c>
      <c r="P1032" s="87">
        <v>0.0</v>
      </c>
      <c r="Q1032" s="87">
        <v>0.0</v>
      </c>
      <c r="R1032" s="87">
        <v>2.5</v>
      </c>
      <c r="S1032" s="87">
        <v>2.5</v>
      </c>
      <c r="T1032" s="87">
        <v>2.5</v>
      </c>
      <c r="U1032" s="87">
        <v>2.5</v>
      </c>
      <c r="V1032" s="87">
        <v>2.5</v>
      </c>
      <c r="W1032" s="87">
        <v>2.5</v>
      </c>
      <c r="X1032" s="87">
        <v>2.5</v>
      </c>
      <c r="Y1032" s="87">
        <v>1.25</v>
      </c>
      <c r="Z1032" s="87">
        <v>0.0</v>
      </c>
      <c r="AA1032" s="87">
        <v>2.5</v>
      </c>
      <c r="AB1032" s="87">
        <v>0.269231</v>
      </c>
      <c r="AC1032" s="87">
        <v>1.0</v>
      </c>
      <c r="AD1032" s="87">
        <v>0.0</v>
      </c>
      <c r="AE1032" s="87">
        <v>3.0</v>
      </c>
      <c r="AF1032" s="87">
        <v>3.069444</v>
      </c>
      <c r="AG1032" s="87">
        <v>3.0</v>
      </c>
      <c r="AH1032" s="87">
        <v>0.0</v>
      </c>
      <c r="AI1032" s="87">
        <v>11.5</v>
      </c>
      <c r="AJ1032" s="87">
        <v>3.646212</v>
      </c>
      <c r="AK1032" s="87">
        <v>0.0</v>
      </c>
      <c r="AL1032" s="88" t="s">
        <v>1396</v>
      </c>
    </row>
    <row r="1033">
      <c r="A1033" s="84" t="s">
        <v>2770</v>
      </c>
      <c r="B1033" s="84" t="s">
        <v>2151</v>
      </c>
      <c r="C1033" s="84" t="s">
        <v>2766</v>
      </c>
      <c r="D1033" s="84" t="s">
        <v>363</v>
      </c>
      <c r="E1033" s="84" t="s">
        <v>1403</v>
      </c>
      <c r="F1033" s="87">
        <v>9.0</v>
      </c>
      <c r="G1033" s="87">
        <v>0.0</v>
      </c>
      <c r="H1033" s="87">
        <v>0.0</v>
      </c>
      <c r="I1033" s="87">
        <v>0.0</v>
      </c>
      <c r="J1033" s="87">
        <v>0.0</v>
      </c>
      <c r="K1033" s="87">
        <v>0.0</v>
      </c>
      <c r="L1033" s="87">
        <v>0.0</v>
      </c>
      <c r="M1033" s="87">
        <v>0.0</v>
      </c>
      <c r="N1033" s="87">
        <v>0.0</v>
      </c>
      <c r="O1033" s="87">
        <v>0.0</v>
      </c>
      <c r="P1033" s="87">
        <v>0.0</v>
      </c>
      <c r="Q1033" s="87">
        <v>0.0</v>
      </c>
      <c r="R1033" s="87">
        <v>0.0</v>
      </c>
      <c r="S1033" s="87">
        <v>0.0</v>
      </c>
      <c r="T1033" s="87">
        <v>0.0</v>
      </c>
      <c r="U1033" s="87">
        <v>0.0</v>
      </c>
      <c r="V1033" s="87">
        <v>0.0</v>
      </c>
      <c r="W1033" s="87">
        <v>0.0</v>
      </c>
      <c r="X1033" s="87">
        <v>0.0</v>
      </c>
      <c r="Y1033" s="87">
        <v>0.0</v>
      </c>
      <c r="Z1033" s="87">
        <v>0.0</v>
      </c>
      <c r="AA1033" s="87">
        <v>2.5</v>
      </c>
      <c r="AB1033" s="87">
        <v>0.269231</v>
      </c>
      <c r="AC1033" s="87">
        <v>1.0</v>
      </c>
      <c r="AD1033" s="87">
        <v>0.0</v>
      </c>
      <c r="AE1033" s="87">
        <v>0.0</v>
      </c>
      <c r="AF1033" s="87">
        <v>0.0</v>
      </c>
      <c r="AG1033" s="87">
        <v>0.0</v>
      </c>
      <c r="AH1033" s="87">
        <v>0.0</v>
      </c>
      <c r="AI1033" s="87">
        <v>11.5</v>
      </c>
      <c r="AJ1033" s="87">
        <v>3.646212</v>
      </c>
      <c r="AK1033" s="87">
        <v>0.0</v>
      </c>
      <c r="AL1033" s="88" t="s">
        <v>1396</v>
      </c>
    </row>
    <row r="1034">
      <c r="A1034" s="84" t="s">
        <v>2767</v>
      </c>
      <c r="B1034" s="84" t="s">
        <v>2254</v>
      </c>
      <c r="C1034" s="84" t="s">
        <v>2766</v>
      </c>
      <c r="D1034" s="84" t="s">
        <v>439</v>
      </c>
      <c r="E1034" s="86">
        <v>46310.0</v>
      </c>
      <c r="F1034" s="87">
        <v>1.0</v>
      </c>
      <c r="G1034" s="87">
        <v>0.0</v>
      </c>
      <c r="H1034" s="87">
        <v>0.0</v>
      </c>
      <c r="I1034" s="87">
        <v>0.0</v>
      </c>
      <c r="J1034" s="87">
        <v>0.0</v>
      </c>
      <c r="K1034" s="87">
        <v>0.0</v>
      </c>
      <c r="L1034" s="87">
        <v>0.0</v>
      </c>
      <c r="M1034" s="87">
        <v>0.0</v>
      </c>
      <c r="N1034" s="87">
        <v>0.0</v>
      </c>
      <c r="O1034" s="87">
        <v>0.0</v>
      </c>
      <c r="P1034" s="87">
        <v>0.0</v>
      </c>
      <c r="Q1034" s="87">
        <v>0.0</v>
      </c>
      <c r="R1034" s="87">
        <v>0.0</v>
      </c>
      <c r="S1034" s="87">
        <v>0.0</v>
      </c>
      <c r="T1034" s="87">
        <v>0.0</v>
      </c>
      <c r="U1034" s="87">
        <v>0.0</v>
      </c>
      <c r="V1034" s="87">
        <v>0.0</v>
      </c>
      <c r="W1034" s="87">
        <v>0.0</v>
      </c>
      <c r="X1034" s="87">
        <v>0.0</v>
      </c>
      <c r="Y1034" s="87">
        <v>0.0</v>
      </c>
      <c r="Z1034" s="87">
        <v>0.0</v>
      </c>
      <c r="AA1034" s="87">
        <v>0.0</v>
      </c>
      <c r="AB1034" s="87">
        <v>0.0</v>
      </c>
      <c r="AC1034" s="87">
        <v>0.0</v>
      </c>
      <c r="AD1034" s="87">
        <v>0.0</v>
      </c>
      <c r="AE1034" s="87">
        <v>51.75</v>
      </c>
      <c r="AF1034" s="87">
        <v>12.9375</v>
      </c>
      <c r="AG1034" s="87">
        <v>0.0</v>
      </c>
      <c r="AH1034" s="87">
        <v>0.0</v>
      </c>
      <c r="AI1034" s="87">
        <v>11.5</v>
      </c>
      <c r="AJ1034" s="87">
        <v>3.646212</v>
      </c>
      <c r="AK1034" s="87">
        <v>0.0</v>
      </c>
      <c r="AL1034" s="88" t="s">
        <v>1396</v>
      </c>
    </row>
    <row r="1035">
      <c r="A1035" s="84" t="s">
        <v>2770</v>
      </c>
      <c r="B1035" s="84" t="s">
        <v>2260</v>
      </c>
      <c r="C1035" s="84" t="s">
        <v>2766</v>
      </c>
      <c r="D1035" s="84" t="s">
        <v>439</v>
      </c>
      <c r="E1035" s="84" t="s">
        <v>1403</v>
      </c>
      <c r="F1035" s="87">
        <v>3.0</v>
      </c>
      <c r="G1035" s="87">
        <v>0.0</v>
      </c>
      <c r="H1035" s="87">
        <v>0.0</v>
      </c>
      <c r="I1035" s="87">
        <v>0.0</v>
      </c>
      <c r="J1035" s="87">
        <v>0.0</v>
      </c>
      <c r="K1035" s="87">
        <v>0.0</v>
      </c>
      <c r="L1035" s="87">
        <v>0.0</v>
      </c>
      <c r="M1035" s="87">
        <v>0.0</v>
      </c>
      <c r="N1035" s="87">
        <v>0.0</v>
      </c>
      <c r="O1035" s="87">
        <v>0.0</v>
      </c>
      <c r="P1035" s="87">
        <v>0.0</v>
      </c>
      <c r="Q1035" s="87">
        <v>0.0</v>
      </c>
      <c r="R1035" s="87">
        <v>0.0</v>
      </c>
      <c r="S1035" s="87">
        <v>0.0</v>
      </c>
      <c r="T1035" s="87">
        <v>0.0</v>
      </c>
      <c r="U1035" s="87">
        <v>0.0</v>
      </c>
      <c r="V1035" s="87">
        <v>0.0</v>
      </c>
      <c r="W1035" s="87">
        <v>0.0</v>
      </c>
      <c r="X1035" s="87">
        <v>0.0</v>
      </c>
      <c r="Y1035" s="87">
        <v>0.0</v>
      </c>
      <c r="Z1035" s="87">
        <v>0.0</v>
      </c>
      <c r="AA1035" s="87">
        <v>0.0</v>
      </c>
      <c r="AB1035" s="87">
        <v>0.0</v>
      </c>
      <c r="AC1035" s="87">
        <v>0.0</v>
      </c>
      <c r="AD1035" s="87">
        <v>0.0</v>
      </c>
      <c r="AE1035" s="87">
        <v>0.0</v>
      </c>
      <c r="AF1035" s="87">
        <v>0.0</v>
      </c>
      <c r="AG1035" s="87">
        <v>0.0</v>
      </c>
      <c r="AH1035" s="87">
        <v>0.0</v>
      </c>
      <c r="AI1035" s="87">
        <v>11.5</v>
      </c>
      <c r="AJ1035" s="87">
        <v>3.646212</v>
      </c>
      <c r="AK1035" s="87">
        <v>0.0</v>
      </c>
      <c r="AL1035" s="88" t="s">
        <v>1396</v>
      </c>
    </row>
    <row r="1036">
      <c r="A1036" s="84" t="s">
        <v>2765</v>
      </c>
      <c r="B1036" s="84" t="s">
        <v>2646</v>
      </c>
      <c r="C1036" s="84" t="s">
        <v>2766</v>
      </c>
      <c r="D1036" s="84" t="s">
        <v>573</v>
      </c>
      <c r="E1036" s="84" t="s">
        <v>1426</v>
      </c>
      <c r="F1036" s="87">
        <v>3.0</v>
      </c>
      <c r="G1036" s="87">
        <v>0.0</v>
      </c>
      <c r="H1036" s="87">
        <v>0.0</v>
      </c>
      <c r="I1036" s="87">
        <v>0.0</v>
      </c>
      <c r="J1036" s="87">
        <v>0.0</v>
      </c>
      <c r="K1036" s="87">
        <v>0.0</v>
      </c>
      <c r="L1036" s="87">
        <v>3.5</v>
      </c>
      <c r="M1036" s="87">
        <v>0.0</v>
      </c>
      <c r="N1036" s="87">
        <v>0.0</v>
      </c>
      <c r="O1036" s="87">
        <v>0.0</v>
      </c>
      <c r="P1036" s="87">
        <v>0.0</v>
      </c>
      <c r="Q1036" s="87">
        <v>0.0</v>
      </c>
      <c r="R1036" s="87">
        <v>0.0</v>
      </c>
      <c r="S1036" s="87">
        <v>0.0</v>
      </c>
      <c r="T1036" s="87">
        <v>0.0</v>
      </c>
      <c r="U1036" s="87">
        <v>0.0</v>
      </c>
      <c r="V1036" s="87">
        <v>0.0</v>
      </c>
      <c r="W1036" s="87">
        <v>0.0</v>
      </c>
      <c r="X1036" s="87">
        <v>0.0</v>
      </c>
      <c r="Y1036" s="87">
        <v>0.0</v>
      </c>
      <c r="Z1036" s="87">
        <v>0.0</v>
      </c>
      <c r="AA1036" s="87">
        <v>3.0</v>
      </c>
      <c r="AB1036" s="87">
        <v>1.0</v>
      </c>
      <c r="AC1036" s="87">
        <v>0.0</v>
      </c>
      <c r="AD1036" s="87">
        <v>0.0</v>
      </c>
      <c r="AE1036" s="87">
        <v>0.0</v>
      </c>
      <c r="AF1036" s="87">
        <v>0.0</v>
      </c>
      <c r="AG1036" s="87">
        <v>0.0</v>
      </c>
      <c r="AH1036" s="87">
        <v>0.0</v>
      </c>
      <c r="AI1036" s="87">
        <v>11.5</v>
      </c>
      <c r="AJ1036" s="87">
        <v>3.646212</v>
      </c>
      <c r="AK1036" s="87">
        <v>0.0</v>
      </c>
      <c r="AL1036" s="88" t="s">
        <v>1396</v>
      </c>
    </row>
    <row r="1037">
      <c r="A1037" s="84" t="s">
        <v>2769</v>
      </c>
      <c r="B1037" s="84" t="s">
        <v>2656</v>
      </c>
      <c r="C1037" s="84" t="s">
        <v>2766</v>
      </c>
      <c r="D1037" s="84" t="s">
        <v>573</v>
      </c>
      <c r="E1037" s="89">
        <v>46300.0</v>
      </c>
      <c r="F1037" s="87">
        <v>2.0</v>
      </c>
      <c r="G1037" s="87">
        <v>0.0</v>
      </c>
      <c r="H1037" s="87">
        <v>0.0</v>
      </c>
      <c r="I1037" s="87">
        <v>0.0</v>
      </c>
      <c r="J1037" s="87">
        <v>4.0</v>
      </c>
      <c r="K1037" s="87">
        <v>6.0</v>
      </c>
      <c r="L1037" s="87">
        <v>19.0</v>
      </c>
      <c r="M1037" s="87">
        <v>6.0</v>
      </c>
      <c r="N1037" s="87">
        <v>1.0</v>
      </c>
      <c r="O1037" s="87">
        <v>3.0</v>
      </c>
      <c r="P1037" s="87">
        <v>3.0</v>
      </c>
      <c r="Q1037" s="87">
        <v>3.0</v>
      </c>
      <c r="R1037" s="87">
        <v>3.0</v>
      </c>
      <c r="S1037" s="87">
        <v>3.0</v>
      </c>
      <c r="T1037" s="87">
        <v>3.0</v>
      </c>
      <c r="U1037" s="87">
        <v>3.0</v>
      </c>
      <c r="V1037" s="87">
        <v>3.0</v>
      </c>
      <c r="W1037" s="87">
        <v>3.0</v>
      </c>
      <c r="X1037" s="87">
        <v>3.0</v>
      </c>
      <c r="Y1037" s="87">
        <v>3.0</v>
      </c>
      <c r="Z1037" s="87">
        <v>0.0</v>
      </c>
      <c r="AA1037" s="87">
        <v>3.0</v>
      </c>
      <c r="AB1037" s="87">
        <v>1.0</v>
      </c>
      <c r="AC1037" s="87">
        <v>0.0</v>
      </c>
      <c r="AD1037" s="87">
        <v>0.0</v>
      </c>
      <c r="AE1037" s="87">
        <v>3.0</v>
      </c>
      <c r="AF1037" s="87">
        <v>3.069444</v>
      </c>
      <c r="AG1037" s="87">
        <v>3.0</v>
      </c>
      <c r="AH1037" s="87">
        <v>0.0</v>
      </c>
      <c r="AI1037" s="87">
        <v>11.5</v>
      </c>
      <c r="AJ1037" s="87">
        <v>3.646212</v>
      </c>
      <c r="AK1037" s="87">
        <v>0.0</v>
      </c>
      <c r="AL1037" s="88" t="s">
        <v>1396</v>
      </c>
    </row>
    <row r="1038">
      <c r="A1038" s="84" t="s">
        <v>2770</v>
      </c>
      <c r="B1038" s="84" t="s">
        <v>2658</v>
      </c>
      <c r="C1038" s="84" t="s">
        <v>2766</v>
      </c>
      <c r="D1038" s="84" t="s">
        <v>573</v>
      </c>
      <c r="E1038" s="84" t="s">
        <v>1403</v>
      </c>
      <c r="F1038" s="87">
        <v>1.0</v>
      </c>
      <c r="G1038" s="87">
        <v>0.0</v>
      </c>
      <c r="H1038" s="87">
        <v>0.0</v>
      </c>
      <c r="I1038" s="87">
        <v>0.0</v>
      </c>
      <c r="J1038" s="87">
        <v>0.0</v>
      </c>
      <c r="K1038" s="87">
        <v>0.0</v>
      </c>
      <c r="L1038" s="87">
        <v>0.0</v>
      </c>
      <c r="M1038" s="87">
        <v>0.0</v>
      </c>
      <c r="N1038" s="87">
        <v>0.0</v>
      </c>
      <c r="O1038" s="87">
        <v>0.0</v>
      </c>
      <c r="P1038" s="87">
        <v>0.0</v>
      </c>
      <c r="Q1038" s="87">
        <v>0.0</v>
      </c>
      <c r="R1038" s="87">
        <v>0.0</v>
      </c>
      <c r="S1038" s="87">
        <v>0.0</v>
      </c>
      <c r="T1038" s="87">
        <v>0.0</v>
      </c>
      <c r="U1038" s="87">
        <v>0.0</v>
      </c>
      <c r="V1038" s="87">
        <v>0.0</v>
      </c>
      <c r="W1038" s="87">
        <v>0.0</v>
      </c>
      <c r="X1038" s="87">
        <v>0.0</v>
      </c>
      <c r="Y1038" s="87">
        <v>0.0</v>
      </c>
      <c r="Z1038" s="87">
        <v>0.0</v>
      </c>
      <c r="AA1038" s="87">
        <v>3.0</v>
      </c>
      <c r="AB1038" s="87">
        <v>1.0</v>
      </c>
      <c r="AC1038" s="87">
        <v>0.0</v>
      </c>
      <c r="AD1038" s="87">
        <v>0.0</v>
      </c>
      <c r="AE1038" s="87">
        <v>0.0</v>
      </c>
      <c r="AF1038" s="87">
        <v>0.0</v>
      </c>
      <c r="AG1038" s="87">
        <v>0.0</v>
      </c>
      <c r="AH1038" s="87">
        <v>0.0</v>
      </c>
      <c r="AI1038" s="87">
        <v>11.5</v>
      </c>
      <c r="AJ1038" s="87">
        <v>3.646212</v>
      </c>
      <c r="AK1038" s="87">
        <v>0.0</v>
      </c>
      <c r="AL1038" s="88" t="s">
        <v>1396</v>
      </c>
    </row>
    <row r="1039">
      <c r="A1039" s="84" t="s">
        <v>2771</v>
      </c>
      <c r="B1039" s="84" t="s">
        <v>2772</v>
      </c>
      <c r="C1039" s="84" t="s">
        <v>601</v>
      </c>
      <c r="D1039" s="84" t="s">
        <v>2773</v>
      </c>
      <c r="E1039" s="84" t="s">
        <v>1426</v>
      </c>
      <c r="F1039" s="87">
        <v>7.0</v>
      </c>
      <c r="G1039" s="87">
        <v>0.0</v>
      </c>
      <c r="H1039" s="87">
        <v>4175.0</v>
      </c>
      <c r="I1039" s="87">
        <v>0.0</v>
      </c>
      <c r="J1039" s="87">
        <v>29.83633</v>
      </c>
      <c r="K1039" s="87">
        <v>32.16899</v>
      </c>
      <c r="L1039" s="87">
        <v>31.37206</v>
      </c>
      <c r="M1039" s="87">
        <v>23.02466</v>
      </c>
      <c r="N1039" s="87">
        <v>0.715741</v>
      </c>
      <c r="O1039" s="87">
        <v>0.0</v>
      </c>
      <c r="P1039" s="87">
        <v>0.7</v>
      </c>
      <c r="Q1039" s="87">
        <v>0.902232</v>
      </c>
      <c r="R1039" s="87">
        <v>2.057208</v>
      </c>
      <c r="S1039" s="87">
        <v>5.484883</v>
      </c>
      <c r="T1039" s="87">
        <v>0.7</v>
      </c>
      <c r="U1039" s="87">
        <v>0.902232</v>
      </c>
      <c r="V1039" s="87">
        <v>0.902232</v>
      </c>
      <c r="W1039" s="87">
        <v>5.484883</v>
      </c>
      <c r="X1039" s="87">
        <v>6.029938</v>
      </c>
      <c r="Y1039" s="87">
        <v>4.595569</v>
      </c>
      <c r="Z1039" s="87">
        <v>0.0</v>
      </c>
      <c r="AA1039" s="87">
        <v>2.39405</v>
      </c>
      <c r="AB1039" s="87">
        <v>1.615264</v>
      </c>
      <c r="AC1039" s="87">
        <v>1.779948</v>
      </c>
      <c r="AD1039" s="87">
        <v>1.661961</v>
      </c>
      <c r="AE1039" s="87">
        <v>2.876549</v>
      </c>
      <c r="AF1039" s="87">
        <v>5.319196</v>
      </c>
      <c r="AG1039" s="87">
        <v>7.754898</v>
      </c>
      <c r="AH1039" s="87">
        <v>2.01E-4</v>
      </c>
      <c r="AI1039" s="87">
        <v>2.331132</v>
      </c>
      <c r="AJ1039" s="87">
        <v>2.283402</v>
      </c>
      <c r="AK1039" s="87">
        <v>2.385752</v>
      </c>
      <c r="AL1039" s="88" t="s">
        <v>1396</v>
      </c>
    </row>
    <row r="1040">
      <c r="A1040" s="84" t="s">
        <v>2774</v>
      </c>
      <c r="B1040" s="84" t="s">
        <v>2775</v>
      </c>
      <c r="C1040" s="84" t="s">
        <v>601</v>
      </c>
      <c r="D1040" s="84" t="s">
        <v>2773</v>
      </c>
      <c r="E1040" s="86">
        <v>46310.0</v>
      </c>
      <c r="F1040" s="87">
        <v>6.0</v>
      </c>
      <c r="G1040" s="87">
        <v>0.0</v>
      </c>
      <c r="H1040" s="87">
        <v>1484.0</v>
      </c>
      <c r="I1040" s="87">
        <v>0.0</v>
      </c>
      <c r="J1040" s="87">
        <v>13.16</v>
      </c>
      <c r="K1040" s="87">
        <v>10.67969</v>
      </c>
      <c r="L1040" s="87">
        <v>11.87943</v>
      </c>
      <c r="M1040" s="87">
        <v>6.74742</v>
      </c>
      <c r="N1040" s="87">
        <v>0.631799</v>
      </c>
      <c r="O1040" s="87">
        <v>0.0</v>
      </c>
      <c r="P1040" s="87">
        <v>0.706839</v>
      </c>
      <c r="Q1040" s="87">
        <v>0.706839</v>
      </c>
      <c r="R1040" s="87">
        <v>2.39405</v>
      </c>
      <c r="S1040" s="87">
        <v>2.800429</v>
      </c>
      <c r="T1040" s="87">
        <v>0.706839</v>
      </c>
      <c r="U1040" s="87">
        <v>0.831377</v>
      </c>
      <c r="V1040" s="87">
        <v>0.831377</v>
      </c>
      <c r="W1040" s="87">
        <v>2.39405</v>
      </c>
      <c r="X1040" s="87">
        <v>2.800429</v>
      </c>
      <c r="Y1040" s="87">
        <v>1.779948</v>
      </c>
      <c r="Z1040" s="87">
        <v>0.0</v>
      </c>
      <c r="AA1040" s="87">
        <v>2.39405</v>
      </c>
      <c r="AB1040" s="87">
        <v>1.615264</v>
      </c>
      <c r="AC1040" s="87">
        <v>1.779948</v>
      </c>
      <c r="AD1040" s="87">
        <v>2.622006</v>
      </c>
      <c r="AE1040" s="87">
        <v>2.942677</v>
      </c>
      <c r="AF1040" s="87">
        <v>4.846733</v>
      </c>
      <c r="AG1040" s="87">
        <v>3.770935</v>
      </c>
      <c r="AH1040" s="87">
        <v>2.01E-4</v>
      </c>
      <c r="AI1040" s="87">
        <v>2.331132</v>
      </c>
      <c r="AJ1040" s="87">
        <v>2.283402</v>
      </c>
      <c r="AK1040" s="87">
        <v>2.385752</v>
      </c>
      <c r="AL1040" s="88" t="s">
        <v>1396</v>
      </c>
    </row>
    <row r="1041">
      <c r="A1041" s="84" t="s">
        <v>2776</v>
      </c>
      <c r="B1041" s="84" t="s">
        <v>2777</v>
      </c>
      <c r="C1041" s="84" t="s">
        <v>601</v>
      </c>
      <c r="D1041" s="84" t="s">
        <v>2773</v>
      </c>
      <c r="E1041" s="84" t="s">
        <v>1413</v>
      </c>
      <c r="F1041" s="87">
        <v>5.0</v>
      </c>
      <c r="G1041" s="87">
        <v>0.0</v>
      </c>
      <c r="H1041" s="87">
        <v>1328.0</v>
      </c>
      <c r="I1041" s="87">
        <v>0.0</v>
      </c>
      <c r="J1041" s="87">
        <v>7.145782</v>
      </c>
      <c r="K1041" s="87">
        <v>6.569319</v>
      </c>
      <c r="L1041" s="87">
        <v>7.730745</v>
      </c>
      <c r="M1041" s="87">
        <v>4.082271</v>
      </c>
      <c r="N1041" s="87">
        <v>0.621415</v>
      </c>
      <c r="O1041" s="87">
        <v>0.037037</v>
      </c>
      <c r="P1041" s="87">
        <v>0.638462</v>
      </c>
      <c r="Q1041" s="87">
        <v>0.638462</v>
      </c>
      <c r="R1041" s="87">
        <v>0.698925</v>
      </c>
      <c r="S1041" s="87">
        <v>1.112624</v>
      </c>
      <c r="T1041" s="87">
        <v>0.037037</v>
      </c>
      <c r="U1041" s="87">
        <v>0.638462</v>
      </c>
      <c r="V1041" s="87">
        <v>0.638462</v>
      </c>
      <c r="W1041" s="87">
        <v>0.698925</v>
      </c>
      <c r="X1041" s="87">
        <v>1.112624</v>
      </c>
      <c r="Y1041" s="87">
        <v>1.313864</v>
      </c>
      <c r="Z1041" s="87">
        <v>0.0</v>
      </c>
      <c r="AA1041" s="87">
        <v>2.39405</v>
      </c>
      <c r="AB1041" s="87">
        <v>1.615264</v>
      </c>
      <c r="AC1041" s="87">
        <v>1.779948</v>
      </c>
      <c r="AD1041" s="87">
        <v>1.200148</v>
      </c>
      <c r="AE1041" s="87">
        <v>1.861893</v>
      </c>
      <c r="AF1041" s="87">
        <v>2.807899</v>
      </c>
      <c r="AG1041" s="87">
        <v>3.412451</v>
      </c>
      <c r="AH1041" s="87">
        <v>2.01E-4</v>
      </c>
      <c r="AI1041" s="87">
        <v>2.331132</v>
      </c>
      <c r="AJ1041" s="87">
        <v>2.283402</v>
      </c>
      <c r="AK1041" s="87">
        <v>2.385752</v>
      </c>
      <c r="AL1041" s="88" t="s">
        <v>1396</v>
      </c>
    </row>
    <row r="1042">
      <c r="A1042" s="84" t="s">
        <v>2778</v>
      </c>
      <c r="B1042" s="84" t="s">
        <v>2779</v>
      </c>
      <c r="C1042" s="84" t="s">
        <v>601</v>
      </c>
      <c r="D1042" s="84" t="s">
        <v>2773</v>
      </c>
      <c r="E1042" s="84" t="s">
        <v>1400</v>
      </c>
      <c r="F1042" s="87">
        <v>10.0</v>
      </c>
      <c r="G1042" s="87">
        <v>0.0</v>
      </c>
      <c r="H1042" s="87">
        <v>678.0</v>
      </c>
      <c r="I1042" s="87">
        <v>0.0</v>
      </c>
      <c r="J1042" s="87">
        <v>5.285714</v>
      </c>
      <c r="K1042" s="87">
        <v>2.367617</v>
      </c>
      <c r="L1042" s="87">
        <v>1.405796</v>
      </c>
      <c r="M1042" s="87">
        <v>1.891146</v>
      </c>
      <c r="N1042" s="87">
        <v>0.798755</v>
      </c>
      <c r="O1042" s="87">
        <v>0.0</v>
      </c>
      <c r="P1042" s="87">
        <v>0.0</v>
      </c>
      <c r="Q1042" s="87">
        <v>0.0</v>
      </c>
      <c r="R1042" s="87">
        <v>0.0</v>
      </c>
      <c r="S1042" s="87">
        <v>0.343137</v>
      </c>
      <c r="T1042" s="87">
        <v>0.133333</v>
      </c>
      <c r="U1042" s="87">
        <v>0.133333</v>
      </c>
      <c r="V1042" s="87">
        <v>0.343137</v>
      </c>
      <c r="W1042" s="87">
        <v>0.532322</v>
      </c>
      <c r="X1042" s="87">
        <v>0.532322</v>
      </c>
      <c r="Y1042" s="87">
        <v>0.236762</v>
      </c>
      <c r="Z1042" s="87">
        <v>0.0</v>
      </c>
      <c r="AA1042" s="87">
        <v>2.39405</v>
      </c>
      <c r="AB1042" s="87">
        <v>1.615264</v>
      </c>
      <c r="AC1042" s="87">
        <v>1.779948</v>
      </c>
      <c r="AD1042" s="87">
        <v>0.978736</v>
      </c>
      <c r="AE1042" s="87">
        <v>1.184216</v>
      </c>
      <c r="AF1042" s="87">
        <v>2.75813</v>
      </c>
      <c r="AG1042" s="87">
        <v>1.232357</v>
      </c>
      <c r="AH1042" s="87">
        <v>2.01E-4</v>
      </c>
      <c r="AI1042" s="87">
        <v>2.331132</v>
      </c>
      <c r="AJ1042" s="87">
        <v>2.283402</v>
      </c>
      <c r="AK1042" s="87">
        <v>2.385752</v>
      </c>
      <c r="AL1042" s="88" t="s">
        <v>1396</v>
      </c>
    </row>
    <row r="1043">
      <c r="A1043" s="84" t="s">
        <v>2780</v>
      </c>
      <c r="B1043" s="84" t="s">
        <v>2781</v>
      </c>
      <c r="C1043" s="84" t="s">
        <v>601</v>
      </c>
      <c r="D1043" s="84" t="s">
        <v>2773</v>
      </c>
      <c r="E1043" s="86">
        <v>46300.0</v>
      </c>
      <c r="F1043" s="87">
        <v>9.0</v>
      </c>
      <c r="G1043" s="87">
        <v>0.0</v>
      </c>
      <c r="H1043" s="87">
        <v>6877.0</v>
      </c>
      <c r="I1043" s="87">
        <v>0.0</v>
      </c>
      <c r="J1043" s="87">
        <v>49.47455</v>
      </c>
      <c r="K1043" s="87">
        <v>56.43708</v>
      </c>
      <c r="L1043" s="87">
        <v>58.53285</v>
      </c>
      <c r="M1043" s="87">
        <v>25.08664</v>
      </c>
      <c r="N1043" s="87">
        <v>0.444506</v>
      </c>
      <c r="O1043" s="87">
        <v>0.0</v>
      </c>
      <c r="P1043" s="87">
        <v>0.0</v>
      </c>
      <c r="Q1043" s="87">
        <v>2.969479</v>
      </c>
      <c r="R1043" s="87">
        <v>6.888729</v>
      </c>
      <c r="S1043" s="87">
        <v>9.234675</v>
      </c>
      <c r="T1043" s="87">
        <v>2.969479</v>
      </c>
      <c r="U1043" s="87">
        <v>3.562212</v>
      </c>
      <c r="V1043" s="87">
        <v>6.888729</v>
      </c>
      <c r="W1043" s="87">
        <v>8.695345</v>
      </c>
      <c r="X1043" s="87">
        <v>9.234675</v>
      </c>
      <c r="Y1043" s="87">
        <v>6.270787</v>
      </c>
      <c r="Z1043" s="87">
        <v>0.0</v>
      </c>
      <c r="AA1043" s="87">
        <v>2.39405</v>
      </c>
      <c r="AB1043" s="87">
        <v>1.615264</v>
      </c>
      <c r="AC1043" s="87">
        <v>1.779948</v>
      </c>
      <c r="AD1043" s="87">
        <v>1.953596</v>
      </c>
      <c r="AE1043" s="87">
        <v>3.123969</v>
      </c>
      <c r="AF1043" s="87">
        <v>4.241972</v>
      </c>
      <c r="AG1043" s="87">
        <v>5.976514</v>
      </c>
      <c r="AH1043" s="87">
        <v>2.01E-4</v>
      </c>
      <c r="AI1043" s="87">
        <v>2.331132</v>
      </c>
      <c r="AJ1043" s="87">
        <v>2.283402</v>
      </c>
      <c r="AK1043" s="87">
        <v>2.385752</v>
      </c>
      <c r="AL1043" s="88" t="s">
        <v>1396</v>
      </c>
    </row>
    <row r="1044">
      <c r="A1044" s="84" t="s">
        <v>2782</v>
      </c>
      <c r="B1044" s="84" t="s">
        <v>2783</v>
      </c>
      <c r="C1044" s="84" t="s">
        <v>601</v>
      </c>
      <c r="D1044" s="84" t="s">
        <v>2773</v>
      </c>
      <c r="E1044" s="84" t="s">
        <v>1403</v>
      </c>
      <c r="F1044" s="87">
        <v>30.0</v>
      </c>
      <c r="G1044" s="87">
        <v>1.0</v>
      </c>
      <c r="H1044" s="87">
        <v>12.0</v>
      </c>
      <c r="I1044" s="87">
        <v>12.0</v>
      </c>
      <c r="J1044" s="87">
        <v>0.0</v>
      </c>
      <c r="K1044" s="87">
        <v>0.0</v>
      </c>
      <c r="L1044" s="87">
        <v>0.0</v>
      </c>
      <c r="M1044" s="87">
        <v>0.0</v>
      </c>
      <c r="N1044" s="87">
        <v>0.0</v>
      </c>
      <c r="O1044" s="87">
        <v>0.0</v>
      </c>
      <c r="P1044" s="87">
        <v>0.0</v>
      </c>
      <c r="Q1044" s="87">
        <v>0.0</v>
      </c>
      <c r="R1044" s="87">
        <v>0.0</v>
      </c>
      <c r="S1044" s="87">
        <v>0.0</v>
      </c>
      <c r="T1044" s="87">
        <v>0.0</v>
      </c>
      <c r="U1044" s="87">
        <v>0.0</v>
      </c>
      <c r="V1044" s="87">
        <v>0.0</v>
      </c>
      <c r="W1044" s="87">
        <v>0.0</v>
      </c>
      <c r="X1044" s="87">
        <v>0.0</v>
      </c>
      <c r="Y1044" s="87">
        <v>0.0</v>
      </c>
      <c r="Z1044" s="87">
        <v>0.0</v>
      </c>
      <c r="AA1044" s="87">
        <v>2.39405</v>
      </c>
      <c r="AB1044" s="87">
        <v>1.615264</v>
      </c>
      <c r="AC1044" s="87">
        <v>1.779948</v>
      </c>
      <c r="AD1044" s="87">
        <v>0.0</v>
      </c>
      <c r="AE1044" s="87">
        <v>0.0</v>
      </c>
      <c r="AF1044" s="87">
        <v>0.0</v>
      </c>
      <c r="AG1044" s="87">
        <v>0.0</v>
      </c>
      <c r="AH1044" s="87">
        <v>2.01E-4</v>
      </c>
      <c r="AI1044" s="87">
        <v>2.331132</v>
      </c>
      <c r="AJ1044" s="87">
        <v>2.283402</v>
      </c>
      <c r="AK1044" s="87">
        <v>2.385752</v>
      </c>
      <c r="AL1044" s="88" t="s">
        <v>1396</v>
      </c>
    </row>
    <row r="1045">
      <c r="A1045" s="84" t="s">
        <v>2774</v>
      </c>
      <c r="B1045" s="84" t="s">
        <v>2784</v>
      </c>
      <c r="C1045" s="84" t="s">
        <v>601</v>
      </c>
      <c r="D1045" s="84" t="s">
        <v>602</v>
      </c>
      <c r="E1045" s="86">
        <v>46310.0</v>
      </c>
      <c r="F1045" s="87">
        <v>1.0</v>
      </c>
      <c r="G1045" s="87">
        <v>0.0</v>
      </c>
      <c r="H1045" s="87">
        <v>190.0</v>
      </c>
      <c r="I1045" s="87">
        <v>0.0</v>
      </c>
      <c r="J1045" s="87">
        <v>0.550866</v>
      </c>
      <c r="K1045" s="87">
        <v>0.757011</v>
      </c>
      <c r="L1045" s="87">
        <v>0.742168</v>
      </c>
      <c r="M1045" s="87">
        <v>0.757011</v>
      </c>
      <c r="N1045" s="87">
        <v>1.0</v>
      </c>
      <c r="O1045" s="87">
        <v>0.757011</v>
      </c>
      <c r="P1045" s="87">
        <v>0.757011</v>
      </c>
      <c r="Q1045" s="87">
        <v>0.757011</v>
      </c>
      <c r="R1045" s="87">
        <v>0.757011</v>
      </c>
      <c r="S1045" s="87">
        <v>0.757011</v>
      </c>
      <c r="T1045" s="87">
        <v>0.757011</v>
      </c>
      <c r="U1045" s="87">
        <v>0.757011</v>
      </c>
      <c r="V1045" s="87">
        <v>0.757011</v>
      </c>
      <c r="W1045" s="87">
        <v>0.757011</v>
      </c>
      <c r="X1045" s="87">
        <v>0.757011</v>
      </c>
      <c r="Y1045" s="87">
        <v>0.757011</v>
      </c>
      <c r="Z1045" s="87">
        <v>0.0</v>
      </c>
      <c r="AA1045" s="87">
        <v>3.179</v>
      </c>
      <c r="AB1045" s="87">
        <v>2.670372</v>
      </c>
      <c r="AC1045" s="87">
        <v>3.546398</v>
      </c>
      <c r="AD1045" s="87">
        <v>2.622006</v>
      </c>
      <c r="AE1045" s="87">
        <v>2.942677</v>
      </c>
      <c r="AF1045" s="87">
        <v>4.846733</v>
      </c>
      <c r="AG1045" s="87">
        <v>3.770935</v>
      </c>
      <c r="AH1045" s="87">
        <v>2.01E-4</v>
      </c>
      <c r="AI1045" s="87">
        <v>2.331132</v>
      </c>
      <c r="AJ1045" s="87">
        <v>2.283402</v>
      </c>
      <c r="AK1045" s="87">
        <v>2.385752</v>
      </c>
      <c r="AL1045" s="88" t="s">
        <v>1396</v>
      </c>
    </row>
    <row r="1046">
      <c r="A1046" s="84" t="s">
        <v>2776</v>
      </c>
      <c r="B1046" s="84" t="s">
        <v>2785</v>
      </c>
      <c r="C1046" s="84" t="s">
        <v>601</v>
      </c>
      <c r="D1046" s="84" t="s">
        <v>602</v>
      </c>
      <c r="E1046" s="84" t="s">
        <v>1413</v>
      </c>
      <c r="F1046" s="87">
        <v>4.0</v>
      </c>
      <c r="G1046" s="87">
        <v>0.0</v>
      </c>
      <c r="H1046" s="87">
        <v>3773.0</v>
      </c>
      <c r="I1046" s="87">
        <v>0.0</v>
      </c>
      <c r="J1046" s="87">
        <v>11.9538</v>
      </c>
      <c r="K1046" s="87">
        <v>14.18559</v>
      </c>
      <c r="L1046" s="87">
        <v>15.76334</v>
      </c>
      <c r="M1046" s="87">
        <v>13.33404</v>
      </c>
      <c r="N1046" s="87">
        <v>0.939971</v>
      </c>
      <c r="O1046" s="87">
        <v>0.032258</v>
      </c>
      <c r="P1046" s="87">
        <v>0.032258</v>
      </c>
      <c r="Q1046" s="87">
        <v>0.066667</v>
      </c>
      <c r="R1046" s="87">
        <v>0.752628</v>
      </c>
      <c r="S1046" s="87">
        <v>0.752628</v>
      </c>
      <c r="T1046" s="87">
        <v>0.032258</v>
      </c>
      <c r="U1046" s="87">
        <v>0.032258</v>
      </c>
      <c r="V1046" s="87">
        <v>0.066667</v>
      </c>
      <c r="W1046" s="87">
        <v>0.752628</v>
      </c>
      <c r="X1046" s="87">
        <v>0.752628</v>
      </c>
      <c r="Y1046" s="87">
        <v>3.546398</v>
      </c>
      <c r="Z1046" s="87">
        <v>0.0</v>
      </c>
      <c r="AA1046" s="87">
        <v>3.179</v>
      </c>
      <c r="AB1046" s="87">
        <v>2.670372</v>
      </c>
      <c r="AC1046" s="87">
        <v>3.546398</v>
      </c>
      <c r="AD1046" s="87">
        <v>1.200148</v>
      </c>
      <c r="AE1046" s="87">
        <v>1.861893</v>
      </c>
      <c r="AF1046" s="87">
        <v>2.807899</v>
      </c>
      <c r="AG1046" s="87">
        <v>3.412451</v>
      </c>
      <c r="AH1046" s="87">
        <v>2.01E-4</v>
      </c>
      <c r="AI1046" s="87">
        <v>2.331132</v>
      </c>
      <c r="AJ1046" s="87">
        <v>2.283402</v>
      </c>
      <c r="AK1046" s="87">
        <v>2.385752</v>
      </c>
      <c r="AL1046" s="88" t="s">
        <v>1396</v>
      </c>
    </row>
    <row r="1047">
      <c r="A1047" s="84" t="s">
        <v>2786</v>
      </c>
      <c r="B1047" s="84" t="s">
        <v>2787</v>
      </c>
      <c r="C1047" s="84" t="s">
        <v>601</v>
      </c>
      <c r="D1047" s="84" t="s">
        <v>602</v>
      </c>
      <c r="E1047" s="84" t="s">
        <v>1398</v>
      </c>
      <c r="F1047" s="87">
        <v>7.0</v>
      </c>
      <c r="G1047" s="87">
        <v>0.0</v>
      </c>
      <c r="H1047" s="87">
        <v>5459.0</v>
      </c>
      <c r="I1047" s="87">
        <v>0.0</v>
      </c>
      <c r="J1047" s="87">
        <v>41.37656</v>
      </c>
      <c r="K1047" s="87">
        <v>46.358</v>
      </c>
      <c r="L1047" s="87">
        <v>46.60212</v>
      </c>
      <c r="M1047" s="87">
        <v>30.16433</v>
      </c>
      <c r="N1047" s="87">
        <v>0.650682</v>
      </c>
      <c r="O1047" s="87">
        <v>0.0</v>
      </c>
      <c r="P1047" s="87">
        <v>2.0</v>
      </c>
      <c r="Q1047" s="87">
        <v>3.843047</v>
      </c>
      <c r="R1047" s="87">
        <v>4.288477</v>
      </c>
      <c r="S1047" s="87">
        <v>6.062142</v>
      </c>
      <c r="T1047" s="87">
        <v>2.0</v>
      </c>
      <c r="U1047" s="87">
        <v>3.843047</v>
      </c>
      <c r="V1047" s="87">
        <v>3.843047</v>
      </c>
      <c r="W1047" s="87">
        <v>6.062142</v>
      </c>
      <c r="X1047" s="87">
        <v>14.8557</v>
      </c>
      <c r="Y1047" s="87">
        <v>6.622571</v>
      </c>
      <c r="Z1047" s="87">
        <v>0.0</v>
      </c>
      <c r="AA1047" s="87">
        <v>3.179</v>
      </c>
      <c r="AB1047" s="87">
        <v>2.670372</v>
      </c>
      <c r="AC1047" s="87">
        <v>3.546398</v>
      </c>
      <c r="AD1047" s="87">
        <v>2.188834</v>
      </c>
      <c r="AE1047" s="87">
        <v>2.50634</v>
      </c>
      <c r="AF1047" s="87">
        <v>5.569845</v>
      </c>
      <c r="AG1047" s="87">
        <v>1.232576</v>
      </c>
      <c r="AH1047" s="87">
        <v>2.01E-4</v>
      </c>
      <c r="AI1047" s="87">
        <v>2.331132</v>
      </c>
      <c r="AJ1047" s="87">
        <v>2.283402</v>
      </c>
      <c r="AK1047" s="87">
        <v>2.385752</v>
      </c>
      <c r="AL1047" s="88" t="s">
        <v>1396</v>
      </c>
    </row>
    <row r="1048">
      <c r="A1048" s="84" t="s">
        <v>2778</v>
      </c>
      <c r="B1048" s="84" t="s">
        <v>2788</v>
      </c>
      <c r="C1048" s="84" t="s">
        <v>601</v>
      </c>
      <c r="D1048" s="84" t="s">
        <v>602</v>
      </c>
      <c r="E1048" s="84" t="s">
        <v>1400</v>
      </c>
      <c r="F1048" s="87">
        <v>10.0</v>
      </c>
      <c r="G1048" s="87">
        <v>0.0</v>
      </c>
      <c r="H1048" s="87">
        <v>9855.0</v>
      </c>
      <c r="I1048" s="87">
        <v>0.0</v>
      </c>
      <c r="J1048" s="87">
        <v>68.20599</v>
      </c>
      <c r="K1048" s="87">
        <v>61.5365</v>
      </c>
      <c r="L1048" s="87">
        <v>67.35023</v>
      </c>
      <c r="M1048" s="87">
        <v>48.09079</v>
      </c>
      <c r="N1048" s="87">
        <v>0.7815</v>
      </c>
      <c r="O1048" s="87">
        <v>0.0</v>
      </c>
      <c r="P1048" s="87">
        <v>0.204762</v>
      </c>
      <c r="Q1048" s="87">
        <v>0.525</v>
      </c>
      <c r="R1048" s="87">
        <v>2.802299</v>
      </c>
      <c r="S1048" s="87">
        <v>5.938944</v>
      </c>
      <c r="T1048" s="87">
        <v>0.204762</v>
      </c>
      <c r="U1048" s="87">
        <v>0.525</v>
      </c>
      <c r="V1048" s="87">
        <v>0.795699</v>
      </c>
      <c r="W1048" s="87">
        <v>3.179</v>
      </c>
      <c r="X1048" s="87">
        <v>5.938944</v>
      </c>
      <c r="Y1048" s="87">
        <v>6.15365</v>
      </c>
      <c r="Z1048" s="87">
        <v>0.0</v>
      </c>
      <c r="AA1048" s="87">
        <v>3.179</v>
      </c>
      <c r="AB1048" s="87">
        <v>2.670372</v>
      </c>
      <c r="AC1048" s="87">
        <v>3.546398</v>
      </c>
      <c r="AD1048" s="87">
        <v>0.978736</v>
      </c>
      <c r="AE1048" s="87">
        <v>1.184216</v>
      </c>
      <c r="AF1048" s="87">
        <v>2.75813</v>
      </c>
      <c r="AG1048" s="87">
        <v>1.232357</v>
      </c>
      <c r="AH1048" s="87">
        <v>2.01E-4</v>
      </c>
      <c r="AI1048" s="87">
        <v>2.331132</v>
      </c>
      <c r="AJ1048" s="87">
        <v>2.283402</v>
      </c>
      <c r="AK1048" s="87">
        <v>2.385752</v>
      </c>
      <c r="AL1048" s="88" t="s">
        <v>1396</v>
      </c>
    </row>
    <row r="1049">
      <c r="A1049" s="84" t="s">
        <v>2782</v>
      </c>
      <c r="B1049" s="84" t="s">
        <v>2789</v>
      </c>
      <c r="C1049" s="84" t="s">
        <v>601</v>
      </c>
      <c r="D1049" s="84" t="s">
        <v>602</v>
      </c>
      <c r="E1049" s="84" t="s">
        <v>1403</v>
      </c>
      <c r="F1049" s="87">
        <v>24.0</v>
      </c>
      <c r="G1049" s="87">
        <v>6.0</v>
      </c>
      <c r="H1049" s="87">
        <v>197.0</v>
      </c>
      <c r="I1049" s="87">
        <v>197.0</v>
      </c>
      <c r="J1049" s="87">
        <v>0.0</v>
      </c>
      <c r="K1049" s="87">
        <v>0.0</v>
      </c>
      <c r="L1049" s="87">
        <v>0.0</v>
      </c>
      <c r="M1049" s="87">
        <v>0.0</v>
      </c>
      <c r="N1049" s="87">
        <v>0.0</v>
      </c>
      <c r="O1049" s="87">
        <v>0.0</v>
      </c>
      <c r="P1049" s="87">
        <v>0.0</v>
      </c>
      <c r="Q1049" s="87">
        <v>0.0</v>
      </c>
      <c r="R1049" s="87">
        <v>0.0</v>
      </c>
      <c r="S1049" s="87">
        <v>0.0</v>
      </c>
      <c r="T1049" s="87">
        <v>0.0</v>
      </c>
      <c r="U1049" s="87">
        <v>0.0</v>
      </c>
      <c r="V1049" s="87">
        <v>0.0</v>
      </c>
      <c r="W1049" s="87">
        <v>0.0</v>
      </c>
      <c r="X1049" s="87">
        <v>0.0</v>
      </c>
      <c r="Y1049" s="87">
        <v>0.0</v>
      </c>
      <c r="Z1049" s="87">
        <v>0.0</v>
      </c>
      <c r="AA1049" s="87">
        <v>3.179</v>
      </c>
      <c r="AB1049" s="87">
        <v>2.670372</v>
      </c>
      <c r="AC1049" s="87">
        <v>3.546398</v>
      </c>
      <c r="AD1049" s="87">
        <v>0.0</v>
      </c>
      <c r="AE1049" s="87">
        <v>0.0</v>
      </c>
      <c r="AF1049" s="87">
        <v>0.0</v>
      </c>
      <c r="AG1049" s="87">
        <v>0.0</v>
      </c>
      <c r="AH1049" s="87">
        <v>2.01E-4</v>
      </c>
      <c r="AI1049" s="87">
        <v>2.331132</v>
      </c>
      <c r="AJ1049" s="87">
        <v>2.283402</v>
      </c>
      <c r="AK1049" s="87">
        <v>2.385752</v>
      </c>
      <c r="AL1049" s="88" t="s">
        <v>1396</v>
      </c>
    </row>
    <row r="1050">
      <c r="A1050" s="84" t="s">
        <v>2774</v>
      </c>
      <c r="B1050" s="84" t="s">
        <v>2790</v>
      </c>
      <c r="C1050" s="84" t="s">
        <v>601</v>
      </c>
      <c r="D1050" s="84" t="s">
        <v>609</v>
      </c>
      <c r="E1050" s="86">
        <v>46310.0</v>
      </c>
      <c r="F1050" s="87">
        <v>16.0</v>
      </c>
      <c r="G1050" s="87">
        <v>0.0</v>
      </c>
      <c r="H1050" s="87">
        <v>14048.0</v>
      </c>
      <c r="I1050" s="87">
        <v>0.0</v>
      </c>
      <c r="J1050" s="87">
        <v>158.8839</v>
      </c>
      <c r="K1050" s="87">
        <v>164.6286</v>
      </c>
      <c r="L1050" s="87">
        <v>168.0086</v>
      </c>
      <c r="M1050" s="87">
        <v>104.2397</v>
      </c>
      <c r="N1050" s="87">
        <v>0.633181</v>
      </c>
      <c r="O1050" s="87">
        <v>0.133333</v>
      </c>
      <c r="P1050" s="87">
        <v>0.53869</v>
      </c>
      <c r="Q1050" s="87">
        <v>0.633333</v>
      </c>
      <c r="R1050" s="87">
        <v>9.144248</v>
      </c>
      <c r="S1050" s="87">
        <v>11.95459</v>
      </c>
      <c r="T1050" s="87">
        <v>0.3</v>
      </c>
      <c r="U1050" s="87">
        <v>0.633333</v>
      </c>
      <c r="V1050" s="87">
        <v>2.942677</v>
      </c>
      <c r="W1050" s="87">
        <v>9.144248</v>
      </c>
      <c r="X1050" s="87">
        <v>11.95459</v>
      </c>
      <c r="Y1050" s="87">
        <v>10.28929</v>
      </c>
      <c r="Z1050" s="87">
        <v>0.0</v>
      </c>
      <c r="AA1050" s="87">
        <v>2.281255</v>
      </c>
      <c r="AB1050" s="87">
        <v>2.524808</v>
      </c>
      <c r="AC1050" s="87">
        <v>5.976514</v>
      </c>
      <c r="AD1050" s="87">
        <v>2.622006</v>
      </c>
      <c r="AE1050" s="87">
        <v>2.942677</v>
      </c>
      <c r="AF1050" s="87">
        <v>4.846733</v>
      </c>
      <c r="AG1050" s="87">
        <v>3.770935</v>
      </c>
      <c r="AH1050" s="87">
        <v>2.01E-4</v>
      </c>
      <c r="AI1050" s="87">
        <v>2.331132</v>
      </c>
      <c r="AJ1050" s="87">
        <v>2.283402</v>
      </c>
      <c r="AK1050" s="87">
        <v>2.385752</v>
      </c>
      <c r="AL1050" s="88" t="s">
        <v>1396</v>
      </c>
    </row>
    <row r="1051">
      <c r="A1051" s="84" t="s">
        <v>2776</v>
      </c>
      <c r="B1051" s="84" t="s">
        <v>2791</v>
      </c>
      <c r="C1051" s="84" t="s">
        <v>601</v>
      </c>
      <c r="D1051" s="84" t="s">
        <v>609</v>
      </c>
      <c r="E1051" s="84" t="s">
        <v>1413</v>
      </c>
      <c r="F1051" s="87">
        <v>23.0</v>
      </c>
      <c r="G1051" s="87">
        <v>0.0</v>
      </c>
      <c r="H1051" s="87">
        <v>11341.0</v>
      </c>
      <c r="I1051" s="87">
        <v>0.0</v>
      </c>
      <c r="J1051" s="87">
        <v>79.33365</v>
      </c>
      <c r="K1051" s="87">
        <v>78.48637</v>
      </c>
      <c r="L1051" s="87">
        <v>88.23598</v>
      </c>
      <c r="M1051" s="87">
        <v>50.75732</v>
      </c>
      <c r="N1051" s="87">
        <v>0.646702</v>
      </c>
      <c r="O1051" s="87">
        <v>0.0</v>
      </c>
      <c r="P1051" s="87">
        <v>0.0</v>
      </c>
      <c r="Q1051" s="87">
        <v>0.0</v>
      </c>
      <c r="R1051" s="87">
        <v>2.602185</v>
      </c>
      <c r="S1051" s="87">
        <v>3.938534</v>
      </c>
      <c r="T1051" s="87">
        <v>1.052422</v>
      </c>
      <c r="U1051" s="87">
        <v>1.347275</v>
      </c>
      <c r="V1051" s="87">
        <v>2.602185</v>
      </c>
      <c r="W1051" s="87">
        <v>3.756751</v>
      </c>
      <c r="X1051" s="87">
        <v>4.713642</v>
      </c>
      <c r="Y1051" s="87">
        <v>3.412451</v>
      </c>
      <c r="Z1051" s="87">
        <v>0.0</v>
      </c>
      <c r="AA1051" s="87">
        <v>2.281255</v>
      </c>
      <c r="AB1051" s="87">
        <v>2.524808</v>
      </c>
      <c r="AC1051" s="87">
        <v>5.976514</v>
      </c>
      <c r="AD1051" s="87">
        <v>1.200148</v>
      </c>
      <c r="AE1051" s="87">
        <v>1.861893</v>
      </c>
      <c r="AF1051" s="87">
        <v>2.807899</v>
      </c>
      <c r="AG1051" s="87">
        <v>3.412451</v>
      </c>
      <c r="AH1051" s="87">
        <v>2.01E-4</v>
      </c>
      <c r="AI1051" s="87">
        <v>2.331132</v>
      </c>
      <c r="AJ1051" s="87">
        <v>2.283402</v>
      </c>
      <c r="AK1051" s="87">
        <v>2.385752</v>
      </c>
      <c r="AL1051" s="88" t="s">
        <v>1396</v>
      </c>
    </row>
    <row r="1052">
      <c r="A1052" s="84" t="s">
        <v>2786</v>
      </c>
      <c r="B1052" s="84" t="s">
        <v>2792</v>
      </c>
      <c r="C1052" s="84" t="s">
        <v>601</v>
      </c>
      <c r="D1052" s="84" t="s">
        <v>609</v>
      </c>
      <c r="E1052" s="84" t="s">
        <v>1398</v>
      </c>
      <c r="F1052" s="87">
        <v>24.0</v>
      </c>
      <c r="G1052" s="87">
        <v>0.0</v>
      </c>
      <c r="H1052" s="87">
        <v>18822.0</v>
      </c>
      <c r="I1052" s="87">
        <v>0.0</v>
      </c>
      <c r="J1052" s="87">
        <v>175.3927</v>
      </c>
      <c r="K1052" s="87">
        <v>180.0168</v>
      </c>
      <c r="L1052" s="87">
        <v>178.6976</v>
      </c>
      <c r="M1052" s="87">
        <v>138.7074</v>
      </c>
      <c r="N1052" s="87">
        <v>0.770525</v>
      </c>
      <c r="O1052" s="87">
        <v>0.2</v>
      </c>
      <c r="P1052" s="87">
        <v>0.650794</v>
      </c>
      <c r="Q1052" s="87">
        <v>1.16244</v>
      </c>
      <c r="R1052" s="87">
        <v>2.79964</v>
      </c>
      <c r="S1052" s="87">
        <v>4.413452</v>
      </c>
      <c r="T1052" s="87">
        <v>0.650794</v>
      </c>
      <c r="U1052" s="87">
        <v>1.126068</v>
      </c>
      <c r="V1052" s="87">
        <v>1.533811</v>
      </c>
      <c r="W1052" s="87">
        <v>3.041379</v>
      </c>
      <c r="X1052" s="87">
        <v>4.758265</v>
      </c>
      <c r="Y1052" s="87">
        <v>7.500698</v>
      </c>
      <c r="Z1052" s="87">
        <v>0.0</v>
      </c>
      <c r="AA1052" s="87">
        <v>2.281255</v>
      </c>
      <c r="AB1052" s="87">
        <v>2.524808</v>
      </c>
      <c r="AC1052" s="87">
        <v>5.976514</v>
      </c>
      <c r="AD1052" s="87">
        <v>2.188834</v>
      </c>
      <c r="AE1052" s="87">
        <v>2.50634</v>
      </c>
      <c r="AF1052" s="87">
        <v>5.569845</v>
      </c>
      <c r="AG1052" s="87">
        <v>1.232576</v>
      </c>
      <c r="AH1052" s="87">
        <v>2.01E-4</v>
      </c>
      <c r="AI1052" s="87">
        <v>2.331132</v>
      </c>
      <c r="AJ1052" s="87">
        <v>2.283402</v>
      </c>
      <c r="AK1052" s="87">
        <v>2.385752</v>
      </c>
      <c r="AL1052" s="88" t="s">
        <v>1396</v>
      </c>
    </row>
    <row r="1053">
      <c r="A1053" s="84" t="s">
        <v>2778</v>
      </c>
      <c r="B1053" s="84" t="s">
        <v>2793</v>
      </c>
      <c r="C1053" s="84" t="s">
        <v>601</v>
      </c>
      <c r="D1053" s="84" t="s">
        <v>609</v>
      </c>
      <c r="E1053" s="84" t="s">
        <v>1400</v>
      </c>
      <c r="F1053" s="87">
        <v>63.0</v>
      </c>
      <c r="G1053" s="87">
        <v>0.0</v>
      </c>
      <c r="H1053" s="87">
        <v>22418.0</v>
      </c>
      <c r="I1053" s="87">
        <v>0.0</v>
      </c>
      <c r="J1053" s="87">
        <v>189.1804</v>
      </c>
      <c r="K1053" s="87">
        <v>189.629</v>
      </c>
      <c r="L1053" s="87">
        <v>191.9093</v>
      </c>
      <c r="M1053" s="87">
        <v>131.3723</v>
      </c>
      <c r="N1053" s="87">
        <v>0.692786</v>
      </c>
      <c r="O1053" s="87">
        <v>0.298925</v>
      </c>
      <c r="P1053" s="87">
        <v>0.443433</v>
      </c>
      <c r="Q1053" s="87">
        <v>0.825959</v>
      </c>
      <c r="R1053" s="87">
        <v>1.320509</v>
      </c>
      <c r="S1053" s="87">
        <v>2.188004</v>
      </c>
      <c r="T1053" s="87">
        <v>0.358954</v>
      </c>
      <c r="U1053" s="87">
        <v>0.481743</v>
      </c>
      <c r="V1053" s="87">
        <v>0.859738</v>
      </c>
      <c r="W1053" s="87">
        <v>1.380511</v>
      </c>
      <c r="X1053" s="87">
        <v>2.198367</v>
      </c>
      <c r="Y1053" s="87">
        <v>3.009985</v>
      </c>
      <c r="Z1053" s="87">
        <v>0.0</v>
      </c>
      <c r="AA1053" s="87">
        <v>2.281255</v>
      </c>
      <c r="AB1053" s="87">
        <v>2.524808</v>
      </c>
      <c r="AC1053" s="87">
        <v>5.976514</v>
      </c>
      <c r="AD1053" s="87">
        <v>0.978736</v>
      </c>
      <c r="AE1053" s="87">
        <v>1.184216</v>
      </c>
      <c r="AF1053" s="87">
        <v>2.75813</v>
      </c>
      <c r="AG1053" s="87">
        <v>1.232357</v>
      </c>
      <c r="AH1053" s="87">
        <v>2.01E-4</v>
      </c>
      <c r="AI1053" s="87">
        <v>2.331132</v>
      </c>
      <c r="AJ1053" s="87">
        <v>2.283402</v>
      </c>
      <c r="AK1053" s="87">
        <v>2.385752</v>
      </c>
      <c r="AL1053" s="88" t="s">
        <v>1396</v>
      </c>
    </row>
    <row r="1054">
      <c r="A1054" s="84" t="s">
        <v>2780</v>
      </c>
      <c r="B1054" s="84" t="s">
        <v>2794</v>
      </c>
      <c r="C1054" s="84" t="s">
        <v>601</v>
      </c>
      <c r="D1054" s="84" t="s">
        <v>609</v>
      </c>
      <c r="E1054" s="89">
        <v>46300.0</v>
      </c>
      <c r="F1054" s="87">
        <v>9.0</v>
      </c>
      <c r="G1054" s="87">
        <v>0.0</v>
      </c>
      <c r="H1054" s="87">
        <v>4516.0</v>
      </c>
      <c r="I1054" s="87">
        <v>0.0</v>
      </c>
      <c r="J1054" s="87">
        <v>46.72736</v>
      </c>
      <c r="K1054" s="87">
        <v>53.78862</v>
      </c>
      <c r="L1054" s="87">
        <v>64.64878</v>
      </c>
      <c r="M1054" s="87">
        <v>43.38001</v>
      </c>
      <c r="N1054" s="87">
        <v>0.80649</v>
      </c>
      <c r="O1054" s="87">
        <v>0.0</v>
      </c>
      <c r="P1054" s="87">
        <v>0.0</v>
      </c>
      <c r="Q1054" s="87">
        <v>0.0</v>
      </c>
      <c r="R1054" s="87">
        <v>2.299221</v>
      </c>
      <c r="S1054" s="87">
        <v>4.535865</v>
      </c>
      <c r="T1054" s="87">
        <v>1.0</v>
      </c>
      <c r="U1054" s="87">
        <v>2.299221</v>
      </c>
      <c r="V1054" s="87">
        <v>2.299221</v>
      </c>
      <c r="W1054" s="87">
        <v>4.535865</v>
      </c>
      <c r="X1054" s="87">
        <v>17.88195</v>
      </c>
      <c r="Y1054" s="87">
        <v>5.976514</v>
      </c>
      <c r="Z1054" s="87">
        <v>0.0</v>
      </c>
      <c r="AA1054" s="87">
        <v>2.281255</v>
      </c>
      <c r="AB1054" s="87">
        <v>2.524808</v>
      </c>
      <c r="AC1054" s="87">
        <v>5.976514</v>
      </c>
      <c r="AD1054" s="87">
        <v>1.953596</v>
      </c>
      <c r="AE1054" s="87">
        <v>3.123969</v>
      </c>
      <c r="AF1054" s="87">
        <v>4.241972</v>
      </c>
      <c r="AG1054" s="87">
        <v>5.976514</v>
      </c>
      <c r="AH1054" s="87">
        <v>2.01E-4</v>
      </c>
      <c r="AI1054" s="87">
        <v>2.331132</v>
      </c>
      <c r="AJ1054" s="87">
        <v>2.283402</v>
      </c>
      <c r="AK1054" s="87">
        <v>2.385752</v>
      </c>
      <c r="AL1054" s="88" t="s">
        <v>1396</v>
      </c>
    </row>
    <row r="1055">
      <c r="A1055" s="84" t="s">
        <v>2782</v>
      </c>
      <c r="B1055" s="84" t="s">
        <v>2795</v>
      </c>
      <c r="C1055" s="84" t="s">
        <v>601</v>
      </c>
      <c r="D1055" s="84" t="s">
        <v>609</v>
      </c>
      <c r="E1055" s="84" t="s">
        <v>1403</v>
      </c>
      <c r="F1055" s="87">
        <v>129.0</v>
      </c>
      <c r="G1055" s="87">
        <v>8.0</v>
      </c>
      <c r="H1055" s="87">
        <v>1588.0</v>
      </c>
      <c r="I1055" s="87">
        <v>1588.0</v>
      </c>
      <c r="J1055" s="87">
        <v>0.0</v>
      </c>
      <c r="K1055" s="87">
        <v>0.0</v>
      </c>
      <c r="L1055" s="87">
        <v>0.0</v>
      </c>
      <c r="M1055" s="87">
        <v>0.0</v>
      </c>
      <c r="N1055" s="87">
        <v>0.0</v>
      </c>
      <c r="O1055" s="87">
        <v>0.0</v>
      </c>
      <c r="P1055" s="87">
        <v>0.0</v>
      </c>
      <c r="Q1055" s="87">
        <v>0.0</v>
      </c>
      <c r="R1055" s="87">
        <v>0.0</v>
      </c>
      <c r="S1055" s="87">
        <v>0.0</v>
      </c>
      <c r="T1055" s="87">
        <v>0.0</v>
      </c>
      <c r="U1055" s="87">
        <v>0.0</v>
      </c>
      <c r="V1055" s="87">
        <v>0.0</v>
      </c>
      <c r="W1055" s="87">
        <v>0.0</v>
      </c>
      <c r="X1055" s="87">
        <v>0.0</v>
      </c>
      <c r="Y1055" s="87">
        <v>0.0</v>
      </c>
      <c r="Z1055" s="87">
        <v>0.0</v>
      </c>
      <c r="AA1055" s="87">
        <v>2.281255</v>
      </c>
      <c r="AB1055" s="87">
        <v>2.524808</v>
      </c>
      <c r="AC1055" s="87">
        <v>5.976514</v>
      </c>
      <c r="AD1055" s="87">
        <v>0.0</v>
      </c>
      <c r="AE1055" s="87">
        <v>0.0</v>
      </c>
      <c r="AF1055" s="87">
        <v>0.0</v>
      </c>
      <c r="AG1055" s="87">
        <v>0.0</v>
      </c>
      <c r="AH1055" s="87">
        <v>2.01E-4</v>
      </c>
      <c r="AI1055" s="87">
        <v>2.331132</v>
      </c>
      <c r="AJ1055" s="87">
        <v>2.283402</v>
      </c>
      <c r="AK1055" s="87">
        <v>2.385752</v>
      </c>
      <c r="AL1055" s="88" t="s">
        <v>1396</v>
      </c>
    </row>
    <row r="1056">
      <c r="A1056" s="84" t="s">
        <v>2771</v>
      </c>
      <c r="B1056" s="84" t="s">
        <v>2796</v>
      </c>
      <c r="C1056" s="84" t="s">
        <v>601</v>
      </c>
      <c r="D1056" s="84" t="s">
        <v>2797</v>
      </c>
      <c r="E1056" s="84" t="s">
        <v>1426</v>
      </c>
      <c r="F1056" s="87">
        <v>14.0</v>
      </c>
      <c r="G1056" s="87">
        <v>0.0</v>
      </c>
      <c r="H1056" s="87">
        <v>12795.0</v>
      </c>
      <c r="I1056" s="87">
        <v>0.0</v>
      </c>
      <c r="J1056" s="87">
        <v>102.7984</v>
      </c>
      <c r="K1056" s="87">
        <v>108.5686</v>
      </c>
      <c r="L1056" s="87">
        <v>116.4804</v>
      </c>
      <c r="M1056" s="87">
        <v>94.42042</v>
      </c>
      <c r="N1056" s="87">
        <v>0.869685</v>
      </c>
      <c r="O1056" s="87">
        <v>0.0</v>
      </c>
      <c r="P1056" s="87">
        <v>0.0</v>
      </c>
      <c r="Q1056" s="87">
        <v>0.0</v>
      </c>
      <c r="R1056" s="87">
        <v>0.0</v>
      </c>
      <c r="S1056" s="87">
        <v>3.664559</v>
      </c>
      <c r="T1056" s="87">
        <v>2.326882</v>
      </c>
      <c r="U1056" s="87">
        <v>3.664559</v>
      </c>
      <c r="V1056" s="87">
        <v>3.664559</v>
      </c>
      <c r="W1056" s="87">
        <v>15.83193</v>
      </c>
      <c r="X1056" s="87">
        <v>33.7809</v>
      </c>
      <c r="Y1056" s="87">
        <v>7.754898</v>
      </c>
      <c r="Z1056" s="87">
        <v>0.0</v>
      </c>
      <c r="AA1056" s="87">
        <v>3.664559</v>
      </c>
      <c r="AB1056" s="87">
        <v>3.918272</v>
      </c>
      <c r="AC1056" s="87">
        <v>3.902577</v>
      </c>
      <c r="AD1056" s="87">
        <v>1.661961</v>
      </c>
      <c r="AE1056" s="87">
        <v>2.876549</v>
      </c>
      <c r="AF1056" s="87">
        <v>5.319196</v>
      </c>
      <c r="AG1056" s="87">
        <v>7.754898</v>
      </c>
      <c r="AH1056" s="87">
        <v>2.01E-4</v>
      </c>
      <c r="AI1056" s="87">
        <v>2.331132</v>
      </c>
      <c r="AJ1056" s="87">
        <v>2.283402</v>
      </c>
      <c r="AK1056" s="87">
        <v>2.385752</v>
      </c>
      <c r="AL1056" s="88" t="s">
        <v>1396</v>
      </c>
    </row>
    <row r="1057">
      <c r="A1057" s="84" t="s">
        <v>2774</v>
      </c>
      <c r="B1057" s="84" t="s">
        <v>2798</v>
      </c>
      <c r="C1057" s="84" t="s">
        <v>601</v>
      </c>
      <c r="D1057" s="84" t="s">
        <v>2797</v>
      </c>
      <c r="E1057" s="86">
        <v>46310.0</v>
      </c>
      <c r="F1057" s="87">
        <v>9.0</v>
      </c>
      <c r="G1057" s="87">
        <v>0.0</v>
      </c>
      <c r="H1057" s="87">
        <v>4763.0</v>
      </c>
      <c r="I1057" s="87">
        <v>0.0</v>
      </c>
      <c r="J1057" s="87">
        <v>59.72467</v>
      </c>
      <c r="K1057" s="87">
        <v>59.62375</v>
      </c>
      <c r="L1057" s="87">
        <v>65.41678</v>
      </c>
      <c r="M1057" s="87">
        <v>35.16974</v>
      </c>
      <c r="N1057" s="87">
        <v>0.589861</v>
      </c>
      <c r="O1057" s="87">
        <v>0.0</v>
      </c>
      <c r="P1057" s="87">
        <v>1.616347</v>
      </c>
      <c r="Q1057" s="87">
        <v>1.929032</v>
      </c>
      <c r="R1057" s="87">
        <v>2.622006</v>
      </c>
      <c r="S1057" s="87">
        <v>11.18467</v>
      </c>
      <c r="T1057" s="87">
        <v>1.616347</v>
      </c>
      <c r="U1057" s="87">
        <v>1.929032</v>
      </c>
      <c r="V1057" s="87">
        <v>2.05332</v>
      </c>
      <c r="W1057" s="87">
        <v>5.048636</v>
      </c>
      <c r="X1057" s="87">
        <v>11.18467</v>
      </c>
      <c r="Y1057" s="87">
        <v>6.624861</v>
      </c>
      <c r="Z1057" s="87">
        <v>0.0</v>
      </c>
      <c r="AA1057" s="87">
        <v>3.664559</v>
      </c>
      <c r="AB1057" s="87">
        <v>3.918272</v>
      </c>
      <c r="AC1057" s="87">
        <v>3.902577</v>
      </c>
      <c r="AD1057" s="87">
        <v>2.622006</v>
      </c>
      <c r="AE1057" s="87">
        <v>2.942677</v>
      </c>
      <c r="AF1057" s="87">
        <v>4.846733</v>
      </c>
      <c r="AG1057" s="87">
        <v>3.770935</v>
      </c>
      <c r="AH1057" s="87">
        <v>2.01E-4</v>
      </c>
      <c r="AI1057" s="87">
        <v>2.331132</v>
      </c>
      <c r="AJ1057" s="87">
        <v>2.283402</v>
      </c>
      <c r="AK1057" s="87">
        <v>2.385752</v>
      </c>
      <c r="AL1057" s="88" t="s">
        <v>1396</v>
      </c>
    </row>
    <row r="1058">
      <c r="A1058" s="84" t="s">
        <v>2776</v>
      </c>
      <c r="B1058" s="84" t="s">
        <v>2799</v>
      </c>
      <c r="C1058" s="84" t="s">
        <v>601</v>
      </c>
      <c r="D1058" s="84" t="s">
        <v>2797</v>
      </c>
      <c r="E1058" s="84" t="s">
        <v>1413</v>
      </c>
      <c r="F1058" s="87">
        <v>8.0</v>
      </c>
      <c r="G1058" s="87">
        <v>0.0</v>
      </c>
      <c r="H1058" s="87">
        <v>3162.0</v>
      </c>
      <c r="I1058" s="87">
        <v>0.0</v>
      </c>
      <c r="J1058" s="87">
        <v>27.61797</v>
      </c>
      <c r="K1058" s="87">
        <v>31.22061</v>
      </c>
      <c r="L1058" s="87">
        <v>36.72419</v>
      </c>
      <c r="M1058" s="87">
        <v>26.94987</v>
      </c>
      <c r="N1058" s="87">
        <v>0.863207</v>
      </c>
      <c r="O1058" s="87">
        <v>0.0</v>
      </c>
      <c r="P1058" s="87">
        <v>0.0</v>
      </c>
      <c r="Q1058" s="87">
        <v>0.316667</v>
      </c>
      <c r="R1058" s="87">
        <v>1.0</v>
      </c>
      <c r="S1058" s="87">
        <v>2.022823</v>
      </c>
      <c r="T1058" s="87">
        <v>0.316667</v>
      </c>
      <c r="U1058" s="87">
        <v>0.931257</v>
      </c>
      <c r="V1058" s="87">
        <v>0.931257</v>
      </c>
      <c r="W1058" s="87">
        <v>2.022823</v>
      </c>
      <c r="X1058" s="87">
        <v>3.47817</v>
      </c>
      <c r="Y1058" s="87">
        <v>3.902577</v>
      </c>
      <c r="Z1058" s="87">
        <v>0.0</v>
      </c>
      <c r="AA1058" s="87">
        <v>3.664559</v>
      </c>
      <c r="AB1058" s="87">
        <v>3.918272</v>
      </c>
      <c r="AC1058" s="87">
        <v>3.902577</v>
      </c>
      <c r="AD1058" s="87">
        <v>1.200148</v>
      </c>
      <c r="AE1058" s="87">
        <v>1.861893</v>
      </c>
      <c r="AF1058" s="87">
        <v>2.807899</v>
      </c>
      <c r="AG1058" s="87">
        <v>3.412451</v>
      </c>
      <c r="AH1058" s="87">
        <v>2.01E-4</v>
      </c>
      <c r="AI1058" s="87">
        <v>2.331132</v>
      </c>
      <c r="AJ1058" s="87">
        <v>2.283402</v>
      </c>
      <c r="AK1058" s="87">
        <v>2.385752</v>
      </c>
      <c r="AL1058" s="88" t="s">
        <v>1396</v>
      </c>
    </row>
    <row r="1059">
      <c r="A1059" s="84" t="s">
        <v>2786</v>
      </c>
      <c r="B1059" s="84" t="s">
        <v>2800</v>
      </c>
      <c r="C1059" s="84" t="s">
        <v>601</v>
      </c>
      <c r="D1059" s="84" t="s">
        <v>2797</v>
      </c>
      <c r="E1059" s="84" t="s">
        <v>1398</v>
      </c>
      <c r="F1059" s="87">
        <v>1.0</v>
      </c>
      <c r="G1059" s="87">
        <v>0.0</v>
      </c>
      <c r="H1059" s="87">
        <v>30.0</v>
      </c>
      <c r="I1059" s="87">
        <v>0.0</v>
      </c>
      <c r="J1059" s="87">
        <v>0.321429</v>
      </c>
      <c r="K1059" s="87">
        <v>0.083333</v>
      </c>
      <c r="L1059" s="87">
        <v>0.272948</v>
      </c>
      <c r="M1059" s="87">
        <v>0.083333</v>
      </c>
      <c r="N1059" s="87">
        <v>1.0</v>
      </c>
      <c r="O1059" s="87">
        <v>0.083333</v>
      </c>
      <c r="P1059" s="87">
        <v>0.083333</v>
      </c>
      <c r="Q1059" s="87">
        <v>0.083333</v>
      </c>
      <c r="R1059" s="87">
        <v>0.083333</v>
      </c>
      <c r="S1059" s="87">
        <v>0.083333</v>
      </c>
      <c r="T1059" s="87">
        <v>0.083333</v>
      </c>
      <c r="U1059" s="87">
        <v>0.083333</v>
      </c>
      <c r="V1059" s="87">
        <v>0.083333</v>
      </c>
      <c r="W1059" s="87">
        <v>0.083333</v>
      </c>
      <c r="X1059" s="87">
        <v>0.083333</v>
      </c>
      <c r="Y1059" s="87">
        <v>0.083333</v>
      </c>
      <c r="Z1059" s="87">
        <v>0.0</v>
      </c>
      <c r="AA1059" s="87">
        <v>3.664559</v>
      </c>
      <c r="AB1059" s="87">
        <v>3.918272</v>
      </c>
      <c r="AC1059" s="87">
        <v>3.902577</v>
      </c>
      <c r="AD1059" s="87">
        <v>2.188834</v>
      </c>
      <c r="AE1059" s="87">
        <v>2.50634</v>
      </c>
      <c r="AF1059" s="87">
        <v>5.569845</v>
      </c>
      <c r="AG1059" s="87">
        <v>1.232576</v>
      </c>
      <c r="AH1059" s="87">
        <v>2.01E-4</v>
      </c>
      <c r="AI1059" s="87">
        <v>2.331132</v>
      </c>
      <c r="AJ1059" s="87">
        <v>2.283402</v>
      </c>
      <c r="AK1059" s="87">
        <v>2.385752</v>
      </c>
      <c r="AL1059" s="88" t="s">
        <v>1396</v>
      </c>
    </row>
    <row r="1060">
      <c r="A1060" s="84" t="s">
        <v>2778</v>
      </c>
      <c r="B1060" s="84" t="s">
        <v>2801</v>
      </c>
      <c r="C1060" s="84" t="s">
        <v>601</v>
      </c>
      <c r="D1060" s="84" t="s">
        <v>2797</v>
      </c>
      <c r="E1060" s="84" t="s">
        <v>1400</v>
      </c>
      <c r="F1060" s="87">
        <v>2.0</v>
      </c>
      <c r="G1060" s="87">
        <v>0.0</v>
      </c>
      <c r="H1060" s="87">
        <v>192.0</v>
      </c>
      <c r="I1060" s="87">
        <v>0.0</v>
      </c>
      <c r="J1060" s="87">
        <v>1.520707</v>
      </c>
      <c r="K1060" s="87">
        <v>1.30117</v>
      </c>
      <c r="L1060" s="87">
        <v>1.181806</v>
      </c>
      <c r="M1060" s="87">
        <v>0.671795</v>
      </c>
      <c r="N1060" s="87">
        <v>0.5163</v>
      </c>
      <c r="O1060" s="87">
        <v>0.629375</v>
      </c>
      <c r="P1060" s="87">
        <v>0.629375</v>
      </c>
      <c r="Q1060" s="87">
        <v>0.629375</v>
      </c>
      <c r="R1060" s="87">
        <v>0.671795</v>
      </c>
      <c r="S1060" s="87">
        <v>0.671795</v>
      </c>
      <c r="T1060" s="87">
        <v>0.629375</v>
      </c>
      <c r="U1060" s="87">
        <v>0.629375</v>
      </c>
      <c r="V1060" s="87">
        <v>0.629375</v>
      </c>
      <c r="W1060" s="87">
        <v>0.671795</v>
      </c>
      <c r="X1060" s="87">
        <v>0.671795</v>
      </c>
      <c r="Y1060" s="87">
        <v>0.650585</v>
      </c>
      <c r="Z1060" s="87">
        <v>0.0</v>
      </c>
      <c r="AA1060" s="87">
        <v>3.664559</v>
      </c>
      <c r="AB1060" s="87">
        <v>3.918272</v>
      </c>
      <c r="AC1060" s="87">
        <v>3.902577</v>
      </c>
      <c r="AD1060" s="87">
        <v>0.978736</v>
      </c>
      <c r="AE1060" s="87">
        <v>1.184216</v>
      </c>
      <c r="AF1060" s="87">
        <v>2.75813</v>
      </c>
      <c r="AG1060" s="87">
        <v>1.232357</v>
      </c>
      <c r="AH1060" s="87">
        <v>2.01E-4</v>
      </c>
      <c r="AI1060" s="87">
        <v>2.331132</v>
      </c>
      <c r="AJ1060" s="87">
        <v>2.283402</v>
      </c>
      <c r="AK1060" s="87">
        <v>2.385752</v>
      </c>
      <c r="AL1060" s="88" t="s">
        <v>1396</v>
      </c>
    </row>
    <row r="1061">
      <c r="A1061" s="84" t="s">
        <v>2780</v>
      </c>
      <c r="B1061" s="84" t="s">
        <v>2802</v>
      </c>
      <c r="C1061" s="84" t="s">
        <v>601</v>
      </c>
      <c r="D1061" s="84" t="s">
        <v>2797</v>
      </c>
      <c r="E1061" s="89">
        <v>46300.0</v>
      </c>
      <c r="F1061" s="87">
        <v>16.0</v>
      </c>
      <c r="G1061" s="87">
        <v>0.0</v>
      </c>
      <c r="H1061" s="87">
        <v>11283.0</v>
      </c>
      <c r="I1061" s="87">
        <v>0.0</v>
      </c>
      <c r="J1061" s="87">
        <v>116.3295</v>
      </c>
      <c r="K1061" s="87">
        <v>116.5826</v>
      </c>
      <c r="L1061" s="87">
        <v>123.282</v>
      </c>
      <c r="M1061" s="87">
        <v>87.73363</v>
      </c>
      <c r="N1061" s="87">
        <v>0.752545</v>
      </c>
      <c r="O1061" s="87">
        <v>0.0</v>
      </c>
      <c r="P1061" s="87">
        <v>0.0</v>
      </c>
      <c r="Q1061" s="87">
        <v>0.0</v>
      </c>
      <c r="R1061" s="87">
        <v>3.076782</v>
      </c>
      <c r="S1061" s="87">
        <v>11.33401</v>
      </c>
      <c r="T1061" s="87">
        <v>1.695488</v>
      </c>
      <c r="U1061" s="87">
        <v>1.871922</v>
      </c>
      <c r="V1061" s="87">
        <v>3.076782</v>
      </c>
      <c r="W1061" s="87">
        <v>5.879237</v>
      </c>
      <c r="X1061" s="87">
        <v>11.45818</v>
      </c>
      <c r="Y1061" s="87">
        <v>7.286411</v>
      </c>
      <c r="Z1061" s="87">
        <v>0.0</v>
      </c>
      <c r="AA1061" s="87">
        <v>3.664559</v>
      </c>
      <c r="AB1061" s="87">
        <v>3.918272</v>
      </c>
      <c r="AC1061" s="87">
        <v>3.902577</v>
      </c>
      <c r="AD1061" s="87">
        <v>1.953596</v>
      </c>
      <c r="AE1061" s="87">
        <v>3.123969</v>
      </c>
      <c r="AF1061" s="87">
        <v>4.241972</v>
      </c>
      <c r="AG1061" s="87">
        <v>5.976514</v>
      </c>
      <c r="AH1061" s="87">
        <v>2.01E-4</v>
      </c>
      <c r="AI1061" s="87">
        <v>2.331132</v>
      </c>
      <c r="AJ1061" s="87">
        <v>2.283402</v>
      </c>
      <c r="AK1061" s="87">
        <v>2.385752</v>
      </c>
      <c r="AL1061" s="88" t="s">
        <v>1396</v>
      </c>
    </row>
    <row r="1062">
      <c r="A1062" s="84" t="s">
        <v>2782</v>
      </c>
      <c r="B1062" s="84" t="s">
        <v>2803</v>
      </c>
      <c r="C1062" s="84" t="s">
        <v>601</v>
      </c>
      <c r="D1062" s="84" t="s">
        <v>2797</v>
      </c>
      <c r="E1062" s="84" t="s">
        <v>1403</v>
      </c>
      <c r="F1062" s="87">
        <v>31.0</v>
      </c>
      <c r="G1062" s="87">
        <v>2.0</v>
      </c>
      <c r="H1062" s="87">
        <v>46.0</v>
      </c>
      <c r="I1062" s="87">
        <v>46.0</v>
      </c>
      <c r="J1062" s="87">
        <v>0.0</v>
      </c>
      <c r="K1062" s="87">
        <v>0.0</v>
      </c>
      <c r="L1062" s="87">
        <v>0.0</v>
      </c>
      <c r="M1062" s="87">
        <v>0.0</v>
      </c>
      <c r="N1062" s="87">
        <v>0.0</v>
      </c>
      <c r="O1062" s="87">
        <v>0.0</v>
      </c>
      <c r="P1062" s="87">
        <v>0.0</v>
      </c>
      <c r="Q1062" s="87">
        <v>0.0</v>
      </c>
      <c r="R1062" s="87">
        <v>0.0</v>
      </c>
      <c r="S1062" s="87">
        <v>0.0</v>
      </c>
      <c r="T1062" s="87">
        <v>0.0</v>
      </c>
      <c r="U1062" s="87">
        <v>0.0</v>
      </c>
      <c r="V1062" s="87">
        <v>0.0</v>
      </c>
      <c r="W1062" s="87">
        <v>0.0</v>
      </c>
      <c r="X1062" s="87">
        <v>0.0</v>
      </c>
      <c r="Y1062" s="87">
        <v>0.0</v>
      </c>
      <c r="Z1062" s="87">
        <v>0.0</v>
      </c>
      <c r="AA1062" s="87">
        <v>3.664559</v>
      </c>
      <c r="AB1062" s="87">
        <v>3.918272</v>
      </c>
      <c r="AC1062" s="87">
        <v>3.902577</v>
      </c>
      <c r="AD1062" s="87">
        <v>0.0</v>
      </c>
      <c r="AE1062" s="87">
        <v>0.0</v>
      </c>
      <c r="AF1062" s="87">
        <v>0.0</v>
      </c>
      <c r="AG1062" s="87">
        <v>0.0</v>
      </c>
      <c r="AH1062" s="87">
        <v>2.01E-4</v>
      </c>
      <c r="AI1062" s="87">
        <v>2.331132</v>
      </c>
      <c r="AJ1062" s="87">
        <v>2.283402</v>
      </c>
      <c r="AK1062" s="87">
        <v>2.385752</v>
      </c>
      <c r="AL1062" s="88" t="s">
        <v>1396</v>
      </c>
    </row>
    <row r="1063">
      <c r="A1063" s="84" t="s">
        <v>2771</v>
      </c>
      <c r="B1063" s="84" t="s">
        <v>2804</v>
      </c>
      <c r="C1063" s="84" t="s">
        <v>601</v>
      </c>
      <c r="D1063" s="84" t="s">
        <v>1063</v>
      </c>
      <c r="E1063" s="84" t="s">
        <v>1426</v>
      </c>
      <c r="F1063" s="87">
        <v>68.0</v>
      </c>
      <c r="G1063" s="87">
        <v>0.0</v>
      </c>
      <c r="H1063" s="87">
        <v>25956.0</v>
      </c>
      <c r="I1063" s="87">
        <v>0.0</v>
      </c>
      <c r="J1063" s="87">
        <v>152.1597</v>
      </c>
      <c r="K1063" s="87">
        <v>158.0257</v>
      </c>
      <c r="L1063" s="87">
        <v>167.448</v>
      </c>
      <c r="M1063" s="87">
        <v>87.95435</v>
      </c>
      <c r="N1063" s="87">
        <v>0.556583</v>
      </c>
      <c r="O1063" s="87">
        <v>0.0</v>
      </c>
      <c r="P1063" s="87">
        <v>0.081464</v>
      </c>
      <c r="Q1063" s="87">
        <v>0.453634</v>
      </c>
      <c r="R1063" s="87">
        <v>1.651702</v>
      </c>
      <c r="S1063" s="87">
        <v>3.089398</v>
      </c>
      <c r="T1063" s="87">
        <v>0.266667</v>
      </c>
      <c r="U1063" s="87">
        <v>0.603448</v>
      </c>
      <c r="V1063" s="87">
        <v>1.099672</v>
      </c>
      <c r="W1063" s="87">
        <v>2.453327</v>
      </c>
      <c r="X1063" s="87">
        <v>3.413175</v>
      </c>
      <c r="Y1063" s="87">
        <v>2.323907</v>
      </c>
      <c r="Z1063" s="87">
        <v>0.00699</v>
      </c>
      <c r="AA1063" s="87">
        <v>2.150421</v>
      </c>
      <c r="AB1063" s="87">
        <v>1.451546</v>
      </c>
      <c r="AC1063" s="87">
        <v>2.123224</v>
      </c>
      <c r="AD1063" s="87">
        <v>1.661961</v>
      </c>
      <c r="AE1063" s="87">
        <v>2.876549</v>
      </c>
      <c r="AF1063" s="87">
        <v>5.319196</v>
      </c>
      <c r="AG1063" s="87">
        <v>7.754898</v>
      </c>
      <c r="AH1063" s="87">
        <v>2.01E-4</v>
      </c>
      <c r="AI1063" s="87">
        <v>2.331132</v>
      </c>
      <c r="AJ1063" s="87">
        <v>2.283402</v>
      </c>
      <c r="AK1063" s="87">
        <v>2.385752</v>
      </c>
      <c r="AL1063" s="88" t="s">
        <v>1396</v>
      </c>
    </row>
    <row r="1064">
      <c r="A1064" s="84" t="s">
        <v>2774</v>
      </c>
      <c r="B1064" s="84" t="s">
        <v>2805</v>
      </c>
      <c r="C1064" s="84" t="s">
        <v>601</v>
      </c>
      <c r="D1064" s="84" t="s">
        <v>1063</v>
      </c>
      <c r="E1064" s="86">
        <v>46310.0</v>
      </c>
      <c r="F1064" s="87">
        <v>31.0</v>
      </c>
      <c r="G1064" s="87">
        <v>0.0</v>
      </c>
      <c r="H1064" s="87">
        <v>8197.0</v>
      </c>
      <c r="I1064" s="87">
        <v>0.0</v>
      </c>
      <c r="J1064" s="87">
        <v>59.34705</v>
      </c>
      <c r="K1064" s="87">
        <v>73.95833</v>
      </c>
      <c r="L1064" s="87">
        <v>71.71337</v>
      </c>
      <c r="M1064" s="87">
        <v>39.80966</v>
      </c>
      <c r="N1064" s="87">
        <v>0.538272</v>
      </c>
      <c r="O1064" s="87">
        <v>0.1</v>
      </c>
      <c r="P1064" s="87">
        <v>0.232258</v>
      </c>
      <c r="Q1064" s="87">
        <v>0.666667</v>
      </c>
      <c r="R1064" s="87">
        <v>1.304828</v>
      </c>
      <c r="S1064" s="87">
        <v>3.465533</v>
      </c>
      <c r="T1064" s="87">
        <v>0.2</v>
      </c>
      <c r="U1064" s="87">
        <v>0.631183</v>
      </c>
      <c r="V1064" s="87">
        <v>0.933333</v>
      </c>
      <c r="W1064" s="87">
        <v>2.655092</v>
      </c>
      <c r="X1064" s="87">
        <v>3.963401</v>
      </c>
      <c r="Y1064" s="87">
        <v>2.385752</v>
      </c>
      <c r="Z1064" s="87">
        <v>0.00699</v>
      </c>
      <c r="AA1064" s="87">
        <v>2.150421</v>
      </c>
      <c r="AB1064" s="87">
        <v>1.451546</v>
      </c>
      <c r="AC1064" s="87">
        <v>2.123224</v>
      </c>
      <c r="AD1064" s="87">
        <v>2.622006</v>
      </c>
      <c r="AE1064" s="87">
        <v>2.942677</v>
      </c>
      <c r="AF1064" s="87">
        <v>4.846733</v>
      </c>
      <c r="AG1064" s="87">
        <v>3.770935</v>
      </c>
      <c r="AH1064" s="87">
        <v>2.01E-4</v>
      </c>
      <c r="AI1064" s="87">
        <v>2.331132</v>
      </c>
      <c r="AJ1064" s="87">
        <v>2.283402</v>
      </c>
      <c r="AK1064" s="87">
        <v>2.385752</v>
      </c>
      <c r="AL1064" s="88" t="s">
        <v>1396</v>
      </c>
    </row>
    <row r="1065">
      <c r="A1065" s="84" t="s">
        <v>2776</v>
      </c>
      <c r="B1065" s="84" t="s">
        <v>2806</v>
      </c>
      <c r="C1065" s="84" t="s">
        <v>601</v>
      </c>
      <c r="D1065" s="84" t="s">
        <v>1063</v>
      </c>
      <c r="E1065" s="84" t="s">
        <v>1413</v>
      </c>
      <c r="F1065" s="87">
        <v>23.0</v>
      </c>
      <c r="G1065" s="87">
        <v>1.0</v>
      </c>
      <c r="H1065" s="87">
        <v>5263.0</v>
      </c>
      <c r="I1065" s="87">
        <v>1384.0</v>
      </c>
      <c r="J1065" s="87">
        <v>37.31685</v>
      </c>
      <c r="K1065" s="87">
        <v>48.83416</v>
      </c>
      <c r="L1065" s="87">
        <v>54.74369</v>
      </c>
      <c r="M1065" s="87">
        <v>29.98532</v>
      </c>
      <c r="N1065" s="87">
        <v>0.614023</v>
      </c>
      <c r="O1065" s="87">
        <v>0.0</v>
      </c>
      <c r="P1065" s="87">
        <v>0.35</v>
      </c>
      <c r="Q1065" s="87">
        <v>0.383333</v>
      </c>
      <c r="R1065" s="87">
        <v>1.526026</v>
      </c>
      <c r="S1065" s="87">
        <v>2.567039</v>
      </c>
      <c r="T1065" s="87">
        <v>0.359792</v>
      </c>
      <c r="U1065" s="87">
        <v>0.552814</v>
      </c>
      <c r="V1065" s="87">
        <v>0.948038</v>
      </c>
      <c r="W1065" s="87">
        <v>1.562966</v>
      </c>
      <c r="X1065" s="87">
        <v>2.824289</v>
      </c>
      <c r="Y1065" s="87">
        <v>2.123224</v>
      </c>
      <c r="Z1065" s="87">
        <v>0.00699</v>
      </c>
      <c r="AA1065" s="87">
        <v>2.150421</v>
      </c>
      <c r="AB1065" s="87">
        <v>1.451546</v>
      </c>
      <c r="AC1065" s="87">
        <v>2.123224</v>
      </c>
      <c r="AD1065" s="87">
        <v>1.200148</v>
      </c>
      <c r="AE1065" s="87">
        <v>1.861893</v>
      </c>
      <c r="AF1065" s="87">
        <v>2.807899</v>
      </c>
      <c r="AG1065" s="87">
        <v>3.412451</v>
      </c>
      <c r="AH1065" s="87">
        <v>2.01E-4</v>
      </c>
      <c r="AI1065" s="87">
        <v>2.331132</v>
      </c>
      <c r="AJ1065" s="87">
        <v>2.283402</v>
      </c>
      <c r="AK1065" s="87">
        <v>2.385752</v>
      </c>
      <c r="AL1065" s="88" t="s">
        <v>1396</v>
      </c>
    </row>
    <row r="1066">
      <c r="A1066" s="84" t="s">
        <v>2786</v>
      </c>
      <c r="B1066" s="84" t="s">
        <v>2807</v>
      </c>
      <c r="C1066" s="84" t="s">
        <v>601</v>
      </c>
      <c r="D1066" s="84" t="s">
        <v>1063</v>
      </c>
      <c r="E1066" s="84" t="s">
        <v>1398</v>
      </c>
      <c r="F1066" s="87">
        <v>3.0</v>
      </c>
      <c r="G1066" s="87">
        <v>0.0</v>
      </c>
      <c r="H1066" s="87">
        <v>632.0</v>
      </c>
      <c r="I1066" s="87">
        <v>0.0</v>
      </c>
      <c r="J1066" s="87">
        <v>4.8837</v>
      </c>
      <c r="K1066" s="87">
        <v>3.697728</v>
      </c>
      <c r="L1066" s="87">
        <v>4.850474</v>
      </c>
      <c r="M1066" s="87">
        <v>2.526358</v>
      </c>
      <c r="N1066" s="87">
        <v>0.683219</v>
      </c>
      <c r="O1066" s="87">
        <v>0.285965</v>
      </c>
      <c r="P1066" s="87">
        <v>0.285965</v>
      </c>
      <c r="Q1066" s="87">
        <v>0.285965</v>
      </c>
      <c r="R1066" s="87">
        <v>0.885405</v>
      </c>
      <c r="S1066" s="87">
        <v>2.526358</v>
      </c>
      <c r="T1066" s="87">
        <v>0.285965</v>
      </c>
      <c r="U1066" s="87">
        <v>0.285965</v>
      </c>
      <c r="V1066" s="87">
        <v>0.285965</v>
      </c>
      <c r="W1066" s="87">
        <v>0.885405</v>
      </c>
      <c r="X1066" s="87">
        <v>2.526358</v>
      </c>
      <c r="Y1066" s="87">
        <v>1.232576</v>
      </c>
      <c r="Z1066" s="87">
        <v>0.00699</v>
      </c>
      <c r="AA1066" s="87">
        <v>2.150421</v>
      </c>
      <c r="AB1066" s="87">
        <v>1.451546</v>
      </c>
      <c r="AC1066" s="87">
        <v>2.123224</v>
      </c>
      <c r="AD1066" s="87">
        <v>2.188834</v>
      </c>
      <c r="AE1066" s="87">
        <v>2.50634</v>
      </c>
      <c r="AF1066" s="87">
        <v>5.569845</v>
      </c>
      <c r="AG1066" s="87">
        <v>1.232576</v>
      </c>
      <c r="AH1066" s="87">
        <v>2.01E-4</v>
      </c>
      <c r="AI1066" s="87">
        <v>2.331132</v>
      </c>
      <c r="AJ1066" s="87">
        <v>2.283402</v>
      </c>
      <c r="AK1066" s="87">
        <v>2.385752</v>
      </c>
      <c r="AL1066" s="88" t="s">
        <v>1396</v>
      </c>
    </row>
    <row r="1067">
      <c r="A1067" s="84" t="s">
        <v>2778</v>
      </c>
      <c r="B1067" s="84" t="s">
        <v>2808</v>
      </c>
      <c r="C1067" s="84" t="s">
        <v>601</v>
      </c>
      <c r="D1067" s="84" t="s">
        <v>1063</v>
      </c>
      <c r="E1067" s="84" t="s">
        <v>1400</v>
      </c>
      <c r="F1067" s="87">
        <v>12.0</v>
      </c>
      <c r="G1067" s="87">
        <v>0.0</v>
      </c>
      <c r="H1067" s="87">
        <v>2780.0</v>
      </c>
      <c r="I1067" s="87">
        <v>0.0</v>
      </c>
      <c r="J1067" s="87">
        <v>15.28916</v>
      </c>
      <c r="K1067" s="87">
        <v>14.78828</v>
      </c>
      <c r="L1067" s="87">
        <v>17.38732</v>
      </c>
      <c r="M1067" s="87">
        <v>10.35981</v>
      </c>
      <c r="N1067" s="87">
        <v>0.700542</v>
      </c>
      <c r="O1067" s="87">
        <v>0.066667</v>
      </c>
      <c r="P1067" s="87">
        <v>0.188596</v>
      </c>
      <c r="Q1067" s="87">
        <v>0.477258</v>
      </c>
      <c r="R1067" s="87">
        <v>0.589987</v>
      </c>
      <c r="S1067" s="87">
        <v>1.039582</v>
      </c>
      <c r="T1067" s="87">
        <v>0.188596</v>
      </c>
      <c r="U1067" s="87">
        <v>0.477258</v>
      </c>
      <c r="V1067" s="87">
        <v>0.516149</v>
      </c>
      <c r="W1067" s="87">
        <v>0.589987</v>
      </c>
      <c r="X1067" s="87">
        <v>1.039582</v>
      </c>
      <c r="Y1067" s="87">
        <v>1.232357</v>
      </c>
      <c r="Z1067" s="87">
        <v>0.00699</v>
      </c>
      <c r="AA1067" s="87">
        <v>2.150421</v>
      </c>
      <c r="AB1067" s="87">
        <v>1.451546</v>
      </c>
      <c r="AC1067" s="87">
        <v>2.123224</v>
      </c>
      <c r="AD1067" s="87">
        <v>0.978736</v>
      </c>
      <c r="AE1067" s="87">
        <v>1.184216</v>
      </c>
      <c r="AF1067" s="87">
        <v>2.75813</v>
      </c>
      <c r="AG1067" s="87">
        <v>1.232357</v>
      </c>
      <c r="AH1067" s="87">
        <v>2.01E-4</v>
      </c>
      <c r="AI1067" s="87">
        <v>2.331132</v>
      </c>
      <c r="AJ1067" s="87">
        <v>2.283402</v>
      </c>
      <c r="AK1067" s="87">
        <v>2.385752</v>
      </c>
      <c r="AL1067" s="88" t="s">
        <v>1396</v>
      </c>
    </row>
    <row r="1068">
      <c r="A1068" s="84" t="s">
        <v>2780</v>
      </c>
      <c r="B1068" s="84" t="s">
        <v>2809</v>
      </c>
      <c r="C1068" s="84" t="s">
        <v>601</v>
      </c>
      <c r="D1068" s="84" t="s">
        <v>1063</v>
      </c>
      <c r="E1068" s="89">
        <v>46300.0</v>
      </c>
      <c r="F1068" s="87">
        <v>84.0</v>
      </c>
      <c r="G1068" s="87">
        <v>0.0</v>
      </c>
      <c r="H1068" s="87">
        <v>44116.0</v>
      </c>
      <c r="I1068" s="87">
        <v>0.0</v>
      </c>
      <c r="J1068" s="87">
        <v>227.6726</v>
      </c>
      <c r="K1068" s="87">
        <v>272.6051</v>
      </c>
      <c r="L1068" s="87">
        <v>276.8499</v>
      </c>
      <c r="M1068" s="87">
        <v>175.6373</v>
      </c>
      <c r="N1068" s="87">
        <v>0.644292</v>
      </c>
      <c r="O1068" s="87">
        <v>0.0</v>
      </c>
      <c r="P1068" s="87">
        <v>0.079304</v>
      </c>
      <c r="Q1068" s="87">
        <v>0.477368</v>
      </c>
      <c r="R1068" s="87">
        <v>1.426657</v>
      </c>
      <c r="S1068" s="87">
        <v>3.506588</v>
      </c>
      <c r="T1068" s="87">
        <v>0.395699</v>
      </c>
      <c r="U1068" s="87">
        <v>0.726786</v>
      </c>
      <c r="V1068" s="87">
        <v>1.017236</v>
      </c>
      <c r="W1068" s="87">
        <v>2.603554</v>
      </c>
      <c r="X1068" s="87">
        <v>4.57369</v>
      </c>
      <c r="Y1068" s="87">
        <v>3.245298</v>
      </c>
      <c r="Z1068" s="87">
        <v>0.00699</v>
      </c>
      <c r="AA1068" s="87">
        <v>2.150421</v>
      </c>
      <c r="AB1068" s="87">
        <v>1.451546</v>
      </c>
      <c r="AC1068" s="87">
        <v>2.123224</v>
      </c>
      <c r="AD1068" s="87">
        <v>1.953596</v>
      </c>
      <c r="AE1068" s="87">
        <v>3.123969</v>
      </c>
      <c r="AF1068" s="87">
        <v>4.241972</v>
      </c>
      <c r="AG1068" s="87">
        <v>5.976514</v>
      </c>
      <c r="AH1068" s="87">
        <v>2.01E-4</v>
      </c>
      <c r="AI1068" s="87">
        <v>2.331132</v>
      </c>
      <c r="AJ1068" s="87">
        <v>2.283402</v>
      </c>
      <c r="AK1068" s="87">
        <v>2.385752</v>
      </c>
      <c r="AL1068" s="88" t="s">
        <v>1396</v>
      </c>
    </row>
    <row r="1069">
      <c r="A1069" s="84" t="s">
        <v>2782</v>
      </c>
      <c r="B1069" s="84" t="s">
        <v>2810</v>
      </c>
      <c r="C1069" s="84" t="s">
        <v>601</v>
      </c>
      <c r="D1069" s="84" t="s">
        <v>1063</v>
      </c>
      <c r="E1069" s="84" t="s">
        <v>1403</v>
      </c>
      <c r="F1069" s="87">
        <v>173.0</v>
      </c>
      <c r="G1069" s="87">
        <v>3.0</v>
      </c>
      <c r="H1069" s="87">
        <v>568.0</v>
      </c>
      <c r="I1069" s="87">
        <v>568.0</v>
      </c>
      <c r="J1069" s="87">
        <v>0.0</v>
      </c>
      <c r="K1069" s="87">
        <v>0.0</v>
      </c>
      <c r="L1069" s="87">
        <v>0.0</v>
      </c>
      <c r="M1069" s="87">
        <v>0.0</v>
      </c>
      <c r="N1069" s="87">
        <v>0.0</v>
      </c>
      <c r="O1069" s="87">
        <v>0.0</v>
      </c>
      <c r="P1069" s="87">
        <v>0.0</v>
      </c>
      <c r="Q1069" s="87">
        <v>0.0</v>
      </c>
      <c r="R1069" s="87">
        <v>0.0</v>
      </c>
      <c r="S1069" s="87">
        <v>0.0</v>
      </c>
      <c r="T1069" s="87">
        <v>0.0</v>
      </c>
      <c r="U1069" s="87">
        <v>0.0</v>
      </c>
      <c r="V1069" s="87">
        <v>0.0</v>
      </c>
      <c r="W1069" s="87">
        <v>0.0</v>
      </c>
      <c r="X1069" s="87">
        <v>0.0</v>
      </c>
      <c r="Y1069" s="87">
        <v>0.0</v>
      </c>
      <c r="Z1069" s="87">
        <v>0.00699</v>
      </c>
      <c r="AA1069" s="87">
        <v>2.150421</v>
      </c>
      <c r="AB1069" s="87">
        <v>1.451546</v>
      </c>
      <c r="AC1069" s="87">
        <v>2.123224</v>
      </c>
      <c r="AD1069" s="87">
        <v>0.0</v>
      </c>
      <c r="AE1069" s="87">
        <v>0.0</v>
      </c>
      <c r="AF1069" s="87">
        <v>0.0</v>
      </c>
      <c r="AG1069" s="87">
        <v>0.0</v>
      </c>
      <c r="AH1069" s="87">
        <v>2.01E-4</v>
      </c>
      <c r="AI1069" s="87">
        <v>2.331132</v>
      </c>
      <c r="AJ1069" s="87">
        <v>2.283402</v>
      </c>
      <c r="AK1069" s="87">
        <v>2.385752</v>
      </c>
      <c r="AL1069" s="88" t="s">
        <v>1396</v>
      </c>
    </row>
    <row r="1070">
      <c r="A1070" s="84" t="s">
        <v>2771</v>
      </c>
      <c r="B1070" s="84" t="s">
        <v>2811</v>
      </c>
      <c r="C1070" s="84" t="s">
        <v>601</v>
      </c>
      <c r="D1070" s="84" t="s">
        <v>2812</v>
      </c>
      <c r="E1070" s="84" t="s">
        <v>1426</v>
      </c>
      <c r="F1070" s="87">
        <v>9.0</v>
      </c>
      <c r="G1070" s="87">
        <v>0.0</v>
      </c>
      <c r="H1070" s="87">
        <v>11739.0</v>
      </c>
      <c r="I1070" s="87">
        <v>0.0</v>
      </c>
      <c r="J1070" s="87">
        <v>187.2865</v>
      </c>
      <c r="K1070" s="87">
        <v>222.5179</v>
      </c>
      <c r="L1070" s="87">
        <v>234.1566</v>
      </c>
      <c r="M1070" s="87">
        <v>155.1424</v>
      </c>
      <c r="N1070" s="87">
        <v>0.697213</v>
      </c>
      <c r="O1070" s="87">
        <v>0.0</v>
      </c>
      <c r="P1070" s="87">
        <v>0.0</v>
      </c>
      <c r="Q1070" s="87">
        <v>0.0</v>
      </c>
      <c r="R1070" s="87">
        <v>21.05702</v>
      </c>
      <c r="S1070" s="87">
        <v>24.65337</v>
      </c>
      <c r="T1070" s="87">
        <v>21.05702</v>
      </c>
      <c r="U1070" s="87">
        <v>21.66519</v>
      </c>
      <c r="V1070" s="87">
        <v>21.66519</v>
      </c>
      <c r="W1070" s="87">
        <v>24.65337</v>
      </c>
      <c r="X1070" s="87">
        <v>49.40318</v>
      </c>
      <c r="Y1070" s="87">
        <v>24.72422</v>
      </c>
      <c r="Z1070" s="87">
        <v>0.0</v>
      </c>
      <c r="AA1070" s="87">
        <v>2.120544</v>
      </c>
      <c r="AB1070" s="87">
        <v>5.887044</v>
      </c>
      <c r="AC1070" s="87">
        <v>2.008421</v>
      </c>
      <c r="AD1070" s="87">
        <v>1.661961</v>
      </c>
      <c r="AE1070" s="87">
        <v>2.876549</v>
      </c>
      <c r="AF1070" s="87">
        <v>5.319196</v>
      </c>
      <c r="AG1070" s="87">
        <v>7.754898</v>
      </c>
      <c r="AH1070" s="87">
        <v>2.01E-4</v>
      </c>
      <c r="AI1070" s="87">
        <v>2.331132</v>
      </c>
      <c r="AJ1070" s="87">
        <v>2.283402</v>
      </c>
      <c r="AK1070" s="87">
        <v>2.385752</v>
      </c>
      <c r="AL1070" s="88" t="s">
        <v>1396</v>
      </c>
    </row>
    <row r="1071">
      <c r="A1071" s="84" t="s">
        <v>2774</v>
      </c>
      <c r="B1071" s="84" t="s">
        <v>2813</v>
      </c>
      <c r="C1071" s="84" t="s">
        <v>601</v>
      </c>
      <c r="D1071" s="84" t="s">
        <v>2812</v>
      </c>
      <c r="E1071" s="86">
        <v>46310.0</v>
      </c>
      <c r="F1071" s="87">
        <v>4.0</v>
      </c>
      <c r="G1071" s="87">
        <v>0.0</v>
      </c>
      <c r="H1071" s="87">
        <v>392.0</v>
      </c>
      <c r="I1071" s="87">
        <v>0.0</v>
      </c>
      <c r="J1071" s="87">
        <v>14.51659</v>
      </c>
      <c r="K1071" s="87">
        <v>15.08374</v>
      </c>
      <c r="L1071" s="87">
        <v>14.17742</v>
      </c>
      <c r="M1071" s="87">
        <v>9.277238</v>
      </c>
      <c r="N1071" s="87">
        <v>0.615049</v>
      </c>
      <c r="O1071" s="87">
        <v>0.0</v>
      </c>
      <c r="P1071" s="87">
        <v>0.0</v>
      </c>
      <c r="Q1071" s="87">
        <v>0.1</v>
      </c>
      <c r="R1071" s="87">
        <v>5.706502</v>
      </c>
      <c r="S1071" s="87">
        <v>5.706502</v>
      </c>
      <c r="T1071" s="87">
        <v>0.1</v>
      </c>
      <c r="U1071" s="87">
        <v>0.1</v>
      </c>
      <c r="V1071" s="87">
        <v>0.1</v>
      </c>
      <c r="W1071" s="87">
        <v>5.706502</v>
      </c>
      <c r="X1071" s="87">
        <v>9.277238</v>
      </c>
      <c r="Y1071" s="87">
        <v>3.770935</v>
      </c>
      <c r="Z1071" s="87">
        <v>0.0</v>
      </c>
      <c r="AA1071" s="87">
        <v>2.120544</v>
      </c>
      <c r="AB1071" s="87">
        <v>5.887044</v>
      </c>
      <c r="AC1071" s="87">
        <v>2.008421</v>
      </c>
      <c r="AD1071" s="87">
        <v>2.622006</v>
      </c>
      <c r="AE1071" s="87">
        <v>2.942677</v>
      </c>
      <c r="AF1071" s="87">
        <v>4.846733</v>
      </c>
      <c r="AG1071" s="87">
        <v>3.770935</v>
      </c>
      <c r="AH1071" s="87">
        <v>2.01E-4</v>
      </c>
      <c r="AI1071" s="87">
        <v>2.331132</v>
      </c>
      <c r="AJ1071" s="87">
        <v>2.283402</v>
      </c>
      <c r="AK1071" s="87">
        <v>2.385752</v>
      </c>
      <c r="AL1071" s="88" t="s">
        <v>1396</v>
      </c>
    </row>
    <row r="1072">
      <c r="A1072" s="84" t="s">
        <v>2776</v>
      </c>
      <c r="B1072" s="84" t="s">
        <v>2814</v>
      </c>
      <c r="C1072" s="84" t="s">
        <v>601</v>
      </c>
      <c r="D1072" s="84" t="s">
        <v>2812</v>
      </c>
      <c r="E1072" s="84" t="s">
        <v>1413</v>
      </c>
      <c r="F1072" s="87">
        <v>3.0</v>
      </c>
      <c r="G1072" s="87">
        <v>0.0</v>
      </c>
      <c r="H1072" s="87">
        <v>1303.0</v>
      </c>
      <c r="I1072" s="87">
        <v>0.0</v>
      </c>
      <c r="J1072" s="87">
        <v>6.332895</v>
      </c>
      <c r="K1072" s="87">
        <v>6.025262</v>
      </c>
      <c r="L1072" s="87">
        <v>6.684445</v>
      </c>
      <c r="M1072" s="87">
        <v>5.362029</v>
      </c>
      <c r="N1072" s="87">
        <v>0.889925</v>
      </c>
      <c r="O1072" s="87">
        <v>0.249048</v>
      </c>
      <c r="P1072" s="87">
        <v>0.249048</v>
      </c>
      <c r="Q1072" s="87">
        <v>0.249048</v>
      </c>
      <c r="R1072" s="87">
        <v>0.414185</v>
      </c>
      <c r="S1072" s="87">
        <v>5.362029</v>
      </c>
      <c r="T1072" s="87">
        <v>0.249048</v>
      </c>
      <c r="U1072" s="87">
        <v>0.249048</v>
      </c>
      <c r="V1072" s="87">
        <v>0.249048</v>
      </c>
      <c r="W1072" s="87">
        <v>0.414185</v>
      </c>
      <c r="X1072" s="87">
        <v>5.362029</v>
      </c>
      <c r="Y1072" s="87">
        <v>2.008421</v>
      </c>
      <c r="Z1072" s="87">
        <v>0.0</v>
      </c>
      <c r="AA1072" s="87">
        <v>2.120544</v>
      </c>
      <c r="AB1072" s="87">
        <v>5.887044</v>
      </c>
      <c r="AC1072" s="87">
        <v>2.008421</v>
      </c>
      <c r="AD1072" s="87">
        <v>1.200148</v>
      </c>
      <c r="AE1072" s="87">
        <v>1.861893</v>
      </c>
      <c r="AF1072" s="87">
        <v>2.807899</v>
      </c>
      <c r="AG1072" s="87">
        <v>3.412451</v>
      </c>
      <c r="AH1072" s="87">
        <v>2.01E-4</v>
      </c>
      <c r="AI1072" s="87">
        <v>2.331132</v>
      </c>
      <c r="AJ1072" s="87">
        <v>2.283402</v>
      </c>
      <c r="AK1072" s="87">
        <v>2.385752</v>
      </c>
      <c r="AL1072" s="88" t="s">
        <v>1396</v>
      </c>
    </row>
    <row r="1073">
      <c r="A1073" s="84" t="s">
        <v>2786</v>
      </c>
      <c r="B1073" s="84" t="s">
        <v>2815</v>
      </c>
      <c r="C1073" s="84" t="s">
        <v>601</v>
      </c>
      <c r="D1073" s="84" t="s">
        <v>2812</v>
      </c>
      <c r="E1073" s="84" t="s">
        <v>1398</v>
      </c>
      <c r="F1073" s="87">
        <v>8.0</v>
      </c>
      <c r="G1073" s="87">
        <v>0.0</v>
      </c>
      <c r="H1073" s="87">
        <v>1575.0</v>
      </c>
      <c r="I1073" s="87">
        <v>0.0</v>
      </c>
      <c r="J1073" s="87">
        <v>10.25627</v>
      </c>
      <c r="K1073" s="87">
        <v>9.347516</v>
      </c>
      <c r="L1073" s="87">
        <v>10.40835</v>
      </c>
      <c r="M1073" s="87">
        <v>4.309378</v>
      </c>
      <c r="N1073" s="87">
        <v>0.461019</v>
      </c>
      <c r="O1073" s="87">
        <v>0.178788</v>
      </c>
      <c r="P1073" s="87">
        <v>0.385965</v>
      </c>
      <c r="Q1073" s="87">
        <v>0.848918</v>
      </c>
      <c r="R1073" s="87">
        <v>1.250699</v>
      </c>
      <c r="S1073" s="87">
        <v>1.395777</v>
      </c>
      <c r="T1073" s="87">
        <v>0.178788</v>
      </c>
      <c r="U1073" s="87">
        <v>0.385965</v>
      </c>
      <c r="V1073" s="87">
        <v>0.848918</v>
      </c>
      <c r="W1073" s="87">
        <v>1.250699</v>
      </c>
      <c r="X1073" s="87">
        <v>1.395777</v>
      </c>
      <c r="Y1073" s="87">
        <v>1.168439</v>
      </c>
      <c r="Z1073" s="87">
        <v>0.0</v>
      </c>
      <c r="AA1073" s="87">
        <v>2.120544</v>
      </c>
      <c r="AB1073" s="87">
        <v>5.887044</v>
      </c>
      <c r="AC1073" s="87">
        <v>2.008421</v>
      </c>
      <c r="AD1073" s="87">
        <v>2.188834</v>
      </c>
      <c r="AE1073" s="87">
        <v>2.50634</v>
      </c>
      <c r="AF1073" s="87">
        <v>5.569845</v>
      </c>
      <c r="AG1073" s="87">
        <v>1.232576</v>
      </c>
      <c r="AH1073" s="87">
        <v>2.01E-4</v>
      </c>
      <c r="AI1073" s="87">
        <v>2.331132</v>
      </c>
      <c r="AJ1073" s="87">
        <v>2.283402</v>
      </c>
      <c r="AK1073" s="87">
        <v>2.385752</v>
      </c>
      <c r="AL1073" s="88" t="s">
        <v>1396</v>
      </c>
    </row>
    <row r="1074">
      <c r="A1074" s="84" t="s">
        <v>2778</v>
      </c>
      <c r="B1074" s="84" t="s">
        <v>2816</v>
      </c>
      <c r="C1074" s="84" t="s">
        <v>601</v>
      </c>
      <c r="D1074" s="84" t="s">
        <v>2812</v>
      </c>
      <c r="E1074" s="84" t="s">
        <v>1400</v>
      </c>
      <c r="F1074" s="87">
        <v>1.0</v>
      </c>
      <c r="G1074" s="87">
        <v>0.0</v>
      </c>
      <c r="H1074" s="87">
        <v>114.0</v>
      </c>
      <c r="I1074" s="87">
        <v>0.0</v>
      </c>
      <c r="J1074" s="87">
        <v>0.833333</v>
      </c>
      <c r="K1074" s="87">
        <v>0.67416</v>
      </c>
      <c r="L1074" s="87">
        <v>0.681579</v>
      </c>
      <c r="M1074" s="87">
        <v>0.67416</v>
      </c>
      <c r="N1074" s="87">
        <v>1.0</v>
      </c>
      <c r="O1074" s="87">
        <v>0.67416</v>
      </c>
      <c r="P1074" s="87">
        <v>0.67416</v>
      </c>
      <c r="Q1074" s="87">
        <v>0.67416</v>
      </c>
      <c r="R1074" s="87">
        <v>0.67416</v>
      </c>
      <c r="S1074" s="87">
        <v>0.67416</v>
      </c>
      <c r="T1074" s="87">
        <v>0.67416</v>
      </c>
      <c r="U1074" s="87">
        <v>0.67416</v>
      </c>
      <c r="V1074" s="87">
        <v>0.67416</v>
      </c>
      <c r="W1074" s="87">
        <v>0.67416</v>
      </c>
      <c r="X1074" s="87">
        <v>0.67416</v>
      </c>
      <c r="Y1074" s="87">
        <v>0.67416</v>
      </c>
      <c r="Z1074" s="87">
        <v>0.0</v>
      </c>
      <c r="AA1074" s="87">
        <v>2.120544</v>
      </c>
      <c r="AB1074" s="87">
        <v>5.887044</v>
      </c>
      <c r="AC1074" s="87">
        <v>2.008421</v>
      </c>
      <c r="AD1074" s="87">
        <v>0.978736</v>
      </c>
      <c r="AE1074" s="87">
        <v>1.184216</v>
      </c>
      <c r="AF1074" s="87">
        <v>2.75813</v>
      </c>
      <c r="AG1074" s="87">
        <v>1.232357</v>
      </c>
      <c r="AH1074" s="87">
        <v>2.01E-4</v>
      </c>
      <c r="AI1074" s="87">
        <v>2.331132</v>
      </c>
      <c r="AJ1074" s="87">
        <v>2.283402</v>
      </c>
      <c r="AK1074" s="87">
        <v>2.385752</v>
      </c>
      <c r="AL1074" s="88" t="s">
        <v>1396</v>
      </c>
    </row>
    <row r="1075">
      <c r="A1075" s="84" t="s">
        <v>2780</v>
      </c>
      <c r="B1075" s="84" t="s">
        <v>2817</v>
      </c>
      <c r="C1075" s="84" t="s">
        <v>601</v>
      </c>
      <c r="D1075" s="84" t="s">
        <v>2812</v>
      </c>
      <c r="E1075" s="89">
        <v>46300.0</v>
      </c>
      <c r="F1075" s="87">
        <v>1.0</v>
      </c>
      <c r="G1075" s="87">
        <v>0.0</v>
      </c>
      <c r="H1075" s="87">
        <v>561.0</v>
      </c>
      <c r="I1075" s="87">
        <v>0.0</v>
      </c>
      <c r="J1075" s="87">
        <v>5.938062</v>
      </c>
      <c r="K1075" s="87">
        <v>5.381326</v>
      </c>
      <c r="L1075" s="87">
        <v>6.244473</v>
      </c>
      <c r="M1075" s="87">
        <v>5.381326</v>
      </c>
      <c r="N1075" s="87">
        <v>1.0</v>
      </c>
      <c r="O1075" s="87">
        <v>5.381326</v>
      </c>
      <c r="P1075" s="87">
        <v>5.381326</v>
      </c>
      <c r="Q1075" s="87">
        <v>5.381326</v>
      </c>
      <c r="R1075" s="87">
        <v>5.381326</v>
      </c>
      <c r="S1075" s="87">
        <v>5.381326</v>
      </c>
      <c r="T1075" s="87">
        <v>5.381326</v>
      </c>
      <c r="U1075" s="87">
        <v>5.381326</v>
      </c>
      <c r="V1075" s="87">
        <v>5.381326</v>
      </c>
      <c r="W1075" s="87">
        <v>5.381326</v>
      </c>
      <c r="X1075" s="87">
        <v>5.381326</v>
      </c>
      <c r="Y1075" s="87">
        <v>5.381326</v>
      </c>
      <c r="Z1075" s="87">
        <v>0.0</v>
      </c>
      <c r="AA1075" s="87">
        <v>2.120544</v>
      </c>
      <c r="AB1075" s="87">
        <v>5.887044</v>
      </c>
      <c r="AC1075" s="87">
        <v>2.008421</v>
      </c>
      <c r="AD1075" s="87">
        <v>1.953596</v>
      </c>
      <c r="AE1075" s="87">
        <v>3.123969</v>
      </c>
      <c r="AF1075" s="87">
        <v>4.241972</v>
      </c>
      <c r="AG1075" s="87">
        <v>5.976514</v>
      </c>
      <c r="AH1075" s="87">
        <v>2.01E-4</v>
      </c>
      <c r="AI1075" s="87">
        <v>2.331132</v>
      </c>
      <c r="AJ1075" s="87">
        <v>2.283402</v>
      </c>
      <c r="AK1075" s="87">
        <v>2.385752</v>
      </c>
      <c r="AL1075" s="88" t="s">
        <v>1396</v>
      </c>
    </row>
    <row r="1076">
      <c r="A1076" s="84" t="s">
        <v>2782</v>
      </c>
      <c r="B1076" s="84" t="s">
        <v>2818</v>
      </c>
      <c r="C1076" s="84" t="s">
        <v>601</v>
      </c>
      <c r="D1076" s="84" t="s">
        <v>2812</v>
      </c>
      <c r="E1076" s="84" t="s">
        <v>1403</v>
      </c>
      <c r="F1076" s="87">
        <v>18.0</v>
      </c>
      <c r="G1076" s="87">
        <v>0.0</v>
      </c>
      <c r="H1076" s="87">
        <v>0.0</v>
      </c>
      <c r="I1076" s="87">
        <v>0.0</v>
      </c>
      <c r="J1076" s="87">
        <v>0.0</v>
      </c>
      <c r="K1076" s="87">
        <v>0.0</v>
      </c>
      <c r="L1076" s="87">
        <v>0.0</v>
      </c>
      <c r="M1076" s="87">
        <v>0.0</v>
      </c>
      <c r="N1076" s="87">
        <v>0.0</v>
      </c>
      <c r="O1076" s="87">
        <v>0.0</v>
      </c>
      <c r="P1076" s="87">
        <v>0.0</v>
      </c>
      <c r="Q1076" s="87">
        <v>0.0</v>
      </c>
      <c r="R1076" s="87">
        <v>0.0</v>
      </c>
      <c r="S1076" s="87">
        <v>0.0</v>
      </c>
      <c r="T1076" s="87">
        <v>0.0</v>
      </c>
      <c r="U1076" s="87">
        <v>0.0</v>
      </c>
      <c r="V1076" s="87">
        <v>0.0</v>
      </c>
      <c r="W1076" s="87">
        <v>0.0</v>
      </c>
      <c r="X1076" s="87">
        <v>0.0</v>
      </c>
      <c r="Y1076" s="87">
        <v>0.0</v>
      </c>
      <c r="Z1076" s="87">
        <v>0.0</v>
      </c>
      <c r="AA1076" s="87">
        <v>2.120544</v>
      </c>
      <c r="AB1076" s="87">
        <v>5.887044</v>
      </c>
      <c r="AC1076" s="87">
        <v>2.008421</v>
      </c>
      <c r="AD1076" s="87">
        <v>0.0</v>
      </c>
      <c r="AE1076" s="87">
        <v>0.0</v>
      </c>
      <c r="AF1076" s="87">
        <v>0.0</v>
      </c>
      <c r="AG1076" s="87">
        <v>0.0</v>
      </c>
      <c r="AH1076" s="87">
        <v>2.01E-4</v>
      </c>
      <c r="AI1076" s="87">
        <v>2.331132</v>
      </c>
      <c r="AJ1076" s="87">
        <v>2.283402</v>
      </c>
      <c r="AK1076" s="87">
        <v>2.385752</v>
      </c>
      <c r="AL1076" s="88" t="s">
        <v>1396</v>
      </c>
    </row>
    <row r="1077">
      <c r="A1077" s="84" t="s">
        <v>2819</v>
      </c>
      <c r="B1077" s="84" t="s">
        <v>2820</v>
      </c>
      <c r="C1077" s="84" t="s">
        <v>2821</v>
      </c>
      <c r="D1077" s="84" t="s">
        <v>2822</v>
      </c>
      <c r="E1077" s="84" t="s">
        <v>1403</v>
      </c>
      <c r="F1077" s="87">
        <v>20.0</v>
      </c>
      <c r="G1077" s="87">
        <v>0.0</v>
      </c>
      <c r="H1077" s="87">
        <v>0.0</v>
      </c>
      <c r="I1077" s="87">
        <v>0.0</v>
      </c>
      <c r="J1077" s="87">
        <v>0.0</v>
      </c>
      <c r="K1077" s="87">
        <v>0.0</v>
      </c>
      <c r="L1077" s="87">
        <v>0.0</v>
      </c>
      <c r="M1077" s="87">
        <v>0.0</v>
      </c>
      <c r="N1077" s="87">
        <v>0.0</v>
      </c>
      <c r="O1077" s="87">
        <v>0.0</v>
      </c>
      <c r="P1077" s="87">
        <v>0.0</v>
      </c>
      <c r="Q1077" s="87">
        <v>0.0</v>
      </c>
      <c r="R1077" s="87">
        <v>0.0</v>
      </c>
      <c r="S1077" s="87">
        <v>0.0</v>
      </c>
      <c r="T1077" s="87">
        <v>0.0</v>
      </c>
      <c r="U1077" s="87">
        <v>0.0</v>
      </c>
      <c r="V1077" s="87">
        <v>0.0</v>
      </c>
      <c r="W1077" s="87">
        <v>0.0</v>
      </c>
      <c r="X1077" s="87">
        <v>0.0</v>
      </c>
      <c r="Y1077" s="87">
        <v>0.0</v>
      </c>
      <c r="Z1077" s="87">
        <v>0.0</v>
      </c>
      <c r="AA1077" s="87">
        <v>0.0</v>
      </c>
      <c r="AB1077" s="87">
        <v>0.0</v>
      </c>
      <c r="AC1077" s="87">
        <v>0.0</v>
      </c>
      <c r="AD1077" s="87">
        <v>0.0</v>
      </c>
      <c r="AE1077" s="87">
        <v>0.0</v>
      </c>
      <c r="AF1077" s="87">
        <v>0.0</v>
      </c>
      <c r="AG1077" s="87">
        <v>0.0</v>
      </c>
      <c r="AH1077" s="87">
        <v>0.0</v>
      </c>
      <c r="AI1077" s="87">
        <v>0.0</v>
      </c>
      <c r="AJ1077" s="87">
        <v>0.0</v>
      </c>
      <c r="AK1077" s="87">
        <v>0.0</v>
      </c>
      <c r="AL1077" s="88" t="s">
        <v>1396</v>
      </c>
    </row>
    <row r="1078">
      <c r="A1078" s="84" t="s">
        <v>2819</v>
      </c>
      <c r="B1078" s="84" t="s">
        <v>2823</v>
      </c>
      <c r="C1078" s="84" t="s">
        <v>2821</v>
      </c>
      <c r="D1078" s="84" t="s">
        <v>2824</v>
      </c>
      <c r="E1078" s="84" t="s">
        <v>1403</v>
      </c>
      <c r="F1078" s="87">
        <v>14.0</v>
      </c>
      <c r="G1078" s="87">
        <v>0.0</v>
      </c>
      <c r="H1078" s="87">
        <v>0.0</v>
      </c>
      <c r="I1078" s="87">
        <v>0.0</v>
      </c>
      <c r="J1078" s="87">
        <v>0.0</v>
      </c>
      <c r="K1078" s="87">
        <v>0.0</v>
      </c>
      <c r="L1078" s="87">
        <v>0.0</v>
      </c>
      <c r="M1078" s="87">
        <v>0.0</v>
      </c>
      <c r="N1078" s="87">
        <v>0.0</v>
      </c>
      <c r="O1078" s="87">
        <v>0.0</v>
      </c>
      <c r="P1078" s="87">
        <v>0.0</v>
      </c>
      <c r="Q1078" s="87">
        <v>0.0</v>
      </c>
      <c r="R1078" s="87">
        <v>0.0</v>
      </c>
      <c r="S1078" s="87">
        <v>0.0</v>
      </c>
      <c r="T1078" s="87">
        <v>0.0</v>
      </c>
      <c r="U1078" s="87">
        <v>0.0</v>
      </c>
      <c r="V1078" s="87">
        <v>0.0</v>
      </c>
      <c r="W1078" s="87">
        <v>0.0</v>
      </c>
      <c r="X1078" s="87">
        <v>0.0</v>
      </c>
      <c r="Y1078" s="87">
        <v>0.0</v>
      </c>
      <c r="Z1078" s="87">
        <v>0.0</v>
      </c>
      <c r="AA1078" s="87">
        <v>0.0</v>
      </c>
      <c r="AB1078" s="87">
        <v>0.0</v>
      </c>
      <c r="AC1078" s="87">
        <v>0.0</v>
      </c>
      <c r="AD1078" s="87">
        <v>0.0</v>
      </c>
      <c r="AE1078" s="87">
        <v>0.0</v>
      </c>
      <c r="AF1078" s="87">
        <v>0.0</v>
      </c>
      <c r="AG1078" s="87">
        <v>0.0</v>
      </c>
      <c r="AH1078" s="87">
        <v>0.0</v>
      </c>
      <c r="AI1078" s="87">
        <v>0.0</v>
      </c>
      <c r="AJ1078" s="87">
        <v>0.0</v>
      </c>
      <c r="AK1078" s="87">
        <v>0.0</v>
      </c>
      <c r="AL1078" s="88" t="s">
        <v>1396</v>
      </c>
    </row>
    <row r="1079">
      <c r="A1079" s="84" t="s">
        <v>2825</v>
      </c>
      <c r="B1079" s="84" t="s">
        <v>2826</v>
      </c>
      <c r="C1079" s="84" t="s">
        <v>2827</v>
      </c>
      <c r="D1079" s="84" t="s">
        <v>2828</v>
      </c>
      <c r="E1079" s="84" t="s">
        <v>1400</v>
      </c>
      <c r="F1079" s="87">
        <v>1.0</v>
      </c>
      <c r="G1079" s="87">
        <v>1.0</v>
      </c>
      <c r="H1079" s="87">
        <v>602.0</v>
      </c>
      <c r="I1079" s="87">
        <v>602.0</v>
      </c>
      <c r="J1079" s="87">
        <v>0.0</v>
      </c>
      <c r="K1079" s="87">
        <v>0.0</v>
      </c>
      <c r="L1079" s="87">
        <v>0.0</v>
      </c>
      <c r="M1079" s="87">
        <v>0.0</v>
      </c>
      <c r="N1079" s="87">
        <v>0.0</v>
      </c>
      <c r="O1079" s="87">
        <v>0.0</v>
      </c>
      <c r="P1079" s="87">
        <v>0.0</v>
      </c>
      <c r="Q1079" s="87">
        <v>0.0</v>
      </c>
      <c r="R1079" s="87">
        <v>0.0</v>
      </c>
      <c r="S1079" s="87">
        <v>0.0</v>
      </c>
      <c r="T1079" s="87">
        <v>0.0</v>
      </c>
      <c r="U1079" s="87">
        <v>0.0</v>
      </c>
      <c r="V1079" s="87">
        <v>0.0</v>
      </c>
      <c r="W1079" s="87">
        <v>0.0</v>
      </c>
      <c r="X1079" s="87">
        <v>0.0</v>
      </c>
      <c r="Y1079" s="87">
        <v>0.0</v>
      </c>
      <c r="Z1079" s="87">
        <v>0.0</v>
      </c>
      <c r="AA1079" s="87">
        <v>0.0</v>
      </c>
      <c r="AB1079" s="87">
        <v>0.0</v>
      </c>
      <c r="AC1079" s="87">
        <v>0.0</v>
      </c>
      <c r="AD1079" s="87">
        <v>0.0</v>
      </c>
      <c r="AE1079" s="87">
        <v>0.0</v>
      </c>
      <c r="AF1079" s="87">
        <v>0.0</v>
      </c>
      <c r="AG1079" s="87">
        <v>0.0</v>
      </c>
      <c r="AH1079" s="87">
        <v>0.0</v>
      </c>
      <c r="AI1079" s="87">
        <v>0.0</v>
      </c>
      <c r="AJ1079" s="87">
        <v>0.0</v>
      </c>
      <c r="AK1079" s="87">
        <v>0.0</v>
      </c>
      <c r="AL1079" s="88" t="s">
        <v>1396</v>
      </c>
    </row>
    <row r="1080">
      <c r="A1080" s="84" t="s">
        <v>2829</v>
      </c>
      <c r="B1080" s="84" t="s">
        <v>2830</v>
      </c>
      <c r="C1080" s="84" t="s">
        <v>2827</v>
      </c>
      <c r="D1080" s="84" t="s">
        <v>2828</v>
      </c>
      <c r="E1080" s="84" t="s">
        <v>1403</v>
      </c>
      <c r="F1080" s="87">
        <v>1.0</v>
      </c>
      <c r="G1080" s="87">
        <v>0.0</v>
      </c>
      <c r="H1080" s="87">
        <v>0.0</v>
      </c>
      <c r="I1080" s="87">
        <v>0.0</v>
      </c>
      <c r="J1080" s="87">
        <v>0.0</v>
      </c>
      <c r="K1080" s="87">
        <v>0.0</v>
      </c>
      <c r="L1080" s="87">
        <v>0.0</v>
      </c>
      <c r="M1080" s="87">
        <v>0.0</v>
      </c>
      <c r="N1080" s="87">
        <v>0.0</v>
      </c>
      <c r="O1080" s="87">
        <v>0.0</v>
      </c>
      <c r="P1080" s="87">
        <v>0.0</v>
      </c>
      <c r="Q1080" s="87">
        <v>0.0</v>
      </c>
      <c r="R1080" s="87">
        <v>0.0</v>
      </c>
      <c r="S1080" s="87">
        <v>0.0</v>
      </c>
      <c r="T1080" s="87">
        <v>0.0</v>
      </c>
      <c r="U1080" s="87">
        <v>0.0</v>
      </c>
      <c r="V1080" s="87">
        <v>0.0</v>
      </c>
      <c r="W1080" s="87">
        <v>0.0</v>
      </c>
      <c r="X1080" s="87">
        <v>0.0</v>
      </c>
      <c r="Y1080" s="87">
        <v>0.0</v>
      </c>
      <c r="Z1080" s="87">
        <v>0.0</v>
      </c>
      <c r="AA1080" s="87">
        <v>0.0</v>
      </c>
      <c r="AB1080" s="87">
        <v>0.0</v>
      </c>
      <c r="AC1080" s="87">
        <v>0.0</v>
      </c>
      <c r="AD1080" s="87">
        <v>0.0</v>
      </c>
      <c r="AE1080" s="87">
        <v>0.0</v>
      </c>
      <c r="AF1080" s="87">
        <v>0.0</v>
      </c>
      <c r="AG1080" s="87">
        <v>0.0</v>
      </c>
      <c r="AH1080" s="87">
        <v>0.0</v>
      </c>
      <c r="AI1080" s="87">
        <v>0.0</v>
      </c>
      <c r="AJ1080" s="87">
        <v>0.0</v>
      </c>
      <c r="AK1080" s="87">
        <v>0.0</v>
      </c>
      <c r="AL1080" s="88" t="s">
        <v>1396</v>
      </c>
    </row>
    <row r="1081">
      <c r="A1081" s="84" t="s">
        <v>2825</v>
      </c>
      <c r="B1081" s="84" t="s">
        <v>2831</v>
      </c>
      <c r="C1081" s="84" t="s">
        <v>2827</v>
      </c>
      <c r="D1081" s="84" t="s">
        <v>2832</v>
      </c>
      <c r="E1081" s="84" t="s">
        <v>1400</v>
      </c>
      <c r="F1081" s="87">
        <v>6.0</v>
      </c>
      <c r="G1081" s="87">
        <v>6.0</v>
      </c>
      <c r="H1081" s="87">
        <v>7.0</v>
      </c>
      <c r="I1081" s="87">
        <v>7.0</v>
      </c>
      <c r="J1081" s="87">
        <v>0.0</v>
      </c>
      <c r="K1081" s="87">
        <v>0.0</v>
      </c>
      <c r="L1081" s="87">
        <v>0.0</v>
      </c>
      <c r="M1081" s="87">
        <v>0.0</v>
      </c>
      <c r="N1081" s="87">
        <v>0.0</v>
      </c>
      <c r="O1081" s="87">
        <v>0.0</v>
      </c>
      <c r="P1081" s="87">
        <v>0.0</v>
      </c>
      <c r="Q1081" s="87">
        <v>0.0</v>
      </c>
      <c r="R1081" s="87">
        <v>0.0</v>
      </c>
      <c r="S1081" s="87">
        <v>0.0</v>
      </c>
      <c r="T1081" s="87">
        <v>0.0</v>
      </c>
      <c r="U1081" s="87">
        <v>0.0</v>
      </c>
      <c r="V1081" s="87">
        <v>0.0</v>
      </c>
      <c r="W1081" s="87">
        <v>0.0</v>
      </c>
      <c r="X1081" s="87">
        <v>0.0</v>
      </c>
      <c r="Y1081" s="87">
        <v>0.0</v>
      </c>
      <c r="Z1081" s="87">
        <v>0.0</v>
      </c>
      <c r="AA1081" s="87">
        <v>0.0</v>
      </c>
      <c r="AB1081" s="87">
        <v>0.0</v>
      </c>
      <c r="AC1081" s="87">
        <v>0.0</v>
      </c>
      <c r="AD1081" s="87">
        <v>0.0</v>
      </c>
      <c r="AE1081" s="87">
        <v>0.0</v>
      </c>
      <c r="AF1081" s="87">
        <v>0.0</v>
      </c>
      <c r="AG1081" s="87">
        <v>0.0</v>
      </c>
      <c r="AH1081" s="87">
        <v>0.0</v>
      </c>
      <c r="AI1081" s="87">
        <v>0.0</v>
      </c>
      <c r="AJ1081" s="87">
        <v>0.0</v>
      </c>
      <c r="AK1081" s="87">
        <v>0.0</v>
      </c>
      <c r="AL1081" s="88" t="s">
        <v>1396</v>
      </c>
    </row>
    <row r="1082">
      <c r="A1082" s="84" t="s">
        <v>2829</v>
      </c>
      <c r="B1082" s="84" t="s">
        <v>2833</v>
      </c>
      <c r="C1082" s="84" t="s">
        <v>2827</v>
      </c>
      <c r="D1082" s="84" t="s">
        <v>2832</v>
      </c>
      <c r="E1082" s="84" t="s">
        <v>1403</v>
      </c>
      <c r="F1082" s="87">
        <v>1.0</v>
      </c>
      <c r="G1082" s="87">
        <v>1.0</v>
      </c>
      <c r="H1082" s="87">
        <v>2.0</v>
      </c>
      <c r="I1082" s="87">
        <v>2.0</v>
      </c>
      <c r="J1082" s="87">
        <v>0.0</v>
      </c>
      <c r="K1082" s="87">
        <v>0.0</v>
      </c>
      <c r="L1082" s="87">
        <v>0.0</v>
      </c>
      <c r="M1082" s="87">
        <v>0.0</v>
      </c>
      <c r="N1082" s="87">
        <v>0.0</v>
      </c>
      <c r="O1082" s="87">
        <v>0.0</v>
      </c>
      <c r="P1082" s="87">
        <v>0.0</v>
      </c>
      <c r="Q1082" s="87">
        <v>0.0</v>
      </c>
      <c r="R1082" s="87">
        <v>0.0</v>
      </c>
      <c r="S1082" s="87">
        <v>0.0</v>
      </c>
      <c r="T1082" s="87">
        <v>0.0</v>
      </c>
      <c r="U1082" s="87">
        <v>0.0</v>
      </c>
      <c r="V1082" s="87">
        <v>0.0</v>
      </c>
      <c r="W1082" s="87">
        <v>0.0</v>
      </c>
      <c r="X1082" s="87">
        <v>0.0</v>
      </c>
      <c r="Y1082" s="87">
        <v>0.0</v>
      </c>
      <c r="Z1082" s="87">
        <v>0.0</v>
      </c>
      <c r="AA1082" s="87">
        <v>0.0</v>
      </c>
      <c r="AB1082" s="87">
        <v>0.0</v>
      </c>
      <c r="AC1082" s="87">
        <v>0.0</v>
      </c>
      <c r="AD1082" s="87">
        <v>0.0</v>
      </c>
      <c r="AE1082" s="87">
        <v>0.0</v>
      </c>
      <c r="AF1082" s="87">
        <v>0.0</v>
      </c>
      <c r="AG1082" s="87">
        <v>0.0</v>
      </c>
      <c r="AH1082" s="87">
        <v>0.0</v>
      </c>
      <c r="AI1082" s="87">
        <v>0.0</v>
      </c>
      <c r="AJ1082" s="87">
        <v>0.0</v>
      </c>
      <c r="AK1082" s="87">
        <v>0.0</v>
      </c>
      <c r="AL1082" s="88" t="s">
        <v>1396</v>
      </c>
    </row>
    <row r="1083">
      <c r="A1083" s="84" t="s">
        <v>2834</v>
      </c>
      <c r="B1083" s="84" t="s">
        <v>2835</v>
      </c>
      <c r="C1083" s="84" t="s">
        <v>2836</v>
      </c>
      <c r="D1083" s="84" t="s">
        <v>2837</v>
      </c>
      <c r="E1083" s="84" t="s">
        <v>1400</v>
      </c>
      <c r="F1083" s="87">
        <v>1.0</v>
      </c>
      <c r="G1083" s="87">
        <v>0.0</v>
      </c>
      <c r="H1083" s="87">
        <v>120.0</v>
      </c>
      <c r="I1083" s="87">
        <v>0.0</v>
      </c>
      <c r="J1083" s="87">
        <v>0.376623</v>
      </c>
      <c r="K1083" s="87">
        <v>0.302381</v>
      </c>
      <c r="L1083" s="87">
        <v>0.438088</v>
      </c>
      <c r="M1083" s="87">
        <v>0.302381</v>
      </c>
      <c r="N1083" s="87">
        <v>1.0</v>
      </c>
      <c r="O1083" s="87">
        <v>0.302381</v>
      </c>
      <c r="P1083" s="87">
        <v>0.302381</v>
      </c>
      <c r="Q1083" s="87">
        <v>0.302381</v>
      </c>
      <c r="R1083" s="87">
        <v>0.302381</v>
      </c>
      <c r="S1083" s="87">
        <v>0.302381</v>
      </c>
      <c r="T1083" s="87">
        <v>0.302381</v>
      </c>
      <c r="U1083" s="87">
        <v>0.302381</v>
      </c>
      <c r="V1083" s="87">
        <v>0.302381</v>
      </c>
      <c r="W1083" s="87">
        <v>0.302381</v>
      </c>
      <c r="X1083" s="87">
        <v>0.302381</v>
      </c>
      <c r="Y1083" s="87">
        <v>0.302381</v>
      </c>
      <c r="Z1083" s="87">
        <v>0.302381</v>
      </c>
      <c r="AA1083" s="87">
        <v>0.302381</v>
      </c>
      <c r="AB1083" s="87">
        <v>0.302381</v>
      </c>
      <c r="AC1083" s="87">
        <v>0.302381</v>
      </c>
      <c r="AD1083" s="87">
        <v>0.930127</v>
      </c>
      <c r="AE1083" s="87">
        <v>1.239319</v>
      </c>
      <c r="AF1083" s="87">
        <v>2.63851</v>
      </c>
      <c r="AG1083" s="87">
        <v>0.940054</v>
      </c>
      <c r="AH1083" s="87">
        <v>0.001005</v>
      </c>
      <c r="AI1083" s="87">
        <v>2.646209</v>
      </c>
      <c r="AJ1083" s="87">
        <v>2.730535</v>
      </c>
      <c r="AK1083" s="87">
        <v>1.512037</v>
      </c>
      <c r="AL1083" s="88" t="s">
        <v>1396</v>
      </c>
    </row>
    <row r="1084">
      <c r="A1084" s="84" t="s">
        <v>2838</v>
      </c>
      <c r="B1084" s="84" t="s">
        <v>2839</v>
      </c>
      <c r="C1084" s="84" t="s">
        <v>2836</v>
      </c>
      <c r="D1084" s="84" t="s">
        <v>2840</v>
      </c>
      <c r="E1084" s="84" t="s">
        <v>1426</v>
      </c>
      <c r="F1084" s="87">
        <v>1.0</v>
      </c>
      <c r="G1084" s="87">
        <v>0.0</v>
      </c>
      <c r="H1084" s="87">
        <v>0.0</v>
      </c>
      <c r="I1084" s="87">
        <v>0.0</v>
      </c>
      <c r="J1084" s="87">
        <v>0.0</v>
      </c>
      <c r="K1084" s="87">
        <v>0.0</v>
      </c>
      <c r="L1084" s="87">
        <v>0.0</v>
      </c>
      <c r="M1084" s="87">
        <v>0.0</v>
      </c>
      <c r="N1084" s="87">
        <v>0.0</v>
      </c>
      <c r="O1084" s="87">
        <v>0.0</v>
      </c>
      <c r="P1084" s="87">
        <v>0.0</v>
      </c>
      <c r="Q1084" s="87">
        <v>0.0</v>
      </c>
      <c r="R1084" s="87">
        <v>0.0</v>
      </c>
      <c r="S1084" s="87">
        <v>0.0</v>
      </c>
      <c r="T1084" s="87">
        <v>0.0</v>
      </c>
      <c r="U1084" s="87">
        <v>0.0</v>
      </c>
      <c r="V1084" s="87">
        <v>0.0</v>
      </c>
      <c r="W1084" s="87">
        <v>0.0</v>
      </c>
      <c r="X1084" s="87">
        <v>0.0</v>
      </c>
      <c r="Y1084" s="87">
        <v>0.0</v>
      </c>
      <c r="Z1084" s="87">
        <v>0.067816</v>
      </c>
      <c r="AA1084" s="87">
        <v>2.744426</v>
      </c>
      <c r="AB1084" s="87">
        <v>3.542721</v>
      </c>
      <c r="AC1084" s="87">
        <v>2.744426</v>
      </c>
      <c r="AD1084" s="87">
        <v>4.317477</v>
      </c>
      <c r="AE1084" s="87">
        <v>9.690421</v>
      </c>
      <c r="AF1084" s="87">
        <v>8.606006</v>
      </c>
      <c r="AG1084" s="87">
        <v>3.8282</v>
      </c>
      <c r="AH1084" s="87">
        <v>0.001005</v>
      </c>
      <c r="AI1084" s="87">
        <v>2.646209</v>
      </c>
      <c r="AJ1084" s="87">
        <v>2.730535</v>
      </c>
      <c r="AK1084" s="87">
        <v>1.512037</v>
      </c>
      <c r="AL1084" s="88" t="s">
        <v>1396</v>
      </c>
    </row>
    <row r="1085">
      <c r="A1085" s="84" t="s">
        <v>2841</v>
      </c>
      <c r="B1085" s="84" t="s">
        <v>2842</v>
      </c>
      <c r="C1085" s="84" t="s">
        <v>2836</v>
      </c>
      <c r="D1085" s="84" t="s">
        <v>2840</v>
      </c>
      <c r="E1085" s="86">
        <v>46310.0</v>
      </c>
      <c r="F1085" s="87">
        <v>1.0</v>
      </c>
      <c r="G1085" s="87">
        <v>0.0</v>
      </c>
      <c r="H1085" s="87">
        <v>272.0</v>
      </c>
      <c r="I1085" s="87">
        <v>0.0</v>
      </c>
      <c r="J1085" s="87">
        <v>3.282967</v>
      </c>
      <c r="K1085" s="87">
        <v>2.744426</v>
      </c>
      <c r="L1085" s="87">
        <v>2.41589</v>
      </c>
      <c r="M1085" s="87">
        <v>2.744426</v>
      </c>
      <c r="N1085" s="87">
        <v>1.0</v>
      </c>
      <c r="O1085" s="87">
        <v>2.744426</v>
      </c>
      <c r="P1085" s="87">
        <v>2.744426</v>
      </c>
      <c r="Q1085" s="87">
        <v>2.744426</v>
      </c>
      <c r="R1085" s="87">
        <v>2.744426</v>
      </c>
      <c r="S1085" s="87">
        <v>2.744426</v>
      </c>
      <c r="T1085" s="87">
        <v>2.744426</v>
      </c>
      <c r="U1085" s="87">
        <v>2.744426</v>
      </c>
      <c r="V1085" s="87">
        <v>2.744426</v>
      </c>
      <c r="W1085" s="87">
        <v>2.744426</v>
      </c>
      <c r="X1085" s="87">
        <v>2.744426</v>
      </c>
      <c r="Y1085" s="87">
        <v>2.744426</v>
      </c>
      <c r="Z1085" s="87">
        <v>0.067816</v>
      </c>
      <c r="AA1085" s="87">
        <v>2.744426</v>
      </c>
      <c r="AB1085" s="87">
        <v>3.542721</v>
      </c>
      <c r="AC1085" s="87">
        <v>2.744426</v>
      </c>
      <c r="AD1085" s="87">
        <v>2.744426</v>
      </c>
      <c r="AE1085" s="87">
        <v>3.135744</v>
      </c>
      <c r="AF1085" s="87">
        <v>4.16592</v>
      </c>
      <c r="AG1085" s="87">
        <v>2.744426</v>
      </c>
      <c r="AH1085" s="87">
        <v>0.001005</v>
      </c>
      <c r="AI1085" s="87">
        <v>2.646209</v>
      </c>
      <c r="AJ1085" s="87">
        <v>2.730535</v>
      </c>
      <c r="AK1085" s="87">
        <v>1.512037</v>
      </c>
      <c r="AL1085" s="88" t="s">
        <v>1396</v>
      </c>
    </row>
    <row r="1086">
      <c r="A1086" s="84" t="s">
        <v>2843</v>
      </c>
      <c r="B1086" s="84" t="s">
        <v>2844</v>
      </c>
      <c r="C1086" s="84" t="s">
        <v>2836</v>
      </c>
      <c r="D1086" s="84" t="s">
        <v>2840</v>
      </c>
      <c r="E1086" s="84" t="s">
        <v>1398</v>
      </c>
      <c r="F1086" s="87">
        <v>8.0</v>
      </c>
      <c r="G1086" s="87">
        <v>0.0</v>
      </c>
      <c r="H1086" s="87">
        <v>4006.0</v>
      </c>
      <c r="I1086" s="87">
        <v>0.0</v>
      </c>
      <c r="J1086" s="87">
        <v>27.35085</v>
      </c>
      <c r="K1086" s="87">
        <v>31.59544</v>
      </c>
      <c r="L1086" s="87">
        <v>38.75065</v>
      </c>
      <c r="M1086" s="87">
        <v>30.56203</v>
      </c>
      <c r="N1086" s="87">
        <v>0.967293</v>
      </c>
      <c r="O1086" s="87">
        <v>0.0</v>
      </c>
      <c r="P1086" s="87">
        <v>0.0</v>
      </c>
      <c r="Q1086" s="87">
        <v>0.066667</v>
      </c>
      <c r="R1086" s="87">
        <v>0.233333</v>
      </c>
      <c r="S1086" s="87">
        <v>0.665591</v>
      </c>
      <c r="T1086" s="87">
        <v>0.066667</v>
      </c>
      <c r="U1086" s="87">
        <v>0.067816</v>
      </c>
      <c r="V1086" s="87">
        <v>0.067816</v>
      </c>
      <c r="W1086" s="87">
        <v>0.665591</v>
      </c>
      <c r="X1086" s="87">
        <v>4.750343</v>
      </c>
      <c r="Y1086" s="87">
        <v>3.94943</v>
      </c>
      <c r="Z1086" s="87">
        <v>0.067816</v>
      </c>
      <c r="AA1086" s="87">
        <v>2.744426</v>
      </c>
      <c r="AB1086" s="87">
        <v>3.542721</v>
      </c>
      <c r="AC1086" s="87">
        <v>2.744426</v>
      </c>
      <c r="AD1086" s="87">
        <v>0.665591</v>
      </c>
      <c r="AE1086" s="87">
        <v>1.238466</v>
      </c>
      <c r="AF1086" s="87">
        <v>3.450453</v>
      </c>
      <c r="AG1086" s="87">
        <v>3.160769</v>
      </c>
      <c r="AH1086" s="87">
        <v>0.001005</v>
      </c>
      <c r="AI1086" s="87">
        <v>2.646209</v>
      </c>
      <c r="AJ1086" s="87">
        <v>2.730535</v>
      </c>
      <c r="AK1086" s="87">
        <v>1.512037</v>
      </c>
      <c r="AL1086" s="88" t="s">
        <v>1396</v>
      </c>
    </row>
    <row r="1087">
      <c r="A1087" s="84" t="s">
        <v>2834</v>
      </c>
      <c r="B1087" s="84" t="s">
        <v>2845</v>
      </c>
      <c r="C1087" s="84" t="s">
        <v>2836</v>
      </c>
      <c r="D1087" s="84" t="s">
        <v>2840</v>
      </c>
      <c r="E1087" s="84" t="s">
        <v>1400</v>
      </c>
      <c r="F1087" s="87">
        <v>10.0</v>
      </c>
      <c r="G1087" s="87">
        <v>0.0</v>
      </c>
      <c r="H1087" s="87">
        <v>4260.0</v>
      </c>
      <c r="I1087" s="87">
        <v>0.0</v>
      </c>
      <c r="J1087" s="87">
        <v>50.93771</v>
      </c>
      <c r="K1087" s="87">
        <v>54.22817</v>
      </c>
      <c r="L1087" s="87">
        <v>53.55106</v>
      </c>
      <c r="M1087" s="87">
        <v>37.04013</v>
      </c>
      <c r="N1087" s="87">
        <v>0.683042</v>
      </c>
      <c r="O1087" s="87">
        <v>0.0</v>
      </c>
      <c r="P1087" s="87">
        <v>0.0</v>
      </c>
      <c r="Q1087" s="87">
        <v>0.1</v>
      </c>
      <c r="R1087" s="87">
        <v>1.947436</v>
      </c>
      <c r="S1087" s="87">
        <v>11.58177</v>
      </c>
      <c r="T1087" s="87">
        <v>0.1</v>
      </c>
      <c r="U1087" s="87">
        <v>0.3</v>
      </c>
      <c r="V1087" s="87">
        <v>1.947436</v>
      </c>
      <c r="W1087" s="87">
        <v>3.258831</v>
      </c>
      <c r="X1087" s="87">
        <v>11.58177</v>
      </c>
      <c r="Y1087" s="87">
        <v>5.422817</v>
      </c>
      <c r="Z1087" s="87">
        <v>0.067816</v>
      </c>
      <c r="AA1087" s="87">
        <v>2.744426</v>
      </c>
      <c r="AB1087" s="87">
        <v>3.542721</v>
      </c>
      <c r="AC1087" s="87">
        <v>2.744426</v>
      </c>
      <c r="AD1087" s="87">
        <v>0.930127</v>
      </c>
      <c r="AE1087" s="87">
        <v>1.239319</v>
      </c>
      <c r="AF1087" s="87">
        <v>2.63851</v>
      </c>
      <c r="AG1087" s="87">
        <v>0.940054</v>
      </c>
      <c r="AH1087" s="87">
        <v>0.001005</v>
      </c>
      <c r="AI1087" s="87">
        <v>2.646209</v>
      </c>
      <c r="AJ1087" s="87">
        <v>2.730535</v>
      </c>
      <c r="AK1087" s="87">
        <v>1.512037</v>
      </c>
      <c r="AL1087" s="88" t="s">
        <v>1396</v>
      </c>
    </row>
    <row r="1088">
      <c r="A1088" s="84" t="s">
        <v>2846</v>
      </c>
      <c r="B1088" s="84" t="s">
        <v>2847</v>
      </c>
      <c r="C1088" s="84" t="s">
        <v>2836</v>
      </c>
      <c r="D1088" s="84" t="s">
        <v>2840</v>
      </c>
      <c r="E1088" s="84" t="s">
        <v>1403</v>
      </c>
      <c r="F1088" s="87">
        <v>5.0</v>
      </c>
      <c r="G1088" s="87">
        <v>0.0</v>
      </c>
      <c r="H1088" s="87">
        <v>0.0</v>
      </c>
      <c r="I1088" s="87">
        <v>0.0</v>
      </c>
      <c r="J1088" s="87">
        <v>0.0</v>
      </c>
      <c r="K1088" s="87">
        <v>0.0</v>
      </c>
      <c r="L1088" s="87">
        <v>0.0</v>
      </c>
      <c r="M1088" s="87">
        <v>0.0</v>
      </c>
      <c r="N1088" s="87">
        <v>0.0</v>
      </c>
      <c r="O1088" s="87">
        <v>0.0</v>
      </c>
      <c r="P1088" s="87">
        <v>0.0</v>
      </c>
      <c r="Q1088" s="87">
        <v>0.0</v>
      </c>
      <c r="R1088" s="87">
        <v>0.0</v>
      </c>
      <c r="S1088" s="87">
        <v>0.0</v>
      </c>
      <c r="T1088" s="87">
        <v>0.0</v>
      </c>
      <c r="U1088" s="87">
        <v>0.0</v>
      </c>
      <c r="V1088" s="87">
        <v>0.0</v>
      </c>
      <c r="W1088" s="87">
        <v>0.0</v>
      </c>
      <c r="X1088" s="87">
        <v>0.0</v>
      </c>
      <c r="Y1088" s="87">
        <v>0.0</v>
      </c>
      <c r="Z1088" s="87">
        <v>0.067816</v>
      </c>
      <c r="AA1088" s="87">
        <v>2.744426</v>
      </c>
      <c r="AB1088" s="87">
        <v>3.542721</v>
      </c>
      <c r="AC1088" s="87">
        <v>2.744426</v>
      </c>
      <c r="AD1088" s="87">
        <v>0.0</v>
      </c>
      <c r="AE1088" s="87">
        <v>0.0</v>
      </c>
      <c r="AF1088" s="87">
        <v>0.0</v>
      </c>
      <c r="AG1088" s="87">
        <v>0.0</v>
      </c>
      <c r="AH1088" s="87">
        <v>0.001005</v>
      </c>
      <c r="AI1088" s="87">
        <v>2.646209</v>
      </c>
      <c r="AJ1088" s="87">
        <v>2.730535</v>
      </c>
      <c r="AK1088" s="87">
        <v>1.512037</v>
      </c>
      <c r="AL1088" s="88" t="s">
        <v>1396</v>
      </c>
    </row>
    <row r="1089">
      <c r="A1089" s="84" t="s">
        <v>2838</v>
      </c>
      <c r="B1089" s="84" t="s">
        <v>2848</v>
      </c>
      <c r="C1089" s="84" t="s">
        <v>2836</v>
      </c>
      <c r="D1089" s="84" t="s">
        <v>2849</v>
      </c>
      <c r="E1089" s="84" t="s">
        <v>1426</v>
      </c>
      <c r="F1089" s="87">
        <v>38.0</v>
      </c>
      <c r="G1089" s="87">
        <v>1.0</v>
      </c>
      <c r="H1089" s="87">
        <v>30656.0</v>
      </c>
      <c r="I1089" s="87">
        <v>31.0</v>
      </c>
      <c r="J1089" s="87">
        <v>367.2518</v>
      </c>
      <c r="K1089" s="87">
        <v>367.4981</v>
      </c>
      <c r="L1089" s="87">
        <v>368.8007</v>
      </c>
      <c r="M1089" s="87">
        <v>206.2483</v>
      </c>
      <c r="N1089" s="87">
        <v>0.561223</v>
      </c>
      <c r="O1089" s="87">
        <v>0.0</v>
      </c>
      <c r="P1089" s="87">
        <v>0.0</v>
      </c>
      <c r="Q1089" s="87">
        <v>0.333333</v>
      </c>
      <c r="R1089" s="87">
        <v>7.888252</v>
      </c>
      <c r="S1089" s="87">
        <v>13.78463</v>
      </c>
      <c r="T1089" s="87">
        <v>0.333333</v>
      </c>
      <c r="U1089" s="87">
        <v>3.462121</v>
      </c>
      <c r="V1089" s="87">
        <v>4.317477</v>
      </c>
      <c r="W1089" s="87">
        <v>11.02589</v>
      </c>
      <c r="X1089" s="87">
        <v>17.77601</v>
      </c>
      <c r="Y1089" s="87">
        <v>9.671003</v>
      </c>
      <c r="Z1089" s="87">
        <v>0.0</v>
      </c>
      <c r="AA1089" s="87">
        <v>3.843561</v>
      </c>
      <c r="AB1089" s="87">
        <v>3.338506</v>
      </c>
      <c r="AC1089" s="87">
        <v>5.668581</v>
      </c>
      <c r="AD1089" s="87">
        <v>4.317477</v>
      </c>
      <c r="AE1089" s="87">
        <v>9.690421</v>
      </c>
      <c r="AF1089" s="87">
        <v>8.606006</v>
      </c>
      <c r="AG1089" s="87">
        <v>3.8282</v>
      </c>
      <c r="AH1089" s="87">
        <v>0.001005</v>
      </c>
      <c r="AI1089" s="87">
        <v>2.646209</v>
      </c>
      <c r="AJ1089" s="87">
        <v>2.730535</v>
      </c>
      <c r="AK1089" s="87">
        <v>1.512037</v>
      </c>
      <c r="AL1089" s="88" t="s">
        <v>1396</v>
      </c>
    </row>
    <row r="1090">
      <c r="A1090" s="84" t="s">
        <v>2841</v>
      </c>
      <c r="B1090" s="84" t="s">
        <v>2850</v>
      </c>
      <c r="C1090" s="84" t="s">
        <v>2836</v>
      </c>
      <c r="D1090" s="84" t="s">
        <v>2849</v>
      </c>
      <c r="E1090" s="86">
        <v>46310.0</v>
      </c>
      <c r="F1090" s="87">
        <v>12.0</v>
      </c>
      <c r="G1090" s="87">
        <v>0.0</v>
      </c>
      <c r="H1090" s="87">
        <v>5998.0</v>
      </c>
      <c r="I1090" s="87">
        <v>0.0</v>
      </c>
      <c r="J1090" s="87">
        <v>72.23737</v>
      </c>
      <c r="K1090" s="87">
        <v>77.7279</v>
      </c>
      <c r="L1090" s="87">
        <v>79.00514</v>
      </c>
      <c r="M1090" s="87">
        <v>47.53547</v>
      </c>
      <c r="N1090" s="87">
        <v>0.611563</v>
      </c>
      <c r="O1090" s="87">
        <v>0.0</v>
      </c>
      <c r="P1090" s="87">
        <v>1.020605</v>
      </c>
      <c r="Q1090" s="87">
        <v>2.099525</v>
      </c>
      <c r="R1090" s="87">
        <v>5.250974</v>
      </c>
      <c r="S1090" s="87">
        <v>8.321762</v>
      </c>
      <c r="T1090" s="87">
        <v>2.099525</v>
      </c>
      <c r="U1090" s="87">
        <v>3.135744</v>
      </c>
      <c r="V1090" s="87">
        <v>4.170964</v>
      </c>
      <c r="W1090" s="87">
        <v>6.192848</v>
      </c>
      <c r="X1090" s="87">
        <v>10.08534</v>
      </c>
      <c r="Y1090" s="87">
        <v>6.477325</v>
      </c>
      <c r="Z1090" s="87">
        <v>0.0</v>
      </c>
      <c r="AA1090" s="87">
        <v>3.843561</v>
      </c>
      <c r="AB1090" s="87">
        <v>3.338506</v>
      </c>
      <c r="AC1090" s="87">
        <v>5.668581</v>
      </c>
      <c r="AD1090" s="87">
        <v>2.744426</v>
      </c>
      <c r="AE1090" s="87">
        <v>3.135744</v>
      </c>
      <c r="AF1090" s="87">
        <v>4.16592</v>
      </c>
      <c r="AG1090" s="87">
        <v>2.744426</v>
      </c>
      <c r="AH1090" s="87">
        <v>0.001005</v>
      </c>
      <c r="AI1090" s="87">
        <v>2.646209</v>
      </c>
      <c r="AJ1090" s="87">
        <v>2.730535</v>
      </c>
      <c r="AK1090" s="87">
        <v>1.512037</v>
      </c>
      <c r="AL1090" s="88" t="s">
        <v>1396</v>
      </c>
    </row>
    <row r="1091">
      <c r="A1091" s="84" t="s">
        <v>2851</v>
      </c>
      <c r="B1091" s="84" t="s">
        <v>2852</v>
      </c>
      <c r="C1091" s="84" t="s">
        <v>2836</v>
      </c>
      <c r="D1091" s="84" t="s">
        <v>2849</v>
      </c>
      <c r="E1091" s="84" t="s">
        <v>1413</v>
      </c>
      <c r="F1091" s="87">
        <v>4.0</v>
      </c>
      <c r="G1091" s="87">
        <v>0.0</v>
      </c>
      <c r="H1091" s="87">
        <v>1418.0</v>
      </c>
      <c r="I1091" s="87">
        <v>0.0</v>
      </c>
      <c r="J1091" s="87">
        <v>16.69335</v>
      </c>
      <c r="K1091" s="87">
        <v>17.50982</v>
      </c>
      <c r="L1091" s="87">
        <v>18.24923</v>
      </c>
      <c r="M1091" s="87">
        <v>10.3201</v>
      </c>
      <c r="N1091" s="87">
        <v>0.589389</v>
      </c>
      <c r="O1091" s="87">
        <v>0.0</v>
      </c>
      <c r="P1091" s="87">
        <v>0.0</v>
      </c>
      <c r="Q1091" s="87">
        <v>3.516224</v>
      </c>
      <c r="R1091" s="87">
        <v>3.673495</v>
      </c>
      <c r="S1091" s="87">
        <v>3.673495</v>
      </c>
      <c r="T1091" s="87">
        <v>3.516224</v>
      </c>
      <c r="U1091" s="87">
        <v>3.516224</v>
      </c>
      <c r="V1091" s="87">
        <v>3.516224</v>
      </c>
      <c r="W1091" s="87">
        <v>3.673495</v>
      </c>
      <c r="X1091" s="87">
        <v>10.3201</v>
      </c>
      <c r="Y1091" s="87">
        <v>4.377455</v>
      </c>
      <c r="Z1091" s="87">
        <v>0.0</v>
      </c>
      <c r="AA1091" s="87">
        <v>3.843561</v>
      </c>
      <c r="AB1091" s="87">
        <v>3.338506</v>
      </c>
      <c r="AC1091" s="87">
        <v>5.668581</v>
      </c>
      <c r="AD1091" s="87">
        <v>0.85779</v>
      </c>
      <c r="AE1091" s="87">
        <v>3.516224</v>
      </c>
      <c r="AF1091" s="87">
        <v>2.330223</v>
      </c>
      <c r="AG1091" s="87">
        <v>1.545856</v>
      </c>
      <c r="AH1091" s="87">
        <v>0.001005</v>
      </c>
      <c r="AI1091" s="87">
        <v>2.646209</v>
      </c>
      <c r="AJ1091" s="87">
        <v>2.730535</v>
      </c>
      <c r="AK1091" s="87">
        <v>1.512037</v>
      </c>
      <c r="AL1091" s="88" t="s">
        <v>1396</v>
      </c>
    </row>
    <row r="1092">
      <c r="A1092" s="84" t="s">
        <v>2843</v>
      </c>
      <c r="B1092" s="84" t="s">
        <v>2853</v>
      </c>
      <c r="C1092" s="84" t="s">
        <v>2836</v>
      </c>
      <c r="D1092" s="84" t="s">
        <v>2849</v>
      </c>
      <c r="E1092" s="84" t="s">
        <v>1398</v>
      </c>
      <c r="F1092" s="87">
        <v>8.0</v>
      </c>
      <c r="G1092" s="87">
        <v>0.0</v>
      </c>
      <c r="H1092" s="87">
        <v>4266.0</v>
      </c>
      <c r="I1092" s="87">
        <v>0.0</v>
      </c>
      <c r="J1092" s="87">
        <v>41.2715</v>
      </c>
      <c r="K1092" s="87">
        <v>45.34865</v>
      </c>
      <c r="L1092" s="87">
        <v>43.42021</v>
      </c>
      <c r="M1092" s="87">
        <v>36.18434</v>
      </c>
      <c r="N1092" s="87">
        <v>0.797914</v>
      </c>
      <c r="O1092" s="87">
        <v>0.143369</v>
      </c>
      <c r="P1092" s="87">
        <v>0.322896</v>
      </c>
      <c r="Q1092" s="87">
        <v>0.637654</v>
      </c>
      <c r="R1092" s="87">
        <v>2.850519</v>
      </c>
      <c r="S1092" s="87">
        <v>3.122483</v>
      </c>
      <c r="T1092" s="87">
        <v>0.143369</v>
      </c>
      <c r="U1092" s="87">
        <v>0.322896</v>
      </c>
      <c r="V1092" s="87">
        <v>0.637654</v>
      </c>
      <c r="W1092" s="87">
        <v>2.850519</v>
      </c>
      <c r="X1092" s="87">
        <v>3.122483</v>
      </c>
      <c r="Y1092" s="87">
        <v>5.668581</v>
      </c>
      <c r="Z1092" s="87">
        <v>0.0</v>
      </c>
      <c r="AA1092" s="87">
        <v>3.843561</v>
      </c>
      <c r="AB1092" s="87">
        <v>3.338506</v>
      </c>
      <c r="AC1092" s="87">
        <v>5.668581</v>
      </c>
      <c r="AD1092" s="87">
        <v>0.665591</v>
      </c>
      <c r="AE1092" s="87">
        <v>1.238466</v>
      </c>
      <c r="AF1092" s="87">
        <v>3.450453</v>
      </c>
      <c r="AG1092" s="87">
        <v>3.160769</v>
      </c>
      <c r="AH1092" s="87">
        <v>0.001005</v>
      </c>
      <c r="AI1092" s="87">
        <v>2.646209</v>
      </c>
      <c r="AJ1092" s="87">
        <v>2.730535</v>
      </c>
      <c r="AK1092" s="87">
        <v>1.512037</v>
      </c>
      <c r="AL1092" s="88" t="s">
        <v>1396</v>
      </c>
    </row>
    <row r="1093">
      <c r="A1093" s="84" t="s">
        <v>2834</v>
      </c>
      <c r="B1093" s="84" t="s">
        <v>2854</v>
      </c>
      <c r="C1093" s="84" t="s">
        <v>2836</v>
      </c>
      <c r="D1093" s="84" t="s">
        <v>2849</v>
      </c>
      <c r="E1093" s="84" t="s">
        <v>1400</v>
      </c>
      <c r="F1093" s="87">
        <v>49.0</v>
      </c>
      <c r="G1093" s="87">
        <v>0.0</v>
      </c>
      <c r="H1093" s="87">
        <v>16341.0</v>
      </c>
      <c r="I1093" s="87">
        <v>0.0</v>
      </c>
      <c r="J1093" s="87">
        <v>152.5042</v>
      </c>
      <c r="K1093" s="87">
        <v>146.0348</v>
      </c>
      <c r="L1093" s="87">
        <v>146.2552</v>
      </c>
      <c r="M1093" s="87">
        <v>85.08422</v>
      </c>
      <c r="N1093" s="87">
        <v>0.58263</v>
      </c>
      <c r="O1093" s="87">
        <v>0.166667</v>
      </c>
      <c r="P1093" s="87">
        <v>0.565666</v>
      </c>
      <c r="Q1093" s="87">
        <v>0.826887</v>
      </c>
      <c r="R1093" s="87">
        <v>1.801593</v>
      </c>
      <c r="S1093" s="87">
        <v>3.670541</v>
      </c>
      <c r="T1093" s="87">
        <v>0.416209</v>
      </c>
      <c r="U1093" s="87">
        <v>0.714764</v>
      </c>
      <c r="V1093" s="87">
        <v>0.865286</v>
      </c>
      <c r="W1093" s="87">
        <v>2.05828</v>
      </c>
      <c r="X1093" s="87">
        <v>3.639496</v>
      </c>
      <c r="Y1093" s="87">
        <v>2.980302</v>
      </c>
      <c r="Z1093" s="87">
        <v>0.0</v>
      </c>
      <c r="AA1093" s="87">
        <v>3.843561</v>
      </c>
      <c r="AB1093" s="87">
        <v>3.338506</v>
      </c>
      <c r="AC1093" s="87">
        <v>5.668581</v>
      </c>
      <c r="AD1093" s="87">
        <v>0.930127</v>
      </c>
      <c r="AE1093" s="87">
        <v>1.239319</v>
      </c>
      <c r="AF1093" s="87">
        <v>2.63851</v>
      </c>
      <c r="AG1093" s="87">
        <v>0.940054</v>
      </c>
      <c r="AH1093" s="87">
        <v>0.001005</v>
      </c>
      <c r="AI1093" s="87">
        <v>2.646209</v>
      </c>
      <c r="AJ1093" s="87">
        <v>2.730535</v>
      </c>
      <c r="AK1093" s="87">
        <v>1.512037</v>
      </c>
      <c r="AL1093" s="88" t="s">
        <v>1396</v>
      </c>
    </row>
    <row r="1094">
      <c r="A1094" s="84" t="s">
        <v>2855</v>
      </c>
      <c r="B1094" s="84" t="s">
        <v>2856</v>
      </c>
      <c r="C1094" s="84" t="s">
        <v>2836</v>
      </c>
      <c r="D1094" s="84" t="s">
        <v>2849</v>
      </c>
      <c r="E1094" s="89">
        <v>46300.0</v>
      </c>
      <c r="F1094" s="87">
        <v>26.0</v>
      </c>
      <c r="G1094" s="87">
        <v>0.0</v>
      </c>
      <c r="H1094" s="87">
        <v>21211.0</v>
      </c>
      <c r="I1094" s="87">
        <v>0.0</v>
      </c>
      <c r="J1094" s="87">
        <v>226.3225</v>
      </c>
      <c r="K1094" s="87">
        <v>284.0008</v>
      </c>
      <c r="L1094" s="87">
        <v>278.3874</v>
      </c>
      <c r="M1094" s="87">
        <v>192.0902</v>
      </c>
      <c r="N1094" s="87">
        <v>0.676372</v>
      </c>
      <c r="O1094" s="87">
        <v>0.0</v>
      </c>
      <c r="P1094" s="87">
        <v>0.090909</v>
      </c>
      <c r="Q1094" s="87">
        <v>1.861815</v>
      </c>
      <c r="R1094" s="87">
        <v>5.025405</v>
      </c>
      <c r="S1094" s="87">
        <v>14.63916</v>
      </c>
      <c r="T1094" s="87">
        <v>1.861815</v>
      </c>
      <c r="U1094" s="87">
        <v>3.012075</v>
      </c>
      <c r="V1094" s="87">
        <v>3.748431</v>
      </c>
      <c r="W1094" s="87">
        <v>7.87418</v>
      </c>
      <c r="X1094" s="87">
        <v>16.23335</v>
      </c>
      <c r="Y1094" s="87">
        <v>10.92311</v>
      </c>
      <c r="Z1094" s="87">
        <v>0.0</v>
      </c>
      <c r="AA1094" s="87">
        <v>3.843561</v>
      </c>
      <c r="AB1094" s="87">
        <v>3.338506</v>
      </c>
      <c r="AC1094" s="87">
        <v>5.668581</v>
      </c>
      <c r="AD1094" s="87">
        <v>3.748431</v>
      </c>
      <c r="AE1094" s="87">
        <v>4.786232</v>
      </c>
      <c r="AF1094" s="87">
        <v>8.421955</v>
      </c>
      <c r="AG1094" s="87">
        <v>6.640622</v>
      </c>
      <c r="AH1094" s="87">
        <v>0.001005</v>
      </c>
      <c r="AI1094" s="87">
        <v>2.646209</v>
      </c>
      <c r="AJ1094" s="87">
        <v>2.730535</v>
      </c>
      <c r="AK1094" s="87">
        <v>1.512037</v>
      </c>
      <c r="AL1094" s="88" t="s">
        <v>1396</v>
      </c>
    </row>
    <row r="1095">
      <c r="A1095" s="84" t="s">
        <v>2846</v>
      </c>
      <c r="B1095" s="84" t="s">
        <v>2857</v>
      </c>
      <c r="C1095" s="84" t="s">
        <v>2836</v>
      </c>
      <c r="D1095" s="84" t="s">
        <v>2849</v>
      </c>
      <c r="E1095" s="84" t="s">
        <v>1403</v>
      </c>
      <c r="F1095" s="87">
        <v>144.0</v>
      </c>
      <c r="G1095" s="87">
        <v>25.0</v>
      </c>
      <c r="H1095" s="87">
        <v>1937.0</v>
      </c>
      <c r="I1095" s="87">
        <v>1937.0</v>
      </c>
      <c r="J1095" s="87">
        <v>0.0</v>
      </c>
      <c r="K1095" s="87">
        <v>0.0</v>
      </c>
      <c r="L1095" s="87">
        <v>0.0</v>
      </c>
      <c r="M1095" s="87">
        <v>0.0</v>
      </c>
      <c r="N1095" s="87">
        <v>0.0</v>
      </c>
      <c r="O1095" s="87">
        <v>0.0</v>
      </c>
      <c r="P1095" s="87">
        <v>0.0</v>
      </c>
      <c r="Q1095" s="87">
        <v>0.0</v>
      </c>
      <c r="R1095" s="87">
        <v>0.0</v>
      </c>
      <c r="S1095" s="87">
        <v>0.0</v>
      </c>
      <c r="T1095" s="87">
        <v>0.0</v>
      </c>
      <c r="U1095" s="87">
        <v>0.0</v>
      </c>
      <c r="V1095" s="87">
        <v>0.0</v>
      </c>
      <c r="W1095" s="87">
        <v>0.0</v>
      </c>
      <c r="X1095" s="87">
        <v>0.0</v>
      </c>
      <c r="Y1095" s="87">
        <v>0.0</v>
      </c>
      <c r="Z1095" s="87">
        <v>0.0</v>
      </c>
      <c r="AA1095" s="87">
        <v>3.843561</v>
      </c>
      <c r="AB1095" s="87">
        <v>3.338506</v>
      </c>
      <c r="AC1095" s="87">
        <v>5.668581</v>
      </c>
      <c r="AD1095" s="87">
        <v>0.0</v>
      </c>
      <c r="AE1095" s="87">
        <v>0.0</v>
      </c>
      <c r="AF1095" s="87">
        <v>0.0</v>
      </c>
      <c r="AG1095" s="87">
        <v>0.0</v>
      </c>
      <c r="AH1095" s="87">
        <v>0.001005</v>
      </c>
      <c r="AI1095" s="87">
        <v>2.646209</v>
      </c>
      <c r="AJ1095" s="87">
        <v>2.730535</v>
      </c>
      <c r="AK1095" s="87">
        <v>1.512037</v>
      </c>
      <c r="AL1095" s="88" t="s">
        <v>1396</v>
      </c>
    </row>
    <row r="1096">
      <c r="A1096" s="84" t="s">
        <v>2838</v>
      </c>
      <c r="B1096" s="84" t="s">
        <v>2858</v>
      </c>
      <c r="C1096" s="84" t="s">
        <v>2836</v>
      </c>
      <c r="D1096" s="84" t="s">
        <v>2859</v>
      </c>
      <c r="E1096" s="84" t="s">
        <v>1426</v>
      </c>
      <c r="F1096" s="87">
        <v>1.0</v>
      </c>
      <c r="G1096" s="87">
        <v>0.0</v>
      </c>
      <c r="H1096" s="87">
        <v>184.0</v>
      </c>
      <c r="I1096" s="87">
        <v>0.0</v>
      </c>
      <c r="J1096" s="87">
        <v>0.857143</v>
      </c>
      <c r="K1096" s="87">
        <v>0.631183</v>
      </c>
      <c r="L1096" s="87">
        <v>0.702649</v>
      </c>
      <c r="M1096" s="87">
        <v>0.631183</v>
      </c>
      <c r="N1096" s="87">
        <v>1.0</v>
      </c>
      <c r="O1096" s="87">
        <v>0.631183</v>
      </c>
      <c r="P1096" s="87">
        <v>0.631183</v>
      </c>
      <c r="Q1096" s="87">
        <v>0.631183</v>
      </c>
      <c r="R1096" s="87">
        <v>0.631183</v>
      </c>
      <c r="S1096" s="87">
        <v>0.631183</v>
      </c>
      <c r="T1096" s="87">
        <v>0.631183</v>
      </c>
      <c r="U1096" s="87">
        <v>0.631183</v>
      </c>
      <c r="V1096" s="87">
        <v>0.631183</v>
      </c>
      <c r="W1096" s="87">
        <v>0.631183</v>
      </c>
      <c r="X1096" s="87">
        <v>0.631183</v>
      </c>
      <c r="Y1096" s="87">
        <v>0.631183</v>
      </c>
      <c r="Z1096" s="87">
        <v>0.166667</v>
      </c>
      <c r="AA1096" s="87">
        <v>0.266667</v>
      </c>
      <c r="AB1096" s="87">
        <v>0.342447</v>
      </c>
      <c r="AC1096" s="87">
        <v>0.191129</v>
      </c>
      <c r="AD1096" s="87">
        <v>4.317477</v>
      </c>
      <c r="AE1096" s="87">
        <v>9.690421</v>
      </c>
      <c r="AF1096" s="87">
        <v>8.606006</v>
      </c>
      <c r="AG1096" s="87">
        <v>3.8282</v>
      </c>
      <c r="AH1096" s="87">
        <v>0.001005</v>
      </c>
      <c r="AI1096" s="87">
        <v>2.646209</v>
      </c>
      <c r="AJ1096" s="87">
        <v>2.730535</v>
      </c>
      <c r="AK1096" s="87">
        <v>1.512037</v>
      </c>
      <c r="AL1096" s="88" t="s">
        <v>1396</v>
      </c>
    </row>
    <row r="1097">
      <c r="A1097" s="84" t="s">
        <v>2841</v>
      </c>
      <c r="B1097" s="84" t="s">
        <v>2860</v>
      </c>
      <c r="C1097" s="84" t="s">
        <v>2836</v>
      </c>
      <c r="D1097" s="84" t="s">
        <v>2859</v>
      </c>
      <c r="E1097" s="86">
        <v>46310.0</v>
      </c>
      <c r="F1097" s="87">
        <v>1.0</v>
      </c>
      <c r="G1097" s="87">
        <v>0.0</v>
      </c>
      <c r="H1097" s="87">
        <v>215.0</v>
      </c>
      <c r="I1097" s="87">
        <v>0.0</v>
      </c>
      <c r="J1097" s="87">
        <v>0.142857</v>
      </c>
      <c r="K1097" s="87">
        <v>0.132258</v>
      </c>
      <c r="L1097" s="87">
        <v>0.36612</v>
      </c>
      <c r="M1097" s="87">
        <v>0.132258</v>
      </c>
      <c r="N1097" s="87">
        <v>1.0</v>
      </c>
      <c r="O1097" s="87">
        <v>0.132258</v>
      </c>
      <c r="P1097" s="87">
        <v>0.132258</v>
      </c>
      <c r="Q1097" s="87">
        <v>0.132258</v>
      </c>
      <c r="R1097" s="87">
        <v>0.132258</v>
      </c>
      <c r="S1097" s="87">
        <v>0.132258</v>
      </c>
      <c r="T1097" s="87">
        <v>0.132258</v>
      </c>
      <c r="U1097" s="87">
        <v>0.132258</v>
      </c>
      <c r="V1097" s="87">
        <v>0.132258</v>
      </c>
      <c r="W1097" s="87">
        <v>0.132258</v>
      </c>
      <c r="X1097" s="87">
        <v>0.132258</v>
      </c>
      <c r="Y1097" s="87">
        <v>0.132258</v>
      </c>
      <c r="Z1097" s="87">
        <v>0.166667</v>
      </c>
      <c r="AA1097" s="87">
        <v>0.266667</v>
      </c>
      <c r="AB1097" s="87">
        <v>0.342447</v>
      </c>
      <c r="AC1097" s="87">
        <v>0.191129</v>
      </c>
      <c r="AD1097" s="87">
        <v>2.744426</v>
      </c>
      <c r="AE1097" s="87">
        <v>3.135744</v>
      </c>
      <c r="AF1097" s="87">
        <v>4.16592</v>
      </c>
      <c r="AG1097" s="87">
        <v>2.744426</v>
      </c>
      <c r="AH1097" s="87">
        <v>0.001005</v>
      </c>
      <c r="AI1097" s="87">
        <v>2.646209</v>
      </c>
      <c r="AJ1097" s="87">
        <v>2.730535</v>
      </c>
      <c r="AK1097" s="87">
        <v>1.512037</v>
      </c>
      <c r="AL1097" s="88" t="s">
        <v>1396</v>
      </c>
    </row>
    <row r="1098">
      <c r="A1098" s="84" t="s">
        <v>2851</v>
      </c>
      <c r="B1098" s="84" t="s">
        <v>2861</v>
      </c>
      <c r="C1098" s="84" t="s">
        <v>2836</v>
      </c>
      <c r="D1098" s="84" t="s">
        <v>2859</v>
      </c>
      <c r="E1098" s="84" t="s">
        <v>1413</v>
      </c>
      <c r="F1098" s="87">
        <v>4.0</v>
      </c>
      <c r="G1098" s="87">
        <v>0.0</v>
      </c>
      <c r="H1098" s="87">
        <v>680.0</v>
      </c>
      <c r="I1098" s="87">
        <v>0.0</v>
      </c>
      <c r="J1098" s="87">
        <v>0.285714</v>
      </c>
      <c r="K1098" s="87">
        <v>0.764516</v>
      </c>
      <c r="L1098" s="87">
        <v>2.235514</v>
      </c>
      <c r="M1098" s="87">
        <v>0.364516</v>
      </c>
      <c r="N1098" s="87">
        <v>0.476793</v>
      </c>
      <c r="O1098" s="87">
        <v>0.0</v>
      </c>
      <c r="P1098" s="87">
        <v>0.0</v>
      </c>
      <c r="Q1098" s="87">
        <v>0.133333</v>
      </c>
      <c r="R1098" s="87">
        <v>0.266667</v>
      </c>
      <c r="S1098" s="87">
        <v>0.266667</v>
      </c>
      <c r="T1098" s="87">
        <v>0.133333</v>
      </c>
      <c r="U1098" s="87">
        <v>0.133333</v>
      </c>
      <c r="V1098" s="87">
        <v>0.133333</v>
      </c>
      <c r="W1098" s="87">
        <v>0.266667</v>
      </c>
      <c r="X1098" s="87">
        <v>0.364516</v>
      </c>
      <c r="Y1098" s="87">
        <v>0.191129</v>
      </c>
      <c r="Z1098" s="87">
        <v>0.166667</v>
      </c>
      <c r="AA1098" s="87">
        <v>0.266667</v>
      </c>
      <c r="AB1098" s="87">
        <v>0.342447</v>
      </c>
      <c r="AC1098" s="87">
        <v>0.191129</v>
      </c>
      <c r="AD1098" s="87">
        <v>0.85779</v>
      </c>
      <c r="AE1098" s="87">
        <v>3.516224</v>
      </c>
      <c r="AF1098" s="87">
        <v>2.330223</v>
      </c>
      <c r="AG1098" s="87">
        <v>1.545856</v>
      </c>
      <c r="AH1098" s="87">
        <v>0.001005</v>
      </c>
      <c r="AI1098" s="87">
        <v>2.646209</v>
      </c>
      <c r="AJ1098" s="87">
        <v>2.730535</v>
      </c>
      <c r="AK1098" s="87">
        <v>1.512037</v>
      </c>
      <c r="AL1098" s="88" t="s">
        <v>1396</v>
      </c>
    </row>
    <row r="1099">
      <c r="A1099" s="84" t="s">
        <v>2843</v>
      </c>
      <c r="B1099" s="84" t="s">
        <v>2862</v>
      </c>
      <c r="C1099" s="84" t="s">
        <v>2836</v>
      </c>
      <c r="D1099" s="84" t="s">
        <v>2859</v>
      </c>
      <c r="E1099" s="84" t="s">
        <v>1398</v>
      </c>
      <c r="F1099" s="87">
        <v>5.0</v>
      </c>
      <c r="G1099" s="87">
        <v>0.0</v>
      </c>
      <c r="H1099" s="87">
        <v>1054.0</v>
      </c>
      <c r="I1099" s="87">
        <v>0.0</v>
      </c>
      <c r="J1099" s="87">
        <v>3.560206</v>
      </c>
      <c r="K1099" s="87">
        <v>3.280574</v>
      </c>
      <c r="L1099" s="87">
        <v>3.788954</v>
      </c>
      <c r="M1099" s="87">
        <v>2.3838</v>
      </c>
      <c r="N1099" s="87">
        <v>0.726641</v>
      </c>
      <c r="O1099" s="87">
        <v>0.1</v>
      </c>
      <c r="P1099" s="87">
        <v>0.166667</v>
      </c>
      <c r="Q1099" s="87">
        <v>0.166667</v>
      </c>
      <c r="R1099" s="87">
        <v>0.232258</v>
      </c>
      <c r="S1099" s="87">
        <v>0.397849</v>
      </c>
      <c r="T1099" s="87">
        <v>0.1</v>
      </c>
      <c r="U1099" s="87">
        <v>0.166667</v>
      </c>
      <c r="V1099" s="87">
        <v>0.166667</v>
      </c>
      <c r="W1099" s="87">
        <v>0.232258</v>
      </c>
      <c r="X1099" s="87">
        <v>0.397849</v>
      </c>
      <c r="Y1099" s="87">
        <v>0.656115</v>
      </c>
      <c r="Z1099" s="87">
        <v>0.166667</v>
      </c>
      <c r="AA1099" s="87">
        <v>0.266667</v>
      </c>
      <c r="AB1099" s="87">
        <v>0.342447</v>
      </c>
      <c r="AC1099" s="87">
        <v>0.191129</v>
      </c>
      <c r="AD1099" s="87">
        <v>0.665591</v>
      </c>
      <c r="AE1099" s="87">
        <v>1.238466</v>
      </c>
      <c r="AF1099" s="87">
        <v>3.450453</v>
      </c>
      <c r="AG1099" s="87">
        <v>3.160769</v>
      </c>
      <c r="AH1099" s="87">
        <v>0.001005</v>
      </c>
      <c r="AI1099" s="87">
        <v>2.646209</v>
      </c>
      <c r="AJ1099" s="87">
        <v>2.730535</v>
      </c>
      <c r="AK1099" s="87">
        <v>1.512037</v>
      </c>
      <c r="AL1099" s="88" t="s">
        <v>1396</v>
      </c>
    </row>
    <row r="1100">
      <c r="A1100" s="84" t="s">
        <v>2834</v>
      </c>
      <c r="B1100" s="84" t="s">
        <v>2863</v>
      </c>
      <c r="C1100" s="84" t="s">
        <v>2836</v>
      </c>
      <c r="D1100" s="84" t="s">
        <v>2859</v>
      </c>
      <c r="E1100" s="84" t="s">
        <v>1400</v>
      </c>
      <c r="F1100" s="87">
        <v>11.0</v>
      </c>
      <c r="G1100" s="87">
        <v>2.0</v>
      </c>
      <c r="H1100" s="87">
        <v>1596.0</v>
      </c>
      <c r="I1100" s="87">
        <v>351.0</v>
      </c>
      <c r="J1100" s="87">
        <v>0.785714</v>
      </c>
      <c r="K1100" s="87">
        <v>1.490554</v>
      </c>
      <c r="L1100" s="87">
        <v>1.835202</v>
      </c>
      <c r="M1100" s="87">
        <v>0.938221</v>
      </c>
      <c r="N1100" s="87">
        <v>0.629444</v>
      </c>
      <c r="O1100" s="87">
        <v>0.0</v>
      </c>
      <c r="P1100" s="87">
        <v>0.033333</v>
      </c>
      <c r="Q1100" s="87">
        <v>0.033333</v>
      </c>
      <c r="R1100" s="87">
        <v>0.090909</v>
      </c>
      <c r="S1100" s="87">
        <v>0.232258</v>
      </c>
      <c r="T1100" s="87">
        <v>0.033333</v>
      </c>
      <c r="U1100" s="87">
        <v>0.033333</v>
      </c>
      <c r="V1100" s="87">
        <v>0.0625</v>
      </c>
      <c r="W1100" s="87">
        <v>0.1</v>
      </c>
      <c r="X1100" s="87">
        <v>0.27619</v>
      </c>
      <c r="Y1100" s="87">
        <v>0.135505</v>
      </c>
      <c r="Z1100" s="87">
        <v>0.166667</v>
      </c>
      <c r="AA1100" s="87">
        <v>0.266667</v>
      </c>
      <c r="AB1100" s="87">
        <v>0.342447</v>
      </c>
      <c r="AC1100" s="87">
        <v>0.191129</v>
      </c>
      <c r="AD1100" s="87">
        <v>0.930127</v>
      </c>
      <c r="AE1100" s="87">
        <v>1.239319</v>
      </c>
      <c r="AF1100" s="87">
        <v>2.63851</v>
      </c>
      <c r="AG1100" s="87">
        <v>0.940054</v>
      </c>
      <c r="AH1100" s="87">
        <v>0.001005</v>
      </c>
      <c r="AI1100" s="87">
        <v>2.646209</v>
      </c>
      <c r="AJ1100" s="87">
        <v>2.730535</v>
      </c>
      <c r="AK1100" s="87">
        <v>1.512037</v>
      </c>
      <c r="AL1100" s="88" t="s">
        <v>1396</v>
      </c>
    </row>
    <row r="1101">
      <c r="A1101" s="84" t="s">
        <v>2855</v>
      </c>
      <c r="B1101" s="84" t="s">
        <v>2864</v>
      </c>
      <c r="C1101" s="84" t="s">
        <v>2836</v>
      </c>
      <c r="D1101" s="84" t="s">
        <v>2859</v>
      </c>
      <c r="E1101" s="89">
        <v>46300.0</v>
      </c>
      <c r="F1101" s="87">
        <v>4.0</v>
      </c>
      <c r="G1101" s="87">
        <v>0.0</v>
      </c>
      <c r="H1101" s="87">
        <v>1106.0</v>
      </c>
      <c r="I1101" s="87">
        <v>0.0</v>
      </c>
      <c r="J1101" s="87">
        <v>4.046404</v>
      </c>
      <c r="K1101" s="87">
        <v>3.974315</v>
      </c>
      <c r="L1101" s="87">
        <v>4.231326</v>
      </c>
      <c r="M1101" s="87">
        <v>1.613145</v>
      </c>
      <c r="N1101" s="87">
        <v>0.405893</v>
      </c>
      <c r="O1101" s="87">
        <v>0.596774</v>
      </c>
      <c r="P1101" s="87">
        <v>0.596774</v>
      </c>
      <c r="Q1101" s="87">
        <v>0.736133</v>
      </c>
      <c r="R1101" s="87">
        <v>1.028262</v>
      </c>
      <c r="S1101" s="87">
        <v>1.028262</v>
      </c>
      <c r="T1101" s="87">
        <v>0.596774</v>
      </c>
      <c r="U1101" s="87">
        <v>0.596774</v>
      </c>
      <c r="V1101" s="87">
        <v>0.736133</v>
      </c>
      <c r="W1101" s="87">
        <v>1.028262</v>
      </c>
      <c r="X1101" s="87">
        <v>1.028262</v>
      </c>
      <c r="Y1101" s="87">
        <v>0.993579</v>
      </c>
      <c r="Z1101" s="87">
        <v>0.166667</v>
      </c>
      <c r="AA1101" s="87">
        <v>0.266667</v>
      </c>
      <c r="AB1101" s="87">
        <v>0.342447</v>
      </c>
      <c r="AC1101" s="87">
        <v>0.191129</v>
      </c>
      <c r="AD1101" s="87">
        <v>3.748431</v>
      </c>
      <c r="AE1101" s="87">
        <v>4.786232</v>
      </c>
      <c r="AF1101" s="87">
        <v>8.421955</v>
      </c>
      <c r="AG1101" s="87">
        <v>6.640622</v>
      </c>
      <c r="AH1101" s="87">
        <v>0.001005</v>
      </c>
      <c r="AI1101" s="87">
        <v>2.646209</v>
      </c>
      <c r="AJ1101" s="87">
        <v>2.730535</v>
      </c>
      <c r="AK1101" s="87">
        <v>1.512037</v>
      </c>
      <c r="AL1101" s="88" t="s">
        <v>1396</v>
      </c>
    </row>
    <row r="1102">
      <c r="A1102" s="84" t="s">
        <v>2846</v>
      </c>
      <c r="B1102" s="84" t="s">
        <v>2865</v>
      </c>
      <c r="C1102" s="84" t="s">
        <v>2836</v>
      </c>
      <c r="D1102" s="84" t="s">
        <v>2859</v>
      </c>
      <c r="E1102" s="84" t="s">
        <v>1403</v>
      </c>
      <c r="F1102" s="87">
        <v>4.0</v>
      </c>
      <c r="G1102" s="87">
        <v>0.0</v>
      </c>
      <c r="H1102" s="87">
        <v>0.0</v>
      </c>
      <c r="I1102" s="87">
        <v>0.0</v>
      </c>
      <c r="J1102" s="87">
        <v>0.0</v>
      </c>
      <c r="K1102" s="87">
        <v>0.0</v>
      </c>
      <c r="L1102" s="87">
        <v>0.0</v>
      </c>
      <c r="M1102" s="87">
        <v>0.0</v>
      </c>
      <c r="N1102" s="87">
        <v>0.0</v>
      </c>
      <c r="O1102" s="87">
        <v>0.0</v>
      </c>
      <c r="P1102" s="87">
        <v>0.0</v>
      </c>
      <c r="Q1102" s="87">
        <v>0.0</v>
      </c>
      <c r="R1102" s="87">
        <v>0.0</v>
      </c>
      <c r="S1102" s="87">
        <v>0.0</v>
      </c>
      <c r="T1102" s="87">
        <v>0.0</v>
      </c>
      <c r="U1102" s="87">
        <v>0.0</v>
      </c>
      <c r="V1102" s="87">
        <v>0.0</v>
      </c>
      <c r="W1102" s="87">
        <v>0.0</v>
      </c>
      <c r="X1102" s="87">
        <v>0.0</v>
      </c>
      <c r="Y1102" s="87">
        <v>0.0</v>
      </c>
      <c r="Z1102" s="87">
        <v>0.166667</v>
      </c>
      <c r="AA1102" s="87">
        <v>0.266667</v>
      </c>
      <c r="AB1102" s="87">
        <v>0.342447</v>
      </c>
      <c r="AC1102" s="87">
        <v>0.191129</v>
      </c>
      <c r="AD1102" s="87">
        <v>0.0</v>
      </c>
      <c r="AE1102" s="87">
        <v>0.0</v>
      </c>
      <c r="AF1102" s="87">
        <v>0.0</v>
      </c>
      <c r="AG1102" s="87">
        <v>0.0</v>
      </c>
      <c r="AH1102" s="87">
        <v>0.001005</v>
      </c>
      <c r="AI1102" s="87">
        <v>2.646209</v>
      </c>
      <c r="AJ1102" s="87">
        <v>2.730535</v>
      </c>
      <c r="AK1102" s="87">
        <v>1.512037</v>
      </c>
      <c r="AL1102" s="88" t="s">
        <v>1396</v>
      </c>
    </row>
    <row r="1103">
      <c r="A1103" s="84" t="s">
        <v>2851</v>
      </c>
      <c r="B1103" s="84" t="s">
        <v>2866</v>
      </c>
      <c r="C1103" s="84" t="s">
        <v>2836</v>
      </c>
      <c r="D1103" s="84" t="s">
        <v>2867</v>
      </c>
      <c r="E1103" s="84" t="s">
        <v>1413</v>
      </c>
      <c r="F1103" s="87">
        <v>1.0</v>
      </c>
      <c r="G1103" s="87">
        <v>0.0</v>
      </c>
      <c r="H1103" s="87">
        <v>0.0</v>
      </c>
      <c r="I1103" s="87">
        <v>0.0</v>
      </c>
      <c r="J1103" s="87">
        <v>0.0</v>
      </c>
      <c r="K1103" s="87">
        <v>0.0</v>
      </c>
      <c r="L1103" s="87">
        <v>0.0</v>
      </c>
      <c r="M1103" s="87">
        <v>0.0</v>
      </c>
      <c r="N1103" s="87">
        <v>0.0</v>
      </c>
      <c r="O1103" s="87">
        <v>0.0</v>
      </c>
      <c r="P1103" s="87">
        <v>0.0</v>
      </c>
      <c r="Q1103" s="87">
        <v>0.0</v>
      </c>
      <c r="R1103" s="87">
        <v>0.0</v>
      </c>
      <c r="S1103" s="87">
        <v>0.0</v>
      </c>
      <c r="T1103" s="87">
        <v>0.0</v>
      </c>
      <c r="U1103" s="87">
        <v>0.0</v>
      </c>
      <c r="V1103" s="87">
        <v>0.0</v>
      </c>
      <c r="W1103" s="87">
        <v>0.0</v>
      </c>
      <c r="X1103" s="87">
        <v>0.0</v>
      </c>
      <c r="Y1103" s="87">
        <v>0.0</v>
      </c>
      <c r="Z1103" s="87">
        <v>0.0</v>
      </c>
      <c r="AA1103" s="87">
        <v>0.431183</v>
      </c>
      <c r="AB1103" s="87">
        <v>0.104418</v>
      </c>
      <c r="AC1103" s="87">
        <v>0.045455</v>
      </c>
      <c r="AD1103" s="87">
        <v>0.85779</v>
      </c>
      <c r="AE1103" s="87">
        <v>3.516224</v>
      </c>
      <c r="AF1103" s="87">
        <v>2.330223</v>
      </c>
      <c r="AG1103" s="87">
        <v>1.545856</v>
      </c>
      <c r="AH1103" s="87">
        <v>0.001005</v>
      </c>
      <c r="AI1103" s="87">
        <v>2.646209</v>
      </c>
      <c r="AJ1103" s="87">
        <v>2.730535</v>
      </c>
      <c r="AK1103" s="87">
        <v>1.512037</v>
      </c>
      <c r="AL1103" s="88" t="s">
        <v>1396</v>
      </c>
    </row>
    <row r="1104">
      <c r="A1104" s="84" t="s">
        <v>2843</v>
      </c>
      <c r="B1104" s="84" t="s">
        <v>2868</v>
      </c>
      <c r="C1104" s="84" t="s">
        <v>2836</v>
      </c>
      <c r="D1104" s="84" t="s">
        <v>2867</v>
      </c>
      <c r="E1104" s="84" t="s">
        <v>1398</v>
      </c>
      <c r="F1104" s="87">
        <v>1.0</v>
      </c>
      <c r="G1104" s="87">
        <v>0.0</v>
      </c>
      <c r="H1104" s="87">
        <v>181.0</v>
      </c>
      <c r="I1104" s="87">
        <v>0.0</v>
      </c>
      <c r="J1104" s="87">
        <v>0.357143</v>
      </c>
      <c r="K1104" s="87">
        <v>0.431183</v>
      </c>
      <c r="L1104" s="87">
        <v>0.467875</v>
      </c>
      <c r="M1104" s="87">
        <v>0.431183</v>
      </c>
      <c r="N1104" s="87">
        <v>1.0</v>
      </c>
      <c r="O1104" s="87">
        <v>0.431183</v>
      </c>
      <c r="P1104" s="87">
        <v>0.431183</v>
      </c>
      <c r="Q1104" s="87">
        <v>0.431183</v>
      </c>
      <c r="R1104" s="87">
        <v>0.431183</v>
      </c>
      <c r="S1104" s="87">
        <v>0.431183</v>
      </c>
      <c r="T1104" s="87">
        <v>0.431183</v>
      </c>
      <c r="U1104" s="87">
        <v>0.431183</v>
      </c>
      <c r="V1104" s="87">
        <v>0.431183</v>
      </c>
      <c r="W1104" s="87">
        <v>0.431183</v>
      </c>
      <c r="X1104" s="87">
        <v>0.431183</v>
      </c>
      <c r="Y1104" s="87">
        <v>0.431183</v>
      </c>
      <c r="Z1104" s="87">
        <v>0.0</v>
      </c>
      <c r="AA1104" s="87">
        <v>0.431183</v>
      </c>
      <c r="AB1104" s="87">
        <v>0.104418</v>
      </c>
      <c r="AC1104" s="87">
        <v>0.045455</v>
      </c>
      <c r="AD1104" s="87">
        <v>0.665591</v>
      </c>
      <c r="AE1104" s="87">
        <v>1.238466</v>
      </c>
      <c r="AF1104" s="87">
        <v>3.450453</v>
      </c>
      <c r="AG1104" s="87">
        <v>3.160769</v>
      </c>
      <c r="AH1104" s="87">
        <v>0.001005</v>
      </c>
      <c r="AI1104" s="87">
        <v>2.646209</v>
      </c>
      <c r="AJ1104" s="87">
        <v>2.730535</v>
      </c>
      <c r="AK1104" s="87">
        <v>1.512037</v>
      </c>
      <c r="AL1104" s="88" t="s">
        <v>1396</v>
      </c>
    </row>
    <row r="1105">
      <c r="A1105" s="84" t="s">
        <v>2834</v>
      </c>
      <c r="B1105" s="84" t="s">
        <v>2869</v>
      </c>
      <c r="C1105" s="84" t="s">
        <v>2836</v>
      </c>
      <c r="D1105" s="84" t="s">
        <v>2867</v>
      </c>
      <c r="E1105" s="84" t="s">
        <v>1400</v>
      </c>
      <c r="F1105" s="87">
        <v>2.0</v>
      </c>
      <c r="G1105" s="87">
        <v>1.0</v>
      </c>
      <c r="H1105" s="87">
        <v>163.0</v>
      </c>
      <c r="I1105" s="87">
        <v>81.0</v>
      </c>
      <c r="J1105" s="87">
        <v>0.0</v>
      </c>
      <c r="K1105" s="87">
        <v>0.090909</v>
      </c>
      <c r="L1105" s="87">
        <v>0.34636</v>
      </c>
      <c r="M1105" s="87">
        <v>0.090909</v>
      </c>
      <c r="N1105" s="87">
        <v>1.0</v>
      </c>
      <c r="O1105" s="87">
        <v>0.0</v>
      </c>
      <c r="P1105" s="87">
        <v>0.0</v>
      </c>
      <c r="Q1105" s="87">
        <v>0.0</v>
      </c>
      <c r="R1105" s="87">
        <v>0.090909</v>
      </c>
      <c r="S1105" s="87">
        <v>0.090909</v>
      </c>
      <c r="T1105" s="87">
        <v>0.090909</v>
      </c>
      <c r="U1105" s="87">
        <v>0.090909</v>
      </c>
      <c r="V1105" s="87">
        <v>0.090909</v>
      </c>
      <c r="W1105" s="87">
        <v>0.090909</v>
      </c>
      <c r="X1105" s="87">
        <v>0.090909</v>
      </c>
      <c r="Y1105" s="87">
        <v>0.045455</v>
      </c>
      <c r="Z1105" s="87">
        <v>0.0</v>
      </c>
      <c r="AA1105" s="87">
        <v>0.431183</v>
      </c>
      <c r="AB1105" s="87">
        <v>0.104418</v>
      </c>
      <c r="AC1105" s="87">
        <v>0.045455</v>
      </c>
      <c r="AD1105" s="87">
        <v>0.930127</v>
      </c>
      <c r="AE1105" s="87">
        <v>1.239319</v>
      </c>
      <c r="AF1105" s="87">
        <v>2.63851</v>
      </c>
      <c r="AG1105" s="87">
        <v>0.940054</v>
      </c>
      <c r="AH1105" s="87">
        <v>0.001005</v>
      </c>
      <c r="AI1105" s="87">
        <v>2.646209</v>
      </c>
      <c r="AJ1105" s="87">
        <v>2.730535</v>
      </c>
      <c r="AK1105" s="87">
        <v>1.512037</v>
      </c>
      <c r="AL1105" s="88" t="s">
        <v>1396</v>
      </c>
    </row>
    <row r="1106">
      <c r="A1106" s="84" t="s">
        <v>2846</v>
      </c>
      <c r="B1106" s="84" t="s">
        <v>2870</v>
      </c>
      <c r="C1106" s="84" t="s">
        <v>2836</v>
      </c>
      <c r="D1106" s="84" t="s">
        <v>2867</v>
      </c>
      <c r="E1106" s="84" t="s">
        <v>1403</v>
      </c>
      <c r="F1106" s="87">
        <v>1.0</v>
      </c>
      <c r="G1106" s="87">
        <v>0.0</v>
      </c>
      <c r="H1106" s="87">
        <v>0.0</v>
      </c>
      <c r="I1106" s="87">
        <v>0.0</v>
      </c>
      <c r="J1106" s="87">
        <v>0.0</v>
      </c>
      <c r="K1106" s="87">
        <v>0.0</v>
      </c>
      <c r="L1106" s="87">
        <v>0.0</v>
      </c>
      <c r="M1106" s="87">
        <v>0.0</v>
      </c>
      <c r="N1106" s="87">
        <v>0.0</v>
      </c>
      <c r="O1106" s="87">
        <v>0.0</v>
      </c>
      <c r="P1106" s="87">
        <v>0.0</v>
      </c>
      <c r="Q1106" s="87">
        <v>0.0</v>
      </c>
      <c r="R1106" s="87">
        <v>0.0</v>
      </c>
      <c r="S1106" s="87">
        <v>0.0</v>
      </c>
      <c r="T1106" s="87">
        <v>0.0</v>
      </c>
      <c r="U1106" s="87">
        <v>0.0</v>
      </c>
      <c r="V1106" s="87">
        <v>0.0</v>
      </c>
      <c r="W1106" s="87">
        <v>0.0</v>
      </c>
      <c r="X1106" s="87">
        <v>0.0</v>
      </c>
      <c r="Y1106" s="87">
        <v>0.0</v>
      </c>
      <c r="Z1106" s="87">
        <v>0.0</v>
      </c>
      <c r="AA1106" s="87">
        <v>0.431183</v>
      </c>
      <c r="AB1106" s="87">
        <v>0.104418</v>
      </c>
      <c r="AC1106" s="87">
        <v>0.045455</v>
      </c>
      <c r="AD1106" s="87">
        <v>0.0</v>
      </c>
      <c r="AE1106" s="87">
        <v>0.0</v>
      </c>
      <c r="AF1106" s="87">
        <v>0.0</v>
      </c>
      <c r="AG1106" s="87">
        <v>0.0</v>
      </c>
      <c r="AH1106" s="87">
        <v>0.001005</v>
      </c>
      <c r="AI1106" s="87">
        <v>2.646209</v>
      </c>
      <c r="AJ1106" s="87">
        <v>2.730535</v>
      </c>
      <c r="AK1106" s="87">
        <v>1.512037</v>
      </c>
      <c r="AL1106" s="88" t="s">
        <v>1396</v>
      </c>
    </row>
    <row r="1107">
      <c r="A1107" s="84" t="s">
        <v>2838</v>
      </c>
      <c r="B1107" s="84" t="s">
        <v>2871</v>
      </c>
      <c r="C1107" s="84" t="s">
        <v>2836</v>
      </c>
      <c r="D1107" s="84" t="s">
        <v>2872</v>
      </c>
      <c r="E1107" s="84" t="s">
        <v>1426</v>
      </c>
      <c r="F1107" s="87">
        <v>5.0</v>
      </c>
      <c r="G1107" s="87">
        <v>0.0</v>
      </c>
      <c r="H1107" s="87">
        <v>2058.0</v>
      </c>
      <c r="I1107" s="87">
        <v>0.0</v>
      </c>
      <c r="J1107" s="87">
        <v>18.61566</v>
      </c>
      <c r="K1107" s="87">
        <v>19.141</v>
      </c>
      <c r="L1107" s="87">
        <v>21.42197</v>
      </c>
      <c r="M1107" s="87">
        <v>10.00693</v>
      </c>
      <c r="N1107" s="87">
        <v>0.522801</v>
      </c>
      <c r="O1107" s="87">
        <v>0.0</v>
      </c>
      <c r="P1107" s="87">
        <v>0.0</v>
      </c>
      <c r="Q1107" s="87">
        <v>0.0</v>
      </c>
      <c r="R1107" s="87">
        <v>0.0</v>
      </c>
      <c r="S1107" s="87">
        <v>9.134076</v>
      </c>
      <c r="T1107" s="87">
        <v>9.134076</v>
      </c>
      <c r="U1107" s="87">
        <v>9.134076</v>
      </c>
      <c r="V1107" s="87">
        <v>9.134076</v>
      </c>
      <c r="W1107" s="87">
        <v>10.00693</v>
      </c>
      <c r="X1107" s="87">
        <v>10.00693</v>
      </c>
      <c r="Y1107" s="87">
        <v>3.8282</v>
      </c>
      <c r="Z1107" s="87">
        <v>0.0</v>
      </c>
      <c r="AA1107" s="87">
        <v>3.496714</v>
      </c>
      <c r="AB1107" s="87">
        <v>1.643597</v>
      </c>
      <c r="AC1107" s="87">
        <v>3.160769</v>
      </c>
      <c r="AD1107" s="87">
        <v>4.317477</v>
      </c>
      <c r="AE1107" s="87">
        <v>9.690421</v>
      </c>
      <c r="AF1107" s="87">
        <v>8.606006</v>
      </c>
      <c r="AG1107" s="87">
        <v>3.8282</v>
      </c>
      <c r="AH1107" s="87">
        <v>0.001005</v>
      </c>
      <c r="AI1107" s="87">
        <v>2.646209</v>
      </c>
      <c r="AJ1107" s="87">
        <v>2.730535</v>
      </c>
      <c r="AK1107" s="87">
        <v>1.512037</v>
      </c>
      <c r="AL1107" s="88" t="s">
        <v>1396</v>
      </c>
    </row>
    <row r="1108">
      <c r="A1108" s="84" t="s">
        <v>2841</v>
      </c>
      <c r="B1108" s="84" t="s">
        <v>2873</v>
      </c>
      <c r="C1108" s="84" t="s">
        <v>2836</v>
      </c>
      <c r="D1108" s="84" t="s">
        <v>2872</v>
      </c>
      <c r="E1108" s="86">
        <v>46310.0</v>
      </c>
      <c r="F1108" s="87">
        <v>5.0</v>
      </c>
      <c r="G1108" s="87">
        <v>0.0</v>
      </c>
      <c r="H1108" s="87">
        <v>1532.0</v>
      </c>
      <c r="I1108" s="87">
        <v>0.0</v>
      </c>
      <c r="J1108" s="87">
        <v>17.13535</v>
      </c>
      <c r="K1108" s="87">
        <v>15.81713</v>
      </c>
      <c r="L1108" s="87">
        <v>11.85741</v>
      </c>
      <c r="M1108" s="87">
        <v>6.109719</v>
      </c>
      <c r="N1108" s="87">
        <v>0.386272</v>
      </c>
      <c r="O1108" s="87">
        <v>0.0</v>
      </c>
      <c r="P1108" s="87">
        <v>0.641328</v>
      </c>
      <c r="Q1108" s="87">
        <v>0.641328</v>
      </c>
      <c r="R1108" s="87">
        <v>3.496714</v>
      </c>
      <c r="S1108" s="87">
        <v>5.569369</v>
      </c>
      <c r="T1108" s="87">
        <v>0.641328</v>
      </c>
      <c r="U1108" s="87">
        <v>0.641328</v>
      </c>
      <c r="V1108" s="87">
        <v>3.496714</v>
      </c>
      <c r="W1108" s="87">
        <v>5.569369</v>
      </c>
      <c r="X1108" s="87">
        <v>5.569369</v>
      </c>
      <c r="Y1108" s="87">
        <v>3.163426</v>
      </c>
      <c r="Z1108" s="87">
        <v>0.0</v>
      </c>
      <c r="AA1108" s="87">
        <v>3.496714</v>
      </c>
      <c r="AB1108" s="87">
        <v>1.643597</v>
      </c>
      <c r="AC1108" s="87">
        <v>3.160769</v>
      </c>
      <c r="AD1108" s="87">
        <v>2.744426</v>
      </c>
      <c r="AE1108" s="87">
        <v>3.135744</v>
      </c>
      <c r="AF1108" s="87">
        <v>4.16592</v>
      </c>
      <c r="AG1108" s="87">
        <v>2.744426</v>
      </c>
      <c r="AH1108" s="87">
        <v>0.001005</v>
      </c>
      <c r="AI1108" s="87">
        <v>2.646209</v>
      </c>
      <c r="AJ1108" s="87">
        <v>2.730535</v>
      </c>
      <c r="AK1108" s="87">
        <v>1.512037</v>
      </c>
      <c r="AL1108" s="88" t="s">
        <v>1396</v>
      </c>
    </row>
    <row r="1109">
      <c r="A1109" s="84" t="s">
        <v>2851</v>
      </c>
      <c r="B1109" s="84" t="s">
        <v>2874</v>
      </c>
      <c r="C1109" s="84" t="s">
        <v>2836</v>
      </c>
      <c r="D1109" s="84" t="s">
        <v>2872</v>
      </c>
      <c r="E1109" s="84" t="s">
        <v>1413</v>
      </c>
      <c r="F1109" s="87">
        <v>4.0</v>
      </c>
      <c r="G1109" s="87">
        <v>0.0</v>
      </c>
      <c r="H1109" s="87">
        <v>813.0</v>
      </c>
      <c r="I1109" s="87">
        <v>0.0</v>
      </c>
      <c r="J1109" s="87">
        <v>6.974143</v>
      </c>
      <c r="K1109" s="87">
        <v>6.183424</v>
      </c>
      <c r="L1109" s="87">
        <v>5.697452</v>
      </c>
      <c r="M1109" s="87">
        <v>4.990186</v>
      </c>
      <c r="N1109" s="87">
        <v>0.807026</v>
      </c>
      <c r="O1109" s="87">
        <v>0.0</v>
      </c>
      <c r="P1109" s="87">
        <v>0.0</v>
      </c>
      <c r="Q1109" s="87">
        <v>0.335447</v>
      </c>
      <c r="R1109" s="87">
        <v>0.85779</v>
      </c>
      <c r="S1109" s="87">
        <v>0.85779</v>
      </c>
      <c r="T1109" s="87">
        <v>0.335447</v>
      </c>
      <c r="U1109" s="87">
        <v>0.335447</v>
      </c>
      <c r="V1109" s="87">
        <v>0.335447</v>
      </c>
      <c r="W1109" s="87">
        <v>0.85779</v>
      </c>
      <c r="X1109" s="87">
        <v>4.990186</v>
      </c>
      <c r="Y1109" s="87">
        <v>1.545856</v>
      </c>
      <c r="Z1109" s="87">
        <v>0.0</v>
      </c>
      <c r="AA1109" s="87">
        <v>3.496714</v>
      </c>
      <c r="AB1109" s="87">
        <v>1.643597</v>
      </c>
      <c r="AC1109" s="87">
        <v>3.160769</v>
      </c>
      <c r="AD1109" s="87">
        <v>0.85779</v>
      </c>
      <c r="AE1109" s="87">
        <v>3.516224</v>
      </c>
      <c r="AF1109" s="87">
        <v>2.330223</v>
      </c>
      <c r="AG1109" s="87">
        <v>1.545856</v>
      </c>
      <c r="AH1109" s="87">
        <v>0.001005</v>
      </c>
      <c r="AI1109" s="87">
        <v>2.646209</v>
      </c>
      <c r="AJ1109" s="87">
        <v>2.730535</v>
      </c>
      <c r="AK1109" s="87">
        <v>1.512037</v>
      </c>
      <c r="AL1109" s="88" t="s">
        <v>1396</v>
      </c>
    </row>
    <row r="1110">
      <c r="A1110" s="84" t="s">
        <v>2843</v>
      </c>
      <c r="B1110" s="84" t="s">
        <v>2875</v>
      </c>
      <c r="C1110" s="84" t="s">
        <v>2836</v>
      </c>
      <c r="D1110" s="84" t="s">
        <v>2872</v>
      </c>
      <c r="E1110" s="84" t="s">
        <v>1398</v>
      </c>
      <c r="F1110" s="87">
        <v>3.0</v>
      </c>
      <c r="G1110" s="87">
        <v>0.0</v>
      </c>
      <c r="H1110" s="87">
        <v>1430.0</v>
      </c>
      <c r="I1110" s="87">
        <v>0.0</v>
      </c>
      <c r="J1110" s="87">
        <v>8.794222</v>
      </c>
      <c r="K1110" s="87">
        <v>9.482308</v>
      </c>
      <c r="L1110" s="87">
        <v>8.973788</v>
      </c>
      <c r="M1110" s="87">
        <v>6.026105</v>
      </c>
      <c r="N1110" s="87">
        <v>0.63551</v>
      </c>
      <c r="O1110" s="87">
        <v>1.238466</v>
      </c>
      <c r="P1110" s="87">
        <v>1.238466</v>
      </c>
      <c r="Q1110" s="87">
        <v>1.238466</v>
      </c>
      <c r="R1110" s="87">
        <v>2.217737</v>
      </c>
      <c r="S1110" s="87">
        <v>6.026105</v>
      </c>
      <c r="T1110" s="87">
        <v>1.238466</v>
      </c>
      <c r="U1110" s="87">
        <v>1.238466</v>
      </c>
      <c r="V1110" s="87">
        <v>1.238466</v>
      </c>
      <c r="W1110" s="87">
        <v>2.217737</v>
      </c>
      <c r="X1110" s="87">
        <v>6.026105</v>
      </c>
      <c r="Y1110" s="87">
        <v>3.160769</v>
      </c>
      <c r="Z1110" s="87">
        <v>0.0</v>
      </c>
      <c r="AA1110" s="87">
        <v>3.496714</v>
      </c>
      <c r="AB1110" s="87">
        <v>1.643597</v>
      </c>
      <c r="AC1110" s="87">
        <v>3.160769</v>
      </c>
      <c r="AD1110" s="87">
        <v>0.665591</v>
      </c>
      <c r="AE1110" s="87">
        <v>1.238466</v>
      </c>
      <c r="AF1110" s="87">
        <v>3.450453</v>
      </c>
      <c r="AG1110" s="87">
        <v>3.160769</v>
      </c>
      <c r="AH1110" s="87">
        <v>0.001005</v>
      </c>
      <c r="AI1110" s="87">
        <v>2.646209</v>
      </c>
      <c r="AJ1110" s="87">
        <v>2.730535</v>
      </c>
      <c r="AK1110" s="87">
        <v>1.512037</v>
      </c>
      <c r="AL1110" s="88" t="s">
        <v>1396</v>
      </c>
    </row>
    <row r="1111">
      <c r="A1111" s="84" t="s">
        <v>2834</v>
      </c>
      <c r="B1111" s="84" t="s">
        <v>2876</v>
      </c>
      <c r="C1111" s="84" t="s">
        <v>2836</v>
      </c>
      <c r="D1111" s="84" t="s">
        <v>2872</v>
      </c>
      <c r="E1111" s="84" t="s">
        <v>1400</v>
      </c>
      <c r="F1111" s="87">
        <v>10.0</v>
      </c>
      <c r="G1111" s="87">
        <v>0.0</v>
      </c>
      <c r="H1111" s="87">
        <v>2936.0</v>
      </c>
      <c r="I1111" s="87">
        <v>0.0</v>
      </c>
      <c r="J1111" s="87">
        <v>23.39892</v>
      </c>
      <c r="K1111" s="87">
        <v>20.24646</v>
      </c>
      <c r="L1111" s="87">
        <v>20.29769</v>
      </c>
      <c r="M1111" s="87">
        <v>10.05991</v>
      </c>
      <c r="N1111" s="87">
        <v>0.496873</v>
      </c>
      <c r="O1111" s="87">
        <v>0.0625</v>
      </c>
      <c r="P1111" s="87">
        <v>0.298925</v>
      </c>
      <c r="Q1111" s="87">
        <v>0.715489</v>
      </c>
      <c r="R1111" s="87">
        <v>1.825223</v>
      </c>
      <c r="S1111" s="87">
        <v>3.474157</v>
      </c>
      <c r="T1111" s="87">
        <v>0.0625</v>
      </c>
      <c r="U1111" s="87">
        <v>0.298925</v>
      </c>
      <c r="V1111" s="87">
        <v>0.715489</v>
      </c>
      <c r="W1111" s="87">
        <v>1.825223</v>
      </c>
      <c r="X1111" s="87">
        <v>3.474157</v>
      </c>
      <c r="Y1111" s="87">
        <v>2.024646</v>
      </c>
      <c r="Z1111" s="87">
        <v>0.0</v>
      </c>
      <c r="AA1111" s="87">
        <v>3.496714</v>
      </c>
      <c r="AB1111" s="87">
        <v>1.643597</v>
      </c>
      <c r="AC1111" s="87">
        <v>3.160769</v>
      </c>
      <c r="AD1111" s="87">
        <v>0.930127</v>
      </c>
      <c r="AE1111" s="87">
        <v>1.239319</v>
      </c>
      <c r="AF1111" s="87">
        <v>2.63851</v>
      </c>
      <c r="AG1111" s="87">
        <v>0.940054</v>
      </c>
      <c r="AH1111" s="87">
        <v>0.001005</v>
      </c>
      <c r="AI1111" s="87">
        <v>2.646209</v>
      </c>
      <c r="AJ1111" s="87">
        <v>2.730535</v>
      </c>
      <c r="AK1111" s="87">
        <v>1.512037</v>
      </c>
      <c r="AL1111" s="88" t="s">
        <v>1396</v>
      </c>
    </row>
    <row r="1112">
      <c r="A1112" s="84" t="s">
        <v>2855</v>
      </c>
      <c r="B1112" s="84" t="s">
        <v>2877</v>
      </c>
      <c r="C1112" s="84" t="s">
        <v>2836</v>
      </c>
      <c r="D1112" s="84" t="s">
        <v>2872</v>
      </c>
      <c r="E1112" s="86">
        <v>46300.0</v>
      </c>
      <c r="F1112" s="87">
        <v>9.0</v>
      </c>
      <c r="G1112" s="87">
        <v>0.0</v>
      </c>
      <c r="H1112" s="87">
        <v>4592.0</v>
      </c>
      <c r="I1112" s="87">
        <v>0.0</v>
      </c>
      <c r="J1112" s="87">
        <v>44.12903</v>
      </c>
      <c r="K1112" s="87">
        <v>45.8251</v>
      </c>
      <c r="L1112" s="87">
        <v>46.8235</v>
      </c>
      <c r="M1112" s="87">
        <v>22.4548</v>
      </c>
      <c r="N1112" s="87">
        <v>0.490011</v>
      </c>
      <c r="O1112" s="87">
        <v>0.0</v>
      </c>
      <c r="P1112" s="87">
        <v>2.041884</v>
      </c>
      <c r="Q1112" s="87">
        <v>2.29262</v>
      </c>
      <c r="R1112" s="87">
        <v>3.795101</v>
      </c>
      <c r="S1112" s="87">
        <v>6.98651</v>
      </c>
      <c r="T1112" s="87">
        <v>2.041884</v>
      </c>
      <c r="U1112" s="87">
        <v>2.29262</v>
      </c>
      <c r="V1112" s="87">
        <v>3.501824</v>
      </c>
      <c r="W1112" s="87">
        <v>4.752364</v>
      </c>
      <c r="X1112" s="87">
        <v>6.98651</v>
      </c>
      <c r="Y1112" s="87">
        <v>5.091678</v>
      </c>
      <c r="Z1112" s="87">
        <v>0.0</v>
      </c>
      <c r="AA1112" s="87">
        <v>3.496714</v>
      </c>
      <c r="AB1112" s="87">
        <v>1.643597</v>
      </c>
      <c r="AC1112" s="87">
        <v>3.160769</v>
      </c>
      <c r="AD1112" s="87">
        <v>3.748431</v>
      </c>
      <c r="AE1112" s="87">
        <v>4.786232</v>
      </c>
      <c r="AF1112" s="87">
        <v>8.421955</v>
      </c>
      <c r="AG1112" s="87">
        <v>6.640622</v>
      </c>
      <c r="AH1112" s="87">
        <v>0.001005</v>
      </c>
      <c r="AI1112" s="87">
        <v>2.646209</v>
      </c>
      <c r="AJ1112" s="87">
        <v>2.730535</v>
      </c>
      <c r="AK1112" s="87">
        <v>1.512037</v>
      </c>
      <c r="AL1112" s="88" t="s">
        <v>1396</v>
      </c>
    </row>
    <row r="1113">
      <c r="A1113" s="84" t="s">
        <v>2846</v>
      </c>
      <c r="B1113" s="84" t="s">
        <v>2878</v>
      </c>
      <c r="C1113" s="84" t="s">
        <v>2836</v>
      </c>
      <c r="D1113" s="84" t="s">
        <v>2872</v>
      </c>
      <c r="E1113" s="84" t="s">
        <v>1403</v>
      </c>
      <c r="F1113" s="87">
        <v>35.0</v>
      </c>
      <c r="G1113" s="87">
        <v>3.0</v>
      </c>
      <c r="H1113" s="87">
        <v>262.0</v>
      </c>
      <c r="I1113" s="87">
        <v>262.0</v>
      </c>
      <c r="J1113" s="87">
        <v>0.0</v>
      </c>
      <c r="K1113" s="87">
        <v>0.0</v>
      </c>
      <c r="L1113" s="87">
        <v>0.0</v>
      </c>
      <c r="M1113" s="87">
        <v>0.0</v>
      </c>
      <c r="N1113" s="87">
        <v>0.0</v>
      </c>
      <c r="O1113" s="87">
        <v>0.0</v>
      </c>
      <c r="P1113" s="87">
        <v>0.0</v>
      </c>
      <c r="Q1113" s="87">
        <v>0.0</v>
      </c>
      <c r="R1113" s="87">
        <v>0.0</v>
      </c>
      <c r="S1113" s="87">
        <v>0.0</v>
      </c>
      <c r="T1113" s="87">
        <v>0.0</v>
      </c>
      <c r="U1113" s="87">
        <v>0.0</v>
      </c>
      <c r="V1113" s="87">
        <v>0.0</v>
      </c>
      <c r="W1113" s="87">
        <v>0.0</v>
      </c>
      <c r="X1113" s="87">
        <v>0.0</v>
      </c>
      <c r="Y1113" s="87">
        <v>0.0</v>
      </c>
      <c r="Z1113" s="87">
        <v>0.0</v>
      </c>
      <c r="AA1113" s="87">
        <v>3.496714</v>
      </c>
      <c r="AB1113" s="87">
        <v>1.643597</v>
      </c>
      <c r="AC1113" s="87">
        <v>3.160769</v>
      </c>
      <c r="AD1113" s="87">
        <v>0.0</v>
      </c>
      <c r="AE1113" s="87">
        <v>0.0</v>
      </c>
      <c r="AF1113" s="87">
        <v>0.0</v>
      </c>
      <c r="AG1113" s="87">
        <v>0.0</v>
      </c>
      <c r="AH1113" s="87">
        <v>0.001005</v>
      </c>
      <c r="AI1113" s="87">
        <v>2.646209</v>
      </c>
      <c r="AJ1113" s="87">
        <v>2.730535</v>
      </c>
      <c r="AK1113" s="87">
        <v>1.512037</v>
      </c>
      <c r="AL1113" s="88" t="s">
        <v>1396</v>
      </c>
    </row>
    <row r="1114">
      <c r="A1114" s="84" t="s">
        <v>2841</v>
      </c>
      <c r="B1114" s="84" t="s">
        <v>2879</v>
      </c>
      <c r="C1114" s="84" t="s">
        <v>2836</v>
      </c>
      <c r="D1114" s="84" t="s">
        <v>2880</v>
      </c>
      <c r="E1114" s="86">
        <v>46310.0</v>
      </c>
      <c r="F1114" s="87">
        <v>9.0</v>
      </c>
      <c r="G1114" s="87">
        <v>0.0</v>
      </c>
      <c r="H1114" s="87">
        <v>3150.0</v>
      </c>
      <c r="I1114" s="87">
        <v>0.0</v>
      </c>
      <c r="J1114" s="87">
        <v>19.74637</v>
      </c>
      <c r="K1114" s="87">
        <v>20.22405</v>
      </c>
      <c r="L1114" s="87">
        <v>21.26412</v>
      </c>
      <c r="M1114" s="87">
        <v>10.51899</v>
      </c>
      <c r="N1114" s="87">
        <v>0.520123</v>
      </c>
      <c r="O1114" s="87">
        <v>0.1</v>
      </c>
      <c r="P1114" s="87">
        <v>0.332258</v>
      </c>
      <c r="Q1114" s="87">
        <v>0.66129</v>
      </c>
      <c r="R1114" s="87">
        <v>1.894148</v>
      </c>
      <c r="S1114" s="87">
        <v>2.677494</v>
      </c>
      <c r="T1114" s="87">
        <v>0.1</v>
      </c>
      <c r="U1114" s="87">
        <v>0.332258</v>
      </c>
      <c r="V1114" s="87">
        <v>0.66129</v>
      </c>
      <c r="W1114" s="87">
        <v>1.894148</v>
      </c>
      <c r="X1114" s="87">
        <v>2.677494</v>
      </c>
      <c r="Y1114" s="87">
        <v>2.247117</v>
      </c>
      <c r="Z1114" s="87">
        <v>0.916667</v>
      </c>
      <c r="AA1114" s="87">
        <v>1.602652</v>
      </c>
      <c r="AB1114" s="87">
        <v>1.866965</v>
      </c>
      <c r="AC1114" s="87">
        <v>2.247117</v>
      </c>
      <c r="AD1114" s="87">
        <v>2.744426</v>
      </c>
      <c r="AE1114" s="87">
        <v>3.135744</v>
      </c>
      <c r="AF1114" s="87">
        <v>4.16592</v>
      </c>
      <c r="AG1114" s="87">
        <v>2.744426</v>
      </c>
      <c r="AH1114" s="87">
        <v>0.001005</v>
      </c>
      <c r="AI1114" s="87">
        <v>2.646209</v>
      </c>
      <c r="AJ1114" s="87">
        <v>2.730535</v>
      </c>
      <c r="AK1114" s="87">
        <v>1.512037</v>
      </c>
      <c r="AL1114" s="88" t="s">
        <v>1396</v>
      </c>
    </row>
    <row r="1115">
      <c r="A1115" s="84" t="s">
        <v>2851</v>
      </c>
      <c r="B1115" s="84" t="s">
        <v>2881</v>
      </c>
      <c r="C1115" s="84" t="s">
        <v>2836</v>
      </c>
      <c r="D1115" s="84" t="s">
        <v>2880</v>
      </c>
      <c r="E1115" s="84" t="s">
        <v>1413</v>
      </c>
      <c r="F1115" s="87">
        <v>3.0</v>
      </c>
      <c r="G1115" s="87">
        <v>0.0</v>
      </c>
      <c r="H1115" s="87">
        <v>1696.0</v>
      </c>
      <c r="I1115" s="87">
        <v>0.0</v>
      </c>
      <c r="J1115" s="87">
        <v>11.49374</v>
      </c>
      <c r="K1115" s="87">
        <v>12.82581</v>
      </c>
      <c r="L1115" s="87">
        <v>13.45674</v>
      </c>
      <c r="M1115" s="87">
        <v>5.927734</v>
      </c>
      <c r="N1115" s="87">
        <v>0.462172</v>
      </c>
      <c r="O1115" s="87">
        <v>3.266418</v>
      </c>
      <c r="P1115" s="87">
        <v>3.266418</v>
      </c>
      <c r="Q1115" s="87">
        <v>3.266418</v>
      </c>
      <c r="R1115" s="87">
        <v>3.631654</v>
      </c>
      <c r="S1115" s="87">
        <v>5.927734</v>
      </c>
      <c r="T1115" s="87">
        <v>3.266418</v>
      </c>
      <c r="U1115" s="87">
        <v>3.266418</v>
      </c>
      <c r="V1115" s="87">
        <v>3.266418</v>
      </c>
      <c r="W1115" s="87">
        <v>3.631654</v>
      </c>
      <c r="X1115" s="87">
        <v>5.927734</v>
      </c>
      <c r="Y1115" s="87">
        <v>4.275269</v>
      </c>
      <c r="Z1115" s="87">
        <v>0.916667</v>
      </c>
      <c r="AA1115" s="87">
        <v>1.602652</v>
      </c>
      <c r="AB1115" s="87">
        <v>1.866965</v>
      </c>
      <c r="AC1115" s="87">
        <v>2.247117</v>
      </c>
      <c r="AD1115" s="87">
        <v>0.85779</v>
      </c>
      <c r="AE1115" s="87">
        <v>3.516224</v>
      </c>
      <c r="AF1115" s="87">
        <v>2.330223</v>
      </c>
      <c r="AG1115" s="87">
        <v>1.545856</v>
      </c>
      <c r="AH1115" s="87">
        <v>0.001005</v>
      </c>
      <c r="AI1115" s="87">
        <v>2.646209</v>
      </c>
      <c r="AJ1115" s="87">
        <v>2.730535</v>
      </c>
      <c r="AK1115" s="87">
        <v>1.512037</v>
      </c>
      <c r="AL1115" s="88" t="s">
        <v>1396</v>
      </c>
    </row>
    <row r="1116">
      <c r="A1116" s="84" t="s">
        <v>2843</v>
      </c>
      <c r="B1116" s="84" t="s">
        <v>2882</v>
      </c>
      <c r="C1116" s="84" t="s">
        <v>2836</v>
      </c>
      <c r="D1116" s="84" t="s">
        <v>2880</v>
      </c>
      <c r="E1116" s="84" t="s">
        <v>1398</v>
      </c>
      <c r="F1116" s="87">
        <v>2.0</v>
      </c>
      <c r="G1116" s="87">
        <v>0.0</v>
      </c>
      <c r="H1116" s="87">
        <v>499.0</v>
      </c>
      <c r="I1116" s="87">
        <v>0.0</v>
      </c>
      <c r="J1116" s="87">
        <v>3.179487</v>
      </c>
      <c r="K1116" s="87">
        <v>3.024074</v>
      </c>
      <c r="L1116" s="87">
        <v>3.164491</v>
      </c>
      <c r="M1116" s="87">
        <v>1.598267</v>
      </c>
      <c r="N1116" s="87">
        <v>0.528514</v>
      </c>
      <c r="O1116" s="87">
        <v>1.425807</v>
      </c>
      <c r="P1116" s="87">
        <v>1.425807</v>
      </c>
      <c r="Q1116" s="87">
        <v>1.425807</v>
      </c>
      <c r="R1116" s="87">
        <v>1.598267</v>
      </c>
      <c r="S1116" s="87">
        <v>1.598267</v>
      </c>
      <c r="T1116" s="87">
        <v>1.425807</v>
      </c>
      <c r="U1116" s="87">
        <v>1.425807</v>
      </c>
      <c r="V1116" s="87">
        <v>1.425807</v>
      </c>
      <c r="W1116" s="87">
        <v>1.598267</v>
      </c>
      <c r="X1116" s="87">
        <v>1.598267</v>
      </c>
      <c r="Y1116" s="87">
        <v>1.512037</v>
      </c>
      <c r="Z1116" s="87">
        <v>0.916667</v>
      </c>
      <c r="AA1116" s="87">
        <v>1.602652</v>
      </c>
      <c r="AB1116" s="87">
        <v>1.866965</v>
      </c>
      <c r="AC1116" s="87">
        <v>2.247117</v>
      </c>
      <c r="AD1116" s="87">
        <v>0.665591</v>
      </c>
      <c r="AE1116" s="87">
        <v>1.238466</v>
      </c>
      <c r="AF1116" s="87">
        <v>3.450453</v>
      </c>
      <c r="AG1116" s="87">
        <v>3.160769</v>
      </c>
      <c r="AH1116" s="87">
        <v>0.001005</v>
      </c>
      <c r="AI1116" s="87">
        <v>2.646209</v>
      </c>
      <c r="AJ1116" s="87">
        <v>2.730535</v>
      </c>
      <c r="AK1116" s="87">
        <v>1.512037</v>
      </c>
      <c r="AL1116" s="88" t="s">
        <v>1396</v>
      </c>
    </row>
    <row r="1117">
      <c r="A1117" s="84" t="s">
        <v>2834</v>
      </c>
      <c r="B1117" s="84" t="s">
        <v>2883</v>
      </c>
      <c r="C1117" s="84" t="s">
        <v>2836</v>
      </c>
      <c r="D1117" s="84" t="s">
        <v>2880</v>
      </c>
      <c r="E1117" s="84" t="s">
        <v>1400</v>
      </c>
      <c r="F1117" s="87">
        <v>2.0</v>
      </c>
      <c r="G1117" s="87">
        <v>0.0</v>
      </c>
      <c r="H1117" s="87">
        <v>522.0</v>
      </c>
      <c r="I1117" s="87">
        <v>0.0</v>
      </c>
      <c r="J1117" s="87">
        <v>1.878571</v>
      </c>
      <c r="K1117" s="87">
        <v>1.880108</v>
      </c>
      <c r="L1117" s="87">
        <v>1.935807</v>
      </c>
      <c r="M1117" s="87">
        <v>0.963441</v>
      </c>
      <c r="N1117" s="87">
        <v>0.512439</v>
      </c>
      <c r="O1117" s="87">
        <v>0.916667</v>
      </c>
      <c r="P1117" s="87">
        <v>0.916667</v>
      </c>
      <c r="Q1117" s="87">
        <v>0.916667</v>
      </c>
      <c r="R1117" s="87">
        <v>0.963441</v>
      </c>
      <c r="S1117" s="87">
        <v>0.963441</v>
      </c>
      <c r="T1117" s="87">
        <v>0.916667</v>
      </c>
      <c r="U1117" s="87">
        <v>0.916667</v>
      </c>
      <c r="V1117" s="87">
        <v>0.916667</v>
      </c>
      <c r="W1117" s="87">
        <v>0.963441</v>
      </c>
      <c r="X1117" s="87">
        <v>0.963441</v>
      </c>
      <c r="Y1117" s="87">
        <v>0.940054</v>
      </c>
      <c r="Z1117" s="87">
        <v>0.916667</v>
      </c>
      <c r="AA1117" s="87">
        <v>1.602652</v>
      </c>
      <c r="AB1117" s="87">
        <v>1.866965</v>
      </c>
      <c r="AC1117" s="87">
        <v>2.247117</v>
      </c>
      <c r="AD1117" s="87">
        <v>0.930127</v>
      </c>
      <c r="AE1117" s="87">
        <v>1.239319</v>
      </c>
      <c r="AF1117" s="87">
        <v>2.63851</v>
      </c>
      <c r="AG1117" s="87">
        <v>0.940054</v>
      </c>
      <c r="AH1117" s="87">
        <v>0.001005</v>
      </c>
      <c r="AI1117" s="87">
        <v>2.646209</v>
      </c>
      <c r="AJ1117" s="87">
        <v>2.730535</v>
      </c>
      <c r="AK1117" s="87">
        <v>1.512037</v>
      </c>
      <c r="AL1117" s="88" t="s">
        <v>1396</v>
      </c>
    </row>
    <row r="1118">
      <c r="A1118" s="84" t="s">
        <v>2855</v>
      </c>
      <c r="B1118" s="84" t="s">
        <v>2884</v>
      </c>
      <c r="C1118" s="84" t="s">
        <v>2836</v>
      </c>
      <c r="D1118" s="84" t="s">
        <v>2880</v>
      </c>
      <c r="E1118" s="89">
        <v>46300.0</v>
      </c>
      <c r="F1118" s="87">
        <v>3.0</v>
      </c>
      <c r="G1118" s="87">
        <v>0.0</v>
      </c>
      <c r="H1118" s="87">
        <v>1486.0</v>
      </c>
      <c r="I1118" s="87">
        <v>0.0</v>
      </c>
      <c r="J1118" s="87">
        <v>19.53541</v>
      </c>
      <c r="K1118" s="87">
        <v>19.92186</v>
      </c>
      <c r="L1118" s="87">
        <v>21.14994</v>
      </c>
      <c r="M1118" s="87">
        <v>17.31921</v>
      </c>
      <c r="N1118" s="87">
        <v>0.869357</v>
      </c>
      <c r="O1118" s="87">
        <v>1.0</v>
      </c>
      <c r="P1118" s="87">
        <v>1.0</v>
      </c>
      <c r="Q1118" s="87">
        <v>1.0</v>
      </c>
      <c r="R1118" s="87">
        <v>1.602652</v>
      </c>
      <c r="S1118" s="87">
        <v>17.31921</v>
      </c>
      <c r="T1118" s="87">
        <v>1.0</v>
      </c>
      <c r="U1118" s="87">
        <v>1.0</v>
      </c>
      <c r="V1118" s="87">
        <v>1.0</v>
      </c>
      <c r="W1118" s="87">
        <v>1.602652</v>
      </c>
      <c r="X1118" s="87">
        <v>17.31921</v>
      </c>
      <c r="Y1118" s="87">
        <v>6.640622</v>
      </c>
      <c r="Z1118" s="87">
        <v>0.916667</v>
      </c>
      <c r="AA1118" s="87">
        <v>1.602652</v>
      </c>
      <c r="AB1118" s="87">
        <v>1.866965</v>
      </c>
      <c r="AC1118" s="87">
        <v>2.247117</v>
      </c>
      <c r="AD1118" s="87">
        <v>3.748431</v>
      </c>
      <c r="AE1118" s="87">
        <v>4.786232</v>
      </c>
      <c r="AF1118" s="87">
        <v>8.421955</v>
      </c>
      <c r="AG1118" s="87">
        <v>6.640622</v>
      </c>
      <c r="AH1118" s="87">
        <v>0.001005</v>
      </c>
      <c r="AI1118" s="87">
        <v>2.646209</v>
      </c>
      <c r="AJ1118" s="87">
        <v>2.730535</v>
      </c>
      <c r="AK1118" s="87">
        <v>1.512037</v>
      </c>
      <c r="AL1118" s="88" t="s">
        <v>1396</v>
      </c>
    </row>
    <row r="1119">
      <c r="A1119" s="84" t="s">
        <v>2846</v>
      </c>
      <c r="B1119" s="84" t="s">
        <v>2885</v>
      </c>
      <c r="C1119" s="84" t="s">
        <v>2836</v>
      </c>
      <c r="D1119" s="84" t="s">
        <v>2880</v>
      </c>
      <c r="E1119" s="84" t="s">
        <v>1403</v>
      </c>
      <c r="F1119" s="87">
        <v>12.0</v>
      </c>
      <c r="G1119" s="87">
        <v>2.0</v>
      </c>
      <c r="H1119" s="87">
        <v>58.0</v>
      </c>
      <c r="I1119" s="87">
        <v>58.0</v>
      </c>
      <c r="J1119" s="87">
        <v>0.0</v>
      </c>
      <c r="K1119" s="87">
        <v>0.0</v>
      </c>
      <c r="L1119" s="87">
        <v>0.0</v>
      </c>
      <c r="M1119" s="87">
        <v>0.0</v>
      </c>
      <c r="N1119" s="87">
        <v>0.0</v>
      </c>
      <c r="O1119" s="87">
        <v>0.0</v>
      </c>
      <c r="P1119" s="87">
        <v>0.0</v>
      </c>
      <c r="Q1119" s="87">
        <v>0.0</v>
      </c>
      <c r="R1119" s="87">
        <v>0.0</v>
      </c>
      <c r="S1119" s="87">
        <v>0.0</v>
      </c>
      <c r="T1119" s="87">
        <v>0.0</v>
      </c>
      <c r="U1119" s="87">
        <v>0.0</v>
      </c>
      <c r="V1119" s="87">
        <v>0.0</v>
      </c>
      <c r="W1119" s="87">
        <v>0.0</v>
      </c>
      <c r="X1119" s="87">
        <v>0.0</v>
      </c>
      <c r="Y1119" s="87">
        <v>0.0</v>
      </c>
      <c r="Z1119" s="87">
        <v>0.916667</v>
      </c>
      <c r="AA1119" s="87">
        <v>1.602652</v>
      </c>
      <c r="AB1119" s="87">
        <v>1.866965</v>
      </c>
      <c r="AC1119" s="87">
        <v>2.247117</v>
      </c>
      <c r="AD1119" s="87">
        <v>0.0</v>
      </c>
      <c r="AE1119" s="87">
        <v>0.0</v>
      </c>
      <c r="AF1119" s="87">
        <v>0.0</v>
      </c>
      <c r="AG1119" s="87">
        <v>0.0</v>
      </c>
      <c r="AH1119" s="87">
        <v>0.001005</v>
      </c>
      <c r="AI1119" s="87">
        <v>2.646209</v>
      </c>
      <c r="AJ1119" s="87">
        <v>2.730535</v>
      </c>
      <c r="AK1119" s="87">
        <v>1.512037</v>
      </c>
      <c r="AL1119" s="88" t="s">
        <v>1396</v>
      </c>
    </row>
    <row r="1120">
      <c r="A1120" s="84" t="s">
        <v>2886</v>
      </c>
      <c r="B1120" s="84" t="s">
        <v>2887</v>
      </c>
      <c r="C1120" s="84" t="s">
        <v>2888</v>
      </c>
      <c r="D1120" s="84" t="s">
        <v>2889</v>
      </c>
      <c r="E1120" s="84" t="s">
        <v>1400</v>
      </c>
      <c r="F1120" s="87">
        <v>1.0</v>
      </c>
      <c r="G1120" s="87">
        <v>1.0</v>
      </c>
      <c r="H1120" s="87">
        <v>3.0</v>
      </c>
      <c r="I1120" s="87">
        <v>3.0</v>
      </c>
      <c r="J1120" s="87">
        <v>0.0</v>
      </c>
      <c r="K1120" s="87">
        <v>0.0</v>
      </c>
      <c r="L1120" s="87">
        <v>0.0</v>
      </c>
      <c r="M1120" s="87">
        <v>0.0</v>
      </c>
      <c r="N1120" s="87">
        <v>0.0</v>
      </c>
      <c r="O1120" s="87">
        <v>0.0</v>
      </c>
      <c r="P1120" s="87">
        <v>0.0</v>
      </c>
      <c r="Q1120" s="87">
        <v>0.0</v>
      </c>
      <c r="R1120" s="87">
        <v>0.0</v>
      </c>
      <c r="S1120" s="87">
        <v>0.0</v>
      </c>
      <c r="T1120" s="87">
        <v>0.0</v>
      </c>
      <c r="U1120" s="87">
        <v>0.0</v>
      </c>
      <c r="V1120" s="87">
        <v>0.0</v>
      </c>
      <c r="W1120" s="87">
        <v>0.0</v>
      </c>
      <c r="X1120" s="87">
        <v>0.0</v>
      </c>
      <c r="Y1120" s="87">
        <v>0.0</v>
      </c>
      <c r="Z1120" s="87">
        <v>0.0</v>
      </c>
      <c r="AA1120" s="87">
        <v>0.0</v>
      </c>
      <c r="AB1120" s="87">
        <v>0.0</v>
      </c>
      <c r="AC1120" s="87">
        <v>0.0</v>
      </c>
      <c r="AD1120" s="87">
        <v>0.0</v>
      </c>
      <c r="AE1120" s="87">
        <v>0.0</v>
      </c>
      <c r="AF1120" s="87">
        <v>0.0</v>
      </c>
      <c r="AG1120" s="87">
        <v>0.0</v>
      </c>
      <c r="AH1120" s="87">
        <v>0.0</v>
      </c>
      <c r="AI1120" s="87">
        <v>0.0</v>
      </c>
      <c r="AJ1120" s="87">
        <v>0.0</v>
      </c>
      <c r="AK1120" s="87">
        <v>0.0</v>
      </c>
      <c r="AL1120" s="88" t="s">
        <v>1396</v>
      </c>
    </row>
    <row r="1121">
      <c r="A1121" s="84" t="s">
        <v>2890</v>
      </c>
      <c r="B1121" s="84" t="s">
        <v>2891</v>
      </c>
      <c r="C1121" s="84" t="s">
        <v>2888</v>
      </c>
      <c r="D1121" s="84" t="s">
        <v>2889</v>
      </c>
      <c r="E1121" s="84" t="s">
        <v>1403</v>
      </c>
      <c r="F1121" s="87">
        <v>1.0</v>
      </c>
      <c r="G1121" s="87">
        <v>0.0</v>
      </c>
      <c r="H1121" s="87">
        <v>0.0</v>
      </c>
      <c r="I1121" s="87">
        <v>0.0</v>
      </c>
      <c r="J1121" s="87">
        <v>0.0</v>
      </c>
      <c r="K1121" s="87">
        <v>0.0</v>
      </c>
      <c r="L1121" s="87">
        <v>0.0</v>
      </c>
      <c r="M1121" s="87">
        <v>0.0</v>
      </c>
      <c r="N1121" s="87">
        <v>0.0</v>
      </c>
      <c r="O1121" s="87">
        <v>0.0</v>
      </c>
      <c r="P1121" s="87">
        <v>0.0</v>
      </c>
      <c r="Q1121" s="87">
        <v>0.0</v>
      </c>
      <c r="R1121" s="87">
        <v>0.0</v>
      </c>
      <c r="S1121" s="87">
        <v>0.0</v>
      </c>
      <c r="T1121" s="87">
        <v>0.0</v>
      </c>
      <c r="U1121" s="87">
        <v>0.0</v>
      </c>
      <c r="V1121" s="87">
        <v>0.0</v>
      </c>
      <c r="W1121" s="87">
        <v>0.0</v>
      </c>
      <c r="X1121" s="87">
        <v>0.0</v>
      </c>
      <c r="Y1121" s="87">
        <v>0.0</v>
      </c>
      <c r="Z1121" s="87">
        <v>0.0</v>
      </c>
      <c r="AA1121" s="87">
        <v>0.0</v>
      </c>
      <c r="AB1121" s="87">
        <v>0.0</v>
      </c>
      <c r="AC1121" s="87">
        <v>0.0</v>
      </c>
      <c r="AD1121" s="87">
        <v>0.0</v>
      </c>
      <c r="AE1121" s="87">
        <v>0.0</v>
      </c>
      <c r="AF1121" s="87">
        <v>0.0</v>
      </c>
      <c r="AG1121" s="87">
        <v>0.0</v>
      </c>
      <c r="AH1121" s="87">
        <v>0.0</v>
      </c>
      <c r="AI1121" s="87">
        <v>0.0</v>
      </c>
      <c r="AJ1121" s="87">
        <v>0.0</v>
      </c>
      <c r="AK1121" s="87">
        <v>0.0</v>
      </c>
      <c r="AL1121" s="88" t="s">
        <v>1396</v>
      </c>
    </row>
    <row r="1122">
      <c r="A1122" s="84" t="s">
        <v>2886</v>
      </c>
      <c r="B1122" s="84" t="s">
        <v>2892</v>
      </c>
      <c r="C1122" s="84" t="s">
        <v>2888</v>
      </c>
      <c r="D1122" s="84" t="s">
        <v>2893</v>
      </c>
      <c r="E1122" s="84" t="s">
        <v>1400</v>
      </c>
      <c r="F1122" s="87">
        <v>1.0</v>
      </c>
      <c r="G1122" s="87">
        <v>1.0</v>
      </c>
      <c r="H1122" s="87">
        <v>2.0</v>
      </c>
      <c r="I1122" s="87">
        <v>2.0</v>
      </c>
      <c r="J1122" s="87">
        <v>0.0</v>
      </c>
      <c r="K1122" s="87">
        <v>0.0</v>
      </c>
      <c r="L1122" s="87">
        <v>0.0</v>
      </c>
      <c r="M1122" s="87">
        <v>0.0</v>
      </c>
      <c r="N1122" s="87">
        <v>0.0</v>
      </c>
      <c r="O1122" s="87">
        <v>0.0</v>
      </c>
      <c r="P1122" s="87">
        <v>0.0</v>
      </c>
      <c r="Q1122" s="87">
        <v>0.0</v>
      </c>
      <c r="R1122" s="87">
        <v>0.0</v>
      </c>
      <c r="S1122" s="87">
        <v>0.0</v>
      </c>
      <c r="T1122" s="87">
        <v>0.0</v>
      </c>
      <c r="U1122" s="87">
        <v>0.0</v>
      </c>
      <c r="V1122" s="87">
        <v>0.0</v>
      </c>
      <c r="W1122" s="87">
        <v>0.0</v>
      </c>
      <c r="X1122" s="87">
        <v>0.0</v>
      </c>
      <c r="Y1122" s="87">
        <v>0.0</v>
      </c>
      <c r="Z1122" s="87">
        <v>0.0</v>
      </c>
      <c r="AA1122" s="87">
        <v>0.0</v>
      </c>
      <c r="AB1122" s="87">
        <v>0.0</v>
      </c>
      <c r="AC1122" s="87">
        <v>0.0</v>
      </c>
      <c r="AD1122" s="87">
        <v>0.0</v>
      </c>
      <c r="AE1122" s="87">
        <v>0.0</v>
      </c>
      <c r="AF1122" s="87">
        <v>0.0</v>
      </c>
      <c r="AG1122" s="87">
        <v>0.0</v>
      </c>
      <c r="AH1122" s="87">
        <v>0.0</v>
      </c>
      <c r="AI1122" s="87">
        <v>0.0</v>
      </c>
      <c r="AJ1122" s="87">
        <v>0.0</v>
      </c>
      <c r="AK1122" s="87">
        <v>0.0</v>
      </c>
      <c r="AL1122" s="88" t="s">
        <v>1396</v>
      </c>
    </row>
    <row r="1123">
      <c r="A1123" s="84" t="s">
        <v>2894</v>
      </c>
      <c r="B1123" s="84" t="s">
        <v>2895</v>
      </c>
      <c r="C1123" s="84" t="s">
        <v>2896</v>
      </c>
      <c r="D1123" s="84" t="s">
        <v>2897</v>
      </c>
      <c r="E1123" s="84" t="s">
        <v>1403</v>
      </c>
      <c r="F1123" s="87">
        <v>1.0</v>
      </c>
      <c r="G1123" s="87">
        <v>0.0</v>
      </c>
      <c r="H1123" s="87">
        <v>0.0</v>
      </c>
      <c r="I1123" s="87">
        <v>0.0</v>
      </c>
      <c r="J1123" s="87">
        <v>0.0</v>
      </c>
      <c r="K1123" s="87">
        <v>0.0</v>
      </c>
      <c r="L1123" s="87">
        <v>0.0</v>
      </c>
      <c r="M1123" s="87">
        <v>0.0</v>
      </c>
      <c r="N1123" s="87">
        <v>0.0</v>
      </c>
      <c r="O1123" s="87">
        <v>0.0</v>
      </c>
      <c r="P1123" s="87">
        <v>0.0</v>
      </c>
      <c r="Q1123" s="87">
        <v>0.0</v>
      </c>
      <c r="R1123" s="87">
        <v>0.0</v>
      </c>
      <c r="S1123" s="87">
        <v>0.0</v>
      </c>
      <c r="T1123" s="87">
        <v>0.0</v>
      </c>
      <c r="U1123" s="87">
        <v>0.0</v>
      </c>
      <c r="V1123" s="87">
        <v>0.0</v>
      </c>
      <c r="W1123" s="87">
        <v>0.0</v>
      </c>
      <c r="X1123" s="87">
        <v>0.0</v>
      </c>
      <c r="Y1123" s="87">
        <v>0.0</v>
      </c>
      <c r="Z1123" s="87">
        <v>0.0</v>
      </c>
      <c r="AA1123" s="87">
        <v>0.0</v>
      </c>
      <c r="AB1123" s="87">
        <v>0.0</v>
      </c>
      <c r="AC1123" s="87">
        <v>0.0</v>
      </c>
      <c r="AD1123" s="87">
        <v>0.0</v>
      </c>
      <c r="AE1123" s="87">
        <v>0.0</v>
      </c>
      <c r="AF1123" s="87">
        <v>0.0</v>
      </c>
      <c r="AG1123" s="87">
        <v>0.0</v>
      </c>
      <c r="AH1123" s="87">
        <v>0.0</v>
      </c>
      <c r="AI1123" s="87">
        <v>0.0</v>
      </c>
      <c r="AJ1123" s="87">
        <v>0.0</v>
      </c>
      <c r="AK1123" s="87">
        <v>0.0</v>
      </c>
      <c r="AL1123" s="88" t="s">
        <v>1396</v>
      </c>
    </row>
    <row r="1124">
      <c r="A1124" s="84" t="s">
        <v>2898</v>
      </c>
      <c r="B1124" s="84" t="s">
        <v>2895</v>
      </c>
      <c r="C1124" s="84" t="s">
        <v>2899</v>
      </c>
      <c r="D1124" s="84" t="s">
        <v>2897</v>
      </c>
      <c r="E1124" s="84" t="s">
        <v>1403</v>
      </c>
      <c r="F1124" s="87">
        <v>1.0</v>
      </c>
      <c r="G1124" s="87">
        <v>0.0</v>
      </c>
      <c r="H1124" s="87">
        <v>0.0</v>
      </c>
      <c r="I1124" s="87">
        <v>0.0</v>
      </c>
      <c r="J1124" s="87">
        <v>0.0</v>
      </c>
      <c r="K1124" s="87">
        <v>0.0</v>
      </c>
      <c r="L1124" s="87">
        <v>0.0</v>
      </c>
      <c r="M1124" s="87">
        <v>0.0</v>
      </c>
      <c r="N1124" s="87">
        <v>0.0</v>
      </c>
      <c r="O1124" s="87">
        <v>0.0</v>
      </c>
      <c r="P1124" s="87">
        <v>0.0</v>
      </c>
      <c r="Q1124" s="87">
        <v>0.0</v>
      </c>
      <c r="R1124" s="87">
        <v>0.0</v>
      </c>
      <c r="S1124" s="87">
        <v>0.0</v>
      </c>
      <c r="T1124" s="87">
        <v>0.0</v>
      </c>
      <c r="U1124" s="87">
        <v>0.0</v>
      </c>
      <c r="V1124" s="87">
        <v>0.0</v>
      </c>
      <c r="W1124" s="87">
        <v>0.0</v>
      </c>
      <c r="X1124" s="87">
        <v>0.0</v>
      </c>
      <c r="Y1124" s="87">
        <v>0.0</v>
      </c>
      <c r="Z1124" s="87">
        <v>0.0</v>
      </c>
      <c r="AA1124" s="87">
        <v>0.0</v>
      </c>
      <c r="AB1124" s="87">
        <v>0.0</v>
      </c>
      <c r="AC1124" s="87">
        <v>0.0</v>
      </c>
      <c r="AD1124" s="87">
        <v>0.0</v>
      </c>
      <c r="AE1124" s="87">
        <v>0.0</v>
      </c>
      <c r="AF1124" s="87">
        <v>0.0</v>
      </c>
      <c r="AG1124" s="87">
        <v>0.0</v>
      </c>
      <c r="AH1124" s="87">
        <v>0.0</v>
      </c>
      <c r="AI1124" s="87">
        <v>0.0</v>
      </c>
      <c r="AJ1124" s="87">
        <v>0.0</v>
      </c>
      <c r="AK1124" s="87">
        <v>0.0</v>
      </c>
      <c r="AL1124" s="88" t="s">
        <v>1396</v>
      </c>
    </row>
    <row r="1125">
      <c r="A1125" s="84" t="s">
        <v>2900</v>
      </c>
      <c r="B1125" s="84" t="s">
        <v>2901</v>
      </c>
      <c r="C1125" s="84" t="s">
        <v>2902</v>
      </c>
      <c r="D1125" s="84" t="s">
        <v>2903</v>
      </c>
      <c r="E1125" s="84" t="s">
        <v>1403</v>
      </c>
      <c r="F1125" s="87">
        <v>1.0</v>
      </c>
      <c r="G1125" s="87">
        <v>0.0</v>
      </c>
      <c r="H1125" s="87">
        <v>0.0</v>
      </c>
      <c r="I1125" s="87">
        <v>0.0</v>
      </c>
      <c r="J1125" s="87">
        <v>0.0</v>
      </c>
      <c r="K1125" s="87">
        <v>0.0</v>
      </c>
      <c r="L1125" s="87">
        <v>0.0</v>
      </c>
      <c r="M1125" s="87">
        <v>0.0</v>
      </c>
      <c r="N1125" s="87">
        <v>0.0</v>
      </c>
      <c r="O1125" s="87">
        <v>0.0</v>
      </c>
      <c r="P1125" s="87">
        <v>0.0</v>
      </c>
      <c r="Q1125" s="87">
        <v>0.0</v>
      </c>
      <c r="R1125" s="87">
        <v>0.0</v>
      </c>
      <c r="S1125" s="87">
        <v>0.0</v>
      </c>
      <c r="T1125" s="87">
        <v>0.0</v>
      </c>
      <c r="U1125" s="87">
        <v>0.0</v>
      </c>
      <c r="V1125" s="87">
        <v>0.0</v>
      </c>
      <c r="W1125" s="87">
        <v>0.0</v>
      </c>
      <c r="X1125" s="87">
        <v>0.0</v>
      </c>
      <c r="Y1125" s="87">
        <v>0.0</v>
      </c>
      <c r="Z1125" s="87">
        <v>0.0</v>
      </c>
      <c r="AA1125" s="87">
        <v>0.0</v>
      </c>
      <c r="AB1125" s="87">
        <v>0.0</v>
      </c>
      <c r="AC1125" s="87">
        <v>0.0</v>
      </c>
      <c r="AD1125" s="87">
        <v>0.0</v>
      </c>
      <c r="AE1125" s="87">
        <v>0.0</v>
      </c>
      <c r="AF1125" s="87">
        <v>0.0</v>
      </c>
      <c r="AG1125" s="87">
        <v>0.0</v>
      </c>
      <c r="AH1125" s="87">
        <v>0.0</v>
      </c>
      <c r="AI1125" s="87">
        <v>0.0</v>
      </c>
      <c r="AJ1125" s="87">
        <v>0.0</v>
      </c>
      <c r="AK1125" s="87">
        <v>0.0</v>
      </c>
      <c r="AL1125" s="88" t="s">
        <v>1396</v>
      </c>
    </row>
    <row r="1126">
      <c r="A1126" s="84" t="s">
        <v>2900</v>
      </c>
      <c r="B1126" s="84" t="s">
        <v>2904</v>
      </c>
      <c r="C1126" s="84" t="s">
        <v>2902</v>
      </c>
      <c r="D1126" s="84" t="s">
        <v>2905</v>
      </c>
      <c r="E1126" s="84" t="s">
        <v>1403</v>
      </c>
      <c r="F1126" s="87">
        <v>9.0</v>
      </c>
      <c r="G1126" s="87">
        <v>0.0</v>
      </c>
      <c r="H1126" s="87">
        <v>0.0</v>
      </c>
      <c r="I1126" s="87">
        <v>0.0</v>
      </c>
      <c r="J1126" s="87">
        <v>0.0</v>
      </c>
      <c r="K1126" s="87">
        <v>0.0</v>
      </c>
      <c r="L1126" s="87">
        <v>0.0</v>
      </c>
      <c r="M1126" s="87">
        <v>0.0</v>
      </c>
      <c r="N1126" s="87">
        <v>0.0</v>
      </c>
      <c r="O1126" s="87">
        <v>0.0</v>
      </c>
      <c r="P1126" s="87">
        <v>0.0</v>
      </c>
      <c r="Q1126" s="87">
        <v>0.0</v>
      </c>
      <c r="R1126" s="87">
        <v>0.0</v>
      </c>
      <c r="S1126" s="87">
        <v>0.0</v>
      </c>
      <c r="T1126" s="87">
        <v>0.0</v>
      </c>
      <c r="U1126" s="87">
        <v>0.0</v>
      </c>
      <c r="V1126" s="87">
        <v>0.0</v>
      </c>
      <c r="W1126" s="87">
        <v>0.0</v>
      </c>
      <c r="X1126" s="87">
        <v>0.0</v>
      </c>
      <c r="Y1126" s="87">
        <v>0.0</v>
      </c>
      <c r="Z1126" s="87">
        <v>0.0</v>
      </c>
      <c r="AA1126" s="87">
        <v>0.0</v>
      </c>
      <c r="AB1126" s="87">
        <v>0.0</v>
      </c>
      <c r="AC1126" s="87">
        <v>0.0</v>
      </c>
      <c r="AD1126" s="87">
        <v>0.0</v>
      </c>
      <c r="AE1126" s="87">
        <v>0.0</v>
      </c>
      <c r="AF1126" s="87">
        <v>0.0</v>
      </c>
      <c r="AG1126" s="87">
        <v>0.0</v>
      </c>
      <c r="AH1126" s="87">
        <v>0.0</v>
      </c>
      <c r="AI1126" s="87">
        <v>0.0</v>
      </c>
      <c r="AJ1126" s="87">
        <v>0.0</v>
      </c>
      <c r="AK1126" s="87">
        <v>0.0</v>
      </c>
      <c r="AL1126" s="88" t="s">
        <v>1396</v>
      </c>
    </row>
    <row r="1127">
      <c r="A1127" s="84" t="s">
        <v>2900</v>
      </c>
      <c r="B1127" s="84" t="s">
        <v>2906</v>
      </c>
      <c r="C1127" s="84" t="s">
        <v>2902</v>
      </c>
      <c r="D1127" s="84" t="s">
        <v>2907</v>
      </c>
      <c r="E1127" s="84" t="s">
        <v>1403</v>
      </c>
      <c r="F1127" s="87">
        <v>1.0</v>
      </c>
      <c r="G1127" s="87">
        <v>0.0</v>
      </c>
      <c r="H1127" s="87">
        <v>0.0</v>
      </c>
      <c r="I1127" s="87">
        <v>0.0</v>
      </c>
      <c r="J1127" s="87">
        <v>0.0</v>
      </c>
      <c r="K1127" s="87">
        <v>0.0</v>
      </c>
      <c r="L1127" s="87">
        <v>0.0</v>
      </c>
      <c r="M1127" s="87">
        <v>0.0</v>
      </c>
      <c r="N1127" s="87">
        <v>0.0</v>
      </c>
      <c r="O1127" s="87">
        <v>0.0</v>
      </c>
      <c r="P1127" s="87">
        <v>0.0</v>
      </c>
      <c r="Q1127" s="87">
        <v>0.0</v>
      </c>
      <c r="R1127" s="87">
        <v>0.0</v>
      </c>
      <c r="S1127" s="87">
        <v>0.0</v>
      </c>
      <c r="T1127" s="87">
        <v>0.0</v>
      </c>
      <c r="U1127" s="87">
        <v>0.0</v>
      </c>
      <c r="V1127" s="87">
        <v>0.0</v>
      </c>
      <c r="W1127" s="87">
        <v>0.0</v>
      </c>
      <c r="X1127" s="87">
        <v>0.0</v>
      </c>
      <c r="Y1127" s="87">
        <v>0.0</v>
      </c>
      <c r="Z1127" s="87">
        <v>0.0</v>
      </c>
      <c r="AA1127" s="87">
        <v>0.0</v>
      </c>
      <c r="AB1127" s="87">
        <v>0.0</v>
      </c>
      <c r="AC1127" s="87">
        <v>0.0</v>
      </c>
      <c r="AD1127" s="87">
        <v>0.0</v>
      </c>
      <c r="AE1127" s="87">
        <v>0.0</v>
      </c>
      <c r="AF1127" s="87">
        <v>0.0</v>
      </c>
      <c r="AG1127" s="87">
        <v>0.0</v>
      </c>
      <c r="AH1127" s="87">
        <v>0.0</v>
      </c>
      <c r="AI1127" s="87">
        <v>0.0</v>
      </c>
      <c r="AJ1127" s="87">
        <v>0.0</v>
      </c>
      <c r="AK1127" s="87">
        <v>0.0</v>
      </c>
      <c r="AL1127" s="88" t="s">
        <v>1396</v>
      </c>
    </row>
    <row r="1128">
      <c r="A1128" s="84" t="s">
        <v>2908</v>
      </c>
      <c r="B1128" s="84" t="s">
        <v>2909</v>
      </c>
      <c r="C1128" s="84" t="s">
        <v>2910</v>
      </c>
      <c r="D1128" s="84" t="s">
        <v>2911</v>
      </c>
      <c r="E1128" s="84" t="s">
        <v>1403</v>
      </c>
      <c r="F1128" s="87">
        <v>7.0</v>
      </c>
      <c r="G1128" s="87">
        <v>0.0</v>
      </c>
      <c r="H1128" s="87">
        <v>0.0</v>
      </c>
      <c r="I1128" s="87">
        <v>0.0</v>
      </c>
      <c r="J1128" s="87">
        <v>0.0</v>
      </c>
      <c r="K1128" s="87">
        <v>0.0</v>
      </c>
      <c r="L1128" s="87">
        <v>0.0</v>
      </c>
      <c r="M1128" s="87">
        <v>0.0</v>
      </c>
      <c r="N1128" s="87">
        <v>0.0</v>
      </c>
      <c r="O1128" s="87">
        <v>0.0</v>
      </c>
      <c r="P1128" s="87">
        <v>0.0</v>
      </c>
      <c r="Q1128" s="87">
        <v>0.0</v>
      </c>
      <c r="R1128" s="87">
        <v>0.0</v>
      </c>
      <c r="S1128" s="87">
        <v>0.0</v>
      </c>
      <c r="T1128" s="87">
        <v>0.0</v>
      </c>
      <c r="U1128" s="87">
        <v>0.0</v>
      </c>
      <c r="V1128" s="87">
        <v>0.0</v>
      </c>
      <c r="W1128" s="87">
        <v>0.0</v>
      </c>
      <c r="X1128" s="87">
        <v>0.0</v>
      </c>
      <c r="Y1128" s="87">
        <v>0.0</v>
      </c>
      <c r="Z1128" s="87">
        <v>0.0</v>
      </c>
      <c r="AA1128" s="87">
        <v>0.0</v>
      </c>
      <c r="AB1128" s="87">
        <v>0.0</v>
      </c>
      <c r="AC1128" s="87">
        <v>0.0</v>
      </c>
      <c r="AD1128" s="87">
        <v>0.0</v>
      </c>
      <c r="AE1128" s="87">
        <v>0.0</v>
      </c>
      <c r="AF1128" s="87">
        <v>0.0</v>
      </c>
      <c r="AG1128" s="87">
        <v>0.0</v>
      </c>
      <c r="AH1128" s="87">
        <v>0.0</v>
      </c>
      <c r="AI1128" s="87">
        <v>1.275128</v>
      </c>
      <c r="AJ1128" s="87">
        <v>0.934208</v>
      </c>
      <c r="AK1128" s="87">
        <v>0.73949</v>
      </c>
      <c r="AL1128" s="88" t="s">
        <v>1396</v>
      </c>
    </row>
    <row r="1129">
      <c r="A1129" s="84" t="s">
        <v>2908</v>
      </c>
      <c r="B1129" s="84" t="s">
        <v>2912</v>
      </c>
      <c r="C1129" s="84" t="s">
        <v>2910</v>
      </c>
      <c r="D1129" s="84" t="s">
        <v>2913</v>
      </c>
      <c r="E1129" s="84" t="s">
        <v>1403</v>
      </c>
      <c r="F1129" s="87">
        <v>9.0</v>
      </c>
      <c r="G1129" s="87">
        <v>0.0</v>
      </c>
      <c r="H1129" s="87">
        <v>0.0</v>
      </c>
      <c r="I1129" s="87">
        <v>0.0</v>
      </c>
      <c r="J1129" s="87">
        <v>0.0</v>
      </c>
      <c r="K1129" s="87">
        <v>0.0</v>
      </c>
      <c r="L1129" s="87">
        <v>0.0</v>
      </c>
      <c r="M1129" s="87">
        <v>0.0</v>
      </c>
      <c r="N1129" s="87">
        <v>0.0</v>
      </c>
      <c r="O1129" s="87">
        <v>0.0</v>
      </c>
      <c r="P1129" s="87">
        <v>0.0</v>
      </c>
      <c r="Q1129" s="87">
        <v>0.0</v>
      </c>
      <c r="R1129" s="87">
        <v>0.0</v>
      </c>
      <c r="S1129" s="87">
        <v>0.0</v>
      </c>
      <c r="T1129" s="87">
        <v>0.0</v>
      </c>
      <c r="U1129" s="87">
        <v>0.0</v>
      </c>
      <c r="V1129" s="87">
        <v>0.0</v>
      </c>
      <c r="W1129" s="87">
        <v>0.0</v>
      </c>
      <c r="X1129" s="87">
        <v>0.0</v>
      </c>
      <c r="Y1129" s="87">
        <v>0.0</v>
      </c>
      <c r="Z1129" s="87">
        <v>0.0</v>
      </c>
      <c r="AA1129" s="87">
        <v>0.0</v>
      </c>
      <c r="AB1129" s="87">
        <v>0.0</v>
      </c>
      <c r="AC1129" s="87">
        <v>0.0</v>
      </c>
      <c r="AD1129" s="87">
        <v>0.0</v>
      </c>
      <c r="AE1129" s="87">
        <v>0.0</v>
      </c>
      <c r="AF1129" s="87">
        <v>0.0</v>
      </c>
      <c r="AG1129" s="87">
        <v>0.0</v>
      </c>
      <c r="AH1129" s="87">
        <v>0.0</v>
      </c>
      <c r="AI1129" s="87">
        <v>1.275128</v>
      </c>
      <c r="AJ1129" s="87">
        <v>0.934208</v>
      </c>
      <c r="AK1129" s="87">
        <v>0.73949</v>
      </c>
      <c r="AL1129" s="88" t="s">
        <v>1396</v>
      </c>
    </row>
    <row r="1130">
      <c r="A1130" s="84" t="s">
        <v>2914</v>
      </c>
      <c r="B1130" s="84" t="s">
        <v>2915</v>
      </c>
      <c r="C1130" s="84" t="s">
        <v>2910</v>
      </c>
      <c r="D1130" s="84" t="s">
        <v>2916</v>
      </c>
      <c r="E1130" s="84" t="s">
        <v>1426</v>
      </c>
      <c r="F1130" s="87">
        <v>2.0</v>
      </c>
      <c r="G1130" s="87">
        <v>0.0</v>
      </c>
      <c r="H1130" s="87">
        <v>1229.0</v>
      </c>
      <c r="I1130" s="87">
        <v>0.0</v>
      </c>
      <c r="J1130" s="87">
        <v>29.00423</v>
      </c>
      <c r="K1130" s="87">
        <v>20.06598</v>
      </c>
      <c r="L1130" s="87">
        <v>22.8914</v>
      </c>
      <c r="M1130" s="87">
        <v>11.57352</v>
      </c>
      <c r="N1130" s="87">
        <v>0.576773</v>
      </c>
      <c r="O1130" s="87">
        <v>8.492469</v>
      </c>
      <c r="P1130" s="87">
        <v>8.492469</v>
      </c>
      <c r="Q1130" s="87">
        <v>8.492469</v>
      </c>
      <c r="R1130" s="87">
        <v>11.57352</v>
      </c>
      <c r="S1130" s="87">
        <v>11.57352</v>
      </c>
      <c r="T1130" s="87">
        <v>8.492469</v>
      </c>
      <c r="U1130" s="87">
        <v>8.492469</v>
      </c>
      <c r="V1130" s="87">
        <v>8.492469</v>
      </c>
      <c r="W1130" s="87">
        <v>11.57352</v>
      </c>
      <c r="X1130" s="87">
        <v>11.57352</v>
      </c>
      <c r="Y1130" s="87">
        <v>10.03299</v>
      </c>
      <c r="Z1130" s="87">
        <v>0.0</v>
      </c>
      <c r="AA1130" s="87">
        <v>1.275128</v>
      </c>
      <c r="AB1130" s="87">
        <v>0.486834</v>
      </c>
      <c r="AC1130" s="87">
        <v>1.324218</v>
      </c>
      <c r="AD1130" s="87">
        <v>11.57352</v>
      </c>
      <c r="AE1130" s="87">
        <v>11.57352</v>
      </c>
      <c r="AF1130" s="87">
        <v>10.03299</v>
      </c>
      <c r="AG1130" s="87">
        <v>10.03299</v>
      </c>
      <c r="AH1130" s="87">
        <v>0.0</v>
      </c>
      <c r="AI1130" s="87">
        <v>1.275128</v>
      </c>
      <c r="AJ1130" s="87">
        <v>0.934208</v>
      </c>
      <c r="AK1130" s="87">
        <v>0.73949</v>
      </c>
      <c r="AL1130" s="88" t="s">
        <v>1396</v>
      </c>
    </row>
    <row r="1131">
      <c r="A1131" s="84" t="s">
        <v>2917</v>
      </c>
      <c r="B1131" s="84" t="s">
        <v>2918</v>
      </c>
      <c r="C1131" s="84" t="s">
        <v>2910</v>
      </c>
      <c r="D1131" s="84" t="s">
        <v>2916</v>
      </c>
      <c r="E1131" s="86">
        <v>46310.0</v>
      </c>
      <c r="F1131" s="87">
        <v>8.0</v>
      </c>
      <c r="G1131" s="87">
        <v>0.0</v>
      </c>
      <c r="H1131" s="87">
        <v>0.0</v>
      </c>
      <c r="I1131" s="87">
        <v>0.0</v>
      </c>
      <c r="J1131" s="87">
        <v>6.902056</v>
      </c>
      <c r="K1131" s="87">
        <v>5.915922</v>
      </c>
      <c r="L1131" s="87">
        <v>6.420499</v>
      </c>
      <c r="M1131" s="87">
        <v>2.881629</v>
      </c>
      <c r="N1131" s="87">
        <v>0.487097</v>
      </c>
      <c r="O1131" s="87">
        <v>0.038462</v>
      </c>
      <c r="P1131" s="87">
        <v>0.076923</v>
      </c>
      <c r="Q1131" s="87">
        <v>0.12</v>
      </c>
      <c r="R1131" s="87">
        <v>0.981263</v>
      </c>
      <c r="S1131" s="87">
        <v>1.186474</v>
      </c>
      <c r="T1131" s="87">
        <v>0.038462</v>
      </c>
      <c r="U1131" s="87">
        <v>0.076923</v>
      </c>
      <c r="V1131" s="87">
        <v>0.12</v>
      </c>
      <c r="W1131" s="87">
        <v>0.981263</v>
      </c>
      <c r="X1131" s="87">
        <v>1.186474</v>
      </c>
      <c r="Y1131" s="87">
        <v>0.73949</v>
      </c>
      <c r="Z1131" s="87">
        <v>0.0</v>
      </c>
      <c r="AA1131" s="87">
        <v>1.275128</v>
      </c>
      <c r="AB1131" s="87">
        <v>0.486834</v>
      </c>
      <c r="AC1131" s="87">
        <v>1.324218</v>
      </c>
      <c r="AD1131" s="87">
        <v>0.981263</v>
      </c>
      <c r="AE1131" s="87">
        <v>0.981263</v>
      </c>
      <c r="AF1131" s="87">
        <v>0.73949</v>
      </c>
      <c r="AG1131" s="87">
        <v>0.73949</v>
      </c>
      <c r="AH1131" s="87">
        <v>0.0</v>
      </c>
      <c r="AI1131" s="87">
        <v>1.275128</v>
      </c>
      <c r="AJ1131" s="87">
        <v>0.934208</v>
      </c>
      <c r="AK1131" s="87">
        <v>0.73949</v>
      </c>
      <c r="AL1131" s="88" t="s">
        <v>1396</v>
      </c>
    </row>
    <row r="1132">
      <c r="A1132" s="84" t="s">
        <v>2919</v>
      </c>
      <c r="B1132" s="84" t="s">
        <v>2920</v>
      </c>
      <c r="C1132" s="84" t="s">
        <v>2910</v>
      </c>
      <c r="D1132" s="84" t="s">
        <v>2916</v>
      </c>
      <c r="E1132" s="84" t="s">
        <v>1413</v>
      </c>
      <c r="F1132" s="87">
        <v>14.0</v>
      </c>
      <c r="G1132" s="87">
        <v>0.0</v>
      </c>
      <c r="H1132" s="87">
        <v>418.0</v>
      </c>
      <c r="I1132" s="87">
        <v>0.0</v>
      </c>
      <c r="J1132" s="87">
        <v>19.19437</v>
      </c>
      <c r="K1132" s="87">
        <v>20.0944</v>
      </c>
      <c r="L1132" s="87">
        <v>18.52965</v>
      </c>
      <c r="M1132" s="87">
        <v>7.787861</v>
      </c>
      <c r="N1132" s="87">
        <v>0.387564</v>
      </c>
      <c r="O1132" s="87">
        <v>0.432108</v>
      </c>
      <c r="P1132" s="87">
        <v>0.615385</v>
      </c>
      <c r="Q1132" s="87">
        <v>1.043744</v>
      </c>
      <c r="R1132" s="87">
        <v>1.525134</v>
      </c>
      <c r="S1132" s="87">
        <v>1.728447</v>
      </c>
      <c r="T1132" s="87">
        <v>0.615385</v>
      </c>
      <c r="U1132" s="87">
        <v>0.953359</v>
      </c>
      <c r="V1132" s="87">
        <v>1.043744</v>
      </c>
      <c r="W1132" s="87">
        <v>1.525134</v>
      </c>
      <c r="X1132" s="87">
        <v>1.810812</v>
      </c>
      <c r="Y1132" s="87">
        <v>1.435315</v>
      </c>
      <c r="Z1132" s="87">
        <v>0.0</v>
      </c>
      <c r="AA1132" s="87">
        <v>1.275128</v>
      </c>
      <c r="AB1132" s="87">
        <v>0.486834</v>
      </c>
      <c r="AC1132" s="87">
        <v>1.324218</v>
      </c>
      <c r="AD1132" s="87">
        <v>1.525134</v>
      </c>
      <c r="AE1132" s="87">
        <v>1.525134</v>
      </c>
      <c r="AF1132" s="87">
        <v>1.454241</v>
      </c>
      <c r="AG1132" s="87">
        <v>1.586726</v>
      </c>
      <c r="AH1132" s="87">
        <v>0.0</v>
      </c>
      <c r="AI1132" s="87">
        <v>1.275128</v>
      </c>
      <c r="AJ1132" s="87">
        <v>0.934208</v>
      </c>
      <c r="AK1132" s="87">
        <v>0.73949</v>
      </c>
      <c r="AL1132" s="88" t="s">
        <v>1396</v>
      </c>
    </row>
    <row r="1133">
      <c r="A1133" s="84" t="s">
        <v>2921</v>
      </c>
      <c r="B1133" s="84" t="s">
        <v>2922</v>
      </c>
      <c r="C1133" s="84" t="s">
        <v>2910</v>
      </c>
      <c r="D1133" s="84" t="s">
        <v>2916</v>
      </c>
      <c r="E1133" s="84" t="s">
        <v>1398</v>
      </c>
      <c r="F1133" s="87">
        <v>8.0</v>
      </c>
      <c r="G1133" s="87">
        <v>0.0</v>
      </c>
      <c r="H1133" s="87">
        <v>0.0</v>
      </c>
      <c r="I1133" s="87">
        <v>0.0</v>
      </c>
      <c r="J1133" s="87">
        <v>9.373732</v>
      </c>
      <c r="K1133" s="87">
        <v>10.59375</v>
      </c>
      <c r="L1133" s="87">
        <v>9.456956</v>
      </c>
      <c r="M1133" s="87">
        <v>5.13737</v>
      </c>
      <c r="N1133" s="87">
        <v>0.484944</v>
      </c>
      <c r="O1133" s="87">
        <v>0.193846</v>
      </c>
      <c r="P1133" s="87">
        <v>0.447814</v>
      </c>
      <c r="Q1133" s="87">
        <v>0.988588</v>
      </c>
      <c r="R1133" s="87">
        <v>1.161238</v>
      </c>
      <c r="S1133" s="87">
        <v>1.518699</v>
      </c>
      <c r="T1133" s="87">
        <v>0.193846</v>
      </c>
      <c r="U1133" s="87">
        <v>0.447814</v>
      </c>
      <c r="V1133" s="87">
        <v>0.988588</v>
      </c>
      <c r="W1133" s="87">
        <v>1.161238</v>
      </c>
      <c r="X1133" s="87">
        <v>1.518699</v>
      </c>
      <c r="Y1133" s="87">
        <v>1.324218</v>
      </c>
      <c r="Z1133" s="87">
        <v>0.0</v>
      </c>
      <c r="AA1133" s="87">
        <v>1.275128</v>
      </c>
      <c r="AB1133" s="87">
        <v>0.486834</v>
      </c>
      <c r="AC1133" s="87">
        <v>1.324218</v>
      </c>
      <c r="AD1133" s="87">
        <v>1.146189</v>
      </c>
      <c r="AE1133" s="87">
        <v>1.146189</v>
      </c>
      <c r="AF1133" s="87">
        <v>1.156298</v>
      </c>
      <c r="AG1133" s="87">
        <v>1.324218</v>
      </c>
      <c r="AH1133" s="87">
        <v>0.0</v>
      </c>
      <c r="AI1133" s="87">
        <v>1.275128</v>
      </c>
      <c r="AJ1133" s="87">
        <v>0.934208</v>
      </c>
      <c r="AK1133" s="87">
        <v>0.73949</v>
      </c>
      <c r="AL1133" s="88" t="s">
        <v>1396</v>
      </c>
    </row>
    <row r="1134">
      <c r="A1134" s="84" t="s">
        <v>2923</v>
      </c>
      <c r="B1134" s="84" t="s">
        <v>2924</v>
      </c>
      <c r="C1134" s="84" t="s">
        <v>2910</v>
      </c>
      <c r="D1134" s="84" t="s">
        <v>2916</v>
      </c>
      <c r="E1134" s="84" t="s">
        <v>1400</v>
      </c>
      <c r="F1134" s="87">
        <v>2.0</v>
      </c>
      <c r="G1134" s="87">
        <v>0.0</v>
      </c>
      <c r="H1134" s="87">
        <v>0.0</v>
      </c>
      <c r="I1134" s="87">
        <v>0.0</v>
      </c>
      <c r="J1134" s="87">
        <v>0.6</v>
      </c>
      <c r="K1134" s="87">
        <v>1.190055</v>
      </c>
      <c r="L1134" s="87">
        <v>1.187535</v>
      </c>
      <c r="M1134" s="87">
        <v>0.690055</v>
      </c>
      <c r="N1134" s="87">
        <v>0.579851</v>
      </c>
      <c r="O1134" s="87">
        <v>0.5</v>
      </c>
      <c r="P1134" s="87">
        <v>0.5</v>
      </c>
      <c r="Q1134" s="87">
        <v>0.5</v>
      </c>
      <c r="R1134" s="87">
        <v>0.690055</v>
      </c>
      <c r="S1134" s="87">
        <v>0.690055</v>
      </c>
      <c r="T1134" s="87">
        <v>0.5</v>
      </c>
      <c r="U1134" s="87">
        <v>0.5</v>
      </c>
      <c r="V1134" s="87">
        <v>0.5</v>
      </c>
      <c r="W1134" s="87">
        <v>0.690055</v>
      </c>
      <c r="X1134" s="87">
        <v>0.690055</v>
      </c>
      <c r="Y1134" s="87">
        <v>0.595027</v>
      </c>
      <c r="Z1134" s="87">
        <v>0.0</v>
      </c>
      <c r="AA1134" s="87">
        <v>1.275128</v>
      </c>
      <c r="AB1134" s="87">
        <v>0.486834</v>
      </c>
      <c r="AC1134" s="87">
        <v>1.324218</v>
      </c>
      <c r="AD1134" s="87">
        <v>0.690055</v>
      </c>
      <c r="AE1134" s="87">
        <v>0.690055</v>
      </c>
      <c r="AF1134" s="87">
        <v>0.595027</v>
      </c>
      <c r="AG1134" s="87">
        <v>0.595027</v>
      </c>
      <c r="AH1134" s="87">
        <v>0.0</v>
      </c>
      <c r="AI1134" s="87">
        <v>1.275128</v>
      </c>
      <c r="AJ1134" s="87">
        <v>0.934208</v>
      </c>
      <c r="AK1134" s="87">
        <v>0.73949</v>
      </c>
      <c r="AL1134" s="88" t="s">
        <v>1396</v>
      </c>
    </row>
    <row r="1135">
      <c r="A1135" s="84" t="s">
        <v>2925</v>
      </c>
      <c r="B1135" s="84" t="s">
        <v>2926</v>
      </c>
      <c r="C1135" s="84" t="s">
        <v>2910</v>
      </c>
      <c r="D1135" s="84" t="s">
        <v>2916</v>
      </c>
      <c r="E1135" s="86">
        <v>46300.0</v>
      </c>
      <c r="F1135" s="87">
        <v>7.0</v>
      </c>
      <c r="G1135" s="87">
        <v>0.0</v>
      </c>
      <c r="H1135" s="87">
        <v>3411.0</v>
      </c>
      <c r="I1135" s="87">
        <v>0.0</v>
      </c>
      <c r="J1135" s="87">
        <v>16.33786</v>
      </c>
      <c r="K1135" s="87">
        <v>17.59911</v>
      </c>
      <c r="L1135" s="87">
        <v>21.50596</v>
      </c>
      <c r="M1135" s="87">
        <v>10.98332</v>
      </c>
      <c r="N1135" s="87">
        <v>0.624084</v>
      </c>
      <c r="O1135" s="87">
        <v>0.0</v>
      </c>
      <c r="P1135" s="87">
        <v>0.0</v>
      </c>
      <c r="Q1135" s="87">
        <v>0.038462</v>
      </c>
      <c r="R1135" s="87">
        <v>2.89318</v>
      </c>
      <c r="S1135" s="87">
        <v>3.684153</v>
      </c>
      <c r="T1135" s="87">
        <v>0.038462</v>
      </c>
      <c r="U1135" s="87">
        <v>2.89318</v>
      </c>
      <c r="V1135" s="87">
        <v>2.89318</v>
      </c>
      <c r="W1135" s="87">
        <v>3.684153</v>
      </c>
      <c r="X1135" s="87">
        <v>4.84737</v>
      </c>
      <c r="Y1135" s="87">
        <v>2.514159</v>
      </c>
      <c r="Z1135" s="87">
        <v>0.0</v>
      </c>
      <c r="AA1135" s="87">
        <v>1.275128</v>
      </c>
      <c r="AB1135" s="87">
        <v>0.486834</v>
      </c>
      <c r="AC1135" s="87">
        <v>1.324218</v>
      </c>
      <c r="AD1135" s="87">
        <v>3.684153</v>
      </c>
      <c r="AE1135" s="87">
        <v>4.84737</v>
      </c>
      <c r="AF1135" s="87">
        <v>18.29069</v>
      </c>
      <c r="AG1135" s="87">
        <v>128.7264</v>
      </c>
      <c r="AH1135" s="87">
        <v>0.0</v>
      </c>
      <c r="AI1135" s="87">
        <v>1.275128</v>
      </c>
      <c r="AJ1135" s="87">
        <v>0.934208</v>
      </c>
      <c r="AK1135" s="87">
        <v>0.73949</v>
      </c>
      <c r="AL1135" s="88" t="s">
        <v>1396</v>
      </c>
    </row>
    <row r="1136">
      <c r="A1136" s="84" t="s">
        <v>2908</v>
      </c>
      <c r="B1136" s="84" t="s">
        <v>2927</v>
      </c>
      <c r="C1136" s="84" t="s">
        <v>2910</v>
      </c>
      <c r="D1136" s="84" t="s">
        <v>2916</v>
      </c>
      <c r="E1136" s="84" t="s">
        <v>1403</v>
      </c>
      <c r="F1136" s="87">
        <v>114.0</v>
      </c>
      <c r="G1136" s="87">
        <v>0.0</v>
      </c>
      <c r="H1136" s="87">
        <v>0.0</v>
      </c>
      <c r="I1136" s="87">
        <v>0.0</v>
      </c>
      <c r="J1136" s="87">
        <v>0.0</v>
      </c>
      <c r="K1136" s="87">
        <v>0.0</v>
      </c>
      <c r="L1136" s="87">
        <v>0.0</v>
      </c>
      <c r="M1136" s="87">
        <v>0.0</v>
      </c>
      <c r="N1136" s="87">
        <v>0.0</v>
      </c>
      <c r="O1136" s="87">
        <v>0.0</v>
      </c>
      <c r="P1136" s="87">
        <v>0.0</v>
      </c>
      <c r="Q1136" s="87">
        <v>0.0</v>
      </c>
      <c r="R1136" s="87">
        <v>0.0</v>
      </c>
      <c r="S1136" s="87">
        <v>0.0</v>
      </c>
      <c r="T1136" s="87">
        <v>0.0</v>
      </c>
      <c r="U1136" s="87">
        <v>0.0</v>
      </c>
      <c r="V1136" s="87">
        <v>0.0</v>
      </c>
      <c r="W1136" s="87">
        <v>0.0</v>
      </c>
      <c r="X1136" s="87">
        <v>0.0</v>
      </c>
      <c r="Y1136" s="87">
        <v>0.0</v>
      </c>
      <c r="Z1136" s="87">
        <v>0.0</v>
      </c>
      <c r="AA1136" s="87">
        <v>1.275128</v>
      </c>
      <c r="AB1136" s="87">
        <v>0.486834</v>
      </c>
      <c r="AC1136" s="87">
        <v>1.324218</v>
      </c>
      <c r="AD1136" s="87">
        <v>0.0</v>
      </c>
      <c r="AE1136" s="87">
        <v>0.0</v>
      </c>
      <c r="AF1136" s="87">
        <v>0.0</v>
      </c>
      <c r="AG1136" s="87">
        <v>0.0</v>
      </c>
      <c r="AH1136" s="87">
        <v>0.0</v>
      </c>
      <c r="AI1136" s="87">
        <v>1.275128</v>
      </c>
      <c r="AJ1136" s="87">
        <v>0.934208</v>
      </c>
      <c r="AK1136" s="87">
        <v>0.73949</v>
      </c>
      <c r="AL1136" s="88" t="s">
        <v>1396</v>
      </c>
    </row>
    <row r="1137">
      <c r="A1137" s="84" t="s">
        <v>2908</v>
      </c>
      <c r="B1137" s="84" t="s">
        <v>2928</v>
      </c>
      <c r="C1137" s="84" t="s">
        <v>2910</v>
      </c>
      <c r="D1137" s="84" t="s">
        <v>2929</v>
      </c>
      <c r="E1137" s="84" t="s">
        <v>1403</v>
      </c>
      <c r="F1137" s="87">
        <v>3.0</v>
      </c>
      <c r="G1137" s="87">
        <v>0.0</v>
      </c>
      <c r="H1137" s="87">
        <v>0.0</v>
      </c>
      <c r="I1137" s="87">
        <v>0.0</v>
      </c>
      <c r="J1137" s="87">
        <v>0.0</v>
      </c>
      <c r="K1137" s="87">
        <v>0.0</v>
      </c>
      <c r="L1137" s="87">
        <v>0.0</v>
      </c>
      <c r="M1137" s="87">
        <v>0.0</v>
      </c>
      <c r="N1137" s="87">
        <v>0.0</v>
      </c>
      <c r="O1137" s="87">
        <v>0.0</v>
      </c>
      <c r="P1137" s="87">
        <v>0.0</v>
      </c>
      <c r="Q1137" s="87">
        <v>0.0</v>
      </c>
      <c r="R1137" s="87">
        <v>0.0</v>
      </c>
      <c r="S1137" s="87">
        <v>0.0</v>
      </c>
      <c r="T1137" s="87">
        <v>0.0</v>
      </c>
      <c r="U1137" s="87">
        <v>0.0</v>
      </c>
      <c r="V1137" s="87">
        <v>0.0</v>
      </c>
      <c r="W1137" s="87">
        <v>0.0</v>
      </c>
      <c r="X1137" s="87">
        <v>0.0</v>
      </c>
      <c r="Y1137" s="87">
        <v>0.0</v>
      </c>
      <c r="Z1137" s="87">
        <v>0.0</v>
      </c>
      <c r="AA1137" s="87">
        <v>0.0</v>
      </c>
      <c r="AB1137" s="87">
        <v>0.0</v>
      </c>
      <c r="AC1137" s="87">
        <v>0.0</v>
      </c>
      <c r="AD1137" s="87">
        <v>0.0</v>
      </c>
      <c r="AE1137" s="87">
        <v>0.0</v>
      </c>
      <c r="AF1137" s="87">
        <v>0.0</v>
      </c>
      <c r="AG1137" s="87">
        <v>0.0</v>
      </c>
      <c r="AH1137" s="87">
        <v>0.0</v>
      </c>
      <c r="AI1137" s="87">
        <v>1.275128</v>
      </c>
      <c r="AJ1137" s="87">
        <v>0.934208</v>
      </c>
      <c r="AK1137" s="87">
        <v>0.73949</v>
      </c>
      <c r="AL1137" s="88" t="s">
        <v>1396</v>
      </c>
    </row>
    <row r="1138">
      <c r="A1138" s="84" t="s">
        <v>2919</v>
      </c>
      <c r="B1138" s="84" t="s">
        <v>2930</v>
      </c>
      <c r="C1138" s="84" t="s">
        <v>2910</v>
      </c>
      <c r="D1138" s="84" t="s">
        <v>2931</v>
      </c>
      <c r="E1138" s="84" t="s">
        <v>1413</v>
      </c>
      <c r="F1138" s="87">
        <v>2.0</v>
      </c>
      <c r="G1138" s="87">
        <v>0.0</v>
      </c>
      <c r="H1138" s="87">
        <v>0.0</v>
      </c>
      <c r="I1138" s="87">
        <v>0.0</v>
      </c>
      <c r="J1138" s="87">
        <v>3.239394</v>
      </c>
      <c r="K1138" s="87">
        <v>3.173452</v>
      </c>
      <c r="L1138" s="87">
        <v>3.348772</v>
      </c>
      <c r="M1138" s="87">
        <v>1.658324</v>
      </c>
      <c r="N1138" s="87">
        <v>0.522561</v>
      </c>
      <c r="O1138" s="87">
        <v>1.515128</v>
      </c>
      <c r="P1138" s="87">
        <v>1.515128</v>
      </c>
      <c r="Q1138" s="87">
        <v>1.515128</v>
      </c>
      <c r="R1138" s="87">
        <v>1.658324</v>
      </c>
      <c r="S1138" s="87">
        <v>1.658324</v>
      </c>
      <c r="T1138" s="87">
        <v>1.515128</v>
      </c>
      <c r="U1138" s="87">
        <v>1.515128</v>
      </c>
      <c r="V1138" s="87">
        <v>1.515128</v>
      </c>
      <c r="W1138" s="87">
        <v>1.658324</v>
      </c>
      <c r="X1138" s="87">
        <v>1.658324</v>
      </c>
      <c r="Y1138" s="87">
        <v>1.586726</v>
      </c>
      <c r="Z1138" s="87">
        <v>0.0</v>
      </c>
      <c r="AA1138" s="87">
        <v>1.515128</v>
      </c>
      <c r="AB1138" s="87">
        <v>2.711614</v>
      </c>
      <c r="AC1138" s="87">
        <v>1.586726</v>
      </c>
      <c r="AD1138" s="87">
        <v>1.525134</v>
      </c>
      <c r="AE1138" s="87">
        <v>1.525134</v>
      </c>
      <c r="AF1138" s="87">
        <v>1.454241</v>
      </c>
      <c r="AG1138" s="87">
        <v>1.586726</v>
      </c>
      <c r="AH1138" s="87">
        <v>0.0</v>
      </c>
      <c r="AI1138" s="87">
        <v>1.275128</v>
      </c>
      <c r="AJ1138" s="87">
        <v>0.934208</v>
      </c>
      <c r="AK1138" s="87">
        <v>0.73949</v>
      </c>
      <c r="AL1138" s="88" t="s">
        <v>1396</v>
      </c>
    </row>
    <row r="1139">
      <c r="A1139" s="84" t="s">
        <v>2921</v>
      </c>
      <c r="B1139" s="84" t="s">
        <v>2932</v>
      </c>
      <c r="C1139" s="84" t="s">
        <v>2910</v>
      </c>
      <c r="D1139" s="84" t="s">
        <v>2931</v>
      </c>
      <c r="E1139" s="84" t="s">
        <v>1398</v>
      </c>
      <c r="F1139" s="87">
        <v>2.0</v>
      </c>
      <c r="G1139" s="87">
        <v>0.0</v>
      </c>
      <c r="H1139" s="87">
        <v>0.0</v>
      </c>
      <c r="I1139" s="87">
        <v>0.0</v>
      </c>
      <c r="J1139" s="87">
        <v>1.181818</v>
      </c>
      <c r="K1139" s="87">
        <v>0.969231</v>
      </c>
      <c r="L1139" s="87">
        <v>1.077925</v>
      </c>
      <c r="M1139" s="87">
        <v>0.581538</v>
      </c>
      <c r="N1139" s="87">
        <v>0.6</v>
      </c>
      <c r="O1139" s="87">
        <v>0.387692</v>
      </c>
      <c r="P1139" s="87">
        <v>0.387692</v>
      </c>
      <c r="Q1139" s="87">
        <v>0.387692</v>
      </c>
      <c r="R1139" s="87">
        <v>0.581538</v>
      </c>
      <c r="S1139" s="87">
        <v>0.581538</v>
      </c>
      <c r="T1139" s="87">
        <v>0.387692</v>
      </c>
      <c r="U1139" s="87">
        <v>0.387692</v>
      </c>
      <c r="V1139" s="87">
        <v>0.387692</v>
      </c>
      <c r="W1139" s="87">
        <v>0.581538</v>
      </c>
      <c r="X1139" s="87">
        <v>0.581538</v>
      </c>
      <c r="Y1139" s="87">
        <v>0.484615</v>
      </c>
      <c r="Z1139" s="87">
        <v>0.0</v>
      </c>
      <c r="AA1139" s="87">
        <v>1.515128</v>
      </c>
      <c r="AB1139" s="87">
        <v>2.711614</v>
      </c>
      <c r="AC1139" s="87">
        <v>1.586726</v>
      </c>
      <c r="AD1139" s="87">
        <v>1.146189</v>
      </c>
      <c r="AE1139" s="87">
        <v>1.146189</v>
      </c>
      <c r="AF1139" s="87">
        <v>1.156298</v>
      </c>
      <c r="AG1139" s="87">
        <v>1.324218</v>
      </c>
      <c r="AH1139" s="87">
        <v>0.0</v>
      </c>
      <c r="AI1139" s="87">
        <v>1.275128</v>
      </c>
      <c r="AJ1139" s="87">
        <v>0.934208</v>
      </c>
      <c r="AK1139" s="87">
        <v>0.73949</v>
      </c>
      <c r="AL1139" s="88" t="s">
        <v>1396</v>
      </c>
    </row>
    <row r="1140">
      <c r="A1140" s="84" t="s">
        <v>2925</v>
      </c>
      <c r="B1140" s="84" t="s">
        <v>2933</v>
      </c>
      <c r="C1140" s="84" t="s">
        <v>2910</v>
      </c>
      <c r="D1140" s="84" t="s">
        <v>2931</v>
      </c>
      <c r="E1140" s="89">
        <v>46300.0</v>
      </c>
      <c r="F1140" s="87">
        <v>1.0</v>
      </c>
      <c r="G1140" s="87">
        <v>0.0</v>
      </c>
      <c r="H1140" s="87">
        <v>233.0</v>
      </c>
      <c r="I1140" s="87">
        <v>0.0</v>
      </c>
      <c r="J1140" s="87">
        <v>123.0676</v>
      </c>
      <c r="K1140" s="87">
        <v>128.7264</v>
      </c>
      <c r="L1140" s="87">
        <v>128.5285</v>
      </c>
      <c r="M1140" s="87">
        <v>128.7264</v>
      </c>
      <c r="N1140" s="87">
        <v>1.0</v>
      </c>
      <c r="O1140" s="87">
        <v>128.7264</v>
      </c>
      <c r="P1140" s="87">
        <v>128.7264</v>
      </c>
      <c r="Q1140" s="87">
        <v>128.7264</v>
      </c>
      <c r="R1140" s="87">
        <v>128.7264</v>
      </c>
      <c r="S1140" s="87">
        <v>128.7264</v>
      </c>
      <c r="T1140" s="87">
        <v>128.7264</v>
      </c>
      <c r="U1140" s="87">
        <v>128.7264</v>
      </c>
      <c r="V1140" s="87">
        <v>128.7264</v>
      </c>
      <c r="W1140" s="87">
        <v>128.7264</v>
      </c>
      <c r="X1140" s="87">
        <v>128.7264</v>
      </c>
      <c r="Y1140" s="87">
        <v>128.7264</v>
      </c>
      <c r="Z1140" s="87">
        <v>0.0</v>
      </c>
      <c r="AA1140" s="87">
        <v>1.515128</v>
      </c>
      <c r="AB1140" s="87">
        <v>2.711614</v>
      </c>
      <c r="AC1140" s="87">
        <v>1.586726</v>
      </c>
      <c r="AD1140" s="87">
        <v>3.684153</v>
      </c>
      <c r="AE1140" s="87">
        <v>4.84737</v>
      </c>
      <c r="AF1140" s="87">
        <v>18.29069</v>
      </c>
      <c r="AG1140" s="87">
        <v>128.7264</v>
      </c>
      <c r="AH1140" s="87">
        <v>0.0</v>
      </c>
      <c r="AI1140" s="87">
        <v>1.275128</v>
      </c>
      <c r="AJ1140" s="87">
        <v>0.934208</v>
      </c>
      <c r="AK1140" s="87">
        <v>0.73949</v>
      </c>
      <c r="AL1140" s="88" t="s">
        <v>1396</v>
      </c>
    </row>
    <row r="1141">
      <c r="A1141" s="84" t="s">
        <v>2908</v>
      </c>
      <c r="B1141" s="84" t="s">
        <v>2934</v>
      </c>
      <c r="C1141" s="84" t="s">
        <v>2910</v>
      </c>
      <c r="D1141" s="84" t="s">
        <v>2931</v>
      </c>
      <c r="E1141" s="84" t="s">
        <v>1403</v>
      </c>
      <c r="F1141" s="87">
        <v>44.0</v>
      </c>
      <c r="G1141" s="87">
        <v>0.0</v>
      </c>
      <c r="H1141" s="87">
        <v>0.0</v>
      </c>
      <c r="I1141" s="87">
        <v>0.0</v>
      </c>
      <c r="J1141" s="87">
        <v>0.0</v>
      </c>
      <c r="K1141" s="87">
        <v>0.0</v>
      </c>
      <c r="L1141" s="87">
        <v>0.0</v>
      </c>
      <c r="M1141" s="87">
        <v>0.0</v>
      </c>
      <c r="N1141" s="87">
        <v>0.0</v>
      </c>
      <c r="O1141" s="87">
        <v>0.0</v>
      </c>
      <c r="P1141" s="87">
        <v>0.0</v>
      </c>
      <c r="Q1141" s="87">
        <v>0.0</v>
      </c>
      <c r="R1141" s="87">
        <v>0.0</v>
      </c>
      <c r="S1141" s="87">
        <v>0.0</v>
      </c>
      <c r="T1141" s="87">
        <v>0.0</v>
      </c>
      <c r="U1141" s="87">
        <v>0.0</v>
      </c>
      <c r="V1141" s="87">
        <v>0.0</v>
      </c>
      <c r="W1141" s="87">
        <v>0.0</v>
      </c>
      <c r="X1141" s="87">
        <v>0.0</v>
      </c>
      <c r="Y1141" s="87">
        <v>0.0</v>
      </c>
      <c r="Z1141" s="87">
        <v>0.0</v>
      </c>
      <c r="AA1141" s="87">
        <v>1.515128</v>
      </c>
      <c r="AB1141" s="87">
        <v>2.711614</v>
      </c>
      <c r="AC1141" s="87">
        <v>1.586726</v>
      </c>
      <c r="AD1141" s="87">
        <v>0.0</v>
      </c>
      <c r="AE1141" s="87">
        <v>0.0</v>
      </c>
      <c r="AF1141" s="87">
        <v>0.0</v>
      </c>
      <c r="AG1141" s="87">
        <v>0.0</v>
      </c>
      <c r="AH1141" s="87">
        <v>0.0</v>
      </c>
      <c r="AI1141" s="87">
        <v>1.275128</v>
      </c>
      <c r="AJ1141" s="87">
        <v>0.934208</v>
      </c>
      <c r="AK1141" s="87">
        <v>0.73949</v>
      </c>
      <c r="AL1141" s="88" t="s">
        <v>1396</v>
      </c>
    </row>
    <row r="1142">
      <c r="A1142" s="84" t="s">
        <v>2935</v>
      </c>
      <c r="B1142" s="84" t="s">
        <v>2936</v>
      </c>
      <c r="C1142" s="84" t="s">
        <v>616</v>
      </c>
      <c r="D1142" s="84" t="s">
        <v>622</v>
      </c>
      <c r="E1142" s="84" t="s">
        <v>1426</v>
      </c>
      <c r="F1142" s="87">
        <v>39.0</v>
      </c>
      <c r="G1142" s="87">
        <v>0.0</v>
      </c>
      <c r="H1142" s="87">
        <v>24997.0</v>
      </c>
      <c r="I1142" s="87">
        <v>0.0</v>
      </c>
      <c r="J1142" s="87">
        <v>298.6589</v>
      </c>
      <c r="K1142" s="87">
        <v>294.1038</v>
      </c>
      <c r="L1142" s="87">
        <v>288.213</v>
      </c>
      <c r="M1142" s="87">
        <v>231.4604</v>
      </c>
      <c r="N1142" s="87">
        <v>0.787002</v>
      </c>
      <c r="O1142" s="87">
        <v>0.0</v>
      </c>
      <c r="P1142" s="87">
        <v>0.0</v>
      </c>
      <c r="Q1142" s="87">
        <v>0.0</v>
      </c>
      <c r="R1142" s="87">
        <v>0.0</v>
      </c>
      <c r="S1142" s="87">
        <v>7.182389</v>
      </c>
      <c r="T1142" s="87">
        <v>0.160256</v>
      </c>
      <c r="U1142" s="87">
        <v>4.081923</v>
      </c>
      <c r="V1142" s="87">
        <v>6.490607</v>
      </c>
      <c r="W1142" s="87">
        <v>13.67064</v>
      </c>
      <c r="X1142" s="87">
        <v>18.2997</v>
      </c>
      <c r="Y1142" s="87">
        <v>7.541123</v>
      </c>
      <c r="Z1142" s="87">
        <v>0.0</v>
      </c>
      <c r="AA1142" s="87">
        <v>3.935227</v>
      </c>
      <c r="AB1142" s="87">
        <v>2.320991</v>
      </c>
      <c r="AC1142" s="87">
        <v>3.10509</v>
      </c>
      <c r="AD1142" s="87">
        <v>0.82263</v>
      </c>
      <c r="AE1142" s="87">
        <v>6.484313</v>
      </c>
      <c r="AF1142" s="87">
        <v>7.149305</v>
      </c>
      <c r="AG1142" s="87">
        <v>7.541123</v>
      </c>
      <c r="AH1142" s="87">
        <v>0.0</v>
      </c>
      <c r="AI1142" s="87">
        <v>2.975384</v>
      </c>
      <c r="AJ1142" s="87">
        <v>2.567555</v>
      </c>
      <c r="AK1142" s="87">
        <v>3.780768</v>
      </c>
      <c r="AL1142" s="88" t="s">
        <v>1396</v>
      </c>
    </row>
    <row r="1143">
      <c r="A1143" s="84" t="s">
        <v>2937</v>
      </c>
      <c r="B1143" s="84" t="s">
        <v>2938</v>
      </c>
      <c r="C1143" s="84" t="s">
        <v>616</v>
      </c>
      <c r="D1143" s="84" t="s">
        <v>622</v>
      </c>
      <c r="E1143" s="89">
        <v>46310.0</v>
      </c>
      <c r="F1143" s="87">
        <v>34.0</v>
      </c>
      <c r="G1143" s="87">
        <v>0.0</v>
      </c>
      <c r="H1143" s="87">
        <v>10972.0</v>
      </c>
      <c r="I1143" s="87">
        <v>0.0</v>
      </c>
      <c r="J1143" s="87">
        <v>95.30787</v>
      </c>
      <c r="K1143" s="87">
        <v>105.5731</v>
      </c>
      <c r="L1143" s="87">
        <v>112.6976</v>
      </c>
      <c r="M1143" s="87">
        <v>64.63233</v>
      </c>
      <c r="N1143" s="87">
        <v>0.612205</v>
      </c>
      <c r="O1143" s="87">
        <v>0.0</v>
      </c>
      <c r="P1143" s="87">
        <v>0.0</v>
      </c>
      <c r="Q1143" s="87">
        <v>0.581183</v>
      </c>
      <c r="R1143" s="87">
        <v>2.247858</v>
      </c>
      <c r="S1143" s="87">
        <v>3.320727</v>
      </c>
      <c r="T1143" s="87">
        <v>0.333333</v>
      </c>
      <c r="U1143" s="87">
        <v>1.620899</v>
      </c>
      <c r="V1143" s="87">
        <v>1.939755</v>
      </c>
      <c r="W1143" s="87">
        <v>2.650861</v>
      </c>
      <c r="X1143" s="87">
        <v>3.720578</v>
      </c>
      <c r="Y1143" s="87">
        <v>3.10509</v>
      </c>
      <c r="Z1143" s="87">
        <v>0.0</v>
      </c>
      <c r="AA1143" s="87">
        <v>3.935227</v>
      </c>
      <c r="AB1143" s="87">
        <v>2.320991</v>
      </c>
      <c r="AC1143" s="87">
        <v>3.10509</v>
      </c>
      <c r="AD1143" s="87">
        <v>2.539609</v>
      </c>
      <c r="AE1143" s="87">
        <v>3.509582</v>
      </c>
      <c r="AF1143" s="87">
        <v>5.691473</v>
      </c>
      <c r="AG1143" s="87">
        <v>8.002331</v>
      </c>
      <c r="AH1143" s="87">
        <v>0.0</v>
      </c>
      <c r="AI1143" s="87">
        <v>2.975384</v>
      </c>
      <c r="AJ1143" s="87">
        <v>2.567555</v>
      </c>
      <c r="AK1143" s="87">
        <v>3.780768</v>
      </c>
      <c r="AL1143" s="88" t="s">
        <v>1396</v>
      </c>
    </row>
    <row r="1144">
      <c r="A1144" s="84" t="s">
        <v>2939</v>
      </c>
      <c r="B1144" s="84" t="s">
        <v>2940</v>
      </c>
      <c r="C1144" s="84" t="s">
        <v>616</v>
      </c>
      <c r="D1144" s="84" t="s">
        <v>622</v>
      </c>
      <c r="E1144" s="84" t="s">
        <v>1413</v>
      </c>
      <c r="F1144" s="87">
        <v>13.0</v>
      </c>
      <c r="G1144" s="87">
        <v>0.0</v>
      </c>
      <c r="H1144" s="87">
        <v>6096.0</v>
      </c>
      <c r="I1144" s="87">
        <v>0.0</v>
      </c>
      <c r="J1144" s="87">
        <v>47.11614</v>
      </c>
      <c r="K1144" s="87">
        <v>48.44116</v>
      </c>
      <c r="L1144" s="87">
        <v>51.34621</v>
      </c>
      <c r="M1144" s="87">
        <v>37.103</v>
      </c>
      <c r="N1144" s="87">
        <v>0.76594</v>
      </c>
      <c r="O1144" s="87">
        <v>0.0</v>
      </c>
      <c r="P1144" s="87">
        <v>0.066667</v>
      </c>
      <c r="Q1144" s="87">
        <v>0.581667</v>
      </c>
      <c r="R1144" s="87">
        <v>0.875759</v>
      </c>
      <c r="S1144" s="87">
        <v>3.576528</v>
      </c>
      <c r="T1144" s="87">
        <v>0.581667</v>
      </c>
      <c r="U1144" s="87">
        <v>0.582857</v>
      </c>
      <c r="V1144" s="87">
        <v>0.863441</v>
      </c>
      <c r="W1144" s="87">
        <v>1.749699</v>
      </c>
      <c r="X1144" s="87">
        <v>3.576528</v>
      </c>
      <c r="Y1144" s="87">
        <v>3.726243</v>
      </c>
      <c r="Z1144" s="87">
        <v>0.0</v>
      </c>
      <c r="AA1144" s="87">
        <v>3.935227</v>
      </c>
      <c r="AB1144" s="87">
        <v>2.320991</v>
      </c>
      <c r="AC1144" s="87">
        <v>3.10509</v>
      </c>
      <c r="AD1144" s="87">
        <v>1.1671</v>
      </c>
      <c r="AE1144" s="87">
        <v>2.271179</v>
      </c>
      <c r="AF1144" s="87">
        <v>4.076842</v>
      </c>
      <c r="AG1144" s="87">
        <v>4.134492</v>
      </c>
      <c r="AH1144" s="87">
        <v>0.0</v>
      </c>
      <c r="AI1144" s="87">
        <v>2.975384</v>
      </c>
      <c r="AJ1144" s="87">
        <v>2.567555</v>
      </c>
      <c r="AK1144" s="87">
        <v>3.780768</v>
      </c>
      <c r="AL1144" s="88" t="s">
        <v>1396</v>
      </c>
    </row>
    <row r="1145">
      <c r="A1145" s="84" t="s">
        <v>2941</v>
      </c>
      <c r="B1145" s="84" t="s">
        <v>2942</v>
      </c>
      <c r="C1145" s="84" t="s">
        <v>616</v>
      </c>
      <c r="D1145" s="84" t="s">
        <v>622</v>
      </c>
      <c r="E1145" s="84" t="s">
        <v>1398</v>
      </c>
      <c r="F1145" s="87">
        <v>5.0</v>
      </c>
      <c r="G1145" s="87">
        <v>0.0</v>
      </c>
      <c r="H1145" s="87">
        <v>2039.0</v>
      </c>
      <c r="I1145" s="87">
        <v>0.0</v>
      </c>
      <c r="J1145" s="87">
        <v>15.2063</v>
      </c>
      <c r="K1145" s="87">
        <v>15.02444</v>
      </c>
      <c r="L1145" s="87">
        <v>18.87326</v>
      </c>
      <c r="M1145" s="87">
        <v>13.6002</v>
      </c>
      <c r="N1145" s="87">
        <v>0.905205</v>
      </c>
      <c r="O1145" s="87">
        <v>0.0</v>
      </c>
      <c r="P1145" s="87">
        <v>0.0</v>
      </c>
      <c r="Q1145" s="87">
        <v>0.0</v>
      </c>
      <c r="R1145" s="87">
        <v>0.090909</v>
      </c>
      <c r="S1145" s="87">
        <v>1.333333</v>
      </c>
      <c r="T1145" s="87">
        <v>0.090909</v>
      </c>
      <c r="U1145" s="87">
        <v>0.090909</v>
      </c>
      <c r="V1145" s="87">
        <v>0.090909</v>
      </c>
      <c r="W1145" s="87">
        <v>1.333333</v>
      </c>
      <c r="X1145" s="87">
        <v>13.6002</v>
      </c>
      <c r="Y1145" s="87">
        <v>3.004888</v>
      </c>
      <c r="Z1145" s="87">
        <v>0.0</v>
      </c>
      <c r="AA1145" s="87">
        <v>3.935227</v>
      </c>
      <c r="AB1145" s="87">
        <v>2.320991</v>
      </c>
      <c r="AC1145" s="87">
        <v>3.10509</v>
      </c>
      <c r="AD1145" s="87">
        <v>1.097849</v>
      </c>
      <c r="AE1145" s="87">
        <v>1.404746</v>
      </c>
      <c r="AF1145" s="87">
        <v>2.799918</v>
      </c>
      <c r="AG1145" s="87">
        <v>3.004888</v>
      </c>
      <c r="AH1145" s="87">
        <v>0.0</v>
      </c>
      <c r="AI1145" s="87">
        <v>2.975384</v>
      </c>
      <c r="AJ1145" s="87">
        <v>2.567555</v>
      </c>
      <c r="AK1145" s="87">
        <v>3.780768</v>
      </c>
      <c r="AL1145" s="88" t="s">
        <v>1396</v>
      </c>
    </row>
    <row r="1146">
      <c r="A1146" s="84" t="s">
        <v>2943</v>
      </c>
      <c r="B1146" s="84" t="s">
        <v>2944</v>
      </c>
      <c r="C1146" s="84" t="s">
        <v>616</v>
      </c>
      <c r="D1146" s="84" t="s">
        <v>622</v>
      </c>
      <c r="E1146" s="84" t="s">
        <v>1400</v>
      </c>
      <c r="F1146" s="87">
        <v>17.0</v>
      </c>
      <c r="G1146" s="87">
        <v>1.0</v>
      </c>
      <c r="H1146" s="87">
        <v>3495.0</v>
      </c>
      <c r="I1146" s="87">
        <v>63.0</v>
      </c>
      <c r="J1146" s="87">
        <v>31.72002</v>
      </c>
      <c r="K1146" s="87">
        <v>29.62739</v>
      </c>
      <c r="L1146" s="87">
        <v>27.66381</v>
      </c>
      <c r="M1146" s="87">
        <v>20.77889</v>
      </c>
      <c r="N1146" s="87">
        <v>0.701341</v>
      </c>
      <c r="O1146" s="87">
        <v>0.0</v>
      </c>
      <c r="P1146" s="87">
        <v>0.0</v>
      </c>
      <c r="Q1146" s="87">
        <v>0.3</v>
      </c>
      <c r="R1146" s="87">
        <v>1.06129</v>
      </c>
      <c r="S1146" s="87">
        <v>1.350167</v>
      </c>
      <c r="T1146" s="87">
        <v>0.3</v>
      </c>
      <c r="U1146" s="87">
        <v>0.43859</v>
      </c>
      <c r="V1146" s="87">
        <v>0.5</v>
      </c>
      <c r="W1146" s="87">
        <v>1.293121</v>
      </c>
      <c r="X1146" s="87">
        <v>2.808381</v>
      </c>
      <c r="Y1146" s="87">
        <v>1.742788</v>
      </c>
      <c r="Z1146" s="87">
        <v>0.0</v>
      </c>
      <c r="AA1146" s="87">
        <v>3.935227</v>
      </c>
      <c r="AB1146" s="87">
        <v>2.320991</v>
      </c>
      <c r="AC1146" s="87">
        <v>3.10509</v>
      </c>
      <c r="AD1146" s="87">
        <v>0.868408</v>
      </c>
      <c r="AE1146" s="87">
        <v>1.097672</v>
      </c>
      <c r="AF1146" s="87">
        <v>2.266249</v>
      </c>
      <c r="AG1146" s="87">
        <v>2.394955</v>
      </c>
      <c r="AH1146" s="87">
        <v>0.0</v>
      </c>
      <c r="AI1146" s="87">
        <v>2.975384</v>
      </c>
      <c r="AJ1146" s="87">
        <v>2.567555</v>
      </c>
      <c r="AK1146" s="87">
        <v>3.780768</v>
      </c>
      <c r="AL1146" s="88" t="s">
        <v>1396</v>
      </c>
    </row>
    <row r="1147">
      <c r="A1147" s="84" t="s">
        <v>2945</v>
      </c>
      <c r="B1147" s="84" t="s">
        <v>2946</v>
      </c>
      <c r="C1147" s="84" t="s">
        <v>616</v>
      </c>
      <c r="D1147" s="84" t="s">
        <v>622</v>
      </c>
      <c r="E1147" s="89">
        <v>46300.0</v>
      </c>
      <c r="F1147" s="87">
        <v>70.0</v>
      </c>
      <c r="G1147" s="87">
        <v>0.0</v>
      </c>
      <c r="H1147" s="87">
        <v>31018.0</v>
      </c>
      <c r="I1147" s="87">
        <v>0.0</v>
      </c>
      <c r="J1147" s="87">
        <v>415.3935</v>
      </c>
      <c r="K1147" s="87">
        <v>449.5524</v>
      </c>
      <c r="L1147" s="87">
        <v>452.7752</v>
      </c>
      <c r="M1147" s="87">
        <v>277.23</v>
      </c>
      <c r="N1147" s="87">
        <v>0.61668</v>
      </c>
      <c r="O1147" s="87">
        <v>0.0</v>
      </c>
      <c r="P1147" s="87">
        <v>0.018519</v>
      </c>
      <c r="Q1147" s="87">
        <v>1.176388</v>
      </c>
      <c r="R1147" s="87">
        <v>3.237923</v>
      </c>
      <c r="S1147" s="87">
        <v>7.466987</v>
      </c>
      <c r="T1147" s="87">
        <v>1.0</v>
      </c>
      <c r="U1147" s="87">
        <v>1.608535</v>
      </c>
      <c r="V1147" s="87">
        <v>2.607004</v>
      </c>
      <c r="W1147" s="87">
        <v>5.347041</v>
      </c>
      <c r="X1147" s="87">
        <v>9.348628</v>
      </c>
      <c r="Y1147" s="87">
        <v>6.422177</v>
      </c>
      <c r="Z1147" s="87">
        <v>0.0</v>
      </c>
      <c r="AA1147" s="87">
        <v>3.935227</v>
      </c>
      <c r="AB1147" s="87">
        <v>2.320991</v>
      </c>
      <c r="AC1147" s="87">
        <v>3.10509</v>
      </c>
      <c r="AD1147" s="87">
        <v>2.412986</v>
      </c>
      <c r="AE1147" s="87">
        <v>4.103214</v>
      </c>
      <c r="AF1147" s="87">
        <v>5.493205</v>
      </c>
      <c r="AG1147" s="87">
        <v>6.422177</v>
      </c>
      <c r="AH1147" s="87">
        <v>0.0</v>
      </c>
      <c r="AI1147" s="87">
        <v>2.975384</v>
      </c>
      <c r="AJ1147" s="87">
        <v>2.567555</v>
      </c>
      <c r="AK1147" s="87">
        <v>3.780768</v>
      </c>
      <c r="AL1147" s="88" t="s">
        <v>1396</v>
      </c>
    </row>
    <row r="1148">
      <c r="A1148" s="84" t="s">
        <v>2947</v>
      </c>
      <c r="B1148" s="84" t="s">
        <v>2948</v>
      </c>
      <c r="C1148" s="84" t="s">
        <v>616</v>
      </c>
      <c r="D1148" s="84" t="s">
        <v>622</v>
      </c>
      <c r="E1148" s="84" t="s">
        <v>1403</v>
      </c>
      <c r="F1148" s="87">
        <v>228.0</v>
      </c>
      <c r="G1148" s="87">
        <v>13.0</v>
      </c>
      <c r="H1148" s="87">
        <v>890.0</v>
      </c>
      <c r="I1148" s="87">
        <v>890.0</v>
      </c>
      <c r="J1148" s="87">
        <v>0.0</v>
      </c>
      <c r="K1148" s="87">
        <v>0.0</v>
      </c>
      <c r="L1148" s="87">
        <v>0.0</v>
      </c>
      <c r="M1148" s="87">
        <v>0.0</v>
      </c>
      <c r="N1148" s="87">
        <v>0.0</v>
      </c>
      <c r="O1148" s="87">
        <v>0.0</v>
      </c>
      <c r="P1148" s="87">
        <v>0.0</v>
      </c>
      <c r="Q1148" s="87">
        <v>0.0</v>
      </c>
      <c r="R1148" s="87">
        <v>0.0</v>
      </c>
      <c r="S1148" s="87">
        <v>0.0</v>
      </c>
      <c r="T1148" s="87">
        <v>0.0</v>
      </c>
      <c r="U1148" s="87">
        <v>0.0</v>
      </c>
      <c r="V1148" s="87">
        <v>0.0</v>
      </c>
      <c r="W1148" s="87">
        <v>0.0</v>
      </c>
      <c r="X1148" s="87">
        <v>0.0</v>
      </c>
      <c r="Y1148" s="87">
        <v>0.0</v>
      </c>
      <c r="Z1148" s="87">
        <v>0.0</v>
      </c>
      <c r="AA1148" s="87">
        <v>3.935227</v>
      </c>
      <c r="AB1148" s="87">
        <v>2.320991</v>
      </c>
      <c r="AC1148" s="87">
        <v>3.10509</v>
      </c>
      <c r="AD1148" s="87">
        <v>0.0</v>
      </c>
      <c r="AE1148" s="87">
        <v>0.0</v>
      </c>
      <c r="AF1148" s="87">
        <v>0.0</v>
      </c>
      <c r="AG1148" s="87">
        <v>0.0</v>
      </c>
      <c r="AH1148" s="87">
        <v>0.0</v>
      </c>
      <c r="AI1148" s="87">
        <v>2.975384</v>
      </c>
      <c r="AJ1148" s="87">
        <v>2.567555</v>
      </c>
      <c r="AK1148" s="87">
        <v>3.780768</v>
      </c>
      <c r="AL1148" s="88" t="s">
        <v>1396</v>
      </c>
    </row>
    <row r="1149">
      <c r="A1149" s="84" t="s">
        <v>2935</v>
      </c>
      <c r="B1149" s="84" t="s">
        <v>2949</v>
      </c>
      <c r="C1149" s="84" t="s">
        <v>616</v>
      </c>
      <c r="D1149" s="84" t="s">
        <v>2950</v>
      </c>
      <c r="E1149" s="84" t="s">
        <v>1426</v>
      </c>
      <c r="F1149" s="87">
        <v>34.0</v>
      </c>
      <c r="G1149" s="87">
        <v>0.0</v>
      </c>
      <c r="H1149" s="87">
        <v>24273.0</v>
      </c>
      <c r="I1149" s="87">
        <v>0.0</v>
      </c>
      <c r="J1149" s="87">
        <v>324.8079</v>
      </c>
      <c r="K1149" s="87">
        <v>338.2886</v>
      </c>
      <c r="L1149" s="87">
        <v>337.912</v>
      </c>
      <c r="M1149" s="87">
        <v>291.8521</v>
      </c>
      <c r="N1149" s="87">
        <v>0.862731</v>
      </c>
      <c r="O1149" s="87">
        <v>0.0</v>
      </c>
      <c r="P1149" s="87">
        <v>0.0</v>
      </c>
      <c r="Q1149" s="87">
        <v>0.0</v>
      </c>
      <c r="R1149" s="87">
        <v>0.802299</v>
      </c>
      <c r="S1149" s="87">
        <v>5.673931</v>
      </c>
      <c r="T1149" s="87">
        <v>0.802299</v>
      </c>
      <c r="U1149" s="87">
        <v>1.22619</v>
      </c>
      <c r="V1149" s="87">
        <v>2.105354</v>
      </c>
      <c r="W1149" s="87">
        <v>12.07172</v>
      </c>
      <c r="X1149" s="87">
        <v>23.7874</v>
      </c>
      <c r="Y1149" s="87">
        <v>9.949664</v>
      </c>
      <c r="Z1149" s="87">
        <v>0.0</v>
      </c>
      <c r="AA1149" s="87">
        <v>3.503621</v>
      </c>
      <c r="AB1149" s="87">
        <v>2.863757</v>
      </c>
      <c r="AC1149" s="87">
        <v>2.464925</v>
      </c>
      <c r="AD1149" s="87">
        <v>0.82263</v>
      </c>
      <c r="AE1149" s="87">
        <v>6.484313</v>
      </c>
      <c r="AF1149" s="87">
        <v>7.149305</v>
      </c>
      <c r="AG1149" s="87">
        <v>7.541123</v>
      </c>
      <c r="AH1149" s="87">
        <v>0.0</v>
      </c>
      <c r="AI1149" s="87">
        <v>2.975384</v>
      </c>
      <c r="AJ1149" s="87">
        <v>2.567555</v>
      </c>
      <c r="AK1149" s="87">
        <v>3.780768</v>
      </c>
      <c r="AL1149" s="88" t="s">
        <v>1396</v>
      </c>
    </row>
    <row r="1150">
      <c r="A1150" s="84" t="s">
        <v>2937</v>
      </c>
      <c r="B1150" s="84" t="s">
        <v>2951</v>
      </c>
      <c r="C1150" s="84" t="s">
        <v>616</v>
      </c>
      <c r="D1150" s="84" t="s">
        <v>2950</v>
      </c>
      <c r="E1150" s="86">
        <v>46310.0</v>
      </c>
      <c r="F1150" s="87">
        <v>27.0</v>
      </c>
      <c r="G1150" s="87">
        <v>0.0</v>
      </c>
      <c r="H1150" s="87">
        <v>15444.0</v>
      </c>
      <c r="I1150" s="87">
        <v>0.0</v>
      </c>
      <c r="J1150" s="87">
        <v>217.9076</v>
      </c>
      <c r="K1150" s="87">
        <v>216.0629</v>
      </c>
      <c r="L1150" s="87">
        <v>217.504</v>
      </c>
      <c r="M1150" s="87">
        <v>151.0464</v>
      </c>
      <c r="N1150" s="87">
        <v>0.699085</v>
      </c>
      <c r="O1150" s="87">
        <v>0.0</v>
      </c>
      <c r="P1150" s="87">
        <v>0.0</v>
      </c>
      <c r="Q1150" s="87">
        <v>1.0</v>
      </c>
      <c r="R1150" s="87">
        <v>3.241331</v>
      </c>
      <c r="S1150" s="87">
        <v>9.103661</v>
      </c>
      <c r="T1150" s="87">
        <v>1.0</v>
      </c>
      <c r="U1150" s="87">
        <v>1.697071</v>
      </c>
      <c r="V1150" s="87">
        <v>2.265205</v>
      </c>
      <c r="W1150" s="87">
        <v>6.535914</v>
      </c>
      <c r="X1150" s="87">
        <v>10.45253</v>
      </c>
      <c r="Y1150" s="87">
        <v>8.002331</v>
      </c>
      <c r="Z1150" s="87">
        <v>0.0</v>
      </c>
      <c r="AA1150" s="87">
        <v>3.503621</v>
      </c>
      <c r="AB1150" s="87">
        <v>2.863757</v>
      </c>
      <c r="AC1150" s="87">
        <v>2.464925</v>
      </c>
      <c r="AD1150" s="87">
        <v>2.539609</v>
      </c>
      <c r="AE1150" s="87">
        <v>3.509582</v>
      </c>
      <c r="AF1150" s="87">
        <v>5.691473</v>
      </c>
      <c r="AG1150" s="87">
        <v>8.002331</v>
      </c>
      <c r="AH1150" s="87">
        <v>0.0</v>
      </c>
      <c r="AI1150" s="87">
        <v>2.975384</v>
      </c>
      <c r="AJ1150" s="87">
        <v>2.567555</v>
      </c>
      <c r="AK1150" s="87">
        <v>3.780768</v>
      </c>
      <c r="AL1150" s="88" t="s">
        <v>1396</v>
      </c>
    </row>
    <row r="1151">
      <c r="A1151" s="84" t="s">
        <v>2939</v>
      </c>
      <c r="B1151" s="84" t="s">
        <v>2952</v>
      </c>
      <c r="C1151" s="84" t="s">
        <v>616</v>
      </c>
      <c r="D1151" s="84" t="s">
        <v>2950</v>
      </c>
      <c r="E1151" s="84" t="s">
        <v>1413</v>
      </c>
      <c r="F1151" s="87">
        <v>20.0</v>
      </c>
      <c r="G1151" s="87">
        <v>0.0</v>
      </c>
      <c r="H1151" s="87">
        <v>3556.0</v>
      </c>
      <c r="I1151" s="87">
        <v>0.0</v>
      </c>
      <c r="J1151" s="87">
        <v>42.07509</v>
      </c>
      <c r="K1151" s="87">
        <v>49.2985</v>
      </c>
      <c r="L1151" s="87">
        <v>48.40954</v>
      </c>
      <c r="M1151" s="87">
        <v>33.18645</v>
      </c>
      <c r="N1151" s="87">
        <v>0.673174</v>
      </c>
      <c r="O1151" s="87">
        <v>0.0</v>
      </c>
      <c r="P1151" s="87">
        <v>0.0</v>
      </c>
      <c r="Q1151" s="87">
        <v>0.272727</v>
      </c>
      <c r="R1151" s="87">
        <v>1.200501</v>
      </c>
      <c r="S1151" s="87">
        <v>3.230622</v>
      </c>
      <c r="T1151" s="87">
        <v>0.272727</v>
      </c>
      <c r="U1151" s="87">
        <v>0.688988</v>
      </c>
      <c r="V1151" s="87">
        <v>1.1671</v>
      </c>
      <c r="W1151" s="87">
        <v>1.601517</v>
      </c>
      <c r="X1151" s="87">
        <v>3.606432</v>
      </c>
      <c r="Y1151" s="87">
        <v>2.464925</v>
      </c>
      <c r="Z1151" s="87">
        <v>0.0</v>
      </c>
      <c r="AA1151" s="87">
        <v>3.503621</v>
      </c>
      <c r="AB1151" s="87">
        <v>2.863757</v>
      </c>
      <c r="AC1151" s="87">
        <v>2.464925</v>
      </c>
      <c r="AD1151" s="87">
        <v>1.1671</v>
      </c>
      <c r="AE1151" s="87">
        <v>2.271179</v>
      </c>
      <c r="AF1151" s="87">
        <v>4.076842</v>
      </c>
      <c r="AG1151" s="87">
        <v>4.134492</v>
      </c>
      <c r="AH1151" s="87">
        <v>0.0</v>
      </c>
      <c r="AI1151" s="87">
        <v>2.975384</v>
      </c>
      <c r="AJ1151" s="87">
        <v>2.567555</v>
      </c>
      <c r="AK1151" s="87">
        <v>3.780768</v>
      </c>
      <c r="AL1151" s="88" t="s">
        <v>1396</v>
      </c>
    </row>
    <row r="1152">
      <c r="A1152" s="84" t="s">
        <v>2941</v>
      </c>
      <c r="B1152" s="84" t="s">
        <v>2953</v>
      </c>
      <c r="C1152" s="84" t="s">
        <v>616</v>
      </c>
      <c r="D1152" s="84" t="s">
        <v>2950</v>
      </c>
      <c r="E1152" s="84" t="s">
        <v>1398</v>
      </c>
      <c r="F1152" s="87">
        <v>13.0</v>
      </c>
      <c r="G1152" s="87">
        <v>0.0</v>
      </c>
      <c r="H1152" s="87">
        <v>1500.0</v>
      </c>
      <c r="I1152" s="87">
        <v>0.0</v>
      </c>
      <c r="J1152" s="87">
        <v>19.11494</v>
      </c>
      <c r="K1152" s="87">
        <v>26.31398</v>
      </c>
      <c r="L1152" s="87">
        <v>27.40467</v>
      </c>
      <c r="M1152" s="87">
        <v>18.38061</v>
      </c>
      <c r="N1152" s="87">
        <v>0.698511</v>
      </c>
      <c r="O1152" s="87">
        <v>0.0</v>
      </c>
      <c r="P1152" s="87">
        <v>0.0</v>
      </c>
      <c r="Q1152" s="87">
        <v>0.0</v>
      </c>
      <c r="R1152" s="87">
        <v>0.8</v>
      </c>
      <c r="S1152" s="87">
        <v>4.292986</v>
      </c>
      <c r="T1152" s="87">
        <v>0.2</v>
      </c>
      <c r="U1152" s="87">
        <v>0.303448</v>
      </c>
      <c r="V1152" s="87">
        <v>0.8</v>
      </c>
      <c r="W1152" s="87">
        <v>1.239245</v>
      </c>
      <c r="X1152" s="87">
        <v>4.354551</v>
      </c>
      <c r="Y1152" s="87">
        <v>2.024152</v>
      </c>
      <c r="Z1152" s="87">
        <v>0.0</v>
      </c>
      <c r="AA1152" s="87">
        <v>3.503621</v>
      </c>
      <c r="AB1152" s="87">
        <v>2.863757</v>
      </c>
      <c r="AC1152" s="87">
        <v>2.464925</v>
      </c>
      <c r="AD1152" s="87">
        <v>1.097849</v>
      </c>
      <c r="AE1152" s="87">
        <v>1.404746</v>
      </c>
      <c r="AF1152" s="87">
        <v>2.799918</v>
      </c>
      <c r="AG1152" s="87">
        <v>3.004888</v>
      </c>
      <c r="AH1152" s="87">
        <v>0.0</v>
      </c>
      <c r="AI1152" s="87">
        <v>2.975384</v>
      </c>
      <c r="AJ1152" s="87">
        <v>2.567555</v>
      </c>
      <c r="AK1152" s="87">
        <v>3.780768</v>
      </c>
      <c r="AL1152" s="88" t="s">
        <v>1396</v>
      </c>
    </row>
    <row r="1153">
      <c r="A1153" s="84" t="s">
        <v>2943</v>
      </c>
      <c r="B1153" s="84" t="s">
        <v>2954</v>
      </c>
      <c r="C1153" s="84" t="s">
        <v>616</v>
      </c>
      <c r="D1153" s="84" t="s">
        <v>2950</v>
      </c>
      <c r="E1153" s="84" t="s">
        <v>1400</v>
      </c>
      <c r="F1153" s="87">
        <v>14.0</v>
      </c>
      <c r="G1153" s="87">
        <v>0.0</v>
      </c>
      <c r="H1153" s="87">
        <v>3457.0</v>
      </c>
      <c r="I1153" s="87">
        <v>0.0</v>
      </c>
      <c r="J1153" s="87">
        <v>34.26865</v>
      </c>
      <c r="K1153" s="87">
        <v>34.50084</v>
      </c>
      <c r="L1153" s="87">
        <v>33.78402</v>
      </c>
      <c r="M1153" s="87">
        <v>25.0141</v>
      </c>
      <c r="N1153" s="87">
        <v>0.725029</v>
      </c>
      <c r="O1153" s="87">
        <v>0.325392</v>
      </c>
      <c r="P1153" s="87">
        <v>0.336782</v>
      </c>
      <c r="Q1153" s="87">
        <v>0.369697</v>
      </c>
      <c r="R1153" s="87">
        <v>0.493687</v>
      </c>
      <c r="S1153" s="87">
        <v>1.970791</v>
      </c>
      <c r="T1153" s="87">
        <v>0.325392</v>
      </c>
      <c r="U1153" s="87">
        <v>0.336782</v>
      </c>
      <c r="V1153" s="87">
        <v>0.369697</v>
      </c>
      <c r="W1153" s="87">
        <v>0.493687</v>
      </c>
      <c r="X1153" s="87">
        <v>1.970791</v>
      </c>
      <c r="Y1153" s="87">
        <v>2.464346</v>
      </c>
      <c r="Z1153" s="87">
        <v>0.0</v>
      </c>
      <c r="AA1153" s="87">
        <v>3.503621</v>
      </c>
      <c r="AB1153" s="87">
        <v>2.863757</v>
      </c>
      <c r="AC1153" s="87">
        <v>2.464925</v>
      </c>
      <c r="AD1153" s="87">
        <v>0.868408</v>
      </c>
      <c r="AE1153" s="87">
        <v>1.097672</v>
      </c>
      <c r="AF1153" s="87">
        <v>2.266249</v>
      </c>
      <c r="AG1153" s="87">
        <v>2.394955</v>
      </c>
      <c r="AH1153" s="87">
        <v>0.0</v>
      </c>
      <c r="AI1153" s="87">
        <v>2.975384</v>
      </c>
      <c r="AJ1153" s="87">
        <v>2.567555</v>
      </c>
      <c r="AK1153" s="87">
        <v>3.780768</v>
      </c>
      <c r="AL1153" s="88" t="s">
        <v>1396</v>
      </c>
    </row>
    <row r="1154">
      <c r="A1154" s="84" t="s">
        <v>2945</v>
      </c>
      <c r="B1154" s="84" t="s">
        <v>2955</v>
      </c>
      <c r="C1154" s="84" t="s">
        <v>616</v>
      </c>
      <c r="D1154" s="84" t="s">
        <v>2950</v>
      </c>
      <c r="E1154" s="89">
        <v>46300.0</v>
      </c>
      <c r="F1154" s="87">
        <v>16.0</v>
      </c>
      <c r="G1154" s="87">
        <v>0.0</v>
      </c>
      <c r="H1154" s="87">
        <v>8366.0</v>
      </c>
      <c r="I1154" s="87">
        <v>0.0</v>
      </c>
      <c r="J1154" s="87">
        <v>121.6059</v>
      </c>
      <c r="K1154" s="87">
        <v>125.932</v>
      </c>
      <c r="L1154" s="87">
        <v>135.1299</v>
      </c>
      <c r="M1154" s="87">
        <v>110.4167</v>
      </c>
      <c r="N1154" s="87">
        <v>0.876796</v>
      </c>
      <c r="O1154" s="87">
        <v>0.0</v>
      </c>
      <c r="P1154" s="87">
        <v>0.0</v>
      </c>
      <c r="Q1154" s="87">
        <v>0.0</v>
      </c>
      <c r="R1154" s="87">
        <v>0.589194</v>
      </c>
      <c r="S1154" s="87">
        <v>5.803707</v>
      </c>
      <c r="T1154" s="87">
        <v>0.488095</v>
      </c>
      <c r="U1154" s="87">
        <v>0.589194</v>
      </c>
      <c r="V1154" s="87">
        <v>4.058292</v>
      </c>
      <c r="W1154" s="87">
        <v>5.803707</v>
      </c>
      <c r="X1154" s="87">
        <v>11.31762</v>
      </c>
      <c r="Y1154" s="87">
        <v>7.87075</v>
      </c>
      <c r="Z1154" s="87">
        <v>0.0</v>
      </c>
      <c r="AA1154" s="87">
        <v>3.503621</v>
      </c>
      <c r="AB1154" s="87">
        <v>2.863757</v>
      </c>
      <c r="AC1154" s="87">
        <v>2.464925</v>
      </c>
      <c r="AD1154" s="87">
        <v>2.412986</v>
      </c>
      <c r="AE1154" s="87">
        <v>4.103214</v>
      </c>
      <c r="AF1154" s="87">
        <v>5.493205</v>
      </c>
      <c r="AG1154" s="87">
        <v>6.422177</v>
      </c>
      <c r="AH1154" s="87">
        <v>0.0</v>
      </c>
      <c r="AI1154" s="87">
        <v>2.975384</v>
      </c>
      <c r="AJ1154" s="87">
        <v>2.567555</v>
      </c>
      <c r="AK1154" s="87">
        <v>3.780768</v>
      </c>
      <c r="AL1154" s="88" t="s">
        <v>1396</v>
      </c>
    </row>
    <row r="1155">
      <c r="A1155" s="84" t="s">
        <v>2947</v>
      </c>
      <c r="B1155" s="84" t="s">
        <v>2956</v>
      </c>
      <c r="C1155" s="84" t="s">
        <v>616</v>
      </c>
      <c r="D1155" s="84" t="s">
        <v>2950</v>
      </c>
      <c r="E1155" s="84" t="s">
        <v>1403</v>
      </c>
      <c r="F1155" s="87">
        <v>152.0</v>
      </c>
      <c r="G1155" s="87">
        <v>4.0</v>
      </c>
      <c r="H1155" s="87">
        <v>248.0</v>
      </c>
      <c r="I1155" s="87">
        <v>248.0</v>
      </c>
      <c r="J1155" s="87">
        <v>0.0</v>
      </c>
      <c r="K1155" s="87">
        <v>0.0</v>
      </c>
      <c r="L1155" s="87">
        <v>0.0</v>
      </c>
      <c r="M1155" s="87">
        <v>0.0</v>
      </c>
      <c r="N1155" s="87">
        <v>0.0</v>
      </c>
      <c r="O1155" s="87">
        <v>0.0</v>
      </c>
      <c r="P1155" s="87">
        <v>0.0</v>
      </c>
      <c r="Q1155" s="87">
        <v>0.0</v>
      </c>
      <c r="R1155" s="87">
        <v>0.0</v>
      </c>
      <c r="S1155" s="87">
        <v>0.0</v>
      </c>
      <c r="T1155" s="87">
        <v>0.0</v>
      </c>
      <c r="U1155" s="87">
        <v>0.0</v>
      </c>
      <c r="V1155" s="87">
        <v>0.0</v>
      </c>
      <c r="W1155" s="87">
        <v>0.0</v>
      </c>
      <c r="X1155" s="87">
        <v>0.0</v>
      </c>
      <c r="Y1155" s="87">
        <v>0.0</v>
      </c>
      <c r="Z1155" s="87">
        <v>0.0</v>
      </c>
      <c r="AA1155" s="87">
        <v>3.503621</v>
      </c>
      <c r="AB1155" s="87">
        <v>2.863757</v>
      </c>
      <c r="AC1155" s="87">
        <v>2.464925</v>
      </c>
      <c r="AD1155" s="87">
        <v>0.0</v>
      </c>
      <c r="AE1155" s="87">
        <v>0.0</v>
      </c>
      <c r="AF1155" s="87">
        <v>0.0</v>
      </c>
      <c r="AG1155" s="87">
        <v>0.0</v>
      </c>
      <c r="AH1155" s="87">
        <v>0.0</v>
      </c>
      <c r="AI1155" s="87">
        <v>2.975384</v>
      </c>
      <c r="AJ1155" s="87">
        <v>2.567555</v>
      </c>
      <c r="AK1155" s="87">
        <v>3.780768</v>
      </c>
      <c r="AL1155" s="88" t="s">
        <v>1396</v>
      </c>
    </row>
    <row r="1156">
      <c r="A1156" s="84" t="s">
        <v>2935</v>
      </c>
      <c r="B1156" s="84" t="s">
        <v>2957</v>
      </c>
      <c r="C1156" s="84" t="s">
        <v>616</v>
      </c>
      <c r="D1156" s="84" t="s">
        <v>2958</v>
      </c>
      <c r="E1156" s="84" t="s">
        <v>1426</v>
      </c>
      <c r="F1156" s="87">
        <v>43.0</v>
      </c>
      <c r="G1156" s="87">
        <v>0.0</v>
      </c>
      <c r="H1156" s="87">
        <v>25714.0</v>
      </c>
      <c r="I1156" s="87">
        <v>0.0</v>
      </c>
      <c r="J1156" s="87">
        <v>204.8131</v>
      </c>
      <c r="K1156" s="87">
        <v>213.3612</v>
      </c>
      <c r="L1156" s="87">
        <v>223.1418</v>
      </c>
      <c r="M1156" s="87">
        <v>145.4027</v>
      </c>
      <c r="N1156" s="87">
        <v>0.681486</v>
      </c>
      <c r="O1156" s="87">
        <v>0.0</v>
      </c>
      <c r="P1156" s="87">
        <v>0.0</v>
      </c>
      <c r="Q1156" s="87">
        <v>0.0</v>
      </c>
      <c r="R1156" s="87">
        <v>2.303474</v>
      </c>
      <c r="S1156" s="87">
        <v>6.404847</v>
      </c>
      <c r="T1156" s="87">
        <v>0.77205</v>
      </c>
      <c r="U1156" s="87">
        <v>2.372038</v>
      </c>
      <c r="V1156" s="87">
        <v>3.589487</v>
      </c>
      <c r="W1156" s="87">
        <v>5.685066</v>
      </c>
      <c r="X1156" s="87">
        <v>8.778611</v>
      </c>
      <c r="Y1156" s="87">
        <v>4.961889</v>
      </c>
      <c r="Z1156" s="87">
        <v>0.009694</v>
      </c>
      <c r="AA1156" s="87">
        <v>3.157267</v>
      </c>
      <c r="AB1156" s="87">
        <v>2.557532</v>
      </c>
      <c r="AC1156" s="87">
        <v>4.134492</v>
      </c>
      <c r="AD1156" s="87">
        <v>0.82263</v>
      </c>
      <c r="AE1156" s="87">
        <v>6.484313</v>
      </c>
      <c r="AF1156" s="87">
        <v>7.149305</v>
      </c>
      <c r="AG1156" s="87">
        <v>7.541123</v>
      </c>
      <c r="AH1156" s="87">
        <v>0.0</v>
      </c>
      <c r="AI1156" s="87">
        <v>2.975384</v>
      </c>
      <c r="AJ1156" s="87">
        <v>2.567555</v>
      </c>
      <c r="AK1156" s="87">
        <v>3.780768</v>
      </c>
      <c r="AL1156" s="88" t="s">
        <v>1396</v>
      </c>
    </row>
    <row r="1157">
      <c r="A1157" s="84" t="s">
        <v>2937</v>
      </c>
      <c r="B1157" s="84" t="s">
        <v>2959</v>
      </c>
      <c r="C1157" s="84" t="s">
        <v>616</v>
      </c>
      <c r="D1157" s="84" t="s">
        <v>2958</v>
      </c>
      <c r="E1157" s="86">
        <v>46310.0</v>
      </c>
      <c r="F1157" s="87">
        <v>43.0</v>
      </c>
      <c r="G1157" s="87">
        <v>1.0</v>
      </c>
      <c r="H1157" s="87">
        <v>21414.0</v>
      </c>
      <c r="I1157" s="87">
        <v>26.0</v>
      </c>
      <c r="J1157" s="87">
        <v>182.6375</v>
      </c>
      <c r="K1157" s="87">
        <v>190.6624</v>
      </c>
      <c r="L1157" s="87">
        <v>213.686</v>
      </c>
      <c r="M1157" s="87">
        <v>130.3618</v>
      </c>
      <c r="N1157" s="87">
        <v>0.683731</v>
      </c>
      <c r="O1157" s="87">
        <v>0.0</v>
      </c>
      <c r="P1157" s="87">
        <v>0.265591</v>
      </c>
      <c r="Q1157" s="87">
        <v>0.497849</v>
      </c>
      <c r="R1157" s="87">
        <v>1.929893</v>
      </c>
      <c r="S1157" s="87">
        <v>4.65127</v>
      </c>
      <c r="T1157" s="87">
        <v>0.265591</v>
      </c>
      <c r="U1157" s="87">
        <v>0.497849</v>
      </c>
      <c r="V1157" s="87">
        <v>1.059524</v>
      </c>
      <c r="W1157" s="87">
        <v>2.762088</v>
      </c>
      <c r="X1157" s="87">
        <v>4.653241</v>
      </c>
      <c r="Y1157" s="87">
        <v>4.434008</v>
      </c>
      <c r="Z1157" s="87">
        <v>0.009694</v>
      </c>
      <c r="AA1157" s="87">
        <v>3.157267</v>
      </c>
      <c r="AB1157" s="87">
        <v>2.557532</v>
      </c>
      <c r="AC1157" s="87">
        <v>4.134492</v>
      </c>
      <c r="AD1157" s="87">
        <v>2.539609</v>
      </c>
      <c r="AE1157" s="87">
        <v>3.509582</v>
      </c>
      <c r="AF1157" s="87">
        <v>5.691473</v>
      </c>
      <c r="AG1157" s="87">
        <v>8.002331</v>
      </c>
      <c r="AH1157" s="87">
        <v>0.0</v>
      </c>
      <c r="AI1157" s="87">
        <v>2.975384</v>
      </c>
      <c r="AJ1157" s="87">
        <v>2.567555</v>
      </c>
      <c r="AK1157" s="87">
        <v>3.780768</v>
      </c>
      <c r="AL1157" s="88" t="s">
        <v>1396</v>
      </c>
    </row>
    <row r="1158">
      <c r="A1158" s="84" t="s">
        <v>2939</v>
      </c>
      <c r="B1158" s="84" t="s">
        <v>2960</v>
      </c>
      <c r="C1158" s="84" t="s">
        <v>616</v>
      </c>
      <c r="D1158" s="84" t="s">
        <v>2958</v>
      </c>
      <c r="E1158" s="84" t="s">
        <v>1413</v>
      </c>
      <c r="F1158" s="87">
        <v>19.0</v>
      </c>
      <c r="G1158" s="87">
        <v>0.0</v>
      </c>
      <c r="H1158" s="87">
        <v>9331.0</v>
      </c>
      <c r="I1158" s="87">
        <v>0.0</v>
      </c>
      <c r="J1158" s="87">
        <v>66.68887</v>
      </c>
      <c r="K1158" s="87">
        <v>78.55534</v>
      </c>
      <c r="L1158" s="87">
        <v>95.00375</v>
      </c>
      <c r="M1158" s="87">
        <v>59.18206</v>
      </c>
      <c r="N1158" s="87">
        <v>0.75338</v>
      </c>
      <c r="O1158" s="87">
        <v>0.0</v>
      </c>
      <c r="P1158" s="87">
        <v>0.125</v>
      </c>
      <c r="Q1158" s="87">
        <v>0.196774</v>
      </c>
      <c r="R1158" s="87">
        <v>0.730199</v>
      </c>
      <c r="S1158" s="87">
        <v>3.326817</v>
      </c>
      <c r="T1158" s="87">
        <v>0.125</v>
      </c>
      <c r="U1158" s="87">
        <v>0.196774</v>
      </c>
      <c r="V1158" s="87">
        <v>0.53329</v>
      </c>
      <c r="W1158" s="87">
        <v>0.798925</v>
      </c>
      <c r="X1158" s="87">
        <v>3.326817</v>
      </c>
      <c r="Y1158" s="87">
        <v>4.134492</v>
      </c>
      <c r="Z1158" s="87">
        <v>0.009694</v>
      </c>
      <c r="AA1158" s="87">
        <v>3.157267</v>
      </c>
      <c r="AB1158" s="87">
        <v>2.557532</v>
      </c>
      <c r="AC1158" s="87">
        <v>4.134492</v>
      </c>
      <c r="AD1158" s="87">
        <v>1.1671</v>
      </c>
      <c r="AE1158" s="87">
        <v>2.271179</v>
      </c>
      <c r="AF1158" s="87">
        <v>4.076842</v>
      </c>
      <c r="AG1158" s="87">
        <v>4.134492</v>
      </c>
      <c r="AH1158" s="87">
        <v>0.0</v>
      </c>
      <c r="AI1158" s="87">
        <v>2.975384</v>
      </c>
      <c r="AJ1158" s="87">
        <v>2.567555</v>
      </c>
      <c r="AK1158" s="87">
        <v>3.780768</v>
      </c>
      <c r="AL1158" s="88" t="s">
        <v>1396</v>
      </c>
    </row>
    <row r="1159">
      <c r="A1159" s="84" t="s">
        <v>2941</v>
      </c>
      <c r="B1159" s="84" t="s">
        <v>2961</v>
      </c>
      <c r="C1159" s="84" t="s">
        <v>616</v>
      </c>
      <c r="D1159" s="84" t="s">
        <v>2958</v>
      </c>
      <c r="E1159" s="84" t="s">
        <v>1398</v>
      </c>
      <c r="F1159" s="87">
        <v>8.0</v>
      </c>
      <c r="G1159" s="87">
        <v>0.0</v>
      </c>
      <c r="H1159" s="87">
        <v>4518.0</v>
      </c>
      <c r="I1159" s="87">
        <v>0.0</v>
      </c>
      <c r="J1159" s="87">
        <v>31.45348</v>
      </c>
      <c r="K1159" s="87">
        <v>30.24615</v>
      </c>
      <c r="L1159" s="87">
        <v>36.79765</v>
      </c>
      <c r="M1159" s="87">
        <v>20.36062</v>
      </c>
      <c r="N1159" s="87">
        <v>0.673164</v>
      </c>
      <c r="O1159" s="87">
        <v>0.0</v>
      </c>
      <c r="P1159" s="87">
        <v>0.0</v>
      </c>
      <c r="Q1159" s="87">
        <v>0.552381</v>
      </c>
      <c r="R1159" s="87">
        <v>3.832193</v>
      </c>
      <c r="S1159" s="87">
        <v>4.096203</v>
      </c>
      <c r="T1159" s="87">
        <v>0.552381</v>
      </c>
      <c r="U1159" s="87">
        <v>1.404746</v>
      </c>
      <c r="V1159" s="87">
        <v>1.404746</v>
      </c>
      <c r="W1159" s="87">
        <v>4.096203</v>
      </c>
      <c r="X1159" s="87">
        <v>5.945439</v>
      </c>
      <c r="Y1159" s="87">
        <v>3.780768</v>
      </c>
      <c r="Z1159" s="87">
        <v>0.009694</v>
      </c>
      <c r="AA1159" s="87">
        <v>3.157267</v>
      </c>
      <c r="AB1159" s="87">
        <v>2.557532</v>
      </c>
      <c r="AC1159" s="87">
        <v>4.134492</v>
      </c>
      <c r="AD1159" s="87">
        <v>1.097849</v>
      </c>
      <c r="AE1159" s="87">
        <v>1.404746</v>
      </c>
      <c r="AF1159" s="87">
        <v>2.799918</v>
      </c>
      <c r="AG1159" s="87">
        <v>3.004888</v>
      </c>
      <c r="AH1159" s="87">
        <v>0.0</v>
      </c>
      <c r="AI1159" s="87">
        <v>2.975384</v>
      </c>
      <c r="AJ1159" s="87">
        <v>2.567555</v>
      </c>
      <c r="AK1159" s="87">
        <v>3.780768</v>
      </c>
      <c r="AL1159" s="88" t="s">
        <v>1396</v>
      </c>
    </row>
    <row r="1160">
      <c r="A1160" s="84" t="s">
        <v>2943</v>
      </c>
      <c r="B1160" s="84" t="s">
        <v>2962</v>
      </c>
      <c r="C1160" s="84" t="s">
        <v>616</v>
      </c>
      <c r="D1160" s="84" t="s">
        <v>2958</v>
      </c>
      <c r="E1160" s="84" t="s">
        <v>1400</v>
      </c>
      <c r="F1160" s="87">
        <v>14.0</v>
      </c>
      <c r="G1160" s="87">
        <v>2.0</v>
      </c>
      <c r="H1160" s="87">
        <v>5434.0</v>
      </c>
      <c r="I1160" s="87">
        <v>423.0</v>
      </c>
      <c r="J1160" s="87">
        <v>34.71195</v>
      </c>
      <c r="K1160" s="87">
        <v>31.80381</v>
      </c>
      <c r="L1160" s="87">
        <v>30.47879</v>
      </c>
      <c r="M1160" s="87">
        <v>19.76456</v>
      </c>
      <c r="N1160" s="87">
        <v>0.621453</v>
      </c>
      <c r="O1160" s="87">
        <v>0.0</v>
      </c>
      <c r="P1160" s="87">
        <v>0.065591</v>
      </c>
      <c r="Q1160" s="87">
        <v>0.165591</v>
      </c>
      <c r="R1160" s="87">
        <v>2.298146</v>
      </c>
      <c r="S1160" s="87">
        <v>2.437188</v>
      </c>
      <c r="T1160" s="87">
        <v>0.066667</v>
      </c>
      <c r="U1160" s="87">
        <v>0.165591</v>
      </c>
      <c r="V1160" s="87">
        <v>0.585556</v>
      </c>
      <c r="W1160" s="87">
        <v>2.433511</v>
      </c>
      <c r="X1160" s="87">
        <v>2.846692</v>
      </c>
      <c r="Y1160" s="87">
        <v>2.2717</v>
      </c>
      <c r="Z1160" s="87">
        <v>0.009694</v>
      </c>
      <c r="AA1160" s="87">
        <v>3.157267</v>
      </c>
      <c r="AB1160" s="87">
        <v>2.557532</v>
      </c>
      <c r="AC1160" s="87">
        <v>4.134492</v>
      </c>
      <c r="AD1160" s="87">
        <v>0.868408</v>
      </c>
      <c r="AE1160" s="87">
        <v>1.097672</v>
      </c>
      <c r="AF1160" s="87">
        <v>2.266249</v>
      </c>
      <c r="AG1160" s="87">
        <v>2.394955</v>
      </c>
      <c r="AH1160" s="87">
        <v>0.0</v>
      </c>
      <c r="AI1160" s="87">
        <v>2.975384</v>
      </c>
      <c r="AJ1160" s="87">
        <v>2.567555</v>
      </c>
      <c r="AK1160" s="87">
        <v>3.780768</v>
      </c>
      <c r="AL1160" s="88" t="s">
        <v>1396</v>
      </c>
    </row>
    <row r="1161">
      <c r="A1161" s="84" t="s">
        <v>2945</v>
      </c>
      <c r="B1161" s="84" t="s">
        <v>2963</v>
      </c>
      <c r="C1161" s="84" t="s">
        <v>616</v>
      </c>
      <c r="D1161" s="84" t="s">
        <v>2958</v>
      </c>
      <c r="E1161" s="89">
        <v>46300.0</v>
      </c>
      <c r="F1161" s="87">
        <v>76.0</v>
      </c>
      <c r="G1161" s="87">
        <v>2.0</v>
      </c>
      <c r="H1161" s="87">
        <v>48685.0</v>
      </c>
      <c r="I1161" s="87">
        <v>31.0</v>
      </c>
      <c r="J1161" s="87">
        <v>322.14</v>
      </c>
      <c r="K1161" s="87">
        <v>330.0471</v>
      </c>
      <c r="L1161" s="87">
        <v>327.6153</v>
      </c>
      <c r="M1161" s="87">
        <v>211.6027</v>
      </c>
      <c r="N1161" s="87">
        <v>0.641129</v>
      </c>
      <c r="O1161" s="87">
        <v>0.0</v>
      </c>
      <c r="P1161" s="87">
        <v>0.475376</v>
      </c>
      <c r="Q1161" s="87">
        <v>0.920676</v>
      </c>
      <c r="R1161" s="87">
        <v>2.159025</v>
      </c>
      <c r="S1161" s="87">
        <v>4.695004</v>
      </c>
      <c r="T1161" s="87">
        <v>0.498925</v>
      </c>
      <c r="U1161" s="87">
        <v>0.905755</v>
      </c>
      <c r="V1161" s="87">
        <v>1.317864</v>
      </c>
      <c r="W1161" s="87">
        <v>2.943599</v>
      </c>
      <c r="X1161" s="87">
        <v>5.109952</v>
      </c>
      <c r="Y1161" s="87">
        <v>4.342725</v>
      </c>
      <c r="Z1161" s="87">
        <v>0.009694</v>
      </c>
      <c r="AA1161" s="87">
        <v>3.157267</v>
      </c>
      <c r="AB1161" s="87">
        <v>2.557532</v>
      </c>
      <c r="AC1161" s="87">
        <v>4.134492</v>
      </c>
      <c r="AD1161" s="87">
        <v>2.412986</v>
      </c>
      <c r="AE1161" s="87">
        <v>4.103214</v>
      </c>
      <c r="AF1161" s="87">
        <v>5.493205</v>
      </c>
      <c r="AG1161" s="87">
        <v>6.422177</v>
      </c>
      <c r="AH1161" s="87">
        <v>0.0</v>
      </c>
      <c r="AI1161" s="87">
        <v>2.975384</v>
      </c>
      <c r="AJ1161" s="87">
        <v>2.567555</v>
      </c>
      <c r="AK1161" s="87">
        <v>3.780768</v>
      </c>
      <c r="AL1161" s="88" t="s">
        <v>1396</v>
      </c>
    </row>
    <row r="1162">
      <c r="A1162" s="84" t="s">
        <v>2947</v>
      </c>
      <c r="B1162" s="84" t="s">
        <v>2964</v>
      </c>
      <c r="C1162" s="84" t="s">
        <v>616</v>
      </c>
      <c r="D1162" s="84" t="s">
        <v>2958</v>
      </c>
      <c r="E1162" s="84" t="s">
        <v>1403</v>
      </c>
      <c r="F1162" s="87">
        <v>139.0</v>
      </c>
      <c r="G1162" s="87">
        <v>1.0</v>
      </c>
      <c r="H1162" s="87">
        <v>20.0</v>
      </c>
      <c r="I1162" s="87">
        <v>20.0</v>
      </c>
      <c r="J1162" s="87">
        <v>0.0</v>
      </c>
      <c r="K1162" s="87">
        <v>0.0</v>
      </c>
      <c r="L1162" s="87">
        <v>0.0</v>
      </c>
      <c r="M1162" s="87">
        <v>0.0</v>
      </c>
      <c r="N1162" s="87">
        <v>0.0</v>
      </c>
      <c r="O1162" s="87">
        <v>0.0</v>
      </c>
      <c r="P1162" s="87">
        <v>0.0</v>
      </c>
      <c r="Q1162" s="87">
        <v>0.0</v>
      </c>
      <c r="R1162" s="87">
        <v>0.0</v>
      </c>
      <c r="S1162" s="87">
        <v>0.0</v>
      </c>
      <c r="T1162" s="87">
        <v>0.0</v>
      </c>
      <c r="U1162" s="87">
        <v>0.0</v>
      </c>
      <c r="V1162" s="87">
        <v>0.0</v>
      </c>
      <c r="W1162" s="87">
        <v>0.0</v>
      </c>
      <c r="X1162" s="87">
        <v>0.0</v>
      </c>
      <c r="Y1162" s="87">
        <v>0.0</v>
      </c>
      <c r="Z1162" s="87">
        <v>0.009694</v>
      </c>
      <c r="AA1162" s="87">
        <v>3.157267</v>
      </c>
      <c r="AB1162" s="87">
        <v>2.557532</v>
      </c>
      <c r="AC1162" s="87">
        <v>4.134492</v>
      </c>
      <c r="AD1162" s="87">
        <v>0.0</v>
      </c>
      <c r="AE1162" s="87">
        <v>0.0</v>
      </c>
      <c r="AF1162" s="87">
        <v>0.0</v>
      </c>
      <c r="AG1162" s="87">
        <v>0.0</v>
      </c>
      <c r="AH1162" s="87">
        <v>0.0</v>
      </c>
      <c r="AI1162" s="87">
        <v>2.975384</v>
      </c>
      <c r="AJ1162" s="87">
        <v>2.567555</v>
      </c>
      <c r="AK1162" s="87">
        <v>3.780768</v>
      </c>
      <c r="AL1162" s="88" t="s">
        <v>1396</v>
      </c>
    </row>
    <row r="1163">
      <c r="A1163" s="84" t="s">
        <v>2935</v>
      </c>
      <c r="B1163" s="84" t="s">
        <v>2965</v>
      </c>
      <c r="C1163" s="84" t="s">
        <v>616</v>
      </c>
      <c r="D1163" s="84" t="s">
        <v>617</v>
      </c>
      <c r="E1163" s="84" t="s">
        <v>1426</v>
      </c>
      <c r="F1163" s="87">
        <v>9.0</v>
      </c>
      <c r="G1163" s="87">
        <v>0.0</v>
      </c>
      <c r="H1163" s="87">
        <v>7579.0</v>
      </c>
      <c r="I1163" s="87">
        <v>0.0</v>
      </c>
      <c r="J1163" s="87">
        <v>42.85447</v>
      </c>
      <c r="K1163" s="87">
        <v>47.90954</v>
      </c>
      <c r="L1163" s="87">
        <v>49.03578</v>
      </c>
      <c r="M1163" s="87">
        <v>39.2982</v>
      </c>
      <c r="N1163" s="87">
        <v>0.820258</v>
      </c>
      <c r="O1163" s="87">
        <v>0.0</v>
      </c>
      <c r="P1163" s="87">
        <v>0.428788</v>
      </c>
      <c r="Q1163" s="87">
        <v>0.665591</v>
      </c>
      <c r="R1163" s="87">
        <v>1.209524</v>
      </c>
      <c r="S1163" s="87">
        <v>2.771529</v>
      </c>
      <c r="T1163" s="87">
        <v>0.428788</v>
      </c>
      <c r="U1163" s="87">
        <v>0.665591</v>
      </c>
      <c r="V1163" s="87">
        <v>0.932258</v>
      </c>
      <c r="W1163" s="87">
        <v>2.603655</v>
      </c>
      <c r="X1163" s="87">
        <v>2.771529</v>
      </c>
      <c r="Y1163" s="87">
        <v>5.323282</v>
      </c>
      <c r="Z1163" s="87">
        <v>0.011144</v>
      </c>
      <c r="AA1163" s="87">
        <v>1.979586</v>
      </c>
      <c r="AB1163" s="87">
        <v>2.661437</v>
      </c>
      <c r="AC1163" s="87">
        <v>4.516193</v>
      </c>
      <c r="AD1163" s="87">
        <v>0.82263</v>
      </c>
      <c r="AE1163" s="87">
        <v>6.484313</v>
      </c>
      <c r="AF1163" s="87">
        <v>7.149305</v>
      </c>
      <c r="AG1163" s="87">
        <v>7.541123</v>
      </c>
      <c r="AH1163" s="87">
        <v>0.0</v>
      </c>
      <c r="AI1163" s="87">
        <v>2.975384</v>
      </c>
      <c r="AJ1163" s="87">
        <v>2.567555</v>
      </c>
      <c r="AK1163" s="87">
        <v>3.780768</v>
      </c>
      <c r="AL1163" s="88" t="s">
        <v>1396</v>
      </c>
    </row>
    <row r="1164">
      <c r="A1164" s="84" t="s">
        <v>2937</v>
      </c>
      <c r="B1164" s="84" t="s">
        <v>2966</v>
      </c>
      <c r="C1164" s="84" t="s">
        <v>616</v>
      </c>
      <c r="D1164" s="84" t="s">
        <v>617</v>
      </c>
      <c r="E1164" s="89">
        <v>46310.0</v>
      </c>
      <c r="F1164" s="87">
        <v>23.0</v>
      </c>
      <c r="G1164" s="87">
        <v>0.0</v>
      </c>
      <c r="H1164" s="87">
        <v>17289.0</v>
      </c>
      <c r="I1164" s="87">
        <v>0.0</v>
      </c>
      <c r="J1164" s="87">
        <v>188.7665</v>
      </c>
      <c r="K1164" s="87">
        <v>210.5188</v>
      </c>
      <c r="L1164" s="87">
        <v>209.0709</v>
      </c>
      <c r="M1164" s="87">
        <v>127.5401</v>
      </c>
      <c r="N1164" s="87">
        <v>0.605837</v>
      </c>
      <c r="O1164" s="87">
        <v>0.108187</v>
      </c>
      <c r="P1164" s="87">
        <v>1.629083</v>
      </c>
      <c r="Q1164" s="87">
        <v>2.049123</v>
      </c>
      <c r="R1164" s="87">
        <v>5.391486</v>
      </c>
      <c r="S1164" s="87">
        <v>10.10026</v>
      </c>
      <c r="T1164" s="87">
        <v>1.629083</v>
      </c>
      <c r="U1164" s="87">
        <v>2.049123</v>
      </c>
      <c r="V1164" s="87">
        <v>4.47451</v>
      </c>
      <c r="W1164" s="87">
        <v>5.45159</v>
      </c>
      <c r="X1164" s="87">
        <v>10.10026</v>
      </c>
      <c r="Y1164" s="87">
        <v>9.15299</v>
      </c>
      <c r="Z1164" s="87">
        <v>0.011144</v>
      </c>
      <c r="AA1164" s="87">
        <v>1.979586</v>
      </c>
      <c r="AB1164" s="87">
        <v>2.661437</v>
      </c>
      <c r="AC1164" s="87">
        <v>4.516193</v>
      </c>
      <c r="AD1164" s="87">
        <v>2.539609</v>
      </c>
      <c r="AE1164" s="87">
        <v>3.509582</v>
      </c>
      <c r="AF1164" s="87">
        <v>5.691473</v>
      </c>
      <c r="AG1164" s="87">
        <v>8.002331</v>
      </c>
      <c r="AH1164" s="87">
        <v>0.0</v>
      </c>
      <c r="AI1164" s="87">
        <v>2.975384</v>
      </c>
      <c r="AJ1164" s="87">
        <v>2.567555</v>
      </c>
      <c r="AK1164" s="87">
        <v>3.780768</v>
      </c>
      <c r="AL1164" s="88" t="s">
        <v>1396</v>
      </c>
    </row>
    <row r="1165">
      <c r="A1165" s="84" t="s">
        <v>2939</v>
      </c>
      <c r="B1165" s="84" t="s">
        <v>2967</v>
      </c>
      <c r="C1165" s="84" t="s">
        <v>616</v>
      </c>
      <c r="D1165" s="84" t="s">
        <v>617</v>
      </c>
      <c r="E1165" s="84" t="s">
        <v>1413</v>
      </c>
      <c r="F1165" s="87">
        <v>22.0</v>
      </c>
      <c r="G1165" s="87">
        <v>0.0</v>
      </c>
      <c r="H1165" s="87">
        <v>11650.0</v>
      </c>
      <c r="I1165" s="87">
        <v>0.0</v>
      </c>
      <c r="J1165" s="87">
        <v>114.4715</v>
      </c>
      <c r="K1165" s="87">
        <v>125.3913</v>
      </c>
      <c r="L1165" s="87">
        <v>126.9157</v>
      </c>
      <c r="M1165" s="87">
        <v>107.5808</v>
      </c>
      <c r="N1165" s="87">
        <v>0.857961</v>
      </c>
      <c r="O1165" s="87">
        <v>0.0</v>
      </c>
      <c r="P1165" s="87">
        <v>0.0</v>
      </c>
      <c r="Q1165" s="87">
        <v>0.0</v>
      </c>
      <c r="R1165" s="87">
        <v>2.071654</v>
      </c>
      <c r="S1165" s="87">
        <v>2.681326</v>
      </c>
      <c r="T1165" s="87">
        <v>0.041667</v>
      </c>
      <c r="U1165" s="87">
        <v>1.699007</v>
      </c>
      <c r="V1165" s="87">
        <v>2.071654</v>
      </c>
      <c r="W1165" s="87">
        <v>2.466198</v>
      </c>
      <c r="X1165" s="87">
        <v>4.734619</v>
      </c>
      <c r="Y1165" s="87">
        <v>5.699604</v>
      </c>
      <c r="Z1165" s="87">
        <v>0.011144</v>
      </c>
      <c r="AA1165" s="87">
        <v>1.979586</v>
      </c>
      <c r="AB1165" s="87">
        <v>2.661437</v>
      </c>
      <c r="AC1165" s="87">
        <v>4.516193</v>
      </c>
      <c r="AD1165" s="87">
        <v>1.1671</v>
      </c>
      <c r="AE1165" s="87">
        <v>2.271179</v>
      </c>
      <c r="AF1165" s="87">
        <v>4.076842</v>
      </c>
      <c r="AG1165" s="87">
        <v>4.134492</v>
      </c>
      <c r="AH1165" s="87">
        <v>0.0</v>
      </c>
      <c r="AI1165" s="87">
        <v>2.975384</v>
      </c>
      <c r="AJ1165" s="87">
        <v>2.567555</v>
      </c>
      <c r="AK1165" s="87">
        <v>3.780768</v>
      </c>
      <c r="AL1165" s="88" t="s">
        <v>1396</v>
      </c>
    </row>
    <row r="1166">
      <c r="A1166" s="84" t="s">
        <v>2941</v>
      </c>
      <c r="B1166" s="84" t="s">
        <v>2968</v>
      </c>
      <c r="C1166" s="84" t="s">
        <v>616</v>
      </c>
      <c r="D1166" s="84" t="s">
        <v>617</v>
      </c>
      <c r="E1166" s="84" t="s">
        <v>1398</v>
      </c>
      <c r="F1166" s="87">
        <v>17.0</v>
      </c>
      <c r="G1166" s="87">
        <v>0.0</v>
      </c>
      <c r="H1166" s="87">
        <v>6854.0</v>
      </c>
      <c r="I1166" s="87">
        <v>0.0</v>
      </c>
      <c r="J1166" s="87">
        <v>54.0121</v>
      </c>
      <c r="K1166" s="87">
        <v>48.81191</v>
      </c>
      <c r="L1166" s="87">
        <v>45.4658</v>
      </c>
      <c r="M1166" s="87">
        <v>34.43728</v>
      </c>
      <c r="N1166" s="87">
        <v>0.70551</v>
      </c>
      <c r="O1166" s="87">
        <v>0.0</v>
      </c>
      <c r="P1166" s="87">
        <v>0.541544</v>
      </c>
      <c r="Q1166" s="87">
        <v>0.689181</v>
      </c>
      <c r="R1166" s="87">
        <v>1.181826</v>
      </c>
      <c r="S1166" s="87">
        <v>2.634389</v>
      </c>
      <c r="T1166" s="87">
        <v>0.541544</v>
      </c>
      <c r="U1166" s="87">
        <v>0.689181</v>
      </c>
      <c r="V1166" s="87">
        <v>0.933333</v>
      </c>
      <c r="W1166" s="87">
        <v>1.390013</v>
      </c>
      <c r="X1166" s="87">
        <v>2.995468</v>
      </c>
      <c r="Y1166" s="87">
        <v>2.871289</v>
      </c>
      <c r="Z1166" s="87">
        <v>0.011144</v>
      </c>
      <c r="AA1166" s="87">
        <v>1.979586</v>
      </c>
      <c r="AB1166" s="87">
        <v>2.661437</v>
      </c>
      <c r="AC1166" s="87">
        <v>4.516193</v>
      </c>
      <c r="AD1166" s="87">
        <v>1.097849</v>
      </c>
      <c r="AE1166" s="87">
        <v>1.404746</v>
      </c>
      <c r="AF1166" s="87">
        <v>2.799918</v>
      </c>
      <c r="AG1166" s="87">
        <v>3.004888</v>
      </c>
      <c r="AH1166" s="87">
        <v>0.0</v>
      </c>
      <c r="AI1166" s="87">
        <v>2.975384</v>
      </c>
      <c r="AJ1166" s="87">
        <v>2.567555</v>
      </c>
      <c r="AK1166" s="87">
        <v>3.780768</v>
      </c>
      <c r="AL1166" s="88" t="s">
        <v>1396</v>
      </c>
    </row>
    <row r="1167">
      <c r="A1167" s="84" t="s">
        <v>2943</v>
      </c>
      <c r="B1167" s="84" t="s">
        <v>2969</v>
      </c>
      <c r="C1167" s="84" t="s">
        <v>616</v>
      </c>
      <c r="D1167" s="84" t="s">
        <v>617</v>
      </c>
      <c r="E1167" s="84" t="s">
        <v>1400</v>
      </c>
      <c r="F1167" s="87">
        <v>47.0</v>
      </c>
      <c r="G1167" s="87">
        <v>1.0</v>
      </c>
      <c r="H1167" s="87">
        <v>21028.0</v>
      </c>
      <c r="I1167" s="87">
        <v>124.0</v>
      </c>
      <c r="J1167" s="87">
        <v>125.5498</v>
      </c>
      <c r="K1167" s="87">
        <v>112.5629</v>
      </c>
      <c r="L1167" s="87">
        <v>119.164</v>
      </c>
      <c r="M1167" s="87">
        <v>85.09139</v>
      </c>
      <c r="N1167" s="87">
        <v>0.755945</v>
      </c>
      <c r="O1167" s="87">
        <v>0.052632</v>
      </c>
      <c r="P1167" s="87">
        <v>0.1</v>
      </c>
      <c r="Q1167" s="87">
        <v>0.386804</v>
      </c>
      <c r="R1167" s="87">
        <v>0.815248</v>
      </c>
      <c r="S1167" s="87">
        <v>1.845415</v>
      </c>
      <c r="T1167" s="87">
        <v>0.08489</v>
      </c>
      <c r="U1167" s="87">
        <v>0.265591</v>
      </c>
      <c r="V1167" s="87">
        <v>0.5</v>
      </c>
      <c r="W1167" s="87">
        <v>1.021768</v>
      </c>
      <c r="X1167" s="87">
        <v>1.887685</v>
      </c>
      <c r="Y1167" s="87">
        <v>2.394955</v>
      </c>
      <c r="Z1167" s="87">
        <v>0.011144</v>
      </c>
      <c r="AA1167" s="87">
        <v>1.979586</v>
      </c>
      <c r="AB1167" s="87">
        <v>2.661437</v>
      </c>
      <c r="AC1167" s="87">
        <v>4.516193</v>
      </c>
      <c r="AD1167" s="87">
        <v>0.868408</v>
      </c>
      <c r="AE1167" s="87">
        <v>1.097672</v>
      </c>
      <c r="AF1167" s="87">
        <v>2.266249</v>
      </c>
      <c r="AG1167" s="87">
        <v>2.394955</v>
      </c>
      <c r="AH1167" s="87">
        <v>0.0</v>
      </c>
      <c r="AI1167" s="87">
        <v>2.975384</v>
      </c>
      <c r="AJ1167" s="87">
        <v>2.567555</v>
      </c>
      <c r="AK1167" s="87">
        <v>3.780768</v>
      </c>
      <c r="AL1167" s="88" t="s">
        <v>1396</v>
      </c>
    </row>
    <row r="1168">
      <c r="A1168" s="84" t="s">
        <v>2945</v>
      </c>
      <c r="B1168" s="84" t="s">
        <v>2970</v>
      </c>
      <c r="C1168" s="84" t="s">
        <v>616</v>
      </c>
      <c r="D1168" s="84" t="s">
        <v>617</v>
      </c>
      <c r="E1168" s="89">
        <v>46300.0</v>
      </c>
      <c r="F1168" s="87">
        <v>16.0</v>
      </c>
      <c r="G1168" s="87">
        <v>0.0</v>
      </c>
      <c r="H1168" s="87">
        <v>8202.0</v>
      </c>
      <c r="I1168" s="87">
        <v>0.0</v>
      </c>
      <c r="J1168" s="87">
        <v>77.43458</v>
      </c>
      <c r="K1168" s="87">
        <v>72.25909</v>
      </c>
      <c r="L1168" s="87">
        <v>74.99226</v>
      </c>
      <c r="M1168" s="87">
        <v>60.00005</v>
      </c>
      <c r="N1168" s="87">
        <v>0.830346</v>
      </c>
      <c r="O1168" s="87">
        <v>0.0</v>
      </c>
      <c r="P1168" s="87">
        <v>0.0</v>
      </c>
      <c r="Q1168" s="87">
        <v>0.0</v>
      </c>
      <c r="R1168" s="87">
        <v>1.729318</v>
      </c>
      <c r="S1168" s="87">
        <v>3.045119</v>
      </c>
      <c r="T1168" s="87">
        <v>1.521819</v>
      </c>
      <c r="U1168" s="87">
        <v>1.729318</v>
      </c>
      <c r="V1168" s="87">
        <v>2.139698</v>
      </c>
      <c r="W1168" s="87">
        <v>3.045119</v>
      </c>
      <c r="X1168" s="87">
        <v>8.051722</v>
      </c>
      <c r="Y1168" s="87">
        <v>4.516193</v>
      </c>
      <c r="Z1168" s="87">
        <v>0.011144</v>
      </c>
      <c r="AA1168" s="87">
        <v>1.979586</v>
      </c>
      <c r="AB1168" s="87">
        <v>2.661437</v>
      </c>
      <c r="AC1168" s="87">
        <v>4.516193</v>
      </c>
      <c r="AD1168" s="87">
        <v>2.412986</v>
      </c>
      <c r="AE1168" s="87">
        <v>4.103214</v>
      </c>
      <c r="AF1168" s="87">
        <v>5.493205</v>
      </c>
      <c r="AG1168" s="87">
        <v>6.422177</v>
      </c>
      <c r="AH1168" s="87">
        <v>0.0</v>
      </c>
      <c r="AI1168" s="87">
        <v>2.975384</v>
      </c>
      <c r="AJ1168" s="87">
        <v>2.567555</v>
      </c>
      <c r="AK1168" s="87">
        <v>3.780768</v>
      </c>
      <c r="AL1168" s="88" t="s">
        <v>1396</v>
      </c>
    </row>
    <row r="1169">
      <c r="A1169" s="84" t="s">
        <v>2947</v>
      </c>
      <c r="B1169" s="84" t="s">
        <v>2971</v>
      </c>
      <c r="C1169" s="84" t="s">
        <v>616</v>
      </c>
      <c r="D1169" s="84" t="s">
        <v>617</v>
      </c>
      <c r="E1169" s="84" t="s">
        <v>1403</v>
      </c>
      <c r="F1169" s="87">
        <v>98.0</v>
      </c>
      <c r="G1169" s="87">
        <v>1.0</v>
      </c>
      <c r="H1169" s="87">
        <v>18.0</v>
      </c>
      <c r="I1169" s="87">
        <v>18.0</v>
      </c>
      <c r="J1169" s="87">
        <v>0.0</v>
      </c>
      <c r="K1169" s="87">
        <v>0.0</v>
      </c>
      <c r="L1169" s="87">
        <v>0.0</v>
      </c>
      <c r="M1169" s="87">
        <v>0.0</v>
      </c>
      <c r="N1169" s="87">
        <v>0.0</v>
      </c>
      <c r="O1169" s="87">
        <v>0.0</v>
      </c>
      <c r="P1169" s="87">
        <v>0.0</v>
      </c>
      <c r="Q1169" s="87">
        <v>0.0</v>
      </c>
      <c r="R1169" s="87">
        <v>0.0</v>
      </c>
      <c r="S1169" s="87">
        <v>0.0</v>
      </c>
      <c r="T1169" s="87">
        <v>0.0</v>
      </c>
      <c r="U1169" s="87">
        <v>0.0</v>
      </c>
      <c r="V1169" s="87">
        <v>0.0</v>
      </c>
      <c r="W1169" s="87">
        <v>0.0</v>
      </c>
      <c r="X1169" s="87">
        <v>0.0</v>
      </c>
      <c r="Y1169" s="87">
        <v>0.0</v>
      </c>
      <c r="Z1169" s="87">
        <v>0.011144</v>
      </c>
      <c r="AA1169" s="87">
        <v>1.979586</v>
      </c>
      <c r="AB1169" s="87">
        <v>2.661437</v>
      </c>
      <c r="AC1169" s="87">
        <v>4.516193</v>
      </c>
      <c r="AD1169" s="87">
        <v>0.0</v>
      </c>
      <c r="AE1169" s="87">
        <v>0.0</v>
      </c>
      <c r="AF1169" s="87">
        <v>0.0</v>
      </c>
      <c r="AG1169" s="87">
        <v>0.0</v>
      </c>
      <c r="AH1169" s="87">
        <v>0.0</v>
      </c>
      <c r="AI1169" s="87">
        <v>2.975384</v>
      </c>
      <c r="AJ1169" s="87">
        <v>2.567555</v>
      </c>
      <c r="AK1169" s="87">
        <v>3.780768</v>
      </c>
      <c r="AL1169" s="88" t="s">
        <v>1396</v>
      </c>
    </row>
    <row r="1170">
      <c r="A1170" s="84" t="s">
        <v>2972</v>
      </c>
      <c r="B1170" s="84" t="s">
        <v>2973</v>
      </c>
      <c r="C1170" s="84" t="s">
        <v>630</v>
      </c>
      <c r="D1170" s="84" t="s">
        <v>2974</v>
      </c>
      <c r="E1170" s="84" t="s">
        <v>1403</v>
      </c>
      <c r="F1170" s="87">
        <v>1.0</v>
      </c>
      <c r="G1170" s="87">
        <v>0.0</v>
      </c>
      <c r="H1170" s="87">
        <v>0.0</v>
      </c>
      <c r="I1170" s="87">
        <v>0.0</v>
      </c>
      <c r="J1170" s="87">
        <v>0.0</v>
      </c>
      <c r="K1170" s="87">
        <v>0.0</v>
      </c>
      <c r="L1170" s="87">
        <v>0.0</v>
      </c>
      <c r="M1170" s="87">
        <v>0.0</v>
      </c>
      <c r="N1170" s="87">
        <v>0.0</v>
      </c>
      <c r="O1170" s="87">
        <v>0.0</v>
      </c>
      <c r="P1170" s="87">
        <v>0.0</v>
      </c>
      <c r="Q1170" s="87">
        <v>0.0</v>
      </c>
      <c r="R1170" s="87">
        <v>0.0</v>
      </c>
      <c r="S1170" s="87">
        <v>0.0</v>
      </c>
      <c r="T1170" s="87">
        <v>0.0</v>
      </c>
      <c r="U1170" s="87">
        <v>0.0</v>
      </c>
      <c r="V1170" s="87">
        <v>0.0</v>
      </c>
      <c r="W1170" s="87">
        <v>0.0</v>
      </c>
      <c r="X1170" s="87">
        <v>0.0</v>
      </c>
      <c r="Y1170" s="87">
        <v>0.0</v>
      </c>
      <c r="Z1170" s="87">
        <v>0.0</v>
      </c>
      <c r="AA1170" s="87">
        <v>0.0</v>
      </c>
      <c r="AB1170" s="87">
        <v>0.0</v>
      </c>
      <c r="AC1170" s="87">
        <v>0.0</v>
      </c>
      <c r="AD1170" s="87">
        <v>0.0</v>
      </c>
      <c r="AE1170" s="87">
        <v>0.0</v>
      </c>
      <c r="AF1170" s="87">
        <v>0.0</v>
      </c>
      <c r="AG1170" s="87">
        <v>0.0</v>
      </c>
      <c r="AH1170" s="87">
        <v>0.0</v>
      </c>
      <c r="AI1170" s="87">
        <v>5.698004</v>
      </c>
      <c r="AJ1170" s="87">
        <v>5.701538</v>
      </c>
      <c r="AK1170" s="87">
        <v>3.029214</v>
      </c>
      <c r="AL1170" s="88" t="s">
        <v>1396</v>
      </c>
    </row>
    <row r="1171">
      <c r="A1171" s="84" t="s">
        <v>2975</v>
      </c>
      <c r="B1171" s="84" t="s">
        <v>2976</v>
      </c>
      <c r="C1171" s="84" t="s">
        <v>630</v>
      </c>
      <c r="D1171" s="84" t="s">
        <v>640</v>
      </c>
      <c r="E1171" s="84" t="s">
        <v>1426</v>
      </c>
      <c r="F1171" s="87">
        <v>100.0</v>
      </c>
      <c r="G1171" s="87">
        <v>0.0</v>
      </c>
      <c r="H1171" s="87">
        <v>187901.0</v>
      </c>
      <c r="I1171" s="87">
        <v>0.0</v>
      </c>
      <c r="J1171" s="87">
        <v>3961.58</v>
      </c>
      <c r="K1171" s="87">
        <v>3977.924</v>
      </c>
      <c r="L1171" s="87">
        <v>4149.665</v>
      </c>
      <c r="M1171" s="87">
        <v>3272.124</v>
      </c>
      <c r="N1171" s="87">
        <v>0.822571</v>
      </c>
      <c r="O1171" s="87">
        <v>0.0</v>
      </c>
      <c r="P1171" s="87">
        <v>0.0</v>
      </c>
      <c r="Q1171" s="87">
        <v>0.0</v>
      </c>
      <c r="R1171" s="87">
        <v>6.191407</v>
      </c>
      <c r="S1171" s="87">
        <v>28.83746</v>
      </c>
      <c r="T1171" s="87">
        <v>1.839303</v>
      </c>
      <c r="U1171" s="87">
        <v>5.361933</v>
      </c>
      <c r="V1171" s="87">
        <v>8.92337</v>
      </c>
      <c r="W1171" s="87">
        <v>22.69025</v>
      </c>
      <c r="X1171" s="87">
        <v>49.15515</v>
      </c>
      <c r="Y1171" s="87">
        <v>39.77924</v>
      </c>
      <c r="Z1171" s="87">
        <v>0.0</v>
      </c>
      <c r="AA1171" s="87">
        <v>6.94779</v>
      </c>
      <c r="AB1171" s="87">
        <v>7.387549</v>
      </c>
      <c r="AC1171" s="87">
        <v>6.718884</v>
      </c>
      <c r="AD1171" s="87">
        <v>1.586957</v>
      </c>
      <c r="AE1171" s="87">
        <v>17.68009</v>
      </c>
      <c r="AF1171" s="87">
        <v>32.52989</v>
      </c>
      <c r="AG1171" s="87">
        <v>25.33578</v>
      </c>
      <c r="AH1171" s="87">
        <v>0.0</v>
      </c>
      <c r="AI1171" s="87">
        <v>5.698004</v>
      </c>
      <c r="AJ1171" s="87">
        <v>5.701538</v>
      </c>
      <c r="AK1171" s="87">
        <v>3.029214</v>
      </c>
      <c r="AL1171" s="88" t="s">
        <v>1396</v>
      </c>
    </row>
    <row r="1172">
      <c r="A1172" s="84" t="s">
        <v>2977</v>
      </c>
      <c r="B1172" s="84" t="s">
        <v>2978</v>
      </c>
      <c r="C1172" s="84" t="s">
        <v>630</v>
      </c>
      <c r="D1172" s="84" t="s">
        <v>640</v>
      </c>
      <c r="E1172" s="86">
        <v>46310.0</v>
      </c>
      <c r="F1172" s="87">
        <v>65.0</v>
      </c>
      <c r="G1172" s="87">
        <v>0.0</v>
      </c>
      <c r="H1172" s="87">
        <v>51814.0</v>
      </c>
      <c r="I1172" s="87">
        <v>0.0</v>
      </c>
      <c r="J1172" s="87">
        <v>576.6128</v>
      </c>
      <c r="K1172" s="87">
        <v>569.6433</v>
      </c>
      <c r="L1172" s="87">
        <v>552.2129</v>
      </c>
      <c r="M1172" s="87">
        <v>432.7592</v>
      </c>
      <c r="N1172" s="87">
        <v>0.759702</v>
      </c>
      <c r="O1172" s="87">
        <v>0.0</v>
      </c>
      <c r="P1172" s="87">
        <v>0.0</v>
      </c>
      <c r="Q1172" s="87">
        <v>0.046875</v>
      </c>
      <c r="R1172" s="87">
        <v>2.354261</v>
      </c>
      <c r="S1172" s="87">
        <v>6.946797</v>
      </c>
      <c r="T1172" s="87">
        <v>0.414286</v>
      </c>
      <c r="U1172" s="87">
        <v>0.895699</v>
      </c>
      <c r="V1172" s="87">
        <v>2.626015</v>
      </c>
      <c r="W1172" s="87">
        <v>5.994401</v>
      </c>
      <c r="X1172" s="87">
        <v>13.86371</v>
      </c>
      <c r="Y1172" s="87">
        <v>8.763743</v>
      </c>
      <c r="Z1172" s="87">
        <v>0.0</v>
      </c>
      <c r="AA1172" s="87">
        <v>6.94779</v>
      </c>
      <c r="AB1172" s="87">
        <v>7.387549</v>
      </c>
      <c r="AC1172" s="87">
        <v>6.718884</v>
      </c>
      <c r="AD1172" s="87">
        <v>1.025329</v>
      </c>
      <c r="AE1172" s="87">
        <v>5.936658</v>
      </c>
      <c r="AF1172" s="87">
        <v>6.491997</v>
      </c>
      <c r="AG1172" s="87">
        <v>3.098657</v>
      </c>
      <c r="AH1172" s="87">
        <v>0.0</v>
      </c>
      <c r="AI1172" s="87">
        <v>5.698004</v>
      </c>
      <c r="AJ1172" s="87">
        <v>5.701538</v>
      </c>
      <c r="AK1172" s="87">
        <v>3.029214</v>
      </c>
      <c r="AL1172" s="88" t="s">
        <v>1396</v>
      </c>
    </row>
    <row r="1173">
      <c r="A1173" s="84" t="s">
        <v>2979</v>
      </c>
      <c r="B1173" s="84" t="s">
        <v>2980</v>
      </c>
      <c r="C1173" s="84" t="s">
        <v>630</v>
      </c>
      <c r="D1173" s="84" t="s">
        <v>640</v>
      </c>
      <c r="E1173" s="84" t="s">
        <v>1413</v>
      </c>
      <c r="F1173" s="87">
        <v>44.0</v>
      </c>
      <c r="G1173" s="87">
        <v>0.0</v>
      </c>
      <c r="H1173" s="87">
        <v>21868.0</v>
      </c>
      <c r="I1173" s="87">
        <v>0.0</v>
      </c>
      <c r="J1173" s="87">
        <v>266.6647</v>
      </c>
      <c r="K1173" s="87">
        <v>295.6309</v>
      </c>
      <c r="L1173" s="87">
        <v>287.5292</v>
      </c>
      <c r="M1173" s="87">
        <v>197.8106</v>
      </c>
      <c r="N1173" s="87">
        <v>0.669114</v>
      </c>
      <c r="O1173" s="87">
        <v>0.0</v>
      </c>
      <c r="P1173" s="87">
        <v>0.0</v>
      </c>
      <c r="Q1173" s="87">
        <v>1.139142</v>
      </c>
      <c r="R1173" s="87">
        <v>4.032172</v>
      </c>
      <c r="S1173" s="87">
        <v>6.339258</v>
      </c>
      <c r="T1173" s="87">
        <v>1.116667</v>
      </c>
      <c r="U1173" s="87">
        <v>1.58633</v>
      </c>
      <c r="V1173" s="87">
        <v>3.556979</v>
      </c>
      <c r="W1173" s="87">
        <v>5.007633</v>
      </c>
      <c r="X1173" s="87">
        <v>6.698627</v>
      </c>
      <c r="Y1173" s="87">
        <v>6.718884</v>
      </c>
      <c r="Z1173" s="87">
        <v>0.0</v>
      </c>
      <c r="AA1173" s="87">
        <v>6.94779</v>
      </c>
      <c r="AB1173" s="87">
        <v>7.387549</v>
      </c>
      <c r="AC1173" s="87">
        <v>6.718884</v>
      </c>
      <c r="AD1173" s="87">
        <v>4.240611</v>
      </c>
      <c r="AE1173" s="87">
        <v>6.339258</v>
      </c>
      <c r="AF1173" s="87">
        <v>7.283869</v>
      </c>
      <c r="AG1173" s="87">
        <v>6.718884</v>
      </c>
      <c r="AH1173" s="87">
        <v>0.0</v>
      </c>
      <c r="AI1173" s="87">
        <v>5.698004</v>
      </c>
      <c r="AJ1173" s="87">
        <v>5.701538</v>
      </c>
      <c r="AK1173" s="87">
        <v>3.029214</v>
      </c>
      <c r="AL1173" s="88" t="s">
        <v>1396</v>
      </c>
    </row>
    <row r="1174">
      <c r="A1174" s="84" t="s">
        <v>2981</v>
      </c>
      <c r="B1174" s="84" t="s">
        <v>2982</v>
      </c>
      <c r="C1174" s="84" t="s">
        <v>630</v>
      </c>
      <c r="D1174" s="84" t="s">
        <v>640</v>
      </c>
      <c r="E1174" s="84" t="s">
        <v>1398</v>
      </c>
      <c r="F1174" s="87">
        <v>19.0</v>
      </c>
      <c r="G1174" s="87">
        <v>0.0</v>
      </c>
      <c r="H1174" s="87">
        <v>12820.0</v>
      </c>
      <c r="I1174" s="87">
        <v>0.0</v>
      </c>
      <c r="J1174" s="87">
        <v>96.34144</v>
      </c>
      <c r="K1174" s="87">
        <v>99.0072</v>
      </c>
      <c r="L1174" s="87">
        <v>98.53874</v>
      </c>
      <c r="M1174" s="87">
        <v>54.91123</v>
      </c>
      <c r="N1174" s="87">
        <v>0.554619</v>
      </c>
      <c r="O1174" s="87">
        <v>0.0</v>
      </c>
      <c r="P1174" s="87">
        <v>0.526692</v>
      </c>
      <c r="Q1174" s="87">
        <v>0.866903</v>
      </c>
      <c r="R1174" s="87">
        <v>2.354841</v>
      </c>
      <c r="S1174" s="87">
        <v>8.387116</v>
      </c>
      <c r="T1174" s="87">
        <v>0.7</v>
      </c>
      <c r="U1174" s="87">
        <v>1.838005</v>
      </c>
      <c r="V1174" s="87">
        <v>2.284991</v>
      </c>
      <c r="W1174" s="87">
        <v>4.910211</v>
      </c>
      <c r="X1174" s="87">
        <v>8.552528</v>
      </c>
      <c r="Y1174" s="87">
        <v>5.210905</v>
      </c>
      <c r="Z1174" s="87">
        <v>0.0</v>
      </c>
      <c r="AA1174" s="87">
        <v>6.94779</v>
      </c>
      <c r="AB1174" s="87">
        <v>7.387549</v>
      </c>
      <c r="AC1174" s="87">
        <v>6.718884</v>
      </c>
      <c r="AD1174" s="87">
        <v>2.354841</v>
      </c>
      <c r="AE1174" s="87">
        <v>3.582834</v>
      </c>
      <c r="AF1174" s="87">
        <v>5.269516</v>
      </c>
      <c r="AG1174" s="87">
        <v>4.763363</v>
      </c>
      <c r="AH1174" s="87">
        <v>0.0</v>
      </c>
      <c r="AI1174" s="87">
        <v>5.698004</v>
      </c>
      <c r="AJ1174" s="87">
        <v>5.701538</v>
      </c>
      <c r="AK1174" s="87">
        <v>3.029214</v>
      </c>
      <c r="AL1174" s="88" t="s">
        <v>1396</v>
      </c>
    </row>
    <row r="1175">
      <c r="A1175" s="84" t="s">
        <v>2983</v>
      </c>
      <c r="B1175" s="84" t="s">
        <v>2984</v>
      </c>
      <c r="C1175" s="84" t="s">
        <v>630</v>
      </c>
      <c r="D1175" s="84" t="s">
        <v>640</v>
      </c>
      <c r="E1175" s="84" t="s">
        <v>1400</v>
      </c>
      <c r="F1175" s="87">
        <v>20.0</v>
      </c>
      <c r="G1175" s="87">
        <v>0.0</v>
      </c>
      <c r="H1175" s="87">
        <v>6881.0</v>
      </c>
      <c r="I1175" s="87">
        <v>0.0</v>
      </c>
      <c r="J1175" s="87">
        <v>44.99908</v>
      </c>
      <c r="K1175" s="87">
        <v>46.33222</v>
      </c>
      <c r="L1175" s="87">
        <v>45.98367</v>
      </c>
      <c r="M1175" s="87">
        <v>23.90459</v>
      </c>
      <c r="N1175" s="87">
        <v>0.515939</v>
      </c>
      <c r="O1175" s="87">
        <v>0.0</v>
      </c>
      <c r="P1175" s="87">
        <v>0.444275</v>
      </c>
      <c r="Q1175" s="87">
        <v>0.959214</v>
      </c>
      <c r="R1175" s="87">
        <v>1.391422</v>
      </c>
      <c r="S1175" s="87">
        <v>3.374039</v>
      </c>
      <c r="T1175" s="87">
        <v>0.444275</v>
      </c>
      <c r="U1175" s="87">
        <v>0.959214</v>
      </c>
      <c r="V1175" s="87">
        <v>1.075944</v>
      </c>
      <c r="W1175" s="87">
        <v>1.781008</v>
      </c>
      <c r="X1175" s="87">
        <v>3.374039</v>
      </c>
      <c r="Y1175" s="87">
        <v>2.316611</v>
      </c>
      <c r="Z1175" s="87">
        <v>0.0</v>
      </c>
      <c r="AA1175" s="87">
        <v>6.94779</v>
      </c>
      <c r="AB1175" s="87">
        <v>7.387549</v>
      </c>
      <c r="AC1175" s="87">
        <v>6.718884</v>
      </c>
      <c r="AD1175" s="87">
        <v>1.075944</v>
      </c>
      <c r="AE1175" s="87">
        <v>1.918801</v>
      </c>
      <c r="AF1175" s="87">
        <v>2.339792</v>
      </c>
      <c r="AG1175" s="87">
        <v>2.316611</v>
      </c>
      <c r="AH1175" s="87">
        <v>0.0</v>
      </c>
      <c r="AI1175" s="87">
        <v>5.698004</v>
      </c>
      <c r="AJ1175" s="87">
        <v>5.701538</v>
      </c>
      <c r="AK1175" s="87">
        <v>3.029214</v>
      </c>
      <c r="AL1175" s="88" t="s">
        <v>1396</v>
      </c>
    </row>
    <row r="1176">
      <c r="A1176" s="84" t="s">
        <v>2985</v>
      </c>
      <c r="B1176" s="84" t="s">
        <v>2986</v>
      </c>
      <c r="C1176" s="84" t="s">
        <v>630</v>
      </c>
      <c r="D1176" s="84" t="s">
        <v>640</v>
      </c>
      <c r="E1176" s="89">
        <v>46300.0</v>
      </c>
      <c r="F1176" s="87">
        <v>88.0</v>
      </c>
      <c r="G1176" s="87">
        <v>0.0</v>
      </c>
      <c r="H1176" s="87">
        <v>88676.0</v>
      </c>
      <c r="I1176" s="87">
        <v>0.0</v>
      </c>
      <c r="J1176" s="87">
        <v>1136.897</v>
      </c>
      <c r="K1176" s="87">
        <v>1128.354</v>
      </c>
      <c r="L1176" s="87">
        <v>1147.102</v>
      </c>
      <c r="M1176" s="87">
        <v>851.3437</v>
      </c>
      <c r="N1176" s="87">
        <v>0.754501</v>
      </c>
      <c r="O1176" s="87">
        <v>0.0</v>
      </c>
      <c r="P1176" s="87">
        <v>0.0</v>
      </c>
      <c r="Q1176" s="87">
        <v>0.0</v>
      </c>
      <c r="R1176" s="87">
        <v>4.029476</v>
      </c>
      <c r="S1176" s="87">
        <v>11.2732</v>
      </c>
      <c r="T1176" s="87">
        <v>0.938001</v>
      </c>
      <c r="U1176" s="87">
        <v>3.01392</v>
      </c>
      <c r="V1176" s="87">
        <v>5.226436</v>
      </c>
      <c r="W1176" s="87">
        <v>8.929893</v>
      </c>
      <c r="X1176" s="87">
        <v>20.68805</v>
      </c>
      <c r="Y1176" s="87">
        <v>12.8222</v>
      </c>
      <c r="Z1176" s="87">
        <v>0.0</v>
      </c>
      <c r="AA1176" s="87">
        <v>6.94779</v>
      </c>
      <c r="AB1176" s="87">
        <v>7.387549</v>
      </c>
      <c r="AC1176" s="87">
        <v>6.718884</v>
      </c>
      <c r="AD1176" s="87">
        <v>2.325703</v>
      </c>
      <c r="AE1176" s="87">
        <v>5.646775</v>
      </c>
      <c r="AF1176" s="87">
        <v>10.35093</v>
      </c>
      <c r="AG1176" s="87">
        <v>11.10878</v>
      </c>
      <c r="AH1176" s="87">
        <v>0.0</v>
      </c>
      <c r="AI1176" s="87">
        <v>5.698004</v>
      </c>
      <c r="AJ1176" s="87">
        <v>5.701538</v>
      </c>
      <c r="AK1176" s="87">
        <v>3.029214</v>
      </c>
      <c r="AL1176" s="88" t="s">
        <v>1396</v>
      </c>
    </row>
    <row r="1177">
      <c r="A1177" s="84" t="s">
        <v>2972</v>
      </c>
      <c r="B1177" s="84" t="s">
        <v>2987</v>
      </c>
      <c r="C1177" s="84" t="s">
        <v>630</v>
      </c>
      <c r="D1177" s="84" t="s">
        <v>640</v>
      </c>
      <c r="E1177" s="84" t="s">
        <v>1403</v>
      </c>
      <c r="F1177" s="87">
        <v>492.0</v>
      </c>
      <c r="G1177" s="87">
        <v>8.0</v>
      </c>
      <c r="H1177" s="87">
        <v>1134.0</v>
      </c>
      <c r="I1177" s="87">
        <v>1134.0</v>
      </c>
      <c r="J1177" s="87">
        <v>0.0</v>
      </c>
      <c r="K1177" s="87">
        <v>0.0</v>
      </c>
      <c r="L1177" s="87">
        <v>0.0</v>
      </c>
      <c r="M1177" s="87">
        <v>0.0</v>
      </c>
      <c r="N1177" s="87">
        <v>0.0</v>
      </c>
      <c r="O1177" s="87">
        <v>0.0</v>
      </c>
      <c r="P1177" s="87">
        <v>0.0</v>
      </c>
      <c r="Q1177" s="87">
        <v>0.0</v>
      </c>
      <c r="R1177" s="87">
        <v>0.0</v>
      </c>
      <c r="S1177" s="87">
        <v>0.0</v>
      </c>
      <c r="T1177" s="87">
        <v>0.0</v>
      </c>
      <c r="U1177" s="87">
        <v>0.0</v>
      </c>
      <c r="V1177" s="87">
        <v>0.0</v>
      </c>
      <c r="W1177" s="87">
        <v>0.0</v>
      </c>
      <c r="X1177" s="87">
        <v>0.0</v>
      </c>
      <c r="Y1177" s="87">
        <v>0.0</v>
      </c>
      <c r="Z1177" s="87">
        <v>0.0</v>
      </c>
      <c r="AA1177" s="87">
        <v>6.94779</v>
      </c>
      <c r="AB1177" s="87">
        <v>7.387549</v>
      </c>
      <c r="AC1177" s="87">
        <v>6.718884</v>
      </c>
      <c r="AD1177" s="87">
        <v>0.0</v>
      </c>
      <c r="AE1177" s="87">
        <v>0.0</v>
      </c>
      <c r="AF1177" s="87">
        <v>0.0</v>
      </c>
      <c r="AG1177" s="87">
        <v>0.0</v>
      </c>
      <c r="AH1177" s="87">
        <v>0.0</v>
      </c>
      <c r="AI1177" s="87">
        <v>5.698004</v>
      </c>
      <c r="AJ1177" s="87">
        <v>5.701538</v>
      </c>
      <c r="AK1177" s="87">
        <v>3.029214</v>
      </c>
      <c r="AL1177" s="88" t="s">
        <v>1396</v>
      </c>
    </row>
    <row r="1178">
      <c r="A1178" s="84" t="s">
        <v>2975</v>
      </c>
      <c r="B1178" s="84" t="s">
        <v>2988</v>
      </c>
      <c r="C1178" s="84" t="s">
        <v>630</v>
      </c>
      <c r="D1178" s="84" t="s">
        <v>2989</v>
      </c>
      <c r="E1178" s="84" t="s">
        <v>1426</v>
      </c>
      <c r="F1178" s="87">
        <v>10.0</v>
      </c>
      <c r="G1178" s="87">
        <v>0.0</v>
      </c>
      <c r="H1178" s="87">
        <v>23414.0</v>
      </c>
      <c r="I1178" s="87">
        <v>0.0</v>
      </c>
      <c r="J1178" s="87">
        <v>302.7624</v>
      </c>
      <c r="K1178" s="87">
        <v>290.4026</v>
      </c>
      <c r="L1178" s="87">
        <v>283.3383</v>
      </c>
      <c r="M1178" s="87">
        <v>247.3107</v>
      </c>
      <c r="N1178" s="87">
        <v>0.851613</v>
      </c>
      <c r="O1178" s="87">
        <v>0.0</v>
      </c>
      <c r="P1178" s="87">
        <v>0.0</v>
      </c>
      <c r="Q1178" s="87">
        <v>0.0</v>
      </c>
      <c r="R1178" s="87">
        <v>2.330517</v>
      </c>
      <c r="S1178" s="87">
        <v>24.5483</v>
      </c>
      <c r="T1178" s="87">
        <v>0.125</v>
      </c>
      <c r="U1178" s="87">
        <v>2.330517</v>
      </c>
      <c r="V1178" s="87">
        <v>2.330517</v>
      </c>
      <c r="W1178" s="87">
        <v>24.5483</v>
      </c>
      <c r="X1178" s="87">
        <v>29.81674</v>
      </c>
      <c r="Y1178" s="87">
        <v>29.04026</v>
      </c>
      <c r="Z1178" s="87">
        <v>0.0</v>
      </c>
      <c r="AA1178" s="87">
        <v>7.863379</v>
      </c>
      <c r="AB1178" s="87">
        <v>6.361849</v>
      </c>
      <c r="AC1178" s="87">
        <v>5.300767</v>
      </c>
      <c r="AD1178" s="87">
        <v>1.586957</v>
      </c>
      <c r="AE1178" s="87">
        <v>17.68009</v>
      </c>
      <c r="AF1178" s="87">
        <v>32.52989</v>
      </c>
      <c r="AG1178" s="87">
        <v>25.33578</v>
      </c>
      <c r="AH1178" s="87">
        <v>0.0</v>
      </c>
      <c r="AI1178" s="87">
        <v>5.698004</v>
      </c>
      <c r="AJ1178" s="87">
        <v>5.701538</v>
      </c>
      <c r="AK1178" s="87">
        <v>3.029214</v>
      </c>
      <c r="AL1178" s="88" t="s">
        <v>1396</v>
      </c>
    </row>
    <row r="1179">
      <c r="A1179" s="84" t="s">
        <v>2977</v>
      </c>
      <c r="B1179" s="84" t="s">
        <v>2990</v>
      </c>
      <c r="C1179" s="84" t="s">
        <v>630</v>
      </c>
      <c r="D1179" s="84" t="s">
        <v>2989</v>
      </c>
      <c r="E1179" s="86">
        <v>46310.0</v>
      </c>
      <c r="F1179" s="87">
        <v>11.0</v>
      </c>
      <c r="G1179" s="87">
        <v>0.0</v>
      </c>
      <c r="H1179" s="87">
        <v>3092.0</v>
      </c>
      <c r="I1179" s="87">
        <v>0.0</v>
      </c>
      <c r="J1179" s="87">
        <v>58.6465</v>
      </c>
      <c r="K1179" s="87">
        <v>90.66399</v>
      </c>
      <c r="L1179" s="87">
        <v>80.48653</v>
      </c>
      <c r="M1179" s="87">
        <v>58.25535</v>
      </c>
      <c r="N1179" s="87">
        <v>0.642541</v>
      </c>
      <c r="O1179" s="87">
        <v>0.0</v>
      </c>
      <c r="P1179" s="87">
        <v>0.4</v>
      </c>
      <c r="Q1179" s="87">
        <v>2.0</v>
      </c>
      <c r="R1179" s="87">
        <v>7.165128</v>
      </c>
      <c r="S1179" s="87">
        <v>9.51705</v>
      </c>
      <c r="T1179" s="87">
        <v>0.4</v>
      </c>
      <c r="U1179" s="87">
        <v>2.0</v>
      </c>
      <c r="V1179" s="87">
        <v>5.888167</v>
      </c>
      <c r="W1179" s="87">
        <v>7.438297</v>
      </c>
      <c r="X1179" s="87">
        <v>13.0565</v>
      </c>
      <c r="Y1179" s="87">
        <v>8.242181</v>
      </c>
      <c r="Z1179" s="87">
        <v>0.0</v>
      </c>
      <c r="AA1179" s="87">
        <v>7.863379</v>
      </c>
      <c r="AB1179" s="87">
        <v>6.361849</v>
      </c>
      <c r="AC1179" s="87">
        <v>5.300767</v>
      </c>
      <c r="AD1179" s="87">
        <v>1.025329</v>
      </c>
      <c r="AE1179" s="87">
        <v>5.936658</v>
      </c>
      <c r="AF1179" s="87">
        <v>6.491997</v>
      </c>
      <c r="AG1179" s="87">
        <v>3.098657</v>
      </c>
      <c r="AH1179" s="87">
        <v>0.0</v>
      </c>
      <c r="AI1179" s="87">
        <v>5.698004</v>
      </c>
      <c r="AJ1179" s="87">
        <v>5.701538</v>
      </c>
      <c r="AK1179" s="87">
        <v>3.029214</v>
      </c>
      <c r="AL1179" s="88" t="s">
        <v>1396</v>
      </c>
    </row>
    <row r="1180">
      <c r="A1180" s="84" t="s">
        <v>2979</v>
      </c>
      <c r="B1180" s="84" t="s">
        <v>2991</v>
      </c>
      <c r="C1180" s="84" t="s">
        <v>630</v>
      </c>
      <c r="D1180" s="84" t="s">
        <v>2989</v>
      </c>
      <c r="E1180" s="84" t="s">
        <v>1413</v>
      </c>
      <c r="F1180" s="87">
        <v>7.0</v>
      </c>
      <c r="G1180" s="87">
        <v>0.0</v>
      </c>
      <c r="H1180" s="87">
        <v>1284.0</v>
      </c>
      <c r="I1180" s="87">
        <v>0.0</v>
      </c>
      <c r="J1180" s="87">
        <v>44.00371</v>
      </c>
      <c r="K1180" s="87">
        <v>37.10537</v>
      </c>
      <c r="L1180" s="87">
        <v>36.91377</v>
      </c>
      <c r="M1180" s="87">
        <v>19.83747</v>
      </c>
      <c r="N1180" s="87">
        <v>0.534625</v>
      </c>
      <c r="O1180" s="87">
        <v>0.5</v>
      </c>
      <c r="P1180" s="87">
        <v>1.338161</v>
      </c>
      <c r="Q1180" s="87">
        <v>2.643405</v>
      </c>
      <c r="R1180" s="87">
        <v>4.92295</v>
      </c>
      <c r="S1180" s="87">
        <v>7.863379</v>
      </c>
      <c r="T1180" s="87">
        <v>0.5</v>
      </c>
      <c r="U1180" s="87">
        <v>1.338161</v>
      </c>
      <c r="V1180" s="87">
        <v>2.643405</v>
      </c>
      <c r="W1180" s="87">
        <v>4.92295</v>
      </c>
      <c r="X1180" s="87">
        <v>7.863379</v>
      </c>
      <c r="Y1180" s="87">
        <v>5.300767</v>
      </c>
      <c r="Z1180" s="87">
        <v>0.0</v>
      </c>
      <c r="AA1180" s="87">
        <v>7.863379</v>
      </c>
      <c r="AB1180" s="87">
        <v>6.361849</v>
      </c>
      <c r="AC1180" s="87">
        <v>5.300767</v>
      </c>
      <c r="AD1180" s="87">
        <v>4.240611</v>
      </c>
      <c r="AE1180" s="87">
        <v>6.339258</v>
      </c>
      <c r="AF1180" s="87">
        <v>7.283869</v>
      </c>
      <c r="AG1180" s="87">
        <v>6.718884</v>
      </c>
      <c r="AH1180" s="87">
        <v>0.0</v>
      </c>
      <c r="AI1180" s="87">
        <v>5.698004</v>
      </c>
      <c r="AJ1180" s="87">
        <v>5.701538</v>
      </c>
      <c r="AK1180" s="87">
        <v>3.029214</v>
      </c>
      <c r="AL1180" s="88" t="s">
        <v>1396</v>
      </c>
    </row>
    <row r="1181">
      <c r="A1181" s="84" t="s">
        <v>2981</v>
      </c>
      <c r="B1181" s="84" t="s">
        <v>2992</v>
      </c>
      <c r="C1181" s="84" t="s">
        <v>630</v>
      </c>
      <c r="D1181" s="84" t="s">
        <v>2989</v>
      </c>
      <c r="E1181" s="84" t="s">
        <v>1398</v>
      </c>
      <c r="F1181" s="87">
        <v>6.0</v>
      </c>
      <c r="G1181" s="87">
        <v>0.0</v>
      </c>
      <c r="H1181" s="87">
        <v>2403.0</v>
      </c>
      <c r="I1181" s="87">
        <v>0.0</v>
      </c>
      <c r="J1181" s="87">
        <v>33.6188</v>
      </c>
      <c r="K1181" s="87">
        <v>28.58018</v>
      </c>
      <c r="L1181" s="87">
        <v>31.04119</v>
      </c>
      <c r="M1181" s="87">
        <v>18.30959</v>
      </c>
      <c r="N1181" s="87">
        <v>0.640639</v>
      </c>
      <c r="O1181" s="87">
        <v>0.321429</v>
      </c>
      <c r="P1181" s="87">
        <v>0.575132</v>
      </c>
      <c r="Q1181" s="87">
        <v>0.575132</v>
      </c>
      <c r="R1181" s="87">
        <v>5.880079</v>
      </c>
      <c r="S1181" s="87">
        <v>8.15192</v>
      </c>
      <c r="T1181" s="87">
        <v>0.321429</v>
      </c>
      <c r="U1181" s="87">
        <v>0.575132</v>
      </c>
      <c r="V1181" s="87">
        <v>0.575132</v>
      </c>
      <c r="W1181" s="87">
        <v>5.880079</v>
      </c>
      <c r="X1181" s="87">
        <v>8.15192</v>
      </c>
      <c r="Y1181" s="87">
        <v>4.763363</v>
      </c>
      <c r="Z1181" s="87">
        <v>0.0</v>
      </c>
      <c r="AA1181" s="87">
        <v>7.863379</v>
      </c>
      <c r="AB1181" s="87">
        <v>6.361849</v>
      </c>
      <c r="AC1181" s="87">
        <v>5.300767</v>
      </c>
      <c r="AD1181" s="87">
        <v>2.354841</v>
      </c>
      <c r="AE1181" s="87">
        <v>3.582834</v>
      </c>
      <c r="AF1181" s="87">
        <v>5.269516</v>
      </c>
      <c r="AG1181" s="87">
        <v>4.763363</v>
      </c>
      <c r="AH1181" s="87">
        <v>0.0</v>
      </c>
      <c r="AI1181" s="87">
        <v>5.698004</v>
      </c>
      <c r="AJ1181" s="87">
        <v>5.701538</v>
      </c>
      <c r="AK1181" s="87">
        <v>3.029214</v>
      </c>
      <c r="AL1181" s="88" t="s">
        <v>1396</v>
      </c>
    </row>
    <row r="1182">
      <c r="A1182" s="84" t="s">
        <v>2983</v>
      </c>
      <c r="B1182" s="84" t="s">
        <v>2993</v>
      </c>
      <c r="C1182" s="84" t="s">
        <v>630</v>
      </c>
      <c r="D1182" s="84" t="s">
        <v>2989</v>
      </c>
      <c r="E1182" s="84" t="s">
        <v>1400</v>
      </c>
      <c r="F1182" s="87">
        <v>2.0</v>
      </c>
      <c r="G1182" s="87">
        <v>0.0</v>
      </c>
      <c r="H1182" s="87">
        <v>145.0</v>
      </c>
      <c r="I1182" s="87">
        <v>0.0</v>
      </c>
      <c r="J1182" s="87">
        <v>4.697594</v>
      </c>
      <c r="K1182" s="87">
        <v>3.848166</v>
      </c>
      <c r="L1182" s="87">
        <v>3.569193</v>
      </c>
      <c r="M1182" s="87">
        <v>3.848166</v>
      </c>
      <c r="N1182" s="87">
        <v>1.0</v>
      </c>
      <c r="O1182" s="87">
        <v>0.0</v>
      </c>
      <c r="P1182" s="87">
        <v>0.0</v>
      </c>
      <c r="Q1182" s="87">
        <v>0.0</v>
      </c>
      <c r="R1182" s="87">
        <v>3.848166</v>
      </c>
      <c r="S1182" s="87">
        <v>3.848166</v>
      </c>
      <c r="T1182" s="87">
        <v>3.848166</v>
      </c>
      <c r="U1182" s="87">
        <v>3.848166</v>
      </c>
      <c r="V1182" s="87">
        <v>3.848166</v>
      </c>
      <c r="W1182" s="87">
        <v>3.848166</v>
      </c>
      <c r="X1182" s="87">
        <v>3.848166</v>
      </c>
      <c r="Y1182" s="87">
        <v>1.924083</v>
      </c>
      <c r="Z1182" s="87">
        <v>0.0</v>
      </c>
      <c r="AA1182" s="87">
        <v>7.863379</v>
      </c>
      <c r="AB1182" s="87">
        <v>6.361849</v>
      </c>
      <c r="AC1182" s="87">
        <v>5.300767</v>
      </c>
      <c r="AD1182" s="87">
        <v>1.075944</v>
      </c>
      <c r="AE1182" s="87">
        <v>1.918801</v>
      </c>
      <c r="AF1182" s="87">
        <v>2.339792</v>
      </c>
      <c r="AG1182" s="87">
        <v>2.316611</v>
      </c>
      <c r="AH1182" s="87">
        <v>0.0</v>
      </c>
      <c r="AI1182" s="87">
        <v>5.698004</v>
      </c>
      <c r="AJ1182" s="87">
        <v>5.701538</v>
      </c>
      <c r="AK1182" s="87">
        <v>3.029214</v>
      </c>
      <c r="AL1182" s="88" t="s">
        <v>1396</v>
      </c>
    </row>
    <row r="1183">
      <c r="A1183" s="84" t="s">
        <v>2985</v>
      </c>
      <c r="B1183" s="84" t="s">
        <v>2994</v>
      </c>
      <c r="C1183" s="84" t="s">
        <v>630</v>
      </c>
      <c r="D1183" s="84" t="s">
        <v>2989</v>
      </c>
      <c r="E1183" s="89">
        <v>46300.0</v>
      </c>
      <c r="F1183" s="87">
        <v>14.0</v>
      </c>
      <c r="G1183" s="87">
        <v>0.0</v>
      </c>
      <c r="H1183" s="87">
        <v>8770.0</v>
      </c>
      <c r="I1183" s="87">
        <v>0.0</v>
      </c>
      <c r="J1183" s="87">
        <v>217.8614</v>
      </c>
      <c r="K1183" s="87">
        <v>230.1176</v>
      </c>
      <c r="L1183" s="87">
        <v>222.7388</v>
      </c>
      <c r="M1183" s="87">
        <v>181.3388</v>
      </c>
      <c r="N1183" s="87">
        <v>0.788026</v>
      </c>
      <c r="O1183" s="87">
        <v>0.0</v>
      </c>
      <c r="P1183" s="87">
        <v>0.0</v>
      </c>
      <c r="Q1183" s="87">
        <v>0.0</v>
      </c>
      <c r="R1183" s="87">
        <v>6.856739</v>
      </c>
      <c r="S1183" s="87">
        <v>9.345803</v>
      </c>
      <c r="T1183" s="87">
        <v>0.333333</v>
      </c>
      <c r="U1183" s="87">
        <v>4.46046</v>
      </c>
      <c r="V1183" s="87">
        <v>6.856739</v>
      </c>
      <c r="W1183" s="87">
        <v>9.345803</v>
      </c>
      <c r="X1183" s="87">
        <v>23.80102</v>
      </c>
      <c r="Y1183" s="87">
        <v>16.43697</v>
      </c>
      <c r="Z1183" s="87">
        <v>0.0</v>
      </c>
      <c r="AA1183" s="87">
        <v>7.863379</v>
      </c>
      <c r="AB1183" s="87">
        <v>6.361849</v>
      </c>
      <c r="AC1183" s="87">
        <v>5.300767</v>
      </c>
      <c r="AD1183" s="87">
        <v>2.325703</v>
      </c>
      <c r="AE1183" s="87">
        <v>5.646775</v>
      </c>
      <c r="AF1183" s="87">
        <v>10.35093</v>
      </c>
      <c r="AG1183" s="87">
        <v>11.10878</v>
      </c>
      <c r="AH1183" s="87">
        <v>0.0</v>
      </c>
      <c r="AI1183" s="87">
        <v>5.698004</v>
      </c>
      <c r="AJ1183" s="87">
        <v>5.701538</v>
      </c>
      <c r="AK1183" s="87">
        <v>3.029214</v>
      </c>
      <c r="AL1183" s="88" t="s">
        <v>1396</v>
      </c>
    </row>
    <row r="1184">
      <c r="A1184" s="84" t="s">
        <v>2972</v>
      </c>
      <c r="B1184" s="84" t="s">
        <v>2995</v>
      </c>
      <c r="C1184" s="84" t="s">
        <v>630</v>
      </c>
      <c r="D1184" s="84" t="s">
        <v>2989</v>
      </c>
      <c r="E1184" s="84" t="s">
        <v>1403</v>
      </c>
      <c r="F1184" s="87">
        <v>57.0</v>
      </c>
      <c r="G1184" s="87">
        <v>2.0</v>
      </c>
      <c r="H1184" s="87">
        <v>24.0</v>
      </c>
      <c r="I1184" s="87">
        <v>24.0</v>
      </c>
      <c r="J1184" s="87">
        <v>0.0</v>
      </c>
      <c r="K1184" s="87">
        <v>0.0</v>
      </c>
      <c r="L1184" s="87">
        <v>0.0</v>
      </c>
      <c r="M1184" s="87">
        <v>0.0</v>
      </c>
      <c r="N1184" s="87">
        <v>0.0</v>
      </c>
      <c r="O1184" s="87">
        <v>0.0</v>
      </c>
      <c r="P1184" s="87">
        <v>0.0</v>
      </c>
      <c r="Q1184" s="87">
        <v>0.0</v>
      </c>
      <c r="R1184" s="87">
        <v>0.0</v>
      </c>
      <c r="S1184" s="87">
        <v>0.0</v>
      </c>
      <c r="T1184" s="87">
        <v>0.0</v>
      </c>
      <c r="U1184" s="87">
        <v>0.0</v>
      </c>
      <c r="V1184" s="87">
        <v>0.0</v>
      </c>
      <c r="W1184" s="87">
        <v>0.0</v>
      </c>
      <c r="X1184" s="87">
        <v>0.0</v>
      </c>
      <c r="Y1184" s="87">
        <v>0.0</v>
      </c>
      <c r="Z1184" s="87">
        <v>0.0</v>
      </c>
      <c r="AA1184" s="87">
        <v>7.863379</v>
      </c>
      <c r="AB1184" s="87">
        <v>6.361849</v>
      </c>
      <c r="AC1184" s="87">
        <v>5.300767</v>
      </c>
      <c r="AD1184" s="87">
        <v>0.0</v>
      </c>
      <c r="AE1184" s="87">
        <v>0.0</v>
      </c>
      <c r="AF1184" s="87">
        <v>0.0</v>
      </c>
      <c r="AG1184" s="87">
        <v>0.0</v>
      </c>
      <c r="AH1184" s="87">
        <v>0.0</v>
      </c>
      <c r="AI1184" s="87">
        <v>5.698004</v>
      </c>
      <c r="AJ1184" s="87">
        <v>5.701538</v>
      </c>
      <c r="AK1184" s="87">
        <v>3.029214</v>
      </c>
      <c r="AL1184" s="88" t="s">
        <v>1396</v>
      </c>
    </row>
    <row r="1185">
      <c r="A1185" s="84" t="s">
        <v>2977</v>
      </c>
      <c r="B1185" s="84" t="s">
        <v>2996</v>
      </c>
      <c r="C1185" s="84" t="s">
        <v>630</v>
      </c>
      <c r="D1185" s="84" t="s">
        <v>645</v>
      </c>
      <c r="E1185" s="86">
        <v>46310.0</v>
      </c>
      <c r="F1185" s="87">
        <v>1.0</v>
      </c>
      <c r="G1185" s="87">
        <v>0.0</v>
      </c>
      <c r="H1185" s="87">
        <v>0.0</v>
      </c>
      <c r="I1185" s="87">
        <v>0.0</v>
      </c>
      <c r="J1185" s="87">
        <v>0.142857</v>
      </c>
      <c r="K1185" s="87">
        <v>0.310145</v>
      </c>
      <c r="L1185" s="87">
        <v>3.673977</v>
      </c>
      <c r="M1185" s="87">
        <v>0.0</v>
      </c>
      <c r="N1185" s="87">
        <v>0.0</v>
      </c>
      <c r="O1185" s="87">
        <v>0.310145</v>
      </c>
      <c r="P1185" s="87">
        <v>0.310145</v>
      </c>
      <c r="Q1185" s="87">
        <v>0.310145</v>
      </c>
      <c r="R1185" s="87">
        <v>0.310145</v>
      </c>
      <c r="S1185" s="87">
        <v>0.310145</v>
      </c>
      <c r="T1185" s="87">
        <v>0.310145</v>
      </c>
      <c r="U1185" s="87">
        <v>0.310145</v>
      </c>
      <c r="V1185" s="87">
        <v>0.310145</v>
      </c>
      <c r="W1185" s="87">
        <v>0.310145</v>
      </c>
      <c r="X1185" s="87">
        <v>0.310145</v>
      </c>
      <c r="Y1185" s="87">
        <v>0.310145</v>
      </c>
      <c r="Z1185" s="87">
        <v>0.0</v>
      </c>
      <c r="AA1185" s="87">
        <v>7.306161</v>
      </c>
      <c r="AB1185" s="87">
        <v>2.703241</v>
      </c>
      <c r="AC1185" s="87">
        <v>0.310145</v>
      </c>
      <c r="AD1185" s="87">
        <v>1.025329</v>
      </c>
      <c r="AE1185" s="87">
        <v>5.936658</v>
      </c>
      <c r="AF1185" s="87">
        <v>6.491997</v>
      </c>
      <c r="AG1185" s="87">
        <v>3.098657</v>
      </c>
      <c r="AH1185" s="87">
        <v>0.0</v>
      </c>
      <c r="AI1185" s="87">
        <v>5.698004</v>
      </c>
      <c r="AJ1185" s="87">
        <v>5.701538</v>
      </c>
      <c r="AK1185" s="87">
        <v>3.029214</v>
      </c>
      <c r="AL1185" s="88" t="s">
        <v>1396</v>
      </c>
    </row>
    <row r="1186">
      <c r="A1186" s="84" t="s">
        <v>2985</v>
      </c>
      <c r="B1186" s="84" t="s">
        <v>2997</v>
      </c>
      <c r="C1186" s="84" t="s">
        <v>630</v>
      </c>
      <c r="D1186" s="84" t="s">
        <v>645</v>
      </c>
      <c r="E1186" s="89">
        <v>46300.0</v>
      </c>
      <c r="F1186" s="87">
        <v>1.0</v>
      </c>
      <c r="G1186" s="87">
        <v>0.0</v>
      </c>
      <c r="H1186" s="87">
        <v>0.0</v>
      </c>
      <c r="I1186" s="87">
        <v>0.0</v>
      </c>
      <c r="J1186" s="87">
        <v>0.0</v>
      </c>
      <c r="K1186" s="87">
        <v>0.0</v>
      </c>
      <c r="L1186" s="87">
        <v>0.0</v>
      </c>
      <c r="M1186" s="87">
        <v>0.0</v>
      </c>
      <c r="N1186" s="87">
        <v>0.0</v>
      </c>
      <c r="O1186" s="87">
        <v>0.0</v>
      </c>
      <c r="P1186" s="87">
        <v>0.0</v>
      </c>
      <c r="Q1186" s="87">
        <v>0.0</v>
      </c>
      <c r="R1186" s="87">
        <v>0.0</v>
      </c>
      <c r="S1186" s="87">
        <v>0.0</v>
      </c>
      <c r="T1186" s="87">
        <v>0.0</v>
      </c>
      <c r="U1186" s="87">
        <v>0.0</v>
      </c>
      <c r="V1186" s="87">
        <v>0.0</v>
      </c>
      <c r="W1186" s="87">
        <v>0.0</v>
      </c>
      <c r="X1186" s="87">
        <v>0.0</v>
      </c>
      <c r="Y1186" s="87">
        <v>0.0</v>
      </c>
      <c r="Z1186" s="87">
        <v>0.0</v>
      </c>
      <c r="AA1186" s="87">
        <v>7.306161</v>
      </c>
      <c r="AB1186" s="87">
        <v>2.703241</v>
      </c>
      <c r="AC1186" s="87">
        <v>0.310145</v>
      </c>
      <c r="AD1186" s="87">
        <v>2.325703</v>
      </c>
      <c r="AE1186" s="87">
        <v>5.646775</v>
      </c>
      <c r="AF1186" s="87">
        <v>10.35093</v>
      </c>
      <c r="AG1186" s="87">
        <v>11.10878</v>
      </c>
      <c r="AH1186" s="87">
        <v>0.0</v>
      </c>
      <c r="AI1186" s="87">
        <v>5.698004</v>
      </c>
      <c r="AJ1186" s="87">
        <v>5.701538</v>
      </c>
      <c r="AK1186" s="87">
        <v>3.029214</v>
      </c>
      <c r="AL1186" s="88" t="s">
        <v>1396</v>
      </c>
    </row>
    <row r="1187">
      <c r="A1187" s="84" t="s">
        <v>2972</v>
      </c>
      <c r="B1187" s="84" t="s">
        <v>2998</v>
      </c>
      <c r="C1187" s="84" t="s">
        <v>630</v>
      </c>
      <c r="D1187" s="84" t="s">
        <v>645</v>
      </c>
      <c r="E1187" s="84" t="s">
        <v>1403</v>
      </c>
      <c r="F1187" s="87">
        <v>90.0</v>
      </c>
      <c r="G1187" s="87">
        <v>2.0</v>
      </c>
      <c r="H1187" s="87">
        <v>37.0</v>
      </c>
      <c r="I1187" s="87">
        <v>37.0</v>
      </c>
      <c r="J1187" s="87">
        <v>0.0</v>
      </c>
      <c r="K1187" s="87">
        <v>0.0</v>
      </c>
      <c r="L1187" s="87">
        <v>0.0</v>
      </c>
      <c r="M1187" s="87">
        <v>0.0</v>
      </c>
      <c r="N1187" s="87">
        <v>0.0</v>
      </c>
      <c r="O1187" s="87">
        <v>0.0</v>
      </c>
      <c r="P1187" s="87">
        <v>0.0</v>
      </c>
      <c r="Q1187" s="87">
        <v>0.0</v>
      </c>
      <c r="R1187" s="87">
        <v>0.0</v>
      </c>
      <c r="S1187" s="87">
        <v>0.0</v>
      </c>
      <c r="T1187" s="87">
        <v>0.0</v>
      </c>
      <c r="U1187" s="87">
        <v>0.0</v>
      </c>
      <c r="V1187" s="87">
        <v>0.0</v>
      </c>
      <c r="W1187" s="87">
        <v>0.0</v>
      </c>
      <c r="X1187" s="87">
        <v>0.0</v>
      </c>
      <c r="Y1187" s="87">
        <v>0.0</v>
      </c>
      <c r="Z1187" s="87">
        <v>0.0</v>
      </c>
      <c r="AA1187" s="87">
        <v>7.306161</v>
      </c>
      <c r="AB1187" s="87">
        <v>2.703241</v>
      </c>
      <c r="AC1187" s="87">
        <v>0.310145</v>
      </c>
      <c r="AD1187" s="87">
        <v>0.0</v>
      </c>
      <c r="AE1187" s="87">
        <v>0.0</v>
      </c>
      <c r="AF1187" s="87">
        <v>0.0</v>
      </c>
      <c r="AG1187" s="87">
        <v>0.0</v>
      </c>
      <c r="AH1187" s="87">
        <v>0.0</v>
      </c>
      <c r="AI1187" s="87">
        <v>5.698004</v>
      </c>
      <c r="AJ1187" s="87">
        <v>5.701538</v>
      </c>
      <c r="AK1187" s="87">
        <v>3.029214</v>
      </c>
      <c r="AL1187" s="88" t="s">
        <v>1396</v>
      </c>
    </row>
    <row r="1188">
      <c r="A1188" s="84" t="s">
        <v>2975</v>
      </c>
      <c r="B1188" s="84" t="s">
        <v>2999</v>
      </c>
      <c r="C1188" s="84" t="s">
        <v>630</v>
      </c>
      <c r="D1188" s="84" t="s">
        <v>3000</v>
      </c>
      <c r="E1188" s="84" t="s">
        <v>1426</v>
      </c>
      <c r="F1188" s="87">
        <v>1.0</v>
      </c>
      <c r="G1188" s="87">
        <v>0.0</v>
      </c>
      <c r="H1188" s="87">
        <v>0.0</v>
      </c>
      <c r="I1188" s="87">
        <v>0.0</v>
      </c>
      <c r="J1188" s="87">
        <v>0.0</v>
      </c>
      <c r="K1188" s="87">
        <v>0.5</v>
      </c>
      <c r="L1188" s="87">
        <v>2.483333</v>
      </c>
      <c r="M1188" s="87">
        <v>0.5</v>
      </c>
      <c r="N1188" s="87">
        <v>1.0</v>
      </c>
      <c r="O1188" s="87">
        <v>0.5</v>
      </c>
      <c r="P1188" s="87">
        <v>0.5</v>
      </c>
      <c r="Q1188" s="87">
        <v>0.5</v>
      </c>
      <c r="R1188" s="87">
        <v>0.5</v>
      </c>
      <c r="S1188" s="87">
        <v>0.5</v>
      </c>
      <c r="T1188" s="87">
        <v>0.5</v>
      </c>
      <c r="U1188" s="87">
        <v>0.5</v>
      </c>
      <c r="V1188" s="87">
        <v>0.5</v>
      </c>
      <c r="W1188" s="87">
        <v>0.5</v>
      </c>
      <c r="X1188" s="87">
        <v>0.5</v>
      </c>
      <c r="Y1188" s="87">
        <v>0.5</v>
      </c>
      <c r="Z1188" s="87">
        <v>0.0</v>
      </c>
      <c r="AA1188" s="87">
        <v>1.0</v>
      </c>
      <c r="AB1188" s="87">
        <v>0.115385</v>
      </c>
      <c r="AC1188" s="87">
        <v>0.25</v>
      </c>
      <c r="AD1188" s="87">
        <v>1.586957</v>
      </c>
      <c r="AE1188" s="87">
        <v>17.68009</v>
      </c>
      <c r="AF1188" s="87">
        <v>32.52989</v>
      </c>
      <c r="AG1188" s="87">
        <v>25.33578</v>
      </c>
      <c r="AH1188" s="87">
        <v>0.0</v>
      </c>
      <c r="AI1188" s="87">
        <v>5.698004</v>
      </c>
      <c r="AJ1188" s="87">
        <v>5.701538</v>
      </c>
      <c r="AK1188" s="87">
        <v>3.029214</v>
      </c>
      <c r="AL1188" s="88" t="s">
        <v>1396</v>
      </c>
    </row>
    <row r="1189">
      <c r="A1189" s="84" t="s">
        <v>2977</v>
      </c>
      <c r="B1189" s="84" t="s">
        <v>3001</v>
      </c>
      <c r="C1189" s="84" t="s">
        <v>630</v>
      </c>
      <c r="D1189" s="84" t="s">
        <v>3000</v>
      </c>
      <c r="E1189" s="86">
        <v>46310.0</v>
      </c>
      <c r="F1189" s="87">
        <v>2.0</v>
      </c>
      <c r="G1189" s="87">
        <v>0.0</v>
      </c>
      <c r="H1189" s="87">
        <v>0.0</v>
      </c>
      <c r="I1189" s="87">
        <v>0.0</v>
      </c>
      <c r="J1189" s="87">
        <v>0.0</v>
      </c>
      <c r="K1189" s="87">
        <v>0.0</v>
      </c>
      <c r="L1189" s="87">
        <v>0.0</v>
      </c>
      <c r="M1189" s="87">
        <v>0.0</v>
      </c>
      <c r="N1189" s="87">
        <v>0.0</v>
      </c>
      <c r="O1189" s="87">
        <v>0.0</v>
      </c>
      <c r="P1189" s="87">
        <v>0.0</v>
      </c>
      <c r="Q1189" s="87">
        <v>0.0</v>
      </c>
      <c r="R1189" s="87">
        <v>0.0</v>
      </c>
      <c r="S1189" s="87">
        <v>0.0</v>
      </c>
      <c r="T1189" s="87">
        <v>0.0</v>
      </c>
      <c r="U1189" s="87">
        <v>0.0</v>
      </c>
      <c r="V1189" s="87">
        <v>0.0</v>
      </c>
      <c r="W1189" s="87">
        <v>0.0</v>
      </c>
      <c r="X1189" s="87">
        <v>0.0</v>
      </c>
      <c r="Y1189" s="87">
        <v>0.0</v>
      </c>
      <c r="Z1189" s="87">
        <v>0.0</v>
      </c>
      <c r="AA1189" s="87">
        <v>1.0</v>
      </c>
      <c r="AB1189" s="87">
        <v>0.115385</v>
      </c>
      <c r="AC1189" s="87">
        <v>0.25</v>
      </c>
      <c r="AD1189" s="87">
        <v>1.025329</v>
      </c>
      <c r="AE1189" s="87">
        <v>5.936658</v>
      </c>
      <c r="AF1189" s="87">
        <v>6.491997</v>
      </c>
      <c r="AG1189" s="87">
        <v>3.098657</v>
      </c>
      <c r="AH1189" s="87">
        <v>0.0</v>
      </c>
      <c r="AI1189" s="87">
        <v>5.698004</v>
      </c>
      <c r="AJ1189" s="87">
        <v>5.701538</v>
      </c>
      <c r="AK1189" s="87">
        <v>3.029214</v>
      </c>
      <c r="AL1189" s="88" t="s">
        <v>1396</v>
      </c>
    </row>
    <row r="1190">
      <c r="A1190" s="84" t="s">
        <v>2985</v>
      </c>
      <c r="B1190" s="84" t="s">
        <v>3002</v>
      </c>
      <c r="C1190" s="84" t="s">
        <v>630</v>
      </c>
      <c r="D1190" s="84" t="s">
        <v>3000</v>
      </c>
      <c r="E1190" s="89">
        <v>46300.0</v>
      </c>
      <c r="F1190" s="87">
        <v>4.0</v>
      </c>
      <c r="G1190" s="87">
        <v>0.0</v>
      </c>
      <c r="H1190" s="87">
        <v>0.0</v>
      </c>
      <c r="I1190" s="87">
        <v>0.0</v>
      </c>
      <c r="J1190" s="87">
        <v>0.0</v>
      </c>
      <c r="K1190" s="87">
        <v>1.0</v>
      </c>
      <c r="L1190" s="87">
        <v>2.566667</v>
      </c>
      <c r="M1190" s="87">
        <v>1.0</v>
      </c>
      <c r="N1190" s="87">
        <v>1.0</v>
      </c>
      <c r="O1190" s="87">
        <v>0.0</v>
      </c>
      <c r="P1190" s="87">
        <v>0.0</v>
      </c>
      <c r="Q1190" s="87">
        <v>0.0</v>
      </c>
      <c r="R1190" s="87">
        <v>0.0</v>
      </c>
      <c r="S1190" s="87">
        <v>0.0</v>
      </c>
      <c r="T1190" s="87">
        <v>1.0</v>
      </c>
      <c r="U1190" s="87">
        <v>1.0</v>
      </c>
      <c r="V1190" s="87">
        <v>1.0</v>
      </c>
      <c r="W1190" s="87">
        <v>1.0</v>
      </c>
      <c r="X1190" s="87">
        <v>1.0</v>
      </c>
      <c r="Y1190" s="87">
        <v>0.25</v>
      </c>
      <c r="Z1190" s="87">
        <v>0.0</v>
      </c>
      <c r="AA1190" s="87">
        <v>1.0</v>
      </c>
      <c r="AB1190" s="87">
        <v>0.115385</v>
      </c>
      <c r="AC1190" s="87">
        <v>0.25</v>
      </c>
      <c r="AD1190" s="87">
        <v>2.325703</v>
      </c>
      <c r="AE1190" s="87">
        <v>5.646775</v>
      </c>
      <c r="AF1190" s="87">
        <v>10.35093</v>
      </c>
      <c r="AG1190" s="87">
        <v>11.10878</v>
      </c>
      <c r="AH1190" s="87">
        <v>0.0</v>
      </c>
      <c r="AI1190" s="87">
        <v>5.698004</v>
      </c>
      <c r="AJ1190" s="87">
        <v>5.701538</v>
      </c>
      <c r="AK1190" s="87">
        <v>3.029214</v>
      </c>
      <c r="AL1190" s="88" t="s">
        <v>1396</v>
      </c>
    </row>
    <row r="1191">
      <c r="A1191" s="84" t="s">
        <v>2972</v>
      </c>
      <c r="B1191" s="84" t="s">
        <v>3003</v>
      </c>
      <c r="C1191" s="84" t="s">
        <v>630</v>
      </c>
      <c r="D1191" s="84" t="s">
        <v>3000</v>
      </c>
      <c r="E1191" s="84" t="s">
        <v>1403</v>
      </c>
      <c r="F1191" s="87">
        <v>6.0</v>
      </c>
      <c r="G1191" s="87">
        <v>0.0</v>
      </c>
      <c r="H1191" s="87">
        <v>0.0</v>
      </c>
      <c r="I1191" s="87">
        <v>0.0</v>
      </c>
      <c r="J1191" s="87">
        <v>0.0</v>
      </c>
      <c r="K1191" s="87">
        <v>0.0</v>
      </c>
      <c r="L1191" s="87">
        <v>0.0</v>
      </c>
      <c r="M1191" s="87">
        <v>0.0</v>
      </c>
      <c r="N1191" s="87">
        <v>0.0</v>
      </c>
      <c r="O1191" s="87">
        <v>0.0</v>
      </c>
      <c r="P1191" s="87">
        <v>0.0</v>
      </c>
      <c r="Q1191" s="87">
        <v>0.0</v>
      </c>
      <c r="R1191" s="87">
        <v>0.0</v>
      </c>
      <c r="S1191" s="87">
        <v>0.0</v>
      </c>
      <c r="T1191" s="87">
        <v>0.0</v>
      </c>
      <c r="U1191" s="87">
        <v>0.0</v>
      </c>
      <c r="V1191" s="87">
        <v>0.0</v>
      </c>
      <c r="W1191" s="87">
        <v>0.0</v>
      </c>
      <c r="X1191" s="87">
        <v>0.0</v>
      </c>
      <c r="Y1191" s="87">
        <v>0.0</v>
      </c>
      <c r="Z1191" s="87">
        <v>0.0</v>
      </c>
      <c r="AA1191" s="87">
        <v>1.0</v>
      </c>
      <c r="AB1191" s="87">
        <v>0.115385</v>
      </c>
      <c r="AC1191" s="87">
        <v>0.25</v>
      </c>
      <c r="AD1191" s="87">
        <v>0.0</v>
      </c>
      <c r="AE1191" s="87">
        <v>0.0</v>
      </c>
      <c r="AF1191" s="87">
        <v>0.0</v>
      </c>
      <c r="AG1191" s="87">
        <v>0.0</v>
      </c>
      <c r="AH1191" s="87">
        <v>0.0</v>
      </c>
      <c r="AI1191" s="87">
        <v>5.698004</v>
      </c>
      <c r="AJ1191" s="87">
        <v>5.701538</v>
      </c>
      <c r="AK1191" s="87">
        <v>3.029214</v>
      </c>
      <c r="AL1191" s="88" t="s">
        <v>1396</v>
      </c>
    </row>
    <row r="1192">
      <c r="A1192" s="84" t="s">
        <v>2975</v>
      </c>
      <c r="B1192" s="84" t="s">
        <v>3004</v>
      </c>
      <c r="C1192" s="84" t="s">
        <v>630</v>
      </c>
      <c r="D1192" s="84" t="s">
        <v>631</v>
      </c>
      <c r="E1192" s="84" t="s">
        <v>1426</v>
      </c>
      <c r="F1192" s="87">
        <v>17.0</v>
      </c>
      <c r="G1192" s="87">
        <v>0.0</v>
      </c>
      <c r="H1192" s="87">
        <v>17593.0</v>
      </c>
      <c r="I1192" s="87">
        <v>0.0</v>
      </c>
      <c r="J1192" s="87">
        <v>497.4589</v>
      </c>
      <c r="K1192" s="87">
        <v>430.7082</v>
      </c>
      <c r="L1192" s="87">
        <v>375.6613</v>
      </c>
      <c r="M1192" s="87">
        <v>400.6497</v>
      </c>
      <c r="N1192" s="87">
        <v>0.930211</v>
      </c>
      <c r="O1192" s="87">
        <v>0.0</v>
      </c>
      <c r="P1192" s="87">
        <v>0.0</v>
      </c>
      <c r="Q1192" s="87">
        <v>0.0</v>
      </c>
      <c r="R1192" s="87">
        <v>0.0</v>
      </c>
      <c r="S1192" s="87">
        <v>11.0675</v>
      </c>
      <c r="T1192" s="87">
        <v>2.340848</v>
      </c>
      <c r="U1192" s="87">
        <v>3.848884</v>
      </c>
      <c r="V1192" s="87">
        <v>11.0675</v>
      </c>
      <c r="W1192" s="87">
        <v>41.17146</v>
      </c>
      <c r="X1192" s="87">
        <v>44.75781</v>
      </c>
      <c r="Y1192" s="87">
        <v>25.33578</v>
      </c>
      <c r="Z1192" s="87">
        <v>0.0</v>
      </c>
      <c r="AA1192" s="87">
        <v>4.77067</v>
      </c>
      <c r="AB1192" s="87">
        <v>3.866174</v>
      </c>
      <c r="AC1192" s="87">
        <v>6.517325</v>
      </c>
      <c r="AD1192" s="87">
        <v>1.586957</v>
      </c>
      <c r="AE1192" s="87">
        <v>17.68009</v>
      </c>
      <c r="AF1192" s="87">
        <v>32.52989</v>
      </c>
      <c r="AG1192" s="87">
        <v>25.33578</v>
      </c>
      <c r="AH1192" s="87">
        <v>0.0</v>
      </c>
      <c r="AI1192" s="87">
        <v>5.698004</v>
      </c>
      <c r="AJ1192" s="87">
        <v>5.701538</v>
      </c>
      <c r="AK1192" s="87">
        <v>3.029214</v>
      </c>
      <c r="AL1192" s="88" t="s">
        <v>1396</v>
      </c>
    </row>
    <row r="1193">
      <c r="A1193" s="84" t="s">
        <v>2977</v>
      </c>
      <c r="B1193" s="84" t="s">
        <v>3005</v>
      </c>
      <c r="C1193" s="84" t="s">
        <v>630</v>
      </c>
      <c r="D1193" s="84" t="s">
        <v>631</v>
      </c>
      <c r="E1193" s="86">
        <v>46310.0</v>
      </c>
      <c r="F1193" s="87">
        <v>28.0</v>
      </c>
      <c r="G1193" s="87">
        <v>0.0</v>
      </c>
      <c r="H1193" s="87">
        <v>14103.0</v>
      </c>
      <c r="I1193" s="87">
        <v>0.0</v>
      </c>
      <c r="J1193" s="87">
        <v>155.2704</v>
      </c>
      <c r="K1193" s="87">
        <v>147.2859</v>
      </c>
      <c r="L1193" s="87">
        <v>151.951</v>
      </c>
      <c r="M1193" s="87">
        <v>105.6692</v>
      </c>
      <c r="N1193" s="87">
        <v>0.717443</v>
      </c>
      <c r="O1193" s="87">
        <v>0.0</v>
      </c>
      <c r="P1193" s="87">
        <v>0.0</v>
      </c>
      <c r="Q1193" s="87">
        <v>0.0</v>
      </c>
      <c r="R1193" s="87">
        <v>0.3</v>
      </c>
      <c r="S1193" s="87">
        <v>7.734798</v>
      </c>
      <c r="T1193" s="87">
        <v>2.177416</v>
      </c>
      <c r="U1193" s="87">
        <v>3.667466</v>
      </c>
      <c r="V1193" s="87">
        <v>6.122553</v>
      </c>
      <c r="W1193" s="87">
        <v>7.869612</v>
      </c>
      <c r="X1193" s="87">
        <v>10.66347</v>
      </c>
      <c r="Y1193" s="87">
        <v>5.260212</v>
      </c>
      <c r="Z1193" s="87">
        <v>0.0</v>
      </c>
      <c r="AA1193" s="87">
        <v>4.77067</v>
      </c>
      <c r="AB1193" s="87">
        <v>3.866174</v>
      </c>
      <c r="AC1193" s="87">
        <v>6.517325</v>
      </c>
      <c r="AD1193" s="87">
        <v>1.025329</v>
      </c>
      <c r="AE1193" s="87">
        <v>5.936658</v>
      </c>
      <c r="AF1193" s="87">
        <v>6.491997</v>
      </c>
      <c r="AG1193" s="87">
        <v>3.098657</v>
      </c>
      <c r="AH1193" s="87">
        <v>0.0</v>
      </c>
      <c r="AI1193" s="87">
        <v>5.698004</v>
      </c>
      <c r="AJ1193" s="87">
        <v>5.701538</v>
      </c>
      <c r="AK1193" s="87">
        <v>3.029214</v>
      </c>
      <c r="AL1193" s="88" t="s">
        <v>1396</v>
      </c>
    </row>
    <row r="1194">
      <c r="A1194" s="84" t="s">
        <v>2979</v>
      </c>
      <c r="B1194" s="84" t="s">
        <v>3006</v>
      </c>
      <c r="C1194" s="84" t="s">
        <v>630</v>
      </c>
      <c r="D1194" s="84" t="s">
        <v>631</v>
      </c>
      <c r="E1194" s="84" t="s">
        <v>1413</v>
      </c>
      <c r="F1194" s="87">
        <v>28.0</v>
      </c>
      <c r="G1194" s="87">
        <v>0.0</v>
      </c>
      <c r="H1194" s="87">
        <v>15265.0</v>
      </c>
      <c r="I1194" s="87">
        <v>0.0</v>
      </c>
      <c r="J1194" s="87">
        <v>212.9842</v>
      </c>
      <c r="K1194" s="87">
        <v>203.2359</v>
      </c>
      <c r="L1194" s="87">
        <v>201.6769</v>
      </c>
      <c r="M1194" s="87">
        <v>143.7431</v>
      </c>
      <c r="N1194" s="87">
        <v>0.707272</v>
      </c>
      <c r="O1194" s="87">
        <v>0.0</v>
      </c>
      <c r="P1194" s="87">
        <v>0.0</v>
      </c>
      <c r="Q1194" s="87">
        <v>0.0</v>
      </c>
      <c r="R1194" s="87">
        <v>3.426891</v>
      </c>
      <c r="S1194" s="87">
        <v>8.424033</v>
      </c>
      <c r="T1194" s="87">
        <v>0.572161</v>
      </c>
      <c r="U1194" s="87">
        <v>3.426891</v>
      </c>
      <c r="V1194" s="87">
        <v>5.287302</v>
      </c>
      <c r="W1194" s="87">
        <v>8.424033</v>
      </c>
      <c r="X1194" s="87">
        <v>10.81497</v>
      </c>
      <c r="Y1194" s="87">
        <v>7.258426</v>
      </c>
      <c r="Z1194" s="87">
        <v>0.0</v>
      </c>
      <c r="AA1194" s="87">
        <v>4.77067</v>
      </c>
      <c r="AB1194" s="87">
        <v>3.866174</v>
      </c>
      <c r="AC1194" s="87">
        <v>6.517325</v>
      </c>
      <c r="AD1194" s="87">
        <v>4.240611</v>
      </c>
      <c r="AE1194" s="87">
        <v>6.339258</v>
      </c>
      <c r="AF1194" s="87">
        <v>7.283869</v>
      </c>
      <c r="AG1194" s="87">
        <v>6.718884</v>
      </c>
      <c r="AH1194" s="87">
        <v>0.0</v>
      </c>
      <c r="AI1194" s="87">
        <v>5.698004</v>
      </c>
      <c r="AJ1194" s="87">
        <v>5.701538</v>
      </c>
      <c r="AK1194" s="87">
        <v>3.029214</v>
      </c>
      <c r="AL1194" s="88" t="s">
        <v>1396</v>
      </c>
    </row>
    <row r="1195">
      <c r="A1195" s="84" t="s">
        <v>2981</v>
      </c>
      <c r="B1195" s="84" t="s">
        <v>3007</v>
      </c>
      <c r="C1195" s="84" t="s">
        <v>630</v>
      </c>
      <c r="D1195" s="84" t="s">
        <v>631</v>
      </c>
      <c r="E1195" s="84" t="s">
        <v>1398</v>
      </c>
      <c r="F1195" s="87">
        <v>18.0</v>
      </c>
      <c r="G1195" s="87">
        <v>0.0</v>
      </c>
      <c r="H1195" s="87">
        <v>15162.0</v>
      </c>
      <c r="I1195" s="87">
        <v>0.0</v>
      </c>
      <c r="J1195" s="87">
        <v>129.7095</v>
      </c>
      <c r="K1195" s="87">
        <v>117.3119</v>
      </c>
      <c r="L1195" s="87">
        <v>112.6712</v>
      </c>
      <c r="M1195" s="87">
        <v>93.59549</v>
      </c>
      <c r="N1195" s="87">
        <v>0.797835</v>
      </c>
      <c r="O1195" s="87">
        <v>0.0</v>
      </c>
      <c r="P1195" s="87">
        <v>0.0</v>
      </c>
      <c r="Q1195" s="87">
        <v>1.113889</v>
      </c>
      <c r="R1195" s="87">
        <v>2.4496</v>
      </c>
      <c r="S1195" s="87">
        <v>3.616306</v>
      </c>
      <c r="T1195" s="87">
        <v>1.113889</v>
      </c>
      <c r="U1195" s="87">
        <v>1.210186</v>
      </c>
      <c r="V1195" s="87">
        <v>2.366671</v>
      </c>
      <c r="W1195" s="87">
        <v>3.582834</v>
      </c>
      <c r="X1195" s="87">
        <v>4.035203</v>
      </c>
      <c r="Y1195" s="87">
        <v>6.517325</v>
      </c>
      <c r="Z1195" s="87">
        <v>0.0</v>
      </c>
      <c r="AA1195" s="87">
        <v>4.77067</v>
      </c>
      <c r="AB1195" s="87">
        <v>3.866174</v>
      </c>
      <c r="AC1195" s="87">
        <v>6.517325</v>
      </c>
      <c r="AD1195" s="87">
        <v>2.354841</v>
      </c>
      <c r="AE1195" s="87">
        <v>3.582834</v>
      </c>
      <c r="AF1195" s="87">
        <v>5.269516</v>
      </c>
      <c r="AG1195" s="87">
        <v>4.763363</v>
      </c>
      <c r="AH1195" s="87">
        <v>0.0</v>
      </c>
      <c r="AI1195" s="87">
        <v>5.698004</v>
      </c>
      <c r="AJ1195" s="87">
        <v>5.701538</v>
      </c>
      <c r="AK1195" s="87">
        <v>3.029214</v>
      </c>
      <c r="AL1195" s="88" t="s">
        <v>1396</v>
      </c>
    </row>
    <row r="1196">
      <c r="A1196" s="84" t="s">
        <v>2983</v>
      </c>
      <c r="B1196" s="84" t="s">
        <v>3008</v>
      </c>
      <c r="C1196" s="84" t="s">
        <v>630</v>
      </c>
      <c r="D1196" s="84" t="s">
        <v>631</v>
      </c>
      <c r="E1196" s="84" t="s">
        <v>1400</v>
      </c>
      <c r="F1196" s="87">
        <v>36.0</v>
      </c>
      <c r="G1196" s="87">
        <v>0.0</v>
      </c>
      <c r="H1196" s="87">
        <v>14091.0</v>
      </c>
      <c r="I1196" s="87">
        <v>0.0</v>
      </c>
      <c r="J1196" s="87">
        <v>94.71716</v>
      </c>
      <c r="K1196" s="87">
        <v>89.39505</v>
      </c>
      <c r="L1196" s="87">
        <v>92.57159</v>
      </c>
      <c r="M1196" s="87">
        <v>64.30767</v>
      </c>
      <c r="N1196" s="87">
        <v>0.719365</v>
      </c>
      <c r="O1196" s="87">
        <v>0.0</v>
      </c>
      <c r="P1196" s="87">
        <v>0.0</v>
      </c>
      <c r="Q1196" s="87">
        <v>0.1625</v>
      </c>
      <c r="R1196" s="87">
        <v>0.97619</v>
      </c>
      <c r="S1196" s="87">
        <v>2.583008</v>
      </c>
      <c r="T1196" s="87">
        <v>0.1625</v>
      </c>
      <c r="U1196" s="87">
        <v>0.6</v>
      </c>
      <c r="V1196" s="87">
        <v>0.738114</v>
      </c>
      <c r="W1196" s="87">
        <v>1.918801</v>
      </c>
      <c r="X1196" s="87">
        <v>3.708211</v>
      </c>
      <c r="Y1196" s="87">
        <v>2.483196</v>
      </c>
      <c r="Z1196" s="87">
        <v>0.0</v>
      </c>
      <c r="AA1196" s="87">
        <v>4.77067</v>
      </c>
      <c r="AB1196" s="87">
        <v>3.866174</v>
      </c>
      <c r="AC1196" s="87">
        <v>6.517325</v>
      </c>
      <c r="AD1196" s="87">
        <v>1.075944</v>
      </c>
      <c r="AE1196" s="87">
        <v>1.918801</v>
      </c>
      <c r="AF1196" s="87">
        <v>2.339792</v>
      </c>
      <c r="AG1196" s="87">
        <v>2.316611</v>
      </c>
      <c r="AH1196" s="87">
        <v>0.0</v>
      </c>
      <c r="AI1196" s="87">
        <v>5.698004</v>
      </c>
      <c r="AJ1196" s="87">
        <v>5.701538</v>
      </c>
      <c r="AK1196" s="87">
        <v>3.029214</v>
      </c>
      <c r="AL1196" s="88" t="s">
        <v>1396</v>
      </c>
    </row>
    <row r="1197">
      <c r="A1197" s="84" t="s">
        <v>2985</v>
      </c>
      <c r="B1197" s="84" t="s">
        <v>3009</v>
      </c>
      <c r="C1197" s="84" t="s">
        <v>630</v>
      </c>
      <c r="D1197" s="84" t="s">
        <v>631</v>
      </c>
      <c r="E1197" s="89">
        <v>46300.0</v>
      </c>
      <c r="F1197" s="87">
        <v>20.0</v>
      </c>
      <c r="G1197" s="87">
        <v>0.0</v>
      </c>
      <c r="H1197" s="87">
        <v>22726.0</v>
      </c>
      <c r="I1197" s="87">
        <v>0.0</v>
      </c>
      <c r="J1197" s="87">
        <v>223.8211</v>
      </c>
      <c r="K1197" s="87">
        <v>222.1756</v>
      </c>
      <c r="L1197" s="87">
        <v>227.536</v>
      </c>
      <c r="M1197" s="87">
        <v>208.8504</v>
      </c>
      <c r="N1197" s="87">
        <v>0.940024</v>
      </c>
      <c r="O1197" s="87">
        <v>0.0</v>
      </c>
      <c r="P1197" s="87">
        <v>0.0</v>
      </c>
      <c r="Q1197" s="87">
        <v>0.0</v>
      </c>
      <c r="R1197" s="87">
        <v>0.05</v>
      </c>
      <c r="S1197" s="87">
        <v>4.479294</v>
      </c>
      <c r="T1197" s="87">
        <v>0.198925</v>
      </c>
      <c r="U1197" s="87">
        <v>0.25</v>
      </c>
      <c r="V1197" s="87">
        <v>2.642988</v>
      </c>
      <c r="W1197" s="87">
        <v>5.703984</v>
      </c>
      <c r="X1197" s="87">
        <v>29.78629</v>
      </c>
      <c r="Y1197" s="87">
        <v>11.10878</v>
      </c>
      <c r="Z1197" s="87">
        <v>0.0</v>
      </c>
      <c r="AA1197" s="87">
        <v>4.77067</v>
      </c>
      <c r="AB1197" s="87">
        <v>3.866174</v>
      </c>
      <c r="AC1197" s="87">
        <v>6.517325</v>
      </c>
      <c r="AD1197" s="87">
        <v>2.325703</v>
      </c>
      <c r="AE1197" s="87">
        <v>5.646775</v>
      </c>
      <c r="AF1197" s="87">
        <v>10.35093</v>
      </c>
      <c r="AG1197" s="87">
        <v>11.10878</v>
      </c>
      <c r="AH1197" s="87">
        <v>0.0</v>
      </c>
      <c r="AI1197" s="87">
        <v>5.698004</v>
      </c>
      <c r="AJ1197" s="87">
        <v>5.701538</v>
      </c>
      <c r="AK1197" s="87">
        <v>3.029214</v>
      </c>
      <c r="AL1197" s="88" t="s">
        <v>1396</v>
      </c>
    </row>
    <row r="1198">
      <c r="A1198" s="84" t="s">
        <v>2972</v>
      </c>
      <c r="B1198" s="84" t="s">
        <v>3010</v>
      </c>
      <c r="C1198" s="84" t="s">
        <v>630</v>
      </c>
      <c r="D1198" s="84" t="s">
        <v>631</v>
      </c>
      <c r="E1198" s="84" t="s">
        <v>1403</v>
      </c>
      <c r="F1198" s="87">
        <v>166.0</v>
      </c>
      <c r="G1198" s="87">
        <v>1.0</v>
      </c>
      <c r="H1198" s="87">
        <v>9.0</v>
      </c>
      <c r="I1198" s="87">
        <v>9.0</v>
      </c>
      <c r="J1198" s="87">
        <v>0.0</v>
      </c>
      <c r="K1198" s="87">
        <v>0.0</v>
      </c>
      <c r="L1198" s="87">
        <v>0.0</v>
      </c>
      <c r="M1198" s="87">
        <v>0.0</v>
      </c>
      <c r="N1198" s="87">
        <v>0.0</v>
      </c>
      <c r="O1198" s="87">
        <v>0.0</v>
      </c>
      <c r="P1198" s="87">
        <v>0.0</v>
      </c>
      <c r="Q1198" s="87">
        <v>0.0</v>
      </c>
      <c r="R1198" s="87">
        <v>0.0</v>
      </c>
      <c r="S1198" s="87">
        <v>0.0</v>
      </c>
      <c r="T1198" s="87">
        <v>0.0</v>
      </c>
      <c r="U1198" s="87">
        <v>0.0</v>
      </c>
      <c r="V1198" s="87">
        <v>0.0</v>
      </c>
      <c r="W1198" s="87">
        <v>0.0</v>
      </c>
      <c r="X1198" s="87">
        <v>0.0</v>
      </c>
      <c r="Y1198" s="87">
        <v>0.0</v>
      </c>
      <c r="Z1198" s="87">
        <v>0.0</v>
      </c>
      <c r="AA1198" s="87">
        <v>4.77067</v>
      </c>
      <c r="AB1198" s="87">
        <v>3.866174</v>
      </c>
      <c r="AC1198" s="87">
        <v>6.517325</v>
      </c>
      <c r="AD1198" s="87">
        <v>0.0</v>
      </c>
      <c r="AE1198" s="87">
        <v>0.0</v>
      </c>
      <c r="AF1198" s="87">
        <v>0.0</v>
      </c>
      <c r="AG1198" s="87">
        <v>0.0</v>
      </c>
      <c r="AH1198" s="87">
        <v>0.0</v>
      </c>
      <c r="AI1198" s="87">
        <v>5.698004</v>
      </c>
      <c r="AJ1198" s="87">
        <v>5.701538</v>
      </c>
      <c r="AK1198" s="87">
        <v>3.029214</v>
      </c>
      <c r="AL1198" s="88" t="s">
        <v>1396</v>
      </c>
    </row>
    <row r="1199">
      <c r="A1199" s="84" t="s">
        <v>2975</v>
      </c>
      <c r="B1199" s="84" t="s">
        <v>3011</v>
      </c>
      <c r="C1199" s="84" t="s">
        <v>630</v>
      </c>
      <c r="D1199" s="84" t="s">
        <v>1099</v>
      </c>
      <c r="E1199" s="84" t="s">
        <v>1426</v>
      </c>
      <c r="F1199" s="87">
        <v>25.0</v>
      </c>
      <c r="G1199" s="87">
        <v>0.0</v>
      </c>
      <c r="H1199" s="87">
        <v>14794.0</v>
      </c>
      <c r="I1199" s="87">
        <v>0.0</v>
      </c>
      <c r="J1199" s="87">
        <v>88.50211</v>
      </c>
      <c r="K1199" s="87">
        <v>90.68869</v>
      </c>
      <c r="L1199" s="87">
        <v>95.85366</v>
      </c>
      <c r="M1199" s="87">
        <v>70.72402</v>
      </c>
      <c r="N1199" s="87">
        <v>0.779855</v>
      </c>
      <c r="O1199" s="87">
        <v>0.0</v>
      </c>
      <c r="P1199" s="87">
        <v>0.0</v>
      </c>
      <c r="Q1199" s="87">
        <v>0.0</v>
      </c>
      <c r="R1199" s="87">
        <v>1.317535</v>
      </c>
      <c r="S1199" s="87">
        <v>2.812808</v>
      </c>
      <c r="T1199" s="87">
        <v>0.133333</v>
      </c>
      <c r="U1199" s="87">
        <v>0.332258</v>
      </c>
      <c r="V1199" s="87">
        <v>1.825616</v>
      </c>
      <c r="W1199" s="87">
        <v>2.398771</v>
      </c>
      <c r="X1199" s="87">
        <v>3.527957</v>
      </c>
      <c r="Y1199" s="87">
        <v>3.627548</v>
      </c>
      <c r="Z1199" s="87">
        <v>0.0</v>
      </c>
      <c r="AA1199" s="87">
        <v>2.241187</v>
      </c>
      <c r="AB1199" s="87">
        <v>2.117014</v>
      </c>
      <c r="AC1199" s="87">
        <v>1.564572</v>
      </c>
      <c r="AD1199" s="87">
        <v>1.586957</v>
      </c>
      <c r="AE1199" s="87">
        <v>17.68009</v>
      </c>
      <c r="AF1199" s="87">
        <v>32.52989</v>
      </c>
      <c r="AG1199" s="87">
        <v>25.33578</v>
      </c>
      <c r="AH1199" s="87">
        <v>0.0</v>
      </c>
      <c r="AI1199" s="87">
        <v>5.698004</v>
      </c>
      <c r="AJ1199" s="87">
        <v>5.701538</v>
      </c>
      <c r="AK1199" s="87">
        <v>3.029214</v>
      </c>
      <c r="AL1199" s="88" t="s">
        <v>1396</v>
      </c>
    </row>
    <row r="1200">
      <c r="A1200" s="84" t="s">
        <v>2977</v>
      </c>
      <c r="B1200" s="84" t="s">
        <v>3012</v>
      </c>
      <c r="C1200" s="84" t="s">
        <v>630</v>
      </c>
      <c r="D1200" s="84" t="s">
        <v>1099</v>
      </c>
      <c r="E1200" s="86">
        <v>46310.0</v>
      </c>
      <c r="F1200" s="87">
        <v>13.0</v>
      </c>
      <c r="G1200" s="87">
        <v>0.0</v>
      </c>
      <c r="H1200" s="87">
        <v>5322.0</v>
      </c>
      <c r="I1200" s="87">
        <v>0.0</v>
      </c>
      <c r="J1200" s="87">
        <v>14.80974</v>
      </c>
      <c r="K1200" s="87">
        <v>20.33943</v>
      </c>
      <c r="L1200" s="87">
        <v>19.22112</v>
      </c>
      <c r="M1200" s="87">
        <v>10.54236</v>
      </c>
      <c r="N1200" s="87">
        <v>0.518321</v>
      </c>
      <c r="O1200" s="87">
        <v>0.0</v>
      </c>
      <c r="P1200" s="87">
        <v>0.444427</v>
      </c>
      <c r="Q1200" s="87">
        <v>0.498925</v>
      </c>
      <c r="R1200" s="87">
        <v>1.407373</v>
      </c>
      <c r="S1200" s="87">
        <v>2.210534</v>
      </c>
      <c r="T1200" s="87">
        <v>0.498925</v>
      </c>
      <c r="U1200" s="87">
        <v>0.917443</v>
      </c>
      <c r="V1200" s="87">
        <v>1.23498</v>
      </c>
      <c r="W1200" s="87">
        <v>1.454355</v>
      </c>
      <c r="X1200" s="87">
        <v>2.210534</v>
      </c>
      <c r="Y1200" s="87">
        <v>1.564572</v>
      </c>
      <c r="Z1200" s="87">
        <v>0.0</v>
      </c>
      <c r="AA1200" s="87">
        <v>2.241187</v>
      </c>
      <c r="AB1200" s="87">
        <v>2.117014</v>
      </c>
      <c r="AC1200" s="87">
        <v>1.564572</v>
      </c>
      <c r="AD1200" s="87">
        <v>1.025329</v>
      </c>
      <c r="AE1200" s="87">
        <v>5.936658</v>
      </c>
      <c r="AF1200" s="87">
        <v>6.491997</v>
      </c>
      <c r="AG1200" s="87">
        <v>3.098657</v>
      </c>
      <c r="AH1200" s="87">
        <v>0.0</v>
      </c>
      <c r="AI1200" s="87">
        <v>5.698004</v>
      </c>
      <c r="AJ1200" s="87">
        <v>5.701538</v>
      </c>
      <c r="AK1200" s="87">
        <v>3.029214</v>
      </c>
      <c r="AL1200" s="88" t="s">
        <v>1396</v>
      </c>
    </row>
    <row r="1201">
      <c r="A1201" s="84" t="s">
        <v>2981</v>
      </c>
      <c r="B1201" s="84" t="s">
        <v>3013</v>
      </c>
      <c r="C1201" s="84" t="s">
        <v>630</v>
      </c>
      <c r="D1201" s="84" t="s">
        <v>1099</v>
      </c>
      <c r="E1201" s="84" t="s">
        <v>1398</v>
      </c>
      <c r="F1201" s="87">
        <v>2.0</v>
      </c>
      <c r="G1201" s="87">
        <v>0.0</v>
      </c>
      <c r="H1201" s="87">
        <v>0.0</v>
      </c>
      <c r="I1201" s="87">
        <v>0.0</v>
      </c>
      <c r="J1201" s="87">
        <v>0.0</v>
      </c>
      <c r="K1201" s="87">
        <v>0.0</v>
      </c>
      <c r="L1201" s="87">
        <v>0.833333</v>
      </c>
      <c r="M1201" s="87">
        <v>0.0</v>
      </c>
      <c r="N1201" s="87">
        <v>0.0</v>
      </c>
      <c r="O1201" s="87">
        <v>0.0</v>
      </c>
      <c r="P1201" s="87">
        <v>0.0</v>
      </c>
      <c r="Q1201" s="87">
        <v>0.0</v>
      </c>
      <c r="R1201" s="87">
        <v>0.0</v>
      </c>
      <c r="S1201" s="87">
        <v>0.0</v>
      </c>
      <c r="T1201" s="87">
        <v>0.0</v>
      </c>
      <c r="U1201" s="87">
        <v>0.0</v>
      </c>
      <c r="V1201" s="87">
        <v>0.0</v>
      </c>
      <c r="W1201" s="87">
        <v>0.0</v>
      </c>
      <c r="X1201" s="87">
        <v>0.0</v>
      </c>
      <c r="Y1201" s="87">
        <v>0.0</v>
      </c>
      <c r="Z1201" s="87">
        <v>0.0</v>
      </c>
      <c r="AA1201" s="87">
        <v>2.241187</v>
      </c>
      <c r="AB1201" s="87">
        <v>2.117014</v>
      </c>
      <c r="AC1201" s="87">
        <v>1.564572</v>
      </c>
      <c r="AD1201" s="87">
        <v>2.354841</v>
      </c>
      <c r="AE1201" s="87">
        <v>3.582834</v>
      </c>
      <c r="AF1201" s="87">
        <v>5.269516</v>
      </c>
      <c r="AG1201" s="87">
        <v>4.763363</v>
      </c>
      <c r="AH1201" s="87">
        <v>0.0</v>
      </c>
      <c r="AI1201" s="87">
        <v>5.698004</v>
      </c>
      <c r="AJ1201" s="87">
        <v>5.701538</v>
      </c>
      <c r="AK1201" s="87">
        <v>3.029214</v>
      </c>
      <c r="AL1201" s="88" t="s">
        <v>1396</v>
      </c>
    </row>
    <row r="1202">
      <c r="A1202" s="84" t="s">
        <v>2985</v>
      </c>
      <c r="B1202" s="84" t="s">
        <v>3014</v>
      </c>
      <c r="C1202" s="84" t="s">
        <v>630</v>
      </c>
      <c r="D1202" s="84" t="s">
        <v>1099</v>
      </c>
      <c r="E1202" s="89">
        <v>46300.0</v>
      </c>
      <c r="F1202" s="87">
        <v>38.0</v>
      </c>
      <c r="G1202" s="87">
        <v>0.0</v>
      </c>
      <c r="H1202" s="87">
        <v>27174.0</v>
      </c>
      <c r="I1202" s="87">
        <v>0.0</v>
      </c>
      <c r="J1202" s="87">
        <v>214.4826</v>
      </c>
      <c r="K1202" s="87">
        <v>227.6941</v>
      </c>
      <c r="L1202" s="87">
        <v>231.8975</v>
      </c>
      <c r="M1202" s="87">
        <v>178.3348</v>
      </c>
      <c r="N1202" s="87">
        <v>0.783221</v>
      </c>
      <c r="O1202" s="87">
        <v>0.1</v>
      </c>
      <c r="P1202" s="87">
        <v>0.665591</v>
      </c>
      <c r="Q1202" s="87">
        <v>1.101298</v>
      </c>
      <c r="R1202" s="87">
        <v>2.286432</v>
      </c>
      <c r="S1202" s="87">
        <v>3.299662</v>
      </c>
      <c r="T1202" s="87">
        <v>0.598925</v>
      </c>
      <c r="U1202" s="87">
        <v>1.065591</v>
      </c>
      <c r="V1202" s="87">
        <v>1.46129</v>
      </c>
      <c r="W1202" s="87">
        <v>2.351745</v>
      </c>
      <c r="X1202" s="87">
        <v>3.378312</v>
      </c>
      <c r="Y1202" s="87">
        <v>5.991949</v>
      </c>
      <c r="Z1202" s="87">
        <v>0.0</v>
      </c>
      <c r="AA1202" s="87">
        <v>2.241187</v>
      </c>
      <c r="AB1202" s="87">
        <v>2.117014</v>
      </c>
      <c r="AC1202" s="87">
        <v>1.564572</v>
      </c>
      <c r="AD1202" s="87">
        <v>2.325703</v>
      </c>
      <c r="AE1202" s="87">
        <v>5.646775</v>
      </c>
      <c r="AF1202" s="87">
        <v>10.35093</v>
      </c>
      <c r="AG1202" s="87">
        <v>11.10878</v>
      </c>
      <c r="AH1202" s="87">
        <v>0.0</v>
      </c>
      <c r="AI1202" s="87">
        <v>5.698004</v>
      </c>
      <c r="AJ1202" s="87">
        <v>5.701538</v>
      </c>
      <c r="AK1202" s="87">
        <v>3.029214</v>
      </c>
      <c r="AL1202" s="88" t="s">
        <v>1396</v>
      </c>
    </row>
    <row r="1203">
      <c r="A1203" s="84" t="s">
        <v>2972</v>
      </c>
      <c r="B1203" s="84" t="s">
        <v>3015</v>
      </c>
      <c r="C1203" s="84" t="s">
        <v>630</v>
      </c>
      <c r="D1203" s="84" t="s">
        <v>1099</v>
      </c>
      <c r="E1203" s="84" t="s">
        <v>1403</v>
      </c>
      <c r="F1203" s="87">
        <v>82.0</v>
      </c>
      <c r="G1203" s="87">
        <v>0.0</v>
      </c>
      <c r="H1203" s="87">
        <v>0.0</v>
      </c>
      <c r="I1203" s="87">
        <v>0.0</v>
      </c>
      <c r="J1203" s="87">
        <v>0.0</v>
      </c>
      <c r="K1203" s="87">
        <v>0.0</v>
      </c>
      <c r="L1203" s="87">
        <v>0.0</v>
      </c>
      <c r="M1203" s="87">
        <v>0.0</v>
      </c>
      <c r="N1203" s="87">
        <v>0.0</v>
      </c>
      <c r="O1203" s="87">
        <v>0.0</v>
      </c>
      <c r="P1203" s="87">
        <v>0.0</v>
      </c>
      <c r="Q1203" s="87">
        <v>0.0</v>
      </c>
      <c r="R1203" s="87">
        <v>0.0</v>
      </c>
      <c r="S1203" s="87">
        <v>0.0</v>
      </c>
      <c r="T1203" s="87">
        <v>0.0</v>
      </c>
      <c r="U1203" s="87">
        <v>0.0</v>
      </c>
      <c r="V1203" s="87">
        <v>0.0</v>
      </c>
      <c r="W1203" s="87">
        <v>0.0</v>
      </c>
      <c r="X1203" s="87">
        <v>0.0</v>
      </c>
      <c r="Y1203" s="87">
        <v>0.0</v>
      </c>
      <c r="Z1203" s="87">
        <v>0.0</v>
      </c>
      <c r="AA1203" s="87">
        <v>2.241187</v>
      </c>
      <c r="AB1203" s="87">
        <v>2.117014</v>
      </c>
      <c r="AC1203" s="87">
        <v>1.564572</v>
      </c>
      <c r="AD1203" s="87">
        <v>0.0</v>
      </c>
      <c r="AE1203" s="87">
        <v>0.0</v>
      </c>
      <c r="AF1203" s="87">
        <v>0.0</v>
      </c>
      <c r="AG1203" s="87">
        <v>0.0</v>
      </c>
      <c r="AH1203" s="87">
        <v>0.0</v>
      </c>
      <c r="AI1203" s="87">
        <v>5.698004</v>
      </c>
      <c r="AJ1203" s="87">
        <v>5.701538</v>
      </c>
      <c r="AK1203" s="87">
        <v>3.029214</v>
      </c>
      <c r="AL1203" s="88" t="s">
        <v>1396</v>
      </c>
    </row>
    <row r="1204">
      <c r="A1204" s="84" t="s">
        <v>2975</v>
      </c>
      <c r="B1204" s="84" t="s">
        <v>3016</v>
      </c>
      <c r="C1204" s="84" t="s">
        <v>630</v>
      </c>
      <c r="D1204" s="84" t="s">
        <v>3017</v>
      </c>
      <c r="E1204" s="84" t="s">
        <v>1426</v>
      </c>
      <c r="F1204" s="87">
        <v>11.0</v>
      </c>
      <c r="G1204" s="87">
        <v>0.0</v>
      </c>
      <c r="H1204" s="87">
        <v>8203.0</v>
      </c>
      <c r="I1204" s="87">
        <v>0.0</v>
      </c>
      <c r="J1204" s="87">
        <v>1154.428</v>
      </c>
      <c r="K1204" s="87">
        <v>1134.693</v>
      </c>
      <c r="L1204" s="87">
        <v>1113.893</v>
      </c>
      <c r="M1204" s="87">
        <v>989.7294</v>
      </c>
      <c r="N1204" s="87">
        <v>0.872244</v>
      </c>
      <c r="O1204" s="87">
        <v>0.0</v>
      </c>
      <c r="P1204" s="87">
        <v>0.0</v>
      </c>
      <c r="Q1204" s="87">
        <v>0.0</v>
      </c>
      <c r="R1204" s="87">
        <v>0.0</v>
      </c>
      <c r="S1204" s="87">
        <v>97.57125</v>
      </c>
      <c r="T1204" s="87">
        <v>47.39204</v>
      </c>
      <c r="U1204" s="87">
        <v>97.57125</v>
      </c>
      <c r="V1204" s="87">
        <v>97.57125</v>
      </c>
      <c r="W1204" s="87">
        <v>104.066</v>
      </c>
      <c r="X1204" s="87">
        <v>166.1255</v>
      </c>
      <c r="Y1204" s="87">
        <v>103.1539</v>
      </c>
      <c r="Z1204" s="87">
        <v>0.0</v>
      </c>
      <c r="AA1204" s="87">
        <v>15.2163</v>
      </c>
      <c r="AB1204" s="87">
        <v>13.7732</v>
      </c>
      <c r="AC1204" s="87">
        <v>2.371549</v>
      </c>
      <c r="AD1204" s="87">
        <v>1.586957</v>
      </c>
      <c r="AE1204" s="87">
        <v>17.68009</v>
      </c>
      <c r="AF1204" s="87">
        <v>32.52989</v>
      </c>
      <c r="AG1204" s="87">
        <v>25.33578</v>
      </c>
      <c r="AH1204" s="87">
        <v>0.0</v>
      </c>
      <c r="AI1204" s="87">
        <v>5.698004</v>
      </c>
      <c r="AJ1204" s="87">
        <v>5.701538</v>
      </c>
      <c r="AK1204" s="87">
        <v>3.029214</v>
      </c>
      <c r="AL1204" s="88" t="s">
        <v>1396</v>
      </c>
    </row>
    <row r="1205">
      <c r="A1205" s="84" t="s">
        <v>2977</v>
      </c>
      <c r="B1205" s="84" t="s">
        <v>3018</v>
      </c>
      <c r="C1205" s="84" t="s">
        <v>630</v>
      </c>
      <c r="D1205" s="84" t="s">
        <v>3017</v>
      </c>
      <c r="E1205" s="89">
        <v>46310.0</v>
      </c>
      <c r="F1205" s="87">
        <v>7.0</v>
      </c>
      <c r="G1205" s="87">
        <v>0.0</v>
      </c>
      <c r="H1205" s="87">
        <v>1420.0</v>
      </c>
      <c r="I1205" s="87">
        <v>0.0</v>
      </c>
      <c r="J1205" s="87">
        <v>15.42521</v>
      </c>
      <c r="K1205" s="87">
        <v>16.60084</v>
      </c>
      <c r="L1205" s="87">
        <v>22.47016</v>
      </c>
      <c r="M1205" s="87">
        <v>16.38834</v>
      </c>
      <c r="N1205" s="87">
        <v>0.987199</v>
      </c>
      <c r="O1205" s="87">
        <v>0.0</v>
      </c>
      <c r="P1205" s="87">
        <v>0.0</v>
      </c>
      <c r="Q1205" s="87">
        <v>0.0</v>
      </c>
      <c r="R1205" s="87">
        <v>0.0</v>
      </c>
      <c r="S1205" s="87">
        <v>0.2125</v>
      </c>
      <c r="T1205" s="87">
        <v>0.2125</v>
      </c>
      <c r="U1205" s="87">
        <v>0.2125</v>
      </c>
      <c r="V1205" s="87">
        <v>0.2125</v>
      </c>
      <c r="W1205" s="87">
        <v>1.172041</v>
      </c>
      <c r="X1205" s="87">
        <v>15.2163</v>
      </c>
      <c r="Y1205" s="87">
        <v>2.371549</v>
      </c>
      <c r="Z1205" s="87">
        <v>0.0</v>
      </c>
      <c r="AA1205" s="87">
        <v>15.2163</v>
      </c>
      <c r="AB1205" s="87">
        <v>13.7732</v>
      </c>
      <c r="AC1205" s="87">
        <v>2.371549</v>
      </c>
      <c r="AD1205" s="87">
        <v>1.025329</v>
      </c>
      <c r="AE1205" s="87">
        <v>5.936658</v>
      </c>
      <c r="AF1205" s="87">
        <v>6.491997</v>
      </c>
      <c r="AG1205" s="87">
        <v>3.098657</v>
      </c>
      <c r="AH1205" s="87">
        <v>0.0</v>
      </c>
      <c r="AI1205" s="87">
        <v>5.698004</v>
      </c>
      <c r="AJ1205" s="87">
        <v>5.701538</v>
      </c>
      <c r="AK1205" s="87">
        <v>3.029214</v>
      </c>
      <c r="AL1205" s="88" t="s">
        <v>1396</v>
      </c>
    </row>
    <row r="1206">
      <c r="A1206" s="84" t="s">
        <v>2979</v>
      </c>
      <c r="B1206" s="84" t="s">
        <v>3019</v>
      </c>
      <c r="C1206" s="84" t="s">
        <v>630</v>
      </c>
      <c r="D1206" s="84" t="s">
        <v>3017</v>
      </c>
      <c r="E1206" s="84" t="s">
        <v>1413</v>
      </c>
      <c r="F1206" s="87">
        <v>9.0</v>
      </c>
      <c r="G1206" s="87">
        <v>0.0</v>
      </c>
      <c r="H1206" s="87">
        <v>13553.0</v>
      </c>
      <c r="I1206" s="87">
        <v>0.0</v>
      </c>
      <c r="J1206" s="87">
        <v>119.6856</v>
      </c>
      <c r="K1206" s="87">
        <v>119.576</v>
      </c>
      <c r="L1206" s="87">
        <v>115.5873</v>
      </c>
      <c r="M1206" s="87">
        <v>59.01823</v>
      </c>
      <c r="N1206" s="87">
        <v>0.493562</v>
      </c>
      <c r="O1206" s="87">
        <v>0.0</v>
      </c>
      <c r="P1206" s="87">
        <v>2.838116</v>
      </c>
      <c r="Q1206" s="87">
        <v>4.868389</v>
      </c>
      <c r="R1206" s="87">
        <v>14.33485</v>
      </c>
      <c r="S1206" s="87">
        <v>15.25683</v>
      </c>
      <c r="T1206" s="87">
        <v>2.838116</v>
      </c>
      <c r="U1206" s="87">
        <v>4.868389</v>
      </c>
      <c r="V1206" s="87">
        <v>8.609369</v>
      </c>
      <c r="W1206" s="87">
        <v>14.65024</v>
      </c>
      <c r="X1206" s="87">
        <v>15.25683</v>
      </c>
      <c r="Y1206" s="87">
        <v>13.28623</v>
      </c>
      <c r="Z1206" s="87">
        <v>0.0</v>
      </c>
      <c r="AA1206" s="87">
        <v>15.2163</v>
      </c>
      <c r="AB1206" s="87">
        <v>13.7732</v>
      </c>
      <c r="AC1206" s="87">
        <v>2.371549</v>
      </c>
      <c r="AD1206" s="87">
        <v>4.240611</v>
      </c>
      <c r="AE1206" s="87">
        <v>6.339258</v>
      </c>
      <c r="AF1206" s="87">
        <v>7.283869</v>
      </c>
      <c r="AG1206" s="87">
        <v>6.718884</v>
      </c>
      <c r="AH1206" s="87">
        <v>0.0</v>
      </c>
      <c r="AI1206" s="87">
        <v>5.698004</v>
      </c>
      <c r="AJ1206" s="87">
        <v>5.701538</v>
      </c>
      <c r="AK1206" s="87">
        <v>3.029214</v>
      </c>
      <c r="AL1206" s="88" t="s">
        <v>1396</v>
      </c>
    </row>
    <row r="1207">
      <c r="A1207" s="84" t="s">
        <v>2981</v>
      </c>
      <c r="B1207" s="84" t="s">
        <v>3020</v>
      </c>
      <c r="C1207" s="84" t="s">
        <v>630</v>
      </c>
      <c r="D1207" s="84" t="s">
        <v>3017</v>
      </c>
      <c r="E1207" s="84" t="s">
        <v>1398</v>
      </c>
      <c r="F1207" s="87">
        <v>2.0</v>
      </c>
      <c r="G1207" s="87">
        <v>0.0</v>
      </c>
      <c r="H1207" s="87">
        <v>28.0</v>
      </c>
      <c r="I1207" s="87">
        <v>0.0</v>
      </c>
      <c r="J1207" s="87">
        <v>0.75</v>
      </c>
      <c r="K1207" s="87">
        <v>2.768017</v>
      </c>
      <c r="L1207" s="87">
        <v>4.680082</v>
      </c>
      <c r="M1207" s="87">
        <v>1.768017</v>
      </c>
      <c r="N1207" s="87">
        <v>0.638731</v>
      </c>
      <c r="O1207" s="87">
        <v>1.0</v>
      </c>
      <c r="P1207" s="87">
        <v>1.0</v>
      </c>
      <c r="Q1207" s="87">
        <v>1.0</v>
      </c>
      <c r="R1207" s="87">
        <v>1.768017</v>
      </c>
      <c r="S1207" s="87">
        <v>1.768017</v>
      </c>
      <c r="T1207" s="87">
        <v>1.0</v>
      </c>
      <c r="U1207" s="87">
        <v>1.0</v>
      </c>
      <c r="V1207" s="87">
        <v>1.0</v>
      </c>
      <c r="W1207" s="87">
        <v>1.768017</v>
      </c>
      <c r="X1207" s="87">
        <v>1.768017</v>
      </c>
      <c r="Y1207" s="87">
        <v>1.384009</v>
      </c>
      <c r="Z1207" s="87">
        <v>0.0</v>
      </c>
      <c r="AA1207" s="87">
        <v>15.2163</v>
      </c>
      <c r="AB1207" s="87">
        <v>13.7732</v>
      </c>
      <c r="AC1207" s="87">
        <v>2.371549</v>
      </c>
      <c r="AD1207" s="87">
        <v>2.354841</v>
      </c>
      <c r="AE1207" s="87">
        <v>3.582834</v>
      </c>
      <c r="AF1207" s="87">
        <v>5.269516</v>
      </c>
      <c r="AG1207" s="87">
        <v>4.763363</v>
      </c>
      <c r="AH1207" s="87">
        <v>0.0</v>
      </c>
      <c r="AI1207" s="87">
        <v>5.698004</v>
      </c>
      <c r="AJ1207" s="87">
        <v>5.701538</v>
      </c>
      <c r="AK1207" s="87">
        <v>3.029214</v>
      </c>
      <c r="AL1207" s="88" t="s">
        <v>1396</v>
      </c>
    </row>
    <row r="1208">
      <c r="A1208" s="84" t="s">
        <v>2983</v>
      </c>
      <c r="B1208" s="84" t="s">
        <v>3021</v>
      </c>
      <c r="C1208" s="84" t="s">
        <v>630</v>
      </c>
      <c r="D1208" s="84" t="s">
        <v>3017</v>
      </c>
      <c r="E1208" s="84" t="s">
        <v>1400</v>
      </c>
      <c r="F1208" s="87">
        <v>3.0</v>
      </c>
      <c r="G1208" s="87">
        <v>0.0</v>
      </c>
      <c r="H1208" s="87">
        <v>992.0</v>
      </c>
      <c r="I1208" s="87">
        <v>0.0</v>
      </c>
      <c r="J1208" s="87">
        <v>3.470896</v>
      </c>
      <c r="K1208" s="87">
        <v>3.151864</v>
      </c>
      <c r="L1208" s="87">
        <v>7.459139</v>
      </c>
      <c r="M1208" s="87">
        <v>2.886741</v>
      </c>
      <c r="N1208" s="87">
        <v>0.915884</v>
      </c>
      <c r="O1208" s="87">
        <v>0.0</v>
      </c>
      <c r="P1208" s="87">
        <v>0.0</v>
      </c>
      <c r="Q1208" s="87">
        <v>0.0</v>
      </c>
      <c r="R1208" s="87">
        <v>0.265123</v>
      </c>
      <c r="S1208" s="87">
        <v>2.886741</v>
      </c>
      <c r="T1208" s="87">
        <v>0.265123</v>
      </c>
      <c r="U1208" s="87">
        <v>0.265123</v>
      </c>
      <c r="V1208" s="87">
        <v>0.265123</v>
      </c>
      <c r="W1208" s="87">
        <v>2.886741</v>
      </c>
      <c r="X1208" s="87">
        <v>2.886741</v>
      </c>
      <c r="Y1208" s="87">
        <v>1.050621</v>
      </c>
      <c r="Z1208" s="87">
        <v>0.0</v>
      </c>
      <c r="AA1208" s="87">
        <v>15.2163</v>
      </c>
      <c r="AB1208" s="87">
        <v>13.7732</v>
      </c>
      <c r="AC1208" s="87">
        <v>2.371549</v>
      </c>
      <c r="AD1208" s="87">
        <v>1.075944</v>
      </c>
      <c r="AE1208" s="87">
        <v>1.918801</v>
      </c>
      <c r="AF1208" s="87">
        <v>2.339792</v>
      </c>
      <c r="AG1208" s="87">
        <v>2.316611</v>
      </c>
      <c r="AH1208" s="87">
        <v>0.0</v>
      </c>
      <c r="AI1208" s="87">
        <v>5.698004</v>
      </c>
      <c r="AJ1208" s="87">
        <v>5.701538</v>
      </c>
      <c r="AK1208" s="87">
        <v>3.029214</v>
      </c>
      <c r="AL1208" s="88" t="s">
        <v>1396</v>
      </c>
    </row>
    <row r="1209">
      <c r="A1209" s="84" t="s">
        <v>2985</v>
      </c>
      <c r="B1209" s="84" t="s">
        <v>3022</v>
      </c>
      <c r="C1209" s="84" t="s">
        <v>630</v>
      </c>
      <c r="D1209" s="84" t="s">
        <v>3017</v>
      </c>
      <c r="E1209" s="89">
        <v>46300.0</v>
      </c>
      <c r="F1209" s="87">
        <v>3.0</v>
      </c>
      <c r="G1209" s="87">
        <v>0.0</v>
      </c>
      <c r="H1209" s="87">
        <v>34.0</v>
      </c>
      <c r="I1209" s="87">
        <v>0.0</v>
      </c>
      <c r="J1209" s="87">
        <v>45.74773</v>
      </c>
      <c r="K1209" s="87">
        <v>45.43737</v>
      </c>
      <c r="L1209" s="87">
        <v>44.60032</v>
      </c>
      <c r="M1209" s="87">
        <v>27.90461</v>
      </c>
      <c r="N1209" s="87">
        <v>0.614134</v>
      </c>
      <c r="O1209" s="87">
        <v>0.0</v>
      </c>
      <c r="P1209" s="87">
        <v>0.0</v>
      </c>
      <c r="Q1209" s="87">
        <v>0.0</v>
      </c>
      <c r="R1209" s="87">
        <v>17.53275</v>
      </c>
      <c r="S1209" s="87">
        <v>27.90461</v>
      </c>
      <c r="T1209" s="87">
        <v>17.53275</v>
      </c>
      <c r="U1209" s="87">
        <v>17.53275</v>
      </c>
      <c r="V1209" s="87">
        <v>17.53275</v>
      </c>
      <c r="W1209" s="87">
        <v>27.90461</v>
      </c>
      <c r="X1209" s="87">
        <v>27.90461</v>
      </c>
      <c r="Y1209" s="87">
        <v>15.14579</v>
      </c>
      <c r="Z1209" s="87">
        <v>0.0</v>
      </c>
      <c r="AA1209" s="87">
        <v>15.2163</v>
      </c>
      <c r="AB1209" s="87">
        <v>13.7732</v>
      </c>
      <c r="AC1209" s="87">
        <v>2.371549</v>
      </c>
      <c r="AD1209" s="87">
        <v>2.325703</v>
      </c>
      <c r="AE1209" s="87">
        <v>5.646775</v>
      </c>
      <c r="AF1209" s="87">
        <v>10.35093</v>
      </c>
      <c r="AG1209" s="87">
        <v>11.10878</v>
      </c>
      <c r="AH1209" s="87">
        <v>0.0</v>
      </c>
      <c r="AI1209" s="87">
        <v>5.698004</v>
      </c>
      <c r="AJ1209" s="87">
        <v>5.701538</v>
      </c>
      <c r="AK1209" s="87">
        <v>3.029214</v>
      </c>
      <c r="AL1209" s="88" t="s">
        <v>1396</v>
      </c>
    </row>
    <row r="1210">
      <c r="A1210" s="84" t="s">
        <v>2972</v>
      </c>
      <c r="B1210" s="84" t="s">
        <v>3023</v>
      </c>
      <c r="C1210" s="84" t="s">
        <v>630</v>
      </c>
      <c r="D1210" s="84" t="s">
        <v>3017</v>
      </c>
      <c r="E1210" s="84" t="s">
        <v>1403</v>
      </c>
      <c r="F1210" s="87">
        <v>61.0</v>
      </c>
      <c r="G1210" s="87">
        <v>2.0</v>
      </c>
      <c r="H1210" s="87">
        <v>33.0</v>
      </c>
      <c r="I1210" s="87">
        <v>33.0</v>
      </c>
      <c r="J1210" s="87">
        <v>0.0</v>
      </c>
      <c r="K1210" s="87">
        <v>0.0</v>
      </c>
      <c r="L1210" s="87">
        <v>0.0</v>
      </c>
      <c r="M1210" s="87">
        <v>0.0</v>
      </c>
      <c r="N1210" s="87">
        <v>0.0</v>
      </c>
      <c r="O1210" s="87">
        <v>0.0</v>
      </c>
      <c r="P1210" s="87">
        <v>0.0</v>
      </c>
      <c r="Q1210" s="87">
        <v>0.0</v>
      </c>
      <c r="R1210" s="87">
        <v>0.0</v>
      </c>
      <c r="S1210" s="87">
        <v>0.0</v>
      </c>
      <c r="T1210" s="87">
        <v>0.0</v>
      </c>
      <c r="U1210" s="87">
        <v>0.0</v>
      </c>
      <c r="V1210" s="87">
        <v>0.0</v>
      </c>
      <c r="W1210" s="87">
        <v>0.0</v>
      </c>
      <c r="X1210" s="87">
        <v>0.0</v>
      </c>
      <c r="Y1210" s="87">
        <v>0.0</v>
      </c>
      <c r="Z1210" s="87">
        <v>0.0</v>
      </c>
      <c r="AA1210" s="87">
        <v>15.2163</v>
      </c>
      <c r="AB1210" s="87">
        <v>13.7732</v>
      </c>
      <c r="AC1210" s="87">
        <v>2.371549</v>
      </c>
      <c r="AD1210" s="87">
        <v>0.0</v>
      </c>
      <c r="AE1210" s="87">
        <v>0.0</v>
      </c>
      <c r="AF1210" s="87">
        <v>0.0</v>
      </c>
      <c r="AG1210" s="87">
        <v>0.0</v>
      </c>
      <c r="AH1210" s="87">
        <v>0.0</v>
      </c>
      <c r="AI1210" s="87">
        <v>5.698004</v>
      </c>
      <c r="AJ1210" s="87">
        <v>5.701538</v>
      </c>
      <c r="AK1210" s="87">
        <v>3.029214</v>
      </c>
      <c r="AL1210" s="88" t="s">
        <v>1396</v>
      </c>
    </row>
    <row r="1211">
      <c r="A1211" s="84" t="s">
        <v>2975</v>
      </c>
      <c r="B1211" s="84" t="s">
        <v>3024</v>
      </c>
      <c r="C1211" s="84" t="s">
        <v>630</v>
      </c>
      <c r="D1211" s="84" t="s">
        <v>1096</v>
      </c>
      <c r="E1211" s="84" t="s">
        <v>1426</v>
      </c>
      <c r="F1211" s="87">
        <v>20.0</v>
      </c>
      <c r="G1211" s="87">
        <v>0.0</v>
      </c>
      <c r="H1211" s="87">
        <v>4541.0</v>
      </c>
      <c r="I1211" s="87">
        <v>0.0</v>
      </c>
      <c r="J1211" s="87">
        <v>56.48492</v>
      </c>
      <c r="K1211" s="87">
        <v>60.58428</v>
      </c>
      <c r="L1211" s="87">
        <v>59.58513</v>
      </c>
      <c r="M1211" s="87">
        <v>60.58428</v>
      </c>
      <c r="N1211" s="87">
        <v>1.0</v>
      </c>
      <c r="O1211" s="87">
        <v>0.0</v>
      </c>
      <c r="P1211" s="87">
        <v>0.0</v>
      </c>
      <c r="Q1211" s="87">
        <v>0.0</v>
      </c>
      <c r="R1211" s="87">
        <v>0.0</v>
      </c>
      <c r="S1211" s="87">
        <v>0.0</v>
      </c>
      <c r="T1211" s="87">
        <v>5.577823</v>
      </c>
      <c r="U1211" s="87">
        <v>5.577823</v>
      </c>
      <c r="V1211" s="87">
        <v>5.58828</v>
      </c>
      <c r="W1211" s="87">
        <v>18.00518</v>
      </c>
      <c r="X1211" s="87">
        <v>18.00518</v>
      </c>
      <c r="Y1211" s="87">
        <v>3.029214</v>
      </c>
      <c r="Z1211" s="87">
        <v>0.0</v>
      </c>
      <c r="AA1211" s="87">
        <v>5.58828</v>
      </c>
      <c r="AB1211" s="87">
        <v>1.468736</v>
      </c>
      <c r="AC1211" s="87">
        <v>3.029214</v>
      </c>
      <c r="AD1211" s="87">
        <v>1.586957</v>
      </c>
      <c r="AE1211" s="87">
        <v>17.68009</v>
      </c>
      <c r="AF1211" s="87">
        <v>32.52989</v>
      </c>
      <c r="AG1211" s="87">
        <v>25.33578</v>
      </c>
      <c r="AH1211" s="87">
        <v>0.0</v>
      </c>
      <c r="AI1211" s="87">
        <v>5.698004</v>
      </c>
      <c r="AJ1211" s="87">
        <v>5.701538</v>
      </c>
      <c r="AK1211" s="87">
        <v>3.029214</v>
      </c>
      <c r="AL1211" s="88" t="s">
        <v>1396</v>
      </c>
    </row>
    <row r="1212">
      <c r="A1212" s="84" t="s">
        <v>2977</v>
      </c>
      <c r="B1212" s="84" t="s">
        <v>3025</v>
      </c>
      <c r="C1212" s="84" t="s">
        <v>630</v>
      </c>
      <c r="D1212" s="84" t="s">
        <v>1096</v>
      </c>
      <c r="E1212" s="86">
        <v>46310.0</v>
      </c>
      <c r="F1212" s="87">
        <v>6.0</v>
      </c>
      <c r="G1212" s="87">
        <v>0.0</v>
      </c>
      <c r="H1212" s="87">
        <v>2825.0</v>
      </c>
      <c r="I1212" s="87">
        <v>0.0</v>
      </c>
      <c r="J1212" s="87">
        <v>17.22839</v>
      </c>
      <c r="K1212" s="87">
        <v>18.59194</v>
      </c>
      <c r="L1212" s="87">
        <v>20.59886</v>
      </c>
      <c r="M1212" s="87">
        <v>18.59194</v>
      </c>
      <c r="N1212" s="87">
        <v>1.0</v>
      </c>
      <c r="O1212" s="87">
        <v>0.0</v>
      </c>
      <c r="P1212" s="87">
        <v>0.0</v>
      </c>
      <c r="Q1212" s="87">
        <v>0.0</v>
      </c>
      <c r="R1212" s="87">
        <v>0.0</v>
      </c>
      <c r="S1212" s="87">
        <v>0.0</v>
      </c>
      <c r="T1212" s="87">
        <v>18.59194</v>
      </c>
      <c r="U1212" s="87">
        <v>18.59194</v>
      </c>
      <c r="V1212" s="87">
        <v>18.59194</v>
      </c>
      <c r="W1212" s="87">
        <v>18.59194</v>
      </c>
      <c r="X1212" s="87">
        <v>18.59194</v>
      </c>
      <c r="Y1212" s="87">
        <v>3.098657</v>
      </c>
      <c r="Z1212" s="87">
        <v>0.0</v>
      </c>
      <c r="AA1212" s="87">
        <v>5.58828</v>
      </c>
      <c r="AB1212" s="87">
        <v>1.468736</v>
      </c>
      <c r="AC1212" s="87">
        <v>3.029214</v>
      </c>
      <c r="AD1212" s="87">
        <v>1.025329</v>
      </c>
      <c r="AE1212" s="87">
        <v>5.936658</v>
      </c>
      <c r="AF1212" s="87">
        <v>6.491997</v>
      </c>
      <c r="AG1212" s="87">
        <v>3.098657</v>
      </c>
      <c r="AH1212" s="87">
        <v>0.0</v>
      </c>
      <c r="AI1212" s="87">
        <v>5.698004</v>
      </c>
      <c r="AJ1212" s="87">
        <v>5.701538</v>
      </c>
      <c r="AK1212" s="87">
        <v>3.029214</v>
      </c>
      <c r="AL1212" s="88" t="s">
        <v>1396</v>
      </c>
    </row>
    <row r="1213">
      <c r="A1213" s="84" t="s">
        <v>2979</v>
      </c>
      <c r="B1213" s="84" t="s">
        <v>3026</v>
      </c>
      <c r="C1213" s="84" t="s">
        <v>630</v>
      </c>
      <c r="D1213" s="84" t="s">
        <v>1096</v>
      </c>
      <c r="E1213" s="84" t="s">
        <v>1413</v>
      </c>
      <c r="F1213" s="87">
        <v>2.0</v>
      </c>
      <c r="G1213" s="87">
        <v>0.0</v>
      </c>
      <c r="H1213" s="87">
        <v>0.0</v>
      </c>
      <c r="I1213" s="87">
        <v>0.0</v>
      </c>
      <c r="J1213" s="87">
        <v>0.0</v>
      </c>
      <c r="K1213" s="87">
        <v>0.0</v>
      </c>
      <c r="L1213" s="87">
        <v>0.0</v>
      </c>
      <c r="M1213" s="87">
        <v>0.0</v>
      </c>
      <c r="N1213" s="87">
        <v>0.0</v>
      </c>
      <c r="O1213" s="87">
        <v>0.0</v>
      </c>
      <c r="P1213" s="87">
        <v>0.0</v>
      </c>
      <c r="Q1213" s="87">
        <v>0.0</v>
      </c>
      <c r="R1213" s="87">
        <v>0.0</v>
      </c>
      <c r="S1213" s="87">
        <v>0.0</v>
      </c>
      <c r="T1213" s="87">
        <v>0.0</v>
      </c>
      <c r="U1213" s="87">
        <v>0.0</v>
      </c>
      <c r="V1213" s="87">
        <v>0.0</v>
      </c>
      <c r="W1213" s="87">
        <v>0.0</v>
      </c>
      <c r="X1213" s="87">
        <v>0.0</v>
      </c>
      <c r="Y1213" s="87">
        <v>0.0</v>
      </c>
      <c r="Z1213" s="87">
        <v>0.0</v>
      </c>
      <c r="AA1213" s="87">
        <v>5.58828</v>
      </c>
      <c r="AB1213" s="87">
        <v>1.468736</v>
      </c>
      <c r="AC1213" s="87">
        <v>3.029214</v>
      </c>
      <c r="AD1213" s="87">
        <v>4.240611</v>
      </c>
      <c r="AE1213" s="87">
        <v>6.339258</v>
      </c>
      <c r="AF1213" s="87">
        <v>7.283869</v>
      </c>
      <c r="AG1213" s="87">
        <v>6.718884</v>
      </c>
      <c r="AH1213" s="87">
        <v>0.0</v>
      </c>
      <c r="AI1213" s="87">
        <v>5.698004</v>
      </c>
      <c r="AJ1213" s="87">
        <v>5.701538</v>
      </c>
      <c r="AK1213" s="87">
        <v>3.029214</v>
      </c>
      <c r="AL1213" s="88" t="s">
        <v>1396</v>
      </c>
    </row>
    <row r="1214">
      <c r="A1214" s="84" t="s">
        <v>2985</v>
      </c>
      <c r="B1214" s="84" t="s">
        <v>3027</v>
      </c>
      <c r="C1214" s="84" t="s">
        <v>630</v>
      </c>
      <c r="D1214" s="84" t="s">
        <v>1096</v>
      </c>
      <c r="E1214" s="89">
        <v>46300.0</v>
      </c>
      <c r="F1214" s="87">
        <v>20.0</v>
      </c>
      <c r="G1214" s="87">
        <v>0.0</v>
      </c>
      <c r="H1214" s="87">
        <v>12706.0</v>
      </c>
      <c r="I1214" s="87">
        <v>0.0</v>
      </c>
      <c r="J1214" s="87">
        <v>82.29258</v>
      </c>
      <c r="K1214" s="87">
        <v>91.19715</v>
      </c>
      <c r="L1214" s="87">
        <v>87.95247</v>
      </c>
      <c r="M1214" s="87">
        <v>52.74755</v>
      </c>
      <c r="N1214" s="87">
        <v>0.57839</v>
      </c>
      <c r="O1214" s="87">
        <v>0.0</v>
      </c>
      <c r="P1214" s="87">
        <v>0.0</v>
      </c>
      <c r="Q1214" s="87">
        <v>1.408819</v>
      </c>
      <c r="R1214" s="87">
        <v>3.679657</v>
      </c>
      <c r="S1214" s="87">
        <v>5.921039</v>
      </c>
      <c r="T1214" s="87">
        <v>1.696262</v>
      </c>
      <c r="U1214" s="87">
        <v>1.934493</v>
      </c>
      <c r="V1214" s="87">
        <v>3.679657</v>
      </c>
      <c r="W1214" s="87">
        <v>5.481139</v>
      </c>
      <c r="X1214" s="87">
        <v>7.507</v>
      </c>
      <c r="Y1214" s="87">
        <v>4.559857</v>
      </c>
      <c r="Z1214" s="87">
        <v>0.0</v>
      </c>
      <c r="AA1214" s="87">
        <v>5.58828</v>
      </c>
      <c r="AB1214" s="87">
        <v>1.468736</v>
      </c>
      <c r="AC1214" s="87">
        <v>3.029214</v>
      </c>
      <c r="AD1214" s="87">
        <v>2.325703</v>
      </c>
      <c r="AE1214" s="87">
        <v>5.646775</v>
      </c>
      <c r="AF1214" s="87">
        <v>10.35093</v>
      </c>
      <c r="AG1214" s="87">
        <v>11.10878</v>
      </c>
      <c r="AH1214" s="87">
        <v>0.0</v>
      </c>
      <c r="AI1214" s="87">
        <v>5.698004</v>
      </c>
      <c r="AJ1214" s="87">
        <v>5.701538</v>
      </c>
      <c r="AK1214" s="87">
        <v>3.029214</v>
      </c>
      <c r="AL1214" s="88" t="s">
        <v>1396</v>
      </c>
    </row>
    <row r="1215">
      <c r="A1215" s="84" t="s">
        <v>2972</v>
      </c>
      <c r="B1215" s="84" t="s">
        <v>3028</v>
      </c>
      <c r="C1215" s="84" t="s">
        <v>630</v>
      </c>
      <c r="D1215" s="84" t="s">
        <v>1096</v>
      </c>
      <c r="E1215" s="84" t="s">
        <v>1403</v>
      </c>
      <c r="F1215" s="87">
        <v>68.0</v>
      </c>
      <c r="G1215" s="87">
        <v>3.0</v>
      </c>
      <c r="H1215" s="87">
        <v>49.0</v>
      </c>
      <c r="I1215" s="87">
        <v>49.0</v>
      </c>
      <c r="J1215" s="87">
        <v>0.0</v>
      </c>
      <c r="K1215" s="87">
        <v>0.0</v>
      </c>
      <c r="L1215" s="87">
        <v>0.0</v>
      </c>
      <c r="M1215" s="87">
        <v>0.0</v>
      </c>
      <c r="N1215" s="87">
        <v>0.0</v>
      </c>
      <c r="O1215" s="87">
        <v>0.0</v>
      </c>
      <c r="P1215" s="87">
        <v>0.0</v>
      </c>
      <c r="Q1215" s="87">
        <v>0.0</v>
      </c>
      <c r="R1215" s="87">
        <v>0.0</v>
      </c>
      <c r="S1215" s="87">
        <v>0.0</v>
      </c>
      <c r="T1215" s="87">
        <v>0.0</v>
      </c>
      <c r="U1215" s="87">
        <v>0.0</v>
      </c>
      <c r="V1215" s="87">
        <v>0.0</v>
      </c>
      <c r="W1215" s="87">
        <v>0.0</v>
      </c>
      <c r="X1215" s="87">
        <v>0.0</v>
      </c>
      <c r="Y1215" s="87">
        <v>0.0</v>
      </c>
      <c r="Z1215" s="87">
        <v>0.0</v>
      </c>
      <c r="AA1215" s="87">
        <v>5.58828</v>
      </c>
      <c r="AB1215" s="87">
        <v>1.468736</v>
      </c>
      <c r="AC1215" s="87">
        <v>3.029214</v>
      </c>
      <c r="AD1215" s="87">
        <v>0.0</v>
      </c>
      <c r="AE1215" s="87">
        <v>0.0</v>
      </c>
      <c r="AF1215" s="87">
        <v>0.0</v>
      </c>
      <c r="AG1215" s="87">
        <v>0.0</v>
      </c>
      <c r="AH1215" s="87">
        <v>0.0</v>
      </c>
      <c r="AI1215" s="87">
        <v>5.698004</v>
      </c>
      <c r="AJ1215" s="87">
        <v>5.701538</v>
      </c>
      <c r="AK1215" s="87">
        <v>3.029214</v>
      </c>
      <c r="AL1215" s="88" t="s">
        <v>1396</v>
      </c>
    </row>
    <row r="1216">
      <c r="A1216" s="84" t="s">
        <v>3029</v>
      </c>
      <c r="B1216" s="84" t="s">
        <v>2996</v>
      </c>
      <c r="C1216" s="84" t="s">
        <v>3030</v>
      </c>
      <c r="D1216" s="84" t="s">
        <v>645</v>
      </c>
      <c r="E1216" s="86">
        <v>46310.0</v>
      </c>
      <c r="F1216" s="87">
        <v>1.0</v>
      </c>
      <c r="G1216" s="87">
        <v>0.0</v>
      </c>
      <c r="H1216" s="87">
        <v>0.0</v>
      </c>
      <c r="I1216" s="87">
        <v>0.0</v>
      </c>
      <c r="J1216" s="87">
        <v>0.0</v>
      </c>
      <c r="K1216" s="87">
        <v>0.25</v>
      </c>
      <c r="L1216" s="87">
        <v>0.17029</v>
      </c>
      <c r="M1216" s="87">
        <v>0.0</v>
      </c>
      <c r="N1216" s="87">
        <v>0.0</v>
      </c>
      <c r="O1216" s="87">
        <v>0.25</v>
      </c>
      <c r="P1216" s="87">
        <v>0.25</v>
      </c>
      <c r="Q1216" s="87">
        <v>0.25</v>
      </c>
      <c r="R1216" s="87">
        <v>0.25</v>
      </c>
      <c r="S1216" s="87">
        <v>0.25</v>
      </c>
      <c r="T1216" s="87">
        <v>0.25</v>
      </c>
      <c r="U1216" s="87">
        <v>0.25</v>
      </c>
      <c r="V1216" s="87">
        <v>0.25</v>
      </c>
      <c r="W1216" s="87">
        <v>0.25</v>
      </c>
      <c r="X1216" s="87">
        <v>0.25</v>
      </c>
      <c r="Y1216" s="87">
        <v>0.25</v>
      </c>
      <c r="Z1216" s="87">
        <v>0.0</v>
      </c>
      <c r="AA1216" s="87">
        <v>7.306161</v>
      </c>
      <c r="AB1216" s="87">
        <v>2.703241</v>
      </c>
      <c r="AC1216" s="87">
        <v>0.310145</v>
      </c>
      <c r="AD1216" s="87">
        <v>0.25</v>
      </c>
      <c r="AE1216" s="87">
        <v>0.25</v>
      </c>
      <c r="AF1216" s="87">
        <v>0.25</v>
      </c>
      <c r="AG1216" s="87">
        <v>0.25</v>
      </c>
      <c r="AH1216" s="87">
        <v>0.0</v>
      </c>
      <c r="AI1216" s="87">
        <v>0.25</v>
      </c>
      <c r="AJ1216" s="87">
        <v>0.041667</v>
      </c>
      <c r="AK1216" s="87">
        <v>0.0</v>
      </c>
      <c r="AL1216" s="88" t="s">
        <v>1396</v>
      </c>
    </row>
    <row r="1217">
      <c r="A1217" s="84" t="s">
        <v>3031</v>
      </c>
      <c r="B1217" s="84" t="s">
        <v>3032</v>
      </c>
      <c r="C1217" s="84" t="s">
        <v>3030</v>
      </c>
      <c r="D1217" s="84" t="s">
        <v>645</v>
      </c>
      <c r="E1217" s="84" t="s">
        <v>1400</v>
      </c>
      <c r="F1217" s="87">
        <v>1.0</v>
      </c>
      <c r="G1217" s="87">
        <v>0.0</v>
      </c>
      <c r="H1217" s="87">
        <v>0.0</v>
      </c>
      <c r="I1217" s="87">
        <v>0.0</v>
      </c>
      <c r="J1217" s="87">
        <v>0.0</v>
      </c>
      <c r="K1217" s="87">
        <v>0.0</v>
      </c>
      <c r="L1217" s="87">
        <v>1.291667</v>
      </c>
      <c r="M1217" s="87">
        <v>0.0</v>
      </c>
      <c r="N1217" s="87">
        <v>0.0</v>
      </c>
      <c r="O1217" s="87">
        <v>0.0</v>
      </c>
      <c r="P1217" s="87">
        <v>0.0</v>
      </c>
      <c r="Q1217" s="87">
        <v>0.0</v>
      </c>
      <c r="R1217" s="87">
        <v>0.0</v>
      </c>
      <c r="S1217" s="87">
        <v>0.0</v>
      </c>
      <c r="T1217" s="87">
        <v>0.0</v>
      </c>
      <c r="U1217" s="87">
        <v>0.0</v>
      </c>
      <c r="V1217" s="87">
        <v>0.0</v>
      </c>
      <c r="W1217" s="87">
        <v>0.0</v>
      </c>
      <c r="X1217" s="87">
        <v>0.0</v>
      </c>
      <c r="Y1217" s="87">
        <v>0.0</v>
      </c>
      <c r="Z1217" s="87">
        <v>0.0</v>
      </c>
      <c r="AA1217" s="87">
        <v>7.306161</v>
      </c>
      <c r="AB1217" s="87">
        <v>2.703241</v>
      </c>
      <c r="AC1217" s="87">
        <v>0.310145</v>
      </c>
      <c r="AD1217" s="87">
        <v>0.0</v>
      </c>
      <c r="AE1217" s="87">
        <v>0.0</v>
      </c>
      <c r="AF1217" s="87">
        <v>0.0</v>
      </c>
      <c r="AG1217" s="87">
        <v>0.0</v>
      </c>
      <c r="AH1217" s="87">
        <v>0.0</v>
      </c>
      <c r="AI1217" s="87">
        <v>0.25</v>
      </c>
      <c r="AJ1217" s="87">
        <v>0.041667</v>
      </c>
      <c r="AK1217" s="87">
        <v>0.0</v>
      </c>
      <c r="AL1217" s="88" t="s">
        <v>1396</v>
      </c>
    </row>
    <row r="1218">
      <c r="A1218" s="84" t="s">
        <v>3033</v>
      </c>
      <c r="B1218" s="84" t="s">
        <v>2997</v>
      </c>
      <c r="C1218" s="84" t="s">
        <v>3030</v>
      </c>
      <c r="D1218" s="84" t="s">
        <v>645</v>
      </c>
      <c r="E1218" s="86">
        <v>46300.0</v>
      </c>
      <c r="F1218" s="87">
        <v>1.0</v>
      </c>
      <c r="G1218" s="87">
        <v>0.0</v>
      </c>
      <c r="H1218" s="87">
        <v>0.0</v>
      </c>
      <c r="I1218" s="87">
        <v>0.0</v>
      </c>
      <c r="J1218" s="87">
        <v>0.0</v>
      </c>
      <c r="K1218" s="87">
        <v>0.0</v>
      </c>
      <c r="L1218" s="87">
        <v>0.333333</v>
      </c>
      <c r="M1218" s="87">
        <v>0.0</v>
      </c>
      <c r="N1218" s="87">
        <v>0.0</v>
      </c>
      <c r="O1218" s="87">
        <v>0.0</v>
      </c>
      <c r="P1218" s="87">
        <v>0.0</v>
      </c>
      <c r="Q1218" s="87">
        <v>0.0</v>
      </c>
      <c r="R1218" s="87">
        <v>0.0</v>
      </c>
      <c r="S1218" s="87">
        <v>0.0</v>
      </c>
      <c r="T1218" s="87">
        <v>0.0</v>
      </c>
      <c r="U1218" s="87">
        <v>0.0</v>
      </c>
      <c r="V1218" s="87">
        <v>0.0</v>
      </c>
      <c r="W1218" s="87">
        <v>0.0</v>
      </c>
      <c r="X1218" s="87">
        <v>0.0</v>
      </c>
      <c r="Y1218" s="87">
        <v>0.0</v>
      </c>
      <c r="Z1218" s="87">
        <v>0.0</v>
      </c>
      <c r="AA1218" s="87">
        <v>7.306161</v>
      </c>
      <c r="AB1218" s="87">
        <v>2.703241</v>
      </c>
      <c r="AC1218" s="87">
        <v>0.310145</v>
      </c>
      <c r="AD1218" s="87">
        <v>0.0</v>
      </c>
      <c r="AE1218" s="87">
        <v>0.0</v>
      </c>
      <c r="AF1218" s="87">
        <v>0.0</v>
      </c>
      <c r="AG1218" s="87">
        <v>0.0</v>
      </c>
      <c r="AH1218" s="87">
        <v>0.0</v>
      </c>
      <c r="AI1218" s="87">
        <v>0.25</v>
      </c>
      <c r="AJ1218" s="87">
        <v>0.041667</v>
      </c>
      <c r="AK1218" s="87">
        <v>0.0</v>
      </c>
      <c r="AL1218" s="88" t="s">
        <v>1396</v>
      </c>
    </row>
    <row r="1219">
      <c r="A1219" s="84" t="s">
        <v>3034</v>
      </c>
      <c r="B1219" s="84" t="s">
        <v>2998</v>
      </c>
      <c r="C1219" s="84" t="s">
        <v>3030</v>
      </c>
      <c r="D1219" s="84" t="s">
        <v>645</v>
      </c>
      <c r="E1219" s="84" t="s">
        <v>1403</v>
      </c>
      <c r="F1219" s="87">
        <v>3.0</v>
      </c>
      <c r="G1219" s="87">
        <v>0.0</v>
      </c>
      <c r="H1219" s="87">
        <v>0.0</v>
      </c>
      <c r="I1219" s="87">
        <v>0.0</v>
      </c>
      <c r="J1219" s="87">
        <v>0.0</v>
      </c>
      <c r="K1219" s="87">
        <v>0.0</v>
      </c>
      <c r="L1219" s="87">
        <v>0.0</v>
      </c>
      <c r="M1219" s="87">
        <v>0.0</v>
      </c>
      <c r="N1219" s="87">
        <v>0.0</v>
      </c>
      <c r="O1219" s="87">
        <v>0.0</v>
      </c>
      <c r="P1219" s="87">
        <v>0.0</v>
      </c>
      <c r="Q1219" s="87">
        <v>0.0</v>
      </c>
      <c r="R1219" s="87">
        <v>0.0</v>
      </c>
      <c r="S1219" s="87">
        <v>0.0</v>
      </c>
      <c r="T1219" s="87">
        <v>0.0</v>
      </c>
      <c r="U1219" s="87">
        <v>0.0</v>
      </c>
      <c r="V1219" s="87">
        <v>0.0</v>
      </c>
      <c r="W1219" s="87">
        <v>0.0</v>
      </c>
      <c r="X1219" s="87">
        <v>0.0</v>
      </c>
      <c r="Y1219" s="87">
        <v>0.0</v>
      </c>
      <c r="Z1219" s="87">
        <v>0.0</v>
      </c>
      <c r="AA1219" s="87">
        <v>7.306161</v>
      </c>
      <c r="AB1219" s="87">
        <v>2.703241</v>
      </c>
      <c r="AC1219" s="87">
        <v>0.310145</v>
      </c>
      <c r="AD1219" s="87">
        <v>0.0</v>
      </c>
      <c r="AE1219" s="87">
        <v>0.0</v>
      </c>
      <c r="AF1219" s="87">
        <v>0.0</v>
      </c>
      <c r="AG1219" s="87">
        <v>0.0</v>
      </c>
      <c r="AH1219" s="87">
        <v>0.0</v>
      </c>
      <c r="AI1219" s="87">
        <v>0.25</v>
      </c>
      <c r="AJ1219" s="87">
        <v>0.041667</v>
      </c>
      <c r="AK1219" s="87">
        <v>0.0</v>
      </c>
      <c r="AL1219" s="88" t="s">
        <v>1396</v>
      </c>
    </row>
    <row r="1220">
      <c r="A1220" s="84" t="s">
        <v>3035</v>
      </c>
      <c r="B1220" s="84" t="s">
        <v>3036</v>
      </c>
      <c r="C1220" s="84" t="s">
        <v>1122</v>
      </c>
      <c r="D1220" s="84" t="s">
        <v>1123</v>
      </c>
      <c r="E1220" s="86">
        <v>46310.0</v>
      </c>
      <c r="F1220" s="87">
        <v>2.0</v>
      </c>
      <c r="G1220" s="87">
        <v>0.0</v>
      </c>
      <c r="H1220" s="87">
        <v>269.0</v>
      </c>
      <c r="I1220" s="87">
        <v>0.0</v>
      </c>
      <c r="J1220" s="87">
        <v>1.326623</v>
      </c>
      <c r="K1220" s="87">
        <v>1.541529</v>
      </c>
      <c r="L1220" s="87">
        <v>1.287414</v>
      </c>
      <c r="M1220" s="87">
        <v>1.028037</v>
      </c>
      <c r="N1220" s="87">
        <v>0.666894</v>
      </c>
      <c r="O1220" s="87">
        <v>0.513492</v>
      </c>
      <c r="P1220" s="87">
        <v>0.513492</v>
      </c>
      <c r="Q1220" s="87">
        <v>0.513492</v>
      </c>
      <c r="R1220" s="87">
        <v>1.028037</v>
      </c>
      <c r="S1220" s="87">
        <v>1.028037</v>
      </c>
      <c r="T1220" s="87">
        <v>0.513492</v>
      </c>
      <c r="U1220" s="87">
        <v>0.513492</v>
      </c>
      <c r="V1220" s="87">
        <v>0.513492</v>
      </c>
      <c r="W1220" s="87">
        <v>1.028037</v>
      </c>
      <c r="X1220" s="87">
        <v>1.028037</v>
      </c>
      <c r="Y1220" s="87">
        <v>0.770765</v>
      </c>
      <c r="Z1220" s="87">
        <v>0.0</v>
      </c>
      <c r="AA1220" s="87">
        <v>0.14824</v>
      </c>
      <c r="AB1220" s="87">
        <v>0.117145</v>
      </c>
      <c r="AC1220" s="87">
        <v>0.3</v>
      </c>
      <c r="AD1220" s="87">
        <v>0.513492</v>
      </c>
      <c r="AE1220" s="87">
        <v>0.513492</v>
      </c>
      <c r="AF1220" s="87">
        <v>0.524954</v>
      </c>
      <c r="AG1220" s="87">
        <v>0.770765</v>
      </c>
      <c r="AH1220" s="87">
        <v>0.033333</v>
      </c>
      <c r="AI1220" s="87">
        <v>0.142857</v>
      </c>
      <c r="AJ1220" s="87">
        <v>0.151188</v>
      </c>
      <c r="AK1220" s="87">
        <v>0.08261</v>
      </c>
      <c r="AL1220" s="88" t="s">
        <v>1396</v>
      </c>
    </row>
    <row r="1221">
      <c r="A1221" s="84" t="s">
        <v>3037</v>
      </c>
      <c r="B1221" s="84" t="s">
        <v>3038</v>
      </c>
      <c r="C1221" s="84" t="s">
        <v>1122</v>
      </c>
      <c r="D1221" s="84" t="s">
        <v>1123</v>
      </c>
      <c r="E1221" s="84" t="s">
        <v>1413</v>
      </c>
      <c r="F1221" s="87">
        <v>2.0</v>
      </c>
      <c r="G1221" s="87">
        <v>0.0</v>
      </c>
      <c r="H1221" s="87">
        <v>192.0</v>
      </c>
      <c r="I1221" s="87">
        <v>0.0</v>
      </c>
      <c r="J1221" s="87">
        <v>0.761905</v>
      </c>
      <c r="K1221" s="87">
        <v>0.80049</v>
      </c>
      <c r="L1221" s="87">
        <v>1.637077</v>
      </c>
      <c r="M1221" s="87">
        <v>0.633824</v>
      </c>
      <c r="N1221" s="87">
        <v>0.791794</v>
      </c>
      <c r="O1221" s="87">
        <v>0.166667</v>
      </c>
      <c r="P1221" s="87">
        <v>0.166667</v>
      </c>
      <c r="Q1221" s="87">
        <v>0.166667</v>
      </c>
      <c r="R1221" s="87">
        <v>0.633824</v>
      </c>
      <c r="S1221" s="87">
        <v>0.633824</v>
      </c>
      <c r="T1221" s="87">
        <v>0.166667</v>
      </c>
      <c r="U1221" s="87">
        <v>0.166667</v>
      </c>
      <c r="V1221" s="87">
        <v>0.166667</v>
      </c>
      <c r="W1221" s="87">
        <v>0.633824</v>
      </c>
      <c r="X1221" s="87">
        <v>0.633824</v>
      </c>
      <c r="Y1221" s="87">
        <v>0.400245</v>
      </c>
      <c r="Z1221" s="87">
        <v>0.0</v>
      </c>
      <c r="AA1221" s="87">
        <v>0.14824</v>
      </c>
      <c r="AB1221" s="87">
        <v>0.117145</v>
      </c>
      <c r="AC1221" s="87">
        <v>0.3</v>
      </c>
      <c r="AD1221" s="87">
        <v>0.35</v>
      </c>
      <c r="AE1221" s="87">
        <v>0.35</v>
      </c>
      <c r="AF1221" s="87">
        <v>0.35667</v>
      </c>
      <c r="AG1221" s="87">
        <v>0.400245</v>
      </c>
      <c r="AH1221" s="87">
        <v>0.033333</v>
      </c>
      <c r="AI1221" s="87">
        <v>0.142857</v>
      </c>
      <c r="AJ1221" s="87">
        <v>0.151188</v>
      </c>
      <c r="AK1221" s="87">
        <v>0.08261</v>
      </c>
      <c r="AL1221" s="88" t="s">
        <v>1396</v>
      </c>
    </row>
    <row r="1222">
      <c r="A1222" s="84" t="s">
        <v>3039</v>
      </c>
      <c r="B1222" s="84" t="s">
        <v>3040</v>
      </c>
      <c r="C1222" s="84" t="s">
        <v>1122</v>
      </c>
      <c r="D1222" s="84" t="s">
        <v>1123</v>
      </c>
      <c r="E1222" s="84" t="s">
        <v>1398</v>
      </c>
      <c r="F1222" s="87">
        <v>1.0</v>
      </c>
      <c r="G1222" s="87">
        <v>0.0</v>
      </c>
      <c r="H1222" s="87">
        <v>41.0</v>
      </c>
      <c r="I1222" s="87">
        <v>0.0</v>
      </c>
      <c r="J1222" s="87">
        <v>0.071429</v>
      </c>
      <c r="K1222" s="87">
        <v>0.3</v>
      </c>
      <c r="L1222" s="87">
        <v>0.56794</v>
      </c>
      <c r="M1222" s="87">
        <v>0.3</v>
      </c>
      <c r="N1222" s="87">
        <v>1.0</v>
      </c>
      <c r="O1222" s="87">
        <v>0.3</v>
      </c>
      <c r="P1222" s="87">
        <v>0.3</v>
      </c>
      <c r="Q1222" s="87">
        <v>0.3</v>
      </c>
      <c r="R1222" s="87">
        <v>0.3</v>
      </c>
      <c r="S1222" s="87">
        <v>0.3</v>
      </c>
      <c r="T1222" s="87">
        <v>0.3</v>
      </c>
      <c r="U1222" s="87">
        <v>0.3</v>
      </c>
      <c r="V1222" s="87">
        <v>0.3</v>
      </c>
      <c r="W1222" s="87">
        <v>0.3</v>
      </c>
      <c r="X1222" s="87">
        <v>0.3</v>
      </c>
      <c r="Y1222" s="87">
        <v>0.3</v>
      </c>
      <c r="Z1222" s="87">
        <v>0.0</v>
      </c>
      <c r="AA1222" s="87">
        <v>0.14824</v>
      </c>
      <c r="AB1222" s="87">
        <v>0.117145</v>
      </c>
      <c r="AC1222" s="87">
        <v>0.3</v>
      </c>
      <c r="AD1222" s="87">
        <v>0.033333</v>
      </c>
      <c r="AE1222" s="87">
        <v>0.071429</v>
      </c>
      <c r="AF1222" s="87">
        <v>0.080952</v>
      </c>
      <c r="AG1222" s="87">
        <v>0.052381</v>
      </c>
      <c r="AH1222" s="87">
        <v>0.033333</v>
      </c>
      <c r="AI1222" s="87">
        <v>0.142857</v>
      </c>
      <c r="AJ1222" s="87">
        <v>0.151188</v>
      </c>
      <c r="AK1222" s="87">
        <v>0.08261</v>
      </c>
      <c r="AL1222" s="88" t="s">
        <v>1396</v>
      </c>
    </row>
    <row r="1223">
      <c r="A1223" s="84" t="s">
        <v>3041</v>
      </c>
      <c r="B1223" s="84" t="s">
        <v>3042</v>
      </c>
      <c r="C1223" s="84" t="s">
        <v>1122</v>
      </c>
      <c r="D1223" s="84" t="s">
        <v>1123</v>
      </c>
      <c r="E1223" s="84" t="s">
        <v>1400</v>
      </c>
      <c r="F1223" s="87">
        <v>35.0</v>
      </c>
      <c r="G1223" s="87">
        <v>9.0</v>
      </c>
      <c r="H1223" s="87">
        <v>5009.0</v>
      </c>
      <c r="I1223" s="87">
        <v>1053.0</v>
      </c>
      <c r="J1223" s="87">
        <v>4.733741</v>
      </c>
      <c r="K1223" s="87">
        <v>3.80096</v>
      </c>
      <c r="L1223" s="87">
        <v>4.645831</v>
      </c>
      <c r="M1223" s="87">
        <v>2.654233</v>
      </c>
      <c r="N1223" s="87">
        <v>0.698306</v>
      </c>
      <c r="O1223" s="87">
        <v>0.0</v>
      </c>
      <c r="P1223" s="87">
        <v>0.0</v>
      </c>
      <c r="Q1223" s="87">
        <v>0.0</v>
      </c>
      <c r="R1223" s="87">
        <v>0.034483</v>
      </c>
      <c r="S1223" s="87">
        <v>0.1</v>
      </c>
      <c r="T1223" s="87">
        <v>0.033333</v>
      </c>
      <c r="U1223" s="87">
        <v>0.034483</v>
      </c>
      <c r="V1223" s="87">
        <v>0.066667</v>
      </c>
      <c r="W1223" s="87">
        <v>0.1</v>
      </c>
      <c r="X1223" s="87">
        <v>0.196256</v>
      </c>
      <c r="Y1223" s="87">
        <v>0.108599</v>
      </c>
      <c r="Z1223" s="87">
        <v>0.0</v>
      </c>
      <c r="AA1223" s="87">
        <v>0.14824</v>
      </c>
      <c r="AB1223" s="87">
        <v>0.117145</v>
      </c>
      <c r="AC1223" s="87">
        <v>0.3</v>
      </c>
      <c r="AD1223" s="87">
        <v>0.04</v>
      </c>
      <c r="AE1223" s="87">
        <v>0.1</v>
      </c>
      <c r="AF1223" s="87">
        <v>0.179441</v>
      </c>
      <c r="AG1223" s="87">
        <v>0.108599</v>
      </c>
      <c r="AH1223" s="87">
        <v>0.033333</v>
      </c>
      <c r="AI1223" s="87">
        <v>0.142857</v>
      </c>
      <c r="AJ1223" s="87">
        <v>0.151188</v>
      </c>
      <c r="AK1223" s="87">
        <v>0.08261</v>
      </c>
      <c r="AL1223" s="88" t="s">
        <v>1396</v>
      </c>
    </row>
    <row r="1224">
      <c r="A1224" s="84" t="s">
        <v>3043</v>
      </c>
      <c r="B1224" s="84" t="s">
        <v>3044</v>
      </c>
      <c r="C1224" s="84" t="s">
        <v>1122</v>
      </c>
      <c r="D1224" s="84" t="s">
        <v>1123</v>
      </c>
      <c r="E1224" s="84" t="s">
        <v>1403</v>
      </c>
      <c r="F1224" s="87">
        <v>15.0</v>
      </c>
      <c r="G1224" s="87">
        <v>3.0</v>
      </c>
      <c r="H1224" s="87">
        <v>301.0</v>
      </c>
      <c r="I1224" s="87">
        <v>301.0</v>
      </c>
      <c r="J1224" s="87">
        <v>0.0</v>
      </c>
      <c r="K1224" s="87">
        <v>0.0</v>
      </c>
      <c r="L1224" s="87">
        <v>0.0</v>
      </c>
      <c r="M1224" s="87">
        <v>0.0</v>
      </c>
      <c r="N1224" s="87">
        <v>0.0</v>
      </c>
      <c r="O1224" s="87">
        <v>0.0</v>
      </c>
      <c r="P1224" s="87">
        <v>0.0</v>
      </c>
      <c r="Q1224" s="87">
        <v>0.0</v>
      </c>
      <c r="R1224" s="87">
        <v>0.0</v>
      </c>
      <c r="S1224" s="87">
        <v>0.0</v>
      </c>
      <c r="T1224" s="87">
        <v>0.0</v>
      </c>
      <c r="U1224" s="87">
        <v>0.0</v>
      </c>
      <c r="V1224" s="87">
        <v>0.0</v>
      </c>
      <c r="W1224" s="87">
        <v>0.0</v>
      </c>
      <c r="X1224" s="87">
        <v>0.0</v>
      </c>
      <c r="Y1224" s="87">
        <v>0.0</v>
      </c>
      <c r="Z1224" s="87">
        <v>0.0</v>
      </c>
      <c r="AA1224" s="87">
        <v>0.14824</v>
      </c>
      <c r="AB1224" s="87">
        <v>0.117145</v>
      </c>
      <c r="AC1224" s="87">
        <v>0.3</v>
      </c>
      <c r="AD1224" s="87">
        <v>0.0</v>
      </c>
      <c r="AE1224" s="87">
        <v>0.0</v>
      </c>
      <c r="AF1224" s="87">
        <v>0.0</v>
      </c>
      <c r="AG1224" s="87">
        <v>0.0</v>
      </c>
      <c r="AH1224" s="87">
        <v>0.033333</v>
      </c>
      <c r="AI1224" s="87">
        <v>0.142857</v>
      </c>
      <c r="AJ1224" s="87">
        <v>0.151188</v>
      </c>
      <c r="AK1224" s="87">
        <v>0.08261</v>
      </c>
      <c r="AL1224" s="88" t="s">
        <v>1396</v>
      </c>
    </row>
    <row r="1225">
      <c r="A1225" s="84" t="s">
        <v>3041</v>
      </c>
      <c r="B1225" s="84" t="s">
        <v>3045</v>
      </c>
      <c r="C1225" s="84" t="s">
        <v>1122</v>
      </c>
      <c r="D1225" s="84" t="s">
        <v>3046</v>
      </c>
      <c r="E1225" s="84" t="s">
        <v>1400</v>
      </c>
      <c r="F1225" s="87">
        <v>4.0</v>
      </c>
      <c r="G1225" s="87">
        <v>0.0</v>
      </c>
      <c r="H1225" s="87">
        <v>335.0</v>
      </c>
      <c r="I1225" s="87">
        <v>0.0</v>
      </c>
      <c r="J1225" s="87">
        <v>0.142857</v>
      </c>
      <c r="K1225" s="87">
        <v>0.279721</v>
      </c>
      <c r="L1225" s="87">
        <v>0.15278</v>
      </c>
      <c r="M1225" s="87">
        <v>0.142857</v>
      </c>
      <c r="N1225" s="87">
        <v>0.510713</v>
      </c>
      <c r="O1225" s="87">
        <v>0.0</v>
      </c>
      <c r="P1225" s="87">
        <v>0.0</v>
      </c>
      <c r="Q1225" s="87">
        <v>0.066667</v>
      </c>
      <c r="R1225" s="87">
        <v>0.070197</v>
      </c>
      <c r="S1225" s="87">
        <v>0.070197</v>
      </c>
      <c r="T1225" s="87">
        <v>0.066667</v>
      </c>
      <c r="U1225" s="87">
        <v>0.066667</v>
      </c>
      <c r="V1225" s="87">
        <v>0.066667</v>
      </c>
      <c r="W1225" s="87">
        <v>0.070197</v>
      </c>
      <c r="X1225" s="87">
        <v>0.142857</v>
      </c>
      <c r="Y1225" s="87">
        <v>0.06993</v>
      </c>
      <c r="Z1225" s="87">
        <v>0.066667</v>
      </c>
      <c r="AA1225" s="87">
        <v>0.070197</v>
      </c>
      <c r="AB1225" s="87">
        <v>0.055944</v>
      </c>
      <c r="AC1225" s="87">
        <v>0.06993</v>
      </c>
      <c r="AD1225" s="87">
        <v>0.04</v>
      </c>
      <c r="AE1225" s="87">
        <v>0.1</v>
      </c>
      <c r="AF1225" s="87">
        <v>0.179441</v>
      </c>
      <c r="AG1225" s="87">
        <v>0.108599</v>
      </c>
      <c r="AH1225" s="87">
        <v>0.033333</v>
      </c>
      <c r="AI1225" s="87">
        <v>0.142857</v>
      </c>
      <c r="AJ1225" s="87">
        <v>0.151188</v>
      </c>
      <c r="AK1225" s="87">
        <v>0.08261</v>
      </c>
      <c r="AL1225" s="88" t="s">
        <v>1396</v>
      </c>
    </row>
    <row r="1226">
      <c r="A1226" s="84" t="s">
        <v>3043</v>
      </c>
      <c r="B1226" s="84" t="s">
        <v>3047</v>
      </c>
      <c r="C1226" s="84" t="s">
        <v>1122</v>
      </c>
      <c r="D1226" s="84" t="s">
        <v>3046</v>
      </c>
      <c r="E1226" s="84" t="s">
        <v>1403</v>
      </c>
      <c r="F1226" s="87">
        <v>1.0</v>
      </c>
      <c r="G1226" s="87">
        <v>1.0</v>
      </c>
      <c r="H1226" s="87">
        <v>31.0</v>
      </c>
      <c r="I1226" s="87">
        <v>31.0</v>
      </c>
      <c r="J1226" s="87">
        <v>0.0</v>
      </c>
      <c r="K1226" s="87">
        <v>0.0</v>
      </c>
      <c r="L1226" s="87">
        <v>0.0</v>
      </c>
      <c r="M1226" s="87">
        <v>0.0</v>
      </c>
      <c r="N1226" s="87">
        <v>0.0</v>
      </c>
      <c r="O1226" s="87">
        <v>0.0</v>
      </c>
      <c r="P1226" s="87">
        <v>0.0</v>
      </c>
      <c r="Q1226" s="87">
        <v>0.0</v>
      </c>
      <c r="R1226" s="87">
        <v>0.0</v>
      </c>
      <c r="S1226" s="87">
        <v>0.0</v>
      </c>
      <c r="T1226" s="87">
        <v>0.0</v>
      </c>
      <c r="U1226" s="87">
        <v>0.0</v>
      </c>
      <c r="V1226" s="87">
        <v>0.0</v>
      </c>
      <c r="W1226" s="87">
        <v>0.0</v>
      </c>
      <c r="X1226" s="87">
        <v>0.0</v>
      </c>
      <c r="Y1226" s="87">
        <v>0.0</v>
      </c>
      <c r="Z1226" s="87">
        <v>0.066667</v>
      </c>
      <c r="AA1226" s="87">
        <v>0.070197</v>
      </c>
      <c r="AB1226" s="87">
        <v>0.055944</v>
      </c>
      <c r="AC1226" s="87">
        <v>0.06993</v>
      </c>
      <c r="AD1226" s="87">
        <v>0.0</v>
      </c>
      <c r="AE1226" s="87">
        <v>0.0</v>
      </c>
      <c r="AF1226" s="87">
        <v>0.0</v>
      </c>
      <c r="AG1226" s="87">
        <v>0.0</v>
      </c>
      <c r="AH1226" s="87">
        <v>0.033333</v>
      </c>
      <c r="AI1226" s="87">
        <v>0.142857</v>
      </c>
      <c r="AJ1226" s="87">
        <v>0.151188</v>
      </c>
      <c r="AK1226" s="87">
        <v>0.08261</v>
      </c>
      <c r="AL1226" s="88" t="s">
        <v>1396</v>
      </c>
    </row>
    <row r="1227">
      <c r="A1227" s="84" t="s">
        <v>3037</v>
      </c>
      <c r="B1227" s="84" t="s">
        <v>3048</v>
      </c>
      <c r="C1227" s="84" t="s">
        <v>1122</v>
      </c>
      <c r="D1227" s="84" t="s">
        <v>3049</v>
      </c>
      <c r="E1227" s="84" t="s">
        <v>1413</v>
      </c>
      <c r="F1227" s="87">
        <v>2.0</v>
      </c>
      <c r="G1227" s="87">
        <v>0.0</v>
      </c>
      <c r="H1227" s="87">
        <v>208.0</v>
      </c>
      <c r="I1227" s="87">
        <v>0.0</v>
      </c>
      <c r="J1227" s="87">
        <v>0.357143</v>
      </c>
      <c r="K1227" s="87">
        <v>0.62619</v>
      </c>
      <c r="L1227" s="87">
        <v>0.641977</v>
      </c>
      <c r="M1227" s="87">
        <v>0.35</v>
      </c>
      <c r="N1227" s="87">
        <v>0.558935</v>
      </c>
      <c r="O1227" s="87">
        <v>0.27619</v>
      </c>
      <c r="P1227" s="87">
        <v>0.27619</v>
      </c>
      <c r="Q1227" s="87">
        <v>0.27619</v>
      </c>
      <c r="R1227" s="87">
        <v>0.35</v>
      </c>
      <c r="S1227" s="87">
        <v>0.35</v>
      </c>
      <c r="T1227" s="87">
        <v>0.27619</v>
      </c>
      <c r="U1227" s="87">
        <v>0.27619</v>
      </c>
      <c r="V1227" s="87">
        <v>0.27619</v>
      </c>
      <c r="W1227" s="87">
        <v>0.35</v>
      </c>
      <c r="X1227" s="87">
        <v>0.35</v>
      </c>
      <c r="Y1227" s="87">
        <v>0.313095</v>
      </c>
      <c r="Z1227" s="87">
        <v>0.032258</v>
      </c>
      <c r="AA1227" s="87">
        <v>0.27619</v>
      </c>
      <c r="AB1227" s="87">
        <v>0.273608</v>
      </c>
      <c r="AC1227" s="87">
        <v>0.313095</v>
      </c>
      <c r="AD1227" s="87">
        <v>0.35</v>
      </c>
      <c r="AE1227" s="87">
        <v>0.35</v>
      </c>
      <c r="AF1227" s="87">
        <v>0.35667</v>
      </c>
      <c r="AG1227" s="87">
        <v>0.400245</v>
      </c>
      <c r="AH1227" s="87">
        <v>0.033333</v>
      </c>
      <c r="AI1227" s="87">
        <v>0.142857</v>
      </c>
      <c r="AJ1227" s="87">
        <v>0.151188</v>
      </c>
      <c r="AK1227" s="87">
        <v>0.08261</v>
      </c>
      <c r="AL1227" s="88" t="s">
        <v>1396</v>
      </c>
    </row>
    <row r="1228">
      <c r="A1228" s="84" t="s">
        <v>3039</v>
      </c>
      <c r="B1228" s="84" t="s">
        <v>3050</v>
      </c>
      <c r="C1228" s="84" t="s">
        <v>1122</v>
      </c>
      <c r="D1228" s="84" t="s">
        <v>3049</v>
      </c>
      <c r="E1228" s="84" t="s">
        <v>1398</v>
      </c>
      <c r="F1228" s="87">
        <v>2.0</v>
      </c>
      <c r="G1228" s="87">
        <v>1.0</v>
      </c>
      <c r="H1228" s="87">
        <v>77.0</v>
      </c>
      <c r="I1228" s="87">
        <v>50.0</v>
      </c>
      <c r="J1228" s="87">
        <v>0.0</v>
      </c>
      <c r="K1228" s="87">
        <v>0.0</v>
      </c>
      <c r="L1228" s="87">
        <v>0.052381</v>
      </c>
      <c r="M1228" s="87">
        <v>0.0</v>
      </c>
      <c r="N1228" s="87">
        <v>0.0</v>
      </c>
      <c r="O1228" s="87">
        <v>0.0</v>
      </c>
      <c r="P1228" s="87">
        <v>0.0</v>
      </c>
      <c r="Q1228" s="87">
        <v>0.0</v>
      </c>
      <c r="R1228" s="87">
        <v>0.0</v>
      </c>
      <c r="S1228" s="87">
        <v>0.0</v>
      </c>
      <c r="T1228" s="87">
        <v>0.0</v>
      </c>
      <c r="U1228" s="87">
        <v>0.0</v>
      </c>
      <c r="V1228" s="87">
        <v>0.0</v>
      </c>
      <c r="W1228" s="87">
        <v>0.0</v>
      </c>
      <c r="X1228" s="87">
        <v>0.0</v>
      </c>
      <c r="Y1228" s="87">
        <v>0.0</v>
      </c>
      <c r="Z1228" s="87">
        <v>0.032258</v>
      </c>
      <c r="AA1228" s="87">
        <v>0.27619</v>
      </c>
      <c r="AB1228" s="87">
        <v>0.273608</v>
      </c>
      <c r="AC1228" s="87">
        <v>0.313095</v>
      </c>
      <c r="AD1228" s="87">
        <v>0.033333</v>
      </c>
      <c r="AE1228" s="87">
        <v>0.071429</v>
      </c>
      <c r="AF1228" s="87">
        <v>0.080952</v>
      </c>
      <c r="AG1228" s="87">
        <v>0.052381</v>
      </c>
      <c r="AH1228" s="87">
        <v>0.033333</v>
      </c>
      <c r="AI1228" s="87">
        <v>0.142857</v>
      </c>
      <c r="AJ1228" s="87">
        <v>0.151188</v>
      </c>
      <c r="AK1228" s="87">
        <v>0.08261</v>
      </c>
      <c r="AL1228" s="88" t="s">
        <v>1396</v>
      </c>
    </row>
    <row r="1229">
      <c r="A1229" s="84" t="s">
        <v>3041</v>
      </c>
      <c r="B1229" s="84" t="s">
        <v>3051</v>
      </c>
      <c r="C1229" s="84" t="s">
        <v>1122</v>
      </c>
      <c r="D1229" s="84" t="s">
        <v>3049</v>
      </c>
      <c r="E1229" s="84" t="s">
        <v>1400</v>
      </c>
      <c r="F1229" s="87">
        <v>12.0</v>
      </c>
      <c r="G1229" s="87">
        <v>1.0</v>
      </c>
      <c r="H1229" s="87">
        <v>889.0</v>
      </c>
      <c r="I1229" s="87">
        <v>92.0</v>
      </c>
      <c r="J1229" s="87">
        <v>2.111111</v>
      </c>
      <c r="K1229" s="87">
        <v>5.393178</v>
      </c>
      <c r="L1229" s="87">
        <v>3.51655</v>
      </c>
      <c r="M1229" s="87">
        <v>4.609891</v>
      </c>
      <c r="N1229" s="87">
        <v>0.854763</v>
      </c>
      <c r="O1229" s="87">
        <v>0.0</v>
      </c>
      <c r="P1229" s="87">
        <v>0.0</v>
      </c>
      <c r="Q1229" s="87">
        <v>0.032258</v>
      </c>
      <c r="R1229" s="87">
        <v>0.04</v>
      </c>
      <c r="S1229" s="87">
        <v>0.444444</v>
      </c>
      <c r="T1229" s="87">
        <v>0.032258</v>
      </c>
      <c r="U1229" s="87">
        <v>0.033333</v>
      </c>
      <c r="V1229" s="87">
        <v>0.033333</v>
      </c>
      <c r="W1229" s="87">
        <v>0.199918</v>
      </c>
      <c r="X1229" s="87">
        <v>1.133333</v>
      </c>
      <c r="Y1229" s="87">
        <v>0.449431</v>
      </c>
      <c r="Z1229" s="87">
        <v>0.032258</v>
      </c>
      <c r="AA1229" s="87">
        <v>0.27619</v>
      </c>
      <c r="AB1229" s="87">
        <v>0.273608</v>
      </c>
      <c r="AC1229" s="87">
        <v>0.313095</v>
      </c>
      <c r="AD1229" s="87">
        <v>0.04</v>
      </c>
      <c r="AE1229" s="87">
        <v>0.1</v>
      </c>
      <c r="AF1229" s="87">
        <v>0.179441</v>
      </c>
      <c r="AG1229" s="87">
        <v>0.108599</v>
      </c>
      <c r="AH1229" s="87">
        <v>0.033333</v>
      </c>
      <c r="AI1229" s="87">
        <v>0.142857</v>
      </c>
      <c r="AJ1229" s="87">
        <v>0.151188</v>
      </c>
      <c r="AK1229" s="87">
        <v>0.08261</v>
      </c>
      <c r="AL1229" s="88" t="s">
        <v>1396</v>
      </c>
    </row>
    <row r="1230">
      <c r="A1230" s="84" t="s">
        <v>3043</v>
      </c>
      <c r="B1230" s="84" t="s">
        <v>3052</v>
      </c>
      <c r="C1230" s="84" t="s">
        <v>1122</v>
      </c>
      <c r="D1230" s="84" t="s">
        <v>3049</v>
      </c>
      <c r="E1230" s="84" t="s">
        <v>1403</v>
      </c>
      <c r="F1230" s="87">
        <v>6.0</v>
      </c>
      <c r="G1230" s="87">
        <v>1.0</v>
      </c>
      <c r="H1230" s="87">
        <v>47.0</v>
      </c>
      <c r="I1230" s="87">
        <v>47.0</v>
      </c>
      <c r="J1230" s="87">
        <v>0.0</v>
      </c>
      <c r="K1230" s="87">
        <v>0.0</v>
      </c>
      <c r="L1230" s="87">
        <v>0.0</v>
      </c>
      <c r="M1230" s="87">
        <v>0.0</v>
      </c>
      <c r="N1230" s="87">
        <v>0.0</v>
      </c>
      <c r="O1230" s="87">
        <v>0.0</v>
      </c>
      <c r="P1230" s="87">
        <v>0.0</v>
      </c>
      <c r="Q1230" s="87">
        <v>0.0</v>
      </c>
      <c r="R1230" s="87">
        <v>0.0</v>
      </c>
      <c r="S1230" s="87">
        <v>0.0</v>
      </c>
      <c r="T1230" s="87">
        <v>0.0</v>
      </c>
      <c r="U1230" s="87">
        <v>0.0</v>
      </c>
      <c r="V1230" s="87">
        <v>0.0</v>
      </c>
      <c r="W1230" s="87">
        <v>0.0</v>
      </c>
      <c r="X1230" s="87">
        <v>0.0</v>
      </c>
      <c r="Y1230" s="87">
        <v>0.0</v>
      </c>
      <c r="Z1230" s="87">
        <v>0.032258</v>
      </c>
      <c r="AA1230" s="87">
        <v>0.27619</v>
      </c>
      <c r="AB1230" s="87">
        <v>0.273608</v>
      </c>
      <c r="AC1230" s="87">
        <v>0.313095</v>
      </c>
      <c r="AD1230" s="87">
        <v>0.0</v>
      </c>
      <c r="AE1230" s="87">
        <v>0.0</v>
      </c>
      <c r="AF1230" s="87">
        <v>0.0</v>
      </c>
      <c r="AG1230" s="87">
        <v>0.0</v>
      </c>
      <c r="AH1230" s="87">
        <v>0.033333</v>
      </c>
      <c r="AI1230" s="87">
        <v>0.142857</v>
      </c>
      <c r="AJ1230" s="87">
        <v>0.151188</v>
      </c>
      <c r="AK1230" s="87">
        <v>0.08261</v>
      </c>
      <c r="AL1230" s="88" t="s">
        <v>1396</v>
      </c>
    </row>
    <row r="1231">
      <c r="A1231" s="84" t="s">
        <v>3041</v>
      </c>
      <c r="B1231" s="84" t="s">
        <v>3053</v>
      </c>
      <c r="C1231" s="84" t="s">
        <v>1122</v>
      </c>
      <c r="D1231" s="84" t="s">
        <v>3054</v>
      </c>
      <c r="E1231" s="84" t="s">
        <v>1400</v>
      </c>
      <c r="F1231" s="87">
        <v>7.0</v>
      </c>
      <c r="G1231" s="87">
        <v>0.0</v>
      </c>
      <c r="H1231" s="87">
        <v>785.0</v>
      </c>
      <c r="I1231" s="87">
        <v>0.0</v>
      </c>
      <c r="J1231" s="87">
        <v>1.310689</v>
      </c>
      <c r="K1231" s="87">
        <v>1.611528</v>
      </c>
      <c r="L1231" s="87">
        <v>1.569307</v>
      </c>
      <c r="M1231" s="87">
        <v>1.169902</v>
      </c>
      <c r="N1231" s="87">
        <v>0.725958</v>
      </c>
      <c r="O1231" s="87">
        <v>0.0</v>
      </c>
      <c r="P1231" s="87">
        <v>0.0</v>
      </c>
      <c r="Q1231" s="87">
        <v>0.034483</v>
      </c>
      <c r="R1231" s="87">
        <v>0.069048</v>
      </c>
      <c r="S1231" s="87">
        <v>0.338095</v>
      </c>
      <c r="T1231" s="87">
        <v>0.034483</v>
      </c>
      <c r="U1231" s="87">
        <v>0.069048</v>
      </c>
      <c r="V1231" s="87">
        <v>0.069048</v>
      </c>
      <c r="W1231" s="87">
        <v>0.338095</v>
      </c>
      <c r="X1231" s="87">
        <v>0.415975</v>
      </c>
      <c r="Y1231" s="87">
        <v>0.230218</v>
      </c>
      <c r="Z1231" s="87">
        <v>0.069048</v>
      </c>
      <c r="AA1231" s="87">
        <v>0.338095</v>
      </c>
      <c r="AB1231" s="87">
        <v>0.201441</v>
      </c>
      <c r="AC1231" s="87">
        <v>0.230218</v>
      </c>
      <c r="AD1231" s="87">
        <v>0.04</v>
      </c>
      <c r="AE1231" s="87">
        <v>0.1</v>
      </c>
      <c r="AF1231" s="87">
        <v>0.179441</v>
      </c>
      <c r="AG1231" s="87">
        <v>0.108599</v>
      </c>
      <c r="AH1231" s="87">
        <v>0.033333</v>
      </c>
      <c r="AI1231" s="87">
        <v>0.142857</v>
      </c>
      <c r="AJ1231" s="87">
        <v>0.151188</v>
      </c>
      <c r="AK1231" s="87">
        <v>0.08261</v>
      </c>
      <c r="AL1231" s="88" t="s">
        <v>1396</v>
      </c>
    </row>
    <row r="1232">
      <c r="A1232" s="84" t="s">
        <v>3043</v>
      </c>
      <c r="B1232" s="84" t="s">
        <v>3055</v>
      </c>
      <c r="C1232" s="84" t="s">
        <v>1122</v>
      </c>
      <c r="D1232" s="84" t="s">
        <v>3054</v>
      </c>
      <c r="E1232" s="84" t="s">
        <v>1403</v>
      </c>
      <c r="F1232" s="87">
        <v>1.0</v>
      </c>
      <c r="G1232" s="87">
        <v>0.0</v>
      </c>
      <c r="H1232" s="87">
        <v>0.0</v>
      </c>
      <c r="I1232" s="87">
        <v>0.0</v>
      </c>
      <c r="J1232" s="87">
        <v>0.0</v>
      </c>
      <c r="K1232" s="87">
        <v>0.0</v>
      </c>
      <c r="L1232" s="87">
        <v>0.0</v>
      </c>
      <c r="M1232" s="87">
        <v>0.0</v>
      </c>
      <c r="N1232" s="87">
        <v>0.0</v>
      </c>
      <c r="O1232" s="87">
        <v>0.0</v>
      </c>
      <c r="P1232" s="87">
        <v>0.0</v>
      </c>
      <c r="Q1232" s="87">
        <v>0.0</v>
      </c>
      <c r="R1232" s="87">
        <v>0.0</v>
      </c>
      <c r="S1232" s="87">
        <v>0.0</v>
      </c>
      <c r="T1232" s="87">
        <v>0.0</v>
      </c>
      <c r="U1232" s="87">
        <v>0.0</v>
      </c>
      <c r="V1232" s="87">
        <v>0.0</v>
      </c>
      <c r="W1232" s="87">
        <v>0.0</v>
      </c>
      <c r="X1232" s="87">
        <v>0.0</v>
      </c>
      <c r="Y1232" s="87">
        <v>0.0</v>
      </c>
      <c r="Z1232" s="87">
        <v>0.069048</v>
      </c>
      <c r="AA1232" s="87">
        <v>0.338095</v>
      </c>
      <c r="AB1232" s="87">
        <v>0.201441</v>
      </c>
      <c r="AC1232" s="87">
        <v>0.230218</v>
      </c>
      <c r="AD1232" s="87">
        <v>0.0</v>
      </c>
      <c r="AE1232" s="87">
        <v>0.0</v>
      </c>
      <c r="AF1232" s="87">
        <v>0.0</v>
      </c>
      <c r="AG1232" s="87">
        <v>0.0</v>
      </c>
      <c r="AH1232" s="87">
        <v>0.033333</v>
      </c>
      <c r="AI1232" s="87">
        <v>0.142857</v>
      </c>
      <c r="AJ1232" s="87">
        <v>0.151188</v>
      </c>
      <c r="AK1232" s="87">
        <v>0.08261</v>
      </c>
      <c r="AL1232" s="88" t="s">
        <v>1396</v>
      </c>
    </row>
    <row r="1233">
      <c r="A1233" s="84" t="s">
        <v>3035</v>
      </c>
      <c r="B1233" s="84" t="s">
        <v>3056</v>
      </c>
      <c r="C1233" s="84" t="s">
        <v>1122</v>
      </c>
      <c r="D1233" s="84" t="s">
        <v>3057</v>
      </c>
      <c r="E1233" s="89">
        <v>46310.0</v>
      </c>
      <c r="F1233" s="87">
        <v>1.0</v>
      </c>
      <c r="G1233" s="87">
        <v>0.0</v>
      </c>
      <c r="H1233" s="87">
        <v>31.0</v>
      </c>
      <c r="I1233" s="87">
        <v>0.0</v>
      </c>
      <c r="J1233" s="87">
        <v>0.0</v>
      </c>
      <c r="K1233" s="87">
        <v>0.033333</v>
      </c>
      <c r="L1233" s="87">
        <v>0.033333</v>
      </c>
      <c r="M1233" s="87">
        <v>0.033333</v>
      </c>
      <c r="N1233" s="87">
        <v>1.0</v>
      </c>
      <c r="O1233" s="87">
        <v>0.033333</v>
      </c>
      <c r="P1233" s="87">
        <v>0.033333</v>
      </c>
      <c r="Q1233" s="87">
        <v>0.033333</v>
      </c>
      <c r="R1233" s="87">
        <v>0.033333</v>
      </c>
      <c r="S1233" s="87">
        <v>0.033333</v>
      </c>
      <c r="T1233" s="87">
        <v>0.033333</v>
      </c>
      <c r="U1233" s="87">
        <v>0.033333</v>
      </c>
      <c r="V1233" s="87">
        <v>0.033333</v>
      </c>
      <c r="W1233" s="87">
        <v>0.033333</v>
      </c>
      <c r="X1233" s="87">
        <v>0.033333</v>
      </c>
      <c r="Y1233" s="87">
        <v>0.033333</v>
      </c>
      <c r="Z1233" s="87">
        <v>0.033333</v>
      </c>
      <c r="AA1233" s="87">
        <v>0.1</v>
      </c>
      <c r="AB1233" s="87">
        <v>0.083306</v>
      </c>
      <c r="AC1233" s="87">
        <v>0.08261</v>
      </c>
      <c r="AD1233" s="87">
        <v>0.513492</v>
      </c>
      <c r="AE1233" s="87">
        <v>0.513492</v>
      </c>
      <c r="AF1233" s="87">
        <v>0.524954</v>
      </c>
      <c r="AG1233" s="87">
        <v>0.770765</v>
      </c>
      <c r="AH1233" s="87">
        <v>0.033333</v>
      </c>
      <c r="AI1233" s="87">
        <v>0.142857</v>
      </c>
      <c r="AJ1233" s="87">
        <v>0.151188</v>
      </c>
      <c r="AK1233" s="87">
        <v>0.08261</v>
      </c>
      <c r="AL1233" s="88" t="s">
        <v>1396</v>
      </c>
    </row>
    <row r="1234">
      <c r="A1234" s="84" t="s">
        <v>3039</v>
      </c>
      <c r="B1234" s="84" t="s">
        <v>3058</v>
      </c>
      <c r="C1234" s="84" t="s">
        <v>1122</v>
      </c>
      <c r="D1234" s="84" t="s">
        <v>3057</v>
      </c>
      <c r="E1234" s="84" t="s">
        <v>1398</v>
      </c>
      <c r="F1234" s="87">
        <v>2.0</v>
      </c>
      <c r="G1234" s="87">
        <v>0.0</v>
      </c>
      <c r="H1234" s="87">
        <v>102.0</v>
      </c>
      <c r="I1234" s="87">
        <v>0.0</v>
      </c>
      <c r="J1234" s="87">
        <v>0.238095</v>
      </c>
      <c r="K1234" s="87">
        <v>0.104762</v>
      </c>
      <c r="L1234" s="87">
        <v>0.273768</v>
      </c>
      <c r="M1234" s="87">
        <v>0.071429</v>
      </c>
      <c r="N1234" s="87">
        <v>0.681818</v>
      </c>
      <c r="O1234" s="87">
        <v>0.033333</v>
      </c>
      <c r="P1234" s="87">
        <v>0.033333</v>
      </c>
      <c r="Q1234" s="87">
        <v>0.033333</v>
      </c>
      <c r="R1234" s="87">
        <v>0.071429</v>
      </c>
      <c r="S1234" s="87">
        <v>0.071429</v>
      </c>
      <c r="T1234" s="87">
        <v>0.033333</v>
      </c>
      <c r="U1234" s="87">
        <v>0.033333</v>
      </c>
      <c r="V1234" s="87">
        <v>0.033333</v>
      </c>
      <c r="W1234" s="87">
        <v>0.071429</v>
      </c>
      <c r="X1234" s="87">
        <v>0.071429</v>
      </c>
      <c r="Y1234" s="87">
        <v>0.052381</v>
      </c>
      <c r="Z1234" s="87">
        <v>0.033333</v>
      </c>
      <c r="AA1234" s="87">
        <v>0.1</v>
      </c>
      <c r="AB1234" s="87">
        <v>0.083306</v>
      </c>
      <c r="AC1234" s="87">
        <v>0.08261</v>
      </c>
      <c r="AD1234" s="87">
        <v>0.033333</v>
      </c>
      <c r="AE1234" s="87">
        <v>0.071429</v>
      </c>
      <c r="AF1234" s="87">
        <v>0.080952</v>
      </c>
      <c r="AG1234" s="87">
        <v>0.052381</v>
      </c>
      <c r="AH1234" s="87">
        <v>0.033333</v>
      </c>
      <c r="AI1234" s="87">
        <v>0.142857</v>
      </c>
      <c r="AJ1234" s="87">
        <v>0.151188</v>
      </c>
      <c r="AK1234" s="87">
        <v>0.08261</v>
      </c>
      <c r="AL1234" s="88" t="s">
        <v>1396</v>
      </c>
    </row>
    <row r="1235">
      <c r="A1235" s="84" t="s">
        <v>3041</v>
      </c>
      <c r="B1235" s="84" t="s">
        <v>3059</v>
      </c>
      <c r="C1235" s="84" t="s">
        <v>1122</v>
      </c>
      <c r="D1235" s="84" t="s">
        <v>3057</v>
      </c>
      <c r="E1235" s="84" t="s">
        <v>1400</v>
      </c>
      <c r="F1235" s="87">
        <v>7.0</v>
      </c>
      <c r="G1235" s="87">
        <v>1.0</v>
      </c>
      <c r="H1235" s="87">
        <v>654.0</v>
      </c>
      <c r="I1235" s="87">
        <v>169.0</v>
      </c>
      <c r="J1235" s="87">
        <v>1.392857</v>
      </c>
      <c r="K1235" s="87">
        <v>0.578268</v>
      </c>
      <c r="L1235" s="87">
        <v>0.822581</v>
      </c>
      <c r="M1235" s="87">
        <v>0.444935</v>
      </c>
      <c r="N1235" s="87">
        <v>0.769426</v>
      </c>
      <c r="O1235" s="87">
        <v>0.0</v>
      </c>
      <c r="P1235" s="87">
        <v>0.0</v>
      </c>
      <c r="Q1235" s="87">
        <v>0.0</v>
      </c>
      <c r="R1235" s="87">
        <v>0.033333</v>
      </c>
      <c r="S1235" s="87">
        <v>0.1</v>
      </c>
      <c r="T1235" s="87">
        <v>0.033333</v>
      </c>
      <c r="U1235" s="87">
        <v>0.033333</v>
      </c>
      <c r="V1235" s="87">
        <v>0.1</v>
      </c>
      <c r="W1235" s="87">
        <v>0.116667</v>
      </c>
      <c r="X1235" s="87">
        <v>0.116667</v>
      </c>
      <c r="Y1235" s="87">
        <v>0.08261</v>
      </c>
      <c r="Z1235" s="87">
        <v>0.033333</v>
      </c>
      <c r="AA1235" s="87">
        <v>0.1</v>
      </c>
      <c r="AB1235" s="87">
        <v>0.083306</v>
      </c>
      <c r="AC1235" s="87">
        <v>0.08261</v>
      </c>
      <c r="AD1235" s="87">
        <v>0.04</v>
      </c>
      <c r="AE1235" s="87">
        <v>0.1</v>
      </c>
      <c r="AF1235" s="87">
        <v>0.179441</v>
      </c>
      <c r="AG1235" s="87">
        <v>0.108599</v>
      </c>
      <c r="AH1235" s="87">
        <v>0.033333</v>
      </c>
      <c r="AI1235" s="87">
        <v>0.142857</v>
      </c>
      <c r="AJ1235" s="87">
        <v>0.151188</v>
      </c>
      <c r="AK1235" s="87">
        <v>0.08261</v>
      </c>
      <c r="AL1235" s="88" t="s">
        <v>1396</v>
      </c>
    </row>
    <row r="1236">
      <c r="A1236" s="84" t="s">
        <v>3060</v>
      </c>
      <c r="B1236" s="84" t="s">
        <v>3061</v>
      </c>
      <c r="C1236" s="84" t="s">
        <v>1122</v>
      </c>
      <c r="D1236" s="84" t="s">
        <v>3057</v>
      </c>
      <c r="E1236" s="89">
        <v>46300.0</v>
      </c>
      <c r="F1236" s="87">
        <v>1.0</v>
      </c>
      <c r="G1236" s="87">
        <v>0.0</v>
      </c>
      <c r="H1236" s="87">
        <v>32.0</v>
      </c>
      <c r="I1236" s="87">
        <v>0.0</v>
      </c>
      <c r="J1236" s="87">
        <v>0.0</v>
      </c>
      <c r="K1236" s="87">
        <v>0.2</v>
      </c>
      <c r="L1236" s="87">
        <v>0.17465</v>
      </c>
      <c r="M1236" s="87">
        <v>0.2</v>
      </c>
      <c r="N1236" s="87">
        <v>1.0</v>
      </c>
      <c r="O1236" s="87">
        <v>0.2</v>
      </c>
      <c r="P1236" s="87">
        <v>0.2</v>
      </c>
      <c r="Q1236" s="87">
        <v>0.2</v>
      </c>
      <c r="R1236" s="87">
        <v>0.2</v>
      </c>
      <c r="S1236" s="87">
        <v>0.2</v>
      </c>
      <c r="T1236" s="87">
        <v>0.2</v>
      </c>
      <c r="U1236" s="87">
        <v>0.2</v>
      </c>
      <c r="V1236" s="87">
        <v>0.2</v>
      </c>
      <c r="W1236" s="87">
        <v>0.2</v>
      </c>
      <c r="X1236" s="87">
        <v>0.2</v>
      </c>
      <c r="Y1236" s="87">
        <v>0.2</v>
      </c>
      <c r="Z1236" s="87">
        <v>0.033333</v>
      </c>
      <c r="AA1236" s="87">
        <v>0.1</v>
      </c>
      <c r="AB1236" s="87">
        <v>0.083306</v>
      </c>
      <c r="AC1236" s="87">
        <v>0.08261</v>
      </c>
      <c r="AD1236" s="87">
        <v>0.2</v>
      </c>
      <c r="AE1236" s="87">
        <v>0.2</v>
      </c>
      <c r="AF1236" s="87">
        <v>0.2</v>
      </c>
      <c r="AG1236" s="87">
        <v>0.2</v>
      </c>
      <c r="AH1236" s="87">
        <v>0.033333</v>
      </c>
      <c r="AI1236" s="87">
        <v>0.142857</v>
      </c>
      <c r="AJ1236" s="87">
        <v>0.151188</v>
      </c>
      <c r="AK1236" s="87">
        <v>0.08261</v>
      </c>
      <c r="AL1236" s="88" t="s">
        <v>1396</v>
      </c>
    </row>
    <row r="1237">
      <c r="A1237" s="84" t="s">
        <v>3062</v>
      </c>
      <c r="B1237" s="84" t="s">
        <v>3063</v>
      </c>
      <c r="C1237" s="84" t="s">
        <v>1130</v>
      </c>
      <c r="D1237" s="84" t="s">
        <v>2425</v>
      </c>
      <c r="E1237" s="84" t="s">
        <v>1426</v>
      </c>
      <c r="F1237" s="87">
        <v>1.0</v>
      </c>
      <c r="G1237" s="87">
        <v>0.0</v>
      </c>
      <c r="H1237" s="87">
        <v>385.0</v>
      </c>
      <c r="I1237" s="87">
        <v>0.0</v>
      </c>
      <c r="J1237" s="87">
        <v>0.857143</v>
      </c>
      <c r="K1237" s="87">
        <v>1.213376</v>
      </c>
      <c r="L1237" s="87">
        <v>1.139652</v>
      </c>
      <c r="M1237" s="87">
        <v>1.213376</v>
      </c>
      <c r="N1237" s="87">
        <v>1.0</v>
      </c>
      <c r="O1237" s="87">
        <v>1.213376</v>
      </c>
      <c r="P1237" s="87">
        <v>1.213376</v>
      </c>
      <c r="Q1237" s="87">
        <v>1.213376</v>
      </c>
      <c r="R1237" s="87">
        <v>1.213376</v>
      </c>
      <c r="S1237" s="87">
        <v>1.213376</v>
      </c>
      <c r="T1237" s="87">
        <v>1.213376</v>
      </c>
      <c r="U1237" s="87">
        <v>1.213376</v>
      </c>
      <c r="V1237" s="87">
        <v>1.213376</v>
      </c>
      <c r="W1237" s="87">
        <v>1.213376</v>
      </c>
      <c r="X1237" s="87">
        <v>1.213376</v>
      </c>
      <c r="Y1237" s="87">
        <v>1.213376</v>
      </c>
      <c r="Z1237" s="87">
        <v>0.0</v>
      </c>
      <c r="AA1237" s="87">
        <v>0.733333</v>
      </c>
      <c r="AB1237" s="87">
        <v>0.166765</v>
      </c>
      <c r="AC1237" s="87">
        <v>0.554762</v>
      </c>
      <c r="AD1237" s="87">
        <v>0.336918</v>
      </c>
      <c r="AE1237" s="87">
        <v>0.729263</v>
      </c>
      <c r="AF1237" s="87">
        <v>1.126421</v>
      </c>
      <c r="AG1237" s="87">
        <v>1.213376</v>
      </c>
      <c r="AH1237" s="87">
        <v>0.0</v>
      </c>
      <c r="AI1237" s="87">
        <v>0.431572</v>
      </c>
      <c r="AJ1237" s="87">
        <v>0.314767</v>
      </c>
      <c r="AK1237" s="87">
        <v>0.549802</v>
      </c>
      <c r="AL1237" s="88" t="s">
        <v>1396</v>
      </c>
    </row>
    <row r="1238">
      <c r="A1238" s="84" t="s">
        <v>3064</v>
      </c>
      <c r="B1238" s="84" t="s">
        <v>3065</v>
      </c>
      <c r="C1238" s="84" t="s">
        <v>1130</v>
      </c>
      <c r="D1238" s="84" t="s">
        <v>2425</v>
      </c>
      <c r="E1238" s="86">
        <v>46310.0</v>
      </c>
      <c r="F1238" s="87">
        <v>1.0</v>
      </c>
      <c r="G1238" s="87">
        <v>0.0</v>
      </c>
      <c r="H1238" s="87">
        <v>172.0</v>
      </c>
      <c r="I1238" s="87">
        <v>0.0</v>
      </c>
      <c r="J1238" s="87">
        <v>0.392857</v>
      </c>
      <c r="K1238" s="87">
        <v>0.554762</v>
      </c>
      <c r="L1238" s="87">
        <v>0.411089</v>
      </c>
      <c r="M1238" s="87">
        <v>0.554762</v>
      </c>
      <c r="N1238" s="87">
        <v>1.0</v>
      </c>
      <c r="O1238" s="87">
        <v>0.554762</v>
      </c>
      <c r="P1238" s="87">
        <v>0.554762</v>
      </c>
      <c r="Q1238" s="87">
        <v>0.554762</v>
      </c>
      <c r="R1238" s="87">
        <v>0.554762</v>
      </c>
      <c r="S1238" s="87">
        <v>0.554762</v>
      </c>
      <c r="T1238" s="87">
        <v>0.554762</v>
      </c>
      <c r="U1238" s="87">
        <v>0.554762</v>
      </c>
      <c r="V1238" s="87">
        <v>0.554762</v>
      </c>
      <c r="W1238" s="87">
        <v>0.554762</v>
      </c>
      <c r="X1238" s="87">
        <v>0.554762</v>
      </c>
      <c r="Y1238" s="87">
        <v>0.554762</v>
      </c>
      <c r="Z1238" s="87">
        <v>0.0</v>
      </c>
      <c r="AA1238" s="87">
        <v>0.733333</v>
      </c>
      <c r="AB1238" s="87">
        <v>0.166765</v>
      </c>
      <c r="AC1238" s="87">
        <v>0.554762</v>
      </c>
      <c r="AD1238" s="87">
        <v>0.214835</v>
      </c>
      <c r="AE1238" s="87">
        <v>0.554762</v>
      </c>
      <c r="AF1238" s="87">
        <v>0.62897</v>
      </c>
      <c r="AG1238" s="87">
        <v>0.554762</v>
      </c>
      <c r="AH1238" s="87">
        <v>0.0</v>
      </c>
      <c r="AI1238" s="87">
        <v>0.431572</v>
      </c>
      <c r="AJ1238" s="87">
        <v>0.314767</v>
      </c>
      <c r="AK1238" s="87">
        <v>0.549802</v>
      </c>
      <c r="AL1238" s="88" t="s">
        <v>1396</v>
      </c>
    </row>
    <row r="1239">
      <c r="A1239" s="84" t="s">
        <v>3066</v>
      </c>
      <c r="B1239" s="84" t="s">
        <v>3067</v>
      </c>
      <c r="C1239" s="84" t="s">
        <v>1130</v>
      </c>
      <c r="D1239" s="84" t="s">
        <v>2425</v>
      </c>
      <c r="E1239" s="89">
        <v>46300.0</v>
      </c>
      <c r="F1239" s="87">
        <v>1.0</v>
      </c>
      <c r="G1239" s="87">
        <v>0.0</v>
      </c>
      <c r="H1239" s="87">
        <v>105.0</v>
      </c>
      <c r="I1239" s="87">
        <v>0.0</v>
      </c>
      <c r="J1239" s="87">
        <v>0.587302</v>
      </c>
      <c r="K1239" s="87">
        <v>0.733333</v>
      </c>
      <c r="L1239" s="87">
        <v>2.020454</v>
      </c>
      <c r="M1239" s="87">
        <v>0.733333</v>
      </c>
      <c r="N1239" s="87">
        <v>1.0</v>
      </c>
      <c r="O1239" s="87">
        <v>0.733333</v>
      </c>
      <c r="P1239" s="87">
        <v>0.733333</v>
      </c>
      <c r="Q1239" s="87">
        <v>0.733333</v>
      </c>
      <c r="R1239" s="87">
        <v>0.733333</v>
      </c>
      <c r="S1239" s="87">
        <v>0.733333</v>
      </c>
      <c r="T1239" s="87">
        <v>0.733333</v>
      </c>
      <c r="U1239" s="87">
        <v>0.733333</v>
      </c>
      <c r="V1239" s="87">
        <v>0.733333</v>
      </c>
      <c r="W1239" s="87">
        <v>0.733333</v>
      </c>
      <c r="X1239" s="87">
        <v>0.733333</v>
      </c>
      <c r="Y1239" s="87">
        <v>0.733333</v>
      </c>
      <c r="Z1239" s="87">
        <v>0.0</v>
      </c>
      <c r="AA1239" s="87">
        <v>0.733333</v>
      </c>
      <c r="AB1239" s="87">
        <v>0.166765</v>
      </c>
      <c r="AC1239" s="87">
        <v>0.554762</v>
      </c>
      <c r="AD1239" s="87">
        <v>0.378877</v>
      </c>
      <c r="AE1239" s="87">
        <v>0.567554</v>
      </c>
      <c r="AF1239" s="87">
        <v>0.834736</v>
      </c>
      <c r="AG1239" s="87">
        <v>0.760531</v>
      </c>
      <c r="AH1239" s="87">
        <v>0.0</v>
      </c>
      <c r="AI1239" s="87">
        <v>0.431572</v>
      </c>
      <c r="AJ1239" s="87">
        <v>0.314767</v>
      </c>
      <c r="AK1239" s="87">
        <v>0.549802</v>
      </c>
      <c r="AL1239" s="88" t="s">
        <v>1396</v>
      </c>
    </row>
    <row r="1240">
      <c r="A1240" s="84" t="s">
        <v>3068</v>
      </c>
      <c r="B1240" s="84" t="s">
        <v>2424</v>
      </c>
      <c r="C1240" s="84" t="s">
        <v>1130</v>
      </c>
      <c r="D1240" s="84" t="s">
        <v>2425</v>
      </c>
      <c r="E1240" s="84" t="s">
        <v>1403</v>
      </c>
      <c r="F1240" s="87">
        <v>11.0</v>
      </c>
      <c r="G1240" s="87">
        <v>1.0</v>
      </c>
      <c r="H1240" s="87">
        <v>48.0</v>
      </c>
      <c r="I1240" s="87">
        <v>48.0</v>
      </c>
      <c r="J1240" s="87">
        <v>0.0</v>
      </c>
      <c r="K1240" s="87">
        <v>0.0</v>
      </c>
      <c r="L1240" s="87">
        <v>0.0</v>
      </c>
      <c r="M1240" s="87">
        <v>0.0</v>
      </c>
      <c r="N1240" s="87">
        <v>0.0</v>
      </c>
      <c r="O1240" s="87">
        <v>0.0</v>
      </c>
      <c r="P1240" s="87">
        <v>0.0</v>
      </c>
      <c r="Q1240" s="87">
        <v>0.0</v>
      </c>
      <c r="R1240" s="87">
        <v>0.0</v>
      </c>
      <c r="S1240" s="87">
        <v>0.0</v>
      </c>
      <c r="T1240" s="87">
        <v>0.0</v>
      </c>
      <c r="U1240" s="87">
        <v>0.0</v>
      </c>
      <c r="V1240" s="87">
        <v>0.0</v>
      </c>
      <c r="W1240" s="87">
        <v>0.0</v>
      </c>
      <c r="X1240" s="87">
        <v>0.0</v>
      </c>
      <c r="Y1240" s="87">
        <v>0.0</v>
      </c>
      <c r="Z1240" s="87">
        <v>0.0</v>
      </c>
      <c r="AA1240" s="87">
        <v>0.733333</v>
      </c>
      <c r="AB1240" s="87">
        <v>0.166765</v>
      </c>
      <c r="AC1240" s="87">
        <v>0.554762</v>
      </c>
      <c r="AD1240" s="87">
        <v>0.0</v>
      </c>
      <c r="AE1240" s="87">
        <v>0.0</v>
      </c>
      <c r="AF1240" s="87">
        <v>0.0</v>
      </c>
      <c r="AG1240" s="87">
        <v>0.0</v>
      </c>
      <c r="AH1240" s="87">
        <v>0.0</v>
      </c>
      <c r="AI1240" s="87">
        <v>0.431572</v>
      </c>
      <c r="AJ1240" s="87">
        <v>0.314767</v>
      </c>
      <c r="AK1240" s="87">
        <v>0.549802</v>
      </c>
      <c r="AL1240" s="88" t="s">
        <v>1396</v>
      </c>
    </row>
    <row r="1241">
      <c r="A1241" s="84" t="s">
        <v>3064</v>
      </c>
      <c r="B1241" s="84" t="s">
        <v>3069</v>
      </c>
      <c r="C1241" s="84" t="s">
        <v>1130</v>
      </c>
      <c r="D1241" s="84" t="s">
        <v>3070</v>
      </c>
      <c r="E1241" s="86">
        <v>46310.0</v>
      </c>
      <c r="F1241" s="87">
        <v>2.0</v>
      </c>
      <c r="G1241" s="87">
        <v>0.0</v>
      </c>
      <c r="H1241" s="87">
        <v>0.0</v>
      </c>
      <c r="I1241" s="87">
        <v>0.0</v>
      </c>
      <c r="J1241" s="87">
        <v>0.0</v>
      </c>
      <c r="K1241" s="87">
        <v>0.0</v>
      </c>
      <c r="L1241" s="87">
        <v>0.0</v>
      </c>
      <c r="M1241" s="87">
        <v>0.0</v>
      </c>
      <c r="N1241" s="87">
        <v>0.0</v>
      </c>
      <c r="O1241" s="87">
        <v>0.0</v>
      </c>
      <c r="P1241" s="87">
        <v>0.0</v>
      </c>
      <c r="Q1241" s="87">
        <v>0.0</v>
      </c>
      <c r="R1241" s="87">
        <v>0.0</v>
      </c>
      <c r="S1241" s="87">
        <v>0.0</v>
      </c>
      <c r="T1241" s="87">
        <v>0.0</v>
      </c>
      <c r="U1241" s="87">
        <v>0.0</v>
      </c>
      <c r="V1241" s="87">
        <v>0.0</v>
      </c>
      <c r="W1241" s="87">
        <v>0.0</v>
      </c>
      <c r="X1241" s="87">
        <v>0.0</v>
      </c>
      <c r="Y1241" s="87">
        <v>0.0</v>
      </c>
      <c r="Z1241" s="87">
        <v>0.0</v>
      </c>
      <c r="AA1241" s="87">
        <v>0.055556</v>
      </c>
      <c r="AB1241" s="87">
        <v>7.72E-4</v>
      </c>
      <c r="AC1241" s="87">
        <v>0.0</v>
      </c>
      <c r="AD1241" s="87">
        <v>0.214835</v>
      </c>
      <c r="AE1241" s="87">
        <v>0.554762</v>
      </c>
      <c r="AF1241" s="87">
        <v>0.62897</v>
      </c>
      <c r="AG1241" s="87">
        <v>0.554762</v>
      </c>
      <c r="AH1241" s="87">
        <v>0.0</v>
      </c>
      <c r="AI1241" s="87">
        <v>0.431572</v>
      </c>
      <c r="AJ1241" s="87">
        <v>0.314767</v>
      </c>
      <c r="AK1241" s="87">
        <v>0.549802</v>
      </c>
      <c r="AL1241" s="88" t="s">
        <v>1396</v>
      </c>
    </row>
    <row r="1242">
      <c r="A1242" s="84" t="s">
        <v>3071</v>
      </c>
      <c r="B1242" s="84" t="s">
        <v>3072</v>
      </c>
      <c r="C1242" s="84" t="s">
        <v>1130</v>
      </c>
      <c r="D1242" s="84" t="s">
        <v>3070</v>
      </c>
      <c r="E1242" s="84" t="s">
        <v>1413</v>
      </c>
      <c r="F1242" s="87">
        <v>8.0</v>
      </c>
      <c r="G1242" s="87">
        <v>0.0</v>
      </c>
      <c r="H1242" s="87">
        <v>0.0</v>
      </c>
      <c r="I1242" s="87">
        <v>0.0</v>
      </c>
      <c r="J1242" s="87">
        <v>0.5</v>
      </c>
      <c r="K1242" s="87">
        <v>0.055556</v>
      </c>
      <c r="L1242" s="87">
        <v>1.625</v>
      </c>
      <c r="M1242" s="87">
        <v>0.055556</v>
      </c>
      <c r="N1242" s="87">
        <v>1.0</v>
      </c>
      <c r="O1242" s="87">
        <v>0.0</v>
      </c>
      <c r="P1242" s="87">
        <v>0.0</v>
      </c>
      <c r="Q1242" s="87">
        <v>0.0</v>
      </c>
      <c r="R1242" s="87">
        <v>0.0</v>
      </c>
      <c r="S1242" s="87">
        <v>0.0</v>
      </c>
      <c r="T1242" s="87">
        <v>0.055556</v>
      </c>
      <c r="U1242" s="87">
        <v>0.055556</v>
      </c>
      <c r="V1242" s="87">
        <v>0.055556</v>
      </c>
      <c r="W1242" s="87">
        <v>0.055556</v>
      </c>
      <c r="X1242" s="87">
        <v>0.055556</v>
      </c>
      <c r="Y1242" s="87">
        <v>0.006944</v>
      </c>
      <c r="Z1242" s="87">
        <v>0.0</v>
      </c>
      <c r="AA1242" s="87">
        <v>0.055556</v>
      </c>
      <c r="AB1242" s="87">
        <v>7.72E-4</v>
      </c>
      <c r="AC1242" s="87">
        <v>0.0</v>
      </c>
      <c r="AD1242" s="87">
        <v>0.101149</v>
      </c>
      <c r="AE1242" s="87">
        <v>0.483824</v>
      </c>
      <c r="AF1242" s="87">
        <v>0.984913</v>
      </c>
      <c r="AG1242" s="87">
        <v>1.187828</v>
      </c>
      <c r="AH1242" s="87">
        <v>0.0</v>
      </c>
      <c r="AI1242" s="87">
        <v>0.431572</v>
      </c>
      <c r="AJ1242" s="87">
        <v>0.314767</v>
      </c>
      <c r="AK1242" s="87">
        <v>0.549802</v>
      </c>
      <c r="AL1242" s="88" t="s">
        <v>1396</v>
      </c>
    </row>
    <row r="1243">
      <c r="A1243" s="84" t="s">
        <v>3073</v>
      </c>
      <c r="B1243" s="84" t="s">
        <v>3074</v>
      </c>
      <c r="C1243" s="84" t="s">
        <v>1130</v>
      </c>
      <c r="D1243" s="84" t="s">
        <v>3070</v>
      </c>
      <c r="E1243" s="84" t="s">
        <v>1398</v>
      </c>
      <c r="F1243" s="87">
        <v>2.0</v>
      </c>
      <c r="G1243" s="87">
        <v>0.0</v>
      </c>
      <c r="H1243" s="87">
        <v>0.0</v>
      </c>
      <c r="I1243" s="87">
        <v>0.0</v>
      </c>
      <c r="J1243" s="87">
        <v>0.0</v>
      </c>
      <c r="K1243" s="87">
        <v>0.0</v>
      </c>
      <c r="L1243" s="87">
        <v>0.0</v>
      </c>
      <c r="M1243" s="87">
        <v>0.0</v>
      </c>
      <c r="N1243" s="87">
        <v>0.0</v>
      </c>
      <c r="O1243" s="87">
        <v>0.0</v>
      </c>
      <c r="P1243" s="87">
        <v>0.0</v>
      </c>
      <c r="Q1243" s="87">
        <v>0.0</v>
      </c>
      <c r="R1243" s="87">
        <v>0.0</v>
      </c>
      <c r="S1243" s="87">
        <v>0.0</v>
      </c>
      <c r="T1243" s="87">
        <v>0.0</v>
      </c>
      <c r="U1243" s="87">
        <v>0.0</v>
      </c>
      <c r="V1243" s="87">
        <v>0.0</v>
      </c>
      <c r="W1243" s="87">
        <v>0.0</v>
      </c>
      <c r="X1243" s="87">
        <v>0.0</v>
      </c>
      <c r="Y1243" s="87">
        <v>0.0</v>
      </c>
      <c r="Z1243" s="87">
        <v>0.0</v>
      </c>
      <c r="AA1243" s="87">
        <v>0.055556</v>
      </c>
      <c r="AB1243" s="87">
        <v>7.72E-4</v>
      </c>
      <c r="AC1243" s="87">
        <v>0.0</v>
      </c>
      <c r="AD1243" s="87">
        <v>0.149573</v>
      </c>
      <c r="AE1243" s="87">
        <v>0.504762</v>
      </c>
      <c r="AF1243" s="87">
        <v>0.735246</v>
      </c>
      <c r="AG1243" s="87">
        <v>0.877419</v>
      </c>
      <c r="AH1243" s="87">
        <v>0.0</v>
      </c>
      <c r="AI1243" s="87">
        <v>0.431572</v>
      </c>
      <c r="AJ1243" s="87">
        <v>0.314767</v>
      </c>
      <c r="AK1243" s="87">
        <v>0.549802</v>
      </c>
      <c r="AL1243" s="88" t="s">
        <v>1396</v>
      </c>
    </row>
    <row r="1244">
      <c r="A1244" s="84" t="s">
        <v>3075</v>
      </c>
      <c r="B1244" s="84" t="s">
        <v>3076</v>
      </c>
      <c r="C1244" s="84" t="s">
        <v>1130</v>
      </c>
      <c r="D1244" s="84" t="s">
        <v>3070</v>
      </c>
      <c r="E1244" s="84" t="s">
        <v>1400</v>
      </c>
      <c r="F1244" s="87">
        <v>1.0</v>
      </c>
      <c r="G1244" s="87">
        <v>0.0</v>
      </c>
      <c r="H1244" s="87">
        <v>0.0</v>
      </c>
      <c r="I1244" s="87">
        <v>0.0</v>
      </c>
      <c r="J1244" s="87">
        <v>0.0</v>
      </c>
      <c r="K1244" s="87">
        <v>0.0</v>
      </c>
      <c r="L1244" s="87">
        <v>0.0</v>
      </c>
      <c r="M1244" s="87">
        <v>0.0</v>
      </c>
      <c r="N1244" s="87">
        <v>0.0</v>
      </c>
      <c r="O1244" s="87">
        <v>0.0</v>
      </c>
      <c r="P1244" s="87">
        <v>0.0</v>
      </c>
      <c r="Q1244" s="87">
        <v>0.0</v>
      </c>
      <c r="R1244" s="87">
        <v>0.0</v>
      </c>
      <c r="S1244" s="87">
        <v>0.0</v>
      </c>
      <c r="T1244" s="87">
        <v>0.0</v>
      </c>
      <c r="U1244" s="87">
        <v>0.0</v>
      </c>
      <c r="V1244" s="87">
        <v>0.0</v>
      </c>
      <c r="W1244" s="87">
        <v>0.0</v>
      </c>
      <c r="X1244" s="87">
        <v>0.0</v>
      </c>
      <c r="Y1244" s="87">
        <v>0.0</v>
      </c>
      <c r="Z1244" s="87">
        <v>0.0</v>
      </c>
      <c r="AA1244" s="87">
        <v>0.055556</v>
      </c>
      <c r="AB1244" s="87">
        <v>7.72E-4</v>
      </c>
      <c r="AC1244" s="87">
        <v>0.0</v>
      </c>
      <c r="AD1244" s="87">
        <v>0.033466</v>
      </c>
      <c r="AE1244" s="87">
        <v>0.146795</v>
      </c>
      <c r="AF1244" s="87">
        <v>0.524706</v>
      </c>
      <c r="AG1244" s="87">
        <v>0.128084</v>
      </c>
      <c r="AH1244" s="87">
        <v>0.0</v>
      </c>
      <c r="AI1244" s="87">
        <v>0.431572</v>
      </c>
      <c r="AJ1244" s="87">
        <v>0.314767</v>
      </c>
      <c r="AK1244" s="87">
        <v>0.549802</v>
      </c>
      <c r="AL1244" s="88" t="s">
        <v>1396</v>
      </c>
    </row>
    <row r="1245">
      <c r="A1245" s="84" t="s">
        <v>3068</v>
      </c>
      <c r="B1245" s="84" t="s">
        <v>3077</v>
      </c>
      <c r="C1245" s="84" t="s">
        <v>1130</v>
      </c>
      <c r="D1245" s="84" t="s">
        <v>3070</v>
      </c>
      <c r="E1245" s="84" t="s">
        <v>1403</v>
      </c>
      <c r="F1245" s="87">
        <v>59.0</v>
      </c>
      <c r="G1245" s="87">
        <v>0.0</v>
      </c>
      <c r="H1245" s="87">
        <v>0.0</v>
      </c>
      <c r="I1245" s="87">
        <v>0.0</v>
      </c>
      <c r="J1245" s="87">
        <v>0.0</v>
      </c>
      <c r="K1245" s="87">
        <v>0.0</v>
      </c>
      <c r="L1245" s="87">
        <v>0.0</v>
      </c>
      <c r="M1245" s="87">
        <v>0.0</v>
      </c>
      <c r="N1245" s="87">
        <v>0.0</v>
      </c>
      <c r="O1245" s="87">
        <v>0.0</v>
      </c>
      <c r="P1245" s="87">
        <v>0.0</v>
      </c>
      <c r="Q1245" s="87">
        <v>0.0</v>
      </c>
      <c r="R1245" s="87">
        <v>0.0</v>
      </c>
      <c r="S1245" s="87">
        <v>0.0</v>
      </c>
      <c r="T1245" s="87">
        <v>0.0</v>
      </c>
      <c r="U1245" s="87">
        <v>0.0</v>
      </c>
      <c r="V1245" s="87">
        <v>0.0</v>
      </c>
      <c r="W1245" s="87">
        <v>0.0</v>
      </c>
      <c r="X1245" s="87">
        <v>0.0</v>
      </c>
      <c r="Y1245" s="87">
        <v>0.0</v>
      </c>
      <c r="Z1245" s="87">
        <v>0.0</v>
      </c>
      <c r="AA1245" s="87">
        <v>0.055556</v>
      </c>
      <c r="AB1245" s="87">
        <v>7.72E-4</v>
      </c>
      <c r="AC1245" s="87">
        <v>0.0</v>
      </c>
      <c r="AD1245" s="87">
        <v>0.0</v>
      </c>
      <c r="AE1245" s="87">
        <v>0.0</v>
      </c>
      <c r="AF1245" s="87">
        <v>0.0</v>
      </c>
      <c r="AG1245" s="87">
        <v>0.0</v>
      </c>
      <c r="AH1245" s="87">
        <v>0.0</v>
      </c>
      <c r="AI1245" s="87">
        <v>0.431572</v>
      </c>
      <c r="AJ1245" s="87">
        <v>0.314767</v>
      </c>
      <c r="AK1245" s="87">
        <v>0.549802</v>
      </c>
      <c r="AL1245" s="88" t="s">
        <v>1396</v>
      </c>
    </row>
    <row r="1246">
      <c r="A1246" s="84" t="s">
        <v>3075</v>
      </c>
      <c r="B1246" s="84" t="s">
        <v>2426</v>
      </c>
      <c r="C1246" s="84" t="s">
        <v>1130</v>
      </c>
      <c r="D1246" s="84" t="s">
        <v>2427</v>
      </c>
      <c r="E1246" s="84" t="s">
        <v>1400</v>
      </c>
      <c r="F1246" s="87">
        <v>2.0</v>
      </c>
      <c r="G1246" s="87">
        <v>1.0</v>
      </c>
      <c r="H1246" s="87">
        <v>34.0</v>
      </c>
      <c r="I1246" s="87">
        <v>34.0</v>
      </c>
      <c r="J1246" s="87">
        <v>0.0</v>
      </c>
      <c r="K1246" s="87">
        <v>0.0</v>
      </c>
      <c r="L1246" s="87">
        <v>0.149573</v>
      </c>
      <c r="M1246" s="87">
        <v>0.0</v>
      </c>
      <c r="N1246" s="87">
        <v>0.0</v>
      </c>
      <c r="O1246" s="87">
        <v>0.0</v>
      </c>
      <c r="P1246" s="87">
        <v>0.0</v>
      </c>
      <c r="Q1246" s="87">
        <v>0.0</v>
      </c>
      <c r="R1246" s="87">
        <v>0.0</v>
      </c>
      <c r="S1246" s="87">
        <v>0.0</v>
      </c>
      <c r="T1246" s="87">
        <v>0.0</v>
      </c>
      <c r="U1246" s="87">
        <v>0.0</v>
      </c>
      <c r="V1246" s="87">
        <v>0.0</v>
      </c>
      <c r="W1246" s="87">
        <v>0.0</v>
      </c>
      <c r="X1246" s="87">
        <v>0.0</v>
      </c>
      <c r="Y1246" s="87">
        <v>0.0</v>
      </c>
      <c r="Z1246" s="87">
        <v>0.0</v>
      </c>
      <c r="AA1246" s="87">
        <v>0.0</v>
      </c>
      <c r="AB1246" s="87">
        <v>0.0</v>
      </c>
      <c r="AC1246" s="87">
        <v>0.0</v>
      </c>
      <c r="AD1246" s="87">
        <v>0.033466</v>
      </c>
      <c r="AE1246" s="87">
        <v>0.146795</v>
      </c>
      <c r="AF1246" s="87">
        <v>0.524706</v>
      </c>
      <c r="AG1246" s="87">
        <v>0.128084</v>
      </c>
      <c r="AH1246" s="87">
        <v>0.0</v>
      </c>
      <c r="AI1246" s="87">
        <v>0.431572</v>
      </c>
      <c r="AJ1246" s="87">
        <v>0.314767</v>
      </c>
      <c r="AK1246" s="87">
        <v>0.549802</v>
      </c>
      <c r="AL1246" s="88" t="s">
        <v>1396</v>
      </c>
    </row>
    <row r="1247">
      <c r="A1247" s="84" t="s">
        <v>3068</v>
      </c>
      <c r="B1247" s="84" t="s">
        <v>2428</v>
      </c>
      <c r="C1247" s="84" t="s">
        <v>1130</v>
      </c>
      <c r="D1247" s="84" t="s">
        <v>2427</v>
      </c>
      <c r="E1247" s="84" t="s">
        <v>1403</v>
      </c>
      <c r="F1247" s="87">
        <v>2.0</v>
      </c>
      <c r="G1247" s="87">
        <v>1.0</v>
      </c>
      <c r="H1247" s="87">
        <v>44.0</v>
      </c>
      <c r="I1247" s="87">
        <v>44.0</v>
      </c>
      <c r="J1247" s="87">
        <v>0.0</v>
      </c>
      <c r="K1247" s="87">
        <v>0.0</v>
      </c>
      <c r="L1247" s="87">
        <v>0.0</v>
      </c>
      <c r="M1247" s="87">
        <v>0.0</v>
      </c>
      <c r="N1247" s="87">
        <v>0.0</v>
      </c>
      <c r="O1247" s="87">
        <v>0.0</v>
      </c>
      <c r="P1247" s="87">
        <v>0.0</v>
      </c>
      <c r="Q1247" s="87">
        <v>0.0</v>
      </c>
      <c r="R1247" s="87">
        <v>0.0</v>
      </c>
      <c r="S1247" s="87">
        <v>0.0</v>
      </c>
      <c r="T1247" s="87">
        <v>0.0</v>
      </c>
      <c r="U1247" s="87">
        <v>0.0</v>
      </c>
      <c r="V1247" s="87">
        <v>0.0</v>
      </c>
      <c r="W1247" s="87">
        <v>0.0</v>
      </c>
      <c r="X1247" s="87">
        <v>0.0</v>
      </c>
      <c r="Y1247" s="87">
        <v>0.0</v>
      </c>
      <c r="Z1247" s="87">
        <v>0.0</v>
      </c>
      <c r="AA1247" s="87">
        <v>0.0</v>
      </c>
      <c r="AB1247" s="87">
        <v>0.0</v>
      </c>
      <c r="AC1247" s="87">
        <v>0.0</v>
      </c>
      <c r="AD1247" s="87">
        <v>0.0</v>
      </c>
      <c r="AE1247" s="87">
        <v>0.0</v>
      </c>
      <c r="AF1247" s="87">
        <v>0.0</v>
      </c>
      <c r="AG1247" s="87">
        <v>0.0</v>
      </c>
      <c r="AH1247" s="87">
        <v>0.0</v>
      </c>
      <c r="AI1247" s="87">
        <v>0.431572</v>
      </c>
      <c r="AJ1247" s="87">
        <v>0.314767</v>
      </c>
      <c r="AK1247" s="87">
        <v>0.549802</v>
      </c>
      <c r="AL1247" s="88" t="s">
        <v>1396</v>
      </c>
    </row>
    <row r="1248">
      <c r="A1248" s="84" t="s">
        <v>3062</v>
      </c>
      <c r="B1248" s="84" t="s">
        <v>3078</v>
      </c>
      <c r="C1248" s="84" t="s">
        <v>1130</v>
      </c>
      <c r="D1248" s="84" t="s">
        <v>2443</v>
      </c>
      <c r="E1248" s="84" t="s">
        <v>1426</v>
      </c>
      <c r="F1248" s="87">
        <v>2.0</v>
      </c>
      <c r="G1248" s="87">
        <v>0.0</v>
      </c>
      <c r="H1248" s="87">
        <v>1089.0</v>
      </c>
      <c r="I1248" s="87">
        <v>0.0</v>
      </c>
      <c r="J1248" s="87">
        <v>12.16109</v>
      </c>
      <c r="K1248" s="87">
        <v>11.30101</v>
      </c>
      <c r="L1248" s="87">
        <v>10.47413</v>
      </c>
      <c r="M1248" s="87">
        <v>9.744255</v>
      </c>
      <c r="N1248" s="87">
        <v>0.862246</v>
      </c>
      <c r="O1248" s="87">
        <v>1.556757</v>
      </c>
      <c r="P1248" s="87">
        <v>1.556757</v>
      </c>
      <c r="Q1248" s="87">
        <v>1.556757</v>
      </c>
      <c r="R1248" s="87">
        <v>9.744255</v>
      </c>
      <c r="S1248" s="87">
        <v>9.744255</v>
      </c>
      <c r="T1248" s="87">
        <v>1.556757</v>
      </c>
      <c r="U1248" s="87">
        <v>1.556757</v>
      </c>
      <c r="V1248" s="87">
        <v>1.556757</v>
      </c>
      <c r="W1248" s="87">
        <v>9.744255</v>
      </c>
      <c r="X1248" s="87">
        <v>9.744255</v>
      </c>
      <c r="Y1248" s="87">
        <v>5.650506</v>
      </c>
      <c r="Z1248" s="87">
        <v>0.090536</v>
      </c>
      <c r="AA1248" s="87">
        <v>0.647375</v>
      </c>
      <c r="AB1248" s="87">
        <v>0.494174</v>
      </c>
      <c r="AC1248" s="87">
        <v>0.75</v>
      </c>
      <c r="AD1248" s="87">
        <v>0.336918</v>
      </c>
      <c r="AE1248" s="87">
        <v>0.729263</v>
      </c>
      <c r="AF1248" s="87">
        <v>1.126421</v>
      </c>
      <c r="AG1248" s="87">
        <v>1.213376</v>
      </c>
      <c r="AH1248" s="87">
        <v>0.0</v>
      </c>
      <c r="AI1248" s="87">
        <v>0.431572</v>
      </c>
      <c r="AJ1248" s="87">
        <v>0.314767</v>
      </c>
      <c r="AK1248" s="87">
        <v>0.549802</v>
      </c>
      <c r="AL1248" s="88" t="s">
        <v>1396</v>
      </c>
    </row>
    <row r="1249">
      <c r="A1249" s="84" t="s">
        <v>3064</v>
      </c>
      <c r="B1249" s="84" t="s">
        <v>2442</v>
      </c>
      <c r="C1249" s="84" t="s">
        <v>1130</v>
      </c>
      <c r="D1249" s="84" t="s">
        <v>2443</v>
      </c>
      <c r="E1249" s="86">
        <v>46310.0</v>
      </c>
      <c r="F1249" s="87">
        <v>3.0</v>
      </c>
      <c r="G1249" s="87">
        <v>0.0</v>
      </c>
      <c r="H1249" s="87">
        <v>30.0</v>
      </c>
      <c r="I1249" s="87">
        <v>0.0</v>
      </c>
      <c r="J1249" s="87">
        <v>0.333333</v>
      </c>
      <c r="K1249" s="87">
        <v>1.643541</v>
      </c>
      <c r="L1249" s="87">
        <v>0.362791</v>
      </c>
      <c r="M1249" s="87">
        <v>1.5</v>
      </c>
      <c r="N1249" s="87">
        <v>0.912664</v>
      </c>
      <c r="O1249" s="87">
        <v>0.0</v>
      </c>
      <c r="P1249" s="87">
        <v>0.0</v>
      </c>
      <c r="Q1249" s="87">
        <v>0.0</v>
      </c>
      <c r="R1249" s="87">
        <v>0.143541</v>
      </c>
      <c r="S1249" s="87">
        <v>1.5</v>
      </c>
      <c r="T1249" s="87">
        <v>0.143541</v>
      </c>
      <c r="U1249" s="87">
        <v>0.143541</v>
      </c>
      <c r="V1249" s="87">
        <v>0.143541</v>
      </c>
      <c r="W1249" s="87">
        <v>1.5</v>
      </c>
      <c r="X1249" s="87">
        <v>1.5</v>
      </c>
      <c r="Y1249" s="87">
        <v>0.547847</v>
      </c>
      <c r="Z1249" s="87">
        <v>0.090536</v>
      </c>
      <c r="AA1249" s="87">
        <v>0.647375</v>
      </c>
      <c r="AB1249" s="87">
        <v>0.494174</v>
      </c>
      <c r="AC1249" s="87">
        <v>0.75</v>
      </c>
      <c r="AD1249" s="87">
        <v>0.214835</v>
      </c>
      <c r="AE1249" s="87">
        <v>0.554762</v>
      </c>
      <c r="AF1249" s="87">
        <v>0.62897</v>
      </c>
      <c r="AG1249" s="87">
        <v>0.554762</v>
      </c>
      <c r="AH1249" s="87">
        <v>0.0</v>
      </c>
      <c r="AI1249" s="87">
        <v>0.431572</v>
      </c>
      <c r="AJ1249" s="87">
        <v>0.314767</v>
      </c>
      <c r="AK1249" s="87">
        <v>0.549802</v>
      </c>
      <c r="AL1249" s="88" t="s">
        <v>1396</v>
      </c>
    </row>
    <row r="1250">
      <c r="A1250" s="84" t="s">
        <v>3071</v>
      </c>
      <c r="B1250" s="84" t="s">
        <v>2444</v>
      </c>
      <c r="C1250" s="84" t="s">
        <v>1130</v>
      </c>
      <c r="D1250" s="84" t="s">
        <v>2443</v>
      </c>
      <c r="E1250" s="84" t="s">
        <v>1413</v>
      </c>
      <c r="F1250" s="87">
        <v>3.0</v>
      </c>
      <c r="G1250" s="87">
        <v>0.0</v>
      </c>
      <c r="H1250" s="87">
        <v>534.0</v>
      </c>
      <c r="I1250" s="87">
        <v>0.0</v>
      </c>
      <c r="J1250" s="87">
        <v>3.938173</v>
      </c>
      <c r="K1250" s="87">
        <v>4.386111</v>
      </c>
      <c r="L1250" s="87">
        <v>4.789257</v>
      </c>
      <c r="M1250" s="87">
        <v>4.386111</v>
      </c>
      <c r="N1250" s="87">
        <v>1.0</v>
      </c>
      <c r="O1250" s="87">
        <v>0.0</v>
      </c>
      <c r="P1250" s="87">
        <v>0.0</v>
      </c>
      <c r="Q1250" s="87">
        <v>0.0</v>
      </c>
      <c r="R1250" s="87">
        <v>0.0</v>
      </c>
      <c r="S1250" s="87">
        <v>4.386111</v>
      </c>
      <c r="T1250" s="87">
        <v>4.386111</v>
      </c>
      <c r="U1250" s="87">
        <v>4.386111</v>
      </c>
      <c r="V1250" s="87">
        <v>4.386111</v>
      </c>
      <c r="W1250" s="87">
        <v>4.386111</v>
      </c>
      <c r="X1250" s="87">
        <v>4.386111</v>
      </c>
      <c r="Y1250" s="87">
        <v>1.462037</v>
      </c>
      <c r="Z1250" s="87">
        <v>0.090536</v>
      </c>
      <c r="AA1250" s="87">
        <v>0.647375</v>
      </c>
      <c r="AB1250" s="87">
        <v>0.494174</v>
      </c>
      <c r="AC1250" s="87">
        <v>0.75</v>
      </c>
      <c r="AD1250" s="87">
        <v>0.101149</v>
      </c>
      <c r="AE1250" s="87">
        <v>0.483824</v>
      </c>
      <c r="AF1250" s="87">
        <v>0.984913</v>
      </c>
      <c r="AG1250" s="87">
        <v>1.187828</v>
      </c>
      <c r="AH1250" s="87">
        <v>0.0</v>
      </c>
      <c r="AI1250" s="87">
        <v>0.431572</v>
      </c>
      <c r="AJ1250" s="87">
        <v>0.314767</v>
      </c>
      <c r="AK1250" s="87">
        <v>0.549802</v>
      </c>
      <c r="AL1250" s="88" t="s">
        <v>1396</v>
      </c>
    </row>
    <row r="1251">
      <c r="A1251" s="84" t="s">
        <v>3073</v>
      </c>
      <c r="B1251" s="84" t="s">
        <v>2445</v>
      </c>
      <c r="C1251" s="84" t="s">
        <v>1130</v>
      </c>
      <c r="D1251" s="84" t="s">
        <v>2443</v>
      </c>
      <c r="E1251" s="84" t="s">
        <v>1398</v>
      </c>
      <c r="F1251" s="87">
        <v>2.0</v>
      </c>
      <c r="G1251" s="87">
        <v>0.0</v>
      </c>
      <c r="H1251" s="87">
        <v>338.0</v>
      </c>
      <c r="I1251" s="87">
        <v>0.0</v>
      </c>
      <c r="J1251" s="87">
        <v>3.272727</v>
      </c>
      <c r="K1251" s="87">
        <v>3.26213</v>
      </c>
      <c r="L1251" s="87">
        <v>2.881782</v>
      </c>
      <c r="M1251" s="87">
        <v>3.26213</v>
      </c>
      <c r="N1251" s="87">
        <v>1.0</v>
      </c>
      <c r="O1251" s="87">
        <v>0.0</v>
      </c>
      <c r="P1251" s="87">
        <v>0.0</v>
      </c>
      <c r="Q1251" s="87">
        <v>0.0</v>
      </c>
      <c r="R1251" s="87">
        <v>3.26213</v>
      </c>
      <c r="S1251" s="87">
        <v>3.26213</v>
      </c>
      <c r="T1251" s="87">
        <v>3.26213</v>
      </c>
      <c r="U1251" s="87">
        <v>3.26213</v>
      </c>
      <c r="V1251" s="87">
        <v>3.26213</v>
      </c>
      <c r="W1251" s="87">
        <v>3.26213</v>
      </c>
      <c r="X1251" s="87">
        <v>3.26213</v>
      </c>
      <c r="Y1251" s="87">
        <v>1.631065</v>
      </c>
      <c r="Z1251" s="87">
        <v>0.090536</v>
      </c>
      <c r="AA1251" s="87">
        <v>0.647375</v>
      </c>
      <c r="AB1251" s="87">
        <v>0.494174</v>
      </c>
      <c r="AC1251" s="87">
        <v>0.75</v>
      </c>
      <c r="AD1251" s="87">
        <v>0.149573</v>
      </c>
      <c r="AE1251" s="87">
        <v>0.504762</v>
      </c>
      <c r="AF1251" s="87">
        <v>0.735246</v>
      </c>
      <c r="AG1251" s="87">
        <v>0.877419</v>
      </c>
      <c r="AH1251" s="87">
        <v>0.0</v>
      </c>
      <c r="AI1251" s="87">
        <v>0.431572</v>
      </c>
      <c r="AJ1251" s="87">
        <v>0.314767</v>
      </c>
      <c r="AK1251" s="87">
        <v>0.549802</v>
      </c>
      <c r="AL1251" s="88" t="s">
        <v>1396</v>
      </c>
    </row>
    <row r="1252">
      <c r="A1252" s="84" t="s">
        <v>3075</v>
      </c>
      <c r="B1252" s="84" t="s">
        <v>3079</v>
      </c>
      <c r="C1252" s="84" t="s">
        <v>1130</v>
      </c>
      <c r="D1252" s="84" t="s">
        <v>2443</v>
      </c>
      <c r="E1252" s="84" t="s">
        <v>1400</v>
      </c>
      <c r="F1252" s="87">
        <v>4.0</v>
      </c>
      <c r="G1252" s="87">
        <v>0.0</v>
      </c>
      <c r="H1252" s="87">
        <v>293.0</v>
      </c>
      <c r="I1252" s="87">
        <v>0.0</v>
      </c>
      <c r="J1252" s="87">
        <v>0.368132</v>
      </c>
      <c r="K1252" s="87">
        <v>0.512335</v>
      </c>
      <c r="L1252" s="87">
        <v>0.592599</v>
      </c>
      <c r="M1252" s="87">
        <v>0.479001</v>
      </c>
      <c r="N1252" s="87">
        <v>0.934938</v>
      </c>
      <c r="O1252" s="87">
        <v>0.0</v>
      </c>
      <c r="P1252" s="87">
        <v>0.0</v>
      </c>
      <c r="Q1252" s="87">
        <v>0.0</v>
      </c>
      <c r="R1252" s="87">
        <v>0.033333</v>
      </c>
      <c r="S1252" s="87">
        <v>0.033333</v>
      </c>
      <c r="T1252" s="87">
        <v>0.033333</v>
      </c>
      <c r="U1252" s="87">
        <v>0.033333</v>
      </c>
      <c r="V1252" s="87">
        <v>0.033333</v>
      </c>
      <c r="W1252" s="87">
        <v>0.479001</v>
      </c>
      <c r="X1252" s="87">
        <v>0.479001</v>
      </c>
      <c r="Y1252" s="87">
        <v>0.128084</v>
      </c>
      <c r="Z1252" s="87">
        <v>0.090536</v>
      </c>
      <c r="AA1252" s="87">
        <v>0.647375</v>
      </c>
      <c r="AB1252" s="87">
        <v>0.494174</v>
      </c>
      <c r="AC1252" s="87">
        <v>0.75</v>
      </c>
      <c r="AD1252" s="87">
        <v>0.033466</v>
      </c>
      <c r="AE1252" s="87">
        <v>0.146795</v>
      </c>
      <c r="AF1252" s="87">
        <v>0.524706</v>
      </c>
      <c r="AG1252" s="87">
        <v>0.128084</v>
      </c>
      <c r="AH1252" s="87">
        <v>0.0</v>
      </c>
      <c r="AI1252" s="87">
        <v>0.431572</v>
      </c>
      <c r="AJ1252" s="87">
        <v>0.314767</v>
      </c>
      <c r="AK1252" s="87">
        <v>0.549802</v>
      </c>
      <c r="AL1252" s="88" t="s">
        <v>1396</v>
      </c>
    </row>
    <row r="1253">
      <c r="A1253" s="84" t="s">
        <v>3066</v>
      </c>
      <c r="B1253" s="84" t="s">
        <v>2446</v>
      </c>
      <c r="C1253" s="84" t="s">
        <v>1130</v>
      </c>
      <c r="D1253" s="84" t="s">
        <v>2443</v>
      </c>
      <c r="E1253" s="89">
        <v>46300.0</v>
      </c>
      <c r="F1253" s="87">
        <v>50.0</v>
      </c>
      <c r="G1253" s="87">
        <v>0.0</v>
      </c>
      <c r="H1253" s="87">
        <v>12284.0</v>
      </c>
      <c r="I1253" s="87">
        <v>0.0</v>
      </c>
      <c r="J1253" s="87">
        <v>36.19048</v>
      </c>
      <c r="K1253" s="87">
        <v>38.02654</v>
      </c>
      <c r="L1253" s="87">
        <v>37.50887</v>
      </c>
      <c r="M1253" s="87">
        <v>22.05061</v>
      </c>
      <c r="N1253" s="87">
        <v>0.579874</v>
      </c>
      <c r="O1253" s="87">
        <v>0.097849</v>
      </c>
      <c r="P1253" s="87">
        <v>0.233333</v>
      </c>
      <c r="Q1253" s="87">
        <v>0.282527</v>
      </c>
      <c r="R1253" s="87">
        <v>0.576804</v>
      </c>
      <c r="S1253" s="87">
        <v>0.841342</v>
      </c>
      <c r="T1253" s="87">
        <v>0.2</v>
      </c>
      <c r="U1253" s="87">
        <v>0.266667</v>
      </c>
      <c r="V1253" s="87">
        <v>0.333333</v>
      </c>
      <c r="W1253" s="87">
        <v>0.657085</v>
      </c>
      <c r="X1253" s="87">
        <v>0.87395</v>
      </c>
      <c r="Y1253" s="87">
        <v>0.760531</v>
      </c>
      <c r="Z1253" s="87">
        <v>0.090536</v>
      </c>
      <c r="AA1253" s="87">
        <v>0.647375</v>
      </c>
      <c r="AB1253" s="87">
        <v>0.494174</v>
      </c>
      <c r="AC1253" s="87">
        <v>0.75</v>
      </c>
      <c r="AD1253" s="87">
        <v>0.378877</v>
      </c>
      <c r="AE1253" s="87">
        <v>0.567554</v>
      </c>
      <c r="AF1253" s="87">
        <v>0.834736</v>
      </c>
      <c r="AG1253" s="87">
        <v>0.760531</v>
      </c>
      <c r="AH1253" s="87">
        <v>0.0</v>
      </c>
      <c r="AI1253" s="87">
        <v>0.431572</v>
      </c>
      <c r="AJ1253" s="87">
        <v>0.314767</v>
      </c>
      <c r="AK1253" s="87">
        <v>0.549802</v>
      </c>
      <c r="AL1253" s="88" t="s">
        <v>1396</v>
      </c>
    </row>
    <row r="1254">
      <c r="A1254" s="84" t="s">
        <v>3068</v>
      </c>
      <c r="B1254" s="84" t="s">
        <v>2447</v>
      </c>
      <c r="C1254" s="84" t="s">
        <v>1130</v>
      </c>
      <c r="D1254" s="84" t="s">
        <v>2443</v>
      </c>
      <c r="E1254" s="84" t="s">
        <v>1403</v>
      </c>
      <c r="F1254" s="87">
        <v>63.0</v>
      </c>
      <c r="G1254" s="87">
        <v>0.0</v>
      </c>
      <c r="H1254" s="87">
        <v>0.0</v>
      </c>
      <c r="I1254" s="87">
        <v>0.0</v>
      </c>
      <c r="J1254" s="87">
        <v>0.0</v>
      </c>
      <c r="K1254" s="87">
        <v>0.0</v>
      </c>
      <c r="L1254" s="87">
        <v>0.0</v>
      </c>
      <c r="M1254" s="87">
        <v>0.0</v>
      </c>
      <c r="N1254" s="87">
        <v>0.0</v>
      </c>
      <c r="O1254" s="87">
        <v>0.0</v>
      </c>
      <c r="P1254" s="87">
        <v>0.0</v>
      </c>
      <c r="Q1254" s="87">
        <v>0.0</v>
      </c>
      <c r="R1254" s="87">
        <v>0.0</v>
      </c>
      <c r="S1254" s="87">
        <v>0.0</v>
      </c>
      <c r="T1254" s="87">
        <v>0.0</v>
      </c>
      <c r="U1254" s="87">
        <v>0.0</v>
      </c>
      <c r="V1254" s="87">
        <v>0.0</v>
      </c>
      <c r="W1254" s="87">
        <v>0.0</v>
      </c>
      <c r="X1254" s="87">
        <v>0.0</v>
      </c>
      <c r="Y1254" s="87">
        <v>0.0</v>
      </c>
      <c r="Z1254" s="87">
        <v>0.090536</v>
      </c>
      <c r="AA1254" s="87">
        <v>0.647375</v>
      </c>
      <c r="AB1254" s="87">
        <v>0.494174</v>
      </c>
      <c r="AC1254" s="87">
        <v>0.75</v>
      </c>
      <c r="AD1254" s="87">
        <v>0.0</v>
      </c>
      <c r="AE1254" s="87">
        <v>0.0</v>
      </c>
      <c r="AF1254" s="87">
        <v>0.0</v>
      </c>
      <c r="AG1254" s="87">
        <v>0.0</v>
      </c>
      <c r="AH1254" s="87">
        <v>0.0</v>
      </c>
      <c r="AI1254" s="87">
        <v>0.431572</v>
      </c>
      <c r="AJ1254" s="87">
        <v>0.314767</v>
      </c>
      <c r="AK1254" s="87">
        <v>0.549802</v>
      </c>
      <c r="AL1254" s="88" t="s">
        <v>1396</v>
      </c>
    </row>
    <row r="1255">
      <c r="A1255" s="84" t="s">
        <v>3062</v>
      </c>
      <c r="B1255" s="84" t="s">
        <v>3080</v>
      </c>
      <c r="C1255" s="84" t="s">
        <v>1130</v>
      </c>
      <c r="D1255" s="84" t="s">
        <v>1131</v>
      </c>
      <c r="E1255" s="84" t="s">
        <v>1426</v>
      </c>
      <c r="F1255" s="87">
        <v>21.0</v>
      </c>
      <c r="G1255" s="87">
        <v>1.0</v>
      </c>
      <c r="H1255" s="87">
        <v>4281.0</v>
      </c>
      <c r="I1255" s="87">
        <v>40.0</v>
      </c>
      <c r="J1255" s="87">
        <v>32.57394</v>
      </c>
      <c r="K1255" s="87">
        <v>33.02644</v>
      </c>
      <c r="L1255" s="87">
        <v>34.51295</v>
      </c>
      <c r="M1255" s="87">
        <v>26.63799</v>
      </c>
      <c r="N1255" s="87">
        <v>0.806566</v>
      </c>
      <c r="O1255" s="87">
        <v>0.0</v>
      </c>
      <c r="P1255" s="87">
        <v>0.0</v>
      </c>
      <c r="Q1255" s="87">
        <v>0.0</v>
      </c>
      <c r="R1255" s="87">
        <v>0.336918</v>
      </c>
      <c r="S1255" s="87">
        <v>1.441626</v>
      </c>
      <c r="T1255" s="87">
        <v>0.25448</v>
      </c>
      <c r="U1255" s="87">
        <v>0.336918</v>
      </c>
      <c r="V1255" s="87">
        <v>0.603687</v>
      </c>
      <c r="W1255" s="87">
        <v>1.441626</v>
      </c>
      <c r="X1255" s="87">
        <v>2.175404</v>
      </c>
      <c r="Y1255" s="87">
        <v>1.572688</v>
      </c>
      <c r="Z1255" s="87">
        <v>0.0</v>
      </c>
      <c r="AA1255" s="87">
        <v>0.268294</v>
      </c>
      <c r="AB1255" s="87">
        <v>0.384393</v>
      </c>
      <c r="AC1255" s="87">
        <v>0.633822</v>
      </c>
      <c r="AD1255" s="87">
        <v>0.336918</v>
      </c>
      <c r="AE1255" s="87">
        <v>0.729263</v>
      </c>
      <c r="AF1255" s="87">
        <v>1.126421</v>
      </c>
      <c r="AG1255" s="87">
        <v>1.213376</v>
      </c>
      <c r="AH1255" s="87">
        <v>0.0</v>
      </c>
      <c r="AI1255" s="87">
        <v>0.431572</v>
      </c>
      <c r="AJ1255" s="87">
        <v>0.314767</v>
      </c>
      <c r="AK1255" s="87">
        <v>0.549802</v>
      </c>
      <c r="AL1255" s="88" t="s">
        <v>1396</v>
      </c>
    </row>
    <row r="1256">
      <c r="A1256" s="84" t="s">
        <v>3064</v>
      </c>
      <c r="B1256" s="84" t="s">
        <v>3081</v>
      </c>
      <c r="C1256" s="84" t="s">
        <v>1130</v>
      </c>
      <c r="D1256" s="84" t="s">
        <v>1131</v>
      </c>
      <c r="E1256" s="86">
        <v>46310.0</v>
      </c>
      <c r="F1256" s="87">
        <v>47.0</v>
      </c>
      <c r="G1256" s="87">
        <v>9.0</v>
      </c>
      <c r="H1256" s="87">
        <v>7394.0</v>
      </c>
      <c r="I1256" s="87">
        <v>608.0</v>
      </c>
      <c r="J1256" s="87">
        <v>18.1516</v>
      </c>
      <c r="K1256" s="87">
        <v>29.78961</v>
      </c>
      <c r="L1256" s="87">
        <v>26.19428</v>
      </c>
      <c r="M1256" s="87">
        <v>20.50873</v>
      </c>
      <c r="N1256" s="87">
        <v>0.688452</v>
      </c>
      <c r="O1256" s="87">
        <v>0.0</v>
      </c>
      <c r="P1256" s="87">
        <v>0.0</v>
      </c>
      <c r="Q1256" s="87">
        <v>0.068333</v>
      </c>
      <c r="R1256" s="87">
        <v>0.225006</v>
      </c>
      <c r="S1256" s="87">
        <v>0.666667</v>
      </c>
      <c r="T1256" s="87">
        <v>0.066667</v>
      </c>
      <c r="U1256" s="87">
        <v>0.104762</v>
      </c>
      <c r="V1256" s="87">
        <v>0.207112</v>
      </c>
      <c r="W1256" s="87">
        <v>0.5</v>
      </c>
      <c r="X1256" s="87">
        <v>0.965591</v>
      </c>
      <c r="Y1256" s="87">
        <v>0.633822</v>
      </c>
      <c r="Z1256" s="87">
        <v>0.0</v>
      </c>
      <c r="AA1256" s="87">
        <v>0.268294</v>
      </c>
      <c r="AB1256" s="87">
        <v>0.384393</v>
      </c>
      <c r="AC1256" s="87">
        <v>0.633822</v>
      </c>
      <c r="AD1256" s="87">
        <v>0.214835</v>
      </c>
      <c r="AE1256" s="87">
        <v>0.554762</v>
      </c>
      <c r="AF1256" s="87">
        <v>0.62897</v>
      </c>
      <c r="AG1256" s="87">
        <v>0.554762</v>
      </c>
      <c r="AH1256" s="87">
        <v>0.0</v>
      </c>
      <c r="AI1256" s="87">
        <v>0.431572</v>
      </c>
      <c r="AJ1256" s="87">
        <v>0.314767</v>
      </c>
      <c r="AK1256" s="87">
        <v>0.549802</v>
      </c>
      <c r="AL1256" s="88" t="s">
        <v>1396</v>
      </c>
    </row>
    <row r="1257">
      <c r="A1257" s="84" t="s">
        <v>3071</v>
      </c>
      <c r="B1257" s="84" t="s">
        <v>3082</v>
      </c>
      <c r="C1257" s="84" t="s">
        <v>1130</v>
      </c>
      <c r="D1257" s="84" t="s">
        <v>1131</v>
      </c>
      <c r="E1257" s="84" t="s">
        <v>1413</v>
      </c>
      <c r="F1257" s="87">
        <v>19.0</v>
      </c>
      <c r="G1257" s="87">
        <v>1.0</v>
      </c>
      <c r="H1257" s="87">
        <v>3447.0</v>
      </c>
      <c r="I1257" s="87">
        <v>38.0</v>
      </c>
      <c r="J1257" s="87">
        <v>19.63382</v>
      </c>
      <c r="K1257" s="87">
        <v>22.56873</v>
      </c>
      <c r="L1257" s="87">
        <v>18.37146</v>
      </c>
      <c r="M1257" s="87">
        <v>20.11223</v>
      </c>
      <c r="N1257" s="87">
        <v>0.891155</v>
      </c>
      <c r="O1257" s="87">
        <v>0.0</v>
      </c>
      <c r="P1257" s="87">
        <v>0.0</v>
      </c>
      <c r="Q1257" s="87">
        <v>0.045455</v>
      </c>
      <c r="R1257" s="87">
        <v>0.105128</v>
      </c>
      <c r="S1257" s="87">
        <v>0.483824</v>
      </c>
      <c r="T1257" s="87">
        <v>0.066667</v>
      </c>
      <c r="U1257" s="87">
        <v>0.066667</v>
      </c>
      <c r="V1257" s="87">
        <v>0.105128</v>
      </c>
      <c r="W1257" s="87">
        <v>0.396755</v>
      </c>
      <c r="X1257" s="87">
        <v>0.707621</v>
      </c>
      <c r="Y1257" s="87">
        <v>1.187828</v>
      </c>
      <c r="Z1257" s="87">
        <v>0.0</v>
      </c>
      <c r="AA1257" s="87">
        <v>0.268294</v>
      </c>
      <c r="AB1257" s="87">
        <v>0.384393</v>
      </c>
      <c r="AC1257" s="87">
        <v>0.633822</v>
      </c>
      <c r="AD1257" s="87">
        <v>0.101149</v>
      </c>
      <c r="AE1257" s="87">
        <v>0.483824</v>
      </c>
      <c r="AF1257" s="87">
        <v>0.984913</v>
      </c>
      <c r="AG1257" s="87">
        <v>1.187828</v>
      </c>
      <c r="AH1257" s="87">
        <v>0.0</v>
      </c>
      <c r="AI1257" s="87">
        <v>0.431572</v>
      </c>
      <c r="AJ1257" s="87">
        <v>0.314767</v>
      </c>
      <c r="AK1257" s="87">
        <v>0.549802</v>
      </c>
      <c r="AL1257" s="88" t="s">
        <v>1396</v>
      </c>
    </row>
    <row r="1258">
      <c r="A1258" s="84" t="s">
        <v>3073</v>
      </c>
      <c r="B1258" s="84" t="s">
        <v>3083</v>
      </c>
      <c r="C1258" s="84" t="s">
        <v>1130</v>
      </c>
      <c r="D1258" s="84" t="s">
        <v>1131</v>
      </c>
      <c r="E1258" s="84" t="s">
        <v>1398</v>
      </c>
      <c r="F1258" s="87">
        <v>23.0</v>
      </c>
      <c r="G1258" s="87">
        <v>3.0</v>
      </c>
      <c r="H1258" s="87">
        <v>2528.0</v>
      </c>
      <c r="I1258" s="87">
        <v>294.0</v>
      </c>
      <c r="J1258" s="87">
        <v>5.99188</v>
      </c>
      <c r="K1258" s="87">
        <v>6.838475</v>
      </c>
      <c r="L1258" s="87">
        <v>6.577713</v>
      </c>
      <c r="M1258" s="87">
        <v>4.345092</v>
      </c>
      <c r="N1258" s="87">
        <v>0.635389</v>
      </c>
      <c r="O1258" s="87">
        <v>0.0</v>
      </c>
      <c r="P1258" s="87">
        <v>0.0</v>
      </c>
      <c r="Q1258" s="87">
        <v>0.033333</v>
      </c>
      <c r="R1258" s="87">
        <v>0.149573</v>
      </c>
      <c r="S1258" s="87">
        <v>0.488528</v>
      </c>
      <c r="T1258" s="87">
        <v>0.045455</v>
      </c>
      <c r="U1258" s="87">
        <v>0.067816</v>
      </c>
      <c r="V1258" s="87">
        <v>0.149573</v>
      </c>
      <c r="W1258" s="87">
        <v>0.3</v>
      </c>
      <c r="X1258" s="87">
        <v>0.504762</v>
      </c>
      <c r="Y1258" s="87">
        <v>0.297325</v>
      </c>
      <c r="Z1258" s="87">
        <v>0.0</v>
      </c>
      <c r="AA1258" s="87">
        <v>0.268294</v>
      </c>
      <c r="AB1258" s="87">
        <v>0.384393</v>
      </c>
      <c r="AC1258" s="87">
        <v>0.633822</v>
      </c>
      <c r="AD1258" s="87">
        <v>0.149573</v>
      </c>
      <c r="AE1258" s="87">
        <v>0.504762</v>
      </c>
      <c r="AF1258" s="87">
        <v>0.735246</v>
      </c>
      <c r="AG1258" s="87">
        <v>0.877419</v>
      </c>
      <c r="AH1258" s="87">
        <v>0.0</v>
      </c>
      <c r="AI1258" s="87">
        <v>0.431572</v>
      </c>
      <c r="AJ1258" s="87">
        <v>0.314767</v>
      </c>
      <c r="AK1258" s="87">
        <v>0.549802</v>
      </c>
      <c r="AL1258" s="88" t="s">
        <v>1396</v>
      </c>
    </row>
    <row r="1259">
      <c r="A1259" s="84" t="s">
        <v>3075</v>
      </c>
      <c r="B1259" s="84" t="s">
        <v>3084</v>
      </c>
      <c r="C1259" s="84" t="s">
        <v>1130</v>
      </c>
      <c r="D1259" s="84" t="s">
        <v>1131</v>
      </c>
      <c r="E1259" s="84" t="s">
        <v>1400</v>
      </c>
      <c r="F1259" s="87">
        <v>77.0</v>
      </c>
      <c r="G1259" s="87">
        <v>25.0</v>
      </c>
      <c r="H1259" s="87">
        <v>7197.0</v>
      </c>
      <c r="I1259" s="87">
        <v>1585.0</v>
      </c>
      <c r="J1259" s="87">
        <v>8.022222</v>
      </c>
      <c r="K1259" s="87">
        <v>9.411558</v>
      </c>
      <c r="L1259" s="87">
        <v>8.223727</v>
      </c>
      <c r="M1259" s="87">
        <v>7.806234</v>
      </c>
      <c r="N1259" s="87">
        <v>0.829431</v>
      </c>
      <c r="O1259" s="87">
        <v>0.0</v>
      </c>
      <c r="P1259" s="87">
        <v>0.0</v>
      </c>
      <c r="Q1259" s="87">
        <v>0.0</v>
      </c>
      <c r="R1259" s="87">
        <v>0.032258</v>
      </c>
      <c r="S1259" s="87">
        <v>0.069016</v>
      </c>
      <c r="T1259" s="87">
        <v>0.033333</v>
      </c>
      <c r="U1259" s="87">
        <v>0.034483</v>
      </c>
      <c r="V1259" s="87">
        <v>0.05</v>
      </c>
      <c r="W1259" s="87">
        <v>0.073819</v>
      </c>
      <c r="X1259" s="87">
        <v>0.164516</v>
      </c>
      <c r="Y1259" s="87">
        <v>0.122228</v>
      </c>
      <c r="Z1259" s="87">
        <v>0.0</v>
      </c>
      <c r="AA1259" s="87">
        <v>0.268294</v>
      </c>
      <c r="AB1259" s="87">
        <v>0.384393</v>
      </c>
      <c r="AC1259" s="87">
        <v>0.633822</v>
      </c>
      <c r="AD1259" s="87">
        <v>0.033466</v>
      </c>
      <c r="AE1259" s="87">
        <v>0.146795</v>
      </c>
      <c r="AF1259" s="87">
        <v>0.524706</v>
      </c>
      <c r="AG1259" s="87">
        <v>0.128084</v>
      </c>
      <c r="AH1259" s="87">
        <v>0.0</v>
      </c>
      <c r="AI1259" s="87">
        <v>0.431572</v>
      </c>
      <c r="AJ1259" s="87">
        <v>0.314767</v>
      </c>
      <c r="AK1259" s="87">
        <v>0.549802</v>
      </c>
      <c r="AL1259" s="88" t="s">
        <v>1396</v>
      </c>
    </row>
    <row r="1260">
      <c r="A1260" s="84" t="s">
        <v>3066</v>
      </c>
      <c r="B1260" s="84" t="s">
        <v>3085</v>
      </c>
      <c r="C1260" s="84" t="s">
        <v>1130</v>
      </c>
      <c r="D1260" s="84" t="s">
        <v>1131</v>
      </c>
      <c r="E1260" s="89">
        <v>46300.0</v>
      </c>
      <c r="F1260" s="87">
        <v>42.0</v>
      </c>
      <c r="G1260" s="87">
        <v>2.0</v>
      </c>
      <c r="H1260" s="87">
        <v>8055.0</v>
      </c>
      <c r="I1260" s="87">
        <v>75.0</v>
      </c>
      <c r="J1260" s="87">
        <v>40.03067</v>
      </c>
      <c r="K1260" s="87">
        <v>45.20324</v>
      </c>
      <c r="L1260" s="87">
        <v>43.46095</v>
      </c>
      <c r="M1260" s="87">
        <v>33.13688</v>
      </c>
      <c r="N1260" s="87">
        <v>0.733064</v>
      </c>
      <c r="O1260" s="87">
        <v>0.0</v>
      </c>
      <c r="P1260" s="87">
        <v>0.033333</v>
      </c>
      <c r="Q1260" s="87">
        <v>0.133333</v>
      </c>
      <c r="R1260" s="87">
        <v>0.304224</v>
      </c>
      <c r="S1260" s="87">
        <v>1.165591</v>
      </c>
      <c r="T1260" s="87">
        <v>0.041667</v>
      </c>
      <c r="U1260" s="87">
        <v>0.138462</v>
      </c>
      <c r="V1260" s="87">
        <v>0.191228</v>
      </c>
      <c r="W1260" s="87">
        <v>0.433333</v>
      </c>
      <c r="X1260" s="87">
        <v>1.424242</v>
      </c>
      <c r="Y1260" s="87">
        <v>1.076268</v>
      </c>
      <c r="Z1260" s="87">
        <v>0.0</v>
      </c>
      <c r="AA1260" s="87">
        <v>0.268294</v>
      </c>
      <c r="AB1260" s="87">
        <v>0.384393</v>
      </c>
      <c r="AC1260" s="87">
        <v>0.633822</v>
      </c>
      <c r="AD1260" s="87">
        <v>0.378877</v>
      </c>
      <c r="AE1260" s="87">
        <v>0.567554</v>
      </c>
      <c r="AF1260" s="87">
        <v>0.834736</v>
      </c>
      <c r="AG1260" s="87">
        <v>0.760531</v>
      </c>
      <c r="AH1260" s="87">
        <v>0.0</v>
      </c>
      <c r="AI1260" s="87">
        <v>0.431572</v>
      </c>
      <c r="AJ1260" s="87">
        <v>0.314767</v>
      </c>
      <c r="AK1260" s="87">
        <v>0.549802</v>
      </c>
      <c r="AL1260" s="88" t="s">
        <v>1396</v>
      </c>
    </row>
    <row r="1261">
      <c r="A1261" s="84" t="s">
        <v>3068</v>
      </c>
      <c r="B1261" s="84" t="s">
        <v>3086</v>
      </c>
      <c r="C1261" s="84" t="s">
        <v>1130</v>
      </c>
      <c r="D1261" s="84" t="s">
        <v>1131</v>
      </c>
      <c r="E1261" s="84" t="s">
        <v>1403</v>
      </c>
      <c r="F1261" s="87">
        <v>153.0</v>
      </c>
      <c r="G1261" s="87">
        <v>13.0</v>
      </c>
      <c r="H1261" s="87">
        <v>593.0</v>
      </c>
      <c r="I1261" s="87">
        <v>593.0</v>
      </c>
      <c r="J1261" s="87">
        <v>0.0</v>
      </c>
      <c r="K1261" s="87">
        <v>0.0</v>
      </c>
      <c r="L1261" s="87">
        <v>0.0</v>
      </c>
      <c r="M1261" s="87">
        <v>0.0</v>
      </c>
      <c r="N1261" s="87">
        <v>0.0</v>
      </c>
      <c r="O1261" s="87">
        <v>0.0</v>
      </c>
      <c r="P1261" s="87">
        <v>0.0</v>
      </c>
      <c r="Q1261" s="87">
        <v>0.0</v>
      </c>
      <c r="R1261" s="87">
        <v>0.0</v>
      </c>
      <c r="S1261" s="87">
        <v>0.0</v>
      </c>
      <c r="T1261" s="87">
        <v>0.0</v>
      </c>
      <c r="U1261" s="87">
        <v>0.0</v>
      </c>
      <c r="V1261" s="87">
        <v>0.0</v>
      </c>
      <c r="W1261" s="87">
        <v>0.0</v>
      </c>
      <c r="X1261" s="87">
        <v>0.0</v>
      </c>
      <c r="Y1261" s="87">
        <v>0.0</v>
      </c>
      <c r="Z1261" s="87">
        <v>0.0</v>
      </c>
      <c r="AA1261" s="87">
        <v>0.268294</v>
      </c>
      <c r="AB1261" s="87">
        <v>0.384393</v>
      </c>
      <c r="AC1261" s="87">
        <v>0.633822</v>
      </c>
      <c r="AD1261" s="87">
        <v>0.0</v>
      </c>
      <c r="AE1261" s="87">
        <v>0.0</v>
      </c>
      <c r="AF1261" s="87">
        <v>0.0</v>
      </c>
      <c r="AG1261" s="87">
        <v>0.0</v>
      </c>
      <c r="AH1261" s="87">
        <v>0.0</v>
      </c>
      <c r="AI1261" s="87">
        <v>0.431572</v>
      </c>
      <c r="AJ1261" s="87">
        <v>0.314767</v>
      </c>
      <c r="AK1261" s="87">
        <v>0.549802</v>
      </c>
      <c r="AL1261" s="88" t="s">
        <v>1396</v>
      </c>
    </row>
    <row r="1262">
      <c r="A1262" s="84" t="s">
        <v>3062</v>
      </c>
      <c r="B1262" s="84" t="s">
        <v>2448</v>
      </c>
      <c r="C1262" s="84" t="s">
        <v>1130</v>
      </c>
      <c r="D1262" s="84" t="s">
        <v>1135</v>
      </c>
      <c r="E1262" s="84" t="s">
        <v>1426</v>
      </c>
      <c r="F1262" s="87">
        <v>29.0</v>
      </c>
      <c r="G1262" s="87">
        <v>5.0</v>
      </c>
      <c r="H1262" s="87">
        <v>8037.0</v>
      </c>
      <c r="I1262" s="87">
        <v>526.0</v>
      </c>
      <c r="J1262" s="87">
        <v>12.45833</v>
      </c>
      <c r="K1262" s="87">
        <v>15.94427</v>
      </c>
      <c r="L1262" s="87">
        <v>33.3211</v>
      </c>
      <c r="M1262" s="87">
        <v>9.225828</v>
      </c>
      <c r="N1262" s="87">
        <v>0.57863</v>
      </c>
      <c r="O1262" s="87">
        <v>0.0</v>
      </c>
      <c r="P1262" s="87">
        <v>0.0</v>
      </c>
      <c r="Q1262" s="87">
        <v>0.0</v>
      </c>
      <c r="R1262" s="87">
        <v>0.333333</v>
      </c>
      <c r="S1262" s="87">
        <v>0.666667</v>
      </c>
      <c r="T1262" s="87">
        <v>0.066667</v>
      </c>
      <c r="U1262" s="87">
        <v>0.321439</v>
      </c>
      <c r="V1262" s="87">
        <v>0.366667</v>
      </c>
      <c r="W1262" s="87">
        <v>0.66665</v>
      </c>
      <c r="X1262" s="87">
        <v>0.991928</v>
      </c>
      <c r="Y1262" s="87">
        <v>0.549802</v>
      </c>
      <c r="Z1262" s="87">
        <v>0.0</v>
      </c>
      <c r="AA1262" s="87">
        <v>0.778993</v>
      </c>
      <c r="AB1262" s="87">
        <v>0.270118</v>
      </c>
      <c r="AC1262" s="87">
        <v>0.672438</v>
      </c>
      <c r="AD1262" s="87">
        <v>0.336918</v>
      </c>
      <c r="AE1262" s="87">
        <v>0.729263</v>
      </c>
      <c r="AF1262" s="87">
        <v>1.126421</v>
      </c>
      <c r="AG1262" s="87">
        <v>1.213376</v>
      </c>
      <c r="AH1262" s="87">
        <v>0.0</v>
      </c>
      <c r="AI1262" s="87">
        <v>0.431572</v>
      </c>
      <c r="AJ1262" s="87">
        <v>0.314767</v>
      </c>
      <c r="AK1262" s="87">
        <v>0.549802</v>
      </c>
      <c r="AL1262" s="88" t="s">
        <v>1396</v>
      </c>
    </row>
    <row r="1263">
      <c r="A1263" s="84" t="s">
        <v>3064</v>
      </c>
      <c r="B1263" s="84" t="s">
        <v>2449</v>
      </c>
      <c r="C1263" s="84" t="s">
        <v>1130</v>
      </c>
      <c r="D1263" s="84" t="s">
        <v>1135</v>
      </c>
      <c r="E1263" s="86">
        <v>46310.0</v>
      </c>
      <c r="F1263" s="87">
        <v>31.0</v>
      </c>
      <c r="G1263" s="87">
        <v>3.0</v>
      </c>
      <c r="H1263" s="87">
        <v>4673.0</v>
      </c>
      <c r="I1263" s="87">
        <v>468.0</v>
      </c>
      <c r="J1263" s="87">
        <v>19.66187</v>
      </c>
      <c r="K1263" s="87">
        <v>20.84557</v>
      </c>
      <c r="L1263" s="87">
        <v>56.77342</v>
      </c>
      <c r="M1263" s="87">
        <v>14.90435</v>
      </c>
      <c r="N1263" s="87">
        <v>0.714989</v>
      </c>
      <c r="O1263" s="87">
        <v>0.0</v>
      </c>
      <c r="P1263" s="87">
        <v>0.0</v>
      </c>
      <c r="Q1263" s="87">
        <v>0.033333</v>
      </c>
      <c r="R1263" s="87">
        <v>0.284524</v>
      </c>
      <c r="S1263" s="87">
        <v>0.765161</v>
      </c>
      <c r="T1263" s="87">
        <v>0.1</v>
      </c>
      <c r="U1263" s="87">
        <v>0.132258</v>
      </c>
      <c r="V1263" s="87">
        <v>0.284524</v>
      </c>
      <c r="W1263" s="87">
        <v>0.765152</v>
      </c>
      <c r="X1263" s="87">
        <v>1.144623</v>
      </c>
      <c r="Y1263" s="87">
        <v>0.672438</v>
      </c>
      <c r="Z1263" s="87">
        <v>0.0</v>
      </c>
      <c r="AA1263" s="87">
        <v>0.778993</v>
      </c>
      <c r="AB1263" s="87">
        <v>0.270118</v>
      </c>
      <c r="AC1263" s="87">
        <v>0.672438</v>
      </c>
      <c r="AD1263" s="87">
        <v>0.214835</v>
      </c>
      <c r="AE1263" s="87">
        <v>0.554762</v>
      </c>
      <c r="AF1263" s="87">
        <v>0.62897</v>
      </c>
      <c r="AG1263" s="87">
        <v>0.554762</v>
      </c>
      <c r="AH1263" s="87">
        <v>0.0</v>
      </c>
      <c r="AI1263" s="87">
        <v>0.431572</v>
      </c>
      <c r="AJ1263" s="87">
        <v>0.314767</v>
      </c>
      <c r="AK1263" s="87">
        <v>0.549802</v>
      </c>
      <c r="AL1263" s="88" t="s">
        <v>1396</v>
      </c>
    </row>
    <row r="1264">
      <c r="A1264" s="84" t="s">
        <v>3071</v>
      </c>
      <c r="B1264" s="84" t="s">
        <v>2450</v>
      </c>
      <c r="C1264" s="84" t="s">
        <v>1130</v>
      </c>
      <c r="D1264" s="84" t="s">
        <v>1135</v>
      </c>
      <c r="E1264" s="84" t="s">
        <v>1413</v>
      </c>
      <c r="F1264" s="87">
        <v>14.0</v>
      </c>
      <c r="G1264" s="87">
        <v>0.0</v>
      </c>
      <c r="H1264" s="87">
        <v>3152.0</v>
      </c>
      <c r="I1264" s="87">
        <v>0.0</v>
      </c>
      <c r="J1264" s="87">
        <v>19.57138</v>
      </c>
      <c r="K1264" s="87">
        <v>17.96226</v>
      </c>
      <c r="L1264" s="87">
        <v>39.83425</v>
      </c>
      <c r="M1264" s="87">
        <v>13.1</v>
      </c>
      <c r="N1264" s="87">
        <v>0.729307</v>
      </c>
      <c r="O1264" s="87">
        <v>0.0</v>
      </c>
      <c r="P1264" s="87">
        <v>0.033333</v>
      </c>
      <c r="Q1264" s="87">
        <v>0.3</v>
      </c>
      <c r="R1264" s="87">
        <v>0.5</v>
      </c>
      <c r="S1264" s="87">
        <v>1.071199</v>
      </c>
      <c r="T1264" s="87">
        <v>0.033333</v>
      </c>
      <c r="U1264" s="87">
        <v>0.3</v>
      </c>
      <c r="V1264" s="87">
        <v>0.4</v>
      </c>
      <c r="W1264" s="87">
        <v>0.767289</v>
      </c>
      <c r="X1264" s="87">
        <v>1.257108</v>
      </c>
      <c r="Y1264" s="87">
        <v>1.283019</v>
      </c>
      <c r="Z1264" s="87">
        <v>0.0</v>
      </c>
      <c r="AA1264" s="87">
        <v>0.778993</v>
      </c>
      <c r="AB1264" s="87">
        <v>0.270118</v>
      </c>
      <c r="AC1264" s="87">
        <v>0.672438</v>
      </c>
      <c r="AD1264" s="87">
        <v>0.101149</v>
      </c>
      <c r="AE1264" s="87">
        <v>0.483824</v>
      </c>
      <c r="AF1264" s="87">
        <v>0.984913</v>
      </c>
      <c r="AG1264" s="87">
        <v>1.187828</v>
      </c>
      <c r="AH1264" s="87">
        <v>0.0</v>
      </c>
      <c r="AI1264" s="87">
        <v>0.431572</v>
      </c>
      <c r="AJ1264" s="87">
        <v>0.314767</v>
      </c>
      <c r="AK1264" s="87">
        <v>0.549802</v>
      </c>
      <c r="AL1264" s="88" t="s">
        <v>1396</v>
      </c>
    </row>
    <row r="1265">
      <c r="A1265" s="84" t="s">
        <v>3073</v>
      </c>
      <c r="B1265" s="84" t="s">
        <v>2451</v>
      </c>
      <c r="C1265" s="84" t="s">
        <v>1130</v>
      </c>
      <c r="D1265" s="84" t="s">
        <v>1135</v>
      </c>
      <c r="E1265" s="84" t="s">
        <v>1398</v>
      </c>
      <c r="F1265" s="87">
        <v>21.0</v>
      </c>
      <c r="G1265" s="87">
        <v>2.0</v>
      </c>
      <c r="H1265" s="87">
        <v>2248.0</v>
      </c>
      <c r="I1265" s="87">
        <v>67.0</v>
      </c>
      <c r="J1265" s="87">
        <v>5.459774</v>
      </c>
      <c r="K1265" s="87">
        <v>24.76466</v>
      </c>
      <c r="L1265" s="87">
        <v>18.24888</v>
      </c>
      <c r="M1265" s="87">
        <v>19.42003</v>
      </c>
      <c r="N1265" s="87">
        <v>0.784183</v>
      </c>
      <c r="O1265" s="87">
        <v>0.0</v>
      </c>
      <c r="P1265" s="87">
        <v>0.0</v>
      </c>
      <c r="Q1265" s="87">
        <v>0.0</v>
      </c>
      <c r="R1265" s="87">
        <v>0.206536</v>
      </c>
      <c r="S1265" s="87">
        <v>1.0</v>
      </c>
      <c r="T1265" s="87">
        <v>0.066667</v>
      </c>
      <c r="U1265" s="87">
        <v>0.066667</v>
      </c>
      <c r="V1265" s="87">
        <v>0.3</v>
      </c>
      <c r="W1265" s="87">
        <v>1.0</v>
      </c>
      <c r="X1265" s="87">
        <v>2.034483</v>
      </c>
      <c r="Y1265" s="87">
        <v>1.179269</v>
      </c>
      <c r="Z1265" s="87">
        <v>0.0</v>
      </c>
      <c r="AA1265" s="87">
        <v>0.778993</v>
      </c>
      <c r="AB1265" s="87">
        <v>0.270118</v>
      </c>
      <c r="AC1265" s="87">
        <v>0.672438</v>
      </c>
      <c r="AD1265" s="87">
        <v>0.149573</v>
      </c>
      <c r="AE1265" s="87">
        <v>0.504762</v>
      </c>
      <c r="AF1265" s="87">
        <v>0.735246</v>
      </c>
      <c r="AG1265" s="87">
        <v>0.877419</v>
      </c>
      <c r="AH1265" s="87">
        <v>0.0</v>
      </c>
      <c r="AI1265" s="87">
        <v>0.431572</v>
      </c>
      <c r="AJ1265" s="87">
        <v>0.314767</v>
      </c>
      <c r="AK1265" s="87">
        <v>0.549802</v>
      </c>
      <c r="AL1265" s="88" t="s">
        <v>1396</v>
      </c>
    </row>
    <row r="1266">
      <c r="A1266" s="84" t="s">
        <v>3075</v>
      </c>
      <c r="B1266" s="84" t="s">
        <v>2452</v>
      </c>
      <c r="C1266" s="84" t="s">
        <v>1130</v>
      </c>
      <c r="D1266" s="84" t="s">
        <v>1135</v>
      </c>
      <c r="E1266" s="84" t="s">
        <v>1400</v>
      </c>
      <c r="F1266" s="87">
        <v>88.0</v>
      </c>
      <c r="G1266" s="87">
        <v>30.0</v>
      </c>
      <c r="H1266" s="87">
        <v>4612.0</v>
      </c>
      <c r="I1266" s="87">
        <v>1747.0</v>
      </c>
      <c r="J1266" s="87">
        <v>6.263009</v>
      </c>
      <c r="K1266" s="87">
        <v>87.26357</v>
      </c>
      <c r="L1266" s="87">
        <v>23.20859</v>
      </c>
      <c r="M1266" s="87">
        <v>70.65278</v>
      </c>
      <c r="N1266" s="87">
        <v>0.809648</v>
      </c>
      <c r="O1266" s="87">
        <v>0.0</v>
      </c>
      <c r="P1266" s="87">
        <v>0.0</v>
      </c>
      <c r="Q1266" s="87">
        <v>0.0</v>
      </c>
      <c r="R1266" s="87">
        <v>0.063997</v>
      </c>
      <c r="S1266" s="87">
        <v>1.0</v>
      </c>
      <c r="T1266" s="87">
        <v>0.033333</v>
      </c>
      <c r="U1266" s="87">
        <v>0.066667</v>
      </c>
      <c r="V1266" s="87">
        <v>0.114177</v>
      </c>
      <c r="W1266" s="87">
        <v>1.0</v>
      </c>
      <c r="X1266" s="87">
        <v>1.281746</v>
      </c>
      <c r="Y1266" s="87">
        <v>0.991631</v>
      </c>
      <c r="Z1266" s="87">
        <v>0.0</v>
      </c>
      <c r="AA1266" s="87">
        <v>0.778993</v>
      </c>
      <c r="AB1266" s="87">
        <v>0.270118</v>
      </c>
      <c r="AC1266" s="87">
        <v>0.672438</v>
      </c>
      <c r="AD1266" s="87">
        <v>0.033466</v>
      </c>
      <c r="AE1266" s="87">
        <v>0.146795</v>
      </c>
      <c r="AF1266" s="87">
        <v>0.524706</v>
      </c>
      <c r="AG1266" s="87">
        <v>0.128084</v>
      </c>
      <c r="AH1266" s="87">
        <v>0.0</v>
      </c>
      <c r="AI1266" s="87">
        <v>0.431572</v>
      </c>
      <c r="AJ1266" s="87">
        <v>0.314767</v>
      </c>
      <c r="AK1266" s="87">
        <v>0.549802</v>
      </c>
      <c r="AL1266" s="88" t="s">
        <v>1396</v>
      </c>
    </row>
    <row r="1267">
      <c r="A1267" s="84" t="s">
        <v>3066</v>
      </c>
      <c r="B1267" s="84" t="s">
        <v>2453</v>
      </c>
      <c r="C1267" s="84" t="s">
        <v>1130</v>
      </c>
      <c r="D1267" s="84" t="s">
        <v>1135</v>
      </c>
      <c r="E1267" s="89">
        <v>46300.0</v>
      </c>
      <c r="F1267" s="87">
        <v>46.0</v>
      </c>
      <c r="G1267" s="87">
        <v>0.0</v>
      </c>
      <c r="H1267" s="87">
        <v>6332.0</v>
      </c>
      <c r="I1267" s="87">
        <v>0.0</v>
      </c>
      <c r="J1267" s="87">
        <v>27.77063</v>
      </c>
      <c r="K1267" s="87">
        <v>26.92018</v>
      </c>
      <c r="L1267" s="87">
        <v>36.00339</v>
      </c>
      <c r="M1267" s="87">
        <v>16.25742</v>
      </c>
      <c r="N1267" s="87">
        <v>0.603912</v>
      </c>
      <c r="O1267" s="87">
        <v>0.0</v>
      </c>
      <c r="P1267" s="87">
        <v>0.033333</v>
      </c>
      <c r="Q1267" s="87">
        <v>0.102381</v>
      </c>
      <c r="R1267" s="87">
        <v>0.337842</v>
      </c>
      <c r="S1267" s="87">
        <v>0.675855</v>
      </c>
      <c r="T1267" s="87">
        <v>0.1</v>
      </c>
      <c r="U1267" s="87">
        <v>0.166667</v>
      </c>
      <c r="V1267" s="87">
        <v>0.3</v>
      </c>
      <c r="W1267" s="87">
        <v>0.422236</v>
      </c>
      <c r="X1267" s="87">
        <v>0.832258</v>
      </c>
      <c r="Y1267" s="87">
        <v>0.585221</v>
      </c>
      <c r="Z1267" s="87">
        <v>0.0</v>
      </c>
      <c r="AA1267" s="87">
        <v>0.778993</v>
      </c>
      <c r="AB1267" s="87">
        <v>0.270118</v>
      </c>
      <c r="AC1267" s="87">
        <v>0.672438</v>
      </c>
      <c r="AD1267" s="87">
        <v>0.378877</v>
      </c>
      <c r="AE1267" s="87">
        <v>0.567554</v>
      </c>
      <c r="AF1267" s="87">
        <v>0.834736</v>
      </c>
      <c r="AG1267" s="87">
        <v>0.760531</v>
      </c>
      <c r="AH1267" s="87">
        <v>0.0</v>
      </c>
      <c r="AI1267" s="87">
        <v>0.431572</v>
      </c>
      <c r="AJ1267" s="87">
        <v>0.314767</v>
      </c>
      <c r="AK1267" s="87">
        <v>0.549802</v>
      </c>
      <c r="AL1267" s="88" t="s">
        <v>1396</v>
      </c>
    </row>
    <row r="1268">
      <c r="A1268" s="84" t="s">
        <v>3068</v>
      </c>
      <c r="B1268" s="84" t="s">
        <v>2454</v>
      </c>
      <c r="C1268" s="84" t="s">
        <v>1130</v>
      </c>
      <c r="D1268" s="84" t="s">
        <v>1135</v>
      </c>
      <c r="E1268" s="84" t="s">
        <v>1403</v>
      </c>
      <c r="F1268" s="87">
        <v>456.0</v>
      </c>
      <c r="G1268" s="87">
        <v>52.0</v>
      </c>
      <c r="H1268" s="87">
        <v>7277.0</v>
      </c>
      <c r="I1268" s="87">
        <v>7277.0</v>
      </c>
      <c r="J1268" s="87">
        <v>0.0</v>
      </c>
      <c r="K1268" s="87">
        <v>0.0</v>
      </c>
      <c r="L1268" s="87">
        <v>0.0</v>
      </c>
      <c r="M1268" s="87">
        <v>0.0</v>
      </c>
      <c r="N1268" s="87">
        <v>0.0</v>
      </c>
      <c r="O1268" s="87">
        <v>0.0</v>
      </c>
      <c r="P1268" s="87">
        <v>0.0</v>
      </c>
      <c r="Q1268" s="87">
        <v>0.0</v>
      </c>
      <c r="R1268" s="87">
        <v>0.0</v>
      </c>
      <c r="S1268" s="87">
        <v>0.0</v>
      </c>
      <c r="T1268" s="87">
        <v>0.0</v>
      </c>
      <c r="U1268" s="87">
        <v>0.0</v>
      </c>
      <c r="V1268" s="87">
        <v>0.0</v>
      </c>
      <c r="W1268" s="87">
        <v>0.0</v>
      </c>
      <c r="X1268" s="87">
        <v>0.0</v>
      </c>
      <c r="Y1268" s="87">
        <v>0.0</v>
      </c>
      <c r="Z1268" s="87">
        <v>0.0</v>
      </c>
      <c r="AA1268" s="87">
        <v>0.778993</v>
      </c>
      <c r="AB1268" s="87">
        <v>0.270118</v>
      </c>
      <c r="AC1268" s="87">
        <v>0.672438</v>
      </c>
      <c r="AD1268" s="87">
        <v>0.0</v>
      </c>
      <c r="AE1268" s="87">
        <v>0.0</v>
      </c>
      <c r="AF1268" s="87">
        <v>0.0</v>
      </c>
      <c r="AG1268" s="87">
        <v>0.0</v>
      </c>
      <c r="AH1268" s="87">
        <v>0.0</v>
      </c>
      <c r="AI1268" s="87">
        <v>0.431572</v>
      </c>
      <c r="AJ1268" s="87">
        <v>0.314767</v>
      </c>
      <c r="AK1268" s="87">
        <v>0.549802</v>
      </c>
      <c r="AL1268" s="88" t="s">
        <v>1396</v>
      </c>
    </row>
    <row r="1269">
      <c r="A1269" s="84" t="s">
        <v>3062</v>
      </c>
      <c r="B1269" s="84" t="s">
        <v>3087</v>
      </c>
      <c r="C1269" s="84" t="s">
        <v>1130</v>
      </c>
      <c r="D1269" s="84" t="s">
        <v>2456</v>
      </c>
      <c r="E1269" s="84" t="s">
        <v>1426</v>
      </c>
      <c r="F1269" s="87">
        <v>2.0</v>
      </c>
      <c r="G1269" s="87">
        <v>0.0</v>
      </c>
      <c r="H1269" s="87">
        <v>298.0</v>
      </c>
      <c r="I1269" s="87">
        <v>0.0</v>
      </c>
      <c r="J1269" s="87">
        <v>0.658442</v>
      </c>
      <c r="K1269" s="87">
        <v>0.468043</v>
      </c>
      <c r="L1269" s="87">
        <v>0.518117</v>
      </c>
      <c r="M1269" s="87">
        <v>0.299078</v>
      </c>
      <c r="N1269" s="87">
        <v>0.638996</v>
      </c>
      <c r="O1269" s="87">
        <v>0.168966</v>
      </c>
      <c r="P1269" s="87">
        <v>0.168966</v>
      </c>
      <c r="Q1269" s="87">
        <v>0.168966</v>
      </c>
      <c r="R1269" s="87">
        <v>0.299078</v>
      </c>
      <c r="S1269" s="87">
        <v>0.299078</v>
      </c>
      <c r="T1269" s="87">
        <v>0.168966</v>
      </c>
      <c r="U1269" s="87">
        <v>0.168966</v>
      </c>
      <c r="V1269" s="87">
        <v>0.168966</v>
      </c>
      <c r="W1269" s="87">
        <v>0.299078</v>
      </c>
      <c r="X1269" s="87">
        <v>0.299078</v>
      </c>
      <c r="Y1269" s="87">
        <v>0.234022</v>
      </c>
      <c r="Z1269" s="87">
        <v>0.0</v>
      </c>
      <c r="AA1269" s="87">
        <v>0.168966</v>
      </c>
      <c r="AB1269" s="87">
        <v>0.303534</v>
      </c>
      <c r="AC1269" s="87">
        <v>0.15955</v>
      </c>
      <c r="AD1269" s="87">
        <v>0.336918</v>
      </c>
      <c r="AE1269" s="87">
        <v>0.729263</v>
      </c>
      <c r="AF1269" s="87">
        <v>1.126421</v>
      </c>
      <c r="AG1269" s="87">
        <v>1.213376</v>
      </c>
      <c r="AH1269" s="87">
        <v>0.0</v>
      </c>
      <c r="AI1269" s="87">
        <v>0.431572</v>
      </c>
      <c r="AJ1269" s="87">
        <v>0.314767</v>
      </c>
      <c r="AK1269" s="87">
        <v>0.549802</v>
      </c>
      <c r="AL1269" s="88" t="s">
        <v>1396</v>
      </c>
    </row>
    <row r="1270">
      <c r="A1270" s="84" t="s">
        <v>3071</v>
      </c>
      <c r="B1270" s="84" t="s">
        <v>3088</v>
      </c>
      <c r="C1270" s="84" t="s">
        <v>1130</v>
      </c>
      <c r="D1270" s="84" t="s">
        <v>2456</v>
      </c>
      <c r="E1270" s="84" t="s">
        <v>1413</v>
      </c>
      <c r="F1270" s="87">
        <v>2.0</v>
      </c>
      <c r="G1270" s="87">
        <v>0.0</v>
      </c>
      <c r="H1270" s="87">
        <v>143.0</v>
      </c>
      <c r="I1270" s="87">
        <v>0.0</v>
      </c>
      <c r="J1270" s="87">
        <v>0.142857</v>
      </c>
      <c r="K1270" s="87">
        <v>0.333333</v>
      </c>
      <c r="L1270" s="87">
        <v>0.161111</v>
      </c>
      <c r="M1270" s="87">
        <v>0.3</v>
      </c>
      <c r="N1270" s="87">
        <v>0.9</v>
      </c>
      <c r="O1270" s="87">
        <v>0.033333</v>
      </c>
      <c r="P1270" s="87">
        <v>0.033333</v>
      </c>
      <c r="Q1270" s="87">
        <v>0.033333</v>
      </c>
      <c r="R1270" s="87">
        <v>0.3</v>
      </c>
      <c r="S1270" s="87">
        <v>0.3</v>
      </c>
      <c r="T1270" s="87">
        <v>0.033333</v>
      </c>
      <c r="U1270" s="87">
        <v>0.033333</v>
      </c>
      <c r="V1270" s="87">
        <v>0.033333</v>
      </c>
      <c r="W1270" s="87">
        <v>0.3</v>
      </c>
      <c r="X1270" s="87">
        <v>0.3</v>
      </c>
      <c r="Y1270" s="87">
        <v>0.166667</v>
      </c>
      <c r="Z1270" s="87">
        <v>0.0</v>
      </c>
      <c r="AA1270" s="87">
        <v>0.168966</v>
      </c>
      <c r="AB1270" s="87">
        <v>0.303534</v>
      </c>
      <c r="AC1270" s="87">
        <v>0.15955</v>
      </c>
      <c r="AD1270" s="87">
        <v>0.101149</v>
      </c>
      <c r="AE1270" s="87">
        <v>0.483824</v>
      </c>
      <c r="AF1270" s="87">
        <v>0.984913</v>
      </c>
      <c r="AG1270" s="87">
        <v>1.187828</v>
      </c>
      <c r="AH1270" s="87">
        <v>0.0</v>
      </c>
      <c r="AI1270" s="87">
        <v>0.431572</v>
      </c>
      <c r="AJ1270" s="87">
        <v>0.314767</v>
      </c>
      <c r="AK1270" s="87">
        <v>0.549802</v>
      </c>
      <c r="AL1270" s="88" t="s">
        <v>1396</v>
      </c>
    </row>
    <row r="1271">
      <c r="A1271" s="84" t="s">
        <v>3073</v>
      </c>
      <c r="B1271" s="84" t="s">
        <v>2455</v>
      </c>
      <c r="C1271" s="84" t="s">
        <v>1130</v>
      </c>
      <c r="D1271" s="84" t="s">
        <v>2456</v>
      </c>
      <c r="E1271" s="84" t="s">
        <v>1398</v>
      </c>
      <c r="F1271" s="87">
        <v>3.0</v>
      </c>
      <c r="G1271" s="87">
        <v>0.0</v>
      </c>
      <c r="H1271" s="87">
        <v>352.0</v>
      </c>
      <c r="I1271" s="87">
        <v>0.0</v>
      </c>
      <c r="J1271" s="87">
        <v>1.857143</v>
      </c>
      <c r="K1271" s="87">
        <v>2.632258</v>
      </c>
      <c r="L1271" s="87">
        <v>1.893556</v>
      </c>
      <c r="M1271" s="87">
        <v>1.698925</v>
      </c>
      <c r="N1271" s="87">
        <v>0.645425</v>
      </c>
      <c r="O1271" s="87">
        <v>0.033333</v>
      </c>
      <c r="P1271" s="87">
        <v>0.033333</v>
      </c>
      <c r="Q1271" s="87">
        <v>0.033333</v>
      </c>
      <c r="R1271" s="87">
        <v>0.9</v>
      </c>
      <c r="S1271" s="87">
        <v>1.698925</v>
      </c>
      <c r="T1271" s="87">
        <v>0.033333</v>
      </c>
      <c r="U1271" s="87">
        <v>0.033333</v>
      </c>
      <c r="V1271" s="87">
        <v>0.033333</v>
      </c>
      <c r="W1271" s="87">
        <v>0.9</v>
      </c>
      <c r="X1271" s="87">
        <v>1.698925</v>
      </c>
      <c r="Y1271" s="87">
        <v>0.877419</v>
      </c>
      <c r="Z1271" s="87">
        <v>0.0</v>
      </c>
      <c r="AA1271" s="87">
        <v>0.168966</v>
      </c>
      <c r="AB1271" s="87">
        <v>0.303534</v>
      </c>
      <c r="AC1271" s="87">
        <v>0.15955</v>
      </c>
      <c r="AD1271" s="87">
        <v>0.149573</v>
      </c>
      <c r="AE1271" s="87">
        <v>0.504762</v>
      </c>
      <c r="AF1271" s="87">
        <v>0.735246</v>
      </c>
      <c r="AG1271" s="87">
        <v>0.877419</v>
      </c>
      <c r="AH1271" s="87">
        <v>0.0</v>
      </c>
      <c r="AI1271" s="87">
        <v>0.431572</v>
      </c>
      <c r="AJ1271" s="87">
        <v>0.314767</v>
      </c>
      <c r="AK1271" s="87">
        <v>0.549802</v>
      </c>
      <c r="AL1271" s="88" t="s">
        <v>1396</v>
      </c>
    </row>
    <row r="1272">
      <c r="A1272" s="84" t="s">
        <v>3075</v>
      </c>
      <c r="B1272" s="84" t="s">
        <v>2457</v>
      </c>
      <c r="C1272" s="84" t="s">
        <v>1130</v>
      </c>
      <c r="D1272" s="84" t="s">
        <v>2456</v>
      </c>
      <c r="E1272" s="84" t="s">
        <v>1400</v>
      </c>
      <c r="F1272" s="87">
        <v>19.0</v>
      </c>
      <c r="G1272" s="87">
        <v>6.0</v>
      </c>
      <c r="H1272" s="87">
        <v>1416.0</v>
      </c>
      <c r="I1272" s="87">
        <v>539.0</v>
      </c>
      <c r="J1272" s="87">
        <v>1.011905</v>
      </c>
      <c r="K1272" s="87">
        <v>3.031457</v>
      </c>
      <c r="L1272" s="87">
        <v>1.729718</v>
      </c>
      <c r="M1272" s="87">
        <v>2.744314</v>
      </c>
      <c r="N1272" s="87">
        <v>0.905279</v>
      </c>
      <c r="O1272" s="87">
        <v>0.0</v>
      </c>
      <c r="P1272" s="87">
        <v>0.0</v>
      </c>
      <c r="Q1272" s="87">
        <v>0.0</v>
      </c>
      <c r="R1272" s="87">
        <v>0.033333</v>
      </c>
      <c r="S1272" s="87">
        <v>0.08</v>
      </c>
      <c r="T1272" s="87">
        <v>0.033333</v>
      </c>
      <c r="U1272" s="87">
        <v>0.033333</v>
      </c>
      <c r="V1272" s="87">
        <v>0.035714</v>
      </c>
      <c r="W1272" s="87">
        <v>0.08</v>
      </c>
      <c r="X1272" s="87">
        <v>0.116667</v>
      </c>
      <c r="Y1272" s="87">
        <v>0.15955</v>
      </c>
      <c r="Z1272" s="87">
        <v>0.0</v>
      </c>
      <c r="AA1272" s="87">
        <v>0.168966</v>
      </c>
      <c r="AB1272" s="87">
        <v>0.303534</v>
      </c>
      <c r="AC1272" s="87">
        <v>0.15955</v>
      </c>
      <c r="AD1272" s="87">
        <v>0.033466</v>
      </c>
      <c r="AE1272" s="87">
        <v>0.146795</v>
      </c>
      <c r="AF1272" s="87">
        <v>0.524706</v>
      </c>
      <c r="AG1272" s="87">
        <v>0.128084</v>
      </c>
      <c r="AH1272" s="87">
        <v>0.0</v>
      </c>
      <c r="AI1272" s="87">
        <v>0.431572</v>
      </c>
      <c r="AJ1272" s="87">
        <v>0.314767</v>
      </c>
      <c r="AK1272" s="87">
        <v>0.549802</v>
      </c>
      <c r="AL1272" s="88" t="s">
        <v>1396</v>
      </c>
    </row>
    <row r="1273">
      <c r="A1273" s="84" t="s">
        <v>3066</v>
      </c>
      <c r="B1273" s="84" t="s">
        <v>2458</v>
      </c>
      <c r="C1273" s="84" t="s">
        <v>1130</v>
      </c>
      <c r="D1273" s="84" t="s">
        <v>2456</v>
      </c>
      <c r="E1273" s="89">
        <v>46300.0</v>
      </c>
      <c r="F1273" s="87">
        <v>5.0</v>
      </c>
      <c r="G1273" s="87">
        <v>0.0</v>
      </c>
      <c r="H1273" s="87">
        <v>1378.0</v>
      </c>
      <c r="I1273" s="87">
        <v>0.0</v>
      </c>
      <c r="J1273" s="87">
        <v>9.556477</v>
      </c>
      <c r="K1273" s="87">
        <v>9.318651</v>
      </c>
      <c r="L1273" s="87">
        <v>8.080527</v>
      </c>
      <c r="M1273" s="87">
        <v>8.928059</v>
      </c>
      <c r="N1273" s="87">
        <v>0.958085</v>
      </c>
      <c r="O1273" s="87">
        <v>0.0</v>
      </c>
      <c r="P1273" s="87">
        <v>0.166667</v>
      </c>
      <c r="Q1273" s="87">
        <v>0.166667</v>
      </c>
      <c r="R1273" s="87">
        <v>0.223925</v>
      </c>
      <c r="S1273" s="87">
        <v>0.845389</v>
      </c>
      <c r="T1273" s="87">
        <v>0.166667</v>
      </c>
      <c r="U1273" s="87">
        <v>0.166667</v>
      </c>
      <c r="V1273" s="87">
        <v>0.223925</v>
      </c>
      <c r="W1273" s="87">
        <v>0.845389</v>
      </c>
      <c r="X1273" s="87">
        <v>0.845389</v>
      </c>
      <c r="Y1273" s="87">
        <v>1.86373</v>
      </c>
      <c r="Z1273" s="87">
        <v>0.0</v>
      </c>
      <c r="AA1273" s="87">
        <v>0.168966</v>
      </c>
      <c r="AB1273" s="87">
        <v>0.303534</v>
      </c>
      <c r="AC1273" s="87">
        <v>0.15955</v>
      </c>
      <c r="AD1273" s="87">
        <v>0.378877</v>
      </c>
      <c r="AE1273" s="87">
        <v>0.567554</v>
      </c>
      <c r="AF1273" s="87">
        <v>0.834736</v>
      </c>
      <c r="AG1273" s="87">
        <v>0.760531</v>
      </c>
      <c r="AH1273" s="87">
        <v>0.0</v>
      </c>
      <c r="AI1273" s="87">
        <v>0.431572</v>
      </c>
      <c r="AJ1273" s="87">
        <v>0.314767</v>
      </c>
      <c r="AK1273" s="87">
        <v>0.549802</v>
      </c>
      <c r="AL1273" s="88" t="s">
        <v>1396</v>
      </c>
    </row>
    <row r="1274">
      <c r="A1274" s="84" t="s">
        <v>3068</v>
      </c>
      <c r="B1274" s="84" t="s">
        <v>2459</v>
      </c>
      <c r="C1274" s="84" t="s">
        <v>1130</v>
      </c>
      <c r="D1274" s="84" t="s">
        <v>2456</v>
      </c>
      <c r="E1274" s="84" t="s">
        <v>1403</v>
      </c>
      <c r="F1274" s="87">
        <v>13.0</v>
      </c>
      <c r="G1274" s="87">
        <v>1.0</v>
      </c>
      <c r="H1274" s="87">
        <v>55.0</v>
      </c>
      <c r="I1274" s="87">
        <v>55.0</v>
      </c>
      <c r="J1274" s="87">
        <v>0.0</v>
      </c>
      <c r="K1274" s="87">
        <v>0.0</v>
      </c>
      <c r="L1274" s="87">
        <v>0.0</v>
      </c>
      <c r="M1274" s="87">
        <v>0.0</v>
      </c>
      <c r="N1274" s="87">
        <v>0.0</v>
      </c>
      <c r="O1274" s="87">
        <v>0.0</v>
      </c>
      <c r="P1274" s="87">
        <v>0.0</v>
      </c>
      <c r="Q1274" s="87">
        <v>0.0</v>
      </c>
      <c r="R1274" s="87">
        <v>0.0</v>
      </c>
      <c r="S1274" s="87">
        <v>0.0</v>
      </c>
      <c r="T1274" s="87">
        <v>0.0</v>
      </c>
      <c r="U1274" s="87">
        <v>0.0</v>
      </c>
      <c r="V1274" s="87">
        <v>0.0</v>
      </c>
      <c r="W1274" s="87">
        <v>0.0</v>
      </c>
      <c r="X1274" s="87">
        <v>0.0</v>
      </c>
      <c r="Y1274" s="87">
        <v>0.0</v>
      </c>
      <c r="Z1274" s="87">
        <v>0.0</v>
      </c>
      <c r="AA1274" s="87">
        <v>0.168966</v>
      </c>
      <c r="AB1274" s="87">
        <v>0.303534</v>
      </c>
      <c r="AC1274" s="87">
        <v>0.15955</v>
      </c>
      <c r="AD1274" s="87">
        <v>0.0</v>
      </c>
      <c r="AE1274" s="87">
        <v>0.0</v>
      </c>
      <c r="AF1274" s="87">
        <v>0.0</v>
      </c>
      <c r="AG1274" s="87">
        <v>0.0</v>
      </c>
      <c r="AH1274" s="87">
        <v>0.0</v>
      </c>
      <c r="AI1274" s="87">
        <v>0.431572</v>
      </c>
      <c r="AJ1274" s="87">
        <v>0.314767</v>
      </c>
      <c r="AK1274" s="87">
        <v>0.549802</v>
      </c>
      <c r="AL1274" s="88" t="s">
        <v>1396</v>
      </c>
    </row>
    <row r="1275">
      <c r="A1275" s="84" t="s">
        <v>3089</v>
      </c>
      <c r="B1275" s="84" t="s">
        <v>1491</v>
      </c>
      <c r="C1275" s="84" t="s">
        <v>644</v>
      </c>
      <c r="D1275" s="84" t="s">
        <v>1488</v>
      </c>
      <c r="E1275" s="84" t="s">
        <v>1400</v>
      </c>
      <c r="F1275" s="87">
        <v>2.0</v>
      </c>
      <c r="G1275" s="87">
        <v>0.0</v>
      </c>
      <c r="H1275" s="87">
        <v>0.0</v>
      </c>
      <c r="I1275" s="87">
        <v>0.0</v>
      </c>
      <c r="J1275" s="87">
        <v>0.0</v>
      </c>
      <c r="K1275" s="87">
        <v>0.0</v>
      </c>
      <c r="L1275" s="87">
        <v>0.0</v>
      </c>
      <c r="M1275" s="87">
        <v>0.0</v>
      </c>
      <c r="N1275" s="87">
        <v>0.0</v>
      </c>
      <c r="O1275" s="87">
        <v>0.0</v>
      </c>
      <c r="P1275" s="87">
        <v>0.0</v>
      </c>
      <c r="Q1275" s="87">
        <v>0.0</v>
      </c>
      <c r="R1275" s="87">
        <v>0.0</v>
      </c>
      <c r="S1275" s="87">
        <v>0.0</v>
      </c>
      <c r="T1275" s="87">
        <v>0.0</v>
      </c>
      <c r="U1275" s="87">
        <v>0.0</v>
      </c>
      <c r="V1275" s="87">
        <v>0.0</v>
      </c>
      <c r="W1275" s="87">
        <v>0.0</v>
      </c>
      <c r="X1275" s="87">
        <v>0.0</v>
      </c>
      <c r="Y1275" s="87">
        <v>0.0</v>
      </c>
      <c r="Z1275" s="87">
        <v>0.0</v>
      </c>
      <c r="AA1275" s="87">
        <v>2.257019</v>
      </c>
      <c r="AB1275" s="87">
        <v>0.458512</v>
      </c>
      <c r="AC1275" s="87">
        <v>0.0</v>
      </c>
      <c r="AD1275" s="87">
        <v>0.759243</v>
      </c>
      <c r="AE1275" s="87">
        <v>1.992984</v>
      </c>
      <c r="AF1275" s="87">
        <v>2.838581</v>
      </c>
      <c r="AG1275" s="87">
        <v>2.493009</v>
      </c>
      <c r="AH1275" s="87">
        <v>0.0</v>
      </c>
      <c r="AI1275" s="87">
        <v>5.927074</v>
      </c>
      <c r="AJ1275" s="87">
        <v>3.516978</v>
      </c>
      <c r="AK1275" s="87">
        <v>3.91889</v>
      </c>
      <c r="AL1275" s="88" t="s">
        <v>1396</v>
      </c>
    </row>
    <row r="1276">
      <c r="A1276" s="84" t="s">
        <v>3090</v>
      </c>
      <c r="B1276" s="84" t="s">
        <v>1492</v>
      </c>
      <c r="C1276" s="84" t="s">
        <v>644</v>
      </c>
      <c r="D1276" s="84" t="s">
        <v>1488</v>
      </c>
      <c r="E1276" s="84" t="s">
        <v>1403</v>
      </c>
      <c r="F1276" s="87">
        <v>21.0</v>
      </c>
      <c r="G1276" s="87">
        <v>0.0</v>
      </c>
      <c r="H1276" s="87">
        <v>0.0</v>
      </c>
      <c r="I1276" s="87">
        <v>0.0</v>
      </c>
      <c r="J1276" s="87">
        <v>0.0</v>
      </c>
      <c r="K1276" s="87">
        <v>0.0</v>
      </c>
      <c r="L1276" s="87">
        <v>0.0</v>
      </c>
      <c r="M1276" s="87">
        <v>0.0</v>
      </c>
      <c r="N1276" s="87">
        <v>0.0</v>
      </c>
      <c r="O1276" s="87">
        <v>0.0</v>
      </c>
      <c r="P1276" s="87">
        <v>0.0</v>
      </c>
      <c r="Q1276" s="87">
        <v>0.0</v>
      </c>
      <c r="R1276" s="87">
        <v>0.0</v>
      </c>
      <c r="S1276" s="87">
        <v>0.0</v>
      </c>
      <c r="T1276" s="87">
        <v>0.0</v>
      </c>
      <c r="U1276" s="87">
        <v>0.0</v>
      </c>
      <c r="V1276" s="87">
        <v>0.0</v>
      </c>
      <c r="W1276" s="87">
        <v>0.0</v>
      </c>
      <c r="X1276" s="87">
        <v>0.0</v>
      </c>
      <c r="Y1276" s="87">
        <v>0.0</v>
      </c>
      <c r="Z1276" s="87">
        <v>0.0</v>
      </c>
      <c r="AA1276" s="87">
        <v>2.257019</v>
      </c>
      <c r="AB1276" s="87">
        <v>0.458512</v>
      </c>
      <c r="AC1276" s="87">
        <v>0.0</v>
      </c>
      <c r="AD1276" s="87">
        <v>0.0</v>
      </c>
      <c r="AE1276" s="87">
        <v>0.0</v>
      </c>
      <c r="AF1276" s="87">
        <v>0.0</v>
      </c>
      <c r="AG1276" s="87">
        <v>0.0</v>
      </c>
      <c r="AH1276" s="87">
        <v>0.0</v>
      </c>
      <c r="AI1276" s="87">
        <v>5.927074</v>
      </c>
      <c r="AJ1276" s="87">
        <v>3.516978</v>
      </c>
      <c r="AK1276" s="87">
        <v>3.91889</v>
      </c>
      <c r="AL1276" s="88" t="s">
        <v>1396</v>
      </c>
    </row>
    <row r="1277">
      <c r="A1277" s="84" t="s">
        <v>3091</v>
      </c>
      <c r="B1277" s="84" t="s">
        <v>3092</v>
      </c>
      <c r="C1277" s="84" t="s">
        <v>644</v>
      </c>
      <c r="D1277" s="84" t="s">
        <v>652</v>
      </c>
      <c r="E1277" s="84" t="s">
        <v>1426</v>
      </c>
      <c r="F1277" s="87">
        <v>52.0</v>
      </c>
      <c r="G1277" s="87">
        <v>0.0</v>
      </c>
      <c r="H1277" s="87">
        <v>78908.0</v>
      </c>
      <c r="I1277" s="87">
        <v>0.0</v>
      </c>
      <c r="J1277" s="87">
        <v>941.6667</v>
      </c>
      <c r="K1277" s="87">
        <v>951.755</v>
      </c>
      <c r="L1277" s="87">
        <v>1002.584</v>
      </c>
      <c r="M1277" s="87">
        <v>669.5838</v>
      </c>
      <c r="N1277" s="87">
        <v>0.703525</v>
      </c>
      <c r="O1277" s="87">
        <v>0.0</v>
      </c>
      <c r="P1277" s="87">
        <v>0.0</v>
      </c>
      <c r="Q1277" s="87">
        <v>0.0</v>
      </c>
      <c r="R1277" s="87">
        <v>6.432162</v>
      </c>
      <c r="S1277" s="87">
        <v>21.05393</v>
      </c>
      <c r="T1277" s="87">
        <v>7.349738</v>
      </c>
      <c r="U1277" s="87">
        <v>13.46953</v>
      </c>
      <c r="V1277" s="87">
        <v>18.27057</v>
      </c>
      <c r="W1277" s="87">
        <v>25.6994</v>
      </c>
      <c r="X1277" s="87">
        <v>33.66658</v>
      </c>
      <c r="Y1277" s="87">
        <v>18.30298</v>
      </c>
      <c r="Z1277" s="87">
        <v>0.0</v>
      </c>
      <c r="AA1277" s="87">
        <v>5.19418</v>
      </c>
      <c r="AB1277" s="87">
        <v>2.794492</v>
      </c>
      <c r="AC1277" s="87">
        <v>3.91889</v>
      </c>
      <c r="AD1277" s="87">
        <v>8.518138</v>
      </c>
      <c r="AE1277" s="87">
        <v>23.03705</v>
      </c>
      <c r="AF1277" s="87">
        <v>25.55645</v>
      </c>
      <c r="AG1277" s="87">
        <v>18.30298</v>
      </c>
      <c r="AH1277" s="87">
        <v>0.0</v>
      </c>
      <c r="AI1277" s="87">
        <v>5.927074</v>
      </c>
      <c r="AJ1277" s="87">
        <v>3.516978</v>
      </c>
      <c r="AK1277" s="87">
        <v>3.91889</v>
      </c>
      <c r="AL1277" s="88" t="s">
        <v>1396</v>
      </c>
    </row>
    <row r="1278">
      <c r="A1278" s="84" t="s">
        <v>3093</v>
      </c>
      <c r="B1278" s="84" t="s">
        <v>3094</v>
      </c>
      <c r="C1278" s="84" t="s">
        <v>644</v>
      </c>
      <c r="D1278" s="84" t="s">
        <v>652</v>
      </c>
      <c r="E1278" s="86">
        <v>46310.0</v>
      </c>
      <c r="F1278" s="87">
        <v>70.0</v>
      </c>
      <c r="G1278" s="87">
        <v>0.0</v>
      </c>
      <c r="H1278" s="87">
        <v>32353.0</v>
      </c>
      <c r="I1278" s="87">
        <v>0.0</v>
      </c>
      <c r="J1278" s="87">
        <v>440.067</v>
      </c>
      <c r="K1278" s="87">
        <v>455.6524</v>
      </c>
      <c r="L1278" s="87">
        <v>444.6489</v>
      </c>
      <c r="M1278" s="87">
        <v>361.2853</v>
      </c>
      <c r="N1278" s="87">
        <v>0.792897</v>
      </c>
      <c r="O1278" s="87">
        <v>0.0</v>
      </c>
      <c r="P1278" s="87">
        <v>0.0</v>
      </c>
      <c r="Q1278" s="87">
        <v>0.0</v>
      </c>
      <c r="R1278" s="87">
        <v>0.87255</v>
      </c>
      <c r="S1278" s="87">
        <v>5.397871</v>
      </c>
      <c r="T1278" s="87">
        <v>0.466667</v>
      </c>
      <c r="U1278" s="87">
        <v>1.175</v>
      </c>
      <c r="V1278" s="87">
        <v>2.006539</v>
      </c>
      <c r="W1278" s="87">
        <v>5.174325</v>
      </c>
      <c r="X1278" s="87">
        <v>11.28771</v>
      </c>
      <c r="Y1278" s="87">
        <v>6.50932</v>
      </c>
      <c r="Z1278" s="87">
        <v>0.0</v>
      </c>
      <c r="AA1278" s="87">
        <v>5.19418</v>
      </c>
      <c r="AB1278" s="87">
        <v>2.794492</v>
      </c>
      <c r="AC1278" s="87">
        <v>3.91889</v>
      </c>
      <c r="AD1278" s="87">
        <v>0.896426</v>
      </c>
      <c r="AE1278" s="87">
        <v>7.148215</v>
      </c>
      <c r="AF1278" s="87">
        <v>7.366529</v>
      </c>
      <c r="AG1278" s="87">
        <v>7.398881</v>
      </c>
      <c r="AH1278" s="87">
        <v>0.0</v>
      </c>
      <c r="AI1278" s="87">
        <v>5.927074</v>
      </c>
      <c r="AJ1278" s="87">
        <v>3.516978</v>
      </c>
      <c r="AK1278" s="87">
        <v>3.91889</v>
      </c>
      <c r="AL1278" s="88" t="s">
        <v>1396</v>
      </c>
    </row>
    <row r="1279">
      <c r="A1279" s="84" t="s">
        <v>3095</v>
      </c>
      <c r="B1279" s="84" t="s">
        <v>3096</v>
      </c>
      <c r="C1279" s="84" t="s">
        <v>644</v>
      </c>
      <c r="D1279" s="84" t="s">
        <v>652</v>
      </c>
      <c r="E1279" s="84" t="s">
        <v>1413</v>
      </c>
      <c r="F1279" s="87">
        <v>55.0</v>
      </c>
      <c r="G1279" s="87">
        <v>0.0</v>
      </c>
      <c r="H1279" s="87">
        <v>15897.0</v>
      </c>
      <c r="I1279" s="87">
        <v>0.0</v>
      </c>
      <c r="J1279" s="87">
        <v>209.9034</v>
      </c>
      <c r="K1279" s="87">
        <v>215.5389</v>
      </c>
      <c r="L1279" s="87">
        <v>214.3041</v>
      </c>
      <c r="M1279" s="87">
        <v>152.6385</v>
      </c>
      <c r="N1279" s="87">
        <v>0.708171</v>
      </c>
      <c r="O1279" s="87">
        <v>0.0</v>
      </c>
      <c r="P1279" s="87">
        <v>0.0</v>
      </c>
      <c r="Q1279" s="87">
        <v>0.0</v>
      </c>
      <c r="R1279" s="87">
        <v>1.183449</v>
      </c>
      <c r="S1279" s="87">
        <v>4.149616</v>
      </c>
      <c r="T1279" s="87">
        <v>0.2</v>
      </c>
      <c r="U1279" s="87">
        <v>0.798925</v>
      </c>
      <c r="V1279" s="87">
        <v>2.27997</v>
      </c>
      <c r="W1279" s="87">
        <v>3.590476</v>
      </c>
      <c r="X1279" s="87">
        <v>5.966346</v>
      </c>
      <c r="Y1279" s="87">
        <v>3.91889</v>
      </c>
      <c r="Z1279" s="87">
        <v>0.0</v>
      </c>
      <c r="AA1279" s="87">
        <v>5.19418</v>
      </c>
      <c r="AB1279" s="87">
        <v>2.794492</v>
      </c>
      <c r="AC1279" s="87">
        <v>3.91889</v>
      </c>
      <c r="AD1279" s="87">
        <v>1.621163</v>
      </c>
      <c r="AE1279" s="87">
        <v>4.083931</v>
      </c>
      <c r="AF1279" s="87">
        <v>5.222609</v>
      </c>
      <c r="AG1279" s="87">
        <v>4.126524</v>
      </c>
      <c r="AH1279" s="87">
        <v>0.0</v>
      </c>
      <c r="AI1279" s="87">
        <v>5.927074</v>
      </c>
      <c r="AJ1279" s="87">
        <v>3.516978</v>
      </c>
      <c r="AK1279" s="87">
        <v>3.91889</v>
      </c>
      <c r="AL1279" s="88" t="s">
        <v>1396</v>
      </c>
    </row>
    <row r="1280">
      <c r="A1280" s="84" t="s">
        <v>3097</v>
      </c>
      <c r="B1280" s="84" t="s">
        <v>3098</v>
      </c>
      <c r="C1280" s="84" t="s">
        <v>644</v>
      </c>
      <c r="D1280" s="84" t="s">
        <v>652</v>
      </c>
      <c r="E1280" s="84" t="s">
        <v>1398</v>
      </c>
      <c r="F1280" s="87">
        <v>12.0</v>
      </c>
      <c r="G1280" s="87">
        <v>0.0</v>
      </c>
      <c r="H1280" s="87">
        <v>2119.0</v>
      </c>
      <c r="I1280" s="87">
        <v>0.0</v>
      </c>
      <c r="J1280" s="87">
        <v>16.20796</v>
      </c>
      <c r="K1280" s="87">
        <v>17.03795</v>
      </c>
      <c r="L1280" s="87">
        <v>15.69444</v>
      </c>
      <c r="M1280" s="87">
        <v>15.13571</v>
      </c>
      <c r="N1280" s="87">
        <v>0.888353</v>
      </c>
      <c r="O1280" s="87">
        <v>0.0</v>
      </c>
      <c r="P1280" s="87">
        <v>0.0</v>
      </c>
      <c r="Q1280" s="87">
        <v>0.0</v>
      </c>
      <c r="R1280" s="87">
        <v>0.0</v>
      </c>
      <c r="S1280" s="87">
        <v>1.535577</v>
      </c>
      <c r="T1280" s="87">
        <v>0.366667</v>
      </c>
      <c r="U1280" s="87">
        <v>1.535577</v>
      </c>
      <c r="V1280" s="87">
        <v>1.535577</v>
      </c>
      <c r="W1280" s="87">
        <v>2.104519</v>
      </c>
      <c r="X1280" s="87">
        <v>4.450503</v>
      </c>
      <c r="Y1280" s="87">
        <v>1.419829</v>
      </c>
      <c r="Z1280" s="87">
        <v>0.0</v>
      </c>
      <c r="AA1280" s="87">
        <v>5.19418</v>
      </c>
      <c r="AB1280" s="87">
        <v>2.794492</v>
      </c>
      <c r="AC1280" s="87">
        <v>3.91889</v>
      </c>
      <c r="AD1280" s="87">
        <v>1.68004</v>
      </c>
      <c r="AE1280" s="87">
        <v>3.320238</v>
      </c>
      <c r="AF1280" s="87">
        <v>4.456992</v>
      </c>
      <c r="AG1280" s="87">
        <v>3.149041</v>
      </c>
      <c r="AH1280" s="87">
        <v>0.0</v>
      </c>
      <c r="AI1280" s="87">
        <v>5.927074</v>
      </c>
      <c r="AJ1280" s="87">
        <v>3.516978</v>
      </c>
      <c r="AK1280" s="87">
        <v>3.91889</v>
      </c>
      <c r="AL1280" s="88" t="s">
        <v>1396</v>
      </c>
    </row>
    <row r="1281">
      <c r="A1281" s="84" t="s">
        <v>3089</v>
      </c>
      <c r="B1281" s="84" t="s">
        <v>3099</v>
      </c>
      <c r="C1281" s="84" t="s">
        <v>644</v>
      </c>
      <c r="D1281" s="84" t="s">
        <v>652</v>
      </c>
      <c r="E1281" s="84" t="s">
        <v>1400</v>
      </c>
      <c r="F1281" s="87">
        <v>13.0</v>
      </c>
      <c r="G1281" s="87">
        <v>0.0</v>
      </c>
      <c r="H1281" s="87">
        <v>2838.0</v>
      </c>
      <c r="I1281" s="87">
        <v>0.0</v>
      </c>
      <c r="J1281" s="87">
        <v>26.34741</v>
      </c>
      <c r="K1281" s="87">
        <v>23.97342</v>
      </c>
      <c r="L1281" s="87">
        <v>23.44815</v>
      </c>
      <c r="M1281" s="87">
        <v>12.96693</v>
      </c>
      <c r="N1281" s="87">
        <v>0.540888</v>
      </c>
      <c r="O1281" s="87">
        <v>0.0</v>
      </c>
      <c r="P1281" s="87">
        <v>0.0</v>
      </c>
      <c r="Q1281" s="87">
        <v>0.667816</v>
      </c>
      <c r="R1281" s="87">
        <v>1.472933</v>
      </c>
      <c r="S1281" s="87">
        <v>2.322274</v>
      </c>
      <c r="T1281" s="87">
        <v>0.870707</v>
      </c>
      <c r="U1281" s="87">
        <v>1.406891</v>
      </c>
      <c r="V1281" s="87">
        <v>1.472933</v>
      </c>
      <c r="W1281" s="87">
        <v>2.192047</v>
      </c>
      <c r="X1281" s="87">
        <v>3.765628</v>
      </c>
      <c r="Y1281" s="87">
        <v>1.844109</v>
      </c>
      <c r="Z1281" s="87">
        <v>0.0</v>
      </c>
      <c r="AA1281" s="87">
        <v>5.19418</v>
      </c>
      <c r="AB1281" s="87">
        <v>2.794492</v>
      </c>
      <c r="AC1281" s="87">
        <v>3.91889</v>
      </c>
      <c r="AD1281" s="87">
        <v>0.759243</v>
      </c>
      <c r="AE1281" s="87">
        <v>1.992984</v>
      </c>
      <c r="AF1281" s="87">
        <v>2.838581</v>
      </c>
      <c r="AG1281" s="87">
        <v>2.493009</v>
      </c>
      <c r="AH1281" s="87">
        <v>0.0</v>
      </c>
      <c r="AI1281" s="87">
        <v>5.927074</v>
      </c>
      <c r="AJ1281" s="87">
        <v>3.516978</v>
      </c>
      <c r="AK1281" s="87">
        <v>3.91889</v>
      </c>
      <c r="AL1281" s="88" t="s">
        <v>1396</v>
      </c>
    </row>
    <row r="1282">
      <c r="A1282" s="84" t="s">
        <v>3100</v>
      </c>
      <c r="B1282" s="84" t="s">
        <v>3101</v>
      </c>
      <c r="C1282" s="84" t="s">
        <v>644</v>
      </c>
      <c r="D1282" s="84" t="s">
        <v>652</v>
      </c>
      <c r="E1282" s="89">
        <v>46300.0</v>
      </c>
      <c r="F1282" s="87">
        <v>62.0</v>
      </c>
      <c r="G1282" s="87">
        <v>0.0</v>
      </c>
      <c r="H1282" s="87">
        <v>27657.0</v>
      </c>
      <c r="I1282" s="87">
        <v>0.0</v>
      </c>
      <c r="J1282" s="87">
        <v>326.6225</v>
      </c>
      <c r="K1282" s="87">
        <v>322.926</v>
      </c>
      <c r="L1282" s="87">
        <v>322.4034</v>
      </c>
      <c r="M1282" s="87">
        <v>276.4235</v>
      </c>
      <c r="N1282" s="87">
        <v>0.855997</v>
      </c>
      <c r="O1282" s="87">
        <v>0.0</v>
      </c>
      <c r="P1282" s="87">
        <v>0.0</v>
      </c>
      <c r="Q1282" s="87">
        <v>0.0</v>
      </c>
      <c r="R1282" s="87">
        <v>0.441523</v>
      </c>
      <c r="S1282" s="87">
        <v>3.173379</v>
      </c>
      <c r="T1282" s="87">
        <v>1.394624</v>
      </c>
      <c r="U1282" s="87">
        <v>1.876723</v>
      </c>
      <c r="V1282" s="87">
        <v>2.1788</v>
      </c>
      <c r="W1282" s="87">
        <v>3.976342</v>
      </c>
      <c r="X1282" s="87">
        <v>11.33554</v>
      </c>
      <c r="Y1282" s="87">
        <v>5.208483</v>
      </c>
      <c r="Z1282" s="87">
        <v>0.0</v>
      </c>
      <c r="AA1282" s="87">
        <v>5.19418</v>
      </c>
      <c r="AB1282" s="87">
        <v>2.794492</v>
      </c>
      <c r="AC1282" s="87">
        <v>3.91889</v>
      </c>
      <c r="AD1282" s="87">
        <v>1.461105</v>
      </c>
      <c r="AE1282" s="87">
        <v>9.502682</v>
      </c>
      <c r="AF1282" s="87">
        <v>9.173192</v>
      </c>
      <c r="AG1282" s="87">
        <v>6.372817</v>
      </c>
      <c r="AH1282" s="87">
        <v>0.0</v>
      </c>
      <c r="AI1282" s="87">
        <v>5.927074</v>
      </c>
      <c r="AJ1282" s="87">
        <v>3.516978</v>
      </c>
      <c r="AK1282" s="87">
        <v>3.91889</v>
      </c>
      <c r="AL1282" s="88" t="s">
        <v>1396</v>
      </c>
    </row>
    <row r="1283">
      <c r="A1283" s="84" t="s">
        <v>3090</v>
      </c>
      <c r="B1283" s="84" t="s">
        <v>3102</v>
      </c>
      <c r="C1283" s="84" t="s">
        <v>644</v>
      </c>
      <c r="D1283" s="84" t="s">
        <v>652</v>
      </c>
      <c r="E1283" s="84" t="s">
        <v>1403</v>
      </c>
      <c r="F1283" s="87">
        <v>447.0</v>
      </c>
      <c r="G1283" s="87">
        <v>18.0</v>
      </c>
      <c r="H1283" s="87">
        <v>639.0</v>
      </c>
      <c r="I1283" s="87">
        <v>639.0</v>
      </c>
      <c r="J1283" s="87">
        <v>0.0</v>
      </c>
      <c r="K1283" s="87">
        <v>0.0</v>
      </c>
      <c r="L1283" s="87">
        <v>0.0</v>
      </c>
      <c r="M1283" s="87">
        <v>0.0</v>
      </c>
      <c r="N1283" s="87">
        <v>0.0</v>
      </c>
      <c r="O1283" s="87">
        <v>0.0</v>
      </c>
      <c r="P1283" s="87">
        <v>0.0</v>
      </c>
      <c r="Q1283" s="87">
        <v>0.0</v>
      </c>
      <c r="R1283" s="87">
        <v>0.0</v>
      </c>
      <c r="S1283" s="87">
        <v>0.0</v>
      </c>
      <c r="T1283" s="87">
        <v>0.0</v>
      </c>
      <c r="U1283" s="87">
        <v>0.0</v>
      </c>
      <c r="V1283" s="87">
        <v>0.0</v>
      </c>
      <c r="W1283" s="87">
        <v>0.0</v>
      </c>
      <c r="X1283" s="87">
        <v>0.0</v>
      </c>
      <c r="Y1283" s="87">
        <v>0.0</v>
      </c>
      <c r="Z1283" s="87">
        <v>0.0</v>
      </c>
      <c r="AA1283" s="87">
        <v>5.19418</v>
      </c>
      <c r="AB1283" s="87">
        <v>2.794492</v>
      </c>
      <c r="AC1283" s="87">
        <v>3.91889</v>
      </c>
      <c r="AD1283" s="87">
        <v>0.0</v>
      </c>
      <c r="AE1283" s="87">
        <v>0.0</v>
      </c>
      <c r="AF1283" s="87">
        <v>0.0</v>
      </c>
      <c r="AG1283" s="87">
        <v>0.0</v>
      </c>
      <c r="AH1283" s="87">
        <v>0.0</v>
      </c>
      <c r="AI1283" s="87">
        <v>5.927074</v>
      </c>
      <c r="AJ1283" s="87">
        <v>3.516978</v>
      </c>
      <c r="AK1283" s="87">
        <v>3.91889</v>
      </c>
      <c r="AL1283" s="88" t="s">
        <v>1396</v>
      </c>
    </row>
    <row r="1284">
      <c r="A1284" s="84" t="s">
        <v>3091</v>
      </c>
      <c r="B1284" s="84" t="s">
        <v>3103</v>
      </c>
      <c r="C1284" s="84" t="s">
        <v>644</v>
      </c>
      <c r="D1284" s="84" t="s">
        <v>659</v>
      </c>
      <c r="E1284" s="84" t="s">
        <v>1426</v>
      </c>
      <c r="F1284" s="87">
        <v>60.0</v>
      </c>
      <c r="G1284" s="87">
        <v>1.0</v>
      </c>
      <c r="H1284" s="87">
        <v>141003.0</v>
      </c>
      <c r="I1284" s="87">
        <v>7.0</v>
      </c>
      <c r="J1284" s="87">
        <v>2093.128</v>
      </c>
      <c r="K1284" s="87">
        <v>2347.312</v>
      </c>
      <c r="L1284" s="87">
        <v>2403.357</v>
      </c>
      <c r="M1284" s="87">
        <v>1620.102</v>
      </c>
      <c r="N1284" s="87">
        <v>0.690194</v>
      </c>
      <c r="O1284" s="87">
        <v>0.0</v>
      </c>
      <c r="P1284" s="87">
        <v>0.0</v>
      </c>
      <c r="Q1284" s="87">
        <v>7.374503</v>
      </c>
      <c r="R1284" s="87">
        <v>15.39612</v>
      </c>
      <c r="S1284" s="87">
        <v>37.73941</v>
      </c>
      <c r="T1284" s="87">
        <v>7.840706</v>
      </c>
      <c r="U1284" s="87">
        <v>10.29163</v>
      </c>
      <c r="V1284" s="87">
        <v>12.0</v>
      </c>
      <c r="W1284" s="87">
        <v>24.47557</v>
      </c>
      <c r="X1284" s="87">
        <v>48.21535</v>
      </c>
      <c r="Y1284" s="87">
        <v>39.12187</v>
      </c>
      <c r="Z1284" s="87">
        <v>0.0</v>
      </c>
      <c r="AA1284" s="87">
        <v>7.606011</v>
      </c>
      <c r="AB1284" s="87">
        <v>4.499961</v>
      </c>
      <c r="AC1284" s="87">
        <v>6.048674</v>
      </c>
      <c r="AD1284" s="87">
        <v>8.518138</v>
      </c>
      <c r="AE1284" s="87">
        <v>23.03705</v>
      </c>
      <c r="AF1284" s="87">
        <v>25.55645</v>
      </c>
      <c r="AG1284" s="87">
        <v>18.30298</v>
      </c>
      <c r="AH1284" s="87">
        <v>0.0</v>
      </c>
      <c r="AI1284" s="87">
        <v>5.927074</v>
      </c>
      <c r="AJ1284" s="87">
        <v>3.516978</v>
      </c>
      <c r="AK1284" s="87">
        <v>3.91889</v>
      </c>
      <c r="AL1284" s="88" t="s">
        <v>1396</v>
      </c>
    </row>
    <row r="1285">
      <c r="A1285" s="84" t="s">
        <v>3093</v>
      </c>
      <c r="B1285" s="84" t="s">
        <v>3104</v>
      </c>
      <c r="C1285" s="84" t="s">
        <v>644</v>
      </c>
      <c r="D1285" s="84" t="s">
        <v>659</v>
      </c>
      <c r="E1285" s="86">
        <v>46310.0</v>
      </c>
      <c r="F1285" s="87">
        <v>54.0</v>
      </c>
      <c r="G1285" s="87">
        <v>0.0</v>
      </c>
      <c r="H1285" s="87">
        <v>16690.0</v>
      </c>
      <c r="I1285" s="87">
        <v>0.0</v>
      </c>
      <c r="J1285" s="87">
        <v>284.4079</v>
      </c>
      <c r="K1285" s="87">
        <v>326.6284</v>
      </c>
      <c r="L1285" s="87">
        <v>315.8762</v>
      </c>
      <c r="M1285" s="87">
        <v>233.373</v>
      </c>
      <c r="N1285" s="87">
        <v>0.714491</v>
      </c>
      <c r="O1285" s="87">
        <v>0.0</v>
      </c>
      <c r="P1285" s="87">
        <v>0.0</v>
      </c>
      <c r="Q1285" s="87">
        <v>0.0</v>
      </c>
      <c r="R1285" s="87">
        <v>1.861255</v>
      </c>
      <c r="S1285" s="87">
        <v>6.660847</v>
      </c>
      <c r="T1285" s="87">
        <v>1.380407</v>
      </c>
      <c r="U1285" s="87">
        <v>3.429425</v>
      </c>
      <c r="V1285" s="87">
        <v>4.679575</v>
      </c>
      <c r="W1285" s="87">
        <v>7.266665</v>
      </c>
      <c r="X1285" s="87">
        <v>10.17211</v>
      </c>
      <c r="Y1285" s="87">
        <v>6.048674</v>
      </c>
      <c r="Z1285" s="87">
        <v>0.0</v>
      </c>
      <c r="AA1285" s="87">
        <v>7.606011</v>
      </c>
      <c r="AB1285" s="87">
        <v>4.499961</v>
      </c>
      <c r="AC1285" s="87">
        <v>6.048674</v>
      </c>
      <c r="AD1285" s="87">
        <v>0.896426</v>
      </c>
      <c r="AE1285" s="87">
        <v>7.148215</v>
      </c>
      <c r="AF1285" s="87">
        <v>7.366529</v>
      </c>
      <c r="AG1285" s="87">
        <v>7.398881</v>
      </c>
      <c r="AH1285" s="87">
        <v>0.0</v>
      </c>
      <c r="AI1285" s="87">
        <v>5.927074</v>
      </c>
      <c r="AJ1285" s="87">
        <v>3.516978</v>
      </c>
      <c r="AK1285" s="87">
        <v>3.91889</v>
      </c>
      <c r="AL1285" s="88" t="s">
        <v>1396</v>
      </c>
    </row>
    <row r="1286">
      <c r="A1286" s="84" t="s">
        <v>3095</v>
      </c>
      <c r="B1286" s="84" t="s">
        <v>3105</v>
      </c>
      <c r="C1286" s="84" t="s">
        <v>644</v>
      </c>
      <c r="D1286" s="84" t="s">
        <v>659</v>
      </c>
      <c r="E1286" s="84" t="s">
        <v>1413</v>
      </c>
      <c r="F1286" s="87">
        <v>44.0</v>
      </c>
      <c r="G1286" s="87">
        <v>0.0</v>
      </c>
      <c r="H1286" s="87">
        <v>41485.0</v>
      </c>
      <c r="I1286" s="87">
        <v>0.0</v>
      </c>
      <c r="J1286" s="87">
        <v>392.7704</v>
      </c>
      <c r="K1286" s="87">
        <v>439.5553</v>
      </c>
      <c r="L1286" s="87">
        <v>429.2172</v>
      </c>
      <c r="M1286" s="87">
        <v>354.6712</v>
      </c>
      <c r="N1286" s="87">
        <v>0.806887</v>
      </c>
      <c r="O1286" s="87">
        <v>0.0</v>
      </c>
      <c r="P1286" s="87">
        <v>0.0</v>
      </c>
      <c r="Q1286" s="87">
        <v>0.0</v>
      </c>
      <c r="R1286" s="87">
        <v>1.823594</v>
      </c>
      <c r="S1286" s="87">
        <v>7.437169</v>
      </c>
      <c r="T1286" s="87">
        <v>0.947576</v>
      </c>
      <c r="U1286" s="87">
        <v>1.141011</v>
      </c>
      <c r="V1286" s="87">
        <v>2.383895</v>
      </c>
      <c r="W1286" s="87">
        <v>6.091468</v>
      </c>
      <c r="X1286" s="87">
        <v>15.96535</v>
      </c>
      <c r="Y1286" s="87">
        <v>9.989892</v>
      </c>
      <c r="Z1286" s="87">
        <v>0.0</v>
      </c>
      <c r="AA1286" s="87">
        <v>7.606011</v>
      </c>
      <c r="AB1286" s="87">
        <v>4.499961</v>
      </c>
      <c r="AC1286" s="87">
        <v>6.048674</v>
      </c>
      <c r="AD1286" s="87">
        <v>1.621163</v>
      </c>
      <c r="AE1286" s="87">
        <v>4.083931</v>
      </c>
      <c r="AF1286" s="87">
        <v>5.222609</v>
      </c>
      <c r="AG1286" s="87">
        <v>4.126524</v>
      </c>
      <c r="AH1286" s="87">
        <v>0.0</v>
      </c>
      <c r="AI1286" s="87">
        <v>5.927074</v>
      </c>
      <c r="AJ1286" s="87">
        <v>3.516978</v>
      </c>
      <c r="AK1286" s="87">
        <v>3.91889</v>
      </c>
      <c r="AL1286" s="88" t="s">
        <v>1396</v>
      </c>
    </row>
    <row r="1287">
      <c r="A1287" s="84" t="s">
        <v>3097</v>
      </c>
      <c r="B1287" s="84" t="s">
        <v>3106</v>
      </c>
      <c r="C1287" s="84" t="s">
        <v>644</v>
      </c>
      <c r="D1287" s="84" t="s">
        <v>659</v>
      </c>
      <c r="E1287" s="84" t="s">
        <v>1398</v>
      </c>
      <c r="F1287" s="87">
        <v>29.0</v>
      </c>
      <c r="G1287" s="87">
        <v>0.0</v>
      </c>
      <c r="H1287" s="87">
        <v>12827.0</v>
      </c>
      <c r="I1287" s="87">
        <v>0.0</v>
      </c>
      <c r="J1287" s="87">
        <v>80.00887</v>
      </c>
      <c r="K1287" s="87">
        <v>83.7177</v>
      </c>
      <c r="L1287" s="87">
        <v>83.0603</v>
      </c>
      <c r="M1287" s="87">
        <v>63.67186</v>
      </c>
      <c r="N1287" s="87">
        <v>0.760554</v>
      </c>
      <c r="O1287" s="87">
        <v>0.0</v>
      </c>
      <c r="P1287" s="87">
        <v>0.0</v>
      </c>
      <c r="Q1287" s="87">
        <v>0.0</v>
      </c>
      <c r="R1287" s="87">
        <v>1.066667</v>
      </c>
      <c r="S1287" s="87">
        <v>2.57265</v>
      </c>
      <c r="T1287" s="87">
        <v>0.3</v>
      </c>
      <c r="U1287" s="87">
        <v>0.666667</v>
      </c>
      <c r="V1287" s="87">
        <v>1.083195</v>
      </c>
      <c r="W1287" s="87">
        <v>2.474816</v>
      </c>
      <c r="X1287" s="87">
        <v>4.0</v>
      </c>
      <c r="Y1287" s="87">
        <v>2.886817</v>
      </c>
      <c r="Z1287" s="87">
        <v>0.0</v>
      </c>
      <c r="AA1287" s="87">
        <v>7.606011</v>
      </c>
      <c r="AB1287" s="87">
        <v>4.499961</v>
      </c>
      <c r="AC1287" s="87">
        <v>6.048674</v>
      </c>
      <c r="AD1287" s="87">
        <v>1.68004</v>
      </c>
      <c r="AE1287" s="87">
        <v>3.320238</v>
      </c>
      <c r="AF1287" s="87">
        <v>4.456992</v>
      </c>
      <c r="AG1287" s="87">
        <v>3.149041</v>
      </c>
      <c r="AH1287" s="87">
        <v>0.0</v>
      </c>
      <c r="AI1287" s="87">
        <v>5.927074</v>
      </c>
      <c r="AJ1287" s="87">
        <v>3.516978</v>
      </c>
      <c r="AK1287" s="87">
        <v>3.91889</v>
      </c>
      <c r="AL1287" s="88" t="s">
        <v>1396</v>
      </c>
    </row>
    <row r="1288">
      <c r="A1288" s="84" t="s">
        <v>3089</v>
      </c>
      <c r="B1288" s="84" t="s">
        <v>3107</v>
      </c>
      <c r="C1288" s="84" t="s">
        <v>644</v>
      </c>
      <c r="D1288" s="84" t="s">
        <v>659</v>
      </c>
      <c r="E1288" s="84" t="s">
        <v>1400</v>
      </c>
      <c r="F1288" s="87">
        <v>59.0</v>
      </c>
      <c r="G1288" s="87">
        <v>2.0</v>
      </c>
      <c r="H1288" s="87">
        <v>15794.0</v>
      </c>
      <c r="I1288" s="87">
        <v>7110.0</v>
      </c>
      <c r="J1288" s="87">
        <v>110.1621</v>
      </c>
      <c r="K1288" s="87">
        <v>98.10838</v>
      </c>
      <c r="L1288" s="87">
        <v>115.5731</v>
      </c>
      <c r="M1288" s="87">
        <v>88.76722</v>
      </c>
      <c r="N1288" s="87">
        <v>0.904787</v>
      </c>
      <c r="O1288" s="87">
        <v>0.0</v>
      </c>
      <c r="P1288" s="87">
        <v>0.0</v>
      </c>
      <c r="Q1288" s="87">
        <v>0.0</v>
      </c>
      <c r="R1288" s="87">
        <v>0.020833</v>
      </c>
      <c r="S1288" s="87">
        <v>0.708687</v>
      </c>
      <c r="T1288" s="87">
        <v>0.13702</v>
      </c>
      <c r="U1288" s="87">
        <v>0.303448</v>
      </c>
      <c r="V1288" s="87">
        <v>0.381027</v>
      </c>
      <c r="W1288" s="87">
        <v>1.0</v>
      </c>
      <c r="X1288" s="87">
        <v>2.749002</v>
      </c>
      <c r="Y1288" s="87">
        <v>1.662854</v>
      </c>
      <c r="Z1288" s="87">
        <v>0.0</v>
      </c>
      <c r="AA1288" s="87">
        <v>7.606011</v>
      </c>
      <c r="AB1288" s="87">
        <v>4.499961</v>
      </c>
      <c r="AC1288" s="87">
        <v>6.048674</v>
      </c>
      <c r="AD1288" s="87">
        <v>0.759243</v>
      </c>
      <c r="AE1288" s="87">
        <v>1.992984</v>
      </c>
      <c r="AF1288" s="87">
        <v>2.838581</v>
      </c>
      <c r="AG1288" s="87">
        <v>2.493009</v>
      </c>
      <c r="AH1288" s="87">
        <v>0.0</v>
      </c>
      <c r="AI1288" s="87">
        <v>5.927074</v>
      </c>
      <c r="AJ1288" s="87">
        <v>3.516978</v>
      </c>
      <c r="AK1288" s="87">
        <v>3.91889</v>
      </c>
      <c r="AL1288" s="88" t="s">
        <v>1396</v>
      </c>
    </row>
    <row r="1289">
      <c r="A1289" s="84" t="s">
        <v>3100</v>
      </c>
      <c r="B1289" s="84" t="s">
        <v>3108</v>
      </c>
      <c r="C1289" s="84" t="s">
        <v>644</v>
      </c>
      <c r="D1289" s="84" t="s">
        <v>659</v>
      </c>
      <c r="E1289" s="89">
        <v>46300.0</v>
      </c>
      <c r="F1289" s="87">
        <v>42.0</v>
      </c>
      <c r="G1289" s="87">
        <v>0.0</v>
      </c>
      <c r="H1289" s="87">
        <v>40898.0</v>
      </c>
      <c r="I1289" s="87">
        <v>0.0</v>
      </c>
      <c r="J1289" s="87">
        <v>470.6687</v>
      </c>
      <c r="K1289" s="87">
        <v>597.1444</v>
      </c>
      <c r="L1289" s="87">
        <v>622.9045</v>
      </c>
      <c r="M1289" s="87">
        <v>460.2008</v>
      </c>
      <c r="N1289" s="87">
        <v>0.770669</v>
      </c>
      <c r="O1289" s="87">
        <v>0.0</v>
      </c>
      <c r="P1289" s="87">
        <v>0.0</v>
      </c>
      <c r="Q1289" s="87">
        <v>0.0</v>
      </c>
      <c r="R1289" s="87">
        <v>2.554325</v>
      </c>
      <c r="S1289" s="87">
        <v>15.95875</v>
      </c>
      <c r="T1289" s="87">
        <v>1.809987</v>
      </c>
      <c r="U1289" s="87">
        <v>2.509473</v>
      </c>
      <c r="V1289" s="87">
        <v>4.085873</v>
      </c>
      <c r="W1289" s="87">
        <v>15.47511</v>
      </c>
      <c r="X1289" s="87">
        <v>20.65521</v>
      </c>
      <c r="Y1289" s="87">
        <v>14.21772</v>
      </c>
      <c r="Z1289" s="87">
        <v>0.0</v>
      </c>
      <c r="AA1289" s="87">
        <v>7.606011</v>
      </c>
      <c r="AB1289" s="87">
        <v>4.499961</v>
      </c>
      <c r="AC1289" s="87">
        <v>6.048674</v>
      </c>
      <c r="AD1289" s="87">
        <v>1.461105</v>
      </c>
      <c r="AE1289" s="87">
        <v>9.502682</v>
      </c>
      <c r="AF1289" s="87">
        <v>9.173192</v>
      </c>
      <c r="AG1289" s="87">
        <v>6.372817</v>
      </c>
      <c r="AH1289" s="87">
        <v>0.0</v>
      </c>
      <c r="AI1289" s="87">
        <v>5.927074</v>
      </c>
      <c r="AJ1289" s="87">
        <v>3.516978</v>
      </c>
      <c r="AK1289" s="87">
        <v>3.91889</v>
      </c>
      <c r="AL1289" s="88" t="s">
        <v>1396</v>
      </c>
    </row>
    <row r="1290">
      <c r="A1290" s="84" t="s">
        <v>3090</v>
      </c>
      <c r="B1290" s="84" t="s">
        <v>3109</v>
      </c>
      <c r="C1290" s="84" t="s">
        <v>644</v>
      </c>
      <c r="D1290" s="84" t="s">
        <v>659</v>
      </c>
      <c r="E1290" s="84" t="s">
        <v>1403</v>
      </c>
      <c r="F1290" s="87">
        <v>577.0</v>
      </c>
      <c r="G1290" s="87">
        <v>28.0</v>
      </c>
      <c r="H1290" s="87">
        <v>3764.0</v>
      </c>
      <c r="I1290" s="87">
        <v>3764.0</v>
      </c>
      <c r="J1290" s="87">
        <v>0.0</v>
      </c>
      <c r="K1290" s="87">
        <v>0.0</v>
      </c>
      <c r="L1290" s="87">
        <v>0.0</v>
      </c>
      <c r="M1290" s="87">
        <v>0.0</v>
      </c>
      <c r="N1290" s="87">
        <v>0.0</v>
      </c>
      <c r="O1290" s="87">
        <v>0.0</v>
      </c>
      <c r="P1290" s="87">
        <v>0.0</v>
      </c>
      <c r="Q1290" s="87">
        <v>0.0</v>
      </c>
      <c r="R1290" s="87">
        <v>0.0</v>
      </c>
      <c r="S1290" s="87">
        <v>0.0</v>
      </c>
      <c r="T1290" s="87">
        <v>0.0</v>
      </c>
      <c r="U1290" s="87">
        <v>0.0</v>
      </c>
      <c r="V1290" s="87">
        <v>0.0</v>
      </c>
      <c r="W1290" s="87">
        <v>0.0</v>
      </c>
      <c r="X1290" s="87">
        <v>0.0</v>
      </c>
      <c r="Y1290" s="87">
        <v>0.0</v>
      </c>
      <c r="Z1290" s="87">
        <v>0.0</v>
      </c>
      <c r="AA1290" s="87">
        <v>7.606011</v>
      </c>
      <c r="AB1290" s="87">
        <v>4.499961</v>
      </c>
      <c r="AC1290" s="87">
        <v>6.048674</v>
      </c>
      <c r="AD1290" s="87">
        <v>0.0</v>
      </c>
      <c r="AE1290" s="87">
        <v>0.0</v>
      </c>
      <c r="AF1290" s="87">
        <v>0.0</v>
      </c>
      <c r="AG1290" s="87">
        <v>0.0</v>
      </c>
      <c r="AH1290" s="87">
        <v>0.0</v>
      </c>
      <c r="AI1290" s="87">
        <v>5.927074</v>
      </c>
      <c r="AJ1290" s="87">
        <v>3.516978</v>
      </c>
      <c r="AK1290" s="87">
        <v>3.91889</v>
      </c>
      <c r="AL1290" s="88" t="s">
        <v>1396</v>
      </c>
    </row>
    <row r="1291">
      <c r="A1291" s="84" t="s">
        <v>3091</v>
      </c>
      <c r="B1291" s="84" t="s">
        <v>3110</v>
      </c>
      <c r="C1291" s="84" t="s">
        <v>644</v>
      </c>
      <c r="D1291" s="84" t="s">
        <v>1261</v>
      </c>
      <c r="E1291" s="84" t="s">
        <v>1426</v>
      </c>
      <c r="F1291" s="87">
        <v>5.0</v>
      </c>
      <c r="G1291" s="87">
        <v>0.0</v>
      </c>
      <c r="H1291" s="87">
        <v>1998.0</v>
      </c>
      <c r="I1291" s="87">
        <v>0.0</v>
      </c>
      <c r="J1291" s="87">
        <v>8.368498</v>
      </c>
      <c r="K1291" s="87">
        <v>8.262103</v>
      </c>
      <c r="L1291" s="87">
        <v>12.87982</v>
      </c>
      <c r="M1291" s="87">
        <v>5.417823</v>
      </c>
      <c r="N1291" s="87">
        <v>0.655744</v>
      </c>
      <c r="O1291" s="87">
        <v>0.0</v>
      </c>
      <c r="P1291" s="87">
        <v>0.0</v>
      </c>
      <c r="Q1291" s="87">
        <v>0.0</v>
      </c>
      <c r="R1291" s="87">
        <v>0.638935</v>
      </c>
      <c r="S1291" s="87">
        <v>2.205346</v>
      </c>
      <c r="T1291" s="87">
        <v>0.638935</v>
      </c>
      <c r="U1291" s="87">
        <v>0.638935</v>
      </c>
      <c r="V1291" s="87">
        <v>0.638935</v>
      </c>
      <c r="W1291" s="87">
        <v>2.205346</v>
      </c>
      <c r="X1291" s="87">
        <v>5.417823</v>
      </c>
      <c r="Y1291" s="87">
        <v>1.652421</v>
      </c>
      <c r="Z1291" s="87">
        <v>0.0</v>
      </c>
      <c r="AA1291" s="87">
        <v>3.125113</v>
      </c>
      <c r="AB1291" s="87">
        <v>2.496493</v>
      </c>
      <c r="AC1291" s="87">
        <v>2.493009</v>
      </c>
      <c r="AD1291" s="87">
        <v>8.518138</v>
      </c>
      <c r="AE1291" s="87">
        <v>23.03705</v>
      </c>
      <c r="AF1291" s="87">
        <v>25.55645</v>
      </c>
      <c r="AG1291" s="87">
        <v>18.30298</v>
      </c>
      <c r="AH1291" s="87">
        <v>0.0</v>
      </c>
      <c r="AI1291" s="87">
        <v>5.927074</v>
      </c>
      <c r="AJ1291" s="87">
        <v>3.516978</v>
      </c>
      <c r="AK1291" s="87">
        <v>3.91889</v>
      </c>
      <c r="AL1291" s="88" t="s">
        <v>1396</v>
      </c>
    </row>
    <row r="1292">
      <c r="A1292" s="84" t="s">
        <v>3093</v>
      </c>
      <c r="B1292" s="84" t="s">
        <v>2262</v>
      </c>
      <c r="C1292" s="84" t="s">
        <v>644</v>
      </c>
      <c r="D1292" s="84" t="s">
        <v>1261</v>
      </c>
      <c r="E1292" s="86">
        <v>46310.0</v>
      </c>
      <c r="F1292" s="87">
        <v>11.0</v>
      </c>
      <c r="G1292" s="87">
        <v>0.0</v>
      </c>
      <c r="H1292" s="87">
        <v>8094.0</v>
      </c>
      <c r="I1292" s="87">
        <v>0.0</v>
      </c>
      <c r="J1292" s="87">
        <v>170.4632</v>
      </c>
      <c r="K1292" s="87">
        <v>152.4792</v>
      </c>
      <c r="L1292" s="87">
        <v>141.3631</v>
      </c>
      <c r="M1292" s="87">
        <v>141.6553</v>
      </c>
      <c r="N1292" s="87">
        <v>0.929014</v>
      </c>
      <c r="O1292" s="87">
        <v>0.0</v>
      </c>
      <c r="P1292" s="87">
        <v>0.0</v>
      </c>
      <c r="Q1292" s="87">
        <v>0.0</v>
      </c>
      <c r="R1292" s="87">
        <v>3.125113</v>
      </c>
      <c r="S1292" s="87">
        <v>3.95074</v>
      </c>
      <c r="T1292" s="87">
        <v>0.428571</v>
      </c>
      <c r="U1292" s="87">
        <v>3.125113</v>
      </c>
      <c r="V1292" s="87">
        <v>3.319447</v>
      </c>
      <c r="W1292" s="87">
        <v>3.95074</v>
      </c>
      <c r="X1292" s="87">
        <v>15.71501</v>
      </c>
      <c r="Y1292" s="87">
        <v>13.86175</v>
      </c>
      <c r="Z1292" s="87">
        <v>0.0</v>
      </c>
      <c r="AA1292" s="87">
        <v>3.125113</v>
      </c>
      <c r="AB1292" s="87">
        <v>2.496493</v>
      </c>
      <c r="AC1292" s="87">
        <v>2.493009</v>
      </c>
      <c r="AD1292" s="87">
        <v>0.896426</v>
      </c>
      <c r="AE1292" s="87">
        <v>7.148215</v>
      </c>
      <c r="AF1292" s="87">
        <v>7.366529</v>
      </c>
      <c r="AG1292" s="87">
        <v>7.398881</v>
      </c>
      <c r="AH1292" s="87">
        <v>0.0</v>
      </c>
      <c r="AI1292" s="87">
        <v>5.927074</v>
      </c>
      <c r="AJ1292" s="87">
        <v>3.516978</v>
      </c>
      <c r="AK1292" s="87">
        <v>3.91889</v>
      </c>
      <c r="AL1292" s="88" t="s">
        <v>1396</v>
      </c>
    </row>
    <row r="1293">
      <c r="A1293" s="84" t="s">
        <v>3095</v>
      </c>
      <c r="B1293" s="84" t="s">
        <v>3111</v>
      </c>
      <c r="C1293" s="84" t="s">
        <v>644</v>
      </c>
      <c r="D1293" s="84" t="s">
        <v>1261</v>
      </c>
      <c r="E1293" s="84" t="s">
        <v>1413</v>
      </c>
      <c r="F1293" s="87">
        <v>14.0</v>
      </c>
      <c r="G1293" s="87">
        <v>0.0</v>
      </c>
      <c r="H1293" s="87">
        <v>7209.0</v>
      </c>
      <c r="I1293" s="87">
        <v>0.0</v>
      </c>
      <c r="J1293" s="87">
        <v>123.9347</v>
      </c>
      <c r="K1293" s="87">
        <v>115.8089</v>
      </c>
      <c r="L1293" s="87">
        <v>127.8061</v>
      </c>
      <c r="M1293" s="87">
        <v>82.54319</v>
      </c>
      <c r="N1293" s="87">
        <v>0.712753</v>
      </c>
      <c r="O1293" s="87">
        <v>0.0</v>
      </c>
      <c r="P1293" s="87">
        <v>0.0</v>
      </c>
      <c r="Q1293" s="87">
        <v>1.701537</v>
      </c>
      <c r="R1293" s="87">
        <v>3.882594</v>
      </c>
      <c r="S1293" s="87">
        <v>8.054932</v>
      </c>
      <c r="T1293" s="87">
        <v>1.701537</v>
      </c>
      <c r="U1293" s="87">
        <v>1.810774</v>
      </c>
      <c r="V1293" s="87">
        <v>2.723973</v>
      </c>
      <c r="W1293" s="87">
        <v>5.154525</v>
      </c>
      <c r="X1293" s="87">
        <v>8.495578</v>
      </c>
      <c r="Y1293" s="87">
        <v>8.272066</v>
      </c>
      <c r="Z1293" s="87">
        <v>0.0</v>
      </c>
      <c r="AA1293" s="87">
        <v>3.125113</v>
      </c>
      <c r="AB1293" s="87">
        <v>2.496493</v>
      </c>
      <c r="AC1293" s="87">
        <v>2.493009</v>
      </c>
      <c r="AD1293" s="87">
        <v>1.621163</v>
      </c>
      <c r="AE1293" s="87">
        <v>4.083931</v>
      </c>
      <c r="AF1293" s="87">
        <v>5.222609</v>
      </c>
      <c r="AG1293" s="87">
        <v>4.126524</v>
      </c>
      <c r="AH1293" s="87">
        <v>0.0</v>
      </c>
      <c r="AI1293" s="87">
        <v>5.927074</v>
      </c>
      <c r="AJ1293" s="87">
        <v>3.516978</v>
      </c>
      <c r="AK1293" s="87">
        <v>3.91889</v>
      </c>
      <c r="AL1293" s="88" t="s">
        <v>1396</v>
      </c>
    </row>
    <row r="1294">
      <c r="A1294" s="84" t="s">
        <v>3097</v>
      </c>
      <c r="B1294" s="84" t="s">
        <v>3112</v>
      </c>
      <c r="C1294" s="84" t="s">
        <v>644</v>
      </c>
      <c r="D1294" s="84" t="s">
        <v>1261</v>
      </c>
      <c r="E1294" s="84" t="s">
        <v>1398</v>
      </c>
      <c r="F1294" s="87">
        <v>18.0</v>
      </c>
      <c r="G1294" s="87">
        <v>0.0</v>
      </c>
      <c r="H1294" s="87">
        <v>6763.0</v>
      </c>
      <c r="I1294" s="87">
        <v>0.0</v>
      </c>
      <c r="J1294" s="87">
        <v>97.12473</v>
      </c>
      <c r="K1294" s="87">
        <v>101.8416</v>
      </c>
      <c r="L1294" s="87">
        <v>95.79917</v>
      </c>
      <c r="M1294" s="87">
        <v>73.60229</v>
      </c>
      <c r="N1294" s="87">
        <v>0.722713</v>
      </c>
      <c r="O1294" s="87">
        <v>0.0</v>
      </c>
      <c r="P1294" s="87">
        <v>0.0</v>
      </c>
      <c r="Q1294" s="87">
        <v>0.630489</v>
      </c>
      <c r="R1294" s="87">
        <v>3.51843</v>
      </c>
      <c r="S1294" s="87">
        <v>5.002048</v>
      </c>
      <c r="T1294" s="87">
        <v>0.884378</v>
      </c>
      <c r="U1294" s="87">
        <v>1.060108</v>
      </c>
      <c r="V1294" s="87">
        <v>2.968442</v>
      </c>
      <c r="W1294" s="87">
        <v>4.764533</v>
      </c>
      <c r="X1294" s="87">
        <v>7.64082</v>
      </c>
      <c r="Y1294" s="87">
        <v>5.657866</v>
      </c>
      <c r="Z1294" s="87">
        <v>0.0</v>
      </c>
      <c r="AA1294" s="87">
        <v>3.125113</v>
      </c>
      <c r="AB1294" s="87">
        <v>2.496493</v>
      </c>
      <c r="AC1294" s="87">
        <v>2.493009</v>
      </c>
      <c r="AD1294" s="87">
        <v>1.68004</v>
      </c>
      <c r="AE1294" s="87">
        <v>3.320238</v>
      </c>
      <c r="AF1294" s="87">
        <v>4.456992</v>
      </c>
      <c r="AG1294" s="87">
        <v>3.149041</v>
      </c>
      <c r="AH1294" s="87">
        <v>0.0</v>
      </c>
      <c r="AI1294" s="87">
        <v>5.927074</v>
      </c>
      <c r="AJ1294" s="87">
        <v>3.516978</v>
      </c>
      <c r="AK1294" s="87">
        <v>3.91889</v>
      </c>
      <c r="AL1294" s="88" t="s">
        <v>1396</v>
      </c>
    </row>
    <row r="1295">
      <c r="A1295" s="84" t="s">
        <v>3089</v>
      </c>
      <c r="B1295" s="84" t="s">
        <v>2264</v>
      </c>
      <c r="C1295" s="84" t="s">
        <v>644</v>
      </c>
      <c r="D1295" s="84" t="s">
        <v>1261</v>
      </c>
      <c r="E1295" s="84" t="s">
        <v>1400</v>
      </c>
      <c r="F1295" s="87">
        <v>22.0</v>
      </c>
      <c r="G1295" s="87">
        <v>0.0</v>
      </c>
      <c r="H1295" s="87">
        <v>4129.0</v>
      </c>
      <c r="I1295" s="87">
        <v>0.0</v>
      </c>
      <c r="J1295" s="87">
        <v>51.03968</v>
      </c>
      <c r="K1295" s="87">
        <v>54.8462</v>
      </c>
      <c r="L1295" s="87">
        <v>62.79923</v>
      </c>
      <c r="M1295" s="87">
        <v>37.86646</v>
      </c>
      <c r="N1295" s="87">
        <v>0.690412</v>
      </c>
      <c r="O1295" s="87">
        <v>0.0</v>
      </c>
      <c r="P1295" s="87">
        <v>0.090909</v>
      </c>
      <c r="Q1295" s="87">
        <v>0.217011</v>
      </c>
      <c r="R1295" s="87">
        <v>1.279202</v>
      </c>
      <c r="S1295" s="87">
        <v>2.969739</v>
      </c>
      <c r="T1295" s="87">
        <v>0.090909</v>
      </c>
      <c r="U1295" s="87">
        <v>0.217011</v>
      </c>
      <c r="V1295" s="87">
        <v>0.297076</v>
      </c>
      <c r="W1295" s="87">
        <v>1.397849</v>
      </c>
      <c r="X1295" s="87">
        <v>3.787047</v>
      </c>
      <c r="Y1295" s="87">
        <v>2.493009</v>
      </c>
      <c r="Z1295" s="87">
        <v>0.0</v>
      </c>
      <c r="AA1295" s="87">
        <v>3.125113</v>
      </c>
      <c r="AB1295" s="87">
        <v>2.496493</v>
      </c>
      <c r="AC1295" s="87">
        <v>2.493009</v>
      </c>
      <c r="AD1295" s="87">
        <v>0.759243</v>
      </c>
      <c r="AE1295" s="87">
        <v>1.992984</v>
      </c>
      <c r="AF1295" s="87">
        <v>2.838581</v>
      </c>
      <c r="AG1295" s="87">
        <v>2.493009</v>
      </c>
      <c r="AH1295" s="87">
        <v>0.0</v>
      </c>
      <c r="AI1295" s="87">
        <v>5.927074</v>
      </c>
      <c r="AJ1295" s="87">
        <v>3.516978</v>
      </c>
      <c r="AK1295" s="87">
        <v>3.91889</v>
      </c>
      <c r="AL1295" s="88" t="s">
        <v>1396</v>
      </c>
    </row>
    <row r="1296">
      <c r="A1296" s="84" t="s">
        <v>3100</v>
      </c>
      <c r="B1296" s="84" t="s">
        <v>3113</v>
      </c>
      <c r="C1296" s="84" t="s">
        <v>644</v>
      </c>
      <c r="D1296" s="84" t="s">
        <v>1261</v>
      </c>
      <c r="E1296" s="86">
        <v>46300.0</v>
      </c>
      <c r="F1296" s="87">
        <v>3.0</v>
      </c>
      <c r="G1296" s="87">
        <v>0.0</v>
      </c>
      <c r="H1296" s="87">
        <v>1508.0</v>
      </c>
      <c r="I1296" s="87">
        <v>0.0</v>
      </c>
      <c r="J1296" s="87">
        <v>11.54585</v>
      </c>
      <c r="K1296" s="87">
        <v>12.67229</v>
      </c>
      <c r="L1296" s="87">
        <v>14.69845</v>
      </c>
      <c r="M1296" s="87">
        <v>9.533991</v>
      </c>
      <c r="N1296" s="87">
        <v>0.75235</v>
      </c>
      <c r="O1296" s="87">
        <v>0.713001</v>
      </c>
      <c r="P1296" s="87">
        <v>0.713001</v>
      </c>
      <c r="Q1296" s="87">
        <v>0.713001</v>
      </c>
      <c r="R1296" s="87">
        <v>2.425295</v>
      </c>
      <c r="S1296" s="87">
        <v>9.533991</v>
      </c>
      <c r="T1296" s="87">
        <v>0.713001</v>
      </c>
      <c r="U1296" s="87">
        <v>0.713001</v>
      </c>
      <c r="V1296" s="87">
        <v>0.713001</v>
      </c>
      <c r="W1296" s="87">
        <v>2.425295</v>
      </c>
      <c r="X1296" s="87">
        <v>9.533991</v>
      </c>
      <c r="Y1296" s="87">
        <v>4.224096</v>
      </c>
      <c r="Z1296" s="87">
        <v>0.0</v>
      </c>
      <c r="AA1296" s="87">
        <v>3.125113</v>
      </c>
      <c r="AB1296" s="87">
        <v>2.496493</v>
      </c>
      <c r="AC1296" s="87">
        <v>2.493009</v>
      </c>
      <c r="AD1296" s="87">
        <v>1.461105</v>
      </c>
      <c r="AE1296" s="87">
        <v>9.502682</v>
      </c>
      <c r="AF1296" s="87">
        <v>9.173192</v>
      </c>
      <c r="AG1296" s="87">
        <v>6.372817</v>
      </c>
      <c r="AH1296" s="87">
        <v>0.0</v>
      </c>
      <c r="AI1296" s="87">
        <v>5.927074</v>
      </c>
      <c r="AJ1296" s="87">
        <v>3.516978</v>
      </c>
      <c r="AK1296" s="87">
        <v>3.91889</v>
      </c>
      <c r="AL1296" s="88" t="s">
        <v>1396</v>
      </c>
    </row>
    <row r="1297">
      <c r="A1297" s="84" t="s">
        <v>3090</v>
      </c>
      <c r="B1297" s="84" t="s">
        <v>2265</v>
      </c>
      <c r="C1297" s="84" t="s">
        <v>644</v>
      </c>
      <c r="D1297" s="84" t="s">
        <v>1261</v>
      </c>
      <c r="E1297" s="84" t="s">
        <v>1403</v>
      </c>
      <c r="F1297" s="87">
        <v>97.0</v>
      </c>
      <c r="G1297" s="87">
        <v>1.0</v>
      </c>
      <c r="H1297" s="87">
        <v>20.0</v>
      </c>
      <c r="I1297" s="87">
        <v>20.0</v>
      </c>
      <c r="J1297" s="87">
        <v>0.0</v>
      </c>
      <c r="K1297" s="87">
        <v>0.0</v>
      </c>
      <c r="L1297" s="87">
        <v>0.0</v>
      </c>
      <c r="M1297" s="87">
        <v>0.0</v>
      </c>
      <c r="N1297" s="87">
        <v>0.0</v>
      </c>
      <c r="O1297" s="87">
        <v>0.0</v>
      </c>
      <c r="P1297" s="87">
        <v>0.0</v>
      </c>
      <c r="Q1297" s="87">
        <v>0.0</v>
      </c>
      <c r="R1297" s="87">
        <v>0.0</v>
      </c>
      <c r="S1297" s="87">
        <v>0.0</v>
      </c>
      <c r="T1297" s="87">
        <v>0.0</v>
      </c>
      <c r="U1297" s="87">
        <v>0.0</v>
      </c>
      <c r="V1297" s="87">
        <v>0.0</v>
      </c>
      <c r="W1297" s="87">
        <v>0.0</v>
      </c>
      <c r="X1297" s="87">
        <v>0.0</v>
      </c>
      <c r="Y1297" s="87">
        <v>0.0</v>
      </c>
      <c r="Z1297" s="87">
        <v>0.0</v>
      </c>
      <c r="AA1297" s="87">
        <v>3.125113</v>
      </c>
      <c r="AB1297" s="87">
        <v>2.496493</v>
      </c>
      <c r="AC1297" s="87">
        <v>2.493009</v>
      </c>
      <c r="AD1297" s="87">
        <v>0.0</v>
      </c>
      <c r="AE1297" s="87">
        <v>0.0</v>
      </c>
      <c r="AF1297" s="87">
        <v>0.0</v>
      </c>
      <c r="AG1297" s="87">
        <v>0.0</v>
      </c>
      <c r="AH1297" s="87">
        <v>0.0</v>
      </c>
      <c r="AI1297" s="87">
        <v>5.927074</v>
      </c>
      <c r="AJ1297" s="87">
        <v>3.516978</v>
      </c>
      <c r="AK1297" s="87">
        <v>3.91889</v>
      </c>
      <c r="AL1297" s="88" t="s">
        <v>1396</v>
      </c>
    </row>
    <row r="1298">
      <c r="A1298" s="84" t="s">
        <v>3091</v>
      </c>
      <c r="B1298" s="84" t="s">
        <v>3114</v>
      </c>
      <c r="C1298" s="84" t="s">
        <v>644</v>
      </c>
      <c r="D1298" s="84" t="s">
        <v>1167</v>
      </c>
      <c r="E1298" s="84" t="s">
        <v>1426</v>
      </c>
      <c r="F1298" s="87">
        <v>16.0</v>
      </c>
      <c r="G1298" s="87">
        <v>0.0</v>
      </c>
      <c r="H1298" s="87">
        <v>8246.0</v>
      </c>
      <c r="I1298" s="87">
        <v>0.0</v>
      </c>
      <c r="J1298" s="87">
        <v>150.9109</v>
      </c>
      <c r="K1298" s="87">
        <v>188.4719</v>
      </c>
      <c r="L1298" s="87">
        <v>183.9022</v>
      </c>
      <c r="M1298" s="87">
        <v>179.4428</v>
      </c>
      <c r="N1298" s="87">
        <v>0.952093</v>
      </c>
      <c r="O1298" s="87">
        <v>0.0</v>
      </c>
      <c r="P1298" s="87">
        <v>0.0</v>
      </c>
      <c r="Q1298" s="87">
        <v>0.0</v>
      </c>
      <c r="R1298" s="87">
        <v>0.1</v>
      </c>
      <c r="S1298" s="87">
        <v>6.012223</v>
      </c>
      <c r="T1298" s="87">
        <v>0.1</v>
      </c>
      <c r="U1298" s="87">
        <v>1.086916</v>
      </c>
      <c r="V1298" s="87">
        <v>1.829957</v>
      </c>
      <c r="W1298" s="87">
        <v>29.88229</v>
      </c>
      <c r="X1298" s="87">
        <v>31.51194</v>
      </c>
      <c r="Y1298" s="87">
        <v>11.77949</v>
      </c>
      <c r="Z1298" s="87">
        <v>0.0</v>
      </c>
      <c r="AA1298" s="87">
        <v>7.535089</v>
      </c>
      <c r="AB1298" s="87">
        <v>2.738572</v>
      </c>
      <c r="AC1298" s="87">
        <v>6.372817</v>
      </c>
      <c r="AD1298" s="87">
        <v>8.518138</v>
      </c>
      <c r="AE1298" s="87">
        <v>23.03705</v>
      </c>
      <c r="AF1298" s="87">
        <v>25.55645</v>
      </c>
      <c r="AG1298" s="87">
        <v>18.30298</v>
      </c>
      <c r="AH1298" s="87">
        <v>0.0</v>
      </c>
      <c r="AI1298" s="87">
        <v>5.927074</v>
      </c>
      <c r="AJ1298" s="87">
        <v>3.516978</v>
      </c>
      <c r="AK1298" s="87">
        <v>3.91889</v>
      </c>
      <c r="AL1298" s="88" t="s">
        <v>1396</v>
      </c>
    </row>
    <row r="1299">
      <c r="A1299" s="84" t="s">
        <v>3093</v>
      </c>
      <c r="B1299" s="84" t="s">
        <v>3115</v>
      </c>
      <c r="C1299" s="84" t="s">
        <v>644</v>
      </c>
      <c r="D1299" s="84" t="s">
        <v>1167</v>
      </c>
      <c r="E1299" s="86">
        <v>46310.0</v>
      </c>
      <c r="F1299" s="87">
        <v>19.0</v>
      </c>
      <c r="G1299" s="87">
        <v>0.0</v>
      </c>
      <c r="H1299" s="87">
        <v>12427.0</v>
      </c>
      <c r="I1299" s="87">
        <v>0.0</v>
      </c>
      <c r="J1299" s="87">
        <v>138.6498</v>
      </c>
      <c r="K1299" s="87">
        <v>140.5787</v>
      </c>
      <c r="L1299" s="87">
        <v>138.4026</v>
      </c>
      <c r="M1299" s="87">
        <v>77.05671</v>
      </c>
      <c r="N1299" s="87">
        <v>0.548139</v>
      </c>
      <c r="O1299" s="87">
        <v>0.0</v>
      </c>
      <c r="P1299" s="87">
        <v>0.0</v>
      </c>
      <c r="Q1299" s="87">
        <v>1.619032</v>
      </c>
      <c r="R1299" s="87">
        <v>6.341245</v>
      </c>
      <c r="S1299" s="87">
        <v>8.049254</v>
      </c>
      <c r="T1299" s="87">
        <v>3.476373</v>
      </c>
      <c r="U1299" s="87">
        <v>3.625973</v>
      </c>
      <c r="V1299" s="87">
        <v>6.341245</v>
      </c>
      <c r="W1299" s="87">
        <v>7.751923</v>
      </c>
      <c r="X1299" s="87">
        <v>12.59074</v>
      </c>
      <c r="Y1299" s="87">
        <v>7.398881</v>
      </c>
      <c r="Z1299" s="87">
        <v>0.0</v>
      </c>
      <c r="AA1299" s="87">
        <v>7.535089</v>
      </c>
      <c r="AB1299" s="87">
        <v>2.738572</v>
      </c>
      <c r="AC1299" s="87">
        <v>6.372817</v>
      </c>
      <c r="AD1299" s="87">
        <v>0.896426</v>
      </c>
      <c r="AE1299" s="87">
        <v>7.148215</v>
      </c>
      <c r="AF1299" s="87">
        <v>7.366529</v>
      </c>
      <c r="AG1299" s="87">
        <v>7.398881</v>
      </c>
      <c r="AH1299" s="87">
        <v>0.0</v>
      </c>
      <c r="AI1299" s="87">
        <v>5.927074</v>
      </c>
      <c r="AJ1299" s="87">
        <v>3.516978</v>
      </c>
      <c r="AK1299" s="87">
        <v>3.91889</v>
      </c>
      <c r="AL1299" s="88" t="s">
        <v>1396</v>
      </c>
    </row>
    <row r="1300">
      <c r="A1300" s="84" t="s">
        <v>3095</v>
      </c>
      <c r="B1300" s="84" t="s">
        <v>3116</v>
      </c>
      <c r="C1300" s="84" t="s">
        <v>644</v>
      </c>
      <c r="D1300" s="84" t="s">
        <v>1167</v>
      </c>
      <c r="E1300" s="84" t="s">
        <v>1413</v>
      </c>
      <c r="F1300" s="87">
        <v>3.0</v>
      </c>
      <c r="G1300" s="87">
        <v>0.0</v>
      </c>
      <c r="H1300" s="87">
        <v>639.0</v>
      </c>
      <c r="I1300" s="87">
        <v>0.0</v>
      </c>
      <c r="J1300" s="87">
        <v>4.207418</v>
      </c>
      <c r="K1300" s="87">
        <v>3.560227</v>
      </c>
      <c r="L1300" s="87">
        <v>3.72517</v>
      </c>
      <c r="M1300" s="87">
        <v>2.084442</v>
      </c>
      <c r="N1300" s="87">
        <v>0.58548</v>
      </c>
      <c r="O1300" s="87">
        <v>0.654865</v>
      </c>
      <c r="P1300" s="87">
        <v>0.654865</v>
      </c>
      <c r="Q1300" s="87">
        <v>0.654865</v>
      </c>
      <c r="R1300" s="87">
        <v>0.82092</v>
      </c>
      <c r="S1300" s="87">
        <v>2.084442</v>
      </c>
      <c r="T1300" s="87">
        <v>0.654865</v>
      </c>
      <c r="U1300" s="87">
        <v>0.654865</v>
      </c>
      <c r="V1300" s="87">
        <v>0.654865</v>
      </c>
      <c r="W1300" s="87">
        <v>0.82092</v>
      </c>
      <c r="X1300" s="87">
        <v>2.084442</v>
      </c>
      <c r="Y1300" s="87">
        <v>1.186742</v>
      </c>
      <c r="Z1300" s="87">
        <v>0.0</v>
      </c>
      <c r="AA1300" s="87">
        <v>7.535089</v>
      </c>
      <c r="AB1300" s="87">
        <v>2.738572</v>
      </c>
      <c r="AC1300" s="87">
        <v>6.372817</v>
      </c>
      <c r="AD1300" s="87">
        <v>1.621163</v>
      </c>
      <c r="AE1300" s="87">
        <v>4.083931</v>
      </c>
      <c r="AF1300" s="87">
        <v>5.222609</v>
      </c>
      <c r="AG1300" s="87">
        <v>4.126524</v>
      </c>
      <c r="AH1300" s="87">
        <v>0.0</v>
      </c>
      <c r="AI1300" s="87">
        <v>5.927074</v>
      </c>
      <c r="AJ1300" s="87">
        <v>3.516978</v>
      </c>
      <c r="AK1300" s="87">
        <v>3.91889</v>
      </c>
      <c r="AL1300" s="88" t="s">
        <v>1396</v>
      </c>
    </row>
    <row r="1301">
      <c r="A1301" s="84" t="s">
        <v>3089</v>
      </c>
      <c r="B1301" s="84" t="s">
        <v>3117</v>
      </c>
      <c r="C1301" s="84" t="s">
        <v>644</v>
      </c>
      <c r="D1301" s="84" t="s">
        <v>1167</v>
      </c>
      <c r="E1301" s="84" t="s">
        <v>1400</v>
      </c>
      <c r="F1301" s="87">
        <v>1.0</v>
      </c>
      <c r="G1301" s="87">
        <v>0.0</v>
      </c>
      <c r="H1301" s="87">
        <v>102.0</v>
      </c>
      <c r="I1301" s="87">
        <v>0.0</v>
      </c>
      <c r="J1301" s="87">
        <v>0.071429</v>
      </c>
      <c r="K1301" s="87">
        <v>3.595543</v>
      </c>
      <c r="L1301" s="87">
        <v>6.187216</v>
      </c>
      <c r="M1301" s="87">
        <v>3.595543</v>
      </c>
      <c r="N1301" s="87">
        <v>1.0</v>
      </c>
      <c r="O1301" s="87">
        <v>3.595543</v>
      </c>
      <c r="P1301" s="87">
        <v>3.595543</v>
      </c>
      <c r="Q1301" s="87">
        <v>3.595543</v>
      </c>
      <c r="R1301" s="87">
        <v>3.595543</v>
      </c>
      <c r="S1301" s="87">
        <v>3.595543</v>
      </c>
      <c r="T1301" s="87">
        <v>3.595543</v>
      </c>
      <c r="U1301" s="87">
        <v>3.595543</v>
      </c>
      <c r="V1301" s="87">
        <v>3.595543</v>
      </c>
      <c r="W1301" s="87">
        <v>3.595543</v>
      </c>
      <c r="X1301" s="87">
        <v>3.595543</v>
      </c>
      <c r="Y1301" s="87">
        <v>3.595543</v>
      </c>
      <c r="Z1301" s="87">
        <v>0.0</v>
      </c>
      <c r="AA1301" s="87">
        <v>7.535089</v>
      </c>
      <c r="AB1301" s="87">
        <v>2.738572</v>
      </c>
      <c r="AC1301" s="87">
        <v>6.372817</v>
      </c>
      <c r="AD1301" s="87">
        <v>0.759243</v>
      </c>
      <c r="AE1301" s="87">
        <v>1.992984</v>
      </c>
      <c r="AF1301" s="87">
        <v>2.838581</v>
      </c>
      <c r="AG1301" s="87">
        <v>2.493009</v>
      </c>
      <c r="AH1301" s="87">
        <v>0.0</v>
      </c>
      <c r="AI1301" s="87">
        <v>5.927074</v>
      </c>
      <c r="AJ1301" s="87">
        <v>3.516978</v>
      </c>
      <c r="AK1301" s="87">
        <v>3.91889</v>
      </c>
      <c r="AL1301" s="88" t="s">
        <v>1396</v>
      </c>
    </row>
    <row r="1302">
      <c r="A1302" s="84" t="s">
        <v>3100</v>
      </c>
      <c r="B1302" s="84" t="s">
        <v>3118</v>
      </c>
      <c r="C1302" s="84" t="s">
        <v>644</v>
      </c>
      <c r="D1302" s="84" t="s">
        <v>1167</v>
      </c>
      <c r="E1302" s="86">
        <v>46300.0</v>
      </c>
      <c r="F1302" s="87">
        <v>16.0</v>
      </c>
      <c r="G1302" s="87">
        <v>0.0</v>
      </c>
      <c r="H1302" s="87">
        <v>7594.0</v>
      </c>
      <c r="I1302" s="87">
        <v>0.0</v>
      </c>
      <c r="J1302" s="87">
        <v>93.64298</v>
      </c>
      <c r="K1302" s="87">
        <v>101.9651</v>
      </c>
      <c r="L1302" s="87">
        <v>99.0896</v>
      </c>
      <c r="M1302" s="87">
        <v>84.19851</v>
      </c>
      <c r="N1302" s="87">
        <v>0.825758</v>
      </c>
      <c r="O1302" s="87">
        <v>0.0</v>
      </c>
      <c r="P1302" s="87">
        <v>0.0</v>
      </c>
      <c r="Q1302" s="87">
        <v>0.0</v>
      </c>
      <c r="R1302" s="87">
        <v>0.477496</v>
      </c>
      <c r="S1302" s="87">
        <v>9.055056</v>
      </c>
      <c r="T1302" s="87">
        <v>0.477496</v>
      </c>
      <c r="U1302" s="87">
        <v>0.698925</v>
      </c>
      <c r="V1302" s="87">
        <v>7.535089</v>
      </c>
      <c r="W1302" s="87">
        <v>11.91752</v>
      </c>
      <c r="X1302" s="87">
        <v>19.41666</v>
      </c>
      <c r="Y1302" s="87">
        <v>6.372817</v>
      </c>
      <c r="Z1302" s="87">
        <v>0.0</v>
      </c>
      <c r="AA1302" s="87">
        <v>7.535089</v>
      </c>
      <c r="AB1302" s="87">
        <v>2.738572</v>
      </c>
      <c r="AC1302" s="87">
        <v>6.372817</v>
      </c>
      <c r="AD1302" s="87">
        <v>1.461105</v>
      </c>
      <c r="AE1302" s="87">
        <v>9.502682</v>
      </c>
      <c r="AF1302" s="87">
        <v>9.173192</v>
      </c>
      <c r="AG1302" s="87">
        <v>6.372817</v>
      </c>
      <c r="AH1302" s="87">
        <v>0.0</v>
      </c>
      <c r="AI1302" s="87">
        <v>5.927074</v>
      </c>
      <c r="AJ1302" s="87">
        <v>3.516978</v>
      </c>
      <c r="AK1302" s="87">
        <v>3.91889</v>
      </c>
      <c r="AL1302" s="88" t="s">
        <v>1396</v>
      </c>
    </row>
    <row r="1303">
      <c r="A1303" s="84" t="s">
        <v>3090</v>
      </c>
      <c r="B1303" s="84" t="s">
        <v>3119</v>
      </c>
      <c r="C1303" s="84" t="s">
        <v>644</v>
      </c>
      <c r="D1303" s="84" t="s">
        <v>1167</v>
      </c>
      <c r="E1303" s="84" t="s">
        <v>1403</v>
      </c>
      <c r="F1303" s="87">
        <v>105.0</v>
      </c>
      <c r="G1303" s="87">
        <v>8.0</v>
      </c>
      <c r="H1303" s="87">
        <v>2244.0</v>
      </c>
      <c r="I1303" s="87">
        <v>2244.0</v>
      </c>
      <c r="J1303" s="87">
        <v>0.0</v>
      </c>
      <c r="K1303" s="87">
        <v>0.0</v>
      </c>
      <c r="L1303" s="87">
        <v>0.0</v>
      </c>
      <c r="M1303" s="87">
        <v>0.0</v>
      </c>
      <c r="N1303" s="87">
        <v>0.0</v>
      </c>
      <c r="O1303" s="87">
        <v>0.0</v>
      </c>
      <c r="P1303" s="87">
        <v>0.0</v>
      </c>
      <c r="Q1303" s="87">
        <v>0.0</v>
      </c>
      <c r="R1303" s="87">
        <v>0.0</v>
      </c>
      <c r="S1303" s="87">
        <v>0.0</v>
      </c>
      <c r="T1303" s="87">
        <v>0.0</v>
      </c>
      <c r="U1303" s="87">
        <v>0.0</v>
      </c>
      <c r="V1303" s="87">
        <v>0.0</v>
      </c>
      <c r="W1303" s="87">
        <v>0.0</v>
      </c>
      <c r="X1303" s="87">
        <v>0.0</v>
      </c>
      <c r="Y1303" s="87">
        <v>0.0</v>
      </c>
      <c r="Z1303" s="87">
        <v>0.0</v>
      </c>
      <c r="AA1303" s="87">
        <v>7.535089</v>
      </c>
      <c r="AB1303" s="87">
        <v>2.738572</v>
      </c>
      <c r="AC1303" s="87">
        <v>6.372817</v>
      </c>
      <c r="AD1303" s="87">
        <v>0.0</v>
      </c>
      <c r="AE1303" s="87">
        <v>0.0</v>
      </c>
      <c r="AF1303" s="87">
        <v>0.0</v>
      </c>
      <c r="AG1303" s="87">
        <v>0.0</v>
      </c>
      <c r="AH1303" s="87">
        <v>0.0</v>
      </c>
      <c r="AI1303" s="87">
        <v>5.927074</v>
      </c>
      <c r="AJ1303" s="87">
        <v>3.516978</v>
      </c>
      <c r="AK1303" s="87">
        <v>3.91889</v>
      </c>
      <c r="AL1303" s="88" t="s">
        <v>1396</v>
      </c>
    </row>
    <row r="1304">
      <c r="A1304" s="84" t="s">
        <v>3091</v>
      </c>
      <c r="B1304" s="84" t="s">
        <v>3120</v>
      </c>
      <c r="C1304" s="84" t="s">
        <v>644</v>
      </c>
      <c r="D1304" s="84" t="s">
        <v>645</v>
      </c>
      <c r="E1304" s="84" t="s">
        <v>1426</v>
      </c>
      <c r="F1304" s="87">
        <v>11.0</v>
      </c>
      <c r="G1304" s="87">
        <v>0.0</v>
      </c>
      <c r="H1304" s="87">
        <v>15090.0</v>
      </c>
      <c r="I1304" s="87">
        <v>0.0</v>
      </c>
      <c r="J1304" s="87">
        <v>211.9398</v>
      </c>
      <c r="K1304" s="87">
        <v>218.813</v>
      </c>
      <c r="L1304" s="87">
        <v>222.3438</v>
      </c>
      <c r="M1304" s="87">
        <v>138.3371</v>
      </c>
      <c r="N1304" s="87">
        <v>0.632216</v>
      </c>
      <c r="O1304" s="87">
        <v>0.0</v>
      </c>
      <c r="P1304" s="87">
        <v>0.5</v>
      </c>
      <c r="Q1304" s="87">
        <v>10.22752</v>
      </c>
      <c r="R1304" s="87">
        <v>14.84372</v>
      </c>
      <c r="S1304" s="87">
        <v>20.87066</v>
      </c>
      <c r="T1304" s="87">
        <v>0.5</v>
      </c>
      <c r="U1304" s="87">
        <v>10.22752</v>
      </c>
      <c r="V1304" s="87">
        <v>14.83547</v>
      </c>
      <c r="W1304" s="87">
        <v>19.19853</v>
      </c>
      <c r="X1304" s="87">
        <v>39.33625</v>
      </c>
      <c r="Y1304" s="87">
        <v>19.89209</v>
      </c>
      <c r="Z1304" s="87">
        <v>0.0</v>
      </c>
      <c r="AA1304" s="87">
        <v>7.306161</v>
      </c>
      <c r="AB1304" s="87">
        <v>2.703241</v>
      </c>
      <c r="AC1304" s="87">
        <v>0.310145</v>
      </c>
      <c r="AD1304" s="87">
        <v>8.518138</v>
      </c>
      <c r="AE1304" s="87">
        <v>23.03705</v>
      </c>
      <c r="AF1304" s="87">
        <v>25.55645</v>
      </c>
      <c r="AG1304" s="87">
        <v>18.30298</v>
      </c>
      <c r="AH1304" s="87">
        <v>0.0</v>
      </c>
      <c r="AI1304" s="87">
        <v>5.927074</v>
      </c>
      <c r="AJ1304" s="87">
        <v>3.516978</v>
      </c>
      <c r="AK1304" s="87">
        <v>3.91889</v>
      </c>
      <c r="AL1304" s="88" t="s">
        <v>1396</v>
      </c>
    </row>
    <row r="1305">
      <c r="A1305" s="84" t="s">
        <v>3093</v>
      </c>
      <c r="B1305" s="84" t="s">
        <v>2996</v>
      </c>
      <c r="C1305" s="84" t="s">
        <v>644</v>
      </c>
      <c r="D1305" s="84" t="s">
        <v>645</v>
      </c>
      <c r="E1305" s="89">
        <v>46310.0</v>
      </c>
      <c r="F1305" s="87">
        <v>69.0</v>
      </c>
      <c r="G1305" s="87">
        <v>0.0</v>
      </c>
      <c r="H1305" s="87">
        <v>45589.0</v>
      </c>
      <c r="I1305" s="87">
        <v>0.0</v>
      </c>
      <c r="J1305" s="87">
        <v>612.2878</v>
      </c>
      <c r="K1305" s="87">
        <v>576.8741</v>
      </c>
      <c r="L1305" s="87">
        <v>563.6079</v>
      </c>
      <c r="M1305" s="87">
        <v>433.7207</v>
      </c>
      <c r="N1305" s="87">
        <v>0.751846</v>
      </c>
      <c r="O1305" s="87">
        <v>0.0</v>
      </c>
      <c r="P1305" s="87">
        <v>0.0</v>
      </c>
      <c r="Q1305" s="87">
        <v>0.0</v>
      </c>
      <c r="R1305" s="87">
        <v>2.546815</v>
      </c>
      <c r="S1305" s="87">
        <v>8.050861</v>
      </c>
      <c r="T1305" s="87">
        <v>1.678632</v>
      </c>
      <c r="U1305" s="87">
        <v>3.455537</v>
      </c>
      <c r="V1305" s="87">
        <v>5.627377</v>
      </c>
      <c r="W1305" s="87">
        <v>8.022683</v>
      </c>
      <c r="X1305" s="87">
        <v>14.97314</v>
      </c>
      <c r="Y1305" s="87">
        <v>8.360494</v>
      </c>
      <c r="Z1305" s="87">
        <v>0.0</v>
      </c>
      <c r="AA1305" s="87">
        <v>7.306161</v>
      </c>
      <c r="AB1305" s="87">
        <v>2.703241</v>
      </c>
      <c r="AC1305" s="87">
        <v>0.310145</v>
      </c>
      <c r="AD1305" s="87">
        <v>0.896426</v>
      </c>
      <c r="AE1305" s="87">
        <v>7.148215</v>
      </c>
      <c r="AF1305" s="87">
        <v>7.366529</v>
      </c>
      <c r="AG1305" s="87">
        <v>7.398881</v>
      </c>
      <c r="AH1305" s="87">
        <v>0.0</v>
      </c>
      <c r="AI1305" s="87">
        <v>5.927074</v>
      </c>
      <c r="AJ1305" s="87">
        <v>3.516978</v>
      </c>
      <c r="AK1305" s="87">
        <v>3.91889</v>
      </c>
      <c r="AL1305" s="88" t="s">
        <v>1396</v>
      </c>
    </row>
    <row r="1306">
      <c r="A1306" s="84" t="s">
        <v>3095</v>
      </c>
      <c r="B1306" s="84" t="s">
        <v>3121</v>
      </c>
      <c r="C1306" s="84" t="s">
        <v>644</v>
      </c>
      <c r="D1306" s="84" t="s">
        <v>645</v>
      </c>
      <c r="E1306" s="84" t="s">
        <v>1413</v>
      </c>
      <c r="F1306" s="87">
        <v>38.0</v>
      </c>
      <c r="G1306" s="87">
        <v>0.0</v>
      </c>
      <c r="H1306" s="87">
        <v>18272.0</v>
      </c>
      <c r="I1306" s="87">
        <v>0.0</v>
      </c>
      <c r="J1306" s="87">
        <v>193.4621</v>
      </c>
      <c r="K1306" s="87">
        <v>200.0443</v>
      </c>
      <c r="L1306" s="87">
        <v>190.5745</v>
      </c>
      <c r="M1306" s="87">
        <v>125.3689</v>
      </c>
      <c r="N1306" s="87">
        <v>0.626706</v>
      </c>
      <c r="O1306" s="87">
        <v>0.0</v>
      </c>
      <c r="P1306" s="87">
        <v>0.0</v>
      </c>
      <c r="Q1306" s="87">
        <v>0.0</v>
      </c>
      <c r="R1306" s="87">
        <v>3.959799</v>
      </c>
      <c r="S1306" s="87">
        <v>6.406133</v>
      </c>
      <c r="T1306" s="87">
        <v>2.903866</v>
      </c>
      <c r="U1306" s="87">
        <v>3.455818</v>
      </c>
      <c r="V1306" s="87">
        <v>4.600384</v>
      </c>
      <c r="W1306" s="87">
        <v>6.406133</v>
      </c>
      <c r="X1306" s="87">
        <v>7.841335</v>
      </c>
      <c r="Y1306" s="87">
        <v>5.264324</v>
      </c>
      <c r="Z1306" s="87">
        <v>0.0</v>
      </c>
      <c r="AA1306" s="87">
        <v>7.306161</v>
      </c>
      <c r="AB1306" s="87">
        <v>2.703241</v>
      </c>
      <c r="AC1306" s="87">
        <v>0.310145</v>
      </c>
      <c r="AD1306" s="87">
        <v>1.621163</v>
      </c>
      <c r="AE1306" s="87">
        <v>4.083931</v>
      </c>
      <c r="AF1306" s="87">
        <v>5.222609</v>
      </c>
      <c r="AG1306" s="87">
        <v>4.126524</v>
      </c>
      <c r="AH1306" s="87">
        <v>0.0</v>
      </c>
      <c r="AI1306" s="87">
        <v>5.927074</v>
      </c>
      <c r="AJ1306" s="87">
        <v>3.516978</v>
      </c>
      <c r="AK1306" s="87">
        <v>3.91889</v>
      </c>
      <c r="AL1306" s="88" t="s">
        <v>1396</v>
      </c>
    </row>
    <row r="1307">
      <c r="A1307" s="84" t="s">
        <v>3097</v>
      </c>
      <c r="B1307" s="84" t="s">
        <v>3122</v>
      </c>
      <c r="C1307" s="84" t="s">
        <v>644</v>
      </c>
      <c r="D1307" s="84" t="s">
        <v>645</v>
      </c>
      <c r="E1307" s="84" t="s">
        <v>1398</v>
      </c>
      <c r="F1307" s="87">
        <v>12.0</v>
      </c>
      <c r="G1307" s="87">
        <v>0.0</v>
      </c>
      <c r="H1307" s="87">
        <v>2164.0</v>
      </c>
      <c r="I1307" s="87">
        <v>0.0</v>
      </c>
      <c r="J1307" s="87">
        <v>40.8416</v>
      </c>
      <c r="K1307" s="87">
        <v>37.78849</v>
      </c>
      <c r="L1307" s="87">
        <v>36.58938</v>
      </c>
      <c r="M1307" s="87">
        <v>21.93194</v>
      </c>
      <c r="N1307" s="87">
        <v>0.580387</v>
      </c>
      <c r="O1307" s="87">
        <v>0.0</v>
      </c>
      <c r="P1307" s="87">
        <v>0.0</v>
      </c>
      <c r="Q1307" s="87">
        <v>0.0</v>
      </c>
      <c r="R1307" s="87">
        <v>3.244048</v>
      </c>
      <c r="S1307" s="87">
        <v>3.433333</v>
      </c>
      <c r="T1307" s="87">
        <v>2.895238</v>
      </c>
      <c r="U1307" s="87">
        <v>2.963695</v>
      </c>
      <c r="V1307" s="87">
        <v>3.244048</v>
      </c>
      <c r="W1307" s="87">
        <v>3.433333</v>
      </c>
      <c r="X1307" s="87">
        <v>3.503571</v>
      </c>
      <c r="Y1307" s="87">
        <v>3.149041</v>
      </c>
      <c r="Z1307" s="87">
        <v>0.0</v>
      </c>
      <c r="AA1307" s="87">
        <v>7.306161</v>
      </c>
      <c r="AB1307" s="87">
        <v>2.703241</v>
      </c>
      <c r="AC1307" s="87">
        <v>0.310145</v>
      </c>
      <c r="AD1307" s="87">
        <v>1.68004</v>
      </c>
      <c r="AE1307" s="87">
        <v>3.320238</v>
      </c>
      <c r="AF1307" s="87">
        <v>4.456992</v>
      </c>
      <c r="AG1307" s="87">
        <v>3.149041</v>
      </c>
      <c r="AH1307" s="87">
        <v>0.0</v>
      </c>
      <c r="AI1307" s="87">
        <v>5.927074</v>
      </c>
      <c r="AJ1307" s="87">
        <v>3.516978</v>
      </c>
      <c r="AK1307" s="87">
        <v>3.91889</v>
      </c>
      <c r="AL1307" s="88" t="s">
        <v>1396</v>
      </c>
    </row>
    <row r="1308">
      <c r="A1308" s="84" t="s">
        <v>3089</v>
      </c>
      <c r="B1308" s="84" t="s">
        <v>3032</v>
      </c>
      <c r="C1308" s="84" t="s">
        <v>644</v>
      </c>
      <c r="D1308" s="84" t="s">
        <v>645</v>
      </c>
      <c r="E1308" s="84" t="s">
        <v>1400</v>
      </c>
      <c r="F1308" s="87">
        <v>9.0</v>
      </c>
      <c r="G1308" s="87">
        <v>0.0</v>
      </c>
      <c r="H1308" s="87">
        <v>3983.0</v>
      </c>
      <c r="I1308" s="87">
        <v>0.0</v>
      </c>
      <c r="J1308" s="87">
        <v>36.90122</v>
      </c>
      <c r="K1308" s="87">
        <v>36.37213</v>
      </c>
      <c r="L1308" s="87">
        <v>39.87496</v>
      </c>
      <c r="M1308" s="87">
        <v>19.94365</v>
      </c>
      <c r="N1308" s="87">
        <v>0.548322</v>
      </c>
      <c r="O1308" s="87">
        <v>0.0</v>
      </c>
      <c r="P1308" s="87">
        <v>0.0</v>
      </c>
      <c r="Q1308" s="87">
        <v>0.0</v>
      </c>
      <c r="R1308" s="87">
        <v>3.057316</v>
      </c>
      <c r="S1308" s="87">
        <v>6.780928</v>
      </c>
      <c r="T1308" s="87">
        <v>0.297619</v>
      </c>
      <c r="U1308" s="87">
        <v>3.057316</v>
      </c>
      <c r="V1308" s="87">
        <v>3.057316</v>
      </c>
      <c r="W1308" s="87">
        <v>6.780928</v>
      </c>
      <c r="X1308" s="87">
        <v>7.095805</v>
      </c>
      <c r="Y1308" s="87">
        <v>4.041347</v>
      </c>
      <c r="Z1308" s="87">
        <v>0.0</v>
      </c>
      <c r="AA1308" s="87">
        <v>7.306161</v>
      </c>
      <c r="AB1308" s="87">
        <v>2.703241</v>
      </c>
      <c r="AC1308" s="87">
        <v>0.310145</v>
      </c>
      <c r="AD1308" s="87">
        <v>0.759243</v>
      </c>
      <c r="AE1308" s="87">
        <v>1.992984</v>
      </c>
      <c r="AF1308" s="87">
        <v>2.838581</v>
      </c>
      <c r="AG1308" s="87">
        <v>2.493009</v>
      </c>
      <c r="AH1308" s="87">
        <v>0.0</v>
      </c>
      <c r="AI1308" s="87">
        <v>5.927074</v>
      </c>
      <c r="AJ1308" s="87">
        <v>3.516978</v>
      </c>
      <c r="AK1308" s="87">
        <v>3.91889</v>
      </c>
      <c r="AL1308" s="88" t="s">
        <v>1396</v>
      </c>
    </row>
    <row r="1309">
      <c r="A1309" s="84" t="s">
        <v>3100</v>
      </c>
      <c r="B1309" s="84" t="s">
        <v>2997</v>
      </c>
      <c r="C1309" s="84" t="s">
        <v>644</v>
      </c>
      <c r="D1309" s="84" t="s">
        <v>645</v>
      </c>
      <c r="E1309" s="89">
        <v>46300.0</v>
      </c>
      <c r="F1309" s="87">
        <v>35.0</v>
      </c>
      <c r="G1309" s="87">
        <v>0.0</v>
      </c>
      <c r="H1309" s="87">
        <v>14322.0</v>
      </c>
      <c r="I1309" s="87">
        <v>0.0</v>
      </c>
      <c r="J1309" s="87">
        <v>188.9441</v>
      </c>
      <c r="K1309" s="87">
        <v>235.2133</v>
      </c>
      <c r="L1309" s="87">
        <v>228.1147</v>
      </c>
      <c r="M1309" s="87">
        <v>186.8422</v>
      </c>
      <c r="N1309" s="87">
        <v>0.794352</v>
      </c>
      <c r="O1309" s="87">
        <v>0.0</v>
      </c>
      <c r="P1309" s="87">
        <v>0.0</v>
      </c>
      <c r="Q1309" s="87">
        <v>0.0</v>
      </c>
      <c r="R1309" s="87">
        <v>0.076923</v>
      </c>
      <c r="S1309" s="87">
        <v>8.637165</v>
      </c>
      <c r="T1309" s="87">
        <v>1.0</v>
      </c>
      <c r="U1309" s="87">
        <v>2.061494</v>
      </c>
      <c r="V1309" s="87">
        <v>4.572074</v>
      </c>
      <c r="W1309" s="87">
        <v>10.63007</v>
      </c>
      <c r="X1309" s="87">
        <v>13.76713</v>
      </c>
      <c r="Y1309" s="87">
        <v>6.720379</v>
      </c>
      <c r="Z1309" s="87">
        <v>0.0</v>
      </c>
      <c r="AA1309" s="87">
        <v>7.306161</v>
      </c>
      <c r="AB1309" s="87">
        <v>2.703241</v>
      </c>
      <c r="AC1309" s="87">
        <v>0.310145</v>
      </c>
      <c r="AD1309" s="87">
        <v>1.461105</v>
      </c>
      <c r="AE1309" s="87">
        <v>9.502682</v>
      </c>
      <c r="AF1309" s="87">
        <v>9.173192</v>
      </c>
      <c r="AG1309" s="87">
        <v>6.372817</v>
      </c>
      <c r="AH1309" s="87">
        <v>0.0</v>
      </c>
      <c r="AI1309" s="87">
        <v>5.927074</v>
      </c>
      <c r="AJ1309" s="87">
        <v>3.516978</v>
      </c>
      <c r="AK1309" s="87">
        <v>3.91889</v>
      </c>
      <c r="AL1309" s="88" t="s">
        <v>1396</v>
      </c>
    </row>
    <row r="1310">
      <c r="A1310" s="84" t="s">
        <v>3090</v>
      </c>
      <c r="B1310" s="84" t="s">
        <v>2998</v>
      </c>
      <c r="C1310" s="84" t="s">
        <v>644</v>
      </c>
      <c r="D1310" s="84" t="s">
        <v>645</v>
      </c>
      <c r="E1310" s="84" t="s">
        <v>1403</v>
      </c>
      <c r="F1310" s="87">
        <v>211.0</v>
      </c>
      <c r="G1310" s="87">
        <v>7.0</v>
      </c>
      <c r="H1310" s="87">
        <v>311.0</v>
      </c>
      <c r="I1310" s="87">
        <v>311.0</v>
      </c>
      <c r="J1310" s="87">
        <v>0.0</v>
      </c>
      <c r="K1310" s="87">
        <v>0.0</v>
      </c>
      <c r="L1310" s="87">
        <v>0.0</v>
      </c>
      <c r="M1310" s="87">
        <v>0.0</v>
      </c>
      <c r="N1310" s="87">
        <v>0.0</v>
      </c>
      <c r="O1310" s="87">
        <v>0.0</v>
      </c>
      <c r="P1310" s="87">
        <v>0.0</v>
      </c>
      <c r="Q1310" s="87">
        <v>0.0</v>
      </c>
      <c r="R1310" s="87">
        <v>0.0</v>
      </c>
      <c r="S1310" s="87">
        <v>0.0</v>
      </c>
      <c r="T1310" s="87">
        <v>0.0</v>
      </c>
      <c r="U1310" s="87">
        <v>0.0</v>
      </c>
      <c r="V1310" s="87">
        <v>0.0</v>
      </c>
      <c r="W1310" s="87">
        <v>0.0</v>
      </c>
      <c r="X1310" s="87">
        <v>0.0</v>
      </c>
      <c r="Y1310" s="87">
        <v>0.0</v>
      </c>
      <c r="Z1310" s="87">
        <v>0.0</v>
      </c>
      <c r="AA1310" s="87">
        <v>7.306161</v>
      </c>
      <c r="AB1310" s="87">
        <v>2.703241</v>
      </c>
      <c r="AC1310" s="87">
        <v>0.310145</v>
      </c>
      <c r="AD1310" s="87">
        <v>0.0</v>
      </c>
      <c r="AE1310" s="87">
        <v>0.0</v>
      </c>
      <c r="AF1310" s="87">
        <v>0.0</v>
      </c>
      <c r="AG1310" s="87">
        <v>0.0</v>
      </c>
      <c r="AH1310" s="87">
        <v>0.0</v>
      </c>
      <c r="AI1310" s="87">
        <v>5.927074</v>
      </c>
      <c r="AJ1310" s="87">
        <v>3.516978</v>
      </c>
      <c r="AK1310" s="87">
        <v>3.91889</v>
      </c>
      <c r="AL1310" s="88" t="s">
        <v>1396</v>
      </c>
    </row>
    <row r="1311">
      <c r="A1311" s="84" t="s">
        <v>3089</v>
      </c>
      <c r="B1311" s="84" t="s">
        <v>3123</v>
      </c>
      <c r="C1311" s="84" t="s">
        <v>644</v>
      </c>
      <c r="D1311" s="84" t="s">
        <v>3124</v>
      </c>
      <c r="E1311" s="84" t="s">
        <v>1400</v>
      </c>
      <c r="F1311" s="87">
        <v>5.0</v>
      </c>
      <c r="G1311" s="87">
        <v>0.0</v>
      </c>
      <c r="H1311" s="87">
        <v>0.0</v>
      </c>
      <c r="I1311" s="87">
        <v>0.0</v>
      </c>
      <c r="J1311" s="87">
        <v>0.0</v>
      </c>
      <c r="K1311" s="87">
        <v>0.0</v>
      </c>
      <c r="L1311" s="87">
        <v>0.0</v>
      </c>
      <c r="M1311" s="87">
        <v>0.0</v>
      </c>
      <c r="N1311" s="87">
        <v>0.0</v>
      </c>
      <c r="O1311" s="87">
        <v>0.0</v>
      </c>
      <c r="P1311" s="87">
        <v>0.0</v>
      </c>
      <c r="Q1311" s="87">
        <v>0.0</v>
      </c>
      <c r="R1311" s="87">
        <v>0.0</v>
      </c>
      <c r="S1311" s="87">
        <v>0.0</v>
      </c>
      <c r="T1311" s="87">
        <v>0.0</v>
      </c>
      <c r="U1311" s="87">
        <v>0.0</v>
      </c>
      <c r="V1311" s="87">
        <v>0.0</v>
      </c>
      <c r="W1311" s="87">
        <v>0.0</v>
      </c>
      <c r="X1311" s="87">
        <v>0.0</v>
      </c>
      <c r="Y1311" s="87">
        <v>0.0</v>
      </c>
      <c r="Z1311" s="87">
        <v>0.0</v>
      </c>
      <c r="AA1311" s="87">
        <v>0.530108</v>
      </c>
      <c r="AB1311" s="87">
        <v>0.01767</v>
      </c>
      <c r="AC1311" s="87">
        <v>0.0</v>
      </c>
      <c r="AD1311" s="87">
        <v>0.759243</v>
      </c>
      <c r="AE1311" s="87">
        <v>1.992984</v>
      </c>
      <c r="AF1311" s="87">
        <v>2.838581</v>
      </c>
      <c r="AG1311" s="87">
        <v>2.493009</v>
      </c>
      <c r="AH1311" s="87">
        <v>0.0</v>
      </c>
      <c r="AI1311" s="87">
        <v>5.927074</v>
      </c>
      <c r="AJ1311" s="87">
        <v>3.516978</v>
      </c>
      <c r="AK1311" s="87">
        <v>3.91889</v>
      </c>
      <c r="AL1311" s="88" t="s">
        <v>1396</v>
      </c>
    </row>
    <row r="1312">
      <c r="A1312" s="84" t="s">
        <v>3100</v>
      </c>
      <c r="B1312" s="84" t="s">
        <v>3125</v>
      </c>
      <c r="C1312" s="84" t="s">
        <v>644</v>
      </c>
      <c r="D1312" s="84" t="s">
        <v>3124</v>
      </c>
      <c r="E1312" s="89">
        <v>46300.0</v>
      </c>
      <c r="F1312" s="87">
        <v>1.0</v>
      </c>
      <c r="G1312" s="87">
        <v>0.0</v>
      </c>
      <c r="H1312" s="87">
        <v>419.0</v>
      </c>
      <c r="I1312" s="87">
        <v>0.0</v>
      </c>
      <c r="J1312" s="87">
        <v>0.642857</v>
      </c>
      <c r="K1312" s="87">
        <v>0.530108</v>
      </c>
      <c r="L1312" s="87">
        <v>0.517298</v>
      </c>
      <c r="M1312" s="87">
        <v>0.530108</v>
      </c>
      <c r="N1312" s="87">
        <v>1.0</v>
      </c>
      <c r="O1312" s="87">
        <v>0.530108</v>
      </c>
      <c r="P1312" s="87">
        <v>0.530108</v>
      </c>
      <c r="Q1312" s="87">
        <v>0.530108</v>
      </c>
      <c r="R1312" s="87">
        <v>0.530108</v>
      </c>
      <c r="S1312" s="87">
        <v>0.530108</v>
      </c>
      <c r="T1312" s="87">
        <v>0.530108</v>
      </c>
      <c r="U1312" s="87">
        <v>0.530108</v>
      </c>
      <c r="V1312" s="87">
        <v>0.530108</v>
      </c>
      <c r="W1312" s="87">
        <v>0.530108</v>
      </c>
      <c r="X1312" s="87">
        <v>0.530108</v>
      </c>
      <c r="Y1312" s="87">
        <v>0.530108</v>
      </c>
      <c r="Z1312" s="87">
        <v>0.0</v>
      </c>
      <c r="AA1312" s="87">
        <v>0.530108</v>
      </c>
      <c r="AB1312" s="87">
        <v>0.01767</v>
      </c>
      <c r="AC1312" s="87">
        <v>0.0</v>
      </c>
      <c r="AD1312" s="87">
        <v>1.461105</v>
      </c>
      <c r="AE1312" s="87">
        <v>9.502682</v>
      </c>
      <c r="AF1312" s="87">
        <v>9.173192</v>
      </c>
      <c r="AG1312" s="87">
        <v>6.372817</v>
      </c>
      <c r="AH1312" s="87">
        <v>0.0</v>
      </c>
      <c r="AI1312" s="87">
        <v>5.927074</v>
      </c>
      <c r="AJ1312" s="87">
        <v>3.516978</v>
      </c>
      <c r="AK1312" s="87">
        <v>3.91889</v>
      </c>
      <c r="AL1312" s="88" t="s">
        <v>1396</v>
      </c>
    </row>
    <row r="1313">
      <c r="A1313" s="84" t="s">
        <v>3090</v>
      </c>
      <c r="B1313" s="84" t="s">
        <v>3126</v>
      </c>
      <c r="C1313" s="84" t="s">
        <v>644</v>
      </c>
      <c r="D1313" s="84" t="s">
        <v>3124</v>
      </c>
      <c r="E1313" s="84" t="s">
        <v>1403</v>
      </c>
      <c r="F1313" s="87">
        <v>24.0</v>
      </c>
      <c r="G1313" s="87">
        <v>0.0</v>
      </c>
      <c r="H1313" s="87">
        <v>0.0</v>
      </c>
      <c r="I1313" s="87">
        <v>0.0</v>
      </c>
      <c r="J1313" s="87">
        <v>0.0</v>
      </c>
      <c r="K1313" s="87">
        <v>0.0</v>
      </c>
      <c r="L1313" s="87">
        <v>0.0</v>
      </c>
      <c r="M1313" s="87">
        <v>0.0</v>
      </c>
      <c r="N1313" s="87">
        <v>0.0</v>
      </c>
      <c r="O1313" s="87">
        <v>0.0</v>
      </c>
      <c r="P1313" s="87">
        <v>0.0</v>
      </c>
      <c r="Q1313" s="87">
        <v>0.0</v>
      </c>
      <c r="R1313" s="87">
        <v>0.0</v>
      </c>
      <c r="S1313" s="87">
        <v>0.0</v>
      </c>
      <c r="T1313" s="87">
        <v>0.0</v>
      </c>
      <c r="U1313" s="87">
        <v>0.0</v>
      </c>
      <c r="V1313" s="87">
        <v>0.0</v>
      </c>
      <c r="W1313" s="87">
        <v>0.0</v>
      </c>
      <c r="X1313" s="87">
        <v>0.0</v>
      </c>
      <c r="Y1313" s="87">
        <v>0.0</v>
      </c>
      <c r="Z1313" s="87">
        <v>0.0</v>
      </c>
      <c r="AA1313" s="87">
        <v>0.530108</v>
      </c>
      <c r="AB1313" s="87">
        <v>0.01767</v>
      </c>
      <c r="AC1313" s="87">
        <v>0.0</v>
      </c>
      <c r="AD1313" s="87">
        <v>0.0</v>
      </c>
      <c r="AE1313" s="87">
        <v>0.0</v>
      </c>
      <c r="AF1313" s="87">
        <v>0.0</v>
      </c>
      <c r="AG1313" s="87">
        <v>0.0</v>
      </c>
      <c r="AH1313" s="87">
        <v>0.0</v>
      </c>
      <c r="AI1313" s="87">
        <v>5.927074</v>
      </c>
      <c r="AJ1313" s="87">
        <v>3.516978</v>
      </c>
      <c r="AK1313" s="87">
        <v>3.91889</v>
      </c>
      <c r="AL1313" s="88" t="s">
        <v>1396</v>
      </c>
    </row>
    <row r="1314">
      <c r="A1314" s="84" t="s">
        <v>3091</v>
      </c>
      <c r="B1314" s="84" t="s">
        <v>3127</v>
      </c>
      <c r="C1314" s="84" t="s">
        <v>644</v>
      </c>
      <c r="D1314" s="84" t="s">
        <v>1171</v>
      </c>
      <c r="E1314" s="84" t="s">
        <v>1426</v>
      </c>
      <c r="F1314" s="87">
        <v>22.0</v>
      </c>
      <c r="G1314" s="87">
        <v>0.0</v>
      </c>
      <c r="H1314" s="87">
        <v>42430.0</v>
      </c>
      <c r="I1314" s="87">
        <v>0.0</v>
      </c>
      <c r="J1314" s="87">
        <v>640.6185</v>
      </c>
      <c r="K1314" s="87">
        <v>767.3052</v>
      </c>
      <c r="L1314" s="87">
        <v>706.8749</v>
      </c>
      <c r="M1314" s="87">
        <v>685.3624</v>
      </c>
      <c r="N1314" s="87">
        <v>0.893207</v>
      </c>
      <c r="O1314" s="87">
        <v>0.0</v>
      </c>
      <c r="P1314" s="87">
        <v>0.0</v>
      </c>
      <c r="Q1314" s="87">
        <v>0.0</v>
      </c>
      <c r="R1314" s="87">
        <v>0.0</v>
      </c>
      <c r="S1314" s="87">
        <v>19.37054</v>
      </c>
      <c r="T1314" s="87">
        <v>11.31579</v>
      </c>
      <c r="U1314" s="87">
        <v>11.90059</v>
      </c>
      <c r="V1314" s="87">
        <v>19.37054</v>
      </c>
      <c r="W1314" s="87">
        <v>51.78789</v>
      </c>
      <c r="X1314" s="87">
        <v>143.8699</v>
      </c>
      <c r="Y1314" s="87">
        <v>34.87751</v>
      </c>
      <c r="Z1314" s="87">
        <v>0.0</v>
      </c>
      <c r="AA1314" s="87">
        <v>5.952012</v>
      </c>
      <c r="AB1314" s="87">
        <v>4.707771</v>
      </c>
      <c r="AC1314" s="87">
        <v>3.630278</v>
      </c>
      <c r="AD1314" s="87">
        <v>8.518138</v>
      </c>
      <c r="AE1314" s="87">
        <v>23.03705</v>
      </c>
      <c r="AF1314" s="87">
        <v>25.55645</v>
      </c>
      <c r="AG1314" s="87">
        <v>18.30298</v>
      </c>
      <c r="AH1314" s="87">
        <v>0.0</v>
      </c>
      <c r="AI1314" s="87">
        <v>5.927074</v>
      </c>
      <c r="AJ1314" s="87">
        <v>3.516978</v>
      </c>
      <c r="AK1314" s="87">
        <v>3.91889</v>
      </c>
      <c r="AL1314" s="88" t="s">
        <v>1396</v>
      </c>
    </row>
    <row r="1315">
      <c r="A1315" s="84" t="s">
        <v>3093</v>
      </c>
      <c r="B1315" s="84" t="s">
        <v>3128</v>
      </c>
      <c r="C1315" s="84" t="s">
        <v>644</v>
      </c>
      <c r="D1315" s="84" t="s">
        <v>1171</v>
      </c>
      <c r="E1315" s="86">
        <v>46310.0</v>
      </c>
      <c r="F1315" s="87">
        <v>41.0</v>
      </c>
      <c r="G1315" s="87">
        <v>3.0</v>
      </c>
      <c r="H1315" s="87">
        <v>8920.0</v>
      </c>
      <c r="I1315" s="87">
        <v>269.0</v>
      </c>
      <c r="J1315" s="87">
        <v>73.91243</v>
      </c>
      <c r="K1315" s="87">
        <v>148.8414</v>
      </c>
      <c r="L1315" s="87">
        <v>157.9981</v>
      </c>
      <c r="M1315" s="87">
        <v>138.9418</v>
      </c>
      <c r="N1315" s="87">
        <v>0.933489</v>
      </c>
      <c r="O1315" s="87">
        <v>0.0</v>
      </c>
      <c r="P1315" s="87">
        <v>0.0</v>
      </c>
      <c r="Q1315" s="87">
        <v>0.0</v>
      </c>
      <c r="R1315" s="87">
        <v>0.004167</v>
      </c>
      <c r="S1315" s="87">
        <v>0.401149</v>
      </c>
      <c r="T1315" s="87">
        <v>0.033333</v>
      </c>
      <c r="U1315" s="87">
        <v>0.137931</v>
      </c>
      <c r="V1315" s="87">
        <v>0.333333</v>
      </c>
      <c r="W1315" s="87">
        <v>3.016175</v>
      </c>
      <c r="X1315" s="87">
        <v>6.472822</v>
      </c>
      <c r="Y1315" s="87">
        <v>3.630278</v>
      </c>
      <c r="Z1315" s="87">
        <v>0.0</v>
      </c>
      <c r="AA1315" s="87">
        <v>5.952012</v>
      </c>
      <c r="AB1315" s="87">
        <v>4.707771</v>
      </c>
      <c r="AC1315" s="87">
        <v>3.630278</v>
      </c>
      <c r="AD1315" s="87">
        <v>0.896426</v>
      </c>
      <c r="AE1315" s="87">
        <v>7.148215</v>
      </c>
      <c r="AF1315" s="87">
        <v>7.366529</v>
      </c>
      <c r="AG1315" s="87">
        <v>7.398881</v>
      </c>
      <c r="AH1315" s="87">
        <v>0.0</v>
      </c>
      <c r="AI1315" s="87">
        <v>5.927074</v>
      </c>
      <c r="AJ1315" s="87">
        <v>3.516978</v>
      </c>
      <c r="AK1315" s="87">
        <v>3.91889</v>
      </c>
      <c r="AL1315" s="88" t="s">
        <v>1396</v>
      </c>
    </row>
    <row r="1316">
      <c r="A1316" s="84" t="s">
        <v>3095</v>
      </c>
      <c r="B1316" s="84" t="s">
        <v>3129</v>
      </c>
      <c r="C1316" s="84" t="s">
        <v>644</v>
      </c>
      <c r="D1316" s="84" t="s">
        <v>1171</v>
      </c>
      <c r="E1316" s="84" t="s">
        <v>1413</v>
      </c>
      <c r="F1316" s="87">
        <v>20.0</v>
      </c>
      <c r="G1316" s="87">
        <v>0.0</v>
      </c>
      <c r="H1316" s="87">
        <v>1457.0</v>
      </c>
      <c r="I1316" s="87">
        <v>0.0</v>
      </c>
      <c r="J1316" s="87">
        <v>23.89772</v>
      </c>
      <c r="K1316" s="87">
        <v>35.13447</v>
      </c>
      <c r="L1316" s="87">
        <v>37.91057</v>
      </c>
      <c r="M1316" s="87">
        <v>24.71505</v>
      </c>
      <c r="N1316" s="87">
        <v>0.703442</v>
      </c>
      <c r="O1316" s="87">
        <v>0.0</v>
      </c>
      <c r="P1316" s="87">
        <v>0.0</v>
      </c>
      <c r="Q1316" s="87">
        <v>0.0</v>
      </c>
      <c r="R1316" s="87">
        <v>0.037037</v>
      </c>
      <c r="S1316" s="87">
        <v>3.125</v>
      </c>
      <c r="T1316" s="87">
        <v>0.25</v>
      </c>
      <c r="U1316" s="87">
        <v>1.148352</v>
      </c>
      <c r="V1316" s="87">
        <v>2.08658</v>
      </c>
      <c r="W1316" s="87">
        <v>3.772451</v>
      </c>
      <c r="X1316" s="87">
        <v>5.530252</v>
      </c>
      <c r="Y1316" s="87">
        <v>1.756723</v>
      </c>
      <c r="Z1316" s="87">
        <v>0.0</v>
      </c>
      <c r="AA1316" s="87">
        <v>5.952012</v>
      </c>
      <c r="AB1316" s="87">
        <v>4.707771</v>
      </c>
      <c r="AC1316" s="87">
        <v>3.630278</v>
      </c>
      <c r="AD1316" s="87">
        <v>1.621163</v>
      </c>
      <c r="AE1316" s="87">
        <v>4.083931</v>
      </c>
      <c r="AF1316" s="87">
        <v>5.222609</v>
      </c>
      <c r="AG1316" s="87">
        <v>4.126524</v>
      </c>
      <c r="AH1316" s="87">
        <v>0.0</v>
      </c>
      <c r="AI1316" s="87">
        <v>5.927074</v>
      </c>
      <c r="AJ1316" s="87">
        <v>3.516978</v>
      </c>
      <c r="AK1316" s="87">
        <v>3.91889</v>
      </c>
      <c r="AL1316" s="88" t="s">
        <v>1396</v>
      </c>
    </row>
    <row r="1317">
      <c r="A1317" s="84" t="s">
        <v>3097</v>
      </c>
      <c r="B1317" s="84" t="s">
        <v>3130</v>
      </c>
      <c r="C1317" s="84" t="s">
        <v>644</v>
      </c>
      <c r="D1317" s="84" t="s">
        <v>1171</v>
      </c>
      <c r="E1317" s="84" t="s">
        <v>1398</v>
      </c>
      <c r="F1317" s="87">
        <v>16.0</v>
      </c>
      <c r="G1317" s="87">
        <v>0.0</v>
      </c>
      <c r="H1317" s="87">
        <v>4101.0</v>
      </c>
      <c r="I1317" s="87">
        <v>0.0</v>
      </c>
      <c r="J1317" s="87">
        <v>14.31436</v>
      </c>
      <c r="K1317" s="87">
        <v>29.21499</v>
      </c>
      <c r="L1317" s="87">
        <v>27.49058</v>
      </c>
      <c r="M1317" s="87">
        <v>20.21144</v>
      </c>
      <c r="N1317" s="87">
        <v>0.691817</v>
      </c>
      <c r="O1317" s="87">
        <v>0.0</v>
      </c>
      <c r="P1317" s="87">
        <v>0.0</v>
      </c>
      <c r="Q1317" s="87">
        <v>0.0</v>
      </c>
      <c r="R1317" s="87">
        <v>1.076923</v>
      </c>
      <c r="S1317" s="87">
        <v>2.590373</v>
      </c>
      <c r="T1317" s="87">
        <v>0.757568</v>
      </c>
      <c r="U1317" s="87">
        <v>1.076923</v>
      </c>
      <c r="V1317" s="87">
        <v>1.956669</v>
      </c>
      <c r="W1317" s="87">
        <v>2.590373</v>
      </c>
      <c r="X1317" s="87">
        <v>3.038396</v>
      </c>
      <c r="Y1317" s="87">
        <v>1.825937</v>
      </c>
      <c r="Z1317" s="87">
        <v>0.0</v>
      </c>
      <c r="AA1317" s="87">
        <v>5.952012</v>
      </c>
      <c r="AB1317" s="87">
        <v>4.707771</v>
      </c>
      <c r="AC1317" s="87">
        <v>3.630278</v>
      </c>
      <c r="AD1317" s="87">
        <v>1.68004</v>
      </c>
      <c r="AE1317" s="87">
        <v>3.320238</v>
      </c>
      <c r="AF1317" s="87">
        <v>4.456992</v>
      </c>
      <c r="AG1317" s="87">
        <v>3.149041</v>
      </c>
      <c r="AH1317" s="87">
        <v>0.0</v>
      </c>
      <c r="AI1317" s="87">
        <v>5.927074</v>
      </c>
      <c r="AJ1317" s="87">
        <v>3.516978</v>
      </c>
      <c r="AK1317" s="87">
        <v>3.91889</v>
      </c>
      <c r="AL1317" s="88" t="s">
        <v>1396</v>
      </c>
    </row>
    <row r="1318">
      <c r="A1318" s="84" t="s">
        <v>3089</v>
      </c>
      <c r="B1318" s="84" t="s">
        <v>3131</v>
      </c>
      <c r="C1318" s="84" t="s">
        <v>644</v>
      </c>
      <c r="D1318" s="84" t="s">
        <v>1171</v>
      </c>
      <c r="E1318" s="84" t="s">
        <v>1400</v>
      </c>
      <c r="F1318" s="87">
        <v>19.0</v>
      </c>
      <c r="G1318" s="87">
        <v>0.0</v>
      </c>
      <c r="H1318" s="87">
        <v>3551.0</v>
      </c>
      <c r="I1318" s="87">
        <v>0.0</v>
      </c>
      <c r="J1318" s="87">
        <v>16.24196</v>
      </c>
      <c r="K1318" s="87">
        <v>74.92497</v>
      </c>
      <c r="L1318" s="87">
        <v>38.34074</v>
      </c>
      <c r="M1318" s="87">
        <v>49.26693</v>
      </c>
      <c r="N1318" s="87">
        <v>0.65755</v>
      </c>
      <c r="O1318" s="87">
        <v>0.0</v>
      </c>
      <c r="P1318" s="87">
        <v>0.627754</v>
      </c>
      <c r="Q1318" s="87">
        <v>0.893406</v>
      </c>
      <c r="R1318" s="87">
        <v>1.910582</v>
      </c>
      <c r="S1318" s="87">
        <v>4.0</v>
      </c>
      <c r="T1318" s="87">
        <v>0.627754</v>
      </c>
      <c r="U1318" s="87">
        <v>0.893406</v>
      </c>
      <c r="V1318" s="87">
        <v>0.977692</v>
      </c>
      <c r="W1318" s="87">
        <v>2.649406</v>
      </c>
      <c r="X1318" s="87">
        <v>4.0</v>
      </c>
      <c r="Y1318" s="87">
        <v>3.943419</v>
      </c>
      <c r="Z1318" s="87">
        <v>0.0</v>
      </c>
      <c r="AA1318" s="87">
        <v>5.952012</v>
      </c>
      <c r="AB1318" s="87">
        <v>4.707771</v>
      </c>
      <c r="AC1318" s="87">
        <v>3.630278</v>
      </c>
      <c r="AD1318" s="87">
        <v>0.759243</v>
      </c>
      <c r="AE1318" s="87">
        <v>1.992984</v>
      </c>
      <c r="AF1318" s="87">
        <v>2.838581</v>
      </c>
      <c r="AG1318" s="87">
        <v>2.493009</v>
      </c>
      <c r="AH1318" s="87">
        <v>0.0</v>
      </c>
      <c r="AI1318" s="87">
        <v>5.927074</v>
      </c>
      <c r="AJ1318" s="87">
        <v>3.516978</v>
      </c>
      <c r="AK1318" s="87">
        <v>3.91889</v>
      </c>
      <c r="AL1318" s="88" t="s">
        <v>1396</v>
      </c>
    </row>
    <row r="1319">
      <c r="A1319" s="84" t="s">
        <v>3100</v>
      </c>
      <c r="B1319" s="84" t="s">
        <v>3132</v>
      </c>
      <c r="C1319" s="84" t="s">
        <v>644</v>
      </c>
      <c r="D1319" s="84" t="s">
        <v>1171</v>
      </c>
      <c r="E1319" s="89">
        <v>46300.0</v>
      </c>
      <c r="F1319" s="87">
        <v>66.0</v>
      </c>
      <c r="G1319" s="87">
        <v>0.0</v>
      </c>
      <c r="H1319" s="87">
        <v>58808.0</v>
      </c>
      <c r="I1319" s="87">
        <v>0.0</v>
      </c>
      <c r="J1319" s="87">
        <v>795.1022</v>
      </c>
      <c r="K1319" s="87">
        <v>813.5642</v>
      </c>
      <c r="L1319" s="87">
        <v>777.7893</v>
      </c>
      <c r="M1319" s="87">
        <v>543.716</v>
      </c>
      <c r="N1319" s="87">
        <v>0.668314</v>
      </c>
      <c r="O1319" s="87">
        <v>0.0</v>
      </c>
      <c r="P1319" s="87">
        <v>0.0</v>
      </c>
      <c r="Q1319" s="87">
        <v>0.170151</v>
      </c>
      <c r="R1319" s="87">
        <v>5.738863</v>
      </c>
      <c r="S1319" s="87">
        <v>12.97303</v>
      </c>
      <c r="T1319" s="87">
        <v>2.518937</v>
      </c>
      <c r="U1319" s="87">
        <v>5.01612</v>
      </c>
      <c r="V1319" s="87">
        <v>5.846337</v>
      </c>
      <c r="W1319" s="87">
        <v>11.23173</v>
      </c>
      <c r="X1319" s="87">
        <v>23.74752</v>
      </c>
      <c r="Y1319" s="87">
        <v>12.32673</v>
      </c>
      <c r="Z1319" s="87">
        <v>0.0</v>
      </c>
      <c r="AA1319" s="87">
        <v>5.952012</v>
      </c>
      <c r="AB1319" s="87">
        <v>4.707771</v>
      </c>
      <c r="AC1319" s="87">
        <v>3.630278</v>
      </c>
      <c r="AD1319" s="87">
        <v>1.461105</v>
      </c>
      <c r="AE1319" s="87">
        <v>9.502682</v>
      </c>
      <c r="AF1319" s="87">
        <v>9.173192</v>
      </c>
      <c r="AG1319" s="87">
        <v>6.372817</v>
      </c>
      <c r="AH1319" s="87">
        <v>0.0</v>
      </c>
      <c r="AI1319" s="87">
        <v>5.927074</v>
      </c>
      <c r="AJ1319" s="87">
        <v>3.516978</v>
      </c>
      <c r="AK1319" s="87">
        <v>3.91889</v>
      </c>
      <c r="AL1319" s="88" t="s">
        <v>1396</v>
      </c>
    </row>
    <row r="1320">
      <c r="A1320" s="84" t="s">
        <v>3090</v>
      </c>
      <c r="B1320" s="84" t="s">
        <v>3133</v>
      </c>
      <c r="C1320" s="84" t="s">
        <v>644</v>
      </c>
      <c r="D1320" s="84" t="s">
        <v>1171</v>
      </c>
      <c r="E1320" s="84" t="s">
        <v>1403</v>
      </c>
      <c r="F1320" s="87">
        <v>213.0</v>
      </c>
      <c r="G1320" s="87">
        <v>18.0</v>
      </c>
      <c r="H1320" s="87">
        <v>3360.0</v>
      </c>
      <c r="I1320" s="87">
        <v>3360.0</v>
      </c>
      <c r="J1320" s="87">
        <v>0.0</v>
      </c>
      <c r="K1320" s="87">
        <v>0.0</v>
      </c>
      <c r="L1320" s="87">
        <v>0.0</v>
      </c>
      <c r="M1320" s="87">
        <v>0.0</v>
      </c>
      <c r="N1320" s="87">
        <v>0.0</v>
      </c>
      <c r="O1320" s="87">
        <v>0.0</v>
      </c>
      <c r="P1320" s="87">
        <v>0.0</v>
      </c>
      <c r="Q1320" s="87">
        <v>0.0</v>
      </c>
      <c r="R1320" s="87">
        <v>0.0</v>
      </c>
      <c r="S1320" s="87">
        <v>0.0</v>
      </c>
      <c r="T1320" s="87">
        <v>0.0</v>
      </c>
      <c r="U1320" s="87">
        <v>0.0</v>
      </c>
      <c r="V1320" s="87">
        <v>0.0</v>
      </c>
      <c r="W1320" s="87">
        <v>0.0</v>
      </c>
      <c r="X1320" s="87">
        <v>0.0</v>
      </c>
      <c r="Y1320" s="87">
        <v>0.0</v>
      </c>
      <c r="Z1320" s="87">
        <v>0.0</v>
      </c>
      <c r="AA1320" s="87">
        <v>5.952012</v>
      </c>
      <c r="AB1320" s="87">
        <v>4.707771</v>
      </c>
      <c r="AC1320" s="87">
        <v>3.630278</v>
      </c>
      <c r="AD1320" s="87">
        <v>0.0</v>
      </c>
      <c r="AE1320" s="87">
        <v>0.0</v>
      </c>
      <c r="AF1320" s="87">
        <v>0.0</v>
      </c>
      <c r="AG1320" s="87">
        <v>0.0</v>
      </c>
      <c r="AH1320" s="87">
        <v>0.0</v>
      </c>
      <c r="AI1320" s="87">
        <v>5.927074</v>
      </c>
      <c r="AJ1320" s="87">
        <v>3.516978</v>
      </c>
      <c r="AK1320" s="87">
        <v>3.91889</v>
      </c>
      <c r="AL1320" s="88" t="s">
        <v>1396</v>
      </c>
    </row>
    <row r="1321">
      <c r="A1321" s="84" t="s">
        <v>3100</v>
      </c>
      <c r="B1321" s="84" t="s">
        <v>3134</v>
      </c>
      <c r="C1321" s="84" t="s">
        <v>644</v>
      </c>
      <c r="D1321" s="84" t="s">
        <v>3135</v>
      </c>
      <c r="E1321" s="89">
        <v>46300.0</v>
      </c>
      <c r="F1321" s="87">
        <v>1.0</v>
      </c>
      <c r="G1321" s="87">
        <v>0.0</v>
      </c>
      <c r="H1321" s="87">
        <v>272.0</v>
      </c>
      <c r="I1321" s="87">
        <v>0.0</v>
      </c>
      <c r="J1321" s="87">
        <v>0.833333</v>
      </c>
      <c r="K1321" s="87">
        <v>0.698925</v>
      </c>
      <c r="L1321" s="87">
        <v>0.702018</v>
      </c>
      <c r="M1321" s="87">
        <v>0.698925</v>
      </c>
      <c r="N1321" s="87">
        <v>1.0</v>
      </c>
      <c r="O1321" s="87">
        <v>0.698925</v>
      </c>
      <c r="P1321" s="87">
        <v>0.698925</v>
      </c>
      <c r="Q1321" s="87">
        <v>0.698925</v>
      </c>
      <c r="R1321" s="87">
        <v>0.698925</v>
      </c>
      <c r="S1321" s="87">
        <v>0.698925</v>
      </c>
      <c r="T1321" s="87">
        <v>0.698925</v>
      </c>
      <c r="U1321" s="87">
        <v>0.698925</v>
      </c>
      <c r="V1321" s="87">
        <v>0.698925</v>
      </c>
      <c r="W1321" s="87">
        <v>0.698925</v>
      </c>
      <c r="X1321" s="87">
        <v>0.698925</v>
      </c>
      <c r="Y1321" s="87">
        <v>0.698925</v>
      </c>
      <c r="Z1321" s="87">
        <v>0.698925</v>
      </c>
      <c r="AA1321" s="87">
        <v>0.698925</v>
      </c>
      <c r="AB1321" s="87">
        <v>0.698925</v>
      </c>
      <c r="AC1321" s="87">
        <v>0.698925</v>
      </c>
      <c r="AD1321" s="87">
        <v>1.461105</v>
      </c>
      <c r="AE1321" s="87">
        <v>9.502682</v>
      </c>
      <c r="AF1321" s="87">
        <v>9.173192</v>
      </c>
      <c r="AG1321" s="87">
        <v>6.372817</v>
      </c>
      <c r="AH1321" s="87">
        <v>0.0</v>
      </c>
      <c r="AI1321" s="87">
        <v>5.927074</v>
      </c>
      <c r="AJ1321" s="87">
        <v>3.516978</v>
      </c>
      <c r="AK1321" s="87">
        <v>3.91889</v>
      </c>
      <c r="AL1321" s="88" t="s">
        <v>1396</v>
      </c>
    </row>
    <row r="1322">
      <c r="A1322" s="84" t="s">
        <v>3093</v>
      </c>
      <c r="B1322" s="84" t="s">
        <v>3136</v>
      </c>
      <c r="C1322" s="84" t="s">
        <v>644</v>
      </c>
      <c r="D1322" s="84" t="s">
        <v>709</v>
      </c>
      <c r="E1322" s="89">
        <v>46310.0</v>
      </c>
      <c r="F1322" s="87">
        <v>12.0</v>
      </c>
      <c r="G1322" s="87">
        <v>0.0</v>
      </c>
      <c r="H1322" s="87">
        <v>34742.0</v>
      </c>
      <c r="I1322" s="87">
        <v>0.0</v>
      </c>
      <c r="J1322" s="87">
        <v>349.1334</v>
      </c>
      <c r="K1322" s="87">
        <v>373.5215</v>
      </c>
      <c r="L1322" s="87">
        <v>364.8098</v>
      </c>
      <c r="M1322" s="87">
        <v>288.5965</v>
      </c>
      <c r="N1322" s="87">
        <v>0.772637</v>
      </c>
      <c r="O1322" s="87">
        <v>0.0</v>
      </c>
      <c r="P1322" s="87">
        <v>4.668468</v>
      </c>
      <c r="Q1322" s="87">
        <v>8.111982</v>
      </c>
      <c r="R1322" s="87">
        <v>16.92602</v>
      </c>
      <c r="S1322" s="87">
        <v>19.27144</v>
      </c>
      <c r="T1322" s="87">
        <v>8.111982</v>
      </c>
      <c r="U1322" s="87">
        <v>8.552456</v>
      </c>
      <c r="V1322" s="87">
        <v>10.24234</v>
      </c>
      <c r="W1322" s="87">
        <v>17.15227</v>
      </c>
      <c r="X1322" s="87">
        <v>78.83388</v>
      </c>
      <c r="Y1322" s="87">
        <v>31.12679</v>
      </c>
      <c r="Z1322" s="87">
        <v>0.0</v>
      </c>
      <c r="AA1322" s="87">
        <v>5.493626</v>
      </c>
      <c r="AB1322" s="87">
        <v>2.765621</v>
      </c>
      <c r="AC1322" s="87">
        <v>4.126524</v>
      </c>
      <c r="AD1322" s="87">
        <v>0.896426</v>
      </c>
      <c r="AE1322" s="87">
        <v>7.148215</v>
      </c>
      <c r="AF1322" s="87">
        <v>7.366529</v>
      </c>
      <c r="AG1322" s="87">
        <v>7.398881</v>
      </c>
      <c r="AH1322" s="87">
        <v>0.0</v>
      </c>
      <c r="AI1322" s="87">
        <v>5.927074</v>
      </c>
      <c r="AJ1322" s="87">
        <v>3.516978</v>
      </c>
      <c r="AK1322" s="87">
        <v>3.91889</v>
      </c>
      <c r="AL1322" s="88" t="s">
        <v>1396</v>
      </c>
    </row>
    <row r="1323">
      <c r="A1323" s="84" t="s">
        <v>3095</v>
      </c>
      <c r="B1323" s="84" t="s">
        <v>3137</v>
      </c>
      <c r="C1323" s="84" t="s">
        <v>644</v>
      </c>
      <c r="D1323" s="84" t="s">
        <v>709</v>
      </c>
      <c r="E1323" s="84" t="s">
        <v>1413</v>
      </c>
      <c r="F1323" s="87">
        <v>23.0</v>
      </c>
      <c r="G1323" s="87">
        <v>0.0</v>
      </c>
      <c r="H1323" s="87">
        <v>8723.0</v>
      </c>
      <c r="I1323" s="87">
        <v>0.0</v>
      </c>
      <c r="J1323" s="87">
        <v>90.43963</v>
      </c>
      <c r="K1323" s="87">
        <v>94.91005</v>
      </c>
      <c r="L1323" s="87">
        <v>99.66684</v>
      </c>
      <c r="M1323" s="87">
        <v>64.28347</v>
      </c>
      <c r="N1323" s="87">
        <v>0.677309</v>
      </c>
      <c r="O1323" s="87">
        <v>0.0</v>
      </c>
      <c r="P1323" s="87">
        <v>0.0</v>
      </c>
      <c r="Q1323" s="87">
        <v>0.0</v>
      </c>
      <c r="R1323" s="87">
        <v>1.547643</v>
      </c>
      <c r="S1323" s="87">
        <v>5.676058</v>
      </c>
      <c r="T1323" s="87">
        <v>3.382314</v>
      </c>
      <c r="U1323" s="87">
        <v>4.021678</v>
      </c>
      <c r="V1323" s="87">
        <v>4.406632</v>
      </c>
      <c r="W1323" s="87">
        <v>6.098322</v>
      </c>
      <c r="X1323" s="87">
        <v>7.75845</v>
      </c>
      <c r="Y1323" s="87">
        <v>4.126524</v>
      </c>
      <c r="Z1323" s="87">
        <v>0.0</v>
      </c>
      <c r="AA1323" s="87">
        <v>5.493626</v>
      </c>
      <c r="AB1323" s="87">
        <v>2.765621</v>
      </c>
      <c r="AC1323" s="87">
        <v>4.126524</v>
      </c>
      <c r="AD1323" s="87">
        <v>1.621163</v>
      </c>
      <c r="AE1323" s="87">
        <v>4.083931</v>
      </c>
      <c r="AF1323" s="87">
        <v>5.222609</v>
      </c>
      <c r="AG1323" s="87">
        <v>4.126524</v>
      </c>
      <c r="AH1323" s="87">
        <v>0.0</v>
      </c>
      <c r="AI1323" s="87">
        <v>5.927074</v>
      </c>
      <c r="AJ1323" s="87">
        <v>3.516978</v>
      </c>
      <c r="AK1323" s="87">
        <v>3.91889</v>
      </c>
      <c r="AL1323" s="88" t="s">
        <v>1396</v>
      </c>
    </row>
    <row r="1324">
      <c r="A1324" s="84" t="s">
        <v>3097</v>
      </c>
      <c r="B1324" s="84" t="s">
        <v>3138</v>
      </c>
      <c r="C1324" s="84" t="s">
        <v>644</v>
      </c>
      <c r="D1324" s="84" t="s">
        <v>709</v>
      </c>
      <c r="E1324" s="84" t="s">
        <v>1398</v>
      </c>
      <c r="F1324" s="87">
        <v>17.0</v>
      </c>
      <c r="G1324" s="87">
        <v>0.0</v>
      </c>
      <c r="H1324" s="87">
        <v>14955.0</v>
      </c>
      <c r="I1324" s="87">
        <v>0.0</v>
      </c>
      <c r="J1324" s="87">
        <v>161.8627</v>
      </c>
      <c r="K1324" s="87">
        <v>184.0311</v>
      </c>
      <c r="L1324" s="87">
        <v>164.0366</v>
      </c>
      <c r="M1324" s="87">
        <v>141.7426</v>
      </c>
      <c r="N1324" s="87">
        <v>0.77021</v>
      </c>
      <c r="O1324" s="87">
        <v>0.0</v>
      </c>
      <c r="P1324" s="87">
        <v>0.0</v>
      </c>
      <c r="Q1324" s="87">
        <v>0.398925</v>
      </c>
      <c r="R1324" s="87">
        <v>4.481921</v>
      </c>
      <c r="S1324" s="87">
        <v>10.40366</v>
      </c>
      <c r="T1324" s="87">
        <v>1.570536</v>
      </c>
      <c r="U1324" s="87">
        <v>2.132742</v>
      </c>
      <c r="V1324" s="87">
        <v>4.481921</v>
      </c>
      <c r="W1324" s="87">
        <v>10.40366</v>
      </c>
      <c r="X1324" s="87">
        <v>11.32914</v>
      </c>
      <c r="Y1324" s="87">
        <v>10.82536</v>
      </c>
      <c r="Z1324" s="87">
        <v>0.0</v>
      </c>
      <c r="AA1324" s="87">
        <v>5.493626</v>
      </c>
      <c r="AB1324" s="87">
        <v>2.765621</v>
      </c>
      <c r="AC1324" s="87">
        <v>4.126524</v>
      </c>
      <c r="AD1324" s="87">
        <v>1.68004</v>
      </c>
      <c r="AE1324" s="87">
        <v>3.320238</v>
      </c>
      <c r="AF1324" s="87">
        <v>4.456992</v>
      </c>
      <c r="AG1324" s="87">
        <v>3.149041</v>
      </c>
      <c r="AH1324" s="87">
        <v>0.0</v>
      </c>
      <c r="AI1324" s="87">
        <v>5.927074</v>
      </c>
      <c r="AJ1324" s="87">
        <v>3.516978</v>
      </c>
      <c r="AK1324" s="87">
        <v>3.91889</v>
      </c>
      <c r="AL1324" s="88" t="s">
        <v>1396</v>
      </c>
    </row>
    <row r="1325">
      <c r="A1325" s="84" t="s">
        <v>3089</v>
      </c>
      <c r="B1325" s="84" t="s">
        <v>3139</v>
      </c>
      <c r="C1325" s="84" t="s">
        <v>644</v>
      </c>
      <c r="D1325" s="84" t="s">
        <v>709</v>
      </c>
      <c r="E1325" s="84" t="s">
        <v>1400</v>
      </c>
      <c r="F1325" s="87">
        <v>44.0</v>
      </c>
      <c r="G1325" s="87">
        <v>0.0</v>
      </c>
      <c r="H1325" s="87">
        <v>21724.0</v>
      </c>
      <c r="I1325" s="87">
        <v>0.0</v>
      </c>
      <c r="J1325" s="87">
        <v>190.7861</v>
      </c>
      <c r="K1325" s="87">
        <v>229.8955</v>
      </c>
      <c r="L1325" s="87">
        <v>208.379</v>
      </c>
      <c r="M1325" s="87">
        <v>169.4989</v>
      </c>
      <c r="N1325" s="87">
        <v>0.737286</v>
      </c>
      <c r="O1325" s="87">
        <v>0.0</v>
      </c>
      <c r="P1325" s="87">
        <v>0.1</v>
      </c>
      <c r="Q1325" s="87">
        <v>0.32549</v>
      </c>
      <c r="R1325" s="87">
        <v>1.913142</v>
      </c>
      <c r="S1325" s="87">
        <v>4.707182</v>
      </c>
      <c r="T1325" s="87">
        <v>0.144444</v>
      </c>
      <c r="U1325" s="87">
        <v>0.697849</v>
      </c>
      <c r="V1325" s="87">
        <v>1.137277</v>
      </c>
      <c r="W1325" s="87">
        <v>2.272605</v>
      </c>
      <c r="X1325" s="87">
        <v>5.493626</v>
      </c>
      <c r="Y1325" s="87">
        <v>5.224899</v>
      </c>
      <c r="Z1325" s="87">
        <v>0.0</v>
      </c>
      <c r="AA1325" s="87">
        <v>5.493626</v>
      </c>
      <c r="AB1325" s="87">
        <v>2.765621</v>
      </c>
      <c r="AC1325" s="87">
        <v>4.126524</v>
      </c>
      <c r="AD1325" s="87">
        <v>0.759243</v>
      </c>
      <c r="AE1325" s="87">
        <v>1.992984</v>
      </c>
      <c r="AF1325" s="87">
        <v>2.838581</v>
      </c>
      <c r="AG1325" s="87">
        <v>2.493009</v>
      </c>
      <c r="AH1325" s="87">
        <v>0.0</v>
      </c>
      <c r="AI1325" s="87">
        <v>5.927074</v>
      </c>
      <c r="AJ1325" s="87">
        <v>3.516978</v>
      </c>
      <c r="AK1325" s="87">
        <v>3.91889</v>
      </c>
      <c r="AL1325" s="88" t="s">
        <v>1396</v>
      </c>
    </row>
    <row r="1326">
      <c r="A1326" s="84" t="s">
        <v>3100</v>
      </c>
      <c r="B1326" s="84" t="s">
        <v>3140</v>
      </c>
      <c r="C1326" s="84" t="s">
        <v>644</v>
      </c>
      <c r="D1326" s="84" t="s">
        <v>709</v>
      </c>
      <c r="E1326" s="89">
        <v>46300.0</v>
      </c>
      <c r="F1326" s="87">
        <v>6.0</v>
      </c>
      <c r="G1326" s="87">
        <v>0.0</v>
      </c>
      <c r="H1326" s="87">
        <v>944.0</v>
      </c>
      <c r="I1326" s="87">
        <v>0.0</v>
      </c>
      <c r="J1326" s="87">
        <v>2.769481</v>
      </c>
      <c r="K1326" s="87">
        <v>2.640398</v>
      </c>
      <c r="L1326" s="87">
        <v>4.54324</v>
      </c>
      <c r="M1326" s="87">
        <v>2.640398</v>
      </c>
      <c r="N1326" s="87">
        <v>1.0</v>
      </c>
      <c r="O1326" s="87">
        <v>0.0</v>
      </c>
      <c r="P1326" s="87">
        <v>0.0</v>
      </c>
      <c r="Q1326" s="87">
        <v>0.0</v>
      </c>
      <c r="R1326" s="87">
        <v>0.0</v>
      </c>
      <c r="S1326" s="87">
        <v>1.213516</v>
      </c>
      <c r="T1326" s="87">
        <v>1.213516</v>
      </c>
      <c r="U1326" s="87">
        <v>1.213516</v>
      </c>
      <c r="V1326" s="87">
        <v>1.213516</v>
      </c>
      <c r="W1326" s="87">
        <v>1.426882</v>
      </c>
      <c r="X1326" s="87">
        <v>1.426882</v>
      </c>
      <c r="Y1326" s="87">
        <v>0.440066</v>
      </c>
      <c r="Z1326" s="87">
        <v>0.0</v>
      </c>
      <c r="AA1326" s="87">
        <v>5.493626</v>
      </c>
      <c r="AB1326" s="87">
        <v>2.765621</v>
      </c>
      <c r="AC1326" s="87">
        <v>4.126524</v>
      </c>
      <c r="AD1326" s="87">
        <v>1.461105</v>
      </c>
      <c r="AE1326" s="87">
        <v>9.502682</v>
      </c>
      <c r="AF1326" s="87">
        <v>9.173192</v>
      </c>
      <c r="AG1326" s="87">
        <v>6.372817</v>
      </c>
      <c r="AH1326" s="87">
        <v>0.0</v>
      </c>
      <c r="AI1326" s="87">
        <v>5.927074</v>
      </c>
      <c r="AJ1326" s="87">
        <v>3.516978</v>
      </c>
      <c r="AK1326" s="87">
        <v>3.91889</v>
      </c>
      <c r="AL1326" s="88" t="s">
        <v>1396</v>
      </c>
    </row>
    <row r="1327">
      <c r="A1327" s="84" t="s">
        <v>3090</v>
      </c>
      <c r="B1327" s="84" t="s">
        <v>3141</v>
      </c>
      <c r="C1327" s="84" t="s">
        <v>644</v>
      </c>
      <c r="D1327" s="84" t="s">
        <v>709</v>
      </c>
      <c r="E1327" s="84" t="s">
        <v>1403</v>
      </c>
      <c r="F1327" s="87">
        <v>213.0</v>
      </c>
      <c r="G1327" s="87">
        <v>12.0</v>
      </c>
      <c r="H1327" s="87">
        <v>2211.0</v>
      </c>
      <c r="I1327" s="87">
        <v>2211.0</v>
      </c>
      <c r="J1327" s="87">
        <v>0.0</v>
      </c>
      <c r="K1327" s="87">
        <v>0.0</v>
      </c>
      <c r="L1327" s="87">
        <v>0.0</v>
      </c>
      <c r="M1327" s="87">
        <v>0.0</v>
      </c>
      <c r="N1327" s="87">
        <v>0.0</v>
      </c>
      <c r="O1327" s="87">
        <v>0.0</v>
      </c>
      <c r="P1327" s="87">
        <v>0.0</v>
      </c>
      <c r="Q1327" s="87">
        <v>0.0</v>
      </c>
      <c r="R1327" s="87">
        <v>0.0</v>
      </c>
      <c r="S1327" s="87">
        <v>0.0</v>
      </c>
      <c r="T1327" s="87">
        <v>0.0</v>
      </c>
      <c r="U1327" s="87">
        <v>0.0</v>
      </c>
      <c r="V1327" s="87">
        <v>0.0</v>
      </c>
      <c r="W1327" s="87">
        <v>0.0</v>
      </c>
      <c r="X1327" s="87">
        <v>0.0</v>
      </c>
      <c r="Y1327" s="87">
        <v>0.0</v>
      </c>
      <c r="Z1327" s="87">
        <v>0.0</v>
      </c>
      <c r="AA1327" s="87">
        <v>5.493626</v>
      </c>
      <c r="AB1327" s="87">
        <v>2.765621</v>
      </c>
      <c r="AC1327" s="87">
        <v>4.126524</v>
      </c>
      <c r="AD1327" s="87">
        <v>0.0</v>
      </c>
      <c r="AE1327" s="87">
        <v>0.0</v>
      </c>
      <c r="AF1327" s="87">
        <v>0.0</v>
      </c>
      <c r="AG1327" s="87">
        <v>0.0</v>
      </c>
      <c r="AH1327" s="87">
        <v>0.0</v>
      </c>
      <c r="AI1327" s="87">
        <v>5.927074</v>
      </c>
      <c r="AJ1327" s="87">
        <v>3.516978</v>
      </c>
      <c r="AK1327" s="87">
        <v>3.91889</v>
      </c>
      <c r="AL1327" s="88" t="s">
        <v>1396</v>
      </c>
    </row>
    <row r="1328">
      <c r="A1328" s="84" t="s">
        <v>3091</v>
      </c>
      <c r="B1328" s="84" t="s">
        <v>3142</v>
      </c>
      <c r="C1328" s="84" t="s">
        <v>644</v>
      </c>
      <c r="D1328" s="84" t="s">
        <v>1198</v>
      </c>
      <c r="E1328" s="84" t="s">
        <v>1426</v>
      </c>
      <c r="F1328" s="87">
        <v>29.0</v>
      </c>
      <c r="G1328" s="87">
        <v>0.0</v>
      </c>
      <c r="H1328" s="87">
        <v>21845.0</v>
      </c>
      <c r="I1328" s="87">
        <v>0.0</v>
      </c>
      <c r="J1328" s="87">
        <v>497.0904</v>
      </c>
      <c r="K1328" s="87">
        <v>501.589</v>
      </c>
      <c r="L1328" s="87">
        <v>483.0696</v>
      </c>
      <c r="M1328" s="87">
        <v>389.5679</v>
      </c>
      <c r="N1328" s="87">
        <v>0.776668</v>
      </c>
      <c r="O1328" s="87">
        <v>0.0</v>
      </c>
      <c r="P1328" s="87">
        <v>0.0</v>
      </c>
      <c r="Q1328" s="87">
        <v>0.0</v>
      </c>
      <c r="R1328" s="87">
        <v>0.0</v>
      </c>
      <c r="S1328" s="87">
        <v>20.98138</v>
      </c>
      <c r="T1328" s="87">
        <v>7.399153</v>
      </c>
      <c r="U1328" s="87">
        <v>9.598956</v>
      </c>
      <c r="V1328" s="87">
        <v>16.74471</v>
      </c>
      <c r="W1328" s="87">
        <v>21.57887</v>
      </c>
      <c r="X1328" s="87">
        <v>39.25625</v>
      </c>
      <c r="Y1328" s="87">
        <v>17.29617</v>
      </c>
      <c r="Z1328" s="87">
        <v>0.0</v>
      </c>
      <c r="AA1328" s="87">
        <v>2.5125</v>
      </c>
      <c r="AB1328" s="87">
        <v>3.252936</v>
      </c>
      <c r="AC1328" s="87">
        <v>1.709981</v>
      </c>
      <c r="AD1328" s="87">
        <v>8.518138</v>
      </c>
      <c r="AE1328" s="87">
        <v>23.03705</v>
      </c>
      <c r="AF1328" s="87">
        <v>25.55645</v>
      </c>
      <c r="AG1328" s="87">
        <v>18.30298</v>
      </c>
      <c r="AH1328" s="87">
        <v>0.0</v>
      </c>
      <c r="AI1328" s="87">
        <v>5.927074</v>
      </c>
      <c r="AJ1328" s="87">
        <v>3.516978</v>
      </c>
      <c r="AK1328" s="87">
        <v>3.91889</v>
      </c>
      <c r="AL1328" s="88" t="s">
        <v>1396</v>
      </c>
    </row>
    <row r="1329">
      <c r="A1329" s="84" t="s">
        <v>3093</v>
      </c>
      <c r="B1329" s="84" t="s">
        <v>3143</v>
      </c>
      <c r="C1329" s="84" t="s">
        <v>644</v>
      </c>
      <c r="D1329" s="84" t="s">
        <v>1198</v>
      </c>
      <c r="E1329" s="86">
        <v>46310.0</v>
      </c>
      <c r="F1329" s="87">
        <v>25.0</v>
      </c>
      <c r="G1329" s="87">
        <v>0.0</v>
      </c>
      <c r="H1329" s="87">
        <v>3437.0</v>
      </c>
      <c r="I1329" s="87">
        <v>0.0</v>
      </c>
      <c r="J1329" s="87">
        <v>37.74388</v>
      </c>
      <c r="K1329" s="87">
        <v>42.74951</v>
      </c>
      <c r="L1329" s="87">
        <v>66.103</v>
      </c>
      <c r="M1329" s="87">
        <v>40.64709</v>
      </c>
      <c r="N1329" s="87">
        <v>0.95082</v>
      </c>
      <c r="O1329" s="87">
        <v>0.0</v>
      </c>
      <c r="P1329" s="87">
        <v>0.0</v>
      </c>
      <c r="Q1329" s="87">
        <v>0.0</v>
      </c>
      <c r="R1329" s="87">
        <v>0.0</v>
      </c>
      <c r="S1329" s="87">
        <v>0.158824</v>
      </c>
      <c r="T1329" s="87">
        <v>0.158824</v>
      </c>
      <c r="U1329" s="87">
        <v>0.690559</v>
      </c>
      <c r="V1329" s="87">
        <v>1.253038</v>
      </c>
      <c r="W1329" s="87">
        <v>5.912156</v>
      </c>
      <c r="X1329" s="87">
        <v>6.983037</v>
      </c>
      <c r="Y1329" s="87">
        <v>1.709981</v>
      </c>
      <c r="Z1329" s="87">
        <v>0.0</v>
      </c>
      <c r="AA1329" s="87">
        <v>2.5125</v>
      </c>
      <c r="AB1329" s="87">
        <v>3.252936</v>
      </c>
      <c r="AC1329" s="87">
        <v>1.709981</v>
      </c>
      <c r="AD1329" s="87">
        <v>0.896426</v>
      </c>
      <c r="AE1329" s="87">
        <v>7.148215</v>
      </c>
      <c r="AF1329" s="87">
        <v>7.366529</v>
      </c>
      <c r="AG1329" s="87">
        <v>7.398881</v>
      </c>
      <c r="AH1329" s="87">
        <v>0.0</v>
      </c>
      <c r="AI1329" s="87">
        <v>5.927074</v>
      </c>
      <c r="AJ1329" s="87">
        <v>3.516978</v>
      </c>
      <c r="AK1329" s="87">
        <v>3.91889</v>
      </c>
      <c r="AL1329" s="88" t="s">
        <v>1396</v>
      </c>
    </row>
    <row r="1330">
      <c r="A1330" s="84" t="s">
        <v>3095</v>
      </c>
      <c r="B1330" s="84" t="s">
        <v>3144</v>
      </c>
      <c r="C1330" s="84" t="s">
        <v>644</v>
      </c>
      <c r="D1330" s="84" t="s">
        <v>1198</v>
      </c>
      <c r="E1330" s="84" t="s">
        <v>1413</v>
      </c>
      <c r="F1330" s="87">
        <v>20.0</v>
      </c>
      <c r="G1330" s="87">
        <v>0.0</v>
      </c>
      <c r="H1330" s="87">
        <v>4264.0</v>
      </c>
      <c r="I1330" s="87">
        <v>0.0</v>
      </c>
      <c r="J1330" s="87">
        <v>26.55371</v>
      </c>
      <c r="K1330" s="87">
        <v>28.75396</v>
      </c>
      <c r="L1330" s="87">
        <v>40.07863</v>
      </c>
      <c r="M1330" s="87">
        <v>16.0177</v>
      </c>
      <c r="N1330" s="87">
        <v>0.557061</v>
      </c>
      <c r="O1330" s="87">
        <v>0.0</v>
      </c>
      <c r="P1330" s="87">
        <v>0.0</v>
      </c>
      <c r="Q1330" s="87">
        <v>0.292677</v>
      </c>
      <c r="R1330" s="87">
        <v>1.286171</v>
      </c>
      <c r="S1330" s="87">
        <v>2.225825</v>
      </c>
      <c r="T1330" s="87">
        <v>0.292677</v>
      </c>
      <c r="U1330" s="87">
        <v>0.555152</v>
      </c>
      <c r="V1330" s="87">
        <v>0.770635</v>
      </c>
      <c r="W1330" s="87">
        <v>1.464682</v>
      </c>
      <c r="X1330" s="87">
        <v>2.251449</v>
      </c>
      <c r="Y1330" s="87">
        <v>1.437698</v>
      </c>
      <c r="Z1330" s="87">
        <v>0.0</v>
      </c>
      <c r="AA1330" s="87">
        <v>2.5125</v>
      </c>
      <c r="AB1330" s="87">
        <v>3.252936</v>
      </c>
      <c r="AC1330" s="87">
        <v>1.709981</v>
      </c>
      <c r="AD1330" s="87">
        <v>1.621163</v>
      </c>
      <c r="AE1330" s="87">
        <v>4.083931</v>
      </c>
      <c r="AF1330" s="87">
        <v>5.222609</v>
      </c>
      <c r="AG1330" s="87">
        <v>4.126524</v>
      </c>
      <c r="AH1330" s="87">
        <v>0.0</v>
      </c>
      <c r="AI1330" s="87">
        <v>5.927074</v>
      </c>
      <c r="AJ1330" s="87">
        <v>3.516978</v>
      </c>
      <c r="AK1330" s="87">
        <v>3.91889</v>
      </c>
      <c r="AL1330" s="88" t="s">
        <v>1396</v>
      </c>
    </row>
    <row r="1331">
      <c r="A1331" s="84" t="s">
        <v>3097</v>
      </c>
      <c r="B1331" s="84" t="s">
        <v>3145</v>
      </c>
      <c r="C1331" s="84" t="s">
        <v>644</v>
      </c>
      <c r="D1331" s="84" t="s">
        <v>1198</v>
      </c>
      <c r="E1331" s="84" t="s">
        <v>1398</v>
      </c>
      <c r="F1331" s="87">
        <v>10.0</v>
      </c>
      <c r="G1331" s="87">
        <v>0.0</v>
      </c>
      <c r="H1331" s="87">
        <v>6775.0</v>
      </c>
      <c r="I1331" s="87">
        <v>0.0</v>
      </c>
      <c r="J1331" s="87">
        <v>56.70568</v>
      </c>
      <c r="K1331" s="87">
        <v>54.46534</v>
      </c>
      <c r="L1331" s="87">
        <v>53.20511</v>
      </c>
      <c r="M1331" s="87">
        <v>35.91647</v>
      </c>
      <c r="N1331" s="87">
        <v>0.659437</v>
      </c>
      <c r="O1331" s="87">
        <v>0.0</v>
      </c>
      <c r="P1331" s="87">
        <v>1.28725</v>
      </c>
      <c r="Q1331" s="87">
        <v>1.789544</v>
      </c>
      <c r="R1331" s="87">
        <v>2.486692</v>
      </c>
      <c r="S1331" s="87">
        <v>6.583111</v>
      </c>
      <c r="T1331" s="87">
        <v>1.28725</v>
      </c>
      <c r="U1331" s="87">
        <v>1.789544</v>
      </c>
      <c r="V1331" s="87">
        <v>1.949296</v>
      </c>
      <c r="W1331" s="87">
        <v>4.452983</v>
      </c>
      <c r="X1331" s="87">
        <v>6.583111</v>
      </c>
      <c r="Y1331" s="87">
        <v>5.446534</v>
      </c>
      <c r="Z1331" s="87">
        <v>0.0</v>
      </c>
      <c r="AA1331" s="87">
        <v>2.5125</v>
      </c>
      <c r="AB1331" s="87">
        <v>3.252936</v>
      </c>
      <c r="AC1331" s="87">
        <v>1.709981</v>
      </c>
      <c r="AD1331" s="87">
        <v>1.68004</v>
      </c>
      <c r="AE1331" s="87">
        <v>3.320238</v>
      </c>
      <c r="AF1331" s="87">
        <v>4.456992</v>
      </c>
      <c r="AG1331" s="87">
        <v>3.149041</v>
      </c>
      <c r="AH1331" s="87">
        <v>0.0</v>
      </c>
      <c r="AI1331" s="87">
        <v>5.927074</v>
      </c>
      <c r="AJ1331" s="87">
        <v>3.516978</v>
      </c>
      <c r="AK1331" s="87">
        <v>3.91889</v>
      </c>
      <c r="AL1331" s="88" t="s">
        <v>1396</v>
      </c>
    </row>
    <row r="1332">
      <c r="A1332" s="84" t="s">
        <v>3089</v>
      </c>
      <c r="B1332" s="84" t="s">
        <v>3146</v>
      </c>
      <c r="C1332" s="84" t="s">
        <v>644</v>
      </c>
      <c r="D1332" s="84" t="s">
        <v>1198</v>
      </c>
      <c r="E1332" s="84" t="s">
        <v>1400</v>
      </c>
      <c r="F1332" s="87">
        <v>14.0</v>
      </c>
      <c r="G1332" s="87">
        <v>0.0</v>
      </c>
      <c r="H1332" s="87">
        <v>2564.0</v>
      </c>
      <c r="I1332" s="87">
        <v>0.0</v>
      </c>
      <c r="J1332" s="87">
        <v>8.840718</v>
      </c>
      <c r="K1332" s="87">
        <v>11.93714</v>
      </c>
      <c r="L1332" s="87">
        <v>11.99046</v>
      </c>
      <c r="M1332" s="87">
        <v>7.122989</v>
      </c>
      <c r="N1332" s="87">
        <v>0.596708</v>
      </c>
      <c r="O1332" s="87">
        <v>0.0</v>
      </c>
      <c r="P1332" s="87">
        <v>0.1</v>
      </c>
      <c r="Q1332" s="87">
        <v>0.343478</v>
      </c>
      <c r="R1332" s="87">
        <v>0.708046</v>
      </c>
      <c r="S1332" s="87">
        <v>0.883038</v>
      </c>
      <c r="T1332" s="87">
        <v>0.133333</v>
      </c>
      <c r="U1332" s="87">
        <v>0.343478</v>
      </c>
      <c r="V1332" s="87">
        <v>0.361667</v>
      </c>
      <c r="W1332" s="87">
        <v>0.834483</v>
      </c>
      <c r="X1332" s="87">
        <v>1.029908</v>
      </c>
      <c r="Y1332" s="87">
        <v>0.852653</v>
      </c>
      <c r="Z1332" s="87">
        <v>0.0</v>
      </c>
      <c r="AA1332" s="87">
        <v>2.5125</v>
      </c>
      <c r="AB1332" s="87">
        <v>3.252936</v>
      </c>
      <c r="AC1332" s="87">
        <v>1.709981</v>
      </c>
      <c r="AD1332" s="87">
        <v>0.759243</v>
      </c>
      <c r="AE1332" s="87">
        <v>1.992984</v>
      </c>
      <c r="AF1332" s="87">
        <v>2.838581</v>
      </c>
      <c r="AG1332" s="87">
        <v>2.493009</v>
      </c>
      <c r="AH1332" s="87">
        <v>0.0</v>
      </c>
      <c r="AI1332" s="87">
        <v>5.927074</v>
      </c>
      <c r="AJ1332" s="87">
        <v>3.516978</v>
      </c>
      <c r="AK1332" s="87">
        <v>3.91889</v>
      </c>
      <c r="AL1332" s="88" t="s">
        <v>1396</v>
      </c>
    </row>
    <row r="1333">
      <c r="A1333" s="84" t="s">
        <v>3100</v>
      </c>
      <c r="B1333" s="84" t="s">
        <v>3147</v>
      </c>
      <c r="C1333" s="84" t="s">
        <v>644</v>
      </c>
      <c r="D1333" s="84" t="s">
        <v>1198</v>
      </c>
      <c r="E1333" s="89">
        <v>46300.0</v>
      </c>
      <c r="F1333" s="87">
        <v>23.0</v>
      </c>
      <c r="G1333" s="87">
        <v>0.0</v>
      </c>
      <c r="H1333" s="87">
        <v>8252.0</v>
      </c>
      <c r="I1333" s="87">
        <v>0.0</v>
      </c>
      <c r="J1333" s="87">
        <v>272.5531</v>
      </c>
      <c r="K1333" s="87">
        <v>251.8094</v>
      </c>
      <c r="L1333" s="87">
        <v>238.0782</v>
      </c>
      <c r="M1333" s="87">
        <v>243.0149</v>
      </c>
      <c r="N1333" s="87">
        <v>0.965075</v>
      </c>
      <c r="O1333" s="87">
        <v>0.0</v>
      </c>
      <c r="P1333" s="87">
        <v>0.0</v>
      </c>
      <c r="Q1333" s="87">
        <v>0.0</v>
      </c>
      <c r="R1333" s="87">
        <v>0.0</v>
      </c>
      <c r="S1333" s="87">
        <v>3.315822</v>
      </c>
      <c r="T1333" s="87">
        <v>0.1</v>
      </c>
      <c r="U1333" s="87">
        <v>0.236111</v>
      </c>
      <c r="V1333" s="87">
        <v>3.315822</v>
      </c>
      <c r="W1333" s="87">
        <v>8.139244</v>
      </c>
      <c r="X1333" s="87">
        <v>39.82377</v>
      </c>
      <c r="Y1333" s="87">
        <v>10.94824</v>
      </c>
      <c r="Z1333" s="87">
        <v>0.0</v>
      </c>
      <c r="AA1333" s="87">
        <v>2.5125</v>
      </c>
      <c r="AB1333" s="87">
        <v>3.252936</v>
      </c>
      <c r="AC1333" s="87">
        <v>1.709981</v>
      </c>
      <c r="AD1333" s="87">
        <v>1.461105</v>
      </c>
      <c r="AE1333" s="87">
        <v>9.502682</v>
      </c>
      <c r="AF1333" s="87">
        <v>9.173192</v>
      </c>
      <c r="AG1333" s="87">
        <v>6.372817</v>
      </c>
      <c r="AH1333" s="87">
        <v>0.0</v>
      </c>
      <c r="AI1333" s="87">
        <v>5.927074</v>
      </c>
      <c r="AJ1333" s="87">
        <v>3.516978</v>
      </c>
      <c r="AK1333" s="87">
        <v>3.91889</v>
      </c>
      <c r="AL1333" s="88" t="s">
        <v>1396</v>
      </c>
    </row>
    <row r="1334">
      <c r="A1334" s="84" t="s">
        <v>3090</v>
      </c>
      <c r="B1334" s="84" t="s">
        <v>3148</v>
      </c>
      <c r="C1334" s="84" t="s">
        <v>644</v>
      </c>
      <c r="D1334" s="84" t="s">
        <v>1198</v>
      </c>
      <c r="E1334" s="84" t="s">
        <v>1403</v>
      </c>
      <c r="F1334" s="87">
        <v>153.0</v>
      </c>
      <c r="G1334" s="87">
        <v>7.0</v>
      </c>
      <c r="H1334" s="87">
        <v>1527.0</v>
      </c>
      <c r="I1334" s="87">
        <v>1527.0</v>
      </c>
      <c r="J1334" s="87">
        <v>0.0</v>
      </c>
      <c r="K1334" s="87">
        <v>0.0</v>
      </c>
      <c r="L1334" s="87">
        <v>0.0</v>
      </c>
      <c r="M1334" s="87">
        <v>0.0</v>
      </c>
      <c r="N1334" s="87">
        <v>0.0</v>
      </c>
      <c r="O1334" s="87">
        <v>0.0</v>
      </c>
      <c r="P1334" s="87">
        <v>0.0</v>
      </c>
      <c r="Q1334" s="87">
        <v>0.0</v>
      </c>
      <c r="R1334" s="87">
        <v>0.0</v>
      </c>
      <c r="S1334" s="87">
        <v>0.0</v>
      </c>
      <c r="T1334" s="87">
        <v>0.0</v>
      </c>
      <c r="U1334" s="87">
        <v>0.0</v>
      </c>
      <c r="V1334" s="87">
        <v>0.0</v>
      </c>
      <c r="W1334" s="87">
        <v>0.0</v>
      </c>
      <c r="X1334" s="87">
        <v>0.0</v>
      </c>
      <c r="Y1334" s="87">
        <v>0.0</v>
      </c>
      <c r="Z1334" s="87">
        <v>0.0</v>
      </c>
      <c r="AA1334" s="87">
        <v>2.5125</v>
      </c>
      <c r="AB1334" s="87">
        <v>3.252936</v>
      </c>
      <c r="AC1334" s="87">
        <v>1.709981</v>
      </c>
      <c r="AD1334" s="87">
        <v>0.0</v>
      </c>
      <c r="AE1334" s="87">
        <v>0.0</v>
      </c>
      <c r="AF1334" s="87">
        <v>0.0</v>
      </c>
      <c r="AG1334" s="87">
        <v>0.0</v>
      </c>
      <c r="AH1334" s="87">
        <v>0.0</v>
      </c>
      <c r="AI1334" s="87">
        <v>5.927074</v>
      </c>
      <c r="AJ1334" s="87">
        <v>3.516978</v>
      </c>
      <c r="AK1334" s="87">
        <v>3.91889</v>
      </c>
      <c r="AL1334" s="88" t="s">
        <v>1396</v>
      </c>
    </row>
    <row r="1335">
      <c r="A1335" s="84" t="s">
        <v>3149</v>
      </c>
      <c r="B1335" s="84" t="s">
        <v>3141</v>
      </c>
      <c r="C1335" s="84" t="s">
        <v>3150</v>
      </c>
      <c r="D1335" s="84" t="s">
        <v>709</v>
      </c>
      <c r="E1335" s="84" t="s">
        <v>1403</v>
      </c>
      <c r="F1335" s="87">
        <v>5.0</v>
      </c>
      <c r="G1335" s="87">
        <v>0.0</v>
      </c>
      <c r="H1335" s="87">
        <v>0.0</v>
      </c>
      <c r="I1335" s="87">
        <v>0.0</v>
      </c>
      <c r="J1335" s="87">
        <v>0.0</v>
      </c>
      <c r="K1335" s="87">
        <v>0.0</v>
      </c>
      <c r="L1335" s="87">
        <v>0.0</v>
      </c>
      <c r="M1335" s="87">
        <v>0.0</v>
      </c>
      <c r="N1335" s="87">
        <v>0.0</v>
      </c>
      <c r="O1335" s="87">
        <v>0.0</v>
      </c>
      <c r="P1335" s="87">
        <v>0.0</v>
      </c>
      <c r="Q1335" s="87">
        <v>0.0</v>
      </c>
      <c r="R1335" s="87">
        <v>0.0</v>
      </c>
      <c r="S1335" s="87">
        <v>0.0</v>
      </c>
      <c r="T1335" s="87">
        <v>0.0</v>
      </c>
      <c r="U1335" s="87">
        <v>0.0</v>
      </c>
      <c r="V1335" s="87">
        <v>0.0</v>
      </c>
      <c r="W1335" s="87">
        <v>0.0</v>
      </c>
      <c r="X1335" s="87">
        <v>0.0</v>
      </c>
      <c r="Y1335" s="87">
        <v>0.0</v>
      </c>
      <c r="Z1335" s="87">
        <v>0.0</v>
      </c>
      <c r="AA1335" s="87">
        <v>5.493626</v>
      </c>
      <c r="AB1335" s="87">
        <v>2.765621</v>
      </c>
      <c r="AC1335" s="87">
        <v>4.126524</v>
      </c>
      <c r="AD1335" s="87">
        <v>0.0</v>
      </c>
      <c r="AE1335" s="87">
        <v>0.0</v>
      </c>
      <c r="AF1335" s="87">
        <v>0.0</v>
      </c>
      <c r="AG1335" s="87">
        <v>0.0</v>
      </c>
      <c r="AH1335" s="87">
        <v>0.0</v>
      </c>
      <c r="AI1335" s="87">
        <v>0.0</v>
      </c>
      <c r="AJ1335" s="87">
        <v>0.0</v>
      </c>
      <c r="AK1335" s="87">
        <v>0.0</v>
      </c>
      <c r="AL1335" s="88" t="s">
        <v>1396</v>
      </c>
    </row>
    <row r="1336">
      <c r="A1336" s="84" t="s">
        <v>3151</v>
      </c>
      <c r="B1336" s="84" t="s">
        <v>3152</v>
      </c>
      <c r="C1336" s="84" t="s">
        <v>3153</v>
      </c>
      <c r="D1336" s="84" t="s">
        <v>3154</v>
      </c>
      <c r="E1336" s="84" t="s">
        <v>1403</v>
      </c>
      <c r="F1336" s="87">
        <v>1.0</v>
      </c>
      <c r="G1336" s="87">
        <v>0.0</v>
      </c>
      <c r="H1336" s="87">
        <v>0.0</v>
      </c>
      <c r="I1336" s="87">
        <v>0.0</v>
      </c>
      <c r="J1336" s="87">
        <v>0.0</v>
      </c>
      <c r="K1336" s="87">
        <v>0.0</v>
      </c>
      <c r="L1336" s="87">
        <v>0.0</v>
      </c>
      <c r="M1336" s="87">
        <v>0.0</v>
      </c>
      <c r="N1336" s="87">
        <v>0.0</v>
      </c>
      <c r="O1336" s="87">
        <v>0.0</v>
      </c>
      <c r="P1336" s="87">
        <v>0.0</v>
      </c>
      <c r="Q1336" s="87">
        <v>0.0</v>
      </c>
      <c r="R1336" s="87">
        <v>0.0</v>
      </c>
      <c r="S1336" s="87">
        <v>0.0</v>
      </c>
      <c r="T1336" s="87">
        <v>0.0</v>
      </c>
      <c r="U1336" s="87">
        <v>0.0</v>
      </c>
      <c r="V1336" s="87">
        <v>0.0</v>
      </c>
      <c r="W1336" s="87">
        <v>0.0</v>
      </c>
      <c r="X1336" s="87">
        <v>0.0</v>
      </c>
      <c r="Y1336" s="87">
        <v>0.0</v>
      </c>
      <c r="Z1336" s="87">
        <v>0.0</v>
      </c>
      <c r="AA1336" s="87">
        <v>0.0</v>
      </c>
      <c r="AB1336" s="87">
        <v>0.0</v>
      </c>
      <c r="AC1336" s="87">
        <v>0.0</v>
      </c>
      <c r="AD1336" s="87">
        <v>0.0</v>
      </c>
      <c r="AE1336" s="87">
        <v>0.0</v>
      </c>
      <c r="AF1336" s="87">
        <v>0.0</v>
      </c>
      <c r="AG1336" s="87">
        <v>0.0</v>
      </c>
      <c r="AH1336" s="87">
        <v>0.0</v>
      </c>
      <c r="AI1336" s="87">
        <v>0.0</v>
      </c>
      <c r="AJ1336" s="87">
        <v>0.0</v>
      </c>
      <c r="AK1336" s="87">
        <v>0.0</v>
      </c>
      <c r="AL1336" s="88" t="s">
        <v>1396</v>
      </c>
    </row>
    <row r="1337">
      <c r="A1337" s="84" t="s">
        <v>3155</v>
      </c>
      <c r="B1337" s="84" t="s">
        <v>3156</v>
      </c>
      <c r="C1337" s="84" t="s">
        <v>3153</v>
      </c>
      <c r="D1337" s="84" t="s">
        <v>3157</v>
      </c>
      <c r="E1337" s="84" t="s">
        <v>1400</v>
      </c>
      <c r="F1337" s="87">
        <v>1.0</v>
      </c>
      <c r="G1337" s="87">
        <v>0.0</v>
      </c>
      <c r="H1337" s="87">
        <v>0.0</v>
      </c>
      <c r="I1337" s="87">
        <v>0.0</v>
      </c>
      <c r="J1337" s="87">
        <v>0.0</v>
      </c>
      <c r="K1337" s="87">
        <v>0.0</v>
      </c>
      <c r="L1337" s="87">
        <v>0.0</v>
      </c>
      <c r="M1337" s="87">
        <v>0.0</v>
      </c>
      <c r="N1337" s="87">
        <v>0.0</v>
      </c>
      <c r="O1337" s="87">
        <v>0.0</v>
      </c>
      <c r="P1337" s="87">
        <v>0.0</v>
      </c>
      <c r="Q1337" s="87">
        <v>0.0</v>
      </c>
      <c r="R1337" s="87">
        <v>0.0</v>
      </c>
      <c r="S1337" s="87">
        <v>0.0</v>
      </c>
      <c r="T1337" s="87">
        <v>0.0</v>
      </c>
      <c r="U1337" s="87">
        <v>0.0</v>
      </c>
      <c r="V1337" s="87">
        <v>0.0</v>
      </c>
      <c r="W1337" s="87">
        <v>0.0</v>
      </c>
      <c r="X1337" s="87">
        <v>0.0</v>
      </c>
      <c r="Y1337" s="87">
        <v>0.0</v>
      </c>
      <c r="Z1337" s="87">
        <v>0.0</v>
      </c>
      <c r="AA1337" s="87">
        <v>0.0</v>
      </c>
      <c r="AB1337" s="87">
        <v>0.0</v>
      </c>
      <c r="AC1337" s="87">
        <v>0.0</v>
      </c>
      <c r="AD1337" s="87">
        <v>0.0</v>
      </c>
      <c r="AE1337" s="87">
        <v>0.0</v>
      </c>
      <c r="AF1337" s="87">
        <v>0.0</v>
      </c>
      <c r="AG1337" s="87">
        <v>0.0</v>
      </c>
      <c r="AH1337" s="87">
        <v>0.0</v>
      </c>
      <c r="AI1337" s="87">
        <v>0.0</v>
      </c>
      <c r="AJ1337" s="87">
        <v>0.0</v>
      </c>
      <c r="AK1337" s="87">
        <v>0.0</v>
      </c>
      <c r="AL1337" s="88" t="s">
        <v>1396</v>
      </c>
    </row>
    <row r="1338">
      <c r="A1338" s="84" t="s">
        <v>3151</v>
      </c>
      <c r="B1338" s="84" t="s">
        <v>3158</v>
      </c>
      <c r="C1338" s="84" t="s">
        <v>3153</v>
      </c>
      <c r="D1338" s="84" t="s">
        <v>3157</v>
      </c>
      <c r="E1338" s="84" t="s">
        <v>1403</v>
      </c>
      <c r="F1338" s="87">
        <v>3.0</v>
      </c>
      <c r="G1338" s="87">
        <v>1.0</v>
      </c>
      <c r="H1338" s="87">
        <v>27.0</v>
      </c>
      <c r="I1338" s="87">
        <v>27.0</v>
      </c>
      <c r="J1338" s="87">
        <v>0.0</v>
      </c>
      <c r="K1338" s="87">
        <v>0.0</v>
      </c>
      <c r="L1338" s="87">
        <v>0.0</v>
      </c>
      <c r="M1338" s="87">
        <v>0.0</v>
      </c>
      <c r="N1338" s="87">
        <v>0.0</v>
      </c>
      <c r="O1338" s="87">
        <v>0.0</v>
      </c>
      <c r="P1338" s="87">
        <v>0.0</v>
      </c>
      <c r="Q1338" s="87">
        <v>0.0</v>
      </c>
      <c r="R1338" s="87">
        <v>0.0</v>
      </c>
      <c r="S1338" s="87">
        <v>0.0</v>
      </c>
      <c r="T1338" s="87">
        <v>0.0</v>
      </c>
      <c r="U1338" s="87">
        <v>0.0</v>
      </c>
      <c r="V1338" s="87">
        <v>0.0</v>
      </c>
      <c r="W1338" s="87">
        <v>0.0</v>
      </c>
      <c r="X1338" s="87">
        <v>0.0</v>
      </c>
      <c r="Y1338" s="87">
        <v>0.0</v>
      </c>
      <c r="Z1338" s="87">
        <v>0.0</v>
      </c>
      <c r="AA1338" s="87">
        <v>0.0</v>
      </c>
      <c r="AB1338" s="87">
        <v>0.0</v>
      </c>
      <c r="AC1338" s="87">
        <v>0.0</v>
      </c>
      <c r="AD1338" s="87">
        <v>0.0</v>
      </c>
      <c r="AE1338" s="87">
        <v>0.0</v>
      </c>
      <c r="AF1338" s="87">
        <v>0.0</v>
      </c>
      <c r="AG1338" s="87">
        <v>0.0</v>
      </c>
      <c r="AH1338" s="87">
        <v>0.0</v>
      </c>
      <c r="AI1338" s="87">
        <v>0.0</v>
      </c>
      <c r="AJ1338" s="87">
        <v>0.0</v>
      </c>
      <c r="AK1338" s="87">
        <v>0.0</v>
      </c>
      <c r="AL1338" s="88" t="s">
        <v>1396</v>
      </c>
    </row>
    <row r="1339">
      <c r="A1339" s="84" t="s">
        <v>3159</v>
      </c>
      <c r="B1339" s="84" t="s">
        <v>3160</v>
      </c>
      <c r="C1339" s="84" t="s">
        <v>3161</v>
      </c>
      <c r="D1339" s="84" t="s">
        <v>3162</v>
      </c>
      <c r="E1339" s="84" t="s">
        <v>1403</v>
      </c>
      <c r="F1339" s="87">
        <v>5.0</v>
      </c>
      <c r="G1339" s="87">
        <v>0.0</v>
      </c>
      <c r="H1339" s="87">
        <v>0.0</v>
      </c>
      <c r="I1339" s="87">
        <v>0.0</v>
      </c>
      <c r="J1339" s="87">
        <v>0.0</v>
      </c>
      <c r="K1339" s="87">
        <v>0.0</v>
      </c>
      <c r="L1339" s="87">
        <v>0.0</v>
      </c>
      <c r="M1339" s="87">
        <v>0.0</v>
      </c>
      <c r="N1339" s="87">
        <v>0.0</v>
      </c>
      <c r="O1339" s="87">
        <v>0.0</v>
      </c>
      <c r="P1339" s="87">
        <v>0.0</v>
      </c>
      <c r="Q1339" s="87">
        <v>0.0</v>
      </c>
      <c r="R1339" s="87">
        <v>0.0</v>
      </c>
      <c r="S1339" s="87">
        <v>0.0</v>
      </c>
      <c r="T1339" s="87">
        <v>0.0</v>
      </c>
      <c r="U1339" s="87">
        <v>0.0</v>
      </c>
      <c r="V1339" s="87">
        <v>0.0</v>
      </c>
      <c r="W1339" s="87">
        <v>0.0</v>
      </c>
      <c r="X1339" s="87">
        <v>0.0</v>
      </c>
      <c r="Y1339" s="87">
        <v>0.0</v>
      </c>
      <c r="Z1339" s="87">
        <v>0.0</v>
      </c>
      <c r="AA1339" s="87">
        <v>0.0</v>
      </c>
      <c r="AB1339" s="87">
        <v>0.0</v>
      </c>
      <c r="AC1339" s="87">
        <v>0.0</v>
      </c>
      <c r="AD1339" s="87">
        <v>0.0</v>
      </c>
      <c r="AE1339" s="87">
        <v>0.0</v>
      </c>
      <c r="AF1339" s="87">
        <v>0.0</v>
      </c>
      <c r="AG1339" s="87">
        <v>0.0</v>
      </c>
      <c r="AH1339" s="87">
        <v>0.0</v>
      </c>
      <c r="AI1339" s="87">
        <v>0.0</v>
      </c>
      <c r="AJ1339" s="87">
        <v>0.0</v>
      </c>
      <c r="AK1339" s="87">
        <v>0.0</v>
      </c>
      <c r="AL1339" s="88" t="s">
        <v>1396</v>
      </c>
    </row>
    <row r="1340">
      <c r="A1340" s="84" t="s">
        <v>3163</v>
      </c>
      <c r="B1340" s="84" t="s">
        <v>3164</v>
      </c>
      <c r="C1340" s="84" t="s">
        <v>3161</v>
      </c>
      <c r="D1340" s="84" t="s">
        <v>3165</v>
      </c>
      <c r="E1340" s="84" t="s">
        <v>1400</v>
      </c>
      <c r="F1340" s="87">
        <v>1.0</v>
      </c>
      <c r="G1340" s="87">
        <v>0.0</v>
      </c>
      <c r="H1340" s="87">
        <v>0.0</v>
      </c>
      <c r="I1340" s="87">
        <v>0.0</v>
      </c>
      <c r="J1340" s="87">
        <v>0.0</v>
      </c>
      <c r="K1340" s="87">
        <v>0.0</v>
      </c>
      <c r="L1340" s="87">
        <v>0.0</v>
      </c>
      <c r="M1340" s="87">
        <v>0.0</v>
      </c>
      <c r="N1340" s="87">
        <v>0.0</v>
      </c>
      <c r="O1340" s="87">
        <v>0.0</v>
      </c>
      <c r="P1340" s="87">
        <v>0.0</v>
      </c>
      <c r="Q1340" s="87">
        <v>0.0</v>
      </c>
      <c r="R1340" s="87">
        <v>0.0</v>
      </c>
      <c r="S1340" s="87">
        <v>0.0</v>
      </c>
      <c r="T1340" s="87">
        <v>0.0</v>
      </c>
      <c r="U1340" s="87">
        <v>0.0</v>
      </c>
      <c r="V1340" s="87">
        <v>0.0</v>
      </c>
      <c r="W1340" s="87">
        <v>0.0</v>
      </c>
      <c r="X1340" s="87">
        <v>0.0</v>
      </c>
      <c r="Y1340" s="87">
        <v>0.0</v>
      </c>
      <c r="Z1340" s="87">
        <v>0.0</v>
      </c>
      <c r="AA1340" s="87">
        <v>0.0</v>
      </c>
      <c r="AB1340" s="87">
        <v>0.0</v>
      </c>
      <c r="AC1340" s="87">
        <v>0.0</v>
      </c>
      <c r="AD1340" s="87">
        <v>0.0</v>
      </c>
      <c r="AE1340" s="87">
        <v>0.0</v>
      </c>
      <c r="AF1340" s="87">
        <v>0.0</v>
      </c>
      <c r="AG1340" s="87">
        <v>0.0</v>
      </c>
      <c r="AH1340" s="87">
        <v>0.0</v>
      </c>
      <c r="AI1340" s="87">
        <v>0.0</v>
      </c>
      <c r="AJ1340" s="87">
        <v>0.0</v>
      </c>
      <c r="AK1340" s="87">
        <v>0.0</v>
      </c>
      <c r="AL1340" s="88" t="s">
        <v>1396</v>
      </c>
    </row>
    <row r="1341">
      <c r="A1341" s="84" t="s">
        <v>3166</v>
      </c>
      <c r="B1341" s="84" t="s">
        <v>3167</v>
      </c>
      <c r="C1341" s="84" t="s">
        <v>3168</v>
      </c>
      <c r="D1341" s="84" t="s">
        <v>3169</v>
      </c>
      <c r="E1341" s="84" t="s">
        <v>1400</v>
      </c>
      <c r="F1341" s="87">
        <v>32.0</v>
      </c>
      <c r="G1341" s="87">
        <v>5.0</v>
      </c>
      <c r="H1341" s="87">
        <v>2020.0</v>
      </c>
      <c r="I1341" s="87">
        <v>233.0</v>
      </c>
      <c r="J1341" s="87">
        <v>1.430556</v>
      </c>
      <c r="K1341" s="87">
        <v>2.92478</v>
      </c>
      <c r="L1341" s="87">
        <v>3.654392</v>
      </c>
      <c r="M1341" s="87">
        <v>1.894225</v>
      </c>
      <c r="N1341" s="87">
        <v>0.647647</v>
      </c>
      <c r="O1341" s="87">
        <v>0.0</v>
      </c>
      <c r="P1341" s="87">
        <v>0.0</v>
      </c>
      <c r="Q1341" s="87">
        <v>0.0</v>
      </c>
      <c r="R1341" s="87">
        <v>0.041667</v>
      </c>
      <c r="S1341" s="87">
        <v>0.133333</v>
      </c>
      <c r="T1341" s="87">
        <v>0.033333</v>
      </c>
      <c r="U1341" s="87">
        <v>0.041667</v>
      </c>
      <c r="V1341" s="87">
        <v>0.066667</v>
      </c>
      <c r="W1341" s="87">
        <v>0.133333</v>
      </c>
      <c r="X1341" s="87">
        <v>0.18</v>
      </c>
      <c r="Y1341" s="87">
        <v>0.091399</v>
      </c>
      <c r="Z1341" s="87">
        <v>0.0</v>
      </c>
      <c r="AA1341" s="87">
        <v>0.133333</v>
      </c>
      <c r="AB1341" s="87">
        <v>0.071336</v>
      </c>
      <c r="AC1341" s="87">
        <v>0.091399</v>
      </c>
      <c r="AD1341" s="87">
        <v>0.041667</v>
      </c>
      <c r="AE1341" s="87">
        <v>0.133333</v>
      </c>
      <c r="AF1341" s="87">
        <v>0.091399</v>
      </c>
      <c r="AG1341" s="87">
        <v>0.091399</v>
      </c>
      <c r="AH1341" s="87">
        <v>0.0</v>
      </c>
      <c r="AI1341" s="87">
        <v>0.133333</v>
      </c>
      <c r="AJ1341" s="87">
        <v>0.071336</v>
      </c>
      <c r="AK1341" s="87">
        <v>0.091399</v>
      </c>
      <c r="AL1341" s="88" t="s">
        <v>1396</v>
      </c>
    </row>
    <row r="1342">
      <c r="A1342" s="84" t="s">
        <v>3170</v>
      </c>
      <c r="B1342" s="84" t="s">
        <v>3171</v>
      </c>
      <c r="C1342" s="84" t="s">
        <v>3168</v>
      </c>
      <c r="D1342" s="84" t="s">
        <v>3169</v>
      </c>
      <c r="E1342" s="84" t="s">
        <v>1403</v>
      </c>
      <c r="F1342" s="87">
        <v>9.0</v>
      </c>
      <c r="G1342" s="87">
        <v>1.0</v>
      </c>
      <c r="H1342" s="87">
        <v>53.0</v>
      </c>
      <c r="I1342" s="87">
        <v>53.0</v>
      </c>
      <c r="J1342" s="87">
        <v>0.0</v>
      </c>
      <c r="K1342" s="87">
        <v>0.0</v>
      </c>
      <c r="L1342" s="87">
        <v>0.0</v>
      </c>
      <c r="M1342" s="87">
        <v>0.0</v>
      </c>
      <c r="N1342" s="87">
        <v>0.0</v>
      </c>
      <c r="O1342" s="87">
        <v>0.0</v>
      </c>
      <c r="P1342" s="87">
        <v>0.0</v>
      </c>
      <c r="Q1342" s="87">
        <v>0.0</v>
      </c>
      <c r="R1342" s="87">
        <v>0.0</v>
      </c>
      <c r="S1342" s="87">
        <v>0.0</v>
      </c>
      <c r="T1342" s="87">
        <v>0.0</v>
      </c>
      <c r="U1342" s="87">
        <v>0.0</v>
      </c>
      <c r="V1342" s="87">
        <v>0.0</v>
      </c>
      <c r="W1342" s="87">
        <v>0.0</v>
      </c>
      <c r="X1342" s="87">
        <v>0.0</v>
      </c>
      <c r="Y1342" s="87">
        <v>0.0</v>
      </c>
      <c r="Z1342" s="87">
        <v>0.0</v>
      </c>
      <c r="AA1342" s="87">
        <v>0.133333</v>
      </c>
      <c r="AB1342" s="87">
        <v>0.071336</v>
      </c>
      <c r="AC1342" s="87">
        <v>0.091399</v>
      </c>
      <c r="AD1342" s="87">
        <v>0.0</v>
      </c>
      <c r="AE1342" s="87">
        <v>0.0</v>
      </c>
      <c r="AF1342" s="87">
        <v>0.0</v>
      </c>
      <c r="AG1342" s="87">
        <v>0.0</v>
      </c>
      <c r="AH1342" s="87">
        <v>0.0</v>
      </c>
      <c r="AI1342" s="87">
        <v>0.133333</v>
      </c>
      <c r="AJ1342" s="87">
        <v>0.071336</v>
      </c>
      <c r="AK1342" s="87">
        <v>0.091399</v>
      </c>
      <c r="AL1342" s="88" t="s">
        <v>1396</v>
      </c>
    </row>
    <row r="1343">
      <c r="A1343" s="84" t="s">
        <v>3172</v>
      </c>
      <c r="B1343" s="84" t="s">
        <v>3173</v>
      </c>
      <c r="C1343" s="84" t="s">
        <v>3174</v>
      </c>
      <c r="D1343" s="84" t="s">
        <v>3175</v>
      </c>
      <c r="E1343" s="84" t="s">
        <v>1426</v>
      </c>
      <c r="F1343" s="87">
        <v>4.0</v>
      </c>
      <c r="G1343" s="87">
        <v>0.0</v>
      </c>
      <c r="H1343" s="87">
        <v>7318.0</v>
      </c>
      <c r="I1343" s="87">
        <v>0.0</v>
      </c>
      <c r="J1343" s="87">
        <v>247.6958</v>
      </c>
      <c r="K1343" s="87">
        <v>249.6285</v>
      </c>
      <c r="L1343" s="87">
        <v>246.3112</v>
      </c>
      <c r="M1343" s="87">
        <v>168.1922</v>
      </c>
      <c r="N1343" s="87">
        <v>0.67377</v>
      </c>
      <c r="O1343" s="87">
        <v>18.60784</v>
      </c>
      <c r="P1343" s="87">
        <v>18.60784</v>
      </c>
      <c r="Q1343" s="87">
        <v>28.51618</v>
      </c>
      <c r="R1343" s="87">
        <v>34.31228</v>
      </c>
      <c r="S1343" s="87">
        <v>34.31228</v>
      </c>
      <c r="T1343" s="87">
        <v>18.60784</v>
      </c>
      <c r="U1343" s="87">
        <v>18.60784</v>
      </c>
      <c r="V1343" s="87">
        <v>28.51618</v>
      </c>
      <c r="W1343" s="87">
        <v>34.31228</v>
      </c>
      <c r="X1343" s="87">
        <v>34.31228</v>
      </c>
      <c r="Y1343" s="87">
        <v>62.40713</v>
      </c>
      <c r="Z1343" s="87">
        <v>0.391099</v>
      </c>
      <c r="AA1343" s="87">
        <v>8.041803</v>
      </c>
      <c r="AB1343" s="87">
        <v>13.43841</v>
      </c>
      <c r="AC1343" s="87">
        <v>9.550559</v>
      </c>
      <c r="AD1343" s="87">
        <v>28.51618</v>
      </c>
      <c r="AE1343" s="87">
        <v>34.31228</v>
      </c>
      <c r="AF1343" s="87">
        <v>40.67634</v>
      </c>
      <c r="AG1343" s="87">
        <v>62.40713</v>
      </c>
      <c r="AH1343" s="87">
        <v>0.0</v>
      </c>
      <c r="AI1343" s="87">
        <v>20.07944</v>
      </c>
      <c r="AJ1343" s="87">
        <v>16.00153</v>
      </c>
      <c r="AK1343" s="87">
        <v>3.981012</v>
      </c>
      <c r="AL1343" s="88" t="s">
        <v>1396</v>
      </c>
    </row>
    <row r="1344">
      <c r="A1344" s="84" t="s">
        <v>3176</v>
      </c>
      <c r="B1344" s="84" t="s">
        <v>3177</v>
      </c>
      <c r="C1344" s="84" t="s">
        <v>3174</v>
      </c>
      <c r="D1344" s="84" t="s">
        <v>3175</v>
      </c>
      <c r="E1344" s="86">
        <v>46310.0</v>
      </c>
      <c r="F1344" s="87">
        <v>7.0</v>
      </c>
      <c r="G1344" s="87">
        <v>0.0</v>
      </c>
      <c r="H1344" s="87">
        <v>7494.0</v>
      </c>
      <c r="I1344" s="87">
        <v>0.0</v>
      </c>
      <c r="J1344" s="87">
        <v>177.4528</v>
      </c>
      <c r="K1344" s="87">
        <v>163.8235</v>
      </c>
      <c r="L1344" s="87">
        <v>161.4087</v>
      </c>
      <c r="M1344" s="87">
        <v>131.0227</v>
      </c>
      <c r="N1344" s="87">
        <v>0.79978</v>
      </c>
      <c r="O1344" s="87">
        <v>0.5</v>
      </c>
      <c r="P1344" s="87">
        <v>6.505463</v>
      </c>
      <c r="Q1344" s="87">
        <v>7.972423</v>
      </c>
      <c r="R1344" s="87">
        <v>8.041803</v>
      </c>
      <c r="S1344" s="87">
        <v>9.781058</v>
      </c>
      <c r="T1344" s="87">
        <v>0.5</v>
      </c>
      <c r="U1344" s="87">
        <v>6.505463</v>
      </c>
      <c r="V1344" s="87">
        <v>7.972423</v>
      </c>
      <c r="W1344" s="87">
        <v>8.041803</v>
      </c>
      <c r="X1344" s="87">
        <v>9.781058</v>
      </c>
      <c r="Y1344" s="87">
        <v>23.40336</v>
      </c>
      <c r="Z1344" s="87">
        <v>0.391099</v>
      </c>
      <c r="AA1344" s="87">
        <v>8.041803</v>
      </c>
      <c r="AB1344" s="87">
        <v>13.43841</v>
      </c>
      <c r="AC1344" s="87">
        <v>9.550559</v>
      </c>
      <c r="AD1344" s="87">
        <v>9.781058</v>
      </c>
      <c r="AE1344" s="87">
        <v>21.15723</v>
      </c>
      <c r="AF1344" s="87">
        <v>45.22139</v>
      </c>
      <c r="AG1344" s="87">
        <v>51.77949</v>
      </c>
      <c r="AH1344" s="87">
        <v>0.0</v>
      </c>
      <c r="AI1344" s="87">
        <v>20.07944</v>
      </c>
      <c r="AJ1344" s="87">
        <v>16.00153</v>
      </c>
      <c r="AK1344" s="87">
        <v>3.981012</v>
      </c>
      <c r="AL1344" s="88" t="s">
        <v>1396</v>
      </c>
    </row>
    <row r="1345">
      <c r="A1345" s="84" t="s">
        <v>3178</v>
      </c>
      <c r="B1345" s="84" t="s">
        <v>3179</v>
      </c>
      <c r="C1345" s="84" t="s">
        <v>3174</v>
      </c>
      <c r="D1345" s="84" t="s">
        <v>3175</v>
      </c>
      <c r="E1345" s="84" t="s">
        <v>1413</v>
      </c>
      <c r="F1345" s="87">
        <v>4.0</v>
      </c>
      <c r="G1345" s="87">
        <v>0.0</v>
      </c>
      <c r="H1345" s="87">
        <v>947.0</v>
      </c>
      <c r="I1345" s="87">
        <v>0.0</v>
      </c>
      <c r="J1345" s="87">
        <v>36.59328</v>
      </c>
      <c r="K1345" s="87">
        <v>38.20224</v>
      </c>
      <c r="L1345" s="87">
        <v>37.56996</v>
      </c>
      <c r="M1345" s="87">
        <v>32.91546</v>
      </c>
      <c r="N1345" s="87">
        <v>0.861611</v>
      </c>
      <c r="O1345" s="87">
        <v>0.0</v>
      </c>
      <c r="P1345" s="87">
        <v>0.0</v>
      </c>
      <c r="Q1345" s="87">
        <v>0.391099</v>
      </c>
      <c r="R1345" s="87">
        <v>4.89568</v>
      </c>
      <c r="S1345" s="87">
        <v>4.89568</v>
      </c>
      <c r="T1345" s="87">
        <v>0.391099</v>
      </c>
      <c r="U1345" s="87">
        <v>0.391099</v>
      </c>
      <c r="V1345" s="87">
        <v>0.391099</v>
      </c>
      <c r="W1345" s="87">
        <v>4.89568</v>
      </c>
      <c r="X1345" s="87">
        <v>32.91546</v>
      </c>
      <c r="Y1345" s="87">
        <v>9.550559</v>
      </c>
      <c r="Z1345" s="87">
        <v>0.391099</v>
      </c>
      <c r="AA1345" s="87">
        <v>8.041803</v>
      </c>
      <c r="AB1345" s="87">
        <v>13.43841</v>
      </c>
      <c r="AC1345" s="87">
        <v>9.550559</v>
      </c>
      <c r="AD1345" s="87">
        <v>4.89568</v>
      </c>
      <c r="AE1345" s="87">
        <v>9.108703</v>
      </c>
      <c r="AF1345" s="87">
        <v>31.84714</v>
      </c>
      <c r="AG1345" s="87">
        <v>10.2024</v>
      </c>
      <c r="AH1345" s="87">
        <v>0.0</v>
      </c>
      <c r="AI1345" s="87">
        <v>20.07944</v>
      </c>
      <c r="AJ1345" s="87">
        <v>16.00153</v>
      </c>
      <c r="AK1345" s="87">
        <v>3.981012</v>
      </c>
      <c r="AL1345" s="88" t="s">
        <v>1396</v>
      </c>
    </row>
    <row r="1346">
      <c r="A1346" s="84" t="s">
        <v>3180</v>
      </c>
      <c r="B1346" s="84" t="s">
        <v>3181</v>
      </c>
      <c r="C1346" s="84" t="s">
        <v>3174</v>
      </c>
      <c r="D1346" s="84" t="s">
        <v>3175</v>
      </c>
      <c r="E1346" s="84" t="s">
        <v>1398</v>
      </c>
      <c r="F1346" s="87">
        <v>5.0</v>
      </c>
      <c r="G1346" s="87">
        <v>0.0</v>
      </c>
      <c r="H1346" s="87">
        <v>1195.0</v>
      </c>
      <c r="I1346" s="87">
        <v>0.0</v>
      </c>
      <c r="J1346" s="87">
        <v>12.14536</v>
      </c>
      <c r="K1346" s="87">
        <v>12.95498</v>
      </c>
      <c r="L1346" s="87">
        <v>14.79753</v>
      </c>
      <c r="M1346" s="87">
        <v>11.52403</v>
      </c>
      <c r="N1346" s="87">
        <v>0.889544</v>
      </c>
      <c r="O1346" s="87">
        <v>0.0</v>
      </c>
      <c r="P1346" s="87">
        <v>0.0</v>
      </c>
      <c r="Q1346" s="87">
        <v>0.0</v>
      </c>
      <c r="R1346" s="87">
        <v>0.5</v>
      </c>
      <c r="S1346" s="87">
        <v>0.930952</v>
      </c>
      <c r="T1346" s="87">
        <v>0.5</v>
      </c>
      <c r="U1346" s="87">
        <v>0.5</v>
      </c>
      <c r="V1346" s="87">
        <v>0.5</v>
      </c>
      <c r="W1346" s="87">
        <v>0.930952</v>
      </c>
      <c r="X1346" s="87">
        <v>11.52403</v>
      </c>
      <c r="Y1346" s="87">
        <v>2.590996</v>
      </c>
      <c r="Z1346" s="87">
        <v>0.391099</v>
      </c>
      <c r="AA1346" s="87">
        <v>8.041803</v>
      </c>
      <c r="AB1346" s="87">
        <v>13.43841</v>
      </c>
      <c r="AC1346" s="87">
        <v>9.550559</v>
      </c>
      <c r="AD1346" s="87">
        <v>0.5</v>
      </c>
      <c r="AE1346" s="87">
        <v>11.52403</v>
      </c>
      <c r="AF1346" s="87">
        <v>10.86627</v>
      </c>
      <c r="AG1346" s="87">
        <v>4.244928</v>
      </c>
      <c r="AH1346" s="87">
        <v>0.0</v>
      </c>
      <c r="AI1346" s="87">
        <v>20.07944</v>
      </c>
      <c r="AJ1346" s="87">
        <v>16.00153</v>
      </c>
      <c r="AK1346" s="87">
        <v>3.981012</v>
      </c>
      <c r="AL1346" s="88" t="s">
        <v>1396</v>
      </c>
    </row>
    <row r="1347">
      <c r="A1347" s="84" t="s">
        <v>3182</v>
      </c>
      <c r="B1347" s="84" t="s">
        <v>3183</v>
      </c>
      <c r="C1347" s="84" t="s">
        <v>3174</v>
      </c>
      <c r="D1347" s="84" t="s">
        <v>3175</v>
      </c>
      <c r="E1347" s="84" t="s">
        <v>1400</v>
      </c>
      <c r="F1347" s="87">
        <v>5.0</v>
      </c>
      <c r="G1347" s="87">
        <v>0.0</v>
      </c>
      <c r="H1347" s="87">
        <v>1044.0</v>
      </c>
      <c r="I1347" s="87">
        <v>0.0</v>
      </c>
      <c r="J1347" s="87">
        <v>17.4541</v>
      </c>
      <c r="K1347" s="87">
        <v>19.90506</v>
      </c>
      <c r="L1347" s="87">
        <v>17.05964</v>
      </c>
      <c r="M1347" s="87">
        <v>8.601854</v>
      </c>
      <c r="N1347" s="87">
        <v>0.432144</v>
      </c>
      <c r="O1347" s="87">
        <v>1.208314</v>
      </c>
      <c r="P1347" s="87">
        <v>1.889967</v>
      </c>
      <c r="Q1347" s="87">
        <v>1.889967</v>
      </c>
      <c r="R1347" s="87">
        <v>2.534196</v>
      </c>
      <c r="S1347" s="87">
        <v>5.670731</v>
      </c>
      <c r="T1347" s="87">
        <v>1.208314</v>
      </c>
      <c r="U1347" s="87">
        <v>1.889967</v>
      </c>
      <c r="V1347" s="87">
        <v>1.889967</v>
      </c>
      <c r="W1347" s="87">
        <v>2.534196</v>
      </c>
      <c r="X1347" s="87">
        <v>5.670731</v>
      </c>
      <c r="Y1347" s="87">
        <v>3.981012</v>
      </c>
      <c r="Z1347" s="87">
        <v>0.391099</v>
      </c>
      <c r="AA1347" s="87">
        <v>8.041803</v>
      </c>
      <c r="AB1347" s="87">
        <v>13.43841</v>
      </c>
      <c r="AC1347" s="87">
        <v>9.550559</v>
      </c>
      <c r="AD1347" s="87">
        <v>2.534196</v>
      </c>
      <c r="AE1347" s="87">
        <v>5.074681</v>
      </c>
      <c r="AF1347" s="87">
        <v>3.568535</v>
      </c>
      <c r="AG1347" s="87">
        <v>3.981012</v>
      </c>
      <c r="AH1347" s="87">
        <v>0.0</v>
      </c>
      <c r="AI1347" s="87">
        <v>20.07944</v>
      </c>
      <c r="AJ1347" s="87">
        <v>16.00153</v>
      </c>
      <c r="AK1347" s="87">
        <v>3.981012</v>
      </c>
      <c r="AL1347" s="88" t="s">
        <v>1396</v>
      </c>
    </row>
    <row r="1348">
      <c r="A1348" s="84" t="s">
        <v>3184</v>
      </c>
      <c r="B1348" s="84" t="s">
        <v>3185</v>
      </c>
      <c r="C1348" s="84" t="s">
        <v>3174</v>
      </c>
      <c r="D1348" s="84" t="s">
        <v>3175</v>
      </c>
      <c r="E1348" s="89">
        <v>46300.0</v>
      </c>
      <c r="F1348" s="87">
        <v>3.0</v>
      </c>
      <c r="G1348" s="87">
        <v>0.0</v>
      </c>
      <c r="H1348" s="87">
        <v>18412.0</v>
      </c>
      <c r="I1348" s="87">
        <v>0.0</v>
      </c>
      <c r="J1348" s="87">
        <v>194.9737</v>
      </c>
      <c r="K1348" s="87">
        <v>187.406</v>
      </c>
      <c r="L1348" s="87">
        <v>195.0751</v>
      </c>
      <c r="M1348" s="87">
        <v>128.3136</v>
      </c>
      <c r="N1348" s="87">
        <v>0.684683</v>
      </c>
      <c r="O1348" s="87">
        <v>1.0</v>
      </c>
      <c r="P1348" s="87">
        <v>1.0</v>
      </c>
      <c r="Q1348" s="87">
        <v>1.0</v>
      </c>
      <c r="R1348" s="87">
        <v>58.09237</v>
      </c>
      <c r="S1348" s="87">
        <v>128.3136</v>
      </c>
      <c r="T1348" s="87">
        <v>1.0</v>
      </c>
      <c r="U1348" s="87">
        <v>1.0</v>
      </c>
      <c r="V1348" s="87">
        <v>1.0</v>
      </c>
      <c r="W1348" s="87">
        <v>58.09237</v>
      </c>
      <c r="X1348" s="87">
        <v>128.3136</v>
      </c>
      <c r="Y1348" s="87">
        <v>62.46866</v>
      </c>
      <c r="Z1348" s="87">
        <v>0.391099</v>
      </c>
      <c r="AA1348" s="87">
        <v>8.041803</v>
      </c>
      <c r="AB1348" s="87">
        <v>13.43841</v>
      </c>
      <c r="AC1348" s="87">
        <v>9.550559</v>
      </c>
      <c r="AD1348" s="87">
        <v>1.0</v>
      </c>
      <c r="AE1348" s="87">
        <v>50.32801</v>
      </c>
      <c r="AF1348" s="87">
        <v>36.41712</v>
      </c>
      <c r="AG1348" s="87">
        <v>62.46866</v>
      </c>
      <c r="AH1348" s="87">
        <v>0.0</v>
      </c>
      <c r="AI1348" s="87">
        <v>20.07944</v>
      </c>
      <c r="AJ1348" s="87">
        <v>16.00153</v>
      </c>
      <c r="AK1348" s="87">
        <v>3.981012</v>
      </c>
      <c r="AL1348" s="88" t="s">
        <v>1396</v>
      </c>
    </row>
    <row r="1349">
      <c r="A1349" s="84" t="s">
        <v>3186</v>
      </c>
      <c r="B1349" s="84" t="s">
        <v>3187</v>
      </c>
      <c r="C1349" s="84" t="s">
        <v>3174</v>
      </c>
      <c r="D1349" s="84" t="s">
        <v>3175</v>
      </c>
      <c r="E1349" s="84" t="s">
        <v>1403</v>
      </c>
      <c r="F1349" s="87">
        <v>22.0</v>
      </c>
      <c r="G1349" s="87">
        <v>0.0</v>
      </c>
      <c r="H1349" s="87">
        <v>0.0</v>
      </c>
      <c r="I1349" s="87">
        <v>0.0</v>
      </c>
      <c r="J1349" s="87">
        <v>0.0</v>
      </c>
      <c r="K1349" s="87">
        <v>0.0</v>
      </c>
      <c r="L1349" s="87">
        <v>0.0</v>
      </c>
      <c r="M1349" s="87">
        <v>0.0</v>
      </c>
      <c r="N1349" s="87">
        <v>0.0</v>
      </c>
      <c r="O1349" s="87">
        <v>0.0</v>
      </c>
      <c r="P1349" s="87">
        <v>0.0</v>
      </c>
      <c r="Q1349" s="87">
        <v>0.0</v>
      </c>
      <c r="R1349" s="87">
        <v>0.0</v>
      </c>
      <c r="S1349" s="87">
        <v>0.0</v>
      </c>
      <c r="T1349" s="87">
        <v>0.0</v>
      </c>
      <c r="U1349" s="87">
        <v>0.0</v>
      </c>
      <c r="V1349" s="87">
        <v>0.0</v>
      </c>
      <c r="W1349" s="87">
        <v>0.0</v>
      </c>
      <c r="X1349" s="87">
        <v>0.0</v>
      </c>
      <c r="Y1349" s="87">
        <v>0.0</v>
      </c>
      <c r="Z1349" s="87">
        <v>0.391099</v>
      </c>
      <c r="AA1349" s="87">
        <v>8.041803</v>
      </c>
      <c r="AB1349" s="87">
        <v>13.43841</v>
      </c>
      <c r="AC1349" s="87">
        <v>9.550559</v>
      </c>
      <c r="AD1349" s="87">
        <v>0.0</v>
      </c>
      <c r="AE1349" s="87">
        <v>0.0</v>
      </c>
      <c r="AF1349" s="87">
        <v>0.0</v>
      </c>
      <c r="AG1349" s="87">
        <v>0.0</v>
      </c>
      <c r="AH1349" s="87">
        <v>0.0</v>
      </c>
      <c r="AI1349" s="87">
        <v>20.07944</v>
      </c>
      <c r="AJ1349" s="87">
        <v>16.00153</v>
      </c>
      <c r="AK1349" s="87">
        <v>3.981012</v>
      </c>
      <c r="AL1349" s="88" t="s">
        <v>1396</v>
      </c>
    </row>
    <row r="1350">
      <c r="A1350" s="84" t="s">
        <v>3172</v>
      </c>
      <c r="B1350" s="84" t="s">
        <v>3188</v>
      </c>
      <c r="C1350" s="84" t="s">
        <v>3174</v>
      </c>
      <c r="D1350" s="84" t="s">
        <v>3189</v>
      </c>
      <c r="E1350" s="84" t="s">
        <v>1426</v>
      </c>
      <c r="F1350" s="87">
        <v>1.0</v>
      </c>
      <c r="G1350" s="87">
        <v>0.0</v>
      </c>
      <c r="H1350" s="87">
        <v>1122.0</v>
      </c>
      <c r="I1350" s="87">
        <v>0.0</v>
      </c>
      <c r="J1350" s="87">
        <v>77.54141</v>
      </c>
      <c r="K1350" s="87">
        <v>75.78224</v>
      </c>
      <c r="L1350" s="87">
        <v>76.88907</v>
      </c>
      <c r="M1350" s="87">
        <v>75.78224</v>
      </c>
      <c r="N1350" s="87">
        <v>1.0</v>
      </c>
      <c r="O1350" s="87">
        <v>75.78224</v>
      </c>
      <c r="P1350" s="87">
        <v>75.78224</v>
      </c>
      <c r="Q1350" s="87">
        <v>75.78224</v>
      </c>
      <c r="R1350" s="87">
        <v>75.78224</v>
      </c>
      <c r="S1350" s="87">
        <v>75.78224</v>
      </c>
      <c r="T1350" s="87">
        <v>75.78224</v>
      </c>
      <c r="U1350" s="87">
        <v>75.78224</v>
      </c>
      <c r="V1350" s="87">
        <v>75.78224</v>
      </c>
      <c r="W1350" s="87">
        <v>75.78224</v>
      </c>
      <c r="X1350" s="87">
        <v>75.78224</v>
      </c>
      <c r="Y1350" s="87">
        <v>75.78224</v>
      </c>
      <c r="Z1350" s="87">
        <v>0.0</v>
      </c>
      <c r="AA1350" s="87">
        <v>39.94954</v>
      </c>
      <c r="AB1350" s="87">
        <v>22.09442</v>
      </c>
      <c r="AC1350" s="87">
        <v>51.77949</v>
      </c>
      <c r="AD1350" s="87">
        <v>28.51618</v>
      </c>
      <c r="AE1350" s="87">
        <v>34.31228</v>
      </c>
      <c r="AF1350" s="87">
        <v>40.67634</v>
      </c>
      <c r="AG1350" s="87">
        <v>62.40713</v>
      </c>
      <c r="AH1350" s="87">
        <v>0.0</v>
      </c>
      <c r="AI1350" s="87">
        <v>20.07944</v>
      </c>
      <c r="AJ1350" s="87">
        <v>16.00153</v>
      </c>
      <c r="AK1350" s="87">
        <v>3.981012</v>
      </c>
      <c r="AL1350" s="88" t="s">
        <v>1396</v>
      </c>
    </row>
    <row r="1351">
      <c r="A1351" s="84" t="s">
        <v>3176</v>
      </c>
      <c r="B1351" s="84" t="s">
        <v>3190</v>
      </c>
      <c r="C1351" s="84" t="s">
        <v>3174</v>
      </c>
      <c r="D1351" s="84" t="s">
        <v>3189</v>
      </c>
      <c r="E1351" s="86">
        <v>46310.0</v>
      </c>
      <c r="F1351" s="87">
        <v>7.0</v>
      </c>
      <c r="G1351" s="87">
        <v>0.0</v>
      </c>
      <c r="H1351" s="87">
        <v>2954.0</v>
      </c>
      <c r="I1351" s="87">
        <v>0.0</v>
      </c>
      <c r="J1351" s="87">
        <v>389.5733</v>
      </c>
      <c r="K1351" s="87">
        <v>362.4564</v>
      </c>
      <c r="L1351" s="87">
        <v>330.4418</v>
      </c>
      <c r="M1351" s="87">
        <v>312.7944</v>
      </c>
      <c r="N1351" s="87">
        <v>0.862985</v>
      </c>
      <c r="O1351" s="87">
        <v>0.0</v>
      </c>
      <c r="P1351" s="87">
        <v>0.0</v>
      </c>
      <c r="Q1351" s="87">
        <v>1.0</v>
      </c>
      <c r="R1351" s="87">
        <v>20.07944</v>
      </c>
      <c r="S1351" s="87">
        <v>28.58255</v>
      </c>
      <c r="T1351" s="87">
        <v>1.0</v>
      </c>
      <c r="U1351" s="87">
        <v>20.07944</v>
      </c>
      <c r="V1351" s="87">
        <v>20.07944</v>
      </c>
      <c r="W1351" s="87">
        <v>28.58255</v>
      </c>
      <c r="X1351" s="87">
        <v>122.4673</v>
      </c>
      <c r="Y1351" s="87">
        <v>51.77949</v>
      </c>
      <c r="Z1351" s="87">
        <v>0.0</v>
      </c>
      <c r="AA1351" s="87">
        <v>39.94954</v>
      </c>
      <c r="AB1351" s="87">
        <v>22.09442</v>
      </c>
      <c r="AC1351" s="87">
        <v>51.77949</v>
      </c>
      <c r="AD1351" s="87">
        <v>9.781058</v>
      </c>
      <c r="AE1351" s="87">
        <v>21.15723</v>
      </c>
      <c r="AF1351" s="87">
        <v>45.22139</v>
      </c>
      <c r="AG1351" s="87">
        <v>51.77949</v>
      </c>
      <c r="AH1351" s="87">
        <v>0.0</v>
      </c>
      <c r="AI1351" s="87">
        <v>20.07944</v>
      </c>
      <c r="AJ1351" s="87">
        <v>16.00153</v>
      </c>
      <c r="AK1351" s="87">
        <v>3.981012</v>
      </c>
      <c r="AL1351" s="88" t="s">
        <v>1396</v>
      </c>
    </row>
    <row r="1352">
      <c r="A1352" s="84" t="s">
        <v>3178</v>
      </c>
      <c r="B1352" s="84" t="s">
        <v>3191</v>
      </c>
      <c r="C1352" s="84" t="s">
        <v>3174</v>
      </c>
      <c r="D1352" s="84" t="s">
        <v>3189</v>
      </c>
      <c r="E1352" s="84" t="s">
        <v>1413</v>
      </c>
      <c r="F1352" s="87">
        <v>4.0</v>
      </c>
      <c r="G1352" s="87">
        <v>0.0</v>
      </c>
      <c r="H1352" s="87">
        <v>4588.0</v>
      </c>
      <c r="I1352" s="87">
        <v>0.0</v>
      </c>
      <c r="J1352" s="87">
        <v>44.56243</v>
      </c>
      <c r="K1352" s="87">
        <v>40.80959</v>
      </c>
      <c r="L1352" s="87">
        <v>42.22513</v>
      </c>
      <c r="M1352" s="87">
        <v>28.33488</v>
      </c>
      <c r="N1352" s="87">
        <v>0.694319</v>
      </c>
      <c r="O1352" s="87">
        <v>0.0</v>
      </c>
      <c r="P1352" s="87">
        <v>0.0</v>
      </c>
      <c r="Q1352" s="87">
        <v>3.366004</v>
      </c>
      <c r="R1352" s="87">
        <v>9.108703</v>
      </c>
      <c r="S1352" s="87">
        <v>9.108703</v>
      </c>
      <c r="T1352" s="87">
        <v>3.366004</v>
      </c>
      <c r="U1352" s="87">
        <v>3.366004</v>
      </c>
      <c r="V1352" s="87">
        <v>3.366004</v>
      </c>
      <c r="W1352" s="87">
        <v>9.108703</v>
      </c>
      <c r="X1352" s="87">
        <v>28.33488</v>
      </c>
      <c r="Y1352" s="87">
        <v>10.2024</v>
      </c>
      <c r="Z1352" s="87">
        <v>0.0</v>
      </c>
      <c r="AA1352" s="87">
        <v>39.94954</v>
      </c>
      <c r="AB1352" s="87">
        <v>22.09442</v>
      </c>
      <c r="AC1352" s="87">
        <v>51.77949</v>
      </c>
      <c r="AD1352" s="87">
        <v>4.89568</v>
      </c>
      <c r="AE1352" s="87">
        <v>9.108703</v>
      </c>
      <c r="AF1352" s="87">
        <v>31.84714</v>
      </c>
      <c r="AG1352" s="87">
        <v>10.2024</v>
      </c>
      <c r="AH1352" s="87">
        <v>0.0</v>
      </c>
      <c r="AI1352" s="87">
        <v>20.07944</v>
      </c>
      <c r="AJ1352" s="87">
        <v>16.00153</v>
      </c>
      <c r="AK1352" s="87">
        <v>3.981012</v>
      </c>
      <c r="AL1352" s="88" t="s">
        <v>1396</v>
      </c>
    </row>
    <row r="1353">
      <c r="A1353" s="84" t="s">
        <v>3180</v>
      </c>
      <c r="B1353" s="84" t="s">
        <v>3192</v>
      </c>
      <c r="C1353" s="84" t="s">
        <v>3174</v>
      </c>
      <c r="D1353" s="84" t="s">
        <v>3189</v>
      </c>
      <c r="E1353" s="84" t="s">
        <v>1398</v>
      </c>
      <c r="F1353" s="87">
        <v>2.0</v>
      </c>
      <c r="G1353" s="87">
        <v>0.0</v>
      </c>
      <c r="H1353" s="87">
        <v>376.0</v>
      </c>
      <c r="I1353" s="87">
        <v>0.0</v>
      </c>
      <c r="J1353" s="87">
        <v>7.846898</v>
      </c>
      <c r="K1353" s="87">
        <v>8.489856</v>
      </c>
      <c r="L1353" s="87">
        <v>9.204218</v>
      </c>
      <c r="M1353" s="87">
        <v>8.489856</v>
      </c>
      <c r="N1353" s="87">
        <v>1.0</v>
      </c>
      <c r="O1353" s="87">
        <v>0.0</v>
      </c>
      <c r="P1353" s="87">
        <v>0.0</v>
      </c>
      <c r="Q1353" s="87">
        <v>0.0</v>
      </c>
      <c r="R1353" s="87">
        <v>8.489856</v>
      </c>
      <c r="S1353" s="87">
        <v>8.489856</v>
      </c>
      <c r="T1353" s="87">
        <v>8.489856</v>
      </c>
      <c r="U1353" s="87">
        <v>8.489856</v>
      </c>
      <c r="V1353" s="87">
        <v>8.489856</v>
      </c>
      <c r="W1353" s="87">
        <v>8.489856</v>
      </c>
      <c r="X1353" s="87">
        <v>8.489856</v>
      </c>
      <c r="Y1353" s="87">
        <v>4.244928</v>
      </c>
      <c r="Z1353" s="87">
        <v>0.0</v>
      </c>
      <c r="AA1353" s="87">
        <v>39.94954</v>
      </c>
      <c r="AB1353" s="87">
        <v>22.09442</v>
      </c>
      <c r="AC1353" s="87">
        <v>51.77949</v>
      </c>
      <c r="AD1353" s="87">
        <v>0.5</v>
      </c>
      <c r="AE1353" s="87">
        <v>11.52403</v>
      </c>
      <c r="AF1353" s="87">
        <v>10.86627</v>
      </c>
      <c r="AG1353" s="87">
        <v>4.244928</v>
      </c>
      <c r="AH1353" s="87">
        <v>0.0</v>
      </c>
      <c r="AI1353" s="87">
        <v>20.07944</v>
      </c>
      <c r="AJ1353" s="87">
        <v>16.00153</v>
      </c>
      <c r="AK1353" s="87">
        <v>3.981012</v>
      </c>
      <c r="AL1353" s="88" t="s">
        <v>1396</v>
      </c>
    </row>
    <row r="1354">
      <c r="A1354" s="84" t="s">
        <v>3184</v>
      </c>
      <c r="B1354" s="84" t="s">
        <v>3193</v>
      </c>
      <c r="C1354" s="84" t="s">
        <v>3174</v>
      </c>
      <c r="D1354" s="84" t="s">
        <v>3189</v>
      </c>
      <c r="E1354" s="89">
        <v>46300.0</v>
      </c>
      <c r="F1354" s="87">
        <v>4.0</v>
      </c>
      <c r="G1354" s="87">
        <v>0.0</v>
      </c>
      <c r="H1354" s="87">
        <v>21405.0</v>
      </c>
      <c r="I1354" s="87">
        <v>0.0</v>
      </c>
      <c r="J1354" s="87">
        <v>297.7909</v>
      </c>
      <c r="K1354" s="87">
        <v>285.7665</v>
      </c>
      <c r="L1354" s="87">
        <v>288.4441</v>
      </c>
      <c r="M1354" s="87">
        <v>152.3839</v>
      </c>
      <c r="N1354" s="87">
        <v>0.533246</v>
      </c>
      <c r="O1354" s="87">
        <v>39.94954</v>
      </c>
      <c r="P1354" s="87">
        <v>39.94954</v>
      </c>
      <c r="Q1354" s="87">
        <v>43.1051</v>
      </c>
      <c r="R1354" s="87">
        <v>50.32801</v>
      </c>
      <c r="S1354" s="87">
        <v>50.32801</v>
      </c>
      <c r="T1354" s="87">
        <v>39.94954</v>
      </c>
      <c r="U1354" s="87">
        <v>39.94954</v>
      </c>
      <c r="V1354" s="87">
        <v>43.1051</v>
      </c>
      <c r="W1354" s="87">
        <v>50.32801</v>
      </c>
      <c r="X1354" s="87">
        <v>50.32801</v>
      </c>
      <c r="Y1354" s="87">
        <v>71.44163</v>
      </c>
      <c r="Z1354" s="87">
        <v>0.0</v>
      </c>
      <c r="AA1354" s="87">
        <v>39.94954</v>
      </c>
      <c r="AB1354" s="87">
        <v>22.09442</v>
      </c>
      <c r="AC1354" s="87">
        <v>51.77949</v>
      </c>
      <c r="AD1354" s="87">
        <v>1.0</v>
      </c>
      <c r="AE1354" s="87">
        <v>50.32801</v>
      </c>
      <c r="AF1354" s="87">
        <v>36.41712</v>
      </c>
      <c r="AG1354" s="87">
        <v>62.46866</v>
      </c>
      <c r="AH1354" s="87">
        <v>0.0</v>
      </c>
      <c r="AI1354" s="87">
        <v>20.07944</v>
      </c>
      <c r="AJ1354" s="87">
        <v>16.00153</v>
      </c>
      <c r="AK1354" s="87">
        <v>3.981012</v>
      </c>
      <c r="AL1354" s="88" t="s">
        <v>1396</v>
      </c>
    </row>
    <row r="1355">
      <c r="A1355" s="84" t="s">
        <v>3186</v>
      </c>
      <c r="B1355" s="84" t="s">
        <v>3194</v>
      </c>
      <c r="C1355" s="84" t="s">
        <v>3174</v>
      </c>
      <c r="D1355" s="84" t="s">
        <v>3189</v>
      </c>
      <c r="E1355" s="84" t="s">
        <v>1403</v>
      </c>
      <c r="F1355" s="87">
        <v>17.0</v>
      </c>
      <c r="G1355" s="87">
        <v>1.0</v>
      </c>
      <c r="H1355" s="87">
        <v>34.0</v>
      </c>
      <c r="I1355" s="87">
        <v>34.0</v>
      </c>
      <c r="J1355" s="87">
        <v>0.0</v>
      </c>
      <c r="K1355" s="87">
        <v>0.0</v>
      </c>
      <c r="L1355" s="87">
        <v>0.0</v>
      </c>
      <c r="M1355" s="87">
        <v>0.0</v>
      </c>
      <c r="N1355" s="87">
        <v>0.0</v>
      </c>
      <c r="O1355" s="87">
        <v>0.0</v>
      </c>
      <c r="P1355" s="87">
        <v>0.0</v>
      </c>
      <c r="Q1355" s="87">
        <v>0.0</v>
      </c>
      <c r="R1355" s="87">
        <v>0.0</v>
      </c>
      <c r="S1355" s="87">
        <v>0.0</v>
      </c>
      <c r="T1355" s="87">
        <v>0.0</v>
      </c>
      <c r="U1355" s="87">
        <v>0.0</v>
      </c>
      <c r="V1355" s="87">
        <v>0.0</v>
      </c>
      <c r="W1355" s="87">
        <v>0.0</v>
      </c>
      <c r="X1355" s="87">
        <v>0.0</v>
      </c>
      <c r="Y1355" s="87">
        <v>0.0</v>
      </c>
      <c r="Z1355" s="87">
        <v>0.0</v>
      </c>
      <c r="AA1355" s="87">
        <v>39.94954</v>
      </c>
      <c r="AB1355" s="87">
        <v>22.09442</v>
      </c>
      <c r="AC1355" s="87">
        <v>51.77949</v>
      </c>
      <c r="AD1355" s="87">
        <v>0.0</v>
      </c>
      <c r="AE1355" s="87">
        <v>0.0</v>
      </c>
      <c r="AF1355" s="87">
        <v>0.0</v>
      </c>
      <c r="AG1355" s="87">
        <v>0.0</v>
      </c>
      <c r="AH1355" s="87">
        <v>0.0</v>
      </c>
      <c r="AI1355" s="87">
        <v>20.07944</v>
      </c>
      <c r="AJ1355" s="87">
        <v>16.00153</v>
      </c>
      <c r="AK1355" s="87">
        <v>3.981012</v>
      </c>
      <c r="AL1355" s="88" t="s">
        <v>1396</v>
      </c>
    </row>
    <row r="1356">
      <c r="A1356" s="84" t="s">
        <v>3172</v>
      </c>
      <c r="B1356" s="84" t="s">
        <v>3195</v>
      </c>
      <c r="C1356" s="84" t="s">
        <v>3174</v>
      </c>
      <c r="D1356" s="84" t="s">
        <v>3196</v>
      </c>
      <c r="E1356" s="84" t="s">
        <v>1426</v>
      </c>
      <c r="F1356" s="87">
        <v>1.0</v>
      </c>
      <c r="G1356" s="87">
        <v>0.0</v>
      </c>
      <c r="H1356" s="87">
        <v>0.0</v>
      </c>
      <c r="I1356" s="87">
        <v>0.0</v>
      </c>
      <c r="J1356" s="87">
        <v>0.0</v>
      </c>
      <c r="K1356" s="87">
        <v>0.0</v>
      </c>
      <c r="L1356" s="87">
        <v>0.0</v>
      </c>
      <c r="M1356" s="87">
        <v>0.0</v>
      </c>
      <c r="N1356" s="87">
        <v>0.0</v>
      </c>
      <c r="O1356" s="87">
        <v>0.0</v>
      </c>
      <c r="P1356" s="87">
        <v>0.0</v>
      </c>
      <c r="Q1356" s="87">
        <v>0.0</v>
      </c>
      <c r="R1356" s="87">
        <v>0.0</v>
      </c>
      <c r="S1356" s="87">
        <v>0.0</v>
      </c>
      <c r="T1356" s="87">
        <v>0.0</v>
      </c>
      <c r="U1356" s="87">
        <v>0.0</v>
      </c>
      <c r="V1356" s="87">
        <v>0.0</v>
      </c>
      <c r="W1356" s="87">
        <v>0.0</v>
      </c>
      <c r="X1356" s="87">
        <v>0.0</v>
      </c>
      <c r="Y1356" s="87">
        <v>0.0</v>
      </c>
      <c r="Z1356" s="87">
        <v>0.0</v>
      </c>
      <c r="AA1356" s="87">
        <v>36.07546</v>
      </c>
      <c r="AB1356" s="87">
        <v>23.86186</v>
      </c>
      <c r="AC1356" s="87">
        <v>2.537341</v>
      </c>
      <c r="AD1356" s="87">
        <v>28.51618</v>
      </c>
      <c r="AE1356" s="87">
        <v>34.31228</v>
      </c>
      <c r="AF1356" s="87">
        <v>40.67634</v>
      </c>
      <c r="AG1356" s="87">
        <v>62.40713</v>
      </c>
      <c r="AH1356" s="87">
        <v>0.0</v>
      </c>
      <c r="AI1356" s="87">
        <v>20.07944</v>
      </c>
      <c r="AJ1356" s="87">
        <v>16.00153</v>
      </c>
      <c r="AK1356" s="87">
        <v>3.981012</v>
      </c>
      <c r="AL1356" s="88" t="s">
        <v>1396</v>
      </c>
    </row>
    <row r="1357">
      <c r="A1357" s="84" t="s">
        <v>3176</v>
      </c>
      <c r="B1357" s="84" t="s">
        <v>3197</v>
      </c>
      <c r="C1357" s="84" t="s">
        <v>3174</v>
      </c>
      <c r="D1357" s="84" t="s">
        <v>3196</v>
      </c>
      <c r="E1357" s="86">
        <v>46310.0</v>
      </c>
      <c r="F1357" s="87">
        <v>7.0</v>
      </c>
      <c r="G1357" s="87">
        <v>0.0</v>
      </c>
      <c r="H1357" s="87">
        <v>13174.0</v>
      </c>
      <c r="I1357" s="87">
        <v>0.0</v>
      </c>
      <c r="J1357" s="87">
        <v>464.8271</v>
      </c>
      <c r="K1357" s="87">
        <v>468.5907</v>
      </c>
      <c r="L1357" s="87">
        <v>486.3473</v>
      </c>
      <c r="M1357" s="87">
        <v>372.9437</v>
      </c>
      <c r="N1357" s="87">
        <v>0.795884</v>
      </c>
      <c r="O1357" s="87">
        <v>0.0</v>
      </c>
      <c r="P1357" s="87">
        <v>7.926728</v>
      </c>
      <c r="Q1357" s="87">
        <v>8.374597</v>
      </c>
      <c r="R1357" s="87">
        <v>31.19905</v>
      </c>
      <c r="S1357" s="87">
        <v>48.14662</v>
      </c>
      <c r="T1357" s="87">
        <v>7.926728</v>
      </c>
      <c r="U1357" s="87">
        <v>8.374597</v>
      </c>
      <c r="V1357" s="87">
        <v>8.374597</v>
      </c>
      <c r="W1357" s="87">
        <v>48.14662</v>
      </c>
      <c r="X1357" s="87">
        <v>108.917</v>
      </c>
      <c r="Y1357" s="87">
        <v>66.94153</v>
      </c>
      <c r="Z1357" s="87">
        <v>0.0</v>
      </c>
      <c r="AA1357" s="87">
        <v>36.07546</v>
      </c>
      <c r="AB1357" s="87">
        <v>23.86186</v>
      </c>
      <c r="AC1357" s="87">
        <v>2.537341</v>
      </c>
      <c r="AD1357" s="87">
        <v>9.781058</v>
      </c>
      <c r="AE1357" s="87">
        <v>21.15723</v>
      </c>
      <c r="AF1357" s="87">
        <v>45.22139</v>
      </c>
      <c r="AG1357" s="87">
        <v>51.77949</v>
      </c>
      <c r="AH1357" s="87">
        <v>0.0</v>
      </c>
      <c r="AI1357" s="87">
        <v>20.07944</v>
      </c>
      <c r="AJ1357" s="87">
        <v>16.00153</v>
      </c>
      <c r="AK1357" s="87">
        <v>3.981012</v>
      </c>
      <c r="AL1357" s="88" t="s">
        <v>1396</v>
      </c>
    </row>
    <row r="1358">
      <c r="A1358" s="84" t="s">
        <v>3178</v>
      </c>
      <c r="B1358" s="84" t="s">
        <v>3198</v>
      </c>
      <c r="C1358" s="84" t="s">
        <v>3174</v>
      </c>
      <c r="D1358" s="84" t="s">
        <v>3196</v>
      </c>
      <c r="E1358" s="84" t="s">
        <v>1413</v>
      </c>
      <c r="F1358" s="87">
        <v>4.0</v>
      </c>
      <c r="G1358" s="87">
        <v>0.0</v>
      </c>
      <c r="H1358" s="87">
        <v>2113.0</v>
      </c>
      <c r="I1358" s="87">
        <v>0.0</v>
      </c>
      <c r="J1358" s="87">
        <v>308.9093</v>
      </c>
      <c r="K1358" s="87">
        <v>335.0011</v>
      </c>
      <c r="L1358" s="87">
        <v>318.6379</v>
      </c>
      <c r="M1358" s="87">
        <v>300.5342</v>
      </c>
      <c r="N1358" s="87">
        <v>0.897114</v>
      </c>
      <c r="O1358" s="87">
        <v>0.0</v>
      </c>
      <c r="P1358" s="87">
        <v>0.0</v>
      </c>
      <c r="Q1358" s="87">
        <v>6.254751</v>
      </c>
      <c r="R1358" s="87">
        <v>28.21212</v>
      </c>
      <c r="S1358" s="87">
        <v>28.21212</v>
      </c>
      <c r="T1358" s="87">
        <v>6.254751</v>
      </c>
      <c r="U1358" s="87">
        <v>6.254751</v>
      </c>
      <c r="V1358" s="87">
        <v>6.254751</v>
      </c>
      <c r="W1358" s="87">
        <v>28.21212</v>
      </c>
      <c r="X1358" s="87">
        <v>300.5342</v>
      </c>
      <c r="Y1358" s="87">
        <v>83.75026</v>
      </c>
      <c r="Z1358" s="87">
        <v>0.0</v>
      </c>
      <c r="AA1358" s="87">
        <v>36.07546</v>
      </c>
      <c r="AB1358" s="87">
        <v>23.86186</v>
      </c>
      <c r="AC1358" s="87">
        <v>2.537341</v>
      </c>
      <c r="AD1358" s="87">
        <v>4.89568</v>
      </c>
      <c r="AE1358" s="87">
        <v>9.108703</v>
      </c>
      <c r="AF1358" s="87">
        <v>31.84714</v>
      </c>
      <c r="AG1358" s="87">
        <v>10.2024</v>
      </c>
      <c r="AH1358" s="87">
        <v>0.0</v>
      </c>
      <c r="AI1358" s="87">
        <v>20.07944</v>
      </c>
      <c r="AJ1358" s="87">
        <v>16.00153</v>
      </c>
      <c r="AK1358" s="87">
        <v>3.981012</v>
      </c>
      <c r="AL1358" s="88" t="s">
        <v>1396</v>
      </c>
    </row>
    <row r="1359">
      <c r="A1359" s="84" t="s">
        <v>3180</v>
      </c>
      <c r="B1359" s="84" t="s">
        <v>3199</v>
      </c>
      <c r="C1359" s="84" t="s">
        <v>3174</v>
      </c>
      <c r="D1359" s="84" t="s">
        <v>3196</v>
      </c>
      <c r="E1359" s="84" t="s">
        <v>1398</v>
      </c>
      <c r="F1359" s="87">
        <v>3.0</v>
      </c>
      <c r="G1359" s="87">
        <v>0.0</v>
      </c>
      <c r="H1359" s="87">
        <v>4164.0</v>
      </c>
      <c r="I1359" s="87">
        <v>0.0</v>
      </c>
      <c r="J1359" s="87">
        <v>86.32956</v>
      </c>
      <c r="K1359" s="87">
        <v>98.08417</v>
      </c>
      <c r="L1359" s="87">
        <v>99.86357</v>
      </c>
      <c r="M1359" s="87">
        <v>62.00871</v>
      </c>
      <c r="N1359" s="87">
        <v>0.632199</v>
      </c>
      <c r="O1359" s="87">
        <v>0.0</v>
      </c>
      <c r="P1359" s="87">
        <v>0.0</v>
      </c>
      <c r="Q1359" s="87">
        <v>0.0</v>
      </c>
      <c r="R1359" s="87">
        <v>36.07546</v>
      </c>
      <c r="S1359" s="87">
        <v>62.00871</v>
      </c>
      <c r="T1359" s="87">
        <v>36.07546</v>
      </c>
      <c r="U1359" s="87">
        <v>36.07546</v>
      </c>
      <c r="V1359" s="87">
        <v>36.07546</v>
      </c>
      <c r="W1359" s="87">
        <v>62.00871</v>
      </c>
      <c r="X1359" s="87">
        <v>62.00871</v>
      </c>
      <c r="Y1359" s="87">
        <v>32.69472</v>
      </c>
      <c r="Z1359" s="87">
        <v>0.0</v>
      </c>
      <c r="AA1359" s="87">
        <v>36.07546</v>
      </c>
      <c r="AB1359" s="87">
        <v>23.86186</v>
      </c>
      <c r="AC1359" s="87">
        <v>2.537341</v>
      </c>
      <c r="AD1359" s="87">
        <v>0.5</v>
      </c>
      <c r="AE1359" s="87">
        <v>11.52403</v>
      </c>
      <c r="AF1359" s="87">
        <v>10.86627</v>
      </c>
      <c r="AG1359" s="87">
        <v>4.244928</v>
      </c>
      <c r="AH1359" s="87">
        <v>0.0</v>
      </c>
      <c r="AI1359" s="87">
        <v>20.07944</v>
      </c>
      <c r="AJ1359" s="87">
        <v>16.00153</v>
      </c>
      <c r="AK1359" s="87">
        <v>3.981012</v>
      </c>
      <c r="AL1359" s="88" t="s">
        <v>1396</v>
      </c>
    </row>
    <row r="1360">
      <c r="A1360" s="84" t="s">
        <v>3182</v>
      </c>
      <c r="B1360" s="84" t="s">
        <v>3200</v>
      </c>
      <c r="C1360" s="84" t="s">
        <v>3174</v>
      </c>
      <c r="D1360" s="84" t="s">
        <v>3196</v>
      </c>
      <c r="E1360" s="84" t="s">
        <v>1400</v>
      </c>
      <c r="F1360" s="87">
        <v>2.0</v>
      </c>
      <c r="G1360" s="87">
        <v>0.0</v>
      </c>
      <c r="H1360" s="87">
        <v>747.0</v>
      </c>
      <c r="I1360" s="87">
        <v>0.0</v>
      </c>
      <c r="J1360" s="87">
        <v>6.093362</v>
      </c>
      <c r="K1360" s="87">
        <v>5.074681</v>
      </c>
      <c r="L1360" s="87">
        <v>5.832089</v>
      </c>
      <c r="M1360" s="87">
        <v>5.074681</v>
      </c>
      <c r="N1360" s="87">
        <v>1.0</v>
      </c>
      <c r="O1360" s="87">
        <v>0.0</v>
      </c>
      <c r="P1360" s="87">
        <v>0.0</v>
      </c>
      <c r="Q1360" s="87">
        <v>0.0</v>
      </c>
      <c r="R1360" s="87">
        <v>5.074681</v>
      </c>
      <c r="S1360" s="87">
        <v>5.074681</v>
      </c>
      <c r="T1360" s="87">
        <v>5.074681</v>
      </c>
      <c r="U1360" s="87">
        <v>5.074681</v>
      </c>
      <c r="V1360" s="87">
        <v>5.074681</v>
      </c>
      <c r="W1360" s="87">
        <v>5.074681</v>
      </c>
      <c r="X1360" s="87">
        <v>5.074681</v>
      </c>
      <c r="Y1360" s="87">
        <v>2.537341</v>
      </c>
      <c r="Z1360" s="87">
        <v>0.0</v>
      </c>
      <c r="AA1360" s="87">
        <v>36.07546</v>
      </c>
      <c r="AB1360" s="87">
        <v>23.86186</v>
      </c>
      <c r="AC1360" s="87">
        <v>2.537341</v>
      </c>
      <c r="AD1360" s="87">
        <v>2.534196</v>
      </c>
      <c r="AE1360" s="87">
        <v>5.074681</v>
      </c>
      <c r="AF1360" s="87">
        <v>3.568535</v>
      </c>
      <c r="AG1360" s="87">
        <v>3.981012</v>
      </c>
      <c r="AH1360" s="87">
        <v>0.0</v>
      </c>
      <c r="AI1360" s="87">
        <v>20.07944</v>
      </c>
      <c r="AJ1360" s="87">
        <v>16.00153</v>
      </c>
      <c r="AK1360" s="87">
        <v>3.981012</v>
      </c>
      <c r="AL1360" s="88" t="s">
        <v>1396</v>
      </c>
    </row>
    <row r="1361">
      <c r="A1361" s="84" t="s">
        <v>3184</v>
      </c>
      <c r="B1361" s="84" t="s">
        <v>3201</v>
      </c>
      <c r="C1361" s="84" t="s">
        <v>3174</v>
      </c>
      <c r="D1361" s="84" t="s">
        <v>3196</v>
      </c>
      <c r="E1361" s="89">
        <v>46300.0</v>
      </c>
      <c r="F1361" s="87">
        <v>3.0</v>
      </c>
      <c r="G1361" s="87">
        <v>0.0</v>
      </c>
      <c r="H1361" s="87">
        <v>0.0</v>
      </c>
      <c r="I1361" s="87">
        <v>0.0</v>
      </c>
      <c r="J1361" s="87">
        <v>0.0</v>
      </c>
      <c r="K1361" s="87">
        <v>0.0</v>
      </c>
      <c r="L1361" s="87">
        <v>0.0</v>
      </c>
      <c r="M1361" s="87">
        <v>0.0</v>
      </c>
      <c r="N1361" s="87">
        <v>0.0</v>
      </c>
      <c r="O1361" s="87">
        <v>0.0</v>
      </c>
      <c r="P1361" s="87">
        <v>0.0</v>
      </c>
      <c r="Q1361" s="87">
        <v>0.0</v>
      </c>
      <c r="R1361" s="87">
        <v>0.0</v>
      </c>
      <c r="S1361" s="87">
        <v>0.0</v>
      </c>
      <c r="T1361" s="87">
        <v>0.0</v>
      </c>
      <c r="U1361" s="87">
        <v>0.0</v>
      </c>
      <c r="V1361" s="87">
        <v>0.0</v>
      </c>
      <c r="W1361" s="87">
        <v>0.0</v>
      </c>
      <c r="X1361" s="87">
        <v>0.0</v>
      </c>
      <c r="Y1361" s="87">
        <v>0.0</v>
      </c>
      <c r="Z1361" s="87">
        <v>0.0</v>
      </c>
      <c r="AA1361" s="87">
        <v>36.07546</v>
      </c>
      <c r="AB1361" s="87">
        <v>23.86186</v>
      </c>
      <c r="AC1361" s="87">
        <v>2.537341</v>
      </c>
      <c r="AD1361" s="87">
        <v>1.0</v>
      </c>
      <c r="AE1361" s="87">
        <v>50.32801</v>
      </c>
      <c r="AF1361" s="87">
        <v>36.41712</v>
      </c>
      <c r="AG1361" s="87">
        <v>62.46866</v>
      </c>
      <c r="AH1361" s="87">
        <v>0.0</v>
      </c>
      <c r="AI1361" s="87">
        <v>20.07944</v>
      </c>
      <c r="AJ1361" s="87">
        <v>16.00153</v>
      </c>
      <c r="AK1361" s="87">
        <v>3.981012</v>
      </c>
      <c r="AL1361" s="88" t="s">
        <v>1396</v>
      </c>
    </row>
    <row r="1362">
      <c r="A1362" s="84" t="s">
        <v>3186</v>
      </c>
      <c r="B1362" s="84" t="s">
        <v>3202</v>
      </c>
      <c r="C1362" s="84" t="s">
        <v>3174</v>
      </c>
      <c r="D1362" s="84" t="s">
        <v>3196</v>
      </c>
      <c r="E1362" s="84" t="s">
        <v>1403</v>
      </c>
      <c r="F1362" s="87">
        <v>18.0</v>
      </c>
      <c r="G1362" s="87">
        <v>3.0</v>
      </c>
      <c r="H1362" s="87">
        <v>257.0</v>
      </c>
      <c r="I1362" s="87">
        <v>257.0</v>
      </c>
      <c r="J1362" s="87">
        <v>0.0</v>
      </c>
      <c r="K1362" s="87">
        <v>0.0</v>
      </c>
      <c r="L1362" s="87">
        <v>0.0</v>
      </c>
      <c r="M1362" s="87">
        <v>0.0</v>
      </c>
      <c r="N1362" s="87">
        <v>0.0</v>
      </c>
      <c r="O1362" s="87">
        <v>0.0</v>
      </c>
      <c r="P1362" s="87">
        <v>0.0</v>
      </c>
      <c r="Q1362" s="87">
        <v>0.0</v>
      </c>
      <c r="R1362" s="87">
        <v>0.0</v>
      </c>
      <c r="S1362" s="87">
        <v>0.0</v>
      </c>
      <c r="T1362" s="87">
        <v>0.0</v>
      </c>
      <c r="U1362" s="87">
        <v>0.0</v>
      </c>
      <c r="V1362" s="87">
        <v>0.0</v>
      </c>
      <c r="W1362" s="87">
        <v>0.0</v>
      </c>
      <c r="X1362" s="87">
        <v>0.0</v>
      </c>
      <c r="Y1362" s="87">
        <v>0.0</v>
      </c>
      <c r="Z1362" s="87">
        <v>0.0</v>
      </c>
      <c r="AA1362" s="87">
        <v>36.07546</v>
      </c>
      <c r="AB1362" s="87">
        <v>23.86186</v>
      </c>
      <c r="AC1362" s="87">
        <v>2.537341</v>
      </c>
      <c r="AD1362" s="87">
        <v>0.0</v>
      </c>
      <c r="AE1362" s="87">
        <v>0.0</v>
      </c>
      <c r="AF1362" s="87">
        <v>0.0</v>
      </c>
      <c r="AG1362" s="87">
        <v>0.0</v>
      </c>
      <c r="AH1362" s="87">
        <v>0.0</v>
      </c>
      <c r="AI1362" s="87">
        <v>20.07944</v>
      </c>
      <c r="AJ1362" s="87">
        <v>16.00153</v>
      </c>
      <c r="AK1362" s="87">
        <v>3.981012</v>
      </c>
      <c r="AL1362" s="88" t="s">
        <v>1396</v>
      </c>
    </row>
    <row r="1363">
      <c r="A1363" s="84" t="s">
        <v>3172</v>
      </c>
      <c r="B1363" s="84" t="s">
        <v>1458</v>
      </c>
      <c r="C1363" s="84" t="s">
        <v>3174</v>
      </c>
      <c r="D1363" s="84" t="s">
        <v>1459</v>
      </c>
      <c r="E1363" s="84" t="s">
        <v>1426</v>
      </c>
      <c r="F1363" s="87">
        <v>2.0</v>
      </c>
      <c r="G1363" s="87">
        <v>0.0</v>
      </c>
      <c r="H1363" s="87">
        <v>0.0</v>
      </c>
      <c r="I1363" s="87">
        <v>0.0</v>
      </c>
      <c r="J1363" s="87">
        <v>0.0</v>
      </c>
      <c r="K1363" s="87">
        <v>0.0</v>
      </c>
      <c r="L1363" s="87">
        <v>0.0</v>
      </c>
      <c r="M1363" s="87">
        <v>0.0</v>
      </c>
      <c r="N1363" s="87">
        <v>0.0</v>
      </c>
      <c r="O1363" s="87">
        <v>0.0</v>
      </c>
      <c r="P1363" s="87">
        <v>0.0</v>
      </c>
      <c r="Q1363" s="87">
        <v>0.0</v>
      </c>
      <c r="R1363" s="87">
        <v>0.0</v>
      </c>
      <c r="S1363" s="87">
        <v>0.0</v>
      </c>
      <c r="T1363" s="87">
        <v>0.0</v>
      </c>
      <c r="U1363" s="87">
        <v>0.0</v>
      </c>
      <c r="V1363" s="87">
        <v>0.0</v>
      </c>
      <c r="W1363" s="87">
        <v>0.0</v>
      </c>
      <c r="X1363" s="87">
        <v>0.0</v>
      </c>
      <c r="Y1363" s="87">
        <v>0.0</v>
      </c>
      <c r="Z1363" s="87">
        <v>0.0</v>
      </c>
      <c r="AA1363" s="87">
        <v>3.050312</v>
      </c>
      <c r="AB1363" s="87">
        <v>3.624828</v>
      </c>
      <c r="AC1363" s="87">
        <v>0.0</v>
      </c>
      <c r="AD1363" s="87">
        <v>28.51618</v>
      </c>
      <c r="AE1363" s="87">
        <v>34.31228</v>
      </c>
      <c r="AF1363" s="87">
        <v>40.67634</v>
      </c>
      <c r="AG1363" s="87">
        <v>62.40713</v>
      </c>
      <c r="AH1363" s="87">
        <v>0.0</v>
      </c>
      <c r="AI1363" s="87">
        <v>20.07944</v>
      </c>
      <c r="AJ1363" s="87">
        <v>16.00153</v>
      </c>
      <c r="AK1363" s="87">
        <v>3.981012</v>
      </c>
      <c r="AL1363" s="88" t="s">
        <v>1396</v>
      </c>
    </row>
    <row r="1364">
      <c r="A1364" s="84" t="s">
        <v>3176</v>
      </c>
      <c r="B1364" s="84" t="s">
        <v>1460</v>
      </c>
      <c r="C1364" s="84" t="s">
        <v>3174</v>
      </c>
      <c r="D1364" s="84" t="s">
        <v>1459</v>
      </c>
      <c r="E1364" s="86">
        <v>46310.0</v>
      </c>
      <c r="F1364" s="87">
        <v>1.0</v>
      </c>
      <c r="G1364" s="87">
        <v>0.0</v>
      </c>
      <c r="H1364" s="87">
        <v>0.0</v>
      </c>
      <c r="I1364" s="87">
        <v>0.0</v>
      </c>
      <c r="J1364" s="87">
        <v>0.0</v>
      </c>
      <c r="K1364" s="87">
        <v>0.0</v>
      </c>
      <c r="L1364" s="87">
        <v>0.0</v>
      </c>
      <c r="M1364" s="87">
        <v>0.0</v>
      </c>
      <c r="N1364" s="87">
        <v>0.0</v>
      </c>
      <c r="O1364" s="87">
        <v>0.0</v>
      </c>
      <c r="P1364" s="87">
        <v>0.0</v>
      </c>
      <c r="Q1364" s="87">
        <v>0.0</v>
      </c>
      <c r="R1364" s="87">
        <v>0.0</v>
      </c>
      <c r="S1364" s="87">
        <v>0.0</v>
      </c>
      <c r="T1364" s="87">
        <v>0.0</v>
      </c>
      <c r="U1364" s="87">
        <v>0.0</v>
      </c>
      <c r="V1364" s="87">
        <v>0.0</v>
      </c>
      <c r="W1364" s="87">
        <v>0.0</v>
      </c>
      <c r="X1364" s="87">
        <v>0.0</v>
      </c>
      <c r="Y1364" s="87">
        <v>0.0</v>
      </c>
      <c r="Z1364" s="87">
        <v>0.0</v>
      </c>
      <c r="AA1364" s="87">
        <v>3.050312</v>
      </c>
      <c r="AB1364" s="87">
        <v>3.624828</v>
      </c>
      <c r="AC1364" s="87">
        <v>0.0</v>
      </c>
      <c r="AD1364" s="87">
        <v>9.781058</v>
      </c>
      <c r="AE1364" s="87">
        <v>21.15723</v>
      </c>
      <c r="AF1364" s="87">
        <v>45.22139</v>
      </c>
      <c r="AG1364" s="87">
        <v>51.77949</v>
      </c>
      <c r="AH1364" s="87">
        <v>0.0</v>
      </c>
      <c r="AI1364" s="87">
        <v>20.07944</v>
      </c>
      <c r="AJ1364" s="87">
        <v>16.00153</v>
      </c>
      <c r="AK1364" s="87">
        <v>3.981012</v>
      </c>
      <c r="AL1364" s="88" t="s">
        <v>1396</v>
      </c>
    </row>
    <row r="1365">
      <c r="A1365" s="84" t="s">
        <v>3178</v>
      </c>
      <c r="B1365" s="84" t="s">
        <v>1461</v>
      </c>
      <c r="C1365" s="84" t="s">
        <v>3174</v>
      </c>
      <c r="D1365" s="84" t="s">
        <v>1459</v>
      </c>
      <c r="E1365" s="84" t="s">
        <v>1413</v>
      </c>
      <c r="F1365" s="87">
        <v>1.0</v>
      </c>
      <c r="G1365" s="87">
        <v>0.0</v>
      </c>
      <c r="H1365" s="87">
        <v>0.0</v>
      </c>
      <c r="I1365" s="87">
        <v>0.0</v>
      </c>
      <c r="J1365" s="87">
        <v>0.0</v>
      </c>
      <c r="K1365" s="87">
        <v>0.0</v>
      </c>
      <c r="L1365" s="87">
        <v>0.0</v>
      </c>
      <c r="M1365" s="87">
        <v>0.0</v>
      </c>
      <c r="N1365" s="87">
        <v>0.0</v>
      </c>
      <c r="O1365" s="87">
        <v>0.0</v>
      </c>
      <c r="P1365" s="87">
        <v>0.0</v>
      </c>
      <c r="Q1365" s="87">
        <v>0.0</v>
      </c>
      <c r="R1365" s="87">
        <v>0.0</v>
      </c>
      <c r="S1365" s="87">
        <v>0.0</v>
      </c>
      <c r="T1365" s="87">
        <v>0.0</v>
      </c>
      <c r="U1365" s="87">
        <v>0.0</v>
      </c>
      <c r="V1365" s="87">
        <v>0.0</v>
      </c>
      <c r="W1365" s="87">
        <v>0.0</v>
      </c>
      <c r="X1365" s="87">
        <v>0.0</v>
      </c>
      <c r="Y1365" s="87">
        <v>0.0</v>
      </c>
      <c r="Z1365" s="87">
        <v>0.0</v>
      </c>
      <c r="AA1365" s="87">
        <v>3.050312</v>
      </c>
      <c r="AB1365" s="87">
        <v>3.624828</v>
      </c>
      <c r="AC1365" s="87">
        <v>0.0</v>
      </c>
      <c r="AD1365" s="87">
        <v>4.89568</v>
      </c>
      <c r="AE1365" s="87">
        <v>9.108703</v>
      </c>
      <c r="AF1365" s="87">
        <v>31.84714</v>
      </c>
      <c r="AG1365" s="87">
        <v>10.2024</v>
      </c>
      <c r="AH1365" s="87">
        <v>0.0</v>
      </c>
      <c r="AI1365" s="87">
        <v>20.07944</v>
      </c>
      <c r="AJ1365" s="87">
        <v>16.00153</v>
      </c>
      <c r="AK1365" s="87">
        <v>3.981012</v>
      </c>
      <c r="AL1365" s="88" t="s">
        <v>1396</v>
      </c>
    </row>
    <row r="1366">
      <c r="A1366" s="84" t="s">
        <v>3180</v>
      </c>
      <c r="B1366" s="84" t="s">
        <v>1462</v>
      </c>
      <c r="C1366" s="84" t="s">
        <v>3174</v>
      </c>
      <c r="D1366" s="84" t="s">
        <v>1459</v>
      </c>
      <c r="E1366" s="84" t="s">
        <v>1398</v>
      </c>
      <c r="F1366" s="87">
        <v>1.0</v>
      </c>
      <c r="G1366" s="87">
        <v>0.0</v>
      </c>
      <c r="H1366" s="87">
        <v>0.0</v>
      </c>
      <c r="I1366" s="87">
        <v>0.0</v>
      </c>
      <c r="J1366" s="87">
        <v>0.0</v>
      </c>
      <c r="K1366" s="87">
        <v>0.0</v>
      </c>
      <c r="L1366" s="87">
        <v>0.0</v>
      </c>
      <c r="M1366" s="87">
        <v>0.0</v>
      </c>
      <c r="N1366" s="87">
        <v>0.0</v>
      </c>
      <c r="O1366" s="87">
        <v>0.0</v>
      </c>
      <c r="P1366" s="87">
        <v>0.0</v>
      </c>
      <c r="Q1366" s="87">
        <v>0.0</v>
      </c>
      <c r="R1366" s="87">
        <v>0.0</v>
      </c>
      <c r="S1366" s="87">
        <v>0.0</v>
      </c>
      <c r="T1366" s="87">
        <v>0.0</v>
      </c>
      <c r="U1366" s="87">
        <v>0.0</v>
      </c>
      <c r="V1366" s="87">
        <v>0.0</v>
      </c>
      <c r="W1366" s="87">
        <v>0.0</v>
      </c>
      <c r="X1366" s="87">
        <v>0.0</v>
      </c>
      <c r="Y1366" s="87">
        <v>0.0</v>
      </c>
      <c r="Z1366" s="87">
        <v>0.0</v>
      </c>
      <c r="AA1366" s="87">
        <v>3.050312</v>
      </c>
      <c r="AB1366" s="87">
        <v>3.624828</v>
      </c>
      <c r="AC1366" s="87">
        <v>0.0</v>
      </c>
      <c r="AD1366" s="87">
        <v>0.5</v>
      </c>
      <c r="AE1366" s="87">
        <v>11.52403</v>
      </c>
      <c r="AF1366" s="87">
        <v>10.86627</v>
      </c>
      <c r="AG1366" s="87">
        <v>4.244928</v>
      </c>
      <c r="AH1366" s="87">
        <v>0.0</v>
      </c>
      <c r="AI1366" s="87">
        <v>20.07944</v>
      </c>
      <c r="AJ1366" s="87">
        <v>16.00153</v>
      </c>
      <c r="AK1366" s="87">
        <v>3.981012</v>
      </c>
      <c r="AL1366" s="88" t="s">
        <v>1396</v>
      </c>
    </row>
    <row r="1367">
      <c r="A1367" s="84" t="s">
        <v>3184</v>
      </c>
      <c r="B1367" s="84" t="s">
        <v>1464</v>
      </c>
      <c r="C1367" s="84" t="s">
        <v>3174</v>
      </c>
      <c r="D1367" s="84" t="s">
        <v>1459</v>
      </c>
      <c r="E1367" s="89">
        <v>46300.0</v>
      </c>
      <c r="F1367" s="87">
        <v>3.0</v>
      </c>
      <c r="G1367" s="87">
        <v>0.0</v>
      </c>
      <c r="H1367" s="87">
        <v>0.0</v>
      </c>
      <c r="I1367" s="87">
        <v>0.0</v>
      </c>
      <c r="J1367" s="87">
        <v>0.0</v>
      </c>
      <c r="K1367" s="87">
        <v>0.25</v>
      </c>
      <c r="L1367" s="87">
        <v>0.921429</v>
      </c>
      <c r="M1367" s="87">
        <v>0.0</v>
      </c>
      <c r="N1367" s="87">
        <v>0.0</v>
      </c>
      <c r="O1367" s="87">
        <v>0.0</v>
      </c>
      <c r="P1367" s="87">
        <v>0.0</v>
      </c>
      <c r="Q1367" s="87">
        <v>0.0</v>
      </c>
      <c r="R1367" s="87">
        <v>0.0</v>
      </c>
      <c r="S1367" s="87">
        <v>0.25</v>
      </c>
      <c r="T1367" s="87">
        <v>0.25</v>
      </c>
      <c r="U1367" s="87">
        <v>0.25</v>
      </c>
      <c r="V1367" s="87">
        <v>0.25</v>
      </c>
      <c r="W1367" s="87">
        <v>0.25</v>
      </c>
      <c r="X1367" s="87">
        <v>0.25</v>
      </c>
      <c r="Y1367" s="87">
        <v>0.083333</v>
      </c>
      <c r="Z1367" s="87">
        <v>0.0</v>
      </c>
      <c r="AA1367" s="87">
        <v>3.050312</v>
      </c>
      <c r="AB1367" s="87">
        <v>3.624828</v>
      </c>
      <c r="AC1367" s="87">
        <v>0.0</v>
      </c>
      <c r="AD1367" s="87">
        <v>1.0</v>
      </c>
      <c r="AE1367" s="87">
        <v>50.32801</v>
      </c>
      <c r="AF1367" s="87">
        <v>36.41712</v>
      </c>
      <c r="AG1367" s="87">
        <v>62.46866</v>
      </c>
      <c r="AH1367" s="87">
        <v>0.0</v>
      </c>
      <c r="AI1367" s="87">
        <v>20.07944</v>
      </c>
      <c r="AJ1367" s="87">
        <v>16.00153</v>
      </c>
      <c r="AK1367" s="87">
        <v>3.981012</v>
      </c>
      <c r="AL1367" s="88" t="s">
        <v>1396</v>
      </c>
    </row>
    <row r="1368">
      <c r="A1368" s="84" t="s">
        <v>3186</v>
      </c>
      <c r="B1368" s="84" t="s">
        <v>1465</v>
      </c>
      <c r="C1368" s="84" t="s">
        <v>3174</v>
      </c>
      <c r="D1368" s="84" t="s">
        <v>1459</v>
      </c>
      <c r="E1368" s="84" t="s">
        <v>1403</v>
      </c>
      <c r="F1368" s="87">
        <v>16.0</v>
      </c>
      <c r="G1368" s="87">
        <v>0.0</v>
      </c>
      <c r="H1368" s="87">
        <v>0.0</v>
      </c>
      <c r="I1368" s="87">
        <v>0.0</v>
      </c>
      <c r="J1368" s="87">
        <v>0.0</v>
      </c>
      <c r="K1368" s="87">
        <v>0.0</v>
      </c>
      <c r="L1368" s="87">
        <v>0.0</v>
      </c>
      <c r="M1368" s="87">
        <v>0.0</v>
      </c>
      <c r="N1368" s="87">
        <v>0.0</v>
      </c>
      <c r="O1368" s="87">
        <v>0.0</v>
      </c>
      <c r="P1368" s="87">
        <v>0.0</v>
      </c>
      <c r="Q1368" s="87">
        <v>0.0</v>
      </c>
      <c r="R1368" s="87">
        <v>0.0</v>
      </c>
      <c r="S1368" s="87">
        <v>0.0</v>
      </c>
      <c r="T1368" s="87">
        <v>0.0</v>
      </c>
      <c r="U1368" s="87">
        <v>0.0</v>
      </c>
      <c r="V1368" s="87">
        <v>0.0</v>
      </c>
      <c r="W1368" s="87">
        <v>0.0</v>
      </c>
      <c r="X1368" s="87">
        <v>0.0</v>
      </c>
      <c r="Y1368" s="87">
        <v>0.0</v>
      </c>
      <c r="Z1368" s="87">
        <v>0.0</v>
      </c>
      <c r="AA1368" s="87">
        <v>3.050312</v>
      </c>
      <c r="AB1368" s="87">
        <v>3.624828</v>
      </c>
      <c r="AC1368" s="87">
        <v>0.0</v>
      </c>
      <c r="AD1368" s="87">
        <v>0.0</v>
      </c>
      <c r="AE1368" s="87">
        <v>0.0</v>
      </c>
      <c r="AF1368" s="87">
        <v>0.0</v>
      </c>
      <c r="AG1368" s="87">
        <v>0.0</v>
      </c>
      <c r="AH1368" s="87">
        <v>0.0</v>
      </c>
      <c r="AI1368" s="87">
        <v>20.07944</v>
      </c>
      <c r="AJ1368" s="87">
        <v>16.00153</v>
      </c>
      <c r="AK1368" s="87">
        <v>3.981012</v>
      </c>
      <c r="AL1368" s="88" t="s">
        <v>1396</v>
      </c>
    </row>
    <row r="1369">
      <c r="A1369" s="84" t="s">
        <v>3203</v>
      </c>
      <c r="B1369" s="84" t="s">
        <v>3204</v>
      </c>
      <c r="C1369" s="84" t="s">
        <v>745</v>
      </c>
      <c r="D1369" s="84" t="s">
        <v>3205</v>
      </c>
      <c r="E1369" s="84" t="s">
        <v>1426</v>
      </c>
      <c r="F1369" s="87">
        <v>1.0</v>
      </c>
      <c r="G1369" s="87">
        <v>0.0</v>
      </c>
      <c r="H1369" s="87">
        <v>29.0</v>
      </c>
      <c r="I1369" s="87">
        <v>0.0</v>
      </c>
      <c r="J1369" s="87">
        <v>0.215909</v>
      </c>
      <c r="K1369" s="87">
        <v>1.328704</v>
      </c>
      <c r="L1369" s="87">
        <v>0.332539</v>
      </c>
      <c r="M1369" s="87">
        <v>1.328704</v>
      </c>
      <c r="N1369" s="87">
        <v>1.0</v>
      </c>
      <c r="O1369" s="87">
        <v>1.328704</v>
      </c>
      <c r="P1369" s="87">
        <v>1.328704</v>
      </c>
      <c r="Q1369" s="87">
        <v>1.328704</v>
      </c>
      <c r="R1369" s="87">
        <v>1.328704</v>
      </c>
      <c r="S1369" s="87">
        <v>1.328704</v>
      </c>
      <c r="T1369" s="87">
        <v>1.328704</v>
      </c>
      <c r="U1369" s="87">
        <v>1.328704</v>
      </c>
      <c r="V1369" s="87">
        <v>1.328704</v>
      </c>
      <c r="W1369" s="87">
        <v>1.328704</v>
      </c>
      <c r="X1369" s="87">
        <v>1.328704</v>
      </c>
      <c r="Y1369" s="87">
        <v>1.328704</v>
      </c>
      <c r="Z1369" s="87">
        <v>0.065591</v>
      </c>
      <c r="AA1369" s="87">
        <v>0.083333</v>
      </c>
      <c r="AB1369" s="87">
        <v>0.247529</v>
      </c>
      <c r="AC1369" s="87">
        <v>0.299925</v>
      </c>
      <c r="AD1369" s="87">
        <v>1.328704</v>
      </c>
      <c r="AE1369" s="87">
        <v>1.328704</v>
      </c>
      <c r="AF1369" s="87">
        <v>1.328704</v>
      </c>
      <c r="AG1369" s="87">
        <v>1.328704</v>
      </c>
      <c r="AH1369" s="87">
        <v>0.0</v>
      </c>
      <c r="AI1369" s="87">
        <v>0.169931</v>
      </c>
      <c r="AJ1369" s="87">
        <v>0.149929</v>
      </c>
      <c r="AK1369" s="87">
        <v>0.237498</v>
      </c>
      <c r="AL1369" s="88" t="s">
        <v>1396</v>
      </c>
    </row>
    <row r="1370">
      <c r="A1370" s="84" t="s">
        <v>3206</v>
      </c>
      <c r="B1370" s="84" t="s">
        <v>3207</v>
      </c>
      <c r="C1370" s="84" t="s">
        <v>745</v>
      </c>
      <c r="D1370" s="84" t="s">
        <v>3205</v>
      </c>
      <c r="E1370" s="86">
        <v>46310.0</v>
      </c>
      <c r="F1370" s="87">
        <v>2.0</v>
      </c>
      <c r="G1370" s="87">
        <v>0.0</v>
      </c>
      <c r="H1370" s="87">
        <v>42.0</v>
      </c>
      <c r="I1370" s="87">
        <v>0.0</v>
      </c>
      <c r="J1370" s="87">
        <v>0.344877</v>
      </c>
      <c r="K1370" s="87">
        <v>0.155825</v>
      </c>
      <c r="L1370" s="87">
        <v>1.041695</v>
      </c>
      <c r="M1370" s="87">
        <v>0.078788</v>
      </c>
      <c r="N1370" s="87">
        <v>0.505618</v>
      </c>
      <c r="O1370" s="87">
        <v>0.077037</v>
      </c>
      <c r="P1370" s="87">
        <v>0.077037</v>
      </c>
      <c r="Q1370" s="87">
        <v>0.077037</v>
      </c>
      <c r="R1370" s="87">
        <v>0.078788</v>
      </c>
      <c r="S1370" s="87">
        <v>0.078788</v>
      </c>
      <c r="T1370" s="87">
        <v>0.077037</v>
      </c>
      <c r="U1370" s="87">
        <v>0.077037</v>
      </c>
      <c r="V1370" s="87">
        <v>0.077037</v>
      </c>
      <c r="W1370" s="87">
        <v>0.078788</v>
      </c>
      <c r="X1370" s="87">
        <v>0.078788</v>
      </c>
      <c r="Y1370" s="87">
        <v>0.077912</v>
      </c>
      <c r="Z1370" s="87">
        <v>0.065591</v>
      </c>
      <c r="AA1370" s="87">
        <v>0.083333</v>
      </c>
      <c r="AB1370" s="87">
        <v>0.247529</v>
      </c>
      <c r="AC1370" s="87">
        <v>0.299925</v>
      </c>
      <c r="AD1370" s="87">
        <v>0.585965</v>
      </c>
      <c r="AE1370" s="87">
        <v>0.585965</v>
      </c>
      <c r="AF1370" s="87">
        <v>0.868591</v>
      </c>
      <c r="AG1370" s="87">
        <v>0.834291</v>
      </c>
      <c r="AH1370" s="87">
        <v>0.0</v>
      </c>
      <c r="AI1370" s="87">
        <v>0.169931</v>
      </c>
      <c r="AJ1370" s="87">
        <v>0.149929</v>
      </c>
      <c r="AK1370" s="87">
        <v>0.237498</v>
      </c>
      <c r="AL1370" s="88" t="s">
        <v>1396</v>
      </c>
    </row>
    <row r="1371">
      <c r="A1371" s="84" t="s">
        <v>3208</v>
      </c>
      <c r="B1371" s="84" t="s">
        <v>3209</v>
      </c>
      <c r="C1371" s="84" t="s">
        <v>745</v>
      </c>
      <c r="D1371" s="84" t="s">
        <v>3205</v>
      </c>
      <c r="E1371" s="84" t="s">
        <v>1413</v>
      </c>
      <c r="F1371" s="87">
        <v>2.0</v>
      </c>
      <c r="G1371" s="87">
        <v>0.0</v>
      </c>
      <c r="H1371" s="87">
        <v>97.0</v>
      </c>
      <c r="I1371" s="87">
        <v>0.0</v>
      </c>
      <c r="J1371" s="87">
        <v>1.203546</v>
      </c>
      <c r="K1371" s="87">
        <v>0.599851</v>
      </c>
      <c r="L1371" s="87">
        <v>0.818523</v>
      </c>
      <c r="M1371" s="87">
        <v>0.599851</v>
      </c>
      <c r="N1371" s="87">
        <v>1.0</v>
      </c>
      <c r="O1371" s="87">
        <v>0.0</v>
      </c>
      <c r="P1371" s="87">
        <v>0.0</v>
      </c>
      <c r="Q1371" s="87">
        <v>0.0</v>
      </c>
      <c r="R1371" s="87">
        <v>0.599851</v>
      </c>
      <c r="S1371" s="87">
        <v>0.599851</v>
      </c>
      <c r="T1371" s="87">
        <v>0.599851</v>
      </c>
      <c r="U1371" s="87">
        <v>0.599851</v>
      </c>
      <c r="V1371" s="87">
        <v>0.599851</v>
      </c>
      <c r="W1371" s="87">
        <v>0.599851</v>
      </c>
      <c r="X1371" s="87">
        <v>0.599851</v>
      </c>
      <c r="Y1371" s="87">
        <v>0.299925</v>
      </c>
      <c r="Z1371" s="87">
        <v>0.065591</v>
      </c>
      <c r="AA1371" s="87">
        <v>0.083333</v>
      </c>
      <c r="AB1371" s="87">
        <v>0.247529</v>
      </c>
      <c r="AC1371" s="87">
        <v>0.299925</v>
      </c>
      <c r="AD1371" s="87">
        <v>0.599851</v>
      </c>
      <c r="AE1371" s="87">
        <v>0.599851</v>
      </c>
      <c r="AF1371" s="87">
        <v>0.975337</v>
      </c>
      <c r="AG1371" s="87">
        <v>0.522193</v>
      </c>
      <c r="AH1371" s="87">
        <v>0.0</v>
      </c>
      <c r="AI1371" s="87">
        <v>0.169931</v>
      </c>
      <c r="AJ1371" s="87">
        <v>0.149929</v>
      </c>
      <c r="AK1371" s="87">
        <v>0.237498</v>
      </c>
      <c r="AL1371" s="88" t="s">
        <v>1396</v>
      </c>
    </row>
    <row r="1372">
      <c r="A1372" s="84" t="s">
        <v>3210</v>
      </c>
      <c r="B1372" s="84" t="s">
        <v>3211</v>
      </c>
      <c r="C1372" s="84" t="s">
        <v>745</v>
      </c>
      <c r="D1372" s="84" t="s">
        <v>3205</v>
      </c>
      <c r="E1372" s="84" t="s">
        <v>1398</v>
      </c>
      <c r="F1372" s="87">
        <v>1.0</v>
      </c>
      <c r="G1372" s="87">
        <v>0.0</v>
      </c>
      <c r="H1372" s="87">
        <v>31.0</v>
      </c>
      <c r="I1372" s="87">
        <v>0.0</v>
      </c>
      <c r="J1372" s="87">
        <v>0.0</v>
      </c>
      <c r="K1372" s="87">
        <v>0.083333</v>
      </c>
      <c r="L1372" s="87">
        <v>0.108292</v>
      </c>
      <c r="M1372" s="87">
        <v>0.083333</v>
      </c>
      <c r="N1372" s="87">
        <v>1.0</v>
      </c>
      <c r="O1372" s="87">
        <v>0.083333</v>
      </c>
      <c r="P1372" s="87">
        <v>0.083333</v>
      </c>
      <c r="Q1372" s="87">
        <v>0.083333</v>
      </c>
      <c r="R1372" s="87">
        <v>0.083333</v>
      </c>
      <c r="S1372" s="87">
        <v>0.083333</v>
      </c>
      <c r="T1372" s="87">
        <v>0.083333</v>
      </c>
      <c r="U1372" s="87">
        <v>0.083333</v>
      </c>
      <c r="V1372" s="87">
        <v>0.083333</v>
      </c>
      <c r="W1372" s="87">
        <v>0.083333</v>
      </c>
      <c r="X1372" s="87">
        <v>0.083333</v>
      </c>
      <c r="Y1372" s="87">
        <v>0.083333</v>
      </c>
      <c r="Z1372" s="87">
        <v>0.065591</v>
      </c>
      <c r="AA1372" s="87">
        <v>0.083333</v>
      </c>
      <c r="AB1372" s="87">
        <v>0.247529</v>
      </c>
      <c r="AC1372" s="87">
        <v>0.299925</v>
      </c>
      <c r="AD1372" s="87">
        <v>0.291228</v>
      </c>
      <c r="AE1372" s="87">
        <v>0.291228</v>
      </c>
      <c r="AF1372" s="87">
        <v>0.386533</v>
      </c>
      <c r="AG1372" s="87">
        <v>0.437066</v>
      </c>
      <c r="AH1372" s="87">
        <v>0.0</v>
      </c>
      <c r="AI1372" s="87">
        <v>0.169931</v>
      </c>
      <c r="AJ1372" s="87">
        <v>0.149929</v>
      </c>
      <c r="AK1372" s="87">
        <v>0.237498</v>
      </c>
      <c r="AL1372" s="88" t="s">
        <v>1396</v>
      </c>
    </row>
    <row r="1373">
      <c r="A1373" s="84" t="s">
        <v>3212</v>
      </c>
      <c r="B1373" s="84" t="s">
        <v>3213</v>
      </c>
      <c r="C1373" s="84" t="s">
        <v>745</v>
      </c>
      <c r="D1373" s="84" t="s">
        <v>3205</v>
      </c>
      <c r="E1373" s="84" t="s">
        <v>1400</v>
      </c>
      <c r="F1373" s="87">
        <v>7.0</v>
      </c>
      <c r="G1373" s="87">
        <v>2.0</v>
      </c>
      <c r="H1373" s="87">
        <v>702.0</v>
      </c>
      <c r="I1373" s="87">
        <v>197.0</v>
      </c>
      <c r="J1373" s="87">
        <v>0.714286</v>
      </c>
      <c r="K1373" s="87">
        <v>2.287814</v>
      </c>
      <c r="L1373" s="87">
        <v>2.198678</v>
      </c>
      <c r="M1373" s="87">
        <v>2.1</v>
      </c>
      <c r="N1373" s="87">
        <v>0.917907</v>
      </c>
      <c r="O1373" s="87">
        <v>0.0</v>
      </c>
      <c r="P1373" s="87">
        <v>0.0</v>
      </c>
      <c r="Q1373" s="87">
        <v>0.055556</v>
      </c>
      <c r="R1373" s="87">
        <v>0.065591</v>
      </c>
      <c r="S1373" s="87">
        <v>0.066667</v>
      </c>
      <c r="T1373" s="87">
        <v>0.055556</v>
      </c>
      <c r="U1373" s="87">
        <v>0.065591</v>
      </c>
      <c r="V1373" s="87">
        <v>0.065591</v>
      </c>
      <c r="W1373" s="87">
        <v>0.066667</v>
      </c>
      <c r="X1373" s="87">
        <v>0.1</v>
      </c>
      <c r="Y1373" s="87">
        <v>0.326831</v>
      </c>
      <c r="Z1373" s="87">
        <v>0.065591</v>
      </c>
      <c r="AA1373" s="87">
        <v>0.083333</v>
      </c>
      <c r="AB1373" s="87">
        <v>0.247529</v>
      </c>
      <c r="AC1373" s="87">
        <v>0.299925</v>
      </c>
      <c r="AD1373" s="87">
        <v>0.064668</v>
      </c>
      <c r="AE1373" s="87">
        <v>0.132258</v>
      </c>
      <c r="AF1373" s="87">
        <v>0.218385</v>
      </c>
      <c r="AG1373" s="87">
        <v>0.237498</v>
      </c>
      <c r="AH1373" s="87">
        <v>0.0</v>
      </c>
      <c r="AI1373" s="87">
        <v>0.169931</v>
      </c>
      <c r="AJ1373" s="87">
        <v>0.149929</v>
      </c>
      <c r="AK1373" s="87">
        <v>0.237498</v>
      </c>
      <c r="AL1373" s="88" t="s">
        <v>1396</v>
      </c>
    </row>
    <row r="1374">
      <c r="A1374" s="84" t="s">
        <v>3214</v>
      </c>
      <c r="B1374" s="84" t="s">
        <v>3215</v>
      </c>
      <c r="C1374" s="84" t="s">
        <v>745</v>
      </c>
      <c r="D1374" s="84" t="s">
        <v>3205</v>
      </c>
      <c r="E1374" s="84" t="s">
        <v>1403</v>
      </c>
      <c r="F1374" s="87">
        <v>5.0</v>
      </c>
      <c r="G1374" s="87">
        <v>0.0</v>
      </c>
      <c r="H1374" s="87">
        <v>0.0</v>
      </c>
      <c r="I1374" s="87">
        <v>0.0</v>
      </c>
      <c r="J1374" s="87">
        <v>0.0</v>
      </c>
      <c r="K1374" s="87">
        <v>0.0</v>
      </c>
      <c r="L1374" s="87">
        <v>0.0</v>
      </c>
      <c r="M1374" s="87">
        <v>0.0</v>
      </c>
      <c r="N1374" s="87">
        <v>0.0</v>
      </c>
      <c r="O1374" s="87">
        <v>0.0</v>
      </c>
      <c r="P1374" s="87">
        <v>0.0</v>
      </c>
      <c r="Q1374" s="87">
        <v>0.0</v>
      </c>
      <c r="R1374" s="87">
        <v>0.0</v>
      </c>
      <c r="S1374" s="87">
        <v>0.0</v>
      </c>
      <c r="T1374" s="87">
        <v>0.0</v>
      </c>
      <c r="U1374" s="87">
        <v>0.0</v>
      </c>
      <c r="V1374" s="87">
        <v>0.0</v>
      </c>
      <c r="W1374" s="87">
        <v>0.0</v>
      </c>
      <c r="X1374" s="87">
        <v>0.0</v>
      </c>
      <c r="Y1374" s="87">
        <v>0.0</v>
      </c>
      <c r="Z1374" s="87">
        <v>0.065591</v>
      </c>
      <c r="AA1374" s="87">
        <v>0.083333</v>
      </c>
      <c r="AB1374" s="87">
        <v>0.247529</v>
      </c>
      <c r="AC1374" s="87">
        <v>0.299925</v>
      </c>
      <c r="AD1374" s="87">
        <v>0.0</v>
      </c>
      <c r="AE1374" s="87">
        <v>0.0</v>
      </c>
      <c r="AF1374" s="87">
        <v>0.0</v>
      </c>
      <c r="AG1374" s="87">
        <v>0.0</v>
      </c>
      <c r="AH1374" s="87">
        <v>0.0</v>
      </c>
      <c r="AI1374" s="87">
        <v>0.169931</v>
      </c>
      <c r="AJ1374" s="87">
        <v>0.149929</v>
      </c>
      <c r="AK1374" s="87">
        <v>0.237498</v>
      </c>
      <c r="AL1374" s="88" t="s">
        <v>1396</v>
      </c>
    </row>
    <row r="1375">
      <c r="A1375" s="84" t="s">
        <v>3208</v>
      </c>
      <c r="B1375" s="84" t="s">
        <v>3216</v>
      </c>
      <c r="C1375" s="84" t="s">
        <v>745</v>
      </c>
      <c r="D1375" s="84" t="s">
        <v>3217</v>
      </c>
      <c r="E1375" s="84" t="s">
        <v>1413</v>
      </c>
      <c r="F1375" s="87">
        <v>1.0</v>
      </c>
      <c r="G1375" s="87">
        <v>0.0</v>
      </c>
      <c r="H1375" s="87">
        <v>151.0</v>
      </c>
      <c r="I1375" s="87">
        <v>0.0</v>
      </c>
      <c r="J1375" s="87">
        <v>3.780506</v>
      </c>
      <c r="K1375" s="87">
        <v>4.591878</v>
      </c>
      <c r="L1375" s="87">
        <v>4.591878</v>
      </c>
      <c r="M1375" s="87">
        <v>4.591878</v>
      </c>
      <c r="N1375" s="87">
        <v>1.0</v>
      </c>
      <c r="O1375" s="87">
        <v>4.591878</v>
      </c>
      <c r="P1375" s="87">
        <v>4.591878</v>
      </c>
      <c r="Q1375" s="87">
        <v>4.591878</v>
      </c>
      <c r="R1375" s="87">
        <v>4.591878</v>
      </c>
      <c r="S1375" s="87">
        <v>4.591878</v>
      </c>
      <c r="T1375" s="87">
        <v>4.591878</v>
      </c>
      <c r="U1375" s="87">
        <v>4.591878</v>
      </c>
      <c r="V1375" s="87">
        <v>4.591878</v>
      </c>
      <c r="W1375" s="87">
        <v>4.591878</v>
      </c>
      <c r="X1375" s="87">
        <v>4.591878</v>
      </c>
      <c r="Y1375" s="87">
        <v>4.591878</v>
      </c>
      <c r="Z1375" s="87">
        <v>0.033333</v>
      </c>
      <c r="AA1375" s="87">
        <v>0.332258</v>
      </c>
      <c r="AB1375" s="87">
        <v>0.395845</v>
      </c>
      <c r="AC1375" s="87">
        <v>0.237498</v>
      </c>
      <c r="AD1375" s="87">
        <v>0.599851</v>
      </c>
      <c r="AE1375" s="87">
        <v>0.599851</v>
      </c>
      <c r="AF1375" s="87">
        <v>0.975337</v>
      </c>
      <c r="AG1375" s="87">
        <v>0.522193</v>
      </c>
      <c r="AH1375" s="87">
        <v>0.0</v>
      </c>
      <c r="AI1375" s="87">
        <v>0.169931</v>
      </c>
      <c r="AJ1375" s="87">
        <v>0.149929</v>
      </c>
      <c r="AK1375" s="87">
        <v>0.237498</v>
      </c>
      <c r="AL1375" s="88" t="s">
        <v>1396</v>
      </c>
    </row>
    <row r="1376">
      <c r="A1376" s="84" t="s">
        <v>3212</v>
      </c>
      <c r="B1376" s="84" t="s">
        <v>3218</v>
      </c>
      <c r="C1376" s="84" t="s">
        <v>745</v>
      </c>
      <c r="D1376" s="84" t="s">
        <v>3217</v>
      </c>
      <c r="E1376" s="84" t="s">
        <v>1400</v>
      </c>
      <c r="F1376" s="87">
        <v>9.0</v>
      </c>
      <c r="G1376" s="87">
        <v>0.0</v>
      </c>
      <c r="H1376" s="87">
        <v>1385.0</v>
      </c>
      <c r="I1376" s="87">
        <v>0.0</v>
      </c>
      <c r="J1376" s="87">
        <v>2.119048</v>
      </c>
      <c r="K1376" s="87">
        <v>2.137481</v>
      </c>
      <c r="L1376" s="87">
        <v>1.965024</v>
      </c>
      <c r="M1376" s="87">
        <v>1.165591</v>
      </c>
      <c r="N1376" s="87">
        <v>0.545311</v>
      </c>
      <c r="O1376" s="87">
        <v>0.0</v>
      </c>
      <c r="P1376" s="87">
        <v>0.033333</v>
      </c>
      <c r="Q1376" s="87">
        <v>0.033333</v>
      </c>
      <c r="R1376" s="87">
        <v>0.132258</v>
      </c>
      <c r="S1376" s="87">
        <v>0.340707</v>
      </c>
      <c r="T1376" s="87">
        <v>0.033333</v>
      </c>
      <c r="U1376" s="87">
        <v>0.033333</v>
      </c>
      <c r="V1376" s="87">
        <v>0.1</v>
      </c>
      <c r="W1376" s="87">
        <v>0.332258</v>
      </c>
      <c r="X1376" s="87">
        <v>0.340707</v>
      </c>
      <c r="Y1376" s="87">
        <v>0.237498</v>
      </c>
      <c r="Z1376" s="87">
        <v>0.033333</v>
      </c>
      <c r="AA1376" s="87">
        <v>0.332258</v>
      </c>
      <c r="AB1376" s="87">
        <v>0.395845</v>
      </c>
      <c r="AC1376" s="87">
        <v>0.237498</v>
      </c>
      <c r="AD1376" s="87">
        <v>0.064668</v>
      </c>
      <c r="AE1376" s="87">
        <v>0.132258</v>
      </c>
      <c r="AF1376" s="87">
        <v>0.218385</v>
      </c>
      <c r="AG1376" s="87">
        <v>0.237498</v>
      </c>
      <c r="AH1376" s="87">
        <v>0.0</v>
      </c>
      <c r="AI1376" s="87">
        <v>0.169931</v>
      </c>
      <c r="AJ1376" s="87">
        <v>0.149929</v>
      </c>
      <c r="AK1376" s="87">
        <v>0.237498</v>
      </c>
      <c r="AL1376" s="88" t="s">
        <v>1396</v>
      </c>
    </row>
    <row r="1377">
      <c r="A1377" s="84" t="s">
        <v>3214</v>
      </c>
      <c r="B1377" s="84" t="s">
        <v>3219</v>
      </c>
      <c r="C1377" s="84" t="s">
        <v>745</v>
      </c>
      <c r="D1377" s="84" t="s">
        <v>3217</v>
      </c>
      <c r="E1377" s="84" t="s">
        <v>1403</v>
      </c>
      <c r="F1377" s="87">
        <v>7.0</v>
      </c>
      <c r="G1377" s="87">
        <v>1.0</v>
      </c>
      <c r="H1377" s="87">
        <v>10.0</v>
      </c>
      <c r="I1377" s="87">
        <v>10.0</v>
      </c>
      <c r="J1377" s="87">
        <v>0.0</v>
      </c>
      <c r="K1377" s="87">
        <v>0.0</v>
      </c>
      <c r="L1377" s="87">
        <v>0.0</v>
      </c>
      <c r="M1377" s="87">
        <v>0.0</v>
      </c>
      <c r="N1377" s="87">
        <v>0.0</v>
      </c>
      <c r="O1377" s="87">
        <v>0.0</v>
      </c>
      <c r="P1377" s="87">
        <v>0.0</v>
      </c>
      <c r="Q1377" s="87">
        <v>0.0</v>
      </c>
      <c r="R1377" s="87">
        <v>0.0</v>
      </c>
      <c r="S1377" s="87">
        <v>0.0</v>
      </c>
      <c r="T1377" s="87">
        <v>0.0</v>
      </c>
      <c r="U1377" s="87">
        <v>0.0</v>
      </c>
      <c r="V1377" s="87">
        <v>0.0</v>
      </c>
      <c r="W1377" s="87">
        <v>0.0</v>
      </c>
      <c r="X1377" s="87">
        <v>0.0</v>
      </c>
      <c r="Y1377" s="87">
        <v>0.0</v>
      </c>
      <c r="Z1377" s="87">
        <v>0.033333</v>
      </c>
      <c r="AA1377" s="87">
        <v>0.332258</v>
      </c>
      <c r="AB1377" s="87">
        <v>0.395845</v>
      </c>
      <c r="AC1377" s="87">
        <v>0.237498</v>
      </c>
      <c r="AD1377" s="87">
        <v>0.0</v>
      </c>
      <c r="AE1377" s="87">
        <v>0.0</v>
      </c>
      <c r="AF1377" s="87">
        <v>0.0</v>
      </c>
      <c r="AG1377" s="87">
        <v>0.0</v>
      </c>
      <c r="AH1377" s="87">
        <v>0.0</v>
      </c>
      <c r="AI1377" s="87">
        <v>0.169931</v>
      </c>
      <c r="AJ1377" s="87">
        <v>0.149929</v>
      </c>
      <c r="AK1377" s="87">
        <v>0.237498</v>
      </c>
      <c r="AL1377" s="88" t="s">
        <v>1396</v>
      </c>
    </row>
    <row r="1378">
      <c r="A1378" s="84" t="s">
        <v>3206</v>
      </c>
      <c r="B1378" s="84" t="s">
        <v>3220</v>
      </c>
      <c r="C1378" s="84" t="s">
        <v>745</v>
      </c>
      <c r="D1378" s="84" t="s">
        <v>754</v>
      </c>
      <c r="E1378" s="86">
        <v>46310.0</v>
      </c>
      <c r="F1378" s="87">
        <v>1.0</v>
      </c>
      <c r="G1378" s="87">
        <v>0.0</v>
      </c>
      <c r="H1378" s="87">
        <v>379.0</v>
      </c>
      <c r="I1378" s="87">
        <v>0.0</v>
      </c>
      <c r="J1378" s="87">
        <v>1.785714</v>
      </c>
      <c r="K1378" s="87">
        <v>2.724342</v>
      </c>
      <c r="L1378" s="87">
        <v>3.732637</v>
      </c>
      <c r="M1378" s="87">
        <v>2.724342</v>
      </c>
      <c r="N1378" s="87">
        <v>1.0</v>
      </c>
      <c r="O1378" s="87">
        <v>2.724342</v>
      </c>
      <c r="P1378" s="87">
        <v>2.724342</v>
      </c>
      <c r="Q1378" s="87">
        <v>2.724342</v>
      </c>
      <c r="R1378" s="87">
        <v>2.724342</v>
      </c>
      <c r="S1378" s="87">
        <v>2.724342</v>
      </c>
      <c r="T1378" s="87">
        <v>2.724342</v>
      </c>
      <c r="U1378" s="87">
        <v>2.724342</v>
      </c>
      <c r="V1378" s="87">
        <v>2.724342</v>
      </c>
      <c r="W1378" s="87">
        <v>2.724342</v>
      </c>
      <c r="X1378" s="87">
        <v>2.724342</v>
      </c>
      <c r="Y1378" s="87">
        <v>2.724342</v>
      </c>
      <c r="Z1378" s="87">
        <v>0.0</v>
      </c>
      <c r="AA1378" s="87">
        <v>2.724342</v>
      </c>
      <c r="AB1378" s="87">
        <v>0.194596</v>
      </c>
      <c r="AC1378" s="87">
        <v>0.0</v>
      </c>
      <c r="AD1378" s="87">
        <v>0.585965</v>
      </c>
      <c r="AE1378" s="87">
        <v>0.585965</v>
      </c>
      <c r="AF1378" s="87">
        <v>0.868591</v>
      </c>
      <c r="AG1378" s="87">
        <v>0.834291</v>
      </c>
      <c r="AH1378" s="87">
        <v>0.0</v>
      </c>
      <c r="AI1378" s="87">
        <v>0.169931</v>
      </c>
      <c r="AJ1378" s="87">
        <v>0.149929</v>
      </c>
      <c r="AK1378" s="87">
        <v>0.237498</v>
      </c>
      <c r="AL1378" s="88" t="s">
        <v>1396</v>
      </c>
    </row>
    <row r="1379">
      <c r="A1379" s="84" t="s">
        <v>3212</v>
      </c>
      <c r="B1379" s="84" t="s">
        <v>3221</v>
      </c>
      <c r="C1379" s="84" t="s">
        <v>745</v>
      </c>
      <c r="D1379" s="84" t="s">
        <v>754</v>
      </c>
      <c r="E1379" s="84" t="s">
        <v>1400</v>
      </c>
      <c r="F1379" s="87">
        <v>1.0</v>
      </c>
      <c r="G1379" s="87">
        <v>0.0</v>
      </c>
      <c r="H1379" s="87">
        <v>100.0</v>
      </c>
      <c r="I1379" s="87">
        <v>0.0</v>
      </c>
      <c r="J1379" s="87">
        <v>0.0</v>
      </c>
      <c r="K1379" s="87">
        <v>0.0</v>
      </c>
      <c r="L1379" s="87">
        <v>0.0</v>
      </c>
      <c r="M1379" s="87">
        <v>0.0</v>
      </c>
      <c r="N1379" s="87">
        <v>0.0</v>
      </c>
      <c r="O1379" s="87">
        <v>0.0</v>
      </c>
      <c r="P1379" s="87">
        <v>0.0</v>
      </c>
      <c r="Q1379" s="87">
        <v>0.0</v>
      </c>
      <c r="R1379" s="87">
        <v>0.0</v>
      </c>
      <c r="S1379" s="87">
        <v>0.0</v>
      </c>
      <c r="T1379" s="87">
        <v>0.0</v>
      </c>
      <c r="U1379" s="87">
        <v>0.0</v>
      </c>
      <c r="V1379" s="87">
        <v>0.0</v>
      </c>
      <c r="W1379" s="87">
        <v>0.0</v>
      </c>
      <c r="X1379" s="87">
        <v>0.0</v>
      </c>
      <c r="Y1379" s="87">
        <v>0.0</v>
      </c>
      <c r="Z1379" s="87">
        <v>0.0</v>
      </c>
      <c r="AA1379" s="87">
        <v>2.724342</v>
      </c>
      <c r="AB1379" s="87">
        <v>0.194596</v>
      </c>
      <c r="AC1379" s="87">
        <v>0.0</v>
      </c>
      <c r="AD1379" s="87">
        <v>0.064668</v>
      </c>
      <c r="AE1379" s="87">
        <v>0.132258</v>
      </c>
      <c r="AF1379" s="87">
        <v>0.218385</v>
      </c>
      <c r="AG1379" s="87">
        <v>0.237498</v>
      </c>
      <c r="AH1379" s="87">
        <v>0.0</v>
      </c>
      <c r="AI1379" s="87">
        <v>0.169931</v>
      </c>
      <c r="AJ1379" s="87">
        <v>0.149929</v>
      </c>
      <c r="AK1379" s="87">
        <v>0.237498</v>
      </c>
      <c r="AL1379" s="88" t="s">
        <v>1396</v>
      </c>
    </row>
    <row r="1380">
      <c r="A1380" s="84" t="s">
        <v>3214</v>
      </c>
      <c r="B1380" s="84" t="s">
        <v>3222</v>
      </c>
      <c r="C1380" s="84" t="s">
        <v>745</v>
      </c>
      <c r="D1380" s="84" t="s">
        <v>754</v>
      </c>
      <c r="E1380" s="84" t="s">
        <v>1403</v>
      </c>
      <c r="F1380" s="87">
        <v>12.0</v>
      </c>
      <c r="G1380" s="87">
        <v>1.0</v>
      </c>
      <c r="H1380" s="87">
        <v>80.0</v>
      </c>
      <c r="I1380" s="87">
        <v>80.0</v>
      </c>
      <c r="J1380" s="87">
        <v>0.0</v>
      </c>
      <c r="K1380" s="87">
        <v>0.0</v>
      </c>
      <c r="L1380" s="87">
        <v>0.0</v>
      </c>
      <c r="M1380" s="87">
        <v>0.0</v>
      </c>
      <c r="N1380" s="87">
        <v>0.0</v>
      </c>
      <c r="O1380" s="87">
        <v>0.0</v>
      </c>
      <c r="P1380" s="87">
        <v>0.0</v>
      </c>
      <c r="Q1380" s="87">
        <v>0.0</v>
      </c>
      <c r="R1380" s="87">
        <v>0.0</v>
      </c>
      <c r="S1380" s="87">
        <v>0.0</v>
      </c>
      <c r="T1380" s="87">
        <v>0.0</v>
      </c>
      <c r="U1380" s="87">
        <v>0.0</v>
      </c>
      <c r="V1380" s="87">
        <v>0.0</v>
      </c>
      <c r="W1380" s="87">
        <v>0.0</v>
      </c>
      <c r="X1380" s="87">
        <v>0.0</v>
      </c>
      <c r="Y1380" s="87">
        <v>0.0</v>
      </c>
      <c r="Z1380" s="87">
        <v>0.0</v>
      </c>
      <c r="AA1380" s="87">
        <v>2.724342</v>
      </c>
      <c r="AB1380" s="87">
        <v>0.194596</v>
      </c>
      <c r="AC1380" s="87">
        <v>0.0</v>
      </c>
      <c r="AD1380" s="87">
        <v>0.0</v>
      </c>
      <c r="AE1380" s="87">
        <v>0.0</v>
      </c>
      <c r="AF1380" s="87">
        <v>0.0</v>
      </c>
      <c r="AG1380" s="87">
        <v>0.0</v>
      </c>
      <c r="AH1380" s="87">
        <v>0.0</v>
      </c>
      <c r="AI1380" s="87">
        <v>0.169931</v>
      </c>
      <c r="AJ1380" s="87">
        <v>0.149929</v>
      </c>
      <c r="AK1380" s="87">
        <v>0.237498</v>
      </c>
      <c r="AL1380" s="88" t="s">
        <v>1396</v>
      </c>
    </row>
    <row r="1381">
      <c r="A1381" s="84" t="s">
        <v>3214</v>
      </c>
      <c r="B1381" s="84" t="s">
        <v>2298</v>
      </c>
      <c r="C1381" s="84" t="s">
        <v>745</v>
      </c>
      <c r="D1381" s="84" t="s">
        <v>2297</v>
      </c>
      <c r="E1381" s="84" t="s">
        <v>1403</v>
      </c>
      <c r="F1381" s="87">
        <v>2.0</v>
      </c>
      <c r="G1381" s="87">
        <v>0.0</v>
      </c>
      <c r="H1381" s="87">
        <v>0.0</v>
      </c>
      <c r="I1381" s="87">
        <v>0.0</v>
      </c>
      <c r="J1381" s="87">
        <v>0.0</v>
      </c>
      <c r="K1381" s="87">
        <v>0.0</v>
      </c>
      <c r="L1381" s="87">
        <v>0.0</v>
      </c>
      <c r="M1381" s="87">
        <v>0.0</v>
      </c>
      <c r="N1381" s="87">
        <v>0.0</v>
      </c>
      <c r="O1381" s="87">
        <v>0.0</v>
      </c>
      <c r="P1381" s="87">
        <v>0.0</v>
      </c>
      <c r="Q1381" s="87">
        <v>0.0</v>
      </c>
      <c r="R1381" s="87">
        <v>0.0</v>
      </c>
      <c r="S1381" s="87">
        <v>0.0</v>
      </c>
      <c r="T1381" s="87">
        <v>0.0</v>
      </c>
      <c r="U1381" s="87">
        <v>0.0</v>
      </c>
      <c r="V1381" s="87">
        <v>0.0</v>
      </c>
      <c r="W1381" s="87">
        <v>0.0</v>
      </c>
      <c r="X1381" s="87">
        <v>0.0</v>
      </c>
      <c r="Y1381" s="87">
        <v>0.0</v>
      </c>
      <c r="Z1381" s="87">
        <v>0.0</v>
      </c>
      <c r="AA1381" s="87">
        <v>0.0</v>
      </c>
      <c r="AB1381" s="87">
        <v>0.0</v>
      </c>
      <c r="AC1381" s="87">
        <v>0.0</v>
      </c>
      <c r="AD1381" s="87">
        <v>0.0</v>
      </c>
      <c r="AE1381" s="87">
        <v>0.0</v>
      </c>
      <c r="AF1381" s="87">
        <v>0.0</v>
      </c>
      <c r="AG1381" s="87">
        <v>0.0</v>
      </c>
      <c r="AH1381" s="87">
        <v>0.0</v>
      </c>
      <c r="AI1381" s="87">
        <v>0.169931</v>
      </c>
      <c r="AJ1381" s="87">
        <v>0.149929</v>
      </c>
      <c r="AK1381" s="87">
        <v>0.237498</v>
      </c>
      <c r="AL1381" s="88" t="s">
        <v>1396</v>
      </c>
    </row>
    <row r="1382">
      <c r="A1382" s="84" t="s">
        <v>3206</v>
      </c>
      <c r="B1382" s="84" t="s">
        <v>3223</v>
      </c>
      <c r="C1382" s="84" t="s">
        <v>745</v>
      </c>
      <c r="D1382" s="84" t="s">
        <v>746</v>
      </c>
      <c r="E1382" s="86">
        <v>46310.0</v>
      </c>
      <c r="F1382" s="87">
        <v>8.0</v>
      </c>
      <c r="G1382" s="87">
        <v>0.0</v>
      </c>
      <c r="H1382" s="87">
        <v>1412.0</v>
      </c>
      <c r="I1382" s="87">
        <v>0.0</v>
      </c>
      <c r="J1382" s="87">
        <v>6.65</v>
      </c>
      <c r="K1382" s="87">
        <v>6.674329</v>
      </c>
      <c r="L1382" s="87">
        <v>7.129372</v>
      </c>
      <c r="M1382" s="87">
        <v>3.946781</v>
      </c>
      <c r="N1382" s="87">
        <v>0.591337</v>
      </c>
      <c r="O1382" s="87">
        <v>0.187179</v>
      </c>
      <c r="P1382" s="87">
        <v>0.266667</v>
      </c>
      <c r="Q1382" s="87">
        <v>0.465591</v>
      </c>
      <c r="R1382" s="87">
        <v>0.595671</v>
      </c>
      <c r="S1382" s="87">
        <v>0.626475</v>
      </c>
      <c r="T1382" s="87">
        <v>0.187179</v>
      </c>
      <c r="U1382" s="87">
        <v>0.266667</v>
      </c>
      <c r="V1382" s="87">
        <v>0.465591</v>
      </c>
      <c r="W1382" s="87">
        <v>0.595671</v>
      </c>
      <c r="X1382" s="87">
        <v>0.626475</v>
      </c>
      <c r="Y1382" s="87">
        <v>0.834291</v>
      </c>
      <c r="Z1382" s="87">
        <v>0.0</v>
      </c>
      <c r="AA1382" s="87">
        <v>0.174036</v>
      </c>
      <c r="AB1382" s="87">
        <v>0.128031</v>
      </c>
      <c r="AC1382" s="87">
        <v>0.522193</v>
      </c>
      <c r="AD1382" s="87">
        <v>0.585965</v>
      </c>
      <c r="AE1382" s="87">
        <v>0.585965</v>
      </c>
      <c r="AF1382" s="87">
        <v>0.868591</v>
      </c>
      <c r="AG1382" s="87">
        <v>0.834291</v>
      </c>
      <c r="AH1382" s="87">
        <v>0.0</v>
      </c>
      <c r="AI1382" s="87">
        <v>0.169931</v>
      </c>
      <c r="AJ1382" s="87">
        <v>0.149929</v>
      </c>
      <c r="AK1382" s="87">
        <v>0.237498</v>
      </c>
      <c r="AL1382" s="88" t="s">
        <v>1396</v>
      </c>
    </row>
    <row r="1383">
      <c r="A1383" s="84" t="s">
        <v>3208</v>
      </c>
      <c r="B1383" s="84" t="s">
        <v>3224</v>
      </c>
      <c r="C1383" s="84" t="s">
        <v>745</v>
      </c>
      <c r="D1383" s="84" t="s">
        <v>746</v>
      </c>
      <c r="E1383" s="84" t="s">
        <v>1413</v>
      </c>
      <c r="F1383" s="87">
        <v>5.0</v>
      </c>
      <c r="G1383" s="87">
        <v>0.0</v>
      </c>
      <c r="H1383" s="87">
        <v>814.0</v>
      </c>
      <c r="I1383" s="87">
        <v>0.0</v>
      </c>
      <c r="J1383" s="87">
        <v>1.25</v>
      </c>
      <c r="K1383" s="87">
        <v>2.610965</v>
      </c>
      <c r="L1383" s="87">
        <v>1.709017</v>
      </c>
      <c r="M1383" s="87">
        <v>1.439418</v>
      </c>
      <c r="N1383" s="87">
        <v>0.551297</v>
      </c>
      <c r="O1383" s="87">
        <v>0.1</v>
      </c>
      <c r="P1383" s="87">
        <v>0.110256</v>
      </c>
      <c r="Q1383" s="87">
        <v>0.110256</v>
      </c>
      <c r="R1383" s="87">
        <v>0.165591</v>
      </c>
      <c r="S1383" s="87">
        <v>0.795699</v>
      </c>
      <c r="T1383" s="87">
        <v>0.1</v>
      </c>
      <c r="U1383" s="87">
        <v>0.110256</v>
      </c>
      <c r="V1383" s="87">
        <v>0.110256</v>
      </c>
      <c r="W1383" s="87">
        <v>0.165591</v>
      </c>
      <c r="X1383" s="87">
        <v>0.795699</v>
      </c>
      <c r="Y1383" s="87">
        <v>0.522193</v>
      </c>
      <c r="Z1383" s="87">
        <v>0.0</v>
      </c>
      <c r="AA1383" s="87">
        <v>0.174036</v>
      </c>
      <c r="AB1383" s="87">
        <v>0.128031</v>
      </c>
      <c r="AC1383" s="87">
        <v>0.522193</v>
      </c>
      <c r="AD1383" s="87">
        <v>0.599851</v>
      </c>
      <c r="AE1383" s="87">
        <v>0.599851</v>
      </c>
      <c r="AF1383" s="87">
        <v>0.975337</v>
      </c>
      <c r="AG1383" s="87">
        <v>0.522193</v>
      </c>
      <c r="AH1383" s="87">
        <v>0.0</v>
      </c>
      <c r="AI1383" s="87">
        <v>0.169931</v>
      </c>
      <c r="AJ1383" s="87">
        <v>0.149929</v>
      </c>
      <c r="AK1383" s="87">
        <v>0.237498</v>
      </c>
      <c r="AL1383" s="88" t="s">
        <v>1396</v>
      </c>
    </row>
    <row r="1384">
      <c r="A1384" s="84" t="s">
        <v>3210</v>
      </c>
      <c r="B1384" s="84" t="s">
        <v>3225</v>
      </c>
      <c r="C1384" s="84" t="s">
        <v>745</v>
      </c>
      <c r="D1384" s="84" t="s">
        <v>746</v>
      </c>
      <c r="E1384" s="84" t="s">
        <v>1398</v>
      </c>
      <c r="F1384" s="87">
        <v>6.0</v>
      </c>
      <c r="G1384" s="87">
        <v>0.0</v>
      </c>
      <c r="H1384" s="87">
        <v>961.0</v>
      </c>
      <c r="I1384" s="87">
        <v>0.0</v>
      </c>
      <c r="J1384" s="87">
        <v>2.124542</v>
      </c>
      <c r="K1384" s="87">
        <v>2.622397</v>
      </c>
      <c r="L1384" s="87">
        <v>1.718939</v>
      </c>
      <c r="M1384" s="87">
        <v>1.890693</v>
      </c>
      <c r="N1384" s="87">
        <v>0.720979</v>
      </c>
      <c r="O1384" s="87">
        <v>0.033333</v>
      </c>
      <c r="P1384" s="87">
        <v>0.066667</v>
      </c>
      <c r="Q1384" s="87">
        <v>0.066667</v>
      </c>
      <c r="R1384" s="87">
        <v>0.340476</v>
      </c>
      <c r="S1384" s="87">
        <v>0.866667</v>
      </c>
      <c r="T1384" s="87">
        <v>0.033333</v>
      </c>
      <c r="U1384" s="87">
        <v>0.066667</v>
      </c>
      <c r="V1384" s="87">
        <v>0.066667</v>
      </c>
      <c r="W1384" s="87">
        <v>0.340476</v>
      </c>
      <c r="X1384" s="87">
        <v>0.866667</v>
      </c>
      <c r="Y1384" s="87">
        <v>0.437066</v>
      </c>
      <c r="Z1384" s="87">
        <v>0.0</v>
      </c>
      <c r="AA1384" s="87">
        <v>0.174036</v>
      </c>
      <c r="AB1384" s="87">
        <v>0.128031</v>
      </c>
      <c r="AC1384" s="87">
        <v>0.522193</v>
      </c>
      <c r="AD1384" s="87">
        <v>0.291228</v>
      </c>
      <c r="AE1384" s="87">
        <v>0.291228</v>
      </c>
      <c r="AF1384" s="87">
        <v>0.386533</v>
      </c>
      <c r="AG1384" s="87">
        <v>0.437066</v>
      </c>
      <c r="AH1384" s="87">
        <v>0.0</v>
      </c>
      <c r="AI1384" s="87">
        <v>0.169931</v>
      </c>
      <c r="AJ1384" s="87">
        <v>0.149929</v>
      </c>
      <c r="AK1384" s="87">
        <v>0.237498</v>
      </c>
      <c r="AL1384" s="88" t="s">
        <v>1396</v>
      </c>
    </row>
    <row r="1385">
      <c r="A1385" s="84" t="s">
        <v>3212</v>
      </c>
      <c r="B1385" s="84" t="s">
        <v>3226</v>
      </c>
      <c r="C1385" s="84" t="s">
        <v>745</v>
      </c>
      <c r="D1385" s="84" t="s">
        <v>746</v>
      </c>
      <c r="E1385" s="84" t="s">
        <v>1400</v>
      </c>
      <c r="F1385" s="87">
        <v>104.0</v>
      </c>
      <c r="G1385" s="87">
        <v>25.0</v>
      </c>
      <c r="H1385" s="87">
        <v>9031.0</v>
      </c>
      <c r="I1385" s="87">
        <v>1412.0</v>
      </c>
      <c r="J1385" s="87">
        <v>15.16574</v>
      </c>
      <c r="K1385" s="87">
        <v>21.99934</v>
      </c>
      <c r="L1385" s="87">
        <v>26.21268</v>
      </c>
      <c r="M1385" s="87">
        <v>17.05585</v>
      </c>
      <c r="N1385" s="87">
        <v>0.775289</v>
      </c>
      <c r="O1385" s="87">
        <v>0.0</v>
      </c>
      <c r="P1385" s="87">
        <v>0.0</v>
      </c>
      <c r="Q1385" s="87">
        <v>0.0</v>
      </c>
      <c r="R1385" s="87">
        <v>0.059641</v>
      </c>
      <c r="S1385" s="87">
        <v>0.165093</v>
      </c>
      <c r="T1385" s="87">
        <v>0.033333</v>
      </c>
      <c r="U1385" s="87">
        <v>0.045216</v>
      </c>
      <c r="V1385" s="87">
        <v>0.076177</v>
      </c>
      <c r="W1385" s="87">
        <v>0.142619</v>
      </c>
      <c r="X1385" s="87">
        <v>0.246469</v>
      </c>
      <c r="Y1385" s="87">
        <v>0.211532</v>
      </c>
      <c r="Z1385" s="87">
        <v>0.0</v>
      </c>
      <c r="AA1385" s="87">
        <v>0.174036</v>
      </c>
      <c r="AB1385" s="87">
        <v>0.128031</v>
      </c>
      <c r="AC1385" s="87">
        <v>0.522193</v>
      </c>
      <c r="AD1385" s="87">
        <v>0.064668</v>
      </c>
      <c r="AE1385" s="87">
        <v>0.132258</v>
      </c>
      <c r="AF1385" s="87">
        <v>0.218385</v>
      </c>
      <c r="AG1385" s="87">
        <v>0.237498</v>
      </c>
      <c r="AH1385" s="87">
        <v>0.0</v>
      </c>
      <c r="AI1385" s="87">
        <v>0.169931</v>
      </c>
      <c r="AJ1385" s="87">
        <v>0.149929</v>
      </c>
      <c r="AK1385" s="87">
        <v>0.237498</v>
      </c>
      <c r="AL1385" s="88" t="s">
        <v>1396</v>
      </c>
    </row>
    <row r="1386">
      <c r="A1386" s="84" t="s">
        <v>3227</v>
      </c>
      <c r="B1386" s="84" t="s">
        <v>3228</v>
      </c>
      <c r="C1386" s="84" t="s">
        <v>745</v>
      </c>
      <c r="D1386" s="84" t="s">
        <v>746</v>
      </c>
      <c r="E1386" s="89">
        <v>46300.0</v>
      </c>
      <c r="F1386" s="87">
        <v>5.0</v>
      </c>
      <c r="G1386" s="87">
        <v>0.0</v>
      </c>
      <c r="H1386" s="87">
        <v>747.0</v>
      </c>
      <c r="I1386" s="87">
        <v>0.0</v>
      </c>
      <c r="J1386" s="87">
        <v>1.607143</v>
      </c>
      <c r="K1386" s="87">
        <v>2.709968</v>
      </c>
      <c r="L1386" s="87">
        <v>1.654873</v>
      </c>
      <c r="M1386" s="87">
        <v>1.536111</v>
      </c>
      <c r="N1386" s="87">
        <v>0.566837</v>
      </c>
      <c r="O1386" s="87">
        <v>0.076923</v>
      </c>
      <c r="P1386" s="87">
        <v>0.153846</v>
      </c>
      <c r="Q1386" s="87">
        <v>0.153846</v>
      </c>
      <c r="R1386" s="87">
        <v>0.233333</v>
      </c>
      <c r="S1386" s="87">
        <v>0.709754</v>
      </c>
      <c r="T1386" s="87">
        <v>0.076923</v>
      </c>
      <c r="U1386" s="87">
        <v>0.153846</v>
      </c>
      <c r="V1386" s="87">
        <v>0.153846</v>
      </c>
      <c r="W1386" s="87">
        <v>0.233333</v>
      </c>
      <c r="X1386" s="87">
        <v>0.709754</v>
      </c>
      <c r="Y1386" s="87">
        <v>0.541994</v>
      </c>
      <c r="Z1386" s="87">
        <v>0.0</v>
      </c>
      <c r="AA1386" s="87">
        <v>0.174036</v>
      </c>
      <c r="AB1386" s="87">
        <v>0.128031</v>
      </c>
      <c r="AC1386" s="87">
        <v>0.522193</v>
      </c>
      <c r="AD1386" s="87">
        <v>0.233333</v>
      </c>
      <c r="AE1386" s="87">
        <v>0.233333</v>
      </c>
      <c r="AF1386" s="87">
        <v>0.541994</v>
      </c>
      <c r="AG1386" s="87">
        <v>0.541994</v>
      </c>
      <c r="AH1386" s="87">
        <v>0.0</v>
      </c>
      <c r="AI1386" s="87">
        <v>0.169931</v>
      </c>
      <c r="AJ1386" s="87">
        <v>0.149929</v>
      </c>
      <c r="AK1386" s="87">
        <v>0.237498</v>
      </c>
      <c r="AL1386" s="88" t="s">
        <v>1396</v>
      </c>
    </row>
    <row r="1387">
      <c r="A1387" s="84" t="s">
        <v>3214</v>
      </c>
      <c r="B1387" s="84" t="s">
        <v>3229</v>
      </c>
      <c r="C1387" s="84" t="s">
        <v>745</v>
      </c>
      <c r="D1387" s="84" t="s">
        <v>746</v>
      </c>
      <c r="E1387" s="84" t="s">
        <v>1403</v>
      </c>
      <c r="F1387" s="87">
        <v>158.0</v>
      </c>
      <c r="G1387" s="87">
        <v>18.0</v>
      </c>
      <c r="H1387" s="87">
        <v>1416.0</v>
      </c>
      <c r="I1387" s="87">
        <v>1416.0</v>
      </c>
      <c r="J1387" s="87">
        <v>0.0</v>
      </c>
      <c r="K1387" s="87">
        <v>0.0</v>
      </c>
      <c r="L1387" s="87">
        <v>0.0</v>
      </c>
      <c r="M1387" s="87">
        <v>0.0</v>
      </c>
      <c r="N1387" s="87">
        <v>0.0</v>
      </c>
      <c r="O1387" s="87">
        <v>0.0</v>
      </c>
      <c r="P1387" s="87">
        <v>0.0</v>
      </c>
      <c r="Q1387" s="87">
        <v>0.0</v>
      </c>
      <c r="R1387" s="87">
        <v>0.0</v>
      </c>
      <c r="S1387" s="87">
        <v>0.0</v>
      </c>
      <c r="T1387" s="87">
        <v>0.0</v>
      </c>
      <c r="U1387" s="87">
        <v>0.0</v>
      </c>
      <c r="V1387" s="87">
        <v>0.0</v>
      </c>
      <c r="W1387" s="87">
        <v>0.0</v>
      </c>
      <c r="X1387" s="87">
        <v>0.0</v>
      </c>
      <c r="Y1387" s="87">
        <v>0.0</v>
      </c>
      <c r="Z1387" s="87">
        <v>0.0</v>
      </c>
      <c r="AA1387" s="87">
        <v>0.174036</v>
      </c>
      <c r="AB1387" s="87">
        <v>0.128031</v>
      </c>
      <c r="AC1387" s="87">
        <v>0.522193</v>
      </c>
      <c r="AD1387" s="87">
        <v>0.0</v>
      </c>
      <c r="AE1387" s="87">
        <v>0.0</v>
      </c>
      <c r="AF1387" s="87">
        <v>0.0</v>
      </c>
      <c r="AG1387" s="87">
        <v>0.0</v>
      </c>
      <c r="AH1387" s="87">
        <v>0.0</v>
      </c>
      <c r="AI1387" s="87">
        <v>0.169931</v>
      </c>
      <c r="AJ1387" s="87">
        <v>0.149929</v>
      </c>
      <c r="AK1387" s="87">
        <v>0.237498</v>
      </c>
      <c r="AL1387" s="88" t="s">
        <v>1396</v>
      </c>
    </row>
    <row r="1388">
      <c r="A1388" s="84" t="s">
        <v>3230</v>
      </c>
      <c r="B1388" s="84" t="s">
        <v>3231</v>
      </c>
      <c r="C1388" s="84" t="s">
        <v>761</v>
      </c>
      <c r="D1388" s="84" t="s">
        <v>3232</v>
      </c>
      <c r="E1388" s="84" t="s">
        <v>1426</v>
      </c>
      <c r="F1388" s="87">
        <v>2.0</v>
      </c>
      <c r="G1388" s="87">
        <v>0.0</v>
      </c>
      <c r="H1388" s="87">
        <v>1942.0</v>
      </c>
      <c r="I1388" s="87">
        <v>0.0</v>
      </c>
      <c r="J1388" s="87">
        <v>20.54595</v>
      </c>
      <c r="K1388" s="87">
        <v>23.47148</v>
      </c>
      <c r="L1388" s="87">
        <v>24.59818</v>
      </c>
      <c r="M1388" s="87">
        <v>23.47148</v>
      </c>
      <c r="N1388" s="87">
        <v>1.0</v>
      </c>
      <c r="O1388" s="87">
        <v>0.0</v>
      </c>
      <c r="P1388" s="87">
        <v>0.0</v>
      </c>
      <c r="Q1388" s="87">
        <v>0.0</v>
      </c>
      <c r="R1388" s="87">
        <v>23.47148</v>
      </c>
      <c r="S1388" s="87">
        <v>23.47148</v>
      </c>
      <c r="T1388" s="87">
        <v>23.47148</v>
      </c>
      <c r="U1388" s="87">
        <v>23.47148</v>
      </c>
      <c r="V1388" s="87">
        <v>23.47148</v>
      </c>
      <c r="W1388" s="87">
        <v>23.47148</v>
      </c>
      <c r="X1388" s="87">
        <v>23.47148</v>
      </c>
      <c r="Y1388" s="87">
        <v>11.73574</v>
      </c>
      <c r="Z1388" s="87">
        <v>0.0</v>
      </c>
      <c r="AA1388" s="87">
        <v>23.47148</v>
      </c>
      <c r="AB1388" s="87">
        <v>7.965818</v>
      </c>
      <c r="AC1388" s="87">
        <v>16.33148</v>
      </c>
      <c r="AD1388" s="87">
        <v>1.0</v>
      </c>
      <c r="AE1388" s="87">
        <v>17.60654</v>
      </c>
      <c r="AF1388" s="87">
        <v>64.13596</v>
      </c>
      <c r="AG1388" s="87">
        <v>17.60654</v>
      </c>
      <c r="AH1388" s="87">
        <v>0.0</v>
      </c>
      <c r="AI1388" s="87">
        <v>29.10238</v>
      </c>
      <c r="AJ1388" s="87">
        <v>40.8264</v>
      </c>
      <c r="AK1388" s="87">
        <v>19.99848</v>
      </c>
      <c r="AL1388" s="88" t="s">
        <v>1396</v>
      </c>
    </row>
    <row r="1389">
      <c r="A1389" s="84" t="s">
        <v>3233</v>
      </c>
      <c r="B1389" s="84" t="s">
        <v>3234</v>
      </c>
      <c r="C1389" s="84" t="s">
        <v>761</v>
      </c>
      <c r="D1389" s="84" t="s">
        <v>3232</v>
      </c>
      <c r="E1389" s="86">
        <v>46310.0</v>
      </c>
      <c r="F1389" s="87">
        <v>4.0</v>
      </c>
      <c r="G1389" s="87">
        <v>0.0</v>
      </c>
      <c r="H1389" s="87">
        <v>17775.0</v>
      </c>
      <c r="I1389" s="87">
        <v>0.0</v>
      </c>
      <c r="J1389" s="87">
        <v>205.8873</v>
      </c>
      <c r="K1389" s="87">
        <v>195.2541</v>
      </c>
      <c r="L1389" s="87">
        <v>180.5408</v>
      </c>
      <c r="M1389" s="87">
        <v>105.8424</v>
      </c>
      <c r="N1389" s="87">
        <v>0.542075</v>
      </c>
      <c r="O1389" s="87">
        <v>0.0</v>
      </c>
      <c r="P1389" s="87">
        <v>0.0</v>
      </c>
      <c r="Q1389" s="87">
        <v>0.0</v>
      </c>
      <c r="R1389" s="87">
        <v>89.41174</v>
      </c>
      <c r="S1389" s="87">
        <v>89.41174</v>
      </c>
      <c r="T1389" s="87">
        <v>89.41174</v>
      </c>
      <c r="U1389" s="87">
        <v>89.41174</v>
      </c>
      <c r="V1389" s="87">
        <v>89.41174</v>
      </c>
      <c r="W1389" s="87">
        <v>105.8424</v>
      </c>
      <c r="X1389" s="87">
        <v>105.8424</v>
      </c>
      <c r="Y1389" s="87">
        <v>48.81353</v>
      </c>
      <c r="Z1389" s="87">
        <v>0.0</v>
      </c>
      <c r="AA1389" s="87">
        <v>23.47148</v>
      </c>
      <c r="AB1389" s="87">
        <v>7.965818</v>
      </c>
      <c r="AC1389" s="87">
        <v>16.33148</v>
      </c>
      <c r="AD1389" s="87">
        <v>29.32609</v>
      </c>
      <c r="AE1389" s="87">
        <v>47.81342</v>
      </c>
      <c r="AF1389" s="87">
        <v>62.50276</v>
      </c>
      <c r="AG1389" s="87">
        <v>48.81353</v>
      </c>
      <c r="AH1389" s="87">
        <v>0.0</v>
      </c>
      <c r="AI1389" s="87">
        <v>29.10238</v>
      </c>
      <c r="AJ1389" s="87">
        <v>40.8264</v>
      </c>
      <c r="AK1389" s="87">
        <v>19.99848</v>
      </c>
      <c r="AL1389" s="88" t="s">
        <v>1396</v>
      </c>
    </row>
    <row r="1390">
      <c r="A1390" s="84" t="s">
        <v>3235</v>
      </c>
      <c r="B1390" s="84" t="s">
        <v>3236</v>
      </c>
      <c r="C1390" s="84" t="s">
        <v>761</v>
      </c>
      <c r="D1390" s="84" t="s">
        <v>3232</v>
      </c>
      <c r="E1390" s="84" t="s">
        <v>1413</v>
      </c>
      <c r="F1390" s="87">
        <v>2.0</v>
      </c>
      <c r="G1390" s="87">
        <v>0.0</v>
      </c>
      <c r="H1390" s="87">
        <v>9030.0</v>
      </c>
      <c r="I1390" s="87">
        <v>0.0</v>
      </c>
      <c r="J1390" s="87">
        <v>93.28473</v>
      </c>
      <c r="K1390" s="87">
        <v>105.1737</v>
      </c>
      <c r="L1390" s="87">
        <v>104.2296</v>
      </c>
      <c r="M1390" s="87">
        <v>98.48417</v>
      </c>
      <c r="N1390" s="87">
        <v>0.936395</v>
      </c>
      <c r="O1390" s="87">
        <v>6.689524</v>
      </c>
      <c r="P1390" s="87">
        <v>6.689524</v>
      </c>
      <c r="Q1390" s="87">
        <v>6.689524</v>
      </c>
      <c r="R1390" s="87">
        <v>98.48417</v>
      </c>
      <c r="S1390" s="87">
        <v>98.48417</v>
      </c>
      <c r="T1390" s="87">
        <v>6.689524</v>
      </c>
      <c r="U1390" s="87">
        <v>6.689524</v>
      </c>
      <c r="V1390" s="87">
        <v>6.689524</v>
      </c>
      <c r="W1390" s="87">
        <v>98.48417</v>
      </c>
      <c r="X1390" s="87">
        <v>98.48417</v>
      </c>
      <c r="Y1390" s="87">
        <v>52.58685</v>
      </c>
      <c r="Z1390" s="87">
        <v>0.0</v>
      </c>
      <c r="AA1390" s="87">
        <v>23.47148</v>
      </c>
      <c r="AB1390" s="87">
        <v>7.965818</v>
      </c>
      <c r="AC1390" s="87">
        <v>16.33148</v>
      </c>
      <c r="AD1390" s="87">
        <v>52.87153</v>
      </c>
      <c r="AE1390" s="87">
        <v>52.87153</v>
      </c>
      <c r="AF1390" s="87">
        <v>71.80559</v>
      </c>
      <c r="AG1390" s="87">
        <v>69.03948</v>
      </c>
      <c r="AH1390" s="87">
        <v>0.0</v>
      </c>
      <c r="AI1390" s="87">
        <v>29.10238</v>
      </c>
      <c r="AJ1390" s="87">
        <v>40.8264</v>
      </c>
      <c r="AK1390" s="87">
        <v>19.99848</v>
      </c>
      <c r="AL1390" s="88" t="s">
        <v>1396</v>
      </c>
    </row>
    <row r="1391">
      <c r="A1391" s="84" t="s">
        <v>3237</v>
      </c>
      <c r="B1391" s="84" t="s">
        <v>3238</v>
      </c>
      <c r="C1391" s="84" t="s">
        <v>761</v>
      </c>
      <c r="D1391" s="84" t="s">
        <v>3232</v>
      </c>
      <c r="E1391" s="84" t="s">
        <v>1400</v>
      </c>
      <c r="F1391" s="87">
        <v>2.0</v>
      </c>
      <c r="G1391" s="87">
        <v>0.0</v>
      </c>
      <c r="H1391" s="87">
        <v>101.0</v>
      </c>
      <c r="I1391" s="87">
        <v>0.0</v>
      </c>
      <c r="J1391" s="87">
        <v>0.761905</v>
      </c>
      <c r="K1391" s="87">
        <v>0.7</v>
      </c>
      <c r="L1391" s="87">
        <v>0.7</v>
      </c>
      <c r="M1391" s="87">
        <v>0.7</v>
      </c>
      <c r="N1391" s="87">
        <v>1.0</v>
      </c>
      <c r="O1391" s="87">
        <v>0.0</v>
      </c>
      <c r="P1391" s="87">
        <v>0.0</v>
      </c>
      <c r="Q1391" s="87">
        <v>0.0</v>
      </c>
      <c r="R1391" s="87">
        <v>0.7</v>
      </c>
      <c r="S1391" s="87">
        <v>0.7</v>
      </c>
      <c r="T1391" s="87">
        <v>0.7</v>
      </c>
      <c r="U1391" s="87">
        <v>0.7</v>
      </c>
      <c r="V1391" s="87">
        <v>0.7</v>
      </c>
      <c r="W1391" s="87">
        <v>0.7</v>
      </c>
      <c r="X1391" s="87">
        <v>0.7</v>
      </c>
      <c r="Y1391" s="87">
        <v>0.35</v>
      </c>
      <c r="Z1391" s="87">
        <v>0.0</v>
      </c>
      <c r="AA1391" s="87">
        <v>23.47148</v>
      </c>
      <c r="AB1391" s="87">
        <v>7.965818</v>
      </c>
      <c r="AC1391" s="87">
        <v>16.33148</v>
      </c>
      <c r="AD1391" s="87">
        <v>20.86488</v>
      </c>
      <c r="AE1391" s="87">
        <v>23.47262</v>
      </c>
      <c r="AF1391" s="87">
        <v>30.74659</v>
      </c>
      <c r="AG1391" s="87">
        <v>37.69586</v>
      </c>
      <c r="AH1391" s="87">
        <v>0.0</v>
      </c>
      <c r="AI1391" s="87">
        <v>29.10238</v>
      </c>
      <c r="AJ1391" s="87">
        <v>40.8264</v>
      </c>
      <c r="AK1391" s="87">
        <v>19.99848</v>
      </c>
      <c r="AL1391" s="88" t="s">
        <v>1396</v>
      </c>
    </row>
    <row r="1392">
      <c r="A1392" s="84" t="s">
        <v>3239</v>
      </c>
      <c r="B1392" s="84" t="s">
        <v>3240</v>
      </c>
      <c r="C1392" s="84" t="s">
        <v>761</v>
      </c>
      <c r="D1392" s="84" t="s">
        <v>3232</v>
      </c>
      <c r="E1392" s="89">
        <v>46300.0</v>
      </c>
      <c r="F1392" s="87">
        <v>5.0</v>
      </c>
      <c r="G1392" s="87">
        <v>0.0</v>
      </c>
      <c r="H1392" s="87">
        <v>5662.0</v>
      </c>
      <c r="I1392" s="87">
        <v>0.0</v>
      </c>
      <c r="J1392" s="87">
        <v>81.49794</v>
      </c>
      <c r="K1392" s="87">
        <v>81.65739</v>
      </c>
      <c r="L1392" s="87">
        <v>80.83187</v>
      </c>
      <c r="M1392" s="87">
        <v>54.52994</v>
      </c>
      <c r="N1392" s="87">
        <v>0.667789</v>
      </c>
      <c r="O1392" s="87">
        <v>0.0</v>
      </c>
      <c r="P1392" s="87">
        <v>4.108301</v>
      </c>
      <c r="Q1392" s="87">
        <v>4.108301</v>
      </c>
      <c r="R1392" s="87">
        <v>11.38895</v>
      </c>
      <c r="S1392" s="87">
        <v>11.6302</v>
      </c>
      <c r="T1392" s="87">
        <v>4.108301</v>
      </c>
      <c r="U1392" s="87">
        <v>4.108301</v>
      </c>
      <c r="V1392" s="87">
        <v>11.38895</v>
      </c>
      <c r="W1392" s="87">
        <v>11.6302</v>
      </c>
      <c r="X1392" s="87">
        <v>11.6302</v>
      </c>
      <c r="Y1392" s="87">
        <v>16.33148</v>
      </c>
      <c r="Z1392" s="87">
        <v>0.0</v>
      </c>
      <c r="AA1392" s="87">
        <v>23.47148</v>
      </c>
      <c r="AB1392" s="87">
        <v>7.965818</v>
      </c>
      <c r="AC1392" s="87">
        <v>16.33148</v>
      </c>
      <c r="AD1392" s="87">
        <v>19.88144</v>
      </c>
      <c r="AE1392" s="87">
        <v>26.2186</v>
      </c>
      <c r="AF1392" s="87">
        <v>150.3717</v>
      </c>
      <c r="AG1392" s="87">
        <v>34.1826</v>
      </c>
      <c r="AH1392" s="87">
        <v>0.0</v>
      </c>
      <c r="AI1392" s="87">
        <v>29.10238</v>
      </c>
      <c r="AJ1392" s="87">
        <v>40.8264</v>
      </c>
      <c r="AK1392" s="87">
        <v>19.99848</v>
      </c>
      <c r="AL1392" s="88" t="s">
        <v>1396</v>
      </c>
    </row>
    <row r="1393">
      <c r="A1393" s="84" t="s">
        <v>3241</v>
      </c>
      <c r="B1393" s="84" t="s">
        <v>3242</v>
      </c>
      <c r="C1393" s="84" t="s">
        <v>761</v>
      </c>
      <c r="D1393" s="84" t="s">
        <v>3232</v>
      </c>
      <c r="E1393" s="84" t="s">
        <v>1403</v>
      </c>
      <c r="F1393" s="87">
        <v>36.0</v>
      </c>
      <c r="G1393" s="87">
        <v>0.0</v>
      </c>
      <c r="H1393" s="87">
        <v>0.0</v>
      </c>
      <c r="I1393" s="87">
        <v>0.0</v>
      </c>
      <c r="J1393" s="87">
        <v>0.0</v>
      </c>
      <c r="K1393" s="87">
        <v>0.0</v>
      </c>
      <c r="L1393" s="87">
        <v>0.0</v>
      </c>
      <c r="M1393" s="87">
        <v>0.0</v>
      </c>
      <c r="N1393" s="87">
        <v>0.0</v>
      </c>
      <c r="O1393" s="87">
        <v>0.0</v>
      </c>
      <c r="P1393" s="87">
        <v>0.0</v>
      </c>
      <c r="Q1393" s="87">
        <v>0.0</v>
      </c>
      <c r="R1393" s="87">
        <v>0.0</v>
      </c>
      <c r="S1393" s="87">
        <v>0.0</v>
      </c>
      <c r="T1393" s="87">
        <v>0.0</v>
      </c>
      <c r="U1393" s="87">
        <v>0.0</v>
      </c>
      <c r="V1393" s="87">
        <v>0.0</v>
      </c>
      <c r="W1393" s="87">
        <v>0.0</v>
      </c>
      <c r="X1393" s="87">
        <v>0.0</v>
      </c>
      <c r="Y1393" s="87">
        <v>0.0</v>
      </c>
      <c r="Z1393" s="87">
        <v>0.0</v>
      </c>
      <c r="AA1393" s="87">
        <v>23.47148</v>
      </c>
      <c r="AB1393" s="87">
        <v>7.965818</v>
      </c>
      <c r="AC1393" s="87">
        <v>16.33148</v>
      </c>
      <c r="AD1393" s="87">
        <v>0.0</v>
      </c>
      <c r="AE1393" s="87">
        <v>0.0</v>
      </c>
      <c r="AF1393" s="87">
        <v>0.0</v>
      </c>
      <c r="AG1393" s="87">
        <v>0.0</v>
      </c>
      <c r="AH1393" s="87">
        <v>0.0</v>
      </c>
      <c r="AI1393" s="87">
        <v>29.10238</v>
      </c>
      <c r="AJ1393" s="87">
        <v>40.8264</v>
      </c>
      <c r="AK1393" s="87">
        <v>19.99848</v>
      </c>
      <c r="AL1393" s="88" t="s">
        <v>1396</v>
      </c>
    </row>
    <row r="1394">
      <c r="A1394" s="84" t="s">
        <v>3230</v>
      </c>
      <c r="B1394" s="84" t="s">
        <v>3243</v>
      </c>
      <c r="C1394" s="84" t="s">
        <v>761</v>
      </c>
      <c r="D1394" s="84" t="s">
        <v>3244</v>
      </c>
      <c r="E1394" s="84" t="s">
        <v>1426</v>
      </c>
      <c r="F1394" s="87">
        <v>5.0</v>
      </c>
      <c r="G1394" s="87">
        <v>0.0</v>
      </c>
      <c r="H1394" s="87">
        <v>47481.0</v>
      </c>
      <c r="I1394" s="87">
        <v>0.0</v>
      </c>
      <c r="J1394" s="87">
        <v>596.2954</v>
      </c>
      <c r="K1394" s="87">
        <v>663.5013</v>
      </c>
      <c r="L1394" s="87">
        <v>654.187</v>
      </c>
      <c r="M1394" s="87">
        <v>355.2223</v>
      </c>
      <c r="N1394" s="87">
        <v>0.535375</v>
      </c>
      <c r="O1394" s="87">
        <v>0.0</v>
      </c>
      <c r="P1394" s="87">
        <v>0.0</v>
      </c>
      <c r="Q1394" s="87">
        <v>0.0</v>
      </c>
      <c r="R1394" s="87">
        <v>1.0</v>
      </c>
      <c r="S1394" s="87">
        <v>307.279</v>
      </c>
      <c r="T1394" s="87">
        <v>1.0</v>
      </c>
      <c r="U1394" s="87">
        <v>1.0</v>
      </c>
      <c r="V1394" s="87">
        <v>1.0</v>
      </c>
      <c r="W1394" s="87">
        <v>307.279</v>
      </c>
      <c r="X1394" s="87">
        <v>355.2223</v>
      </c>
      <c r="Y1394" s="87">
        <v>132.7003</v>
      </c>
      <c r="Z1394" s="87">
        <v>1.0</v>
      </c>
      <c r="AA1394" s="87">
        <v>307.279</v>
      </c>
      <c r="AB1394" s="87">
        <v>95.40436</v>
      </c>
      <c r="AC1394" s="87">
        <v>99.73365</v>
      </c>
      <c r="AD1394" s="87">
        <v>1.0</v>
      </c>
      <c r="AE1394" s="87">
        <v>17.60654</v>
      </c>
      <c r="AF1394" s="87">
        <v>64.13596</v>
      </c>
      <c r="AG1394" s="87">
        <v>17.60654</v>
      </c>
      <c r="AH1394" s="87">
        <v>0.0</v>
      </c>
      <c r="AI1394" s="87">
        <v>29.10238</v>
      </c>
      <c r="AJ1394" s="87">
        <v>40.8264</v>
      </c>
      <c r="AK1394" s="87">
        <v>19.99848</v>
      </c>
      <c r="AL1394" s="88" t="s">
        <v>1396</v>
      </c>
    </row>
    <row r="1395">
      <c r="A1395" s="84" t="s">
        <v>3233</v>
      </c>
      <c r="B1395" s="84" t="s">
        <v>3245</v>
      </c>
      <c r="C1395" s="84" t="s">
        <v>761</v>
      </c>
      <c r="D1395" s="84" t="s">
        <v>3244</v>
      </c>
      <c r="E1395" s="86">
        <v>46310.0</v>
      </c>
      <c r="F1395" s="87">
        <v>1.0</v>
      </c>
      <c r="G1395" s="87">
        <v>0.0</v>
      </c>
      <c r="H1395" s="87">
        <v>0.0</v>
      </c>
      <c r="I1395" s="87">
        <v>0.0</v>
      </c>
      <c r="J1395" s="87">
        <v>0.0</v>
      </c>
      <c r="K1395" s="87">
        <v>0.0</v>
      </c>
      <c r="L1395" s="87">
        <v>0.0</v>
      </c>
      <c r="M1395" s="87">
        <v>0.0</v>
      </c>
      <c r="N1395" s="87">
        <v>0.0</v>
      </c>
      <c r="O1395" s="87">
        <v>0.0</v>
      </c>
      <c r="P1395" s="87">
        <v>0.0</v>
      </c>
      <c r="Q1395" s="87">
        <v>0.0</v>
      </c>
      <c r="R1395" s="87">
        <v>0.0</v>
      </c>
      <c r="S1395" s="87">
        <v>0.0</v>
      </c>
      <c r="T1395" s="87">
        <v>0.0</v>
      </c>
      <c r="U1395" s="87">
        <v>0.0</v>
      </c>
      <c r="V1395" s="87">
        <v>0.0</v>
      </c>
      <c r="W1395" s="87">
        <v>0.0</v>
      </c>
      <c r="X1395" s="87">
        <v>0.0</v>
      </c>
      <c r="Y1395" s="87">
        <v>0.0</v>
      </c>
      <c r="Z1395" s="87">
        <v>1.0</v>
      </c>
      <c r="AA1395" s="87">
        <v>307.279</v>
      </c>
      <c r="AB1395" s="87">
        <v>95.40436</v>
      </c>
      <c r="AC1395" s="87">
        <v>99.73365</v>
      </c>
      <c r="AD1395" s="87">
        <v>29.32609</v>
      </c>
      <c r="AE1395" s="87">
        <v>47.81342</v>
      </c>
      <c r="AF1395" s="87">
        <v>62.50276</v>
      </c>
      <c r="AG1395" s="87">
        <v>48.81353</v>
      </c>
      <c r="AH1395" s="87">
        <v>0.0</v>
      </c>
      <c r="AI1395" s="87">
        <v>29.10238</v>
      </c>
      <c r="AJ1395" s="87">
        <v>40.8264</v>
      </c>
      <c r="AK1395" s="87">
        <v>19.99848</v>
      </c>
      <c r="AL1395" s="88" t="s">
        <v>1396</v>
      </c>
    </row>
    <row r="1396">
      <c r="A1396" s="84" t="s">
        <v>3239</v>
      </c>
      <c r="B1396" s="84" t="s">
        <v>3246</v>
      </c>
      <c r="C1396" s="84" t="s">
        <v>761</v>
      </c>
      <c r="D1396" s="84" t="s">
        <v>3244</v>
      </c>
      <c r="E1396" s="89">
        <v>46300.0</v>
      </c>
      <c r="F1396" s="87">
        <v>1.0</v>
      </c>
      <c r="G1396" s="87">
        <v>0.0</v>
      </c>
      <c r="H1396" s="87">
        <v>5105.0</v>
      </c>
      <c r="I1396" s="87">
        <v>0.0</v>
      </c>
      <c r="J1396" s="87">
        <v>99.97992</v>
      </c>
      <c r="K1396" s="87">
        <v>99.73365</v>
      </c>
      <c r="L1396" s="87">
        <v>71.9987</v>
      </c>
      <c r="M1396" s="87">
        <v>99.73365</v>
      </c>
      <c r="N1396" s="87">
        <v>1.0</v>
      </c>
      <c r="O1396" s="87">
        <v>99.73365</v>
      </c>
      <c r="P1396" s="87">
        <v>99.73365</v>
      </c>
      <c r="Q1396" s="87">
        <v>99.73365</v>
      </c>
      <c r="R1396" s="87">
        <v>99.73365</v>
      </c>
      <c r="S1396" s="87">
        <v>99.73365</v>
      </c>
      <c r="T1396" s="87">
        <v>99.73365</v>
      </c>
      <c r="U1396" s="87">
        <v>99.73365</v>
      </c>
      <c r="V1396" s="87">
        <v>99.73365</v>
      </c>
      <c r="W1396" s="87">
        <v>99.73365</v>
      </c>
      <c r="X1396" s="87">
        <v>99.73365</v>
      </c>
      <c r="Y1396" s="87">
        <v>99.73365</v>
      </c>
      <c r="Z1396" s="87">
        <v>1.0</v>
      </c>
      <c r="AA1396" s="87">
        <v>307.279</v>
      </c>
      <c r="AB1396" s="87">
        <v>95.40436</v>
      </c>
      <c r="AC1396" s="87">
        <v>99.73365</v>
      </c>
      <c r="AD1396" s="87">
        <v>19.88144</v>
      </c>
      <c r="AE1396" s="87">
        <v>26.2186</v>
      </c>
      <c r="AF1396" s="87">
        <v>150.3717</v>
      </c>
      <c r="AG1396" s="87">
        <v>34.1826</v>
      </c>
      <c r="AH1396" s="87">
        <v>0.0</v>
      </c>
      <c r="AI1396" s="87">
        <v>29.10238</v>
      </c>
      <c r="AJ1396" s="87">
        <v>40.8264</v>
      </c>
      <c r="AK1396" s="87">
        <v>19.99848</v>
      </c>
      <c r="AL1396" s="88" t="s">
        <v>1396</v>
      </c>
    </row>
    <row r="1397">
      <c r="A1397" s="84" t="s">
        <v>3241</v>
      </c>
      <c r="B1397" s="84" t="s">
        <v>3247</v>
      </c>
      <c r="C1397" s="84" t="s">
        <v>761</v>
      </c>
      <c r="D1397" s="84" t="s">
        <v>3244</v>
      </c>
      <c r="E1397" s="84" t="s">
        <v>1403</v>
      </c>
      <c r="F1397" s="87">
        <v>1.0</v>
      </c>
      <c r="G1397" s="87">
        <v>0.0</v>
      </c>
      <c r="H1397" s="87">
        <v>0.0</v>
      </c>
      <c r="I1397" s="87">
        <v>0.0</v>
      </c>
      <c r="J1397" s="87">
        <v>0.0</v>
      </c>
      <c r="K1397" s="87">
        <v>0.0</v>
      </c>
      <c r="L1397" s="87">
        <v>0.0</v>
      </c>
      <c r="M1397" s="87">
        <v>0.0</v>
      </c>
      <c r="N1397" s="87">
        <v>0.0</v>
      </c>
      <c r="O1397" s="87">
        <v>0.0</v>
      </c>
      <c r="P1397" s="87">
        <v>0.0</v>
      </c>
      <c r="Q1397" s="87">
        <v>0.0</v>
      </c>
      <c r="R1397" s="87">
        <v>0.0</v>
      </c>
      <c r="S1397" s="87">
        <v>0.0</v>
      </c>
      <c r="T1397" s="87">
        <v>0.0</v>
      </c>
      <c r="U1397" s="87">
        <v>0.0</v>
      </c>
      <c r="V1397" s="87">
        <v>0.0</v>
      </c>
      <c r="W1397" s="87">
        <v>0.0</v>
      </c>
      <c r="X1397" s="87">
        <v>0.0</v>
      </c>
      <c r="Y1397" s="87">
        <v>0.0</v>
      </c>
      <c r="Z1397" s="87">
        <v>1.0</v>
      </c>
      <c r="AA1397" s="87">
        <v>307.279</v>
      </c>
      <c r="AB1397" s="87">
        <v>95.40436</v>
      </c>
      <c r="AC1397" s="87">
        <v>99.73365</v>
      </c>
      <c r="AD1397" s="87">
        <v>0.0</v>
      </c>
      <c r="AE1397" s="87">
        <v>0.0</v>
      </c>
      <c r="AF1397" s="87">
        <v>0.0</v>
      </c>
      <c r="AG1397" s="87">
        <v>0.0</v>
      </c>
      <c r="AH1397" s="87">
        <v>0.0</v>
      </c>
      <c r="AI1397" s="87">
        <v>29.10238</v>
      </c>
      <c r="AJ1397" s="87">
        <v>40.8264</v>
      </c>
      <c r="AK1397" s="87">
        <v>19.99848</v>
      </c>
      <c r="AL1397" s="88" t="s">
        <v>1396</v>
      </c>
    </row>
    <row r="1398">
      <c r="A1398" s="84" t="s">
        <v>3230</v>
      </c>
      <c r="B1398" s="84" t="s">
        <v>3248</v>
      </c>
      <c r="C1398" s="84" t="s">
        <v>761</v>
      </c>
      <c r="D1398" s="84" t="s">
        <v>3244</v>
      </c>
      <c r="E1398" s="84" t="s">
        <v>1426</v>
      </c>
      <c r="F1398" s="87">
        <v>3.0</v>
      </c>
      <c r="G1398" s="87">
        <v>0.0</v>
      </c>
      <c r="H1398" s="87">
        <v>0.0</v>
      </c>
      <c r="I1398" s="87">
        <v>0.0</v>
      </c>
      <c r="J1398" s="87">
        <v>0.0</v>
      </c>
      <c r="K1398" s="87">
        <v>1.0</v>
      </c>
      <c r="L1398" s="87">
        <v>28.20754</v>
      </c>
      <c r="M1398" s="87">
        <v>1.0</v>
      </c>
      <c r="N1398" s="87">
        <v>1.0</v>
      </c>
      <c r="O1398" s="87">
        <v>0.0</v>
      </c>
      <c r="P1398" s="87">
        <v>0.0</v>
      </c>
      <c r="Q1398" s="87">
        <v>0.0</v>
      </c>
      <c r="R1398" s="87">
        <v>0.0</v>
      </c>
      <c r="S1398" s="87">
        <v>1.0</v>
      </c>
      <c r="T1398" s="87">
        <v>1.0</v>
      </c>
      <c r="U1398" s="87">
        <v>1.0</v>
      </c>
      <c r="V1398" s="87">
        <v>1.0</v>
      </c>
      <c r="W1398" s="87">
        <v>1.0</v>
      </c>
      <c r="X1398" s="87">
        <v>1.0</v>
      </c>
      <c r="Y1398" s="87">
        <v>0.333333</v>
      </c>
      <c r="Z1398" s="87">
        <v>0.0</v>
      </c>
      <c r="AA1398" s="87">
        <v>1.0</v>
      </c>
      <c r="AB1398" s="87">
        <v>0.2</v>
      </c>
      <c r="AC1398" s="87">
        <v>0.0</v>
      </c>
      <c r="AD1398" s="87">
        <v>1.0</v>
      </c>
      <c r="AE1398" s="87">
        <v>17.60654</v>
      </c>
      <c r="AF1398" s="87">
        <v>64.13596</v>
      </c>
      <c r="AG1398" s="87">
        <v>17.60654</v>
      </c>
      <c r="AH1398" s="87">
        <v>0.0</v>
      </c>
      <c r="AI1398" s="87">
        <v>29.10238</v>
      </c>
      <c r="AJ1398" s="87">
        <v>40.8264</v>
      </c>
      <c r="AK1398" s="87">
        <v>19.99848</v>
      </c>
      <c r="AL1398" s="88" t="s">
        <v>1396</v>
      </c>
    </row>
    <row r="1399">
      <c r="A1399" s="84" t="s">
        <v>3233</v>
      </c>
      <c r="B1399" s="84" t="s">
        <v>3249</v>
      </c>
      <c r="C1399" s="84" t="s">
        <v>761</v>
      </c>
      <c r="D1399" s="84" t="s">
        <v>3244</v>
      </c>
      <c r="E1399" s="86">
        <v>46310.0</v>
      </c>
      <c r="F1399" s="87">
        <v>1.0</v>
      </c>
      <c r="G1399" s="87">
        <v>0.0</v>
      </c>
      <c r="H1399" s="87">
        <v>0.0</v>
      </c>
      <c r="I1399" s="87">
        <v>0.0</v>
      </c>
      <c r="J1399" s="87">
        <v>0.0</v>
      </c>
      <c r="K1399" s="87">
        <v>0.0</v>
      </c>
      <c r="L1399" s="87">
        <v>0.0</v>
      </c>
      <c r="M1399" s="87">
        <v>0.0</v>
      </c>
      <c r="N1399" s="87">
        <v>0.0</v>
      </c>
      <c r="O1399" s="87">
        <v>0.0</v>
      </c>
      <c r="P1399" s="87">
        <v>0.0</v>
      </c>
      <c r="Q1399" s="87">
        <v>0.0</v>
      </c>
      <c r="R1399" s="87">
        <v>0.0</v>
      </c>
      <c r="S1399" s="87">
        <v>0.0</v>
      </c>
      <c r="T1399" s="87">
        <v>0.0</v>
      </c>
      <c r="U1399" s="87">
        <v>0.0</v>
      </c>
      <c r="V1399" s="87">
        <v>0.0</v>
      </c>
      <c r="W1399" s="87">
        <v>0.0</v>
      </c>
      <c r="X1399" s="87">
        <v>0.0</v>
      </c>
      <c r="Y1399" s="87">
        <v>0.0</v>
      </c>
      <c r="Z1399" s="87">
        <v>0.0</v>
      </c>
      <c r="AA1399" s="87">
        <v>1.0</v>
      </c>
      <c r="AB1399" s="87">
        <v>0.2</v>
      </c>
      <c r="AC1399" s="87">
        <v>0.0</v>
      </c>
      <c r="AD1399" s="87">
        <v>29.32609</v>
      </c>
      <c r="AE1399" s="87">
        <v>47.81342</v>
      </c>
      <c r="AF1399" s="87">
        <v>62.50276</v>
      </c>
      <c r="AG1399" s="87">
        <v>48.81353</v>
      </c>
      <c r="AH1399" s="87">
        <v>0.0</v>
      </c>
      <c r="AI1399" s="87">
        <v>29.10238</v>
      </c>
      <c r="AJ1399" s="87">
        <v>40.8264</v>
      </c>
      <c r="AK1399" s="87">
        <v>19.99848</v>
      </c>
      <c r="AL1399" s="88" t="s">
        <v>1396</v>
      </c>
    </row>
    <row r="1400">
      <c r="A1400" s="84" t="s">
        <v>3241</v>
      </c>
      <c r="B1400" s="84" t="s">
        <v>3250</v>
      </c>
      <c r="C1400" s="84" t="s">
        <v>761</v>
      </c>
      <c r="D1400" s="84" t="s">
        <v>3244</v>
      </c>
      <c r="E1400" s="84" t="s">
        <v>1403</v>
      </c>
      <c r="F1400" s="87">
        <v>1.0</v>
      </c>
      <c r="G1400" s="87">
        <v>0.0</v>
      </c>
      <c r="H1400" s="87">
        <v>0.0</v>
      </c>
      <c r="I1400" s="87">
        <v>0.0</v>
      </c>
      <c r="J1400" s="87">
        <v>0.0</v>
      </c>
      <c r="K1400" s="87">
        <v>0.0</v>
      </c>
      <c r="L1400" s="87">
        <v>0.0</v>
      </c>
      <c r="M1400" s="87">
        <v>0.0</v>
      </c>
      <c r="N1400" s="87">
        <v>0.0</v>
      </c>
      <c r="O1400" s="87">
        <v>0.0</v>
      </c>
      <c r="P1400" s="87">
        <v>0.0</v>
      </c>
      <c r="Q1400" s="87">
        <v>0.0</v>
      </c>
      <c r="R1400" s="87">
        <v>0.0</v>
      </c>
      <c r="S1400" s="87">
        <v>0.0</v>
      </c>
      <c r="T1400" s="87">
        <v>0.0</v>
      </c>
      <c r="U1400" s="87">
        <v>0.0</v>
      </c>
      <c r="V1400" s="87">
        <v>0.0</v>
      </c>
      <c r="W1400" s="87">
        <v>0.0</v>
      </c>
      <c r="X1400" s="87">
        <v>0.0</v>
      </c>
      <c r="Y1400" s="87">
        <v>0.0</v>
      </c>
      <c r="Z1400" s="87">
        <v>0.0</v>
      </c>
      <c r="AA1400" s="87">
        <v>1.0</v>
      </c>
      <c r="AB1400" s="87">
        <v>0.2</v>
      </c>
      <c r="AC1400" s="87">
        <v>0.0</v>
      </c>
      <c r="AD1400" s="87">
        <v>0.0</v>
      </c>
      <c r="AE1400" s="87">
        <v>0.0</v>
      </c>
      <c r="AF1400" s="87">
        <v>0.0</v>
      </c>
      <c r="AG1400" s="87">
        <v>0.0</v>
      </c>
      <c r="AH1400" s="87">
        <v>0.0</v>
      </c>
      <c r="AI1400" s="87">
        <v>29.10238</v>
      </c>
      <c r="AJ1400" s="87">
        <v>40.8264</v>
      </c>
      <c r="AK1400" s="87">
        <v>19.99848</v>
      </c>
      <c r="AL1400" s="88" t="s">
        <v>1396</v>
      </c>
    </row>
    <row r="1401">
      <c r="A1401" s="84" t="s">
        <v>3230</v>
      </c>
      <c r="B1401" s="84" t="s">
        <v>3251</v>
      </c>
      <c r="C1401" s="84" t="s">
        <v>761</v>
      </c>
      <c r="D1401" s="84" t="s">
        <v>3252</v>
      </c>
      <c r="E1401" s="84" t="s">
        <v>1426</v>
      </c>
      <c r="F1401" s="87">
        <v>1.0</v>
      </c>
      <c r="G1401" s="87">
        <v>0.0</v>
      </c>
      <c r="H1401" s="87">
        <v>480.0</v>
      </c>
      <c r="I1401" s="87">
        <v>0.0</v>
      </c>
      <c r="J1401" s="87">
        <v>17.76626</v>
      </c>
      <c r="K1401" s="87">
        <v>17.60654</v>
      </c>
      <c r="L1401" s="87">
        <v>13.88988</v>
      </c>
      <c r="M1401" s="87">
        <v>17.60654</v>
      </c>
      <c r="N1401" s="87">
        <v>1.0</v>
      </c>
      <c r="O1401" s="87">
        <v>17.60654</v>
      </c>
      <c r="P1401" s="87">
        <v>17.60654</v>
      </c>
      <c r="Q1401" s="87">
        <v>17.60654</v>
      </c>
      <c r="R1401" s="87">
        <v>17.60654</v>
      </c>
      <c r="S1401" s="87">
        <v>17.60654</v>
      </c>
      <c r="T1401" s="87">
        <v>17.60654</v>
      </c>
      <c r="U1401" s="87">
        <v>17.60654</v>
      </c>
      <c r="V1401" s="87">
        <v>17.60654</v>
      </c>
      <c r="W1401" s="87">
        <v>17.60654</v>
      </c>
      <c r="X1401" s="87">
        <v>17.60654</v>
      </c>
      <c r="Y1401" s="87">
        <v>17.60654</v>
      </c>
      <c r="Z1401" s="87">
        <v>0.0</v>
      </c>
      <c r="AA1401" s="87">
        <v>23.81353</v>
      </c>
      <c r="AB1401" s="87">
        <v>17.34434</v>
      </c>
      <c r="AC1401" s="87">
        <v>23.26313</v>
      </c>
      <c r="AD1401" s="87">
        <v>1.0</v>
      </c>
      <c r="AE1401" s="87">
        <v>17.60654</v>
      </c>
      <c r="AF1401" s="87">
        <v>64.13596</v>
      </c>
      <c r="AG1401" s="87">
        <v>17.60654</v>
      </c>
      <c r="AH1401" s="87">
        <v>0.0</v>
      </c>
      <c r="AI1401" s="87">
        <v>29.10238</v>
      </c>
      <c r="AJ1401" s="87">
        <v>40.8264</v>
      </c>
      <c r="AK1401" s="87">
        <v>19.99848</v>
      </c>
      <c r="AL1401" s="88" t="s">
        <v>1396</v>
      </c>
    </row>
    <row r="1402">
      <c r="A1402" s="84" t="s">
        <v>3233</v>
      </c>
      <c r="B1402" s="84" t="s">
        <v>3253</v>
      </c>
      <c r="C1402" s="84" t="s">
        <v>761</v>
      </c>
      <c r="D1402" s="84" t="s">
        <v>3252</v>
      </c>
      <c r="E1402" s="86">
        <v>46310.0</v>
      </c>
      <c r="F1402" s="87">
        <v>3.0</v>
      </c>
      <c r="G1402" s="87">
        <v>0.0</v>
      </c>
      <c r="H1402" s="87">
        <v>3083.0</v>
      </c>
      <c r="I1402" s="87">
        <v>0.0</v>
      </c>
      <c r="J1402" s="87">
        <v>63.84578</v>
      </c>
      <c r="K1402" s="87">
        <v>69.7894</v>
      </c>
      <c r="L1402" s="87">
        <v>72.24677</v>
      </c>
      <c r="M1402" s="87">
        <v>29.32609</v>
      </c>
      <c r="N1402" s="87">
        <v>0.420208</v>
      </c>
      <c r="O1402" s="87">
        <v>17.56814</v>
      </c>
      <c r="P1402" s="87">
        <v>17.56814</v>
      </c>
      <c r="Q1402" s="87">
        <v>17.56814</v>
      </c>
      <c r="R1402" s="87">
        <v>22.89518</v>
      </c>
      <c r="S1402" s="87">
        <v>29.32609</v>
      </c>
      <c r="T1402" s="87">
        <v>17.56814</v>
      </c>
      <c r="U1402" s="87">
        <v>17.56814</v>
      </c>
      <c r="V1402" s="87">
        <v>17.56814</v>
      </c>
      <c r="W1402" s="87">
        <v>22.89518</v>
      </c>
      <c r="X1402" s="87">
        <v>29.32609</v>
      </c>
      <c r="Y1402" s="87">
        <v>23.26313</v>
      </c>
      <c r="Z1402" s="87">
        <v>0.0</v>
      </c>
      <c r="AA1402" s="87">
        <v>23.81353</v>
      </c>
      <c r="AB1402" s="87">
        <v>17.34434</v>
      </c>
      <c r="AC1402" s="87">
        <v>23.26313</v>
      </c>
      <c r="AD1402" s="87">
        <v>29.32609</v>
      </c>
      <c r="AE1402" s="87">
        <v>47.81342</v>
      </c>
      <c r="AF1402" s="87">
        <v>62.50276</v>
      </c>
      <c r="AG1402" s="87">
        <v>48.81353</v>
      </c>
      <c r="AH1402" s="87">
        <v>0.0</v>
      </c>
      <c r="AI1402" s="87">
        <v>29.10238</v>
      </c>
      <c r="AJ1402" s="87">
        <v>40.8264</v>
      </c>
      <c r="AK1402" s="87">
        <v>19.99848</v>
      </c>
      <c r="AL1402" s="88" t="s">
        <v>1396</v>
      </c>
    </row>
    <row r="1403">
      <c r="A1403" s="84" t="s">
        <v>3235</v>
      </c>
      <c r="B1403" s="84" t="s">
        <v>3254</v>
      </c>
      <c r="C1403" s="84" t="s">
        <v>761</v>
      </c>
      <c r="D1403" s="84" t="s">
        <v>3252</v>
      </c>
      <c r="E1403" s="84" t="s">
        <v>1413</v>
      </c>
      <c r="F1403" s="87">
        <v>2.0</v>
      </c>
      <c r="G1403" s="87">
        <v>0.0</v>
      </c>
      <c r="H1403" s="87">
        <v>2327.0</v>
      </c>
      <c r="I1403" s="87">
        <v>0.0</v>
      </c>
      <c r="J1403" s="87">
        <v>217.7644</v>
      </c>
      <c r="K1403" s="87">
        <v>138.079</v>
      </c>
      <c r="L1403" s="87">
        <v>128.6306</v>
      </c>
      <c r="M1403" s="87">
        <v>102.7817</v>
      </c>
      <c r="N1403" s="87">
        <v>0.744369</v>
      </c>
      <c r="O1403" s="87">
        <v>35.29727</v>
      </c>
      <c r="P1403" s="87">
        <v>35.29727</v>
      </c>
      <c r="Q1403" s="87">
        <v>35.29727</v>
      </c>
      <c r="R1403" s="87">
        <v>102.7817</v>
      </c>
      <c r="S1403" s="87">
        <v>102.7817</v>
      </c>
      <c r="T1403" s="87">
        <v>35.29727</v>
      </c>
      <c r="U1403" s="87">
        <v>35.29727</v>
      </c>
      <c r="V1403" s="87">
        <v>35.29727</v>
      </c>
      <c r="W1403" s="87">
        <v>102.7817</v>
      </c>
      <c r="X1403" s="87">
        <v>102.7817</v>
      </c>
      <c r="Y1403" s="87">
        <v>69.03948</v>
      </c>
      <c r="Z1403" s="87">
        <v>0.0</v>
      </c>
      <c r="AA1403" s="87">
        <v>23.81353</v>
      </c>
      <c r="AB1403" s="87">
        <v>17.34434</v>
      </c>
      <c r="AC1403" s="87">
        <v>23.26313</v>
      </c>
      <c r="AD1403" s="87">
        <v>52.87153</v>
      </c>
      <c r="AE1403" s="87">
        <v>52.87153</v>
      </c>
      <c r="AF1403" s="87">
        <v>71.80559</v>
      </c>
      <c r="AG1403" s="87">
        <v>69.03948</v>
      </c>
      <c r="AH1403" s="87">
        <v>0.0</v>
      </c>
      <c r="AI1403" s="87">
        <v>29.10238</v>
      </c>
      <c r="AJ1403" s="87">
        <v>40.8264</v>
      </c>
      <c r="AK1403" s="87">
        <v>19.99848</v>
      </c>
      <c r="AL1403" s="88" t="s">
        <v>1396</v>
      </c>
    </row>
    <row r="1404">
      <c r="A1404" s="84" t="s">
        <v>3255</v>
      </c>
      <c r="B1404" s="84" t="s">
        <v>3256</v>
      </c>
      <c r="C1404" s="84" t="s">
        <v>761</v>
      </c>
      <c r="D1404" s="84" t="s">
        <v>3252</v>
      </c>
      <c r="E1404" s="84" t="s">
        <v>1398</v>
      </c>
      <c r="F1404" s="87">
        <v>2.0</v>
      </c>
      <c r="G1404" s="87">
        <v>0.0</v>
      </c>
      <c r="H1404" s="87">
        <v>2260.0</v>
      </c>
      <c r="I1404" s="87">
        <v>0.0</v>
      </c>
      <c r="J1404" s="87">
        <v>32.12439</v>
      </c>
      <c r="K1404" s="87">
        <v>30.99694</v>
      </c>
      <c r="L1404" s="87">
        <v>28.78857</v>
      </c>
      <c r="M1404" s="87">
        <v>23.81353</v>
      </c>
      <c r="N1404" s="87">
        <v>0.768254</v>
      </c>
      <c r="O1404" s="87">
        <v>7.183408</v>
      </c>
      <c r="P1404" s="87">
        <v>7.183408</v>
      </c>
      <c r="Q1404" s="87">
        <v>7.183408</v>
      </c>
      <c r="R1404" s="87">
        <v>23.81353</v>
      </c>
      <c r="S1404" s="87">
        <v>23.81353</v>
      </c>
      <c r="T1404" s="87">
        <v>7.183408</v>
      </c>
      <c r="U1404" s="87">
        <v>7.183408</v>
      </c>
      <c r="V1404" s="87">
        <v>7.183408</v>
      </c>
      <c r="W1404" s="87">
        <v>23.81353</v>
      </c>
      <c r="X1404" s="87">
        <v>23.81353</v>
      </c>
      <c r="Y1404" s="87">
        <v>15.49847</v>
      </c>
      <c r="Z1404" s="87">
        <v>0.0</v>
      </c>
      <c r="AA1404" s="87">
        <v>23.81353</v>
      </c>
      <c r="AB1404" s="87">
        <v>17.34434</v>
      </c>
      <c r="AC1404" s="87">
        <v>23.26313</v>
      </c>
      <c r="AD1404" s="87">
        <v>23.81353</v>
      </c>
      <c r="AE1404" s="87">
        <v>23.81353</v>
      </c>
      <c r="AF1404" s="87">
        <v>17.41279</v>
      </c>
      <c r="AG1404" s="87">
        <v>15.49847</v>
      </c>
      <c r="AH1404" s="87">
        <v>0.0</v>
      </c>
      <c r="AI1404" s="87">
        <v>29.10238</v>
      </c>
      <c r="AJ1404" s="87">
        <v>40.8264</v>
      </c>
      <c r="AK1404" s="87">
        <v>19.99848</v>
      </c>
      <c r="AL1404" s="88" t="s">
        <v>1396</v>
      </c>
    </row>
    <row r="1405">
      <c r="A1405" s="84" t="s">
        <v>3237</v>
      </c>
      <c r="B1405" s="84" t="s">
        <v>3257</v>
      </c>
      <c r="C1405" s="84" t="s">
        <v>761</v>
      </c>
      <c r="D1405" s="84" t="s">
        <v>3252</v>
      </c>
      <c r="E1405" s="84" t="s">
        <v>1400</v>
      </c>
      <c r="F1405" s="87">
        <v>13.0</v>
      </c>
      <c r="G1405" s="87">
        <v>0.0</v>
      </c>
      <c r="H1405" s="87">
        <v>26959.0</v>
      </c>
      <c r="I1405" s="87">
        <v>0.0</v>
      </c>
      <c r="J1405" s="87">
        <v>503.311</v>
      </c>
      <c r="K1405" s="87">
        <v>508.7034</v>
      </c>
      <c r="L1405" s="87">
        <v>503.342</v>
      </c>
      <c r="M1405" s="87">
        <v>267.2507</v>
      </c>
      <c r="N1405" s="87">
        <v>0.525357</v>
      </c>
      <c r="O1405" s="87">
        <v>6.65421</v>
      </c>
      <c r="P1405" s="87">
        <v>9.730296</v>
      </c>
      <c r="Q1405" s="87">
        <v>11.98691</v>
      </c>
      <c r="R1405" s="87">
        <v>31.53761</v>
      </c>
      <c r="S1405" s="87">
        <v>55.69951</v>
      </c>
      <c r="T1405" s="87">
        <v>9.730296</v>
      </c>
      <c r="U1405" s="87">
        <v>11.98691</v>
      </c>
      <c r="V1405" s="87">
        <v>20.86488</v>
      </c>
      <c r="W1405" s="87">
        <v>31.59551</v>
      </c>
      <c r="X1405" s="87">
        <v>55.69951</v>
      </c>
      <c r="Y1405" s="87">
        <v>39.13103</v>
      </c>
      <c r="Z1405" s="87">
        <v>0.0</v>
      </c>
      <c r="AA1405" s="87">
        <v>23.81353</v>
      </c>
      <c r="AB1405" s="87">
        <v>17.34434</v>
      </c>
      <c r="AC1405" s="87">
        <v>23.26313</v>
      </c>
      <c r="AD1405" s="87">
        <v>20.86488</v>
      </c>
      <c r="AE1405" s="87">
        <v>23.47262</v>
      </c>
      <c r="AF1405" s="87">
        <v>30.74659</v>
      </c>
      <c r="AG1405" s="87">
        <v>37.69586</v>
      </c>
      <c r="AH1405" s="87">
        <v>0.0</v>
      </c>
      <c r="AI1405" s="87">
        <v>29.10238</v>
      </c>
      <c r="AJ1405" s="87">
        <v>40.8264</v>
      </c>
      <c r="AK1405" s="87">
        <v>19.99848</v>
      </c>
      <c r="AL1405" s="88" t="s">
        <v>1396</v>
      </c>
    </row>
    <row r="1406">
      <c r="A1406" s="84" t="s">
        <v>3239</v>
      </c>
      <c r="B1406" s="84" t="s">
        <v>3258</v>
      </c>
      <c r="C1406" s="84" t="s">
        <v>761</v>
      </c>
      <c r="D1406" s="84" t="s">
        <v>3252</v>
      </c>
      <c r="E1406" s="89">
        <v>46300.0</v>
      </c>
      <c r="F1406" s="87">
        <v>4.0</v>
      </c>
      <c r="G1406" s="87">
        <v>0.0</v>
      </c>
      <c r="H1406" s="87">
        <v>9136.0</v>
      </c>
      <c r="I1406" s="87">
        <v>0.0</v>
      </c>
      <c r="J1406" s="87">
        <v>134.2786</v>
      </c>
      <c r="K1406" s="87">
        <v>136.7304</v>
      </c>
      <c r="L1406" s="87">
        <v>145.0662</v>
      </c>
      <c r="M1406" s="87">
        <v>104.2271</v>
      </c>
      <c r="N1406" s="87">
        <v>0.762282</v>
      </c>
      <c r="O1406" s="87">
        <v>2.256507</v>
      </c>
      <c r="P1406" s="87">
        <v>2.256507</v>
      </c>
      <c r="Q1406" s="87">
        <v>10.36534</v>
      </c>
      <c r="R1406" s="87">
        <v>19.88144</v>
      </c>
      <c r="S1406" s="87">
        <v>19.88144</v>
      </c>
      <c r="T1406" s="87">
        <v>2.256507</v>
      </c>
      <c r="U1406" s="87">
        <v>2.256507</v>
      </c>
      <c r="V1406" s="87">
        <v>10.36534</v>
      </c>
      <c r="W1406" s="87">
        <v>19.88144</v>
      </c>
      <c r="X1406" s="87">
        <v>19.88144</v>
      </c>
      <c r="Y1406" s="87">
        <v>34.1826</v>
      </c>
      <c r="Z1406" s="87">
        <v>0.0</v>
      </c>
      <c r="AA1406" s="87">
        <v>23.81353</v>
      </c>
      <c r="AB1406" s="87">
        <v>17.34434</v>
      </c>
      <c r="AC1406" s="87">
        <v>23.26313</v>
      </c>
      <c r="AD1406" s="87">
        <v>19.88144</v>
      </c>
      <c r="AE1406" s="87">
        <v>26.2186</v>
      </c>
      <c r="AF1406" s="87">
        <v>150.3717</v>
      </c>
      <c r="AG1406" s="87">
        <v>34.1826</v>
      </c>
      <c r="AH1406" s="87">
        <v>0.0</v>
      </c>
      <c r="AI1406" s="87">
        <v>29.10238</v>
      </c>
      <c r="AJ1406" s="87">
        <v>40.8264</v>
      </c>
      <c r="AK1406" s="87">
        <v>19.99848</v>
      </c>
      <c r="AL1406" s="88" t="s">
        <v>1396</v>
      </c>
    </row>
    <row r="1407">
      <c r="A1407" s="84" t="s">
        <v>3241</v>
      </c>
      <c r="B1407" s="84" t="s">
        <v>3259</v>
      </c>
      <c r="C1407" s="84" t="s">
        <v>761</v>
      </c>
      <c r="D1407" s="84" t="s">
        <v>3252</v>
      </c>
      <c r="E1407" s="84" t="s">
        <v>1403</v>
      </c>
      <c r="F1407" s="87">
        <v>27.0</v>
      </c>
      <c r="G1407" s="87">
        <v>0.0</v>
      </c>
      <c r="H1407" s="87">
        <v>0.0</v>
      </c>
      <c r="I1407" s="87">
        <v>0.0</v>
      </c>
      <c r="J1407" s="87">
        <v>0.0</v>
      </c>
      <c r="K1407" s="87">
        <v>0.0</v>
      </c>
      <c r="L1407" s="87">
        <v>0.0</v>
      </c>
      <c r="M1407" s="87">
        <v>0.0</v>
      </c>
      <c r="N1407" s="87">
        <v>0.0</v>
      </c>
      <c r="O1407" s="87">
        <v>0.0</v>
      </c>
      <c r="P1407" s="87">
        <v>0.0</v>
      </c>
      <c r="Q1407" s="87">
        <v>0.0</v>
      </c>
      <c r="R1407" s="87">
        <v>0.0</v>
      </c>
      <c r="S1407" s="87">
        <v>0.0</v>
      </c>
      <c r="T1407" s="87">
        <v>0.0</v>
      </c>
      <c r="U1407" s="87">
        <v>0.0</v>
      </c>
      <c r="V1407" s="87">
        <v>0.0</v>
      </c>
      <c r="W1407" s="87">
        <v>0.0</v>
      </c>
      <c r="X1407" s="87">
        <v>0.0</v>
      </c>
      <c r="Y1407" s="87">
        <v>0.0</v>
      </c>
      <c r="Z1407" s="87">
        <v>0.0</v>
      </c>
      <c r="AA1407" s="87">
        <v>23.81353</v>
      </c>
      <c r="AB1407" s="87">
        <v>17.34434</v>
      </c>
      <c r="AC1407" s="87">
        <v>23.26313</v>
      </c>
      <c r="AD1407" s="87">
        <v>0.0</v>
      </c>
      <c r="AE1407" s="87">
        <v>0.0</v>
      </c>
      <c r="AF1407" s="87">
        <v>0.0</v>
      </c>
      <c r="AG1407" s="87">
        <v>0.0</v>
      </c>
      <c r="AH1407" s="87">
        <v>0.0</v>
      </c>
      <c r="AI1407" s="87">
        <v>29.10238</v>
      </c>
      <c r="AJ1407" s="87">
        <v>40.8264</v>
      </c>
      <c r="AK1407" s="87">
        <v>19.99848</v>
      </c>
      <c r="AL1407" s="88" t="s">
        <v>1396</v>
      </c>
    </row>
    <row r="1408">
      <c r="A1408" s="84" t="s">
        <v>3230</v>
      </c>
      <c r="B1408" s="84" t="s">
        <v>3260</v>
      </c>
      <c r="C1408" s="84" t="s">
        <v>761</v>
      </c>
      <c r="D1408" s="84" t="s">
        <v>762</v>
      </c>
      <c r="E1408" s="84" t="s">
        <v>1426</v>
      </c>
      <c r="F1408" s="87">
        <v>2.0</v>
      </c>
      <c r="G1408" s="87">
        <v>0.0</v>
      </c>
      <c r="H1408" s="87">
        <v>18.0</v>
      </c>
      <c r="I1408" s="87">
        <v>0.0</v>
      </c>
      <c r="J1408" s="87">
        <v>1.333333</v>
      </c>
      <c r="K1408" s="87">
        <v>8.176419</v>
      </c>
      <c r="L1408" s="87">
        <v>4.221175</v>
      </c>
      <c r="M1408" s="87">
        <v>8.176419</v>
      </c>
      <c r="N1408" s="87">
        <v>1.0</v>
      </c>
      <c r="O1408" s="87">
        <v>0.0</v>
      </c>
      <c r="P1408" s="87">
        <v>0.0</v>
      </c>
      <c r="Q1408" s="87">
        <v>0.0</v>
      </c>
      <c r="R1408" s="87">
        <v>8.176419</v>
      </c>
      <c r="S1408" s="87">
        <v>8.176419</v>
      </c>
      <c r="T1408" s="87">
        <v>8.176419</v>
      </c>
      <c r="U1408" s="87">
        <v>8.176419</v>
      </c>
      <c r="V1408" s="87">
        <v>8.176419</v>
      </c>
      <c r="W1408" s="87">
        <v>8.176419</v>
      </c>
      <c r="X1408" s="87">
        <v>8.176419</v>
      </c>
      <c r="Y1408" s="87">
        <v>4.08821</v>
      </c>
      <c r="Z1408" s="87">
        <v>0.0</v>
      </c>
      <c r="AA1408" s="87">
        <v>24.50331</v>
      </c>
      <c r="AB1408" s="87">
        <v>15.55313</v>
      </c>
      <c r="AC1408" s="87">
        <v>19.99848</v>
      </c>
      <c r="AD1408" s="87">
        <v>1.0</v>
      </c>
      <c r="AE1408" s="87">
        <v>17.60654</v>
      </c>
      <c r="AF1408" s="87">
        <v>64.13596</v>
      </c>
      <c r="AG1408" s="87">
        <v>17.60654</v>
      </c>
      <c r="AH1408" s="87">
        <v>0.0</v>
      </c>
      <c r="AI1408" s="87">
        <v>29.10238</v>
      </c>
      <c r="AJ1408" s="87">
        <v>40.8264</v>
      </c>
      <c r="AK1408" s="87">
        <v>19.99848</v>
      </c>
      <c r="AL1408" s="88" t="s">
        <v>1396</v>
      </c>
    </row>
    <row r="1409">
      <c r="A1409" s="84" t="s">
        <v>3233</v>
      </c>
      <c r="B1409" s="84" t="s">
        <v>3261</v>
      </c>
      <c r="C1409" s="84" t="s">
        <v>761</v>
      </c>
      <c r="D1409" s="84" t="s">
        <v>762</v>
      </c>
      <c r="E1409" s="86">
        <v>46310.0</v>
      </c>
      <c r="F1409" s="87">
        <v>2.0</v>
      </c>
      <c r="G1409" s="87">
        <v>0.0</v>
      </c>
      <c r="H1409" s="87">
        <v>1949.0</v>
      </c>
      <c r="I1409" s="87">
        <v>0.0</v>
      </c>
      <c r="J1409" s="87">
        <v>104.3182</v>
      </c>
      <c r="K1409" s="87">
        <v>115.4937</v>
      </c>
      <c r="L1409" s="87">
        <v>112.3428</v>
      </c>
      <c r="M1409" s="87">
        <v>101.5191</v>
      </c>
      <c r="N1409" s="87">
        <v>0.879001</v>
      </c>
      <c r="O1409" s="87">
        <v>13.97466</v>
      </c>
      <c r="P1409" s="87">
        <v>13.97466</v>
      </c>
      <c r="Q1409" s="87">
        <v>13.97466</v>
      </c>
      <c r="R1409" s="87">
        <v>101.5191</v>
      </c>
      <c r="S1409" s="87">
        <v>101.5191</v>
      </c>
      <c r="T1409" s="87">
        <v>13.97466</v>
      </c>
      <c r="U1409" s="87">
        <v>13.97466</v>
      </c>
      <c r="V1409" s="87">
        <v>13.97466</v>
      </c>
      <c r="W1409" s="87">
        <v>101.5191</v>
      </c>
      <c r="X1409" s="87">
        <v>101.5191</v>
      </c>
      <c r="Y1409" s="87">
        <v>57.74686</v>
      </c>
      <c r="Z1409" s="87">
        <v>0.0</v>
      </c>
      <c r="AA1409" s="87">
        <v>24.50331</v>
      </c>
      <c r="AB1409" s="87">
        <v>15.55313</v>
      </c>
      <c r="AC1409" s="87">
        <v>19.99848</v>
      </c>
      <c r="AD1409" s="87">
        <v>29.32609</v>
      </c>
      <c r="AE1409" s="87">
        <v>47.81342</v>
      </c>
      <c r="AF1409" s="87">
        <v>62.50276</v>
      </c>
      <c r="AG1409" s="87">
        <v>48.81353</v>
      </c>
      <c r="AH1409" s="87">
        <v>0.0</v>
      </c>
      <c r="AI1409" s="87">
        <v>29.10238</v>
      </c>
      <c r="AJ1409" s="87">
        <v>40.8264</v>
      </c>
      <c r="AK1409" s="87">
        <v>19.99848</v>
      </c>
      <c r="AL1409" s="88" t="s">
        <v>1396</v>
      </c>
    </row>
    <row r="1410">
      <c r="A1410" s="84" t="s">
        <v>3235</v>
      </c>
      <c r="B1410" s="84" t="s">
        <v>3262</v>
      </c>
      <c r="C1410" s="84" t="s">
        <v>761</v>
      </c>
      <c r="D1410" s="84" t="s">
        <v>762</v>
      </c>
      <c r="E1410" s="84" t="s">
        <v>1413</v>
      </c>
      <c r="F1410" s="87">
        <v>6.0</v>
      </c>
      <c r="G1410" s="87">
        <v>0.0</v>
      </c>
      <c r="H1410" s="87">
        <v>19355.0</v>
      </c>
      <c r="I1410" s="87">
        <v>0.0</v>
      </c>
      <c r="J1410" s="87">
        <v>332.766</v>
      </c>
      <c r="K1410" s="87">
        <v>339.3957</v>
      </c>
      <c r="L1410" s="87">
        <v>329.1261</v>
      </c>
      <c r="M1410" s="87">
        <v>221.6737</v>
      </c>
      <c r="N1410" s="87">
        <v>0.653142</v>
      </c>
      <c r="O1410" s="87">
        <v>9.264987</v>
      </c>
      <c r="P1410" s="87">
        <v>24.82139</v>
      </c>
      <c r="Q1410" s="87">
        <v>24.82139</v>
      </c>
      <c r="R1410" s="87">
        <v>52.87153</v>
      </c>
      <c r="S1410" s="87">
        <v>64.20009</v>
      </c>
      <c r="T1410" s="87">
        <v>9.264987</v>
      </c>
      <c r="U1410" s="87">
        <v>24.82139</v>
      </c>
      <c r="V1410" s="87">
        <v>24.82139</v>
      </c>
      <c r="W1410" s="87">
        <v>52.87153</v>
      </c>
      <c r="X1410" s="87">
        <v>64.20009</v>
      </c>
      <c r="Y1410" s="87">
        <v>56.56594</v>
      </c>
      <c r="Z1410" s="87">
        <v>0.0</v>
      </c>
      <c r="AA1410" s="87">
        <v>24.50331</v>
      </c>
      <c r="AB1410" s="87">
        <v>15.55313</v>
      </c>
      <c r="AC1410" s="87">
        <v>19.99848</v>
      </c>
      <c r="AD1410" s="87">
        <v>52.87153</v>
      </c>
      <c r="AE1410" s="87">
        <v>52.87153</v>
      </c>
      <c r="AF1410" s="87">
        <v>71.80559</v>
      </c>
      <c r="AG1410" s="87">
        <v>69.03948</v>
      </c>
      <c r="AH1410" s="87">
        <v>0.0</v>
      </c>
      <c r="AI1410" s="87">
        <v>29.10238</v>
      </c>
      <c r="AJ1410" s="87">
        <v>40.8264</v>
      </c>
      <c r="AK1410" s="87">
        <v>19.99848</v>
      </c>
      <c r="AL1410" s="88" t="s">
        <v>1396</v>
      </c>
    </row>
    <row r="1411">
      <c r="A1411" s="84" t="s">
        <v>3255</v>
      </c>
      <c r="B1411" s="84" t="s">
        <v>3263</v>
      </c>
      <c r="C1411" s="84" t="s">
        <v>761</v>
      </c>
      <c r="D1411" s="84" t="s">
        <v>762</v>
      </c>
      <c r="E1411" s="84" t="s">
        <v>1398</v>
      </c>
      <c r="F1411" s="87">
        <v>2.0</v>
      </c>
      <c r="G1411" s="87">
        <v>0.0</v>
      </c>
      <c r="H1411" s="87">
        <v>1947.0</v>
      </c>
      <c r="I1411" s="87">
        <v>0.0</v>
      </c>
      <c r="J1411" s="87">
        <v>27.86116</v>
      </c>
      <c r="K1411" s="87">
        <v>28.45933</v>
      </c>
      <c r="L1411" s="87">
        <v>30.76126</v>
      </c>
      <c r="M1411" s="87">
        <v>24.50331</v>
      </c>
      <c r="N1411" s="87">
        <v>0.860994</v>
      </c>
      <c r="O1411" s="87">
        <v>3.956025</v>
      </c>
      <c r="P1411" s="87">
        <v>3.956025</v>
      </c>
      <c r="Q1411" s="87">
        <v>3.956025</v>
      </c>
      <c r="R1411" s="87">
        <v>24.50331</v>
      </c>
      <c r="S1411" s="87">
        <v>24.50331</v>
      </c>
      <c r="T1411" s="87">
        <v>3.956025</v>
      </c>
      <c r="U1411" s="87">
        <v>3.956025</v>
      </c>
      <c r="V1411" s="87">
        <v>3.956025</v>
      </c>
      <c r="W1411" s="87">
        <v>24.50331</v>
      </c>
      <c r="X1411" s="87">
        <v>24.50331</v>
      </c>
      <c r="Y1411" s="87">
        <v>14.22967</v>
      </c>
      <c r="Z1411" s="87">
        <v>0.0</v>
      </c>
      <c r="AA1411" s="87">
        <v>24.50331</v>
      </c>
      <c r="AB1411" s="87">
        <v>15.55313</v>
      </c>
      <c r="AC1411" s="87">
        <v>19.99848</v>
      </c>
      <c r="AD1411" s="87">
        <v>23.81353</v>
      </c>
      <c r="AE1411" s="87">
        <v>23.81353</v>
      </c>
      <c r="AF1411" s="87">
        <v>17.41279</v>
      </c>
      <c r="AG1411" s="87">
        <v>15.49847</v>
      </c>
      <c r="AH1411" s="87">
        <v>0.0</v>
      </c>
      <c r="AI1411" s="87">
        <v>29.10238</v>
      </c>
      <c r="AJ1411" s="87">
        <v>40.8264</v>
      </c>
      <c r="AK1411" s="87">
        <v>19.99848</v>
      </c>
      <c r="AL1411" s="88" t="s">
        <v>1396</v>
      </c>
    </row>
    <row r="1412">
      <c r="A1412" s="84" t="s">
        <v>3237</v>
      </c>
      <c r="B1412" s="84" t="s">
        <v>3264</v>
      </c>
      <c r="C1412" s="84" t="s">
        <v>761</v>
      </c>
      <c r="D1412" s="84" t="s">
        <v>762</v>
      </c>
      <c r="E1412" s="84" t="s">
        <v>1400</v>
      </c>
      <c r="F1412" s="87">
        <v>7.0</v>
      </c>
      <c r="G1412" s="87">
        <v>0.0</v>
      </c>
      <c r="H1412" s="87">
        <v>16158.0</v>
      </c>
      <c r="I1412" s="87">
        <v>0.0</v>
      </c>
      <c r="J1412" s="87">
        <v>272.088</v>
      </c>
      <c r="K1412" s="87">
        <v>263.871</v>
      </c>
      <c r="L1412" s="87">
        <v>265.0708</v>
      </c>
      <c r="M1412" s="87">
        <v>176.1023</v>
      </c>
      <c r="N1412" s="87">
        <v>0.66738</v>
      </c>
      <c r="O1412" s="87">
        <v>0.0</v>
      </c>
      <c r="P1412" s="87">
        <v>4.390429</v>
      </c>
      <c r="Q1412" s="87">
        <v>18.70844</v>
      </c>
      <c r="R1412" s="87">
        <v>23.47262</v>
      </c>
      <c r="S1412" s="87">
        <v>41.19721</v>
      </c>
      <c r="T1412" s="87">
        <v>4.390429</v>
      </c>
      <c r="U1412" s="87">
        <v>18.70844</v>
      </c>
      <c r="V1412" s="87">
        <v>18.70844</v>
      </c>
      <c r="W1412" s="87">
        <v>41.19721</v>
      </c>
      <c r="X1412" s="87">
        <v>60.72316</v>
      </c>
      <c r="Y1412" s="87">
        <v>37.69586</v>
      </c>
      <c r="Z1412" s="87">
        <v>0.0</v>
      </c>
      <c r="AA1412" s="87">
        <v>24.50331</v>
      </c>
      <c r="AB1412" s="87">
        <v>15.55313</v>
      </c>
      <c r="AC1412" s="87">
        <v>19.99848</v>
      </c>
      <c r="AD1412" s="87">
        <v>20.86488</v>
      </c>
      <c r="AE1412" s="87">
        <v>23.47262</v>
      </c>
      <c r="AF1412" s="87">
        <v>30.74659</v>
      </c>
      <c r="AG1412" s="87">
        <v>37.69586</v>
      </c>
      <c r="AH1412" s="87">
        <v>0.0</v>
      </c>
      <c r="AI1412" s="87">
        <v>29.10238</v>
      </c>
      <c r="AJ1412" s="87">
        <v>40.8264</v>
      </c>
      <c r="AK1412" s="87">
        <v>19.99848</v>
      </c>
      <c r="AL1412" s="88" t="s">
        <v>1396</v>
      </c>
    </row>
    <row r="1413">
      <c r="A1413" s="84" t="s">
        <v>3239</v>
      </c>
      <c r="B1413" s="84" t="s">
        <v>3265</v>
      </c>
      <c r="C1413" s="84" t="s">
        <v>761</v>
      </c>
      <c r="D1413" s="84" t="s">
        <v>762</v>
      </c>
      <c r="E1413" s="89">
        <v>46300.0</v>
      </c>
      <c r="F1413" s="87">
        <v>26.0</v>
      </c>
      <c r="G1413" s="87">
        <v>1.0</v>
      </c>
      <c r="H1413" s="87">
        <v>26777.0</v>
      </c>
      <c r="I1413" s="87">
        <v>20.0</v>
      </c>
      <c r="J1413" s="87">
        <v>526.5696</v>
      </c>
      <c r="K1413" s="87">
        <v>519.9604</v>
      </c>
      <c r="L1413" s="87">
        <v>504.3759</v>
      </c>
      <c r="M1413" s="87">
        <v>295.6293</v>
      </c>
      <c r="N1413" s="87">
        <v>0.568561</v>
      </c>
      <c r="O1413" s="87">
        <v>0.0</v>
      </c>
      <c r="P1413" s="87">
        <v>1.947101</v>
      </c>
      <c r="Q1413" s="87">
        <v>5.400983</v>
      </c>
      <c r="R1413" s="87">
        <v>15.05865</v>
      </c>
      <c r="S1413" s="87">
        <v>26.2186</v>
      </c>
      <c r="T1413" s="87">
        <v>5.400983</v>
      </c>
      <c r="U1413" s="87">
        <v>8.737999</v>
      </c>
      <c r="V1413" s="87">
        <v>10.42958</v>
      </c>
      <c r="W1413" s="87">
        <v>20.98966</v>
      </c>
      <c r="X1413" s="87">
        <v>32.46997</v>
      </c>
      <c r="Y1413" s="87">
        <v>19.99848</v>
      </c>
      <c r="Z1413" s="87">
        <v>0.0</v>
      </c>
      <c r="AA1413" s="87">
        <v>24.50331</v>
      </c>
      <c r="AB1413" s="87">
        <v>15.55313</v>
      </c>
      <c r="AC1413" s="87">
        <v>19.99848</v>
      </c>
      <c r="AD1413" s="87">
        <v>19.88144</v>
      </c>
      <c r="AE1413" s="87">
        <v>26.2186</v>
      </c>
      <c r="AF1413" s="87">
        <v>150.3717</v>
      </c>
      <c r="AG1413" s="87">
        <v>34.1826</v>
      </c>
      <c r="AH1413" s="87">
        <v>0.0</v>
      </c>
      <c r="AI1413" s="87">
        <v>29.10238</v>
      </c>
      <c r="AJ1413" s="87">
        <v>40.8264</v>
      </c>
      <c r="AK1413" s="87">
        <v>19.99848</v>
      </c>
      <c r="AL1413" s="88" t="s">
        <v>1396</v>
      </c>
    </row>
    <row r="1414">
      <c r="A1414" s="84" t="s">
        <v>3241</v>
      </c>
      <c r="B1414" s="84" t="s">
        <v>3266</v>
      </c>
      <c r="C1414" s="84" t="s">
        <v>761</v>
      </c>
      <c r="D1414" s="84" t="s">
        <v>762</v>
      </c>
      <c r="E1414" s="84" t="s">
        <v>1403</v>
      </c>
      <c r="F1414" s="87">
        <v>37.0</v>
      </c>
      <c r="G1414" s="87">
        <v>0.0</v>
      </c>
      <c r="H1414" s="87">
        <v>0.0</v>
      </c>
      <c r="I1414" s="87">
        <v>0.0</v>
      </c>
      <c r="J1414" s="87">
        <v>0.0</v>
      </c>
      <c r="K1414" s="87">
        <v>0.0</v>
      </c>
      <c r="L1414" s="87">
        <v>0.0</v>
      </c>
      <c r="M1414" s="87">
        <v>0.0</v>
      </c>
      <c r="N1414" s="87">
        <v>0.0</v>
      </c>
      <c r="O1414" s="87">
        <v>0.0</v>
      </c>
      <c r="P1414" s="87">
        <v>0.0</v>
      </c>
      <c r="Q1414" s="87">
        <v>0.0</v>
      </c>
      <c r="R1414" s="87">
        <v>0.0</v>
      </c>
      <c r="S1414" s="87">
        <v>0.0</v>
      </c>
      <c r="T1414" s="87">
        <v>0.0</v>
      </c>
      <c r="U1414" s="87">
        <v>0.0</v>
      </c>
      <c r="V1414" s="87">
        <v>0.0</v>
      </c>
      <c r="W1414" s="87">
        <v>0.0</v>
      </c>
      <c r="X1414" s="87">
        <v>0.0</v>
      </c>
      <c r="Y1414" s="87">
        <v>0.0</v>
      </c>
      <c r="Z1414" s="87">
        <v>0.0</v>
      </c>
      <c r="AA1414" s="87">
        <v>24.50331</v>
      </c>
      <c r="AB1414" s="87">
        <v>15.55313</v>
      </c>
      <c r="AC1414" s="87">
        <v>19.99848</v>
      </c>
      <c r="AD1414" s="87">
        <v>0.0</v>
      </c>
      <c r="AE1414" s="87">
        <v>0.0</v>
      </c>
      <c r="AF1414" s="87">
        <v>0.0</v>
      </c>
      <c r="AG1414" s="87">
        <v>0.0</v>
      </c>
      <c r="AH1414" s="87">
        <v>0.0</v>
      </c>
      <c r="AI1414" s="87">
        <v>29.10238</v>
      </c>
      <c r="AJ1414" s="87">
        <v>40.8264</v>
      </c>
      <c r="AK1414" s="87">
        <v>19.99848</v>
      </c>
      <c r="AL1414" s="88" t="s">
        <v>1396</v>
      </c>
    </row>
    <row r="1415">
      <c r="A1415" s="84" t="s">
        <v>3230</v>
      </c>
      <c r="B1415" s="84" t="s">
        <v>3267</v>
      </c>
      <c r="C1415" s="84" t="s">
        <v>761</v>
      </c>
      <c r="D1415" s="84" t="s">
        <v>3268</v>
      </c>
      <c r="E1415" s="84" t="s">
        <v>1426</v>
      </c>
      <c r="F1415" s="87">
        <v>13.0</v>
      </c>
      <c r="G1415" s="87">
        <v>0.0</v>
      </c>
      <c r="H1415" s="87">
        <v>21988.0</v>
      </c>
      <c r="I1415" s="87">
        <v>0.0</v>
      </c>
      <c r="J1415" s="87">
        <v>912.3931</v>
      </c>
      <c r="K1415" s="87">
        <v>953.7793</v>
      </c>
      <c r="L1415" s="87">
        <v>935.9776</v>
      </c>
      <c r="M1415" s="87">
        <v>913.8284</v>
      </c>
      <c r="N1415" s="87">
        <v>0.958113</v>
      </c>
      <c r="O1415" s="87">
        <v>0.0</v>
      </c>
      <c r="P1415" s="87">
        <v>0.0</v>
      </c>
      <c r="Q1415" s="87">
        <v>0.0</v>
      </c>
      <c r="R1415" s="87">
        <v>1.0</v>
      </c>
      <c r="S1415" s="87">
        <v>33.81505</v>
      </c>
      <c r="T1415" s="87">
        <v>0.5</v>
      </c>
      <c r="U1415" s="87">
        <v>0.921082</v>
      </c>
      <c r="V1415" s="87">
        <v>1.0</v>
      </c>
      <c r="W1415" s="87">
        <v>2.381479</v>
      </c>
      <c r="X1415" s="87">
        <v>127.3244</v>
      </c>
      <c r="Y1415" s="87">
        <v>73.36764</v>
      </c>
      <c r="Z1415" s="87">
        <v>0.0</v>
      </c>
      <c r="AA1415" s="87">
        <v>47.81342</v>
      </c>
      <c r="AB1415" s="87">
        <v>77.53859</v>
      </c>
      <c r="AC1415" s="87">
        <v>73.36764</v>
      </c>
      <c r="AD1415" s="87">
        <v>1.0</v>
      </c>
      <c r="AE1415" s="87">
        <v>17.60654</v>
      </c>
      <c r="AF1415" s="87">
        <v>64.13596</v>
      </c>
      <c r="AG1415" s="87">
        <v>17.60654</v>
      </c>
      <c r="AH1415" s="87">
        <v>0.0</v>
      </c>
      <c r="AI1415" s="87">
        <v>29.10238</v>
      </c>
      <c r="AJ1415" s="87">
        <v>40.8264</v>
      </c>
      <c r="AK1415" s="87">
        <v>19.99848</v>
      </c>
      <c r="AL1415" s="88" t="s">
        <v>1396</v>
      </c>
    </row>
    <row r="1416">
      <c r="A1416" s="84" t="s">
        <v>3233</v>
      </c>
      <c r="B1416" s="84" t="s">
        <v>3269</v>
      </c>
      <c r="C1416" s="84" t="s">
        <v>761</v>
      </c>
      <c r="D1416" s="84" t="s">
        <v>3268</v>
      </c>
      <c r="E1416" s="86">
        <v>46310.0</v>
      </c>
      <c r="F1416" s="87">
        <v>13.0</v>
      </c>
      <c r="G1416" s="87">
        <v>0.0</v>
      </c>
      <c r="H1416" s="87">
        <v>21056.0</v>
      </c>
      <c r="I1416" s="87">
        <v>0.0</v>
      </c>
      <c r="J1416" s="87">
        <v>1067.019</v>
      </c>
      <c r="K1416" s="87">
        <v>1119.529</v>
      </c>
      <c r="L1416" s="87">
        <v>1136.658</v>
      </c>
      <c r="M1416" s="87">
        <v>757.139</v>
      </c>
      <c r="N1416" s="87">
        <v>0.676301</v>
      </c>
      <c r="O1416" s="87">
        <v>2.584015</v>
      </c>
      <c r="P1416" s="87">
        <v>4.190197</v>
      </c>
      <c r="Q1416" s="87">
        <v>9.060227</v>
      </c>
      <c r="R1416" s="87">
        <v>47.81342</v>
      </c>
      <c r="S1416" s="87">
        <v>105.153</v>
      </c>
      <c r="T1416" s="87">
        <v>4.190197</v>
      </c>
      <c r="U1416" s="87">
        <v>9.060227</v>
      </c>
      <c r="V1416" s="87">
        <v>14.05241</v>
      </c>
      <c r="W1416" s="87">
        <v>67.69856</v>
      </c>
      <c r="X1416" s="87">
        <v>105.153</v>
      </c>
      <c r="Y1416" s="87">
        <v>86.11762</v>
      </c>
      <c r="Z1416" s="87">
        <v>0.0</v>
      </c>
      <c r="AA1416" s="87">
        <v>47.81342</v>
      </c>
      <c r="AB1416" s="87">
        <v>77.53859</v>
      </c>
      <c r="AC1416" s="87">
        <v>73.36764</v>
      </c>
      <c r="AD1416" s="87">
        <v>29.32609</v>
      </c>
      <c r="AE1416" s="87">
        <v>47.81342</v>
      </c>
      <c r="AF1416" s="87">
        <v>62.50276</v>
      </c>
      <c r="AG1416" s="87">
        <v>48.81353</v>
      </c>
      <c r="AH1416" s="87">
        <v>0.0</v>
      </c>
      <c r="AI1416" s="87">
        <v>29.10238</v>
      </c>
      <c r="AJ1416" s="87">
        <v>40.8264</v>
      </c>
      <c r="AK1416" s="87">
        <v>19.99848</v>
      </c>
      <c r="AL1416" s="88" t="s">
        <v>1396</v>
      </c>
    </row>
    <row r="1417">
      <c r="A1417" s="84" t="s">
        <v>3235</v>
      </c>
      <c r="B1417" s="84" t="s">
        <v>3270</v>
      </c>
      <c r="C1417" s="84" t="s">
        <v>761</v>
      </c>
      <c r="D1417" s="84" t="s">
        <v>3268</v>
      </c>
      <c r="E1417" s="84" t="s">
        <v>1413</v>
      </c>
      <c r="F1417" s="87">
        <v>3.0</v>
      </c>
      <c r="G1417" s="87">
        <v>0.0</v>
      </c>
      <c r="H1417" s="87">
        <v>3373.0</v>
      </c>
      <c r="I1417" s="87">
        <v>0.0</v>
      </c>
      <c r="J1417" s="87">
        <v>352.2351</v>
      </c>
      <c r="K1417" s="87">
        <v>350.8244</v>
      </c>
      <c r="L1417" s="87">
        <v>327.0391</v>
      </c>
      <c r="M1417" s="87">
        <v>252.1651</v>
      </c>
      <c r="N1417" s="87">
        <v>0.718779</v>
      </c>
      <c r="O1417" s="87">
        <v>39.83693</v>
      </c>
      <c r="P1417" s="87">
        <v>39.83693</v>
      </c>
      <c r="Q1417" s="87">
        <v>39.83693</v>
      </c>
      <c r="R1417" s="87">
        <v>58.82233</v>
      </c>
      <c r="S1417" s="87">
        <v>252.1651</v>
      </c>
      <c r="T1417" s="87">
        <v>39.83693</v>
      </c>
      <c r="U1417" s="87">
        <v>39.83693</v>
      </c>
      <c r="V1417" s="87">
        <v>39.83693</v>
      </c>
      <c r="W1417" s="87">
        <v>58.82233</v>
      </c>
      <c r="X1417" s="87">
        <v>252.1651</v>
      </c>
      <c r="Y1417" s="87">
        <v>116.9415</v>
      </c>
      <c r="Z1417" s="87">
        <v>0.0</v>
      </c>
      <c r="AA1417" s="87">
        <v>47.81342</v>
      </c>
      <c r="AB1417" s="87">
        <v>77.53859</v>
      </c>
      <c r="AC1417" s="87">
        <v>73.36764</v>
      </c>
      <c r="AD1417" s="87">
        <v>52.87153</v>
      </c>
      <c r="AE1417" s="87">
        <v>52.87153</v>
      </c>
      <c r="AF1417" s="87">
        <v>71.80559</v>
      </c>
      <c r="AG1417" s="87">
        <v>69.03948</v>
      </c>
      <c r="AH1417" s="87">
        <v>0.0</v>
      </c>
      <c r="AI1417" s="87">
        <v>29.10238</v>
      </c>
      <c r="AJ1417" s="87">
        <v>40.8264</v>
      </c>
      <c r="AK1417" s="87">
        <v>19.99848</v>
      </c>
      <c r="AL1417" s="88" t="s">
        <v>1396</v>
      </c>
    </row>
    <row r="1418">
      <c r="A1418" s="84" t="s">
        <v>3255</v>
      </c>
      <c r="B1418" s="84" t="s">
        <v>3271</v>
      </c>
      <c r="C1418" s="84" t="s">
        <v>761</v>
      </c>
      <c r="D1418" s="84" t="s">
        <v>3268</v>
      </c>
      <c r="E1418" s="84" t="s">
        <v>1398</v>
      </c>
      <c r="F1418" s="87">
        <v>1.0</v>
      </c>
      <c r="G1418" s="87">
        <v>0.0</v>
      </c>
      <c r="H1418" s="87">
        <v>1162.0</v>
      </c>
      <c r="I1418" s="87">
        <v>0.0</v>
      </c>
      <c r="J1418" s="87">
        <v>27.22104</v>
      </c>
      <c r="K1418" s="87">
        <v>27.60766</v>
      </c>
      <c r="L1418" s="87">
        <v>30.93104</v>
      </c>
      <c r="M1418" s="87">
        <v>27.60766</v>
      </c>
      <c r="N1418" s="87">
        <v>1.0</v>
      </c>
      <c r="O1418" s="87">
        <v>27.60766</v>
      </c>
      <c r="P1418" s="87">
        <v>27.60766</v>
      </c>
      <c r="Q1418" s="87">
        <v>27.60766</v>
      </c>
      <c r="R1418" s="87">
        <v>27.60766</v>
      </c>
      <c r="S1418" s="87">
        <v>27.60766</v>
      </c>
      <c r="T1418" s="87">
        <v>27.60766</v>
      </c>
      <c r="U1418" s="87">
        <v>27.60766</v>
      </c>
      <c r="V1418" s="87">
        <v>27.60766</v>
      </c>
      <c r="W1418" s="87">
        <v>27.60766</v>
      </c>
      <c r="X1418" s="87">
        <v>27.60766</v>
      </c>
      <c r="Y1418" s="87">
        <v>27.60766</v>
      </c>
      <c r="Z1418" s="87">
        <v>0.0</v>
      </c>
      <c r="AA1418" s="87">
        <v>47.81342</v>
      </c>
      <c r="AB1418" s="87">
        <v>77.53859</v>
      </c>
      <c r="AC1418" s="87">
        <v>73.36764</v>
      </c>
      <c r="AD1418" s="87">
        <v>23.81353</v>
      </c>
      <c r="AE1418" s="87">
        <v>23.81353</v>
      </c>
      <c r="AF1418" s="87">
        <v>17.41279</v>
      </c>
      <c r="AG1418" s="87">
        <v>15.49847</v>
      </c>
      <c r="AH1418" s="87">
        <v>0.0</v>
      </c>
      <c r="AI1418" s="87">
        <v>29.10238</v>
      </c>
      <c r="AJ1418" s="87">
        <v>40.8264</v>
      </c>
      <c r="AK1418" s="87">
        <v>19.99848</v>
      </c>
      <c r="AL1418" s="88" t="s">
        <v>1396</v>
      </c>
    </row>
    <row r="1419">
      <c r="A1419" s="84" t="s">
        <v>3237</v>
      </c>
      <c r="B1419" s="84" t="s">
        <v>3272</v>
      </c>
      <c r="C1419" s="84" t="s">
        <v>761</v>
      </c>
      <c r="D1419" s="84" t="s">
        <v>3268</v>
      </c>
      <c r="E1419" s="84" t="s">
        <v>1400</v>
      </c>
      <c r="F1419" s="87">
        <v>7.0</v>
      </c>
      <c r="G1419" s="87">
        <v>0.0</v>
      </c>
      <c r="H1419" s="87">
        <v>6647.0</v>
      </c>
      <c r="I1419" s="87">
        <v>0.0</v>
      </c>
      <c r="J1419" s="87">
        <v>121.0685</v>
      </c>
      <c r="K1419" s="87">
        <v>118.3768</v>
      </c>
      <c r="L1419" s="87">
        <v>113.7277</v>
      </c>
      <c r="M1419" s="87">
        <v>85.96702</v>
      </c>
      <c r="N1419" s="87">
        <v>0.726215</v>
      </c>
      <c r="O1419" s="87">
        <v>0.0</v>
      </c>
      <c r="P1419" s="87">
        <v>1.643967</v>
      </c>
      <c r="Q1419" s="87">
        <v>3.835667</v>
      </c>
      <c r="R1419" s="87">
        <v>7.473859</v>
      </c>
      <c r="S1419" s="87">
        <v>19.4563</v>
      </c>
      <c r="T1419" s="87">
        <v>1.643967</v>
      </c>
      <c r="U1419" s="87">
        <v>3.835667</v>
      </c>
      <c r="V1419" s="87">
        <v>3.835667</v>
      </c>
      <c r="W1419" s="87">
        <v>19.4563</v>
      </c>
      <c r="X1419" s="87">
        <v>40.60086</v>
      </c>
      <c r="Y1419" s="87">
        <v>16.91097</v>
      </c>
      <c r="Z1419" s="87">
        <v>0.0</v>
      </c>
      <c r="AA1419" s="87">
        <v>47.81342</v>
      </c>
      <c r="AB1419" s="87">
        <v>77.53859</v>
      </c>
      <c r="AC1419" s="87">
        <v>73.36764</v>
      </c>
      <c r="AD1419" s="87">
        <v>20.86488</v>
      </c>
      <c r="AE1419" s="87">
        <v>23.47262</v>
      </c>
      <c r="AF1419" s="87">
        <v>30.74659</v>
      </c>
      <c r="AG1419" s="87">
        <v>37.69586</v>
      </c>
      <c r="AH1419" s="87">
        <v>0.0</v>
      </c>
      <c r="AI1419" s="87">
        <v>29.10238</v>
      </c>
      <c r="AJ1419" s="87">
        <v>40.8264</v>
      </c>
      <c r="AK1419" s="87">
        <v>19.99848</v>
      </c>
      <c r="AL1419" s="88" t="s">
        <v>1396</v>
      </c>
    </row>
    <row r="1420">
      <c r="A1420" s="84" t="s">
        <v>3239</v>
      </c>
      <c r="B1420" s="84" t="s">
        <v>3273</v>
      </c>
      <c r="C1420" s="84" t="s">
        <v>761</v>
      </c>
      <c r="D1420" s="84" t="s">
        <v>3268</v>
      </c>
      <c r="E1420" s="89">
        <v>46300.0</v>
      </c>
      <c r="F1420" s="87">
        <v>19.0</v>
      </c>
      <c r="G1420" s="87">
        <v>0.0</v>
      </c>
      <c r="H1420" s="87">
        <v>73600.0</v>
      </c>
      <c r="I1420" s="87">
        <v>0.0</v>
      </c>
      <c r="J1420" s="87">
        <v>7012.082</v>
      </c>
      <c r="K1420" s="87">
        <v>7432.361</v>
      </c>
      <c r="L1420" s="87">
        <v>7527.248</v>
      </c>
      <c r="M1420" s="87">
        <v>5164.923</v>
      </c>
      <c r="N1420" s="87">
        <v>0.694924</v>
      </c>
      <c r="O1420" s="87">
        <v>0.0</v>
      </c>
      <c r="P1420" s="87">
        <v>7.628455</v>
      </c>
      <c r="Q1420" s="87">
        <v>10.96376</v>
      </c>
      <c r="R1420" s="87">
        <v>146.845</v>
      </c>
      <c r="S1420" s="87">
        <v>427.5792</v>
      </c>
      <c r="T1420" s="87">
        <v>7.628455</v>
      </c>
      <c r="U1420" s="87">
        <v>10.96376</v>
      </c>
      <c r="V1420" s="87">
        <v>83.90185</v>
      </c>
      <c r="W1420" s="87">
        <v>179.6537</v>
      </c>
      <c r="X1420" s="87">
        <v>427.5792</v>
      </c>
      <c r="Y1420" s="87">
        <v>391.1769</v>
      </c>
      <c r="Z1420" s="87">
        <v>0.0</v>
      </c>
      <c r="AA1420" s="87">
        <v>47.81342</v>
      </c>
      <c r="AB1420" s="87">
        <v>77.53859</v>
      </c>
      <c r="AC1420" s="87">
        <v>73.36764</v>
      </c>
      <c r="AD1420" s="87">
        <v>19.88144</v>
      </c>
      <c r="AE1420" s="87">
        <v>26.2186</v>
      </c>
      <c r="AF1420" s="87">
        <v>150.3717</v>
      </c>
      <c r="AG1420" s="87">
        <v>34.1826</v>
      </c>
      <c r="AH1420" s="87">
        <v>0.0</v>
      </c>
      <c r="AI1420" s="87">
        <v>29.10238</v>
      </c>
      <c r="AJ1420" s="87">
        <v>40.8264</v>
      </c>
      <c r="AK1420" s="87">
        <v>19.99848</v>
      </c>
      <c r="AL1420" s="88" t="s">
        <v>1396</v>
      </c>
    </row>
    <row r="1421">
      <c r="A1421" s="84" t="s">
        <v>3241</v>
      </c>
      <c r="B1421" s="84" t="s">
        <v>3274</v>
      </c>
      <c r="C1421" s="84" t="s">
        <v>761</v>
      </c>
      <c r="D1421" s="84" t="s">
        <v>3268</v>
      </c>
      <c r="E1421" s="84" t="s">
        <v>1403</v>
      </c>
      <c r="F1421" s="87">
        <v>73.0</v>
      </c>
      <c r="G1421" s="87">
        <v>0.0</v>
      </c>
      <c r="H1421" s="87">
        <v>0.0</v>
      </c>
      <c r="I1421" s="87">
        <v>0.0</v>
      </c>
      <c r="J1421" s="87">
        <v>0.0</v>
      </c>
      <c r="K1421" s="87">
        <v>0.0</v>
      </c>
      <c r="L1421" s="87">
        <v>0.0</v>
      </c>
      <c r="M1421" s="87">
        <v>0.0</v>
      </c>
      <c r="N1421" s="87">
        <v>0.0</v>
      </c>
      <c r="O1421" s="87">
        <v>0.0</v>
      </c>
      <c r="P1421" s="87">
        <v>0.0</v>
      </c>
      <c r="Q1421" s="87">
        <v>0.0</v>
      </c>
      <c r="R1421" s="87">
        <v>0.0</v>
      </c>
      <c r="S1421" s="87">
        <v>0.0</v>
      </c>
      <c r="T1421" s="87">
        <v>0.0</v>
      </c>
      <c r="U1421" s="87">
        <v>0.0</v>
      </c>
      <c r="V1421" s="87">
        <v>0.0</v>
      </c>
      <c r="W1421" s="87">
        <v>0.0</v>
      </c>
      <c r="X1421" s="87">
        <v>0.0</v>
      </c>
      <c r="Y1421" s="87">
        <v>0.0</v>
      </c>
      <c r="Z1421" s="87">
        <v>0.0</v>
      </c>
      <c r="AA1421" s="87">
        <v>47.81342</v>
      </c>
      <c r="AB1421" s="87">
        <v>77.53859</v>
      </c>
      <c r="AC1421" s="87">
        <v>73.36764</v>
      </c>
      <c r="AD1421" s="87">
        <v>0.0</v>
      </c>
      <c r="AE1421" s="87">
        <v>0.0</v>
      </c>
      <c r="AF1421" s="87">
        <v>0.0</v>
      </c>
      <c r="AG1421" s="87">
        <v>0.0</v>
      </c>
      <c r="AH1421" s="87">
        <v>0.0</v>
      </c>
      <c r="AI1421" s="87">
        <v>29.10238</v>
      </c>
      <c r="AJ1421" s="87">
        <v>40.8264</v>
      </c>
      <c r="AK1421" s="87">
        <v>19.99848</v>
      </c>
      <c r="AL1421" s="88" t="s">
        <v>1396</v>
      </c>
    </row>
    <row r="1422">
      <c r="A1422" s="84" t="s">
        <v>3275</v>
      </c>
      <c r="B1422" s="84" t="s">
        <v>2751</v>
      </c>
      <c r="C1422" s="84" t="s">
        <v>3276</v>
      </c>
      <c r="D1422" s="84" t="s">
        <v>2750</v>
      </c>
      <c r="E1422" s="84" t="s">
        <v>1403</v>
      </c>
      <c r="F1422" s="87">
        <v>2.0</v>
      </c>
      <c r="G1422" s="87">
        <v>0.0</v>
      </c>
      <c r="H1422" s="87">
        <v>0.0</v>
      </c>
      <c r="I1422" s="87">
        <v>0.0</v>
      </c>
      <c r="J1422" s="87">
        <v>0.0</v>
      </c>
      <c r="K1422" s="87">
        <v>0.0</v>
      </c>
      <c r="L1422" s="87">
        <v>0.0</v>
      </c>
      <c r="M1422" s="87">
        <v>0.0</v>
      </c>
      <c r="N1422" s="87">
        <v>0.0</v>
      </c>
      <c r="O1422" s="87">
        <v>0.0</v>
      </c>
      <c r="P1422" s="87">
        <v>0.0</v>
      </c>
      <c r="Q1422" s="87">
        <v>0.0</v>
      </c>
      <c r="R1422" s="87">
        <v>0.0</v>
      </c>
      <c r="S1422" s="87">
        <v>0.0</v>
      </c>
      <c r="T1422" s="87">
        <v>0.0</v>
      </c>
      <c r="U1422" s="87">
        <v>0.0</v>
      </c>
      <c r="V1422" s="87">
        <v>0.0</v>
      </c>
      <c r="W1422" s="87">
        <v>0.0</v>
      </c>
      <c r="X1422" s="87">
        <v>0.0</v>
      </c>
      <c r="Y1422" s="87">
        <v>0.0</v>
      </c>
      <c r="Z1422" s="87">
        <v>0.0</v>
      </c>
      <c r="AA1422" s="87">
        <v>0.0</v>
      </c>
      <c r="AB1422" s="87">
        <v>0.0</v>
      </c>
      <c r="AC1422" s="87">
        <v>0.0</v>
      </c>
      <c r="AD1422" s="87">
        <v>0.0</v>
      </c>
      <c r="AE1422" s="87">
        <v>0.0</v>
      </c>
      <c r="AF1422" s="87">
        <v>0.0</v>
      </c>
      <c r="AG1422" s="87">
        <v>0.0</v>
      </c>
      <c r="AH1422" s="87">
        <v>0.0</v>
      </c>
      <c r="AI1422" s="87">
        <v>0.0</v>
      </c>
      <c r="AJ1422" s="87">
        <v>0.0</v>
      </c>
      <c r="AK1422" s="87">
        <v>0.0</v>
      </c>
      <c r="AL1422" s="88" t="s">
        <v>1396</v>
      </c>
    </row>
    <row r="1423">
      <c r="A1423" s="84" t="s">
        <v>3275</v>
      </c>
      <c r="B1423" s="84" t="s">
        <v>3277</v>
      </c>
      <c r="C1423" s="84" t="s">
        <v>3276</v>
      </c>
      <c r="D1423" s="84" t="s">
        <v>3278</v>
      </c>
      <c r="E1423" s="84" t="s">
        <v>1403</v>
      </c>
      <c r="F1423" s="87">
        <v>5.0</v>
      </c>
      <c r="G1423" s="87">
        <v>0.0</v>
      </c>
      <c r="H1423" s="87">
        <v>0.0</v>
      </c>
      <c r="I1423" s="87">
        <v>0.0</v>
      </c>
      <c r="J1423" s="87">
        <v>0.0</v>
      </c>
      <c r="K1423" s="87">
        <v>0.0</v>
      </c>
      <c r="L1423" s="87">
        <v>0.0</v>
      </c>
      <c r="M1423" s="87">
        <v>0.0</v>
      </c>
      <c r="N1423" s="87">
        <v>0.0</v>
      </c>
      <c r="O1423" s="87">
        <v>0.0</v>
      </c>
      <c r="P1423" s="87">
        <v>0.0</v>
      </c>
      <c r="Q1423" s="87">
        <v>0.0</v>
      </c>
      <c r="R1423" s="87">
        <v>0.0</v>
      </c>
      <c r="S1423" s="87">
        <v>0.0</v>
      </c>
      <c r="T1423" s="87">
        <v>0.0</v>
      </c>
      <c r="U1423" s="87">
        <v>0.0</v>
      </c>
      <c r="V1423" s="87">
        <v>0.0</v>
      </c>
      <c r="W1423" s="87">
        <v>0.0</v>
      </c>
      <c r="X1423" s="87">
        <v>0.0</v>
      </c>
      <c r="Y1423" s="87">
        <v>0.0</v>
      </c>
      <c r="Z1423" s="87">
        <v>0.0</v>
      </c>
      <c r="AA1423" s="87">
        <v>0.0</v>
      </c>
      <c r="AB1423" s="87">
        <v>0.0</v>
      </c>
      <c r="AC1423" s="87">
        <v>0.0</v>
      </c>
      <c r="AD1423" s="87">
        <v>0.0</v>
      </c>
      <c r="AE1423" s="87">
        <v>0.0</v>
      </c>
      <c r="AF1423" s="87">
        <v>0.0</v>
      </c>
      <c r="AG1423" s="87">
        <v>0.0</v>
      </c>
      <c r="AH1423" s="87">
        <v>0.0</v>
      </c>
      <c r="AI1423" s="87">
        <v>0.0</v>
      </c>
      <c r="AJ1423" s="87">
        <v>0.0</v>
      </c>
      <c r="AK1423" s="87">
        <v>0.0</v>
      </c>
      <c r="AL1423" s="88" t="s">
        <v>1396</v>
      </c>
    </row>
    <row r="1424">
      <c r="A1424" s="84" t="s">
        <v>3275</v>
      </c>
      <c r="B1424" s="84" t="s">
        <v>3279</v>
      </c>
      <c r="C1424" s="84" t="s">
        <v>3276</v>
      </c>
      <c r="D1424" s="84" t="s">
        <v>3280</v>
      </c>
      <c r="E1424" s="84" t="s">
        <v>1403</v>
      </c>
      <c r="F1424" s="87">
        <v>3.0</v>
      </c>
      <c r="G1424" s="87">
        <v>0.0</v>
      </c>
      <c r="H1424" s="87">
        <v>0.0</v>
      </c>
      <c r="I1424" s="87">
        <v>0.0</v>
      </c>
      <c r="J1424" s="87">
        <v>0.0</v>
      </c>
      <c r="K1424" s="87">
        <v>0.0</v>
      </c>
      <c r="L1424" s="87">
        <v>0.0</v>
      </c>
      <c r="M1424" s="87">
        <v>0.0</v>
      </c>
      <c r="N1424" s="87">
        <v>0.0</v>
      </c>
      <c r="O1424" s="87">
        <v>0.0</v>
      </c>
      <c r="P1424" s="87">
        <v>0.0</v>
      </c>
      <c r="Q1424" s="87">
        <v>0.0</v>
      </c>
      <c r="R1424" s="87">
        <v>0.0</v>
      </c>
      <c r="S1424" s="87">
        <v>0.0</v>
      </c>
      <c r="T1424" s="87">
        <v>0.0</v>
      </c>
      <c r="U1424" s="87">
        <v>0.0</v>
      </c>
      <c r="V1424" s="87">
        <v>0.0</v>
      </c>
      <c r="W1424" s="87">
        <v>0.0</v>
      </c>
      <c r="X1424" s="87">
        <v>0.0</v>
      </c>
      <c r="Y1424" s="87">
        <v>0.0</v>
      </c>
      <c r="Z1424" s="87">
        <v>0.0</v>
      </c>
      <c r="AA1424" s="87">
        <v>0.0</v>
      </c>
      <c r="AB1424" s="87">
        <v>0.0</v>
      </c>
      <c r="AC1424" s="87">
        <v>0.0</v>
      </c>
      <c r="AD1424" s="87">
        <v>0.0</v>
      </c>
      <c r="AE1424" s="87">
        <v>0.0</v>
      </c>
      <c r="AF1424" s="87">
        <v>0.0</v>
      </c>
      <c r="AG1424" s="87">
        <v>0.0</v>
      </c>
      <c r="AH1424" s="87">
        <v>0.0</v>
      </c>
      <c r="AI1424" s="87">
        <v>0.0</v>
      </c>
      <c r="AJ1424" s="87">
        <v>0.0</v>
      </c>
      <c r="AK1424" s="87">
        <v>0.0</v>
      </c>
      <c r="AL1424" s="88" t="s">
        <v>1396</v>
      </c>
    </row>
    <row r="1425">
      <c r="A1425" s="84" t="s">
        <v>3281</v>
      </c>
      <c r="B1425" s="84" t="s">
        <v>3282</v>
      </c>
      <c r="C1425" s="84" t="s">
        <v>3276</v>
      </c>
      <c r="D1425" s="84" t="s">
        <v>3283</v>
      </c>
      <c r="E1425" s="84" t="s">
        <v>1400</v>
      </c>
      <c r="F1425" s="87">
        <v>1.0</v>
      </c>
      <c r="G1425" s="87">
        <v>0.0</v>
      </c>
      <c r="H1425" s="87">
        <v>0.0</v>
      </c>
      <c r="I1425" s="87">
        <v>0.0</v>
      </c>
      <c r="J1425" s="87">
        <v>0.0</v>
      </c>
      <c r="K1425" s="87">
        <v>0.0</v>
      </c>
      <c r="L1425" s="87">
        <v>0.0</v>
      </c>
      <c r="M1425" s="87">
        <v>0.0</v>
      </c>
      <c r="N1425" s="87">
        <v>0.0</v>
      </c>
      <c r="O1425" s="87">
        <v>0.0</v>
      </c>
      <c r="P1425" s="87">
        <v>0.0</v>
      </c>
      <c r="Q1425" s="87">
        <v>0.0</v>
      </c>
      <c r="R1425" s="87">
        <v>0.0</v>
      </c>
      <c r="S1425" s="87">
        <v>0.0</v>
      </c>
      <c r="T1425" s="87">
        <v>0.0</v>
      </c>
      <c r="U1425" s="87">
        <v>0.0</v>
      </c>
      <c r="V1425" s="87">
        <v>0.0</v>
      </c>
      <c r="W1425" s="87">
        <v>0.0</v>
      </c>
      <c r="X1425" s="87">
        <v>0.0</v>
      </c>
      <c r="Y1425" s="87">
        <v>0.0</v>
      </c>
      <c r="Z1425" s="87">
        <v>0.0</v>
      </c>
      <c r="AA1425" s="87">
        <v>0.0</v>
      </c>
      <c r="AB1425" s="87">
        <v>0.0</v>
      </c>
      <c r="AC1425" s="87">
        <v>0.0</v>
      </c>
      <c r="AD1425" s="87">
        <v>0.0</v>
      </c>
      <c r="AE1425" s="87">
        <v>0.0</v>
      </c>
      <c r="AF1425" s="87">
        <v>0.0</v>
      </c>
      <c r="AG1425" s="87">
        <v>0.0</v>
      </c>
      <c r="AH1425" s="87">
        <v>0.0</v>
      </c>
      <c r="AI1425" s="87">
        <v>0.0</v>
      </c>
      <c r="AJ1425" s="87">
        <v>0.0</v>
      </c>
      <c r="AK1425" s="87">
        <v>0.0</v>
      </c>
      <c r="AL1425" s="88" t="s">
        <v>1396</v>
      </c>
    </row>
    <row r="1426">
      <c r="A1426" s="84" t="s">
        <v>3275</v>
      </c>
      <c r="B1426" s="84" t="s">
        <v>3284</v>
      </c>
      <c r="C1426" s="84" t="s">
        <v>3276</v>
      </c>
      <c r="D1426" s="84" t="s">
        <v>3285</v>
      </c>
      <c r="E1426" s="84" t="s">
        <v>1403</v>
      </c>
      <c r="F1426" s="87">
        <v>2.0</v>
      </c>
      <c r="G1426" s="87">
        <v>0.0</v>
      </c>
      <c r="H1426" s="87">
        <v>0.0</v>
      </c>
      <c r="I1426" s="87">
        <v>0.0</v>
      </c>
      <c r="J1426" s="87">
        <v>0.0</v>
      </c>
      <c r="K1426" s="87">
        <v>0.0</v>
      </c>
      <c r="L1426" s="87">
        <v>0.0</v>
      </c>
      <c r="M1426" s="87">
        <v>0.0</v>
      </c>
      <c r="N1426" s="87">
        <v>0.0</v>
      </c>
      <c r="O1426" s="87">
        <v>0.0</v>
      </c>
      <c r="P1426" s="87">
        <v>0.0</v>
      </c>
      <c r="Q1426" s="87">
        <v>0.0</v>
      </c>
      <c r="R1426" s="87">
        <v>0.0</v>
      </c>
      <c r="S1426" s="87">
        <v>0.0</v>
      </c>
      <c r="T1426" s="87">
        <v>0.0</v>
      </c>
      <c r="U1426" s="87">
        <v>0.0</v>
      </c>
      <c r="V1426" s="87">
        <v>0.0</v>
      </c>
      <c r="W1426" s="87">
        <v>0.0</v>
      </c>
      <c r="X1426" s="87">
        <v>0.0</v>
      </c>
      <c r="Y1426" s="87">
        <v>0.0</v>
      </c>
      <c r="Z1426" s="87">
        <v>0.0</v>
      </c>
      <c r="AA1426" s="87">
        <v>0.0</v>
      </c>
      <c r="AB1426" s="87">
        <v>0.0</v>
      </c>
      <c r="AC1426" s="87">
        <v>0.0</v>
      </c>
      <c r="AD1426" s="87">
        <v>0.0</v>
      </c>
      <c r="AE1426" s="87">
        <v>0.0</v>
      </c>
      <c r="AF1426" s="87">
        <v>0.0</v>
      </c>
      <c r="AG1426" s="87">
        <v>0.0</v>
      </c>
      <c r="AH1426" s="87">
        <v>0.0</v>
      </c>
      <c r="AI1426" s="87">
        <v>0.0</v>
      </c>
      <c r="AJ1426" s="87">
        <v>0.0</v>
      </c>
      <c r="AK1426" s="87">
        <v>0.0</v>
      </c>
      <c r="AL1426" s="88" t="s">
        <v>1396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25"/>
    <col customWidth="1" min="9" max="9" width="16.38"/>
  </cols>
  <sheetData>
    <row r="1">
      <c r="A1" s="90" t="s">
        <v>1359</v>
      </c>
      <c r="B1" s="90" t="s">
        <v>1360</v>
      </c>
      <c r="C1" s="90" t="s">
        <v>1361</v>
      </c>
      <c r="D1" s="90" t="s">
        <v>1362</v>
      </c>
      <c r="E1" s="90" t="s">
        <v>1363</v>
      </c>
      <c r="F1" s="90" t="s">
        <v>3286</v>
      </c>
      <c r="G1" s="90" t="s">
        <v>1365</v>
      </c>
      <c r="H1" s="90" t="s">
        <v>1366</v>
      </c>
      <c r="I1" s="90" t="s">
        <v>1367</v>
      </c>
      <c r="J1" s="90" t="s">
        <v>1368</v>
      </c>
      <c r="K1" s="90" t="s">
        <v>1369</v>
      </c>
      <c r="L1" s="90" t="s">
        <v>1370</v>
      </c>
      <c r="M1" s="90" t="s">
        <v>1371</v>
      </c>
      <c r="N1" s="90" t="s">
        <v>7</v>
      </c>
      <c r="O1" s="90" t="s">
        <v>1372</v>
      </c>
      <c r="P1" s="90" t="s">
        <v>1373</v>
      </c>
      <c r="Q1" s="90" t="s">
        <v>1374</v>
      </c>
      <c r="R1" s="90" t="s">
        <v>1375</v>
      </c>
      <c r="S1" s="90" t="s">
        <v>1376</v>
      </c>
      <c r="T1" s="90" t="s">
        <v>1377</v>
      </c>
      <c r="U1" s="90" t="s">
        <v>1378</v>
      </c>
      <c r="V1" s="90" t="s">
        <v>1379</v>
      </c>
      <c r="W1" s="90" t="s">
        <v>1380</v>
      </c>
      <c r="X1" s="90" t="s">
        <v>1381</v>
      </c>
      <c r="Y1" s="90" t="s">
        <v>8</v>
      </c>
      <c r="Z1" s="90" t="s">
        <v>1394</v>
      </c>
    </row>
    <row r="2" hidden="1">
      <c r="A2" s="90" t="s">
        <v>1395</v>
      </c>
      <c r="B2" s="90" t="s">
        <v>1395</v>
      </c>
      <c r="C2" s="85"/>
      <c r="D2" s="85"/>
      <c r="E2" s="86">
        <v>46310.0</v>
      </c>
      <c r="F2" s="87">
        <v>4.0</v>
      </c>
      <c r="G2" s="87">
        <v>0.0</v>
      </c>
      <c r="H2" s="87">
        <v>2036.0</v>
      </c>
      <c r="I2" s="87">
        <v>0.0</v>
      </c>
      <c r="J2" s="87">
        <v>0.267857</v>
      </c>
      <c r="K2" s="87">
        <v>0.085145</v>
      </c>
      <c r="L2" s="87">
        <v>0.051957</v>
      </c>
      <c r="M2" s="87">
        <v>0.085145</v>
      </c>
      <c r="N2" s="87">
        <v>1.0</v>
      </c>
      <c r="O2" s="87">
        <v>0.085145</v>
      </c>
      <c r="P2" s="87">
        <v>0.085145</v>
      </c>
      <c r="Q2" s="87">
        <v>0.085145</v>
      </c>
      <c r="R2" s="87">
        <v>0.085145</v>
      </c>
      <c r="S2" s="87">
        <v>0.085145</v>
      </c>
      <c r="T2" s="87">
        <v>0.085145</v>
      </c>
      <c r="U2" s="87">
        <v>0.085145</v>
      </c>
      <c r="V2" s="87">
        <v>0.085145</v>
      </c>
      <c r="W2" s="87">
        <v>0.085145</v>
      </c>
      <c r="X2" s="87">
        <v>0.085145</v>
      </c>
      <c r="Y2" s="87">
        <v>0.085145</v>
      </c>
      <c r="Z2" s="88" t="s">
        <v>1396</v>
      </c>
    </row>
    <row r="3" hidden="1">
      <c r="A3" s="90" t="s">
        <v>3287</v>
      </c>
      <c r="B3" s="90" t="s">
        <v>3287</v>
      </c>
      <c r="C3" s="85"/>
      <c r="D3" s="85"/>
      <c r="E3" s="90" t="s">
        <v>1413</v>
      </c>
      <c r="F3" s="87">
        <v>2.0</v>
      </c>
      <c r="G3" s="87">
        <v>0.0</v>
      </c>
      <c r="H3" s="87">
        <v>2726.0</v>
      </c>
      <c r="I3" s="87">
        <v>0.0</v>
      </c>
      <c r="J3" s="87">
        <v>0.0</v>
      </c>
      <c r="K3" s="87">
        <v>0.0</v>
      </c>
      <c r="L3" s="87">
        <v>0.0</v>
      </c>
      <c r="M3" s="87">
        <v>0.0</v>
      </c>
      <c r="N3" s="91"/>
      <c r="O3" s="91"/>
      <c r="P3" s="91"/>
      <c r="Q3" s="91"/>
      <c r="R3" s="91"/>
      <c r="S3" s="91"/>
      <c r="T3" s="91"/>
      <c r="U3" s="91"/>
      <c r="V3" s="91"/>
      <c r="W3" s="91"/>
      <c r="X3" s="91"/>
      <c r="Y3" s="91"/>
      <c r="Z3" s="88" t="s">
        <v>1396</v>
      </c>
    </row>
    <row r="4" hidden="1">
      <c r="A4" s="90" t="s">
        <v>1397</v>
      </c>
      <c r="B4" s="90" t="s">
        <v>1397</v>
      </c>
      <c r="C4" s="85"/>
      <c r="D4" s="85"/>
      <c r="E4" s="90" t="s">
        <v>1398</v>
      </c>
      <c r="F4" s="87">
        <v>3.0</v>
      </c>
      <c r="G4" s="87">
        <v>0.0</v>
      </c>
      <c r="H4" s="87">
        <v>655.0</v>
      </c>
      <c r="I4" s="87">
        <v>0.0</v>
      </c>
      <c r="J4" s="87">
        <v>0.285714</v>
      </c>
      <c r="K4" s="87">
        <v>0.332258</v>
      </c>
      <c r="L4" s="87">
        <v>0.386348</v>
      </c>
      <c r="M4" s="87">
        <v>0.232258</v>
      </c>
      <c r="N4" s="87">
        <v>0.699029</v>
      </c>
      <c r="O4" s="87">
        <v>0.1</v>
      </c>
      <c r="P4" s="87">
        <v>0.1</v>
      </c>
      <c r="Q4" s="87">
        <v>0.1</v>
      </c>
      <c r="R4" s="87">
        <v>0.232258</v>
      </c>
      <c r="S4" s="87">
        <v>0.232258</v>
      </c>
      <c r="T4" s="87">
        <v>0.1</v>
      </c>
      <c r="U4" s="87">
        <v>0.1</v>
      </c>
      <c r="V4" s="87">
        <v>0.1</v>
      </c>
      <c r="W4" s="87">
        <v>0.232258</v>
      </c>
      <c r="X4" s="87">
        <v>0.232258</v>
      </c>
      <c r="Y4" s="87">
        <v>0.166129</v>
      </c>
      <c r="Z4" s="88" t="s">
        <v>1396</v>
      </c>
    </row>
    <row r="5" hidden="1">
      <c r="A5" s="90" t="s">
        <v>1399</v>
      </c>
      <c r="B5" s="90" t="s">
        <v>1399</v>
      </c>
      <c r="C5" s="85"/>
      <c r="D5" s="85"/>
      <c r="E5" s="90" t="s">
        <v>1400</v>
      </c>
      <c r="F5" s="87">
        <v>42.0</v>
      </c>
      <c r="G5" s="87">
        <v>35.0</v>
      </c>
      <c r="H5" s="87">
        <v>54538.0</v>
      </c>
      <c r="I5" s="87">
        <v>53154.0</v>
      </c>
      <c r="J5" s="87">
        <v>0.285714</v>
      </c>
      <c r="K5" s="87">
        <v>0.3</v>
      </c>
      <c r="L5" s="87">
        <v>0.352276</v>
      </c>
      <c r="M5" s="87">
        <v>0.266667</v>
      </c>
      <c r="N5" s="87">
        <v>0.888889</v>
      </c>
      <c r="O5" s="87">
        <v>0.0</v>
      </c>
      <c r="P5" s="87">
        <v>0.0</v>
      </c>
      <c r="Q5" s="87">
        <v>0.0</v>
      </c>
      <c r="R5" s="87">
        <v>0.033333</v>
      </c>
      <c r="S5" s="87">
        <v>0.1</v>
      </c>
      <c r="T5" s="87">
        <v>0.033333</v>
      </c>
      <c r="U5" s="87">
        <v>0.033333</v>
      </c>
      <c r="V5" s="87">
        <v>0.033333</v>
      </c>
      <c r="W5" s="87">
        <v>0.1</v>
      </c>
      <c r="X5" s="87">
        <v>0.166667</v>
      </c>
      <c r="Y5" s="87">
        <v>0.05</v>
      </c>
      <c r="Z5" s="88" t="s">
        <v>1396</v>
      </c>
    </row>
    <row r="6" hidden="1">
      <c r="A6" s="90" t="s">
        <v>1401</v>
      </c>
      <c r="B6" s="90" t="s">
        <v>1401</v>
      </c>
      <c r="C6" s="85"/>
      <c r="D6" s="85"/>
      <c r="E6" s="89">
        <v>46300.0</v>
      </c>
      <c r="F6" s="87">
        <v>2.0</v>
      </c>
      <c r="G6" s="87">
        <v>0.0</v>
      </c>
      <c r="H6" s="87">
        <v>1803.0</v>
      </c>
      <c r="I6" s="87">
        <v>0.0</v>
      </c>
      <c r="J6" s="87">
        <v>0.0</v>
      </c>
      <c r="K6" s="87">
        <v>0.0</v>
      </c>
      <c r="L6" s="87">
        <v>0.0</v>
      </c>
      <c r="M6" s="87">
        <v>0.0</v>
      </c>
      <c r="N6" s="91"/>
      <c r="O6" s="87">
        <v>0.0</v>
      </c>
      <c r="P6" s="87">
        <v>0.0</v>
      </c>
      <c r="Q6" s="87">
        <v>0.0</v>
      </c>
      <c r="R6" s="87">
        <v>0.0</v>
      </c>
      <c r="S6" s="87">
        <v>0.0</v>
      </c>
      <c r="T6" s="91"/>
      <c r="U6" s="91"/>
      <c r="V6" s="91"/>
      <c r="W6" s="91"/>
      <c r="X6" s="91"/>
      <c r="Y6" s="87">
        <v>0.0</v>
      </c>
      <c r="Z6" s="88" t="s">
        <v>1396</v>
      </c>
    </row>
    <row r="7" hidden="1">
      <c r="A7" s="90" t="s">
        <v>1402</v>
      </c>
      <c r="B7" s="90" t="s">
        <v>1402</v>
      </c>
      <c r="C7" s="91"/>
      <c r="D7" s="91"/>
      <c r="E7" s="90" t="s">
        <v>1403</v>
      </c>
      <c r="F7" s="87">
        <v>22.0</v>
      </c>
      <c r="G7" s="87">
        <v>22.0</v>
      </c>
      <c r="H7" s="87">
        <v>160.0</v>
      </c>
      <c r="I7" s="87">
        <v>160.0</v>
      </c>
      <c r="J7" s="87">
        <v>0.0</v>
      </c>
      <c r="K7" s="87">
        <v>0.0</v>
      </c>
      <c r="L7" s="87">
        <v>0.0</v>
      </c>
      <c r="M7" s="87">
        <v>0.0</v>
      </c>
      <c r="N7" s="91"/>
      <c r="O7" s="87">
        <v>0.0</v>
      </c>
      <c r="P7" s="87">
        <v>0.0</v>
      </c>
      <c r="Q7" s="87">
        <v>0.0</v>
      </c>
      <c r="R7" s="87">
        <v>0.0</v>
      </c>
      <c r="S7" s="87">
        <v>0.0</v>
      </c>
      <c r="T7" s="91"/>
      <c r="U7" s="91"/>
      <c r="V7" s="91"/>
      <c r="W7" s="91"/>
      <c r="X7" s="91"/>
      <c r="Y7" s="87">
        <v>0.0</v>
      </c>
      <c r="Z7" s="88" t="s">
        <v>1396</v>
      </c>
    </row>
    <row r="8" hidden="1">
      <c r="A8" s="90" t="s">
        <v>1404</v>
      </c>
      <c r="B8" s="90" t="s">
        <v>1405</v>
      </c>
      <c r="C8" s="90" t="s">
        <v>74</v>
      </c>
      <c r="D8" s="90" t="s">
        <v>1406</v>
      </c>
      <c r="E8" s="90" t="s">
        <v>1398</v>
      </c>
      <c r="F8" s="87">
        <v>0.0</v>
      </c>
      <c r="G8" s="87">
        <v>0.0</v>
      </c>
      <c r="H8" s="87">
        <v>0.0</v>
      </c>
      <c r="I8" s="87">
        <v>0.0</v>
      </c>
      <c r="J8" s="87">
        <v>0.076923</v>
      </c>
      <c r="K8" s="87">
        <v>2.034483</v>
      </c>
      <c r="L8" s="87">
        <v>0.118502</v>
      </c>
      <c r="M8" s="87">
        <v>2.034483</v>
      </c>
      <c r="N8" s="87">
        <v>1.0</v>
      </c>
      <c r="O8" s="87">
        <v>2.034483</v>
      </c>
      <c r="P8" s="87">
        <v>2.034483</v>
      </c>
      <c r="Q8" s="87">
        <v>2.034483</v>
      </c>
      <c r="R8" s="87">
        <v>2.034483</v>
      </c>
      <c r="S8" s="87">
        <v>2.034483</v>
      </c>
      <c r="T8" s="87">
        <v>2.034483</v>
      </c>
      <c r="U8" s="87">
        <v>2.034483</v>
      </c>
      <c r="V8" s="87">
        <v>2.034483</v>
      </c>
      <c r="W8" s="87">
        <v>2.034483</v>
      </c>
      <c r="X8" s="87">
        <v>2.034483</v>
      </c>
      <c r="Y8" s="87">
        <v>2.034483</v>
      </c>
      <c r="Z8" s="88" t="s">
        <v>1396</v>
      </c>
    </row>
    <row r="9" hidden="1">
      <c r="A9" s="90" t="s">
        <v>1407</v>
      </c>
      <c r="B9" s="90" t="s">
        <v>1408</v>
      </c>
      <c r="C9" s="90" t="s">
        <v>74</v>
      </c>
      <c r="D9" s="90" t="s">
        <v>1406</v>
      </c>
      <c r="E9" s="90" t="s">
        <v>1400</v>
      </c>
      <c r="F9" s="87">
        <v>6.0</v>
      </c>
      <c r="G9" s="87">
        <v>5.0</v>
      </c>
      <c r="H9" s="87">
        <v>194.0</v>
      </c>
      <c r="I9" s="87">
        <v>184.0</v>
      </c>
      <c r="J9" s="87">
        <v>0.0</v>
      </c>
      <c r="K9" s="87">
        <v>0.0</v>
      </c>
      <c r="L9" s="87">
        <v>0.090909</v>
      </c>
      <c r="M9" s="87">
        <v>0.0</v>
      </c>
      <c r="N9" s="91"/>
      <c r="O9" s="87">
        <v>0.0</v>
      </c>
      <c r="P9" s="87">
        <v>0.0</v>
      </c>
      <c r="Q9" s="87">
        <v>0.0</v>
      </c>
      <c r="R9" s="87">
        <v>0.0</v>
      </c>
      <c r="S9" s="87">
        <v>0.0</v>
      </c>
      <c r="T9" s="91"/>
      <c r="U9" s="91"/>
      <c r="V9" s="91"/>
      <c r="W9" s="91"/>
      <c r="X9" s="91"/>
      <c r="Y9" s="87">
        <v>0.0</v>
      </c>
      <c r="Z9" s="88" t="s">
        <v>1396</v>
      </c>
    </row>
    <row r="10" hidden="1">
      <c r="A10" s="90" t="s">
        <v>1409</v>
      </c>
      <c r="B10" s="90" t="s">
        <v>1410</v>
      </c>
      <c r="C10" s="90" t="s">
        <v>74</v>
      </c>
      <c r="D10" s="90" t="s">
        <v>1406</v>
      </c>
      <c r="E10" s="90" t="s">
        <v>1403</v>
      </c>
      <c r="F10" s="87">
        <v>3.0</v>
      </c>
      <c r="G10" s="87">
        <v>3.0</v>
      </c>
      <c r="H10" s="87">
        <v>41.0</v>
      </c>
      <c r="I10" s="87">
        <v>41.0</v>
      </c>
      <c r="J10" s="87">
        <v>0.0</v>
      </c>
      <c r="K10" s="87">
        <v>0.0</v>
      </c>
      <c r="L10" s="87">
        <v>0.0</v>
      </c>
      <c r="M10" s="87">
        <v>0.0</v>
      </c>
      <c r="N10" s="91"/>
      <c r="O10" s="91"/>
      <c r="P10" s="91"/>
      <c r="Q10" s="91"/>
      <c r="R10" s="91"/>
      <c r="S10" s="91"/>
      <c r="T10" s="91"/>
      <c r="U10" s="91"/>
      <c r="V10" s="91"/>
      <c r="W10" s="91"/>
      <c r="X10" s="91"/>
      <c r="Y10" s="91"/>
      <c r="Z10" s="88" t="s">
        <v>1396</v>
      </c>
    </row>
    <row r="11" hidden="1">
      <c r="A11" s="90" t="s">
        <v>1411</v>
      </c>
      <c r="B11" s="90" t="s">
        <v>1412</v>
      </c>
      <c r="C11" s="90" t="s">
        <v>74</v>
      </c>
      <c r="D11" s="90" t="s">
        <v>75</v>
      </c>
      <c r="E11" s="90" t="s">
        <v>1413</v>
      </c>
      <c r="F11" s="87">
        <v>4.0</v>
      </c>
      <c r="G11" s="87">
        <v>0.0</v>
      </c>
      <c r="H11" s="87">
        <v>2292.0</v>
      </c>
      <c r="I11" s="87">
        <v>0.0</v>
      </c>
      <c r="J11" s="87">
        <v>14.95384</v>
      </c>
      <c r="K11" s="87">
        <v>13.47098</v>
      </c>
      <c r="L11" s="87">
        <v>14.19314</v>
      </c>
      <c r="M11" s="87">
        <v>6.131733</v>
      </c>
      <c r="N11" s="87">
        <v>0.455181</v>
      </c>
      <c r="O11" s="87">
        <v>2.696133</v>
      </c>
      <c r="P11" s="87">
        <v>2.696133</v>
      </c>
      <c r="Q11" s="87">
        <v>2.696133</v>
      </c>
      <c r="R11" s="87">
        <v>4.643116</v>
      </c>
      <c r="S11" s="87">
        <v>6.131733</v>
      </c>
      <c r="T11" s="87">
        <v>2.696133</v>
      </c>
      <c r="U11" s="87">
        <v>2.696133</v>
      </c>
      <c r="V11" s="87">
        <v>2.696133</v>
      </c>
      <c r="W11" s="87">
        <v>4.643116</v>
      </c>
      <c r="X11" s="87">
        <v>6.131733</v>
      </c>
      <c r="Y11" s="87">
        <v>4.490327</v>
      </c>
      <c r="Z11" s="88" t="s">
        <v>1396</v>
      </c>
    </row>
    <row r="12" hidden="1">
      <c r="A12" s="90" t="s">
        <v>1407</v>
      </c>
      <c r="B12" s="90" t="s">
        <v>1415</v>
      </c>
      <c r="C12" s="90" t="s">
        <v>74</v>
      </c>
      <c r="D12" s="90" t="s">
        <v>75</v>
      </c>
      <c r="E12" s="90" t="s">
        <v>1400</v>
      </c>
      <c r="F12" s="87">
        <v>21.0</v>
      </c>
      <c r="G12" s="87">
        <v>0.0</v>
      </c>
      <c r="H12" s="87">
        <v>8222.0</v>
      </c>
      <c r="I12" s="87">
        <v>0.0</v>
      </c>
      <c r="J12" s="87">
        <v>80.80433</v>
      </c>
      <c r="K12" s="87">
        <v>80.62199</v>
      </c>
      <c r="L12" s="87">
        <v>79.61703</v>
      </c>
      <c r="M12" s="87">
        <v>36.67825</v>
      </c>
      <c r="N12" s="87">
        <v>0.454941</v>
      </c>
      <c r="O12" s="87">
        <v>1.331257</v>
      </c>
      <c r="P12" s="87">
        <v>1.849147</v>
      </c>
      <c r="Q12" s="87">
        <v>3.413527</v>
      </c>
      <c r="R12" s="87">
        <v>4.407286</v>
      </c>
      <c r="S12" s="87">
        <v>7.620216</v>
      </c>
      <c r="T12" s="87">
        <v>1.331257</v>
      </c>
      <c r="U12" s="87">
        <v>1.849147</v>
      </c>
      <c r="V12" s="87">
        <v>3.413527</v>
      </c>
      <c r="W12" s="87">
        <v>4.407286</v>
      </c>
      <c r="X12" s="87">
        <v>7.620216</v>
      </c>
      <c r="Y12" s="87">
        <v>5.758713</v>
      </c>
      <c r="Z12" s="88" t="s">
        <v>1396</v>
      </c>
    </row>
    <row r="13" hidden="1">
      <c r="A13" s="90" t="s">
        <v>1416</v>
      </c>
      <c r="B13" s="90" t="s">
        <v>1417</v>
      </c>
      <c r="C13" s="90" t="s">
        <v>74</v>
      </c>
      <c r="D13" s="90" t="s">
        <v>75</v>
      </c>
      <c r="E13" s="89">
        <v>46300.0</v>
      </c>
      <c r="F13" s="87">
        <v>4.0</v>
      </c>
      <c r="G13" s="87">
        <v>0.0</v>
      </c>
      <c r="H13" s="87">
        <v>736.0</v>
      </c>
      <c r="I13" s="87">
        <v>0.0</v>
      </c>
      <c r="J13" s="87">
        <v>5.472222</v>
      </c>
      <c r="K13" s="87">
        <v>11.17486</v>
      </c>
      <c r="L13" s="87">
        <v>9.91429</v>
      </c>
      <c r="M13" s="87">
        <v>11.17486</v>
      </c>
      <c r="N13" s="87">
        <v>1.0</v>
      </c>
      <c r="O13" s="87">
        <v>0.0</v>
      </c>
      <c r="P13" s="87">
        <v>0.0</v>
      </c>
      <c r="Q13" s="87">
        <v>0.0</v>
      </c>
      <c r="R13" s="87">
        <v>11.17486</v>
      </c>
      <c r="S13" s="87">
        <v>11.17486</v>
      </c>
      <c r="T13" s="87">
        <v>11.17486</v>
      </c>
      <c r="U13" s="87">
        <v>11.17486</v>
      </c>
      <c r="V13" s="87">
        <v>11.17486</v>
      </c>
      <c r="W13" s="87">
        <v>11.17486</v>
      </c>
      <c r="X13" s="87">
        <v>11.17486</v>
      </c>
      <c r="Y13" s="87">
        <v>5.587432</v>
      </c>
      <c r="Z13" s="88" t="s">
        <v>1396</v>
      </c>
    </row>
    <row r="14" hidden="1">
      <c r="A14" s="90" t="s">
        <v>1409</v>
      </c>
      <c r="B14" s="90" t="s">
        <v>1418</v>
      </c>
      <c r="C14" s="90" t="s">
        <v>74</v>
      </c>
      <c r="D14" s="90" t="s">
        <v>75</v>
      </c>
      <c r="E14" s="90" t="s">
        <v>1403</v>
      </c>
      <c r="F14" s="87">
        <v>7.0</v>
      </c>
      <c r="G14" s="87">
        <v>7.0</v>
      </c>
      <c r="H14" s="87">
        <v>1059.0</v>
      </c>
      <c r="I14" s="87">
        <v>1059.0</v>
      </c>
      <c r="J14" s="87">
        <v>0.0</v>
      </c>
      <c r="K14" s="87">
        <v>0.0</v>
      </c>
      <c r="L14" s="87">
        <v>0.0</v>
      </c>
      <c r="M14" s="87">
        <v>0.0</v>
      </c>
      <c r="N14" s="91"/>
      <c r="O14" s="87">
        <v>0.0</v>
      </c>
      <c r="P14" s="87">
        <v>0.0</v>
      </c>
      <c r="Q14" s="87">
        <v>0.0</v>
      </c>
      <c r="R14" s="87">
        <v>0.0</v>
      </c>
      <c r="S14" s="87">
        <v>0.0</v>
      </c>
      <c r="T14" s="91"/>
      <c r="U14" s="91"/>
      <c r="V14" s="91"/>
      <c r="W14" s="91"/>
      <c r="X14" s="91"/>
      <c r="Y14" s="87">
        <v>0.0</v>
      </c>
      <c r="Z14" s="88" t="s">
        <v>1396</v>
      </c>
    </row>
    <row r="15" hidden="1">
      <c r="A15" s="90" t="s">
        <v>1407</v>
      </c>
      <c r="B15" s="90" t="s">
        <v>1419</v>
      </c>
      <c r="C15" s="90" t="s">
        <v>74</v>
      </c>
      <c r="D15" s="90" t="s">
        <v>1420</v>
      </c>
      <c r="E15" s="90" t="s">
        <v>1400</v>
      </c>
      <c r="F15" s="87">
        <v>8.0</v>
      </c>
      <c r="G15" s="87">
        <v>0.0</v>
      </c>
      <c r="H15" s="87">
        <v>3759.0</v>
      </c>
      <c r="I15" s="87">
        <v>0.0</v>
      </c>
      <c r="J15" s="87">
        <v>34.54381</v>
      </c>
      <c r="K15" s="87">
        <v>33.63383</v>
      </c>
      <c r="L15" s="87">
        <v>34.1862</v>
      </c>
      <c r="M15" s="87">
        <v>20.07087</v>
      </c>
      <c r="N15" s="87">
        <v>0.596747</v>
      </c>
      <c r="O15" s="87">
        <v>0.0</v>
      </c>
      <c r="P15" s="87">
        <v>0.932258</v>
      </c>
      <c r="Q15" s="87">
        <v>1.033333</v>
      </c>
      <c r="R15" s="87">
        <v>3.0</v>
      </c>
      <c r="S15" s="87">
        <v>3.6171</v>
      </c>
      <c r="T15" s="87">
        <v>0.932258</v>
      </c>
      <c r="U15" s="87">
        <v>1.033333</v>
      </c>
      <c r="V15" s="87">
        <v>1.768454</v>
      </c>
      <c r="W15" s="87">
        <v>3.211812</v>
      </c>
      <c r="X15" s="87">
        <v>3.6171</v>
      </c>
      <c r="Y15" s="87">
        <v>3.737092</v>
      </c>
      <c r="Z15" s="88" t="s">
        <v>1396</v>
      </c>
    </row>
    <row r="16" hidden="1">
      <c r="A16" s="90" t="s">
        <v>1409</v>
      </c>
      <c r="B16" s="90" t="s">
        <v>1421</v>
      </c>
      <c r="C16" s="90" t="s">
        <v>74</v>
      </c>
      <c r="D16" s="90" t="s">
        <v>1420</v>
      </c>
      <c r="E16" s="90" t="s">
        <v>1403</v>
      </c>
      <c r="F16" s="87">
        <v>0.0</v>
      </c>
      <c r="G16" s="87">
        <v>0.0</v>
      </c>
      <c r="H16" s="87">
        <v>0.0</v>
      </c>
      <c r="I16" s="87">
        <v>0.0</v>
      </c>
      <c r="J16" s="87">
        <v>0.0</v>
      </c>
      <c r="K16" s="87">
        <v>0.0</v>
      </c>
      <c r="L16" s="87">
        <v>0.0</v>
      </c>
      <c r="M16" s="87">
        <v>0.0</v>
      </c>
      <c r="N16" s="91"/>
      <c r="O16" s="87">
        <v>0.0</v>
      </c>
      <c r="P16" s="87">
        <v>0.0</v>
      </c>
      <c r="Q16" s="87">
        <v>0.0</v>
      </c>
      <c r="R16" s="87">
        <v>0.0</v>
      </c>
      <c r="S16" s="87">
        <v>0.0</v>
      </c>
      <c r="T16" s="91"/>
      <c r="U16" s="91"/>
      <c r="V16" s="91"/>
      <c r="W16" s="91"/>
      <c r="X16" s="91"/>
      <c r="Y16" s="87">
        <v>0.0</v>
      </c>
      <c r="Z16" s="88" t="s">
        <v>1396</v>
      </c>
    </row>
    <row r="17" hidden="1">
      <c r="A17" s="90" t="s">
        <v>1423</v>
      </c>
      <c r="B17" s="90" t="s">
        <v>1424</v>
      </c>
      <c r="C17" s="90" t="s">
        <v>107</v>
      </c>
      <c r="D17" s="90" t="s">
        <v>1425</v>
      </c>
      <c r="E17" s="90" t="s">
        <v>1426</v>
      </c>
      <c r="F17" s="87">
        <v>1.0</v>
      </c>
      <c r="G17" s="87">
        <v>0.0</v>
      </c>
      <c r="H17" s="87">
        <v>1064.0</v>
      </c>
      <c r="I17" s="87">
        <v>0.0</v>
      </c>
      <c r="J17" s="87">
        <v>6.665784</v>
      </c>
      <c r="K17" s="87">
        <v>6.742408</v>
      </c>
      <c r="L17" s="87">
        <v>7.155114</v>
      </c>
      <c r="M17" s="87">
        <v>6.742408</v>
      </c>
      <c r="N17" s="87">
        <v>1.0</v>
      </c>
      <c r="O17" s="87">
        <v>6.742408</v>
      </c>
      <c r="P17" s="87">
        <v>6.742408</v>
      </c>
      <c r="Q17" s="87">
        <v>6.742408</v>
      </c>
      <c r="R17" s="87">
        <v>6.742408</v>
      </c>
      <c r="S17" s="87">
        <v>6.742408</v>
      </c>
      <c r="T17" s="87">
        <v>6.742408</v>
      </c>
      <c r="U17" s="87">
        <v>6.742408</v>
      </c>
      <c r="V17" s="87">
        <v>6.742408</v>
      </c>
      <c r="W17" s="87">
        <v>6.742408</v>
      </c>
      <c r="X17" s="87">
        <v>6.742408</v>
      </c>
      <c r="Y17" s="87">
        <v>6.742408</v>
      </c>
      <c r="Z17" s="88" t="s">
        <v>1396</v>
      </c>
    </row>
    <row r="18" hidden="1">
      <c r="A18" s="90" t="s">
        <v>1427</v>
      </c>
      <c r="B18" s="90" t="s">
        <v>1428</v>
      </c>
      <c r="C18" s="90" t="s">
        <v>107</v>
      </c>
      <c r="D18" s="90" t="s">
        <v>1425</v>
      </c>
      <c r="E18" s="86">
        <v>46310.0</v>
      </c>
      <c r="F18" s="87">
        <v>3.0</v>
      </c>
      <c r="G18" s="87">
        <v>0.0</v>
      </c>
      <c r="H18" s="87">
        <v>49.0</v>
      </c>
      <c r="I18" s="87">
        <v>0.0</v>
      </c>
      <c r="J18" s="87">
        <v>0.111111</v>
      </c>
      <c r="K18" s="87">
        <v>0.04</v>
      </c>
      <c r="L18" s="87">
        <v>0.0367</v>
      </c>
      <c r="M18" s="87">
        <v>0.04</v>
      </c>
      <c r="N18" s="87">
        <v>1.0</v>
      </c>
      <c r="O18" s="87">
        <v>0.04</v>
      </c>
      <c r="P18" s="87">
        <v>0.04</v>
      </c>
      <c r="Q18" s="87">
        <v>0.04</v>
      </c>
      <c r="R18" s="87">
        <v>0.04</v>
      </c>
      <c r="S18" s="87">
        <v>0.04</v>
      </c>
      <c r="T18" s="87">
        <v>0.04</v>
      </c>
      <c r="U18" s="87">
        <v>0.04</v>
      </c>
      <c r="V18" s="87">
        <v>0.04</v>
      </c>
      <c r="W18" s="87">
        <v>0.04</v>
      </c>
      <c r="X18" s="87">
        <v>0.04</v>
      </c>
      <c r="Y18" s="87">
        <v>0.04</v>
      </c>
      <c r="Z18" s="88" t="s">
        <v>1396</v>
      </c>
    </row>
    <row r="19" hidden="1">
      <c r="A19" s="90" t="s">
        <v>1429</v>
      </c>
      <c r="B19" s="90" t="s">
        <v>1430</v>
      </c>
      <c r="C19" s="90" t="s">
        <v>107</v>
      </c>
      <c r="D19" s="90" t="s">
        <v>1425</v>
      </c>
      <c r="E19" s="90" t="s">
        <v>1413</v>
      </c>
      <c r="F19" s="87">
        <v>8.0</v>
      </c>
      <c r="G19" s="87">
        <v>1.0</v>
      </c>
      <c r="H19" s="87">
        <v>468.0</v>
      </c>
      <c r="I19" s="87">
        <v>20.0</v>
      </c>
      <c r="J19" s="87">
        <v>1.598901</v>
      </c>
      <c r="K19" s="87">
        <v>1.365236</v>
      </c>
      <c r="L19" s="87">
        <v>1.443151</v>
      </c>
      <c r="M19" s="87">
        <v>1.365236</v>
      </c>
      <c r="N19" s="87">
        <v>1.0</v>
      </c>
      <c r="O19" s="87">
        <v>1.365236</v>
      </c>
      <c r="P19" s="87">
        <v>1.365236</v>
      </c>
      <c r="Q19" s="87">
        <v>1.365236</v>
      </c>
      <c r="R19" s="87">
        <v>1.365236</v>
      </c>
      <c r="S19" s="87">
        <v>1.365236</v>
      </c>
      <c r="T19" s="87">
        <v>1.365236</v>
      </c>
      <c r="U19" s="87">
        <v>1.365236</v>
      </c>
      <c r="V19" s="87">
        <v>1.365236</v>
      </c>
      <c r="W19" s="87">
        <v>1.365236</v>
      </c>
      <c r="X19" s="87">
        <v>1.365236</v>
      </c>
      <c r="Y19" s="87">
        <v>1.365236</v>
      </c>
      <c r="Z19" s="88" t="s">
        <v>1396</v>
      </c>
    </row>
    <row r="20" hidden="1">
      <c r="A20" s="90" t="s">
        <v>1431</v>
      </c>
      <c r="B20" s="90" t="s">
        <v>1432</v>
      </c>
      <c r="C20" s="90" t="s">
        <v>107</v>
      </c>
      <c r="D20" s="90" t="s">
        <v>1425</v>
      </c>
      <c r="E20" s="90" t="s">
        <v>1398</v>
      </c>
      <c r="F20" s="87">
        <v>3.0</v>
      </c>
      <c r="G20" s="87">
        <v>1.0</v>
      </c>
      <c r="H20" s="87">
        <v>727.0</v>
      </c>
      <c r="I20" s="87">
        <v>29.0</v>
      </c>
      <c r="J20" s="87">
        <v>3.182418</v>
      </c>
      <c r="K20" s="87">
        <v>3.270005</v>
      </c>
      <c r="L20" s="87">
        <v>3.611142</v>
      </c>
      <c r="M20" s="87">
        <v>3.270005</v>
      </c>
      <c r="N20" s="87">
        <v>1.0</v>
      </c>
      <c r="O20" s="87">
        <v>3.270005</v>
      </c>
      <c r="P20" s="87">
        <v>3.270005</v>
      </c>
      <c r="Q20" s="87">
        <v>3.270005</v>
      </c>
      <c r="R20" s="87">
        <v>3.270005</v>
      </c>
      <c r="S20" s="87">
        <v>3.270005</v>
      </c>
      <c r="T20" s="87">
        <v>3.270005</v>
      </c>
      <c r="U20" s="87">
        <v>3.270005</v>
      </c>
      <c r="V20" s="87">
        <v>3.270005</v>
      </c>
      <c r="W20" s="87">
        <v>3.270005</v>
      </c>
      <c r="X20" s="87">
        <v>3.270005</v>
      </c>
      <c r="Y20" s="87">
        <v>3.270005</v>
      </c>
      <c r="Z20" s="88" t="s">
        <v>1396</v>
      </c>
    </row>
    <row r="21" hidden="1">
      <c r="A21" s="90" t="s">
        <v>1433</v>
      </c>
      <c r="B21" s="90" t="s">
        <v>1434</v>
      </c>
      <c r="C21" s="90" t="s">
        <v>107</v>
      </c>
      <c r="D21" s="90" t="s">
        <v>1425</v>
      </c>
      <c r="E21" s="90" t="s">
        <v>1400</v>
      </c>
      <c r="F21" s="87">
        <v>16.0</v>
      </c>
      <c r="G21" s="87">
        <v>1.0</v>
      </c>
      <c r="H21" s="87">
        <v>949.0</v>
      </c>
      <c r="I21" s="87">
        <v>2.0</v>
      </c>
      <c r="J21" s="87">
        <v>3.248918</v>
      </c>
      <c r="K21" s="87">
        <v>2.891034</v>
      </c>
      <c r="L21" s="87">
        <v>2.930254</v>
      </c>
      <c r="M21" s="87">
        <v>1.049147</v>
      </c>
      <c r="N21" s="87">
        <v>0.362897</v>
      </c>
      <c r="O21" s="87">
        <v>0.466889</v>
      </c>
      <c r="P21" s="87">
        <v>0.466889</v>
      </c>
      <c r="Q21" s="87">
        <v>0.467593</v>
      </c>
      <c r="R21" s="87">
        <v>0.907405</v>
      </c>
      <c r="S21" s="87">
        <v>0.907405</v>
      </c>
      <c r="T21" s="87">
        <v>0.466889</v>
      </c>
      <c r="U21" s="87">
        <v>0.466889</v>
      </c>
      <c r="V21" s="87">
        <v>0.467593</v>
      </c>
      <c r="W21" s="87">
        <v>0.907405</v>
      </c>
      <c r="X21" s="87">
        <v>0.907405</v>
      </c>
      <c r="Y21" s="87">
        <v>0.722758</v>
      </c>
      <c r="Z21" s="88" t="s">
        <v>1396</v>
      </c>
    </row>
    <row r="22" hidden="1">
      <c r="A22" s="90" t="s">
        <v>1447</v>
      </c>
      <c r="B22" s="90" t="s">
        <v>3288</v>
      </c>
      <c r="C22" s="90" t="s">
        <v>107</v>
      </c>
      <c r="D22" s="90" t="s">
        <v>1425</v>
      </c>
      <c r="E22" s="89">
        <v>46300.0</v>
      </c>
      <c r="F22" s="87">
        <v>2.0</v>
      </c>
      <c r="G22" s="87">
        <v>0.0</v>
      </c>
      <c r="H22" s="87">
        <v>73.0</v>
      </c>
      <c r="I22" s="87">
        <v>0.0</v>
      </c>
      <c r="J22" s="87">
        <v>0.0</v>
      </c>
      <c r="K22" s="87">
        <v>0.0</v>
      </c>
      <c r="L22" s="87">
        <v>0.0</v>
      </c>
      <c r="M22" s="87">
        <v>0.0</v>
      </c>
      <c r="N22" s="91"/>
      <c r="O22" s="91"/>
      <c r="P22" s="91"/>
      <c r="Q22" s="91"/>
      <c r="R22" s="91"/>
      <c r="S22" s="91"/>
      <c r="T22" s="91"/>
      <c r="U22" s="91"/>
      <c r="V22" s="91"/>
      <c r="W22" s="91"/>
      <c r="X22" s="91"/>
      <c r="Y22" s="91"/>
      <c r="Z22" s="88" t="s">
        <v>1396</v>
      </c>
    </row>
    <row r="23" hidden="1">
      <c r="A23" s="90" t="s">
        <v>1422</v>
      </c>
      <c r="B23" s="90" t="s">
        <v>1435</v>
      </c>
      <c r="C23" s="90" t="s">
        <v>107</v>
      </c>
      <c r="D23" s="90" t="s">
        <v>1425</v>
      </c>
      <c r="E23" s="90" t="s">
        <v>1403</v>
      </c>
      <c r="F23" s="87">
        <v>4.0</v>
      </c>
      <c r="G23" s="87">
        <v>4.0</v>
      </c>
      <c r="H23" s="87">
        <v>200.0</v>
      </c>
      <c r="I23" s="87">
        <v>200.0</v>
      </c>
      <c r="J23" s="87">
        <v>0.0</v>
      </c>
      <c r="K23" s="87">
        <v>0.0</v>
      </c>
      <c r="L23" s="87">
        <v>0.0</v>
      </c>
      <c r="M23" s="87">
        <v>0.0</v>
      </c>
      <c r="N23" s="91"/>
      <c r="O23" s="87">
        <v>0.0</v>
      </c>
      <c r="P23" s="87">
        <v>0.0</v>
      </c>
      <c r="Q23" s="87">
        <v>0.0</v>
      </c>
      <c r="R23" s="87">
        <v>0.0</v>
      </c>
      <c r="S23" s="87">
        <v>0.0</v>
      </c>
      <c r="T23" s="91"/>
      <c r="U23" s="91"/>
      <c r="V23" s="91"/>
      <c r="W23" s="91"/>
      <c r="X23" s="91"/>
      <c r="Y23" s="87">
        <v>0.0</v>
      </c>
      <c r="Z23" s="88" t="s">
        <v>1396</v>
      </c>
    </row>
    <row r="24" hidden="1">
      <c r="A24" s="90" t="s">
        <v>1427</v>
      </c>
      <c r="B24" s="90" t="s">
        <v>1436</v>
      </c>
      <c r="C24" s="90" t="s">
        <v>107</v>
      </c>
      <c r="D24" s="90" t="s">
        <v>1437</v>
      </c>
      <c r="E24" s="86">
        <v>46310.0</v>
      </c>
      <c r="F24" s="87">
        <v>7.0</v>
      </c>
      <c r="G24" s="87">
        <v>3.0</v>
      </c>
      <c r="H24" s="87">
        <v>335.0</v>
      </c>
      <c r="I24" s="87">
        <v>26.0</v>
      </c>
      <c r="J24" s="87">
        <v>0.636508</v>
      </c>
      <c r="K24" s="87">
        <v>0.628758</v>
      </c>
      <c r="L24" s="87">
        <v>0.525627</v>
      </c>
      <c r="M24" s="87">
        <v>0.628758</v>
      </c>
      <c r="N24" s="87">
        <v>1.0</v>
      </c>
      <c r="O24" s="87">
        <v>0.628758</v>
      </c>
      <c r="P24" s="87">
        <v>0.628758</v>
      </c>
      <c r="Q24" s="87">
        <v>0.628758</v>
      </c>
      <c r="R24" s="87">
        <v>0.628758</v>
      </c>
      <c r="S24" s="87">
        <v>0.628758</v>
      </c>
      <c r="T24" s="87">
        <v>0.628758</v>
      </c>
      <c r="U24" s="87">
        <v>0.628758</v>
      </c>
      <c r="V24" s="87">
        <v>0.628758</v>
      </c>
      <c r="W24" s="87">
        <v>0.628758</v>
      </c>
      <c r="X24" s="87">
        <v>0.628758</v>
      </c>
      <c r="Y24" s="87">
        <v>0.628758</v>
      </c>
      <c r="Z24" s="88" t="s">
        <v>1396</v>
      </c>
    </row>
    <row r="25" hidden="1">
      <c r="A25" s="90" t="s">
        <v>1429</v>
      </c>
      <c r="B25" s="90" t="s">
        <v>1438</v>
      </c>
      <c r="C25" s="90" t="s">
        <v>107</v>
      </c>
      <c r="D25" s="90" t="s">
        <v>1437</v>
      </c>
      <c r="E25" s="90" t="s">
        <v>1413</v>
      </c>
      <c r="F25" s="87">
        <v>5.0</v>
      </c>
      <c r="G25" s="87">
        <v>0.0</v>
      </c>
      <c r="H25" s="87">
        <v>267.0</v>
      </c>
      <c r="I25" s="87">
        <v>0.0</v>
      </c>
      <c r="J25" s="87">
        <v>0.5</v>
      </c>
      <c r="K25" s="87">
        <v>0.5</v>
      </c>
      <c r="L25" s="87">
        <v>0.5</v>
      </c>
      <c r="M25" s="87">
        <v>0.5</v>
      </c>
      <c r="N25" s="87">
        <v>1.0</v>
      </c>
      <c r="O25" s="87">
        <v>0.5</v>
      </c>
      <c r="P25" s="87">
        <v>0.5</v>
      </c>
      <c r="Q25" s="87">
        <v>0.5</v>
      </c>
      <c r="R25" s="87">
        <v>0.5</v>
      </c>
      <c r="S25" s="87">
        <v>0.5</v>
      </c>
      <c r="T25" s="87">
        <v>0.5</v>
      </c>
      <c r="U25" s="87">
        <v>0.5</v>
      </c>
      <c r="V25" s="87">
        <v>0.5</v>
      </c>
      <c r="W25" s="87">
        <v>0.5</v>
      </c>
      <c r="X25" s="87">
        <v>0.5</v>
      </c>
      <c r="Y25" s="87">
        <v>0.5</v>
      </c>
      <c r="Z25" s="88" t="s">
        <v>1396</v>
      </c>
    </row>
    <row r="26" hidden="1">
      <c r="A26" s="90" t="s">
        <v>1431</v>
      </c>
      <c r="B26" s="90" t="s">
        <v>1439</v>
      </c>
      <c r="C26" s="90" t="s">
        <v>107</v>
      </c>
      <c r="D26" s="90" t="s">
        <v>1437</v>
      </c>
      <c r="E26" s="90" t="s">
        <v>1398</v>
      </c>
      <c r="F26" s="87">
        <v>1.0</v>
      </c>
      <c r="G26" s="87">
        <v>0.0</v>
      </c>
      <c r="H26" s="87">
        <v>10.0</v>
      </c>
      <c r="I26" s="87">
        <v>0.0</v>
      </c>
      <c r="J26" s="87">
        <v>0.0</v>
      </c>
      <c r="K26" s="87">
        <v>0.0</v>
      </c>
      <c r="L26" s="87">
        <v>0.0</v>
      </c>
      <c r="M26" s="87">
        <v>0.0</v>
      </c>
      <c r="N26" s="91"/>
      <c r="O26" s="91"/>
      <c r="P26" s="91"/>
      <c r="Q26" s="91"/>
      <c r="R26" s="91"/>
      <c r="S26" s="91"/>
      <c r="T26" s="91"/>
      <c r="U26" s="91"/>
      <c r="V26" s="91"/>
      <c r="W26" s="91"/>
      <c r="X26" s="91"/>
      <c r="Y26" s="91"/>
      <c r="Z26" s="88" t="s">
        <v>1396</v>
      </c>
    </row>
    <row r="27" hidden="1">
      <c r="A27" s="90" t="s">
        <v>1433</v>
      </c>
      <c r="B27" s="90" t="s">
        <v>1440</v>
      </c>
      <c r="C27" s="90" t="s">
        <v>107</v>
      </c>
      <c r="D27" s="90" t="s">
        <v>1437</v>
      </c>
      <c r="E27" s="90" t="s">
        <v>1400</v>
      </c>
      <c r="F27" s="87">
        <v>20.0</v>
      </c>
      <c r="G27" s="87">
        <v>2.0</v>
      </c>
      <c r="H27" s="87">
        <v>2250.0</v>
      </c>
      <c r="I27" s="87">
        <v>15.0</v>
      </c>
      <c r="J27" s="87">
        <v>6.876224</v>
      </c>
      <c r="K27" s="87">
        <v>6.578166</v>
      </c>
      <c r="L27" s="87">
        <v>7.040684</v>
      </c>
      <c r="M27" s="87">
        <v>4.007246</v>
      </c>
      <c r="N27" s="87">
        <v>0.609174</v>
      </c>
      <c r="O27" s="87">
        <v>0.033333</v>
      </c>
      <c r="P27" s="87">
        <v>0.066667</v>
      </c>
      <c r="Q27" s="87">
        <v>0.366667</v>
      </c>
      <c r="R27" s="87">
        <v>0.907405</v>
      </c>
      <c r="S27" s="87">
        <v>1.196848</v>
      </c>
      <c r="T27" s="87">
        <v>0.033333</v>
      </c>
      <c r="U27" s="87">
        <v>0.066667</v>
      </c>
      <c r="V27" s="87">
        <v>0.366667</v>
      </c>
      <c r="W27" s="87">
        <v>0.907405</v>
      </c>
      <c r="X27" s="87">
        <v>1.196848</v>
      </c>
      <c r="Y27" s="87">
        <v>0.939738</v>
      </c>
      <c r="Z27" s="88" t="s">
        <v>1396</v>
      </c>
    </row>
    <row r="28" hidden="1">
      <c r="A28" s="90" t="s">
        <v>1447</v>
      </c>
      <c r="B28" s="90" t="s">
        <v>3289</v>
      </c>
      <c r="C28" s="90" t="s">
        <v>107</v>
      </c>
      <c r="D28" s="90" t="s">
        <v>1437</v>
      </c>
      <c r="E28" s="89">
        <v>46300.0</v>
      </c>
      <c r="F28" s="87">
        <v>1.0</v>
      </c>
      <c r="G28" s="87">
        <v>0.0</v>
      </c>
      <c r="H28" s="87">
        <v>14.0</v>
      </c>
      <c r="I28" s="87">
        <v>0.0</v>
      </c>
      <c r="J28" s="87">
        <v>0.0</v>
      </c>
      <c r="K28" s="87">
        <v>0.0</v>
      </c>
      <c r="L28" s="87">
        <v>0.0</v>
      </c>
      <c r="M28" s="87">
        <v>0.0</v>
      </c>
      <c r="N28" s="91"/>
      <c r="O28" s="91"/>
      <c r="P28" s="91"/>
      <c r="Q28" s="91"/>
      <c r="R28" s="91"/>
      <c r="S28" s="91"/>
      <c r="T28" s="91"/>
      <c r="U28" s="91"/>
      <c r="V28" s="91"/>
      <c r="W28" s="91"/>
      <c r="X28" s="91"/>
      <c r="Y28" s="91"/>
      <c r="Z28" s="88" t="s">
        <v>1396</v>
      </c>
    </row>
    <row r="29" hidden="1">
      <c r="A29" s="90" t="s">
        <v>1422</v>
      </c>
      <c r="B29" s="90" t="s">
        <v>1441</v>
      </c>
      <c r="C29" s="90" t="s">
        <v>107</v>
      </c>
      <c r="D29" s="90" t="s">
        <v>1437</v>
      </c>
      <c r="E29" s="90" t="s">
        <v>1403</v>
      </c>
      <c r="F29" s="87">
        <v>2.0</v>
      </c>
      <c r="G29" s="87">
        <v>2.0</v>
      </c>
      <c r="H29" s="87">
        <v>46.0</v>
      </c>
      <c r="I29" s="87">
        <v>46.0</v>
      </c>
      <c r="J29" s="87">
        <v>0.0</v>
      </c>
      <c r="K29" s="87">
        <v>0.0</v>
      </c>
      <c r="L29" s="87">
        <v>0.0</v>
      </c>
      <c r="M29" s="87">
        <v>0.0</v>
      </c>
      <c r="N29" s="91"/>
      <c r="O29" s="87">
        <v>0.0</v>
      </c>
      <c r="P29" s="87">
        <v>0.0</v>
      </c>
      <c r="Q29" s="87">
        <v>0.0</v>
      </c>
      <c r="R29" s="87">
        <v>0.0</v>
      </c>
      <c r="S29" s="87">
        <v>0.0</v>
      </c>
      <c r="T29" s="91"/>
      <c r="U29" s="91"/>
      <c r="V29" s="91"/>
      <c r="W29" s="91"/>
      <c r="X29" s="91"/>
      <c r="Y29" s="87">
        <v>0.0</v>
      </c>
      <c r="Z29" s="88" t="s">
        <v>1396</v>
      </c>
    </row>
    <row r="30" hidden="1">
      <c r="A30" s="90" t="s">
        <v>1423</v>
      </c>
      <c r="B30" s="90" t="s">
        <v>1442</v>
      </c>
      <c r="C30" s="90" t="s">
        <v>107</v>
      </c>
      <c r="D30" s="90" t="s">
        <v>120</v>
      </c>
      <c r="E30" s="90" t="s">
        <v>1426</v>
      </c>
      <c r="F30" s="87">
        <v>2.0</v>
      </c>
      <c r="G30" s="87">
        <v>0.0</v>
      </c>
      <c r="H30" s="87">
        <v>3162.0</v>
      </c>
      <c r="I30" s="87">
        <v>0.0</v>
      </c>
      <c r="J30" s="87">
        <v>42.18712</v>
      </c>
      <c r="K30" s="87">
        <v>39.48128</v>
      </c>
      <c r="L30" s="87">
        <v>39.13113</v>
      </c>
      <c r="M30" s="87">
        <v>25.49885</v>
      </c>
      <c r="N30" s="87">
        <v>0.645847</v>
      </c>
      <c r="O30" s="87">
        <v>13.98243</v>
      </c>
      <c r="P30" s="87">
        <v>13.98243</v>
      </c>
      <c r="Q30" s="87">
        <v>13.98243</v>
      </c>
      <c r="R30" s="87">
        <v>25.49885</v>
      </c>
      <c r="S30" s="87">
        <v>25.49885</v>
      </c>
      <c r="T30" s="87">
        <v>13.98243</v>
      </c>
      <c r="U30" s="87">
        <v>13.98243</v>
      </c>
      <c r="V30" s="87">
        <v>13.98243</v>
      </c>
      <c r="W30" s="87">
        <v>25.49885</v>
      </c>
      <c r="X30" s="87">
        <v>25.49885</v>
      </c>
      <c r="Y30" s="87">
        <v>19.74064</v>
      </c>
      <c r="Z30" s="88" t="s">
        <v>1396</v>
      </c>
    </row>
    <row r="31" hidden="1">
      <c r="A31" s="90" t="s">
        <v>1427</v>
      </c>
      <c r="B31" s="90" t="s">
        <v>1443</v>
      </c>
      <c r="C31" s="90" t="s">
        <v>107</v>
      </c>
      <c r="D31" s="90" t="s">
        <v>120</v>
      </c>
      <c r="E31" s="86">
        <v>46310.0</v>
      </c>
      <c r="F31" s="87">
        <v>21.0</v>
      </c>
      <c r="G31" s="87">
        <v>1.0</v>
      </c>
      <c r="H31" s="87">
        <v>10138.0</v>
      </c>
      <c r="I31" s="87">
        <v>3.0</v>
      </c>
      <c r="J31" s="87">
        <v>114.1044</v>
      </c>
      <c r="K31" s="87">
        <v>113.0732</v>
      </c>
      <c r="L31" s="87">
        <v>112.7296</v>
      </c>
      <c r="M31" s="87">
        <v>37.94324</v>
      </c>
      <c r="N31" s="87">
        <v>0.335563</v>
      </c>
      <c r="O31" s="87">
        <v>2.113793</v>
      </c>
      <c r="P31" s="87">
        <v>3.610651</v>
      </c>
      <c r="Q31" s="87">
        <v>4.940896</v>
      </c>
      <c r="R31" s="87">
        <v>6.639863</v>
      </c>
      <c r="S31" s="87">
        <v>8.02561</v>
      </c>
      <c r="T31" s="87">
        <v>2.113793</v>
      </c>
      <c r="U31" s="87">
        <v>3.610651</v>
      </c>
      <c r="V31" s="87">
        <v>4.940896</v>
      </c>
      <c r="W31" s="87">
        <v>6.639863</v>
      </c>
      <c r="X31" s="87">
        <v>8.02561</v>
      </c>
      <c r="Y31" s="87">
        <v>6.281844</v>
      </c>
      <c r="Z31" s="88" t="s">
        <v>1396</v>
      </c>
    </row>
    <row r="32" hidden="1">
      <c r="A32" s="90" t="s">
        <v>1429</v>
      </c>
      <c r="B32" s="90" t="s">
        <v>1444</v>
      </c>
      <c r="C32" s="90" t="s">
        <v>107</v>
      </c>
      <c r="D32" s="90" t="s">
        <v>120</v>
      </c>
      <c r="E32" s="90" t="s">
        <v>1413</v>
      </c>
      <c r="F32" s="87">
        <v>4.0</v>
      </c>
      <c r="G32" s="87">
        <v>0.0</v>
      </c>
      <c r="H32" s="87">
        <v>1030.0</v>
      </c>
      <c r="I32" s="87">
        <v>0.0</v>
      </c>
      <c r="J32" s="87">
        <v>21.28644</v>
      </c>
      <c r="K32" s="87">
        <v>15.10972</v>
      </c>
      <c r="L32" s="87">
        <v>13.6056</v>
      </c>
      <c r="M32" s="87">
        <v>6.754099</v>
      </c>
      <c r="N32" s="87">
        <v>0.447004</v>
      </c>
      <c r="O32" s="87">
        <v>1.636508</v>
      </c>
      <c r="P32" s="87">
        <v>1.636508</v>
      </c>
      <c r="Q32" s="87">
        <v>3.277122</v>
      </c>
      <c r="R32" s="87">
        <v>3.441991</v>
      </c>
      <c r="S32" s="87">
        <v>3.441991</v>
      </c>
      <c r="T32" s="87">
        <v>1.636508</v>
      </c>
      <c r="U32" s="87">
        <v>1.636508</v>
      </c>
      <c r="V32" s="87">
        <v>3.277122</v>
      </c>
      <c r="W32" s="87">
        <v>3.441991</v>
      </c>
      <c r="X32" s="87">
        <v>3.441991</v>
      </c>
      <c r="Y32" s="87">
        <v>3.77743</v>
      </c>
      <c r="Z32" s="88" t="s">
        <v>1396</v>
      </c>
    </row>
    <row r="33" hidden="1">
      <c r="A33" s="90" t="s">
        <v>1431</v>
      </c>
      <c r="B33" s="90" t="s">
        <v>1445</v>
      </c>
      <c r="C33" s="90" t="s">
        <v>107</v>
      </c>
      <c r="D33" s="90" t="s">
        <v>120</v>
      </c>
      <c r="E33" s="90" t="s">
        <v>1398</v>
      </c>
      <c r="F33" s="87">
        <v>5.0</v>
      </c>
      <c r="G33" s="87">
        <v>2.0</v>
      </c>
      <c r="H33" s="87">
        <v>289.0</v>
      </c>
      <c r="I33" s="87">
        <v>6.0</v>
      </c>
      <c r="J33" s="87">
        <v>2.252747</v>
      </c>
      <c r="K33" s="87">
        <v>1.839733</v>
      </c>
      <c r="L33" s="87">
        <v>1.715587</v>
      </c>
      <c r="M33" s="87">
        <v>1.839733</v>
      </c>
      <c r="N33" s="87">
        <v>1.0</v>
      </c>
      <c r="O33" s="87">
        <v>1.839733</v>
      </c>
      <c r="P33" s="87">
        <v>1.839733</v>
      </c>
      <c r="Q33" s="87">
        <v>1.839733</v>
      </c>
      <c r="R33" s="87">
        <v>1.839733</v>
      </c>
      <c r="S33" s="87">
        <v>1.839733</v>
      </c>
      <c r="T33" s="87">
        <v>1.839733</v>
      </c>
      <c r="U33" s="87">
        <v>1.839733</v>
      </c>
      <c r="V33" s="87">
        <v>1.839733</v>
      </c>
      <c r="W33" s="87">
        <v>1.839733</v>
      </c>
      <c r="X33" s="87">
        <v>1.839733</v>
      </c>
      <c r="Y33" s="87">
        <v>1.839733</v>
      </c>
      <c r="Z33" s="88" t="s">
        <v>1396</v>
      </c>
    </row>
    <row r="34" hidden="1">
      <c r="A34" s="90" t="s">
        <v>1433</v>
      </c>
      <c r="B34" s="90" t="s">
        <v>1446</v>
      </c>
      <c r="C34" s="90" t="s">
        <v>107</v>
      </c>
      <c r="D34" s="90" t="s">
        <v>120</v>
      </c>
      <c r="E34" s="90" t="s">
        <v>1400</v>
      </c>
      <c r="F34" s="87">
        <v>21.0</v>
      </c>
      <c r="G34" s="87">
        <v>0.0</v>
      </c>
      <c r="H34" s="87">
        <v>5648.0</v>
      </c>
      <c r="I34" s="87">
        <v>0.0</v>
      </c>
      <c r="J34" s="87">
        <v>22.55563</v>
      </c>
      <c r="K34" s="87">
        <v>21.15437</v>
      </c>
      <c r="L34" s="87">
        <v>21.71342</v>
      </c>
      <c r="M34" s="87">
        <v>9.819323</v>
      </c>
      <c r="N34" s="87">
        <v>0.464175</v>
      </c>
      <c r="O34" s="87">
        <v>0.333333</v>
      </c>
      <c r="P34" s="87">
        <v>0.595699</v>
      </c>
      <c r="Q34" s="87">
        <v>0.629032</v>
      </c>
      <c r="R34" s="87">
        <v>1.393845</v>
      </c>
      <c r="S34" s="87">
        <v>2.034792</v>
      </c>
      <c r="T34" s="87">
        <v>0.333333</v>
      </c>
      <c r="U34" s="87">
        <v>0.595699</v>
      </c>
      <c r="V34" s="87">
        <v>0.629032</v>
      </c>
      <c r="W34" s="87">
        <v>1.393845</v>
      </c>
      <c r="X34" s="87">
        <v>2.034792</v>
      </c>
      <c r="Y34" s="87">
        <v>1.322148</v>
      </c>
      <c r="Z34" s="88" t="s">
        <v>1396</v>
      </c>
    </row>
    <row r="35" hidden="1">
      <c r="A35" s="90" t="s">
        <v>1447</v>
      </c>
      <c r="B35" s="90" t="s">
        <v>1448</v>
      </c>
      <c r="C35" s="90" t="s">
        <v>107</v>
      </c>
      <c r="D35" s="90" t="s">
        <v>120</v>
      </c>
      <c r="E35" s="89">
        <v>46300.0</v>
      </c>
      <c r="F35" s="87">
        <v>25.0</v>
      </c>
      <c r="G35" s="87">
        <v>0.0</v>
      </c>
      <c r="H35" s="87">
        <v>18050.0</v>
      </c>
      <c r="I35" s="87">
        <v>0.0</v>
      </c>
      <c r="J35" s="87">
        <v>217.2806</v>
      </c>
      <c r="K35" s="87">
        <v>206.8136</v>
      </c>
      <c r="L35" s="87">
        <v>203.2072</v>
      </c>
      <c r="M35" s="87">
        <v>98.51943</v>
      </c>
      <c r="N35" s="87">
        <v>0.476368</v>
      </c>
      <c r="O35" s="87">
        <v>3.219366</v>
      </c>
      <c r="P35" s="87">
        <v>4.700865</v>
      </c>
      <c r="Q35" s="87">
        <v>5.250105</v>
      </c>
      <c r="R35" s="87">
        <v>6.008327</v>
      </c>
      <c r="S35" s="87">
        <v>10.1361</v>
      </c>
      <c r="T35" s="87">
        <v>4.665716</v>
      </c>
      <c r="U35" s="87">
        <v>4.829101</v>
      </c>
      <c r="V35" s="87">
        <v>5.351227</v>
      </c>
      <c r="W35" s="87">
        <v>6.467258</v>
      </c>
      <c r="X35" s="87">
        <v>10.1361</v>
      </c>
      <c r="Y35" s="87">
        <v>8.991894</v>
      </c>
      <c r="Z35" s="88" t="s">
        <v>1396</v>
      </c>
    </row>
    <row r="36" hidden="1">
      <c r="A36" s="90" t="s">
        <v>1422</v>
      </c>
      <c r="B36" s="90" t="s">
        <v>1449</v>
      </c>
      <c r="C36" s="90" t="s">
        <v>107</v>
      </c>
      <c r="D36" s="90" t="s">
        <v>120</v>
      </c>
      <c r="E36" s="90" t="s">
        <v>1403</v>
      </c>
      <c r="F36" s="87">
        <v>9.0</v>
      </c>
      <c r="G36" s="87">
        <v>9.0</v>
      </c>
      <c r="H36" s="87">
        <v>629.0</v>
      </c>
      <c r="I36" s="87">
        <v>629.0</v>
      </c>
      <c r="J36" s="87">
        <v>0.0</v>
      </c>
      <c r="K36" s="87">
        <v>0.0</v>
      </c>
      <c r="L36" s="87">
        <v>0.0</v>
      </c>
      <c r="M36" s="87">
        <v>0.0</v>
      </c>
      <c r="N36" s="91"/>
      <c r="O36" s="87">
        <v>0.0</v>
      </c>
      <c r="P36" s="87">
        <v>0.0</v>
      </c>
      <c r="Q36" s="87">
        <v>0.0</v>
      </c>
      <c r="R36" s="87">
        <v>0.0</v>
      </c>
      <c r="S36" s="87">
        <v>0.0</v>
      </c>
      <c r="T36" s="91"/>
      <c r="U36" s="91"/>
      <c r="V36" s="91"/>
      <c r="W36" s="91"/>
      <c r="X36" s="91"/>
      <c r="Y36" s="87">
        <v>0.0</v>
      </c>
      <c r="Z36" s="88" t="s">
        <v>1396</v>
      </c>
    </row>
    <row r="37" hidden="1">
      <c r="A37" s="90" t="s">
        <v>1433</v>
      </c>
      <c r="B37" s="90" t="s">
        <v>1453</v>
      </c>
      <c r="C37" s="90" t="s">
        <v>107</v>
      </c>
      <c r="D37" s="90" t="s">
        <v>1451</v>
      </c>
      <c r="E37" s="90" t="s">
        <v>1400</v>
      </c>
      <c r="F37" s="87">
        <v>71.0</v>
      </c>
      <c r="G37" s="87">
        <v>9.0</v>
      </c>
      <c r="H37" s="87">
        <v>15186.0</v>
      </c>
      <c r="I37" s="87">
        <v>346.0</v>
      </c>
      <c r="J37" s="87">
        <v>91.29439</v>
      </c>
      <c r="K37" s="87">
        <v>88.90458</v>
      </c>
      <c r="L37" s="87">
        <v>88.45829</v>
      </c>
      <c r="M37" s="87">
        <v>49.13234</v>
      </c>
      <c r="N37" s="87">
        <v>0.552641</v>
      </c>
      <c r="O37" s="87">
        <v>0.0</v>
      </c>
      <c r="P37" s="87">
        <v>0.433333</v>
      </c>
      <c r="Q37" s="87">
        <v>0.868054</v>
      </c>
      <c r="R37" s="87">
        <v>1.508152</v>
      </c>
      <c r="S37" s="87">
        <v>2.690655</v>
      </c>
      <c r="T37" s="87">
        <v>0.60767</v>
      </c>
      <c r="U37" s="87">
        <v>0.868054</v>
      </c>
      <c r="V37" s="87">
        <v>1.151269</v>
      </c>
      <c r="W37" s="87">
        <v>1.775751</v>
      </c>
      <c r="X37" s="87">
        <v>2.811014</v>
      </c>
      <c r="Y37" s="87">
        <v>2.222615</v>
      </c>
      <c r="Z37" s="88" t="s">
        <v>1396</v>
      </c>
    </row>
    <row r="38" hidden="1">
      <c r="A38" s="90" t="s">
        <v>1422</v>
      </c>
      <c r="B38" s="90" t="s">
        <v>1454</v>
      </c>
      <c r="C38" s="90" t="s">
        <v>107</v>
      </c>
      <c r="D38" s="90" t="s">
        <v>1451</v>
      </c>
      <c r="E38" s="90" t="s">
        <v>1403</v>
      </c>
      <c r="F38" s="87">
        <v>20.0</v>
      </c>
      <c r="G38" s="87">
        <v>20.0</v>
      </c>
      <c r="H38" s="87">
        <v>445.0</v>
      </c>
      <c r="I38" s="87">
        <v>445.0</v>
      </c>
      <c r="J38" s="87">
        <v>0.0</v>
      </c>
      <c r="K38" s="87">
        <v>0.0</v>
      </c>
      <c r="L38" s="87">
        <v>0.0</v>
      </c>
      <c r="M38" s="87">
        <v>0.0</v>
      </c>
      <c r="N38" s="91"/>
      <c r="O38" s="87">
        <v>0.0</v>
      </c>
      <c r="P38" s="87">
        <v>0.0</v>
      </c>
      <c r="Q38" s="87">
        <v>0.0</v>
      </c>
      <c r="R38" s="87">
        <v>0.0</v>
      </c>
      <c r="S38" s="87">
        <v>0.0</v>
      </c>
      <c r="T38" s="91"/>
      <c r="U38" s="91"/>
      <c r="V38" s="91"/>
      <c r="W38" s="91"/>
      <c r="X38" s="91"/>
      <c r="Y38" s="87">
        <v>0.0</v>
      </c>
      <c r="Z38" s="88" t="s">
        <v>1396</v>
      </c>
    </row>
    <row r="39" hidden="1">
      <c r="A39" s="90" t="s">
        <v>1427</v>
      </c>
      <c r="B39" s="90" t="s">
        <v>1455</v>
      </c>
      <c r="C39" s="90" t="s">
        <v>107</v>
      </c>
      <c r="D39" s="90" t="s">
        <v>108</v>
      </c>
      <c r="E39" s="86">
        <v>46310.0</v>
      </c>
      <c r="F39" s="87">
        <v>3.0</v>
      </c>
      <c r="G39" s="87">
        <v>0.0</v>
      </c>
      <c r="H39" s="87">
        <v>4233.0</v>
      </c>
      <c r="I39" s="87">
        <v>0.0</v>
      </c>
      <c r="J39" s="87">
        <v>50.95109</v>
      </c>
      <c r="K39" s="87">
        <v>46.51485</v>
      </c>
      <c r="L39" s="87">
        <v>44.6565</v>
      </c>
      <c r="M39" s="87">
        <v>24.61995</v>
      </c>
      <c r="N39" s="87">
        <v>0.529292</v>
      </c>
      <c r="O39" s="87">
        <v>5.741263</v>
      </c>
      <c r="P39" s="87">
        <v>5.741263</v>
      </c>
      <c r="Q39" s="87">
        <v>5.741263</v>
      </c>
      <c r="R39" s="87">
        <v>16.15364</v>
      </c>
      <c r="S39" s="87">
        <v>24.61995</v>
      </c>
      <c r="T39" s="87">
        <v>5.741263</v>
      </c>
      <c r="U39" s="87">
        <v>5.741263</v>
      </c>
      <c r="V39" s="87">
        <v>5.741263</v>
      </c>
      <c r="W39" s="87">
        <v>16.15364</v>
      </c>
      <c r="X39" s="87">
        <v>24.61995</v>
      </c>
      <c r="Y39" s="87">
        <v>15.50495</v>
      </c>
      <c r="Z39" s="88" t="s">
        <v>1396</v>
      </c>
    </row>
    <row r="40" hidden="1">
      <c r="A40" s="90" t="s">
        <v>1433</v>
      </c>
      <c r="B40" s="90" t="s">
        <v>1456</v>
      </c>
      <c r="C40" s="90" t="s">
        <v>107</v>
      </c>
      <c r="D40" s="90" t="s">
        <v>108</v>
      </c>
      <c r="E40" s="90" t="s">
        <v>1400</v>
      </c>
      <c r="F40" s="87">
        <v>67.0</v>
      </c>
      <c r="G40" s="87">
        <v>9.0</v>
      </c>
      <c r="H40" s="87">
        <v>10508.0</v>
      </c>
      <c r="I40" s="87">
        <v>147.0</v>
      </c>
      <c r="J40" s="87">
        <v>69.02153</v>
      </c>
      <c r="K40" s="87">
        <v>69.58987</v>
      </c>
      <c r="L40" s="87">
        <v>68.57639</v>
      </c>
      <c r="M40" s="87">
        <v>38.14018</v>
      </c>
      <c r="N40" s="87">
        <v>0.548071</v>
      </c>
      <c r="O40" s="87">
        <v>0.133333</v>
      </c>
      <c r="P40" s="87">
        <v>0.380023</v>
      </c>
      <c r="Q40" s="87">
        <v>0.608453</v>
      </c>
      <c r="R40" s="87">
        <v>1.779412</v>
      </c>
      <c r="S40" s="87">
        <v>2.696333</v>
      </c>
      <c r="T40" s="87">
        <v>0.3</v>
      </c>
      <c r="U40" s="87">
        <v>0.527957</v>
      </c>
      <c r="V40" s="87">
        <v>0.803241</v>
      </c>
      <c r="W40" s="87">
        <v>1.998299</v>
      </c>
      <c r="X40" s="87">
        <v>3.046311</v>
      </c>
      <c r="Y40" s="87">
        <v>2.174683</v>
      </c>
      <c r="Z40" s="88" t="s">
        <v>1396</v>
      </c>
    </row>
    <row r="41" hidden="1">
      <c r="A41" s="90" t="s">
        <v>1422</v>
      </c>
      <c r="B41" s="90" t="s">
        <v>1457</v>
      </c>
      <c r="C41" s="90" t="s">
        <v>107</v>
      </c>
      <c r="D41" s="90" t="s">
        <v>108</v>
      </c>
      <c r="E41" s="90" t="s">
        <v>1403</v>
      </c>
      <c r="F41" s="87">
        <v>13.0</v>
      </c>
      <c r="G41" s="87">
        <v>13.0</v>
      </c>
      <c r="H41" s="87">
        <v>470.0</v>
      </c>
      <c r="I41" s="87">
        <v>470.0</v>
      </c>
      <c r="J41" s="87">
        <v>0.0</v>
      </c>
      <c r="K41" s="87">
        <v>0.0</v>
      </c>
      <c r="L41" s="87">
        <v>0.0</v>
      </c>
      <c r="M41" s="87">
        <v>0.0</v>
      </c>
      <c r="N41" s="91"/>
      <c r="O41" s="87">
        <v>0.0</v>
      </c>
      <c r="P41" s="87">
        <v>0.0</v>
      </c>
      <c r="Q41" s="87">
        <v>0.0</v>
      </c>
      <c r="R41" s="87">
        <v>0.0</v>
      </c>
      <c r="S41" s="87">
        <v>0.0</v>
      </c>
      <c r="T41" s="91"/>
      <c r="U41" s="91"/>
      <c r="V41" s="91"/>
      <c r="W41" s="91"/>
      <c r="X41" s="91"/>
      <c r="Y41" s="87">
        <v>0.0</v>
      </c>
      <c r="Z41" s="88" t="s">
        <v>1396</v>
      </c>
    </row>
    <row r="42" hidden="1">
      <c r="A42" s="90" t="s">
        <v>1423</v>
      </c>
      <c r="B42" s="90" t="s">
        <v>1458</v>
      </c>
      <c r="C42" s="90" t="s">
        <v>107</v>
      </c>
      <c r="D42" s="90" t="s">
        <v>1459</v>
      </c>
      <c r="E42" s="90" t="s">
        <v>1426</v>
      </c>
      <c r="F42" s="87">
        <v>0.0</v>
      </c>
      <c r="G42" s="87">
        <v>0.0</v>
      </c>
      <c r="H42" s="87">
        <v>0.0</v>
      </c>
      <c r="I42" s="87">
        <v>0.0</v>
      </c>
      <c r="J42" s="87">
        <v>0.0</v>
      </c>
      <c r="K42" s="87">
        <v>0.0</v>
      </c>
      <c r="L42" s="87">
        <v>0.0</v>
      </c>
      <c r="M42" s="87">
        <v>0.0</v>
      </c>
      <c r="N42" s="91"/>
      <c r="O42" s="87">
        <v>0.0</v>
      </c>
      <c r="P42" s="87">
        <v>0.0</v>
      </c>
      <c r="Q42" s="87">
        <v>0.0</v>
      </c>
      <c r="R42" s="87">
        <v>0.0</v>
      </c>
      <c r="S42" s="87">
        <v>0.0</v>
      </c>
      <c r="T42" s="91"/>
      <c r="U42" s="91"/>
      <c r="V42" s="91"/>
      <c r="W42" s="91"/>
      <c r="X42" s="91"/>
      <c r="Y42" s="87">
        <v>0.0</v>
      </c>
      <c r="Z42" s="88" t="s">
        <v>1396</v>
      </c>
    </row>
    <row r="43" hidden="1">
      <c r="A43" s="90" t="s">
        <v>1427</v>
      </c>
      <c r="B43" s="90" t="s">
        <v>1460</v>
      </c>
      <c r="C43" s="90" t="s">
        <v>107</v>
      </c>
      <c r="D43" s="90" t="s">
        <v>1459</v>
      </c>
      <c r="E43" s="86">
        <v>46310.0</v>
      </c>
      <c r="F43" s="87">
        <v>9.0</v>
      </c>
      <c r="G43" s="87">
        <v>0.0</v>
      </c>
      <c r="H43" s="87">
        <v>4813.0</v>
      </c>
      <c r="I43" s="87">
        <v>0.0</v>
      </c>
      <c r="J43" s="87">
        <v>63.80368</v>
      </c>
      <c r="K43" s="87">
        <v>63.34728</v>
      </c>
      <c r="L43" s="87">
        <v>65.10792</v>
      </c>
      <c r="M43" s="87">
        <v>50.55019</v>
      </c>
      <c r="N43" s="87">
        <v>0.797985</v>
      </c>
      <c r="O43" s="87">
        <v>0.777778</v>
      </c>
      <c r="P43" s="87">
        <v>2.964866</v>
      </c>
      <c r="Q43" s="87">
        <v>2.964866</v>
      </c>
      <c r="R43" s="87">
        <v>4.729509</v>
      </c>
      <c r="S43" s="87">
        <v>12.27135</v>
      </c>
      <c r="T43" s="87">
        <v>0.777778</v>
      </c>
      <c r="U43" s="87">
        <v>2.964866</v>
      </c>
      <c r="V43" s="87">
        <v>2.964866</v>
      </c>
      <c r="W43" s="87">
        <v>4.729509</v>
      </c>
      <c r="X43" s="87">
        <v>12.27135</v>
      </c>
      <c r="Y43" s="87">
        <v>10.55788</v>
      </c>
      <c r="Z43" s="88" t="s">
        <v>1396</v>
      </c>
    </row>
    <row r="44" hidden="1">
      <c r="A44" s="90" t="s">
        <v>1429</v>
      </c>
      <c r="B44" s="90" t="s">
        <v>1461</v>
      </c>
      <c r="C44" s="90" t="s">
        <v>107</v>
      </c>
      <c r="D44" s="90" t="s">
        <v>1459</v>
      </c>
      <c r="E44" s="90" t="s">
        <v>1413</v>
      </c>
      <c r="F44" s="87">
        <v>9.0</v>
      </c>
      <c r="G44" s="87">
        <v>0.0</v>
      </c>
      <c r="H44" s="87">
        <v>2141.0</v>
      </c>
      <c r="I44" s="87">
        <v>0.0</v>
      </c>
      <c r="J44" s="87">
        <v>20.1113</v>
      </c>
      <c r="K44" s="87">
        <v>18.91832</v>
      </c>
      <c r="L44" s="87">
        <v>18.49692</v>
      </c>
      <c r="M44" s="87">
        <v>11.54254</v>
      </c>
      <c r="N44" s="87">
        <v>0.610125</v>
      </c>
      <c r="O44" s="87">
        <v>0.045455</v>
      </c>
      <c r="P44" s="87">
        <v>0.045455</v>
      </c>
      <c r="Q44" s="87">
        <v>0.045455</v>
      </c>
      <c r="R44" s="87">
        <v>7.330326</v>
      </c>
      <c r="S44" s="87">
        <v>11.54254</v>
      </c>
      <c r="T44" s="87">
        <v>0.045455</v>
      </c>
      <c r="U44" s="87">
        <v>0.045455</v>
      </c>
      <c r="V44" s="87">
        <v>0.045455</v>
      </c>
      <c r="W44" s="87">
        <v>7.330326</v>
      </c>
      <c r="X44" s="87">
        <v>11.54254</v>
      </c>
      <c r="Y44" s="87">
        <v>6.306108</v>
      </c>
      <c r="Z44" s="88" t="s">
        <v>1396</v>
      </c>
    </row>
    <row r="45" hidden="1">
      <c r="A45" s="90" t="s">
        <v>1431</v>
      </c>
      <c r="B45" s="90" t="s">
        <v>1462</v>
      </c>
      <c r="C45" s="90" t="s">
        <v>107</v>
      </c>
      <c r="D45" s="90" t="s">
        <v>1459</v>
      </c>
      <c r="E45" s="90" t="s">
        <v>1398</v>
      </c>
      <c r="F45" s="87">
        <v>7.0</v>
      </c>
      <c r="G45" s="87">
        <v>1.0</v>
      </c>
      <c r="H45" s="87">
        <v>4297.0</v>
      </c>
      <c r="I45" s="87">
        <v>2.0</v>
      </c>
      <c r="J45" s="87">
        <v>47.44137</v>
      </c>
      <c r="K45" s="87">
        <v>45.66115</v>
      </c>
      <c r="L45" s="87">
        <v>47.03728</v>
      </c>
      <c r="M45" s="87">
        <v>21.19241</v>
      </c>
      <c r="N45" s="87">
        <v>0.464123</v>
      </c>
      <c r="O45" s="87">
        <v>0.142857</v>
      </c>
      <c r="P45" s="87">
        <v>3.050312</v>
      </c>
      <c r="Q45" s="87">
        <v>3.050312</v>
      </c>
      <c r="R45" s="87">
        <v>5.890748</v>
      </c>
      <c r="S45" s="87">
        <v>15.38482</v>
      </c>
      <c r="T45" s="87">
        <v>0.142857</v>
      </c>
      <c r="U45" s="87">
        <v>3.050312</v>
      </c>
      <c r="V45" s="87">
        <v>3.050312</v>
      </c>
      <c r="W45" s="87">
        <v>5.890748</v>
      </c>
      <c r="X45" s="87">
        <v>15.38482</v>
      </c>
      <c r="Y45" s="87">
        <v>9.132231</v>
      </c>
      <c r="Z45" s="88" t="s">
        <v>1396</v>
      </c>
    </row>
    <row r="46" hidden="1">
      <c r="A46" s="90" t="s">
        <v>1433</v>
      </c>
      <c r="B46" s="90" t="s">
        <v>1463</v>
      </c>
      <c r="C46" s="90" t="s">
        <v>107</v>
      </c>
      <c r="D46" s="90" t="s">
        <v>1459</v>
      </c>
      <c r="E46" s="90" t="s">
        <v>1400</v>
      </c>
      <c r="F46" s="87">
        <v>21.0</v>
      </c>
      <c r="G46" s="87">
        <v>2.0</v>
      </c>
      <c r="H46" s="87">
        <v>3912.0</v>
      </c>
      <c r="I46" s="87">
        <v>234.0</v>
      </c>
      <c r="J46" s="87">
        <v>33.2769</v>
      </c>
      <c r="K46" s="87">
        <v>33.0478</v>
      </c>
      <c r="L46" s="87">
        <v>35.13212</v>
      </c>
      <c r="M46" s="87">
        <v>18.38201</v>
      </c>
      <c r="N46" s="87">
        <v>0.556225</v>
      </c>
      <c r="O46" s="87">
        <v>0.130952</v>
      </c>
      <c r="P46" s="87">
        <v>0.336111</v>
      </c>
      <c r="Q46" s="87">
        <v>0.533333</v>
      </c>
      <c r="R46" s="87">
        <v>3.60101</v>
      </c>
      <c r="S46" s="87">
        <v>3.879196</v>
      </c>
      <c r="T46" s="87">
        <v>0.130952</v>
      </c>
      <c r="U46" s="87">
        <v>0.336111</v>
      </c>
      <c r="V46" s="87">
        <v>0.533333</v>
      </c>
      <c r="W46" s="87">
        <v>3.60101</v>
      </c>
      <c r="X46" s="87">
        <v>3.879196</v>
      </c>
      <c r="Y46" s="87">
        <v>3.30478</v>
      </c>
      <c r="Z46" s="88" t="s">
        <v>1396</v>
      </c>
    </row>
    <row r="47" hidden="1">
      <c r="A47" s="90" t="s">
        <v>1447</v>
      </c>
      <c r="B47" s="90" t="s">
        <v>1464</v>
      </c>
      <c r="C47" s="90" t="s">
        <v>107</v>
      </c>
      <c r="D47" s="90" t="s">
        <v>1459</v>
      </c>
      <c r="E47" s="89">
        <v>46300.0</v>
      </c>
      <c r="F47" s="87">
        <v>4.0</v>
      </c>
      <c r="G47" s="87">
        <v>0.0</v>
      </c>
      <c r="H47" s="87">
        <v>3997.0</v>
      </c>
      <c r="I47" s="87">
        <v>0.0</v>
      </c>
      <c r="J47" s="87">
        <v>102.2306</v>
      </c>
      <c r="K47" s="87">
        <v>107.9577</v>
      </c>
      <c r="L47" s="87">
        <v>107.0096</v>
      </c>
      <c r="M47" s="87">
        <v>105.181</v>
      </c>
      <c r="N47" s="87">
        <v>0.97428</v>
      </c>
      <c r="O47" s="87">
        <v>0.0</v>
      </c>
      <c r="P47" s="87">
        <v>0.0</v>
      </c>
      <c r="Q47" s="87">
        <v>0.0</v>
      </c>
      <c r="R47" s="87">
        <v>2.665578</v>
      </c>
      <c r="S47" s="87">
        <v>14.19258</v>
      </c>
      <c r="T47" s="87">
        <v>0.111111</v>
      </c>
      <c r="U47" s="87">
        <v>0.111111</v>
      </c>
      <c r="V47" s="87">
        <v>2.665578</v>
      </c>
      <c r="W47" s="87">
        <v>14.19258</v>
      </c>
      <c r="X47" s="87">
        <v>14.19258</v>
      </c>
      <c r="Y47" s="87">
        <v>17.99294</v>
      </c>
      <c r="Z47" s="88" t="s">
        <v>1396</v>
      </c>
    </row>
    <row r="48" hidden="1">
      <c r="A48" s="90" t="s">
        <v>1422</v>
      </c>
      <c r="B48" s="90" t="s">
        <v>1465</v>
      </c>
      <c r="C48" s="90" t="s">
        <v>107</v>
      </c>
      <c r="D48" s="90" t="s">
        <v>1459</v>
      </c>
      <c r="E48" s="90" t="s">
        <v>1403</v>
      </c>
      <c r="F48" s="87">
        <v>8.0</v>
      </c>
      <c r="G48" s="87">
        <v>8.0</v>
      </c>
      <c r="H48" s="87">
        <v>72.0</v>
      </c>
      <c r="I48" s="87">
        <v>72.0</v>
      </c>
      <c r="J48" s="87">
        <v>0.0</v>
      </c>
      <c r="K48" s="87">
        <v>0.0</v>
      </c>
      <c r="L48" s="87">
        <v>0.0</v>
      </c>
      <c r="M48" s="87">
        <v>0.0</v>
      </c>
      <c r="N48" s="91"/>
      <c r="O48" s="87">
        <v>0.0</v>
      </c>
      <c r="P48" s="87">
        <v>0.0</v>
      </c>
      <c r="Q48" s="87">
        <v>0.0</v>
      </c>
      <c r="R48" s="87">
        <v>0.0</v>
      </c>
      <c r="S48" s="87">
        <v>0.0</v>
      </c>
      <c r="T48" s="91"/>
      <c r="U48" s="91"/>
      <c r="V48" s="91"/>
      <c r="W48" s="91"/>
      <c r="X48" s="91"/>
      <c r="Y48" s="87">
        <v>0.0</v>
      </c>
      <c r="Z48" s="88" t="s">
        <v>1396</v>
      </c>
    </row>
    <row r="49" hidden="1">
      <c r="A49" s="90" t="s">
        <v>1474</v>
      </c>
      <c r="B49" s="90" t="s">
        <v>1475</v>
      </c>
      <c r="C49" s="90" t="s">
        <v>139</v>
      </c>
      <c r="D49" s="90" t="s">
        <v>1476</v>
      </c>
      <c r="E49" s="90" t="s">
        <v>1426</v>
      </c>
      <c r="F49" s="87">
        <v>12.0</v>
      </c>
      <c r="G49" s="87">
        <v>0.0</v>
      </c>
      <c r="H49" s="87">
        <v>2533.0</v>
      </c>
      <c r="I49" s="87">
        <v>0.0</v>
      </c>
      <c r="J49" s="87">
        <v>634.2962</v>
      </c>
      <c r="K49" s="87">
        <v>628.8995</v>
      </c>
      <c r="L49" s="87">
        <v>655.9432</v>
      </c>
      <c r="M49" s="87">
        <v>344.7442</v>
      </c>
      <c r="N49" s="87">
        <v>0.548171</v>
      </c>
      <c r="O49" s="87">
        <v>0.0</v>
      </c>
      <c r="P49" s="87">
        <v>0.0</v>
      </c>
      <c r="Q49" s="87">
        <v>19.39461</v>
      </c>
      <c r="R49" s="87">
        <v>42.49357</v>
      </c>
      <c r="S49" s="87">
        <v>50.09253</v>
      </c>
      <c r="T49" s="87">
        <v>19.39461</v>
      </c>
      <c r="U49" s="87">
        <v>27.63678</v>
      </c>
      <c r="V49" s="87">
        <v>28.98451</v>
      </c>
      <c r="W49" s="87">
        <v>43.25615</v>
      </c>
      <c r="X49" s="87">
        <v>58.49821</v>
      </c>
      <c r="Y49" s="87">
        <v>44.9214</v>
      </c>
      <c r="Z49" s="88" t="s">
        <v>1396</v>
      </c>
    </row>
    <row r="50" hidden="1">
      <c r="A50" s="90" t="s">
        <v>1477</v>
      </c>
      <c r="B50" s="90" t="s">
        <v>1478</v>
      </c>
      <c r="C50" s="90" t="s">
        <v>139</v>
      </c>
      <c r="D50" s="90" t="s">
        <v>1476</v>
      </c>
      <c r="E50" s="86">
        <v>46310.0</v>
      </c>
      <c r="F50" s="87">
        <v>3.0</v>
      </c>
      <c r="G50" s="87">
        <v>0.0</v>
      </c>
      <c r="H50" s="87">
        <v>205.0</v>
      </c>
      <c r="I50" s="87">
        <v>0.0</v>
      </c>
      <c r="J50" s="87">
        <v>20.93597</v>
      </c>
      <c r="K50" s="87">
        <v>23.87518</v>
      </c>
      <c r="L50" s="87">
        <v>24.67801</v>
      </c>
      <c r="M50" s="87">
        <v>17.92778</v>
      </c>
      <c r="N50" s="87">
        <v>0.750896</v>
      </c>
      <c r="O50" s="87">
        <v>5.947398</v>
      </c>
      <c r="P50" s="87">
        <v>5.947398</v>
      </c>
      <c r="Q50" s="87">
        <v>5.947398</v>
      </c>
      <c r="R50" s="87">
        <v>17.92778</v>
      </c>
      <c r="S50" s="87">
        <v>17.92778</v>
      </c>
      <c r="T50" s="87">
        <v>5.947398</v>
      </c>
      <c r="U50" s="87">
        <v>5.947398</v>
      </c>
      <c r="V50" s="87">
        <v>5.947398</v>
      </c>
      <c r="W50" s="87">
        <v>17.92778</v>
      </c>
      <c r="X50" s="87">
        <v>17.92778</v>
      </c>
      <c r="Y50" s="87">
        <v>11.93759</v>
      </c>
      <c r="Z50" s="88" t="s">
        <v>1396</v>
      </c>
    </row>
    <row r="51" hidden="1">
      <c r="A51" s="90" t="s">
        <v>1479</v>
      </c>
      <c r="B51" s="90" t="s">
        <v>1480</v>
      </c>
      <c r="C51" s="90" t="s">
        <v>139</v>
      </c>
      <c r="D51" s="90" t="s">
        <v>1476</v>
      </c>
      <c r="E51" s="90" t="s">
        <v>1413</v>
      </c>
      <c r="F51" s="87">
        <v>2.0</v>
      </c>
      <c r="G51" s="87">
        <v>0.0</v>
      </c>
      <c r="H51" s="87">
        <v>188.0</v>
      </c>
      <c r="I51" s="87">
        <v>0.0</v>
      </c>
      <c r="J51" s="87">
        <v>34.78915</v>
      </c>
      <c r="K51" s="87">
        <v>31.07873</v>
      </c>
      <c r="L51" s="87">
        <v>36.0961</v>
      </c>
      <c r="M51" s="87">
        <v>13.69016</v>
      </c>
      <c r="N51" s="87">
        <v>0.440499</v>
      </c>
      <c r="O51" s="87">
        <v>5.613659</v>
      </c>
      <c r="P51" s="87">
        <v>5.613659</v>
      </c>
      <c r="Q51" s="87">
        <v>5.613659</v>
      </c>
      <c r="R51" s="87">
        <v>11.77491</v>
      </c>
      <c r="S51" s="87">
        <v>13.69016</v>
      </c>
      <c r="T51" s="87">
        <v>5.613659</v>
      </c>
      <c r="U51" s="87">
        <v>5.613659</v>
      </c>
      <c r="V51" s="87">
        <v>5.613659</v>
      </c>
      <c r="W51" s="87">
        <v>11.77491</v>
      </c>
      <c r="X51" s="87">
        <v>13.69016</v>
      </c>
      <c r="Y51" s="87">
        <v>10.35958</v>
      </c>
      <c r="Z51" s="88" t="s">
        <v>1396</v>
      </c>
    </row>
    <row r="52" hidden="1">
      <c r="A52" s="90" t="s">
        <v>1481</v>
      </c>
      <c r="B52" s="90" t="s">
        <v>1482</v>
      </c>
      <c r="C52" s="90" t="s">
        <v>139</v>
      </c>
      <c r="D52" s="90" t="s">
        <v>1476</v>
      </c>
      <c r="E52" s="90" t="s">
        <v>1398</v>
      </c>
      <c r="F52" s="87">
        <v>1.0</v>
      </c>
      <c r="G52" s="87">
        <v>0.0</v>
      </c>
      <c r="H52" s="87">
        <v>64.0</v>
      </c>
      <c r="I52" s="87">
        <v>0.0</v>
      </c>
      <c r="J52" s="87">
        <v>14.76574</v>
      </c>
      <c r="K52" s="87">
        <v>17.62164</v>
      </c>
      <c r="L52" s="87">
        <v>17.94999</v>
      </c>
      <c r="M52" s="87">
        <v>17.62164</v>
      </c>
      <c r="N52" s="87">
        <v>1.0</v>
      </c>
      <c r="O52" s="87">
        <v>17.62164</v>
      </c>
      <c r="P52" s="87">
        <v>17.62164</v>
      </c>
      <c r="Q52" s="87">
        <v>17.62164</v>
      </c>
      <c r="R52" s="87">
        <v>17.62164</v>
      </c>
      <c r="S52" s="87">
        <v>17.62164</v>
      </c>
      <c r="T52" s="87">
        <v>17.62164</v>
      </c>
      <c r="U52" s="87">
        <v>17.62164</v>
      </c>
      <c r="V52" s="87">
        <v>17.62164</v>
      </c>
      <c r="W52" s="87">
        <v>17.62164</v>
      </c>
      <c r="X52" s="87">
        <v>17.62164</v>
      </c>
      <c r="Y52" s="87">
        <v>17.62164</v>
      </c>
      <c r="Z52" s="88" t="s">
        <v>1396</v>
      </c>
    </row>
    <row r="53" hidden="1">
      <c r="A53" s="90" t="s">
        <v>1490</v>
      </c>
      <c r="B53" s="90" t="s">
        <v>3290</v>
      </c>
      <c r="C53" s="90" t="s">
        <v>139</v>
      </c>
      <c r="D53" s="90" t="s">
        <v>1476</v>
      </c>
      <c r="E53" s="90" t="s">
        <v>1400</v>
      </c>
      <c r="F53" s="87">
        <v>1.0</v>
      </c>
      <c r="G53" s="87">
        <v>0.0</v>
      </c>
      <c r="H53" s="87">
        <v>48.0</v>
      </c>
      <c r="I53" s="87">
        <v>0.0</v>
      </c>
      <c r="J53" s="87">
        <v>0.0</v>
      </c>
      <c r="K53" s="87">
        <v>0.0</v>
      </c>
      <c r="L53" s="87">
        <v>0.0</v>
      </c>
      <c r="M53" s="87">
        <v>0.0</v>
      </c>
      <c r="N53" s="91"/>
      <c r="O53" s="91"/>
      <c r="P53" s="91"/>
      <c r="Q53" s="91"/>
      <c r="R53" s="91"/>
      <c r="S53" s="91"/>
      <c r="T53" s="91"/>
      <c r="U53" s="91"/>
      <c r="V53" s="91"/>
      <c r="W53" s="91"/>
      <c r="X53" s="91"/>
      <c r="Y53" s="91"/>
      <c r="Z53" s="88" t="s">
        <v>1396</v>
      </c>
    </row>
    <row r="54" hidden="1">
      <c r="A54" s="90" t="s">
        <v>1483</v>
      </c>
      <c r="B54" s="90" t="s">
        <v>1484</v>
      </c>
      <c r="C54" s="90" t="s">
        <v>139</v>
      </c>
      <c r="D54" s="90" t="s">
        <v>1476</v>
      </c>
      <c r="E54" s="89">
        <v>46300.0</v>
      </c>
      <c r="F54" s="87">
        <v>3.0</v>
      </c>
      <c r="G54" s="87">
        <v>0.0</v>
      </c>
      <c r="H54" s="87">
        <v>496.0</v>
      </c>
      <c r="I54" s="87">
        <v>0.0</v>
      </c>
      <c r="J54" s="87">
        <v>105.5592</v>
      </c>
      <c r="K54" s="87">
        <v>103.2206</v>
      </c>
      <c r="L54" s="87">
        <v>106.1874</v>
      </c>
      <c r="M54" s="87">
        <v>89.2906</v>
      </c>
      <c r="N54" s="87">
        <v>0.865047</v>
      </c>
      <c r="O54" s="87">
        <v>0.0</v>
      </c>
      <c r="P54" s="87">
        <v>0.0</v>
      </c>
      <c r="Q54" s="87">
        <v>0.0</v>
      </c>
      <c r="R54" s="87">
        <v>0.0</v>
      </c>
      <c r="S54" s="87">
        <v>13.92996</v>
      </c>
      <c r="T54" s="87">
        <v>13.92996</v>
      </c>
      <c r="U54" s="87">
        <v>13.92996</v>
      </c>
      <c r="V54" s="87">
        <v>13.92996</v>
      </c>
      <c r="W54" s="87">
        <v>89.2906</v>
      </c>
      <c r="X54" s="87">
        <v>89.2906</v>
      </c>
      <c r="Y54" s="87">
        <v>20.64411</v>
      </c>
      <c r="Z54" s="88" t="s">
        <v>1396</v>
      </c>
    </row>
    <row r="55" hidden="1">
      <c r="A55" s="90" t="s">
        <v>1485</v>
      </c>
      <c r="B55" s="90" t="s">
        <v>1486</v>
      </c>
      <c r="C55" s="90" t="s">
        <v>139</v>
      </c>
      <c r="D55" s="90" t="s">
        <v>1476</v>
      </c>
      <c r="E55" s="90" t="s">
        <v>1403</v>
      </c>
      <c r="F55" s="87">
        <v>0.0</v>
      </c>
      <c r="G55" s="87">
        <v>0.0</v>
      </c>
      <c r="H55" s="87">
        <v>0.0</v>
      </c>
      <c r="I55" s="87">
        <v>0.0</v>
      </c>
      <c r="J55" s="87">
        <v>0.0</v>
      </c>
      <c r="K55" s="87">
        <v>0.0</v>
      </c>
      <c r="L55" s="87">
        <v>0.0</v>
      </c>
      <c r="M55" s="87">
        <v>0.0</v>
      </c>
      <c r="N55" s="91"/>
      <c r="O55" s="87">
        <v>0.0</v>
      </c>
      <c r="P55" s="87">
        <v>0.0</v>
      </c>
      <c r="Q55" s="87">
        <v>0.0</v>
      </c>
      <c r="R55" s="87">
        <v>0.0</v>
      </c>
      <c r="S55" s="87">
        <v>0.0</v>
      </c>
      <c r="T55" s="91"/>
      <c r="U55" s="91"/>
      <c r="V55" s="91"/>
      <c r="W55" s="91"/>
      <c r="X55" s="91"/>
      <c r="Y55" s="87">
        <v>0.0</v>
      </c>
      <c r="Z55" s="88" t="s">
        <v>1396</v>
      </c>
    </row>
    <row r="56" hidden="1">
      <c r="A56" s="90" t="s">
        <v>1477</v>
      </c>
      <c r="B56" s="90" t="s">
        <v>1487</v>
      </c>
      <c r="C56" s="90" t="s">
        <v>139</v>
      </c>
      <c r="D56" s="90" t="s">
        <v>1488</v>
      </c>
      <c r="E56" s="86">
        <v>46310.0</v>
      </c>
      <c r="F56" s="87">
        <v>0.0</v>
      </c>
      <c r="G56" s="87">
        <v>0.0</v>
      </c>
      <c r="H56" s="87">
        <v>0.0</v>
      </c>
      <c r="I56" s="87">
        <v>0.0</v>
      </c>
      <c r="J56" s="87">
        <v>0.0</v>
      </c>
      <c r="K56" s="87">
        <v>0.0</v>
      </c>
      <c r="L56" s="87">
        <v>0.0</v>
      </c>
      <c r="M56" s="87">
        <v>0.0</v>
      </c>
      <c r="N56" s="91"/>
      <c r="O56" s="87">
        <v>0.0</v>
      </c>
      <c r="P56" s="87">
        <v>0.0</v>
      </c>
      <c r="Q56" s="87">
        <v>0.0</v>
      </c>
      <c r="R56" s="87">
        <v>0.0</v>
      </c>
      <c r="S56" s="87">
        <v>0.0</v>
      </c>
      <c r="T56" s="91"/>
      <c r="U56" s="91"/>
      <c r="V56" s="91"/>
      <c r="W56" s="91"/>
      <c r="X56" s="91"/>
      <c r="Y56" s="87">
        <v>0.0</v>
      </c>
      <c r="Z56" s="88" t="s">
        <v>1396</v>
      </c>
    </row>
    <row r="57" hidden="1">
      <c r="A57" s="90" t="s">
        <v>1479</v>
      </c>
      <c r="B57" s="90" t="s">
        <v>1489</v>
      </c>
      <c r="C57" s="90" t="s">
        <v>139</v>
      </c>
      <c r="D57" s="90" t="s">
        <v>1488</v>
      </c>
      <c r="E57" s="90" t="s">
        <v>1413</v>
      </c>
      <c r="F57" s="87">
        <v>1.0</v>
      </c>
      <c r="G57" s="87">
        <v>1.0</v>
      </c>
      <c r="H57" s="87">
        <v>1.0</v>
      </c>
      <c r="I57" s="87">
        <v>1.0</v>
      </c>
      <c r="J57" s="87">
        <v>0.0</v>
      </c>
      <c r="K57" s="87">
        <v>0.0</v>
      </c>
      <c r="L57" s="87">
        <v>0.0</v>
      </c>
      <c r="M57" s="87">
        <v>0.0</v>
      </c>
      <c r="N57" s="91"/>
      <c r="O57" s="87">
        <v>0.0</v>
      </c>
      <c r="P57" s="87">
        <v>0.0</v>
      </c>
      <c r="Q57" s="87">
        <v>0.0</v>
      </c>
      <c r="R57" s="87">
        <v>0.0</v>
      </c>
      <c r="S57" s="87">
        <v>0.0</v>
      </c>
      <c r="T57" s="91"/>
      <c r="U57" s="91"/>
      <c r="V57" s="91"/>
      <c r="W57" s="91"/>
      <c r="X57" s="91"/>
      <c r="Y57" s="87">
        <v>0.0</v>
      </c>
      <c r="Z57" s="88" t="s">
        <v>1396</v>
      </c>
    </row>
    <row r="58" hidden="1">
      <c r="A58" s="90" t="s">
        <v>1490</v>
      </c>
      <c r="B58" s="90" t="s">
        <v>1491</v>
      </c>
      <c r="C58" s="90" t="s">
        <v>139</v>
      </c>
      <c r="D58" s="90" t="s">
        <v>1488</v>
      </c>
      <c r="E58" s="90" t="s">
        <v>1400</v>
      </c>
      <c r="F58" s="87">
        <v>8.0</v>
      </c>
      <c r="G58" s="87">
        <v>1.0</v>
      </c>
      <c r="H58" s="87">
        <v>2292.0</v>
      </c>
      <c r="I58" s="87">
        <v>1.0</v>
      </c>
      <c r="J58" s="87">
        <v>30.35368</v>
      </c>
      <c r="K58" s="87">
        <v>31.56178</v>
      </c>
      <c r="L58" s="87">
        <v>35.90033</v>
      </c>
      <c r="M58" s="87">
        <v>27.12726</v>
      </c>
      <c r="N58" s="87">
        <v>0.859497</v>
      </c>
      <c r="O58" s="87">
        <v>0.0</v>
      </c>
      <c r="P58" s="87">
        <v>0.0</v>
      </c>
      <c r="Q58" s="87">
        <v>0.0</v>
      </c>
      <c r="R58" s="87">
        <v>1.545396</v>
      </c>
      <c r="S58" s="87">
        <v>1.55665</v>
      </c>
      <c r="T58" s="87">
        <v>1.332481</v>
      </c>
      <c r="U58" s="87">
        <v>1.545396</v>
      </c>
      <c r="V58" s="87">
        <v>1.545396</v>
      </c>
      <c r="W58" s="87">
        <v>1.55665</v>
      </c>
      <c r="X58" s="87">
        <v>4.856376</v>
      </c>
      <c r="Y58" s="87">
        <v>3.945223</v>
      </c>
      <c r="Z58" s="88" t="s">
        <v>1396</v>
      </c>
    </row>
    <row r="59" hidden="1">
      <c r="A59" s="90" t="s">
        <v>1485</v>
      </c>
      <c r="B59" s="90" t="s">
        <v>1492</v>
      </c>
      <c r="C59" s="90" t="s">
        <v>139</v>
      </c>
      <c r="D59" s="90" t="s">
        <v>1488</v>
      </c>
      <c r="E59" s="90" t="s">
        <v>1403</v>
      </c>
      <c r="F59" s="87">
        <v>0.0</v>
      </c>
      <c r="G59" s="87">
        <v>0.0</v>
      </c>
      <c r="H59" s="87">
        <v>0.0</v>
      </c>
      <c r="I59" s="87">
        <v>0.0</v>
      </c>
      <c r="J59" s="87">
        <v>0.0</v>
      </c>
      <c r="K59" s="87">
        <v>0.0</v>
      </c>
      <c r="L59" s="87">
        <v>0.0</v>
      </c>
      <c r="M59" s="87">
        <v>0.0</v>
      </c>
      <c r="N59" s="91"/>
      <c r="O59" s="87">
        <v>0.0</v>
      </c>
      <c r="P59" s="87">
        <v>0.0</v>
      </c>
      <c r="Q59" s="87">
        <v>0.0</v>
      </c>
      <c r="R59" s="87">
        <v>0.0</v>
      </c>
      <c r="S59" s="87">
        <v>0.0</v>
      </c>
      <c r="T59" s="91"/>
      <c r="U59" s="91"/>
      <c r="V59" s="91"/>
      <c r="W59" s="91"/>
      <c r="X59" s="91"/>
      <c r="Y59" s="87">
        <v>0.0</v>
      </c>
      <c r="Z59" s="88" t="s">
        <v>1396</v>
      </c>
    </row>
    <row r="60" hidden="1">
      <c r="A60" s="90" t="s">
        <v>1474</v>
      </c>
      <c r="B60" s="90" t="s">
        <v>1493</v>
      </c>
      <c r="C60" s="90" t="s">
        <v>139</v>
      </c>
      <c r="D60" s="90" t="s">
        <v>1494</v>
      </c>
      <c r="E60" s="90" t="s">
        <v>1426</v>
      </c>
      <c r="F60" s="87">
        <v>17.0</v>
      </c>
      <c r="G60" s="87">
        <v>0.0</v>
      </c>
      <c r="H60" s="87">
        <v>2658.0</v>
      </c>
      <c r="I60" s="87">
        <v>0.0</v>
      </c>
      <c r="J60" s="87">
        <v>353.2591</v>
      </c>
      <c r="K60" s="87">
        <v>366.3246</v>
      </c>
      <c r="L60" s="87">
        <v>385.7386</v>
      </c>
      <c r="M60" s="87">
        <v>204.2921</v>
      </c>
      <c r="N60" s="87">
        <v>0.557681</v>
      </c>
      <c r="O60" s="87">
        <v>0.0</v>
      </c>
      <c r="P60" s="87">
        <v>1.166667</v>
      </c>
      <c r="Q60" s="87">
        <v>2.035483</v>
      </c>
      <c r="R60" s="87">
        <v>34.50944</v>
      </c>
      <c r="S60" s="87">
        <v>51.78078</v>
      </c>
      <c r="T60" s="87">
        <v>1.166667</v>
      </c>
      <c r="U60" s="87">
        <v>2.035483</v>
      </c>
      <c r="V60" s="87">
        <v>31.04568</v>
      </c>
      <c r="W60" s="87">
        <v>41.49443</v>
      </c>
      <c r="X60" s="87">
        <v>51.78078</v>
      </c>
      <c r="Y60" s="87">
        <v>36.63246</v>
      </c>
      <c r="Z60" s="88" t="s">
        <v>1396</v>
      </c>
    </row>
    <row r="61" hidden="1">
      <c r="A61" s="90" t="s">
        <v>1477</v>
      </c>
      <c r="B61" s="90" t="s">
        <v>1495</v>
      </c>
      <c r="C61" s="90" t="s">
        <v>139</v>
      </c>
      <c r="D61" s="90" t="s">
        <v>1494</v>
      </c>
      <c r="E61" s="86">
        <v>46310.0</v>
      </c>
      <c r="F61" s="87">
        <v>0.0</v>
      </c>
      <c r="G61" s="87">
        <v>0.0</v>
      </c>
      <c r="H61" s="87">
        <v>0.0</v>
      </c>
      <c r="I61" s="87">
        <v>0.0</v>
      </c>
      <c r="J61" s="87">
        <v>0.0</v>
      </c>
      <c r="K61" s="87">
        <v>1.916667</v>
      </c>
      <c r="L61" s="87">
        <v>1.194444</v>
      </c>
      <c r="M61" s="87">
        <v>1.916667</v>
      </c>
      <c r="N61" s="87">
        <v>1.0</v>
      </c>
      <c r="O61" s="87">
        <v>1.916667</v>
      </c>
      <c r="P61" s="87">
        <v>1.916667</v>
      </c>
      <c r="Q61" s="87">
        <v>1.916667</v>
      </c>
      <c r="R61" s="87">
        <v>1.916667</v>
      </c>
      <c r="S61" s="87">
        <v>1.916667</v>
      </c>
      <c r="T61" s="87">
        <v>1.916667</v>
      </c>
      <c r="U61" s="87">
        <v>1.916667</v>
      </c>
      <c r="V61" s="87">
        <v>1.916667</v>
      </c>
      <c r="W61" s="87">
        <v>1.916667</v>
      </c>
      <c r="X61" s="87">
        <v>1.916667</v>
      </c>
      <c r="Y61" s="87">
        <v>1.916667</v>
      </c>
      <c r="Z61" s="88" t="s">
        <v>1396</v>
      </c>
    </row>
    <row r="62" hidden="1">
      <c r="A62" s="90" t="s">
        <v>1479</v>
      </c>
      <c r="B62" s="90" t="s">
        <v>1496</v>
      </c>
      <c r="C62" s="90" t="s">
        <v>139</v>
      </c>
      <c r="D62" s="90" t="s">
        <v>1494</v>
      </c>
      <c r="E62" s="90" t="s">
        <v>1413</v>
      </c>
      <c r="F62" s="87">
        <v>4.0</v>
      </c>
      <c r="G62" s="87">
        <v>0.0</v>
      </c>
      <c r="H62" s="87">
        <v>1491.0</v>
      </c>
      <c r="I62" s="87">
        <v>0.0</v>
      </c>
      <c r="J62" s="87">
        <v>31.73918</v>
      </c>
      <c r="K62" s="87">
        <v>45.56939</v>
      </c>
      <c r="L62" s="87">
        <v>42.18806</v>
      </c>
      <c r="M62" s="87">
        <v>25.61987</v>
      </c>
      <c r="N62" s="87">
        <v>0.562217</v>
      </c>
      <c r="O62" s="87">
        <v>3.5</v>
      </c>
      <c r="P62" s="87">
        <v>4.844343</v>
      </c>
      <c r="Q62" s="87">
        <v>4.844343</v>
      </c>
      <c r="R62" s="87">
        <v>6.446825</v>
      </c>
      <c r="S62" s="87">
        <v>9.266685</v>
      </c>
      <c r="T62" s="87">
        <v>3.5</v>
      </c>
      <c r="U62" s="87">
        <v>4.844343</v>
      </c>
      <c r="V62" s="87">
        <v>4.844343</v>
      </c>
      <c r="W62" s="87">
        <v>6.446825</v>
      </c>
      <c r="X62" s="87">
        <v>9.266685</v>
      </c>
      <c r="Y62" s="87">
        <v>7.594898</v>
      </c>
      <c r="Z62" s="88" t="s">
        <v>1396</v>
      </c>
    </row>
    <row r="63" hidden="1">
      <c r="A63" s="90" t="s">
        <v>1481</v>
      </c>
      <c r="B63" s="90" t="s">
        <v>1497</v>
      </c>
      <c r="C63" s="90" t="s">
        <v>139</v>
      </c>
      <c r="D63" s="90" t="s">
        <v>1494</v>
      </c>
      <c r="E63" s="90" t="s">
        <v>1398</v>
      </c>
      <c r="F63" s="87">
        <v>2.0</v>
      </c>
      <c r="G63" s="87">
        <v>0.0</v>
      </c>
      <c r="H63" s="87">
        <v>132.0</v>
      </c>
      <c r="I63" s="87">
        <v>0.0</v>
      </c>
      <c r="J63" s="87">
        <v>5.969977</v>
      </c>
      <c r="K63" s="87">
        <v>6.29363</v>
      </c>
      <c r="L63" s="87">
        <v>6.260326</v>
      </c>
      <c r="M63" s="87">
        <v>6.29363</v>
      </c>
      <c r="N63" s="87">
        <v>1.0</v>
      </c>
      <c r="O63" s="87">
        <v>0.0</v>
      </c>
      <c r="P63" s="87">
        <v>0.0</v>
      </c>
      <c r="Q63" s="87">
        <v>0.0</v>
      </c>
      <c r="R63" s="87">
        <v>6.29363</v>
      </c>
      <c r="S63" s="87">
        <v>6.29363</v>
      </c>
      <c r="T63" s="87">
        <v>6.29363</v>
      </c>
      <c r="U63" s="87">
        <v>6.29363</v>
      </c>
      <c r="V63" s="87">
        <v>6.29363</v>
      </c>
      <c r="W63" s="87">
        <v>6.29363</v>
      </c>
      <c r="X63" s="87">
        <v>6.29363</v>
      </c>
      <c r="Y63" s="87">
        <v>3.146815</v>
      </c>
      <c r="Z63" s="88" t="s">
        <v>1396</v>
      </c>
    </row>
    <row r="64" hidden="1">
      <c r="A64" s="90" t="s">
        <v>1483</v>
      </c>
      <c r="B64" s="90" t="s">
        <v>1498</v>
      </c>
      <c r="C64" s="90" t="s">
        <v>139</v>
      </c>
      <c r="D64" s="90" t="s">
        <v>1494</v>
      </c>
      <c r="E64" s="89">
        <v>46300.0</v>
      </c>
      <c r="F64" s="87">
        <v>6.0</v>
      </c>
      <c r="G64" s="87">
        <v>0.0</v>
      </c>
      <c r="H64" s="87">
        <v>653.0</v>
      </c>
      <c r="I64" s="87">
        <v>0.0</v>
      </c>
      <c r="J64" s="87">
        <v>97.85589</v>
      </c>
      <c r="K64" s="87">
        <v>101.0589</v>
      </c>
      <c r="L64" s="87">
        <v>103.593</v>
      </c>
      <c r="M64" s="87">
        <v>26.84986</v>
      </c>
      <c r="N64" s="87">
        <v>0.265685</v>
      </c>
      <c r="O64" s="87">
        <v>11.93117</v>
      </c>
      <c r="P64" s="87">
        <v>14.24853</v>
      </c>
      <c r="Q64" s="87">
        <v>14.24853</v>
      </c>
      <c r="R64" s="87">
        <v>22.9942</v>
      </c>
      <c r="S64" s="87">
        <v>25.03517</v>
      </c>
      <c r="T64" s="87">
        <v>11.93117</v>
      </c>
      <c r="U64" s="87">
        <v>14.24853</v>
      </c>
      <c r="V64" s="87">
        <v>14.24853</v>
      </c>
      <c r="W64" s="87">
        <v>22.9942</v>
      </c>
      <c r="X64" s="87">
        <v>25.03517</v>
      </c>
      <c r="Y64" s="87">
        <v>20.21179</v>
      </c>
      <c r="Z64" s="88" t="s">
        <v>1396</v>
      </c>
    </row>
    <row r="65" hidden="1">
      <c r="A65" s="90" t="s">
        <v>1485</v>
      </c>
      <c r="B65" s="90" t="s">
        <v>1499</v>
      </c>
      <c r="C65" s="90" t="s">
        <v>139</v>
      </c>
      <c r="D65" s="90" t="s">
        <v>1494</v>
      </c>
      <c r="E65" s="90" t="s">
        <v>1403</v>
      </c>
      <c r="F65" s="87">
        <v>0.0</v>
      </c>
      <c r="G65" s="87">
        <v>0.0</v>
      </c>
      <c r="H65" s="87">
        <v>0.0</v>
      </c>
      <c r="I65" s="87">
        <v>0.0</v>
      </c>
      <c r="J65" s="87">
        <v>0.0</v>
      </c>
      <c r="K65" s="87">
        <v>0.0</v>
      </c>
      <c r="L65" s="87">
        <v>0.0</v>
      </c>
      <c r="M65" s="87">
        <v>0.0</v>
      </c>
      <c r="N65" s="91"/>
      <c r="O65" s="87">
        <v>0.0</v>
      </c>
      <c r="P65" s="87">
        <v>0.0</v>
      </c>
      <c r="Q65" s="87">
        <v>0.0</v>
      </c>
      <c r="R65" s="87">
        <v>0.0</v>
      </c>
      <c r="S65" s="87">
        <v>0.0</v>
      </c>
      <c r="T65" s="91"/>
      <c r="U65" s="91"/>
      <c r="V65" s="91"/>
      <c r="W65" s="91"/>
      <c r="X65" s="91"/>
      <c r="Y65" s="87">
        <v>0.0</v>
      </c>
      <c r="Z65" s="88" t="s">
        <v>1396</v>
      </c>
    </row>
    <row r="66" hidden="1">
      <c r="A66" s="90" t="s">
        <v>1474</v>
      </c>
      <c r="B66" s="90" t="s">
        <v>1506</v>
      </c>
      <c r="C66" s="90" t="s">
        <v>139</v>
      </c>
      <c r="D66" s="90" t="s">
        <v>1507</v>
      </c>
      <c r="E66" s="90" t="s">
        <v>1426</v>
      </c>
      <c r="F66" s="87">
        <v>39.0</v>
      </c>
      <c r="G66" s="87">
        <v>5.0</v>
      </c>
      <c r="H66" s="87">
        <v>31985.0</v>
      </c>
      <c r="I66" s="87">
        <v>303.0</v>
      </c>
      <c r="J66" s="87">
        <v>666.7217</v>
      </c>
      <c r="K66" s="87">
        <v>646.3314</v>
      </c>
      <c r="L66" s="87">
        <v>659.6371</v>
      </c>
      <c r="M66" s="87">
        <v>307.8223</v>
      </c>
      <c r="N66" s="87">
        <v>0.476261</v>
      </c>
      <c r="O66" s="87">
        <v>3.70601</v>
      </c>
      <c r="P66" s="87">
        <v>11.15993</v>
      </c>
      <c r="Q66" s="87">
        <v>13.3581</v>
      </c>
      <c r="R66" s="87">
        <v>20.65125</v>
      </c>
      <c r="S66" s="87">
        <v>28.18646</v>
      </c>
      <c r="T66" s="87">
        <v>4.033333</v>
      </c>
      <c r="U66" s="87">
        <v>11.66908</v>
      </c>
      <c r="V66" s="87">
        <v>13.3581</v>
      </c>
      <c r="W66" s="87">
        <v>20.73342</v>
      </c>
      <c r="X66" s="87">
        <v>31.4414</v>
      </c>
      <c r="Y66" s="87">
        <v>23.9382</v>
      </c>
      <c r="Z66" s="88" t="s">
        <v>1396</v>
      </c>
    </row>
    <row r="67" hidden="1">
      <c r="A67" s="90" t="s">
        <v>1477</v>
      </c>
      <c r="B67" s="90" t="s">
        <v>1508</v>
      </c>
      <c r="C67" s="90" t="s">
        <v>139</v>
      </c>
      <c r="D67" s="90" t="s">
        <v>1507</v>
      </c>
      <c r="E67" s="86">
        <v>46310.0</v>
      </c>
      <c r="F67" s="87">
        <v>10.0</v>
      </c>
      <c r="G67" s="87">
        <v>0.0</v>
      </c>
      <c r="H67" s="87">
        <v>3845.0</v>
      </c>
      <c r="I67" s="87">
        <v>0.0</v>
      </c>
      <c r="J67" s="87">
        <v>60.82683</v>
      </c>
      <c r="K67" s="87">
        <v>57.60116</v>
      </c>
      <c r="L67" s="87">
        <v>60.94404</v>
      </c>
      <c r="M67" s="87">
        <v>39.42317</v>
      </c>
      <c r="N67" s="87">
        <v>0.684416</v>
      </c>
      <c r="O67" s="87">
        <v>0.0</v>
      </c>
      <c r="P67" s="87">
        <v>0.0</v>
      </c>
      <c r="Q67" s="87">
        <v>0.0</v>
      </c>
      <c r="R67" s="87">
        <v>2.792715</v>
      </c>
      <c r="S67" s="87">
        <v>4.96139</v>
      </c>
      <c r="T67" s="87">
        <v>1.354543</v>
      </c>
      <c r="U67" s="87">
        <v>2.792715</v>
      </c>
      <c r="V67" s="87">
        <v>3.792934</v>
      </c>
      <c r="W67" s="87">
        <v>4.96139</v>
      </c>
      <c r="X67" s="87">
        <v>6.97619</v>
      </c>
      <c r="Y67" s="87">
        <v>3.600072</v>
      </c>
      <c r="Z67" s="88" t="s">
        <v>1396</v>
      </c>
    </row>
    <row r="68" hidden="1">
      <c r="A68" s="90" t="s">
        <v>1479</v>
      </c>
      <c r="B68" s="90" t="s">
        <v>1509</v>
      </c>
      <c r="C68" s="90" t="s">
        <v>139</v>
      </c>
      <c r="D68" s="90" t="s">
        <v>1507</v>
      </c>
      <c r="E68" s="90" t="s">
        <v>1413</v>
      </c>
      <c r="F68" s="87">
        <v>14.0</v>
      </c>
      <c r="G68" s="87">
        <v>0.0</v>
      </c>
      <c r="H68" s="87">
        <v>4375.0</v>
      </c>
      <c r="I68" s="87">
        <v>0.0</v>
      </c>
      <c r="J68" s="87">
        <v>49.70174</v>
      </c>
      <c r="K68" s="87">
        <v>48.87347</v>
      </c>
      <c r="L68" s="87">
        <v>53.97286</v>
      </c>
      <c r="M68" s="87">
        <v>18.97222</v>
      </c>
      <c r="N68" s="87">
        <v>0.388191</v>
      </c>
      <c r="O68" s="87">
        <v>1.962397</v>
      </c>
      <c r="P68" s="87">
        <v>3.632842</v>
      </c>
      <c r="Q68" s="87">
        <v>3.676402</v>
      </c>
      <c r="R68" s="87">
        <v>4.346851</v>
      </c>
      <c r="S68" s="87">
        <v>7.322463</v>
      </c>
      <c r="T68" s="87">
        <v>1.962397</v>
      </c>
      <c r="U68" s="87">
        <v>3.632842</v>
      </c>
      <c r="V68" s="87">
        <v>3.676402</v>
      </c>
      <c r="W68" s="87">
        <v>4.346851</v>
      </c>
      <c r="X68" s="87">
        <v>7.322463</v>
      </c>
      <c r="Y68" s="87">
        <v>4.887347</v>
      </c>
      <c r="Z68" s="88" t="s">
        <v>1396</v>
      </c>
    </row>
    <row r="69" hidden="1">
      <c r="A69" s="90" t="s">
        <v>1481</v>
      </c>
      <c r="B69" s="90" t="s">
        <v>1510</v>
      </c>
      <c r="C69" s="90" t="s">
        <v>139</v>
      </c>
      <c r="D69" s="90" t="s">
        <v>1507</v>
      </c>
      <c r="E69" s="90" t="s">
        <v>1398</v>
      </c>
      <c r="F69" s="87">
        <v>3.0</v>
      </c>
      <c r="G69" s="87">
        <v>0.0</v>
      </c>
      <c r="H69" s="87">
        <v>408.0</v>
      </c>
      <c r="I69" s="87">
        <v>0.0</v>
      </c>
      <c r="J69" s="87">
        <v>15.34174</v>
      </c>
      <c r="K69" s="87">
        <v>15.09836</v>
      </c>
      <c r="L69" s="87">
        <v>15.18263</v>
      </c>
      <c r="M69" s="87">
        <v>14.23698</v>
      </c>
      <c r="N69" s="87">
        <v>0.942948</v>
      </c>
      <c r="O69" s="87">
        <v>0.861387</v>
      </c>
      <c r="P69" s="87">
        <v>0.861387</v>
      </c>
      <c r="Q69" s="87">
        <v>0.861387</v>
      </c>
      <c r="R69" s="87">
        <v>14.23698</v>
      </c>
      <c r="S69" s="87">
        <v>14.23698</v>
      </c>
      <c r="T69" s="87">
        <v>0.861387</v>
      </c>
      <c r="U69" s="87">
        <v>0.861387</v>
      </c>
      <c r="V69" s="87">
        <v>0.861387</v>
      </c>
      <c r="W69" s="87">
        <v>14.23698</v>
      </c>
      <c r="X69" s="87">
        <v>14.23698</v>
      </c>
      <c r="Y69" s="87">
        <v>7.549182</v>
      </c>
      <c r="Z69" s="88" t="s">
        <v>1396</v>
      </c>
    </row>
    <row r="70" hidden="1">
      <c r="A70" s="90" t="s">
        <v>1490</v>
      </c>
      <c r="B70" s="90" t="s">
        <v>1511</v>
      </c>
      <c r="C70" s="90" t="s">
        <v>139</v>
      </c>
      <c r="D70" s="90" t="s">
        <v>1507</v>
      </c>
      <c r="E70" s="90" t="s">
        <v>1400</v>
      </c>
      <c r="F70" s="87">
        <v>4.0</v>
      </c>
      <c r="G70" s="87">
        <v>0.0</v>
      </c>
      <c r="H70" s="87">
        <v>952.0</v>
      </c>
      <c r="I70" s="87">
        <v>0.0</v>
      </c>
      <c r="J70" s="87">
        <v>16.22919</v>
      </c>
      <c r="K70" s="87">
        <v>18.06495</v>
      </c>
      <c r="L70" s="87">
        <v>16.93422</v>
      </c>
      <c r="M70" s="87">
        <v>10.45436</v>
      </c>
      <c r="N70" s="87">
        <v>0.57871</v>
      </c>
      <c r="O70" s="87">
        <v>0.0</v>
      </c>
      <c r="P70" s="87">
        <v>0.0</v>
      </c>
      <c r="Q70" s="87">
        <v>0.0</v>
      </c>
      <c r="R70" s="87">
        <v>3.988681</v>
      </c>
      <c r="S70" s="87">
        <v>4.564326</v>
      </c>
      <c r="T70" s="87">
        <v>3.621902</v>
      </c>
      <c r="U70" s="87">
        <v>3.621902</v>
      </c>
      <c r="V70" s="87">
        <v>3.988681</v>
      </c>
      <c r="W70" s="87">
        <v>4.564326</v>
      </c>
      <c r="X70" s="87">
        <v>4.564326</v>
      </c>
      <c r="Y70" s="87">
        <v>3.010825</v>
      </c>
      <c r="Z70" s="88" t="s">
        <v>1396</v>
      </c>
    </row>
    <row r="71" hidden="1">
      <c r="A71" s="90" t="s">
        <v>1483</v>
      </c>
      <c r="B71" s="90" t="s">
        <v>1512</v>
      </c>
      <c r="C71" s="90" t="s">
        <v>139</v>
      </c>
      <c r="D71" s="90" t="s">
        <v>1507</v>
      </c>
      <c r="E71" s="89">
        <v>46300.0</v>
      </c>
      <c r="F71" s="87">
        <v>7.0</v>
      </c>
      <c r="G71" s="87">
        <v>0.0</v>
      </c>
      <c r="H71" s="87">
        <v>9203.0</v>
      </c>
      <c r="I71" s="87">
        <v>0.0</v>
      </c>
      <c r="J71" s="87">
        <v>140.2943</v>
      </c>
      <c r="K71" s="87">
        <v>129.0995</v>
      </c>
      <c r="L71" s="87">
        <v>138.7947</v>
      </c>
      <c r="M71" s="87">
        <v>109.6589</v>
      </c>
      <c r="N71" s="87">
        <v>0.849414</v>
      </c>
      <c r="O71" s="87">
        <v>0.0</v>
      </c>
      <c r="P71" s="87">
        <v>0.0</v>
      </c>
      <c r="Q71" s="87">
        <v>0.0</v>
      </c>
      <c r="R71" s="87">
        <v>5.487309</v>
      </c>
      <c r="S71" s="87">
        <v>7.786098</v>
      </c>
      <c r="T71" s="87">
        <v>5.487309</v>
      </c>
      <c r="U71" s="87">
        <v>6.167138</v>
      </c>
      <c r="V71" s="87">
        <v>6.167138</v>
      </c>
      <c r="W71" s="87">
        <v>7.786098</v>
      </c>
      <c r="X71" s="87">
        <v>9.979802</v>
      </c>
      <c r="Y71" s="87">
        <v>14.34439</v>
      </c>
      <c r="Z71" s="88" t="s">
        <v>1396</v>
      </c>
    </row>
    <row r="72" hidden="1">
      <c r="A72" s="90" t="s">
        <v>1485</v>
      </c>
      <c r="B72" s="90" t="s">
        <v>1513</v>
      </c>
      <c r="C72" s="90" t="s">
        <v>139</v>
      </c>
      <c r="D72" s="90" t="s">
        <v>1507</v>
      </c>
      <c r="E72" s="90" t="s">
        <v>1403</v>
      </c>
      <c r="F72" s="87">
        <v>5.0</v>
      </c>
      <c r="G72" s="87">
        <v>5.0</v>
      </c>
      <c r="H72" s="87">
        <v>134.0</v>
      </c>
      <c r="I72" s="87">
        <v>134.0</v>
      </c>
      <c r="J72" s="87">
        <v>0.0</v>
      </c>
      <c r="K72" s="87">
        <v>0.0</v>
      </c>
      <c r="L72" s="87">
        <v>0.0</v>
      </c>
      <c r="M72" s="87">
        <v>0.0</v>
      </c>
      <c r="N72" s="91"/>
      <c r="O72" s="87">
        <v>0.0</v>
      </c>
      <c r="P72" s="87">
        <v>0.0</v>
      </c>
      <c r="Q72" s="87">
        <v>0.0</v>
      </c>
      <c r="R72" s="87">
        <v>0.0</v>
      </c>
      <c r="S72" s="87">
        <v>0.0</v>
      </c>
      <c r="T72" s="91"/>
      <c r="U72" s="91"/>
      <c r="V72" s="91"/>
      <c r="W72" s="91"/>
      <c r="X72" s="91"/>
      <c r="Y72" s="87">
        <v>0.0</v>
      </c>
      <c r="Z72" s="88" t="s">
        <v>1396</v>
      </c>
    </row>
    <row r="73" hidden="1">
      <c r="A73" s="90" t="s">
        <v>1474</v>
      </c>
      <c r="B73" s="90" t="s">
        <v>1514</v>
      </c>
      <c r="C73" s="90" t="s">
        <v>139</v>
      </c>
      <c r="D73" s="90" t="s">
        <v>775</v>
      </c>
      <c r="E73" s="90" t="s">
        <v>1426</v>
      </c>
      <c r="F73" s="87">
        <v>9.0</v>
      </c>
      <c r="G73" s="87">
        <v>0.0</v>
      </c>
      <c r="H73" s="87">
        <v>3020.0</v>
      </c>
      <c r="I73" s="87">
        <v>0.0</v>
      </c>
      <c r="J73" s="87">
        <v>894.5408</v>
      </c>
      <c r="K73" s="87">
        <v>906.5658</v>
      </c>
      <c r="L73" s="87">
        <v>852.683</v>
      </c>
      <c r="M73" s="87">
        <v>650.6405</v>
      </c>
      <c r="N73" s="87">
        <v>0.717698</v>
      </c>
      <c r="O73" s="87">
        <v>0.0</v>
      </c>
      <c r="P73" s="87">
        <v>0.0</v>
      </c>
      <c r="Q73" s="87">
        <v>9.052474</v>
      </c>
      <c r="R73" s="87">
        <v>38.34674</v>
      </c>
      <c r="S73" s="87">
        <v>81.3921</v>
      </c>
      <c r="T73" s="87">
        <v>9.052474</v>
      </c>
      <c r="U73" s="87">
        <v>14.2625</v>
      </c>
      <c r="V73" s="87">
        <v>37.61793</v>
      </c>
      <c r="W73" s="87">
        <v>75.25357</v>
      </c>
      <c r="X73" s="87">
        <v>123.475</v>
      </c>
      <c r="Y73" s="87">
        <v>75.54715</v>
      </c>
      <c r="Z73" s="88" t="s">
        <v>1396</v>
      </c>
    </row>
    <row r="74" hidden="1">
      <c r="A74" s="90" t="s">
        <v>1477</v>
      </c>
      <c r="B74" s="90" t="s">
        <v>1515</v>
      </c>
      <c r="C74" s="90" t="s">
        <v>139</v>
      </c>
      <c r="D74" s="90" t="s">
        <v>775</v>
      </c>
      <c r="E74" s="86">
        <v>46310.0</v>
      </c>
      <c r="F74" s="87">
        <v>18.0</v>
      </c>
      <c r="G74" s="87">
        <v>0.0</v>
      </c>
      <c r="H74" s="87">
        <v>2799.0</v>
      </c>
      <c r="I74" s="87">
        <v>0.0</v>
      </c>
      <c r="J74" s="87">
        <v>758.8691</v>
      </c>
      <c r="K74" s="87">
        <v>786.2286</v>
      </c>
      <c r="L74" s="87">
        <v>766.6095</v>
      </c>
      <c r="M74" s="87">
        <v>662.1976</v>
      </c>
      <c r="N74" s="87">
        <v>0.842246</v>
      </c>
      <c r="O74" s="87">
        <v>0.0</v>
      </c>
      <c r="P74" s="87">
        <v>0.0</v>
      </c>
      <c r="Q74" s="87">
        <v>0.0</v>
      </c>
      <c r="R74" s="87">
        <v>0.0</v>
      </c>
      <c r="S74" s="87">
        <v>20.04985</v>
      </c>
      <c r="T74" s="87">
        <v>5.183333</v>
      </c>
      <c r="U74" s="87">
        <v>12.93836</v>
      </c>
      <c r="V74" s="87">
        <v>20.33924</v>
      </c>
      <c r="W74" s="87">
        <v>30.13907</v>
      </c>
      <c r="X74" s="87">
        <v>45.60398</v>
      </c>
      <c r="Y74" s="87">
        <v>17.09193</v>
      </c>
      <c r="Z74" s="88" t="s">
        <v>1396</v>
      </c>
    </row>
    <row r="75" hidden="1">
      <c r="A75" s="90" t="s">
        <v>1479</v>
      </c>
      <c r="B75" s="90" t="s">
        <v>1516</v>
      </c>
      <c r="C75" s="90" t="s">
        <v>139</v>
      </c>
      <c r="D75" s="90" t="s">
        <v>775</v>
      </c>
      <c r="E75" s="90" t="s">
        <v>1413</v>
      </c>
      <c r="F75" s="87">
        <v>10.0</v>
      </c>
      <c r="G75" s="87">
        <v>0.0</v>
      </c>
      <c r="H75" s="87">
        <v>1433.0</v>
      </c>
      <c r="I75" s="87">
        <v>0.0</v>
      </c>
      <c r="J75" s="87">
        <v>457.3658</v>
      </c>
      <c r="K75" s="87">
        <v>448.9307</v>
      </c>
      <c r="L75" s="87">
        <v>434.5436</v>
      </c>
      <c r="M75" s="87">
        <v>395.0567</v>
      </c>
      <c r="N75" s="87">
        <v>0.879995</v>
      </c>
      <c r="O75" s="87">
        <v>0.0</v>
      </c>
      <c r="P75" s="87">
        <v>0.0</v>
      </c>
      <c r="Q75" s="87">
        <v>0.0</v>
      </c>
      <c r="R75" s="87">
        <v>0.0</v>
      </c>
      <c r="S75" s="87">
        <v>11.28777</v>
      </c>
      <c r="T75" s="87">
        <v>5.539511</v>
      </c>
      <c r="U75" s="87">
        <v>8.660737</v>
      </c>
      <c r="V75" s="87">
        <v>9.894905</v>
      </c>
      <c r="W75" s="87">
        <v>18.49113</v>
      </c>
      <c r="X75" s="87">
        <v>24.39905</v>
      </c>
      <c r="Y75" s="87">
        <v>22.44653</v>
      </c>
      <c r="Z75" s="88" t="s">
        <v>1396</v>
      </c>
    </row>
    <row r="76" hidden="1">
      <c r="A76" s="90" t="s">
        <v>1481</v>
      </c>
      <c r="B76" s="90" t="s">
        <v>1517</v>
      </c>
      <c r="C76" s="90" t="s">
        <v>139</v>
      </c>
      <c r="D76" s="90" t="s">
        <v>775</v>
      </c>
      <c r="E76" s="90" t="s">
        <v>1398</v>
      </c>
      <c r="F76" s="87">
        <v>7.0</v>
      </c>
      <c r="G76" s="87">
        <v>0.0</v>
      </c>
      <c r="H76" s="87">
        <v>300.0</v>
      </c>
      <c r="I76" s="87">
        <v>0.0</v>
      </c>
      <c r="J76" s="87">
        <v>44.19614</v>
      </c>
      <c r="K76" s="87">
        <v>50.62423</v>
      </c>
      <c r="L76" s="87">
        <v>51.93018</v>
      </c>
      <c r="M76" s="87">
        <v>21.35456</v>
      </c>
      <c r="N76" s="87">
        <v>0.421825</v>
      </c>
      <c r="O76" s="87">
        <v>0.0</v>
      </c>
      <c r="P76" s="87">
        <v>2.833333</v>
      </c>
      <c r="Q76" s="87">
        <v>2.833333</v>
      </c>
      <c r="R76" s="87">
        <v>6.063637</v>
      </c>
      <c r="S76" s="87">
        <v>20.3727</v>
      </c>
      <c r="T76" s="87">
        <v>2.833333</v>
      </c>
      <c r="U76" s="87">
        <v>2.833333</v>
      </c>
      <c r="V76" s="87">
        <v>6.063637</v>
      </c>
      <c r="W76" s="87">
        <v>20.3727</v>
      </c>
      <c r="X76" s="87">
        <v>20.3727</v>
      </c>
      <c r="Y76" s="87">
        <v>10.12485</v>
      </c>
      <c r="Z76" s="88" t="s">
        <v>1396</v>
      </c>
    </row>
    <row r="77" hidden="1">
      <c r="A77" s="90" t="s">
        <v>1490</v>
      </c>
      <c r="B77" s="90" t="s">
        <v>1518</v>
      </c>
      <c r="C77" s="90" t="s">
        <v>139</v>
      </c>
      <c r="D77" s="90" t="s">
        <v>775</v>
      </c>
      <c r="E77" s="90" t="s">
        <v>1400</v>
      </c>
      <c r="F77" s="87">
        <v>4.0</v>
      </c>
      <c r="G77" s="87">
        <v>0.0</v>
      </c>
      <c r="H77" s="87">
        <v>371.0</v>
      </c>
      <c r="I77" s="87">
        <v>0.0</v>
      </c>
      <c r="J77" s="87">
        <v>44.33042</v>
      </c>
      <c r="K77" s="87">
        <v>46.24495</v>
      </c>
      <c r="L77" s="87">
        <v>48.44059</v>
      </c>
      <c r="M77" s="87">
        <v>16.65027</v>
      </c>
      <c r="N77" s="87">
        <v>0.360045</v>
      </c>
      <c r="O77" s="87">
        <v>0.0</v>
      </c>
      <c r="P77" s="87">
        <v>7.246023</v>
      </c>
      <c r="Q77" s="87">
        <v>7.246023</v>
      </c>
      <c r="R77" s="87">
        <v>9.794821</v>
      </c>
      <c r="S77" s="87">
        <v>12.55383</v>
      </c>
      <c r="T77" s="87">
        <v>7.246023</v>
      </c>
      <c r="U77" s="87">
        <v>7.246023</v>
      </c>
      <c r="V77" s="87">
        <v>9.794821</v>
      </c>
      <c r="W77" s="87">
        <v>12.55383</v>
      </c>
      <c r="X77" s="87">
        <v>12.55383</v>
      </c>
      <c r="Y77" s="87">
        <v>9.24899</v>
      </c>
      <c r="Z77" s="88" t="s">
        <v>1396</v>
      </c>
    </row>
    <row r="78" hidden="1">
      <c r="A78" s="90" t="s">
        <v>1483</v>
      </c>
      <c r="B78" s="90" t="s">
        <v>1519</v>
      </c>
      <c r="C78" s="90" t="s">
        <v>139</v>
      </c>
      <c r="D78" s="90" t="s">
        <v>775</v>
      </c>
      <c r="E78" s="89">
        <v>46300.0</v>
      </c>
      <c r="F78" s="87">
        <v>22.0</v>
      </c>
      <c r="G78" s="87">
        <v>0.0</v>
      </c>
      <c r="H78" s="87">
        <v>2613.0</v>
      </c>
      <c r="I78" s="87">
        <v>0.0</v>
      </c>
      <c r="J78" s="87">
        <v>879.5968</v>
      </c>
      <c r="K78" s="87">
        <v>892.8908</v>
      </c>
      <c r="L78" s="87">
        <v>933.494</v>
      </c>
      <c r="M78" s="87">
        <v>692.6649</v>
      </c>
      <c r="N78" s="87">
        <v>0.775755</v>
      </c>
      <c r="O78" s="87">
        <v>0.0</v>
      </c>
      <c r="P78" s="87">
        <v>0.0</v>
      </c>
      <c r="Q78" s="87">
        <v>0.0</v>
      </c>
      <c r="R78" s="87">
        <v>0.0</v>
      </c>
      <c r="S78" s="87">
        <v>24.2201</v>
      </c>
      <c r="T78" s="87">
        <v>17.7057</v>
      </c>
      <c r="U78" s="87">
        <v>22.72444</v>
      </c>
      <c r="V78" s="87">
        <v>24.66804</v>
      </c>
      <c r="W78" s="87">
        <v>36.38484</v>
      </c>
      <c r="X78" s="87">
        <v>42.16407</v>
      </c>
      <c r="Y78" s="87">
        <v>20.29297</v>
      </c>
      <c r="Z78" s="88" t="s">
        <v>1396</v>
      </c>
    </row>
    <row r="79" hidden="1">
      <c r="A79" s="90" t="s">
        <v>1485</v>
      </c>
      <c r="B79" s="90" t="s">
        <v>1520</v>
      </c>
      <c r="C79" s="90" t="s">
        <v>139</v>
      </c>
      <c r="D79" s="90" t="s">
        <v>775</v>
      </c>
      <c r="E79" s="90" t="s">
        <v>1403</v>
      </c>
      <c r="F79" s="87">
        <v>1.0</v>
      </c>
      <c r="G79" s="87">
        <v>1.0</v>
      </c>
      <c r="H79" s="87">
        <v>43.0</v>
      </c>
      <c r="I79" s="87">
        <v>43.0</v>
      </c>
      <c r="J79" s="87">
        <v>0.0</v>
      </c>
      <c r="K79" s="87">
        <v>0.0</v>
      </c>
      <c r="L79" s="87">
        <v>0.0</v>
      </c>
      <c r="M79" s="87">
        <v>0.0</v>
      </c>
      <c r="N79" s="91"/>
      <c r="O79" s="87">
        <v>0.0</v>
      </c>
      <c r="P79" s="87">
        <v>0.0</v>
      </c>
      <c r="Q79" s="87">
        <v>0.0</v>
      </c>
      <c r="R79" s="87">
        <v>0.0</v>
      </c>
      <c r="S79" s="87">
        <v>0.0</v>
      </c>
      <c r="T79" s="91"/>
      <c r="U79" s="91"/>
      <c r="V79" s="91"/>
      <c r="W79" s="91"/>
      <c r="X79" s="91"/>
      <c r="Y79" s="87">
        <v>0.0</v>
      </c>
      <c r="Z79" s="88" t="s">
        <v>1396</v>
      </c>
    </row>
    <row r="80" hidden="1">
      <c r="A80" s="90" t="s">
        <v>1474</v>
      </c>
      <c r="B80" s="90" t="s">
        <v>3291</v>
      </c>
      <c r="C80" s="90" t="s">
        <v>139</v>
      </c>
      <c r="D80" s="90" t="s">
        <v>1522</v>
      </c>
      <c r="E80" s="90" t="s">
        <v>1426</v>
      </c>
      <c r="F80" s="87">
        <v>1.0</v>
      </c>
      <c r="G80" s="87">
        <v>0.0</v>
      </c>
      <c r="H80" s="87">
        <v>283.0</v>
      </c>
      <c r="I80" s="87">
        <v>0.0</v>
      </c>
      <c r="J80" s="87">
        <v>0.0</v>
      </c>
      <c r="K80" s="87">
        <v>0.0</v>
      </c>
      <c r="L80" s="87">
        <v>0.0</v>
      </c>
      <c r="M80" s="87">
        <v>0.0</v>
      </c>
      <c r="N80" s="91"/>
      <c r="O80" s="91"/>
      <c r="P80" s="91"/>
      <c r="Q80" s="91"/>
      <c r="R80" s="91"/>
      <c r="S80" s="91"/>
      <c r="T80" s="91"/>
      <c r="U80" s="91"/>
      <c r="V80" s="91"/>
      <c r="W80" s="91"/>
      <c r="X80" s="91"/>
      <c r="Y80" s="91"/>
      <c r="Z80" s="88" t="s">
        <v>1396</v>
      </c>
    </row>
    <row r="81" hidden="1">
      <c r="A81" s="90" t="s">
        <v>1483</v>
      </c>
      <c r="B81" s="90" t="s">
        <v>1521</v>
      </c>
      <c r="C81" s="90" t="s">
        <v>139</v>
      </c>
      <c r="D81" s="90" t="s">
        <v>1522</v>
      </c>
      <c r="E81" s="89">
        <v>46300.0</v>
      </c>
      <c r="F81" s="87">
        <v>11.0</v>
      </c>
      <c r="G81" s="87">
        <v>0.0</v>
      </c>
      <c r="H81" s="87">
        <v>5239.0</v>
      </c>
      <c r="I81" s="87">
        <v>0.0</v>
      </c>
      <c r="J81" s="87">
        <v>237.9153</v>
      </c>
      <c r="K81" s="87">
        <v>243.4959</v>
      </c>
      <c r="L81" s="87">
        <v>248.498</v>
      </c>
      <c r="M81" s="87">
        <v>140.3481</v>
      </c>
      <c r="N81" s="87">
        <v>0.576388</v>
      </c>
      <c r="O81" s="87">
        <v>2.211421</v>
      </c>
      <c r="P81" s="87">
        <v>7.126867</v>
      </c>
      <c r="Q81" s="87">
        <v>7.549424</v>
      </c>
      <c r="R81" s="87">
        <v>11.67673</v>
      </c>
      <c r="S81" s="87">
        <v>46.51905</v>
      </c>
      <c r="T81" s="87">
        <v>2.211421</v>
      </c>
      <c r="U81" s="87">
        <v>7.126867</v>
      </c>
      <c r="V81" s="87">
        <v>7.549424</v>
      </c>
      <c r="W81" s="87">
        <v>11.67673</v>
      </c>
      <c r="X81" s="87">
        <v>46.51905</v>
      </c>
      <c r="Y81" s="87">
        <v>24.34959</v>
      </c>
      <c r="Z81" s="88" t="s">
        <v>1396</v>
      </c>
    </row>
    <row r="82" hidden="1">
      <c r="A82" s="90" t="s">
        <v>1485</v>
      </c>
      <c r="B82" s="90" t="s">
        <v>1523</v>
      </c>
      <c r="C82" s="90" t="s">
        <v>139</v>
      </c>
      <c r="D82" s="90" t="s">
        <v>1522</v>
      </c>
      <c r="E82" s="90" t="s">
        <v>1403</v>
      </c>
      <c r="F82" s="87">
        <v>0.0</v>
      </c>
      <c r="G82" s="87">
        <v>0.0</v>
      </c>
      <c r="H82" s="87">
        <v>0.0</v>
      </c>
      <c r="I82" s="87">
        <v>0.0</v>
      </c>
      <c r="J82" s="87">
        <v>0.0</v>
      </c>
      <c r="K82" s="87">
        <v>0.0</v>
      </c>
      <c r="L82" s="87">
        <v>0.0</v>
      </c>
      <c r="M82" s="87">
        <v>0.0</v>
      </c>
      <c r="N82" s="91"/>
      <c r="O82" s="87">
        <v>0.0</v>
      </c>
      <c r="P82" s="87">
        <v>0.0</v>
      </c>
      <c r="Q82" s="87">
        <v>0.0</v>
      </c>
      <c r="R82" s="87">
        <v>0.0</v>
      </c>
      <c r="S82" s="87">
        <v>0.0</v>
      </c>
      <c r="T82" s="91"/>
      <c r="U82" s="91"/>
      <c r="V82" s="91"/>
      <c r="W82" s="91"/>
      <c r="X82" s="91"/>
      <c r="Y82" s="87">
        <v>0.0</v>
      </c>
      <c r="Z82" s="88" t="s">
        <v>1396</v>
      </c>
    </row>
    <row r="83" hidden="1">
      <c r="A83" s="90" t="s">
        <v>1485</v>
      </c>
      <c r="B83" s="90" t="s">
        <v>1524</v>
      </c>
      <c r="C83" s="90" t="s">
        <v>139</v>
      </c>
      <c r="D83" s="90" t="s">
        <v>1525</v>
      </c>
      <c r="E83" s="90" t="s">
        <v>1403</v>
      </c>
      <c r="F83" s="87">
        <v>0.0</v>
      </c>
      <c r="G83" s="87">
        <v>0.0</v>
      </c>
      <c r="H83" s="87">
        <v>0.0</v>
      </c>
      <c r="I83" s="87">
        <v>0.0</v>
      </c>
      <c r="J83" s="87">
        <v>0.0</v>
      </c>
      <c r="K83" s="87">
        <v>0.0</v>
      </c>
      <c r="L83" s="87">
        <v>0.0</v>
      </c>
      <c r="M83" s="87">
        <v>0.0</v>
      </c>
      <c r="N83" s="91"/>
      <c r="O83" s="87">
        <v>0.0</v>
      </c>
      <c r="P83" s="87">
        <v>0.0</v>
      </c>
      <c r="Q83" s="87">
        <v>0.0</v>
      </c>
      <c r="R83" s="87">
        <v>0.0</v>
      </c>
      <c r="S83" s="87">
        <v>0.0</v>
      </c>
      <c r="T83" s="91"/>
      <c r="U83" s="91"/>
      <c r="V83" s="91"/>
      <c r="W83" s="91"/>
      <c r="X83" s="91"/>
      <c r="Y83" s="87">
        <v>0.0</v>
      </c>
      <c r="Z83" s="88" t="s">
        <v>1396</v>
      </c>
    </row>
    <row r="84" hidden="1">
      <c r="A84" s="90" t="s">
        <v>1474</v>
      </c>
      <c r="B84" s="90" t="s">
        <v>1526</v>
      </c>
      <c r="C84" s="90" t="s">
        <v>139</v>
      </c>
      <c r="D84" s="90" t="s">
        <v>1527</v>
      </c>
      <c r="E84" s="90" t="s">
        <v>1426</v>
      </c>
      <c r="F84" s="87">
        <v>6.0</v>
      </c>
      <c r="G84" s="87">
        <v>0.0</v>
      </c>
      <c r="H84" s="87">
        <v>17365.0</v>
      </c>
      <c r="I84" s="87">
        <v>0.0</v>
      </c>
      <c r="J84" s="87">
        <v>231.0482</v>
      </c>
      <c r="K84" s="87">
        <v>221.3411</v>
      </c>
      <c r="L84" s="87">
        <v>210.0037</v>
      </c>
      <c r="M84" s="87">
        <v>102.4194</v>
      </c>
      <c r="N84" s="87">
        <v>0.462722</v>
      </c>
      <c r="O84" s="87">
        <v>0.0</v>
      </c>
      <c r="P84" s="87">
        <v>0.0</v>
      </c>
      <c r="Q84" s="87">
        <v>0.0</v>
      </c>
      <c r="R84" s="87">
        <v>24.31819</v>
      </c>
      <c r="S84" s="87">
        <v>49.0253</v>
      </c>
      <c r="T84" s="87">
        <v>13.0198</v>
      </c>
      <c r="U84" s="87">
        <v>24.31819</v>
      </c>
      <c r="V84" s="87">
        <v>24.31819</v>
      </c>
      <c r="W84" s="87">
        <v>49.0253</v>
      </c>
      <c r="X84" s="87">
        <v>50.72878</v>
      </c>
      <c r="Y84" s="87">
        <v>22.13411</v>
      </c>
      <c r="Z84" s="88" t="s">
        <v>1396</v>
      </c>
    </row>
    <row r="85" hidden="1">
      <c r="A85" s="90" t="s">
        <v>1477</v>
      </c>
      <c r="B85" s="90" t="s">
        <v>1528</v>
      </c>
      <c r="C85" s="90" t="s">
        <v>139</v>
      </c>
      <c r="D85" s="90" t="s">
        <v>1527</v>
      </c>
      <c r="E85" s="86">
        <v>46310.0</v>
      </c>
      <c r="F85" s="87">
        <v>12.0</v>
      </c>
      <c r="G85" s="87">
        <v>0.0</v>
      </c>
      <c r="H85" s="87">
        <v>3287.0</v>
      </c>
      <c r="I85" s="87">
        <v>0.0</v>
      </c>
      <c r="J85" s="87">
        <v>24.4637</v>
      </c>
      <c r="K85" s="87">
        <v>23.76779</v>
      </c>
      <c r="L85" s="87">
        <v>23.67195</v>
      </c>
      <c r="M85" s="87">
        <v>12.03953</v>
      </c>
      <c r="N85" s="87">
        <v>0.506548</v>
      </c>
      <c r="O85" s="87">
        <v>1.106457</v>
      </c>
      <c r="P85" s="87">
        <v>1.99428</v>
      </c>
      <c r="Q85" s="87">
        <v>2.350962</v>
      </c>
      <c r="R85" s="87">
        <v>2.559341</v>
      </c>
      <c r="S85" s="87">
        <v>3.717223</v>
      </c>
      <c r="T85" s="87">
        <v>1.106457</v>
      </c>
      <c r="U85" s="87">
        <v>1.99428</v>
      </c>
      <c r="V85" s="87">
        <v>2.350962</v>
      </c>
      <c r="W85" s="87">
        <v>2.559341</v>
      </c>
      <c r="X85" s="87">
        <v>3.717223</v>
      </c>
      <c r="Y85" s="87">
        <v>3.395399</v>
      </c>
      <c r="Z85" s="88" t="s">
        <v>1396</v>
      </c>
    </row>
    <row r="86" hidden="1">
      <c r="A86" s="90" t="s">
        <v>1479</v>
      </c>
      <c r="B86" s="90" t="s">
        <v>1529</v>
      </c>
      <c r="C86" s="90" t="s">
        <v>139</v>
      </c>
      <c r="D86" s="90" t="s">
        <v>1527</v>
      </c>
      <c r="E86" s="90" t="s">
        <v>1413</v>
      </c>
      <c r="F86" s="87">
        <v>4.0</v>
      </c>
      <c r="G86" s="87">
        <v>0.0</v>
      </c>
      <c r="H86" s="87">
        <v>1026.0</v>
      </c>
      <c r="I86" s="87">
        <v>0.0</v>
      </c>
      <c r="J86" s="87">
        <v>2.55</v>
      </c>
      <c r="K86" s="87">
        <v>1.744343</v>
      </c>
      <c r="L86" s="87">
        <v>2.103933</v>
      </c>
      <c r="M86" s="87">
        <v>0.952561</v>
      </c>
      <c r="N86" s="87">
        <v>0.546086</v>
      </c>
      <c r="O86" s="87">
        <v>0.1</v>
      </c>
      <c r="P86" s="87">
        <v>0.1</v>
      </c>
      <c r="Q86" s="87">
        <v>0.32619</v>
      </c>
      <c r="R86" s="87">
        <v>0.365591</v>
      </c>
      <c r="S86" s="87">
        <v>0.365591</v>
      </c>
      <c r="T86" s="87">
        <v>0.1</v>
      </c>
      <c r="U86" s="87">
        <v>0.1</v>
      </c>
      <c r="V86" s="87">
        <v>0.32619</v>
      </c>
      <c r="W86" s="87">
        <v>0.365591</v>
      </c>
      <c r="X86" s="87">
        <v>0.365591</v>
      </c>
      <c r="Y86" s="87">
        <v>0.436086</v>
      </c>
      <c r="Z86" s="88" t="s">
        <v>1396</v>
      </c>
    </row>
    <row r="87" hidden="1">
      <c r="A87" s="90" t="s">
        <v>1481</v>
      </c>
      <c r="B87" s="90" t="s">
        <v>1530</v>
      </c>
      <c r="C87" s="90" t="s">
        <v>139</v>
      </c>
      <c r="D87" s="90" t="s">
        <v>1527</v>
      </c>
      <c r="E87" s="90" t="s">
        <v>1398</v>
      </c>
      <c r="F87" s="87">
        <v>3.0</v>
      </c>
      <c r="G87" s="87">
        <v>0.0</v>
      </c>
      <c r="H87" s="87">
        <v>302.0</v>
      </c>
      <c r="I87" s="87">
        <v>0.0</v>
      </c>
      <c r="J87" s="87">
        <v>8.100505</v>
      </c>
      <c r="K87" s="87">
        <v>6.326626</v>
      </c>
      <c r="L87" s="87">
        <v>5.153551</v>
      </c>
      <c r="M87" s="87">
        <v>3.622439</v>
      </c>
      <c r="N87" s="87">
        <v>0.57257</v>
      </c>
      <c r="O87" s="87">
        <v>2.704187</v>
      </c>
      <c r="P87" s="87">
        <v>2.704187</v>
      </c>
      <c r="Q87" s="87">
        <v>2.704187</v>
      </c>
      <c r="R87" s="87">
        <v>3.622439</v>
      </c>
      <c r="S87" s="87">
        <v>3.622439</v>
      </c>
      <c r="T87" s="87">
        <v>2.704187</v>
      </c>
      <c r="U87" s="87">
        <v>2.704187</v>
      </c>
      <c r="V87" s="87">
        <v>2.704187</v>
      </c>
      <c r="W87" s="87">
        <v>3.622439</v>
      </c>
      <c r="X87" s="87">
        <v>3.622439</v>
      </c>
      <c r="Y87" s="87">
        <v>3.163313</v>
      </c>
      <c r="Z87" s="88" t="s">
        <v>1396</v>
      </c>
    </row>
    <row r="88" hidden="1">
      <c r="A88" s="90" t="s">
        <v>1490</v>
      </c>
      <c r="B88" s="90" t="s">
        <v>1531</v>
      </c>
      <c r="C88" s="90" t="s">
        <v>139</v>
      </c>
      <c r="D88" s="90" t="s">
        <v>1527</v>
      </c>
      <c r="E88" s="90" t="s">
        <v>1400</v>
      </c>
      <c r="F88" s="87">
        <v>4.0</v>
      </c>
      <c r="G88" s="87">
        <v>0.0</v>
      </c>
      <c r="H88" s="87">
        <v>1004.0</v>
      </c>
      <c r="I88" s="87">
        <v>0.0</v>
      </c>
      <c r="J88" s="87">
        <v>4.817599</v>
      </c>
      <c r="K88" s="87">
        <v>4.303672</v>
      </c>
      <c r="L88" s="87">
        <v>4.313523</v>
      </c>
      <c r="M88" s="87">
        <v>1.699772</v>
      </c>
      <c r="N88" s="87">
        <v>0.394958</v>
      </c>
      <c r="O88" s="87">
        <v>1.23908</v>
      </c>
      <c r="P88" s="87">
        <v>1.23908</v>
      </c>
      <c r="Q88" s="87">
        <v>1.23908</v>
      </c>
      <c r="R88" s="87">
        <v>1.36482</v>
      </c>
      <c r="S88" s="87">
        <v>1.699772</v>
      </c>
      <c r="T88" s="87">
        <v>1.23908</v>
      </c>
      <c r="U88" s="87">
        <v>1.23908</v>
      </c>
      <c r="V88" s="87">
        <v>1.23908</v>
      </c>
      <c r="W88" s="87">
        <v>1.36482</v>
      </c>
      <c r="X88" s="87">
        <v>1.699772</v>
      </c>
      <c r="Y88" s="87">
        <v>1.434557</v>
      </c>
      <c r="Z88" s="88" t="s">
        <v>1396</v>
      </c>
    </row>
    <row r="89" hidden="1">
      <c r="A89" s="90" t="s">
        <v>1483</v>
      </c>
      <c r="B89" s="90" t="s">
        <v>1532</v>
      </c>
      <c r="C89" s="90" t="s">
        <v>139</v>
      </c>
      <c r="D89" s="90" t="s">
        <v>1527</v>
      </c>
      <c r="E89" s="86">
        <v>46300.0</v>
      </c>
      <c r="F89" s="87">
        <v>10.0</v>
      </c>
      <c r="G89" s="87">
        <v>0.0</v>
      </c>
      <c r="H89" s="87">
        <v>3086.0</v>
      </c>
      <c r="I89" s="87">
        <v>0.0</v>
      </c>
      <c r="J89" s="87">
        <v>12.81319</v>
      </c>
      <c r="K89" s="87">
        <v>15.51138</v>
      </c>
      <c r="L89" s="87">
        <v>23.36619</v>
      </c>
      <c r="M89" s="87">
        <v>10.8203</v>
      </c>
      <c r="N89" s="87">
        <v>0.697572</v>
      </c>
      <c r="O89" s="87">
        <v>0.0</v>
      </c>
      <c r="P89" s="87">
        <v>0.0</v>
      </c>
      <c r="Q89" s="87">
        <v>0.5</v>
      </c>
      <c r="R89" s="87">
        <v>2.032258</v>
      </c>
      <c r="S89" s="87">
        <v>2.158824</v>
      </c>
      <c r="T89" s="87">
        <v>0.5</v>
      </c>
      <c r="U89" s="87">
        <v>2.032258</v>
      </c>
      <c r="V89" s="87">
        <v>2.032258</v>
      </c>
      <c r="W89" s="87">
        <v>2.158824</v>
      </c>
      <c r="X89" s="87">
        <v>3.523222</v>
      </c>
      <c r="Y89" s="87">
        <v>2.215912</v>
      </c>
      <c r="Z89" s="88" t="s">
        <v>1396</v>
      </c>
    </row>
    <row r="90" hidden="1">
      <c r="A90" s="90" t="s">
        <v>1485</v>
      </c>
      <c r="B90" s="90" t="s">
        <v>1533</v>
      </c>
      <c r="C90" s="90" t="s">
        <v>139</v>
      </c>
      <c r="D90" s="90" t="s">
        <v>1527</v>
      </c>
      <c r="E90" s="90" t="s">
        <v>1403</v>
      </c>
      <c r="F90" s="87">
        <v>2.0</v>
      </c>
      <c r="G90" s="87">
        <v>2.0</v>
      </c>
      <c r="H90" s="87">
        <v>2.0</v>
      </c>
      <c r="I90" s="87">
        <v>2.0</v>
      </c>
      <c r="J90" s="87">
        <v>0.0</v>
      </c>
      <c r="K90" s="87">
        <v>0.0</v>
      </c>
      <c r="L90" s="87">
        <v>0.0</v>
      </c>
      <c r="M90" s="87">
        <v>0.0</v>
      </c>
      <c r="N90" s="91"/>
      <c r="O90" s="87">
        <v>0.0</v>
      </c>
      <c r="P90" s="87">
        <v>0.0</v>
      </c>
      <c r="Q90" s="87">
        <v>0.0</v>
      </c>
      <c r="R90" s="87">
        <v>0.0</v>
      </c>
      <c r="S90" s="87">
        <v>0.0</v>
      </c>
      <c r="T90" s="91"/>
      <c r="U90" s="91"/>
      <c r="V90" s="91"/>
      <c r="W90" s="91"/>
      <c r="X90" s="91"/>
      <c r="Y90" s="87">
        <v>0.0</v>
      </c>
      <c r="Z90" s="88" t="s">
        <v>1396</v>
      </c>
    </row>
    <row r="91" hidden="1">
      <c r="A91" s="90" t="s">
        <v>1474</v>
      </c>
      <c r="B91" s="90" t="s">
        <v>1534</v>
      </c>
      <c r="C91" s="90" t="s">
        <v>139</v>
      </c>
      <c r="D91" s="90" t="s">
        <v>1535</v>
      </c>
      <c r="E91" s="90" t="s">
        <v>1426</v>
      </c>
      <c r="F91" s="87">
        <v>12.0</v>
      </c>
      <c r="G91" s="87">
        <v>0.0</v>
      </c>
      <c r="H91" s="87">
        <v>6414.0</v>
      </c>
      <c r="I91" s="87">
        <v>0.0</v>
      </c>
      <c r="J91" s="87">
        <v>1154.713</v>
      </c>
      <c r="K91" s="87">
        <v>1182.325</v>
      </c>
      <c r="L91" s="87">
        <v>1226.123</v>
      </c>
      <c r="M91" s="87">
        <v>669.1316</v>
      </c>
      <c r="N91" s="87">
        <v>0.565946</v>
      </c>
      <c r="O91" s="87">
        <v>22.19238</v>
      </c>
      <c r="P91" s="87">
        <v>28.91813</v>
      </c>
      <c r="Q91" s="87">
        <v>30.81917</v>
      </c>
      <c r="R91" s="87">
        <v>99.24216</v>
      </c>
      <c r="S91" s="87">
        <v>173.2528</v>
      </c>
      <c r="T91" s="87">
        <v>22.19238</v>
      </c>
      <c r="U91" s="87">
        <v>28.91813</v>
      </c>
      <c r="V91" s="87">
        <v>30.81917</v>
      </c>
      <c r="W91" s="87">
        <v>99.24216</v>
      </c>
      <c r="X91" s="87">
        <v>173.2528</v>
      </c>
      <c r="Y91" s="87">
        <v>131.3694</v>
      </c>
      <c r="Z91" s="88" t="s">
        <v>1396</v>
      </c>
    </row>
    <row r="92" hidden="1">
      <c r="A92" s="90" t="s">
        <v>1477</v>
      </c>
      <c r="B92" s="90" t="s">
        <v>1536</v>
      </c>
      <c r="C92" s="90" t="s">
        <v>139</v>
      </c>
      <c r="D92" s="90" t="s">
        <v>1535</v>
      </c>
      <c r="E92" s="86">
        <v>46310.0</v>
      </c>
      <c r="F92" s="87">
        <v>3.0</v>
      </c>
      <c r="G92" s="87">
        <v>0.0</v>
      </c>
      <c r="H92" s="87">
        <v>289.0</v>
      </c>
      <c r="I92" s="87">
        <v>0.0</v>
      </c>
      <c r="J92" s="87">
        <v>39.06553</v>
      </c>
      <c r="K92" s="87">
        <v>37.75662</v>
      </c>
      <c r="L92" s="87">
        <v>36.27687</v>
      </c>
      <c r="M92" s="87">
        <v>20.4165</v>
      </c>
      <c r="N92" s="87">
        <v>0.540739</v>
      </c>
      <c r="O92" s="87">
        <v>1.0</v>
      </c>
      <c r="P92" s="87">
        <v>1.0</v>
      </c>
      <c r="Q92" s="87">
        <v>5.260247</v>
      </c>
      <c r="R92" s="87">
        <v>11.07988</v>
      </c>
      <c r="S92" s="87">
        <v>11.07988</v>
      </c>
      <c r="T92" s="87">
        <v>1.0</v>
      </c>
      <c r="U92" s="87">
        <v>1.0</v>
      </c>
      <c r="V92" s="87">
        <v>5.260247</v>
      </c>
      <c r="W92" s="87">
        <v>11.07988</v>
      </c>
      <c r="X92" s="87">
        <v>11.07988</v>
      </c>
      <c r="Y92" s="87">
        <v>9.439156</v>
      </c>
      <c r="Z92" s="88" t="s">
        <v>1396</v>
      </c>
    </row>
    <row r="93" hidden="1">
      <c r="A93" s="90" t="s">
        <v>1479</v>
      </c>
      <c r="B93" s="90" t="s">
        <v>1537</v>
      </c>
      <c r="C93" s="90" t="s">
        <v>139</v>
      </c>
      <c r="D93" s="90" t="s">
        <v>1535</v>
      </c>
      <c r="E93" s="90" t="s">
        <v>1413</v>
      </c>
      <c r="F93" s="87">
        <v>6.0</v>
      </c>
      <c r="G93" s="87">
        <v>0.0</v>
      </c>
      <c r="H93" s="87">
        <v>3779.0</v>
      </c>
      <c r="I93" s="87">
        <v>0.0</v>
      </c>
      <c r="J93" s="87">
        <v>127.4587</v>
      </c>
      <c r="K93" s="87">
        <v>115.9675</v>
      </c>
      <c r="L93" s="87">
        <v>127.6813</v>
      </c>
      <c r="M93" s="87">
        <v>75.36136</v>
      </c>
      <c r="N93" s="87">
        <v>0.649849</v>
      </c>
      <c r="O93" s="87">
        <v>0.0</v>
      </c>
      <c r="P93" s="87">
        <v>0.0</v>
      </c>
      <c r="Q93" s="87">
        <v>12.51975</v>
      </c>
      <c r="R93" s="87">
        <v>28.08644</v>
      </c>
      <c r="S93" s="87">
        <v>28.08644</v>
      </c>
      <c r="T93" s="87">
        <v>12.51975</v>
      </c>
      <c r="U93" s="87">
        <v>12.51975</v>
      </c>
      <c r="V93" s="87">
        <v>12.51975</v>
      </c>
      <c r="W93" s="87">
        <v>28.08644</v>
      </c>
      <c r="X93" s="87">
        <v>75.36136</v>
      </c>
      <c r="Y93" s="87">
        <v>28.99189</v>
      </c>
      <c r="Z93" s="88" t="s">
        <v>1396</v>
      </c>
    </row>
    <row r="94" hidden="1">
      <c r="A94" s="90" t="s">
        <v>1481</v>
      </c>
      <c r="B94" s="90" t="s">
        <v>1538</v>
      </c>
      <c r="C94" s="90" t="s">
        <v>139</v>
      </c>
      <c r="D94" s="90" t="s">
        <v>1535</v>
      </c>
      <c r="E94" s="90" t="s">
        <v>1398</v>
      </c>
      <c r="F94" s="87">
        <v>4.0</v>
      </c>
      <c r="G94" s="87">
        <v>0.0</v>
      </c>
      <c r="H94" s="87">
        <v>910.0</v>
      </c>
      <c r="I94" s="87">
        <v>0.0</v>
      </c>
      <c r="J94" s="87">
        <v>18.39682</v>
      </c>
      <c r="K94" s="87">
        <v>17.34154</v>
      </c>
      <c r="L94" s="87">
        <v>17.97977</v>
      </c>
      <c r="M94" s="87">
        <v>5.519759</v>
      </c>
      <c r="N94" s="87">
        <v>0.318297</v>
      </c>
      <c r="O94" s="87">
        <v>1.47619</v>
      </c>
      <c r="P94" s="87">
        <v>3.023332</v>
      </c>
      <c r="Q94" s="87">
        <v>3.023332</v>
      </c>
      <c r="R94" s="87">
        <v>3.424888</v>
      </c>
      <c r="S94" s="87">
        <v>3.897374</v>
      </c>
      <c r="T94" s="87">
        <v>1.47619</v>
      </c>
      <c r="U94" s="87">
        <v>3.023332</v>
      </c>
      <c r="V94" s="87">
        <v>3.023332</v>
      </c>
      <c r="W94" s="87">
        <v>3.424888</v>
      </c>
      <c r="X94" s="87">
        <v>3.897374</v>
      </c>
      <c r="Y94" s="87">
        <v>3.468309</v>
      </c>
      <c r="Z94" s="88" t="s">
        <v>1396</v>
      </c>
    </row>
    <row r="95" hidden="1">
      <c r="A95" s="90" t="s">
        <v>1490</v>
      </c>
      <c r="B95" s="90" t="s">
        <v>1539</v>
      </c>
      <c r="C95" s="90" t="s">
        <v>139</v>
      </c>
      <c r="D95" s="90" t="s">
        <v>1535</v>
      </c>
      <c r="E95" s="90" t="s">
        <v>1400</v>
      </c>
      <c r="F95" s="87">
        <v>5.0</v>
      </c>
      <c r="G95" s="87">
        <v>0.0</v>
      </c>
      <c r="H95" s="87">
        <v>669.0</v>
      </c>
      <c r="I95" s="87">
        <v>0.0</v>
      </c>
      <c r="J95" s="87">
        <v>5.779002</v>
      </c>
      <c r="K95" s="87">
        <v>4.767811</v>
      </c>
      <c r="L95" s="87">
        <v>5.251758</v>
      </c>
      <c r="M95" s="87">
        <v>2.870052</v>
      </c>
      <c r="N95" s="87">
        <v>0.601964</v>
      </c>
      <c r="O95" s="87">
        <v>1.897759</v>
      </c>
      <c r="P95" s="87">
        <v>1.897759</v>
      </c>
      <c r="Q95" s="87">
        <v>1.897759</v>
      </c>
      <c r="R95" s="87">
        <v>2.870052</v>
      </c>
      <c r="S95" s="87">
        <v>2.870052</v>
      </c>
      <c r="T95" s="87">
        <v>1.897759</v>
      </c>
      <c r="U95" s="87">
        <v>1.897759</v>
      </c>
      <c r="V95" s="87">
        <v>1.897759</v>
      </c>
      <c r="W95" s="87">
        <v>2.870052</v>
      </c>
      <c r="X95" s="87">
        <v>2.870052</v>
      </c>
      <c r="Y95" s="87">
        <v>2.383905</v>
      </c>
      <c r="Z95" s="88" t="s">
        <v>1396</v>
      </c>
    </row>
    <row r="96" hidden="1">
      <c r="A96" s="90" t="s">
        <v>1483</v>
      </c>
      <c r="B96" s="90" t="s">
        <v>1540</v>
      </c>
      <c r="C96" s="90" t="s">
        <v>139</v>
      </c>
      <c r="D96" s="90" t="s">
        <v>1535</v>
      </c>
      <c r="E96" s="89">
        <v>46300.0</v>
      </c>
      <c r="F96" s="87">
        <v>15.0</v>
      </c>
      <c r="G96" s="87">
        <v>0.0</v>
      </c>
      <c r="H96" s="87">
        <v>4541.0</v>
      </c>
      <c r="I96" s="87">
        <v>0.0</v>
      </c>
      <c r="J96" s="87">
        <v>339.5551</v>
      </c>
      <c r="K96" s="87">
        <v>368.7986</v>
      </c>
      <c r="L96" s="87">
        <v>386.4318</v>
      </c>
      <c r="M96" s="87">
        <v>234.8054</v>
      </c>
      <c r="N96" s="87">
        <v>0.636677</v>
      </c>
      <c r="O96" s="87">
        <v>0.0</v>
      </c>
      <c r="P96" s="87">
        <v>6.067788</v>
      </c>
      <c r="Q96" s="87">
        <v>9.728793</v>
      </c>
      <c r="R96" s="87">
        <v>15.77701</v>
      </c>
      <c r="S96" s="87">
        <v>22.80128</v>
      </c>
      <c r="T96" s="87">
        <v>7.128779</v>
      </c>
      <c r="U96" s="87">
        <v>9.728793</v>
      </c>
      <c r="V96" s="87">
        <v>9.913104</v>
      </c>
      <c r="W96" s="87">
        <v>22.55789</v>
      </c>
      <c r="X96" s="87">
        <v>29.34607</v>
      </c>
      <c r="Y96" s="87">
        <v>26.34276</v>
      </c>
      <c r="Z96" s="88" t="s">
        <v>1396</v>
      </c>
    </row>
    <row r="97" hidden="1">
      <c r="A97" s="90" t="s">
        <v>1485</v>
      </c>
      <c r="B97" s="90" t="s">
        <v>1541</v>
      </c>
      <c r="C97" s="90" t="s">
        <v>139</v>
      </c>
      <c r="D97" s="90" t="s">
        <v>1535</v>
      </c>
      <c r="E97" s="90" t="s">
        <v>1403</v>
      </c>
      <c r="F97" s="87">
        <v>2.0</v>
      </c>
      <c r="G97" s="87">
        <v>2.0</v>
      </c>
      <c r="H97" s="87">
        <v>3.0</v>
      </c>
      <c r="I97" s="87">
        <v>3.0</v>
      </c>
      <c r="J97" s="87">
        <v>0.0</v>
      </c>
      <c r="K97" s="87">
        <v>0.0</v>
      </c>
      <c r="L97" s="87">
        <v>0.0</v>
      </c>
      <c r="M97" s="87">
        <v>0.0</v>
      </c>
      <c r="N97" s="91"/>
      <c r="O97" s="87">
        <v>0.0</v>
      </c>
      <c r="P97" s="87">
        <v>0.0</v>
      </c>
      <c r="Q97" s="87">
        <v>0.0</v>
      </c>
      <c r="R97" s="87">
        <v>0.0</v>
      </c>
      <c r="S97" s="87">
        <v>0.0</v>
      </c>
      <c r="T97" s="91"/>
      <c r="U97" s="91"/>
      <c r="V97" s="91"/>
      <c r="W97" s="91"/>
      <c r="X97" s="91"/>
      <c r="Y97" s="87">
        <v>0.0</v>
      </c>
      <c r="Z97" s="88" t="s">
        <v>1396</v>
      </c>
    </row>
    <row r="98" hidden="1">
      <c r="A98" s="90" t="s">
        <v>1477</v>
      </c>
      <c r="B98" s="90" t="s">
        <v>1544</v>
      </c>
      <c r="C98" s="90" t="s">
        <v>139</v>
      </c>
      <c r="D98" s="90" t="s">
        <v>1543</v>
      </c>
      <c r="E98" s="89">
        <v>46310.0</v>
      </c>
      <c r="F98" s="87">
        <v>10.0</v>
      </c>
      <c r="G98" s="87">
        <v>0.0</v>
      </c>
      <c r="H98" s="87">
        <v>6956.0</v>
      </c>
      <c r="I98" s="87">
        <v>0.0</v>
      </c>
      <c r="J98" s="87">
        <v>116.6036</v>
      </c>
      <c r="K98" s="87">
        <v>120.7361</v>
      </c>
      <c r="L98" s="87">
        <v>119.3823</v>
      </c>
      <c r="M98" s="87">
        <v>69.99426</v>
      </c>
      <c r="N98" s="87">
        <v>0.579729</v>
      </c>
      <c r="O98" s="87">
        <v>1.665591</v>
      </c>
      <c r="P98" s="87">
        <v>3.158122</v>
      </c>
      <c r="Q98" s="87">
        <v>4.366858</v>
      </c>
      <c r="R98" s="87">
        <v>9.595428</v>
      </c>
      <c r="S98" s="87">
        <v>10.68225</v>
      </c>
      <c r="T98" s="87">
        <v>1.665591</v>
      </c>
      <c r="U98" s="87">
        <v>3.158122</v>
      </c>
      <c r="V98" s="87">
        <v>4.366858</v>
      </c>
      <c r="W98" s="87">
        <v>9.595428</v>
      </c>
      <c r="X98" s="87">
        <v>10.68225</v>
      </c>
      <c r="Y98" s="87">
        <v>10.97601</v>
      </c>
      <c r="Z98" s="88" t="s">
        <v>1396</v>
      </c>
    </row>
    <row r="99" hidden="1">
      <c r="A99" s="90" t="s">
        <v>1479</v>
      </c>
      <c r="B99" s="90" t="s">
        <v>1545</v>
      </c>
      <c r="C99" s="90" t="s">
        <v>139</v>
      </c>
      <c r="D99" s="90" t="s">
        <v>1543</v>
      </c>
      <c r="E99" s="90" t="s">
        <v>1413</v>
      </c>
      <c r="F99" s="87">
        <v>4.0</v>
      </c>
      <c r="G99" s="87">
        <v>0.0</v>
      </c>
      <c r="H99" s="87">
        <v>1734.0</v>
      </c>
      <c r="I99" s="87">
        <v>0.0</v>
      </c>
      <c r="J99" s="87">
        <v>17.20991</v>
      </c>
      <c r="K99" s="87">
        <v>16.44181</v>
      </c>
      <c r="L99" s="87">
        <v>14.84213</v>
      </c>
      <c r="M99" s="87">
        <v>6.669246</v>
      </c>
      <c r="N99" s="87">
        <v>0.405627</v>
      </c>
      <c r="O99" s="87">
        <v>2.082624</v>
      </c>
      <c r="P99" s="87">
        <v>2.082624</v>
      </c>
      <c r="Q99" s="87">
        <v>2.935308</v>
      </c>
      <c r="R99" s="87">
        <v>4.754632</v>
      </c>
      <c r="S99" s="87">
        <v>4.754632</v>
      </c>
      <c r="T99" s="87">
        <v>2.082624</v>
      </c>
      <c r="U99" s="87">
        <v>2.082624</v>
      </c>
      <c r="V99" s="87">
        <v>2.935308</v>
      </c>
      <c r="W99" s="87">
        <v>4.754632</v>
      </c>
      <c r="X99" s="87">
        <v>4.754632</v>
      </c>
      <c r="Y99" s="87">
        <v>4.110452</v>
      </c>
      <c r="Z99" s="88" t="s">
        <v>1396</v>
      </c>
    </row>
    <row r="100" hidden="1">
      <c r="A100" s="90" t="s">
        <v>1481</v>
      </c>
      <c r="B100" s="90" t="s">
        <v>1546</v>
      </c>
      <c r="C100" s="90" t="s">
        <v>139</v>
      </c>
      <c r="D100" s="90" t="s">
        <v>1543</v>
      </c>
      <c r="E100" s="90" t="s">
        <v>1398</v>
      </c>
      <c r="F100" s="87">
        <v>3.0</v>
      </c>
      <c r="G100" s="87">
        <v>0.0</v>
      </c>
      <c r="H100" s="87">
        <v>1059.0</v>
      </c>
      <c r="I100" s="87">
        <v>0.0</v>
      </c>
      <c r="J100" s="87">
        <v>7.648302</v>
      </c>
      <c r="K100" s="87">
        <v>8.881902</v>
      </c>
      <c r="L100" s="87">
        <v>8.835594</v>
      </c>
      <c r="M100" s="87">
        <v>4.691806</v>
      </c>
      <c r="N100" s="87">
        <v>0.528243</v>
      </c>
      <c r="O100" s="87">
        <v>0.819481</v>
      </c>
      <c r="P100" s="87">
        <v>0.819481</v>
      </c>
      <c r="Q100" s="87">
        <v>0.819481</v>
      </c>
      <c r="R100" s="87">
        <v>3.370616</v>
      </c>
      <c r="S100" s="87">
        <v>4.691806</v>
      </c>
      <c r="T100" s="87">
        <v>0.819481</v>
      </c>
      <c r="U100" s="87">
        <v>0.819481</v>
      </c>
      <c r="V100" s="87">
        <v>0.819481</v>
      </c>
      <c r="W100" s="87">
        <v>3.370616</v>
      </c>
      <c r="X100" s="87">
        <v>4.691806</v>
      </c>
      <c r="Y100" s="87">
        <v>2.960634</v>
      </c>
      <c r="Z100" s="88" t="s">
        <v>1396</v>
      </c>
    </row>
    <row r="101" hidden="1">
      <c r="A101" s="90" t="s">
        <v>1490</v>
      </c>
      <c r="B101" s="90" t="s">
        <v>1547</v>
      </c>
      <c r="C101" s="90" t="s">
        <v>139</v>
      </c>
      <c r="D101" s="90" t="s">
        <v>1543</v>
      </c>
      <c r="E101" s="90" t="s">
        <v>1400</v>
      </c>
      <c r="F101" s="87">
        <v>1.0</v>
      </c>
      <c r="G101" s="87">
        <v>0.0</v>
      </c>
      <c r="H101" s="87">
        <v>507.0</v>
      </c>
      <c r="I101" s="87">
        <v>0.0</v>
      </c>
      <c r="J101" s="87">
        <v>4.930769</v>
      </c>
      <c r="K101" s="87">
        <v>5.00634</v>
      </c>
      <c r="L101" s="87">
        <v>4.514826</v>
      </c>
      <c r="M101" s="87">
        <v>5.00634</v>
      </c>
      <c r="N101" s="87">
        <v>1.0</v>
      </c>
      <c r="O101" s="87">
        <v>5.00634</v>
      </c>
      <c r="P101" s="87">
        <v>5.00634</v>
      </c>
      <c r="Q101" s="87">
        <v>5.00634</v>
      </c>
      <c r="R101" s="87">
        <v>5.00634</v>
      </c>
      <c r="S101" s="87">
        <v>5.00634</v>
      </c>
      <c r="T101" s="87">
        <v>5.00634</v>
      </c>
      <c r="U101" s="87">
        <v>5.00634</v>
      </c>
      <c r="V101" s="87">
        <v>5.00634</v>
      </c>
      <c r="W101" s="87">
        <v>5.00634</v>
      </c>
      <c r="X101" s="87">
        <v>5.00634</v>
      </c>
      <c r="Y101" s="87">
        <v>5.00634</v>
      </c>
      <c r="Z101" s="88" t="s">
        <v>1396</v>
      </c>
    </row>
    <row r="102" hidden="1">
      <c r="A102" s="90" t="s">
        <v>1483</v>
      </c>
      <c r="B102" s="90" t="s">
        <v>1548</v>
      </c>
      <c r="C102" s="90" t="s">
        <v>139</v>
      </c>
      <c r="D102" s="90" t="s">
        <v>1543</v>
      </c>
      <c r="E102" s="89">
        <v>46300.0</v>
      </c>
      <c r="F102" s="87">
        <v>8.0</v>
      </c>
      <c r="G102" s="87">
        <v>0.0</v>
      </c>
      <c r="H102" s="87">
        <v>14067.0</v>
      </c>
      <c r="I102" s="87">
        <v>0.0</v>
      </c>
      <c r="J102" s="87">
        <v>110.2171</v>
      </c>
      <c r="K102" s="87">
        <v>115.1679</v>
      </c>
      <c r="L102" s="87">
        <v>126.7567</v>
      </c>
      <c r="M102" s="87">
        <v>78.41724</v>
      </c>
      <c r="N102" s="87">
        <v>0.680895</v>
      </c>
      <c r="O102" s="87">
        <v>0.0</v>
      </c>
      <c r="P102" s="87">
        <v>2.060963</v>
      </c>
      <c r="Q102" s="87">
        <v>2.978243</v>
      </c>
      <c r="R102" s="87">
        <v>8.008898</v>
      </c>
      <c r="S102" s="87">
        <v>16.12874</v>
      </c>
      <c r="T102" s="87">
        <v>2.060963</v>
      </c>
      <c r="U102" s="87">
        <v>2.978243</v>
      </c>
      <c r="V102" s="87">
        <v>7.573787</v>
      </c>
      <c r="W102" s="87">
        <v>8.008898</v>
      </c>
      <c r="X102" s="87">
        <v>16.12874</v>
      </c>
      <c r="Y102" s="87">
        <v>14.39598</v>
      </c>
      <c r="Z102" s="88" t="s">
        <v>1396</v>
      </c>
    </row>
    <row r="103" hidden="1">
      <c r="A103" s="90" t="s">
        <v>1485</v>
      </c>
      <c r="B103" s="90" t="s">
        <v>1549</v>
      </c>
      <c r="C103" s="90" t="s">
        <v>139</v>
      </c>
      <c r="D103" s="90" t="s">
        <v>1543</v>
      </c>
      <c r="E103" s="90" t="s">
        <v>1403</v>
      </c>
      <c r="F103" s="87">
        <v>4.0</v>
      </c>
      <c r="G103" s="87">
        <v>4.0</v>
      </c>
      <c r="H103" s="87">
        <v>89.0</v>
      </c>
      <c r="I103" s="87">
        <v>89.0</v>
      </c>
      <c r="J103" s="87">
        <v>0.0</v>
      </c>
      <c r="K103" s="87">
        <v>0.0</v>
      </c>
      <c r="L103" s="87">
        <v>0.0</v>
      </c>
      <c r="M103" s="87">
        <v>0.0</v>
      </c>
      <c r="N103" s="91"/>
      <c r="O103" s="87">
        <v>0.0</v>
      </c>
      <c r="P103" s="87">
        <v>0.0</v>
      </c>
      <c r="Q103" s="87">
        <v>0.0</v>
      </c>
      <c r="R103" s="87">
        <v>0.0</v>
      </c>
      <c r="S103" s="87">
        <v>0.0</v>
      </c>
      <c r="T103" s="91"/>
      <c r="U103" s="91"/>
      <c r="V103" s="91"/>
      <c r="W103" s="91"/>
      <c r="X103" s="91"/>
      <c r="Y103" s="87">
        <v>0.0</v>
      </c>
      <c r="Z103" s="88" t="s">
        <v>1396</v>
      </c>
    </row>
    <row r="104" hidden="1">
      <c r="A104" s="90" t="s">
        <v>3292</v>
      </c>
      <c r="B104" s="90" t="s">
        <v>3293</v>
      </c>
      <c r="C104" s="90" t="s">
        <v>3294</v>
      </c>
      <c r="D104" s="90" t="s">
        <v>3295</v>
      </c>
      <c r="E104" s="90" t="s">
        <v>1403</v>
      </c>
      <c r="F104" s="87">
        <v>1.0</v>
      </c>
      <c r="G104" s="87">
        <v>1.0</v>
      </c>
      <c r="H104" s="87">
        <v>228.0</v>
      </c>
      <c r="I104" s="87">
        <v>228.0</v>
      </c>
      <c r="J104" s="87">
        <v>0.0</v>
      </c>
      <c r="K104" s="87">
        <v>0.0</v>
      </c>
      <c r="L104" s="87">
        <v>0.0</v>
      </c>
      <c r="M104" s="87">
        <v>0.0</v>
      </c>
      <c r="N104" s="91"/>
      <c r="O104" s="91"/>
      <c r="P104" s="91"/>
      <c r="Q104" s="91"/>
      <c r="R104" s="91"/>
      <c r="S104" s="91"/>
      <c r="T104" s="91"/>
      <c r="U104" s="91"/>
      <c r="V104" s="91"/>
      <c r="W104" s="91"/>
      <c r="X104" s="91"/>
      <c r="Y104" s="91"/>
      <c r="Z104" s="88" t="s">
        <v>1396</v>
      </c>
    </row>
    <row r="105" hidden="1">
      <c r="A105" s="90" t="s">
        <v>1550</v>
      </c>
      <c r="B105" s="90" t="s">
        <v>1551</v>
      </c>
      <c r="C105" s="90" t="s">
        <v>795</v>
      </c>
      <c r="D105" s="90" t="s">
        <v>1552</v>
      </c>
      <c r="E105" s="90" t="s">
        <v>1426</v>
      </c>
      <c r="F105" s="87">
        <v>2.0</v>
      </c>
      <c r="G105" s="87">
        <v>0.0</v>
      </c>
      <c r="H105" s="87">
        <v>1820.0</v>
      </c>
      <c r="I105" s="87">
        <v>0.0</v>
      </c>
      <c r="J105" s="87">
        <v>16.46073</v>
      </c>
      <c r="K105" s="87">
        <v>46.25604</v>
      </c>
      <c r="L105" s="87">
        <v>31.49689</v>
      </c>
      <c r="M105" s="87">
        <v>30.69524</v>
      </c>
      <c r="N105" s="87">
        <v>0.663594</v>
      </c>
      <c r="O105" s="87">
        <v>0.0</v>
      </c>
      <c r="P105" s="87">
        <v>0.0</v>
      </c>
      <c r="Q105" s="87">
        <v>0.0</v>
      </c>
      <c r="R105" s="87">
        <v>15.5608</v>
      </c>
      <c r="S105" s="87">
        <v>30.69524</v>
      </c>
      <c r="T105" s="87">
        <v>15.5608</v>
      </c>
      <c r="U105" s="87">
        <v>15.5608</v>
      </c>
      <c r="V105" s="87">
        <v>15.5608</v>
      </c>
      <c r="W105" s="87">
        <v>30.69524</v>
      </c>
      <c r="X105" s="87">
        <v>30.69524</v>
      </c>
      <c r="Y105" s="87">
        <v>15.41868</v>
      </c>
      <c r="Z105" s="88" t="s">
        <v>1396</v>
      </c>
    </row>
    <row r="106" hidden="1">
      <c r="A106" s="90" t="s">
        <v>1553</v>
      </c>
      <c r="B106" s="90" t="s">
        <v>1554</v>
      </c>
      <c r="C106" s="90" t="s">
        <v>795</v>
      </c>
      <c r="D106" s="90" t="s">
        <v>1552</v>
      </c>
      <c r="E106" s="89">
        <v>46310.0</v>
      </c>
      <c r="F106" s="87">
        <v>2.0</v>
      </c>
      <c r="G106" s="87">
        <v>0.0</v>
      </c>
      <c r="H106" s="87">
        <v>1303.0</v>
      </c>
      <c r="I106" s="87">
        <v>0.0</v>
      </c>
      <c r="J106" s="87">
        <v>21.23131</v>
      </c>
      <c r="K106" s="87">
        <v>20.33704</v>
      </c>
      <c r="L106" s="87">
        <v>21.56027</v>
      </c>
      <c r="M106" s="87">
        <v>20.33704</v>
      </c>
      <c r="N106" s="87">
        <v>1.0</v>
      </c>
      <c r="O106" s="87">
        <v>0.0</v>
      </c>
      <c r="P106" s="87">
        <v>0.0</v>
      </c>
      <c r="Q106" s="87">
        <v>0.0</v>
      </c>
      <c r="R106" s="87">
        <v>20.33704</v>
      </c>
      <c r="S106" s="87">
        <v>20.33704</v>
      </c>
      <c r="T106" s="87">
        <v>20.33704</v>
      </c>
      <c r="U106" s="87">
        <v>20.33704</v>
      </c>
      <c r="V106" s="87">
        <v>20.33704</v>
      </c>
      <c r="W106" s="87">
        <v>20.33704</v>
      </c>
      <c r="X106" s="87">
        <v>20.33704</v>
      </c>
      <c r="Y106" s="87">
        <v>10.16852</v>
      </c>
      <c r="Z106" s="88" t="s">
        <v>1396</v>
      </c>
    </row>
    <row r="107" hidden="1">
      <c r="A107" s="90" t="s">
        <v>1555</v>
      </c>
      <c r="B107" s="90" t="s">
        <v>1556</v>
      </c>
      <c r="C107" s="90" t="s">
        <v>795</v>
      </c>
      <c r="D107" s="90" t="s">
        <v>1552</v>
      </c>
      <c r="E107" s="90" t="s">
        <v>1413</v>
      </c>
      <c r="F107" s="87">
        <v>1.0</v>
      </c>
      <c r="G107" s="87">
        <v>0.0</v>
      </c>
      <c r="H107" s="87">
        <v>169.0</v>
      </c>
      <c r="I107" s="87">
        <v>0.0</v>
      </c>
      <c r="J107" s="87">
        <v>10.54206</v>
      </c>
      <c r="K107" s="87">
        <v>10.54206</v>
      </c>
      <c r="L107" s="87">
        <v>10.49795</v>
      </c>
      <c r="M107" s="87">
        <v>10.54206</v>
      </c>
      <c r="N107" s="87">
        <v>1.0</v>
      </c>
      <c r="O107" s="87">
        <v>10.54206</v>
      </c>
      <c r="P107" s="87">
        <v>10.54206</v>
      </c>
      <c r="Q107" s="87">
        <v>10.54206</v>
      </c>
      <c r="R107" s="87">
        <v>10.54206</v>
      </c>
      <c r="S107" s="87">
        <v>10.54206</v>
      </c>
      <c r="T107" s="87">
        <v>10.54206</v>
      </c>
      <c r="U107" s="87">
        <v>10.54206</v>
      </c>
      <c r="V107" s="87">
        <v>10.54206</v>
      </c>
      <c r="W107" s="87">
        <v>10.54206</v>
      </c>
      <c r="X107" s="87">
        <v>10.54206</v>
      </c>
      <c r="Y107" s="87">
        <v>10.54206</v>
      </c>
      <c r="Z107" s="88" t="s">
        <v>1396</v>
      </c>
    </row>
    <row r="108" hidden="1">
      <c r="A108" s="90" t="s">
        <v>1567</v>
      </c>
      <c r="B108" s="90" t="s">
        <v>3296</v>
      </c>
      <c r="C108" s="90" t="s">
        <v>795</v>
      </c>
      <c r="D108" s="90" t="s">
        <v>1552</v>
      </c>
      <c r="E108" s="90" t="s">
        <v>1400</v>
      </c>
      <c r="F108" s="87">
        <v>2.0</v>
      </c>
      <c r="G108" s="87">
        <v>1.0</v>
      </c>
      <c r="H108" s="87">
        <v>26.0</v>
      </c>
      <c r="I108" s="87">
        <v>15.0</v>
      </c>
      <c r="J108" s="87">
        <v>0.0</v>
      </c>
      <c r="K108" s="87">
        <v>0.0</v>
      </c>
      <c r="L108" s="87">
        <v>0.0</v>
      </c>
      <c r="M108" s="87">
        <v>0.0</v>
      </c>
      <c r="N108" s="91"/>
      <c r="O108" s="91"/>
      <c r="P108" s="91"/>
      <c r="Q108" s="91"/>
      <c r="R108" s="91"/>
      <c r="S108" s="91"/>
      <c r="T108" s="91"/>
      <c r="U108" s="91"/>
      <c r="V108" s="91"/>
      <c r="W108" s="91"/>
      <c r="X108" s="91"/>
      <c r="Y108" s="91"/>
      <c r="Z108" s="88" t="s">
        <v>1396</v>
      </c>
    </row>
    <row r="109" hidden="1">
      <c r="A109" s="90" t="s">
        <v>1559</v>
      </c>
      <c r="B109" s="90" t="s">
        <v>1560</v>
      </c>
      <c r="C109" s="90" t="s">
        <v>795</v>
      </c>
      <c r="D109" s="90" t="s">
        <v>1552</v>
      </c>
      <c r="E109" s="89">
        <v>46300.0</v>
      </c>
      <c r="F109" s="87">
        <v>6.0</v>
      </c>
      <c r="G109" s="87">
        <v>1.0</v>
      </c>
      <c r="H109" s="87">
        <v>2633.0</v>
      </c>
      <c r="I109" s="87">
        <v>59.0</v>
      </c>
      <c r="J109" s="87">
        <v>28.63178</v>
      </c>
      <c r="K109" s="87">
        <v>32.69387</v>
      </c>
      <c r="L109" s="87">
        <v>35.7165</v>
      </c>
      <c r="M109" s="87">
        <v>18.69032</v>
      </c>
      <c r="N109" s="87">
        <v>0.571676</v>
      </c>
      <c r="O109" s="87">
        <v>0.89561</v>
      </c>
      <c r="P109" s="87">
        <v>1.850075</v>
      </c>
      <c r="Q109" s="87">
        <v>1.850075</v>
      </c>
      <c r="R109" s="87">
        <v>2.270245</v>
      </c>
      <c r="S109" s="87">
        <v>8.987626</v>
      </c>
      <c r="T109" s="87">
        <v>0.89561</v>
      </c>
      <c r="U109" s="87">
        <v>1.850075</v>
      </c>
      <c r="V109" s="87">
        <v>1.850075</v>
      </c>
      <c r="W109" s="87">
        <v>2.270245</v>
      </c>
      <c r="X109" s="87">
        <v>8.987626</v>
      </c>
      <c r="Y109" s="87">
        <v>6.538775</v>
      </c>
      <c r="Z109" s="88" t="s">
        <v>1396</v>
      </c>
    </row>
    <row r="110" hidden="1">
      <c r="A110" s="90" t="s">
        <v>1561</v>
      </c>
      <c r="B110" s="90" t="s">
        <v>1562</v>
      </c>
      <c r="C110" s="90" t="s">
        <v>795</v>
      </c>
      <c r="D110" s="90" t="s">
        <v>1552</v>
      </c>
      <c r="E110" s="90" t="s">
        <v>1403</v>
      </c>
      <c r="F110" s="87">
        <v>0.0</v>
      </c>
      <c r="G110" s="87">
        <v>0.0</v>
      </c>
      <c r="H110" s="87">
        <v>0.0</v>
      </c>
      <c r="I110" s="87">
        <v>0.0</v>
      </c>
      <c r="J110" s="87">
        <v>0.0</v>
      </c>
      <c r="K110" s="87">
        <v>0.0</v>
      </c>
      <c r="L110" s="87">
        <v>0.0</v>
      </c>
      <c r="M110" s="87">
        <v>0.0</v>
      </c>
      <c r="N110" s="91"/>
      <c r="O110" s="87">
        <v>0.0</v>
      </c>
      <c r="P110" s="87">
        <v>0.0</v>
      </c>
      <c r="Q110" s="87">
        <v>0.0</v>
      </c>
      <c r="R110" s="87">
        <v>0.0</v>
      </c>
      <c r="S110" s="87">
        <v>0.0</v>
      </c>
      <c r="T110" s="91"/>
      <c r="U110" s="91"/>
      <c r="V110" s="91"/>
      <c r="W110" s="91"/>
      <c r="X110" s="91"/>
      <c r="Y110" s="87">
        <v>0.0</v>
      </c>
      <c r="Z110" s="88" t="s">
        <v>1396</v>
      </c>
    </row>
    <row r="111" hidden="1">
      <c r="A111" s="90" t="s">
        <v>1550</v>
      </c>
      <c r="B111" s="90" t="s">
        <v>1563</v>
      </c>
      <c r="C111" s="90" t="s">
        <v>795</v>
      </c>
      <c r="D111" s="90" t="s">
        <v>796</v>
      </c>
      <c r="E111" s="90" t="s">
        <v>1426</v>
      </c>
      <c r="F111" s="87">
        <v>4.0</v>
      </c>
      <c r="G111" s="87">
        <v>1.0</v>
      </c>
      <c r="H111" s="87">
        <v>99.0</v>
      </c>
      <c r="I111" s="87">
        <v>2.0</v>
      </c>
      <c r="J111" s="87">
        <v>0.0</v>
      </c>
      <c r="K111" s="87">
        <v>0.066667</v>
      </c>
      <c r="L111" s="87">
        <v>0.022222</v>
      </c>
      <c r="M111" s="87">
        <v>0.066667</v>
      </c>
      <c r="N111" s="87">
        <v>1.0</v>
      </c>
      <c r="O111" s="87">
        <v>0.0</v>
      </c>
      <c r="P111" s="87">
        <v>0.0</v>
      </c>
      <c r="Q111" s="87">
        <v>0.0</v>
      </c>
      <c r="R111" s="87">
        <v>0.0</v>
      </c>
      <c r="S111" s="87">
        <v>0.0</v>
      </c>
      <c r="T111" s="87">
        <v>0.066667</v>
      </c>
      <c r="U111" s="87">
        <v>0.066667</v>
      </c>
      <c r="V111" s="87">
        <v>0.066667</v>
      </c>
      <c r="W111" s="87">
        <v>0.066667</v>
      </c>
      <c r="X111" s="87">
        <v>0.066667</v>
      </c>
      <c r="Y111" s="87">
        <v>0.008333</v>
      </c>
      <c r="Z111" s="88" t="s">
        <v>1396</v>
      </c>
    </row>
    <row r="112" hidden="1">
      <c r="A112" s="90" t="s">
        <v>1553</v>
      </c>
      <c r="B112" s="90" t="s">
        <v>1564</v>
      </c>
      <c r="C112" s="90" t="s">
        <v>795</v>
      </c>
      <c r="D112" s="90" t="s">
        <v>796</v>
      </c>
      <c r="E112" s="86">
        <v>46310.0</v>
      </c>
      <c r="F112" s="87">
        <v>16.0</v>
      </c>
      <c r="G112" s="87">
        <v>0.0</v>
      </c>
      <c r="H112" s="87">
        <v>2487.0</v>
      </c>
      <c r="I112" s="87">
        <v>0.0</v>
      </c>
      <c r="J112" s="87">
        <v>12.57451</v>
      </c>
      <c r="K112" s="87">
        <v>12.38753</v>
      </c>
      <c r="L112" s="87">
        <v>11.99378</v>
      </c>
      <c r="M112" s="87">
        <v>6.077382</v>
      </c>
      <c r="N112" s="87">
        <v>0.490605</v>
      </c>
      <c r="O112" s="87">
        <v>0.0</v>
      </c>
      <c r="P112" s="87">
        <v>0.0</v>
      </c>
      <c r="Q112" s="87">
        <v>0.449078</v>
      </c>
      <c r="R112" s="87">
        <v>5.861074</v>
      </c>
      <c r="S112" s="87">
        <v>5.861074</v>
      </c>
      <c r="T112" s="87">
        <v>0.449078</v>
      </c>
      <c r="U112" s="87">
        <v>0.449078</v>
      </c>
      <c r="V112" s="87">
        <v>0.449078</v>
      </c>
      <c r="W112" s="87">
        <v>5.861074</v>
      </c>
      <c r="X112" s="87">
        <v>6.077382</v>
      </c>
      <c r="Y112" s="87">
        <v>3.096883</v>
      </c>
      <c r="Z112" s="88" t="s">
        <v>1396</v>
      </c>
    </row>
    <row r="113" hidden="1">
      <c r="A113" s="90" t="s">
        <v>1555</v>
      </c>
      <c r="B113" s="90" t="s">
        <v>1565</v>
      </c>
      <c r="C113" s="90" t="s">
        <v>795</v>
      </c>
      <c r="D113" s="90" t="s">
        <v>796</v>
      </c>
      <c r="E113" s="90" t="s">
        <v>1413</v>
      </c>
      <c r="F113" s="87">
        <v>15.0</v>
      </c>
      <c r="G113" s="87">
        <v>0.0</v>
      </c>
      <c r="H113" s="87">
        <v>4630.0</v>
      </c>
      <c r="I113" s="87">
        <v>0.0</v>
      </c>
      <c r="J113" s="87">
        <v>37.44637</v>
      </c>
      <c r="K113" s="87">
        <v>43.67535</v>
      </c>
      <c r="L113" s="87">
        <v>43.7958</v>
      </c>
      <c r="M113" s="87">
        <v>32.29561</v>
      </c>
      <c r="N113" s="87">
        <v>0.739447</v>
      </c>
      <c r="O113" s="87">
        <v>0.600148</v>
      </c>
      <c r="P113" s="87">
        <v>1.026984</v>
      </c>
      <c r="Q113" s="87">
        <v>1.026984</v>
      </c>
      <c r="R113" s="87">
        <v>5.283546</v>
      </c>
      <c r="S113" s="87">
        <v>6.555575</v>
      </c>
      <c r="T113" s="87">
        <v>0.600148</v>
      </c>
      <c r="U113" s="87">
        <v>1.026984</v>
      </c>
      <c r="V113" s="87">
        <v>1.026984</v>
      </c>
      <c r="W113" s="87">
        <v>5.283546</v>
      </c>
      <c r="X113" s="87">
        <v>6.555575</v>
      </c>
      <c r="Y113" s="87">
        <v>7.279226</v>
      </c>
      <c r="Z113" s="88" t="s">
        <v>1396</v>
      </c>
    </row>
    <row r="114" hidden="1">
      <c r="A114" s="90" t="s">
        <v>1557</v>
      </c>
      <c r="B114" s="90" t="s">
        <v>1566</v>
      </c>
      <c r="C114" s="90" t="s">
        <v>795</v>
      </c>
      <c r="D114" s="90" t="s">
        <v>796</v>
      </c>
      <c r="E114" s="90" t="s">
        <v>1398</v>
      </c>
      <c r="F114" s="87">
        <v>4.0</v>
      </c>
      <c r="G114" s="87">
        <v>0.0</v>
      </c>
      <c r="H114" s="87">
        <v>425.0</v>
      </c>
      <c r="I114" s="87">
        <v>0.0</v>
      </c>
      <c r="J114" s="87">
        <v>0.0</v>
      </c>
      <c r="K114" s="87">
        <v>0.0</v>
      </c>
      <c r="L114" s="87">
        <v>0.0</v>
      </c>
      <c r="M114" s="87">
        <v>0.0</v>
      </c>
      <c r="N114" s="91"/>
      <c r="O114" s="91"/>
      <c r="P114" s="91"/>
      <c r="Q114" s="91"/>
      <c r="R114" s="91"/>
      <c r="S114" s="91"/>
      <c r="T114" s="91"/>
      <c r="U114" s="91"/>
      <c r="V114" s="91"/>
      <c r="W114" s="91"/>
      <c r="X114" s="91"/>
      <c r="Y114" s="91"/>
      <c r="Z114" s="88" t="s">
        <v>1396</v>
      </c>
    </row>
    <row r="115" hidden="1">
      <c r="A115" s="90" t="s">
        <v>1567</v>
      </c>
      <c r="B115" s="90" t="s">
        <v>1568</v>
      </c>
      <c r="C115" s="90" t="s">
        <v>795</v>
      </c>
      <c r="D115" s="90" t="s">
        <v>796</v>
      </c>
      <c r="E115" s="90" t="s">
        <v>1400</v>
      </c>
      <c r="F115" s="87">
        <v>5.0</v>
      </c>
      <c r="G115" s="87">
        <v>1.0</v>
      </c>
      <c r="H115" s="87">
        <v>373.0</v>
      </c>
      <c r="I115" s="87">
        <v>8.0</v>
      </c>
      <c r="J115" s="87">
        <v>0.857143</v>
      </c>
      <c r="K115" s="87">
        <v>1.245869</v>
      </c>
      <c r="L115" s="87">
        <v>1.208521</v>
      </c>
      <c r="M115" s="87">
        <v>1.245869</v>
      </c>
      <c r="N115" s="87">
        <v>1.0</v>
      </c>
      <c r="O115" s="87">
        <v>1.245869</v>
      </c>
      <c r="P115" s="87">
        <v>1.245869</v>
      </c>
      <c r="Q115" s="87">
        <v>1.245869</v>
      </c>
      <c r="R115" s="87">
        <v>1.245869</v>
      </c>
      <c r="S115" s="87">
        <v>1.245869</v>
      </c>
      <c r="T115" s="87">
        <v>1.245869</v>
      </c>
      <c r="U115" s="87">
        <v>1.245869</v>
      </c>
      <c r="V115" s="87">
        <v>1.245869</v>
      </c>
      <c r="W115" s="87">
        <v>1.245869</v>
      </c>
      <c r="X115" s="87">
        <v>1.245869</v>
      </c>
      <c r="Y115" s="87">
        <v>1.245869</v>
      </c>
      <c r="Z115" s="88" t="s">
        <v>1396</v>
      </c>
    </row>
    <row r="116" hidden="1">
      <c r="A116" s="90" t="s">
        <v>1559</v>
      </c>
      <c r="B116" s="90" t="s">
        <v>1569</v>
      </c>
      <c r="C116" s="90" t="s">
        <v>795</v>
      </c>
      <c r="D116" s="90" t="s">
        <v>796</v>
      </c>
      <c r="E116" s="89">
        <v>46300.0</v>
      </c>
      <c r="F116" s="87">
        <v>11.0</v>
      </c>
      <c r="G116" s="87">
        <v>1.0</v>
      </c>
      <c r="H116" s="87">
        <v>4036.0</v>
      </c>
      <c r="I116" s="87">
        <v>6.0</v>
      </c>
      <c r="J116" s="87">
        <v>177.3307</v>
      </c>
      <c r="K116" s="87">
        <v>190.0278</v>
      </c>
      <c r="L116" s="87">
        <v>200.204</v>
      </c>
      <c r="M116" s="87">
        <v>147.6828</v>
      </c>
      <c r="N116" s="87">
        <v>0.777164</v>
      </c>
      <c r="O116" s="87">
        <v>0.0</v>
      </c>
      <c r="P116" s="87">
        <v>0.0</v>
      </c>
      <c r="Q116" s="87">
        <v>0.0</v>
      </c>
      <c r="R116" s="87">
        <v>2.398983</v>
      </c>
      <c r="S116" s="87">
        <v>23.76869</v>
      </c>
      <c r="T116" s="87">
        <v>2.398983</v>
      </c>
      <c r="U116" s="87">
        <v>16.1774</v>
      </c>
      <c r="V116" s="87">
        <v>16.1774</v>
      </c>
      <c r="W116" s="87">
        <v>23.76869</v>
      </c>
      <c r="X116" s="87">
        <v>30.00465</v>
      </c>
      <c r="Y116" s="87">
        <v>21.1142</v>
      </c>
      <c r="Z116" s="88" t="s">
        <v>1396</v>
      </c>
    </row>
    <row r="117" hidden="1">
      <c r="A117" s="90" t="s">
        <v>1561</v>
      </c>
      <c r="B117" s="90" t="s">
        <v>1570</v>
      </c>
      <c r="C117" s="90" t="s">
        <v>795</v>
      </c>
      <c r="D117" s="90" t="s">
        <v>796</v>
      </c>
      <c r="E117" s="90" t="s">
        <v>1403</v>
      </c>
      <c r="F117" s="87">
        <v>8.0</v>
      </c>
      <c r="G117" s="87">
        <v>8.0</v>
      </c>
      <c r="H117" s="87">
        <v>267.0</v>
      </c>
      <c r="I117" s="87">
        <v>267.0</v>
      </c>
      <c r="J117" s="87">
        <v>0.0</v>
      </c>
      <c r="K117" s="87">
        <v>0.0</v>
      </c>
      <c r="L117" s="87">
        <v>0.0</v>
      </c>
      <c r="M117" s="87">
        <v>0.0</v>
      </c>
      <c r="N117" s="91"/>
      <c r="O117" s="87">
        <v>0.0</v>
      </c>
      <c r="P117" s="87">
        <v>0.0</v>
      </c>
      <c r="Q117" s="87">
        <v>0.0</v>
      </c>
      <c r="R117" s="87">
        <v>0.0</v>
      </c>
      <c r="S117" s="87">
        <v>0.0</v>
      </c>
      <c r="T117" s="91"/>
      <c r="U117" s="91"/>
      <c r="V117" s="91"/>
      <c r="W117" s="91"/>
      <c r="X117" s="91"/>
      <c r="Y117" s="87">
        <v>0.0</v>
      </c>
      <c r="Z117" s="88" t="s">
        <v>1396</v>
      </c>
    </row>
    <row r="118" hidden="1">
      <c r="A118" s="90" t="s">
        <v>1561</v>
      </c>
      <c r="B118" s="90" t="s">
        <v>1571</v>
      </c>
      <c r="C118" s="90" t="s">
        <v>795</v>
      </c>
      <c r="D118" s="90" t="s">
        <v>1572</v>
      </c>
      <c r="E118" s="90" t="s">
        <v>1403</v>
      </c>
      <c r="F118" s="87">
        <v>0.0</v>
      </c>
      <c r="G118" s="87">
        <v>0.0</v>
      </c>
      <c r="H118" s="87">
        <v>0.0</v>
      </c>
      <c r="I118" s="87">
        <v>0.0</v>
      </c>
      <c r="J118" s="87">
        <v>0.0</v>
      </c>
      <c r="K118" s="87">
        <v>0.0</v>
      </c>
      <c r="L118" s="87">
        <v>0.0</v>
      </c>
      <c r="M118" s="87">
        <v>0.0</v>
      </c>
      <c r="N118" s="91"/>
      <c r="O118" s="87">
        <v>0.0</v>
      </c>
      <c r="P118" s="87">
        <v>0.0</v>
      </c>
      <c r="Q118" s="87">
        <v>0.0</v>
      </c>
      <c r="R118" s="87">
        <v>0.0</v>
      </c>
      <c r="S118" s="87">
        <v>0.0</v>
      </c>
      <c r="T118" s="91"/>
      <c r="U118" s="91"/>
      <c r="V118" s="91"/>
      <c r="W118" s="91"/>
      <c r="X118" s="91"/>
      <c r="Y118" s="87">
        <v>0.0</v>
      </c>
      <c r="Z118" s="88" t="s">
        <v>1396</v>
      </c>
    </row>
    <row r="119" hidden="1">
      <c r="A119" s="90" t="s">
        <v>1550</v>
      </c>
      <c r="B119" s="90" t="s">
        <v>1573</v>
      </c>
      <c r="C119" s="90" t="s">
        <v>795</v>
      </c>
      <c r="D119" s="90" t="s">
        <v>805</v>
      </c>
      <c r="E119" s="90" t="s">
        <v>1426</v>
      </c>
      <c r="F119" s="87">
        <v>5.0</v>
      </c>
      <c r="G119" s="87">
        <v>0.0</v>
      </c>
      <c r="H119" s="87">
        <v>7422.0</v>
      </c>
      <c r="I119" s="87">
        <v>0.0</v>
      </c>
      <c r="J119" s="87">
        <v>6.568681</v>
      </c>
      <c r="K119" s="87">
        <v>7.035135</v>
      </c>
      <c r="L119" s="87">
        <v>11.03346</v>
      </c>
      <c r="M119" s="87">
        <v>3.058754</v>
      </c>
      <c r="N119" s="87">
        <v>0.434783</v>
      </c>
      <c r="O119" s="87">
        <v>0.0</v>
      </c>
      <c r="P119" s="87">
        <v>0.0</v>
      </c>
      <c r="Q119" s="87">
        <v>1.674713</v>
      </c>
      <c r="R119" s="87">
        <v>2.301669</v>
      </c>
      <c r="S119" s="87">
        <v>2.301669</v>
      </c>
      <c r="T119" s="87">
        <v>1.674713</v>
      </c>
      <c r="U119" s="87">
        <v>1.674713</v>
      </c>
      <c r="V119" s="87">
        <v>1.674713</v>
      </c>
      <c r="W119" s="87">
        <v>2.301669</v>
      </c>
      <c r="X119" s="87">
        <v>3.058754</v>
      </c>
      <c r="Y119" s="87">
        <v>1.758784</v>
      </c>
      <c r="Z119" s="88" t="s">
        <v>1396</v>
      </c>
    </row>
    <row r="120" hidden="1">
      <c r="A120" s="90" t="s">
        <v>1553</v>
      </c>
      <c r="B120" s="90" t="s">
        <v>3297</v>
      </c>
      <c r="C120" s="90" t="s">
        <v>795</v>
      </c>
      <c r="D120" s="90" t="s">
        <v>805</v>
      </c>
      <c r="E120" s="86">
        <v>46310.0</v>
      </c>
      <c r="F120" s="87">
        <v>1.0</v>
      </c>
      <c r="G120" s="87">
        <v>0.0</v>
      </c>
      <c r="H120" s="87">
        <v>2.0</v>
      </c>
      <c r="I120" s="87">
        <v>0.0</v>
      </c>
      <c r="J120" s="87">
        <v>0.0</v>
      </c>
      <c r="K120" s="87">
        <v>0.0</v>
      </c>
      <c r="L120" s="87">
        <v>0.0</v>
      </c>
      <c r="M120" s="87">
        <v>0.0</v>
      </c>
      <c r="N120" s="91"/>
      <c r="O120" s="91"/>
      <c r="P120" s="91"/>
      <c r="Q120" s="91"/>
      <c r="R120" s="91"/>
      <c r="S120" s="91"/>
      <c r="T120" s="91"/>
      <c r="U120" s="91"/>
      <c r="V120" s="91"/>
      <c r="W120" s="91"/>
      <c r="X120" s="91"/>
      <c r="Y120" s="91"/>
      <c r="Z120" s="88" t="s">
        <v>1396</v>
      </c>
    </row>
    <row r="121" hidden="1">
      <c r="A121" s="90" t="s">
        <v>1557</v>
      </c>
      <c r="B121" s="90" t="s">
        <v>3298</v>
      </c>
      <c r="C121" s="90" t="s">
        <v>795</v>
      </c>
      <c r="D121" s="90" t="s">
        <v>805</v>
      </c>
      <c r="E121" s="90" t="s">
        <v>1398</v>
      </c>
      <c r="F121" s="87">
        <v>1.0</v>
      </c>
      <c r="G121" s="87">
        <v>1.0</v>
      </c>
      <c r="H121" s="87">
        <v>4.0</v>
      </c>
      <c r="I121" s="87">
        <v>4.0</v>
      </c>
      <c r="J121" s="87">
        <v>0.0</v>
      </c>
      <c r="K121" s="87">
        <v>0.0</v>
      </c>
      <c r="L121" s="87">
        <v>0.0</v>
      </c>
      <c r="M121" s="87">
        <v>0.0</v>
      </c>
      <c r="N121" s="91"/>
      <c r="O121" s="91"/>
      <c r="P121" s="91"/>
      <c r="Q121" s="91"/>
      <c r="R121" s="91"/>
      <c r="S121" s="91"/>
      <c r="T121" s="91"/>
      <c r="U121" s="91"/>
      <c r="V121" s="91"/>
      <c r="W121" s="91"/>
      <c r="X121" s="91"/>
      <c r="Y121" s="91"/>
      <c r="Z121" s="88" t="s">
        <v>1396</v>
      </c>
    </row>
    <row r="122" hidden="1">
      <c r="A122" s="90" t="s">
        <v>1567</v>
      </c>
      <c r="B122" s="90" t="s">
        <v>3299</v>
      </c>
      <c r="C122" s="90" t="s">
        <v>795</v>
      </c>
      <c r="D122" s="90" t="s">
        <v>805</v>
      </c>
      <c r="E122" s="90" t="s">
        <v>1400</v>
      </c>
      <c r="F122" s="87">
        <v>1.0</v>
      </c>
      <c r="G122" s="87">
        <v>0.0</v>
      </c>
      <c r="H122" s="87">
        <v>1.0</v>
      </c>
      <c r="I122" s="87">
        <v>0.0</v>
      </c>
      <c r="J122" s="87">
        <v>0.0</v>
      </c>
      <c r="K122" s="87">
        <v>0.0</v>
      </c>
      <c r="L122" s="87">
        <v>0.0</v>
      </c>
      <c r="M122" s="87">
        <v>0.0</v>
      </c>
      <c r="N122" s="91"/>
      <c r="O122" s="91"/>
      <c r="P122" s="91"/>
      <c r="Q122" s="91"/>
      <c r="R122" s="91"/>
      <c r="S122" s="91"/>
      <c r="T122" s="91"/>
      <c r="U122" s="91"/>
      <c r="V122" s="91"/>
      <c r="W122" s="91"/>
      <c r="X122" s="91"/>
      <c r="Y122" s="91"/>
      <c r="Z122" s="88" t="s">
        <v>1396</v>
      </c>
    </row>
    <row r="123" hidden="1">
      <c r="A123" s="90" t="s">
        <v>1559</v>
      </c>
      <c r="B123" s="90" t="s">
        <v>1574</v>
      </c>
      <c r="C123" s="90" t="s">
        <v>795</v>
      </c>
      <c r="D123" s="90" t="s">
        <v>805</v>
      </c>
      <c r="E123" s="89">
        <v>46300.0</v>
      </c>
      <c r="F123" s="87">
        <v>1.0</v>
      </c>
      <c r="G123" s="87">
        <v>0.0</v>
      </c>
      <c r="H123" s="87">
        <v>41.0</v>
      </c>
      <c r="I123" s="87">
        <v>0.0</v>
      </c>
      <c r="J123" s="87">
        <v>0.0</v>
      </c>
      <c r="K123" s="87">
        <v>0.0</v>
      </c>
      <c r="L123" s="87">
        <v>0.0</v>
      </c>
      <c r="M123" s="87">
        <v>0.0</v>
      </c>
      <c r="N123" s="91"/>
      <c r="O123" s="91"/>
      <c r="P123" s="91"/>
      <c r="Q123" s="91"/>
      <c r="R123" s="91"/>
      <c r="S123" s="91"/>
      <c r="T123" s="91"/>
      <c r="U123" s="91"/>
      <c r="V123" s="91"/>
      <c r="W123" s="91"/>
      <c r="X123" s="91"/>
      <c r="Y123" s="91"/>
      <c r="Z123" s="88" t="s">
        <v>1396</v>
      </c>
    </row>
    <row r="124" hidden="1">
      <c r="A124" s="90" t="s">
        <v>1561</v>
      </c>
      <c r="B124" s="90" t="s">
        <v>1575</v>
      </c>
      <c r="C124" s="90" t="s">
        <v>795</v>
      </c>
      <c r="D124" s="90" t="s">
        <v>805</v>
      </c>
      <c r="E124" s="90" t="s">
        <v>1403</v>
      </c>
      <c r="F124" s="87">
        <v>0.0</v>
      </c>
      <c r="G124" s="87">
        <v>0.0</v>
      </c>
      <c r="H124" s="87">
        <v>0.0</v>
      </c>
      <c r="I124" s="87">
        <v>0.0</v>
      </c>
      <c r="J124" s="87">
        <v>0.0</v>
      </c>
      <c r="K124" s="87">
        <v>0.0</v>
      </c>
      <c r="L124" s="87">
        <v>0.0</v>
      </c>
      <c r="M124" s="87">
        <v>0.0</v>
      </c>
      <c r="N124" s="91"/>
      <c r="O124" s="87">
        <v>0.0</v>
      </c>
      <c r="P124" s="87">
        <v>0.0</v>
      </c>
      <c r="Q124" s="87">
        <v>0.0</v>
      </c>
      <c r="R124" s="87">
        <v>0.0</v>
      </c>
      <c r="S124" s="87">
        <v>0.0</v>
      </c>
      <c r="T124" s="91"/>
      <c r="U124" s="91"/>
      <c r="V124" s="91"/>
      <c r="W124" s="91"/>
      <c r="X124" s="91"/>
      <c r="Y124" s="87">
        <v>0.0</v>
      </c>
      <c r="Z124" s="88" t="s">
        <v>1396</v>
      </c>
    </row>
    <row r="125" hidden="1">
      <c r="A125" s="90" t="s">
        <v>1550</v>
      </c>
      <c r="B125" s="90" t="s">
        <v>1576</v>
      </c>
      <c r="C125" s="90" t="s">
        <v>795</v>
      </c>
      <c r="D125" s="90" t="s">
        <v>1577</v>
      </c>
      <c r="E125" s="90" t="s">
        <v>1426</v>
      </c>
      <c r="F125" s="87">
        <v>16.0</v>
      </c>
      <c r="G125" s="87">
        <v>0.0</v>
      </c>
      <c r="H125" s="87">
        <v>14040.0</v>
      </c>
      <c r="I125" s="87">
        <v>0.0</v>
      </c>
      <c r="J125" s="87">
        <v>87.95095</v>
      </c>
      <c r="K125" s="87">
        <v>93.70926</v>
      </c>
      <c r="L125" s="87">
        <v>95.94413</v>
      </c>
      <c r="M125" s="87">
        <v>47.78473</v>
      </c>
      <c r="N125" s="87">
        <v>0.509925</v>
      </c>
      <c r="O125" s="87">
        <v>0.1</v>
      </c>
      <c r="P125" s="87">
        <v>1.425067</v>
      </c>
      <c r="Q125" s="87">
        <v>1.77951</v>
      </c>
      <c r="R125" s="87">
        <v>3.197622</v>
      </c>
      <c r="S125" s="87">
        <v>9.234272</v>
      </c>
      <c r="T125" s="87">
        <v>1.240724</v>
      </c>
      <c r="U125" s="87">
        <v>1.425067</v>
      </c>
      <c r="V125" s="87">
        <v>2.280624</v>
      </c>
      <c r="W125" s="87">
        <v>5.719212</v>
      </c>
      <c r="X125" s="87">
        <v>9.234272</v>
      </c>
      <c r="Y125" s="87">
        <v>6.247284</v>
      </c>
      <c r="Z125" s="88" t="s">
        <v>1396</v>
      </c>
    </row>
    <row r="126" hidden="1">
      <c r="A126" s="90" t="s">
        <v>1553</v>
      </c>
      <c r="B126" s="90" t="s">
        <v>1578</v>
      </c>
      <c r="C126" s="90" t="s">
        <v>795</v>
      </c>
      <c r="D126" s="90" t="s">
        <v>1577</v>
      </c>
      <c r="E126" s="86">
        <v>46310.0</v>
      </c>
      <c r="F126" s="87">
        <v>15.0</v>
      </c>
      <c r="G126" s="87">
        <v>3.0</v>
      </c>
      <c r="H126" s="87">
        <v>9039.0</v>
      </c>
      <c r="I126" s="87">
        <v>19.0</v>
      </c>
      <c r="J126" s="87">
        <v>78.53797</v>
      </c>
      <c r="K126" s="87">
        <v>83.04975</v>
      </c>
      <c r="L126" s="87">
        <v>83.73082</v>
      </c>
      <c r="M126" s="87">
        <v>42.79452</v>
      </c>
      <c r="N126" s="87">
        <v>0.515288</v>
      </c>
      <c r="O126" s="87">
        <v>0.133333</v>
      </c>
      <c r="P126" s="87">
        <v>0.432258</v>
      </c>
      <c r="Q126" s="87">
        <v>2.471078</v>
      </c>
      <c r="R126" s="87">
        <v>7.66069</v>
      </c>
      <c r="S126" s="87">
        <v>14.09977</v>
      </c>
      <c r="T126" s="87">
        <v>0.133333</v>
      </c>
      <c r="U126" s="87">
        <v>0.432258</v>
      </c>
      <c r="V126" s="87">
        <v>2.471078</v>
      </c>
      <c r="W126" s="87">
        <v>7.66069</v>
      </c>
      <c r="X126" s="87">
        <v>14.09977</v>
      </c>
      <c r="Y126" s="87">
        <v>8.304975</v>
      </c>
      <c r="Z126" s="88" t="s">
        <v>1396</v>
      </c>
    </row>
    <row r="127" hidden="1">
      <c r="A127" s="90" t="s">
        <v>1555</v>
      </c>
      <c r="B127" s="90" t="s">
        <v>1579</v>
      </c>
      <c r="C127" s="90" t="s">
        <v>795</v>
      </c>
      <c r="D127" s="90" t="s">
        <v>1577</v>
      </c>
      <c r="E127" s="90" t="s">
        <v>1413</v>
      </c>
      <c r="F127" s="87">
        <v>6.0</v>
      </c>
      <c r="G127" s="87">
        <v>1.0</v>
      </c>
      <c r="H127" s="87">
        <v>1099.0</v>
      </c>
      <c r="I127" s="87">
        <v>1.0</v>
      </c>
      <c r="J127" s="87">
        <v>17.13694</v>
      </c>
      <c r="K127" s="87">
        <v>12.38952</v>
      </c>
      <c r="L127" s="87">
        <v>10.43524</v>
      </c>
      <c r="M127" s="87">
        <v>12.12286</v>
      </c>
      <c r="N127" s="87">
        <v>0.978476</v>
      </c>
      <c r="O127" s="87">
        <v>0.266667</v>
      </c>
      <c r="P127" s="87">
        <v>0.266667</v>
      </c>
      <c r="Q127" s="87">
        <v>0.266667</v>
      </c>
      <c r="R127" s="87">
        <v>12.12286</v>
      </c>
      <c r="S127" s="87">
        <v>12.12286</v>
      </c>
      <c r="T127" s="87">
        <v>0.266667</v>
      </c>
      <c r="U127" s="87">
        <v>0.266667</v>
      </c>
      <c r="V127" s="87">
        <v>0.266667</v>
      </c>
      <c r="W127" s="87">
        <v>12.12286</v>
      </c>
      <c r="X127" s="87">
        <v>12.12286</v>
      </c>
      <c r="Y127" s="87">
        <v>6.194761</v>
      </c>
      <c r="Z127" s="88" t="s">
        <v>1396</v>
      </c>
    </row>
    <row r="128" hidden="1">
      <c r="A128" s="90" t="s">
        <v>1557</v>
      </c>
      <c r="B128" s="90" t="s">
        <v>1580</v>
      </c>
      <c r="C128" s="90" t="s">
        <v>795</v>
      </c>
      <c r="D128" s="90" t="s">
        <v>1577</v>
      </c>
      <c r="E128" s="90" t="s">
        <v>1398</v>
      </c>
      <c r="F128" s="87">
        <v>3.0</v>
      </c>
      <c r="G128" s="87">
        <v>0.0</v>
      </c>
      <c r="H128" s="87">
        <v>2199.0</v>
      </c>
      <c r="I128" s="87">
        <v>0.0</v>
      </c>
      <c r="J128" s="87">
        <v>8.892857</v>
      </c>
      <c r="K128" s="87">
        <v>10.22865</v>
      </c>
      <c r="L128" s="87">
        <v>12.68129</v>
      </c>
      <c r="M128" s="87">
        <v>6.8526</v>
      </c>
      <c r="N128" s="87">
        <v>0.669942</v>
      </c>
      <c r="O128" s="87">
        <v>0.623924</v>
      </c>
      <c r="P128" s="87">
        <v>0.623924</v>
      </c>
      <c r="Q128" s="87">
        <v>0.623924</v>
      </c>
      <c r="R128" s="87">
        <v>2.752121</v>
      </c>
      <c r="S128" s="87">
        <v>6.8526</v>
      </c>
      <c r="T128" s="87">
        <v>0.623924</v>
      </c>
      <c r="U128" s="87">
        <v>0.623924</v>
      </c>
      <c r="V128" s="87">
        <v>0.623924</v>
      </c>
      <c r="W128" s="87">
        <v>2.752121</v>
      </c>
      <c r="X128" s="87">
        <v>6.8526</v>
      </c>
      <c r="Y128" s="87">
        <v>3.409549</v>
      </c>
      <c r="Z128" s="88" t="s">
        <v>1396</v>
      </c>
    </row>
    <row r="129" hidden="1">
      <c r="A129" s="90" t="s">
        <v>1567</v>
      </c>
      <c r="B129" s="90" t="s">
        <v>1581</v>
      </c>
      <c r="C129" s="90" t="s">
        <v>795</v>
      </c>
      <c r="D129" s="90" t="s">
        <v>1577</v>
      </c>
      <c r="E129" s="90" t="s">
        <v>1400</v>
      </c>
      <c r="F129" s="87">
        <v>12.0</v>
      </c>
      <c r="G129" s="87">
        <v>0.0</v>
      </c>
      <c r="H129" s="87">
        <v>6546.0</v>
      </c>
      <c r="I129" s="87">
        <v>0.0</v>
      </c>
      <c r="J129" s="87">
        <v>32.89501</v>
      </c>
      <c r="K129" s="87">
        <v>39.30225</v>
      </c>
      <c r="L129" s="87">
        <v>37.23197</v>
      </c>
      <c r="M129" s="87">
        <v>27.35034</v>
      </c>
      <c r="N129" s="87">
        <v>0.695898</v>
      </c>
      <c r="O129" s="87">
        <v>0.476874</v>
      </c>
      <c r="P129" s="87">
        <v>0.714454</v>
      </c>
      <c r="Q129" s="87">
        <v>0.896774</v>
      </c>
      <c r="R129" s="87">
        <v>1.729032</v>
      </c>
      <c r="S129" s="87">
        <v>3.683159</v>
      </c>
      <c r="T129" s="87">
        <v>0.476874</v>
      </c>
      <c r="U129" s="87">
        <v>0.714454</v>
      </c>
      <c r="V129" s="87">
        <v>0.896774</v>
      </c>
      <c r="W129" s="87">
        <v>1.729032</v>
      </c>
      <c r="X129" s="87">
        <v>3.683159</v>
      </c>
      <c r="Y129" s="87">
        <v>4.366916</v>
      </c>
      <c r="Z129" s="88" t="s">
        <v>1396</v>
      </c>
    </row>
    <row r="130" hidden="1">
      <c r="A130" s="90" t="s">
        <v>1559</v>
      </c>
      <c r="B130" s="90" t="s">
        <v>1582</v>
      </c>
      <c r="C130" s="90" t="s">
        <v>795</v>
      </c>
      <c r="D130" s="90" t="s">
        <v>1577</v>
      </c>
      <c r="E130" s="89">
        <v>46300.0</v>
      </c>
      <c r="F130" s="87">
        <v>31.0</v>
      </c>
      <c r="G130" s="87">
        <v>1.0</v>
      </c>
      <c r="H130" s="87">
        <v>22199.0</v>
      </c>
      <c r="I130" s="87">
        <v>134.0</v>
      </c>
      <c r="J130" s="87">
        <v>225.5941</v>
      </c>
      <c r="K130" s="87">
        <v>223.6754</v>
      </c>
      <c r="L130" s="87">
        <v>229.4513</v>
      </c>
      <c r="M130" s="87">
        <v>164.0179</v>
      </c>
      <c r="N130" s="87">
        <v>0.733285</v>
      </c>
      <c r="O130" s="87">
        <v>0.365591</v>
      </c>
      <c r="P130" s="87">
        <v>1.559514</v>
      </c>
      <c r="Q130" s="87">
        <v>1.791398</v>
      </c>
      <c r="R130" s="87">
        <v>2.562366</v>
      </c>
      <c r="S130" s="87">
        <v>6.096011</v>
      </c>
      <c r="T130" s="87">
        <v>0.97207</v>
      </c>
      <c r="U130" s="87">
        <v>1.770848</v>
      </c>
      <c r="V130" s="87">
        <v>1.997079</v>
      </c>
      <c r="W130" s="87">
        <v>2.675087</v>
      </c>
      <c r="X130" s="87">
        <v>8.457981</v>
      </c>
      <c r="Y130" s="87">
        <v>8.947016</v>
      </c>
      <c r="Z130" s="88" t="s">
        <v>1396</v>
      </c>
    </row>
    <row r="131" hidden="1">
      <c r="A131" s="90" t="s">
        <v>1561</v>
      </c>
      <c r="B131" s="90" t="s">
        <v>1583</v>
      </c>
      <c r="C131" s="90" t="s">
        <v>795</v>
      </c>
      <c r="D131" s="90" t="s">
        <v>1577</v>
      </c>
      <c r="E131" s="90" t="s">
        <v>1403</v>
      </c>
      <c r="F131" s="87">
        <v>2.0</v>
      </c>
      <c r="G131" s="87">
        <v>2.0</v>
      </c>
      <c r="H131" s="87">
        <v>8.0</v>
      </c>
      <c r="I131" s="87">
        <v>8.0</v>
      </c>
      <c r="J131" s="87">
        <v>0.0</v>
      </c>
      <c r="K131" s="87">
        <v>0.0</v>
      </c>
      <c r="L131" s="87">
        <v>0.0</v>
      </c>
      <c r="M131" s="87">
        <v>0.0</v>
      </c>
      <c r="N131" s="91"/>
      <c r="O131" s="87">
        <v>0.0</v>
      </c>
      <c r="P131" s="87">
        <v>0.0</v>
      </c>
      <c r="Q131" s="87">
        <v>0.0</v>
      </c>
      <c r="R131" s="87">
        <v>0.0</v>
      </c>
      <c r="S131" s="87">
        <v>0.0</v>
      </c>
      <c r="T131" s="91"/>
      <c r="U131" s="91"/>
      <c r="V131" s="91"/>
      <c r="W131" s="91"/>
      <c r="X131" s="91"/>
      <c r="Y131" s="87">
        <v>0.0</v>
      </c>
      <c r="Z131" s="88" t="s">
        <v>1396</v>
      </c>
    </row>
    <row r="132" hidden="1">
      <c r="A132" s="90" t="s">
        <v>1550</v>
      </c>
      <c r="B132" s="90" t="s">
        <v>1584</v>
      </c>
      <c r="C132" s="90" t="s">
        <v>795</v>
      </c>
      <c r="D132" s="90" t="s">
        <v>1585</v>
      </c>
      <c r="E132" s="90" t="s">
        <v>1426</v>
      </c>
      <c r="F132" s="87">
        <v>4.0</v>
      </c>
      <c r="G132" s="87">
        <v>0.0</v>
      </c>
      <c r="H132" s="87">
        <v>12896.0</v>
      </c>
      <c r="I132" s="87">
        <v>0.0</v>
      </c>
      <c r="J132" s="87">
        <v>123.7844</v>
      </c>
      <c r="K132" s="87">
        <v>128.1542</v>
      </c>
      <c r="L132" s="87">
        <v>140.0135</v>
      </c>
      <c r="M132" s="87">
        <v>99.26394</v>
      </c>
      <c r="N132" s="87">
        <v>0.774566</v>
      </c>
      <c r="O132" s="87">
        <v>0.0</v>
      </c>
      <c r="P132" s="87">
        <v>0.0</v>
      </c>
      <c r="Q132" s="87">
        <v>0.0</v>
      </c>
      <c r="R132" s="87">
        <v>1.441403</v>
      </c>
      <c r="S132" s="87">
        <v>27.44888</v>
      </c>
      <c r="T132" s="87">
        <v>1.441403</v>
      </c>
      <c r="U132" s="87">
        <v>1.441403</v>
      </c>
      <c r="V132" s="87">
        <v>27.44888</v>
      </c>
      <c r="W132" s="87">
        <v>27.92188</v>
      </c>
      <c r="X132" s="87">
        <v>27.92188</v>
      </c>
      <c r="Y132" s="87">
        <v>18.30775</v>
      </c>
      <c r="Z132" s="88" t="s">
        <v>1396</v>
      </c>
    </row>
    <row r="133" hidden="1">
      <c r="A133" s="90" t="s">
        <v>1553</v>
      </c>
      <c r="B133" s="90" t="s">
        <v>1586</v>
      </c>
      <c r="C133" s="90" t="s">
        <v>795</v>
      </c>
      <c r="D133" s="90" t="s">
        <v>1585</v>
      </c>
      <c r="E133" s="86">
        <v>46310.0</v>
      </c>
      <c r="F133" s="87">
        <v>11.0</v>
      </c>
      <c r="G133" s="87">
        <v>0.0</v>
      </c>
      <c r="H133" s="87">
        <v>7308.0</v>
      </c>
      <c r="I133" s="87">
        <v>0.0</v>
      </c>
      <c r="J133" s="87">
        <v>51.78216</v>
      </c>
      <c r="K133" s="87">
        <v>50.00663</v>
      </c>
      <c r="L133" s="87">
        <v>54.87248</v>
      </c>
      <c r="M133" s="87">
        <v>39.05483</v>
      </c>
      <c r="N133" s="87">
        <v>0.780993</v>
      </c>
      <c r="O133" s="87">
        <v>0.0</v>
      </c>
      <c r="P133" s="87">
        <v>0.266667</v>
      </c>
      <c r="Q133" s="87">
        <v>0.467816</v>
      </c>
      <c r="R133" s="87">
        <v>2.282539</v>
      </c>
      <c r="S133" s="87">
        <v>3.279022</v>
      </c>
      <c r="T133" s="87">
        <v>0.266667</v>
      </c>
      <c r="U133" s="87">
        <v>0.467816</v>
      </c>
      <c r="V133" s="87">
        <v>2.034853</v>
      </c>
      <c r="W133" s="87">
        <v>2.620908</v>
      </c>
      <c r="X133" s="87">
        <v>7.340066</v>
      </c>
      <c r="Y133" s="87">
        <v>4.546057</v>
      </c>
      <c r="Z133" s="88" t="s">
        <v>1396</v>
      </c>
    </row>
    <row r="134" hidden="1">
      <c r="A134" s="90" t="s">
        <v>1555</v>
      </c>
      <c r="B134" s="90" t="s">
        <v>1587</v>
      </c>
      <c r="C134" s="90" t="s">
        <v>795</v>
      </c>
      <c r="D134" s="90" t="s">
        <v>1585</v>
      </c>
      <c r="E134" s="90" t="s">
        <v>1413</v>
      </c>
      <c r="F134" s="87">
        <v>11.0</v>
      </c>
      <c r="G134" s="87">
        <v>3.0</v>
      </c>
      <c r="H134" s="87">
        <v>3297.0</v>
      </c>
      <c r="I134" s="87">
        <v>332.0</v>
      </c>
      <c r="J134" s="87">
        <v>9.081147</v>
      </c>
      <c r="K134" s="87">
        <v>8.547208</v>
      </c>
      <c r="L134" s="87">
        <v>9.268453</v>
      </c>
      <c r="M134" s="87">
        <v>3.315085</v>
      </c>
      <c r="N134" s="87">
        <v>0.387856</v>
      </c>
      <c r="O134" s="87">
        <v>0.470189</v>
      </c>
      <c r="P134" s="87">
        <v>0.550495</v>
      </c>
      <c r="Q134" s="87">
        <v>0.550495</v>
      </c>
      <c r="R134" s="87">
        <v>1.338169</v>
      </c>
      <c r="S134" s="87">
        <v>2.87327</v>
      </c>
      <c r="T134" s="87">
        <v>0.470189</v>
      </c>
      <c r="U134" s="87">
        <v>0.550495</v>
      </c>
      <c r="V134" s="87">
        <v>0.550495</v>
      </c>
      <c r="W134" s="87">
        <v>1.338169</v>
      </c>
      <c r="X134" s="87">
        <v>2.87327</v>
      </c>
      <c r="Y134" s="87">
        <v>1.709442</v>
      </c>
      <c r="Z134" s="88" t="s">
        <v>1396</v>
      </c>
    </row>
    <row r="135" hidden="1">
      <c r="A135" s="90" t="s">
        <v>1557</v>
      </c>
      <c r="B135" s="90" t="s">
        <v>1588</v>
      </c>
      <c r="C135" s="90" t="s">
        <v>795</v>
      </c>
      <c r="D135" s="90" t="s">
        <v>1585</v>
      </c>
      <c r="E135" s="90" t="s">
        <v>1398</v>
      </c>
      <c r="F135" s="87">
        <v>6.0</v>
      </c>
      <c r="G135" s="87">
        <v>3.0</v>
      </c>
      <c r="H135" s="87">
        <v>474.0</v>
      </c>
      <c r="I135" s="87">
        <v>140.0</v>
      </c>
      <c r="J135" s="87">
        <v>0.357143</v>
      </c>
      <c r="K135" s="87">
        <v>0.398925</v>
      </c>
      <c r="L135" s="87">
        <v>0.501208</v>
      </c>
      <c r="M135" s="87">
        <v>0.398925</v>
      </c>
      <c r="N135" s="87">
        <v>1.0</v>
      </c>
      <c r="O135" s="87">
        <v>0.398925</v>
      </c>
      <c r="P135" s="87">
        <v>0.398925</v>
      </c>
      <c r="Q135" s="87">
        <v>0.398925</v>
      </c>
      <c r="R135" s="87">
        <v>0.398925</v>
      </c>
      <c r="S135" s="87">
        <v>0.398925</v>
      </c>
      <c r="T135" s="87">
        <v>0.398925</v>
      </c>
      <c r="U135" s="87">
        <v>0.398925</v>
      </c>
      <c r="V135" s="87">
        <v>0.398925</v>
      </c>
      <c r="W135" s="87">
        <v>0.398925</v>
      </c>
      <c r="X135" s="87">
        <v>0.398925</v>
      </c>
      <c r="Y135" s="87">
        <v>0.398925</v>
      </c>
      <c r="Z135" s="88" t="s">
        <v>1396</v>
      </c>
    </row>
    <row r="136" hidden="1">
      <c r="A136" s="90" t="s">
        <v>1567</v>
      </c>
      <c r="B136" s="90" t="s">
        <v>1589</v>
      </c>
      <c r="C136" s="90" t="s">
        <v>795</v>
      </c>
      <c r="D136" s="90" t="s">
        <v>1585</v>
      </c>
      <c r="E136" s="90" t="s">
        <v>1400</v>
      </c>
      <c r="F136" s="87">
        <v>11.0</v>
      </c>
      <c r="G136" s="87">
        <v>1.0</v>
      </c>
      <c r="H136" s="87">
        <v>2143.0</v>
      </c>
      <c r="I136" s="87">
        <v>66.0</v>
      </c>
      <c r="J136" s="87">
        <v>9.249351</v>
      </c>
      <c r="K136" s="87">
        <v>9.407309</v>
      </c>
      <c r="L136" s="87">
        <v>9.696562</v>
      </c>
      <c r="M136" s="87">
        <v>5.297422</v>
      </c>
      <c r="N136" s="87">
        <v>0.563118</v>
      </c>
      <c r="O136" s="87">
        <v>0.865591</v>
      </c>
      <c r="P136" s="87">
        <v>0.905821</v>
      </c>
      <c r="Q136" s="87">
        <v>0.905821</v>
      </c>
      <c r="R136" s="87">
        <v>1.172883</v>
      </c>
      <c r="S136" s="87">
        <v>2.265164</v>
      </c>
      <c r="T136" s="87">
        <v>0.865591</v>
      </c>
      <c r="U136" s="87">
        <v>0.905821</v>
      </c>
      <c r="V136" s="87">
        <v>0.905821</v>
      </c>
      <c r="W136" s="87">
        <v>1.172883</v>
      </c>
      <c r="X136" s="87">
        <v>2.265164</v>
      </c>
      <c r="Y136" s="87">
        <v>1.567885</v>
      </c>
      <c r="Z136" s="88" t="s">
        <v>1396</v>
      </c>
    </row>
    <row r="137" hidden="1">
      <c r="A137" s="90" t="s">
        <v>1559</v>
      </c>
      <c r="B137" s="90" t="s">
        <v>1590</v>
      </c>
      <c r="C137" s="90" t="s">
        <v>795</v>
      </c>
      <c r="D137" s="90" t="s">
        <v>1585</v>
      </c>
      <c r="E137" s="89">
        <v>46300.0</v>
      </c>
      <c r="F137" s="87">
        <v>16.0</v>
      </c>
      <c r="G137" s="87">
        <v>2.0</v>
      </c>
      <c r="H137" s="87">
        <v>12686.0</v>
      </c>
      <c r="I137" s="87">
        <v>29.0</v>
      </c>
      <c r="J137" s="87">
        <v>105.7477</v>
      </c>
      <c r="K137" s="87">
        <v>104.73</v>
      </c>
      <c r="L137" s="87">
        <v>112.3246</v>
      </c>
      <c r="M137" s="87">
        <v>72.394</v>
      </c>
      <c r="N137" s="87">
        <v>0.691244</v>
      </c>
      <c r="O137" s="87">
        <v>0.0</v>
      </c>
      <c r="P137" s="87">
        <v>0.880952</v>
      </c>
      <c r="Q137" s="87">
        <v>1.0</v>
      </c>
      <c r="R137" s="87">
        <v>4.132352</v>
      </c>
      <c r="S137" s="87">
        <v>9.061987</v>
      </c>
      <c r="T137" s="87">
        <v>1.0</v>
      </c>
      <c r="U137" s="87">
        <v>2.900667</v>
      </c>
      <c r="V137" s="87">
        <v>3.188342</v>
      </c>
      <c r="W137" s="87">
        <v>5.140875</v>
      </c>
      <c r="X137" s="87">
        <v>9.061987</v>
      </c>
      <c r="Y137" s="87">
        <v>8.056151</v>
      </c>
      <c r="Z137" s="88" t="s">
        <v>1396</v>
      </c>
    </row>
    <row r="138" hidden="1">
      <c r="A138" s="90" t="s">
        <v>1561</v>
      </c>
      <c r="B138" s="90" t="s">
        <v>1591</v>
      </c>
      <c r="C138" s="90" t="s">
        <v>795</v>
      </c>
      <c r="D138" s="90" t="s">
        <v>1585</v>
      </c>
      <c r="E138" s="90" t="s">
        <v>1403</v>
      </c>
      <c r="F138" s="87">
        <v>1.0</v>
      </c>
      <c r="G138" s="87">
        <v>1.0</v>
      </c>
      <c r="H138" s="87">
        <v>38.0</v>
      </c>
      <c r="I138" s="87">
        <v>38.0</v>
      </c>
      <c r="J138" s="87">
        <v>0.0</v>
      </c>
      <c r="K138" s="87">
        <v>0.0</v>
      </c>
      <c r="L138" s="87">
        <v>0.0</v>
      </c>
      <c r="M138" s="87">
        <v>0.0</v>
      </c>
      <c r="N138" s="91"/>
      <c r="O138" s="87">
        <v>0.0</v>
      </c>
      <c r="P138" s="87">
        <v>0.0</v>
      </c>
      <c r="Q138" s="87">
        <v>0.0</v>
      </c>
      <c r="R138" s="87">
        <v>0.0</v>
      </c>
      <c r="S138" s="87">
        <v>0.0</v>
      </c>
      <c r="T138" s="91"/>
      <c r="U138" s="91"/>
      <c r="V138" s="91"/>
      <c r="W138" s="91"/>
      <c r="X138" s="91"/>
      <c r="Y138" s="87">
        <v>0.0</v>
      </c>
      <c r="Z138" s="88" t="s">
        <v>1396</v>
      </c>
    </row>
    <row r="139" hidden="1">
      <c r="A139" s="90" t="s">
        <v>1553</v>
      </c>
      <c r="B139" s="90" t="s">
        <v>1593</v>
      </c>
      <c r="C139" s="90" t="s">
        <v>795</v>
      </c>
      <c r="D139" s="90" t="s">
        <v>801</v>
      </c>
      <c r="E139" s="86">
        <v>46310.0</v>
      </c>
      <c r="F139" s="87">
        <v>3.0</v>
      </c>
      <c r="G139" s="87">
        <v>0.0</v>
      </c>
      <c r="H139" s="87">
        <v>1031.0</v>
      </c>
      <c r="I139" s="87">
        <v>0.0</v>
      </c>
      <c r="J139" s="87">
        <v>13.26787</v>
      </c>
      <c r="K139" s="87">
        <v>12.32174</v>
      </c>
      <c r="L139" s="87">
        <v>14.18879</v>
      </c>
      <c r="M139" s="87">
        <v>6.559391</v>
      </c>
      <c r="N139" s="87">
        <v>0.532343</v>
      </c>
      <c r="O139" s="87">
        <v>1.461351</v>
      </c>
      <c r="P139" s="87">
        <v>1.461351</v>
      </c>
      <c r="Q139" s="87">
        <v>1.461351</v>
      </c>
      <c r="R139" s="87">
        <v>4.300995</v>
      </c>
      <c r="S139" s="87">
        <v>6.559391</v>
      </c>
      <c r="T139" s="87">
        <v>1.461351</v>
      </c>
      <c r="U139" s="87">
        <v>1.461351</v>
      </c>
      <c r="V139" s="87">
        <v>1.461351</v>
      </c>
      <c r="W139" s="87">
        <v>4.300995</v>
      </c>
      <c r="X139" s="87">
        <v>6.559391</v>
      </c>
      <c r="Y139" s="87">
        <v>4.107246</v>
      </c>
      <c r="Z139" s="88" t="s">
        <v>1396</v>
      </c>
    </row>
    <row r="140" hidden="1">
      <c r="A140" s="90" t="s">
        <v>1555</v>
      </c>
      <c r="B140" s="90" t="s">
        <v>1594</v>
      </c>
      <c r="C140" s="90" t="s">
        <v>795</v>
      </c>
      <c r="D140" s="90" t="s">
        <v>801</v>
      </c>
      <c r="E140" s="90" t="s">
        <v>1413</v>
      </c>
      <c r="F140" s="87">
        <v>8.0</v>
      </c>
      <c r="G140" s="87">
        <v>0.0</v>
      </c>
      <c r="H140" s="87">
        <v>3760.0</v>
      </c>
      <c r="I140" s="87">
        <v>0.0</v>
      </c>
      <c r="J140" s="87">
        <v>19.44559</v>
      </c>
      <c r="K140" s="87">
        <v>19.4356</v>
      </c>
      <c r="L140" s="87">
        <v>19.78139</v>
      </c>
      <c r="M140" s="87">
        <v>15.47466</v>
      </c>
      <c r="N140" s="87">
        <v>0.796202</v>
      </c>
      <c r="O140" s="87">
        <v>0.0</v>
      </c>
      <c r="P140" s="87">
        <v>0.556667</v>
      </c>
      <c r="Q140" s="87">
        <v>0.556667</v>
      </c>
      <c r="R140" s="87">
        <v>1.303835</v>
      </c>
      <c r="S140" s="87">
        <v>2.10044</v>
      </c>
      <c r="T140" s="87">
        <v>0.556667</v>
      </c>
      <c r="U140" s="87">
        <v>0.556667</v>
      </c>
      <c r="V140" s="87">
        <v>1.303835</v>
      </c>
      <c r="W140" s="87">
        <v>2.10044</v>
      </c>
      <c r="X140" s="87">
        <v>2.10044</v>
      </c>
      <c r="Y140" s="87">
        <v>3.88712</v>
      </c>
      <c r="Z140" s="88" t="s">
        <v>1396</v>
      </c>
    </row>
    <row r="141" hidden="1">
      <c r="A141" s="90" t="s">
        <v>1557</v>
      </c>
      <c r="B141" s="90" t="s">
        <v>1595</v>
      </c>
      <c r="C141" s="90" t="s">
        <v>795</v>
      </c>
      <c r="D141" s="90" t="s">
        <v>801</v>
      </c>
      <c r="E141" s="90" t="s">
        <v>1398</v>
      </c>
      <c r="F141" s="87">
        <v>8.0</v>
      </c>
      <c r="G141" s="87">
        <v>2.0</v>
      </c>
      <c r="H141" s="87">
        <v>1226.0</v>
      </c>
      <c r="I141" s="87">
        <v>19.0</v>
      </c>
      <c r="J141" s="87">
        <v>7.896764</v>
      </c>
      <c r="K141" s="87">
        <v>9.438377</v>
      </c>
      <c r="L141" s="87">
        <v>12.34425</v>
      </c>
      <c r="M141" s="87">
        <v>8.127468</v>
      </c>
      <c r="N141" s="87">
        <v>0.861109</v>
      </c>
      <c r="O141" s="87">
        <v>0.0</v>
      </c>
      <c r="P141" s="87">
        <v>0.0</v>
      </c>
      <c r="Q141" s="87">
        <v>0.0</v>
      </c>
      <c r="R141" s="87">
        <v>0.710909</v>
      </c>
      <c r="S141" s="87">
        <v>2.570361</v>
      </c>
      <c r="T141" s="87">
        <v>0.6</v>
      </c>
      <c r="U141" s="87">
        <v>0.6</v>
      </c>
      <c r="V141" s="87">
        <v>0.710909</v>
      </c>
      <c r="W141" s="87">
        <v>2.570361</v>
      </c>
      <c r="X141" s="87">
        <v>2.570361</v>
      </c>
      <c r="Y141" s="87">
        <v>1.573063</v>
      </c>
      <c r="Z141" s="88" t="s">
        <v>1396</v>
      </c>
    </row>
    <row r="142" hidden="1">
      <c r="A142" s="90" t="s">
        <v>1567</v>
      </c>
      <c r="B142" s="90" t="s">
        <v>1596</v>
      </c>
      <c r="C142" s="90" t="s">
        <v>795</v>
      </c>
      <c r="D142" s="90" t="s">
        <v>801</v>
      </c>
      <c r="E142" s="90" t="s">
        <v>1400</v>
      </c>
      <c r="F142" s="87">
        <v>9.0</v>
      </c>
      <c r="G142" s="87">
        <v>1.0</v>
      </c>
      <c r="H142" s="87">
        <v>1757.0</v>
      </c>
      <c r="I142" s="87">
        <v>4.0</v>
      </c>
      <c r="J142" s="87">
        <v>15.89348</v>
      </c>
      <c r="K142" s="87">
        <v>14.77209</v>
      </c>
      <c r="L142" s="87">
        <v>14.14343</v>
      </c>
      <c r="M142" s="87">
        <v>9.295592</v>
      </c>
      <c r="N142" s="87">
        <v>0.629267</v>
      </c>
      <c r="O142" s="87">
        <v>0.0</v>
      </c>
      <c r="P142" s="87">
        <v>0.0</v>
      </c>
      <c r="Q142" s="87">
        <v>0.0</v>
      </c>
      <c r="R142" s="87">
        <v>5.476501</v>
      </c>
      <c r="S142" s="87">
        <v>9.295592</v>
      </c>
      <c r="T142" s="87">
        <v>5.476501</v>
      </c>
      <c r="U142" s="87">
        <v>5.476501</v>
      </c>
      <c r="V142" s="87">
        <v>5.476501</v>
      </c>
      <c r="W142" s="87">
        <v>9.295592</v>
      </c>
      <c r="X142" s="87">
        <v>9.295592</v>
      </c>
      <c r="Y142" s="87">
        <v>4.924031</v>
      </c>
      <c r="Z142" s="88" t="s">
        <v>1396</v>
      </c>
    </row>
    <row r="143" hidden="1">
      <c r="A143" s="90" t="s">
        <v>1559</v>
      </c>
      <c r="B143" s="90" t="s">
        <v>1597</v>
      </c>
      <c r="C143" s="90" t="s">
        <v>795</v>
      </c>
      <c r="D143" s="90" t="s">
        <v>801</v>
      </c>
      <c r="E143" s="86">
        <v>46300.0</v>
      </c>
      <c r="F143" s="87">
        <v>1.0</v>
      </c>
      <c r="G143" s="87">
        <v>0.0</v>
      </c>
      <c r="H143" s="87">
        <v>1.0</v>
      </c>
      <c r="I143" s="87">
        <v>0.0</v>
      </c>
      <c r="J143" s="87">
        <v>0.0</v>
      </c>
      <c r="K143" s="87">
        <v>0.0</v>
      </c>
      <c r="L143" s="87">
        <v>0.0</v>
      </c>
      <c r="M143" s="87">
        <v>0.0</v>
      </c>
      <c r="N143" s="91"/>
      <c r="O143" s="87">
        <v>0.0</v>
      </c>
      <c r="P143" s="87">
        <v>0.0</v>
      </c>
      <c r="Q143" s="87">
        <v>0.0</v>
      </c>
      <c r="R143" s="87">
        <v>0.0</v>
      </c>
      <c r="S143" s="87">
        <v>0.0</v>
      </c>
      <c r="T143" s="91"/>
      <c r="U143" s="91"/>
      <c r="V143" s="91"/>
      <c r="W143" s="91"/>
      <c r="X143" s="91"/>
      <c r="Y143" s="87">
        <v>0.0</v>
      </c>
      <c r="Z143" s="88" t="s">
        <v>1396</v>
      </c>
    </row>
    <row r="144" hidden="1">
      <c r="A144" s="90" t="s">
        <v>1561</v>
      </c>
      <c r="B144" s="90" t="s">
        <v>1598</v>
      </c>
      <c r="C144" s="90" t="s">
        <v>795</v>
      </c>
      <c r="D144" s="90" t="s">
        <v>801</v>
      </c>
      <c r="E144" s="90" t="s">
        <v>1403</v>
      </c>
      <c r="F144" s="87">
        <v>3.0</v>
      </c>
      <c r="G144" s="87">
        <v>3.0</v>
      </c>
      <c r="H144" s="87">
        <v>77.0</v>
      </c>
      <c r="I144" s="87">
        <v>77.0</v>
      </c>
      <c r="J144" s="87">
        <v>0.0</v>
      </c>
      <c r="K144" s="87">
        <v>0.0</v>
      </c>
      <c r="L144" s="87">
        <v>0.0</v>
      </c>
      <c r="M144" s="87">
        <v>0.0</v>
      </c>
      <c r="N144" s="91"/>
      <c r="O144" s="87">
        <v>0.0</v>
      </c>
      <c r="P144" s="87">
        <v>0.0</v>
      </c>
      <c r="Q144" s="87">
        <v>0.0</v>
      </c>
      <c r="R144" s="87">
        <v>0.0</v>
      </c>
      <c r="S144" s="87">
        <v>0.0</v>
      </c>
      <c r="T144" s="91"/>
      <c r="U144" s="91"/>
      <c r="V144" s="91"/>
      <c r="W144" s="91"/>
      <c r="X144" s="91"/>
      <c r="Y144" s="87">
        <v>0.0</v>
      </c>
      <c r="Z144" s="88" t="s">
        <v>1396</v>
      </c>
    </row>
    <row r="145" hidden="1">
      <c r="A145" s="90" t="s">
        <v>1599</v>
      </c>
      <c r="B145" s="90" t="s">
        <v>1600</v>
      </c>
      <c r="C145" s="90" t="s">
        <v>481</v>
      </c>
      <c r="D145" s="90" t="s">
        <v>1601</v>
      </c>
      <c r="E145" s="86">
        <v>46310.0</v>
      </c>
      <c r="F145" s="87">
        <v>1.0</v>
      </c>
      <c r="G145" s="87">
        <v>0.0</v>
      </c>
      <c r="H145" s="87">
        <v>540.0</v>
      </c>
      <c r="I145" s="87">
        <v>0.0</v>
      </c>
      <c r="J145" s="87">
        <v>0.0</v>
      </c>
      <c r="K145" s="87">
        <v>1.795671</v>
      </c>
      <c r="L145" s="87">
        <v>0.945524</v>
      </c>
      <c r="M145" s="87">
        <v>1.795671</v>
      </c>
      <c r="N145" s="87">
        <v>1.0</v>
      </c>
      <c r="O145" s="87">
        <v>1.795671</v>
      </c>
      <c r="P145" s="87">
        <v>1.795671</v>
      </c>
      <c r="Q145" s="87">
        <v>1.795671</v>
      </c>
      <c r="R145" s="87">
        <v>1.795671</v>
      </c>
      <c r="S145" s="87">
        <v>1.795671</v>
      </c>
      <c r="T145" s="87">
        <v>1.795671</v>
      </c>
      <c r="U145" s="87">
        <v>1.795671</v>
      </c>
      <c r="V145" s="87">
        <v>1.795671</v>
      </c>
      <c r="W145" s="87">
        <v>1.795671</v>
      </c>
      <c r="X145" s="87">
        <v>1.795671</v>
      </c>
      <c r="Y145" s="87">
        <v>1.795671</v>
      </c>
      <c r="Z145" s="88" t="s">
        <v>1396</v>
      </c>
    </row>
    <row r="146" hidden="1">
      <c r="A146" s="90" t="s">
        <v>1602</v>
      </c>
      <c r="B146" s="90" t="s">
        <v>1603</v>
      </c>
      <c r="C146" s="90" t="s">
        <v>481</v>
      </c>
      <c r="D146" s="90" t="s">
        <v>1601</v>
      </c>
      <c r="E146" s="90" t="s">
        <v>1398</v>
      </c>
      <c r="F146" s="87">
        <v>2.0</v>
      </c>
      <c r="G146" s="87">
        <v>0.0</v>
      </c>
      <c r="H146" s="87">
        <v>223.0</v>
      </c>
      <c r="I146" s="87">
        <v>0.0</v>
      </c>
      <c r="J146" s="87">
        <v>1.832143</v>
      </c>
      <c r="K146" s="87">
        <v>3.321354</v>
      </c>
      <c r="L146" s="87">
        <v>2.21509</v>
      </c>
      <c r="M146" s="87">
        <v>2.403821</v>
      </c>
      <c r="N146" s="87">
        <v>0.723747</v>
      </c>
      <c r="O146" s="87">
        <v>0.917532</v>
      </c>
      <c r="P146" s="87">
        <v>0.917532</v>
      </c>
      <c r="Q146" s="87">
        <v>0.917532</v>
      </c>
      <c r="R146" s="87">
        <v>2.403821</v>
      </c>
      <c r="S146" s="87">
        <v>2.403821</v>
      </c>
      <c r="T146" s="87">
        <v>0.917532</v>
      </c>
      <c r="U146" s="87">
        <v>0.917532</v>
      </c>
      <c r="V146" s="87">
        <v>0.917532</v>
      </c>
      <c r="W146" s="87">
        <v>2.403821</v>
      </c>
      <c r="X146" s="87">
        <v>2.403821</v>
      </c>
      <c r="Y146" s="87">
        <v>1.660677</v>
      </c>
      <c r="Z146" s="88" t="s">
        <v>1396</v>
      </c>
    </row>
    <row r="147" hidden="1">
      <c r="A147" s="90" t="s">
        <v>1604</v>
      </c>
      <c r="B147" s="90" t="s">
        <v>1605</v>
      </c>
      <c r="C147" s="90" t="s">
        <v>481</v>
      </c>
      <c r="D147" s="90" t="s">
        <v>1601</v>
      </c>
      <c r="E147" s="90" t="s">
        <v>1400</v>
      </c>
      <c r="F147" s="87">
        <v>127.0</v>
      </c>
      <c r="G147" s="87">
        <v>12.0</v>
      </c>
      <c r="H147" s="87">
        <v>16293.0</v>
      </c>
      <c r="I147" s="87">
        <v>1288.0</v>
      </c>
      <c r="J147" s="87">
        <v>52.35089</v>
      </c>
      <c r="K147" s="87">
        <v>52.48419</v>
      </c>
      <c r="L147" s="87">
        <v>50.61026</v>
      </c>
      <c r="M147" s="87">
        <v>30.60125</v>
      </c>
      <c r="N147" s="87">
        <v>0.583057</v>
      </c>
      <c r="O147" s="87">
        <v>0.0075</v>
      </c>
      <c r="P147" s="87">
        <v>0.061563</v>
      </c>
      <c r="Q147" s="87">
        <v>0.112438</v>
      </c>
      <c r="R147" s="87">
        <v>0.320765</v>
      </c>
      <c r="S147" s="87">
        <v>0.535568</v>
      </c>
      <c r="T147" s="87">
        <v>0.0625</v>
      </c>
      <c r="U147" s="87">
        <v>0.106021</v>
      </c>
      <c r="V147" s="87">
        <v>0.16882</v>
      </c>
      <c r="W147" s="87">
        <v>0.365619</v>
      </c>
      <c r="X147" s="87">
        <v>0.623675</v>
      </c>
      <c r="Y147" s="87">
        <v>0.481506</v>
      </c>
      <c r="Z147" s="88" t="s">
        <v>1396</v>
      </c>
    </row>
    <row r="148" hidden="1">
      <c r="A148" s="90" t="s">
        <v>1606</v>
      </c>
      <c r="B148" s="90" t="s">
        <v>1607</v>
      </c>
      <c r="C148" s="90" t="s">
        <v>481</v>
      </c>
      <c r="D148" s="90" t="s">
        <v>1601</v>
      </c>
      <c r="E148" s="90" t="s">
        <v>1403</v>
      </c>
      <c r="F148" s="87">
        <v>42.0</v>
      </c>
      <c r="G148" s="87">
        <v>42.0</v>
      </c>
      <c r="H148" s="87">
        <v>5383.0</v>
      </c>
      <c r="I148" s="87">
        <v>5383.0</v>
      </c>
      <c r="J148" s="87">
        <v>0.0</v>
      </c>
      <c r="K148" s="87">
        <v>0.0</v>
      </c>
      <c r="L148" s="87">
        <v>0.0</v>
      </c>
      <c r="M148" s="87">
        <v>0.0</v>
      </c>
      <c r="N148" s="91"/>
      <c r="O148" s="87">
        <v>0.0</v>
      </c>
      <c r="P148" s="87">
        <v>0.0</v>
      </c>
      <c r="Q148" s="87">
        <v>0.0</v>
      </c>
      <c r="R148" s="87">
        <v>0.0</v>
      </c>
      <c r="S148" s="87">
        <v>0.0</v>
      </c>
      <c r="T148" s="91"/>
      <c r="U148" s="91"/>
      <c r="V148" s="91"/>
      <c r="W148" s="91"/>
      <c r="X148" s="91"/>
      <c r="Y148" s="87">
        <v>0.0</v>
      </c>
      <c r="Z148" s="88" t="s">
        <v>1396</v>
      </c>
    </row>
    <row r="149" hidden="1">
      <c r="A149" s="90" t="s">
        <v>1608</v>
      </c>
      <c r="B149" s="90" t="s">
        <v>1609</v>
      </c>
      <c r="C149" s="90" t="s">
        <v>481</v>
      </c>
      <c r="D149" s="90" t="s">
        <v>492</v>
      </c>
      <c r="E149" s="90" t="s">
        <v>1413</v>
      </c>
      <c r="F149" s="87">
        <v>3.0</v>
      </c>
      <c r="G149" s="87">
        <v>1.0</v>
      </c>
      <c r="H149" s="87">
        <v>510.0</v>
      </c>
      <c r="I149" s="87">
        <v>13.0</v>
      </c>
      <c r="J149" s="87">
        <v>1.0</v>
      </c>
      <c r="K149" s="87">
        <v>1.224222</v>
      </c>
      <c r="L149" s="87">
        <v>1.16575</v>
      </c>
      <c r="M149" s="87">
        <v>1.224222</v>
      </c>
      <c r="N149" s="87">
        <v>1.0</v>
      </c>
      <c r="O149" s="87">
        <v>0.0</v>
      </c>
      <c r="P149" s="87">
        <v>0.0</v>
      </c>
      <c r="Q149" s="87">
        <v>0.0</v>
      </c>
      <c r="R149" s="87">
        <v>1.224222</v>
      </c>
      <c r="S149" s="87">
        <v>1.224222</v>
      </c>
      <c r="T149" s="87">
        <v>1.224222</v>
      </c>
      <c r="U149" s="87">
        <v>1.224222</v>
      </c>
      <c r="V149" s="87">
        <v>1.224222</v>
      </c>
      <c r="W149" s="87">
        <v>1.224222</v>
      </c>
      <c r="X149" s="87">
        <v>1.224222</v>
      </c>
      <c r="Y149" s="87">
        <v>0.612111</v>
      </c>
      <c r="Z149" s="88" t="s">
        <v>1396</v>
      </c>
    </row>
    <row r="150" hidden="1">
      <c r="A150" s="90" t="s">
        <v>1602</v>
      </c>
      <c r="B150" s="90" t="s">
        <v>1610</v>
      </c>
      <c r="C150" s="90" t="s">
        <v>481</v>
      </c>
      <c r="D150" s="90" t="s">
        <v>492</v>
      </c>
      <c r="E150" s="90" t="s">
        <v>1398</v>
      </c>
      <c r="F150" s="87">
        <v>4.0</v>
      </c>
      <c r="G150" s="87">
        <v>0.0</v>
      </c>
      <c r="H150" s="87">
        <v>2716.0</v>
      </c>
      <c r="I150" s="87">
        <v>0.0</v>
      </c>
      <c r="J150" s="87">
        <v>28.54722</v>
      </c>
      <c r="K150" s="87">
        <v>28.75564</v>
      </c>
      <c r="L150" s="87">
        <v>27.37822</v>
      </c>
      <c r="M150" s="87">
        <v>15.92263</v>
      </c>
      <c r="N150" s="87">
        <v>0.553722</v>
      </c>
      <c r="O150" s="87">
        <v>6.172273</v>
      </c>
      <c r="P150" s="87">
        <v>6.172273</v>
      </c>
      <c r="Q150" s="87">
        <v>6.172273</v>
      </c>
      <c r="R150" s="87">
        <v>6.660739</v>
      </c>
      <c r="S150" s="87">
        <v>15.92263</v>
      </c>
      <c r="T150" s="87">
        <v>6.172273</v>
      </c>
      <c r="U150" s="87">
        <v>6.172273</v>
      </c>
      <c r="V150" s="87">
        <v>6.172273</v>
      </c>
      <c r="W150" s="87">
        <v>6.660739</v>
      </c>
      <c r="X150" s="87">
        <v>15.92263</v>
      </c>
      <c r="Y150" s="87">
        <v>9.585213</v>
      </c>
      <c r="Z150" s="88" t="s">
        <v>1396</v>
      </c>
    </row>
    <row r="151" hidden="1">
      <c r="A151" s="90" t="s">
        <v>1604</v>
      </c>
      <c r="B151" s="90" t="s">
        <v>1611</v>
      </c>
      <c r="C151" s="90" t="s">
        <v>481</v>
      </c>
      <c r="D151" s="90" t="s">
        <v>492</v>
      </c>
      <c r="E151" s="90" t="s">
        <v>1400</v>
      </c>
      <c r="F151" s="87">
        <v>23.0</v>
      </c>
      <c r="G151" s="87">
        <v>0.0</v>
      </c>
      <c r="H151" s="87">
        <v>4999.0</v>
      </c>
      <c r="I151" s="87">
        <v>0.0</v>
      </c>
      <c r="J151" s="87">
        <v>47.80432</v>
      </c>
      <c r="K151" s="87">
        <v>48.13344</v>
      </c>
      <c r="L151" s="87">
        <v>48.91529</v>
      </c>
      <c r="M151" s="87">
        <v>26.80977</v>
      </c>
      <c r="N151" s="87">
        <v>0.556988</v>
      </c>
      <c r="O151" s="87">
        <v>0.272727</v>
      </c>
      <c r="P151" s="87">
        <v>0.468966</v>
      </c>
      <c r="Q151" s="87">
        <v>0.770353</v>
      </c>
      <c r="R151" s="87">
        <v>1.49384</v>
      </c>
      <c r="S151" s="87">
        <v>2.934866</v>
      </c>
      <c r="T151" s="87">
        <v>0.272727</v>
      </c>
      <c r="U151" s="87">
        <v>0.468966</v>
      </c>
      <c r="V151" s="87">
        <v>0.770353</v>
      </c>
      <c r="W151" s="87">
        <v>1.49384</v>
      </c>
      <c r="X151" s="87">
        <v>2.934866</v>
      </c>
      <c r="Y151" s="87">
        <v>2.533339</v>
      </c>
      <c r="Z151" s="88" t="s">
        <v>1396</v>
      </c>
    </row>
    <row r="152" hidden="1">
      <c r="A152" s="90" t="s">
        <v>1606</v>
      </c>
      <c r="B152" s="90" t="s">
        <v>1612</v>
      </c>
      <c r="C152" s="90" t="s">
        <v>481</v>
      </c>
      <c r="D152" s="90" t="s">
        <v>492</v>
      </c>
      <c r="E152" s="90" t="s">
        <v>1403</v>
      </c>
      <c r="F152" s="87">
        <v>9.0</v>
      </c>
      <c r="G152" s="87">
        <v>9.0</v>
      </c>
      <c r="H152" s="87">
        <v>478.0</v>
      </c>
      <c r="I152" s="87">
        <v>478.0</v>
      </c>
      <c r="J152" s="87">
        <v>0.0</v>
      </c>
      <c r="K152" s="87">
        <v>0.0</v>
      </c>
      <c r="L152" s="87">
        <v>0.0</v>
      </c>
      <c r="M152" s="87">
        <v>0.0</v>
      </c>
      <c r="N152" s="91"/>
      <c r="O152" s="87">
        <v>0.0</v>
      </c>
      <c r="P152" s="87">
        <v>0.0</v>
      </c>
      <c r="Q152" s="87">
        <v>0.0</v>
      </c>
      <c r="R152" s="87">
        <v>0.0</v>
      </c>
      <c r="S152" s="87">
        <v>0.0</v>
      </c>
      <c r="T152" s="91"/>
      <c r="U152" s="91"/>
      <c r="V152" s="91"/>
      <c r="W152" s="91"/>
      <c r="X152" s="91"/>
      <c r="Y152" s="87">
        <v>0.0</v>
      </c>
      <c r="Z152" s="88" t="s">
        <v>1396</v>
      </c>
    </row>
    <row r="153" hidden="1">
      <c r="A153" s="90" t="s">
        <v>1599</v>
      </c>
      <c r="B153" s="90" t="s">
        <v>1613</v>
      </c>
      <c r="C153" s="90" t="s">
        <v>481</v>
      </c>
      <c r="D153" s="90" t="s">
        <v>986</v>
      </c>
      <c r="E153" s="86">
        <v>46310.0</v>
      </c>
      <c r="F153" s="87">
        <v>1.0</v>
      </c>
      <c r="G153" s="87">
        <v>0.0</v>
      </c>
      <c r="H153" s="87">
        <v>221.0</v>
      </c>
      <c r="I153" s="87">
        <v>0.0</v>
      </c>
      <c r="J153" s="87">
        <v>2.705495</v>
      </c>
      <c r="K153" s="87">
        <v>2.3089</v>
      </c>
      <c r="L153" s="87">
        <v>2.298918</v>
      </c>
      <c r="M153" s="87">
        <v>2.3089</v>
      </c>
      <c r="N153" s="87">
        <v>1.0</v>
      </c>
      <c r="O153" s="87">
        <v>2.3089</v>
      </c>
      <c r="P153" s="87">
        <v>2.3089</v>
      </c>
      <c r="Q153" s="87">
        <v>2.3089</v>
      </c>
      <c r="R153" s="87">
        <v>2.3089</v>
      </c>
      <c r="S153" s="87">
        <v>2.3089</v>
      </c>
      <c r="T153" s="87">
        <v>2.3089</v>
      </c>
      <c r="U153" s="87">
        <v>2.3089</v>
      </c>
      <c r="V153" s="87">
        <v>2.3089</v>
      </c>
      <c r="W153" s="87">
        <v>2.3089</v>
      </c>
      <c r="X153" s="87">
        <v>2.3089</v>
      </c>
      <c r="Y153" s="87">
        <v>2.3089</v>
      </c>
      <c r="Z153" s="88" t="s">
        <v>1396</v>
      </c>
    </row>
    <row r="154" hidden="1">
      <c r="A154" s="90" t="s">
        <v>1608</v>
      </c>
      <c r="B154" s="90" t="s">
        <v>1614</v>
      </c>
      <c r="C154" s="90" t="s">
        <v>481</v>
      </c>
      <c r="D154" s="90" t="s">
        <v>986</v>
      </c>
      <c r="E154" s="90" t="s">
        <v>1413</v>
      </c>
      <c r="F154" s="87">
        <v>2.0</v>
      </c>
      <c r="G154" s="87">
        <v>0.0</v>
      </c>
      <c r="H154" s="87">
        <v>151.0</v>
      </c>
      <c r="I154" s="87">
        <v>0.0</v>
      </c>
      <c r="J154" s="87">
        <v>3.560689</v>
      </c>
      <c r="K154" s="87">
        <v>2.297512</v>
      </c>
      <c r="L154" s="87">
        <v>2.394513</v>
      </c>
      <c r="M154" s="87">
        <v>2.297512</v>
      </c>
      <c r="N154" s="87">
        <v>1.0</v>
      </c>
      <c r="O154" s="87">
        <v>2.297512</v>
      </c>
      <c r="P154" s="87">
        <v>2.297512</v>
      </c>
      <c r="Q154" s="87">
        <v>2.297512</v>
      </c>
      <c r="R154" s="87">
        <v>2.297512</v>
      </c>
      <c r="S154" s="87">
        <v>2.297512</v>
      </c>
      <c r="T154" s="87">
        <v>2.297512</v>
      </c>
      <c r="U154" s="87">
        <v>2.297512</v>
      </c>
      <c r="V154" s="87">
        <v>2.297512</v>
      </c>
      <c r="W154" s="87">
        <v>2.297512</v>
      </c>
      <c r="X154" s="87">
        <v>2.297512</v>
      </c>
      <c r="Y154" s="87">
        <v>2.297512</v>
      </c>
      <c r="Z154" s="88" t="s">
        <v>1396</v>
      </c>
    </row>
    <row r="155" hidden="1">
      <c r="A155" s="90" t="s">
        <v>1604</v>
      </c>
      <c r="B155" s="90" t="s">
        <v>1615</v>
      </c>
      <c r="C155" s="90" t="s">
        <v>481</v>
      </c>
      <c r="D155" s="90" t="s">
        <v>986</v>
      </c>
      <c r="E155" s="90" t="s">
        <v>1400</v>
      </c>
      <c r="F155" s="87">
        <v>32.0</v>
      </c>
      <c r="G155" s="87">
        <v>0.0</v>
      </c>
      <c r="H155" s="87">
        <v>5449.0</v>
      </c>
      <c r="I155" s="87">
        <v>0.0</v>
      </c>
      <c r="J155" s="87">
        <v>30.59528</v>
      </c>
      <c r="K155" s="87">
        <v>32.50282</v>
      </c>
      <c r="L155" s="87">
        <v>31.64379</v>
      </c>
      <c r="M155" s="87">
        <v>23.65588</v>
      </c>
      <c r="N155" s="87">
        <v>0.72781</v>
      </c>
      <c r="O155" s="87">
        <v>0.157576</v>
      </c>
      <c r="P155" s="87">
        <v>0.2</v>
      </c>
      <c r="Q155" s="87">
        <v>0.243478</v>
      </c>
      <c r="R155" s="87">
        <v>0.555357</v>
      </c>
      <c r="S155" s="87">
        <v>0.689183</v>
      </c>
      <c r="T155" s="87">
        <v>0.157576</v>
      </c>
      <c r="U155" s="87">
        <v>0.2</v>
      </c>
      <c r="V155" s="87">
        <v>0.243478</v>
      </c>
      <c r="W155" s="87">
        <v>0.555357</v>
      </c>
      <c r="X155" s="87">
        <v>0.689183</v>
      </c>
      <c r="Y155" s="87">
        <v>1.160815</v>
      </c>
      <c r="Z155" s="88" t="s">
        <v>1396</v>
      </c>
    </row>
    <row r="156" hidden="1">
      <c r="A156" s="90" t="s">
        <v>1606</v>
      </c>
      <c r="B156" s="90" t="s">
        <v>1616</v>
      </c>
      <c r="C156" s="90" t="s">
        <v>481</v>
      </c>
      <c r="D156" s="90" t="s">
        <v>986</v>
      </c>
      <c r="E156" s="90" t="s">
        <v>1403</v>
      </c>
      <c r="F156" s="87">
        <v>3.0</v>
      </c>
      <c r="G156" s="87">
        <v>3.0</v>
      </c>
      <c r="H156" s="87">
        <v>52.0</v>
      </c>
      <c r="I156" s="87">
        <v>52.0</v>
      </c>
      <c r="J156" s="87">
        <v>0.0</v>
      </c>
      <c r="K156" s="87">
        <v>0.0</v>
      </c>
      <c r="L156" s="87">
        <v>0.0</v>
      </c>
      <c r="M156" s="87">
        <v>0.0</v>
      </c>
      <c r="N156" s="91"/>
      <c r="O156" s="87">
        <v>0.0</v>
      </c>
      <c r="P156" s="87">
        <v>0.0</v>
      </c>
      <c r="Q156" s="87">
        <v>0.0</v>
      </c>
      <c r="R156" s="87">
        <v>0.0</v>
      </c>
      <c r="S156" s="87">
        <v>0.0</v>
      </c>
      <c r="T156" s="91"/>
      <c r="U156" s="91"/>
      <c r="V156" s="91"/>
      <c r="W156" s="91"/>
      <c r="X156" s="91"/>
      <c r="Y156" s="87">
        <v>0.0</v>
      </c>
      <c r="Z156" s="88" t="s">
        <v>1396</v>
      </c>
    </row>
    <row r="157" hidden="1">
      <c r="A157" s="90" t="s">
        <v>1599</v>
      </c>
      <c r="B157" s="90" t="s">
        <v>1617</v>
      </c>
      <c r="C157" s="90" t="s">
        <v>481</v>
      </c>
      <c r="D157" s="90" t="s">
        <v>482</v>
      </c>
      <c r="E157" s="86">
        <v>46310.0</v>
      </c>
      <c r="F157" s="87">
        <v>8.0</v>
      </c>
      <c r="G157" s="87">
        <v>1.0</v>
      </c>
      <c r="H157" s="87">
        <v>5866.0</v>
      </c>
      <c r="I157" s="87">
        <v>72.0</v>
      </c>
      <c r="J157" s="87">
        <v>56.35331</v>
      </c>
      <c r="K157" s="87">
        <v>65.55726</v>
      </c>
      <c r="L157" s="87">
        <v>58.70163</v>
      </c>
      <c r="M157" s="87">
        <v>42.94694</v>
      </c>
      <c r="N157" s="87">
        <v>0.655106</v>
      </c>
      <c r="O157" s="87">
        <v>1.469831</v>
      </c>
      <c r="P157" s="87">
        <v>4.197624</v>
      </c>
      <c r="Q157" s="87">
        <v>4.968142</v>
      </c>
      <c r="R157" s="87">
        <v>5.287586</v>
      </c>
      <c r="S157" s="87">
        <v>6.68713</v>
      </c>
      <c r="T157" s="87">
        <v>1.469831</v>
      </c>
      <c r="U157" s="87">
        <v>4.197624</v>
      </c>
      <c r="V157" s="87">
        <v>4.968142</v>
      </c>
      <c r="W157" s="87">
        <v>5.287586</v>
      </c>
      <c r="X157" s="87">
        <v>6.68713</v>
      </c>
      <c r="Y157" s="87">
        <v>9.365322</v>
      </c>
      <c r="Z157" s="88" t="s">
        <v>1396</v>
      </c>
    </row>
    <row r="158" hidden="1">
      <c r="A158" s="90" t="s">
        <v>1608</v>
      </c>
      <c r="B158" s="90" t="s">
        <v>1618</v>
      </c>
      <c r="C158" s="90" t="s">
        <v>481</v>
      </c>
      <c r="D158" s="90" t="s">
        <v>482</v>
      </c>
      <c r="E158" s="90" t="s">
        <v>1413</v>
      </c>
      <c r="F158" s="87">
        <v>6.0</v>
      </c>
      <c r="G158" s="87">
        <v>0.0</v>
      </c>
      <c r="H158" s="87">
        <v>1320.0</v>
      </c>
      <c r="I158" s="87">
        <v>0.0</v>
      </c>
      <c r="J158" s="87">
        <v>19.40566</v>
      </c>
      <c r="K158" s="87">
        <v>20.02961</v>
      </c>
      <c r="L158" s="87">
        <v>21.40912</v>
      </c>
      <c r="M158" s="87">
        <v>13.67638</v>
      </c>
      <c r="N158" s="87">
        <v>0.682808</v>
      </c>
      <c r="O158" s="87">
        <v>0.0</v>
      </c>
      <c r="P158" s="87">
        <v>0.1</v>
      </c>
      <c r="Q158" s="87">
        <v>0.1</v>
      </c>
      <c r="R158" s="87">
        <v>0.814975</v>
      </c>
      <c r="S158" s="87">
        <v>5.438251</v>
      </c>
      <c r="T158" s="87">
        <v>0.1</v>
      </c>
      <c r="U158" s="87">
        <v>0.1</v>
      </c>
      <c r="V158" s="87">
        <v>0.814975</v>
      </c>
      <c r="W158" s="87">
        <v>5.438251</v>
      </c>
      <c r="X158" s="87">
        <v>5.438251</v>
      </c>
      <c r="Y158" s="87">
        <v>4.005922</v>
      </c>
      <c r="Z158" s="88" t="s">
        <v>1396</v>
      </c>
    </row>
    <row r="159" hidden="1">
      <c r="A159" s="90" t="s">
        <v>1602</v>
      </c>
      <c r="B159" s="90" t="s">
        <v>1619</v>
      </c>
      <c r="C159" s="90" t="s">
        <v>481</v>
      </c>
      <c r="D159" s="90" t="s">
        <v>482</v>
      </c>
      <c r="E159" s="90" t="s">
        <v>1398</v>
      </c>
      <c r="F159" s="87">
        <v>2.0</v>
      </c>
      <c r="G159" s="87">
        <v>0.0</v>
      </c>
      <c r="H159" s="87">
        <v>172.0</v>
      </c>
      <c r="I159" s="87">
        <v>0.0</v>
      </c>
      <c r="J159" s="87">
        <v>4.150816</v>
      </c>
      <c r="K159" s="87">
        <v>3.636371</v>
      </c>
      <c r="L159" s="87">
        <v>3.624449</v>
      </c>
      <c r="M159" s="87">
        <v>1.985655</v>
      </c>
      <c r="N159" s="87">
        <v>0.546054</v>
      </c>
      <c r="O159" s="87">
        <v>1.650716</v>
      </c>
      <c r="P159" s="87">
        <v>1.650716</v>
      </c>
      <c r="Q159" s="87">
        <v>1.650716</v>
      </c>
      <c r="R159" s="87">
        <v>1.985655</v>
      </c>
      <c r="S159" s="87">
        <v>1.985655</v>
      </c>
      <c r="T159" s="87">
        <v>1.650716</v>
      </c>
      <c r="U159" s="87">
        <v>1.650716</v>
      </c>
      <c r="V159" s="87">
        <v>1.650716</v>
      </c>
      <c r="W159" s="87">
        <v>1.985655</v>
      </c>
      <c r="X159" s="87">
        <v>1.985655</v>
      </c>
      <c r="Y159" s="87">
        <v>1.818186</v>
      </c>
      <c r="Z159" s="88" t="s">
        <v>1396</v>
      </c>
    </row>
    <row r="160" hidden="1">
      <c r="A160" s="90" t="s">
        <v>1604</v>
      </c>
      <c r="B160" s="90" t="s">
        <v>1620</v>
      </c>
      <c r="C160" s="90" t="s">
        <v>481</v>
      </c>
      <c r="D160" s="90" t="s">
        <v>482</v>
      </c>
      <c r="E160" s="90" t="s">
        <v>1400</v>
      </c>
      <c r="F160" s="87">
        <v>168.0</v>
      </c>
      <c r="G160" s="87">
        <v>3.0</v>
      </c>
      <c r="H160" s="87">
        <v>33147.0</v>
      </c>
      <c r="I160" s="87">
        <v>220.0</v>
      </c>
      <c r="J160" s="87">
        <v>150.1038</v>
      </c>
      <c r="K160" s="87">
        <v>139.4455</v>
      </c>
      <c r="L160" s="87">
        <v>124.585</v>
      </c>
      <c r="M160" s="87">
        <v>85.534</v>
      </c>
      <c r="N160" s="87">
        <v>0.613386</v>
      </c>
      <c r="O160" s="87">
        <v>0.069437</v>
      </c>
      <c r="P160" s="87">
        <v>0.168866</v>
      </c>
      <c r="Q160" s="87">
        <v>0.252882</v>
      </c>
      <c r="R160" s="87">
        <v>0.447995</v>
      </c>
      <c r="S160" s="87">
        <v>0.954547</v>
      </c>
      <c r="T160" s="87">
        <v>0.080444</v>
      </c>
      <c r="U160" s="87">
        <v>0.185142</v>
      </c>
      <c r="V160" s="87">
        <v>0.262977</v>
      </c>
      <c r="W160" s="87">
        <v>0.465164</v>
      </c>
      <c r="X160" s="87">
        <v>0.97627</v>
      </c>
      <c r="Y160" s="87">
        <v>0.90549</v>
      </c>
      <c r="Z160" s="88" t="s">
        <v>1396</v>
      </c>
    </row>
    <row r="161" hidden="1">
      <c r="A161" s="90" t="s">
        <v>3300</v>
      </c>
      <c r="B161" s="90" t="s">
        <v>3301</v>
      </c>
      <c r="C161" s="90" t="s">
        <v>481</v>
      </c>
      <c r="D161" s="90" t="s">
        <v>482</v>
      </c>
      <c r="E161" s="89">
        <v>46300.0</v>
      </c>
      <c r="F161" s="87">
        <v>1.0</v>
      </c>
      <c r="G161" s="87">
        <v>1.0</v>
      </c>
      <c r="H161" s="87">
        <v>43.0</v>
      </c>
      <c r="I161" s="87">
        <v>43.0</v>
      </c>
      <c r="J161" s="87">
        <v>0.0</v>
      </c>
      <c r="K161" s="87">
        <v>0.0</v>
      </c>
      <c r="L161" s="87">
        <v>0.0</v>
      </c>
      <c r="M161" s="87">
        <v>0.0</v>
      </c>
      <c r="N161" s="91"/>
      <c r="O161" s="91"/>
      <c r="P161" s="91"/>
      <c r="Q161" s="91"/>
      <c r="R161" s="91"/>
      <c r="S161" s="91"/>
      <c r="T161" s="91"/>
      <c r="U161" s="91"/>
      <c r="V161" s="91"/>
      <c r="W161" s="91"/>
      <c r="X161" s="91"/>
      <c r="Y161" s="91"/>
      <c r="Z161" s="88" t="s">
        <v>1396</v>
      </c>
    </row>
    <row r="162" hidden="1">
      <c r="A162" s="90" t="s">
        <v>1606</v>
      </c>
      <c r="B162" s="90" t="s">
        <v>1621</v>
      </c>
      <c r="C162" s="90" t="s">
        <v>481</v>
      </c>
      <c r="D162" s="90" t="s">
        <v>482</v>
      </c>
      <c r="E162" s="90" t="s">
        <v>1403</v>
      </c>
      <c r="F162" s="87">
        <v>28.0</v>
      </c>
      <c r="G162" s="87">
        <v>28.0</v>
      </c>
      <c r="H162" s="87">
        <v>4434.0</v>
      </c>
      <c r="I162" s="87">
        <v>4434.0</v>
      </c>
      <c r="J162" s="87">
        <v>0.0</v>
      </c>
      <c r="K162" s="87">
        <v>0.0</v>
      </c>
      <c r="L162" s="87">
        <v>0.0</v>
      </c>
      <c r="M162" s="87">
        <v>0.0</v>
      </c>
      <c r="N162" s="91"/>
      <c r="O162" s="87">
        <v>0.0</v>
      </c>
      <c r="P162" s="87">
        <v>0.0</v>
      </c>
      <c r="Q162" s="87">
        <v>0.0</v>
      </c>
      <c r="R162" s="87">
        <v>0.0</v>
      </c>
      <c r="S162" s="87">
        <v>0.0</v>
      </c>
      <c r="T162" s="91"/>
      <c r="U162" s="91"/>
      <c r="V162" s="91"/>
      <c r="W162" s="91"/>
      <c r="X162" s="91"/>
      <c r="Y162" s="87">
        <v>0.0</v>
      </c>
      <c r="Z162" s="88" t="s">
        <v>1396</v>
      </c>
    </row>
    <row r="163" hidden="1">
      <c r="A163" s="90" t="s">
        <v>3302</v>
      </c>
      <c r="B163" s="90" t="s">
        <v>3303</v>
      </c>
      <c r="C163" s="90" t="s">
        <v>1624</v>
      </c>
      <c r="D163" s="90" t="s">
        <v>3304</v>
      </c>
      <c r="E163" s="90" t="s">
        <v>1413</v>
      </c>
      <c r="F163" s="87">
        <v>1.0</v>
      </c>
      <c r="G163" s="87">
        <v>0.0</v>
      </c>
      <c r="H163" s="87">
        <v>327.0</v>
      </c>
      <c r="I163" s="87">
        <v>0.0</v>
      </c>
      <c r="J163" s="87">
        <v>0.0</v>
      </c>
      <c r="K163" s="87">
        <v>0.0</v>
      </c>
      <c r="L163" s="87">
        <v>0.0</v>
      </c>
      <c r="M163" s="87">
        <v>0.0</v>
      </c>
      <c r="N163" s="91"/>
      <c r="O163" s="91"/>
      <c r="P163" s="91"/>
      <c r="Q163" s="91"/>
      <c r="R163" s="91"/>
      <c r="S163" s="91"/>
      <c r="T163" s="91"/>
      <c r="U163" s="91"/>
      <c r="V163" s="91"/>
      <c r="W163" s="91"/>
      <c r="X163" s="91"/>
      <c r="Y163" s="91"/>
      <c r="Z163" s="88" t="s">
        <v>1396</v>
      </c>
    </row>
    <row r="164" hidden="1">
      <c r="A164" s="90" t="s">
        <v>1622</v>
      </c>
      <c r="B164" s="90" t="s">
        <v>1623</v>
      </c>
      <c r="C164" s="90" t="s">
        <v>1624</v>
      </c>
      <c r="D164" s="90" t="s">
        <v>1625</v>
      </c>
      <c r="E164" s="90" t="s">
        <v>1400</v>
      </c>
      <c r="F164" s="87">
        <v>2.0</v>
      </c>
      <c r="G164" s="87">
        <v>0.0</v>
      </c>
      <c r="H164" s="87">
        <v>993.0</v>
      </c>
      <c r="I164" s="87">
        <v>0.0</v>
      </c>
      <c r="J164" s="87">
        <v>0.285714</v>
      </c>
      <c r="K164" s="87">
        <v>0.398925</v>
      </c>
      <c r="L164" s="87">
        <v>0.53942</v>
      </c>
      <c r="M164" s="87">
        <v>0.398925</v>
      </c>
      <c r="N164" s="87">
        <v>1.0</v>
      </c>
      <c r="O164" s="87">
        <v>0.398925</v>
      </c>
      <c r="P164" s="87">
        <v>0.398925</v>
      </c>
      <c r="Q164" s="87">
        <v>0.398925</v>
      </c>
      <c r="R164" s="87">
        <v>0.398925</v>
      </c>
      <c r="S164" s="87">
        <v>0.398925</v>
      </c>
      <c r="T164" s="87">
        <v>0.398925</v>
      </c>
      <c r="U164" s="87">
        <v>0.398925</v>
      </c>
      <c r="V164" s="87">
        <v>0.398925</v>
      </c>
      <c r="W164" s="87">
        <v>0.398925</v>
      </c>
      <c r="X164" s="87">
        <v>0.398925</v>
      </c>
      <c r="Y164" s="87">
        <v>0.398925</v>
      </c>
      <c r="Z164" s="88" t="s">
        <v>1396</v>
      </c>
    </row>
    <row r="165" hidden="1">
      <c r="A165" s="90" t="s">
        <v>1622</v>
      </c>
      <c r="B165" s="90" t="s">
        <v>3305</v>
      </c>
      <c r="C165" s="90" t="s">
        <v>1624</v>
      </c>
      <c r="D165" s="90" t="s">
        <v>3306</v>
      </c>
      <c r="E165" s="90" t="s">
        <v>1400</v>
      </c>
      <c r="F165" s="87">
        <v>3.0</v>
      </c>
      <c r="G165" s="87">
        <v>0.0</v>
      </c>
      <c r="H165" s="87">
        <v>155.0</v>
      </c>
      <c r="I165" s="87">
        <v>0.0</v>
      </c>
      <c r="J165" s="87">
        <v>0.0</v>
      </c>
      <c r="K165" s="87">
        <v>0.0</v>
      </c>
      <c r="L165" s="87">
        <v>0.0</v>
      </c>
      <c r="M165" s="87">
        <v>0.0</v>
      </c>
      <c r="N165" s="91"/>
      <c r="O165" s="91"/>
      <c r="P165" s="91"/>
      <c r="Q165" s="91"/>
      <c r="R165" s="91"/>
      <c r="S165" s="91"/>
      <c r="T165" s="91"/>
      <c r="U165" s="91"/>
      <c r="V165" s="91"/>
      <c r="W165" s="91"/>
      <c r="X165" s="91"/>
      <c r="Y165" s="91"/>
      <c r="Z165" s="88" t="s">
        <v>1396</v>
      </c>
    </row>
    <row r="166" hidden="1">
      <c r="A166" s="90" t="s">
        <v>3307</v>
      </c>
      <c r="B166" s="90" t="s">
        <v>3308</v>
      </c>
      <c r="C166" s="90" t="s">
        <v>1624</v>
      </c>
      <c r="D166" s="90" t="s">
        <v>3306</v>
      </c>
      <c r="E166" s="90" t="s">
        <v>1403</v>
      </c>
      <c r="F166" s="87">
        <v>1.0</v>
      </c>
      <c r="G166" s="87">
        <v>1.0</v>
      </c>
      <c r="H166" s="87">
        <v>23.0</v>
      </c>
      <c r="I166" s="87">
        <v>23.0</v>
      </c>
      <c r="J166" s="87">
        <v>0.0</v>
      </c>
      <c r="K166" s="87">
        <v>0.0</v>
      </c>
      <c r="L166" s="87">
        <v>0.0</v>
      </c>
      <c r="M166" s="87">
        <v>0.0</v>
      </c>
      <c r="N166" s="91"/>
      <c r="O166" s="91"/>
      <c r="P166" s="91"/>
      <c r="Q166" s="91"/>
      <c r="R166" s="91"/>
      <c r="S166" s="91"/>
      <c r="T166" s="91"/>
      <c r="U166" s="91"/>
      <c r="V166" s="91"/>
      <c r="W166" s="91"/>
      <c r="X166" s="91"/>
      <c r="Y166" s="91"/>
      <c r="Z166" s="88" t="s">
        <v>1396</v>
      </c>
    </row>
    <row r="167" hidden="1">
      <c r="A167" s="90" t="s">
        <v>3309</v>
      </c>
      <c r="B167" s="90" t="s">
        <v>3310</v>
      </c>
      <c r="C167" s="90" t="s">
        <v>1624</v>
      </c>
      <c r="D167" s="90" t="s">
        <v>3311</v>
      </c>
      <c r="E167" s="90" t="s">
        <v>1398</v>
      </c>
      <c r="F167" s="87">
        <v>2.0</v>
      </c>
      <c r="G167" s="87">
        <v>0.0</v>
      </c>
      <c r="H167" s="87">
        <v>1382.0</v>
      </c>
      <c r="I167" s="87">
        <v>0.0</v>
      </c>
      <c r="J167" s="87">
        <v>0.0</v>
      </c>
      <c r="K167" s="87">
        <v>0.0</v>
      </c>
      <c r="L167" s="87">
        <v>0.0</v>
      </c>
      <c r="M167" s="87">
        <v>0.0</v>
      </c>
      <c r="N167" s="91"/>
      <c r="O167" s="91"/>
      <c r="P167" s="91"/>
      <c r="Q167" s="91"/>
      <c r="R167" s="91"/>
      <c r="S167" s="91"/>
      <c r="T167" s="91"/>
      <c r="U167" s="91"/>
      <c r="V167" s="91"/>
      <c r="W167" s="91"/>
      <c r="X167" s="91"/>
      <c r="Y167" s="91"/>
      <c r="Z167" s="88" t="s">
        <v>1396</v>
      </c>
    </row>
    <row r="168" hidden="1">
      <c r="A168" s="90" t="s">
        <v>1626</v>
      </c>
      <c r="B168" s="90" t="s">
        <v>1627</v>
      </c>
      <c r="C168" s="90" t="s">
        <v>180</v>
      </c>
      <c r="D168" s="90" t="s">
        <v>1628</v>
      </c>
      <c r="E168" s="90" t="s">
        <v>1400</v>
      </c>
      <c r="F168" s="87">
        <v>11.0</v>
      </c>
      <c r="G168" s="87">
        <v>0.0</v>
      </c>
      <c r="H168" s="87">
        <v>4024.0</v>
      </c>
      <c r="I168" s="87">
        <v>0.0</v>
      </c>
      <c r="J168" s="87">
        <v>42.27392</v>
      </c>
      <c r="K168" s="87">
        <v>51.85945</v>
      </c>
      <c r="L168" s="87">
        <v>44.41084</v>
      </c>
      <c r="M168" s="87">
        <v>39.87924</v>
      </c>
      <c r="N168" s="87">
        <v>0.768987</v>
      </c>
      <c r="O168" s="87">
        <v>0.762366</v>
      </c>
      <c r="P168" s="87">
        <v>0.775363</v>
      </c>
      <c r="Q168" s="87">
        <v>1.265591</v>
      </c>
      <c r="R168" s="87">
        <v>1.732258</v>
      </c>
      <c r="S168" s="87">
        <v>2.581923</v>
      </c>
      <c r="T168" s="87">
        <v>0.762366</v>
      </c>
      <c r="U168" s="87">
        <v>0.775363</v>
      </c>
      <c r="V168" s="87">
        <v>1.265591</v>
      </c>
      <c r="W168" s="87">
        <v>1.732258</v>
      </c>
      <c r="X168" s="87">
        <v>2.581923</v>
      </c>
      <c r="Y168" s="87">
        <v>4.714496</v>
      </c>
      <c r="Z168" s="88" t="s">
        <v>1396</v>
      </c>
    </row>
    <row r="169" hidden="1">
      <c r="A169" s="90" t="s">
        <v>1629</v>
      </c>
      <c r="B169" s="90" t="s">
        <v>1631</v>
      </c>
      <c r="C169" s="90" t="s">
        <v>180</v>
      </c>
      <c r="D169" s="90" t="s">
        <v>1632</v>
      </c>
      <c r="E169" s="90" t="s">
        <v>1403</v>
      </c>
      <c r="F169" s="87">
        <v>0.0</v>
      </c>
      <c r="G169" s="87">
        <v>0.0</v>
      </c>
      <c r="H169" s="87">
        <v>0.0</v>
      </c>
      <c r="I169" s="87">
        <v>0.0</v>
      </c>
      <c r="J169" s="87">
        <v>0.0</v>
      </c>
      <c r="K169" s="87">
        <v>0.0</v>
      </c>
      <c r="L169" s="87">
        <v>0.0</v>
      </c>
      <c r="M169" s="87">
        <v>0.0</v>
      </c>
      <c r="N169" s="91"/>
      <c r="O169" s="87">
        <v>0.0</v>
      </c>
      <c r="P169" s="87">
        <v>0.0</v>
      </c>
      <c r="Q169" s="87">
        <v>0.0</v>
      </c>
      <c r="R169" s="87">
        <v>0.0</v>
      </c>
      <c r="S169" s="87">
        <v>0.0</v>
      </c>
      <c r="T169" s="91"/>
      <c r="U169" s="91"/>
      <c r="V169" s="91"/>
      <c r="W169" s="91"/>
      <c r="X169" s="91"/>
      <c r="Y169" s="87">
        <v>0.0</v>
      </c>
      <c r="Z169" s="88" t="s">
        <v>1396</v>
      </c>
    </row>
    <row r="170" hidden="1">
      <c r="A170" s="90" t="s">
        <v>1633</v>
      </c>
      <c r="B170" s="90" t="s">
        <v>1634</v>
      </c>
      <c r="C170" s="90" t="s">
        <v>180</v>
      </c>
      <c r="D170" s="90" t="s">
        <v>808</v>
      </c>
      <c r="E170" s="90" t="s">
        <v>1426</v>
      </c>
      <c r="F170" s="87">
        <v>2.0</v>
      </c>
      <c r="G170" s="87">
        <v>0.0</v>
      </c>
      <c r="H170" s="87">
        <v>245.0</v>
      </c>
      <c r="I170" s="87">
        <v>0.0</v>
      </c>
      <c r="J170" s="87">
        <v>59.73156</v>
      </c>
      <c r="K170" s="87">
        <v>62.44503</v>
      </c>
      <c r="L170" s="87">
        <v>60.3908</v>
      </c>
      <c r="M170" s="87">
        <v>45.66748</v>
      </c>
      <c r="N170" s="87">
        <v>0.731323</v>
      </c>
      <c r="O170" s="87">
        <v>16.77755</v>
      </c>
      <c r="P170" s="87">
        <v>16.77755</v>
      </c>
      <c r="Q170" s="87">
        <v>16.77755</v>
      </c>
      <c r="R170" s="87">
        <v>45.66748</v>
      </c>
      <c r="S170" s="87">
        <v>45.66748</v>
      </c>
      <c r="T170" s="87">
        <v>16.77755</v>
      </c>
      <c r="U170" s="87">
        <v>16.77755</v>
      </c>
      <c r="V170" s="87">
        <v>16.77755</v>
      </c>
      <c r="W170" s="87">
        <v>45.66748</v>
      </c>
      <c r="X170" s="87">
        <v>45.66748</v>
      </c>
      <c r="Y170" s="87">
        <v>31.22251</v>
      </c>
      <c r="Z170" s="88" t="s">
        <v>1396</v>
      </c>
    </row>
    <row r="171" hidden="1">
      <c r="A171" s="90" t="s">
        <v>1635</v>
      </c>
      <c r="B171" s="90" t="s">
        <v>1636</v>
      </c>
      <c r="C171" s="90" t="s">
        <v>180</v>
      </c>
      <c r="D171" s="90" t="s">
        <v>808</v>
      </c>
      <c r="E171" s="86">
        <v>46310.0</v>
      </c>
      <c r="F171" s="87">
        <v>11.0</v>
      </c>
      <c r="G171" s="87">
        <v>0.0</v>
      </c>
      <c r="H171" s="87">
        <v>2591.0</v>
      </c>
      <c r="I171" s="87">
        <v>0.0</v>
      </c>
      <c r="J171" s="87">
        <v>776.0555</v>
      </c>
      <c r="K171" s="87">
        <v>760.1447</v>
      </c>
      <c r="L171" s="87">
        <v>717.9987</v>
      </c>
      <c r="M171" s="87">
        <v>622.4395</v>
      </c>
      <c r="N171" s="87">
        <v>0.818844</v>
      </c>
      <c r="O171" s="87">
        <v>7.728234</v>
      </c>
      <c r="P171" s="87">
        <v>18.01498</v>
      </c>
      <c r="Q171" s="87">
        <v>24.40863</v>
      </c>
      <c r="R171" s="87">
        <v>42.14473</v>
      </c>
      <c r="S171" s="87">
        <v>45.40855</v>
      </c>
      <c r="T171" s="87">
        <v>7.728234</v>
      </c>
      <c r="U171" s="87">
        <v>18.01498</v>
      </c>
      <c r="V171" s="87">
        <v>24.40863</v>
      </c>
      <c r="W171" s="87">
        <v>42.14473</v>
      </c>
      <c r="X171" s="87">
        <v>45.40855</v>
      </c>
      <c r="Y171" s="87">
        <v>108.5921</v>
      </c>
      <c r="Z171" s="88" t="s">
        <v>1396</v>
      </c>
    </row>
    <row r="172" hidden="1">
      <c r="A172" s="90" t="s">
        <v>1637</v>
      </c>
      <c r="B172" s="90" t="s">
        <v>1638</v>
      </c>
      <c r="C172" s="90" t="s">
        <v>180</v>
      </c>
      <c r="D172" s="90" t="s">
        <v>808</v>
      </c>
      <c r="E172" s="90" t="s">
        <v>1413</v>
      </c>
      <c r="F172" s="87">
        <v>2.0</v>
      </c>
      <c r="G172" s="87">
        <v>0.0</v>
      </c>
      <c r="H172" s="87">
        <v>608.0</v>
      </c>
      <c r="I172" s="87">
        <v>0.0</v>
      </c>
      <c r="J172" s="87">
        <v>143.7369</v>
      </c>
      <c r="K172" s="87">
        <v>146.969</v>
      </c>
      <c r="L172" s="87">
        <v>149.2487</v>
      </c>
      <c r="M172" s="87">
        <v>142.3261</v>
      </c>
      <c r="N172" s="87">
        <v>0.968409</v>
      </c>
      <c r="O172" s="87">
        <v>0.0</v>
      </c>
      <c r="P172" s="87">
        <v>0.0</v>
      </c>
      <c r="Q172" s="87">
        <v>0.0</v>
      </c>
      <c r="R172" s="87">
        <v>4.642963</v>
      </c>
      <c r="S172" s="87">
        <v>142.3261</v>
      </c>
      <c r="T172" s="87">
        <v>4.642963</v>
      </c>
      <c r="U172" s="87">
        <v>4.642963</v>
      </c>
      <c r="V172" s="87">
        <v>4.642963</v>
      </c>
      <c r="W172" s="87">
        <v>142.3261</v>
      </c>
      <c r="X172" s="87">
        <v>142.3261</v>
      </c>
      <c r="Y172" s="87">
        <v>48.98967</v>
      </c>
      <c r="Z172" s="88" t="s">
        <v>1396</v>
      </c>
    </row>
    <row r="173" hidden="1">
      <c r="A173" s="90" t="s">
        <v>1639</v>
      </c>
      <c r="B173" s="90" t="s">
        <v>1640</v>
      </c>
      <c r="C173" s="90" t="s">
        <v>180</v>
      </c>
      <c r="D173" s="90" t="s">
        <v>808</v>
      </c>
      <c r="E173" s="90" t="s">
        <v>1398</v>
      </c>
      <c r="F173" s="87">
        <v>1.0</v>
      </c>
      <c r="G173" s="87">
        <v>0.0</v>
      </c>
      <c r="H173" s="87">
        <v>72.0</v>
      </c>
      <c r="I173" s="87">
        <v>0.0</v>
      </c>
      <c r="J173" s="87">
        <v>0.0</v>
      </c>
      <c r="K173" s="87">
        <v>0.0</v>
      </c>
      <c r="L173" s="87">
        <v>0.0</v>
      </c>
      <c r="M173" s="87">
        <v>0.0</v>
      </c>
      <c r="N173" s="91"/>
      <c r="O173" s="91"/>
      <c r="P173" s="91"/>
      <c r="Q173" s="91"/>
      <c r="R173" s="91"/>
      <c r="S173" s="91"/>
      <c r="T173" s="91"/>
      <c r="U173" s="91"/>
      <c r="V173" s="91"/>
      <c r="W173" s="91"/>
      <c r="X173" s="91"/>
      <c r="Y173" s="91"/>
      <c r="Z173" s="88" t="s">
        <v>1396</v>
      </c>
    </row>
    <row r="174" hidden="1">
      <c r="A174" s="90" t="s">
        <v>1626</v>
      </c>
      <c r="B174" s="90" t="s">
        <v>1641</v>
      </c>
      <c r="C174" s="90" t="s">
        <v>180</v>
      </c>
      <c r="D174" s="90" t="s">
        <v>808</v>
      </c>
      <c r="E174" s="90" t="s">
        <v>1400</v>
      </c>
      <c r="F174" s="87">
        <v>1.0</v>
      </c>
      <c r="G174" s="87">
        <v>0.0</v>
      </c>
      <c r="H174" s="87">
        <v>48.0</v>
      </c>
      <c r="I174" s="87">
        <v>0.0</v>
      </c>
      <c r="J174" s="87">
        <v>14.62334</v>
      </c>
      <c r="K174" s="87">
        <v>16.57278</v>
      </c>
      <c r="L174" s="87">
        <v>16.37736</v>
      </c>
      <c r="M174" s="87">
        <v>16.57278</v>
      </c>
      <c r="N174" s="87">
        <v>1.0</v>
      </c>
      <c r="O174" s="87">
        <v>16.57278</v>
      </c>
      <c r="P174" s="87">
        <v>16.57278</v>
      </c>
      <c r="Q174" s="87">
        <v>16.57278</v>
      </c>
      <c r="R174" s="87">
        <v>16.57278</v>
      </c>
      <c r="S174" s="87">
        <v>16.57278</v>
      </c>
      <c r="T174" s="87">
        <v>16.57278</v>
      </c>
      <c r="U174" s="87">
        <v>16.57278</v>
      </c>
      <c r="V174" s="87">
        <v>16.57278</v>
      </c>
      <c r="W174" s="87">
        <v>16.57278</v>
      </c>
      <c r="X174" s="87">
        <v>16.57278</v>
      </c>
      <c r="Y174" s="87">
        <v>16.57278</v>
      </c>
      <c r="Z174" s="88" t="s">
        <v>1396</v>
      </c>
    </row>
    <row r="175" hidden="1">
      <c r="A175" s="90" t="s">
        <v>1642</v>
      </c>
      <c r="B175" s="90" t="s">
        <v>1643</v>
      </c>
      <c r="C175" s="90" t="s">
        <v>180</v>
      </c>
      <c r="D175" s="90" t="s">
        <v>808</v>
      </c>
      <c r="E175" s="89">
        <v>46300.0</v>
      </c>
      <c r="F175" s="87">
        <v>14.0</v>
      </c>
      <c r="G175" s="87">
        <v>0.0</v>
      </c>
      <c r="H175" s="87">
        <v>7797.0</v>
      </c>
      <c r="I175" s="87">
        <v>0.0</v>
      </c>
      <c r="J175" s="87">
        <v>1444.665</v>
      </c>
      <c r="K175" s="87">
        <v>1497.314</v>
      </c>
      <c r="L175" s="87">
        <v>1479.721</v>
      </c>
      <c r="M175" s="87">
        <v>1216.929</v>
      </c>
      <c r="N175" s="87">
        <v>0.812741</v>
      </c>
      <c r="O175" s="87">
        <v>0.0</v>
      </c>
      <c r="P175" s="87">
        <v>0.0</v>
      </c>
      <c r="Q175" s="87">
        <v>15.81412</v>
      </c>
      <c r="R175" s="87">
        <v>42.64474</v>
      </c>
      <c r="S175" s="87">
        <v>82.96401</v>
      </c>
      <c r="T175" s="87">
        <v>21.90565</v>
      </c>
      <c r="U175" s="87">
        <v>37.68809</v>
      </c>
      <c r="V175" s="87">
        <v>42.64474</v>
      </c>
      <c r="W175" s="87">
        <v>82.96401</v>
      </c>
      <c r="X175" s="87">
        <v>115.4162</v>
      </c>
      <c r="Y175" s="87">
        <v>106.951</v>
      </c>
      <c r="Z175" s="88" t="s">
        <v>1396</v>
      </c>
    </row>
    <row r="176" hidden="1">
      <c r="A176" s="90" t="s">
        <v>1629</v>
      </c>
      <c r="B176" s="90" t="s">
        <v>1644</v>
      </c>
      <c r="C176" s="90" t="s">
        <v>180</v>
      </c>
      <c r="D176" s="90" t="s">
        <v>808</v>
      </c>
      <c r="E176" s="90" t="s">
        <v>1403</v>
      </c>
      <c r="F176" s="87">
        <v>0.0</v>
      </c>
      <c r="G176" s="87">
        <v>0.0</v>
      </c>
      <c r="H176" s="87">
        <v>0.0</v>
      </c>
      <c r="I176" s="87">
        <v>0.0</v>
      </c>
      <c r="J176" s="87">
        <v>0.0</v>
      </c>
      <c r="K176" s="87">
        <v>0.0</v>
      </c>
      <c r="L176" s="87">
        <v>0.0</v>
      </c>
      <c r="M176" s="87">
        <v>0.0</v>
      </c>
      <c r="N176" s="91"/>
      <c r="O176" s="87">
        <v>0.0</v>
      </c>
      <c r="P176" s="87">
        <v>0.0</v>
      </c>
      <c r="Q176" s="87">
        <v>0.0</v>
      </c>
      <c r="R176" s="87">
        <v>0.0</v>
      </c>
      <c r="S176" s="87">
        <v>0.0</v>
      </c>
      <c r="T176" s="91"/>
      <c r="U176" s="91"/>
      <c r="V176" s="91"/>
      <c r="W176" s="91"/>
      <c r="X176" s="91"/>
      <c r="Y176" s="87">
        <v>0.0</v>
      </c>
      <c r="Z176" s="88" t="s">
        <v>1396</v>
      </c>
    </row>
    <row r="177" hidden="1">
      <c r="A177" s="90" t="s">
        <v>1633</v>
      </c>
      <c r="B177" s="90" t="s">
        <v>1645</v>
      </c>
      <c r="C177" s="90" t="s">
        <v>180</v>
      </c>
      <c r="D177" s="90" t="s">
        <v>191</v>
      </c>
      <c r="E177" s="90" t="s">
        <v>1426</v>
      </c>
      <c r="F177" s="87">
        <v>15.0</v>
      </c>
      <c r="G177" s="87">
        <v>0.0</v>
      </c>
      <c r="H177" s="87">
        <v>18993.0</v>
      </c>
      <c r="I177" s="87">
        <v>0.0</v>
      </c>
      <c r="J177" s="87">
        <v>586.4877</v>
      </c>
      <c r="K177" s="87">
        <v>620.3526</v>
      </c>
      <c r="L177" s="87">
        <v>639.2454</v>
      </c>
      <c r="M177" s="87">
        <v>304.7358</v>
      </c>
      <c r="N177" s="87">
        <v>0.49123</v>
      </c>
      <c r="O177" s="87">
        <v>0.0</v>
      </c>
      <c r="P177" s="87">
        <v>9.933918</v>
      </c>
      <c r="Q177" s="87">
        <v>20.9795</v>
      </c>
      <c r="R177" s="87">
        <v>36.05581</v>
      </c>
      <c r="S177" s="87">
        <v>58.45508</v>
      </c>
      <c r="T177" s="87">
        <v>20.9795</v>
      </c>
      <c r="U177" s="87">
        <v>24.16854</v>
      </c>
      <c r="V177" s="87">
        <v>31.53914</v>
      </c>
      <c r="W177" s="87">
        <v>43.9694</v>
      </c>
      <c r="X177" s="87">
        <v>64.71287</v>
      </c>
      <c r="Y177" s="87">
        <v>38.77204</v>
      </c>
      <c r="Z177" s="88" t="s">
        <v>1396</v>
      </c>
    </row>
    <row r="178" hidden="1">
      <c r="A178" s="90" t="s">
        <v>1635</v>
      </c>
      <c r="B178" s="90" t="s">
        <v>1646</v>
      </c>
      <c r="C178" s="90" t="s">
        <v>180</v>
      </c>
      <c r="D178" s="90" t="s">
        <v>191</v>
      </c>
      <c r="E178" s="86">
        <v>46310.0</v>
      </c>
      <c r="F178" s="87">
        <v>8.0</v>
      </c>
      <c r="G178" s="87">
        <v>2.0</v>
      </c>
      <c r="H178" s="87">
        <v>6307.0</v>
      </c>
      <c r="I178" s="87">
        <v>205.0</v>
      </c>
      <c r="J178" s="87">
        <v>96.53055</v>
      </c>
      <c r="K178" s="87">
        <v>102.0999</v>
      </c>
      <c r="L178" s="87">
        <v>96.22076</v>
      </c>
      <c r="M178" s="87">
        <v>61.15004</v>
      </c>
      <c r="N178" s="87">
        <v>0.598924</v>
      </c>
      <c r="O178" s="87">
        <v>8.071574</v>
      </c>
      <c r="P178" s="87">
        <v>10.31546</v>
      </c>
      <c r="Q178" s="87">
        <v>10.31546</v>
      </c>
      <c r="R178" s="87">
        <v>11.66018</v>
      </c>
      <c r="S178" s="87">
        <v>14.78789</v>
      </c>
      <c r="T178" s="87">
        <v>8.071574</v>
      </c>
      <c r="U178" s="87">
        <v>10.31546</v>
      </c>
      <c r="V178" s="87">
        <v>10.31546</v>
      </c>
      <c r="W178" s="87">
        <v>11.66018</v>
      </c>
      <c r="X178" s="87">
        <v>14.78789</v>
      </c>
      <c r="Y178" s="87">
        <v>17.01665</v>
      </c>
      <c r="Z178" s="88" t="s">
        <v>1396</v>
      </c>
    </row>
    <row r="179" hidden="1">
      <c r="A179" s="90" t="s">
        <v>1637</v>
      </c>
      <c r="B179" s="90" t="s">
        <v>1647</v>
      </c>
      <c r="C179" s="90" t="s">
        <v>180</v>
      </c>
      <c r="D179" s="90" t="s">
        <v>191</v>
      </c>
      <c r="E179" s="90" t="s">
        <v>1413</v>
      </c>
      <c r="F179" s="87">
        <v>10.0</v>
      </c>
      <c r="G179" s="87">
        <v>1.0</v>
      </c>
      <c r="H179" s="87">
        <v>28811.0</v>
      </c>
      <c r="I179" s="87">
        <v>6.0</v>
      </c>
      <c r="J179" s="87">
        <v>230.4783</v>
      </c>
      <c r="K179" s="87">
        <v>241.5306</v>
      </c>
      <c r="L179" s="87">
        <v>244.9018</v>
      </c>
      <c r="M179" s="87">
        <v>167.9569</v>
      </c>
      <c r="N179" s="87">
        <v>0.695385</v>
      </c>
      <c r="O179" s="87">
        <v>1.423354</v>
      </c>
      <c r="P179" s="87">
        <v>3.745428</v>
      </c>
      <c r="Q179" s="87">
        <v>3.978901</v>
      </c>
      <c r="R179" s="87">
        <v>10.23336</v>
      </c>
      <c r="S179" s="87">
        <v>35.89582</v>
      </c>
      <c r="T179" s="87">
        <v>1.423354</v>
      </c>
      <c r="U179" s="87">
        <v>3.745428</v>
      </c>
      <c r="V179" s="87">
        <v>3.978901</v>
      </c>
      <c r="W179" s="87">
        <v>10.23336</v>
      </c>
      <c r="X179" s="87">
        <v>35.89582</v>
      </c>
      <c r="Y179" s="87">
        <v>26.83674</v>
      </c>
      <c r="Z179" s="88" t="s">
        <v>1396</v>
      </c>
    </row>
    <row r="180" hidden="1">
      <c r="A180" s="90" t="s">
        <v>1639</v>
      </c>
      <c r="B180" s="90" t="s">
        <v>1648</v>
      </c>
      <c r="C180" s="90" t="s">
        <v>180</v>
      </c>
      <c r="D180" s="90" t="s">
        <v>191</v>
      </c>
      <c r="E180" s="90" t="s">
        <v>1398</v>
      </c>
      <c r="F180" s="87">
        <v>11.0</v>
      </c>
      <c r="G180" s="87">
        <v>1.0</v>
      </c>
      <c r="H180" s="87">
        <v>6176.0</v>
      </c>
      <c r="I180" s="87">
        <v>2.0</v>
      </c>
      <c r="J180" s="87">
        <v>51.08463</v>
      </c>
      <c r="K180" s="87">
        <v>51.00922</v>
      </c>
      <c r="L180" s="87">
        <v>50.92554</v>
      </c>
      <c r="M180" s="87">
        <v>22.29102</v>
      </c>
      <c r="N180" s="87">
        <v>0.437</v>
      </c>
      <c r="O180" s="87">
        <v>3.238837</v>
      </c>
      <c r="P180" s="87">
        <v>4.549103</v>
      </c>
      <c r="Q180" s="87">
        <v>6.249179</v>
      </c>
      <c r="R180" s="87">
        <v>6.414174</v>
      </c>
      <c r="S180" s="87">
        <v>8.266911</v>
      </c>
      <c r="T180" s="87">
        <v>3.238837</v>
      </c>
      <c r="U180" s="87">
        <v>4.549103</v>
      </c>
      <c r="V180" s="87">
        <v>6.249179</v>
      </c>
      <c r="W180" s="87">
        <v>6.414174</v>
      </c>
      <c r="X180" s="87">
        <v>8.266911</v>
      </c>
      <c r="Y180" s="87">
        <v>7.287032</v>
      </c>
      <c r="Z180" s="88" t="s">
        <v>1396</v>
      </c>
    </row>
    <row r="181" hidden="1">
      <c r="A181" s="90" t="s">
        <v>1642</v>
      </c>
      <c r="B181" s="90" t="s">
        <v>1649</v>
      </c>
      <c r="C181" s="90" t="s">
        <v>180</v>
      </c>
      <c r="D181" s="90" t="s">
        <v>191</v>
      </c>
      <c r="E181" s="89">
        <v>46300.0</v>
      </c>
      <c r="F181" s="87">
        <v>5.0</v>
      </c>
      <c r="G181" s="87">
        <v>0.0</v>
      </c>
      <c r="H181" s="87">
        <v>1224.0</v>
      </c>
      <c r="I181" s="87">
        <v>0.0</v>
      </c>
      <c r="J181" s="87">
        <v>5.505495</v>
      </c>
      <c r="K181" s="87">
        <v>4.93953</v>
      </c>
      <c r="L181" s="87">
        <v>5.408199</v>
      </c>
      <c r="M181" s="87">
        <v>4.93953</v>
      </c>
      <c r="N181" s="87">
        <v>1.0</v>
      </c>
      <c r="O181" s="87">
        <v>0.0</v>
      </c>
      <c r="P181" s="87">
        <v>0.0</v>
      </c>
      <c r="Q181" s="87">
        <v>0.0</v>
      </c>
      <c r="R181" s="87">
        <v>0.0</v>
      </c>
      <c r="S181" s="87">
        <v>4.93953</v>
      </c>
      <c r="T181" s="87">
        <v>4.93953</v>
      </c>
      <c r="U181" s="87">
        <v>4.93953</v>
      </c>
      <c r="V181" s="87">
        <v>4.93953</v>
      </c>
      <c r="W181" s="87">
        <v>4.93953</v>
      </c>
      <c r="X181" s="87">
        <v>4.93953</v>
      </c>
      <c r="Y181" s="87">
        <v>1.64651</v>
      </c>
      <c r="Z181" s="88" t="s">
        <v>1396</v>
      </c>
    </row>
    <row r="182" hidden="1">
      <c r="A182" s="90" t="s">
        <v>1629</v>
      </c>
      <c r="B182" s="90" t="s">
        <v>1650</v>
      </c>
      <c r="C182" s="90" t="s">
        <v>180</v>
      </c>
      <c r="D182" s="90" t="s">
        <v>191</v>
      </c>
      <c r="E182" s="90" t="s">
        <v>1403</v>
      </c>
      <c r="F182" s="87">
        <v>2.0</v>
      </c>
      <c r="G182" s="87">
        <v>2.0</v>
      </c>
      <c r="H182" s="87">
        <v>295.0</v>
      </c>
      <c r="I182" s="87">
        <v>295.0</v>
      </c>
      <c r="J182" s="87">
        <v>0.0</v>
      </c>
      <c r="K182" s="87">
        <v>0.0</v>
      </c>
      <c r="L182" s="87">
        <v>0.0</v>
      </c>
      <c r="M182" s="87">
        <v>0.0</v>
      </c>
      <c r="N182" s="91"/>
      <c r="O182" s="87">
        <v>0.0</v>
      </c>
      <c r="P182" s="87">
        <v>0.0</v>
      </c>
      <c r="Q182" s="87">
        <v>0.0</v>
      </c>
      <c r="R182" s="87">
        <v>0.0</v>
      </c>
      <c r="S182" s="87">
        <v>0.0</v>
      </c>
      <c r="T182" s="91"/>
      <c r="U182" s="91"/>
      <c r="V182" s="91"/>
      <c r="W182" s="91"/>
      <c r="X182" s="91"/>
      <c r="Y182" s="87">
        <v>0.0</v>
      </c>
      <c r="Z182" s="88" t="s">
        <v>1396</v>
      </c>
    </row>
    <row r="183">
      <c r="A183" s="90" t="s">
        <v>1633</v>
      </c>
      <c r="B183" s="90" t="s">
        <v>1651</v>
      </c>
      <c r="C183" s="90" t="s">
        <v>180</v>
      </c>
      <c r="D183" s="90" t="s">
        <v>844</v>
      </c>
      <c r="E183" s="90" t="s">
        <v>1426</v>
      </c>
      <c r="F183" s="87">
        <v>15.0</v>
      </c>
      <c r="G183" s="87">
        <v>0.0</v>
      </c>
      <c r="H183" s="87">
        <v>4793.0</v>
      </c>
      <c r="I183" s="87">
        <v>0.0</v>
      </c>
      <c r="J183" s="87">
        <v>354.6848</v>
      </c>
      <c r="K183" s="87">
        <v>360.7318</v>
      </c>
      <c r="L183" s="87">
        <v>368.3842</v>
      </c>
      <c r="M183" s="87">
        <v>155.9958</v>
      </c>
      <c r="N183" s="87">
        <v>0.432443</v>
      </c>
      <c r="O183" s="87">
        <v>0.0</v>
      </c>
      <c r="P183" s="87">
        <v>0.0</v>
      </c>
      <c r="Q183" s="87">
        <v>18.11029</v>
      </c>
      <c r="R183" s="87">
        <v>24.42536</v>
      </c>
      <c r="S183" s="87">
        <v>36.22956</v>
      </c>
      <c r="T183" s="87">
        <v>18.11029</v>
      </c>
      <c r="U183" s="87">
        <v>22.60489</v>
      </c>
      <c r="V183" s="87">
        <v>22.90576</v>
      </c>
      <c r="W183" s="87">
        <v>26.48739</v>
      </c>
      <c r="X183" s="87">
        <v>40.27415</v>
      </c>
      <c r="Y183" s="87">
        <v>25.76656</v>
      </c>
      <c r="Z183" s="88" t="s">
        <v>1396</v>
      </c>
    </row>
    <row r="184" hidden="1">
      <c r="A184" s="90" t="s">
        <v>1635</v>
      </c>
      <c r="B184" s="90" t="s">
        <v>1652</v>
      </c>
      <c r="C184" s="90" t="s">
        <v>180</v>
      </c>
      <c r="D184" s="90" t="s">
        <v>844</v>
      </c>
      <c r="E184" s="86">
        <v>46310.0</v>
      </c>
      <c r="F184" s="87">
        <v>31.0</v>
      </c>
      <c r="G184" s="87">
        <v>0.0</v>
      </c>
      <c r="H184" s="87">
        <v>13833.0</v>
      </c>
      <c r="I184" s="87">
        <v>0.0</v>
      </c>
      <c r="J184" s="87">
        <v>383.5811</v>
      </c>
      <c r="K184" s="87">
        <v>414.6674</v>
      </c>
      <c r="L184" s="87">
        <v>430.6776</v>
      </c>
      <c r="M184" s="87">
        <v>250.2667</v>
      </c>
      <c r="N184" s="87">
        <v>0.603536</v>
      </c>
      <c r="O184" s="87">
        <v>0.0</v>
      </c>
      <c r="P184" s="87">
        <v>1.921018</v>
      </c>
      <c r="Q184" s="87">
        <v>2.462771</v>
      </c>
      <c r="R184" s="87">
        <v>7.906968</v>
      </c>
      <c r="S184" s="87">
        <v>16.70011</v>
      </c>
      <c r="T184" s="87">
        <v>1.921018</v>
      </c>
      <c r="U184" s="87">
        <v>2.462771</v>
      </c>
      <c r="V184" s="87">
        <v>2.507161</v>
      </c>
      <c r="W184" s="87">
        <v>12.7804</v>
      </c>
      <c r="X184" s="87">
        <v>18.16236</v>
      </c>
      <c r="Y184" s="87">
        <v>13.82225</v>
      </c>
      <c r="Z184" s="88" t="s">
        <v>1396</v>
      </c>
    </row>
    <row r="185" hidden="1">
      <c r="A185" s="90" t="s">
        <v>1637</v>
      </c>
      <c r="B185" s="90" t="s">
        <v>1653</v>
      </c>
      <c r="C185" s="90" t="s">
        <v>180</v>
      </c>
      <c r="D185" s="90" t="s">
        <v>844</v>
      </c>
      <c r="E185" s="90" t="s">
        <v>1413</v>
      </c>
      <c r="F185" s="87">
        <v>17.0</v>
      </c>
      <c r="G185" s="87">
        <v>0.0</v>
      </c>
      <c r="H185" s="87">
        <v>12167.0</v>
      </c>
      <c r="I185" s="87">
        <v>0.0</v>
      </c>
      <c r="J185" s="87">
        <v>141.2721</v>
      </c>
      <c r="K185" s="87">
        <v>143.5862</v>
      </c>
      <c r="L185" s="87">
        <v>139.1275</v>
      </c>
      <c r="M185" s="87">
        <v>67.12195</v>
      </c>
      <c r="N185" s="87">
        <v>0.467468</v>
      </c>
      <c r="O185" s="87">
        <v>4.873068</v>
      </c>
      <c r="P185" s="87">
        <v>6.11426</v>
      </c>
      <c r="Q185" s="87">
        <v>6.631259</v>
      </c>
      <c r="R185" s="87">
        <v>10.4633</v>
      </c>
      <c r="S185" s="87">
        <v>13.91426</v>
      </c>
      <c r="T185" s="87">
        <v>4.873068</v>
      </c>
      <c r="U185" s="87">
        <v>6.11426</v>
      </c>
      <c r="V185" s="87">
        <v>6.631259</v>
      </c>
      <c r="W185" s="87">
        <v>10.4633</v>
      </c>
      <c r="X185" s="87">
        <v>13.91426</v>
      </c>
      <c r="Y185" s="87">
        <v>11.96551</v>
      </c>
      <c r="Z185" s="88" t="s">
        <v>1396</v>
      </c>
    </row>
    <row r="186" hidden="1">
      <c r="A186" s="90" t="s">
        <v>1639</v>
      </c>
      <c r="B186" s="90" t="s">
        <v>1654</v>
      </c>
      <c r="C186" s="90" t="s">
        <v>180</v>
      </c>
      <c r="D186" s="90" t="s">
        <v>844</v>
      </c>
      <c r="E186" s="90" t="s">
        <v>1398</v>
      </c>
      <c r="F186" s="87">
        <v>7.0</v>
      </c>
      <c r="G186" s="87">
        <v>0.0</v>
      </c>
      <c r="H186" s="87">
        <v>2337.0</v>
      </c>
      <c r="I186" s="87">
        <v>0.0</v>
      </c>
      <c r="J186" s="87">
        <v>28.08192</v>
      </c>
      <c r="K186" s="87">
        <v>25.81188</v>
      </c>
      <c r="L186" s="87">
        <v>25.87901</v>
      </c>
      <c r="M186" s="87">
        <v>8.934099</v>
      </c>
      <c r="N186" s="87">
        <v>0.346123</v>
      </c>
      <c r="O186" s="87">
        <v>8.209459</v>
      </c>
      <c r="P186" s="87">
        <v>8.209459</v>
      </c>
      <c r="Q186" s="87">
        <v>8.209459</v>
      </c>
      <c r="R186" s="87">
        <v>8.668325</v>
      </c>
      <c r="S186" s="87">
        <v>8.934099</v>
      </c>
      <c r="T186" s="87">
        <v>8.209459</v>
      </c>
      <c r="U186" s="87">
        <v>8.209459</v>
      </c>
      <c r="V186" s="87">
        <v>8.209459</v>
      </c>
      <c r="W186" s="87">
        <v>8.668325</v>
      </c>
      <c r="X186" s="87">
        <v>8.934099</v>
      </c>
      <c r="Y186" s="87">
        <v>8.603961</v>
      </c>
      <c r="Z186" s="88" t="s">
        <v>1396</v>
      </c>
    </row>
    <row r="187" hidden="1">
      <c r="A187" s="90" t="s">
        <v>1626</v>
      </c>
      <c r="B187" s="90" t="s">
        <v>1655</v>
      </c>
      <c r="C187" s="90" t="s">
        <v>180</v>
      </c>
      <c r="D187" s="90" t="s">
        <v>844</v>
      </c>
      <c r="E187" s="90" t="s">
        <v>1400</v>
      </c>
      <c r="F187" s="87">
        <v>14.0</v>
      </c>
      <c r="G187" s="87">
        <v>4.0</v>
      </c>
      <c r="H187" s="87">
        <v>5096.0</v>
      </c>
      <c r="I187" s="87">
        <v>1653.0</v>
      </c>
      <c r="J187" s="87">
        <v>6.132226</v>
      </c>
      <c r="K187" s="87">
        <v>6.961562</v>
      </c>
      <c r="L187" s="87">
        <v>6.468819</v>
      </c>
      <c r="M187" s="87">
        <v>2.30829</v>
      </c>
      <c r="N187" s="87">
        <v>0.331576</v>
      </c>
      <c r="O187" s="87">
        <v>0.066667</v>
      </c>
      <c r="P187" s="87">
        <v>1.319139</v>
      </c>
      <c r="Q187" s="87">
        <v>1.319139</v>
      </c>
      <c r="R187" s="87">
        <v>1.383273</v>
      </c>
      <c r="S187" s="87">
        <v>1.884193</v>
      </c>
      <c r="T187" s="87">
        <v>0.066667</v>
      </c>
      <c r="U187" s="87">
        <v>1.319139</v>
      </c>
      <c r="V187" s="87">
        <v>1.319139</v>
      </c>
      <c r="W187" s="87">
        <v>1.383273</v>
      </c>
      <c r="X187" s="87">
        <v>1.884193</v>
      </c>
      <c r="Y187" s="87">
        <v>1.392312</v>
      </c>
      <c r="Z187" s="88" t="s">
        <v>1396</v>
      </c>
    </row>
    <row r="188" hidden="1">
      <c r="A188" s="90" t="s">
        <v>1642</v>
      </c>
      <c r="B188" s="90" t="s">
        <v>1656</v>
      </c>
      <c r="C188" s="90" t="s">
        <v>180</v>
      </c>
      <c r="D188" s="90" t="s">
        <v>844</v>
      </c>
      <c r="E188" s="89">
        <v>46300.0</v>
      </c>
      <c r="F188" s="87">
        <v>33.0</v>
      </c>
      <c r="G188" s="87">
        <v>2.0</v>
      </c>
      <c r="H188" s="87">
        <v>29179.0</v>
      </c>
      <c r="I188" s="87">
        <v>5.0</v>
      </c>
      <c r="J188" s="87">
        <v>492.8465</v>
      </c>
      <c r="K188" s="87">
        <v>583.9384</v>
      </c>
      <c r="L188" s="87">
        <v>617.7221</v>
      </c>
      <c r="M188" s="87">
        <v>387.6097</v>
      </c>
      <c r="N188" s="87">
        <v>0.663785</v>
      </c>
      <c r="O188" s="87">
        <v>0.0</v>
      </c>
      <c r="P188" s="87">
        <v>1.023645</v>
      </c>
      <c r="Q188" s="87">
        <v>1.621625</v>
      </c>
      <c r="R188" s="87">
        <v>11.36864</v>
      </c>
      <c r="S188" s="87">
        <v>16.4019</v>
      </c>
      <c r="T188" s="87">
        <v>1.503667</v>
      </c>
      <c r="U188" s="87">
        <v>5.821588</v>
      </c>
      <c r="V188" s="87">
        <v>10.06436</v>
      </c>
      <c r="W188" s="87">
        <v>12.14519</v>
      </c>
      <c r="X188" s="87">
        <v>18.5</v>
      </c>
      <c r="Y188" s="87">
        <v>17.6951</v>
      </c>
      <c r="Z188" s="88" t="s">
        <v>1396</v>
      </c>
    </row>
    <row r="189" hidden="1">
      <c r="A189" s="90" t="s">
        <v>1629</v>
      </c>
      <c r="B189" s="90" t="s">
        <v>1657</v>
      </c>
      <c r="C189" s="90" t="s">
        <v>180</v>
      </c>
      <c r="D189" s="90" t="s">
        <v>844</v>
      </c>
      <c r="E189" s="90" t="s">
        <v>1403</v>
      </c>
      <c r="F189" s="87">
        <v>22.0</v>
      </c>
      <c r="G189" s="87">
        <v>22.0</v>
      </c>
      <c r="H189" s="87">
        <v>1134.0</v>
      </c>
      <c r="I189" s="87">
        <v>1134.0</v>
      </c>
      <c r="J189" s="87">
        <v>0.0</v>
      </c>
      <c r="K189" s="87">
        <v>0.0</v>
      </c>
      <c r="L189" s="87">
        <v>0.0</v>
      </c>
      <c r="M189" s="87">
        <v>0.0</v>
      </c>
      <c r="N189" s="91"/>
      <c r="O189" s="87">
        <v>0.0</v>
      </c>
      <c r="P189" s="87">
        <v>0.0</v>
      </c>
      <c r="Q189" s="87">
        <v>0.0</v>
      </c>
      <c r="R189" s="87">
        <v>0.0</v>
      </c>
      <c r="S189" s="87">
        <v>0.0</v>
      </c>
      <c r="T189" s="91"/>
      <c r="U189" s="91"/>
      <c r="V189" s="91"/>
      <c r="W189" s="91"/>
      <c r="X189" s="91"/>
      <c r="Y189" s="87">
        <v>0.0</v>
      </c>
      <c r="Z189" s="88" t="s">
        <v>1396</v>
      </c>
    </row>
    <row r="190" hidden="1">
      <c r="A190" s="90" t="s">
        <v>1629</v>
      </c>
      <c r="B190" s="90" t="s">
        <v>1658</v>
      </c>
      <c r="C190" s="90" t="s">
        <v>180</v>
      </c>
      <c r="D190" s="90" t="s">
        <v>1659</v>
      </c>
      <c r="E190" s="90" t="s">
        <v>1403</v>
      </c>
      <c r="F190" s="87">
        <v>0.0</v>
      </c>
      <c r="G190" s="87">
        <v>0.0</v>
      </c>
      <c r="H190" s="87">
        <v>0.0</v>
      </c>
      <c r="I190" s="87">
        <v>0.0</v>
      </c>
      <c r="J190" s="87">
        <v>0.0</v>
      </c>
      <c r="K190" s="87">
        <v>0.0</v>
      </c>
      <c r="L190" s="87">
        <v>0.0</v>
      </c>
      <c r="M190" s="87">
        <v>0.0</v>
      </c>
      <c r="N190" s="91"/>
      <c r="O190" s="87">
        <v>0.0</v>
      </c>
      <c r="P190" s="87">
        <v>0.0</v>
      </c>
      <c r="Q190" s="87">
        <v>0.0</v>
      </c>
      <c r="R190" s="87">
        <v>0.0</v>
      </c>
      <c r="S190" s="87">
        <v>0.0</v>
      </c>
      <c r="T190" s="91"/>
      <c r="U190" s="91"/>
      <c r="V190" s="91"/>
      <c r="W190" s="91"/>
      <c r="X190" s="91"/>
      <c r="Y190" s="87">
        <v>0.0</v>
      </c>
      <c r="Z190" s="88" t="s">
        <v>1396</v>
      </c>
    </row>
    <row r="191" hidden="1">
      <c r="A191" s="90" t="s">
        <v>1633</v>
      </c>
      <c r="B191" s="90" t="s">
        <v>1660</v>
      </c>
      <c r="C191" s="90" t="s">
        <v>180</v>
      </c>
      <c r="D191" s="90" t="s">
        <v>815</v>
      </c>
      <c r="E191" s="90" t="s">
        <v>1426</v>
      </c>
      <c r="F191" s="87">
        <v>1.0</v>
      </c>
      <c r="G191" s="87">
        <v>0.0</v>
      </c>
      <c r="H191" s="87">
        <v>2835.0</v>
      </c>
      <c r="I191" s="87">
        <v>0.0</v>
      </c>
      <c r="J191" s="87">
        <v>31.11032</v>
      </c>
      <c r="K191" s="87">
        <v>31.04495</v>
      </c>
      <c r="L191" s="87">
        <v>33.65351</v>
      </c>
      <c r="M191" s="87">
        <v>31.04495</v>
      </c>
      <c r="N191" s="87">
        <v>1.0</v>
      </c>
      <c r="O191" s="87">
        <v>0.0</v>
      </c>
      <c r="P191" s="87">
        <v>0.0</v>
      </c>
      <c r="Q191" s="87">
        <v>0.0</v>
      </c>
      <c r="R191" s="87">
        <v>31.04495</v>
      </c>
      <c r="S191" s="87">
        <v>31.04495</v>
      </c>
      <c r="T191" s="87">
        <v>31.04495</v>
      </c>
      <c r="U191" s="87">
        <v>31.04495</v>
      </c>
      <c r="V191" s="87">
        <v>31.04495</v>
      </c>
      <c r="W191" s="87">
        <v>31.04495</v>
      </c>
      <c r="X191" s="87">
        <v>31.04495</v>
      </c>
      <c r="Y191" s="87">
        <v>15.52248</v>
      </c>
      <c r="Z191" s="88" t="s">
        <v>1396</v>
      </c>
    </row>
    <row r="192" hidden="1">
      <c r="A192" s="90" t="s">
        <v>1635</v>
      </c>
      <c r="B192" s="90" t="s">
        <v>1661</v>
      </c>
      <c r="C192" s="90" t="s">
        <v>180</v>
      </c>
      <c r="D192" s="90" t="s">
        <v>815</v>
      </c>
      <c r="E192" s="86">
        <v>46310.0</v>
      </c>
      <c r="F192" s="87">
        <v>8.0</v>
      </c>
      <c r="G192" s="87">
        <v>0.0</v>
      </c>
      <c r="H192" s="87">
        <v>4468.0</v>
      </c>
      <c r="I192" s="87">
        <v>0.0</v>
      </c>
      <c r="J192" s="87">
        <v>105.824</v>
      </c>
      <c r="K192" s="87">
        <v>118.9937</v>
      </c>
      <c r="L192" s="87">
        <v>106.6727</v>
      </c>
      <c r="M192" s="87">
        <v>76.56563</v>
      </c>
      <c r="N192" s="87">
        <v>0.643443</v>
      </c>
      <c r="O192" s="87">
        <v>0.0</v>
      </c>
      <c r="P192" s="87">
        <v>0.0</v>
      </c>
      <c r="Q192" s="87">
        <v>0.0</v>
      </c>
      <c r="R192" s="87">
        <v>7.679637</v>
      </c>
      <c r="S192" s="87">
        <v>25.68258</v>
      </c>
      <c r="T192" s="87">
        <v>7.679637</v>
      </c>
      <c r="U192" s="87">
        <v>9.065835</v>
      </c>
      <c r="V192" s="87">
        <v>9.065835</v>
      </c>
      <c r="W192" s="87">
        <v>25.68258</v>
      </c>
      <c r="X192" s="87">
        <v>33.49367</v>
      </c>
      <c r="Y192" s="87">
        <v>11.89937</v>
      </c>
      <c r="Z192" s="88" t="s">
        <v>1396</v>
      </c>
    </row>
    <row r="193" hidden="1">
      <c r="A193" s="90" t="s">
        <v>1637</v>
      </c>
      <c r="B193" s="90" t="s">
        <v>1662</v>
      </c>
      <c r="C193" s="90" t="s">
        <v>180</v>
      </c>
      <c r="D193" s="90" t="s">
        <v>815</v>
      </c>
      <c r="E193" s="90" t="s">
        <v>1413</v>
      </c>
      <c r="F193" s="87">
        <v>2.0</v>
      </c>
      <c r="G193" s="87">
        <v>0.0</v>
      </c>
      <c r="H193" s="87">
        <v>703.0</v>
      </c>
      <c r="I193" s="87">
        <v>0.0</v>
      </c>
      <c r="J193" s="87">
        <v>23.17513</v>
      </c>
      <c r="K193" s="87">
        <v>23.79597</v>
      </c>
      <c r="L193" s="87">
        <v>21.84352</v>
      </c>
      <c r="M193" s="87">
        <v>23.79597</v>
      </c>
      <c r="N193" s="87">
        <v>1.0</v>
      </c>
      <c r="O193" s="87">
        <v>0.0</v>
      </c>
      <c r="P193" s="87">
        <v>0.0</v>
      </c>
      <c r="Q193" s="87">
        <v>0.0</v>
      </c>
      <c r="R193" s="87">
        <v>23.79597</v>
      </c>
      <c r="S193" s="87">
        <v>23.79597</v>
      </c>
      <c r="T193" s="87">
        <v>23.79597</v>
      </c>
      <c r="U193" s="87">
        <v>23.79597</v>
      </c>
      <c r="V193" s="87">
        <v>23.79597</v>
      </c>
      <c r="W193" s="87">
        <v>23.79597</v>
      </c>
      <c r="X193" s="87">
        <v>23.79597</v>
      </c>
      <c r="Y193" s="87">
        <v>11.89799</v>
      </c>
      <c r="Z193" s="88" t="s">
        <v>1396</v>
      </c>
    </row>
    <row r="194" hidden="1">
      <c r="A194" s="90" t="s">
        <v>1639</v>
      </c>
      <c r="B194" s="90" t="s">
        <v>1663</v>
      </c>
      <c r="C194" s="90" t="s">
        <v>180</v>
      </c>
      <c r="D194" s="90" t="s">
        <v>815</v>
      </c>
      <c r="E194" s="90" t="s">
        <v>1398</v>
      </c>
      <c r="F194" s="87">
        <v>0.0</v>
      </c>
      <c r="G194" s="87">
        <v>0.0</v>
      </c>
      <c r="H194" s="87">
        <v>0.0</v>
      </c>
      <c r="I194" s="87">
        <v>0.0</v>
      </c>
      <c r="J194" s="87">
        <v>0.0</v>
      </c>
      <c r="K194" s="87">
        <v>0.0</v>
      </c>
      <c r="L194" s="87">
        <v>0.0</v>
      </c>
      <c r="M194" s="87">
        <v>0.0</v>
      </c>
      <c r="N194" s="91"/>
      <c r="O194" s="87">
        <v>0.0</v>
      </c>
      <c r="P194" s="87">
        <v>0.0</v>
      </c>
      <c r="Q194" s="87">
        <v>0.0</v>
      </c>
      <c r="R194" s="87">
        <v>0.0</v>
      </c>
      <c r="S194" s="87">
        <v>0.0</v>
      </c>
      <c r="T194" s="91"/>
      <c r="U194" s="91"/>
      <c r="V194" s="91"/>
      <c r="W194" s="91"/>
      <c r="X194" s="91"/>
      <c r="Y194" s="87">
        <v>0.0</v>
      </c>
      <c r="Z194" s="88" t="s">
        <v>1396</v>
      </c>
    </row>
    <row r="195" hidden="1">
      <c r="A195" s="90" t="s">
        <v>1626</v>
      </c>
      <c r="B195" s="90" t="s">
        <v>1664</v>
      </c>
      <c r="C195" s="90" t="s">
        <v>180</v>
      </c>
      <c r="D195" s="90" t="s">
        <v>815</v>
      </c>
      <c r="E195" s="90" t="s">
        <v>1400</v>
      </c>
      <c r="F195" s="87">
        <v>0.0</v>
      </c>
      <c r="G195" s="87">
        <v>0.0</v>
      </c>
      <c r="H195" s="87">
        <v>0.0</v>
      </c>
      <c r="I195" s="87">
        <v>0.0</v>
      </c>
      <c r="J195" s="87">
        <v>0.0</v>
      </c>
      <c r="K195" s="87">
        <v>0.0</v>
      </c>
      <c r="L195" s="87">
        <v>0.0</v>
      </c>
      <c r="M195" s="87">
        <v>0.0</v>
      </c>
      <c r="N195" s="91"/>
      <c r="O195" s="87">
        <v>0.0</v>
      </c>
      <c r="P195" s="87">
        <v>0.0</v>
      </c>
      <c r="Q195" s="87">
        <v>0.0</v>
      </c>
      <c r="R195" s="87">
        <v>0.0</v>
      </c>
      <c r="S195" s="87">
        <v>0.0</v>
      </c>
      <c r="T195" s="91"/>
      <c r="U195" s="91"/>
      <c r="V195" s="91"/>
      <c r="W195" s="91"/>
      <c r="X195" s="91"/>
      <c r="Y195" s="87">
        <v>0.0</v>
      </c>
      <c r="Z195" s="88" t="s">
        <v>1396</v>
      </c>
    </row>
    <row r="196" hidden="1">
      <c r="A196" s="90" t="s">
        <v>1642</v>
      </c>
      <c r="B196" s="90" t="s">
        <v>1665</v>
      </c>
      <c r="C196" s="90" t="s">
        <v>180</v>
      </c>
      <c r="D196" s="90" t="s">
        <v>815</v>
      </c>
      <c r="E196" s="89">
        <v>46300.0</v>
      </c>
      <c r="F196" s="87">
        <v>1.0</v>
      </c>
      <c r="G196" s="87">
        <v>0.0</v>
      </c>
      <c r="H196" s="87">
        <v>1027.0</v>
      </c>
      <c r="I196" s="87">
        <v>0.0</v>
      </c>
      <c r="J196" s="87">
        <v>7.619297</v>
      </c>
      <c r="K196" s="87">
        <v>9.474938</v>
      </c>
      <c r="L196" s="87">
        <v>9.906783</v>
      </c>
      <c r="M196" s="87">
        <v>9.474938</v>
      </c>
      <c r="N196" s="87">
        <v>1.0</v>
      </c>
      <c r="O196" s="87">
        <v>0.0</v>
      </c>
      <c r="P196" s="87">
        <v>0.0</v>
      </c>
      <c r="Q196" s="87">
        <v>0.0</v>
      </c>
      <c r="R196" s="87">
        <v>9.474938</v>
      </c>
      <c r="S196" s="87">
        <v>9.474938</v>
      </c>
      <c r="T196" s="87">
        <v>9.474938</v>
      </c>
      <c r="U196" s="87">
        <v>9.474938</v>
      </c>
      <c r="V196" s="87">
        <v>9.474938</v>
      </c>
      <c r="W196" s="87">
        <v>9.474938</v>
      </c>
      <c r="X196" s="87">
        <v>9.474938</v>
      </c>
      <c r="Y196" s="87">
        <v>4.737469</v>
      </c>
      <c r="Z196" s="88" t="s">
        <v>1396</v>
      </c>
    </row>
    <row r="197" hidden="1">
      <c r="A197" s="90" t="s">
        <v>1629</v>
      </c>
      <c r="B197" s="90" t="s">
        <v>1666</v>
      </c>
      <c r="C197" s="90" t="s">
        <v>180</v>
      </c>
      <c r="D197" s="90" t="s">
        <v>815</v>
      </c>
      <c r="E197" s="90" t="s">
        <v>1403</v>
      </c>
      <c r="F197" s="87">
        <v>2.0</v>
      </c>
      <c r="G197" s="87">
        <v>2.0</v>
      </c>
      <c r="H197" s="87">
        <v>40.0</v>
      </c>
      <c r="I197" s="87">
        <v>40.0</v>
      </c>
      <c r="J197" s="87">
        <v>0.0</v>
      </c>
      <c r="K197" s="87">
        <v>0.0</v>
      </c>
      <c r="L197" s="87">
        <v>0.0</v>
      </c>
      <c r="M197" s="87">
        <v>0.0</v>
      </c>
      <c r="N197" s="91"/>
      <c r="O197" s="87">
        <v>0.0</v>
      </c>
      <c r="P197" s="87">
        <v>0.0</v>
      </c>
      <c r="Q197" s="87">
        <v>0.0</v>
      </c>
      <c r="R197" s="87">
        <v>0.0</v>
      </c>
      <c r="S197" s="87">
        <v>0.0</v>
      </c>
      <c r="T197" s="91"/>
      <c r="U197" s="91"/>
      <c r="V197" s="91"/>
      <c r="W197" s="91"/>
      <c r="X197" s="91"/>
      <c r="Y197" s="87">
        <v>0.0</v>
      </c>
      <c r="Z197" s="88" t="s">
        <v>1396</v>
      </c>
    </row>
    <row r="198" hidden="1">
      <c r="A198" s="90" t="s">
        <v>1633</v>
      </c>
      <c r="B198" s="90" t="s">
        <v>1667</v>
      </c>
      <c r="C198" s="90" t="s">
        <v>180</v>
      </c>
      <c r="D198" s="90" t="s">
        <v>186</v>
      </c>
      <c r="E198" s="90" t="s">
        <v>1426</v>
      </c>
      <c r="F198" s="87">
        <v>21.0</v>
      </c>
      <c r="G198" s="87">
        <v>2.0</v>
      </c>
      <c r="H198" s="87">
        <v>31455.0</v>
      </c>
      <c r="I198" s="87">
        <v>9.0</v>
      </c>
      <c r="J198" s="87">
        <v>301.6194</v>
      </c>
      <c r="K198" s="87">
        <v>315.8391</v>
      </c>
      <c r="L198" s="87">
        <v>335.665</v>
      </c>
      <c r="M198" s="87">
        <v>144.6998</v>
      </c>
      <c r="N198" s="87">
        <v>0.458144</v>
      </c>
      <c r="O198" s="87">
        <v>0.0</v>
      </c>
      <c r="P198" s="87">
        <v>0.0</v>
      </c>
      <c r="Q198" s="87">
        <v>9.908089</v>
      </c>
      <c r="R198" s="87">
        <v>20.13992</v>
      </c>
      <c r="S198" s="87">
        <v>25.91813</v>
      </c>
      <c r="T198" s="87">
        <v>9.908089</v>
      </c>
      <c r="U198" s="87">
        <v>16.761</v>
      </c>
      <c r="V198" s="87">
        <v>17.921</v>
      </c>
      <c r="W198" s="87">
        <v>24.19232</v>
      </c>
      <c r="X198" s="87">
        <v>28.28593</v>
      </c>
      <c r="Y198" s="87">
        <v>18.57877</v>
      </c>
      <c r="Z198" s="88" t="s">
        <v>1396</v>
      </c>
    </row>
    <row r="199" hidden="1">
      <c r="A199" s="90" t="s">
        <v>1635</v>
      </c>
      <c r="B199" s="90" t="s">
        <v>1668</v>
      </c>
      <c r="C199" s="90" t="s">
        <v>180</v>
      </c>
      <c r="D199" s="90" t="s">
        <v>186</v>
      </c>
      <c r="E199" s="89">
        <v>46310.0</v>
      </c>
      <c r="F199" s="87">
        <v>10.0</v>
      </c>
      <c r="G199" s="87">
        <v>1.0</v>
      </c>
      <c r="H199" s="87">
        <v>21540.0</v>
      </c>
      <c r="I199" s="87">
        <v>6.0</v>
      </c>
      <c r="J199" s="87">
        <v>224.7346</v>
      </c>
      <c r="K199" s="87">
        <v>245.8488</v>
      </c>
      <c r="L199" s="87">
        <v>242.9883</v>
      </c>
      <c r="M199" s="87">
        <v>134.4625</v>
      </c>
      <c r="N199" s="87">
        <v>0.546932</v>
      </c>
      <c r="O199" s="87">
        <v>0.0</v>
      </c>
      <c r="P199" s="87">
        <v>3.053088</v>
      </c>
      <c r="Q199" s="87">
        <v>10.56905</v>
      </c>
      <c r="R199" s="87">
        <v>23.98908</v>
      </c>
      <c r="S199" s="87">
        <v>54.91726</v>
      </c>
      <c r="T199" s="87">
        <v>3.053088</v>
      </c>
      <c r="U199" s="87">
        <v>10.56905</v>
      </c>
      <c r="V199" s="87">
        <v>18.85785</v>
      </c>
      <c r="W199" s="87">
        <v>23.98908</v>
      </c>
      <c r="X199" s="87">
        <v>54.91726</v>
      </c>
      <c r="Y199" s="87">
        <v>30.7311</v>
      </c>
      <c r="Z199" s="88" t="s">
        <v>1396</v>
      </c>
    </row>
    <row r="200" hidden="1">
      <c r="A200" s="90" t="s">
        <v>1637</v>
      </c>
      <c r="B200" s="90" t="s">
        <v>1669</v>
      </c>
      <c r="C200" s="90" t="s">
        <v>180</v>
      </c>
      <c r="D200" s="90" t="s">
        <v>186</v>
      </c>
      <c r="E200" s="90" t="s">
        <v>1413</v>
      </c>
      <c r="F200" s="87">
        <v>7.0</v>
      </c>
      <c r="G200" s="87">
        <v>0.0</v>
      </c>
      <c r="H200" s="87">
        <v>6212.0</v>
      </c>
      <c r="I200" s="87">
        <v>0.0</v>
      </c>
      <c r="J200" s="87">
        <v>72.53836</v>
      </c>
      <c r="K200" s="87">
        <v>87.69039</v>
      </c>
      <c r="L200" s="87">
        <v>81.86076</v>
      </c>
      <c r="M200" s="87">
        <v>66.81459</v>
      </c>
      <c r="N200" s="87">
        <v>0.761937</v>
      </c>
      <c r="O200" s="87">
        <v>2.27863</v>
      </c>
      <c r="P200" s="87">
        <v>2.837865</v>
      </c>
      <c r="Q200" s="87">
        <v>2.837865</v>
      </c>
      <c r="R200" s="87">
        <v>6.617382</v>
      </c>
      <c r="S200" s="87">
        <v>9.14192</v>
      </c>
      <c r="T200" s="87">
        <v>2.27863</v>
      </c>
      <c r="U200" s="87">
        <v>2.837865</v>
      </c>
      <c r="V200" s="87">
        <v>2.837865</v>
      </c>
      <c r="W200" s="87">
        <v>6.617382</v>
      </c>
      <c r="X200" s="87">
        <v>9.14192</v>
      </c>
      <c r="Y200" s="87">
        <v>17.53808</v>
      </c>
      <c r="Z200" s="88" t="s">
        <v>1396</v>
      </c>
    </row>
    <row r="201" hidden="1">
      <c r="A201" s="90" t="s">
        <v>1639</v>
      </c>
      <c r="B201" s="90" t="s">
        <v>1670</v>
      </c>
      <c r="C201" s="90" t="s">
        <v>180</v>
      </c>
      <c r="D201" s="90" t="s">
        <v>186</v>
      </c>
      <c r="E201" s="90" t="s">
        <v>1398</v>
      </c>
      <c r="F201" s="87">
        <v>3.0</v>
      </c>
      <c r="G201" s="87">
        <v>0.0</v>
      </c>
      <c r="H201" s="87">
        <v>3936.0</v>
      </c>
      <c r="I201" s="87">
        <v>0.0</v>
      </c>
      <c r="J201" s="87">
        <v>46.11756</v>
      </c>
      <c r="K201" s="87">
        <v>45.85695</v>
      </c>
      <c r="L201" s="87">
        <v>41.25671</v>
      </c>
      <c r="M201" s="87">
        <v>45.85695</v>
      </c>
      <c r="N201" s="87">
        <v>1.0</v>
      </c>
      <c r="O201" s="87">
        <v>0.0</v>
      </c>
      <c r="P201" s="87">
        <v>0.0</v>
      </c>
      <c r="Q201" s="87">
        <v>0.0</v>
      </c>
      <c r="R201" s="87">
        <v>0.0</v>
      </c>
      <c r="S201" s="87">
        <v>0.0</v>
      </c>
      <c r="T201" s="87">
        <v>45.85695</v>
      </c>
      <c r="U201" s="87">
        <v>45.85695</v>
      </c>
      <c r="V201" s="87">
        <v>45.85695</v>
      </c>
      <c r="W201" s="87">
        <v>45.85695</v>
      </c>
      <c r="X201" s="87">
        <v>45.85695</v>
      </c>
      <c r="Y201" s="87">
        <v>7.642825</v>
      </c>
      <c r="Z201" s="88" t="s">
        <v>1396</v>
      </c>
    </row>
    <row r="202" hidden="1">
      <c r="A202" s="90" t="s">
        <v>1626</v>
      </c>
      <c r="B202" s="90" t="s">
        <v>1671</v>
      </c>
      <c r="C202" s="90" t="s">
        <v>180</v>
      </c>
      <c r="D202" s="90" t="s">
        <v>186</v>
      </c>
      <c r="E202" s="90" t="s">
        <v>1400</v>
      </c>
      <c r="F202" s="87">
        <v>11.0</v>
      </c>
      <c r="G202" s="87">
        <v>0.0</v>
      </c>
      <c r="H202" s="87">
        <v>5182.0</v>
      </c>
      <c r="I202" s="87">
        <v>0.0</v>
      </c>
      <c r="J202" s="87">
        <v>70.53486</v>
      </c>
      <c r="K202" s="87">
        <v>63.77424</v>
      </c>
      <c r="L202" s="87">
        <v>63.68823</v>
      </c>
      <c r="M202" s="87">
        <v>44.12663</v>
      </c>
      <c r="N202" s="87">
        <v>0.691919</v>
      </c>
      <c r="O202" s="87">
        <v>0.0</v>
      </c>
      <c r="P202" s="87">
        <v>0.0</v>
      </c>
      <c r="Q202" s="87">
        <v>0.0</v>
      </c>
      <c r="R202" s="87">
        <v>6.87015</v>
      </c>
      <c r="S202" s="87">
        <v>12.77745</v>
      </c>
      <c r="T202" s="87">
        <v>6.87015</v>
      </c>
      <c r="U202" s="87">
        <v>6.87015</v>
      </c>
      <c r="V202" s="87">
        <v>12.77745</v>
      </c>
      <c r="W202" s="87">
        <v>17.36317</v>
      </c>
      <c r="X202" s="87">
        <v>17.36317</v>
      </c>
      <c r="Y202" s="87">
        <v>7.971779</v>
      </c>
      <c r="Z202" s="88" t="s">
        <v>1396</v>
      </c>
    </row>
    <row r="203" hidden="1">
      <c r="A203" s="90" t="s">
        <v>1642</v>
      </c>
      <c r="B203" s="90" t="s">
        <v>1672</v>
      </c>
      <c r="C203" s="90" t="s">
        <v>180</v>
      </c>
      <c r="D203" s="90" t="s">
        <v>186</v>
      </c>
      <c r="E203" s="89">
        <v>46300.0</v>
      </c>
      <c r="F203" s="87">
        <v>10.0</v>
      </c>
      <c r="G203" s="87">
        <v>3.0</v>
      </c>
      <c r="H203" s="87">
        <v>5813.0</v>
      </c>
      <c r="I203" s="87">
        <v>83.0</v>
      </c>
      <c r="J203" s="87">
        <v>124.9243</v>
      </c>
      <c r="K203" s="87">
        <v>140.9157</v>
      </c>
      <c r="L203" s="87">
        <v>147.4277</v>
      </c>
      <c r="M203" s="87">
        <v>112.4152</v>
      </c>
      <c r="N203" s="87">
        <v>0.797748</v>
      </c>
      <c r="O203" s="87">
        <v>0.0</v>
      </c>
      <c r="P203" s="87">
        <v>0.5</v>
      </c>
      <c r="Q203" s="87">
        <v>1.469711</v>
      </c>
      <c r="R203" s="87">
        <v>3.786711</v>
      </c>
      <c r="S203" s="87">
        <v>22.74404</v>
      </c>
      <c r="T203" s="87">
        <v>0.5</v>
      </c>
      <c r="U203" s="87">
        <v>1.469711</v>
      </c>
      <c r="V203" s="87">
        <v>1.469711</v>
      </c>
      <c r="W203" s="87">
        <v>22.74404</v>
      </c>
      <c r="X203" s="87">
        <v>46.86396</v>
      </c>
      <c r="Y203" s="87">
        <v>20.13081</v>
      </c>
      <c r="Z203" s="88" t="s">
        <v>1396</v>
      </c>
    </row>
    <row r="204" hidden="1">
      <c r="A204" s="90" t="s">
        <v>1629</v>
      </c>
      <c r="B204" s="90" t="s">
        <v>1673</v>
      </c>
      <c r="C204" s="90" t="s">
        <v>180</v>
      </c>
      <c r="D204" s="90" t="s">
        <v>186</v>
      </c>
      <c r="E204" s="90" t="s">
        <v>1403</v>
      </c>
      <c r="F204" s="87">
        <v>4.0</v>
      </c>
      <c r="G204" s="87">
        <v>4.0</v>
      </c>
      <c r="H204" s="87">
        <v>686.0</v>
      </c>
      <c r="I204" s="87">
        <v>686.0</v>
      </c>
      <c r="J204" s="87">
        <v>0.0</v>
      </c>
      <c r="K204" s="87">
        <v>0.0</v>
      </c>
      <c r="L204" s="87">
        <v>0.0</v>
      </c>
      <c r="M204" s="87">
        <v>0.0</v>
      </c>
      <c r="N204" s="91"/>
      <c r="O204" s="87">
        <v>0.0</v>
      </c>
      <c r="P204" s="87">
        <v>0.0</v>
      </c>
      <c r="Q204" s="87">
        <v>0.0</v>
      </c>
      <c r="R204" s="87">
        <v>0.0</v>
      </c>
      <c r="S204" s="87">
        <v>0.0</v>
      </c>
      <c r="T204" s="91"/>
      <c r="U204" s="91"/>
      <c r="V204" s="91"/>
      <c r="W204" s="91"/>
      <c r="X204" s="91"/>
      <c r="Y204" s="87">
        <v>0.0</v>
      </c>
      <c r="Z204" s="88" t="s">
        <v>1396</v>
      </c>
    </row>
    <row r="205" hidden="1">
      <c r="A205" s="90" t="s">
        <v>1633</v>
      </c>
      <c r="B205" s="90" t="s">
        <v>1674</v>
      </c>
      <c r="C205" s="90" t="s">
        <v>180</v>
      </c>
      <c r="D205" s="90" t="s">
        <v>181</v>
      </c>
      <c r="E205" s="90" t="s">
        <v>1426</v>
      </c>
      <c r="F205" s="87">
        <v>66.0</v>
      </c>
      <c r="G205" s="87">
        <v>4.0</v>
      </c>
      <c r="H205" s="87">
        <v>120091.0</v>
      </c>
      <c r="I205" s="87">
        <v>178.0</v>
      </c>
      <c r="J205" s="87">
        <v>2311.047</v>
      </c>
      <c r="K205" s="87">
        <v>2501.39</v>
      </c>
      <c r="L205" s="87">
        <v>2615.063</v>
      </c>
      <c r="M205" s="87">
        <v>1200.314</v>
      </c>
      <c r="N205" s="87">
        <v>0.479859</v>
      </c>
      <c r="O205" s="87">
        <v>10.20337</v>
      </c>
      <c r="P205" s="87">
        <v>21.01848</v>
      </c>
      <c r="Q205" s="87">
        <v>26.2001</v>
      </c>
      <c r="R205" s="87">
        <v>34.92069</v>
      </c>
      <c r="S205" s="87">
        <v>51.64213</v>
      </c>
      <c r="T205" s="87">
        <v>13.72802</v>
      </c>
      <c r="U205" s="87">
        <v>23.62855</v>
      </c>
      <c r="V205" s="87">
        <v>28.51266</v>
      </c>
      <c r="W205" s="87">
        <v>38.49228</v>
      </c>
      <c r="X205" s="87">
        <v>52.58368</v>
      </c>
      <c r="Y205" s="87">
        <v>46.32203</v>
      </c>
      <c r="Z205" s="88" t="s">
        <v>1396</v>
      </c>
    </row>
    <row r="206" hidden="1">
      <c r="A206" s="90" t="s">
        <v>1635</v>
      </c>
      <c r="B206" s="90" t="s">
        <v>1675</v>
      </c>
      <c r="C206" s="90" t="s">
        <v>180</v>
      </c>
      <c r="D206" s="90" t="s">
        <v>181</v>
      </c>
      <c r="E206" s="86">
        <v>46310.0</v>
      </c>
      <c r="F206" s="87">
        <v>25.0</v>
      </c>
      <c r="G206" s="87">
        <v>0.0</v>
      </c>
      <c r="H206" s="87">
        <v>85479.0</v>
      </c>
      <c r="I206" s="87">
        <v>0.0</v>
      </c>
      <c r="J206" s="87">
        <v>1933.463</v>
      </c>
      <c r="K206" s="87">
        <v>1984.22</v>
      </c>
      <c r="L206" s="87">
        <v>2051.72</v>
      </c>
      <c r="M206" s="87">
        <v>1479.416</v>
      </c>
      <c r="N206" s="87">
        <v>0.745591</v>
      </c>
      <c r="O206" s="87">
        <v>0.268966</v>
      </c>
      <c r="P206" s="87">
        <v>7.428827</v>
      </c>
      <c r="Q206" s="87">
        <v>14.54877</v>
      </c>
      <c r="R206" s="87">
        <v>30.26581</v>
      </c>
      <c r="S206" s="87">
        <v>76.16605</v>
      </c>
      <c r="T206" s="87">
        <v>0.395699</v>
      </c>
      <c r="U206" s="87">
        <v>12.84144</v>
      </c>
      <c r="V206" s="87">
        <v>15.06862</v>
      </c>
      <c r="W206" s="87">
        <v>30.26581</v>
      </c>
      <c r="X206" s="87">
        <v>76.16605</v>
      </c>
      <c r="Y206" s="87">
        <v>76.31615</v>
      </c>
      <c r="Z206" s="88" t="s">
        <v>1396</v>
      </c>
    </row>
    <row r="207" hidden="1">
      <c r="A207" s="90" t="s">
        <v>1637</v>
      </c>
      <c r="B207" s="90" t="s">
        <v>1676</v>
      </c>
      <c r="C207" s="90" t="s">
        <v>180</v>
      </c>
      <c r="D207" s="90" t="s">
        <v>181</v>
      </c>
      <c r="E207" s="90" t="s">
        <v>1413</v>
      </c>
      <c r="F207" s="87">
        <v>21.0</v>
      </c>
      <c r="G207" s="87">
        <v>1.0</v>
      </c>
      <c r="H207" s="87">
        <v>13487.0</v>
      </c>
      <c r="I207" s="87">
        <v>2.0</v>
      </c>
      <c r="J207" s="87">
        <v>213.8761</v>
      </c>
      <c r="K207" s="87">
        <v>221.2253</v>
      </c>
      <c r="L207" s="87">
        <v>228.9431</v>
      </c>
      <c r="M207" s="87">
        <v>148.356</v>
      </c>
      <c r="N207" s="87">
        <v>0.67061</v>
      </c>
      <c r="O207" s="87">
        <v>0.0</v>
      </c>
      <c r="P207" s="87">
        <v>1.502826</v>
      </c>
      <c r="Q207" s="87">
        <v>2.576439</v>
      </c>
      <c r="R207" s="87">
        <v>8.790032</v>
      </c>
      <c r="S207" s="87">
        <v>19.54374</v>
      </c>
      <c r="T207" s="87">
        <v>1.502826</v>
      </c>
      <c r="U207" s="87">
        <v>2.576439</v>
      </c>
      <c r="V207" s="87">
        <v>7.162279</v>
      </c>
      <c r="W207" s="87">
        <v>9.348353</v>
      </c>
      <c r="X207" s="87">
        <v>19.54374</v>
      </c>
      <c r="Y207" s="87">
        <v>13.82658</v>
      </c>
      <c r="Z207" s="88" t="s">
        <v>1396</v>
      </c>
    </row>
    <row r="208" hidden="1">
      <c r="A208" s="90" t="s">
        <v>1639</v>
      </c>
      <c r="B208" s="90" t="s">
        <v>1677</v>
      </c>
      <c r="C208" s="90" t="s">
        <v>180</v>
      </c>
      <c r="D208" s="90" t="s">
        <v>181</v>
      </c>
      <c r="E208" s="90" t="s">
        <v>1398</v>
      </c>
      <c r="F208" s="87">
        <v>7.0</v>
      </c>
      <c r="G208" s="87">
        <v>0.0</v>
      </c>
      <c r="H208" s="87">
        <v>5901.0</v>
      </c>
      <c r="I208" s="87">
        <v>0.0</v>
      </c>
      <c r="J208" s="87">
        <v>50.81399</v>
      </c>
      <c r="K208" s="87">
        <v>51.95107</v>
      </c>
      <c r="L208" s="87">
        <v>44.51832</v>
      </c>
      <c r="M208" s="87">
        <v>23.87305</v>
      </c>
      <c r="N208" s="87">
        <v>0.45953</v>
      </c>
      <c r="O208" s="87">
        <v>0.0</v>
      </c>
      <c r="P208" s="87">
        <v>2.225797</v>
      </c>
      <c r="Q208" s="87">
        <v>2.225797</v>
      </c>
      <c r="R208" s="87">
        <v>4.522231</v>
      </c>
      <c r="S208" s="87">
        <v>21.32999</v>
      </c>
      <c r="T208" s="87">
        <v>2.225797</v>
      </c>
      <c r="U208" s="87">
        <v>2.225797</v>
      </c>
      <c r="V208" s="87">
        <v>4.522231</v>
      </c>
      <c r="W208" s="87">
        <v>21.32999</v>
      </c>
      <c r="X208" s="87">
        <v>21.32999</v>
      </c>
      <c r="Y208" s="87">
        <v>10.39021</v>
      </c>
      <c r="Z208" s="88" t="s">
        <v>1396</v>
      </c>
    </row>
    <row r="209" hidden="1">
      <c r="A209" s="90" t="s">
        <v>1626</v>
      </c>
      <c r="B209" s="90" t="s">
        <v>1678</v>
      </c>
      <c r="C209" s="90" t="s">
        <v>180</v>
      </c>
      <c r="D209" s="90" t="s">
        <v>181</v>
      </c>
      <c r="E209" s="90" t="s">
        <v>1400</v>
      </c>
      <c r="F209" s="87">
        <v>25.0</v>
      </c>
      <c r="G209" s="87">
        <v>2.0</v>
      </c>
      <c r="H209" s="87">
        <v>15725.0</v>
      </c>
      <c r="I209" s="87">
        <v>159.0</v>
      </c>
      <c r="J209" s="87">
        <v>127.0257</v>
      </c>
      <c r="K209" s="87">
        <v>133.4812</v>
      </c>
      <c r="L209" s="87">
        <v>121.6168</v>
      </c>
      <c r="M209" s="87">
        <v>74.8956</v>
      </c>
      <c r="N209" s="87">
        <v>0.561095</v>
      </c>
      <c r="O209" s="87">
        <v>0.0</v>
      </c>
      <c r="P209" s="87">
        <v>3.080872</v>
      </c>
      <c r="Q209" s="87">
        <v>4.942347</v>
      </c>
      <c r="R209" s="87">
        <v>7.337938</v>
      </c>
      <c r="S209" s="87">
        <v>12.4162</v>
      </c>
      <c r="T209" s="87">
        <v>4.942347</v>
      </c>
      <c r="U209" s="87">
        <v>6.073758</v>
      </c>
      <c r="V209" s="87">
        <v>6.257712</v>
      </c>
      <c r="W209" s="87">
        <v>7.350603</v>
      </c>
      <c r="X209" s="87">
        <v>12.4162</v>
      </c>
      <c r="Y209" s="87">
        <v>10.26778</v>
      </c>
      <c r="Z209" s="88" t="s">
        <v>1396</v>
      </c>
    </row>
    <row r="210" hidden="1">
      <c r="A210" s="90" t="s">
        <v>1642</v>
      </c>
      <c r="B210" s="90" t="s">
        <v>1679</v>
      </c>
      <c r="C210" s="90" t="s">
        <v>180</v>
      </c>
      <c r="D210" s="90" t="s">
        <v>181</v>
      </c>
      <c r="E210" s="89">
        <v>46300.0</v>
      </c>
      <c r="F210" s="87">
        <v>9.0</v>
      </c>
      <c r="G210" s="87">
        <v>0.0</v>
      </c>
      <c r="H210" s="87">
        <v>20117.0</v>
      </c>
      <c r="I210" s="87">
        <v>0.0</v>
      </c>
      <c r="J210" s="87">
        <v>305.0736</v>
      </c>
      <c r="K210" s="87">
        <v>334.1523</v>
      </c>
      <c r="L210" s="87">
        <v>350.858</v>
      </c>
      <c r="M210" s="87">
        <v>261.9637</v>
      </c>
      <c r="N210" s="87">
        <v>0.783965</v>
      </c>
      <c r="O210" s="87">
        <v>0.0</v>
      </c>
      <c r="P210" s="87">
        <v>0.0</v>
      </c>
      <c r="Q210" s="87">
        <v>0.0</v>
      </c>
      <c r="R210" s="87">
        <v>7.952759</v>
      </c>
      <c r="S210" s="87">
        <v>30.67533</v>
      </c>
      <c r="T210" s="87">
        <v>5.923292</v>
      </c>
      <c r="U210" s="87">
        <v>7.952759</v>
      </c>
      <c r="V210" s="87">
        <v>27.63722</v>
      </c>
      <c r="W210" s="87">
        <v>30.67533</v>
      </c>
      <c r="X210" s="87">
        <v>64.91057</v>
      </c>
      <c r="Y210" s="87">
        <v>30.37748</v>
      </c>
      <c r="Z210" s="88" t="s">
        <v>1396</v>
      </c>
    </row>
    <row r="211" hidden="1">
      <c r="A211" s="90" t="s">
        <v>1629</v>
      </c>
      <c r="B211" s="90" t="s">
        <v>1680</v>
      </c>
      <c r="C211" s="90" t="s">
        <v>180</v>
      </c>
      <c r="D211" s="90" t="s">
        <v>181</v>
      </c>
      <c r="E211" s="90" t="s">
        <v>1403</v>
      </c>
      <c r="F211" s="87">
        <v>22.0</v>
      </c>
      <c r="G211" s="87">
        <v>22.0</v>
      </c>
      <c r="H211" s="87">
        <v>3425.0</v>
      </c>
      <c r="I211" s="87">
        <v>3425.0</v>
      </c>
      <c r="J211" s="87">
        <v>0.0</v>
      </c>
      <c r="K211" s="87">
        <v>0.0</v>
      </c>
      <c r="L211" s="87">
        <v>0.0</v>
      </c>
      <c r="M211" s="87">
        <v>0.0</v>
      </c>
      <c r="N211" s="91"/>
      <c r="O211" s="87">
        <v>0.0</v>
      </c>
      <c r="P211" s="87">
        <v>0.0</v>
      </c>
      <c r="Q211" s="87">
        <v>0.0</v>
      </c>
      <c r="R211" s="87">
        <v>0.0</v>
      </c>
      <c r="S211" s="87">
        <v>0.0</v>
      </c>
      <c r="T211" s="91"/>
      <c r="U211" s="91"/>
      <c r="V211" s="91"/>
      <c r="W211" s="91"/>
      <c r="X211" s="91"/>
      <c r="Y211" s="87">
        <v>0.0</v>
      </c>
      <c r="Z211" s="88" t="s">
        <v>1396</v>
      </c>
    </row>
    <row r="212" hidden="1">
      <c r="A212" s="90" t="s">
        <v>1633</v>
      </c>
      <c r="B212" s="90" t="s">
        <v>1681</v>
      </c>
      <c r="C212" s="90" t="s">
        <v>180</v>
      </c>
      <c r="D212" s="90" t="s">
        <v>202</v>
      </c>
      <c r="E212" s="90" t="s">
        <v>1426</v>
      </c>
      <c r="F212" s="87">
        <v>7.0</v>
      </c>
      <c r="G212" s="87">
        <v>0.0</v>
      </c>
      <c r="H212" s="87">
        <v>15824.0</v>
      </c>
      <c r="I212" s="87">
        <v>0.0</v>
      </c>
      <c r="J212" s="87">
        <v>252.2752</v>
      </c>
      <c r="K212" s="87">
        <v>275.5472</v>
      </c>
      <c r="L212" s="87">
        <v>276.8712</v>
      </c>
      <c r="M212" s="87">
        <v>165.1353</v>
      </c>
      <c r="N212" s="87">
        <v>0.599299</v>
      </c>
      <c r="O212" s="87">
        <v>3.15048</v>
      </c>
      <c r="P212" s="87">
        <v>31.12521</v>
      </c>
      <c r="Q212" s="87">
        <v>31.12521</v>
      </c>
      <c r="R212" s="87">
        <v>38.55567</v>
      </c>
      <c r="S212" s="87">
        <v>53.76366</v>
      </c>
      <c r="T212" s="87">
        <v>3.15048</v>
      </c>
      <c r="U212" s="87">
        <v>31.12521</v>
      </c>
      <c r="V212" s="87">
        <v>31.12521</v>
      </c>
      <c r="W212" s="87">
        <v>38.55567</v>
      </c>
      <c r="X212" s="87">
        <v>53.76366</v>
      </c>
      <c r="Y212" s="87">
        <v>45.92454</v>
      </c>
      <c r="Z212" s="88" t="s">
        <v>1396</v>
      </c>
    </row>
    <row r="213" hidden="1">
      <c r="A213" s="90" t="s">
        <v>1635</v>
      </c>
      <c r="B213" s="90" t="s">
        <v>1682</v>
      </c>
      <c r="C213" s="90" t="s">
        <v>180</v>
      </c>
      <c r="D213" s="90" t="s">
        <v>202</v>
      </c>
      <c r="E213" s="86">
        <v>46310.0</v>
      </c>
      <c r="F213" s="87">
        <v>18.0</v>
      </c>
      <c r="G213" s="87">
        <v>0.0</v>
      </c>
      <c r="H213" s="87">
        <v>11914.0</v>
      </c>
      <c r="I213" s="87">
        <v>0.0</v>
      </c>
      <c r="J213" s="87">
        <v>144.4775</v>
      </c>
      <c r="K213" s="87">
        <v>149.2879</v>
      </c>
      <c r="L213" s="87">
        <v>161.7992</v>
      </c>
      <c r="M213" s="87">
        <v>96.97266</v>
      </c>
      <c r="N213" s="87">
        <v>0.649568</v>
      </c>
      <c r="O213" s="87">
        <v>1.797651</v>
      </c>
      <c r="P213" s="87">
        <v>2.099654</v>
      </c>
      <c r="Q213" s="87">
        <v>2.380225</v>
      </c>
      <c r="R213" s="87">
        <v>6.1965</v>
      </c>
      <c r="S213" s="87">
        <v>13.2773</v>
      </c>
      <c r="T213" s="87">
        <v>2.099654</v>
      </c>
      <c r="U213" s="87">
        <v>2.380225</v>
      </c>
      <c r="V213" s="87">
        <v>3.793988</v>
      </c>
      <c r="W213" s="87">
        <v>6.437064</v>
      </c>
      <c r="X213" s="87">
        <v>13.2773</v>
      </c>
      <c r="Y213" s="87">
        <v>11.48368</v>
      </c>
      <c r="Z213" s="88" t="s">
        <v>1396</v>
      </c>
    </row>
    <row r="214" hidden="1">
      <c r="A214" s="90" t="s">
        <v>1637</v>
      </c>
      <c r="B214" s="90" t="s">
        <v>1683</v>
      </c>
      <c r="C214" s="90" t="s">
        <v>180</v>
      </c>
      <c r="D214" s="90" t="s">
        <v>202</v>
      </c>
      <c r="E214" s="90" t="s">
        <v>1413</v>
      </c>
      <c r="F214" s="87">
        <v>4.0</v>
      </c>
      <c r="G214" s="87">
        <v>0.0</v>
      </c>
      <c r="H214" s="87">
        <v>1912.0</v>
      </c>
      <c r="I214" s="87">
        <v>0.0</v>
      </c>
      <c r="J214" s="87">
        <v>9.932509</v>
      </c>
      <c r="K214" s="87">
        <v>10.96211</v>
      </c>
      <c r="L214" s="87">
        <v>13.37153</v>
      </c>
      <c r="M214" s="87">
        <v>10.33008</v>
      </c>
      <c r="N214" s="87">
        <v>0.942344</v>
      </c>
      <c r="O214" s="87">
        <v>0.632033</v>
      </c>
      <c r="P214" s="87">
        <v>0.632033</v>
      </c>
      <c r="Q214" s="87">
        <v>0.632033</v>
      </c>
      <c r="R214" s="87">
        <v>10.33008</v>
      </c>
      <c r="S214" s="87">
        <v>10.33008</v>
      </c>
      <c r="T214" s="87">
        <v>0.632033</v>
      </c>
      <c r="U214" s="87">
        <v>0.632033</v>
      </c>
      <c r="V214" s="87">
        <v>0.632033</v>
      </c>
      <c r="W214" s="87">
        <v>10.33008</v>
      </c>
      <c r="X214" s="87">
        <v>10.33008</v>
      </c>
      <c r="Y214" s="87">
        <v>5.481055</v>
      </c>
      <c r="Z214" s="88" t="s">
        <v>1396</v>
      </c>
    </row>
    <row r="215" hidden="1">
      <c r="A215" s="90" t="s">
        <v>1639</v>
      </c>
      <c r="B215" s="90" t="s">
        <v>1684</v>
      </c>
      <c r="C215" s="90" t="s">
        <v>180</v>
      </c>
      <c r="D215" s="90" t="s">
        <v>202</v>
      </c>
      <c r="E215" s="90" t="s">
        <v>1398</v>
      </c>
      <c r="F215" s="87">
        <v>5.0</v>
      </c>
      <c r="G215" s="87">
        <v>0.0</v>
      </c>
      <c r="H215" s="87">
        <v>1672.0</v>
      </c>
      <c r="I215" s="87">
        <v>0.0</v>
      </c>
      <c r="J215" s="87">
        <v>11.33082</v>
      </c>
      <c r="K215" s="87">
        <v>10.3704</v>
      </c>
      <c r="L215" s="87">
        <v>9.622079</v>
      </c>
      <c r="M215" s="87">
        <v>6.441452</v>
      </c>
      <c r="N215" s="87">
        <v>0.621138</v>
      </c>
      <c r="O215" s="87">
        <v>0.5</v>
      </c>
      <c r="P215" s="87">
        <v>0.5</v>
      </c>
      <c r="Q215" s="87">
        <v>0.5</v>
      </c>
      <c r="R215" s="87">
        <v>3.428946</v>
      </c>
      <c r="S215" s="87">
        <v>6.441452</v>
      </c>
      <c r="T215" s="87">
        <v>0.5</v>
      </c>
      <c r="U215" s="87">
        <v>0.5</v>
      </c>
      <c r="V215" s="87">
        <v>0.5</v>
      </c>
      <c r="W215" s="87">
        <v>3.428946</v>
      </c>
      <c r="X215" s="87">
        <v>6.441452</v>
      </c>
      <c r="Y215" s="87">
        <v>3.456799</v>
      </c>
      <c r="Z215" s="88" t="s">
        <v>1396</v>
      </c>
    </row>
    <row r="216" hidden="1">
      <c r="A216" s="90" t="s">
        <v>1626</v>
      </c>
      <c r="B216" s="90" t="s">
        <v>1685</v>
      </c>
      <c r="C216" s="90" t="s">
        <v>180</v>
      </c>
      <c r="D216" s="90" t="s">
        <v>202</v>
      </c>
      <c r="E216" s="90" t="s">
        <v>1400</v>
      </c>
      <c r="F216" s="87">
        <v>19.0</v>
      </c>
      <c r="G216" s="87">
        <v>6.0</v>
      </c>
      <c r="H216" s="87">
        <v>28354.0</v>
      </c>
      <c r="I216" s="87">
        <v>1805.0</v>
      </c>
      <c r="J216" s="87">
        <v>495.7222</v>
      </c>
      <c r="K216" s="87">
        <v>442.9989</v>
      </c>
      <c r="L216" s="87">
        <v>425.1275</v>
      </c>
      <c r="M216" s="87">
        <v>394.5122</v>
      </c>
      <c r="N216" s="87">
        <v>0.890549</v>
      </c>
      <c r="O216" s="87">
        <v>0.0</v>
      </c>
      <c r="P216" s="87">
        <v>1.758382</v>
      </c>
      <c r="Q216" s="87">
        <v>2.737914</v>
      </c>
      <c r="R216" s="87">
        <v>6.479313</v>
      </c>
      <c r="S216" s="87">
        <v>23.00605</v>
      </c>
      <c r="T216" s="87">
        <v>1.758382</v>
      </c>
      <c r="U216" s="87">
        <v>2.737914</v>
      </c>
      <c r="V216" s="87">
        <v>5.70716</v>
      </c>
      <c r="W216" s="87">
        <v>8.797885</v>
      </c>
      <c r="X216" s="87">
        <v>23.00605</v>
      </c>
      <c r="Y216" s="87">
        <v>49.2221</v>
      </c>
      <c r="Z216" s="88" t="s">
        <v>1396</v>
      </c>
    </row>
    <row r="217" hidden="1">
      <c r="A217" s="90" t="s">
        <v>1642</v>
      </c>
      <c r="B217" s="90" t="s">
        <v>1686</v>
      </c>
      <c r="C217" s="90" t="s">
        <v>180</v>
      </c>
      <c r="D217" s="90" t="s">
        <v>202</v>
      </c>
      <c r="E217" s="89">
        <v>46300.0</v>
      </c>
      <c r="F217" s="87">
        <v>22.0</v>
      </c>
      <c r="G217" s="87">
        <v>1.0</v>
      </c>
      <c r="H217" s="87">
        <v>43800.0</v>
      </c>
      <c r="I217" s="87">
        <v>4.0</v>
      </c>
      <c r="J217" s="87">
        <v>957.3763</v>
      </c>
      <c r="K217" s="87">
        <v>979.085</v>
      </c>
      <c r="L217" s="87">
        <v>989.058</v>
      </c>
      <c r="M217" s="87">
        <v>534.2005</v>
      </c>
      <c r="N217" s="87">
        <v>0.545612</v>
      </c>
      <c r="O217" s="87">
        <v>2.00574</v>
      </c>
      <c r="P217" s="87">
        <v>8.310582</v>
      </c>
      <c r="Q217" s="87">
        <v>14.96771</v>
      </c>
      <c r="R217" s="87">
        <v>30.99444</v>
      </c>
      <c r="S217" s="87">
        <v>63.60008</v>
      </c>
      <c r="T217" s="87">
        <v>6.794178</v>
      </c>
      <c r="U217" s="87">
        <v>8.775795</v>
      </c>
      <c r="V217" s="87">
        <v>20.55974</v>
      </c>
      <c r="W217" s="87">
        <v>43.36131</v>
      </c>
      <c r="X217" s="87">
        <v>63.60008</v>
      </c>
      <c r="Y217" s="87">
        <v>48.95425</v>
      </c>
      <c r="Z217" s="88" t="s">
        <v>1396</v>
      </c>
    </row>
    <row r="218" hidden="1">
      <c r="A218" s="90" t="s">
        <v>1629</v>
      </c>
      <c r="B218" s="90" t="s">
        <v>1687</v>
      </c>
      <c r="C218" s="90" t="s">
        <v>180</v>
      </c>
      <c r="D218" s="90" t="s">
        <v>202</v>
      </c>
      <c r="E218" s="90" t="s">
        <v>1403</v>
      </c>
      <c r="F218" s="87">
        <v>9.0</v>
      </c>
      <c r="G218" s="87">
        <v>9.0</v>
      </c>
      <c r="H218" s="87">
        <v>6181.0</v>
      </c>
      <c r="I218" s="87">
        <v>6181.0</v>
      </c>
      <c r="J218" s="87">
        <v>0.0</v>
      </c>
      <c r="K218" s="87">
        <v>0.0</v>
      </c>
      <c r="L218" s="87">
        <v>0.0</v>
      </c>
      <c r="M218" s="87">
        <v>0.0</v>
      </c>
      <c r="N218" s="91"/>
      <c r="O218" s="87">
        <v>0.0</v>
      </c>
      <c r="P218" s="87">
        <v>0.0</v>
      </c>
      <c r="Q218" s="87">
        <v>0.0</v>
      </c>
      <c r="R218" s="87">
        <v>0.0</v>
      </c>
      <c r="S218" s="87">
        <v>0.0</v>
      </c>
      <c r="T218" s="91"/>
      <c r="U218" s="91"/>
      <c r="V218" s="91"/>
      <c r="W218" s="91"/>
      <c r="X218" s="91"/>
      <c r="Y218" s="87">
        <v>0.0</v>
      </c>
      <c r="Z218" s="88" t="s">
        <v>1396</v>
      </c>
    </row>
    <row r="219" hidden="1">
      <c r="A219" s="90" t="s">
        <v>1688</v>
      </c>
      <c r="B219" s="90" t="s">
        <v>1643</v>
      </c>
      <c r="C219" s="90" t="s">
        <v>1689</v>
      </c>
      <c r="D219" s="90" t="s">
        <v>808</v>
      </c>
      <c r="E219" s="86">
        <v>46300.0</v>
      </c>
      <c r="F219" s="87">
        <v>0.0</v>
      </c>
      <c r="G219" s="87">
        <v>0.0</v>
      </c>
      <c r="H219" s="87">
        <v>0.0</v>
      </c>
      <c r="I219" s="87">
        <v>0.0</v>
      </c>
      <c r="J219" s="87">
        <v>0.0</v>
      </c>
      <c r="K219" s="87">
        <v>44.52857</v>
      </c>
      <c r="L219" s="87">
        <v>44.52857</v>
      </c>
      <c r="M219" s="87">
        <v>0.0</v>
      </c>
      <c r="N219" s="87">
        <v>0.0</v>
      </c>
      <c r="O219" s="87">
        <v>18.5</v>
      </c>
      <c r="P219" s="87">
        <v>18.5</v>
      </c>
      <c r="Q219" s="87">
        <v>18.5</v>
      </c>
      <c r="R219" s="87">
        <v>26.02857</v>
      </c>
      <c r="S219" s="87">
        <v>26.02857</v>
      </c>
      <c r="T219" s="87">
        <v>18.5</v>
      </c>
      <c r="U219" s="87">
        <v>18.5</v>
      </c>
      <c r="V219" s="87">
        <v>18.5</v>
      </c>
      <c r="W219" s="87">
        <v>26.02857</v>
      </c>
      <c r="X219" s="87">
        <v>26.02857</v>
      </c>
      <c r="Y219" s="87">
        <v>22.26429</v>
      </c>
      <c r="Z219" s="88" t="s">
        <v>1396</v>
      </c>
    </row>
    <row r="220" hidden="1">
      <c r="A220" s="90" t="s">
        <v>1690</v>
      </c>
      <c r="B220" s="90" t="s">
        <v>1691</v>
      </c>
      <c r="C220" s="90" t="s">
        <v>213</v>
      </c>
      <c r="D220" s="90" t="s">
        <v>220</v>
      </c>
      <c r="E220" s="90" t="s">
        <v>1426</v>
      </c>
      <c r="F220" s="87">
        <v>2.0</v>
      </c>
      <c r="G220" s="87">
        <v>0.0</v>
      </c>
      <c r="H220" s="87">
        <v>3292.0</v>
      </c>
      <c r="I220" s="87">
        <v>0.0</v>
      </c>
      <c r="J220" s="87">
        <v>29.23455</v>
      </c>
      <c r="K220" s="87">
        <v>28.39835</v>
      </c>
      <c r="L220" s="87">
        <v>27.928</v>
      </c>
      <c r="M220" s="87">
        <v>14.71459</v>
      </c>
      <c r="N220" s="87">
        <v>0.51815</v>
      </c>
      <c r="O220" s="87">
        <v>0.0</v>
      </c>
      <c r="P220" s="87">
        <v>0.0</v>
      </c>
      <c r="Q220" s="87">
        <v>0.0</v>
      </c>
      <c r="R220" s="87">
        <v>13.68375</v>
      </c>
      <c r="S220" s="87">
        <v>14.71459</v>
      </c>
      <c r="T220" s="87">
        <v>13.68375</v>
      </c>
      <c r="U220" s="87">
        <v>13.68375</v>
      </c>
      <c r="V220" s="87">
        <v>13.68375</v>
      </c>
      <c r="W220" s="87">
        <v>14.71459</v>
      </c>
      <c r="X220" s="87">
        <v>14.71459</v>
      </c>
      <c r="Y220" s="87">
        <v>9.466116</v>
      </c>
      <c r="Z220" s="88" t="s">
        <v>1396</v>
      </c>
    </row>
    <row r="221" hidden="1">
      <c r="A221" s="90" t="s">
        <v>1692</v>
      </c>
      <c r="B221" s="90" t="s">
        <v>1693</v>
      </c>
      <c r="C221" s="90" t="s">
        <v>213</v>
      </c>
      <c r="D221" s="90" t="s">
        <v>220</v>
      </c>
      <c r="E221" s="86">
        <v>46310.0</v>
      </c>
      <c r="F221" s="87">
        <v>3.0</v>
      </c>
      <c r="G221" s="87">
        <v>2.0</v>
      </c>
      <c r="H221" s="87">
        <v>752.0</v>
      </c>
      <c r="I221" s="87">
        <v>60.0</v>
      </c>
      <c r="J221" s="87">
        <v>4.485531</v>
      </c>
      <c r="K221" s="87">
        <v>5.888702</v>
      </c>
      <c r="L221" s="87">
        <v>6.99181</v>
      </c>
      <c r="M221" s="87">
        <v>4.888702</v>
      </c>
      <c r="N221" s="87">
        <v>0.830183</v>
      </c>
      <c r="O221" s="87">
        <v>0.0</v>
      </c>
      <c r="P221" s="87">
        <v>0.0</v>
      </c>
      <c r="Q221" s="87">
        <v>0.0</v>
      </c>
      <c r="R221" s="87">
        <v>1.0</v>
      </c>
      <c r="S221" s="87">
        <v>4.888702</v>
      </c>
      <c r="T221" s="87">
        <v>1.0</v>
      </c>
      <c r="U221" s="87">
        <v>1.0</v>
      </c>
      <c r="V221" s="87">
        <v>1.0</v>
      </c>
      <c r="W221" s="87">
        <v>4.888702</v>
      </c>
      <c r="X221" s="87">
        <v>4.888702</v>
      </c>
      <c r="Y221" s="87">
        <v>1.962901</v>
      </c>
      <c r="Z221" s="88" t="s">
        <v>1396</v>
      </c>
    </row>
    <row r="222" hidden="1">
      <c r="A222" s="90" t="s">
        <v>1694</v>
      </c>
      <c r="B222" s="90" t="s">
        <v>1695</v>
      </c>
      <c r="C222" s="90" t="s">
        <v>213</v>
      </c>
      <c r="D222" s="90" t="s">
        <v>220</v>
      </c>
      <c r="E222" s="90" t="s">
        <v>1413</v>
      </c>
      <c r="F222" s="87">
        <v>17.0</v>
      </c>
      <c r="G222" s="87">
        <v>1.0</v>
      </c>
      <c r="H222" s="87">
        <v>14118.0</v>
      </c>
      <c r="I222" s="87">
        <v>21.0</v>
      </c>
      <c r="J222" s="87">
        <v>170.5846</v>
      </c>
      <c r="K222" s="87">
        <v>171.927</v>
      </c>
      <c r="L222" s="87">
        <v>178.3682</v>
      </c>
      <c r="M222" s="87">
        <v>92.41664</v>
      </c>
      <c r="N222" s="87">
        <v>0.537534</v>
      </c>
      <c r="O222" s="87">
        <v>0.0</v>
      </c>
      <c r="P222" s="87">
        <v>1.099073</v>
      </c>
      <c r="Q222" s="87">
        <v>3.557582</v>
      </c>
      <c r="R222" s="87">
        <v>8.976697</v>
      </c>
      <c r="S222" s="87">
        <v>10.12721</v>
      </c>
      <c r="T222" s="87">
        <v>1.099073</v>
      </c>
      <c r="U222" s="87">
        <v>3.557582</v>
      </c>
      <c r="V222" s="87">
        <v>5.379578</v>
      </c>
      <c r="W222" s="87">
        <v>9.24407</v>
      </c>
      <c r="X222" s="87">
        <v>13.65671</v>
      </c>
      <c r="Y222" s="87">
        <v>9.551502</v>
      </c>
      <c r="Z222" s="88" t="s">
        <v>1396</v>
      </c>
    </row>
    <row r="223" hidden="1">
      <c r="A223" s="90" t="s">
        <v>1696</v>
      </c>
      <c r="B223" s="90" t="s">
        <v>1697</v>
      </c>
      <c r="C223" s="90" t="s">
        <v>213</v>
      </c>
      <c r="D223" s="90" t="s">
        <v>220</v>
      </c>
      <c r="E223" s="90" t="s">
        <v>1398</v>
      </c>
      <c r="F223" s="87">
        <v>30.0</v>
      </c>
      <c r="G223" s="87">
        <v>2.0</v>
      </c>
      <c r="H223" s="87">
        <v>18495.0</v>
      </c>
      <c r="I223" s="87">
        <v>62.0</v>
      </c>
      <c r="J223" s="87">
        <v>201.1068</v>
      </c>
      <c r="K223" s="87">
        <v>224.0932</v>
      </c>
      <c r="L223" s="87">
        <v>199.3814</v>
      </c>
      <c r="M223" s="87">
        <v>112.2436</v>
      </c>
      <c r="N223" s="87">
        <v>0.500879</v>
      </c>
      <c r="O223" s="87">
        <v>0.0</v>
      </c>
      <c r="P223" s="87">
        <v>2.023477</v>
      </c>
      <c r="Q223" s="87">
        <v>3.934288</v>
      </c>
      <c r="R223" s="87">
        <v>7.665551</v>
      </c>
      <c r="S223" s="87">
        <v>10.20368</v>
      </c>
      <c r="T223" s="87">
        <v>2.023477</v>
      </c>
      <c r="U223" s="87">
        <v>3.934288</v>
      </c>
      <c r="V223" s="87">
        <v>4.955505</v>
      </c>
      <c r="W223" s="87">
        <v>9.183206</v>
      </c>
      <c r="X223" s="87">
        <v>10.25834</v>
      </c>
      <c r="Y223" s="87">
        <v>8.963726</v>
      </c>
      <c r="Z223" s="88" t="s">
        <v>1396</v>
      </c>
    </row>
    <row r="224" hidden="1">
      <c r="A224" s="90" t="s">
        <v>1698</v>
      </c>
      <c r="B224" s="90" t="s">
        <v>1699</v>
      </c>
      <c r="C224" s="90" t="s">
        <v>213</v>
      </c>
      <c r="D224" s="90" t="s">
        <v>220</v>
      </c>
      <c r="E224" s="90" t="s">
        <v>1400</v>
      </c>
      <c r="F224" s="87">
        <v>39.0</v>
      </c>
      <c r="G224" s="87">
        <v>0.0</v>
      </c>
      <c r="H224" s="87">
        <v>16799.0</v>
      </c>
      <c r="I224" s="87">
        <v>0.0</v>
      </c>
      <c r="J224" s="87">
        <v>174.7985</v>
      </c>
      <c r="K224" s="87">
        <v>162.3714</v>
      </c>
      <c r="L224" s="87">
        <v>151.3562</v>
      </c>
      <c r="M224" s="87">
        <v>91.6674</v>
      </c>
      <c r="N224" s="87">
        <v>0.564554</v>
      </c>
      <c r="O224" s="87">
        <v>0.5</v>
      </c>
      <c r="P224" s="87">
        <v>1.1</v>
      </c>
      <c r="Q224" s="87">
        <v>2.0</v>
      </c>
      <c r="R224" s="87">
        <v>3.247192</v>
      </c>
      <c r="S224" s="87">
        <v>5.827391</v>
      </c>
      <c r="T224" s="87">
        <v>1.1</v>
      </c>
      <c r="U224" s="87">
        <v>2.0</v>
      </c>
      <c r="V224" s="87">
        <v>2.035035</v>
      </c>
      <c r="W224" s="87">
        <v>4.032556</v>
      </c>
      <c r="X224" s="87">
        <v>5.946527</v>
      </c>
      <c r="Y224" s="87">
        <v>4.920346</v>
      </c>
      <c r="Z224" s="88" t="s">
        <v>1396</v>
      </c>
    </row>
    <row r="225" hidden="1">
      <c r="A225" s="90" t="s">
        <v>1700</v>
      </c>
      <c r="B225" s="90" t="s">
        <v>1701</v>
      </c>
      <c r="C225" s="90" t="s">
        <v>213</v>
      </c>
      <c r="D225" s="90" t="s">
        <v>220</v>
      </c>
      <c r="E225" s="89">
        <v>46300.0</v>
      </c>
      <c r="F225" s="87">
        <v>2.0</v>
      </c>
      <c r="G225" s="87">
        <v>0.0</v>
      </c>
      <c r="H225" s="87">
        <v>1169.0</v>
      </c>
      <c r="I225" s="87">
        <v>0.0</v>
      </c>
      <c r="J225" s="87">
        <v>5.472394</v>
      </c>
      <c r="K225" s="87">
        <v>6.310412</v>
      </c>
      <c r="L225" s="87">
        <v>8.526912</v>
      </c>
      <c r="M225" s="87">
        <v>6.310412</v>
      </c>
      <c r="N225" s="87">
        <v>1.0</v>
      </c>
      <c r="O225" s="87">
        <v>0.0</v>
      </c>
      <c r="P225" s="87">
        <v>0.0</v>
      </c>
      <c r="Q225" s="87">
        <v>0.0</v>
      </c>
      <c r="R225" s="87">
        <v>0.0</v>
      </c>
      <c r="S225" s="87">
        <v>0.0</v>
      </c>
      <c r="T225" s="87">
        <v>6.310412</v>
      </c>
      <c r="U225" s="87">
        <v>6.310412</v>
      </c>
      <c r="V225" s="87">
        <v>6.310412</v>
      </c>
      <c r="W225" s="87">
        <v>6.310412</v>
      </c>
      <c r="X225" s="87">
        <v>6.310412</v>
      </c>
      <c r="Y225" s="87">
        <v>1.051735</v>
      </c>
      <c r="Z225" s="88" t="s">
        <v>1396</v>
      </c>
    </row>
    <row r="226" hidden="1">
      <c r="A226" s="90" t="s">
        <v>1702</v>
      </c>
      <c r="B226" s="90" t="s">
        <v>1703</v>
      </c>
      <c r="C226" s="90" t="s">
        <v>213</v>
      </c>
      <c r="D226" s="90" t="s">
        <v>220</v>
      </c>
      <c r="E226" s="90" t="s">
        <v>1403</v>
      </c>
      <c r="F226" s="87">
        <v>7.0</v>
      </c>
      <c r="G226" s="87">
        <v>7.0</v>
      </c>
      <c r="H226" s="87">
        <v>323.0</v>
      </c>
      <c r="I226" s="87">
        <v>323.0</v>
      </c>
      <c r="J226" s="87">
        <v>0.0</v>
      </c>
      <c r="K226" s="87">
        <v>0.0</v>
      </c>
      <c r="L226" s="87">
        <v>0.0</v>
      </c>
      <c r="M226" s="87">
        <v>0.0</v>
      </c>
      <c r="N226" s="91"/>
      <c r="O226" s="87">
        <v>0.0</v>
      </c>
      <c r="P226" s="87">
        <v>0.0</v>
      </c>
      <c r="Q226" s="87">
        <v>0.0</v>
      </c>
      <c r="R226" s="87">
        <v>0.0</v>
      </c>
      <c r="S226" s="87">
        <v>0.0</v>
      </c>
      <c r="T226" s="91"/>
      <c r="U226" s="91"/>
      <c r="V226" s="91"/>
      <c r="W226" s="91"/>
      <c r="X226" s="91"/>
      <c r="Y226" s="87">
        <v>0.0</v>
      </c>
      <c r="Z226" s="88" t="s">
        <v>1396</v>
      </c>
    </row>
    <row r="227" hidden="1">
      <c r="A227" s="90" t="s">
        <v>1690</v>
      </c>
      <c r="B227" s="90" t="s">
        <v>1704</v>
      </c>
      <c r="C227" s="90" t="s">
        <v>213</v>
      </c>
      <c r="D227" s="90" t="s">
        <v>214</v>
      </c>
      <c r="E227" s="90" t="s">
        <v>1426</v>
      </c>
      <c r="F227" s="87">
        <v>0.0</v>
      </c>
      <c r="G227" s="87">
        <v>0.0</v>
      </c>
      <c r="H227" s="87">
        <v>0.0</v>
      </c>
      <c r="I227" s="87">
        <v>0.0</v>
      </c>
      <c r="J227" s="87">
        <v>0.0</v>
      </c>
      <c r="K227" s="87">
        <v>0.0</v>
      </c>
      <c r="L227" s="87">
        <v>0.0</v>
      </c>
      <c r="M227" s="87">
        <v>0.0</v>
      </c>
      <c r="N227" s="91"/>
      <c r="O227" s="87">
        <v>0.0</v>
      </c>
      <c r="P227" s="87">
        <v>0.0</v>
      </c>
      <c r="Q227" s="87">
        <v>0.0</v>
      </c>
      <c r="R227" s="87">
        <v>0.0</v>
      </c>
      <c r="S227" s="87">
        <v>0.0</v>
      </c>
      <c r="T227" s="91"/>
      <c r="U227" s="91"/>
      <c r="V227" s="91"/>
      <c r="W227" s="91"/>
      <c r="X227" s="91"/>
      <c r="Y227" s="87">
        <v>0.0</v>
      </c>
      <c r="Z227" s="88" t="s">
        <v>1396</v>
      </c>
    </row>
    <row r="228" hidden="1">
      <c r="A228" s="90" t="s">
        <v>1692</v>
      </c>
      <c r="B228" s="90" t="s">
        <v>1705</v>
      </c>
      <c r="C228" s="90" t="s">
        <v>213</v>
      </c>
      <c r="D228" s="90" t="s">
        <v>214</v>
      </c>
      <c r="E228" s="86">
        <v>46310.0</v>
      </c>
      <c r="F228" s="87">
        <v>1.0</v>
      </c>
      <c r="G228" s="87">
        <v>0.0</v>
      </c>
      <c r="H228" s="87">
        <v>989.0</v>
      </c>
      <c r="I228" s="87">
        <v>0.0</v>
      </c>
      <c r="J228" s="87">
        <v>16.28374</v>
      </c>
      <c r="K228" s="87">
        <v>15.16063</v>
      </c>
      <c r="L228" s="87">
        <v>13.36469</v>
      </c>
      <c r="M228" s="87">
        <v>15.16063</v>
      </c>
      <c r="N228" s="87">
        <v>1.0</v>
      </c>
      <c r="O228" s="87">
        <v>15.16063</v>
      </c>
      <c r="P228" s="87">
        <v>15.16063</v>
      </c>
      <c r="Q228" s="87">
        <v>15.16063</v>
      </c>
      <c r="R228" s="87">
        <v>15.16063</v>
      </c>
      <c r="S228" s="87">
        <v>15.16063</v>
      </c>
      <c r="T228" s="87">
        <v>15.16063</v>
      </c>
      <c r="U228" s="87">
        <v>15.16063</v>
      </c>
      <c r="V228" s="87">
        <v>15.16063</v>
      </c>
      <c r="W228" s="87">
        <v>15.16063</v>
      </c>
      <c r="X228" s="87">
        <v>15.16063</v>
      </c>
      <c r="Y228" s="87">
        <v>15.16063</v>
      </c>
      <c r="Z228" s="88" t="s">
        <v>1396</v>
      </c>
    </row>
    <row r="229" hidden="1">
      <c r="A229" s="90" t="s">
        <v>1694</v>
      </c>
      <c r="B229" s="90" t="s">
        <v>1706</v>
      </c>
      <c r="C229" s="90" t="s">
        <v>213</v>
      </c>
      <c r="D229" s="90" t="s">
        <v>214</v>
      </c>
      <c r="E229" s="90" t="s">
        <v>1413</v>
      </c>
      <c r="F229" s="87">
        <v>12.0</v>
      </c>
      <c r="G229" s="87">
        <v>0.0</v>
      </c>
      <c r="H229" s="87">
        <v>6619.0</v>
      </c>
      <c r="I229" s="87">
        <v>0.0</v>
      </c>
      <c r="J229" s="87">
        <v>60.34997</v>
      </c>
      <c r="K229" s="87">
        <v>60.01477</v>
      </c>
      <c r="L229" s="87">
        <v>60.97003</v>
      </c>
      <c r="M229" s="87">
        <v>33.67591</v>
      </c>
      <c r="N229" s="87">
        <v>0.561127</v>
      </c>
      <c r="O229" s="87">
        <v>3.013823</v>
      </c>
      <c r="P229" s="87">
        <v>3.346079</v>
      </c>
      <c r="Q229" s="87">
        <v>4.196838</v>
      </c>
      <c r="R229" s="87">
        <v>5.766196</v>
      </c>
      <c r="S229" s="87">
        <v>10.01592</v>
      </c>
      <c r="T229" s="87">
        <v>3.013823</v>
      </c>
      <c r="U229" s="87">
        <v>3.346079</v>
      </c>
      <c r="V229" s="87">
        <v>4.196838</v>
      </c>
      <c r="W229" s="87">
        <v>5.766196</v>
      </c>
      <c r="X229" s="87">
        <v>10.01592</v>
      </c>
      <c r="Y229" s="87">
        <v>8.573538</v>
      </c>
      <c r="Z229" s="88" t="s">
        <v>1396</v>
      </c>
    </row>
    <row r="230" hidden="1">
      <c r="A230" s="90" t="s">
        <v>1696</v>
      </c>
      <c r="B230" s="90" t="s">
        <v>1707</v>
      </c>
      <c r="C230" s="90" t="s">
        <v>213</v>
      </c>
      <c r="D230" s="90" t="s">
        <v>214</v>
      </c>
      <c r="E230" s="90" t="s">
        <v>1398</v>
      </c>
      <c r="F230" s="87">
        <v>4.0</v>
      </c>
      <c r="G230" s="87">
        <v>1.0</v>
      </c>
      <c r="H230" s="87">
        <v>5804.0</v>
      </c>
      <c r="I230" s="87">
        <v>17.0</v>
      </c>
      <c r="J230" s="87">
        <v>75.79143</v>
      </c>
      <c r="K230" s="87">
        <v>86.48938</v>
      </c>
      <c r="L230" s="87">
        <v>82.56488</v>
      </c>
      <c r="M230" s="87">
        <v>55.90284</v>
      </c>
      <c r="N230" s="87">
        <v>0.646355</v>
      </c>
      <c r="O230" s="87">
        <v>2.045877</v>
      </c>
      <c r="P230" s="87">
        <v>2.045877</v>
      </c>
      <c r="Q230" s="87">
        <v>2.045877</v>
      </c>
      <c r="R230" s="87">
        <v>28.54066</v>
      </c>
      <c r="S230" s="87">
        <v>55.90284</v>
      </c>
      <c r="T230" s="87">
        <v>2.045877</v>
      </c>
      <c r="U230" s="87">
        <v>2.045877</v>
      </c>
      <c r="V230" s="87">
        <v>2.045877</v>
      </c>
      <c r="W230" s="87">
        <v>28.54066</v>
      </c>
      <c r="X230" s="87">
        <v>55.90284</v>
      </c>
      <c r="Y230" s="87">
        <v>28.82979</v>
      </c>
      <c r="Z230" s="88" t="s">
        <v>1396</v>
      </c>
    </row>
    <row r="231" hidden="1">
      <c r="A231" s="90" t="s">
        <v>1698</v>
      </c>
      <c r="B231" s="90" t="s">
        <v>1708</v>
      </c>
      <c r="C231" s="90" t="s">
        <v>213</v>
      </c>
      <c r="D231" s="90" t="s">
        <v>214</v>
      </c>
      <c r="E231" s="90" t="s">
        <v>1400</v>
      </c>
      <c r="F231" s="87">
        <v>2.0</v>
      </c>
      <c r="G231" s="87">
        <v>0.0</v>
      </c>
      <c r="H231" s="87">
        <v>1225.0</v>
      </c>
      <c r="I231" s="87">
        <v>0.0</v>
      </c>
      <c r="J231" s="87">
        <v>8.412288</v>
      </c>
      <c r="K231" s="87">
        <v>8.287907</v>
      </c>
      <c r="L231" s="87">
        <v>7.796737</v>
      </c>
      <c r="M231" s="87">
        <v>5.13006</v>
      </c>
      <c r="N231" s="87">
        <v>0.618981</v>
      </c>
      <c r="O231" s="87">
        <v>3.157847</v>
      </c>
      <c r="P231" s="87">
        <v>3.157847</v>
      </c>
      <c r="Q231" s="87">
        <v>3.157847</v>
      </c>
      <c r="R231" s="87">
        <v>5.13006</v>
      </c>
      <c r="S231" s="87">
        <v>5.13006</v>
      </c>
      <c r="T231" s="87">
        <v>3.157847</v>
      </c>
      <c r="U231" s="87">
        <v>3.157847</v>
      </c>
      <c r="V231" s="87">
        <v>3.157847</v>
      </c>
      <c r="W231" s="87">
        <v>5.13006</v>
      </c>
      <c r="X231" s="87">
        <v>5.13006</v>
      </c>
      <c r="Y231" s="87">
        <v>4.143954</v>
      </c>
      <c r="Z231" s="88" t="s">
        <v>1396</v>
      </c>
    </row>
    <row r="232" hidden="1">
      <c r="A232" s="90" t="s">
        <v>1700</v>
      </c>
      <c r="B232" s="90" t="s">
        <v>1709</v>
      </c>
      <c r="C232" s="90" t="s">
        <v>213</v>
      </c>
      <c r="D232" s="90" t="s">
        <v>214</v>
      </c>
      <c r="E232" s="89">
        <v>46300.0</v>
      </c>
      <c r="F232" s="87">
        <v>0.0</v>
      </c>
      <c r="G232" s="87">
        <v>0.0</v>
      </c>
      <c r="H232" s="87">
        <v>0.0</v>
      </c>
      <c r="I232" s="87">
        <v>0.0</v>
      </c>
      <c r="J232" s="87">
        <v>0.0</v>
      </c>
      <c r="K232" s="87">
        <v>0.0</v>
      </c>
      <c r="L232" s="87">
        <v>0.410714</v>
      </c>
      <c r="M232" s="87">
        <v>0.0</v>
      </c>
      <c r="N232" s="91"/>
      <c r="O232" s="87">
        <v>0.0</v>
      </c>
      <c r="P232" s="87">
        <v>0.0</v>
      </c>
      <c r="Q232" s="87">
        <v>0.0</v>
      </c>
      <c r="R232" s="87">
        <v>0.0</v>
      </c>
      <c r="S232" s="87">
        <v>0.0</v>
      </c>
      <c r="T232" s="91"/>
      <c r="U232" s="91"/>
      <c r="V232" s="91"/>
      <c r="W232" s="91"/>
      <c r="X232" s="91"/>
      <c r="Y232" s="87">
        <v>0.0</v>
      </c>
      <c r="Z232" s="88" t="s">
        <v>1396</v>
      </c>
    </row>
    <row r="233" hidden="1">
      <c r="A233" s="90" t="s">
        <v>1702</v>
      </c>
      <c r="B233" s="90" t="s">
        <v>1710</v>
      </c>
      <c r="C233" s="90" t="s">
        <v>213</v>
      </c>
      <c r="D233" s="90" t="s">
        <v>214</v>
      </c>
      <c r="E233" s="90" t="s">
        <v>1403</v>
      </c>
      <c r="F233" s="87">
        <v>0.0</v>
      </c>
      <c r="G233" s="87">
        <v>0.0</v>
      </c>
      <c r="H233" s="87">
        <v>0.0</v>
      </c>
      <c r="I233" s="87">
        <v>0.0</v>
      </c>
      <c r="J233" s="87">
        <v>0.0</v>
      </c>
      <c r="K233" s="87">
        <v>0.0</v>
      </c>
      <c r="L233" s="87">
        <v>0.0</v>
      </c>
      <c r="M233" s="87">
        <v>0.0</v>
      </c>
      <c r="N233" s="91"/>
      <c r="O233" s="87">
        <v>0.0</v>
      </c>
      <c r="P233" s="87">
        <v>0.0</v>
      </c>
      <c r="Q233" s="87">
        <v>0.0</v>
      </c>
      <c r="R233" s="87">
        <v>0.0</v>
      </c>
      <c r="S233" s="87">
        <v>0.0</v>
      </c>
      <c r="T233" s="91"/>
      <c r="U233" s="91"/>
      <c r="V233" s="91"/>
      <c r="W233" s="91"/>
      <c r="X233" s="91"/>
      <c r="Y233" s="87">
        <v>0.0</v>
      </c>
      <c r="Z233" s="88" t="s">
        <v>1396</v>
      </c>
    </row>
    <row r="234" hidden="1">
      <c r="A234" s="90" t="s">
        <v>1690</v>
      </c>
      <c r="B234" s="90" t="s">
        <v>1711</v>
      </c>
      <c r="C234" s="90" t="s">
        <v>213</v>
      </c>
      <c r="D234" s="90" t="s">
        <v>851</v>
      </c>
      <c r="E234" s="90" t="s">
        <v>1426</v>
      </c>
      <c r="F234" s="87">
        <v>0.0</v>
      </c>
      <c r="G234" s="87">
        <v>0.0</v>
      </c>
      <c r="H234" s="87">
        <v>0.0</v>
      </c>
      <c r="I234" s="87">
        <v>0.0</v>
      </c>
      <c r="J234" s="87">
        <v>0.0</v>
      </c>
      <c r="K234" s="87">
        <v>0.0</v>
      </c>
      <c r="L234" s="87">
        <v>1.047619</v>
      </c>
      <c r="M234" s="87">
        <v>0.0</v>
      </c>
      <c r="N234" s="85"/>
      <c r="O234" s="87">
        <v>0.0</v>
      </c>
      <c r="P234" s="87">
        <v>0.0</v>
      </c>
      <c r="Q234" s="87">
        <v>0.0</v>
      </c>
      <c r="R234" s="87">
        <v>0.0</v>
      </c>
      <c r="S234" s="87">
        <v>0.0</v>
      </c>
      <c r="T234" s="91"/>
      <c r="U234" s="91"/>
      <c r="V234" s="91"/>
      <c r="W234" s="91"/>
      <c r="X234" s="91"/>
      <c r="Y234" s="87">
        <v>0.0</v>
      </c>
      <c r="Z234" s="88" t="s">
        <v>1396</v>
      </c>
    </row>
    <row r="235" hidden="1">
      <c r="A235" s="90" t="s">
        <v>1692</v>
      </c>
      <c r="B235" s="90" t="s">
        <v>1712</v>
      </c>
      <c r="C235" s="90" t="s">
        <v>213</v>
      </c>
      <c r="D235" s="90" t="s">
        <v>851</v>
      </c>
      <c r="E235" s="86">
        <v>46310.0</v>
      </c>
      <c r="F235" s="87">
        <v>9.0</v>
      </c>
      <c r="G235" s="87">
        <v>1.0</v>
      </c>
      <c r="H235" s="87">
        <v>4643.0</v>
      </c>
      <c r="I235" s="87">
        <v>13.0</v>
      </c>
      <c r="J235" s="87">
        <v>94.91257</v>
      </c>
      <c r="K235" s="87">
        <v>96.32155</v>
      </c>
      <c r="L235" s="87">
        <v>92.32111</v>
      </c>
      <c r="M235" s="87">
        <v>61.5091</v>
      </c>
      <c r="N235" s="87">
        <v>0.638581</v>
      </c>
      <c r="O235" s="87">
        <v>3.011958</v>
      </c>
      <c r="P235" s="87">
        <v>3.011958</v>
      </c>
      <c r="Q235" s="87">
        <v>3.011958</v>
      </c>
      <c r="R235" s="87">
        <v>31.80049</v>
      </c>
      <c r="S235" s="87">
        <v>61.5091</v>
      </c>
      <c r="T235" s="87">
        <v>3.011958</v>
      </c>
      <c r="U235" s="87">
        <v>3.011958</v>
      </c>
      <c r="V235" s="87">
        <v>3.011958</v>
      </c>
      <c r="W235" s="87">
        <v>31.80049</v>
      </c>
      <c r="X235" s="87">
        <v>61.5091</v>
      </c>
      <c r="Y235" s="87">
        <v>32.10718</v>
      </c>
      <c r="Z235" s="88" t="s">
        <v>1396</v>
      </c>
    </row>
    <row r="236" hidden="1">
      <c r="A236" s="90" t="s">
        <v>1694</v>
      </c>
      <c r="B236" s="90" t="s">
        <v>1713</v>
      </c>
      <c r="C236" s="90" t="s">
        <v>213</v>
      </c>
      <c r="D236" s="90" t="s">
        <v>851</v>
      </c>
      <c r="E236" s="90" t="s">
        <v>1413</v>
      </c>
      <c r="F236" s="87">
        <v>20.0</v>
      </c>
      <c r="G236" s="87">
        <v>2.0</v>
      </c>
      <c r="H236" s="87">
        <v>9742.0</v>
      </c>
      <c r="I236" s="87">
        <v>15.0</v>
      </c>
      <c r="J236" s="87">
        <v>123.5228</v>
      </c>
      <c r="K236" s="87">
        <v>113.085</v>
      </c>
      <c r="L236" s="87">
        <v>109.3067</v>
      </c>
      <c r="M236" s="87">
        <v>75.02794</v>
      </c>
      <c r="N236" s="87">
        <v>0.663465</v>
      </c>
      <c r="O236" s="87">
        <v>0.231183</v>
      </c>
      <c r="P236" s="87">
        <v>0.363441</v>
      </c>
      <c r="Q236" s="87">
        <v>0.424431</v>
      </c>
      <c r="R236" s="87">
        <v>4.554295</v>
      </c>
      <c r="S236" s="87">
        <v>13.102</v>
      </c>
      <c r="T236" s="87">
        <v>0.363441</v>
      </c>
      <c r="U236" s="87">
        <v>0.424431</v>
      </c>
      <c r="V236" s="87">
        <v>0.597849</v>
      </c>
      <c r="W236" s="87">
        <v>5.079192</v>
      </c>
      <c r="X236" s="87">
        <v>13.102</v>
      </c>
      <c r="Y236" s="87">
        <v>8.698847</v>
      </c>
      <c r="Z236" s="88" t="s">
        <v>1396</v>
      </c>
    </row>
    <row r="237" hidden="1">
      <c r="A237" s="90" t="s">
        <v>1696</v>
      </c>
      <c r="B237" s="90" t="s">
        <v>1714</v>
      </c>
      <c r="C237" s="90" t="s">
        <v>213</v>
      </c>
      <c r="D237" s="90" t="s">
        <v>851</v>
      </c>
      <c r="E237" s="90" t="s">
        <v>1398</v>
      </c>
      <c r="F237" s="87">
        <v>7.0</v>
      </c>
      <c r="G237" s="87">
        <v>0.0</v>
      </c>
      <c r="H237" s="87">
        <v>1393.0</v>
      </c>
      <c r="I237" s="87">
        <v>0.0</v>
      </c>
      <c r="J237" s="87">
        <v>11.87158</v>
      </c>
      <c r="K237" s="87">
        <v>9.67385</v>
      </c>
      <c r="L237" s="87">
        <v>8.959091</v>
      </c>
      <c r="M237" s="87">
        <v>7.95788</v>
      </c>
      <c r="N237" s="87">
        <v>0.822618</v>
      </c>
      <c r="O237" s="87">
        <v>1.71597</v>
      </c>
      <c r="P237" s="87">
        <v>1.71597</v>
      </c>
      <c r="Q237" s="87">
        <v>1.71597</v>
      </c>
      <c r="R237" s="87">
        <v>7.95788</v>
      </c>
      <c r="S237" s="87">
        <v>7.95788</v>
      </c>
      <c r="T237" s="87">
        <v>1.71597</v>
      </c>
      <c r="U237" s="87">
        <v>1.71597</v>
      </c>
      <c r="V237" s="87">
        <v>1.71597</v>
      </c>
      <c r="W237" s="87">
        <v>7.95788</v>
      </c>
      <c r="X237" s="87">
        <v>7.95788</v>
      </c>
      <c r="Y237" s="87">
        <v>4.836925</v>
      </c>
      <c r="Z237" s="88" t="s">
        <v>1396</v>
      </c>
    </row>
    <row r="238" hidden="1">
      <c r="A238" s="90" t="s">
        <v>1698</v>
      </c>
      <c r="B238" s="90" t="s">
        <v>1715</v>
      </c>
      <c r="C238" s="90" t="s">
        <v>213</v>
      </c>
      <c r="D238" s="90" t="s">
        <v>851</v>
      </c>
      <c r="E238" s="90" t="s">
        <v>1400</v>
      </c>
      <c r="F238" s="87">
        <v>24.0</v>
      </c>
      <c r="G238" s="87">
        <v>3.0</v>
      </c>
      <c r="H238" s="87">
        <v>4910.0</v>
      </c>
      <c r="I238" s="87">
        <v>120.0</v>
      </c>
      <c r="J238" s="87">
        <v>28.86555</v>
      </c>
      <c r="K238" s="87">
        <v>25.60336</v>
      </c>
      <c r="L238" s="87">
        <v>27.45445</v>
      </c>
      <c r="M238" s="87">
        <v>14.52749</v>
      </c>
      <c r="N238" s="87">
        <v>0.567406</v>
      </c>
      <c r="O238" s="87">
        <v>0.465591</v>
      </c>
      <c r="P238" s="87">
        <v>0.468047</v>
      </c>
      <c r="Q238" s="87">
        <v>0.592073</v>
      </c>
      <c r="R238" s="87">
        <v>0.985461</v>
      </c>
      <c r="S238" s="87">
        <v>3.044837</v>
      </c>
      <c r="T238" s="87">
        <v>0.468047</v>
      </c>
      <c r="U238" s="87">
        <v>0.592073</v>
      </c>
      <c r="V238" s="87">
        <v>0.609771</v>
      </c>
      <c r="W238" s="87">
        <v>1.375568</v>
      </c>
      <c r="X238" s="87">
        <v>3.044837</v>
      </c>
      <c r="Y238" s="87">
        <v>1.969489</v>
      </c>
      <c r="Z238" s="88" t="s">
        <v>1396</v>
      </c>
    </row>
    <row r="239" hidden="1">
      <c r="A239" s="90" t="s">
        <v>1700</v>
      </c>
      <c r="B239" s="90" t="s">
        <v>1716</v>
      </c>
      <c r="C239" s="90" t="s">
        <v>213</v>
      </c>
      <c r="D239" s="90" t="s">
        <v>851</v>
      </c>
      <c r="E239" s="89">
        <v>46300.0</v>
      </c>
      <c r="F239" s="87">
        <v>5.0</v>
      </c>
      <c r="G239" s="87">
        <v>0.0</v>
      </c>
      <c r="H239" s="87">
        <v>5384.0</v>
      </c>
      <c r="I239" s="87">
        <v>0.0</v>
      </c>
      <c r="J239" s="87">
        <v>62.27016</v>
      </c>
      <c r="K239" s="87">
        <v>62.65657</v>
      </c>
      <c r="L239" s="87">
        <v>66.07472</v>
      </c>
      <c r="M239" s="87">
        <v>34.341</v>
      </c>
      <c r="N239" s="87">
        <v>0.548083</v>
      </c>
      <c r="O239" s="87">
        <v>7.742624</v>
      </c>
      <c r="P239" s="87">
        <v>7.742624</v>
      </c>
      <c r="Q239" s="87">
        <v>8.485918</v>
      </c>
      <c r="R239" s="87">
        <v>12.08703</v>
      </c>
      <c r="S239" s="87">
        <v>12.08703</v>
      </c>
      <c r="T239" s="87">
        <v>7.742624</v>
      </c>
      <c r="U239" s="87">
        <v>7.742624</v>
      </c>
      <c r="V239" s="87">
        <v>8.485918</v>
      </c>
      <c r="W239" s="87">
        <v>12.08703</v>
      </c>
      <c r="X239" s="87">
        <v>12.08703</v>
      </c>
      <c r="Y239" s="87">
        <v>15.66414</v>
      </c>
      <c r="Z239" s="88" t="s">
        <v>1396</v>
      </c>
    </row>
    <row r="240" hidden="1">
      <c r="A240" s="90" t="s">
        <v>1702</v>
      </c>
      <c r="B240" s="90" t="s">
        <v>1717</v>
      </c>
      <c r="C240" s="90" t="s">
        <v>213</v>
      </c>
      <c r="D240" s="90" t="s">
        <v>851</v>
      </c>
      <c r="E240" s="90" t="s">
        <v>1403</v>
      </c>
      <c r="F240" s="87">
        <v>11.0</v>
      </c>
      <c r="G240" s="87">
        <v>11.0</v>
      </c>
      <c r="H240" s="87">
        <v>99.0</v>
      </c>
      <c r="I240" s="87">
        <v>99.0</v>
      </c>
      <c r="J240" s="87">
        <v>0.0</v>
      </c>
      <c r="K240" s="87">
        <v>0.0</v>
      </c>
      <c r="L240" s="87">
        <v>0.0</v>
      </c>
      <c r="M240" s="87">
        <v>0.0</v>
      </c>
      <c r="N240" s="91"/>
      <c r="O240" s="87">
        <v>0.0</v>
      </c>
      <c r="P240" s="87">
        <v>0.0</v>
      </c>
      <c r="Q240" s="87">
        <v>0.0</v>
      </c>
      <c r="R240" s="87">
        <v>0.0</v>
      </c>
      <c r="S240" s="87">
        <v>0.0</v>
      </c>
      <c r="T240" s="91"/>
      <c r="U240" s="91"/>
      <c r="V240" s="91"/>
      <c r="W240" s="91"/>
      <c r="X240" s="91"/>
      <c r="Y240" s="87">
        <v>0.0</v>
      </c>
      <c r="Z240" s="88" t="s">
        <v>1396</v>
      </c>
    </row>
    <row r="241" hidden="1">
      <c r="A241" s="90" t="s">
        <v>1690</v>
      </c>
      <c r="B241" s="90" t="s">
        <v>1718</v>
      </c>
      <c r="C241" s="90" t="s">
        <v>213</v>
      </c>
      <c r="D241" s="90" t="s">
        <v>1719</v>
      </c>
      <c r="E241" s="90" t="s">
        <v>1426</v>
      </c>
      <c r="F241" s="87">
        <v>1.0</v>
      </c>
      <c r="G241" s="87">
        <v>0.0</v>
      </c>
      <c r="H241" s="87">
        <v>87.0</v>
      </c>
      <c r="I241" s="87">
        <v>0.0</v>
      </c>
      <c r="J241" s="87">
        <v>0.0</v>
      </c>
      <c r="K241" s="87">
        <v>0.1</v>
      </c>
      <c r="L241" s="87">
        <v>0.05</v>
      </c>
      <c r="M241" s="87">
        <v>0.1</v>
      </c>
      <c r="N241" s="87">
        <v>1.0</v>
      </c>
      <c r="O241" s="87">
        <v>0.1</v>
      </c>
      <c r="P241" s="87">
        <v>0.1</v>
      </c>
      <c r="Q241" s="87">
        <v>0.1</v>
      </c>
      <c r="R241" s="87">
        <v>0.1</v>
      </c>
      <c r="S241" s="87">
        <v>0.1</v>
      </c>
      <c r="T241" s="87">
        <v>0.1</v>
      </c>
      <c r="U241" s="87">
        <v>0.1</v>
      </c>
      <c r="V241" s="87">
        <v>0.1</v>
      </c>
      <c r="W241" s="87">
        <v>0.1</v>
      </c>
      <c r="X241" s="87">
        <v>0.1</v>
      </c>
      <c r="Y241" s="87">
        <v>0.1</v>
      </c>
      <c r="Z241" s="88" t="s">
        <v>1396</v>
      </c>
    </row>
    <row r="242" hidden="1">
      <c r="A242" s="90" t="s">
        <v>1692</v>
      </c>
      <c r="B242" s="90" t="s">
        <v>1720</v>
      </c>
      <c r="C242" s="90" t="s">
        <v>213</v>
      </c>
      <c r="D242" s="90" t="s">
        <v>1719</v>
      </c>
      <c r="E242" s="86">
        <v>46310.0</v>
      </c>
      <c r="F242" s="87">
        <v>9.0</v>
      </c>
      <c r="G242" s="87">
        <v>0.0</v>
      </c>
      <c r="H242" s="87">
        <v>3677.0</v>
      </c>
      <c r="I242" s="87">
        <v>0.0</v>
      </c>
      <c r="J242" s="87">
        <v>43.70272</v>
      </c>
      <c r="K242" s="87">
        <v>35.21264</v>
      </c>
      <c r="L242" s="87">
        <v>33.15222</v>
      </c>
      <c r="M242" s="87">
        <v>14.44266</v>
      </c>
      <c r="N242" s="87">
        <v>0.410155</v>
      </c>
      <c r="O242" s="87">
        <v>0.0</v>
      </c>
      <c r="P242" s="87">
        <v>5.917077</v>
      </c>
      <c r="Q242" s="87">
        <v>5.917077</v>
      </c>
      <c r="R242" s="87">
        <v>6.753669</v>
      </c>
      <c r="S242" s="87">
        <v>8.099239</v>
      </c>
      <c r="T242" s="87">
        <v>5.917077</v>
      </c>
      <c r="U242" s="87">
        <v>5.917077</v>
      </c>
      <c r="V242" s="87">
        <v>6.753669</v>
      </c>
      <c r="W242" s="87">
        <v>8.099239</v>
      </c>
      <c r="X242" s="87">
        <v>8.099239</v>
      </c>
      <c r="Y242" s="87">
        <v>7.042528</v>
      </c>
      <c r="Z242" s="88" t="s">
        <v>1396</v>
      </c>
    </row>
    <row r="243" hidden="1">
      <c r="A243" s="90" t="s">
        <v>1694</v>
      </c>
      <c r="B243" s="90" t="s">
        <v>1721</v>
      </c>
      <c r="C243" s="90" t="s">
        <v>213</v>
      </c>
      <c r="D243" s="90" t="s">
        <v>1719</v>
      </c>
      <c r="E243" s="90" t="s">
        <v>1413</v>
      </c>
      <c r="F243" s="87">
        <v>7.0</v>
      </c>
      <c r="G243" s="87">
        <v>0.0</v>
      </c>
      <c r="H243" s="87">
        <v>4091.0</v>
      </c>
      <c r="I243" s="87">
        <v>0.0</v>
      </c>
      <c r="J243" s="87">
        <v>42.65747</v>
      </c>
      <c r="K243" s="87">
        <v>37.44524</v>
      </c>
      <c r="L243" s="87">
        <v>38.16541</v>
      </c>
      <c r="M243" s="87">
        <v>26.04529</v>
      </c>
      <c r="N243" s="87">
        <v>0.695557</v>
      </c>
      <c r="O243" s="87">
        <v>0.997998</v>
      </c>
      <c r="P243" s="87">
        <v>2.106897</v>
      </c>
      <c r="Q243" s="87">
        <v>2.34436</v>
      </c>
      <c r="R243" s="87">
        <v>2.3851</v>
      </c>
      <c r="S243" s="87">
        <v>3.565599</v>
      </c>
      <c r="T243" s="87">
        <v>0.997998</v>
      </c>
      <c r="U243" s="87">
        <v>2.106897</v>
      </c>
      <c r="V243" s="87">
        <v>2.34436</v>
      </c>
      <c r="W243" s="87">
        <v>2.3851</v>
      </c>
      <c r="X243" s="87">
        <v>3.565599</v>
      </c>
      <c r="Y243" s="87">
        <v>5.349321</v>
      </c>
      <c r="Z243" s="88" t="s">
        <v>1396</v>
      </c>
    </row>
    <row r="244" hidden="1">
      <c r="A244" s="90" t="s">
        <v>1696</v>
      </c>
      <c r="B244" s="90" t="s">
        <v>1722</v>
      </c>
      <c r="C244" s="90" t="s">
        <v>213</v>
      </c>
      <c r="D244" s="90" t="s">
        <v>1719</v>
      </c>
      <c r="E244" s="90" t="s">
        <v>1398</v>
      </c>
      <c r="F244" s="87">
        <v>8.0</v>
      </c>
      <c r="G244" s="87">
        <v>0.0</v>
      </c>
      <c r="H244" s="87">
        <v>5191.0</v>
      </c>
      <c r="I244" s="87">
        <v>0.0</v>
      </c>
      <c r="J244" s="87">
        <v>37.90833</v>
      </c>
      <c r="K244" s="87">
        <v>46.98819</v>
      </c>
      <c r="L244" s="87">
        <v>45.14183</v>
      </c>
      <c r="M244" s="87">
        <v>25.38393</v>
      </c>
      <c r="N244" s="87">
        <v>0.540219</v>
      </c>
      <c r="O244" s="87">
        <v>0.0</v>
      </c>
      <c r="P244" s="87">
        <v>0.034483</v>
      </c>
      <c r="Q244" s="87">
        <v>0.308106</v>
      </c>
      <c r="R244" s="87">
        <v>4.209152</v>
      </c>
      <c r="S244" s="87">
        <v>8.944314</v>
      </c>
      <c r="T244" s="87">
        <v>0.034483</v>
      </c>
      <c r="U244" s="87">
        <v>0.308106</v>
      </c>
      <c r="V244" s="87">
        <v>1.726176</v>
      </c>
      <c r="W244" s="87">
        <v>6.382027</v>
      </c>
      <c r="X244" s="87">
        <v>8.944314</v>
      </c>
      <c r="Y244" s="87">
        <v>5.22091</v>
      </c>
      <c r="Z244" s="88" t="s">
        <v>1396</v>
      </c>
    </row>
    <row r="245" hidden="1">
      <c r="A245" s="90" t="s">
        <v>1698</v>
      </c>
      <c r="B245" s="90" t="s">
        <v>1723</v>
      </c>
      <c r="C245" s="90" t="s">
        <v>213</v>
      </c>
      <c r="D245" s="90" t="s">
        <v>1719</v>
      </c>
      <c r="E245" s="90" t="s">
        <v>1400</v>
      </c>
      <c r="F245" s="87">
        <v>7.0</v>
      </c>
      <c r="G245" s="87">
        <v>0.0</v>
      </c>
      <c r="H245" s="87">
        <v>995.0</v>
      </c>
      <c r="I245" s="87">
        <v>0.0</v>
      </c>
      <c r="J245" s="87">
        <v>3.641941</v>
      </c>
      <c r="K245" s="87">
        <v>3.859942</v>
      </c>
      <c r="L245" s="87">
        <v>3.867852</v>
      </c>
      <c r="M245" s="87">
        <v>1.890565</v>
      </c>
      <c r="N245" s="87">
        <v>0.489791</v>
      </c>
      <c r="O245" s="87">
        <v>0.842775</v>
      </c>
      <c r="P245" s="87">
        <v>0.842775</v>
      </c>
      <c r="Q245" s="87">
        <v>0.842775</v>
      </c>
      <c r="R245" s="87">
        <v>1.126602</v>
      </c>
      <c r="S245" s="87">
        <v>1.890565</v>
      </c>
      <c r="T245" s="87">
        <v>0.842775</v>
      </c>
      <c r="U245" s="87">
        <v>0.842775</v>
      </c>
      <c r="V245" s="87">
        <v>0.842775</v>
      </c>
      <c r="W245" s="87">
        <v>1.126602</v>
      </c>
      <c r="X245" s="87">
        <v>1.890565</v>
      </c>
      <c r="Y245" s="87">
        <v>1.286647</v>
      </c>
      <c r="Z245" s="88" t="s">
        <v>1396</v>
      </c>
    </row>
    <row r="246" hidden="1">
      <c r="A246" s="90" t="s">
        <v>1700</v>
      </c>
      <c r="B246" s="90" t="s">
        <v>1724</v>
      </c>
      <c r="C246" s="90" t="s">
        <v>213</v>
      </c>
      <c r="D246" s="90" t="s">
        <v>1719</v>
      </c>
      <c r="E246" s="89">
        <v>46300.0</v>
      </c>
      <c r="F246" s="87">
        <v>7.0</v>
      </c>
      <c r="G246" s="87">
        <v>1.0</v>
      </c>
      <c r="H246" s="87">
        <v>14757.0</v>
      </c>
      <c r="I246" s="87">
        <v>2.0</v>
      </c>
      <c r="J246" s="87">
        <v>183.032</v>
      </c>
      <c r="K246" s="87">
        <v>188.9253</v>
      </c>
      <c r="L246" s="87">
        <v>189.4757</v>
      </c>
      <c r="M246" s="87">
        <v>151.7743</v>
      </c>
      <c r="N246" s="87">
        <v>0.803357</v>
      </c>
      <c r="O246" s="87">
        <v>2.806847</v>
      </c>
      <c r="P246" s="87">
        <v>6.278971</v>
      </c>
      <c r="Q246" s="87">
        <v>6.278971</v>
      </c>
      <c r="R246" s="87">
        <v>18.9345</v>
      </c>
      <c r="S246" s="87">
        <v>33.0437</v>
      </c>
      <c r="T246" s="87">
        <v>2.806847</v>
      </c>
      <c r="U246" s="87">
        <v>6.278971</v>
      </c>
      <c r="V246" s="87">
        <v>6.278971</v>
      </c>
      <c r="W246" s="87">
        <v>18.9345</v>
      </c>
      <c r="X246" s="87">
        <v>33.0437</v>
      </c>
      <c r="Y246" s="87">
        <v>31.48754</v>
      </c>
      <c r="Z246" s="88" t="s">
        <v>1396</v>
      </c>
    </row>
    <row r="247" hidden="1">
      <c r="A247" s="90" t="s">
        <v>1702</v>
      </c>
      <c r="B247" s="90" t="s">
        <v>1725</v>
      </c>
      <c r="C247" s="90" t="s">
        <v>213</v>
      </c>
      <c r="D247" s="90" t="s">
        <v>1719</v>
      </c>
      <c r="E247" s="90" t="s">
        <v>1403</v>
      </c>
      <c r="F247" s="87">
        <v>0.0</v>
      </c>
      <c r="G247" s="87">
        <v>0.0</v>
      </c>
      <c r="H247" s="87">
        <v>0.0</v>
      </c>
      <c r="I247" s="87">
        <v>0.0</v>
      </c>
      <c r="J247" s="87">
        <v>0.0</v>
      </c>
      <c r="K247" s="87">
        <v>0.0</v>
      </c>
      <c r="L247" s="87">
        <v>0.0</v>
      </c>
      <c r="M247" s="87">
        <v>0.0</v>
      </c>
      <c r="N247" s="91"/>
      <c r="O247" s="87">
        <v>0.0</v>
      </c>
      <c r="P247" s="87">
        <v>0.0</v>
      </c>
      <c r="Q247" s="87">
        <v>0.0</v>
      </c>
      <c r="R247" s="87">
        <v>0.0</v>
      </c>
      <c r="S247" s="87">
        <v>0.0</v>
      </c>
      <c r="T247" s="91"/>
      <c r="U247" s="91"/>
      <c r="V247" s="91"/>
      <c r="W247" s="91"/>
      <c r="X247" s="91"/>
      <c r="Y247" s="87">
        <v>0.0</v>
      </c>
      <c r="Z247" s="88" t="s">
        <v>1396</v>
      </c>
    </row>
    <row r="248" hidden="1">
      <c r="A248" s="90" t="s">
        <v>1690</v>
      </c>
      <c r="B248" s="90" t="s">
        <v>1726</v>
      </c>
      <c r="C248" s="90" t="s">
        <v>213</v>
      </c>
      <c r="D248" s="90" t="s">
        <v>861</v>
      </c>
      <c r="E248" s="90" t="s">
        <v>1426</v>
      </c>
      <c r="F248" s="87">
        <v>3.0</v>
      </c>
      <c r="G248" s="87">
        <v>0.0</v>
      </c>
      <c r="H248" s="87">
        <v>9205.0</v>
      </c>
      <c r="I248" s="87">
        <v>0.0</v>
      </c>
      <c r="J248" s="87">
        <v>80.238</v>
      </c>
      <c r="K248" s="87">
        <v>90.61589</v>
      </c>
      <c r="L248" s="87">
        <v>88.27494</v>
      </c>
      <c r="M248" s="87">
        <v>80.83955</v>
      </c>
      <c r="N248" s="87">
        <v>0.892112</v>
      </c>
      <c r="O248" s="87">
        <v>9.776338</v>
      </c>
      <c r="P248" s="87">
        <v>9.776338</v>
      </c>
      <c r="Q248" s="87">
        <v>9.776338</v>
      </c>
      <c r="R248" s="87">
        <v>80.83955</v>
      </c>
      <c r="S248" s="87">
        <v>80.83955</v>
      </c>
      <c r="T248" s="87">
        <v>9.776338</v>
      </c>
      <c r="U248" s="87">
        <v>9.776338</v>
      </c>
      <c r="V248" s="87">
        <v>9.776338</v>
      </c>
      <c r="W248" s="87">
        <v>80.83955</v>
      </c>
      <c r="X248" s="87">
        <v>80.83955</v>
      </c>
      <c r="Y248" s="87">
        <v>45.30794</v>
      </c>
      <c r="Z248" s="88" t="s">
        <v>1396</v>
      </c>
    </row>
    <row r="249" hidden="1">
      <c r="A249" s="90" t="s">
        <v>1692</v>
      </c>
      <c r="B249" s="90" t="s">
        <v>1727</v>
      </c>
      <c r="C249" s="90" t="s">
        <v>213</v>
      </c>
      <c r="D249" s="90" t="s">
        <v>861</v>
      </c>
      <c r="E249" s="86">
        <v>46310.0</v>
      </c>
      <c r="F249" s="87">
        <v>11.0</v>
      </c>
      <c r="G249" s="87">
        <v>1.0</v>
      </c>
      <c r="H249" s="87">
        <v>4750.0</v>
      </c>
      <c r="I249" s="87">
        <v>1.0</v>
      </c>
      <c r="J249" s="87">
        <v>42.39023</v>
      </c>
      <c r="K249" s="87">
        <v>52.98645</v>
      </c>
      <c r="L249" s="87">
        <v>54.87071</v>
      </c>
      <c r="M249" s="87">
        <v>26.19097</v>
      </c>
      <c r="N249" s="87">
        <v>0.494296</v>
      </c>
      <c r="O249" s="87">
        <v>0.0</v>
      </c>
      <c r="P249" s="87">
        <v>0.5</v>
      </c>
      <c r="Q249" s="87">
        <v>2.46565</v>
      </c>
      <c r="R249" s="87">
        <v>3.423265</v>
      </c>
      <c r="S249" s="87">
        <v>9.59955</v>
      </c>
      <c r="T249" s="87">
        <v>0.5</v>
      </c>
      <c r="U249" s="87">
        <v>2.46565</v>
      </c>
      <c r="V249" s="87">
        <v>2.478712</v>
      </c>
      <c r="W249" s="87">
        <v>8.328297</v>
      </c>
      <c r="X249" s="87">
        <v>9.59955</v>
      </c>
      <c r="Y249" s="87">
        <v>5.887383</v>
      </c>
      <c r="Z249" s="88" t="s">
        <v>1396</v>
      </c>
    </row>
    <row r="250" hidden="1">
      <c r="A250" s="90" t="s">
        <v>1694</v>
      </c>
      <c r="B250" s="90" t="s">
        <v>1728</v>
      </c>
      <c r="C250" s="90" t="s">
        <v>213</v>
      </c>
      <c r="D250" s="90" t="s">
        <v>861</v>
      </c>
      <c r="E250" s="90" t="s">
        <v>1413</v>
      </c>
      <c r="F250" s="87">
        <v>15.0</v>
      </c>
      <c r="G250" s="87">
        <v>1.0</v>
      </c>
      <c r="H250" s="87">
        <v>8615.0</v>
      </c>
      <c r="I250" s="87">
        <v>6.0</v>
      </c>
      <c r="J250" s="87">
        <v>156.311</v>
      </c>
      <c r="K250" s="87">
        <v>144.1561</v>
      </c>
      <c r="L250" s="87">
        <v>139.3968</v>
      </c>
      <c r="M250" s="87">
        <v>108.4764</v>
      </c>
      <c r="N250" s="87">
        <v>0.752493</v>
      </c>
      <c r="O250" s="87">
        <v>1.410514</v>
      </c>
      <c r="P250" s="87">
        <v>2.078852</v>
      </c>
      <c r="Q250" s="87">
        <v>2.487903</v>
      </c>
      <c r="R250" s="87">
        <v>9.419354</v>
      </c>
      <c r="S250" s="87">
        <v>12.91694</v>
      </c>
      <c r="T250" s="87">
        <v>1.410514</v>
      </c>
      <c r="U250" s="87">
        <v>2.078852</v>
      </c>
      <c r="V250" s="87">
        <v>2.487903</v>
      </c>
      <c r="W250" s="87">
        <v>9.419354</v>
      </c>
      <c r="X250" s="87">
        <v>12.91694</v>
      </c>
      <c r="Y250" s="87">
        <v>18.01951</v>
      </c>
      <c r="Z250" s="88" t="s">
        <v>1396</v>
      </c>
    </row>
    <row r="251" hidden="1">
      <c r="A251" s="90" t="s">
        <v>1696</v>
      </c>
      <c r="B251" s="90" t="s">
        <v>1729</v>
      </c>
      <c r="C251" s="90" t="s">
        <v>213</v>
      </c>
      <c r="D251" s="90" t="s">
        <v>861</v>
      </c>
      <c r="E251" s="90" t="s">
        <v>1398</v>
      </c>
      <c r="F251" s="87">
        <v>11.0</v>
      </c>
      <c r="G251" s="87">
        <v>0.0</v>
      </c>
      <c r="H251" s="87">
        <v>8781.0</v>
      </c>
      <c r="I251" s="87">
        <v>0.0</v>
      </c>
      <c r="J251" s="87">
        <v>99.08565</v>
      </c>
      <c r="K251" s="87">
        <v>104.2629</v>
      </c>
      <c r="L251" s="87">
        <v>106.6264</v>
      </c>
      <c r="M251" s="87">
        <v>63.34407</v>
      </c>
      <c r="N251" s="87">
        <v>0.607542</v>
      </c>
      <c r="O251" s="87">
        <v>0.2</v>
      </c>
      <c r="P251" s="87">
        <v>2.421635</v>
      </c>
      <c r="Q251" s="87">
        <v>8.228545</v>
      </c>
      <c r="R251" s="87">
        <v>9.655444</v>
      </c>
      <c r="S251" s="87">
        <v>10.97237</v>
      </c>
      <c r="T251" s="87">
        <v>0.2</v>
      </c>
      <c r="U251" s="87">
        <v>2.421635</v>
      </c>
      <c r="V251" s="87">
        <v>8.228545</v>
      </c>
      <c r="W251" s="87">
        <v>9.655444</v>
      </c>
      <c r="X251" s="87">
        <v>10.97237</v>
      </c>
      <c r="Y251" s="87">
        <v>13.03286</v>
      </c>
      <c r="Z251" s="88" t="s">
        <v>1396</v>
      </c>
    </row>
    <row r="252" hidden="1">
      <c r="A252" s="90" t="s">
        <v>1698</v>
      </c>
      <c r="B252" s="90" t="s">
        <v>1730</v>
      </c>
      <c r="C252" s="90" t="s">
        <v>213</v>
      </c>
      <c r="D252" s="90" t="s">
        <v>861</v>
      </c>
      <c r="E252" s="90" t="s">
        <v>1400</v>
      </c>
      <c r="F252" s="87">
        <v>26.0</v>
      </c>
      <c r="G252" s="87">
        <v>3.0</v>
      </c>
      <c r="H252" s="87">
        <v>8197.0</v>
      </c>
      <c r="I252" s="87">
        <v>50.0</v>
      </c>
      <c r="J252" s="87">
        <v>68.43588</v>
      </c>
      <c r="K252" s="87">
        <v>72.37645</v>
      </c>
      <c r="L252" s="87">
        <v>65.19687</v>
      </c>
      <c r="M252" s="87">
        <v>41.87275</v>
      </c>
      <c r="N252" s="87">
        <v>0.578541</v>
      </c>
      <c r="O252" s="87">
        <v>1.029032</v>
      </c>
      <c r="P252" s="87">
        <v>1.381101</v>
      </c>
      <c r="Q252" s="87">
        <v>1.745296</v>
      </c>
      <c r="R252" s="87">
        <v>2.768199</v>
      </c>
      <c r="S252" s="87">
        <v>16.02395</v>
      </c>
      <c r="T252" s="87">
        <v>1.029032</v>
      </c>
      <c r="U252" s="87">
        <v>1.381101</v>
      </c>
      <c r="V252" s="87">
        <v>1.745296</v>
      </c>
      <c r="W252" s="87">
        <v>2.768199</v>
      </c>
      <c r="X252" s="87">
        <v>16.02395</v>
      </c>
      <c r="Y252" s="87">
        <v>7.237645</v>
      </c>
      <c r="Z252" s="88" t="s">
        <v>1396</v>
      </c>
    </row>
    <row r="253" hidden="1">
      <c r="A253" s="90" t="s">
        <v>1700</v>
      </c>
      <c r="B253" s="90" t="s">
        <v>1731</v>
      </c>
      <c r="C253" s="90" t="s">
        <v>213</v>
      </c>
      <c r="D253" s="90" t="s">
        <v>861</v>
      </c>
      <c r="E253" s="86">
        <v>46300.0</v>
      </c>
      <c r="F253" s="87">
        <v>4.0</v>
      </c>
      <c r="G253" s="87">
        <v>1.0</v>
      </c>
      <c r="H253" s="87">
        <v>1451.0</v>
      </c>
      <c r="I253" s="87">
        <v>8.0</v>
      </c>
      <c r="J253" s="87">
        <v>27.63675</v>
      </c>
      <c r="K253" s="87">
        <v>21.00967</v>
      </c>
      <c r="L253" s="87">
        <v>18.7185</v>
      </c>
      <c r="M253" s="87">
        <v>13.81564</v>
      </c>
      <c r="N253" s="87">
        <v>0.657585</v>
      </c>
      <c r="O253" s="87">
        <v>0.0</v>
      </c>
      <c r="P253" s="87">
        <v>0.0</v>
      </c>
      <c r="Q253" s="87">
        <v>0.0</v>
      </c>
      <c r="R253" s="87">
        <v>7.194026</v>
      </c>
      <c r="S253" s="87">
        <v>13.81564</v>
      </c>
      <c r="T253" s="87">
        <v>7.194026</v>
      </c>
      <c r="U253" s="87">
        <v>7.194026</v>
      </c>
      <c r="V253" s="87">
        <v>7.194026</v>
      </c>
      <c r="W253" s="87">
        <v>13.81564</v>
      </c>
      <c r="X253" s="87">
        <v>13.81564</v>
      </c>
      <c r="Y253" s="87">
        <v>7.003223</v>
      </c>
      <c r="Z253" s="88" t="s">
        <v>1396</v>
      </c>
    </row>
    <row r="254" hidden="1">
      <c r="A254" s="90" t="s">
        <v>1702</v>
      </c>
      <c r="B254" s="90" t="s">
        <v>1732</v>
      </c>
      <c r="C254" s="90" t="s">
        <v>213</v>
      </c>
      <c r="D254" s="90" t="s">
        <v>861</v>
      </c>
      <c r="E254" s="90" t="s">
        <v>1403</v>
      </c>
      <c r="F254" s="87">
        <v>2.0</v>
      </c>
      <c r="G254" s="87">
        <v>2.0</v>
      </c>
      <c r="H254" s="87">
        <v>41.0</v>
      </c>
      <c r="I254" s="87">
        <v>41.0</v>
      </c>
      <c r="J254" s="87">
        <v>0.0</v>
      </c>
      <c r="K254" s="87">
        <v>0.0</v>
      </c>
      <c r="L254" s="87">
        <v>0.0</v>
      </c>
      <c r="M254" s="87">
        <v>0.0</v>
      </c>
      <c r="N254" s="91"/>
      <c r="O254" s="87">
        <v>0.0</v>
      </c>
      <c r="P254" s="87">
        <v>0.0</v>
      </c>
      <c r="Q254" s="87">
        <v>0.0</v>
      </c>
      <c r="R254" s="87">
        <v>0.0</v>
      </c>
      <c r="S254" s="87">
        <v>0.0</v>
      </c>
      <c r="T254" s="91"/>
      <c r="U254" s="91"/>
      <c r="V254" s="91"/>
      <c r="W254" s="91"/>
      <c r="X254" s="91"/>
      <c r="Y254" s="87">
        <v>0.0</v>
      </c>
      <c r="Z254" s="88" t="s">
        <v>1396</v>
      </c>
    </row>
    <row r="255" hidden="1">
      <c r="A255" s="90" t="s">
        <v>1739</v>
      </c>
      <c r="B255" s="90" t="s">
        <v>1740</v>
      </c>
      <c r="C255" s="90" t="s">
        <v>225</v>
      </c>
      <c r="D255" s="90" t="s">
        <v>226</v>
      </c>
      <c r="E255" s="90" t="s">
        <v>1426</v>
      </c>
      <c r="F255" s="87">
        <v>6.0</v>
      </c>
      <c r="G255" s="87">
        <v>0.0</v>
      </c>
      <c r="H255" s="87">
        <v>2002.0</v>
      </c>
      <c r="I255" s="87">
        <v>0.0</v>
      </c>
      <c r="J255" s="87">
        <v>16.91935</v>
      </c>
      <c r="K255" s="87">
        <v>19.35714</v>
      </c>
      <c r="L255" s="87">
        <v>20.958</v>
      </c>
      <c r="M255" s="87">
        <v>19.35714</v>
      </c>
      <c r="N255" s="87">
        <v>1.0</v>
      </c>
      <c r="O255" s="87">
        <v>0.0</v>
      </c>
      <c r="P255" s="87">
        <v>0.0</v>
      </c>
      <c r="Q255" s="87">
        <v>0.0</v>
      </c>
      <c r="R255" s="87">
        <v>0.0</v>
      </c>
      <c r="S255" s="87">
        <v>0.0</v>
      </c>
      <c r="T255" s="87">
        <v>19.35714</v>
      </c>
      <c r="U255" s="87">
        <v>19.35714</v>
      </c>
      <c r="V255" s="87">
        <v>19.35714</v>
      </c>
      <c r="W255" s="87">
        <v>19.35714</v>
      </c>
      <c r="X255" s="87">
        <v>19.35714</v>
      </c>
      <c r="Y255" s="87">
        <v>1.935714</v>
      </c>
      <c r="Z255" s="88" t="s">
        <v>1396</v>
      </c>
    </row>
    <row r="256" hidden="1">
      <c r="A256" s="90" t="s">
        <v>1741</v>
      </c>
      <c r="B256" s="90" t="s">
        <v>1742</v>
      </c>
      <c r="C256" s="90" t="s">
        <v>225</v>
      </c>
      <c r="D256" s="90" t="s">
        <v>226</v>
      </c>
      <c r="E256" s="86">
        <v>46310.0</v>
      </c>
      <c r="F256" s="87">
        <v>15.0</v>
      </c>
      <c r="G256" s="87">
        <v>4.0</v>
      </c>
      <c r="H256" s="87">
        <v>8371.0</v>
      </c>
      <c r="I256" s="87">
        <v>21.0</v>
      </c>
      <c r="J256" s="87">
        <v>105.6775</v>
      </c>
      <c r="K256" s="87">
        <v>105.211</v>
      </c>
      <c r="L256" s="87">
        <v>108.0682</v>
      </c>
      <c r="M256" s="87">
        <v>72.93088</v>
      </c>
      <c r="N256" s="87">
        <v>0.693187</v>
      </c>
      <c r="O256" s="87">
        <v>0.0</v>
      </c>
      <c r="P256" s="87">
        <v>0.0</v>
      </c>
      <c r="Q256" s="87">
        <v>3.669047</v>
      </c>
      <c r="R256" s="87">
        <v>5.610118</v>
      </c>
      <c r="S256" s="87">
        <v>11.88209</v>
      </c>
      <c r="T256" s="87">
        <v>3.669047</v>
      </c>
      <c r="U256" s="87">
        <v>4.524037</v>
      </c>
      <c r="V256" s="87">
        <v>5.610118</v>
      </c>
      <c r="W256" s="87">
        <v>6.594814</v>
      </c>
      <c r="X256" s="87">
        <v>11.88209</v>
      </c>
      <c r="Y256" s="87">
        <v>11.69011</v>
      </c>
      <c r="Z256" s="88" t="s">
        <v>1396</v>
      </c>
    </row>
    <row r="257" hidden="1">
      <c r="A257" s="90" t="s">
        <v>1743</v>
      </c>
      <c r="B257" s="90" t="s">
        <v>1744</v>
      </c>
      <c r="C257" s="90" t="s">
        <v>225</v>
      </c>
      <c r="D257" s="90" t="s">
        <v>226</v>
      </c>
      <c r="E257" s="90" t="s">
        <v>1413</v>
      </c>
      <c r="F257" s="87">
        <v>6.0</v>
      </c>
      <c r="G257" s="87">
        <v>1.0</v>
      </c>
      <c r="H257" s="87">
        <v>2289.0</v>
      </c>
      <c r="I257" s="87">
        <v>2.0</v>
      </c>
      <c r="J257" s="87">
        <v>22.85697</v>
      </c>
      <c r="K257" s="87">
        <v>24.10008</v>
      </c>
      <c r="L257" s="87">
        <v>30.38785</v>
      </c>
      <c r="M257" s="87">
        <v>12.78085</v>
      </c>
      <c r="N257" s="87">
        <v>0.530324</v>
      </c>
      <c r="O257" s="87">
        <v>0.5</v>
      </c>
      <c r="P257" s="87">
        <v>0.5</v>
      </c>
      <c r="Q257" s="87">
        <v>0.5</v>
      </c>
      <c r="R257" s="87">
        <v>10.81923</v>
      </c>
      <c r="S257" s="87">
        <v>12.78085</v>
      </c>
      <c r="T257" s="87">
        <v>0.5</v>
      </c>
      <c r="U257" s="87">
        <v>0.5</v>
      </c>
      <c r="V257" s="87">
        <v>0.5</v>
      </c>
      <c r="W257" s="87">
        <v>10.81923</v>
      </c>
      <c r="X257" s="87">
        <v>12.78085</v>
      </c>
      <c r="Y257" s="87">
        <v>8.033361</v>
      </c>
      <c r="Z257" s="88" t="s">
        <v>1396</v>
      </c>
    </row>
    <row r="258" hidden="1">
      <c r="A258" s="90" t="s">
        <v>1745</v>
      </c>
      <c r="B258" s="90" t="s">
        <v>1746</v>
      </c>
      <c r="C258" s="90" t="s">
        <v>225</v>
      </c>
      <c r="D258" s="90" t="s">
        <v>226</v>
      </c>
      <c r="E258" s="90" t="s">
        <v>1398</v>
      </c>
      <c r="F258" s="87">
        <v>15.0</v>
      </c>
      <c r="G258" s="87">
        <v>0.0</v>
      </c>
      <c r="H258" s="87">
        <v>9203.0</v>
      </c>
      <c r="I258" s="87">
        <v>0.0</v>
      </c>
      <c r="J258" s="87">
        <v>88.06199</v>
      </c>
      <c r="K258" s="87">
        <v>96.11909</v>
      </c>
      <c r="L258" s="87">
        <v>95.64913</v>
      </c>
      <c r="M258" s="87">
        <v>36.96004</v>
      </c>
      <c r="N258" s="87">
        <v>0.384523</v>
      </c>
      <c r="O258" s="87">
        <v>2.981577</v>
      </c>
      <c r="P258" s="87">
        <v>6.004917</v>
      </c>
      <c r="Q258" s="87">
        <v>6.262888</v>
      </c>
      <c r="R258" s="87">
        <v>16.22093</v>
      </c>
      <c r="S258" s="87">
        <v>16.44085</v>
      </c>
      <c r="T258" s="87">
        <v>2.981577</v>
      </c>
      <c r="U258" s="87">
        <v>6.004917</v>
      </c>
      <c r="V258" s="87">
        <v>6.262888</v>
      </c>
      <c r="W258" s="87">
        <v>16.22093</v>
      </c>
      <c r="X258" s="87">
        <v>16.44085</v>
      </c>
      <c r="Y258" s="87">
        <v>12.01489</v>
      </c>
      <c r="Z258" s="88" t="s">
        <v>1396</v>
      </c>
    </row>
    <row r="259" hidden="1">
      <c r="A259" s="90" t="s">
        <v>1747</v>
      </c>
      <c r="B259" s="90" t="s">
        <v>1748</v>
      </c>
      <c r="C259" s="90" t="s">
        <v>225</v>
      </c>
      <c r="D259" s="90" t="s">
        <v>226</v>
      </c>
      <c r="E259" s="90" t="s">
        <v>1400</v>
      </c>
      <c r="F259" s="87">
        <v>13.0</v>
      </c>
      <c r="G259" s="87">
        <v>2.0</v>
      </c>
      <c r="H259" s="87">
        <v>12919.0</v>
      </c>
      <c r="I259" s="87">
        <v>241.0</v>
      </c>
      <c r="J259" s="87">
        <v>75.97564</v>
      </c>
      <c r="K259" s="87">
        <v>72.24019</v>
      </c>
      <c r="L259" s="87">
        <v>71.89523</v>
      </c>
      <c r="M259" s="87">
        <v>54.91821</v>
      </c>
      <c r="N259" s="87">
        <v>0.760217</v>
      </c>
      <c r="O259" s="87">
        <v>0.431183</v>
      </c>
      <c r="P259" s="87">
        <v>0.465591</v>
      </c>
      <c r="Q259" s="87">
        <v>2.226814</v>
      </c>
      <c r="R259" s="87">
        <v>4.426995</v>
      </c>
      <c r="S259" s="87">
        <v>6.611534</v>
      </c>
      <c r="T259" s="87">
        <v>0.431183</v>
      </c>
      <c r="U259" s="87">
        <v>0.465591</v>
      </c>
      <c r="V259" s="87">
        <v>2.226814</v>
      </c>
      <c r="W259" s="87">
        <v>4.426995</v>
      </c>
      <c r="X259" s="87">
        <v>6.611534</v>
      </c>
      <c r="Y259" s="87">
        <v>9.030023</v>
      </c>
      <c r="Z259" s="88" t="s">
        <v>1396</v>
      </c>
    </row>
    <row r="260" hidden="1">
      <c r="A260" s="90" t="s">
        <v>1749</v>
      </c>
      <c r="B260" s="90" t="s">
        <v>1750</v>
      </c>
      <c r="C260" s="90" t="s">
        <v>225</v>
      </c>
      <c r="D260" s="90" t="s">
        <v>226</v>
      </c>
      <c r="E260" s="89">
        <v>46300.0</v>
      </c>
      <c r="F260" s="87">
        <v>22.0</v>
      </c>
      <c r="G260" s="87">
        <v>1.0</v>
      </c>
      <c r="H260" s="87">
        <v>7033.0</v>
      </c>
      <c r="I260" s="87">
        <v>23.0</v>
      </c>
      <c r="J260" s="87">
        <v>82.01398</v>
      </c>
      <c r="K260" s="87">
        <v>79.18734</v>
      </c>
      <c r="L260" s="87">
        <v>83.92507</v>
      </c>
      <c r="M260" s="87">
        <v>47.6399</v>
      </c>
      <c r="N260" s="87">
        <v>0.60161</v>
      </c>
      <c r="O260" s="87">
        <v>0.0</v>
      </c>
      <c r="P260" s="87">
        <v>0.0</v>
      </c>
      <c r="Q260" s="87">
        <v>0.0</v>
      </c>
      <c r="R260" s="87">
        <v>0.75317</v>
      </c>
      <c r="S260" s="87">
        <v>18.30728</v>
      </c>
      <c r="T260" s="87">
        <v>0.366667</v>
      </c>
      <c r="U260" s="87">
        <v>0.75317</v>
      </c>
      <c r="V260" s="87">
        <v>0.75317</v>
      </c>
      <c r="W260" s="87">
        <v>18.30728</v>
      </c>
      <c r="X260" s="87">
        <v>19.72131</v>
      </c>
      <c r="Y260" s="87">
        <v>7.918734</v>
      </c>
      <c r="Z260" s="88" t="s">
        <v>1396</v>
      </c>
    </row>
    <row r="261" hidden="1">
      <c r="A261" s="90" t="s">
        <v>1751</v>
      </c>
      <c r="B261" s="90" t="s">
        <v>1752</v>
      </c>
      <c r="C261" s="90" t="s">
        <v>225</v>
      </c>
      <c r="D261" s="90" t="s">
        <v>226</v>
      </c>
      <c r="E261" s="90" t="s">
        <v>1403</v>
      </c>
      <c r="F261" s="87">
        <v>4.0</v>
      </c>
      <c r="G261" s="87">
        <v>4.0</v>
      </c>
      <c r="H261" s="87">
        <v>549.0</v>
      </c>
      <c r="I261" s="87">
        <v>549.0</v>
      </c>
      <c r="J261" s="87">
        <v>0.0</v>
      </c>
      <c r="K261" s="87">
        <v>0.0</v>
      </c>
      <c r="L261" s="87">
        <v>0.0</v>
      </c>
      <c r="M261" s="87">
        <v>0.0</v>
      </c>
      <c r="N261" s="91"/>
      <c r="O261" s="87">
        <v>0.0</v>
      </c>
      <c r="P261" s="87">
        <v>0.0</v>
      </c>
      <c r="Q261" s="87">
        <v>0.0</v>
      </c>
      <c r="R261" s="87">
        <v>0.0</v>
      </c>
      <c r="S261" s="87">
        <v>0.0</v>
      </c>
      <c r="T261" s="91"/>
      <c r="U261" s="91"/>
      <c r="V261" s="91"/>
      <c r="W261" s="91"/>
      <c r="X261" s="91"/>
      <c r="Y261" s="87">
        <v>0.0</v>
      </c>
      <c r="Z261" s="88" t="s">
        <v>1396</v>
      </c>
    </row>
    <row r="262" hidden="1">
      <c r="A262" s="90" t="s">
        <v>1739</v>
      </c>
      <c r="B262" s="90" t="s">
        <v>1753</v>
      </c>
      <c r="C262" s="90" t="s">
        <v>225</v>
      </c>
      <c r="D262" s="90" t="s">
        <v>1754</v>
      </c>
      <c r="E262" s="90" t="s">
        <v>1426</v>
      </c>
      <c r="F262" s="87">
        <v>2.0</v>
      </c>
      <c r="G262" s="87">
        <v>1.0</v>
      </c>
      <c r="H262" s="87">
        <v>401.0</v>
      </c>
      <c r="I262" s="87">
        <v>24.0</v>
      </c>
      <c r="J262" s="87">
        <v>4.679665</v>
      </c>
      <c r="K262" s="87">
        <v>4.983831</v>
      </c>
      <c r="L262" s="87">
        <v>5.910551</v>
      </c>
      <c r="M262" s="87">
        <v>4.983831</v>
      </c>
      <c r="N262" s="87">
        <v>1.0</v>
      </c>
      <c r="O262" s="87">
        <v>0.0</v>
      </c>
      <c r="P262" s="87">
        <v>0.0</v>
      </c>
      <c r="Q262" s="87">
        <v>0.0</v>
      </c>
      <c r="R262" s="87">
        <v>0.0</v>
      </c>
      <c r="S262" s="87">
        <v>0.066667</v>
      </c>
      <c r="T262" s="87">
        <v>0.066667</v>
      </c>
      <c r="U262" s="87">
        <v>0.066667</v>
      </c>
      <c r="V262" s="87">
        <v>0.066667</v>
      </c>
      <c r="W262" s="87">
        <v>4.917165</v>
      </c>
      <c r="X262" s="87">
        <v>4.917165</v>
      </c>
      <c r="Y262" s="87">
        <v>0.830639</v>
      </c>
      <c r="Z262" s="88" t="s">
        <v>1396</v>
      </c>
    </row>
    <row r="263" hidden="1">
      <c r="A263" s="90" t="s">
        <v>1741</v>
      </c>
      <c r="B263" s="90" t="s">
        <v>1755</v>
      </c>
      <c r="C263" s="90" t="s">
        <v>225</v>
      </c>
      <c r="D263" s="90" t="s">
        <v>1754</v>
      </c>
      <c r="E263" s="86">
        <v>46310.0</v>
      </c>
      <c r="F263" s="87">
        <v>4.0</v>
      </c>
      <c r="G263" s="87">
        <v>1.0</v>
      </c>
      <c r="H263" s="87">
        <v>515.0</v>
      </c>
      <c r="I263" s="87">
        <v>4.0</v>
      </c>
      <c r="J263" s="87">
        <v>0.785714</v>
      </c>
      <c r="K263" s="87">
        <v>0.825806</v>
      </c>
      <c r="L263" s="87">
        <v>0.954075</v>
      </c>
      <c r="M263" s="87">
        <v>0.825806</v>
      </c>
      <c r="N263" s="87">
        <v>1.0</v>
      </c>
      <c r="O263" s="87">
        <v>0.825806</v>
      </c>
      <c r="P263" s="87">
        <v>0.825806</v>
      </c>
      <c r="Q263" s="87">
        <v>0.825806</v>
      </c>
      <c r="R263" s="87">
        <v>0.825806</v>
      </c>
      <c r="S263" s="87">
        <v>0.825806</v>
      </c>
      <c r="T263" s="87">
        <v>0.825806</v>
      </c>
      <c r="U263" s="87">
        <v>0.825806</v>
      </c>
      <c r="V263" s="87">
        <v>0.825806</v>
      </c>
      <c r="W263" s="87">
        <v>0.825806</v>
      </c>
      <c r="X263" s="87">
        <v>0.825806</v>
      </c>
      <c r="Y263" s="87">
        <v>0.825806</v>
      </c>
      <c r="Z263" s="88" t="s">
        <v>1396</v>
      </c>
    </row>
    <row r="264" hidden="1">
      <c r="A264" s="90" t="s">
        <v>1745</v>
      </c>
      <c r="B264" s="90" t="s">
        <v>1756</v>
      </c>
      <c r="C264" s="90" t="s">
        <v>225</v>
      </c>
      <c r="D264" s="90" t="s">
        <v>1754</v>
      </c>
      <c r="E264" s="90" t="s">
        <v>1398</v>
      </c>
      <c r="F264" s="87">
        <v>1.0</v>
      </c>
      <c r="G264" s="87">
        <v>0.0</v>
      </c>
      <c r="H264" s="87">
        <v>70.0</v>
      </c>
      <c r="I264" s="87">
        <v>0.0</v>
      </c>
      <c r="J264" s="87">
        <v>0.0</v>
      </c>
      <c r="K264" s="87">
        <v>0.0</v>
      </c>
      <c r="L264" s="87">
        <v>0.0</v>
      </c>
      <c r="M264" s="87">
        <v>0.0</v>
      </c>
      <c r="N264" s="91"/>
      <c r="O264" s="91"/>
      <c r="P264" s="91"/>
      <c r="Q264" s="91"/>
      <c r="R264" s="91"/>
      <c r="S264" s="91"/>
      <c r="T264" s="91"/>
      <c r="U264" s="91"/>
      <c r="V264" s="91"/>
      <c r="W264" s="91"/>
      <c r="X264" s="91"/>
      <c r="Y264" s="91"/>
      <c r="Z264" s="88" t="s">
        <v>1396</v>
      </c>
    </row>
    <row r="265" hidden="1">
      <c r="A265" s="90" t="s">
        <v>1749</v>
      </c>
      <c r="B265" s="90" t="s">
        <v>1757</v>
      </c>
      <c r="C265" s="90" t="s">
        <v>225</v>
      </c>
      <c r="D265" s="90" t="s">
        <v>1754</v>
      </c>
      <c r="E265" s="86">
        <v>46300.0</v>
      </c>
      <c r="F265" s="87">
        <v>6.0</v>
      </c>
      <c r="G265" s="87">
        <v>1.0</v>
      </c>
      <c r="H265" s="87">
        <v>3034.0</v>
      </c>
      <c r="I265" s="87">
        <v>10.0</v>
      </c>
      <c r="J265" s="87">
        <v>19.02425</v>
      </c>
      <c r="K265" s="87">
        <v>22.62014</v>
      </c>
      <c r="L265" s="87">
        <v>22.97183</v>
      </c>
      <c r="M265" s="87">
        <v>8.497011</v>
      </c>
      <c r="N265" s="87">
        <v>0.375639</v>
      </c>
      <c r="O265" s="87">
        <v>0.0</v>
      </c>
      <c r="P265" s="87">
        <v>0.0</v>
      </c>
      <c r="Q265" s="87">
        <v>6.468256</v>
      </c>
      <c r="R265" s="87">
        <v>7.65487</v>
      </c>
      <c r="S265" s="87">
        <v>7.65487</v>
      </c>
      <c r="T265" s="87">
        <v>6.468256</v>
      </c>
      <c r="U265" s="87">
        <v>6.468256</v>
      </c>
      <c r="V265" s="87">
        <v>6.468256</v>
      </c>
      <c r="W265" s="87">
        <v>7.65487</v>
      </c>
      <c r="X265" s="87">
        <v>8.497011</v>
      </c>
      <c r="Y265" s="87">
        <v>5.655034</v>
      </c>
      <c r="Z265" s="88" t="s">
        <v>1396</v>
      </c>
    </row>
    <row r="266" hidden="1">
      <c r="A266" s="90" t="s">
        <v>1751</v>
      </c>
      <c r="B266" s="90" t="s">
        <v>1758</v>
      </c>
      <c r="C266" s="90" t="s">
        <v>225</v>
      </c>
      <c r="D266" s="90" t="s">
        <v>1754</v>
      </c>
      <c r="E266" s="90" t="s">
        <v>1403</v>
      </c>
      <c r="F266" s="87">
        <v>5.0</v>
      </c>
      <c r="G266" s="87">
        <v>5.0</v>
      </c>
      <c r="H266" s="87">
        <v>272.0</v>
      </c>
      <c r="I266" s="87">
        <v>272.0</v>
      </c>
      <c r="J266" s="87">
        <v>0.0</v>
      </c>
      <c r="K266" s="87">
        <v>0.0</v>
      </c>
      <c r="L266" s="87">
        <v>0.0</v>
      </c>
      <c r="M266" s="87">
        <v>0.0</v>
      </c>
      <c r="N266" s="91"/>
      <c r="O266" s="87">
        <v>0.0</v>
      </c>
      <c r="P266" s="87">
        <v>0.0</v>
      </c>
      <c r="Q266" s="87">
        <v>0.0</v>
      </c>
      <c r="R266" s="87">
        <v>0.0</v>
      </c>
      <c r="S266" s="87">
        <v>0.0</v>
      </c>
      <c r="T266" s="91"/>
      <c r="U266" s="91"/>
      <c r="V266" s="91"/>
      <c r="W266" s="91"/>
      <c r="X266" s="91"/>
      <c r="Y266" s="87">
        <v>0.0</v>
      </c>
      <c r="Z266" s="88" t="s">
        <v>1396</v>
      </c>
    </row>
    <row r="267" hidden="1">
      <c r="A267" s="90" t="s">
        <v>1739</v>
      </c>
      <c r="B267" s="90" t="s">
        <v>1759</v>
      </c>
      <c r="C267" s="90" t="s">
        <v>225</v>
      </c>
      <c r="D267" s="90" t="s">
        <v>1760</v>
      </c>
      <c r="E267" s="90" t="s">
        <v>1426</v>
      </c>
      <c r="F267" s="87">
        <v>1.0</v>
      </c>
      <c r="G267" s="87">
        <v>0.0</v>
      </c>
      <c r="H267" s="87">
        <v>4.0</v>
      </c>
      <c r="I267" s="87">
        <v>0.0</v>
      </c>
      <c r="J267" s="87">
        <v>0.0</v>
      </c>
      <c r="K267" s="87">
        <v>0.090909</v>
      </c>
      <c r="L267" s="87">
        <v>0.691057</v>
      </c>
      <c r="M267" s="87">
        <v>0.090909</v>
      </c>
      <c r="N267" s="87">
        <v>1.0</v>
      </c>
      <c r="O267" s="87">
        <v>0.0</v>
      </c>
      <c r="P267" s="87">
        <v>0.0</v>
      </c>
      <c r="Q267" s="87">
        <v>0.0</v>
      </c>
      <c r="R267" s="87">
        <v>0.0</v>
      </c>
      <c r="S267" s="87">
        <v>0.0</v>
      </c>
      <c r="T267" s="87">
        <v>0.090909</v>
      </c>
      <c r="U267" s="87">
        <v>0.090909</v>
      </c>
      <c r="V267" s="87">
        <v>0.090909</v>
      </c>
      <c r="W267" s="87">
        <v>0.090909</v>
      </c>
      <c r="X267" s="87">
        <v>0.090909</v>
      </c>
      <c r="Y267" s="87">
        <v>0.022727</v>
      </c>
      <c r="Z267" s="88" t="s">
        <v>1396</v>
      </c>
    </row>
    <row r="268" hidden="1">
      <c r="A268" s="90" t="s">
        <v>1741</v>
      </c>
      <c r="B268" s="90" t="s">
        <v>1761</v>
      </c>
      <c r="C268" s="90" t="s">
        <v>225</v>
      </c>
      <c r="D268" s="90" t="s">
        <v>1760</v>
      </c>
      <c r="E268" s="86">
        <v>46310.0</v>
      </c>
      <c r="F268" s="87">
        <v>4.0</v>
      </c>
      <c r="G268" s="87">
        <v>1.0</v>
      </c>
      <c r="H268" s="87">
        <v>1214.0</v>
      </c>
      <c r="I268" s="87">
        <v>192.0</v>
      </c>
      <c r="J268" s="87">
        <v>11.99774</v>
      </c>
      <c r="K268" s="87">
        <v>10.43794</v>
      </c>
      <c r="L268" s="87">
        <v>9.667171</v>
      </c>
      <c r="M268" s="87">
        <v>6.048798</v>
      </c>
      <c r="N268" s="87">
        <v>0.579501</v>
      </c>
      <c r="O268" s="87">
        <v>4.389137</v>
      </c>
      <c r="P268" s="87">
        <v>4.389137</v>
      </c>
      <c r="Q268" s="87">
        <v>4.389137</v>
      </c>
      <c r="R268" s="87">
        <v>6.048798</v>
      </c>
      <c r="S268" s="87">
        <v>6.048798</v>
      </c>
      <c r="T268" s="87">
        <v>4.389137</v>
      </c>
      <c r="U268" s="87">
        <v>4.389137</v>
      </c>
      <c r="V268" s="87">
        <v>4.389137</v>
      </c>
      <c r="W268" s="87">
        <v>6.048798</v>
      </c>
      <c r="X268" s="87">
        <v>6.048798</v>
      </c>
      <c r="Y268" s="87">
        <v>5.218968</v>
      </c>
      <c r="Z268" s="88" t="s">
        <v>1396</v>
      </c>
    </row>
    <row r="269" hidden="1">
      <c r="A269" s="90" t="s">
        <v>1743</v>
      </c>
      <c r="B269" s="90" t="s">
        <v>1762</v>
      </c>
      <c r="C269" s="90" t="s">
        <v>225</v>
      </c>
      <c r="D269" s="90" t="s">
        <v>1760</v>
      </c>
      <c r="E269" s="90" t="s">
        <v>1413</v>
      </c>
      <c r="F269" s="87">
        <v>6.0</v>
      </c>
      <c r="G269" s="87">
        <v>0.0</v>
      </c>
      <c r="H269" s="87">
        <v>6677.0</v>
      </c>
      <c r="I269" s="87">
        <v>0.0</v>
      </c>
      <c r="J269" s="87">
        <v>87.68189</v>
      </c>
      <c r="K269" s="87">
        <v>84.67474</v>
      </c>
      <c r="L269" s="87">
        <v>75.02601</v>
      </c>
      <c r="M269" s="87">
        <v>77.23224</v>
      </c>
      <c r="N269" s="87">
        <v>0.912105</v>
      </c>
      <c r="O269" s="87">
        <v>0.788477</v>
      </c>
      <c r="P269" s="87">
        <v>0.788477</v>
      </c>
      <c r="Q269" s="87">
        <v>3.09504</v>
      </c>
      <c r="R269" s="87">
        <v>3.558987</v>
      </c>
      <c r="S269" s="87">
        <v>3.558987</v>
      </c>
      <c r="T269" s="87">
        <v>0.788477</v>
      </c>
      <c r="U269" s="87">
        <v>0.788477</v>
      </c>
      <c r="V269" s="87">
        <v>3.09504</v>
      </c>
      <c r="W269" s="87">
        <v>3.558987</v>
      </c>
      <c r="X269" s="87">
        <v>3.558987</v>
      </c>
      <c r="Y269" s="87">
        <v>21.16868</v>
      </c>
      <c r="Z269" s="88" t="s">
        <v>1396</v>
      </c>
    </row>
    <row r="270" hidden="1">
      <c r="A270" s="90" t="s">
        <v>1745</v>
      </c>
      <c r="B270" s="90" t="s">
        <v>1763</v>
      </c>
      <c r="C270" s="90" t="s">
        <v>225</v>
      </c>
      <c r="D270" s="90" t="s">
        <v>1760</v>
      </c>
      <c r="E270" s="90" t="s">
        <v>1398</v>
      </c>
      <c r="F270" s="87">
        <v>3.0</v>
      </c>
      <c r="G270" s="87">
        <v>0.0</v>
      </c>
      <c r="H270" s="87">
        <v>654.0</v>
      </c>
      <c r="I270" s="87">
        <v>0.0</v>
      </c>
      <c r="J270" s="87">
        <v>1.305195</v>
      </c>
      <c r="K270" s="87">
        <v>0.495895</v>
      </c>
      <c r="L270" s="87">
        <v>0.717565</v>
      </c>
      <c r="M270" s="87">
        <v>0.299121</v>
      </c>
      <c r="N270" s="87">
        <v>0.603194</v>
      </c>
      <c r="O270" s="87">
        <v>0.196774</v>
      </c>
      <c r="P270" s="87">
        <v>0.196774</v>
      </c>
      <c r="Q270" s="87">
        <v>0.196774</v>
      </c>
      <c r="R270" s="87">
        <v>0.299121</v>
      </c>
      <c r="S270" s="87">
        <v>0.299121</v>
      </c>
      <c r="T270" s="87">
        <v>0.196774</v>
      </c>
      <c r="U270" s="87">
        <v>0.196774</v>
      </c>
      <c r="V270" s="87">
        <v>0.196774</v>
      </c>
      <c r="W270" s="87">
        <v>0.299121</v>
      </c>
      <c r="X270" s="87">
        <v>0.299121</v>
      </c>
      <c r="Y270" s="87">
        <v>0.247948</v>
      </c>
      <c r="Z270" s="88" t="s">
        <v>1396</v>
      </c>
    </row>
    <row r="271" hidden="1">
      <c r="A271" s="90" t="s">
        <v>1749</v>
      </c>
      <c r="B271" s="90" t="s">
        <v>1764</v>
      </c>
      <c r="C271" s="90" t="s">
        <v>225</v>
      </c>
      <c r="D271" s="90" t="s">
        <v>1760</v>
      </c>
      <c r="E271" s="89">
        <v>46300.0</v>
      </c>
      <c r="F271" s="87">
        <v>3.0</v>
      </c>
      <c r="G271" s="87">
        <v>0.0</v>
      </c>
      <c r="H271" s="87">
        <v>2069.0</v>
      </c>
      <c r="I271" s="87">
        <v>0.0</v>
      </c>
      <c r="J271" s="87">
        <v>7.157143</v>
      </c>
      <c r="K271" s="87">
        <v>8.448211</v>
      </c>
      <c r="L271" s="87">
        <v>11.59022</v>
      </c>
      <c r="M271" s="87">
        <v>7.928731</v>
      </c>
      <c r="N271" s="87">
        <v>0.93851</v>
      </c>
      <c r="O271" s="87">
        <v>0.519481</v>
      </c>
      <c r="P271" s="87">
        <v>0.519481</v>
      </c>
      <c r="Q271" s="87">
        <v>0.519481</v>
      </c>
      <c r="R271" s="87">
        <v>7.928731</v>
      </c>
      <c r="S271" s="87">
        <v>7.928731</v>
      </c>
      <c r="T271" s="87">
        <v>0.519481</v>
      </c>
      <c r="U271" s="87">
        <v>0.519481</v>
      </c>
      <c r="V271" s="87">
        <v>0.519481</v>
      </c>
      <c r="W271" s="87">
        <v>7.928731</v>
      </c>
      <c r="X271" s="87">
        <v>7.928731</v>
      </c>
      <c r="Y271" s="87">
        <v>4.224106</v>
      </c>
      <c r="Z271" s="88" t="s">
        <v>1396</v>
      </c>
    </row>
    <row r="272" hidden="1">
      <c r="A272" s="90" t="s">
        <v>1751</v>
      </c>
      <c r="B272" s="90" t="s">
        <v>1765</v>
      </c>
      <c r="C272" s="90" t="s">
        <v>225</v>
      </c>
      <c r="D272" s="90" t="s">
        <v>1760</v>
      </c>
      <c r="E272" s="90" t="s">
        <v>1403</v>
      </c>
      <c r="F272" s="87">
        <v>3.0</v>
      </c>
      <c r="G272" s="87">
        <v>3.0</v>
      </c>
      <c r="H272" s="87">
        <v>212.0</v>
      </c>
      <c r="I272" s="87">
        <v>212.0</v>
      </c>
      <c r="J272" s="87">
        <v>0.0</v>
      </c>
      <c r="K272" s="87">
        <v>0.0</v>
      </c>
      <c r="L272" s="87">
        <v>0.0</v>
      </c>
      <c r="M272" s="87">
        <v>0.0</v>
      </c>
      <c r="N272" s="91"/>
      <c r="O272" s="87">
        <v>0.0</v>
      </c>
      <c r="P272" s="87">
        <v>0.0</v>
      </c>
      <c r="Q272" s="87">
        <v>0.0</v>
      </c>
      <c r="R272" s="87">
        <v>0.0</v>
      </c>
      <c r="S272" s="87">
        <v>0.0</v>
      </c>
      <c r="T272" s="91"/>
      <c r="U272" s="91"/>
      <c r="V272" s="91"/>
      <c r="W272" s="91"/>
      <c r="X272" s="91"/>
      <c r="Y272" s="87">
        <v>0.0</v>
      </c>
      <c r="Z272" s="88" t="s">
        <v>1396</v>
      </c>
    </row>
    <row r="273" hidden="1">
      <c r="A273" s="90" t="s">
        <v>1739</v>
      </c>
      <c r="B273" s="90" t="s">
        <v>1766</v>
      </c>
      <c r="C273" s="90" t="s">
        <v>225</v>
      </c>
      <c r="D273" s="90" t="s">
        <v>1767</v>
      </c>
      <c r="E273" s="90" t="s">
        <v>1426</v>
      </c>
      <c r="F273" s="87">
        <v>20.0</v>
      </c>
      <c r="G273" s="87">
        <v>2.0</v>
      </c>
      <c r="H273" s="87">
        <v>38309.0</v>
      </c>
      <c r="I273" s="87">
        <v>81.0</v>
      </c>
      <c r="J273" s="87">
        <v>412.3745</v>
      </c>
      <c r="K273" s="87">
        <v>411.6991</v>
      </c>
      <c r="L273" s="87">
        <v>396.1245</v>
      </c>
      <c r="M273" s="87">
        <v>376.3886</v>
      </c>
      <c r="N273" s="87">
        <v>0.914232</v>
      </c>
      <c r="O273" s="87">
        <v>0.0</v>
      </c>
      <c r="P273" s="87">
        <v>0.0</v>
      </c>
      <c r="Q273" s="87">
        <v>0.0</v>
      </c>
      <c r="R273" s="87">
        <v>0.0</v>
      </c>
      <c r="S273" s="87">
        <v>9.630742</v>
      </c>
      <c r="T273" s="87">
        <v>6.01086</v>
      </c>
      <c r="U273" s="87">
        <v>9.630742</v>
      </c>
      <c r="V273" s="87">
        <v>16.48148</v>
      </c>
      <c r="W273" s="87">
        <v>18.97379</v>
      </c>
      <c r="X273" s="87">
        <v>82.49904</v>
      </c>
      <c r="Y273" s="87">
        <v>15.83458</v>
      </c>
      <c r="Z273" s="88" t="s">
        <v>1396</v>
      </c>
    </row>
    <row r="274" hidden="1">
      <c r="A274" s="90" t="s">
        <v>1741</v>
      </c>
      <c r="B274" s="90" t="s">
        <v>1768</v>
      </c>
      <c r="C274" s="90" t="s">
        <v>225</v>
      </c>
      <c r="D274" s="90" t="s">
        <v>1767</v>
      </c>
      <c r="E274" s="86">
        <v>46310.0</v>
      </c>
      <c r="F274" s="87">
        <v>19.0</v>
      </c>
      <c r="G274" s="87">
        <v>3.0</v>
      </c>
      <c r="H274" s="87">
        <v>3070.0</v>
      </c>
      <c r="I274" s="87">
        <v>22.0</v>
      </c>
      <c r="J274" s="87">
        <v>23.33246</v>
      </c>
      <c r="K274" s="87">
        <v>24.1389</v>
      </c>
      <c r="L274" s="87">
        <v>27.03384</v>
      </c>
      <c r="M274" s="87">
        <v>10.08677</v>
      </c>
      <c r="N274" s="87">
        <v>0.417864</v>
      </c>
      <c r="O274" s="87">
        <v>0.0</v>
      </c>
      <c r="P274" s="87">
        <v>2.198443</v>
      </c>
      <c r="Q274" s="87">
        <v>2.198443</v>
      </c>
      <c r="R274" s="87">
        <v>4.173637</v>
      </c>
      <c r="S274" s="87">
        <v>7.680054</v>
      </c>
      <c r="T274" s="87">
        <v>2.198443</v>
      </c>
      <c r="U274" s="87">
        <v>2.198443</v>
      </c>
      <c r="V274" s="87">
        <v>4.173637</v>
      </c>
      <c r="W274" s="87">
        <v>7.680054</v>
      </c>
      <c r="X274" s="87">
        <v>7.680054</v>
      </c>
      <c r="Y274" s="87">
        <v>4.827781</v>
      </c>
      <c r="Z274" s="88" t="s">
        <v>1396</v>
      </c>
    </row>
    <row r="275" hidden="1">
      <c r="A275" s="90" t="s">
        <v>1743</v>
      </c>
      <c r="B275" s="90" t="s">
        <v>1769</v>
      </c>
      <c r="C275" s="90" t="s">
        <v>225</v>
      </c>
      <c r="D275" s="90" t="s">
        <v>1767</v>
      </c>
      <c r="E275" s="90" t="s">
        <v>1413</v>
      </c>
      <c r="F275" s="87">
        <v>10.0</v>
      </c>
      <c r="G275" s="87">
        <v>1.0</v>
      </c>
      <c r="H275" s="87">
        <v>725.0</v>
      </c>
      <c r="I275" s="87">
        <v>1.0</v>
      </c>
      <c r="J275" s="87">
        <v>0.482143</v>
      </c>
      <c r="K275" s="87">
        <v>0.48407</v>
      </c>
      <c r="L275" s="87">
        <v>0.285656</v>
      </c>
      <c r="M275" s="87">
        <v>0.48407</v>
      </c>
      <c r="N275" s="87">
        <v>1.0</v>
      </c>
      <c r="O275" s="87">
        <v>0.48407</v>
      </c>
      <c r="P275" s="87">
        <v>0.48407</v>
      </c>
      <c r="Q275" s="87">
        <v>0.48407</v>
      </c>
      <c r="R275" s="87">
        <v>0.48407</v>
      </c>
      <c r="S275" s="87">
        <v>0.48407</v>
      </c>
      <c r="T275" s="87">
        <v>0.48407</v>
      </c>
      <c r="U275" s="87">
        <v>0.48407</v>
      </c>
      <c r="V275" s="87">
        <v>0.48407</v>
      </c>
      <c r="W275" s="87">
        <v>0.48407</v>
      </c>
      <c r="X275" s="87">
        <v>0.48407</v>
      </c>
      <c r="Y275" s="87">
        <v>0.48407</v>
      </c>
      <c r="Z275" s="88" t="s">
        <v>1396</v>
      </c>
    </row>
    <row r="276" hidden="1">
      <c r="A276" s="90" t="s">
        <v>1745</v>
      </c>
      <c r="B276" s="90" t="s">
        <v>1770</v>
      </c>
      <c r="C276" s="90" t="s">
        <v>225</v>
      </c>
      <c r="D276" s="90" t="s">
        <v>1767</v>
      </c>
      <c r="E276" s="90" t="s">
        <v>1398</v>
      </c>
      <c r="F276" s="87">
        <v>3.0</v>
      </c>
      <c r="G276" s="87">
        <v>1.0</v>
      </c>
      <c r="H276" s="87">
        <v>2154.0</v>
      </c>
      <c r="I276" s="87">
        <v>12.0</v>
      </c>
      <c r="J276" s="87">
        <v>14.14585</v>
      </c>
      <c r="K276" s="87">
        <v>18.60072</v>
      </c>
      <c r="L276" s="87">
        <v>22.68085</v>
      </c>
      <c r="M276" s="87">
        <v>18.60072</v>
      </c>
      <c r="N276" s="87">
        <v>1.0</v>
      </c>
      <c r="O276" s="87">
        <v>18.60072</v>
      </c>
      <c r="P276" s="87">
        <v>18.60072</v>
      </c>
      <c r="Q276" s="87">
        <v>18.60072</v>
      </c>
      <c r="R276" s="87">
        <v>18.60072</v>
      </c>
      <c r="S276" s="87">
        <v>18.60072</v>
      </c>
      <c r="T276" s="87">
        <v>18.60072</v>
      </c>
      <c r="U276" s="87">
        <v>18.60072</v>
      </c>
      <c r="V276" s="87">
        <v>18.60072</v>
      </c>
      <c r="W276" s="87">
        <v>18.60072</v>
      </c>
      <c r="X276" s="87">
        <v>18.60072</v>
      </c>
      <c r="Y276" s="87">
        <v>18.60072</v>
      </c>
      <c r="Z276" s="88" t="s">
        <v>1396</v>
      </c>
    </row>
    <row r="277" hidden="1">
      <c r="A277" s="90" t="s">
        <v>1747</v>
      </c>
      <c r="B277" s="90" t="s">
        <v>1771</v>
      </c>
      <c r="C277" s="90" t="s">
        <v>225</v>
      </c>
      <c r="D277" s="90" t="s">
        <v>1767</v>
      </c>
      <c r="E277" s="90" t="s">
        <v>1400</v>
      </c>
      <c r="F277" s="87">
        <v>1.0</v>
      </c>
      <c r="G277" s="87">
        <v>0.0</v>
      </c>
      <c r="H277" s="87">
        <v>127.0</v>
      </c>
      <c r="I277" s="87">
        <v>0.0</v>
      </c>
      <c r="J277" s="87">
        <v>0.0</v>
      </c>
      <c r="K277" s="87">
        <v>0.142857</v>
      </c>
      <c r="L277" s="87">
        <v>2.750866</v>
      </c>
      <c r="M277" s="87">
        <v>0.142857</v>
      </c>
      <c r="N277" s="87">
        <v>1.0</v>
      </c>
      <c r="O277" s="87">
        <v>0.0</v>
      </c>
      <c r="P277" s="87">
        <v>0.0</v>
      </c>
      <c r="Q277" s="87">
        <v>0.0</v>
      </c>
      <c r="R277" s="87">
        <v>0.142857</v>
      </c>
      <c r="S277" s="87">
        <v>0.142857</v>
      </c>
      <c r="T277" s="87">
        <v>0.142857</v>
      </c>
      <c r="U277" s="87">
        <v>0.142857</v>
      </c>
      <c r="V277" s="87">
        <v>0.142857</v>
      </c>
      <c r="W277" s="87">
        <v>0.142857</v>
      </c>
      <c r="X277" s="87">
        <v>0.142857</v>
      </c>
      <c r="Y277" s="87">
        <v>0.071429</v>
      </c>
      <c r="Z277" s="88" t="s">
        <v>1396</v>
      </c>
    </row>
    <row r="278" hidden="1">
      <c r="A278" s="90" t="s">
        <v>1749</v>
      </c>
      <c r="B278" s="90" t="s">
        <v>1772</v>
      </c>
      <c r="C278" s="90" t="s">
        <v>225</v>
      </c>
      <c r="D278" s="90" t="s">
        <v>1767</v>
      </c>
      <c r="E278" s="89">
        <v>46300.0</v>
      </c>
      <c r="F278" s="87">
        <v>29.0</v>
      </c>
      <c r="G278" s="87">
        <v>3.0</v>
      </c>
      <c r="H278" s="87">
        <v>24070.0</v>
      </c>
      <c r="I278" s="87">
        <v>10.0</v>
      </c>
      <c r="J278" s="87">
        <v>321.1577</v>
      </c>
      <c r="K278" s="87">
        <v>337.2359</v>
      </c>
      <c r="L278" s="87">
        <v>329.2527</v>
      </c>
      <c r="M278" s="87">
        <v>210.9202</v>
      </c>
      <c r="N278" s="87">
        <v>0.625438</v>
      </c>
      <c r="O278" s="87">
        <v>0.0</v>
      </c>
      <c r="P278" s="87">
        <v>0.0</v>
      </c>
      <c r="Q278" s="87">
        <v>0.0</v>
      </c>
      <c r="R278" s="87">
        <v>10.34963</v>
      </c>
      <c r="S278" s="87">
        <v>22.69379</v>
      </c>
      <c r="T278" s="87">
        <v>7.366085</v>
      </c>
      <c r="U278" s="87">
        <v>8.744547</v>
      </c>
      <c r="V278" s="87">
        <v>10.34963</v>
      </c>
      <c r="W278" s="87">
        <v>22.69379</v>
      </c>
      <c r="X278" s="87">
        <v>34.17632</v>
      </c>
      <c r="Y278" s="87">
        <v>18.73533</v>
      </c>
      <c r="Z278" s="88" t="s">
        <v>1396</v>
      </c>
    </row>
    <row r="279" hidden="1">
      <c r="A279" s="90" t="s">
        <v>1751</v>
      </c>
      <c r="B279" s="90" t="s">
        <v>1773</v>
      </c>
      <c r="C279" s="90" t="s">
        <v>225</v>
      </c>
      <c r="D279" s="90" t="s">
        <v>1767</v>
      </c>
      <c r="E279" s="90" t="s">
        <v>1403</v>
      </c>
      <c r="F279" s="87">
        <v>21.0</v>
      </c>
      <c r="G279" s="87">
        <v>21.0</v>
      </c>
      <c r="H279" s="87">
        <v>993.0</v>
      </c>
      <c r="I279" s="87">
        <v>993.0</v>
      </c>
      <c r="J279" s="87">
        <v>0.0</v>
      </c>
      <c r="K279" s="87">
        <v>0.0</v>
      </c>
      <c r="L279" s="87">
        <v>0.0</v>
      </c>
      <c r="M279" s="87">
        <v>0.0</v>
      </c>
      <c r="N279" s="91"/>
      <c r="O279" s="87">
        <v>0.0</v>
      </c>
      <c r="P279" s="87">
        <v>0.0</v>
      </c>
      <c r="Q279" s="87">
        <v>0.0</v>
      </c>
      <c r="R279" s="87">
        <v>0.0</v>
      </c>
      <c r="S279" s="87">
        <v>0.0</v>
      </c>
      <c r="T279" s="91"/>
      <c r="U279" s="91"/>
      <c r="V279" s="91"/>
      <c r="W279" s="91"/>
      <c r="X279" s="91"/>
      <c r="Y279" s="87">
        <v>0.0</v>
      </c>
      <c r="Z279" s="88" t="s">
        <v>1396</v>
      </c>
    </row>
    <row r="280" hidden="1">
      <c r="A280" s="90" t="s">
        <v>1739</v>
      </c>
      <c r="B280" s="90" t="s">
        <v>1774</v>
      </c>
      <c r="C280" s="90" t="s">
        <v>225</v>
      </c>
      <c r="D280" s="90" t="s">
        <v>915</v>
      </c>
      <c r="E280" s="90" t="s">
        <v>1426</v>
      </c>
      <c r="F280" s="87">
        <v>1.0</v>
      </c>
      <c r="G280" s="87">
        <v>0.0</v>
      </c>
      <c r="H280" s="87">
        <v>583.0</v>
      </c>
      <c r="I280" s="87">
        <v>0.0</v>
      </c>
      <c r="J280" s="87">
        <v>3.085664</v>
      </c>
      <c r="K280" s="87">
        <v>2.68202</v>
      </c>
      <c r="L280" s="87">
        <v>2.744662</v>
      </c>
      <c r="M280" s="87">
        <v>2.68202</v>
      </c>
      <c r="N280" s="87">
        <v>1.0</v>
      </c>
      <c r="O280" s="87">
        <v>2.68202</v>
      </c>
      <c r="P280" s="87">
        <v>2.68202</v>
      </c>
      <c r="Q280" s="87">
        <v>2.68202</v>
      </c>
      <c r="R280" s="87">
        <v>2.68202</v>
      </c>
      <c r="S280" s="87">
        <v>2.68202</v>
      </c>
      <c r="T280" s="87">
        <v>2.68202</v>
      </c>
      <c r="U280" s="87">
        <v>2.68202</v>
      </c>
      <c r="V280" s="87">
        <v>2.68202</v>
      </c>
      <c r="W280" s="87">
        <v>2.68202</v>
      </c>
      <c r="X280" s="87">
        <v>2.68202</v>
      </c>
      <c r="Y280" s="87">
        <v>2.68202</v>
      </c>
      <c r="Z280" s="88" t="s">
        <v>1396</v>
      </c>
    </row>
    <row r="281" hidden="1">
      <c r="A281" s="90" t="s">
        <v>1743</v>
      </c>
      <c r="B281" s="90" t="s">
        <v>1775</v>
      </c>
      <c r="C281" s="90" t="s">
        <v>225</v>
      </c>
      <c r="D281" s="90" t="s">
        <v>915</v>
      </c>
      <c r="E281" s="90" t="s">
        <v>1413</v>
      </c>
      <c r="F281" s="87">
        <v>0.0</v>
      </c>
      <c r="G281" s="87">
        <v>0.0</v>
      </c>
      <c r="H281" s="87">
        <v>0.0</v>
      </c>
      <c r="I281" s="87">
        <v>0.0</v>
      </c>
      <c r="J281" s="87">
        <v>0.0</v>
      </c>
      <c r="K281" s="87">
        <v>0.0</v>
      </c>
      <c r="L281" s="87">
        <v>0.0</v>
      </c>
      <c r="M281" s="87">
        <v>0.0</v>
      </c>
      <c r="N281" s="91"/>
      <c r="O281" s="87">
        <v>0.0</v>
      </c>
      <c r="P281" s="87">
        <v>0.0</v>
      </c>
      <c r="Q281" s="87">
        <v>0.0</v>
      </c>
      <c r="R281" s="87">
        <v>0.0</v>
      </c>
      <c r="S281" s="87">
        <v>0.0</v>
      </c>
      <c r="T281" s="91"/>
      <c r="U281" s="91"/>
      <c r="V281" s="91"/>
      <c r="W281" s="91"/>
      <c r="X281" s="91"/>
      <c r="Y281" s="87">
        <v>0.0</v>
      </c>
      <c r="Z281" s="88" t="s">
        <v>1396</v>
      </c>
    </row>
    <row r="282" hidden="1">
      <c r="A282" s="90" t="s">
        <v>1745</v>
      </c>
      <c r="B282" s="90" t="s">
        <v>1776</v>
      </c>
      <c r="C282" s="90" t="s">
        <v>225</v>
      </c>
      <c r="D282" s="90" t="s">
        <v>915</v>
      </c>
      <c r="E282" s="90" t="s">
        <v>1398</v>
      </c>
      <c r="F282" s="87">
        <v>2.0</v>
      </c>
      <c r="G282" s="87">
        <v>0.0</v>
      </c>
      <c r="H282" s="87">
        <v>528.0</v>
      </c>
      <c r="I282" s="87">
        <v>0.0</v>
      </c>
      <c r="J282" s="87">
        <v>0.571429</v>
      </c>
      <c r="K282" s="87">
        <v>0.366667</v>
      </c>
      <c r="L282" s="87">
        <v>0.890138</v>
      </c>
      <c r="M282" s="87">
        <v>0.366667</v>
      </c>
      <c r="N282" s="87">
        <v>1.0</v>
      </c>
      <c r="O282" s="87">
        <v>0.366667</v>
      </c>
      <c r="P282" s="87">
        <v>0.366667</v>
      </c>
      <c r="Q282" s="87">
        <v>0.366667</v>
      </c>
      <c r="R282" s="87">
        <v>0.366667</v>
      </c>
      <c r="S282" s="87">
        <v>0.366667</v>
      </c>
      <c r="T282" s="87">
        <v>0.366667</v>
      </c>
      <c r="U282" s="87">
        <v>0.366667</v>
      </c>
      <c r="V282" s="87">
        <v>0.366667</v>
      </c>
      <c r="W282" s="87">
        <v>0.366667</v>
      </c>
      <c r="X282" s="87">
        <v>0.366667</v>
      </c>
      <c r="Y282" s="87">
        <v>0.366667</v>
      </c>
      <c r="Z282" s="88" t="s">
        <v>1396</v>
      </c>
    </row>
    <row r="283" hidden="1">
      <c r="A283" s="90" t="s">
        <v>1749</v>
      </c>
      <c r="B283" s="90" t="s">
        <v>1777</v>
      </c>
      <c r="C283" s="90" t="s">
        <v>225</v>
      </c>
      <c r="D283" s="90" t="s">
        <v>915</v>
      </c>
      <c r="E283" s="89">
        <v>46300.0</v>
      </c>
      <c r="F283" s="87">
        <v>7.0</v>
      </c>
      <c r="G283" s="87">
        <v>0.0</v>
      </c>
      <c r="H283" s="87">
        <v>2534.0</v>
      </c>
      <c r="I283" s="87">
        <v>0.0</v>
      </c>
      <c r="J283" s="87">
        <v>5.440476</v>
      </c>
      <c r="K283" s="87">
        <v>5.145996</v>
      </c>
      <c r="L283" s="87">
        <v>6.486749</v>
      </c>
      <c r="M283" s="87">
        <v>2.88363</v>
      </c>
      <c r="N283" s="87">
        <v>0.560364</v>
      </c>
      <c r="O283" s="87">
        <v>0.0</v>
      </c>
      <c r="P283" s="87">
        <v>0.497849</v>
      </c>
      <c r="Q283" s="87">
        <v>0.497849</v>
      </c>
      <c r="R283" s="87">
        <v>1.065591</v>
      </c>
      <c r="S283" s="87">
        <v>1.381183</v>
      </c>
      <c r="T283" s="87">
        <v>0.497849</v>
      </c>
      <c r="U283" s="87">
        <v>0.698925</v>
      </c>
      <c r="V283" s="87">
        <v>0.698925</v>
      </c>
      <c r="W283" s="87">
        <v>1.065591</v>
      </c>
      <c r="X283" s="87">
        <v>1.381183</v>
      </c>
      <c r="Y283" s="87">
        <v>0.857666</v>
      </c>
      <c r="Z283" s="88" t="s">
        <v>1396</v>
      </c>
    </row>
    <row r="284" hidden="1">
      <c r="A284" s="90" t="s">
        <v>1751</v>
      </c>
      <c r="B284" s="90" t="s">
        <v>1778</v>
      </c>
      <c r="C284" s="90" t="s">
        <v>225</v>
      </c>
      <c r="D284" s="90" t="s">
        <v>915</v>
      </c>
      <c r="E284" s="90" t="s">
        <v>1403</v>
      </c>
      <c r="F284" s="87">
        <v>0.0</v>
      </c>
      <c r="G284" s="87">
        <v>0.0</v>
      </c>
      <c r="H284" s="87">
        <v>0.0</v>
      </c>
      <c r="I284" s="87">
        <v>0.0</v>
      </c>
      <c r="J284" s="87">
        <v>0.0</v>
      </c>
      <c r="K284" s="87">
        <v>0.0</v>
      </c>
      <c r="L284" s="87">
        <v>0.0</v>
      </c>
      <c r="M284" s="87">
        <v>0.0</v>
      </c>
      <c r="N284" s="91"/>
      <c r="O284" s="87">
        <v>0.0</v>
      </c>
      <c r="P284" s="87">
        <v>0.0</v>
      </c>
      <c r="Q284" s="87">
        <v>0.0</v>
      </c>
      <c r="R284" s="87">
        <v>0.0</v>
      </c>
      <c r="S284" s="87">
        <v>0.0</v>
      </c>
      <c r="T284" s="91"/>
      <c r="U284" s="91"/>
      <c r="V284" s="91"/>
      <c r="W284" s="91"/>
      <c r="X284" s="91"/>
      <c r="Y284" s="87">
        <v>0.0</v>
      </c>
      <c r="Z284" s="88" t="s">
        <v>1396</v>
      </c>
    </row>
    <row r="285" hidden="1">
      <c r="A285" s="90" t="s">
        <v>1739</v>
      </c>
      <c r="B285" s="90" t="s">
        <v>1779</v>
      </c>
      <c r="C285" s="90" t="s">
        <v>225</v>
      </c>
      <c r="D285" s="90" t="s">
        <v>1780</v>
      </c>
      <c r="E285" s="90" t="s">
        <v>1426</v>
      </c>
      <c r="F285" s="87">
        <v>1.0</v>
      </c>
      <c r="G285" s="87">
        <v>0.0</v>
      </c>
      <c r="H285" s="87">
        <v>337.0</v>
      </c>
      <c r="I285" s="87">
        <v>0.0</v>
      </c>
      <c r="J285" s="87">
        <v>0.071429</v>
      </c>
      <c r="K285" s="87">
        <v>0.033333</v>
      </c>
      <c r="L285" s="87">
        <v>0.15</v>
      </c>
      <c r="M285" s="87">
        <v>0.033333</v>
      </c>
      <c r="N285" s="87">
        <v>1.0</v>
      </c>
      <c r="O285" s="87">
        <v>0.0</v>
      </c>
      <c r="P285" s="87">
        <v>0.0</v>
      </c>
      <c r="Q285" s="87">
        <v>0.0</v>
      </c>
      <c r="R285" s="87">
        <v>0.0</v>
      </c>
      <c r="S285" s="87">
        <v>0.0</v>
      </c>
      <c r="T285" s="87">
        <v>0.033333</v>
      </c>
      <c r="U285" s="87">
        <v>0.033333</v>
      </c>
      <c r="V285" s="87">
        <v>0.033333</v>
      </c>
      <c r="W285" s="87">
        <v>0.033333</v>
      </c>
      <c r="X285" s="87">
        <v>0.033333</v>
      </c>
      <c r="Y285" s="87">
        <v>0.008333</v>
      </c>
      <c r="Z285" s="88" t="s">
        <v>1396</v>
      </c>
    </row>
    <row r="286" hidden="1">
      <c r="A286" s="90" t="s">
        <v>1741</v>
      </c>
      <c r="B286" s="90" t="s">
        <v>1781</v>
      </c>
      <c r="C286" s="90" t="s">
        <v>225</v>
      </c>
      <c r="D286" s="90" t="s">
        <v>1780</v>
      </c>
      <c r="E286" s="86">
        <v>46310.0</v>
      </c>
      <c r="F286" s="87">
        <v>23.0</v>
      </c>
      <c r="G286" s="87">
        <v>4.0</v>
      </c>
      <c r="H286" s="87">
        <v>6111.0</v>
      </c>
      <c r="I286" s="87">
        <v>5.0</v>
      </c>
      <c r="J286" s="87">
        <v>65.20708</v>
      </c>
      <c r="K286" s="87">
        <v>65.3539</v>
      </c>
      <c r="L286" s="87">
        <v>61.43156</v>
      </c>
      <c r="M286" s="87">
        <v>37.24756</v>
      </c>
      <c r="N286" s="87">
        <v>0.569936</v>
      </c>
      <c r="O286" s="87">
        <v>0.666667</v>
      </c>
      <c r="P286" s="87">
        <v>1.437527</v>
      </c>
      <c r="Q286" s="87">
        <v>2.279461</v>
      </c>
      <c r="R286" s="87">
        <v>4.392294</v>
      </c>
      <c r="S286" s="87">
        <v>8.371784</v>
      </c>
      <c r="T286" s="87">
        <v>0.666667</v>
      </c>
      <c r="U286" s="87">
        <v>1.437527</v>
      </c>
      <c r="V286" s="87">
        <v>2.279461</v>
      </c>
      <c r="W286" s="87">
        <v>4.392294</v>
      </c>
      <c r="X286" s="87">
        <v>8.371784</v>
      </c>
      <c r="Y286" s="87">
        <v>5.941264</v>
      </c>
      <c r="Z286" s="88" t="s">
        <v>1396</v>
      </c>
    </row>
    <row r="287" hidden="1">
      <c r="A287" s="90" t="s">
        <v>1743</v>
      </c>
      <c r="B287" s="90" t="s">
        <v>1782</v>
      </c>
      <c r="C287" s="90" t="s">
        <v>225</v>
      </c>
      <c r="D287" s="90" t="s">
        <v>1780</v>
      </c>
      <c r="E287" s="90" t="s">
        <v>1413</v>
      </c>
      <c r="F287" s="87">
        <v>13.0</v>
      </c>
      <c r="G287" s="87">
        <v>0.0</v>
      </c>
      <c r="H287" s="87">
        <v>3441.0</v>
      </c>
      <c r="I287" s="87">
        <v>0.0</v>
      </c>
      <c r="J287" s="87">
        <v>44.20011</v>
      </c>
      <c r="K287" s="87">
        <v>44.99044</v>
      </c>
      <c r="L287" s="87">
        <v>43.84861</v>
      </c>
      <c r="M287" s="87">
        <v>28.9152</v>
      </c>
      <c r="N287" s="87">
        <v>0.642697</v>
      </c>
      <c r="O287" s="87">
        <v>1.961863</v>
      </c>
      <c r="P287" s="87">
        <v>3.659779</v>
      </c>
      <c r="Q287" s="87">
        <v>3.659779</v>
      </c>
      <c r="R287" s="87">
        <v>6.148683</v>
      </c>
      <c r="S287" s="87">
        <v>6.485747</v>
      </c>
      <c r="T287" s="87">
        <v>1.961863</v>
      </c>
      <c r="U287" s="87">
        <v>3.659779</v>
      </c>
      <c r="V287" s="87">
        <v>3.659779</v>
      </c>
      <c r="W287" s="87">
        <v>6.148683</v>
      </c>
      <c r="X287" s="87">
        <v>6.485747</v>
      </c>
      <c r="Y287" s="87">
        <v>7.498407</v>
      </c>
      <c r="Z287" s="88" t="s">
        <v>1396</v>
      </c>
    </row>
    <row r="288" hidden="1">
      <c r="A288" s="90" t="s">
        <v>1745</v>
      </c>
      <c r="B288" s="90" t="s">
        <v>1783</v>
      </c>
      <c r="C288" s="90" t="s">
        <v>225</v>
      </c>
      <c r="D288" s="90" t="s">
        <v>1780</v>
      </c>
      <c r="E288" s="90" t="s">
        <v>1398</v>
      </c>
      <c r="F288" s="87">
        <v>4.0</v>
      </c>
      <c r="G288" s="87">
        <v>0.0</v>
      </c>
      <c r="H288" s="87">
        <v>689.0</v>
      </c>
      <c r="I288" s="87">
        <v>0.0</v>
      </c>
      <c r="J288" s="87">
        <v>5.728022</v>
      </c>
      <c r="K288" s="87">
        <v>5.982659</v>
      </c>
      <c r="L288" s="87">
        <v>5.609148</v>
      </c>
      <c r="M288" s="87">
        <v>4.11085</v>
      </c>
      <c r="N288" s="87">
        <v>0.687128</v>
      </c>
      <c r="O288" s="87">
        <v>1.871809</v>
      </c>
      <c r="P288" s="87">
        <v>1.871809</v>
      </c>
      <c r="Q288" s="87">
        <v>1.871809</v>
      </c>
      <c r="R288" s="87">
        <v>4.11085</v>
      </c>
      <c r="S288" s="87">
        <v>4.11085</v>
      </c>
      <c r="T288" s="87">
        <v>1.871809</v>
      </c>
      <c r="U288" s="87">
        <v>1.871809</v>
      </c>
      <c r="V288" s="87">
        <v>1.871809</v>
      </c>
      <c r="W288" s="87">
        <v>4.11085</v>
      </c>
      <c r="X288" s="87">
        <v>4.11085</v>
      </c>
      <c r="Y288" s="87">
        <v>2.991329</v>
      </c>
      <c r="Z288" s="88" t="s">
        <v>1396</v>
      </c>
    </row>
    <row r="289" hidden="1">
      <c r="A289" s="90" t="s">
        <v>1747</v>
      </c>
      <c r="B289" s="90" t="s">
        <v>1784</v>
      </c>
      <c r="C289" s="90" t="s">
        <v>225</v>
      </c>
      <c r="D289" s="90" t="s">
        <v>1780</v>
      </c>
      <c r="E289" s="90" t="s">
        <v>1400</v>
      </c>
      <c r="F289" s="87">
        <v>8.0</v>
      </c>
      <c r="G289" s="87">
        <v>1.0</v>
      </c>
      <c r="H289" s="87">
        <v>1395.0</v>
      </c>
      <c r="I289" s="87">
        <v>6.0</v>
      </c>
      <c r="J289" s="87">
        <v>5.595094</v>
      </c>
      <c r="K289" s="87">
        <v>4.709688</v>
      </c>
      <c r="L289" s="87">
        <v>4.328955</v>
      </c>
      <c r="M289" s="87">
        <v>4.709688</v>
      </c>
      <c r="N289" s="87">
        <v>1.0</v>
      </c>
      <c r="O289" s="87">
        <v>4.709688</v>
      </c>
      <c r="P289" s="87">
        <v>4.709688</v>
      </c>
      <c r="Q289" s="87">
        <v>4.709688</v>
      </c>
      <c r="R289" s="87">
        <v>4.709688</v>
      </c>
      <c r="S289" s="87">
        <v>4.709688</v>
      </c>
      <c r="T289" s="87">
        <v>4.709688</v>
      </c>
      <c r="U289" s="87">
        <v>4.709688</v>
      </c>
      <c r="V289" s="87">
        <v>4.709688</v>
      </c>
      <c r="W289" s="87">
        <v>4.709688</v>
      </c>
      <c r="X289" s="87">
        <v>4.709688</v>
      </c>
      <c r="Y289" s="87">
        <v>4.709688</v>
      </c>
      <c r="Z289" s="88" t="s">
        <v>1396</v>
      </c>
    </row>
    <row r="290" hidden="1">
      <c r="A290" s="90" t="s">
        <v>1749</v>
      </c>
      <c r="B290" s="90" t="s">
        <v>1785</v>
      </c>
      <c r="C290" s="90" t="s">
        <v>225</v>
      </c>
      <c r="D290" s="90" t="s">
        <v>1780</v>
      </c>
      <c r="E290" s="89">
        <v>46300.0</v>
      </c>
      <c r="F290" s="87">
        <v>20.0</v>
      </c>
      <c r="G290" s="87">
        <v>1.0</v>
      </c>
      <c r="H290" s="87">
        <v>9053.0</v>
      </c>
      <c r="I290" s="87">
        <v>109.0</v>
      </c>
      <c r="J290" s="87">
        <v>73.096</v>
      </c>
      <c r="K290" s="87">
        <v>89.65978</v>
      </c>
      <c r="L290" s="87">
        <v>90.47425</v>
      </c>
      <c r="M290" s="87">
        <v>65.80157</v>
      </c>
      <c r="N290" s="87">
        <v>0.733903</v>
      </c>
      <c r="O290" s="87">
        <v>0.111111</v>
      </c>
      <c r="P290" s="87">
        <v>0.165591</v>
      </c>
      <c r="Q290" s="87">
        <v>0.531183</v>
      </c>
      <c r="R290" s="87">
        <v>1.136406</v>
      </c>
      <c r="S290" s="87">
        <v>2.390323</v>
      </c>
      <c r="T290" s="87">
        <v>0.111111</v>
      </c>
      <c r="U290" s="87">
        <v>0.165591</v>
      </c>
      <c r="V290" s="87">
        <v>0.531183</v>
      </c>
      <c r="W290" s="87">
        <v>1.136406</v>
      </c>
      <c r="X290" s="87">
        <v>2.390323</v>
      </c>
      <c r="Y290" s="87">
        <v>4.482989</v>
      </c>
      <c r="Z290" s="88" t="s">
        <v>1396</v>
      </c>
    </row>
    <row r="291" hidden="1">
      <c r="A291" s="90" t="s">
        <v>1751</v>
      </c>
      <c r="B291" s="90" t="s">
        <v>1786</v>
      </c>
      <c r="C291" s="90" t="s">
        <v>225</v>
      </c>
      <c r="D291" s="90" t="s">
        <v>1780</v>
      </c>
      <c r="E291" s="90" t="s">
        <v>1403</v>
      </c>
      <c r="F291" s="87">
        <v>4.0</v>
      </c>
      <c r="G291" s="87">
        <v>4.0</v>
      </c>
      <c r="H291" s="87">
        <v>98.0</v>
      </c>
      <c r="I291" s="87">
        <v>98.0</v>
      </c>
      <c r="J291" s="87">
        <v>0.0</v>
      </c>
      <c r="K291" s="87">
        <v>0.0</v>
      </c>
      <c r="L291" s="87">
        <v>0.0</v>
      </c>
      <c r="M291" s="87">
        <v>0.0</v>
      </c>
      <c r="N291" s="91"/>
      <c r="O291" s="87">
        <v>0.0</v>
      </c>
      <c r="P291" s="87">
        <v>0.0</v>
      </c>
      <c r="Q291" s="87">
        <v>0.0</v>
      </c>
      <c r="R291" s="87">
        <v>0.0</v>
      </c>
      <c r="S291" s="87">
        <v>0.0</v>
      </c>
      <c r="T291" s="91"/>
      <c r="U291" s="91"/>
      <c r="V291" s="91"/>
      <c r="W291" s="91"/>
      <c r="X291" s="91"/>
      <c r="Y291" s="87">
        <v>0.0</v>
      </c>
      <c r="Z291" s="88" t="s">
        <v>1396</v>
      </c>
    </row>
    <row r="292" hidden="1">
      <c r="A292" s="90" t="s">
        <v>1787</v>
      </c>
      <c r="B292" s="90" t="s">
        <v>1788</v>
      </c>
      <c r="C292" s="90" t="s">
        <v>231</v>
      </c>
      <c r="D292" s="90" t="s">
        <v>232</v>
      </c>
      <c r="E292" s="90" t="s">
        <v>1426</v>
      </c>
      <c r="F292" s="87">
        <v>3.0</v>
      </c>
      <c r="G292" s="87">
        <v>0.0</v>
      </c>
      <c r="H292" s="87">
        <v>1783.0</v>
      </c>
      <c r="I292" s="87">
        <v>0.0</v>
      </c>
      <c r="J292" s="87">
        <v>46.56214</v>
      </c>
      <c r="K292" s="87">
        <v>40.37868</v>
      </c>
      <c r="L292" s="87">
        <v>33.80433</v>
      </c>
      <c r="M292" s="87">
        <v>22.95029</v>
      </c>
      <c r="N292" s="87">
        <v>0.568376</v>
      </c>
      <c r="O292" s="87">
        <v>17.42839</v>
      </c>
      <c r="P292" s="87">
        <v>17.42839</v>
      </c>
      <c r="Q292" s="87">
        <v>17.42839</v>
      </c>
      <c r="R292" s="87">
        <v>22.95029</v>
      </c>
      <c r="S292" s="87">
        <v>22.95029</v>
      </c>
      <c r="T292" s="87">
        <v>17.42839</v>
      </c>
      <c r="U292" s="87">
        <v>17.42839</v>
      </c>
      <c r="V292" s="87">
        <v>17.42839</v>
      </c>
      <c r="W292" s="87">
        <v>22.95029</v>
      </c>
      <c r="X292" s="87">
        <v>22.95029</v>
      </c>
      <c r="Y292" s="87">
        <v>20.18934</v>
      </c>
      <c r="Z292" s="88" t="s">
        <v>1396</v>
      </c>
    </row>
    <row r="293" hidden="1">
      <c r="A293" s="90" t="s">
        <v>1789</v>
      </c>
      <c r="B293" s="90" t="s">
        <v>1790</v>
      </c>
      <c r="C293" s="90" t="s">
        <v>231</v>
      </c>
      <c r="D293" s="90" t="s">
        <v>232</v>
      </c>
      <c r="E293" s="86">
        <v>46310.0</v>
      </c>
      <c r="F293" s="87">
        <v>15.0</v>
      </c>
      <c r="G293" s="87">
        <v>1.0</v>
      </c>
      <c r="H293" s="87">
        <v>10481.0</v>
      </c>
      <c r="I293" s="87">
        <v>229.0</v>
      </c>
      <c r="J293" s="87">
        <v>213.2825</v>
      </c>
      <c r="K293" s="87">
        <v>232.5477</v>
      </c>
      <c r="L293" s="87">
        <v>238.7902</v>
      </c>
      <c r="M293" s="87">
        <v>131.1938</v>
      </c>
      <c r="N293" s="87">
        <v>0.564159</v>
      </c>
      <c r="O293" s="87">
        <v>0.0</v>
      </c>
      <c r="P293" s="87">
        <v>0.0</v>
      </c>
      <c r="Q293" s="87">
        <v>5.332005</v>
      </c>
      <c r="R293" s="87">
        <v>9.440431</v>
      </c>
      <c r="S293" s="87">
        <v>17.60458</v>
      </c>
      <c r="T293" s="87">
        <v>5.332005</v>
      </c>
      <c r="U293" s="87">
        <v>6.124663</v>
      </c>
      <c r="V293" s="87">
        <v>9.07899</v>
      </c>
      <c r="W293" s="87">
        <v>14.91383</v>
      </c>
      <c r="X293" s="87">
        <v>17.96493</v>
      </c>
      <c r="Y293" s="87">
        <v>12.91931</v>
      </c>
      <c r="Z293" s="88" t="s">
        <v>1396</v>
      </c>
    </row>
    <row r="294" hidden="1">
      <c r="A294" s="90" t="s">
        <v>1791</v>
      </c>
      <c r="B294" s="90" t="s">
        <v>1792</v>
      </c>
      <c r="C294" s="90" t="s">
        <v>231</v>
      </c>
      <c r="D294" s="90" t="s">
        <v>232</v>
      </c>
      <c r="E294" s="90" t="s">
        <v>1413</v>
      </c>
      <c r="F294" s="87">
        <v>14.0</v>
      </c>
      <c r="G294" s="87">
        <v>0.0</v>
      </c>
      <c r="H294" s="87">
        <v>14194.0</v>
      </c>
      <c r="I294" s="87">
        <v>0.0</v>
      </c>
      <c r="J294" s="87">
        <v>281.7492</v>
      </c>
      <c r="K294" s="87">
        <v>278.6611</v>
      </c>
      <c r="L294" s="87">
        <v>265.6483</v>
      </c>
      <c r="M294" s="87">
        <v>147.1588</v>
      </c>
      <c r="N294" s="87">
        <v>0.528092</v>
      </c>
      <c r="O294" s="87">
        <v>6.160715</v>
      </c>
      <c r="P294" s="87">
        <v>9.573726</v>
      </c>
      <c r="Q294" s="87">
        <v>12.05148</v>
      </c>
      <c r="R294" s="87">
        <v>26.83069</v>
      </c>
      <c r="S294" s="87">
        <v>33.44624</v>
      </c>
      <c r="T294" s="87">
        <v>6.160715</v>
      </c>
      <c r="U294" s="87">
        <v>9.573726</v>
      </c>
      <c r="V294" s="87">
        <v>12.05148</v>
      </c>
      <c r="W294" s="87">
        <v>26.83069</v>
      </c>
      <c r="X294" s="87">
        <v>33.44624</v>
      </c>
      <c r="Y294" s="87">
        <v>25.33283</v>
      </c>
      <c r="Z294" s="88" t="s">
        <v>1396</v>
      </c>
    </row>
    <row r="295" hidden="1">
      <c r="A295" s="90" t="s">
        <v>1793</v>
      </c>
      <c r="B295" s="90" t="s">
        <v>1794</v>
      </c>
      <c r="C295" s="90" t="s">
        <v>231</v>
      </c>
      <c r="D295" s="90" t="s">
        <v>232</v>
      </c>
      <c r="E295" s="90" t="s">
        <v>1398</v>
      </c>
      <c r="F295" s="87">
        <v>9.0</v>
      </c>
      <c r="G295" s="87">
        <v>0.0</v>
      </c>
      <c r="H295" s="87">
        <v>6300.0</v>
      </c>
      <c r="I295" s="87">
        <v>0.0</v>
      </c>
      <c r="J295" s="87">
        <v>205.3921</v>
      </c>
      <c r="K295" s="87">
        <v>232.57</v>
      </c>
      <c r="L295" s="87">
        <v>218.0869</v>
      </c>
      <c r="M295" s="87">
        <v>176.7307</v>
      </c>
      <c r="N295" s="87">
        <v>0.759903</v>
      </c>
      <c r="O295" s="87">
        <v>0.0</v>
      </c>
      <c r="P295" s="87">
        <v>0.0</v>
      </c>
      <c r="Q295" s="87">
        <v>0.0</v>
      </c>
      <c r="R295" s="87">
        <v>7.752121</v>
      </c>
      <c r="S295" s="87">
        <v>24.84188</v>
      </c>
      <c r="T295" s="87">
        <v>0.111111</v>
      </c>
      <c r="U295" s="87">
        <v>7.752121</v>
      </c>
      <c r="V295" s="87">
        <v>7.752121</v>
      </c>
      <c r="W295" s="87">
        <v>24.84188</v>
      </c>
      <c r="X295" s="87">
        <v>54.77549</v>
      </c>
      <c r="Y295" s="87">
        <v>25.84111</v>
      </c>
      <c r="Z295" s="88" t="s">
        <v>1396</v>
      </c>
    </row>
    <row r="296" hidden="1">
      <c r="A296" s="90" t="s">
        <v>1795</v>
      </c>
      <c r="B296" s="90" t="s">
        <v>1796</v>
      </c>
      <c r="C296" s="90" t="s">
        <v>231</v>
      </c>
      <c r="D296" s="90" t="s">
        <v>232</v>
      </c>
      <c r="E296" s="90" t="s">
        <v>1400</v>
      </c>
      <c r="F296" s="87">
        <v>7.0</v>
      </c>
      <c r="G296" s="87">
        <v>0.0</v>
      </c>
      <c r="H296" s="87">
        <v>1452.0</v>
      </c>
      <c r="I296" s="87">
        <v>0.0</v>
      </c>
      <c r="J296" s="87">
        <v>14.37587</v>
      </c>
      <c r="K296" s="87">
        <v>14.44291</v>
      </c>
      <c r="L296" s="87">
        <v>14.72976</v>
      </c>
      <c r="M296" s="87">
        <v>14.44291</v>
      </c>
      <c r="N296" s="87">
        <v>1.0</v>
      </c>
      <c r="O296" s="87">
        <v>0.0</v>
      </c>
      <c r="P296" s="87">
        <v>0.0</v>
      </c>
      <c r="Q296" s="87">
        <v>0.0</v>
      </c>
      <c r="R296" s="87">
        <v>14.44291</v>
      </c>
      <c r="S296" s="87">
        <v>14.44291</v>
      </c>
      <c r="T296" s="87">
        <v>14.44291</v>
      </c>
      <c r="U296" s="87">
        <v>14.44291</v>
      </c>
      <c r="V296" s="87">
        <v>14.44291</v>
      </c>
      <c r="W296" s="87">
        <v>14.44291</v>
      </c>
      <c r="X296" s="87">
        <v>14.44291</v>
      </c>
      <c r="Y296" s="87">
        <v>7.221454</v>
      </c>
      <c r="Z296" s="88" t="s">
        <v>1396</v>
      </c>
    </row>
    <row r="297" hidden="1">
      <c r="A297" s="90" t="s">
        <v>1797</v>
      </c>
      <c r="B297" s="90" t="s">
        <v>1798</v>
      </c>
      <c r="C297" s="90" t="s">
        <v>231</v>
      </c>
      <c r="D297" s="90" t="s">
        <v>232</v>
      </c>
      <c r="E297" s="86">
        <v>46300.0</v>
      </c>
      <c r="F297" s="87">
        <v>15.0</v>
      </c>
      <c r="G297" s="87">
        <v>1.0</v>
      </c>
      <c r="H297" s="87">
        <v>20179.0</v>
      </c>
      <c r="I297" s="87">
        <v>194.0</v>
      </c>
      <c r="J297" s="87">
        <v>692.4664</v>
      </c>
      <c r="K297" s="87">
        <v>727.1709</v>
      </c>
      <c r="L297" s="87">
        <v>741.0073</v>
      </c>
      <c r="M297" s="87">
        <v>416.6244</v>
      </c>
      <c r="N297" s="87">
        <v>0.572939</v>
      </c>
      <c r="O297" s="87">
        <v>0.05</v>
      </c>
      <c r="P297" s="87">
        <v>10.59893</v>
      </c>
      <c r="Q297" s="87">
        <v>13.44315</v>
      </c>
      <c r="R297" s="87">
        <v>24.89428</v>
      </c>
      <c r="S297" s="87">
        <v>68.03582</v>
      </c>
      <c r="T297" s="87">
        <v>2.150276</v>
      </c>
      <c r="U297" s="87">
        <v>12.93335</v>
      </c>
      <c r="V297" s="87">
        <v>13.44315</v>
      </c>
      <c r="W297" s="87">
        <v>31.10764</v>
      </c>
      <c r="X297" s="87">
        <v>68.67745</v>
      </c>
      <c r="Y297" s="87">
        <v>42.77476</v>
      </c>
      <c r="Z297" s="88" t="s">
        <v>1396</v>
      </c>
    </row>
    <row r="298" hidden="1">
      <c r="A298" s="90" t="s">
        <v>1799</v>
      </c>
      <c r="B298" s="90" t="s">
        <v>1800</v>
      </c>
      <c r="C298" s="90" t="s">
        <v>231</v>
      </c>
      <c r="D298" s="90" t="s">
        <v>232</v>
      </c>
      <c r="E298" s="90" t="s">
        <v>1403</v>
      </c>
      <c r="F298" s="87">
        <v>8.0</v>
      </c>
      <c r="G298" s="87">
        <v>8.0</v>
      </c>
      <c r="H298" s="87">
        <v>779.0</v>
      </c>
      <c r="I298" s="87">
        <v>779.0</v>
      </c>
      <c r="J298" s="87">
        <v>0.0</v>
      </c>
      <c r="K298" s="87">
        <v>0.0</v>
      </c>
      <c r="L298" s="87">
        <v>0.0</v>
      </c>
      <c r="M298" s="87">
        <v>0.0</v>
      </c>
      <c r="N298" s="91"/>
      <c r="O298" s="87">
        <v>0.0</v>
      </c>
      <c r="P298" s="87">
        <v>0.0</v>
      </c>
      <c r="Q298" s="87">
        <v>0.0</v>
      </c>
      <c r="R298" s="87">
        <v>0.0</v>
      </c>
      <c r="S298" s="87">
        <v>0.0</v>
      </c>
      <c r="T298" s="91"/>
      <c r="U298" s="91"/>
      <c r="V298" s="91"/>
      <c r="W298" s="91"/>
      <c r="X298" s="91"/>
      <c r="Y298" s="87">
        <v>0.0</v>
      </c>
      <c r="Z298" s="88" t="s">
        <v>1396</v>
      </c>
    </row>
    <row r="299" hidden="1">
      <c r="A299" s="90" t="s">
        <v>1787</v>
      </c>
      <c r="B299" s="90" t="s">
        <v>1801</v>
      </c>
      <c r="C299" s="90" t="s">
        <v>231</v>
      </c>
      <c r="D299" s="90" t="s">
        <v>1802</v>
      </c>
      <c r="E299" s="90" t="s">
        <v>1426</v>
      </c>
      <c r="F299" s="87">
        <v>2.0</v>
      </c>
      <c r="G299" s="87">
        <v>0.0</v>
      </c>
      <c r="H299" s="87">
        <v>12498.0</v>
      </c>
      <c r="I299" s="87">
        <v>0.0</v>
      </c>
      <c r="J299" s="87">
        <v>113.7317</v>
      </c>
      <c r="K299" s="87">
        <v>124.8642</v>
      </c>
      <c r="L299" s="87">
        <v>136.0064</v>
      </c>
      <c r="M299" s="87">
        <v>105.5044</v>
      </c>
      <c r="N299" s="87">
        <v>0.844954</v>
      </c>
      <c r="O299" s="87">
        <v>19.35974</v>
      </c>
      <c r="P299" s="87">
        <v>19.35974</v>
      </c>
      <c r="Q299" s="87">
        <v>19.35974</v>
      </c>
      <c r="R299" s="87">
        <v>105.5044</v>
      </c>
      <c r="S299" s="87">
        <v>105.5044</v>
      </c>
      <c r="T299" s="87">
        <v>19.35974</v>
      </c>
      <c r="U299" s="87">
        <v>19.35974</v>
      </c>
      <c r="V299" s="87">
        <v>19.35974</v>
      </c>
      <c r="W299" s="87">
        <v>105.5044</v>
      </c>
      <c r="X299" s="87">
        <v>105.5044</v>
      </c>
      <c r="Y299" s="87">
        <v>62.43209</v>
      </c>
      <c r="Z299" s="88" t="s">
        <v>1396</v>
      </c>
    </row>
    <row r="300" hidden="1">
      <c r="A300" s="90" t="s">
        <v>1789</v>
      </c>
      <c r="B300" s="90" t="s">
        <v>1803</v>
      </c>
      <c r="C300" s="90" t="s">
        <v>231</v>
      </c>
      <c r="D300" s="90" t="s">
        <v>1802</v>
      </c>
      <c r="E300" s="86">
        <v>46310.0</v>
      </c>
      <c r="F300" s="87">
        <v>8.0</v>
      </c>
      <c r="G300" s="87">
        <v>0.0</v>
      </c>
      <c r="H300" s="87">
        <v>33998.0</v>
      </c>
      <c r="I300" s="87">
        <v>0.0</v>
      </c>
      <c r="J300" s="87">
        <v>500.2612</v>
      </c>
      <c r="K300" s="87">
        <v>513.7204</v>
      </c>
      <c r="L300" s="87">
        <v>531.6796</v>
      </c>
      <c r="M300" s="87">
        <v>286.0562</v>
      </c>
      <c r="N300" s="87">
        <v>0.556833</v>
      </c>
      <c r="O300" s="87">
        <v>13.14531</v>
      </c>
      <c r="P300" s="87">
        <v>32.82643</v>
      </c>
      <c r="Q300" s="87">
        <v>36.46377</v>
      </c>
      <c r="R300" s="87">
        <v>43.8738</v>
      </c>
      <c r="S300" s="87">
        <v>101.3548</v>
      </c>
      <c r="T300" s="87">
        <v>13.14531</v>
      </c>
      <c r="U300" s="87">
        <v>32.82643</v>
      </c>
      <c r="V300" s="87">
        <v>36.46377</v>
      </c>
      <c r="W300" s="87">
        <v>43.8738</v>
      </c>
      <c r="X300" s="87">
        <v>101.3548</v>
      </c>
      <c r="Y300" s="87">
        <v>73.38862</v>
      </c>
      <c r="Z300" s="88" t="s">
        <v>1396</v>
      </c>
    </row>
    <row r="301" hidden="1">
      <c r="A301" s="90" t="s">
        <v>1791</v>
      </c>
      <c r="B301" s="90" t="s">
        <v>1804</v>
      </c>
      <c r="C301" s="90" t="s">
        <v>231</v>
      </c>
      <c r="D301" s="90" t="s">
        <v>1802</v>
      </c>
      <c r="E301" s="90" t="s">
        <v>1413</v>
      </c>
      <c r="F301" s="87">
        <v>0.0</v>
      </c>
      <c r="G301" s="87">
        <v>0.0</v>
      </c>
      <c r="H301" s="87">
        <v>0.0</v>
      </c>
      <c r="I301" s="87">
        <v>0.0</v>
      </c>
      <c r="J301" s="87">
        <v>0.0</v>
      </c>
      <c r="K301" s="87">
        <v>0.0</v>
      </c>
      <c r="L301" s="87">
        <v>0.0</v>
      </c>
      <c r="M301" s="87">
        <v>0.0</v>
      </c>
      <c r="N301" s="91"/>
      <c r="O301" s="87">
        <v>0.0</v>
      </c>
      <c r="P301" s="87">
        <v>0.0</v>
      </c>
      <c r="Q301" s="87">
        <v>0.0</v>
      </c>
      <c r="R301" s="87">
        <v>0.0</v>
      </c>
      <c r="S301" s="87">
        <v>0.0</v>
      </c>
      <c r="T301" s="91"/>
      <c r="U301" s="91"/>
      <c r="V301" s="91"/>
      <c r="W301" s="91"/>
      <c r="X301" s="91"/>
      <c r="Y301" s="87">
        <v>0.0</v>
      </c>
      <c r="Z301" s="88" t="s">
        <v>1396</v>
      </c>
    </row>
    <row r="302" hidden="1">
      <c r="A302" s="90" t="s">
        <v>1793</v>
      </c>
      <c r="B302" s="90" t="s">
        <v>1805</v>
      </c>
      <c r="C302" s="90" t="s">
        <v>231</v>
      </c>
      <c r="D302" s="90" t="s">
        <v>1802</v>
      </c>
      <c r="E302" s="90" t="s">
        <v>1398</v>
      </c>
      <c r="F302" s="87">
        <v>6.0</v>
      </c>
      <c r="G302" s="87">
        <v>0.0</v>
      </c>
      <c r="H302" s="87">
        <v>8053.0</v>
      </c>
      <c r="I302" s="87">
        <v>0.0</v>
      </c>
      <c r="J302" s="87">
        <v>152.9818</v>
      </c>
      <c r="K302" s="87">
        <v>134.1974</v>
      </c>
      <c r="L302" s="87">
        <v>124.0196</v>
      </c>
      <c r="M302" s="87">
        <v>87.34642</v>
      </c>
      <c r="N302" s="87">
        <v>0.65088</v>
      </c>
      <c r="O302" s="87">
        <v>0.041667</v>
      </c>
      <c r="P302" s="87">
        <v>0.5</v>
      </c>
      <c r="Q302" s="87">
        <v>1.609195</v>
      </c>
      <c r="R302" s="87">
        <v>17.86919</v>
      </c>
      <c r="S302" s="87">
        <v>26.83091</v>
      </c>
      <c r="T302" s="87">
        <v>0.041667</v>
      </c>
      <c r="U302" s="87">
        <v>0.5</v>
      </c>
      <c r="V302" s="87">
        <v>1.609195</v>
      </c>
      <c r="W302" s="87">
        <v>17.86919</v>
      </c>
      <c r="X302" s="87">
        <v>26.83091</v>
      </c>
      <c r="Y302" s="87">
        <v>19.17105</v>
      </c>
      <c r="Z302" s="88" t="s">
        <v>1396</v>
      </c>
    </row>
    <row r="303" hidden="1">
      <c r="A303" s="90" t="s">
        <v>1795</v>
      </c>
      <c r="B303" s="90" t="s">
        <v>1806</v>
      </c>
      <c r="C303" s="90" t="s">
        <v>231</v>
      </c>
      <c r="D303" s="90" t="s">
        <v>1802</v>
      </c>
      <c r="E303" s="90" t="s">
        <v>1400</v>
      </c>
      <c r="F303" s="87">
        <v>8.0</v>
      </c>
      <c r="G303" s="87">
        <v>3.0</v>
      </c>
      <c r="H303" s="87">
        <v>2991.0</v>
      </c>
      <c r="I303" s="87">
        <v>680.0</v>
      </c>
      <c r="J303" s="87">
        <v>26.44132</v>
      </c>
      <c r="K303" s="87">
        <v>26.59405</v>
      </c>
      <c r="L303" s="87">
        <v>28.63066</v>
      </c>
      <c r="M303" s="87">
        <v>13.80882</v>
      </c>
      <c r="N303" s="87">
        <v>0.519245</v>
      </c>
      <c r="O303" s="87">
        <v>0.0</v>
      </c>
      <c r="P303" s="87">
        <v>0.0</v>
      </c>
      <c r="Q303" s="87">
        <v>0.0</v>
      </c>
      <c r="R303" s="87">
        <v>12.78524</v>
      </c>
      <c r="S303" s="87">
        <v>12.78524</v>
      </c>
      <c r="T303" s="87">
        <v>12.78524</v>
      </c>
      <c r="U303" s="87">
        <v>12.78524</v>
      </c>
      <c r="V303" s="87">
        <v>12.78524</v>
      </c>
      <c r="W303" s="87">
        <v>13.80882</v>
      </c>
      <c r="X303" s="87">
        <v>13.80882</v>
      </c>
      <c r="Y303" s="87">
        <v>6.648514</v>
      </c>
      <c r="Z303" s="88" t="s">
        <v>1396</v>
      </c>
    </row>
    <row r="304" hidden="1">
      <c r="A304" s="90" t="s">
        <v>1797</v>
      </c>
      <c r="B304" s="90" t="s">
        <v>1807</v>
      </c>
      <c r="C304" s="90" t="s">
        <v>231</v>
      </c>
      <c r="D304" s="90" t="s">
        <v>1802</v>
      </c>
      <c r="E304" s="89">
        <v>46300.0</v>
      </c>
      <c r="F304" s="87">
        <v>3.0</v>
      </c>
      <c r="G304" s="87">
        <v>0.0</v>
      </c>
      <c r="H304" s="87">
        <v>4988.0</v>
      </c>
      <c r="I304" s="87">
        <v>0.0</v>
      </c>
      <c r="J304" s="87">
        <v>122.1904</v>
      </c>
      <c r="K304" s="87">
        <v>104.7978</v>
      </c>
      <c r="L304" s="87">
        <v>97.39757</v>
      </c>
      <c r="M304" s="87">
        <v>62.02672</v>
      </c>
      <c r="N304" s="87">
        <v>0.59187</v>
      </c>
      <c r="O304" s="87">
        <v>13.47494</v>
      </c>
      <c r="P304" s="87">
        <v>13.47494</v>
      </c>
      <c r="Q304" s="87">
        <v>13.47494</v>
      </c>
      <c r="R304" s="87">
        <v>29.29615</v>
      </c>
      <c r="S304" s="87">
        <v>62.02672</v>
      </c>
      <c r="T304" s="87">
        <v>13.47494</v>
      </c>
      <c r="U304" s="87">
        <v>13.47494</v>
      </c>
      <c r="V304" s="87">
        <v>13.47494</v>
      </c>
      <c r="W304" s="87">
        <v>29.29615</v>
      </c>
      <c r="X304" s="87">
        <v>62.02672</v>
      </c>
      <c r="Y304" s="87">
        <v>34.9326</v>
      </c>
      <c r="Z304" s="88" t="s">
        <v>1396</v>
      </c>
    </row>
    <row r="305" hidden="1">
      <c r="A305" s="90" t="s">
        <v>1799</v>
      </c>
      <c r="B305" s="90" t="s">
        <v>1808</v>
      </c>
      <c r="C305" s="90" t="s">
        <v>231</v>
      </c>
      <c r="D305" s="90" t="s">
        <v>1802</v>
      </c>
      <c r="E305" s="90" t="s">
        <v>1403</v>
      </c>
      <c r="F305" s="87">
        <v>4.0</v>
      </c>
      <c r="G305" s="87">
        <v>4.0</v>
      </c>
      <c r="H305" s="87">
        <v>121.0</v>
      </c>
      <c r="I305" s="87">
        <v>121.0</v>
      </c>
      <c r="J305" s="87">
        <v>0.0</v>
      </c>
      <c r="K305" s="87">
        <v>0.0</v>
      </c>
      <c r="L305" s="87">
        <v>0.0</v>
      </c>
      <c r="M305" s="87">
        <v>0.0</v>
      </c>
      <c r="N305" s="91"/>
      <c r="O305" s="87">
        <v>0.0</v>
      </c>
      <c r="P305" s="87">
        <v>0.0</v>
      </c>
      <c r="Q305" s="87">
        <v>0.0</v>
      </c>
      <c r="R305" s="87">
        <v>0.0</v>
      </c>
      <c r="S305" s="87">
        <v>0.0</v>
      </c>
      <c r="T305" s="91"/>
      <c r="U305" s="91"/>
      <c r="V305" s="91"/>
      <c r="W305" s="91"/>
      <c r="X305" s="91"/>
      <c r="Y305" s="87">
        <v>0.0</v>
      </c>
      <c r="Z305" s="88" t="s">
        <v>1396</v>
      </c>
    </row>
    <row r="306" hidden="1">
      <c r="A306" s="90" t="s">
        <v>1787</v>
      </c>
      <c r="B306" s="90" t="s">
        <v>1809</v>
      </c>
      <c r="C306" s="90" t="s">
        <v>231</v>
      </c>
      <c r="D306" s="90" t="s">
        <v>239</v>
      </c>
      <c r="E306" s="90" t="s">
        <v>1426</v>
      </c>
      <c r="F306" s="87">
        <v>4.0</v>
      </c>
      <c r="G306" s="87">
        <v>0.0</v>
      </c>
      <c r="H306" s="87">
        <v>1022.0</v>
      </c>
      <c r="I306" s="87">
        <v>0.0</v>
      </c>
      <c r="J306" s="87">
        <v>142.912</v>
      </c>
      <c r="K306" s="87">
        <v>154.4533</v>
      </c>
      <c r="L306" s="87">
        <v>163.1954</v>
      </c>
      <c r="M306" s="87">
        <v>120.267</v>
      </c>
      <c r="N306" s="87">
        <v>0.778662</v>
      </c>
      <c r="O306" s="87">
        <v>1.99494</v>
      </c>
      <c r="P306" s="87">
        <v>1.99494</v>
      </c>
      <c r="Q306" s="87">
        <v>13.8789</v>
      </c>
      <c r="R306" s="87">
        <v>18.31248</v>
      </c>
      <c r="S306" s="87">
        <v>18.31248</v>
      </c>
      <c r="T306" s="87">
        <v>1.99494</v>
      </c>
      <c r="U306" s="87">
        <v>1.99494</v>
      </c>
      <c r="V306" s="87">
        <v>13.8789</v>
      </c>
      <c r="W306" s="87">
        <v>18.31248</v>
      </c>
      <c r="X306" s="87">
        <v>18.31248</v>
      </c>
      <c r="Y306" s="87">
        <v>38.61333</v>
      </c>
      <c r="Z306" s="88" t="s">
        <v>1396</v>
      </c>
    </row>
    <row r="307" hidden="1">
      <c r="A307" s="90" t="s">
        <v>1789</v>
      </c>
      <c r="B307" s="90" t="s">
        <v>1810</v>
      </c>
      <c r="C307" s="90" t="s">
        <v>231</v>
      </c>
      <c r="D307" s="90" t="s">
        <v>239</v>
      </c>
      <c r="E307" s="89">
        <v>46310.0</v>
      </c>
      <c r="F307" s="87">
        <v>4.0</v>
      </c>
      <c r="G307" s="87">
        <v>0.0</v>
      </c>
      <c r="H307" s="87">
        <v>9481.0</v>
      </c>
      <c r="I307" s="87">
        <v>0.0</v>
      </c>
      <c r="J307" s="87">
        <v>213.3774</v>
      </c>
      <c r="K307" s="87">
        <v>219.092</v>
      </c>
      <c r="L307" s="87">
        <v>209.2296</v>
      </c>
      <c r="M307" s="87">
        <v>86.3516</v>
      </c>
      <c r="N307" s="87">
        <v>0.394134</v>
      </c>
      <c r="O307" s="87">
        <v>0.111111</v>
      </c>
      <c r="P307" s="87">
        <v>0.111111</v>
      </c>
      <c r="Q307" s="87">
        <v>63.41708</v>
      </c>
      <c r="R307" s="87">
        <v>69.21224</v>
      </c>
      <c r="S307" s="87">
        <v>69.21224</v>
      </c>
      <c r="T307" s="87">
        <v>0.111111</v>
      </c>
      <c r="U307" s="87">
        <v>0.111111</v>
      </c>
      <c r="V307" s="87">
        <v>63.41708</v>
      </c>
      <c r="W307" s="87">
        <v>69.21224</v>
      </c>
      <c r="X307" s="87">
        <v>69.21224</v>
      </c>
      <c r="Y307" s="87">
        <v>54.77301</v>
      </c>
      <c r="Z307" s="88" t="s">
        <v>1396</v>
      </c>
    </row>
    <row r="308" hidden="1">
      <c r="A308" s="90" t="s">
        <v>1791</v>
      </c>
      <c r="B308" s="90" t="s">
        <v>1811</v>
      </c>
      <c r="C308" s="90" t="s">
        <v>231</v>
      </c>
      <c r="D308" s="90" t="s">
        <v>239</v>
      </c>
      <c r="E308" s="90" t="s">
        <v>1413</v>
      </c>
      <c r="F308" s="87">
        <v>3.0</v>
      </c>
      <c r="G308" s="87">
        <v>1.0</v>
      </c>
      <c r="H308" s="87">
        <v>2857.0</v>
      </c>
      <c r="I308" s="87">
        <v>152.0</v>
      </c>
      <c r="J308" s="87">
        <v>74.21702</v>
      </c>
      <c r="K308" s="87">
        <v>68.89081</v>
      </c>
      <c r="L308" s="87">
        <v>67.92834</v>
      </c>
      <c r="M308" s="87">
        <v>42.24228</v>
      </c>
      <c r="N308" s="87">
        <v>0.613177</v>
      </c>
      <c r="O308" s="87">
        <v>0.0</v>
      </c>
      <c r="P308" s="87">
        <v>0.0</v>
      </c>
      <c r="Q308" s="87">
        <v>0.428571</v>
      </c>
      <c r="R308" s="87">
        <v>26.21996</v>
      </c>
      <c r="S308" s="87">
        <v>26.21996</v>
      </c>
      <c r="T308" s="87">
        <v>0.428571</v>
      </c>
      <c r="U308" s="87">
        <v>0.428571</v>
      </c>
      <c r="V308" s="87">
        <v>0.428571</v>
      </c>
      <c r="W308" s="87">
        <v>26.21996</v>
      </c>
      <c r="X308" s="87">
        <v>42.24228</v>
      </c>
      <c r="Y308" s="87">
        <v>17.2227</v>
      </c>
      <c r="Z308" s="88" t="s">
        <v>1396</v>
      </c>
    </row>
    <row r="309" hidden="1">
      <c r="A309" s="90" t="s">
        <v>1793</v>
      </c>
      <c r="B309" s="90" t="s">
        <v>1812</v>
      </c>
      <c r="C309" s="90" t="s">
        <v>231</v>
      </c>
      <c r="D309" s="90" t="s">
        <v>239</v>
      </c>
      <c r="E309" s="90" t="s">
        <v>1398</v>
      </c>
      <c r="F309" s="87">
        <v>2.0</v>
      </c>
      <c r="G309" s="87">
        <v>1.0</v>
      </c>
      <c r="H309" s="87">
        <v>682.0</v>
      </c>
      <c r="I309" s="87">
        <v>186.0</v>
      </c>
      <c r="J309" s="87">
        <v>10.36573</v>
      </c>
      <c r="K309" s="87">
        <v>10.16649</v>
      </c>
      <c r="L309" s="87">
        <v>9.708917</v>
      </c>
      <c r="M309" s="87">
        <v>10.16649</v>
      </c>
      <c r="N309" s="87">
        <v>1.0</v>
      </c>
      <c r="O309" s="87">
        <v>0.0</v>
      </c>
      <c r="P309" s="87">
        <v>0.0</v>
      </c>
      <c r="Q309" s="87">
        <v>0.0</v>
      </c>
      <c r="R309" s="87">
        <v>10.16649</v>
      </c>
      <c r="S309" s="87">
        <v>10.16649</v>
      </c>
      <c r="T309" s="87">
        <v>10.16649</v>
      </c>
      <c r="U309" s="87">
        <v>10.16649</v>
      </c>
      <c r="V309" s="87">
        <v>10.16649</v>
      </c>
      <c r="W309" s="87">
        <v>10.16649</v>
      </c>
      <c r="X309" s="87">
        <v>10.16649</v>
      </c>
      <c r="Y309" s="87">
        <v>5.083247</v>
      </c>
      <c r="Z309" s="88" t="s">
        <v>1396</v>
      </c>
    </row>
    <row r="310" hidden="1">
      <c r="A310" s="90" t="s">
        <v>1795</v>
      </c>
      <c r="B310" s="90" t="s">
        <v>1813</v>
      </c>
      <c r="C310" s="90" t="s">
        <v>231</v>
      </c>
      <c r="D310" s="90" t="s">
        <v>239</v>
      </c>
      <c r="E310" s="90" t="s">
        <v>1400</v>
      </c>
      <c r="F310" s="87">
        <v>5.0</v>
      </c>
      <c r="G310" s="87">
        <v>1.0</v>
      </c>
      <c r="H310" s="87">
        <v>911.0</v>
      </c>
      <c r="I310" s="87">
        <v>13.0</v>
      </c>
      <c r="J310" s="87">
        <v>10.05322</v>
      </c>
      <c r="K310" s="87">
        <v>9.853556</v>
      </c>
      <c r="L310" s="87">
        <v>8.945388</v>
      </c>
      <c r="M310" s="87">
        <v>9.853556</v>
      </c>
      <c r="N310" s="87">
        <v>1.0</v>
      </c>
      <c r="O310" s="87">
        <v>9.853556</v>
      </c>
      <c r="P310" s="87">
        <v>9.853556</v>
      </c>
      <c r="Q310" s="87">
        <v>9.853556</v>
      </c>
      <c r="R310" s="87">
        <v>9.853556</v>
      </c>
      <c r="S310" s="87">
        <v>9.853556</v>
      </c>
      <c r="T310" s="87">
        <v>9.853556</v>
      </c>
      <c r="U310" s="87">
        <v>9.853556</v>
      </c>
      <c r="V310" s="87">
        <v>9.853556</v>
      </c>
      <c r="W310" s="87">
        <v>9.853556</v>
      </c>
      <c r="X310" s="87">
        <v>9.853556</v>
      </c>
      <c r="Y310" s="87">
        <v>9.853556</v>
      </c>
      <c r="Z310" s="88" t="s">
        <v>1396</v>
      </c>
    </row>
    <row r="311" hidden="1">
      <c r="A311" s="90" t="s">
        <v>1797</v>
      </c>
      <c r="B311" s="90" t="s">
        <v>1814</v>
      </c>
      <c r="C311" s="90" t="s">
        <v>231</v>
      </c>
      <c r="D311" s="90" t="s">
        <v>239</v>
      </c>
      <c r="E311" s="89">
        <v>46300.0</v>
      </c>
      <c r="F311" s="87">
        <v>8.0</v>
      </c>
      <c r="G311" s="87">
        <v>1.0</v>
      </c>
      <c r="H311" s="87">
        <v>19181.0</v>
      </c>
      <c r="I311" s="87">
        <v>50.0</v>
      </c>
      <c r="J311" s="87">
        <v>448.7702</v>
      </c>
      <c r="K311" s="87">
        <v>491.3053</v>
      </c>
      <c r="L311" s="87">
        <v>494.7943</v>
      </c>
      <c r="M311" s="87">
        <v>362.2422</v>
      </c>
      <c r="N311" s="87">
        <v>0.737306</v>
      </c>
      <c r="O311" s="87">
        <v>3.950119</v>
      </c>
      <c r="P311" s="87">
        <v>19.69388</v>
      </c>
      <c r="Q311" s="87">
        <v>19.69388</v>
      </c>
      <c r="R311" s="87">
        <v>71.56143</v>
      </c>
      <c r="S311" s="87">
        <v>162.0193</v>
      </c>
      <c r="T311" s="87">
        <v>3.950119</v>
      </c>
      <c r="U311" s="87">
        <v>19.69388</v>
      </c>
      <c r="V311" s="87">
        <v>19.69388</v>
      </c>
      <c r="W311" s="87">
        <v>71.56143</v>
      </c>
      <c r="X311" s="87">
        <v>162.0193</v>
      </c>
      <c r="Y311" s="87">
        <v>81.88421</v>
      </c>
      <c r="Z311" s="88" t="s">
        <v>1396</v>
      </c>
    </row>
    <row r="312" hidden="1">
      <c r="A312" s="90" t="s">
        <v>1799</v>
      </c>
      <c r="B312" s="90" t="s">
        <v>1815</v>
      </c>
      <c r="C312" s="90" t="s">
        <v>231</v>
      </c>
      <c r="D312" s="90" t="s">
        <v>239</v>
      </c>
      <c r="E312" s="90" t="s">
        <v>1403</v>
      </c>
      <c r="F312" s="87">
        <v>5.0</v>
      </c>
      <c r="G312" s="87">
        <v>5.0</v>
      </c>
      <c r="H312" s="87">
        <v>1186.0</v>
      </c>
      <c r="I312" s="87">
        <v>1186.0</v>
      </c>
      <c r="J312" s="87">
        <v>0.0</v>
      </c>
      <c r="K312" s="87">
        <v>0.0</v>
      </c>
      <c r="L312" s="87">
        <v>0.0</v>
      </c>
      <c r="M312" s="87">
        <v>0.0</v>
      </c>
      <c r="N312" s="91"/>
      <c r="O312" s="87">
        <v>0.0</v>
      </c>
      <c r="P312" s="87">
        <v>0.0</v>
      </c>
      <c r="Q312" s="87">
        <v>0.0</v>
      </c>
      <c r="R312" s="87">
        <v>0.0</v>
      </c>
      <c r="S312" s="87">
        <v>0.0</v>
      </c>
      <c r="T312" s="91"/>
      <c r="U312" s="91"/>
      <c r="V312" s="91"/>
      <c r="W312" s="91"/>
      <c r="X312" s="91"/>
      <c r="Y312" s="87">
        <v>0.0</v>
      </c>
      <c r="Z312" s="88" t="s">
        <v>1396</v>
      </c>
    </row>
    <row r="313" hidden="1">
      <c r="A313" s="90" t="s">
        <v>1791</v>
      </c>
      <c r="B313" s="90" t="s">
        <v>1817</v>
      </c>
      <c r="C313" s="90" t="s">
        <v>231</v>
      </c>
      <c r="D313" s="90" t="s">
        <v>243</v>
      </c>
      <c r="E313" s="90" t="s">
        <v>1413</v>
      </c>
      <c r="F313" s="87">
        <v>4.0</v>
      </c>
      <c r="G313" s="87">
        <v>0.0</v>
      </c>
      <c r="H313" s="87">
        <v>3250.0</v>
      </c>
      <c r="I313" s="87">
        <v>0.0</v>
      </c>
      <c r="J313" s="87">
        <v>56.06535</v>
      </c>
      <c r="K313" s="87">
        <v>52.60756</v>
      </c>
      <c r="L313" s="87">
        <v>51.05513</v>
      </c>
      <c r="M313" s="87">
        <v>21.15369</v>
      </c>
      <c r="N313" s="87">
        <v>0.402103</v>
      </c>
      <c r="O313" s="87">
        <v>7.874087</v>
      </c>
      <c r="P313" s="87">
        <v>7.874087</v>
      </c>
      <c r="Q313" s="87">
        <v>8.91524</v>
      </c>
      <c r="R313" s="87">
        <v>14.66455</v>
      </c>
      <c r="S313" s="87">
        <v>14.66455</v>
      </c>
      <c r="T313" s="87">
        <v>7.874087</v>
      </c>
      <c r="U313" s="87">
        <v>7.874087</v>
      </c>
      <c r="V313" s="87">
        <v>8.91524</v>
      </c>
      <c r="W313" s="87">
        <v>14.66455</v>
      </c>
      <c r="X313" s="87">
        <v>14.66455</v>
      </c>
      <c r="Y313" s="87">
        <v>13.15189</v>
      </c>
      <c r="Z313" s="88" t="s">
        <v>1396</v>
      </c>
    </row>
    <row r="314" hidden="1">
      <c r="A314" s="90" t="s">
        <v>1793</v>
      </c>
      <c r="B314" s="90" t="s">
        <v>1818</v>
      </c>
      <c r="C314" s="90" t="s">
        <v>231</v>
      </c>
      <c r="D314" s="90" t="s">
        <v>243</v>
      </c>
      <c r="E314" s="90" t="s">
        <v>1398</v>
      </c>
      <c r="F314" s="87">
        <v>2.0</v>
      </c>
      <c r="G314" s="87">
        <v>0.0</v>
      </c>
      <c r="H314" s="87">
        <v>544.0</v>
      </c>
      <c r="I314" s="87">
        <v>0.0</v>
      </c>
      <c r="J314" s="87">
        <v>4.266373</v>
      </c>
      <c r="K314" s="87">
        <v>5.070267</v>
      </c>
      <c r="L314" s="87">
        <v>5.573373</v>
      </c>
      <c r="M314" s="87">
        <v>5.070267</v>
      </c>
      <c r="N314" s="87">
        <v>1.0</v>
      </c>
      <c r="O314" s="87">
        <v>5.070267</v>
      </c>
      <c r="P314" s="87">
        <v>5.070267</v>
      </c>
      <c r="Q314" s="87">
        <v>5.070267</v>
      </c>
      <c r="R314" s="87">
        <v>5.070267</v>
      </c>
      <c r="S314" s="87">
        <v>5.070267</v>
      </c>
      <c r="T314" s="87">
        <v>5.070267</v>
      </c>
      <c r="U314" s="87">
        <v>5.070267</v>
      </c>
      <c r="V314" s="87">
        <v>5.070267</v>
      </c>
      <c r="W314" s="87">
        <v>5.070267</v>
      </c>
      <c r="X314" s="87">
        <v>5.070267</v>
      </c>
      <c r="Y314" s="87">
        <v>5.070267</v>
      </c>
      <c r="Z314" s="88" t="s">
        <v>1396</v>
      </c>
    </row>
    <row r="315" hidden="1">
      <c r="A315" s="90" t="s">
        <v>1797</v>
      </c>
      <c r="B315" s="90" t="s">
        <v>1820</v>
      </c>
      <c r="C315" s="90" t="s">
        <v>231</v>
      </c>
      <c r="D315" s="90" t="s">
        <v>243</v>
      </c>
      <c r="E315" s="86">
        <v>46300.0</v>
      </c>
      <c r="F315" s="87">
        <v>5.0</v>
      </c>
      <c r="G315" s="87">
        <v>0.0</v>
      </c>
      <c r="H315" s="87">
        <v>5509.0</v>
      </c>
      <c r="I315" s="87">
        <v>0.0</v>
      </c>
      <c r="J315" s="87">
        <v>146.172</v>
      </c>
      <c r="K315" s="87">
        <v>146.4951</v>
      </c>
      <c r="L315" s="87">
        <v>147.3534</v>
      </c>
      <c r="M315" s="87">
        <v>94.17358</v>
      </c>
      <c r="N315" s="87">
        <v>0.642845</v>
      </c>
      <c r="O315" s="87">
        <v>0.0</v>
      </c>
      <c r="P315" s="87">
        <v>5.815498</v>
      </c>
      <c r="Q315" s="87">
        <v>5.815498</v>
      </c>
      <c r="R315" s="87">
        <v>38.09744</v>
      </c>
      <c r="S315" s="87">
        <v>43.72703</v>
      </c>
      <c r="T315" s="87">
        <v>5.815498</v>
      </c>
      <c r="U315" s="87">
        <v>8.408535</v>
      </c>
      <c r="V315" s="87">
        <v>8.408535</v>
      </c>
      <c r="W315" s="87">
        <v>38.09744</v>
      </c>
      <c r="X315" s="87">
        <v>43.72703</v>
      </c>
      <c r="Y315" s="87">
        <v>24.41584</v>
      </c>
      <c r="Z315" s="88" t="s">
        <v>1396</v>
      </c>
    </row>
    <row r="316" hidden="1">
      <c r="A316" s="90" t="s">
        <v>1799</v>
      </c>
      <c r="B316" s="90" t="s">
        <v>1821</v>
      </c>
      <c r="C316" s="90" t="s">
        <v>231</v>
      </c>
      <c r="D316" s="90" t="s">
        <v>243</v>
      </c>
      <c r="E316" s="90" t="s">
        <v>1403</v>
      </c>
      <c r="F316" s="87">
        <v>1.0</v>
      </c>
      <c r="G316" s="87">
        <v>1.0</v>
      </c>
      <c r="H316" s="87">
        <v>173.0</v>
      </c>
      <c r="I316" s="87">
        <v>173.0</v>
      </c>
      <c r="J316" s="87">
        <v>0.0</v>
      </c>
      <c r="K316" s="87">
        <v>0.0</v>
      </c>
      <c r="L316" s="87">
        <v>0.0</v>
      </c>
      <c r="M316" s="87">
        <v>0.0</v>
      </c>
      <c r="N316" s="91"/>
      <c r="O316" s="87">
        <v>0.0</v>
      </c>
      <c r="P316" s="87">
        <v>0.0</v>
      </c>
      <c r="Q316" s="87">
        <v>0.0</v>
      </c>
      <c r="R316" s="87">
        <v>0.0</v>
      </c>
      <c r="S316" s="87">
        <v>0.0</v>
      </c>
      <c r="T316" s="91"/>
      <c r="U316" s="91"/>
      <c r="V316" s="91"/>
      <c r="W316" s="91"/>
      <c r="X316" s="91"/>
      <c r="Y316" s="87">
        <v>0.0</v>
      </c>
      <c r="Z316" s="88" t="s">
        <v>1396</v>
      </c>
    </row>
    <row r="317" hidden="1">
      <c r="A317" s="90" t="s">
        <v>1799</v>
      </c>
      <c r="B317" s="90" t="s">
        <v>1822</v>
      </c>
      <c r="C317" s="90" t="s">
        <v>231</v>
      </c>
      <c r="D317" s="90" t="s">
        <v>1823</v>
      </c>
      <c r="E317" s="90" t="s">
        <v>1403</v>
      </c>
      <c r="F317" s="87">
        <v>1.0</v>
      </c>
      <c r="G317" s="87">
        <v>1.0</v>
      </c>
      <c r="H317" s="87">
        <v>1.0</v>
      </c>
      <c r="I317" s="87">
        <v>1.0</v>
      </c>
      <c r="J317" s="87">
        <v>0.0</v>
      </c>
      <c r="K317" s="87">
        <v>0.0</v>
      </c>
      <c r="L317" s="87">
        <v>0.0</v>
      </c>
      <c r="M317" s="87">
        <v>0.0</v>
      </c>
      <c r="N317" s="91"/>
      <c r="O317" s="87">
        <v>0.0</v>
      </c>
      <c r="P317" s="87">
        <v>0.0</v>
      </c>
      <c r="Q317" s="87">
        <v>0.0</v>
      </c>
      <c r="R317" s="87">
        <v>0.0</v>
      </c>
      <c r="S317" s="87">
        <v>0.0</v>
      </c>
      <c r="T317" s="91"/>
      <c r="U317" s="91"/>
      <c r="V317" s="91"/>
      <c r="W317" s="91"/>
      <c r="X317" s="91"/>
      <c r="Y317" s="87">
        <v>0.0</v>
      </c>
      <c r="Z317" s="88" t="s">
        <v>1396</v>
      </c>
    </row>
    <row r="318" hidden="1">
      <c r="A318" s="90" t="s">
        <v>1789</v>
      </c>
      <c r="B318" s="90" t="s">
        <v>1824</v>
      </c>
      <c r="C318" s="90" t="s">
        <v>231</v>
      </c>
      <c r="D318" s="90" t="s">
        <v>1825</v>
      </c>
      <c r="E318" s="86">
        <v>46310.0</v>
      </c>
      <c r="F318" s="87">
        <v>17.0</v>
      </c>
      <c r="G318" s="87">
        <v>0.0</v>
      </c>
      <c r="H318" s="87">
        <v>41514.0</v>
      </c>
      <c r="I318" s="87">
        <v>0.0</v>
      </c>
      <c r="J318" s="87">
        <v>922.9814</v>
      </c>
      <c r="K318" s="87">
        <v>928.5481</v>
      </c>
      <c r="L318" s="87">
        <v>898.5918</v>
      </c>
      <c r="M318" s="87">
        <v>569.7369</v>
      </c>
      <c r="N318" s="87">
        <v>0.613578</v>
      </c>
      <c r="O318" s="87">
        <v>7.236529</v>
      </c>
      <c r="P318" s="87">
        <v>18.70375</v>
      </c>
      <c r="Q318" s="87">
        <v>19.49858</v>
      </c>
      <c r="R318" s="87">
        <v>26.36144</v>
      </c>
      <c r="S318" s="87">
        <v>60.16193</v>
      </c>
      <c r="T318" s="87">
        <v>7.236529</v>
      </c>
      <c r="U318" s="87">
        <v>18.70375</v>
      </c>
      <c r="V318" s="87">
        <v>19.49858</v>
      </c>
      <c r="W318" s="87">
        <v>26.36144</v>
      </c>
      <c r="X318" s="87">
        <v>60.16193</v>
      </c>
      <c r="Y318" s="87">
        <v>61.90321</v>
      </c>
      <c r="Z318" s="88" t="s">
        <v>1396</v>
      </c>
    </row>
    <row r="319" hidden="1">
      <c r="A319" s="90" t="s">
        <v>1791</v>
      </c>
      <c r="B319" s="90" t="s">
        <v>1826</v>
      </c>
      <c r="C319" s="90" t="s">
        <v>231</v>
      </c>
      <c r="D319" s="90" t="s">
        <v>1825</v>
      </c>
      <c r="E319" s="90" t="s">
        <v>1413</v>
      </c>
      <c r="F319" s="87">
        <v>6.0</v>
      </c>
      <c r="G319" s="87">
        <v>0.0</v>
      </c>
      <c r="H319" s="87">
        <v>5681.0</v>
      </c>
      <c r="I319" s="87">
        <v>0.0</v>
      </c>
      <c r="J319" s="87">
        <v>99.32824</v>
      </c>
      <c r="K319" s="87">
        <v>100.244</v>
      </c>
      <c r="L319" s="87">
        <v>102.28</v>
      </c>
      <c r="M319" s="87">
        <v>51.71466</v>
      </c>
      <c r="N319" s="87">
        <v>0.515888</v>
      </c>
      <c r="O319" s="87">
        <v>0.0</v>
      </c>
      <c r="P319" s="87">
        <v>0.0</v>
      </c>
      <c r="Q319" s="87">
        <v>6.942356</v>
      </c>
      <c r="R319" s="87">
        <v>14.70942</v>
      </c>
      <c r="S319" s="87">
        <v>19.54651</v>
      </c>
      <c r="T319" s="87">
        <v>6.942356</v>
      </c>
      <c r="U319" s="87">
        <v>7.331096</v>
      </c>
      <c r="V319" s="87">
        <v>7.331096</v>
      </c>
      <c r="W319" s="87">
        <v>19.54651</v>
      </c>
      <c r="X319" s="87">
        <v>19.67793</v>
      </c>
      <c r="Y319" s="87">
        <v>12.53051</v>
      </c>
      <c r="Z319" s="88" t="s">
        <v>1396</v>
      </c>
    </row>
    <row r="320" hidden="1">
      <c r="A320" s="90" t="s">
        <v>1793</v>
      </c>
      <c r="B320" s="90" t="s">
        <v>1827</v>
      </c>
      <c r="C320" s="90" t="s">
        <v>231</v>
      </c>
      <c r="D320" s="90" t="s">
        <v>1825</v>
      </c>
      <c r="E320" s="90" t="s">
        <v>1398</v>
      </c>
      <c r="F320" s="87">
        <v>3.0</v>
      </c>
      <c r="G320" s="87">
        <v>0.0</v>
      </c>
      <c r="H320" s="87">
        <v>712.0</v>
      </c>
      <c r="I320" s="87">
        <v>0.0</v>
      </c>
      <c r="J320" s="87">
        <v>12.45574</v>
      </c>
      <c r="K320" s="87">
        <v>17.02627</v>
      </c>
      <c r="L320" s="87">
        <v>16.10396</v>
      </c>
      <c r="M320" s="87">
        <v>12.75246</v>
      </c>
      <c r="N320" s="87">
        <v>0.748987</v>
      </c>
      <c r="O320" s="87">
        <v>0.0</v>
      </c>
      <c r="P320" s="87">
        <v>0.0</v>
      </c>
      <c r="Q320" s="87">
        <v>0.0</v>
      </c>
      <c r="R320" s="87">
        <v>4.27381</v>
      </c>
      <c r="S320" s="87">
        <v>4.27381</v>
      </c>
      <c r="T320" s="87">
        <v>4.27381</v>
      </c>
      <c r="U320" s="87">
        <v>4.27381</v>
      </c>
      <c r="V320" s="87">
        <v>4.27381</v>
      </c>
      <c r="W320" s="87">
        <v>12.75246</v>
      </c>
      <c r="X320" s="87">
        <v>12.75246</v>
      </c>
      <c r="Y320" s="87">
        <v>4.256567</v>
      </c>
      <c r="Z320" s="88" t="s">
        <v>1396</v>
      </c>
    </row>
    <row r="321" hidden="1">
      <c r="A321" s="90" t="s">
        <v>1795</v>
      </c>
      <c r="B321" s="90" t="s">
        <v>1828</v>
      </c>
      <c r="C321" s="90" t="s">
        <v>231</v>
      </c>
      <c r="D321" s="90" t="s">
        <v>1825</v>
      </c>
      <c r="E321" s="90" t="s">
        <v>1400</v>
      </c>
      <c r="F321" s="87">
        <v>6.0</v>
      </c>
      <c r="G321" s="87">
        <v>1.0</v>
      </c>
      <c r="H321" s="87">
        <v>4395.0</v>
      </c>
      <c r="I321" s="87">
        <v>2.0</v>
      </c>
      <c r="J321" s="87">
        <v>37.47012</v>
      </c>
      <c r="K321" s="87">
        <v>46.64915</v>
      </c>
      <c r="L321" s="87">
        <v>64.97756</v>
      </c>
      <c r="M321" s="87">
        <v>40.83334</v>
      </c>
      <c r="N321" s="87">
        <v>0.875329</v>
      </c>
      <c r="O321" s="87">
        <v>0.568966</v>
      </c>
      <c r="P321" s="87">
        <v>0.568966</v>
      </c>
      <c r="Q321" s="87">
        <v>2.348965</v>
      </c>
      <c r="R321" s="87">
        <v>2.897875</v>
      </c>
      <c r="S321" s="87">
        <v>2.897875</v>
      </c>
      <c r="T321" s="87">
        <v>0.568966</v>
      </c>
      <c r="U321" s="87">
        <v>0.568966</v>
      </c>
      <c r="V321" s="87">
        <v>2.348965</v>
      </c>
      <c r="W321" s="87">
        <v>2.897875</v>
      </c>
      <c r="X321" s="87">
        <v>2.897875</v>
      </c>
      <c r="Y321" s="87">
        <v>11.66229</v>
      </c>
      <c r="Z321" s="88" t="s">
        <v>1396</v>
      </c>
    </row>
    <row r="322" hidden="1">
      <c r="A322" s="90" t="s">
        <v>1799</v>
      </c>
      <c r="B322" s="90" t="s">
        <v>1830</v>
      </c>
      <c r="C322" s="90" t="s">
        <v>231</v>
      </c>
      <c r="D322" s="90" t="s">
        <v>1825</v>
      </c>
      <c r="E322" s="90" t="s">
        <v>1403</v>
      </c>
      <c r="F322" s="87">
        <v>5.0</v>
      </c>
      <c r="G322" s="87">
        <v>5.0</v>
      </c>
      <c r="H322" s="87">
        <v>155.0</v>
      </c>
      <c r="I322" s="87">
        <v>155.0</v>
      </c>
      <c r="J322" s="87">
        <v>0.0</v>
      </c>
      <c r="K322" s="87">
        <v>0.0</v>
      </c>
      <c r="L322" s="87">
        <v>0.0</v>
      </c>
      <c r="M322" s="87">
        <v>0.0</v>
      </c>
      <c r="N322" s="91"/>
      <c r="O322" s="87">
        <v>0.0</v>
      </c>
      <c r="P322" s="87">
        <v>0.0</v>
      </c>
      <c r="Q322" s="87">
        <v>0.0</v>
      </c>
      <c r="R322" s="87">
        <v>0.0</v>
      </c>
      <c r="S322" s="87">
        <v>0.0</v>
      </c>
      <c r="T322" s="91"/>
      <c r="U322" s="91"/>
      <c r="V322" s="91"/>
      <c r="W322" s="91"/>
      <c r="X322" s="91"/>
      <c r="Y322" s="87">
        <v>0.0</v>
      </c>
      <c r="Z322" s="88" t="s">
        <v>1396</v>
      </c>
    </row>
    <row r="323" hidden="1">
      <c r="A323" s="90" t="s">
        <v>1787</v>
      </c>
      <c r="B323" s="90" t="s">
        <v>1831</v>
      </c>
      <c r="C323" s="90" t="s">
        <v>231</v>
      </c>
      <c r="D323" s="90" t="s">
        <v>251</v>
      </c>
      <c r="E323" s="90" t="s">
        <v>1426</v>
      </c>
      <c r="F323" s="87">
        <v>8.0</v>
      </c>
      <c r="G323" s="87">
        <v>0.0</v>
      </c>
      <c r="H323" s="87">
        <v>10973.0</v>
      </c>
      <c r="I323" s="87">
        <v>0.0</v>
      </c>
      <c r="J323" s="87">
        <v>186.2622</v>
      </c>
      <c r="K323" s="87">
        <v>191.1895</v>
      </c>
      <c r="L323" s="87">
        <v>203.6433</v>
      </c>
      <c r="M323" s="87">
        <v>158.9567</v>
      </c>
      <c r="N323" s="87">
        <v>0.831409</v>
      </c>
      <c r="O323" s="87">
        <v>0.0</v>
      </c>
      <c r="P323" s="87">
        <v>0.0</v>
      </c>
      <c r="Q323" s="87">
        <v>0.0</v>
      </c>
      <c r="R323" s="87">
        <v>22.84126</v>
      </c>
      <c r="S323" s="87">
        <v>24.95165</v>
      </c>
      <c r="T323" s="87">
        <v>9.391576</v>
      </c>
      <c r="U323" s="87">
        <v>9.391576</v>
      </c>
      <c r="V323" s="87">
        <v>22.84126</v>
      </c>
      <c r="W323" s="87">
        <v>24.95165</v>
      </c>
      <c r="X323" s="87">
        <v>24.95165</v>
      </c>
      <c r="Y323" s="87">
        <v>31.86492</v>
      </c>
      <c r="Z323" s="88" t="s">
        <v>1396</v>
      </c>
    </row>
    <row r="324" hidden="1">
      <c r="A324" s="90" t="s">
        <v>1789</v>
      </c>
      <c r="B324" s="90" t="s">
        <v>1832</v>
      </c>
      <c r="C324" s="90" t="s">
        <v>231</v>
      </c>
      <c r="D324" s="90" t="s">
        <v>251</v>
      </c>
      <c r="E324" s="86">
        <v>46310.0</v>
      </c>
      <c r="F324" s="87">
        <v>44.0</v>
      </c>
      <c r="G324" s="87">
        <v>4.0</v>
      </c>
      <c r="H324" s="87">
        <v>71086.0</v>
      </c>
      <c r="I324" s="87">
        <v>274.0</v>
      </c>
      <c r="J324" s="87">
        <v>1128.329</v>
      </c>
      <c r="K324" s="87">
        <v>1115.487</v>
      </c>
      <c r="L324" s="87">
        <v>1076.22</v>
      </c>
      <c r="M324" s="87">
        <v>653.3531</v>
      </c>
      <c r="N324" s="87">
        <v>0.585711</v>
      </c>
      <c r="O324" s="87">
        <v>6.066147</v>
      </c>
      <c r="P324" s="87">
        <v>8.823386</v>
      </c>
      <c r="Q324" s="87">
        <v>10.3376</v>
      </c>
      <c r="R324" s="87">
        <v>22.35771</v>
      </c>
      <c r="S324" s="87">
        <v>35.01885</v>
      </c>
      <c r="T324" s="87">
        <v>6.21255</v>
      </c>
      <c r="U324" s="87">
        <v>9.651867</v>
      </c>
      <c r="V324" s="87">
        <v>12.14989</v>
      </c>
      <c r="W324" s="87">
        <v>23.47777</v>
      </c>
      <c r="X324" s="87">
        <v>35.01885</v>
      </c>
      <c r="Y324" s="87">
        <v>33.80264</v>
      </c>
      <c r="Z324" s="88" t="s">
        <v>1396</v>
      </c>
    </row>
    <row r="325" hidden="1">
      <c r="A325" s="90" t="s">
        <v>1791</v>
      </c>
      <c r="B325" s="90" t="s">
        <v>1833</v>
      </c>
      <c r="C325" s="90" t="s">
        <v>231</v>
      </c>
      <c r="D325" s="90" t="s">
        <v>251</v>
      </c>
      <c r="E325" s="90" t="s">
        <v>1413</v>
      </c>
      <c r="F325" s="87">
        <v>18.0</v>
      </c>
      <c r="G325" s="87">
        <v>0.0</v>
      </c>
      <c r="H325" s="87">
        <v>9888.0</v>
      </c>
      <c r="I325" s="87">
        <v>0.0</v>
      </c>
      <c r="J325" s="87">
        <v>150.3934</v>
      </c>
      <c r="K325" s="87">
        <v>147.6048</v>
      </c>
      <c r="L325" s="87">
        <v>147.6377</v>
      </c>
      <c r="M325" s="87">
        <v>57.13323</v>
      </c>
      <c r="N325" s="87">
        <v>0.387069</v>
      </c>
      <c r="O325" s="87">
        <v>3.267015</v>
      </c>
      <c r="P325" s="87">
        <v>3.408704</v>
      </c>
      <c r="Q325" s="87">
        <v>7.101724</v>
      </c>
      <c r="R325" s="87">
        <v>9.253656</v>
      </c>
      <c r="S325" s="87">
        <v>17.20859</v>
      </c>
      <c r="T325" s="87">
        <v>3.408704</v>
      </c>
      <c r="U325" s="87">
        <v>3.793055</v>
      </c>
      <c r="V325" s="87">
        <v>7.101724</v>
      </c>
      <c r="W325" s="87">
        <v>9.253656</v>
      </c>
      <c r="X325" s="87">
        <v>17.318</v>
      </c>
      <c r="Y325" s="87">
        <v>10.5432</v>
      </c>
      <c r="Z325" s="88" t="s">
        <v>1396</v>
      </c>
    </row>
    <row r="326" hidden="1">
      <c r="A326" s="90" t="s">
        <v>1793</v>
      </c>
      <c r="B326" s="90" t="s">
        <v>1834</v>
      </c>
      <c r="C326" s="90" t="s">
        <v>231</v>
      </c>
      <c r="D326" s="90" t="s">
        <v>251</v>
      </c>
      <c r="E326" s="90" t="s">
        <v>1398</v>
      </c>
      <c r="F326" s="87">
        <v>2.0</v>
      </c>
      <c r="G326" s="87">
        <v>0.0</v>
      </c>
      <c r="H326" s="87">
        <v>104.0</v>
      </c>
      <c r="I326" s="87">
        <v>0.0</v>
      </c>
      <c r="J326" s="87">
        <v>3.49127</v>
      </c>
      <c r="K326" s="87">
        <v>4.371436</v>
      </c>
      <c r="L326" s="87">
        <v>4.498147</v>
      </c>
      <c r="M326" s="87">
        <v>4.371436</v>
      </c>
      <c r="N326" s="87">
        <v>1.0</v>
      </c>
      <c r="O326" s="87">
        <v>4.371436</v>
      </c>
      <c r="P326" s="87">
        <v>4.371436</v>
      </c>
      <c r="Q326" s="87">
        <v>4.371436</v>
      </c>
      <c r="R326" s="87">
        <v>4.371436</v>
      </c>
      <c r="S326" s="87">
        <v>4.371436</v>
      </c>
      <c r="T326" s="87">
        <v>4.371436</v>
      </c>
      <c r="U326" s="87">
        <v>4.371436</v>
      </c>
      <c r="V326" s="87">
        <v>4.371436</v>
      </c>
      <c r="W326" s="87">
        <v>4.371436</v>
      </c>
      <c r="X326" s="87">
        <v>4.371436</v>
      </c>
      <c r="Y326" s="87">
        <v>4.371436</v>
      </c>
      <c r="Z326" s="88" t="s">
        <v>1396</v>
      </c>
    </row>
    <row r="327" hidden="1">
      <c r="A327" s="90" t="s">
        <v>1795</v>
      </c>
      <c r="B327" s="90" t="s">
        <v>1835</v>
      </c>
      <c r="C327" s="90" t="s">
        <v>231</v>
      </c>
      <c r="D327" s="90" t="s">
        <v>251</v>
      </c>
      <c r="E327" s="90" t="s">
        <v>1400</v>
      </c>
      <c r="F327" s="87">
        <v>10.0</v>
      </c>
      <c r="G327" s="87">
        <v>1.0</v>
      </c>
      <c r="H327" s="87">
        <v>930.0</v>
      </c>
      <c r="I327" s="87">
        <v>15.0</v>
      </c>
      <c r="J327" s="87">
        <v>0.0</v>
      </c>
      <c r="K327" s="87">
        <v>0.0</v>
      </c>
      <c r="L327" s="87">
        <v>0.0</v>
      </c>
      <c r="M327" s="87">
        <v>0.0</v>
      </c>
      <c r="N327" s="91"/>
      <c r="O327" s="87">
        <v>0.0</v>
      </c>
      <c r="P327" s="87">
        <v>0.0</v>
      </c>
      <c r="Q327" s="87">
        <v>0.0</v>
      </c>
      <c r="R327" s="87">
        <v>0.0</v>
      </c>
      <c r="S327" s="87">
        <v>0.0</v>
      </c>
      <c r="T327" s="91"/>
      <c r="U327" s="91"/>
      <c r="V327" s="91"/>
      <c r="W327" s="91"/>
      <c r="X327" s="91"/>
      <c r="Y327" s="87">
        <v>0.0</v>
      </c>
      <c r="Z327" s="88" t="s">
        <v>1396</v>
      </c>
    </row>
    <row r="328" hidden="1">
      <c r="A328" s="90" t="s">
        <v>1797</v>
      </c>
      <c r="B328" s="90" t="s">
        <v>1836</v>
      </c>
      <c r="C328" s="90" t="s">
        <v>231</v>
      </c>
      <c r="D328" s="90" t="s">
        <v>251</v>
      </c>
      <c r="E328" s="89">
        <v>46300.0</v>
      </c>
      <c r="F328" s="87">
        <v>9.0</v>
      </c>
      <c r="G328" s="87">
        <v>0.0</v>
      </c>
      <c r="H328" s="87">
        <v>10892.0</v>
      </c>
      <c r="I328" s="87">
        <v>0.0</v>
      </c>
      <c r="J328" s="87">
        <v>211.8097</v>
      </c>
      <c r="K328" s="87">
        <v>232.7978</v>
      </c>
      <c r="L328" s="87">
        <v>233.3385</v>
      </c>
      <c r="M328" s="87">
        <v>142.5919</v>
      </c>
      <c r="N328" s="87">
        <v>0.612514</v>
      </c>
      <c r="O328" s="87">
        <v>0.0</v>
      </c>
      <c r="P328" s="87">
        <v>0.0</v>
      </c>
      <c r="Q328" s="87">
        <v>11.32886</v>
      </c>
      <c r="R328" s="87">
        <v>17.52398</v>
      </c>
      <c r="S328" s="87">
        <v>24.53413</v>
      </c>
      <c r="T328" s="87">
        <v>11.32886</v>
      </c>
      <c r="U328" s="87">
        <v>17.26185</v>
      </c>
      <c r="V328" s="87">
        <v>17.52398</v>
      </c>
      <c r="W328" s="87">
        <v>19.55707</v>
      </c>
      <c r="X328" s="87">
        <v>24.53413</v>
      </c>
      <c r="Y328" s="87">
        <v>23.27978</v>
      </c>
      <c r="Z328" s="88" t="s">
        <v>1396</v>
      </c>
    </row>
    <row r="329" hidden="1">
      <c r="A329" s="90" t="s">
        <v>1799</v>
      </c>
      <c r="B329" s="90" t="s">
        <v>1837</v>
      </c>
      <c r="C329" s="90" t="s">
        <v>231</v>
      </c>
      <c r="D329" s="90" t="s">
        <v>251</v>
      </c>
      <c r="E329" s="90" t="s">
        <v>1403</v>
      </c>
      <c r="F329" s="87">
        <v>13.0</v>
      </c>
      <c r="G329" s="87">
        <v>13.0</v>
      </c>
      <c r="H329" s="87">
        <v>977.0</v>
      </c>
      <c r="I329" s="87">
        <v>977.0</v>
      </c>
      <c r="J329" s="87">
        <v>0.0</v>
      </c>
      <c r="K329" s="87">
        <v>0.0</v>
      </c>
      <c r="L329" s="87">
        <v>0.0</v>
      </c>
      <c r="M329" s="87">
        <v>0.0</v>
      </c>
      <c r="N329" s="91"/>
      <c r="O329" s="87">
        <v>0.0</v>
      </c>
      <c r="P329" s="87">
        <v>0.0</v>
      </c>
      <c r="Q329" s="87">
        <v>0.0</v>
      </c>
      <c r="R329" s="87">
        <v>0.0</v>
      </c>
      <c r="S329" s="87">
        <v>0.0</v>
      </c>
      <c r="T329" s="91"/>
      <c r="U329" s="91"/>
      <c r="V329" s="91"/>
      <c r="W329" s="91"/>
      <c r="X329" s="91"/>
      <c r="Y329" s="87">
        <v>0.0</v>
      </c>
      <c r="Z329" s="88" t="s">
        <v>1396</v>
      </c>
    </row>
    <row r="330" hidden="1">
      <c r="A330" s="90" t="s">
        <v>1789</v>
      </c>
      <c r="B330" s="90" t="s">
        <v>1840</v>
      </c>
      <c r="C330" s="90" t="s">
        <v>231</v>
      </c>
      <c r="D330" s="90" t="s">
        <v>1839</v>
      </c>
      <c r="E330" s="86">
        <v>46310.0</v>
      </c>
      <c r="F330" s="87">
        <v>9.0</v>
      </c>
      <c r="G330" s="87">
        <v>1.0</v>
      </c>
      <c r="H330" s="87">
        <v>45474.0</v>
      </c>
      <c r="I330" s="87">
        <v>177.0</v>
      </c>
      <c r="J330" s="87">
        <v>328.9458</v>
      </c>
      <c r="K330" s="87">
        <v>330.5844</v>
      </c>
      <c r="L330" s="87">
        <v>337.5784</v>
      </c>
      <c r="M330" s="87">
        <v>226.4999</v>
      </c>
      <c r="N330" s="87">
        <v>0.68515</v>
      </c>
      <c r="O330" s="87">
        <v>0.0</v>
      </c>
      <c r="P330" s="87">
        <v>0.0</v>
      </c>
      <c r="Q330" s="87">
        <v>13.46273</v>
      </c>
      <c r="R330" s="87">
        <v>21.13671</v>
      </c>
      <c r="S330" s="87">
        <v>27.67846</v>
      </c>
      <c r="T330" s="87">
        <v>13.46273</v>
      </c>
      <c r="U330" s="87">
        <v>14.35097</v>
      </c>
      <c r="V330" s="87">
        <v>21.13671</v>
      </c>
      <c r="W330" s="87">
        <v>27.45568</v>
      </c>
      <c r="X330" s="87">
        <v>27.67846</v>
      </c>
      <c r="Y330" s="87">
        <v>36.7316</v>
      </c>
      <c r="Z330" s="88" t="s">
        <v>1396</v>
      </c>
    </row>
    <row r="331" hidden="1">
      <c r="A331" s="90" t="s">
        <v>1791</v>
      </c>
      <c r="B331" s="90" t="s">
        <v>1841</v>
      </c>
      <c r="C331" s="90" t="s">
        <v>231</v>
      </c>
      <c r="D331" s="90" t="s">
        <v>1839</v>
      </c>
      <c r="E331" s="90" t="s">
        <v>1413</v>
      </c>
      <c r="F331" s="87">
        <v>9.0</v>
      </c>
      <c r="G331" s="87">
        <v>1.0</v>
      </c>
      <c r="H331" s="87">
        <v>13180.0</v>
      </c>
      <c r="I331" s="87">
        <v>91.0</v>
      </c>
      <c r="J331" s="87">
        <v>150.4765</v>
      </c>
      <c r="K331" s="87">
        <v>154.4763</v>
      </c>
      <c r="L331" s="87">
        <v>173.9364</v>
      </c>
      <c r="M331" s="87">
        <v>84.70401</v>
      </c>
      <c r="N331" s="87">
        <v>0.54833</v>
      </c>
      <c r="O331" s="87">
        <v>0.0</v>
      </c>
      <c r="P331" s="87">
        <v>0.0</v>
      </c>
      <c r="Q331" s="87">
        <v>7.864669</v>
      </c>
      <c r="R331" s="87">
        <v>16.51273</v>
      </c>
      <c r="S331" s="87">
        <v>30.2831</v>
      </c>
      <c r="T331" s="87">
        <v>7.864669</v>
      </c>
      <c r="U331" s="87">
        <v>15.11179</v>
      </c>
      <c r="V331" s="87">
        <v>15.11179</v>
      </c>
      <c r="W331" s="87">
        <v>30.2831</v>
      </c>
      <c r="X331" s="87">
        <v>31.2492</v>
      </c>
      <c r="Y331" s="87">
        <v>19.30954</v>
      </c>
      <c r="Z331" s="88" t="s">
        <v>1396</v>
      </c>
    </row>
    <row r="332" hidden="1">
      <c r="A332" s="90" t="s">
        <v>1793</v>
      </c>
      <c r="B332" s="90" t="s">
        <v>1842</v>
      </c>
      <c r="C332" s="90" t="s">
        <v>231</v>
      </c>
      <c r="D332" s="90" t="s">
        <v>1839</v>
      </c>
      <c r="E332" s="90" t="s">
        <v>1398</v>
      </c>
      <c r="F332" s="87">
        <v>4.0</v>
      </c>
      <c r="G332" s="87">
        <v>2.0</v>
      </c>
      <c r="H332" s="87">
        <v>762.0</v>
      </c>
      <c r="I332" s="87">
        <v>70.0</v>
      </c>
      <c r="J332" s="87">
        <v>8.586344</v>
      </c>
      <c r="K332" s="87">
        <v>26.80544</v>
      </c>
      <c r="L332" s="87">
        <v>24.56298</v>
      </c>
      <c r="M332" s="87">
        <v>17.94268</v>
      </c>
      <c r="N332" s="87">
        <v>0.669367</v>
      </c>
      <c r="O332" s="87">
        <v>0.0</v>
      </c>
      <c r="P332" s="87">
        <v>0.0</v>
      </c>
      <c r="Q332" s="87">
        <v>0.0</v>
      </c>
      <c r="R332" s="87">
        <v>8.862766</v>
      </c>
      <c r="S332" s="87">
        <v>17.94268</v>
      </c>
      <c r="T332" s="87">
        <v>8.862766</v>
      </c>
      <c r="U332" s="87">
        <v>8.862766</v>
      </c>
      <c r="V332" s="87">
        <v>8.862766</v>
      </c>
      <c r="W332" s="87">
        <v>17.94268</v>
      </c>
      <c r="X332" s="87">
        <v>17.94268</v>
      </c>
      <c r="Y332" s="87">
        <v>8.935148</v>
      </c>
      <c r="Z332" s="88" t="s">
        <v>1396</v>
      </c>
    </row>
    <row r="333" hidden="1">
      <c r="A333" s="90" t="s">
        <v>1795</v>
      </c>
      <c r="B333" s="90" t="s">
        <v>1843</v>
      </c>
      <c r="C333" s="90" t="s">
        <v>231</v>
      </c>
      <c r="D333" s="90" t="s">
        <v>1839</v>
      </c>
      <c r="E333" s="90" t="s">
        <v>1400</v>
      </c>
      <c r="F333" s="87">
        <v>1.0</v>
      </c>
      <c r="G333" s="87">
        <v>0.0</v>
      </c>
      <c r="H333" s="87">
        <v>1358.0</v>
      </c>
      <c r="I333" s="87">
        <v>0.0</v>
      </c>
      <c r="J333" s="87">
        <v>18.5713</v>
      </c>
      <c r="K333" s="87">
        <v>17.45029</v>
      </c>
      <c r="L333" s="87">
        <v>16.33749</v>
      </c>
      <c r="M333" s="87">
        <v>17.37337</v>
      </c>
      <c r="N333" s="87">
        <v>0.995592</v>
      </c>
      <c r="O333" s="87">
        <v>0.076923</v>
      </c>
      <c r="P333" s="87">
        <v>0.076923</v>
      </c>
      <c r="Q333" s="87">
        <v>0.076923</v>
      </c>
      <c r="R333" s="87">
        <v>17.37337</v>
      </c>
      <c r="S333" s="87">
        <v>17.37337</v>
      </c>
      <c r="T333" s="87">
        <v>0.076923</v>
      </c>
      <c r="U333" s="87">
        <v>0.076923</v>
      </c>
      <c r="V333" s="87">
        <v>0.076923</v>
      </c>
      <c r="W333" s="87">
        <v>17.37337</v>
      </c>
      <c r="X333" s="87">
        <v>17.37337</v>
      </c>
      <c r="Y333" s="87">
        <v>8.725144</v>
      </c>
      <c r="Z333" s="88" t="s">
        <v>1396</v>
      </c>
    </row>
    <row r="334" hidden="1">
      <c r="A334" s="90" t="s">
        <v>1797</v>
      </c>
      <c r="B334" s="90" t="s">
        <v>1844</v>
      </c>
      <c r="C334" s="90" t="s">
        <v>231</v>
      </c>
      <c r="D334" s="90" t="s">
        <v>1839</v>
      </c>
      <c r="E334" s="89">
        <v>46300.0</v>
      </c>
      <c r="F334" s="87">
        <v>1.0</v>
      </c>
      <c r="G334" s="87">
        <v>0.0</v>
      </c>
      <c r="H334" s="87">
        <v>202.0</v>
      </c>
      <c r="I334" s="87">
        <v>0.0</v>
      </c>
      <c r="J334" s="87">
        <v>4.549817</v>
      </c>
      <c r="K334" s="87">
        <v>4.390203</v>
      </c>
      <c r="L334" s="87">
        <v>6.561784</v>
      </c>
      <c r="M334" s="87">
        <v>4.390203</v>
      </c>
      <c r="N334" s="87">
        <v>1.0</v>
      </c>
      <c r="O334" s="87">
        <v>0.0</v>
      </c>
      <c r="P334" s="87">
        <v>0.0</v>
      </c>
      <c r="Q334" s="87">
        <v>0.0</v>
      </c>
      <c r="R334" s="87">
        <v>4.390203</v>
      </c>
      <c r="S334" s="87">
        <v>4.390203</v>
      </c>
      <c r="T334" s="87">
        <v>4.390203</v>
      </c>
      <c r="U334" s="87">
        <v>4.390203</v>
      </c>
      <c r="V334" s="87">
        <v>4.390203</v>
      </c>
      <c r="W334" s="87">
        <v>4.390203</v>
      </c>
      <c r="X334" s="87">
        <v>4.390203</v>
      </c>
      <c r="Y334" s="87">
        <v>2.195101</v>
      </c>
      <c r="Z334" s="88" t="s">
        <v>1396</v>
      </c>
    </row>
    <row r="335" hidden="1">
      <c r="A335" s="90" t="s">
        <v>1799</v>
      </c>
      <c r="B335" s="90" t="s">
        <v>1845</v>
      </c>
      <c r="C335" s="90" t="s">
        <v>231</v>
      </c>
      <c r="D335" s="90" t="s">
        <v>1839</v>
      </c>
      <c r="E335" s="90" t="s">
        <v>1403</v>
      </c>
      <c r="F335" s="87">
        <v>21.0</v>
      </c>
      <c r="G335" s="87">
        <v>21.0</v>
      </c>
      <c r="H335" s="87">
        <v>928.0</v>
      </c>
      <c r="I335" s="87">
        <v>928.0</v>
      </c>
      <c r="J335" s="87">
        <v>0.0</v>
      </c>
      <c r="K335" s="87">
        <v>0.0</v>
      </c>
      <c r="L335" s="87">
        <v>0.0</v>
      </c>
      <c r="M335" s="87">
        <v>0.0</v>
      </c>
      <c r="N335" s="91"/>
      <c r="O335" s="87">
        <v>0.0</v>
      </c>
      <c r="P335" s="87">
        <v>0.0</v>
      </c>
      <c r="Q335" s="87">
        <v>0.0</v>
      </c>
      <c r="R335" s="87">
        <v>0.0</v>
      </c>
      <c r="S335" s="87">
        <v>0.0</v>
      </c>
      <c r="T335" s="91"/>
      <c r="U335" s="91"/>
      <c r="V335" s="91"/>
      <c r="W335" s="91"/>
      <c r="X335" s="91"/>
      <c r="Y335" s="87">
        <v>0.0</v>
      </c>
      <c r="Z335" s="88" t="s">
        <v>1396</v>
      </c>
    </row>
    <row r="336" hidden="1">
      <c r="A336" s="90" t="s">
        <v>3312</v>
      </c>
      <c r="B336" s="90" t="s">
        <v>3313</v>
      </c>
      <c r="C336" s="90" t="s">
        <v>3314</v>
      </c>
      <c r="D336" s="90" t="s">
        <v>3315</v>
      </c>
      <c r="E336" s="90" t="s">
        <v>1403</v>
      </c>
      <c r="F336" s="87">
        <v>1.0</v>
      </c>
      <c r="G336" s="87">
        <v>1.0</v>
      </c>
      <c r="H336" s="87">
        <v>6.0</v>
      </c>
      <c r="I336" s="87">
        <v>6.0</v>
      </c>
      <c r="J336" s="87">
        <v>0.0</v>
      </c>
      <c r="K336" s="87">
        <v>0.0</v>
      </c>
      <c r="L336" s="87">
        <v>0.0</v>
      </c>
      <c r="M336" s="87">
        <v>0.0</v>
      </c>
      <c r="N336" s="91"/>
      <c r="O336" s="91"/>
      <c r="P336" s="91"/>
      <c r="Q336" s="91"/>
      <c r="R336" s="91"/>
      <c r="S336" s="91"/>
      <c r="T336" s="91"/>
      <c r="U336" s="91"/>
      <c r="V336" s="91"/>
      <c r="W336" s="91"/>
      <c r="X336" s="91"/>
      <c r="Y336" s="91"/>
      <c r="Z336" s="88" t="s">
        <v>1396</v>
      </c>
    </row>
    <row r="337" hidden="1">
      <c r="A337" s="90" t="s">
        <v>1846</v>
      </c>
      <c r="B337" s="90" t="s">
        <v>1847</v>
      </c>
      <c r="C337" s="90" t="s">
        <v>1848</v>
      </c>
      <c r="D337" s="90" t="s">
        <v>1849</v>
      </c>
      <c r="E337" s="86">
        <v>46310.0</v>
      </c>
      <c r="F337" s="87">
        <v>6.0</v>
      </c>
      <c r="G337" s="87">
        <v>2.0</v>
      </c>
      <c r="H337" s="87">
        <v>3574.0</v>
      </c>
      <c r="I337" s="87">
        <v>66.0</v>
      </c>
      <c r="J337" s="87">
        <v>21.03007</v>
      </c>
      <c r="K337" s="87">
        <v>21.49975</v>
      </c>
      <c r="L337" s="87">
        <v>25.88467</v>
      </c>
      <c r="M337" s="87">
        <v>14.9174</v>
      </c>
      <c r="N337" s="87">
        <v>0.693841</v>
      </c>
      <c r="O337" s="87">
        <v>0.0</v>
      </c>
      <c r="P337" s="87">
        <v>0.0</v>
      </c>
      <c r="Q337" s="87">
        <v>0.0</v>
      </c>
      <c r="R337" s="87">
        <v>6.45735</v>
      </c>
      <c r="S337" s="87">
        <v>7.183434</v>
      </c>
      <c r="T337" s="87">
        <v>0.125</v>
      </c>
      <c r="U337" s="87">
        <v>0.125</v>
      </c>
      <c r="V337" s="87">
        <v>6.45735</v>
      </c>
      <c r="W337" s="87">
        <v>7.183434</v>
      </c>
      <c r="X337" s="87">
        <v>7.183434</v>
      </c>
      <c r="Y337" s="87">
        <v>3.583292</v>
      </c>
      <c r="Z337" s="88" t="s">
        <v>1396</v>
      </c>
    </row>
    <row r="338" hidden="1">
      <c r="A338" s="90" t="s">
        <v>1850</v>
      </c>
      <c r="B338" s="90" t="s">
        <v>1851</v>
      </c>
      <c r="C338" s="90" t="s">
        <v>1848</v>
      </c>
      <c r="D338" s="90" t="s">
        <v>1849</v>
      </c>
      <c r="E338" s="90" t="s">
        <v>1413</v>
      </c>
      <c r="F338" s="87">
        <v>4.0</v>
      </c>
      <c r="G338" s="87">
        <v>1.0</v>
      </c>
      <c r="H338" s="87">
        <v>621.0</v>
      </c>
      <c r="I338" s="87">
        <v>7.0</v>
      </c>
      <c r="J338" s="87">
        <v>6.312438</v>
      </c>
      <c r="K338" s="87">
        <v>5.231345</v>
      </c>
      <c r="L338" s="87">
        <v>5.49711</v>
      </c>
      <c r="M338" s="87">
        <v>5.231345</v>
      </c>
      <c r="N338" s="87">
        <v>1.0</v>
      </c>
      <c r="O338" s="87">
        <v>5.231345</v>
      </c>
      <c r="P338" s="87">
        <v>5.231345</v>
      </c>
      <c r="Q338" s="87">
        <v>5.231345</v>
      </c>
      <c r="R338" s="87">
        <v>5.231345</v>
      </c>
      <c r="S338" s="87">
        <v>5.231345</v>
      </c>
      <c r="T338" s="87">
        <v>5.231345</v>
      </c>
      <c r="U338" s="87">
        <v>5.231345</v>
      </c>
      <c r="V338" s="87">
        <v>5.231345</v>
      </c>
      <c r="W338" s="87">
        <v>5.231345</v>
      </c>
      <c r="X338" s="87">
        <v>5.231345</v>
      </c>
      <c r="Y338" s="87">
        <v>5.231345</v>
      </c>
      <c r="Z338" s="88" t="s">
        <v>1396</v>
      </c>
    </row>
    <row r="339" hidden="1">
      <c r="A339" s="90" t="s">
        <v>1852</v>
      </c>
      <c r="B339" s="90" t="s">
        <v>1853</v>
      </c>
      <c r="C339" s="90" t="s">
        <v>1848</v>
      </c>
      <c r="D339" s="90" t="s">
        <v>1849</v>
      </c>
      <c r="E339" s="90" t="s">
        <v>1398</v>
      </c>
      <c r="F339" s="87">
        <v>8.0</v>
      </c>
      <c r="G339" s="87">
        <v>1.0</v>
      </c>
      <c r="H339" s="87">
        <v>2618.0</v>
      </c>
      <c r="I339" s="87">
        <v>14.0</v>
      </c>
      <c r="J339" s="87">
        <v>22.59644</v>
      </c>
      <c r="K339" s="87">
        <v>23.77268</v>
      </c>
      <c r="L339" s="87">
        <v>23.21608</v>
      </c>
      <c r="M339" s="87">
        <v>13.53043</v>
      </c>
      <c r="N339" s="87">
        <v>0.569159</v>
      </c>
      <c r="O339" s="87">
        <v>1.117972</v>
      </c>
      <c r="P339" s="87">
        <v>1.117972</v>
      </c>
      <c r="Q339" s="87">
        <v>1.117972</v>
      </c>
      <c r="R339" s="87">
        <v>9.124273</v>
      </c>
      <c r="S339" s="87">
        <v>13.53043</v>
      </c>
      <c r="T339" s="87">
        <v>1.117972</v>
      </c>
      <c r="U339" s="87">
        <v>1.117972</v>
      </c>
      <c r="V339" s="87">
        <v>1.117972</v>
      </c>
      <c r="W339" s="87">
        <v>9.124273</v>
      </c>
      <c r="X339" s="87">
        <v>13.53043</v>
      </c>
      <c r="Y339" s="87">
        <v>7.924226</v>
      </c>
      <c r="Z339" s="88" t="s">
        <v>1396</v>
      </c>
    </row>
    <row r="340" hidden="1">
      <c r="A340" s="90" t="s">
        <v>1854</v>
      </c>
      <c r="B340" s="90" t="s">
        <v>1855</v>
      </c>
      <c r="C340" s="90" t="s">
        <v>1848</v>
      </c>
      <c r="D340" s="90" t="s">
        <v>1849</v>
      </c>
      <c r="E340" s="90" t="s">
        <v>1400</v>
      </c>
      <c r="F340" s="87">
        <v>20.0</v>
      </c>
      <c r="G340" s="87">
        <v>3.0</v>
      </c>
      <c r="H340" s="87">
        <v>5007.0</v>
      </c>
      <c r="I340" s="87">
        <v>41.0</v>
      </c>
      <c r="J340" s="87">
        <v>23.13505</v>
      </c>
      <c r="K340" s="87">
        <v>25.56507</v>
      </c>
      <c r="L340" s="87">
        <v>27.87975</v>
      </c>
      <c r="M340" s="87">
        <v>10.73768</v>
      </c>
      <c r="N340" s="87">
        <v>0.420014</v>
      </c>
      <c r="O340" s="87">
        <v>0.402299</v>
      </c>
      <c r="P340" s="87">
        <v>0.533333</v>
      </c>
      <c r="Q340" s="87">
        <v>1.452447</v>
      </c>
      <c r="R340" s="87">
        <v>1.848199</v>
      </c>
      <c r="S340" s="87">
        <v>2.196537</v>
      </c>
      <c r="T340" s="87">
        <v>0.533333</v>
      </c>
      <c r="U340" s="87">
        <v>0.871615</v>
      </c>
      <c r="V340" s="87">
        <v>1.452447</v>
      </c>
      <c r="W340" s="87">
        <v>1.848199</v>
      </c>
      <c r="X340" s="87">
        <v>2.253212</v>
      </c>
      <c r="Y340" s="87">
        <v>1.826076</v>
      </c>
      <c r="Z340" s="88" t="s">
        <v>1396</v>
      </c>
    </row>
    <row r="341" hidden="1">
      <c r="A341" s="90" t="s">
        <v>1856</v>
      </c>
      <c r="B341" s="90" t="s">
        <v>1857</v>
      </c>
      <c r="C341" s="90" t="s">
        <v>1848</v>
      </c>
      <c r="D341" s="90" t="s">
        <v>1849</v>
      </c>
      <c r="E341" s="89">
        <v>46300.0</v>
      </c>
      <c r="F341" s="87">
        <v>7.0</v>
      </c>
      <c r="G341" s="87">
        <v>1.0</v>
      </c>
      <c r="H341" s="87">
        <v>3397.0</v>
      </c>
      <c r="I341" s="87">
        <v>4.0</v>
      </c>
      <c r="J341" s="87">
        <v>30.89963</v>
      </c>
      <c r="K341" s="87">
        <v>32.16585</v>
      </c>
      <c r="L341" s="87">
        <v>34.33385</v>
      </c>
      <c r="M341" s="87">
        <v>8.468318</v>
      </c>
      <c r="N341" s="87">
        <v>0.26327</v>
      </c>
      <c r="O341" s="87">
        <v>4.74712</v>
      </c>
      <c r="P341" s="87">
        <v>4.974018</v>
      </c>
      <c r="Q341" s="87">
        <v>4.974018</v>
      </c>
      <c r="R341" s="87">
        <v>6.75152</v>
      </c>
      <c r="S341" s="87">
        <v>7.224877</v>
      </c>
      <c r="T341" s="87">
        <v>4.74712</v>
      </c>
      <c r="U341" s="87">
        <v>4.974018</v>
      </c>
      <c r="V341" s="87">
        <v>4.974018</v>
      </c>
      <c r="W341" s="87">
        <v>6.75152</v>
      </c>
      <c r="X341" s="87">
        <v>7.224877</v>
      </c>
      <c r="Y341" s="87">
        <v>6.43317</v>
      </c>
      <c r="Z341" s="88" t="s">
        <v>1396</v>
      </c>
    </row>
    <row r="342" hidden="1">
      <c r="A342" s="90" t="s">
        <v>1858</v>
      </c>
      <c r="B342" s="90" t="s">
        <v>1859</v>
      </c>
      <c r="C342" s="90" t="s">
        <v>1848</v>
      </c>
      <c r="D342" s="90" t="s">
        <v>1849</v>
      </c>
      <c r="E342" s="90" t="s">
        <v>1403</v>
      </c>
      <c r="F342" s="87">
        <v>5.0</v>
      </c>
      <c r="G342" s="87">
        <v>5.0</v>
      </c>
      <c r="H342" s="87">
        <v>211.0</v>
      </c>
      <c r="I342" s="87">
        <v>211.0</v>
      </c>
      <c r="J342" s="87">
        <v>0.0</v>
      </c>
      <c r="K342" s="87">
        <v>0.0</v>
      </c>
      <c r="L342" s="87">
        <v>0.0</v>
      </c>
      <c r="M342" s="87">
        <v>0.0</v>
      </c>
      <c r="N342" s="91"/>
      <c r="O342" s="87">
        <v>0.0</v>
      </c>
      <c r="P342" s="87">
        <v>0.0</v>
      </c>
      <c r="Q342" s="87">
        <v>0.0</v>
      </c>
      <c r="R342" s="87">
        <v>0.0</v>
      </c>
      <c r="S342" s="87">
        <v>0.0</v>
      </c>
      <c r="T342" s="91"/>
      <c r="U342" s="91"/>
      <c r="V342" s="91"/>
      <c r="W342" s="91"/>
      <c r="X342" s="91"/>
      <c r="Y342" s="87">
        <v>0.0</v>
      </c>
      <c r="Z342" s="88" t="s">
        <v>1396</v>
      </c>
    </row>
    <row r="343" hidden="1">
      <c r="A343" s="90" t="s">
        <v>1860</v>
      </c>
      <c r="B343" s="90" t="s">
        <v>1861</v>
      </c>
      <c r="C343" s="90" t="s">
        <v>1848</v>
      </c>
      <c r="D343" s="90" t="s">
        <v>1862</v>
      </c>
      <c r="E343" s="90" t="s">
        <v>1426</v>
      </c>
      <c r="F343" s="87">
        <v>0.0</v>
      </c>
      <c r="G343" s="87">
        <v>0.0</v>
      </c>
      <c r="H343" s="87">
        <v>0.0</v>
      </c>
      <c r="I343" s="87">
        <v>0.0</v>
      </c>
      <c r="J343" s="87">
        <v>0.0</v>
      </c>
      <c r="K343" s="87">
        <v>0.0</v>
      </c>
      <c r="L343" s="87">
        <v>0.0</v>
      </c>
      <c r="M343" s="87">
        <v>0.0</v>
      </c>
      <c r="N343" s="91"/>
      <c r="O343" s="87">
        <v>0.0</v>
      </c>
      <c r="P343" s="87">
        <v>0.0</v>
      </c>
      <c r="Q343" s="87">
        <v>0.0</v>
      </c>
      <c r="R343" s="87">
        <v>0.0</v>
      </c>
      <c r="S343" s="87">
        <v>0.0</v>
      </c>
      <c r="T343" s="91"/>
      <c r="U343" s="91"/>
      <c r="V343" s="91"/>
      <c r="W343" s="91"/>
      <c r="X343" s="91"/>
      <c r="Y343" s="87">
        <v>0.0</v>
      </c>
      <c r="Z343" s="88" t="s">
        <v>1396</v>
      </c>
    </row>
    <row r="344" hidden="1">
      <c r="A344" s="90" t="s">
        <v>1846</v>
      </c>
      <c r="B344" s="90" t="s">
        <v>1863</v>
      </c>
      <c r="C344" s="90" t="s">
        <v>1848</v>
      </c>
      <c r="D344" s="90" t="s">
        <v>1862</v>
      </c>
      <c r="E344" s="86">
        <v>46310.0</v>
      </c>
      <c r="F344" s="87">
        <v>13.0</v>
      </c>
      <c r="G344" s="87">
        <v>2.0</v>
      </c>
      <c r="H344" s="87">
        <v>4567.0</v>
      </c>
      <c r="I344" s="87">
        <v>78.0</v>
      </c>
      <c r="J344" s="87">
        <v>53.51986</v>
      </c>
      <c r="K344" s="87">
        <v>52.31033</v>
      </c>
      <c r="L344" s="87">
        <v>58.09757</v>
      </c>
      <c r="M344" s="87">
        <v>28.9303</v>
      </c>
      <c r="N344" s="87">
        <v>0.553051</v>
      </c>
      <c r="O344" s="87">
        <v>0.0</v>
      </c>
      <c r="P344" s="87">
        <v>4.020324</v>
      </c>
      <c r="Q344" s="87">
        <v>5.254751</v>
      </c>
      <c r="R344" s="87">
        <v>5.589462</v>
      </c>
      <c r="S344" s="87">
        <v>8.515487</v>
      </c>
      <c r="T344" s="87">
        <v>4.020324</v>
      </c>
      <c r="U344" s="87">
        <v>5.254751</v>
      </c>
      <c r="V344" s="87">
        <v>5.254751</v>
      </c>
      <c r="W344" s="87">
        <v>8.515487</v>
      </c>
      <c r="X344" s="87">
        <v>13.51472</v>
      </c>
      <c r="Y344" s="87">
        <v>7.472904</v>
      </c>
      <c r="Z344" s="88" t="s">
        <v>1396</v>
      </c>
    </row>
    <row r="345" hidden="1">
      <c r="A345" s="90" t="s">
        <v>1850</v>
      </c>
      <c r="B345" s="90" t="s">
        <v>1864</v>
      </c>
      <c r="C345" s="90" t="s">
        <v>1848</v>
      </c>
      <c r="D345" s="90" t="s">
        <v>1862</v>
      </c>
      <c r="E345" s="90" t="s">
        <v>1413</v>
      </c>
      <c r="F345" s="87">
        <v>19.0</v>
      </c>
      <c r="G345" s="87">
        <v>3.0</v>
      </c>
      <c r="H345" s="87">
        <v>8746.0</v>
      </c>
      <c r="I345" s="87">
        <v>26.0</v>
      </c>
      <c r="J345" s="87">
        <v>66.53645</v>
      </c>
      <c r="K345" s="87">
        <v>65.20821</v>
      </c>
      <c r="L345" s="87">
        <v>65.372</v>
      </c>
      <c r="M345" s="87">
        <v>28.02082</v>
      </c>
      <c r="N345" s="87">
        <v>0.429713</v>
      </c>
      <c r="O345" s="87">
        <v>2.135296</v>
      </c>
      <c r="P345" s="87">
        <v>2.521153</v>
      </c>
      <c r="Q345" s="87">
        <v>2.570174</v>
      </c>
      <c r="R345" s="87">
        <v>4.299175</v>
      </c>
      <c r="S345" s="87">
        <v>7.055328</v>
      </c>
      <c r="T345" s="87">
        <v>2.135296</v>
      </c>
      <c r="U345" s="87">
        <v>2.521153</v>
      </c>
      <c r="V345" s="87">
        <v>2.570174</v>
      </c>
      <c r="W345" s="87">
        <v>4.299175</v>
      </c>
      <c r="X345" s="87">
        <v>7.055328</v>
      </c>
      <c r="Y345" s="87">
        <v>5.016016</v>
      </c>
      <c r="Z345" s="88" t="s">
        <v>1396</v>
      </c>
    </row>
    <row r="346" hidden="1">
      <c r="A346" s="90" t="s">
        <v>1852</v>
      </c>
      <c r="B346" s="90" t="s">
        <v>1865</v>
      </c>
      <c r="C346" s="90" t="s">
        <v>1848</v>
      </c>
      <c r="D346" s="90" t="s">
        <v>1862</v>
      </c>
      <c r="E346" s="90" t="s">
        <v>1398</v>
      </c>
      <c r="F346" s="87">
        <v>10.0</v>
      </c>
      <c r="G346" s="87">
        <v>1.0</v>
      </c>
      <c r="H346" s="87">
        <v>4509.0</v>
      </c>
      <c r="I346" s="87">
        <v>31.0</v>
      </c>
      <c r="J346" s="87">
        <v>27.31748</v>
      </c>
      <c r="K346" s="87">
        <v>30.10548</v>
      </c>
      <c r="L346" s="87">
        <v>29.18069</v>
      </c>
      <c r="M346" s="87">
        <v>23.03592</v>
      </c>
      <c r="N346" s="87">
        <v>0.765174</v>
      </c>
      <c r="O346" s="87">
        <v>0.111111</v>
      </c>
      <c r="P346" s="87">
        <v>0.677744</v>
      </c>
      <c r="Q346" s="87">
        <v>1.243565</v>
      </c>
      <c r="R346" s="87">
        <v>1.385468</v>
      </c>
      <c r="S346" s="87">
        <v>3.651669</v>
      </c>
      <c r="T346" s="87">
        <v>0.111111</v>
      </c>
      <c r="U346" s="87">
        <v>0.677744</v>
      </c>
      <c r="V346" s="87">
        <v>1.243565</v>
      </c>
      <c r="W346" s="87">
        <v>1.385468</v>
      </c>
      <c r="X346" s="87">
        <v>3.651669</v>
      </c>
      <c r="Y346" s="87">
        <v>4.300783</v>
      </c>
      <c r="Z346" s="88" t="s">
        <v>1396</v>
      </c>
    </row>
    <row r="347" hidden="1">
      <c r="A347" s="90" t="s">
        <v>1854</v>
      </c>
      <c r="B347" s="90" t="s">
        <v>1866</v>
      </c>
      <c r="C347" s="90" t="s">
        <v>1848</v>
      </c>
      <c r="D347" s="90" t="s">
        <v>1862</v>
      </c>
      <c r="E347" s="90" t="s">
        <v>1400</v>
      </c>
      <c r="F347" s="87">
        <v>8.0</v>
      </c>
      <c r="G347" s="87">
        <v>2.0</v>
      </c>
      <c r="H347" s="87">
        <v>3709.0</v>
      </c>
      <c r="I347" s="87">
        <v>71.0</v>
      </c>
      <c r="J347" s="87">
        <v>30.1566</v>
      </c>
      <c r="K347" s="87">
        <v>33.2693</v>
      </c>
      <c r="L347" s="87">
        <v>31.52843</v>
      </c>
      <c r="M347" s="87">
        <v>17.00692</v>
      </c>
      <c r="N347" s="87">
        <v>0.51119</v>
      </c>
      <c r="O347" s="87">
        <v>3.720532</v>
      </c>
      <c r="P347" s="87">
        <v>3.720532</v>
      </c>
      <c r="Q347" s="87">
        <v>5.461484</v>
      </c>
      <c r="R347" s="87">
        <v>7.080358</v>
      </c>
      <c r="S347" s="87">
        <v>7.080358</v>
      </c>
      <c r="T347" s="87">
        <v>3.720532</v>
      </c>
      <c r="U347" s="87">
        <v>3.720532</v>
      </c>
      <c r="V347" s="87">
        <v>5.461484</v>
      </c>
      <c r="W347" s="87">
        <v>7.080358</v>
      </c>
      <c r="X347" s="87">
        <v>7.080358</v>
      </c>
      <c r="Y347" s="87">
        <v>8.317325</v>
      </c>
      <c r="Z347" s="88" t="s">
        <v>1396</v>
      </c>
    </row>
    <row r="348" hidden="1">
      <c r="A348" s="90" t="s">
        <v>1856</v>
      </c>
      <c r="B348" s="90" t="s">
        <v>1867</v>
      </c>
      <c r="C348" s="90" t="s">
        <v>1848</v>
      </c>
      <c r="D348" s="90" t="s">
        <v>1862</v>
      </c>
      <c r="E348" s="89">
        <v>46300.0</v>
      </c>
      <c r="F348" s="87">
        <v>4.0</v>
      </c>
      <c r="G348" s="87">
        <v>1.0</v>
      </c>
      <c r="H348" s="87">
        <v>1100.0</v>
      </c>
      <c r="I348" s="87">
        <v>2.0</v>
      </c>
      <c r="J348" s="87">
        <v>14.49256</v>
      </c>
      <c r="K348" s="87">
        <v>14.60301</v>
      </c>
      <c r="L348" s="87">
        <v>14.48795</v>
      </c>
      <c r="M348" s="87">
        <v>14.60301</v>
      </c>
      <c r="N348" s="87">
        <v>1.0</v>
      </c>
      <c r="O348" s="87">
        <v>0.0</v>
      </c>
      <c r="P348" s="87">
        <v>0.0</v>
      </c>
      <c r="Q348" s="87">
        <v>0.0</v>
      </c>
      <c r="R348" s="87">
        <v>14.60301</v>
      </c>
      <c r="S348" s="87">
        <v>14.60301</v>
      </c>
      <c r="T348" s="87">
        <v>14.60301</v>
      </c>
      <c r="U348" s="87">
        <v>14.60301</v>
      </c>
      <c r="V348" s="87">
        <v>14.60301</v>
      </c>
      <c r="W348" s="87">
        <v>14.60301</v>
      </c>
      <c r="X348" s="87">
        <v>14.60301</v>
      </c>
      <c r="Y348" s="87">
        <v>7.301503</v>
      </c>
      <c r="Z348" s="88" t="s">
        <v>1396</v>
      </c>
    </row>
    <row r="349" hidden="1">
      <c r="A349" s="90" t="s">
        <v>1858</v>
      </c>
      <c r="B349" s="90" t="s">
        <v>1868</v>
      </c>
      <c r="C349" s="90" t="s">
        <v>1848</v>
      </c>
      <c r="D349" s="90" t="s">
        <v>1862</v>
      </c>
      <c r="E349" s="90" t="s">
        <v>1403</v>
      </c>
      <c r="F349" s="87">
        <v>2.0</v>
      </c>
      <c r="G349" s="87">
        <v>2.0</v>
      </c>
      <c r="H349" s="87">
        <v>41.0</v>
      </c>
      <c r="I349" s="87">
        <v>41.0</v>
      </c>
      <c r="J349" s="87">
        <v>0.0</v>
      </c>
      <c r="K349" s="87">
        <v>0.0</v>
      </c>
      <c r="L349" s="87">
        <v>0.0</v>
      </c>
      <c r="M349" s="87">
        <v>0.0</v>
      </c>
      <c r="N349" s="91"/>
      <c r="O349" s="87">
        <v>0.0</v>
      </c>
      <c r="P349" s="87">
        <v>0.0</v>
      </c>
      <c r="Q349" s="87">
        <v>0.0</v>
      </c>
      <c r="R349" s="87">
        <v>0.0</v>
      </c>
      <c r="S349" s="87">
        <v>0.0</v>
      </c>
      <c r="T349" s="91"/>
      <c r="U349" s="91"/>
      <c r="V349" s="91"/>
      <c r="W349" s="91"/>
      <c r="X349" s="91"/>
      <c r="Y349" s="87">
        <v>0.0</v>
      </c>
      <c r="Z349" s="88" t="s">
        <v>1396</v>
      </c>
    </row>
    <row r="350" hidden="1">
      <c r="A350" s="90" t="s">
        <v>1860</v>
      </c>
      <c r="B350" s="90" t="s">
        <v>1869</v>
      </c>
      <c r="C350" s="90" t="s">
        <v>1848</v>
      </c>
      <c r="D350" s="90" t="s">
        <v>1870</v>
      </c>
      <c r="E350" s="90" t="s">
        <v>1426</v>
      </c>
      <c r="F350" s="87">
        <v>1.0</v>
      </c>
      <c r="G350" s="87">
        <v>0.0</v>
      </c>
      <c r="H350" s="87">
        <v>2.0</v>
      </c>
      <c r="I350" s="87">
        <v>0.0</v>
      </c>
      <c r="J350" s="87">
        <v>0.0</v>
      </c>
      <c r="K350" s="87">
        <v>0.0</v>
      </c>
      <c r="L350" s="87">
        <v>0.0</v>
      </c>
      <c r="M350" s="87">
        <v>0.0</v>
      </c>
      <c r="N350" s="91"/>
      <c r="O350" s="87">
        <v>0.0</v>
      </c>
      <c r="P350" s="87">
        <v>0.0</v>
      </c>
      <c r="Q350" s="87">
        <v>0.0</v>
      </c>
      <c r="R350" s="87">
        <v>0.0</v>
      </c>
      <c r="S350" s="87">
        <v>0.0</v>
      </c>
      <c r="T350" s="91"/>
      <c r="U350" s="91"/>
      <c r="V350" s="91"/>
      <c r="W350" s="91"/>
      <c r="X350" s="91"/>
      <c r="Y350" s="87">
        <v>0.0</v>
      </c>
      <c r="Z350" s="88" t="s">
        <v>1396</v>
      </c>
    </row>
    <row r="351" hidden="1">
      <c r="A351" s="90" t="s">
        <v>1846</v>
      </c>
      <c r="B351" s="90" t="s">
        <v>1871</v>
      </c>
      <c r="C351" s="90" t="s">
        <v>1848</v>
      </c>
      <c r="D351" s="90" t="s">
        <v>1870</v>
      </c>
      <c r="E351" s="86">
        <v>46310.0</v>
      </c>
      <c r="F351" s="87">
        <v>15.0</v>
      </c>
      <c r="G351" s="87">
        <v>2.0</v>
      </c>
      <c r="H351" s="87">
        <v>7120.0</v>
      </c>
      <c r="I351" s="87">
        <v>133.0</v>
      </c>
      <c r="J351" s="87">
        <v>69.55492</v>
      </c>
      <c r="K351" s="87">
        <v>69.09071</v>
      </c>
      <c r="L351" s="87">
        <v>66.04893</v>
      </c>
      <c r="M351" s="87">
        <v>49.93234</v>
      </c>
      <c r="N351" s="87">
        <v>0.722707</v>
      </c>
      <c r="O351" s="87">
        <v>0.697849</v>
      </c>
      <c r="P351" s="87">
        <v>0.771177</v>
      </c>
      <c r="Q351" s="87">
        <v>1.136239</v>
      </c>
      <c r="R351" s="87">
        <v>3.308516</v>
      </c>
      <c r="S351" s="87">
        <v>5.069989</v>
      </c>
      <c r="T351" s="87">
        <v>0.771177</v>
      </c>
      <c r="U351" s="87">
        <v>1.136239</v>
      </c>
      <c r="V351" s="87">
        <v>3.207576</v>
      </c>
      <c r="W351" s="87">
        <v>4.967024</v>
      </c>
      <c r="X351" s="87">
        <v>9.754907</v>
      </c>
      <c r="Y351" s="87">
        <v>6.280973</v>
      </c>
      <c r="Z351" s="88" t="s">
        <v>1396</v>
      </c>
    </row>
    <row r="352" hidden="1">
      <c r="A352" s="90" t="s">
        <v>1850</v>
      </c>
      <c r="B352" s="90" t="s">
        <v>1872</v>
      </c>
      <c r="C352" s="90" t="s">
        <v>1848</v>
      </c>
      <c r="D352" s="90" t="s">
        <v>1870</v>
      </c>
      <c r="E352" s="90" t="s">
        <v>1413</v>
      </c>
      <c r="F352" s="87">
        <v>16.0</v>
      </c>
      <c r="G352" s="87">
        <v>2.0</v>
      </c>
      <c r="H352" s="87">
        <v>4394.0</v>
      </c>
      <c r="I352" s="87">
        <v>4.0</v>
      </c>
      <c r="J352" s="87">
        <v>40.06336</v>
      </c>
      <c r="K352" s="87">
        <v>40.90868</v>
      </c>
      <c r="L352" s="87">
        <v>40.64352</v>
      </c>
      <c r="M352" s="87">
        <v>25.40932</v>
      </c>
      <c r="N352" s="87">
        <v>0.621123</v>
      </c>
      <c r="O352" s="87">
        <v>0.232258</v>
      </c>
      <c r="P352" s="87">
        <v>0.372496</v>
      </c>
      <c r="Q352" s="87">
        <v>0.522092</v>
      </c>
      <c r="R352" s="87">
        <v>1.696478</v>
      </c>
      <c r="S352" s="87">
        <v>6.160807</v>
      </c>
      <c r="T352" s="87">
        <v>0.232258</v>
      </c>
      <c r="U352" s="87">
        <v>0.372496</v>
      </c>
      <c r="V352" s="87">
        <v>0.522092</v>
      </c>
      <c r="W352" s="87">
        <v>1.696478</v>
      </c>
      <c r="X352" s="87">
        <v>6.160807</v>
      </c>
      <c r="Y352" s="87">
        <v>4.545409</v>
      </c>
      <c r="Z352" s="88" t="s">
        <v>1396</v>
      </c>
    </row>
    <row r="353" hidden="1">
      <c r="A353" s="90" t="s">
        <v>1852</v>
      </c>
      <c r="B353" s="90" t="s">
        <v>1873</v>
      </c>
      <c r="C353" s="90" t="s">
        <v>1848</v>
      </c>
      <c r="D353" s="90" t="s">
        <v>1870</v>
      </c>
      <c r="E353" s="90" t="s">
        <v>1398</v>
      </c>
      <c r="F353" s="87">
        <v>4.0</v>
      </c>
      <c r="G353" s="87">
        <v>1.0</v>
      </c>
      <c r="H353" s="87">
        <v>576.0</v>
      </c>
      <c r="I353" s="87">
        <v>4.0</v>
      </c>
      <c r="J353" s="87">
        <v>2.428571</v>
      </c>
      <c r="K353" s="87">
        <v>2.713707</v>
      </c>
      <c r="L353" s="87">
        <v>2.934872</v>
      </c>
      <c r="M353" s="87">
        <v>1.729032</v>
      </c>
      <c r="N353" s="87">
        <v>0.637148</v>
      </c>
      <c r="O353" s="87">
        <v>0.984674</v>
      </c>
      <c r="P353" s="87">
        <v>0.984674</v>
      </c>
      <c r="Q353" s="87">
        <v>0.984674</v>
      </c>
      <c r="R353" s="87">
        <v>1.729032</v>
      </c>
      <c r="S353" s="87">
        <v>1.729032</v>
      </c>
      <c r="T353" s="87">
        <v>0.984674</v>
      </c>
      <c r="U353" s="87">
        <v>0.984674</v>
      </c>
      <c r="V353" s="87">
        <v>0.984674</v>
      </c>
      <c r="W353" s="87">
        <v>1.729032</v>
      </c>
      <c r="X353" s="87">
        <v>1.729032</v>
      </c>
      <c r="Y353" s="87">
        <v>1.356853</v>
      </c>
      <c r="Z353" s="88" t="s">
        <v>1396</v>
      </c>
    </row>
    <row r="354" hidden="1">
      <c r="A354" s="90" t="s">
        <v>1854</v>
      </c>
      <c r="B354" s="90" t="s">
        <v>1874</v>
      </c>
      <c r="C354" s="90" t="s">
        <v>1848</v>
      </c>
      <c r="D354" s="90" t="s">
        <v>1870</v>
      </c>
      <c r="E354" s="90" t="s">
        <v>1400</v>
      </c>
      <c r="F354" s="87">
        <v>25.0</v>
      </c>
      <c r="G354" s="87">
        <v>0.0</v>
      </c>
      <c r="H354" s="87">
        <v>6304.0</v>
      </c>
      <c r="I354" s="87">
        <v>0.0</v>
      </c>
      <c r="J354" s="87">
        <v>39.30578</v>
      </c>
      <c r="K354" s="87">
        <v>42.4184</v>
      </c>
      <c r="L354" s="87">
        <v>44.39334</v>
      </c>
      <c r="M354" s="87">
        <v>18.95978</v>
      </c>
      <c r="N354" s="87">
        <v>0.446971</v>
      </c>
      <c r="O354" s="87">
        <v>0.2</v>
      </c>
      <c r="P354" s="87">
        <v>0.902063</v>
      </c>
      <c r="Q354" s="87">
        <v>1.010665</v>
      </c>
      <c r="R354" s="87">
        <v>1.86039</v>
      </c>
      <c r="S354" s="87">
        <v>2.580746</v>
      </c>
      <c r="T354" s="87">
        <v>0.902063</v>
      </c>
      <c r="U354" s="87">
        <v>1.010665</v>
      </c>
      <c r="V354" s="87">
        <v>1.392082</v>
      </c>
      <c r="W354" s="87">
        <v>2.083689</v>
      </c>
      <c r="X354" s="87">
        <v>2.620661</v>
      </c>
      <c r="Y354" s="87">
        <v>1.928109</v>
      </c>
      <c r="Z354" s="88" t="s">
        <v>1396</v>
      </c>
    </row>
    <row r="355" hidden="1">
      <c r="A355" s="90" t="s">
        <v>1856</v>
      </c>
      <c r="B355" s="90" t="s">
        <v>1875</v>
      </c>
      <c r="C355" s="90" t="s">
        <v>1848</v>
      </c>
      <c r="D355" s="90" t="s">
        <v>1870</v>
      </c>
      <c r="E355" s="89">
        <v>46300.0</v>
      </c>
      <c r="F355" s="87">
        <v>16.0</v>
      </c>
      <c r="G355" s="87">
        <v>2.0</v>
      </c>
      <c r="H355" s="87">
        <v>4324.0</v>
      </c>
      <c r="I355" s="87">
        <v>8.0</v>
      </c>
      <c r="J355" s="87">
        <v>42.52289</v>
      </c>
      <c r="K355" s="87">
        <v>42.96574</v>
      </c>
      <c r="L355" s="87">
        <v>43.24866</v>
      </c>
      <c r="M355" s="87">
        <v>21.90617</v>
      </c>
      <c r="N355" s="87">
        <v>0.509852</v>
      </c>
      <c r="O355" s="87">
        <v>0.0</v>
      </c>
      <c r="P355" s="87">
        <v>0.45353</v>
      </c>
      <c r="Q355" s="87">
        <v>1.067972</v>
      </c>
      <c r="R355" s="87">
        <v>3.846579</v>
      </c>
      <c r="S355" s="87">
        <v>5.149803</v>
      </c>
      <c r="T355" s="87">
        <v>1.067972</v>
      </c>
      <c r="U355" s="87">
        <v>2.717797</v>
      </c>
      <c r="V355" s="87">
        <v>2.779726</v>
      </c>
      <c r="W355" s="87">
        <v>5.04416</v>
      </c>
      <c r="X355" s="87">
        <v>5.720093</v>
      </c>
      <c r="Y355" s="87">
        <v>3.580478</v>
      </c>
      <c r="Z355" s="88" t="s">
        <v>1396</v>
      </c>
    </row>
    <row r="356" hidden="1">
      <c r="A356" s="90" t="s">
        <v>1858</v>
      </c>
      <c r="B356" s="90" t="s">
        <v>1876</v>
      </c>
      <c r="C356" s="90" t="s">
        <v>1848</v>
      </c>
      <c r="D356" s="90" t="s">
        <v>1870</v>
      </c>
      <c r="E356" s="90" t="s">
        <v>1403</v>
      </c>
      <c r="F356" s="87">
        <v>5.0</v>
      </c>
      <c r="G356" s="87">
        <v>5.0</v>
      </c>
      <c r="H356" s="87">
        <v>130.0</v>
      </c>
      <c r="I356" s="87">
        <v>130.0</v>
      </c>
      <c r="J356" s="87">
        <v>0.0</v>
      </c>
      <c r="K356" s="87">
        <v>0.0</v>
      </c>
      <c r="L356" s="87">
        <v>0.0</v>
      </c>
      <c r="M356" s="87">
        <v>0.0</v>
      </c>
      <c r="N356" s="91"/>
      <c r="O356" s="87">
        <v>0.0</v>
      </c>
      <c r="P356" s="87">
        <v>0.0</v>
      </c>
      <c r="Q356" s="87">
        <v>0.0</v>
      </c>
      <c r="R356" s="87">
        <v>0.0</v>
      </c>
      <c r="S356" s="87">
        <v>0.0</v>
      </c>
      <c r="T356" s="91"/>
      <c r="U356" s="91"/>
      <c r="V356" s="91"/>
      <c r="W356" s="91"/>
      <c r="X356" s="91"/>
      <c r="Y356" s="87">
        <v>0.0</v>
      </c>
      <c r="Z356" s="88" t="s">
        <v>1396</v>
      </c>
    </row>
    <row r="357" hidden="1">
      <c r="A357" s="90" t="s">
        <v>1860</v>
      </c>
      <c r="B357" s="90" t="s">
        <v>1877</v>
      </c>
      <c r="C357" s="90" t="s">
        <v>1848</v>
      </c>
      <c r="D357" s="90" t="s">
        <v>1878</v>
      </c>
      <c r="E357" s="90" t="s">
        <v>1426</v>
      </c>
      <c r="F357" s="87">
        <v>1.0</v>
      </c>
      <c r="G357" s="87">
        <v>0.0</v>
      </c>
      <c r="H357" s="87">
        <v>410.0</v>
      </c>
      <c r="I357" s="87">
        <v>0.0</v>
      </c>
      <c r="J357" s="87">
        <v>12.65808</v>
      </c>
      <c r="K357" s="87">
        <v>10.52567</v>
      </c>
      <c r="L357" s="87">
        <v>8.44636</v>
      </c>
      <c r="M357" s="87">
        <v>10.52567</v>
      </c>
      <c r="N357" s="87">
        <v>1.0</v>
      </c>
      <c r="O357" s="87">
        <v>10.52567</v>
      </c>
      <c r="P357" s="87">
        <v>10.52567</v>
      </c>
      <c r="Q357" s="87">
        <v>10.52567</v>
      </c>
      <c r="R357" s="87">
        <v>10.52567</v>
      </c>
      <c r="S357" s="87">
        <v>10.52567</v>
      </c>
      <c r="T357" s="87">
        <v>10.52567</v>
      </c>
      <c r="U357" s="87">
        <v>10.52567</v>
      </c>
      <c r="V357" s="87">
        <v>10.52567</v>
      </c>
      <c r="W357" s="87">
        <v>10.52567</v>
      </c>
      <c r="X357" s="87">
        <v>10.52567</v>
      </c>
      <c r="Y357" s="87">
        <v>10.52567</v>
      </c>
      <c r="Z357" s="88" t="s">
        <v>1396</v>
      </c>
    </row>
    <row r="358" hidden="1">
      <c r="A358" s="90" t="s">
        <v>1846</v>
      </c>
      <c r="B358" s="90" t="s">
        <v>1879</v>
      </c>
      <c r="C358" s="90" t="s">
        <v>1848</v>
      </c>
      <c r="D358" s="90" t="s">
        <v>1878</v>
      </c>
      <c r="E358" s="86">
        <v>46310.0</v>
      </c>
      <c r="F358" s="87">
        <v>11.0</v>
      </c>
      <c r="G358" s="87">
        <v>0.0</v>
      </c>
      <c r="H358" s="87">
        <v>9405.0</v>
      </c>
      <c r="I358" s="87">
        <v>0.0</v>
      </c>
      <c r="J358" s="87">
        <v>104.939</v>
      </c>
      <c r="K358" s="87">
        <v>114.2126</v>
      </c>
      <c r="L358" s="87">
        <v>114.5018</v>
      </c>
      <c r="M358" s="87">
        <v>62.35515</v>
      </c>
      <c r="N358" s="87">
        <v>0.545957</v>
      </c>
      <c r="O358" s="87">
        <v>0.629868</v>
      </c>
      <c r="P358" s="87">
        <v>2.408064</v>
      </c>
      <c r="Q358" s="87">
        <v>3.10946</v>
      </c>
      <c r="R358" s="87">
        <v>11.32475</v>
      </c>
      <c r="S358" s="87">
        <v>17.07658</v>
      </c>
      <c r="T358" s="87">
        <v>0.629868</v>
      </c>
      <c r="U358" s="87">
        <v>2.408064</v>
      </c>
      <c r="V358" s="87">
        <v>3.10946</v>
      </c>
      <c r="W358" s="87">
        <v>11.32475</v>
      </c>
      <c r="X358" s="87">
        <v>17.07658</v>
      </c>
      <c r="Y358" s="87">
        <v>11.42126</v>
      </c>
      <c r="Z358" s="88" t="s">
        <v>1396</v>
      </c>
    </row>
    <row r="359" hidden="1">
      <c r="A359" s="90" t="s">
        <v>1850</v>
      </c>
      <c r="B359" s="90" t="s">
        <v>1880</v>
      </c>
      <c r="C359" s="90" t="s">
        <v>1848</v>
      </c>
      <c r="D359" s="90" t="s">
        <v>1878</v>
      </c>
      <c r="E359" s="90" t="s">
        <v>1413</v>
      </c>
      <c r="F359" s="87">
        <v>12.0</v>
      </c>
      <c r="G359" s="87">
        <v>1.0</v>
      </c>
      <c r="H359" s="87">
        <v>9789.0</v>
      </c>
      <c r="I359" s="87">
        <v>54.0</v>
      </c>
      <c r="J359" s="87">
        <v>103.8377</v>
      </c>
      <c r="K359" s="87">
        <v>99.47446</v>
      </c>
      <c r="L359" s="87">
        <v>94.5033</v>
      </c>
      <c r="M359" s="87">
        <v>73.20909</v>
      </c>
      <c r="N359" s="87">
        <v>0.735959</v>
      </c>
      <c r="O359" s="87">
        <v>0.902299</v>
      </c>
      <c r="P359" s="87">
        <v>5.395104</v>
      </c>
      <c r="Q359" s="87">
        <v>5.395104</v>
      </c>
      <c r="R359" s="87">
        <v>11.09906</v>
      </c>
      <c r="S359" s="87">
        <v>13.54032</v>
      </c>
      <c r="T359" s="87">
        <v>0.902299</v>
      </c>
      <c r="U359" s="87">
        <v>5.395104</v>
      </c>
      <c r="V359" s="87">
        <v>5.395104</v>
      </c>
      <c r="W359" s="87">
        <v>11.09906</v>
      </c>
      <c r="X359" s="87">
        <v>13.54032</v>
      </c>
      <c r="Y359" s="87">
        <v>16.57908</v>
      </c>
      <c r="Z359" s="88" t="s">
        <v>1396</v>
      </c>
    </row>
    <row r="360" hidden="1">
      <c r="A360" s="90" t="s">
        <v>1852</v>
      </c>
      <c r="B360" s="90" t="s">
        <v>1881</v>
      </c>
      <c r="C360" s="90" t="s">
        <v>1848</v>
      </c>
      <c r="D360" s="90" t="s">
        <v>1878</v>
      </c>
      <c r="E360" s="90" t="s">
        <v>1398</v>
      </c>
      <c r="F360" s="87">
        <v>7.0</v>
      </c>
      <c r="G360" s="87">
        <v>1.0</v>
      </c>
      <c r="H360" s="87">
        <v>3115.0</v>
      </c>
      <c r="I360" s="87">
        <v>26.0</v>
      </c>
      <c r="J360" s="87">
        <v>26.53831</v>
      </c>
      <c r="K360" s="87">
        <v>29.48341</v>
      </c>
      <c r="L360" s="87">
        <v>30.52044</v>
      </c>
      <c r="M360" s="87">
        <v>16.99206</v>
      </c>
      <c r="N360" s="87">
        <v>0.576326</v>
      </c>
      <c r="O360" s="87">
        <v>2.099307</v>
      </c>
      <c r="P360" s="87">
        <v>2.099307</v>
      </c>
      <c r="Q360" s="87">
        <v>3.384098</v>
      </c>
      <c r="R360" s="87">
        <v>7.007945</v>
      </c>
      <c r="S360" s="87">
        <v>7.007945</v>
      </c>
      <c r="T360" s="87">
        <v>2.099307</v>
      </c>
      <c r="U360" s="87">
        <v>2.099307</v>
      </c>
      <c r="V360" s="87">
        <v>3.384098</v>
      </c>
      <c r="W360" s="87">
        <v>7.007945</v>
      </c>
      <c r="X360" s="87">
        <v>7.007945</v>
      </c>
      <c r="Y360" s="87">
        <v>7.370852</v>
      </c>
      <c r="Z360" s="88" t="s">
        <v>1396</v>
      </c>
    </row>
    <row r="361" hidden="1">
      <c r="A361" s="90" t="s">
        <v>1854</v>
      </c>
      <c r="B361" s="90" t="s">
        <v>1882</v>
      </c>
      <c r="C361" s="90" t="s">
        <v>1848</v>
      </c>
      <c r="D361" s="90" t="s">
        <v>1878</v>
      </c>
      <c r="E361" s="90" t="s">
        <v>1400</v>
      </c>
      <c r="F361" s="87">
        <v>23.0</v>
      </c>
      <c r="G361" s="87">
        <v>3.0</v>
      </c>
      <c r="H361" s="87">
        <v>12631.0</v>
      </c>
      <c r="I361" s="87">
        <v>48.0</v>
      </c>
      <c r="J361" s="87">
        <v>106.1721</v>
      </c>
      <c r="K361" s="87">
        <v>102.4508</v>
      </c>
      <c r="L361" s="87">
        <v>106.1502</v>
      </c>
      <c r="M361" s="87">
        <v>53.53833</v>
      </c>
      <c r="N361" s="87">
        <v>0.522576</v>
      </c>
      <c r="O361" s="87">
        <v>1.034631</v>
      </c>
      <c r="P361" s="87">
        <v>2.792448</v>
      </c>
      <c r="Q361" s="87">
        <v>2.982485</v>
      </c>
      <c r="R361" s="87">
        <v>5.582499</v>
      </c>
      <c r="S361" s="87">
        <v>6.040754</v>
      </c>
      <c r="T361" s="87">
        <v>1.034631</v>
      </c>
      <c r="U361" s="87">
        <v>2.792448</v>
      </c>
      <c r="V361" s="87">
        <v>2.982485</v>
      </c>
      <c r="W361" s="87">
        <v>5.582499</v>
      </c>
      <c r="X361" s="87">
        <v>6.040754</v>
      </c>
      <c r="Y361" s="87">
        <v>6.830055</v>
      </c>
      <c r="Z361" s="88" t="s">
        <v>1396</v>
      </c>
    </row>
    <row r="362" hidden="1">
      <c r="A362" s="90" t="s">
        <v>1856</v>
      </c>
      <c r="B362" s="90" t="s">
        <v>1883</v>
      </c>
      <c r="C362" s="90" t="s">
        <v>1848</v>
      </c>
      <c r="D362" s="90" t="s">
        <v>1878</v>
      </c>
      <c r="E362" s="89">
        <v>46300.0</v>
      </c>
      <c r="F362" s="87">
        <v>10.0</v>
      </c>
      <c r="G362" s="87">
        <v>2.0</v>
      </c>
      <c r="H362" s="87">
        <v>14349.0</v>
      </c>
      <c r="I362" s="87">
        <v>50.0</v>
      </c>
      <c r="J362" s="87">
        <v>97.90103</v>
      </c>
      <c r="K362" s="87">
        <v>103.7491</v>
      </c>
      <c r="L362" s="87">
        <v>108.1865</v>
      </c>
      <c r="M362" s="87">
        <v>79.95502</v>
      </c>
      <c r="N362" s="87">
        <v>0.770658</v>
      </c>
      <c r="O362" s="87">
        <v>0.0</v>
      </c>
      <c r="P362" s="87">
        <v>0.0</v>
      </c>
      <c r="Q362" s="87">
        <v>1.66901</v>
      </c>
      <c r="R362" s="87">
        <v>9.142013</v>
      </c>
      <c r="S362" s="87">
        <v>10.80182</v>
      </c>
      <c r="T362" s="87">
        <v>1.66901</v>
      </c>
      <c r="U362" s="87">
        <v>2.181226</v>
      </c>
      <c r="V362" s="87">
        <v>2.181226</v>
      </c>
      <c r="W362" s="87">
        <v>10.80182</v>
      </c>
      <c r="X362" s="87">
        <v>13.59347</v>
      </c>
      <c r="Y362" s="87">
        <v>12.96864</v>
      </c>
      <c r="Z362" s="88" t="s">
        <v>1396</v>
      </c>
    </row>
    <row r="363" hidden="1">
      <c r="A363" s="90" t="s">
        <v>1858</v>
      </c>
      <c r="B363" s="90" t="s">
        <v>1884</v>
      </c>
      <c r="C363" s="90" t="s">
        <v>1848</v>
      </c>
      <c r="D363" s="90" t="s">
        <v>1878</v>
      </c>
      <c r="E363" s="90" t="s">
        <v>1403</v>
      </c>
      <c r="F363" s="87">
        <v>5.0</v>
      </c>
      <c r="G363" s="87">
        <v>5.0</v>
      </c>
      <c r="H363" s="87">
        <v>98.0</v>
      </c>
      <c r="I363" s="87">
        <v>98.0</v>
      </c>
      <c r="J363" s="87">
        <v>0.0</v>
      </c>
      <c r="K363" s="87">
        <v>0.0</v>
      </c>
      <c r="L363" s="87">
        <v>0.0</v>
      </c>
      <c r="M363" s="87">
        <v>0.0</v>
      </c>
      <c r="N363" s="91"/>
      <c r="O363" s="87">
        <v>0.0</v>
      </c>
      <c r="P363" s="87">
        <v>0.0</v>
      </c>
      <c r="Q363" s="87">
        <v>0.0</v>
      </c>
      <c r="R363" s="87">
        <v>0.0</v>
      </c>
      <c r="S363" s="87">
        <v>0.0</v>
      </c>
      <c r="T363" s="91"/>
      <c r="U363" s="91"/>
      <c r="V363" s="91"/>
      <c r="W363" s="91"/>
      <c r="X363" s="91"/>
      <c r="Y363" s="87">
        <v>0.0</v>
      </c>
      <c r="Z363" s="88" t="s">
        <v>1396</v>
      </c>
    </row>
    <row r="364" hidden="1">
      <c r="A364" s="90" t="s">
        <v>1860</v>
      </c>
      <c r="B364" s="90" t="s">
        <v>1885</v>
      </c>
      <c r="C364" s="90" t="s">
        <v>1848</v>
      </c>
      <c r="D364" s="90" t="s">
        <v>1886</v>
      </c>
      <c r="E364" s="90" t="s">
        <v>1426</v>
      </c>
      <c r="F364" s="87">
        <v>0.0</v>
      </c>
      <c r="G364" s="87">
        <v>0.0</v>
      </c>
      <c r="H364" s="87">
        <v>0.0</v>
      </c>
      <c r="I364" s="87">
        <v>0.0</v>
      </c>
      <c r="J364" s="87">
        <v>0.0</v>
      </c>
      <c r="K364" s="87">
        <v>0.0</v>
      </c>
      <c r="L364" s="87">
        <v>0.0</v>
      </c>
      <c r="M364" s="87">
        <v>0.0</v>
      </c>
      <c r="N364" s="91"/>
      <c r="O364" s="87">
        <v>0.0</v>
      </c>
      <c r="P364" s="87">
        <v>0.0</v>
      </c>
      <c r="Q364" s="87">
        <v>0.0</v>
      </c>
      <c r="R364" s="87">
        <v>0.0</v>
      </c>
      <c r="S364" s="87">
        <v>0.0</v>
      </c>
      <c r="T364" s="91"/>
      <c r="U364" s="91"/>
      <c r="V364" s="91"/>
      <c r="W364" s="91"/>
      <c r="X364" s="91"/>
      <c r="Y364" s="87">
        <v>0.0</v>
      </c>
      <c r="Z364" s="88" t="s">
        <v>1396</v>
      </c>
    </row>
    <row r="365" hidden="1">
      <c r="A365" s="90" t="s">
        <v>1846</v>
      </c>
      <c r="B365" s="90" t="s">
        <v>1887</v>
      </c>
      <c r="C365" s="90" t="s">
        <v>1848</v>
      </c>
      <c r="D365" s="90" t="s">
        <v>1886</v>
      </c>
      <c r="E365" s="86">
        <v>46310.0</v>
      </c>
      <c r="F365" s="87">
        <v>11.0</v>
      </c>
      <c r="G365" s="87">
        <v>0.0</v>
      </c>
      <c r="H365" s="87">
        <v>6158.0</v>
      </c>
      <c r="I365" s="87">
        <v>0.0</v>
      </c>
      <c r="J365" s="87">
        <v>31.07213</v>
      </c>
      <c r="K365" s="87">
        <v>35.82028</v>
      </c>
      <c r="L365" s="87">
        <v>38.32857</v>
      </c>
      <c r="M365" s="87">
        <v>17.50819</v>
      </c>
      <c r="N365" s="87">
        <v>0.488779</v>
      </c>
      <c r="O365" s="87">
        <v>1.119048</v>
      </c>
      <c r="P365" s="87">
        <v>2.679797</v>
      </c>
      <c r="Q365" s="87">
        <v>2.679797</v>
      </c>
      <c r="R365" s="87">
        <v>7.266346</v>
      </c>
      <c r="S365" s="87">
        <v>7.478606</v>
      </c>
      <c r="T365" s="87">
        <v>1.119048</v>
      </c>
      <c r="U365" s="87">
        <v>2.679797</v>
      </c>
      <c r="V365" s="87">
        <v>2.679797</v>
      </c>
      <c r="W365" s="87">
        <v>7.266346</v>
      </c>
      <c r="X365" s="87">
        <v>7.478606</v>
      </c>
      <c r="Y365" s="87">
        <v>5.970047</v>
      </c>
      <c r="Z365" s="88" t="s">
        <v>1396</v>
      </c>
    </row>
    <row r="366" hidden="1">
      <c r="A366" s="90" t="s">
        <v>1850</v>
      </c>
      <c r="B366" s="90" t="s">
        <v>1888</v>
      </c>
      <c r="C366" s="90" t="s">
        <v>1848</v>
      </c>
      <c r="D366" s="90" t="s">
        <v>1886</v>
      </c>
      <c r="E366" s="90" t="s">
        <v>1413</v>
      </c>
      <c r="F366" s="87">
        <v>4.0</v>
      </c>
      <c r="G366" s="87">
        <v>0.0</v>
      </c>
      <c r="H366" s="87">
        <v>321.0</v>
      </c>
      <c r="I366" s="87">
        <v>0.0</v>
      </c>
      <c r="J366" s="87">
        <v>4.170413</v>
      </c>
      <c r="K366" s="87">
        <v>3.398023</v>
      </c>
      <c r="L366" s="87">
        <v>2.643306</v>
      </c>
      <c r="M366" s="87">
        <v>3.398023</v>
      </c>
      <c r="N366" s="87">
        <v>1.0</v>
      </c>
      <c r="O366" s="87">
        <v>3.398023</v>
      </c>
      <c r="P366" s="87">
        <v>3.398023</v>
      </c>
      <c r="Q366" s="87">
        <v>3.398023</v>
      </c>
      <c r="R366" s="87">
        <v>3.398023</v>
      </c>
      <c r="S366" s="87">
        <v>3.398023</v>
      </c>
      <c r="T366" s="87">
        <v>3.398023</v>
      </c>
      <c r="U366" s="87">
        <v>3.398023</v>
      </c>
      <c r="V366" s="87">
        <v>3.398023</v>
      </c>
      <c r="W366" s="87">
        <v>3.398023</v>
      </c>
      <c r="X366" s="87">
        <v>3.398023</v>
      </c>
      <c r="Y366" s="87">
        <v>3.398023</v>
      </c>
      <c r="Z366" s="88" t="s">
        <v>1396</v>
      </c>
    </row>
    <row r="367" hidden="1">
      <c r="A367" s="90" t="s">
        <v>1852</v>
      </c>
      <c r="B367" s="90" t="s">
        <v>3316</v>
      </c>
      <c r="C367" s="90" t="s">
        <v>1848</v>
      </c>
      <c r="D367" s="90" t="s">
        <v>1886</v>
      </c>
      <c r="E367" s="90" t="s">
        <v>1398</v>
      </c>
      <c r="F367" s="87">
        <v>4.0</v>
      </c>
      <c r="G367" s="87">
        <v>0.0</v>
      </c>
      <c r="H367" s="87">
        <v>178.0</v>
      </c>
      <c r="I367" s="87">
        <v>0.0</v>
      </c>
      <c r="J367" s="87">
        <v>0.0</v>
      </c>
      <c r="K367" s="87">
        <v>0.0</v>
      </c>
      <c r="L367" s="87">
        <v>0.0</v>
      </c>
      <c r="M367" s="87">
        <v>0.0</v>
      </c>
      <c r="N367" s="91"/>
      <c r="O367" s="91"/>
      <c r="P367" s="91"/>
      <c r="Q367" s="91"/>
      <c r="R367" s="91"/>
      <c r="S367" s="91"/>
      <c r="T367" s="91"/>
      <c r="U367" s="91"/>
      <c r="V367" s="91"/>
      <c r="W367" s="91"/>
      <c r="X367" s="91"/>
      <c r="Y367" s="91"/>
      <c r="Z367" s="88" t="s">
        <v>1396</v>
      </c>
    </row>
    <row r="368" hidden="1">
      <c r="A368" s="90" t="s">
        <v>1854</v>
      </c>
      <c r="B368" s="90" t="s">
        <v>1889</v>
      </c>
      <c r="C368" s="90" t="s">
        <v>1848</v>
      </c>
      <c r="D368" s="90" t="s">
        <v>1886</v>
      </c>
      <c r="E368" s="90" t="s">
        <v>1400</v>
      </c>
      <c r="F368" s="87">
        <v>6.0</v>
      </c>
      <c r="G368" s="87">
        <v>1.0</v>
      </c>
      <c r="H368" s="87">
        <v>2352.0</v>
      </c>
      <c r="I368" s="87">
        <v>38.0</v>
      </c>
      <c r="J368" s="87">
        <v>8.157837</v>
      </c>
      <c r="K368" s="87">
        <v>7.465101</v>
      </c>
      <c r="L368" s="87">
        <v>7.297247</v>
      </c>
      <c r="M368" s="87">
        <v>5.022176</v>
      </c>
      <c r="N368" s="87">
        <v>0.672754</v>
      </c>
      <c r="O368" s="87">
        <v>0.0</v>
      </c>
      <c r="P368" s="87">
        <v>0.233333</v>
      </c>
      <c r="Q368" s="87">
        <v>0.233333</v>
      </c>
      <c r="R368" s="87">
        <v>0.974886</v>
      </c>
      <c r="S368" s="87">
        <v>1.234705</v>
      </c>
      <c r="T368" s="87">
        <v>0.233333</v>
      </c>
      <c r="U368" s="87">
        <v>0.233333</v>
      </c>
      <c r="V368" s="87">
        <v>0.974886</v>
      </c>
      <c r="W368" s="87">
        <v>1.234705</v>
      </c>
      <c r="X368" s="87">
        <v>1.234705</v>
      </c>
      <c r="Y368" s="87">
        <v>1.49302</v>
      </c>
      <c r="Z368" s="88" t="s">
        <v>1396</v>
      </c>
    </row>
    <row r="369" hidden="1">
      <c r="A369" s="90" t="s">
        <v>1856</v>
      </c>
      <c r="B369" s="90" t="s">
        <v>1890</v>
      </c>
      <c r="C369" s="90" t="s">
        <v>1848</v>
      </c>
      <c r="D369" s="90" t="s">
        <v>1886</v>
      </c>
      <c r="E369" s="89">
        <v>46300.0</v>
      </c>
      <c r="F369" s="87">
        <v>3.0</v>
      </c>
      <c r="G369" s="87">
        <v>0.0</v>
      </c>
      <c r="H369" s="87">
        <v>1390.0</v>
      </c>
      <c r="I369" s="87">
        <v>0.0</v>
      </c>
      <c r="J369" s="87">
        <v>7.956996</v>
      </c>
      <c r="K369" s="87">
        <v>8.242025</v>
      </c>
      <c r="L369" s="87">
        <v>9.712462</v>
      </c>
      <c r="M369" s="87">
        <v>3.249674</v>
      </c>
      <c r="N369" s="87">
        <v>0.394281</v>
      </c>
      <c r="O369" s="87">
        <v>2.065233</v>
      </c>
      <c r="P369" s="87">
        <v>2.065233</v>
      </c>
      <c r="Q369" s="87">
        <v>2.065233</v>
      </c>
      <c r="R369" s="87">
        <v>2.927118</v>
      </c>
      <c r="S369" s="87">
        <v>3.249674</v>
      </c>
      <c r="T369" s="87">
        <v>2.065233</v>
      </c>
      <c r="U369" s="87">
        <v>2.065233</v>
      </c>
      <c r="V369" s="87">
        <v>2.065233</v>
      </c>
      <c r="W369" s="87">
        <v>2.927118</v>
      </c>
      <c r="X369" s="87">
        <v>3.249674</v>
      </c>
      <c r="Y369" s="87">
        <v>2.747342</v>
      </c>
      <c r="Z369" s="88" t="s">
        <v>1396</v>
      </c>
    </row>
    <row r="370" hidden="1">
      <c r="A370" s="90" t="s">
        <v>1858</v>
      </c>
      <c r="B370" s="90" t="s">
        <v>1891</v>
      </c>
      <c r="C370" s="90" t="s">
        <v>1848</v>
      </c>
      <c r="D370" s="90" t="s">
        <v>1886</v>
      </c>
      <c r="E370" s="90" t="s">
        <v>1403</v>
      </c>
      <c r="F370" s="87">
        <v>3.0</v>
      </c>
      <c r="G370" s="87">
        <v>3.0</v>
      </c>
      <c r="H370" s="87">
        <v>273.0</v>
      </c>
      <c r="I370" s="87">
        <v>273.0</v>
      </c>
      <c r="J370" s="87">
        <v>0.0</v>
      </c>
      <c r="K370" s="87">
        <v>0.0</v>
      </c>
      <c r="L370" s="87">
        <v>0.0</v>
      </c>
      <c r="M370" s="87">
        <v>0.0</v>
      </c>
      <c r="N370" s="91"/>
      <c r="O370" s="87">
        <v>0.0</v>
      </c>
      <c r="P370" s="87">
        <v>0.0</v>
      </c>
      <c r="Q370" s="87">
        <v>0.0</v>
      </c>
      <c r="R370" s="87">
        <v>0.0</v>
      </c>
      <c r="S370" s="87">
        <v>0.0</v>
      </c>
      <c r="T370" s="91"/>
      <c r="U370" s="91"/>
      <c r="V370" s="91"/>
      <c r="W370" s="91"/>
      <c r="X370" s="91"/>
      <c r="Y370" s="87">
        <v>0.0</v>
      </c>
      <c r="Z370" s="88" t="s">
        <v>1396</v>
      </c>
    </row>
    <row r="371" hidden="1">
      <c r="A371" s="90" t="s">
        <v>1854</v>
      </c>
      <c r="B371" s="90" t="s">
        <v>1892</v>
      </c>
      <c r="C371" s="90" t="s">
        <v>1848</v>
      </c>
      <c r="D371" s="90" t="s">
        <v>1893</v>
      </c>
      <c r="E371" s="90" t="s">
        <v>1400</v>
      </c>
      <c r="F371" s="87">
        <v>1.0</v>
      </c>
      <c r="G371" s="87">
        <v>0.0</v>
      </c>
      <c r="H371" s="87">
        <v>221.0</v>
      </c>
      <c r="I371" s="87">
        <v>0.0</v>
      </c>
      <c r="J371" s="87">
        <v>0.428571</v>
      </c>
      <c r="K371" s="87">
        <v>1.881183</v>
      </c>
      <c r="L371" s="87">
        <v>1.244556</v>
      </c>
      <c r="M371" s="87">
        <v>1.881183</v>
      </c>
      <c r="N371" s="87">
        <v>1.0</v>
      </c>
      <c r="O371" s="87">
        <v>1.881183</v>
      </c>
      <c r="P371" s="87">
        <v>1.881183</v>
      </c>
      <c r="Q371" s="87">
        <v>1.881183</v>
      </c>
      <c r="R371" s="87">
        <v>1.881183</v>
      </c>
      <c r="S371" s="87">
        <v>1.881183</v>
      </c>
      <c r="T371" s="87">
        <v>1.881183</v>
      </c>
      <c r="U371" s="87">
        <v>1.881183</v>
      </c>
      <c r="V371" s="87">
        <v>1.881183</v>
      </c>
      <c r="W371" s="87">
        <v>1.881183</v>
      </c>
      <c r="X371" s="87">
        <v>1.881183</v>
      </c>
      <c r="Y371" s="87">
        <v>1.881183</v>
      </c>
      <c r="Z371" s="88" t="s">
        <v>1396</v>
      </c>
    </row>
    <row r="372" hidden="1">
      <c r="A372" s="90" t="s">
        <v>1860</v>
      </c>
      <c r="B372" s="90" t="s">
        <v>1895</v>
      </c>
      <c r="C372" s="90" t="s">
        <v>1848</v>
      </c>
      <c r="D372" s="90" t="s">
        <v>1896</v>
      </c>
      <c r="E372" s="90" t="s">
        <v>1426</v>
      </c>
      <c r="F372" s="87">
        <v>1.0</v>
      </c>
      <c r="G372" s="87">
        <v>0.0</v>
      </c>
      <c r="H372" s="87">
        <v>8757.0</v>
      </c>
      <c r="I372" s="87">
        <v>0.0</v>
      </c>
      <c r="J372" s="87">
        <v>81.93885</v>
      </c>
      <c r="K372" s="87">
        <v>95.67273</v>
      </c>
      <c r="L372" s="87">
        <v>97.70306</v>
      </c>
      <c r="M372" s="87">
        <v>95.3394</v>
      </c>
      <c r="N372" s="87">
        <v>0.996516</v>
      </c>
      <c r="O372" s="87">
        <v>0.0</v>
      </c>
      <c r="P372" s="87">
        <v>0.0</v>
      </c>
      <c r="Q372" s="87">
        <v>0.0</v>
      </c>
      <c r="R372" s="87">
        <v>0.333333</v>
      </c>
      <c r="S372" s="87">
        <v>95.3394</v>
      </c>
      <c r="T372" s="87">
        <v>0.333333</v>
      </c>
      <c r="U372" s="87">
        <v>0.333333</v>
      </c>
      <c r="V372" s="87">
        <v>0.333333</v>
      </c>
      <c r="W372" s="87">
        <v>95.3394</v>
      </c>
      <c r="X372" s="87">
        <v>95.3394</v>
      </c>
      <c r="Y372" s="87">
        <v>31.89091</v>
      </c>
      <c r="Z372" s="88" t="s">
        <v>1396</v>
      </c>
    </row>
    <row r="373" hidden="1">
      <c r="A373" s="90" t="s">
        <v>1846</v>
      </c>
      <c r="B373" s="90" t="s">
        <v>1897</v>
      </c>
      <c r="C373" s="90" t="s">
        <v>1848</v>
      </c>
      <c r="D373" s="90" t="s">
        <v>1896</v>
      </c>
      <c r="E373" s="86">
        <v>46310.0</v>
      </c>
      <c r="F373" s="87">
        <v>28.0</v>
      </c>
      <c r="G373" s="87">
        <v>7.0</v>
      </c>
      <c r="H373" s="87">
        <v>11498.0</v>
      </c>
      <c r="I373" s="87">
        <v>77.0</v>
      </c>
      <c r="J373" s="87">
        <v>96.59882</v>
      </c>
      <c r="K373" s="87">
        <v>101.2507</v>
      </c>
      <c r="L373" s="87">
        <v>104.2711</v>
      </c>
      <c r="M373" s="87">
        <v>67.9683</v>
      </c>
      <c r="N373" s="87">
        <v>0.671287</v>
      </c>
      <c r="O373" s="87">
        <v>0.0</v>
      </c>
      <c r="P373" s="87">
        <v>0.148352</v>
      </c>
      <c r="Q373" s="87">
        <v>2.094098</v>
      </c>
      <c r="R373" s="87">
        <v>4.447421</v>
      </c>
      <c r="S373" s="87">
        <v>6.718366</v>
      </c>
      <c r="T373" s="87">
        <v>2.094098</v>
      </c>
      <c r="U373" s="87">
        <v>2.293161</v>
      </c>
      <c r="V373" s="87">
        <v>3.323334</v>
      </c>
      <c r="W373" s="87">
        <v>5.280214</v>
      </c>
      <c r="X373" s="87">
        <v>12.7403</v>
      </c>
      <c r="Y373" s="87">
        <v>6.328171</v>
      </c>
      <c r="Z373" s="88" t="s">
        <v>1396</v>
      </c>
    </row>
    <row r="374" hidden="1">
      <c r="A374" s="90" t="s">
        <v>1850</v>
      </c>
      <c r="B374" s="90" t="s">
        <v>1898</v>
      </c>
      <c r="C374" s="90" t="s">
        <v>1848</v>
      </c>
      <c r="D374" s="90" t="s">
        <v>1896</v>
      </c>
      <c r="E374" s="90" t="s">
        <v>1413</v>
      </c>
      <c r="F374" s="87">
        <v>25.0</v>
      </c>
      <c r="G374" s="87">
        <v>4.0</v>
      </c>
      <c r="H374" s="87">
        <v>16142.0</v>
      </c>
      <c r="I374" s="87">
        <v>203.0</v>
      </c>
      <c r="J374" s="87">
        <v>146.224</v>
      </c>
      <c r="K374" s="87">
        <v>146.8824</v>
      </c>
      <c r="L374" s="87">
        <v>150.0067</v>
      </c>
      <c r="M374" s="87">
        <v>99.77064</v>
      </c>
      <c r="N374" s="87">
        <v>0.679255</v>
      </c>
      <c r="O374" s="87">
        <v>0.969635</v>
      </c>
      <c r="P374" s="87">
        <v>1.730742</v>
      </c>
      <c r="Q374" s="87">
        <v>3.282206</v>
      </c>
      <c r="R374" s="87">
        <v>4.436942</v>
      </c>
      <c r="S374" s="87">
        <v>5.655684</v>
      </c>
      <c r="T374" s="87">
        <v>1.689843</v>
      </c>
      <c r="U374" s="87">
        <v>2.446147</v>
      </c>
      <c r="V374" s="87">
        <v>3.282206</v>
      </c>
      <c r="W374" s="87">
        <v>4.857618</v>
      </c>
      <c r="X374" s="87">
        <v>9.832639</v>
      </c>
      <c r="Y374" s="87">
        <v>8.64014</v>
      </c>
      <c r="Z374" s="88" t="s">
        <v>1396</v>
      </c>
    </row>
    <row r="375" hidden="1">
      <c r="A375" s="90" t="s">
        <v>1852</v>
      </c>
      <c r="B375" s="90" t="s">
        <v>1899</v>
      </c>
      <c r="C375" s="90" t="s">
        <v>1848</v>
      </c>
      <c r="D375" s="90" t="s">
        <v>1896</v>
      </c>
      <c r="E375" s="90" t="s">
        <v>1398</v>
      </c>
      <c r="F375" s="87">
        <v>21.0</v>
      </c>
      <c r="G375" s="87">
        <v>3.0</v>
      </c>
      <c r="H375" s="87">
        <v>9347.0</v>
      </c>
      <c r="I375" s="87">
        <v>11.0</v>
      </c>
      <c r="J375" s="87">
        <v>92.92181</v>
      </c>
      <c r="K375" s="87">
        <v>90.125</v>
      </c>
      <c r="L375" s="87">
        <v>88.3577</v>
      </c>
      <c r="M375" s="87">
        <v>56.49514</v>
      </c>
      <c r="N375" s="87">
        <v>0.626853</v>
      </c>
      <c r="O375" s="87">
        <v>0.206667</v>
      </c>
      <c r="P375" s="87">
        <v>1.264454</v>
      </c>
      <c r="Q375" s="87">
        <v>1.977671</v>
      </c>
      <c r="R375" s="87">
        <v>2.985841</v>
      </c>
      <c r="S375" s="87">
        <v>7.55724</v>
      </c>
      <c r="T375" s="87">
        <v>0.969196</v>
      </c>
      <c r="U375" s="87">
        <v>1.977671</v>
      </c>
      <c r="V375" s="87">
        <v>2.070872</v>
      </c>
      <c r="W375" s="87">
        <v>2.985841</v>
      </c>
      <c r="X375" s="87">
        <v>7.55724</v>
      </c>
      <c r="Y375" s="87">
        <v>5.632813</v>
      </c>
      <c r="Z375" s="88" t="s">
        <v>1396</v>
      </c>
    </row>
    <row r="376" hidden="1">
      <c r="A376" s="90" t="s">
        <v>1854</v>
      </c>
      <c r="B376" s="90" t="s">
        <v>1900</v>
      </c>
      <c r="C376" s="90" t="s">
        <v>1848</v>
      </c>
      <c r="D376" s="90" t="s">
        <v>1896</v>
      </c>
      <c r="E376" s="90" t="s">
        <v>1400</v>
      </c>
      <c r="F376" s="87">
        <v>41.0</v>
      </c>
      <c r="G376" s="87">
        <v>5.0</v>
      </c>
      <c r="H376" s="87">
        <v>14882.0</v>
      </c>
      <c r="I376" s="87">
        <v>66.0</v>
      </c>
      <c r="J376" s="87">
        <v>117.7586</v>
      </c>
      <c r="K376" s="87">
        <v>119.1969</v>
      </c>
      <c r="L376" s="87">
        <v>134.5771</v>
      </c>
      <c r="M376" s="87">
        <v>61.35863</v>
      </c>
      <c r="N376" s="87">
        <v>0.514767</v>
      </c>
      <c r="O376" s="87">
        <v>0.362444</v>
      </c>
      <c r="P376" s="87">
        <v>0.569278</v>
      </c>
      <c r="Q376" s="87">
        <v>2.346394</v>
      </c>
      <c r="R376" s="87">
        <v>4.251433</v>
      </c>
      <c r="S376" s="87">
        <v>5.544019</v>
      </c>
      <c r="T376" s="87">
        <v>0.362444</v>
      </c>
      <c r="U376" s="87">
        <v>0.569278</v>
      </c>
      <c r="V376" s="87">
        <v>2.346394</v>
      </c>
      <c r="W376" s="87">
        <v>4.251433</v>
      </c>
      <c r="X376" s="87">
        <v>5.544019</v>
      </c>
      <c r="Y376" s="87">
        <v>4.966537</v>
      </c>
      <c r="Z376" s="88" t="s">
        <v>1396</v>
      </c>
    </row>
    <row r="377" hidden="1">
      <c r="A377" s="90" t="s">
        <v>1856</v>
      </c>
      <c r="B377" s="90" t="s">
        <v>1901</v>
      </c>
      <c r="C377" s="90" t="s">
        <v>1848</v>
      </c>
      <c r="D377" s="90" t="s">
        <v>1896</v>
      </c>
      <c r="E377" s="89">
        <v>46300.0</v>
      </c>
      <c r="F377" s="87">
        <v>14.0</v>
      </c>
      <c r="G377" s="87">
        <v>6.0</v>
      </c>
      <c r="H377" s="87">
        <v>12909.0</v>
      </c>
      <c r="I377" s="87">
        <v>76.0</v>
      </c>
      <c r="J377" s="87">
        <v>142.1374</v>
      </c>
      <c r="K377" s="87">
        <v>154.9359</v>
      </c>
      <c r="L377" s="87">
        <v>159.6393</v>
      </c>
      <c r="M377" s="87">
        <v>86.95027</v>
      </c>
      <c r="N377" s="87">
        <v>0.561201</v>
      </c>
      <c r="O377" s="87">
        <v>0.0</v>
      </c>
      <c r="P377" s="87">
        <v>0.0</v>
      </c>
      <c r="Q377" s="87">
        <v>0.074074</v>
      </c>
      <c r="R377" s="87">
        <v>27.50234</v>
      </c>
      <c r="S377" s="87">
        <v>29.89383</v>
      </c>
      <c r="T377" s="87">
        <v>0.074074</v>
      </c>
      <c r="U377" s="87">
        <v>10.51544</v>
      </c>
      <c r="V377" s="87">
        <v>10.51544</v>
      </c>
      <c r="W377" s="87">
        <v>29.89383</v>
      </c>
      <c r="X377" s="87">
        <v>39.47845</v>
      </c>
      <c r="Y377" s="87">
        <v>19.36699</v>
      </c>
      <c r="Z377" s="88" t="s">
        <v>1396</v>
      </c>
    </row>
    <row r="378" hidden="1">
      <c r="A378" s="90" t="s">
        <v>1858</v>
      </c>
      <c r="B378" s="90" t="s">
        <v>1902</v>
      </c>
      <c r="C378" s="90" t="s">
        <v>1848</v>
      </c>
      <c r="D378" s="90" t="s">
        <v>1896</v>
      </c>
      <c r="E378" s="90" t="s">
        <v>1403</v>
      </c>
      <c r="F378" s="87">
        <v>7.0</v>
      </c>
      <c r="G378" s="87">
        <v>7.0</v>
      </c>
      <c r="H378" s="87">
        <v>227.0</v>
      </c>
      <c r="I378" s="87">
        <v>227.0</v>
      </c>
      <c r="J378" s="87">
        <v>0.0</v>
      </c>
      <c r="K378" s="87">
        <v>0.0</v>
      </c>
      <c r="L378" s="87">
        <v>0.0</v>
      </c>
      <c r="M378" s="87">
        <v>0.0</v>
      </c>
      <c r="N378" s="91"/>
      <c r="O378" s="87">
        <v>0.0</v>
      </c>
      <c r="P378" s="87">
        <v>0.0</v>
      </c>
      <c r="Q378" s="87">
        <v>0.0</v>
      </c>
      <c r="R378" s="87">
        <v>0.0</v>
      </c>
      <c r="S378" s="87">
        <v>0.0</v>
      </c>
      <c r="T378" s="91"/>
      <c r="U378" s="91"/>
      <c r="V378" s="91"/>
      <c r="W378" s="91"/>
      <c r="X378" s="91"/>
      <c r="Y378" s="87">
        <v>0.0</v>
      </c>
      <c r="Z378" s="88" t="s">
        <v>1396</v>
      </c>
    </row>
    <row r="379" hidden="1">
      <c r="A379" s="90" t="s">
        <v>1903</v>
      </c>
      <c r="B379" s="90" t="s">
        <v>1904</v>
      </c>
      <c r="C379" s="90" t="s">
        <v>258</v>
      </c>
      <c r="D379" s="90" t="s">
        <v>899</v>
      </c>
      <c r="E379" s="90" t="s">
        <v>1426</v>
      </c>
      <c r="F379" s="87">
        <v>1.0</v>
      </c>
      <c r="G379" s="87">
        <v>1.0</v>
      </c>
      <c r="H379" s="87">
        <v>2.0</v>
      </c>
      <c r="I379" s="87">
        <v>2.0</v>
      </c>
      <c r="J379" s="87">
        <v>0.0</v>
      </c>
      <c r="K379" s="87">
        <v>0.15</v>
      </c>
      <c r="L379" s="87">
        <v>0.06</v>
      </c>
      <c r="M379" s="87">
        <v>0.15</v>
      </c>
      <c r="N379" s="87">
        <v>1.0</v>
      </c>
      <c r="O379" s="87">
        <v>0.0</v>
      </c>
      <c r="P379" s="87">
        <v>0.0</v>
      </c>
      <c r="Q379" s="87">
        <v>0.0</v>
      </c>
      <c r="R379" s="87">
        <v>0.0</v>
      </c>
      <c r="S379" s="87">
        <v>0.15</v>
      </c>
      <c r="T379" s="87">
        <v>0.15</v>
      </c>
      <c r="U379" s="87">
        <v>0.15</v>
      </c>
      <c r="V379" s="87">
        <v>0.15</v>
      </c>
      <c r="W379" s="87">
        <v>0.15</v>
      </c>
      <c r="X379" s="87">
        <v>0.15</v>
      </c>
      <c r="Y379" s="87">
        <v>0.05</v>
      </c>
      <c r="Z379" s="88" t="s">
        <v>1396</v>
      </c>
    </row>
    <row r="380" hidden="1">
      <c r="A380" s="90" t="s">
        <v>1905</v>
      </c>
      <c r="B380" s="90" t="s">
        <v>1906</v>
      </c>
      <c r="C380" s="90" t="s">
        <v>258</v>
      </c>
      <c r="D380" s="90" t="s">
        <v>899</v>
      </c>
      <c r="E380" s="90" t="s">
        <v>1413</v>
      </c>
      <c r="F380" s="87">
        <v>2.0</v>
      </c>
      <c r="G380" s="87">
        <v>0.0</v>
      </c>
      <c r="H380" s="87">
        <v>1195.0</v>
      </c>
      <c r="I380" s="87">
        <v>0.0</v>
      </c>
      <c r="J380" s="87">
        <v>8.121379</v>
      </c>
      <c r="K380" s="87">
        <v>8.895524</v>
      </c>
      <c r="L380" s="87">
        <v>7.281711</v>
      </c>
      <c r="M380" s="87">
        <v>8.895524</v>
      </c>
      <c r="N380" s="87">
        <v>1.0</v>
      </c>
      <c r="O380" s="87">
        <v>8.895524</v>
      </c>
      <c r="P380" s="87">
        <v>8.895524</v>
      </c>
      <c r="Q380" s="87">
        <v>8.895524</v>
      </c>
      <c r="R380" s="87">
        <v>8.895524</v>
      </c>
      <c r="S380" s="87">
        <v>8.895524</v>
      </c>
      <c r="T380" s="87">
        <v>8.895524</v>
      </c>
      <c r="U380" s="87">
        <v>8.895524</v>
      </c>
      <c r="V380" s="87">
        <v>8.895524</v>
      </c>
      <c r="W380" s="87">
        <v>8.895524</v>
      </c>
      <c r="X380" s="87">
        <v>8.895524</v>
      </c>
      <c r="Y380" s="87">
        <v>8.895524</v>
      </c>
      <c r="Z380" s="88" t="s">
        <v>1396</v>
      </c>
    </row>
    <row r="381" hidden="1">
      <c r="A381" s="90" t="s">
        <v>1907</v>
      </c>
      <c r="B381" s="90" t="s">
        <v>1908</v>
      </c>
      <c r="C381" s="90" t="s">
        <v>258</v>
      </c>
      <c r="D381" s="90" t="s">
        <v>899</v>
      </c>
      <c r="E381" s="90" t="s">
        <v>1398</v>
      </c>
      <c r="F381" s="87">
        <v>2.0</v>
      </c>
      <c r="G381" s="87">
        <v>0.0</v>
      </c>
      <c r="H381" s="87">
        <v>1000.0</v>
      </c>
      <c r="I381" s="87">
        <v>0.0</v>
      </c>
      <c r="J381" s="87">
        <v>4.368132</v>
      </c>
      <c r="K381" s="87">
        <v>6.063907</v>
      </c>
      <c r="L381" s="87">
        <v>5.638744</v>
      </c>
      <c r="M381" s="87">
        <v>5.73534</v>
      </c>
      <c r="N381" s="87">
        <v>0.945816</v>
      </c>
      <c r="O381" s="87">
        <v>0.328567</v>
      </c>
      <c r="P381" s="87">
        <v>0.328567</v>
      </c>
      <c r="Q381" s="87">
        <v>0.328567</v>
      </c>
      <c r="R381" s="87">
        <v>5.73534</v>
      </c>
      <c r="S381" s="87">
        <v>5.73534</v>
      </c>
      <c r="T381" s="87">
        <v>0.328567</v>
      </c>
      <c r="U381" s="87">
        <v>0.328567</v>
      </c>
      <c r="V381" s="87">
        <v>0.328567</v>
      </c>
      <c r="W381" s="87">
        <v>5.73534</v>
      </c>
      <c r="X381" s="87">
        <v>5.73534</v>
      </c>
      <c r="Y381" s="87">
        <v>3.031953</v>
      </c>
      <c r="Z381" s="88" t="s">
        <v>1396</v>
      </c>
    </row>
    <row r="382" hidden="1">
      <c r="A382" s="90" t="s">
        <v>1909</v>
      </c>
      <c r="B382" s="90" t="s">
        <v>1910</v>
      </c>
      <c r="C382" s="90" t="s">
        <v>258</v>
      </c>
      <c r="D382" s="90" t="s">
        <v>899</v>
      </c>
      <c r="E382" s="90" t="s">
        <v>1400</v>
      </c>
      <c r="F382" s="87">
        <v>6.0</v>
      </c>
      <c r="G382" s="87">
        <v>0.0</v>
      </c>
      <c r="H382" s="87">
        <v>1246.0</v>
      </c>
      <c r="I382" s="87">
        <v>0.0</v>
      </c>
      <c r="J382" s="87">
        <v>3.020646</v>
      </c>
      <c r="K382" s="87">
        <v>4.408705</v>
      </c>
      <c r="L382" s="87">
        <v>3.250629</v>
      </c>
      <c r="M382" s="87">
        <v>3.520661</v>
      </c>
      <c r="N382" s="87">
        <v>0.79857</v>
      </c>
      <c r="O382" s="87">
        <v>0.033333</v>
      </c>
      <c r="P382" s="87">
        <v>0.066667</v>
      </c>
      <c r="Q382" s="87">
        <v>0.066667</v>
      </c>
      <c r="R382" s="87">
        <v>0.217664</v>
      </c>
      <c r="S382" s="87">
        <v>0.57038</v>
      </c>
      <c r="T382" s="87">
        <v>0.033333</v>
      </c>
      <c r="U382" s="87">
        <v>0.066667</v>
      </c>
      <c r="V382" s="87">
        <v>0.066667</v>
      </c>
      <c r="W382" s="87">
        <v>0.217664</v>
      </c>
      <c r="X382" s="87">
        <v>0.57038</v>
      </c>
      <c r="Y382" s="87">
        <v>0.881741</v>
      </c>
      <c r="Z382" s="88" t="s">
        <v>1396</v>
      </c>
    </row>
    <row r="383" hidden="1">
      <c r="A383" s="90" t="s">
        <v>1911</v>
      </c>
      <c r="B383" s="90" t="s">
        <v>1912</v>
      </c>
      <c r="C383" s="90" t="s">
        <v>258</v>
      </c>
      <c r="D383" s="90" t="s">
        <v>899</v>
      </c>
      <c r="E383" s="89">
        <v>46300.0</v>
      </c>
      <c r="F383" s="87">
        <v>2.0</v>
      </c>
      <c r="G383" s="87">
        <v>0.0</v>
      </c>
      <c r="H383" s="87">
        <v>757.0</v>
      </c>
      <c r="I383" s="87">
        <v>0.0</v>
      </c>
      <c r="J383" s="87">
        <v>12.97707</v>
      </c>
      <c r="K383" s="87">
        <v>12.67532</v>
      </c>
      <c r="L383" s="87">
        <v>11.99917</v>
      </c>
      <c r="M383" s="87">
        <v>12.67532</v>
      </c>
      <c r="N383" s="87">
        <v>1.0</v>
      </c>
      <c r="O383" s="87">
        <v>0.0</v>
      </c>
      <c r="P383" s="87">
        <v>0.0</v>
      </c>
      <c r="Q383" s="87">
        <v>0.0</v>
      </c>
      <c r="R383" s="87">
        <v>0.0</v>
      </c>
      <c r="S383" s="87">
        <v>12.67532</v>
      </c>
      <c r="T383" s="87">
        <v>12.67532</v>
      </c>
      <c r="U383" s="87">
        <v>12.67532</v>
      </c>
      <c r="V383" s="87">
        <v>12.67532</v>
      </c>
      <c r="W383" s="87">
        <v>12.67532</v>
      </c>
      <c r="X383" s="87">
        <v>12.67532</v>
      </c>
      <c r="Y383" s="87">
        <v>4.225108</v>
      </c>
      <c r="Z383" s="88" t="s">
        <v>1396</v>
      </c>
    </row>
    <row r="384" hidden="1">
      <c r="A384" s="90" t="s">
        <v>1913</v>
      </c>
      <c r="B384" s="90" t="s">
        <v>1914</v>
      </c>
      <c r="C384" s="90" t="s">
        <v>258</v>
      </c>
      <c r="D384" s="90" t="s">
        <v>899</v>
      </c>
      <c r="E384" s="90" t="s">
        <v>1403</v>
      </c>
      <c r="F384" s="87">
        <v>1.0</v>
      </c>
      <c r="G384" s="87">
        <v>1.0</v>
      </c>
      <c r="H384" s="87">
        <v>16.0</v>
      </c>
      <c r="I384" s="87">
        <v>16.0</v>
      </c>
      <c r="J384" s="87">
        <v>0.0</v>
      </c>
      <c r="K384" s="87">
        <v>0.0</v>
      </c>
      <c r="L384" s="87">
        <v>0.0</v>
      </c>
      <c r="M384" s="87">
        <v>0.0</v>
      </c>
      <c r="N384" s="85"/>
      <c r="O384" s="87">
        <v>0.0</v>
      </c>
      <c r="P384" s="87">
        <v>0.0</v>
      </c>
      <c r="Q384" s="87">
        <v>0.0</v>
      </c>
      <c r="R384" s="87">
        <v>0.0</v>
      </c>
      <c r="S384" s="87">
        <v>0.0</v>
      </c>
      <c r="T384" s="91"/>
      <c r="U384" s="91"/>
      <c r="V384" s="91"/>
      <c r="W384" s="91"/>
      <c r="X384" s="91"/>
      <c r="Y384" s="87">
        <v>0.0</v>
      </c>
      <c r="Z384" s="88" t="s">
        <v>1396</v>
      </c>
    </row>
    <row r="385" hidden="1">
      <c r="A385" s="90" t="s">
        <v>1903</v>
      </c>
      <c r="B385" s="90" t="s">
        <v>1915</v>
      </c>
      <c r="C385" s="90" t="s">
        <v>258</v>
      </c>
      <c r="D385" s="90" t="s">
        <v>1916</v>
      </c>
      <c r="E385" s="90" t="s">
        <v>1426</v>
      </c>
      <c r="F385" s="87">
        <v>0.0</v>
      </c>
      <c r="G385" s="87">
        <v>0.0</v>
      </c>
      <c r="H385" s="87">
        <v>0.0</v>
      </c>
      <c r="I385" s="87">
        <v>0.0</v>
      </c>
      <c r="J385" s="87">
        <v>0.0</v>
      </c>
      <c r="K385" s="87">
        <v>0.0</v>
      </c>
      <c r="L385" s="87">
        <v>0.0</v>
      </c>
      <c r="M385" s="87">
        <v>0.0</v>
      </c>
      <c r="N385" s="91"/>
      <c r="O385" s="87">
        <v>0.0</v>
      </c>
      <c r="P385" s="87">
        <v>0.0</v>
      </c>
      <c r="Q385" s="87">
        <v>0.0</v>
      </c>
      <c r="R385" s="87">
        <v>0.0</v>
      </c>
      <c r="S385" s="87">
        <v>0.0</v>
      </c>
      <c r="T385" s="91"/>
      <c r="U385" s="91"/>
      <c r="V385" s="91"/>
      <c r="W385" s="91"/>
      <c r="X385" s="91"/>
      <c r="Y385" s="87">
        <v>0.0</v>
      </c>
      <c r="Z385" s="88" t="s">
        <v>1396</v>
      </c>
    </row>
    <row r="386" hidden="1">
      <c r="A386" s="90" t="s">
        <v>1917</v>
      </c>
      <c r="B386" s="90" t="s">
        <v>1918</v>
      </c>
      <c r="C386" s="90" t="s">
        <v>258</v>
      </c>
      <c r="D386" s="90" t="s">
        <v>1916</v>
      </c>
      <c r="E386" s="86">
        <v>46310.0</v>
      </c>
      <c r="F386" s="87">
        <v>7.0</v>
      </c>
      <c r="G386" s="87">
        <v>2.0</v>
      </c>
      <c r="H386" s="87">
        <v>54.0</v>
      </c>
      <c r="I386" s="87">
        <v>5.0</v>
      </c>
      <c r="J386" s="87">
        <v>0.0</v>
      </c>
      <c r="K386" s="87">
        <v>0.0</v>
      </c>
      <c r="L386" s="87">
        <v>0.0</v>
      </c>
      <c r="M386" s="87">
        <v>0.0</v>
      </c>
      <c r="N386" s="91"/>
      <c r="O386" s="91"/>
      <c r="P386" s="91"/>
      <c r="Q386" s="91"/>
      <c r="R386" s="91"/>
      <c r="S386" s="91"/>
      <c r="T386" s="91"/>
      <c r="U386" s="91"/>
      <c r="V386" s="91"/>
      <c r="W386" s="91"/>
      <c r="X386" s="91"/>
      <c r="Y386" s="91"/>
      <c r="Z386" s="88" t="s">
        <v>1396</v>
      </c>
    </row>
    <row r="387" hidden="1">
      <c r="A387" s="90" t="s">
        <v>1905</v>
      </c>
      <c r="B387" s="90" t="s">
        <v>1919</v>
      </c>
      <c r="C387" s="90" t="s">
        <v>258</v>
      </c>
      <c r="D387" s="90" t="s">
        <v>1916</v>
      </c>
      <c r="E387" s="90" t="s">
        <v>1413</v>
      </c>
      <c r="F387" s="87">
        <v>1.0</v>
      </c>
      <c r="G387" s="87">
        <v>0.0</v>
      </c>
      <c r="H387" s="87">
        <v>1.0</v>
      </c>
      <c r="I387" s="87">
        <v>0.0</v>
      </c>
      <c r="J387" s="87">
        <v>0.0</v>
      </c>
      <c r="K387" s="87">
        <v>0.0</v>
      </c>
      <c r="L387" s="87">
        <v>0.0</v>
      </c>
      <c r="M387" s="87">
        <v>0.0</v>
      </c>
      <c r="N387" s="91"/>
      <c r="O387" s="91"/>
      <c r="P387" s="91"/>
      <c r="Q387" s="91"/>
      <c r="R387" s="91"/>
      <c r="S387" s="91"/>
      <c r="T387" s="91"/>
      <c r="U387" s="91"/>
      <c r="V387" s="91"/>
      <c r="W387" s="91"/>
      <c r="X387" s="91"/>
      <c r="Y387" s="91"/>
      <c r="Z387" s="88" t="s">
        <v>1396</v>
      </c>
    </row>
    <row r="388" hidden="1">
      <c r="A388" s="90" t="s">
        <v>1907</v>
      </c>
      <c r="B388" s="90" t="s">
        <v>1920</v>
      </c>
      <c r="C388" s="90" t="s">
        <v>258</v>
      </c>
      <c r="D388" s="90" t="s">
        <v>1916</v>
      </c>
      <c r="E388" s="90" t="s">
        <v>1398</v>
      </c>
      <c r="F388" s="87">
        <v>1.0</v>
      </c>
      <c r="G388" s="87">
        <v>0.0</v>
      </c>
      <c r="H388" s="87">
        <v>258.0</v>
      </c>
      <c r="I388" s="87">
        <v>0.0</v>
      </c>
      <c r="J388" s="87">
        <v>1.337879</v>
      </c>
      <c r="K388" s="87">
        <v>1.097273</v>
      </c>
      <c r="L388" s="87">
        <v>0.921023</v>
      </c>
      <c r="M388" s="87">
        <v>1.097273</v>
      </c>
      <c r="N388" s="87">
        <v>1.0</v>
      </c>
      <c r="O388" s="87">
        <v>1.097273</v>
      </c>
      <c r="P388" s="87">
        <v>1.097273</v>
      </c>
      <c r="Q388" s="87">
        <v>1.097273</v>
      </c>
      <c r="R388" s="87">
        <v>1.097273</v>
      </c>
      <c r="S388" s="87">
        <v>1.097273</v>
      </c>
      <c r="T388" s="87">
        <v>1.097273</v>
      </c>
      <c r="U388" s="87">
        <v>1.097273</v>
      </c>
      <c r="V388" s="87">
        <v>1.097273</v>
      </c>
      <c r="W388" s="87">
        <v>1.097273</v>
      </c>
      <c r="X388" s="87">
        <v>1.097273</v>
      </c>
      <c r="Y388" s="87">
        <v>1.097273</v>
      </c>
      <c r="Z388" s="88" t="s">
        <v>1396</v>
      </c>
    </row>
    <row r="389" hidden="1">
      <c r="A389" s="90" t="s">
        <v>1909</v>
      </c>
      <c r="B389" s="90" t="s">
        <v>1921</v>
      </c>
      <c r="C389" s="90" t="s">
        <v>258</v>
      </c>
      <c r="D389" s="90" t="s">
        <v>1916</v>
      </c>
      <c r="E389" s="90" t="s">
        <v>1400</v>
      </c>
      <c r="F389" s="87">
        <v>17.0</v>
      </c>
      <c r="G389" s="87">
        <v>0.0</v>
      </c>
      <c r="H389" s="87">
        <v>6951.0</v>
      </c>
      <c r="I389" s="87">
        <v>0.0</v>
      </c>
      <c r="J389" s="87">
        <v>104.3683</v>
      </c>
      <c r="K389" s="87">
        <v>103.416</v>
      </c>
      <c r="L389" s="87">
        <v>99.89855</v>
      </c>
      <c r="M389" s="87">
        <v>49.44331</v>
      </c>
      <c r="N389" s="87">
        <v>0.478101</v>
      </c>
      <c r="O389" s="87">
        <v>0.899107</v>
      </c>
      <c r="P389" s="87">
        <v>4.419952</v>
      </c>
      <c r="Q389" s="87">
        <v>5.642104</v>
      </c>
      <c r="R389" s="87">
        <v>7.702449</v>
      </c>
      <c r="S389" s="87">
        <v>14.51334</v>
      </c>
      <c r="T389" s="87">
        <v>0.899107</v>
      </c>
      <c r="U389" s="87">
        <v>4.419952</v>
      </c>
      <c r="V389" s="87">
        <v>5.642104</v>
      </c>
      <c r="W389" s="87">
        <v>7.702449</v>
      </c>
      <c r="X389" s="87">
        <v>14.51334</v>
      </c>
      <c r="Y389" s="87">
        <v>10.3416</v>
      </c>
      <c r="Z389" s="88" t="s">
        <v>1396</v>
      </c>
    </row>
    <row r="390" hidden="1">
      <c r="A390" s="90" t="s">
        <v>1911</v>
      </c>
      <c r="B390" s="90" t="s">
        <v>3317</v>
      </c>
      <c r="C390" s="90" t="s">
        <v>258</v>
      </c>
      <c r="D390" s="90" t="s">
        <v>1916</v>
      </c>
      <c r="E390" s="89">
        <v>46300.0</v>
      </c>
      <c r="F390" s="87">
        <v>2.0</v>
      </c>
      <c r="G390" s="87">
        <v>1.0</v>
      </c>
      <c r="H390" s="87">
        <v>36.0</v>
      </c>
      <c r="I390" s="87">
        <v>6.0</v>
      </c>
      <c r="J390" s="87">
        <v>0.0</v>
      </c>
      <c r="K390" s="87">
        <v>0.0</v>
      </c>
      <c r="L390" s="87">
        <v>0.0</v>
      </c>
      <c r="M390" s="87">
        <v>0.0</v>
      </c>
      <c r="N390" s="91"/>
      <c r="O390" s="91"/>
      <c r="P390" s="91"/>
      <c r="Q390" s="91"/>
      <c r="R390" s="91"/>
      <c r="S390" s="91"/>
      <c r="T390" s="91"/>
      <c r="U390" s="91"/>
      <c r="V390" s="91"/>
      <c r="W390" s="91"/>
      <c r="X390" s="91"/>
      <c r="Y390" s="91"/>
      <c r="Z390" s="88" t="s">
        <v>1396</v>
      </c>
    </row>
    <row r="391" hidden="1">
      <c r="A391" s="90" t="s">
        <v>1913</v>
      </c>
      <c r="B391" s="90" t="s">
        <v>1922</v>
      </c>
      <c r="C391" s="90" t="s">
        <v>258</v>
      </c>
      <c r="D391" s="90" t="s">
        <v>1916</v>
      </c>
      <c r="E391" s="90" t="s">
        <v>1403</v>
      </c>
      <c r="F391" s="87">
        <v>2.0</v>
      </c>
      <c r="G391" s="87">
        <v>2.0</v>
      </c>
      <c r="H391" s="87">
        <v>18.0</v>
      </c>
      <c r="I391" s="87">
        <v>18.0</v>
      </c>
      <c r="J391" s="87">
        <v>0.0</v>
      </c>
      <c r="K391" s="87">
        <v>0.0</v>
      </c>
      <c r="L391" s="87">
        <v>0.0</v>
      </c>
      <c r="M391" s="87">
        <v>0.0</v>
      </c>
      <c r="N391" s="91"/>
      <c r="O391" s="87">
        <v>0.0</v>
      </c>
      <c r="P391" s="87">
        <v>0.0</v>
      </c>
      <c r="Q391" s="87">
        <v>0.0</v>
      </c>
      <c r="R391" s="87">
        <v>0.0</v>
      </c>
      <c r="S391" s="87">
        <v>0.0</v>
      </c>
      <c r="T391" s="91"/>
      <c r="U391" s="91"/>
      <c r="V391" s="91"/>
      <c r="W391" s="91"/>
      <c r="X391" s="91"/>
      <c r="Y391" s="87">
        <v>0.0</v>
      </c>
      <c r="Z391" s="88" t="s">
        <v>1396</v>
      </c>
    </row>
    <row r="392" hidden="1">
      <c r="A392" s="90" t="s">
        <v>1913</v>
      </c>
      <c r="B392" s="90" t="s">
        <v>1923</v>
      </c>
      <c r="C392" s="90" t="s">
        <v>258</v>
      </c>
      <c r="D392" s="90" t="s">
        <v>1924</v>
      </c>
      <c r="E392" s="90" t="s">
        <v>1403</v>
      </c>
      <c r="F392" s="87">
        <v>0.0</v>
      </c>
      <c r="G392" s="87">
        <v>0.0</v>
      </c>
      <c r="H392" s="87">
        <v>0.0</v>
      </c>
      <c r="I392" s="87">
        <v>0.0</v>
      </c>
      <c r="J392" s="87">
        <v>0.0</v>
      </c>
      <c r="K392" s="87">
        <v>0.0</v>
      </c>
      <c r="L392" s="87">
        <v>0.0</v>
      </c>
      <c r="M392" s="87">
        <v>0.0</v>
      </c>
      <c r="N392" s="91"/>
      <c r="O392" s="87">
        <v>0.0</v>
      </c>
      <c r="P392" s="87">
        <v>0.0</v>
      </c>
      <c r="Q392" s="87">
        <v>0.0</v>
      </c>
      <c r="R392" s="87">
        <v>0.0</v>
      </c>
      <c r="S392" s="87">
        <v>0.0</v>
      </c>
      <c r="T392" s="91"/>
      <c r="U392" s="91"/>
      <c r="V392" s="91"/>
      <c r="W392" s="91"/>
      <c r="X392" s="91"/>
      <c r="Y392" s="87">
        <v>0.0</v>
      </c>
      <c r="Z392" s="88" t="s">
        <v>1396</v>
      </c>
    </row>
    <row r="393" hidden="1">
      <c r="A393" s="90" t="s">
        <v>1903</v>
      </c>
      <c r="B393" s="90" t="s">
        <v>1925</v>
      </c>
      <c r="C393" s="90" t="s">
        <v>258</v>
      </c>
      <c r="D393" s="90" t="s">
        <v>1926</v>
      </c>
      <c r="E393" s="90" t="s">
        <v>1426</v>
      </c>
      <c r="F393" s="87">
        <v>0.0</v>
      </c>
      <c r="G393" s="87">
        <v>0.0</v>
      </c>
      <c r="H393" s="87">
        <v>0.0</v>
      </c>
      <c r="I393" s="87">
        <v>0.0</v>
      </c>
      <c r="J393" s="87">
        <v>0.0</v>
      </c>
      <c r="K393" s="87">
        <v>0.0</v>
      </c>
      <c r="L393" s="87">
        <v>0.0</v>
      </c>
      <c r="M393" s="87">
        <v>0.0</v>
      </c>
      <c r="N393" s="91"/>
      <c r="O393" s="87">
        <v>0.0</v>
      </c>
      <c r="P393" s="87">
        <v>0.0</v>
      </c>
      <c r="Q393" s="87">
        <v>0.0</v>
      </c>
      <c r="R393" s="87">
        <v>0.0</v>
      </c>
      <c r="S393" s="87">
        <v>0.0</v>
      </c>
      <c r="T393" s="91"/>
      <c r="U393" s="91"/>
      <c r="V393" s="91"/>
      <c r="W393" s="91"/>
      <c r="X393" s="91"/>
      <c r="Y393" s="87">
        <v>0.0</v>
      </c>
      <c r="Z393" s="88" t="s">
        <v>1396</v>
      </c>
    </row>
    <row r="394" hidden="1">
      <c r="A394" s="90" t="s">
        <v>1917</v>
      </c>
      <c r="B394" s="90" t="s">
        <v>1927</v>
      </c>
      <c r="C394" s="90" t="s">
        <v>258</v>
      </c>
      <c r="D394" s="90" t="s">
        <v>1926</v>
      </c>
      <c r="E394" s="86">
        <v>46310.0</v>
      </c>
      <c r="F394" s="87">
        <v>8.0</v>
      </c>
      <c r="G394" s="87">
        <v>1.0</v>
      </c>
      <c r="H394" s="87">
        <v>2129.0</v>
      </c>
      <c r="I394" s="87">
        <v>28.0</v>
      </c>
      <c r="J394" s="87">
        <v>35.90159</v>
      </c>
      <c r="K394" s="87">
        <v>38.29538</v>
      </c>
      <c r="L394" s="87">
        <v>38.56348</v>
      </c>
      <c r="M394" s="87">
        <v>13.64808</v>
      </c>
      <c r="N394" s="87">
        <v>0.35639</v>
      </c>
      <c r="O394" s="87">
        <v>1.20821</v>
      </c>
      <c r="P394" s="87">
        <v>5.073234</v>
      </c>
      <c r="Q394" s="87">
        <v>5.073234</v>
      </c>
      <c r="R394" s="87">
        <v>9.061792</v>
      </c>
      <c r="S394" s="87">
        <v>9.30406</v>
      </c>
      <c r="T394" s="87">
        <v>1.20821</v>
      </c>
      <c r="U394" s="87">
        <v>5.073234</v>
      </c>
      <c r="V394" s="87">
        <v>5.073234</v>
      </c>
      <c r="W394" s="87">
        <v>9.061792</v>
      </c>
      <c r="X394" s="87">
        <v>9.30406</v>
      </c>
      <c r="Y394" s="87">
        <v>7.659076</v>
      </c>
      <c r="Z394" s="88" t="s">
        <v>1396</v>
      </c>
    </row>
    <row r="395" hidden="1">
      <c r="A395" s="90" t="s">
        <v>1905</v>
      </c>
      <c r="B395" s="90" t="s">
        <v>1928</v>
      </c>
      <c r="C395" s="90" t="s">
        <v>258</v>
      </c>
      <c r="D395" s="90" t="s">
        <v>1926</v>
      </c>
      <c r="E395" s="90" t="s">
        <v>1413</v>
      </c>
      <c r="F395" s="87">
        <v>17.0</v>
      </c>
      <c r="G395" s="87">
        <v>2.0</v>
      </c>
      <c r="H395" s="87">
        <v>7059.0</v>
      </c>
      <c r="I395" s="87">
        <v>4.0</v>
      </c>
      <c r="J395" s="87">
        <v>97.71759</v>
      </c>
      <c r="K395" s="87">
        <v>82.55227</v>
      </c>
      <c r="L395" s="87">
        <v>73.5674</v>
      </c>
      <c r="M395" s="87">
        <v>61.72941</v>
      </c>
      <c r="N395" s="87">
        <v>0.747761</v>
      </c>
      <c r="O395" s="87">
        <v>1.034869</v>
      </c>
      <c r="P395" s="87">
        <v>1.170197</v>
      </c>
      <c r="Q395" s="87">
        <v>2.158213</v>
      </c>
      <c r="R395" s="87">
        <v>2.504667</v>
      </c>
      <c r="S395" s="87">
        <v>6.048003</v>
      </c>
      <c r="T395" s="87">
        <v>1.034869</v>
      </c>
      <c r="U395" s="87">
        <v>1.170197</v>
      </c>
      <c r="V395" s="87">
        <v>2.158213</v>
      </c>
      <c r="W395" s="87">
        <v>2.504667</v>
      </c>
      <c r="X395" s="87">
        <v>6.048003</v>
      </c>
      <c r="Y395" s="87">
        <v>7.504752</v>
      </c>
      <c r="Z395" s="88" t="s">
        <v>1396</v>
      </c>
    </row>
    <row r="396" hidden="1">
      <c r="A396" s="90" t="s">
        <v>1907</v>
      </c>
      <c r="B396" s="90" t="s">
        <v>1929</v>
      </c>
      <c r="C396" s="90" t="s">
        <v>258</v>
      </c>
      <c r="D396" s="90" t="s">
        <v>1926</v>
      </c>
      <c r="E396" s="90" t="s">
        <v>1398</v>
      </c>
      <c r="F396" s="87">
        <v>7.0</v>
      </c>
      <c r="G396" s="87">
        <v>0.0</v>
      </c>
      <c r="H396" s="87">
        <v>1424.0</v>
      </c>
      <c r="I396" s="87">
        <v>0.0</v>
      </c>
      <c r="J396" s="87">
        <v>12.52301</v>
      </c>
      <c r="K396" s="87">
        <v>12.47395</v>
      </c>
      <c r="L396" s="87">
        <v>12.78089</v>
      </c>
      <c r="M396" s="87">
        <v>6.476285</v>
      </c>
      <c r="N396" s="87">
        <v>0.519185</v>
      </c>
      <c r="O396" s="87">
        <v>0.933333</v>
      </c>
      <c r="P396" s="87">
        <v>0.933333</v>
      </c>
      <c r="Q396" s="87">
        <v>1.294624</v>
      </c>
      <c r="R396" s="87">
        <v>3.76971</v>
      </c>
      <c r="S396" s="87">
        <v>3.76971</v>
      </c>
      <c r="T396" s="87">
        <v>0.933333</v>
      </c>
      <c r="U396" s="87">
        <v>0.933333</v>
      </c>
      <c r="V396" s="87">
        <v>1.294624</v>
      </c>
      <c r="W396" s="87">
        <v>3.76971</v>
      </c>
      <c r="X396" s="87">
        <v>3.76971</v>
      </c>
      <c r="Y396" s="87">
        <v>3.118488</v>
      </c>
      <c r="Z396" s="88" t="s">
        <v>1396</v>
      </c>
    </row>
    <row r="397" hidden="1">
      <c r="A397" s="90" t="s">
        <v>1909</v>
      </c>
      <c r="B397" s="90" t="s">
        <v>1930</v>
      </c>
      <c r="C397" s="90" t="s">
        <v>258</v>
      </c>
      <c r="D397" s="90" t="s">
        <v>1926</v>
      </c>
      <c r="E397" s="90" t="s">
        <v>1400</v>
      </c>
      <c r="F397" s="87">
        <v>14.0</v>
      </c>
      <c r="G397" s="87">
        <v>0.0</v>
      </c>
      <c r="H397" s="87">
        <v>2768.0</v>
      </c>
      <c r="I397" s="87">
        <v>0.0</v>
      </c>
      <c r="J397" s="87">
        <v>14.29231</v>
      </c>
      <c r="K397" s="87">
        <v>13.50125</v>
      </c>
      <c r="L397" s="87">
        <v>13.96297</v>
      </c>
      <c r="M397" s="87">
        <v>5.494455</v>
      </c>
      <c r="N397" s="87">
        <v>0.406959</v>
      </c>
      <c r="O397" s="87">
        <v>0.665591</v>
      </c>
      <c r="P397" s="87">
        <v>0.809971</v>
      </c>
      <c r="Q397" s="87">
        <v>0.898291</v>
      </c>
      <c r="R397" s="87">
        <v>1.127957</v>
      </c>
      <c r="S397" s="87">
        <v>1.228754</v>
      </c>
      <c r="T397" s="87">
        <v>0.665591</v>
      </c>
      <c r="U397" s="87">
        <v>0.809971</v>
      </c>
      <c r="V397" s="87">
        <v>0.898291</v>
      </c>
      <c r="W397" s="87">
        <v>1.127957</v>
      </c>
      <c r="X397" s="87">
        <v>1.228754</v>
      </c>
      <c r="Y397" s="87">
        <v>1.125104</v>
      </c>
      <c r="Z397" s="88" t="s">
        <v>1396</v>
      </c>
    </row>
    <row r="398" hidden="1">
      <c r="A398" s="90" t="s">
        <v>1911</v>
      </c>
      <c r="B398" s="90" t="s">
        <v>1931</v>
      </c>
      <c r="C398" s="90" t="s">
        <v>258</v>
      </c>
      <c r="D398" s="90" t="s">
        <v>1926</v>
      </c>
      <c r="E398" s="89">
        <v>46300.0</v>
      </c>
      <c r="F398" s="87">
        <v>2.0</v>
      </c>
      <c r="G398" s="87">
        <v>0.0</v>
      </c>
      <c r="H398" s="87">
        <v>108.0</v>
      </c>
      <c r="I398" s="87">
        <v>0.0</v>
      </c>
      <c r="J398" s="87">
        <v>0.0</v>
      </c>
      <c r="K398" s="87">
        <v>0.0</v>
      </c>
      <c r="L398" s="87">
        <v>0.0</v>
      </c>
      <c r="M398" s="87">
        <v>0.0</v>
      </c>
      <c r="N398" s="85"/>
      <c r="O398" s="91"/>
      <c r="P398" s="91"/>
      <c r="Q398" s="91"/>
      <c r="R398" s="91"/>
      <c r="S398" s="91"/>
      <c r="T398" s="91"/>
      <c r="U398" s="91"/>
      <c r="V398" s="91"/>
      <c r="W398" s="91"/>
      <c r="X398" s="91"/>
      <c r="Y398" s="91"/>
      <c r="Z398" s="88" t="s">
        <v>1396</v>
      </c>
    </row>
    <row r="399" hidden="1">
      <c r="A399" s="90" t="s">
        <v>1913</v>
      </c>
      <c r="B399" s="90" t="s">
        <v>1932</v>
      </c>
      <c r="C399" s="90" t="s">
        <v>258</v>
      </c>
      <c r="D399" s="90" t="s">
        <v>1926</v>
      </c>
      <c r="E399" s="90" t="s">
        <v>1403</v>
      </c>
      <c r="F399" s="87">
        <v>2.0</v>
      </c>
      <c r="G399" s="87">
        <v>2.0</v>
      </c>
      <c r="H399" s="87">
        <v>22.0</v>
      </c>
      <c r="I399" s="87">
        <v>22.0</v>
      </c>
      <c r="J399" s="87">
        <v>0.0</v>
      </c>
      <c r="K399" s="87">
        <v>0.0</v>
      </c>
      <c r="L399" s="87">
        <v>0.0</v>
      </c>
      <c r="M399" s="87">
        <v>0.0</v>
      </c>
      <c r="N399" s="91"/>
      <c r="O399" s="87">
        <v>0.0</v>
      </c>
      <c r="P399" s="87">
        <v>0.0</v>
      </c>
      <c r="Q399" s="87">
        <v>0.0</v>
      </c>
      <c r="R399" s="87">
        <v>0.0</v>
      </c>
      <c r="S399" s="87">
        <v>0.0</v>
      </c>
      <c r="T399" s="91"/>
      <c r="U399" s="91"/>
      <c r="V399" s="91"/>
      <c r="W399" s="91"/>
      <c r="X399" s="91"/>
      <c r="Y399" s="87">
        <v>0.0</v>
      </c>
      <c r="Z399" s="88" t="s">
        <v>1396</v>
      </c>
    </row>
    <row r="400" hidden="1">
      <c r="A400" s="90" t="s">
        <v>1903</v>
      </c>
      <c r="B400" s="90" t="s">
        <v>1933</v>
      </c>
      <c r="C400" s="90" t="s">
        <v>258</v>
      </c>
      <c r="D400" s="90" t="s">
        <v>259</v>
      </c>
      <c r="E400" s="90" t="s">
        <v>1426</v>
      </c>
      <c r="F400" s="87">
        <v>2.0</v>
      </c>
      <c r="G400" s="87">
        <v>1.0</v>
      </c>
      <c r="H400" s="87">
        <v>5376.0</v>
      </c>
      <c r="I400" s="87">
        <v>159.0</v>
      </c>
      <c r="J400" s="87">
        <v>56.54587</v>
      </c>
      <c r="K400" s="87">
        <v>59.82493</v>
      </c>
      <c r="L400" s="87">
        <v>62.37473</v>
      </c>
      <c r="M400" s="87">
        <v>59.82493</v>
      </c>
      <c r="N400" s="87">
        <v>1.0</v>
      </c>
      <c r="O400" s="87">
        <v>59.82493</v>
      </c>
      <c r="P400" s="87">
        <v>59.82493</v>
      </c>
      <c r="Q400" s="87">
        <v>59.82493</v>
      </c>
      <c r="R400" s="87">
        <v>59.82493</v>
      </c>
      <c r="S400" s="87">
        <v>59.82493</v>
      </c>
      <c r="T400" s="87">
        <v>59.82493</v>
      </c>
      <c r="U400" s="87">
        <v>59.82493</v>
      </c>
      <c r="V400" s="87">
        <v>59.82493</v>
      </c>
      <c r="W400" s="87">
        <v>59.82493</v>
      </c>
      <c r="X400" s="87">
        <v>59.82493</v>
      </c>
      <c r="Y400" s="87">
        <v>59.82493</v>
      </c>
      <c r="Z400" s="88" t="s">
        <v>1396</v>
      </c>
    </row>
    <row r="401" hidden="1">
      <c r="A401" s="90" t="s">
        <v>1917</v>
      </c>
      <c r="B401" s="90" t="s">
        <v>1934</v>
      </c>
      <c r="C401" s="90" t="s">
        <v>258</v>
      </c>
      <c r="D401" s="90" t="s">
        <v>259</v>
      </c>
      <c r="E401" s="86">
        <v>46310.0</v>
      </c>
      <c r="F401" s="87">
        <v>15.0</v>
      </c>
      <c r="G401" s="87">
        <v>2.0</v>
      </c>
      <c r="H401" s="87">
        <v>6853.0</v>
      </c>
      <c r="I401" s="87">
        <v>5.0</v>
      </c>
      <c r="J401" s="87">
        <v>67.15883</v>
      </c>
      <c r="K401" s="87">
        <v>67.5455</v>
      </c>
      <c r="L401" s="87">
        <v>71.18917</v>
      </c>
      <c r="M401" s="87">
        <v>23.97801</v>
      </c>
      <c r="N401" s="87">
        <v>0.35499</v>
      </c>
      <c r="O401" s="87">
        <v>2.491393</v>
      </c>
      <c r="P401" s="87">
        <v>3.940067</v>
      </c>
      <c r="Q401" s="87">
        <v>6.678609</v>
      </c>
      <c r="R401" s="87">
        <v>7.245553</v>
      </c>
      <c r="S401" s="87">
        <v>8.07206</v>
      </c>
      <c r="T401" s="87">
        <v>2.491393</v>
      </c>
      <c r="U401" s="87">
        <v>3.940067</v>
      </c>
      <c r="V401" s="87">
        <v>6.678609</v>
      </c>
      <c r="W401" s="87">
        <v>7.245553</v>
      </c>
      <c r="X401" s="87">
        <v>8.07206</v>
      </c>
      <c r="Y401" s="87">
        <v>6.75455</v>
      </c>
      <c r="Z401" s="88" t="s">
        <v>1396</v>
      </c>
    </row>
    <row r="402" hidden="1">
      <c r="A402" s="90" t="s">
        <v>1905</v>
      </c>
      <c r="B402" s="90" t="s">
        <v>1935</v>
      </c>
      <c r="C402" s="90" t="s">
        <v>258</v>
      </c>
      <c r="D402" s="90" t="s">
        <v>259</v>
      </c>
      <c r="E402" s="90" t="s">
        <v>1413</v>
      </c>
      <c r="F402" s="87">
        <v>12.0</v>
      </c>
      <c r="G402" s="87">
        <v>2.0</v>
      </c>
      <c r="H402" s="87">
        <v>6312.0</v>
      </c>
      <c r="I402" s="87">
        <v>58.0</v>
      </c>
      <c r="J402" s="87">
        <v>68.51387</v>
      </c>
      <c r="K402" s="87">
        <v>69.98343</v>
      </c>
      <c r="L402" s="87">
        <v>70.31811</v>
      </c>
      <c r="M402" s="87">
        <v>50.37826</v>
      </c>
      <c r="N402" s="87">
        <v>0.71986</v>
      </c>
      <c r="O402" s="87">
        <v>0.0</v>
      </c>
      <c r="P402" s="87">
        <v>0.190476</v>
      </c>
      <c r="Q402" s="87">
        <v>2.097519</v>
      </c>
      <c r="R402" s="87">
        <v>5.09764</v>
      </c>
      <c r="S402" s="87">
        <v>12.21953</v>
      </c>
      <c r="T402" s="87">
        <v>0.190476</v>
      </c>
      <c r="U402" s="87">
        <v>2.097519</v>
      </c>
      <c r="V402" s="87">
        <v>2.097519</v>
      </c>
      <c r="W402" s="87">
        <v>12.21953</v>
      </c>
      <c r="X402" s="87">
        <v>21.81275</v>
      </c>
      <c r="Y402" s="87">
        <v>9.997632</v>
      </c>
      <c r="Z402" s="88" t="s">
        <v>1396</v>
      </c>
    </row>
    <row r="403" hidden="1">
      <c r="A403" s="90" t="s">
        <v>1907</v>
      </c>
      <c r="B403" s="90" t="s">
        <v>1936</v>
      </c>
      <c r="C403" s="90" t="s">
        <v>258</v>
      </c>
      <c r="D403" s="90" t="s">
        <v>259</v>
      </c>
      <c r="E403" s="90" t="s">
        <v>1398</v>
      </c>
      <c r="F403" s="87">
        <v>15.0</v>
      </c>
      <c r="G403" s="87">
        <v>0.0</v>
      </c>
      <c r="H403" s="87">
        <v>6826.0</v>
      </c>
      <c r="I403" s="87">
        <v>0.0</v>
      </c>
      <c r="J403" s="87">
        <v>59.13751</v>
      </c>
      <c r="K403" s="87">
        <v>56.86024</v>
      </c>
      <c r="L403" s="87">
        <v>55.03035</v>
      </c>
      <c r="M403" s="87">
        <v>39.16102</v>
      </c>
      <c r="N403" s="87">
        <v>0.688724</v>
      </c>
      <c r="O403" s="87">
        <v>0.0</v>
      </c>
      <c r="P403" s="87">
        <v>0.331818</v>
      </c>
      <c r="Q403" s="87">
        <v>1.617022</v>
      </c>
      <c r="R403" s="87">
        <v>2.321717</v>
      </c>
      <c r="S403" s="87">
        <v>3.580223</v>
      </c>
      <c r="T403" s="87">
        <v>1.617022</v>
      </c>
      <c r="U403" s="87">
        <v>2.223317</v>
      </c>
      <c r="V403" s="87">
        <v>2.292428</v>
      </c>
      <c r="W403" s="87">
        <v>2.555881</v>
      </c>
      <c r="X403" s="87">
        <v>3.580223</v>
      </c>
      <c r="Y403" s="87">
        <v>4.373864</v>
      </c>
      <c r="Z403" s="88" t="s">
        <v>1396</v>
      </c>
    </row>
    <row r="404" hidden="1">
      <c r="A404" s="90" t="s">
        <v>1909</v>
      </c>
      <c r="B404" s="90" t="s">
        <v>1937</v>
      </c>
      <c r="C404" s="90" t="s">
        <v>258</v>
      </c>
      <c r="D404" s="90" t="s">
        <v>259</v>
      </c>
      <c r="E404" s="90" t="s">
        <v>1400</v>
      </c>
      <c r="F404" s="87">
        <v>60.0</v>
      </c>
      <c r="G404" s="87">
        <v>5.0</v>
      </c>
      <c r="H404" s="87">
        <v>28520.0</v>
      </c>
      <c r="I404" s="87">
        <v>97.0</v>
      </c>
      <c r="J404" s="87">
        <v>270.4814</v>
      </c>
      <c r="K404" s="87">
        <v>281.8995</v>
      </c>
      <c r="L404" s="87">
        <v>273.8697</v>
      </c>
      <c r="M404" s="87">
        <v>158.8054</v>
      </c>
      <c r="N404" s="87">
        <v>0.563341</v>
      </c>
      <c r="O404" s="87">
        <v>0.635706</v>
      </c>
      <c r="P404" s="87">
        <v>1.336175</v>
      </c>
      <c r="Q404" s="87">
        <v>1.979475</v>
      </c>
      <c r="R404" s="87">
        <v>4.708681</v>
      </c>
      <c r="S404" s="87">
        <v>6.308212</v>
      </c>
      <c r="T404" s="87">
        <v>1.010948</v>
      </c>
      <c r="U404" s="87">
        <v>1.750222</v>
      </c>
      <c r="V404" s="87">
        <v>2.272341</v>
      </c>
      <c r="W404" s="87">
        <v>5.054923</v>
      </c>
      <c r="X404" s="87">
        <v>6.59284</v>
      </c>
      <c r="Y404" s="87">
        <v>6.264432</v>
      </c>
      <c r="Z404" s="88" t="s">
        <v>1396</v>
      </c>
    </row>
    <row r="405" hidden="1">
      <c r="A405" s="90" t="s">
        <v>1911</v>
      </c>
      <c r="B405" s="90" t="s">
        <v>1938</v>
      </c>
      <c r="C405" s="90" t="s">
        <v>258</v>
      </c>
      <c r="D405" s="90" t="s">
        <v>259</v>
      </c>
      <c r="E405" s="89">
        <v>46300.0</v>
      </c>
      <c r="F405" s="87">
        <v>1.0</v>
      </c>
      <c r="G405" s="87">
        <v>0.0</v>
      </c>
      <c r="H405" s="87">
        <v>353.0</v>
      </c>
      <c r="I405" s="87">
        <v>0.0</v>
      </c>
      <c r="J405" s="87">
        <v>18.08595</v>
      </c>
      <c r="K405" s="87">
        <v>19.04274</v>
      </c>
      <c r="L405" s="87">
        <v>20.36007</v>
      </c>
      <c r="M405" s="87">
        <v>19.04274</v>
      </c>
      <c r="N405" s="87">
        <v>1.0</v>
      </c>
      <c r="O405" s="87">
        <v>0.0</v>
      </c>
      <c r="P405" s="87">
        <v>0.0</v>
      </c>
      <c r="Q405" s="87">
        <v>0.0</v>
      </c>
      <c r="R405" s="87">
        <v>0.0</v>
      </c>
      <c r="S405" s="87">
        <v>0.0</v>
      </c>
      <c r="T405" s="87">
        <v>19.04274</v>
      </c>
      <c r="U405" s="87">
        <v>19.04274</v>
      </c>
      <c r="V405" s="87">
        <v>19.04274</v>
      </c>
      <c r="W405" s="87">
        <v>19.04274</v>
      </c>
      <c r="X405" s="87">
        <v>19.04274</v>
      </c>
      <c r="Y405" s="87">
        <v>4.760685</v>
      </c>
      <c r="Z405" s="88" t="s">
        <v>1396</v>
      </c>
    </row>
    <row r="406" hidden="1">
      <c r="A406" s="90" t="s">
        <v>1913</v>
      </c>
      <c r="B406" s="90" t="s">
        <v>1939</v>
      </c>
      <c r="C406" s="90" t="s">
        <v>258</v>
      </c>
      <c r="D406" s="90" t="s">
        <v>259</v>
      </c>
      <c r="E406" s="90" t="s">
        <v>1403</v>
      </c>
      <c r="F406" s="87">
        <v>3.0</v>
      </c>
      <c r="G406" s="87">
        <v>3.0</v>
      </c>
      <c r="H406" s="87">
        <v>22.0</v>
      </c>
      <c r="I406" s="87">
        <v>22.0</v>
      </c>
      <c r="J406" s="87">
        <v>0.0</v>
      </c>
      <c r="K406" s="87">
        <v>0.0</v>
      </c>
      <c r="L406" s="87">
        <v>0.0</v>
      </c>
      <c r="M406" s="87">
        <v>0.0</v>
      </c>
      <c r="N406" s="91"/>
      <c r="O406" s="87">
        <v>0.0</v>
      </c>
      <c r="P406" s="87">
        <v>0.0</v>
      </c>
      <c r="Q406" s="87">
        <v>0.0</v>
      </c>
      <c r="R406" s="87">
        <v>0.0</v>
      </c>
      <c r="S406" s="87">
        <v>0.0</v>
      </c>
      <c r="T406" s="91"/>
      <c r="U406" s="91"/>
      <c r="V406" s="91"/>
      <c r="W406" s="91"/>
      <c r="X406" s="91"/>
      <c r="Y406" s="87">
        <v>0.0</v>
      </c>
      <c r="Z406" s="88" t="s">
        <v>1396</v>
      </c>
    </row>
    <row r="407" hidden="1">
      <c r="A407" s="90" t="s">
        <v>1917</v>
      </c>
      <c r="B407" s="90" t="s">
        <v>1940</v>
      </c>
      <c r="C407" s="90" t="s">
        <v>258</v>
      </c>
      <c r="D407" s="90" t="s">
        <v>905</v>
      </c>
      <c r="E407" s="86">
        <v>46310.0</v>
      </c>
      <c r="F407" s="87">
        <v>20.0</v>
      </c>
      <c r="G407" s="87">
        <v>2.0</v>
      </c>
      <c r="H407" s="87">
        <v>10054.0</v>
      </c>
      <c r="I407" s="87">
        <v>6.0</v>
      </c>
      <c r="J407" s="87">
        <v>27.19616</v>
      </c>
      <c r="K407" s="87">
        <v>30.03102</v>
      </c>
      <c r="L407" s="87">
        <v>35.61676</v>
      </c>
      <c r="M407" s="87">
        <v>21.65688</v>
      </c>
      <c r="N407" s="87">
        <v>0.721151</v>
      </c>
      <c r="O407" s="87">
        <v>0.0</v>
      </c>
      <c r="P407" s="87">
        <v>0.0</v>
      </c>
      <c r="Q407" s="87">
        <v>0.0</v>
      </c>
      <c r="R407" s="87">
        <v>8.37413</v>
      </c>
      <c r="S407" s="87">
        <v>21.65688</v>
      </c>
      <c r="T407" s="87">
        <v>8.37413</v>
      </c>
      <c r="U407" s="87">
        <v>8.37413</v>
      </c>
      <c r="V407" s="87">
        <v>8.37413</v>
      </c>
      <c r="W407" s="87">
        <v>21.65688</v>
      </c>
      <c r="X407" s="87">
        <v>21.65688</v>
      </c>
      <c r="Y407" s="87">
        <v>10.01034</v>
      </c>
      <c r="Z407" s="88" t="s">
        <v>1396</v>
      </c>
    </row>
    <row r="408" hidden="1">
      <c r="A408" s="90" t="s">
        <v>1905</v>
      </c>
      <c r="B408" s="90" t="s">
        <v>1941</v>
      </c>
      <c r="C408" s="90" t="s">
        <v>258</v>
      </c>
      <c r="D408" s="90" t="s">
        <v>905</v>
      </c>
      <c r="E408" s="90" t="s">
        <v>1413</v>
      </c>
      <c r="F408" s="87">
        <v>8.0</v>
      </c>
      <c r="G408" s="87">
        <v>1.0</v>
      </c>
      <c r="H408" s="87">
        <v>2039.0</v>
      </c>
      <c r="I408" s="87">
        <v>4.0</v>
      </c>
      <c r="J408" s="87">
        <v>13.38584</v>
      </c>
      <c r="K408" s="87">
        <v>8.230303</v>
      </c>
      <c r="L408" s="87">
        <v>7.871193</v>
      </c>
      <c r="M408" s="87">
        <v>7.775746</v>
      </c>
      <c r="N408" s="87">
        <v>0.94477</v>
      </c>
      <c r="O408" s="87">
        <v>0.0</v>
      </c>
      <c r="P408" s="87">
        <v>0.0</v>
      </c>
      <c r="Q408" s="87">
        <v>0.0</v>
      </c>
      <c r="R408" s="87">
        <v>0.252258</v>
      </c>
      <c r="S408" s="87">
        <v>3.265223</v>
      </c>
      <c r="T408" s="87">
        <v>0.202299</v>
      </c>
      <c r="U408" s="87">
        <v>0.202299</v>
      </c>
      <c r="V408" s="87">
        <v>0.252258</v>
      </c>
      <c r="W408" s="87">
        <v>3.265223</v>
      </c>
      <c r="X408" s="87">
        <v>3.265223</v>
      </c>
      <c r="Y408" s="87">
        <v>1.371717</v>
      </c>
      <c r="Z408" s="88" t="s">
        <v>1396</v>
      </c>
    </row>
    <row r="409" hidden="1">
      <c r="A409" s="90" t="s">
        <v>1907</v>
      </c>
      <c r="B409" s="90" t="s">
        <v>1942</v>
      </c>
      <c r="C409" s="90" t="s">
        <v>258</v>
      </c>
      <c r="D409" s="90" t="s">
        <v>905</v>
      </c>
      <c r="E409" s="90" t="s">
        <v>1398</v>
      </c>
      <c r="F409" s="87">
        <v>31.0</v>
      </c>
      <c r="G409" s="87">
        <v>2.0</v>
      </c>
      <c r="H409" s="87">
        <v>16159.0</v>
      </c>
      <c r="I409" s="87">
        <v>33.0</v>
      </c>
      <c r="J409" s="87">
        <v>254.2577</v>
      </c>
      <c r="K409" s="87">
        <v>255.2553</v>
      </c>
      <c r="L409" s="87">
        <v>248.426</v>
      </c>
      <c r="M409" s="87">
        <v>142.1241</v>
      </c>
      <c r="N409" s="87">
        <v>0.556792</v>
      </c>
      <c r="O409" s="87">
        <v>1.13839</v>
      </c>
      <c r="P409" s="87">
        <v>2.42183</v>
      </c>
      <c r="Q409" s="87">
        <v>5.161786</v>
      </c>
      <c r="R409" s="87">
        <v>7.053283</v>
      </c>
      <c r="S409" s="87">
        <v>11.90855</v>
      </c>
      <c r="T409" s="87">
        <v>1.13839</v>
      </c>
      <c r="U409" s="87">
        <v>2.42183</v>
      </c>
      <c r="V409" s="87">
        <v>5.161786</v>
      </c>
      <c r="W409" s="87">
        <v>7.053283</v>
      </c>
      <c r="X409" s="87">
        <v>11.90855</v>
      </c>
      <c r="Y409" s="87">
        <v>11.09806</v>
      </c>
      <c r="Z409" s="88" t="s">
        <v>1396</v>
      </c>
    </row>
    <row r="410" hidden="1">
      <c r="A410" s="90" t="s">
        <v>1909</v>
      </c>
      <c r="B410" s="90" t="s">
        <v>1943</v>
      </c>
      <c r="C410" s="90" t="s">
        <v>258</v>
      </c>
      <c r="D410" s="90" t="s">
        <v>905</v>
      </c>
      <c r="E410" s="90" t="s">
        <v>1400</v>
      </c>
      <c r="F410" s="87">
        <v>76.0</v>
      </c>
      <c r="G410" s="87">
        <v>9.0</v>
      </c>
      <c r="H410" s="87">
        <v>19700.0</v>
      </c>
      <c r="I410" s="87">
        <v>241.0</v>
      </c>
      <c r="J410" s="87">
        <v>200.2476</v>
      </c>
      <c r="K410" s="87">
        <v>192.1003</v>
      </c>
      <c r="L410" s="87">
        <v>189.1921</v>
      </c>
      <c r="M410" s="87">
        <v>137.1891</v>
      </c>
      <c r="N410" s="87">
        <v>0.714154</v>
      </c>
      <c r="O410" s="87">
        <v>0.1</v>
      </c>
      <c r="P410" s="87">
        <v>0.268034</v>
      </c>
      <c r="Q410" s="87">
        <v>0.614449</v>
      </c>
      <c r="R410" s="87">
        <v>1.149606</v>
      </c>
      <c r="S410" s="87">
        <v>3.45246</v>
      </c>
      <c r="T410" s="87">
        <v>0.265273</v>
      </c>
      <c r="U410" s="87">
        <v>0.598925</v>
      </c>
      <c r="V410" s="87">
        <v>0.690355</v>
      </c>
      <c r="W410" s="87">
        <v>1.684885</v>
      </c>
      <c r="X410" s="87">
        <v>3.81028</v>
      </c>
      <c r="Y410" s="87">
        <v>3.694237</v>
      </c>
      <c r="Z410" s="88" t="s">
        <v>1396</v>
      </c>
    </row>
    <row r="411" hidden="1">
      <c r="A411" s="90" t="s">
        <v>1913</v>
      </c>
      <c r="B411" s="90" t="s">
        <v>1944</v>
      </c>
      <c r="C411" s="90" t="s">
        <v>258</v>
      </c>
      <c r="D411" s="90" t="s">
        <v>905</v>
      </c>
      <c r="E411" s="90" t="s">
        <v>1403</v>
      </c>
      <c r="F411" s="87">
        <v>2.0</v>
      </c>
      <c r="G411" s="87">
        <v>2.0</v>
      </c>
      <c r="H411" s="87">
        <v>464.0</v>
      </c>
      <c r="I411" s="87">
        <v>464.0</v>
      </c>
      <c r="J411" s="87">
        <v>0.0</v>
      </c>
      <c r="K411" s="87">
        <v>0.0</v>
      </c>
      <c r="L411" s="87">
        <v>0.0</v>
      </c>
      <c r="M411" s="87">
        <v>0.0</v>
      </c>
      <c r="N411" s="91"/>
      <c r="O411" s="87">
        <v>0.0</v>
      </c>
      <c r="P411" s="87">
        <v>0.0</v>
      </c>
      <c r="Q411" s="87">
        <v>0.0</v>
      </c>
      <c r="R411" s="87">
        <v>0.0</v>
      </c>
      <c r="S411" s="87">
        <v>0.0</v>
      </c>
      <c r="T411" s="91"/>
      <c r="U411" s="91"/>
      <c r="V411" s="91"/>
      <c r="W411" s="91"/>
      <c r="X411" s="91"/>
      <c r="Y411" s="87">
        <v>0.0</v>
      </c>
      <c r="Z411" s="88" t="s">
        <v>1396</v>
      </c>
    </row>
    <row r="412" hidden="1">
      <c r="A412" s="90" t="s">
        <v>1917</v>
      </c>
      <c r="B412" s="90" t="s">
        <v>1945</v>
      </c>
      <c r="C412" s="90" t="s">
        <v>258</v>
      </c>
      <c r="D412" s="90" t="s">
        <v>1946</v>
      </c>
      <c r="E412" s="89">
        <v>46310.0</v>
      </c>
      <c r="F412" s="87">
        <v>3.0</v>
      </c>
      <c r="G412" s="87">
        <v>0.0</v>
      </c>
      <c r="H412" s="87">
        <v>1070.0</v>
      </c>
      <c r="I412" s="87">
        <v>0.0</v>
      </c>
      <c r="J412" s="87">
        <v>20.88091</v>
      </c>
      <c r="K412" s="87">
        <v>21.49592</v>
      </c>
      <c r="L412" s="87">
        <v>21.16753</v>
      </c>
      <c r="M412" s="87">
        <v>17.33287</v>
      </c>
      <c r="N412" s="87">
        <v>0.806333</v>
      </c>
      <c r="O412" s="87">
        <v>0.0</v>
      </c>
      <c r="P412" s="87">
        <v>0.0</v>
      </c>
      <c r="Q412" s="87">
        <v>1.20821</v>
      </c>
      <c r="R412" s="87">
        <v>2.954839</v>
      </c>
      <c r="S412" s="87">
        <v>2.954839</v>
      </c>
      <c r="T412" s="87">
        <v>1.20821</v>
      </c>
      <c r="U412" s="87">
        <v>1.20821</v>
      </c>
      <c r="V412" s="87">
        <v>1.20821</v>
      </c>
      <c r="W412" s="87">
        <v>2.954839</v>
      </c>
      <c r="X412" s="87">
        <v>17.33287</v>
      </c>
      <c r="Y412" s="87">
        <v>5.373981</v>
      </c>
      <c r="Z412" s="88" t="s">
        <v>1396</v>
      </c>
    </row>
    <row r="413" hidden="1">
      <c r="A413" s="90" t="s">
        <v>1905</v>
      </c>
      <c r="B413" s="90" t="s">
        <v>1947</v>
      </c>
      <c r="C413" s="90" t="s">
        <v>258</v>
      </c>
      <c r="D413" s="90" t="s">
        <v>1946</v>
      </c>
      <c r="E413" s="90" t="s">
        <v>1413</v>
      </c>
      <c r="F413" s="87">
        <v>2.0</v>
      </c>
      <c r="G413" s="87">
        <v>0.0</v>
      </c>
      <c r="H413" s="87">
        <v>457.0</v>
      </c>
      <c r="I413" s="87">
        <v>0.0</v>
      </c>
      <c r="J413" s="87">
        <v>1.357143</v>
      </c>
      <c r="K413" s="87">
        <v>1.278489</v>
      </c>
      <c r="L413" s="87">
        <v>1.221684</v>
      </c>
      <c r="M413" s="87">
        <v>1.278489</v>
      </c>
      <c r="N413" s="87">
        <v>1.0</v>
      </c>
      <c r="O413" s="87">
        <v>1.278489</v>
      </c>
      <c r="P413" s="87">
        <v>1.278489</v>
      </c>
      <c r="Q413" s="87">
        <v>1.278489</v>
      </c>
      <c r="R413" s="87">
        <v>1.278489</v>
      </c>
      <c r="S413" s="87">
        <v>1.278489</v>
      </c>
      <c r="T413" s="87">
        <v>1.278489</v>
      </c>
      <c r="U413" s="87">
        <v>1.278489</v>
      </c>
      <c r="V413" s="87">
        <v>1.278489</v>
      </c>
      <c r="W413" s="87">
        <v>1.278489</v>
      </c>
      <c r="X413" s="87">
        <v>1.278489</v>
      </c>
      <c r="Y413" s="87">
        <v>1.278489</v>
      </c>
      <c r="Z413" s="88" t="s">
        <v>1396</v>
      </c>
    </row>
    <row r="414" hidden="1">
      <c r="A414" s="90" t="s">
        <v>1907</v>
      </c>
      <c r="B414" s="90" t="s">
        <v>1948</v>
      </c>
      <c r="C414" s="90" t="s">
        <v>258</v>
      </c>
      <c r="D414" s="90" t="s">
        <v>1946</v>
      </c>
      <c r="E414" s="90" t="s">
        <v>1398</v>
      </c>
      <c r="F414" s="87">
        <v>2.0</v>
      </c>
      <c r="G414" s="87">
        <v>0.0</v>
      </c>
      <c r="H414" s="87">
        <v>472.0</v>
      </c>
      <c r="I414" s="87">
        <v>0.0</v>
      </c>
      <c r="J414" s="87">
        <v>4.938828</v>
      </c>
      <c r="K414" s="87">
        <v>4.876312</v>
      </c>
      <c r="L414" s="87">
        <v>4.542545</v>
      </c>
      <c r="M414" s="87">
        <v>4.876312</v>
      </c>
      <c r="N414" s="87">
        <v>1.0</v>
      </c>
      <c r="O414" s="87">
        <v>4.876312</v>
      </c>
      <c r="P414" s="87">
        <v>4.876312</v>
      </c>
      <c r="Q414" s="87">
        <v>4.876312</v>
      </c>
      <c r="R414" s="87">
        <v>4.876312</v>
      </c>
      <c r="S414" s="87">
        <v>4.876312</v>
      </c>
      <c r="T414" s="87">
        <v>4.876312</v>
      </c>
      <c r="U414" s="87">
        <v>4.876312</v>
      </c>
      <c r="V414" s="87">
        <v>4.876312</v>
      </c>
      <c r="W414" s="87">
        <v>4.876312</v>
      </c>
      <c r="X414" s="87">
        <v>4.876312</v>
      </c>
      <c r="Y414" s="87">
        <v>4.876312</v>
      </c>
      <c r="Z414" s="88" t="s">
        <v>1396</v>
      </c>
    </row>
    <row r="415" hidden="1">
      <c r="A415" s="90" t="s">
        <v>1909</v>
      </c>
      <c r="B415" s="90" t="s">
        <v>1949</v>
      </c>
      <c r="C415" s="90" t="s">
        <v>258</v>
      </c>
      <c r="D415" s="90" t="s">
        <v>1946</v>
      </c>
      <c r="E415" s="90" t="s">
        <v>1400</v>
      </c>
      <c r="F415" s="87">
        <v>6.0</v>
      </c>
      <c r="G415" s="87">
        <v>1.0</v>
      </c>
      <c r="H415" s="87">
        <v>348.0</v>
      </c>
      <c r="I415" s="87">
        <v>18.0</v>
      </c>
      <c r="J415" s="87">
        <v>10.40779</v>
      </c>
      <c r="K415" s="87">
        <v>8.886423</v>
      </c>
      <c r="L415" s="87">
        <v>6.73572</v>
      </c>
      <c r="M415" s="87">
        <v>6.967174</v>
      </c>
      <c r="N415" s="87">
        <v>0.784025</v>
      </c>
      <c r="O415" s="87">
        <v>0.166667</v>
      </c>
      <c r="P415" s="87">
        <v>0.166667</v>
      </c>
      <c r="Q415" s="87">
        <v>0.166667</v>
      </c>
      <c r="R415" s="87">
        <v>1.752582</v>
      </c>
      <c r="S415" s="87">
        <v>6.967174</v>
      </c>
      <c r="T415" s="87">
        <v>0.166667</v>
      </c>
      <c r="U415" s="87">
        <v>0.166667</v>
      </c>
      <c r="V415" s="87">
        <v>0.166667</v>
      </c>
      <c r="W415" s="87">
        <v>1.752582</v>
      </c>
      <c r="X415" s="87">
        <v>6.967174</v>
      </c>
      <c r="Y415" s="87">
        <v>2.962141</v>
      </c>
      <c r="Z415" s="88" t="s">
        <v>1396</v>
      </c>
    </row>
    <row r="416" hidden="1">
      <c r="A416" s="90" t="s">
        <v>1913</v>
      </c>
      <c r="B416" s="90" t="s">
        <v>1951</v>
      </c>
      <c r="C416" s="90" t="s">
        <v>258</v>
      </c>
      <c r="D416" s="90" t="s">
        <v>1946</v>
      </c>
      <c r="E416" s="90" t="s">
        <v>1403</v>
      </c>
      <c r="F416" s="87">
        <v>0.0</v>
      </c>
      <c r="G416" s="87">
        <v>0.0</v>
      </c>
      <c r="H416" s="87">
        <v>0.0</v>
      </c>
      <c r="I416" s="87">
        <v>0.0</v>
      </c>
      <c r="J416" s="87">
        <v>0.0</v>
      </c>
      <c r="K416" s="87">
        <v>0.0</v>
      </c>
      <c r="L416" s="87">
        <v>0.0</v>
      </c>
      <c r="M416" s="87">
        <v>0.0</v>
      </c>
      <c r="N416" s="91"/>
      <c r="O416" s="87">
        <v>0.0</v>
      </c>
      <c r="P416" s="87">
        <v>0.0</v>
      </c>
      <c r="Q416" s="87">
        <v>0.0</v>
      </c>
      <c r="R416" s="87">
        <v>0.0</v>
      </c>
      <c r="S416" s="87">
        <v>0.0</v>
      </c>
      <c r="T416" s="91"/>
      <c r="U416" s="91"/>
      <c r="V416" s="91"/>
      <c r="W416" s="91"/>
      <c r="X416" s="91"/>
      <c r="Y416" s="87">
        <v>0.0</v>
      </c>
      <c r="Z416" s="88" t="s">
        <v>1396</v>
      </c>
    </row>
    <row r="417" hidden="1">
      <c r="A417" s="90" t="s">
        <v>1903</v>
      </c>
      <c r="B417" s="90" t="s">
        <v>1952</v>
      </c>
      <c r="C417" s="90" t="s">
        <v>258</v>
      </c>
      <c r="D417" s="90" t="s">
        <v>881</v>
      </c>
      <c r="E417" s="90" t="s">
        <v>1426</v>
      </c>
      <c r="F417" s="87">
        <v>8.0</v>
      </c>
      <c r="G417" s="87">
        <v>3.0</v>
      </c>
      <c r="H417" s="87">
        <v>2474.0</v>
      </c>
      <c r="I417" s="87">
        <v>6.0</v>
      </c>
      <c r="J417" s="87">
        <v>7.957875</v>
      </c>
      <c r="K417" s="87">
        <v>6.494374</v>
      </c>
      <c r="L417" s="87">
        <v>7.086144</v>
      </c>
      <c r="M417" s="87">
        <v>5.558593</v>
      </c>
      <c r="N417" s="87">
        <v>0.855909</v>
      </c>
      <c r="O417" s="87">
        <v>0.0</v>
      </c>
      <c r="P417" s="87">
        <v>0.0</v>
      </c>
      <c r="Q417" s="87">
        <v>0.0</v>
      </c>
      <c r="R417" s="87">
        <v>0.93578</v>
      </c>
      <c r="S417" s="87">
        <v>2.378679</v>
      </c>
      <c r="T417" s="87">
        <v>0.93578</v>
      </c>
      <c r="U417" s="87">
        <v>0.93578</v>
      </c>
      <c r="V417" s="87">
        <v>0.93578</v>
      </c>
      <c r="W417" s="87">
        <v>2.378679</v>
      </c>
      <c r="X417" s="87">
        <v>3.179914</v>
      </c>
      <c r="Y417" s="87">
        <v>1.082396</v>
      </c>
      <c r="Z417" s="88" t="s">
        <v>1396</v>
      </c>
    </row>
    <row r="418" hidden="1">
      <c r="A418" s="90" t="s">
        <v>1917</v>
      </c>
      <c r="B418" s="90" t="s">
        <v>1953</v>
      </c>
      <c r="C418" s="90" t="s">
        <v>258</v>
      </c>
      <c r="D418" s="90" t="s">
        <v>881</v>
      </c>
      <c r="E418" s="89">
        <v>46310.0</v>
      </c>
      <c r="F418" s="87">
        <v>20.0</v>
      </c>
      <c r="G418" s="87">
        <v>0.0</v>
      </c>
      <c r="H418" s="87">
        <v>13581.0</v>
      </c>
      <c r="I418" s="87">
        <v>0.0</v>
      </c>
      <c r="J418" s="87">
        <v>56.35297</v>
      </c>
      <c r="K418" s="87">
        <v>52.57792</v>
      </c>
      <c r="L418" s="87">
        <v>52.46462</v>
      </c>
      <c r="M418" s="87">
        <v>30.87373</v>
      </c>
      <c r="N418" s="87">
        <v>0.5872</v>
      </c>
      <c r="O418" s="87">
        <v>0.0</v>
      </c>
      <c r="P418" s="87">
        <v>0.033333</v>
      </c>
      <c r="Q418" s="87">
        <v>0.630108</v>
      </c>
      <c r="R418" s="87">
        <v>2.575535</v>
      </c>
      <c r="S418" s="87">
        <v>5.512199</v>
      </c>
      <c r="T418" s="87">
        <v>0.366667</v>
      </c>
      <c r="U418" s="87">
        <v>0.630108</v>
      </c>
      <c r="V418" s="87">
        <v>0.766667</v>
      </c>
      <c r="W418" s="87">
        <v>2.57815</v>
      </c>
      <c r="X418" s="87">
        <v>6.875113</v>
      </c>
      <c r="Y418" s="87">
        <v>3.755565</v>
      </c>
      <c r="Z418" s="88" t="s">
        <v>1396</v>
      </c>
    </row>
    <row r="419" hidden="1">
      <c r="A419" s="90" t="s">
        <v>1905</v>
      </c>
      <c r="B419" s="90" t="s">
        <v>1954</v>
      </c>
      <c r="C419" s="90" t="s">
        <v>258</v>
      </c>
      <c r="D419" s="90" t="s">
        <v>881</v>
      </c>
      <c r="E419" s="90" t="s">
        <v>1413</v>
      </c>
      <c r="F419" s="87">
        <v>23.0</v>
      </c>
      <c r="G419" s="87">
        <v>1.0</v>
      </c>
      <c r="H419" s="87">
        <v>10167.0</v>
      </c>
      <c r="I419" s="87">
        <v>28.0</v>
      </c>
      <c r="J419" s="87">
        <v>74.526</v>
      </c>
      <c r="K419" s="87">
        <v>74.17013</v>
      </c>
      <c r="L419" s="87">
        <v>73.16499</v>
      </c>
      <c r="M419" s="87">
        <v>35.17525</v>
      </c>
      <c r="N419" s="87">
        <v>0.474251</v>
      </c>
      <c r="O419" s="87">
        <v>1.230052</v>
      </c>
      <c r="P419" s="87">
        <v>1.372562</v>
      </c>
      <c r="Q419" s="87">
        <v>2.338556</v>
      </c>
      <c r="R419" s="87">
        <v>3.93809</v>
      </c>
      <c r="S419" s="87">
        <v>7.884806</v>
      </c>
      <c r="T419" s="87">
        <v>1.372562</v>
      </c>
      <c r="U419" s="87">
        <v>1.7</v>
      </c>
      <c r="V419" s="87">
        <v>2.338556</v>
      </c>
      <c r="W419" s="87">
        <v>3.93809</v>
      </c>
      <c r="X419" s="87">
        <v>9.875806</v>
      </c>
      <c r="Y419" s="87">
        <v>5.297866</v>
      </c>
      <c r="Z419" s="88" t="s">
        <v>1396</v>
      </c>
    </row>
    <row r="420" hidden="1">
      <c r="A420" s="90" t="s">
        <v>1907</v>
      </c>
      <c r="B420" s="90" t="s">
        <v>1955</v>
      </c>
      <c r="C420" s="90" t="s">
        <v>258</v>
      </c>
      <c r="D420" s="90" t="s">
        <v>881</v>
      </c>
      <c r="E420" s="90" t="s">
        <v>1398</v>
      </c>
      <c r="F420" s="87">
        <v>17.0</v>
      </c>
      <c r="G420" s="87">
        <v>1.0</v>
      </c>
      <c r="H420" s="87">
        <v>4264.0</v>
      </c>
      <c r="I420" s="87">
        <v>4.0</v>
      </c>
      <c r="J420" s="87">
        <v>23.49749</v>
      </c>
      <c r="K420" s="87">
        <v>20.53239</v>
      </c>
      <c r="L420" s="87">
        <v>20.54836</v>
      </c>
      <c r="M420" s="87">
        <v>13.23123</v>
      </c>
      <c r="N420" s="87">
        <v>0.644408</v>
      </c>
      <c r="O420" s="87">
        <v>0.772671</v>
      </c>
      <c r="P420" s="87">
        <v>1.237931</v>
      </c>
      <c r="Q420" s="87">
        <v>1.237931</v>
      </c>
      <c r="R420" s="87">
        <v>2.90799</v>
      </c>
      <c r="S420" s="87">
        <v>3.756904</v>
      </c>
      <c r="T420" s="87">
        <v>0.772671</v>
      </c>
      <c r="U420" s="87">
        <v>1.237931</v>
      </c>
      <c r="V420" s="87">
        <v>1.237931</v>
      </c>
      <c r="W420" s="87">
        <v>2.90799</v>
      </c>
      <c r="X420" s="87">
        <v>3.756904</v>
      </c>
      <c r="Y420" s="87">
        <v>3.422066</v>
      </c>
      <c r="Z420" s="88" t="s">
        <v>1396</v>
      </c>
    </row>
    <row r="421" hidden="1">
      <c r="A421" s="90" t="s">
        <v>1909</v>
      </c>
      <c r="B421" s="90" t="s">
        <v>1956</v>
      </c>
      <c r="C421" s="90" t="s">
        <v>258</v>
      </c>
      <c r="D421" s="90" t="s">
        <v>881</v>
      </c>
      <c r="E421" s="90" t="s">
        <v>1400</v>
      </c>
      <c r="F421" s="87">
        <v>25.0</v>
      </c>
      <c r="G421" s="87">
        <v>5.0</v>
      </c>
      <c r="H421" s="87">
        <v>3243.0</v>
      </c>
      <c r="I421" s="87">
        <v>113.0</v>
      </c>
      <c r="J421" s="87">
        <v>14.24269</v>
      </c>
      <c r="K421" s="87">
        <v>14.63437</v>
      </c>
      <c r="L421" s="87">
        <v>14.21614</v>
      </c>
      <c r="M421" s="87">
        <v>8.246285</v>
      </c>
      <c r="N421" s="87">
        <v>0.563488</v>
      </c>
      <c r="O421" s="87">
        <v>0.286243</v>
      </c>
      <c r="P421" s="87">
        <v>0.3</v>
      </c>
      <c r="Q421" s="87">
        <v>0.511046</v>
      </c>
      <c r="R421" s="87">
        <v>1.073753</v>
      </c>
      <c r="S421" s="87">
        <v>1.463441</v>
      </c>
      <c r="T421" s="87">
        <v>0.3</v>
      </c>
      <c r="U421" s="87">
        <v>0.511046</v>
      </c>
      <c r="V421" s="87">
        <v>0.64648</v>
      </c>
      <c r="W421" s="87">
        <v>1.073753</v>
      </c>
      <c r="X421" s="87">
        <v>1.463441</v>
      </c>
      <c r="Y421" s="87">
        <v>1.219531</v>
      </c>
      <c r="Z421" s="88" t="s">
        <v>1396</v>
      </c>
    </row>
    <row r="422" hidden="1">
      <c r="A422" s="90" t="s">
        <v>1911</v>
      </c>
      <c r="B422" s="90" t="s">
        <v>1957</v>
      </c>
      <c r="C422" s="90" t="s">
        <v>258</v>
      </c>
      <c r="D422" s="90" t="s">
        <v>881</v>
      </c>
      <c r="E422" s="89">
        <v>46300.0</v>
      </c>
      <c r="F422" s="87">
        <v>18.0</v>
      </c>
      <c r="G422" s="87">
        <v>0.0</v>
      </c>
      <c r="H422" s="87">
        <v>23862.0</v>
      </c>
      <c r="I422" s="87">
        <v>0.0</v>
      </c>
      <c r="J422" s="87">
        <v>39.89777</v>
      </c>
      <c r="K422" s="87">
        <v>42.86488</v>
      </c>
      <c r="L422" s="87">
        <v>43.34025</v>
      </c>
      <c r="M422" s="87">
        <v>34.15532</v>
      </c>
      <c r="N422" s="87">
        <v>0.796814</v>
      </c>
      <c r="O422" s="87">
        <v>0.0</v>
      </c>
      <c r="P422" s="87">
        <v>0.0</v>
      </c>
      <c r="Q422" s="87">
        <v>0.142857</v>
      </c>
      <c r="R422" s="87">
        <v>1.564516</v>
      </c>
      <c r="S422" s="87">
        <v>3.367734</v>
      </c>
      <c r="T422" s="87">
        <v>0.142857</v>
      </c>
      <c r="U422" s="87">
        <v>1.265693</v>
      </c>
      <c r="V422" s="87">
        <v>1.564516</v>
      </c>
      <c r="W422" s="87">
        <v>2.36876</v>
      </c>
      <c r="X422" s="87">
        <v>3.367734</v>
      </c>
      <c r="Y422" s="87">
        <v>4.762765</v>
      </c>
      <c r="Z422" s="88" t="s">
        <v>1396</v>
      </c>
    </row>
    <row r="423" hidden="1">
      <c r="A423" s="90" t="s">
        <v>1913</v>
      </c>
      <c r="B423" s="90" t="s">
        <v>1958</v>
      </c>
      <c r="C423" s="90" t="s">
        <v>258</v>
      </c>
      <c r="D423" s="90" t="s">
        <v>881</v>
      </c>
      <c r="E423" s="90" t="s">
        <v>1403</v>
      </c>
      <c r="F423" s="87">
        <v>8.0</v>
      </c>
      <c r="G423" s="87">
        <v>8.0</v>
      </c>
      <c r="H423" s="87">
        <v>214.0</v>
      </c>
      <c r="I423" s="87">
        <v>214.0</v>
      </c>
      <c r="J423" s="87">
        <v>0.0</v>
      </c>
      <c r="K423" s="87">
        <v>0.0</v>
      </c>
      <c r="L423" s="87">
        <v>0.0</v>
      </c>
      <c r="M423" s="87">
        <v>0.0</v>
      </c>
      <c r="N423" s="91"/>
      <c r="O423" s="87">
        <v>0.0</v>
      </c>
      <c r="P423" s="87">
        <v>0.0</v>
      </c>
      <c r="Q423" s="87">
        <v>0.0</v>
      </c>
      <c r="R423" s="87">
        <v>0.0</v>
      </c>
      <c r="S423" s="87">
        <v>0.0</v>
      </c>
      <c r="T423" s="91"/>
      <c r="U423" s="91"/>
      <c r="V423" s="91"/>
      <c r="W423" s="91"/>
      <c r="X423" s="91"/>
      <c r="Y423" s="87">
        <v>0.0</v>
      </c>
      <c r="Z423" s="88" t="s">
        <v>1396</v>
      </c>
    </row>
    <row r="424" hidden="1">
      <c r="A424" s="90" t="s">
        <v>1959</v>
      </c>
      <c r="B424" s="90" t="s">
        <v>3318</v>
      </c>
      <c r="C424" s="90" t="s">
        <v>1961</v>
      </c>
      <c r="D424" s="90" t="s">
        <v>3319</v>
      </c>
      <c r="E424" s="90" t="s">
        <v>1400</v>
      </c>
      <c r="F424" s="87">
        <v>1.0</v>
      </c>
      <c r="G424" s="87">
        <v>1.0</v>
      </c>
      <c r="H424" s="87">
        <v>1.0</v>
      </c>
      <c r="I424" s="87">
        <v>1.0</v>
      </c>
      <c r="J424" s="87">
        <v>0.0</v>
      </c>
      <c r="K424" s="87">
        <v>0.0</v>
      </c>
      <c r="L424" s="87">
        <v>0.0</v>
      </c>
      <c r="M424" s="87">
        <v>0.0</v>
      </c>
      <c r="N424" s="91"/>
      <c r="O424" s="91"/>
      <c r="P424" s="91"/>
      <c r="Q424" s="91"/>
      <c r="R424" s="91"/>
      <c r="S424" s="91"/>
      <c r="T424" s="91"/>
      <c r="U424" s="91"/>
      <c r="V424" s="91"/>
      <c r="W424" s="91"/>
      <c r="X424" s="91"/>
      <c r="Y424" s="91"/>
      <c r="Z424" s="88" t="s">
        <v>1396</v>
      </c>
    </row>
    <row r="425" hidden="1">
      <c r="A425" s="90" t="s">
        <v>1967</v>
      </c>
      <c r="B425" s="90" t="s">
        <v>3320</v>
      </c>
      <c r="C425" s="90" t="s">
        <v>1961</v>
      </c>
      <c r="D425" s="90" t="s">
        <v>3319</v>
      </c>
      <c r="E425" s="90" t="s">
        <v>1403</v>
      </c>
      <c r="F425" s="87">
        <v>1.0</v>
      </c>
      <c r="G425" s="87">
        <v>1.0</v>
      </c>
      <c r="H425" s="87">
        <v>4.0</v>
      </c>
      <c r="I425" s="87">
        <v>4.0</v>
      </c>
      <c r="J425" s="87">
        <v>0.0</v>
      </c>
      <c r="K425" s="87">
        <v>0.0</v>
      </c>
      <c r="L425" s="87">
        <v>0.0</v>
      </c>
      <c r="M425" s="87">
        <v>0.0</v>
      </c>
      <c r="N425" s="91"/>
      <c r="O425" s="91"/>
      <c r="P425" s="91"/>
      <c r="Q425" s="91"/>
      <c r="R425" s="91"/>
      <c r="S425" s="91"/>
      <c r="T425" s="91"/>
      <c r="U425" s="91"/>
      <c r="V425" s="91"/>
      <c r="W425" s="91"/>
      <c r="X425" s="91"/>
      <c r="Y425" s="91"/>
      <c r="Z425" s="88" t="s">
        <v>1396</v>
      </c>
    </row>
    <row r="426" hidden="1">
      <c r="A426" s="90" t="s">
        <v>1959</v>
      </c>
      <c r="B426" s="90" t="s">
        <v>1963</v>
      </c>
      <c r="C426" s="90" t="s">
        <v>1961</v>
      </c>
      <c r="D426" s="90" t="s">
        <v>1964</v>
      </c>
      <c r="E426" s="90" t="s">
        <v>1400</v>
      </c>
      <c r="F426" s="87">
        <v>4.0</v>
      </c>
      <c r="G426" s="87">
        <v>4.0</v>
      </c>
      <c r="H426" s="87">
        <v>26.0</v>
      </c>
      <c r="I426" s="87">
        <v>26.0</v>
      </c>
      <c r="J426" s="87">
        <v>0.0</v>
      </c>
      <c r="K426" s="87">
        <v>0.0</v>
      </c>
      <c r="L426" s="87">
        <v>0.0</v>
      </c>
      <c r="M426" s="87">
        <v>0.0</v>
      </c>
      <c r="N426" s="91"/>
      <c r="O426" s="87">
        <v>0.0</v>
      </c>
      <c r="P426" s="87">
        <v>0.0</v>
      </c>
      <c r="Q426" s="87">
        <v>0.0</v>
      </c>
      <c r="R426" s="87">
        <v>0.0</v>
      </c>
      <c r="S426" s="87">
        <v>0.0</v>
      </c>
      <c r="T426" s="91"/>
      <c r="U426" s="91"/>
      <c r="V426" s="91"/>
      <c r="W426" s="91"/>
      <c r="X426" s="91"/>
      <c r="Y426" s="87">
        <v>0.0</v>
      </c>
      <c r="Z426" s="88" t="s">
        <v>1396</v>
      </c>
    </row>
    <row r="427" hidden="1">
      <c r="A427" s="90" t="s">
        <v>1967</v>
      </c>
      <c r="B427" s="90" t="s">
        <v>3321</v>
      </c>
      <c r="C427" s="90" t="s">
        <v>1961</v>
      </c>
      <c r="D427" s="90" t="s">
        <v>1964</v>
      </c>
      <c r="E427" s="90" t="s">
        <v>1403</v>
      </c>
      <c r="F427" s="87">
        <v>1.0</v>
      </c>
      <c r="G427" s="87">
        <v>1.0</v>
      </c>
      <c r="H427" s="87">
        <v>4.0</v>
      </c>
      <c r="I427" s="87">
        <v>4.0</v>
      </c>
      <c r="J427" s="87">
        <v>0.0</v>
      </c>
      <c r="K427" s="87">
        <v>0.0</v>
      </c>
      <c r="L427" s="87">
        <v>0.0</v>
      </c>
      <c r="M427" s="87">
        <v>0.0</v>
      </c>
      <c r="N427" s="91"/>
      <c r="O427" s="91"/>
      <c r="P427" s="91"/>
      <c r="Q427" s="91"/>
      <c r="R427" s="91"/>
      <c r="S427" s="91"/>
      <c r="T427" s="91"/>
      <c r="U427" s="91"/>
      <c r="V427" s="91"/>
      <c r="W427" s="91"/>
      <c r="X427" s="91"/>
      <c r="Y427" s="91"/>
      <c r="Z427" s="88" t="s">
        <v>1396</v>
      </c>
    </row>
    <row r="428" hidden="1">
      <c r="A428" s="90" t="s">
        <v>1959</v>
      </c>
      <c r="B428" s="90" t="s">
        <v>1965</v>
      </c>
      <c r="C428" s="90" t="s">
        <v>1961</v>
      </c>
      <c r="D428" s="90" t="s">
        <v>1966</v>
      </c>
      <c r="E428" s="90" t="s">
        <v>1400</v>
      </c>
      <c r="F428" s="87">
        <v>2.0</v>
      </c>
      <c r="G428" s="87">
        <v>2.0</v>
      </c>
      <c r="H428" s="87">
        <v>21.0</v>
      </c>
      <c r="I428" s="87">
        <v>21.0</v>
      </c>
      <c r="J428" s="87">
        <v>0.0</v>
      </c>
      <c r="K428" s="87">
        <v>0.0</v>
      </c>
      <c r="L428" s="87">
        <v>0.0</v>
      </c>
      <c r="M428" s="87">
        <v>0.0</v>
      </c>
      <c r="N428" s="91"/>
      <c r="O428" s="87">
        <v>0.0</v>
      </c>
      <c r="P428" s="87">
        <v>0.0</v>
      </c>
      <c r="Q428" s="87">
        <v>0.0</v>
      </c>
      <c r="R428" s="87">
        <v>0.0</v>
      </c>
      <c r="S428" s="87">
        <v>0.0</v>
      </c>
      <c r="T428" s="91"/>
      <c r="U428" s="91"/>
      <c r="V428" s="91"/>
      <c r="W428" s="91"/>
      <c r="X428" s="91"/>
      <c r="Y428" s="87">
        <v>0.0</v>
      </c>
      <c r="Z428" s="88" t="s">
        <v>1396</v>
      </c>
    </row>
    <row r="429" hidden="1">
      <c r="A429" s="90" t="s">
        <v>1967</v>
      </c>
      <c r="B429" s="90" t="s">
        <v>1968</v>
      </c>
      <c r="C429" s="90" t="s">
        <v>1961</v>
      </c>
      <c r="D429" s="90" t="s">
        <v>1966</v>
      </c>
      <c r="E429" s="90" t="s">
        <v>1403</v>
      </c>
      <c r="F429" s="87">
        <v>0.0</v>
      </c>
      <c r="G429" s="87">
        <v>0.0</v>
      </c>
      <c r="H429" s="87">
        <v>0.0</v>
      </c>
      <c r="I429" s="87">
        <v>0.0</v>
      </c>
      <c r="J429" s="87">
        <v>0.0</v>
      </c>
      <c r="K429" s="87">
        <v>0.0</v>
      </c>
      <c r="L429" s="87">
        <v>0.0</v>
      </c>
      <c r="M429" s="87">
        <v>0.0</v>
      </c>
      <c r="N429" s="91"/>
      <c r="O429" s="87">
        <v>0.0</v>
      </c>
      <c r="P429" s="87">
        <v>0.0</v>
      </c>
      <c r="Q429" s="87">
        <v>0.0</v>
      </c>
      <c r="R429" s="87">
        <v>0.0</v>
      </c>
      <c r="S429" s="87">
        <v>0.0</v>
      </c>
      <c r="T429" s="91"/>
      <c r="U429" s="91"/>
      <c r="V429" s="91"/>
      <c r="W429" s="91"/>
      <c r="X429" s="91"/>
      <c r="Y429" s="87">
        <v>0.0</v>
      </c>
      <c r="Z429" s="88" t="s">
        <v>1396</v>
      </c>
    </row>
    <row r="430" hidden="1">
      <c r="A430" s="90" t="s">
        <v>1969</v>
      </c>
      <c r="B430" s="90" t="s">
        <v>1970</v>
      </c>
      <c r="C430" s="90" t="s">
        <v>1961</v>
      </c>
      <c r="D430" s="90" t="s">
        <v>1971</v>
      </c>
      <c r="E430" s="90" t="s">
        <v>1398</v>
      </c>
      <c r="F430" s="87">
        <v>1.0</v>
      </c>
      <c r="G430" s="87">
        <v>1.0</v>
      </c>
      <c r="H430" s="87">
        <v>9.0</v>
      </c>
      <c r="I430" s="87">
        <v>9.0</v>
      </c>
      <c r="J430" s="87">
        <v>0.0</v>
      </c>
      <c r="K430" s="87">
        <v>0.0</v>
      </c>
      <c r="L430" s="87">
        <v>0.0</v>
      </c>
      <c r="M430" s="87">
        <v>0.0</v>
      </c>
      <c r="N430" s="91"/>
      <c r="O430" s="87">
        <v>0.0</v>
      </c>
      <c r="P430" s="87">
        <v>0.0</v>
      </c>
      <c r="Q430" s="87">
        <v>0.0</v>
      </c>
      <c r="R430" s="87">
        <v>0.0</v>
      </c>
      <c r="S430" s="87">
        <v>0.0</v>
      </c>
      <c r="T430" s="91"/>
      <c r="U430" s="91"/>
      <c r="V430" s="91"/>
      <c r="W430" s="91"/>
      <c r="X430" s="91"/>
      <c r="Y430" s="87">
        <v>0.0</v>
      </c>
      <c r="Z430" s="88" t="s">
        <v>1396</v>
      </c>
    </row>
    <row r="431" hidden="1">
      <c r="A431" s="90" t="s">
        <v>1967</v>
      </c>
      <c r="B431" s="90" t="s">
        <v>1973</v>
      </c>
      <c r="C431" s="90" t="s">
        <v>1961</v>
      </c>
      <c r="D431" s="90" t="s">
        <v>1971</v>
      </c>
      <c r="E431" s="90" t="s">
        <v>1403</v>
      </c>
      <c r="F431" s="87">
        <v>1.0</v>
      </c>
      <c r="G431" s="87">
        <v>1.0</v>
      </c>
      <c r="H431" s="87">
        <v>90.0</v>
      </c>
      <c r="I431" s="87">
        <v>90.0</v>
      </c>
      <c r="J431" s="87">
        <v>0.0</v>
      </c>
      <c r="K431" s="87">
        <v>0.0</v>
      </c>
      <c r="L431" s="87">
        <v>0.0</v>
      </c>
      <c r="M431" s="87">
        <v>0.0</v>
      </c>
      <c r="N431" s="91"/>
      <c r="O431" s="87">
        <v>0.0</v>
      </c>
      <c r="P431" s="87">
        <v>0.0</v>
      </c>
      <c r="Q431" s="87">
        <v>0.0</v>
      </c>
      <c r="R431" s="87">
        <v>0.0</v>
      </c>
      <c r="S431" s="87">
        <v>0.0</v>
      </c>
      <c r="T431" s="91"/>
      <c r="U431" s="91"/>
      <c r="V431" s="91"/>
      <c r="W431" s="91"/>
      <c r="X431" s="91"/>
      <c r="Y431" s="87">
        <v>0.0</v>
      </c>
      <c r="Z431" s="88" t="s">
        <v>1396</v>
      </c>
    </row>
    <row r="432" hidden="1">
      <c r="A432" s="90" t="s">
        <v>1959</v>
      </c>
      <c r="B432" s="90" t="s">
        <v>3322</v>
      </c>
      <c r="C432" s="90" t="s">
        <v>1961</v>
      </c>
      <c r="D432" s="90" t="s">
        <v>1975</v>
      </c>
      <c r="E432" s="90" t="s">
        <v>1400</v>
      </c>
      <c r="F432" s="87">
        <v>1.0</v>
      </c>
      <c r="G432" s="87">
        <v>1.0</v>
      </c>
      <c r="H432" s="87">
        <v>1.0</v>
      </c>
      <c r="I432" s="87">
        <v>1.0</v>
      </c>
      <c r="J432" s="87">
        <v>0.0</v>
      </c>
      <c r="K432" s="87">
        <v>0.0</v>
      </c>
      <c r="L432" s="87">
        <v>0.0</v>
      </c>
      <c r="M432" s="87">
        <v>0.0</v>
      </c>
      <c r="N432" s="91"/>
      <c r="O432" s="91"/>
      <c r="P432" s="91"/>
      <c r="Q432" s="91"/>
      <c r="R432" s="91"/>
      <c r="S432" s="91"/>
      <c r="T432" s="91"/>
      <c r="U432" s="91"/>
      <c r="V432" s="91"/>
      <c r="W432" s="91"/>
      <c r="X432" s="91"/>
      <c r="Y432" s="91"/>
      <c r="Z432" s="88" t="s">
        <v>1396</v>
      </c>
    </row>
    <row r="433" hidden="1">
      <c r="A433" s="90" t="s">
        <v>1976</v>
      </c>
      <c r="B433" s="90" t="s">
        <v>1774</v>
      </c>
      <c r="C433" s="90" t="s">
        <v>264</v>
      </c>
      <c r="D433" s="90" t="s">
        <v>915</v>
      </c>
      <c r="E433" s="90" t="s">
        <v>1426</v>
      </c>
      <c r="F433" s="87">
        <v>5.0</v>
      </c>
      <c r="G433" s="87">
        <v>1.0</v>
      </c>
      <c r="H433" s="87">
        <v>1424.0</v>
      </c>
      <c r="I433" s="87">
        <v>2.0</v>
      </c>
      <c r="J433" s="87">
        <v>4.279712</v>
      </c>
      <c r="K433" s="87">
        <v>3.227655</v>
      </c>
      <c r="L433" s="87">
        <v>3.343762</v>
      </c>
      <c r="M433" s="87">
        <v>2.68202</v>
      </c>
      <c r="N433" s="87">
        <v>0.83095</v>
      </c>
      <c r="O433" s="87">
        <v>0.269444</v>
      </c>
      <c r="P433" s="87">
        <v>0.269444</v>
      </c>
      <c r="Q433" s="87">
        <v>0.269444</v>
      </c>
      <c r="R433" s="87">
        <v>0.27619</v>
      </c>
      <c r="S433" s="87">
        <v>2.68202</v>
      </c>
      <c r="T433" s="87">
        <v>0.269444</v>
      </c>
      <c r="U433" s="87">
        <v>0.269444</v>
      </c>
      <c r="V433" s="87">
        <v>0.269444</v>
      </c>
      <c r="W433" s="87">
        <v>0.27619</v>
      </c>
      <c r="X433" s="87">
        <v>2.68202</v>
      </c>
      <c r="Y433" s="87">
        <v>1.075885</v>
      </c>
      <c r="Z433" s="88" t="s">
        <v>1396</v>
      </c>
    </row>
    <row r="434" hidden="1">
      <c r="A434" s="90" t="s">
        <v>1977</v>
      </c>
      <c r="B434" s="90" t="s">
        <v>1978</v>
      </c>
      <c r="C434" s="90" t="s">
        <v>264</v>
      </c>
      <c r="D434" s="90" t="s">
        <v>915</v>
      </c>
      <c r="E434" s="86">
        <v>46310.0</v>
      </c>
      <c r="F434" s="87">
        <v>2.0</v>
      </c>
      <c r="G434" s="87">
        <v>1.0</v>
      </c>
      <c r="H434" s="87">
        <v>554.0</v>
      </c>
      <c r="I434" s="87">
        <v>1.0</v>
      </c>
      <c r="J434" s="87">
        <v>3.946007</v>
      </c>
      <c r="K434" s="87">
        <v>3.277325</v>
      </c>
      <c r="L434" s="87">
        <v>2.970689</v>
      </c>
      <c r="M434" s="87">
        <v>3.277325</v>
      </c>
      <c r="N434" s="87">
        <v>1.0</v>
      </c>
      <c r="O434" s="87">
        <v>3.277325</v>
      </c>
      <c r="P434" s="87">
        <v>3.277325</v>
      </c>
      <c r="Q434" s="87">
        <v>3.277325</v>
      </c>
      <c r="R434" s="87">
        <v>3.277325</v>
      </c>
      <c r="S434" s="87">
        <v>3.277325</v>
      </c>
      <c r="T434" s="87">
        <v>3.277325</v>
      </c>
      <c r="U434" s="87">
        <v>3.277325</v>
      </c>
      <c r="V434" s="87">
        <v>3.277325</v>
      </c>
      <c r="W434" s="87">
        <v>3.277325</v>
      </c>
      <c r="X434" s="87">
        <v>3.277325</v>
      </c>
      <c r="Y434" s="87">
        <v>3.277325</v>
      </c>
      <c r="Z434" s="88" t="s">
        <v>1396</v>
      </c>
    </row>
    <row r="435" hidden="1">
      <c r="A435" s="90" t="s">
        <v>1979</v>
      </c>
      <c r="B435" s="90" t="s">
        <v>1775</v>
      </c>
      <c r="C435" s="90" t="s">
        <v>264</v>
      </c>
      <c r="D435" s="90" t="s">
        <v>915</v>
      </c>
      <c r="E435" s="90" t="s">
        <v>1413</v>
      </c>
      <c r="F435" s="87">
        <v>0.0</v>
      </c>
      <c r="G435" s="87">
        <v>0.0</v>
      </c>
      <c r="H435" s="87">
        <v>0.0</v>
      </c>
      <c r="I435" s="87">
        <v>0.0</v>
      </c>
      <c r="J435" s="87">
        <v>0.0</v>
      </c>
      <c r="K435" s="87">
        <v>0.0</v>
      </c>
      <c r="L435" s="87">
        <v>0.0</v>
      </c>
      <c r="M435" s="87">
        <v>0.0</v>
      </c>
      <c r="N435" s="91"/>
      <c r="O435" s="87">
        <v>0.0</v>
      </c>
      <c r="P435" s="87">
        <v>0.0</v>
      </c>
      <c r="Q435" s="87">
        <v>0.0</v>
      </c>
      <c r="R435" s="87">
        <v>0.0</v>
      </c>
      <c r="S435" s="87">
        <v>0.0</v>
      </c>
      <c r="T435" s="91"/>
      <c r="U435" s="91"/>
      <c r="V435" s="91"/>
      <c r="W435" s="91"/>
      <c r="X435" s="91"/>
      <c r="Y435" s="87">
        <v>0.0</v>
      </c>
      <c r="Z435" s="88" t="s">
        <v>1396</v>
      </c>
    </row>
    <row r="436" hidden="1">
      <c r="A436" s="90" t="s">
        <v>1980</v>
      </c>
      <c r="B436" s="90" t="s">
        <v>1776</v>
      </c>
      <c r="C436" s="90" t="s">
        <v>264</v>
      </c>
      <c r="D436" s="90" t="s">
        <v>915</v>
      </c>
      <c r="E436" s="90" t="s">
        <v>1398</v>
      </c>
      <c r="F436" s="87">
        <v>3.0</v>
      </c>
      <c r="G436" s="87">
        <v>0.0</v>
      </c>
      <c r="H436" s="87">
        <v>530.0</v>
      </c>
      <c r="I436" s="87">
        <v>0.0</v>
      </c>
      <c r="J436" s="87">
        <v>0.571429</v>
      </c>
      <c r="K436" s="87">
        <v>0.366667</v>
      </c>
      <c r="L436" s="87">
        <v>0.890138</v>
      </c>
      <c r="M436" s="87">
        <v>0.366667</v>
      </c>
      <c r="N436" s="87">
        <v>1.0</v>
      </c>
      <c r="O436" s="87">
        <v>0.366667</v>
      </c>
      <c r="P436" s="87">
        <v>0.366667</v>
      </c>
      <c r="Q436" s="87">
        <v>0.366667</v>
      </c>
      <c r="R436" s="87">
        <v>0.366667</v>
      </c>
      <c r="S436" s="87">
        <v>0.366667</v>
      </c>
      <c r="T436" s="87">
        <v>0.366667</v>
      </c>
      <c r="U436" s="87">
        <v>0.366667</v>
      </c>
      <c r="V436" s="87">
        <v>0.366667</v>
      </c>
      <c r="W436" s="87">
        <v>0.366667</v>
      </c>
      <c r="X436" s="87">
        <v>0.366667</v>
      </c>
      <c r="Y436" s="87">
        <v>0.366667</v>
      </c>
      <c r="Z436" s="88" t="s">
        <v>1396</v>
      </c>
    </row>
    <row r="437" hidden="1">
      <c r="A437" s="90" t="s">
        <v>1981</v>
      </c>
      <c r="B437" s="90" t="s">
        <v>1982</v>
      </c>
      <c r="C437" s="90" t="s">
        <v>264</v>
      </c>
      <c r="D437" s="90" t="s">
        <v>915</v>
      </c>
      <c r="E437" s="90" t="s">
        <v>1400</v>
      </c>
      <c r="F437" s="87">
        <v>2.0</v>
      </c>
      <c r="G437" s="87">
        <v>1.0</v>
      </c>
      <c r="H437" s="87">
        <v>207.0</v>
      </c>
      <c r="I437" s="87">
        <v>192.0</v>
      </c>
      <c r="J437" s="87">
        <v>0.0</v>
      </c>
      <c r="K437" s="87">
        <v>0.0</v>
      </c>
      <c r="L437" s="87">
        <v>0.0</v>
      </c>
      <c r="M437" s="87">
        <v>0.0</v>
      </c>
      <c r="N437" s="91"/>
      <c r="O437" s="91"/>
      <c r="P437" s="91"/>
      <c r="Q437" s="91"/>
      <c r="R437" s="91"/>
      <c r="S437" s="91"/>
      <c r="T437" s="91"/>
      <c r="U437" s="91"/>
      <c r="V437" s="91"/>
      <c r="W437" s="91"/>
      <c r="X437" s="91"/>
      <c r="Y437" s="91"/>
      <c r="Z437" s="88" t="s">
        <v>1396</v>
      </c>
    </row>
    <row r="438" hidden="1">
      <c r="A438" s="90" t="s">
        <v>1983</v>
      </c>
      <c r="B438" s="90" t="s">
        <v>1777</v>
      </c>
      <c r="C438" s="90" t="s">
        <v>264</v>
      </c>
      <c r="D438" s="90" t="s">
        <v>915</v>
      </c>
      <c r="E438" s="89">
        <v>46300.0</v>
      </c>
      <c r="F438" s="87">
        <v>15.0</v>
      </c>
      <c r="G438" s="87">
        <v>1.0</v>
      </c>
      <c r="H438" s="87">
        <v>6230.0</v>
      </c>
      <c r="I438" s="87">
        <v>173.0</v>
      </c>
      <c r="J438" s="87">
        <v>14.85943</v>
      </c>
      <c r="K438" s="87">
        <v>14.77394</v>
      </c>
      <c r="L438" s="87">
        <v>16.07948</v>
      </c>
      <c r="M438" s="87">
        <v>10.90258</v>
      </c>
      <c r="N438" s="87">
        <v>0.73796</v>
      </c>
      <c r="O438" s="87">
        <v>0.066667</v>
      </c>
      <c r="P438" s="87">
        <v>0.3</v>
      </c>
      <c r="Q438" s="87">
        <v>0.438875</v>
      </c>
      <c r="R438" s="87">
        <v>0.698925</v>
      </c>
      <c r="S438" s="87">
        <v>1.065591</v>
      </c>
      <c r="T438" s="87">
        <v>0.3</v>
      </c>
      <c r="U438" s="87">
        <v>0.438875</v>
      </c>
      <c r="V438" s="87">
        <v>0.497849</v>
      </c>
      <c r="W438" s="87">
        <v>0.803448</v>
      </c>
      <c r="X438" s="87">
        <v>1.381183</v>
      </c>
      <c r="Y438" s="87">
        <v>1.343085</v>
      </c>
      <c r="Z438" s="88" t="s">
        <v>1396</v>
      </c>
    </row>
    <row r="439" hidden="1">
      <c r="A439" s="90" t="s">
        <v>1984</v>
      </c>
      <c r="B439" s="90" t="s">
        <v>1778</v>
      </c>
      <c r="C439" s="90" t="s">
        <v>264</v>
      </c>
      <c r="D439" s="90" t="s">
        <v>915</v>
      </c>
      <c r="E439" s="90" t="s">
        <v>1403</v>
      </c>
      <c r="F439" s="87">
        <v>0.0</v>
      </c>
      <c r="G439" s="87">
        <v>0.0</v>
      </c>
      <c r="H439" s="87">
        <v>0.0</v>
      </c>
      <c r="I439" s="87">
        <v>0.0</v>
      </c>
      <c r="J439" s="87">
        <v>0.0</v>
      </c>
      <c r="K439" s="87">
        <v>0.0</v>
      </c>
      <c r="L439" s="87">
        <v>0.0</v>
      </c>
      <c r="M439" s="87">
        <v>0.0</v>
      </c>
      <c r="N439" s="91"/>
      <c r="O439" s="87">
        <v>0.0</v>
      </c>
      <c r="P439" s="87">
        <v>0.0</v>
      </c>
      <c r="Q439" s="87">
        <v>0.0</v>
      </c>
      <c r="R439" s="87">
        <v>0.0</v>
      </c>
      <c r="S439" s="87">
        <v>0.0</v>
      </c>
      <c r="T439" s="91"/>
      <c r="U439" s="91"/>
      <c r="V439" s="91"/>
      <c r="W439" s="91"/>
      <c r="X439" s="91"/>
      <c r="Y439" s="87">
        <v>0.0</v>
      </c>
      <c r="Z439" s="88" t="s">
        <v>1396</v>
      </c>
    </row>
    <row r="440" hidden="1">
      <c r="A440" s="90" t="s">
        <v>1976</v>
      </c>
      <c r="B440" s="90" t="s">
        <v>1985</v>
      </c>
      <c r="C440" s="90" t="s">
        <v>264</v>
      </c>
      <c r="D440" s="90" t="s">
        <v>265</v>
      </c>
      <c r="E440" s="90" t="s">
        <v>1426</v>
      </c>
      <c r="F440" s="87">
        <v>5.0</v>
      </c>
      <c r="G440" s="87">
        <v>3.0</v>
      </c>
      <c r="H440" s="87">
        <v>2306.0</v>
      </c>
      <c r="I440" s="87">
        <v>9.0</v>
      </c>
      <c r="J440" s="87">
        <v>31.49406</v>
      </c>
      <c r="K440" s="87">
        <v>31.4084</v>
      </c>
      <c r="L440" s="87">
        <v>30.63713</v>
      </c>
      <c r="M440" s="87">
        <v>31.36078</v>
      </c>
      <c r="N440" s="87">
        <v>0.998484</v>
      </c>
      <c r="O440" s="87">
        <v>0.0</v>
      </c>
      <c r="P440" s="87">
        <v>0.0</v>
      </c>
      <c r="Q440" s="87">
        <v>0.0</v>
      </c>
      <c r="R440" s="87">
        <v>0.0</v>
      </c>
      <c r="S440" s="87">
        <v>0.047619</v>
      </c>
      <c r="T440" s="87">
        <v>0.047619</v>
      </c>
      <c r="U440" s="87">
        <v>0.047619</v>
      </c>
      <c r="V440" s="87">
        <v>0.047619</v>
      </c>
      <c r="W440" s="87">
        <v>0.285256</v>
      </c>
      <c r="X440" s="87">
        <v>31.07552</v>
      </c>
      <c r="Y440" s="87">
        <v>3.489822</v>
      </c>
      <c r="Z440" s="88" t="s">
        <v>1396</v>
      </c>
    </row>
    <row r="441" hidden="1">
      <c r="A441" s="90" t="s">
        <v>1977</v>
      </c>
      <c r="B441" s="90" t="s">
        <v>1986</v>
      </c>
      <c r="C441" s="90" t="s">
        <v>264</v>
      </c>
      <c r="D441" s="90" t="s">
        <v>265</v>
      </c>
      <c r="E441" s="86">
        <v>46310.0</v>
      </c>
      <c r="F441" s="87">
        <v>10.0</v>
      </c>
      <c r="G441" s="87">
        <v>0.0</v>
      </c>
      <c r="H441" s="87">
        <v>1783.0</v>
      </c>
      <c r="I441" s="87">
        <v>0.0</v>
      </c>
      <c r="J441" s="87">
        <v>11.07326</v>
      </c>
      <c r="K441" s="87">
        <v>18.97503</v>
      </c>
      <c r="L441" s="87">
        <v>14.99158</v>
      </c>
      <c r="M441" s="87">
        <v>18.97503</v>
      </c>
      <c r="N441" s="87">
        <v>1.0</v>
      </c>
      <c r="O441" s="87">
        <v>18.97503</v>
      </c>
      <c r="P441" s="87">
        <v>18.97503</v>
      </c>
      <c r="Q441" s="87">
        <v>18.97503</v>
      </c>
      <c r="R441" s="87">
        <v>18.97503</v>
      </c>
      <c r="S441" s="87">
        <v>18.97503</v>
      </c>
      <c r="T441" s="87">
        <v>18.97503</v>
      </c>
      <c r="U441" s="87">
        <v>18.97503</v>
      </c>
      <c r="V441" s="87">
        <v>18.97503</v>
      </c>
      <c r="W441" s="87">
        <v>18.97503</v>
      </c>
      <c r="X441" s="87">
        <v>18.97503</v>
      </c>
      <c r="Y441" s="87">
        <v>18.97503</v>
      </c>
      <c r="Z441" s="88" t="s">
        <v>1396</v>
      </c>
    </row>
    <row r="442" hidden="1">
      <c r="A442" s="90" t="s">
        <v>1979</v>
      </c>
      <c r="B442" s="90" t="s">
        <v>1987</v>
      </c>
      <c r="C442" s="90" t="s">
        <v>264</v>
      </c>
      <c r="D442" s="90" t="s">
        <v>265</v>
      </c>
      <c r="E442" s="90" t="s">
        <v>1413</v>
      </c>
      <c r="F442" s="87">
        <v>14.0</v>
      </c>
      <c r="G442" s="87">
        <v>0.0</v>
      </c>
      <c r="H442" s="87">
        <v>1125.0</v>
      </c>
      <c r="I442" s="87">
        <v>0.0</v>
      </c>
      <c r="J442" s="87">
        <v>3.711538</v>
      </c>
      <c r="K442" s="87">
        <v>4.649526</v>
      </c>
      <c r="L442" s="87">
        <v>4.639844</v>
      </c>
      <c r="M442" s="87">
        <v>1.899116</v>
      </c>
      <c r="N442" s="87">
        <v>0.408454</v>
      </c>
      <c r="O442" s="87">
        <v>0.940842</v>
      </c>
      <c r="P442" s="87">
        <v>0.940842</v>
      </c>
      <c r="Q442" s="87">
        <v>0.940842</v>
      </c>
      <c r="R442" s="87">
        <v>1.809568</v>
      </c>
      <c r="S442" s="87">
        <v>1.899116</v>
      </c>
      <c r="T442" s="87">
        <v>0.940842</v>
      </c>
      <c r="U442" s="87">
        <v>0.940842</v>
      </c>
      <c r="V442" s="87">
        <v>0.940842</v>
      </c>
      <c r="W442" s="87">
        <v>1.809568</v>
      </c>
      <c r="X442" s="87">
        <v>1.899116</v>
      </c>
      <c r="Y442" s="87">
        <v>1.549842</v>
      </c>
      <c r="Z442" s="88" t="s">
        <v>1396</v>
      </c>
    </row>
    <row r="443" hidden="1">
      <c r="A443" s="90" t="s">
        <v>1980</v>
      </c>
      <c r="B443" s="90" t="s">
        <v>1988</v>
      </c>
      <c r="C443" s="90" t="s">
        <v>264</v>
      </c>
      <c r="D443" s="90" t="s">
        <v>265</v>
      </c>
      <c r="E443" s="90" t="s">
        <v>1398</v>
      </c>
      <c r="F443" s="87">
        <v>6.0</v>
      </c>
      <c r="G443" s="87">
        <v>0.0</v>
      </c>
      <c r="H443" s="87">
        <v>150.0</v>
      </c>
      <c r="I443" s="87">
        <v>0.0</v>
      </c>
      <c r="J443" s="87">
        <v>0.0</v>
      </c>
      <c r="K443" s="87">
        <v>1.0</v>
      </c>
      <c r="L443" s="87">
        <v>0.083333</v>
      </c>
      <c r="M443" s="87">
        <v>1.0</v>
      </c>
      <c r="N443" s="87">
        <v>1.0</v>
      </c>
      <c r="O443" s="87">
        <v>1.0</v>
      </c>
      <c r="P443" s="87">
        <v>1.0</v>
      </c>
      <c r="Q443" s="87">
        <v>1.0</v>
      </c>
      <c r="R443" s="87">
        <v>1.0</v>
      </c>
      <c r="S443" s="87">
        <v>1.0</v>
      </c>
      <c r="T443" s="87">
        <v>1.0</v>
      </c>
      <c r="U443" s="87">
        <v>1.0</v>
      </c>
      <c r="V443" s="87">
        <v>1.0</v>
      </c>
      <c r="W443" s="87">
        <v>1.0</v>
      </c>
      <c r="X443" s="87">
        <v>1.0</v>
      </c>
      <c r="Y443" s="87">
        <v>1.0</v>
      </c>
      <c r="Z443" s="88" t="s">
        <v>1396</v>
      </c>
    </row>
    <row r="444" hidden="1">
      <c r="A444" s="90" t="s">
        <v>1981</v>
      </c>
      <c r="B444" s="90" t="s">
        <v>3323</v>
      </c>
      <c r="C444" s="90" t="s">
        <v>264</v>
      </c>
      <c r="D444" s="90" t="s">
        <v>265</v>
      </c>
      <c r="E444" s="90" t="s">
        <v>1400</v>
      </c>
      <c r="F444" s="87">
        <v>4.0</v>
      </c>
      <c r="G444" s="87">
        <v>1.0</v>
      </c>
      <c r="H444" s="87">
        <v>67.0</v>
      </c>
      <c r="I444" s="87">
        <v>28.0</v>
      </c>
      <c r="J444" s="87">
        <v>0.0</v>
      </c>
      <c r="K444" s="87">
        <v>0.0</v>
      </c>
      <c r="L444" s="87">
        <v>0.0</v>
      </c>
      <c r="M444" s="87">
        <v>0.0</v>
      </c>
      <c r="N444" s="91"/>
      <c r="O444" s="91"/>
      <c r="P444" s="91"/>
      <c r="Q444" s="91"/>
      <c r="R444" s="91"/>
      <c r="S444" s="91"/>
      <c r="T444" s="91"/>
      <c r="U444" s="91"/>
      <c r="V444" s="91"/>
      <c r="W444" s="91"/>
      <c r="X444" s="91"/>
      <c r="Y444" s="91"/>
      <c r="Z444" s="88" t="s">
        <v>1396</v>
      </c>
    </row>
    <row r="445" hidden="1">
      <c r="A445" s="90" t="s">
        <v>1983</v>
      </c>
      <c r="B445" s="90" t="s">
        <v>1989</v>
      </c>
      <c r="C445" s="90" t="s">
        <v>264</v>
      </c>
      <c r="D445" s="90" t="s">
        <v>265</v>
      </c>
      <c r="E445" s="89">
        <v>46300.0</v>
      </c>
      <c r="F445" s="87">
        <v>9.0</v>
      </c>
      <c r="G445" s="87">
        <v>2.0</v>
      </c>
      <c r="H445" s="87">
        <v>4446.0</v>
      </c>
      <c r="I445" s="87">
        <v>7.0</v>
      </c>
      <c r="J445" s="87">
        <v>25.27761</v>
      </c>
      <c r="K445" s="87">
        <v>26.15638</v>
      </c>
      <c r="L445" s="87">
        <v>30.5366</v>
      </c>
      <c r="M445" s="87">
        <v>14.56323</v>
      </c>
      <c r="N445" s="87">
        <v>0.556776</v>
      </c>
      <c r="O445" s="87">
        <v>0.0</v>
      </c>
      <c r="P445" s="87">
        <v>0.0</v>
      </c>
      <c r="Q445" s="87">
        <v>0.0</v>
      </c>
      <c r="R445" s="87">
        <v>3.172717</v>
      </c>
      <c r="S445" s="87">
        <v>4.880293</v>
      </c>
      <c r="T445" s="87">
        <v>3.172717</v>
      </c>
      <c r="U445" s="87">
        <v>3.540136</v>
      </c>
      <c r="V445" s="87">
        <v>3.540136</v>
      </c>
      <c r="W445" s="87">
        <v>4.880293</v>
      </c>
      <c r="X445" s="87">
        <v>6.912339</v>
      </c>
      <c r="Y445" s="87">
        <v>2.615638</v>
      </c>
      <c r="Z445" s="88" t="s">
        <v>1396</v>
      </c>
    </row>
    <row r="446" hidden="1">
      <c r="A446" s="90" t="s">
        <v>1984</v>
      </c>
      <c r="B446" s="90" t="s">
        <v>1990</v>
      </c>
      <c r="C446" s="90" t="s">
        <v>264</v>
      </c>
      <c r="D446" s="90" t="s">
        <v>265</v>
      </c>
      <c r="E446" s="90" t="s">
        <v>1403</v>
      </c>
      <c r="F446" s="87">
        <v>5.0</v>
      </c>
      <c r="G446" s="87">
        <v>5.0</v>
      </c>
      <c r="H446" s="87">
        <v>125.0</v>
      </c>
      <c r="I446" s="87">
        <v>125.0</v>
      </c>
      <c r="J446" s="87">
        <v>0.0</v>
      </c>
      <c r="K446" s="87">
        <v>0.0</v>
      </c>
      <c r="L446" s="87">
        <v>0.0</v>
      </c>
      <c r="M446" s="87">
        <v>0.0</v>
      </c>
      <c r="N446" s="91"/>
      <c r="O446" s="87">
        <v>0.0</v>
      </c>
      <c r="P446" s="87">
        <v>0.0</v>
      </c>
      <c r="Q446" s="87">
        <v>0.0</v>
      </c>
      <c r="R446" s="87">
        <v>0.0</v>
      </c>
      <c r="S446" s="87">
        <v>0.0</v>
      </c>
      <c r="T446" s="91"/>
      <c r="U446" s="91"/>
      <c r="V446" s="91"/>
      <c r="W446" s="91"/>
      <c r="X446" s="91"/>
      <c r="Y446" s="87">
        <v>0.0</v>
      </c>
      <c r="Z446" s="88" t="s">
        <v>1396</v>
      </c>
    </row>
    <row r="447" hidden="1">
      <c r="A447" s="90" t="s">
        <v>1976</v>
      </c>
      <c r="B447" s="90" t="s">
        <v>1991</v>
      </c>
      <c r="C447" s="90" t="s">
        <v>264</v>
      </c>
      <c r="D447" s="90" t="s">
        <v>275</v>
      </c>
      <c r="E447" s="90" t="s">
        <v>1426</v>
      </c>
      <c r="F447" s="87">
        <v>1.0</v>
      </c>
      <c r="G447" s="87">
        <v>0.0</v>
      </c>
      <c r="H447" s="87">
        <v>540.0</v>
      </c>
      <c r="I447" s="87">
        <v>0.0</v>
      </c>
      <c r="J447" s="87">
        <v>8.149367</v>
      </c>
      <c r="K447" s="87">
        <v>7.288322</v>
      </c>
      <c r="L447" s="87">
        <v>7.465738</v>
      </c>
      <c r="M447" s="87">
        <v>7.288322</v>
      </c>
      <c r="N447" s="87">
        <v>1.0</v>
      </c>
      <c r="O447" s="87">
        <v>0.0</v>
      </c>
      <c r="P447" s="87">
        <v>0.0</v>
      </c>
      <c r="Q447" s="87">
        <v>0.0</v>
      </c>
      <c r="R447" s="87">
        <v>7.288322</v>
      </c>
      <c r="S447" s="87">
        <v>7.288322</v>
      </c>
      <c r="T447" s="87">
        <v>7.288322</v>
      </c>
      <c r="U447" s="87">
        <v>7.288322</v>
      </c>
      <c r="V447" s="87">
        <v>7.288322</v>
      </c>
      <c r="W447" s="87">
        <v>7.288322</v>
      </c>
      <c r="X447" s="87">
        <v>7.288322</v>
      </c>
      <c r="Y447" s="87">
        <v>3.644161</v>
      </c>
      <c r="Z447" s="88" t="s">
        <v>1396</v>
      </c>
    </row>
    <row r="448" hidden="1">
      <c r="A448" s="90" t="s">
        <v>1977</v>
      </c>
      <c r="B448" s="90" t="s">
        <v>1992</v>
      </c>
      <c r="C448" s="90" t="s">
        <v>264</v>
      </c>
      <c r="D448" s="90" t="s">
        <v>275</v>
      </c>
      <c r="E448" s="86">
        <v>46310.0</v>
      </c>
      <c r="F448" s="87">
        <v>9.0</v>
      </c>
      <c r="G448" s="87">
        <v>0.0</v>
      </c>
      <c r="H448" s="87">
        <v>3264.0</v>
      </c>
      <c r="I448" s="87">
        <v>0.0</v>
      </c>
      <c r="J448" s="87">
        <v>31.79144</v>
      </c>
      <c r="K448" s="87">
        <v>31.10889</v>
      </c>
      <c r="L448" s="87">
        <v>31.93746</v>
      </c>
      <c r="M448" s="87">
        <v>15.00553</v>
      </c>
      <c r="N448" s="87">
        <v>0.482355</v>
      </c>
      <c r="O448" s="87">
        <v>0.996774</v>
      </c>
      <c r="P448" s="87">
        <v>4.057321</v>
      </c>
      <c r="Q448" s="87">
        <v>4.057321</v>
      </c>
      <c r="R448" s="87">
        <v>4.911376</v>
      </c>
      <c r="S448" s="87">
        <v>6.137892</v>
      </c>
      <c r="T448" s="87">
        <v>0.996774</v>
      </c>
      <c r="U448" s="87">
        <v>4.057321</v>
      </c>
      <c r="V448" s="87">
        <v>4.057321</v>
      </c>
      <c r="W448" s="87">
        <v>4.911376</v>
      </c>
      <c r="X448" s="87">
        <v>6.137892</v>
      </c>
      <c r="Y448" s="87">
        <v>6.221779</v>
      </c>
      <c r="Z448" s="88" t="s">
        <v>1396</v>
      </c>
    </row>
    <row r="449" hidden="1">
      <c r="A449" s="90" t="s">
        <v>1979</v>
      </c>
      <c r="B449" s="90" t="s">
        <v>1993</v>
      </c>
      <c r="C449" s="90" t="s">
        <v>264</v>
      </c>
      <c r="D449" s="90" t="s">
        <v>275</v>
      </c>
      <c r="E449" s="90" t="s">
        <v>1413</v>
      </c>
      <c r="F449" s="87">
        <v>5.0</v>
      </c>
      <c r="G449" s="87">
        <v>0.0</v>
      </c>
      <c r="H449" s="87">
        <v>978.0</v>
      </c>
      <c r="I449" s="87">
        <v>0.0</v>
      </c>
      <c r="J449" s="87">
        <v>5.041209</v>
      </c>
      <c r="K449" s="87">
        <v>5.37183</v>
      </c>
      <c r="L449" s="87">
        <v>5.418398</v>
      </c>
      <c r="M449" s="87">
        <v>4.618718</v>
      </c>
      <c r="N449" s="87">
        <v>0.859803</v>
      </c>
      <c r="O449" s="87">
        <v>0.753113</v>
      </c>
      <c r="P449" s="87">
        <v>0.753113</v>
      </c>
      <c r="Q449" s="87">
        <v>0.753113</v>
      </c>
      <c r="R449" s="87">
        <v>4.618718</v>
      </c>
      <c r="S449" s="87">
        <v>4.618718</v>
      </c>
      <c r="T449" s="87">
        <v>0.753113</v>
      </c>
      <c r="U449" s="87">
        <v>0.753113</v>
      </c>
      <c r="V449" s="87">
        <v>0.753113</v>
      </c>
      <c r="W449" s="87">
        <v>4.618718</v>
      </c>
      <c r="X449" s="87">
        <v>4.618718</v>
      </c>
      <c r="Y449" s="87">
        <v>2.685915</v>
      </c>
      <c r="Z449" s="88" t="s">
        <v>1396</v>
      </c>
    </row>
    <row r="450" hidden="1">
      <c r="A450" s="90" t="s">
        <v>1980</v>
      </c>
      <c r="B450" s="90" t="s">
        <v>1994</v>
      </c>
      <c r="C450" s="90" t="s">
        <v>264</v>
      </c>
      <c r="D450" s="90" t="s">
        <v>275</v>
      </c>
      <c r="E450" s="90" t="s">
        <v>1398</v>
      </c>
      <c r="F450" s="87">
        <v>4.0</v>
      </c>
      <c r="G450" s="87">
        <v>0.0</v>
      </c>
      <c r="H450" s="87">
        <v>876.0</v>
      </c>
      <c r="I450" s="87">
        <v>0.0</v>
      </c>
      <c r="J450" s="87">
        <v>3.785714</v>
      </c>
      <c r="K450" s="87">
        <v>2.353438</v>
      </c>
      <c r="L450" s="87">
        <v>2.170511</v>
      </c>
      <c r="M450" s="87">
        <v>2.294614</v>
      </c>
      <c r="N450" s="87">
        <v>0.975005</v>
      </c>
      <c r="O450" s="87">
        <v>0.058824</v>
      </c>
      <c r="P450" s="87">
        <v>0.058824</v>
      </c>
      <c r="Q450" s="87">
        <v>0.058824</v>
      </c>
      <c r="R450" s="87">
        <v>2.294614</v>
      </c>
      <c r="S450" s="87">
        <v>2.294614</v>
      </c>
      <c r="T450" s="87">
        <v>0.058824</v>
      </c>
      <c r="U450" s="87">
        <v>0.058824</v>
      </c>
      <c r="V450" s="87">
        <v>0.058824</v>
      </c>
      <c r="W450" s="87">
        <v>2.294614</v>
      </c>
      <c r="X450" s="87">
        <v>2.294614</v>
      </c>
      <c r="Y450" s="87">
        <v>1.176719</v>
      </c>
      <c r="Z450" s="88" t="s">
        <v>1396</v>
      </c>
    </row>
    <row r="451" hidden="1">
      <c r="A451" s="90" t="s">
        <v>1981</v>
      </c>
      <c r="B451" s="90" t="s">
        <v>3324</v>
      </c>
      <c r="C451" s="90" t="s">
        <v>264</v>
      </c>
      <c r="D451" s="90" t="s">
        <v>275</v>
      </c>
      <c r="E451" s="90" t="s">
        <v>1400</v>
      </c>
      <c r="F451" s="87">
        <v>3.0</v>
      </c>
      <c r="G451" s="87">
        <v>1.0</v>
      </c>
      <c r="H451" s="87">
        <v>273.0</v>
      </c>
      <c r="I451" s="87">
        <v>54.0</v>
      </c>
      <c r="J451" s="87">
        <v>0.0</v>
      </c>
      <c r="K451" s="87">
        <v>0.0</v>
      </c>
      <c r="L451" s="87">
        <v>0.0</v>
      </c>
      <c r="M451" s="87">
        <v>0.0</v>
      </c>
      <c r="N451" s="91"/>
      <c r="O451" s="91"/>
      <c r="P451" s="91"/>
      <c r="Q451" s="91"/>
      <c r="R451" s="91"/>
      <c r="S451" s="91"/>
      <c r="T451" s="91"/>
      <c r="U451" s="91"/>
      <c r="V451" s="91"/>
      <c r="W451" s="91"/>
      <c r="X451" s="91"/>
      <c r="Y451" s="91"/>
      <c r="Z451" s="88" t="s">
        <v>1396</v>
      </c>
    </row>
    <row r="452" hidden="1">
      <c r="A452" s="90" t="s">
        <v>1983</v>
      </c>
      <c r="B452" s="90" t="s">
        <v>1995</v>
      </c>
      <c r="C452" s="90" t="s">
        <v>264</v>
      </c>
      <c r="D452" s="90" t="s">
        <v>275</v>
      </c>
      <c r="E452" s="89">
        <v>46300.0</v>
      </c>
      <c r="F452" s="87">
        <v>3.0</v>
      </c>
      <c r="G452" s="87">
        <v>0.0</v>
      </c>
      <c r="H452" s="87">
        <v>573.0</v>
      </c>
      <c r="I452" s="87">
        <v>0.0</v>
      </c>
      <c r="J452" s="87">
        <v>2.616134</v>
      </c>
      <c r="K452" s="87">
        <v>2.305674</v>
      </c>
      <c r="L452" s="87">
        <v>2.312077</v>
      </c>
      <c r="M452" s="87">
        <v>2.039007</v>
      </c>
      <c r="N452" s="87">
        <v>0.884343</v>
      </c>
      <c r="O452" s="87">
        <v>0.266667</v>
      </c>
      <c r="P452" s="87">
        <v>0.266667</v>
      </c>
      <c r="Q452" s="87">
        <v>0.266667</v>
      </c>
      <c r="R452" s="87">
        <v>2.039007</v>
      </c>
      <c r="S452" s="87">
        <v>2.039007</v>
      </c>
      <c r="T452" s="87">
        <v>0.266667</v>
      </c>
      <c r="U452" s="87">
        <v>0.266667</v>
      </c>
      <c r="V452" s="87">
        <v>0.266667</v>
      </c>
      <c r="W452" s="87">
        <v>2.039007</v>
      </c>
      <c r="X452" s="87">
        <v>2.039007</v>
      </c>
      <c r="Y452" s="87">
        <v>1.152837</v>
      </c>
      <c r="Z452" s="88" t="s">
        <v>1396</v>
      </c>
    </row>
    <row r="453" hidden="1">
      <c r="A453" s="90" t="s">
        <v>1984</v>
      </c>
      <c r="B453" s="90" t="s">
        <v>1996</v>
      </c>
      <c r="C453" s="90" t="s">
        <v>264</v>
      </c>
      <c r="D453" s="90" t="s">
        <v>275</v>
      </c>
      <c r="E453" s="90" t="s">
        <v>1403</v>
      </c>
      <c r="F453" s="87">
        <v>5.0</v>
      </c>
      <c r="G453" s="87">
        <v>5.0</v>
      </c>
      <c r="H453" s="87">
        <v>586.0</v>
      </c>
      <c r="I453" s="87">
        <v>586.0</v>
      </c>
      <c r="J453" s="87">
        <v>0.0</v>
      </c>
      <c r="K453" s="87">
        <v>0.0</v>
      </c>
      <c r="L453" s="87">
        <v>0.0</v>
      </c>
      <c r="M453" s="87">
        <v>0.0</v>
      </c>
      <c r="N453" s="91"/>
      <c r="O453" s="87">
        <v>0.0</v>
      </c>
      <c r="P453" s="87">
        <v>0.0</v>
      </c>
      <c r="Q453" s="87">
        <v>0.0</v>
      </c>
      <c r="R453" s="87">
        <v>0.0</v>
      </c>
      <c r="S453" s="87">
        <v>0.0</v>
      </c>
      <c r="T453" s="91"/>
      <c r="U453" s="91"/>
      <c r="V453" s="91"/>
      <c r="W453" s="91"/>
      <c r="X453" s="91"/>
      <c r="Y453" s="87">
        <v>0.0</v>
      </c>
      <c r="Z453" s="88" t="s">
        <v>1396</v>
      </c>
    </row>
    <row r="454" hidden="1">
      <c r="A454" s="90" t="s">
        <v>1976</v>
      </c>
      <c r="B454" s="90" t="s">
        <v>1997</v>
      </c>
      <c r="C454" s="90" t="s">
        <v>264</v>
      </c>
      <c r="D454" s="90" t="s">
        <v>1998</v>
      </c>
      <c r="E454" s="90" t="s">
        <v>1426</v>
      </c>
      <c r="F454" s="87">
        <v>1.0</v>
      </c>
      <c r="G454" s="87">
        <v>0.0</v>
      </c>
      <c r="H454" s="87">
        <v>2525.0</v>
      </c>
      <c r="I454" s="87">
        <v>0.0</v>
      </c>
      <c r="J454" s="87">
        <v>26.84396</v>
      </c>
      <c r="K454" s="87">
        <v>28.24847</v>
      </c>
      <c r="L454" s="87">
        <v>31.22804</v>
      </c>
      <c r="M454" s="87">
        <v>28.24847</v>
      </c>
      <c r="N454" s="87">
        <v>1.0</v>
      </c>
      <c r="O454" s="87">
        <v>28.24847</v>
      </c>
      <c r="P454" s="87">
        <v>28.24847</v>
      </c>
      <c r="Q454" s="87">
        <v>28.24847</v>
      </c>
      <c r="R454" s="87">
        <v>28.24847</v>
      </c>
      <c r="S454" s="87">
        <v>28.24847</v>
      </c>
      <c r="T454" s="87">
        <v>28.24847</v>
      </c>
      <c r="U454" s="87">
        <v>28.24847</v>
      </c>
      <c r="V454" s="87">
        <v>28.24847</v>
      </c>
      <c r="W454" s="87">
        <v>28.24847</v>
      </c>
      <c r="X454" s="87">
        <v>28.24847</v>
      </c>
      <c r="Y454" s="87">
        <v>28.24847</v>
      </c>
      <c r="Z454" s="88" t="s">
        <v>1396</v>
      </c>
    </row>
    <row r="455" hidden="1">
      <c r="A455" s="90" t="s">
        <v>1977</v>
      </c>
      <c r="B455" s="90" t="s">
        <v>1999</v>
      </c>
      <c r="C455" s="90" t="s">
        <v>264</v>
      </c>
      <c r="D455" s="90" t="s">
        <v>1998</v>
      </c>
      <c r="E455" s="86">
        <v>46310.0</v>
      </c>
      <c r="F455" s="87">
        <v>3.0</v>
      </c>
      <c r="G455" s="87">
        <v>0.0</v>
      </c>
      <c r="H455" s="87">
        <v>4637.0</v>
      </c>
      <c r="I455" s="87">
        <v>0.0</v>
      </c>
      <c r="J455" s="87">
        <v>69.86454</v>
      </c>
      <c r="K455" s="87">
        <v>70.07445</v>
      </c>
      <c r="L455" s="87">
        <v>67.18019</v>
      </c>
      <c r="M455" s="87">
        <v>64.8143</v>
      </c>
      <c r="N455" s="87">
        <v>0.924935</v>
      </c>
      <c r="O455" s="87">
        <v>5.260151</v>
      </c>
      <c r="P455" s="87">
        <v>5.260151</v>
      </c>
      <c r="Q455" s="87">
        <v>5.260151</v>
      </c>
      <c r="R455" s="87">
        <v>64.8143</v>
      </c>
      <c r="S455" s="87">
        <v>64.8143</v>
      </c>
      <c r="T455" s="87">
        <v>5.260151</v>
      </c>
      <c r="U455" s="87">
        <v>5.260151</v>
      </c>
      <c r="V455" s="87">
        <v>5.260151</v>
      </c>
      <c r="W455" s="87">
        <v>64.8143</v>
      </c>
      <c r="X455" s="87">
        <v>64.8143</v>
      </c>
      <c r="Y455" s="87">
        <v>35.03722</v>
      </c>
      <c r="Z455" s="88" t="s">
        <v>1396</v>
      </c>
    </row>
    <row r="456" hidden="1">
      <c r="A456" s="90" t="s">
        <v>1979</v>
      </c>
      <c r="B456" s="90" t="s">
        <v>2000</v>
      </c>
      <c r="C456" s="90" t="s">
        <v>264</v>
      </c>
      <c r="D456" s="90" t="s">
        <v>1998</v>
      </c>
      <c r="E456" s="90" t="s">
        <v>1413</v>
      </c>
      <c r="F456" s="87">
        <v>3.0</v>
      </c>
      <c r="G456" s="87">
        <v>0.0</v>
      </c>
      <c r="H456" s="87">
        <v>1889.0</v>
      </c>
      <c r="I456" s="87">
        <v>0.0</v>
      </c>
      <c r="J456" s="87">
        <v>21.1883</v>
      </c>
      <c r="K456" s="87">
        <v>22.39287</v>
      </c>
      <c r="L456" s="87">
        <v>22.13944</v>
      </c>
      <c r="M456" s="87">
        <v>19.74484</v>
      </c>
      <c r="N456" s="87">
        <v>0.881747</v>
      </c>
      <c r="O456" s="87">
        <v>2.64803</v>
      </c>
      <c r="P456" s="87">
        <v>2.64803</v>
      </c>
      <c r="Q456" s="87">
        <v>2.64803</v>
      </c>
      <c r="R456" s="87">
        <v>19.74484</v>
      </c>
      <c r="S456" s="87">
        <v>19.74484</v>
      </c>
      <c r="T456" s="87">
        <v>2.64803</v>
      </c>
      <c r="U456" s="87">
        <v>2.64803</v>
      </c>
      <c r="V456" s="87">
        <v>2.64803</v>
      </c>
      <c r="W456" s="87">
        <v>19.74484</v>
      </c>
      <c r="X456" s="87">
        <v>19.74484</v>
      </c>
      <c r="Y456" s="87">
        <v>11.19644</v>
      </c>
      <c r="Z456" s="88" t="s">
        <v>1396</v>
      </c>
    </row>
    <row r="457" hidden="1">
      <c r="A457" s="90" t="s">
        <v>1980</v>
      </c>
      <c r="B457" s="90" t="s">
        <v>2001</v>
      </c>
      <c r="C457" s="90" t="s">
        <v>264</v>
      </c>
      <c r="D457" s="90" t="s">
        <v>1998</v>
      </c>
      <c r="E457" s="90" t="s">
        <v>1398</v>
      </c>
      <c r="F457" s="87">
        <v>3.0</v>
      </c>
      <c r="G457" s="87">
        <v>0.0</v>
      </c>
      <c r="H457" s="87">
        <v>1287.0</v>
      </c>
      <c r="I457" s="87">
        <v>0.0</v>
      </c>
      <c r="J457" s="87">
        <v>18.51638</v>
      </c>
      <c r="K457" s="87">
        <v>16.28954</v>
      </c>
      <c r="L457" s="87">
        <v>15.42925</v>
      </c>
      <c r="M457" s="87">
        <v>9.746639</v>
      </c>
      <c r="N457" s="87">
        <v>0.598337</v>
      </c>
      <c r="O457" s="87">
        <v>6.542901</v>
      </c>
      <c r="P457" s="87">
        <v>6.542901</v>
      </c>
      <c r="Q457" s="87">
        <v>6.542901</v>
      </c>
      <c r="R457" s="87">
        <v>9.746639</v>
      </c>
      <c r="S457" s="87">
        <v>9.746639</v>
      </c>
      <c r="T457" s="87">
        <v>6.542901</v>
      </c>
      <c r="U457" s="87">
        <v>6.542901</v>
      </c>
      <c r="V457" s="87">
        <v>6.542901</v>
      </c>
      <c r="W457" s="87">
        <v>9.746639</v>
      </c>
      <c r="X457" s="87">
        <v>9.746639</v>
      </c>
      <c r="Y457" s="87">
        <v>8.14477</v>
      </c>
      <c r="Z457" s="88" t="s">
        <v>1396</v>
      </c>
    </row>
    <row r="458" hidden="1">
      <c r="A458" s="90" t="s">
        <v>1981</v>
      </c>
      <c r="B458" s="90" t="s">
        <v>2002</v>
      </c>
      <c r="C458" s="90" t="s">
        <v>264</v>
      </c>
      <c r="D458" s="90" t="s">
        <v>1998</v>
      </c>
      <c r="E458" s="90" t="s">
        <v>1400</v>
      </c>
      <c r="F458" s="87">
        <v>1.0</v>
      </c>
      <c r="G458" s="87">
        <v>0.0</v>
      </c>
      <c r="H458" s="87">
        <v>297.0</v>
      </c>
      <c r="I458" s="87">
        <v>0.0</v>
      </c>
      <c r="J458" s="87">
        <v>2.741342</v>
      </c>
      <c r="K458" s="87">
        <v>2.852198</v>
      </c>
      <c r="L458" s="87">
        <v>2.591573</v>
      </c>
      <c r="M458" s="87">
        <v>2.852198</v>
      </c>
      <c r="N458" s="87">
        <v>1.0</v>
      </c>
      <c r="O458" s="87">
        <v>2.852198</v>
      </c>
      <c r="P458" s="87">
        <v>2.852198</v>
      </c>
      <c r="Q458" s="87">
        <v>2.852198</v>
      </c>
      <c r="R458" s="87">
        <v>2.852198</v>
      </c>
      <c r="S458" s="87">
        <v>2.852198</v>
      </c>
      <c r="T458" s="87">
        <v>2.852198</v>
      </c>
      <c r="U458" s="87">
        <v>2.852198</v>
      </c>
      <c r="V458" s="87">
        <v>2.852198</v>
      </c>
      <c r="W458" s="87">
        <v>2.852198</v>
      </c>
      <c r="X458" s="87">
        <v>2.852198</v>
      </c>
      <c r="Y458" s="87">
        <v>2.852198</v>
      </c>
      <c r="Z458" s="88" t="s">
        <v>1396</v>
      </c>
    </row>
    <row r="459" hidden="1">
      <c r="A459" s="90" t="s">
        <v>1983</v>
      </c>
      <c r="B459" s="90" t="s">
        <v>2003</v>
      </c>
      <c r="C459" s="90" t="s">
        <v>264</v>
      </c>
      <c r="D459" s="90" t="s">
        <v>1998</v>
      </c>
      <c r="E459" s="89">
        <v>46300.0</v>
      </c>
      <c r="F459" s="87">
        <v>3.0</v>
      </c>
      <c r="G459" s="87">
        <v>0.0</v>
      </c>
      <c r="H459" s="87">
        <v>2616.0</v>
      </c>
      <c r="I459" s="87">
        <v>0.0</v>
      </c>
      <c r="J459" s="87">
        <v>29.41231</v>
      </c>
      <c r="K459" s="87">
        <v>31.94679</v>
      </c>
      <c r="L459" s="87">
        <v>29.80271</v>
      </c>
      <c r="M459" s="87">
        <v>26.07432</v>
      </c>
      <c r="N459" s="87">
        <v>0.81618</v>
      </c>
      <c r="O459" s="87">
        <v>0.0</v>
      </c>
      <c r="P459" s="87">
        <v>0.0</v>
      </c>
      <c r="Q459" s="87">
        <v>2.604723</v>
      </c>
      <c r="R459" s="87">
        <v>3.267747</v>
      </c>
      <c r="S459" s="87">
        <v>3.267747</v>
      </c>
      <c r="T459" s="87">
        <v>2.604723</v>
      </c>
      <c r="U459" s="87">
        <v>2.604723</v>
      </c>
      <c r="V459" s="87">
        <v>2.604723</v>
      </c>
      <c r="W459" s="87">
        <v>3.267747</v>
      </c>
      <c r="X459" s="87">
        <v>26.07432</v>
      </c>
      <c r="Y459" s="87">
        <v>7.986698</v>
      </c>
      <c r="Z459" s="88" t="s">
        <v>1396</v>
      </c>
    </row>
    <row r="460" hidden="1">
      <c r="A460" s="90" t="s">
        <v>1984</v>
      </c>
      <c r="B460" s="90" t="s">
        <v>2004</v>
      </c>
      <c r="C460" s="90" t="s">
        <v>264</v>
      </c>
      <c r="D460" s="90" t="s">
        <v>1998</v>
      </c>
      <c r="E460" s="90" t="s">
        <v>1403</v>
      </c>
      <c r="F460" s="87">
        <v>2.0</v>
      </c>
      <c r="G460" s="87">
        <v>2.0</v>
      </c>
      <c r="H460" s="87">
        <v>15.0</v>
      </c>
      <c r="I460" s="87">
        <v>15.0</v>
      </c>
      <c r="J460" s="87">
        <v>0.0</v>
      </c>
      <c r="K460" s="87">
        <v>0.0</v>
      </c>
      <c r="L460" s="87">
        <v>0.0</v>
      </c>
      <c r="M460" s="87">
        <v>0.0</v>
      </c>
      <c r="N460" s="91"/>
      <c r="O460" s="87">
        <v>0.0</v>
      </c>
      <c r="P460" s="87">
        <v>0.0</v>
      </c>
      <c r="Q460" s="87">
        <v>0.0</v>
      </c>
      <c r="R460" s="87">
        <v>0.0</v>
      </c>
      <c r="S460" s="87">
        <v>0.0</v>
      </c>
      <c r="T460" s="91"/>
      <c r="U460" s="91"/>
      <c r="V460" s="91"/>
      <c r="W460" s="91"/>
      <c r="X460" s="91"/>
      <c r="Y460" s="87">
        <v>0.0</v>
      </c>
      <c r="Z460" s="88" t="s">
        <v>1396</v>
      </c>
    </row>
    <row r="461" hidden="1">
      <c r="A461" s="90" t="s">
        <v>1976</v>
      </c>
      <c r="B461" s="90" t="s">
        <v>2005</v>
      </c>
      <c r="C461" s="90" t="s">
        <v>264</v>
      </c>
      <c r="D461" s="90" t="s">
        <v>287</v>
      </c>
      <c r="E461" s="90" t="s">
        <v>1426</v>
      </c>
      <c r="F461" s="87">
        <v>1.0</v>
      </c>
      <c r="G461" s="87">
        <v>0.0</v>
      </c>
      <c r="H461" s="87">
        <v>4.0</v>
      </c>
      <c r="I461" s="87">
        <v>0.0</v>
      </c>
      <c r="J461" s="87">
        <v>0.0</v>
      </c>
      <c r="K461" s="87">
        <v>0.0</v>
      </c>
      <c r="L461" s="87">
        <v>0.0</v>
      </c>
      <c r="M461" s="87">
        <v>0.0</v>
      </c>
      <c r="N461" s="85"/>
      <c r="O461" s="87">
        <v>0.0</v>
      </c>
      <c r="P461" s="87">
        <v>0.0</v>
      </c>
      <c r="Q461" s="87">
        <v>0.0</v>
      </c>
      <c r="R461" s="87">
        <v>0.0</v>
      </c>
      <c r="S461" s="87">
        <v>0.0</v>
      </c>
      <c r="T461" s="91"/>
      <c r="U461" s="91"/>
      <c r="V461" s="91"/>
      <c r="W461" s="91"/>
      <c r="X461" s="91"/>
      <c r="Y461" s="87">
        <v>0.0</v>
      </c>
      <c r="Z461" s="88" t="s">
        <v>1396</v>
      </c>
    </row>
    <row r="462" hidden="1">
      <c r="A462" s="90" t="s">
        <v>1977</v>
      </c>
      <c r="B462" s="90" t="s">
        <v>2006</v>
      </c>
      <c r="C462" s="90" t="s">
        <v>264</v>
      </c>
      <c r="D462" s="90" t="s">
        <v>287</v>
      </c>
      <c r="E462" s="86">
        <v>46310.0</v>
      </c>
      <c r="F462" s="87">
        <v>18.0</v>
      </c>
      <c r="G462" s="87">
        <v>3.0</v>
      </c>
      <c r="H462" s="87">
        <v>13165.0</v>
      </c>
      <c r="I462" s="87">
        <v>35.0</v>
      </c>
      <c r="J462" s="87">
        <v>132.5438</v>
      </c>
      <c r="K462" s="87">
        <v>131.8556</v>
      </c>
      <c r="L462" s="87">
        <v>134.7546</v>
      </c>
      <c r="M462" s="87">
        <v>87.52357</v>
      </c>
      <c r="N462" s="87">
        <v>0.663784</v>
      </c>
      <c r="O462" s="87">
        <v>0.4</v>
      </c>
      <c r="P462" s="87">
        <v>1.563705</v>
      </c>
      <c r="Q462" s="87">
        <v>3.669419</v>
      </c>
      <c r="R462" s="87">
        <v>4.09406</v>
      </c>
      <c r="S462" s="87">
        <v>7.040114</v>
      </c>
      <c r="T462" s="87">
        <v>0.4</v>
      </c>
      <c r="U462" s="87">
        <v>1.563705</v>
      </c>
      <c r="V462" s="87">
        <v>3.669419</v>
      </c>
      <c r="W462" s="87">
        <v>4.09406</v>
      </c>
      <c r="X462" s="87">
        <v>7.040114</v>
      </c>
      <c r="Y462" s="87">
        <v>9.418254</v>
      </c>
      <c r="Z462" s="88" t="s">
        <v>1396</v>
      </c>
    </row>
    <row r="463" hidden="1">
      <c r="A463" s="90" t="s">
        <v>1979</v>
      </c>
      <c r="B463" s="90" t="s">
        <v>2007</v>
      </c>
      <c r="C463" s="90" t="s">
        <v>264</v>
      </c>
      <c r="D463" s="90" t="s">
        <v>287</v>
      </c>
      <c r="E463" s="90" t="s">
        <v>1413</v>
      </c>
      <c r="F463" s="87">
        <v>18.0</v>
      </c>
      <c r="G463" s="87">
        <v>2.0</v>
      </c>
      <c r="H463" s="87">
        <v>6962.0</v>
      </c>
      <c r="I463" s="87">
        <v>13.0</v>
      </c>
      <c r="J463" s="87">
        <v>62.56012</v>
      </c>
      <c r="K463" s="87">
        <v>64.85009</v>
      </c>
      <c r="L463" s="87">
        <v>66.27707</v>
      </c>
      <c r="M463" s="87">
        <v>42.11163</v>
      </c>
      <c r="N463" s="87">
        <v>0.649369</v>
      </c>
      <c r="O463" s="87">
        <v>1.136031</v>
      </c>
      <c r="P463" s="87">
        <v>1.319656</v>
      </c>
      <c r="Q463" s="87">
        <v>1.705895</v>
      </c>
      <c r="R463" s="87">
        <v>4.882454</v>
      </c>
      <c r="S463" s="87">
        <v>5.258468</v>
      </c>
      <c r="T463" s="87">
        <v>1.319656</v>
      </c>
      <c r="U463" s="87">
        <v>1.705895</v>
      </c>
      <c r="V463" s="87">
        <v>3.184162</v>
      </c>
      <c r="W463" s="87">
        <v>5.251794</v>
      </c>
      <c r="X463" s="87">
        <v>6.89713</v>
      </c>
      <c r="Y463" s="87">
        <v>5.895462</v>
      </c>
      <c r="Z463" s="88" t="s">
        <v>1396</v>
      </c>
    </row>
    <row r="464" hidden="1">
      <c r="A464" s="90" t="s">
        <v>1980</v>
      </c>
      <c r="B464" s="90" t="s">
        <v>2008</v>
      </c>
      <c r="C464" s="90" t="s">
        <v>264</v>
      </c>
      <c r="D464" s="90" t="s">
        <v>287</v>
      </c>
      <c r="E464" s="90" t="s">
        <v>1398</v>
      </c>
      <c r="F464" s="87">
        <v>4.0</v>
      </c>
      <c r="G464" s="87">
        <v>0.0</v>
      </c>
      <c r="H464" s="87">
        <v>937.0</v>
      </c>
      <c r="I464" s="87">
        <v>0.0</v>
      </c>
      <c r="J464" s="87">
        <v>5.792324</v>
      </c>
      <c r="K464" s="87">
        <v>7.621492</v>
      </c>
      <c r="L464" s="87">
        <v>8.275935</v>
      </c>
      <c r="M464" s="87">
        <v>4.806254</v>
      </c>
      <c r="N464" s="87">
        <v>0.630619</v>
      </c>
      <c r="O464" s="87">
        <v>0.0</v>
      </c>
      <c r="P464" s="87">
        <v>0.0</v>
      </c>
      <c r="Q464" s="87">
        <v>0.240741</v>
      </c>
      <c r="R464" s="87">
        <v>2.574497</v>
      </c>
      <c r="S464" s="87">
        <v>2.574497</v>
      </c>
      <c r="T464" s="87">
        <v>0.240741</v>
      </c>
      <c r="U464" s="87">
        <v>0.240741</v>
      </c>
      <c r="V464" s="87">
        <v>0.240741</v>
      </c>
      <c r="W464" s="87">
        <v>2.574497</v>
      </c>
      <c r="X464" s="87">
        <v>4.806254</v>
      </c>
      <c r="Y464" s="87">
        <v>1.905373</v>
      </c>
      <c r="Z464" s="88" t="s">
        <v>1396</v>
      </c>
    </row>
    <row r="465" hidden="1">
      <c r="A465" s="90" t="s">
        <v>1981</v>
      </c>
      <c r="B465" s="90" t="s">
        <v>2009</v>
      </c>
      <c r="C465" s="90" t="s">
        <v>264</v>
      </c>
      <c r="D465" s="90" t="s">
        <v>287</v>
      </c>
      <c r="E465" s="90" t="s">
        <v>1400</v>
      </c>
      <c r="F465" s="87">
        <v>2.0</v>
      </c>
      <c r="G465" s="87">
        <v>0.0</v>
      </c>
      <c r="H465" s="87">
        <v>327.0</v>
      </c>
      <c r="I465" s="87">
        <v>0.0</v>
      </c>
      <c r="J465" s="87">
        <v>1.357143</v>
      </c>
      <c r="K465" s="87">
        <v>1.284236</v>
      </c>
      <c r="L465" s="87">
        <v>1.388384</v>
      </c>
      <c r="M465" s="87">
        <v>1.284236</v>
      </c>
      <c r="N465" s="87">
        <v>1.0</v>
      </c>
      <c r="O465" s="87">
        <v>0.0</v>
      </c>
      <c r="P465" s="87">
        <v>0.0</v>
      </c>
      <c r="Q465" s="87">
        <v>0.0</v>
      </c>
      <c r="R465" s="87">
        <v>1.284236</v>
      </c>
      <c r="S465" s="87">
        <v>1.284236</v>
      </c>
      <c r="T465" s="87">
        <v>1.284236</v>
      </c>
      <c r="U465" s="87">
        <v>1.284236</v>
      </c>
      <c r="V465" s="87">
        <v>1.284236</v>
      </c>
      <c r="W465" s="87">
        <v>1.284236</v>
      </c>
      <c r="X465" s="87">
        <v>1.284236</v>
      </c>
      <c r="Y465" s="87">
        <v>0.642118</v>
      </c>
      <c r="Z465" s="88" t="s">
        <v>1396</v>
      </c>
    </row>
    <row r="466" hidden="1">
      <c r="A466" s="90" t="s">
        <v>1983</v>
      </c>
      <c r="B466" s="90" t="s">
        <v>2010</v>
      </c>
      <c r="C466" s="90" t="s">
        <v>264</v>
      </c>
      <c r="D466" s="90" t="s">
        <v>287</v>
      </c>
      <c r="E466" s="89">
        <v>46300.0</v>
      </c>
      <c r="F466" s="87">
        <v>8.0</v>
      </c>
      <c r="G466" s="87">
        <v>1.0</v>
      </c>
      <c r="H466" s="87">
        <v>3197.0</v>
      </c>
      <c r="I466" s="87">
        <v>1.0</v>
      </c>
      <c r="J466" s="87">
        <v>29.75373</v>
      </c>
      <c r="K466" s="87">
        <v>28.7471</v>
      </c>
      <c r="L466" s="87">
        <v>30.60055</v>
      </c>
      <c r="M466" s="87">
        <v>14.71145</v>
      </c>
      <c r="N466" s="87">
        <v>0.511754</v>
      </c>
      <c r="O466" s="87">
        <v>0.0</v>
      </c>
      <c r="P466" s="87">
        <v>0.0</v>
      </c>
      <c r="Q466" s="87">
        <v>0.0</v>
      </c>
      <c r="R466" s="87">
        <v>1.936151</v>
      </c>
      <c r="S466" s="87">
        <v>12.09949</v>
      </c>
      <c r="T466" s="87">
        <v>1.936151</v>
      </c>
      <c r="U466" s="87">
        <v>1.936151</v>
      </c>
      <c r="V466" s="87">
        <v>1.936151</v>
      </c>
      <c r="W466" s="87">
        <v>12.09949</v>
      </c>
      <c r="X466" s="87">
        <v>14.71145</v>
      </c>
      <c r="Y466" s="87">
        <v>5.74942</v>
      </c>
      <c r="Z466" s="88" t="s">
        <v>1396</v>
      </c>
    </row>
    <row r="467" hidden="1">
      <c r="A467" s="90" t="s">
        <v>1984</v>
      </c>
      <c r="B467" s="90" t="s">
        <v>2011</v>
      </c>
      <c r="C467" s="90" t="s">
        <v>264</v>
      </c>
      <c r="D467" s="90" t="s">
        <v>287</v>
      </c>
      <c r="E467" s="90" t="s">
        <v>1403</v>
      </c>
      <c r="F467" s="87">
        <v>0.0</v>
      </c>
      <c r="G467" s="87">
        <v>0.0</v>
      </c>
      <c r="H467" s="87">
        <v>0.0</v>
      </c>
      <c r="I467" s="87">
        <v>0.0</v>
      </c>
      <c r="J467" s="87">
        <v>0.0</v>
      </c>
      <c r="K467" s="87">
        <v>0.0</v>
      </c>
      <c r="L467" s="87">
        <v>0.0</v>
      </c>
      <c r="M467" s="87">
        <v>0.0</v>
      </c>
      <c r="N467" s="91"/>
      <c r="O467" s="87">
        <v>0.0</v>
      </c>
      <c r="P467" s="87">
        <v>0.0</v>
      </c>
      <c r="Q467" s="87">
        <v>0.0</v>
      </c>
      <c r="R467" s="87">
        <v>0.0</v>
      </c>
      <c r="S467" s="87">
        <v>0.0</v>
      </c>
      <c r="T467" s="91"/>
      <c r="U467" s="91"/>
      <c r="V467" s="91"/>
      <c r="W467" s="91"/>
      <c r="X467" s="91"/>
      <c r="Y467" s="87">
        <v>0.0</v>
      </c>
      <c r="Z467" s="88" t="s">
        <v>1396</v>
      </c>
    </row>
    <row r="468" hidden="1">
      <c r="A468" s="90" t="s">
        <v>1976</v>
      </c>
      <c r="B468" s="90" t="s">
        <v>2012</v>
      </c>
      <c r="C468" s="90" t="s">
        <v>264</v>
      </c>
      <c r="D468" s="90" t="s">
        <v>270</v>
      </c>
      <c r="E468" s="90" t="s">
        <v>1426</v>
      </c>
      <c r="F468" s="87">
        <v>11.0</v>
      </c>
      <c r="G468" s="87">
        <v>1.0</v>
      </c>
      <c r="H468" s="87">
        <v>14069.0</v>
      </c>
      <c r="I468" s="87">
        <v>160.0</v>
      </c>
      <c r="J468" s="87">
        <v>149.1239</v>
      </c>
      <c r="K468" s="87">
        <v>164.1232</v>
      </c>
      <c r="L468" s="87">
        <v>175.7252</v>
      </c>
      <c r="M468" s="87">
        <v>119.2318</v>
      </c>
      <c r="N468" s="87">
        <v>0.726478</v>
      </c>
      <c r="O468" s="87">
        <v>0.0</v>
      </c>
      <c r="P468" s="87">
        <v>0.0</v>
      </c>
      <c r="Q468" s="87">
        <v>0.0</v>
      </c>
      <c r="R468" s="87">
        <v>7.314011</v>
      </c>
      <c r="S468" s="87">
        <v>20.40681</v>
      </c>
      <c r="T468" s="87">
        <v>0.2</v>
      </c>
      <c r="U468" s="87">
        <v>7.314011</v>
      </c>
      <c r="V468" s="87">
        <v>8.079333</v>
      </c>
      <c r="W468" s="87">
        <v>20.40681</v>
      </c>
      <c r="X468" s="87">
        <v>34.86577</v>
      </c>
      <c r="Y468" s="87">
        <v>12.62486</v>
      </c>
      <c r="Z468" s="88" t="s">
        <v>1396</v>
      </c>
    </row>
    <row r="469" hidden="1">
      <c r="A469" s="90" t="s">
        <v>1977</v>
      </c>
      <c r="B469" s="90" t="s">
        <v>2013</v>
      </c>
      <c r="C469" s="90" t="s">
        <v>264</v>
      </c>
      <c r="D469" s="90" t="s">
        <v>270</v>
      </c>
      <c r="E469" s="86">
        <v>46310.0</v>
      </c>
      <c r="F469" s="87">
        <v>46.0</v>
      </c>
      <c r="G469" s="87">
        <v>4.0</v>
      </c>
      <c r="H469" s="87">
        <v>19277.0</v>
      </c>
      <c r="I469" s="87">
        <v>75.0</v>
      </c>
      <c r="J469" s="87">
        <v>207.7424</v>
      </c>
      <c r="K469" s="87">
        <v>201.9547</v>
      </c>
      <c r="L469" s="87">
        <v>202.6339</v>
      </c>
      <c r="M469" s="87">
        <v>138.8602</v>
      </c>
      <c r="N469" s="87">
        <v>0.687581</v>
      </c>
      <c r="O469" s="87">
        <v>0.0</v>
      </c>
      <c r="P469" s="87">
        <v>0.44648</v>
      </c>
      <c r="Q469" s="87">
        <v>1.031183</v>
      </c>
      <c r="R469" s="87">
        <v>3.127243</v>
      </c>
      <c r="S469" s="87">
        <v>6.729476</v>
      </c>
      <c r="T469" s="87">
        <v>0.623925</v>
      </c>
      <c r="U469" s="87">
        <v>1.340015</v>
      </c>
      <c r="V469" s="87">
        <v>1.987997</v>
      </c>
      <c r="W469" s="87">
        <v>4.221027</v>
      </c>
      <c r="X469" s="87">
        <v>7.673168</v>
      </c>
      <c r="Y469" s="87">
        <v>6.311083</v>
      </c>
      <c r="Z469" s="88" t="s">
        <v>1396</v>
      </c>
    </row>
    <row r="470" hidden="1">
      <c r="A470" s="90" t="s">
        <v>1979</v>
      </c>
      <c r="B470" s="90" t="s">
        <v>2014</v>
      </c>
      <c r="C470" s="90" t="s">
        <v>264</v>
      </c>
      <c r="D470" s="90" t="s">
        <v>270</v>
      </c>
      <c r="E470" s="90" t="s">
        <v>1413</v>
      </c>
      <c r="F470" s="87">
        <v>24.0</v>
      </c>
      <c r="G470" s="87">
        <v>1.0</v>
      </c>
      <c r="H470" s="87">
        <v>11859.0</v>
      </c>
      <c r="I470" s="87">
        <v>22.0</v>
      </c>
      <c r="J470" s="87">
        <v>111.1082</v>
      </c>
      <c r="K470" s="87">
        <v>113.4582</v>
      </c>
      <c r="L470" s="87">
        <v>117.509</v>
      </c>
      <c r="M470" s="87">
        <v>64.89835</v>
      </c>
      <c r="N470" s="87">
        <v>0.572002</v>
      </c>
      <c r="O470" s="87">
        <v>0.132258</v>
      </c>
      <c r="P470" s="87">
        <v>0.331183</v>
      </c>
      <c r="Q470" s="87">
        <v>1.48071</v>
      </c>
      <c r="R470" s="87">
        <v>5.326456</v>
      </c>
      <c r="S470" s="87">
        <v>9.046209</v>
      </c>
      <c r="T470" s="87">
        <v>0.233333</v>
      </c>
      <c r="U470" s="87">
        <v>1.459524</v>
      </c>
      <c r="V470" s="87">
        <v>1.48071</v>
      </c>
      <c r="W470" s="87">
        <v>5.755473</v>
      </c>
      <c r="X470" s="87">
        <v>10.12215</v>
      </c>
      <c r="Y470" s="87">
        <v>6.674011</v>
      </c>
      <c r="Z470" s="88" t="s">
        <v>1396</v>
      </c>
    </row>
    <row r="471" hidden="1">
      <c r="A471" s="90" t="s">
        <v>1980</v>
      </c>
      <c r="B471" s="90" t="s">
        <v>2015</v>
      </c>
      <c r="C471" s="90" t="s">
        <v>264</v>
      </c>
      <c r="D471" s="90" t="s">
        <v>270</v>
      </c>
      <c r="E471" s="90" t="s">
        <v>1398</v>
      </c>
      <c r="F471" s="87">
        <v>17.0</v>
      </c>
      <c r="G471" s="87">
        <v>2.0</v>
      </c>
      <c r="H471" s="87">
        <v>12306.0</v>
      </c>
      <c r="I471" s="87">
        <v>88.0</v>
      </c>
      <c r="J471" s="87">
        <v>97.3838</v>
      </c>
      <c r="K471" s="87">
        <v>91.43489</v>
      </c>
      <c r="L471" s="87">
        <v>95.09394</v>
      </c>
      <c r="M471" s="87">
        <v>78.73331</v>
      </c>
      <c r="N471" s="87">
        <v>0.861086</v>
      </c>
      <c r="O471" s="87">
        <v>0.132258</v>
      </c>
      <c r="P471" s="87">
        <v>0.164516</v>
      </c>
      <c r="Q471" s="87">
        <v>1.394663</v>
      </c>
      <c r="R471" s="87">
        <v>2.16716</v>
      </c>
      <c r="S471" s="87">
        <v>4.155063</v>
      </c>
      <c r="T471" s="87">
        <v>0.164516</v>
      </c>
      <c r="U471" s="87">
        <v>1.394663</v>
      </c>
      <c r="V471" s="87">
        <v>1.54684</v>
      </c>
      <c r="W471" s="87">
        <v>3.141071</v>
      </c>
      <c r="X471" s="87">
        <v>7.266111</v>
      </c>
      <c r="Y471" s="87">
        <v>8.312262</v>
      </c>
      <c r="Z471" s="88" t="s">
        <v>1396</v>
      </c>
    </row>
    <row r="472" hidden="1">
      <c r="A472" s="90" t="s">
        <v>1981</v>
      </c>
      <c r="B472" s="90" t="s">
        <v>2016</v>
      </c>
      <c r="C472" s="90" t="s">
        <v>264</v>
      </c>
      <c r="D472" s="90" t="s">
        <v>270</v>
      </c>
      <c r="E472" s="90" t="s">
        <v>1400</v>
      </c>
      <c r="F472" s="87">
        <v>4.0</v>
      </c>
      <c r="G472" s="87">
        <v>0.0</v>
      </c>
      <c r="H472" s="87">
        <v>75.0</v>
      </c>
      <c r="I472" s="87">
        <v>0.0</v>
      </c>
      <c r="J472" s="87">
        <v>0.0</v>
      </c>
      <c r="K472" s="87">
        <v>0.0</v>
      </c>
      <c r="L472" s="87">
        <v>0.0</v>
      </c>
      <c r="M472" s="87">
        <v>0.0</v>
      </c>
      <c r="N472" s="91"/>
      <c r="O472" s="87">
        <v>0.0</v>
      </c>
      <c r="P472" s="87">
        <v>0.0</v>
      </c>
      <c r="Q472" s="87">
        <v>0.0</v>
      </c>
      <c r="R472" s="87">
        <v>0.0</v>
      </c>
      <c r="S472" s="87">
        <v>0.0</v>
      </c>
      <c r="T472" s="91"/>
      <c r="U472" s="91"/>
      <c r="V472" s="91"/>
      <c r="W472" s="91"/>
      <c r="X472" s="91"/>
      <c r="Y472" s="87">
        <v>0.0</v>
      </c>
      <c r="Z472" s="88" t="s">
        <v>1396</v>
      </c>
    </row>
    <row r="473" hidden="1">
      <c r="A473" s="90" t="s">
        <v>1983</v>
      </c>
      <c r="B473" s="90" t="s">
        <v>2017</v>
      </c>
      <c r="C473" s="90" t="s">
        <v>264</v>
      </c>
      <c r="D473" s="90" t="s">
        <v>270</v>
      </c>
      <c r="E473" s="89">
        <v>46300.0</v>
      </c>
      <c r="F473" s="87">
        <v>39.0</v>
      </c>
      <c r="G473" s="87">
        <v>1.0</v>
      </c>
      <c r="H473" s="87">
        <v>38846.0</v>
      </c>
      <c r="I473" s="87">
        <v>2.0</v>
      </c>
      <c r="J473" s="87">
        <v>377.0981</v>
      </c>
      <c r="K473" s="87">
        <v>377.4894</v>
      </c>
      <c r="L473" s="87">
        <v>368.0339</v>
      </c>
      <c r="M473" s="87">
        <v>241.0868</v>
      </c>
      <c r="N473" s="87">
        <v>0.638659</v>
      </c>
      <c r="O473" s="87">
        <v>0.0</v>
      </c>
      <c r="P473" s="87">
        <v>0.0</v>
      </c>
      <c r="Q473" s="87">
        <v>1.031183</v>
      </c>
      <c r="R473" s="87">
        <v>8.159806</v>
      </c>
      <c r="S473" s="87">
        <v>12.43241</v>
      </c>
      <c r="T473" s="87">
        <v>1.766889</v>
      </c>
      <c r="U473" s="87">
        <v>5.56146</v>
      </c>
      <c r="V473" s="87">
        <v>6.153286</v>
      </c>
      <c r="W473" s="87">
        <v>10.75186</v>
      </c>
      <c r="X473" s="87">
        <v>14.94846</v>
      </c>
      <c r="Y473" s="87">
        <v>11.43907</v>
      </c>
      <c r="Z473" s="88" t="s">
        <v>1396</v>
      </c>
    </row>
    <row r="474" hidden="1">
      <c r="A474" s="90" t="s">
        <v>1984</v>
      </c>
      <c r="B474" s="90" t="s">
        <v>2018</v>
      </c>
      <c r="C474" s="90" t="s">
        <v>264</v>
      </c>
      <c r="D474" s="90" t="s">
        <v>270</v>
      </c>
      <c r="E474" s="90" t="s">
        <v>1403</v>
      </c>
      <c r="F474" s="87">
        <v>18.0</v>
      </c>
      <c r="G474" s="87">
        <v>18.0</v>
      </c>
      <c r="H474" s="87">
        <v>1024.0</v>
      </c>
      <c r="I474" s="87">
        <v>1024.0</v>
      </c>
      <c r="J474" s="87">
        <v>0.0</v>
      </c>
      <c r="K474" s="87">
        <v>0.0</v>
      </c>
      <c r="L474" s="87">
        <v>0.0</v>
      </c>
      <c r="M474" s="87">
        <v>0.0</v>
      </c>
      <c r="N474" s="91"/>
      <c r="O474" s="87">
        <v>0.0</v>
      </c>
      <c r="P474" s="87">
        <v>0.0</v>
      </c>
      <c r="Q474" s="87">
        <v>0.0</v>
      </c>
      <c r="R474" s="87">
        <v>0.0</v>
      </c>
      <c r="S474" s="87">
        <v>0.0</v>
      </c>
      <c r="T474" s="91"/>
      <c r="U474" s="91"/>
      <c r="V474" s="91"/>
      <c r="W474" s="91"/>
      <c r="X474" s="91"/>
      <c r="Y474" s="87">
        <v>0.0</v>
      </c>
      <c r="Z474" s="88" t="s">
        <v>1396</v>
      </c>
    </row>
    <row r="475" hidden="1">
      <c r="A475" s="90" t="s">
        <v>1976</v>
      </c>
      <c r="B475" s="90" t="s">
        <v>2019</v>
      </c>
      <c r="C475" s="90" t="s">
        <v>264</v>
      </c>
      <c r="D475" s="90" t="s">
        <v>2020</v>
      </c>
      <c r="E475" s="90" t="s">
        <v>1426</v>
      </c>
      <c r="F475" s="87">
        <v>2.0</v>
      </c>
      <c r="G475" s="87">
        <v>0.0</v>
      </c>
      <c r="H475" s="87">
        <v>3053.0</v>
      </c>
      <c r="I475" s="87">
        <v>0.0</v>
      </c>
      <c r="J475" s="87">
        <v>42.83962</v>
      </c>
      <c r="K475" s="87">
        <v>44.29872</v>
      </c>
      <c r="L475" s="87">
        <v>46.57699</v>
      </c>
      <c r="M475" s="87">
        <v>36.41467</v>
      </c>
      <c r="N475" s="87">
        <v>0.822025</v>
      </c>
      <c r="O475" s="87">
        <v>7.88405</v>
      </c>
      <c r="P475" s="87">
        <v>7.88405</v>
      </c>
      <c r="Q475" s="87">
        <v>7.88405</v>
      </c>
      <c r="R475" s="87">
        <v>36.41467</v>
      </c>
      <c r="S475" s="87">
        <v>36.41467</v>
      </c>
      <c r="T475" s="87">
        <v>7.88405</v>
      </c>
      <c r="U475" s="87">
        <v>7.88405</v>
      </c>
      <c r="V475" s="87">
        <v>7.88405</v>
      </c>
      <c r="W475" s="87">
        <v>36.41467</v>
      </c>
      <c r="X475" s="87">
        <v>36.41467</v>
      </c>
      <c r="Y475" s="87">
        <v>22.14936</v>
      </c>
      <c r="Z475" s="88" t="s">
        <v>1396</v>
      </c>
    </row>
    <row r="476" hidden="1">
      <c r="A476" s="90" t="s">
        <v>1977</v>
      </c>
      <c r="B476" s="90" t="s">
        <v>2021</v>
      </c>
      <c r="C476" s="90" t="s">
        <v>264</v>
      </c>
      <c r="D476" s="90" t="s">
        <v>2020</v>
      </c>
      <c r="E476" s="86">
        <v>46310.0</v>
      </c>
      <c r="F476" s="87">
        <v>7.0</v>
      </c>
      <c r="G476" s="87">
        <v>0.0</v>
      </c>
      <c r="H476" s="87">
        <v>2096.0</v>
      </c>
      <c r="I476" s="87">
        <v>0.0</v>
      </c>
      <c r="J476" s="87">
        <v>16.18862</v>
      </c>
      <c r="K476" s="87">
        <v>16.74295</v>
      </c>
      <c r="L476" s="87">
        <v>15.73871</v>
      </c>
      <c r="M476" s="87">
        <v>11.31795</v>
      </c>
      <c r="N476" s="87">
        <v>0.675983</v>
      </c>
      <c r="O476" s="87">
        <v>5.424998</v>
      </c>
      <c r="P476" s="87">
        <v>5.424998</v>
      </c>
      <c r="Q476" s="87">
        <v>5.424998</v>
      </c>
      <c r="R476" s="87">
        <v>11.31795</v>
      </c>
      <c r="S476" s="87">
        <v>11.31795</v>
      </c>
      <c r="T476" s="87">
        <v>5.424998</v>
      </c>
      <c r="U476" s="87">
        <v>5.424998</v>
      </c>
      <c r="V476" s="87">
        <v>5.424998</v>
      </c>
      <c r="W476" s="87">
        <v>11.31795</v>
      </c>
      <c r="X476" s="87">
        <v>11.31795</v>
      </c>
      <c r="Y476" s="87">
        <v>8.371473</v>
      </c>
      <c r="Z476" s="88" t="s">
        <v>1396</v>
      </c>
    </row>
    <row r="477" hidden="1">
      <c r="A477" s="90" t="s">
        <v>1979</v>
      </c>
      <c r="B477" s="90" t="s">
        <v>2022</v>
      </c>
      <c r="C477" s="90" t="s">
        <v>264</v>
      </c>
      <c r="D477" s="90" t="s">
        <v>2020</v>
      </c>
      <c r="E477" s="90" t="s">
        <v>1413</v>
      </c>
      <c r="F477" s="87">
        <v>3.0</v>
      </c>
      <c r="G477" s="87">
        <v>0.0</v>
      </c>
      <c r="H477" s="87">
        <v>843.0</v>
      </c>
      <c r="I477" s="87">
        <v>0.0</v>
      </c>
      <c r="J477" s="87">
        <v>2.541758</v>
      </c>
      <c r="K477" s="87">
        <v>2.747406</v>
      </c>
      <c r="L477" s="87">
        <v>3.428451</v>
      </c>
      <c r="M477" s="87">
        <v>2.747406</v>
      </c>
      <c r="N477" s="87">
        <v>1.0</v>
      </c>
      <c r="O477" s="87">
        <v>2.747406</v>
      </c>
      <c r="P477" s="87">
        <v>2.747406</v>
      </c>
      <c r="Q477" s="87">
        <v>2.747406</v>
      </c>
      <c r="R477" s="87">
        <v>2.747406</v>
      </c>
      <c r="S477" s="87">
        <v>2.747406</v>
      </c>
      <c r="T477" s="87">
        <v>2.747406</v>
      </c>
      <c r="U477" s="87">
        <v>2.747406</v>
      </c>
      <c r="V477" s="87">
        <v>2.747406</v>
      </c>
      <c r="W477" s="87">
        <v>2.747406</v>
      </c>
      <c r="X477" s="87">
        <v>2.747406</v>
      </c>
      <c r="Y477" s="87">
        <v>2.747406</v>
      </c>
      <c r="Z477" s="88" t="s">
        <v>1396</v>
      </c>
    </row>
    <row r="478" hidden="1">
      <c r="A478" s="90" t="s">
        <v>1980</v>
      </c>
      <c r="B478" s="90" t="s">
        <v>2023</v>
      </c>
      <c r="C478" s="90" t="s">
        <v>264</v>
      </c>
      <c r="D478" s="90" t="s">
        <v>2020</v>
      </c>
      <c r="E478" s="90" t="s">
        <v>1398</v>
      </c>
      <c r="F478" s="87">
        <v>3.0</v>
      </c>
      <c r="G478" s="87">
        <v>0.0</v>
      </c>
      <c r="H478" s="87">
        <v>630.0</v>
      </c>
      <c r="I478" s="87">
        <v>0.0</v>
      </c>
      <c r="J478" s="87">
        <v>5.551798</v>
      </c>
      <c r="K478" s="87">
        <v>5.906803</v>
      </c>
      <c r="L478" s="87">
        <v>6.107434</v>
      </c>
      <c r="M478" s="87">
        <v>5.906803</v>
      </c>
      <c r="N478" s="87">
        <v>1.0</v>
      </c>
      <c r="O478" s="87">
        <v>5.906803</v>
      </c>
      <c r="P478" s="87">
        <v>5.906803</v>
      </c>
      <c r="Q478" s="87">
        <v>5.906803</v>
      </c>
      <c r="R478" s="87">
        <v>5.906803</v>
      </c>
      <c r="S478" s="87">
        <v>5.906803</v>
      </c>
      <c r="T478" s="87">
        <v>5.906803</v>
      </c>
      <c r="U478" s="87">
        <v>5.906803</v>
      </c>
      <c r="V478" s="87">
        <v>5.906803</v>
      </c>
      <c r="W478" s="87">
        <v>5.906803</v>
      </c>
      <c r="X478" s="87">
        <v>5.906803</v>
      </c>
      <c r="Y478" s="87">
        <v>5.906803</v>
      </c>
      <c r="Z478" s="88" t="s">
        <v>1396</v>
      </c>
    </row>
    <row r="479" hidden="1">
      <c r="A479" s="90" t="s">
        <v>1981</v>
      </c>
      <c r="B479" s="90" t="s">
        <v>2024</v>
      </c>
      <c r="C479" s="90" t="s">
        <v>264</v>
      </c>
      <c r="D479" s="90" t="s">
        <v>2020</v>
      </c>
      <c r="E479" s="90" t="s">
        <v>1400</v>
      </c>
      <c r="F479" s="87">
        <v>3.0</v>
      </c>
      <c r="G479" s="87">
        <v>0.0</v>
      </c>
      <c r="H479" s="87">
        <v>927.0</v>
      </c>
      <c r="I479" s="87">
        <v>0.0</v>
      </c>
      <c r="J479" s="87">
        <v>5.311439</v>
      </c>
      <c r="K479" s="87">
        <v>5.093434</v>
      </c>
      <c r="L479" s="87">
        <v>5.22421</v>
      </c>
      <c r="M479" s="87">
        <v>3.719648</v>
      </c>
      <c r="N479" s="87">
        <v>0.730283</v>
      </c>
      <c r="O479" s="87">
        <v>1.373786</v>
      </c>
      <c r="P479" s="87">
        <v>1.373786</v>
      </c>
      <c r="Q479" s="87">
        <v>1.373786</v>
      </c>
      <c r="R479" s="87">
        <v>3.719648</v>
      </c>
      <c r="S479" s="87">
        <v>3.719648</v>
      </c>
      <c r="T479" s="87">
        <v>1.373786</v>
      </c>
      <c r="U479" s="87">
        <v>1.373786</v>
      </c>
      <c r="V479" s="87">
        <v>1.373786</v>
      </c>
      <c r="W479" s="87">
        <v>3.719648</v>
      </c>
      <c r="X479" s="87">
        <v>3.719648</v>
      </c>
      <c r="Y479" s="87">
        <v>2.546717</v>
      </c>
      <c r="Z479" s="88" t="s">
        <v>1396</v>
      </c>
    </row>
    <row r="480" hidden="1">
      <c r="A480" s="90" t="s">
        <v>1983</v>
      </c>
      <c r="B480" s="90" t="s">
        <v>2025</v>
      </c>
      <c r="C480" s="90" t="s">
        <v>264</v>
      </c>
      <c r="D480" s="90" t="s">
        <v>2020</v>
      </c>
      <c r="E480" s="89">
        <v>46300.0</v>
      </c>
      <c r="F480" s="87">
        <v>4.0</v>
      </c>
      <c r="G480" s="87">
        <v>1.0</v>
      </c>
      <c r="H480" s="87">
        <v>1518.0</v>
      </c>
      <c r="I480" s="87">
        <v>6.0</v>
      </c>
      <c r="J480" s="87">
        <v>15.16545</v>
      </c>
      <c r="K480" s="87">
        <v>15.8035</v>
      </c>
      <c r="L480" s="87">
        <v>16.23367</v>
      </c>
      <c r="M480" s="87">
        <v>8.591066</v>
      </c>
      <c r="N480" s="87">
        <v>0.543618</v>
      </c>
      <c r="O480" s="87">
        <v>0.0</v>
      </c>
      <c r="P480" s="87">
        <v>0.0</v>
      </c>
      <c r="Q480" s="87">
        <v>0.0</v>
      </c>
      <c r="R480" s="87">
        <v>7.212432</v>
      </c>
      <c r="S480" s="87">
        <v>8.591066</v>
      </c>
      <c r="T480" s="87">
        <v>7.212432</v>
      </c>
      <c r="U480" s="87">
        <v>7.212432</v>
      </c>
      <c r="V480" s="87">
        <v>7.212432</v>
      </c>
      <c r="W480" s="87">
        <v>8.591066</v>
      </c>
      <c r="X480" s="87">
        <v>8.591066</v>
      </c>
      <c r="Y480" s="87">
        <v>5.267833</v>
      </c>
      <c r="Z480" s="88" t="s">
        <v>1396</v>
      </c>
    </row>
    <row r="481" hidden="1">
      <c r="A481" s="90" t="s">
        <v>1984</v>
      </c>
      <c r="B481" s="90" t="s">
        <v>2026</v>
      </c>
      <c r="C481" s="90" t="s">
        <v>264</v>
      </c>
      <c r="D481" s="90" t="s">
        <v>2020</v>
      </c>
      <c r="E481" s="90" t="s">
        <v>1403</v>
      </c>
      <c r="F481" s="87">
        <v>2.0</v>
      </c>
      <c r="G481" s="87">
        <v>2.0</v>
      </c>
      <c r="H481" s="87">
        <v>57.0</v>
      </c>
      <c r="I481" s="87">
        <v>57.0</v>
      </c>
      <c r="J481" s="87">
        <v>0.0</v>
      </c>
      <c r="K481" s="87">
        <v>0.0</v>
      </c>
      <c r="L481" s="87">
        <v>0.0</v>
      </c>
      <c r="M481" s="87">
        <v>0.0</v>
      </c>
      <c r="N481" s="91"/>
      <c r="O481" s="87">
        <v>0.0</v>
      </c>
      <c r="P481" s="87">
        <v>0.0</v>
      </c>
      <c r="Q481" s="87">
        <v>0.0</v>
      </c>
      <c r="R481" s="87">
        <v>0.0</v>
      </c>
      <c r="S481" s="87">
        <v>0.0</v>
      </c>
      <c r="T481" s="91"/>
      <c r="U481" s="91"/>
      <c r="V481" s="91"/>
      <c r="W481" s="91"/>
      <c r="X481" s="91"/>
      <c r="Y481" s="87">
        <v>0.0</v>
      </c>
      <c r="Z481" s="88" t="s">
        <v>1396</v>
      </c>
    </row>
    <row r="482" hidden="1">
      <c r="A482" s="90" t="s">
        <v>2031</v>
      </c>
      <c r="B482" s="90" t="s">
        <v>2032</v>
      </c>
      <c r="C482" s="90" t="s">
        <v>2033</v>
      </c>
      <c r="D482" s="90" t="s">
        <v>2034</v>
      </c>
      <c r="E482" s="86">
        <v>46310.0</v>
      </c>
      <c r="F482" s="87">
        <v>7.0</v>
      </c>
      <c r="G482" s="87">
        <v>0.0</v>
      </c>
      <c r="H482" s="87">
        <v>5233.0</v>
      </c>
      <c r="I482" s="87">
        <v>0.0</v>
      </c>
      <c r="J482" s="87">
        <v>176.1755</v>
      </c>
      <c r="K482" s="87">
        <v>152.7209</v>
      </c>
      <c r="L482" s="87">
        <v>151.4653</v>
      </c>
      <c r="M482" s="87">
        <v>104.5078</v>
      </c>
      <c r="N482" s="87">
        <v>0.684306</v>
      </c>
      <c r="O482" s="87">
        <v>8.622393</v>
      </c>
      <c r="P482" s="87">
        <v>8.901852</v>
      </c>
      <c r="Q482" s="87">
        <v>8.901852</v>
      </c>
      <c r="R482" s="87">
        <v>21.63561</v>
      </c>
      <c r="S482" s="87">
        <v>39.77435</v>
      </c>
      <c r="T482" s="87">
        <v>8.622393</v>
      </c>
      <c r="U482" s="87">
        <v>8.901852</v>
      </c>
      <c r="V482" s="87">
        <v>8.901852</v>
      </c>
      <c r="W482" s="87">
        <v>21.63561</v>
      </c>
      <c r="X482" s="87">
        <v>39.77435</v>
      </c>
      <c r="Y482" s="87">
        <v>25.45348</v>
      </c>
      <c r="Z482" s="88" t="s">
        <v>1396</v>
      </c>
    </row>
    <row r="483" hidden="1">
      <c r="A483" s="90" t="s">
        <v>2035</v>
      </c>
      <c r="B483" s="90" t="s">
        <v>2036</v>
      </c>
      <c r="C483" s="90" t="s">
        <v>2033</v>
      </c>
      <c r="D483" s="90" t="s">
        <v>2034</v>
      </c>
      <c r="E483" s="90" t="s">
        <v>1413</v>
      </c>
      <c r="F483" s="87">
        <v>3.0</v>
      </c>
      <c r="G483" s="87">
        <v>0.0</v>
      </c>
      <c r="H483" s="87">
        <v>1057.0</v>
      </c>
      <c r="I483" s="87">
        <v>0.0</v>
      </c>
      <c r="J483" s="87">
        <v>30.67759</v>
      </c>
      <c r="K483" s="87">
        <v>29.29696</v>
      </c>
      <c r="L483" s="87">
        <v>31.31314</v>
      </c>
      <c r="M483" s="87">
        <v>20.2637</v>
      </c>
      <c r="N483" s="87">
        <v>0.691666</v>
      </c>
      <c r="O483" s="87">
        <v>0.0</v>
      </c>
      <c r="P483" s="87">
        <v>0.0</v>
      </c>
      <c r="Q483" s="87">
        <v>0.0</v>
      </c>
      <c r="R483" s="87">
        <v>3.267015</v>
      </c>
      <c r="S483" s="87">
        <v>3.5</v>
      </c>
      <c r="T483" s="87">
        <v>2.266245</v>
      </c>
      <c r="U483" s="87">
        <v>3.267015</v>
      </c>
      <c r="V483" s="87">
        <v>3.267015</v>
      </c>
      <c r="W483" s="87">
        <v>3.5</v>
      </c>
      <c r="X483" s="87">
        <v>5.86476</v>
      </c>
      <c r="Y483" s="87">
        <v>3.66212</v>
      </c>
      <c r="Z483" s="88" t="s">
        <v>1396</v>
      </c>
    </row>
    <row r="484" hidden="1">
      <c r="A484" s="90" t="s">
        <v>2037</v>
      </c>
      <c r="B484" s="90" t="s">
        <v>2038</v>
      </c>
      <c r="C484" s="90" t="s">
        <v>2033</v>
      </c>
      <c r="D484" s="90" t="s">
        <v>2034</v>
      </c>
      <c r="E484" s="90" t="s">
        <v>1398</v>
      </c>
      <c r="F484" s="87">
        <v>1.0</v>
      </c>
      <c r="G484" s="87">
        <v>0.0</v>
      </c>
      <c r="H484" s="87">
        <v>19.0</v>
      </c>
      <c r="I484" s="87">
        <v>0.0</v>
      </c>
      <c r="J484" s="87">
        <v>9.870238</v>
      </c>
      <c r="K484" s="87">
        <v>12.34399</v>
      </c>
      <c r="L484" s="87">
        <v>13.18587</v>
      </c>
      <c r="M484" s="87">
        <v>6.25</v>
      </c>
      <c r="N484" s="87">
        <v>0.506319</v>
      </c>
      <c r="O484" s="87">
        <v>0.0</v>
      </c>
      <c r="P484" s="87">
        <v>0.0</v>
      </c>
      <c r="Q484" s="87">
        <v>0.0</v>
      </c>
      <c r="R484" s="87">
        <v>1.0</v>
      </c>
      <c r="S484" s="87">
        <v>5.093993</v>
      </c>
      <c r="T484" s="87">
        <v>1.0</v>
      </c>
      <c r="U484" s="87">
        <v>1.0</v>
      </c>
      <c r="V484" s="87">
        <v>1.0</v>
      </c>
      <c r="W484" s="87">
        <v>5.093993</v>
      </c>
      <c r="X484" s="87">
        <v>6.25</v>
      </c>
      <c r="Y484" s="87">
        <v>2.468799</v>
      </c>
      <c r="Z484" s="88" t="s">
        <v>1396</v>
      </c>
    </row>
    <row r="485" hidden="1">
      <c r="A485" s="90" t="s">
        <v>2039</v>
      </c>
      <c r="B485" s="90" t="s">
        <v>2040</v>
      </c>
      <c r="C485" s="90" t="s">
        <v>2033</v>
      </c>
      <c r="D485" s="90" t="s">
        <v>2034</v>
      </c>
      <c r="E485" s="90" t="s">
        <v>1400</v>
      </c>
      <c r="F485" s="87">
        <v>10.0</v>
      </c>
      <c r="G485" s="87">
        <v>0.0</v>
      </c>
      <c r="H485" s="87">
        <v>2053.0</v>
      </c>
      <c r="I485" s="87">
        <v>0.0</v>
      </c>
      <c r="J485" s="87">
        <v>37.96726</v>
      </c>
      <c r="K485" s="87">
        <v>33.89186</v>
      </c>
      <c r="L485" s="87">
        <v>35.88307</v>
      </c>
      <c r="M485" s="87">
        <v>15.87689</v>
      </c>
      <c r="N485" s="87">
        <v>0.468457</v>
      </c>
      <c r="O485" s="87">
        <v>0.0</v>
      </c>
      <c r="P485" s="87">
        <v>0.7</v>
      </c>
      <c r="Q485" s="87">
        <v>0.87327</v>
      </c>
      <c r="R485" s="87">
        <v>1.799355</v>
      </c>
      <c r="S485" s="87">
        <v>7.593234</v>
      </c>
      <c r="T485" s="87">
        <v>0.7</v>
      </c>
      <c r="U485" s="87">
        <v>0.87327</v>
      </c>
      <c r="V485" s="87">
        <v>1.433294</v>
      </c>
      <c r="W485" s="87">
        <v>5.615816</v>
      </c>
      <c r="X485" s="87">
        <v>7.593234</v>
      </c>
      <c r="Y485" s="87">
        <v>3.389186</v>
      </c>
      <c r="Z485" s="88" t="s">
        <v>1396</v>
      </c>
    </row>
    <row r="486" hidden="1">
      <c r="A486" s="90" t="s">
        <v>2041</v>
      </c>
      <c r="B486" s="90" t="s">
        <v>2042</v>
      </c>
      <c r="C486" s="90" t="s">
        <v>2033</v>
      </c>
      <c r="D486" s="90" t="s">
        <v>2034</v>
      </c>
      <c r="E486" s="89">
        <v>46300.0</v>
      </c>
      <c r="F486" s="87">
        <v>2.0</v>
      </c>
      <c r="G486" s="87">
        <v>1.0</v>
      </c>
      <c r="H486" s="87">
        <v>19.0</v>
      </c>
      <c r="I486" s="87">
        <v>3.0</v>
      </c>
      <c r="J486" s="87">
        <v>6.083333</v>
      </c>
      <c r="K486" s="87">
        <v>6.533333</v>
      </c>
      <c r="L486" s="87">
        <v>17.2</v>
      </c>
      <c r="M486" s="87">
        <v>4.45</v>
      </c>
      <c r="N486" s="87">
        <v>0.681122</v>
      </c>
      <c r="O486" s="87">
        <v>2.083333</v>
      </c>
      <c r="P486" s="87">
        <v>2.083333</v>
      </c>
      <c r="Q486" s="87">
        <v>2.083333</v>
      </c>
      <c r="R486" s="87">
        <v>4.45</v>
      </c>
      <c r="S486" s="87">
        <v>4.45</v>
      </c>
      <c r="T486" s="87">
        <v>2.083333</v>
      </c>
      <c r="U486" s="87">
        <v>2.083333</v>
      </c>
      <c r="V486" s="87">
        <v>2.083333</v>
      </c>
      <c r="W486" s="87">
        <v>4.45</v>
      </c>
      <c r="X486" s="87">
        <v>4.45</v>
      </c>
      <c r="Y486" s="87">
        <v>3.266667</v>
      </c>
      <c r="Z486" s="88" t="s">
        <v>1396</v>
      </c>
    </row>
    <row r="487" hidden="1">
      <c r="A487" s="90" t="s">
        <v>2043</v>
      </c>
      <c r="B487" s="90" t="s">
        <v>2044</v>
      </c>
      <c r="C487" s="90" t="s">
        <v>2033</v>
      </c>
      <c r="D487" s="90" t="s">
        <v>2034</v>
      </c>
      <c r="E487" s="90" t="s">
        <v>1403</v>
      </c>
      <c r="F487" s="87">
        <v>0.0</v>
      </c>
      <c r="G487" s="87">
        <v>0.0</v>
      </c>
      <c r="H487" s="87">
        <v>0.0</v>
      </c>
      <c r="I487" s="87">
        <v>0.0</v>
      </c>
      <c r="J487" s="87">
        <v>0.0</v>
      </c>
      <c r="K487" s="87">
        <v>0.0</v>
      </c>
      <c r="L487" s="87">
        <v>0.0</v>
      </c>
      <c r="M487" s="87">
        <v>0.0</v>
      </c>
      <c r="N487" s="91"/>
      <c r="O487" s="87">
        <v>0.0</v>
      </c>
      <c r="P487" s="87">
        <v>0.0</v>
      </c>
      <c r="Q487" s="87">
        <v>0.0</v>
      </c>
      <c r="R487" s="87">
        <v>0.0</v>
      </c>
      <c r="S487" s="87">
        <v>0.0</v>
      </c>
      <c r="T487" s="91"/>
      <c r="U487" s="91"/>
      <c r="V487" s="91"/>
      <c r="W487" s="91"/>
      <c r="X487" s="91"/>
      <c r="Y487" s="87">
        <v>0.0</v>
      </c>
      <c r="Z487" s="88" t="s">
        <v>1396</v>
      </c>
    </row>
    <row r="488" hidden="1">
      <c r="A488" s="90" t="s">
        <v>2031</v>
      </c>
      <c r="B488" s="90" t="s">
        <v>2045</v>
      </c>
      <c r="C488" s="90" t="s">
        <v>2033</v>
      </c>
      <c r="D488" s="90" t="s">
        <v>2046</v>
      </c>
      <c r="E488" s="86">
        <v>46310.0</v>
      </c>
      <c r="F488" s="87">
        <v>9.0</v>
      </c>
      <c r="G488" s="87">
        <v>0.0</v>
      </c>
      <c r="H488" s="87">
        <v>12703.0</v>
      </c>
      <c r="I488" s="87">
        <v>0.0</v>
      </c>
      <c r="J488" s="87">
        <v>333.2151</v>
      </c>
      <c r="K488" s="87">
        <v>345.6941</v>
      </c>
      <c r="L488" s="87">
        <v>340.8724</v>
      </c>
      <c r="M488" s="87">
        <v>288.9698</v>
      </c>
      <c r="N488" s="87">
        <v>0.835912</v>
      </c>
      <c r="O488" s="87">
        <v>0.0</v>
      </c>
      <c r="P488" s="87">
        <v>0.0</v>
      </c>
      <c r="Q488" s="87">
        <v>0.0</v>
      </c>
      <c r="R488" s="87">
        <v>22.55118</v>
      </c>
      <c r="S488" s="87">
        <v>34.17309</v>
      </c>
      <c r="T488" s="87">
        <v>22.55118</v>
      </c>
      <c r="U488" s="87">
        <v>22.55118</v>
      </c>
      <c r="V488" s="87">
        <v>34.17309</v>
      </c>
      <c r="W488" s="87">
        <v>109.2312</v>
      </c>
      <c r="X488" s="87">
        <v>109.2312</v>
      </c>
      <c r="Y488" s="87">
        <v>49.38487</v>
      </c>
      <c r="Z488" s="88" t="s">
        <v>1396</v>
      </c>
    </row>
    <row r="489" hidden="1">
      <c r="A489" s="90" t="s">
        <v>2035</v>
      </c>
      <c r="B489" s="90" t="s">
        <v>2047</v>
      </c>
      <c r="C489" s="90" t="s">
        <v>2033</v>
      </c>
      <c r="D489" s="90" t="s">
        <v>2046</v>
      </c>
      <c r="E489" s="90" t="s">
        <v>1413</v>
      </c>
      <c r="F489" s="87">
        <v>12.0</v>
      </c>
      <c r="G489" s="87">
        <v>0.0</v>
      </c>
      <c r="H489" s="87">
        <v>9969.0</v>
      </c>
      <c r="I489" s="87">
        <v>0.0</v>
      </c>
      <c r="J489" s="87">
        <v>158.0534</v>
      </c>
      <c r="K489" s="87">
        <v>158.4962</v>
      </c>
      <c r="L489" s="87">
        <v>156.8281</v>
      </c>
      <c r="M489" s="87">
        <v>98.52996</v>
      </c>
      <c r="N489" s="87">
        <v>0.621655</v>
      </c>
      <c r="O489" s="87">
        <v>0.0</v>
      </c>
      <c r="P489" s="87">
        <v>1.833333</v>
      </c>
      <c r="Q489" s="87">
        <v>3.022822</v>
      </c>
      <c r="R489" s="87">
        <v>10.97172</v>
      </c>
      <c r="S489" s="87">
        <v>20.97695</v>
      </c>
      <c r="T489" s="87">
        <v>1.833333</v>
      </c>
      <c r="U489" s="87">
        <v>3.022822</v>
      </c>
      <c r="V489" s="87">
        <v>6.178776</v>
      </c>
      <c r="W489" s="87">
        <v>16.98259</v>
      </c>
      <c r="X489" s="87">
        <v>20.97695</v>
      </c>
      <c r="Y489" s="87">
        <v>15.84962</v>
      </c>
      <c r="Z489" s="88" t="s">
        <v>1396</v>
      </c>
    </row>
    <row r="490" hidden="1">
      <c r="A490" s="90" t="s">
        <v>2037</v>
      </c>
      <c r="B490" s="90" t="s">
        <v>2048</v>
      </c>
      <c r="C490" s="90" t="s">
        <v>2033</v>
      </c>
      <c r="D490" s="90" t="s">
        <v>2046</v>
      </c>
      <c r="E490" s="90" t="s">
        <v>1398</v>
      </c>
      <c r="F490" s="87">
        <v>14.0</v>
      </c>
      <c r="G490" s="87">
        <v>0.0</v>
      </c>
      <c r="H490" s="87">
        <v>10453.0</v>
      </c>
      <c r="I490" s="87">
        <v>0.0</v>
      </c>
      <c r="J490" s="87">
        <v>335.0328</v>
      </c>
      <c r="K490" s="87">
        <v>338.5379</v>
      </c>
      <c r="L490" s="87">
        <v>336.1934</v>
      </c>
      <c r="M490" s="87">
        <v>237.6679</v>
      </c>
      <c r="N490" s="87">
        <v>0.702042</v>
      </c>
      <c r="O490" s="87">
        <v>0.0</v>
      </c>
      <c r="P490" s="87">
        <v>2.503202</v>
      </c>
      <c r="Q490" s="87">
        <v>3.510716</v>
      </c>
      <c r="R490" s="87">
        <v>10.513</v>
      </c>
      <c r="S490" s="87">
        <v>28.186</v>
      </c>
      <c r="T490" s="87">
        <v>3.510716</v>
      </c>
      <c r="U490" s="87">
        <v>7.803244</v>
      </c>
      <c r="V490" s="87">
        <v>9.239764</v>
      </c>
      <c r="W490" s="87">
        <v>17.74677</v>
      </c>
      <c r="X490" s="87">
        <v>28.186</v>
      </c>
      <c r="Y490" s="87">
        <v>26.04138</v>
      </c>
      <c r="Z490" s="88" t="s">
        <v>1396</v>
      </c>
    </row>
    <row r="491" hidden="1">
      <c r="A491" s="90" t="s">
        <v>2039</v>
      </c>
      <c r="B491" s="90" t="s">
        <v>2049</v>
      </c>
      <c r="C491" s="90" t="s">
        <v>2033</v>
      </c>
      <c r="D491" s="90" t="s">
        <v>2046</v>
      </c>
      <c r="E491" s="90" t="s">
        <v>1400</v>
      </c>
      <c r="F491" s="87">
        <v>4.0</v>
      </c>
      <c r="G491" s="87">
        <v>0.0</v>
      </c>
      <c r="H491" s="87">
        <v>1492.0</v>
      </c>
      <c r="I491" s="87">
        <v>0.0</v>
      </c>
      <c r="J491" s="87">
        <v>45.86356</v>
      </c>
      <c r="K491" s="87">
        <v>46.74853</v>
      </c>
      <c r="L491" s="87">
        <v>45.16988</v>
      </c>
      <c r="M491" s="87">
        <v>37.82887</v>
      </c>
      <c r="N491" s="87">
        <v>0.809199</v>
      </c>
      <c r="O491" s="87">
        <v>0.0</v>
      </c>
      <c r="P491" s="87">
        <v>0.0</v>
      </c>
      <c r="Q491" s="87">
        <v>0.0</v>
      </c>
      <c r="R491" s="87">
        <v>8.919665</v>
      </c>
      <c r="S491" s="87">
        <v>12.63366</v>
      </c>
      <c r="T491" s="87">
        <v>8.919665</v>
      </c>
      <c r="U491" s="87">
        <v>8.919665</v>
      </c>
      <c r="V491" s="87">
        <v>8.919665</v>
      </c>
      <c r="W491" s="87">
        <v>12.63366</v>
      </c>
      <c r="X491" s="87">
        <v>25.19521</v>
      </c>
      <c r="Y491" s="87">
        <v>7.791422</v>
      </c>
      <c r="Z491" s="88" t="s">
        <v>1396</v>
      </c>
    </row>
    <row r="492" hidden="1">
      <c r="A492" s="90" t="s">
        <v>2041</v>
      </c>
      <c r="B492" s="90" t="s">
        <v>2050</v>
      </c>
      <c r="C492" s="90" t="s">
        <v>2033</v>
      </c>
      <c r="D492" s="90" t="s">
        <v>2046</v>
      </c>
      <c r="E492" s="89">
        <v>46300.0</v>
      </c>
      <c r="F492" s="87">
        <v>6.0</v>
      </c>
      <c r="G492" s="87">
        <v>0.0</v>
      </c>
      <c r="H492" s="87">
        <v>12001.0</v>
      </c>
      <c r="I492" s="87">
        <v>0.0</v>
      </c>
      <c r="J492" s="87">
        <v>223.0969</v>
      </c>
      <c r="K492" s="87">
        <v>223.3169</v>
      </c>
      <c r="L492" s="87">
        <v>219.7266</v>
      </c>
      <c r="M492" s="87">
        <v>163.5453</v>
      </c>
      <c r="N492" s="87">
        <v>0.732346</v>
      </c>
      <c r="O492" s="87">
        <v>0.0</v>
      </c>
      <c r="P492" s="87">
        <v>0.0</v>
      </c>
      <c r="Q492" s="87">
        <v>0.0</v>
      </c>
      <c r="R492" s="87">
        <v>15.57458</v>
      </c>
      <c r="S492" s="87">
        <v>22.16495</v>
      </c>
      <c r="T492" s="87">
        <v>5.20498</v>
      </c>
      <c r="U492" s="87">
        <v>15.57458</v>
      </c>
      <c r="V492" s="87">
        <v>15.57458</v>
      </c>
      <c r="W492" s="87">
        <v>22.16495</v>
      </c>
      <c r="X492" s="87">
        <v>40.61607</v>
      </c>
      <c r="Y492" s="87">
        <v>24.81299</v>
      </c>
      <c r="Z492" s="88" t="s">
        <v>1396</v>
      </c>
    </row>
    <row r="493" hidden="1">
      <c r="A493" s="90" t="s">
        <v>2043</v>
      </c>
      <c r="B493" s="90" t="s">
        <v>2051</v>
      </c>
      <c r="C493" s="90" t="s">
        <v>2033</v>
      </c>
      <c r="D493" s="90" t="s">
        <v>2046</v>
      </c>
      <c r="E493" s="90" t="s">
        <v>1403</v>
      </c>
      <c r="F493" s="87">
        <v>0.0</v>
      </c>
      <c r="G493" s="87">
        <v>0.0</v>
      </c>
      <c r="H493" s="87">
        <v>0.0</v>
      </c>
      <c r="I493" s="87">
        <v>0.0</v>
      </c>
      <c r="J493" s="87">
        <v>0.0</v>
      </c>
      <c r="K493" s="87">
        <v>0.0</v>
      </c>
      <c r="L493" s="87">
        <v>0.0</v>
      </c>
      <c r="M493" s="87">
        <v>0.0</v>
      </c>
      <c r="N493" s="85"/>
      <c r="O493" s="87">
        <v>0.0</v>
      </c>
      <c r="P493" s="87">
        <v>0.0</v>
      </c>
      <c r="Q493" s="87">
        <v>0.0</v>
      </c>
      <c r="R493" s="87">
        <v>0.0</v>
      </c>
      <c r="S493" s="87">
        <v>0.0</v>
      </c>
      <c r="T493" s="91"/>
      <c r="U493" s="91"/>
      <c r="V493" s="91"/>
      <c r="W493" s="91"/>
      <c r="X493" s="91"/>
      <c r="Y493" s="87">
        <v>0.0</v>
      </c>
      <c r="Z493" s="88" t="s">
        <v>1396</v>
      </c>
    </row>
    <row r="494" hidden="1">
      <c r="A494" s="90" t="s">
        <v>2031</v>
      </c>
      <c r="B494" s="90" t="s">
        <v>2052</v>
      </c>
      <c r="C494" s="90" t="s">
        <v>2033</v>
      </c>
      <c r="D494" s="90" t="s">
        <v>2053</v>
      </c>
      <c r="E494" s="86">
        <v>46310.0</v>
      </c>
      <c r="F494" s="87">
        <v>1.0</v>
      </c>
      <c r="G494" s="87">
        <v>0.0</v>
      </c>
      <c r="H494" s="87">
        <v>592.0</v>
      </c>
      <c r="I494" s="87">
        <v>0.0</v>
      </c>
      <c r="J494" s="87">
        <v>11.16355</v>
      </c>
      <c r="K494" s="87">
        <v>10.99386</v>
      </c>
      <c r="L494" s="87">
        <v>11.41815</v>
      </c>
      <c r="M494" s="87">
        <v>10.99386</v>
      </c>
      <c r="N494" s="87">
        <v>1.0</v>
      </c>
      <c r="O494" s="87">
        <v>10.99386</v>
      </c>
      <c r="P494" s="87">
        <v>10.99386</v>
      </c>
      <c r="Q494" s="87">
        <v>10.99386</v>
      </c>
      <c r="R494" s="87">
        <v>10.99386</v>
      </c>
      <c r="S494" s="87">
        <v>10.99386</v>
      </c>
      <c r="T494" s="87">
        <v>10.99386</v>
      </c>
      <c r="U494" s="87">
        <v>10.99386</v>
      </c>
      <c r="V494" s="87">
        <v>10.99386</v>
      </c>
      <c r="W494" s="87">
        <v>10.99386</v>
      </c>
      <c r="X494" s="87">
        <v>10.99386</v>
      </c>
      <c r="Y494" s="87">
        <v>10.99386</v>
      </c>
      <c r="Z494" s="88" t="s">
        <v>1396</v>
      </c>
    </row>
    <row r="495" hidden="1">
      <c r="A495" s="90" t="s">
        <v>2039</v>
      </c>
      <c r="B495" s="90" t="s">
        <v>3325</v>
      </c>
      <c r="C495" s="90" t="s">
        <v>2033</v>
      </c>
      <c r="D495" s="90" t="s">
        <v>2053</v>
      </c>
      <c r="E495" s="90" t="s">
        <v>1400</v>
      </c>
      <c r="F495" s="87">
        <v>1.0</v>
      </c>
      <c r="G495" s="87">
        <v>0.0</v>
      </c>
      <c r="H495" s="87">
        <v>3.0</v>
      </c>
      <c r="I495" s="87">
        <v>0.0</v>
      </c>
      <c r="J495" s="87">
        <v>0.0</v>
      </c>
      <c r="K495" s="87">
        <v>0.0</v>
      </c>
      <c r="L495" s="87">
        <v>0.0</v>
      </c>
      <c r="M495" s="87">
        <v>0.0</v>
      </c>
      <c r="N495" s="91"/>
      <c r="O495" s="91"/>
      <c r="P495" s="91"/>
      <c r="Q495" s="91"/>
      <c r="R495" s="91"/>
      <c r="S495" s="91"/>
      <c r="T495" s="91"/>
      <c r="U495" s="91"/>
      <c r="V495" s="91"/>
      <c r="W495" s="91"/>
      <c r="X495" s="91"/>
      <c r="Y495" s="91"/>
      <c r="Z495" s="88" t="s">
        <v>1396</v>
      </c>
    </row>
    <row r="496" hidden="1">
      <c r="A496" s="90" t="s">
        <v>2043</v>
      </c>
      <c r="B496" s="90" t="s">
        <v>2056</v>
      </c>
      <c r="C496" s="90" t="s">
        <v>2033</v>
      </c>
      <c r="D496" s="90" t="s">
        <v>2053</v>
      </c>
      <c r="E496" s="90" t="s">
        <v>1403</v>
      </c>
      <c r="F496" s="87">
        <v>0.0</v>
      </c>
      <c r="G496" s="87">
        <v>0.0</v>
      </c>
      <c r="H496" s="87">
        <v>0.0</v>
      </c>
      <c r="I496" s="87">
        <v>0.0</v>
      </c>
      <c r="J496" s="87">
        <v>0.0</v>
      </c>
      <c r="K496" s="87">
        <v>0.0</v>
      </c>
      <c r="L496" s="87">
        <v>0.0</v>
      </c>
      <c r="M496" s="87">
        <v>0.0</v>
      </c>
      <c r="N496" s="91"/>
      <c r="O496" s="87">
        <v>0.0</v>
      </c>
      <c r="P496" s="87">
        <v>0.0</v>
      </c>
      <c r="Q496" s="87">
        <v>0.0</v>
      </c>
      <c r="R496" s="87">
        <v>0.0</v>
      </c>
      <c r="S496" s="87">
        <v>0.0</v>
      </c>
      <c r="T496" s="91"/>
      <c r="U496" s="91"/>
      <c r="V496" s="91"/>
      <c r="W496" s="91"/>
      <c r="X496" s="91"/>
      <c r="Y496" s="87">
        <v>0.0</v>
      </c>
      <c r="Z496" s="88" t="s">
        <v>1396</v>
      </c>
    </row>
    <row r="497" hidden="1">
      <c r="A497" s="90" t="s">
        <v>2031</v>
      </c>
      <c r="B497" s="90" t="s">
        <v>2057</v>
      </c>
      <c r="C497" s="90" t="s">
        <v>2033</v>
      </c>
      <c r="D497" s="90" t="s">
        <v>2058</v>
      </c>
      <c r="E497" s="89">
        <v>46310.0</v>
      </c>
      <c r="F497" s="87">
        <v>1.0</v>
      </c>
      <c r="G497" s="87">
        <v>0.0</v>
      </c>
      <c r="H497" s="87">
        <v>85.0</v>
      </c>
      <c r="I497" s="87">
        <v>0.0</v>
      </c>
      <c r="J497" s="87">
        <v>0.0</v>
      </c>
      <c r="K497" s="87">
        <v>0.0</v>
      </c>
      <c r="L497" s="87">
        <v>0.0</v>
      </c>
      <c r="M497" s="87">
        <v>0.0</v>
      </c>
      <c r="N497" s="91"/>
      <c r="O497" s="91"/>
      <c r="P497" s="91"/>
      <c r="Q497" s="91"/>
      <c r="R497" s="91"/>
      <c r="S497" s="91"/>
      <c r="T497" s="91"/>
      <c r="U497" s="91"/>
      <c r="V497" s="91"/>
      <c r="W497" s="91"/>
      <c r="X497" s="91"/>
      <c r="Y497" s="91"/>
      <c r="Z497" s="88" t="s">
        <v>1396</v>
      </c>
    </row>
    <row r="498" hidden="1">
      <c r="A498" s="90" t="s">
        <v>2039</v>
      </c>
      <c r="B498" s="90" t="s">
        <v>2060</v>
      </c>
      <c r="C498" s="90" t="s">
        <v>2033</v>
      </c>
      <c r="D498" s="90" t="s">
        <v>2058</v>
      </c>
      <c r="E498" s="90" t="s">
        <v>1400</v>
      </c>
      <c r="F498" s="87">
        <v>1.0</v>
      </c>
      <c r="G498" s="87">
        <v>0.0</v>
      </c>
      <c r="H498" s="87">
        <v>156.0</v>
      </c>
      <c r="I498" s="87">
        <v>0.0</v>
      </c>
      <c r="J498" s="87">
        <v>3.456543</v>
      </c>
      <c r="K498" s="87">
        <v>3.512616</v>
      </c>
      <c r="L498" s="87">
        <v>3.168301</v>
      </c>
      <c r="M498" s="87">
        <v>3.512616</v>
      </c>
      <c r="N498" s="87">
        <v>1.0</v>
      </c>
      <c r="O498" s="87">
        <v>3.512616</v>
      </c>
      <c r="P498" s="87">
        <v>3.512616</v>
      </c>
      <c r="Q498" s="87">
        <v>3.512616</v>
      </c>
      <c r="R498" s="87">
        <v>3.512616</v>
      </c>
      <c r="S498" s="87">
        <v>3.512616</v>
      </c>
      <c r="T498" s="87">
        <v>3.512616</v>
      </c>
      <c r="U498" s="87">
        <v>3.512616</v>
      </c>
      <c r="V498" s="87">
        <v>3.512616</v>
      </c>
      <c r="W498" s="87">
        <v>3.512616</v>
      </c>
      <c r="X498" s="87">
        <v>3.512616</v>
      </c>
      <c r="Y498" s="87">
        <v>3.512616</v>
      </c>
      <c r="Z498" s="88" t="s">
        <v>1396</v>
      </c>
    </row>
    <row r="499" hidden="1">
      <c r="A499" s="90" t="s">
        <v>2043</v>
      </c>
      <c r="B499" s="90" t="s">
        <v>2061</v>
      </c>
      <c r="C499" s="90" t="s">
        <v>2033</v>
      </c>
      <c r="D499" s="90" t="s">
        <v>2058</v>
      </c>
      <c r="E499" s="90" t="s">
        <v>1403</v>
      </c>
      <c r="F499" s="87">
        <v>0.0</v>
      </c>
      <c r="G499" s="87">
        <v>0.0</v>
      </c>
      <c r="H499" s="87">
        <v>0.0</v>
      </c>
      <c r="I499" s="87">
        <v>0.0</v>
      </c>
      <c r="J499" s="87">
        <v>0.0</v>
      </c>
      <c r="K499" s="87">
        <v>0.0</v>
      </c>
      <c r="L499" s="87">
        <v>0.0</v>
      </c>
      <c r="M499" s="87">
        <v>0.0</v>
      </c>
      <c r="N499" s="91"/>
      <c r="O499" s="87">
        <v>0.0</v>
      </c>
      <c r="P499" s="87">
        <v>0.0</v>
      </c>
      <c r="Q499" s="87">
        <v>0.0</v>
      </c>
      <c r="R499" s="87">
        <v>0.0</v>
      </c>
      <c r="S499" s="87">
        <v>0.0</v>
      </c>
      <c r="T499" s="91"/>
      <c r="U499" s="91"/>
      <c r="V499" s="91"/>
      <c r="W499" s="91"/>
      <c r="X499" s="91"/>
      <c r="Y499" s="87">
        <v>0.0</v>
      </c>
      <c r="Z499" s="88" t="s">
        <v>1396</v>
      </c>
    </row>
    <row r="500" hidden="1">
      <c r="A500" s="90" t="s">
        <v>2075</v>
      </c>
      <c r="B500" s="90" t="s">
        <v>3326</v>
      </c>
      <c r="C500" s="90" t="s">
        <v>301</v>
      </c>
      <c r="D500" s="90" t="s">
        <v>2064</v>
      </c>
      <c r="E500" s="90" t="s">
        <v>1426</v>
      </c>
      <c r="F500" s="87">
        <v>1.0</v>
      </c>
      <c r="G500" s="87">
        <v>1.0</v>
      </c>
      <c r="H500" s="87">
        <v>2.0</v>
      </c>
      <c r="I500" s="87">
        <v>2.0</v>
      </c>
      <c r="J500" s="87">
        <v>0.0</v>
      </c>
      <c r="K500" s="87">
        <v>0.0</v>
      </c>
      <c r="L500" s="87">
        <v>0.0</v>
      </c>
      <c r="M500" s="87">
        <v>0.0</v>
      </c>
      <c r="N500" s="91"/>
      <c r="O500" s="91"/>
      <c r="P500" s="91"/>
      <c r="Q500" s="91"/>
      <c r="R500" s="91"/>
      <c r="S500" s="91"/>
      <c r="T500" s="91"/>
      <c r="U500" s="91"/>
      <c r="V500" s="91"/>
      <c r="W500" s="91"/>
      <c r="X500" s="91"/>
      <c r="Y500" s="91"/>
      <c r="Z500" s="88" t="s">
        <v>1396</v>
      </c>
    </row>
    <row r="501" hidden="1">
      <c r="A501" s="90" t="s">
        <v>2062</v>
      </c>
      <c r="B501" s="90" t="s">
        <v>2063</v>
      </c>
      <c r="C501" s="90" t="s">
        <v>301</v>
      </c>
      <c r="D501" s="90" t="s">
        <v>2064</v>
      </c>
      <c r="E501" s="86">
        <v>46310.0</v>
      </c>
      <c r="F501" s="87">
        <v>9.0</v>
      </c>
      <c r="G501" s="87">
        <v>2.0</v>
      </c>
      <c r="H501" s="87">
        <v>2477.0</v>
      </c>
      <c r="I501" s="87">
        <v>10.0</v>
      </c>
      <c r="J501" s="87">
        <v>20.91825</v>
      </c>
      <c r="K501" s="87">
        <v>19.43521</v>
      </c>
      <c r="L501" s="87">
        <v>19.61714</v>
      </c>
      <c r="M501" s="87">
        <v>13.35354</v>
      </c>
      <c r="N501" s="87">
        <v>0.68708</v>
      </c>
      <c r="O501" s="87">
        <v>0.42907</v>
      </c>
      <c r="P501" s="87">
        <v>0.84193</v>
      </c>
      <c r="Q501" s="87">
        <v>0.84193</v>
      </c>
      <c r="R501" s="87">
        <v>1.133556</v>
      </c>
      <c r="S501" s="87">
        <v>3.677113</v>
      </c>
      <c r="T501" s="87">
        <v>0.42907</v>
      </c>
      <c r="U501" s="87">
        <v>0.84193</v>
      </c>
      <c r="V501" s="87">
        <v>0.84193</v>
      </c>
      <c r="W501" s="87">
        <v>1.133556</v>
      </c>
      <c r="X501" s="87">
        <v>3.677113</v>
      </c>
      <c r="Y501" s="87">
        <v>3.887042</v>
      </c>
      <c r="Z501" s="88" t="s">
        <v>1396</v>
      </c>
    </row>
    <row r="502" hidden="1">
      <c r="A502" s="90" t="s">
        <v>2065</v>
      </c>
      <c r="B502" s="90" t="s">
        <v>2066</v>
      </c>
      <c r="C502" s="90" t="s">
        <v>301</v>
      </c>
      <c r="D502" s="90" t="s">
        <v>2064</v>
      </c>
      <c r="E502" s="90" t="s">
        <v>1413</v>
      </c>
      <c r="F502" s="87">
        <v>3.0</v>
      </c>
      <c r="G502" s="87">
        <v>0.0</v>
      </c>
      <c r="H502" s="87">
        <v>1913.0</v>
      </c>
      <c r="I502" s="87">
        <v>0.0</v>
      </c>
      <c r="J502" s="87">
        <v>15.57789</v>
      </c>
      <c r="K502" s="87">
        <v>16.33897</v>
      </c>
      <c r="L502" s="87">
        <v>15.49331</v>
      </c>
      <c r="M502" s="87">
        <v>7.527078</v>
      </c>
      <c r="N502" s="87">
        <v>0.460683</v>
      </c>
      <c r="O502" s="87">
        <v>0.21978</v>
      </c>
      <c r="P502" s="87">
        <v>0.21978</v>
      </c>
      <c r="Q502" s="87">
        <v>3.446502</v>
      </c>
      <c r="R502" s="87">
        <v>5.14561</v>
      </c>
      <c r="S502" s="87">
        <v>5.14561</v>
      </c>
      <c r="T502" s="87">
        <v>0.21978</v>
      </c>
      <c r="U502" s="87">
        <v>0.21978</v>
      </c>
      <c r="V502" s="87">
        <v>3.446502</v>
      </c>
      <c r="W502" s="87">
        <v>5.14561</v>
      </c>
      <c r="X502" s="87">
        <v>5.14561</v>
      </c>
      <c r="Y502" s="87">
        <v>4.084743</v>
      </c>
      <c r="Z502" s="88" t="s">
        <v>1396</v>
      </c>
    </row>
    <row r="503" hidden="1">
      <c r="A503" s="90" t="s">
        <v>2067</v>
      </c>
      <c r="B503" s="90" t="s">
        <v>2068</v>
      </c>
      <c r="C503" s="90" t="s">
        <v>301</v>
      </c>
      <c r="D503" s="90" t="s">
        <v>2064</v>
      </c>
      <c r="E503" s="90" t="s">
        <v>1398</v>
      </c>
      <c r="F503" s="87">
        <v>1.0</v>
      </c>
      <c r="G503" s="87">
        <v>0.0</v>
      </c>
      <c r="H503" s="87">
        <v>6.0</v>
      </c>
      <c r="I503" s="87">
        <v>0.0</v>
      </c>
      <c r="J503" s="87">
        <v>0.0</v>
      </c>
      <c r="K503" s="87">
        <v>0.0</v>
      </c>
      <c r="L503" s="87">
        <v>0.0</v>
      </c>
      <c r="M503" s="87">
        <v>0.0</v>
      </c>
      <c r="N503" s="91"/>
      <c r="O503" s="91"/>
      <c r="P503" s="91"/>
      <c r="Q503" s="91"/>
      <c r="R503" s="91"/>
      <c r="S503" s="91"/>
      <c r="T503" s="91"/>
      <c r="U503" s="91"/>
      <c r="V503" s="91"/>
      <c r="W503" s="91"/>
      <c r="X503" s="91"/>
      <c r="Y503" s="91"/>
      <c r="Z503" s="88" t="s">
        <v>1396</v>
      </c>
    </row>
    <row r="504" hidden="1">
      <c r="A504" s="90" t="s">
        <v>2069</v>
      </c>
      <c r="B504" s="90" t="s">
        <v>2070</v>
      </c>
      <c r="C504" s="90" t="s">
        <v>301</v>
      </c>
      <c r="D504" s="90" t="s">
        <v>2064</v>
      </c>
      <c r="E504" s="90" t="s">
        <v>1400</v>
      </c>
      <c r="F504" s="87">
        <v>8.0</v>
      </c>
      <c r="G504" s="87">
        <v>1.0</v>
      </c>
      <c r="H504" s="87">
        <v>1151.0</v>
      </c>
      <c r="I504" s="87">
        <v>15.0</v>
      </c>
      <c r="J504" s="87">
        <v>4.124786</v>
      </c>
      <c r="K504" s="87">
        <v>3.820758</v>
      </c>
      <c r="L504" s="87">
        <v>4.079467</v>
      </c>
      <c r="M504" s="87">
        <v>1.932161</v>
      </c>
      <c r="N504" s="87">
        <v>0.505701</v>
      </c>
      <c r="O504" s="87">
        <v>0.929032</v>
      </c>
      <c r="P504" s="87">
        <v>0.929032</v>
      </c>
      <c r="Q504" s="87">
        <v>0.929032</v>
      </c>
      <c r="R504" s="87">
        <v>0.959565</v>
      </c>
      <c r="S504" s="87">
        <v>1.932161</v>
      </c>
      <c r="T504" s="87">
        <v>0.929032</v>
      </c>
      <c r="U504" s="87">
        <v>0.929032</v>
      </c>
      <c r="V504" s="87">
        <v>0.929032</v>
      </c>
      <c r="W504" s="87">
        <v>0.959565</v>
      </c>
      <c r="X504" s="87">
        <v>1.932161</v>
      </c>
      <c r="Y504" s="87">
        <v>1.273586</v>
      </c>
      <c r="Z504" s="88" t="s">
        <v>1396</v>
      </c>
    </row>
    <row r="505" hidden="1">
      <c r="A505" s="90" t="s">
        <v>2071</v>
      </c>
      <c r="B505" s="90" t="s">
        <v>2072</v>
      </c>
      <c r="C505" s="90" t="s">
        <v>301</v>
      </c>
      <c r="D505" s="90" t="s">
        <v>2064</v>
      </c>
      <c r="E505" s="89">
        <v>46300.0</v>
      </c>
      <c r="F505" s="87">
        <v>10.0</v>
      </c>
      <c r="G505" s="87">
        <v>0.0</v>
      </c>
      <c r="H505" s="87">
        <v>9829.0</v>
      </c>
      <c r="I505" s="87">
        <v>0.0</v>
      </c>
      <c r="J505" s="87">
        <v>119.4504</v>
      </c>
      <c r="K505" s="87">
        <v>119.9599</v>
      </c>
      <c r="L505" s="87">
        <v>122.071</v>
      </c>
      <c r="M505" s="87">
        <v>75.161</v>
      </c>
      <c r="N505" s="87">
        <v>0.626551</v>
      </c>
      <c r="O505" s="87">
        <v>4.393816</v>
      </c>
      <c r="P505" s="87">
        <v>6.760997</v>
      </c>
      <c r="Q505" s="87">
        <v>7.477121</v>
      </c>
      <c r="R505" s="87">
        <v>8.022422</v>
      </c>
      <c r="S505" s="87">
        <v>18.14454</v>
      </c>
      <c r="T505" s="87">
        <v>4.393816</v>
      </c>
      <c r="U505" s="87">
        <v>6.760997</v>
      </c>
      <c r="V505" s="87">
        <v>7.477121</v>
      </c>
      <c r="W505" s="87">
        <v>8.022422</v>
      </c>
      <c r="X505" s="87">
        <v>18.14454</v>
      </c>
      <c r="Y505" s="87">
        <v>17.13713</v>
      </c>
      <c r="Z505" s="88" t="s">
        <v>1396</v>
      </c>
    </row>
    <row r="506" hidden="1">
      <c r="A506" s="90" t="s">
        <v>2073</v>
      </c>
      <c r="B506" s="90" t="s">
        <v>2074</v>
      </c>
      <c r="C506" s="90" t="s">
        <v>301</v>
      </c>
      <c r="D506" s="90" t="s">
        <v>2064</v>
      </c>
      <c r="E506" s="90" t="s">
        <v>1403</v>
      </c>
      <c r="F506" s="87">
        <v>4.0</v>
      </c>
      <c r="G506" s="87">
        <v>4.0</v>
      </c>
      <c r="H506" s="87">
        <v>177.0</v>
      </c>
      <c r="I506" s="87">
        <v>177.0</v>
      </c>
      <c r="J506" s="87">
        <v>0.0</v>
      </c>
      <c r="K506" s="87">
        <v>0.0</v>
      </c>
      <c r="L506" s="87">
        <v>0.0</v>
      </c>
      <c r="M506" s="87">
        <v>0.0</v>
      </c>
      <c r="N506" s="91"/>
      <c r="O506" s="87">
        <v>0.0</v>
      </c>
      <c r="P506" s="87">
        <v>0.0</v>
      </c>
      <c r="Q506" s="87">
        <v>0.0</v>
      </c>
      <c r="R506" s="87">
        <v>0.0</v>
      </c>
      <c r="S506" s="87">
        <v>0.0</v>
      </c>
      <c r="T506" s="91"/>
      <c r="U506" s="91"/>
      <c r="V506" s="91"/>
      <c r="W506" s="91"/>
      <c r="X506" s="91"/>
      <c r="Y506" s="87">
        <v>0.0</v>
      </c>
      <c r="Z506" s="88" t="s">
        <v>1396</v>
      </c>
    </row>
    <row r="507" hidden="1">
      <c r="A507" s="90" t="s">
        <v>2075</v>
      </c>
      <c r="B507" s="90" t="s">
        <v>2076</v>
      </c>
      <c r="C507" s="90" t="s">
        <v>301</v>
      </c>
      <c r="D507" s="90" t="s">
        <v>2077</v>
      </c>
      <c r="E507" s="90" t="s">
        <v>1426</v>
      </c>
      <c r="F507" s="87">
        <v>3.0</v>
      </c>
      <c r="G507" s="87">
        <v>0.0</v>
      </c>
      <c r="H507" s="87">
        <v>474.0</v>
      </c>
      <c r="I507" s="87">
        <v>0.0</v>
      </c>
      <c r="J507" s="87">
        <v>10.05572</v>
      </c>
      <c r="K507" s="87">
        <v>9.862016</v>
      </c>
      <c r="L507" s="87">
        <v>8.053495</v>
      </c>
      <c r="M507" s="87">
        <v>4.948931</v>
      </c>
      <c r="N507" s="87">
        <v>0.501817</v>
      </c>
      <c r="O507" s="87">
        <v>0.0</v>
      </c>
      <c r="P507" s="87">
        <v>0.0</v>
      </c>
      <c r="Q507" s="87">
        <v>0.0</v>
      </c>
      <c r="R507" s="87">
        <v>4.913085</v>
      </c>
      <c r="S507" s="87">
        <v>4.948931</v>
      </c>
      <c r="T507" s="87">
        <v>4.913085</v>
      </c>
      <c r="U507" s="87">
        <v>4.913085</v>
      </c>
      <c r="V507" s="87">
        <v>4.913085</v>
      </c>
      <c r="W507" s="87">
        <v>4.948931</v>
      </c>
      <c r="X507" s="87">
        <v>4.948931</v>
      </c>
      <c r="Y507" s="87">
        <v>3.287339</v>
      </c>
      <c r="Z507" s="88" t="s">
        <v>1396</v>
      </c>
    </row>
    <row r="508" hidden="1">
      <c r="A508" s="90" t="s">
        <v>2062</v>
      </c>
      <c r="B508" s="90" t="s">
        <v>2078</v>
      </c>
      <c r="C508" s="90" t="s">
        <v>301</v>
      </c>
      <c r="D508" s="90" t="s">
        <v>2077</v>
      </c>
      <c r="E508" s="86">
        <v>46310.0</v>
      </c>
      <c r="F508" s="87">
        <v>15.0</v>
      </c>
      <c r="G508" s="87">
        <v>0.0</v>
      </c>
      <c r="H508" s="87">
        <v>5794.0</v>
      </c>
      <c r="I508" s="87">
        <v>0.0</v>
      </c>
      <c r="J508" s="87">
        <v>52.74692</v>
      </c>
      <c r="K508" s="87">
        <v>53.56118</v>
      </c>
      <c r="L508" s="87">
        <v>52.66598</v>
      </c>
      <c r="M508" s="87">
        <v>20.44429</v>
      </c>
      <c r="N508" s="87">
        <v>0.3817</v>
      </c>
      <c r="O508" s="87">
        <v>2.644825</v>
      </c>
      <c r="P508" s="87">
        <v>2.823116</v>
      </c>
      <c r="Q508" s="87">
        <v>3.759121</v>
      </c>
      <c r="R508" s="87">
        <v>4.189257</v>
      </c>
      <c r="S508" s="87">
        <v>8.572914</v>
      </c>
      <c r="T508" s="87">
        <v>2.644825</v>
      </c>
      <c r="U508" s="87">
        <v>2.823116</v>
      </c>
      <c r="V508" s="87">
        <v>3.759121</v>
      </c>
      <c r="W508" s="87">
        <v>4.189257</v>
      </c>
      <c r="X508" s="87">
        <v>8.572914</v>
      </c>
      <c r="Y508" s="87">
        <v>5.356118</v>
      </c>
      <c r="Z508" s="88" t="s">
        <v>1396</v>
      </c>
    </row>
    <row r="509" hidden="1">
      <c r="A509" s="90" t="s">
        <v>2065</v>
      </c>
      <c r="B509" s="90" t="s">
        <v>2079</v>
      </c>
      <c r="C509" s="90" t="s">
        <v>301</v>
      </c>
      <c r="D509" s="90" t="s">
        <v>2077</v>
      </c>
      <c r="E509" s="90" t="s">
        <v>1413</v>
      </c>
      <c r="F509" s="87">
        <v>3.0</v>
      </c>
      <c r="G509" s="87">
        <v>0.0</v>
      </c>
      <c r="H509" s="87">
        <v>1217.0</v>
      </c>
      <c r="I509" s="87">
        <v>0.0</v>
      </c>
      <c r="J509" s="87">
        <v>6.686605</v>
      </c>
      <c r="K509" s="87">
        <v>6.791538</v>
      </c>
      <c r="L509" s="87">
        <v>6.204879</v>
      </c>
      <c r="M509" s="87">
        <v>4.036378</v>
      </c>
      <c r="N509" s="87">
        <v>0.594325</v>
      </c>
      <c r="O509" s="87">
        <v>1.226128</v>
      </c>
      <c r="P509" s="87">
        <v>1.226128</v>
      </c>
      <c r="Q509" s="87">
        <v>1.226128</v>
      </c>
      <c r="R509" s="87">
        <v>1.529032</v>
      </c>
      <c r="S509" s="87">
        <v>4.036378</v>
      </c>
      <c r="T509" s="87">
        <v>1.226128</v>
      </c>
      <c r="U509" s="87">
        <v>1.226128</v>
      </c>
      <c r="V509" s="87">
        <v>1.226128</v>
      </c>
      <c r="W509" s="87">
        <v>1.529032</v>
      </c>
      <c r="X509" s="87">
        <v>4.036378</v>
      </c>
      <c r="Y509" s="87">
        <v>2.263846</v>
      </c>
      <c r="Z509" s="88" t="s">
        <v>1396</v>
      </c>
    </row>
    <row r="510" hidden="1">
      <c r="A510" s="90" t="s">
        <v>2067</v>
      </c>
      <c r="B510" s="90" t="s">
        <v>2080</v>
      </c>
      <c r="C510" s="90" t="s">
        <v>301</v>
      </c>
      <c r="D510" s="90" t="s">
        <v>2077</v>
      </c>
      <c r="E510" s="90" t="s">
        <v>1398</v>
      </c>
      <c r="F510" s="87">
        <v>5.0</v>
      </c>
      <c r="G510" s="87">
        <v>1.0</v>
      </c>
      <c r="H510" s="87">
        <v>1038.0</v>
      </c>
      <c r="I510" s="87">
        <v>9.0</v>
      </c>
      <c r="J510" s="87">
        <v>9.677611</v>
      </c>
      <c r="K510" s="87">
        <v>8.109598</v>
      </c>
      <c r="L510" s="87">
        <v>7.606012</v>
      </c>
      <c r="M510" s="87">
        <v>3.613193</v>
      </c>
      <c r="N510" s="87">
        <v>0.445545</v>
      </c>
      <c r="O510" s="87">
        <v>0.0</v>
      </c>
      <c r="P510" s="87">
        <v>1.166786</v>
      </c>
      <c r="Q510" s="87">
        <v>1.166786</v>
      </c>
      <c r="R510" s="87">
        <v>1.53978</v>
      </c>
      <c r="S510" s="87">
        <v>1.78984</v>
      </c>
      <c r="T510" s="87">
        <v>1.166786</v>
      </c>
      <c r="U510" s="87">
        <v>1.166786</v>
      </c>
      <c r="V510" s="87">
        <v>1.53978</v>
      </c>
      <c r="W510" s="87">
        <v>1.78984</v>
      </c>
      <c r="X510" s="87">
        <v>1.78984</v>
      </c>
      <c r="Y510" s="87">
        <v>1.62192</v>
      </c>
      <c r="Z510" s="88" t="s">
        <v>1396</v>
      </c>
    </row>
    <row r="511" hidden="1">
      <c r="A511" s="90" t="s">
        <v>2069</v>
      </c>
      <c r="B511" s="90" t="s">
        <v>2081</v>
      </c>
      <c r="C511" s="90" t="s">
        <v>301</v>
      </c>
      <c r="D511" s="90" t="s">
        <v>2077</v>
      </c>
      <c r="E511" s="90" t="s">
        <v>1400</v>
      </c>
      <c r="F511" s="87">
        <v>3.0</v>
      </c>
      <c r="G511" s="87">
        <v>0.0</v>
      </c>
      <c r="H511" s="87">
        <v>534.0</v>
      </c>
      <c r="I511" s="87">
        <v>0.0</v>
      </c>
      <c r="J511" s="87">
        <v>1.0</v>
      </c>
      <c r="K511" s="87">
        <v>1.382092</v>
      </c>
      <c r="L511" s="87">
        <v>1.262853</v>
      </c>
      <c r="M511" s="87">
        <v>0.9165</v>
      </c>
      <c r="N511" s="87">
        <v>0.663126</v>
      </c>
      <c r="O511" s="87">
        <v>0.166667</v>
      </c>
      <c r="P511" s="87">
        <v>0.166667</v>
      </c>
      <c r="Q511" s="87">
        <v>0.166667</v>
      </c>
      <c r="R511" s="87">
        <v>0.298925</v>
      </c>
      <c r="S511" s="87">
        <v>0.9165</v>
      </c>
      <c r="T511" s="87">
        <v>0.166667</v>
      </c>
      <c r="U511" s="87">
        <v>0.166667</v>
      </c>
      <c r="V511" s="87">
        <v>0.166667</v>
      </c>
      <c r="W511" s="87">
        <v>0.298925</v>
      </c>
      <c r="X511" s="87">
        <v>0.9165</v>
      </c>
      <c r="Y511" s="87">
        <v>0.460697</v>
      </c>
      <c r="Z511" s="88" t="s">
        <v>1396</v>
      </c>
    </row>
    <row r="512" hidden="1">
      <c r="A512" s="90" t="s">
        <v>2071</v>
      </c>
      <c r="B512" s="90" t="s">
        <v>2082</v>
      </c>
      <c r="C512" s="90" t="s">
        <v>301</v>
      </c>
      <c r="D512" s="90" t="s">
        <v>2077</v>
      </c>
      <c r="E512" s="89">
        <v>46300.0</v>
      </c>
      <c r="F512" s="87">
        <v>13.0</v>
      </c>
      <c r="G512" s="87">
        <v>1.0</v>
      </c>
      <c r="H512" s="87">
        <v>6345.0</v>
      </c>
      <c r="I512" s="87">
        <v>37.0</v>
      </c>
      <c r="J512" s="87">
        <v>78.18728</v>
      </c>
      <c r="K512" s="87">
        <v>77.48384</v>
      </c>
      <c r="L512" s="87">
        <v>80.3131</v>
      </c>
      <c r="M512" s="87">
        <v>53.08383</v>
      </c>
      <c r="N512" s="87">
        <v>0.685096</v>
      </c>
      <c r="O512" s="87">
        <v>0.0</v>
      </c>
      <c r="P512" s="87">
        <v>0.0</v>
      </c>
      <c r="Q512" s="87">
        <v>1.0</v>
      </c>
      <c r="R512" s="87">
        <v>5.487998</v>
      </c>
      <c r="S512" s="87">
        <v>6.192476</v>
      </c>
      <c r="T512" s="87">
        <v>1.0</v>
      </c>
      <c r="U512" s="87">
        <v>2.515452</v>
      </c>
      <c r="V512" s="87">
        <v>3.59757</v>
      </c>
      <c r="W512" s="87">
        <v>5.606509</v>
      </c>
      <c r="X512" s="87">
        <v>7.905824</v>
      </c>
      <c r="Y512" s="87">
        <v>6.456986</v>
      </c>
      <c r="Z512" s="88" t="s">
        <v>1396</v>
      </c>
    </row>
    <row r="513" hidden="1">
      <c r="A513" s="90" t="s">
        <v>2073</v>
      </c>
      <c r="B513" s="90" t="s">
        <v>2083</v>
      </c>
      <c r="C513" s="90" t="s">
        <v>301</v>
      </c>
      <c r="D513" s="90" t="s">
        <v>2077</v>
      </c>
      <c r="E513" s="90" t="s">
        <v>1403</v>
      </c>
      <c r="F513" s="87">
        <v>9.0</v>
      </c>
      <c r="G513" s="87">
        <v>9.0</v>
      </c>
      <c r="H513" s="87">
        <v>372.0</v>
      </c>
      <c r="I513" s="87">
        <v>372.0</v>
      </c>
      <c r="J513" s="87">
        <v>0.0</v>
      </c>
      <c r="K513" s="87">
        <v>0.0</v>
      </c>
      <c r="L513" s="87">
        <v>0.0</v>
      </c>
      <c r="M513" s="87">
        <v>0.0</v>
      </c>
      <c r="N513" s="91"/>
      <c r="O513" s="87">
        <v>0.0</v>
      </c>
      <c r="P513" s="87">
        <v>0.0</v>
      </c>
      <c r="Q513" s="87">
        <v>0.0</v>
      </c>
      <c r="R513" s="87">
        <v>0.0</v>
      </c>
      <c r="S513" s="87">
        <v>0.0</v>
      </c>
      <c r="T513" s="91"/>
      <c r="U513" s="91"/>
      <c r="V513" s="91"/>
      <c r="W513" s="91"/>
      <c r="X513" s="91"/>
      <c r="Y513" s="87">
        <v>0.0</v>
      </c>
      <c r="Z513" s="88" t="s">
        <v>1396</v>
      </c>
    </row>
    <row r="514" hidden="1">
      <c r="A514" s="90" t="s">
        <v>2075</v>
      </c>
      <c r="B514" s="90" t="s">
        <v>2084</v>
      </c>
      <c r="C514" s="90" t="s">
        <v>301</v>
      </c>
      <c r="D514" s="90" t="s">
        <v>302</v>
      </c>
      <c r="E514" s="90" t="s">
        <v>1426</v>
      </c>
      <c r="F514" s="87">
        <v>11.0</v>
      </c>
      <c r="G514" s="87">
        <v>0.0</v>
      </c>
      <c r="H514" s="87">
        <v>7582.0</v>
      </c>
      <c r="I514" s="87">
        <v>0.0</v>
      </c>
      <c r="J514" s="87">
        <v>102.8254</v>
      </c>
      <c r="K514" s="87">
        <v>105.9782</v>
      </c>
      <c r="L514" s="87">
        <v>105.3314</v>
      </c>
      <c r="M514" s="87">
        <v>59.99403</v>
      </c>
      <c r="N514" s="87">
        <v>0.566098</v>
      </c>
      <c r="O514" s="87">
        <v>0.0</v>
      </c>
      <c r="P514" s="87">
        <v>0.0</v>
      </c>
      <c r="Q514" s="87">
        <v>0.0</v>
      </c>
      <c r="R514" s="87">
        <v>5.731126</v>
      </c>
      <c r="S514" s="87">
        <v>8.421081</v>
      </c>
      <c r="T514" s="87">
        <v>5.519524</v>
      </c>
      <c r="U514" s="87">
        <v>5.731126</v>
      </c>
      <c r="V514" s="87">
        <v>7.341449</v>
      </c>
      <c r="W514" s="87">
        <v>8.421081</v>
      </c>
      <c r="X514" s="87">
        <v>11.75945</v>
      </c>
      <c r="Y514" s="87">
        <v>6.234012</v>
      </c>
      <c r="Z514" s="88" t="s">
        <v>1396</v>
      </c>
    </row>
    <row r="515" hidden="1">
      <c r="A515" s="90" t="s">
        <v>2062</v>
      </c>
      <c r="B515" s="90" t="s">
        <v>2085</v>
      </c>
      <c r="C515" s="90" t="s">
        <v>301</v>
      </c>
      <c r="D515" s="90" t="s">
        <v>302</v>
      </c>
      <c r="E515" s="89">
        <v>46310.0</v>
      </c>
      <c r="F515" s="87">
        <v>11.0</v>
      </c>
      <c r="G515" s="87">
        <v>0.0</v>
      </c>
      <c r="H515" s="87">
        <v>6009.0</v>
      </c>
      <c r="I515" s="87">
        <v>0.0</v>
      </c>
      <c r="J515" s="87">
        <v>57.81031</v>
      </c>
      <c r="K515" s="87">
        <v>59.5982</v>
      </c>
      <c r="L515" s="87">
        <v>60.41514</v>
      </c>
      <c r="M515" s="87">
        <v>30.58316</v>
      </c>
      <c r="N515" s="87">
        <v>0.513156</v>
      </c>
      <c r="O515" s="87">
        <v>0.0</v>
      </c>
      <c r="P515" s="87">
        <v>0.807108</v>
      </c>
      <c r="Q515" s="87">
        <v>1.703656</v>
      </c>
      <c r="R515" s="87">
        <v>5.925449</v>
      </c>
      <c r="S515" s="87">
        <v>7.14115</v>
      </c>
      <c r="T515" s="87">
        <v>1.703656</v>
      </c>
      <c r="U515" s="87">
        <v>2.478433</v>
      </c>
      <c r="V515" s="87">
        <v>4.599938</v>
      </c>
      <c r="W515" s="87">
        <v>6.359314</v>
      </c>
      <c r="X515" s="87">
        <v>7.698602</v>
      </c>
      <c r="Y515" s="87">
        <v>4.966517</v>
      </c>
      <c r="Z515" s="88" t="s">
        <v>1396</v>
      </c>
    </row>
    <row r="516" hidden="1">
      <c r="A516" s="90" t="s">
        <v>2065</v>
      </c>
      <c r="B516" s="90" t="s">
        <v>2086</v>
      </c>
      <c r="C516" s="90" t="s">
        <v>301</v>
      </c>
      <c r="D516" s="90" t="s">
        <v>302</v>
      </c>
      <c r="E516" s="90" t="s">
        <v>1413</v>
      </c>
      <c r="F516" s="87">
        <v>7.0</v>
      </c>
      <c r="G516" s="87">
        <v>0.0</v>
      </c>
      <c r="H516" s="87">
        <v>1974.0</v>
      </c>
      <c r="I516" s="87">
        <v>0.0</v>
      </c>
      <c r="J516" s="87">
        <v>7.823477</v>
      </c>
      <c r="K516" s="87">
        <v>7.595498</v>
      </c>
      <c r="L516" s="87">
        <v>8.027231</v>
      </c>
      <c r="M516" s="87">
        <v>3.55002</v>
      </c>
      <c r="N516" s="87">
        <v>0.467385</v>
      </c>
      <c r="O516" s="87">
        <v>0.377778</v>
      </c>
      <c r="P516" s="87">
        <v>0.377778</v>
      </c>
      <c r="Q516" s="87">
        <v>1.616879</v>
      </c>
      <c r="R516" s="87">
        <v>2.050821</v>
      </c>
      <c r="S516" s="87">
        <v>2.050821</v>
      </c>
      <c r="T516" s="87">
        <v>0.377778</v>
      </c>
      <c r="U516" s="87">
        <v>0.377778</v>
      </c>
      <c r="V516" s="87">
        <v>1.616879</v>
      </c>
      <c r="W516" s="87">
        <v>2.050821</v>
      </c>
      <c r="X516" s="87">
        <v>2.050821</v>
      </c>
      <c r="Y516" s="87">
        <v>1.898875</v>
      </c>
      <c r="Z516" s="88" t="s">
        <v>1396</v>
      </c>
    </row>
    <row r="517" hidden="1">
      <c r="A517" s="90" t="s">
        <v>2067</v>
      </c>
      <c r="B517" s="90" t="s">
        <v>2087</v>
      </c>
      <c r="C517" s="90" t="s">
        <v>301</v>
      </c>
      <c r="D517" s="90" t="s">
        <v>302</v>
      </c>
      <c r="E517" s="90" t="s">
        <v>1398</v>
      </c>
      <c r="F517" s="87">
        <v>1.0</v>
      </c>
      <c r="G517" s="87">
        <v>0.0</v>
      </c>
      <c r="H517" s="87">
        <v>183.0</v>
      </c>
      <c r="I517" s="87">
        <v>0.0</v>
      </c>
      <c r="J517" s="87">
        <v>0.071429</v>
      </c>
      <c r="K517" s="87">
        <v>0.0625</v>
      </c>
      <c r="L517" s="87">
        <v>0.0625</v>
      </c>
      <c r="M517" s="87">
        <v>0.0625</v>
      </c>
      <c r="N517" s="87">
        <v>1.0</v>
      </c>
      <c r="O517" s="87">
        <v>0.0</v>
      </c>
      <c r="P517" s="87">
        <v>0.0</v>
      </c>
      <c r="Q517" s="87">
        <v>0.0</v>
      </c>
      <c r="R517" s="87">
        <v>0.0625</v>
      </c>
      <c r="S517" s="87">
        <v>0.0625</v>
      </c>
      <c r="T517" s="87">
        <v>0.0625</v>
      </c>
      <c r="U517" s="87">
        <v>0.0625</v>
      </c>
      <c r="V517" s="87">
        <v>0.0625</v>
      </c>
      <c r="W517" s="87">
        <v>0.0625</v>
      </c>
      <c r="X517" s="87">
        <v>0.0625</v>
      </c>
      <c r="Y517" s="87">
        <v>0.03125</v>
      </c>
      <c r="Z517" s="88" t="s">
        <v>1396</v>
      </c>
    </row>
    <row r="518" hidden="1">
      <c r="A518" s="90" t="s">
        <v>2069</v>
      </c>
      <c r="B518" s="90" t="s">
        <v>2088</v>
      </c>
      <c r="C518" s="90" t="s">
        <v>301</v>
      </c>
      <c r="D518" s="90" t="s">
        <v>302</v>
      </c>
      <c r="E518" s="90" t="s">
        <v>1400</v>
      </c>
      <c r="F518" s="87">
        <v>14.0</v>
      </c>
      <c r="G518" s="87">
        <v>0.0</v>
      </c>
      <c r="H518" s="87">
        <v>2061.0</v>
      </c>
      <c r="I518" s="87">
        <v>0.0</v>
      </c>
      <c r="J518" s="87">
        <v>5.868132</v>
      </c>
      <c r="K518" s="87">
        <v>4.443477</v>
      </c>
      <c r="L518" s="87">
        <v>4.582199</v>
      </c>
      <c r="M518" s="87">
        <v>2.303846</v>
      </c>
      <c r="N518" s="87">
        <v>0.518478</v>
      </c>
      <c r="O518" s="87">
        <v>0.066667</v>
      </c>
      <c r="P518" s="87">
        <v>0.133333</v>
      </c>
      <c r="Q518" s="87">
        <v>0.138095</v>
      </c>
      <c r="R518" s="87">
        <v>0.2</v>
      </c>
      <c r="S518" s="87">
        <v>0.396774</v>
      </c>
      <c r="T518" s="87">
        <v>0.133333</v>
      </c>
      <c r="U518" s="87">
        <v>0.133333</v>
      </c>
      <c r="V518" s="87">
        <v>0.138095</v>
      </c>
      <c r="W518" s="87">
        <v>0.2</v>
      </c>
      <c r="X518" s="87">
        <v>0.433333</v>
      </c>
      <c r="Y518" s="87">
        <v>0.317391</v>
      </c>
      <c r="Z518" s="88" t="s">
        <v>1396</v>
      </c>
    </row>
    <row r="519" hidden="1">
      <c r="A519" s="90" t="s">
        <v>2071</v>
      </c>
      <c r="B519" s="90" t="s">
        <v>2089</v>
      </c>
      <c r="C519" s="90" t="s">
        <v>301</v>
      </c>
      <c r="D519" s="90" t="s">
        <v>302</v>
      </c>
      <c r="E519" s="86">
        <v>46300.0</v>
      </c>
      <c r="F519" s="87">
        <v>13.0</v>
      </c>
      <c r="G519" s="87">
        <v>0.0</v>
      </c>
      <c r="H519" s="87">
        <v>9651.0</v>
      </c>
      <c r="I519" s="87">
        <v>0.0</v>
      </c>
      <c r="J519" s="87">
        <v>118.3432</v>
      </c>
      <c r="K519" s="87">
        <v>121.0435</v>
      </c>
      <c r="L519" s="87">
        <v>116.4202</v>
      </c>
      <c r="M519" s="87">
        <v>56.39703</v>
      </c>
      <c r="N519" s="87">
        <v>0.465923</v>
      </c>
      <c r="O519" s="87">
        <v>0.0</v>
      </c>
      <c r="P519" s="87">
        <v>2.483998</v>
      </c>
      <c r="Q519" s="87">
        <v>2.484157</v>
      </c>
      <c r="R519" s="87">
        <v>9.47611</v>
      </c>
      <c r="S519" s="87">
        <v>15.78739</v>
      </c>
      <c r="T519" s="87">
        <v>2.484157</v>
      </c>
      <c r="U519" s="87">
        <v>5.268581</v>
      </c>
      <c r="V519" s="87">
        <v>9.202078</v>
      </c>
      <c r="W519" s="87">
        <v>9.626339</v>
      </c>
      <c r="X519" s="87">
        <v>15.78739</v>
      </c>
      <c r="Y519" s="87">
        <v>9.311042</v>
      </c>
      <c r="Z519" s="88" t="s">
        <v>1396</v>
      </c>
    </row>
    <row r="520" hidden="1">
      <c r="A520" s="90" t="s">
        <v>2073</v>
      </c>
      <c r="B520" s="90" t="s">
        <v>2090</v>
      </c>
      <c r="C520" s="90" t="s">
        <v>301</v>
      </c>
      <c r="D520" s="90" t="s">
        <v>302</v>
      </c>
      <c r="E520" s="90" t="s">
        <v>1403</v>
      </c>
      <c r="F520" s="87">
        <v>7.0</v>
      </c>
      <c r="G520" s="87">
        <v>7.0</v>
      </c>
      <c r="H520" s="87">
        <v>826.0</v>
      </c>
      <c r="I520" s="87">
        <v>826.0</v>
      </c>
      <c r="J520" s="87">
        <v>0.0</v>
      </c>
      <c r="K520" s="87">
        <v>0.0</v>
      </c>
      <c r="L520" s="87">
        <v>0.0</v>
      </c>
      <c r="M520" s="87">
        <v>0.0</v>
      </c>
      <c r="N520" s="91"/>
      <c r="O520" s="87">
        <v>0.0</v>
      </c>
      <c r="P520" s="87">
        <v>0.0</v>
      </c>
      <c r="Q520" s="87">
        <v>0.0</v>
      </c>
      <c r="R520" s="87">
        <v>0.0</v>
      </c>
      <c r="S520" s="87">
        <v>0.0</v>
      </c>
      <c r="T520" s="91"/>
      <c r="U520" s="91"/>
      <c r="V520" s="91"/>
      <c r="W520" s="91"/>
      <c r="X520" s="91"/>
      <c r="Y520" s="87">
        <v>0.0</v>
      </c>
      <c r="Z520" s="88" t="s">
        <v>1396</v>
      </c>
    </row>
    <row r="521" hidden="1">
      <c r="A521" s="90" t="s">
        <v>2075</v>
      </c>
      <c r="B521" s="90" t="s">
        <v>2091</v>
      </c>
      <c r="C521" s="90" t="s">
        <v>301</v>
      </c>
      <c r="D521" s="90" t="s">
        <v>2092</v>
      </c>
      <c r="E521" s="90" t="s">
        <v>1426</v>
      </c>
      <c r="F521" s="87">
        <v>6.0</v>
      </c>
      <c r="G521" s="87">
        <v>3.0</v>
      </c>
      <c r="H521" s="87">
        <v>36.0</v>
      </c>
      <c r="I521" s="87">
        <v>18.0</v>
      </c>
      <c r="J521" s="87">
        <v>0.0</v>
      </c>
      <c r="K521" s="87">
        <v>0.0</v>
      </c>
      <c r="L521" s="87">
        <v>0.0</v>
      </c>
      <c r="M521" s="87">
        <v>0.0</v>
      </c>
      <c r="N521" s="91"/>
      <c r="O521" s="91"/>
      <c r="P521" s="91"/>
      <c r="Q521" s="91"/>
      <c r="R521" s="91"/>
      <c r="S521" s="91"/>
      <c r="T521" s="91"/>
      <c r="U521" s="91"/>
      <c r="V521" s="91"/>
      <c r="W521" s="91"/>
      <c r="X521" s="91"/>
      <c r="Y521" s="91"/>
      <c r="Z521" s="88" t="s">
        <v>1396</v>
      </c>
    </row>
    <row r="522" hidden="1">
      <c r="A522" s="90" t="s">
        <v>2062</v>
      </c>
      <c r="B522" s="90" t="s">
        <v>2093</v>
      </c>
      <c r="C522" s="90" t="s">
        <v>301</v>
      </c>
      <c r="D522" s="90" t="s">
        <v>2092</v>
      </c>
      <c r="E522" s="86">
        <v>46310.0</v>
      </c>
      <c r="F522" s="87">
        <v>14.0</v>
      </c>
      <c r="G522" s="87">
        <v>0.0</v>
      </c>
      <c r="H522" s="87">
        <v>21224.0</v>
      </c>
      <c r="I522" s="87">
        <v>0.0</v>
      </c>
      <c r="J522" s="87">
        <v>203.4525</v>
      </c>
      <c r="K522" s="87">
        <v>223.7008</v>
      </c>
      <c r="L522" s="87">
        <v>208.4726</v>
      </c>
      <c r="M522" s="87">
        <v>149.1091</v>
      </c>
      <c r="N522" s="87">
        <v>0.666556</v>
      </c>
      <c r="O522" s="87">
        <v>5.193283</v>
      </c>
      <c r="P522" s="87">
        <v>6.904895</v>
      </c>
      <c r="Q522" s="87">
        <v>8.063712</v>
      </c>
      <c r="R522" s="87">
        <v>10.84112</v>
      </c>
      <c r="S522" s="87">
        <v>20.94221</v>
      </c>
      <c r="T522" s="87">
        <v>5.193283</v>
      </c>
      <c r="U522" s="87">
        <v>6.904895</v>
      </c>
      <c r="V522" s="87">
        <v>8.063712</v>
      </c>
      <c r="W522" s="87">
        <v>10.84112</v>
      </c>
      <c r="X522" s="87">
        <v>20.94221</v>
      </c>
      <c r="Y522" s="87">
        <v>20.33643</v>
      </c>
      <c r="Z522" s="88" t="s">
        <v>1396</v>
      </c>
    </row>
    <row r="523" hidden="1">
      <c r="A523" s="90" t="s">
        <v>2065</v>
      </c>
      <c r="B523" s="90" t="s">
        <v>2094</v>
      </c>
      <c r="C523" s="90" t="s">
        <v>301</v>
      </c>
      <c r="D523" s="90" t="s">
        <v>2092</v>
      </c>
      <c r="E523" s="90" t="s">
        <v>1413</v>
      </c>
      <c r="F523" s="87">
        <v>13.0</v>
      </c>
      <c r="G523" s="87">
        <v>0.0</v>
      </c>
      <c r="H523" s="87">
        <v>8277.0</v>
      </c>
      <c r="I523" s="87">
        <v>0.0</v>
      </c>
      <c r="J523" s="87">
        <v>50.67428</v>
      </c>
      <c r="K523" s="87">
        <v>53.11387</v>
      </c>
      <c r="L523" s="87">
        <v>50.05851</v>
      </c>
      <c r="M523" s="87">
        <v>25.73404</v>
      </c>
      <c r="N523" s="87">
        <v>0.484507</v>
      </c>
      <c r="O523" s="87">
        <v>1.127818</v>
      </c>
      <c r="P523" s="87">
        <v>1.857944</v>
      </c>
      <c r="Q523" s="87">
        <v>1.969412</v>
      </c>
      <c r="R523" s="87">
        <v>4.73938</v>
      </c>
      <c r="S523" s="87">
        <v>6.65709</v>
      </c>
      <c r="T523" s="87">
        <v>1.127818</v>
      </c>
      <c r="U523" s="87">
        <v>1.857944</v>
      </c>
      <c r="V523" s="87">
        <v>1.969412</v>
      </c>
      <c r="W523" s="87">
        <v>4.73938</v>
      </c>
      <c r="X523" s="87">
        <v>6.65709</v>
      </c>
      <c r="Y523" s="87">
        <v>5.311387</v>
      </c>
      <c r="Z523" s="88" t="s">
        <v>1396</v>
      </c>
    </row>
    <row r="524" hidden="1">
      <c r="A524" s="90" t="s">
        <v>2067</v>
      </c>
      <c r="B524" s="90" t="s">
        <v>2095</v>
      </c>
      <c r="C524" s="90" t="s">
        <v>301</v>
      </c>
      <c r="D524" s="90" t="s">
        <v>2092</v>
      </c>
      <c r="E524" s="90" t="s">
        <v>1398</v>
      </c>
      <c r="F524" s="87">
        <v>10.0</v>
      </c>
      <c r="G524" s="87">
        <v>0.0</v>
      </c>
      <c r="H524" s="87">
        <v>7093.0</v>
      </c>
      <c r="I524" s="87">
        <v>0.0</v>
      </c>
      <c r="J524" s="87">
        <v>55.47781</v>
      </c>
      <c r="K524" s="87">
        <v>54.34869</v>
      </c>
      <c r="L524" s="87">
        <v>55.2733</v>
      </c>
      <c r="M524" s="87">
        <v>41.37082</v>
      </c>
      <c r="N524" s="87">
        <v>0.761211</v>
      </c>
      <c r="O524" s="87">
        <v>0.125</v>
      </c>
      <c r="P524" s="87">
        <v>0.929032</v>
      </c>
      <c r="Q524" s="87">
        <v>0.97957</v>
      </c>
      <c r="R524" s="87">
        <v>1.831005</v>
      </c>
      <c r="S524" s="87">
        <v>5.106191</v>
      </c>
      <c r="T524" s="87">
        <v>0.125</v>
      </c>
      <c r="U524" s="87">
        <v>0.929032</v>
      </c>
      <c r="V524" s="87">
        <v>0.97957</v>
      </c>
      <c r="W524" s="87">
        <v>1.831005</v>
      </c>
      <c r="X524" s="87">
        <v>5.106191</v>
      </c>
      <c r="Y524" s="87">
        <v>6.038743</v>
      </c>
      <c r="Z524" s="88" t="s">
        <v>1396</v>
      </c>
    </row>
    <row r="525" hidden="1">
      <c r="A525" s="90" t="s">
        <v>2069</v>
      </c>
      <c r="B525" s="90" t="s">
        <v>2096</v>
      </c>
      <c r="C525" s="90" t="s">
        <v>301</v>
      </c>
      <c r="D525" s="90" t="s">
        <v>2092</v>
      </c>
      <c r="E525" s="90" t="s">
        <v>1400</v>
      </c>
      <c r="F525" s="87">
        <v>9.0</v>
      </c>
      <c r="G525" s="87">
        <v>0.0</v>
      </c>
      <c r="H525" s="87">
        <v>2980.0</v>
      </c>
      <c r="I525" s="87">
        <v>0.0</v>
      </c>
      <c r="J525" s="87">
        <v>29.23816</v>
      </c>
      <c r="K525" s="87">
        <v>26.28536</v>
      </c>
      <c r="L525" s="87">
        <v>22.31028</v>
      </c>
      <c r="M525" s="87">
        <v>23.58669</v>
      </c>
      <c r="N525" s="87">
        <v>0.897332</v>
      </c>
      <c r="O525" s="87">
        <v>0.198925</v>
      </c>
      <c r="P525" s="87">
        <v>0.37404</v>
      </c>
      <c r="Q525" s="87">
        <v>0.423925</v>
      </c>
      <c r="R525" s="87">
        <v>0.595699</v>
      </c>
      <c r="S525" s="87">
        <v>0.630952</v>
      </c>
      <c r="T525" s="87">
        <v>0.198925</v>
      </c>
      <c r="U525" s="87">
        <v>0.37404</v>
      </c>
      <c r="V525" s="87">
        <v>0.423925</v>
      </c>
      <c r="W525" s="87">
        <v>0.595699</v>
      </c>
      <c r="X525" s="87">
        <v>0.630952</v>
      </c>
      <c r="Y525" s="87">
        <v>3.28567</v>
      </c>
      <c r="Z525" s="88" t="s">
        <v>1396</v>
      </c>
    </row>
    <row r="526" hidden="1">
      <c r="A526" s="90" t="s">
        <v>2071</v>
      </c>
      <c r="B526" s="90" t="s">
        <v>2097</v>
      </c>
      <c r="C526" s="90" t="s">
        <v>301</v>
      </c>
      <c r="D526" s="90" t="s">
        <v>2092</v>
      </c>
      <c r="E526" s="89">
        <v>46300.0</v>
      </c>
      <c r="F526" s="87">
        <v>17.0</v>
      </c>
      <c r="G526" s="87">
        <v>3.0</v>
      </c>
      <c r="H526" s="87">
        <v>7502.0</v>
      </c>
      <c r="I526" s="87">
        <v>7.0</v>
      </c>
      <c r="J526" s="87">
        <v>94.89182</v>
      </c>
      <c r="K526" s="87">
        <v>95.39361</v>
      </c>
      <c r="L526" s="87">
        <v>97.64412</v>
      </c>
      <c r="M526" s="87">
        <v>84.09605</v>
      </c>
      <c r="N526" s="87">
        <v>0.881569</v>
      </c>
      <c r="O526" s="87">
        <v>0.0</v>
      </c>
      <c r="P526" s="87">
        <v>0.0</v>
      </c>
      <c r="Q526" s="87">
        <v>0.0</v>
      </c>
      <c r="R526" s="87">
        <v>4.920936</v>
      </c>
      <c r="S526" s="87">
        <v>6.043287</v>
      </c>
      <c r="T526" s="87">
        <v>0.333333</v>
      </c>
      <c r="U526" s="87">
        <v>4.920936</v>
      </c>
      <c r="V526" s="87">
        <v>4.920936</v>
      </c>
      <c r="W526" s="87">
        <v>6.043287</v>
      </c>
      <c r="X526" s="87">
        <v>8.221788</v>
      </c>
      <c r="Y526" s="87">
        <v>11.9242</v>
      </c>
      <c r="Z526" s="88" t="s">
        <v>1396</v>
      </c>
    </row>
    <row r="527" hidden="1">
      <c r="A527" s="90" t="s">
        <v>2073</v>
      </c>
      <c r="B527" s="90" t="s">
        <v>2098</v>
      </c>
      <c r="C527" s="90" t="s">
        <v>301</v>
      </c>
      <c r="D527" s="90" t="s">
        <v>2092</v>
      </c>
      <c r="E527" s="90" t="s">
        <v>1403</v>
      </c>
      <c r="F527" s="87">
        <v>8.0</v>
      </c>
      <c r="G527" s="87">
        <v>8.0</v>
      </c>
      <c r="H527" s="87">
        <v>388.0</v>
      </c>
      <c r="I527" s="87">
        <v>388.0</v>
      </c>
      <c r="J527" s="87">
        <v>0.0</v>
      </c>
      <c r="K527" s="87">
        <v>0.0</v>
      </c>
      <c r="L527" s="87">
        <v>0.0</v>
      </c>
      <c r="M527" s="87">
        <v>0.0</v>
      </c>
      <c r="N527" s="91"/>
      <c r="O527" s="87">
        <v>0.0</v>
      </c>
      <c r="P527" s="87">
        <v>0.0</v>
      </c>
      <c r="Q527" s="87">
        <v>0.0</v>
      </c>
      <c r="R527" s="87">
        <v>0.0</v>
      </c>
      <c r="S527" s="87">
        <v>0.0</v>
      </c>
      <c r="T527" s="91"/>
      <c r="U527" s="91"/>
      <c r="V527" s="91"/>
      <c r="W527" s="91"/>
      <c r="X527" s="91"/>
      <c r="Y527" s="87">
        <v>0.0</v>
      </c>
      <c r="Z527" s="88" t="s">
        <v>1396</v>
      </c>
    </row>
    <row r="528" hidden="1">
      <c r="A528" s="90" t="s">
        <v>2101</v>
      </c>
      <c r="B528" s="90" t="s">
        <v>2102</v>
      </c>
      <c r="C528" s="90" t="s">
        <v>341</v>
      </c>
      <c r="D528" s="90" t="s">
        <v>342</v>
      </c>
      <c r="E528" s="86">
        <v>46310.0</v>
      </c>
      <c r="F528" s="87">
        <v>1.0</v>
      </c>
      <c r="G528" s="87">
        <v>0.0</v>
      </c>
      <c r="H528" s="87">
        <v>129.0</v>
      </c>
      <c r="I528" s="87">
        <v>0.0</v>
      </c>
      <c r="J528" s="87">
        <v>289.9199</v>
      </c>
      <c r="K528" s="87">
        <v>289.3735</v>
      </c>
      <c r="L528" s="87">
        <v>289.3735</v>
      </c>
      <c r="M528" s="87">
        <v>289.3735</v>
      </c>
      <c r="N528" s="87">
        <v>1.0</v>
      </c>
      <c r="O528" s="87">
        <v>0.0</v>
      </c>
      <c r="P528" s="87">
        <v>0.0</v>
      </c>
      <c r="Q528" s="87">
        <v>0.0</v>
      </c>
      <c r="R528" s="87">
        <v>289.3735</v>
      </c>
      <c r="S528" s="87">
        <v>289.3735</v>
      </c>
      <c r="T528" s="87">
        <v>289.3735</v>
      </c>
      <c r="U528" s="87">
        <v>289.3735</v>
      </c>
      <c r="V528" s="87">
        <v>289.3735</v>
      </c>
      <c r="W528" s="87">
        <v>289.3735</v>
      </c>
      <c r="X528" s="87">
        <v>289.3735</v>
      </c>
      <c r="Y528" s="87">
        <v>144.6867</v>
      </c>
      <c r="Z528" s="88" t="s">
        <v>1396</v>
      </c>
    </row>
    <row r="529" hidden="1">
      <c r="A529" s="90" t="s">
        <v>2103</v>
      </c>
      <c r="B529" s="90" t="s">
        <v>2104</v>
      </c>
      <c r="C529" s="90" t="s">
        <v>341</v>
      </c>
      <c r="D529" s="90" t="s">
        <v>342</v>
      </c>
      <c r="E529" s="90" t="s">
        <v>1413</v>
      </c>
      <c r="F529" s="87">
        <v>1.0</v>
      </c>
      <c r="G529" s="87">
        <v>0.0</v>
      </c>
      <c r="H529" s="87">
        <v>817.0</v>
      </c>
      <c r="I529" s="87">
        <v>0.0</v>
      </c>
      <c r="J529" s="87">
        <v>0.0</v>
      </c>
      <c r="K529" s="87">
        <v>0.0</v>
      </c>
      <c r="L529" s="87">
        <v>0.0</v>
      </c>
      <c r="M529" s="87">
        <v>0.0</v>
      </c>
      <c r="N529" s="91"/>
      <c r="O529" s="91"/>
      <c r="P529" s="91"/>
      <c r="Q529" s="91"/>
      <c r="R529" s="91"/>
      <c r="S529" s="91"/>
      <c r="T529" s="91"/>
      <c r="U529" s="91"/>
      <c r="V529" s="91"/>
      <c r="W529" s="91"/>
      <c r="X529" s="91"/>
      <c r="Y529" s="91"/>
      <c r="Z529" s="88" t="s">
        <v>1396</v>
      </c>
    </row>
    <row r="530" hidden="1">
      <c r="A530" s="90" t="s">
        <v>2111</v>
      </c>
      <c r="B530" s="90" t="s">
        <v>3327</v>
      </c>
      <c r="C530" s="90" t="s">
        <v>341</v>
      </c>
      <c r="D530" s="90" t="s">
        <v>342</v>
      </c>
      <c r="E530" s="90" t="s">
        <v>1398</v>
      </c>
      <c r="F530" s="87">
        <v>1.0</v>
      </c>
      <c r="G530" s="87">
        <v>0.0</v>
      </c>
      <c r="H530" s="87">
        <v>56.0</v>
      </c>
      <c r="I530" s="87">
        <v>0.0</v>
      </c>
      <c r="J530" s="87">
        <v>0.0</v>
      </c>
      <c r="K530" s="87">
        <v>0.0</v>
      </c>
      <c r="L530" s="87">
        <v>0.0</v>
      </c>
      <c r="M530" s="87">
        <v>0.0</v>
      </c>
      <c r="N530" s="91"/>
      <c r="O530" s="91"/>
      <c r="P530" s="91"/>
      <c r="Q530" s="91"/>
      <c r="R530" s="91"/>
      <c r="S530" s="91"/>
      <c r="T530" s="91"/>
      <c r="U530" s="91"/>
      <c r="V530" s="91"/>
      <c r="W530" s="91"/>
      <c r="X530" s="91"/>
      <c r="Y530" s="91"/>
      <c r="Z530" s="88" t="s">
        <v>1396</v>
      </c>
    </row>
    <row r="531" hidden="1">
      <c r="A531" s="90" t="s">
        <v>2105</v>
      </c>
      <c r="B531" s="90" t="s">
        <v>2106</v>
      </c>
      <c r="C531" s="90" t="s">
        <v>341</v>
      </c>
      <c r="D531" s="90" t="s">
        <v>342</v>
      </c>
      <c r="E531" s="90" t="s">
        <v>1400</v>
      </c>
      <c r="F531" s="87">
        <v>1.0</v>
      </c>
      <c r="G531" s="87">
        <v>0.0</v>
      </c>
      <c r="H531" s="87">
        <v>748.0</v>
      </c>
      <c r="I531" s="87">
        <v>0.0</v>
      </c>
      <c r="J531" s="87">
        <v>0.0</v>
      </c>
      <c r="K531" s="87">
        <v>0.0</v>
      </c>
      <c r="L531" s="87">
        <v>0.0</v>
      </c>
      <c r="M531" s="87">
        <v>0.0</v>
      </c>
      <c r="N531" s="91"/>
      <c r="O531" s="91"/>
      <c r="P531" s="91"/>
      <c r="Q531" s="91"/>
      <c r="R531" s="91"/>
      <c r="S531" s="91"/>
      <c r="T531" s="91"/>
      <c r="U531" s="91"/>
      <c r="V531" s="91"/>
      <c r="W531" s="91"/>
      <c r="X531" s="91"/>
      <c r="Y531" s="91"/>
      <c r="Z531" s="88" t="s">
        <v>1396</v>
      </c>
    </row>
    <row r="532" hidden="1">
      <c r="A532" s="90" t="s">
        <v>2107</v>
      </c>
      <c r="B532" s="90" t="s">
        <v>2108</v>
      </c>
      <c r="C532" s="90" t="s">
        <v>341</v>
      </c>
      <c r="D532" s="90" t="s">
        <v>342</v>
      </c>
      <c r="E532" s="89">
        <v>46300.0</v>
      </c>
      <c r="F532" s="87">
        <v>1.0</v>
      </c>
      <c r="G532" s="87">
        <v>0.0</v>
      </c>
      <c r="H532" s="87">
        <v>3374.0</v>
      </c>
      <c r="I532" s="87">
        <v>0.0</v>
      </c>
      <c r="J532" s="87">
        <v>291.8846</v>
      </c>
      <c r="K532" s="87">
        <v>214.6603</v>
      </c>
      <c r="L532" s="87">
        <v>160.3886</v>
      </c>
      <c r="M532" s="87">
        <v>214.6603</v>
      </c>
      <c r="N532" s="87">
        <v>1.0</v>
      </c>
      <c r="O532" s="87">
        <v>214.6603</v>
      </c>
      <c r="P532" s="87">
        <v>214.6603</v>
      </c>
      <c r="Q532" s="87">
        <v>214.6603</v>
      </c>
      <c r="R532" s="87">
        <v>214.6603</v>
      </c>
      <c r="S532" s="87">
        <v>214.6603</v>
      </c>
      <c r="T532" s="87">
        <v>214.6603</v>
      </c>
      <c r="U532" s="87">
        <v>214.6603</v>
      </c>
      <c r="V532" s="87">
        <v>214.6603</v>
      </c>
      <c r="W532" s="87">
        <v>214.6603</v>
      </c>
      <c r="X532" s="87">
        <v>214.6603</v>
      </c>
      <c r="Y532" s="87">
        <v>214.6603</v>
      </c>
      <c r="Z532" s="88" t="s">
        <v>1396</v>
      </c>
    </row>
    <row r="533" hidden="1">
      <c r="A533" s="90" t="s">
        <v>2109</v>
      </c>
      <c r="B533" s="90" t="s">
        <v>2110</v>
      </c>
      <c r="C533" s="90" t="s">
        <v>341</v>
      </c>
      <c r="D533" s="90" t="s">
        <v>342</v>
      </c>
      <c r="E533" s="90" t="s">
        <v>1403</v>
      </c>
      <c r="F533" s="87">
        <v>0.0</v>
      </c>
      <c r="G533" s="87">
        <v>0.0</v>
      </c>
      <c r="H533" s="87">
        <v>0.0</v>
      </c>
      <c r="I533" s="87">
        <v>0.0</v>
      </c>
      <c r="J533" s="87">
        <v>0.0</v>
      </c>
      <c r="K533" s="87">
        <v>0.0</v>
      </c>
      <c r="L533" s="87">
        <v>0.0</v>
      </c>
      <c r="M533" s="87">
        <v>0.0</v>
      </c>
      <c r="N533" s="91"/>
      <c r="O533" s="87">
        <v>0.0</v>
      </c>
      <c r="P533" s="87">
        <v>0.0</v>
      </c>
      <c r="Q533" s="87">
        <v>0.0</v>
      </c>
      <c r="R533" s="87">
        <v>0.0</v>
      </c>
      <c r="S533" s="87">
        <v>0.0</v>
      </c>
      <c r="T533" s="91"/>
      <c r="U533" s="91"/>
      <c r="V533" s="91"/>
      <c r="W533" s="91"/>
      <c r="X533" s="91"/>
      <c r="Y533" s="87">
        <v>0.0</v>
      </c>
      <c r="Z533" s="88" t="s">
        <v>1396</v>
      </c>
    </row>
    <row r="534" hidden="1">
      <c r="A534" s="90" t="s">
        <v>2105</v>
      </c>
      <c r="B534" s="90" t="s">
        <v>2113</v>
      </c>
      <c r="C534" s="90" t="s">
        <v>341</v>
      </c>
      <c r="D534" s="90" t="s">
        <v>345</v>
      </c>
      <c r="E534" s="90" t="s">
        <v>1400</v>
      </c>
      <c r="F534" s="87">
        <v>2.0</v>
      </c>
      <c r="G534" s="87">
        <v>0.0</v>
      </c>
      <c r="H534" s="87">
        <v>7074.0</v>
      </c>
      <c r="I534" s="87">
        <v>0.0</v>
      </c>
      <c r="J534" s="87">
        <v>99.50282</v>
      </c>
      <c r="K534" s="87">
        <v>126.8209</v>
      </c>
      <c r="L534" s="87">
        <v>87.91522</v>
      </c>
      <c r="M534" s="87">
        <v>126.8209</v>
      </c>
      <c r="N534" s="87">
        <v>1.0</v>
      </c>
      <c r="O534" s="87">
        <v>0.0</v>
      </c>
      <c r="P534" s="87">
        <v>0.0</v>
      </c>
      <c r="Q534" s="87">
        <v>0.0</v>
      </c>
      <c r="R534" s="87">
        <v>126.8209</v>
      </c>
      <c r="S534" s="87">
        <v>126.8209</v>
      </c>
      <c r="T534" s="87">
        <v>126.8209</v>
      </c>
      <c r="U534" s="87">
        <v>126.8209</v>
      </c>
      <c r="V534" s="87">
        <v>126.8209</v>
      </c>
      <c r="W534" s="87">
        <v>126.8209</v>
      </c>
      <c r="X534" s="87">
        <v>126.8209</v>
      </c>
      <c r="Y534" s="87">
        <v>63.41047</v>
      </c>
      <c r="Z534" s="88" t="s">
        <v>1396</v>
      </c>
    </row>
    <row r="535" hidden="1">
      <c r="A535" s="90" t="s">
        <v>2109</v>
      </c>
      <c r="B535" s="90" t="s">
        <v>2114</v>
      </c>
      <c r="C535" s="90" t="s">
        <v>341</v>
      </c>
      <c r="D535" s="90" t="s">
        <v>345</v>
      </c>
      <c r="E535" s="90" t="s">
        <v>1403</v>
      </c>
      <c r="F535" s="87">
        <v>2.0</v>
      </c>
      <c r="G535" s="87">
        <v>2.0</v>
      </c>
      <c r="H535" s="87">
        <v>91.0</v>
      </c>
      <c r="I535" s="87">
        <v>91.0</v>
      </c>
      <c r="J535" s="87">
        <v>0.0</v>
      </c>
      <c r="K535" s="87">
        <v>0.0</v>
      </c>
      <c r="L535" s="87">
        <v>0.0</v>
      </c>
      <c r="M535" s="87">
        <v>0.0</v>
      </c>
      <c r="N535" s="91"/>
      <c r="O535" s="87">
        <v>0.0</v>
      </c>
      <c r="P535" s="87">
        <v>0.0</v>
      </c>
      <c r="Q535" s="87">
        <v>0.0</v>
      </c>
      <c r="R535" s="87">
        <v>0.0</v>
      </c>
      <c r="S535" s="87">
        <v>0.0</v>
      </c>
      <c r="T535" s="91"/>
      <c r="U535" s="91"/>
      <c r="V535" s="91"/>
      <c r="W535" s="91"/>
      <c r="X535" s="91"/>
      <c r="Y535" s="87">
        <v>0.0</v>
      </c>
      <c r="Z535" s="88" t="s">
        <v>1396</v>
      </c>
    </row>
    <row r="536" hidden="1">
      <c r="A536" s="90" t="s">
        <v>2101</v>
      </c>
      <c r="B536" s="90" t="s">
        <v>2115</v>
      </c>
      <c r="C536" s="90" t="s">
        <v>341</v>
      </c>
      <c r="D536" s="90" t="s">
        <v>353</v>
      </c>
      <c r="E536" s="86">
        <v>46310.0</v>
      </c>
      <c r="F536" s="87">
        <v>3.0</v>
      </c>
      <c r="G536" s="87">
        <v>0.0</v>
      </c>
      <c r="H536" s="87">
        <v>10919.0</v>
      </c>
      <c r="I536" s="87">
        <v>0.0</v>
      </c>
      <c r="J536" s="87">
        <v>0.0</v>
      </c>
      <c r="K536" s="87">
        <v>0.0</v>
      </c>
      <c r="L536" s="87">
        <v>0.0</v>
      </c>
      <c r="M536" s="87">
        <v>0.0</v>
      </c>
      <c r="N536" s="91"/>
      <c r="O536" s="87">
        <v>0.0</v>
      </c>
      <c r="P536" s="87">
        <v>0.0</v>
      </c>
      <c r="Q536" s="87">
        <v>0.0</v>
      </c>
      <c r="R536" s="87">
        <v>0.0</v>
      </c>
      <c r="S536" s="87">
        <v>0.0</v>
      </c>
      <c r="T536" s="91"/>
      <c r="U536" s="91"/>
      <c r="V536" s="91"/>
      <c r="W536" s="91"/>
      <c r="X536" s="91"/>
      <c r="Y536" s="87">
        <v>0.0</v>
      </c>
      <c r="Z536" s="88" t="s">
        <v>1396</v>
      </c>
    </row>
    <row r="537" hidden="1">
      <c r="A537" s="90" t="s">
        <v>2103</v>
      </c>
      <c r="B537" s="90" t="s">
        <v>2116</v>
      </c>
      <c r="C537" s="90" t="s">
        <v>341</v>
      </c>
      <c r="D537" s="90" t="s">
        <v>353</v>
      </c>
      <c r="E537" s="90" t="s">
        <v>1413</v>
      </c>
      <c r="F537" s="87">
        <v>1.0</v>
      </c>
      <c r="G537" s="87">
        <v>0.0</v>
      </c>
      <c r="H537" s="87">
        <v>5677.0</v>
      </c>
      <c r="I537" s="87">
        <v>0.0</v>
      </c>
      <c r="J537" s="87">
        <v>0.0</v>
      </c>
      <c r="K537" s="87">
        <v>0.0</v>
      </c>
      <c r="L537" s="87">
        <v>0.0</v>
      </c>
      <c r="M537" s="87">
        <v>0.0</v>
      </c>
      <c r="N537" s="91"/>
      <c r="O537" s="91"/>
      <c r="P537" s="91"/>
      <c r="Q537" s="91"/>
      <c r="R537" s="91"/>
      <c r="S537" s="91"/>
      <c r="T537" s="91"/>
      <c r="U537" s="91"/>
      <c r="V537" s="91"/>
      <c r="W537" s="91"/>
      <c r="X537" s="91"/>
      <c r="Y537" s="91"/>
      <c r="Z537" s="88" t="s">
        <v>1396</v>
      </c>
    </row>
    <row r="538" hidden="1">
      <c r="A538" s="90" t="s">
        <v>2111</v>
      </c>
      <c r="B538" s="90" t="s">
        <v>2117</v>
      </c>
      <c r="C538" s="90" t="s">
        <v>341</v>
      </c>
      <c r="D538" s="90" t="s">
        <v>353</v>
      </c>
      <c r="E538" s="90" t="s">
        <v>1398</v>
      </c>
      <c r="F538" s="87">
        <v>1.0</v>
      </c>
      <c r="G538" s="87">
        <v>0.0</v>
      </c>
      <c r="H538" s="87">
        <v>969.0</v>
      </c>
      <c r="I538" s="87">
        <v>0.0</v>
      </c>
      <c r="J538" s="87">
        <v>0.0</v>
      </c>
      <c r="K538" s="87">
        <v>0.0</v>
      </c>
      <c r="L538" s="87">
        <v>0.0</v>
      </c>
      <c r="M538" s="87">
        <v>0.0</v>
      </c>
      <c r="N538" s="91"/>
      <c r="O538" s="87">
        <v>0.0</v>
      </c>
      <c r="P538" s="87">
        <v>0.0</v>
      </c>
      <c r="Q538" s="87">
        <v>0.0</v>
      </c>
      <c r="R538" s="87">
        <v>0.0</v>
      </c>
      <c r="S538" s="87">
        <v>0.0</v>
      </c>
      <c r="T538" s="91"/>
      <c r="U538" s="91"/>
      <c r="V538" s="91"/>
      <c r="W538" s="91"/>
      <c r="X538" s="91"/>
      <c r="Y538" s="87">
        <v>0.0</v>
      </c>
      <c r="Z538" s="88" t="s">
        <v>1396</v>
      </c>
    </row>
    <row r="539" hidden="1">
      <c r="A539" s="90" t="s">
        <v>2105</v>
      </c>
      <c r="B539" s="90" t="s">
        <v>2118</v>
      </c>
      <c r="C539" s="90" t="s">
        <v>341</v>
      </c>
      <c r="D539" s="90" t="s">
        <v>353</v>
      </c>
      <c r="E539" s="90" t="s">
        <v>1400</v>
      </c>
      <c r="F539" s="87">
        <v>2.0</v>
      </c>
      <c r="G539" s="87">
        <v>0.0</v>
      </c>
      <c r="H539" s="87">
        <v>2353.0</v>
      </c>
      <c r="I539" s="87">
        <v>0.0</v>
      </c>
      <c r="J539" s="87">
        <v>45.59158</v>
      </c>
      <c r="K539" s="87">
        <v>42.88627</v>
      </c>
      <c r="L539" s="87">
        <v>40.1273</v>
      </c>
      <c r="M539" s="87">
        <v>42.88627</v>
      </c>
      <c r="N539" s="87">
        <v>1.0</v>
      </c>
      <c r="O539" s="87">
        <v>42.88627</v>
      </c>
      <c r="P539" s="87">
        <v>42.88627</v>
      </c>
      <c r="Q539" s="87">
        <v>42.88627</v>
      </c>
      <c r="R539" s="87">
        <v>42.88627</v>
      </c>
      <c r="S539" s="87">
        <v>42.88627</v>
      </c>
      <c r="T539" s="87">
        <v>42.88627</v>
      </c>
      <c r="U539" s="87">
        <v>42.88627</v>
      </c>
      <c r="V539" s="87">
        <v>42.88627</v>
      </c>
      <c r="W539" s="87">
        <v>42.88627</v>
      </c>
      <c r="X539" s="87">
        <v>42.88627</v>
      </c>
      <c r="Y539" s="87">
        <v>42.88627</v>
      </c>
      <c r="Z539" s="88" t="s">
        <v>1396</v>
      </c>
    </row>
    <row r="540" hidden="1">
      <c r="A540" s="90" t="s">
        <v>2107</v>
      </c>
      <c r="B540" s="90" t="s">
        <v>2119</v>
      </c>
      <c r="C540" s="90" t="s">
        <v>341</v>
      </c>
      <c r="D540" s="90" t="s">
        <v>353</v>
      </c>
      <c r="E540" s="89">
        <v>46300.0</v>
      </c>
      <c r="F540" s="87">
        <v>3.0</v>
      </c>
      <c r="G540" s="87">
        <v>0.0</v>
      </c>
      <c r="H540" s="87">
        <v>20155.0</v>
      </c>
      <c r="I540" s="87">
        <v>0.0</v>
      </c>
      <c r="J540" s="87">
        <v>503.4107</v>
      </c>
      <c r="K540" s="87">
        <v>374.6175</v>
      </c>
      <c r="L540" s="87">
        <v>286.396</v>
      </c>
      <c r="M540" s="87">
        <v>374.6175</v>
      </c>
      <c r="N540" s="87">
        <v>1.0</v>
      </c>
      <c r="O540" s="87">
        <v>0.0</v>
      </c>
      <c r="P540" s="87">
        <v>0.0</v>
      </c>
      <c r="Q540" s="87">
        <v>0.0</v>
      </c>
      <c r="R540" s="87">
        <v>0.0</v>
      </c>
      <c r="S540" s="87">
        <v>374.6175</v>
      </c>
      <c r="T540" s="87">
        <v>374.6175</v>
      </c>
      <c r="U540" s="87">
        <v>374.6175</v>
      </c>
      <c r="V540" s="87">
        <v>374.6175</v>
      </c>
      <c r="W540" s="87">
        <v>374.6175</v>
      </c>
      <c r="X540" s="87">
        <v>374.6175</v>
      </c>
      <c r="Y540" s="87">
        <v>124.8725</v>
      </c>
      <c r="Z540" s="88" t="s">
        <v>1396</v>
      </c>
    </row>
    <row r="541" hidden="1">
      <c r="A541" s="90" t="s">
        <v>2109</v>
      </c>
      <c r="B541" s="90" t="s">
        <v>2120</v>
      </c>
      <c r="C541" s="90" t="s">
        <v>341</v>
      </c>
      <c r="D541" s="90" t="s">
        <v>353</v>
      </c>
      <c r="E541" s="90" t="s">
        <v>1403</v>
      </c>
      <c r="F541" s="87">
        <v>4.0</v>
      </c>
      <c r="G541" s="87">
        <v>4.0</v>
      </c>
      <c r="H541" s="87">
        <v>10.0</v>
      </c>
      <c r="I541" s="87">
        <v>10.0</v>
      </c>
      <c r="J541" s="87">
        <v>0.0</v>
      </c>
      <c r="K541" s="87">
        <v>0.0</v>
      </c>
      <c r="L541" s="87">
        <v>0.0</v>
      </c>
      <c r="M541" s="87">
        <v>0.0</v>
      </c>
      <c r="N541" s="91"/>
      <c r="O541" s="87">
        <v>0.0</v>
      </c>
      <c r="P541" s="87">
        <v>0.0</v>
      </c>
      <c r="Q541" s="87">
        <v>0.0</v>
      </c>
      <c r="R541" s="87">
        <v>0.0</v>
      </c>
      <c r="S541" s="87">
        <v>0.0</v>
      </c>
      <c r="T541" s="91"/>
      <c r="U541" s="91"/>
      <c r="V541" s="91"/>
      <c r="W541" s="91"/>
      <c r="X541" s="91"/>
      <c r="Y541" s="87">
        <v>0.0</v>
      </c>
      <c r="Z541" s="88" t="s">
        <v>1396</v>
      </c>
    </row>
    <row r="542" hidden="1">
      <c r="A542" s="90" t="s">
        <v>2123</v>
      </c>
      <c r="B542" s="90" t="s">
        <v>2124</v>
      </c>
      <c r="C542" s="90" t="s">
        <v>2122</v>
      </c>
      <c r="D542" s="90" t="s">
        <v>2125</v>
      </c>
      <c r="E542" s="90" t="s">
        <v>1400</v>
      </c>
      <c r="F542" s="87">
        <v>6.0</v>
      </c>
      <c r="G542" s="87">
        <v>6.0</v>
      </c>
      <c r="H542" s="87">
        <v>6.0</v>
      </c>
      <c r="I542" s="87">
        <v>6.0</v>
      </c>
      <c r="J542" s="87">
        <v>0.0</v>
      </c>
      <c r="K542" s="87">
        <v>0.0</v>
      </c>
      <c r="L542" s="87">
        <v>0.0</v>
      </c>
      <c r="M542" s="87">
        <v>0.0</v>
      </c>
      <c r="N542" s="91"/>
      <c r="O542" s="87">
        <v>0.0</v>
      </c>
      <c r="P542" s="87">
        <v>0.0</v>
      </c>
      <c r="Q542" s="87">
        <v>0.0</v>
      </c>
      <c r="R542" s="87">
        <v>0.0</v>
      </c>
      <c r="S542" s="87">
        <v>0.0</v>
      </c>
      <c r="T542" s="91"/>
      <c r="U542" s="91"/>
      <c r="V542" s="91"/>
      <c r="W542" s="91"/>
      <c r="X542" s="91"/>
      <c r="Y542" s="87">
        <v>0.0</v>
      </c>
      <c r="Z542" s="88" t="s">
        <v>1396</v>
      </c>
    </row>
    <row r="543" hidden="1">
      <c r="A543" s="90" t="s">
        <v>2121</v>
      </c>
      <c r="B543" s="90" t="s">
        <v>3328</v>
      </c>
      <c r="C543" s="90" t="s">
        <v>2122</v>
      </c>
      <c r="D543" s="90" t="s">
        <v>2125</v>
      </c>
      <c r="E543" s="90" t="s">
        <v>1403</v>
      </c>
      <c r="F543" s="87">
        <v>2.0</v>
      </c>
      <c r="G543" s="87">
        <v>2.0</v>
      </c>
      <c r="H543" s="87">
        <v>4.0</v>
      </c>
      <c r="I543" s="87">
        <v>4.0</v>
      </c>
      <c r="J543" s="87">
        <v>0.0</v>
      </c>
      <c r="K543" s="87">
        <v>0.0</v>
      </c>
      <c r="L543" s="87">
        <v>0.0</v>
      </c>
      <c r="M543" s="87">
        <v>0.0</v>
      </c>
      <c r="N543" s="91"/>
      <c r="O543" s="91"/>
      <c r="P543" s="91"/>
      <c r="Q543" s="91"/>
      <c r="R543" s="91"/>
      <c r="S543" s="91"/>
      <c r="T543" s="91"/>
      <c r="U543" s="91"/>
      <c r="V543" s="91"/>
      <c r="W543" s="91"/>
      <c r="X543" s="91"/>
      <c r="Y543" s="91"/>
      <c r="Z543" s="88" t="s">
        <v>1396</v>
      </c>
    </row>
    <row r="544" hidden="1">
      <c r="A544" s="90" t="s">
        <v>3329</v>
      </c>
      <c r="B544" s="90" t="s">
        <v>3330</v>
      </c>
      <c r="C544" s="90" t="s">
        <v>3331</v>
      </c>
      <c r="D544" s="90" t="s">
        <v>3332</v>
      </c>
      <c r="E544" s="90" t="s">
        <v>1400</v>
      </c>
      <c r="F544" s="87">
        <v>5.0</v>
      </c>
      <c r="G544" s="87">
        <v>5.0</v>
      </c>
      <c r="H544" s="87">
        <v>15.0</v>
      </c>
      <c r="I544" s="87">
        <v>15.0</v>
      </c>
      <c r="J544" s="87">
        <v>0.0</v>
      </c>
      <c r="K544" s="87">
        <v>0.0</v>
      </c>
      <c r="L544" s="87">
        <v>0.0</v>
      </c>
      <c r="M544" s="87">
        <v>0.0</v>
      </c>
      <c r="N544" s="91"/>
      <c r="O544" s="91"/>
      <c r="P544" s="91"/>
      <c r="Q544" s="91"/>
      <c r="R544" s="91"/>
      <c r="S544" s="91"/>
      <c r="T544" s="91"/>
      <c r="U544" s="91"/>
      <c r="V544" s="91"/>
      <c r="W544" s="91"/>
      <c r="X544" s="91"/>
      <c r="Y544" s="91"/>
      <c r="Z544" s="88" t="s">
        <v>1396</v>
      </c>
    </row>
    <row r="545" hidden="1">
      <c r="A545" s="90" t="s">
        <v>3333</v>
      </c>
      <c r="B545" s="90" t="s">
        <v>3334</v>
      </c>
      <c r="C545" s="90" t="s">
        <v>3331</v>
      </c>
      <c r="D545" s="90" t="s">
        <v>3332</v>
      </c>
      <c r="E545" s="90" t="s">
        <v>1403</v>
      </c>
      <c r="F545" s="87">
        <v>17.0</v>
      </c>
      <c r="G545" s="87">
        <v>17.0</v>
      </c>
      <c r="H545" s="87">
        <v>47.0</v>
      </c>
      <c r="I545" s="87">
        <v>47.0</v>
      </c>
      <c r="J545" s="87">
        <v>0.0</v>
      </c>
      <c r="K545" s="87">
        <v>0.0</v>
      </c>
      <c r="L545" s="87">
        <v>0.0</v>
      </c>
      <c r="M545" s="87">
        <v>0.0</v>
      </c>
      <c r="N545" s="91"/>
      <c r="O545" s="91"/>
      <c r="P545" s="91"/>
      <c r="Q545" s="91"/>
      <c r="R545" s="91"/>
      <c r="S545" s="91"/>
      <c r="T545" s="91"/>
      <c r="U545" s="91"/>
      <c r="V545" s="91"/>
      <c r="W545" s="91"/>
      <c r="X545" s="91"/>
      <c r="Y545" s="91"/>
      <c r="Z545" s="88" t="s">
        <v>1396</v>
      </c>
    </row>
    <row r="546" hidden="1">
      <c r="A546" s="90" t="s">
        <v>2126</v>
      </c>
      <c r="B546" s="90" t="s">
        <v>2127</v>
      </c>
      <c r="C546" s="90" t="s">
        <v>357</v>
      </c>
      <c r="D546" s="90" t="s">
        <v>920</v>
      </c>
      <c r="E546" s="90" t="s">
        <v>1398</v>
      </c>
      <c r="F546" s="87">
        <v>1.0</v>
      </c>
      <c r="G546" s="87">
        <v>0.0</v>
      </c>
      <c r="H546" s="87">
        <v>79.0</v>
      </c>
      <c r="I546" s="87">
        <v>0.0</v>
      </c>
      <c r="J546" s="87">
        <v>5.855517</v>
      </c>
      <c r="K546" s="87">
        <v>6.409657</v>
      </c>
      <c r="L546" s="87">
        <v>6.856138</v>
      </c>
      <c r="M546" s="87">
        <v>6.409657</v>
      </c>
      <c r="N546" s="87">
        <v>1.0</v>
      </c>
      <c r="O546" s="87">
        <v>0.0</v>
      </c>
      <c r="P546" s="87">
        <v>0.0</v>
      </c>
      <c r="Q546" s="87">
        <v>0.0</v>
      </c>
      <c r="R546" s="87">
        <v>6.409657</v>
      </c>
      <c r="S546" s="87">
        <v>6.409657</v>
      </c>
      <c r="T546" s="87">
        <v>6.409657</v>
      </c>
      <c r="U546" s="87">
        <v>6.409657</v>
      </c>
      <c r="V546" s="87">
        <v>6.409657</v>
      </c>
      <c r="W546" s="87">
        <v>6.409657</v>
      </c>
      <c r="X546" s="87">
        <v>6.409657</v>
      </c>
      <c r="Y546" s="87">
        <v>3.204829</v>
      </c>
      <c r="Z546" s="88" t="s">
        <v>1396</v>
      </c>
    </row>
    <row r="547" hidden="1">
      <c r="A547" s="90" t="s">
        <v>2128</v>
      </c>
      <c r="B547" s="90" t="s">
        <v>2129</v>
      </c>
      <c r="C547" s="90" t="s">
        <v>357</v>
      </c>
      <c r="D547" s="90" t="s">
        <v>920</v>
      </c>
      <c r="E547" s="90" t="s">
        <v>1400</v>
      </c>
      <c r="F547" s="87">
        <v>3.0</v>
      </c>
      <c r="G547" s="87">
        <v>0.0</v>
      </c>
      <c r="H547" s="87">
        <v>283.0</v>
      </c>
      <c r="I547" s="87">
        <v>0.0</v>
      </c>
      <c r="J547" s="87">
        <v>32.67516</v>
      </c>
      <c r="K547" s="87">
        <v>46.17425</v>
      </c>
      <c r="L547" s="87">
        <v>48.67729</v>
      </c>
      <c r="M547" s="87">
        <v>29.3619</v>
      </c>
      <c r="N547" s="87">
        <v>0.635894</v>
      </c>
      <c r="O547" s="87">
        <v>0.0</v>
      </c>
      <c r="P547" s="87">
        <v>0.0</v>
      </c>
      <c r="Q547" s="87">
        <v>0.0</v>
      </c>
      <c r="R547" s="87">
        <v>6.5</v>
      </c>
      <c r="S547" s="87">
        <v>7.166667</v>
      </c>
      <c r="T547" s="87">
        <v>3.145675</v>
      </c>
      <c r="U547" s="87">
        <v>6.5</v>
      </c>
      <c r="V547" s="87">
        <v>6.5</v>
      </c>
      <c r="W547" s="87">
        <v>7.166667</v>
      </c>
      <c r="X547" s="87">
        <v>13.65896</v>
      </c>
      <c r="Y547" s="87">
        <v>5.771781</v>
      </c>
      <c r="Z547" s="88" t="s">
        <v>1396</v>
      </c>
    </row>
    <row r="548" hidden="1">
      <c r="A548" s="90" t="s">
        <v>2130</v>
      </c>
      <c r="B548" s="90" t="s">
        <v>2131</v>
      </c>
      <c r="C548" s="90" t="s">
        <v>357</v>
      </c>
      <c r="D548" s="90" t="s">
        <v>920</v>
      </c>
      <c r="E548" s="90" t="s">
        <v>1403</v>
      </c>
      <c r="F548" s="87">
        <v>1.0</v>
      </c>
      <c r="G548" s="87">
        <v>1.0</v>
      </c>
      <c r="H548" s="87">
        <v>6.0</v>
      </c>
      <c r="I548" s="87">
        <v>6.0</v>
      </c>
      <c r="J548" s="87">
        <v>0.0</v>
      </c>
      <c r="K548" s="87">
        <v>0.0</v>
      </c>
      <c r="L548" s="87">
        <v>0.0</v>
      </c>
      <c r="M548" s="87">
        <v>0.0</v>
      </c>
      <c r="N548" s="91"/>
      <c r="O548" s="87">
        <v>0.0</v>
      </c>
      <c r="P548" s="87">
        <v>0.0</v>
      </c>
      <c r="Q548" s="87">
        <v>0.0</v>
      </c>
      <c r="R548" s="87">
        <v>0.0</v>
      </c>
      <c r="S548" s="87">
        <v>0.0</v>
      </c>
      <c r="T548" s="91"/>
      <c r="U548" s="91"/>
      <c r="V548" s="91"/>
      <c r="W548" s="91"/>
      <c r="X548" s="91"/>
      <c r="Y548" s="87">
        <v>0.0</v>
      </c>
      <c r="Z548" s="88" t="s">
        <v>1396</v>
      </c>
    </row>
    <row r="549" hidden="1">
      <c r="A549" s="90" t="s">
        <v>2132</v>
      </c>
      <c r="B549" s="90" t="s">
        <v>2133</v>
      </c>
      <c r="C549" s="90" t="s">
        <v>357</v>
      </c>
      <c r="D549" s="90" t="s">
        <v>358</v>
      </c>
      <c r="E549" s="90" t="s">
        <v>1426</v>
      </c>
      <c r="F549" s="87">
        <v>1.0</v>
      </c>
      <c r="G549" s="87">
        <v>0.0</v>
      </c>
      <c r="H549" s="87">
        <v>538.0</v>
      </c>
      <c r="I549" s="87">
        <v>0.0</v>
      </c>
      <c r="J549" s="87">
        <v>0.0</v>
      </c>
      <c r="K549" s="87">
        <v>0.0</v>
      </c>
      <c r="L549" s="87">
        <v>0.0</v>
      </c>
      <c r="M549" s="87">
        <v>0.0</v>
      </c>
      <c r="N549" s="91"/>
      <c r="O549" s="91"/>
      <c r="P549" s="91"/>
      <c r="Q549" s="91"/>
      <c r="R549" s="91"/>
      <c r="S549" s="91"/>
      <c r="T549" s="91"/>
      <c r="U549" s="91"/>
      <c r="V549" s="91"/>
      <c r="W549" s="91"/>
      <c r="X549" s="91"/>
      <c r="Y549" s="91"/>
      <c r="Z549" s="88" t="s">
        <v>1396</v>
      </c>
    </row>
    <row r="550" hidden="1">
      <c r="A550" s="90" t="s">
        <v>3335</v>
      </c>
      <c r="B550" s="90" t="s">
        <v>3336</v>
      </c>
      <c r="C550" s="90" t="s">
        <v>357</v>
      </c>
      <c r="D550" s="90" t="s">
        <v>358</v>
      </c>
      <c r="E550" s="86">
        <v>46310.0</v>
      </c>
      <c r="F550" s="87">
        <v>2.0</v>
      </c>
      <c r="G550" s="87">
        <v>0.0</v>
      </c>
      <c r="H550" s="87">
        <v>171.0</v>
      </c>
      <c r="I550" s="87">
        <v>0.0</v>
      </c>
      <c r="J550" s="87">
        <v>0.0</v>
      </c>
      <c r="K550" s="87">
        <v>0.0</v>
      </c>
      <c r="L550" s="87">
        <v>0.0</v>
      </c>
      <c r="M550" s="87">
        <v>0.0</v>
      </c>
      <c r="N550" s="91"/>
      <c r="O550" s="91"/>
      <c r="P550" s="91"/>
      <c r="Q550" s="91"/>
      <c r="R550" s="91"/>
      <c r="S550" s="91"/>
      <c r="T550" s="91"/>
      <c r="U550" s="91"/>
      <c r="V550" s="91"/>
      <c r="W550" s="91"/>
      <c r="X550" s="91"/>
      <c r="Y550" s="91"/>
      <c r="Z550" s="88" t="s">
        <v>1396</v>
      </c>
    </row>
    <row r="551" hidden="1">
      <c r="A551" s="90" t="s">
        <v>2134</v>
      </c>
      <c r="B551" s="90" t="s">
        <v>2135</v>
      </c>
      <c r="C551" s="90" t="s">
        <v>357</v>
      </c>
      <c r="D551" s="90" t="s">
        <v>358</v>
      </c>
      <c r="E551" s="89">
        <v>46300.0</v>
      </c>
      <c r="F551" s="87">
        <v>4.0</v>
      </c>
      <c r="G551" s="87">
        <v>0.0</v>
      </c>
      <c r="H551" s="87">
        <v>1949.0</v>
      </c>
      <c r="I551" s="87">
        <v>0.0</v>
      </c>
      <c r="J551" s="87">
        <v>0.0</v>
      </c>
      <c r="K551" s="87">
        <v>0.0</v>
      </c>
      <c r="L551" s="87">
        <v>0.0</v>
      </c>
      <c r="M551" s="87">
        <v>0.0</v>
      </c>
      <c r="N551" s="91"/>
      <c r="O551" s="91"/>
      <c r="P551" s="91"/>
      <c r="Q551" s="91"/>
      <c r="R551" s="91"/>
      <c r="S551" s="91"/>
      <c r="T551" s="91"/>
      <c r="U551" s="91"/>
      <c r="V551" s="91"/>
      <c r="W551" s="91"/>
      <c r="X551" s="91"/>
      <c r="Y551" s="91"/>
      <c r="Z551" s="88" t="s">
        <v>1396</v>
      </c>
    </row>
    <row r="552" hidden="1">
      <c r="A552" s="90" t="s">
        <v>2130</v>
      </c>
      <c r="B552" s="90" t="s">
        <v>2136</v>
      </c>
      <c r="C552" s="90" t="s">
        <v>357</v>
      </c>
      <c r="D552" s="90" t="s">
        <v>2137</v>
      </c>
      <c r="E552" s="90" t="s">
        <v>1403</v>
      </c>
      <c r="F552" s="87">
        <v>0.0</v>
      </c>
      <c r="G552" s="87">
        <v>0.0</v>
      </c>
      <c r="H552" s="87">
        <v>0.0</v>
      </c>
      <c r="I552" s="87">
        <v>0.0</v>
      </c>
      <c r="J552" s="87">
        <v>0.0</v>
      </c>
      <c r="K552" s="87">
        <v>0.0</v>
      </c>
      <c r="L552" s="87">
        <v>0.0</v>
      </c>
      <c r="M552" s="87">
        <v>0.0</v>
      </c>
      <c r="N552" s="91"/>
      <c r="O552" s="87">
        <v>0.0</v>
      </c>
      <c r="P552" s="87">
        <v>0.0</v>
      </c>
      <c r="Q552" s="87">
        <v>0.0</v>
      </c>
      <c r="R552" s="87">
        <v>0.0</v>
      </c>
      <c r="S552" s="87">
        <v>0.0</v>
      </c>
      <c r="T552" s="91"/>
      <c r="U552" s="91"/>
      <c r="V552" s="91"/>
      <c r="W552" s="91"/>
      <c r="X552" s="91"/>
      <c r="Y552" s="87">
        <v>0.0</v>
      </c>
      <c r="Z552" s="88" t="s">
        <v>1396</v>
      </c>
    </row>
    <row r="553" hidden="1">
      <c r="A553" s="90" t="s">
        <v>2128</v>
      </c>
      <c r="B553" s="90" t="s">
        <v>2138</v>
      </c>
      <c r="C553" s="90" t="s">
        <v>357</v>
      </c>
      <c r="D553" s="90" t="s">
        <v>2139</v>
      </c>
      <c r="E553" s="90" t="s">
        <v>1400</v>
      </c>
      <c r="F553" s="87">
        <v>0.0</v>
      </c>
      <c r="G553" s="87">
        <v>0.0</v>
      </c>
      <c r="H553" s="87">
        <v>0.0</v>
      </c>
      <c r="I553" s="87">
        <v>0.0</v>
      </c>
      <c r="J553" s="87">
        <v>0.0</v>
      </c>
      <c r="K553" s="87">
        <v>0.0</v>
      </c>
      <c r="L553" s="87">
        <v>0.0</v>
      </c>
      <c r="M553" s="87">
        <v>0.0</v>
      </c>
      <c r="N553" s="91"/>
      <c r="O553" s="87">
        <v>0.0</v>
      </c>
      <c r="P553" s="87">
        <v>0.0</v>
      </c>
      <c r="Q553" s="87">
        <v>0.0</v>
      </c>
      <c r="R553" s="87">
        <v>0.0</v>
      </c>
      <c r="S553" s="87">
        <v>0.0</v>
      </c>
      <c r="T553" s="91"/>
      <c r="U553" s="91"/>
      <c r="V553" s="91"/>
      <c r="W553" s="91"/>
      <c r="X553" s="91"/>
      <c r="Y553" s="87">
        <v>0.0</v>
      </c>
      <c r="Z553" s="88" t="s">
        <v>1396</v>
      </c>
    </row>
    <row r="554" hidden="1">
      <c r="A554" s="90" t="s">
        <v>2130</v>
      </c>
      <c r="B554" s="90" t="s">
        <v>2140</v>
      </c>
      <c r="C554" s="90" t="s">
        <v>357</v>
      </c>
      <c r="D554" s="90" t="s">
        <v>2139</v>
      </c>
      <c r="E554" s="90" t="s">
        <v>1403</v>
      </c>
      <c r="F554" s="87">
        <v>0.0</v>
      </c>
      <c r="G554" s="87">
        <v>0.0</v>
      </c>
      <c r="H554" s="87">
        <v>0.0</v>
      </c>
      <c r="I554" s="87">
        <v>0.0</v>
      </c>
      <c r="J554" s="87">
        <v>0.0</v>
      </c>
      <c r="K554" s="87">
        <v>0.0</v>
      </c>
      <c r="L554" s="87">
        <v>0.0</v>
      </c>
      <c r="M554" s="87">
        <v>0.0</v>
      </c>
      <c r="N554" s="91"/>
      <c r="O554" s="87">
        <v>0.0</v>
      </c>
      <c r="P554" s="87">
        <v>0.0</v>
      </c>
      <c r="Q554" s="87">
        <v>0.0</v>
      </c>
      <c r="R554" s="87">
        <v>0.0</v>
      </c>
      <c r="S554" s="87">
        <v>0.0</v>
      </c>
      <c r="T554" s="91"/>
      <c r="U554" s="91"/>
      <c r="V554" s="91"/>
      <c r="W554" s="91"/>
      <c r="X554" s="91"/>
      <c r="Y554" s="87">
        <v>0.0</v>
      </c>
      <c r="Z554" s="88" t="s">
        <v>1396</v>
      </c>
    </row>
    <row r="555" hidden="1">
      <c r="A555" s="90" t="s">
        <v>2147</v>
      </c>
      <c r="B555" s="90" t="s">
        <v>3337</v>
      </c>
      <c r="C555" s="90" t="s">
        <v>363</v>
      </c>
      <c r="D555" s="90" t="s">
        <v>377</v>
      </c>
      <c r="E555" s="90" t="s">
        <v>1400</v>
      </c>
      <c r="F555" s="87">
        <v>2.0</v>
      </c>
      <c r="G555" s="87">
        <v>0.0</v>
      </c>
      <c r="H555" s="87">
        <v>11.0</v>
      </c>
      <c r="I555" s="87">
        <v>0.0</v>
      </c>
      <c r="J555" s="87">
        <v>0.0</v>
      </c>
      <c r="K555" s="87">
        <v>0.0</v>
      </c>
      <c r="L555" s="87">
        <v>0.0</v>
      </c>
      <c r="M555" s="87">
        <v>0.0</v>
      </c>
      <c r="N555" s="91"/>
      <c r="O555" s="91"/>
      <c r="P555" s="91"/>
      <c r="Q555" s="91"/>
      <c r="R555" s="91"/>
      <c r="S555" s="91"/>
      <c r="T555" s="91"/>
      <c r="U555" s="91"/>
      <c r="V555" s="91"/>
      <c r="W555" s="91"/>
      <c r="X555" s="91"/>
      <c r="Y555" s="91"/>
      <c r="Z555" s="88" t="s">
        <v>1396</v>
      </c>
    </row>
    <row r="556" hidden="1">
      <c r="A556" s="90" t="s">
        <v>2151</v>
      </c>
      <c r="B556" s="90" t="s">
        <v>3338</v>
      </c>
      <c r="C556" s="90" t="s">
        <v>363</v>
      </c>
      <c r="D556" s="90" t="s">
        <v>377</v>
      </c>
      <c r="E556" s="90" t="s">
        <v>1403</v>
      </c>
      <c r="F556" s="87">
        <v>1.0</v>
      </c>
      <c r="G556" s="87">
        <v>1.0</v>
      </c>
      <c r="H556" s="87">
        <v>7.0</v>
      </c>
      <c r="I556" s="87">
        <v>7.0</v>
      </c>
      <c r="J556" s="87">
        <v>0.0</v>
      </c>
      <c r="K556" s="87">
        <v>0.0</v>
      </c>
      <c r="L556" s="87">
        <v>0.0</v>
      </c>
      <c r="M556" s="87">
        <v>0.0</v>
      </c>
      <c r="N556" s="91"/>
      <c r="O556" s="91"/>
      <c r="P556" s="91"/>
      <c r="Q556" s="91"/>
      <c r="R556" s="91"/>
      <c r="S556" s="91"/>
      <c r="T556" s="91"/>
      <c r="U556" s="91"/>
      <c r="V556" s="91"/>
      <c r="W556" s="91"/>
      <c r="X556" s="91"/>
      <c r="Y556" s="91"/>
      <c r="Z556" s="88" t="s">
        <v>1396</v>
      </c>
    </row>
    <row r="557" hidden="1">
      <c r="A557" s="90" t="s">
        <v>2141</v>
      </c>
      <c r="B557" s="90" t="s">
        <v>2142</v>
      </c>
      <c r="C557" s="90" t="s">
        <v>363</v>
      </c>
      <c r="D557" s="90" t="s">
        <v>2030</v>
      </c>
      <c r="E557" s="86">
        <v>46310.0</v>
      </c>
      <c r="F557" s="87">
        <v>11.0</v>
      </c>
      <c r="G557" s="87">
        <v>0.0</v>
      </c>
      <c r="H557" s="87">
        <v>7338.0</v>
      </c>
      <c r="I557" s="87">
        <v>0.0</v>
      </c>
      <c r="J557" s="87">
        <v>1018.285</v>
      </c>
      <c r="K557" s="87">
        <v>1035.896</v>
      </c>
      <c r="L557" s="87">
        <v>1062.448</v>
      </c>
      <c r="M557" s="87">
        <v>869.0013</v>
      </c>
      <c r="N557" s="87">
        <v>0.838889</v>
      </c>
      <c r="O557" s="87">
        <v>0.0</v>
      </c>
      <c r="P557" s="87">
        <v>0.0</v>
      </c>
      <c r="Q557" s="87">
        <v>11.78333</v>
      </c>
      <c r="R557" s="87">
        <v>20.98035</v>
      </c>
      <c r="S557" s="87">
        <v>52.4254</v>
      </c>
      <c r="T557" s="87">
        <v>13.41578</v>
      </c>
      <c r="U557" s="87">
        <v>16.22404</v>
      </c>
      <c r="V557" s="87">
        <v>20.98035</v>
      </c>
      <c r="W557" s="87">
        <v>28.36451</v>
      </c>
      <c r="X557" s="87">
        <v>88.55862</v>
      </c>
      <c r="Y557" s="87">
        <v>79.68431</v>
      </c>
      <c r="Z557" s="88" t="s">
        <v>1396</v>
      </c>
    </row>
    <row r="558" hidden="1">
      <c r="A558" s="90" t="s">
        <v>2143</v>
      </c>
      <c r="B558" s="90" t="s">
        <v>2144</v>
      </c>
      <c r="C558" s="90" t="s">
        <v>363</v>
      </c>
      <c r="D558" s="90" t="s">
        <v>2030</v>
      </c>
      <c r="E558" s="90" t="s">
        <v>1413</v>
      </c>
      <c r="F558" s="87">
        <v>5.0</v>
      </c>
      <c r="G558" s="87">
        <v>1.0</v>
      </c>
      <c r="H558" s="87">
        <v>2137.0</v>
      </c>
      <c r="I558" s="87">
        <v>1.0</v>
      </c>
      <c r="J558" s="87">
        <v>284.0333</v>
      </c>
      <c r="K558" s="87">
        <v>250.5687</v>
      </c>
      <c r="L558" s="87">
        <v>306.1641</v>
      </c>
      <c r="M558" s="87">
        <v>216.542</v>
      </c>
      <c r="N558" s="87">
        <v>0.864202</v>
      </c>
      <c r="O558" s="87">
        <v>0.0</v>
      </c>
      <c r="P558" s="87">
        <v>0.0</v>
      </c>
      <c r="Q558" s="87">
        <v>0.0</v>
      </c>
      <c r="R558" s="87">
        <v>2.5</v>
      </c>
      <c r="S558" s="87">
        <v>13.07063</v>
      </c>
      <c r="T558" s="87">
        <v>0.5</v>
      </c>
      <c r="U558" s="87">
        <v>2.5</v>
      </c>
      <c r="V558" s="87">
        <v>7.727546</v>
      </c>
      <c r="W558" s="87">
        <v>13.07063</v>
      </c>
      <c r="X558" s="87">
        <v>17.56074</v>
      </c>
      <c r="Y558" s="87">
        <v>19.27452</v>
      </c>
      <c r="Z558" s="88" t="s">
        <v>1396</v>
      </c>
    </row>
    <row r="559" hidden="1">
      <c r="A559" s="90" t="s">
        <v>2145</v>
      </c>
      <c r="B559" s="90" t="s">
        <v>2146</v>
      </c>
      <c r="C559" s="90" t="s">
        <v>363</v>
      </c>
      <c r="D559" s="90" t="s">
        <v>2030</v>
      </c>
      <c r="E559" s="90" t="s">
        <v>1398</v>
      </c>
      <c r="F559" s="87">
        <v>5.0</v>
      </c>
      <c r="G559" s="87">
        <v>0.0</v>
      </c>
      <c r="H559" s="87">
        <v>1881.0</v>
      </c>
      <c r="I559" s="87">
        <v>0.0</v>
      </c>
      <c r="J559" s="87">
        <v>256.5665</v>
      </c>
      <c r="K559" s="87">
        <v>285.1975</v>
      </c>
      <c r="L559" s="87">
        <v>290.8204</v>
      </c>
      <c r="M559" s="87">
        <v>106.5053</v>
      </c>
      <c r="N559" s="87">
        <v>0.373444</v>
      </c>
      <c r="O559" s="87">
        <v>17.56667</v>
      </c>
      <c r="P559" s="87">
        <v>51.61928</v>
      </c>
      <c r="Q559" s="87">
        <v>51.61928</v>
      </c>
      <c r="R559" s="87">
        <v>53.52372</v>
      </c>
      <c r="S559" s="87">
        <v>55.98251</v>
      </c>
      <c r="T559" s="87">
        <v>17.56667</v>
      </c>
      <c r="U559" s="87">
        <v>51.61928</v>
      </c>
      <c r="V559" s="87">
        <v>51.61928</v>
      </c>
      <c r="W559" s="87">
        <v>53.52372</v>
      </c>
      <c r="X559" s="87">
        <v>55.98251</v>
      </c>
      <c r="Y559" s="87">
        <v>57.0395</v>
      </c>
      <c r="Z559" s="88" t="s">
        <v>1396</v>
      </c>
    </row>
    <row r="560" hidden="1">
      <c r="A560" s="90" t="s">
        <v>2147</v>
      </c>
      <c r="B560" s="90" t="s">
        <v>2148</v>
      </c>
      <c r="C560" s="90" t="s">
        <v>363</v>
      </c>
      <c r="D560" s="90" t="s">
        <v>2030</v>
      </c>
      <c r="E560" s="90" t="s">
        <v>1400</v>
      </c>
      <c r="F560" s="87">
        <v>18.0</v>
      </c>
      <c r="G560" s="87">
        <v>0.0</v>
      </c>
      <c r="H560" s="87">
        <v>1749.0</v>
      </c>
      <c r="I560" s="87">
        <v>0.0</v>
      </c>
      <c r="J560" s="87">
        <v>101.0293</v>
      </c>
      <c r="K560" s="87">
        <v>117.9817</v>
      </c>
      <c r="L560" s="87">
        <v>121.1193</v>
      </c>
      <c r="M560" s="87">
        <v>73.6125</v>
      </c>
      <c r="N560" s="87">
        <v>0.623932</v>
      </c>
      <c r="O560" s="87">
        <v>0.0</v>
      </c>
      <c r="P560" s="87">
        <v>0.0</v>
      </c>
      <c r="Q560" s="87">
        <v>5.185714</v>
      </c>
      <c r="R560" s="87">
        <v>7.382576</v>
      </c>
      <c r="S560" s="87">
        <v>10.59031</v>
      </c>
      <c r="T560" s="87">
        <v>5.185714</v>
      </c>
      <c r="U560" s="87">
        <v>5.209681</v>
      </c>
      <c r="V560" s="87">
        <v>6.145549</v>
      </c>
      <c r="W560" s="87">
        <v>9.855328</v>
      </c>
      <c r="X560" s="87">
        <v>11.33211</v>
      </c>
      <c r="Y560" s="87">
        <v>9.831806</v>
      </c>
      <c r="Z560" s="88" t="s">
        <v>1396</v>
      </c>
    </row>
    <row r="561" hidden="1">
      <c r="A561" s="90" t="s">
        <v>2149</v>
      </c>
      <c r="B561" s="90" t="s">
        <v>2150</v>
      </c>
      <c r="C561" s="90" t="s">
        <v>363</v>
      </c>
      <c r="D561" s="90" t="s">
        <v>2030</v>
      </c>
      <c r="E561" s="89">
        <v>46300.0</v>
      </c>
      <c r="F561" s="87">
        <v>3.0</v>
      </c>
      <c r="G561" s="87">
        <v>0.0</v>
      </c>
      <c r="H561" s="87">
        <v>199.0</v>
      </c>
      <c r="I561" s="87">
        <v>0.0</v>
      </c>
      <c r="J561" s="87">
        <v>0.0</v>
      </c>
      <c r="K561" s="87">
        <v>0.0</v>
      </c>
      <c r="L561" s="87">
        <v>0.0</v>
      </c>
      <c r="M561" s="87">
        <v>0.0</v>
      </c>
      <c r="N561" s="91"/>
      <c r="O561" s="91"/>
      <c r="P561" s="91"/>
      <c r="Q561" s="91"/>
      <c r="R561" s="91"/>
      <c r="S561" s="91"/>
      <c r="T561" s="91"/>
      <c r="U561" s="91"/>
      <c r="V561" s="91"/>
      <c r="W561" s="91"/>
      <c r="X561" s="91"/>
      <c r="Y561" s="91"/>
      <c r="Z561" s="88" t="s">
        <v>1396</v>
      </c>
    </row>
    <row r="562" hidden="1">
      <c r="A562" s="90" t="s">
        <v>2151</v>
      </c>
      <c r="B562" s="90" t="s">
        <v>2028</v>
      </c>
      <c r="C562" s="90" t="s">
        <v>363</v>
      </c>
      <c r="D562" s="90" t="s">
        <v>2030</v>
      </c>
      <c r="E562" s="90" t="s">
        <v>1403</v>
      </c>
      <c r="F562" s="87">
        <v>0.0</v>
      </c>
      <c r="G562" s="87">
        <v>0.0</v>
      </c>
      <c r="H562" s="87">
        <v>0.0</v>
      </c>
      <c r="I562" s="87">
        <v>0.0</v>
      </c>
      <c r="J562" s="87">
        <v>0.0</v>
      </c>
      <c r="K562" s="87">
        <v>0.0</v>
      </c>
      <c r="L562" s="87">
        <v>0.0</v>
      </c>
      <c r="M562" s="87">
        <v>0.0</v>
      </c>
      <c r="N562" s="91"/>
      <c r="O562" s="87">
        <v>0.0</v>
      </c>
      <c r="P562" s="87">
        <v>0.0</v>
      </c>
      <c r="Q562" s="87">
        <v>0.0</v>
      </c>
      <c r="R562" s="87">
        <v>0.0</v>
      </c>
      <c r="S562" s="87">
        <v>0.0</v>
      </c>
      <c r="T562" s="91"/>
      <c r="U562" s="91"/>
      <c r="V562" s="91"/>
      <c r="W562" s="91"/>
      <c r="X562" s="91"/>
      <c r="Y562" s="87">
        <v>0.0</v>
      </c>
      <c r="Z562" s="88" t="s">
        <v>1396</v>
      </c>
    </row>
    <row r="563" hidden="1">
      <c r="A563" s="90" t="s">
        <v>2141</v>
      </c>
      <c r="B563" s="90" t="s">
        <v>2152</v>
      </c>
      <c r="C563" s="90" t="s">
        <v>363</v>
      </c>
      <c r="D563" s="90" t="s">
        <v>364</v>
      </c>
      <c r="E563" s="86">
        <v>46310.0</v>
      </c>
      <c r="F563" s="87">
        <v>8.0</v>
      </c>
      <c r="G563" s="87">
        <v>0.0</v>
      </c>
      <c r="H563" s="87">
        <v>4815.0</v>
      </c>
      <c r="I563" s="87">
        <v>0.0</v>
      </c>
      <c r="J563" s="87">
        <v>639.7843</v>
      </c>
      <c r="K563" s="87">
        <v>671.2432</v>
      </c>
      <c r="L563" s="87">
        <v>735.642</v>
      </c>
      <c r="M563" s="87">
        <v>562.6657</v>
      </c>
      <c r="N563" s="87">
        <v>0.838244</v>
      </c>
      <c r="O563" s="87">
        <v>0.0</v>
      </c>
      <c r="P563" s="87">
        <v>3.05</v>
      </c>
      <c r="Q563" s="87">
        <v>3.05</v>
      </c>
      <c r="R563" s="87">
        <v>23.56137</v>
      </c>
      <c r="S563" s="87">
        <v>81.96617</v>
      </c>
      <c r="T563" s="87">
        <v>3.05</v>
      </c>
      <c r="U563" s="87">
        <v>3.05</v>
      </c>
      <c r="V563" s="87">
        <v>23.56137</v>
      </c>
      <c r="W563" s="87">
        <v>81.96617</v>
      </c>
      <c r="X563" s="87">
        <v>81.96617</v>
      </c>
      <c r="Y563" s="87">
        <v>134.2486</v>
      </c>
      <c r="Z563" s="88" t="s">
        <v>1396</v>
      </c>
    </row>
    <row r="564" hidden="1">
      <c r="A564" s="90" t="s">
        <v>2143</v>
      </c>
      <c r="B564" s="90" t="s">
        <v>2153</v>
      </c>
      <c r="C564" s="90" t="s">
        <v>363</v>
      </c>
      <c r="D564" s="90" t="s">
        <v>364</v>
      </c>
      <c r="E564" s="90" t="s">
        <v>1413</v>
      </c>
      <c r="F564" s="87">
        <v>13.0</v>
      </c>
      <c r="G564" s="87">
        <v>0.0</v>
      </c>
      <c r="H564" s="87">
        <v>3172.0</v>
      </c>
      <c r="I564" s="87">
        <v>0.0</v>
      </c>
      <c r="J564" s="87">
        <v>556.9416</v>
      </c>
      <c r="K564" s="87">
        <v>588.8215</v>
      </c>
      <c r="L564" s="87">
        <v>619.7186</v>
      </c>
      <c r="M564" s="87">
        <v>293.4038</v>
      </c>
      <c r="N564" s="87">
        <v>0.49829</v>
      </c>
      <c r="O564" s="87">
        <v>0.0</v>
      </c>
      <c r="P564" s="87">
        <v>0.0</v>
      </c>
      <c r="Q564" s="87">
        <v>16.15838</v>
      </c>
      <c r="R564" s="87">
        <v>72.34338</v>
      </c>
      <c r="S564" s="87">
        <v>103.0067</v>
      </c>
      <c r="T564" s="87">
        <v>16.15838</v>
      </c>
      <c r="U564" s="87">
        <v>18.71745</v>
      </c>
      <c r="V564" s="87">
        <v>72.34338</v>
      </c>
      <c r="W564" s="87">
        <v>85.19181</v>
      </c>
      <c r="X564" s="87">
        <v>103.0067</v>
      </c>
      <c r="Y564" s="87">
        <v>65.42461</v>
      </c>
      <c r="Z564" s="88" t="s">
        <v>1396</v>
      </c>
    </row>
    <row r="565" hidden="1">
      <c r="A565" s="90" t="s">
        <v>2145</v>
      </c>
      <c r="B565" s="90" t="s">
        <v>2154</v>
      </c>
      <c r="C565" s="90" t="s">
        <v>363</v>
      </c>
      <c r="D565" s="90" t="s">
        <v>364</v>
      </c>
      <c r="E565" s="90" t="s">
        <v>1398</v>
      </c>
      <c r="F565" s="87">
        <v>14.0</v>
      </c>
      <c r="G565" s="87">
        <v>0.0</v>
      </c>
      <c r="H565" s="87">
        <v>3179.0</v>
      </c>
      <c r="I565" s="87">
        <v>0.0</v>
      </c>
      <c r="J565" s="87">
        <v>605.9392</v>
      </c>
      <c r="K565" s="87">
        <v>620.4302</v>
      </c>
      <c r="L565" s="87">
        <v>634.935</v>
      </c>
      <c r="M565" s="87">
        <v>407.1807</v>
      </c>
      <c r="N565" s="87">
        <v>0.656288</v>
      </c>
      <c r="O565" s="87">
        <v>0.0</v>
      </c>
      <c r="P565" s="87">
        <v>0.0</v>
      </c>
      <c r="Q565" s="87">
        <v>5.07881</v>
      </c>
      <c r="R565" s="87">
        <v>30.88448</v>
      </c>
      <c r="S565" s="87">
        <v>171.2128</v>
      </c>
      <c r="T565" s="87">
        <v>5.07881</v>
      </c>
      <c r="U565" s="87">
        <v>6.073333</v>
      </c>
      <c r="V565" s="87">
        <v>6.073333</v>
      </c>
      <c r="W565" s="87">
        <v>171.2128</v>
      </c>
      <c r="X565" s="87">
        <v>177.3902</v>
      </c>
      <c r="Y565" s="87">
        <v>77.55377</v>
      </c>
      <c r="Z565" s="88" t="s">
        <v>1396</v>
      </c>
    </row>
    <row r="566" hidden="1">
      <c r="A566" s="90" t="s">
        <v>2147</v>
      </c>
      <c r="B566" s="90" t="s">
        <v>2155</v>
      </c>
      <c r="C566" s="90" t="s">
        <v>363</v>
      </c>
      <c r="D566" s="90" t="s">
        <v>364</v>
      </c>
      <c r="E566" s="90" t="s">
        <v>1400</v>
      </c>
      <c r="F566" s="87">
        <v>10.0</v>
      </c>
      <c r="G566" s="87">
        <v>0.0</v>
      </c>
      <c r="H566" s="87">
        <v>2177.0</v>
      </c>
      <c r="I566" s="87">
        <v>0.0</v>
      </c>
      <c r="J566" s="87">
        <v>401.5145</v>
      </c>
      <c r="K566" s="87">
        <v>426.7348</v>
      </c>
      <c r="L566" s="87">
        <v>462.6988</v>
      </c>
      <c r="M566" s="87">
        <v>413.8742</v>
      </c>
      <c r="N566" s="87">
        <v>0.969863</v>
      </c>
      <c r="O566" s="87">
        <v>0.0</v>
      </c>
      <c r="P566" s="87">
        <v>0.0</v>
      </c>
      <c r="Q566" s="87">
        <v>0.477778</v>
      </c>
      <c r="R566" s="87">
        <v>0.740909</v>
      </c>
      <c r="S566" s="87">
        <v>3.058333</v>
      </c>
      <c r="T566" s="87">
        <v>0.477778</v>
      </c>
      <c r="U566" s="87">
        <v>0.527778</v>
      </c>
      <c r="V566" s="87">
        <v>0.687212</v>
      </c>
      <c r="W566" s="87">
        <v>1.533333</v>
      </c>
      <c r="X566" s="87">
        <v>4.866667</v>
      </c>
      <c r="Y566" s="87">
        <v>25.10205</v>
      </c>
      <c r="Z566" s="88" t="s">
        <v>1396</v>
      </c>
    </row>
    <row r="567" hidden="1">
      <c r="A567" s="90" t="s">
        <v>2149</v>
      </c>
      <c r="B567" s="90" t="s">
        <v>2156</v>
      </c>
      <c r="C567" s="90" t="s">
        <v>363</v>
      </c>
      <c r="D567" s="90" t="s">
        <v>364</v>
      </c>
      <c r="E567" s="89">
        <v>46300.0</v>
      </c>
      <c r="F567" s="87">
        <v>3.0</v>
      </c>
      <c r="G567" s="87">
        <v>0.0</v>
      </c>
      <c r="H567" s="87">
        <v>502.0</v>
      </c>
      <c r="I567" s="87">
        <v>0.0</v>
      </c>
      <c r="J567" s="87">
        <v>107.482</v>
      </c>
      <c r="K567" s="87">
        <v>112.6857</v>
      </c>
      <c r="L567" s="87">
        <v>114.9804</v>
      </c>
      <c r="M567" s="87">
        <v>112.6857</v>
      </c>
      <c r="N567" s="87">
        <v>1.0</v>
      </c>
      <c r="O567" s="87">
        <v>0.0</v>
      </c>
      <c r="P567" s="87">
        <v>0.0</v>
      </c>
      <c r="Q567" s="87">
        <v>0.0</v>
      </c>
      <c r="R567" s="87">
        <v>112.6857</v>
      </c>
      <c r="S567" s="87">
        <v>112.6857</v>
      </c>
      <c r="T567" s="87">
        <v>112.6857</v>
      </c>
      <c r="U567" s="87">
        <v>112.6857</v>
      </c>
      <c r="V567" s="87">
        <v>112.6857</v>
      </c>
      <c r="W567" s="87">
        <v>112.6857</v>
      </c>
      <c r="X567" s="87">
        <v>112.6857</v>
      </c>
      <c r="Y567" s="87">
        <v>56.34287</v>
      </c>
      <c r="Z567" s="88" t="s">
        <v>1396</v>
      </c>
    </row>
    <row r="568" hidden="1">
      <c r="A568" s="90" t="s">
        <v>2151</v>
      </c>
      <c r="B568" s="90" t="s">
        <v>2157</v>
      </c>
      <c r="C568" s="90" t="s">
        <v>363</v>
      </c>
      <c r="D568" s="90" t="s">
        <v>364</v>
      </c>
      <c r="E568" s="90" t="s">
        <v>1403</v>
      </c>
      <c r="F568" s="87">
        <v>4.0</v>
      </c>
      <c r="G568" s="87">
        <v>4.0</v>
      </c>
      <c r="H568" s="87">
        <v>669.0</v>
      </c>
      <c r="I568" s="87">
        <v>669.0</v>
      </c>
      <c r="J568" s="87">
        <v>0.0</v>
      </c>
      <c r="K568" s="87">
        <v>0.0</v>
      </c>
      <c r="L568" s="87">
        <v>0.0</v>
      </c>
      <c r="M568" s="87">
        <v>0.0</v>
      </c>
      <c r="N568" s="91"/>
      <c r="O568" s="87">
        <v>0.0</v>
      </c>
      <c r="P568" s="87">
        <v>0.0</v>
      </c>
      <c r="Q568" s="87">
        <v>0.0</v>
      </c>
      <c r="R568" s="87">
        <v>0.0</v>
      </c>
      <c r="S568" s="87">
        <v>0.0</v>
      </c>
      <c r="T568" s="91"/>
      <c r="U568" s="91"/>
      <c r="V568" s="91"/>
      <c r="W568" s="91"/>
      <c r="X568" s="91"/>
      <c r="Y568" s="87">
        <v>0.0</v>
      </c>
      <c r="Z568" s="88" t="s">
        <v>1396</v>
      </c>
    </row>
    <row r="569" hidden="1">
      <c r="A569" s="90" t="s">
        <v>2143</v>
      </c>
      <c r="B569" s="90" t="s">
        <v>3339</v>
      </c>
      <c r="C569" s="90" t="s">
        <v>363</v>
      </c>
      <c r="D569" s="90" t="s">
        <v>2159</v>
      </c>
      <c r="E569" s="90" t="s">
        <v>1413</v>
      </c>
      <c r="F569" s="87">
        <v>1.0</v>
      </c>
      <c r="G569" s="87">
        <v>0.0</v>
      </c>
      <c r="H569" s="87">
        <v>19.0</v>
      </c>
      <c r="I569" s="87">
        <v>0.0</v>
      </c>
      <c r="J569" s="87">
        <v>0.0</v>
      </c>
      <c r="K569" s="87">
        <v>0.0</v>
      </c>
      <c r="L569" s="87">
        <v>0.0</v>
      </c>
      <c r="M569" s="87">
        <v>0.0</v>
      </c>
      <c r="N569" s="91"/>
      <c r="O569" s="91"/>
      <c r="P569" s="91"/>
      <c r="Q569" s="91"/>
      <c r="R569" s="91"/>
      <c r="S569" s="91"/>
      <c r="T569" s="91"/>
      <c r="U569" s="91"/>
      <c r="V569" s="91"/>
      <c r="W569" s="91"/>
      <c r="X569" s="91"/>
      <c r="Y569" s="91"/>
      <c r="Z569" s="88" t="s">
        <v>1396</v>
      </c>
    </row>
    <row r="570" hidden="1">
      <c r="A570" s="90" t="s">
        <v>2147</v>
      </c>
      <c r="B570" s="90" t="s">
        <v>2158</v>
      </c>
      <c r="C570" s="90" t="s">
        <v>363</v>
      </c>
      <c r="D570" s="90" t="s">
        <v>2159</v>
      </c>
      <c r="E570" s="90" t="s">
        <v>1400</v>
      </c>
      <c r="F570" s="87">
        <v>0.0</v>
      </c>
      <c r="G570" s="87">
        <v>0.0</v>
      </c>
      <c r="H570" s="87">
        <v>0.0</v>
      </c>
      <c r="I570" s="87">
        <v>0.0</v>
      </c>
      <c r="J570" s="87">
        <v>0.0</v>
      </c>
      <c r="K570" s="87">
        <v>0.0</v>
      </c>
      <c r="L570" s="87">
        <v>1.0</v>
      </c>
      <c r="M570" s="87">
        <v>0.0</v>
      </c>
      <c r="N570" s="91"/>
      <c r="O570" s="87">
        <v>0.0</v>
      </c>
      <c r="P570" s="87">
        <v>0.0</v>
      </c>
      <c r="Q570" s="87">
        <v>0.0</v>
      </c>
      <c r="R570" s="87">
        <v>0.0</v>
      </c>
      <c r="S570" s="87">
        <v>0.0</v>
      </c>
      <c r="T570" s="91"/>
      <c r="U570" s="91"/>
      <c r="V570" s="91"/>
      <c r="W570" s="91"/>
      <c r="X570" s="91"/>
      <c r="Y570" s="87">
        <v>0.0</v>
      </c>
      <c r="Z570" s="88" t="s">
        <v>1396</v>
      </c>
    </row>
    <row r="571" hidden="1">
      <c r="A571" s="90" t="s">
        <v>2151</v>
      </c>
      <c r="B571" s="90" t="s">
        <v>2160</v>
      </c>
      <c r="C571" s="90" t="s">
        <v>363</v>
      </c>
      <c r="D571" s="90" t="s">
        <v>2159</v>
      </c>
      <c r="E571" s="90" t="s">
        <v>1403</v>
      </c>
      <c r="F571" s="87">
        <v>0.0</v>
      </c>
      <c r="G571" s="87">
        <v>0.0</v>
      </c>
      <c r="H571" s="87">
        <v>0.0</v>
      </c>
      <c r="I571" s="87">
        <v>0.0</v>
      </c>
      <c r="J571" s="87">
        <v>0.0</v>
      </c>
      <c r="K571" s="87">
        <v>0.0</v>
      </c>
      <c r="L571" s="87">
        <v>0.0</v>
      </c>
      <c r="M571" s="87">
        <v>0.0</v>
      </c>
      <c r="N571" s="91"/>
      <c r="O571" s="87">
        <v>0.0</v>
      </c>
      <c r="P571" s="87">
        <v>0.0</v>
      </c>
      <c r="Q571" s="87">
        <v>0.0</v>
      </c>
      <c r="R571" s="87">
        <v>0.0</v>
      </c>
      <c r="S571" s="87">
        <v>0.0</v>
      </c>
      <c r="T571" s="91"/>
      <c r="U571" s="91"/>
      <c r="V571" s="91"/>
      <c r="W571" s="91"/>
      <c r="X571" s="91"/>
      <c r="Y571" s="87">
        <v>0.0</v>
      </c>
      <c r="Z571" s="88" t="s">
        <v>1396</v>
      </c>
    </row>
    <row r="572" hidden="1">
      <c r="A572" s="90" t="s">
        <v>2141</v>
      </c>
      <c r="B572" s="90" t="s">
        <v>2161</v>
      </c>
      <c r="C572" s="90" t="s">
        <v>363</v>
      </c>
      <c r="D572" s="90" t="s">
        <v>383</v>
      </c>
      <c r="E572" s="86">
        <v>46310.0</v>
      </c>
      <c r="F572" s="87">
        <v>1.0</v>
      </c>
      <c r="G572" s="87">
        <v>0.0</v>
      </c>
      <c r="H572" s="87">
        <v>906.0</v>
      </c>
      <c r="I572" s="87">
        <v>0.0</v>
      </c>
      <c r="J572" s="87">
        <v>123.7598</v>
      </c>
      <c r="K572" s="87">
        <v>96.0095</v>
      </c>
      <c r="L572" s="87">
        <v>91.30434</v>
      </c>
      <c r="M572" s="87">
        <v>96.0095</v>
      </c>
      <c r="N572" s="87">
        <v>1.0</v>
      </c>
      <c r="O572" s="87">
        <v>96.0095</v>
      </c>
      <c r="P572" s="87">
        <v>96.0095</v>
      </c>
      <c r="Q572" s="87">
        <v>96.0095</v>
      </c>
      <c r="R572" s="87">
        <v>96.0095</v>
      </c>
      <c r="S572" s="87">
        <v>96.0095</v>
      </c>
      <c r="T572" s="87">
        <v>96.0095</v>
      </c>
      <c r="U572" s="87">
        <v>96.0095</v>
      </c>
      <c r="V572" s="87">
        <v>96.0095</v>
      </c>
      <c r="W572" s="87">
        <v>96.0095</v>
      </c>
      <c r="X572" s="87">
        <v>96.0095</v>
      </c>
      <c r="Y572" s="87">
        <v>96.0095</v>
      </c>
      <c r="Z572" s="88" t="s">
        <v>1396</v>
      </c>
    </row>
    <row r="573" hidden="1">
      <c r="A573" s="90" t="s">
        <v>2145</v>
      </c>
      <c r="B573" s="90" t="s">
        <v>2162</v>
      </c>
      <c r="C573" s="90" t="s">
        <v>363</v>
      </c>
      <c r="D573" s="90" t="s">
        <v>383</v>
      </c>
      <c r="E573" s="90" t="s">
        <v>1398</v>
      </c>
      <c r="F573" s="87">
        <v>3.0</v>
      </c>
      <c r="G573" s="87">
        <v>0.0</v>
      </c>
      <c r="H573" s="87">
        <v>238.0</v>
      </c>
      <c r="I573" s="87">
        <v>0.0</v>
      </c>
      <c r="J573" s="87">
        <v>35.16492</v>
      </c>
      <c r="K573" s="87">
        <v>31.00558</v>
      </c>
      <c r="L573" s="87">
        <v>29.2052</v>
      </c>
      <c r="M573" s="87">
        <v>16.0162</v>
      </c>
      <c r="N573" s="87">
        <v>0.516559</v>
      </c>
      <c r="O573" s="87">
        <v>14.98938</v>
      </c>
      <c r="P573" s="87">
        <v>14.98938</v>
      </c>
      <c r="Q573" s="87">
        <v>14.98938</v>
      </c>
      <c r="R573" s="87">
        <v>16.0162</v>
      </c>
      <c r="S573" s="87">
        <v>16.0162</v>
      </c>
      <c r="T573" s="87">
        <v>14.98938</v>
      </c>
      <c r="U573" s="87">
        <v>14.98938</v>
      </c>
      <c r="V573" s="87">
        <v>14.98938</v>
      </c>
      <c r="W573" s="87">
        <v>16.0162</v>
      </c>
      <c r="X573" s="87">
        <v>16.0162</v>
      </c>
      <c r="Y573" s="87">
        <v>15.50279</v>
      </c>
      <c r="Z573" s="88" t="s">
        <v>1396</v>
      </c>
    </row>
    <row r="574" hidden="1">
      <c r="A574" s="90" t="s">
        <v>2147</v>
      </c>
      <c r="B574" s="90" t="s">
        <v>2163</v>
      </c>
      <c r="C574" s="90" t="s">
        <v>363</v>
      </c>
      <c r="D574" s="90" t="s">
        <v>383</v>
      </c>
      <c r="E574" s="90" t="s">
        <v>1400</v>
      </c>
      <c r="F574" s="87">
        <v>1.0</v>
      </c>
      <c r="G574" s="87">
        <v>0.0</v>
      </c>
      <c r="H574" s="87">
        <v>206.0</v>
      </c>
      <c r="I574" s="87">
        <v>0.0</v>
      </c>
      <c r="J574" s="87">
        <v>20.96714</v>
      </c>
      <c r="K574" s="87">
        <v>24.96597</v>
      </c>
      <c r="L574" s="87">
        <v>31.50956</v>
      </c>
      <c r="M574" s="87">
        <v>24.96597</v>
      </c>
      <c r="N574" s="87">
        <v>1.0</v>
      </c>
      <c r="O574" s="87">
        <v>0.0</v>
      </c>
      <c r="P574" s="87">
        <v>0.0</v>
      </c>
      <c r="Q574" s="87">
        <v>0.0</v>
      </c>
      <c r="R574" s="87">
        <v>0.0</v>
      </c>
      <c r="S574" s="87">
        <v>24.96597</v>
      </c>
      <c r="T574" s="87">
        <v>24.96597</v>
      </c>
      <c r="U574" s="87">
        <v>24.96597</v>
      </c>
      <c r="V574" s="87">
        <v>24.96597</v>
      </c>
      <c r="W574" s="87">
        <v>24.96597</v>
      </c>
      <c r="X574" s="87">
        <v>24.96597</v>
      </c>
      <c r="Y574" s="87">
        <v>8.321991</v>
      </c>
      <c r="Z574" s="88" t="s">
        <v>1396</v>
      </c>
    </row>
    <row r="575" hidden="1">
      <c r="A575" s="90" t="s">
        <v>2151</v>
      </c>
      <c r="B575" s="90" t="s">
        <v>2164</v>
      </c>
      <c r="C575" s="90" t="s">
        <v>363</v>
      </c>
      <c r="D575" s="90" t="s">
        <v>383</v>
      </c>
      <c r="E575" s="90" t="s">
        <v>1403</v>
      </c>
      <c r="F575" s="87">
        <v>0.0</v>
      </c>
      <c r="G575" s="87">
        <v>0.0</v>
      </c>
      <c r="H575" s="87">
        <v>0.0</v>
      </c>
      <c r="I575" s="87">
        <v>0.0</v>
      </c>
      <c r="J575" s="87">
        <v>0.0</v>
      </c>
      <c r="K575" s="87">
        <v>0.0</v>
      </c>
      <c r="L575" s="87">
        <v>0.0</v>
      </c>
      <c r="M575" s="87">
        <v>0.0</v>
      </c>
      <c r="N575" s="91"/>
      <c r="O575" s="87">
        <v>0.0</v>
      </c>
      <c r="P575" s="87">
        <v>0.0</v>
      </c>
      <c r="Q575" s="87">
        <v>0.0</v>
      </c>
      <c r="R575" s="87">
        <v>0.0</v>
      </c>
      <c r="S575" s="87">
        <v>0.0</v>
      </c>
      <c r="T575" s="91"/>
      <c r="U575" s="91"/>
      <c r="V575" s="91"/>
      <c r="W575" s="91"/>
      <c r="X575" s="91"/>
      <c r="Y575" s="87">
        <v>0.0</v>
      </c>
      <c r="Z575" s="88" t="s">
        <v>1396</v>
      </c>
    </row>
    <row r="576" hidden="1">
      <c r="A576" s="90" t="s">
        <v>3340</v>
      </c>
      <c r="B576" s="90" t="s">
        <v>3341</v>
      </c>
      <c r="C576" s="90" t="s">
        <v>363</v>
      </c>
      <c r="D576" s="90" t="s">
        <v>2166</v>
      </c>
      <c r="E576" s="90" t="s">
        <v>1426</v>
      </c>
      <c r="F576" s="87">
        <v>1.0</v>
      </c>
      <c r="G576" s="87">
        <v>0.0</v>
      </c>
      <c r="H576" s="87">
        <v>4.0</v>
      </c>
      <c r="I576" s="87">
        <v>0.0</v>
      </c>
      <c r="J576" s="87">
        <v>0.0</v>
      </c>
      <c r="K576" s="87">
        <v>0.0</v>
      </c>
      <c r="L576" s="87">
        <v>0.0</v>
      </c>
      <c r="M576" s="87">
        <v>0.0</v>
      </c>
      <c r="N576" s="91"/>
      <c r="O576" s="91"/>
      <c r="P576" s="91"/>
      <c r="Q576" s="91"/>
      <c r="R576" s="91"/>
      <c r="S576" s="91"/>
      <c r="T576" s="91"/>
      <c r="U576" s="91"/>
      <c r="V576" s="91"/>
      <c r="W576" s="91"/>
      <c r="X576" s="91"/>
      <c r="Y576" s="91"/>
      <c r="Z576" s="88" t="s">
        <v>1396</v>
      </c>
    </row>
    <row r="577" hidden="1">
      <c r="A577" s="90" t="s">
        <v>2145</v>
      </c>
      <c r="B577" s="90" t="s">
        <v>2165</v>
      </c>
      <c r="C577" s="90" t="s">
        <v>363</v>
      </c>
      <c r="D577" s="90" t="s">
        <v>2166</v>
      </c>
      <c r="E577" s="90" t="s">
        <v>1398</v>
      </c>
      <c r="F577" s="87">
        <v>1.0</v>
      </c>
      <c r="G577" s="87">
        <v>0.0</v>
      </c>
      <c r="H577" s="87">
        <v>40.0</v>
      </c>
      <c r="I577" s="87">
        <v>0.0</v>
      </c>
      <c r="J577" s="87">
        <v>0.0</v>
      </c>
      <c r="K577" s="87">
        <v>0.0</v>
      </c>
      <c r="L577" s="87">
        <v>0.0</v>
      </c>
      <c r="M577" s="87">
        <v>0.0</v>
      </c>
      <c r="N577" s="91"/>
      <c r="O577" s="91"/>
      <c r="P577" s="91"/>
      <c r="Q577" s="91"/>
      <c r="R577" s="91"/>
      <c r="S577" s="91"/>
      <c r="T577" s="91"/>
      <c r="U577" s="91"/>
      <c r="V577" s="91"/>
      <c r="W577" s="91"/>
      <c r="X577" s="91"/>
      <c r="Y577" s="91"/>
      <c r="Z577" s="88" t="s">
        <v>1396</v>
      </c>
    </row>
    <row r="578" hidden="1">
      <c r="A578" s="90" t="s">
        <v>2151</v>
      </c>
      <c r="B578" s="90" t="s">
        <v>2167</v>
      </c>
      <c r="C578" s="90" t="s">
        <v>363</v>
      </c>
      <c r="D578" s="90" t="s">
        <v>2166</v>
      </c>
      <c r="E578" s="90" t="s">
        <v>1403</v>
      </c>
      <c r="F578" s="87">
        <v>1.0</v>
      </c>
      <c r="G578" s="87">
        <v>1.0</v>
      </c>
      <c r="H578" s="87">
        <v>12.0</v>
      </c>
      <c r="I578" s="87">
        <v>12.0</v>
      </c>
      <c r="J578" s="87">
        <v>0.0</v>
      </c>
      <c r="K578" s="87">
        <v>0.0</v>
      </c>
      <c r="L578" s="87">
        <v>0.0</v>
      </c>
      <c r="M578" s="87">
        <v>0.0</v>
      </c>
      <c r="N578" s="91"/>
      <c r="O578" s="87">
        <v>0.0</v>
      </c>
      <c r="P578" s="87">
        <v>0.0</v>
      </c>
      <c r="Q578" s="87">
        <v>0.0</v>
      </c>
      <c r="R578" s="87">
        <v>0.0</v>
      </c>
      <c r="S578" s="87">
        <v>0.0</v>
      </c>
      <c r="T578" s="91"/>
      <c r="U578" s="91"/>
      <c r="V578" s="91"/>
      <c r="W578" s="91"/>
      <c r="X578" s="91"/>
      <c r="Y578" s="87">
        <v>0.0</v>
      </c>
      <c r="Z578" s="88" t="s">
        <v>1396</v>
      </c>
    </row>
    <row r="579" hidden="1">
      <c r="A579" s="90" t="s">
        <v>2141</v>
      </c>
      <c r="B579" s="90" t="s">
        <v>2168</v>
      </c>
      <c r="C579" s="90" t="s">
        <v>363</v>
      </c>
      <c r="D579" s="90" t="s">
        <v>928</v>
      </c>
      <c r="E579" s="86">
        <v>46310.0</v>
      </c>
      <c r="F579" s="87">
        <v>9.0</v>
      </c>
      <c r="G579" s="87">
        <v>0.0</v>
      </c>
      <c r="H579" s="87">
        <v>931.0</v>
      </c>
      <c r="I579" s="87">
        <v>0.0</v>
      </c>
      <c r="J579" s="87">
        <v>29.41688</v>
      </c>
      <c r="K579" s="87">
        <v>29.11146</v>
      </c>
      <c r="L579" s="87">
        <v>32.5721</v>
      </c>
      <c r="M579" s="87">
        <v>22.38991</v>
      </c>
      <c r="N579" s="87">
        <v>0.76911</v>
      </c>
      <c r="O579" s="87">
        <v>0.0</v>
      </c>
      <c r="P579" s="87">
        <v>0.0</v>
      </c>
      <c r="Q579" s="87">
        <v>0.043478</v>
      </c>
      <c r="R579" s="87">
        <v>6.678075</v>
      </c>
      <c r="S579" s="87">
        <v>6.678075</v>
      </c>
      <c r="T579" s="87">
        <v>0.043478</v>
      </c>
      <c r="U579" s="87">
        <v>0.043478</v>
      </c>
      <c r="V579" s="87">
        <v>0.043478</v>
      </c>
      <c r="W579" s="87">
        <v>6.678075</v>
      </c>
      <c r="X579" s="87">
        <v>22.38991</v>
      </c>
      <c r="Y579" s="87">
        <v>7.277865</v>
      </c>
      <c r="Z579" s="88" t="s">
        <v>1396</v>
      </c>
    </row>
    <row r="580" hidden="1">
      <c r="A580" s="90" t="s">
        <v>2143</v>
      </c>
      <c r="B580" s="90" t="s">
        <v>2169</v>
      </c>
      <c r="C580" s="90" t="s">
        <v>363</v>
      </c>
      <c r="D580" s="90" t="s">
        <v>928</v>
      </c>
      <c r="E580" s="90" t="s">
        <v>1413</v>
      </c>
      <c r="F580" s="87">
        <v>6.0</v>
      </c>
      <c r="G580" s="87">
        <v>0.0</v>
      </c>
      <c r="H580" s="87">
        <v>904.0</v>
      </c>
      <c r="I580" s="87">
        <v>0.0</v>
      </c>
      <c r="J580" s="87">
        <v>156.2849</v>
      </c>
      <c r="K580" s="87">
        <v>166.2817</v>
      </c>
      <c r="L580" s="87">
        <v>158.0317</v>
      </c>
      <c r="M580" s="87">
        <v>152.1967</v>
      </c>
      <c r="N580" s="87">
        <v>0.915294</v>
      </c>
      <c r="O580" s="87">
        <v>0.0</v>
      </c>
      <c r="P580" s="87">
        <v>0.0</v>
      </c>
      <c r="Q580" s="87">
        <v>0.0</v>
      </c>
      <c r="R580" s="87">
        <v>14.08506</v>
      </c>
      <c r="S580" s="87">
        <v>152.1967</v>
      </c>
      <c r="T580" s="87">
        <v>14.08506</v>
      </c>
      <c r="U580" s="87">
        <v>14.08506</v>
      </c>
      <c r="V580" s="87">
        <v>14.08506</v>
      </c>
      <c r="W580" s="87">
        <v>152.1967</v>
      </c>
      <c r="X580" s="87">
        <v>152.1967</v>
      </c>
      <c r="Y580" s="87">
        <v>55.42724</v>
      </c>
      <c r="Z580" s="88" t="s">
        <v>1396</v>
      </c>
    </row>
    <row r="581" hidden="1">
      <c r="A581" s="90" t="s">
        <v>2145</v>
      </c>
      <c r="B581" s="90" t="s">
        <v>2170</v>
      </c>
      <c r="C581" s="90" t="s">
        <v>363</v>
      </c>
      <c r="D581" s="90" t="s">
        <v>928</v>
      </c>
      <c r="E581" s="90" t="s">
        <v>1398</v>
      </c>
      <c r="F581" s="87">
        <v>6.0</v>
      </c>
      <c r="G581" s="87">
        <v>0.0</v>
      </c>
      <c r="H581" s="87">
        <v>1189.0</v>
      </c>
      <c r="I581" s="87">
        <v>0.0</v>
      </c>
      <c r="J581" s="87">
        <v>168.9466</v>
      </c>
      <c r="K581" s="87">
        <v>169.2661</v>
      </c>
      <c r="L581" s="87">
        <v>178.7869</v>
      </c>
      <c r="M581" s="87">
        <v>165.675</v>
      </c>
      <c r="N581" s="87">
        <v>0.978784</v>
      </c>
      <c r="O581" s="87">
        <v>0.0</v>
      </c>
      <c r="P581" s="87">
        <v>0.0</v>
      </c>
      <c r="Q581" s="87">
        <v>0.0</v>
      </c>
      <c r="R581" s="87">
        <v>0.0</v>
      </c>
      <c r="S581" s="87">
        <v>3.591169</v>
      </c>
      <c r="T581" s="87">
        <v>3.591169</v>
      </c>
      <c r="U581" s="87">
        <v>3.591169</v>
      </c>
      <c r="V581" s="87">
        <v>3.591169</v>
      </c>
      <c r="W581" s="87">
        <v>64.76308</v>
      </c>
      <c r="X581" s="87">
        <v>100.9119</v>
      </c>
      <c r="Y581" s="87">
        <v>24.18088</v>
      </c>
      <c r="Z581" s="88" t="s">
        <v>1396</v>
      </c>
    </row>
    <row r="582" hidden="1">
      <c r="A582" s="90" t="s">
        <v>2147</v>
      </c>
      <c r="B582" s="90" t="s">
        <v>2171</v>
      </c>
      <c r="C582" s="90" t="s">
        <v>363</v>
      </c>
      <c r="D582" s="90" t="s">
        <v>928</v>
      </c>
      <c r="E582" s="90" t="s">
        <v>1400</v>
      </c>
      <c r="F582" s="87">
        <v>21.0</v>
      </c>
      <c r="G582" s="87">
        <v>1.0</v>
      </c>
      <c r="H582" s="87">
        <v>5598.0</v>
      </c>
      <c r="I582" s="87">
        <v>2.0</v>
      </c>
      <c r="J582" s="87">
        <v>544.9016</v>
      </c>
      <c r="K582" s="87">
        <v>544.9498</v>
      </c>
      <c r="L582" s="87">
        <v>550.7808</v>
      </c>
      <c r="M582" s="87">
        <v>453.9451</v>
      </c>
      <c r="N582" s="87">
        <v>0.833004</v>
      </c>
      <c r="O582" s="87">
        <v>0.0</v>
      </c>
      <c r="P582" s="87">
        <v>0.0</v>
      </c>
      <c r="Q582" s="87">
        <v>1.671264</v>
      </c>
      <c r="R582" s="87">
        <v>4.221074</v>
      </c>
      <c r="S582" s="87">
        <v>11.44593</v>
      </c>
      <c r="T582" s="87">
        <v>1.671264</v>
      </c>
      <c r="U582" s="87">
        <v>3.584475</v>
      </c>
      <c r="V582" s="87">
        <v>4.017019</v>
      </c>
      <c r="W582" s="87">
        <v>9.4293</v>
      </c>
      <c r="X582" s="87">
        <v>25.85278</v>
      </c>
      <c r="Y582" s="87">
        <v>23.69347</v>
      </c>
      <c r="Z582" s="88" t="s">
        <v>1396</v>
      </c>
    </row>
    <row r="583" hidden="1">
      <c r="A583" s="90" t="s">
        <v>2149</v>
      </c>
      <c r="B583" s="90" t="s">
        <v>2172</v>
      </c>
      <c r="C583" s="90" t="s">
        <v>363</v>
      </c>
      <c r="D583" s="90" t="s">
        <v>928</v>
      </c>
      <c r="E583" s="89">
        <v>46300.0</v>
      </c>
      <c r="F583" s="87">
        <v>3.0</v>
      </c>
      <c r="G583" s="87">
        <v>0.0</v>
      </c>
      <c r="H583" s="87">
        <v>221.0</v>
      </c>
      <c r="I583" s="87">
        <v>0.0</v>
      </c>
      <c r="J583" s="87">
        <v>18.4854</v>
      </c>
      <c r="K583" s="87">
        <v>17.8252</v>
      </c>
      <c r="L583" s="87">
        <v>17.8252</v>
      </c>
      <c r="M583" s="87">
        <v>17.8252</v>
      </c>
      <c r="N583" s="87">
        <v>1.0</v>
      </c>
      <c r="O583" s="87">
        <v>17.8252</v>
      </c>
      <c r="P583" s="87">
        <v>17.8252</v>
      </c>
      <c r="Q583" s="87">
        <v>17.8252</v>
      </c>
      <c r="R583" s="87">
        <v>17.8252</v>
      </c>
      <c r="S583" s="87">
        <v>17.8252</v>
      </c>
      <c r="T583" s="87">
        <v>17.8252</v>
      </c>
      <c r="U583" s="87">
        <v>17.8252</v>
      </c>
      <c r="V583" s="87">
        <v>17.8252</v>
      </c>
      <c r="W583" s="87">
        <v>17.8252</v>
      </c>
      <c r="X583" s="87">
        <v>17.8252</v>
      </c>
      <c r="Y583" s="87">
        <v>17.8252</v>
      </c>
      <c r="Z583" s="88" t="s">
        <v>1396</v>
      </c>
    </row>
    <row r="584" hidden="1">
      <c r="A584" s="90" t="s">
        <v>2151</v>
      </c>
      <c r="B584" s="90" t="s">
        <v>2173</v>
      </c>
      <c r="C584" s="90" t="s">
        <v>363</v>
      </c>
      <c r="D584" s="90" t="s">
        <v>928</v>
      </c>
      <c r="E584" s="90" t="s">
        <v>1403</v>
      </c>
      <c r="F584" s="87">
        <v>1.0</v>
      </c>
      <c r="G584" s="87">
        <v>1.0</v>
      </c>
      <c r="H584" s="87">
        <v>1.0</v>
      </c>
      <c r="I584" s="87">
        <v>1.0</v>
      </c>
      <c r="J584" s="87">
        <v>0.0</v>
      </c>
      <c r="K584" s="87">
        <v>0.0</v>
      </c>
      <c r="L584" s="87">
        <v>0.0</v>
      </c>
      <c r="M584" s="87">
        <v>0.0</v>
      </c>
      <c r="N584" s="91"/>
      <c r="O584" s="87">
        <v>0.0</v>
      </c>
      <c r="P584" s="87">
        <v>0.0</v>
      </c>
      <c r="Q584" s="87">
        <v>0.0</v>
      </c>
      <c r="R584" s="87">
        <v>0.0</v>
      </c>
      <c r="S584" s="87">
        <v>0.0</v>
      </c>
      <c r="T584" s="91"/>
      <c r="U584" s="91"/>
      <c r="V584" s="91"/>
      <c r="W584" s="91"/>
      <c r="X584" s="91"/>
      <c r="Y584" s="87">
        <v>0.0</v>
      </c>
      <c r="Z584" s="88" t="s">
        <v>1396</v>
      </c>
    </row>
    <row r="585" hidden="1">
      <c r="A585" s="90" t="s">
        <v>2174</v>
      </c>
      <c r="B585" s="90" t="s">
        <v>2175</v>
      </c>
      <c r="C585" s="90" t="s">
        <v>393</v>
      </c>
      <c r="D585" s="90" t="s">
        <v>2176</v>
      </c>
      <c r="E585" s="86">
        <v>46310.0</v>
      </c>
      <c r="F585" s="87">
        <v>1.0</v>
      </c>
      <c r="G585" s="87">
        <v>0.0</v>
      </c>
      <c r="H585" s="87">
        <v>2126.0</v>
      </c>
      <c r="I585" s="87">
        <v>0.0</v>
      </c>
      <c r="J585" s="87">
        <v>19.34817</v>
      </c>
      <c r="K585" s="87">
        <v>19.68588</v>
      </c>
      <c r="L585" s="87">
        <v>20.30323</v>
      </c>
      <c r="M585" s="87">
        <v>19.60254</v>
      </c>
      <c r="N585" s="87">
        <v>0.995767</v>
      </c>
      <c r="O585" s="87">
        <v>0.083333</v>
      </c>
      <c r="P585" s="87">
        <v>0.083333</v>
      </c>
      <c r="Q585" s="87">
        <v>0.083333</v>
      </c>
      <c r="R585" s="87">
        <v>19.60254</v>
      </c>
      <c r="S585" s="87">
        <v>19.60254</v>
      </c>
      <c r="T585" s="87">
        <v>0.083333</v>
      </c>
      <c r="U585" s="87">
        <v>0.083333</v>
      </c>
      <c r="V585" s="87">
        <v>0.083333</v>
      </c>
      <c r="W585" s="87">
        <v>19.60254</v>
      </c>
      <c r="X585" s="87">
        <v>19.60254</v>
      </c>
      <c r="Y585" s="87">
        <v>9.842938</v>
      </c>
      <c r="Z585" s="88" t="s">
        <v>1396</v>
      </c>
    </row>
    <row r="586" hidden="1">
      <c r="A586" s="90" t="s">
        <v>2177</v>
      </c>
      <c r="B586" s="90" t="s">
        <v>2178</v>
      </c>
      <c r="C586" s="90" t="s">
        <v>393</v>
      </c>
      <c r="D586" s="90" t="s">
        <v>2176</v>
      </c>
      <c r="E586" s="90" t="s">
        <v>1413</v>
      </c>
      <c r="F586" s="87">
        <v>4.0</v>
      </c>
      <c r="G586" s="87">
        <v>0.0</v>
      </c>
      <c r="H586" s="87">
        <v>2301.0</v>
      </c>
      <c r="I586" s="87">
        <v>0.0</v>
      </c>
      <c r="J586" s="87">
        <v>23.51572</v>
      </c>
      <c r="K586" s="87">
        <v>20.5693</v>
      </c>
      <c r="L586" s="87">
        <v>21.42193</v>
      </c>
      <c r="M586" s="87">
        <v>9.055591</v>
      </c>
      <c r="N586" s="87">
        <v>0.440248</v>
      </c>
      <c r="O586" s="87">
        <v>0.0</v>
      </c>
      <c r="P586" s="87">
        <v>2.714263</v>
      </c>
      <c r="Q586" s="87">
        <v>2.714263</v>
      </c>
      <c r="R586" s="87">
        <v>3.999308</v>
      </c>
      <c r="S586" s="87">
        <v>4.800139</v>
      </c>
      <c r="T586" s="87">
        <v>2.714263</v>
      </c>
      <c r="U586" s="87">
        <v>2.714263</v>
      </c>
      <c r="V586" s="87">
        <v>3.999308</v>
      </c>
      <c r="W586" s="87">
        <v>4.800139</v>
      </c>
      <c r="X586" s="87">
        <v>4.800139</v>
      </c>
      <c r="Y586" s="87">
        <v>4.11386</v>
      </c>
      <c r="Z586" s="88" t="s">
        <v>1396</v>
      </c>
    </row>
    <row r="587" hidden="1">
      <c r="A587" s="90" t="s">
        <v>2179</v>
      </c>
      <c r="B587" s="90" t="s">
        <v>2180</v>
      </c>
      <c r="C587" s="90" t="s">
        <v>393</v>
      </c>
      <c r="D587" s="90" t="s">
        <v>2176</v>
      </c>
      <c r="E587" s="90" t="s">
        <v>1398</v>
      </c>
      <c r="F587" s="87">
        <v>8.0</v>
      </c>
      <c r="G587" s="87">
        <v>1.0</v>
      </c>
      <c r="H587" s="87">
        <v>3844.0</v>
      </c>
      <c r="I587" s="87">
        <v>2.0</v>
      </c>
      <c r="J587" s="87">
        <v>33.30261</v>
      </c>
      <c r="K587" s="87">
        <v>32.3278</v>
      </c>
      <c r="L587" s="87">
        <v>33.30819</v>
      </c>
      <c r="M587" s="87">
        <v>23.25555</v>
      </c>
      <c r="N587" s="87">
        <v>0.719367</v>
      </c>
      <c r="O587" s="87">
        <v>0.96459</v>
      </c>
      <c r="P587" s="87">
        <v>1.374548</v>
      </c>
      <c r="Q587" s="87">
        <v>1.374548</v>
      </c>
      <c r="R587" s="87">
        <v>5.217136</v>
      </c>
      <c r="S587" s="87">
        <v>8.505604</v>
      </c>
      <c r="T587" s="87">
        <v>0.96459</v>
      </c>
      <c r="U587" s="87">
        <v>1.374548</v>
      </c>
      <c r="V587" s="87">
        <v>1.374548</v>
      </c>
      <c r="W587" s="87">
        <v>5.217136</v>
      </c>
      <c r="X587" s="87">
        <v>8.505604</v>
      </c>
      <c r="Y587" s="87">
        <v>5.387967</v>
      </c>
      <c r="Z587" s="88" t="s">
        <v>1396</v>
      </c>
    </row>
    <row r="588" hidden="1">
      <c r="A588" s="90" t="s">
        <v>2181</v>
      </c>
      <c r="B588" s="90" t="s">
        <v>2182</v>
      </c>
      <c r="C588" s="90" t="s">
        <v>393</v>
      </c>
      <c r="D588" s="90" t="s">
        <v>2176</v>
      </c>
      <c r="E588" s="90" t="s">
        <v>1400</v>
      </c>
      <c r="F588" s="87">
        <v>21.0</v>
      </c>
      <c r="G588" s="87">
        <v>1.0</v>
      </c>
      <c r="H588" s="87">
        <v>12878.0</v>
      </c>
      <c r="I588" s="87">
        <v>15.0</v>
      </c>
      <c r="J588" s="87">
        <v>95.03323</v>
      </c>
      <c r="K588" s="87">
        <v>109.8168</v>
      </c>
      <c r="L588" s="87">
        <v>100.2499</v>
      </c>
      <c r="M588" s="87">
        <v>46.49718</v>
      </c>
      <c r="N588" s="87">
        <v>0.423407</v>
      </c>
      <c r="O588" s="87">
        <v>1.834816</v>
      </c>
      <c r="P588" s="87">
        <v>2.147699</v>
      </c>
      <c r="Q588" s="87">
        <v>3.528936</v>
      </c>
      <c r="R588" s="87">
        <v>4.677744</v>
      </c>
      <c r="S588" s="87">
        <v>7.398481</v>
      </c>
      <c r="T588" s="87">
        <v>1.834816</v>
      </c>
      <c r="U588" s="87">
        <v>2.147699</v>
      </c>
      <c r="V588" s="87">
        <v>3.528936</v>
      </c>
      <c r="W588" s="87">
        <v>4.677744</v>
      </c>
      <c r="X588" s="87">
        <v>7.398481</v>
      </c>
      <c r="Y588" s="87">
        <v>5.490842</v>
      </c>
      <c r="Z588" s="88" t="s">
        <v>1396</v>
      </c>
    </row>
    <row r="589" hidden="1">
      <c r="A589" s="90" t="s">
        <v>2183</v>
      </c>
      <c r="B589" s="90" t="s">
        <v>2184</v>
      </c>
      <c r="C589" s="90" t="s">
        <v>393</v>
      </c>
      <c r="D589" s="90" t="s">
        <v>2176</v>
      </c>
      <c r="E589" s="90" t="s">
        <v>1403</v>
      </c>
      <c r="F589" s="87">
        <v>1.0</v>
      </c>
      <c r="G589" s="87">
        <v>1.0</v>
      </c>
      <c r="H589" s="87">
        <v>23.0</v>
      </c>
      <c r="I589" s="87">
        <v>23.0</v>
      </c>
      <c r="J589" s="87">
        <v>0.0</v>
      </c>
      <c r="K589" s="87">
        <v>0.0</v>
      </c>
      <c r="L589" s="87">
        <v>0.0</v>
      </c>
      <c r="M589" s="87">
        <v>0.0</v>
      </c>
      <c r="N589" s="91"/>
      <c r="O589" s="87">
        <v>0.0</v>
      </c>
      <c r="P589" s="87">
        <v>0.0</v>
      </c>
      <c r="Q589" s="87">
        <v>0.0</v>
      </c>
      <c r="R589" s="87">
        <v>0.0</v>
      </c>
      <c r="S589" s="87">
        <v>0.0</v>
      </c>
      <c r="T589" s="91"/>
      <c r="U589" s="91"/>
      <c r="V589" s="91"/>
      <c r="W589" s="91"/>
      <c r="X589" s="91"/>
      <c r="Y589" s="87">
        <v>0.0</v>
      </c>
      <c r="Z589" s="88" t="s">
        <v>1396</v>
      </c>
    </row>
    <row r="590" hidden="1">
      <c r="A590" s="90" t="s">
        <v>2174</v>
      </c>
      <c r="B590" s="90" t="s">
        <v>2187</v>
      </c>
      <c r="C590" s="90" t="s">
        <v>393</v>
      </c>
      <c r="D590" s="90" t="s">
        <v>435</v>
      </c>
      <c r="E590" s="86">
        <v>46310.0</v>
      </c>
      <c r="F590" s="87">
        <v>5.0</v>
      </c>
      <c r="G590" s="87">
        <v>0.0</v>
      </c>
      <c r="H590" s="87">
        <v>1996.0</v>
      </c>
      <c r="I590" s="87">
        <v>0.0</v>
      </c>
      <c r="J590" s="87">
        <v>18.00564</v>
      </c>
      <c r="K590" s="87">
        <v>17.32542</v>
      </c>
      <c r="L590" s="87">
        <v>18.5604</v>
      </c>
      <c r="M590" s="87">
        <v>7.99634</v>
      </c>
      <c r="N590" s="87">
        <v>0.461538</v>
      </c>
      <c r="O590" s="87">
        <v>1.216569</v>
      </c>
      <c r="P590" s="87">
        <v>1.216569</v>
      </c>
      <c r="Q590" s="87">
        <v>3.906563</v>
      </c>
      <c r="R590" s="87">
        <v>4.205951</v>
      </c>
      <c r="S590" s="87">
        <v>4.205951</v>
      </c>
      <c r="T590" s="87">
        <v>1.216569</v>
      </c>
      <c r="U590" s="87">
        <v>1.216569</v>
      </c>
      <c r="V590" s="87">
        <v>3.906563</v>
      </c>
      <c r="W590" s="87">
        <v>4.205951</v>
      </c>
      <c r="X590" s="87">
        <v>4.205951</v>
      </c>
      <c r="Y590" s="87">
        <v>4.331356</v>
      </c>
      <c r="Z590" s="88" t="s">
        <v>1396</v>
      </c>
    </row>
    <row r="591" hidden="1">
      <c r="A591" s="90" t="s">
        <v>2177</v>
      </c>
      <c r="B591" s="90" t="s">
        <v>2188</v>
      </c>
      <c r="C591" s="90" t="s">
        <v>393</v>
      </c>
      <c r="D591" s="90" t="s">
        <v>435</v>
      </c>
      <c r="E591" s="90" t="s">
        <v>1413</v>
      </c>
      <c r="F591" s="87">
        <v>1.0</v>
      </c>
      <c r="G591" s="87">
        <v>0.0</v>
      </c>
      <c r="H591" s="87">
        <v>418.0</v>
      </c>
      <c r="I591" s="87">
        <v>0.0</v>
      </c>
      <c r="J591" s="87">
        <v>1.5</v>
      </c>
      <c r="K591" s="87">
        <v>1.874188</v>
      </c>
      <c r="L591" s="87">
        <v>2.189494</v>
      </c>
      <c r="M591" s="87">
        <v>1.874188</v>
      </c>
      <c r="N591" s="87">
        <v>1.0</v>
      </c>
      <c r="O591" s="87">
        <v>1.874188</v>
      </c>
      <c r="P591" s="87">
        <v>1.874188</v>
      </c>
      <c r="Q591" s="87">
        <v>1.874188</v>
      </c>
      <c r="R591" s="87">
        <v>1.874188</v>
      </c>
      <c r="S591" s="87">
        <v>1.874188</v>
      </c>
      <c r="T591" s="87">
        <v>1.874188</v>
      </c>
      <c r="U591" s="87">
        <v>1.874188</v>
      </c>
      <c r="V591" s="87">
        <v>1.874188</v>
      </c>
      <c r="W591" s="87">
        <v>1.874188</v>
      </c>
      <c r="X591" s="87">
        <v>1.874188</v>
      </c>
      <c r="Y591" s="87">
        <v>1.874188</v>
      </c>
      <c r="Z591" s="88" t="s">
        <v>1396</v>
      </c>
    </row>
    <row r="592" hidden="1">
      <c r="A592" s="90" t="s">
        <v>2179</v>
      </c>
      <c r="B592" s="90" t="s">
        <v>2189</v>
      </c>
      <c r="C592" s="90" t="s">
        <v>393</v>
      </c>
      <c r="D592" s="90" t="s">
        <v>435</v>
      </c>
      <c r="E592" s="90" t="s">
        <v>1398</v>
      </c>
      <c r="F592" s="87">
        <v>3.0</v>
      </c>
      <c r="G592" s="87">
        <v>0.0</v>
      </c>
      <c r="H592" s="87">
        <v>3505.0</v>
      </c>
      <c r="I592" s="87">
        <v>0.0</v>
      </c>
      <c r="J592" s="87">
        <v>0.0</v>
      </c>
      <c r="K592" s="87">
        <v>0.111111</v>
      </c>
      <c r="L592" s="87">
        <v>1.559524</v>
      </c>
      <c r="M592" s="87">
        <v>0.111111</v>
      </c>
      <c r="N592" s="87">
        <v>1.0</v>
      </c>
      <c r="O592" s="87">
        <v>0.111111</v>
      </c>
      <c r="P592" s="87">
        <v>0.111111</v>
      </c>
      <c r="Q592" s="87">
        <v>0.111111</v>
      </c>
      <c r="R592" s="87">
        <v>0.111111</v>
      </c>
      <c r="S592" s="87">
        <v>0.111111</v>
      </c>
      <c r="T592" s="87">
        <v>0.111111</v>
      </c>
      <c r="U592" s="87">
        <v>0.111111</v>
      </c>
      <c r="V592" s="87">
        <v>0.111111</v>
      </c>
      <c r="W592" s="87">
        <v>0.111111</v>
      </c>
      <c r="X592" s="87">
        <v>0.111111</v>
      </c>
      <c r="Y592" s="87">
        <v>0.111111</v>
      </c>
      <c r="Z592" s="88" t="s">
        <v>1396</v>
      </c>
    </row>
    <row r="593" hidden="1">
      <c r="A593" s="90" t="s">
        <v>2181</v>
      </c>
      <c r="B593" s="90" t="s">
        <v>3342</v>
      </c>
      <c r="C593" s="90" t="s">
        <v>393</v>
      </c>
      <c r="D593" s="90" t="s">
        <v>435</v>
      </c>
      <c r="E593" s="90" t="s">
        <v>1400</v>
      </c>
      <c r="F593" s="87">
        <v>8.0</v>
      </c>
      <c r="G593" s="87">
        <v>0.0</v>
      </c>
      <c r="H593" s="87">
        <v>1577.0</v>
      </c>
      <c r="I593" s="87">
        <v>0.0</v>
      </c>
      <c r="J593" s="87">
        <v>0.0</v>
      </c>
      <c r="K593" s="87">
        <v>0.0</v>
      </c>
      <c r="L593" s="87">
        <v>0.0</v>
      </c>
      <c r="M593" s="87">
        <v>0.0</v>
      </c>
      <c r="N593" s="91"/>
      <c r="O593" s="91"/>
      <c r="P593" s="91"/>
      <c r="Q593" s="91"/>
      <c r="R593" s="91"/>
      <c r="S593" s="91"/>
      <c r="T593" s="91"/>
      <c r="U593" s="91"/>
      <c r="V593" s="91"/>
      <c r="W593" s="91"/>
      <c r="X593" s="91"/>
      <c r="Y593" s="91"/>
      <c r="Z593" s="88" t="s">
        <v>1396</v>
      </c>
    </row>
    <row r="594" hidden="1">
      <c r="A594" s="90" t="s">
        <v>2190</v>
      </c>
      <c r="B594" s="90" t="s">
        <v>2191</v>
      </c>
      <c r="C594" s="90" t="s">
        <v>393</v>
      </c>
      <c r="D594" s="90" t="s">
        <v>435</v>
      </c>
      <c r="E594" s="89">
        <v>46300.0</v>
      </c>
      <c r="F594" s="87">
        <v>5.0</v>
      </c>
      <c r="G594" s="87">
        <v>1.0</v>
      </c>
      <c r="H594" s="87">
        <v>7632.0</v>
      </c>
      <c r="I594" s="87">
        <v>1.0</v>
      </c>
      <c r="J594" s="87">
        <v>54.18317</v>
      </c>
      <c r="K594" s="87">
        <v>53.73804</v>
      </c>
      <c r="L594" s="87">
        <v>52.60375</v>
      </c>
      <c r="M594" s="87">
        <v>37.81997</v>
      </c>
      <c r="N594" s="87">
        <v>0.703784</v>
      </c>
      <c r="O594" s="87">
        <v>0.0</v>
      </c>
      <c r="P594" s="87">
        <v>0.0</v>
      </c>
      <c r="Q594" s="87">
        <v>0.0</v>
      </c>
      <c r="R594" s="87">
        <v>15.91807</v>
      </c>
      <c r="S594" s="87">
        <v>37.81997</v>
      </c>
      <c r="T594" s="87">
        <v>15.91807</v>
      </c>
      <c r="U594" s="87">
        <v>15.91807</v>
      </c>
      <c r="V594" s="87">
        <v>15.91807</v>
      </c>
      <c r="W594" s="87">
        <v>37.81997</v>
      </c>
      <c r="X594" s="87">
        <v>37.81997</v>
      </c>
      <c r="Y594" s="87">
        <v>17.91268</v>
      </c>
      <c r="Z594" s="88" t="s">
        <v>1396</v>
      </c>
    </row>
    <row r="595" hidden="1">
      <c r="A595" s="90" t="s">
        <v>2183</v>
      </c>
      <c r="B595" s="90" t="s">
        <v>2192</v>
      </c>
      <c r="C595" s="90" t="s">
        <v>393</v>
      </c>
      <c r="D595" s="90" t="s">
        <v>435</v>
      </c>
      <c r="E595" s="90" t="s">
        <v>1403</v>
      </c>
      <c r="F595" s="87">
        <v>1.0</v>
      </c>
      <c r="G595" s="87">
        <v>1.0</v>
      </c>
      <c r="H595" s="87">
        <v>120.0</v>
      </c>
      <c r="I595" s="87">
        <v>120.0</v>
      </c>
      <c r="J595" s="87">
        <v>0.0</v>
      </c>
      <c r="K595" s="87">
        <v>0.0</v>
      </c>
      <c r="L595" s="87">
        <v>0.0</v>
      </c>
      <c r="M595" s="87">
        <v>0.0</v>
      </c>
      <c r="N595" s="91"/>
      <c r="O595" s="87">
        <v>0.0</v>
      </c>
      <c r="P595" s="87">
        <v>0.0</v>
      </c>
      <c r="Q595" s="87">
        <v>0.0</v>
      </c>
      <c r="R595" s="87">
        <v>0.0</v>
      </c>
      <c r="S595" s="87">
        <v>0.0</v>
      </c>
      <c r="T595" s="91"/>
      <c r="U595" s="91"/>
      <c r="V595" s="91"/>
      <c r="W595" s="91"/>
      <c r="X595" s="91"/>
      <c r="Y595" s="87">
        <v>0.0</v>
      </c>
      <c r="Z595" s="88" t="s">
        <v>1396</v>
      </c>
    </row>
    <row r="596" hidden="1">
      <c r="A596" s="90" t="s">
        <v>2185</v>
      </c>
      <c r="B596" s="90" t="s">
        <v>2193</v>
      </c>
      <c r="C596" s="90" t="s">
        <v>393</v>
      </c>
      <c r="D596" s="90" t="s">
        <v>425</v>
      </c>
      <c r="E596" s="90" t="s">
        <v>1426</v>
      </c>
      <c r="F596" s="87">
        <v>1.0</v>
      </c>
      <c r="G596" s="87">
        <v>0.0</v>
      </c>
      <c r="H596" s="87">
        <v>4425.0</v>
      </c>
      <c r="I596" s="87">
        <v>0.0</v>
      </c>
      <c r="J596" s="87">
        <v>46.29121</v>
      </c>
      <c r="K596" s="87">
        <v>57.58751</v>
      </c>
      <c r="L596" s="87">
        <v>60.42987</v>
      </c>
      <c r="M596" s="87">
        <v>57.58751</v>
      </c>
      <c r="N596" s="87">
        <v>1.0</v>
      </c>
      <c r="O596" s="87">
        <v>57.58751</v>
      </c>
      <c r="P596" s="87">
        <v>57.58751</v>
      </c>
      <c r="Q596" s="87">
        <v>57.58751</v>
      </c>
      <c r="R596" s="87">
        <v>57.58751</v>
      </c>
      <c r="S596" s="87">
        <v>57.58751</v>
      </c>
      <c r="T596" s="87">
        <v>57.58751</v>
      </c>
      <c r="U596" s="87">
        <v>57.58751</v>
      </c>
      <c r="V596" s="87">
        <v>57.58751</v>
      </c>
      <c r="W596" s="87">
        <v>57.58751</v>
      </c>
      <c r="X596" s="87">
        <v>57.58751</v>
      </c>
      <c r="Y596" s="87">
        <v>57.58751</v>
      </c>
      <c r="Z596" s="88" t="s">
        <v>1396</v>
      </c>
    </row>
    <row r="597" hidden="1">
      <c r="A597" s="90" t="s">
        <v>2174</v>
      </c>
      <c r="B597" s="90" t="s">
        <v>2194</v>
      </c>
      <c r="C597" s="90" t="s">
        <v>393</v>
      </c>
      <c r="D597" s="90" t="s">
        <v>425</v>
      </c>
      <c r="E597" s="86">
        <v>46310.0</v>
      </c>
      <c r="F597" s="87">
        <v>3.0</v>
      </c>
      <c r="G597" s="87">
        <v>0.0</v>
      </c>
      <c r="H597" s="87">
        <v>2719.0</v>
      </c>
      <c r="I597" s="87">
        <v>0.0</v>
      </c>
      <c r="J597" s="87">
        <v>29.71648</v>
      </c>
      <c r="K597" s="87">
        <v>32.90426</v>
      </c>
      <c r="L597" s="87">
        <v>33.66617</v>
      </c>
      <c r="M597" s="87">
        <v>20.91376</v>
      </c>
      <c r="N597" s="87">
        <v>0.635594</v>
      </c>
      <c r="O597" s="87">
        <v>11.9905</v>
      </c>
      <c r="P597" s="87">
        <v>11.9905</v>
      </c>
      <c r="Q597" s="87">
        <v>11.9905</v>
      </c>
      <c r="R597" s="87">
        <v>20.91376</v>
      </c>
      <c r="S597" s="87">
        <v>20.91376</v>
      </c>
      <c r="T597" s="87">
        <v>11.9905</v>
      </c>
      <c r="U597" s="87">
        <v>11.9905</v>
      </c>
      <c r="V597" s="87">
        <v>11.9905</v>
      </c>
      <c r="W597" s="87">
        <v>20.91376</v>
      </c>
      <c r="X597" s="87">
        <v>20.91376</v>
      </c>
      <c r="Y597" s="87">
        <v>16.45213</v>
      </c>
      <c r="Z597" s="88" t="s">
        <v>1396</v>
      </c>
    </row>
    <row r="598" hidden="1">
      <c r="A598" s="90" t="s">
        <v>2177</v>
      </c>
      <c r="B598" s="90" t="s">
        <v>2195</v>
      </c>
      <c r="C598" s="90" t="s">
        <v>393</v>
      </c>
      <c r="D598" s="90" t="s">
        <v>425</v>
      </c>
      <c r="E598" s="90" t="s">
        <v>1413</v>
      </c>
      <c r="F598" s="87">
        <v>3.0</v>
      </c>
      <c r="G598" s="87">
        <v>2.0</v>
      </c>
      <c r="H598" s="87">
        <v>194.0</v>
      </c>
      <c r="I598" s="87">
        <v>68.0</v>
      </c>
      <c r="J598" s="87">
        <v>0.0</v>
      </c>
      <c r="K598" s="87">
        <v>0.0</v>
      </c>
      <c r="L598" s="87">
        <v>0.0</v>
      </c>
      <c r="M598" s="87">
        <v>0.0</v>
      </c>
      <c r="N598" s="91"/>
      <c r="O598" s="91"/>
      <c r="P598" s="91"/>
      <c r="Q598" s="91"/>
      <c r="R598" s="91"/>
      <c r="S598" s="91"/>
      <c r="T598" s="91"/>
      <c r="U598" s="91"/>
      <c r="V598" s="91"/>
      <c r="W598" s="91"/>
      <c r="X598" s="91"/>
      <c r="Y598" s="91"/>
      <c r="Z598" s="88" t="s">
        <v>1396</v>
      </c>
    </row>
    <row r="599" hidden="1">
      <c r="A599" s="90" t="s">
        <v>2179</v>
      </c>
      <c r="B599" s="90" t="s">
        <v>2196</v>
      </c>
      <c r="C599" s="90" t="s">
        <v>393</v>
      </c>
      <c r="D599" s="90" t="s">
        <v>425</v>
      </c>
      <c r="E599" s="90" t="s">
        <v>1398</v>
      </c>
      <c r="F599" s="87">
        <v>1.0</v>
      </c>
      <c r="G599" s="87">
        <v>0.0</v>
      </c>
      <c r="H599" s="87">
        <v>1386.0</v>
      </c>
      <c r="I599" s="87">
        <v>0.0</v>
      </c>
      <c r="J599" s="87">
        <v>4.420208</v>
      </c>
      <c r="K599" s="87">
        <v>10.33831</v>
      </c>
      <c r="L599" s="87">
        <v>7.260015</v>
      </c>
      <c r="M599" s="87">
        <v>8.170497</v>
      </c>
      <c r="N599" s="87">
        <v>0.790312</v>
      </c>
      <c r="O599" s="87">
        <v>2.167816</v>
      </c>
      <c r="P599" s="87">
        <v>2.167816</v>
      </c>
      <c r="Q599" s="87">
        <v>2.167816</v>
      </c>
      <c r="R599" s="87">
        <v>8.170497</v>
      </c>
      <c r="S599" s="87">
        <v>8.170497</v>
      </c>
      <c r="T599" s="87">
        <v>2.167816</v>
      </c>
      <c r="U599" s="87">
        <v>2.167816</v>
      </c>
      <c r="V599" s="87">
        <v>2.167816</v>
      </c>
      <c r="W599" s="87">
        <v>8.170497</v>
      </c>
      <c r="X599" s="87">
        <v>8.170497</v>
      </c>
      <c r="Y599" s="87">
        <v>5.169157</v>
      </c>
      <c r="Z599" s="88" t="s">
        <v>1396</v>
      </c>
    </row>
    <row r="600" hidden="1">
      <c r="A600" s="90" t="s">
        <v>2181</v>
      </c>
      <c r="B600" s="90" t="s">
        <v>2197</v>
      </c>
      <c r="C600" s="90" t="s">
        <v>393</v>
      </c>
      <c r="D600" s="90" t="s">
        <v>425</v>
      </c>
      <c r="E600" s="90" t="s">
        <v>1400</v>
      </c>
      <c r="F600" s="87">
        <v>3.0</v>
      </c>
      <c r="G600" s="87">
        <v>0.0</v>
      </c>
      <c r="H600" s="87">
        <v>931.0</v>
      </c>
      <c r="I600" s="87">
        <v>0.0</v>
      </c>
      <c r="J600" s="87">
        <v>7.049145</v>
      </c>
      <c r="K600" s="87">
        <v>6.390912</v>
      </c>
      <c r="L600" s="87">
        <v>6.118023</v>
      </c>
      <c r="M600" s="87">
        <v>3.75859</v>
      </c>
      <c r="N600" s="87">
        <v>0.588115</v>
      </c>
      <c r="O600" s="87">
        <v>2.632323</v>
      </c>
      <c r="P600" s="87">
        <v>2.632323</v>
      </c>
      <c r="Q600" s="87">
        <v>2.632323</v>
      </c>
      <c r="R600" s="87">
        <v>3.75859</v>
      </c>
      <c r="S600" s="87">
        <v>3.75859</v>
      </c>
      <c r="T600" s="87">
        <v>2.632323</v>
      </c>
      <c r="U600" s="87">
        <v>2.632323</v>
      </c>
      <c r="V600" s="87">
        <v>2.632323</v>
      </c>
      <c r="W600" s="87">
        <v>3.75859</v>
      </c>
      <c r="X600" s="87">
        <v>3.75859</v>
      </c>
      <c r="Y600" s="87">
        <v>3.195456</v>
      </c>
      <c r="Z600" s="88" t="s">
        <v>1396</v>
      </c>
    </row>
    <row r="601" hidden="1">
      <c r="A601" s="90" t="s">
        <v>2190</v>
      </c>
      <c r="B601" s="90" t="s">
        <v>2198</v>
      </c>
      <c r="C601" s="90" t="s">
        <v>393</v>
      </c>
      <c r="D601" s="90" t="s">
        <v>425</v>
      </c>
      <c r="E601" s="89">
        <v>46300.0</v>
      </c>
      <c r="F601" s="87">
        <v>1.0</v>
      </c>
      <c r="G601" s="87">
        <v>0.0</v>
      </c>
      <c r="H601" s="87">
        <v>469.0</v>
      </c>
      <c r="I601" s="87">
        <v>0.0</v>
      </c>
      <c r="J601" s="87">
        <v>13.40798</v>
      </c>
      <c r="K601" s="87">
        <v>14.62081</v>
      </c>
      <c r="L601" s="87">
        <v>13.07971</v>
      </c>
      <c r="M601" s="87">
        <v>14.62081</v>
      </c>
      <c r="N601" s="87">
        <v>1.0</v>
      </c>
      <c r="O601" s="87">
        <v>14.62081</v>
      </c>
      <c r="P601" s="87">
        <v>14.62081</v>
      </c>
      <c r="Q601" s="87">
        <v>14.62081</v>
      </c>
      <c r="R601" s="87">
        <v>14.62081</v>
      </c>
      <c r="S601" s="87">
        <v>14.62081</v>
      </c>
      <c r="T601" s="87">
        <v>14.62081</v>
      </c>
      <c r="U601" s="87">
        <v>14.62081</v>
      </c>
      <c r="V601" s="87">
        <v>14.62081</v>
      </c>
      <c r="W601" s="87">
        <v>14.62081</v>
      </c>
      <c r="X601" s="87">
        <v>14.62081</v>
      </c>
      <c r="Y601" s="87">
        <v>14.62081</v>
      </c>
      <c r="Z601" s="88" t="s">
        <v>1396</v>
      </c>
    </row>
    <row r="602" hidden="1">
      <c r="A602" s="90" t="s">
        <v>2183</v>
      </c>
      <c r="B602" s="90" t="s">
        <v>2199</v>
      </c>
      <c r="C602" s="90" t="s">
        <v>393</v>
      </c>
      <c r="D602" s="90" t="s">
        <v>425</v>
      </c>
      <c r="E602" s="90" t="s">
        <v>1403</v>
      </c>
      <c r="F602" s="87">
        <v>2.0</v>
      </c>
      <c r="G602" s="87">
        <v>2.0</v>
      </c>
      <c r="H602" s="87">
        <v>32.0</v>
      </c>
      <c r="I602" s="87">
        <v>32.0</v>
      </c>
      <c r="J602" s="87">
        <v>0.0</v>
      </c>
      <c r="K602" s="87">
        <v>0.0</v>
      </c>
      <c r="L602" s="87">
        <v>0.0</v>
      </c>
      <c r="M602" s="87">
        <v>0.0</v>
      </c>
      <c r="N602" s="85"/>
      <c r="O602" s="87">
        <v>0.0</v>
      </c>
      <c r="P602" s="87">
        <v>0.0</v>
      </c>
      <c r="Q602" s="87">
        <v>0.0</v>
      </c>
      <c r="R602" s="87">
        <v>0.0</v>
      </c>
      <c r="S602" s="87">
        <v>0.0</v>
      </c>
      <c r="T602" s="91"/>
      <c r="U602" s="91"/>
      <c r="V602" s="91"/>
      <c r="W602" s="91"/>
      <c r="X602" s="91"/>
      <c r="Y602" s="87">
        <v>0.0</v>
      </c>
      <c r="Z602" s="88" t="s">
        <v>1396</v>
      </c>
    </row>
    <row r="603" hidden="1">
      <c r="A603" s="90" t="s">
        <v>2185</v>
      </c>
      <c r="B603" s="90" t="s">
        <v>2200</v>
      </c>
      <c r="C603" s="90" t="s">
        <v>393</v>
      </c>
      <c r="D603" s="90" t="s">
        <v>394</v>
      </c>
      <c r="E603" s="90" t="s">
        <v>1426</v>
      </c>
      <c r="F603" s="87">
        <v>0.0</v>
      </c>
      <c r="G603" s="87">
        <v>0.0</v>
      </c>
      <c r="H603" s="87">
        <v>0.0</v>
      </c>
      <c r="I603" s="87">
        <v>0.0</v>
      </c>
      <c r="J603" s="87">
        <v>0.0</v>
      </c>
      <c r="K603" s="87">
        <v>0.0</v>
      </c>
      <c r="L603" s="87">
        <v>0.0</v>
      </c>
      <c r="M603" s="87">
        <v>0.0</v>
      </c>
      <c r="N603" s="91"/>
      <c r="O603" s="87">
        <v>0.0</v>
      </c>
      <c r="P603" s="87">
        <v>0.0</v>
      </c>
      <c r="Q603" s="87">
        <v>0.0</v>
      </c>
      <c r="R603" s="87">
        <v>0.0</v>
      </c>
      <c r="S603" s="87">
        <v>0.0</v>
      </c>
      <c r="T603" s="91"/>
      <c r="U603" s="91"/>
      <c r="V603" s="91"/>
      <c r="W603" s="91"/>
      <c r="X603" s="91"/>
      <c r="Y603" s="87">
        <v>0.0</v>
      </c>
      <c r="Z603" s="88" t="s">
        <v>1396</v>
      </c>
    </row>
    <row r="604" hidden="1">
      <c r="A604" s="90" t="s">
        <v>2174</v>
      </c>
      <c r="B604" s="90" t="s">
        <v>2201</v>
      </c>
      <c r="C604" s="90" t="s">
        <v>393</v>
      </c>
      <c r="D604" s="90" t="s">
        <v>394</v>
      </c>
      <c r="E604" s="86">
        <v>46310.0</v>
      </c>
      <c r="F604" s="87">
        <v>9.0</v>
      </c>
      <c r="G604" s="87">
        <v>2.0</v>
      </c>
      <c r="H604" s="87">
        <v>5612.0</v>
      </c>
      <c r="I604" s="87">
        <v>4.0</v>
      </c>
      <c r="J604" s="87">
        <v>13.47299</v>
      </c>
      <c r="K604" s="87">
        <v>17.68172</v>
      </c>
      <c r="L604" s="87">
        <v>19.52518</v>
      </c>
      <c r="M604" s="87">
        <v>10.28576</v>
      </c>
      <c r="N604" s="87">
        <v>0.581717</v>
      </c>
      <c r="O604" s="87">
        <v>0.0</v>
      </c>
      <c r="P604" s="87">
        <v>0.0</v>
      </c>
      <c r="Q604" s="87">
        <v>0.0</v>
      </c>
      <c r="R604" s="87">
        <v>7.395956</v>
      </c>
      <c r="S604" s="87">
        <v>10.28576</v>
      </c>
      <c r="T604" s="87">
        <v>7.395956</v>
      </c>
      <c r="U604" s="87">
        <v>7.395956</v>
      </c>
      <c r="V604" s="87">
        <v>7.395956</v>
      </c>
      <c r="W604" s="87">
        <v>10.28576</v>
      </c>
      <c r="X604" s="87">
        <v>10.28576</v>
      </c>
      <c r="Y604" s="87">
        <v>5.893906</v>
      </c>
      <c r="Z604" s="88" t="s">
        <v>1396</v>
      </c>
    </row>
    <row r="605" hidden="1">
      <c r="A605" s="90" t="s">
        <v>2177</v>
      </c>
      <c r="B605" s="90" t="s">
        <v>2202</v>
      </c>
      <c r="C605" s="90" t="s">
        <v>393</v>
      </c>
      <c r="D605" s="90" t="s">
        <v>394</v>
      </c>
      <c r="E605" s="90" t="s">
        <v>1413</v>
      </c>
      <c r="F605" s="87">
        <v>14.0</v>
      </c>
      <c r="G605" s="87">
        <v>4.0</v>
      </c>
      <c r="H605" s="87">
        <v>6661.0</v>
      </c>
      <c r="I605" s="87">
        <v>29.0</v>
      </c>
      <c r="J605" s="87">
        <v>31.37234</v>
      </c>
      <c r="K605" s="87">
        <v>31.77718</v>
      </c>
      <c r="L605" s="87">
        <v>36.56914</v>
      </c>
      <c r="M605" s="87">
        <v>23.07976</v>
      </c>
      <c r="N605" s="87">
        <v>0.7263</v>
      </c>
      <c r="O605" s="87">
        <v>0.0</v>
      </c>
      <c r="P605" s="87">
        <v>0.0</v>
      </c>
      <c r="Q605" s="87">
        <v>2.714263</v>
      </c>
      <c r="R605" s="87">
        <v>2.786437</v>
      </c>
      <c r="S605" s="87">
        <v>3.19672</v>
      </c>
      <c r="T605" s="87">
        <v>2.714263</v>
      </c>
      <c r="U605" s="87">
        <v>2.786437</v>
      </c>
      <c r="V605" s="87">
        <v>2.786437</v>
      </c>
      <c r="W605" s="87">
        <v>3.19672</v>
      </c>
      <c r="X605" s="87">
        <v>7.814811</v>
      </c>
      <c r="Y605" s="87">
        <v>4.539597</v>
      </c>
      <c r="Z605" s="88" t="s">
        <v>1396</v>
      </c>
    </row>
    <row r="606" hidden="1">
      <c r="A606" s="90" t="s">
        <v>2179</v>
      </c>
      <c r="B606" s="90" t="s">
        <v>2203</v>
      </c>
      <c r="C606" s="90" t="s">
        <v>393</v>
      </c>
      <c r="D606" s="90" t="s">
        <v>394</v>
      </c>
      <c r="E606" s="90" t="s">
        <v>1398</v>
      </c>
      <c r="F606" s="87">
        <v>14.0</v>
      </c>
      <c r="G606" s="87">
        <v>1.0</v>
      </c>
      <c r="H606" s="87">
        <v>8454.0</v>
      </c>
      <c r="I606" s="87">
        <v>2.0</v>
      </c>
      <c r="J606" s="87">
        <v>72.87673</v>
      </c>
      <c r="K606" s="87">
        <v>79.28153</v>
      </c>
      <c r="L606" s="87">
        <v>85.29796</v>
      </c>
      <c r="M606" s="87">
        <v>65.56391</v>
      </c>
      <c r="N606" s="87">
        <v>0.826976</v>
      </c>
      <c r="O606" s="87">
        <v>0.0</v>
      </c>
      <c r="P606" s="87">
        <v>1.515971</v>
      </c>
      <c r="Q606" s="87">
        <v>1.931258</v>
      </c>
      <c r="R606" s="87">
        <v>3.242048</v>
      </c>
      <c r="S606" s="87">
        <v>7.028342</v>
      </c>
      <c r="T606" s="87">
        <v>1.515971</v>
      </c>
      <c r="U606" s="87">
        <v>1.931258</v>
      </c>
      <c r="V606" s="87">
        <v>1.931258</v>
      </c>
      <c r="W606" s="87">
        <v>7.028342</v>
      </c>
      <c r="X606" s="87">
        <v>10.51623</v>
      </c>
      <c r="Y606" s="87">
        <v>11.32593</v>
      </c>
      <c r="Z606" s="88" t="s">
        <v>1396</v>
      </c>
    </row>
    <row r="607" hidden="1">
      <c r="A607" s="90" t="s">
        <v>2181</v>
      </c>
      <c r="B607" s="90" t="s">
        <v>2204</v>
      </c>
      <c r="C607" s="90" t="s">
        <v>393</v>
      </c>
      <c r="D607" s="90" t="s">
        <v>394</v>
      </c>
      <c r="E607" s="90" t="s">
        <v>1400</v>
      </c>
      <c r="F607" s="87">
        <v>31.0</v>
      </c>
      <c r="G607" s="87">
        <v>2.0</v>
      </c>
      <c r="H607" s="87">
        <v>13081.0</v>
      </c>
      <c r="I607" s="87">
        <v>38.0</v>
      </c>
      <c r="J607" s="87">
        <v>41.92679</v>
      </c>
      <c r="K607" s="87">
        <v>37.43937</v>
      </c>
      <c r="L607" s="87">
        <v>35.60171</v>
      </c>
      <c r="M607" s="87">
        <v>24.3224</v>
      </c>
      <c r="N607" s="87">
        <v>0.649648</v>
      </c>
      <c r="O607" s="87">
        <v>0.0</v>
      </c>
      <c r="P607" s="87">
        <v>0.654032</v>
      </c>
      <c r="Q607" s="87">
        <v>0.723732</v>
      </c>
      <c r="R607" s="87">
        <v>1.908194</v>
      </c>
      <c r="S607" s="87">
        <v>3.528936</v>
      </c>
      <c r="T607" s="87">
        <v>0.723732</v>
      </c>
      <c r="U607" s="87">
        <v>1.510345</v>
      </c>
      <c r="V607" s="87">
        <v>1.812338</v>
      </c>
      <c r="W607" s="87">
        <v>2.979389</v>
      </c>
      <c r="X607" s="87">
        <v>5.991178</v>
      </c>
      <c r="Y607" s="87">
        <v>3.119947</v>
      </c>
      <c r="Z607" s="88" t="s">
        <v>1396</v>
      </c>
    </row>
    <row r="608" hidden="1">
      <c r="A608" s="90" t="s">
        <v>2190</v>
      </c>
      <c r="B608" s="90" t="s">
        <v>2205</v>
      </c>
      <c r="C608" s="90" t="s">
        <v>393</v>
      </c>
      <c r="D608" s="90" t="s">
        <v>394</v>
      </c>
      <c r="E608" s="89">
        <v>46300.0</v>
      </c>
      <c r="F608" s="87">
        <v>1.0</v>
      </c>
      <c r="G608" s="87">
        <v>1.0</v>
      </c>
      <c r="H608" s="87">
        <v>6.0</v>
      </c>
      <c r="I608" s="87">
        <v>6.0</v>
      </c>
      <c r="J608" s="87">
        <v>0.0</v>
      </c>
      <c r="K608" s="87">
        <v>0.0</v>
      </c>
      <c r="L608" s="87">
        <v>24.60259</v>
      </c>
      <c r="M608" s="87">
        <v>0.0</v>
      </c>
      <c r="N608" s="91"/>
      <c r="O608" s="87">
        <v>0.0</v>
      </c>
      <c r="P608" s="87">
        <v>0.0</v>
      </c>
      <c r="Q608" s="87">
        <v>0.0</v>
      </c>
      <c r="R608" s="87">
        <v>0.0</v>
      </c>
      <c r="S608" s="87">
        <v>0.0</v>
      </c>
      <c r="T608" s="91"/>
      <c r="U608" s="91"/>
      <c r="V608" s="91"/>
      <c r="W608" s="91"/>
      <c r="X608" s="91"/>
      <c r="Y608" s="87">
        <v>0.0</v>
      </c>
      <c r="Z608" s="88" t="s">
        <v>1396</v>
      </c>
    </row>
    <row r="609" hidden="1">
      <c r="A609" s="90" t="s">
        <v>2183</v>
      </c>
      <c r="B609" s="90" t="s">
        <v>2206</v>
      </c>
      <c r="C609" s="90" t="s">
        <v>393</v>
      </c>
      <c r="D609" s="90" t="s">
        <v>394</v>
      </c>
      <c r="E609" s="90" t="s">
        <v>1403</v>
      </c>
      <c r="F609" s="87">
        <v>13.0</v>
      </c>
      <c r="G609" s="87">
        <v>13.0</v>
      </c>
      <c r="H609" s="87">
        <v>2373.0</v>
      </c>
      <c r="I609" s="87">
        <v>2373.0</v>
      </c>
      <c r="J609" s="87">
        <v>0.0</v>
      </c>
      <c r="K609" s="87">
        <v>0.0</v>
      </c>
      <c r="L609" s="87">
        <v>0.0</v>
      </c>
      <c r="M609" s="87">
        <v>0.0</v>
      </c>
      <c r="N609" s="91"/>
      <c r="O609" s="87">
        <v>0.0</v>
      </c>
      <c r="P609" s="87">
        <v>0.0</v>
      </c>
      <c r="Q609" s="87">
        <v>0.0</v>
      </c>
      <c r="R609" s="87">
        <v>0.0</v>
      </c>
      <c r="S609" s="87">
        <v>0.0</v>
      </c>
      <c r="T609" s="91"/>
      <c r="U609" s="91"/>
      <c r="V609" s="91"/>
      <c r="W609" s="91"/>
      <c r="X609" s="91"/>
      <c r="Y609" s="87">
        <v>0.0</v>
      </c>
      <c r="Z609" s="88" t="s">
        <v>1396</v>
      </c>
    </row>
    <row r="610" hidden="1">
      <c r="A610" s="90" t="s">
        <v>2174</v>
      </c>
      <c r="B610" s="90" t="s">
        <v>2207</v>
      </c>
      <c r="C610" s="90" t="s">
        <v>393</v>
      </c>
      <c r="D610" s="90" t="s">
        <v>398</v>
      </c>
      <c r="E610" s="86">
        <v>46310.0</v>
      </c>
      <c r="F610" s="87">
        <v>1.0</v>
      </c>
      <c r="G610" s="87">
        <v>0.0</v>
      </c>
      <c r="H610" s="87">
        <v>1461.0</v>
      </c>
      <c r="I610" s="87">
        <v>0.0</v>
      </c>
      <c r="J610" s="87">
        <v>0.0</v>
      </c>
      <c r="K610" s="87">
        <v>0.0</v>
      </c>
      <c r="L610" s="87">
        <v>0.0</v>
      </c>
      <c r="M610" s="87">
        <v>0.0</v>
      </c>
      <c r="N610" s="91"/>
      <c r="O610" s="91"/>
      <c r="P610" s="91"/>
      <c r="Q610" s="91"/>
      <c r="R610" s="91"/>
      <c r="S610" s="91"/>
      <c r="T610" s="91"/>
      <c r="U610" s="91"/>
      <c r="V610" s="91"/>
      <c r="W610" s="91"/>
      <c r="X610" s="91"/>
      <c r="Y610" s="91"/>
      <c r="Z610" s="88" t="s">
        <v>1396</v>
      </c>
    </row>
    <row r="611" hidden="1">
      <c r="A611" s="90" t="s">
        <v>2177</v>
      </c>
      <c r="B611" s="90" t="s">
        <v>2208</v>
      </c>
      <c r="C611" s="90" t="s">
        <v>393</v>
      </c>
      <c r="D611" s="90" t="s">
        <v>398</v>
      </c>
      <c r="E611" s="90" t="s">
        <v>1413</v>
      </c>
      <c r="F611" s="87">
        <v>6.0</v>
      </c>
      <c r="G611" s="87">
        <v>0.0</v>
      </c>
      <c r="H611" s="87">
        <v>10400.0</v>
      </c>
      <c r="I611" s="87">
        <v>0.0</v>
      </c>
      <c r="J611" s="87">
        <v>0.839683</v>
      </c>
      <c r="K611" s="87">
        <v>1.000251</v>
      </c>
      <c r="L611" s="87">
        <v>0.668858</v>
      </c>
      <c r="M611" s="87">
        <v>1.000251</v>
      </c>
      <c r="N611" s="87">
        <v>1.0</v>
      </c>
      <c r="O611" s="87">
        <v>1.000251</v>
      </c>
      <c r="P611" s="87">
        <v>1.000251</v>
      </c>
      <c r="Q611" s="87">
        <v>1.000251</v>
      </c>
      <c r="R611" s="87">
        <v>1.000251</v>
      </c>
      <c r="S611" s="87">
        <v>1.000251</v>
      </c>
      <c r="T611" s="87">
        <v>1.000251</v>
      </c>
      <c r="U611" s="87">
        <v>1.000251</v>
      </c>
      <c r="V611" s="87">
        <v>1.000251</v>
      </c>
      <c r="W611" s="87">
        <v>1.000251</v>
      </c>
      <c r="X611" s="87">
        <v>1.000251</v>
      </c>
      <c r="Y611" s="87">
        <v>1.000251</v>
      </c>
      <c r="Z611" s="88" t="s">
        <v>1396</v>
      </c>
    </row>
    <row r="612" hidden="1">
      <c r="A612" s="90" t="s">
        <v>2179</v>
      </c>
      <c r="B612" s="90" t="s">
        <v>2209</v>
      </c>
      <c r="C612" s="90" t="s">
        <v>393</v>
      </c>
      <c r="D612" s="90" t="s">
        <v>398</v>
      </c>
      <c r="E612" s="90" t="s">
        <v>1398</v>
      </c>
      <c r="F612" s="87">
        <v>3.0</v>
      </c>
      <c r="G612" s="87">
        <v>0.0</v>
      </c>
      <c r="H612" s="87">
        <v>2689.0</v>
      </c>
      <c r="I612" s="87">
        <v>0.0</v>
      </c>
      <c r="J612" s="87">
        <v>5.720696</v>
      </c>
      <c r="K612" s="87">
        <v>5.558374</v>
      </c>
      <c r="L612" s="87">
        <v>6.645067</v>
      </c>
      <c r="M612" s="87">
        <v>5.558374</v>
      </c>
      <c r="N612" s="87">
        <v>1.0</v>
      </c>
      <c r="O612" s="87">
        <v>0.0</v>
      </c>
      <c r="P612" s="87">
        <v>0.0</v>
      </c>
      <c r="Q612" s="87">
        <v>0.0</v>
      </c>
      <c r="R612" s="87">
        <v>5.558374</v>
      </c>
      <c r="S612" s="87">
        <v>5.558374</v>
      </c>
      <c r="T612" s="87">
        <v>5.558374</v>
      </c>
      <c r="U612" s="87">
        <v>5.558374</v>
      </c>
      <c r="V612" s="87">
        <v>5.558374</v>
      </c>
      <c r="W612" s="87">
        <v>5.558374</v>
      </c>
      <c r="X612" s="87">
        <v>5.558374</v>
      </c>
      <c r="Y612" s="87">
        <v>2.779187</v>
      </c>
      <c r="Z612" s="88" t="s">
        <v>1396</v>
      </c>
    </row>
    <row r="613" hidden="1">
      <c r="A613" s="90" t="s">
        <v>2181</v>
      </c>
      <c r="B613" s="90" t="s">
        <v>2210</v>
      </c>
      <c r="C613" s="90" t="s">
        <v>393</v>
      </c>
      <c r="D613" s="90" t="s">
        <v>398</v>
      </c>
      <c r="E613" s="90" t="s">
        <v>1400</v>
      </c>
      <c r="F613" s="87">
        <v>8.0</v>
      </c>
      <c r="G613" s="87">
        <v>0.0</v>
      </c>
      <c r="H613" s="87">
        <v>4493.0</v>
      </c>
      <c r="I613" s="87">
        <v>0.0</v>
      </c>
      <c r="J613" s="87">
        <v>26.42364</v>
      </c>
      <c r="K613" s="87">
        <v>27.92776</v>
      </c>
      <c r="L613" s="87">
        <v>31.3065</v>
      </c>
      <c r="M613" s="87">
        <v>24.02019</v>
      </c>
      <c r="N613" s="87">
        <v>0.860083</v>
      </c>
      <c r="O613" s="87">
        <v>0.0</v>
      </c>
      <c r="P613" s="87">
        <v>0.125</v>
      </c>
      <c r="Q613" s="87">
        <v>0.125</v>
      </c>
      <c r="R613" s="87">
        <v>0.698925</v>
      </c>
      <c r="S613" s="87">
        <v>1.503895</v>
      </c>
      <c r="T613" s="87">
        <v>0.125</v>
      </c>
      <c r="U613" s="87">
        <v>0.125</v>
      </c>
      <c r="V613" s="87">
        <v>0.232258</v>
      </c>
      <c r="W613" s="87">
        <v>1.222488</v>
      </c>
      <c r="X613" s="87">
        <v>1.503895</v>
      </c>
      <c r="Y613" s="87">
        <v>3.103084</v>
      </c>
      <c r="Z613" s="88" t="s">
        <v>1396</v>
      </c>
    </row>
    <row r="614" hidden="1">
      <c r="A614" s="90" t="s">
        <v>2190</v>
      </c>
      <c r="B614" s="90" t="s">
        <v>2211</v>
      </c>
      <c r="C614" s="90" t="s">
        <v>393</v>
      </c>
      <c r="D614" s="90" t="s">
        <v>398</v>
      </c>
      <c r="E614" s="89">
        <v>46300.0</v>
      </c>
      <c r="F614" s="87">
        <v>1.0</v>
      </c>
      <c r="G614" s="87">
        <v>0.0</v>
      </c>
      <c r="H614" s="87">
        <v>6235.0</v>
      </c>
      <c r="I614" s="87">
        <v>0.0</v>
      </c>
      <c r="J614" s="87">
        <v>0.0</v>
      </c>
      <c r="K614" s="87">
        <v>0.0</v>
      </c>
      <c r="L614" s="87">
        <v>0.083333</v>
      </c>
      <c r="M614" s="87">
        <v>0.0</v>
      </c>
      <c r="N614" s="85"/>
      <c r="O614" s="87">
        <v>0.0</v>
      </c>
      <c r="P614" s="87">
        <v>0.0</v>
      </c>
      <c r="Q614" s="87">
        <v>0.0</v>
      </c>
      <c r="R614" s="87">
        <v>0.0</v>
      </c>
      <c r="S614" s="87">
        <v>0.0</v>
      </c>
      <c r="T614" s="91"/>
      <c r="U614" s="91"/>
      <c r="V614" s="91"/>
      <c r="W614" s="91"/>
      <c r="X614" s="91"/>
      <c r="Y614" s="87">
        <v>0.0</v>
      </c>
      <c r="Z614" s="88" t="s">
        <v>1396</v>
      </c>
    </row>
    <row r="615" hidden="1">
      <c r="A615" s="90" t="s">
        <v>2183</v>
      </c>
      <c r="B615" s="90" t="s">
        <v>2212</v>
      </c>
      <c r="C615" s="90" t="s">
        <v>393</v>
      </c>
      <c r="D615" s="90" t="s">
        <v>398</v>
      </c>
      <c r="E615" s="90" t="s">
        <v>1403</v>
      </c>
      <c r="F615" s="87">
        <v>0.0</v>
      </c>
      <c r="G615" s="87">
        <v>0.0</v>
      </c>
      <c r="H615" s="87">
        <v>0.0</v>
      </c>
      <c r="I615" s="87">
        <v>0.0</v>
      </c>
      <c r="J615" s="87">
        <v>0.0</v>
      </c>
      <c r="K615" s="87">
        <v>0.0</v>
      </c>
      <c r="L615" s="87">
        <v>0.0</v>
      </c>
      <c r="M615" s="87">
        <v>0.0</v>
      </c>
      <c r="N615" s="85"/>
      <c r="O615" s="87">
        <v>0.0</v>
      </c>
      <c r="P615" s="87">
        <v>0.0</v>
      </c>
      <c r="Q615" s="87">
        <v>0.0</v>
      </c>
      <c r="R615" s="87">
        <v>0.0</v>
      </c>
      <c r="S615" s="87">
        <v>0.0</v>
      </c>
      <c r="T615" s="91"/>
      <c r="U615" s="91"/>
      <c r="V615" s="91"/>
      <c r="W615" s="91"/>
      <c r="X615" s="91"/>
      <c r="Y615" s="87">
        <v>0.0</v>
      </c>
      <c r="Z615" s="88" t="s">
        <v>1396</v>
      </c>
    </row>
    <row r="616" hidden="1">
      <c r="A616" s="90" t="s">
        <v>2185</v>
      </c>
      <c r="B616" s="90" t="s">
        <v>2213</v>
      </c>
      <c r="C616" s="90" t="s">
        <v>393</v>
      </c>
      <c r="D616" s="90" t="s">
        <v>419</v>
      </c>
      <c r="E616" s="90" t="s">
        <v>1426</v>
      </c>
      <c r="F616" s="87">
        <v>3.0</v>
      </c>
      <c r="G616" s="87">
        <v>0.0</v>
      </c>
      <c r="H616" s="87">
        <v>3201.0</v>
      </c>
      <c r="I616" s="87">
        <v>0.0</v>
      </c>
      <c r="J616" s="87">
        <v>0.0</v>
      </c>
      <c r="K616" s="87">
        <v>0.0</v>
      </c>
      <c r="L616" s="87">
        <v>0.0</v>
      </c>
      <c r="M616" s="87">
        <v>0.0</v>
      </c>
      <c r="N616" s="85"/>
      <c r="O616" s="87">
        <v>0.0</v>
      </c>
      <c r="P616" s="87">
        <v>0.0</v>
      </c>
      <c r="Q616" s="87">
        <v>0.0</v>
      </c>
      <c r="R616" s="87">
        <v>0.0</v>
      </c>
      <c r="S616" s="87">
        <v>0.0</v>
      </c>
      <c r="T616" s="91"/>
      <c r="U616" s="91"/>
      <c r="V616" s="91"/>
      <c r="W616" s="91"/>
      <c r="X616" s="91"/>
      <c r="Y616" s="87">
        <v>0.0</v>
      </c>
      <c r="Z616" s="88" t="s">
        <v>1396</v>
      </c>
    </row>
    <row r="617" hidden="1">
      <c r="A617" s="90" t="s">
        <v>2174</v>
      </c>
      <c r="B617" s="90" t="s">
        <v>2214</v>
      </c>
      <c r="C617" s="90" t="s">
        <v>393</v>
      </c>
      <c r="D617" s="90" t="s">
        <v>419</v>
      </c>
      <c r="E617" s="86">
        <v>46310.0</v>
      </c>
      <c r="F617" s="87">
        <v>18.0</v>
      </c>
      <c r="G617" s="87">
        <v>0.0</v>
      </c>
      <c r="H617" s="87">
        <v>15870.0</v>
      </c>
      <c r="I617" s="87">
        <v>0.0</v>
      </c>
      <c r="J617" s="87">
        <v>76.34145</v>
      </c>
      <c r="K617" s="87">
        <v>85.59732</v>
      </c>
      <c r="L617" s="87">
        <v>94.82855</v>
      </c>
      <c r="M617" s="87">
        <v>38.98617</v>
      </c>
      <c r="N617" s="87">
        <v>0.45546</v>
      </c>
      <c r="O617" s="87">
        <v>0.0</v>
      </c>
      <c r="P617" s="87">
        <v>4.342907</v>
      </c>
      <c r="Q617" s="87">
        <v>5.314797</v>
      </c>
      <c r="R617" s="87">
        <v>12.11207</v>
      </c>
      <c r="S617" s="87">
        <v>14.385</v>
      </c>
      <c r="T617" s="87">
        <v>4.342907</v>
      </c>
      <c r="U617" s="87">
        <v>5.314797</v>
      </c>
      <c r="V617" s="87">
        <v>10.45637</v>
      </c>
      <c r="W617" s="87">
        <v>12.11207</v>
      </c>
      <c r="X617" s="87">
        <v>14.385</v>
      </c>
      <c r="Y617" s="87">
        <v>10.69966</v>
      </c>
      <c r="Z617" s="88" t="s">
        <v>1396</v>
      </c>
    </row>
    <row r="618" hidden="1">
      <c r="A618" s="90" t="s">
        <v>2177</v>
      </c>
      <c r="B618" s="90" t="s">
        <v>2215</v>
      </c>
      <c r="C618" s="90" t="s">
        <v>393</v>
      </c>
      <c r="D618" s="90" t="s">
        <v>419</v>
      </c>
      <c r="E618" s="90" t="s">
        <v>1413</v>
      </c>
      <c r="F618" s="87">
        <v>13.0</v>
      </c>
      <c r="G618" s="87">
        <v>0.0</v>
      </c>
      <c r="H618" s="87">
        <v>12848.0</v>
      </c>
      <c r="I618" s="87">
        <v>0.0</v>
      </c>
      <c r="J618" s="87">
        <v>79.51266</v>
      </c>
      <c r="K618" s="87">
        <v>73.49035</v>
      </c>
      <c r="L618" s="87">
        <v>66.95281</v>
      </c>
      <c r="M618" s="87">
        <v>49.6693</v>
      </c>
      <c r="N618" s="87">
        <v>0.675862</v>
      </c>
      <c r="O618" s="87">
        <v>1.785525</v>
      </c>
      <c r="P618" s="87">
        <v>3.067358</v>
      </c>
      <c r="Q618" s="87">
        <v>3.067358</v>
      </c>
      <c r="R618" s="87">
        <v>11.43228</v>
      </c>
      <c r="S618" s="87">
        <v>17.20636</v>
      </c>
      <c r="T618" s="87">
        <v>1.785525</v>
      </c>
      <c r="U618" s="87">
        <v>3.067358</v>
      </c>
      <c r="V618" s="87">
        <v>3.067358</v>
      </c>
      <c r="W618" s="87">
        <v>11.43228</v>
      </c>
      <c r="X618" s="87">
        <v>17.20636</v>
      </c>
      <c r="Y618" s="87">
        <v>12.24839</v>
      </c>
      <c r="Z618" s="88" t="s">
        <v>1396</v>
      </c>
    </row>
    <row r="619" hidden="1">
      <c r="A619" s="90" t="s">
        <v>2179</v>
      </c>
      <c r="B619" s="90" t="s">
        <v>2216</v>
      </c>
      <c r="C619" s="90" t="s">
        <v>393</v>
      </c>
      <c r="D619" s="90" t="s">
        <v>419</v>
      </c>
      <c r="E619" s="90" t="s">
        <v>1398</v>
      </c>
      <c r="F619" s="87">
        <v>4.0</v>
      </c>
      <c r="G619" s="87">
        <v>0.0</v>
      </c>
      <c r="H619" s="87">
        <v>2298.0</v>
      </c>
      <c r="I619" s="87">
        <v>0.0</v>
      </c>
      <c r="J619" s="87">
        <v>10.02497</v>
      </c>
      <c r="K619" s="87">
        <v>12.2217</v>
      </c>
      <c r="L619" s="87">
        <v>12.2014</v>
      </c>
      <c r="M619" s="87">
        <v>10.54241</v>
      </c>
      <c r="N619" s="87">
        <v>0.862597</v>
      </c>
      <c r="O619" s="87">
        <v>1.679293</v>
      </c>
      <c r="P619" s="87">
        <v>1.679293</v>
      </c>
      <c r="Q619" s="87">
        <v>1.679293</v>
      </c>
      <c r="R619" s="87">
        <v>10.54241</v>
      </c>
      <c r="S619" s="87">
        <v>10.54241</v>
      </c>
      <c r="T619" s="87">
        <v>1.679293</v>
      </c>
      <c r="U619" s="87">
        <v>1.679293</v>
      </c>
      <c r="V619" s="87">
        <v>1.679293</v>
      </c>
      <c r="W619" s="87">
        <v>10.54241</v>
      </c>
      <c r="X619" s="87">
        <v>10.54241</v>
      </c>
      <c r="Y619" s="87">
        <v>6.110851</v>
      </c>
      <c r="Z619" s="88" t="s">
        <v>1396</v>
      </c>
    </row>
    <row r="620" hidden="1">
      <c r="A620" s="90" t="s">
        <v>2181</v>
      </c>
      <c r="B620" s="90" t="s">
        <v>2217</v>
      </c>
      <c r="C620" s="90" t="s">
        <v>393</v>
      </c>
      <c r="D620" s="90" t="s">
        <v>419</v>
      </c>
      <c r="E620" s="90" t="s">
        <v>1400</v>
      </c>
      <c r="F620" s="87">
        <v>1.0</v>
      </c>
      <c r="G620" s="87">
        <v>0.0</v>
      </c>
      <c r="H620" s="87">
        <v>123.0</v>
      </c>
      <c r="I620" s="87">
        <v>0.0</v>
      </c>
      <c r="J620" s="87">
        <v>1.519192</v>
      </c>
      <c r="K620" s="87">
        <v>1.519192</v>
      </c>
      <c r="L620" s="87">
        <v>1.519192</v>
      </c>
      <c r="M620" s="87">
        <v>1.519192</v>
      </c>
      <c r="N620" s="87">
        <v>1.0</v>
      </c>
      <c r="O620" s="87">
        <v>1.519192</v>
      </c>
      <c r="P620" s="87">
        <v>1.519192</v>
      </c>
      <c r="Q620" s="87">
        <v>1.519192</v>
      </c>
      <c r="R620" s="87">
        <v>1.519192</v>
      </c>
      <c r="S620" s="87">
        <v>1.519192</v>
      </c>
      <c r="T620" s="87">
        <v>1.519192</v>
      </c>
      <c r="U620" s="87">
        <v>1.519192</v>
      </c>
      <c r="V620" s="87">
        <v>1.519192</v>
      </c>
      <c r="W620" s="87">
        <v>1.519192</v>
      </c>
      <c r="X620" s="87">
        <v>1.519192</v>
      </c>
      <c r="Y620" s="87">
        <v>1.519192</v>
      </c>
      <c r="Z620" s="88" t="s">
        <v>1396</v>
      </c>
    </row>
    <row r="621" hidden="1">
      <c r="A621" s="90" t="s">
        <v>2190</v>
      </c>
      <c r="B621" s="90" t="s">
        <v>2218</v>
      </c>
      <c r="C621" s="90" t="s">
        <v>393</v>
      </c>
      <c r="D621" s="90" t="s">
        <v>419</v>
      </c>
      <c r="E621" s="89">
        <v>46300.0</v>
      </c>
      <c r="F621" s="87">
        <v>11.0</v>
      </c>
      <c r="G621" s="87">
        <v>0.0</v>
      </c>
      <c r="H621" s="87">
        <v>16894.0</v>
      </c>
      <c r="I621" s="87">
        <v>0.0</v>
      </c>
      <c r="J621" s="87">
        <v>0.0</v>
      </c>
      <c r="K621" s="87">
        <v>0.0</v>
      </c>
      <c r="L621" s="87">
        <v>0.0</v>
      </c>
      <c r="M621" s="87">
        <v>0.0</v>
      </c>
      <c r="N621" s="85"/>
      <c r="O621" s="87">
        <v>0.0</v>
      </c>
      <c r="P621" s="87">
        <v>0.0</v>
      </c>
      <c r="Q621" s="87">
        <v>0.0</v>
      </c>
      <c r="R621" s="87">
        <v>0.0</v>
      </c>
      <c r="S621" s="87">
        <v>0.0</v>
      </c>
      <c r="T621" s="91"/>
      <c r="U621" s="91"/>
      <c r="V621" s="91"/>
      <c r="W621" s="91"/>
      <c r="X621" s="91"/>
      <c r="Y621" s="87">
        <v>0.0</v>
      </c>
      <c r="Z621" s="88" t="s">
        <v>1396</v>
      </c>
    </row>
    <row r="622" hidden="1">
      <c r="A622" s="90" t="s">
        <v>2183</v>
      </c>
      <c r="B622" s="90" t="s">
        <v>2219</v>
      </c>
      <c r="C622" s="90" t="s">
        <v>393</v>
      </c>
      <c r="D622" s="90" t="s">
        <v>419</v>
      </c>
      <c r="E622" s="90" t="s">
        <v>1403</v>
      </c>
      <c r="F622" s="87">
        <v>5.0</v>
      </c>
      <c r="G622" s="87">
        <v>5.0</v>
      </c>
      <c r="H622" s="87">
        <v>502.0</v>
      </c>
      <c r="I622" s="87">
        <v>502.0</v>
      </c>
      <c r="J622" s="87">
        <v>0.0</v>
      </c>
      <c r="K622" s="87">
        <v>0.0</v>
      </c>
      <c r="L622" s="87">
        <v>0.0</v>
      </c>
      <c r="M622" s="87">
        <v>0.0</v>
      </c>
      <c r="N622" s="85"/>
      <c r="O622" s="87">
        <v>0.0</v>
      </c>
      <c r="P622" s="87">
        <v>0.0</v>
      </c>
      <c r="Q622" s="87">
        <v>0.0</v>
      </c>
      <c r="R622" s="87">
        <v>0.0</v>
      </c>
      <c r="S622" s="87">
        <v>0.0</v>
      </c>
      <c r="T622" s="91"/>
      <c r="U622" s="91"/>
      <c r="V622" s="91"/>
      <c r="W622" s="91"/>
      <c r="X622" s="91"/>
      <c r="Y622" s="87">
        <v>0.0</v>
      </c>
      <c r="Z622" s="88" t="s">
        <v>1396</v>
      </c>
    </row>
    <row r="623" hidden="1">
      <c r="A623" s="90" t="s">
        <v>2185</v>
      </c>
      <c r="B623" s="90" t="s">
        <v>2220</v>
      </c>
      <c r="C623" s="90" t="s">
        <v>393</v>
      </c>
      <c r="D623" s="90" t="s">
        <v>416</v>
      </c>
      <c r="E623" s="90" t="s">
        <v>1426</v>
      </c>
      <c r="F623" s="87">
        <v>6.0</v>
      </c>
      <c r="G623" s="87">
        <v>2.0</v>
      </c>
      <c r="H623" s="87">
        <v>3248.0</v>
      </c>
      <c r="I623" s="87">
        <v>23.0</v>
      </c>
      <c r="J623" s="87">
        <v>33.10107</v>
      </c>
      <c r="K623" s="87">
        <v>36.20135</v>
      </c>
      <c r="L623" s="87">
        <v>38.06863</v>
      </c>
      <c r="M623" s="87">
        <v>15.863</v>
      </c>
      <c r="N623" s="87">
        <v>0.438188</v>
      </c>
      <c r="O623" s="87">
        <v>0.0</v>
      </c>
      <c r="P623" s="87">
        <v>0.0</v>
      </c>
      <c r="Q623" s="87">
        <v>5.910741</v>
      </c>
      <c r="R623" s="87">
        <v>14.42761</v>
      </c>
      <c r="S623" s="87">
        <v>14.42761</v>
      </c>
      <c r="T623" s="87">
        <v>5.910741</v>
      </c>
      <c r="U623" s="87">
        <v>5.910741</v>
      </c>
      <c r="V623" s="87">
        <v>5.910741</v>
      </c>
      <c r="W623" s="87">
        <v>14.42761</v>
      </c>
      <c r="X623" s="87">
        <v>15.863</v>
      </c>
      <c r="Y623" s="87">
        <v>9.050337</v>
      </c>
      <c r="Z623" s="88" t="s">
        <v>1396</v>
      </c>
    </row>
    <row r="624" hidden="1">
      <c r="A624" s="90" t="s">
        <v>2174</v>
      </c>
      <c r="B624" s="90" t="s">
        <v>2221</v>
      </c>
      <c r="C624" s="90" t="s">
        <v>393</v>
      </c>
      <c r="D624" s="90" t="s">
        <v>416</v>
      </c>
      <c r="E624" s="86">
        <v>46310.0</v>
      </c>
      <c r="F624" s="87">
        <v>13.0</v>
      </c>
      <c r="G624" s="87">
        <v>0.0</v>
      </c>
      <c r="H624" s="87">
        <v>10586.0</v>
      </c>
      <c r="I624" s="87">
        <v>0.0</v>
      </c>
      <c r="J624" s="87">
        <v>111.4889</v>
      </c>
      <c r="K624" s="87">
        <v>126.3546</v>
      </c>
      <c r="L624" s="87">
        <v>138.4138</v>
      </c>
      <c r="M624" s="87">
        <v>63.45762</v>
      </c>
      <c r="N624" s="87">
        <v>0.502218</v>
      </c>
      <c r="O624" s="87">
        <v>0.0</v>
      </c>
      <c r="P624" s="87">
        <v>3.36859</v>
      </c>
      <c r="Q624" s="87">
        <v>4.350785</v>
      </c>
      <c r="R624" s="87">
        <v>7.102505</v>
      </c>
      <c r="S624" s="87">
        <v>13.86535</v>
      </c>
      <c r="T624" s="87">
        <v>4.350785</v>
      </c>
      <c r="U624" s="87">
        <v>5.479722</v>
      </c>
      <c r="V624" s="87">
        <v>5.650186</v>
      </c>
      <c r="W624" s="87">
        <v>10.81726</v>
      </c>
      <c r="X624" s="87">
        <v>13.86535</v>
      </c>
      <c r="Y624" s="87">
        <v>9.719587</v>
      </c>
      <c r="Z624" s="88" t="s">
        <v>1396</v>
      </c>
    </row>
    <row r="625" hidden="1">
      <c r="A625" s="90" t="s">
        <v>2177</v>
      </c>
      <c r="B625" s="90" t="s">
        <v>2222</v>
      </c>
      <c r="C625" s="90" t="s">
        <v>393</v>
      </c>
      <c r="D625" s="90" t="s">
        <v>416</v>
      </c>
      <c r="E625" s="90" t="s">
        <v>1413</v>
      </c>
      <c r="F625" s="87">
        <v>11.0</v>
      </c>
      <c r="G625" s="87">
        <v>0.0</v>
      </c>
      <c r="H625" s="87">
        <v>17360.0</v>
      </c>
      <c r="I625" s="87">
        <v>0.0</v>
      </c>
      <c r="J625" s="87">
        <v>157.8693</v>
      </c>
      <c r="K625" s="87">
        <v>160.5713</v>
      </c>
      <c r="L625" s="87">
        <v>161.4227</v>
      </c>
      <c r="M625" s="87">
        <v>94.28221</v>
      </c>
      <c r="N625" s="87">
        <v>0.587167</v>
      </c>
      <c r="O625" s="87">
        <v>1.407558</v>
      </c>
      <c r="P625" s="87">
        <v>1.785525</v>
      </c>
      <c r="Q625" s="87">
        <v>3.067358</v>
      </c>
      <c r="R625" s="87">
        <v>5.325751</v>
      </c>
      <c r="S625" s="87">
        <v>27.09529</v>
      </c>
      <c r="T625" s="87">
        <v>1.407558</v>
      </c>
      <c r="U625" s="87">
        <v>1.785525</v>
      </c>
      <c r="V625" s="87">
        <v>3.067358</v>
      </c>
      <c r="W625" s="87">
        <v>5.325751</v>
      </c>
      <c r="X625" s="87">
        <v>27.09529</v>
      </c>
      <c r="Y625" s="87">
        <v>16.05713</v>
      </c>
      <c r="Z625" s="88" t="s">
        <v>1396</v>
      </c>
    </row>
    <row r="626" hidden="1">
      <c r="A626" s="90" t="s">
        <v>2179</v>
      </c>
      <c r="B626" s="90" t="s">
        <v>2223</v>
      </c>
      <c r="C626" s="90" t="s">
        <v>393</v>
      </c>
      <c r="D626" s="90" t="s">
        <v>416</v>
      </c>
      <c r="E626" s="90" t="s">
        <v>1398</v>
      </c>
      <c r="F626" s="87">
        <v>6.0</v>
      </c>
      <c r="G626" s="87">
        <v>0.0</v>
      </c>
      <c r="H626" s="87">
        <v>3779.0</v>
      </c>
      <c r="I626" s="87">
        <v>0.0</v>
      </c>
      <c r="J626" s="87">
        <v>30.99666</v>
      </c>
      <c r="K626" s="87">
        <v>34.73841</v>
      </c>
      <c r="L626" s="87">
        <v>40.41614</v>
      </c>
      <c r="M626" s="87">
        <v>20.9096</v>
      </c>
      <c r="N626" s="87">
        <v>0.601916</v>
      </c>
      <c r="O626" s="87">
        <v>0.0</v>
      </c>
      <c r="P626" s="87">
        <v>3.643</v>
      </c>
      <c r="Q626" s="87">
        <v>3.643</v>
      </c>
      <c r="R626" s="87">
        <v>6.311311</v>
      </c>
      <c r="S626" s="87">
        <v>7.283431</v>
      </c>
      <c r="T626" s="87">
        <v>3.643</v>
      </c>
      <c r="U626" s="87">
        <v>3.874506</v>
      </c>
      <c r="V626" s="87">
        <v>3.874506</v>
      </c>
      <c r="W626" s="87">
        <v>6.311311</v>
      </c>
      <c r="X626" s="87">
        <v>7.283431</v>
      </c>
      <c r="Y626" s="87">
        <v>5.789736</v>
      </c>
      <c r="Z626" s="88" t="s">
        <v>1396</v>
      </c>
    </row>
    <row r="627" hidden="1">
      <c r="A627" s="90" t="s">
        <v>2181</v>
      </c>
      <c r="B627" s="90" t="s">
        <v>2224</v>
      </c>
      <c r="C627" s="90" t="s">
        <v>393</v>
      </c>
      <c r="D627" s="90" t="s">
        <v>416</v>
      </c>
      <c r="E627" s="90" t="s">
        <v>1400</v>
      </c>
      <c r="F627" s="87">
        <v>2.0</v>
      </c>
      <c r="G627" s="87">
        <v>0.0</v>
      </c>
      <c r="H627" s="87">
        <v>512.0</v>
      </c>
      <c r="I627" s="87">
        <v>0.0</v>
      </c>
      <c r="J627" s="87">
        <v>1.785714</v>
      </c>
      <c r="K627" s="87">
        <v>1.943014</v>
      </c>
      <c r="L627" s="87">
        <v>2.335186</v>
      </c>
      <c r="M627" s="87">
        <v>1.943014</v>
      </c>
      <c r="N627" s="87">
        <v>1.0</v>
      </c>
      <c r="O627" s="87">
        <v>1.943014</v>
      </c>
      <c r="P627" s="87">
        <v>1.943014</v>
      </c>
      <c r="Q627" s="87">
        <v>1.943014</v>
      </c>
      <c r="R627" s="87">
        <v>1.943014</v>
      </c>
      <c r="S627" s="87">
        <v>1.943014</v>
      </c>
      <c r="T627" s="87">
        <v>1.943014</v>
      </c>
      <c r="U627" s="87">
        <v>1.943014</v>
      </c>
      <c r="V627" s="87">
        <v>1.943014</v>
      </c>
      <c r="W627" s="87">
        <v>1.943014</v>
      </c>
      <c r="X627" s="87">
        <v>1.943014</v>
      </c>
      <c r="Y627" s="87">
        <v>1.943014</v>
      </c>
      <c r="Z627" s="88" t="s">
        <v>1396</v>
      </c>
    </row>
    <row r="628" hidden="1">
      <c r="A628" s="90" t="s">
        <v>2190</v>
      </c>
      <c r="B628" s="90" t="s">
        <v>2225</v>
      </c>
      <c r="C628" s="90" t="s">
        <v>393</v>
      </c>
      <c r="D628" s="90" t="s">
        <v>416</v>
      </c>
      <c r="E628" s="89">
        <v>46300.0</v>
      </c>
      <c r="F628" s="87">
        <v>17.0</v>
      </c>
      <c r="G628" s="87">
        <v>0.0</v>
      </c>
      <c r="H628" s="87">
        <v>24595.0</v>
      </c>
      <c r="I628" s="87">
        <v>0.0</v>
      </c>
      <c r="J628" s="87">
        <v>293.508</v>
      </c>
      <c r="K628" s="87">
        <v>295.3434</v>
      </c>
      <c r="L628" s="87">
        <v>306.3838</v>
      </c>
      <c r="M628" s="87">
        <v>181.2294</v>
      </c>
      <c r="N628" s="87">
        <v>0.613623</v>
      </c>
      <c r="O628" s="87">
        <v>0.736877</v>
      </c>
      <c r="P628" s="87">
        <v>4.980479</v>
      </c>
      <c r="Q628" s="87">
        <v>5.128999</v>
      </c>
      <c r="R628" s="87">
        <v>14.81216</v>
      </c>
      <c r="S628" s="87">
        <v>20.83062</v>
      </c>
      <c r="T628" s="87">
        <v>3.46927</v>
      </c>
      <c r="U628" s="87">
        <v>5.128999</v>
      </c>
      <c r="V628" s="87">
        <v>5.987889</v>
      </c>
      <c r="W628" s="87">
        <v>14.81216</v>
      </c>
      <c r="X628" s="87">
        <v>20.83062</v>
      </c>
      <c r="Y628" s="87">
        <v>18.45896</v>
      </c>
      <c r="Z628" s="88" t="s">
        <v>1396</v>
      </c>
    </row>
    <row r="629" hidden="1">
      <c r="A629" s="90" t="s">
        <v>2183</v>
      </c>
      <c r="B629" s="90" t="s">
        <v>2226</v>
      </c>
      <c r="C629" s="90" t="s">
        <v>393</v>
      </c>
      <c r="D629" s="90" t="s">
        <v>416</v>
      </c>
      <c r="E629" s="90" t="s">
        <v>1403</v>
      </c>
      <c r="F629" s="87">
        <v>0.0</v>
      </c>
      <c r="G629" s="87">
        <v>0.0</v>
      </c>
      <c r="H629" s="87">
        <v>0.0</v>
      </c>
      <c r="I629" s="87">
        <v>0.0</v>
      </c>
      <c r="J629" s="87">
        <v>0.0</v>
      </c>
      <c r="K629" s="87">
        <v>0.0</v>
      </c>
      <c r="L629" s="87">
        <v>0.0</v>
      </c>
      <c r="M629" s="87">
        <v>0.0</v>
      </c>
      <c r="N629" s="91"/>
      <c r="O629" s="87">
        <v>0.0</v>
      </c>
      <c r="P629" s="87">
        <v>0.0</v>
      </c>
      <c r="Q629" s="87">
        <v>0.0</v>
      </c>
      <c r="R629" s="87">
        <v>0.0</v>
      </c>
      <c r="S629" s="87">
        <v>0.0</v>
      </c>
      <c r="T629" s="91"/>
      <c r="U629" s="91"/>
      <c r="V629" s="91"/>
      <c r="W629" s="91"/>
      <c r="X629" s="91"/>
      <c r="Y629" s="87">
        <v>0.0</v>
      </c>
      <c r="Z629" s="88" t="s">
        <v>1396</v>
      </c>
    </row>
    <row r="630" hidden="1">
      <c r="A630" s="90" t="s">
        <v>2185</v>
      </c>
      <c r="B630" s="90" t="s">
        <v>2227</v>
      </c>
      <c r="C630" s="90" t="s">
        <v>393</v>
      </c>
      <c r="D630" s="90" t="s">
        <v>2228</v>
      </c>
      <c r="E630" s="90" t="s">
        <v>1426</v>
      </c>
      <c r="F630" s="87">
        <v>1.0</v>
      </c>
      <c r="G630" s="87">
        <v>1.0</v>
      </c>
      <c r="H630" s="87">
        <v>2.0</v>
      </c>
      <c r="I630" s="87">
        <v>2.0</v>
      </c>
      <c r="J630" s="87">
        <v>0.0</v>
      </c>
      <c r="K630" s="87">
        <v>0.0</v>
      </c>
      <c r="L630" s="87">
        <v>0.0</v>
      </c>
      <c r="M630" s="87">
        <v>0.0</v>
      </c>
      <c r="N630" s="91"/>
      <c r="O630" s="87">
        <v>0.0</v>
      </c>
      <c r="P630" s="87">
        <v>0.0</v>
      </c>
      <c r="Q630" s="87">
        <v>0.0</v>
      </c>
      <c r="R630" s="87">
        <v>0.0</v>
      </c>
      <c r="S630" s="87">
        <v>0.0</v>
      </c>
      <c r="T630" s="91"/>
      <c r="U630" s="91"/>
      <c r="V630" s="91"/>
      <c r="W630" s="91"/>
      <c r="X630" s="91"/>
      <c r="Y630" s="87">
        <v>0.0</v>
      </c>
      <c r="Z630" s="88" t="s">
        <v>1396</v>
      </c>
    </row>
    <row r="631" hidden="1">
      <c r="A631" s="90" t="s">
        <v>2174</v>
      </c>
      <c r="B631" s="90" t="s">
        <v>2229</v>
      </c>
      <c r="C631" s="90" t="s">
        <v>393</v>
      </c>
      <c r="D631" s="90" t="s">
        <v>2228</v>
      </c>
      <c r="E631" s="89">
        <v>46310.0</v>
      </c>
      <c r="F631" s="87">
        <v>7.0</v>
      </c>
      <c r="G631" s="87">
        <v>1.0</v>
      </c>
      <c r="H631" s="87">
        <v>2450.0</v>
      </c>
      <c r="I631" s="87">
        <v>2.0</v>
      </c>
      <c r="J631" s="87">
        <v>17.28558</v>
      </c>
      <c r="K631" s="87">
        <v>17.4204</v>
      </c>
      <c r="L631" s="87">
        <v>19.09824</v>
      </c>
      <c r="M631" s="87">
        <v>12.96246</v>
      </c>
      <c r="N631" s="87">
        <v>0.744097</v>
      </c>
      <c r="O631" s="87">
        <v>0.0</v>
      </c>
      <c r="P631" s="87">
        <v>0.0</v>
      </c>
      <c r="Q631" s="87">
        <v>0.0</v>
      </c>
      <c r="R631" s="87">
        <v>1.970656</v>
      </c>
      <c r="S631" s="87">
        <v>2.487285</v>
      </c>
      <c r="T631" s="87">
        <v>1.970656</v>
      </c>
      <c r="U631" s="87">
        <v>1.970656</v>
      </c>
      <c r="V631" s="87">
        <v>2.487285</v>
      </c>
      <c r="W631" s="87">
        <v>3.411768</v>
      </c>
      <c r="X631" s="87">
        <v>3.411768</v>
      </c>
      <c r="Y631" s="87">
        <v>2.17755</v>
      </c>
      <c r="Z631" s="88" t="s">
        <v>1396</v>
      </c>
    </row>
    <row r="632" hidden="1">
      <c r="A632" s="90" t="s">
        <v>2177</v>
      </c>
      <c r="B632" s="90" t="s">
        <v>2230</v>
      </c>
      <c r="C632" s="90" t="s">
        <v>393</v>
      </c>
      <c r="D632" s="90" t="s">
        <v>2228</v>
      </c>
      <c r="E632" s="90" t="s">
        <v>1413</v>
      </c>
      <c r="F632" s="87">
        <v>3.0</v>
      </c>
      <c r="G632" s="87">
        <v>0.0</v>
      </c>
      <c r="H632" s="87">
        <v>354.0</v>
      </c>
      <c r="I632" s="87">
        <v>0.0</v>
      </c>
      <c r="J632" s="87">
        <v>3.796459</v>
      </c>
      <c r="K632" s="87">
        <v>2.877106</v>
      </c>
      <c r="L632" s="87">
        <v>3.569293</v>
      </c>
      <c r="M632" s="87">
        <v>2.877106</v>
      </c>
      <c r="N632" s="87">
        <v>1.0</v>
      </c>
      <c r="O632" s="87">
        <v>0.0</v>
      </c>
      <c r="P632" s="87">
        <v>0.0</v>
      </c>
      <c r="Q632" s="87">
        <v>0.0</v>
      </c>
      <c r="R632" s="87">
        <v>2.877106</v>
      </c>
      <c r="S632" s="87">
        <v>2.877106</v>
      </c>
      <c r="T632" s="87">
        <v>2.877106</v>
      </c>
      <c r="U632" s="87">
        <v>2.877106</v>
      </c>
      <c r="V632" s="87">
        <v>2.877106</v>
      </c>
      <c r="W632" s="87">
        <v>2.877106</v>
      </c>
      <c r="X632" s="87">
        <v>2.877106</v>
      </c>
      <c r="Y632" s="87">
        <v>1.438553</v>
      </c>
      <c r="Z632" s="88" t="s">
        <v>1396</v>
      </c>
    </row>
    <row r="633" hidden="1">
      <c r="A633" s="90" t="s">
        <v>2179</v>
      </c>
      <c r="B633" s="90" t="s">
        <v>2231</v>
      </c>
      <c r="C633" s="90" t="s">
        <v>393</v>
      </c>
      <c r="D633" s="90" t="s">
        <v>2228</v>
      </c>
      <c r="E633" s="90" t="s">
        <v>1398</v>
      </c>
      <c r="F633" s="87">
        <v>14.0</v>
      </c>
      <c r="G633" s="87">
        <v>2.0</v>
      </c>
      <c r="H633" s="87">
        <v>7068.0</v>
      </c>
      <c r="I633" s="87">
        <v>4.0</v>
      </c>
      <c r="J633" s="87">
        <v>87.84461</v>
      </c>
      <c r="K633" s="87">
        <v>76.48373</v>
      </c>
      <c r="L633" s="87">
        <v>79.20132</v>
      </c>
      <c r="M633" s="87">
        <v>49.45285</v>
      </c>
      <c r="N633" s="87">
        <v>0.64658</v>
      </c>
      <c r="O633" s="87">
        <v>1.006971</v>
      </c>
      <c r="P633" s="87">
        <v>1.751291</v>
      </c>
      <c r="Q633" s="87">
        <v>1.931258</v>
      </c>
      <c r="R633" s="87">
        <v>3.260715</v>
      </c>
      <c r="S633" s="87">
        <v>10.68801</v>
      </c>
      <c r="T633" s="87">
        <v>1.006971</v>
      </c>
      <c r="U633" s="87">
        <v>1.751291</v>
      </c>
      <c r="V633" s="87">
        <v>1.931258</v>
      </c>
      <c r="W633" s="87">
        <v>3.260715</v>
      </c>
      <c r="X633" s="87">
        <v>10.68801</v>
      </c>
      <c r="Y633" s="87">
        <v>7.648373</v>
      </c>
      <c r="Z633" s="88" t="s">
        <v>1396</v>
      </c>
    </row>
    <row r="634" hidden="1">
      <c r="A634" s="90" t="s">
        <v>2181</v>
      </c>
      <c r="B634" s="90" t="s">
        <v>2232</v>
      </c>
      <c r="C634" s="90" t="s">
        <v>393</v>
      </c>
      <c r="D634" s="90" t="s">
        <v>2228</v>
      </c>
      <c r="E634" s="90" t="s">
        <v>1400</v>
      </c>
      <c r="F634" s="87">
        <v>18.0</v>
      </c>
      <c r="G634" s="87">
        <v>0.0</v>
      </c>
      <c r="H634" s="87">
        <v>6402.0</v>
      </c>
      <c r="I634" s="87">
        <v>0.0</v>
      </c>
      <c r="J634" s="87">
        <v>64.00943</v>
      </c>
      <c r="K634" s="87">
        <v>68.46918</v>
      </c>
      <c r="L634" s="87">
        <v>65.85979</v>
      </c>
      <c r="M634" s="87">
        <v>39.18385</v>
      </c>
      <c r="N634" s="87">
        <v>0.572285</v>
      </c>
      <c r="O634" s="87">
        <v>0.533333</v>
      </c>
      <c r="P634" s="87">
        <v>1.470073</v>
      </c>
      <c r="Q634" s="87">
        <v>1.484309</v>
      </c>
      <c r="R634" s="87">
        <v>3.08135</v>
      </c>
      <c r="S634" s="87">
        <v>5.726736</v>
      </c>
      <c r="T634" s="87">
        <v>0.533333</v>
      </c>
      <c r="U634" s="87">
        <v>1.470073</v>
      </c>
      <c r="V634" s="87">
        <v>1.484309</v>
      </c>
      <c r="W634" s="87">
        <v>3.08135</v>
      </c>
      <c r="X634" s="87">
        <v>5.726736</v>
      </c>
      <c r="Y634" s="87">
        <v>4.279323</v>
      </c>
      <c r="Z634" s="88" t="s">
        <v>1396</v>
      </c>
    </row>
    <row r="635" hidden="1">
      <c r="A635" s="90" t="s">
        <v>2190</v>
      </c>
      <c r="B635" s="90" t="s">
        <v>2233</v>
      </c>
      <c r="C635" s="90" t="s">
        <v>393</v>
      </c>
      <c r="D635" s="90" t="s">
        <v>2228</v>
      </c>
      <c r="E635" s="89">
        <v>46300.0</v>
      </c>
      <c r="F635" s="87">
        <v>3.0</v>
      </c>
      <c r="G635" s="87">
        <v>0.0</v>
      </c>
      <c r="H635" s="87">
        <v>2582.0</v>
      </c>
      <c r="I635" s="87">
        <v>0.0</v>
      </c>
      <c r="J635" s="87">
        <v>37.09196</v>
      </c>
      <c r="K635" s="87">
        <v>39.30387</v>
      </c>
      <c r="L635" s="87">
        <v>35.94339</v>
      </c>
      <c r="M635" s="87">
        <v>39.30387</v>
      </c>
      <c r="N635" s="87">
        <v>1.0</v>
      </c>
      <c r="O635" s="87">
        <v>0.0</v>
      </c>
      <c r="P635" s="87">
        <v>0.0</v>
      </c>
      <c r="Q635" s="87">
        <v>0.0</v>
      </c>
      <c r="R635" s="87">
        <v>0.0</v>
      </c>
      <c r="S635" s="87">
        <v>0.0</v>
      </c>
      <c r="T635" s="87">
        <v>39.30387</v>
      </c>
      <c r="U635" s="87">
        <v>39.30387</v>
      </c>
      <c r="V635" s="87">
        <v>39.30387</v>
      </c>
      <c r="W635" s="87">
        <v>39.30387</v>
      </c>
      <c r="X635" s="87">
        <v>39.30387</v>
      </c>
      <c r="Y635" s="87">
        <v>9.825968</v>
      </c>
      <c r="Z635" s="88" t="s">
        <v>1396</v>
      </c>
    </row>
    <row r="636" hidden="1">
      <c r="A636" s="90" t="s">
        <v>2183</v>
      </c>
      <c r="B636" s="90" t="s">
        <v>2234</v>
      </c>
      <c r="C636" s="90" t="s">
        <v>393</v>
      </c>
      <c r="D636" s="90" t="s">
        <v>2228</v>
      </c>
      <c r="E636" s="90" t="s">
        <v>1403</v>
      </c>
      <c r="F636" s="87">
        <v>5.0</v>
      </c>
      <c r="G636" s="87">
        <v>5.0</v>
      </c>
      <c r="H636" s="87">
        <v>97.0</v>
      </c>
      <c r="I636" s="87">
        <v>97.0</v>
      </c>
      <c r="J636" s="87">
        <v>0.0</v>
      </c>
      <c r="K636" s="87">
        <v>0.0</v>
      </c>
      <c r="L636" s="87">
        <v>0.0</v>
      </c>
      <c r="M636" s="87">
        <v>0.0</v>
      </c>
      <c r="N636" s="91"/>
      <c r="O636" s="87">
        <v>0.0</v>
      </c>
      <c r="P636" s="87">
        <v>0.0</v>
      </c>
      <c r="Q636" s="87">
        <v>0.0</v>
      </c>
      <c r="R636" s="87">
        <v>0.0</v>
      </c>
      <c r="S636" s="87">
        <v>0.0</v>
      </c>
      <c r="T636" s="91"/>
      <c r="U636" s="91"/>
      <c r="V636" s="91"/>
      <c r="W636" s="91"/>
      <c r="X636" s="91"/>
      <c r="Y636" s="87">
        <v>0.0</v>
      </c>
      <c r="Z636" s="88" t="s">
        <v>1396</v>
      </c>
    </row>
    <row r="637" hidden="1">
      <c r="A637" s="90" t="s">
        <v>2177</v>
      </c>
      <c r="B637" s="90" t="s">
        <v>2237</v>
      </c>
      <c r="C637" s="90" t="s">
        <v>393</v>
      </c>
      <c r="D637" s="90" t="s">
        <v>2236</v>
      </c>
      <c r="E637" s="90" t="s">
        <v>1413</v>
      </c>
      <c r="F637" s="87">
        <v>1.0</v>
      </c>
      <c r="G637" s="87">
        <v>0.0</v>
      </c>
      <c r="H637" s="87">
        <v>642.0</v>
      </c>
      <c r="I637" s="87">
        <v>0.0</v>
      </c>
      <c r="J637" s="87">
        <v>8.084737</v>
      </c>
      <c r="K637" s="87">
        <v>8.010777</v>
      </c>
      <c r="L637" s="87">
        <v>9.352811</v>
      </c>
      <c r="M637" s="87">
        <v>8.010777</v>
      </c>
      <c r="N637" s="87">
        <v>1.0</v>
      </c>
      <c r="O637" s="87">
        <v>8.010777</v>
      </c>
      <c r="P637" s="87">
        <v>8.010777</v>
      </c>
      <c r="Q637" s="87">
        <v>8.010777</v>
      </c>
      <c r="R637" s="87">
        <v>8.010777</v>
      </c>
      <c r="S637" s="87">
        <v>8.010777</v>
      </c>
      <c r="T637" s="87">
        <v>8.010777</v>
      </c>
      <c r="U637" s="87">
        <v>8.010777</v>
      </c>
      <c r="V637" s="87">
        <v>8.010777</v>
      </c>
      <c r="W637" s="87">
        <v>8.010777</v>
      </c>
      <c r="X637" s="87">
        <v>8.010777</v>
      </c>
      <c r="Y637" s="87">
        <v>8.010777</v>
      </c>
      <c r="Z637" s="88" t="s">
        <v>1396</v>
      </c>
    </row>
    <row r="638" hidden="1">
      <c r="A638" s="90" t="s">
        <v>2179</v>
      </c>
      <c r="B638" s="90" t="s">
        <v>2238</v>
      </c>
      <c r="C638" s="90" t="s">
        <v>393</v>
      </c>
      <c r="D638" s="90" t="s">
        <v>2236</v>
      </c>
      <c r="E638" s="90" t="s">
        <v>1398</v>
      </c>
      <c r="F638" s="87">
        <v>3.0</v>
      </c>
      <c r="G638" s="87">
        <v>0.0</v>
      </c>
      <c r="H638" s="87">
        <v>3360.0</v>
      </c>
      <c r="I638" s="87">
        <v>0.0</v>
      </c>
      <c r="J638" s="87">
        <v>45.02438</v>
      </c>
      <c r="K638" s="87">
        <v>43.311</v>
      </c>
      <c r="L638" s="87">
        <v>44.61973</v>
      </c>
      <c r="M638" s="87">
        <v>32.76311</v>
      </c>
      <c r="N638" s="87">
        <v>0.756461</v>
      </c>
      <c r="O638" s="87">
        <v>3.056509</v>
      </c>
      <c r="P638" s="87">
        <v>3.056509</v>
      </c>
      <c r="Q638" s="87">
        <v>3.056509</v>
      </c>
      <c r="R638" s="87">
        <v>7.491388</v>
      </c>
      <c r="S638" s="87">
        <v>32.76311</v>
      </c>
      <c r="T638" s="87">
        <v>3.056509</v>
      </c>
      <c r="U638" s="87">
        <v>3.056509</v>
      </c>
      <c r="V638" s="87">
        <v>3.056509</v>
      </c>
      <c r="W638" s="87">
        <v>7.491388</v>
      </c>
      <c r="X638" s="87">
        <v>32.76311</v>
      </c>
      <c r="Y638" s="87">
        <v>14.437</v>
      </c>
      <c r="Z638" s="88" t="s">
        <v>1396</v>
      </c>
    </row>
    <row r="639" hidden="1">
      <c r="A639" s="90" t="s">
        <v>2181</v>
      </c>
      <c r="B639" s="90" t="s">
        <v>2239</v>
      </c>
      <c r="C639" s="90" t="s">
        <v>393</v>
      </c>
      <c r="D639" s="90" t="s">
        <v>2236</v>
      </c>
      <c r="E639" s="90" t="s">
        <v>1400</v>
      </c>
      <c r="F639" s="87">
        <v>6.0</v>
      </c>
      <c r="G639" s="87">
        <v>0.0</v>
      </c>
      <c r="H639" s="87">
        <v>2272.0</v>
      </c>
      <c r="I639" s="87">
        <v>0.0</v>
      </c>
      <c r="J639" s="87">
        <v>27.91084</v>
      </c>
      <c r="K639" s="87">
        <v>25.17126</v>
      </c>
      <c r="L639" s="87">
        <v>23.72645</v>
      </c>
      <c r="M639" s="87">
        <v>15.58282</v>
      </c>
      <c r="N639" s="87">
        <v>0.619072</v>
      </c>
      <c r="O639" s="87">
        <v>0.142857</v>
      </c>
      <c r="P639" s="87">
        <v>1.52549</v>
      </c>
      <c r="Q639" s="87">
        <v>1.52549</v>
      </c>
      <c r="R639" s="87">
        <v>5.199978</v>
      </c>
      <c r="S639" s="87">
        <v>5.949197</v>
      </c>
      <c r="T639" s="87">
        <v>0.142857</v>
      </c>
      <c r="U639" s="87">
        <v>1.52549</v>
      </c>
      <c r="V639" s="87">
        <v>1.52549</v>
      </c>
      <c r="W639" s="87">
        <v>5.199978</v>
      </c>
      <c r="X639" s="87">
        <v>5.949197</v>
      </c>
      <c r="Y639" s="87">
        <v>4.19521</v>
      </c>
      <c r="Z639" s="88" t="s">
        <v>1396</v>
      </c>
    </row>
    <row r="640" hidden="1">
      <c r="A640" s="90" t="s">
        <v>2190</v>
      </c>
      <c r="B640" s="90" t="s">
        <v>2240</v>
      </c>
      <c r="C640" s="90" t="s">
        <v>393</v>
      </c>
      <c r="D640" s="90" t="s">
        <v>2236</v>
      </c>
      <c r="E640" s="86">
        <v>46300.0</v>
      </c>
      <c r="F640" s="87">
        <v>0.0</v>
      </c>
      <c r="G640" s="87">
        <v>0.0</v>
      </c>
      <c r="H640" s="87">
        <v>0.0</v>
      </c>
      <c r="I640" s="87">
        <v>0.0</v>
      </c>
      <c r="J640" s="87">
        <v>0.0</v>
      </c>
      <c r="K640" s="87">
        <v>0.0</v>
      </c>
      <c r="L640" s="87">
        <v>0.0</v>
      </c>
      <c r="M640" s="87">
        <v>0.0</v>
      </c>
      <c r="N640" s="91"/>
      <c r="O640" s="87">
        <v>0.0</v>
      </c>
      <c r="P640" s="87">
        <v>0.0</v>
      </c>
      <c r="Q640" s="87">
        <v>0.0</v>
      </c>
      <c r="R640" s="87">
        <v>0.0</v>
      </c>
      <c r="S640" s="87">
        <v>0.0</v>
      </c>
      <c r="T640" s="91"/>
      <c r="U640" s="91"/>
      <c r="V640" s="91"/>
      <c r="W640" s="91"/>
      <c r="X640" s="91"/>
      <c r="Y640" s="87">
        <v>0.0</v>
      </c>
      <c r="Z640" s="88" t="s">
        <v>1396</v>
      </c>
    </row>
    <row r="641" hidden="1">
      <c r="A641" s="90" t="s">
        <v>2183</v>
      </c>
      <c r="B641" s="90" t="s">
        <v>2241</v>
      </c>
      <c r="C641" s="90" t="s">
        <v>393</v>
      </c>
      <c r="D641" s="90" t="s">
        <v>2236</v>
      </c>
      <c r="E641" s="90" t="s">
        <v>1403</v>
      </c>
      <c r="F641" s="87">
        <v>0.0</v>
      </c>
      <c r="G641" s="87">
        <v>0.0</v>
      </c>
      <c r="H641" s="87">
        <v>0.0</v>
      </c>
      <c r="I641" s="87">
        <v>0.0</v>
      </c>
      <c r="J641" s="87">
        <v>0.0</v>
      </c>
      <c r="K641" s="87">
        <v>0.0</v>
      </c>
      <c r="L641" s="87">
        <v>0.0</v>
      </c>
      <c r="M641" s="87">
        <v>0.0</v>
      </c>
      <c r="N641" s="91"/>
      <c r="O641" s="87">
        <v>0.0</v>
      </c>
      <c r="P641" s="87">
        <v>0.0</v>
      </c>
      <c r="Q641" s="87">
        <v>0.0</v>
      </c>
      <c r="R641" s="87">
        <v>0.0</v>
      </c>
      <c r="S641" s="87">
        <v>0.0</v>
      </c>
      <c r="T641" s="91"/>
      <c r="U641" s="91"/>
      <c r="V641" s="91"/>
      <c r="W641" s="91"/>
      <c r="X641" s="91"/>
      <c r="Y641" s="87">
        <v>0.0</v>
      </c>
      <c r="Z641" s="88" t="s">
        <v>1396</v>
      </c>
    </row>
    <row r="642" hidden="1">
      <c r="A642" s="90" t="s">
        <v>2177</v>
      </c>
      <c r="B642" s="90" t="s">
        <v>2242</v>
      </c>
      <c r="C642" s="90" t="s">
        <v>393</v>
      </c>
      <c r="D642" s="90" t="s">
        <v>2243</v>
      </c>
      <c r="E642" s="90" t="s">
        <v>1413</v>
      </c>
      <c r="F642" s="87">
        <v>2.0</v>
      </c>
      <c r="G642" s="87">
        <v>0.0</v>
      </c>
      <c r="H642" s="87">
        <v>905.0</v>
      </c>
      <c r="I642" s="87">
        <v>0.0</v>
      </c>
      <c r="J642" s="87">
        <v>14.55698</v>
      </c>
      <c r="K642" s="87">
        <v>12.36959</v>
      </c>
      <c r="L642" s="87">
        <v>11.79042</v>
      </c>
      <c r="M642" s="87">
        <v>6.85056</v>
      </c>
      <c r="N642" s="87">
        <v>0.553823</v>
      </c>
      <c r="O642" s="87">
        <v>5.519028</v>
      </c>
      <c r="P642" s="87">
        <v>5.519028</v>
      </c>
      <c r="Q642" s="87">
        <v>5.519028</v>
      </c>
      <c r="R642" s="87">
        <v>6.85056</v>
      </c>
      <c r="S642" s="87">
        <v>6.85056</v>
      </c>
      <c r="T642" s="87">
        <v>5.519028</v>
      </c>
      <c r="U642" s="87">
        <v>5.519028</v>
      </c>
      <c r="V642" s="87">
        <v>5.519028</v>
      </c>
      <c r="W642" s="87">
        <v>6.85056</v>
      </c>
      <c r="X642" s="87">
        <v>6.85056</v>
      </c>
      <c r="Y642" s="87">
        <v>6.184794</v>
      </c>
      <c r="Z642" s="88" t="s">
        <v>1396</v>
      </c>
    </row>
    <row r="643" hidden="1">
      <c r="A643" s="90" t="s">
        <v>2179</v>
      </c>
      <c r="B643" s="90" t="s">
        <v>2244</v>
      </c>
      <c r="C643" s="90" t="s">
        <v>393</v>
      </c>
      <c r="D643" s="90" t="s">
        <v>2243</v>
      </c>
      <c r="E643" s="90" t="s">
        <v>1398</v>
      </c>
      <c r="F643" s="87">
        <v>2.0</v>
      </c>
      <c r="G643" s="87">
        <v>0.0</v>
      </c>
      <c r="H643" s="87">
        <v>600.0</v>
      </c>
      <c r="I643" s="87">
        <v>0.0</v>
      </c>
      <c r="J643" s="87">
        <v>11.97161</v>
      </c>
      <c r="K643" s="87">
        <v>10.47005</v>
      </c>
      <c r="L643" s="87">
        <v>9.06709</v>
      </c>
      <c r="M643" s="87">
        <v>10.47005</v>
      </c>
      <c r="N643" s="87">
        <v>1.0</v>
      </c>
      <c r="O643" s="87">
        <v>10.47005</v>
      </c>
      <c r="P643" s="87">
        <v>10.47005</v>
      </c>
      <c r="Q643" s="87">
        <v>10.47005</v>
      </c>
      <c r="R643" s="87">
        <v>10.47005</v>
      </c>
      <c r="S643" s="87">
        <v>10.47005</v>
      </c>
      <c r="T643" s="87">
        <v>10.47005</v>
      </c>
      <c r="U643" s="87">
        <v>10.47005</v>
      </c>
      <c r="V643" s="87">
        <v>10.47005</v>
      </c>
      <c r="W643" s="87">
        <v>10.47005</v>
      </c>
      <c r="X643" s="87">
        <v>10.47005</v>
      </c>
      <c r="Y643" s="87">
        <v>10.47005</v>
      </c>
      <c r="Z643" s="88" t="s">
        <v>1396</v>
      </c>
    </row>
    <row r="644" hidden="1">
      <c r="A644" s="90" t="s">
        <v>2181</v>
      </c>
      <c r="B644" s="90" t="s">
        <v>2245</v>
      </c>
      <c r="C644" s="90" t="s">
        <v>393</v>
      </c>
      <c r="D644" s="90" t="s">
        <v>2243</v>
      </c>
      <c r="E644" s="90" t="s">
        <v>1400</v>
      </c>
      <c r="F644" s="87">
        <v>6.0</v>
      </c>
      <c r="G644" s="87">
        <v>0.0</v>
      </c>
      <c r="H644" s="87">
        <v>912.0</v>
      </c>
      <c r="I644" s="87">
        <v>0.0</v>
      </c>
      <c r="J644" s="87">
        <v>8.953252</v>
      </c>
      <c r="K644" s="87">
        <v>7.402181</v>
      </c>
      <c r="L644" s="87">
        <v>6.638249</v>
      </c>
      <c r="M644" s="87">
        <v>7.362181</v>
      </c>
      <c r="N644" s="87">
        <v>0.994596</v>
      </c>
      <c r="O644" s="87">
        <v>0.04</v>
      </c>
      <c r="P644" s="87">
        <v>0.04</v>
      </c>
      <c r="Q644" s="87">
        <v>0.04</v>
      </c>
      <c r="R644" s="87">
        <v>7.362181</v>
      </c>
      <c r="S644" s="87">
        <v>7.362181</v>
      </c>
      <c r="T644" s="87">
        <v>0.04</v>
      </c>
      <c r="U644" s="87">
        <v>0.04</v>
      </c>
      <c r="V644" s="87">
        <v>0.04</v>
      </c>
      <c r="W644" s="87">
        <v>7.362181</v>
      </c>
      <c r="X644" s="87">
        <v>7.362181</v>
      </c>
      <c r="Y644" s="87">
        <v>3.70109</v>
      </c>
      <c r="Z644" s="88" t="s">
        <v>1396</v>
      </c>
    </row>
    <row r="645" hidden="1">
      <c r="A645" s="90" t="s">
        <v>2183</v>
      </c>
      <c r="B645" s="90" t="s">
        <v>2246</v>
      </c>
      <c r="C645" s="90" t="s">
        <v>393</v>
      </c>
      <c r="D645" s="90" t="s">
        <v>2243</v>
      </c>
      <c r="E645" s="90" t="s">
        <v>1403</v>
      </c>
      <c r="F645" s="87">
        <v>0.0</v>
      </c>
      <c r="G645" s="87">
        <v>0.0</v>
      </c>
      <c r="H645" s="87">
        <v>0.0</v>
      </c>
      <c r="I645" s="87">
        <v>0.0</v>
      </c>
      <c r="J645" s="87">
        <v>0.0</v>
      </c>
      <c r="K645" s="87">
        <v>0.0</v>
      </c>
      <c r="L645" s="87">
        <v>0.0</v>
      </c>
      <c r="M645" s="87">
        <v>0.0</v>
      </c>
      <c r="N645" s="91"/>
      <c r="O645" s="87">
        <v>0.0</v>
      </c>
      <c r="P645" s="87">
        <v>0.0</v>
      </c>
      <c r="Q645" s="87">
        <v>0.0</v>
      </c>
      <c r="R645" s="87">
        <v>0.0</v>
      </c>
      <c r="S645" s="87">
        <v>0.0</v>
      </c>
      <c r="T645" s="91"/>
      <c r="U645" s="91"/>
      <c r="V645" s="91"/>
      <c r="W645" s="91"/>
      <c r="X645" s="91"/>
      <c r="Y645" s="87">
        <v>0.0</v>
      </c>
      <c r="Z645" s="88" t="s">
        <v>1396</v>
      </c>
    </row>
    <row r="646" hidden="1">
      <c r="A646" s="90" t="s">
        <v>2251</v>
      </c>
      <c r="B646" s="90" t="s">
        <v>2252</v>
      </c>
      <c r="C646" s="90" t="s">
        <v>439</v>
      </c>
      <c r="D646" s="90" t="s">
        <v>2253</v>
      </c>
      <c r="E646" s="90" t="s">
        <v>1426</v>
      </c>
      <c r="F646" s="87">
        <v>7.0</v>
      </c>
      <c r="G646" s="87">
        <v>0.0</v>
      </c>
      <c r="H646" s="87">
        <v>4164.0</v>
      </c>
      <c r="I646" s="87">
        <v>0.0</v>
      </c>
      <c r="J646" s="87">
        <v>1169.364</v>
      </c>
      <c r="K646" s="87">
        <v>1210.432</v>
      </c>
      <c r="L646" s="87">
        <v>1222.765</v>
      </c>
      <c r="M646" s="87">
        <v>761.0477</v>
      </c>
      <c r="N646" s="87">
        <v>0.628741</v>
      </c>
      <c r="O646" s="87">
        <v>23.91667</v>
      </c>
      <c r="P646" s="87">
        <v>44.72252</v>
      </c>
      <c r="Q646" s="87">
        <v>70.1093</v>
      </c>
      <c r="R646" s="87">
        <v>106.6479</v>
      </c>
      <c r="S646" s="87">
        <v>128.7688</v>
      </c>
      <c r="T646" s="87">
        <v>23.91667</v>
      </c>
      <c r="U646" s="87">
        <v>44.72252</v>
      </c>
      <c r="V646" s="87">
        <v>70.1093</v>
      </c>
      <c r="W646" s="87">
        <v>106.6479</v>
      </c>
      <c r="X646" s="87">
        <v>128.7688</v>
      </c>
      <c r="Y646" s="87">
        <v>151.304</v>
      </c>
      <c r="Z646" s="88" t="s">
        <v>1396</v>
      </c>
    </row>
    <row r="647" hidden="1">
      <c r="A647" s="90" t="s">
        <v>2254</v>
      </c>
      <c r="B647" s="90" t="s">
        <v>2255</v>
      </c>
      <c r="C647" s="90" t="s">
        <v>439</v>
      </c>
      <c r="D647" s="90" t="s">
        <v>2253</v>
      </c>
      <c r="E647" s="86">
        <v>46310.0</v>
      </c>
      <c r="F647" s="87">
        <v>5.0</v>
      </c>
      <c r="G647" s="87">
        <v>0.0</v>
      </c>
      <c r="H647" s="87">
        <v>1583.0</v>
      </c>
      <c r="I647" s="87">
        <v>0.0</v>
      </c>
      <c r="J647" s="87">
        <v>386.5707</v>
      </c>
      <c r="K647" s="87">
        <v>397.1743</v>
      </c>
      <c r="L647" s="87">
        <v>408.0078</v>
      </c>
      <c r="M647" s="87">
        <v>221.9232</v>
      </c>
      <c r="N647" s="87">
        <v>0.558755</v>
      </c>
      <c r="O647" s="87">
        <v>13.88929</v>
      </c>
      <c r="P647" s="87">
        <v>21.92668</v>
      </c>
      <c r="Q647" s="87">
        <v>21.92668</v>
      </c>
      <c r="R647" s="87">
        <v>55.91727</v>
      </c>
      <c r="S647" s="87">
        <v>83.51787</v>
      </c>
      <c r="T647" s="87">
        <v>13.88929</v>
      </c>
      <c r="U647" s="87">
        <v>21.92668</v>
      </c>
      <c r="V647" s="87">
        <v>21.92668</v>
      </c>
      <c r="W647" s="87">
        <v>55.91727</v>
      </c>
      <c r="X647" s="87">
        <v>83.51787</v>
      </c>
      <c r="Y647" s="87">
        <v>79.43486</v>
      </c>
      <c r="Z647" s="88" t="s">
        <v>1396</v>
      </c>
    </row>
    <row r="648" hidden="1">
      <c r="A648" s="90" t="s">
        <v>2256</v>
      </c>
      <c r="B648" s="90" t="s">
        <v>2257</v>
      </c>
      <c r="C648" s="90" t="s">
        <v>439</v>
      </c>
      <c r="D648" s="90" t="s">
        <v>2253</v>
      </c>
      <c r="E648" s="90" t="s">
        <v>1413</v>
      </c>
      <c r="F648" s="87">
        <v>2.0</v>
      </c>
      <c r="G648" s="87">
        <v>0.0</v>
      </c>
      <c r="H648" s="87">
        <v>550.0</v>
      </c>
      <c r="I648" s="87">
        <v>0.0</v>
      </c>
      <c r="J648" s="87">
        <v>116.8183</v>
      </c>
      <c r="K648" s="87">
        <v>107.3217</v>
      </c>
      <c r="L648" s="87">
        <v>97.98014</v>
      </c>
      <c r="M648" s="87">
        <v>107.3217</v>
      </c>
      <c r="N648" s="87">
        <v>1.0</v>
      </c>
      <c r="O648" s="87">
        <v>107.3217</v>
      </c>
      <c r="P648" s="87">
        <v>107.3217</v>
      </c>
      <c r="Q648" s="87">
        <v>107.3217</v>
      </c>
      <c r="R648" s="87">
        <v>107.3217</v>
      </c>
      <c r="S648" s="87">
        <v>107.3217</v>
      </c>
      <c r="T648" s="87">
        <v>107.3217</v>
      </c>
      <c r="U648" s="87">
        <v>107.3217</v>
      </c>
      <c r="V648" s="87">
        <v>107.3217</v>
      </c>
      <c r="W648" s="87">
        <v>107.3217</v>
      </c>
      <c r="X648" s="87">
        <v>107.3217</v>
      </c>
      <c r="Y648" s="87">
        <v>107.3217</v>
      </c>
      <c r="Z648" s="88" t="s">
        <v>1396</v>
      </c>
    </row>
    <row r="649" hidden="1">
      <c r="A649" s="90" t="s">
        <v>2258</v>
      </c>
      <c r="B649" s="90" t="s">
        <v>2259</v>
      </c>
      <c r="C649" s="90" t="s">
        <v>439</v>
      </c>
      <c r="D649" s="90" t="s">
        <v>2253</v>
      </c>
      <c r="E649" s="89">
        <v>46300.0</v>
      </c>
      <c r="F649" s="87">
        <v>16.0</v>
      </c>
      <c r="G649" s="87">
        <v>0.0</v>
      </c>
      <c r="H649" s="87">
        <v>2687.0</v>
      </c>
      <c r="I649" s="87">
        <v>0.0</v>
      </c>
      <c r="J649" s="87">
        <v>814.3607</v>
      </c>
      <c r="K649" s="87">
        <v>871.1216</v>
      </c>
      <c r="L649" s="87">
        <v>913.6074</v>
      </c>
      <c r="M649" s="87">
        <v>521.4909</v>
      </c>
      <c r="N649" s="87">
        <v>0.598643</v>
      </c>
      <c r="O649" s="87">
        <v>0.0</v>
      </c>
      <c r="P649" s="87">
        <v>9.046353</v>
      </c>
      <c r="Q649" s="87">
        <v>27.17529</v>
      </c>
      <c r="R649" s="87">
        <v>35.26914</v>
      </c>
      <c r="S649" s="87">
        <v>57.74105</v>
      </c>
      <c r="T649" s="87">
        <v>16.82866</v>
      </c>
      <c r="U649" s="87">
        <v>27.17529</v>
      </c>
      <c r="V649" s="87">
        <v>30.03322</v>
      </c>
      <c r="W649" s="87">
        <v>50.83584</v>
      </c>
      <c r="X649" s="87">
        <v>87.96707</v>
      </c>
      <c r="Y649" s="87">
        <v>62.22297</v>
      </c>
      <c r="Z649" s="88" t="s">
        <v>1396</v>
      </c>
    </row>
    <row r="650" hidden="1">
      <c r="A650" s="90" t="s">
        <v>2260</v>
      </c>
      <c r="B650" s="90" t="s">
        <v>2261</v>
      </c>
      <c r="C650" s="90" t="s">
        <v>439</v>
      </c>
      <c r="D650" s="90" t="s">
        <v>2253</v>
      </c>
      <c r="E650" s="90" t="s">
        <v>1403</v>
      </c>
      <c r="F650" s="87">
        <v>0.0</v>
      </c>
      <c r="G650" s="87">
        <v>0.0</v>
      </c>
      <c r="H650" s="87">
        <v>0.0</v>
      </c>
      <c r="I650" s="87">
        <v>0.0</v>
      </c>
      <c r="J650" s="87">
        <v>0.0</v>
      </c>
      <c r="K650" s="87">
        <v>0.0</v>
      </c>
      <c r="L650" s="87">
        <v>0.0</v>
      </c>
      <c r="M650" s="87">
        <v>0.0</v>
      </c>
      <c r="N650" s="91"/>
      <c r="O650" s="87">
        <v>0.0</v>
      </c>
      <c r="P650" s="87">
        <v>0.0</v>
      </c>
      <c r="Q650" s="87">
        <v>0.0</v>
      </c>
      <c r="R650" s="87">
        <v>0.0</v>
      </c>
      <c r="S650" s="87">
        <v>0.0</v>
      </c>
      <c r="T650" s="91"/>
      <c r="U650" s="91"/>
      <c r="V650" s="91"/>
      <c r="W650" s="91"/>
      <c r="X650" s="91"/>
      <c r="Y650" s="87">
        <v>0.0</v>
      </c>
      <c r="Z650" s="88" t="s">
        <v>1396</v>
      </c>
    </row>
    <row r="651" hidden="1">
      <c r="A651" s="90" t="s">
        <v>2251</v>
      </c>
      <c r="B651" s="90" t="s">
        <v>2266</v>
      </c>
      <c r="C651" s="90" t="s">
        <v>439</v>
      </c>
      <c r="D651" s="90" t="s">
        <v>2267</v>
      </c>
      <c r="E651" s="90" t="s">
        <v>1426</v>
      </c>
      <c r="F651" s="87">
        <v>9.0</v>
      </c>
      <c r="G651" s="87">
        <v>0.0</v>
      </c>
      <c r="H651" s="87">
        <v>31775.0</v>
      </c>
      <c r="I651" s="87">
        <v>0.0</v>
      </c>
      <c r="J651" s="87">
        <v>4423.675</v>
      </c>
      <c r="K651" s="87">
        <v>4613.58</v>
      </c>
      <c r="L651" s="87">
        <v>5084.452</v>
      </c>
      <c r="M651" s="87">
        <v>3603.75</v>
      </c>
      <c r="N651" s="87">
        <v>0.781118</v>
      </c>
      <c r="O651" s="87">
        <v>0.0</v>
      </c>
      <c r="P651" s="87">
        <v>0.0</v>
      </c>
      <c r="Q651" s="87">
        <v>0.0</v>
      </c>
      <c r="R651" s="87">
        <v>45.67567</v>
      </c>
      <c r="S651" s="87">
        <v>370.1504</v>
      </c>
      <c r="T651" s="87">
        <v>43.0</v>
      </c>
      <c r="U651" s="87">
        <v>45.67567</v>
      </c>
      <c r="V651" s="87">
        <v>47.83679</v>
      </c>
      <c r="W651" s="87">
        <v>370.1504</v>
      </c>
      <c r="X651" s="87">
        <v>515.7688</v>
      </c>
      <c r="Y651" s="87">
        <v>307.572</v>
      </c>
      <c r="Z651" s="88" t="s">
        <v>1396</v>
      </c>
    </row>
    <row r="652" hidden="1">
      <c r="A652" s="90" t="s">
        <v>2254</v>
      </c>
      <c r="B652" s="90" t="s">
        <v>2268</v>
      </c>
      <c r="C652" s="90" t="s">
        <v>439</v>
      </c>
      <c r="D652" s="90" t="s">
        <v>2267</v>
      </c>
      <c r="E652" s="86">
        <v>46310.0</v>
      </c>
      <c r="F652" s="87">
        <v>27.0</v>
      </c>
      <c r="G652" s="87">
        <v>0.0</v>
      </c>
      <c r="H652" s="87">
        <v>20856.0</v>
      </c>
      <c r="I652" s="87">
        <v>0.0</v>
      </c>
      <c r="J652" s="87">
        <v>3934.107</v>
      </c>
      <c r="K652" s="87">
        <v>4076.812</v>
      </c>
      <c r="L652" s="87">
        <v>4321.503</v>
      </c>
      <c r="M652" s="87">
        <v>3222.733</v>
      </c>
      <c r="N652" s="87">
        <v>0.790503</v>
      </c>
      <c r="O652" s="87">
        <v>0.0</v>
      </c>
      <c r="P652" s="87">
        <v>0.0</v>
      </c>
      <c r="Q652" s="87">
        <v>0.0</v>
      </c>
      <c r="R652" s="87">
        <v>33.89132</v>
      </c>
      <c r="S652" s="87">
        <v>62.72881</v>
      </c>
      <c r="T652" s="87">
        <v>17.70393</v>
      </c>
      <c r="U652" s="87">
        <v>28.56005</v>
      </c>
      <c r="V652" s="87">
        <v>38.47775</v>
      </c>
      <c r="W652" s="87">
        <v>56.46476</v>
      </c>
      <c r="X652" s="87">
        <v>132.987</v>
      </c>
      <c r="Y652" s="87">
        <v>104.5337</v>
      </c>
      <c r="Z652" s="88" t="s">
        <v>1396</v>
      </c>
    </row>
    <row r="653" hidden="1">
      <c r="A653" s="90" t="s">
        <v>2256</v>
      </c>
      <c r="B653" s="90" t="s">
        <v>2269</v>
      </c>
      <c r="C653" s="90" t="s">
        <v>439</v>
      </c>
      <c r="D653" s="90" t="s">
        <v>2267</v>
      </c>
      <c r="E653" s="90" t="s">
        <v>1413</v>
      </c>
      <c r="F653" s="87">
        <v>19.0</v>
      </c>
      <c r="G653" s="87">
        <v>0.0</v>
      </c>
      <c r="H653" s="87">
        <v>4142.0</v>
      </c>
      <c r="I653" s="87">
        <v>0.0</v>
      </c>
      <c r="J653" s="87">
        <v>949.9744</v>
      </c>
      <c r="K653" s="87">
        <v>928.3619</v>
      </c>
      <c r="L653" s="87">
        <v>974.459</v>
      </c>
      <c r="M653" s="87">
        <v>730.272</v>
      </c>
      <c r="N653" s="87">
        <v>0.786624</v>
      </c>
      <c r="O653" s="87">
        <v>0.0</v>
      </c>
      <c r="P653" s="87">
        <v>0.0</v>
      </c>
      <c r="Q653" s="87">
        <v>0.0</v>
      </c>
      <c r="R653" s="87">
        <v>9.764153</v>
      </c>
      <c r="S653" s="87">
        <v>27.96219</v>
      </c>
      <c r="T653" s="87">
        <v>3.096429</v>
      </c>
      <c r="U653" s="87">
        <v>5.583333</v>
      </c>
      <c r="V653" s="87">
        <v>11.40004</v>
      </c>
      <c r="W653" s="87">
        <v>27.96219</v>
      </c>
      <c r="X653" s="87">
        <v>53.91261</v>
      </c>
      <c r="Y653" s="87">
        <v>33.15578</v>
      </c>
      <c r="Z653" s="88" t="s">
        <v>1396</v>
      </c>
    </row>
    <row r="654" hidden="1">
      <c r="A654" s="90" t="s">
        <v>2270</v>
      </c>
      <c r="B654" s="90" t="s">
        <v>2271</v>
      </c>
      <c r="C654" s="90" t="s">
        <v>439</v>
      </c>
      <c r="D654" s="90" t="s">
        <v>2267</v>
      </c>
      <c r="E654" s="90" t="s">
        <v>1398</v>
      </c>
      <c r="F654" s="87">
        <v>13.0</v>
      </c>
      <c r="G654" s="87">
        <v>0.0</v>
      </c>
      <c r="H654" s="87">
        <v>1907.0</v>
      </c>
      <c r="I654" s="87">
        <v>0.0</v>
      </c>
      <c r="J654" s="87">
        <v>354.3224</v>
      </c>
      <c r="K654" s="87">
        <v>394.4815</v>
      </c>
      <c r="L654" s="87">
        <v>415.8285</v>
      </c>
      <c r="M654" s="87">
        <v>282.3404</v>
      </c>
      <c r="N654" s="87">
        <v>0.715725</v>
      </c>
      <c r="O654" s="87">
        <v>0.0</v>
      </c>
      <c r="P654" s="87">
        <v>0.0</v>
      </c>
      <c r="Q654" s="87">
        <v>5.210668</v>
      </c>
      <c r="R654" s="87">
        <v>10.84618</v>
      </c>
      <c r="S654" s="87">
        <v>17.93333</v>
      </c>
      <c r="T654" s="87">
        <v>5.752324</v>
      </c>
      <c r="U654" s="87">
        <v>5.937224</v>
      </c>
      <c r="V654" s="87">
        <v>10.84618</v>
      </c>
      <c r="W654" s="87">
        <v>14.95779</v>
      </c>
      <c r="X654" s="87">
        <v>19.28652</v>
      </c>
      <c r="Y654" s="87">
        <v>19.72407</v>
      </c>
      <c r="Z654" s="88" t="s">
        <v>1396</v>
      </c>
    </row>
    <row r="655" hidden="1">
      <c r="A655" s="90" t="s">
        <v>2263</v>
      </c>
      <c r="B655" s="90" t="s">
        <v>2272</v>
      </c>
      <c r="C655" s="90" t="s">
        <v>439</v>
      </c>
      <c r="D655" s="90" t="s">
        <v>2267</v>
      </c>
      <c r="E655" s="90" t="s">
        <v>1400</v>
      </c>
      <c r="F655" s="87">
        <v>11.0</v>
      </c>
      <c r="G655" s="87">
        <v>0.0</v>
      </c>
      <c r="H655" s="87">
        <v>4046.0</v>
      </c>
      <c r="I655" s="87">
        <v>0.0</v>
      </c>
      <c r="J655" s="87">
        <v>393.3585</v>
      </c>
      <c r="K655" s="87">
        <v>409.3649</v>
      </c>
      <c r="L655" s="87">
        <v>460.2442</v>
      </c>
      <c r="M655" s="87">
        <v>401.2287</v>
      </c>
      <c r="N655" s="87">
        <v>0.980125</v>
      </c>
      <c r="O655" s="87">
        <v>0.0</v>
      </c>
      <c r="P655" s="87">
        <v>0.0</v>
      </c>
      <c r="Q655" s="87">
        <v>0.0</v>
      </c>
      <c r="R655" s="87">
        <v>0.0</v>
      </c>
      <c r="S655" s="87">
        <v>6.302089</v>
      </c>
      <c r="T655" s="87">
        <v>1.834109</v>
      </c>
      <c r="U655" s="87">
        <v>6.302089</v>
      </c>
      <c r="V655" s="87">
        <v>6.302089</v>
      </c>
      <c r="W655" s="87">
        <v>19.54312</v>
      </c>
      <c r="X655" s="87">
        <v>28.75037</v>
      </c>
      <c r="Y655" s="87">
        <v>37.21499</v>
      </c>
      <c r="Z655" s="88" t="s">
        <v>1396</v>
      </c>
    </row>
    <row r="656" hidden="1">
      <c r="A656" s="90" t="s">
        <v>2258</v>
      </c>
      <c r="B656" s="90" t="s">
        <v>2273</v>
      </c>
      <c r="C656" s="90" t="s">
        <v>439</v>
      </c>
      <c r="D656" s="90" t="s">
        <v>2267</v>
      </c>
      <c r="E656" s="89">
        <v>46300.0</v>
      </c>
      <c r="F656" s="87">
        <v>23.0</v>
      </c>
      <c r="G656" s="87">
        <v>0.0</v>
      </c>
      <c r="H656" s="87">
        <v>43072.0</v>
      </c>
      <c r="I656" s="87">
        <v>0.0</v>
      </c>
      <c r="J656" s="87">
        <v>6681.696</v>
      </c>
      <c r="K656" s="87">
        <v>6957.417</v>
      </c>
      <c r="L656" s="87">
        <v>7327.85</v>
      </c>
      <c r="M656" s="87">
        <v>5224.462</v>
      </c>
      <c r="N656" s="87">
        <v>0.75092</v>
      </c>
      <c r="O656" s="87">
        <v>0.0</v>
      </c>
      <c r="P656" s="87">
        <v>0.0</v>
      </c>
      <c r="Q656" s="87">
        <v>12.71578</v>
      </c>
      <c r="R656" s="87">
        <v>36.98766</v>
      </c>
      <c r="S656" s="87">
        <v>233.5151</v>
      </c>
      <c r="T656" s="87">
        <v>14.65217</v>
      </c>
      <c r="U656" s="87">
        <v>25.07545</v>
      </c>
      <c r="V656" s="87">
        <v>30.98333</v>
      </c>
      <c r="W656" s="87">
        <v>174.852</v>
      </c>
      <c r="X656" s="87">
        <v>472.0432</v>
      </c>
      <c r="Y656" s="87">
        <v>248.4792</v>
      </c>
      <c r="Z656" s="88" t="s">
        <v>1396</v>
      </c>
    </row>
    <row r="657" hidden="1">
      <c r="A657" s="90" t="s">
        <v>2260</v>
      </c>
      <c r="B657" s="90" t="s">
        <v>2274</v>
      </c>
      <c r="C657" s="90" t="s">
        <v>439</v>
      </c>
      <c r="D657" s="90" t="s">
        <v>2267</v>
      </c>
      <c r="E657" s="90" t="s">
        <v>1403</v>
      </c>
      <c r="F657" s="87">
        <v>1.0</v>
      </c>
      <c r="G657" s="87">
        <v>1.0</v>
      </c>
      <c r="H657" s="87">
        <v>4.0</v>
      </c>
      <c r="I657" s="87">
        <v>4.0</v>
      </c>
      <c r="J657" s="87">
        <v>0.0</v>
      </c>
      <c r="K657" s="87">
        <v>0.0</v>
      </c>
      <c r="L657" s="87">
        <v>0.0</v>
      </c>
      <c r="M657" s="87">
        <v>0.0</v>
      </c>
      <c r="N657" s="85"/>
      <c r="O657" s="87">
        <v>0.0</v>
      </c>
      <c r="P657" s="87">
        <v>0.0</v>
      </c>
      <c r="Q657" s="87">
        <v>0.0</v>
      </c>
      <c r="R657" s="87">
        <v>0.0</v>
      </c>
      <c r="S657" s="87">
        <v>0.0</v>
      </c>
      <c r="T657" s="91"/>
      <c r="U657" s="91"/>
      <c r="V657" s="91"/>
      <c r="W657" s="91"/>
      <c r="X657" s="91"/>
      <c r="Y657" s="87">
        <v>0.0</v>
      </c>
      <c r="Z657" s="88" t="s">
        <v>1396</v>
      </c>
    </row>
    <row r="658" hidden="1">
      <c r="A658" s="90" t="s">
        <v>2251</v>
      </c>
      <c r="B658" s="90" t="s">
        <v>2275</v>
      </c>
      <c r="C658" s="90" t="s">
        <v>439</v>
      </c>
      <c r="D658" s="90" t="s">
        <v>2276</v>
      </c>
      <c r="E658" s="90" t="s">
        <v>1426</v>
      </c>
      <c r="F658" s="87">
        <v>9.0</v>
      </c>
      <c r="G658" s="87">
        <v>0.0</v>
      </c>
      <c r="H658" s="87">
        <v>14330.0</v>
      </c>
      <c r="I658" s="87">
        <v>0.0</v>
      </c>
      <c r="J658" s="87">
        <v>2155.466</v>
      </c>
      <c r="K658" s="87">
        <v>2237.28</v>
      </c>
      <c r="L658" s="87">
        <v>2408.369</v>
      </c>
      <c r="M658" s="87">
        <v>1666.814</v>
      </c>
      <c r="N658" s="87">
        <v>0.745018</v>
      </c>
      <c r="O658" s="87">
        <v>0.0</v>
      </c>
      <c r="P658" s="87">
        <v>0.0</v>
      </c>
      <c r="Q658" s="87">
        <v>0.0</v>
      </c>
      <c r="R658" s="87">
        <v>113.7874</v>
      </c>
      <c r="S658" s="87">
        <v>249.5516</v>
      </c>
      <c r="T658" s="87">
        <v>67.96508</v>
      </c>
      <c r="U658" s="87">
        <v>113.7874</v>
      </c>
      <c r="V658" s="87">
        <v>139.1616</v>
      </c>
      <c r="W658" s="87">
        <v>249.5516</v>
      </c>
      <c r="X658" s="87">
        <v>339.908</v>
      </c>
      <c r="Y658" s="87">
        <v>203.3891</v>
      </c>
      <c r="Z658" s="88" t="s">
        <v>1396</v>
      </c>
    </row>
    <row r="659" hidden="1">
      <c r="A659" s="90" t="s">
        <v>2258</v>
      </c>
      <c r="B659" s="90" t="s">
        <v>2277</v>
      </c>
      <c r="C659" s="90" t="s">
        <v>439</v>
      </c>
      <c r="D659" s="90" t="s">
        <v>2276</v>
      </c>
      <c r="E659" s="89">
        <v>46300.0</v>
      </c>
      <c r="F659" s="87">
        <v>1.0</v>
      </c>
      <c r="G659" s="87">
        <v>0.0</v>
      </c>
      <c r="H659" s="87">
        <v>6.0</v>
      </c>
      <c r="I659" s="87">
        <v>0.0</v>
      </c>
      <c r="J659" s="87">
        <v>1.764394</v>
      </c>
      <c r="K659" s="87">
        <v>3.399896</v>
      </c>
      <c r="L659" s="87">
        <v>38.71751</v>
      </c>
      <c r="M659" s="87">
        <v>2.399896</v>
      </c>
      <c r="N659" s="87">
        <v>0.705873</v>
      </c>
      <c r="O659" s="87">
        <v>0.0</v>
      </c>
      <c r="P659" s="87">
        <v>0.0</v>
      </c>
      <c r="Q659" s="87">
        <v>0.0</v>
      </c>
      <c r="R659" s="87">
        <v>1.0</v>
      </c>
      <c r="S659" s="87">
        <v>1.0</v>
      </c>
      <c r="T659" s="87">
        <v>1.0</v>
      </c>
      <c r="U659" s="87">
        <v>1.0</v>
      </c>
      <c r="V659" s="87">
        <v>1.0</v>
      </c>
      <c r="W659" s="87">
        <v>2.399896</v>
      </c>
      <c r="X659" s="87">
        <v>2.399896</v>
      </c>
      <c r="Y659" s="87">
        <v>0.849974</v>
      </c>
      <c r="Z659" s="88" t="s">
        <v>1396</v>
      </c>
    </row>
    <row r="660" hidden="1">
      <c r="A660" s="90" t="s">
        <v>2260</v>
      </c>
      <c r="B660" s="90" t="s">
        <v>2278</v>
      </c>
      <c r="C660" s="90" t="s">
        <v>439</v>
      </c>
      <c r="D660" s="90" t="s">
        <v>2276</v>
      </c>
      <c r="E660" s="90" t="s">
        <v>1403</v>
      </c>
      <c r="F660" s="87">
        <v>0.0</v>
      </c>
      <c r="G660" s="87">
        <v>0.0</v>
      </c>
      <c r="H660" s="87">
        <v>0.0</v>
      </c>
      <c r="I660" s="87">
        <v>0.0</v>
      </c>
      <c r="J660" s="87">
        <v>0.0</v>
      </c>
      <c r="K660" s="87">
        <v>0.0</v>
      </c>
      <c r="L660" s="87">
        <v>0.0</v>
      </c>
      <c r="M660" s="87">
        <v>0.0</v>
      </c>
      <c r="N660" s="91"/>
      <c r="O660" s="87">
        <v>0.0</v>
      </c>
      <c r="P660" s="87">
        <v>0.0</v>
      </c>
      <c r="Q660" s="87">
        <v>0.0</v>
      </c>
      <c r="R660" s="87">
        <v>0.0</v>
      </c>
      <c r="S660" s="87">
        <v>0.0</v>
      </c>
      <c r="T660" s="91"/>
      <c r="U660" s="91"/>
      <c r="V660" s="91"/>
      <c r="W660" s="91"/>
      <c r="X660" s="91"/>
      <c r="Y660" s="87">
        <v>0.0</v>
      </c>
      <c r="Z660" s="88" t="s">
        <v>1396</v>
      </c>
    </row>
    <row r="661" hidden="1">
      <c r="A661" s="90" t="s">
        <v>2254</v>
      </c>
      <c r="B661" s="90" t="s">
        <v>2280</v>
      </c>
      <c r="C661" s="90" t="s">
        <v>439</v>
      </c>
      <c r="D661" s="90" t="s">
        <v>440</v>
      </c>
      <c r="E661" s="86">
        <v>46310.0</v>
      </c>
      <c r="F661" s="87">
        <v>3.0</v>
      </c>
      <c r="G661" s="87">
        <v>0.0</v>
      </c>
      <c r="H661" s="87">
        <v>291.0</v>
      </c>
      <c r="I661" s="87">
        <v>0.0</v>
      </c>
      <c r="J661" s="87">
        <v>0.0</v>
      </c>
      <c r="K661" s="87">
        <v>0.0</v>
      </c>
      <c r="L661" s="87">
        <v>0.0</v>
      </c>
      <c r="M661" s="87">
        <v>0.0</v>
      </c>
      <c r="N661" s="91"/>
      <c r="O661" s="91"/>
      <c r="P661" s="91"/>
      <c r="Q661" s="91"/>
      <c r="R661" s="91"/>
      <c r="S661" s="91"/>
      <c r="T661" s="91"/>
      <c r="U661" s="91"/>
      <c r="V661" s="91"/>
      <c r="W661" s="91"/>
      <c r="X661" s="91"/>
      <c r="Y661" s="91"/>
      <c r="Z661" s="88" t="s">
        <v>1396</v>
      </c>
    </row>
    <row r="662" hidden="1">
      <c r="A662" s="90" t="s">
        <v>2256</v>
      </c>
      <c r="B662" s="90" t="s">
        <v>2281</v>
      </c>
      <c r="C662" s="90" t="s">
        <v>439</v>
      </c>
      <c r="D662" s="90" t="s">
        <v>440</v>
      </c>
      <c r="E662" s="90" t="s">
        <v>1413</v>
      </c>
      <c r="F662" s="87">
        <v>4.0</v>
      </c>
      <c r="G662" s="87">
        <v>0.0</v>
      </c>
      <c r="H662" s="87">
        <v>448.0</v>
      </c>
      <c r="I662" s="87">
        <v>0.0</v>
      </c>
      <c r="J662" s="87">
        <v>31.37425</v>
      </c>
      <c r="K662" s="87">
        <v>34.74685</v>
      </c>
      <c r="L662" s="87">
        <v>42.87431</v>
      </c>
      <c r="M662" s="87">
        <v>18.75332</v>
      </c>
      <c r="N662" s="87">
        <v>0.539713</v>
      </c>
      <c r="O662" s="87">
        <v>15.99353</v>
      </c>
      <c r="P662" s="87">
        <v>15.99353</v>
      </c>
      <c r="Q662" s="87">
        <v>15.99353</v>
      </c>
      <c r="R662" s="87">
        <v>18.75332</v>
      </c>
      <c r="S662" s="87">
        <v>18.75332</v>
      </c>
      <c r="T662" s="87">
        <v>15.99353</v>
      </c>
      <c r="U662" s="87">
        <v>15.99353</v>
      </c>
      <c r="V662" s="87">
        <v>15.99353</v>
      </c>
      <c r="W662" s="87">
        <v>18.75332</v>
      </c>
      <c r="X662" s="87">
        <v>18.75332</v>
      </c>
      <c r="Y662" s="87">
        <v>17.37342</v>
      </c>
      <c r="Z662" s="88" t="s">
        <v>1396</v>
      </c>
    </row>
    <row r="663" hidden="1">
      <c r="A663" s="90" t="s">
        <v>2270</v>
      </c>
      <c r="B663" s="90" t="s">
        <v>2282</v>
      </c>
      <c r="C663" s="90" t="s">
        <v>439</v>
      </c>
      <c r="D663" s="90" t="s">
        <v>440</v>
      </c>
      <c r="E663" s="90" t="s">
        <v>1398</v>
      </c>
      <c r="F663" s="87">
        <v>0.0</v>
      </c>
      <c r="G663" s="87">
        <v>0.0</v>
      </c>
      <c r="H663" s="87">
        <v>0.0</v>
      </c>
      <c r="I663" s="87">
        <v>0.0</v>
      </c>
      <c r="J663" s="87">
        <v>0.0</v>
      </c>
      <c r="K663" s="87">
        <v>0.0</v>
      </c>
      <c r="L663" s="87">
        <v>0.0</v>
      </c>
      <c r="M663" s="87">
        <v>0.0</v>
      </c>
      <c r="N663" s="91"/>
      <c r="O663" s="87">
        <v>0.0</v>
      </c>
      <c r="P663" s="87">
        <v>0.0</v>
      </c>
      <c r="Q663" s="87">
        <v>0.0</v>
      </c>
      <c r="R663" s="87">
        <v>0.0</v>
      </c>
      <c r="S663" s="87">
        <v>0.0</v>
      </c>
      <c r="T663" s="91"/>
      <c r="U663" s="91"/>
      <c r="V663" s="91"/>
      <c r="W663" s="91"/>
      <c r="X663" s="91"/>
      <c r="Y663" s="87">
        <v>0.0</v>
      </c>
      <c r="Z663" s="88" t="s">
        <v>1396</v>
      </c>
    </row>
    <row r="664" hidden="1">
      <c r="A664" s="90" t="s">
        <v>2263</v>
      </c>
      <c r="B664" s="90" t="s">
        <v>2283</v>
      </c>
      <c r="C664" s="90" t="s">
        <v>439</v>
      </c>
      <c r="D664" s="90" t="s">
        <v>440</v>
      </c>
      <c r="E664" s="90" t="s">
        <v>1400</v>
      </c>
      <c r="F664" s="87">
        <v>0.0</v>
      </c>
      <c r="G664" s="87">
        <v>0.0</v>
      </c>
      <c r="H664" s="87">
        <v>0.0</v>
      </c>
      <c r="I664" s="87">
        <v>0.0</v>
      </c>
      <c r="J664" s="87">
        <v>0.0</v>
      </c>
      <c r="K664" s="87">
        <v>0.0</v>
      </c>
      <c r="L664" s="87">
        <v>0.0</v>
      </c>
      <c r="M664" s="87">
        <v>0.0</v>
      </c>
      <c r="N664" s="91"/>
      <c r="O664" s="87">
        <v>0.0</v>
      </c>
      <c r="P664" s="87">
        <v>0.0</v>
      </c>
      <c r="Q664" s="87">
        <v>0.0</v>
      </c>
      <c r="R664" s="87">
        <v>0.0</v>
      </c>
      <c r="S664" s="87">
        <v>0.0</v>
      </c>
      <c r="T664" s="91"/>
      <c r="U664" s="91"/>
      <c r="V664" s="91"/>
      <c r="W664" s="91"/>
      <c r="X664" s="91"/>
      <c r="Y664" s="87">
        <v>0.0</v>
      </c>
      <c r="Z664" s="88" t="s">
        <v>1396</v>
      </c>
    </row>
    <row r="665" hidden="1">
      <c r="A665" s="90" t="s">
        <v>2258</v>
      </c>
      <c r="B665" s="90" t="s">
        <v>2284</v>
      </c>
      <c r="C665" s="90" t="s">
        <v>439</v>
      </c>
      <c r="D665" s="90" t="s">
        <v>440</v>
      </c>
      <c r="E665" s="89">
        <v>46300.0</v>
      </c>
      <c r="F665" s="87">
        <v>10.0</v>
      </c>
      <c r="G665" s="87">
        <v>0.0</v>
      </c>
      <c r="H665" s="87">
        <v>3430.0</v>
      </c>
      <c r="I665" s="87">
        <v>0.0</v>
      </c>
      <c r="J665" s="87">
        <v>472.9645</v>
      </c>
      <c r="K665" s="87">
        <v>504.9953</v>
      </c>
      <c r="L665" s="87">
        <v>510.4668</v>
      </c>
      <c r="M665" s="87">
        <v>445.6668</v>
      </c>
      <c r="N665" s="87">
        <v>0.882517</v>
      </c>
      <c r="O665" s="87">
        <v>0.0</v>
      </c>
      <c r="P665" s="87">
        <v>6.164583</v>
      </c>
      <c r="Q665" s="87">
        <v>12.00189</v>
      </c>
      <c r="R665" s="87">
        <v>18.8313</v>
      </c>
      <c r="S665" s="87">
        <v>22.33082</v>
      </c>
      <c r="T665" s="87">
        <v>6.164583</v>
      </c>
      <c r="U665" s="87">
        <v>12.00189</v>
      </c>
      <c r="V665" s="87">
        <v>12.00189</v>
      </c>
      <c r="W665" s="87">
        <v>22.33082</v>
      </c>
      <c r="X665" s="87">
        <v>157.6822</v>
      </c>
      <c r="Y665" s="87">
        <v>72.14219</v>
      </c>
      <c r="Z665" s="88" t="s">
        <v>1396</v>
      </c>
    </row>
    <row r="666" hidden="1">
      <c r="A666" s="90" t="s">
        <v>2260</v>
      </c>
      <c r="B666" s="90" t="s">
        <v>2285</v>
      </c>
      <c r="C666" s="90" t="s">
        <v>439</v>
      </c>
      <c r="D666" s="90" t="s">
        <v>440</v>
      </c>
      <c r="E666" s="90" t="s">
        <v>1403</v>
      </c>
      <c r="F666" s="87">
        <v>1.0</v>
      </c>
      <c r="G666" s="87">
        <v>1.0</v>
      </c>
      <c r="H666" s="87">
        <v>33.0</v>
      </c>
      <c r="I666" s="87">
        <v>33.0</v>
      </c>
      <c r="J666" s="87">
        <v>0.0</v>
      </c>
      <c r="K666" s="87">
        <v>0.0</v>
      </c>
      <c r="L666" s="87">
        <v>0.0</v>
      </c>
      <c r="M666" s="87">
        <v>0.0</v>
      </c>
      <c r="N666" s="91"/>
      <c r="O666" s="87">
        <v>0.0</v>
      </c>
      <c r="P666" s="87">
        <v>0.0</v>
      </c>
      <c r="Q666" s="87">
        <v>0.0</v>
      </c>
      <c r="R666" s="87">
        <v>0.0</v>
      </c>
      <c r="S666" s="87">
        <v>0.0</v>
      </c>
      <c r="T666" s="91"/>
      <c r="U666" s="91"/>
      <c r="V666" s="91"/>
      <c r="W666" s="91"/>
      <c r="X666" s="91"/>
      <c r="Y666" s="87">
        <v>0.0</v>
      </c>
      <c r="Z666" s="88" t="s">
        <v>1396</v>
      </c>
    </row>
    <row r="667" hidden="1">
      <c r="A667" s="90" t="s">
        <v>2251</v>
      </c>
      <c r="B667" s="90" t="s">
        <v>2286</v>
      </c>
      <c r="C667" s="90" t="s">
        <v>439</v>
      </c>
      <c r="D667" s="90" t="s">
        <v>939</v>
      </c>
      <c r="E667" s="90" t="s">
        <v>1426</v>
      </c>
      <c r="F667" s="87">
        <v>34.0</v>
      </c>
      <c r="G667" s="87">
        <v>0.0</v>
      </c>
      <c r="H667" s="87">
        <v>107664.0</v>
      </c>
      <c r="I667" s="87">
        <v>0.0</v>
      </c>
      <c r="J667" s="87">
        <v>9720.816</v>
      </c>
      <c r="K667" s="87">
        <v>10025.42</v>
      </c>
      <c r="L667" s="87">
        <v>10394.83</v>
      </c>
      <c r="M667" s="87">
        <v>8178.853</v>
      </c>
      <c r="N667" s="87">
        <v>0.815812</v>
      </c>
      <c r="O667" s="87">
        <v>0.0</v>
      </c>
      <c r="P667" s="87">
        <v>0.0</v>
      </c>
      <c r="Q667" s="87">
        <v>0.0</v>
      </c>
      <c r="R667" s="87">
        <v>23.24823</v>
      </c>
      <c r="S667" s="87">
        <v>159.9344</v>
      </c>
      <c r="T667" s="87">
        <v>25.08333</v>
      </c>
      <c r="U667" s="87">
        <v>61.11116</v>
      </c>
      <c r="V667" s="87">
        <v>122.315</v>
      </c>
      <c r="W667" s="87">
        <v>162.3656</v>
      </c>
      <c r="X667" s="87">
        <v>289.4208</v>
      </c>
      <c r="Y667" s="87">
        <v>192.7964</v>
      </c>
      <c r="Z667" s="88" t="s">
        <v>1396</v>
      </c>
    </row>
    <row r="668" hidden="1">
      <c r="A668" s="90" t="s">
        <v>2254</v>
      </c>
      <c r="B668" s="90" t="s">
        <v>2287</v>
      </c>
      <c r="C668" s="90" t="s">
        <v>439</v>
      </c>
      <c r="D668" s="90" t="s">
        <v>939</v>
      </c>
      <c r="E668" s="86">
        <v>46310.0</v>
      </c>
      <c r="F668" s="87">
        <v>25.0</v>
      </c>
      <c r="G668" s="87">
        <v>0.0</v>
      </c>
      <c r="H668" s="87">
        <v>10635.0</v>
      </c>
      <c r="I668" s="87">
        <v>0.0</v>
      </c>
      <c r="J668" s="87">
        <v>1485.499</v>
      </c>
      <c r="K668" s="87">
        <v>1535.112</v>
      </c>
      <c r="L668" s="87">
        <v>1544.889</v>
      </c>
      <c r="M668" s="87">
        <v>1082.595</v>
      </c>
      <c r="N668" s="87">
        <v>0.705222</v>
      </c>
      <c r="O668" s="87">
        <v>0.0</v>
      </c>
      <c r="P668" s="87">
        <v>0.833333</v>
      </c>
      <c r="Q668" s="87">
        <v>10.89608</v>
      </c>
      <c r="R668" s="87">
        <v>32.49764</v>
      </c>
      <c r="S668" s="87">
        <v>56.3378</v>
      </c>
      <c r="T668" s="87">
        <v>3.5</v>
      </c>
      <c r="U668" s="87">
        <v>18.98369</v>
      </c>
      <c r="V668" s="87">
        <v>23.59783</v>
      </c>
      <c r="W668" s="87">
        <v>35.17502</v>
      </c>
      <c r="X668" s="87">
        <v>91.31881</v>
      </c>
      <c r="Y668" s="87">
        <v>66.74399</v>
      </c>
      <c r="Z668" s="88" t="s">
        <v>1396</v>
      </c>
    </row>
    <row r="669" hidden="1">
      <c r="A669" s="90" t="s">
        <v>2256</v>
      </c>
      <c r="B669" s="90" t="s">
        <v>2288</v>
      </c>
      <c r="C669" s="90" t="s">
        <v>439</v>
      </c>
      <c r="D669" s="90" t="s">
        <v>939</v>
      </c>
      <c r="E669" s="90" t="s">
        <v>1413</v>
      </c>
      <c r="F669" s="87">
        <v>9.0</v>
      </c>
      <c r="G669" s="87">
        <v>0.0</v>
      </c>
      <c r="H669" s="87">
        <v>1757.0</v>
      </c>
      <c r="I669" s="87">
        <v>0.0</v>
      </c>
      <c r="J669" s="87">
        <v>100.663</v>
      </c>
      <c r="K669" s="87">
        <v>104.8597</v>
      </c>
      <c r="L669" s="87">
        <v>120.7898</v>
      </c>
      <c r="M669" s="87">
        <v>59.52133</v>
      </c>
      <c r="N669" s="87">
        <v>0.567628</v>
      </c>
      <c r="O669" s="87">
        <v>3.180976</v>
      </c>
      <c r="P669" s="87">
        <v>4.162319</v>
      </c>
      <c r="Q669" s="87">
        <v>4.162319</v>
      </c>
      <c r="R669" s="87">
        <v>19.49167</v>
      </c>
      <c r="S669" s="87">
        <v>26.83059</v>
      </c>
      <c r="T669" s="87">
        <v>3.180976</v>
      </c>
      <c r="U669" s="87">
        <v>4.162319</v>
      </c>
      <c r="V669" s="87">
        <v>4.162319</v>
      </c>
      <c r="W669" s="87">
        <v>19.49167</v>
      </c>
      <c r="X669" s="87">
        <v>26.83059</v>
      </c>
      <c r="Y669" s="87">
        <v>17.47661</v>
      </c>
      <c r="Z669" s="88" t="s">
        <v>1396</v>
      </c>
    </row>
    <row r="670" hidden="1">
      <c r="A670" s="90" t="s">
        <v>2270</v>
      </c>
      <c r="B670" s="90" t="s">
        <v>2289</v>
      </c>
      <c r="C670" s="90" t="s">
        <v>439</v>
      </c>
      <c r="D670" s="90" t="s">
        <v>939</v>
      </c>
      <c r="E670" s="90" t="s">
        <v>1398</v>
      </c>
      <c r="F670" s="87">
        <v>2.0</v>
      </c>
      <c r="G670" s="87">
        <v>1.0</v>
      </c>
      <c r="H670" s="87">
        <v>77.0</v>
      </c>
      <c r="I670" s="87">
        <v>2.0</v>
      </c>
      <c r="J670" s="87">
        <v>0.0</v>
      </c>
      <c r="K670" s="87">
        <v>0.0</v>
      </c>
      <c r="L670" s="87">
        <v>1.0</v>
      </c>
      <c r="M670" s="87">
        <v>0.0</v>
      </c>
      <c r="N670" s="91"/>
      <c r="O670" s="87">
        <v>0.0</v>
      </c>
      <c r="P670" s="87">
        <v>0.0</v>
      </c>
      <c r="Q670" s="87">
        <v>0.0</v>
      </c>
      <c r="R670" s="87">
        <v>0.0</v>
      </c>
      <c r="S670" s="87">
        <v>0.0</v>
      </c>
      <c r="T670" s="91"/>
      <c r="U670" s="91"/>
      <c r="V670" s="91"/>
      <c r="W670" s="91"/>
      <c r="X670" s="91"/>
      <c r="Y670" s="87">
        <v>0.0</v>
      </c>
      <c r="Z670" s="88" t="s">
        <v>1396</v>
      </c>
    </row>
    <row r="671" hidden="1">
      <c r="A671" s="90" t="s">
        <v>2263</v>
      </c>
      <c r="B671" s="90" t="s">
        <v>2290</v>
      </c>
      <c r="C671" s="90" t="s">
        <v>439</v>
      </c>
      <c r="D671" s="90" t="s">
        <v>939</v>
      </c>
      <c r="E671" s="90" t="s">
        <v>1400</v>
      </c>
      <c r="F671" s="87">
        <v>3.0</v>
      </c>
      <c r="G671" s="87">
        <v>0.0</v>
      </c>
      <c r="H671" s="87">
        <v>239.0</v>
      </c>
      <c r="I671" s="87">
        <v>0.0</v>
      </c>
      <c r="J671" s="87">
        <v>0.0</v>
      </c>
      <c r="K671" s="87">
        <v>3.090909</v>
      </c>
      <c r="L671" s="87">
        <v>7.86226</v>
      </c>
      <c r="M671" s="87">
        <v>3.090909</v>
      </c>
      <c r="N671" s="87">
        <v>1.0</v>
      </c>
      <c r="O671" s="87">
        <v>3.090909</v>
      </c>
      <c r="P671" s="87">
        <v>3.090909</v>
      </c>
      <c r="Q671" s="87">
        <v>3.090909</v>
      </c>
      <c r="R671" s="87">
        <v>3.090909</v>
      </c>
      <c r="S671" s="87">
        <v>3.090909</v>
      </c>
      <c r="T671" s="87">
        <v>3.090909</v>
      </c>
      <c r="U671" s="87">
        <v>3.090909</v>
      </c>
      <c r="V671" s="87">
        <v>3.090909</v>
      </c>
      <c r="W671" s="87">
        <v>3.090909</v>
      </c>
      <c r="X671" s="87">
        <v>3.090909</v>
      </c>
      <c r="Y671" s="87">
        <v>3.090909</v>
      </c>
      <c r="Z671" s="88" t="s">
        <v>1396</v>
      </c>
    </row>
    <row r="672" hidden="1">
      <c r="A672" s="90" t="s">
        <v>2258</v>
      </c>
      <c r="B672" s="90" t="s">
        <v>2291</v>
      </c>
      <c r="C672" s="90" t="s">
        <v>439</v>
      </c>
      <c r="D672" s="90" t="s">
        <v>939</v>
      </c>
      <c r="E672" s="89">
        <v>46300.0</v>
      </c>
      <c r="F672" s="87">
        <v>50.0</v>
      </c>
      <c r="G672" s="87">
        <v>0.0</v>
      </c>
      <c r="H672" s="87">
        <v>31361.0</v>
      </c>
      <c r="I672" s="87">
        <v>0.0</v>
      </c>
      <c r="J672" s="87">
        <v>4008.713</v>
      </c>
      <c r="K672" s="87">
        <v>4205.449</v>
      </c>
      <c r="L672" s="87">
        <v>4433.255</v>
      </c>
      <c r="M672" s="87">
        <v>2675.646</v>
      </c>
      <c r="N672" s="87">
        <v>0.636233</v>
      </c>
      <c r="O672" s="87">
        <v>0.0</v>
      </c>
      <c r="P672" s="87">
        <v>0.0</v>
      </c>
      <c r="Q672" s="87">
        <v>13.2221</v>
      </c>
      <c r="R672" s="87">
        <v>31.94113</v>
      </c>
      <c r="S672" s="87">
        <v>98.08028</v>
      </c>
      <c r="T672" s="87">
        <v>15.32613</v>
      </c>
      <c r="U672" s="87">
        <v>20.66428</v>
      </c>
      <c r="V672" s="87">
        <v>25.9393</v>
      </c>
      <c r="W672" s="87">
        <v>68.00571</v>
      </c>
      <c r="X672" s="87">
        <v>128.5352</v>
      </c>
      <c r="Y672" s="87">
        <v>73.7798</v>
      </c>
      <c r="Z672" s="88" t="s">
        <v>1396</v>
      </c>
    </row>
    <row r="673" hidden="1">
      <c r="A673" s="90" t="s">
        <v>2260</v>
      </c>
      <c r="B673" s="90" t="s">
        <v>2292</v>
      </c>
      <c r="C673" s="90" t="s">
        <v>439</v>
      </c>
      <c r="D673" s="90" t="s">
        <v>939</v>
      </c>
      <c r="E673" s="90" t="s">
        <v>1403</v>
      </c>
      <c r="F673" s="87">
        <v>1.0</v>
      </c>
      <c r="G673" s="87">
        <v>1.0</v>
      </c>
      <c r="H673" s="87">
        <v>19.0</v>
      </c>
      <c r="I673" s="87">
        <v>19.0</v>
      </c>
      <c r="J673" s="87">
        <v>0.0</v>
      </c>
      <c r="K673" s="87">
        <v>0.0</v>
      </c>
      <c r="L673" s="87">
        <v>0.0</v>
      </c>
      <c r="M673" s="87">
        <v>0.0</v>
      </c>
      <c r="N673" s="91"/>
      <c r="O673" s="87">
        <v>0.0</v>
      </c>
      <c r="P673" s="87">
        <v>0.0</v>
      </c>
      <c r="Q673" s="87">
        <v>0.0</v>
      </c>
      <c r="R673" s="87">
        <v>0.0</v>
      </c>
      <c r="S673" s="87">
        <v>0.0</v>
      </c>
      <c r="T673" s="91"/>
      <c r="U673" s="91"/>
      <c r="V673" s="91"/>
      <c r="W673" s="91"/>
      <c r="X673" s="91"/>
      <c r="Y673" s="87">
        <v>0.0</v>
      </c>
      <c r="Z673" s="88" t="s">
        <v>1396</v>
      </c>
    </row>
    <row r="674" hidden="1">
      <c r="A674" s="90" t="s">
        <v>3343</v>
      </c>
      <c r="B674" s="90" t="s">
        <v>3344</v>
      </c>
      <c r="C674" s="90" t="s">
        <v>2294</v>
      </c>
      <c r="D674" s="90" t="s">
        <v>1406</v>
      </c>
      <c r="E674" s="86">
        <v>46310.0</v>
      </c>
      <c r="F674" s="87">
        <v>1.0</v>
      </c>
      <c r="G674" s="87">
        <v>0.0</v>
      </c>
      <c r="H674" s="87">
        <v>2.0</v>
      </c>
      <c r="I674" s="87">
        <v>0.0</v>
      </c>
      <c r="J674" s="87">
        <v>0.0</v>
      </c>
      <c r="K674" s="87">
        <v>0.0</v>
      </c>
      <c r="L674" s="87">
        <v>0.0</v>
      </c>
      <c r="M674" s="87">
        <v>0.0</v>
      </c>
      <c r="N674" s="91"/>
      <c r="O674" s="91"/>
      <c r="P674" s="91"/>
      <c r="Q674" s="91"/>
      <c r="R674" s="91"/>
      <c r="S674" s="91"/>
      <c r="T674" s="91"/>
      <c r="U674" s="91"/>
      <c r="V674" s="91"/>
      <c r="W674" s="91"/>
      <c r="X674" s="91"/>
      <c r="Y674" s="91"/>
      <c r="Z674" s="88" t="s">
        <v>1396</v>
      </c>
    </row>
    <row r="675" hidden="1">
      <c r="A675" s="90" t="s">
        <v>3345</v>
      </c>
      <c r="B675" s="90" t="s">
        <v>3346</v>
      </c>
      <c r="C675" s="90" t="s">
        <v>2294</v>
      </c>
      <c r="D675" s="90" t="s">
        <v>1406</v>
      </c>
      <c r="E675" s="90" t="s">
        <v>1413</v>
      </c>
      <c r="F675" s="87">
        <v>1.0</v>
      </c>
      <c r="G675" s="87">
        <v>0.0</v>
      </c>
      <c r="H675" s="87">
        <v>4.0</v>
      </c>
      <c r="I675" s="87">
        <v>0.0</v>
      </c>
      <c r="J675" s="87">
        <v>0.0</v>
      </c>
      <c r="K675" s="87">
        <v>0.0</v>
      </c>
      <c r="L675" s="87">
        <v>0.0</v>
      </c>
      <c r="M675" s="87">
        <v>0.0</v>
      </c>
      <c r="N675" s="91"/>
      <c r="O675" s="91"/>
      <c r="P675" s="91"/>
      <c r="Q675" s="91"/>
      <c r="R675" s="91"/>
      <c r="S675" s="91"/>
      <c r="T675" s="91"/>
      <c r="U675" s="91"/>
      <c r="V675" s="91"/>
      <c r="W675" s="91"/>
      <c r="X675" s="91"/>
      <c r="Y675" s="91"/>
      <c r="Z675" s="88" t="s">
        <v>1396</v>
      </c>
    </row>
    <row r="676" hidden="1">
      <c r="A676" s="90" t="s">
        <v>2293</v>
      </c>
      <c r="B676" s="90" t="s">
        <v>1408</v>
      </c>
      <c r="C676" s="90" t="s">
        <v>2294</v>
      </c>
      <c r="D676" s="90" t="s">
        <v>1406</v>
      </c>
      <c r="E676" s="90" t="s">
        <v>1400</v>
      </c>
      <c r="F676" s="87">
        <v>6.0</v>
      </c>
      <c r="G676" s="87">
        <v>5.0</v>
      </c>
      <c r="H676" s="87">
        <v>186.0</v>
      </c>
      <c r="I676" s="87">
        <v>65.0</v>
      </c>
      <c r="J676" s="87">
        <v>0.0</v>
      </c>
      <c r="K676" s="87">
        <v>0.0</v>
      </c>
      <c r="L676" s="87">
        <v>0.0</v>
      </c>
      <c r="M676" s="87">
        <v>0.0</v>
      </c>
      <c r="N676" s="91"/>
      <c r="O676" s="87">
        <v>0.0</v>
      </c>
      <c r="P676" s="87">
        <v>0.0</v>
      </c>
      <c r="Q676" s="87">
        <v>0.0</v>
      </c>
      <c r="R676" s="87">
        <v>0.0</v>
      </c>
      <c r="S676" s="87">
        <v>0.0</v>
      </c>
      <c r="T676" s="91"/>
      <c r="U676" s="91"/>
      <c r="V676" s="91"/>
      <c r="W676" s="91"/>
      <c r="X676" s="91"/>
      <c r="Y676" s="87">
        <v>0.0</v>
      </c>
      <c r="Z676" s="88" t="s">
        <v>1396</v>
      </c>
    </row>
    <row r="677" hidden="1">
      <c r="A677" s="90" t="s">
        <v>2295</v>
      </c>
      <c r="B677" s="90" t="s">
        <v>1410</v>
      </c>
      <c r="C677" s="90" t="s">
        <v>2294</v>
      </c>
      <c r="D677" s="90" t="s">
        <v>1406</v>
      </c>
      <c r="E677" s="90" t="s">
        <v>1403</v>
      </c>
      <c r="F677" s="87">
        <v>2.0</v>
      </c>
      <c r="G677" s="87">
        <v>2.0</v>
      </c>
      <c r="H677" s="87">
        <v>6.0</v>
      </c>
      <c r="I677" s="87">
        <v>6.0</v>
      </c>
      <c r="J677" s="87">
        <v>0.0</v>
      </c>
      <c r="K677" s="87">
        <v>0.0</v>
      </c>
      <c r="L677" s="87">
        <v>0.0</v>
      </c>
      <c r="M677" s="87">
        <v>0.0</v>
      </c>
      <c r="N677" s="91"/>
      <c r="O677" s="87">
        <v>0.0</v>
      </c>
      <c r="P677" s="87">
        <v>0.0</v>
      </c>
      <c r="Q677" s="87">
        <v>0.0</v>
      </c>
      <c r="R677" s="87">
        <v>0.0</v>
      </c>
      <c r="S677" s="87">
        <v>0.0</v>
      </c>
      <c r="T677" s="91"/>
      <c r="U677" s="91"/>
      <c r="V677" s="91"/>
      <c r="W677" s="91"/>
      <c r="X677" s="91"/>
      <c r="Y677" s="87">
        <v>0.0</v>
      </c>
      <c r="Z677" s="88" t="s">
        <v>1396</v>
      </c>
    </row>
    <row r="678" hidden="1">
      <c r="A678" s="90" t="s">
        <v>2293</v>
      </c>
      <c r="B678" s="90" t="s">
        <v>2299</v>
      </c>
      <c r="C678" s="90" t="s">
        <v>2294</v>
      </c>
      <c r="D678" s="90" t="s">
        <v>2300</v>
      </c>
      <c r="E678" s="90" t="s">
        <v>1400</v>
      </c>
      <c r="F678" s="87">
        <v>4.0</v>
      </c>
      <c r="G678" s="87">
        <v>4.0</v>
      </c>
      <c r="H678" s="87">
        <v>60.0</v>
      </c>
      <c r="I678" s="87">
        <v>60.0</v>
      </c>
      <c r="J678" s="87">
        <v>0.0</v>
      </c>
      <c r="K678" s="87">
        <v>0.0</v>
      </c>
      <c r="L678" s="87">
        <v>0.0</v>
      </c>
      <c r="M678" s="87">
        <v>0.0</v>
      </c>
      <c r="N678" s="91"/>
      <c r="O678" s="87">
        <v>0.0</v>
      </c>
      <c r="P678" s="87">
        <v>0.0</v>
      </c>
      <c r="Q678" s="87">
        <v>0.0</v>
      </c>
      <c r="R678" s="87">
        <v>0.0</v>
      </c>
      <c r="S678" s="87">
        <v>0.0</v>
      </c>
      <c r="T678" s="91"/>
      <c r="U678" s="91"/>
      <c r="V678" s="91"/>
      <c r="W678" s="91"/>
      <c r="X678" s="91"/>
      <c r="Y678" s="87">
        <v>0.0</v>
      </c>
      <c r="Z678" s="88" t="s">
        <v>1396</v>
      </c>
    </row>
    <row r="679" hidden="1">
      <c r="A679" s="90" t="s">
        <v>2295</v>
      </c>
      <c r="B679" s="90" t="s">
        <v>2301</v>
      </c>
      <c r="C679" s="90" t="s">
        <v>2294</v>
      </c>
      <c r="D679" s="90" t="s">
        <v>2300</v>
      </c>
      <c r="E679" s="90" t="s">
        <v>1403</v>
      </c>
      <c r="F679" s="87">
        <v>0.0</v>
      </c>
      <c r="G679" s="87">
        <v>0.0</v>
      </c>
      <c r="H679" s="87">
        <v>0.0</v>
      </c>
      <c r="I679" s="87">
        <v>0.0</v>
      </c>
      <c r="J679" s="87">
        <v>0.0</v>
      </c>
      <c r="K679" s="87">
        <v>0.0</v>
      </c>
      <c r="L679" s="87">
        <v>0.0</v>
      </c>
      <c r="M679" s="87">
        <v>0.0</v>
      </c>
      <c r="N679" s="91"/>
      <c r="O679" s="87">
        <v>0.0</v>
      </c>
      <c r="P679" s="87">
        <v>0.0</v>
      </c>
      <c r="Q679" s="87">
        <v>0.0</v>
      </c>
      <c r="R679" s="87">
        <v>0.0</v>
      </c>
      <c r="S679" s="87">
        <v>0.0</v>
      </c>
      <c r="T679" s="91"/>
      <c r="U679" s="91"/>
      <c r="V679" s="91"/>
      <c r="W679" s="91"/>
      <c r="X679" s="91"/>
      <c r="Y679" s="87">
        <v>0.0</v>
      </c>
      <c r="Z679" s="88" t="s">
        <v>1396</v>
      </c>
    </row>
    <row r="680" hidden="1">
      <c r="A680" s="90" t="s">
        <v>2293</v>
      </c>
      <c r="B680" s="90" t="s">
        <v>2302</v>
      </c>
      <c r="C680" s="90" t="s">
        <v>2294</v>
      </c>
      <c r="D680" s="90" t="s">
        <v>2303</v>
      </c>
      <c r="E680" s="90" t="s">
        <v>1400</v>
      </c>
      <c r="F680" s="87">
        <v>12.0</v>
      </c>
      <c r="G680" s="87">
        <v>12.0</v>
      </c>
      <c r="H680" s="87">
        <v>250.0</v>
      </c>
      <c r="I680" s="87">
        <v>250.0</v>
      </c>
      <c r="J680" s="87">
        <v>0.0</v>
      </c>
      <c r="K680" s="87">
        <v>0.0</v>
      </c>
      <c r="L680" s="87">
        <v>0.0</v>
      </c>
      <c r="M680" s="87">
        <v>0.0</v>
      </c>
      <c r="N680" s="91"/>
      <c r="O680" s="91"/>
      <c r="P680" s="91"/>
      <c r="Q680" s="91"/>
      <c r="R680" s="91"/>
      <c r="S680" s="91"/>
      <c r="T680" s="91"/>
      <c r="U680" s="91"/>
      <c r="V680" s="91"/>
      <c r="W680" s="91"/>
      <c r="X680" s="91"/>
      <c r="Y680" s="91"/>
      <c r="Z680" s="88" t="s">
        <v>1396</v>
      </c>
    </row>
    <row r="681" hidden="1">
      <c r="A681" s="90" t="s">
        <v>2295</v>
      </c>
      <c r="B681" s="90" t="s">
        <v>2304</v>
      </c>
      <c r="C681" s="90" t="s">
        <v>2294</v>
      </c>
      <c r="D681" s="90" t="s">
        <v>2303</v>
      </c>
      <c r="E681" s="90" t="s">
        <v>1403</v>
      </c>
      <c r="F681" s="87">
        <v>5.0</v>
      </c>
      <c r="G681" s="87">
        <v>5.0</v>
      </c>
      <c r="H681" s="87">
        <v>106.0</v>
      </c>
      <c r="I681" s="87">
        <v>106.0</v>
      </c>
      <c r="J681" s="87">
        <v>0.0</v>
      </c>
      <c r="K681" s="87">
        <v>0.0</v>
      </c>
      <c r="L681" s="87">
        <v>0.0</v>
      </c>
      <c r="M681" s="87">
        <v>0.0</v>
      </c>
      <c r="N681" s="91"/>
      <c r="O681" s="87">
        <v>0.0</v>
      </c>
      <c r="P681" s="87">
        <v>0.0</v>
      </c>
      <c r="Q681" s="87">
        <v>0.0</v>
      </c>
      <c r="R681" s="87">
        <v>0.0</v>
      </c>
      <c r="S681" s="87">
        <v>0.0</v>
      </c>
      <c r="T681" s="91"/>
      <c r="U681" s="91"/>
      <c r="V681" s="91"/>
      <c r="W681" s="91"/>
      <c r="X681" s="91"/>
      <c r="Y681" s="87">
        <v>0.0</v>
      </c>
      <c r="Z681" s="88" t="s">
        <v>1396</v>
      </c>
    </row>
    <row r="682" hidden="1">
      <c r="A682" s="90" t="s">
        <v>2305</v>
      </c>
      <c r="B682" s="90" t="s">
        <v>2306</v>
      </c>
      <c r="C682" s="90" t="s">
        <v>2307</v>
      </c>
      <c r="D682" s="90" t="s">
        <v>2308</v>
      </c>
      <c r="E682" s="90" t="s">
        <v>1400</v>
      </c>
      <c r="F682" s="87">
        <v>0.0</v>
      </c>
      <c r="G682" s="87">
        <v>0.0</v>
      </c>
      <c r="H682" s="87">
        <v>0.0</v>
      </c>
      <c r="I682" s="87">
        <v>0.0</v>
      </c>
      <c r="J682" s="87">
        <v>0.0</v>
      </c>
      <c r="K682" s="87">
        <v>0.0</v>
      </c>
      <c r="L682" s="87">
        <v>0.0</v>
      </c>
      <c r="M682" s="87">
        <v>0.0</v>
      </c>
      <c r="N682" s="91"/>
      <c r="O682" s="87">
        <v>0.0</v>
      </c>
      <c r="P682" s="87">
        <v>0.0</v>
      </c>
      <c r="Q682" s="87">
        <v>0.0</v>
      </c>
      <c r="R682" s="87">
        <v>0.0</v>
      </c>
      <c r="S682" s="87">
        <v>0.0</v>
      </c>
      <c r="T682" s="91"/>
      <c r="U682" s="91"/>
      <c r="V682" s="91"/>
      <c r="W682" s="91"/>
      <c r="X682" s="91"/>
      <c r="Y682" s="87">
        <v>0.0</v>
      </c>
      <c r="Z682" s="88" t="s">
        <v>1396</v>
      </c>
    </row>
    <row r="683" hidden="1">
      <c r="A683" s="90" t="s">
        <v>2309</v>
      </c>
      <c r="B683" s="90" t="s">
        <v>2310</v>
      </c>
      <c r="C683" s="90" t="s">
        <v>2307</v>
      </c>
      <c r="D683" s="90" t="s">
        <v>2308</v>
      </c>
      <c r="E683" s="90" t="s">
        <v>1403</v>
      </c>
      <c r="F683" s="87">
        <v>0.0</v>
      </c>
      <c r="G683" s="87">
        <v>0.0</v>
      </c>
      <c r="H683" s="87">
        <v>0.0</v>
      </c>
      <c r="I683" s="87">
        <v>0.0</v>
      </c>
      <c r="J683" s="87">
        <v>0.0</v>
      </c>
      <c r="K683" s="87">
        <v>0.0</v>
      </c>
      <c r="L683" s="87">
        <v>0.0</v>
      </c>
      <c r="M683" s="87">
        <v>0.0</v>
      </c>
      <c r="N683" s="91"/>
      <c r="O683" s="87">
        <v>0.0</v>
      </c>
      <c r="P683" s="87">
        <v>0.0</v>
      </c>
      <c r="Q683" s="87">
        <v>0.0</v>
      </c>
      <c r="R683" s="87">
        <v>0.0</v>
      </c>
      <c r="S683" s="87">
        <v>0.0</v>
      </c>
      <c r="T683" s="91"/>
      <c r="U683" s="91"/>
      <c r="V683" s="91"/>
      <c r="W683" s="91"/>
      <c r="X683" s="91"/>
      <c r="Y683" s="87">
        <v>0.0</v>
      </c>
      <c r="Z683" s="88" t="s">
        <v>1396</v>
      </c>
    </row>
    <row r="684" hidden="1">
      <c r="A684" s="90" t="s">
        <v>2305</v>
      </c>
      <c r="B684" s="90" t="s">
        <v>2314</v>
      </c>
      <c r="C684" s="90" t="s">
        <v>2307</v>
      </c>
      <c r="D684" s="90" t="s">
        <v>2313</v>
      </c>
      <c r="E684" s="90" t="s">
        <v>1400</v>
      </c>
      <c r="F684" s="87">
        <v>0.0</v>
      </c>
      <c r="G684" s="87">
        <v>0.0</v>
      </c>
      <c r="H684" s="87">
        <v>0.0</v>
      </c>
      <c r="I684" s="87">
        <v>0.0</v>
      </c>
      <c r="J684" s="87">
        <v>0.0</v>
      </c>
      <c r="K684" s="87">
        <v>0.0</v>
      </c>
      <c r="L684" s="87">
        <v>0.0</v>
      </c>
      <c r="M684" s="87">
        <v>0.0</v>
      </c>
      <c r="N684" s="91"/>
      <c r="O684" s="87">
        <v>0.0</v>
      </c>
      <c r="P684" s="87">
        <v>0.0</v>
      </c>
      <c r="Q684" s="87">
        <v>0.0</v>
      </c>
      <c r="R684" s="87">
        <v>0.0</v>
      </c>
      <c r="S684" s="87">
        <v>0.0</v>
      </c>
      <c r="T684" s="91"/>
      <c r="U684" s="91"/>
      <c r="V684" s="91"/>
      <c r="W684" s="91"/>
      <c r="X684" s="91"/>
      <c r="Y684" s="87">
        <v>0.0</v>
      </c>
      <c r="Z684" s="88" t="s">
        <v>1396</v>
      </c>
    </row>
    <row r="685" hidden="1">
      <c r="A685" s="90" t="s">
        <v>2309</v>
      </c>
      <c r="B685" s="90" t="s">
        <v>2315</v>
      </c>
      <c r="C685" s="90" t="s">
        <v>2307</v>
      </c>
      <c r="D685" s="90" t="s">
        <v>2313</v>
      </c>
      <c r="E685" s="90" t="s">
        <v>1403</v>
      </c>
      <c r="F685" s="87">
        <v>0.0</v>
      </c>
      <c r="G685" s="87">
        <v>0.0</v>
      </c>
      <c r="H685" s="87">
        <v>0.0</v>
      </c>
      <c r="I685" s="87">
        <v>0.0</v>
      </c>
      <c r="J685" s="87">
        <v>0.0</v>
      </c>
      <c r="K685" s="87">
        <v>0.0</v>
      </c>
      <c r="L685" s="87">
        <v>0.0</v>
      </c>
      <c r="M685" s="87">
        <v>0.0</v>
      </c>
      <c r="N685" s="91"/>
      <c r="O685" s="87">
        <v>0.0</v>
      </c>
      <c r="P685" s="87">
        <v>0.0</v>
      </c>
      <c r="Q685" s="87">
        <v>0.0</v>
      </c>
      <c r="R685" s="87">
        <v>0.0</v>
      </c>
      <c r="S685" s="87">
        <v>0.0</v>
      </c>
      <c r="T685" s="91"/>
      <c r="U685" s="91"/>
      <c r="V685" s="91"/>
      <c r="W685" s="91"/>
      <c r="X685" s="91"/>
      <c r="Y685" s="87">
        <v>0.0</v>
      </c>
      <c r="Z685" s="88" t="s">
        <v>1396</v>
      </c>
    </row>
    <row r="686" hidden="1">
      <c r="A686" s="90" t="s">
        <v>2305</v>
      </c>
      <c r="B686" s="90" t="s">
        <v>2316</v>
      </c>
      <c r="C686" s="90" t="s">
        <v>2307</v>
      </c>
      <c r="D686" s="90" t="s">
        <v>2317</v>
      </c>
      <c r="E686" s="90" t="s">
        <v>1400</v>
      </c>
      <c r="F686" s="87">
        <v>0.0</v>
      </c>
      <c r="G686" s="87">
        <v>0.0</v>
      </c>
      <c r="H686" s="87">
        <v>0.0</v>
      </c>
      <c r="I686" s="87">
        <v>0.0</v>
      </c>
      <c r="J686" s="87">
        <v>0.0</v>
      </c>
      <c r="K686" s="87">
        <v>0.0</v>
      </c>
      <c r="L686" s="87">
        <v>0.0</v>
      </c>
      <c r="M686" s="87">
        <v>0.0</v>
      </c>
      <c r="N686" s="91"/>
      <c r="O686" s="87">
        <v>0.0</v>
      </c>
      <c r="P686" s="87">
        <v>0.0</v>
      </c>
      <c r="Q686" s="87">
        <v>0.0</v>
      </c>
      <c r="R686" s="87">
        <v>0.0</v>
      </c>
      <c r="S686" s="87">
        <v>0.0</v>
      </c>
      <c r="T686" s="91"/>
      <c r="U686" s="91"/>
      <c r="V686" s="91"/>
      <c r="W686" s="91"/>
      <c r="X686" s="91"/>
      <c r="Y686" s="87">
        <v>0.0</v>
      </c>
      <c r="Z686" s="88" t="s">
        <v>1396</v>
      </c>
    </row>
    <row r="687" hidden="1">
      <c r="A687" s="90" t="s">
        <v>2309</v>
      </c>
      <c r="B687" s="90" t="s">
        <v>2318</v>
      </c>
      <c r="C687" s="90" t="s">
        <v>2307</v>
      </c>
      <c r="D687" s="90" t="s">
        <v>2317</v>
      </c>
      <c r="E687" s="90" t="s">
        <v>1403</v>
      </c>
      <c r="F687" s="87">
        <v>0.0</v>
      </c>
      <c r="G687" s="87">
        <v>0.0</v>
      </c>
      <c r="H687" s="87">
        <v>0.0</v>
      </c>
      <c r="I687" s="87">
        <v>0.0</v>
      </c>
      <c r="J687" s="87">
        <v>0.0</v>
      </c>
      <c r="K687" s="87">
        <v>0.0</v>
      </c>
      <c r="L687" s="87">
        <v>0.0</v>
      </c>
      <c r="M687" s="87">
        <v>0.0</v>
      </c>
      <c r="N687" s="91"/>
      <c r="O687" s="87">
        <v>0.0</v>
      </c>
      <c r="P687" s="87">
        <v>0.0</v>
      </c>
      <c r="Q687" s="87">
        <v>0.0</v>
      </c>
      <c r="R687" s="87">
        <v>0.0</v>
      </c>
      <c r="S687" s="87">
        <v>0.0</v>
      </c>
      <c r="T687" s="91"/>
      <c r="U687" s="91"/>
      <c r="V687" s="91"/>
      <c r="W687" s="91"/>
      <c r="X687" s="91"/>
      <c r="Y687" s="87">
        <v>0.0</v>
      </c>
      <c r="Z687" s="88" t="s">
        <v>1396</v>
      </c>
    </row>
    <row r="688" hidden="1">
      <c r="A688" s="90" t="s">
        <v>2323</v>
      </c>
      <c r="B688" s="90" t="s">
        <v>3347</v>
      </c>
      <c r="C688" s="90" t="s">
        <v>2321</v>
      </c>
      <c r="D688" s="90" t="s">
        <v>3348</v>
      </c>
      <c r="E688" s="90" t="s">
        <v>1400</v>
      </c>
      <c r="F688" s="87">
        <v>2.0</v>
      </c>
      <c r="G688" s="87">
        <v>2.0</v>
      </c>
      <c r="H688" s="87">
        <v>11.0</v>
      </c>
      <c r="I688" s="87">
        <v>11.0</v>
      </c>
      <c r="J688" s="87">
        <v>0.0</v>
      </c>
      <c r="K688" s="87">
        <v>0.0</v>
      </c>
      <c r="L688" s="87">
        <v>0.0</v>
      </c>
      <c r="M688" s="87">
        <v>0.0</v>
      </c>
      <c r="N688" s="91"/>
      <c r="O688" s="91"/>
      <c r="P688" s="91"/>
      <c r="Q688" s="91"/>
      <c r="R688" s="91"/>
      <c r="S688" s="91"/>
      <c r="T688" s="91"/>
      <c r="U688" s="91"/>
      <c r="V688" s="91"/>
      <c r="W688" s="91"/>
      <c r="X688" s="91"/>
      <c r="Y688" s="91"/>
      <c r="Z688" s="88" t="s">
        <v>1396</v>
      </c>
    </row>
    <row r="689" hidden="1">
      <c r="A689" s="90" t="s">
        <v>2319</v>
      </c>
      <c r="B689" s="90" t="s">
        <v>2320</v>
      </c>
      <c r="C689" s="90" t="s">
        <v>2321</v>
      </c>
      <c r="D689" s="90" t="s">
        <v>2322</v>
      </c>
      <c r="E689" s="90" t="s">
        <v>1413</v>
      </c>
      <c r="F689" s="87">
        <v>1.0</v>
      </c>
      <c r="G689" s="87">
        <v>1.0</v>
      </c>
      <c r="H689" s="87">
        <v>2.0</v>
      </c>
      <c r="I689" s="87">
        <v>2.0</v>
      </c>
      <c r="J689" s="87">
        <v>0.0</v>
      </c>
      <c r="K689" s="87">
        <v>0.0</v>
      </c>
      <c r="L689" s="87">
        <v>0.0</v>
      </c>
      <c r="M689" s="87">
        <v>0.0</v>
      </c>
      <c r="N689" s="91"/>
      <c r="O689" s="87">
        <v>0.0</v>
      </c>
      <c r="P689" s="87">
        <v>0.0</v>
      </c>
      <c r="Q689" s="87">
        <v>0.0</v>
      </c>
      <c r="R689" s="87">
        <v>0.0</v>
      </c>
      <c r="S689" s="87">
        <v>0.0</v>
      </c>
      <c r="T689" s="91"/>
      <c r="U689" s="91"/>
      <c r="V689" s="91"/>
      <c r="W689" s="91"/>
      <c r="X689" s="91"/>
      <c r="Y689" s="87">
        <v>0.0</v>
      </c>
      <c r="Z689" s="88" t="s">
        <v>1396</v>
      </c>
    </row>
    <row r="690" hidden="1">
      <c r="A690" s="90" t="s">
        <v>2323</v>
      </c>
      <c r="B690" s="90" t="s">
        <v>2324</v>
      </c>
      <c r="C690" s="90" t="s">
        <v>2321</v>
      </c>
      <c r="D690" s="90" t="s">
        <v>2322</v>
      </c>
      <c r="E690" s="90" t="s">
        <v>1400</v>
      </c>
      <c r="F690" s="87">
        <v>16.0</v>
      </c>
      <c r="G690" s="87">
        <v>16.0</v>
      </c>
      <c r="H690" s="87">
        <v>102.0</v>
      </c>
      <c r="I690" s="87">
        <v>102.0</v>
      </c>
      <c r="J690" s="87">
        <v>0.0</v>
      </c>
      <c r="K690" s="87">
        <v>0.0</v>
      </c>
      <c r="L690" s="87">
        <v>0.0</v>
      </c>
      <c r="M690" s="87">
        <v>0.0</v>
      </c>
      <c r="N690" s="91"/>
      <c r="O690" s="87">
        <v>0.0</v>
      </c>
      <c r="P690" s="87">
        <v>0.0</v>
      </c>
      <c r="Q690" s="87">
        <v>0.0</v>
      </c>
      <c r="R690" s="87">
        <v>0.0</v>
      </c>
      <c r="S690" s="87">
        <v>0.0</v>
      </c>
      <c r="T690" s="91"/>
      <c r="U690" s="91"/>
      <c r="V690" s="91"/>
      <c r="W690" s="91"/>
      <c r="X690" s="91"/>
      <c r="Y690" s="87">
        <v>0.0</v>
      </c>
      <c r="Z690" s="88" t="s">
        <v>1396</v>
      </c>
    </row>
    <row r="691" hidden="1">
      <c r="A691" s="90" t="s">
        <v>2325</v>
      </c>
      <c r="B691" s="90" t="s">
        <v>2326</v>
      </c>
      <c r="C691" s="90" t="s">
        <v>2321</v>
      </c>
      <c r="D691" s="90" t="s">
        <v>2322</v>
      </c>
      <c r="E691" s="90" t="s">
        <v>1403</v>
      </c>
      <c r="F691" s="87">
        <v>12.0</v>
      </c>
      <c r="G691" s="87">
        <v>12.0</v>
      </c>
      <c r="H691" s="87">
        <v>27.0</v>
      </c>
      <c r="I691" s="87">
        <v>27.0</v>
      </c>
      <c r="J691" s="87">
        <v>0.0</v>
      </c>
      <c r="K691" s="87">
        <v>0.0</v>
      </c>
      <c r="L691" s="87">
        <v>0.0</v>
      </c>
      <c r="M691" s="87">
        <v>0.0</v>
      </c>
      <c r="N691" s="85"/>
      <c r="O691" s="87">
        <v>0.0</v>
      </c>
      <c r="P691" s="87">
        <v>0.0</v>
      </c>
      <c r="Q691" s="87">
        <v>0.0</v>
      </c>
      <c r="R691" s="87">
        <v>0.0</v>
      </c>
      <c r="S691" s="87">
        <v>0.0</v>
      </c>
      <c r="T691" s="91"/>
      <c r="U691" s="91"/>
      <c r="V691" s="91"/>
      <c r="W691" s="91"/>
      <c r="X691" s="91"/>
      <c r="Y691" s="87">
        <v>0.0</v>
      </c>
      <c r="Z691" s="88" t="s">
        <v>1396</v>
      </c>
    </row>
    <row r="692" hidden="1">
      <c r="A692" s="90" t="s">
        <v>2335</v>
      </c>
      <c r="B692" s="90" t="s">
        <v>3349</v>
      </c>
      <c r="C692" s="90" t="s">
        <v>444</v>
      </c>
      <c r="D692" s="90" t="s">
        <v>2329</v>
      </c>
      <c r="E692" s="90" t="s">
        <v>1413</v>
      </c>
      <c r="F692" s="87">
        <v>1.0</v>
      </c>
      <c r="G692" s="87">
        <v>0.0</v>
      </c>
      <c r="H692" s="87">
        <v>6.0</v>
      </c>
      <c r="I692" s="87">
        <v>0.0</v>
      </c>
      <c r="J692" s="87">
        <v>0.0</v>
      </c>
      <c r="K692" s="87">
        <v>0.0</v>
      </c>
      <c r="L692" s="87">
        <v>0.0</v>
      </c>
      <c r="M692" s="87">
        <v>0.0</v>
      </c>
      <c r="N692" s="91"/>
      <c r="O692" s="91"/>
      <c r="P692" s="91"/>
      <c r="Q692" s="91"/>
      <c r="R692" s="91"/>
      <c r="S692" s="91"/>
      <c r="T692" s="91"/>
      <c r="U692" s="91"/>
      <c r="V692" s="91"/>
      <c r="W692" s="91"/>
      <c r="X692" s="91"/>
      <c r="Y692" s="91"/>
      <c r="Z692" s="88" t="s">
        <v>1396</v>
      </c>
    </row>
    <row r="693" hidden="1">
      <c r="A693" s="90" t="s">
        <v>2337</v>
      </c>
      <c r="B693" s="90" t="s">
        <v>3350</v>
      </c>
      <c r="C693" s="90" t="s">
        <v>444</v>
      </c>
      <c r="D693" s="90" t="s">
        <v>2329</v>
      </c>
      <c r="E693" s="90" t="s">
        <v>1398</v>
      </c>
      <c r="F693" s="87">
        <v>1.0</v>
      </c>
      <c r="G693" s="87">
        <v>0.0</v>
      </c>
      <c r="H693" s="87">
        <v>18.0</v>
      </c>
      <c r="I693" s="87">
        <v>0.0</v>
      </c>
      <c r="J693" s="87">
        <v>0.0</v>
      </c>
      <c r="K693" s="87">
        <v>0.0</v>
      </c>
      <c r="L693" s="87">
        <v>0.0</v>
      </c>
      <c r="M693" s="87">
        <v>0.0</v>
      </c>
      <c r="N693" s="91"/>
      <c r="O693" s="91"/>
      <c r="P693" s="91"/>
      <c r="Q693" s="91"/>
      <c r="R693" s="91"/>
      <c r="S693" s="91"/>
      <c r="T693" s="91"/>
      <c r="U693" s="91"/>
      <c r="V693" s="91"/>
      <c r="W693" s="91"/>
      <c r="X693" s="91"/>
      <c r="Y693" s="91"/>
      <c r="Z693" s="88" t="s">
        <v>1396</v>
      </c>
    </row>
    <row r="694" hidden="1">
      <c r="A694" s="90" t="s">
        <v>2327</v>
      </c>
      <c r="B694" s="90" t="s">
        <v>2328</v>
      </c>
      <c r="C694" s="90" t="s">
        <v>444</v>
      </c>
      <c r="D694" s="90" t="s">
        <v>2329</v>
      </c>
      <c r="E694" s="90" t="s">
        <v>1400</v>
      </c>
      <c r="F694" s="87">
        <v>8.0</v>
      </c>
      <c r="G694" s="87">
        <v>1.0</v>
      </c>
      <c r="H694" s="87">
        <v>1011.0</v>
      </c>
      <c r="I694" s="87">
        <v>17.0</v>
      </c>
      <c r="J694" s="87">
        <v>2.503125</v>
      </c>
      <c r="K694" s="87">
        <v>2.85531</v>
      </c>
      <c r="L694" s="87">
        <v>3.192029</v>
      </c>
      <c r="M694" s="87">
        <v>1.178071</v>
      </c>
      <c r="N694" s="87">
        <v>0.412589</v>
      </c>
      <c r="O694" s="87">
        <v>0.435632</v>
      </c>
      <c r="P694" s="87">
        <v>0.435632</v>
      </c>
      <c r="Q694" s="87">
        <v>0.595967</v>
      </c>
      <c r="R694" s="87">
        <v>0.645639</v>
      </c>
      <c r="S694" s="87">
        <v>0.645639</v>
      </c>
      <c r="T694" s="87">
        <v>0.435632</v>
      </c>
      <c r="U694" s="87">
        <v>0.435632</v>
      </c>
      <c r="V694" s="87">
        <v>0.595967</v>
      </c>
      <c r="W694" s="87">
        <v>0.645639</v>
      </c>
      <c r="X694" s="87">
        <v>0.645639</v>
      </c>
      <c r="Y694" s="87">
        <v>0.713827</v>
      </c>
      <c r="Z694" s="88" t="s">
        <v>1396</v>
      </c>
    </row>
    <row r="695" hidden="1">
      <c r="A695" s="90" t="s">
        <v>2330</v>
      </c>
      <c r="B695" s="90" t="s">
        <v>2331</v>
      </c>
      <c r="C695" s="90" t="s">
        <v>444</v>
      </c>
      <c r="D695" s="90" t="s">
        <v>2329</v>
      </c>
      <c r="E695" s="90" t="s">
        <v>1403</v>
      </c>
      <c r="F695" s="87">
        <v>1.0</v>
      </c>
      <c r="G695" s="87">
        <v>1.0</v>
      </c>
      <c r="H695" s="87">
        <v>36.0</v>
      </c>
      <c r="I695" s="87">
        <v>36.0</v>
      </c>
      <c r="J695" s="87">
        <v>0.0</v>
      </c>
      <c r="K695" s="87">
        <v>0.0</v>
      </c>
      <c r="L695" s="87">
        <v>0.0</v>
      </c>
      <c r="M695" s="87">
        <v>0.0</v>
      </c>
      <c r="N695" s="91"/>
      <c r="O695" s="87">
        <v>0.0</v>
      </c>
      <c r="P695" s="87">
        <v>0.0</v>
      </c>
      <c r="Q695" s="87">
        <v>0.0</v>
      </c>
      <c r="R695" s="87">
        <v>0.0</v>
      </c>
      <c r="S695" s="87">
        <v>0.0</v>
      </c>
      <c r="T695" s="91"/>
      <c r="U695" s="91"/>
      <c r="V695" s="91"/>
      <c r="W695" s="91"/>
      <c r="X695" s="91"/>
      <c r="Y695" s="87">
        <v>0.0</v>
      </c>
      <c r="Z695" s="88" t="s">
        <v>1396</v>
      </c>
    </row>
    <row r="696" hidden="1">
      <c r="A696" s="90" t="s">
        <v>2332</v>
      </c>
      <c r="B696" s="90" t="s">
        <v>2333</v>
      </c>
      <c r="C696" s="90" t="s">
        <v>444</v>
      </c>
      <c r="D696" s="90" t="s">
        <v>2334</v>
      </c>
      <c r="E696" s="86">
        <v>46310.0</v>
      </c>
      <c r="F696" s="87">
        <v>2.0</v>
      </c>
      <c r="G696" s="87">
        <v>0.0</v>
      </c>
      <c r="H696" s="87">
        <v>915.0</v>
      </c>
      <c r="I696" s="87">
        <v>0.0</v>
      </c>
      <c r="J696" s="87">
        <v>9.151016</v>
      </c>
      <c r="K696" s="87">
        <v>9.832945</v>
      </c>
      <c r="L696" s="87">
        <v>8.275006</v>
      </c>
      <c r="M696" s="87">
        <v>5.823439</v>
      </c>
      <c r="N696" s="87">
        <v>0.592238</v>
      </c>
      <c r="O696" s="87">
        <v>0.0</v>
      </c>
      <c r="P696" s="87">
        <v>0.0</v>
      </c>
      <c r="Q696" s="87">
        <v>0.0</v>
      </c>
      <c r="R696" s="87">
        <v>4.009506</v>
      </c>
      <c r="S696" s="87">
        <v>4.009506</v>
      </c>
      <c r="T696" s="87">
        <v>4.009506</v>
      </c>
      <c r="U696" s="87">
        <v>4.009506</v>
      </c>
      <c r="V696" s="87">
        <v>4.009506</v>
      </c>
      <c r="W696" s="87">
        <v>5.823439</v>
      </c>
      <c r="X696" s="87">
        <v>5.823439</v>
      </c>
      <c r="Y696" s="87">
        <v>2.458236</v>
      </c>
      <c r="Z696" s="88" t="s">
        <v>1396</v>
      </c>
    </row>
    <row r="697" hidden="1">
      <c r="A697" s="90" t="s">
        <v>2335</v>
      </c>
      <c r="B697" s="90" t="s">
        <v>2336</v>
      </c>
      <c r="C697" s="90" t="s">
        <v>444</v>
      </c>
      <c r="D697" s="90" t="s">
        <v>2334</v>
      </c>
      <c r="E697" s="90" t="s">
        <v>1413</v>
      </c>
      <c r="F697" s="87">
        <v>8.0</v>
      </c>
      <c r="G697" s="87">
        <v>0.0</v>
      </c>
      <c r="H697" s="87">
        <v>1363.0</v>
      </c>
      <c r="I697" s="87">
        <v>0.0</v>
      </c>
      <c r="J697" s="87">
        <v>4.049406</v>
      </c>
      <c r="K697" s="87">
        <v>3.875768</v>
      </c>
      <c r="L697" s="87">
        <v>3.614578</v>
      </c>
      <c r="M697" s="87">
        <v>2.84351</v>
      </c>
      <c r="N697" s="87">
        <v>0.733664</v>
      </c>
      <c r="O697" s="87">
        <v>1.032258</v>
      </c>
      <c r="P697" s="87">
        <v>1.032258</v>
      </c>
      <c r="Q697" s="87">
        <v>1.032258</v>
      </c>
      <c r="R697" s="87">
        <v>2.84351</v>
      </c>
      <c r="S697" s="87">
        <v>2.84351</v>
      </c>
      <c r="T697" s="87">
        <v>1.032258</v>
      </c>
      <c r="U697" s="87">
        <v>1.032258</v>
      </c>
      <c r="V697" s="87">
        <v>1.032258</v>
      </c>
      <c r="W697" s="87">
        <v>2.84351</v>
      </c>
      <c r="X697" s="87">
        <v>2.84351</v>
      </c>
      <c r="Y697" s="87">
        <v>1.937884</v>
      </c>
      <c r="Z697" s="88" t="s">
        <v>1396</v>
      </c>
    </row>
    <row r="698" hidden="1">
      <c r="A698" s="90" t="s">
        <v>2337</v>
      </c>
      <c r="B698" s="90" t="s">
        <v>2338</v>
      </c>
      <c r="C698" s="90" t="s">
        <v>444</v>
      </c>
      <c r="D698" s="90" t="s">
        <v>2334</v>
      </c>
      <c r="E698" s="90" t="s">
        <v>1398</v>
      </c>
      <c r="F698" s="87">
        <v>4.0</v>
      </c>
      <c r="G698" s="87">
        <v>0.0</v>
      </c>
      <c r="H698" s="87">
        <v>515.0</v>
      </c>
      <c r="I698" s="87">
        <v>0.0</v>
      </c>
      <c r="J698" s="87">
        <v>1.524542</v>
      </c>
      <c r="K698" s="87">
        <v>2.474763</v>
      </c>
      <c r="L698" s="87">
        <v>2.1866</v>
      </c>
      <c r="M698" s="87">
        <v>1.804525</v>
      </c>
      <c r="N698" s="87">
        <v>0.729171</v>
      </c>
      <c r="O698" s="87">
        <v>0.670238</v>
      </c>
      <c r="P698" s="87">
        <v>0.670238</v>
      </c>
      <c r="Q698" s="87">
        <v>0.670238</v>
      </c>
      <c r="R698" s="87">
        <v>1.804525</v>
      </c>
      <c r="S698" s="87">
        <v>1.804525</v>
      </c>
      <c r="T698" s="87">
        <v>0.670238</v>
      </c>
      <c r="U698" s="87">
        <v>0.670238</v>
      </c>
      <c r="V698" s="87">
        <v>0.670238</v>
      </c>
      <c r="W698" s="87">
        <v>1.804525</v>
      </c>
      <c r="X698" s="87">
        <v>1.804525</v>
      </c>
      <c r="Y698" s="87">
        <v>1.237381</v>
      </c>
      <c r="Z698" s="88" t="s">
        <v>1396</v>
      </c>
    </row>
    <row r="699" hidden="1">
      <c r="A699" s="90" t="s">
        <v>2327</v>
      </c>
      <c r="B699" s="90" t="s">
        <v>2339</v>
      </c>
      <c r="C699" s="90" t="s">
        <v>444</v>
      </c>
      <c r="D699" s="90" t="s">
        <v>2334</v>
      </c>
      <c r="E699" s="90" t="s">
        <v>1400</v>
      </c>
      <c r="F699" s="87">
        <v>3.0</v>
      </c>
      <c r="G699" s="87">
        <v>0.0</v>
      </c>
      <c r="H699" s="87">
        <v>406.0</v>
      </c>
      <c r="I699" s="87">
        <v>0.0</v>
      </c>
      <c r="J699" s="87">
        <v>0.928571</v>
      </c>
      <c r="K699" s="87">
        <v>1.367375</v>
      </c>
      <c r="L699" s="87">
        <v>1.343746</v>
      </c>
      <c r="M699" s="87">
        <v>1.300708</v>
      </c>
      <c r="N699" s="87">
        <v>0.951245</v>
      </c>
      <c r="O699" s="87">
        <v>0.066667</v>
      </c>
      <c r="P699" s="87">
        <v>0.066667</v>
      </c>
      <c r="Q699" s="87">
        <v>0.066667</v>
      </c>
      <c r="R699" s="87">
        <v>1.300708</v>
      </c>
      <c r="S699" s="87">
        <v>1.300708</v>
      </c>
      <c r="T699" s="87">
        <v>0.066667</v>
      </c>
      <c r="U699" s="87">
        <v>0.066667</v>
      </c>
      <c r="V699" s="87">
        <v>0.066667</v>
      </c>
      <c r="W699" s="87">
        <v>1.300708</v>
      </c>
      <c r="X699" s="87">
        <v>1.300708</v>
      </c>
      <c r="Y699" s="87">
        <v>0.683687</v>
      </c>
      <c r="Z699" s="88" t="s">
        <v>1396</v>
      </c>
    </row>
    <row r="700" hidden="1">
      <c r="A700" s="90" t="s">
        <v>2340</v>
      </c>
      <c r="B700" s="90" t="s">
        <v>2341</v>
      </c>
      <c r="C700" s="90" t="s">
        <v>444</v>
      </c>
      <c r="D700" s="90" t="s">
        <v>2334</v>
      </c>
      <c r="E700" s="89">
        <v>46300.0</v>
      </c>
      <c r="F700" s="87">
        <v>4.0</v>
      </c>
      <c r="G700" s="87">
        <v>0.0</v>
      </c>
      <c r="H700" s="87">
        <v>1004.0</v>
      </c>
      <c r="I700" s="87">
        <v>0.0</v>
      </c>
      <c r="J700" s="87">
        <v>10.76827</v>
      </c>
      <c r="K700" s="87">
        <v>10.19325</v>
      </c>
      <c r="L700" s="87">
        <v>9.034436</v>
      </c>
      <c r="M700" s="87">
        <v>8.426714</v>
      </c>
      <c r="N700" s="87">
        <v>0.826695</v>
      </c>
      <c r="O700" s="87">
        <v>1.76654</v>
      </c>
      <c r="P700" s="87">
        <v>1.76654</v>
      </c>
      <c r="Q700" s="87">
        <v>1.76654</v>
      </c>
      <c r="R700" s="87">
        <v>8.426714</v>
      </c>
      <c r="S700" s="87">
        <v>8.426714</v>
      </c>
      <c r="T700" s="87">
        <v>1.76654</v>
      </c>
      <c r="U700" s="87">
        <v>1.76654</v>
      </c>
      <c r="V700" s="87">
        <v>1.76654</v>
      </c>
      <c r="W700" s="87">
        <v>8.426714</v>
      </c>
      <c r="X700" s="87">
        <v>8.426714</v>
      </c>
      <c r="Y700" s="87">
        <v>5.096627</v>
      </c>
      <c r="Z700" s="88" t="s">
        <v>1396</v>
      </c>
    </row>
    <row r="701" hidden="1">
      <c r="A701" s="90" t="s">
        <v>2330</v>
      </c>
      <c r="B701" s="90" t="s">
        <v>2342</v>
      </c>
      <c r="C701" s="90" t="s">
        <v>444</v>
      </c>
      <c r="D701" s="90" t="s">
        <v>2334</v>
      </c>
      <c r="E701" s="90" t="s">
        <v>1403</v>
      </c>
      <c r="F701" s="87">
        <v>0.0</v>
      </c>
      <c r="G701" s="87">
        <v>0.0</v>
      </c>
      <c r="H701" s="87">
        <v>0.0</v>
      </c>
      <c r="I701" s="87">
        <v>0.0</v>
      </c>
      <c r="J701" s="87">
        <v>0.0</v>
      </c>
      <c r="K701" s="87">
        <v>0.0</v>
      </c>
      <c r="L701" s="87">
        <v>0.0</v>
      </c>
      <c r="M701" s="87">
        <v>0.0</v>
      </c>
      <c r="N701" s="91"/>
      <c r="O701" s="87">
        <v>0.0</v>
      </c>
      <c r="P701" s="87">
        <v>0.0</v>
      </c>
      <c r="Q701" s="87">
        <v>0.0</v>
      </c>
      <c r="R701" s="87">
        <v>0.0</v>
      </c>
      <c r="S701" s="87">
        <v>0.0</v>
      </c>
      <c r="T701" s="91"/>
      <c r="U701" s="91"/>
      <c r="V701" s="91"/>
      <c r="W701" s="91"/>
      <c r="X701" s="91"/>
      <c r="Y701" s="87">
        <v>0.0</v>
      </c>
      <c r="Z701" s="88" t="s">
        <v>1396</v>
      </c>
    </row>
    <row r="702" hidden="1">
      <c r="A702" s="90" t="s">
        <v>2343</v>
      </c>
      <c r="B702" s="90" t="s">
        <v>2344</v>
      </c>
      <c r="C702" s="90" t="s">
        <v>444</v>
      </c>
      <c r="D702" s="90" t="s">
        <v>954</v>
      </c>
      <c r="E702" s="90" t="s">
        <v>1426</v>
      </c>
      <c r="F702" s="87">
        <v>0.0</v>
      </c>
      <c r="G702" s="87">
        <v>0.0</v>
      </c>
      <c r="H702" s="87">
        <v>0.0</v>
      </c>
      <c r="I702" s="87">
        <v>0.0</v>
      </c>
      <c r="J702" s="87">
        <v>0.0</v>
      </c>
      <c r="K702" s="87">
        <v>0.0</v>
      </c>
      <c r="L702" s="87">
        <v>0.0</v>
      </c>
      <c r="M702" s="87">
        <v>0.0</v>
      </c>
      <c r="N702" s="91"/>
      <c r="O702" s="87">
        <v>0.0</v>
      </c>
      <c r="P702" s="87">
        <v>0.0</v>
      </c>
      <c r="Q702" s="87">
        <v>0.0</v>
      </c>
      <c r="R702" s="87">
        <v>0.0</v>
      </c>
      <c r="S702" s="87">
        <v>0.0</v>
      </c>
      <c r="T702" s="91"/>
      <c r="U702" s="91"/>
      <c r="V702" s="91"/>
      <c r="W702" s="91"/>
      <c r="X702" s="91"/>
      <c r="Y702" s="87">
        <v>0.0</v>
      </c>
      <c r="Z702" s="88" t="s">
        <v>1396</v>
      </c>
    </row>
    <row r="703" hidden="1">
      <c r="A703" s="90" t="s">
        <v>2332</v>
      </c>
      <c r="B703" s="90" t="s">
        <v>3351</v>
      </c>
      <c r="C703" s="90" t="s">
        <v>444</v>
      </c>
      <c r="D703" s="90" t="s">
        <v>954</v>
      </c>
      <c r="E703" s="86">
        <v>46310.0</v>
      </c>
      <c r="F703" s="87">
        <v>1.0</v>
      </c>
      <c r="G703" s="87">
        <v>0.0</v>
      </c>
      <c r="H703" s="87">
        <v>33.0</v>
      </c>
      <c r="I703" s="87">
        <v>0.0</v>
      </c>
      <c r="J703" s="87">
        <v>0.0</v>
      </c>
      <c r="K703" s="87">
        <v>0.0</v>
      </c>
      <c r="L703" s="87">
        <v>0.0</v>
      </c>
      <c r="M703" s="87">
        <v>0.0</v>
      </c>
      <c r="N703" s="91"/>
      <c r="O703" s="91"/>
      <c r="P703" s="91"/>
      <c r="Q703" s="91"/>
      <c r="R703" s="91"/>
      <c r="S703" s="91"/>
      <c r="T703" s="91"/>
      <c r="U703" s="91"/>
      <c r="V703" s="91"/>
      <c r="W703" s="91"/>
      <c r="X703" s="91"/>
      <c r="Y703" s="91"/>
      <c r="Z703" s="88" t="s">
        <v>1396</v>
      </c>
    </row>
    <row r="704" hidden="1">
      <c r="A704" s="90" t="s">
        <v>2335</v>
      </c>
      <c r="B704" s="90" t="s">
        <v>2345</v>
      </c>
      <c r="C704" s="90" t="s">
        <v>444</v>
      </c>
      <c r="D704" s="90" t="s">
        <v>954</v>
      </c>
      <c r="E704" s="90" t="s">
        <v>1413</v>
      </c>
      <c r="F704" s="87">
        <v>2.0</v>
      </c>
      <c r="G704" s="87">
        <v>0.0</v>
      </c>
      <c r="H704" s="87">
        <v>2074.0</v>
      </c>
      <c r="I704" s="87">
        <v>0.0</v>
      </c>
      <c r="J704" s="87">
        <v>29.7703</v>
      </c>
      <c r="K704" s="87">
        <v>27.26419</v>
      </c>
      <c r="L704" s="87">
        <v>27.10534</v>
      </c>
      <c r="M704" s="87">
        <v>17.76289</v>
      </c>
      <c r="N704" s="87">
        <v>0.65151</v>
      </c>
      <c r="O704" s="87">
        <v>9.501305</v>
      </c>
      <c r="P704" s="87">
        <v>9.501305</v>
      </c>
      <c r="Q704" s="87">
        <v>9.501305</v>
      </c>
      <c r="R704" s="87">
        <v>17.76289</v>
      </c>
      <c r="S704" s="87">
        <v>17.76289</v>
      </c>
      <c r="T704" s="87">
        <v>9.501305</v>
      </c>
      <c r="U704" s="87">
        <v>9.501305</v>
      </c>
      <c r="V704" s="87">
        <v>9.501305</v>
      </c>
      <c r="W704" s="87">
        <v>17.76289</v>
      </c>
      <c r="X704" s="87">
        <v>17.76289</v>
      </c>
      <c r="Y704" s="87">
        <v>13.6321</v>
      </c>
      <c r="Z704" s="88" t="s">
        <v>1396</v>
      </c>
    </row>
    <row r="705" hidden="1">
      <c r="A705" s="90" t="s">
        <v>2337</v>
      </c>
      <c r="B705" s="90" t="s">
        <v>2346</v>
      </c>
      <c r="C705" s="90" t="s">
        <v>444</v>
      </c>
      <c r="D705" s="90" t="s">
        <v>954</v>
      </c>
      <c r="E705" s="90" t="s">
        <v>1398</v>
      </c>
      <c r="F705" s="87">
        <v>1.0</v>
      </c>
      <c r="G705" s="87">
        <v>0.0</v>
      </c>
      <c r="H705" s="87">
        <v>288.0</v>
      </c>
      <c r="I705" s="87">
        <v>0.0</v>
      </c>
      <c r="J705" s="87">
        <v>0.5</v>
      </c>
      <c r="K705" s="87">
        <v>1.006722</v>
      </c>
      <c r="L705" s="87">
        <v>1.380202</v>
      </c>
      <c r="M705" s="87">
        <v>1.006722</v>
      </c>
      <c r="N705" s="87">
        <v>1.0</v>
      </c>
      <c r="O705" s="87">
        <v>1.006722</v>
      </c>
      <c r="P705" s="87">
        <v>1.006722</v>
      </c>
      <c r="Q705" s="87">
        <v>1.006722</v>
      </c>
      <c r="R705" s="87">
        <v>1.006722</v>
      </c>
      <c r="S705" s="87">
        <v>1.006722</v>
      </c>
      <c r="T705" s="87">
        <v>1.006722</v>
      </c>
      <c r="U705" s="87">
        <v>1.006722</v>
      </c>
      <c r="V705" s="87">
        <v>1.006722</v>
      </c>
      <c r="W705" s="87">
        <v>1.006722</v>
      </c>
      <c r="X705" s="87">
        <v>1.006722</v>
      </c>
      <c r="Y705" s="87">
        <v>1.006722</v>
      </c>
      <c r="Z705" s="88" t="s">
        <v>1396</v>
      </c>
    </row>
    <row r="706" hidden="1">
      <c r="A706" s="90" t="s">
        <v>2335</v>
      </c>
      <c r="B706" s="90" t="s">
        <v>3352</v>
      </c>
      <c r="C706" s="90" t="s">
        <v>444</v>
      </c>
      <c r="D706" s="90" t="s">
        <v>3353</v>
      </c>
      <c r="E706" s="90" t="s">
        <v>1413</v>
      </c>
      <c r="F706" s="87">
        <v>1.0</v>
      </c>
      <c r="G706" s="87">
        <v>0.0</v>
      </c>
      <c r="H706" s="87">
        <v>2.0</v>
      </c>
      <c r="I706" s="87">
        <v>0.0</v>
      </c>
      <c r="J706" s="87">
        <v>0.0</v>
      </c>
      <c r="K706" s="87">
        <v>0.0</v>
      </c>
      <c r="L706" s="87">
        <v>0.0</v>
      </c>
      <c r="M706" s="87">
        <v>0.0</v>
      </c>
      <c r="N706" s="91"/>
      <c r="O706" s="91"/>
      <c r="P706" s="91"/>
      <c r="Q706" s="91"/>
      <c r="R706" s="91"/>
      <c r="S706" s="91"/>
      <c r="T706" s="91"/>
      <c r="U706" s="91"/>
      <c r="V706" s="91"/>
      <c r="W706" s="91"/>
      <c r="X706" s="91"/>
      <c r="Y706" s="91"/>
      <c r="Z706" s="88" t="s">
        <v>1396</v>
      </c>
    </row>
    <row r="707" hidden="1">
      <c r="A707" s="90" t="s">
        <v>2327</v>
      </c>
      <c r="B707" s="90" t="s">
        <v>3354</v>
      </c>
      <c r="C707" s="90" t="s">
        <v>444</v>
      </c>
      <c r="D707" s="90" t="s">
        <v>3353</v>
      </c>
      <c r="E707" s="90" t="s">
        <v>1400</v>
      </c>
      <c r="F707" s="87">
        <v>1.0</v>
      </c>
      <c r="G707" s="87">
        <v>0.0</v>
      </c>
      <c r="H707" s="87">
        <v>8.0</v>
      </c>
      <c r="I707" s="87">
        <v>0.0</v>
      </c>
      <c r="J707" s="87">
        <v>0.0</v>
      </c>
      <c r="K707" s="87">
        <v>0.0</v>
      </c>
      <c r="L707" s="87">
        <v>0.0</v>
      </c>
      <c r="M707" s="87">
        <v>0.0</v>
      </c>
      <c r="N707" s="85"/>
      <c r="O707" s="91"/>
      <c r="P707" s="91"/>
      <c r="Q707" s="91"/>
      <c r="R707" s="91"/>
      <c r="S707" s="91"/>
      <c r="T707" s="91"/>
      <c r="U707" s="91"/>
      <c r="V707" s="91"/>
      <c r="W707" s="91"/>
      <c r="X707" s="91"/>
      <c r="Y707" s="91"/>
      <c r="Z707" s="88" t="s">
        <v>1396</v>
      </c>
    </row>
    <row r="708" hidden="1">
      <c r="A708" s="90" t="s">
        <v>2332</v>
      </c>
      <c r="B708" s="90" t="s">
        <v>2348</v>
      </c>
      <c r="C708" s="90" t="s">
        <v>444</v>
      </c>
      <c r="D708" s="90" t="s">
        <v>454</v>
      </c>
      <c r="E708" s="86">
        <v>46310.0</v>
      </c>
      <c r="F708" s="87">
        <v>3.0</v>
      </c>
      <c r="G708" s="87">
        <v>0.0</v>
      </c>
      <c r="H708" s="87">
        <v>4019.0</v>
      </c>
      <c r="I708" s="87">
        <v>0.0</v>
      </c>
      <c r="J708" s="87">
        <v>37.89872</v>
      </c>
      <c r="K708" s="87">
        <v>37.80506</v>
      </c>
      <c r="L708" s="87">
        <v>35.10902</v>
      </c>
      <c r="M708" s="87">
        <v>30.71654</v>
      </c>
      <c r="N708" s="87">
        <v>0.812498</v>
      </c>
      <c r="O708" s="87">
        <v>7.088522</v>
      </c>
      <c r="P708" s="87">
        <v>7.088522</v>
      </c>
      <c r="Q708" s="87">
        <v>7.088522</v>
      </c>
      <c r="R708" s="87">
        <v>30.71654</v>
      </c>
      <c r="S708" s="87">
        <v>30.71654</v>
      </c>
      <c r="T708" s="87">
        <v>7.088522</v>
      </c>
      <c r="U708" s="87">
        <v>7.088522</v>
      </c>
      <c r="V708" s="87">
        <v>7.088522</v>
      </c>
      <c r="W708" s="87">
        <v>30.71654</v>
      </c>
      <c r="X708" s="87">
        <v>30.71654</v>
      </c>
      <c r="Y708" s="87">
        <v>18.90253</v>
      </c>
      <c r="Z708" s="88" t="s">
        <v>1396</v>
      </c>
    </row>
    <row r="709" hidden="1">
      <c r="A709" s="90" t="s">
        <v>2335</v>
      </c>
      <c r="B709" s="90" t="s">
        <v>2349</v>
      </c>
      <c r="C709" s="90" t="s">
        <v>444</v>
      </c>
      <c r="D709" s="90" t="s">
        <v>454</v>
      </c>
      <c r="E709" s="90" t="s">
        <v>1413</v>
      </c>
      <c r="F709" s="87">
        <v>3.0</v>
      </c>
      <c r="G709" s="87">
        <v>0.0</v>
      </c>
      <c r="H709" s="87">
        <v>2059.0</v>
      </c>
      <c r="I709" s="87">
        <v>0.0</v>
      </c>
      <c r="J709" s="87">
        <v>24.46643</v>
      </c>
      <c r="K709" s="87">
        <v>22.48463</v>
      </c>
      <c r="L709" s="87">
        <v>21.8773</v>
      </c>
      <c r="M709" s="87">
        <v>12.49437</v>
      </c>
      <c r="N709" s="87">
        <v>0.555685</v>
      </c>
      <c r="O709" s="87">
        <v>1.463441</v>
      </c>
      <c r="P709" s="87">
        <v>1.463441</v>
      </c>
      <c r="Q709" s="87">
        <v>1.463441</v>
      </c>
      <c r="R709" s="87">
        <v>8.526815</v>
      </c>
      <c r="S709" s="87">
        <v>12.49437</v>
      </c>
      <c r="T709" s="87">
        <v>1.463441</v>
      </c>
      <c r="U709" s="87">
        <v>1.463441</v>
      </c>
      <c r="V709" s="87">
        <v>1.463441</v>
      </c>
      <c r="W709" s="87">
        <v>8.526815</v>
      </c>
      <c r="X709" s="87">
        <v>12.49437</v>
      </c>
      <c r="Y709" s="87">
        <v>7.494876</v>
      </c>
      <c r="Z709" s="88" t="s">
        <v>1396</v>
      </c>
    </row>
    <row r="710" hidden="1">
      <c r="A710" s="90" t="s">
        <v>2337</v>
      </c>
      <c r="B710" s="90" t="s">
        <v>2350</v>
      </c>
      <c r="C710" s="90" t="s">
        <v>444</v>
      </c>
      <c r="D710" s="90" t="s">
        <v>454</v>
      </c>
      <c r="E710" s="90" t="s">
        <v>1398</v>
      </c>
      <c r="F710" s="87">
        <v>8.0</v>
      </c>
      <c r="G710" s="87">
        <v>1.0</v>
      </c>
      <c r="H710" s="87">
        <v>3378.0</v>
      </c>
      <c r="I710" s="87">
        <v>2.0</v>
      </c>
      <c r="J710" s="87">
        <v>28.51968</v>
      </c>
      <c r="K710" s="87">
        <v>25.09233</v>
      </c>
      <c r="L710" s="87">
        <v>24.7869</v>
      </c>
      <c r="M710" s="87">
        <v>13.38857</v>
      </c>
      <c r="N710" s="87">
        <v>0.533572</v>
      </c>
      <c r="O710" s="87">
        <v>0.0</v>
      </c>
      <c r="P710" s="87">
        <v>0.333333</v>
      </c>
      <c r="Q710" s="87">
        <v>0.5</v>
      </c>
      <c r="R710" s="87">
        <v>2.301697</v>
      </c>
      <c r="S710" s="87">
        <v>3.741576</v>
      </c>
      <c r="T710" s="87">
        <v>0.333333</v>
      </c>
      <c r="U710" s="87">
        <v>0.5</v>
      </c>
      <c r="V710" s="87">
        <v>1.447303</v>
      </c>
      <c r="W710" s="87">
        <v>3.379852</v>
      </c>
      <c r="X710" s="87">
        <v>3.741576</v>
      </c>
      <c r="Y710" s="87">
        <v>2.788037</v>
      </c>
      <c r="Z710" s="88" t="s">
        <v>1396</v>
      </c>
    </row>
    <row r="711" hidden="1">
      <c r="A711" s="90" t="s">
        <v>2327</v>
      </c>
      <c r="B711" s="90" t="s">
        <v>2351</v>
      </c>
      <c r="C711" s="90" t="s">
        <v>444</v>
      </c>
      <c r="D711" s="90" t="s">
        <v>454</v>
      </c>
      <c r="E711" s="90" t="s">
        <v>1400</v>
      </c>
      <c r="F711" s="87">
        <v>23.0</v>
      </c>
      <c r="G711" s="87">
        <v>1.0</v>
      </c>
      <c r="H711" s="87">
        <v>8526.0</v>
      </c>
      <c r="I711" s="87">
        <v>9.0</v>
      </c>
      <c r="J711" s="87">
        <v>46.60241</v>
      </c>
      <c r="K711" s="87">
        <v>43.62246</v>
      </c>
      <c r="L711" s="87">
        <v>43.75321</v>
      </c>
      <c r="M711" s="87">
        <v>23.56327</v>
      </c>
      <c r="N711" s="87">
        <v>0.540164</v>
      </c>
      <c r="O711" s="87">
        <v>0.233333</v>
      </c>
      <c r="P711" s="87">
        <v>0.778655</v>
      </c>
      <c r="Q711" s="87">
        <v>0.784031</v>
      </c>
      <c r="R711" s="87">
        <v>1.905223</v>
      </c>
      <c r="S711" s="87">
        <v>3.234141</v>
      </c>
      <c r="T711" s="87">
        <v>0.233333</v>
      </c>
      <c r="U711" s="87">
        <v>0.778655</v>
      </c>
      <c r="V711" s="87">
        <v>0.784031</v>
      </c>
      <c r="W711" s="87">
        <v>1.905223</v>
      </c>
      <c r="X711" s="87">
        <v>3.234141</v>
      </c>
      <c r="Y711" s="87">
        <v>2.908164</v>
      </c>
      <c r="Z711" s="88" t="s">
        <v>1396</v>
      </c>
    </row>
    <row r="712" hidden="1">
      <c r="A712" s="90" t="s">
        <v>2340</v>
      </c>
      <c r="B712" s="90" t="s">
        <v>2352</v>
      </c>
      <c r="C712" s="90" t="s">
        <v>444</v>
      </c>
      <c r="D712" s="90" t="s">
        <v>454</v>
      </c>
      <c r="E712" s="89">
        <v>46300.0</v>
      </c>
      <c r="F712" s="87">
        <v>4.0</v>
      </c>
      <c r="G712" s="87">
        <v>0.0</v>
      </c>
      <c r="H712" s="87">
        <v>1115.0</v>
      </c>
      <c r="I712" s="87">
        <v>0.0</v>
      </c>
      <c r="J712" s="87">
        <v>8.672744</v>
      </c>
      <c r="K712" s="87">
        <v>18.8371</v>
      </c>
      <c r="L712" s="87">
        <v>15.14739</v>
      </c>
      <c r="M712" s="87">
        <v>10.57521</v>
      </c>
      <c r="N712" s="87">
        <v>0.561403</v>
      </c>
      <c r="O712" s="87">
        <v>1.814841</v>
      </c>
      <c r="P712" s="87">
        <v>1.814841</v>
      </c>
      <c r="Q712" s="87">
        <v>1.814841</v>
      </c>
      <c r="R712" s="87">
        <v>6.447052</v>
      </c>
      <c r="S712" s="87">
        <v>10.57521</v>
      </c>
      <c r="T712" s="87">
        <v>1.814841</v>
      </c>
      <c r="U712" s="87">
        <v>1.814841</v>
      </c>
      <c r="V712" s="87">
        <v>1.814841</v>
      </c>
      <c r="W712" s="87">
        <v>6.447052</v>
      </c>
      <c r="X712" s="87">
        <v>10.57521</v>
      </c>
      <c r="Y712" s="87">
        <v>6.279034</v>
      </c>
      <c r="Z712" s="88" t="s">
        <v>1396</v>
      </c>
    </row>
    <row r="713" hidden="1">
      <c r="A713" s="90" t="s">
        <v>2330</v>
      </c>
      <c r="B713" s="90" t="s">
        <v>2353</v>
      </c>
      <c r="C713" s="90" t="s">
        <v>444</v>
      </c>
      <c r="D713" s="90" t="s">
        <v>454</v>
      </c>
      <c r="E713" s="90" t="s">
        <v>1403</v>
      </c>
      <c r="F713" s="87">
        <v>3.0</v>
      </c>
      <c r="G713" s="87">
        <v>3.0</v>
      </c>
      <c r="H713" s="87">
        <v>415.0</v>
      </c>
      <c r="I713" s="87">
        <v>415.0</v>
      </c>
      <c r="J713" s="87">
        <v>0.0</v>
      </c>
      <c r="K713" s="87">
        <v>0.0</v>
      </c>
      <c r="L713" s="87">
        <v>0.0</v>
      </c>
      <c r="M713" s="87">
        <v>0.0</v>
      </c>
      <c r="N713" s="91"/>
      <c r="O713" s="87">
        <v>0.0</v>
      </c>
      <c r="P713" s="87">
        <v>0.0</v>
      </c>
      <c r="Q713" s="87">
        <v>0.0</v>
      </c>
      <c r="R713" s="87">
        <v>0.0</v>
      </c>
      <c r="S713" s="87">
        <v>0.0</v>
      </c>
      <c r="T713" s="91"/>
      <c r="U713" s="91"/>
      <c r="V713" s="91"/>
      <c r="W713" s="91"/>
      <c r="X713" s="91"/>
      <c r="Y713" s="87">
        <v>0.0</v>
      </c>
      <c r="Z713" s="88" t="s">
        <v>1396</v>
      </c>
    </row>
    <row r="714" hidden="1">
      <c r="A714" s="90" t="s">
        <v>2337</v>
      </c>
      <c r="B714" s="90" t="s">
        <v>2354</v>
      </c>
      <c r="C714" s="90" t="s">
        <v>444</v>
      </c>
      <c r="D714" s="90" t="s">
        <v>2355</v>
      </c>
      <c r="E714" s="90" t="s">
        <v>1398</v>
      </c>
      <c r="F714" s="87">
        <v>6.0</v>
      </c>
      <c r="G714" s="87">
        <v>0.0</v>
      </c>
      <c r="H714" s="87">
        <v>1282.0</v>
      </c>
      <c r="I714" s="87">
        <v>0.0</v>
      </c>
      <c r="J714" s="87">
        <v>1.87987</v>
      </c>
      <c r="K714" s="87">
        <v>2.992112</v>
      </c>
      <c r="L714" s="87">
        <v>2.204186</v>
      </c>
      <c r="M714" s="87">
        <v>1.807823</v>
      </c>
      <c r="N714" s="87">
        <v>0.604196</v>
      </c>
      <c r="O714" s="87">
        <v>0.032258</v>
      </c>
      <c r="P714" s="87">
        <v>0.297849</v>
      </c>
      <c r="Q714" s="87">
        <v>0.297849</v>
      </c>
      <c r="R714" s="87">
        <v>0.556332</v>
      </c>
      <c r="S714" s="87">
        <v>0.594709</v>
      </c>
      <c r="T714" s="87">
        <v>0.032258</v>
      </c>
      <c r="U714" s="87">
        <v>0.297849</v>
      </c>
      <c r="V714" s="87">
        <v>0.297849</v>
      </c>
      <c r="W714" s="87">
        <v>0.556332</v>
      </c>
      <c r="X714" s="87">
        <v>0.594709</v>
      </c>
      <c r="Y714" s="87">
        <v>0.498685</v>
      </c>
      <c r="Z714" s="88" t="s">
        <v>1396</v>
      </c>
    </row>
    <row r="715" hidden="1">
      <c r="A715" s="90" t="s">
        <v>2327</v>
      </c>
      <c r="B715" s="90" t="s">
        <v>2356</v>
      </c>
      <c r="C715" s="90" t="s">
        <v>444</v>
      </c>
      <c r="D715" s="90" t="s">
        <v>2355</v>
      </c>
      <c r="E715" s="90" t="s">
        <v>1400</v>
      </c>
      <c r="F715" s="87">
        <v>4.0</v>
      </c>
      <c r="G715" s="87">
        <v>1.0</v>
      </c>
      <c r="H715" s="87">
        <v>722.0</v>
      </c>
      <c r="I715" s="87">
        <v>220.0</v>
      </c>
      <c r="J715" s="87">
        <v>0.571429</v>
      </c>
      <c r="K715" s="87">
        <v>0.638095</v>
      </c>
      <c r="L715" s="87">
        <v>0.725613</v>
      </c>
      <c r="M715" s="87">
        <v>0.233333</v>
      </c>
      <c r="N715" s="87">
        <v>0.365672</v>
      </c>
      <c r="O715" s="87">
        <v>0.0</v>
      </c>
      <c r="P715" s="87">
        <v>0.0</v>
      </c>
      <c r="Q715" s="87">
        <v>0.2</v>
      </c>
      <c r="R715" s="87">
        <v>0.204762</v>
      </c>
      <c r="S715" s="87">
        <v>0.204762</v>
      </c>
      <c r="T715" s="87">
        <v>0.2</v>
      </c>
      <c r="U715" s="87">
        <v>0.2</v>
      </c>
      <c r="V715" s="87">
        <v>0.2</v>
      </c>
      <c r="W715" s="87">
        <v>0.204762</v>
      </c>
      <c r="X715" s="87">
        <v>0.233333</v>
      </c>
      <c r="Y715" s="87">
        <v>0.159524</v>
      </c>
      <c r="Z715" s="88" t="s">
        <v>1396</v>
      </c>
    </row>
    <row r="716" hidden="1">
      <c r="A716" s="90" t="s">
        <v>2335</v>
      </c>
      <c r="B716" s="90" t="s">
        <v>2357</v>
      </c>
      <c r="C716" s="90" t="s">
        <v>444</v>
      </c>
      <c r="D716" s="90" t="s">
        <v>949</v>
      </c>
      <c r="E716" s="90" t="s">
        <v>1413</v>
      </c>
      <c r="F716" s="87">
        <v>1.0</v>
      </c>
      <c r="G716" s="87">
        <v>0.0</v>
      </c>
      <c r="H716" s="87">
        <v>381.0</v>
      </c>
      <c r="I716" s="87">
        <v>0.0</v>
      </c>
      <c r="J716" s="87">
        <v>6.366384</v>
      </c>
      <c r="K716" s="87">
        <v>5.729772</v>
      </c>
      <c r="L716" s="87">
        <v>5.598503</v>
      </c>
      <c r="M716" s="87">
        <v>5.729772</v>
      </c>
      <c r="N716" s="87">
        <v>1.0</v>
      </c>
      <c r="O716" s="87">
        <v>5.729772</v>
      </c>
      <c r="P716" s="87">
        <v>5.729772</v>
      </c>
      <c r="Q716" s="87">
        <v>5.729772</v>
      </c>
      <c r="R716" s="87">
        <v>5.729772</v>
      </c>
      <c r="S716" s="87">
        <v>5.729772</v>
      </c>
      <c r="T716" s="87">
        <v>5.729772</v>
      </c>
      <c r="U716" s="87">
        <v>5.729772</v>
      </c>
      <c r="V716" s="87">
        <v>5.729772</v>
      </c>
      <c r="W716" s="87">
        <v>5.729772</v>
      </c>
      <c r="X716" s="87">
        <v>5.729772</v>
      </c>
      <c r="Y716" s="87">
        <v>5.729772</v>
      </c>
      <c r="Z716" s="88" t="s">
        <v>1396</v>
      </c>
    </row>
    <row r="717" hidden="1">
      <c r="A717" s="90" t="s">
        <v>2327</v>
      </c>
      <c r="B717" s="90" t="s">
        <v>2358</v>
      </c>
      <c r="C717" s="90" t="s">
        <v>444</v>
      </c>
      <c r="D717" s="90" t="s">
        <v>949</v>
      </c>
      <c r="E717" s="90" t="s">
        <v>1400</v>
      </c>
      <c r="F717" s="87">
        <v>1.0</v>
      </c>
      <c r="G717" s="87">
        <v>1.0</v>
      </c>
      <c r="H717" s="87">
        <v>142.0</v>
      </c>
      <c r="I717" s="87">
        <v>142.0</v>
      </c>
      <c r="J717" s="87">
        <v>0.0</v>
      </c>
      <c r="K717" s="87">
        <v>0.0</v>
      </c>
      <c r="L717" s="87">
        <v>0.090909</v>
      </c>
      <c r="M717" s="87">
        <v>0.0</v>
      </c>
      <c r="N717" s="91"/>
      <c r="O717" s="87">
        <v>0.0</v>
      </c>
      <c r="P717" s="87">
        <v>0.0</v>
      </c>
      <c r="Q717" s="87">
        <v>0.0</v>
      </c>
      <c r="R717" s="87">
        <v>0.0</v>
      </c>
      <c r="S717" s="87">
        <v>0.0</v>
      </c>
      <c r="T717" s="91"/>
      <c r="U717" s="91"/>
      <c r="V717" s="91"/>
      <c r="W717" s="91"/>
      <c r="X717" s="91"/>
      <c r="Y717" s="87">
        <v>0.0</v>
      </c>
      <c r="Z717" s="88" t="s">
        <v>1396</v>
      </c>
    </row>
    <row r="718" hidden="1">
      <c r="A718" s="90" t="s">
        <v>2332</v>
      </c>
      <c r="B718" s="90" t="s">
        <v>2360</v>
      </c>
      <c r="C718" s="90" t="s">
        <v>444</v>
      </c>
      <c r="D718" s="90" t="s">
        <v>445</v>
      </c>
      <c r="E718" s="86">
        <v>46310.0</v>
      </c>
      <c r="F718" s="87">
        <v>2.0</v>
      </c>
      <c r="G718" s="87">
        <v>0.0</v>
      </c>
      <c r="H718" s="87">
        <v>926.0</v>
      </c>
      <c r="I718" s="87">
        <v>0.0</v>
      </c>
      <c r="J718" s="87">
        <v>27.99895</v>
      </c>
      <c r="K718" s="87">
        <v>22.79835</v>
      </c>
      <c r="L718" s="87">
        <v>16.60364</v>
      </c>
      <c r="M718" s="87">
        <v>11.92133</v>
      </c>
      <c r="N718" s="87">
        <v>0.522903</v>
      </c>
      <c r="O718" s="87">
        <v>10.87701</v>
      </c>
      <c r="P718" s="87">
        <v>10.87701</v>
      </c>
      <c r="Q718" s="87">
        <v>10.87701</v>
      </c>
      <c r="R718" s="87">
        <v>11.92133</v>
      </c>
      <c r="S718" s="87">
        <v>11.92133</v>
      </c>
      <c r="T718" s="87">
        <v>10.87701</v>
      </c>
      <c r="U718" s="87">
        <v>10.87701</v>
      </c>
      <c r="V718" s="87">
        <v>10.87701</v>
      </c>
      <c r="W718" s="87">
        <v>11.92133</v>
      </c>
      <c r="X718" s="87">
        <v>11.92133</v>
      </c>
      <c r="Y718" s="87">
        <v>11.39917</v>
      </c>
      <c r="Z718" s="88" t="s">
        <v>1396</v>
      </c>
    </row>
    <row r="719" hidden="1">
      <c r="A719" s="90" t="s">
        <v>2335</v>
      </c>
      <c r="B719" s="90" t="s">
        <v>2361</v>
      </c>
      <c r="C719" s="90" t="s">
        <v>444</v>
      </c>
      <c r="D719" s="90" t="s">
        <v>445</v>
      </c>
      <c r="E719" s="90" t="s">
        <v>1413</v>
      </c>
      <c r="F719" s="87">
        <v>5.0</v>
      </c>
      <c r="G719" s="87">
        <v>0.0</v>
      </c>
      <c r="H719" s="87">
        <v>6835.0</v>
      </c>
      <c r="I719" s="87">
        <v>0.0</v>
      </c>
      <c r="J719" s="87">
        <v>86.06778</v>
      </c>
      <c r="K719" s="87">
        <v>80.82054</v>
      </c>
      <c r="L719" s="87">
        <v>77.62342</v>
      </c>
      <c r="M719" s="87">
        <v>41.7702</v>
      </c>
      <c r="N719" s="87">
        <v>0.516827</v>
      </c>
      <c r="O719" s="87">
        <v>0.0</v>
      </c>
      <c r="P719" s="87">
        <v>6.093805</v>
      </c>
      <c r="Q719" s="87">
        <v>6.093805</v>
      </c>
      <c r="R719" s="87">
        <v>11.7834</v>
      </c>
      <c r="S719" s="87">
        <v>21.17313</v>
      </c>
      <c r="T719" s="87">
        <v>6.093805</v>
      </c>
      <c r="U719" s="87">
        <v>6.093805</v>
      </c>
      <c r="V719" s="87">
        <v>11.7834</v>
      </c>
      <c r="W719" s="87">
        <v>21.17313</v>
      </c>
      <c r="X719" s="87">
        <v>21.17313</v>
      </c>
      <c r="Y719" s="87">
        <v>16.16411</v>
      </c>
      <c r="Z719" s="88" t="s">
        <v>1396</v>
      </c>
    </row>
    <row r="720" hidden="1">
      <c r="A720" s="90" t="s">
        <v>2327</v>
      </c>
      <c r="B720" s="90" t="s">
        <v>2363</v>
      </c>
      <c r="C720" s="90" t="s">
        <v>444</v>
      </c>
      <c r="D720" s="90" t="s">
        <v>445</v>
      </c>
      <c r="E720" s="90" t="s">
        <v>1400</v>
      </c>
      <c r="F720" s="87">
        <v>88.0</v>
      </c>
      <c r="G720" s="87">
        <v>4.0</v>
      </c>
      <c r="H720" s="87">
        <v>16893.0</v>
      </c>
      <c r="I720" s="87">
        <v>71.0</v>
      </c>
      <c r="J720" s="87">
        <v>79.23146</v>
      </c>
      <c r="K720" s="87">
        <v>86.73954</v>
      </c>
      <c r="L720" s="87">
        <v>83.13827</v>
      </c>
      <c r="M720" s="87">
        <v>51.56157</v>
      </c>
      <c r="N720" s="87">
        <v>0.594441</v>
      </c>
      <c r="O720" s="87">
        <v>0.098925</v>
      </c>
      <c r="P720" s="87">
        <v>0.202469</v>
      </c>
      <c r="Q720" s="87">
        <v>0.315557</v>
      </c>
      <c r="R720" s="87">
        <v>0.654517</v>
      </c>
      <c r="S720" s="87">
        <v>1.259047</v>
      </c>
      <c r="T720" s="87">
        <v>0.133333</v>
      </c>
      <c r="U720" s="87">
        <v>0.211089</v>
      </c>
      <c r="V720" s="87">
        <v>0.335594</v>
      </c>
      <c r="W720" s="87">
        <v>0.67684</v>
      </c>
      <c r="X720" s="87">
        <v>1.277431</v>
      </c>
      <c r="Y720" s="87">
        <v>1.156527</v>
      </c>
      <c r="Z720" s="88" t="s">
        <v>1396</v>
      </c>
    </row>
    <row r="721" hidden="1">
      <c r="A721" s="90" t="s">
        <v>2330</v>
      </c>
      <c r="B721" s="90" t="s">
        <v>2364</v>
      </c>
      <c r="C721" s="90" t="s">
        <v>444</v>
      </c>
      <c r="D721" s="90" t="s">
        <v>445</v>
      </c>
      <c r="E721" s="90" t="s">
        <v>1403</v>
      </c>
      <c r="F721" s="87">
        <v>5.0</v>
      </c>
      <c r="G721" s="87">
        <v>5.0</v>
      </c>
      <c r="H721" s="87">
        <v>1014.0</v>
      </c>
      <c r="I721" s="87">
        <v>1014.0</v>
      </c>
      <c r="J721" s="87">
        <v>0.0</v>
      </c>
      <c r="K721" s="87">
        <v>0.0</v>
      </c>
      <c r="L721" s="87">
        <v>0.0</v>
      </c>
      <c r="M721" s="87">
        <v>0.0</v>
      </c>
      <c r="N721" s="91"/>
      <c r="O721" s="87">
        <v>0.0</v>
      </c>
      <c r="P721" s="87">
        <v>0.0</v>
      </c>
      <c r="Q721" s="87">
        <v>0.0</v>
      </c>
      <c r="R721" s="87">
        <v>0.0</v>
      </c>
      <c r="S721" s="87">
        <v>0.0</v>
      </c>
      <c r="T721" s="91"/>
      <c r="U721" s="91"/>
      <c r="V721" s="91"/>
      <c r="W721" s="91"/>
      <c r="X721" s="91"/>
      <c r="Y721" s="87">
        <v>0.0</v>
      </c>
      <c r="Z721" s="88" t="s">
        <v>1396</v>
      </c>
    </row>
    <row r="722" hidden="1">
      <c r="A722" s="90" t="s">
        <v>2365</v>
      </c>
      <c r="B722" s="90" t="s">
        <v>2366</v>
      </c>
      <c r="C722" s="90" t="s">
        <v>2367</v>
      </c>
      <c r="D722" s="90" t="s">
        <v>2368</v>
      </c>
      <c r="E722" s="86">
        <v>46310.0</v>
      </c>
      <c r="F722" s="87">
        <v>0.0</v>
      </c>
      <c r="G722" s="87">
        <v>0.0</v>
      </c>
      <c r="H722" s="87">
        <v>0.0</v>
      </c>
      <c r="I722" s="87">
        <v>0.0</v>
      </c>
      <c r="J722" s="87">
        <v>0.0</v>
      </c>
      <c r="K722" s="87">
        <v>0.0</v>
      </c>
      <c r="L722" s="87">
        <v>0.0</v>
      </c>
      <c r="M722" s="87">
        <v>0.0</v>
      </c>
      <c r="N722" s="91"/>
      <c r="O722" s="87">
        <v>0.0</v>
      </c>
      <c r="P722" s="87">
        <v>0.0</v>
      </c>
      <c r="Q722" s="87">
        <v>0.0</v>
      </c>
      <c r="R722" s="87">
        <v>0.0</v>
      </c>
      <c r="S722" s="87">
        <v>0.0</v>
      </c>
      <c r="T722" s="91"/>
      <c r="U722" s="91"/>
      <c r="V722" s="91"/>
      <c r="W722" s="91"/>
      <c r="X722" s="91"/>
      <c r="Y722" s="87">
        <v>0.0</v>
      </c>
      <c r="Z722" s="88" t="s">
        <v>1396</v>
      </c>
    </row>
    <row r="723" hidden="1">
      <c r="A723" s="90" t="s">
        <v>3355</v>
      </c>
      <c r="B723" s="90" t="s">
        <v>3356</v>
      </c>
      <c r="C723" s="90" t="s">
        <v>2367</v>
      </c>
      <c r="D723" s="90" t="s">
        <v>2368</v>
      </c>
      <c r="E723" s="89">
        <v>46300.0</v>
      </c>
      <c r="F723" s="87">
        <v>1.0</v>
      </c>
      <c r="G723" s="87">
        <v>0.0</v>
      </c>
      <c r="H723" s="87">
        <v>4.0</v>
      </c>
      <c r="I723" s="87">
        <v>0.0</v>
      </c>
      <c r="J723" s="87">
        <v>0.0</v>
      </c>
      <c r="K723" s="87">
        <v>0.0</v>
      </c>
      <c r="L723" s="87">
        <v>0.0</v>
      </c>
      <c r="M723" s="87">
        <v>0.0</v>
      </c>
      <c r="N723" s="91"/>
      <c r="O723" s="91"/>
      <c r="P723" s="91"/>
      <c r="Q723" s="91"/>
      <c r="R723" s="91"/>
      <c r="S723" s="91"/>
      <c r="T723" s="91"/>
      <c r="U723" s="91"/>
      <c r="V723" s="91"/>
      <c r="W723" s="91"/>
      <c r="X723" s="91"/>
      <c r="Y723" s="91"/>
      <c r="Z723" s="88" t="s">
        <v>1396</v>
      </c>
    </row>
    <row r="724" hidden="1">
      <c r="A724" s="90" t="s">
        <v>2373</v>
      </c>
      <c r="B724" s="90" t="s">
        <v>2375</v>
      </c>
      <c r="C724" s="90" t="s">
        <v>2367</v>
      </c>
      <c r="D724" s="90" t="s">
        <v>2376</v>
      </c>
      <c r="E724" s="90" t="s">
        <v>1403</v>
      </c>
      <c r="F724" s="87">
        <v>0.0</v>
      </c>
      <c r="G724" s="87">
        <v>0.0</v>
      </c>
      <c r="H724" s="87">
        <v>0.0</v>
      </c>
      <c r="I724" s="87">
        <v>0.0</v>
      </c>
      <c r="J724" s="87">
        <v>0.0</v>
      </c>
      <c r="K724" s="87">
        <v>0.0</v>
      </c>
      <c r="L724" s="87">
        <v>0.0</v>
      </c>
      <c r="M724" s="87">
        <v>0.0</v>
      </c>
      <c r="N724" s="91"/>
      <c r="O724" s="87">
        <v>0.0</v>
      </c>
      <c r="P724" s="87">
        <v>0.0</v>
      </c>
      <c r="Q724" s="87">
        <v>0.0</v>
      </c>
      <c r="R724" s="87">
        <v>0.0</v>
      </c>
      <c r="S724" s="87">
        <v>0.0</v>
      </c>
      <c r="T724" s="91"/>
      <c r="U724" s="91"/>
      <c r="V724" s="91"/>
      <c r="W724" s="91"/>
      <c r="X724" s="91"/>
      <c r="Y724" s="87">
        <v>0.0</v>
      </c>
      <c r="Z724" s="88" t="s">
        <v>1396</v>
      </c>
    </row>
    <row r="725" hidden="1">
      <c r="A725" s="90" t="s">
        <v>2377</v>
      </c>
      <c r="B725" s="90" t="s">
        <v>2378</v>
      </c>
      <c r="C725" s="90" t="s">
        <v>2379</v>
      </c>
      <c r="D725" s="90" t="s">
        <v>2380</v>
      </c>
      <c r="E725" s="90" t="s">
        <v>1403</v>
      </c>
      <c r="F725" s="87">
        <v>0.0</v>
      </c>
      <c r="G725" s="87">
        <v>0.0</v>
      </c>
      <c r="H725" s="87">
        <v>0.0</v>
      </c>
      <c r="I725" s="87">
        <v>0.0</v>
      </c>
      <c r="J725" s="87">
        <v>0.0</v>
      </c>
      <c r="K725" s="87">
        <v>0.0</v>
      </c>
      <c r="L725" s="87">
        <v>0.0</v>
      </c>
      <c r="M725" s="87">
        <v>0.0</v>
      </c>
      <c r="N725" s="91"/>
      <c r="O725" s="87">
        <v>0.0</v>
      </c>
      <c r="P725" s="87">
        <v>0.0</v>
      </c>
      <c r="Q725" s="87">
        <v>0.0</v>
      </c>
      <c r="R725" s="87">
        <v>0.0</v>
      </c>
      <c r="S725" s="87">
        <v>0.0</v>
      </c>
      <c r="T725" s="91"/>
      <c r="U725" s="91"/>
      <c r="V725" s="91"/>
      <c r="W725" s="91"/>
      <c r="X725" s="91"/>
      <c r="Y725" s="87">
        <v>0.0</v>
      </c>
      <c r="Z725" s="88" t="s">
        <v>1396</v>
      </c>
    </row>
    <row r="726" hidden="1">
      <c r="A726" s="90" t="s">
        <v>2381</v>
      </c>
      <c r="B726" s="90" t="s">
        <v>2382</v>
      </c>
      <c r="C726" s="90" t="s">
        <v>458</v>
      </c>
      <c r="D726" s="90" t="s">
        <v>2383</v>
      </c>
      <c r="E726" s="90" t="s">
        <v>1400</v>
      </c>
      <c r="F726" s="87">
        <v>0.0</v>
      </c>
      <c r="G726" s="87">
        <v>0.0</v>
      </c>
      <c r="H726" s="87">
        <v>0.0</v>
      </c>
      <c r="I726" s="87">
        <v>0.0</v>
      </c>
      <c r="J726" s="87">
        <v>0.0</v>
      </c>
      <c r="K726" s="87">
        <v>0.0</v>
      </c>
      <c r="L726" s="87">
        <v>0.0</v>
      </c>
      <c r="M726" s="87">
        <v>0.0</v>
      </c>
      <c r="N726" s="91"/>
      <c r="O726" s="87">
        <v>0.0</v>
      </c>
      <c r="P726" s="87">
        <v>0.0</v>
      </c>
      <c r="Q726" s="87">
        <v>0.0</v>
      </c>
      <c r="R726" s="87">
        <v>0.0</v>
      </c>
      <c r="S726" s="87">
        <v>0.0</v>
      </c>
      <c r="T726" s="91"/>
      <c r="U726" s="91"/>
      <c r="V726" s="91"/>
      <c r="W726" s="91"/>
      <c r="X726" s="91"/>
      <c r="Y726" s="87">
        <v>0.0</v>
      </c>
      <c r="Z726" s="88" t="s">
        <v>1396</v>
      </c>
    </row>
    <row r="727" hidden="1">
      <c r="A727" s="90" t="s">
        <v>2384</v>
      </c>
      <c r="B727" s="90" t="s">
        <v>2385</v>
      </c>
      <c r="C727" s="90" t="s">
        <v>458</v>
      </c>
      <c r="D727" s="90" t="s">
        <v>2383</v>
      </c>
      <c r="E727" s="90" t="s">
        <v>1403</v>
      </c>
      <c r="F727" s="87">
        <v>0.0</v>
      </c>
      <c r="G727" s="87">
        <v>0.0</v>
      </c>
      <c r="H727" s="87">
        <v>0.0</v>
      </c>
      <c r="I727" s="87">
        <v>0.0</v>
      </c>
      <c r="J727" s="87">
        <v>0.0</v>
      </c>
      <c r="K727" s="87">
        <v>0.0</v>
      </c>
      <c r="L727" s="87">
        <v>0.0</v>
      </c>
      <c r="M727" s="87">
        <v>0.0</v>
      </c>
      <c r="N727" s="91"/>
      <c r="O727" s="87">
        <v>0.0</v>
      </c>
      <c r="P727" s="87">
        <v>0.0</v>
      </c>
      <c r="Q727" s="87">
        <v>0.0</v>
      </c>
      <c r="R727" s="87">
        <v>0.0</v>
      </c>
      <c r="S727" s="87">
        <v>0.0</v>
      </c>
      <c r="T727" s="91"/>
      <c r="U727" s="91"/>
      <c r="V727" s="91"/>
      <c r="W727" s="91"/>
      <c r="X727" s="91"/>
      <c r="Y727" s="87">
        <v>0.0</v>
      </c>
      <c r="Z727" s="88" t="s">
        <v>1396</v>
      </c>
    </row>
    <row r="728" hidden="1">
      <c r="A728" s="90" t="s">
        <v>2381</v>
      </c>
      <c r="B728" s="90" t="s">
        <v>2386</v>
      </c>
      <c r="C728" s="90" t="s">
        <v>458</v>
      </c>
      <c r="D728" s="90" t="s">
        <v>2387</v>
      </c>
      <c r="E728" s="90" t="s">
        <v>1400</v>
      </c>
      <c r="F728" s="87">
        <v>2.0</v>
      </c>
      <c r="G728" s="87">
        <v>2.0</v>
      </c>
      <c r="H728" s="87">
        <v>4.0</v>
      </c>
      <c r="I728" s="87">
        <v>4.0</v>
      </c>
      <c r="J728" s="87">
        <v>0.0</v>
      </c>
      <c r="K728" s="87">
        <v>0.0</v>
      </c>
      <c r="L728" s="87">
        <v>0.0</v>
      </c>
      <c r="M728" s="87">
        <v>0.0</v>
      </c>
      <c r="N728" s="91"/>
      <c r="O728" s="87">
        <v>0.0</v>
      </c>
      <c r="P728" s="87">
        <v>0.0</v>
      </c>
      <c r="Q728" s="87">
        <v>0.0</v>
      </c>
      <c r="R728" s="87">
        <v>0.0</v>
      </c>
      <c r="S728" s="87">
        <v>0.0</v>
      </c>
      <c r="T728" s="91"/>
      <c r="U728" s="91"/>
      <c r="V728" s="91"/>
      <c r="W728" s="91"/>
      <c r="X728" s="91"/>
      <c r="Y728" s="87">
        <v>0.0</v>
      </c>
      <c r="Z728" s="88" t="s">
        <v>1396</v>
      </c>
    </row>
    <row r="729" hidden="1">
      <c r="A729" s="90" t="s">
        <v>2389</v>
      </c>
      <c r="B729" s="90" t="s">
        <v>2390</v>
      </c>
      <c r="C729" s="90" t="s">
        <v>458</v>
      </c>
      <c r="D729" s="90" t="s">
        <v>468</v>
      </c>
      <c r="E729" s="90" t="s">
        <v>1426</v>
      </c>
      <c r="F729" s="87">
        <v>1.0</v>
      </c>
      <c r="G729" s="87">
        <v>0.0</v>
      </c>
      <c r="H729" s="87">
        <v>206.0</v>
      </c>
      <c r="I729" s="87">
        <v>0.0</v>
      </c>
      <c r="J729" s="87">
        <v>1.142857</v>
      </c>
      <c r="K729" s="87">
        <v>1.083234</v>
      </c>
      <c r="L729" s="87">
        <v>1.083234</v>
      </c>
      <c r="M729" s="87">
        <v>1.083234</v>
      </c>
      <c r="N729" s="87">
        <v>1.0</v>
      </c>
      <c r="O729" s="87">
        <v>1.083234</v>
      </c>
      <c r="P729" s="87">
        <v>1.083234</v>
      </c>
      <c r="Q729" s="87">
        <v>1.083234</v>
      </c>
      <c r="R729" s="87">
        <v>1.083234</v>
      </c>
      <c r="S729" s="87">
        <v>1.083234</v>
      </c>
      <c r="T729" s="87">
        <v>1.083234</v>
      </c>
      <c r="U729" s="87">
        <v>1.083234</v>
      </c>
      <c r="V729" s="87">
        <v>1.083234</v>
      </c>
      <c r="W729" s="87">
        <v>1.083234</v>
      </c>
      <c r="X729" s="87">
        <v>1.083234</v>
      </c>
      <c r="Y729" s="87">
        <v>1.083234</v>
      </c>
      <c r="Z729" s="88" t="s">
        <v>1396</v>
      </c>
    </row>
    <row r="730" hidden="1">
      <c r="A730" s="90" t="s">
        <v>2391</v>
      </c>
      <c r="B730" s="90" t="s">
        <v>2392</v>
      </c>
      <c r="C730" s="90" t="s">
        <v>458</v>
      </c>
      <c r="D730" s="90" t="s">
        <v>468</v>
      </c>
      <c r="E730" s="86">
        <v>46310.0</v>
      </c>
      <c r="F730" s="87">
        <v>4.0</v>
      </c>
      <c r="G730" s="87">
        <v>0.0</v>
      </c>
      <c r="H730" s="87">
        <v>1740.0</v>
      </c>
      <c r="I730" s="87">
        <v>0.0</v>
      </c>
      <c r="J730" s="87">
        <v>6.721123</v>
      </c>
      <c r="K730" s="87">
        <v>7.62617</v>
      </c>
      <c r="L730" s="87">
        <v>8.010377</v>
      </c>
      <c r="M730" s="87">
        <v>6.65894</v>
      </c>
      <c r="N730" s="87">
        <v>0.87317</v>
      </c>
      <c r="O730" s="87">
        <v>0.055556</v>
      </c>
      <c r="P730" s="87">
        <v>0.055556</v>
      </c>
      <c r="Q730" s="87">
        <v>0.429843</v>
      </c>
      <c r="R730" s="87">
        <v>0.481831</v>
      </c>
      <c r="S730" s="87">
        <v>0.481831</v>
      </c>
      <c r="T730" s="87">
        <v>0.055556</v>
      </c>
      <c r="U730" s="87">
        <v>0.055556</v>
      </c>
      <c r="V730" s="87">
        <v>0.429843</v>
      </c>
      <c r="W730" s="87">
        <v>0.481831</v>
      </c>
      <c r="X730" s="87">
        <v>0.481831</v>
      </c>
      <c r="Y730" s="87">
        <v>1.906542</v>
      </c>
      <c r="Z730" s="88" t="s">
        <v>1396</v>
      </c>
    </row>
    <row r="731" hidden="1">
      <c r="A731" s="90" t="s">
        <v>2393</v>
      </c>
      <c r="B731" s="90" t="s">
        <v>2394</v>
      </c>
      <c r="C731" s="90" t="s">
        <v>458</v>
      </c>
      <c r="D731" s="90" t="s">
        <v>468</v>
      </c>
      <c r="E731" s="90" t="s">
        <v>1413</v>
      </c>
      <c r="F731" s="87">
        <v>3.0</v>
      </c>
      <c r="G731" s="87">
        <v>0.0</v>
      </c>
      <c r="H731" s="87">
        <v>584.0</v>
      </c>
      <c r="I731" s="87">
        <v>0.0</v>
      </c>
      <c r="J731" s="87">
        <v>12.19127</v>
      </c>
      <c r="K731" s="87">
        <v>11.04395</v>
      </c>
      <c r="L731" s="87">
        <v>8.399531</v>
      </c>
      <c r="M731" s="87">
        <v>5.057762</v>
      </c>
      <c r="N731" s="87">
        <v>0.457967</v>
      </c>
      <c r="O731" s="87">
        <v>1.264021</v>
      </c>
      <c r="P731" s="87">
        <v>1.264021</v>
      </c>
      <c r="Q731" s="87">
        <v>1.264021</v>
      </c>
      <c r="R731" s="87">
        <v>4.722167</v>
      </c>
      <c r="S731" s="87">
        <v>5.057762</v>
      </c>
      <c r="T731" s="87">
        <v>1.264021</v>
      </c>
      <c r="U731" s="87">
        <v>1.264021</v>
      </c>
      <c r="V731" s="87">
        <v>1.264021</v>
      </c>
      <c r="W731" s="87">
        <v>4.722167</v>
      </c>
      <c r="X731" s="87">
        <v>5.057762</v>
      </c>
      <c r="Y731" s="87">
        <v>3.681317</v>
      </c>
      <c r="Z731" s="88" t="s">
        <v>1396</v>
      </c>
    </row>
    <row r="732" hidden="1">
      <c r="A732" s="90" t="s">
        <v>2395</v>
      </c>
      <c r="B732" s="90" t="s">
        <v>2396</v>
      </c>
      <c r="C732" s="90" t="s">
        <v>458</v>
      </c>
      <c r="D732" s="90" t="s">
        <v>468</v>
      </c>
      <c r="E732" s="90" t="s">
        <v>1398</v>
      </c>
      <c r="F732" s="87">
        <v>4.0</v>
      </c>
      <c r="G732" s="87">
        <v>0.0</v>
      </c>
      <c r="H732" s="87">
        <v>2548.0</v>
      </c>
      <c r="I732" s="87">
        <v>0.0</v>
      </c>
      <c r="J732" s="87">
        <v>25.18615</v>
      </c>
      <c r="K732" s="87">
        <v>26.4521</v>
      </c>
      <c r="L732" s="87">
        <v>24.09396</v>
      </c>
      <c r="M732" s="87">
        <v>15.98719</v>
      </c>
      <c r="N732" s="87">
        <v>0.604383</v>
      </c>
      <c r="O732" s="87">
        <v>0.204762</v>
      </c>
      <c r="P732" s="87">
        <v>0.204762</v>
      </c>
      <c r="Q732" s="87">
        <v>0.594624</v>
      </c>
      <c r="R732" s="87">
        <v>9.665518</v>
      </c>
      <c r="S732" s="87">
        <v>9.665518</v>
      </c>
      <c r="T732" s="87">
        <v>0.204762</v>
      </c>
      <c r="U732" s="87">
        <v>0.204762</v>
      </c>
      <c r="V732" s="87">
        <v>0.594624</v>
      </c>
      <c r="W732" s="87">
        <v>9.665518</v>
      </c>
      <c r="X732" s="87">
        <v>9.665518</v>
      </c>
      <c r="Y732" s="87">
        <v>6.613025</v>
      </c>
      <c r="Z732" s="88" t="s">
        <v>1396</v>
      </c>
    </row>
    <row r="733" hidden="1">
      <c r="A733" s="90" t="s">
        <v>2381</v>
      </c>
      <c r="B733" s="90" t="s">
        <v>2397</v>
      </c>
      <c r="C733" s="90" t="s">
        <v>458</v>
      </c>
      <c r="D733" s="90" t="s">
        <v>468</v>
      </c>
      <c r="E733" s="90" t="s">
        <v>1400</v>
      </c>
      <c r="F733" s="87">
        <v>9.0</v>
      </c>
      <c r="G733" s="87">
        <v>1.0</v>
      </c>
      <c r="H733" s="87">
        <v>1030.0</v>
      </c>
      <c r="I733" s="87">
        <v>21.0</v>
      </c>
      <c r="J733" s="87">
        <v>6.343601</v>
      </c>
      <c r="K733" s="87">
        <v>7.226785</v>
      </c>
      <c r="L733" s="87">
        <v>8.005814</v>
      </c>
      <c r="M733" s="87">
        <v>5.849618</v>
      </c>
      <c r="N733" s="87">
        <v>0.809436</v>
      </c>
      <c r="O733" s="87">
        <v>0.0</v>
      </c>
      <c r="P733" s="87">
        <v>0.052632</v>
      </c>
      <c r="Q733" s="87">
        <v>0.266667</v>
      </c>
      <c r="R733" s="87">
        <v>0.3</v>
      </c>
      <c r="S733" s="87">
        <v>0.757868</v>
      </c>
      <c r="T733" s="87">
        <v>0.052632</v>
      </c>
      <c r="U733" s="87">
        <v>0.266667</v>
      </c>
      <c r="V733" s="87">
        <v>0.266667</v>
      </c>
      <c r="W733" s="87">
        <v>0.757868</v>
      </c>
      <c r="X733" s="87">
        <v>1.427539</v>
      </c>
      <c r="Y733" s="87">
        <v>1.032398</v>
      </c>
      <c r="Z733" s="88" t="s">
        <v>1396</v>
      </c>
    </row>
    <row r="734" hidden="1">
      <c r="A734" s="90" t="s">
        <v>2398</v>
      </c>
      <c r="B734" s="90" t="s">
        <v>2399</v>
      </c>
      <c r="C734" s="90" t="s">
        <v>458</v>
      </c>
      <c r="D734" s="90" t="s">
        <v>468</v>
      </c>
      <c r="E734" s="89">
        <v>46300.0</v>
      </c>
      <c r="F734" s="87">
        <v>4.0</v>
      </c>
      <c r="G734" s="87">
        <v>0.0</v>
      </c>
      <c r="H734" s="87">
        <v>1509.0</v>
      </c>
      <c r="I734" s="87">
        <v>0.0</v>
      </c>
      <c r="J734" s="87">
        <v>5.291708</v>
      </c>
      <c r="K734" s="87">
        <v>5.706795</v>
      </c>
      <c r="L734" s="87">
        <v>5.295264</v>
      </c>
      <c r="M734" s="87">
        <v>2.808917</v>
      </c>
      <c r="N734" s="87">
        <v>0.492206</v>
      </c>
      <c r="O734" s="87">
        <v>0.862366</v>
      </c>
      <c r="P734" s="87">
        <v>0.862366</v>
      </c>
      <c r="Q734" s="87">
        <v>0.966815</v>
      </c>
      <c r="R734" s="87">
        <v>1.068698</v>
      </c>
      <c r="S734" s="87">
        <v>1.068698</v>
      </c>
      <c r="T734" s="87">
        <v>0.862366</v>
      </c>
      <c r="U734" s="87">
        <v>0.862366</v>
      </c>
      <c r="V734" s="87">
        <v>0.966815</v>
      </c>
      <c r="W734" s="87">
        <v>1.068698</v>
      </c>
      <c r="X734" s="87">
        <v>1.068698</v>
      </c>
      <c r="Y734" s="87">
        <v>1.426699</v>
      </c>
      <c r="Z734" s="88" t="s">
        <v>1396</v>
      </c>
    </row>
    <row r="735" hidden="1">
      <c r="A735" s="90" t="s">
        <v>2384</v>
      </c>
      <c r="B735" s="90" t="s">
        <v>2400</v>
      </c>
      <c r="C735" s="90" t="s">
        <v>458</v>
      </c>
      <c r="D735" s="90" t="s">
        <v>468</v>
      </c>
      <c r="E735" s="90" t="s">
        <v>1403</v>
      </c>
      <c r="F735" s="87">
        <v>2.0</v>
      </c>
      <c r="G735" s="87">
        <v>2.0</v>
      </c>
      <c r="H735" s="87">
        <v>10.0</v>
      </c>
      <c r="I735" s="87">
        <v>10.0</v>
      </c>
      <c r="J735" s="87">
        <v>0.0</v>
      </c>
      <c r="K735" s="87">
        <v>0.0</v>
      </c>
      <c r="L735" s="87">
        <v>0.0</v>
      </c>
      <c r="M735" s="87">
        <v>0.0</v>
      </c>
      <c r="N735" s="91"/>
      <c r="O735" s="87">
        <v>0.0</v>
      </c>
      <c r="P735" s="87">
        <v>0.0</v>
      </c>
      <c r="Q735" s="87">
        <v>0.0</v>
      </c>
      <c r="R735" s="87">
        <v>0.0</v>
      </c>
      <c r="S735" s="87">
        <v>0.0</v>
      </c>
      <c r="T735" s="91"/>
      <c r="U735" s="91"/>
      <c r="V735" s="91"/>
      <c r="W735" s="91"/>
      <c r="X735" s="91"/>
      <c r="Y735" s="87">
        <v>0.0</v>
      </c>
      <c r="Z735" s="88" t="s">
        <v>1396</v>
      </c>
    </row>
    <row r="736" hidden="1">
      <c r="A736" s="90" t="s">
        <v>2391</v>
      </c>
      <c r="B736" s="90" t="s">
        <v>2401</v>
      </c>
      <c r="C736" s="90" t="s">
        <v>458</v>
      </c>
      <c r="D736" s="90" t="s">
        <v>2402</v>
      </c>
      <c r="E736" s="89">
        <v>46310.0</v>
      </c>
      <c r="F736" s="87">
        <v>6.0</v>
      </c>
      <c r="G736" s="87">
        <v>0.0</v>
      </c>
      <c r="H736" s="87">
        <v>2385.0</v>
      </c>
      <c r="I736" s="87">
        <v>0.0</v>
      </c>
      <c r="J736" s="87">
        <v>25.06882</v>
      </c>
      <c r="K736" s="87">
        <v>21.35247</v>
      </c>
      <c r="L736" s="87">
        <v>19.83572</v>
      </c>
      <c r="M736" s="87">
        <v>15.2035</v>
      </c>
      <c r="N736" s="87">
        <v>0.712025</v>
      </c>
      <c r="O736" s="87">
        <v>0.0</v>
      </c>
      <c r="P736" s="87">
        <v>0.526667</v>
      </c>
      <c r="Q736" s="87">
        <v>0.718883</v>
      </c>
      <c r="R736" s="87">
        <v>2.100873</v>
      </c>
      <c r="S736" s="87">
        <v>2.802547</v>
      </c>
      <c r="T736" s="87">
        <v>0.526667</v>
      </c>
      <c r="U736" s="87">
        <v>0.718883</v>
      </c>
      <c r="V736" s="87">
        <v>0.718883</v>
      </c>
      <c r="W736" s="87">
        <v>2.802547</v>
      </c>
      <c r="X736" s="87">
        <v>5.766927</v>
      </c>
      <c r="Y736" s="87">
        <v>3.050353</v>
      </c>
      <c r="Z736" s="88" t="s">
        <v>1396</v>
      </c>
    </row>
    <row r="737" hidden="1">
      <c r="A737" s="90" t="s">
        <v>2393</v>
      </c>
      <c r="B737" s="90" t="s">
        <v>2403</v>
      </c>
      <c r="C737" s="90" t="s">
        <v>458</v>
      </c>
      <c r="D737" s="90" t="s">
        <v>2402</v>
      </c>
      <c r="E737" s="90" t="s">
        <v>1413</v>
      </c>
      <c r="F737" s="87">
        <v>11.0</v>
      </c>
      <c r="G737" s="87">
        <v>0.0</v>
      </c>
      <c r="H737" s="87">
        <v>2281.0</v>
      </c>
      <c r="I737" s="87">
        <v>0.0</v>
      </c>
      <c r="J737" s="87">
        <v>30.10488</v>
      </c>
      <c r="K737" s="87">
        <v>25.05957</v>
      </c>
      <c r="L737" s="87">
        <v>22.64727</v>
      </c>
      <c r="M737" s="87">
        <v>11.07401</v>
      </c>
      <c r="N737" s="87">
        <v>0.441908</v>
      </c>
      <c r="O737" s="87">
        <v>0.815873</v>
      </c>
      <c r="P737" s="87">
        <v>1.560546</v>
      </c>
      <c r="Q737" s="87">
        <v>1.590957</v>
      </c>
      <c r="R737" s="87">
        <v>2.358442</v>
      </c>
      <c r="S737" s="87">
        <v>2.750561</v>
      </c>
      <c r="T737" s="87">
        <v>0.815873</v>
      </c>
      <c r="U737" s="87">
        <v>1.560546</v>
      </c>
      <c r="V737" s="87">
        <v>1.590957</v>
      </c>
      <c r="W737" s="87">
        <v>2.358442</v>
      </c>
      <c r="X737" s="87">
        <v>2.750561</v>
      </c>
      <c r="Y737" s="87">
        <v>2.784396</v>
      </c>
      <c r="Z737" s="88" t="s">
        <v>1396</v>
      </c>
    </row>
    <row r="738" hidden="1">
      <c r="A738" s="90" t="s">
        <v>2395</v>
      </c>
      <c r="B738" s="90" t="s">
        <v>2404</v>
      </c>
      <c r="C738" s="90" t="s">
        <v>458</v>
      </c>
      <c r="D738" s="90" t="s">
        <v>2402</v>
      </c>
      <c r="E738" s="90" t="s">
        <v>1398</v>
      </c>
      <c r="F738" s="87">
        <v>5.0</v>
      </c>
      <c r="G738" s="87">
        <v>0.0</v>
      </c>
      <c r="H738" s="87">
        <v>1916.0</v>
      </c>
      <c r="I738" s="87">
        <v>0.0</v>
      </c>
      <c r="J738" s="87">
        <v>24.50413</v>
      </c>
      <c r="K738" s="87">
        <v>23.62394</v>
      </c>
      <c r="L738" s="87">
        <v>26.59743</v>
      </c>
      <c r="M738" s="87">
        <v>10.14794</v>
      </c>
      <c r="N738" s="87">
        <v>0.429562</v>
      </c>
      <c r="O738" s="87">
        <v>1.219993</v>
      </c>
      <c r="P738" s="87">
        <v>1.290108</v>
      </c>
      <c r="Q738" s="87">
        <v>1.290108</v>
      </c>
      <c r="R738" s="87">
        <v>4.590911</v>
      </c>
      <c r="S738" s="87">
        <v>6.374978</v>
      </c>
      <c r="T738" s="87">
        <v>1.219993</v>
      </c>
      <c r="U738" s="87">
        <v>1.290108</v>
      </c>
      <c r="V738" s="87">
        <v>1.290108</v>
      </c>
      <c r="W738" s="87">
        <v>4.590911</v>
      </c>
      <c r="X738" s="87">
        <v>6.374978</v>
      </c>
      <c r="Y738" s="87">
        <v>4.724787</v>
      </c>
      <c r="Z738" s="88" t="s">
        <v>1396</v>
      </c>
    </row>
    <row r="739" hidden="1">
      <c r="A739" s="90" t="s">
        <v>2381</v>
      </c>
      <c r="B739" s="90" t="s">
        <v>2405</v>
      </c>
      <c r="C739" s="90" t="s">
        <v>458</v>
      </c>
      <c r="D739" s="90" t="s">
        <v>2402</v>
      </c>
      <c r="E739" s="90" t="s">
        <v>1400</v>
      </c>
      <c r="F739" s="87">
        <v>17.0</v>
      </c>
      <c r="G739" s="87">
        <v>1.0</v>
      </c>
      <c r="H739" s="87">
        <v>3296.0</v>
      </c>
      <c r="I739" s="87">
        <v>4.0</v>
      </c>
      <c r="J739" s="87">
        <v>37.13858</v>
      </c>
      <c r="K739" s="87">
        <v>34.20174</v>
      </c>
      <c r="L739" s="87">
        <v>32.91083</v>
      </c>
      <c r="M739" s="87">
        <v>20.95442</v>
      </c>
      <c r="N739" s="87">
        <v>0.612671</v>
      </c>
      <c r="O739" s="87">
        <v>0.360829</v>
      </c>
      <c r="P739" s="87">
        <v>0.631183</v>
      </c>
      <c r="Q739" s="87">
        <v>0.657143</v>
      </c>
      <c r="R739" s="87">
        <v>1.476974</v>
      </c>
      <c r="S739" s="87">
        <v>2.074245</v>
      </c>
      <c r="T739" s="87">
        <v>0.360829</v>
      </c>
      <c r="U739" s="87">
        <v>0.631183</v>
      </c>
      <c r="V739" s="87">
        <v>0.657143</v>
      </c>
      <c r="W739" s="87">
        <v>1.476974</v>
      </c>
      <c r="X739" s="87">
        <v>2.074245</v>
      </c>
      <c r="Y739" s="87">
        <v>2.280116</v>
      </c>
      <c r="Z739" s="88" t="s">
        <v>1396</v>
      </c>
    </row>
    <row r="740" hidden="1">
      <c r="A740" s="90" t="s">
        <v>2398</v>
      </c>
      <c r="B740" s="90" t="s">
        <v>2406</v>
      </c>
      <c r="C740" s="90" t="s">
        <v>458</v>
      </c>
      <c r="D740" s="90" t="s">
        <v>2402</v>
      </c>
      <c r="E740" s="89">
        <v>46300.0</v>
      </c>
      <c r="F740" s="87">
        <v>6.0</v>
      </c>
      <c r="G740" s="87">
        <v>0.0</v>
      </c>
      <c r="H740" s="87">
        <v>2646.0</v>
      </c>
      <c r="I740" s="87">
        <v>0.0</v>
      </c>
      <c r="J740" s="87">
        <v>39.22436</v>
      </c>
      <c r="K740" s="87">
        <v>40.48024</v>
      </c>
      <c r="L740" s="87">
        <v>39.07337</v>
      </c>
      <c r="M740" s="87">
        <v>28.17105</v>
      </c>
      <c r="N740" s="87">
        <v>0.695921</v>
      </c>
      <c r="O740" s="87">
        <v>0.0</v>
      </c>
      <c r="P740" s="87">
        <v>0.0</v>
      </c>
      <c r="Q740" s="87">
        <v>0.0</v>
      </c>
      <c r="R740" s="87">
        <v>4.346485</v>
      </c>
      <c r="S740" s="87">
        <v>4.42908</v>
      </c>
      <c r="T740" s="87">
        <v>3.533633</v>
      </c>
      <c r="U740" s="87">
        <v>4.346485</v>
      </c>
      <c r="V740" s="87">
        <v>4.346485</v>
      </c>
      <c r="W740" s="87">
        <v>4.42908</v>
      </c>
      <c r="X740" s="87">
        <v>11.04832</v>
      </c>
      <c r="Y740" s="87">
        <v>5.06003</v>
      </c>
      <c r="Z740" s="88" t="s">
        <v>1396</v>
      </c>
    </row>
    <row r="741" hidden="1">
      <c r="A741" s="90" t="s">
        <v>2384</v>
      </c>
      <c r="B741" s="90" t="s">
        <v>2407</v>
      </c>
      <c r="C741" s="90" t="s">
        <v>458</v>
      </c>
      <c r="D741" s="90" t="s">
        <v>2402</v>
      </c>
      <c r="E741" s="90" t="s">
        <v>1403</v>
      </c>
      <c r="F741" s="87">
        <v>1.0</v>
      </c>
      <c r="G741" s="87">
        <v>1.0</v>
      </c>
      <c r="H741" s="87">
        <v>16.0</v>
      </c>
      <c r="I741" s="87">
        <v>16.0</v>
      </c>
      <c r="J741" s="87">
        <v>0.0</v>
      </c>
      <c r="K741" s="87">
        <v>0.0</v>
      </c>
      <c r="L741" s="87">
        <v>0.0</v>
      </c>
      <c r="M741" s="87">
        <v>0.0</v>
      </c>
      <c r="N741" s="91"/>
      <c r="O741" s="87">
        <v>0.0</v>
      </c>
      <c r="P741" s="87">
        <v>0.0</v>
      </c>
      <c r="Q741" s="87">
        <v>0.0</v>
      </c>
      <c r="R741" s="87">
        <v>0.0</v>
      </c>
      <c r="S741" s="87">
        <v>0.0</v>
      </c>
      <c r="T741" s="91"/>
      <c r="U741" s="91"/>
      <c r="V741" s="91"/>
      <c r="W741" s="91"/>
      <c r="X741" s="91"/>
      <c r="Y741" s="87">
        <v>0.0</v>
      </c>
      <c r="Z741" s="88" t="s">
        <v>1396</v>
      </c>
    </row>
    <row r="742" hidden="1">
      <c r="A742" s="90" t="s">
        <v>2381</v>
      </c>
      <c r="B742" s="90" t="s">
        <v>2411</v>
      </c>
      <c r="C742" s="90" t="s">
        <v>458</v>
      </c>
      <c r="D742" s="90" t="s">
        <v>974</v>
      </c>
      <c r="E742" s="90" t="s">
        <v>1400</v>
      </c>
      <c r="F742" s="87">
        <v>2.0</v>
      </c>
      <c r="G742" s="87">
        <v>0.0</v>
      </c>
      <c r="H742" s="87">
        <v>572.0</v>
      </c>
      <c r="I742" s="87">
        <v>0.0</v>
      </c>
      <c r="J742" s="87">
        <v>1.507576</v>
      </c>
      <c r="K742" s="87">
        <v>1.197019</v>
      </c>
      <c r="L742" s="87">
        <v>1.02938</v>
      </c>
      <c r="M742" s="87">
        <v>1.163686</v>
      </c>
      <c r="N742" s="87">
        <v>0.972153</v>
      </c>
      <c r="O742" s="87">
        <v>0.033333</v>
      </c>
      <c r="P742" s="87">
        <v>0.033333</v>
      </c>
      <c r="Q742" s="87">
        <v>0.033333</v>
      </c>
      <c r="R742" s="87">
        <v>1.163686</v>
      </c>
      <c r="S742" s="87">
        <v>1.163686</v>
      </c>
      <c r="T742" s="87">
        <v>0.033333</v>
      </c>
      <c r="U742" s="87">
        <v>0.033333</v>
      </c>
      <c r="V742" s="87">
        <v>0.033333</v>
      </c>
      <c r="W742" s="87">
        <v>1.163686</v>
      </c>
      <c r="X742" s="87">
        <v>1.163686</v>
      </c>
      <c r="Y742" s="87">
        <v>0.59851</v>
      </c>
      <c r="Z742" s="88" t="s">
        <v>1396</v>
      </c>
    </row>
    <row r="743" hidden="1">
      <c r="A743" s="90" t="s">
        <v>2381</v>
      </c>
      <c r="B743" s="90" t="s">
        <v>2464</v>
      </c>
      <c r="C743" s="90" t="s">
        <v>458</v>
      </c>
      <c r="D743" s="90" t="s">
        <v>2415</v>
      </c>
      <c r="E743" s="90" t="s">
        <v>1400</v>
      </c>
      <c r="F743" s="87">
        <v>9.0</v>
      </c>
      <c r="G743" s="87">
        <v>9.0</v>
      </c>
      <c r="H743" s="87">
        <v>29.0</v>
      </c>
      <c r="I743" s="87">
        <v>29.0</v>
      </c>
      <c r="J743" s="87">
        <v>0.0</v>
      </c>
      <c r="K743" s="87">
        <v>0.0</v>
      </c>
      <c r="L743" s="87">
        <v>0.0</v>
      </c>
      <c r="M743" s="87">
        <v>0.0</v>
      </c>
      <c r="N743" s="91"/>
      <c r="O743" s="91"/>
      <c r="P743" s="91"/>
      <c r="Q743" s="91"/>
      <c r="R743" s="91"/>
      <c r="S743" s="91"/>
      <c r="T743" s="91"/>
      <c r="U743" s="91"/>
      <c r="V743" s="91"/>
      <c r="W743" s="91"/>
      <c r="X743" s="91"/>
      <c r="Y743" s="91"/>
      <c r="Z743" s="88" t="s">
        <v>1396</v>
      </c>
    </row>
    <row r="744" hidden="1">
      <c r="A744" s="90" t="s">
        <v>2389</v>
      </c>
      <c r="B744" s="90" t="s">
        <v>2416</v>
      </c>
      <c r="C744" s="90" t="s">
        <v>458</v>
      </c>
      <c r="D744" s="90" t="s">
        <v>2417</v>
      </c>
      <c r="E744" s="90" t="s">
        <v>1426</v>
      </c>
      <c r="F744" s="87">
        <v>2.0</v>
      </c>
      <c r="G744" s="87">
        <v>1.0</v>
      </c>
      <c r="H744" s="87">
        <v>254.0</v>
      </c>
      <c r="I744" s="87">
        <v>4.0</v>
      </c>
      <c r="J744" s="87">
        <v>1.159341</v>
      </c>
      <c r="K744" s="87">
        <v>1.094869</v>
      </c>
      <c r="L744" s="87">
        <v>1.506153</v>
      </c>
      <c r="M744" s="87">
        <v>1.094869</v>
      </c>
      <c r="N744" s="87">
        <v>1.0</v>
      </c>
      <c r="O744" s="87">
        <v>1.094869</v>
      </c>
      <c r="P744" s="87">
        <v>1.094869</v>
      </c>
      <c r="Q744" s="87">
        <v>1.094869</v>
      </c>
      <c r="R744" s="87">
        <v>1.094869</v>
      </c>
      <c r="S744" s="87">
        <v>1.094869</v>
      </c>
      <c r="T744" s="87">
        <v>1.094869</v>
      </c>
      <c r="U744" s="87">
        <v>1.094869</v>
      </c>
      <c r="V744" s="87">
        <v>1.094869</v>
      </c>
      <c r="W744" s="87">
        <v>1.094869</v>
      </c>
      <c r="X744" s="87">
        <v>1.094869</v>
      </c>
      <c r="Y744" s="87">
        <v>1.094869</v>
      </c>
      <c r="Z744" s="88" t="s">
        <v>1396</v>
      </c>
    </row>
    <row r="745" hidden="1">
      <c r="A745" s="90" t="s">
        <v>2391</v>
      </c>
      <c r="B745" s="90" t="s">
        <v>2418</v>
      </c>
      <c r="C745" s="90" t="s">
        <v>458</v>
      </c>
      <c r="D745" s="90" t="s">
        <v>2417</v>
      </c>
      <c r="E745" s="86">
        <v>46310.0</v>
      </c>
      <c r="F745" s="87">
        <v>3.0</v>
      </c>
      <c r="G745" s="87">
        <v>0.0</v>
      </c>
      <c r="H745" s="87">
        <v>474.0</v>
      </c>
      <c r="I745" s="87">
        <v>0.0</v>
      </c>
      <c r="J745" s="87">
        <v>3.271512</v>
      </c>
      <c r="K745" s="87">
        <v>2.400526</v>
      </c>
      <c r="L745" s="87">
        <v>2.601148</v>
      </c>
      <c r="M745" s="87">
        <v>1.721052</v>
      </c>
      <c r="N745" s="87">
        <v>0.716948</v>
      </c>
      <c r="O745" s="87">
        <v>0.679475</v>
      </c>
      <c r="P745" s="87">
        <v>0.679475</v>
      </c>
      <c r="Q745" s="87">
        <v>0.679475</v>
      </c>
      <c r="R745" s="87">
        <v>1.721052</v>
      </c>
      <c r="S745" s="87">
        <v>1.721052</v>
      </c>
      <c r="T745" s="87">
        <v>0.679475</v>
      </c>
      <c r="U745" s="87">
        <v>0.679475</v>
      </c>
      <c r="V745" s="87">
        <v>0.679475</v>
      </c>
      <c r="W745" s="87">
        <v>1.721052</v>
      </c>
      <c r="X745" s="87">
        <v>1.721052</v>
      </c>
      <c r="Y745" s="87">
        <v>1.200263</v>
      </c>
      <c r="Z745" s="88" t="s">
        <v>1396</v>
      </c>
    </row>
    <row r="746" hidden="1">
      <c r="A746" s="90" t="s">
        <v>2393</v>
      </c>
      <c r="B746" s="90" t="s">
        <v>2419</v>
      </c>
      <c r="C746" s="90" t="s">
        <v>458</v>
      </c>
      <c r="D746" s="90" t="s">
        <v>2417</v>
      </c>
      <c r="E746" s="90" t="s">
        <v>1413</v>
      </c>
      <c r="F746" s="87">
        <v>5.0</v>
      </c>
      <c r="G746" s="87">
        <v>0.0</v>
      </c>
      <c r="H746" s="87">
        <v>1216.0</v>
      </c>
      <c r="I746" s="87">
        <v>0.0</v>
      </c>
      <c r="J746" s="87">
        <v>1.25</v>
      </c>
      <c r="K746" s="87">
        <v>0.839401</v>
      </c>
      <c r="L746" s="87">
        <v>0.938728</v>
      </c>
      <c r="M746" s="87">
        <v>0.498925</v>
      </c>
      <c r="N746" s="87">
        <v>0.594382</v>
      </c>
      <c r="O746" s="87">
        <v>0.340476</v>
      </c>
      <c r="P746" s="87">
        <v>0.340476</v>
      </c>
      <c r="Q746" s="87">
        <v>0.340476</v>
      </c>
      <c r="R746" s="87">
        <v>0.498925</v>
      </c>
      <c r="S746" s="87">
        <v>0.498925</v>
      </c>
      <c r="T746" s="87">
        <v>0.340476</v>
      </c>
      <c r="U746" s="87">
        <v>0.340476</v>
      </c>
      <c r="V746" s="87">
        <v>0.340476</v>
      </c>
      <c r="W746" s="87">
        <v>0.498925</v>
      </c>
      <c r="X746" s="87">
        <v>0.498925</v>
      </c>
      <c r="Y746" s="87">
        <v>0.4197</v>
      </c>
      <c r="Z746" s="88" t="s">
        <v>1396</v>
      </c>
    </row>
    <row r="747" hidden="1">
      <c r="A747" s="90" t="s">
        <v>2395</v>
      </c>
      <c r="B747" s="90" t="s">
        <v>2420</v>
      </c>
      <c r="C747" s="90" t="s">
        <v>458</v>
      </c>
      <c r="D747" s="90" t="s">
        <v>2417</v>
      </c>
      <c r="E747" s="90" t="s">
        <v>1398</v>
      </c>
      <c r="F747" s="87">
        <v>1.0</v>
      </c>
      <c r="G747" s="87">
        <v>0.0</v>
      </c>
      <c r="H747" s="87">
        <v>216.0</v>
      </c>
      <c r="I747" s="87">
        <v>0.0</v>
      </c>
      <c r="J747" s="87">
        <v>0.0</v>
      </c>
      <c r="K747" s="87">
        <v>0.1</v>
      </c>
      <c r="L747" s="87">
        <v>0.083333</v>
      </c>
      <c r="M747" s="87">
        <v>0.1</v>
      </c>
      <c r="N747" s="87">
        <v>1.0</v>
      </c>
      <c r="O747" s="87">
        <v>0.1</v>
      </c>
      <c r="P747" s="87">
        <v>0.1</v>
      </c>
      <c r="Q747" s="87">
        <v>0.1</v>
      </c>
      <c r="R747" s="87">
        <v>0.1</v>
      </c>
      <c r="S747" s="87">
        <v>0.1</v>
      </c>
      <c r="T747" s="87">
        <v>0.1</v>
      </c>
      <c r="U747" s="87">
        <v>0.1</v>
      </c>
      <c r="V747" s="87">
        <v>0.1</v>
      </c>
      <c r="W747" s="87">
        <v>0.1</v>
      </c>
      <c r="X747" s="87">
        <v>0.1</v>
      </c>
      <c r="Y747" s="87">
        <v>0.1</v>
      </c>
      <c r="Z747" s="88" t="s">
        <v>1396</v>
      </c>
    </row>
    <row r="748" hidden="1">
      <c r="A748" s="90" t="s">
        <v>2381</v>
      </c>
      <c r="B748" s="90" t="s">
        <v>2421</v>
      </c>
      <c r="C748" s="90" t="s">
        <v>458</v>
      </c>
      <c r="D748" s="90" t="s">
        <v>2417</v>
      </c>
      <c r="E748" s="90" t="s">
        <v>1400</v>
      </c>
      <c r="F748" s="87">
        <v>6.0</v>
      </c>
      <c r="G748" s="87">
        <v>2.0</v>
      </c>
      <c r="H748" s="87">
        <v>1229.0</v>
      </c>
      <c r="I748" s="87">
        <v>416.0</v>
      </c>
      <c r="J748" s="87">
        <v>0.71978</v>
      </c>
      <c r="K748" s="87">
        <v>0.682102</v>
      </c>
      <c r="L748" s="87">
        <v>0.733537</v>
      </c>
      <c r="M748" s="87">
        <v>0.414286</v>
      </c>
      <c r="N748" s="87">
        <v>0.607366</v>
      </c>
      <c r="O748" s="87">
        <v>0.0</v>
      </c>
      <c r="P748" s="87">
        <v>0.0</v>
      </c>
      <c r="Q748" s="87">
        <v>0.0</v>
      </c>
      <c r="R748" s="87">
        <v>0.134483</v>
      </c>
      <c r="S748" s="87">
        <v>0.138095</v>
      </c>
      <c r="T748" s="87">
        <v>0.133333</v>
      </c>
      <c r="U748" s="87">
        <v>0.133333</v>
      </c>
      <c r="V748" s="87">
        <v>0.134483</v>
      </c>
      <c r="W748" s="87">
        <v>0.138095</v>
      </c>
      <c r="X748" s="87">
        <v>0.138095</v>
      </c>
      <c r="Y748" s="87">
        <v>0.113684</v>
      </c>
      <c r="Z748" s="88" t="s">
        <v>1396</v>
      </c>
    </row>
    <row r="749" hidden="1">
      <c r="A749" s="90" t="s">
        <v>2398</v>
      </c>
      <c r="B749" s="90" t="s">
        <v>2422</v>
      </c>
      <c r="C749" s="90" t="s">
        <v>458</v>
      </c>
      <c r="D749" s="90" t="s">
        <v>2417</v>
      </c>
      <c r="E749" s="89">
        <v>46300.0</v>
      </c>
      <c r="F749" s="87">
        <v>1.0</v>
      </c>
      <c r="G749" s="87">
        <v>0.0</v>
      </c>
      <c r="H749" s="87">
        <v>248.0</v>
      </c>
      <c r="I749" s="87">
        <v>0.0</v>
      </c>
      <c r="J749" s="87">
        <v>0.285714</v>
      </c>
      <c r="K749" s="87">
        <v>0.431183</v>
      </c>
      <c r="L749" s="87">
        <v>0.632959</v>
      </c>
      <c r="M749" s="87">
        <v>0.431183</v>
      </c>
      <c r="N749" s="87">
        <v>1.0</v>
      </c>
      <c r="O749" s="87">
        <v>0.431183</v>
      </c>
      <c r="P749" s="87">
        <v>0.431183</v>
      </c>
      <c r="Q749" s="87">
        <v>0.431183</v>
      </c>
      <c r="R749" s="87">
        <v>0.431183</v>
      </c>
      <c r="S749" s="87">
        <v>0.431183</v>
      </c>
      <c r="T749" s="87">
        <v>0.431183</v>
      </c>
      <c r="U749" s="87">
        <v>0.431183</v>
      </c>
      <c r="V749" s="87">
        <v>0.431183</v>
      </c>
      <c r="W749" s="87">
        <v>0.431183</v>
      </c>
      <c r="X749" s="87">
        <v>0.431183</v>
      </c>
      <c r="Y749" s="87">
        <v>0.431183</v>
      </c>
      <c r="Z749" s="88" t="s">
        <v>1396</v>
      </c>
    </row>
    <row r="750" hidden="1">
      <c r="A750" s="90" t="s">
        <v>2389</v>
      </c>
      <c r="B750" s="90" t="s">
        <v>2429</v>
      </c>
      <c r="C750" s="90" t="s">
        <v>458</v>
      </c>
      <c r="D750" s="90" t="s">
        <v>2430</v>
      </c>
      <c r="E750" s="90" t="s">
        <v>1426</v>
      </c>
      <c r="F750" s="87">
        <v>1.0</v>
      </c>
      <c r="G750" s="87">
        <v>0.0</v>
      </c>
      <c r="H750" s="87">
        <v>4385.0</v>
      </c>
      <c r="I750" s="87">
        <v>0.0</v>
      </c>
      <c r="J750" s="87">
        <v>41.50427</v>
      </c>
      <c r="K750" s="87">
        <v>44.89671</v>
      </c>
      <c r="L750" s="87">
        <v>44.86428</v>
      </c>
      <c r="M750" s="87">
        <v>44.89671</v>
      </c>
      <c r="N750" s="87">
        <v>1.0</v>
      </c>
      <c r="O750" s="87">
        <v>44.89671</v>
      </c>
      <c r="P750" s="87">
        <v>44.89671</v>
      </c>
      <c r="Q750" s="87">
        <v>44.89671</v>
      </c>
      <c r="R750" s="87">
        <v>44.89671</v>
      </c>
      <c r="S750" s="87">
        <v>44.89671</v>
      </c>
      <c r="T750" s="87">
        <v>44.89671</v>
      </c>
      <c r="U750" s="87">
        <v>44.89671</v>
      </c>
      <c r="V750" s="87">
        <v>44.89671</v>
      </c>
      <c r="W750" s="87">
        <v>44.89671</v>
      </c>
      <c r="X750" s="87">
        <v>44.89671</v>
      </c>
      <c r="Y750" s="87">
        <v>44.89671</v>
      </c>
      <c r="Z750" s="88" t="s">
        <v>1396</v>
      </c>
    </row>
    <row r="751" hidden="1">
      <c r="A751" s="90" t="s">
        <v>2391</v>
      </c>
      <c r="B751" s="90" t="s">
        <v>2431</v>
      </c>
      <c r="C751" s="90" t="s">
        <v>458</v>
      </c>
      <c r="D751" s="90" t="s">
        <v>2430</v>
      </c>
      <c r="E751" s="86">
        <v>46310.0</v>
      </c>
      <c r="F751" s="87">
        <v>3.0</v>
      </c>
      <c r="G751" s="87">
        <v>0.0</v>
      </c>
      <c r="H751" s="87">
        <v>3076.0</v>
      </c>
      <c r="I751" s="87">
        <v>0.0</v>
      </c>
      <c r="J751" s="87">
        <v>34.51002</v>
      </c>
      <c r="K751" s="87">
        <v>35.48576</v>
      </c>
      <c r="L751" s="87">
        <v>34.9142</v>
      </c>
      <c r="M751" s="87">
        <v>19.4292</v>
      </c>
      <c r="N751" s="87">
        <v>0.547521</v>
      </c>
      <c r="O751" s="87">
        <v>2.38519</v>
      </c>
      <c r="P751" s="87">
        <v>2.38519</v>
      </c>
      <c r="Q751" s="87">
        <v>2.38519</v>
      </c>
      <c r="R751" s="87">
        <v>13.67137</v>
      </c>
      <c r="S751" s="87">
        <v>19.4292</v>
      </c>
      <c r="T751" s="87">
        <v>2.38519</v>
      </c>
      <c r="U751" s="87">
        <v>2.38519</v>
      </c>
      <c r="V751" s="87">
        <v>2.38519</v>
      </c>
      <c r="W751" s="87">
        <v>13.67137</v>
      </c>
      <c r="X751" s="87">
        <v>19.4292</v>
      </c>
      <c r="Y751" s="87">
        <v>11.82859</v>
      </c>
      <c r="Z751" s="88" t="s">
        <v>1396</v>
      </c>
    </row>
    <row r="752" hidden="1">
      <c r="A752" s="90" t="s">
        <v>2393</v>
      </c>
      <c r="B752" s="90" t="s">
        <v>2432</v>
      </c>
      <c r="C752" s="90" t="s">
        <v>458</v>
      </c>
      <c r="D752" s="90" t="s">
        <v>2430</v>
      </c>
      <c r="E752" s="90" t="s">
        <v>1413</v>
      </c>
      <c r="F752" s="87">
        <v>3.0</v>
      </c>
      <c r="G752" s="87">
        <v>0.0</v>
      </c>
      <c r="H752" s="87">
        <v>1475.0</v>
      </c>
      <c r="I752" s="87">
        <v>0.0</v>
      </c>
      <c r="J752" s="87">
        <v>12.31998</v>
      </c>
      <c r="K752" s="87">
        <v>11.89349</v>
      </c>
      <c r="L752" s="87">
        <v>12.9459</v>
      </c>
      <c r="M752" s="87">
        <v>4.910586</v>
      </c>
      <c r="N752" s="87">
        <v>0.41288</v>
      </c>
      <c r="O752" s="87">
        <v>2.471774</v>
      </c>
      <c r="P752" s="87">
        <v>2.471774</v>
      </c>
      <c r="Q752" s="87">
        <v>2.471774</v>
      </c>
      <c r="R752" s="87">
        <v>4.511131</v>
      </c>
      <c r="S752" s="87">
        <v>4.910586</v>
      </c>
      <c r="T752" s="87">
        <v>2.471774</v>
      </c>
      <c r="U752" s="87">
        <v>2.471774</v>
      </c>
      <c r="V752" s="87">
        <v>2.471774</v>
      </c>
      <c r="W752" s="87">
        <v>4.511131</v>
      </c>
      <c r="X752" s="87">
        <v>4.910586</v>
      </c>
      <c r="Y752" s="87">
        <v>3.964497</v>
      </c>
      <c r="Z752" s="88" t="s">
        <v>1396</v>
      </c>
    </row>
    <row r="753" hidden="1">
      <c r="A753" s="90" t="s">
        <v>2381</v>
      </c>
      <c r="B753" s="90" t="s">
        <v>2433</v>
      </c>
      <c r="C753" s="90" t="s">
        <v>458</v>
      </c>
      <c r="D753" s="90" t="s">
        <v>2430</v>
      </c>
      <c r="E753" s="90" t="s">
        <v>1400</v>
      </c>
      <c r="F753" s="87">
        <v>3.0</v>
      </c>
      <c r="G753" s="87">
        <v>0.0</v>
      </c>
      <c r="H753" s="87">
        <v>1644.0</v>
      </c>
      <c r="I753" s="87">
        <v>0.0</v>
      </c>
      <c r="J753" s="87">
        <v>12.34073</v>
      </c>
      <c r="K753" s="87">
        <v>13.35329</v>
      </c>
      <c r="L753" s="87">
        <v>15.42876</v>
      </c>
      <c r="M753" s="87">
        <v>6.915154</v>
      </c>
      <c r="N753" s="87">
        <v>0.517862</v>
      </c>
      <c r="O753" s="87">
        <v>0.0</v>
      </c>
      <c r="P753" s="87">
        <v>0.0</v>
      </c>
      <c r="Q753" s="87">
        <v>0.0</v>
      </c>
      <c r="R753" s="87">
        <v>2.499816</v>
      </c>
      <c r="S753" s="87">
        <v>3.938316</v>
      </c>
      <c r="T753" s="87">
        <v>2.499816</v>
      </c>
      <c r="U753" s="87">
        <v>2.499816</v>
      </c>
      <c r="V753" s="87">
        <v>2.499816</v>
      </c>
      <c r="W753" s="87">
        <v>3.938316</v>
      </c>
      <c r="X753" s="87">
        <v>6.915154</v>
      </c>
      <c r="Y753" s="87">
        <v>2.670657</v>
      </c>
      <c r="Z753" s="88" t="s">
        <v>1396</v>
      </c>
    </row>
    <row r="754" hidden="1">
      <c r="A754" s="90" t="s">
        <v>2384</v>
      </c>
      <c r="B754" s="90" t="s">
        <v>2434</v>
      </c>
      <c r="C754" s="90" t="s">
        <v>458</v>
      </c>
      <c r="D754" s="90" t="s">
        <v>2430</v>
      </c>
      <c r="E754" s="90" t="s">
        <v>1403</v>
      </c>
      <c r="F754" s="87">
        <v>1.0</v>
      </c>
      <c r="G754" s="87">
        <v>1.0</v>
      </c>
      <c r="H754" s="87">
        <v>2.0</v>
      </c>
      <c r="I754" s="87">
        <v>2.0</v>
      </c>
      <c r="J754" s="87">
        <v>0.0</v>
      </c>
      <c r="K754" s="87">
        <v>0.0</v>
      </c>
      <c r="L754" s="87">
        <v>0.0</v>
      </c>
      <c r="M754" s="87">
        <v>0.0</v>
      </c>
      <c r="N754" s="91"/>
      <c r="O754" s="87">
        <v>0.0</v>
      </c>
      <c r="P754" s="87">
        <v>0.0</v>
      </c>
      <c r="Q754" s="87">
        <v>0.0</v>
      </c>
      <c r="R754" s="87">
        <v>0.0</v>
      </c>
      <c r="S754" s="87">
        <v>0.0</v>
      </c>
      <c r="T754" s="91"/>
      <c r="U754" s="91"/>
      <c r="V754" s="91"/>
      <c r="W754" s="91"/>
      <c r="X754" s="91"/>
      <c r="Y754" s="87">
        <v>0.0</v>
      </c>
      <c r="Z754" s="88" t="s">
        <v>1396</v>
      </c>
    </row>
    <row r="755" hidden="1">
      <c r="A755" s="90" t="s">
        <v>2389</v>
      </c>
      <c r="B755" s="90" t="s">
        <v>2435</v>
      </c>
      <c r="C755" s="90" t="s">
        <v>458</v>
      </c>
      <c r="D755" s="90" t="s">
        <v>459</v>
      </c>
      <c r="E755" s="90" t="s">
        <v>1426</v>
      </c>
      <c r="F755" s="87">
        <v>5.0</v>
      </c>
      <c r="G755" s="87">
        <v>0.0</v>
      </c>
      <c r="H755" s="87">
        <v>3800.0</v>
      </c>
      <c r="I755" s="87">
        <v>0.0</v>
      </c>
      <c r="J755" s="87">
        <v>32.14822</v>
      </c>
      <c r="K755" s="87">
        <v>33.10967</v>
      </c>
      <c r="L755" s="87">
        <v>32.42805</v>
      </c>
      <c r="M755" s="87">
        <v>20.25305</v>
      </c>
      <c r="N755" s="87">
        <v>0.611696</v>
      </c>
      <c r="O755" s="87">
        <v>0.1</v>
      </c>
      <c r="P755" s="87">
        <v>1.534944</v>
      </c>
      <c r="Q755" s="87">
        <v>1.534944</v>
      </c>
      <c r="R755" s="87">
        <v>5.161225</v>
      </c>
      <c r="S755" s="87">
        <v>6.060445</v>
      </c>
      <c r="T755" s="87">
        <v>0.1</v>
      </c>
      <c r="U755" s="87">
        <v>1.534944</v>
      </c>
      <c r="V755" s="87">
        <v>1.534944</v>
      </c>
      <c r="W755" s="87">
        <v>5.161225</v>
      </c>
      <c r="X755" s="87">
        <v>6.060445</v>
      </c>
      <c r="Y755" s="87">
        <v>6.621933</v>
      </c>
      <c r="Z755" s="88" t="s">
        <v>1396</v>
      </c>
    </row>
    <row r="756" hidden="1">
      <c r="A756" s="90" t="s">
        <v>2391</v>
      </c>
      <c r="B756" s="90" t="s">
        <v>2436</v>
      </c>
      <c r="C756" s="90" t="s">
        <v>458</v>
      </c>
      <c r="D756" s="90" t="s">
        <v>459</v>
      </c>
      <c r="E756" s="89">
        <v>46310.0</v>
      </c>
      <c r="F756" s="87">
        <v>5.0</v>
      </c>
      <c r="G756" s="87">
        <v>0.0</v>
      </c>
      <c r="H756" s="87">
        <v>919.0</v>
      </c>
      <c r="I756" s="87">
        <v>0.0</v>
      </c>
      <c r="J756" s="87">
        <v>2.801898</v>
      </c>
      <c r="K756" s="87">
        <v>2.598659</v>
      </c>
      <c r="L756" s="87">
        <v>2.816804</v>
      </c>
      <c r="M756" s="87">
        <v>1.854652</v>
      </c>
      <c r="N756" s="87">
        <v>0.713696</v>
      </c>
      <c r="O756" s="87">
        <v>0.0</v>
      </c>
      <c r="P756" s="87">
        <v>0.142857</v>
      </c>
      <c r="Q756" s="87">
        <v>0.142857</v>
      </c>
      <c r="R756" s="87">
        <v>0.301149</v>
      </c>
      <c r="S756" s="87">
        <v>0.545128</v>
      </c>
      <c r="T756" s="87">
        <v>0.142857</v>
      </c>
      <c r="U756" s="87">
        <v>0.3</v>
      </c>
      <c r="V756" s="87">
        <v>0.3</v>
      </c>
      <c r="W756" s="87">
        <v>0.301149</v>
      </c>
      <c r="X756" s="87">
        <v>0.545128</v>
      </c>
      <c r="Y756" s="87">
        <v>0.43311</v>
      </c>
      <c r="Z756" s="88" t="s">
        <v>1396</v>
      </c>
    </row>
    <row r="757" hidden="1">
      <c r="A757" s="90" t="s">
        <v>2393</v>
      </c>
      <c r="B757" s="90" t="s">
        <v>2437</v>
      </c>
      <c r="C757" s="90" t="s">
        <v>458</v>
      </c>
      <c r="D757" s="90" t="s">
        <v>459</v>
      </c>
      <c r="E757" s="90" t="s">
        <v>1413</v>
      </c>
      <c r="F757" s="87">
        <v>14.0</v>
      </c>
      <c r="G757" s="87">
        <v>1.0</v>
      </c>
      <c r="H757" s="87">
        <v>2990.0</v>
      </c>
      <c r="I757" s="87">
        <v>8.0</v>
      </c>
      <c r="J757" s="87">
        <v>16.30016</v>
      </c>
      <c r="K757" s="87">
        <v>13.85227</v>
      </c>
      <c r="L757" s="87">
        <v>14.62076</v>
      </c>
      <c r="M757" s="87">
        <v>7.193229</v>
      </c>
      <c r="N757" s="87">
        <v>0.519282</v>
      </c>
      <c r="O757" s="87">
        <v>0.298925</v>
      </c>
      <c r="P757" s="87">
        <v>0.309524</v>
      </c>
      <c r="Q757" s="87">
        <v>0.34418</v>
      </c>
      <c r="R757" s="87">
        <v>0.681233</v>
      </c>
      <c r="S757" s="87">
        <v>1.473443</v>
      </c>
      <c r="T757" s="87">
        <v>0.298925</v>
      </c>
      <c r="U757" s="87">
        <v>0.309524</v>
      </c>
      <c r="V757" s="87">
        <v>0.34418</v>
      </c>
      <c r="W757" s="87">
        <v>0.681233</v>
      </c>
      <c r="X757" s="87">
        <v>1.473443</v>
      </c>
      <c r="Y757" s="87">
        <v>1.065559</v>
      </c>
      <c r="Z757" s="88" t="s">
        <v>1396</v>
      </c>
    </row>
    <row r="758" hidden="1">
      <c r="A758" s="90" t="s">
        <v>2395</v>
      </c>
      <c r="B758" s="90" t="s">
        <v>2438</v>
      </c>
      <c r="C758" s="90" t="s">
        <v>458</v>
      </c>
      <c r="D758" s="90" t="s">
        <v>459</v>
      </c>
      <c r="E758" s="90" t="s">
        <v>1398</v>
      </c>
      <c r="F758" s="87">
        <v>8.0</v>
      </c>
      <c r="G758" s="87">
        <v>0.0</v>
      </c>
      <c r="H758" s="87">
        <v>2053.0</v>
      </c>
      <c r="I758" s="87">
        <v>0.0</v>
      </c>
      <c r="J758" s="87">
        <v>14.11298</v>
      </c>
      <c r="K758" s="87">
        <v>13.03298</v>
      </c>
      <c r="L758" s="87">
        <v>12.50884</v>
      </c>
      <c r="M758" s="87">
        <v>7.137888</v>
      </c>
      <c r="N758" s="87">
        <v>0.547679</v>
      </c>
      <c r="O758" s="87">
        <v>0.1</v>
      </c>
      <c r="P758" s="87">
        <v>0.442866</v>
      </c>
      <c r="Q758" s="87">
        <v>0.998925</v>
      </c>
      <c r="R758" s="87">
        <v>1.168001</v>
      </c>
      <c r="S758" s="87">
        <v>2.047512</v>
      </c>
      <c r="T758" s="87">
        <v>0.1</v>
      </c>
      <c r="U758" s="87">
        <v>0.442866</v>
      </c>
      <c r="V758" s="87">
        <v>0.998925</v>
      </c>
      <c r="W758" s="87">
        <v>1.168001</v>
      </c>
      <c r="X758" s="87">
        <v>2.047512</v>
      </c>
      <c r="Y758" s="87">
        <v>1.629123</v>
      </c>
      <c r="Z758" s="88" t="s">
        <v>1396</v>
      </c>
    </row>
    <row r="759" hidden="1">
      <c r="A759" s="90" t="s">
        <v>2381</v>
      </c>
      <c r="B759" s="90" t="s">
        <v>2439</v>
      </c>
      <c r="C759" s="90" t="s">
        <v>458</v>
      </c>
      <c r="D759" s="90" t="s">
        <v>459</v>
      </c>
      <c r="E759" s="90" t="s">
        <v>1400</v>
      </c>
      <c r="F759" s="87">
        <v>12.0</v>
      </c>
      <c r="G759" s="87">
        <v>0.0</v>
      </c>
      <c r="H759" s="87">
        <v>2190.0</v>
      </c>
      <c r="I759" s="87">
        <v>0.0</v>
      </c>
      <c r="J759" s="87">
        <v>7.808775</v>
      </c>
      <c r="K759" s="87">
        <v>8.768523</v>
      </c>
      <c r="L759" s="87">
        <v>8.418499</v>
      </c>
      <c r="M759" s="87">
        <v>6.136966</v>
      </c>
      <c r="N759" s="87">
        <v>0.699886</v>
      </c>
      <c r="O759" s="87">
        <v>0.073333</v>
      </c>
      <c r="P759" s="87">
        <v>0.133333</v>
      </c>
      <c r="Q759" s="87">
        <v>0.266667</v>
      </c>
      <c r="R759" s="87">
        <v>0.466667</v>
      </c>
      <c r="S759" s="87">
        <v>0.544658</v>
      </c>
      <c r="T759" s="87">
        <v>0.073333</v>
      </c>
      <c r="U759" s="87">
        <v>0.133333</v>
      </c>
      <c r="V759" s="87">
        <v>0.266667</v>
      </c>
      <c r="W759" s="87">
        <v>0.466667</v>
      </c>
      <c r="X759" s="87">
        <v>0.544658</v>
      </c>
      <c r="Y759" s="87">
        <v>0.73071</v>
      </c>
      <c r="Z759" s="88" t="s">
        <v>1396</v>
      </c>
    </row>
    <row r="760" hidden="1">
      <c r="A760" s="90" t="s">
        <v>2398</v>
      </c>
      <c r="B760" s="90" t="s">
        <v>2440</v>
      </c>
      <c r="C760" s="90" t="s">
        <v>458</v>
      </c>
      <c r="D760" s="90" t="s">
        <v>459</v>
      </c>
      <c r="E760" s="89">
        <v>46300.0</v>
      </c>
      <c r="F760" s="87">
        <v>9.0</v>
      </c>
      <c r="G760" s="87">
        <v>0.0</v>
      </c>
      <c r="H760" s="87">
        <v>3831.0</v>
      </c>
      <c r="I760" s="87">
        <v>0.0</v>
      </c>
      <c r="J760" s="87">
        <v>26.31818</v>
      </c>
      <c r="K760" s="87">
        <v>25.26959</v>
      </c>
      <c r="L760" s="87">
        <v>23.91027</v>
      </c>
      <c r="M760" s="87">
        <v>16.51406</v>
      </c>
      <c r="N760" s="87">
        <v>0.653515</v>
      </c>
      <c r="O760" s="87">
        <v>0.0</v>
      </c>
      <c r="P760" s="87">
        <v>0.214286</v>
      </c>
      <c r="Q760" s="87">
        <v>0.56574</v>
      </c>
      <c r="R760" s="87">
        <v>1.2</v>
      </c>
      <c r="S760" s="87">
        <v>4.248211</v>
      </c>
      <c r="T760" s="87">
        <v>0.214286</v>
      </c>
      <c r="U760" s="87">
        <v>0.56574</v>
      </c>
      <c r="V760" s="87">
        <v>1.036593</v>
      </c>
      <c r="W760" s="87">
        <v>1.490708</v>
      </c>
      <c r="X760" s="87">
        <v>4.248211</v>
      </c>
      <c r="Y760" s="87">
        <v>2.526959</v>
      </c>
      <c r="Z760" s="88" t="s">
        <v>1396</v>
      </c>
    </row>
    <row r="761" hidden="1">
      <c r="A761" s="90" t="s">
        <v>2384</v>
      </c>
      <c r="B761" s="90" t="s">
        <v>2441</v>
      </c>
      <c r="C761" s="90" t="s">
        <v>458</v>
      </c>
      <c r="D761" s="90" t="s">
        <v>459</v>
      </c>
      <c r="E761" s="90" t="s">
        <v>1403</v>
      </c>
      <c r="F761" s="87">
        <v>2.0</v>
      </c>
      <c r="G761" s="87">
        <v>2.0</v>
      </c>
      <c r="H761" s="87">
        <v>194.0</v>
      </c>
      <c r="I761" s="87">
        <v>194.0</v>
      </c>
      <c r="J761" s="87">
        <v>0.0</v>
      </c>
      <c r="K761" s="87">
        <v>0.0</v>
      </c>
      <c r="L761" s="87">
        <v>0.0</v>
      </c>
      <c r="M761" s="87">
        <v>0.0</v>
      </c>
      <c r="N761" s="91"/>
      <c r="O761" s="87">
        <v>0.0</v>
      </c>
      <c r="P761" s="87">
        <v>0.0</v>
      </c>
      <c r="Q761" s="87">
        <v>0.0</v>
      </c>
      <c r="R761" s="87">
        <v>0.0</v>
      </c>
      <c r="S761" s="87">
        <v>0.0</v>
      </c>
      <c r="T761" s="91"/>
      <c r="U761" s="91"/>
      <c r="V761" s="91"/>
      <c r="W761" s="91"/>
      <c r="X761" s="91"/>
      <c r="Y761" s="87">
        <v>0.0</v>
      </c>
      <c r="Z761" s="88" t="s">
        <v>1396</v>
      </c>
    </row>
    <row r="762" hidden="1">
      <c r="A762" s="90" t="s">
        <v>2381</v>
      </c>
      <c r="B762" s="90" t="s">
        <v>3357</v>
      </c>
      <c r="C762" s="90" t="s">
        <v>458</v>
      </c>
      <c r="D762" s="90" t="s">
        <v>3358</v>
      </c>
      <c r="E762" s="90" t="s">
        <v>1400</v>
      </c>
      <c r="F762" s="87">
        <v>1.0</v>
      </c>
      <c r="G762" s="87">
        <v>1.0</v>
      </c>
      <c r="H762" s="87">
        <v>2.0</v>
      </c>
      <c r="I762" s="87">
        <v>2.0</v>
      </c>
      <c r="J762" s="87">
        <v>0.0</v>
      </c>
      <c r="K762" s="87">
        <v>0.0</v>
      </c>
      <c r="L762" s="87">
        <v>0.0</v>
      </c>
      <c r="M762" s="87">
        <v>0.0</v>
      </c>
      <c r="N762" s="91"/>
      <c r="O762" s="91"/>
      <c r="P762" s="91"/>
      <c r="Q762" s="91"/>
      <c r="R762" s="91"/>
      <c r="S762" s="91"/>
      <c r="T762" s="91"/>
      <c r="U762" s="91"/>
      <c r="V762" s="91"/>
      <c r="W762" s="91"/>
      <c r="X762" s="91"/>
      <c r="Y762" s="91"/>
      <c r="Z762" s="88" t="s">
        <v>1396</v>
      </c>
    </row>
    <row r="763" hidden="1">
      <c r="A763" s="90" t="s">
        <v>2389</v>
      </c>
      <c r="B763" s="90" t="s">
        <v>3078</v>
      </c>
      <c r="C763" s="90" t="s">
        <v>458</v>
      </c>
      <c r="D763" s="90" t="s">
        <v>2443</v>
      </c>
      <c r="E763" s="90" t="s">
        <v>1426</v>
      </c>
      <c r="F763" s="87">
        <v>2.0</v>
      </c>
      <c r="G763" s="87">
        <v>0.0</v>
      </c>
      <c r="H763" s="87">
        <v>1089.0</v>
      </c>
      <c r="I763" s="87">
        <v>0.0</v>
      </c>
      <c r="J763" s="87">
        <v>0.0</v>
      </c>
      <c r="K763" s="87">
        <v>0.0</v>
      </c>
      <c r="L763" s="87">
        <v>0.0</v>
      </c>
      <c r="M763" s="87">
        <v>0.0</v>
      </c>
      <c r="N763" s="91"/>
      <c r="O763" s="91"/>
      <c r="P763" s="91"/>
      <c r="Q763" s="91"/>
      <c r="R763" s="91"/>
      <c r="S763" s="91"/>
      <c r="T763" s="91"/>
      <c r="U763" s="91"/>
      <c r="V763" s="91"/>
      <c r="W763" s="91"/>
      <c r="X763" s="91"/>
      <c r="Y763" s="91"/>
      <c r="Z763" s="88" t="s">
        <v>1396</v>
      </c>
    </row>
    <row r="764" hidden="1">
      <c r="A764" s="90" t="s">
        <v>2393</v>
      </c>
      <c r="B764" s="90" t="s">
        <v>2444</v>
      </c>
      <c r="C764" s="90" t="s">
        <v>458</v>
      </c>
      <c r="D764" s="90" t="s">
        <v>2443</v>
      </c>
      <c r="E764" s="90" t="s">
        <v>1413</v>
      </c>
      <c r="F764" s="87">
        <v>1.0</v>
      </c>
      <c r="G764" s="87">
        <v>0.0</v>
      </c>
      <c r="H764" s="87">
        <v>534.0</v>
      </c>
      <c r="I764" s="87">
        <v>0.0</v>
      </c>
      <c r="J764" s="87">
        <v>0.0</v>
      </c>
      <c r="K764" s="87">
        <v>0.0</v>
      </c>
      <c r="L764" s="87">
        <v>0.0</v>
      </c>
      <c r="M764" s="87">
        <v>0.0</v>
      </c>
      <c r="N764" s="91"/>
      <c r="O764" s="91"/>
      <c r="P764" s="91"/>
      <c r="Q764" s="91"/>
      <c r="R764" s="91"/>
      <c r="S764" s="91"/>
      <c r="T764" s="91"/>
      <c r="U764" s="91"/>
      <c r="V764" s="91"/>
      <c r="W764" s="91"/>
      <c r="X764" s="91"/>
      <c r="Y764" s="91"/>
      <c r="Z764" s="88" t="s">
        <v>1396</v>
      </c>
    </row>
    <row r="765" hidden="1">
      <c r="A765" s="90" t="s">
        <v>2395</v>
      </c>
      <c r="B765" s="90" t="s">
        <v>2445</v>
      </c>
      <c r="C765" s="90" t="s">
        <v>458</v>
      </c>
      <c r="D765" s="90" t="s">
        <v>2443</v>
      </c>
      <c r="E765" s="90" t="s">
        <v>1398</v>
      </c>
      <c r="F765" s="87">
        <v>1.0</v>
      </c>
      <c r="G765" s="87">
        <v>0.0</v>
      </c>
      <c r="H765" s="87">
        <v>338.0</v>
      </c>
      <c r="I765" s="87">
        <v>0.0</v>
      </c>
      <c r="J765" s="87">
        <v>3.272727</v>
      </c>
      <c r="K765" s="87">
        <v>3.26213</v>
      </c>
      <c r="L765" s="87">
        <v>2.881782</v>
      </c>
      <c r="M765" s="87">
        <v>3.26213</v>
      </c>
      <c r="N765" s="87">
        <v>1.0</v>
      </c>
      <c r="O765" s="87">
        <v>3.26213</v>
      </c>
      <c r="P765" s="87">
        <v>3.26213</v>
      </c>
      <c r="Q765" s="87">
        <v>3.26213</v>
      </c>
      <c r="R765" s="87">
        <v>3.26213</v>
      </c>
      <c r="S765" s="87">
        <v>3.26213</v>
      </c>
      <c r="T765" s="87">
        <v>3.26213</v>
      </c>
      <c r="U765" s="87">
        <v>3.26213</v>
      </c>
      <c r="V765" s="87">
        <v>3.26213</v>
      </c>
      <c r="W765" s="87">
        <v>3.26213</v>
      </c>
      <c r="X765" s="87">
        <v>3.26213</v>
      </c>
      <c r="Y765" s="87">
        <v>3.26213</v>
      </c>
      <c r="Z765" s="88" t="s">
        <v>1396</v>
      </c>
    </row>
    <row r="766" hidden="1">
      <c r="A766" s="90" t="s">
        <v>2398</v>
      </c>
      <c r="B766" s="90" t="s">
        <v>2446</v>
      </c>
      <c r="C766" s="90" t="s">
        <v>458</v>
      </c>
      <c r="D766" s="90" t="s">
        <v>2443</v>
      </c>
      <c r="E766" s="89">
        <v>46300.0</v>
      </c>
      <c r="F766" s="87">
        <v>45.0</v>
      </c>
      <c r="G766" s="87">
        <v>0.0</v>
      </c>
      <c r="H766" s="87">
        <v>12181.0</v>
      </c>
      <c r="I766" s="87">
        <v>0.0</v>
      </c>
      <c r="J766" s="87">
        <v>27.23501</v>
      </c>
      <c r="K766" s="87">
        <v>28.51681</v>
      </c>
      <c r="L766" s="87">
        <v>29.09424</v>
      </c>
      <c r="M766" s="87">
        <v>12.54089</v>
      </c>
      <c r="N766" s="87">
        <v>0.439772</v>
      </c>
      <c r="O766" s="87">
        <v>0.197849</v>
      </c>
      <c r="P766" s="87">
        <v>0.265591</v>
      </c>
      <c r="Q766" s="87">
        <v>0.298925</v>
      </c>
      <c r="R766" s="87">
        <v>0.584524</v>
      </c>
      <c r="S766" s="87">
        <v>0.802299</v>
      </c>
      <c r="T766" s="87">
        <v>0.2</v>
      </c>
      <c r="U766" s="87">
        <v>0.266667</v>
      </c>
      <c r="V766" s="87">
        <v>0.3</v>
      </c>
      <c r="W766" s="87">
        <v>0.593298</v>
      </c>
      <c r="X766" s="87">
        <v>0.802299</v>
      </c>
      <c r="Y766" s="87">
        <v>0.678972</v>
      </c>
      <c r="Z766" s="88" t="s">
        <v>1396</v>
      </c>
    </row>
    <row r="767" hidden="1">
      <c r="A767" s="90" t="s">
        <v>2391</v>
      </c>
      <c r="B767" s="90" t="s">
        <v>1887</v>
      </c>
      <c r="C767" s="90" t="s">
        <v>458</v>
      </c>
      <c r="D767" s="90" t="s">
        <v>1886</v>
      </c>
      <c r="E767" s="86">
        <v>46310.0</v>
      </c>
      <c r="F767" s="87">
        <v>2.0</v>
      </c>
      <c r="G767" s="87">
        <v>0.0</v>
      </c>
      <c r="H767" s="87">
        <v>2306.0</v>
      </c>
      <c r="I767" s="87">
        <v>0.0</v>
      </c>
      <c r="J767" s="87">
        <v>0.0</v>
      </c>
      <c r="K767" s="87">
        <v>0.0</v>
      </c>
      <c r="L767" s="87">
        <v>0.0</v>
      </c>
      <c r="M767" s="87">
        <v>0.0</v>
      </c>
      <c r="N767" s="91"/>
      <c r="O767" s="91"/>
      <c r="P767" s="91"/>
      <c r="Q767" s="91"/>
      <c r="R767" s="91"/>
      <c r="S767" s="91"/>
      <c r="T767" s="91"/>
      <c r="U767" s="91"/>
      <c r="V767" s="91"/>
      <c r="W767" s="91"/>
      <c r="X767" s="91"/>
      <c r="Y767" s="91"/>
      <c r="Z767" s="88" t="s">
        <v>1396</v>
      </c>
    </row>
    <row r="768" hidden="1">
      <c r="A768" s="90" t="s">
        <v>2389</v>
      </c>
      <c r="B768" s="90" t="s">
        <v>2448</v>
      </c>
      <c r="C768" s="90" t="s">
        <v>458</v>
      </c>
      <c r="D768" s="90" t="s">
        <v>1135</v>
      </c>
      <c r="E768" s="90" t="s">
        <v>1426</v>
      </c>
      <c r="F768" s="87">
        <v>5.0</v>
      </c>
      <c r="G768" s="87">
        <v>0.0</v>
      </c>
      <c r="H768" s="87">
        <v>2162.0</v>
      </c>
      <c r="I768" s="87">
        <v>0.0</v>
      </c>
      <c r="J768" s="87">
        <v>1.868132</v>
      </c>
      <c r="K768" s="87">
        <v>3.262133</v>
      </c>
      <c r="L768" s="87">
        <v>5.269213</v>
      </c>
      <c r="M768" s="87">
        <v>0.0</v>
      </c>
      <c r="N768" s="87">
        <v>0.0</v>
      </c>
      <c r="O768" s="87">
        <v>0.696774</v>
      </c>
      <c r="P768" s="87">
        <v>0.696774</v>
      </c>
      <c r="Q768" s="87">
        <v>0.696774</v>
      </c>
      <c r="R768" s="87">
        <v>1.281959</v>
      </c>
      <c r="S768" s="87">
        <v>1.2834</v>
      </c>
      <c r="T768" s="87">
        <v>0.696774</v>
      </c>
      <c r="U768" s="87">
        <v>0.696774</v>
      </c>
      <c r="V768" s="87">
        <v>0.696774</v>
      </c>
      <c r="W768" s="87">
        <v>1.281959</v>
      </c>
      <c r="X768" s="87">
        <v>1.2834</v>
      </c>
      <c r="Y768" s="87">
        <v>1.087378</v>
      </c>
      <c r="Z768" s="88" t="s">
        <v>1396</v>
      </c>
    </row>
    <row r="769" hidden="1">
      <c r="A769" s="90" t="s">
        <v>2391</v>
      </c>
      <c r="B769" s="90" t="s">
        <v>2449</v>
      </c>
      <c r="C769" s="90" t="s">
        <v>458</v>
      </c>
      <c r="D769" s="90" t="s">
        <v>1135</v>
      </c>
      <c r="E769" s="86">
        <v>46310.0</v>
      </c>
      <c r="F769" s="87">
        <v>0.0</v>
      </c>
      <c r="G769" s="87">
        <v>0.0</v>
      </c>
      <c r="H769" s="87">
        <v>0.0</v>
      </c>
      <c r="I769" s="87">
        <v>0.0</v>
      </c>
      <c r="J769" s="87">
        <v>0.0</v>
      </c>
      <c r="K769" s="87">
        <v>0.765152</v>
      </c>
      <c r="L769" s="87">
        <v>16.63161</v>
      </c>
      <c r="M769" s="87">
        <v>0.0</v>
      </c>
      <c r="N769" s="87">
        <v>0.0</v>
      </c>
      <c r="O769" s="87">
        <v>0.765152</v>
      </c>
      <c r="P769" s="87">
        <v>0.765152</v>
      </c>
      <c r="Q769" s="87">
        <v>0.765152</v>
      </c>
      <c r="R769" s="87">
        <v>0.765152</v>
      </c>
      <c r="S769" s="87">
        <v>0.765152</v>
      </c>
      <c r="T769" s="87">
        <v>0.765152</v>
      </c>
      <c r="U769" s="87">
        <v>0.765152</v>
      </c>
      <c r="V769" s="87">
        <v>0.765152</v>
      </c>
      <c r="W769" s="87">
        <v>0.765152</v>
      </c>
      <c r="X769" s="87">
        <v>0.765152</v>
      </c>
      <c r="Y769" s="87">
        <v>0.765152</v>
      </c>
      <c r="Z769" s="88" t="s">
        <v>1396</v>
      </c>
    </row>
    <row r="770" hidden="1">
      <c r="A770" s="90" t="s">
        <v>2393</v>
      </c>
      <c r="B770" s="90" t="s">
        <v>2450</v>
      </c>
      <c r="C770" s="90" t="s">
        <v>458</v>
      </c>
      <c r="D770" s="90" t="s">
        <v>1135</v>
      </c>
      <c r="E770" s="90" t="s">
        <v>1413</v>
      </c>
      <c r="F770" s="87">
        <v>3.0</v>
      </c>
      <c r="G770" s="87">
        <v>0.0</v>
      </c>
      <c r="H770" s="87">
        <v>601.0</v>
      </c>
      <c r="I770" s="87">
        <v>0.0</v>
      </c>
      <c r="J770" s="87">
        <v>0.571429</v>
      </c>
      <c r="K770" s="87">
        <v>0.4</v>
      </c>
      <c r="L770" s="87">
        <v>0.952639</v>
      </c>
      <c r="M770" s="87">
        <v>0.0</v>
      </c>
      <c r="N770" s="87">
        <v>0.0</v>
      </c>
      <c r="O770" s="87">
        <v>0.4</v>
      </c>
      <c r="P770" s="87">
        <v>0.4</v>
      </c>
      <c r="Q770" s="87">
        <v>0.4</v>
      </c>
      <c r="R770" s="87">
        <v>0.4</v>
      </c>
      <c r="S770" s="87">
        <v>0.4</v>
      </c>
      <c r="T770" s="87">
        <v>0.4</v>
      </c>
      <c r="U770" s="87">
        <v>0.4</v>
      </c>
      <c r="V770" s="87">
        <v>0.4</v>
      </c>
      <c r="W770" s="87">
        <v>0.4</v>
      </c>
      <c r="X770" s="87">
        <v>0.4</v>
      </c>
      <c r="Y770" s="87">
        <v>0.4</v>
      </c>
      <c r="Z770" s="88" t="s">
        <v>1396</v>
      </c>
    </row>
    <row r="771" hidden="1">
      <c r="A771" s="90" t="s">
        <v>2395</v>
      </c>
      <c r="B771" s="90" t="s">
        <v>2451</v>
      </c>
      <c r="C771" s="90" t="s">
        <v>458</v>
      </c>
      <c r="D771" s="90" t="s">
        <v>1135</v>
      </c>
      <c r="E771" s="90" t="s">
        <v>1398</v>
      </c>
      <c r="F771" s="87">
        <v>3.0</v>
      </c>
      <c r="G771" s="87">
        <v>1.0</v>
      </c>
      <c r="H771" s="87">
        <v>352.0</v>
      </c>
      <c r="I771" s="87">
        <v>43.0</v>
      </c>
      <c r="J771" s="87">
        <v>0.0</v>
      </c>
      <c r="K771" s="87">
        <v>0.0</v>
      </c>
      <c r="L771" s="87">
        <v>0.0</v>
      </c>
      <c r="M771" s="87">
        <v>0.0</v>
      </c>
      <c r="N771" s="91"/>
      <c r="O771" s="91"/>
      <c r="P771" s="91"/>
      <c r="Q771" s="91"/>
      <c r="R771" s="91"/>
      <c r="S771" s="91"/>
      <c r="T771" s="91"/>
      <c r="U771" s="91"/>
      <c r="V771" s="91"/>
      <c r="W771" s="91"/>
      <c r="X771" s="91"/>
      <c r="Y771" s="91"/>
      <c r="Z771" s="88" t="s">
        <v>1396</v>
      </c>
    </row>
    <row r="772" hidden="1">
      <c r="A772" s="90" t="s">
        <v>2381</v>
      </c>
      <c r="B772" s="90" t="s">
        <v>2452</v>
      </c>
      <c r="C772" s="90" t="s">
        <v>458</v>
      </c>
      <c r="D772" s="90" t="s">
        <v>1135</v>
      </c>
      <c r="E772" s="90" t="s">
        <v>1400</v>
      </c>
      <c r="F772" s="87">
        <v>6.0</v>
      </c>
      <c r="G772" s="87">
        <v>2.0</v>
      </c>
      <c r="H772" s="87">
        <v>851.0</v>
      </c>
      <c r="I772" s="87">
        <v>347.0</v>
      </c>
      <c r="J772" s="87">
        <v>0.0</v>
      </c>
      <c r="K772" s="87">
        <v>0.0</v>
      </c>
      <c r="L772" s="87">
        <v>0.786587</v>
      </c>
      <c r="M772" s="87">
        <v>0.0</v>
      </c>
      <c r="N772" s="91"/>
      <c r="O772" s="87">
        <v>0.0</v>
      </c>
      <c r="P772" s="87">
        <v>0.0</v>
      </c>
      <c r="Q772" s="87">
        <v>0.0</v>
      </c>
      <c r="R772" s="87">
        <v>0.0</v>
      </c>
      <c r="S772" s="87">
        <v>0.0</v>
      </c>
      <c r="T772" s="91"/>
      <c r="U772" s="91"/>
      <c r="V772" s="91"/>
      <c r="W772" s="91"/>
      <c r="X772" s="91"/>
      <c r="Y772" s="87">
        <v>0.0</v>
      </c>
      <c r="Z772" s="88" t="s">
        <v>1396</v>
      </c>
    </row>
    <row r="773" hidden="1">
      <c r="A773" s="90" t="s">
        <v>2398</v>
      </c>
      <c r="B773" s="90" t="s">
        <v>2453</v>
      </c>
      <c r="C773" s="90" t="s">
        <v>458</v>
      </c>
      <c r="D773" s="90" t="s">
        <v>1135</v>
      </c>
      <c r="E773" s="89">
        <v>46300.0</v>
      </c>
      <c r="F773" s="87">
        <v>8.0</v>
      </c>
      <c r="G773" s="87">
        <v>0.0</v>
      </c>
      <c r="H773" s="87">
        <v>2407.0</v>
      </c>
      <c r="I773" s="87">
        <v>0.0</v>
      </c>
      <c r="J773" s="87">
        <v>4.439394</v>
      </c>
      <c r="K773" s="87">
        <v>4.515481</v>
      </c>
      <c r="L773" s="87">
        <v>5.626791</v>
      </c>
      <c r="M773" s="87">
        <v>1.829903</v>
      </c>
      <c r="N773" s="87">
        <v>0.405251</v>
      </c>
      <c r="O773" s="87">
        <v>0.297849</v>
      </c>
      <c r="P773" s="87">
        <v>0.46129</v>
      </c>
      <c r="Q773" s="87">
        <v>0.46129</v>
      </c>
      <c r="R773" s="87">
        <v>0.832258</v>
      </c>
      <c r="S773" s="87">
        <v>1.09418</v>
      </c>
      <c r="T773" s="87">
        <v>0.297849</v>
      </c>
      <c r="U773" s="87">
        <v>0.46129</v>
      </c>
      <c r="V773" s="87">
        <v>0.46129</v>
      </c>
      <c r="W773" s="87">
        <v>0.832258</v>
      </c>
      <c r="X773" s="87">
        <v>1.09418</v>
      </c>
      <c r="Y773" s="87">
        <v>0.903096</v>
      </c>
      <c r="Z773" s="88" t="s">
        <v>1396</v>
      </c>
    </row>
    <row r="774" hidden="1">
      <c r="A774" s="90" t="s">
        <v>2384</v>
      </c>
      <c r="B774" s="90" t="s">
        <v>2454</v>
      </c>
      <c r="C774" s="90" t="s">
        <v>458</v>
      </c>
      <c r="D774" s="90" t="s">
        <v>1135</v>
      </c>
      <c r="E774" s="90" t="s">
        <v>1403</v>
      </c>
      <c r="F774" s="87">
        <v>5.0</v>
      </c>
      <c r="G774" s="87">
        <v>5.0</v>
      </c>
      <c r="H774" s="87">
        <v>336.0</v>
      </c>
      <c r="I774" s="87">
        <v>336.0</v>
      </c>
      <c r="J774" s="87">
        <v>0.0</v>
      </c>
      <c r="K774" s="87">
        <v>0.0</v>
      </c>
      <c r="L774" s="87">
        <v>0.0</v>
      </c>
      <c r="M774" s="87">
        <v>0.0</v>
      </c>
      <c r="N774" s="91"/>
      <c r="O774" s="87">
        <v>0.0</v>
      </c>
      <c r="P774" s="87">
        <v>0.0</v>
      </c>
      <c r="Q774" s="87">
        <v>0.0</v>
      </c>
      <c r="R774" s="87">
        <v>0.0</v>
      </c>
      <c r="S774" s="87">
        <v>0.0</v>
      </c>
      <c r="T774" s="91"/>
      <c r="U774" s="91"/>
      <c r="V774" s="91"/>
      <c r="W774" s="91"/>
      <c r="X774" s="91"/>
      <c r="Y774" s="87">
        <v>0.0</v>
      </c>
      <c r="Z774" s="88" t="s">
        <v>1396</v>
      </c>
    </row>
    <row r="775" hidden="1">
      <c r="A775" s="90" t="s">
        <v>2381</v>
      </c>
      <c r="B775" s="90" t="s">
        <v>2465</v>
      </c>
      <c r="C775" s="90" t="s">
        <v>458</v>
      </c>
      <c r="D775" s="90" t="s">
        <v>2461</v>
      </c>
      <c r="E775" s="90" t="s">
        <v>1400</v>
      </c>
      <c r="F775" s="87">
        <v>1.0</v>
      </c>
      <c r="G775" s="87">
        <v>1.0</v>
      </c>
      <c r="H775" s="87">
        <v>3.0</v>
      </c>
      <c r="I775" s="87">
        <v>3.0</v>
      </c>
      <c r="J775" s="87">
        <v>0.0</v>
      </c>
      <c r="K775" s="87">
        <v>0.0</v>
      </c>
      <c r="L775" s="87">
        <v>0.0</v>
      </c>
      <c r="M775" s="87">
        <v>0.0</v>
      </c>
      <c r="N775" s="91"/>
      <c r="O775" s="91"/>
      <c r="P775" s="91"/>
      <c r="Q775" s="91"/>
      <c r="R775" s="91"/>
      <c r="S775" s="91"/>
      <c r="T775" s="91"/>
      <c r="U775" s="91"/>
      <c r="V775" s="91"/>
      <c r="W775" s="91"/>
      <c r="X775" s="91"/>
      <c r="Y775" s="91"/>
      <c r="Z775" s="88" t="s">
        <v>1396</v>
      </c>
    </row>
    <row r="776" hidden="1">
      <c r="A776" s="90" t="s">
        <v>2384</v>
      </c>
      <c r="B776" s="90" t="s">
        <v>2460</v>
      </c>
      <c r="C776" s="90" t="s">
        <v>458</v>
      </c>
      <c r="D776" s="90" t="s">
        <v>2461</v>
      </c>
      <c r="E776" s="90" t="s">
        <v>1403</v>
      </c>
      <c r="F776" s="87">
        <v>2.0</v>
      </c>
      <c r="G776" s="87">
        <v>2.0</v>
      </c>
      <c r="H776" s="87">
        <v>4.0</v>
      </c>
      <c r="I776" s="87">
        <v>4.0</v>
      </c>
      <c r="J776" s="87">
        <v>0.0</v>
      </c>
      <c r="K776" s="87">
        <v>0.0</v>
      </c>
      <c r="L776" s="87">
        <v>0.0</v>
      </c>
      <c r="M776" s="87">
        <v>0.0</v>
      </c>
      <c r="N776" s="91"/>
      <c r="O776" s="87">
        <v>0.0</v>
      </c>
      <c r="P776" s="87">
        <v>0.0</v>
      </c>
      <c r="Q776" s="87">
        <v>0.0</v>
      </c>
      <c r="R776" s="87">
        <v>0.0</v>
      </c>
      <c r="S776" s="87">
        <v>0.0</v>
      </c>
      <c r="T776" s="91"/>
      <c r="U776" s="91"/>
      <c r="V776" s="91"/>
      <c r="W776" s="91"/>
      <c r="X776" s="91"/>
      <c r="Y776" s="87">
        <v>0.0</v>
      </c>
      <c r="Z776" s="88" t="s">
        <v>1396</v>
      </c>
    </row>
    <row r="777" hidden="1">
      <c r="A777" s="90" t="s">
        <v>2466</v>
      </c>
      <c r="B777" s="90" t="s">
        <v>2467</v>
      </c>
      <c r="C777" s="90" t="s">
        <v>472</v>
      </c>
      <c r="D777" s="90" t="s">
        <v>2468</v>
      </c>
      <c r="E777" s="90" t="s">
        <v>1426</v>
      </c>
      <c r="F777" s="87">
        <v>1.0</v>
      </c>
      <c r="G777" s="87">
        <v>0.0</v>
      </c>
      <c r="H777" s="87">
        <v>2249.0</v>
      </c>
      <c r="I777" s="87">
        <v>0.0</v>
      </c>
      <c r="J777" s="87">
        <v>17.94672</v>
      </c>
      <c r="K777" s="87">
        <v>19.98375</v>
      </c>
      <c r="L777" s="87">
        <v>20.75855</v>
      </c>
      <c r="M777" s="87">
        <v>19.98375</v>
      </c>
      <c r="N777" s="87">
        <v>1.0</v>
      </c>
      <c r="O777" s="87">
        <v>0.0</v>
      </c>
      <c r="P777" s="87">
        <v>0.0</v>
      </c>
      <c r="Q777" s="87">
        <v>0.0</v>
      </c>
      <c r="R777" s="87">
        <v>0.0</v>
      </c>
      <c r="S777" s="87">
        <v>19.98375</v>
      </c>
      <c r="T777" s="87">
        <v>19.98375</v>
      </c>
      <c r="U777" s="87">
        <v>19.98375</v>
      </c>
      <c r="V777" s="87">
        <v>19.98375</v>
      </c>
      <c r="W777" s="87">
        <v>19.98375</v>
      </c>
      <c r="X777" s="87">
        <v>19.98375</v>
      </c>
      <c r="Y777" s="87">
        <v>6.66125</v>
      </c>
      <c r="Z777" s="88" t="s">
        <v>1396</v>
      </c>
    </row>
    <row r="778" hidden="1">
      <c r="A778" s="90" t="s">
        <v>2469</v>
      </c>
      <c r="B778" s="90" t="s">
        <v>2470</v>
      </c>
      <c r="C778" s="90" t="s">
        <v>472</v>
      </c>
      <c r="D778" s="90" t="s">
        <v>2468</v>
      </c>
      <c r="E778" s="86">
        <v>46310.0</v>
      </c>
      <c r="F778" s="87">
        <v>15.0</v>
      </c>
      <c r="G778" s="87">
        <v>3.0</v>
      </c>
      <c r="H778" s="87">
        <v>4058.0</v>
      </c>
      <c r="I778" s="87">
        <v>60.0</v>
      </c>
      <c r="J778" s="87">
        <v>48.54386</v>
      </c>
      <c r="K778" s="87">
        <v>51.73617</v>
      </c>
      <c r="L778" s="87">
        <v>48.99416</v>
      </c>
      <c r="M778" s="87">
        <v>41.03429</v>
      </c>
      <c r="N778" s="87">
        <v>0.793145</v>
      </c>
      <c r="O778" s="87">
        <v>0.0</v>
      </c>
      <c r="P778" s="87">
        <v>0.0</v>
      </c>
      <c r="Q778" s="87">
        <v>0.0</v>
      </c>
      <c r="R778" s="87">
        <v>0.311111</v>
      </c>
      <c r="S778" s="87">
        <v>10.39076</v>
      </c>
      <c r="T778" s="87">
        <v>0.311111</v>
      </c>
      <c r="U778" s="87">
        <v>0.311111</v>
      </c>
      <c r="V778" s="87">
        <v>0.311111</v>
      </c>
      <c r="W778" s="87">
        <v>10.39076</v>
      </c>
      <c r="X778" s="87">
        <v>41.03429</v>
      </c>
      <c r="Y778" s="87">
        <v>10.34723</v>
      </c>
      <c r="Z778" s="88" t="s">
        <v>1396</v>
      </c>
    </row>
    <row r="779" hidden="1">
      <c r="A779" s="90" t="s">
        <v>2471</v>
      </c>
      <c r="B779" s="90" t="s">
        <v>2472</v>
      </c>
      <c r="C779" s="90" t="s">
        <v>472</v>
      </c>
      <c r="D779" s="90" t="s">
        <v>2468</v>
      </c>
      <c r="E779" s="90" t="s">
        <v>1413</v>
      </c>
      <c r="F779" s="87">
        <v>31.0</v>
      </c>
      <c r="G779" s="87">
        <v>4.0</v>
      </c>
      <c r="H779" s="87">
        <v>10377.0</v>
      </c>
      <c r="I779" s="87">
        <v>191.0</v>
      </c>
      <c r="J779" s="87">
        <v>109.6643</v>
      </c>
      <c r="K779" s="87">
        <v>117.7358</v>
      </c>
      <c r="L779" s="87">
        <v>105.8401</v>
      </c>
      <c r="M779" s="87">
        <v>53.68103</v>
      </c>
      <c r="N779" s="87">
        <v>0.455945</v>
      </c>
      <c r="O779" s="87">
        <v>1.883087</v>
      </c>
      <c r="P779" s="87">
        <v>3.896706</v>
      </c>
      <c r="Q779" s="87">
        <v>4.803489</v>
      </c>
      <c r="R779" s="87">
        <v>7.006658</v>
      </c>
      <c r="S779" s="87">
        <v>9.135138</v>
      </c>
      <c r="T779" s="87">
        <v>2.143432</v>
      </c>
      <c r="U779" s="87">
        <v>4.803489</v>
      </c>
      <c r="V779" s="87">
        <v>5.223323</v>
      </c>
      <c r="W779" s="87">
        <v>7.006658</v>
      </c>
      <c r="X779" s="87">
        <v>9.135138</v>
      </c>
      <c r="Y779" s="87">
        <v>7.358486</v>
      </c>
      <c r="Z779" s="88" t="s">
        <v>1396</v>
      </c>
    </row>
    <row r="780" hidden="1">
      <c r="A780" s="90" t="s">
        <v>2473</v>
      </c>
      <c r="B780" s="90" t="s">
        <v>2474</v>
      </c>
      <c r="C780" s="90" t="s">
        <v>472</v>
      </c>
      <c r="D780" s="90" t="s">
        <v>2468</v>
      </c>
      <c r="E780" s="90" t="s">
        <v>1398</v>
      </c>
      <c r="F780" s="87">
        <v>11.0</v>
      </c>
      <c r="G780" s="87">
        <v>0.0</v>
      </c>
      <c r="H780" s="87">
        <v>5057.0</v>
      </c>
      <c r="I780" s="87">
        <v>0.0</v>
      </c>
      <c r="J780" s="87">
        <v>36.50458</v>
      </c>
      <c r="K780" s="87">
        <v>45.25078</v>
      </c>
      <c r="L780" s="87">
        <v>41.93827</v>
      </c>
      <c r="M780" s="87">
        <v>33.46637</v>
      </c>
      <c r="N780" s="87">
        <v>0.739576</v>
      </c>
      <c r="O780" s="87">
        <v>0.0</v>
      </c>
      <c r="P780" s="87">
        <v>1.374262</v>
      </c>
      <c r="Q780" s="87">
        <v>2.124959</v>
      </c>
      <c r="R780" s="87">
        <v>2.423051</v>
      </c>
      <c r="S780" s="87">
        <v>3.603215</v>
      </c>
      <c r="T780" s="87">
        <v>1.374262</v>
      </c>
      <c r="U780" s="87">
        <v>2.124959</v>
      </c>
      <c r="V780" s="87">
        <v>2.258922</v>
      </c>
      <c r="W780" s="87">
        <v>2.423051</v>
      </c>
      <c r="X780" s="87">
        <v>3.603215</v>
      </c>
      <c r="Y780" s="87">
        <v>5.656348</v>
      </c>
      <c r="Z780" s="88" t="s">
        <v>1396</v>
      </c>
    </row>
    <row r="781" hidden="1">
      <c r="A781" s="90" t="s">
        <v>2475</v>
      </c>
      <c r="B781" s="90" t="s">
        <v>2476</v>
      </c>
      <c r="C781" s="90" t="s">
        <v>472</v>
      </c>
      <c r="D781" s="90" t="s">
        <v>2468</v>
      </c>
      <c r="E781" s="90" t="s">
        <v>1400</v>
      </c>
      <c r="F781" s="87">
        <v>51.0</v>
      </c>
      <c r="G781" s="87">
        <v>6.0</v>
      </c>
      <c r="H781" s="87">
        <v>13184.0</v>
      </c>
      <c r="I781" s="87">
        <v>98.0</v>
      </c>
      <c r="J781" s="87">
        <v>132.4651</v>
      </c>
      <c r="K781" s="87">
        <v>129.6633</v>
      </c>
      <c r="L781" s="87">
        <v>120.9052</v>
      </c>
      <c r="M781" s="87">
        <v>68.31043</v>
      </c>
      <c r="N781" s="87">
        <v>0.526829</v>
      </c>
      <c r="O781" s="87">
        <v>1.141544</v>
      </c>
      <c r="P781" s="87">
        <v>1.600074</v>
      </c>
      <c r="Q781" s="87">
        <v>1.849188</v>
      </c>
      <c r="R781" s="87">
        <v>3.283816</v>
      </c>
      <c r="S781" s="87">
        <v>5.569605</v>
      </c>
      <c r="T781" s="87">
        <v>1.141544</v>
      </c>
      <c r="U781" s="87">
        <v>1.600074</v>
      </c>
      <c r="V781" s="87">
        <v>1.849188</v>
      </c>
      <c r="W781" s="87">
        <v>3.283816</v>
      </c>
      <c r="X781" s="87">
        <v>5.569605</v>
      </c>
      <c r="Y781" s="87">
        <v>5.186533</v>
      </c>
      <c r="Z781" s="88" t="s">
        <v>1396</v>
      </c>
    </row>
    <row r="782" hidden="1">
      <c r="A782" s="90" t="s">
        <v>2477</v>
      </c>
      <c r="B782" s="90" t="s">
        <v>2478</v>
      </c>
      <c r="C782" s="90" t="s">
        <v>472</v>
      </c>
      <c r="D782" s="90" t="s">
        <v>2468</v>
      </c>
      <c r="E782" s="89">
        <v>46300.0</v>
      </c>
      <c r="F782" s="87">
        <v>6.0</v>
      </c>
      <c r="G782" s="87">
        <v>0.0</v>
      </c>
      <c r="H782" s="87">
        <v>3946.0</v>
      </c>
      <c r="I782" s="87">
        <v>0.0</v>
      </c>
      <c r="J782" s="87">
        <v>43.6912</v>
      </c>
      <c r="K782" s="87">
        <v>45.46692</v>
      </c>
      <c r="L782" s="87">
        <v>45.38078</v>
      </c>
      <c r="M782" s="87">
        <v>36.07569</v>
      </c>
      <c r="N782" s="87">
        <v>0.793449</v>
      </c>
      <c r="O782" s="87">
        <v>0.0</v>
      </c>
      <c r="P782" s="87">
        <v>0.0</v>
      </c>
      <c r="Q782" s="87">
        <v>0.416667</v>
      </c>
      <c r="R782" s="87">
        <v>8.974562</v>
      </c>
      <c r="S782" s="87">
        <v>8.974562</v>
      </c>
      <c r="T782" s="87">
        <v>0.416667</v>
      </c>
      <c r="U782" s="87">
        <v>0.416667</v>
      </c>
      <c r="V782" s="87">
        <v>0.416667</v>
      </c>
      <c r="W782" s="87">
        <v>8.974562</v>
      </c>
      <c r="X782" s="87">
        <v>36.07569</v>
      </c>
      <c r="Y782" s="87">
        <v>11.36673</v>
      </c>
      <c r="Z782" s="88" t="s">
        <v>1396</v>
      </c>
    </row>
    <row r="783" hidden="1">
      <c r="A783" s="90" t="s">
        <v>2479</v>
      </c>
      <c r="B783" s="90" t="s">
        <v>2480</v>
      </c>
      <c r="C783" s="90" t="s">
        <v>472</v>
      </c>
      <c r="D783" s="90" t="s">
        <v>2468</v>
      </c>
      <c r="E783" s="90" t="s">
        <v>1403</v>
      </c>
      <c r="F783" s="87">
        <v>19.0</v>
      </c>
      <c r="G783" s="87">
        <v>19.0</v>
      </c>
      <c r="H783" s="87">
        <v>756.0</v>
      </c>
      <c r="I783" s="87">
        <v>756.0</v>
      </c>
      <c r="J783" s="87">
        <v>0.0</v>
      </c>
      <c r="K783" s="87">
        <v>0.0</v>
      </c>
      <c r="L783" s="87">
        <v>0.0</v>
      </c>
      <c r="M783" s="87">
        <v>0.0</v>
      </c>
      <c r="N783" s="91"/>
      <c r="O783" s="87">
        <v>0.0</v>
      </c>
      <c r="P783" s="87">
        <v>0.0</v>
      </c>
      <c r="Q783" s="87">
        <v>0.0</v>
      </c>
      <c r="R783" s="87">
        <v>0.0</v>
      </c>
      <c r="S783" s="87">
        <v>0.0</v>
      </c>
      <c r="T783" s="91"/>
      <c r="U783" s="91"/>
      <c r="V783" s="91"/>
      <c r="W783" s="91"/>
      <c r="X783" s="91"/>
      <c r="Y783" s="87">
        <v>0.0</v>
      </c>
      <c r="Z783" s="88" t="s">
        <v>1396</v>
      </c>
    </row>
    <row r="784" hidden="1">
      <c r="A784" s="90" t="s">
        <v>2466</v>
      </c>
      <c r="B784" s="90" t="s">
        <v>2481</v>
      </c>
      <c r="C784" s="90" t="s">
        <v>472</v>
      </c>
      <c r="D784" s="90" t="s">
        <v>507</v>
      </c>
      <c r="E784" s="90" t="s">
        <v>1426</v>
      </c>
      <c r="F784" s="87">
        <v>0.0</v>
      </c>
      <c r="G784" s="87">
        <v>0.0</v>
      </c>
      <c r="H784" s="87">
        <v>0.0</v>
      </c>
      <c r="I784" s="87">
        <v>0.0</v>
      </c>
      <c r="J784" s="87">
        <v>0.0</v>
      </c>
      <c r="K784" s="87">
        <v>0.0</v>
      </c>
      <c r="L784" s="87">
        <v>1.617605</v>
      </c>
      <c r="M784" s="87">
        <v>0.0</v>
      </c>
      <c r="N784" s="91"/>
      <c r="O784" s="87">
        <v>0.0</v>
      </c>
      <c r="P784" s="87">
        <v>0.0</v>
      </c>
      <c r="Q784" s="87">
        <v>0.0</v>
      </c>
      <c r="R784" s="87">
        <v>0.0</v>
      </c>
      <c r="S784" s="87">
        <v>0.0</v>
      </c>
      <c r="T784" s="91"/>
      <c r="U784" s="91"/>
      <c r="V784" s="91"/>
      <c r="W784" s="91"/>
      <c r="X784" s="91"/>
      <c r="Y784" s="87">
        <v>0.0</v>
      </c>
      <c r="Z784" s="88" t="s">
        <v>1396</v>
      </c>
    </row>
    <row r="785" hidden="1">
      <c r="A785" s="90" t="s">
        <v>2469</v>
      </c>
      <c r="B785" s="90" t="s">
        <v>2482</v>
      </c>
      <c r="C785" s="90" t="s">
        <v>472</v>
      </c>
      <c r="D785" s="90" t="s">
        <v>507</v>
      </c>
      <c r="E785" s="86">
        <v>46310.0</v>
      </c>
      <c r="F785" s="87">
        <v>14.0</v>
      </c>
      <c r="G785" s="87">
        <v>1.0</v>
      </c>
      <c r="H785" s="87">
        <v>1561.0</v>
      </c>
      <c r="I785" s="87">
        <v>27.0</v>
      </c>
      <c r="J785" s="87">
        <v>10.74414</v>
      </c>
      <c r="K785" s="87">
        <v>9.558957</v>
      </c>
      <c r="L785" s="87">
        <v>8.346744</v>
      </c>
      <c r="M785" s="87">
        <v>5.727706</v>
      </c>
      <c r="N785" s="87">
        <v>0.599198</v>
      </c>
      <c r="O785" s="87">
        <v>0.0</v>
      </c>
      <c r="P785" s="87">
        <v>0.0</v>
      </c>
      <c r="Q785" s="87">
        <v>0.078462</v>
      </c>
      <c r="R785" s="87">
        <v>0.397849</v>
      </c>
      <c r="S785" s="87">
        <v>2.050829</v>
      </c>
      <c r="T785" s="87">
        <v>0.078462</v>
      </c>
      <c r="U785" s="87">
        <v>0.266667</v>
      </c>
      <c r="V785" s="87">
        <v>0.397849</v>
      </c>
      <c r="W785" s="87">
        <v>1.037445</v>
      </c>
      <c r="X785" s="87">
        <v>2.050829</v>
      </c>
      <c r="Y785" s="87">
        <v>1.062106</v>
      </c>
      <c r="Z785" s="88" t="s">
        <v>1396</v>
      </c>
    </row>
    <row r="786" hidden="1">
      <c r="A786" s="90" t="s">
        <v>2471</v>
      </c>
      <c r="B786" s="90" t="s">
        <v>2483</v>
      </c>
      <c r="C786" s="90" t="s">
        <v>472</v>
      </c>
      <c r="D786" s="90" t="s">
        <v>507</v>
      </c>
      <c r="E786" s="90" t="s">
        <v>1413</v>
      </c>
      <c r="F786" s="87">
        <v>32.0</v>
      </c>
      <c r="G786" s="87">
        <v>3.0</v>
      </c>
      <c r="H786" s="87">
        <v>4801.0</v>
      </c>
      <c r="I786" s="87">
        <v>104.0</v>
      </c>
      <c r="J786" s="87">
        <v>29.13898</v>
      </c>
      <c r="K786" s="87">
        <v>29.23569</v>
      </c>
      <c r="L786" s="87">
        <v>28.18373</v>
      </c>
      <c r="M786" s="87">
        <v>16.8644</v>
      </c>
      <c r="N786" s="87">
        <v>0.576843</v>
      </c>
      <c r="O786" s="87">
        <v>0.066667</v>
      </c>
      <c r="P786" s="87">
        <v>0.242403</v>
      </c>
      <c r="Q786" s="87">
        <v>0.770353</v>
      </c>
      <c r="R786" s="87">
        <v>1.566667</v>
      </c>
      <c r="S786" s="87">
        <v>2.334854</v>
      </c>
      <c r="T786" s="87">
        <v>0.242403</v>
      </c>
      <c r="U786" s="87">
        <v>0.766667</v>
      </c>
      <c r="V786" s="87">
        <v>0.770353</v>
      </c>
      <c r="W786" s="87">
        <v>1.566667</v>
      </c>
      <c r="X786" s="87">
        <v>2.715473</v>
      </c>
      <c r="Y786" s="87">
        <v>2.088264</v>
      </c>
      <c r="Z786" s="88" t="s">
        <v>1396</v>
      </c>
    </row>
    <row r="787" hidden="1">
      <c r="A787" s="90" t="s">
        <v>2473</v>
      </c>
      <c r="B787" s="90" t="s">
        <v>2484</v>
      </c>
      <c r="C787" s="90" t="s">
        <v>472</v>
      </c>
      <c r="D787" s="90" t="s">
        <v>507</v>
      </c>
      <c r="E787" s="90" t="s">
        <v>1398</v>
      </c>
      <c r="F787" s="87">
        <v>21.0</v>
      </c>
      <c r="G787" s="87">
        <v>3.0</v>
      </c>
      <c r="H787" s="87">
        <v>3184.0</v>
      </c>
      <c r="I787" s="87">
        <v>42.0</v>
      </c>
      <c r="J787" s="87">
        <v>11.75305</v>
      </c>
      <c r="K787" s="87">
        <v>11.79663</v>
      </c>
      <c r="L787" s="87">
        <v>11.98095</v>
      </c>
      <c r="M787" s="87">
        <v>7.777778</v>
      </c>
      <c r="N787" s="87">
        <v>0.659322</v>
      </c>
      <c r="O787" s="87">
        <v>0.0</v>
      </c>
      <c r="P787" s="87">
        <v>0.0</v>
      </c>
      <c r="Q787" s="87">
        <v>0.033333</v>
      </c>
      <c r="R787" s="87">
        <v>0.365591</v>
      </c>
      <c r="S787" s="87">
        <v>2.112726</v>
      </c>
      <c r="T787" s="87">
        <v>0.033333</v>
      </c>
      <c r="U787" s="87">
        <v>0.232258</v>
      </c>
      <c r="V787" s="87">
        <v>0.365591</v>
      </c>
      <c r="W787" s="87">
        <v>1.274945</v>
      </c>
      <c r="X787" s="87">
        <v>2.112726</v>
      </c>
      <c r="Y787" s="87">
        <v>1.310737</v>
      </c>
      <c r="Z787" s="88" t="s">
        <v>1396</v>
      </c>
    </row>
    <row r="788" hidden="1">
      <c r="A788" s="90" t="s">
        <v>2475</v>
      </c>
      <c r="B788" s="90" t="s">
        <v>2485</v>
      </c>
      <c r="C788" s="90" t="s">
        <v>472</v>
      </c>
      <c r="D788" s="90" t="s">
        <v>507</v>
      </c>
      <c r="E788" s="90" t="s">
        <v>1400</v>
      </c>
      <c r="F788" s="87">
        <v>91.0</v>
      </c>
      <c r="G788" s="87">
        <v>9.0</v>
      </c>
      <c r="H788" s="87">
        <v>12322.0</v>
      </c>
      <c r="I788" s="87">
        <v>234.0</v>
      </c>
      <c r="J788" s="87">
        <v>44.97903</v>
      </c>
      <c r="K788" s="87">
        <v>43.51197</v>
      </c>
      <c r="L788" s="87">
        <v>41.09137</v>
      </c>
      <c r="M788" s="87">
        <v>26.84693</v>
      </c>
      <c r="N788" s="87">
        <v>0.617001</v>
      </c>
      <c r="O788" s="87">
        <v>0.0</v>
      </c>
      <c r="P788" s="87">
        <v>0.1</v>
      </c>
      <c r="Q788" s="87">
        <v>0.1825</v>
      </c>
      <c r="R788" s="87">
        <v>0.445934</v>
      </c>
      <c r="S788" s="87">
        <v>0.899543</v>
      </c>
      <c r="T788" s="87">
        <v>0.165591</v>
      </c>
      <c r="U788" s="87">
        <v>0.2</v>
      </c>
      <c r="V788" s="87">
        <v>0.307143</v>
      </c>
      <c r="W788" s="87">
        <v>0.539761</v>
      </c>
      <c r="X788" s="87">
        <v>1.072496</v>
      </c>
      <c r="Y788" s="87">
        <v>0.820981</v>
      </c>
      <c r="Z788" s="88" t="s">
        <v>1396</v>
      </c>
    </row>
    <row r="789" hidden="1">
      <c r="A789" s="90" t="s">
        <v>2477</v>
      </c>
      <c r="B789" s="90" t="s">
        <v>2486</v>
      </c>
      <c r="C789" s="90" t="s">
        <v>472</v>
      </c>
      <c r="D789" s="90" t="s">
        <v>507</v>
      </c>
      <c r="E789" s="89">
        <v>46300.0</v>
      </c>
      <c r="F789" s="87">
        <v>6.0</v>
      </c>
      <c r="G789" s="87">
        <v>3.0</v>
      </c>
      <c r="H789" s="87">
        <v>2861.0</v>
      </c>
      <c r="I789" s="87">
        <v>45.0</v>
      </c>
      <c r="J789" s="87">
        <v>15.39892</v>
      </c>
      <c r="K789" s="87">
        <v>15.99948</v>
      </c>
      <c r="L789" s="87">
        <v>22.21476</v>
      </c>
      <c r="M789" s="87">
        <v>15.76337</v>
      </c>
      <c r="N789" s="87">
        <v>0.985243</v>
      </c>
      <c r="O789" s="87">
        <v>0.0</v>
      </c>
      <c r="P789" s="87">
        <v>0.0</v>
      </c>
      <c r="Q789" s="87">
        <v>0.0</v>
      </c>
      <c r="R789" s="87">
        <v>0.0</v>
      </c>
      <c r="S789" s="87">
        <v>0.236111</v>
      </c>
      <c r="T789" s="87">
        <v>0.236111</v>
      </c>
      <c r="U789" s="87">
        <v>0.236111</v>
      </c>
      <c r="V789" s="87">
        <v>0.236111</v>
      </c>
      <c r="W789" s="87">
        <v>4.99603</v>
      </c>
      <c r="X789" s="87">
        <v>10.76734</v>
      </c>
      <c r="Y789" s="87">
        <v>1.999935</v>
      </c>
      <c r="Z789" s="88" t="s">
        <v>1396</v>
      </c>
    </row>
    <row r="790" hidden="1">
      <c r="A790" s="90" t="s">
        <v>2479</v>
      </c>
      <c r="B790" s="90" t="s">
        <v>2487</v>
      </c>
      <c r="C790" s="90" t="s">
        <v>472</v>
      </c>
      <c r="D790" s="90" t="s">
        <v>507</v>
      </c>
      <c r="E790" s="90" t="s">
        <v>1403</v>
      </c>
      <c r="F790" s="87">
        <v>34.0</v>
      </c>
      <c r="G790" s="87">
        <v>34.0</v>
      </c>
      <c r="H790" s="87">
        <v>1071.0</v>
      </c>
      <c r="I790" s="87">
        <v>1071.0</v>
      </c>
      <c r="J790" s="87">
        <v>0.0</v>
      </c>
      <c r="K790" s="87">
        <v>0.0</v>
      </c>
      <c r="L790" s="87">
        <v>0.0</v>
      </c>
      <c r="M790" s="87">
        <v>0.0</v>
      </c>
      <c r="N790" s="91"/>
      <c r="O790" s="87">
        <v>0.0</v>
      </c>
      <c r="P790" s="87">
        <v>0.0</v>
      </c>
      <c r="Q790" s="87">
        <v>0.0</v>
      </c>
      <c r="R790" s="87">
        <v>0.0</v>
      </c>
      <c r="S790" s="87">
        <v>0.0</v>
      </c>
      <c r="T790" s="91"/>
      <c r="U790" s="91"/>
      <c r="V790" s="91"/>
      <c r="W790" s="91"/>
      <c r="X790" s="91"/>
      <c r="Y790" s="87">
        <v>0.0</v>
      </c>
      <c r="Z790" s="88" t="s">
        <v>1396</v>
      </c>
    </row>
    <row r="791" hidden="1">
      <c r="A791" s="90" t="s">
        <v>2466</v>
      </c>
      <c r="B791" s="90" t="s">
        <v>2488</v>
      </c>
      <c r="C791" s="90" t="s">
        <v>472</v>
      </c>
      <c r="D791" s="90" t="s">
        <v>1036</v>
      </c>
      <c r="E791" s="90" t="s">
        <v>1426</v>
      </c>
      <c r="F791" s="87">
        <v>1.0</v>
      </c>
      <c r="G791" s="87">
        <v>1.0</v>
      </c>
      <c r="H791" s="87">
        <v>1.0</v>
      </c>
      <c r="I791" s="87">
        <v>1.0</v>
      </c>
      <c r="J791" s="87">
        <v>0.0</v>
      </c>
      <c r="K791" s="87">
        <v>0.0</v>
      </c>
      <c r="L791" s="87">
        <v>0.0</v>
      </c>
      <c r="M791" s="87">
        <v>0.0</v>
      </c>
      <c r="N791" s="91"/>
      <c r="O791" s="87">
        <v>0.0</v>
      </c>
      <c r="P791" s="87">
        <v>0.0</v>
      </c>
      <c r="Q791" s="87">
        <v>0.0</v>
      </c>
      <c r="R791" s="87">
        <v>0.0</v>
      </c>
      <c r="S791" s="87">
        <v>0.0</v>
      </c>
      <c r="T791" s="91"/>
      <c r="U791" s="91"/>
      <c r="V791" s="91"/>
      <c r="W791" s="91"/>
      <c r="X791" s="91"/>
      <c r="Y791" s="87">
        <v>0.0</v>
      </c>
      <c r="Z791" s="88" t="s">
        <v>1396</v>
      </c>
    </row>
    <row r="792" hidden="1">
      <c r="A792" s="90" t="s">
        <v>2469</v>
      </c>
      <c r="B792" s="90" t="s">
        <v>2489</v>
      </c>
      <c r="C792" s="90" t="s">
        <v>472</v>
      </c>
      <c r="D792" s="90" t="s">
        <v>1036</v>
      </c>
      <c r="E792" s="86">
        <v>46310.0</v>
      </c>
      <c r="F792" s="87">
        <v>3.0</v>
      </c>
      <c r="G792" s="87">
        <v>0.0</v>
      </c>
      <c r="H792" s="87">
        <v>7341.0</v>
      </c>
      <c r="I792" s="87">
        <v>0.0</v>
      </c>
      <c r="J792" s="87">
        <v>80.53581</v>
      </c>
      <c r="K792" s="87">
        <v>82.29338</v>
      </c>
      <c r="L792" s="87">
        <v>83.69131</v>
      </c>
      <c r="M792" s="87">
        <v>62.09793</v>
      </c>
      <c r="N792" s="87">
        <v>0.754592</v>
      </c>
      <c r="O792" s="87">
        <v>2.016667</v>
      </c>
      <c r="P792" s="87">
        <v>2.016667</v>
      </c>
      <c r="Q792" s="87">
        <v>2.016667</v>
      </c>
      <c r="R792" s="87">
        <v>18.17878</v>
      </c>
      <c r="S792" s="87">
        <v>62.09793</v>
      </c>
      <c r="T792" s="87">
        <v>2.016667</v>
      </c>
      <c r="U792" s="87">
        <v>2.016667</v>
      </c>
      <c r="V792" s="87">
        <v>2.016667</v>
      </c>
      <c r="W792" s="87">
        <v>18.17878</v>
      </c>
      <c r="X792" s="87">
        <v>62.09793</v>
      </c>
      <c r="Y792" s="87">
        <v>27.43113</v>
      </c>
      <c r="Z792" s="88" t="s">
        <v>1396</v>
      </c>
    </row>
    <row r="793" hidden="1">
      <c r="A793" s="90" t="s">
        <v>2471</v>
      </c>
      <c r="B793" s="90" t="s">
        <v>2490</v>
      </c>
      <c r="C793" s="90" t="s">
        <v>472</v>
      </c>
      <c r="D793" s="90" t="s">
        <v>1036</v>
      </c>
      <c r="E793" s="90" t="s">
        <v>1413</v>
      </c>
      <c r="F793" s="87">
        <v>4.0</v>
      </c>
      <c r="G793" s="87">
        <v>0.0</v>
      </c>
      <c r="H793" s="87">
        <v>1681.0</v>
      </c>
      <c r="I793" s="87">
        <v>0.0</v>
      </c>
      <c r="J793" s="87">
        <v>31.2784</v>
      </c>
      <c r="K793" s="87">
        <v>26.98642</v>
      </c>
      <c r="L793" s="87">
        <v>26.14585</v>
      </c>
      <c r="M793" s="87">
        <v>15.49525</v>
      </c>
      <c r="N793" s="87">
        <v>0.574187</v>
      </c>
      <c r="O793" s="87">
        <v>0.0</v>
      </c>
      <c r="P793" s="87">
        <v>0.0</v>
      </c>
      <c r="Q793" s="87">
        <v>4.672363</v>
      </c>
      <c r="R793" s="87">
        <v>6.818813</v>
      </c>
      <c r="S793" s="87">
        <v>6.818813</v>
      </c>
      <c r="T793" s="87">
        <v>4.672363</v>
      </c>
      <c r="U793" s="87">
        <v>4.672363</v>
      </c>
      <c r="V793" s="87">
        <v>4.672363</v>
      </c>
      <c r="W793" s="87">
        <v>6.818813</v>
      </c>
      <c r="X793" s="87">
        <v>15.49525</v>
      </c>
      <c r="Y793" s="87">
        <v>6.746606</v>
      </c>
      <c r="Z793" s="88" t="s">
        <v>1396</v>
      </c>
    </row>
    <row r="794" hidden="1">
      <c r="A794" s="90" t="s">
        <v>2473</v>
      </c>
      <c r="B794" s="90" t="s">
        <v>2491</v>
      </c>
      <c r="C794" s="90" t="s">
        <v>472</v>
      </c>
      <c r="D794" s="90" t="s">
        <v>1036</v>
      </c>
      <c r="E794" s="90" t="s">
        <v>1398</v>
      </c>
      <c r="F794" s="87">
        <v>2.0</v>
      </c>
      <c r="G794" s="87">
        <v>0.0</v>
      </c>
      <c r="H794" s="87">
        <v>1887.0</v>
      </c>
      <c r="I794" s="87">
        <v>0.0</v>
      </c>
      <c r="J794" s="87">
        <v>24.33717</v>
      </c>
      <c r="K794" s="87">
        <v>26.28532</v>
      </c>
      <c r="L794" s="87">
        <v>27.98355</v>
      </c>
      <c r="M794" s="87">
        <v>19.28287</v>
      </c>
      <c r="N794" s="87">
        <v>0.733598</v>
      </c>
      <c r="O794" s="87">
        <v>7.002452</v>
      </c>
      <c r="P794" s="87">
        <v>7.002452</v>
      </c>
      <c r="Q794" s="87">
        <v>7.002452</v>
      </c>
      <c r="R794" s="87">
        <v>19.28287</v>
      </c>
      <c r="S794" s="87">
        <v>19.28287</v>
      </c>
      <c r="T794" s="87">
        <v>7.002452</v>
      </c>
      <c r="U794" s="87">
        <v>7.002452</v>
      </c>
      <c r="V794" s="87">
        <v>7.002452</v>
      </c>
      <c r="W794" s="87">
        <v>19.28287</v>
      </c>
      <c r="X794" s="87">
        <v>19.28287</v>
      </c>
      <c r="Y794" s="87">
        <v>13.14266</v>
      </c>
      <c r="Z794" s="88" t="s">
        <v>1396</v>
      </c>
    </row>
    <row r="795" hidden="1">
      <c r="A795" s="90" t="s">
        <v>2475</v>
      </c>
      <c r="B795" s="90" t="s">
        <v>2492</v>
      </c>
      <c r="C795" s="90" t="s">
        <v>472</v>
      </c>
      <c r="D795" s="90" t="s">
        <v>1036</v>
      </c>
      <c r="E795" s="90" t="s">
        <v>1400</v>
      </c>
      <c r="F795" s="87">
        <v>5.0</v>
      </c>
      <c r="G795" s="87">
        <v>0.0</v>
      </c>
      <c r="H795" s="87">
        <v>400.0</v>
      </c>
      <c r="I795" s="87">
        <v>0.0</v>
      </c>
      <c r="J795" s="87">
        <v>3.561355</v>
      </c>
      <c r="K795" s="87">
        <v>2.709997</v>
      </c>
      <c r="L795" s="87">
        <v>2.6437</v>
      </c>
      <c r="M795" s="87">
        <v>2.709997</v>
      </c>
      <c r="N795" s="87">
        <v>1.0</v>
      </c>
      <c r="O795" s="87">
        <v>2.709997</v>
      </c>
      <c r="P795" s="87">
        <v>2.709997</v>
      </c>
      <c r="Q795" s="87">
        <v>2.709997</v>
      </c>
      <c r="R795" s="87">
        <v>2.709997</v>
      </c>
      <c r="S795" s="87">
        <v>2.709997</v>
      </c>
      <c r="T795" s="87">
        <v>2.709997</v>
      </c>
      <c r="U795" s="87">
        <v>2.709997</v>
      </c>
      <c r="V795" s="87">
        <v>2.709997</v>
      </c>
      <c r="W795" s="87">
        <v>2.709997</v>
      </c>
      <c r="X795" s="87">
        <v>2.709997</v>
      </c>
      <c r="Y795" s="87">
        <v>2.709997</v>
      </c>
      <c r="Z795" s="88" t="s">
        <v>1396</v>
      </c>
    </row>
    <row r="796" hidden="1">
      <c r="A796" s="90" t="s">
        <v>2477</v>
      </c>
      <c r="B796" s="90" t="s">
        <v>2493</v>
      </c>
      <c r="C796" s="90" t="s">
        <v>472</v>
      </c>
      <c r="D796" s="90" t="s">
        <v>1036</v>
      </c>
      <c r="E796" s="89">
        <v>46300.0</v>
      </c>
      <c r="F796" s="87">
        <v>5.0</v>
      </c>
      <c r="G796" s="87">
        <v>1.0</v>
      </c>
      <c r="H796" s="87">
        <v>3911.0</v>
      </c>
      <c r="I796" s="87">
        <v>2.0</v>
      </c>
      <c r="J796" s="87">
        <v>58.1775</v>
      </c>
      <c r="K796" s="87">
        <v>60.51111</v>
      </c>
      <c r="L796" s="87">
        <v>62.95685</v>
      </c>
      <c r="M796" s="87">
        <v>60.51111</v>
      </c>
      <c r="N796" s="87">
        <v>1.0</v>
      </c>
      <c r="O796" s="87">
        <v>0.0</v>
      </c>
      <c r="P796" s="87">
        <v>0.0</v>
      </c>
      <c r="Q796" s="87">
        <v>0.0</v>
      </c>
      <c r="R796" s="87">
        <v>0.0</v>
      </c>
      <c r="S796" s="87">
        <v>0.0</v>
      </c>
      <c r="T796" s="87">
        <v>60.51111</v>
      </c>
      <c r="U796" s="87">
        <v>60.51111</v>
      </c>
      <c r="V796" s="87">
        <v>60.51111</v>
      </c>
      <c r="W796" s="87">
        <v>60.51111</v>
      </c>
      <c r="X796" s="87">
        <v>60.51111</v>
      </c>
      <c r="Y796" s="87">
        <v>15.12778</v>
      </c>
      <c r="Z796" s="88" t="s">
        <v>1396</v>
      </c>
    </row>
    <row r="797" hidden="1">
      <c r="A797" s="90" t="s">
        <v>2479</v>
      </c>
      <c r="B797" s="90" t="s">
        <v>2494</v>
      </c>
      <c r="C797" s="90" t="s">
        <v>472</v>
      </c>
      <c r="D797" s="90" t="s">
        <v>1036</v>
      </c>
      <c r="E797" s="90" t="s">
        <v>1403</v>
      </c>
      <c r="F797" s="87">
        <v>2.0</v>
      </c>
      <c r="G797" s="87">
        <v>2.0</v>
      </c>
      <c r="H797" s="87">
        <v>125.0</v>
      </c>
      <c r="I797" s="87">
        <v>125.0</v>
      </c>
      <c r="J797" s="87">
        <v>0.0</v>
      </c>
      <c r="K797" s="87">
        <v>0.0</v>
      </c>
      <c r="L797" s="87">
        <v>0.0</v>
      </c>
      <c r="M797" s="87">
        <v>0.0</v>
      </c>
      <c r="N797" s="91"/>
      <c r="O797" s="87">
        <v>0.0</v>
      </c>
      <c r="P797" s="87">
        <v>0.0</v>
      </c>
      <c r="Q797" s="87">
        <v>0.0</v>
      </c>
      <c r="R797" s="87">
        <v>0.0</v>
      </c>
      <c r="S797" s="87">
        <v>0.0</v>
      </c>
      <c r="T797" s="91"/>
      <c r="U797" s="91"/>
      <c r="V797" s="91"/>
      <c r="W797" s="91"/>
      <c r="X797" s="91"/>
      <c r="Y797" s="87">
        <v>0.0</v>
      </c>
      <c r="Z797" s="88" t="s">
        <v>1396</v>
      </c>
    </row>
    <row r="798" hidden="1">
      <c r="A798" s="90" t="s">
        <v>2469</v>
      </c>
      <c r="B798" s="90" t="s">
        <v>2495</v>
      </c>
      <c r="C798" s="90" t="s">
        <v>472</v>
      </c>
      <c r="D798" s="90" t="s">
        <v>2496</v>
      </c>
      <c r="E798" s="86">
        <v>46310.0</v>
      </c>
      <c r="F798" s="87">
        <v>15.0</v>
      </c>
      <c r="G798" s="87">
        <v>3.0</v>
      </c>
      <c r="H798" s="87">
        <v>3958.0</v>
      </c>
      <c r="I798" s="87">
        <v>20.0</v>
      </c>
      <c r="J798" s="87">
        <v>43.72872</v>
      </c>
      <c r="K798" s="87">
        <v>47.10645</v>
      </c>
      <c r="L798" s="87">
        <v>41.26087</v>
      </c>
      <c r="M798" s="87">
        <v>24.15028</v>
      </c>
      <c r="N798" s="87">
        <v>0.512674</v>
      </c>
      <c r="O798" s="87">
        <v>0.0</v>
      </c>
      <c r="P798" s="87">
        <v>0.0</v>
      </c>
      <c r="Q798" s="87">
        <v>3.687936</v>
      </c>
      <c r="R798" s="87">
        <v>5.209189</v>
      </c>
      <c r="S798" s="87">
        <v>8.896522</v>
      </c>
      <c r="T798" s="87">
        <v>3.687936</v>
      </c>
      <c r="U798" s="87">
        <v>5.162531</v>
      </c>
      <c r="V798" s="87">
        <v>5.162531</v>
      </c>
      <c r="W798" s="87">
        <v>8.896522</v>
      </c>
      <c r="X798" s="87">
        <v>10.41185</v>
      </c>
      <c r="Y798" s="87">
        <v>5.888307</v>
      </c>
      <c r="Z798" s="88" t="s">
        <v>1396</v>
      </c>
    </row>
    <row r="799" hidden="1">
      <c r="A799" s="90" t="s">
        <v>2471</v>
      </c>
      <c r="B799" s="90" t="s">
        <v>2497</v>
      </c>
      <c r="C799" s="90" t="s">
        <v>472</v>
      </c>
      <c r="D799" s="90" t="s">
        <v>2496</v>
      </c>
      <c r="E799" s="90" t="s">
        <v>1413</v>
      </c>
      <c r="F799" s="87">
        <v>42.0</v>
      </c>
      <c r="G799" s="87">
        <v>1.0</v>
      </c>
      <c r="H799" s="87">
        <v>17945.0</v>
      </c>
      <c r="I799" s="87">
        <v>7.0</v>
      </c>
      <c r="J799" s="87">
        <v>173.5781</v>
      </c>
      <c r="K799" s="87">
        <v>188.9503</v>
      </c>
      <c r="L799" s="87">
        <v>178.1306</v>
      </c>
      <c r="M799" s="87">
        <v>83.53633</v>
      </c>
      <c r="N799" s="87">
        <v>0.442108</v>
      </c>
      <c r="O799" s="87">
        <v>2.514335</v>
      </c>
      <c r="P799" s="87">
        <v>3.031228</v>
      </c>
      <c r="Q799" s="87">
        <v>4.012011</v>
      </c>
      <c r="R799" s="87">
        <v>4.943975</v>
      </c>
      <c r="S799" s="87">
        <v>8.201522</v>
      </c>
      <c r="T799" s="87">
        <v>2.514335</v>
      </c>
      <c r="U799" s="87">
        <v>3.031228</v>
      </c>
      <c r="V799" s="87">
        <v>4.012011</v>
      </c>
      <c r="W799" s="87">
        <v>4.943975</v>
      </c>
      <c r="X799" s="87">
        <v>8.201522</v>
      </c>
      <c r="Y799" s="87">
        <v>6.748223</v>
      </c>
      <c r="Z799" s="88" t="s">
        <v>1396</v>
      </c>
    </row>
    <row r="800" hidden="1">
      <c r="A800" s="90" t="s">
        <v>2473</v>
      </c>
      <c r="B800" s="90" t="s">
        <v>2498</v>
      </c>
      <c r="C800" s="90" t="s">
        <v>472</v>
      </c>
      <c r="D800" s="90" t="s">
        <v>2496</v>
      </c>
      <c r="E800" s="90" t="s">
        <v>1398</v>
      </c>
      <c r="F800" s="87">
        <v>15.0</v>
      </c>
      <c r="G800" s="87">
        <v>2.0</v>
      </c>
      <c r="H800" s="87">
        <v>2776.0</v>
      </c>
      <c r="I800" s="87">
        <v>6.0</v>
      </c>
      <c r="J800" s="87">
        <v>17.64171</v>
      </c>
      <c r="K800" s="87">
        <v>19.09119</v>
      </c>
      <c r="L800" s="87">
        <v>21.16718</v>
      </c>
      <c r="M800" s="87">
        <v>7.653476</v>
      </c>
      <c r="N800" s="87">
        <v>0.40089</v>
      </c>
      <c r="O800" s="87">
        <v>1.621743</v>
      </c>
      <c r="P800" s="87">
        <v>1.621743</v>
      </c>
      <c r="Q800" s="87">
        <v>4.304339</v>
      </c>
      <c r="R800" s="87">
        <v>5.511636</v>
      </c>
      <c r="S800" s="87">
        <v>5.511636</v>
      </c>
      <c r="T800" s="87">
        <v>1.621743</v>
      </c>
      <c r="U800" s="87">
        <v>1.621743</v>
      </c>
      <c r="V800" s="87">
        <v>4.304339</v>
      </c>
      <c r="W800" s="87">
        <v>5.511636</v>
      </c>
      <c r="X800" s="87">
        <v>5.511636</v>
      </c>
      <c r="Y800" s="87">
        <v>4.772799</v>
      </c>
      <c r="Z800" s="88" t="s">
        <v>1396</v>
      </c>
    </row>
    <row r="801" hidden="1">
      <c r="A801" s="90" t="s">
        <v>2475</v>
      </c>
      <c r="B801" s="90" t="s">
        <v>2499</v>
      </c>
      <c r="C801" s="90" t="s">
        <v>472</v>
      </c>
      <c r="D801" s="90" t="s">
        <v>2496</v>
      </c>
      <c r="E801" s="90" t="s">
        <v>1400</v>
      </c>
      <c r="F801" s="87">
        <v>13.0</v>
      </c>
      <c r="G801" s="87">
        <v>3.0</v>
      </c>
      <c r="H801" s="87">
        <v>1101.0</v>
      </c>
      <c r="I801" s="87">
        <v>105.0</v>
      </c>
      <c r="J801" s="87">
        <v>9.810914</v>
      </c>
      <c r="K801" s="87">
        <v>7.425779</v>
      </c>
      <c r="L801" s="87">
        <v>6.808683</v>
      </c>
      <c r="M801" s="87">
        <v>3.12418</v>
      </c>
      <c r="N801" s="87">
        <v>0.420721</v>
      </c>
      <c r="O801" s="87">
        <v>1.822164</v>
      </c>
      <c r="P801" s="87">
        <v>1.822164</v>
      </c>
      <c r="Q801" s="87">
        <v>1.822164</v>
      </c>
      <c r="R801" s="87">
        <v>2.479435</v>
      </c>
      <c r="S801" s="87">
        <v>3.12418</v>
      </c>
      <c r="T801" s="87">
        <v>1.822164</v>
      </c>
      <c r="U801" s="87">
        <v>1.822164</v>
      </c>
      <c r="V801" s="87">
        <v>1.822164</v>
      </c>
      <c r="W801" s="87">
        <v>2.479435</v>
      </c>
      <c r="X801" s="87">
        <v>3.12418</v>
      </c>
      <c r="Y801" s="87">
        <v>2.47526</v>
      </c>
      <c r="Z801" s="88" t="s">
        <v>1396</v>
      </c>
    </row>
    <row r="802" hidden="1">
      <c r="A802" s="90" t="s">
        <v>2477</v>
      </c>
      <c r="B802" s="90" t="s">
        <v>2500</v>
      </c>
      <c r="C802" s="90" t="s">
        <v>472</v>
      </c>
      <c r="D802" s="90" t="s">
        <v>2496</v>
      </c>
      <c r="E802" s="89">
        <v>46300.0</v>
      </c>
      <c r="F802" s="87">
        <v>5.0</v>
      </c>
      <c r="G802" s="87">
        <v>0.0</v>
      </c>
      <c r="H802" s="87">
        <v>4539.0</v>
      </c>
      <c r="I802" s="87">
        <v>0.0</v>
      </c>
      <c r="J802" s="87">
        <v>32.71872</v>
      </c>
      <c r="K802" s="87">
        <v>34.56506</v>
      </c>
      <c r="L802" s="87">
        <v>30.90165</v>
      </c>
      <c r="M802" s="87">
        <v>33.28887</v>
      </c>
      <c r="N802" s="87">
        <v>0.963079</v>
      </c>
      <c r="O802" s="87">
        <v>0.0</v>
      </c>
      <c r="P802" s="87">
        <v>0.166667</v>
      </c>
      <c r="Q802" s="87">
        <v>0.166667</v>
      </c>
      <c r="R802" s="87">
        <v>0.509524</v>
      </c>
      <c r="S802" s="87">
        <v>0.6</v>
      </c>
      <c r="T802" s="87">
        <v>0.166667</v>
      </c>
      <c r="U802" s="87">
        <v>0.166667</v>
      </c>
      <c r="V802" s="87">
        <v>0.509524</v>
      </c>
      <c r="W802" s="87">
        <v>0.6</v>
      </c>
      <c r="X802" s="87">
        <v>0.6</v>
      </c>
      <c r="Y802" s="87">
        <v>6.913012</v>
      </c>
      <c r="Z802" s="88" t="s">
        <v>1396</v>
      </c>
    </row>
    <row r="803" hidden="1">
      <c r="A803" s="90" t="s">
        <v>2479</v>
      </c>
      <c r="B803" s="90" t="s">
        <v>2501</v>
      </c>
      <c r="C803" s="90" t="s">
        <v>472</v>
      </c>
      <c r="D803" s="90" t="s">
        <v>2496</v>
      </c>
      <c r="E803" s="90" t="s">
        <v>1403</v>
      </c>
      <c r="F803" s="87">
        <v>13.0</v>
      </c>
      <c r="G803" s="87">
        <v>13.0</v>
      </c>
      <c r="H803" s="87">
        <v>293.0</v>
      </c>
      <c r="I803" s="87">
        <v>293.0</v>
      </c>
      <c r="J803" s="87">
        <v>0.0</v>
      </c>
      <c r="K803" s="87">
        <v>0.0</v>
      </c>
      <c r="L803" s="87">
        <v>0.0</v>
      </c>
      <c r="M803" s="87">
        <v>0.0</v>
      </c>
      <c r="N803" s="91"/>
      <c r="O803" s="87">
        <v>0.0</v>
      </c>
      <c r="P803" s="87">
        <v>0.0</v>
      </c>
      <c r="Q803" s="87">
        <v>0.0</v>
      </c>
      <c r="R803" s="87">
        <v>0.0</v>
      </c>
      <c r="S803" s="87">
        <v>0.0</v>
      </c>
      <c r="T803" s="91"/>
      <c r="U803" s="91"/>
      <c r="V803" s="91"/>
      <c r="W803" s="91"/>
      <c r="X803" s="91"/>
      <c r="Y803" s="87">
        <v>0.0</v>
      </c>
      <c r="Z803" s="88" t="s">
        <v>1396</v>
      </c>
    </row>
    <row r="804" hidden="1">
      <c r="A804" s="90" t="s">
        <v>2466</v>
      </c>
      <c r="B804" s="90" t="s">
        <v>2502</v>
      </c>
      <c r="C804" s="90" t="s">
        <v>472</v>
      </c>
      <c r="D804" s="90" t="s">
        <v>473</v>
      </c>
      <c r="E804" s="90" t="s">
        <v>1426</v>
      </c>
      <c r="F804" s="87">
        <v>2.0</v>
      </c>
      <c r="G804" s="87">
        <v>0.0</v>
      </c>
      <c r="H804" s="87">
        <v>399.0</v>
      </c>
      <c r="I804" s="87">
        <v>0.0</v>
      </c>
      <c r="J804" s="87">
        <v>1.8171</v>
      </c>
      <c r="K804" s="87">
        <v>1.749863</v>
      </c>
      <c r="L804" s="87">
        <v>2.33198</v>
      </c>
      <c r="M804" s="87">
        <v>1.749863</v>
      </c>
      <c r="N804" s="87">
        <v>1.0</v>
      </c>
      <c r="O804" s="87">
        <v>0.0</v>
      </c>
      <c r="P804" s="87">
        <v>0.0</v>
      </c>
      <c r="Q804" s="87">
        <v>0.0</v>
      </c>
      <c r="R804" s="87">
        <v>0.0</v>
      </c>
      <c r="S804" s="87">
        <v>0.166667</v>
      </c>
      <c r="T804" s="87">
        <v>0.166667</v>
      </c>
      <c r="U804" s="87">
        <v>0.166667</v>
      </c>
      <c r="V804" s="87">
        <v>0.166667</v>
      </c>
      <c r="W804" s="87">
        <v>1.583197</v>
      </c>
      <c r="X804" s="87">
        <v>1.583197</v>
      </c>
      <c r="Y804" s="87">
        <v>0.291644</v>
      </c>
      <c r="Z804" s="88" t="s">
        <v>1396</v>
      </c>
    </row>
    <row r="805" hidden="1">
      <c r="A805" s="90" t="s">
        <v>2469</v>
      </c>
      <c r="B805" s="90" t="s">
        <v>2503</v>
      </c>
      <c r="C805" s="90" t="s">
        <v>472</v>
      </c>
      <c r="D805" s="90" t="s">
        <v>473</v>
      </c>
      <c r="E805" s="86">
        <v>46310.0</v>
      </c>
      <c r="F805" s="87">
        <v>25.0</v>
      </c>
      <c r="G805" s="87">
        <v>1.0</v>
      </c>
      <c r="H805" s="87">
        <v>30021.0</v>
      </c>
      <c r="I805" s="87">
        <v>3.0</v>
      </c>
      <c r="J805" s="87">
        <v>221.3605</v>
      </c>
      <c r="K805" s="87">
        <v>225.9221</v>
      </c>
      <c r="L805" s="87">
        <v>226.8563</v>
      </c>
      <c r="M805" s="87">
        <v>106.9907</v>
      </c>
      <c r="N805" s="87">
        <v>0.473573</v>
      </c>
      <c r="O805" s="87">
        <v>0.565591</v>
      </c>
      <c r="P805" s="87">
        <v>4.307184</v>
      </c>
      <c r="Q805" s="87">
        <v>4.848914</v>
      </c>
      <c r="R805" s="87">
        <v>11.72188</v>
      </c>
      <c r="S805" s="87">
        <v>17.91998</v>
      </c>
      <c r="T805" s="87">
        <v>0.565591</v>
      </c>
      <c r="U805" s="87">
        <v>4.307184</v>
      </c>
      <c r="V805" s="87">
        <v>4.848914</v>
      </c>
      <c r="W805" s="87">
        <v>11.72188</v>
      </c>
      <c r="X805" s="87">
        <v>17.91998</v>
      </c>
      <c r="Y805" s="87">
        <v>12.55123</v>
      </c>
      <c r="Z805" s="88" t="s">
        <v>1396</v>
      </c>
    </row>
    <row r="806" hidden="1">
      <c r="A806" s="90" t="s">
        <v>2471</v>
      </c>
      <c r="B806" s="90" t="s">
        <v>2504</v>
      </c>
      <c r="C806" s="90" t="s">
        <v>472</v>
      </c>
      <c r="D806" s="90" t="s">
        <v>473</v>
      </c>
      <c r="E806" s="90" t="s">
        <v>1413</v>
      </c>
      <c r="F806" s="87">
        <v>18.0</v>
      </c>
      <c r="G806" s="87">
        <v>1.0</v>
      </c>
      <c r="H806" s="87">
        <v>16120.0</v>
      </c>
      <c r="I806" s="87">
        <v>60.0</v>
      </c>
      <c r="J806" s="87">
        <v>113.7405</v>
      </c>
      <c r="K806" s="87">
        <v>117.1773</v>
      </c>
      <c r="L806" s="87">
        <v>114.8803</v>
      </c>
      <c r="M806" s="87">
        <v>53.84784</v>
      </c>
      <c r="N806" s="87">
        <v>0.459541</v>
      </c>
      <c r="O806" s="87">
        <v>1.177398</v>
      </c>
      <c r="P806" s="87">
        <v>3.74265</v>
      </c>
      <c r="Q806" s="87">
        <v>3.9364</v>
      </c>
      <c r="R806" s="87">
        <v>8.361349</v>
      </c>
      <c r="S806" s="87">
        <v>11.21033</v>
      </c>
      <c r="T806" s="87">
        <v>3.74265</v>
      </c>
      <c r="U806" s="87">
        <v>3.9364</v>
      </c>
      <c r="V806" s="87">
        <v>6.86154</v>
      </c>
      <c r="W806" s="87">
        <v>10.21713</v>
      </c>
      <c r="X806" s="87">
        <v>11.21033</v>
      </c>
      <c r="Y806" s="87">
        <v>9.013642</v>
      </c>
      <c r="Z806" s="88" t="s">
        <v>1396</v>
      </c>
    </row>
    <row r="807" hidden="1">
      <c r="A807" s="90" t="s">
        <v>2473</v>
      </c>
      <c r="B807" s="90" t="s">
        <v>2505</v>
      </c>
      <c r="C807" s="90" t="s">
        <v>472</v>
      </c>
      <c r="D807" s="90" t="s">
        <v>473</v>
      </c>
      <c r="E807" s="90" t="s">
        <v>1398</v>
      </c>
      <c r="F807" s="87">
        <v>23.0</v>
      </c>
      <c r="G807" s="87">
        <v>3.0</v>
      </c>
      <c r="H807" s="87">
        <v>12057.0</v>
      </c>
      <c r="I807" s="87">
        <v>93.0</v>
      </c>
      <c r="J807" s="87">
        <v>71.23018</v>
      </c>
      <c r="K807" s="87">
        <v>71.18782</v>
      </c>
      <c r="L807" s="87">
        <v>71.78242</v>
      </c>
      <c r="M807" s="87">
        <v>45.09666</v>
      </c>
      <c r="N807" s="87">
        <v>0.633488</v>
      </c>
      <c r="O807" s="87">
        <v>1.625</v>
      </c>
      <c r="P807" s="87">
        <v>1.63046</v>
      </c>
      <c r="Q807" s="87">
        <v>2.0676</v>
      </c>
      <c r="R807" s="87">
        <v>2.631932</v>
      </c>
      <c r="S807" s="87">
        <v>6.88165</v>
      </c>
      <c r="T807" s="87">
        <v>1.625</v>
      </c>
      <c r="U807" s="87">
        <v>1.63046</v>
      </c>
      <c r="V807" s="87">
        <v>2.0676</v>
      </c>
      <c r="W807" s="87">
        <v>2.631932</v>
      </c>
      <c r="X807" s="87">
        <v>6.88165</v>
      </c>
      <c r="Y807" s="87">
        <v>5.475986</v>
      </c>
      <c r="Z807" s="88" t="s">
        <v>1396</v>
      </c>
    </row>
    <row r="808" hidden="1">
      <c r="A808" s="90" t="s">
        <v>2475</v>
      </c>
      <c r="B808" s="90" t="s">
        <v>2506</v>
      </c>
      <c r="C808" s="90" t="s">
        <v>472</v>
      </c>
      <c r="D808" s="90" t="s">
        <v>473</v>
      </c>
      <c r="E808" s="90" t="s">
        <v>1400</v>
      </c>
      <c r="F808" s="87">
        <v>40.0</v>
      </c>
      <c r="G808" s="87">
        <v>2.0</v>
      </c>
      <c r="H808" s="87">
        <v>13202.0</v>
      </c>
      <c r="I808" s="87">
        <v>43.0</v>
      </c>
      <c r="J808" s="87">
        <v>62.31796</v>
      </c>
      <c r="K808" s="87">
        <v>61.90859</v>
      </c>
      <c r="L808" s="87">
        <v>62.57666</v>
      </c>
      <c r="M808" s="87">
        <v>35.44795</v>
      </c>
      <c r="N808" s="87">
        <v>0.572585</v>
      </c>
      <c r="O808" s="87">
        <v>0.125</v>
      </c>
      <c r="P808" s="87">
        <v>0.366667</v>
      </c>
      <c r="Q808" s="87">
        <v>0.852232</v>
      </c>
      <c r="R808" s="87">
        <v>1.558892</v>
      </c>
      <c r="S808" s="87">
        <v>3.530724</v>
      </c>
      <c r="T808" s="87">
        <v>0.366667</v>
      </c>
      <c r="U808" s="87">
        <v>0.852232</v>
      </c>
      <c r="V808" s="87">
        <v>1.1</v>
      </c>
      <c r="W808" s="87">
        <v>2.751392</v>
      </c>
      <c r="X808" s="87">
        <v>5.440198</v>
      </c>
      <c r="Y808" s="87">
        <v>2.814027</v>
      </c>
      <c r="Z808" s="88" t="s">
        <v>1396</v>
      </c>
    </row>
    <row r="809" hidden="1">
      <c r="A809" s="90" t="s">
        <v>2477</v>
      </c>
      <c r="B809" s="90" t="s">
        <v>2507</v>
      </c>
      <c r="C809" s="90" t="s">
        <v>472</v>
      </c>
      <c r="D809" s="90" t="s">
        <v>473</v>
      </c>
      <c r="E809" s="89">
        <v>46300.0</v>
      </c>
      <c r="F809" s="87">
        <v>10.0</v>
      </c>
      <c r="G809" s="87">
        <v>1.0</v>
      </c>
      <c r="H809" s="87">
        <v>7774.0</v>
      </c>
      <c r="I809" s="87">
        <v>46.0</v>
      </c>
      <c r="J809" s="87">
        <v>115.9332</v>
      </c>
      <c r="K809" s="87">
        <v>118.7806</v>
      </c>
      <c r="L809" s="87">
        <v>124.6836</v>
      </c>
      <c r="M809" s="87">
        <v>58.97308</v>
      </c>
      <c r="N809" s="87">
        <v>0.496487</v>
      </c>
      <c r="O809" s="87">
        <v>0.0</v>
      </c>
      <c r="P809" s="87">
        <v>0.0</v>
      </c>
      <c r="Q809" s="87">
        <v>6.152379</v>
      </c>
      <c r="R809" s="87">
        <v>9.032772</v>
      </c>
      <c r="S809" s="87">
        <v>21.879</v>
      </c>
      <c r="T809" s="87">
        <v>6.152379</v>
      </c>
      <c r="U809" s="87">
        <v>7.063365</v>
      </c>
      <c r="V809" s="87">
        <v>9.032772</v>
      </c>
      <c r="W809" s="87">
        <v>15.68003</v>
      </c>
      <c r="X809" s="87">
        <v>21.879</v>
      </c>
      <c r="Y809" s="87">
        <v>13.19785</v>
      </c>
      <c r="Z809" s="88" t="s">
        <v>1396</v>
      </c>
    </row>
    <row r="810" hidden="1">
      <c r="A810" s="90" t="s">
        <v>2479</v>
      </c>
      <c r="B810" s="90" t="s">
        <v>2508</v>
      </c>
      <c r="C810" s="90" t="s">
        <v>472</v>
      </c>
      <c r="D810" s="90" t="s">
        <v>473</v>
      </c>
      <c r="E810" s="90" t="s">
        <v>1403</v>
      </c>
      <c r="F810" s="87">
        <v>8.0</v>
      </c>
      <c r="G810" s="87">
        <v>8.0</v>
      </c>
      <c r="H810" s="87">
        <v>368.0</v>
      </c>
      <c r="I810" s="87">
        <v>368.0</v>
      </c>
      <c r="J810" s="87">
        <v>0.0</v>
      </c>
      <c r="K810" s="87">
        <v>0.0</v>
      </c>
      <c r="L810" s="87">
        <v>0.0</v>
      </c>
      <c r="M810" s="87">
        <v>0.0</v>
      </c>
      <c r="N810" s="91"/>
      <c r="O810" s="87">
        <v>0.0</v>
      </c>
      <c r="P810" s="87">
        <v>0.0</v>
      </c>
      <c r="Q810" s="87">
        <v>0.0</v>
      </c>
      <c r="R810" s="87">
        <v>0.0</v>
      </c>
      <c r="S810" s="87">
        <v>0.0</v>
      </c>
      <c r="T810" s="91"/>
      <c r="U810" s="91"/>
      <c r="V810" s="91"/>
      <c r="W810" s="91"/>
      <c r="X810" s="91"/>
      <c r="Y810" s="87">
        <v>0.0</v>
      </c>
      <c r="Z810" s="88" t="s">
        <v>1396</v>
      </c>
    </row>
    <row r="811" hidden="1">
      <c r="A811" s="90" t="s">
        <v>2466</v>
      </c>
      <c r="B811" s="90" t="s">
        <v>2509</v>
      </c>
      <c r="C811" s="90" t="s">
        <v>472</v>
      </c>
      <c r="D811" s="90" t="s">
        <v>503</v>
      </c>
      <c r="E811" s="90" t="s">
        <v>1426</v>
      </c>
      <c r="F811" s="87">
        <v>0.0</v>
      </c>
      <c r="G811" s="87">
        <v>0.0</v>
      </c>
      <c r="H811" s="87">
        <v>0.0</v>
      </c>
      <c r="I811" s="87">
        <v>0.0</v>
      </c>
      <c r="J811" s="87">
        <v>0.0</v>
      </c>
      <c r="K811" s="87">
        <v>0.5</v>
      </c>
      <c r="L811" s="87">
        <v>1.784314</v>
      </c>
      <c r="M811" s="87">
        <v>0.5</v>
      </c>
      <c r="N811" s="87">
        <v>1.0</v>
      </c>
      <c r="O811" s="87">
        <v>0.0</v>
      </c>
      <c r="P811" s="87">
        <v>0.0</v>
      </c>
      <c r="Q811" s="87">
        <v>0.0</v>
      </c>
      <c r="R811" s="87">
        <v>0.0</v>
      </c>
      <c r="S811" s="87">
        <v>0.0</v>
      </c>
      <c r="T811" s="87">
        <v>0.5</v>
      </c>
      <c r="U811" s="87">
        <v>0.5</v>
      </c>
      <c r="V811" s="87">
        <v>0.5</v>
      </c>
      <c r="W811" s="87">
        <v>0.5</v>
      </c>
      <c r="X811" s="87">
        <v>0.5</v>
      </c>
      <c r="Y811" s="87">
        <v>0.0625</v>
      </c>
      <c r="Z811" s="88" t="s">
        <v>1396</v>
      </c>
    </row>
    <row r="812" hidden="1">
      <c r="A812" s="90" t="s">
        <v>2469</v>
      </c>
      <c r="B812" s="90" t="s">
        <v>2510</v>
      </c>
      <c r="C812" s="90" t="s">
        <v>472</v>
      </c>
      <c r="D812" s="90" t="s">
        <v>503</v>
      </c>
      <c r="E812" s="86">
        <v>46310.0</v>
      </c>
      <c r="F812" s="87">
        <v>26.0</v>
      </c>
      <c r="G812" s="87">
        <v>7.0</v>
      </c>
      <c r="H812" s="87">
        <v>3669.0</v>
      </c>
      <c r="I812" s="87">
        <v>181.0</v>
      </c>
      <c r="J812" s="87">
        <v>35.50905</v>
      </c>
      <c r="K812" s="87">
        <v>34.98111</v>
      </c>
      <c r="L812" s="87">
        <v>33.62972</v>
      </c>
      <c r="M812" s="87">
        <v>26.14048</v>
      </c>
      <c r="N812" s="87">
        <v>0.747274</v>
      </c>
      <c r="O812" s="87">
        <v>0.076923</v>
      </c>
      <c r="P812" s="87">
        <v>0.1</v>
      </c>
      <c r="Q812" s="87">
        <v>0.401886</v>
      </c>
      <c r="R812" s="87">
        <v>0.667964</v>
      </c>
      <c r="S812" s="87">
        <v>4.698077</v>
      </c>
      <c r="T812" s="87">
        <v>0.076923</v>
      </c>
      <c r="U812" s="87">
        <v>0.1</v>
      </c>
      <c r="V812" s="87">
        <v>0.401886</v>
      </c>
      <c r="W812" s="87">
        <v>0.667964</v>
      </c>
      <c r="X812" s="87">
        <v>4.698077</v>
      </c>
      <c r="Y812" s="87">
        <v>3.88679</v>
      </c>
      <c r="Z812" s="88" t="s">
        <v>1396</v>
      </c>
    </row>
    <row r="813" hidden="1">
      <c r="A813" s="90" t="s">
        <v>2471</v>
      </c>
      <c r="B813" s="90" t="s">
        <v>2511</v>
      </c>
      <c r="C813" s="90" t="s">
        <v>472</v>
      </c>
      <c r="D813" s="90" t="s">
        <v>503</v>
      </c>
      <c r="E813" s="90" t="s">
        <v>1413</v>
      </c>
      <c r="F813" s="87">
        <v>39.0</v>
      </c>
      <c r="G813" s="87">
        <v>5.0</v>
      </c>
      <c r="H813" s="87">
        <v>8150.0</v>
      </c>
      <c r="I813" s="87">
        <v>175.0</v>
      </c>
      <c r="J813" s="87">
        <v>46.37221</v>
      </c>
      <c r="K813" s="87">
        <v>48.89912</v>
      </c>
      <c r="L813" s="87">
        <v>49.49559</v>
      </c>
      <c r="M813" s="87">
        <v>26.23994</v>
      </c>
      <c r="N813" s="87">
        <v>0.536614</v>
      </c>
      <c r="O813" s="87">
        <v>1.098999</v>
      </c>
      <c r="P813" s="87">
        <v>1.209736</v>
      </c>
      <c r="Q813" s="87">
        <v>3.162863</v>
      </c>
      <c r="R813" s="87">
        <v>4.108146</v>
      </c>
      <c r="S813" s="87">
        <v>5.018097</v>
      </c>
      <c r="T813" s="87">
        <v>1.209736</v>
      </c>
      <c r="U813" s="87">
        <v>3.162863</v>
      </c>
      <c r="V813" s="87">
        <v>3.764029</v>
      </c>
      <c r="W813" s="87">
        <v>4.297305</v>
      </c>
      <c r="X813" s="87">
        <v>5.341627</v>
      </c>
      <c r="Y813" s="87">
        <v>4.445374</v>
      </c>
      <c r="Z813" s="88" t="s">
        <v>1396</v>
      </c>
    </row>
    <row r="814" hidden="1">
      <c r="A814" s="90" t="s">
        <v>2473</v>
      </c>
      <c r="B814" s="90" t="s">
        <v>2512</v>
      </c>
      <c r="C814" s="90" t="s">
        <v>472</v>
      </c>
      <c r="D814" s="90" t="s">
        <v>503</v>
      </c>
      <c r="E814" s="90" t="s">
        <v>1398</v>
      </c>
      <c r="F814" s="87">
        <v>40.0</v>
      </c>
      <c r="G814" s="87">
        <v>6.0</v>
      </c>
      <c r="H814" s="87">
        <v>8681.0</v>
      </c>
      <c r="I814" s="87">
        <v>191.0</v>
      </c>
      <c r="J814" s="87">
        <v>56.56566</v>
      </c>
      <c r="K814" s="87">
        <v>55.24059</v>
      </c>
      <c r="L814" s="87">
        <v>53.24577</v>
      </c>
      <c r="M814" s="87">
        <v>27.6241</v>
      </c>
      <c r="N814" s="87">
        <v>0.500069</v>
      </c>
      <c r="O814" s="87">
        <v>0.0</v>
      </c>
      <c r="P814" s="87">
        <v>0.642029</v>
      </c>
      <c r="Q814" s="87">
        <v>0.832258</v>
      </c>
      <c r="R814" s="87">
        <v>2.527196</v>
      </c>
      <c r="S814" s="87">
        <v>4.214525</v>
      </c>
      <c r="T814" s="87">
        <v>0.642029</v>
      </c>
      <c r="U814" s="87">
        <v>0.832258</v>
      </c>
      <c r="V814" s="87">
        <v>1.0</v>
      </c>
      <c r="W814" s="87">
        <v>2.649795</v>
      </c>
      <c r="X814" s="87">
        <v>4.214525</v>
      </c>
      <c r="Y814" s="87">
        <v>2.76203</v>
      </c>
      <c r="Z814" s="88" t="s">
        <v>1396</v>
      </c>
    </row>
    <row r="815" hidden="1">
      <c r="A815" s="90" t="s">
        <v>2475</v>
      </c>
      <c r="B815" s="90" t="s">
        <v>2513</v>
      </c>
      <c r="C815" s="90" t="s">
        <v>472</v>
      </c>
      <c r="D815" s="90" t="s">
        <v>503</v>
      </c>
      <c r="E815" s="90" t="s">
        <v>1400</v>
      </c>
      <c r="F815" s="87">
        <v>134.0</v>
      </c>
      <c r="G815" s="87">
        <v>12.0</v>
      </c>
      <c r="H815" s="87">
        <v>19737.0</v>
      </c>
      <c r="I815" s="87">
        <v>258.0</v>
      </c>
      <c r="J815" s="87">
        <v>107.6162</v>
      </c>
      <c r="K815" s="87">
        <v>111.725</v>
      </c>
      <c r="L815" s="87">
        <v>111.4655</v>
      </c>
      <c r="M815" s="87">
        <v>68.31159</v>
      </c>
      <c r="N815" s="87">
        <v>0.611426</v>
      </c>
      <c r="O815" s="87">
        <v>0.0</v>
      </c>
      <c r="P815" s="87">
        <v>0.4</v>
      </c>
      <c r="Q815" s="87">
        <v>0.595699</v>
      </c>
      <c r="R815" s="87">
        <v>1.208466</v>
      </c>
      <c r="S815" s="87">
        <v>3.741808</v>
      </c>
      <c r="T815" s="87">
        <v>0.4</v>
      </c>
      <c r="U815" s="87">
        <v>0.595699</v>
      </c>
      <c r="V815" s="87">
        <v>0.833333</v>
      </c>
      <c r="W815" s="87">
        <v>1.693623</v>
      </c>
      <c r="X815" s="87">
        <v>3.784929</v>
      </c>
      <c r="Y815" s="87">
        <v>2.793125</v>
      </c>
      <c r="Z815" s="88" t="s">
        <v>1396</v>
      </c>
    </row>
    <row r="816" hidden="1">
      <c r="A816" s="90" t="s">
        <v>2477</v>
      </c>
      <c r="B816" s="90" t="s">
        <v>2514</v>
      </c>
      <c r="C816" s="90" t="s">
        <v>472</v>
      </c>
      <c r="D816" s="90" t="s">
        <v>503</v>
      </c>
      <c r="E816" s="89">
        <v>46300.0</v>
      </c>
      <c r="F816" s="87">
        <v>11.0</v>
      </c>
      <c r="G816" s="87">
        <v>7.0</v>
      </c>
      <c r="H816" s="87">
        <v>329.0</v>
      </c>
      <c r="I816" s="87">
        <v>101.0</v>
      </c>
      <c r="J816" s="87">
        <v>0.0</v>
      </c>
      <c r="K816" s="87">
        <v>0.125</v>
      </c>
      <c r="L816" s="87">
        <v>5.725568</v>
      </c>
      <c r="M816" s="87">
        <v>0.125</v>
      </c>
      <c r="N816" s="87">
        <v>1.0</v>
      </c>
      <c r="O816" s="87">
        <v>0.0</v>
      </c>
      <c r="P816" s="87">
        <v>0.0</v>
      </c>
      <c r="Q816" s="87">
        <v>0.0</v>
      </c>
      <c r="R816" s="87">
        <v>0.0</v>
      </c>
      <c r="S816" s="87">
        <v>0.0</v>
      </c>
      <c r="T816" s="87">
        <v>0.125</v>
      </c>
      <c r="U816" s="87">
        <v>0.125</v>
      </c>
      <c r="V816" s="87">
        <v>0.125</v>
      </c>
      <c r="W816" s="87">
        <v>0.125</v>
      </c>
      <c r="X816" s="87">
        <v>0.125</v>
      </c>
      <c r="Y816" s="87">
        <v>0.020833</v>
      </c>
      <c r="Z816" s="88" t="s">
        <v>1396</v>
      </c>
    </row>
    <row r="817" hidden="1">
      <c r="A817" s="90" t="s">
        <v>2479</v>
      </c>
      <c r="B817" s="90" t="s">
        <v>2515</v>
      </c>
      <c r="C817" s="90" t="s">
        <v>472</v>
      </c>
      <c r="D817" s="90" t="s">
        <v>503</v>
      </c>
      <c r="E817" s="90" t="s">
        <v>1403</v>
      </c>
      <c r="F817" s="87">
        <v>58.0</v>
      </c>
      <c r="G817" s="87">
        <v>58.0</v>
      </c>
      <c r="H817" s="87">
        <v>5039.0</v>
      </c>
      <c r="I817" s="87">
        <v>5039.0</v>
      </c>
      <c r="J817" s="87">
        <v>0.0</v>
      </c>
      <c r="K817" s="87">
        <v>0.0</v>
      </c>
      <c r="L817" s="87">
        <v>0.0</v>
      </c>
      <c r="M817" s="87">
        <v>0.0</v>
      </c>
      <c r="N817" s="91"/>
      <c r="O817" s="87">
        <v>0.0</v>
      </c>
      <c r="P817" s="87">
        <v>0.0</v>
      </c>
      <c r="Q817" s="87">
        <v>0.0</v>
      </c>
      <c r="R817" s="87">
        <v>0.0</v>
      </c>
      <c r="S817" s="87">
        <v>0.0</v>
      </c>
      <c r="T817" s="91"/>
      <c r="U817" s="91"/>
      <c r="V817" s="91"/>
      <c r="W817" s="91"/>
      <c r="X817" s="91"/>
      <c r="Y817" s="87">
        <v>0.0</v>
      </c>
      <c r="Z817" s="88" t="s">
        <v>1396</v>
      </c>
    </row>
    <row r="818" hidden="1">
      <c r="A818" s="90" t="s">
        <v>2466</v>
      </c>
      <c r="B818" s="90" t="s">
        <v>2516</v>
      </c>
      <c r="C818" s="90" t="s">
        <v>472</v>
      </c>
      <c r="D818" s="90" t="s">
        <v>2517</v>
      </c>
      <c r="E818" s="90" t="s">
        <v>1426</v>
      </c>
      <c r="F818" s="87">
        <v>1.0</v>
      </c>
      <c r="G818" s="87">
        <v>0.0</v>
      </c>
      <c r="H818" s="87">
        <v>1.0</v>
      </c>
      <c r="I818" s="87">
        <v>0.0</v>
      </c>
      <c r="J818" s="87">
        <v>0.0</v>
      </c>
      <c r="K818" s="87">
        <v>1.0</v>
      </c>
      <c r="L818" s="87">
        <v>4.0</v>
      </c>
      <c r="M818" s="87">
        <v>1.0</v>
      </c>
      <c r="N818" s="87">
        <v>1.0</v>
      </c>
      <c r="O818" s="87">
        <v>1.0</v>
      </c>
      <c r="P818" s="87">
        <v>1.0</v>
      </c>
      <c r="Q818" s="87">
        <v>1.0</v>
      </c>
      <c r="R818" s="87">
        <v>1.0</v>
      </c>
      <c r="S818" s="87">
        <v>1.0</v>
      </c>
      <c r="T818" s="87">
        <v>1.0</v>
      </c>
      <c r="U818" s="87">
        <v>1.0</v>
      </c>
      <c r="V818" s="87">
        <v>1.0</v>
      </c>
      <c r="W818" s="87">
        <v>1.0</v>
      </c>
      <c r="X818" s="87">
        <v>1.0</v>
      </c>
      <c r="Y818" s="87">
        <v>1.0</v>
      </c>
      <c r="Z818" s="88" t="s">
        <v>1396</v>
      </c>
    </row>
    <row r="819" hidden="1">
      <c r="A819" s="90" t="s">
        <v>2469</v>
      </c>
      <c r="B819" s="90" t="s">
        <v>2518</v>
      </c>
      <c r="C819" s="90" t="s">
        <v>472</v>
      </c>
      <c r="D819" s="90" t="s">
        <v>2517</v>
      </c>
      <c r="E819" s="86">
        <v>46310.0</v>
      </c>
      <c r="F819" s="87">
        <v>9.0</v>
      </c>
      <c r="G819" s="87">
        <v>1.0</v>
      </c>
      <c r="H819" s="87">
        <v>4607.0</v>
      </c>
      <c r="I819" s="87">
        <v>9.0</v>
      </c>
      <c r="J819" s="87">
        <v>43.42767</v>
      </c>
      <c r="K819" s="87">
        <v>45.85602</v>
      </c>
      <c r="L819" s="87">
        <v>45.38219</v>
      </c>
      <c r="M819" s="87">
        <v>32.03164</v>
      </c>
      <c r="N819" s="87">
        <v>0.698527</v>
      </c>
      <c r="O819" s="87">
        <v>0.083333</v>
      </c>
      <c r="P819" s="87">
        <v>3.820686</v>
      </c>
      <c r="Q819" s="87">
        <v>3.820686</v>
      </c>
      <c r="R819" s="87">
        <v>5.921419</v>
      </c>
      <c r="S819" s="87">
        <v>9.687181</v>
      </c>
      <c r="T819" s="87">
        <v>0.083333</v>
      </c>
      <c r="U819" s="87">
        <v>3.820686</v>
      </c>
      <c r="V819" s="87">
        <v>3.820686</v>
      </c>
      <c r="W819" s="87">
        <v>5.921419</v>
      </c>
      <c r="X819" s="87">
        <v>9.687181</v>
      </c>
      <c r="Y819" s="87">
        <v>7.642669</v>
      </c>
      <c r="Z819" s="88" t="s">
        <v>1396</v>
      </c>
    </row>
    <row r="820" hidden="1">
      <c r="A820" s="90" t="s">
        <v>2471</v>
      </c>
      <c r="B820" s="90" t="s">
        <v>2519</v>
      </c>
      <c r="C820" s="90" t="s">
        <v>472</v>
      </c>
      <c r="D820" s="90" t="s">
        <v>2517</v>
      </c>
      <c r="E820" s="90" t="s">
        <v>1413</v>
      </c>
      <c r="F820" s="87">
        <v>9.0</v>
      </c>
      <c r="G820" s="87">
        <v>2.0</v>
      </c>
      <c r="H820" s="87">
        <v>3467.0</v>
      </c>
      <c r="I820" s="87">
        <v>21.0</v>
      </c>
      <c r="J820" s="87">
        <v>23.14378</v>
      </c>
      <c r="K820" s="87">
        <v>27.73536</v>
      </c>
      <c r="L820" s="87">
        <v>33.39814</v>
      </c>
      <c r="M820" s="87">
        <v>9.708144</v>
      </c>
      <c r="N820" s="87">
        <v>0.350028</v>
      </c>
      <c r="O820" s="87">
        <v>0.773074</v>
      </c>
      <c r="P820" s="87">
        <v>2.325433</v>
      </c>
      <c r="Q820" s="87">
        <v>2.325433</v>
      </c>
      <c r="R820" s="87">
        <v>5.423525</v>
      </c>
      <c r="S820" s="87">
        <v>9.505187</v>
      </c>
      <c r="T820" s="87">
        <v>0.773074</v>
      </c>
      <c r="U820" s="87">
        <v>2.325433</v>
      </c>
      <c r="V820" s="87">
        <v>2.325433</v>
      </c>
      <c r="W820" s="87">
        <v>5.423525</v>
      </c>
      <c r="X820" s="87">
        <v>9.505187</v>
      </c>
      <c r="Y820" s="87">
        <v>5.547072</v>
      </c>
      <c r="Z820" s="88" t="s">
        <v>1396</v>
      </c>
    </row>
    <row r="821" hidden="1">
      <c r="A821" s="90" t="s">
        <v>2473</v>
      </c>
      <c r="B821" s="90" t="s">
        <v>2520</v>
      </c>
      <c r="C821" s="90" t="s">
        <v>472</v>
      </c>
      <c r="D821" s="90" t="s">
        <v>2517</v>
      </c>
      <c r="E821" s="90" t="s">
        <v>1398</v>
      </c>
      <c r="F821" s="87">
        <v>14.0</v>
      </c>
      <c r="G821" s="87">
        <v>0.0</v>
      </c>
      <c r="H821" s="87">
        <v>5463.0</v>
      </c>
      <c r="I821" s="87">
        <v>0.0</v>
      </c>
      <c r="J821" s="87">
        <v>58.5229</v>
      </c>
      <c r="K821" s="87">
        <v>55.10875</v>
      </c>
      <c r="L821" s="87">
        <v>53.11294</v>
      </c>
      <c r="M821" s="87">
        <v>26.47881</v>
      </c>
      <c r="N821" s="87">
        <v>0.480483</v>
      </c>
      <c r="O821" s="87">
        <v>0.365591</v>
      </c>
      <c r="P821" s="87">
        <v>1.122821</v>
      </c>
      <c r="Q821" s="87">
        <v>1.69304</v>
      </c>
      <c r="R821" s="87">
        <v>5.083909</v>
      </c>
      <c r="S821" s="87">
        <v>11.71539</v>
      </c>
      <c r="T821" s="87">
        <v>0.365591</v>
      </c>
      <c r="U821" s="87">
        <v>1.122821</v>
      </c>
      <c r="V821" s="87">
        <v>1.69304</v>
      </c>
      <c r="W821" s="87">
        <v>5.083909</v>
      </c>
      <c r="X821" s="87">
        <v>11.71539</v>
      </c>
      <c r="Y821" s="87">
        <v>6.123194</v>
      </c>
      <c r="Z821" s="88" t="s">
        <v>1396</v>
      </c>
    </row>
    <row r="822" hidden="1">
      <c r="A822" s="90" t="s">
        <v>2475</v>
      </c>
      <c r="B822" s="90" t="s">
        <v>2521</v>
      </c>
      <c r="C822" s="90" t="s">
        <v>472</v>
      </c>
      <c r="D822" s="90" t="s">
        <v>2517</v>
      </c>
      <c r="E822" s="90" t="s">
        <v>1400</v>
      </c>
      <c r="F822" s="87">
        <v>5.0</v>
      </c>
      <c r="G822" s="87">
        <v>0.0</v>
      </c>
      <c r="H822" s="87">
        <v>1165.0</v>
      </c>
      <c r="I822" s="87">
        <v>0.0</v>
      </c>
      <c r="J822" s="87">
        <v>13.90839</v>
      </c>
      <c r="K822" s="87">
        <v>13.29097</v>
      </c>
      <c r="L822" s="87">
        <v>10.59394</v>
      </c>
      <c r="M822" s="87">
        <v>7.750365</v>
      </c>
      <c r="N822" s="87">
        <v>0.58313</v>
      </c>
      <c r="O822" s="87">
        <v>2.540604</v>
      </c>
      <c r="P822" s="87">
        <v>2.540604</v>
      </c>
      <c r="Q822" s="87">
        <v>2.540604</v>
      </c>
      <c r="R822" s="87">
        <v>3.0</v>
      </c>
      <c r="S822" s="87">
        <v>7.750365</v>
      </c>
      <c r="T822" s="87">
        <v>2.540604</v>
      </c>
      <c r="U822" s="87">
        <v>2.540604</v>
      </c>
      <c r="V822" s="87">
        <v>2.540604</v>
      </c>
      <c r="W822" s="87">
        <v>3.0</v>
      </c>
      <c r="X822" s="87">
        <v>7.750365</v>
      </c>
      <c r="Y822" s="87">
        <v>4.430323</v>
      </c>
      <c r="Z822" s="88" t="s">
        <v>1396</v>
      </c>
    </row>
    <row r="823" hidden="1">
      <c r="A823" s="90" t="s">
        <v>2477</v>
      </c>
      <c r="B823" s="90" t="s">
        <v>2522</v>
      </c>
      <c r="C823" s="90" t="s">
        <v>472</v>
      </c>
      <c r="D823" s="90" t="s">
        <v>2517</v>
      </c>
      <c r="E823" s="89">
        <v>46300.0</v>
      </c>
      <c r="F823" s="87">
        <v>8.0</v>
      </c>
      <c r="G823" s="87">
        <v>0.0</v>
      </c>
      <c r="H823" s="87">
        <v>13166.0</v>
      </c>
      <c r="I823" s="87">
        <v>0.0</v>
      </c>
      <c r="J823" s="87">
        <v>136.6665</v>
      </c>
      <c r="K823" s="87">
        <v>150.9682</v>
      </c>
      <c r="L823" s="87">
        <v>178.0139</v>
      </c>
      <c r="M823" s="87">
        <v>110.0398</v>
      </c>
      <c r="N823" s="87">
        <v>0.728893</v>
      </c>
      <c r="O823" s="87">
        <v>0.0</v>
      </c>
      <c r="P823" s="87">
        <v>0.0</v>
      </c>
      <c r="Q823" s="87">
        <v>0.0</v>
      </c>
      <c r="R823" s="87">
        <v>5.813484</v>
      </c>
      <c r="S823" s="87">
        <v>20.67872</v>
      </c>
      <c r="T823" s="87">
        <v>1.0</v>
      </c>
      <c r="U823" s="87">
        <v>5.813484</v>
      </c>
      <c r="V823" s="87">
        <v>5.813484</v>
      </c>
      <c r="W823" s="87">
        <v>20.67872</v>
      </c>
      <c r="X823" s="87">
        <v>27.91437</v>
      </c>
      <c r="Y823" s="87">
        <v>16.77425</v>
      </c>
      <c r="Z823" s="88" t="s">
        <v>1396</v>
      </c>
    </row>
    <row r="824" hidden="1">
      <c r="A824" s="90" t="s">
        <v>2479</v>
      </c>
      <c r="B824" s="90" t="s">
        <v>2523</v>
      </c>
      <c r="C824" s="90" t="s">
        <v>472</v>
      </c>
      <c r="D824" s="90" t="s">
        <v>2517</v>
      </c>
      <c r="E824" s="90" t="s">
        <v>1403</v>
      </c>
      <c r="F824" s="87">
        <v>3.0</v>
      </c>
      <c r="G824" s="87">
        <v>3.0</v>
      </c>
      <c r="H824" s="87">
        <v>68.0</v>
      </c>
      <c r="I824" s="87">
        <v>68.0</v>
      </c>
      <c r="J824" s="87">
        <v>0.0</v>
      </c>
      <c r="K824" s="87">
        <v>0.0</v>
      </c>
      <c r="L824" s="87">
        <v>0.0</v>
      </c>
      <c r="M824" s="87">
        <v>0.0</v>
      </c>
      <c r="N824" s="91"/>
      <c r="O824" s="87">
        <v>0.0</v>
      </c>
      <c r="P824" s="87">
        <v>0.0</v>
      </c>
      <c r="Q824" s="87">
        <v>0.0</v>
      </c>
      <c r="R824" s="87">
        <v>0.0</v>
      </c>
      <c r="S824" s="87">
        <v>0.0</v>
      </c>
      <c r="T824" s="91"/>
      <c r="U824" s="91"/>
      <c r="V824" s="91"/>
      <c r="W824" s="91"/>
      <c r="X824" s="91"/>
      <c r="Y824" s="87">
        <v>0.0</v>
      </c>
      <c r="Z824" s="88" t="s">
        <v>1396</v>
      </c>
    </row>
    <row r="825" hidden="1">
      <c r="A825" s="90" t="s">
        <v>2466</v>
      </c>
      <c r="B825" s="90" t="s">
        <v>2524</v>
      </c>
      <c r="C825" s="90" t="s">
        <v>472</v>
      </c>
      <c r="D825" s="90" t="s">
        <v>477</v>
      </c>
      <c r="E825" s="90" t="s">
        <v>1426</v>
      </c>
      <c r="F825" s="87">
        <v>3.0</v>
      </c>
      <c r="G825" s="87">
        <v>0.0</v>
      </c>
      <c r="H825" s="87">
        <v>2104.0</v>
      </c>
      <c r="I825" s="87">
        <v>0.0</v>
      </c>
      <c r="J825" s="87">
        <v>34.92504</v>
      </c>
      <c r="K825" s="87">
        <v>34.24504</v>
      </c>
      <c r="L825" s="87">
        <v>32.9071</v>
      </c>
      <c r="M825" s="87">
        <v>34.18622</v>
      </c>
      <c r="N825" s="87">
        <v>0.998282</v>
      </c>
      <c r="O825" s="87">
        <v>0.0</v>
      </c>
      <c r="P825" s="87">
        <v>0.0</v>
      </c>
      <c r="Q825" s="87">
        <v>0.0</v>
      </c>
      <c r="R825" s="87">
        <v>0.058824</v>
      </c>
      <c r="S825" s="87">
        <v>0.058824</v>
      </c>
      <c r="T825" s="87">
        <v>0.058824</v>
      </c>
      <c r="U825" s="87">
        <v>0.058824</v>
      </c>
      <c r="V825" s="87">
        <v>0.058824</v>
      </c>
      <c r="W825" s="87">
        <v>34.18622</v>
      </c>
      <c r="X825" s="87">
        <v>34.18622</v>
      </c>
      <c r="Y825" s="87">
        <v>8.561261</v>
      </c>
      <c r="Z825" s="88" t="s">
        <v>1396</v>
      </c>
    </row>
    <row r="826" hidden="1">
      <c r="A826" s="90" t="s">
        <v>2469</v>
      </c>
      <c r="B826" s="90" t="s">
        <v>2525</v>
      </c>
      <c r="C826" s="90" t="s">
        <v>472</v>
      </c>
      <c r="D826" s="90" t="s">
        <v>477</v>
      </c>
      <c r="E826" s="86">
        <v>46310.0</v>
      </c>
      <c r="F826" s="87">
        <v>11.0</v>
      </c>
      <c r="G826" s="87">
        <v>3.0</v>
      </c>
      <c r="H826" s="87">
        <v>12683.0</v>
      </c>
      <c r="I826" s="87">
        <v>138.0</v>
      </c>
      <c r="J826" s="87">
        <v>152.9694</v>
      </c>
      <c r="K826" s="87">
        <v>149.47</v>
      </c>
      <c r="L826" s="87">
        <v>153.7285</v>
      </c>
      <c r="M826" s="87">
        <v>107.4401</v>
      </c>
      <c r="N826" s="87">
        <v>0.718807</v>
      </c>
      <c r="O826" s="87">
        <v>0.0</v>
      </c>
      <c r="P826" s="87">
        <v>0.0</v>
      </c>
      <c r="Q826" s="87">
        <v>6.181647</v>
      </c>
      <c r="R826" s="87">
        <v>17.21612</v>
      </c>
      <c r="S826" s="87">
        <v>18.63217</v>
      </c>
      <c r="T826" s="87">
        <v>6.181647</v>
      </c>
      <c r="U826" s="87">
        <v>17.21612</v>
      </c>
      <c r="V826" s="87">
        <v>17.21612</v>
      </c>
      <c r="W826" s="87">
        <v>18.63217</v>
      </c>
      <c r="X826" s="87">
        <v>25.41763</v>
      </c>
      <c r="Y826" s="87">
        <v>21.35286</v>
      </c>
      <c r="Z826" s="88" t="s">
        <v>1396</v>
      </c>
    </row>
    <row r="827" hidden="1">
      <c r="A827" s="90" t="s">
        <v>2471</v>
      </c>
      <c r="B827" s="90" t="s">
        <v>2526</v>
      </c>
      <c r="C827" s="90" t="s">
        <v>472</v>
      </c>
      <c r="D827" s="90" t="s">
        <v>477</v>
      </c>
      <c r="E827" s="90" t="s">
        <v>1413</v>
      </c>
      <c r="F827" s="87">
        <v>16.0</v>
      </c>
      <c r="G827" s="87">
        <v>1.0</v>
      </c>
      <c r="H827" s="87">
        <v>4787.0</v>
      </c>
      <c r="I827" s="87">
        <v>2.0</v>
      </c>
      <c r="J827" s="87">
        <v>67.03091</v>
      </c>
      <c r="K827" s="87">
        <v>64.24169</v>
      </c>
      <c r="L827" s="87">
        <v>65.70829</v>
      </c>
      <c r="M827" s="87">
        <v>25.76856</v>
      </c>
      <c r="N827" s="87">
        <v>0.401119</v>
      </c>
      <c r="O827" s="87">
        <v>0.0</v>
      </c>
      <c r="P827" s="87">
        <v>9.209952</v>
      </c>
      <c r="Q827" s="87">
        <v>9.209952</v>
      </c>
      <c r="R827" s="87">
        <v>12.17979</v>
      </c>
      <c r="S827" s="87">
        <v>17.08339</v>
      </c>
      <c r="T827" s="87">
        <v>9.209952</v>
      </c>
      <c r="U827" s="87">
        <v>9.209952</v>
      </c>
      <c r="V827" s="87">
        <v>12.17979</v>
      </c>
      <c r="W827" s="87">
        <v>17.08339</v>
      </c>
      <c r="X827" s="87">
        <v>17.08339</v>
      </c>
      <c r="Y827" s="87">
        <v>12.84834</v>
      </c>
      <c r="Z827" s="88" t="s">
        <v>1396</v>
      </c>
    </row>
    <row r="828" hidden="1">
      <c r="A828" s="90" t="s">
        <v>2473</v>
      </c>
      <c r="B828" s="90" t="s">
        <v>2527</v>
      </c>
      <c r="C828" s="90" t="s">
        <v>472</v>
      </c>
      <c r="D828" s="90" t="s">
        <v>477</v>
      </c>
      <c r="E828" s="90" t="s">
        <v>1398</v>
      </c>
      <c r="F828" s="87">
        <v>25.0</v>
      </c>
      <c r="G828" s="87">
        <v>4.0</v>
      </c>
      <c r="H828" s="87">
        <v>11365.0</v>
      </c>
      <c r="I828" s="87">
        <v>94.0</v>
      </c>
      <c r="J828" s="87">
        <v>67.06423</v>
      </c>
      <c r="K828" s="87">
        <v>75.64872</v>
      </c>
      <c r="L828" s="87">
        <v>72.78267</v>
      </c>
      <c r="M828" s="87">
        <v>43.93077</v>
      </c>
      <c r="N828" s="87">
        <v>0.580721</v>
      </c>
      <c r="O828" s="87">
        <v>0.463441</v>
      </c>
      <c r="P828" s="87">
        <v>1.124731</v>
      </c>
      <c r="Q828" s="87">
        <v>3.611588</v>
      </c>
      <c r="R828" s="87">
        <v>4.06492</v>
      </c>
      <c r="S828" s="87">
        <v>13.25682</v>
      </c>
      <c r="T828" s="87">
        <v>0.463441</v>
      </c>
      <c r="U828" s="87">
        <v>1.124731</v>
      </c>
      <c r="V828" s="87">
        <v>3.611588</v>
      </c>
      <c r="W828" s="87">
        <v>4.06492</v>
      </c>
      <c r="X828" s="87">
        <v>13.25682</v>
      </c>
      <c r="Y828" s="87">
        <v>7.564872</v>
      </c>
      <c r="Z828" s="88" t="s">
        <v>1396</v>
      </c>
    </row>
    <row r="829" hidden="1">
      <c r="A829" s="90" t="s">
        <v>2475</v>
      </c>
      <c r="B829" s="90" t="s">
        <v>2528</v>
      </c>
      <c r="C829" s="90" t="s">
        <v>472</v>
      </c>
      <c r="D829" s="90" t="s">
        <v>477</v>
      </c>
      <c r="E829" s="90" t="s">
        <v>1400</v>
      </c>
      <c r="F829" s="87">
        <v>78.0</v>
      </c>
      <c r="G829" s="87">
        <v>1.0</v>
      </c>
      <c r="H829" s="87">
        <v>29609.0</v>
      </c>
      <c r="I829" s="87">
        <v>6.0</v>
      </c>
      <c r="J829" s="87">
        <v>172.511</v>
      </c>
      <c r="K829" s="87">
        <v>175.5539</v>
      </c>
      <c r="L829" s="87">
        <v>167.9381</v>
      </c>
      <c r="M829" s="87">
        <v>90.37507</v>
      </c>
      <c r="N829" s="87">
        <v>0.5148</v>
      </c>
      <c r="O829" s="87">
        <v>0.7</v>
      </c>
      <c r="P829" s="87">
        <v>1.267168</v>
      </c>
      <c r="Q829" s="87">
        <v>2.037111</v>
      </c>
      <c r="R829" s="87">
        <v>2.598137</v>
      </c>
      <c r="S829" s="87">
        <v>3.894741</v>
      </c>
      <c r="T829" s="87">
        <v>0.7</v>
      </c>
      <c r="U829" s="87">
        <v>1.267168</v>
      </c>
      <c r="V829" s="87">
        <v>2.037111</v>
      </c>
      <c r="W829" s="87">
        <v>2.598137</v>
      </c>
      <c r="X829" s="87">
        <v>3.894741</v>
      </c>
      <c r="Y829" s="87">
        <v>3.98986</v>
      </c>
      <c r="Z829" s="88" t="s">
        <v>1396</v>
      </c>
    </row>
    <row r="830" hidden="1">
      <c r="A830" s="90" t="s">
        <v>2477</v>
      </c>
      <c r="B830" s="90" t="s">
        <v>2529</v>
      </c>
      <c r="C830" s="90" t="s">
        <v>472</v>
      </c>
      <c r="D830" s="90" t="s">
        <v>477</v>
      </c>
      <c r="E830" s="86">
        <v>46300.0</v>
      </c>
      <c r="F830" s="87">
        <v>12.0</v>
      </c>
      <c r="G830" s="87">
        <v>2.0</v>
      </c>
      <c r="H830" s="87">
        <v>5519.0</v>
      </c>
      <c r="I830" s="87">
        <v>24.0</v>
      </c>
      <c r="J830" s="87">
        <v>60.93483</v>
      </c>
      <c r="K830" s="87">
        <v>59.1202</v>
      </c>
      <c r="L830" s="87">
        <v>60.91102</v>
      </c>
      <c r="M830" s="87">
        <v>38.74249</v>
      </c>
      <c r="N830" s="87">
        <v>0.655317</v>
      </c>
      <c r="O830" s="87">
        <v>0.0</v>
      </c>
      <c r="P830" s="87">
        <v>0.0</v>
      </c>
      <c r="Q830" s="87">
        <v>0.0</v>
      </c>
      <c r="R830" s="87">
        <v>7.812115</v>
      </c>
      <c r="S830" s="87">
        <v>10.81209</v>
      </c>
      <c r="T830" s="87">
        <v>1.753514</v>
      </c>
      <c r="U830" s="87">
        <v>7.812115</v>
      </c>
      <c r="V830" s="87">
        <v>7.812115</v>
      </c>
      <c r="W830" s="87">
        <v>10.81209</v>
      </c>
      <c r="X830" s="87">
        <v>13.34916</v>
      </c>
      <c r="Y830" s="87">
        <v>7.390025</v>
      </c>
      <c r="Z830" s="88" t="s">
        <v>1396</v>
      </c>
    </row>
    <row r="831" hidden="1">
      <c r="A831" s="90" t="s">
        <v>2479</v>
      </c>
      <c r="B831" s="90" t="s">
        <v>2530</v>
      </c>
      <c r="C831" s="90" t="s">
        <v>472</v>
      </c>
      <c r="D831" s="90" t="s">
        <v>477</v>
      </c>
      <c r="E831" s="90" t="s">
        <v>1403</v>
      </c>
      <c r="F831" s="87">
        <v>11.0</v>
      </c>
      <c r="G831" s="87">
        <v>11.0</v>
      </c>
      <c r="H831" s="87">
        <v>498.0</v>
      </c>
      <c r="I831" s="87">
        <v>498.0</v>
      </c>
      <c r="J831" s="87">
        <v>0.0</v>
      </c>
      <c r="K831" s="87">
        <v>0.0</v>
      </c>
      <c r="L831" s="87">
        <v>0.0</v>
      </c>
      <c r="M831" s="87">
        <v>0.0</v>
      </c>
      <c r="N831" s="91"/>
      <c r="O831" s="87">
        <v>0.0</v>
      </c>
      <c r="P831" s="87">
        <v>0.0</v>
      </c>
      <c r="Q831" s="87">
        <v>0.0</v>
      </c>
      <c r="R831" s="87">
        <v>0.0</v>
      </c>
      <c r="S831" s="87">
        <v>0.0</v>
      </c>
      <c r="T831" s="91"/>
      <c r="U831" s="91"/>
      <c r="V831" s="91"/>
      <c r="W831" s="91"/>
      <c r="X831" s="91"/>
      <c r="Y831" s="87">
        <v>0.0</v>
      </c>
      <c r="Z831" s="88" t="s">
        <v>1396</v>
      </c>
    </row>
    <row r="832" hidden="1">
      <c r="A832" s="90" t="s">
        <v>2469</v>
      </c>
      <c r="B832" s="90" t="s">
        <v>2531</v>
      </c>
      <c r="C832" s="90" t="s">
        <v>472</v>
      </c>
      <c r="D832" s="90" t="s">
        <v>487</v>
      </c>
      <c r="E832" s="86">
        <v>46310.0</v>
      </c>
      <c r="F832" s="87">
        <v>5.0</v>
      </c>
      <c r="G832" s="87">
        <v>1.0</v>
      </c>
      <c r="H832" s="87">
        <v>4797.0</v>
      </c>
      <c r="I832" s="87">
        <v>8.0</v>
      </c>
      <c r="J832" s="87">
        <v>48.92836</v>
      </c>
      <c r="K832" s="87">
        <v>43.66553</v>
      </c>
      <c r="L832" s="87">
        <v>43.81645</v>
      </c>
      <c r="M832" s="87">
        <v>20.25827</v>
      </c>
      <c r="N832" s="87">
        <v>0.463942</v>
      </c>
      <c r="O832" s="87">
        <v>0.652991</v>
      </c>
      <c r="P832" s="87">
        <v>0.652991</v>
      </c>
      <c r="Q832" s="87">
        <v>7.600953</v>
      </c>
      <c r="R832" s="87">
        <v>15.15331</v>
      </c>
      <c r="S832" s="87">
        <v>15.15331</v>
      </c>
      <c r="T832" s="87">
        <v>0.652991</v>
      </c>
      <c r="U832" s="87">
        <v>0.652991</v>
      </c>
      <c r="V832" s="87">
        <v>7.600953</v>
      </c>
      <c r="W832" s="87">
        <v>15.15331</v>
      </c>
      <c r="X832" s="87">
        <v>15.15331</v>
      </c>
      <c r="Y832" s="87">
        <v>10.91638</v>
      </c>
      <c r="Z832" s="88" t="s">
        <v>1396</v>
      </c>
    </row>
    <row r="833" hidden="1">
      <c r="A833" s="90" t="s">
        <v>2471</v>
      </c>
      <c r="B833" s="90" t="s">
        <v>2532</v>
      </c>
      <c r="C833" s="90" t="s">
        <v>472</v>
      </c>
      <c r="D833" s="90" t="s">
        <v>487</v>
      </c>
      <c r="E833" s="90" t="s">
        <v>1413</v>
      </c>
      <c r="F833" s="87">
        <v>13.0</v>
      </c>
      <c r="G833" s="87">
        <v>1.0</v>
      </c>
      <c r="H833" s="87">
        <v>6059.0</v>
      </c>
      <c r="I833" s="87">
        <v>12.0</v>
      </c>
      <c r="J833" s="87">
        <v>52.09895</v>
      </c>
      <c r="K833" s="87">
        <v>52.11805</v>
      </c>
      <c r="L833" s="87">
        <v>49.01681</v>
      </c>
      <c r="M833" s="87">
        <v>26.24371</v>
      </c>
      <c r="N833" s="87">
        <v>0.503544</v>
      </c>
      <c r="O833" s="87">
        <v>1.769262</v>
      </c>
      <c r="P833" s="87">
        <v>5.475161</v>
      </c>
      <c r="Q833" s="87">
        <v>5.920979</v>
      </c>
      <c r="R833" s="87">
        <v>5.97297</v>
      </c>
      <c r="S833" s="87">
        <v>6.73597</v>
      </c>
      <c r="T833" s="87">
        <v>1.769262</v>
      </c>
      <c r="U833" s="87">
        <v>5.475161</v>
      </c>
      <c r="V833" s="87">
        <v>5.920979</v>
      </c>
      <c r="W833" s="87">
        <v>5.97297</v>
      </c>
      <c r="X833" s="87">
        <v>6.73597</v>
      </c>
      <c r="Y833" s="87">
        <v>7.445436</v>
      </c>
      <c r="Z833" s="88" t="s">
        <v>1396</v>
      </c>
    </row>
    <row r="834" hidden="1">
      <c r="A834" s="90" t="s">
        <v>2473</v>
      </c>
      <c r="B834" s="90" t="s">
        <v>2533</v>
      </c>
      <c r="C834" s="90" t="s">
        <v>472</v>
      </c>
      <c r="D834" s="90" t="s">
        <v>487</v>
      </c>
      <c r="E834" s="90" t="s">
        <v>1398</v>
      </c>
      <c r="F834" s="87">
        <v>9.0</v>
      </c>
      <c r="G834" s="87">
        <v>0.0</v>
      </c>
      <c r="H834" s="87">
        <v>1222.0</v>
      </c>
      <c r="I834" s="87">
        <v>0.0</v>
      </c>
      <c r="J834" s="87">
        <v>9.231685</v>
      </c>
      <c r="K834" s="87">
        <v>9.0648</v>
      </c>
      <c r="L834" s="87">
        <v>8.045085</v>
      </c>
      <c r="M834" s="87">
        <v>7.477905</v>
      </c>
      <c r="N834" s="87">
        <v>0.824939</v>
      </c>
      <c r="O834" s="87">
        <v>0.553561</v>
      </c>
      <c r="P834" s="87">
        <v>0.553561</v>
      </c>
      <c r="Q834" s="87">
        <v>0.553561</v>
      </c>
      <c r="R834" s="87">
        <v>1.033333</v>
      </c>
      <c r="S834" s="87">
        <v>7.477905</v>
      </c>
      <c r="T834" s="87">
        <v>0.553561</v>
      </c>
      <c r="U834" s="87">
        <v>0.553561</v>
      </c>
      <c r="V834" s="87">
        <v>0.553561</v>
      </c>
      <c r="W834" s="87">
        <v>1.033333</v>
      </c>
      <c r="X834" s="87">
        <v>7.477905</v>
      </c>
      <c r="Y834" s="87">
        <v>3.0216</v>
      </c>
      <c r="Z834" s="88" t="s">
        <v>1396</v>
      </c>
    </row>
    <row r="835" hidden="1">
      <c r="A835" s="90" t="s">
        <v>2475</v>
      </c>
      <c r="B835" s="90" t="s">
        <v>2534</v>
      </c>
      <c r="C835" s="90" t="s">
        <v>472</v>
      </c>
      <c r="D835" s="90" t="s">
        <v>487</v>
      </c>
      <c r="E835" s="90" t="s">
        <v>1400</v>
      </c>
      <c r="F835" s="87">
        <v>41.0</v>
      </c>
      <c r="G835" s="87">
        <v>3.0</v>
      </c>
      <c r="H835" s="87">
        <v>9531.0</v>
      </c>
      <c r="I835" s="87">
        <v>142.0</v>
      </c>
      <c r="J835" s="87">
        <v>54.08651</v>
      </c>
      <c r="K835" s="87">
        <v>56.20546</v>
      </c>
      <c r="L835" s="87">
        <v>55.32064</v>
      </c>
      <c r="M835" s="87">
        <v>32.38018</v>
      </c>
      <c r="N835" s="87">
        <v>0.576104</v>
      </c>
      <c r="O835" s="87">
        <v>0.182051</v>
      </c>
      <c r="P835" s="87">
        <v>0.74878</v>
      </c>
      <c r="Q835" s="87">
        <v>1.119148</v>
      </c>
      <c r="R835" s="87">
        <v>1.7926</v>
      </c>
      <c r="S835" s="87">
        <v>3.124422</v>
      </c>
      <c r="T835" s="87">
        <v>0.182051</v>
      </c>
      <c r="U835" s="87">
        <v>0.74878</v>
      </c>
      <c r="V835" s="87">
        <v>1.119148</v>
      </c>
      <c r="W835" s="87">
        <v>1.7926</v>
      </c>
      <c r="X835" s="87">
        <v>3.124422</v>
      </c>
      <c r="Y835" s="87">
        <v>2.67645</v>
      </c>
      <c r="Z835" s="88" t="s">
        <v>1396</v>
      </c>
    </row>
    <row r="836" hidden="1">
      <c r="A836" s="90" t="s">
        <v>2477</v>
      </c>
      <c r="B836" s="90" t="s">
        <v>2535</v>
      </c>
      <c r="C836" s="90" t="s">
        <v>472</v>
      </c>
      <c r="D836" s="90" t="s">
        <v>487</v>
      </c>
      <c r="E836" s="89">
        <v>46300.0</v>
      </c>
      <c r="F836" s="87">
        <v>3.0</v>
      </c>
      <c r="G836" s="87">
        <v>0.0</v>
      </c>
      <c r="H836" s="87">
        <v>151.0</v>
      </c>
      <c r="I836" s="87">
        <v>0.0</v>
      </c>
      <c r="J836" s="87">
        <v>4.73903</v>
      </c>
      <c r="K836" s="87">
        <v>4.520344</v>
      </c>
      <c r="L836" s="87">
        <v>4.54106</v>
      </c>
      <c r="M836" s="87">
        <v>4.520344</v>
      </c>
      <c r="N836" s="87">
        <v>1.0</v>
      </c>
      <c r="O836" s="87">
        <v>4.520344</v>
      </c>
      <c r="P836" s="87">
        <v>4.520344</v>
      </c>
      <c r="Q836" s="87">
        <v>4.520344</v>
      </c>
      <c r="R836" s="87">
        <v>4.520344</v>
      </c>
      <c r="S836" s="87">
        <v>4.520344</v>
      </c>
      <c r="T836" s="87">
        <v>4.520344</v>
      </c>
      <c r="U836" s="87">
        <v>4.520344</v>
      </c>
      <c r="V836" s="87">
        <v>4.520344</v>
      </c>
      <c r="W836" s="87">
        <v>4.520344</v>
      </c>
      <c r="X836" s="87">
        <v>4.520344</v>
      </c>
      <c r="Y836" s="87">
        <v>4.520344</v>
      </c>
      <c r="Z836" s="88" t="s">
        <v>1396</v>
      </c>
    </row>
    <row r="837" hidden="1">
      <c r="A837" s="90" t="s">
        <v>2479</v>
      </c>
      <c r="B837" s="90" t="s">
        <v>2536</v>
      </c>
      <c r="C837" s="90" t="s">
        <v>472</v>
      </c>
      <c r="D837" s="90" t="s">
        <v>487</v>
      </c>
      <c r="E837" s="90" t="s">
        <v>1403</v>
      </c>
      <c r="F837" s="87">
        <v>2.0</v>
      </c>
      <c r="G837" s="87">
        <v>2.0</v>
      </c>
      <c r="H837" s="87">
        <v>16.0</v>
      </c>
      <c r="I837" s="87">
        <v>16.0</v>
      </c>
      <c r="J837" s="87">
        <v>0.0</v>
      </c>
      <c r="K837" s="87">
        <v>0.0</v>
      </c>
      <c r="L837" s="87">
        <v>0.0</v>
      </c>
      <c r="M837" s="87">
        <v>0.0</v>
      </c>
      <c r="N837" s="85"/>
      <c r="O837" s="87">
        <v>0.0</v>
      </c>
      <c r="P837" s="87">
        <v>0.0</v>
      </c>
      <c r="Q837" s="87">
        <v>0.0</v>
      </c>
      <c r="R837" s="87">
        <v>0.0</v>
      </c>
      <c r="S837" s="87">
        <v>0.0</v>
      </c>
      <c r="T837" s="91"/>
      <c r="U837" s="91"/>
      <c r="V837" s="91"/>
      <c r="W837" s="91"/>
      <c r="X837" s="91"/>
      <c r="Y837" s="87">
        <v>0.0</v>
      </c>
      <c r="Z837" s="88" t="s">
        <v>1396</v>
      </c>
    </row>
    <row r="838" hidden="1">
      <c r="A838" s="90" t="s">
        <v>2537</v>
      </c>
      <c r="B838" s="90" t="s">
        <v>2538</v>
      </c>
      <c r="C838" s="90" t="s">
        <v>537</v>
      </c>
      <c r="D838" s="90" t="s">
        <v>2539</v>
      </c>
      <c r="E838" s="90" t="s">
        <v>1426</v>
      </c>
      <c r="F838" s="87">
        <v>2.0</v>
      </c>
      <c r="G838" s="87">
        <v>0.0</v>
      </c>
      <c r="H838" s="87">
        <v>29138.0</v>
      </c>
      <c r="I838" s="87">
        <v>0.0</v>
      </c>
      <c r="J838" s="87">
        <v>300.1979</v>
      </c>
      <c r="K838" s="87">
        <v>320.7329</v>
      </c>
      <c r="L838" s="87">
        <v>370.6284</v>
      </c>
      <c r="M838" s="87">
        <v>179.8663</v>
      </c>
      <c r="N838" s="87">
        <v>0.560798</v>
      </c>
      <c r="O838" s="87">
        <v>140.8666</v>
      </c>
      <c r="P838" s="87">
        <v>140.8666</v>
      </c>
      <c r="Q838" s="87">
        <v>140.8666</v>
      </c>
      <c r="R838" s="87">
        <v>179.8663</v>
      </c>
      <c r="S838" s="87">
        <v>179.8663</v>
      </c>
      <c r="T838" s="87">
        <v>140.8666</v>
      </c>
      <c r="U838" s="87">
        <v>140.8666</v>
      </c>
      <c r="V838" s="87">
        <v>140.8666</v>
      </c>
      <c r="W838" s="87">
        <v>179.8663</v>
      </c>
      <c r="X838" s="87">
        <v>179.8663</v>
      </c>
      <c r="Y838" s="87">
        <v>160.3665</v>
      </c>
      <c r="Z838" s="88" t="s">
        <v>1396</v>
      </c>
    </row>
    <row r="839" hidden="1">
      <c r="A839" s="90" t="s">
        <v>2540</v>
      </c>
      <c r="B839" s="90" t="s">
        <v>2541</v>
      </c>
      <c r="C839" s="90" t="s">
        <v>537</v>
      </c>
      <c r="D839" s="90" t="s">
        <v>2539</v>
      </c>
      <c r="E839" s="86">
        <v>46310.0</v>
      </c>
      <c r="F839" s="87">
        <v>6.0</v>
      </c>
      <c r="G839" s="87">
        <v>0.0</v>
      </c>
      <c r="H839" s="87">
        <v>8299.0</v>
      </c>
      <c r="I839" s="87">
        <v>0.0</v>
      </c>
      <c r="J839" s="87">
        <v>40.98312</v>
      </c>
      <c r="K839" s="87">
        <v>47.97261</v>
      </c>
      <c r="L839" s="87">
        <v>48.23919</v>
      </c>
      <c r="M839" s="87">
        <v>22.58844</v>
      </c>
      <c r="N839" s="87">
        <v>0.470861</v>
      </c>
      <c r="O839" s="87">
        <v>2.977077</v>
      </c>
      <c r="P839" s="87">
        <v>4.829947</v>
      </c>
      <c r="Q839" s="87">
        <v>4.829947</v>
      </c>
      <c r="R839" s="87">
        <v>8.384758</v>
      </c>
      <c r="S839" s="87">
        <v>9.192384</v>
      </c>
      <c r="T839" s="87">
        <v>2.977077</v>
      </c>
      <c r="U839" s="87">
        <v>4.829947</v>
      </c>
      <c r="V839" s="87">
        <v>4.829947</v>
      </c>
      <c r="W839" s="87">
        <v>8.384758</v>
      </c>
      <c r="X839" s="87">
        <v>9.192384</v>
      </c>
      <c r="Y839" s="87">
        <v>9.594522</v>
      </c>
      <c r="Z839" s="88" t="s">
        <v>1396</v>
      </c>
    </row>
    <row r="840" hidden="1">
      <c r="A840" s="90" t="s">
        <v>2544</v>
      </c>
      <c r="B840" s="90" t="s">
        <v>2545</v>
      </c>
      <c r="C840" s="90" t="s">
        <v>537</v>
      </c>
      <c r="D840" s="90" t="s">
        <v>2539</v>
      </c>
      <c r="E840" s="90" t="s">
        <v>1400</v>
      </c>
      <c r="F840" s="87">
        <v>1.0</v>
      </c>
      <c r="G840" s="87">
        <v>0.0</v>
      </c>
      <c r="H840" s="87">
        <v>424.0</v>
      </c>
      <c r="I840" s="87">
        <v>0.0</v>
      </c>
      <c r="J840" s="87">
        <v>3.449351</v>
      </c>
      <c r="K840" s="87">
        <v>3.42651</v>
      </c>
      <c r="L840" s="87">
        <v>2.973548</v>
      </c>
      <c r="M840" s="87">
        <v>3.42651</v>
      </c>
      <c r="N840" s="87">
        <v>1.0</v>
      </c>
      <c r="O840" s="87">
        <v>3.42651</v>
      </c>
      <c r="P840" s="87">
        <v>3.42651</v>
      </c>
      <c r="Q840" s="87">
        <v>3.42651</v>
      </c>
      <c r="R840" s="87">
        <v>3.42651</v>
      </c>
      <c r="S840" s="87">
        <v>3.42651</v>
      </c>
      <c r="T840" s="87">
        <v>3.42651</v>
      </c>
      <c r="U840" s="87">
        <v>3.42651</v>
      </c>
      <c r="V840" s="87">
        <v>3.42651</v>
      </c>
      <c r="W840" s="87">
        <v>3.42651</v>
      </c>
      <c r="X840" s="87">
        <v>3.42651</v>
      </c>
      <c r="Y840" s="87">
        <v>3.42651</v>
      </c>
      <c r="Z840" s="88" t="s">
        <v>1396</v>
      </c>
    </row>
    <row r="841" hidden="1">
      <c r="A841" s="90" t="s">
        <v>2546</v>
      </c>
      <c r="B841" s="90" t="s">
        <v>2547</v>
      </c>
      <c r="C841" s="90" t="s">
        <v>537</v>
      </c>
      <c r="D841" s="90" t="s">
        <v>2539</v>
      </c>
      <c r="E841" s="89">
        <v>46300.0</v>
      </c>
      <c r="F841" s="87">
        <v>6.0</v>
      </c>
      <c r="G841" s="87">
        <v>0.0</v>
      </c>
      <c r="H841" s="87">
        <v>10793.0</v>
      </c>
      <c r="I841" s="87">
        <v>0.0</v>
      </c>
      <c r="J841" s="87">
        <v>112.9861</v>
      </c>
      <c r="K841" s="87">
        <v>120.9461</v>
      </c>
      <c r="L841" s="87">
        <v>119.9359</v>
      </c>
      <c r="M841" s="87">
        <v>57.39888</v>
      </c>
      <c r="N841" s="87">
        <v>0.474582</v>
      </c>
      <c r="O841" s="87">
        <v>13.74716</v>
      </c>
      <c r="P841" s="87">
        <v>14.91615</v>
      </c>
      <c r="Q841" s="87">
        <v>14.91615</v>
      </c>
      <c r="R841" s="87">
        <v>18.20219</v>
      </c>
      <c r="S841" s="87">
        <v>27.96461</v>
      </c>
      <c r="T841" s="87">
        <v>13.74716</v>
      </c>
      <c r="U841" s="87">
        <v>14.91615</v>
      </c>
      <c r="V841" s="87">
        <v>14.91615</v>
      </c>
      <c r="W841" s="87">
        <v>18.20219</v>
      </c>
      <c r="X841" s="87">
        <v>27.96461</v>
      </c>
      <c r="Y841" s="87">
        <v>20.15768</v>
      </c>
      <c r="Z841" s="88" t="s">
        <v>1396</v>
      </c>
    </row>
    <row r="842" hidden="1">
      <c r="A842" s="90" t="s">
        <v>2548</v>
      </c>
      <c r="B842" s="90" t="s">
        <v>2549</v>
      </c>
      <c r="C842" s="90" t="s">
        <v>537</v>
      </c>
      <c r="D842" s="90" t="s">
        <v>2539</v>
      </c>
      <c r="E842" s="90" t="s">
        <v>1403</v>
      </c>
      <c r="F842" s="87">
        <v>3.0</v>
      </c>
      <c r="G842" s="87">
        <v>3.0</v>
      </c>
      <c r="H842" s="87">
        <v>620.0</v>
      </c>
      <c r="I842" s="87">
        <v>620.0</v>
      </c>
      <c r="J842" s="87">
        <v>0.0</v>
      </c>
      <c r="K842" s="87">
        <v>0.0</v>
      </c>
      <c r="L842" s="87">
        <v>0.0</v>
      </c>
      <c r="M842" s="87">
        <v>0.0</v>
      </c>
      <c r="N842" s="91"/>
      <c r="O842" s="87">
        <v>0.0</v>
      </c>
      <c r="P842" s="87">
        <v>0.0</v>
      </c>
      <c r="Q842" s="87">
        <v>0.0</v>
      </c>
      <c r="R842" s="87">
        <v>0.0</v>
      </c>
      <c r="S842" s="87">
        <v>0.0</v>
      </c>
      <c r="T842" s="91"/>
      <c r="U842" s="91"/>
      <c r="V842" s="91"/>
      <c r="W842" s="91"/>
      <c r="X842" s="91"/>
      <c r="Y842" s="87">
        <v>0.0</v>
      </c>
      <c r="Z842" s="88" t="s">
        <v>1396</v>
      </c>
    </row>
    <row r="843" hidden="1">
      <c r="A843" s="90" t="s">
        <v>2537</v>
      </c>
      <c r="B843" s="90" t="s">
        <v>2550</v>
      </c>
      <c r="C843" s="90" t="s">
        <v>537</v>
      </c>
      <c r="D843" s="90" t="s">
        <v>552</v>
      </c>
      <c r="E843" s="90" t="s">
        <v>1426</v>
      </c>
      <c r="F843" s="87">
        <v>3.0</v>
      </c>
      <c r="G843" s="87">
        <v>0.0</v>
      </c>
      <c r="H843" s="87">
        <v>1890.0</v>
      </c>
      <c r="I843" s="87">
        <v>0.0</v>
      </c>
      <c r="J843" s="87">
        <v>12.443</v>
      </c>
      <c r="K843" s="87">
        <v>12.79761</v>
      </c>
      <c r="L843" s="87">
        <v>14.87545</v>
      </c>
      <c r="M843" s="87">
        <v>5.849266</v>
      </c>
      <c r="N843" s="87">
        <v>0.457059</v>
      </c>
      <c r="O843" s="87">
        <v>3.172288</v>
      </c>
      <c r="P843" s="87">
        <v>3.172288</v>
      </c>
      <c r="Q843" s="87">
        <v>3.172288</v>
      </c>
      <c r="R843" s="87">
        <v>3.776061</v>
      </c>
      <c r="S843" s="87">
        <v>5.849266</v>
      </c>
      <c r="T843" s="87">
        <v>3.172288</v>
      </c>
      <c r="U843" s="87">
        <v>3.172288</v>
      </c>
      <c r="V843" s="87">
        <v>3.172288</v>
      </c>
      <c r="W843" s="87">
        <v>3.776061</v>
      </c>
      <c r="X843" s="87">
        <v>5.849266</v>
      </c>
      <c r="Y843" s="87">
        <v>4.265872</v>
      </c>
      <c r="Z843" s="88" t="s">
        <v>1396</v>
      </c>
    </row>
    <row r="844" hidden="1">
      <c r="A844" s="90" t="s">
        <v>2540</v>
      </c>
      <c r="B844" s="90" t="s">
        <v>2551</v>
      </c>
      <c r="C844" s="90" t="s">
        <v>537</v>
      </c>
      <c r="D844" s="90" t="s">
        <v>552</v>
      </c>
      <c r="E844" s="86">
        <v>46310.0</v>
      </c>
      <c r="F844" s="87">
        <v>4.0</v>
      </c>
      <c r="G844" s="87">
        <v>0.0</v>
      </c>
      <c r="H844" s="87">
        <v>7549.0</v>
      </c>
      <c r="I844" s="87">
        <v>0.0</v>
      </c>
      <c r="J844" s="87">
        <v>115.3872</v>
      </c>
      <c r="K844" s="87">
        <v>121.588</v>
      </c>
      <c r="L844" s="87">
        <v>132.7847</v>
      </c>
      <c r="M844" s="87">
        <v>61.43322</v>
      </c>
      <c r="N844" s="87">
        <v>0.505257</v>
      </c>
      <c r="O844" s="87">
        <v>9.368653</v>
      </c>
      <c r="P844" s="87">
        <v>9.368653</v>
      </c>
      <c r="Q844" s="87">
        <v>24.69835</v>
      </c>
      <c r="R844" s="87">
        <v>26.08776</v>
      </c>
      <c r="S844" s="87">
        <v>26.08776</v>
      </c>
      <c r="T844" s="87">
        <v>9.368653</v>
      </c>
      <c r="U844" s="87">
        <v>9.368653</v>
      </c>
      <c r="V844" s="87">
        <v>24.69835</v>
      </c>
      <c r="W844" s="87">
        <v>26.08776</v>
      </c>
      <c r="X844" s="87">
        <v>26.08776</v>
      </c>
      <c r="Y844" s="87">
        <v>30.397</v>
      </c>
      <c r="Z844" s="88" t="s">
        <v>1396</v>
      </c>
    </row>
    <row r="845" hidden="1">
      <c r="A845" s="90" t="s">
        <v>2552</v>
      </c>
      <c r="B845" s="90" t="s">
        <v>2553</v>
      </c>
      <c r="C845" s="90" t="s">
        <v>537</v>
      </c>
      <c r="D845" s="90" t="s">
        <v>552</v>
      </c>
      <c r="E845" s="90" t="s">
        <v>1413</v>
      </c>
      <c r="F845" s="87">
        <v>10.0</v>
      </c>
      <c r="G845" s="87">
        <v>0.0</v>
      </c>
      <c r="H845" s="87">
        <v>10792.0</v>
      </c>
      <c r="I845" s="87">
        <v>0.0</v>
      </c>
      <c r="J845" s="87">
        <v>49.83606</v>
      </c>
      <c r="K845" s="87">
        <v>56.5693</v>
      </c>
      <c r="L845" s="87">
        <v>65.63323</v>
      </c>
      <c r="M845" s="87">
        <v>27.86767</v>
      </c>
      <c r="N845" s="87">
        <v>0.492629</v>
      </c>
      <c r="O845" s="87">
        <v>0.96129</v>
      </c>
      <c r="P845" s="87">
        <v>2.929443</v>
      </c>
      <c r="Q845" s="87">
        <v>3.410753</v>
      </c>
      <c r="R845" s="87">
        <v>4.84987</v>
      </c>
      <c r="S845" s="87">
        <v>7.298925</v>
      </c>
      <c r="T845" s="87">
        <v>0.96129</v>
      </c>
      <c r="U845" s="87">
        <v>2.929443</v>
      </c>
      <c r="V845" s="87">
        <v>3.410753</v>
      </c>
      <c r="W845" s="87">
        <v>4.84987</v>
      </c>
      <c r="X845" s="87">
        <v>7.298925</v>
      </c>
      <c r="Y845" s="87">
        <v>6.285477</v>
      </c>
      <c r="Z845" s="88" t="s">
        <v>1396</v>
      </c>
    </row>
    <row r="846" hidden="1">
      <c r="A846" s="90" t="s">
        <v>2542</v>
      </c>
      <c r="B846" s="90" t="s">
        <v>2554</v>
      </c>
      <c r="C846" s="90" t="s">
        <v>537</v>
      </c>
      <c r="D846" s="90" t="s">
        <v>552</v>
      </c>
      <c r="E846" s="90" t="s">
        <v>1398</v>
      </c>
      <c r="F846" s="87">
        <v>10.0</v>
      </c>
      <c r="G846" s="87">
        <v>0.0</v>
      </c>
      <c r="H846" s="87">
        <v>11025.0</v>
      </c>
      <c r="I846" s="87">
        <v>0.0</v>
      </c>
      <c r="J846" s="87">
        <v>36.17175</v>
      </c>
      <c r="K846" s="87">
        <v>69.23885</v>
      </c>
      <c r="L846" s="87">
        <v>56.97872</v>
      </c>
      <c r="M846" s="87">
        <v>21.72341</v>
      </c>
      <c r="N846" s="87">
        <v>0.313746</v>
      </c>
      <c r="O846" s="87">
        <v>3.083441</v>
      </c>
      <c r="P846" s="87">
        <v>4.400677</v>
      </c>
      <c r="Q846" s="87">
        <v>4.583434</v>
      </c>
      <c r="R846" s="87">
        <v>9.034702</v>
      </c>
      <c r="S846" s="87">
        <v>9.992457</v>
      </c>
      <c r="T846" s="87">
        <v>3.083441</v>
      </c>
      <c r="U846" s="87">
        <v>4.400677</v>
      </c>
      <c r="V846" s="87">
        <v>4.583434</v>
      </c>
      <c r="W846" s="87">
        <v>9.034702</v>
      </c>
      <c r="X846" s="87">
        <v>9.992457</v>
      </c>
      <c r="Y846" s="87">
        <v>7.693205</v>
      </c>
      <c r="Z846" s="88" t="s">
        <v>1396</v>
      </c>
    </row>
    <row r="847" hidden="1">
      <c r="A847" s="90" t="s">
        <v>2544</v>
      </c>
      <c r="B847" s="90" t="s">
        <v>2555</v>
      </c>
      <c r="C847" s="90" t="s">
        <v>537</v>
      </c>
      <c r="D847" s="90" t="s">
        <v>552</v>
      </c>
      <c r="E847" s="90" t="s">
        <v>1400</v>
      </c>
      <c r="F847" s="87">
        <v>62.0</v>
      </c>
      <c r="G847" s="87">
        <v>0.0</v>
      </c>
      <c r="H847" s="87">
        <v>71616.0</v>
      </c>
      <c r="I847" s="87">
        <v>0.0</v>
      </c>
      <c r="J847" s="87">
        <v>559.8417</v>
      </c>
      <c r="K847" s="87">
        <v>605.7477</v>
      </c>
      <c r="L847" s="87">
        <v>554.7423</v>
      </c>
      <c r="M847" s="87">
        <v>423.1858</v>
      </c>
      <c r="N847" s="87">
        <v>0.698617</v>
      </c>
      <c r="O847" s="87">
        <v>0.696774</v>
      </c>
      <c r="P847" s="87">
        <v>2.074009</v>
      </c>
      <c r="Q847" s="87">
        <v>2.905708</v>
      </c>
      <c r="R847" s="87">
        <v>5.068584</v>
      </c>
      <c r="S847" s="87">
        <v>8.032779</v>
      </c>
      <c r="T847" s="87">
        <v>1.083996</v>
      </c>
      <c r="U847" s="87">
        <v>2.084946</v>
      </c>
      <c r="V847" s="87">
        <v>3.046126</v>
      </c>
      <c r="W847" s="87">
        <v>5.819557</v>
      </c>
      <c r="X847" s="87">
        <v>8.258324</v>
      </c>
      <c r="Y847" s="87">
        <v>10.81692</v>
      </c>
      <c r="Z847" s="88" t="s">
        <v>1396</v>
      </c>
    </row>
    <row r="848" hidden="1">
      <c r="A848" s="90" t="s">
        <v>2546</v>
      </c>
      <c r="B848" s="90" t="s">
        <v>2556</v>
      </c>
      <c r="C848" s="90" t="s">
        <v>537</v>
      </c>
      <c r="D848" s="90" t="s">
        <v>552</v>
      </c>
      <c r="E848" s="89">
        <v>46300.0</v>
      </c>
      <c r="F848" s="87">
        <v>8.0</v>
      </c>
      <c r="G848" s="87">
        <v>0.0</v>
      </c>
      <c r="H848" s="87">
        <v>13364.0</v>
      </c>
      <c r="I848" s="87">
        <v>0.0</v>
      </c>
      <c r="J848" s="87">
        <v>126.3585</v>
      </c>
      <c r="K848" s="87">
        <v>132.966</v>
      </c>
      <c r="L848" s="87">
        <v>136.9578</v>
      </c>
      <c r="M848" s="87">
        <v>65.0284</v>
      </c>
      <c r="N848" s="87">
        <v>0.48906</v>
      </c>
      <c r="O848" s="87">
        <v>8.040793</v>
      </c>
      <c r="P848" s="87">
        <v>10.66104</v>
      </c>
      <c r="Q848" s="87">
        <v>15.4695</v>
      </c>
      <c r="R848" s="87">
        <v>15.94097</v>
      </c>
      <c r="S848" s="87">
        <v>17.82531</v>
      </c>
      <c r="T848" s="87">
        <v>8.040793</v>
      </c>
      <c r="U848" s="87">
        <v>10.66104</v>
      </c>
      <c r="V848" s="87">
        <v>15.4695</v>
      </c>
      <c r="W848" s="87">
        <v>15.94097</v>
      </c>
      <c r="X848" s="87">
        <v>17.82531</v>
      </c>
      <c r="Y848" s="87">
        <v>18.99515</v>
      </c>
      <c r="Z848" s="88" t="s">
        <v>1396</v>
      </c>
    </row>
    <row r="849" hidden="1">
      <c r="A849" s="90" t="s">
        <v>2548</v>
      </c>
      <c r="B849" s="90" t="s">
        <v>2557</v>
      </c>
      <c r="C849" s="90" t="s">
        <v>537</v>
      </c>
      <c r="D849" s="90" t="s">
        <v>552</v>
      </c>
      <c r="E849" s="90" t="s">
        <v>1403</v>
      </c>
      <c r="F849" s="87">
        <v>3.0</v>
      </c>
      <c r="G849" s="87">
        <v>3.0</v>
      </c>
      <c r="H849" s="87">
        <v>348.0</v>
      </c>
      <c r="I849" s="87">
        <v>348.0</v>
      </c>
      <c r="J849" s="87">
        <v>0.0</v>
      </c>
      <c r="K849" s="87">
        <v>0.0</v>
      </c>
      <c r="L849" s="87">
        <v>0.0</v>
      </c>
      <c r="M849" s="87">
        <v>0.0</v>
      </c>
      <c r="N849" s="91"/>
      <c r="O849" s="87">
        <v>0.0</v>
      </c>
      <c r="P849" s="87">
        <v>0.0</v>
      </c>
      <c r="Q849" s="87">
        <v>0.0</v>
      </c>
      <c r="R849" s="87">
        <v>0.0</v>
      </c>
      <c r="S849" s="87">
        <v>0.0</v>
      </c>
      <c r="T849" s="91"/>
      <c r="U849" s="91"/>
      <c r="V849" s="91"/>
      <c r="W849" s="91"/>
      <c r="X849" s="91"/>
      <c r="Y849" s="87">
        <v>0.0</v>
      </c>
      <c r="Z849" s="88" t="s">
        <v>1396</v>
      </c>
    </row>
    <row r="850" hidden="1">
      <c r="A850" s="90" t="s">
        <v>2542</v>
      </c>
      <c r="B850" s="90" t="s">
        <v>2560</v>
      </c>
      <c r="C850" s="90" t="s">
        <v>537</v>
      </c>
      <c r="D850" s="90" t="s">
        <v>1044</v>
      </c>
      <c r="E850" s="90" t="s">
        <v>1398</v>
      </c>
      <c r="F850" s="87">
        <v>5.0</v>
      </c>
      <c r="G850" s="87">
        <v>0.0</v>
      </c>
      <c r="H850" s="87">
        <v>3301.0</v>
      </c>
      <c r="I850" s="87">
        <v>0.0</v>
      </c>
      <c r="J850" s="87">
        <v>35.12493</v>
      </c>
      <c r="K850" s="87">
        <v>31.50676</v>
      </c>
      <c r="L850" s="87">
        <v>33.89555</v>
      </c>
      <c r="M850" s="87">
        <v>10.03915</v>
      </c>
      <c r="N850" s="87">
        <v>0.318635</v>
      </c>
      <c r="O850" s="87">
        <v>3.049261</v>
      </c>
      <c r="P850" s="87">
        <v>4.694485</v>
      </c>
      <c r="Q850" s="87">
        <v>4.694485</v>
      </c>
      <c r="R850" s="87">
        <v>5.75117</v>
      </c>
      <c r="S850" s="87">
        <v>7.972697</v>
      </c>
      <c r="T850" s="87">
        <v>3.049261</v>
      </c>
      <c r="U850" s="87">
        <v>4.694485</v>
      </c>
      <c r="V850" s="87">
        <v>4.694485</v>
      </c>
      <c r="W850" s="87">
        <v>5.75117</v>
      </c>
      <c r="X850" s="87">
        <v>7.972697</v>
      </c>
      <c r="Y850" s="87">
        <v>6.301353</v>
      </c>
      <c r="Z850" s="88" t="s">
        <v>1396</v>
      </c>
    </row>
    <row r="851" hidden="1">
      <c r="A851" s="90" t="s">
        <v>2544</v>
      </c>
      <c r="B851" s="90" t="s">
        <v>2561</v>
      </c>
      <c r="C851" s="90" t="s">
        <v>537</v>
      </c>
      <c r="D851" s="90" t="s">
        <v>1044</v>
      </c>
      <c r="E851" s="90" t="s">
        <v>1400</v>
      </c>
      <c r="F851" s="87">
        <v>6.0</v>
      </c>
      <c r="G851" s="87">
        <v>0.0</v>
      </c>
      <c r="H851" s="87">
        <v>3568.0</v>
      </c>
      <c r="I851" s="87">
        <v>0.0</v>
      </c>
      <c r="J851" s="87">
        <v>20.63173</v>
      </c>
      <c r="K851" s="87">
        <v>22.05458</v>
      </c>
      <c r="L851" s="87">
        <v>25.5894</v>
      </c>
      <c r="M851" s="87">
        <v>8.277142</v>
      </c>
      <c r="N851" s="87">
        <v>0.375303</v>
      </c>
      <c r="O851" s="87">
        <v>2.516019</v>
      </c>
      <c r="P851" s="87">
        <v>2.54044</v>
      </c>
      <c r="Q851" s="87">
        <v>2.54044</v>
      </c>
      <c r="R851" s="87">
        <v>2.892788</v>
      </c>
      <c r="S851" s="87">
        <v>5.828186</v>
      </c>
      <c r="T851" s="87">
        <v>2.516019</v>
      </c>
      <c r="U851" s="87">
        <v>2.54044</v>
      </c>
      <c r="V851" s="87">
        <v>2.54044</v>
      </c>
      <c r="W851" s="87">
        <v>2.892788</v>
      </c>
      <c r="X851" s="87">
        <v>5.828186</v>
      </c>
      <c r="Y851" s="87">
        <v>4.410915</v>
      </c>
      <c r="Z851" s="88" t="s">
        <v>1396</v>
      </c>
    </row>
    <row r="852" hidden="1">
      <c r="A852" s="90" t="s">
        <v>2546</v>
      </c>
      <c r="B852" s="90" t="s">
        <v>2562</v>
      </c>
      <c r="C852" s="90" t="s">
        <v>537</v>
      </c>
      <c r="D852" s="90" t="s">
        <v>1044</v>
      </c>
      <c r="E852" s="89">
        <v>46300.0</v>
      </c>
      <c r="F852" s="87">
        <v>4.0</v>
      </c>
      <c r="G852" s="87">
        <v>0.0</v>
      </c>
      <c r="H852" s="87">
        <v>3380.0</v>
      </c>
      <c r="I852" s="87">
        <v>0.0</v>
      </c>
      <c r="J852" s="87">
        <v>18.43707</v>
      </c>
      <c r="K852" s="87">
        <v>18.5505</v>
      </c>
      <c r="L852" s="87">
        <v>18.19578</v>
      </c>
      <c r="M852" s="87">
        <v>15.81347</v>
      </c>
      <c r="N852" s="87">
        <v>0.852455</v>
      </c>
      <c r="O852" s="87">
        <v>2.737031</v>
      </c>
      <c r="P852" s="87">
        <v>2.737031</v>
      </c>
      <c r="Q852" s="87">
        <v>2.737031</v>
      </c>
      <c r="R852" s="87">
        <v>15.81347</v>
      </c>
      <c r="S852" s="87">
        <v>15.81347</v>
      </c>
      <c r="T852" s="87">
        <v>2.737031</v>
      </c>
      <c r="U852" s="87">
        <v>2.737031</v>
      </c>
      <c r="V852" s="87">
        <v>2.737031</v>
      </c>
      <c r="W852" s="87">
        <v>15.81347</v>
      </c>
      <c r="X852" s="87">
        <v>15.81347</v>
      </c>
      <c r="Y852" s="87">
        <v>9.275249</v>
      </c>
      <c r="Z852" s="88" t="s">
        <v>1396</v>
      </c>
    </row>
    <row r="853" hidden="1">
      <c r="A853" s="90" t="s">
        <v>2552</v>
      </c>
      <c r="B853" s="90" t="s">
        <v>2564</v>
      </c>
      <c r="C853" s="90" t="s">
        <v>537</v>
      </c>
      <c r="D853" s="90" t="s">
        <v>543</v>
      </c>
      <c r="E853" s="90" t="s">
        <v>1413</v>
      </c>
      <c r="F853" s="87">
        <v>3.0</v>
      </c>
      <c r="G853" s="87">
        <v>0.0</v>
      </c>
      <c r="H853" s="87">
        <v>1136.0</v>
      </c>
      <c r="I853" s="87">
        <v>0.0</v>
      </c>
      <c r="J853" s="87">
        <v>7.403755</v>
      </c>
      <c r="K853" s="87">
        <v>6.369267</v>
      </c>
      <c r="L853" s="87">
        <v>6.919509</v>
      </c>
      <c r="M853" s="87">
        <v>2.245337</v>
      </c>
      <c r="N853" s="87">
        <v>0.352527</v>
      </c>
      <c r="O853" s="87">
        <v>1.970634</v>
      </c>
      <c r="P853" s="87">
        <v>1.970634</v>
      </c>
      <c r="Q853" s="87">
        <v>1.970634</v>
      </c>
      <c r="R853" s="87">
        <v>2.153296</v>
      </c>
      <c r="S853" s="87">
        <v>2.245337</v>
      </c>
      <c r="T853" s="87">
        <v>1.970634</v>
      </c>
      <c r="U853" s="87">
        <v>1.970634</v>
      </c>
      <c r="V853" s="87">
        <v>1.970634</v>
      </c>
      <c r="W853" s="87">
        <v>2.153296</v>
      </c>
      <c r="X853" s="87">
        <v>2.245337</v>
      </c>
      <c r="Y853" s="87">
        <v>2.123089</v>
      </c>
      <c r="Z853" s="88" t="s">
        <v>1396</v>
      </c>
    </row>
    <row r="854" hidden="1">
      <c r="A854" s="90" t="s">
        <v>2544</v>
      </c>
      <c r="B854" s="90" t="s">
        <v>2565</v>
      </c>
      <c r="C854" s="90" t="s">
        <v>537</v>
      </c>
      <c r="D854" s="90" t="s">
        <v>543</v>
      </c>
      <c r="E854" s="90" t="s">
        <v>1400</v>
      </c>
      <c r="F854" s="87">
        <v>13.0</v>
      </c>
      <c r="G854" s="87">
        <v>0.0</v>
      </c>
      <c r="H854" s="87">
        <v>10050.0</v>
      </c>
      <c r="I854" s="87">
        <v>0.0</v>
      </c>
      <c r="J854" s="87">
        <v>48.54713</v>
      </c>
      <c r="K854" s="87">
        <v>53.0128</v>
      </c>
      <c r="L854" s="87">
        <v>60.86188</v>
      </c>
      <c r="M854" s="87">
        <v>33.42003</v>
      </c>
      <c r="N854" s="87">
        <v>0.630414</v>
      </c>
      <c r="O854" s="87">
        <v>2.058343</v>
      </c>
      <c r="P854" s="87">
        <v>2.185847</v>
      </c>
      <c r="Q854" s="87">
        <v>4.604342</v>
      </c>
      <c r="R854" s="87">
        <v>4.819341</v>
      </c>
      <c r="S854" s="87">
        <v>5.924895</v>
      </c>
      <c r="T854" s="87">
        <v>2.058343</v>
      </c>
      <c r="U854" s="87">
        <v>2.185847</v>
      </c>
      <c r="V854" s="87">
        <v>4.604342</v>
      </c>
      <c r="W854" s="87">
        <v>4.819341</v>
      </c>
      <c r="X854" s="87">
        <v>5.924895</v>
      </c>
      <c r="Y854" s="87">
        <v>7.573257</v>
      </c>
      <c r="Z854" s="88" t="s">
        <v>1396</v>
      </c>
    </row>
    <row r="855" hidden="1">
      <c r="A855" s="90" t="s">
        <v>2548</v>
      </c>
      <c r="B855" s="90" t="s">
        <v>2566</v>
      </c>
      <c r="C855" s="90" t="s">
        <v>537</v>
      </c>
      <c r="D855" s="90" t="s">
        <v>543</v>
      </c>
      <c r="E855" s="90" t="s">
        <v>1403</v>
      </c>
      <c r="F855" s="87">
        <v>4.0</v>
      </c>
      <c r="G855" s="87">
        <v>4.0</v>
      </c>
      <c r="H855" s="87">
        <v>417.0</v>
      </c>
      <c r="I855" s="87">
        <v>417.0</v>
      </c>
      <c r="J855" s="87">
        <v>0.0</v>
      </c>
      <c r="K855" s="87">
        <v>0.0</v>
      </c>
      <c r="L855" s="87">
        <v>0.0</v>
      </c>
      <c r="M855" s="87">
        <v>0.0</v>
      </c>
      <c r="N855" s="91"/>
      <c r="O855" s="87">
        <v>0.0</v>
      </c>
      <c r="P855" s="87">
        <v>0.0</v>
      </c>
      <c r="Q855" s="87">
        <v>0.0</v>
      </c>
      <c r="R855" s="87">
        <v>0.0</v>
      </c>
      <c r="S855" s="87">
        <v>0.0</v>
      </c>
      <c r="T855" s="91"/>
      <c r="U855" s="91"/>
      <c r="V855" s="91"/>
      <c r="W855" s="91"/>
      <c r="X855" s="91"/>
      <c r="Y855" s="87">
        <v>0.0</v>
      </c>
      <c r="Z855" s="88" t="s">
        <v>1396</v>
      </c>
    </row>
    <row r="856" hidden="1">
      <c r="A856" s="90" t="s">
        <v>2540</v>
      </c>
      <c r="B856" s="90" t="s">
        <v>2567</v>
      </c>
      <c r="C856" s="90" t="s">
        <v>537</v>
      </c>
      <c r="D856" s="90" t="s">
        <v>2568</v>
      </c>
      <c r="E856" s="86">
        <v>46310.0</v>
      </c>
      <c r="F856" s="87">
        <v>5.0</v>
      </c>
      <c r="G856" s="87">
        <v>0.0</v>
      </c>
      <c r="H856" s="87">
        <v>6452.0</v>
      </c>
      <c r="I856" s="87">
        <v>0.0</v>
      </c>
      <c r="J856" s="87">
        <v>76.49078</v>
      </c>
      <c r="K856" s="87">
        <v>78.67015</v>
      </c>
      <c r="L856" s="87">
        <v>80.44865</v>
      </c>
      <c r="M856" s="87">
        <v>28.30126</v>
      </c>
      <c r="N856" s="87">
        <v>0.359746</v>
      </c>
      <c r="O856" s="87">
        <v>1.008713</v>
      </c>
      <c r="P856" s="87">
        <v>6.969965</v>
      </c>
      <c r="Q856" s="87">
        <v>6.969965</v>
      </c>
      <c r="R856" s="87">
        <v>15.26822</v>
      </c>
      <c r="S856" s="87">
        <v>27.12199</v>
      </c>
      <c r="T856" s="87">
        <v>1.008713</v>
      </c>
      <c r="U856" s="87">
        <v>6.969965</v>
      </c>
      <c r="V856" s="87">
        <v>6.969965</v>
      </c>
      <c r="W856" s="87">
        <v>15.26822</v>
      </c>
      <c r="X856" s="87">
        <v>27.12199</v>
      </c>
      <c r="Y856" s="87">
        <v>15.73403</v>
      </c>
      <c r="Z856" s="88" t="s">
        <v>1396</v>
      </c>
    </row>
    <row r="857" hidden="1">
      <c r="A857" s="90" t="s">
        <v>2552</v>
      </c>
      <c r="B857" s="90" t="s">
        <v>2569</v>
      </c>
      <c r="C857" s="90" t="s">
        <v>537</v>
      </c>
      <c r="D857" s="90" t="s">
        <v>2568</v>
      </c>
      <c r="E857" s="90" t="s">
        <v>1413</v>
      </c>
      <c r="F857" s="87">
        <v>1.0</v>
      </c>
      <c r="G857" s="87">
        <v>0.0</v>
      </c>
      <c r="H857" s="87">
        <v>791.0</v>
      </c>
      <c r="I857" s="87">
        <v>0.0</v>
      </c>
      <c r="J857" s="87">
        <v>15.38182</v>
      </c>
      <c r="K857" s="87">
        <v>10.34566</v>
      </c>
      <c r="L857" s="87">
        <v>9.440232</v>
      </c>
      <c r="M857" s="87">
        <v>10.34566</v>
      </c>
      <c r="N857" s="87">
        <v>1.0</v>
      </c>
      <c r="O857" s="87">
        <v>10.34566</v>
      </c>
      <c r="P857" s="87">
        <v>10.34566</v>
      </c>
      <c r="Q857" s="87">
        <v>10.34566</v>
      </c>
      <c r="R857" s="87">
        <v>10.34566</v>
      </c>
      <c r="S857" s="87">
        <v>10.34566</v>
      </c>
      <c r="T857" s="87">
        <v>10.34566</v>
      </c>
      <c r="U857" s="87">
        <v>10.34566</v>
      </c>
      <c r="V857" s="87">
        <v>10.34566</v>
      </c>
      <c r="W857" s="87">
        <v>10.34566</v>
      </c>
      <c r="X857" s="87">
        <v>10.34566</v>
      </c>
      <c r="Y857" s="87">
        <v>10.34566</v>
      </c>
      <c r="Z857" s="88" t="s">
        <v>1396</v>
      </c>
    </row>
    <row r="858" hidden="1">
      <c r="A858" s="90" t="s">
        <v>2542</v>
      </c>
      <c r="B858" s="90" t="s">
        <v>2570</v>
      </c>
      <c r="C858" s="90" t="s">
        <v>537</v>
      </c>
      <c r="D858" s="90" t="s">
        <v>2568</v>
      </c>
      <c r="E858" s="90" t="s">
        <v>1398</v>
      </c>
      <c r="F858" s="87">
        <v>4.0</v>
      </c>
      <c r="G858" s="87">
        <v>0.0</v>
      </c>
      <c r="H858" s="87">
        <v>9283.0</v>
      </c>
      <c r="I858" s="87">
        <v>0.0</v>
      </c>
      <c r="J858" s="87">
        <v>57.07173</v>
      </c>
      <c r="K858" s="87">
        <v>82.68843</v>
      </c>
      <c r="L858" s="87">
        <v>82.8531</v>
      </c>
      <c r="M858" s="87">
        <v>45.49836</v>
      </c>
      <c r="N858" s="87">
        <v>0.550239</v>
      </c>
      <c r="O858" s="87">
        <v>6.810826</v>
      </c>
      <c r="P858" s="87">
        <v>6.810826</v>
      </c>
      <c r="Q858" s="87">
        <v>7.616977</v>
      </c>
      <c r="R858" s="87">
        <v>22.76227</v>
      </c>
      <c r="S858" s="87">
        <v>22.76227</v>
      </c>
      <c r="T858" s="87">
        <v>6.810826</v>
      </c>
      <c r="U858" s="87">
        <v>6.810826</v>
      </c>
      <c r="V858" s="87">
        <v>7.616977</v>
      </c>
      <c r="W858" s="87">
        <v>22.76227</v>
      </c>
      <c r="X858" s="87">
        <v>22.76227</v>
      </c>
      <c r="Y858" s="87">
        <v>20.67211</v>
      </c>
      <c r="Z858" s="88" t="s">
        <v>1396</v>
      </c>
    </row>
    <row r="859" hidden="1">
      <c r="A859" s="90" t="s">
        <v>2544</v>
      </c>
      <c r="B859" s="90" t="s">
        <v>2571</v>
      </c>
      <c r="C859" s="90" t="s">
        <v>537</v>
      </c>
      <c r="D859" s="90" t="s">
        <v>2568</v>
      </c>
      <c r="E859" s="90" t="s">
        <v>1400</v>
      </c>
      <c r="F859" s="87">
        <v>17.0</v>
      </c>
      <c r="G859" s="87">
        <v>0.0</v>
      </c>
      <c r="H859" s="87">
        <v>13889.0</v>
      </c>
      <c r="I859" s="87">
        <v>0.0</v>
      </c>
      <c r="J859" s="87">
        <v>99.48164</v>
      </c>
      <c r="K859" s="87">
        <v>93.38499</v>
      </c>
      <c r="L859" s="87">
        <v>97.99098</v>
      </c>
      <c r="M859" s="87">
        <v>49.93608</v>
      </c>
      <c r="N859" s="87">
        <v>0.534733</v>
      </c>
      <c r="O859" s="87">
        <v>1.330188</v>
      </c>
      <c r="P859" s="87">
        <v>1.668966</v>
      </c>
      <c r="Q859" s="87">
        <v>2.945225</v>
      </c>
      <c r="R859" s="87">
        <v>4.700668</v>
      </c>
      <c r="S859" s="87">
        <v>4.943236</v>
      </c>
      <c r="T859" s="87">
        <v>1.330188</v>
      </c>
      <c r="U859" s="87">
        <v>1.668966</v>
      </c>
      <c r="V859" s="87">
        <v>2.945225</v>
      </c>
      <c r="W859" s="87">
        <v>4.700668</v>
      </c>
      <c r="X859" s="87">
        <v>4.943236</v>
      </c>
      <c r="Y859" s="87">
        <v>5.493235</v>
      </c>
      <c r="Z859" s="88" t="s">
        <v>1396</v>
      </c>
    </row>
    <row r="860" hidden="1">
      <c r="A860" s="90" t="s">
        <v>2546</v>
      </c>
      <c r="B860" s="90" t="s">
        <v>2572</v>
      </c>
      <c r="C860" s="90" t="s">
        <v>537</v>
      </c>
      <c r="D860" s="90" t="s">
        <v>2568</v>
      </c>
      <c r="E860" s="89">
        <v>46300.0</v>
      </c>
      <c r="F860" s="87">
        <v>1.0</v>
      </c>
      <c r="G860" s="87">
        <v>0.0</v>
      </c>
      <c r="H860" s="87">
        <v>2192.0</v>
      </c>
      <c r="I860" s="87">
        <v>0.0</v>
      </c>
      <c r="J860" s="87">
        <v>12.02692</v>
      </c>
      <c r="K860" s="87">
        <v>14.4841</v>
      </c>
      <c r="L860" s="87">
        <v>17.03022</v>
      </c>
      <c r="M860" s="87">
        <v>14.4841</v>
      </c>
      <c r="N860" s="87">
        <v>1.0</v>
      </c>
      <c r="O860" s="87">
        <v>14.4841</v>
      </c>
      <c r="P860" s="87">
        <v>14.4841</v>
      </c>
      <c r="Q860" s="87">
        <v>14.4841</v>
      </c>
      <c r="R860" s="87">
        <v>14.4841</v>
      </c>
      <c r="S860" s="87">
        <v>14.4841</v>
      </c>
      <c r="T860" s="87">
        <v>14.4841</v>
      </c>
      <c r="U860" s="87">
        <v>14.4841</v>
      </c>
      <c r="V860" s="87">
        <v>14.4841</v>
      </c>
      <c r="W860" s="87">
        <v>14.4841</v>
      </c>
      <c r="X860" s="87">
        <v>14.4841</v>
      </c>
      <c r="Y860" s="87">
        <v>14.4841</v>
      </c>
      <c r="Z860" s="88" t="s">
        <v>1396</v>
      </c>
    </row>
    <row r="861" hidden="1">
      <c r="A861" s="90" t="s">
        <v>2548</v>
      </c>
      <c r="B861" s="90" t="s">
        <v>2573</v>
      </c>
      <c r="C861" s="90" t="s">
        <v>537</v>
      </c>
      <c r="D861" s="90" t="s">
        <v>2568</v>
      </c>
      <c r="E861" s="90" t="s">
        <v>1403</v>
      </c>
      <c r="F861" s="87">
        <v>0.0</v>
      </c>
      <c r="G861" s="87">
        <v>0.0</v>
      </c>
      <c r="H861" s="87">
        <v>0.0</v>
      </c>
      <c r="I861" s="87">
        <v>0.0</v>
      </c>
      <c r="J861" s="87">
        <v>0.0</v>
      </c>
      <c r="K861" s="87">
        <v>0.0</v>
      </c>
      <c r="L861" s="87">
        <v>0.0</v>
      </c>
      <c r="M861" s="87">
        <v>0.0</v>
      </c>
      <c r="N861" s="91"/>
      <c r="O861" s="87">
        <v>0.0</v>
      </c>
      <c r="P861" s="87">
        <v>0.0</v>
      </c>
      <c r="Q861" s="87">
        <v>0.0</v>
      </c>
      <c r="R861" s="87">
        <v>0.0</v>
      </c>
      <c r="S861" s="87">
        <v>0.0</v>
      </c>
      <c r="T861" s="91"/>
      <c r="U861" s="91"/>
      <c r="V861" s="91"/>
      <c r="W861" s="91"/>
      <c r="X861" s="91"/>
      <c r="Y861" s="87">
        <v>0.0</v>
      </c>
      <c r="Z861" s="88" t="s">
        <v>1396</v>
      </c>
    </row>
    <row r="862" hidden="1">
      <c r="A862" s="90" t="s">
        <v>2537</v>
      </c>
      <c r="B862" s="90" t="s">
        <v>2574</v>
      </c>
      <c r="C862" s="90" t="s">
        <v>537</v>
      </c>
      <c r="D862" s="90" t="s">
        <v>538</v>
      </c>
      <c r="E862" s="90" t="s">
        <v>1426</v>
      </c>
      <c r="F862" s="87">
        <v>8.0</v>
      </c>
      <c r="G862" s="87">
        <v>0.0</v>
      </c>
      <c r="H862" s="87">
        <v>23850.0</v>
      </c>
      <c r="I862" s="87">
        <v>0.0</v>
      </c>
      <c r="J862" s="87">
        <v>227.9118</v>
      </c>
      <c r="K862" s="87">
        <v>229.7733</v>
      </c>
      <c r="L862" s="87">
        <v>241.7909</v>
      </c>
      <c r="M862" s="87">
        <v>137.0911</v>
      </c>
      <c r="N862" s="87">
        <v>0.596636</v>
      </c>
      <c r="O862" s="87">
        <v>6.028147</v>
      </c>
      <c r="P862" s="87">
        <v>8.170238</v>
      </c>
      <c r="Q862" s="87">
        <v>11.41809</v>
      </c>
      <c r="R862" s="87">
        <v>22.62125</v>
      </c>
      <c r="S862" s="87">
        <v>44.44449</v>
      </c>
      <c r="T862" s="87">
        <v>6.028147</v>
      </c>
      <c r="U862" s="87">
        <v>8.170238</v>
      </c>
      <c r="V862" s="87">
        <v>11.41809</v>
      </c>
      <c r="W862" s="87">
        <v>22.62125</v>
      </c>
      <c r="X862" s="87">
        <v>44.44449</v>
      </c>
      <c r="Y862" s="87">
        <v>32.82476</v>
      </c>
      <c r="Z862" s="88" t="s">
        <v>1396</v>
      </c>
    </row>
    <row r="863" hidden="1">
      <c r="A863" s="90" t="s">
        <v>2540</v>
      </c>
      <c r="B863" s="90" t="s">
        <v>2575</v>
      </c>
      <c r="C863" s="90" t="s">
        <v>537</v>
      </c>
      <c r="D863" s="90" t="s">
        <v>538</v>
      </c>
      <c r="E863" s="86">
        <v>46310.0</v>
      </c>
      <c r="F863" s="87">
        <v>12.0</v>
      </c>
      <c r="G863" s="87">
        <v>1.0</v>
      </c>
      <c r="H863" s="87">
        <v>11408.0</v>
      </c>
      <c r="I863" s="87">
        <v>218.0</v>
      </c>
      <c r="J863" s="87">
        <v>163.6163</v>
      </c>
      <c r="K863" s="87">
        <v>163.4059</v>
      </c>
      <c r="L863" s="87">
        <v>161.8053</v>
      </c>
      <c r="M863" s="87">
        <v>63.19833</v>
      </c>
      <c r="N863" s="87">
        <v>0.386757</v>
      </c>
      <c r="O863" s="87">
        <v>5.944126</v>
      </c>
      <c r="P863" s="87">
        <v>8.902662</v>
      </c>
      <c r="Q863" s="87">
        <v>11.87907</v>
      </c>
      <c r="R863" s="87">
        <v>14.57774</v>
      </c>
      <c r="S863" s="87">
        <v>27.7045</v>
      </c>
      <c r="T863" s="87">
        <v>5.944126</v>
      </c>
      <c r="U863" s="87">
        <v>8.902662</v>
      </c>
      <c r="V863" s="87">
        <v>11.87907</v>
      </c>
      <c r="W863" s="87">
        <v>14.57774</v>
      </c>
      <c r="X863" s="87">
        <v>27.7045</v>
      </c>
      <c r="Y863" s="87">
        <v>16.34059</v>
      </c>
      <c r="Z863" s="88" t="s">
        <v>1396</v>
      </c>
    </row>
    <row r="864" hidden="1">
      <c r="A864" s="90" t="s">
        <v>2552</v>
      </c>
      <c r="B864" s="90" t="s">
        <v>2576</v>
      </c>
      <c r="C864" s="90" t="s">
        <v>537</v>
      </c>
      <c r="D864" s="90" t="s">
        <v>538</v>
      </c>
      <c r="E864" s="90" t="s">
        <v>1413</v>
      </c>
      <c r="F864" s="87">
        <v>6.0</v>
      </c>
      <c r="G864" s="87">
        <v>0.0</v>
      </c>
      <c r="H864" s="87">
        <v>5279.0</v>
      </c>
      <c r="I864" s="87">
        <v>0.0</v>
      </c>
      <c r="J864" s="87">
        <v>19.34052</v>
      </c>
      <c r="K864" s="87">
        <v>19.34675</v>
      </c>
      <c r="L864" s="87">
        <v>19.24114</v>
      </c>
      <c r="M864" s="87">
        <v>7.22305</v>
      </c>
      <c r="N864" s="87">
        <v>0.373347</v>
      </c>
      <c r="O864" s="87">
        <v>1.603773</v>
      </c>
      <c r="P864" s="87">
        <v>1.621018</v>
      </c>
      <c r="Q864" s="87">
        <v>1.621018</v>
      </c>
      <c r="R864" s="87">
        <v>4.231312</v>
      </c>
      <c r="S864" s="87">
        <v>4.667597</v>
      </c>
      <c r="T864" s="87">
        <v>1.603773</v>
      </c>
      <c r="U864" s="87">
        <v>1.621018</v>
      </c>
      <c r="V864" s="87">
        <v>1.621018</v>
      </c>
      <c r="W864" s="87">
        <v>4.231312</v>
      </c>
      <c r="X864" s="87">
        <v>4.667597</v>
      </c>
      <c r="Y864" s="87">
        <v>3.86935</v>
      </c>
      <c r="Z864" s="88" t="s">
        <v>1396</v>
      </c>
    </row>
    <row r="865" hidden="1">
      <c r="A865" s="90" t="s">
        <v>2542</v>
      </c>
      <c r="B865" s="90" t="s">
        <v>2577</v>
      </c>
      <c r="C865" s="90" t="s">
        <v>537</v>
      </c>
      <c r="D865" s="90" t="s">
        <v>538</v>
      </c>
      <c r="E865" s="90" t="s">
        <v>1398</v>
      </c>
      <c r="F865" s="87">
        <v>1.0</v>
      </c>
      <c r="G865" s="87">
        <v>0.0</v>
      </c>
      <c r="H865" s="87">
        <v>930.0</v>
      </c>
      <c r="I865" s="87">
        <v>0.0</v>
      </c>
      <c r="J865" s="87">
        <v>8.62316</v>
      </c>
      <c r="K865" s="87">
        <v>9.355413</v>
      </c>
      <c r="L865" s="87">
        <v>10.15462</v>
      </c>
      <c r="M865" s="87">
        <v>9.355413</v>
      </c>
      <c r="N865" s="87">
        <v>1.0</v>
      </c>
      <c r="O865" s="87">
        <v>9.355413</v>
      </c>
      <c r="P865" s="87">
        <v>9.355413</v>
      </c>
      <c r="Q865" s="87">
        <v>9.355413</v>
      </c>
      <c r="R865" s="87">
        <v>9.355413</v>
      </c>
      <c r="S865" s="87">
        <v>9.355413</v>
      </c>
      <c r="T865" s="87">
        <v>9.355413</v>
      </c>
      <c r="U865" s="87">
        <v>9.355413</v>
      </c>
      <c r="V865" s="87">
        <v>9.355413</v>
      </c>
      <c r="W865" s="87">
        <v>9.355413</v>
      </c>
      <c r="X865" s="87">
        <v>9.355413</v>
      </c>
      <c r="Y865" s="87">
        <v>9.355413</v>
      </c>
      <c r="Z865" s="88" t="s">
        <v>1396</v>
      </c>
    </row>
    <row r="866" hidden="1">
      <c r="A866" s="90" t="s">
        <v>2544</v>
      </c>
      <c r="B866" s="90" t="s">
        <v>2578</v>
      </c>
      <c r="C866" s="90" t="s">
        <v>537</v>
      </c>
      <c r="D866" s="90" t="s">
        <v>538</v>
      </c>
      <c r="E866" s="90" t="s">
        <v>1400</v>
      </c>
      <c r="F866" s="87">
        <v>17.0</v>
      </c>
      <c r="G866" s="87">
        <v>0.0</v>
      </c>
      <c r="H866" s="87">
        <v>12511.0</v>
      </c>
      <c r="I866" s="87">
        <v>0.0</v>
      </c>
      <c r="J866" s="87">
        <v>22.01915</v>
      </c>
      <c r="K866" s="87">
        <v>23.13668</v>
      </c>
      <c r="L866" s="87">
        <v>22.21035</v>
      </c>
      <c r="M866" s="87">
        <v>9.739097</v>
      </c>
      <c r="N866" s="87">
        <v>0.420937</v>
      </c>
      <c r="O866" s="87">
        <v>0.753846</v>
      </c>
      <c r="P866" s="87">
        <v>0.765591</v>
      </c>
      <c r="Q866" s="87">
        <v>0.930108</v>
      </c>
      <c r="R866" s="87">
        <v>1.496774</v>
      </c>
      <c r="S866" s="87">
        <v>1.711484</v>
      </c>
      <c r="T866" s="87">
        <v>0.753846</v>
      </c>
      <c r="U866" s="87">
        <v>0.765591</v>
      </c>
      <c r="V866" s="87">
        <v>0.930108</v>
      </c>
      <c r="W866" s="87">
        <v>1.496774</v>
      </c>
      <c r="X866" s="87">
        <v>1.711484</v>
      </c>
      <c r="Y866" s="87">
        <v>1.65262</v>
      </c>
      <c r="Z866" s="88" t="s">
        <v>1396</v>
      </c>
    </row>
    <row r="867" hidden="1">
      <c r="A867" s="90" t="s">
        <v>2546</v>
      </c>
      <c r="B867" s="90" t="s">
        <v>2579</v>
      </c>
      <c r="C867" s="90" t="s">
        <v>537</v>
      </c>
      <c r="D867" s="90" t="s">
        <v>538</v>
      </c>
      <c r="E867" s="89">
        <v>46300.0</v>
      </c>
      <c r="F867" s="87">
        <v>29.0</v>
      </c>
      <c r="G867" s="87">
        <v>1.0</v>
      </c>
      <c r="H867" s="87">
        <v>85739.0</v>
      </c>
      <c r="I867" s="87">
        <v>28.0</v>
      </c>
      <c r="J867" s="87">
        <v>669.269</v>
      </c>
      <c r="K867" s="87">
        <v>716.9284</v>
      </c>
      <c r="L867" s="87">
        <v>738.9321</v>
      </c>
      <c r="M867" s="87">
        <v>424.4782</v>
      </c>
      <c r="N867" s="87">
        <v>0.592079</v>
      </c>
      <c r="O867" s="87">
        <v>5.467157</v>
      </c>
      <c r="P867" s="87">
        <v>6.692693</v>
      </c>
      <c r="Q867" s="87">
        <v>9.237934</v>
      </c>
      <c r="R867" s="87">
        <v>13.92059</v>
      </c>
      <c r="S867" s="87">
        <v>28.61932</v>
      </c>
      <c r="T867" s="87">
        <v>5.467157</v>
      </c>
      <c r="U867" s="87">
        <v>6.692693</v>
      </c>
      <c r="V867" s="87">
        <v>9.237934</v>
      </c>
      <c r="W867" s="87">
        <v>13.92059</v>
      </c>
      <c r="X867" s="87">
        <v>28.61932</v>
      </c>
      <c r="Y867" s="87">
        <v>26.5529</v>
      </c>
      <c r="Z867" s="88" t="s">
        <v>1396</v>
      </c>
    </row>
    <row r="868" hidden="1">
      <c r="A868" s="90" t="s">
        <v>2548</v>
      </c>
      <c r="B868" s="90" t="s">
        <v>2580</v>
      </c>
      <c r="C868" s="90" t="s">
        <v>537</v>
      </c>
      <c r="D868" s="90" t="s">
        <v>538</v>
      </c>
      <c r="E868" s="90" t="s">
        <v>1403</v>
      </c>
      <c r="F868" s="87">
        <v>3.0</v>
      </c>
      <c r="G868" s="87">
        <v>3.0</v>
      </c>
      <c r="H868" s="87">
        <v>305.0</v>
      </c>
      <c r="I868" s="87">
        <v>305.0</v>
      </c>
      <c r="J868" s="87">
        <v>0.0</v>
      </c>
      <c r="K868" s="87">
        <v>0.0</v>
      </c>
      <c r="L868" s="87">
        <v>0.0</v>
      </c>
      <c r="M868" s="87">
        <v>0.0</v>
      </c>
      <c r="N868" s="91"/>
      <c r="O868" s="87">
        <v>0.0</v>
      </c>
      <c r="P868" s="87">
        <v>0.0</v>
      </c>
      <c r="Q868" s="87">
        <v>0.0</v>
      </c>
      <c r="R868" s="87">
        <v>0.0</v>
      </c>
      <c r="S868" s="87">
        <v>0.0</v>
      </c>
      <c r="T868" s="91"/>
      <c r="U868" s="91"/>
      <c r="V868" s="91"/>
      <c r="W868" s="91"/>
      <c r="X868" s="91"/>
      <c r="Y868" s="87">
        <v>0.0</v>
      </c>
      <c r="Z868" s="88" t="s">
        <v>1396</v>
      </c>
    </row>
    <row r="869" hidden="1">
      <c r="A869" s="90" t="s">
        <v>2581</v>
      </c>
      <c r="B869" s="90" t="s">
        <v>2582</v>
      </c>
      <c r="C869" s="90" t="s">
        <v>568</v>
      </c>
      <c r="D869" s="90" t="s">
        <v>2583</v>
      </c>
      <c r="E869" s="86">
        <v>46310.0</v>
      </c>
      <c r="F869" s="87">
        <v>1.0</v>
      </c>
      <c r="G869" s="87">
        <v>0.0</v>
      </c>
      <c r="H869" s="87">
        <v>538.0</v>
      </c>
      <c r="I869" s="87">
        <v>0.0</v>
      </c>
      <c r="J869" s="87">
        <v>4.094755</v>
      </c>
      <c r="K869" s="87">
        <v>3.743157</v>
      </c>
      <c r="L869" s="87">
        <v>3.839116</v>
      </c>
      <c r="M869" s="87">
        <v>3.743157</v>
      </c>
      <c r="N869" s="87">
        <v>1.0</v>
      </c>
      <c r="O869" s="87">
        <v>3.743157</v>
      </c>
      <c r="P869" s="87">
        <v>3.743157</v>
      </c>
      <c r="Q869" s="87">
        <v>3.743157</v>
      </c>
      <c r="R869" s="87">
        <v>3.743157</v>
      </c>
      <c r="S869" s="87">
        <v>3.743157</v>
      </c>
      <c r="T869" s="87">
        <v>3.743157</v>
      </c>
      <c r="U869" s="87">
        <v>3.743157</v>
      </c>
      <c r="V869" s="87">
        <v>3.743157</v>
      </c>
      <c r="W869" s="87">
        <v>3.743157</v>
      </c>
      <c r="X869" s="87">
        <v>3.743157</v>
      </c>
      <c r="Y869" s="87">
        <v>3.743157</v>
      </c>
      <c r="Z869" s="88" t="s">
        <v>1396</v>
      </c>
    </row>
    <row r="870" hidden="1">
      <c r="A870" s="90" t="s">
        <v>2584</v>
      </c>
      <c r="B870" s="90" t="s">
        <v>2585</v>
      </c>
      <c r="C870" s="90" t="s">
        <v>568</v>
      </c>
      <c r="D870" s="90" t="s">
        <v>2583</v>
      </c>
      <c r="E870" s="90" t="s">
        <v>1398</v>
      </c>
      <c r="F870" s="87">
        <v>1.0</v>
      </c>
      <c r="G870" s="87">
        <v>0.0</v>
      </c>
      <c r="H870" s="87">
        <v>227.0</v>
      </c>
      <c r="I870" s="87">
        <v>0.0</v>
      </c>
      <c r="J870" s="87">
        <v>1.594322</v>
      </c>
      <c r="K870" s="87">
        <v>1.640699</v>
      </c>
      <c r="L870" s="87">
        <v>1.629239</v>
      </c>
      <c r="M870" s="87">
        <v>1.640699</v>
      </c>
      <c r="N870" s="87">
        <v>1.0</v>
      </c>
      <c r="O870" s="87">
        <v>1.640699</v>
      </c>
      <c r="P870" s="87">
        <v>1.640699</v>
      </c>
      <c r="Q870" s="87">
        <v>1.640699</v>
      </c>
      <c r="R870" s="87">
        <v>1.640699</v>
      </c>
      <c r="S870" s="87">
        <v>1.640699</v>
      </c>
      <c r="T870" s="87">
        <v>1.640699</v>
      </c>
      <c r="U870" s="87">
        <v>1.640699</v>
      </c>
      <c r="V870" s="87">
        <v>1.640699</v>
      </c>
      <c r="W870" s="87">
        <v>1.640699</v>
      </c>
      <c r="X870" s="87">
        <v>1.640699</v>
      </c>
      <c r="Y870" s="87">
        <v>1.640699</v>
      </c>
      <c r="Z870" s="88" t="s">
        <v>1396</v>
      </c>
    </row>
    <row r="871" hidden="1">
      <c r="A871" s="90" t="s">
        <v>2586</v>
      </c>
      <c r="B871" s="90" t="s">
        <v>2587</v>
      </c>
      <c r="C871" s="90" t="s">
        <v>568</v>
      </c>
      <c r="D871" s="90" t="s">
        <v>2583</v>
      </c>
      <c r="E871" s="90" t="s">
        <v>1400</v>
      </c>
      <c r="F871" s="87">
        <v>10.0</v>
      </c>
      <c r="G871" s="87">
        <v>9.0</v>
      </c>
      <c r="H871" s="87">
        <v>118.0</v>
      </c>
      <c r="I871" s="87">
        <v>59.0</v>
      </c>
      <c r="J871" s="87">
        <v>0.396104</v>
      </c>
      <c r="K871" s="87">
        <v>0.747863</v>
      </c>
      <c r="L871" s="87">
        <v>0.784704</v>
      </c>
      <c r="M871" s="87">
        <v>0.747863</v>
      </c>
      <c r="N871" s="87">
        <v>1.0</v>
      </c>
      <c r="O871" s="87">
        <v>0.0</v>
      </c>
      <c r="P871" s="87">
        <v>0.0</v>
      </c>
      <c r="Q871" s="87">
        <v>0.0</v>
      </c>
      <c r="R871" s="87">
        <v>0.0</v>
      </c>
      <c r="S871" s="87">
        <v>0.0</v>
      </c>
      <c r="T871" s="87">
        <v>0.747863</v>
      </c>
      <c r="U871" s="87">
        <v>0.747863</v>
      </c>
      <c r="V871" s="87">
        <v>0.747863</v>
      </c>
      <c r="W871" s="87">
        <v>0.747863</v>
      </c>
      <c r="X871" s="87">
        <v>0.747863</v>
      </c>
      <c r="Y871" s="87">
        <v>0.124644</v>
      </c>
      <c r="Z871" s="88" t="s">
        <v>1396</v>
      </c>
    </row>
    <row r="872" hidden="1">
      <c r="A872" s="90" t="s">
        <v>2588</v>
      </c>
      <c r="B872" s="90" t="s">
        <v>2589</v>
      </c>
      <c r="C872" s="90" t="s">
        <v>568</v>
      </c>
      <c r="D872" s="90" t="s">
        <v>2583</v>
      </c>
      <c r="E872" s="90" t="s">
        <v>1403</v>
      </c>
      <c r="F872" s="87">
        <v>0.0</v>
      </c>
      <c r="G872" s="87">
        <v>0.0</v>
      </c>
      <c r="H872" s="87">
        <v>0.0</v>
      </c>
      <c r="I872" s="87">
        <v>0.0</v>
      </c>
      <c r="J872" s="87">
        <v>0.0</v>
      </c>
      <c r="K872" s="87">
        <v>0.0</v>
      </c>
      <c r="L872" s="87">
        <v>0.0</v>
      </c>
      <c r="M872" s="87">
        <v>0.0</v>
      </c>
      <c r="N872" s="91"/>
      <c r="O872" s="87">
        <v>0.0</v>
      </c>
      <c r="P872" s="87">
        <v>0.0</v>
      </c>
      <c r="Q872" s="87">
        <v>0.0</v>
      </c>
      <c r="R872" s="87">
        <v>0.0</v>
      </c>
      <c r="S872" s="87">
        <v>0.0</v>
      </c>
      <c r="T872" s="91"/>
      <c r="U872" s="91"/>
      <c r="V872" s="91"/>
      <c r="W872" s="91"/>
      <c r="X872" s="91"/>
      <c r="Y872" s="87">
        <v>0.0</v>
      </c>
      <c r="Z872" s="88" t="s">
        <v>1396</v>
      </c>
    </row>
    <row r="873" hidden="1">
      <c r="A873" s="90" t="s">
        <v>2581</v>
      </c>
      <c r="B873" s="90" t="s">
        <v>2592</v>
      </c>
      <c r="C873" s="90" t="s">
        <v>568</v>
      </c>
      <c r="D873" s="90" t="s">
        <v>569</v>
      </c>
      <c r="E873" s="86">
        <v>46310.0</v>
      </c>
      <c r="F873" s="87">
        <v>1.0</v>
      </c>
      <c r="G873" s="87">
        <v>0.0</v>
      </c>
      <c r="H873" s="87">
        <v>300.0</v>
      </c>
      <c r="I873" s="87">
        <v>0.0</v>
      </c>
      <c r="J873" s="87">
        <v>1.880952</v>
      </c>
      <c r="K873" s="87">
        <v>2.1228</v>
      </c>
      <c r="L873" s="87">
        <v>2.282915</v>
      </c>
      <c r="M873" s="87">
        <v>2.1228</v>
      </c>
      <c r="N873" s="87">
        <v>1.0</v>
      </c>
      <c r="O873" s="87">
        <v>2.1228</v>
      </c>
      <c r="P873" s="87">
        <v>2.1228</v>
      </c>
      <c r="Q873" s="87">
        <v>2.1228</v>
      </c>
      <c r="R873" s="87">
        <v>2.1228</v>
      </c>
      <c r="S873" s="87">
        <v>2.1228</v>
      </c>
      <c r="T873" s="87">
        <v>2.1228</v>
      </c>
      <c r="U873" s="87">
        <v>2.1228</v>
      </c>
      <c r="V873" s="87">
        <v>2.1228</v>
      </c>
      <c r="W873" s="87">
        <v>2.1228</v>
      </c>
      <c r="X873" s="87">
        <v>2.1228</v>
      </c>
      <c r="Y873" s="87">
        <v>2.1228</v>
      </c>
      <c r="Z873" s="88" t="s">
        <v>1396</v>
      </c>
    </row>
    <row r="874" hidden="1">
      <c r="A874" s="90" t="s">
        <v>2593</v>
      </c>
      <c r="B874" s="90" t="s">
        <v>2594</v>
      </c>
      <c r="C874" s="90" t="s">
        <v>568</v>
      </c>
      <c r="D874" s="90" t="s">
        <v>569</v>
      </c>
      <c r="E874" s="90" t="s">
        <v>1413</v>
      </c>
      <c r="F874" s="87">
        <v>3.0</v>
      </c>
      <c r="G874" s="87">
        <v>0.0</v>
      </c>
      <c r="H874" s="87">
        <v>1155.0</v>
      </c>
      <c r="I874" s="87">
        <v>0.0</v>
      </c>
      <c r="J874" s="87">
        <v>9.480356</v>
      </c>
      <c r="K874" s="87">
        <v>8.080958</v>
      </c>
      <c r="L874" s="87">
        <v>8.918585</v>
      </c>
      <c r="M874" s="87">
        <v>6.615367</v>
      </c>
      <c r="N874" s="87">
        <v>0.818636</v>
      </c>
      <c r="O874" s="87">
        <v>0.5</v>
      </c>
      <c r="P874" s="87">
        <v>0.5</v>
      </c>
      <c r="Q874" s="87">
        <v>0.5</v>
      </c>
      <c r="R874" s="87">
        <v>0.965591</v>
      </c>
      <c r="S874" s="87">
        <v>6.615367</v>
      </c>
      <c r="T874" s="87">
        <v>0.5</v>
      </c>
      <c r="U874" s="87">
        <v>0.5</v>
      </c>
      <c r="V874" s="87">
        <v>0.5</v>
      </c>
      <c r="W874" s="87">
        <v>0.965591</v>
      </c>
      <c r="X874" s="87">
        <v>6.615367</v>
      </c>
      <c r="Y874" s="87">
        <v>2.693653</v>
      </c>
      <c r="Z874" s="88" t="s">
        <v>1396</v>
      </c>
    </row>
    <row r="875" hidden="1">
      <c r="A875" s="90" t="s">
        <v>2586</v>
      </c>
      <c r="B875" s="90" t="s">
        <v>2596</v>
      </c>
      <c r="C875" s="90" t="s">
        <v>568</v>
      </c>
      <c r="D875" s="90" t="s">
        <v>569</v>
      </c>
      <c r="E875" s="90" t="s">
        <v>1400</v>
      </c>
      <c r="F875" s="87">
        <v>3.0</v>
      </c>
      <c r="G875" s="87">
        <v>2.0</v>
      </c>
      <c r="H875" s="87">
        <v>40.0</v>
      </c>
      <c r="I875" s="87">
        <v>10.0</v>
      </c>
      <c r="J875" s="87">
        <v>0.0</v>
      </c>
      <c r="K875" s="87">
        <v>0.0</v>
      </c>
      <c r="L875" s="87">
        <v>0.0</v>
      </c>
      <c r="M875" s="87">
        <v>0.0</v>
      </c>
      <c r="N875" s="91"/>
      <c r="O875" s="91"/>
      <c r="P875" s="91"/>
      <c r="Q875" s="91"/>
      <c r="R875" s="91"/>
      <c r="S875" s="91"/>
      <c r="T875" s="91"/>
      <c r="U875" s="91"/>
      <c r="V875" s="91"/>
      <c r="W875" s="91"/>
      <c r="X875" s="91"/>
      <c r="Y875" s="91"/>
      <c r="Z875" s="88" t="s">
        <v>1396</v>
      </c>
    </row>
    <row r="876" hidden="1">
      <c r="A876" s="90" t="s">
        <v>2597</v>
      </c>
      <c r="B876" s="90" t="s">
        <v>2598</v>
      </c>
      <c r="C876" s="90" t="s">
        <v>568</v>
      </c>
      <c r="D876" s="90" t="s">
        <v>569</v>
      </c>
      <c r="E876" s="89">
        <v>46300.0</v>
      </c>
      <c r="F876" s="87">
        <v>6.0</v>
      </c>
      <c r="G876" s="87">
        <v>0.0</v>
      </c>
      <c r="H876" s="87">
        <v>1458.0</v>
      </c>
      <c r="I876" s="87">
        <v>0.0</v>
      </c>
      <c r="J876" s="87">
        <v>7.455495</v>
      </c>
      <c r="K876" s="87">
        <v>10.76552</v>
      </c>
      <c r="L876" s="87">
        <v>9.32291</v>
      </c>
      <c r="M876" s="87">
        <v>4.81245</v>
      </c>
      <c r="N876" s="87">
        <v>0.447025</v>
      </c>
      <c r="O876" s="87">
        <v>1.007143</v>
      </c>
      <c r="P876" s="87">
        <v>1.097849</v>
      </c>
      <c r="Q876" s="87">
        <v>1.097849</v>
      </c>
      <c r="R876" s="87">
        <v>2.064739</v>
      </c>
      <c r="S876" s="87">
        <v>2.0949</v>
      </c>
      <c r="T876" s="87">
        <v>1.007143</v>
      </c>
      <c r="U876" s="87">
        <v>1.097849</v>
      </c>
      <c r="V876" s="87">
        <v>1.097849</v>
      </c>
      <c r="W876" s="87">
        <v>2.064739</v>
      </c>
      <c r="X876" s="87">
        <v>2.0949</v>
      </c>
      <c r="Y876" s="87">
        <v>1.794253</v>
      </c>
      <c r="Z876" s="88" t="s">
        <v>1396</v>
      </c>
    </row>
    <row r="877" hidden="1">
      <c r="A877" s="90" t="s">
        <v>2588</v>
      </c>
      <c r="B877" s="90" t="s">
        <v>2599</v>
      </c>
      <c r="C877" s="90" t="s">
        <v>568</v>
      </c>
      <c r="D877" s="90" t="s">
        <v>569</v>
      </c>
      <c r="E877" s="90" t="s">
        <v>1403</v>
      </c>
      <c r="F877" s="87">
        <v>2.0</v>
      </c>
      <c r="G877" s="87">
        <v>2.0</v>
      </c>
      <c r="H877" s="87">
        <v>377.0</v>
      </c>
      <c r="I877" s="87">
        <v>377.0</v>
      </c>
      <c r="J877" s="87">
        <v>0.0</v>
      </c>
      <c r="K877" s="87">
        <v>0.0</v>
      </c>
      <c r="L877" s="87">
        <v>0.0</v>
      </c>
      <c r="M877" s="87">
        <v>0.0</v>
      </c>
      <c r="N877" s="91"/>
      <c r="O877" s="87">
        <v>0.0</v>
      </c>
      <c r="P877" s="87">
        <v>0.0</v>
      </c>
      <c r="Q877" s="87">
        <v>0.0</v>
      </c>
      <c r="R877" s="87">
        <v>0.0</v>
      </c>
      <c r="S877" s="87">
        <v>0.0</v>
      </c>
      <c r="T877" s="91"/>
      <c r="U877" s="91"/>
      <c r="V877" s="91"/>
      <c r="W877" s="91"/>
      <c r="X877" s="91"/>
      <c r="Y877" s="87">
        <v>0.0</v>
      </c>
      <c r="Z877" s="88" t="s">
        <v>1396</v>
      </c>
    </row>
    <row r="878" hidden="1">
      <c r="A878" s="90" t="s">
        <v>2593</v>
      </c>
      <c r="B878" s="90" t="s">
        <v>2600</v>
      </c>
      <c r="C878" s="90" t="s">
        <v>568</v>
      </c>
      <c r="D878" s="90" t="s">
        <v>1055</v>
      </c>
      <c r="E878" s="90" t="s">
        <v>1413</v>
      </c>
      <c r="F878" s="87">
        <v>3.0</v>
      </c>
      <c r="G878" s="87">
        <v>0.0</v>
      </c>
      <c r="H878" s="87">
        <v>371.0</v>
      </c>
      <c r="I878" s="87">
        <v>0.0</v>
      </c>
      <c r="J878" s="87">
        <v>0.829004</v>
      </c>
      <c r="K878" s="87">
        <v>3.677897</v>
      </c>
      <c r="L878" s="87">
        <v>2.456327</v>
      </c>
      <c r="M878" s="87">
        <v>2.045772</v>
      </c>
      <c r="N878" s="87">
        <v>0.556234</v>
      </c>
      <c r="O878" s="87">
        <v>0.298925</v>
      </c>
      <c r="P878" s="87">
        <v>0.298925</v>
      </c>
      <c r="Q878" s="87">
        <v>0.298925</v>
      </c>
      <c r="R878" s="87">
        <v>1.3332</v>
      </c>
      <c r="S878" s="87">
        <v>2.045772</v>
      </c>
      <c r="T878" s="87">
        <v>0.298925</v>
      </c>
      <c r="U878" s="87">
        <v>0.298925</v>
      </c>
      <c r="V878" s="87">
        <v>0.298925</v>
      </c>
      <c r="W878" s="87">
        <v>1.3332</v>
      </c>
      <c r="X878" s="87">
        <v>2.045772</v>
      </c>
      <c r="Y878" s="87">
        <v>1.225966</v>
      </c>
      <c r="Z878" s="88" t="s">
        <v>1396</v>
      </c>
    </row>
    <row r="879" hidden="1">
      <c r="A879" s="90" t="s">
        <v>2584</v>
      </c>
      <c r="B879" s="90" t="s">
        <v>2601</v>
      </c>
      <c r="C879" s="90" t="s">
        <v>568</v>
      </c>
      <c r="D879" s="90" t="s">
        <v>1055</v>
      </c>
      <c r="E879" s="90" t="s">
        <v>1398</v>
      </c>
      <c r="F879" s="87">
        <v>2.0</v>
      </c>
      <c r="G879" s="87">
        <v>0.0</v>
      </c>
      <c r="H879" s="87">
        <v>475.0</v>
      </c>
      <c r="I879" s="87">
        <v>0.0</v>
      </c>
      <c r="J879" s="87">
        <v>0.0</v>
      </c>
      <c r="K879" s="87">
        <v>0.1</v>
      </c>
      <c r="L879" s="87">
        <v>0.102564</v>
      </c>
      <c r="M879" s="87">
        <v>0.1</v>
      </c>
      <c r="N879" s="87">
        <v>1.0</v>
      </c>
      <c r="O879" s="87">
        <v>0.1</v>
      </c>
      <c r="P879" s="87">
        <v>0.1</v>
      </c>
      <c r="Q879" s="87">
        <v>0.1</v>
      </c>
      <c r="R879" s="87">
        <v>0.1</v>
      </c>
      <c r="S879" s="87">
        <v>0.1</v>
      </c>
      <c r="T879" s="87">
        <v>0.1</v>
      </c>
      <c r="U879" s="87">
        <v>0.1</v>
      </c>
      <c r="V879" s="87">
        <v>0.1</v>
      </c>
      <c r="W879" s="87">
        <v>0.1</v>
      </c>
      <c r="X879" s="87">
        <v>0.1</v>
      </c>
      <c r="Y879" s="87">
        <v>0.1</v>
      </c>
      <c r="Z879" s="88" t="s">
        <v>1396</v>
      </c>
    </row>
    <row r="880" hidden="1">
      <c r="A880" s="90" t="s">
        <v>2586</v>
      </c>
      <c r="B880" s="90" t="s">
        <v>3359</v>
      </c>
      <c r="C880" s="90" t="s">
        <v>568</v>
      </c>
      <c r="D880" s="90" t="s">
        <v>1055</v>
      </c>
      <c r="E880" s="90" t="s">
        <v>1400</v>
      </c>
      <c r="F880" s="87">
        <v>1.0</v>
      </c>
      <c r="G880" s="87">
        <v>1.0</v>
      </c>
      <c r="H880" s="87">
        <v>10.0</v>
      </c>
      <c r="I880" s="87">
        <v>10.0</v>
      </c>
      <c r="J880" s="87">
        <v>0.0</v>
      </c>
      <c r="K880" s="87">
        <v>0.0</v>
      </c>
      <c r="L880" s="87">
        <v>0.0</v>
      </c>
      <c r="M880" s="87">
        <v>0.0</v>
      </c>
      <c r="N880" s="91"/>
      <c r="O880" s="91"/>
      <c r="P880" s="91"/>
      <c r="Q880" s="91"/>
      <c r="R880" s="91"/>
      <c r="S880" s="91"/>
      <c r="T880" s="91"/>
      <c r="U880" s="91"/>
      <c r="V880" s="91"/>
      <c r="W880" s="91"/>
      <c r="X880" s="91"/>
      <c r="Y880" s="91"/>
      <c r="Z880" s="88" t="s">
        <v>1396</v>
      </c>
    </row>
    <row r="881" hidden="1">
      <c r="A881" s="90" t="s">
        <v>2588</v>
      </c>
      <c r="B881" s="90" t="s">
        <v>2602</v>
      </c>
      <c r="C881" s="90" t="s">
        <v>568</v>
      </c>
      <c r="D881" s="90" t="s">
        <v>1055</v>
      </c>
      <c r="E881" s="90" t="s">
        <v>1403</v>
      </c>
      <c r="F881" s="87">
        <v>0.0</v>
      </c>
      <c r="G881" s="87">
        <v>0.0</v>
      </c>
      <c r="H881" s="87">
        <v>0.0</v>
      </c>
      <c r="I881" s="87">
        <v>0.0</v>
      </c>
      <c r="J881" s="87">
        <v>0.0</v>
      </c>
      <c r="K881" s="87">
        <v>0.0</v>
      </c>
      <c r="L881" s="87">
        <v>0.0</v>
      </c>
      <c r="M881" s="87">
        <v>0.0</v>
      </c>
      <c r="N881" s="91"/>
      <c r="O881" s="87">
        <v>0.0</v>
      </c>
      <c r="P881" s="87">
        <v>0.0</v>
      </c>
      <c r="Q881" s="87">
        <v>0.0</v>
      </c>
      <c r="R881" s="87">
        <v>0.0</v>
      </c>
      <c r="S881" s="87">
        <v>0.0</v>
      </c>
      <c r="T881" s="91"/>
      <c r="U881" s="91"/>
      <c r="V881" s="91"/>
      <c r="W881" s="91"/>
      <c r="X881" s="91"/>
      <c r="Y881" s="87">
        <v>0.0</v>
      </c>
      <c r="Z881" s="88" t="s">
        <v>1396</v>
      </c>
    </row>
    <row r="882" hidden="1">
      <c r="A882" s="90" t="s">
        <v>2603</v>
      </c>
      <c r="B882" s="90" t="s">
        <v>2604</v>
      </c>
      <c r="C882" s="90" t="s">
        <v>2605</v>
      </c>
      <c r="D882" s="90" t="s">
        <v>2606</v>
      </c>
      <c r="E882" s="90" t="s">
        <v>1400</v>
      </c>
      <c r="F882" s="87">
        <v>4.0</v>
      </c>
      <c r="G882" s="87">
        <v>4.0</v>
      </c>
      <c r="H882" s="87">
        <v>13.0</v>
      </c>
      <c r="I882" s="87">
        <v>13.0</v>
      </c>
      <c r="J882" s="87">
        <v>0.0</v>
      </c>
      <c r="K882" s="87">
        <v>0.0</v>
      </c>
      <c r="L882" s="87">
        <v>0.0</v>
      </c>
      <c r="M882" s="87">
        <v>0.0</v>
      </c>
      <c r="N882" s="91"/>
      <c r="O882" s="87">
        <v>0.0</v>
      </c>
      <c r="P882" s="87">
        <v>0.0</v>
      </c>
      <c r="Q882" s="87">
        <v>0.0</v>
      </c>
      <c r="R882" s="87">
        <v>0.0</v>
      </c>
      <c r="S882" s="87">
        <v>0.0</v>
      </c>
      <c r="T882" s="91"/>
      <c r="U882" s="91"/>
      <c r="V882" s="91"/>
      <c r="W882" s="91"/>
      <c r="X882" s="91"/>
      <c r="Y882" s="87">
        <v>0.0</v>
      </c>
      <c r="Z882" s="88" t="s">
        <v>1396</v>
      </c>
    </row>
    <row r="883" hidden="1">
      <c r="A883" s="90" t="s">
        <v>2607</v>
      </c>
      <c r="B883" s="90" t="s">
        <v>2608</v>
      </c>
      <c r="C883" s="90" t="s">
        <v>2609</v>
      </c>
      <c r="D883" s="90" t="s">
        <v>2610</v>
      </c>
      <c r="E883" s="86">
        <v>46310.0</v>
      </c>
      <c r="F883" s="87">
        <v>6.0</v>
      </c>
      <c r="G883" s="87">
        <v>2.0</v>
      </c>
      <c r="H883" s="87">
        <v>3184.0</v>
      </c>
      <c r="I883" s="87">
        <v>82.0</v>
      </c>
      <c r="J883" s="87">
        <v>30.44459</v>
      </c>
      <c r="K883" s="87">
        <v>29.83654</v>
      </c>
      <c r="L883" s="87">
        <v>29.7313</v>
      </c>
      <c r="M883" s="87">
        <v>18.04316</v>
      </c>
      <c r="N883" s="87">
        <v>0.604734</v>
      </c>
      <c r="O883" s="87">
        <v>0.0</v>
      </c>
      <c r="P883" s="87">
        <v>0.0</v>
      </c>
      <c r="Q883" s="87">
        <v>0.0</v>
      </c>
      <c r="R883" s="87">
        <v>11.79338</v>
      </c>
      <c r="S883" s="87">
        <v>18.04316</v>
      </c>
      <c r="T883" s="87">
        <v>11.79338</v>
      </c>
      <c r="U883" s="87">
        <v>11.79338</v>
      </c>
      <c r="V883" s="87">
        <v>11.79338</v>
      </c>
      <c r="W883" s="87">
        <v>18.04316</v>
      </c>
      <c r="X883" s="87">
        <v>18.04316</v>
      </c>
      <c r="Y883" s="87">
        <v>9.945513</v>
      </c>
      <c r="Z883" s="88" t="s">
        <v>1396</v>
      </c>
    </row>
    <row r="884" hidden="1">
      <c r="A884" s="90" t="s">
        <v>2615</v>
      </c>
      <c r="B884" s="90" t="s">
        <v>3360</v>
      </c>
      <c r="C884" s="90" t="s">
        <v>2609</v>
      </c>
      <c r="D884" s="90" t="s">
        <v>2610</v>
      </c>
      <c r="E884" s="90" t="s">
        <v>1413</v>
      </c>
      <c r="F884" s="87">
        <v>2.0</v>
      </c>
      <c r="G884" s="87">
        <v>0.0</v>
      </c>
      <c r="H884" s="87">
        <v>102.0</v>
      </c>
      <c r="I884" s="87">
        <v>0.0</v>
      </c>
      <c r="J884" s="87">
        <v>0.0</v>
      </c>
      <c r="K884" s="87">
        <v>0.0</v>
      </c>
      <c r="L884" s="87">
        <v>0.0</v>
      </c>
      <c r="M884" s="87">
        <v>0.0</v>
      </c>
      <c r="N884" s="91"/>
      <c r="O884" s="91"/>
      <c r="P884" s="91"/>
      <c r="Q884" s="91"/>
      <c r="R884" s="91"/>
      <c r="S884" s="91"/>
      <c r="T884" s="91"/>
      <c r="U884" s="91"/>
      <c r="V884" s="91"/>
      <c r="W884" s="91"/>
      <c r="X884" s="91"/>
      <c r="Y884" s="91"/>
      <c r="Z884" s="88" t="s">
        <v>1396</v>
      </c>
    </row>
    <row r="885" hidden="1">
      <c r="A885" s="90" t="s">
        <v>2619</v>
      </c>
      <c r="B885" s="90" t="s">
        <v>3361</v>
      </c>
      <c r="C885" s="90" t="s">
        <v>2609</v>
      </c>
      <c r="D885" s="90" t="s">
        <v>2610</v>
      </c>
      <c r="E885" s="90" t="s">
        <v>1400</v>
      </c>
      <c r="F885" s="87">
        <v>2.0</v>
      </c>
      <c r="G885" s="87">
        <v>2.0</v>
      </c>
      <c r="H885" s="87">
        <v>62.0</v>
      </c>
      <c r="I885" s="87">
        <v>62.0</v>
      </c>
      <c r="J885" s="87">
        <v>0.0</v>
      </c>
      <c r="K885" s="87">
        <v>0.0</v>
      </c>
      <c r="L885" s="87">
        <v>0.0</v>
      </c>
      <c r="M885" s="87">
        <v>0.0</v>
      </c>
      <c r="N885" s="85"/>
      <c r="O885" s="91"/>
      <c r="P885" s="91"/>
      <c r="Q885" s="91"/>
      <c r="R885" s="91"/>
      <c r="S885" s="91"/>
      <c r="T885" s="91"/>
      <c r="U885" s="91"/>
      <c r="V885" s="91"/>
      <c r="W885" s="91"/>
      <c r="X885" s="91"/>
      <c r="Y885" s="91"/>
      <c r="Z885" s="88" t="s">
        <v>1396</v>
      </c>
    </row>
    <row r="886" hidden="1">
      <c r="A886" s="90" t="s">
        <v>2627</v>
      </c>
      <c r="B886" s="90" t="s">
        <v>3362</v>
      </c>
      <c r="C886" s="90" t="s">
        <v>2609</v>
      </c>
      <c r="D886" s="90" t="s">
        <v>2610</v>
      </c>
      <c r="E886" s="89">
        <v>46300.0</v>
      </c>
      <c r="F886" s="87">
        <v>2.0</v>
      </c>
      <c r="G886" s="87">
        <v>0.0</v>
      </c>
      <c r="H886" s="87">
        <v>22.0</v>
      </c>
      <c r="I886" s="87">
        <v>0.0</v>
      </c>
      <c r="J886" s="87">
        <v>0.0</v>
      </c>
      <c r="K886" s="87">
        <v>0.0</v>
      </c>
      <c r="L886" s="87">
        <v>0.0</v>
      </c>
      <c r="M886" s="87">
        <v>0.0</v>
      </c>
      <c r="N886" s="85"/>
      <c r="O886" s="91"/>
      <c r="P886" s="91"/>
      <c r="Q886" s="91"/>
      <c r="R886" s="91"/>
      <c r="S886" s="91"/>
      <c r="T886" s="91"/>
      <c r="U886" s="91"/>
      <c r="V886" s="91"/>
      <c r="W886" s="91"/>
      <c r="X886" s="91"/>
      <c r="Y886" s="91"/>
      <c r="Z886" s="88" t="s">
        <v>1396</v>
      </c>
    </row>
    <row r="887" hidden="1">
      <c r="A887" s="90" t="s">
        <v>2611</v>
      </c>
      <c r="B887" s="90" t="s">
        <v>2612</v>
      </c>
      <c r="C887" s="90" t="s">
        <v>2609</v>
      </c>
      <c r="D887" s="90" t="s">
        <v>2610</v>
      </c>
      <c r="E887" s="90" t="s">
        <v>1403</v>
      </c>
      <c r="F887" s="87">
        <v>3.0</v>
      </c>
      <c r="G887" s="87">
        <v>3.0</v>
      </c>
      <c r="H887" s="87">
        <v>88.0</v>
      </c>
      <c r="I887" s="87">
        <v>88.0</v>
      </c>
      <c r="J887" s="87">
        <v>0.0</v>
      </c>
      <c r="K887" s="87">
        <v>0.0</v>
      </c>
      <c r="L887" s="87">
        <v>0.0</v>
      </c>
      <c r="M887" s="87">
        <v>0.0</v>
      </c>
      <c r="N887" s="85"/>
      <c r="O887" s="87">
        <v>0.0</v>
      </c>
      <c r="P887" s="87">
        <v>0.0</v>
      </c>
      <c r="Q887" s="87">
        <v>0.0</v>
      </c>
      <c r="R887" s="87">
        <v>0.0</v>
      </c>
      <c r="S887" s="87">
        <v>0.0</v>
      </c>
      <c r="T887" s="91"/>
      <c r="U887" s="91"/>
      <c r="V887" s="91"/>
      <c r="W887" s="91"/>
      <c r="X887" s="91"/>
      <c r="Y887" s="87">
        <v>0.0</v>
      </c>
      <c r="Z887" s="88" t="s">
        <v>1396</v>
      </c>
    </row>
    <row r="888" hidden="1">
      <c r="A888" s="90" t="s">
        <v>2607</v>
      </c>
      <c r="B888" s="90" t="s">
        <v>2613</v>
      </c>
      <c r="C888" s="90" t="s">
        <v>2609</v>
      </c>
      <c r="D888" s="90" t="s">
        <v>2614</v>
      </c>
      <c r="E888" s="86">
        <v>46310.0</v>
      </c>
      <c r="F888" s="87">
        <v>6.0</v>
      </c>
      <c r="G888" s="87">
        <v>2.0</v>
      </c>
      <c r="H888" s="87">
        <v>2373.0</v>
      </c>
      <c r="I888" s="87">
        <v>6.0</v>
      </c>
      <c r="J888" s="87">
        <v>25.5459</v>
      </c>
      <c r="K888" s="87">
        <v>27.60706</v>
      </c>
      <c r="L888" s="87">
        <v>29.41487</v>
      </c>
      <c r="M888" s="87">
        <v>26.45628</v>
      </c>
      <c r="N888" s="87">
        <v>0.958316</v>
      </c>
      <c r="O888" s="87">
        <v>1.15078</v>
      </c>
      <c r="P888" s="87">
        <v>1.15078</v>
      </c>
      <c r="Q888" s="87">
        <v>1.15078</v>
      </c>
      <c r="R888" s="87">
        <v>26.45628</v>
      </c>
      <c r="S888" s="87">
        <v>26.45628</v>
      </c>
      <c r="T888" s="87">
        <v>1.15078</v>
      </c>
      <c r="U888" s="87">
        <v>1.15078</v>
      </c>
      <c r="V888" s="87">
        <v>1.15078</v>
      </c>
      <c r="W888" s="87">
        <v>26.45628</v>
      </c>
      <c r="X888" s="87">
        <v>26.45628</v>
      </c>
      <c r="Y888" s="87">
        <v>13.80353</v>
      </c>
      <c r="Z888" s="88" t="s">
        <v>1396</v>
      </c>
    </row>
    <row r="889" hidden="1">
      <c r="A889" s="90" t="s">
        <v>2615</v>
      </c>
      <c r="B889" s="90" t="s">
        <v>2616</v>
      </c>
      <c r="C889" s="90" t="s">
        <v>2609</v>
      </c>
      <c r="D889" s="90" t="s">
        <v>2614</v>
      </c>
      <c r="E889" s="90" t="s">
        <v>1413</v>
      </c>
      <c r="F889" s="87">
        <v>3.0</v>
      </c>
      <c r="G889" s="87">
        <v>0.0</v>
      </c>
      <c r="H889" s="87">
        <v>1995.0</v>
      </c>
      <c r="I889" s="87">
        <v>0.0</v>
      </c>
      <c r="J889" s="87">
        <v>49.78151</v>
      </c>
      <c r="K889" s="87">
        <v>55.25585</v>
      </c>
      <c r="L889" s="87">
        <v>53.39182</v>
      </c>
      <c r="M889" s="87">
        <v>28.85</v>
      </c>
      <c r="N889" s="87">
        <v>0.522117</v>
      </c>
      <c r="O889" s="87">
        <v>26.40585</v>
      </c>
      <c r="P889" s="87">
        <v>26.40585</v>
      </c>
      <c r="Q889" s="87">
        <v>26.40585</v>
      </c>
      <c r="R889" s="87">
        <v>28.85</v>
      </c>
      <c r="S889" s="87">
        <v>28.85</v>
      </c>
      <c r="T889" s="87">
        <v>26.40585</v>
      </c>
      <c r="U889" s="87">
        <v>26.40585</v>
      </c>
      <c r="V889" s="87">
        <v>26.40585</v>
      </c>
      <c r="W889" s="87">
        <v>28.85</v>
      </c>
      <c r="X889" s="87">
        <v>28.85</v>
      </c>
      <c r="Y889" s="87">
        <v>27.62792</v>
      </c>
      <c r="Z889" s="88" t="s">
        <v>1396</v>
      </c>
    </row>
    <row r="890" hidden="1">
      <c r="A890" s="90" t="s">
        <v>2617</v>
      </c>
      <c r="B890" s="90" t="s">
        <v>2618</v>
      </c>
      <c r="C890" s="90" t="s">
        <v>2609</v>
      </c>
      <c r="D890" s="90" t="s">
        <v>2614</v>
      </c>
      <c r="E890" s="90" t="s">
        <v>1398</v>
      </c>
      <c r="F890" s="87">
        <v>9.0</v>
      </c>
      <c r="G890" s="87">
        <v>1.0</v>
      </c>
      <c r="H890" s="87">
        <v>9325.0</v>
      </c>
      <c r="I890" s="87">
        <v>15.0</v>
      </c>
      <c r="J890" s="87">
        <v>94.9152</v>
      </c>
      <c r="K890" s="87">
        <v>93.21336</v>
      </c>
      <c r="L890" s="87">
        <v>99.74242</v>
      </c>
      <c r="M890" s="87">
        <v>69.95625</v>
      </c>
      <c r="N890" s="87">
        <v>0.750496</v>
      </c>
      <c r="O890" s="87">
        <v>5.838864</v>
      </c>
      <c r="P890" s="87">
        <v>5.838864</v>
      </c>
      <c r="Q890" s="87">
        <v>5.838864</v>
      </c>
      <c r="R890" s="87">
        <v>17.41825</v>
      </c>
      <c r="S890" s="87">
        <v>69.95625</v>
      </c>
      <c r="T890" s="87">
        <v>5.838864</v>
      </c>
      <c r="U890" s="87">
        <v>5.838864</v>
      </c>
      <c r="V890" s="87">
        <v>5.838864</v>
      </c>
      <c r="W890" s="87">
        <v>17.41825</v>
      </c>
      <c r="X890" s="87">
        <v>69.95625</v>
      </c>
      <c r="Y890" s="87">
        <v>31.07112</v>
      </c>
      <c r="Z890" s="88" t="s">
        <v>1396</v>
      </c>
    </row>
    <row r="891" hidden="1">
      <c r="A891" s="90" t="s">
        <v>2619</v>
      </c>
      <c r="B891" s="90" t="s">
        <v>2620</v>
      </c>
      <c r="C891" s="90" t="s">
        <v>2609</v>
      </c>
      <c r="D891" s="90" t="s">
        <v>2614</v>
      </c>
      <c r="E891" s="90" t="s">
        <v>1400</v>
      </c>
      <c r="F891" s="87">
        <v>49.0</v>
      </c>
      <c r="G891" s="87">
        <v>5.0</v>
      </c>
      <c r="H891" s="87">
        <v>23273.0</v>
      </c>
      <c r="I891" s="87">
        <v>119.0</v>
      </c>
      <c r="J891" s="87">
        <v>296.1108</v>
      </c>
      <c r="K891" s="87">
        <v>294.516</v>
      </c>
      <c r="L891" s="87">
        <v>288.6918</v>
      </c>
      <c r="M891" s="87">
        <v>184.2704</v>
      </c>
      <c r="N891" s="87">
        <v>0.625672</v>
      </c>
      <c r="O891" s="87">
        <v>0.936825</v>
      </c>
      <c r="P891" s="87">
        <v>1.876729</v>
      </c>
      <c r="Q891" s="87">
        <v>2.846844</v>
      </c>
      <c r="R891" s="87">
        <v>5.628712</v>
      </c>
      <c r="S891" s="87">
        <v>11.16194</v>
      </c>
      <c r="T891" s="87">
        <v>0.936825</v>
      </c>
      <c r="U891" s="87">
        <v>1.876729</v>
      </c>
      <c r="V891" s="87">
        <v>2.846844</v>
      </c>
      <c r="W891" s="87">
        <v>5.628712</v>
      </c>
      <c r="X891" s="87">
        <v>11.16194</v>
      </c>
      <c r="Y891" s="87">
        <v>9.817199</v>
      </c>
      <c r="Z891" s="88" t="s">
        <v>1396</v>
      </c>
    </row>
    <row r="892" hidden="1">
      <c r="A892" s="90" t="s">
        <v>2627</v>
      </c>
      <c r="B892" s="90" t="s">
        <v>3363</v>
      </c>
      <c r="C892" s="90" t="s">
        <v>2609</v>
      </c>
      <c r="D892" s="90" t="s">
        <v>2614</v>
      </c>
      <c r="E892" s="89">
        <v>46300.0</v>
      </c>
      <c r="F892" s="87">
        <v>1.0</v>
      </c>
      <c r="G892" s="87">
        <v>1.0</v>
      </c>
      <c r="H892" s="87">
        <v>6.0</v>
      </c>
      <c r="I892" s="87">
        <v>6.0</v>
      </c>
      <c r="J892" s="87">
        <v>0.0</v>
      </c>
      <c r="K892" s="87">
        <v>0.0</v>
      </c>
      <c r="L892" s="87">
        <v>0.0</v>
      </c>
      <c r="M892" s="87">
        <v>0.0</v>
      </c>
      <c r="N892" s="85"/>
      <c r="O892" s="91"/>
      <c r="P892" s="91"/>
      <c r="Q892" s="91"/>
      <c r="R892" s="91"/>
      <c r="S892" s="91"/>
      <c r="T892" s="91"/>
      <c r="U892" s="91"/>
      <c r="V892" s="91"/>
      <c r="W892" s="91"/>
      <c r="X892" s="91"/>
      <c r="Y892" s="91"/>
      <c r="Z892" s="88" t="s">
        <v>1396</v>
      </c>
    </row>
    <row r="893" hidden="1">
      <c r="A893" s="90" t="s">
        <v>2611</v>
      </c>
      <c r="B893" s="90" t="s">
        <v>2621</v>
      </c>
      <c r="C893" s="90" t="s">
        <v>2609</v>
      </c>
      <c r="D893" s="90" t="s">
        <v>2614</v>
      </c>
      <c r="E893" s="90" t="s">
        <v>1403</v>
      </c>
      <c r="F893" s="87">
        <v>10.0</v>
      </c>
      <c r="G893" s="87">
        <v>10.0</v>
      </c>
      <c r="H893" s="87">
        <v>1249.0</v>
      </c>
      <c r="I893" s="87">
        <v>1249.0</v>
      </c>
      <c r="J893" s="87">
        <v>0.0</v>
      </c>
      <c r="K893" s="87">
        <v>0.0</v>
      </c>
      <c r="L893" s="87">
        <v>0.0</v>
      </c>
      <c r="M893" s="87">
        <v>0.0</v>
      </c>
      <c r="N893" s="85"/>
      <c r="O893" s="87">
        <v>0.0</v>
      </c>
      <c r="P893" s="87">
        <v>0.0</v>
      </c>
      <c r="Q893" s="87">
        <v>0.0</v>
      </c>
      <c r="R893" s="87">
        <v>0.0</v>
      </c>
      <c r="S893" s="87">
        <v>0.0</v>
      </c>
      <c r="T893" s="91"/>
      <c r="U893" s="91"/>
      <c r="V893" s="91"/>
      <c r="W893" s="91"/>
      <c r="X893" s="91"/>
      <c r="Y893" s="87">
        <v>0.0</v>
      </c>
      <c r="Z893" s="88" t="s">
        <v>1396</v>
      </c>
    </row>
    <row r="894" hidden="1">
      <c r="A894" s="90" t="s">
        <v>2607</v>
      </c>
      <c r="B894" s="90" t="s">
        <v>2622</v>
      </c>
      <c r="C894" s="90" t="s">
        <v>2609</v>
      </c>
      <c r="D894" s="90" t="s">
        <v>2623</v>
      </c>
      <c r="E894" s="86">
        <v>46310.0</v>
      </c>
      <c r="F894" s="87">
        <v>1.0</v>
      </c>
      <c r="G894" s="87">
        <v>0.0</v>
      </c>
      <c r="H894" s="87">
        <v>2.0</v>
      </c>
      <c r="I894" s="87">
        <v>0.0</v>
      </c>
      <c r="J894" s="87">
        <v>0.0</v>
      </c>
      <c r="K894" s="87">
        <v>0.0</v>
      </c>
      <c r="L894" s="87">
        <v>0.2</v>
      </c>
      <c r="M894" s="87">
        <v>0.0</v>
      </c>
      <c r="N894" s="85"/>
      <c r="O894" s="87">
        <v>0.0</v>
      </c>
      <c r="P894" s="87">
        <v>0.0</v>
      </c>
      <c r="Q894" s="87">
        <v>0.0</v>
      </c>
      <c r="R894" s="87">
        <v>0.0</v>
      </c>
      <c r="S894" s="87">
        <v>0.0</v>
      </c>
      <c r="T894" s="91"/>
      <c r="U894" s="91"/>
      <c r="V894" s="91"/>
      <c r="W894" s="91"/>
      <c r="X894" s="91"/>
      <c r="Y894" s="87">
        <v>0.0</v>
      </c>
      <c r="Z894" s="88" t="s">
        <v>1396</v>
      </c>
    </row>
    <row r="895" hidden="1">
      <c r="A895" s="90" t="s">
        <v>2615</v>
      </c>
      <c r="B895" s="90" t="s">
        <v>2624</v>
      </c>
      <c r="C895" s="90" t="s">
        <v>2609</v>
      </c>
      <c r="D895" s="90" t="s">
        <v>2623</v>
      </c>
      <c r="E895" s="90" t="s">
        <v>1413</v>
      </c>
      <c r="F895" s="87">
        <v>4.0</v>
      </c>
      <c r="G895" s="87">
        <v>0.0</v>
      </c>
      <c r="H895" s="87">
        <v>5137.0</v>
      </c>
      <c r="I895" s="87">
        <v>0.0</v>
      </c>
      <c r="J895" s="87">
        <v>44.63426</v>
      </c>
      <c r="K895" s="87">
        <v>47.88765</v>
      </c>
      <c r="L895" s="87">
        <v>52.33572</v>
      </c>
      <c r="M895" s="87">
        <v>33.98472</v>
      </c>
      <c r="N895" s="87">
        <v>0.709676</v>
      </c>
      <c r="O895" s="87">
        <v>3.047653</v>
      </c>
      <c r="P895" s="87">
        <v>3.047653</v>
      </c>
      <c r="Q895" s="87">
        <v>3.047653</v>
      </c>
      <c r="R895" s="87">
        <v>10.85528</v>
      </c>
      <c r="S895" s="87">
        <v>33.98472</v>
      </c>
      <c r="T895" s="87">
        <v>3.047653</v>
      </c>
      <c r="U895" s="87">
        <v>3.047653</v>
      </c>
      <c r="V895" s="87">
        <v>3.047653</v>
      </c>
      <c r="W895" s="87">
        <v>10.85528</v>
      </c>
      <c r="X895" s="87">
        <v>33.98472</v>
      </c>
      <c r="Y895" s="87">
        <v>15.96255</v>
      </c>
      <c r="Z895" s="88" t="s">
        <v>1396</v>
      </c>
    </row>
    <row r="896" hidden="1">
      <c r="A896" s="90" t="s">
        <v>2617</v>
      </c>
      <c r="B896" s="90" t="s">
        <v>2625</v>
      </c>
      <c r="C896" s="90" t="s">
        <v>2609</v>
      </c>
      <c r="D896" s="90" t="s">
        <v>2623</v>
      </c>
      <c r="E896" s="90" t="s">
        <v>1398</v>
      </c>
      <c r="F896" s="87">
        <v>5.0</v>
      </c>
      <c r="G896" s="87">
        <v>0.0</v>
      </c>
      <c r="H896" s="87">
        <v>5456.0</v>
      </c>
      <c r="I896" s="87">
        <v>0.0</v>
      </c>
      <c r="J896" s="87">
        <v>82.44904</v>
      </c>
      <c r="K896" s="87">
        <v>73.66096</v>
      </c>
      <c r="L896" s="87">
        <v>70.60145</v>
      </c>
      <c r="M896" s="87">
        <v>49.7805</v>
      </c>
      <c r="N896" s="87">
        <v>0.675806</v>
      </c>
      <c r="O896" s="87">
        <v>0.528304</v>
      </c>
      <c r="P896" s="87">
        <v>3.041475</v>
      </c>
      <c r="Q896" s="87">
        <v>3.041475</v>
      </c>
      <c r="R896" s="87">
        <v>3.477815</v>
      </c>
      <c r="S896" s="87">
        <v>16.83286</v>
      </c>
      <c r="T896" s="87">
        <v>0.528304</v>
      </c>
      <c r="U896" s="87">
        <v>3.041475</v>
      </c>
      <c r="V896" s="87">
        <v>3.041475</v>
      </c>
      <c r="W896" s="87">
        <v>3.477815</v>
      </c>
      <c r="X896" s="87">
        <v>16.83286</v>
      </c>
      <c r="Y896" s="87">
        <v>14.73219</v>
      </c>
      <c r="Z896" s="88" t="s">
        <v>1396</v>
      </c>
    </row>
    <row r="897" hidden="1">
      <c r="A897" s="90" t="s">
        <v>2619</v>
      </c>
      <c r="B897" s="90" t="s">
        <v>2626</v>
      </c>
      <c r="C897" s="90" t="s">
        <v>2609</v>
      </c>
      <c r="D897" s="90" t="s">
        <v>2623</v>
      </c>
      <c r="E897" s="90" t="s">
        <v>1400</v>
      </c>
      <c r="F897" s="87">
        <v>23.0</v>
      </c>
      <c r="G897" s="87">
        <v>0.0</v>
      </c>
      <c r="H897" s="87">
        <v>6540.0</v>
      </c>
      <c r="I897" s="87">
        <v>0.0</v>
      </c>
      <c r="J897" s="87">
        <v>55.26873</v>
      </c>
      <c r="K897" s="87">
        <v>46.97151</v>
      </c>
      <c r="L897" s="87">
        <v>48.2868</v>
      </c>
      <c r="M897" s="87">
        <v>28.0441</v>
      </c>
      <c r="N897" s="87">
        <v>0.597045</v>
      </c>
      <c r="O897" s="87">
        <v>0.294754</v>
      </c>
      <c r="P897" s="87">
        <v>0.466245</v>
      </c>
      <c r="Q897" s="87">
        <v>0.704762</v>
      </c>
      <c r="R897" s="87">
        <v>1.74844</v>
      </c>
      <c r="S897" s="87">
        <v>2.861608</v>
      </c>
      <c r="T897" s="87">
        <v>0.371495</v>
      </c>
      <c r="U897" s="87">
        <v>0.670666</v>
      </c>
      <c r="V897" s="87">
        <v>0.768987</v>
      </c>
      <c r="W897" s="87">
        <v>1.74844</v>
      </c>
      <c r="X897" s="87">
        <v>2.861608</v>
      </c>
      <c r="Y897" s="87">
        <v>2.609528</v>
      </c>
      <c r="Z897" s="88" t="s">
        <v>1396</v>
      </c>
    </row>
    <row r="898" hidden="1">
      <c r="A898" s="90" t="s">
        <v>2627</v>
      </c>
      <c r="B898" s="90" t="s">
        <v>2628</v>
      </c>
      <c r="C898" s="90" t="s">
        <v>2609</v>
      </c>
      <c r="D898" s="90" t="s">
        <v>2623</v>
      </c>
      <c r="E898" s="89">
        <v>46300.0</v>
      </c>
      <c r="F898" s="87">
        <v>1.0</v>
      </c>
      <c r="G898" s="87">
        <v>0.0</v>
      </c>
      <c r="H898" s="87">
        <v>1158.0</v>
      </c>
      <c r="I898" s="87">
        <v>0.0</v>
      </c>
      <c r="J898" s="87">
        <v>45.41131</v>
      </c>
      <c r="K898" s="87">
        <v>45.19336</v>
      </c>
      <c r="L898" s="87">
        <v>46.27695</v>
      </c>
      <c r="M898" s="87">
        <v>45.19336</v>
      </c>
      <c r="N898" s="87">
        <v>1.0</v>
      </c>
      <c r="O898" s="87">
        <v>45.19336</v>
      </c>
      <c r="P898" s="87">
        <v>45.19336</v>
      </c>
      <c r="Q898" s="87">
        <v>45.19336</v>
      </c>
      <c r="R898" s="87">
        <v>45.19336</v>
      </c>
      <c r="S898" s="87">
        <v>45.19336</v>
      </c>
      <c r="T898" s="87">
        <v>45.19336</v>
      </c>
      <c r="U898" s="87">
        <v>45.19336</v>
      </c>
      <c r="V898" s="87">
        <v>45.19336</v>
      </c>
      <c r="W898" s="87">
        <v>45.19336</v>
      </c>
      <c r="X898" s="87">
        <v>45.19336</v>
      </c>
      <c r="Y898" s="87">
        <v>45.19336</v>
      </c>
      <c r="Z898" s="88" t="s">
        <v>1396</v>
      </c>
    </row>
    <row r="899" hidden="1">
      <c r="A899" s="90" t="s">
        <v>2611</v>
      </c>
      <c r="B899" s="90" t="s">
        <v>2629</v>
      </c>
      <c r="C899" s="90" t="s">
        <v>2609</v>
      </c>
      <c r="D899" s="90" t="s">
        <v>2623</v>
      </c>
      <c r="E899" s="90" t="s">
        <v>1403</v>
      </c>
      <c r="F899" s="87">
        <v>4.0</v>
      </c>
      <c r="G899" s="87">
        <v>4.0</v>
      </c>
      <c r="H899" s="87">
        <v>85.0</v>
      </c>
      <c r="I899" s="87">
        <v>85.0</v>
      </c>
      <c r="J899" s="87">
        <v>0.0</v>
      </c>
      <c r="K899" s="87">
        <v>0.0</v>
      </c>
      <c r="L899" s="87">
        <v>0.0</v>
      </c>
      <c r="M899" s="87">
        <v>0.0</v>
      </c>
      <c r="N899" s="85"/>
      <c r="O899" s="87">
        <v>0.0</v>
      </c>
      <c r="P899" s="87">
        <v>0.0</v>
      </c>
      <c r="Q899" s="87">
        <v>0.0</v>
      </c>
      <c r="R899" s="87">
        <v>0.0</v>
      </c>
      <c r="S899" s="87">
        <v>0.0</v>
      </c>
      <c r="T899" s="91"/>
      <c r="U899" s="91"/>
      <c r="V899" s="91"/>
      <c r="W899" s="91"/>
      <c r="X899" s="91"/>
      <c r="Y899" s="87">
        <v>0.0</v>
      </c>
      <c r="Z899" s="88" t="s">
        <v>1396</v>
      </c>
    </row>
    <row r="900" hidden="1">
      <c r="A900" s="90" t="s">
        <v>2607</v>
      </c>
      <c r="B900" s="90" t="s">
        <v>3364</v>
      </c>
      <c r="C900" s="90" t="s">
        <v>2609</v>
      </c>
      <c r="D900" s="90" t="s">
        <v>2631</v>
      </c>
      <c r="E900" s="86">
        <v>46310.0</v>
      </c>
      <c r="F900" s="87">
        <v>1.0</v>
      </c>
      <c r="G900" s="87">
        <v>0.0</v>
      </c>
      <c r="H900" s="87">
        <v>596.0</v>
      </c>
      <c r="I900" s="87">
        <v>0.0</v>
      </c>
      <c r="J900" s="87">
        <v>0.0</v>
      </c>
      <c r="K900" s="87">
        <v>0.0</v>
      </c>
      <c r="L900" s="87">
        <v>0.0</v>
      </c>
      <c r="M900" s="87">
        <v>0.0</v>
      </c>
      <c r="N900" s="85"/>
      <c r="O900" s="91"/>
      <c r="P900" s="91"/>
      <c r="Q900" s="91"/>
      <c r="R900" s="91"/>
      <c r="S900" s="91"/>
      <c r="T900" s="91"/>
      <c r="U900" s="91"/>
      <c r="V900" s="91"/>
      <c r="W900" s="91"/>
      <c r="X900" s="91"/>
      <c r="Y900" s="91"/>
      <c r="Z900" s="88" t="s">
        <v>1396</v>
      </c>
    </row>
    <row r="901" hidden="1">
      <c r="A901" s="90" t="s">
        <v>2615</v>
      </c>
      <c r="B901" s="90" t="s">
        <v>2630</v>
      </c>
      <c r="C901" s="90" t="s">
        <v>2609</v>
      </c>
      <c r="D901" s="90" t="s">
        <v>2631</v>
      </c>
      <c r="E901" s="90" t="s">
        <v>1413</v>
      </c>
      <c r="F901" s="87">
        <v>1.0</v>
      </c>
      <c r="G901" s="87">
        <v>0.0</v>
      </c>
      <c r="H901" s="87">
        <v>14314.0</v>
      </c>
      <c r="I901" s="87">
        <v>0.0</v>
      </c>
      <c r="J901" s="87">
        <v>139.1098</v>
      </c>
      <c r="K901" s="87">
        <v>133.4236</v>
      </c>
      <c r="L901" s="87">
        <v>123.8093</v>
      </c>
      <c r="M901" s="87">
        <v>133.4236</v>
      </c>
      <c r="N901" s="87">
        <v>1.0</v>
      </c>
      <c r="O901" s="87">
        <v>133.4236</v>
      </c>
      <c r="P901" s="87">
        <v>133.4236</v>
      </c>
      <c r="Q901" s="87">
        <v>133.4236</v>
      </c>
      <c r="R901" s="87">
        <v>133.4236</v>
      </c>
      <c r="S901" s="87">
        <v>133.4236</v>
      </c>
      <c r="T901" s="87">
        <v>133.4236</v>
      </c>
      <c r="U901" s="87">
        <v>133.4236</v>
      </c>
      <c r="V901" s="87">
        <v>133.4236</v>
      </c>
      <c r="W901" s="87">
        <v>133.4236</v>
      </c>
      <c r="X901" s="87">
        <v>133.4236</v>
      </c>
      <c r="Y901" s="87">
        <v>133.4236</v>
      </c>
      <c r="Z901" s="88" t="s">
        <v>1396</v>
      </c>
    </row>
    <row r="902" hidden="1">
      <c r="A902" s="90" t="s">
        <v>2619</v>
      </c>
      <c r="B902" s="90" t="s">
        <v>2632</v>
      </c>
      <c r="C902" s="90" t="s">
        <v>2609</v>
      </c>
      <c r="D902" s="90" t="s">
        <v>2631</v>
      </c>
      <c r="E902" s="90" t="s">
        <v>1400</v>
      </c>
      <c r="F902" s="87">
        <v>6.0</v>
      </c>
      <c r="G902" s="87">
        <v>0.0</v>
      </c>
      <c r="H902" s="87">
        <v>6615.0</v>
      </c>
      <c r="I902" s="87">
        <v>0.0</v>
      </c>
      <c r="J902" s="87">
        <v>53.20285</v>
      </c>
      <c r="K902" s="87">
        <v>50.36802</v>
      </c>
      <c r="L902" s="87">
        <v>49.34663</v>
      </c>
      <c r="M902" s="87">
        <v>38.12915</v>
      </c>
      <c r="N902" s="87">
        <v>0.757011</v>
      </c>
      <c r="O902" s="87">
        <v>0.0</v>
      </c>
      <c r="P902" s="87">
        <v>2.567444</v>
      </c>
      <c r="Q902" s="87">
        <v>2.797165</v>
      </c>
      <c r="R902" s="87">
        <v>2.959305</v>
      </c>
      <c r="S902" s="87">
        <v>3.914955</v>
      </c>
      <c r="T902" s="87">
        <v>2.567444</v>
      </c>
      <c r="U902" s="87">
        <v>2.797165</v>
      </c>
      <c r="V902" s="87">
        <v>2.797165</v>
      </c>
      <c r="W902" s="87">
        <v>3.914955</v>
      </c>
      <c r="X902" s="87">
        <v>9.190802</v>
      </c>
      <c r="Y902" s="87">
        <v>7.195432</v>
      </c>
      <c r="Z902" s="88" t="s">
        <v>1396</v>
      </c>
    </row>
    <row r="903" hidden="1">
      <c r="A903" s="90" t="s">
        <v>2611</v>
      </c>
      <c r="B903" s="90" t="s">
        <v>2633</v>
      </c>
      <c r="C903" s="90" t="s">
        <v>2609</v>
      </c>
      <c r="D903" s="90" t="s">
        <v>2631</v>
      </c>
      <c r="E903" s="90" t="s">
        <v>1403</v>
      </c>
      <c r="F903" s="87">
        <v>1.0</v>
      </c>
      <c r="G903" s="87">
        <v>1.0</v>
      </c>
      <c r="H903" s="87">
        <v>86.0</v>
      </c>
      <c r="I903" s="87">
        <v>86.0</v>
      </c>
      <c r="J903" s="87">
        <v>0.0</v>
      </c>
      <c r="K903" s="87">
        <v>0.0</v>
      </c>
      <c r="L903" s="87">
        <v>0.0</v>
      </c>
      <c r="M903" s="87">
        <v>0.0</v>
      </c>
      <c r="N903" s="91"/>
      <c r="O903" s="91"/>
      <c r="P903" s="91"/>
      <c r="Q903" s="91"/>
      <c r="R903" s="91"/>
      <c r="S903" s="91"/>
      <c r="T903" s="91"/>
      <c r="U903" s="91"/>
      <c r="V903" s="91"/>
      <c r="W903" s="91"/>
      <c r="X903" s="91"/>
      <c r="Y903" s="91"/>
      <c r="Z903" s="88" t="s">
        <v>1396</v>
      </c>
    </row>
    <row r="904" hidden="1">
      <c r="A904" s="90" t="s">
        <v>2607</v>
      </c>
      <c r="B904" s="90" t="s">
        <v>2634</v>
      </c>
      <c r="C904" s="90" t="s">
        <v>2609</v>
      </c>
      <c r="D904" s="90" t="s">
        <v>2635</v>
      </c>
      <c r="E904" s="86">
        <v>46310.0</v>
      </c>
      <c r="F904" s="87">
        <v>4.0</v>
      </c>
      <c r="G904" s="87">
        <v>1.0</v>
      </c>
      <c r="H904" s="87">
        <v>3714.0</v>
      </c>
      <c r="I904" s="87">
        <v>2.0</v>
      </c>
      <c r="J904" s="87">
        <v>31.11711</v>
      </c>
      <c r="K904" s="87">
        <v>33.85945</v>
      </c>
      <c r="L904" s="87">
        <v>38.54614</v>
      </c>
      <c r="M904" s="87">
        <v>20.98646</v>
      </c>
      <c r="N904" s="87">
        <v>0.619811</v>
      </c>
      <c r="O904" s="87">
        <v>0.0</v>
      </c>
      <c r="P904" s="87">
        <v>0.25</v>
      </c>
      <c r="Q904" s="87">
        <v>0.25</v>
      </c>
      <c r="R904" s="87">
        <v>5.953333</v>
      </c>
      <c r="S904" s="87">
        <v>6.669654</v>
      </c>
      <c r="T904" s="87">
        <v>0.25</v>
      </c>
      <c r="U904" s="87">
        <v>0.25</v>
      </c>
      <c r="V904" s="87">
        <v>5.953333</v>
      </c>
      <c r="W904" s="87">
        <v>6.669654</v>
      </c>
      <c r="X904" s="87">
        <v>6.669654</v>
      </c>
      <c r="Y904" s="87">
        <v>6.77189</v>
      </c>
      <c r="Z904" s="88" t="s">
        <v>1396</v>
      </c>
    </row>
    <row r="905" hidden="1">
      <c r="A905" s="90" t="s">
        <v>2615</v>
      </c>
      <c r="B905" s="90" t="s">
        <v>2636</v>
      </c>
      <c r="C905" s="90" t="s">
        <v>2609</v>
      </c>
      <c r="D905" s="90" t="s">
        <v>2635</v>
      </c>
      <c r="E905" s="90" t="s">
        <v>1413</v>
      </c>
      <c r="F905" s="87">
        <v>13.0</v>
      </c>
      <c r="G905" s="87">
        <v>3.0</v>
      </c>
      <c r="H905" s="87">
        <v>1820.0</v>
      </c>
      <c r="I905" s="87">
        <v>12.0</v>
      </c>
      <c r="J905" s="87">
        <v>33.93197</v>
      </c>
      <c r="K905" s="87">
        <v>29.27645</v>
      </c>
      <c r="L905" s="87">
        <v>30.07706</v>
      </c>
      <c r="M905" s="87">
        <v>17.85476</v>
      </c>
      <c r="N905" s="87">
        <v>0.609868</v>
      </c>
      <c r="O905" s="87">
        <v>0.0</v>
      </c>
      <c r="P905" s="87">
        <v>3.188942</v>
      </c>
      <c r="Q905" s="87">
        <v>3.188942</v>
      </c>
      <c r="R905" s="87">
        <v>4.930501</v>
      </c>
      <c r="S905" s="87">
        <v>7.975223</v>
      </c>
      <c r="T905" s="87">
        <v>3.188942</v>
      </c>
      <c r="U905" s="87">
        <v>3.302244</v>
      </c>
      <c r="V905" s="87">
        <v>3.302244</v>
      </c>
      <c r="W905" s="87">
        <v>4.930501</v>
      </c>
      <c r="X905" s="87">
        <v>7.975223</v>
      </c>
      <c r="Y905" s="87">
        <v>4.879408</v>
      </c>
      <c r="Z905" s="88" t="s">
        <v>1396</v>
      </c>
    </row>
    <row r="906" hidden="1">
      <c r="A906" s="90" t="s">
        <v>2617</v>
      </c>
      <c r="B906" s="90" t="s">
        <v>2637</v>
      </c>
      <c r="C906" s="90" t="s">
        <v>2609</v>
      </c>
      <c r="D906" s="90" t="s">
        <v>2635</v>
      </c>
      <c r="E906" s="90" t="s">
        <v>1398</v>
      </c>
      <c r="F906" s="87">
        <v>16.0</v>
      </c>
      <c r="G906" s="87">
        <v>0.0</v>
      </c>
      <c r="H906" s="87">
        <v>20497.0</v>
      </c>
      <c r="I906" s="87">
        <v>0.0</v>
      </c>
      <c r="J906" s="87">
        <v>209.3747</v>
      </c>
      <c r="K906" s="87">
        <v>236.3225</v>
      </c>
      <c r="L906" s="87">
        <v>249.6543</v>
      </c>
      <c r="M906" s="87">
        <v>104.1492</v>
      </c>
      <c r="N906" s="87">
        <v>0.440708</v>
      </c>
      <c r="O906" s="87">
        <v>5.804654</v>
      </c>
      <c r="P906" s="87">
        <v>7.950105</v>
      </c>
      <c r="Q906" s="87">
        <v>10.925</v>
      </c>
      <c r="R906" s="87">
        <v>14.11784</v>
      </c>
      <c r="S906" s="87">
        <v>24.1505</v>
      </c>
      <c r="T906" s="87">
        <v>5.804654</v>
      </c>
      <c r="U906" s="87">
        <v>7.950105</v>
      </c>
      <c r="V906" s="87">
        <v>10.925</v>
      </c>
      <c r="W906" s="87">
        <v>14.11784</v>
      </c>
      <c r="X906" s="87">
        <v>24.1505</v>
      </c>
      <c r="Y906" s="87">
        <v>18.17865</v>
      </c>
      <c r="Z906" s="88" t="s">
        <v>1396</v>
      </c>
    </row>
    <row r="907" hidden="1">
      <c r="A907" s="90" t="s">
        <v>2619</v>
      </c>
      <c r="B907" s="90" t="s">
        <v>2638</v>
      </c>
      <c r="C907" s="90" t="s">
        <v>2609</v>
      </c>
      <c r="D907" s="90" t="s">
        <v>2635</v>
      </c>
      <c r="E907" s="90" t="s">
        <v>1400</v>
      </c>
      <c r="F907" s="87">
        <v>22.0</v>
      </c>
      <c r="G907" s="87">
        <v>2.0</v>
      </c>
      <c r="H907" s="87">
        <v>5335.0</v>
      </c>
      <c r="I907" s="87">
        <v>75.0</v>
      </c>
      <c r="J907" s="87">
        <v>57.36333</v>
      </c>
      <c r="K907" s="87">
        <v>54.40725</v>
      </c>
      <c r="L907" s="87">
        <v>55.59255</v>
      </c>
      <c r="M907" s="87">
        <v>25.44677</v>
      </c>
      <c r="N907" s="87">
        <v>0.467709</v>
      </c>
      <c r="O907" s="87">
        <v>2.201068</v>
      </c>
      <c r="P907" s="87">
        <v>2.56396</v>
      </c>
      <c r="Q907" s="87">
        <v>3.547955</v>
      </c>
      <c r="R907" s="87">
        <v>6.943448</v>
      </c>
      <c r="S907" s="87">
        <v>7.826342</v>
      </c>
      <c r="T907" s="87">
        <v>2.201068</v>
      </c>
      <c r="U907" s="87">
        <v>2.56396</v>
      </c>
      <c r="V907" s="87">
        <v>3.547955</v>
      </c>
      <c r="W907" s="87">
        <v>6.943448</v>
      </c>
      <c r="X907" s="87">
        <v>7.826342</v>
      </c>
      <c r="Y907" s="87">
        <v>6.800907</v>
      </c>
      <c r="Z907" s="88" t="s">
        <v>1396</v>
      </c>
    </row>
    <row r="908" hidden="1">
      <c r="A908" s="90" t="s">
        <v>2627</v>
      </c>
      <c r="B908" s="90" t="s">
        <v>3365</v>
      </c>
      <c r="C908" s="90" t="s">
        <v>2609</v>
      </c>
      <c r="D908" s="90" t="s">
        <v>2635</v>
      </c>
      <c r="E908" s="89">
        <v>46300.0</v>
      </c>
      <c r="F908" s="87">
        <v>1.0</v>
      </c>
      <c r="G908" s="87">
        <v>1.0</v>
      </c>
      <c r="H908" s="87">
        <v>2.0</v>
      </c>
      <c r="I908" s="87">
        <v>2.0</v>
      </c>
      <c r="J908" s="87">
        <v>0.0</v>
      </c>
      <c r="K908" s="87">
        <v>0.0</v>
      </c>
      <c r="L908" s="87">
        <v>0.0</v>
      </c>
      <c r="M908" s="87">
        <v>0.0</v>
      </c>
      <c r="N908" s="91"/>
      <c r="O908" s="91"/>
      <c r="P908" s="91"/>
      <c r="Q908" s="91"/>
      <c r="R908" s="91"/>
      <c r="S908" s="91"/>
      <c r="T908" s="91"/>
      <c r="U908" s="91"/>
      <c r="V908" s="91"/>
      <c r="W908" s="91"/>
      <c r="X908" s="91"/>
      <c r="Y908" s="91"/>
      <c r="Z908" s="88" t="s">
        <v>1396</v>
      </c>
    </row>
    <row r="909" hidden="1">
      <c r="A909" s="90" t="s">
        <v>2611</v>
      </c>
      <c r="B909" s="90" t="s">
        <v>2639</v>
      </c>
      <c r="C909" s="90" t="s">
        <v>2609</v>
      </c>
      <c r="D909" s="90" t="s">
        <v>2635</v>
      </c>
      <c r="E909" s="90" t="s">
        <v>1403</v>
      </c>
      <c r="F909" s="87">
        <v>6.0</v>
      </c>
      <c r="G909" s="87">
        <v>6.0</v>
      </c>
      <c r="H909" s="87">
        <v>362.0</v>
      </c>
      <c r="I909" s="87">
        <v>362.0</v>
      </c>
      <c r="J909" s="87">
        <v>0.0</v>
      </c>
      <c r="K909" s="87">
        <v>0.0</v>
      </c>
      <c r="L909" s="87">
        <v>0.0</v>
      </c>
      <c r="M909" s="87">
        <v>0.0</v>
      </c>
      <c r="N909" s="85"/>
      <c r="O909" s="87">
        <v>0.0</v>
      </c>
      <c r="P909" s="87">
        <v>0.0</v>
      </c>
      <c r="Q909" s="87">
        <v>0.0</v>
      </c>
      <c r="R909" s="87">
        <v>0.0</v>
      </c>
      <c r="S909" s="87">
        <v>0.0</v>
      </c>
      <c r="T909" s="91"/>
      <c r="U909" s="91"/>
      <c r="V909" s="91"/>
      <c r="W909" s="91"/>
      <c r="X909" s="91"/>
      <c r="Y909" s="87">
        <v>0.0</v>
      </c>
      <c r="Z909" s="88" t="s">
        <v>1396</v>
      </c>
    </row>
    <row r="910" hidden="1">
      <c r="A910" s="90" t="s">
        <v>2607</v>
      </c>
      <c r="B910" s="90" t="s">
        <v>2640</v>
      </c>
      <c r="C910" s="90" t="s">
        <v>2609</v>
      </c>
      <c r="D910" s="90" t="s">
        <v>2641</v>
      </c>
      <c r="E910" s="86">
        <v>46310.0</v>
      </c>
      <c r="F910" s="87">
        <v>1.0</v>
      </c>
      <c r="G910" s="87">
        <v>0.0</v>
      </c>
      <c r="H910" s="87">
        <v>339.0</v>
      </c>
      <c r="I910" s="87">
        <v>0.0</v>
      </c>
      <c r="J910" s="87">
        <v>0.0</v>
      </c>
      <c r="K910" s="87">
        <v>0.0</v>
      </c>
      <c r="L910" s="87">
        <v>0.0</v>
      </c>
      <c r="M910" s="87">
        <v>0.0</v>
      </c>
      <c r="N910" s="91"/>
      <c r="O910" s="91"/>
      <c r="P910" s="91"/>
      <c r="Q910" s="91"/>
      <c r="R910" s="91"/>
      <c r="S910" s="91"/>
      <c r="T910" s="91"/>
      <c r="U910" s="91"/>
      <c r="V910" s="91"/>
      <c r="W910" s="91"/>
      <c r="X910" s="91"/>
      <c r="Y910" s="91"/>
      <c r="Z910" s="88" t="s">
        <v>1396</v>
      </c>
    </row>
    <row r="911" hidden="1">
      <c r="A911" s="90" t="s">
        <v>2615</v>
      </c>
      <c r="B911" s="90" t="s">
        <v>2642</v>
      </c>
      <c r="C911" s="90" t="s">
        <v>2609</v>
      </c>
      <c r="D911" s="90" t="s">
        <v>2641</v>
      </c>
      <c r="E911" s="90" t="s">
        <v>1413</v>
      </c>
      <c r="F911" s="87">
        <v>3.0</v>
      </c>
      <c r="G911" s="87">
        <v>0.0</v>
      </c>
      <c r="H911" s="87">
        <v>1945.0</v>
      </c>
      <c r="I911" s="87">
        <v>0.0</v>
      </c>
      <c r="J911" s="87">
        <v>17.19885</v>
      </c>
      <c r="K911" s="87">
        <v>19.03627</v>
      </c>
      <c r="L911" s="87">
        <v>18.84199</v>
      </c>
      <c r="M911" s="87">
        <v>10.99248</v>
      </c>
      <c r="N911" s="87">
        <v>0.577449</v>
      </c>
      <c r="O911" s="87">
        <v>8.043792</v>
      </c>
      <c r="P911" s="87">
        <v>8.043792</v>
      </c>
      <c r="Q911" s="87">
        <v>8.043792</v>
      </c>
      <c r="R911" s="87">
        <v>10.99248</v>
      </c>
      <c r="S911" s="87">
        <v>10.99248</v>
      </c>
      <c r="T911" s="87">
        <v>8.043792</v>
      </c>
      <c r="U911" s="87">
        <v>8.043792</v>
      </c>
      <c r="V911" s="87">
        <v>8.043792</v>
      </c>
      <c r="W911" s="87">
        <v>10.99248</v>
      </c>
      <c r="X911" s="87">
        <v>10.99248</v>
      </c>
      <c r="Y911" s="87">
        <v>9.518134</v>
      </c>
      <c r="Z911" s="88" t="s">
        <v>1396</v>
      </c>
    </row>
    <row r="912" hidden="1">
      <c r="A912" s="90" t="s">
        <v>2617</v>
      </c>
      <c r="B912" s="90" t="s">
        <v>2643</v>
      </c>
      <c r="C912" s="90" t="s">
        <v>2609</v>
      </c>
      <c r="D912" s="90" t="s">
        <v>2641</v>
      </c>
      <c r="E912" s="90" t="s">
        <v>1398</v>
      </c>
      <c r="F912" s="87">
        <v>2.0</v>
      </c>
      <c r="G912" s="87">
        <v>1.0</v>
      </c>
      <c r="H912" s="87">
        <v>738.0</v>
      </c>
      <c r="I912" s="87">
        <v>18.0</v>
      </c>
      <c r="J912" s="87">
        <v>9.808908</v>
      </c>
      <c r="K912" s="87">
        <v>9.208822</v>
      </c>
      <c r="L912" s="87">
        <v>8.815569</v>
      </c>
      <c r="M912" s="87">
        <v>9.208822</v>
      </c>
      <c r="N912" s="87">
        <v>1.0</v>
      </c>
      <c r="O912" s="87">
        <v>9.208822</v>
      </c>
      <c r="P912" s="87">
        <v>9.208822</v>
      </c>
      <c r="Q912" s="87">
        <v>9.208822</v>
      </c>
      <c r="R912" s="87">
        <v>9.208822</v>
      </c>
      <c r="S912" s="87">
        <v>9.208822</v>
      </c>
      <c r="T912" s="87">
        <v>9.208822</v>
      </c>
      <c r="U912" s="87">
        <v>9.208822</v>
      </c>
      <c r="V912" s="87">
        <v>9.208822</v>
      </c>
      <c r="W912" s="87">
        <v>9.208822</v>
      </c>
      <c r="X912" s="87">
        <v>9.208822</v>
      </c>
      <c r="Y912" s="87">
        <v>9.208822</v>
      </c>
      <c r="Z912" s="88" t="s">
        <v>1396</v>
      </c>
    </row>
    <row r="913" hidden="1">
      <c r="A913" s="90" t="s">
        <v>2619</v>
      </c>
      <c r="B913" s="90" t="s">
        <v>2644</v>
      </c>
      <c r="C913" s="90" t="s">
        <v>2609</v>
      </c>
      <c r="D913" s="90" t="s">
        <v>2641</v>
      </c>
      <c r="E913" s="90" t="s">
        <v>1400</v>
      </c>
      <c r="F913" s="87">
        <v>10.0</v>
      </c>
      <c r="G913" s="87">
        <v>0.0</v>
      </c>
      <c r="H913" s="87">
        <v>2681.0</v>
      </c>
      <c r="I913" s="87">
        <v>0.0</v>
      </c>
      <c r="J913" s="87">
        <v>17.21671</v>
      </c>
      <c r="K913" s="87">
        <v>17.89154</v>
      </c>
      <c r="L913" s="87">
        <v>16.89058</v>
      </c>
      <c r="M913" s="87">
        <v>8.626086</v>
      </c>
      <c r="N913" s="87">
        <v>0.482132</v>
      </c>
      <c r="O913" s="87">
        <v>1.225396</v>
      </c>
      <c r="P913" s="87">
        <v>1.348148</v>
      </c>
      <c r="Q913" s="87">
        <v>1.348148</v>
      </c>
      <c r="R913" s="87">
        <v>2.649648</v>
      </c>
      <c r="S913" s="87">
        <v>4.042266</v>
      </c>
      <c r="T913" s="87">
        <v>1.225396</v>
      </c>
      <c r="U913" s="87">
        <v>1.348148</v>
      </c>
      <c r="V913" s="87">
        <v>1.348148</v>
      </c>
      <c r="W913" s="87">
        <v>2.649648</v>
      </c>
      <c r="X913" s="87">
        <v>4.042266</v>
      </c>
      <c r="Y913" s="87">
        <v>3.578309</v>
      </c>
      <c r="Z913" s="88" t="s">
        <v>1396</v>
      </c>
    </row>
    <row r="914" hidden="1">
      <c r="A914" s="90" t="s">
        <v>2627</v>
      </c>
      <c r="B914" s="90" t="s">
        <v>3366</v>
      </c>
      <c r="C914" s="90" t="s">
        <v>2609</v>
      </c>
      <c r="D914" s="90" t="s">
        <v>2641</v>
      </c>
      <c r="E914" s="86">
        <v>46300.0</v>
      </c>
      <c r="F914" s="87">
        <v>1.0</v>
      </c>
      <c r="G914" s="87">
        <v>0.0</v>
      </c>
      <c r="H914" s="87">
        <v>4.0</v>
      </c>
      <c r="I914" s="87">
        <v>0.0</v>
      </c>
      <c r="J914" s="87">
        <v>0.0</v>
      </c>
      <c r="K914" s="87">
        <v>0.0</v>
      </c>
      <c r="L914" s="87">
        <v>0.0</v>
      </c>
      <c r="M914" s="87">
        <v>0.0</v>
      </c>
      <c r="N914" s="91"/>
      <c r="O914" s="91"/>
      <c r="P914" s="91"/>
      <c r="Q914" s="91"/>
      <c r="R914" s="91"/>
      <c r="S914" s="91"/>
      <c r="T914" s="91"/>
      <c r="U914" s="91"/>
      <c r="V914" s="91"/>
      <c r="W914" s="91"/>
      <c r="X914" s="91"/>
      <c r="Y914" s="91"/>
      <c r="Z914" s="88" t="s">
        <v>1396</v>
      </c>
    </row>
    <row r="915" hidden="1">
      <c r="A915" s="90" t="s">
        <v>2611</v>
      </c>
      <c r="B915" s="90" t="s">
        <v>2645</v>
      </c>
      <c r="C915" s="90" t="s">
        <v>2609</v>
      </c>
      <c r="D915" s="90" t="s">
        <v>2641</v>
      </c>
      <c r="E915" s="90" t="s">
        <v>1403</v>
      </c>
      <c r="F915" s="87">
        <v>2.0</v>
      </c>
      <c r="G915" s="87">
        <v>2.0</v>
      </c>
      <c r="H915" s="87">
        <v>19.0</v>
      </c>
      <c r="I915" s="87">
        <v>19.0</v>
      </c>
      <c r="J915" s="87">
        <v>0.0</v>
      </c>
      <c r="K915" s="87">
        <v>0.0</v>
      </c>
      <c r="L915" s="87">
        <v>0.0</v>
      </c>
      <c r="M915" s="87">
        <v>0.0</v>
      </c>
      <c r="N915" s="91"/>
      <c r="O915" s="87">
        <v>0.0</v>
      </c>
      <c r="P915" s="87">
        <v>0.0</v>
      </c>
      <c r="Q915" s="87">
        <v>0.0</v>
      </c>
      <c r="R915" s="87">
        <v>0.0</v>
      </c>
      <c r="S915" s="87">
        <v>0.0</v>
      </c>
      <c r="T915" s="91"/>
      <c r="U915" s="91"/>
      <c r="V915" s="91"/>
      <c r="W915" s="91"/>
      <c r="X915" s="91"/>
      <c r="Y915" s="87">
        <v>0.0</v>
      </c>
      <c r="Z915" s="88" t="s">
        <v>1396</v>
      </c>
    </row>
    <row r="916" hidden="1">
      <c r="A916" s="90" t="s">
        <v>2646</v>
      </c>
      <c r="B916" s="90" t="s">
        <v>2647</v>
      </c>
      <c r="C916" s="90" t="s">
        <v>573</v>
      </c>
      <c r="D916" s="90" t="s">
        <v>588</v>
      </c>
      <c r="E916" s="90" t="s">
        <v>1426</v>
      </c>
      <c r="F916" s="87">
        <v>1.0</v>
      </c>
      <c r="G916" s="87">
        <v>0.0</v>
      </c>
      <c r="H916" s="87">
        <v>2704.0</v>
      </c>
      <c r="I916" s="87">
        <v>0.0</v>
      </c>
      <c r="J916" s="87">
        <v>61.72373</v>
      </c>
      <c r="K916" s="87">
        <v>49.45741</v>
      </c>
      <c r="L916" s="87">
        <v>38.36726</v>
      </c>
      <c r="M916" s="87">
        <v>49.45741</v>
      </c>
      <c r="N916" s="87">
        <v>1.0</v>
      </c>
      <c r="O916" s="87">
        <v>49.45741</v>
      </c>
      <c r="P916" s="87">
        <v>49.45741</v>
      </c>
      <c r="Q916" s="87">
        <v>49.45741</v>
      </c>
      <c r="R916" s="87">
        <v>49.45741</v>
      </c>
      <c r="S916" s="87">
        <v>49.45741</v>
      </c>
      <c r="T916" s="87">
        <v>49.45741</v>
      </c>
      <c r="U916" s="87">
        <v>49.45741</v>
      </c>
      <c r="V916" s="87">
        <v>49.45741</v>
      </c>
      <c r="W916" s="87">
        <v>49.45741</v>
      </c>
      <c r="X916" s="87">
        <v>49.45741</v>
      </c>
      <c r="Y916" s="87">
        <v>49.45741</v>
      </c>
      <c r="Z916" s="88" t="s">
        <v>1396</v>
      </c>
    </row>
    <row r="917" hidden="1">
      <c r="A917" s="90" t="s">
        <v>2648</v>
      </c>
      <c r="B917" s="90" t="s">
        <v>2649</v>
      </c>
      <c r="C917" s="90" t="s">
        <v>573</v>
      </c>
      <c r="D917" s="90" t="s">
        <v>588</v>
      </c>
      <c r="E917" s="86">
        <v>46310.0</v>
      </c>
      <c r="F917" s="87">
        <v>11.0</v>
      </c>
      <c r="G917" s="87">
        <v>0.0</v>
      </c>
      <c r="H917" s="87">
        <v>31050.0</v>
      </c>
      <c r="I917" s="87">
        <v>0.0</v>
      </c>
      <c r="J917" s="87">
        <v>459.5522</v>
      </c>
      <c r="K917" s="87">
        <v>438.5445</v>
      </c>
      <c r="L917" s="87">
        <v>428.0172</v>
      </c>
      <c r="M917" s="87">
        <v>199.6705</v>
      </c>
      <c r="N917" s="87">
        <v>0.455303</v>
      </c>
      <c r="O917" s="87">
        <v>0.0</v>
      </c>
      <c r="P917" s="87">
        <v>20.727</v>
      </c>
      <c r="Q917" s="87">
        <v>25.47841</v>
      </c>
      <c r="R917" s="87">
        <v>30.31227</v>
      </c>
      <c r="S917" s="87">
        <v>40.72775</v>
      </c>
      <c r="T917" s="87">
        <v>25.47841</v>
      </c>
      <c r="U917" s="87">
        <v>25.6157</v>
      </c>
      <c r="V917" s="87">
        <v>25.75344</v>
      </c>
      <c r="W917" s="87">
        <v>34.60472</v>
      </c>
      <c r="X917" s="87">
        <v>40.72775</v>
      </c>
      <c r="Y917" s="87">
        <v>33.73419</v>
      </c>
      <c r="Z917" s="88" t="s">
        <v>1396</v>
      </c>
    </row>
    <row r="918" hidden="1">
      <c r="A918" s="90" t="s">
        <v>2650</v>
      </c>
      <c r="B918" s="90" t="s">
        <v>2651</v>
      </c>
      <c r="C918" s="90" t="s">
        <v>573</v>
      </c>
      <c r="D918" s="90" t="s">
        <v>588</v>
      </c>
      <c r="E918" s="90" t="s">
        <v>1413</v>
      </c>
      <c r="F918" s="87">
        <v>19.0</v>
      </c>
      <c r="G918" s="87">
        <v>1.0</v>
      </c>
      <c r="H918" s="87">
        <v>32648.0</v>
      </c>
      <c r="I918" s="87">
        <v>3.0</v>
      </c>
      <c r="J918" s="87">
        <v>395.1813</v>
      </c>
      <c r="K918" s="87">
        <v>380.8055</v>
      </c>
      <c r="L918" s="87">
        <v>390.1742</v>
      </c>
      <c r="M918" s="87">
        <v>253.0272</v>
      </c>
      <c r="N918" s="87">
        <v>0.664453</v>
      </c>
      <c r="O918" s="87">
        <v>3.378993</v>
      </c>
      <c r="P918" s="87">
        <v>8.222223</v>
      </c>
      <c r="Q918" s="87">
        <v>9.531919</v>
      </c>
      <c r="R918" s="87">
        <v>12.81276</v>
      </c>
      <c r="S918" s="87">
        <v>20.5632</v>
      </c>
      <c r="T918" s="87">
        <v>3.378993</v>
      </c>
      <c r="U918" s="87">
        <v>8.222223</v>
      </c>
      <c r="V918" s="87">
        <v>9.531919</v>
      </c>
      <c r="W918" s="87">
        <v>12.81276</v>
      </c>
      <c r="X918" s="87">
        <v>20.5632</v>
      </c>
      <c r="Y918" s="87">
        <v>23.80034</v>
      </c>
      <c r="Z918" s="88" t="s">
        <v>1396</v>
      </c>
    </row>
    <row r="919" hidden="1">
      <c r="A919" s="90" t="s">
        <v>2652</v>
      </c>
      <c r="B919" s="90" t="s">
        <v>2653</v>
      </c>
      <c r="C919" s="90" t="s">
        <v>573</v>
      </c>
      <c r="D919" s="90" t="s">
        <v>588</v>
      </c>
      <c r="E919" s="90" t="s">
        <v>1398</v>
      </c>
      <c r="F919" s="87">
        <v>6.0</v>
      </c>
      <c r="G919" s="87">
        <v>0.0</v>
      </c>
      <c r="H919" s="87">
        <v>4518.0</v>
      </c>
      <c r="I919" s="87">
        <v>0.0</v>
      </c>
      <c r="J919" s="87">
        <v>49.69857</v>
      </c>
      <c r="K919" s="87">
        <v>51.58241</v>
      </c>
      <c r="L919" s="87">
        <v>50.9716</v>
      </c>
      <c r="M919" s="87">
        <v>19.40051</v>
      </c>
      <c r="N919" s="87">
        <v>0.376107</v>
      </c>
      <c r="O919" s="87">
        <v>6.038674</v>
      </c>
      <c r="P919" s="87">
        <v>7.540051</v>
      </c>
      <c r="Q919" s="87">
        <v>7.540051</v>
      </c>
      <c r="R919" s="87">
        <v>7.576134</v>
      </c>
      <c r="S919" s="87">
        <v>11.02704</v>
      </c>
      <c r="T919" s="87">
        <v>6.038674</v>
      </c>
      <c r="U919" s="87">
        <v>7.540051</v>
      </c>
      <c r="V919" s="87">
        <v>7.540051</v>
      </c>
      <c r="W919" s="87">
        <v>7.576134</v>
      </c>
      <c r="X919" s="87">
        <v>11.02704</v>
      </c>
      <c r="Y919" s="87">
        <v>10.31648</v>
      </c>
      <c r="Z919" s="88" t="s">
        <v>1396</v>
      </c>
    </row>
    <row r="920" hidden="1">
      <c r="A920" s="90" t="s">
        <v>2654</v>
      </c>
      <c r="B920" s="90" t="s">
        <v>2655</v>
      </c>
      <c r="C920" s="90" t="s">
        <v>573</v>
      </c>
      <c r="D920" s="90" t="s">
        <v>588</v>
      </c>
      <c r="E920" s="90" t="s">
        <v>1400</v>
      </c>
      <c r="F920" s="87">
        <v>10.0</v>
      </c>
      <c r="G920" s="87">
        <v>0.0</v>
      </c>
      <c r="H920" s="87">
        <v>18948.0</v>
      </c>
      <c r="I920" s="87">
        <v>0.0</v>
      </c>
      <c r="J920" s="87">
        <v>237.6367</v>
      </c>
      <c r="K920" s="87">
        <v>223.219</v>
      </c>
      <c r="L920" s="87">
        <v>216.5995</v>
      </c>
      <c r="M920" s="87">
        <v>178.3437</v>
      </c>
      <c r="N920" s="87">
        <v>0.798963</v>
      </c>
      <c r="O920" s="87">
        <v>0.052632</v>
      </c>
      <c r="P920" s="87">
        <v>1.062752</v>
      </c>
      <c r="Q920" s="87">
        <v>5.775776</v>
      </c>
      <c r="R920" s="87">
        <v>9.717716</v>
      </c>
      <c r="S920" s="87">
        <v>11.78948</v>
      </c>
      <c r="T920" s="87">
        <v>1.062752</v>
      </c>
      <c r="U920" s="87">
        <v>5.775776</v>
      </c>
      <c r="V920" s="87">
        <v>6.148696</v>
      </c>
      <c r="W920" s="87">
        <v>10.32819</v>
      </c>
      <c r="X920" s="87">
        <v>32.11992</v>
      </c>
      <c r="Y920" s="87">
        <v>20.29264</v>
      </c>
      <c r="Z920" s="88" t="s">
        <v>1396</v>
      </c>
    </row>
    <row r="921" hidden="1">
      <c r="A921" s="90" t="s">
        <v>2656</v>
      </c>
      <c r="B921" s="90" t="s">
        <v>2657</v>
      </c>
      <c r="C921" s="90" t="s">
        <v>573</v>
      </c>
      <c r="D921" s="90" t="s">
        <v>588</v>
      </c>
      <c r="E921" s="86">
        <v>46300.0</v>
      </c>
      <c r="F921" s="87">
        <v>7.0</v>
      </c>
      <c r="G921" s="87">
        <v>2.0</v>
      </c>
      <c r="H921" s="87">
        <v>5519.0</v>
      </c>
      <c r="I921" s="87">
        <v>4.0</v>
      </c>
      <c r="J921" s="87">
        <v>75.13359</v>
      </c>
      <c r="K921" s="87">
        <v>73.80418</v>
      </c>
      <c r="L921" s="87">
        <v>70.96428</v>
      </c>
      <c r="M921" s="87">
        <v>34.14547</v>
      </c>
      <c r="N921" s="87">
        <v>0.462649</v>
      </c>
      <c r="O921" s="87">
        <v>5.497828</v>
      </c>
      <c r="P921" s="87">
        <v>5.497828</v>
      </c>
      <c r="Q921" s="87">
        <v>8.840716</v>
      </c>
      <c r="R921" s="87">
        <v>25.32017</v>
      </c>
      <c r="S921" s="87">
        <v>25.32017</v>
      </c>
      <c r="T921" s="87">
        <v>5.497828</v>
      </c>
      <c r="U921" s="87">
        <v>5.497828</v>
      </c>
      <c r="V921" s="87">
        <v>8.840716</v>
      </c>
      <c r="W921" s="87">
        <v>25.32017</v>
      </c>
      <c r="X921" s="87">
        <v>25.32017</v>
      </c>
      <c r="Y921" s="87">
        <v>18.45105</v>
      </c>
      <c r="Z921" s="88" t="s">
        <v>1396</v>
      </c>
    </row>
    <row r="922" hidden="1">
      <c r="A922" s="90" t="s">
        <v>2658</v>
      </c>
      <c r="B922" s="90" t="s">
        <v>2659</v>
      </c>
      <c r="C922" s="90" t="s">
        <v>573</v>
      </c>
      <c r="D922" s="90" t="s">
        <v>588</v>
      </c>
      <c r="E922" s="90" t="s">
        <v>1403</v>
      </c>
      <c r="F922" s="87">
        <v>6.0</v>
      </c>
      <c r="G922" s="87">
        <v>6.0</v>
      </c>
      <c r="H922" s="87">
        <v>1032.0</v>
      </c>
      <c r="I922" s="87">
        <v>1032.0</v>
      </c>
      <c r="J922" s="87">
        <v>0.0</v>
      </c>
      <c r="K922" s="87">
        <v>0.0</v>
      </c>
      <c r="L922" s="87">
        <v>0.0</v>
      </c>
      <c r="M922" s="87">
        <v>0.0</v>
      </c>
      <c r="N922" s="91"/>
      <c r="O922" s="87">
        <v>0.0</v>
      </c>
      <c r="P922" s="87">
        <v>0.0</v>
      </c>
      <c r="Q922" s="87">
        <v>0.0</v>
      </c>
      <c r="R922" s="87">
        <v>0.0</v>
      </c>
      <c r="S922" s="87">
        <v>0.0</v>
      </c>
      <c r="T922" s="91"/>
      <c r="U922" s="91"/>
      <c r="V922" s="91"/>
      <c r="W922" s="91"/>
      <c r="X922" s="91"/>
      <c r="Y922" s="87">
        <v>0.0</v>
      </c>
      <c r="Z922" s="88" t="s">
        <v>1396</v>
      </c>
    </row>
    <row r="923" hidden="1">
      <c r="A923" s="90" t="s">
        <v>2646</v>
      </c>
      <c r="B923" s="90" t="s">
        <v>2660</v>
      </c>
      <c r="C923" s="90" t="s">
        <v>573</v>
      </c>
      <c r="D923" s="90" t="s">
        <v>574</v>
      </c>
      <c r="E923" s="90" t="s">
        <v>1426</v>
      </c>
      <c r="F923" s="87">
        <v>5.0</v>
      </c>
      <c r="G923" s="87">
        <v>0.0</v>
      </c>
      <c r="H923" s="87">
        <v>5462.0</v>
      </c>
      <c r="I923" s="87">
        <v>0.0</v>
      </c>
      <c r="J923" s="87">
        <v>680.0102</v>
      </c>
      <c r="K923" s="87">
        <v>693.1035</v>
      </c>
      <c r="L923" s="87">
        <v>670.3371</v>
      </c>
      <c r="M923" s="87">
        <v>265.1962</v>
      </c>
      <c r="N923" s="87">
        <v>0.382621</v>
      </c>
      <c r="O923" s="87">
        <v>38.24032</v>
      </c>
      <c r="P923" s="87">
        <v>46.6943</v>
      </c>
      <c r="Q923" s="87">
        <v>46.6943</v>
      </c>
      <c r="R923" s="87">
        <v>156.1968</v>
      </c>
      <c r="S923" s="87">
        <v>186.7759</v>
      </c>
      <c r="T923" s="87">
        <v>38.24032</v>
      </c>
      <c r="U923" s="87">
        <v>46.6943</v>
      </c>
      <c r="V923" s="87">
        <v>46.6943</v>
      </c>
      <c r="W923" s="87">
        <v>156.1968</v>
      </c>
      <c r="X923" s="87">
        <v>186.7759</v>
      </c>
      <c r="Y923" s="87">
        <v>138.6207</v>
      </c>
      <c r="Z923" s="88" t="s">
        <v>1396</v>
      </c>
    </row>
    <row r="924" hidden="1">
      <c r="A924" s="90" t="s">
        <v>2648</v>
      </c>
      <c r="B924" s="90" t="s">
        <v>2661</v>
      </c>
      <c r="C924" s="90" t="s">
        <v>573</v>
      </c>
      <c r="D924" s="90" t="s">
        <v>574</v>
      </c>
      <c r="E924" s="86">
        <v>46310.0</v>
      </c>
      <c r="F924" s="87">
        <v>3.0</v>
      </c>
      <c r="G924" s="87">
        <v>0.0</v>
      </c>
      <c r="H924" s="87">
        <v>10.0</v>
      </c>
      <c r="I924" s="87">
        <v>0.0</v>
      </c>
      <c r="J924" s="87">
        <v>0.0</v>
      </c>
      <c r="K924" s="87">
        <v>0.0</v>
      </c>
      <c r="L924" s="87">
        <v>0.0</v>
      </c>
      <c r="M924" s="87">
        <v>0.0</v>
      </c>
      <c r="N924" s="91"/>
      <c r="O924" s="87">
        <v>0.0</v>
      </c>
      <c r="P924" s="87">
        <v>0.0</v>
      </c>
      <c r="Q924" s="87">
        <v>0.0</v>
      </c>
      <c r="R924" s="87">
        <v>0.0</v>
      </c>
      <c r="S924" s="87">
        <v>0.0</v>
      </c>
      <c r="T924" s="91"/>
      <c r="U924" s="91"/>
      <c r="V924" s="91"/>
      <c r="W924" s="91"/>
      <c r="X924" s="91"/>
      <c r="Y924" s="87">
        <v>0.0</v>
      </c>
      <c r="Z924" s="88" t="s">
        <v>1396</v>
      </c>
    </row>
    <row r="925" hidden="1">
      <c r="A925" s="90" t="s">
        <v>2650</v>
      </c>
      <c r="B925" s="90" t="s">
        <v>2662</v>
      </c>
      <c r="C925" s="90" t="s">
        <v>573</v>
      </c>
      <c r="D925" s="90" t="s">
        <v>574</v>
      </c>
      <c r="E925" s="90" t="s">
        <v>1413</v>
      </c>
      <c r="F925" s="87">
        <v>1.0</v>
      </c>
      <c r="G925" s="87">
        <v>0.0</v>
      </c>
      <c r="H925" s="87">
        <v>150.0</v>
      </c>
      <c r="I925" s="87">
        <v>0.0</v>
      </c>
      <c r="J925" s="87">
        <v>6.494769</v>
      </c>
      <c r="K925" s="87">
        <v>7.055087</v>
      </c>
      <c r="L925" s="87">
        <v>7.055087</v>
      </c>
      <c r="M925" s="87">
        <v>7.055087</v>
      </c>
      <c r="N925" s="87">
        <v>1.0</v>
      </c>
      <c r="O925" s="87">
        <v>0.0</v>
      </c>
      <c r="P925" s="87">
        <v>0.0</v>
      </c>
      <c r="Q925" s="87">
        <v>0.0</v>
      </c>
      <c r="R925" s="87">
        <v>7.055087</v>
      </c>
      <c r="S925" s="87">
        <v>7.055087</v>
      </c>
      <c r="T925" s="87">
        <v>7.055087</v>
      </c>
      <c r="U925" s="87">
        <v>7.055087</v>
      </c>
      <c r="V925" s="87">
        <v>7.055087</v>
      </c>
      <c r="W925" s="87">
        <v>7.055087</v>
      </c>
      <c r="X925" s="87">
        <v>7.055087</v>
      </c>
      <c r="Y925" s="87">
        <v>3.527544</v>
      </c>
      <c r="Z925" s="88" t="s">
        <v>1396</v>
      </c>
    </row>
    <row r="926" hidden="1">
      <c r="A926" s="90" t="s">
        <v>2656</v>
      </c>
      <c r="B926" s="90" t="s">
        <v>2663</v>
      </c>
      <c r="C926" s="90" t="s">
        <v>573</v>
      </c>
      <c r="D926" s="90" t="s">
        <v>574</v>
      </c>
      <c r="E926" s="89">
        <v>46300.0</v>
      </c>
      <c r="F926" s="87">
        <v>6.0</v>
      </c>
      <c r="G926" s="87">
        <v>0.0</v>
      </c>
      <c r="H926" s="87">
        <v>23377.0</v>
      </c>
      <c r="I926" s="87">
        <v>0.0</v>
      </c>
      <c r="J926" s="87">
        <v>302.8717</v>
      </c>
      <c r="K926" s="87">
        <v>308.1862</v>
      </c>
      <c r="L926" s="87">
        <v>302.9351</v>
      </c>
      <c r="M926" s="87">
        <v>183.8265</v>
      </c>
      <c r="N926" s="87">
        <v>0.596479</v>
      </c>
      <c r="O926" s="87">
        <v>6.667591</v>
      </c>
      <c r="P926" s="87">
        <v>21.92264</v>
      </c>
      <c r="Q926" s="87">
        <v>21.92264</v>
      </c>
      <c r="R926" s="87">
        <v>24.97829</v>
      </c>
      <c r="S926" s="87">
        <v>70.79114</v>
      </c>
      <c r="T926" s="87">
        <v>6.667591</v>
      </c>
      <c r="U926" s="87">
        <v>21.92264</v>
      </c>
      <c r="V926" s="87">
        <v>21.92264</v>
      </c>
      <c r="W926" s="87">
        <v>24.97829</v>
      </c>
      <c r="X926" s="87">
        <v>70.79114</v>
      </c>
      <c r="Y926" s="87">
        <v>61.63723</v>
      </c>
      <c r="Z926" s="88" t="s">
        <v>1396</v>
      </c>
    </row>
    <row r="927" hidden="1">
      <c r="A927" s="90" t="s">
        <v>2658</v>
      </c>
      <c r="B927" s="90" t="s">
        <v>2664</v>
      </c>
      <c r="C927" s="90" t="s">
        <v>573</v>
      </c>
      <c r="D927" s="90" t="s">
        <v>574</v>
      </c>
      <c r="E927" s="90" t="s">
        <v>1403</v>
      </c>
      <c r="F927" s="87">
        <v>2.0</v>
      </c>
      <c r="G927" s="87">
        <v>2.0</v>
      </c>
      <c r="H927" s="87">
        <v>21.0</v>
      </c>
      <c r="I927" s="87">
        <v>21.0</v>
      </c>
      <c r="J927" s="87">
        <v>0.0</v>
      </c>
      <c r="K927" s="87">
        <v>0.0</v>
      </c>
      <c r="L927" s="87">
        <v>0.0</v>
      </c>
      <c r="M927" s="87">
        <v>0.0</v>
      </c>
      <c r="N927" s="91"/>
      <c r="O927" s="87">
        <v>0.0</v>
      </c>
      <c r="P927" s="87">
        <v>0.0</v>
      </c>
      <c r="Q927" s="87">
        <v>0.0</v>
      </c>
      <c r="R927" s="87">
        <v>0.0</v>
      </c>
      <c r="S927" s="87">
        <v>0.0</v>
      </c>
      <c r="T927" s="91"/>
      <c r="U927" s="91"/>
      <c r="V927" s="91"/>
      <c r="W927" s="91"/>
      <c r="X927" s="91"/>
      <c r="Y927" s="87">
        <v>0.0</v>
      </c>
      <c r="Z927" s="88" t="s">
        <v>1396</v>
      </c>
    </row>
    <row r="928" hidden="1">
      <c r="A928" s="90" t="s">
        <v>2646</v>
      </c>
      <c r="B928" s="90" t="s">
        <v>2665</v>
      </c>
      <c r="C928" s="90" t="s">
        <v>573</v>
      </c>
      <c r="D928" s="90" t="s">
        <v>2666</v>
      </c>
      <c r="E928" s="90" t="s">
        <v>1426</v>
      </c>
      <c r="F928" s="87">
        <v>9.0</v>
      </c>
      <c r="G928" s="87">
        <v>0.0</v>
      </c>
      <c r="H928" s="87">
        <v>7363.0</v>
      </c>
      <c r="I928" s="87">
        <v>0.0</v>
      </c>
      <c r="J928" s="87">
        <v>211.3324</v>
      </c>
      <c r="K928" s="87">
        <v>260.7595</v>
      </c>
      <c r="L928" s="87">
        <v>228.3479</v>
      </c>
      <c r="M928" s="87">
        <v>132.8549</v>
      </c>
      <c r="N928" s="87">
        <v>0.509492</v>
      </c>
      <c r="O928" s="87">
        <v>1.0</v>
      </c>
      <c r="P928" s="87">
        <v>4.807992</v>
      </c>
      <c r="Q928" s="87">
        <v>14.86349</v>
      </c>
      <c r="R928" s="87">
        <v>22.13812</v>
      </c>
      <c r="S928" s="87">
        <v>42.49608</v>
      </c>
      <c r="T928" s="87">
        <v>1.0</v>
      </c>
      <c r="U928" s="87">
        <v>4.807992</v>
      </c>
      <c r="V928" s="87">
        <v>14.86349</v>
      </c>
      <c r="W928" s="87">
        <v>22.13812</v>
      </c>
      <c r="X928" s="87">
        <v>42.49608</v>
      </c>
      <c r="Y928" s="87">
        <v>28.97328</v>
      </c>
      <c r="Z928" s="88" t="s">
        <v>1396</v>
      </c>
    </row>
    <row r="929" hidden="1">
      <c r="A929" s="90" t="s">
        <v>2648</v>
      </c>
      <c r="B929" s="90" t="s">
        <v>2667</v>
      </c>
      <c r="C929" s="90" t="s">
        <v>573</v>
      </c>
      <c r="D929" s="90" t="s">
        <v>2666</v>
      </c>
      <c r="E929" s="89">
        <v>46310.0</v>
      </c>
      <c r="F929" s="87">
        <v>3.0</v>
      </c>
      <c r="G929" s="87">
        <v>0.0</v>
      </c>
      <c r="H929" s="87">
        <v>4927.0</v>
      </c>
      <c r="I929" s="87">
        <v>0.0</v>
      </c>
      <c r="J929" s="87">
        <v>66.3207</v>
      </c>
      <c r="K929" s="87">
        <v>67.84731</v>
      </c>
      <c r="L929" s="87">
        <v>67.07411</v>
      </c>
      <c r="M929" s="87">
        <v>45.16394</v>
      </c>
      <c r="N929" s="87">
        <v>0.66567</v>
      </c>
      <c r="O929" s="87">
        <v>22.68337</v>
      </c>
      <c r="P929" s="87">
        <v>22.68337</v>
      </c>
      <c r="Q929" s="87">
        <v>22.68337</v>
      </c>
      <c r="R929" s="87">
        <v>45.16394</v>
      </c>
      <c r="S929" s="87">
        <v>45.16394</v>
      </c>
      <c r="T929" s="87">
        <v>22.68337</v>
      </c>
      <c r="U929" s="87">
        <v>22.68337</v>
      </c>
      <c r="V929" s="87">
        <v>22.68337</v>
      </c>
      <c r="W929" s="87">
        <v>45.16394</v>
      </c>
      <c r="X929" s="87">
        <v>45.16394</v>
      </c>
      <c r="Y929" s="87">
        <v>33.92365</v>
      </c>
      <c r="Z929" s="88" t="s">
        <v>1396</v>
      </c>
    </row>
    <row r="930" hidden="1">
      <c r="A930" s="90" t="s">
        <v>2650</v>
      </c>
      <c r="B930" s="90" t="s">
        <v>2668</v>
      </c>
      <c r="C930" s="90" t="s">
        <v>573</v>
      </c>
      <c r="D930" s="90" t="s">
        <v>2666</v>
      </c>
      <c r="E930" s="90" t="s">
        <v>1413</v>
      </c>
      <c r="F930" s="87">
        <v>1.0</v>
      </c>
      <c r="G930" s="87">
        <v>0.0</v>
      </c>
      <c r="H930" s="87">
        <v>98.0</v>
      </c>
      <c r="I930" s="87">
        <v>0.0</v>
      </c>
      <c r="J930" s="87">
        <v>0.0</v>
      </c>
      <c r="K930" s="87">
        <v>0.0</v>
      </c>
      <c r="L930" s="87">
        <v>0.0</v>
      </c>
      <c r="M930" s="87">
        <v>0.0</v>
      </c>
      <c r="N930" s="91"/>
      <c r="O930" s="91"/>
      <c r="P930" s="91"/>
      <c r="Q930" s="91"/>
      <c r="R930" s="91"/>
      <c r="S930" s="91"/>
      <c r="T930" s="91"/>
      <c r="U930" s="91"/>
      <c r="V930" s="91"/>
      <c r="W930" s="91"/>
      <c r="X930" s="91"/>
      <c r="Y930" s="91"/>
      <c r="Z930" s="88" t="s">
        <v>1396</v>
      </c>
    </row>
    <row r="931" hidden="1">
      <c r="A931" s="90" t="s">
        <v>2656</v>
      </c>
      <c r="B931" s="90" t="s">
        <v>2669</v>
      </c>
      <c r="C931" s="90" t="s">
        <v>573</v>
      </c>
      <c r="D931" s="90" t="s">
        <v>2666</v>
      </c>
      <c r="E931" s="89">
        <v>46300.0</v>
      </c>
      <c r="F931" s="87">
        <v>11.0</v>
      </c>
      <c r="G931" s="87">
        <v>0.0</v>
      </c>
      <c r="H931" s="87">
        <v>14992.0</v>
      </c>
      <c r="I931" s="87">
        <v>0.0</v>
      </c>
      <c r="J931" s="87">
        <v>645.709</v>
      </c>
      <c r="K931" s="87">
        <v>624.1467</v>
      </c>
      <c r="L931" s="87">
        <v>658.2418</v>
      </c>
      <c r="M931" s="87">
        <v>429.8788</v>
      </c>
      <c r="N931" s="87">
        <v>0.688746</v>
      </c>
      <c r="O931" s="87">
        <v>0.0</v>
      </c>
      <c r="P931" s="87">
        <v>0.0</v>
      </c>
      <c r="Q931" s="87">
        <v>0.166667</v>
      </c>
      <c r="R931" s="87">
        <v>33.11516</v>
      </c>
      <c r="S931" s="87">
        <v>42.47269</v>
      </c>
      <c r="T931" s="87">
        <v>3.703662</v>
      </c>
      <c r="U931" s="87">
        <v>23.29213</v>
      </c>
      <c r="V931" s="87">
        <v>33.11516</v>
      </c>
      <c r="W931" s="87">
        <v>42.47269</v>
      </c>
      <c r="X931" s="87">
        <v>70.18832</v>
      </c>
      <c r="Y931" s="87">
        <v>44.58191</v>
      </c>
      <c r="Z931" s="88" t="s">
        <v>1396</v>
      </c>
    </row>
    <row r="932" hidden="1">
      <c r="A932" s="90" t="s">
        <v>2658</v>
      </c>
      <c r="B932" s="90" t="s">
        <v>2670</v>
      </c>
      <c r="C932" s="90" t="s">
        <v>573</v>
      </c>
      <c r="D932" s="90" t="s">
        <v>2666</v>
      </c>
      <c r="E932" s="90" t="s">
        <v>1403</v>
      </c>
      <c r="F932" s="87">
        <v>7.0</v>
      </c>
      <c r="G932" s="87">
        <v>7.0</v>
      </c>
      <c r="H932" s="87">
        <v>352.0</v>
      </c>
      <c r="I932" s="87">
        <v>352.0</v>
      </c>
      <c r="J932" s="87">
        <v>0.0</v>
      </c>
      <c r="K932" s="87">
        <v>0.0</v>
      </c>
      <c r="L932" s="87">
        <v>0.0</v>
      </c>
      <c r="M932" s="87">
        <v>0.0</v>
      </c>
      <c r="N932" s="91"/>
      <c r="O932" s="87">
        <v>0.0</v>
      </c>
      <c r="P932" s="87">
        <v>0.0</v>
      </c>
      <c r="Q932" s="87">
        <v>0.0</v>
      </c>
      <c r="R932" s="87">
        <v>0.0</v>
      </c>
      <c r="S932" s="87">
        <v>0.0</v>
      </c>
      <c r="T932" s="91"/>
      <c r="U932" s="91"/>
      <c r="V932" s="91"/>
      <c r="W932" s="91"/>
      <c r="X932" s="91"/>
      <c r="Y932" s="87">
        <v>0.0</v>
      </c>
      <c r="Z932" s="88" t="s">
        <v>1396</v>
      </c>
    </row>
    <row r="933" hidden="1">
      <c r="A933" s="90" t="s">
        <v>2646</v>
      </c>
      <c r="B933" s="90" t="s">
        <v>2671</v>
      </c>
      <c r="C933" s="90" t="s">
        <v>573</v>
      </c>
      <c r="D933" s="90" t="s">
        <v>582</v>
      </c>
      <c r="E933" s="90" t="s">
        <v>1426</v>
      </c>
      <c r="F933" s="87">
        <v>14.0</v>
      </c>
      <c r="G933" s="87">
        <v>2.0</v>
      </c>
      <c r="H933" s="87">
        <v>30766.0</v>
      </c>
      <c r="I933" s="87">
        <v>96.0</v>
      </c>
      <c r="J933" s="87">
        <v>1158.301</v>
      </c>
      <c r="K933" s="87">
        <v>1168.169</v>
      </c>
      <c r="L933" s="87">
        <v>1193.867</v>
      </c>
      <c r="M933" s="87">
        <v>640.1004</v>
      </c>
      <c r="N933" s="87">
        <v>0.547952</v>
      </c>
      <c r="O933" s="87">
        <v>31.16845</v>
      </c>
      <c r="P933" s="87">
        <v>40.19155</v>
      </c>
      <c r="Q933" s="87">
        <v>69.03838</v>
      </c>
      <c r="R933" s="87">
        <v>81.41861</v>
      </c>
      <c r="S933" s="87">
        <v>111.4909</v>
      </c>
      <c r="T933" s="87">
        <v>31.16845</v>
      </c>
      <c r="U933" s="87">
        <v>40.19155</v>
      </c>
      <c r="V933" s="87">
        <v>69.03838</v>
      </c>
      <c r="W933" s="87">
        <v>81.41861</v>
      </c>
      <c r="X933" s="87">
        <v>111.4909</v>
      </c>
      <c r="Y933" s="87">
        <v>106.1972</v>
      </c>
      <c r="Z933" s="88" t="s">
        <v>1396</v>
      </c>
    </row>
    <row r="934" hidden="1">
      <c r="A934" s="90" t="s">
        <v>2648</v>
      </c>
      <c r="B934" s="90" t="s">
        <v>2672</v>
      </c>
      <c r="C934" s="90" t="s">
        <v>573</v>
      </c>
      <c r="D934" s="90" t="s">
        <v>582</v>
      </c>
      <c r="E934" s="89">
        <v>46310.0</v>
      </c>
      <c r="F934" s="87">
        <v>22.0</v>
      </c>
      <c r="G934" s="87">
        <v>1.0</v>
      </c>
      <c r="H934" s="87">
        <v>12403.0</v>
      </c>
      <c r="I934" s="87">
        <v>60.0</v>
      </c>
      <c r="J934" s="87">
        <v>426.6629</v>
      </c>
      <c r="K934" s="87">
        <v>426.4196</v>
      </c>
      <c r="L934" s="87">
        <v>404.7596</v>
      </c>
      <c r="M934" s="87">
        <v>234.513</v>
      </c>
      <c r="N934" s="87">
        <v>0.549958</v>
      </c>
      <c r="O934" s="87">
        <v>0.0</v>
      </c>
      <c r="P934" s="87">
        <v>2.966544</v>
      </c>
      <c r="Q934" s="87">
        <v>10.53371</v>
      </c>
      <c r="R934" s="87">
        <v>15.92037</v>
      </c>
      <c r="S934" s="87">
        <v>22.86821</v>
      </c>
      <c r="T934" s="87">
        <v>7.353783</v>
      </c>
      <c r="U934" s="87">
        <v>11.00078</v>
      </c>
      <c r="V934" s="87">
        <v>12.02078</v>
      </c>
      <c r="W934" s="87">
        <v>21.4142</v>
      </c>
      <c r="X934" s="87">
        <v>33.7966</v>
      </c>
      <c r="Y934" s="87">
        <v>22.44314</v>
      </c>
      <c r="Z934" s="88" t="s">
        <v>1396</v>
      </c>
    </row>
    <row r="935" hidden="1">
      <c r="A935" s="90" t="s">
        <v>2650</v>
      </c>
      <c r="B935" s="90" t="s">
        <v>2673</v>
      </c>
      <c r="C935" s="90" t="s">
        <v>573</v>
      </c>
      <c r="D935" s="90" t="s">
        <v>582</v>
      </c>
      <c r="E935" s="90" t="s">
        <v>1413</v>
      </c>
      <c r="F935" s="87">
        <v>6.0</v>
      </c>
      <c r="G935" s="87">
        <v>0.0</v>
      </c>
      <c r="H935" s="87">
        <v>2314.0</v>
      </c>
      <c r="I935" s="87">
        <v>0.0</v>
      </c>
      <c r="J935" s="87">
        <v>93.76546</v>
      </c>
      <c r="K935" s="87">
        <v>85.64303</v>
      </c>
      <c r="L935" s="87">
        <v>77.97248</v>
      </c>
      <c r="M935" s="87">
        <v>42.95628</v>
      </c>
      <c r="N935" s="87">
        <v>0.501574</v>
      </c>
      <c r="O935" s="87">
        <v>0.0</v>
      </c>
      <c r="P935" s="87">
        <v>2.0</v>
      </c>
      <c r="Q935" s="87">
        <v>12.6593</v>
      </c>
      <c r="R935" s="87">
        <v>13.22529</v>
      </c>
      <c r="S935" s="87">
        <v>14.80216</v>
      </c>
      <c r="T935" s="87">
        <v>2.0</v>
      </c>
      <c r="U935" s="87">
        <v>12.6593</v>
      </c>
      <c r="V935" s="87">
        <v>12.6593</v>
      </c>
      <c r="W935" s="87">
        <v>14.80216</v>
      </c>
      <c r="X935" s="87">
        <v>21.04455</v>
      </c>
      <c r="Y935" s="87">
        <v>12.23472</v>
      </c>
      <c r="Z935" s="88" t="s">
        <v>1396</v>
      </c>
    </row>
    <row r="936" hidden="1">
      <c r="A936" s="90" t="s">
        <v>2654</v>
      </c>
      <c r="B936" s="90" t="s">
        <v>2674</v>
      </c>
      <c r="C936" s="90" t="s">
        <v>573</v>
      </c>
      <c r="D936" s="90" t="s">
        <v>582</v>
      </c>
      <c r="E936" s="90" t="s">
        <v>1400</v>
      </c>
      <c r="F936" s="87">
        <v>0.0</v>
      </c>
      <c r="G936" s="87">
        <v>0.0</v>
      </c>
      <c r="H936" s="87">
        <v>0.0</v>
      </c>
      <c r="I936" s="87">
        <v>0.0</v>
      </c>
      <c r="J936" s="87">
        <v>0.0</v>
      </c>
      <c r="K936" s="87">
        <v>0.0</v>
      </c>
      <c r="L936" s="87">
        <v>0.0</v>
      </c>
      <c r="M936" s="87">
        <v>0.0</v>
      </c>
      <c r="N936" s="91"/>
      <c r="O936" s="87">
        <v>0.0</v>
      </c>
      <c r="P936" s="87">
        <v>0.0</v>
      </c>
      <c r="Q936" s="87">
        <v>0.0</v>
      </c>
      <c r="R936" s="87">
        <v>0.0</v>
      </c>
      <c r="S936" s="87">
        <v>0.0</v>
      </c>
      <c r="T936" s="91"/>
      <c r="U936" s="91"/>
      <c r="V936" s="91"/>
      <c r="W936" s="91"/>
      <c r="X936" s="91"/>
      <c r="Y936" s="87">
        <v>0.0</v>
      </c>
      <c r="Z936" s="88" t="s">
        <v>1396</v>
      </c>
    </row>
    <row r="937" hidden="1">
      <c r="A937" s="90" t="s">
        <v>2656</v>
      </c>
      <c r="B937" s="90" t="s">
        <v>2675</v>
      </c>
      <c r="C937" s="90" t="s">
        <v>573</v>
      </c>
      <c r="D937" s="90" t="s">
        <v>582</v>
      </c>
      <c r="E937" s="86">
        <v>46300.0</v>
      </c>
      <c r="F937" s="87">
        <v>40.0</v>
      </c>
      <c r="G937" s="87">
        <v>0.0</v>
      </c>
      <c r="H937" s="87">
        <v>65470.0</v>
      </c>
      <c r="I937" s="87">
        <v>0.0</v>
      </c>
      <c r="J937" s="87">
        <v>1655.499</v>
      </c>
      <c r="K937" s="87">
        <v>1673.697</v>
      </c>
      <c r="L937" s="87">
        <v>1623.919</v>
      </c>
      <c r="M937" s="87">
        <v>967.8368</v>
      </c>
      <c r="N937" s="87">
        <v>0.578263</v>
      </c>
      <c r="O937" s="87">
        <v>0.0</v>
      </c>
      <c r="P937" s="87">
        <v>8.592949</v>
      </c>
      <c r="Q937" s="87">
        <v>15.56189</v>
      </c>
      <c r="R937" s="87">
        <v>30.14088</v>
      </c>
      <c r="S937" s="87">
        <v>48.57557</v>
      </c>
      <c r="T937" s="87">
        <v>8.592949</v>
      </c>
      <c r="U937" s="87">
        <v>15.5064</v>
      </c>
      <c r="V937" s="87">
        <v>17.14602</v>
      </c>
      <c r="W937" s="87">
        <v>38.29529</v>
      </c>
      <c r="X937" s="87">
        <v>56.3703</v>
      </c>
      <c r="Y937" s="87">
        <v>44.04467</v>
      </c>
      <c r="Z937" s="88" t="s">
        <v>1396</v>
      </c>
    </row>
    <row r="938" hidden="1">
      <c r="A938" s="90" t="s">
        <v>2658</v>
      </c>
      <c r="B938" s="90" t="s">
        <v>2676</v>
      </c>
      <c r="C938" s="90" t="s">
        <v>573</v>
      </c>
      <c r="D938" s="90" t="s">
        <v>582</v>
      </c>
      <c r="E938" s="90" t="s">
        <v>1403</v>
      </c>
      <c r="F938" s="87">
        <v>4.0</v>
      </c>
      <c r="G938" s="87">
        <v>4.0</v>
      </c>
      <c r="H938" s="87">
        <v>302.0</v>
      </c>
      <c r="I938" s="87">
        <v>302.0</v>
      </c>
      <c r="J938" s="87">
        <v>0.0</v>
      </c>
      <c r="K938" s="87">
        <v>0.0</v>
      </c>
      <c r="L938" s="87">
        <v>0.0</v>
      </c>
      <c r="M938" s="87">
        <v>0.0</v>
      </c>
      <c r="N938" s="91"/>
      <c r="O938" s="87">
        <v>0.0</v>
      </c>
      <c r="P938" s="87">
        <v>0.0</v>
      </c>
      <c r="Q938" s="87">
        <v>0.0</v>
      </c>
      <c r="R938" s="87">
        <v>0.0</v>
      </c>
      <c r="S938" s="87">
        <v>0.0</v>
      </c>
      <c r="T938" s="91"/>
      <c r="U938" s="91"/>
      <c r="V938" s="91"/>
      <c r="W938" s="91"/>
      <c r="X938" s="91"/>
      <c r="Y938" s="87">
        <v>0.0</v>
      </c>
      <c r="Z938" s="88" t="s">
        <v>1396</v>
      </c>
    </row>
    <row r="939" hidden="1">
      <c r="A939" s="90" t="s">
        <v>2646</v>
      </c>
      <c r="B939" s="90" t="s">
        <v>2677</v>
      </c>
      <c r="C939" s="90" t="s">
        <v>573</v>
      </c>
      <c r="D939" s="90" t="s">
        <v>2678</v>
      </c>
      <c r="E939" s="90" t="s">
        <v>1426</v>
      </c>
      <c r="F939" s="87">
        <v>3.0</v>
      </c>
      <c r="G939" s="87">
        <v>0.0</v>
      </c>
      <c r="H939" s="87">
        <v>1586.0</v>
      </c>
      <c r="I939" s="87">
        <v>0.0</v>
      </c>
      <c r="J939" s="87">
        <v>447.7159</v>
      </c>
      <c r="K939" s="87">
        <v>463.6417</v>
      </c>
      <c r="L939" s="87">
        <v>477.726</v>
      </c>
      <c r="M939" s="87">
        <v>264.2262</v>
      </c>
      <c r="N939" s="87">
        <v>0.569893</v>
      </c>
      <c r="O939" s="87">
        <v>50.06303</v>
      </c>
      <c r="P939" s="87">
        <v>50.06303</v>
      </c>
      <c r="Q939" s="87">
        <v>50.06303</v>
      </c>
      <c r="R939" s="87">
        <v>149.3525</v>
      </c>
      <c r="S939" s="87">
        <v>264.2262</v>
      </c>
      <c r="T939" s="87">
        <v>50.06303</v>
      </c>
      <c r="U939" s="87">
        <v>50.06303</v>
      </c>
      <c r="V939" s="87">
        <v>50.06303</v>
      </c>
      <c r="W939" s="87">
        <v>149.3525</v>
      </c>
      <c r="X939" s="87">
        <v>264.2262</v>
      </c>
      <c r="Y939" s="87">
        <v>154.5472</v>
      </c>
      <c r="Z939" s="88" t="s">
        <v>1396</v>
      </c>
    </row>
    <row r="940" hidden="1">
      <c r="A940" s="90" t="s">
        <v>2648</v>
      </c>
      <c r="B940" s="90" t="s">
        <v>2679</v>
      </c>
      <c r="C940" s="90" t="s">
        <v>573</v>
      </c>
      <c r="D940" s="90" t="s">
        <v>2678</v>
      </c>
      <c r="E940" s="86">
        <v>46310.0</v>
      </c>
      <c r="F940" s="87">
        <v>8.0</v>
      </c>
      <c r="G940" s="87">
        <v>0.0</v>
      </c>
      <c r="H940" s="87">
        <v>5529.0</v>
      </c>
      <c r="I940" s="87">
        <v>0.0</v>
      </c>
      <c r="J940" s="87">
        <v>1464.608</v>
      </c>
      <c r="K940" s="87">
        <v>1482.418</v>
      </c>
      <c r="L940" s="87">
        <v>1540.57</v>
      </c>
      <c r="M940" s="87">
        <v>980.1542</v>
      </c>
      <c r="N940" s="87">
        <v>0.661186</v>
      </c>
      <c r="O940" s="87">
        <v>0.0</v>
      </c>
      <c r="P940" s="87">
        <v>13.45707</v>
      </c>
      <c r="Q940" s="87">
        <v>48.93221</v>
      </c>
      <c r="R940" s="87">
        <v>50.72845</v>
      </c>
      <c r="S940" s="87">
        <v>250.8202</v>
      </c>
      <c r="T940" s="87">
        <v>13.45707</v>
      </c>
      <c r="U940" s="87">
        <v>48.93221</v>
      </c>
      <c r="V940" s="87">
        <v>49.91002</v>
      </c>
      <c r="W940" s="87">
        <v>88.41608</v>
      </c>
      <c r="X940" s="87">
        <v>250.8202</v>
      </c>
      <c r="Y940" s="87">
        <v>164.7131</v>
      </c>
      <c r="Z940" s="88" t="s">
        <v>1396</v>
      </c>
    </row>
    <row r="941" hidden="1">
      <c r="A941" s="90" t="s">
        <v>2650</v>
      </c>
      <c r="B941" s="90" t="s">
        <v>2680</v>
      </c>
      <c r="C941" s="90" t="s">
        <v>573</v>
      </c>
      <c r="D941" s="90" t="s">
        <v>2678</v>
      </c>
      <c r="E941" s="90" t="s">
        <v>1413</v>
      </c>
      <c r="F941" s="87">
        <v>1.0</v>
      </c>
      <c r="G941" s="87">
        <v>0.0</v>
      </c>
      <c r="H941" s="87">
        <v>576.0</v>
      </c>
      <c r="I941" s="87">
        <v>0.0</v>
      </c>
      <c r="J941" s="87">
        <v>83.24228</v>
      </c>
      <c r="K941" s="87">
        <v>81.229</v>
      </c>
      <c r="L941" s="87">
        <v>78.69935</v>
      </c>
      <c r="M941" s="87">
        <v>81.229</v>
      </c>
      <c r="N941" s="87">
        <v>1.0</v>
      </c>
      <c r="O941" s="87">
        <v>81.229</v>
      </c>
      <c r="P941" s="87">
        <v>81.229</v>
      </c>
      <c r="Q941" s="87">
        <v>81.229</v>
      </c>
      <c r="R941" s="87">
        <v>81.229</v>
      </c>
      <c r="S941" s="87">
        <v>81.229</v>
      </c>
      <c r="T941" s="87">
        <v>81.229</v>
      </c>
      <c r="U941" s="87">
        <v>81.229</v>
      </c>
      <c r="V941" s="87">
        <v>81.229</v>
      </c>
      <c r="W941" s="87">
        <v>81.229</v>
      </c>
      <c r="X941" s="87">
        <v>81.229</v>
      </c>
      <c r="Y941" s="87">
        <v>81.229</v>
      </c>
      <c r="Z941" s="88" t="s">
        <v>1396</v>
      </c>
    </row>
    <row r="942" hidden="1">
      <c r="A942" s="90" t="s">
        <v>2652</v>
      </c>
      <c r="B942" s="90" t="s">
        <v>2681</v>
      </c>
      <c r="C942" s="90" t="s">
        <v>573</v>
      </c>
      <c r="D942" s="90" t="s">
        <v>2678</v>
      </c>
      <c r="E942" s="90" t="s">
        <v>1398</v>
      </c>
      <c r="F942" s="87">
        <v>1.0</v>
      </c>
      <c r="G942" s="87">
        <v>0.0</v>
      </c>
      <c r="H942" s="87">
        <v>274.0</v>
      </c>
      <c r="I942" s="87">
        <v>0.0</v>
      </c>
      <c r="J942" s="87">
        <v>77.21472</v>
      </c>
      <c r="K942" s="87">
        <v>73.74808</v>
      </c>
      <c r="L942" s="87">
        <v>78.32704</v>
      </c>
      <c r="M942" s="87">
        <v>73.74808</v>
      </c>
      <c r="N942" s="87">
        <v>1.0</v>
      </c>
      <c r="O942" s="87">
        <v>73.74808</v>
      </c>
      <c r="P942" s="87">
        <v>73.74808</v>
      </c>
      <c r="Q942" s="87">
        <v>73.74808</v>
      </c>
      <c r="R942" s="87">
        <v>73.74808</v>
      </c>
      <c r="S942" s="87">
        <v>73.74808</v>
      </c>
      <c r="T942" s="87">
        <v>73.74808</v>
      </c>
      <c r="U942" s="87">
        <v>73.74808</v>
      </c>
      <c r="V942" s="87">
        <v>73.74808</v>
      </c>
      <c r="W942" s="87">
        <v>73.74808</v>
      </c>
      <c r="X942" s="87">
        <v>73.74808</v>
      </c>
      <c r="Y942" s="87">
        <v>73.74808</v>
      </c>
      <c r="Z942" s="88" t="s">
        <v>1396</v>
      </c>
    </row>
    <row r="943" hidden="1">
      <c r="A943" s="90" t="s">
        <v>2656</v>
      </c>
      <c r="B943" s="90" t="s">
        <v>2682</v>
      </c>
      <c r="C943" s="90" t="s">
        <v>573</v>
      </c>
      <c r="D943" s="90" t="s">
        <v>2678</v>
      </c>
      <c r="E943" s="89">
        <v>46300.0</v>
      </c>
      <c r="F943" s="87">
        <v>8.0</v>
      </c>
      <c r="G943" s="87">
        <v>0.0</v>
      </c>
      <c r="H943" s="87">
        <v>3494.0</v>
      </c>
      <c r="I943" s="87">
        <v>0.0</v>
      </c>
      <c r="J943" s="87">
        <v>1144.176</v>
      </c>
      <c r="K943" s="87">
        <v>1185.024</v>
      </c>
      <c r="L943" s="87">
        <v>1191.735</v>
      </c>
      <c r="M943" s="87">
        <v>999.1866</v>
      </c>
      <c r="N943" s="87">
        <v>0.843179</v>
      </c>
      <c r="O943" s="87">
        <v>14.62255</v>
      </c>
      <c r="P943" s="87">
        <v>15.86314</v>
      </c>
      <c r="Q943" s="87">
        <v>18.37337</v>
      </c>
      <c r="R943" s="87">
        <v>46.29025</v>
      </c>
      <c r="S943" s="87">
        <v>67.13309</v>
      </c>
      <c r="T943" s="87">
        <v>14.62255</v>
      </c>
      <c r="U943" s="87">
        <v>15.86314</v>
      </c>
      <c r="V943" s="87">
        <v>18.37337</v>
      </c>
      <c r="W943" s="87">
        <v>46.29025</v>
      </c>
      <c r="X943" s="87">
        <v>67.13309</v>
      </c>
      <c r="Y943" s="87">
        <v>148.128</v>
      </c>
      <c r="Z943" s="88" t="s">
        <v>1396</v>
      </c>
    </row>
    <row r="944" hidden="1">
      <c r="A944" s="90" t="s">
        <v>2658</v>
      </c>
      <c r="B944" s="90" t="s">
        <v>2683</v>
      </c>
      <c r="C944" s="90" t="s">
        <v>573</v>
      </c>
      <c r="D944" s="90" t="s">
        <v>2678</v>
      </c>
      <c r="E944" s="90" t="s">
        <v>1403</v>
      </c>
      <c r="F944" s="87">
        <v>7.0</v>
      </c>
      <c r="G944" s="87">
        <v>7.0</v>
      </c>
      <c r="H944" s="87">
        <v>223.0</v>
      </c>
      <c r="I944" s="87">
        <v>223.0</v>
      </c>
      <c r="J944" s="87">
        <v>0.0</v>
      </c>
      <c r="K944" s="87">
        <v>0.0</v>
      </c>
      <c r="L944" s="87">
        <v>0.0</v>
      </c>
      <c r="M944" s="87">
        <v>0.0</v>
      </c>
      <c r="N944" s="91"/>
      <c r="O944" s="87">
        <v>0.0</v>
      </c>
      <c r="P944" s="87">
        <v>0.0</v>
      </c>
      <c r="Q944" s="87">
        <v>0.0</v>
      </c>
      <c r="R944" s="87">
        <v>0.0</v>
      </c>
      <c r="S944" s="87">
        <v>0.0</v>
      </c>
      <c r="T944" s="91"/>
      <c r="U944" s="91"/>
      <c r="V944" s="91"/>
      <c r="W944" s="91"/>
      <c r="X944" s="91"/>
      <c r="Y944" s="87">
        <v>0.0</v>
      </c>
      <c r="Z944" s="88" t="s">
        <v>1396</v>
      </c>
    </row>
    <row r="945" hidden="1">
      <c r="A945" s="90" t="s">
        <v>2646</v>
      </c>
      <c r="B945" s="90" t="s">
        <v>3367</v>
      </c>
      <c r="C945" s="90" t="s">
        <v>573</v>
      </c>
      <c r="D945" s="90" t="s">
        <v>578</v>
      </c>
      <c r="E945" s="90" t="s">
        <v>1426</v>
      </c>
      <c r="F945" s="87">
        <v>1.0</v>
      </c>
      <c r="G945" s="87">
        <v>0.0</v>
      </c>
      <c r="H945" s="87">
        <v>248.0</v>
      </c>
      <c r="I945" s="87">
        <v>0.0</v>
      </c>
      <c r="J945" s="87">
        <v>0.0</v>
      </c>
      <c r="K945" s="87">
        <v>0.0</v>
      </c>
      <c r="L945" s="87">
        <v>0.0</v>
      </c>
      <c r="M945" s="87">
        <v>0.0</v>
      </c>
      <c r="N945" s="91"/>
      <c r="O945" s="91"/>
      <c r="P945" s="91"/>
      <c r="Q945" s="91"/>
      <c r="R945" s="91"/>
      <c r="S945" s="91"/>
      <c r="T945" s="91"/>
      <c r="U945" s="91"/>
      <c r="V945" s="91"/>
      <c r="W945" s="91"/>
      <c r="X945" s="91"/>
      <c r="Y945" s="91"/>
      <c r="Z945" s="88" t="s">
        <v>1396</v>
      </c>
    </row>
    <row r="946" hidden="1">
      <c r="A946" s="90" t="s">
        <v>2648</v>
      </c>
      <c r="B946" s="90" t="s">
        <v>2684</v>
      </c>
      <c r="C946" s="90" t="s">
        <v>573</v>
      </c>
      <c r="D946" s="90" t="s">
        <v>578</v>
      </c>
      <c r="E946" s="86">
        <v>46310.0</v>
      </c>
      <c r="F946" s="87">
        <v>0.0</v>
      </c>
      <c r="G946" s="87">
        <v>0.0</v>
      </c>
      <c r="H946" s="87">
        <v>0.0</v>
      </c>
      <c r="I946" s="87">
        <v>0.0</v>
      </c>
      <c r="J946" s="87">
        <v>0.0</v>
      </c>
      <c r="K946" s="87">
        <v>0.0</v>
      </c>
      <c r="L946" s="87">
        <v>0.0</v>
      </c>
      <c r="M946" s="87">
        <v>0.0</v>
      </c>
      <c r="N946" s="85"/>
      <c r="O946" s="87">
        <v>0.0</v>
      </c>
      <c r="P946" s="87">
        <v>0.0</v>
      </c>
      <c r="Q946" s="87">
        <v>0.0</v>
      </c>
      <c r="R946" s="87">
        <v>0.0</v>
      </c>
      <c r="S946" s="87">
        <v>0.0</v>
      </c>
      <c r="T946" s="91"/>
      <c r="U946" s="91"/>
      <c r="V946" s="91"/>
      <c r="W946" s="91"/>
      <c r="X946" s="91"/>
      <c r="Y946" s="87">
        <v>0.0</v>
      </c>
      <c r="Z946" s="88" t="s">
        <v>1396</v>
      </c>
    </row>
    <row r="947" hidden="1">
      <c r="A947" s="90" t="s">
        <v>2654</v>
      </c>
      <c r="B947" s="90" t="s">
        <v>2685</v>
      </c>
      <c r="C947" s="90" t="s">
        <v>573</v>
      </c>
      <c r="D947" s="90" t="s">
        <v>578</v>
      </c>
      <c r="E947" s="90" t="s">
        <v>1400</v>
      </c>
      <c r="F947" s="87">
        <v>1.0</v>
      </c>
      <c r="G947" s="87">
        <v>0.0</v>
      </c>
      <c r="H947" s="87">
        <v>747.0</v>
      </c>
      <c r="I947" s="87">
        <v>0.0</v>
      </c>
      <c r="J947" s="87">
        <v>12.12995</v>
      </c>
      <c r="K947" s="87">
        <v>12.01543</v>
      </c>
      <c r="L947" s="87">
        <v>10.91363</v>
      </c>
      <c r="M947" s="87">
        <v>12.01543</v>
      </c>
      <c r="N947" s="87">
        <v>1.0</v>
      </c>
      <c r="O947" s="87">
        <v>12.01543</v>
      </c>
      <c r="P947" s="87">
        <v>12.01543</v>
      </c>
      <c r="Q947" s="87">
        <v>12.01543</v>
      </c>
      <c r="R947" s="87">
        <v>12.01543</v>
      </c>
      <c r="S947" s="87">
        <v>12.01543</v>
      </c>
      <c r="T947" s="87">
        <v>12.01543</v>
      </c>
      <c r="U947" s="87">
        <v>12.01543</v>
      </c>
      <c r="V947" s="87">
        <v>12.01543</v>
      </c>
      <c r="W947" s="87">
        <v>12.01543</v>
      </c>
      <c r="X947" s="87">
        <v>12.01543</v>
      </c>
      <c r="Y947" s="87">
        <v>12.01543</v>
      </c>
      <c r="Z947" s="88" t="s">
        <v>1396</v>
      </c>
    </row>
    <row r="948" hidden="1">
      <c r="A948" s="90" t="s">
        <v>2656</v>
      </c>
      <c r="B948" s="90" t="s">
        <v>2686</v>
      </c>
      <c r="C948" s="90" t="s">
        <v>573</v>
      </c>
      <c r="D948" s="90" t="s">
        <v>578</v>
      </c>
      <c r="E948" s="86">
        <v>46300.0</v>
      </c>
      <c r="F948" s="87">
        <v>0.0</v>
      </c>
      <c r="G948" s="87">
        <v>0.0</v>
      </c>
      <c r="H948" s="87">
        <v>0.0</v>
      </c>
      <c r="I948" s="87">
        <v>0.0</v>
      </c>
      <c r="J948" s="87">
        <v>0.0</v>
      </c>
      <c r="K948" s="87">
        <v>0.0</v>
      </c>
      <c r="L948" s="87">
        <v>0.0</v>
      </c>
      <c r="M948" s="87">
        <v>0.0</v>
      </c>
      <c r="N948" s="91"/>
      <c r="O948" s="87">
        <v>0.0</v>
      </c>
      <c r="P948" s="87">
        <v>0.0</v>
      </c>
      <c r="Q948" s="87">
        <v>0.0</v>
      </c>
      <c r="R948" s="87">
        <v>0.0</v>
      </c>
      <c r="S948" s="87">
        <v>0.0</v>
      </c>
      <c r="T948" s="91"/>
      <c r="U948" s="91"/>
      <c r="V948" s="91"/>
      <c r="W948" s="91"/>
      <c r="X948" s="91"/>
      <c r="Y948" s="87">
        <v>0.0</v>
      </c>
      <c r="Z948" s="88" t="s">
        <v>1396</v>
      </c>
    </row>
    <row r="949" hidden="1">
      <c r="A949" s="90" t="s">
        <v>2658</v>
      </c>
      <c r="B949" s="90" t="s">
        <v>2687</v>
      </c>
      <c r="C949" s="90" t="s">
        <v>573</v>
      </c>
      <c r="D949" s="90" t="s">
        <v>578</v>
      </c>
      <c r="E949" s="90" t="s">
        <v>1403</v>
      </c>
      <c r="F949" s="87">
        <v>0.0</v>
      </c>
      <c r="G949" s="87">
        <v>0.0</v>
      </c>
      <c r="H949" s="87">
        <v>0.0</v>
      </c>
      <c r="I949" s="87">
        <v>0.0</v>
      </c>
      <c r="J949" s="87">
        <v>0.0</v>
      </c>
      <c r="K949" s="87">
        <v>0.0</v>
      </c>
      <c r="L949" s="87">
        <v>0.0</v>
      </c>
      <c r="M949" s="87">
        <v>0.0</v>
      </c>
      <c r="N949" s="91"/>
      <c r="O949" s="87">
        <v>0.0</v>
      </c>
      <c r="P949" s="87">
        <v>0.0</v>
      </c>
      <c r="Q949" s="87">
        <v>0.0</v>
      </c>
      <c r="R949" s="87">
        <v>0.0</v>
      </c>
      <c r="S949" s="87">
        <v>0.0</v>
      </c>
      <c r="T949" s="91"/>
      <c r="U949" s="91"/>
      <c r="V949" s="91"/>
      <c r="W949" s="91"/>
      <c r="X949" s="91"/>
      <c r="Y949" s="87">
        <v>0.0</v>
      </c>
      <c r="Z949" s="88" t="s">
        <v>1396</v>
      </c>
    </row>
    <row r="950" hidden="1">
      <c r="A950" s="90" t="s">
        <v>2646</v>
      </c>
      <c r="B950" s="90" t="s">
        <v>2688</v>
      </c>
      <c r="C950" s="90" t="s">
        <v>573</v>
      </c>
      <c r="D950" s="90" t="s">
        <v>2689</v>
      </c>
      <c r="E950" s="90" t="s">
        <v>1426</v>
      </c>
      <c r="F950" s="87">
        <v>7.0</v>
      </c>
      <c r="G950" s="87">
        <v>1.0</v>
      </c>
      <c r="H950" s="87">
        <v>53996.0</v>
      </c>
      <c r="I950" s="87">
        <v>238.0</v>
      </c>
      <c r="J950" s="87">
        <v>539.9149</v>
      </c>
      <c r="K950" s="87">
        <v>512.3429</v>
      </c>
      <c r="L950" s="87">
        <v>480.1722</v>
      </c>
      <c r="M950" s="87">
        <v>296.268</v>
      </c>
      <c r="N950" s="87">
        <v>0.578261</v>
      </c>
      <c r="O950" s="87">
        <v>0.0</v>
      </c>
      <c r="P950" s="87">
        <v>14.84436</v>
      </c>
      <c r="Q950" s="87">
        <v>14.84436</v>
      </c>
      <c r="R950" s="87">
        <v>37.92634</v>
      </c>
      <c r="S950" s="87">
        <v>163.3042</v>
      </c>
      <c r="T950" s="87">
        <v>14.84436</v>
      </c>
      <c r="U950" s="87">
        <v>14.84436</v>
      </c>
      <c r="V950" s="87">
        <v>37.92634</v>
      </c>
      <c r="W950" s="87">
        <v>163.3042</v>
      </c>
      <c r="X950" s="87">
        <v>163.3042</v>
      </c>
      <c r="Y950" s="87">
        <v>102.4686</v>
      </c>
      <c r="Z950" s="88" t="s">
        <v>1396</v>
      </c>
    </row>
    <row r="951" hidden="1">
      <c r="A951" s="90" t="s">
        <v>2648</v>
      </c>
      <c r="B951" s="90" t="s">
        <v>2690</v>
      </c>
      <c r="C951" s="90" t="s">
        <v>573</v>
      </c>
      <c r="D951" s="90" t="s">
        <v>2689</v>
      </c>
      <c r="E951" s="86">
        <v>46310.0</v>
      </c>
      <c r="F951" s="87">
        <v>1.0</v>
      </c>
      <c r="G951" s="87">
        <v>0.0</v>
      </c>
      <c r="H951" s="87">
        <v>1806.0</v>
      </c>
      <c r="I951" s="87">
        <v>0.0</v>
      </c>
      <c r="J951" s="87">
        <v>24.1044</v>
      </c>
      <c r="K951" s="87">
        <v>23.65956</v>
      </c>
      <c r="L951" s="87">
        <v>23.53433</v>
      </c>
      <c r="M951" s="87">
        <v>23.65956</v>
      </c>
      <c r="N951" s="87">
        <v>1.0</v>
      </c>
      <c r="O951" s="87">
        <v>23.65956</v>
      </c>
      <c r="P951" s="87">
        <v>23.65956</v>
      </c>
      <c r="Q951" s="87">
        <v>23.65956</v>
      </c>
      <c r="R951" s="87">
        <v>23.65956</v>
      </c>
      <c r="S951" s="87">
        <v>23.65956</v>
      </c>
      <c r="T951" s="87">
        <v>23.65956</v>
      </c>
      <c r="U951" s="87">
        <v>23.65956</v>
      </c>
      <c r="V951" s="87">
        <v>23.65956</v>
      </c>
      <c r="W951" s="87">
        <v>23.65956</v>
      </c>
      <c r="X951" s="87">
        <v>23.65956</v>
      </c>
      <c r="Y951" s="87">
        <v>23.65956</v>
      </c>
      <c r="Z951" s="88" t="s">
        <v>1396</v>
      </c>
    </row>
    <row r="952" hidden="1">
      <c r="A952" s="90" t="s">
        <v>2650</v>
      </c>
      <c r="B952" s="90" t="s">
        <v>2691</v>
      </c>
      <c r="C952" s="90" t="s">
        <v>573</v>
      </c>
      <c r="D952" s="90" t="s">
        <v>2689</v>
      </c>
      <c r="E952" s="90" t="s">
        <v>1413</v>
      </c>
      <c r="F952" s="87">
        <v>8.0</v>
      </c>
      <c r="G952" s="87">
        <v>0.0</v>
      </c>
      <c r="H952" s="87">
        <v>9537.0</v>
      </c>
      <c r="I952" s="87">
        <v>0.0</v>
      </c>
      <c r="J952" s="87">
        <v>139.2008</v>
      </c>
      <c r="K952" s="87">
        <v>144.0387</v>
      </c>
      <c r="L952" s="87">
        <v>146.503</v>
      </c>
      <c r="M952" s="87">
        <v>101.2281</v>
      </c>
      <c r="N952" s="87">
        <v>0.702784</v>
      </c>
      <c r="O952" s="87">
        <v>7.173643</v>
      </c>
      <c r="P952" s="87">
        <v>8.029113</v>
      </c>
      <c r="Q952" s="87">
        <v>8.029113</v>
      </c>
      <c r="R952" s="87">
        <v>17.38911</v>
      </c>
      <c r="S952" s="87">
        <v>40.29854</v>
      </c>
      <c r="T952" s="87">
        <v>7.173643</v>
      </c>
      <c r="U952" s="87">
        <v>8.029113</v>
      </c>
      <c r="V952" s="87">
        <v>8.029113</v>
      </c>
      <c r="W952" s="87">
        <v>17.38911</v>
      </c>
      <c r="X952" s="87">
        <v>40.29854</v>
      </c>
      <c r="Y952" s="87">
        <v>24.00644</v>
      </c>
      <c r="Z952" s="88" t="s">
        <v>1396</v>
      </c>
    </row>
    <row r="953" hidden="1">
      <c r="A953" s="90" t="s">
        <v>2654</v>
      </c>
      <c r="B953" s="90" t="s">
        <v>2692</v>
      </c>
      <c r="C953" s="90" t="s">
        <v>573</v>
      </c>
      <c r="D953" s="90" t="s">
        <v>2689</v>
      </c>
      <c r="E953" s="90" t="s">
        <v>1400</v>
      </c>
      <c r="F953" s="87">
        <v>1.0</v>
      </c>
      <c r="G953" s="87">
        <v>0.0</v>
      </c>
      <c r="H953" s="87">
        <v>5638.0</v>
      </c>
      <c r="I953" s="87">
        <v>0.0</v>
      </c>
      <c r="J953" s="87">
        <v>36.12757</v>
      </c>
      <c r="K953" s="87">
        <v>35.82421</v>
      </c>
      <c r="L953" s="87">
        <v>38.31828</v>
      </c>
      <c r="M953" s="87">
        <v>34.72421</v>
      </c>
      <c r="N953" s="87">
        <v>0.969295</v>
      </c>
      <c r="O953" s="87">
        <v>1.1</v>
      </c>
      <c r="P953" s="87">
        <v>1.1</v>
      </c>
      <c r="Q953" s="87">
        <v>1.1</v>
      </c>
      <c r="R953" s="87">
        <v>34.72421</v>
      </c>
      <c r="S953" s="87">
        <v>34.72421</v>
      </c>
      <c r="T953" s="87">
        <v>1.1</v>
      </c>
      <c r="U953" s="87">
        <v>1.1</v>
      </c>
      <c r="V953" s="87">
        <v>1.1</v>
      </c>
      <c r="W953" s="87">
        <v>34.72421</v>
      </c>
      <c r="X953" s="87">
        <v>34.72421</v>
      </c>
      <c r="Y953" s="87">
        <v>17.9121</v>
      </c>
      <c r="Z953" s="88" t="s">
        <v>1396</v>
      </c>
    </row>
    <row r="954" hidden="1">
      <c r="A954" s="90" t="s">
        <v>2656</v>
      </c>
      <c r="B954" s="90" t="s">
        <v>2693</v>
      </c>
      <c r="C954" s="90" t="s">
        <v>573</v>
      </c>
      <c r="D954" s="90" t="s">
        <v>2689</v>
      </c>
      <c r="E954" s="89">
        <v>46300.0</v>
      </c>
      <c r="F954" s="87">
        <v>2.0</v>
      </c>
      <c r="G954" s="87">
        <v>0.0</v>
      </c>
      <c r="H954" s="87">
        <v>1385.0</v>
      </c>
      <c r="I954" s="87">
        <v>0.0</v>
      </c>
      <c r="J954" s="87">
        <v>194.4538</v>
      </c>
      <c r="K954" s="87">
        <v>195.3019</v>
      </c>
      <c r="L954" s="87">
        <v>194.7419</v>
      </c>
      <c r="M954" s="87">
        <v>195.3019</v>
      </c>
      <c r="N954" s="87">
        <v>1.0</v>
      </c>
      <c r="O954" s="87">
        <v>0.0</v>
      </c>
      <c r="P954" s="87">
        <v>0.0</v>
      </c>
      <c r="Q954" s="87">
        <v>0.0</v>
      </c>
      <c r="R954" s="87">
        <v>195.3019</v>
      </c>
      <c r="S954" s="87">
        <v>195.3019</v>
      </c>
      <c r="T954" s="87">
        <v>195.3019</v>
      </c>
      <c r="U954" s="87">
        <v>195.3019</v>
      </c>
      <c r="V954" s="87">
        <v>195.3019</v>
      </c>
      <c r="W954" s="87">
        <v>195.3019</v>
      </c>
      <c r="X954" s="87">
        <v>195.3019</v>
      </c>
      <c r="Y954" s="87">
        <v>97.65094</v>
      </c>
      <c r="Z954" s="88" t="s">
        <v>1396</v>
      </c>
    </row>
    <row r="955" hidden="1">
      <c r="A955" s="90" t="s">
        <v>2658</v>
      </c>
      <c r="B955" s="90" t="s">
        <v>2694</v>
      </c>
      <c r="C955" s="90" t="s">
        <v>573</v>
      </c>
      <c r="D955" s="90" t="s">
        <v>2689</v>
      </c>
      <c r="E955" s="90" t="s">
        <v>1403</v>
      </c>
      <c r="F955" s="87">
        <v>4.0</v>
      </c>
      <c r="G955" s="87">
        <v>4.0</v>
      </c>
      <c r="H955" s="87">
        <v>55.0</v>
      </c>
      <c r="I955" s="87">
        <v>55.0</v>
      </c>
      <c r="J955" s="87">
        <v>0.0</v>
      </c>
      <c r="K955" s="87">
        <v>0.0</v>
      </c>
      <c r="L955" s="87">
        <v>0.0</v>
      </c>
      <c r="M955" s="87">
        <v>0.0</v>
      </c>
      <c r="N955" s="91"/>
      <c r="O955" s="87">
        <v>0.0</v>
      </c>
      <c r="P955" s="87">
        <v>0.0</v>
      </c>
      <c r="Q955" s="87">
        <v>0.0</v>
      </c>
      <c r="R955" s="87">
        <v>0.0</v>
      </c>
      <c r="S955" s="87">
        <v>0.0</v>
      </c>
      <c r="T955" s="91"/>
      <c r="U955" s="91"/>
      <c r="V955" s="91"/>
      <c r="W955" s="91"/>
      <c r="X955" s="91"/>
      <c r="Y955" s="87">
        <v>0.0</v>
      </c>
      <c r="Z955" s="88" t="s">
        <v>1396</v>
      </c>
    </row>
    <row r="956" hidden="1">
      <c r="A956" s="90" t="s">
        <v>2646</v>
      </c>
      <c r="B956" s="90" t="s">
        <v>2695</v>
      </c>
      <c r="C956" s="90" t="s">
        <v>573</v>
      </c>
      <c r="D956" s="90" t="s">
        <v>2696</v>
      </c>
      <c r="E956" s="90" t="s">
        <v>1426</v>
      </c>
      <c r="F956" s="87">
        <v>9.0</v>
      </c>
      <c r="G956" s="87">
        <v>0.0</v>
      </c>
      <c r="H956" s="87">
        <v>21501.0</v>
      </c>
      <c r="I956" s="87">
        <v>0.0</v>
      </c>
      <c r="J956" s="87">
        <v>883.2047</v>
      </c>
      <c r="K956" s="87">
        <v>914.6813</v>
      </c>
      <c r="L956" s="87">
        <v>969.5351</v>
      </c>
      <c r="M956" s="87">
        <v>402.0018</v>
      </c>
      <c r="N956" s="87">
        <v>0.439499</v>
      </c>
      <c r="O956" s="87">
        <v>18.53198</v>
      </c>
      <c r="P956" s="87">
        <v>71.61173</v>
      </c>
      <c r="Q956" s="87">
        <v>82.74787</v>
      </c>
      <c r="R956" s="87">
        <v>117.9018</v>
      </c>
      <c r="S956" s="87">
        <v>137.0936</v>
      </c>
      <c r="T956" s="87">
        <v>18.53198</v>
      </c>
      <c r="U956" s="87">
        <v>71.61173</v>
      </c>
      <c r="V956" s="87">
        <v>82.74787</v>
      </c>
      <c r="W956" s="87">
        <v>117.9018</v>
      </c>
      <c r="X956" s="87">
        <v>137.0936</v>
      </c>
      <c r="Y956" s="87">
        <v>114.3352</v>
      </c>
      <c r="Z956" s="88" t="s">
        <v>1396</v>
      </c>
    </row>
    <row r="957" hidden="1">
      <c r="A957" s="90" t="s">
        <v>2648</v>
      </c>
      <c r="B957" s="90" t="s">
        <v>2697</v>
      </c>
      <c r="C957" s="90" t="s">
        <v>573</v>
      </c>
      <c r="D957" s="90" t="s">
        <v>2696</v>
      </c>
      <c r="E957" s="86">
        <v>46310.0</v>
      </c>
      <c r="F957" s="87">
        <v>7.0</v>
      </c>
      <c r="G957" s="87">
        <v>0.0</v>
      </c>
      <c r="H957" s="87">
        <v>14238.0</v>
      </c>
      <c r="I957" s="87">
        <v>0.0</v>
      </c>
      <c r="J957" s="87">
        <v>470.8006</v>
      </c>
      <c r="K957" s="87">
        <v>526.4521</v>
      </c>
      <c r="L957" s="87">
        <v>590.8625</v>
      </c>
      <c r="M957" s="87">
        <v>373.9742</v>
      </c>
      <c r="N957" s="87">
        <v>0.710367</v>
      </c>
      <c r="O957" s="87">
        <v>0.0</v>
      </c>
      <c r="P957" s="87">
        <v>9.297469</v>
      </c>
      <c r="Q957" s="87">
        <v>9.891532</v>
      </c>
      <c r="R957" s="87">
        <v>47.14942</v>
      </c>
      <c r="S957" s="87">
        <v>49.2208</v>
      </c>
      <c r="T957" s="87">
        <v>9.297469</v>
      </c>
      <c r="U957" s="87">
        <v>9.891532</v>
      </c>
      <c r="V957" s="87">
        <v>36.91874</v>
      </c>
      <c r="W957" s="87">
        <v>47.14942</v>
      </c>
      <c r="X957" s="87">
        <v>49.2208</v>
      </c>
      <c r="Y957" s="87">
        <v>65.80651</v>
      </c>
      <c r="Z957" s="88" t="s">
        <v>1396</v>
      </c>
    </row>
    <row r="958" hidden="1">
      <c r="A958" s="90" t="s">
        <v>2654</v>
      </c>
      <c r="B958" s="90" t="s">
        <v>2699</v>
      </c>
      <c r="C958" s="90" t="s">
        <v>573</v>
      </c>
      <c r="D958" s="90" t="s">
        <v>2696</v>
      </c>
      <c r="E958" s="90" t="s">
        <v>1400</v>
      </c>
      <c r="F958" s="87">
        <v>4.0</v>
      </c>
      <c r="G958" s="87">
        <v>0.0</v>
      </c>
      <c r="H958" s="87">
        <v>2906.0</v>
      </c>
      <c r="I958" s="87">
        <v>0.0</v>
      </c>
      <c r="J958" s="87">
        <v>73.32249</v>
      </c>
      <c r="K958" s="87">
        <v>68.07142</v>
      </c>
      <c r="L958" s="87">
        <v>63.59309</v>
      </c>
      <c r="M958" s="87">
        <v>64.70498</v>
      </c>
      <c r="N958" s="87">
        <v>0.950546</v>
      </c>
      <c r="O958" s="87">
        <v>0.0</v>
      </c>
      <c r="P958" s="87">
        <v>0.0</v>
      </c>
      <c r="Q958" s="87">
        <v>0.0</v>
      </c>
      <c r="R958" s="87">
        <v>0.0</v>
      </c>
      <c r="S958" s="87">
        <v>3.366431</v>
      </c>
      <c r="T958" s="87">
        <v>3.366431</v>
      </c>
      <c r="U958" s="87">
        <v>3.366431</v>
      </c>
      <c r="V958" s="87">
        <v>3.366431</v>
      </c>
      <c r="W958" s="87">
        <v>64.70498</v>
      </c>
      <c r="X958" s="87">
        <v>64.70498</v>
      </c>
      <c r="Y958" s="87">
        <v>13.61428</v>
      </c>
      <c r="Z958" s="88" t="s">
        <v>1396</v>
      </c>
    </row>
    <row r="959" hidden="1">
      <c r="A959" s="90" t="s">
        <v>2656</v>
      </c>
      <c r="B959" s="90" t="s">
        <v>2700</v>
      </c>
      <c r="C959" s="90" t="s">
        <v>573</v>
      </c>
      <c r="D959" s="90" t="s">
        <v>2696</v>
      </c>
      <c r="E959" s="89">
        <v>46300.0</v>
      </c>
      <c r="F959" s="87">
        <v>15.0</v>
      </c>
      <c r="G959" s="87">
        <v>0.0</v>
      </c>
      <c r="H959" s="87">
        <v>40148.0</v>
      </c>
      <c r="I959" s="87">
        <v>0.0</v>
      </c>
      <c r="J959" s="87">
        <v>1981.792</v>
      </c>
      <c r="K959" s="87">
        <v>2081.27</v>
      </c>
      <c r="L959" s="87">
        <v>2240.061</v>
      </c>
      <c r="M959" s="87">
        <v>1153.937</v>
      </c>
      <c r="N959" s="87">
        <v>0.554439</v>
      </c>
      <c r="O959" s="87">
        <v>15.05941</v>
      </c>
      <c r="P959" s="87">
        <v>26.0</v>
      </c>
      <c r="Q959" s="87">
        <v>53.89222</v>
      </c>
      <c r="R959" s="87">
        <v>81.46516</v>
      </c>
      <c r="S959" s="87">
        <v>154.8068</v>
      </c>
      <c r="T959" s="87">
        <v>15.05941</v>
      </c>
      <c r="U959" s="87">
        <v>26.0</v>
      </c>
      <c r="V959" s="87">
        <v>53.89222</v>
      </c>
      <c r="W959" s="87">
        <v>81.46516</v>
      </c>
      <c r="X959" s="87">
        <v>154.8068</v>
      </c>
      <c r="Y959" s="87">
        <v>148.6621</v>
      </c>
      <c r="Z959" s="88" t="s">
        <v>1396</v>
      </c>
    </row>
    <row r="960" hidden="1">
      <c r="A960" s="90" t="s">
        <v>2658</v>
      </c>
      <c r="B960" s="90" t="s">
        <v>2701</v>
      </c>
      <c r="C960" s="90" t="s">
        <v>573</v>
      </c>
      <c r="D960" s="90" t="s">
        <v>2696</v>
      </c>
      <c r="E960" s="90" t="s">
        <v>1403</v>
      </c>
      <c r="F960" s="87">
        <v>1.0</v>
      </c>
      <c r="G960" s="87">
        <v>1.0</v>
      </c>
      <c r="H960" s="87">
        <v>179.0</v>
      </c>
      <c r="I960" s="87">
        <v>179.0</v>
      </c>
      <c r="J960" s="87">
        <v>0.0</v>
      </c>
      <c r="K960" s="87">
        <v>0.0</v>
      </c>
      <c r="L960" s="87">
        <v>0.0</v>
      </c>
      <c r="M960" s="87">
        <v>0.0</v>
      </c>
      <c r="N960" s="91"/>
      <c r="O960" s="87">
        <v>0.0</v>
      </c>
      <c r="P960" s="87">
        <v>0.0</v>
      </c>
      <c r="Q960" s="87">
        <v>0.0</v>
      </c>
      <c r="R960" s="87">
        <v>0.0</v>
      </c>
      <c r="S960" s="87">
        <v>0.0</v>
      </c>
      <c r="T960" s="91"/>
      <c r="U960" s="91"/>
      <c r="V960" s="91"/>
      <c r="W960" s="91"/>
      <c r="X960" s="91"/>
      <c r="Y960" s="87">
        <v>0.0</v>
      </c>
      <c r="Z960" s="88" t="s">
        <v>1396</v>
      </c>
    </row>
    <row r="961" hidden="1">
      <c r="A961" s="90" t="s">
        <v>2646</v>
      </c>
      <c r="B961" s="90" t="s">
        <v>2702</v>
      </c>
      <c r="C961" s="90" t="s">
        <v>573</v>
      </c>
      <c r="D961" s="90" t="s">
        <v>2703</v>
      </c>
      <c r="E961" s="90" t="s">
        <v>1426</v>
      </c>
      <c r="F961" s="87">
        <v>3.0</v>
      </c>
      <c r="G961" s="87">
        <v>0.0</v>
      </c>
      <c r="H961" s="87">
        <v>6212.0</v>
      </c>
      <c r="I961" s="87">
        <v>0.0</v>
      </c>
      <c r="J961" s="87">
        <v>84.38381</v>
      </c>
      <c r="K961" s="87">
        <v>78.31371</v>
      </c>
      <c r="L961" s="87">
        <v>74.86942</v>
      </c>
      <c r="M961" s="87">
        <v>67.41513</v>
      </c>
      <c r="N961" s="87">
        <v>0.860834</v>
      </c>
      <c r="O961" s="87">
        <v>0.0</v>
      </c>
      <c r="P961" s="87">
        <v>0.0</v>
      </c>
      <c r="Q961" s="87">
        <v>0.0</v>
      </c>
      <c r="R961" s="87">
        <v>10.89858</v>
      </c>
      <c r="S961" s="87">
        <v>15.16576</v>
      </c>
      <c r="T961" s="87">
        <v>10.89858</v>
      </c>
      <c r="U961" s="87">
        <v>10.89858</v>
      </c>
      <c r="V961" s="87">
        <v>10.89858</v>
      </c>
      <c r="W961" s="87">
        <v>15.16576</v>
      </c>
      <c r="X961" s="87">
        <v>52.24937</v>
      </c>
      <c r="Y961" s="87">
        <v>13.05228</v>
      </c>
      <c r="Z961" s="88" t="s">
        <v>1396</v>
      </c>
    </row>
    <row r="962" hidden="1">
      <c r="A962" s="90" t="s">
        <v>2650</v>
      </c>
      <c r="B962" s="90" t="s">
        <v>2705</v>
      </c>
      <c r="C962" s="90" t="s">
        <v>573</v>
      </c>
      <c r="D962" s="90" t="s">
        <v>2703</v>
      </c>
      <c r="E962" s="90" t="s">
        <v>1413</v>
      </c>
      <c r="F962" s="87">
        <v>2.0</v>
      </c>
      <c r="G962" s="87">
        <v>0.0</v>
      </c>
      <c r="H962" s="87">
        <v>901.0</v>
      </c>
      <c r="I962" s="87">
        <v>0.0</v>
      </c>
      <c r="J962" s="87">
        <v>11.02774</v>
      </c>
      <c r="K962" s="87">
        <v>10.88985</v>
      </c>
      <c r="L962" s="87">
        <v>10.33768</v>
      </c>
      <c r="M962" s="87">
        <v>10.88985</v>
      </c>
      <c r="N962" s="87">
        <v>1.0</v>
      </c>
      <c r="O962" s="87">
        <v>0.0</v>
      </c>
      <c r="P962" s="87">
        <v>0.0</v>
      </c>
      <c r="Q962" s="87">
        <v>0.0</v>
      </c>
      <c r="R962" s="87">
        <v>10.88985</v>
      </c>
      <c r="S962" s="87">
        <v>10.88985</v>
      </c>
      <c r="T962" s="87">
        <v>10.88985</v>
      </c>
      <c r="U962" s="87">
        <v>10.88985</v>
      </c>
      <c r="V962" s="87">
        <v>10.88985</v>
      </c>
      <c r="W962" s="87">
        <v>10.88985</v>
      </c>
      <c r="X962" s="87">
        <v>10.88985</v>
      </c>
      <c r="Y962" s="87">
        <v>5.444925</v>
      </c>
      <c r="Z962" s="88" t="s">
        <v>1396</v>
      </c>
    </row>
    <row r="963" hidden="1">
      <c r="A963" s="90" t="s">
        <v>2652</v>
      </c>
      <c r="B963" s="90" t="s">
        <v>2706</v>
      </c>
      <c r="C963" s="90" t="s">
        <v>573</v>
      </c>
      <c r="D963" s="90" t="s">
        <v>2703</v>
      </c>
      <c r="E963" s="90" t="s">
        <v>1398</v>
      </c>
      <c r="F963" s="87">
        <v>2.0</v>
      </c>
      <c r="G963" s="87">
        <v>0.0</v>
      </c>
      <c r="H963" s="87">
        <v>872.0</v>
      </c>
      <c r="I963" s="87">
        <v>0.0</v>
      </c>
      <c r="J963" s="87">
        <v>6.111905</v>
      </c>
      <c r="K963" s="87">
        <v>5.346652</v>
      </c>
      <c r="L963" s="87">
        <v>6.800857</v>
      </c>
      <c r="M963" s="87">
        <v>3.779246</v>
      </c>
      <c r="N963" s="87">
        <v>0.706844</v>
      </c>
      <c r="O963" s="87">
        <v>1.567406</v>
      </c>
      <c r="P963" s="87">
        <v>1.567406</v>
      </c>
      <c r="Q963" s="87">
        <v>1.567406</v>
      </c>
      <c r="R963" s="87">
        <v>3.779246</v>
      </c>
      <c r="S963" s="87">
        <v>3.779246</v>
      </c>
      <c r="T963" s="87">
        <v>1.567406</v>
      </c>
      <c r="U963" s="87">
        <v>1.567406</v>
      </c>
      <c r="V963" s="87">
        <v>1.567406</v>
      </c>
      <c r="W963" s="87">
        <v>3.779246</v>
      </c>
      <c r="X963" s="87">
        <v>3.779246</v>
      </c>
      <c r="Y963" s="87">
        <v>2.673326</v>
      </c>
      <c r="Z963" s="88" t="s">
        <v>1396</v>
      </c>
    </row>
    <row r="964" hidden="1">
      <c r="A964" s="90" t="s">
        <v>2654</v>
      </c>
      <c r="B964" s="90" t="s">
        <v>2707</v>
      </c>
      <c r="C964" s="90" t="s">
        <v>573</v>
      </c>
      <c r="D964" s="90" t="s">
        <v>2703</v>
      </c>
      <c r="E964" s="90" t="s">
        <v>1400</v>
      </c>
      <c r="F964" s="87">
        <v>6.0</v>
      </c>
      <c r="G964" s="87">
        <v>0.0</v>
      </c>
      <c r="H964" s="87">
        <v>63.0</v>
      </c>
      <c r="I964" s="87">
        <v>0.0</v>
      </c>
      <c r="J964" s="87">
        <v>0.0</v>
      </c>
      <c r="K964" s="87">
        <v>0.0</v>
      </c>
      <c r="L964" s="87">
        <v>0.0</v>
      </c>
      <c r="M964" s="87">
        <v>0.0</v>
      </c>
      <c r="N964" s="91"/>
      <c r="O964" s="87">
        <v>0.0</v>
      </c>
      <c r="P964" s="87">
        <v>0.0</v>
      </c>
      <c r="Q964" s="87">
        <v>0.0</v>
      </c>
      <c r="R964" s="87">
        <v>0.0</v>
      </c>
      <c r="S964" s="87">
        <v>0.0</v>
      </c>
      <c r="T964" s="91"/>
      <c r="U964" s="91"/>
      <c r="V964" s="91"/>
      <c r="W964" s="91"/>
      <c r="X964" s="91"/>
      <c r="Y964" s="87">
        <v>0.0</v>
      </c>
      <c r="Z964" s="88" t="s">
        <v>1396</v>
      </c>
    </row>
    <row r="965" hidden="1">
      <c r="A965" s="90" t="s">
        <v>2656</v>
      </c>
      <c r="B965" s="90" t="s">
        <v>2708</v>
      </c>
      <c r="C965" s="90" t="s">
        <v>573</v>
      </c>
      <c r="D965" s="90" t="s">
        <v>2703</v>
      </c>
      <c r="E965" s="89">
        <v>46300.0</v>
      </c>
      <c r="F965" s="87">
        <v>6.0</v>
      </c>
      <c r="G965" s="87">
        <v>0.0</v>
      </c>
      <c r="H965" s="87">
        <v>6928.0</v>
      </c>
      <c r="I965" s="87">
        <v>0.0</v>
      </c>
      <c r="J965" s="87">
        <v>80.83763</v>
      </c>
      <c r="K965" s="87">
        <v>90.7665</v>
      </c>
      <c r="L965" s="87">
        <v>93.21449</v>
      </c>
      <c r="M965" s="87">
        <v>28.36751</v>
      </c>
      <c r="N965" s="87">
        <v>0.312533</v>
      </c>
      <c r="O965" s="87">
        <v>11.42978</v>
      </c>
      <c r="P965" s="87">
        <v>12.1831</v>
      </c>
      <c r="Q965" s="87">
        <v>12.1831</v>
      </c>
      <c r="R965" s="87">
        <v>17.64222</v>
      </c>
      <c r="S965" s="87">
        <v>21.1439</v>
      </c>
      <c r="T965" s="87">
        <v>11.42978</v>
      </c>
      <c r="U965" s="87">
        <v>12.1831</v>
      </c>
      <c r="V965" s="87">
        <v>12.1831</v>
      </c>
      <c r="W965" s="87">
        <v>17.64222</v>
      </c>
      <c r="X965" s="87">
        <v>21.1439</v>
      </c>
      <c r="Y965" s="87">
        <v>18.1533</v>
      </c>
      <c r="Z965" s="88" t="s">
        <v>1396</v>
      </c>
    </row>
    <row r="966" hidden="1">
      <c r="A966" s="90" t="s">
        <v>2658</v>
      </c>
      <c r="B966" s="90" t="s">
        <v>2709</v>
      </c>
      <c r="C966" s="90" t="s">
        <v>573</v>
      </c>
      <c r="D966" s="90" t="s">
        <v>2703</v>
      </c>
      <c r="E966" s="90" t="s">
        <v>1403</v>
      </c>
      <c r="F966" s="87">
        <v>6.0</v>
      </c>
      <c r="G966" s="87">
        <v>6.0</v>
      </c>
      <c r="H966" s="87">
        <v>146.0</v>
      </c>
      <c r="I966" s="87">
        <v>146.0</v>
      </c>
      <c r="J966" s="87">
        <v>0.0</v>
      </c>
      <c r="K966" s="87">
        <v>0.0</v>
      </c>
      <c r="L966" s="87">
        <v>0.0</v>
      </c>
      <c r="M966" s="87">
        <v>0.0</v>
      </c>
      <c r="N966" s="91"/>
      <c r="O966" s="87">
        <v>0.0</v>
      </c>
      <c r="P966" s="87">
        <v>0.0</v>
      </c>
      <c r="Q966" s="87">
        <v>0.0</v>
      </c>
      <c r="R966" s="87">
        <v>0.0</v>
      </c>
      <c r="S966" s="87">
        <v>0.0</v>
      </c>
      <c r="T966" s="91"/>
      <c r="U966" s="91"/>
      <c r="V966" s="91"/>
      <c r="W966" s="91"/>
      <c r="X966" s="91"/>
      <c r="Y966" s="87">
        <v>0.0</v>
      </c>
      <c r="Z966" s="88" t="s">
        <v>1396</v>
      </c>
    </row>
    <row r="967" hidden="1">
      <c r="A967" s="90" t="s">
        <v>2646</v>
      </c>
      <c r="B967" s="90" t="s">
        <v>2710</v>
      </c>
      <c r="C967" s="90" t="s">
        <v>573</v>
      </c>
      <c r="D967" s="90" t="s">
        <v>2711</v>
      </c>
      <c r="E967" s="90" t="s">
        <v>1426</v>
      </c>
      <c r="F967" s="87">
        <v>17.0</v>
      </c>
      <c r="G967" s="87">
        <v>0.0</v>
      </c>
      <c r="H967" s="87">
        <v>19113.0</v>
      </c>
      <c r="I967" s="87">
        <v>0.0</v>
      </c>
      <c r="J967" s="87">
        <v>1080.388</v>
      </c>
      <c r="K967" s="87">
        <v>1093.522</v>
      </c>
      <c r="L967" s="87">
        <v>1044.274</v>
      </c>
      <c r="M967" s="87">
        <v>621.3683</v>
      </c>
      <c r="N967" s="87">
        <v>0.568226</v>
      </c>
      <c r="O967" s="87">
        <v>0.0</v>
      </c>
      <c r="P967" s="87">
        <v>9.404125</v>
      </c>
      <c r="Q967" s="87">
        <v>20.35791</v>
      </c>
      <c r="R967" s="87">
        <v>29.9</v>
      </c>
      <c r="S967" s="87">
        <v>73.18336</v>
      </c>
      <c r="T967" s="87">
        <v>9.404125</v>
      </c>
      <c r="U967" s="87">
        <v>20.35791</v>
      </c>
      <c r="V967" s="87">
        <v>25.71669</v>
      </c>
      <c r="W967" s="87">
        <v>51.1597</v>
      </c>
      <c r="X967" s="87">
        <v>73.18336</v>
      </c>
      <c r="Y967" s="87">
        <v>54.67611</v>
      </c>
      <c r="Z967" s="88" t="s">
        <v>1396</v>
      </c>
    </row>
    <row r="968" hidden="1">
      <c r="A968" s="90" t="s">
        <v>2648</v>
      </c>
      <c r="B968" s="90" t="s">
        <v>2712</v>
      </c>
      <c r="C968" s="90" t="s">
        <v>573</v>
      </c>
      <c r="D968" s="90" t="s">
        <v>2711</v>
      </c>
      <c r="E968" s="86">
        <v>46310.0</v>
      </c>
      <c r="F968" s="87">
        <v>4.0</v>
      </c>
      <c r="G968" s="87">
        <v>0.0</v>
      </c>
      <c r="H968" s="87">
        <v>5975.0</v>
      </c>
      <c r="I968" s="87">
        <v>0.0</v>
      </c>
      <c r="J968" s="87">
        <v>173.4481</v>
      </c>
      <c r="K968" s="87">
        <v>163.9328</v>
      </c>
      <c r="L968" s="87">
        <v>149.0033</v>
      </c>
      <c r="M968" s="87">
        <v>71.08328</v>
      </c>
      <c r="N968" s="87">
        <v>0.433612</v>
      </c>
      <c r="O968" s="87">
        <v>18.08738</v>
      </c>
      <c r="P968" s="87">
        <v>18.08738</v>
      </c>
      <c r="Q968" s="87">
        <v>19.08192</v>
      </c>
      <c r="R968" s="87">
        <v>55.68022</v>
      </c>
      <c r="S968" s="87">
        <v>55.68022</v>
      </c>
      <c r="T968" s="87">
        <v>18.08738</v>
      </c>
      <c r="U968" s="87">
        <v>18.08738</v>
      </c>
      <c r="V968" s="87">
        <v>19.08192</v>
      </c>
      <c r="W968" s="87">
        <v>55.68022</v>
      </c>
      <c r="X968" s="87">
        <v>55.68022</v>
      </c>
      <c r="Y968" s="87">
        <v>40.9832</v>
      </c>
      <c r="Z968" s="88" t="s">
        <v>1396</v>
      </c>
    </row>
    <row r="969" hidden="1">
      <c r="A969" s="90" t="s">
        <v>2652</v>
      </c>
      <c r="B969" s="90" t="s">
        <v>2714</v>
      </c>
      <c r="C969" s="90" t="s">
        <v>573</v>
      </c>
      <c r="D969" s="90" t="s">
        <v>2711</v>
      </c>
      <c r="E969" s="90" t="s">
        <v>1398</v>
      </c>
      <c r="F969" s="87">
        <v>1.0</v>
      </c>
      <c r="G969" s="87">
        <v>0.0</v>
      </c>
      <c r="H969" s="87">
        <v>711.0</v>
      </c>
      <c r="I969" s="87">
        <v>0.0</v>
      </c>
      <c r="J969" s="87">
        <v>13.18823</v>
      </c>
      <c r="K969" s="87">
        <v>12.99071</v>
      </c>
      <c r="L969" s="87">
        <v>11.37516</v>
      </c>
      <c r="M969" s="87">
        <v>12.99071</v>
      </c>
      <c r="N969" s="87">
        <v>1.0</v>
      </c>
      <c r="O969" s="87">
        <v>0.0</v>
      </c>
      <c r="P969" s="87">
        <v>0.0</v>
      </c>
      <c r="Q969" s="87">
        <v>0.0</v>
      </c>
      <c r="R969" s="87">
        <v>0.0</v>
      </c>
      <c r="S969" s="87">
        <v>12.99071</v>
      </c>
      <c r="T969" s="87">
        <v>12.99071</v>
      </c>
      <c r="U969" s="87">
        <v>12.99071</v>
      </c>
      <c r="V969" s="87">
        <v>12.99071</v>
      </c>
      <c r="W969" s="87">
        <v>12.99071</v>
      </c>
      <c r="X969" s="87">
        <v>12.99071</v>
      </c>
      <c r="Y969" s="87">
        <v>4.330237</v>
      </c>
      <c r="Z969" s="88" t="s">
        <v>1396</v>
      </c>
    </row>
    <row r="970" hidden="1">
      <c r="A970" s="90" t="s">
        <v>2656</v>
      </c>
      <c r="B970" s="90" t="s">
        <v>2715</v>
      </c>
      <c r="C970" s="90" t="s">
        <v>573</v>
      </c>
      <c r="D970" s="90" t="s">
        <v>2711</v>
      </c>
      <c r="E970" s="89">
        <v>46300.0</v>
      </c>
      <c r="F970" s="87">
        <v>9.0</v>
      </c>
      <c r="G970" s="87">
        <v>0.0</v>
      </c>
      <c r="H970" s="87">
        <v>20292.0</v>
      </c>
      <c r="I970" s="87">
        <v>0.0</v>
      </c>
      <c r="J970" s="87">
        <v>643.3604</v>
      </c>
      <c r="K970" s="87">
        <v>615.8781</v>
      </c>
      <c r="L970" s="87">
        <v>607.6087</v>
      </c>
      <c r="M970" s="87">
        <v>345.452</v>
      </c>
      <c r="N970" s="87">
        <v>0.56091</v>
      </c>
      <c r="O970" s="87">
        <v>1.0</v>
      </c>
      <c r="P970" s="87">
        <v>1.305903</v>
      </c>
      <c r="Q970" s="87">
        <v>6.830925</v>
      </c>
      <c r="R970" s="87">
        <v>35.03836</v>
      </c>
      <c r="S970" s="87">
        <v>110.5058</v>
      </c>
      <c r="T970" s="87">
        <v>1.0</v>
      </c>
      <c r="U970" s="87">
        <v>1.305903</v>
      </c>
      <c r="V970" s="87">
        <v>6.830925</v>
      </c>
      <c r="W970" s="87">
        <v>35.03836</v>
      </c>
      <c r="X970" s="87">
        <v>110.5058</v>
      </c>
      <c r="Y970" s="87">
        <v>61.58781</v>
      </c>
      <c r="Z970" s="88" t="s">
        <v>1396</v>
      </c>
    </row>
    <row r="971" hidden="1">
      <c r="A971" s="90" t="s">
        <v>2658</v>
      </c>
      <c r="B971" s="90" t="s">
        <v>2716</v>
      </c>
      <c r="C971" s="90" t="s">
        <v>573</v>
      </c>
      <c r="D971" s="90" t="s">
        <v>2711</v>
      </c>
      <c r="E971" s="90" t="s">
        <v>1403</v>
      </c>
      <c r="F971" s="87">
        <v>4.0</v>
      </c>
      <c r="G971" s="87">
        <v>4.0</v>
      </c>
      <c r="H971" s="87">
        <v>352.0</v>
      </c>
      <c r="I971" s="87">
        <v>352.0</v>
      </c>
      <c r="J971" s="87">
        <v>0.0</v>
      </c>
      <c r="K971" s="87">
        <v>0.0</v>
      </c>
      <c r="L971" s="87">
        <v>0.0</v>
      </c>
      <c r="M971" s="87">
        <v>0.0</v>
      </c>
      <c r="N971" s="91"/>
      <c r="O971" s="87">
        <v>0.0</v>
      </c>
      <c r="P971" s="87">
        <v>0.0</v>
      </c>
      <c r="Q971" s="87">
        <v>0.0</v>
      </c>
      <c r="R971" s="87">
        <v>0.0</v>
      </c>
      <c r="S971" s="87">
        <v>0.0</v>
      </c>
      <c r="T971" s="91"/>
      <c r="U971" s="91"/>
      <c r="V971" s="91"/>
      <c r="W971" s="91"/>
      <c r="X971" s="91"/>
      <c r="Y971" s="87">
        <v>0.0</v>
      </c>
      <c r="Z971" s="88" t="s">
        <v>1396</v>
      </c>
    </row>
    <row r="972" hidden="1">
      <c r="A972" s="90" t="s">
        <v>2717</v>
      </c>
      <c r="B972" s="90" t="s">
        <v>2718</v>
      </c>
      <c r="C972" s="90" t="s">
        <v>2719</v>
      </c>
      <c r="D972" s="90" t="s">
        <v>2720</v>
      </c>
      <c r="E972" s="90" t="s">
        <v>1400</v>
      </c>
      <c r="F972" s="87">
        <v>9.0</v>
      </c>
      <c r="G972" s="87">
        <v>9.0</v>
      </c>
      <c r="H972" s="87">
        <v>168.0</v>
      </c>
      <c r="I972" s="87">
        <v>168.0</v>
      </c>
      <c r="J972" s="87">
        <v>0.0</v>
      </c>
      <c r="K972" s="87">
        <v>0.0</v>
      </c>
      <c r="L972" s="87">
        <v>0.0</v>
      </c>
      <c r="M972" s="87">
        <v>0.0</v>
      </c>
      <c r="N972" s="91"/>
      <c r="O972" s="87">
        <v>0.0</v>
      </c>
      <c r="P972" s="87">
        <v>0.0</v>
      </c>
      <c r="Q972" s="87">
        <v>0.0</v>
      </c>
      <c r="R972" s="87">
        <v>0.0</v>
      </c>
      <c r="S972" s="87">
        <v>0.0</v>
      </c>
      <c r="T972" s="91"/>
      <c r="U972" s="91"/>
      <c r="V972" s="91"/>
      <c r="W972" s="91"/>
      <c r="X972" s="91"/>
      <c r="Y972" s="87">
        <v>0.0</v>
      </c>
      <c r="Z972" s="88" t="s">
        <v>1396</v>
      </c>
    </row>
    <row r="973" hidden="1">
      <c r="A973" s="90" t="s">
        <v>3368</v>
      </c>
      <c r="B973" s="90" t="s">
        <v>3369</v>
      </c>
      <c r="C973" s="90" t="s">
        <v>2719</v>
      </c>
      <c r="D973" s="90" t="s">
        <v>2724</v>
      </c>
      <c r="E973" s="90" t="s">
        <v>1398</v>
      </c>
      <c r="F973" s="87">
        <v>1.0</v>
      </c>
      <c r="G973" s="87">
        <v>1.0</v>
      </c>
      <c r="H973" s="87">
        <v>2.0</v>
      </c>
      <c r="I973" s="87">
        <v>2.0</v>
      </c>
      <c r="J973" s="87">
        <v>0.0</v>
      </c>
      <c r="K973" s="87">
        <v>0.0</v>
      </c>
      <c r="L973" s="87">
        <v>0.0</v>
      </c>
      <c r="M973" s="87">
        <v>0.0</v>
      </c>
      <c r="N973" s="91"/>
      <c r="O973" s="91"/>
      <c r="P973" s="91"/>
      <c r="Q973" s="91"/>
      <c r="R973" s="91"/>
      <c r="S973" s="91"/>
      <c r="T973" s="91"/>
      <c r="U973" s="91"/>
      <c r="V973" s="91"/>
      <c r="W973" s="91"/>
      <c r="X973" s="91"/>
      <c r="Y973" s="91"/>
      <c r="Z973" s="88" t="s">
        <v>1396</v>
      </c>
    </row>
    <row r="974" hidden="1">
      <c r="A974" s="90" t="s">
        <v>2717</v>
      </c>
      <c r="B974" s="90" t="s">
        <v>2723</v>
      </c>
      <c r="C974" s="90" t="s">
        <v>2719</v>
      </c>
      <c r="D974" s="90" t="s">
        <v>2724</v>
      </c>
      <c r="E974" s="90" t="s">
        <v>1400</v>
      </c>
      <c r="F974" s="87">
        <v>22.0</v>
      </c>
      <c r="G974" s="87">
        <v>22.0</v>
      </c>
      <c r="H974" s="87">
        <v>227.0</v>
      </c>
      <c r="I974" s="87">
        <v>227.0</v>
      </c>
      <c r="J974" s="87">
        <v>0.0</v>
      </c>
      <c r="K974" s="87">
        <v>0.0</v>
      </c>
      <c r="L974" s="87">
        <v>0.0</v>
      </c>
      <c r="M974" s="87">
        <v>0.0</v>
      </c>
      <c r="N974" s="91"/>
      <c r="O974" s="87">
        <v>0.0</v>
      </c>
      <c r="P974" s="87">
        <v>0.0</v>
      </c>
      <c r="Q974" s="87">
        <v>0.0</v>
      </c>
      <c r="R974" s="87">
        <v>0.0</v>
      </c>
      <c r="S974" s="87">
        <v>0.0</v>
      </c>
      <c r="T974" s="91"/>
      <c r="U974" s="91"/>
      <c r="V974" s="91"/>
      <c r="W974" s="91"/>
      <c r="X974" s="91"/>
      <c r="Y974" s="87">
        <v>0.0</v>
      </c>
      <c r="Z974" s="88" t="s">
        <v>1396</v>
      </c>
    </row>
    <row r="975" hidden="1">
      <c r="A975" s="90" t="s">
        <v>2721</v>
      </c>
      <c r="B975" s="90" t="s">
        <v>2725</v>
      </c>
      <c r="C975" s="90" t="s">
        <v>2719</v>
      </c>
      <c r="D975" s="90" t="s">
        <v>2724</v>
      </c>
      <c r="E975" s="90" t="s">
        <v>1403</v>
      </c>
      <c r="F975" s="87">
        <v>0.0</v>
      </c>
      <c r="G975" s="87">
        <v>0.0</v>
      </c>
      <c r="H975" s="87">
        <v>0.0</v>
      </c>
      <c r="I975" s="87">
        <v>0.0</v>
      </c>
      <c r="J975" s="87">
        <v>0.0</v>
      </c>
      <c r="K975" s="87">
        <v>0.0</v>
      </c>
      <c r="L975" s="87">
        <v>0.0</v>
      </c>
      <c r="M975" s="87">
        <v>0.0</v>
      </c>
      <c r="N975" s="91"/>
      <c r="O975" s="87">
        <v>0.0</v>
      </c>
      <c r="P975" s="87">
        <v>0.0</v>
      </c>
      <c r="Q975" s="87">
        <v>0.0</v>
      </c>
      <c r="R975" s="87">
        <v>0.0</v>
      </c>
      <c r="S975" s="87">
        <v>0.0</v>
      </c>
      <c r="T975" s="91"/>
      <c r="U975" s="91"/>
      <c r="V975" s="91"/>
      <c r="W975" s="91"/>
      <c r="X975" s="91"/>
      <c r="Y975" s="87">
        <v>0.0</v>
      </c>
      <c r="Z975" s="88" t="s">
        <v>1396</v>
      </c>
    </row>
    <row r="976" hidden="1">
      <c r="A976" s="90" t="s">
        <v>2717</v>
      </c>
      <c r="B976" s="90" t="s">
        <v>2726</v>
      </c>
      <c r="C976" s="90" t="s">
        <v>2719</v>
      </c>
      <c r="D976" s="90" t="s">
        <v>2727</v>
      </c>
      <c r="E976" s="90" t="s">
        <v>1400</v>
      </c>
      <c r="F976" s="87">
        <v>13.0</v>
      </c>
      <c r="G976" s="87">
        <v>13.0</v>
      </c>
      <c r="H976" s="87">
        <v>117.0</v>
      </c>
      <c r="I976" s="87">
        <v>117.0</v>
      </c>
      <c r="J976" s="87">
        <v>0.0</v>
      </c>
      <c r="K976" s="87">
        <v>0.0</v>
      </c>
      <c r="L976" s="87">
        <v>0.0</v>
      </c>
      <c r="M976" s="87">
        <v>0.0</v>
      </c>
      <c r="N976" s="91"/>
      <c r="O976" s="87">
        <v>0.0</v>
      </c>
      <c r="P976" s="87">
        <v>0.0</v>
      </c>
      <c r="Q976" s="87">
        <v>0.0</v>
      </c>
      <c r="R976" s="87">
        <v>0.0</v>
      </c>
      <c r="S976" s="87">
        <v>0.0</v>
      </c>
      <c r="T976" s="91"/>
      <c r="U976" s="91"/>
      <c r="V976" s="91"/>
      <c r="W976" s="91"/>
      <c r="X976" s="91"/>
      <c r="Y976" s="87">
        <v>0.0</v>
      </c>
      <c r="Z976" s="88" t="s">
        <v>1396</v>
      </c>
    </row>
    <row r="977" hidden="1">
      <c r="A977" s="90" t="s">
        <v>2721</v>
      </c>
      <c r="B977" s="90" t="s">
        <v>2728</v>
      </c>
      <c r="C977" s="90" t="s">
        <v>2719</v>
      </c>
      <c r="D977" s="90" t="s">
        <v>2727</v>
      </c>
      <c r="E977" s="90" t="s">
        <v>1403</v>
      </c>
      <c r="F977" s="87">
        <v>14.0</v>
      </c>
      <c r="G977" s="87">
        <v>14.0</v>
      </c>
      <c r="H977" s="87">
        <v>169.0</v>
      </c>
      <c r="I977" s="87">
        <v>169.0</v>
      </c>
      <c r="J977" s="87">
        <v>0.0</v>
      </c>
      <c r="K977" s="87">
        <v>0.0</v>
      </c>
      <c r="L977" s="87">
        <v>0.0</v>
      </c>
      <c r="M977" s="87">
        <v>0.0</v>
      </c>
      <c r="N977" s="91"/>
      <c r="O977" s="87">
        <v>0.0</v>
      </c>
      <c r="P977" s="87">
        <v>0.0</v>
      </c>
      <c r="Q977" s="87">
        <v>0.0</v>
      </c>
      <c r="R977" s="87">
        <v>0.0</v>
      </c>
      <c r="S977" s="87">
        <v>0.0</v>
      </c>
      <c r="T977" s="91"/>
      <c r="U977" s="91"/>
      <c r="V977" s="91"/>
      <c r="W977" s="91"/>
      <c r="X977" s="91"/>
      <c r="Y977" s="87">
        <v>0.0</v>
      </c>
      <c r="Z977" s="88" t="s">
        <v>1396</v>
      </c>
    </row>
    <row r="978" hidden="1">
      <c r="A978" s="90" t="s">
        <v>2729</v>
      </c>
      <c r="B978" s="90" t="s">
        <v>2730</v>
      </c>
      <c r="C978" s="90" t="s">
        <v>2719</v>
      </c>
      <c r="D978" s="90" t="s">
        <v>1962</v>
      </c>
      <c r="E978" s="90" t="s">
        <v>1413</v>
      </c>
      <c r="F978" s="87">
        <v>4.0</v>
      </c>
      <c r="G978" s="87">
        <v>4.0</v>
      </c>
      <c r="H978" s="87">
        <v>83.0</v>
      </c>
      <c r="I978" s="87">
        <v>83.0</v>
      </c>
      <c r="J978" s="87">
        <v>0.0</v>
      </c>
      <c r="K978" s="87">
        <v>0.0</v>
      </c>
      <c r="L978" s="87">
        <v>0.0</v>
      </c>
      <c r="M978" s="87">
        <v>0.0</v>
      </c>
      <c r="N978" s="91"/>
      <c r="O978" s="87">
        <v>0.0</v>
      </c>
      <c r="P978" s="87">
        <v>0.0</v>
      </c>
      <c r="Q978" s="87">
        <v>0.0</v>
      </c>
      <c r="R978" s="87">
        <v>0.0</v>
      </c>
      <c r="S978" s="87">
        <v>0.0</v>
      </c>
      <c r="T978" s="91"/>
      <c r="U978" s="91"/>
      <c r="V978" s="91"/>
      <c r="W978" s="91"/>
      <c r="X978" s="91"/>
      <c r="Y978" s="87">
        <v>0.0</v>
      </c>
      <c r="Z978" s="88" t="s">
        <v>1396</v>
      </c>
    </row>
    <row r="979" hidden="1">
      <c r="A979" s="90" t="s">
        <v>3368</v>
      </c>
      <c r="B979" s="90" t="s">
        <v>3370</v>
      </c>
      <c r="C979" s="90" t="s">
        <v>2719</v>
      </c>
      <c r="D979" s="90" t="s">
        <v>1962</v>
      </c>
      <c r="E979" s="90" t="s">
        <v>1398</v>
      </c>
      <c r="F979" s="87">
        <v>1.0</v>
      </c>
      <c r="G979" s="87">
        <v>1.0</v>
      </c>
      <c r="H979" s="87">
        <v>7.0</v>
      </c>
      <c r="I979" s="87">
        <v>7.0</v>
      </c>
      <c r="J979" s="87">
        <v>0.0</v>
      </c>
      <c r="K979" s="87">
        <v>0.0</v>
      </c>
      <c r="L979" s="87">
        <v>0.0</v>
      </c>
      <c r="M979" s="87">
        <v>0.0</v>
      </c>
      <c r="N979" s="91"/>
      <c r="O979" s="91"/>
      <c r="P979" s="91"/>
      <c r="Q979" s="91"/>
      <c r="R979" s="91"/>
      <c r="S979" s="91"/>
      <c r="T979" s="91"/>
      <c r="U979" s="91"/>
      <c r="V979" s="91"/>
      <c r="W979" s="91"/>
      <c r="X979" s="91"/>
      <c r="Y979" s="91"/>
      <c r="Z979" s="88" t="s">
        <v>1396</v>
      </c>
    </row>
    <row r="980" hidden="1">
      <c r="A980" s="90" t="s">
        <v>2717</v>
      </c>
      <c r="B980" s="90" t="s">
        <v>1960</v>
      </c>
      <c r="C980" s="90" t="s">
        <v>2719</v>
      </c>
      <c r="D980" s="90" t="s">
        <v>1962</v>
      </c>
      <c r="E980" s="90" t="s">
        <v>1400</v>
      </c>
      <c r="F980" s="87">
        <v>26.0</v>
      </c>
      <c r="G980" s="87">
        <v>26.0</v>
      </c>
      <c r="H980" s="87">
        <v>287.0</v>
      </c>
      <c r="I980" s="87">
        <v>287.0</v>
      </c>
      <c r="J980" s="87">
        <v>0.0</v>
      </c>
      <c r="K980" s="87">
        <v>0.0</v>
      </c>
      <c r="L980" s="87">
        <v>0.0</v>
      </c>
      <c r="M980" s="87">
        <v>0.0</v>
      </c>
      <c r="N980" s="91"/>
      <c r="O980" s="87">
        <v>0.0</v>
      </c>
      <c r="P980" s="87">
        <v>0.0</v>
      </c>
      <c r="Q980" s="87">
        <v>0.0</v>
      </c>
      <c r="R980" s="87">
        <v>0.0</v>
      </c>
      <c r="S980" s="87">
        <v>0.0</v>
      </c>
      <c r="T980" s="91"/>
      <c r="U980" s="91"/>
      <c r="V980" s="91"/>
      <c r="W980" s="91"/>
      <c r="X980" s="91"/>
      <c r="Y980" s="87">
        <v>0.0</v>
      </c>
      <c r="Z980" s="88" t="s">
        <v>1396</v>
      </c>
    </row>
    <row r="981" hidden="1">
      <c r="A981" s="90" t="s">
        <v>2721</v>
      </c>
      <c r="B981" s="90" t="s">
        <v>2731</v>
      </c>
      <c r="C981" s="90" t="s">
        <v>2719</v>
      </c>
      <c r="D981" s="90" t="s">
        <v>1962</v>
      </c>
      <c r="E981" s="90" t="s">
        <v>1403</v>
      </c>
      <c r="F981" s="87">
        <v>4.0</v>
      </c>
      <c r="G981" s="87">
        <v>4.0</v>
      </c>
      <c r="H981" s="87">
        <v>11.0</v>
      </c>
      <c r="I981" s="87">
        <v>11.0</v>
      </c>
      <c r="J981" s="87">
        <v>0.0</v>
      </c>
      <c r="K981" s="87">
        <v>0.0</v>
      </c>
      <c r="L981" s="87">
        <v>0.0</v>
      </c>
      <c r="M981" s="87">
        <v>0.0</v>
      </c>
      <c r="N981" s="91"/>
      <c r="O981" s="87">
        <v>0.0</v>
      </c>
      <c r="P981" s="87">
        <v>0.0</v>
      </c>
      <c r="Q981" s="87">
        <v>0.0</v>
      </c>
      <c r="R981" s="87">
        <v>0.0</v>
      </c>
      <c r="S981" s="87">
        <v>0.0</v>
      </c>
      <c r="T981" s="91"/>
      <c r="U981" s="91"/>
      <c r="V981" s="91"/>
      <c r="W981" s="91"/>
      <c r="X981" s="91"/>
      <c r="Y981" s="87">
        <v>0.0</v>
      </c>
      <c r="Z981" s="88" t="s">
        <v>1396</v>
      </c>
    </row>
    <row r="982" hidden="1">
      <c r="A982" s="90" t="s">
        <v>2717</v>
      </c>
      <c r="B982" s="90" t="s">
        <v>2732</v>
      </c>
      <c r="C982" s="90" t="s">
        <v>2719</v>
      </c>
      <c r="D982" s="90" t="s">
        <v>2733</v>
      </c>
      <c r="E982" s="90" t="s">
        <v>1400</v>
      </c>
      <c r="F982" s="87">
        <v>5.0</v>
      </c>
      <c r="G982" s="87">
        <v>4.0</v>
      </c>
      <c r="H982" s="87">
        <v>68.0</v>
      </c>
      <c r="I982" s="87">
        <v>34.0</v>
      </c>
      <c r="J982" s="87">
        <v>0.0</v>
      </c>
      <c r="K982" s="87">
        <v>0.0</v>
      </c>
      <c r="L982" s="87">
        <v>0.0</v>
      </c>
      <c r="M982" s="87">
        <v>0.0</v>
      </c>
      <c r="N982" s="91"/>
      <c r="O982" s="87">
        <v>0.0</v>
      </c>
      <c r="P982" s="87">
        <v>0.0</v>
      </c>
      <c r="Q982" s="87">
        <v>0.0</v>
      </c>
      <c r="R982" s="87">
        <v>0.0</v>
      </c>
      <c r="S982" s="87">
        <v>0.0</v>
      </c>
      <c r="T982" s="91"/>
      <c r="U982" s="91"/>
      <c r="V982" s="91"/>
      <c r="W982" s="91"/>
      <c r="X982" s="91"/>
      <c r="Y982" s="87">
        <v>0.0</v>
      </c>
      <c r="Z982" s="88" t="s">
        <v>1396</v>
      </c>
    </row>
    <row r="983" hidden="1">
      <c r="A983" s="90" t="s">
        <v>2721</v>
      </c>
      <c r="B983" s="90" t="s">
        <v>2734</v>
      </c>
      <c r="C983" s="90" t="s">
        <v>2719</v>
      </c>
      <c r="D983" s="90" t="s">
        <v>2733</v>
      </c>
      <c r="E983" s="90" t="s">
        <v>1403</v>
      </c>
      <c r="F983" s="87">
        <v>0.0</v>
      </c>
      <c r="G983" s="87">
        <v>0.0</v>
      </c>
      <c r="H983" s="87">
        <v>0.0</v>
      </c>
      <c r="I983" s="87">
        <v>0.0</v>
      </c>
      <c r="J983" s="87">
        <v>0.0</v>
      </c>
      <c r="K983" s="87">
        <v>0.0</v>
      </c>
      <c r="L983" s="87">
        <v>0.0</v>
      </c>
      <c r="M983" s="87">
        <v>0.0</v>
      </c>
      <c r="N983" s="91"/>
      <c r="O983" s="87">
        <v>0.0</v>
      </c>
      <c r="P983" s="87">
        <v>0.0</v>
      </c>
      <c r="Q983" s="87">
        <v>0.0</v>
      </c>
      <c r="R983" s="87">
        <v>0.0</v>
      </c>
      <c r="S983" s="87">
        <v>0.0</v>
      </c>
      <c r="T983" s="91"/>
      <c r="U983" s="91"/>
      <c r="V983" s="91"/>
      <c r="W983" s="91"/>
      <c r="X983" s="91"/>
      <c r="Y983" s="87">
        <v>0.0</v>
      </c>
      <c r="Z983" s="88" t="s">
        <v>1396</v>
      </c>
    </row>
    <row r="984" hidden="1">
      <c r="A984" s="90" t="s">
        <v>2735</v>
      </c>
      <c r="B984" s="90" t="s">
        <v>2736</v>
      </c>
      <c r="C984" s="90" t="s">
        <v>2719</v>
      </c>
      <c r="D984" s="90" t="s">
        <v>2737</v>
      </c>
      <c r="E984" s="90" t="s">
        <v>1426</v>
      </c>
      <c r="F984" s="87">
        <v>1.0</v>
      </c>
      <c r="G984" s="87">
        <v>1.0</v>
      </c>
      <c r="H984" s="87">
        <v>39.0</v>
      </c>
      <c r="I984" s="87">
        <v>39.0</v>
      </c>
      <c r="J984" s="87">
        <v>0.0</v>
      </c>
      <c r="K984" s="87">
        <v>0.0</v>
      </c>
      <c r="L984" s="87">
        <v>0.0</v>
      </c>
      <c r="M984" s="87">
        <v>0.0</v>
      </c>
      <c r="N984" s="91"/>
      <c r="O984" s="87">
        <v>0.0</v>
      </c>
      <c r="P984" s="87">
        <v>0.0</v>
      </c>
      <c r="Q984" s="87">
        <v>0.0</v>
      </c>
      <c r="R984" s="87">
        <v>0.0</v>
      </c>
      <c r="S984" s="87">
        <v>0.0</v>
      </c>
      <c r="T984" s="91"/>
      <c r="U984" s="91"/>
      <c r="V984" s="91"/>
      <c r="W984" s="91"/>
      <c r="X984" s="91"/>
      <c r="Y984" s="87">
        <v>0.0</v>
      </c>
      <c r="Z984" s="88" t="s">
        <v>1396</v>
      </c>
    </row>
    <row r="985" hidden="1">
      <c r="A985" s="90" t="s">
        <v>2717</v>
      </c>
      <c r="B985" s="90" t="s">
        <v>2738</v>
      </c>
      <c r="C985" s="90" t="s">
        <v>2719</v>
      </c>
      <c r="D985" s="90" t="s">
        <v>2737</v>
      </c>
      <c r="E985" s="90" t="s">
        <v>1400</v>
      </c>
      <c r="F985" s="87">
        <v>4.0</v>
      </c>
      <c r="G985" s="87">
        <v>4.0</v>
      </c>
      <c r="H985" s="87">
        <v>6.0</v>
      </c>
      <c r="I985" s="87">
        <v>6.0</v>
      </c>
      <c r="J985" s="87">
        <v>0.0</v>
      </c>
      <c r="K985" s="87">
        <v>0.0</v>
      </c>
      <c r="L985" s="87">
        <v>0.0</v>
      </c>
      <c r="M985" s="87">
        <v>0.0</v>
      </c>
      <c r="N985" s="91"/>
      <c r="O985" s="87">
        <v>0.0</v>
      </c>
      <c r="P985" s="87">
        <v>0.0</v>
      </c>
      <c r="Q985" s="87">
        <v>0.0</v>
      </c>
      <c r="R985" s="87">
        <v>0.0</v>
      </c>
      <c r="S985" s="87">
        <v>0.0</v>
      </c>
      <c r="T985" s="91"/>
      <c r="U985" s="91"/>
      <c r="V985" s="91"/>
      <c r="W985" s="91"/>
      <c r="X985" s="91"/>
      <c r="Y985" s="87">
        <v>0.0</v>
      </c>
      <c r="Z985" s="88" t="s">
        <v>1396</v>
      </c>
    </row>
    <row r="986" hidden="1">
      <c r="A986" s="90" t="s">
        <v>2721</v>
      </c>
      <c r="B986" s="90" t="s">
        <v>2739</v>
      </c>
      <c r="C986" s="90" t="s">
        <v>2719</v>
      </c>
      <c r="D986" s="90" t="s">
        <v>2737</v>
      </c>
      <c r="E986" s="90" t="s">
        <v>1403</v>
      </c>
      <c r="F986" s="87">
        <v>29.0</v>
      </c>
      <c r="G986" s="87">
        <v>29.0</v>
      </c>
      <c r="H986" s="87">
        <v>58.0</v>
      </c>
      <c r="I986" s="87">
        <v>58.0</v>
      </c>
      <c r="J986" s="87">
        <v>0.0</v>
      </c>
      <c r="K986" s="87">
        <v>0.0</v>
      </c>
      <c r="L986" s="87">
        <v>0.0</v>
      </c>
      <c r="M986" s="87">
        <v>0.0</v>
      </c>
      <c r="N986" s="91"/>
      <c r="O986" s="87">
        <v>0.0</v>
      </c>
      <c r="P986" s="87">
        <v>0.0</v>
      </c>
      <c r="Q986" s="87">
        <v>0.0</v>
      </c>
      <c r="R986" s="87">
        <v>0.0</v>
      </c>
      <c r="S986" s="87">
        <v>0.0</v>
      </c>
      <c r="T986" s="91"/>
      <c r="U986" s="91"/>
      <c r="V986" s="91"/>
      <c r="W986" s="91"/>
      <c r="X986" s="91"/>
      <c r="Y986" s="87">
        <v>0.0</v>
      </c>
      <c r="Z986" s="88" t="s">
        <v>1396</v>
      </c>
    </row>
    <row r="987" hidden="1">
      <c r="A987" s="90" t="s">
        <v>2743</v>
      </c>
      <c r="B987" s="90" t="s">
        <v>2744</v>
      </c>
      <c r="C987" s="90" t="s">
        <v>2745</v>
      </c>
      <c r="D987" s="90" t="s">
        <v>2746</v>
      </c>
      <c r="E987" s="90" t="s">
        <v>1400</v>
      </c>
      <c r="F987" s="87">
        <v>2.0</v>
      </c>
      <c r="G987" s="87">
        <v>2.0</v>
      </c>
      <c r="H987" s="87">
        <v>2.0</v>
      </c>
      <c r="I987" s="87">
        <v>2.0</v>
      </c>
      <c r="J987" s="87">
        <v>0.0</v>
      </c>
      <c r="K987" s="87">
        <v>0.0</v>
      </c>
      <c r="L987" s="87">
        <v>0.0</v>
      </c>
      <c r="M987" s="87">
        <v>0.0</v>
      </c>
      <c r="N987" s="91"/>
      <c r="O987" s="91"/>
      <c r="P987" s="91"/>
      <c r="Q987" s="91"/>
      <c r="R987" s="91"/>
      <c r="S987" s="91"/>
      <c r="T987" s="91"/>
      <c r="U987" s="91"/>
      <c r="V987" s="91"/>
      <c r="W987" s="91"/>
      <c r="X987" s="91"/>
      <c r="Y987" s="91"/>
      <c r="Z987" s="88" t="s">
        <v>1396</v>
      </c>
    </row>
    <row r="988" hidden="1">
      <c r="A988" s="90" t="s">
        <v>2747</v>
      </c>
      <c r="B988" s="90" t="s">
        <v>2748</v>
      </c>
      <c r="C988" s="90" t="s">
        <v>2745</v>
      </c>
      <c r="D988" s="90" t="s">
        <v>2746</v>
      </c>
      <c r="E988" s="90" t="s">
        <v>1403</v>
      </c>
      <c r="F988" s="87">
        <v>4.0</v>
      </c>
      <c r="G988" s="87">
        <v>4.0</v>
      </c>
      <c r="H988" s="87">
        <v>7.0</v>
      </c>
      <c r="I988" s="87">
        <v>7.0</v>
      </c>
      <c r="J988" s="87">
        <v>0.0</v>
      </c>
      <c r="K988" s="87">
        <v>0.0</v>
      </c>
      <c r="L988" s="87">
        <v>0.0</v>
      </c>
      <c r="M988" s="87">
        <v>0.0</v>
      </c>
      <c r="N988" s="91"/>
      <c r="O988" s="87">
        <v>0.0</v>
      </c>
      <c r="P988" s="87">
        <v>0.0</v>
      </c>
      <c r="Q988" s="87">
        <v>0.0</v>
      </c>
      <c r="R988" s="87">
        <v>0.0</v>
      </c>
      <c r="S988" s="87">
        <v>0.0</v>
      </c>
      <c r="T988" s="91"/>
      <c r="U988" s="91"/>
      <c r="V988" s="91"/>
      <c r="W988" s="91"/>
      <c r="X988" s="91"/>
      <c r="Y988" s="87">
        <v>0.0</v>
      </c>
      <c r="Z988" s="88" t="s">
        <v>1396</v>
      </c>
    </row>
    <row r="989" hidden="1">
      <c r="A989" s="90" t="s">
        <v>2743</v>
      </c>
      <c r="B989" s="90" t="s">
        <v>2749</v>
      </c>
      <c r="C989" s="90" t="s">
        <v>2745</v>
      </c>
      <c r="D989" s="90" t="s">
        <v>2750</v>
      </c>
      <c r="E989" s="90" t="s">
        <v>1400</v>
      </c>
      <c r="F989" s="87">
        <v>2.0</v>
      </c>
      <c r="G989" s="87">
        <v>2.0</v>
      </c>
      <c r="H989" s="87">
        <v>89.0</v>
      </c>
      <c r="I989" s="87">
        <v>89.0</v>
      </c>
      <c r="J989" s="87">
        <v>0.0</v>
      </c>
      <c r="K989" s="87">
        <v>0.0</v>
      </c>
      <c r="L989" s="87">
        <v>0.0</v>
      </c>
      <c r="M989" s="87">
        <v>0.0</v>
      </c>
      <c r="N989" s="91"/>
      <c r="O989" s="87">
        <v>0.0</v>
      </c>
      <c r="P989" s="87">
        <v>0.0</v>
      </c>
      <c r="Q989" s="87">
        <v>0.0</v>
      </c>
      <c r="R989" s="87">
        <v>0.0</v>
      </c>
      <c r="S989" s="87">
        <v>0.0</v>
      </c>
      <c r="T989" s="91"/>
      <c r="U989" s="91"/>
      <c r="V989" s="91"/>
      <c r="W989" s="91"/>
      <c r="X989" s="91"/>
      <c r="Y989" s="87">
        <v>0.0</v>
      </c>
      <c r="Z989" s="88" t="s">
        <v>1396</v>
      </c>
    </row>
    <row r="990" hidden="1">
      <c r="A990" s="90" t="s">
        <v>2747</v>
      </c>
      <c r="B990" s="90" t="s">
        <v>2751</v>
      </c>
      <c r="C990" s="90" t="s">
        <v>2745</v>
      </c>
      <c r="D990" s="90" t="s">
        <v>2750</v>
      </c>
      <c r="E990" s="90" t="s">
        <v>1403</v>
      </c>
      <c r="F990" s="87">
        <v>0.0</v>
      </c>
      <c r="G990" s="87">
        <v>0.0</v>
      </c>
      <c r="H990" s="87">
        <v>0.0</v>
      </c>
      <c r="I990" s="87">
        <v>0.0</v>
      </c>
      <c r="J990" s="87">
        <v>0.0</v>
      </c>
      <c r="K990" s="87">
        <v>0.0</v>
      </c>
      <c r="L990" s="87">
        <v>0.0</v>
      </c>
      <c r="M990" s="87">
        <v>0.0</v>
      </c>
      <c r="N990" s="85"/>
      <c r="O990" s="87">
        <v>0.0</v>
      </c>
      <c r="P990" s="87">
        <v>0.0</v>
      </c>
      <c r="Q990" s="87">
        <v>0.0</v>
      </c>
      <c r="R990" s="87">
        <v>0.0</v>
      </c>
      <c r="S990" s="87">
        <v>0.0</v>
      </c>
      <c r="T990" s="91"/>
      <c r="U990" s="91"/>
      <c r="V990" s="91"/>
      <c r="W990" s="91"/>
      <c r="X990" s="91"/>
      <c r="Y990" s="87">
        <v>0.0</v>
      </c>
      <c r="Z990" s="88" t="s">
        <v>1396</v>
      </c>
    </row>
    <row r="991" hidden="1">
      <c r="A991" s="90" t="s">
        <v>2743</v>
      </c>
      <c r="B991" s="90" t="s">
        <v>2752</v>
      </c>
      <c r="C991" s="90" t="s">
        <v>2745</v>
      </c>
      <c r="D991" s="90" t="s">
        <v>2753</v>
      </c>
      <c r="E991" s="90" t="s">
        <v>1400</v>
      </c>
      <c r="F991" s="87">
        <v>2.0</v>
      </c>
      <c r="G991" s="87">
        <v>2.0</v>
      </c>
      <c r="H991" s="87">
        <v>9.0</v>
      </c>
      <c r="I991" s="87">
        <v>9.0</v>
      </c>
      <c r="J991" s="87">
        <v>0.0</v>
      </c>
      <c r="K991" s="87">
        <v>0.0</v>
      </c>
      <c r="L991" s="87">
        <v>0.0</v>
      </c>
      <c r="M991" s="87">
        <v>0.0</v>
      </c>
      <c r="N991" s="91"/>
      <c r="O991" s="87">
        <v>0.0</v>
      </c>
      <c r="P991" s="87">
        <v>0.0</v>
      </c>
      <c r="Q991" s="87">
        <v>0.0</v>
      </c>
      <c r="R991" s="87">
        <v>0.0</v>
      </c>
      <c r="S991" s="87">
        <v>0.0</v>
      </c>
      <c r="T991" s="91"/>
      <c r="U991" s="91"/>
      <c r="V991" s="91"/>
      <c r="W991" s="91"/>
      <c r="X991" s="91"/>
      <c r="Y991" s="87">
        <v>0.0</v>
      </c>
      <c r="Z991" s="88" t="s">
        <v>1396</v>
      </c>
    </row>
    <row r="992" hidden="1">
      <c r="A992" s="90" t="s">
        <v>2747</v>
      </c>
      <c r="B992" s="90" t="s">
        <v>2754</v>
      </c>
      <c r="C992" s="90" t="s">
        <v>2745</v>
      </c>
      <c r="D992" s="90" t="s">
        <v>2753</v>
      </c>
      <c r="E992" s="90" t="s">
        <v>1403</v>
      </c>
      <c r="F992" s="87">
        <v>0.0</v>
      </c>
      <c r="G992" s="87">
        <v>0.0</v>
      </c>
      <c r="H992" s="87">
        <v>0.0</v>
      </c>
      <c r="I992" s="87">
        <v>0.0</v>
      </c>
      <c r="J992" s="87">
        <v>0.0</v>
      </c>
      <c r="K992" s="87">
        <v>0.0</v>
      </c>
      <c r="L992" s="87">
        <v>0.0</v>
      </c>
      <c r="M992" s="87">
        <v>0.0</v>
      </c>
      <c r="N992" s="91"/>
      <c r="O992" s="87">
        <v>0.0</v>
      </c>
      <c r="P992" s="87">
        <v>0.0</v>
      </c>
      <c r="Q992" s="87">
        <v>0.0</v>
      </c>
      <c r="R992" s="87">
        <v>0.0</v>
      </c>
      <c r="S992" s="87">
        <v>0.0</v>
      </c>
      <c r="T992" s="91"/>
      <c r="U992" s="91"/>
      <c r="V992" s="91"/>
      <c r="W992" s="91"/>
      <c r="X992" s="91"/>
      <c r="Y992" s="87">
        <v>0.0</v>
      </c>
      <c r="Z992" s="88" t="s">
        <v>1396</v>
      </c>
    </row>
    <row r="993" hidden="1">
      <c r="A993" s="90" t="s">
        <v>2755</v>
      </c>
      <c r="B993" s="90" t="s">
        <v>2756</v>
      </c>
      <c r="C993" s="90" t="s">
        <v>2757</v>
      </c>
      <c r="D993" s="90" t="s">
        <v>2758</v>
      </c>
      <c r="E993" s="86">
        <v>46310.0</v>
      </c>
      <c r="F993" s="87">
        <v>18.0</v>
      </c>
      <c r="G993" s="87">
        <v>2.0</v>
      </c>
      <c r="H993" s="87">
        <v>383.0</v>
      </c>
      <c r="I993" s="87">
        <v>40.0</v>
      </c>
      <c r="J993" s="87">
        <v>0.21978</v>
      </c>
      <c r="K993" s="87">
        <v>0.26661</v>
      </c>
      <c r="L993" s="87">
        <v>0.238265</v>
      </c>
      <c r="M993" s="87">
        <v>0.26661</v>
      </c>
      <c r="N993" s="87">
        <v>1.0</v>
      </c>
      <c r="O993" s="87">
        <v>0.26661</v>
      </c>
      <c r="P993" s="87">
        <v>0.26661</v>
      </c>
      <c r="Q993" s="87">
        <v>0.26661</v>
      </c>
      <c r="R993" s="87">
        <v>0.26661</v>
      </c>
      <c r="S993" s="87">
        <v>0.26661</v>
      </c>
      <c r="T993" s="87">
        <v>0.26661</v>
      </c>
      <c r="U993" s="87">
        <v>0.26661</v>
      </c>
      <c r="V993" s="87">
        <v>0.26661</v>
      </c>
      <c r="W993" s="87">
        <v>0.26661</v>
      </c>
      <c r="X993" s="87">
        <v>0.26661</v>
      </c>
      <c r="Y993" s="87">
        <v>0.26661</v>
      </c>
      <c r="Z993" s="88" t="s">
        <v>1396</v>
      </c>
    </row>
    <row r="994" hidden="1">
      <c r="A994" s="90" t="s">
        <v>3371</v>
      </c>
      <c r="B994" s="90" t="s">
        <v>3372</v>
      </c>
      <c r="C994" s="90" t="s">
        <v>2757</v>
      </c>
      <c r="D994" s="90" t="s">
        <v>2758</v>
      </c>
      <c r="E994" s="89">
        <v>46300.0</v>
      </c>
      <c r="F994" s="87">
        <v>1.0</v>
      </c>
      <c r="G994" s="87">
        <v>1.0</v>
      </c>
      <c r="H994" s="87">
        <v>20.0</v>
      </c>
      <c r="I994" s="87">
        <v>20.0</v>
      </c>
      <c r="J994" s="87">
        <v>0.0</v>
      </c>
      <c r="K994" s="87">
        <v>0.0</v>
      </c>
      <c r="L994" s="87">
        <v>0.0</v>
      </c>
      <c r="M994" s="87">
        <v>0.0</v>
      </c>
      <c r="N994" s="91"/>
      <c r="O994" s="91"/>
      <c r="P994" s="91"/>
      <c r="Q994" s="91"/>
      <c r="R994" s="91"/>
      <c r="S994" s="91"/>
      <c r="T994" s="91"/>
      <c r="U994" s="91"/>
      <c r="V994" s="91"/>
      <c r="W994" s="91"/>
      <c r="X994" s="91"/>
      <c r="Y994" s="91"/>
      <c r="Z994" s="88" t="s">
        <v>1396</v>
      </c>
    </row>
    <row r="995" hidden="1">
      <c r="A995" s="90" t="s">
        <v>2759</v>
      </c>
      <c r="B995" s="90" t="s">
        <v>2760</v>
      </c>
      <c r="C995" s="90" t="s">
        <v>2757</v>
      </c>
      <c r="D995" s="90" t="s">
        <v>2758</v>
      </c>
      <c r="E995" s="90" t="s">
        <v>1403</v>
      </c>
      <c r="F995" s="87">
        <v>0.0</v>
      </c>
      <c r="G995" s="87">
        <v>0.0</v>
      </c>
      <c r="H995" s="87">
        <v>0.0</v>
      </c>
      <c r="I995" s="87">
        <v>0.0</v>
      </c>
      <c r="J995" s="87">
        <v>0.0</v>
      </c>
      <c r="K995" s="87">
        <v>0.0</v>
      </c>
      <c r="L995" s="87">
        <v>0.0</v>
      </c>
      <c r="M995" s="87">
        <v>0.0</v>
      </c>
      <c r="N995" s="91"/>
      <c r="O995" s="87">
        <v>0.0</v>
      </c>
      <c r="P995" s="87">
        <v>0.0</v>
      </c>
      <c r="Q995" s="87">
        <v>0.0</v>
      </c>
      <c r="R995" s="87">
        <v>0.0</v>
      </c>
      <c r="S995" s="87">
        <v>0.0</v>
      </c>
      <c r="T995" s="91"/>
      <c r="U995" s="91"/>
      <c r="V995" s="91"/>
      <c r="W995" s="91"/>
      <c r="X995" s="91"/>
      <c r="Y995" s="87">
        <v>0.0</v>
      </c>
      <c r="Z995" s="88" t="s">
        <v>1396</v>
      </c>
    </row>
    <row r="996" hidden="1">
      <c r="A996" s="90" t="s">
        <v>2755</v>
      </c>
      <c r="B996" s="90" t="s">
        <v>2761</v>
      </c>
      <c r="C996" s="90" t="s">
        <v>2757</v>
      </c>
      <c r="D996" s="90" t="s">
        <v>2762</v>
      </c>
      <c r="E996" s="89">
        <v>46310.0</v>
      </c>
      <c r="F996" s="87">
        <v>4.0</v>
      </c>
      <c r="G996" s="87">
        <v>0.0</v>
      </c>
      <c r="H996" s="87">
        <v>75.0</v>
      </c>
      <c r="I996" s="87">
        <v>0.0</v>
      </c>
      <c r="J996" s="87">
        <v>0.154762</v>
      </c>
      <c r="K996" s="87">
        <v>0.280109</v>
      </c>
      <c r="L996" s="87">
        <v>0.265235</v>
      </c>
      <c r="M996" s="87">
        <v>0.280109</v>
      </c>
      <c r="N996" s="87">
        <v>1.0</v>
      </c>
      <c r="O996" s="87">
        <v>0.280109</v>
      </c>
      <c r="P996" s="87">
        <v>0.280109</v>
      </c>
      <c r="Q996" s="87">
        <v>0.280109</v>
      </c>
      <c r="R996" s="87">
        <v>0.280109</v>
      </c>
      <c r="S996" s="87">
        <v>0.280109</v>
      </c>
      <c r="T996" s="87">
        <v>0.280109</v>
      </c>
      <c r="U996" s="87">
        <v>0.280109</v>
      </c>
      <c r="V996" s="87">
        <v>0.280109</v>
      </c>
      <c r="W996" s="87">
        <v>0.280109</v>
      </c>
      <c r="X996" s="87">
        <v>0.280109</v>
      </c>
      <c r="Y996" s="87">
        <v>0.280109</v>
      </c>
      <c r="Z996" s="88" t="s">
        <v>1396</v>
      </c>
    </row>
    <row r="997" hidden="1">
      <c r="A997" s="90" t="s">
        <v>2763</v>
      </c>
      <c r="B997" s="90" t="s">
        <v>2764</v>
      </c>
      <c r="C997" s="90" t="s">
        <v>2757</v>
      </c>
      <c r="D997" s="90" t="s">
        <v>2762</v>
      </c>
      <c r="E997" s="90" t="s">
        <v>1413</v>
      </c>
      <c r="F997" s="87">
        <v>3.0</v>
      </c>
      <c r="G997" s="87">
        <v>1.0</v>
      </c>
      <c r="H997" s="87">
        <v>54.0</v>
      </c>
      <c r="I997" s="87">
        <v>20.0</v>
      </c>
      <c r="J997" s="87">
        <v>0.0</v>
      </c>
      <c r="K997" s="87">
        <v>0.0</v>
      </c>
      <c r="L997" s="87">
        <v>0.0</v>
      </c>
      <c r="M997" s="87">
        <v>0.0</v>
      </c>
      <c r="N997" s="91"/>
      <c r="O997" s="91"/>
      <c r="P997" s="91"/>
      <c r="Q997" s="91"/>
      <c r="R997" s="91"/>
      <c r="S997" s="91"/>
      <c r="T997" s="91"/>
      <c r="U997" s="91"/>
      <c r="V997" s="91"/>
      <c r="W997" s="91"/>
      <c r="X997" s="91"/>
      <c r="Y997" s="91"/>
      <c r="Z997" s="88" t="s">
        <v>1396</v>
      </c>
    </row>
    <row r="998" hidden="1">
      <c r="A998" s="90" t="s">
        <v>2771</v>
      </c>
      <c r="B998" s="90" t="s">
        <v>2772</v>
      </c>
      <c r="C998" s="90" t="s">
        <v>601</v>
      </c>
      <c r="D998" s="90" t="s">
        <v>2773</v>
      </c>
      <c r="E998" s="90" t="s">
        <v>1426</v>
      </c>
      <c r="F998" s="87">
        <v>5.0</v>
      </c>
      <c r="G998" s="87">
        <v>0.0</v>
      </c>
      <c r="H998" s="87">
        <v>4107.0</v>
      </c>
      <c r="I998" s="87">
        <v>0.0</v>
      </c>
      <c r="J998" s="87">
        <v>23.01512</v>
      </c>
      <c r="K998" s="87">
        <v>24.53681</v>
      </c>
      <c r="L998" s="87">
        <v>23.24768</v>
      </c>
      <c r="M998" s="87">
        <v>16.99472</v>
      </c>
      <c r="N998" s="87">
        <v>0.692621</v>
      </c>
      <c r="O998" s="87">
        <v>0.0</v>
      </c>
      <c r="P998" s="87">
        <v>0.0</v>
      </c>
      <c r="Q998" s="87">
        <v>2.057208</v>
      </c>
      <c r="R998" s="87">
        <v>5.484883</v>
      </c>
      <c r="S998" s="87">
        <v>5.484883</v>
      </c>
      <c r="T998" s="87">
        <v>2.057208</v>
      </c>
      <c r="U998" s="87">
        <v>2.057208</v>
      </c>
      <c r="V998" s="87">
        <v>2.057208</v>
      </c>
      <c r="W998" s="87">
        <v>5.484883</v>
      </c>
      <c r="X998" s="87">
        <v>16.99472</v>
      </c>
      <c r="Y998" s="87">
        <v>6.134204</v>
      </c>
      <c r="Z998" s="88" t="s">
        <v>1396</v>
      </c>
    </row>
    <row r="999" hidden="1">
      <c r="A999" s="90" t="s">
        <v>2774</v>
      </c>
      <c r="B999" s="90" t="s">
        <v>2775</v>
      </c>
      <c r="C999" s="90" t="s">
        <v>601</v>
      </c>
      <c r="D999" s="90" t="s">
        <v>2773</v>
      </c>
      <c r="E999" s="86">
        <v>46310.0</v>
      </c>
      <c r="F999" s="87">
        <v>5.0</v>
      </c>
      <c r="G999" s="87">
        <v>0.0</v>
      </c>
      <c r="H999" s="87">
        <v>1484.0</v>
      </c>
      <c r="I999" s="87">
        <v>0.0</v>
      </c>
      <c r="J999" s="87">
        <v>8.815551</v>
      </c>
      <c r="K999" s="87">
        <v>9.14147</v>
      </c>
      <c r="L999" s="87">
        <v>9.144266</v>
      </c>
      <c r="M999" s="87">
        <v>3.946991</v>
      </c>
      <c r="N999" s="87">
        <v>0.431768</v>
      </c>
      <c r="O999" s="87">
        <v>2.39405</v>
      </c>
      <c r="P999" s="87">
        <v>2.39405</v>
      </c>
      <c r="Q999" s="87">
        <v>2.39405</v>
      </c>
      <c r="R999" s="87">
        <v>2.800429</v>
      </c>
      <c r="S999" s="87">
        <v>3.946991</v>
      </c>
      <c r="T999" s="87">
        <v>2.39405</v>
      </c>
      <c r="U999" s="87">
        <v>2.39405</v>
      </c>
      <c r="V999" s="87">
        <v>2.39405</v>
      </c>
      <c r="W999" s="87">
        <v>2.800429</v>
      </c>
      <c r="X999" s="87">
        <v>3.946991</v>
      </c>
      <c r="Y999" s="87">
        <v>3.047157</v>
      </c>
      <c r="Z999" s="88" t="s">
        <v>1396</v>
      </c>
    </row>
    <row r="1000" hidden="1">
      <c r="A1000" s="90" t="s">
        <v>2776</v>
      </c>
      <c r="B1000" s="90" t="s">
        <v>2777</v>
      </c>
      <c r="C1000" s="90" t="s">
        <v>601</v>
      </c>
      <c r="D1000" s="90" t="s">
        <v>2773</v>
      </c>
      <c r="E1000" s="90" t="s">
        <v>1413</v>
      </c>
      <c r="F1000" s="87">
        <v>3.0</v>
      </c>
      <c r="G1000" s="87">
        <v>0.0</v>
      </c>
      <c r="H1000" s="87">
        <v>1209.0</v>
      </c>
      <c r="I1000" s="87">
        <v>0.0</v>
      </c>
      <c r="J1000" s="87">
        <v>5.818365</v>
      </c>
      <c r="K1000" s="87">
        <v>5.419658</v>
      </c>
      <c r="L1000" s="87">
        <v>6.604143</v>
      </c>
      <c r="M1000" s="87">
        <v>4.082271</v>
      </c>
      <c r="N1000" s="87">
        <v>0.753234</v>
      </c>
      <c r="O1000" s="87">
        <v>0.638462</v>
      </c>
      <c r="P1000" s="87">
        <v>0.638462</v>
      </c>
      <c r="Q1000" s="87">
        <v>0.638462</v>
      </c>
      <c r="R1000" s="87">
        <v>0.698925</v>
      </c>
      <c r="S1000" s="87">
        <v>4.082271</v>
      </c>
      <c r="T1000" s="87">
        <v>0.638462</v>
      </c>
      <c r="U1000" s="87">
        <v>0.638462</v>
      </c>
      <c r="V1000" s="87">
        <v>0.638462</v>
      </c>
      <c r="W1000" s="87">
        <v>0.698925</v>
      </c>
      <c r="X1000" s="87">
        <v>4.082271</v>
      </c>
      <c r="Y1000" s="87">
        <v>1.806553</v>
      </c>
      <c r="Z1000" s="88" t="s">
        <v>1396</v>
      </c>
    </row>
    <row r="1001" hidden="1">
      <c r="A1001" s="90" t="s">
        <v>2778</v>
      </c>
      <c r="B1001" s="90" t="s">
        <v>2779</v>
      </c>
      <c r="C1001" s="90" t="s">
        <v>601</v>
      </c>
      <c r="D1001" s="90" t="s">
        <v>2773</v>
      </c>
      <c r="E1001" s="90" t="s">
        <v>1400</v>
      </c>
      <c r="F1001" s="87">
        <v>3.0</v>
      </c>
      <c r="G1001" s="87">
        <v>0.0</v>
      </c>
      <c r="H1001" s="87">
        <v>454.0</v>
      </c>
      <c r="I1001" s="87">
        <v>0.0</v>
      </c>
      <c r="J1001" s="87">
        <v>0.642857</v>
      </c>
      <c r="K1001" s="87">
        <v>0.532322</v>
      </c>
      <c r="L1001" s="87">
        <v>0.542862</v>
      </c>
      <c r="M1001" s="87">
        <v>0.532322</v>
      </c>
      <c r="N1001" s="87">
        <v>1.0</v>
      </c>
      <c r="O1001" s="87">
        <v>0.0</v>
      </c>
      <c r="P1001" s="87">
        <v>0.0</v>
      </c>
      <c r="Q1001" s="87">
        <v>0.0</v>
      </c>
      <c r="R1001" s="87">
        <v>0.0</v>
      </c>
      <c r="S1001" s="87">
        <v>0.0</v>
      </c>
      <c r="T1001" s="87">
        <v>0.532322</v>
      </c>
      <c r="U1001" s="87">
        <v>0.532322</v>
      </c>
      <c r="V1001" s="87">
        <v>0.532322</v>
      </c>
      <c r="W1001" s="87">
        <v>0.532322</v>
      </c>
      <c r="X1001" s="87">
        <v>0.532322</v>
      </c>
      <c r="Y1001" s="87">
        <v>0.106464</v>
      </c>
      <c r="Z1001" s="88" t="s">
        <v>1396</v>
      </c>
    </row>
    <row r="1002" hidden="1">
      <c r="A1002" s="90" t="s">
        <v>2780</v>
      </c>
      <c r="B1002" s="90" t="s">
        <v>2781</v>
      </c>
      <c r="C1002" s="90" t="s">
        <v>601</v>
      </c>
      <c r="D1002" s="90" t="s">
        <v>2773</v>
      </c>
      <c r="E1002" s="89">
        <v>46300.0</v>
      </c>
      <c r="F1002" s="87">
        <v>11.0</v>
      </c>
      <c r="G1002" s="87">
        <v>0.0</v>
      </c>
      <c r="H1002" s="87">
        <v>6811.0</v>
      </c>
      <c r="I1002" s="87">
        <v>0.0</v>
      </c>
      <c r="J1002" s="87">
        <v>49.11221</v>
      </c>
      <c r="K1002" s="87">
        <v>47.74173</v>
      </c>
      <c r="L1002" s="87">
        <v>51.24996</v>
      </c>
      <c r="M1002" s="87">
        <v>25.08664</v>
      </c>
      <c r="N1002" s="87">
        <v>0.525466</v>
      </c>
      <c r="O1002" s="87">
        <v>2.969479</v>
      </c>
      <c r="P1002" s="87">
        <v>3.562212</v>
      </c>
      <c r="Q1002" s="87">
        <v>3.562212</v>
      </c>
      <c r="R1002" s="87">
        <v>9.234675</v>
      </c>
      <c r="S1002" s="87">
        <v>9.611955</v>
      </c>
      <c r="T1002" s="87">
        <v>2.969479</v>
      </c>
      <c r="U1002" s="87">
        <v>3.562212</v>
      </c>
      <c r="V1002" s="87">
        <v>3.562212</v>
      </c>
      <c r="W1002" s="87">
        <v>9.234675</v>
      </c>
      <c r="X1002" s="87">
        <v>9.611955</v>
      </c>
      <c r="Y1002" s="87">
        <v>7.956956</v>
      </c>
      <c r="Z1002" s="88" t="s">
        <v>1396</v>
      </c>
    </row>
    <row r="1003" hidden="1">
      <c r="A1003" s="90" t="s">
        <v>2782</v>
      </c>
      <c r="B1003" s="90" t="s">
        <v>2783</v>
      </c>
      <c r="C1003" s="90" t="s">
        <v>601</v>
      </c>
      <c r="D1003" s="90" t="s">
        <v>2773</v>
      </c>
      <c r="E1003" s="90" t="s">
        <v>1403</v>
      </c>
      <c r="F1003" s="87">
        <v>3.0</v>
      </c>
      <c r="G1003" s="87">
        <v>3.0</v>
      </c>
      <c r="H1003" s="87">
        <v>52.0</v>
      </c>
      <c r="I1003" s="87">
        <v>52.0</v>
      </c>
      <c r="J1003" s="87">
        <v>0.0</v>
      </c>
      <c r="K1003" s="87">
        <v>0.0</v>
      </c>
      <c r="L1003" s="87">
        <v>0.0</v>
      </c>
      <c r="M1003" s="87">
        <v>0.0</v>
      </c>
      <c r="N1003" s="91"/>
      <c r="O1003" s="87">
        <v>0.0</v>
      </c>
      <c r="P1003" s="87">
        <v>0.0</v>
      </c>
      <c r="Q1003" s="87">
        <v>0.0</v>
      </c>
      <c r="R1003" s="87">
        <v>0.0</v>
      </c>
      <c r="S1003" s="87">
        <v>0.0</v>
      </c>
      <c r="T1003" s="91"/>
      <c r="U1003" s="91"/>
      <c r="V1003" s="91"/>
      <c r="W1003" s="91"/>
      <c r="X1003" s="91"/>
      <c r="Y1003" s="87">
        <v>0.0</v>
      </c>
      <c r="Z1003" s="88" t="s">
        <v>1396</v>
      </c>
    </row>
    <row r="1004" hidden="1">
      <c r="A1004" s="90" t="s">
        <v>2774</v>
      </c>
      <c r="B1004" s="90" t="s">
        <v>2784</v>
      </c>
      <c r="C1004" s="90" t="s">
        <v>601</v>
      </c>
      <c r="D1004" s="90" t="s">
        <v>602</v>
      </c>
      <c r="E1004" s="86">
        <v>46310.0</v>
      </c>
      <c r="F1004" s="87">
        <v>1.0</v>
      </c>
      <c r="G1004" s="87">
        <v>0.0</v>
      </c>
      <c r="H1004" s="87">
        <v>190.0</v>
      </c>
      <c r="I1004" s="87">
        <v>0.0</v>
      </c>
      <c r="J1004" s="87">
        <v>0.0</v>
      </c>
      <c r="K1004" s="87">
        <v>0.0</v>
      </c>
      <c r="L1004" s="87">
        <v>0.0</v>
      </c>
      <c r="M1004" s="87">
        <v>0.0</v>
      </c>
      <c r="N1004" s="85"/>
      <c r="O1004" s="91"/>
      <c r="P1004" s="91"/>
      <c r="Q1004" s="91"/>
      <c r="R1004" s="91"/>
      <c r="S1004" s="91"/>
      <c r="T1004" s="91"/>
      <c r="U1004" s="91"/>
      <c r="V1004" s="91"/>
      <c r="W1004" s="91"/>
      <c r="X1004" s="91"/>
      <c r="Y1004" s="91"/>
      <c r="Z1004" s="88" t="s">
        <v>1396</v>
      </c>
    </row>
    <row r="1005" hidden="1">
      <c r="A1005" s="90" t="s">
        <v>2776</v>
      </c>
      <c r="B1005" s="90" t="s">
        <v>2785</v>
      </c>
      <c r="C1005" s="90" t="s">
        <v>601</v>
      </c>
      <c r="D1005" s="90" t="s">
        <v>602</v>
      </c>
      <c r="E1005" s="90" t="s">
        <v>1413</v>
      </c>
      <c r="F1005" s="87">
        <v>3.0</v>
      </c>
      <c r="G1005" s="87">
        <v>0.0</v>
      </c>
      <c r="H1005" s="87">
        <v>3698.0</v>
      </c>
      <c r="I1005" s="87">
        <v>0.0</v>
      </c>
      <c r="J1005" s="87">
        <v>11.88237</v>
      </c>
      <c r="K1005" s="87">
        <v>14.11893</v>
      </c>
      <c r="L1005" s="87">
        <v>15.69668</v>
      </c>
      <c r="M1005" s="87">
        <v>13.33404</v>
      </c>
      <c r="N1005" s="87">
        <v>0.944409</v>
      </c>
      <c r="O1005" s="87">
        <v>0.032258</v>
      </c>
      <c r="P1005" s="87">
        <v>0.032258</v>
      </c>
      <c r="Q1005" s="87">
        <v>0.032258</v>
      </c>
      <c r="R1005" s="87">
        <v>0.752628</v>
      </c>
      <c r="S1005" s="87">
        <v>13.33404</v>
      </c>
      <c r="T1005" s="87">
        <v>0.032258</v>
      </c>
      <c r="U1005" s="87">
        <v>0.032258</v>
      </c>
      <c r="V1005" s="87">
        <v>0.032258</v>
      </c>
      <c r="W1005" s="87">
        <v>0.752628</v>
      </c>
      <c r="X1005" s="87">
        <v>13.33404</v>
      </c>
      <c r="Y1005" s="87">
        <v>4.706309</v>
      </c>
      <c r="Z1005" s="88" t="s">
        <v>1396</v>
      </c>
    </row>
    <row r="1006" hidden="1">
      <c r="A1006" s="90" t="s">
        <v>2786</v>
      </c>
      <c r="B1006" s="90" t="s">
        <v>2787</v>
      </c>
      <c r="C1006" s="90" t="s">
        <v>601</v>
      </c>
      <c r="D1006" s="90" t="s">
        <v>602</v>
      </c>
      <c r="E1006" s="90" t="s">
        <v>1398</v>
      </c>
      <c r="F1006" s="87">
        <v>6.0</v>
      </c>
      <c r="G1006" s="87">
        <v>0.0</v>
      </c>
      <c r="H1006" s="87">
        <v>5459.0</v>
      </c>
      <c r="I1006" s="87">
        <v>0.0</v>
      </c>
      <c r="J1006" s="87">
        <v>41.37656</v>
      </c>
      <c r="K1006" s="87">
        <v>46.358</v>
      </c>
      <c r="L1006" s="87">
        <v>46.60212</v>
      </c>
      <c r="M1006" s="87">
        <v>30.16433</v>
      </c>
      <c r="N1006" s="87">
        <v>0.650682</v>
      </c>
      <c r="O1006" s="87">
        <v>2.0</v>
      </c>
      <c r="P1006" s="87">
        <v>3.843047</v>
      </c>
      <c r="Q1006" s="87">
        <v>3.843047</v>
      </c>
      <c r="R1006" s="87">
        <v>6.062142</v>
      </c>
      <c r="S1006" s="87">
        <v>14.8557</v>
      </c>
      <c r="T1006" s="87">
        <v>2.0</v>
      </c>
      <c r="U1006" s="87">
        <v>3.843047</v>
      </c>
      <c r="V1006" s="87">
        <v>3.843047</v>
      </c>
      <c r="W1006" s="87">
        <v>6.062142</v>
      </c>
      <c r="X1006" s="87">
        <v>14.8557</v>
      </c>
      <c r="Y1006" s="87">
        <v>7.726333</v>
      </c>
      <c r="Z1006" s="88" t="s">
        <v>1396</v>
      </c>
    </row>
    <row r="1007" hidden="1">
      <c r="A1007" s="90" t="s">
        <v>2778</v>
      </c>
      <c r="B1007" s="90" t="s">
        <v>2788</v>
      </c>
      <c r="C1007" s="90" t="s">
        <v>601</v>
      </c>
      <c r="D1007" s="90" t="s">
        <v>602</v>
      </c>
      <c r="E1007" s="90" t="s">
        <v>1400</v>
      </c>
      <c r="F1007" s="87">
        <v>13.0</v>
      </c>
      <c r="G1007" s="87">
        <v>2.0</v>
      </c>
      <c r="H1007" s="87">
        <v>9944.0</v>
      </c>
      <c r="I1007" s="87">
        <v>6.0</v>
      </c>
      <c r="J1007" s="87">
        <v>67.56314</v>
      </c>
      <c r="K1007" s="87">
        <v>61.0115</v>
      </c>
      <c r="L1007" s="87">
        <v>66.70885</v>
      </c>
      <c r="M1007" s="87">
        <v>48.09079</v>
      </c>
      <c r="N1007" s="87">
        <v>0.788225</v>
      </c>
      <c r="O1007" s="87">
        <v>0.0</v>
      </c>
      <c r="P1007" s="87">
        <v>0.204762</v>
      </c>
      <c r="Q1007" s="87">
        <v>0.795699</v>
      </c>
      <c r="R1007" s="87">
        <v>3.179</v>
      </c>
      <c r="S1007" s="87">
        <v>5.938944</v>
      </c>
      <c r="T1007" s="87">
        <v>0.204762</v>
      </c>
      <c r="U1007" s="87">
        <v>0.795699</v>
      </c>
      <c r="V1007" s="87">
        <v>2.802299</v>
      </c>
      <c r="W1007" s="87">
        <v>3.179</v>
      </c>
      <c r="X1007" s="87">
        <v>5.938944</v>
      </c>
      <c r="Y1007" s="87">
        <v>7.626437</v>
      </c>
      <c r="Z1007" s="88" t="s">
        <v>1396</v>
      </c>
    </row>
    <row r="1008" hidden="1">
      <c r="A1008" s="90" t="s">
        <v>2782</v>
      </c>
      <c r="B1008" s="90" t="s">
        <v>2789</v>
      </c>
      <c r="C1008" s="90" t="s">
        <v>601</v>
      </c>
      <c r="D1008" s="90" t="s">
        <v>602</v>
      </c>
      <c r="E1008" s="90" t="s">
        <v>1403</v>
      </c>
      <c r="F1008" s="87">
        <v>8.0</v>
      </c>
      <c r="G1008" s="87">
        <v>8.0</v>
      </c>
      <c r="H1008" s="87">
        <v>441.0</v>
      </c>
      <c r="I1008" s="87">
        <v>441.0</v>
      </c>
      <c r="J1008" s="87">
        <v>0.0</v>
      </c>
      <c r="K1008" s="87">
        <v>0.0</v>
      </c>
      <c r="L1008" s="87">
        <v>0.0</v>
      </c>
      <c r="M1008" s="87">
        <v>0.0</v>
      </c>
      <c r="N1008" s="91"/>
      <c r="O1008" s="87">
        <v>0.0</v>
      </c>
      <c r="P1008" s="87">
        <v>0.0</v>
      </c>
      <c r="Q1008" s="87">
        <v>0.0</v>
      </c>
      <c r="R1008" s="87">
        <v>0.0</v>
      </c>
      <c r="S1008" s="87">
        <v>0.0</v>
      </c>
      <c r="T1008" s="91"/>
      <c r="U1008" s="91"/>
      <c r="V1008" s="91"/>
      <c r="W1008" s="91"/>
      <c r="X1008" s="91"/>
      <c r="Y1008" s="87">
        <v>0.0</v>
      </c>
      <c r="Z1008" s="88" t="s">
        <v>1396</v>
      </c>
    </row>
    <row r="1009" hidden="1">
      <c r="A1009" s="90" t="s">
        <v>2774</v>
      </c>
      <c r="B1009" s="90" t="s">
        <v>2790</v>
      </c>
      <c r="C1009" s="90" t="s">
        <v>601</v>
      </c>
      <c r="D1009" s="90" t="s">
        <v>609</v>
      </c>
      <c r="E1009" s="86">
        <v>46310.0</v>
      </c>
      <c r="F1009" s="87">
        <v>17.0</v>
      </c>
      <c r="G1009" s="87">
        <v>1.0</v>
      </c>
      <c r="H1009" s="87">
        <v>14017.0</v>
      </c>
      <c r="I1009" s="87">
        <v>3.0</v>
      </c>
      <c r="J1009" s="87">
        <v>158.6696</v>
      </c>
      <c r="K1009" s="87">
        <v>163.4566</v>
      </c>
      <c r="L1009" s="87">
        <v>166.7949</v>
      </c>
      <c r="M1009" s="87">
        <v>84.42772</v>
      </c>
      <c r="N1009" s="87">
        <v>0.516515</v>
      </c>
      <c r="O1009" s="87">
        <v>0.133333</v>
      </c>
      <c r="P1009" s="87">
        <v>0.3</v>
      </c>
      <c r="Q1009" s="87">
        <v>6.499393</v>
      </c>
      <c r="R1009" s="87">
        <v>9.887436</v>
      </c>
      <c r="S1009" s="87">
        <v>11.95459</v>
      </c>
      <c r="T1009" s="87">
        <v>0.3</v>
      </c>
      <c r="U1009" s="87">
        <v>2.942677</v>
      </c>
      <c r="V1009" s="87">
        <v>6.499393</v>
      </c>
      <c r="W1009" s="87">
        <v>9.887436</v>
      </c>
      <c r="X1009" s="87">
        <v>19.81198</v>
      </c>
      <c r="Y1009" s="87">
        <v>11.67547</v>
      </c>
      <c r="Z1009" s="88" t="s">
        <v>1396</v>
      </c>
    </row>
    <row r="1010" hidden="1">
      <c r="A1010" s="90" t="s">
        <v>2776</v>
      </c>
      <c r="B1010" s="90" t="s">
        <v>2791</v>
      </c>
      <c r="C1010" s="90" t="s">
        <v>601</v>
      </c>
      <c r="D1010" s="90" t="s">
        <v>609</v>
      </c>
      <c r="E1010" s="90" t="s">
        <v>1413</v>
      </c>
      <c r="F1010" s="87">
        <v>20.0</v>
      </c>
      <c r="G1010" s="87">
        <v>0.0</v>
      </c>
      <c r="H1010" s="87">
        <v>11217.0</v>
      </c>
      <c r="I1010" s="87">
        <v>0.0</v>
      </c>
      <c r="J1010" s="87">
        <v>77.09079</v>
      </c>
      <c r="K1010" s="87">
        <v>76.89455</v>
      </c>
      <c r="L1010" s="87">
        <v>86.04021</v>
      </c>
      <c r="M1010" s="87">
        <v>46.04367</v>
      </c>
      <c r="N1010" s="87">
        <v>0.59879</v>
      </c>
      <c r="O1010" s="87">
        <v>0.0</v>
      </c>
      <c r="P1010" s="87">
        <v>1.200148</v>
      </c>
      <c r="Q1010" s="87">
        <v>2.602185</v>
      </c>
      <c r="R1010" s="87">
        <v>3.046502</v>
      </c>
      <c r="S1010" s="87">
        <v>4.657726</v>
      </c>
      <c r="T1010" s="87">
        <v>1.347275</v>
      </c>
      <c r="U1010" s="87">
        <v>2.602185</v>
      </c>
      <c r="V1010" s="87">
        <v>2.884279</v>
      </c>
      <c r="W1010" s="87">
        <v>3.938534</v>
      </c>
      <c r="X1010" s="87">
        <v>4.713642</v>
      </c>
      <c r="Y1010" s="87">
        <v>4.523209</v>
      </c>
      <c r="Z1010" s="88" t="s">
        <v>1396</v>
      </c>
    </row>
    <row r="1011" hidden="1">
      <c r="A1011" s="90" t="s">
        <v>2786</v>
      </c>
      <c r="B1011" s="90" t="s">
        <v>2792</v>
      </c>
      <c r="C1011" s="90" t="s">
        <v>601</v>
      </c>
      <c r="D1011" s="90" t="s">
        <v>609</v>
      </c>
      <c r="E1011" s="90" t="s">
        <v>1398</v>
      </c>
      <c r="F1011" s="87">
        <v>24.0</v>
      </c>
      <c r="G1011" s="87">
        <v>1.0</v>
      </c>
      <c r="H1011" s="87">
        <v>18505.0</v>
      </c>
      <c r="I1011" s="87">
        <v>2.0</v>
      </c>
      <c r="J1011" s="87">
        <v>173.707</v>
      </c>
      <c r="K1011" s="87">
        <v>178.8993</v>
      </c>
      <c r="L1011" s="87">
        <v>177.7671</v>
      </c>
      <c r="M1011" s="87">
        <v>128.0384</v>
      </c>
      <c r="N1011" s="87">
        <v>0.715701</v>
      </c>
      <c r="O1011" s="87">
        <v>1.126068</v>
      </c>
      <c r="P1011" s="87">
        <v>1.533811</v>
      </c>
      <c r="Q1011" s="87">
        <v>2.50634</v>
      </c>
      <c r="R1011" s="87">
        <v>3.071846</v>
      </c>
      <c r="S1011" s="87">
        <v>5.616298</v>
      </c>
      <c r="T1011" s="87">
        <v>1.126068</v>
      </c>
      <c r="U1011" s="87">
        <v>1.533811</v>
      </c>
      <c r="V1011" s="87">
        <v>2.50634</v>
      </c>
      <c r="W1011" s="87">
        <v>3.071846</v>
      </c>
      <c r="X1011" s="87">
        <v>5.616298</v>
      </c>
      <c r="Y1011" s="87">
        <v>8.944965</v>
      </c>
      <c r="Z1011" s="88" t="s">
        <v>1396</v>
      </c>
    </row>
    <row r="1012" hidden="1">
      <c r="A1012" s="90" t="s">
        <v>2778</v>
      </c>
      <c r="B1012" s="90" t="s">
        <v>2793</v>
      </c>
      <c r="C1012" s="90" t="s">
        <v>601</v>
      </c>
      <c r="D1012" s="90" t="s">
        <v>609</v>
      </c>
      <c r="E1012" s="90" t="s">
        <v>1400</v>
      </c>
      <c r="F1012" s="87">
        <v>69.0</v>
      </c>
      <c r="G1012" s="87">
        <v>5.0</v>
      </c>
      <c r="H1012" s="87">
        <v>21258.0</v>
      </c>
      <c r="I1012" s="87">
        <v>250.0</v>
      </c>
      <c r="J1012" s="87">
        <v>172.1042</v>
      </c>
      <c r="K1012" s="87">
        <v>168.5569</v>
      </c>
      <c r="L1012" s="87">
        <v>169.3468</v>
      </c>
      <c r="M1012" s="87">
        <v>115.0011</v>
      </c>
      <c r="N1012" s="87">
        <v>0.682269</v>
      </c>
      <c r="O1012" s="87">
        <v>0.358954</v>
      </c>
      <c r="P1012" s="87">
        <v>0.859446</v>
      </c>
      <c r="Q1012" s="87">
        <v>1.127957</v>
      </c>
      <c r="R1012" s="87">
        <v>1.890651</v>
      </c>
      <c r="S1012" s="87">
        <v>3.632555</v>
      </c>
      <c r="T1012" s="87">
        <v>0.432258</v>
      </c>
      <c r="U1012" s="87">
        <v>0.932258</v>
      </c>
      <c r="V1012" s="87">
        <v>1.146429</v>
      </c>
      <c r="W1012" s="87">
        <v>1.956161</v>
      </c>
      <c r="X1012" s="87">
        <v>3.8175</v>
      </c>
      <c r="Y1012" s="87">
        <v>4.013259</v>
      </c>
      <c r="Z1012" s="88" t="s">
        <v>1396</v>
      </c>
    </row>
    <row r="1013" hidden="1">
      <c r="A1013" s="90" t="s">
        <v>2780</v>
      </c>
      <c r="B1013" s="90" t="s">
        <v>2794</v>
      </c>
      <c r="C1013" s="90" t="s">
        <v>601</v>
      </c>
      <c r="D1013" s="90" t="s">
        <v>609</v>
      </c>
      <c r="E1013" s="89">
        <v>46300.0</v>
      </c>
      <c r="F1013" s="87">
        <v>6.0</v>
      </c>
      <c r="G1013" s="87">
        <v>0.0</v>
      </c>
      <c r="H1013" s="87">
        <v>4519.0</v>
      </c>
      <c r="I1013" s="87">
        <v>0.0</v>
      </c>
      <c r="J1013" s="87">
        <v>36.62238</v>
      </c>
      <c r="K1013" s="87">
        <v>35.90667</v>
      </c>
      <c r="L1013" s="87">
        <v>42.7714</v>
      </c>
      <c r="M1013" s="87">
        <v>30.03393</v>
      </c>
      <c r="N1013" s="87">
        <v>0.836444</v>
      </c>
      <c r="O1013" s="87">
        <v>0.0</v>
      </c>
      <c r="P1013" s="87">
        <v>0.0</v>
      </c>
      <c r="Q1013" s="87">
        <v>1.0</v>
      </c>
      <c r="R1013" s="87">
        <v>2.299221</v>
      </c>
      <c r="S1013" s="87">
        <v>2.573523</v>
      </c>
      <c r="T1013" s="87">
        <v>1.0</v>
      </c>
      <c r="U1013" s="87">
        <v>2.299221</v>
      </c>
      <c r="V1013" s="87">
        <v>2.299221</v>
      </c>
      <c r="W1013" s="87">
        <v>2.573523</v>
      </c>
      <c r="X1013" s="87">
        <v>4.535865</v>
      </c>
      <c r="Y1013" s="87">
        <v>5.129525</v>
      </c>
      <c r="Z1013" s="88" t="s">
        <v>1396</v>
      </c>
    </row>
    <row r="1014" hidden="1">
      <c r="A1014" s="90" t="s">
        <v>2782</v>
      </c>
      <c r="B1014" s="90" t="s">
        <v>2795</v>
      </c>
      <c r="C1014" s="90" t="s">
        <v>601</v>
      </c>
      <c r="D1014" s="90" t="s">
        <v>609</v>
      </c>
      <c r="E1014" s="90" t="s">
        <v>1403</v>
      </c>
      <c r="F1014" s="87">
        <v>11.0</v>
      </c>
      <c r="G1014" s="87">
        <v>11.0</v>
      </c>
      <c r="H1014" s="87">
        <v>1574.0</v>
      </c>
      <c r="I1014" s="87">
        <v>1574.0</v>
      </c>
      <c r="J1014" s="87">
        <v>0.0</v>
      </c>
      <c r="K1014" s="87">
        <v>0.0</v>
      </c>
      <c r="L1014" s="87">
        <v>0.0</v>
      </c>
      <c r="M1014" s="87">
        <v>0.0</v>
      </c>
      <c r="N1014" s="91"/>
      <c r="O1014" s="87">
        <v>0.0</v>
      </c>
      <c r="P1014" s="87">
        <v>0.0</v>
      </c>
      <c r="Q1014" s="87">
        <v>0.0</v>
      </c>
      <c r="R1014" s="87">
        <v>0.0</v>
      </c>
      <c r="S1014" s="87">
        <v>0.0</v>
      </c>
      <c r="T1014" s="91"/>
      <c r="U1014" s="91"/>
      <c r="V1014" s="91"/>
      <c r="W1014" s="91"/>
      <c r="X1014" s="91"/>
      <c r="Y1014" s="87">
        <v>0.0</v>
      </c>
      <c r="Z1014" s="88" t="s">
        <v>1396</v>
      </c>
    </row>
    <row r="1015" hidden="1">
      <c r="A1015" s="90" t="s">
        <v>2771</v>
      </c>
      <c r="B1015" s="90" t="s">
        <v>2796</v>
      </c>
      <c r="C1015" s="90" t="s">
        <v>601</v>
      </c>
      <c r="D1015" s="90" t="s">
        <v>2797</v>
      </c>
      <c r="E1015" s="90" t="s">
        <v>1426</v>
      </c>
      <c r="F1015" s="87">
        <v>10.0</v>
      </c>
      <c r="G1015" s="87">
        <v>3.0</v>
      </c>
      <c r="H1015" s="87">
        <v>12810.0</v>
      </c>
      <c r="I1015" s="87">
        <v>10.0</v>
      </c>
      <c r="J1015" s="87">
        <v>102.7984</v>
      </c>
      <c r="K1015" s="87">
        <v>108.5686</v>
      </c>
      <c r="L1015" s="87">
        <v>116.1942</v>
      </c>
      <c r="M1015" s="87">
        <v>78.58848</v>
      </c>
      <c r="N1015" s="87">
        <v>0.72386</v>
      </c>
      <c r="O1015" s="87">
        <v>0.0</v>
      </c>
      <c r="P1015" s="87">
        <v>0.0</v>
      </c>
      <c r="Q1015" s="87">
        <v>0.0</v>
      </c>
      <c r="R1015" s="87">
        <v>3.664559</v>
      </c>
      <c r="S1015" s="87">
        <v>15.83193</v>
      </c>
      <c r="T1015" s="87">
        <v>2.326882</v>
      </c>
      <c r="U1015" s="87">
        <v>3.664559</v>
      </c>
      <c r="V1015" s="87">
        <v>3.664559</v>
      </c>
      <c r="W1015" s="87">
        <v>15.83193</v>
      </c>
      <c r="X1015" s="87">
        <v>33.7809</v>
      </c>
      <c r="Y1015" s="87">
        <v>12.06317</v>
      </c>
      <c r="Z1015" s="88" t="s">
        <v>1396</v>
      </c>
    </row>
    <row r="1016" hidden="1">
      <c r="A1016" s="90" t="s">
        <v>2774</v>
      </c>
      <c r="B1016" s="90" t="s">
        <v>2798</v>
      </c>
      <c r="C1016" s="90" t="s">
        <v>601</v>
      </c>
      <c r="D1016" s="90" t="s">
        <v>2797</v>
      </c>
      <c r="E1016" s="86">
        <v>46310.0</v>
      </c>
      <c r="F1016" s="87">
        <v>9.0</v>
      </c>
      <c r="G1016" s="87">
        <v>1.0</v>
      </c>
      <c r="H1016" s="87">
        <v>4681.0</v>
      </c>
      <c r="I1016" s="87">
        <v>8.0</v>
      </c>
      <c r="J1016" s="87">
        <v>52.24573</v>
      </c>
      <c r="K1016" s="87">
        <v>53.33207</v>
      </c>
      <c r="L1016" s="87">
        <v>54.80691</v>
      </c>
      <c r="M1016" s="87">
        <v>20.89454</v>
      </c>
      <c r="N1016" s="87">
        <v>0.391782</v>
      </c>
      <c r="O1016" s="87">
        <v>1.929032</v>
      </c>
      <c r="P1016" s="87">
        <v>5.048636</v>
      </c>
      <c r="Q1016" s="87">
        <v>5.048636</v>
      </c>
      <c r="R1016" s="87">
        <v>11.18467</v>
      </c>
      <c r="S1016" s="87">
        <v>14.27519</v>
      </c>
      <c r="T1016" s="87">
        <v>1.929032</v>
      </c>
      <c r="U1016" s="87">
        <v>5.048636</v>
      </c>
      <c r="V1016" s="87">
        <v>5.048636</v>
      </c>
      <c r="W1016" s="87">
        <v>11.18467</v>
      </c>
      <c r="X1016" s="87">
        <v>14.27519</v>
      </c>
      <c r="Y1016" s="87">
        <v>10.66641</v>
      </c>
      <c r="Z1016" s="88" t="s">
        <v>1396</v>
      </c>
    </row>
    <row r="1017" hidden="1">
      <c r="A1017" s="90" t="s">
        <v>2776</v>
      </c>
      <c r="B1017" s="90" t="s">
        <v>2799</v>
      </c>
      <c r="C1017" s="90" t="s">
        <v>601</v>
      </c>
      <c r="D1017" s="90" t="s">
        <v>2797</v>
      </c>
      <c r="E1017" s="90" t="s">
        <v>1413</v>
      </c>
      <c r="F1017" s="87">
        <v>6.0</v>
      </c>
      <c r="G1017" s="87">
        <v>1.0</v>
      </c>
      <c r="H1017" s="87">
        <v>3145.0</v>
      </c>
      <c r="I1017" s="87">
        <v>2.0</v>
      </c>
      <c r="J1017" s="87">
        <v>27.61797</v>
      </c>
      <c r="K1017" s="87">
        <v>30.90395</v>
      </c>
      <c r="L1017" s="87">
        <v>36.00876</v>
      </c>
      <c r="M1017" s="87">
        <v>23.4717</v>
      </c>
      <c r="N1017" s="87">
        <v>0.759505</v>
      </c>
      <c r="O1017" s="87">
        <v>0.931257</v>
      </c>
      <c r="P1017" s="87">
        <v>1.0</v>
      </c>
      <c r="Q1017" s="87">
        <v>1.0</v>
      </c>
      <c r="R1017" s="87">
        <v>2.022823</v>
      </c>
      <c r="S1017" s="87">
        <v>3.47817</v>
      </c>
      <c r="T1017" s="87">
        <v>0.931257</v>
      </c>
      <c r="U1017" s="87">
        <v>1.0</v>
      </c>
      <c r="V1017" s="87">
        <v>1.0</v>
      </c>
      <c r="W1017" s="87">
        <v>2.022823</v>
      </c>
      <c r="X1017" s="87">
        <v>3.47817</v>
      </c>
      <c r="Y1017" s="87">
        <v>6.180789</v>
      </c>
      <c r="Z1017" s="88" t="s">
        <v>1396</v>
      </c>
    </row>
    <row r="1018" hidden="1">
      <c r="A1018" s="90" t="s">
        <v>2786</v>
      </c>
      <c r="B1018" s="90" t="s">
        <v>2800</v>
      </c>
      <c r="C1018" s="90" t="s">
        <v>601</v>
      </c>
      <c r="D1018" s="90" t="s">
        <v>2797</v>
      </c>
      <c r="E1018" s="90" t="s">
        <v>1398</v>
      </c>
      <c r="F1018" s="87">
        <v>1.0</v>
      </c>
      <c r="G1018" s="87">
        <v>1.0</v>
      </c>
      <c r="H1018" s="87">
        <v>58.0</v>
      </c>
      <c r="I1018" s="87">
        <v>58.0</v>
      </c>
      <c r="J1018" s="87">
        <v>0.0</v>
      </c>
      <c r="K1018" s="87">
        <v>0.0</v>
      </c>
      <c r="L1018" s="87">
        <v>0.0</v>
      </c>
      <c r="M1018" s="87">
        <v>0.0</v>
      </c>
      <c r="N1018" s="91"/>
      <c r="O1018" s="91"/>
      <c r="P1018" s="91"/>
      <c r="Q1018" s="91"/>
      <c r="R1018" s="91"/>
      <c r="S1018" s="91"/>
      <c r="T1018" s="91"/>
      <c r="U1018" s="91"/>
      <c r="V1018" s="91"/>
      <c r="W1018" s="91"/>
      <c r="X1018" s="91"/>
      <c r="Y1018" s="91"/>
      <c r="Z1018" s="88" t="s">
        <v>1396</v>
      </c>
    </row>
    <row r="1019" hidden="1">
      <c r="A1019" s="90" t="s">
        <v>2778</v>
      </c>
      <c r="B1019" s="90" t="s">
        <v>2801</v>
      </c>
      <c r="C1019" s="90" t="s">
        <v>601</v>
      </c>
      <c r="D1019" s="90" t="s">
        <v>2797</v>
      </c>
      <c r="E1019" s="90" t="s">
        <v>1400</v>
      </c>
      <c r="F1019" s="87">
        <v>1.0</v>
      </c>
      <c r="G1019" s="87">
        <v>0.0</v>
      </c>
      <c r="H1019" s="87">
        <v>96.0</v>
      </c>
      <c r="I1019" s="87">
        <v>0.0</v>
      </c>
      <c r="J1019" s="87">
        <v>0.0</v>
      </c>
      <c r="K1019" s="87">
        <v>0.0</v>
      </c>
      <c r="L1019" s="87">
        <v>0.0</v>
      </c>
      <c r="M1019" s="87">
        <v>0.0</v>
      </c>
      <c r="N1019" s="91"/>
      <c r="O1019" s="91"/>
      <c r="P1019" s="91"/>
      <c r="Q1019" s="91"/>
      <c r="R1019" s="91"/>
      <c r="S1019" s="91"/>
      <c r="T1019" s="91"/>
      <c r="U1019" s="91"/>
      <c r="V1019" s="91"/>
      <c r="W1019" s="91"/>
      <c r="X1019" s="91"/>
      <c r="Y1019" s="91"/>
      <c r="Z1019" s="88" t="s">
        <v>1396</v>
      </c>
    </row>
    <row r="1020" hidden="1">
      <c r="A1020" s="90" t="s">
        <v>2780</v>
      </c>
      <c r="B1020" s="90" t="s">
        <v>2802</v>
      </c>
      <c r="C1020" s="90" t="s">
        <v>601</v>
      </c>
      <c r="D1020" s="90" t="s">
        <v>2797</v>
      </c>
      <c r="E1020" s="89">
        <v>46300.0</v>
      </c>
      <c r="F1020" s="87">
        <v>14.0</v>
      </c>
      <c r="G1020" s="87">
        <v>2.0</v>
      </c>
      <c r="H1020" s="87">
        <v>11200.0</v>
      </c>
      <c r="I1020" s="87">
        <v>4.0</v>
      </c>
      <c r="J1020" s="87">
        <v>105.6604</v>
      </c>
      <c r="K1020" s="87">
        <v>106.6424</v>
      </c>
      <c r="L1020" s="87">
        <v>109.2934</v>
      </c>
      <c r="M1020" s="87">
        <v>59.87463</v>
      </c>
      <c r="N1020" s="87">
        <v>0.561453</v>
      </c>
      <c r="O1020" s="87">
        <v>0.0</v>
      </c>
      <c r="P1020" s="87">
        <v>0.0</v>
      </c>
      <c r="Q1020" s="87">
        <v>1.695488</v>
      </c>
      <c r="R1020" s="87">
        <v>11.33401</v>
      </c>
      <c r="S1020" s="87">
        <v>16.40082</v>
      </c>
      <c r="T1020" s="87">
        <v>1.695488</v>
      </c>
      <c r="U1020" s="87">
        <v>5.879237</v>
      </c>
      <c r="V1020" s="87">
        <v>11.33401</v>
      </c>
      <c r="W1020" s="87">
        <v>11.45818</v>
      </c>
      <c r="X1020" s="87">
        <v>16.40082</v>
      </c>
      <c r="Y1020" s="87">
        <v>10.66424</v>
      </c>
      <c r="Z1020" s="88" t="s">
        <v>1396</v>
      </c>
    </row>
    <row r="1021" hidden="1">
      <c r="A1021" s="90" t="s">
        <v>2782</v>
      </c>
      <c r="B1021" s="90" t="s">
        <v>2803</v>
      </c>
      <c r="C1021" s="90" t="s">
        <v>601</v>
      </c>
      <c r="D1021" s="90" t="s">
        <v>2797</v>
      </c>
      <c r="E1021" s="90" t="s">
        <v>1403</v>
      </c>
      <c r="F1021" s="87">
        <v>3.0</v>
      </c>
      <c r="G1021" s="87">
        <v>3.0</v>
      </c>
      <c r="H1021" s="87">
        <v>36.0</v>
      </c>
      <c r="I1021" s="87">
        <v>36.0</v>
      </c>
      <c r="J1021" s="87">
        <v>0.0</v>
      </c>
      <c r="K1021" s="87">
        <v>0.0</v>
      </c>
      <c r="L1021" s="87">
        <v>0.0</v>
      </c>
      <c r="M1021" s="87">
        <v>0.0</v>
      </c>
      <c r="N1021" s="91"/>
      <c r="O1021" s="91"/>
      <c r="P1021" s="91"/>
      <c r="Q1021" s="91"/>
      <c r="R1021" s="91"/>
      <c r="S1021" s="91"/>
      <c r="T1021" s="91"/>
      <c r="U1021" s="91"/>
      <c r="V1021" s="91"/>
      <c r="W1021" s="91"/>
      <c r="X1021" s="91"/>
      <c r="Y1021" s="91"/>
      <c r="Z1021" s="88" t="s">
        <v>1396</v>
      </c>
    </row>
    <row r="1022" hidden="1">
      <c r="A1022" s="90" t="s">
        <v>2771</v>
      </c>
      <c r="B1022" s="90" t="s">
        <v>2804</v>
      </c>
      <c r="C1022" s="90" t="s">
        <v>601</v>
      </c>
      <c r="D1022" s="90" t="s">
        <v>1063</v>
      </c>
      <c r="E1022" s="90" t="s">
        <v>1426</v>
      </c>
      <c r="F1022" s="87">
        <v>56.0</v>
      </c>
      <c r="G1022" s="87">
        <v>2.0</v>
      </c>
      <c r="H1022" s="87">
        <v>26136.0</v>
      </c>
      <c r="I1022" s="87">
        <v>217.0</v>
      </c>
      <c r="J1022" s="87">
        <v>146.6527</v>
      </c>
      <c r="K1022" s="87">
        <v>150.782</v>
      </c>
      <c r="L1022" s="87">
        <v>158.4135</v>
      </c>
      <c r="M1022" s="87">
        <v>76.67777</v>
      </c>
      <c r="N1022" s="87">
        <v>0.508534</v>
      </c>
      <c r="O1022" s="87">
        <v>0.266667</v>
      </c>
      <c r="P1022" s="87">
        <v>0.603448</v>
      </c>
      <c r="Q1022" s="87">
        <v>1.182103</v>
      </c>
      <c r="R1022" s="87">
        <v>2.571659</v>
      </c>
      <c r="S1022" s="87">
        <v>3.541043</v>
      </c>
      <c r="T1022" s="87">
        <v>0.340476</v>
      </c>
      <c r="U1022" s="87">
        <v>0.9</v>
      </c>
      <c r="V1022" s="87">
        <v>1.420687</v>
      </c>
      <c r="W1022" s="87">
        <v>2.708278</v>
      </c>
      <c r="X1022" s="87">
        <v>3.6096</v>
      </c>
      <c r="Y1022" s="87">
        <v>2.956509</v>
      </c>
      <c r="Z1022" s="88" t="s">
        <v>1396</v>
      </c>
    </row>
    <row r="1023" hidden="1">
      <c r="A1023" s="90" t="s">
        <v>2774</v>
      </c>
      <c r="B1023" s="90" t="s">
        <v>2805</v>
      </c>
      <c r="C1023" s="90" t="s">
        <v>601</v>
      </c>
      <c r="D1023" s="90" t="s">
        <v>1063</v>
      </c>
      <c r="E1023" s="86">
        <v>46310.0</v>
      </c>
      <c r="F1023" s="87">
        <v>30.0</v>
      </c>
      <c r="G1023" s="87">
        <v>1.0</v>
      </c>
      <c r="H1023" s="87">
        <v>8044.0</v>
      </c>
      <c r="I1023" s="87">
        <v>14.0</v>
      </c>
      <c r="J1023" s="87">
        <v>49.4004</v>
      </c>
      <c r="K1023" s="87">
        <v>51.38216</v>
      </c>
      <c r="L1023" s="87">
        <v>53.01914</v>
      </c>
      <c r="M1023" s="87">
        <v>21.97145</v>
      </c>
      <c r="N1023" s="87">
        <v>0.427609</v>
      </c>
      <c r="O1023" s="87">
        <v>0.1</v>
      </c>
      <c r="P1023" s="87">
        <v>0.232258</v>
      </c>
      <c r="Q1023" s="87">
        <v>0.666667</v>
      </c>
      <c r="R1023" s="87">
        <v>3.102905</v>
      </c>
      <c r="S1023" s="87">
        <v>4.122711</v>
      </c>
      <c r="T1023" s="87">
        <v>0.1</v>
      </c>
      <c r="U1023" s="87">
        <v>0.232258</v>
      </c>
      <c r="V1023" s="87">
        <v>0.666667</v>
      </c>
      <c r="W1023" s="87">
        <v>3.102905</v>
      </c>
      <c r="X1023" s="87">
        <v>4.122711</v>
      </c>
      <c r="Y1023" s="87">
        <v>2.569108</v>
      </c>
      <c r="Z1023" s="88" t="s">
        <v>1396</v>
      </c>
    </row>
    <row r="1024" hidden="1">
      <c r="A1024" s="90" t="s">
        <v>2776</v>
      </c>
      <c r="B1024" s="90" t="s">
        <v>2806</v>
      </c>
      <c r="C1024" s="90" t="s">
        <v>601</v>
      </c>
      <c r="D1024" s="90" t="s">
        <v>1063</v>
      </c>
      <c r="E1024" s="90" t="s">
        <v>1413</v>
      </c>
      <c r="F1024" s="87">
        <v>17.0</v>
      </c>
      <c r="G1024" s="87">
        <v>2.0</v>
      </c>
      <c r="H1024" s="87">
        <v>4453.0</v>
      </c>
      <c r="I1024" s="87">
        <v>1393.0</v>
      </c>
      <c r="J1024" s="87">
        <v>23.00298</v>
      </c>
      <c r="K1024" s="87">
        <v>21.44752</v>
      </c>
      <c r="L1024" s="87">
        <v>28.77518</v>
      </c>
      <c r="M1024" s="87">
        <v>10.77568</v>
      </c>
      <c r="N1024" s="87">
        <v>0.502421</v>
      </c>
      <c r="O1024" s="87">
        <v>0.0</v>
      </c>
      <c r="P1024" s="87">
        <v>1.526026</v>
      </c>
      <c r="Q1024" s="87">
        <v>1.562966</v>
      </c>
      <c r="R1024" s="87">
        <v>2.824289</v>
      </c>
      <c r="S1024" s="87">
        <v>4.758557</v>
      </c>
      <c r="T1024" s="87">
        <v>1.526026</v>
      </c>
      <c r="U1024" s="87">
        <v>1.562966</v>
      </c>
      <c r="V1024" s="87">
        <v>1.562966</v>
      </c>
      <c r="W1024" s="87">
        <v>4.758557</v>
      </c>
      <c r="X1024" s="87">
        <v>5.001528</v>
      </c>
      <c r="Y1024" s="87">
        <v>3.063932</v>
      </c>
      <c r="Z1024" s="88" t="s">
        <v>1396</v>
      </c>
    </row>
    <row r="1025" hidden="1">
      <c r="A1025" s="90" t="s">
        <v>2786</v>
      </c>
      <c r="B1025" s="90" t="s">
        <v>2807</v>
      </c>
      <c r="C1025" s="90" t="s">
        <v>601</v>
      </c>
      <c r="D1025" s="90" t="s">
        <v>1063</v>
      </c>
      <c r="E1025" s="90" t="s">
        <v>1398</v>
      </c>
      <c r="F1025" s="87">
        <v>3.0</v>
      </c>
      <c r="G1025" s="87">
        <v>0.0</v>
      </c>
      <c r="H1025" s="87">
        <v>1077.0</v>
      </c>
      <c r="I1025" s="87">
        <v>0.0</v>
      </c>
      <c r="J1025" s="87">
        <v>2.686081</v>
      </c>
      <c r="K1025" s="87">
        <v>2.526358</v>
      </c>
      <c r="L1025" s="87">
        <v>2.540797</v>
      </c>
      <c r="M1025" s="87">
        <v>2.526358</v>
      </c>
      <c r="N1025" s="87">
        <v>1.0</v>
      </c>
      <c r="O1025" s="87">
        <v>2.526358</v>
      </c>
      <c r="P1025" s="87">
        <v>2.526358</v>
      </c>
      <c r="Q1025" s="87">
        <v>2.526358</v>
      </c>
      <c r="R1025" s="87">
        <v>2.526358</v>
      </c>
      <c r="S1025" s="87">
        <v>2.526358</v>
      </c>
      <c r="T1025" s="87">
        <v>2.526358</v>
      </c>
      <c r="U1025" s="87">
        <v>2.526358</v>
      </c>
      <c r="V1025" s="87">
        <v>2.526358</v>
      </c>
      <c r="W1025" s="87">
        <v>2.526358</v>
      </c>
      <c r="X1025" s="87">
        <v>2.526358</v>
      </c>
      <c r="Y1025" s="87">
        <v>2.526358</v>
      </c>
      <c r="Z1025" s="88" t="s">
        <v>1396</v>
      </c>
    </row>
    <row r="1026" hidden="1">
      <c r="A1026" s="90" t="s">
        <v>2778</v>
      </c>
      <c r="B1026" s="90" t="s">
        <v>2808</v>
      </c>
      <c r="C1026" s="90" t="s">
        <v>601</v>
      </c>
      <c r="D1026" s="90" t="s">
        <v>1063</v>
      </c>
      <c r="E1026" s="90" t="s">
        <v>1400</v>
      </c>
      <c r="F1026" s="87">
        <v>12.0</v>
      </c>
      <c r="G1026" s="87">
        <v>1.0</v>
      </c>
      <c r="H1026" s="87">
        <v>2723.0</v>
      </c>
      <c r="I1026" s="87">
        <v>18.0</v>
      </c>
      <c r="J1026" s="87">
        <v>11.24669</v>
      </c>
      <c r="K1026" s="87">
        <v>11.40528</v>
      </c>
      <c r="L1026" s="87">
        <v>11.49382</v>
      </c>
      <c r="M1026" s="87">
        <v>8.559736</v>
      </c>
      <c r="N1026" s="87">
        <v>0.750506</v>
      </c>
      <c r="O1026" s="87">
        <v>0.0</v>
      </c>
      <c r="P1026" s="87">
        <v>0.066667</v>
      </c>
      <c r="Q1026" s="87">
        <v>0.066667</v>
      </c>
      <c r="R1026" s="87">
        <v>1.800074</v>
      </c>
      <c r="S1026" s="87">
        <v>3.622793</v>
      </c>
      <c r="T1026" s="87">
        <v>0.066667</v>
      </c>
      <c r="U1026" s="87">
        <v>0.978806</v>
      </c>
      <c r="V1026" s="87">
        <v>0.978806</v>
      </c>
      <c r="W1026" s="87">
        <v>1.800074</v>
      </c>
      <c r="X1026" s="87">
        <v>3.622793</v>
      </c>
      <c r="Y1026" s="87">
        <v>1.90088</v>
      </c>
      <c r="Z1026" s="88" t="s">
        <v>1396</v>
      </c>
    </row>
    <row r="1027" hidden="1">
      <c r="A1027" s="90" t="s">
        <v>2780</v>
      </c>
      <c r="B1027" s="90" t="s">
        <v>2809</v>
      </c>
      <c r="C1027" s="90" t="s">
        <v>601</v>
      </c>
      <c r="D1027" s="90" t="s">
        <v>1063</v>
      </c>
      <c r="E1027" s="86">
        <v>46300.0</v>
      </c>
      <c r="F1027" s="87">
        <v>65.0</v>
      </c>
      <c r="G1027" s="87">
        <v>1.0</v>
      </c>
      <c r="H1027" s="87">
        <v>43545.0</v>
      </c>
      <c r="I1027" s="87">
        <v>1.0</v>
      </c>
      <c r="J1027" s="87">
        <v>211.3465</v>
      </c>
      <c r="K1027" s="87">
        <v>248.7253</v>
      </c>
      <c r="L1027" s="87">
        <v>255.7296</v>
      </c>
      <c r="M1027" s="87">
        <v>141.5969</v>
      </c>
      <c r="N1027" s="87">
        <v>0.56929</v>
      </c>
      <c r="O1027" s="87">
        <v>0.333333</v>
      </c>
      <c r="P1027" s="87">
        <v>0.682852</v>
      </c>
      <c r="Q1027" s="87">
        <v>0.952526</v>
      </c>
      <c r="R1027" s="87">
        <v>2.632883</v>
      </c>
      <c r="S1027" s="87">
        <v>5.512149</v>
      </c>
      <c r="T1027" s="87">
        <v>0.598925</v>
      </c>
      <c r="U1027" s="87">
        <v>0.798999</v>
      </c>
      <c r="V1027" s="87">
        <v>1.143435</v>
      </c>
      <c r="W1027" s="87">
        <v>2.900492</v>
      </c>
      <c r="X1027" s="87">
        <v>6.011034</v>
      </c>
      <c r="Y1027" s="87">
        <v>4.288367</v>
      </c>
      <c r="Z1027" s="88" t="s">
        <v>1396</v>
      </c>
    </row>
    <row r="1028" hidden="1">
      <c r="A1028" s="90" t="s">
        <v>2782</v>
      </c>
      <c r="B1028" s="90" t="s">
        <v>2810</v>
      </c>
      <c r="C1028" s="90" t="s">
        <v>601</v>
      </c>
      <c r="D1028" s="90" t="s">
        <v>1063</v>
      </c>
      <c r="E1028" s="90" t="s">
        <v>1403</v>
      </c>
      <c r="F1028" s="87">
        <v>9.0</v>
      </c>
      <c r="G1028" s="87">
        <v>9.0</v>
      </c>
      <c r="H1028" s="87">
        <v>411.0</v>
      </c>
      <c r="I1028" s="87">
        <v>411.0</v>
      </c>
      <c r="J1028" s="87">
        <v>0.0</v>
      </c>
      <c r="K1028" s="87">
        <v>0.0</v>
      </c>
      <c r="L1028" s="87">
        <v>0.0</v>
      </c>
      <c r="M1028" s="87">
        <v>0.0</v>
      </c>
      <c r="N1028" s="91"/>
      <c r="O1028" s="87">
        <v>0.0</v>
      </c>
      <c r="P1028" s="87">
        <v>0.0</v>
      </c>
      <c r="Q1028" s="87">
        <v>0.0</v>
      </c>
      <c r="R1028" s="87">
        <v>0.0</v>
      </c>
      <c r="S1028" s="87">
        <v>0.0</v>
      </c>
      <c r="T1028" s="91"/>
      <c r="U1028" s="91"/>
      <c r="V1028" s="91"/>
      <c r="W1028" s="91"/>
      <c r="X1028" s="91"/>
      <c r="Y1028" s="87">
        <v>0.0</v>
      </c>
      <c r="Z1028" s="88" t="s">
        <v>1396</v>
      </c>
    </row>
    <row r="1029" hidden="1">
      <c r="A1029" s="90" t="s">
        <v>2771</v>
      </c>
      <c r="B1029" s="90" t="s">
        <v>2811</v>
      </c>
      <c r="C1029" s="90" t="s">
        <v>601</v>
      </c>
      <c r="D1029" s="90" t="s">
        <v>2812</v>
      </c>
      <c r="E1029" s="90" t="s">
        <v>1426</v>
      </c>
      <c r="F1029" s="87">
        <v>4.0</v>
      </c>
      <c r="G1029" s="87">
        <v>0.0</v>
      </c>
      <c r="H1029" s="87">
        <v>10264.0</v>
      </c>
      <c r="I1029" s="87">
        <v>0.0</v>
      </c>
      <c r="J1029" s="87">
        <v>174.7198</v>
      </c>
      <c r="K1029" s="87">
        <v>176.8075</v>
      </c>
      <c r="L1029" s="87">
        <v>181.2138</v>
      </c>
      <c r="M1029" s="87">
        <v>105.7392</v>
      </c>
      <c r="N1029" s="87">
        <v>0.598047</v>
      </c>
      <c r="O1029" s="87">
        <v>21.66519</v>
      </c>
      <c r="P1029" s="87">
        <v>21.66519</v>
      </c>
      <c r="Q1029" s="87">
        <v>21.66519</v>
      </c>
      <c r="R1029" s="87">
        <v>49.40318</v>
      </c>
      <c r="S1029" s="87">
        <v>105.7392</v>
      </c>
      <c r="T1029" s="87">
        <v>21.66519</v>
      </c>
      <c r="U1029" s="87">
        <v>21.66519</v>
      </c>
      <c r="V1029" s="87">
        <v>21.66519</v>
      </c>
      <c r="W1029" s="87">
        <v>49.40318</v>
      </c>
      <c r="X1029" s="87">
        <v>105.7392</v>
      </c>
      <c r="Y1029" s="87">
        <v>58.93585</v>
      </c>
      <c r="Z1029" s="88" t="s">
        <v>1396</v>
      </c>
    </row>
    <row r="1030" hidden="1">
      <c r="A1030" s="90" t="s">
        <v>2774</v>
      </c>
      <c r="B1030" s="90" t="s">
        <v>2813</v>
      </c>
      <c r="C1030" s="90" t="s">
        <v>601</v>
      </c>
      <c r="D1030" s="90" t="s">
        <v>2812</v>
      </c>
      <c r="E1030" s="86">
        <v>46310.0</v>
      </c>
      <c r="F1030" s="87">
        <v>2.0</v>
      </c>
      <c r="G1030" s="87">
        <v>0.0</v>
      </c>
      <c r="H1030" s="87">
        <v>127.0</v>
      </c>
      <c r="I1030" s="87">
        <v>0.0</v>
      </c>
      <c r="J1030" s="87">
        <v>0.0</v>
      </c>
      <c r="K1030" s="87">
        <v>0.0</v>
      </c>
      <c r="L1030" s="87">
        <v>0.0</v>
      </c>
      <c r="M1030" s="87">
        <v>0.0</v>
      </c>
      <c r="N1030" s="91"/>
      <c r="O1030" s="91"/>
      <c r="P1030" s="91"/>
      <c r="Q1030" s="91"/>
      <c r="R1030" s="91"/>
      <c r="S1030" s="91"/>
      <c r="T1030" s="91"/>
      <c r="U1030" s="91"/>
      <c r="V1030" s="91"/>
      <c r="W1030" s="91"/>
      <c r="X1030" s="91"/>
      <c r="Y1030" s="91"/>
      <c r="Z1030" s="88" t="s">
        <v>1396</v>
      </c>
    </row>
    <row r="1031" hidden="1">
      <c r="A1031" s="90" t="s">
        <v>2776</v>
      </c>
      <c r="B1031" s="90" t="s">
        <v>2814</v>
      </c>
      <c r="C1031" s="90" t="s">
        <v>601</v>
      </c>
      <c r="D1031" s="90" t="s">
        <v>2812</v>
      </c>
      <c r="E1031" s="90" t="s">
        <v>1413</v>
      </c>
      <c r="F1031" s="87">
        <v>1.0</v>
      </c>
      <c r="G1031" s="87">
        <v>0.0</v>
      </c>
      <c r="H1031" s="87">
        <v>356.0</v>
      </c>
      <c r="I1031" s="87">
        <v>0.0</v>
      </c>
      <c r="J1031" s="87">
        <v>5.209879</v>
      </c>
      <c r="K1031" s="87">
        <v>5.362029</v>
      </c>
      <c r="L1031" s="87">
        <v>5.331421</v>
      </c>
      <c r="M1031" s="87">
        <v>5.362029</v>
      </c>
      <c r="N1031" s="87">
        <v>1.0</v>
      </c>
      <c r="O1031" s="87">
        <v>5.362029</v>
      </c>
      <c r="P1031" s="87">
        <v>5.362029</v>
      </c>
      <c r="Q1031" s="87">
        <v>5.362029</v>
      </c>
      <c r="R1031" s="87">
        <v>5.362029</v>
      </c>
      <c r="S1031" s="87">
        <v>5.362029</v>
      </c>
      <c r="T1031" s="87">
        <v>5.362029</v>
      </c>
      <c r="U1031" s="87">
        <v>5.362029</v>
      </c>
      <c r="V1031" s="87">
        <v>5.362029</v>
      </c>
      <c r="W1031" s="87">
        <v>5.362029</v>
      </c>
      <c r="X1031" s="87">
        <v>5.362029</v>
      </c>
      <c r="Y1031" s="87">
        <v>5.362029</v>
      </c>
      <c r="Z1031" s="88" t="s">
        <v>1396</v>
      </c>
    </row>
    <row r="1032" hidden="1">
      <c r="A1032" s="90" t="s">
        <v>2786</v>
      </c>
      <c r="B1032" s="90" t="s">
        <v>2815</v>
      </c>
      <c r="C1032" s="90" t="s">
        <v>601</v>
      </c>
      <c r="D1032" s="90" t="s">
        <v>2812</v>
      </c>
      <c r="E1032" s="90" t="s">
        <v>1398</v>
      </c>
      <c r="F1032" s="87">
        <v>7.0</v>
      </c>
      <c r="G1032" s="87">
        <v>1.0</v>
      </c>
      <c r="H1032" s="87">
        <v>1064.0</v>
      </c>
      <c r="I1032" s="87">
        <v>34.0</v>
      </c>
      <c r="J1032" s="87">
        <v>5.588345</v>
      </c>
      <c r="K1032" s="87">
        <v>5.287369</v>
      </c>
      <c r="L1032" s="87">
        <v>6.592638</v>
      </c>
      <c r="M1032" s="87">
        <v>2.188834</v>
      </c>
      <c r="N1032" s="87">
        <v>0.413974</v>
      </c>
      <c r="O1032" s="87">
        <v>0.97799</v>
      </c>
      <c r="P1032" s="87">
        <v>0.97799</v>
      </c>
      <c r="Q1032" s="87">
        <v>0.97799</v>
      </c>
      <c r="R1032" s="87">
        <v>2.120544</v>
      </c>
      <c r="S1032" s="87">
        <v>2.188834</v>
      </c>
      <c r="T1032" s="87">
        <v>0.97799</v>
      </c>
      <c r="U1032" s="87">
        <v>0.97799</v>
      </c>
      <c r="V1032" s="87">
        <v>0.97799</v>
      </c>
      <c r="W1032" s="87">
        <v>2.120544</v>
      </c>
      <c r="X1032" s="87">
        <v>2.188834</v>
      </c>
      <c r="Y1032" s="87">
        <v>1.762456</v>
      </c>
      <c r="Z1032" s="88" t="s">
        <v>1396</v>
      </c>
    </row>
    <row r="1033" hidden="1">
      <c r="A1033" s="90" t="s">
        <v>2780</v>
      </c>
      <c r="B1033" s="90" t="s">
        <v>2817</v>
      </c>
      <c r="C1033" s="90" t="s">
        <v>601</v>
      </c>
      <c r="D1033" s="90" t="s">
        <v>2812</v>
      </c>
      <c r="E1033" s="89">
        <v>46300.0</v>
      </c>
      <c r="F1033" s="87">
        <v>1.0</v>
      </c>
      <c r="G1033" s="87">
        <v>0.0</v>
      </c>
      <c r="H1033" s="87">
        <v>561.0</v>
      </c>
      <c r="I1033" s="87">
        <v>0.0</v>
      </c>
      <c r="J1033" s="87">
        <v>5.938062</v>
      </c>
      <c r="K1033" s="87">
        <v>5.381326</v>
      </c>
      <c r="L1033" s="87">
        <v>6.244473</v>
      </c>
      <c r="M1033" s="87">
        <v>5.381326</v>
      </c>
      <c r="N1033" s="87">
        <v>1.0</v>
      </c>
      <c r="O1033" s="87">
        <v>5.381326</v>
      </c>
      <c r="P1033" s="87">
        <v>5.381326</v>
      </c>
      <c r="Q1033" s="87">
        <v>5.381326</v>
      </c>
      <c r="R1033" s="87">
        <v>5.381326</v>
      </c>
      <c r="S1033" s="87">
        <v>5.381326</v>
      </c>
      <c r="T1033" s="87">
        <v>5.381326</v>
      </c>
      <c r="U1033" s="87">
        <v>5.381326</v>
      </c>
      <c r="V1033" s="87">
        <v>5.381326</v>
      </c>
      <c r="W1033" s="87">
        <v>5.381326</v>
      </c>
      <c r="X1033" s="87">
        <v>5.381326</v>
      </c>
      <c r="Y1033" s="87">
        <v>5.381326</v>
      </c>
      <c r="Z1033" s="88" t="s">
        <v>1396</v>
      </c>
    </row>
    <row r="1034" hidden="1">
      <c r="A1034" s="90" t="s">
        <v>2782</v>
      </c>
      <c r="B1034" s="90" t="s">
        <v>2818</v>
      </c>
      <c r="C1034" s="90" t="s">
        <v>601</v>
      </c>
      <c r="D1034" s="90" t="s">
        <v>2812</v>
      </c>
      <c r="E1034" s="90" t="s">
        <v>1403</v>
      </c>
      <c r="F1034" s="87">
        <v>1.0</v>
      </c>
      <c r="G1034" s="87">
        <v>1.0</v>
      </c>
      <c r="H1034" s="87">
        <v>3.0</v>
      </c>
      <c r="I1034" s="87">
        <v>3.0</v>
      </c>
      <c r="J1034" s="87">
        <v>0.0</v>
      </c>
      <c r="K1034" s="87">
        <v>0.0</v>
      </c>
      <c r="L1034" s="87">
        <v>0.0</v>
      </c>
      <c r="M1034" s="87">
        <v>0.0</v>
      </c>
      <c r="N1034" s="91"/>
      <c r="O1034" s="91"/>
      <c r="P1034" s="91"/>
      <c r="Q1034" s="91"/>
      <c r="R1034" s="91"/>
      <c r="S1034" s="91"/>
      <c r="T1034" s="91"/>
      <c r="U1034" s="91"/>
      <c r="V1034" s="91"/>
      <c r="W1034" s="91"/>
      <c r="X1034" s="91"/>
      <c r="Y1034" s="91"/>
      <c r="Z1034" s="88" t="s">
        <v>1396</v>
      </c>
    </row>
    <row r="1035" hidden="1">
      <c r="A1035" s="90" t="s">
        <v>2819</v>
      </c>
      <c r="B1035" s="90" t="s">
        <v>2823</v>
      </c>
      <c r="C1035" s="90" t="s">
        <v>2821</v>
      </c>
      <c r="D1035" s="90" t="s">
        <v>2824</v>
      </c>
      <c r="E1035" s="90" t="s">
        <v>1403</v>
      </c>
      <c r="F1035" s="87">
        <v>0.0</v>
      </c>
      <c r="G1035" s="87">
        <v>0.0</v>
      </c>
      <c r="H1035" s="87">
        <v>0.0</v>
      </c>
      <c r="I1035" s="87">
        <v>0.0</v>
      </c>
      <c r="J1035" s="87">
        <v>0.0</v>
      </c>
      <c r="K1035" s="87">
        <v>0.0</v>
      </c>
      <c r="L1035" s="87">
        <v>0.0</v>
      </c>
      <c r="M1035" s="87">
        <v>0.0</v>
      </c>
      <c r="N1035" s="91"/>
      <c r="O1035" s="87">
        <v>0.0</v>
      </c>
      <c r="P1035" s="87">
        <v>0.0</v>
      </c>
      <c r="Q1035" s="87">
        <v>0.0</v>
      </c>
      <c r="R1035" s="87">
        <v>0.0</v>
      </c>
      <c r="S1035" s="87">
        <v>0.0</v>
      </c>
      <c r="T1035" s="91"/>
      <c r="U1035" s="91"/>
      <c r="V1035" s="91"/>
      <c r="W1035" s="91"/>
      <c r="X1035" s="91"/>
      <c r="Y1035" s="87">
        <v>0.0</v>
      </c>
      <c r="Z1035" s="88" t="s">
        <v>1396</v>
      </c>
    </row>
    <row r="1036" hidden="1">
      <c r="A1036" s="90" t="s">
        <v>2825</v>
      </c>
      <c r="B1036" s="90" t="s">
        <v>3373</v>
      </c>
      <c r="C1036" s="90" t="s">
        <v>2827</v>
      </c>
      <c r="D1036" s="90" t="s">
        <v>3374</v>
      </c>
      <c r="E1036" s="90" t="s">
        <v>1400</v>
      </c>
      <c r="F1036" s="87">
        <v>1.0</v>
      </c>
      <c r="G1036" s="87">
        <v>1.0</v>
      </c>
      <c r="H1036" s="87">
        <v>5.0</v>
      </c>
      <c r="I1036" s="87">
        <v>5.0</v>
      </c>
      <c r="J1036" s="87">
        <v>0.0</v>
      </c>
      <c r="K1036" s="87">
        <v>0.0</v>
      </c>
      <c r="L1036" s="87">
        <v>0.0</v>
      </c>
      <c r="M1036" s="87">
        <v>0.0</v>
      </c>
      <c r="N1036" s="91"/>
      <c r="O1036" s="91"/>
      <c r="P1036" s="91"/>
      <c r="Q1036" s="91"/>
      <c r="R1036" s="91"/>
      <c r="S1036" s="91"/>
      <c r="T1036" s="91"/>
      <c r="U1036" s="91"/>
      <c r="V1036" s="91"/>
      <c r="W1036" s="91"/>
      <c r="X1036" s="91"/>
      <c r="Y1036" s="91"/>
      <c r="Z1036" s="88" t="s">
        <v>1396</v>
      </c>
    </row>
    <row r="1037" hidden="1">
      <c r="A1037" s="90" t="s">
        <v>2825</v>
      </c>
      <c r="B1037" s="90" t="s">
        <v>2826</v>
      </c>
      <c r="C1037" s="90" t="s">
        <v>2827</v>
      </c>
      <c r="D1037" s="90" t="s">
        <v>2828</v>
      </c>
      <c r="E1037" s="90" t="s">
        <v>1400</v>
      </c>
      <c r="F1037" s="87">
        <v>3.0</v>
      </c>
      <c r="G1037" s="87">
        <v>3.0</v>
      </c>
      <c r="H1037" s="87">
        <v>631.0</v>
      </c>
      <c r="I1037" s="87">
        <v>631.0</v>
      </c>
      <c r="J1037" s="87">
        <v>0.0</v>
      </c>
      <c r="K1037" s="87">
        <v>0.0</v>
      </c>
      <c r="L1037" s="87">
        <v>0.0</v>
      </c>
      <c r="M1037" s="87">
        <v>0.0</v>
      </c>
      <c r="N1037" s="91"/>
      <c r="O1037" s="87">
        <v>0.0</v>
      </c>
      <c r="P1037" s="87">
        <v>0.0</v>
      </c>
      <c r="Q1037" s="87">
        <v>0.0</v>
      </c>
      <c r="R1037" s="87">
        <v>0.0</v>
      </c>
      <c r="S1037" s="87">
        <v>0.0</v>
      </c>
      <c r="T1037" s="91"/>
      <c r="U1037" s="91"/>
      <c r="V1037" s="91"/>
      <c r="W1037" s="91"/>
      <c r="X1037" s="91"/>
      <c r="Y1037" s="87">
        <v>0.0</v>
      </c>
      <c r="Z1037" s="88" t="s">
        <v>1396</v>
      </c>
    </row>
    <row r="1038" hidden="1">
      <c r="A1038" s="90" t="s">
        <v>2829</v>
      </c>
      <c r="B1038" s="90" t="s">
        <v>2830</v>
      </c>
      <c r="C1038" s="90" t="s">
        <v>2827</v>
      </c>
      <c r="D1038" s="90" t="s">
        <v>2828</v>
      </c>
      <c r="E1038" s="90" t="s">
        <v>1403</v>
      </c>
      <c r="F1038" s="87">
        <v>1.0</v>
      </c>
      <c r="G1038" s="87">
        <v>1.0</v>
      </c>
      <c r="H1038" s="87">
        <v>4.0</v>
      </c>
      <c r="I1038" s="87">
        <v>4.0</v>
      </c>
      <c r="J1038" s="87">
        <v>0.0</v>
      </c>
      <c r="K1038" s="87">
        <v>0.0</v>
      </c>
      <c r="L1038" s="87">
        <v>0.0</v>
      </c>
      <c r="M1038" s="87">
        <v>0.0</v>
      </c>
      <c r="N1038" s="91"/>
      <c r="O1038" s="91"/>
      <c r="P1038" s="91"/>
      <c r="Q1038" s="91"/>
      <c r="R1038" s="91"/>
      <c r="S1038" s="91"/>
      <c r="T1038" s="91"/>
      <c r="U1038" s="91"/>
      <c r="V1038" s="91"/>
      <c r="W1038" s="91"/>
      <c r="X1038" s="91"/>
      <c r="Y1038" s="91"/>
      <c r="Z1038" s="88" t="s">
        <v>1396</v>
      </c>
    </row>
    <row r="1039" hidden="1">
      <c r="A1039" s="90" t="s">
        <v>2825</v>
      </c>
      <c r="B1039" s="90" t="s">
        <v>3375</v>
      </c>
      <c r="C1039" s="90" t="s">
        <v>2827</v>
      </c>
      <c r="D1039" s="90" t="s">
        <v>3376</v>
      </c>
      <c r="E1039" s="90" t="s">
        <v>1400</v>
      </c>
      <c r="F1039" s="87">
        <v>1.0</v>
      </c>
      <c r="G1039" s="87">
        <v>1.0</v>
      </c>
      <c r="H1039" s="87">
        <v>5.0</v>
      </c>
      <c r="I1039" s="87">
        <v>5.0</v>
      </c>
      <c r="J1039" s="87">
        <v>0.0</v>
      </c>
      <c r="K1039" s="87">
        <v>0.0</v>
      </c>
      <c r="L1039" s="87">
        <v>0.0</v>
      </c>
      <c r="M1039" s="87">
        <v>0.0</v>
      </c>
      <c r="N1039" s="91"/>
      <c r="O1039" s="91"/>
      <c r="P1039" s="91"/>
      <c r="Q1039" s="91"/>
      <c r="R1039" s="91"/>
      <c r="S1039" s="91"/>
      <c r="T1039" s="91"/>
      <c r="U1039" s="91"/>
      <c r="V1039" s="91"/>
      <c r="W1039" s="91"/>
      <c r="X1039" s="91"/>
      <c r="Y1039" s="91"/>
      <c r="Z1039" s="88" t="s">
        <v>1396</v>
      </c>
    </row>
    <row r="1040" hidden="1">
      <c r="A1040" s="90" t="s">
        <v>2829</v>
      </c>
      <c r="B1040" s="90" t="s">
        <v>3377</v>
      </c>
      <c r="C1040" s="90" t="s">
        <v>2827</v>
      </c>
      <c r="D1040" s="90" t="s">
        <v>3376</v>
      </c>
      <c r="E1040" s="90" t="s">
        <v>1403</v>
      </c>
      <c r="F1040" s="87">
        <v>1.0</v>
      </c>
      <c r="G1040" s="87">
        <v>1.0</v>
      </c>
      <c r="H1040" s="87">
        <v>2.0</v>
      </c>
      <c r="I1040" s="87">
        <v>2.0</v>
      </c>
      <c r="J1040" s="87">
        <v>0.0</v>
      </c>
      <c r="K1040" s="87">
        <v>0.0</v>
      </c>
      <c r="L1040" s="87">
        <v>0.0</v>
      </c>
      <c r="M1040" s="87">
        <v>0.0</v>
      </c>
      <c r="N1040" s="91"/>
      <c r="O1040" s="91"/>
      <c r="P1040" s="91"/>
      <c r="Q1040" s="91"/>
      <c r="R1040" s="91"/>
      <c r="S1040" s="91"/>
      <c r="T1040" s="91"/>
      <c r="U1040" s="91"/>
      <c r="V1040" s="91"/>
      <c r="W1040" s="91"/>
      <c r="X1040" s="91"/>
      <c r="Y1040" s="91"/>
      <c r="Z1040" s="88" t="s">
        <v>1396</v>
      </c>
    </row>
    <row r="1041" hidden="1">
      <c r="A1041" s="90" t="s">
        <v>2825</v>
      </c>
      <c r="B1041" s="90" t="s">
        <v>2831</v>
      </c>
      <c r="C1041" s="90" t="s">
        <v>2827</v>
      </c>
      <c r="D1041" s="90" t="s">
        <v>2832</v>
      </c>
      <c r="E1041" s="90" t="s">
        <v>1400</v>
      </c>
      <c r="F1041" s="87">
        <v>6.0</v>
      </c>
      <c r="G1041" s="87">
        <v>6.0</v>
      </c>
      <c r="H1041" s="87">
        <v>7.0</v>
      </c>
      <c r="I1041" s="87">
        <v>7.0</v>
      </c>
      <c r="J1041" s="87">
        <v>0.0</v>
      </c>
      <c r="K1041" s="87">
        <v>0.0</v>
      </c>
      <c r="L1041" s="87">
        <v>0.0</v>
      </c>
      <c r="M1041" s="87">
        <v>0.0</v>
      </c>
      <c r="N1041" s="91"/>
      <c r="O1041" s="91"/>
      <c r="P1041" s="91"/>
      <c r="Q1041" s="91"/>
      <c r="R1041" s="91"/>
      <c r="S1041" s="91"/>
      <c r="T1041" s="91"/>
      <c r="U1041" s="91"/>
      <c r="V1041" s="91"/>
      <c r="W1041" s="91"/>
      <c r="X1041" s="91"/>
      <c r="Y1041" s="91"/>
      <c r="Z1041" s="88" t="s">
        <v>1396</v>
      </c>
    </row>
    <row r="1042" hidden="1">
      <c r="A1042" s="90" t="s">
        <v>2829</v>
      </c>
      <c r="B1042" s="90" t="s">
        <v>2833</v>
      </c>
      <c r="C1042" s="90" t="s">
        <v>2827</v>
      </c>
      <c r="D1042" s="90" t="s">
        <v>2832</v>
      </c>
      <c r="E1042" s="90" t="s">
        <v>1403</v>
      </c>
      <c r="F1042" s="87">
        <v>1.0</v>
      </c>
      <c r="G1042" s="87">
        <v>1.0</v>
      </c>
      <c r="H1042" s="87">
        <v>2.0</v>
      </c>
      <c r="I1042" s="87">
        <v>2.0</v>
      </c>
      <c r="J1042" s="87">
        <v>0.0</v>
      </c>
      <c r="K1042" s="87">
        <v>0.0</v>
      </c>
      <c r="L1042" s="87">
        <v>0.0</v>
      </c>
      <c r="M1042" s="87">
        <v>0.0</v>
      </c>
      <c r="N1042" s="91"/>
      <c r="O1042" s="91"/>
      <c r="P1042" s="91"/>
      <c r="Q1042" s="91"/>
      <c r="R1042" s="91"/>
      <c r="S1042" s="91"/>
      <c r="T1042" s="91"/>
      <c r="U1042" s="91"/>
      <c r="V1042" s="91"/>
      <c r="W1042" s="91"/>
      <c r="X1042" s="91"/>
      <c r="Y1042" s="91"/>
      <c r="Z1042" s="88" t="s">
        <v>1396</v>
      </c>
    </row>
    <row r="1043" hidden="1">
      <c r="A1043" s="90" t="s">
        <v>2841</v>
      </c>
      <c r="B1043" s="90" t="s">
        <v>2842</v>
      </c>
      <c r="C1043" s="90" t="s">
        <v>2836</v>
      </c>
      <c r="D1043" s="90" t="s">
        <v>2840</v>
      </c>
      <c r="E1043" s="86">
        <v>46310.0</v>
      </c>
      <c r="F1043" s="87">
        <v>2.0</v>
      </c>
      <c r="G1043" s="87">
        <v>0.0</v>
      </c>
      <c r="H1043" s="87">
        <v>300.0</v>
      </c>
      <c r="I1043" s="87">
        <v>0.0</v>
      </c>
      <c r="J1043" s="87">
        <v>3.282967</v>
      </c>
      <c r="K1043" s="87">
        <v>2.744426</v>
      </c>
      <c r="L1043" s="87">
        <v>2.41589</v>
      </c>
      <c r="M1043" s="87">
        <v>2.744426</v>
      </c>
      <c r="N1043" s="87">
        <v>1.0</v>
      </c>
      <c r="O1043" s="87">
        <v>2.744426</v>
      </c>
      <c r="P1043" s="87">
        <v>2.744426</v>
      </c>
      <c r="Q1043" s="87">
        <v>2.744426</v>
      </c>
      <c r="R1043" s="87">
        <v>2.744426</v>
      </c>
      <c r="S1043" s="87">
        <v>2.744426</v>
      </c>
      <c r="T1043" s="87">
        <v>2.744426</v>
      </c>
      <c r="U1043" s="87">
        <v>2.744426</v>
      </c>
      <c r="V1043" s="87">
        <v>2.744426</v>
      </c>
      <c r="W1043" s="87">
        <v>2.744426</v>
      </c>
      <c r="X1043" s="87">
        <v>2.744426</v>
      </c>
      <c r="Y1043" s="87">
        <v>2.744426</v>
      </c>
      <c r="Z1043" s="88" t="s">
        <v>1396</v>
      </c>
    </row>
    <row r="1044" hidden="1">
      <c r="A1044" s="90" t="s">
        <v>2851</v>
      </c>
      <c r="B1044" s="90" t="s">
        <v>3378</v>
      </c>
      <c r="C1044" s="90" t="s">
        <v>2836</v>
      </c>
      <c r="D1044" s="90" t="s">
        <v>2840</v>
      </c>
      <c r="E1044" s="90" t="s">
        <v>1413</v>
      </c>
      <c r="F1044" s="87">
        <v>1.0</v>
      </c>
      <c r="G1044" s="87">
        <v>1.0</v>
      </c>
      <c r="H1044" s="87">
        <v>4.0</v>
      </c>
      <c r="I1044" s="87">
        <v>4.0</v>
      </c>
      <c r="J1044" s="87">
        <v>0.0</v>
      </c>
      <c r="K1044" s="87">
        <v>0.0</v>
      </c>
      <c r="L1044" s="87">
        <v>0.0</v>
      </c>
      <c r="M1044" s="87">
        <v>0.0</v>
      </c>
      <c r="N1044" s="91"/>
      <c r="O1044" s="91"/>
      <c r="P1044" s="91"/>
      <c r="Q1044" s="91"/>
      <c r="R1044" s="91"/>
      <c r="S1044" s="91"/>
      <c r="T1044" s="91"/>
      <c r="U1044" s="91"/>
      <c r="V1044" s="91"/>
      <c r="W1044" s="91"/>
      <c r="X1044" s="91"/>
      <c r="Y1044" s="91"/>
      <c r="Z1044" s="88" t="s">
        <v>1396</v>
      </c>
    </row>
    <row r="1045" hidden="1">
      <c r="A1045" s="90" t="s">
        <v>2843</v>
      </c>
      <c r="B1045" s="90" t="s">
        <v>2844</v>
      </c>
      <c r="C1045" s="90" t="s">
        <v>2836</v>
      </c>
      <c r="D1045" s="90" t="s">
        <v>2840</v>
      </c>
      <c r="E1045" s="90" t="s">
        <v>1398</v>
      </c>
      <c r="F1045" s="87">
        <v>5.0</v>
      </c>
      <c r="G1045" s="87">
        <v>0.0</v>
      </c>
      <c r="H1045" s="87">
        <v>3971.0</v>
      </c>
      <c r="I1045" s="87">
        <v>0.0</v>
      </c>
      <c r="J1045" s="87">
        <v>27.2025</v>
      </c>
      <c r="K1045" s="87">
        <v>31.52763</v>
      </c>
      <c r="L1045" s="87">
        <v>38.23017</v>
      </c>
      <c r="M1045" s="87">
        <v>30.56203</v>
      </c>
      <c r="N1045" s="87">
        <v>0.969373</v>
      </c>
      <c r="O1045" s="87">
        <v>0.0</v>
      </c>
      <c r="P1045" s="87">
        <v>0.066667</v>
      </c>
      <c r="Q1045" s="87">
        <v>0.066667</v>
      </c>
      <c r="R1045" s="87">
        <v>0.665591</v>
      </c>
      <c r="S1045" s="87">
        <v>4.750343</v>
      </c>
      <c r="T1045" s="87">
        <v>0.066667</v>
      </c>
      <c r="U1045" s="87">
        <v>0.233333</v>
      </c>
      <c r="V1045" s="87">
        <v>0.233333</v>
      </c>
      <c r="W1045" s="87">
        <v>0.665591</v>
      </c>
      <c r="X1045" s="87">
        <v>4.750343</v>
      </c>
      <c r="Y1045" s="87">
        <v>5.254604</v>
      </c>
      <c r="Z1045" s="88" t="s">
        <v>1396</v>
      </c>
    </row>
    <row r="1046" hidden="1">
      <c r="A1046" s="90" t="s">
        <v>2834</v>
      </c>
      <c r="B1046" s="90" t="s">
        <v>2845</v>
      </c>
      <c r="C1046" s="90" t="s">
        <v>2836</v>
      </c>
      <c r="D1046" s="90" t="s">
        <v>2840</v>
      </c>
      <c r="E1046" s="90" t="s">
        <v>1400</v>
      </c>
      <c r="F1046" s="87">
        <v>10.0</v>
      </c>
      <c r="G1046" s="87">
        <v>2.0</v>
      </c>
      <c r="H1046" s="87">
        <v>4234.0</v>
      </c>
      <c r="I1046" s="87">
        <v>29.0</v>
      </c>
      <c r="J1046" s="87">
        <v>50.86628</v>
      </c>
      <c r="K1046" s="87">
        <v>53.92817</v>
      </c>
      <c r="L1046" s="87">
        <v>53.33366</v>
      </c>
      <c r="M1046" s="87">
        <v>37.04013</v>
      </c>
      <c r="N1046" s="87">
        <v>0.686842</v>
      </c>
      <c r="O1046" s="87">
        <v>0.0</v>
      </c>
      <c r="P1046" s="87">
        <v>0.1</v>
      </c>
      <c r="Q1046" s="87">
        <v>1.947436</v>
      </c>
      <c r="R1046" s="87">
        <v>3.258831</v>
      </c>
      <c r="S1046" s="87">
        <v>11.58177</v>
      </c>
      <c r="T1046" s="87">
        <v>0.1</v>
      </c>
      <c r="U1046" s="87">
        <v>1.947436</v>
      </c>
      <c r="V1046" s="87">
        <v>1.947436</v>
      </c>
      <c r="W1046" s="87">
        <v>11.58177</v>
      </c>
      <c r="X1046" s="87">
        <v>16.8357</v>
      </c>
      <c r="Y1046" s="87">
        <v>7.704024</v>
      </c>
      <c r="Z1046" s="88" t="s">
        <v>1396</v>
      </c>
    </row>
    <row r="1047" hidden="1">
      <c r="A1047" s="90" t="s">
        <v>2846</v>
      </c>
      <c r="B1047" s="90" t="s">
        <v>2847</v>
      </c>
      <c r="C1047" s="90" t="s">
        <v>2836</v>
      </c>
      <c r="D1047" s="90" t="s">
        <v>2840</v>
      </c>
      <c r="E1047" s="90" t="s">
        <v>1403</v>
      </c>
      <c r="F1047" s="87">
        <v>1.0</v>
      </c>
      <c r="G1047" s="87">
        <v>1.0</v>
      </c>
      <c r="H1047" s="87">
        <v>25.0</v>
      </c>
      <c r="I1047" s="87">
        <v>25.0</v>
      </c>
      <c r="J1047" s="87">
        <v>0.0</v>
      </c>
      <c r="K1047" s="87">
        <v>0.0</v>
      </c>
      <c r="L1047" s="87">
        <v>0.0</v>
      </c>
      <c r="M1047" s="87">
        <v>0.0</v>
      </c>
      <c r="N1047" s="91"/>
      <c r="O1047" s="91"/>
      <c r="P1047" s="91"/>
      <c r="Q1047" s="91"/>
      <c r="R1047" s="91"/>
      <c r="S1047" s="91"/>
      <c r="T1047" s="91"/>
      <c r="U1047" s="91"/>
      <c r="V1047" s="91"/>
      <c r="W1047" s="91"/>
      <c r="X1047" s="91"/>
      <c r="Y1047" s="91"/>
      <c r="Z1047" s="88" t="s">
        <v>1396</v>
      </c>
    </row>
    <row r="1048" hidden="1">
      <c r="A1048" s="90" t="s">
        <v>2838</v>
      </c>
      <c r="B1048" s="90" t="s">
        <v>2848</v>
      </c>
      <c r="C1048" s="90" t="s">
        <v>2836</v>
      </c>
      <c r="D1048" s="90" t="s">
        <v>2849</v>
      </c>
      <c r="E1048" s="90" t="s">
        <v>1426</v>
      </c>
      <c r="F1048" s="87">
        <v>35.0</v>
      </c>
      <c r="G1048" s="87">
        <v>1.0</v>
      </c>
      <c r="H1048" s="87">
        <v>30932.0</v>
      </c>
      <c r="I1048" s="87">
        <v>1.0</v>
      </c>
      <c r="J1048" s="87">
        <v>359.2561</v>
      </c>
      <c r="K1048" s="87">
        <v>357.5231</v>
      </c>
      <c r="L1048" s="87">
        <v>362.3754</v>
      </c>
      <c r="M1048" s="87">
        <v>187.8356</v>
      </c>
      <c r="N1048" s="87">
        <v>0.52538</v>
      </c>
      <c r="O1048" s="87">
        <v>0.0</v>
      </c>
      <c r="P1048" s="87">
        <v>0.0</v>
      </c>
      <c r="Q1048" s="87">
        <v>4.067777</v>
      </c>
      <c r="R1048" s="87">
        <v>9.690421</v>
      </c>
      <c r="S1048" s="87">
        <v>17.29564</v>
      </c>
      <c r="T1048" s="87">
        <v>4.067777</v>
      </c>
      <c r="U1048" s="87">
        <v>7.563399</v>
      </c>
      <c r="V1048" s="87">
        <v>8.974245</v>
      </c>
      <c r="W1048" s="87">
        <v>13.78463</v>
      </c>
      <c r="X1048" s="87">
        <v>18.41266</v>
      </c>
      <c r="Y1048" s="87">
        <v>11.533</v>
      </c>
      <c r="Z1048" s="88" t="s">
        <v>1396</v>
      </c>
    </row>
    <row r="1049" hidden="1">
      <c r="A1049" s="90" t="s">
        <v>2841</v>
      </c>
      <c r="B1049" s="90" t="s">
        <v>2850</v>
      </c>
      <c r="C1049" s="90" t="s">
        <v>2836</v>
      </c>
      <c r="D1049" s="90" t="s">
        <v>2849</v>
      </c>
      <c r="E1049" s="86">
        <v>46310.0</v>
      </c>
      <c r="F1049" s="87">
        <v>13.0</v>
      </c>
      <c r="G1049" s="87">
        <v>0.0</v>
      </c>
      <c r="H1049" s="87">
        <v>6354.0</v>
      </c>
      <c r="I1049" s="87">
        <v>0.0</v>
      </c>
      <c r="J1049" s="87">
        <v>72.23737</v>
      </c>
      <c r="K1049" s="87">
        <v>77.7279</v>
      </c>
      <c r="L1049" s="87">
        <v>78.92938</v>
      </c>
      <c r="M1049" s="87">
        <v>37.45013</v>
      </c>
      <c r="N1049" s="87">
        <v>0.481811</v>
      </c>
      <c r="O1049" s="87">
        <v>2.099525</v>
      </c>
      <c r="P1049" s="87">
        <v>3.135744</v>
      </c>
      <c r="Q1049" s="87">
        <v>4.170964</v>
      </c>
      <c r="R1049" s="87">
        <v>6.192848</v>
      </c>
      <c r="S1049" s="87">
        <v>10.08534</v>
      </c>
      <c r="T1049" s="87">
        <v>2.099525</v>
      </c>
      <c r="U1049" s="87">
        <v>3.135744</v>
      </c>
      <c r="V1049" s="87">
        <v>4.170964</v>
      </c>
      <c r="W1049" s="87">
        <v>6.192848</v>
      </c>
      <c r="X1049" s="87">
        <v>10.08534</v>
      </c>
      <c r="Y1049" s="87">
        <v>7.77279</v>
      </c>
      <c r="Z1049" s="88" t="s">
        <v>1396</v>
      </c>
    </row>
    <row r="1050" hidden="1">
      <c r="A1050" s="90" t="s">
        <v>2851</v>
      </c>
      <c r="B1050" s="90" t="s">
        <v>2852</v>
      </c>
      <c r="C1050" s="90" t="s">
        <v>2836</v>
      </c>
      <c r="D1050" s="90" t="s">
        <v>2849</v>
      </c>
      <c r="E1050" s="90" t="s">
        <v>1413</v>
      </c>
      <c r="F1050" s="87">
        <v>4.0</v>
      </c>
      <c r="G1050" s="87">
        <v>0.0</v>
      </c>
      <c r="H1050" s="87">
        <v>1493.0</v>
      </c>
      <c r="I1050" s="87">
        <v>0.0</v>
      </c>
      <c r="J1050" s="87">
        <v>16.69335</v>
      </c>
      <c r="K1050" s="87">
        <v>17.50982</v>
      </c>
      <c r="L1050" s="87">
        <v>18.24923</v>
      </c>
      <c r="M1050" s="87">
        <v>10.3201</v>
      </c>
      <c r="N1050" s="87">
        <v>0.589389</v>
      </c>
      <c r="O1050" s="87">
        <v>0.0</v>
      </c>
      <c r="P1050" s="87">
        <v>0.0</v>
      </c>
      <c r="Q1050" s="87">
        <v>3.516224</v>
      </c>
      <c r="R1050" s="87">
        <v>3.673495</v>
      </c>
      <c r="S1050" s="87">
        <v>3.673495</v>
      </c>
      <c r="T1050" s="87">
        <v>3.516224</v>
      </c>
      <c r="U1050" s="87">
        <v>3.516224</v>
      </c>
      <c r="V1050" s="87">
        <v>3.516224</v>
      </c>
      <c r="W1050" s="87">
        <v>3.673495</v>
      </c>
      <c r="X1050" s="87">
        <v>10.3201</v>
      </c>
      <c r="Y1050" s="87">
        <v>4.377455</v>
      </c>
      <c r="Z1050" s="88" t="s">
        <v>1396</v>
      </c>
    </row>
    <row r="1051" hidden="1">
      <c r="A1051" s="90" t="s">
        <v>2843</v>
      </c>
      <c r="B1051" s="90" t="s">
        <v>2853</v>
      </c>
      <c r="C1051" s="90" t="s">
        <v>2836</v>
      </c>
      <c r="D1051" s="90" t="s">
        <v>2849</v>
      </c>
      <c r="E1051" s="90" t="s">
        <v>1398</v>
      </c>
      <c r="F1051" s="87">
        <v>17.0</v>
      </c>
      <c r="G1051" s="87">
        <v>7.0</v>
      </c>
      <c r="H1051" s="87">
        <v>4556.0</v>
      </c>
      <c r="I1051" s="87">
        <v>242.0</v>
      </c>
      <c r="J1051" s="87">
        <v>39.82274</v>
      </c>
      <c r="K1051" s="87">
        <v>44.24473</v>
      </c>
      <c r="L1051" s="87">
        <v>42.40867</v>
      </c>
      <c r="M1051" s="87">
        <v>23.8792</v>
      </c>
      <c r="N1051" s="87">
        <v>0.539707</v>
      </c>
      <c r="O1051" s="87">
        <v>2.087387</v>
      </c>
      <c r="P1051" s="87">
        <v>2.850519</v>
      </c>
      <c r="Q1051" s="87">
        <v>2.850519</v>
      </c>
      <c r="R1051" s="87">
        <v>3.122483</v>
      </c>
      <c r="S1051" s="87">
        <v>12.30513</v>
      </c>
      <c r="T1051" s="87">
        <v>2.087387</v>
      </c>
      <c r="U1051" s="87">
        <v>2.850519</v>
      </c>
      <c r="V1051" s="87">
        <v>2.850519</v>
      </c>
      <c r="W1051" s="87">
        <v>3.122483</v>
      </c>
      <c r="X1051" s="87">
        <v>12.30513</v>
      </c>
      <c r="Y1051" s="87">
        <v>8.848945</v>
      </c>
      <c r="Z1051" s="88" t="s">
        <v>1396</v>
      </c>
    </row>
    <row r="1052" hidden="1">
      <c r="A1052" s="90" t="s">
        <v>2834</v>
      </c>
      <c r="B1052" s="90" t="s">
        <v>2854</v>
      </c>
      <c r="C1052" s="90" t="s">
        <v>2836</v>
      </c>
      <c r="D1052" s="90" t="s">
        <v>2849</v>
      </c>
      <c r="E1052" s="90" t="s">
        <v>1400</v>
      </c>
      <c r="F1052" s="87">
        <v>56.0</v>
      </c>
      <c r="G1052" s="87">
        <v>4.0</v>
      </c>
      <c r="H1052" s="87">
        <v>16683.0</v>
      </c>
      <c r="I1052" s="87">
        <v>121.0</v>
      </c>
      <c r="J1052" s="87">
        <v>149.9975</v>
      </c>
      <c r="K1052" s="87">
        <v>143.874</v>
      </c>
      <c r="L1052" s="87">
        <v>143.9625</v>
      </c>
      <c r="M1052" s="87">
        <v>80.34718</v>
      </c>
      <c r="N1052" s="87">
        <v>0.558455</v>
      </c>
      <c r="O1052" s="87">
        <v>0.416209</v>
      </c>
      <c r="P1052" s="87">
        <v>0.757148</v>
      </c>
      <c r="Q1052" s="87">
        <v>0.894853</v>
      </c>
      <c r="R1052" s="87">
        <v>2.200573</v>
      </c>
      <c r="S1052" s="87">
        <v>3.859622</v>
      </c>
      <c r="T1052" s="87">
        <v>0.657521</v>
      </c>
      <c r="U1052" s="87">
        <v>0.831183</v>
      </c>
      <c r="V1052" s="87">
        <v>1.026882</v>
      </c>
      <c r="W1052" s="87">
        <v>2.237692</v>
      </c>
      <c r="X1052" s="87">
        <v>3.92263</v>
      </c>
      <c r="Y1052" s="87">
        <v>3.269863</v>
      </c>
      <c r="Z1052" s="88" t="s">
        <v>1396</v>
      </c>
    </row>
    <row r="1053" hidden="1">
      <c r="A1053" s="90" t="s">
        <v>2855</v>
      </c>
      <c r="B1053" s="90" t="s">
        <v>2856</v>
      </c>
      <c r="C1053" s="90" t="s">
        <v>2836</v>
      </c>
      <c r="D1053" s="90" t="s">
        <v>2849</v>
      </c>
      <c r="E1053" s="89">
        <v>46300.0</v>
      </c>
      <c r="F1053" s="87">
        <v>24.0</v>
      </c>
      <c r="G1053" s="87">
        <v>0.0</v>
      </c>
      <c r="H1053" s="87">
        <v>21366.0</v>
      </c>
      <c r="I1053" s="87">
        <v>0.0</v>
      </c>
      <c r="J1053" s="87">
        <v>222.2226</v>
      </c>
      <c r="K1053" s="87">
        <v>274.0003</v>
      </c>
      <c r="L1053" s="87">
        <v>268.5176</v>
      </c>
      <c r="M1053" s="87">
        <v>174.22</v>
      </c>
      <c r="N1053" s="87">
        <v>0.635839</v>
      </c>
      <c r="O1053" s="87">
        <v>0.0</v>
      </c>
      <c r="P1053" s="87">
        <v>2.697367</v>
      </c>
      <c r="Q1053" s="87">
        <v>3.738607</v>
      </c>
      <c r="R1053" s="87">
        <v>5.275323</v>
      </c>
      <c r="S1053" s="87">
        <v>16.23335</v>
      </c>
      <c r="T1053" s="87">
        <v>2.697367</v>
      </c>
      <c r="U1053" s="87">
        <v>3.738607</v>
      </c>
      <c r="V1053" s="87">
        <v>4.786232</v>
      </c>
      <c r="W1053" s="87">
        <v>13.01812</v>
      </c>
      <c r="X1053" s="87">
        <v>17.87021</v>
      </c>
      <c r="Y1053" s="87">
        <v>13.04763</v>
      </c>
      <c r="Z1053" s="88" t="s">
        <v>1396</v>
      </c>
    </row>
    <row r="1054" hidden="1">
      <c r="A1054" s="90" t="s">
        <v>2846</v>
      </c>
      <c r="B1054" s="90" t="s">
        <v>2857</v>
      </c>
      <c r="C1054" s="90" t="s">
        <v>2836</v>
      </c>
      <c r="D1054" s="90" t="s">
        <v>2849</v>
      </c>
      <c r="E1054" s="90" t="s">
        <v>1403</v>
      </c>
      <c r="F1054" s="87">
        <v>29.0</v>
      </c>
      <c r="G1054" s="87">
        <v>29.0</v>
      </c>
      <c r="H1054" s="87">
        <v>1820.0</v>
      </c>
      <c r="I1054" s="87">
        <v>1820.0</v>
      </c>
      <c r="J1054" s="87">
        <v>0.0</v>
      </c>
      <c r="K1054" s="87">
        <v>0.0</v>
      </c>
      <c r="L1054" s="87">
        <v>0.0</v>
      </c>
      <c r="M1054" s="87">
        <v>0.0</v>
      </c>
      <c r="N1054" s="91"/>
      <c r="O1054" s="87">
        <v>0.0</v>
      </c>
      <c r="P1054" s="87">
        <v>0.0</v>
      </c>
      <c r="Q1054" s="87">
        <v>0.0</v>
      </c>
      <c r="R1054" s="87">
        <v>0.0</v>
      </c>
      <c r="S1054" s="87">
        <v>0.0</v>
      </c>
      <c r="T1054" s="91"/>
      <c r="U1054" s="91"/>
      <c r="V1054" s="91"/>
      <c r="W1054" s="91"/>
      <c r="X1054" s="91"/>
      <c r="Y1054" s="87">
        <v>0.0</v>
      </c>
      <c r="Z1054" s="88" t="s">
        <v>1396</v>
      </c>
    </row>
    <row r="1055" hidden="1">
      <c r="A1055" s="90" t="s">
        <v>2838</v>
      </c>
      <c r="B1055" s="90" t="s">
        <v>2858</v>
      </c>
      <c r="C1055" s="90" t="s">
        <v>2836</v>
      </c>
      <c r="D1055" s="90" t="s">
        <v>2859</v>
      </c>
      <c r="E1055" s="90" t="s">
        <v>1426</v>
      </c>
      <c r="F1055" s="87">
        <v>1.0</v>
      </c>
      <c r="G1055" s="87">
        <v>0.0</v>
      </c>
      <c r="H1055" s="87">
        <v>184.0</v>
      </c>
      <c r="I1055" s="87">
        <v>0.0</v>
      </c>
      <c r="J1055" s="87">
        <v>0.857143</v>
      </c>
      <c r="K1055" s="87">
        <v>0.631183</v>
      </c>
      <c r="L1055" s="87">
        <v>0.702649</v>
      </c>
      <c r="M1055" s="87">
        <v>0.631183</v>
      </c>
      <c r="N1055" s="87">
        <v>1.0</v>
      </c>
      <c r="O1055" s="87">
        <v>0.631183</v>
      </c>
      <c r="P1055" s="87">
        <v>0.631183</v>
      </c>
      <c r="Q1055" s="87">
        <v>0.631183</v>
      </c>
      <c r="R1055" s="87">
        <v>0.631183</v>
      </c>
      <c r="S1055" s="87">
        <v>0.631183</v>
      </c>
      <c r="T1055" s="87">
        <v>0.631183</v>
      </c>
      <c r="U1055" s="87">
        <v>0.631183</v>
      </c>
      <c r="V1055" s="87">
        <v>0.631183</v>
      </c>
      <c r="W1055" s="87">
        <v>0.631183</v>
      </c>
      <c r="X1055" s="87">
        <v>0.631183</v>
      </c>
      <c r="Y1055" s="87">
        <v>0.631183</v>
      </c>
      <c r="Z1055" s="88" t="s">
        <v>1396</v>
      </c>
    </row>
    <row r="1056" hidden="1">
      <c r="A1056" s="90" t="s">
        <v>2841</v>
      </c>
      <c r="B1056" s="90" t="s">
        <v>2860</v>
      </c>
      <c r="C1056" s="90" t="s">
        <v>2836</v>
      </c>
      <c r="D1056" s="90" t="s">
        <v>2859</v>
      </c>
      <c r="E1056" s="86">
        <v>46310.0</v>
      </c>
      <c r="F1056" s="87">
        <v>1.0</v>
      </c>
      <c r="G1056" s="87">
        <v>0.0</v>
      </c>
      <c r="H1056" s="87">
        <v>215.0</v>
      </c>
      <c r="I1056" s="87">
        <v>0.0</v>
      </c>
      <c r="J1056" s="87">
        <v>0.142857</v>
      </c>
      <c r="K1056" s="87">
        <v>0.132258</v>
      </c>
      <c r="L1056" s="87">
        <v>0.36612</v>
      </c>
      <c r="M1056" s="87">
        <v>0.132258</v>
      </c>
      <c r="N1056" s="87">
        <v>1.0</v>
      </c>
      <c r="O1056" s="87">
        <v>0.132258</v>
      </c>
      <c r="P1056" s="87">
        <v>0.132258</v>
      </c>
      <c r="Q1056" s="87">
        <v>0.132258</v>
      </c>
      <c r="R1056" s="87">
        <v>0.132258</v>
      </c>
      <c r="S1056" s="87">
        <v>0.132258</v>
      </c>
      <c r="T1056" s="87">
        <v>0.132258</v>
      </c>
      <c r="U1056" s="87">
        <v>0.132258</v>
      </c>
      <c r="V1056" s="87">
        <v>0.132258</v>
      </c>
      <c r="W1056" s="87">
        <v>0.132258</v>
      </c>
      <c r="X1056" s="87">
        <v>0.132258</v>
      </c>
      <c r="Y1056" s="87">
        <v>0.132258</v>
      </c>
      <c r="Z1056" s="88" t="s">
        <v>1396</v>
      </c>
    </row>
    <row r="1057" hidden="1">
      <c r="A1057" s="90" t="s">
        <v>2851</v>
      </c>
      <c r="B1057" s="90" t="s">
        <v>2861</v>
      </c>
      <c r="C1057" s="90" t="s">
        <v>2836</v>
      </c>
      <c r="D1057" s="90" t="s">
        <v>2859</v>
      </c>
      <c r="E1057" s="90" t="s">
        <v>1413</v>
      </c>
      <c r="F1057" s="87">
        <v>3.0</v>
      </c>
      <c r="G1057" s="87">
        <v>0.0</v>
      </c>
      <c r="H1057" s="87">
        <v>639.0</v>
      </c>
      <c r="I1057" s="87">
        <v>0.0</v>
      </c>
      <c r="J1057" s="87">
        <v>0.285714</v>
      </c>
      <c r="K1057" s="87">
        <v>0.764516</v>
      </c>
      <c r="L1057" s="87">
        <v>0.931236</v>
      </c>
      <c r="M1057" s="87">
        <v>0.364516</v>
      </c>
      <c r="N1057" s="87">
        <v>0.476793</v>
      </c>
      <c r="O1057" s="87">
        <v>0.133333</v>
      </c>
      <c r="P1057" s="87">
        <v>0.133333</v>
      </c>
      <c r="Q1057" s="87">
        <v>0.133333</v>
      </c>
      <c r="R1057" s="87">
        <v>0.266667</v>
      </c>
      <c r="S1057" s="87">
        <v>0.364516</v>
      </c>
      <c r="T1057" s="87">
        <v>0.133333</v>
      </c>
      <c r="U1057" s="87">
        <v>0.133333</v>
      </c>
      <c r="V1057" s="87">
        <v>0.133333</v>
      </c>
      <c r="W1057" s="87">
        <v>0.266667</v>
      </c>
      <c r="X1057" s="87">
        <v>0.364516</v>
      </c>
      <c r="Y1057" s="87">
        <v>0.254839</v>
      </c>
      <c r="Z1057" s="88" t="s">
        <v>1396</v>
      </c>
    </row>
    <row r="1058" hidden="1">
      <c r="A1058" s="90" t="s">
        <v>2843</v>
      </c>
      <c r="B1058" s="90" t="s">
        <v>2862</v>
      </c>
      <c r="C1058" s="90" t="s">
        <v>2836</v>
      </c>
      <c r="D1058" s="90" t="s">
        <v>2859</v>
      </c>
      <c r="E1058" s="90" t="s">
        <v>1398</v>
      </c>
      <c r="F1058" s="87">
        <v>4.0</v>
      </c>
      <c r="G1058" s="87">
        <v>0.0</v>
      </c>
      <c r="H1058" s="87">
        <v>962.0</v>
      </c>
      <c r="I1058" s="87">
        <v>0.0</v>
      </c>
      <c r="J1058" s="87">
        <v>3.488778</v>
      </c>
      <c r="K1058" s="87">
        <v>3.113908</v>
      </c>
      <c r="L1058" s="87">
        <v>3.298954</v>
      </c>
      <c r="M1058" s="87">
        <v>2.3838</v>
      </c>
      <c r="N1058" s="87">
        <v>0.765533</v>
      </c>
      <c r="O1058" s="87">
        <v>0.1</v>
      </c>
      <c r="P1058" s="87">
        <v>0.1</v>
      </c>
      <c r="Q1058" s="87">
        <v>0.232258</v>
      </c>
      <c r="R1058" s="87">
        <v>0.397849</v>
      </c>
      <c r="S1058" s="87">
        <v>0.397849</v>
      </c>
      <c r="T1058" s="87">
        <v>0.1</v>
      </c>
      <c r="U1058" s="87">
        <v>0.1</v>
      </c>
      <c r="V1058" s="87">
        <v>0.232258</v>
      </c>
      <c r="W1058" s="87">
        <v>0.397849</v>
      </c>
      <c r="X1058" s="87">
        <v>0.397849</v>
      </c>
      <c r="Y1058" s="87">
        <v>0.778477</v>
      </c>
      <c r="Z1058" s="88" t="s">
        <v>1396</v>
      </c>
    </row>
    <row r="1059" hidden="1">
      <c r="A1059" s="90" t="s">
        <v>2834</v>
      </c>
      <c r="B1059" s="90" t="s">
        <v>2863</v>
      </c>
      <c r="C1059" s="90" t="s">
        <v>2836</v>
      </c>
      <c r="D1059" s="90" t="s">
        <v>2859</v>
      </c>
      <c r="E1059" s="90" t="s">
        <v>1400</v>
      </c>
      <c r="F1059" s="87">
        <v>7.0</v>
      </c>
      <c r="G1059" s="87">
        <v>1.0</v>
      </c>
      <c r="H1059" s="87">
        <v>1141.0</v>
      </c>
      <c r="I1059" s="87">
        <v>252.0</v>
      </c>
      <c r="J1059" s="87">
        <v>0.5</v>
      </c>
      <c r="K1059" s="87">
        <v>0.622264</v>
      </c>
      <c r="L1059" s="87">
        <v>0.524728</v>
      </c>
      <c r="M1059" s="87">
        <v>0.290006</v>
      </c>
      <c r="N1059" s="87">
        <v>0.46605</v>
      </c>
      <c r="O1059" s="87">
        <v>0.0</v>
      </c>
      <c r="P1059" s="87">
        <v>0.0</v>
      </c>
      <c r="Q1059" s="87">
        <v>0.1</v>
      </c>
      <c r="R1059" s="87">
        <v>0.232258</v>
      </c>
      <c r="S1059" s="87">
        <v>0.232258</v>
      </c>
      <c r="T1059" s="87">
        <v>0.1</v>
      </c>
      <c r="U1059" s="87">
        <v>0.1</v>
      </c>
      <c r="V1059" s="87">
        <v>0.1</v>
      </c>
      <c r="W1059" s="87">
        <v>0.232258</v>
      </c>
      <c r="X1059" s="87">
        <v>0.290006</v>
      </c>
      <c r="Y1059" s="87">
        <v>0.155566</v>
      </c>
      <c r="Z1059" s="88" t="s">
        <v>1396</v>
      </c>
    </row>
    <row r="1060" hidden="1">
      <c r="A1060" s="90" t="s">
        <v>2855</v>
      </c>
      <c r="B1060" s="90" t="s">
        <v>2864</v>
      </c>
      <c r="C1060" s="90" t="s">
        <v>2836</v>
      </c>
      <c r="D1060" s="90" t="s">
        <v>2859</v>
      </c>
      <c r="E1060" s="89">
        <v>46300.0</v>
      </c>
      <c r="F1060" s="87">
        <v>4.0</v>
      </c>
      <c r="G1060" s="87">
        <v>0.0</v>
      </c>
      <c r="H1060" s="87">
        <v>1106.0</v>
      </c>
      <c r="I1060" s="87">
        <v>0.0</v>
      </c>
      <c r="J1060" s="87">
        <v>4.046404</v>
      </c>
      <c r="K1060" s="87">
        <v>3.974315</v>
      </c>
      <c r="L1060" s="87">
        <v>4.231326</v>
      </c>
      <c r="M1060" s="87">
        <v>1.613145</v>
      </c>
      <c r="N1060" s="87">
        <v>0.405893</v>
      </c>
      <c r="O1060" s="87">
        <v>0.596774</v>
      </c>
      <c r="P1060" s="87">
        <v>0.596774</v>
      </c>
      <c r="Q1060" s="87">
        <v>0.736133</v>
      </c>
      <c r="R1060" s="87">
        <v>1.028262</v>
      </c>
      <c r="S1060" s="87">
        <v>1.028262</v>
      </c>
      <c r="T1060" s="87">
        <v>0.596774</v>
      </c>
      <c r="U1060" s="87">
        <v>0.596774</v>
      </c>
      <c r="V1060" s="87">
        <v>0.736133</v>
      </c>
      <c r="W1060" s="87">
        <v>1.028262</v>
      </c>
      <c r="X1060" s="87">
        <v>1.028262</v>
      </c>
      <c r="Y1060" s="87">
        <v>0.993579</v>
      </c>
      <c r="Z1060" s="88" t="s">
        <v>1396</v>
      </c>
    </row>
    <row r="1061" hidden="1">
      <c r="A1061" s="90" t="s">
        <v>2843</v>
      </c>
      <c r="B1061" s="90" t="s">
        <v>2868</v>
      </c>
      <c r="C1061" s="90" t="s">
        <v>2836</v>
      </c>
      <c r="D1061" s="90" t="s">
        <v>2867</v>
      </c>
      <c r="E1061" s="90" t="s">
        <v>1398</v>
      </c>
      <c r="F1061" s="87">
        <v>2.0</v>
      </c>
      <c r="G1061" s="87">
        <v>1.0</v>
      </c>
      <c r="H1061" s="87">
        <v>183.0</v>
      </c>
      <c r="I1061" s="87">
        <v>2.0</v>
      </c>
      <c r="J1061" s="87">
        <v>0.357143</v>
      </c>
      <c r="K1061" s="87">
        <v>0.431183</v>
      </c>
      <c r="L1061" s="87">
        <v>0.467875</v>
      </c>
      <c r="M1061" s="87">
        <v>0.431183</v>
      </c>
      <c r="N1061" s="87">
        <v>1.0</v>
      </c>
      <c r="O1061" s="87">
        <v>0.431183</v>
      </c>
      <c r="P1061" s="87">
        <v>0.431183</v>
      </c>
      <c r="Q1061" s="87">
        <v>0.431183</v>
      </c>
      <c r="R1061" s="87">
        <v>0.431183</v>
      </c>
      <c r="S1061" s="87">
        <v>0.431183</v>
      </c>
      <c r="T1061" s="87">
        <v>0.431183</v>
      </c>
      <c r="U1061" s="87">
        <v>0.431183</v>
      </c>
      <c r="V1061" s="87">
        <v>0.431183</v>
      </c>
      <c r="W1061" s="87">
        <v>0.431183</v>
      </c>
      <c r="X1061" s="87">
        <v>0.431183</v>
      </c>
      <c r="Y1061" s="87">
        <v>0.431183</v>
      </c>
      <c r="Z1061" s="88" t="s">
        <v>1396</v>
      </c>
    </row>
    <row r="1062" hidden="1">
      <c r="A1062" s="90" t="s">
        <v>2834</v>
      </c>
      <c r="B1062" s="90" t="s">
        <v>2869</v>
      </c>
      <c r="C1062" s="90" t="s">
        <v>2836</v>
      </c>
      <c r="D1062" s="90" t="s">
        <v>2867</v>
      </c>
      <c r="E1062" s="90" t="s">
        <v>1400</v>
      </c>
      <c r="F1062" s="87">
        <v>1.0</v>
      </c>
      <c r="G1062" s="87">
        <v>1.0</v>
      </c>
      <c r="H1062" s="87">
        <v>48.0</v>
      </c>
      <c r="I1062" s="87">
        <v>48.0</v>
      </c>
      <c r="J1062" s="87">
        <v>0.0</v>
      </c>
      <c r="K1062" s="87">
        <v>0.0</v>
      </c>
      <c r="L1062" s="87">
        <v>0.0</v>
      </c>
      <c r="M1062" s="87">
        <v>0.0</v>
      </c>
      <c r="N1062" s="91"/>
      <c r="O1062" s="91"/>
      <c r="P1062" s="91"/>
      <c r="Q1062" s="91"/>
      <c r="R1062" s="91"/>
      <c r="S1062" s="91"/>
      <c r="T1062" s="91"/>
      <c r="U1062" s="91"/>
      <c r="V1062" s="91"/>
      <c r="W1062" s="91"/>
      <c r="X1062" s="91"/>
      <c r="Y1062" s="91"/>
      <c r="Z1062" s="88" t="s">
        <v>1396</v>
      </c>
    </row>
    <row r="1063" hidden="1">
      <c r="A1063" s="90" t="s">
        <v>2846</v>
      </c>
      <c r="B1063" s="90" t="s">
        <v>2870</v>
      </c>
      <c r="C1063" s="90" t="s">
        <v>2836</v>
      </c>
      <c r="D1063" s="90" t="s">
        <v>2867</v>
      </c>
      <c r="E1063" s="90" t="s">
        <v>1403</v>
      </c>
      <c r="F1063" s="87">
        <v>1.0</v>
      </c>
      <c r="G1063" s="87">
        <v>1.0</v>
      </c>
      <c r="H1063" s="87">
        <v>26.0</v>
      </c>
      <c r="I1063" s="87">
        <v>26.0</v>
      </c>
      <c r="J1063" s="87">
        <v>0.0</v>
      </c>
      <c r="K1063" s="87">
        <v>0.0</v>
      </c>
      <c r="L1063" s="87">
        <v>0.0</v>
      </c>
      <c r="M1063" s="87">
        <v>0.0</v>
      </c>
      <c r="N1063" s="91"/>
      <c r="O1063" s="91"/>
      <c r="P1063" s="91"/>
      <c r="Q1063" s="91"/>
      <c r="R1063" s="91"/>
      <c r="S1063" s="91"/>
      <c r="T1063" s="91"/>
      <c r="U1063" s="91"/>
      <c r="V1063" s="91"/>
      <c r="W1063" s="91"/>
      <c r="X1063" s="91"/>
      <c r="Y1063" s="91"/>
      <c r="Z1063" s="88" t="s">
        <v>1396</v>
      </c>
    </row>
    <row r="1064" hidden="1">
      <c r="A1064" s="90" t="s">
        <v>2838</v>
      </c>
      <c r="B1064" s="90" t="s">
        <v>2871</v>
      </c>
      <c r="C1064" s="90" t="s">
        <v>2836</v>
      </c>
      <c r="D1064" s="90" t="s">
        <v>2872</v>
      </c>
      <c r="E1064" s="90" t="s">
        <v>1426</v>
      </c>
      <c r="F1064" s="87">
        <v>3.0</v>
      </c>
      <c r="G1064" s="87">
        <v>0.0</v>
      </c>
      <c r="H1064" s="87">
        <v>2091.0</v>
      </c>
      <c r="I1064" s="87">
        <v>0.0</v>
      </c>
      <c r="J1064" s="87">
        <v>18.61566</v>
      </c>
      <c r="K1064" s="87">
        <v>19.141</v>
      </c>
      <c r="L1064" s="87">
        <v>21.08864</v>
      </c>
      <c r="M1064" s="87">
        <v>10.00693</v>
      </c>
      <c r="N1064" s="87">
        <v>0.522801</v>
      </c>
      <c r="O1064" s="87">
        <v>0.0</v>
      </c>
      <c r="P1064" s="87">
        <v>0.0</v>
      </c>
      <c r="Q1064" s="87">
        <v>0.0</v>
      </c>
      <c r="R1064" s="87">
        <v>9.134076</v>
      </c>
      <c r="S1064" s="87">
        <v>10.00693</v>
      </c>
      <c r="T1064" s="87">
        <v>9.134076</v>
      </c>
      <c r="U1064" s="87">
        <v>9.134076</v>
      </c>
      <c r="V1064" s="87">
        <v>9.134076</v>
      </c>
      <c r="W1064" s="87">
        <v>10.00693</v>
      </c>
      <c r="X1064" s="87">
        <v>10.00693</v>
      </c>
      <c r="Y1064" s="87">
        <v>6.380334</v>
      </c>
      <c r="Z1064" s="88" t="s">
        <v>1396</v>
      </c>
    </row>
    <row r="1065" hidden="1">
      <c r="A1065" s="90" t="s">
        <v>2841</v>
      </c>
      <c r="B1065" s="90" t="s">
        <v>2873</v>
      </c>
      <c r="C1065" s="90" t="s">
        <v>2836</v>
      </c>
      <c r="D1065" s="90" t="s">
        <v>2872</v>
      </c>
      <c r="E1065" s="89">
        <v>46310.0</v>
      </c>
      <c r="F1065" s="87">
        <v>4.0</v>
      </c>
      <c r="G1065" s="87">
        <v>0.0</v>
      </c>
      <c r="H1065" s="87">
        <v>1532.0</v>
      </c>
      <c r="I1065" s="87">
        <v>0.0</v>
      </c>
      <c r="J1065" s="87">
        <v>17.13535</v>
      </c>
      <c r="K1065" s="87">
        <v>15.81713</v>
      </c>
      <c r="L1065" s="87">
        <v>11.85741</v>
      </c>
      <c r="M1065" s="87">
        <v>6.109719</v>
      </c>
      <c r="N1065" s="87">
        <v>0.386272</v>
      </c>
      <c r="O1065" s="87">
        <v>0.641328</v>
      </c>
      <c r="P1065" s="87">
        <v>0.641328</v>
      </c>
      <c r="Q1065" s="87">
        <v>3.496714</v>
      </c>
      <c r="R1065" s="87">
        <v>5.569369</v>
      </c>
      <c r="S1065" s="87">
        <v>5.569369</v>
      </c>
      <c r="T1065" s="87">
        <v>0.641328</v>
      </c>
      <c r="U1065" s="87">
        <v>0.641328</v>
      </c>
      <c r="V1065" s="87">
        <v>3.496714</v>
      </c>
      <c r="W1065" s="87">
        <v>5.569369</v>
      </c>
      <c r="X1065" s="87">
        <v>5.569369</v>
      </c>
      <c r="Y1065" s="87">
        <v>3.954282</v>
      </c>
      <c r="Z1065" s="88" t="s">
        <v>1396</v>
      </c>
    </row>
    <row r="1066" hidden="1">
      <c r="A1066" s="90" t="s">
        <v>2851</v>
      </c>
      <c r="B1066" s="90" t="s">
        <v>2874</v>
      </c>
      <c r="C1066" s="90" t="s">
        <v>2836</v>
      </c>
      <c r="D1066" s="90" t="s">
        <v>2872</v>
      </c>
      <c r="E1066" s="90" t="s">
        <v>1413</v>
      </c>
      <c r="F1066" s="87">
        <v>3.0</v>
      </c>
      <c r="G1066" s="87">
        <v>0.0</v>
      </c>
      <c r="H1066" s="87">
        <v>813.0</v>
      </c>
      <c r="I1066" s="87">
        <v>0.0</v>
      </c>
      <c r="J1066" s="87">
        <v>6.345571</v>
      </c>
      <c r="K1066" s="87">
        <v>5.325633</v>
      </c>
      <c r="L1066" s="87">
        <v>4.835123</v>
      </c>
      <c r="M1066" s="87">
        <v>4.990186</v>
      </c>
      <c r="N1066" s="87">
        <v>0.937013</v>
      </c>
      <c r="O1066" s="87">
        <v>0.335447</v>
      </c>
      <c r="P1066" s="87">
        <v>0.335447</v>
      </c>
      <c r="Q1066" s="87">
        <v>0.335447</v>
      </c>
      <c r="R1066" s="87">
        <v>4.990186</v>
      </c>
      <c r="S1066" s="87">
        <v>4.990186</v>
      </c>
      <c r="T1066" s="87">
        <v>0.335447</v>
      </c>
      <c r="U1066" s="87">
        <v>0.335447</v>
      </c>
      <c r="V1066" s="87">
        <v>0.335447</v>
      </c>
      <c r="W1066" s="87">
        <v>4.990186</v>
      </c>
      <c r="X1066" s="87">
        <v>4.990186</v>
      </c>
      <c r="Y1066" s="87">
        <v>2.662817</v>
      </c>
      <c r="Z1066" s="88" t="s">
        <v>1396</v>
      </c>
    </row>
    <row r="1067" hidden="1">
      <c r="A1067" s="90" t="s">
        <v>2843</v>
      </c>
      <c r="B1067" s="90" t="s">
        <v>2875</v>
      </c>
      <c r="C1067" s="90" t="s">
        <v>2836</v>
      </c>
      <c r="D1067" s="90" t="s">
        <v>2872</v>
      </c>
      <c r="E1067" s="90" t="s">
        <v>1398</v>
      </c>
      <c r="F1067" s="87">
        <v>3.0</v>
      </c>
      <c r="G1067" s="87">
        <v>0.0</v>
      </c>
      <c r="H1067" s="87">
        <v>1430.0</v>
      </c>
      <c r="I1067" s="87">
        <v>0.0</v>
      </c>
      <c r="J1067" s="87">
        <v>8.794222</v>
      </c>
      <c r="K1067" s="87">
        <v>9.482308</v>
      </c>
      <c r="L1067" s="87">
        <v>8.973788</v>
      </c>
      <c r="M1067" s="87">
        <v>6.026105</v>
      </c>
      <c r="N1067" s="87">
        <v>0.63551</v>
      </c>
      <c r="O1067" s="87">
        <v>1.238466</v>
      </c>
      <c r="P1067" s="87">
        <v>1.238466</v>
      </c>
      <c r="Q1067" s="87">
        <v>1.238466</v>
      </c>
      <c r="R1067" s="87">
        <v>2.217737</v>
      </c>
      <c r="S1067" s="87">
        <v>6.026105</v>
      </c>
      <c r="T1067" s="87">
        <v>1.238466</v>
      </c>
      <c r="U1067" s="87">
        <v>1.238466</v>
      </c>
      <c r="V1067" s="87">
        <v>1.238466</v>
      </c>
      <c r="W1067" s="87">
        <v>2.217737</v>
      </c>
      <c r="X1067" s="87">
        <v>6.026105</v>
      </c>
      <c r="Y1067" s="87">
        <v>3.160769</v>
      </c>
      <c r="Z1067" s="88" t="s">
        <v>1396</v>
      </c>
    </row>
    <row r="1068" hidden="1">
      <c r="A1068" s="90" t="s">
        <v>2834</v>
      </c>
      <c r="B1068" s="90" t="s">
        <v>2876</v>
      </c>
      <c r="C1068" s="90" t="s">
        <v>2836</v>
      </c>
      <c r="D1068" s="90" t="s">
        <v>2872</v>
      </c>
      <c r="E1068" s="90" t="s">
        <v>1400</v>
      </c>
      <c r="F1068" s="87">
        <v>11.0</v>
      </c>
      <c r="G1068" s="87">
        <v>0.0</v>
      </c>
      <c r="H1068" s="87">
        <v>2953.0</v>
      </c>
      <c r="I1068" s="87">
        <v>0.0</v>
      </c>
      <c r="J1068" s="87">
        <v>23.39892</v>
      </c>
      <c r="K1068" s="87">
        <v>20.24646</v>
      </c>
      <c r="L1068" s="87">
        <v>20.29769</v>
      </c>
      <c r="M1068" s="87">
        <v>10.05991</v>
      </c>
      <c r="N1068" s="87">
        <v>0.496873</v>
      </c>
      <c r="O1068" s="87">
        <v>0.0625</v>
      </c>
      <c r="P1068" s="87">
        <v>0.298925</v>
      </c>
      <c r="Q1068" s="87">
        <v>0.715489</v>
      </c>
      <c r="R1068" s="87">
        <v>1.825223</v>
      </c>
      <c r="S1068" s="87">
        <v>3.474157</v>
      </c>
      <c r="T1068" s="87">
        <v>0.0625</v>
      </c>
      <c r="U1068" s="87">
        <v>0.298925</v>
      </c>
      <c r="V1068" s="87">
        <v>0.715489</v>
      </c>
      <c r="W1068" s="87">
        <v>1.825223</v>
      </c>
      <c r="X1068" s="87">
        <v>3.474157</v>
      </c>
      <c r="Y1068" s="87">
        <v>2.024646</v>
      </c>
      <c r="Z1068" s="88" t="s">
        <v>1396</v>
      </c>
    </row>
    <row r="1069" hidden="1">
      <c r="A1069" s="90" t="s">
        <v>2855</v>
      </c>
      <c r="B1069" s="90" t="s">
        <v>2877</v>
      </c>
      <c r="C1069" s="90" t="s">
        <v>2836</v>
      </c>
      <c r="D1069" s="90" t="s">
        <v>2872</v>
      </c>
      <c r="E1069" s="89">
        <v>46300.0</v>
      </c>
      <c r="F1069" s="87">
        <v>8.0</v>
      </c>
      <c r="G1069" s="87">
        <v>0.0</v>
      </c>
      <c r="H1069" s="87">
        <v>4592.0</v>
      </c>
      <c r="I1069" s="87">
        <v>0.0</v>
      </c>
      <c r="J1069" s="87">
        <v>44.12903</v>
      </c>
      <c r="K1069" s="87">
        <v>45.8251</v>
      </c>
      <c r="L1069" s="87">
        <v>46.8235</v>
      </c>
      <c r="M1069" s="87">
        <v>22.4548</v>
      </c>
      <c r="N1069" s="87">
        <v>0.490011</v>
      </c>
      <c r="O1069" s="87">
        <v>2.041884</v>
      </c>
      <c r="P1069" s="87">
        <v>2.29262</v>
      </c>
      <c r="Q1069" s="87">
        <v>3.501824</v>
      </c>
      <c r="R1069" s="87">
        <v>4.752364</v>
      </c>
      <c r="S1069" s="87">
        <v>6.98651</v>
      </c>
      <c r="T1069" s="87">
        <v>2.041884</v>
      </c>
      <c r="U1069" s="87">
        <v>2.29262</v>
      </c>
      <c r="V1069" s="87">
        <v>3.501824</v>
      </c>
      <c r="W1069" s="87">
        <v>4.752364</v>
      </c>
      <c r="X1069" s="87">
        <v>6.98651</v>
      </c>
      <c r="Y1069" s="87">
        <v>5.728138</v>
      </c>
      <c r="Z1069" s="88" t="s">
        <v>1396</v>
      </c>
    </row>
    <row r="1070" hidden="1">
      <c r="A1070" s="90" t="s">
        <v>2846</v>
      </c>
      <c r="B1070" s="90" t="s">
        <v>2878</v>
      </c>
      <c r="C1070" s="90" t="s">
        <v>2836</v>
      </c>
      <c r="D1070" s="90" t="s">
        <v>2872</v>
      </c>
      <c r="E1070" s="90" t="s">
        <v>1403</v>
      </c>
      <c r="F1070" s="87">
        <v>7.0</v>
      </c>
      <c r="G1070" s="87">
        <v>7.0</v>
      </c>
      <c r="H1070" s="87">
        <v>354.0</v>
      </c>
      <c r="I1070" s="87">
        <v>354.0</v>
      </c>
      <c r="J1070" s="87">
        <v>0.0</v>
      </c>
      <c r="K1070" s="87">
        <v>0.0</v>
      </c>
      <c r="L1070" s="87">
        <v>0.0</v>
      </c>
      <c r="M1070" s="87">
        <v>0.0</v>
      </c>
      <c r="N1070" s="91"/>
      <c r="O1070" s="87">
        <v>0.0</v>
      </c>
      <c r="P1070" s="87">
        <v>0.0</v>
      </c>
      <c r="Q1070" s="87">
        <v>0.0</v>
      </c>
      <c r="R1070" s="87">
        <v>0.0</v>
      </c>
      <c r="S1070" s="87">
        <v>0.0</v>
      </c>
      <c r="T1070" s="91"/>
      <c r="U1070" s="91"/>
      <c r="V1070" s="91"/>
      <c r="W1070" s="91"/>
      <c r="X1070" s="91"/>
      <c r="Y1070" s="87">
        <v>0.0</v>
      </c>
      <c r="Z1070" s="88" t="s">
        <v>1396</v>
      </c>
    </row>
    <row r="1071" hidden="1">
      <c r="A1071" s="90" t="s">
        <v>2841</v>
      </c>
      <c r="B1071" s="90" t="s">
        <v>2879</v>
      </c>
      <c r="C1071" s="90" t="s">
        <v>2836</v>
      </c>
      <c r="D1071" s="90" t="s">
        <v>2880</v>
      </c>
      <c r="E1071" s="86">
        <v>46310.0</v>
      </c>
      <c r="F1071" s="87">
        <v>10.0</v>
      </c>
      <c r="G1071" s="87">
        <v>0.0</v>
      </c>
      <c r="H1071" s="87">
        <v>3196.0</v>
      </c>
      <c r="I1071" s="87">
        <v>0.0</v>
      </c>
      <c r="J1071" s="87">
        <v>19.74637</v>
      </c>
      <c r="K1071" s="87">
        <v>20.22405</v>
      </c>
      <c r="L1071" s="87">
        <v>21.26412</v>
      </c>
      <c r="M1071" s="87">
        <v>10.51899</v>
      </c>
      <c r="N1071" s="87">
        <v>0.520123</v>
      </c>
      <c r="O1071" s="87">
        <v>0.1</v>
      </c>
      <c r="P1071" s="87">
        <v>0.332258</v>
      </c>
      <c r="Q1071" s="87">
        <v>0.66129</v>
      </c>
      <c r="R1071" s="87">
        <v>1.894148</v>
      </c>
      <c r="S1071" s="87">
        <v>2.677494</v>
      </c>
      <c r="T1071" s="87">
        <v>0.1</v>
      </c>
      <c r="U1071" s="87">
        <v>0.332258</v>
      </c>
      <c r="V1071" s="87">
        <v>0.66129</v>
      </c>
      <c r="W1071" s="87">
        <v>1.894148</v>
      </c>
      <c r="X1071" s="87">
        <v>2.677494</v>
      </c>
      <c r="Y1071" s="87">
        <v>2.247117</v>
      </c>
      <c r="Z1071" s="88" t="s">
        <v>1396</v>
      </c>
    </row>
    <row r="1072" hidden="1">
      <c r="A1072" s="90" t="s">
        <v>2851</v>
      </c>
      <c r="B1072" s="90" t="s">
        <v>2881</v>
      </c>
      <c r="C1072" s="90" t="s">
        <v>2836</v>
      </c>
      <c r="D1072" s="90" t="s">
        <v>2880</v>
      </c>
      <c r="E1072" s="90" t="s">
        <v>1413</v>
      </c>
      <c r="F1072" s="87">
        <v>3.0</v>
      </c>
      <c r="G1072" s="87">
        <v>0.0</v>
      </c>
      <c r="H1072" s="87">
        <v>1696.0</v>
      </c>
      <c r="I1072" s="87">
        <v>0.0</v>
      </c>
      <c r="J1072" s="87">
        <v>11.49374</v>
      </c>
      <c r="K1072" s="87">
        <v>12.82581</v>
      </c>
      <c r="L1072" s="87">
        <v>13.45674</v>
      </c>
      <c r="M1072" s="87">
        <v>5.927734</v>
      </c>
      <c r="N1072" s="87">
        <v>0.462172</v>
      </c>
      <c r="O1072" s="87">
        <v>3.266418</v>
      </c>
      <c r="P1072" s="87">
        <v>3.266418</v>
      </c>
      <c r="Q1072" s="87">
        <v>3.266418</v>
      </c>
      <c r="R1072" s="87">
        <v>3.631654</v>
      </c>
      <c r="S1072" s="87">
        <v>5.927734</v>
      </c>
      <c r="T1072" s="87">
        <v>3.266418</v>
      </c>
      <c r="U1072" s="87">
        <v>3.266418</v>
      </c>
      <c r="V1072" s="87">
        <v>3.266418</v>
      </c>
      <c r="W1072" s="87">
        <v>3.631654</v>
      </c>
      <c r="X1072" s="87">
        <v>5.927734</v>
      </c>
      <c r="Y1072" s="87">
        <v>4.275269</v>
      </c>
      <c r="Z1072" s="88" t="s">
        <v>1396</v>
      </c>
    </row>
    <row r="1073" hidden="1">
      <c r="A1073" s="90" t="s">
        <v>2843</v>
      </c>
      <c r="B1073" s="90" t="s">
        <v>2882</v>
      </c>
      <c r="C1073" s="90" t="s">
        <v>2836</v>
      </c>
      <c r="D1073" s="90" t="s">
        <v>2880</v>
      </c>
      <c r="E1073" s="90" t="s">
        <v>1398</v>
      </c>
      <c r="F1073" s="87">
        <v>3.0</v>
      </c>
      <c r="G1073" s="87">
        <v>0.0</v>
      </c>
      <c r="H1073" s="87">
        <v>519.0</v>
      </c>
      <c r="I1073" s="87">
        <v>0.0</v>
      </c>
      <c r="J1073" s="87">
        <v>3.179487</v>
      </c>
      <c r="K1073" s="87">
        <v>3.024074</v>
      </c>
      <c r="L1073" s="87">
        <v>3.164491</v>
      </c>
      <c r="M1073" s="87">
        <v>1.598267</v>
      </c>
      <c r="N1073" s="87">
        <v>0.528514</v>
      </c>
      <c r="O1073" s="87">
        <v>1.425807</v>
      </c>
      <c r="P1073" s="87">
        <v>1.425807</v>
      </c>
      <c r="Q1073" s="87">
        <v>1.425807</v>
      </c>
      <c r="R1073" s="87">
        <v>1.598267</v>
      </c>
      <c r="S1073" s="87">
        <v>1.598267</v>
      </c>
      <c r="T1073" s="87">
        <v>1.425807</v>
      </c>
      <c r="U1073" s="87">
        <v>1.425807</v>
      </c>
      <c r="V1073" s="87">
        <v>1.425807</v>
      </c>
      <c r="W1073" s="87">
        <v>1.598267</v>
      </c>
      <c r="X1073" s="87">
        <v>1.598267</v>
      </c>
      <c r="Y1073" s="87">
        <v>1.512037</v>
      </c>
      <c r="Z1073" s="88" t="s">
        <v>1396</v>
      </c>
    </row>
    <row r="1074" hidden="1">
      <c r="A1074" s="90" t="s">
        <v>2834</v>
      </c>
      <c r="B1074" s="90" t="s">
        <v>2883</v>
      </c>
      <c r="C1074" s="90" t="s">
        <v>2836</v>
      </c>
      <c r="D1074" s="90" t="s">
        <v>2880</v>
      </c>
      <c r="E1074" s="90" t="s">
        <v>1400</v>
      </c>
      <c r="F1074" s="87">
        <v>2.0</v>
      </c>
      <c r="G1074" s="87">
        <v>0.0</v>
      </c>
      <c r="H1074" s="87">
        <v>522.0</v>
      </c>
      <c r="I1074" s="87">
        <v>0.0</v>
      </c>
      <c r="J1074" s="87">
        <v>1.878571</v>
      </c>
      <c r="K1074" s="87">
        <v>1.880108</v>
      </c>
      <c r="L1074" s="87">
        <v>1.935807</v>
      </c>
      <c r="M1074" s="87">
        <v>0.963441</v>
      </c>
      <c r="N1074" s="87">
        <v>0.512439</v>
      </c>
      <c r="O1074" s="87">
        <v>0.916667</v>
      </c>
      <c r="P1074" s="87">
        <v>0.916667</v>
      </c>
      <c r="Q1074" s="87">
        <v>0.916667</v>
      </c>
      <c r="R1074" s="87">
        <v>0.963441</v>
      </c>
      <c r="S1074" s="87">
        <v>0.963441</v>
      </c>
      <c r="T1074" s="87">
        <v>0.916667</v>
      </c>
      <c r="U1074" s="87">
        <v>0.916667</v>
      </c>
      <c r="V1074" s="87">
        <v>0.916667</v>
      </c>
      <c r="W1074" s="87">
        <v>0.963441</v>
      </c>
      <c r="X1074" s="87">
        <v>0.963441</v>
      </c>
      <c r="Y1074" s="87">
        <v>0.940054</v>
      </c>
      <c r="Z1074" s="88" t="s">
        <v>1396</v>
      </c>
    </row>
    <row r="1075" hidden="1">
      <c r="A1075" s="90" t="s">
        <v>2855</v>
      </c>
      <c r="B1075" s="90" t="s">
        <v>2884</v>
      </c>
      <c r="C1075" s="90" t="s">
        <v>2836</v>
      </c>
      <c r="D1075" s="90" t="s">
        <v>2880</v>
      </c>
      <c r="E1075" s="89">
        <v>46300.0</v>
      </c>
      <c r="F1075" s="87">
        <v>2.0</v>
      </c>
      <c r="G1075" s="87">
        <v>0.0</v>
      </c>
      <c r="H1075" s="87">
        <v>1486.0</v>
      </c>
      <c r="I1075" s="87">
        <v>0.0</v>
      </c>
      <c r="J1075" s="87">
        <v>15.62469</v>
      </c>
      <c r="K1075" s="87">
        <v>18.31921</v>
      </c>
      <c r="L1075" s="87">
        <v>19.74526</v>
      </c>
      <c r="M1075" s="87">
        <v>17.31921</v>
      </c>
      <c r="N1075" s="87">
        <v>0.945413</v>
      </c>
      <c r="O1075" s="87">
        <v>1.0</v>
      </c>
      <c r="P1075" s="87">
        <v>1.0</v>
      </c>
      <c r="Q1075" s="87">
        <v>1.0</v>
      </c>
      <c r="R1075" s="87">
        <v>17.31921</v>
      </c>
      <c r="S1075" s="87">
        <v>17.31921</v>
      </c>
      <c r="T1075" s="87">
        <v>1.0</v>
      </c>
      <c r="U1075" s="87">
        <v>1.0</v>
      </c>
      <c r="V1075" s="87">
        <v>1.0</v>
      </c>
      <c r="W1075" s="87">
        <v>17.31921</v>
      </c>
      <c r="X1075" s="87">
        <v>17.31921</v>
      </c>
      <c r="Y1075" s="87">
        <v>9.159607</v>
      </c>
      <c r="Z1075" s="88" t="s">
        <v>1396</v>
      </c>
    </row>
    <row r="1076" hidden="1">
      <c r="A1076" s="90" t="s">
        <v>2846</v>
      </c>
      <c r="B1076" s="90" t="s">
        <v>2885</v>
      </c>
      <c r="C1076" s="90" t="s">
        <v>2836</v>
      </c>
      <c r="D1076" s="90" t="s">
        <v>2880</v>
      </c>
      <c r="E1076" s="90" t="s">
        <v>1403</v>
      </c>
      <c r="F1076" s="87">
        <v>3.0</v>
      </c>
      <c r="G1076" s="87">
        <v>3.0</v>
      </c>
      <c r="H1076" s="87">
        <v>174.0</v>
      </c>
      <c r="I1076" s="87">
        <v>174.0</v>
      </c>
      <c r="J1076" s="87">
        <v>0.0</v>
      </c>
      <c r="K1076" s="87">
        <v>0.0</v>
      </c>
      <c r="L1076" s="87">
        <v>0.0</v>
      </c>
      <c r="M1076" s="87">
        <v>0.0</v>
      </c>
      <c r="N1076" s="91"/>
      <c r="O1076" s="87">
        <v>0.0</v>
      </c>
      <c r="P1076" s="87">
        <v>0.0</v>
      </c>
      <c r="Q1076" s="87">
        <v>0.0</v>
      </c>
      <c r="R1076" s="87">
        <v>0.0</v>
      </c>
      <c r="S1076" s="87">
        <v>0.0</v>
      </c>
      <c r="T1076" s="91"/>
      <c r="U1076" s="91"/>
      <c r="V1076" s="91"/>
      <c r="W1076" s="91"/>
      <c r="X1076" s="91"/>
      <c r="Y1076" s="87">
        <v>0.0</v>
      </c>
      <c r="Z1076" s="88" t="s">
        <v>1396</v>
      </c>
    </row>
    <row r="1077" hidden="1">
      <c r="A1077" s="90" t="s">
        <v>2886</v>
      </c>
      <c r="B1077" s="90" t="s">
        <v>2887</v>
      </c>
      <c r="C1077" s="90" t="s">
        <v>2888</v>
      </c>
      <c r="D1077" s="90" t="s">
        <v>2889</v>
      </c>
      <c r="E1077" s="90" t="s">
        <v>1400</v>
      </c>
      <c r="F1077" s="87">
        <v>1.0</v>
      </c>
      <c r="G1077" s="87">
        <v>1.0</v>
      </c>
      <c r="H1077" s="87">
        <v>3.0</v>
      </c>
      <c r="I1077" s="87">
        <v>3.0</v>
      </c>
      <c r="J1077" s="87">
        <v>0.0</v>
      </c>
      <c r="K1077" s="87">
        <v>0.0</v>
      </c>
      <c r="L1077" s="87">
        <v>0.0</v>
      </c>
      <c r="M1077" s="87">
        <v>0.0</v>
      </c>
      <c r="N1077" s="91"/>
      <c r="O1077" s="87">
        <v>0.0</v>
      </c>
      <c r="P1077" s="87">
        <v>0.0</v>
      </c>
      <c r="Q1077" s="87">
        <v>0.0</v>
      </c>
      <c r="R1077" s="87">
        <v>0.0</v>
      </c>
      <c r="S1077" s="87">
        <v>0.0</v>
      </c>
      <c r="T1077" s="91"/>
      <c r="U1077" s="91"/>
      <c r="V1077" s="91"/>
      <c r="W1077" s="91"/>
      <c r="X1077" s="91"/>
      <c r="Y1077" s="87">
        <v>0.0</v>
      </c>
      <c r="Z1077" s="88" t="s">
        <v>1396</v>
      </c>
    </row>
    <row r="1078" hidden="1">
      <c r="A1078" s="90" t="s">
        <v>2886</v>
      </c>
      <c r="B1078" s="90" t="s">
        <v>2892</v>
      </c>
      <c r="C1078" s="90" t="s">
        <v>2888</v>
      </c>
      <c r="D1078" s="90" t="s">
        <v>2893</v>
      </c>
      <c r="E1078" s="90" t="s">
        <v>1400</v>
      </c>
      <c r="F1078" s="87">
        <v>1.0</v>
      </c>
      <c r="G1078" s="87">
        <v>1.0</v>
      </c>
      <c r="H1078" s="87">
        <v>2.0</v>
      </c>
      <c r="I1078" s="87">
        <v>2.0</v>
      </c>
      <c r="J1078" s="87">
        <v>0.0</v>
      </c>
      <c r="K1078" s="87">
        <v>0.0</v>
      </c>
      <c r="L1078" s="87">
        <v>0.0</v>
      </c>
      <c r="M1078" s="87">
        <v>0.0</v>
      </c>
      <c r="N1078" s="91"/>
      <c r="O1078" s="91"/>
      <c r="P1078" s="91"/>
      <c r="Q1078" s="91"/>
      <c r="R1078" s="91"/>
      <c r="S1078" s="91"/>
      <c r="T1078" s="91"/>
      <c r="U1078" s="91"/>
      <c r="V1078" s="91"/>
      <c r="W1078" s="91"/>
      <c r="X1078" s="91"/>
      <c r="Y1078" s="91"/>
      <c r="Z1078" s="88" t="s">
        <v>1396</v>
      </c>
    </row>
    <row r="1079" hidden="1">
      <c r="A1079" s="90" t="s">
        <v>2900</v>
      </c>
      <c r="B1079" s="90" t="s">
        <v>2901</v>
      </c>
      <c r="C1079" s="90" t="s">
        <v>2902</v>
      </c>
      <c r="D1079" s="90" t="s">
        <v>2903</v>
      </c>
      <c r="E1079" s="90" t="s">
        <v>1403</v>
      </c>
      <c r="F1079" s="87">
        <v>0.0</v>
      </c>
      <c r="G1079" s="87">
        <v>0.0</v>
      </c>
      <c r="H1079" s="87">
        <v>0.0</v>
      </c>
      <c r="I1079" s="87">
        <v>0.0</v>
      </c>
      <c r="J1079" s="87">
        <v>0.0</v>
      </c>
      <c r="K1079" s="87">
        <v>0.0</v>
      </c>
      <c r="L1079" s="87">
        <v>0.0</v>
      </c>
      <c r="M1079" s="87">
        <v>0.0</v>
      </c>
      <c r="N1079" s="91"/>
      <c r="O1079" s="87">
        <v>0.0</v>
      </c>
      <c r="P1079" s="87">
        <v>0.0</v>
      </c>
      <c r="Q1079" s="87">
        <v>0.0</v>
      </c>
      <c r="R1079" s="87">
        <v>0.0</v>
      </c>
      <c r="S1079" s="87">
        <v>0.0</v>
      </c>
      <c r="T1079" s="91"/>
      <c r="U1079" s="91"/>
      <c r="V1079" s="91"/>
      <c r="W1079" s="91"/>
      <c r="X1079" s="91"/>
      <c r="Y1079" s="87">
        <v>0.0</v>
      </c>
      <c r="Z1079" s="88" t="s">
        <v>1396</v>
      </c>
    </row>
    <row r="1080" hidden="1">
      <c r="A1080" s="90" t="s">
        <v>2900</v>
      </c>
      <c r="B1080" s="90" t="s">
        <v>2904</v>
      </c>
      <c r="C1080" s="90" t="s">
        <v>2902</v>
      </c>
      <c r="D1080" s="90" t="s">
        <v>2905</v>
      </c>
      <c r="E1080" s="90" t="s">
        <v>1403</v>
      </c>
      <c r="F1080" s="87">
        <v>0.0</v>
      </c>
      <c r="G1080" s="87">
        <v>0.0</v>
      </c>
      <c r="H1080" s="87">
        <v>0.0</v>
      </c>
      <c r="I1080" s="87">
        <v>0.0</v>
      </c>
      <c r="J1080" s="87">
        <v>0.0</v>
      </c>
      <c r="K1080" s="87">
        <v>0.0</v>
      </c>
      <c r="L1080" s="87">
        <v>0.0</v>
      </c>
      <c r="M1080" s="87">
        <v>0.0</v>
      </c>
      <c r="N1080" s="91"/>
      <c r="O1080" s="87">
        <v>0.0</v>
      </c>
      <c r="P1080" s="87">
        <v>0.0</v>
      </c>
      <c r="Q1080" s="87">
        <v>0.0</v>
      </c>
      <c r="R1080" s="87">
        <v>0.0</v>
      </c>
      <c r="S1080" s="87">
        <v>0.0</v>
      </c>
      <c r="T1080" s="91"/>
      <c r="U1080" s="91"/>
      <c r="V1080" s="91"/>
      <c r="W1080" s="91"/>
      <c r="X1080" s="91"/>
      <c r="Y1080" s="87">
        <v>0.0</v>
      </c>
      <c r="Z1080" s="88" t="s">
        <v>1396</v>
      </c>
    </row>
    <row r="1081" hidden="1">
      <c r="A1081" s="90" t="s">
        <v>2900</v>
      </c>
      <c r="B1081" s="90" t="s">
        <v>2906</v>
      </c>
      <c r="C1081" s="90" t="s">
        <v>2902</v>
      </c>
      <c r="D1081" s="90" t="s">
        <v>2907</v>
      </c>
      <c r="E1081" s="90" t="s">
        <v>1403</v>
      </c>
      <c r="F1081" s="87">
        <v>0.0</v>
      </c>
      <c r="G1081" s="87">
        <v>0.0</v>
      </c>
      <c r="H1081" s="87">
        <v>0.0</v>
      </c>
      <c r="I1081" s="87">
        <v>0.0</v>
      </c>
      <c r="J1081" s="87">
        <v>0.0</v>
      </c>
      <c r="K1081" s="87">
        <v>0.0</v>
      </c>
      <c r="L1081" s="87">
        <v>0.0</v>
      </c>
      <c r="M1081" s="87">
        <v>0.0</v>
      </c>
      <c r="N1081" s="91"/>
      <c r="O1081" s="87">
        <v>0.0</v>
      </c>
      <c r="P1081" s="87">
        <v>0.0</v>
      </c>
      <c r="Q1081" s="87">
        <v>0.0</v>
      </c>
      <c r="R1081" s="87">
        <v>0.0</v>
      </c>
      <c r="S1081" s="87">
        <v>0.0</v>
      </c>
      <c r="T1081" s="91"/>
      <c r="U1081" s="91"/>
      <c r="V1081" s="91"/>
      <c r="W1081" s="91"/>
      <c r="X1081" s="91"/>
      <c r="Y1081" s="87">
        <v>0.0</v>
      </c>
      <c r="Z1081" s="88" t="s">
        <v>1396</v>
      </c>
    </row>
    <row r="1082" hidden="1">
      <c r="A1082" s="90" t="s">
        <v>2908</v>
      </c>
      <c r="B1082" s="90" t="s">
        <v>2912</v>
      </c>
      <c r="C1082" s="90" t="s">
        <v>2910</v>
      </c>
      <c r="D1082" s="90" t="s">
        <v>2913</v>
      </c>
      <c r="E1082" s="90" t="s">
        <v>1403</v>
      </c>
      <c r="F1082" s="87">
        <v>0.0</v>
      </c>
      <c r="G1082" s="87">
        <v>0.0</v>
      </c>
      <c r="H1082" s="87">
        <v>0.0</v>
      </c>
      <c r="I1082" s="87">
        <v>0.0</v>
      </c>
      <c r="J1082" s="87">
        <v>0.0</v>
      </c>
      <c r="K1082" s="87">
        <v>0.0</v>
      </c>
      <c r="L1082" s="87">
        <v>0.0</v>
      </c>
      <c r="M1082" s="87">
        <v>0.0</v>
      </c>
      <c r="N1082" s="91"/>
      <c r="O1082" s="87">
        <v>0.0</v>
      </c>
      <c r="P1082" s="87">
        <v>0.0</v>
      </c>
      <c r="Q1082" s="87">
        <v>0.0</v>
      </c>
      <c r="R1082" s="87">
        <v>0.0</v>
      </c>
      <c r="S1082" s="87">
        <v>0.0</v>
      </c>
      <c r="T1082" s="91"/>
      <c r="U1082" s="91"/>
      <c r="V1082" s="91"/>
      <c r="W1082" s="91"/>
      <c r="X1082" s="91"/>
      <c r="Y1082" s="87">
        <v>0.0</v>
      </c>
      <c r="Z1082" s="88" t="s">
        <v>1396</v>
      </c>
    </row>
    <row r="1083" hidden="1">
      <c r="A1083" s="90" t="s">
        <v>2914</v>
      </c>
      <c r="B1083" s="90" t="s">
        <v>2915</v>
      </c>
      <c r="C1083" s="90" t="s">
        <v>2910</v>
      </c>
      <c r="D1083" s="90" t="s">
        <v>2916</v>
      </c>
      <c r="E1083" s="90" t="s">
        <v>1426</v>
      </c>
      <c r="F1083" s="87">
        <v>2.0</v>
      </c>
      <c r="G1083" s="87">
        <v>0.0</v>
      </c>
      <c r="H1083" s="87">
        <v>1229.0</v>
      </c>
      <c r="I1083" s="87">
        <v>0.0</v>
      </c>
      <c r="J1083" s="87">
        <v>29.00423</v>
      </c>
      <c r="K1083" s="87">
        <v>20.06598</v>
      </c>
      <c r="L1083" s="87">
        <v>22.8914</v>
      </c>
      <c r="M1083" s="87">
        <v>11.57352</v>
      </c>
      <c r="N1083" s="87">
        <v>0.576773</v>
      </c>
      <c r="O1083" s="87">
        <v>8.492469</v>
      </c>
      <c r="P1083" s="87">
        <v>8.492469</v>
      </c>
      <c r="Q1083" s="87">
        <v>8.492469</v>
      </c>
      <c r="R1083" s="87">
        <v>11.57352</v>
      </c>
      <c r="S1083" s="87">
        <v>11.57352</v>
      </c>
      <c r="T1083" s="87">
        <v>8.492469</v>
      </c>
      <c r="U1083" s="87">
        <v>8.492469</v>
      </c>
      <c r="V1083" s="87">
        <v>8.492469</v>
      </c>
      <c r="W1083" s="87">
        <v>11.57352</v>
      </c>
      <c r="X1083" s="87">
        <v>11.57352</v>
      </c>
      <c r="Y1083" s="87">
        <v>10.03299</v>
      </c>
      <c r="Z1083" s="88" t="s">
        <v>1396</v>
      </c>
    </row>
    <row r="1084" hidden="1">
      <c r="A1084" s="90" t="s">
        <v>2917</v>
      </c>
      <c r="B1084" s="90" t="s">
        <v>2918</v>
      </c>
      <c r="C1084" s="90" t="s">
        <v>2910</v>
      </c>
      <c r="D1084" s="90" t="s">
        <v>2916</v>
      </c>
      <c r="E1084" s="86">
        <v>46310.0</v>
      </c>
      <c r="F1084" s="87">
        <v>1.0</v>
      </c>
      <c r="G1084" s="87">
        <v>0.0</v>
      </c>
      <c r="H1084" s="87">
        <v>2.0</v>
      </c>
      <c r="I1084" s="87">
        <v>0.0</v>
      </c>
      <c r="J1084" s="87">
        <v>6.902056</v>
      </c>
      <c r="K1084" s="87">
        <v>5.915922</v>
      </c>
      <c r="L1084" s="87">
        <v>6.420499</v>
      </c>
      <c r="M1084" s="87">
        <v>2.881629</v>
      </c>
      <c r="N1084" s="87">
        <v>0.487097</v>
      </c>
      <c r="O1084" s="87">
        <v>0.038462</v>
      </c>
      <c r="P1084" s="87">
        <v>0.076923</v>
      </c>
      <c r="Q1084" s="87">
        <v>0.12</v>
      </c>
      <c r="R1084" s="87">
        <v>0.981263</v>
      </c>
      <c r="S1084" s="87">
        <v>1.186474</v>
      </c>
      <c r="T1084" s="87">
        <v>0.038462</v>
      </c>
      <c r="U1084" s="87">
        <v>0.076923</v>
      </c>
      <c r="V1084" s="87">
        <v>0.12</v>
      </c>
      <c r="W1084" s="87">
        <v>0.981263</v>
      </c>
      <c r="X1084" s="87">
        <v>1.186474</v>
      </c>
      <c r="Y1084" s="87">
        <v>0.73949</v>
      </c>
      <c r="Z1084" s="88" t="s">
        <v>1396</v>
      </c>
    </row>
    <row r="1085" hidden="1">
      <c r="A1085" s="90" t="s">
        <v>2919</v>
      </c>
      <c r="B1085" s="90" t="s">
        <v>2920</v>
      </c>
      <c r="C1085" s="90" t="s">
        <v>2910</v>
      </c>
      <c r="D1085" s="90" t="s">
        <v>2916</v>
      </c>
      <c r="E1085" s="90" t="s">
        <v>1413</v>
      </c>
      <c r="F1085" s="87">
        <v>5.0</v>
      </c>
      <c r="G1085" s="87">
        <v>0.0</v>
      </c>
      <c r="H1085" s="87">
        <v>957.0</v>
      </c>
      <c r="I1085" s="87">
        <v>0.0</v>
      </c>
      <c r="J1085" s="87">
        <v>19.19437</v>
      </c>
      <c r="K1085" s="87">
        <v>20.0944</v>
      </c>
      <c r="L1085" s="87">
        <v>18.52965</v>
      </c>
      <c r="M1085" s="87">
        <v>7.787861</v>
      </c>
      <c r="N1085" s="87">
        <v>0.387564</v>
      </c>
      <c r="O1085" s="87">
        <v>0.615385</v>
      </c>
      <c r="P1085" s="87">
        <v>0.953359</v>
      </c>
      <c r="Q1085" s="87">
        <v>1.043744</v>
      </c>
      <c r="R1085" s="87">
        <v>1.525134</v>
      </c>
      <c r="S1085" s="87">
        <v>1.810812</v>
      </c>
      <c r="T1085" s="87">
        <v>0.615385</v>
      </c>
      <c r="U1085" s="87">
        <v>0.953359</v>
      </c>
      <c r="V1085" s="87">
        <v>1.043744</v>
      </c>
      <c r="W1085" s="87">
        <v>1.525134</v>
      </c>
      <c r="X1085" s="87">
        <v>1.810812</v>
      </c>
      <c r="Y1085" s="87">
        <v>1.545723</v>
      </c>
      <c r="Z1085" s="88" t="s">
        <v>1396</v>
      </c>
    </row>
    <row r="1086" hidden="1">
      <c r="A1086" s="90" t="s">
        <v>2921</v>
      </c>
      <c r="B1086" s="90" t="s">
        <v>2922</v>
      </c>
      <c r="C1086" s="90" t="s">
        <v>2910</v>
      </c>
      <c r="D1086" s="90" t="s">
        <v>2916</v>
      </c>
      <c r="E1086" s="90" t="s">
        <v>1398</v>
      </c>
      <c r="F1086" s="87">
        <v>2.0</v>
      </c>
      <c r="G1086" s="87">
        <v>0.0</v>
      </c>
      <c r="H1086" s="87">
        <v>3.0</v>
      </c>
      <c r="I1086" s="87">
        <v>0.0</v>
      </c>
      <c r="J1086" s="87">
        <v>9.373732</v>
      </c>
      <c r="K1086" s="87">
        <v>10.59375</v>
      </c>
      <c r="L1086" s="87">
        <v>9.456956</v>
      </c>
      <c r="M1086" s="87">
        <v>5.13737</v>
      </c>
      <c r="N1086" s="87">
        <v>0.484944</v>
      </c>
      <c r="O1086" s="87">
        <v>0.193846</v>
      </c>
      <c r="P1086" s="87">
        <v>0.447814</v>
      </c>
      <c r="Q1086" s="87">
        <v>0.988588</v>
      </c>
      <c r="R1086" s="87">
        <v>1.161238</v>
      </c>
      <c r="S1086" s="87">
        <v>1.518699</v>
      </c>
      <c r="T1086" s="87">
        <v>0.193846</v>
      </c>
      <c r="U1086" s="87">
        <v>0.447814</v>
      </c>
      <c r="V1086" s="87">
        <v>0.988588</v>
      </c>
      <c r="W1086" s="87">
        <v>1.161238</v>
      </c>
      <c r="X1086" s="87">
        <v>1.518699</v>
      </c>
      <c r="Y1086" s="87">
        <v>1.324218</v>
      </c>
      <c r="Z1086" s="88" t="s">
        <v>1396</v>
      </c>
    </row>
    <row r="1087" hidden="1">
      <c r="A1087" s="90" t="s">
        <v>2923</v>
      </c>
      <c r="B1087" s="90" t="s">
        <v>2924</v>
      </c>
      <c r="C1087" s="90" t="s">
        <v>2910</v>
      </c>
      <c r="D1087" s="90" t="s">
        <v>2916</v>
      </c>
      <c r="E1087" s="90" t="s">
        <v>1400</v>
      </c>
      <c r="F1087" s="87">
        <v>0.0</v>
      </c>
      <c r="G1087" s="87">
        <v>0.0</v>
      </c>
      <c r="H1087" s="87">
        <v>0.0</v>
      </c>
      <c r="I1087" s="87">
        <v>0.0</v>
      </c>
      <c r="J1087" s="87">
        <v>0.6</v>
      </c>
      <c r="K1087" s="87">
        <v>1.190055</v>
      </c>
      <c r="L1087" s="87">
        <v>1.187535</v>
      </c>
      <c r="M1087" s="87">
        <v>0.690055</v>
      </c>
      <c r="N1087" s="87">
        <v>0.579851</v>
      </c>
      <c r="O1087" s="87">
        <v>0.5</v>
      </c>
      <c r="P1087" s="87">
        <v>0.5</v>
      </c>
      <c r="Q1087" s="87">
        <v>0.5</v>
      </c>
      <c r="R1087" s="87">
        <v>0.690055</v>
      </c>
      <c r="S1087" s="87">
        <v>0.690055</v>
      </c>
      <c r="T1087" s="87">
        <v>0.5</v>
      </c>
      <c r="U1087" s="87">
        <v>0.5</v>
      </c>
      <c r="V1087" s="87">
        <v>0.5</v>
      </c>
      <c r="W1087" s="87">
        <v>0.690055</v>
      </c>
      <c r="X1087" s="87">
        <v>0.690055</v>
      </c>
      <c r="Y1087" s="87">
        <v>0.595027</v>
      </c>
      <c r="Z1087" s="88" t="s">
        <v>1396</v>
      </c>
    </row>
    <row r="1088" hidden="1">
      <c r="A1088" s="90" t="s">
        <v>2925</v>
      </c>
      <c r="B1088" s="90" t="s">
        <v>2926</v>
      </c>
      <c r="C1088" s="90" t="s">
        <v>2910</v>
      </c>
      <c r="D1088" s="90" t="s">
        <v>2916</v>
      </c>
      <c r="E1088" s="89">
        <v>46300.0</v>
      </c>
      <c r="F1088" s="87">
        <v>4.0</v>
      </c>
      <c r="G1088" s="87">
        <v>0.0</v>
      </c>
      <c r="H1088" s="87">
        <v>3411.0</v>
      </c>
      <c r="I1088" s="87">
        <v>0.0</v>
      </c>
      <c r="J1088" s="87">
        <v>16.33786</v>
      </c>
      <c r="K1088" s="87">
        <v>17.59911</v>
      </c>
      <c r="L1088" s="87">
        <v>21.50596</v>
      </c>
      <c r="M1088" s="87">
        <v>6.135948</v>
      </c>
      <c r="N1088" s="87">
        <v>0.348651</v>
      </c>
      <c r="O1088" s="87">
        <v>0.038462</v>
      </c>
      <c r="P1088" s="87">
        <v>2.89318</v>
      </c>
      <c r="Q1088" s="87">
        <v>2.89318</v>
      </c>
      <c r="R1088" s="87">
        <v>3.684153</v>
      </c>
      <c r="S1088" s="87">
        <v>4.84737</v>
      </c>
      <c r="T1088" s="87">
        <v>0.038462</v>
      </c>
      <c r="U1088" s="87">
        <v>2.89318</v>
      </c>
      <c r="V1088" s="87">
        <v>2.89318</v>
      </c>
      <c r="W1088" s="87">
        <v>3.684153</v>
      </c>
      <c r="X1088" s="87">
        <v>4.84737</v>
      </c>
      <c r="Y1088" s="87">
        <v>3.519823</v>
      </c>
      <c r="Z1088" s="88" t="s">
        <v>1396</v>
      </c>
    </row>
    <row r="1089" hidden="1">
      <c r="A1089" s="90" t="s">
        <v>2908</v>
      </c>
      <c r="B1089" s="90" t="s">
        <v>2927</v>
      </c>
      <c r="C1089" s="90" t="s">
        <v>2910</v>
      </c>
      <c r="D1089" s="90" t="s">
        <v>2916</v>
      </c>
      <c r="E1089" s="90" t="s">
        <v>1403</v>
      </c>
      <c r="F1089" s="87">
        <v>1.0</v>
      </c>
      <c r="G1089" s="87">
        <v>1.0</v>
      </c>
      <c r="H1089" s="87">
        <v>41.0</v>
      </c>
      <c r="I1089" s="87">
        <v>41.0</v>
      </c>
      <c r="J1089" s="87">
        <v>0.0</v>
      </c>
      <c r="K1089" s="87">
        <v>0.0</v>
      </c>
      <c r="L1089" s="87">
        <v>0.0</v>
      </c>
      <c r="M1089" s="87">
        <v>0.0</v>
      </c>
      <c r="N1089" s="91"/>
      <c r="O1089" s="87">
        <v>0.0</v>
      </c>
      <c r="P1089" s="87">
        <v>0.0</v>
      </c>
      <c r="Q1089" s="87">
        <v>0.0</v>
      </c>
      <c r="R1089" s="87">
        <v>0.0</v>
      </c>
      <c r="S1089" s="87">
        <v>0.0</v>
      </c>
      <c r="T1089" s="91"/>
      <c r="U1089" s="91"/>
      <c r="V1089" s="91"/>
      <c r="W1089" s="91"/>
      <c r="X1089" s="91"/>
      <c r="Y1089" s="87">
        <v>0.0</v>
      </c>
      <c r="Z1089" s="88" t="s">
        <v>1396</v>
      </c>
    </row>
    <row r="1090" hidden="1">
      <c r="A1090" s="90" t="s">
        <v>2919</v>
      </c>
      <c r="B1090" s="90" t="s">
        <v>3379</v>
      </c>
      <c r="C1090" s="90" t="s">
        <v>2910</v>
      </c>
      <c r="D1090" s="90" t="s">
        <v>2929</v>
      </c>
      <c r="E1090" s="90" t="s">
        <v>1413</v>
      </c>
      <c r="F1090" s="87">
        <v>1.0</v>
      </c>
      <c r="G1090" s="87">
        <v>1.0</v>
      </c>
      <c r="H1090" s="87">
        <v>8.0</v>
      </c>
      <c r="I1090" s="87">
        <v>8.0</v>
      </c>
      <c r="J1090" s="87">
        <v>0.0</v>
      </c>
      <c r="K1090" s="87">
        <v>0.0</v>
      </c>
      <c r="L1090" s="87">
        <v>0.0</v>
      </c>
      <c r="M1090" s="87">
        <v>0.0</v>
      </c>
      <c r="N1090" s="91"/>
      <c r="O1090" s="91"/>
      <c r="P1090" s="91"/>
      <c r="Q1090" s="91"/>
      <c r="R1090" s="91"/>
      <c r="S1090" s="91"/>
      <c r="T1090" s="91"/>
      <c r="U1090" s="91"/>
      <c r="V1090" s="91"/>
      <c r="W1090" s="91"/>
      <c r="X1090" s="91"/>
      <c r="Y1090" s="91"/>
      <c r="Z1090" s="88" t="s">
        <v>1396</v>
      </c>
    </row>
    <row r="1091" hidden="1">
      <c r="A1091" s="90" t="s">
        <v>2908</v>
      </c>
      <c r="B1091" s="90" t="s">
        <v>2928</v>
      </c>
      <c r="C1091" s="90" t="s">
        <v>2910</v>
      </c>
      <c r="D1091" s="90" t="s">
        <v>2929</v>
      </c>
      <c r="E1091" s="90" t="s">
        <v>1403</v>
      </c>
      <c r="F1091" s="87">
        <v>0.0</v>
      </c>
      <c r="G1091" s="87">
        <v>0.0</v>
      </c>
      <c r="H1091" s="87">
        <v>0.0</v>
      </c>
      <c r="I1091" s="87">
        <v>0.0</v>
      </c>
      <c r="J1091" s="87">
        <v>0.0</v>
      </c>
      <c r="K1091" s="87">
        <v>0.0</v>
      </c>
      <c r="L1091" s="87">
        <v>0.0</v>
      </c>
      <c r="M1091" s="87">
        <v>0.0</v>
      </c>
      <c r="N1091" s="91"/>
      <c r="O1091" s="87">
        <v>0.0</v>
      </c>
      <c r="P1091" s="87">
        <v>0.0</v>
      </c>
      <c r="Q1091" s="87">
        <v>0.0</v>
      </c>
      <c r="R1091" s="87">
        <v>0.0</v>
      </c>
      <c r="S1091" s="87">
        <v>0.0</v>
      </c>
      <c r="T1091" s="91"/>
      <c r="U1091" s="91"/>
      <c r="V1091" s="91"/>
      <c r="W1091" s="91"/>
      <c r="X1091" s="91"/>
      <c r="Y1091" s="87">
        <v>0.0</v>
      </c>
      <c r="Z1091" s="88" t="s">
        <v>1396</v>
      </c>
    </row>
    <row r="1092" hidden="1">
      <c r="A1092" s="90" t="s">
        <v>2908</v>
      </c>
      <c r="B1092" s="90" t="s">
        <v>3380</v>
      </c>
      <c r="C1092" s="90" t="s">
        <v>2910</v>
      </c>
      <c r="D1092" s="90" t="s">
        <v>3381</v>
      </c>
      <c r="E1092" s="90" t="s">
        <v>1403</v>
      </c>
      <c r="F1092" s="87">
        <v>1.0</v>
      </c>
      <c r="G1092" s="87">
        <v>1.0</v>
      </c>
      <c r="H1092" s="87">
        <v>98.0</v>
      </c>
      <c r="I1092" s="87">
        <v>98.0</v>
      </c>
      <c r="J1092" s="87">
        <v>0.0</v>
      </c>
      <c r="K1092" s="87">
        <v>0.0</v>
      </c>
      <c r="L1092" s="87">
        <v>0.0</v>
      </c>
      <c r="M1092" s="87">
        <v>0.0</v>
      </c>
      <c r="N1092" s="91"/>
      <c r="O1092" s="91"/>
      <c r="P1092" s="91"/>
      <c r="Q1092" s="91"/>
      <c r="R1092" s="91"/>
      <c r="S1092" s="91"/>
      <c r="T1092" s="91"/>
      <c r="U1092" s="91"/>
      <c r="V1092" s="91"/>
      <c r="W1092" s="91"/>
      <c r="X1092" s="91"/>
      <c r="Y1092" s="91"/>
      <c r="Z1092" s="88" t="s">
        <v>1396</v>
      </c>
    </row>
    <row r="1093" hidden="1">
      <c r="A1093" s="90" t="s">
        <v>2919</v>
      </c>
      <c r="B1093" s="90" t="s">
        <v>2930</v>
      </c>
      <c r="C1093" s="90" t="s">
        <v>2910</v>
      </c>
      <c r="D1093" s="90" t="s">
        <v>2931</v>
      </c>
      <c r="E1093" s="90" t="s">
        <v>1413</v>
      </c>
      <c r="F1093" s="87">
        <v>0.0</v>
      </c>
      <c r="G1093" s="87">
        <v>0.0</v>
      </c>
      <c r="H1093" s="87">
        <v>0.0</v>
      </c>
      <c r="I1093" s="87">
        <v>0.0</v>
      </c>
      <c r="J1093" s="87">
        <v>3.239394</v>
      </c>
      <c r="K1093" s="87">
        <v>3.173452</v>
      </c>
      <c r="L1093" s="87">
        <v>3.348772</v>
      </c>
      <c r="M1093" s="87">
        <v>1.658324</v>
      </c>
      <c r="N1093" s="87">
        <v>0.522561</v>
      </c>
      <c r="O1093" s="87">
        <v>1.515128</v>
      </c>
      <c r="P1093" s="87">
        <v>1.515128</v>
      </c>
      <c r="Q1093" s="87">
        <v>1.515128</v>
      </c>
      <c r="R1093" s="87">
        <v>1.658324</v>
      </c>
      <c r="S1093" s="87">
        <v>1.658324</v>
      </c>
      <c r="T1093" s="87">
        <v>1.515128</v>
      </c>
      <c r="U1093" s="87">
        <v>1.515128</v>
      </c>
      <c r="V1093" s="87">
        <v>1.515128</v>
      </c>
      <c r="W1093" s="87">
        <v>1.658324</v>
      </c>
      <c r="X1093" s="87">
        <v>1.658324</v>
      </c>
      <c r="Y1093" s="87">
        <v>1.586726</v>
      </c>
      <c r="Z1093" s="88" t="s">
        <v>1396</v>
      </c>
    </row>
    <row r="1094" hidden="1">
      <c r="A1094" s="90" t="s">
        <v>2921</v>
      </c>
      <c r="B1094" s="90" t="s">
        <v>2932</v>
      </c>
      <c r="C1094" s="90" t="s">
        <v>2910</v>
      </c>
      <c r="D1094" s="90" t="s">
        <v>2931</v>
      </c>
      <c r="E1094" s="90" t="s">
        <v>1398</v>
      </c>
      <c r="F1094" s="87">
        <v>1.0</v>
      </c>
      <c r="G1094" s="87">
        <v>0.0</v>
      </c>
      <c r="H1094" s="87">
        <v>2.0</v>
      </c>
      <c r="I1094" s="87">
        <v>0.0</v>
      </c>
      <c r="J1094" s="87">
        <v>1.181818</v>
      </c>
      <c r="K1094" s="87">
        <v>0.969231</v>
      </c>
      <c r="L1094" s="87">
        <v>1.077925</v>
      </c>
      <c r="M1094" s="87">
        <v>0.581538</v>
      </c>
      <c r="N1094" s="87">
        <v>0.6</v>
      </c>
      <c r="O1094" s="87">
        <v>0.387692</v>
      </c>
      <c r="P1094" s="87">
        <v>0.387692</v>
      </c>
      <c r="Q1094" s="87">
        <v>0.387692</v>
      </c>
      <c r="R1094" s="87">
        <v>0.581538</v>
      </c>
      <c r="S1094" s="87">
        <v>0.581538</v>
      </c>
      <c r="T1094" s="87">
        <v>0.387692</v>
      </c>
      <c r="U1094" s="87">
        <v>0.387692</v>
      </c>
      <c r="V1094" s="87">
        <v>0.387692</v>
      </c>
      <c r="W1094" s="87">
        <v>0.581538</v>
      </c>
      <c r="X1094" s="87">
        <v>0.581538</v>
      </c>
      <c r="Y1094" s="87">
        <v>0.484615</v>
      </c>
      <c r="Z1094" s="88" t="s">
        <v>1396</v>
      </c>
    </row>
    <row r="1095" hidden="1">
      <c r="A1095" s="90" t="s">
        <v>2925</v>
      </c>
      <c r="B1095" s="90" t="s">
        <v>2933</v>
      </c>
      <c r="C1095" s="90" t="s">
        <v>2910</v>
      </c>
      <c r="D1095" s="90" t="s">
        <v>2931</v>
      </c>
      <c r="E1095" s="89">
        <v>46300.0</v>
      </c>
      <c r="F1095" s="87">
        <v>1.0</v>
      </c>
      <c r="G1095" s="87">
        <v>0.0</v>
      </c>
      <c r="H1095" s="87">
        <v>233.0</v>
      </c>
      <c r="I1095" s="87">
        <v>0.0</v>
      </c>
      <c r="J1095" s="87">
        <v>123.0676</v>
      </c>
      <c r="K1095" s="87">
        <v>128.7264</v>
      </c>
      <c r="L1095" s="87">
        <v>128.5285</v>
      </c>
      <c r="M1095" s="87">
        <v>128.7264</v>
      </c>
      <c r="N1095" s="87">
        <v>1.0</v>
      </c>
      <c r="O1095" s="87">
        <v>128.7264</v>
      </c>
      <c r="P1095" s="87">
        <v>128.7264</v>
      </c>
      <c r="Q1095" s="87">
        <v>128.7264</v>
      </c>
      <c r="R1095" s="87">
        <v>128.7264</v>
      </c>
      <c r="S1095" s="87">
        <v>128.7264</v>
      </c>
      <c r="T1095" s="87">
        <v>128.7264</v>
      </c>
      <c r="U1095" s="87">
        <v>128.7264</v>
      </c>
      <c r="V1095" s="87">
        <v>128.7264</v>
      </c>
      <c r="W1095" s="87">
        <v>128.7264</v>
      </c>
      <c r="X1095" s="87">
        <v>128.7264</v>
      </c>
      <c r="Y1095" s="87">
        <v>128.7264</v>
      </c>
      <c r="Z1095" s="88" t="s">
        <v>1396</v>
      </c>
    </row>
    <row r="1096" hidden="1">
      <c r="A1096" s="90" t="s">
        <v>2908</v>
      </c>
      <c r="B1096" s="90" t="s">
        <v>2934</v>
      </c>
      <c r="C1096" s="90" t="s">
        <v>2910</v>
      </c>
      <c r="D1096" s="90" t="s">
        <v>2931</v>
      </c>
      <c r="E1096" s="90" t="s">
        <v>1403</v>
      </c>
      <c r="F1096" s="87">
        <v>0.0</v>
      </c>
      <c r="G1096" s="87">
        <v>0.0</v>
      </c>
      <c r="H1096" s="87">
        <v>0.0</v>
      </c>
      <c r="I1096" s="87">
        <v>0.0</v>
      </c>
      <c r="J1096" s="87">
        <v>0.0</v>
      </c>
      <c r="K1096" s="87">
        <v>0.0</v>
      </c>
      <c r="L1096" s="87">
        <v>0.0</v>
      </c>
      <c r="M1096" s="87">
        <v>0.0</v>
      </c>
      <c r="N1096" s="91"/>
      <c r="O1096" s="87">
        <v>0.0</v>
      </c>
      <c r="P1096" s="87">
        <v>0.0</v>
      </c>
      <c r="Q1096" s="87">
        <v>0.0</v>
      </c>
      <c r="R1096" s="87">
        <v>0.0</v>
      </c>
      <c r="S1096" s="87">
        <v>0.0</v>
      </c>
      <c r="T1096" s="91"/>
      <c r="U1096" s="91"/>
      <c r="V1096" s="91"/>
      <c r="W1096" s="91"/>
      <c r="X1096" s="91"/>
      <c r="Y1096" s="87">
        <v>0.0</v>
      </c>
      <c r="Z1096" s="88" t="s">
        <v>1396</v>
      </c>
    </row>
    <row r="1097" hidden="1">
      <c r="A1097" s="90" t="s">
        <v>2935</v>
      </c>
      <c r="B1097" s="90" t="s">
        <v>2936</v>
      </c>
      <c r="C1097" s="90" t="s">
        <v>616</v>
      </c>
      <c r="D1097" s="90" t="s">
        <v>622</v>
      </c>
      <c r="E1097" s="90" t="s">
        <v>1426</v>
      </c>
      <c r="F1097" s="87">
        <v>16.0</v>
      </c>
      <c r="G1097" s="87">
        <v>1.0</v>
      </c>
      <c r="H1097" s="87">
        <v>25175.0</v>
      </c>
      <c r="I1097" s="87">
        <v>207.0</v>
      </c>
      <c r="J1097" s="87">
        <v>297.4208</v>
      </c>
      <c r="K1097" s="87">
        <v>286.6559</v>
      </c>
      <c r="L1097" s="87">
        <v>279.0566</v>
      </c>
      <c r="M1097" s="87">
        <v>198.0105</v>
      </c>
      <c r="N1097" s="87">
        <v>0.69076</v>
      </c>
      <c r="O1097" s="87">
        <v>0.0</v>
      </c>
      <c r="P1097" s="87">
        <v>0.0</v>
      </c>
      <c r="Q1097" s="87">
        <v>0.0</v>
      </c>
      <c r="R1097" s="87">
        <v>4.081923</v>
      </c>
      <c r="S1097" s="87">
        <v>13.67064</v>
      </c>
      <c r="T1097" s="87">
        <v>4.081923</v>
      </c>
      <c r="U1097" s="87">
        <v>6.490607</v>
      </c>
      <c r="V1097" s="87">
        <v>7.956969</v>
      </c>
      <c r="W1097" s="87">
        <v>16.5203</v>
      </c>
      <c r="X1097" s="87">
        <v>18.83188</v>
      </c>
      <c r="Y1097" s="87">
        <v>10.61688</v>
      </c>
      <c r="Z1097" s="88" t="s">
        <v>1396</v>
      </c>
    </row>
    <row r="1098" hidden="1">
      <c r="A1098" s="90" t="s">
        <v>2937</v>
      </c>
      <c r="B1098" s="90" t="s">
        <v>2938</v>
      </c>
      <c r="C1098" s="90" t="s">
        <v>616</v>
      </c>
      <c r="D1098" s="90" t="s">
        <v>622</v>
      </c>
      <c r="E1098" s="86">
        <v>46310.0</v>
      </c>
      <c r="F1098" s="87">
        <v>23.0</v>
      </c>
      <c r="G1098" s="87">
        <v>2.0</v>
      </c>
      <c r="H1098" s="87">
        <v>10161.0</v>
      </c>
      <c r="I1098" s="87">
        <v>44.0</v>
      </c>
      <c r="J1098" s="87">
        <v>69.33167</v>
      </c>
      <c r="K1098" s="87">
        <v>67.95369</v>
      </c>
      <c r="L1098" s="87">
        <v>78.50566</v>
      </c>
      <c r="M1098" s="87">
        <v>37.35917</v>
      </c>
      <c r="N1098" s="87">
        <v>0.549774</v>
      </c>
      <c r="O1098" s="87">
        <v>0.0</v>
      </c>
      <c r="P1098" s="87">
        <v>0.133333</v>
      </c>
      <c r="Q1098" s="87">
        <v>0.833333</v>
      </c>
      <c r="R1098" s="87">
        <v>3.720578</v>
      </c>
      <c r="S1098" s="87">
        <v>7.981726</v>
      </c>
      <c r="T1098" s="87">
        <v>0.833333</v>
      </c>
      <c r="U1098" s="87">
        <v>2.849452</v>
      </c>
      <c r="V1098" s="87">
        <v>3.320727</v>
      </c>
      <c r="W1098" s="87">
        <v>4.150108</v>
      </c>
      <c r="X1098" s="87">
        <v>7.981726</v>
      </c>
      <c r="Y1098" s="87">
        <v>5.227207</v>
      </c>
      <c r="Z1098" s="88" t="s">
        <v>1396</v>
      </c>
    </row>
    <row r="1099" hidden="1">
      <c r="A1099" s="90" t="s">
        <v>2939</v>
      </c>
      <c r="B1099" s="90" t="s">
        <v>2940</v>
      </c>
      <c r="C1099" s="90" t="s">
        <v>616</v>
      </c>
      <c r="D1099" s="90" t="s">
        <v>622</v>
      </c>
      <c r="E1099" s="90" t="s">
        <v>1413</v>
      </c>
      <c r="F1099" s="87">
        <v>9.0</v>
      </c>
      <c r="G1099" s="87">
        <v>0.0</v>
      </c>
      <c r="H1099" s="87">
        <v>6013.0</v>
      </c>
      <c r="I1099" s="87">
        <v>0.0</v>
      </c>
      <c r="J1099" s="87">
        <v>46.23717</v>
      </c>
      <c r="K1099" s="87">
        <v>47.20997</v>
      </c>
      <c r="L1099" s="87">
        <v>48.34625</v>
      </c>
      <c r="M1099" s="87">
        <v>31.06848</v>
      </c>
      <c r="N1099" s="87">
        <v>0.658092</v>
      </c>
      <c r="O1099" s="87">
        <v>0.863441</v>
      </c>
      <c r="P1099" s="87">
        <v>0.875759</v>
      </c>
      <c r="Q1099" s="87">
        <v>1.749699</v>
      </c>
      <c r="R1099" s="87">
        <v>3.576528</v>
      </c>
      <c r="S1099" s="87">
        <v>6.034515</v>
      </c>
      <c r="T1099" s="87">
        <v>0.863441</v>
      </c>
      <c r="U1099" s="87">
        <v>0.875759</v>
      </c>
      <c r="V1099" s="87">
        <v>1.749699</v>
      </c>
      <c r="W1099" s="87">
        <v>3.576528</v>
      </c>
      <c r="X1099" s="87">
        <v>6.034515</v>
      </c>
      <c r="Y1099" s="87">
        <v>5.901246</v>
      </c>
      <c r="Z1099" s="88" t="s">
        <v>1396</v>
      </c>
    </row>
    <row r="1100" hidden="1">
      <c r="A1100" s="90" t="s">
        <v>2941</v>
      </c>
      <c r="B1100" s="90" t="s">
        <v>2942</v>
      </c>
      <c r="C1100" s="90" t="s">
        <v>616</v>
      </c>
      <c r="D1100" s="90" t="s">
        <v>622</v>
      </c>
      <c r="E1100" s="90" t="s">
        <v>1398</v>
      </c>
      <c r="F1100" s="87">
        <v>3.0</v>
      </c>
      <c r="G1100" s="87">
        <v>0.0</v>
      </c>
      <c r="H1100" s="87">
        <v>2040.0</v>
      </c>
      <c r="I1100" s="87">
        <v>0.0</v>
      </c>
      <c r="J1100" s="87">
        <v>15.2063</v>
      </c>
      <c r="K1100" s="87">
        <v>14.93353</v>
      </c>
      <c r="L1100" s="87">
        <v>18.54268</v>
      </c>
      <c r="M1100" s="87">
        <v>13.6002</v>
      </c>
      <c r="N1100" s="87">
        <v>0.910715</v>
      </c>
      <c r="O1100" s="87">
        <v>1.333333</v>
      </c>
      <c r="P1100" s="87">
        <v>1.333333</v>
      </c>
      <c r="Q1100" s="87">
        <v>1.333333</v>
      </c>
      <c r="R1100" s="87">
        <v>13.6002</v>
      </c>
      <c r="S1100" s="87">
        <v>13.6002</v>
      </c>
      <c r="T1100" s="87">
        <v>1.333333</v>
      </c>
      <c r="U1100" s="87">
        <v>1.333333</v>
      </c>
      <c r="V1100" s="87">
        <v>1.333333</v>
      </c>
      <c r="W1100" s="87">
        <v>13.6002</v>
      </c>
      <c r="X1100" s="87">
        <v>13.6002</v>
      </c>
      <c r="Y1100" s="87">
        <v>7.466764</v>
      </c>
      <c r="Z1100" s="88" t="s">
        <v>1396</v>
      </c>
    </row>
    <row r="1101" hidden="1">
      <c r="A1101" s="90" t="s">
        <v>2943</v>
      </c>
      <c r="B1101" s="90" t="s">
        <v>2944</v>
      </c>
      <c r="C1101" s="90" t="s">
        <v>616</v>
      </c>
      <c r="D1101" s="90" t="s">
        <v>622</v>
      </c>
      <c r="E1101" s="90" t="s">
        <v>1400</v>
      </c>
      <c r="F1101" s="87">
        <v>12.0</v>
      </c>
      <c r="G1101" s="87">
        <v>1.0</v>
      </c>
      <c r="H1101" s="87">
        <v>3315.0</v>
      </c>
      <c r="I1101" s="87">
        <v>5.0</v>
      </c>
      <c r="J1101" s="87">
        <v>22.49731</v>
      </c>
      <c r="K1101" s="87">
        <v>22.57877</v>
      </c>
      <c r="L1101" s="87">
        <v>21.52194</v>
      </c>
      <c r="M1101" s="87">
        <v>12.36585</v>
      </c>
      <c r="N1101" s="87">
        <v>0.547676</v>
      </c>
      <c r="O1101" s="87">
        <v>0.3</v>
      </c>
      <c r="P1101" s="87">
        <v>0.43859</v>
      </c>
      <c r="Q1101" s="87">
        <v>1.06129</v>
      </c>
      <c r="R1101" s="87">
        <v>2.808381</v>
      </c>
      <c r="S1101" s="87">
        <v>5.604664</v>
      </c>
      <c r="T1101" s="87">
        <v>0.3</v>
      </c>
      <c r="U1101" s="87">
        <v>0.43859</v>
      </c>
      <c r="V1101" s="87">
        <v>1.06129</v>
      </c>
      <c r="W1101" s="87">
        <v>2.808381</v>
      </c>
      <c r="X1101" s="87">
        <v>5.604664</v>
      </c>
      <c r="Y1101" s="87">
        <v>3.225539</v>
      </c>
      <c r="Z1101" s="88" t="s">
        <v>1396</v>
      </c>
    </row>
    <row r="1102" hidden="1">
      <c r="A1102" s="90" t="s">
        <v>2945</v>
      </c>
      <c r="B1102" s="90" t="s">
        <v>2946</v>
      </c>
      <c r="C1102" s="90" t="s">
        <v>616</v>
      </c>
      <c r="D1102" s="90" t="s">
        <v>622</v>
      </c>
      <c r="E1102" s="89">
        <v>46300.0</v>
      </c>
      <c r="F1102" s="87">
        <v>40.0</v>
      </c>
      <c r="G1102" s="87">
        <v>1.0</v>
      </c>
      <c r="H1102" s="87">
        <v>29553.0</v>
      </c>
      <c r="I1102" s="87">
        <v>182.0</v>
      </c>
      <c r="J1102" s="87">
        <v>349.1902</v>
      </c>
      <c r="K1102" s="87">
        <v>332.3155</v>
      </c>
      <c r="L1102" s="87">
        <v>341.7219</v>
      </c>
      <c r="M1102" s="87">
        <v>188.3215</v>
      </c>
      <c r="N1102" s="87">
        <v>0.566695</v>
      </c>
      <c r="O1102" s="87">
        <v>0.037037</v>
      </c>
      <c r="P1102" s="87">
        <v>1.422421</v>
      </c>
      <c r="Q1102" s="87">
        <v>2.566667</v>
      </c>
      <c r="R1102" s="87">
        <v>6.882688</v>
      </c>
      <c r="S1102" s="87">
        <v>11.7895</v>
      </c>
      <c r="T1102" s="87">
        <v>1.422421</v>
      </c>
      <c r="U1102" s="87">
        <v>2.340676</v>
      </c>
      <c r="V1102" s="87">
        <v>2.926882</v>
      </c>
      <c r="W1102" s="87">
        <v>6.97152</v>
      </c>
      <c r="X1102" s="87">
        <v>13.76826</v>
      </c>
      <c r="Y1102" s="87">
        <v>9.773985</v>
      </c>
      <c r="Z1102" s="88" t="s">
        <v>1396</v>
      </c>
    </row>
    <row r="1103" hidden="1">
      <c r="A1103" s="90" t="s">
        <v>2947</v>
      </c>
      <c r="B1103" s="90" t="s">
        <v>2948</v>
      </c>
      <c r="C1103" s="90" t="s">
        <v>616</v>
      </c>
      <c r="D1103" s="90" t="s">
        <v>622</v>
      </c>
      <c r="E1103" s="90" t="s">
        <v>1403</v>
      </c>
      <c r="F1103" s="87">
        <v>11.0</v>
      </c>
      <c r="G1103" s="87">
        <v>11.0</v>
      </c>
      <c r="H1103" s="87">
        <v>359.0</v>
      </c>
      <c r="I1103" s="87">
        <v>359.0</v>
      </c>
      <c r="J1103" s="87">
        <v>0.0</v>
      </c>
      <c r="K1103" s="87">
        <v>0.0</v>
      </c>
      <c r="L1103" s="87">
        <v>0.0</v>
      </c>
      <c r="M1103" s="87">
        <v>0.0</v>
      </c>
      <c r="N1103" s="91"/>
      <c r="O1103" s="87">
        <v>0.0</v>
      </c>
      <c r="P1103" s="87">
        <v>0.0</v>
      </c>
      <c r="Q1103" s="87">
        <v>0.0</v>
      </c>
      <c r="R1103" s="87">
        <v>0.0</v>
      </c>
      <c r="S1103" s="87">
        <v>0.0</v>
      </c>
      <c r="T1103" s="91"/>
      <c r="U1103" s="91"/>
      <c r="V1103" s="91"/>
      <c r="W1103" s="91"/>
      <c r="X1103" s="91"/>
      <c r="Y1103" s="87">
        <v>0.0</v>
      </c>
      <c r="Z1103" s="88" t="s">
        <v>1396</v>
      </c>
    </row>
    <row r="1104" hidden="1">
      <c r="A1104" s="90" t="s">
        <v>2935</v>
      </c>
      <c r="B1104" s="90" t="s">
        <v>2949</v>
      </c>
      <c r="C1104" s="90" t="s">
        <v>616</v>
      </c>
      <c r="D1104" s="90" t="s">
        <v>2950</v>
      </c>
      <c r="E1104" s="90" t="s">
        <v>1426</v>
      </c>
      <c r="F1104" s="87">
        <v>22.0</v>
      </c>
      <c r="G1104" s="87">
        <v>1.0</v>
      </c>
      <c r="H1104" s="87">
        <v>24433.0</v>
      </c>
      <c r="I1104" s="87">
        <v>4.0</v>
      </c>
      <c r="J1104" s="87">
        <v>308.3627</v>
      </c>
      <c r="K1104" s="87">
        <v>325.6087</v>
      </c>
      <c r="L1104" s="87">
        <v>322.5771</v>
      </c>
      <c r="M1104" s="87">
        <v>246.6833</v>
      </c>
      <c r="N1104" s="87">
        <v>0.757607</v>
      </c>
      <c r="O1104" s="87">
        <v>0.0</v>
      </c>
      <c r="P1104" s="87">
        <v>0.0</v>
      </c>
      <c r="Q1104" s="87">
        <v>0.0</v>
      </c>
      <c r="R1104" s="87">
        <v>1.0</v>
      </c>
      <c r="S1104" s="87">
        <v>21.38137</v>
      </c>
      <c r="T1104" s="87">
        <v>0.802299</v>
      </c>
      <c r="U1104" s="87">
        <v>1.0</v>
      </c>
      <c r="V1104" s="87">
        <v>5.673931</v>
      </c>
      <c r="W1104" s="87">
        <v>21.38137</v>
      </c>
      <c r="X1104" s="87">
        <v>28.40708</v>
      </c>
      <c r="Y1104" s="87">
        <v>14.1569</v>
      </c>
      <c r="Z1104" s="88" t="s">
        <v>1396</v>
      </c>
    </row>
    <row r="1105" hidden="1">
      <c r="A1105" s="90" t="s">
        <v>2937</v>
      </c>
      <c r="B1105" s="90" t="s">
        <v>2951</v>
      </c>
      <c r="C1105" s="90" t="s">
        <v>616</v>
      </c>
      <c r="D1105" s="90" t="s">
        <v>2950</v>
      </c>
      <c r="E1105" s="86">
        <v>46310.0</v>
      </c>
      <c r="F1105" s="87">
        <v>32.0</v>
      </c>
      <c r="G1105" s="87">
        <v>4.0</v>
      </c>
      <c r="H1105" s="87">
        <v>15606.0</v>
      </c>
      <c r="I1105" s="87">
        <v>89.0</v>
      </c>
      <c r="J1105" s="87">
        <v>212.0474</v>
      </c>
      <c r="K1105" s="87">
        <v>201.8165</v>
      </c>
      <c r="L1105" s="87">
        <v>202.5011</v>
      </c>
      <c r="M1105" s="87">
        <v>111.7383</v>
      </c>
      <c r="N1105" s="87">
        <v>0.553663</v>
      </c>
      <c r="O1105" s="87">
        <v>1.875608</v>
      </c>
      <c r="P1105" s="87">
        <v>3.241331</v>
      </c>
      <c r="Q1105" s="87">
        <v>7.531755</v>
      </c>
      <c r="R1105" s="87">
        <v>10.45253</v>
      </c>
      <c r="S1105" s="87">
        <v>12.11248</v>
      </c>
      <c r="T1105" s="87">
        <v>1.875608</v>
      </c>
      <c r="U1105" s="87">
        <v>3.241331</v>
      </c>
      <c r="V1105" s="87">
        <v>7.531755</v>
      </c>
      <c r="W1105" s="87">
        <v>10.45253</v>
      </c>
      <c r="X1105" s="87">
        <v>12.11248</v>
      </c>
      <c r="Y1105" s="87">
        <v>14.41546</v>
      </c>
      <c r="Z1105" s="88" t="s">
        <v>1396</v>
      </c>
    </row>
    <row r="1106" hidden="1">
      <c r="A1106" s="90" t="s">
        <v>2939</v>
      </c>
      <c r="B1106" s="90" t="s">
        <v>2952</v>
      </c>
      <c r="C1106" s="90" t="s">
        <v>616</v>
      </c>
      <c r="D1106" s="90" t="s">
        <v>2950</v>
      </c>
      <c r="E1106" s="90" t="s">
        <v>1413</v>
      </c>
      <c r="F1106" s="87">
        <v>18.0</v>
      </c>
      <c r="G1106" s="87">
        <v>2.0</v>
      </c>
      <c r="H1106" s="87">
        <v>3368.0</v>
      </c>
      <c r="I1106" s="87">
        <v>8.0</v>
      </c>
      <c r="J1106" s="87">
        <v>32.63189</v>
      </c>
      <c r="K1106" s="87">
        <v>36.7201</v>
      </c>
      <c r="L1106" s="87">
        <v>36.52667</v>
      </c>
      <c r="M1106" s="87">
        <v>21.76538</v>
      </c>
      <c r="N1106" s="87">
        <v>0.592737</v>
      </c>
      <c r="O1106" s="87">
        <v>0.0</v>
      </c>
      <c r="P1106" s="87">
        <v>0.30303</v>
      </c>
      <c r="Q1106" s="87">
        <v>3.230622</v>
      </c>
      <c r="R1106" s="87">
        <v>4.420295</v>
      </c>
      <c r="S1106" s="87">
        <v>7.000777</v>
      </c>
      <c r="T1106" s="87">
        <v>0.30303</v>
      </c>
      <c r="U1106" s="87">
        <v>3.230622</v>
      </c>
      <c r="V1106" s="87">
        <v>3.230622</v>
      </c>
      <c r="W1106" s="87">
        <v>7.000777</v>
      </c>
      <c r="X1106" s="87">
        <v>7.458849</v>
      </c>
      <c r="Y1106" s="87">
        <v>5.245729</v>
      </c>
      <c r="Z1106" s="88" t="s">
        <v>1396</v>
      </c>
    </row>
    <row r="1107" hidden="1">
      <c r="A1107" s="90" t="s">
        <v>2941</v>
      </c>
      <c r="B1107" s="90" t="s">
        <v>2953</v>
      </c>
      <c r="C1107" s="90" t="s">
        <v>616</v>
      </c>
      <c r="D1107" s="90" t="s">
        <v>2950</v>
      </c>
      <c r="E1107" s="90" t="s">
        <v>1398</v>
      </c>
      <c r="F1107" s="87">
        <v>10.0</v>
      </c>
      <c r="G1107" s="87">
        <v>1.0</v>
      </c>
      <c r="H1107" s="87">
        <v>1211.0</v>
      </c>
      <c r="I1107" s="87">
        <v>3.0</v>
      </c>
      <c r="J1107" s="87">
        <v>6.166001</v>
      </c>
      <c r="K1107" s="87">
        <v>6.586794</v>
      </c>
      <c r="L1107" s="87">
        <v>8.851173</v>
      </c>
      <c r="M1107" s="87">
        <v>6.386794</v>
      </c>
      <c r="N1107" s="87">
        <v>0.969636</v>
      </c>
      <c r="O1107" s="87">
        <v>0.0</v>
      </c>
      <c r="P1107" s="87">
        <v>0.0</v>
      </c>
      <c r="Q1107" s="87">
        <v>0.0</v>
      </c>
      <c r="R1107" s="87">
        <v>0.0</v>
      </c>
      <c r="S1107" s="87">
        <v>0.2</v>
      </c>
      <c r="T1107" s="87">
        <v>0.2</v>
      </c>
      <c r="U1107" s="87">
        <v>0.2</v>
      </c>
      <c r="V1107" s="87">
        <v>0.2</v>
      </c>
      <c r="W1107" s="87">
        <v>6.386794</v>
      </c>
      <c r="X1107" s="87">
        <v>6.386794</v>
      </c>
      <c r="Y1107" s="87">
        <v>1.317359</v>
      </c>
      <c r="Z1107" s="88" t="s">
        <v>1396</v>
      </c>
    </row>
    <row r="1108" hidden="1">
      <c r="A1108" s="90" t="s">
        <v>2943</v>
      </c>
      <c r="B1108" s="90" t="s">
        <v>2954</v>
      </c>
      <c r="C1108" s="90" t="s">
        <v>616</v>
      </c>
      <c r="D1108" s="90" t="s">
        <v>2950</v>
      </c>
      <c r="E1108" s="90" t="s">
        <v>1400</v>
      </c>
      <c r="F1108" s="87">
        <v>9.0</v>
      </c>
      <c r="G1108" s="87">
        <v>0.0</v>
      </c>
      <c r="H1108" s="87">
        <v>3150.0</v>
      </c>
      <c r="I1108" s="87">
        <v>0.0</v>
      </c>
      <c r="J1108" s="87">
        <v>28.52793</v>
      </c>
      <c r="K1108" s="87">
        <v>28.59501</v>
      </c>
      <c r="L1108" s="87">
        <v>27.70216</v>
      </c>
      <c r="M1108" s="87">
        <v>19.60331</v>
      </c>
      <c r="N1108" s="87">
        <v>0.68555</v>
      </c>
      <c r="O1108" s="87">
        <v>0.112536</v>
      </c>
      <c r="P1108" s="87">
        <v>0.465435</v>
      </c>
      <c r="Q1108" s="87">
        <v>1.032143</v>
      </c>
      <c r="R1108" s="87">
        <v>1.970791</v>
      </c>
      <c r="S1108" s="87">
        <v>5.41079</v>
      </c>
      <c r="T1108" s="87">
        <v>0.112536</v>
      </c>
      <c r="U1108" s="87">
        <v>0.465435</v>
      </c>
      <c r="V1108" s="87">
        <v>1.032143</v>
      </c>
      <c r="W1108" s="87">
        <v>1.970791</v>
      </c>
      <c r="X1108" s="87">
        <v>5.41079</v>
      </c>
      <c r="Y1108" s="87">
        <v>4.085001</v>
      </c>
      <c r="Z1108" s="88" t="s">
        <v>1396</v>
      </c>
    </row>
    <row r="1109" hidden="1">
      <c r="A1109" s="90" t="s">
        <v>2945</v>
      </c>
      <c r="B1109" s="90" t="s">
        <v>2955</v>
      </c>
      <c r="C1109" s="90" t="s">
        <v>616</v>
      </c>
      <c r="D1109" s="90" t="s">
        <v>2950</v>
      </c>
      <c r="E1109" s="89">
        <v>46300.0</v>
      </c>
      <c r="F1109" s="87">
        <v>16.0</v>
      </c>
      <c r="G1109" s="87">
        <v>2.0</v>
      </c>
      <c r="H1109" s="87">
        <v>8277.0</v>
      </c>
      <c r="I1109" s="87">
        <v>21.0</v>
      </c>
      <c r="J1109" s="87">
        <v>88.96528</v>
      </c>
      <c r="K1109" s="87">
        <v>89.37542</v>
      </c>
      <c r="L1109" s="87">
        <v>93.25589</v>
      </c>
      <c r="M1109" s="87">
        <v>89.17542</v>
      </c>
      <c r="N1109" s="87">
        <v>0.997762</v>
      </c>
      <c r="O1109" s="87">
        <v>0.0</v>
      </c>
      <c r="P1109" s="87">
        <v>0.0</v>
      </c>
      <c r="Q1109" s="87">
        <v>0.0</v>
      </c>
      <c r="R1109" s="87">
        <v>0.0</v>
      </c>
      <c r="S1109" s="87">
        <v>0.2</v>
      </c>
      <c r="T1109" s="87">
        <v>0.2</v>
      </c>
      <c r="U1109" s="87">
        <v>0.2</v>
      </c>
      <c r="V1109" s="87">
        <v>0.2</v>
      </c>
      <c r="W1109" s="87">
        <v>21.7647</v>
      </c>
      <c r="X1109" s="87">
        <v>67.41071</v>
      </c>
      <c r="Y1109" s="87">
        <v>11.17193</v>
      </c>
      <c r="Z1109" s="88" t="s">
        <v>1396</v>
      </c>
    </row>
    <row r="1110" hidden="1">
      <c r="A1110" s="90" t="s">
        <v>2947</v>
      </c>
      <c r="B1110" s="90" t="s">
        <v>2956</v>
      </c>
      <c r="C1110" s="90" t="s">
        <v>616</v>
      </c>
      <c r="D1110" s="90" t="s">
        <v>2950</v>
      </c>
      <c r="E1110" s="90" t="s">
        <v>1403</v>
      </c>
      <c r="F1110" s="87">
        <v>3.0</v>
      </c>
      <c r="G1110" s="87">
        <v>3.0</v>
      </c>
      <c r="H1110" s="87">
        <v>187.0</v>
      </c>
      <c r="I1110" s="87">
        <v>187.0</v>
      </c>
      <c r="J1110" s="87">
        <v>0.0</v>
      </c>
      <c r="K1110" s="87">
        <v>0.0</v>
      </c>
      <c r="L1110" s="87">
        <v>0.0</v>
      </c>
      <c r="M1110" s="87">
        <v>0.0</v>
      </c>
      <c r="N1110" s="91"/>
      <c r="O1110" s="87">
        <v>0.0</v>
      </c>
      <c r="P1110" s="87">
        <v>0.0</v>
      </c>
      <c r="Q1110" s="87">
        <v>0.0</v>
      </c>
      <c r="R1110" s="87">
        <v>0.0</v>
      </c>
      <c r="S1110" s="87">
        <v>0.0</v>
      </c>
      <c r="T1110" s="91"/>
      <c r="U1110" s="91"/>
      <c r="V1110" s="91"/>
      <c r="W1110" s="91"/>
      <c r="X1110" s="91"/>
      <c r="Y1110" s="87">
        <v>0.0</v>
      </c>
      <c r="Z1110" s="88" t="s">
        <v>1396</v>
      </c>
    </row>
    <row r="1111" hidden="1">
      <c r="A1111" s="90" t="s">
        <v>2935</v>
      </c>
      <c r="B1111" s="90" t="s">
        <v>2957</v>
      </c>
      <c r="C1111" s="90" t="s">
        <v>616</v>
      </c>
      <c r="D1111" s="90" t="s">
        <v>2958</v>
      </c>
      <c r="E1111" s="90" t="s">
        <v>1426</v>
      </c>
      <c r="F1111" s="87">
        <v>38.0</v>
      </c>
      <c r="G1111" s="87">
        <v>6.0</v>
      </c>
      <c r="H1111" s="87">
        <v>25815.0</v>
      </c>
      <c r="I1111" s="87">
        <v>33.0</v>
      </c>
      <c r="J1111" s="87">
        <v>204.3846</v>
      </c>
      <c r="K1111" s="87">
        <v>212.5892</v>
      </c>
      <c r="L1111" s="87">
        <v>222.6975</v>
      </c>
      <c r="M1111" s="87">
        <v>136.6241</v>
      </c>
      <c r="N1111" s="87">
        <v>0.642667</v>
      </c>
      <c r="O1111" s="87">
        <v>0.0</v>
      </c>
      <c r="P1111" s="87">
        <v>0.0</v>
      </c>
      <c r="Q1111" s="87">
        <v>0.0</v>
      </c>
      <c r="R1111" s="87">
        <v>3.589487</v>
      </c>
      <c r="S1111" s="87">
        <v>6.870936</v>
      </c>
      <c r="T1111" s="87">
        <v>1.164516</v>
      </c>
      <c r="U1111" s="87">
        <v>2.771635</v>
      </c>
      <c r="V1111" s="87">
        <v>3.589487</v>
      </c>
      <c r="W1111" s="87">
        <v>6.404847</v>
      </c>
      <c r="X1111" s="87">
        <v>9.071536</v>
      </c>
      <c r="Y1111" s="87">
        <v>5.594452</v>
      </c>
      <c r="Z1111" s="88" t="s">
        <v>1396</v>
      </c>
    </row>
    <row r="1112" hidden="1">
      <c r="A1112" s="90" t="s">
        <v>2937</v>
      </c>
      <c r="B1112" s="90" t="s">
        <v>2959</v>
      </c>
      <c r="C1112" s="90" t="s">
        <v>616</v>
      </c>
      <c r="D1112" s="90" t="s">
        <v>2958</v>
      </c>
      <c r="E1112" s="86">
        <v>46310.0</v>
      </c>
      <c r="F1112" s="87">
        <v>36.0</v>
      </c>
      <c r="G1112" s="87">
        <v>2.0</v>
      </c>
      <c r="H1112" s="87">
        <v>20931.0</v>
      </c>
      <c r="I1112" s="87">
        <v>29.0</v>
      </c>
      <c r="J1112" s="87">
        <v>156.6009</v>
      </c>
      <c r="K1112" s="87">
        <v>159.9897</v>
      </c>
      <c r="L1112" s="87">
        <v>175.7186</v>
      </c>
      <c r="M1112" s="87">
        <v>82.72608</v>
      </c>
      <c r="N1112" s="87">
        <v>0.517071</v>
      </c>
      <c r="O1112" s="87">
        <v>0.333333</v>
      </c>
      <c r="P1112" s="87">
        <v>0.497849</v>
      </c>
      <c r="Q1112" s="87">
        <v>0.875363</v>
      </c>
      <c r="R1112" s="87">
        <v>3.651359</v>
      </c>
      <c r="S1112" s="87">
        <v>12.05103</v>
      </c>
      <c r="T1112" s="87">
        <v>0.333333</v>
      </c>
      <c r="U1112" s="87">
        <v>0.497849</v>
      </c>
      <c r="V1112" s="87">
        <v>0.875363</v>
      </c>
      <c r="W1112" s="87">
        <v>3.651359</v>
      </c>
      <c r="X1112" s="87">
        <v>12.05103</v>
      </c>
      <c r="Y1112" s="87">
        <v>6.399589</v>
      </c>
      <c r="Z1112" s="88" t="s">
        <v>1396</v>
      </c>
    </row>
    <row r="1113" hidden="1">
      <c r="A1113" s="90" t="s">
        <v>2939</v>
      </c>
      <c r="B1113" s="90" t="s">
        <v>2960</v>
      </c>
      <c r="C1113" s="90" t="s">
        <v>616</v>
      </c>
      <c r="D1113" s="90" t="s">
        <v>2958</v>
      </c>
      <c r="E1113" s="90" t="s">
        <v>1413</v>
      </c>
      <c r="F1113" s="87">
        <v>15.0</v>
      </c>
      <c r="G1113" s="87">
        <v>1.0</v>
      </c>
      <c r="H1113" s="87">
        <v>8840.0</v>
      </c>
      <c r="I1113" s="87">
        <v>2.0</v>
      </c>
      <c r="J1113" s="87">
        <v>58.27537</v>
      </c>
      <c r="K1113" s="87">
        <v>64.47534</v>
      </c>
      <c r="L1113" s="87">
        <v>76.63638</v>
      </c>
      <c r="M1113" s="87">
        <v>36.30474</v>
      </c>
      <c r="N1113" s="87">
        <v>0.563079</v>
      </c>
      <c r="O1113" s="87">
        <v>0.196774</v>
      </c>
      <c r="P1113" s="87">
        <v>0.3</v>
      </c>
      <c r="Q1113" s="87">
        <v>0.565591</v>
      </c>
      <c r="R1113" s="87">
        <v>3.306997</v>
      </c>
      <c r="S1113" s="87">
        <v>14.51581</v>
      </c>
      <c r="T1113" s="87">
        <v>0.196774</v>
      </c>
      <c r="U1113" s="87">
        <v>0.3</v>
      </c>
      <c r="V1113" s="87">
        <v>0.565591</v>
      </c>
      <c r="W1113" s="87">
        <v>3.306997</v>
      </c>
      <c r="X1113" s="87">
        <v>14.51581</v>
      </c>
      <c r="Y1113" s="87">
        <v>6.447534</v>
      </c>
      <c r="Z1113" s="88" t="s">
        <v>1396</v>
      </c>
    </row>
    <row r="1114" hidden="1">
      <c r="A1114" s="90" t="s">
        <v>2941</v>
      </c>
      <c r="B1114" s="90" t="s">
        <v>2961</v>
      </c>
      <c r="C1114" s="90" t="s">
        <v>616</v>
      </c>
      <c r="D1114" s="90" t="s">
        <v>2958</v>
      </c>
      <c r="E1114" s="90" t="s">
        <v>1398</v>
      </c>
      <c r="F1114" s="87">
        <v>10.0</v>
      </c>
      <c r="G1114" s="87">
        <v>2.0</v>
      </c>
      <c r="H1114" s="87">
        <v>4580.0</v>
      </c>
      <c r="I1114" s="87">
        <v>16.0</v>
      </c>
      <c r="J1114" s="87">
        <v>30.92967</v>
      </c>
      <c r="K1114" s="87">
        <v>29.69377</v>
      </c>
      <c r="L1114" s="87">
        <v>36.29587</v>
      </c>
      <c r="M1114" s="87">
        <v>14.41519</v>
      </c>
      <c r="N1114" s="87">
        <v>0.485462</v>
      </c>
      <c r="O1114" s="87">
        <v>1.404746</v>
      </c>
      <c r="P1114" s="87">
        <v>3.832193</v>
      </c>
      <c r="Q1114" s="87">
        <v>3.832193</v>
      </c>
      <c r="R1114" s="87">
        <v>4.096203</v>
      </c>
      <c r="S1114" s="87">
        <v>5.945439</v>
      </c>
      <c r="T1114" s="87">
        <v>1.404746</v>
      </c>
      <c r="U1114" s="87">
        <v>3.832193</v>
      </c>
      <c r="V1114" s="87">
        <v>3.832193</v>
      </c>
      <c r="W1114" s="87">
        <v>4.096203</v>
      </c>
      <c r="X1114" s="87">
        <v>5.945439</v>
      </c>
      <c r="Y1114" s="87">
        <v>5.938753</v>
      </c>
      <c r="Z1114" s="88" t="s">
        <v>1396</v>
      </c>
    </row>
    <row r="1115" hidden="1">
      <c r="A1115" s="90" t="s">
        <v>2943</v>
      </c>
      <c r="B1115" s="90" t="s">
        <v>2962</v>
      </c>
      <c r="C1115" s="90" t="s">
        <v>616</v>
      </c>
      <c r="D1115" s="90" t="s">
        <v>2958</v>
      </c>
      <c r="E1115" s="90" t="s">
        <v>1400</v>
      </c>
      <c r="F1115" s="87">
        <v>18.0</v>
      </c>
      <c r="G1115" s="87">
        <v>3.0</v>
      </c>
      <c r="H1115" s="87">
        <v>5107.0</v>
      </c>
      <c r="I1115" s="87">
        <v>231.0</v>
      </c>
      <c r="J1115" s="87">
        <v>31.27007</v>
      </c>
      <c r="K1115" s="87">
        <v>28.71807</v>
      </c>
      <c r="L1115" s="87">
        <v>27.44783</v>
      </c>
      <c r="M1115" s="87">
        <v>15.54597</v>
      </c>
      <c r="N1115" s="87">
        <v>0.541331</v>
      </c>
      <c r="O1115" s="87">
        <v>0.065591</v>
      </c>
      <c r="P1115" s="87">
        <v>0.165591</v>
      </c>
      <c r="Q1115" s="87">
        <v>1.140304</v>
      </c>
      <c r="R1115" s="87">
        <v>2.437188</v>
      </c>
      <c r="S1115" s="87">
        <v>4.218589</v>
      </c>
      <c r="T1115" s="87">
        <v>0.065591</v>
      </c>
      <c r="U1115" s="87">
        <v>0.165591</v>
      </c>
      <c r="V1115" s="87">
        <v>1.140304</v>
      </c>
      <c r="W1115" s="87">
        <v>2.437188</v>
      </c>
      <c r="X1115" s="87">
        <v>4.218589</v>
      </c>
      <c r="Y1115" s="87">
        <v>2.871807</v>
      </c>
      <c r="Z1115" s="88" t="s">
        <v>1396</v>
      </c>
    </row>
    <row r="1116" hidden="1">
      <c r="A1116" s="90" t="s">
        <v>2945</v>
      </c>
      <c r="B1116" s="90" t="s">
        <v>2963</v>
      </c>
      <c r="C1116" s="90" t="s">
        <v>616</v>
      </c>
      <c r="D1116" s="90" t="s">
        <v>2958</v>
      </c>
      <c r="E1116" s="89">
        <v>46300.0</v>
      </c>
      <c r="F1116" s="87">
        <v>72.0</v>
      </c>
      <c r="G1116" s="87">
        <v>1.0</v>
      </c>
      <c r="H1116" s="87">
        <v>48580.0</v>
      </c>
      <c r="I1116" s="87">
        <v>30.0</v>
      </c>
      <c r="J1116" s="87">
        <v>306.8949</v>
      </c>
      <c r="K1116" s="87">
        <v>307.1279</v>
      </c>
      <c r="L1116" s="87">
        <v>306.975</v>
      </c>
      <c r="M1116" s="87">
        <v>188.7596</v>
      </c>
      <c r="N1116" s="87">
        <v>0.614596</v>
      </c>
      <c r="O1116" s="87">
        <v>0.4</v>
      </c>
      <c r="P1116" s="87">
        <v>0.717353</v>
      </c>
      <c r="Q1116" s="87">
        <v>1.163889</v>
      </c>
      <c r="R1116" s="87">
        <v>2.465499</v>
      </c>
      <c r="S1116" s="87">
        <v>4.842456</v>
      </c>
      <c r="T1116" s="87">
        <v>0.498925</v>
      </c>
      <c r="U1116" s="87">
        <v>0.836213</v>
      </c>
      <c r="V1116" s="87">
        <v>1.244631</v>
      </c>
      <c r="W1116" s="87">
        <v>2.615853</v>
      </c>
      <c r="X1116" s="87">
        <v>4.97739</v>
      </c>
      <c r="Y1116" s="87">
        <v>4.725044</v>
      </c>
      <c r="Z1116" s="88" t="s">
        <v>1396</v>
      </c>
    </row>
    <row r="1117" hidden="1">
      <c r="A1117" s="90" t="s">
        <v>2947</v>
      </c>
      <c r="B1117" s="90" t="s">
        <v>2964</v>
      </c>
      <c r="C1117" s="90" t="s">
        <v>616</v>
      </c>
      <c r="D1117" s="90" t="s">
        <v>2958</v>
      </c>
      <c r="E1117" s="90" t="s">
        <v>1403</v>
      </c>
      <c r="F1117" s="87">
        <v>6.0</v>
      </c>
      <c r="G1117" s="87">
        <v>6.0</v>
      </c>
      <c r="H1117" s="87">
        <v>82.0</v>
      </c>
      <c r="I1117" s="87">
        <v>82.0</v>
      </c>
      <c r="J1117" s="87">
        <v>0.0</v>
      </c>
      <c r="K1117" s="87">
        <v>0.0</v>
      </c>
      <c r="L1117" s="87">
        <v>0.0</v>
      </c>
      <c r="M1117" s="87">
        <v>0.0</v>
      </c>
      <c r="N1117" s="91"/>
      <c r="O1117" s="87">
        <v>0.0</v>
      </c>
      <c r="P1117" s="87">
        <v>0.0</v>
      </c>
      <c r="Q1117" s="87">
        <v>0.0</v>
      </c>
      <c r="R1117" s="87">
        <v>0.0</v>
      </c>
      <c r="S1117" s="87">
        <v>0.0</v>
      </c>
      <c r="T1117" s="91"/>
      <c r="U1117" s="91"/>
      <c r="V1117" s="91"/>
      <c r="W1117" s="91"/>
      <c r="X1117" s="91"/>
      <c r="Y1117" s="87">
        <v>0.0</v>
      </c>
      <c r="Z1117" s="88" t="s">
        <v>1396</v>
      </c>
    </row>
    <row r="1118" hidden="1">
      <c r="A1118" s="90" t="s">
        <v>2935</v>
      </c>
      <c r="B1118" s="90" t="s">
        <v>2965</v>
      </c>
      <c r="C1118" s="90" t="s">
        <v>616</v>
      </c>
      <c r="D1118" s="90" t="s">
        <v>617</v>
      </c>
      <c r="E1118" s="90" t="s">
        <v>1426</v>
      </c>
      <c r="F1118" s="87">
        <v>7.0</v>
      </c>
      <c r="G1118" s="87">
        <v>0.0</v>
      </c>
      <c r="H1118" s="87">
        <v>7186.0</v>
      </c>
      <c r="I1118" s="87">
        <v>0.0</v>
      </c>
      <c r="J1118" s="87">
        <v>42.78304</v>
      </c>
      <c r="K1118" s="87">
        <v>47.48075</v>
      </c>
      <c r="L1118" s="87">
        <v>48.55701</v>
      </c>
      <c r="M1118" s="87">
        <v>39.2982</v>
      </c>
      <c r="N1118" s="87">
        <v>0.827666</v>
      </c>
      <c r="O1118" s="87">
        <v>0.665591</v>
      </c>
      <c r="P1118" s="87">
        <v>0.932258</v>
      </c>
      <c r="Q1118" s="87">
        <v>1.209524</v>
      </c>
      <c r="R1118" s="87">
        <v>2.603655</v>
      </c>
      <c r="S1118" s="87">
        <v>2.771529</v>
      </c>
      <c r="T1118" s="87">
        <v>0.665591</v>
      </c>
      <c r="U1118" s="87">
        <v>0.932258</v>
      </c>
      <c r="V1118" s="87">
        <v>1.209524</v>
      </c>
      <c r="W1118" s="87">
        <v>2.603655</v>
      </c>
      <c r="X1118" s="87">
        <v>2.771529</v>
      </c>
      <c r="Y1118" s="87">
        <v>6.782965</v>
      </c>
      <c r="Z1118" s="88" t="s">
        <v>1396</v>
      </c>
    </row>
    <row r="1119" hidden="1">
      <c r="A1119" s="90" t="s">
        <v>2937</v>
      </c>
      <c r="B1119" s="90" t="s">
        <v>2966</v>
      </c>
      <c r="C1119" s="90" t="s">
        <v>616</v>
      </c>
      <c r="D1119" s="90" t="s">
        <v>617</v>
      </c>
      <c r="E1119" s="86">
        <v>46310.0</v>
      </c>
      <c r="F1119" s="87">
        <v>21.0</v>
      </c>
      <c r="G1119" s="87">
        <v>0.0</v>
      </c>
      <c r="H1119" s="87">
        <v>17178.0</v>
      </c>
      <c r="I1119" s="87">
        <v>0.0</v>
      </c>
      <c r="J1119" s="87">
        <v>180.1025</v>
      </c>
      <c r="K1119" s="87">
        <v>191.151</v>
      </c>
      <c r="L1119" s="87">
        <v>193.2875</v>
      </c>
      <c r="M1119" s="87">
        <v>114.8962</v>
      </c>
      <c r="N1119" s="87">
        <v>0.601076</v>
      </c>
      <c r="O1119" s="87">
        <v>1.696774</v>
      </c>
      <c r="P1119" s="87">
        <v>3.733961</v>
      </c>
      <c r="Q1119" s="87">
        <v>4.510164</v>
      </c>
      <c r="R1119" s="87">
        <v>8.190787</v>
      </c>
      <c r="S1119" s="87">
        <v>10.10026</v>
      </c>
      <c r="T1119" s="87">
        <v>1.696774</v>
      </c>
      <c r="U1119" s="87">
        <v>3.733961</v>
      </c>
      <c r="V1119" s="87">
        <v>4.510164</v>
      </c>
      <c r="W1119" s="87">
        <v>8.190787</v>
      </c>
      <c r="X1119" s="87">
        <v>10.10026</v>
      </c>
      <c r="Y1119" s="87">
        <v>11.24418</v>
      </c>
      <c r="Z1119" s="88" t="s">
        <v>1396</v>
      </c>
    </row>
    <row r="1120" hidden="1">
      <c r="A1120" s="90" t="s">
        <v>2939</v>
      </c>
      <c r="B1120" s="90" t="s">
        <v>2967</v>
      </c>
      <c r="C1120" s="90" t="s">
        <v>616</v>
      </c>
      <c r="D1120" s="90" t="s">
        <v>617</v>
      </c>
      <c r="E1120" s="90" t="s">
        <v>1413</v>
      </c>
      <c r="F1120" s="87">
        <v>17.0</v>
      </c>
      <c r="G1120" s="87">
        <v>1.0</v>
      </c>
      <c r="H1120" s="87">
        <v>11810.0</v>
      </c>
      <c r="I1120" s="87">
        <v>66.0</v>
      </c>
      <c r="J1120" s="87">
        <v>106.1946</v>
      </c>
      <c r="K1120" s="87">
        <v>114.7393</v>
      </c>
      <c r="L1120" s="87">
        <v>115.0804</v>
      </c>
      <c r="M1120" s="87">
        <v>97.53183</v>
      </c>
      <c r="N1120" s="87">
        <v>0.85003</v>
      </c>
      <c r="O1120" s="87">
        <v>0.0</v>
      </c>
      <c r="P1120" s="87">
        <v>0.0</v>
      </c>
      <c r="Q1120" s="87">
        <v>2.071654</v>
      </c>
      <c r="R1120" s="87">
        <v>2.681326</v>
      </c>
      <c r="S1120" s="87">
        <v>5.314373</v>
      </c>
      <c r="T1120" s="87">
        <v>2.071654</v>
      </c>
      <c r="U1120" s="87">
        <v>2.405473</v>
      </c>
      <c r="V1120" s="87">
        <v>2.681326</v>
      </c>
      <c r="W1120" s="87">
        <v>5.314373</v>
      </c>
      <c r="X1120" s="87">
        <v>9.83488</v>
      </c>
      <c r="Y1120" s="87">
        <v>10.43084</v>
      </c>
      <c r="Z1120" s="88" t="s">
        <v>1396</v>
      </c>
    </row>
    <row r="1121" hidden="1">
      <c r="A1121" s="90" t="s">
        <v>2941</v>
      </c>
      <c r="B1121" s="90" t="s">
        <v>2968</v>
      </c>
      <c r="C1121" s="90" t="s">
        <v>616</v>
      </c>
      <c r="D1121" s="90" t="s">
        <v>617</v>
      </c>
      <c r="E1121" s="90" t="s">
        <v>1398</v>
      </c>
      <c r="F1121" s="87">
        <v>13.0</v>
      </c>
      <c r="G1121" s="87">
        <v>0.0</v>
      </c>
      <c r="H1121" s="87">
        <v>6551.0</v>
      </c>
      <c r="I1121" s="87">
        <v>0.0</v>
      </c>
      <c r="J1121" s="87">
        <v>43.88428</v>
      </c>
      <c r="K1121" s="87">
        <v>42.30684</v>
      </c>
      <c r="L1121" s="87">
        <v>36.35649</v>
      </c>
      <c r="M1121" s="87">
        <v>29.173</v>
      </c>
      <c r="N1121" s="87">
        <v>0.689557</v>
      </c>
      <c r="O1121" s="87">
        <v>0.0</v>
      </c>
      <c r="P1121" s="87">
        <v>0.541544</v>
      </c>
      <c r="Q1121" s="87">
        <v>0.583251</v>
      </c>
      <c r="R1121" s="87">
        <v>1.097849</v>
      </c>
      <c r="S1121" s="87">
        <v>5.26428</v>
      </c>
      <c r="T1121" s="87">
        <v>0.583251</v>
      </c>
      <c r="U1121" s="87">
        <v>0.689181</v>
      </c>
      <c r="V1121" s="87">
        <v>0.933333</v>
      </c>
      <c r="W1121" s="87">
        <v>1.390013</v>
      </c>
      <c r="X1121" s="87">
        <v>5.26428</v>
      </c>
      <c r="Y1121" s="87">
        <v>3.254372</v>
      </c>
      <c r="Z1121" s="88" t="s">
        <v>1396</v>
      </c>
    </row>
    <row r="1122" hidden="1">
      <c r="A1122" s="90" t="s">
        <v>2943</v>
      </c>
      <c r="B1122" s="90" t="s">
        <v>2969</v>
      </c>
      <c r="C1122" s="90" t="s">
        <v>616</v>
      </c>
      <c r="D1122" s="90" t="s">
        <v>617</v>
      </c>
      <c r="E1122" s="90" t="s">
        <v>1400</v>
      </c>
      <c r="F1122" s="87">
        <v>41.0</v>
      </c>
      <c r="G1122" s="87">
        <v>1.0</v>
      </c>
      <c r="H1122" s="87">
        <v>20322.0</v>
      </c>
      <c r="I1122" s="87">
        <v>3.0</v>
      </c>
      <c r="J1122" s="87">
        <v>109.7222</v>
      </c>
      <c r="K1122" s="87">
        <v>99.90525</v>
      </c>
      <c r="L1122" s="87">
        <v>107.7703</v>
      </c>
      <c r="M1122" s="87">
        <v>70.71146</v>
      </c>
      <c r="N1122" s="87">
        <v>0.707785</v>
      </c>
      <c r="O1122" s="87">
        <v>0.065591</v>
      </c>
      <c r="P1122" s="87">
        <v>0.362366</v>
      </c>
      <c r="Q1122" s="87">
        <v>0.531183</v>
      </c>
      <c r="R1122" s="87">
        <v>1.151323</v>
      </c>
      <c r="S1122" s="87">
        <v>3.273971</v>
      </c>
      <c r="T1122" s="87">
        <v>0.1</v>
      </c>
      <c r="U1122" s="87">
        <v>0.378889</v>
      </c>
      <c r="V1122" s="87">
        <v>0.564516</v>
      </c>
      <c r="W1122" s="87">
        <v>1.294624</v>
      </c>
      <c r="X1122" s="87">
        <v>3.273971</v>
      </c>
      <c r="Y1122" s="87">
        <v>3.445009</v>
      </c>
      <c r="Z1122" s="88" t="s">
        <v>1396</v>
      </c>
    </row>
    <row r="1123" hidden="1">
      <c r="A1123" s="90" t="s">
        <v>2945</v>
      </c>
      <c r="B1123" s="90" t="s">
        <v>2970</v>
      </c>
      <c r="C1123" s="90" t="s">
        <v>616</v>
      </c>
      <c r="D1123" s="90" t="s">
        <v>617</v>
      </c>
      <c r="E1123" s="89">
        <v>46300.0</v>
      </c>
      <c r="F1123" s="87">
        <v>9.0</v>
      </c>
      <c r="G1123" s="87">
        <v>0.0</v>
      </c>
      <c r="H1123" s="87">
        <v>7951.0</v>
      </c>
      <c r="I1123" s="87">
        <v>0.0</v>
      </c>
      <c r="J1123" s="87">
        <v>64.72862</v>
      </c>
      <c r="K1123" s="87">
        <v>62.93759</v>
      </c>
      <c r="L1123" s="87">
        <v>65.4828</v>
      </c>
      <c r="M1123" s="87">
        <v>46.19855</v>
      </c>
      <c r="N1123" s="87">
        <v>0.734037</v>
      </c>
      <c r="O1123" s="87">
        <v>0.0</v>
      </c>
      <c r="P1123" s="87">
        <v>0.0</v>
      </c>
      <c r="Q1123" s="87">
        <v>0.797849</v>
      </c>
      <c r="R1123" s="87">
        <v>5.749774</v>
      </c>
      <c r="S1123" s="87">
        <v>8.051722</v>
      </c>
      <c r="T1123" s="87">
        <v>0.797849</v>
      </c>
      <c r="U1123" s="87">
        <v>2.139698</v>
      </c>
      <c r="V1123" s="87">
        <v>2.139698</v>
      </c>
      <c r="W1123" s="87">
        <v>8.051722</v>
      </c>
      <c r="X1123" s="87">
        <v>10.29893</v>
      </c>
      <c r="Y1123" s="87">
        <v>7.867199</v>
      </c>
      <c r="Z1123" s="88" t="s">
        <v>1396</v>
      </c>
    </row>
    <row r="1124" hidden="1">
      <c r="A1124" s="90" t="s">
        <v>2947</v>
      </c>
      <c r="B1124" s="90" t="s">
        <v>2971</v>
      </c>
      <c r="C1124" s="90" t="s">
        <v>616</v>
      </c>
      <c r="D1124" s="90" t="s">
        <v>617</v>
      </c>
      <c r="E1124" s="90" t="s">
        <v>1403</v>
      </c>
      <c r="F1124" s="87">
        <v>6.0</v>
      </c>
      <c r="G1124" s="87">
        <v>6.0</v>
      </c>
      <c r="H1124" s="87">
        <v>64.0</v>
      </c>
      <c r="I1124" s="87">
        <v>64.0</v>
      </c>
      <c r="J1124" s="87">
        <v>0.0</v>
      </c>
      <c r="K1124" s="87">
        <v>0.0</v>
      </c>
      <c r="L1124" s="87">
        <v>0.0</v>
      </c>
      <c r="M1124" s="87">
        <v>0.0</v>
      </c>
      <c r="N1124" s="91"/>
      <c r="O1124" s="87">
        <v>0.0</v>
      </c>
      <c r="P1124" s="87">
        <v>0.0</v>
      </c>
      <c r="Q1124" s="87">
        <v>0.0</v>
      </c>
      <c r="R1124" s="87">
        <v>0.0</v>
      </c>
      <c r="S1124" s="87">
        <v>0.0</v>
      </c>
      <c r="T1124" s="91"/>
      <c r="U1124" s="91"/>
      <c r="V1124" s="91"/>
      <c r="W1124" s="91"/>
      <c r="X1124" s="91"/>
      <c r="Y1124" s="87">
        <v>0.0</v>
      </c>
      <c r="Z1124" s="88" t="s">
        <v>1396</v>
      </c>
    </row>
    <row r="1125" hidden="1">
      <c r="A1125" s="90" t="s">
        <v>3382</v>
      </c>
      <c r="B1125" s="90" t="s">
        <v>3383</v>
      </c>
      <c r="C1125" s="90" t="s">
        <v>3384</v>
      </c>
      <c r="D1125" s="90" t="s">
        <v>3385</v>
      </c>
      <c r="E1125" s="90" t="s">
        <v>1400</v>
      </c>
      <c r="F1125" s="87">
        <v>1.0</v>
      </c>
      <c r="G1125" s="87">
        <v>0.0</v>
      </c>
      <c r="H1125" s="87">
        <v>52.0</v>
      </c>
      <c r="I1125" s="87">
        <v>0.0</v>
      </c>
      <c r="J1125" s="87">
        <v>0.0</v>
      </c>
      <c r="K1125" s="87">
        <v>0.0</v>
      </c>
      <c r="L1125" s="87">
        <v>0.0</v>
      </c>
      <c r="M1125" s="87">
        <v>0.0</v>
      </c>
      <c r="N1125" s="91"/>
      <c r="O1125" s="91"/>
      <c r="P1125" s="91"/>
      <c r="Q1125" s="91"/>
      <c r="R1125" s="91"/>
      <c r="S1125" s="91"/>
      <c r="T1125" s="91"/>
      <c r="U1125" s="91"/>
      <c r="V1125" s="91"/>
      <c r="W1125" s="91"/>
      <c r="X1125" s="91"/>
      <c r="Y1125" s="91"/>
      <c r="Z1125" s="88" t="s">
        <v>1396</v>
      </c>
    </row>
    <row r="1126" hidden="1">
      <c r="A1126" s="90" t="s">
        <v>2972</v>
      </c>
      <c r="B1126" s="90" t="s">
        <v>2973</v>
      </c>
      <c r="C1126" s="90" t="s">
        <v>630</v>
      </c>
      <c r="D1126" s="90" t="s">
        <v>2974</v>
      </c>
      <c r="E1126" s="90" t="s">
        <v>1403</v>
      </c>
      <c r="F1126" s="87">
        <v>0.0</v>
      </c>
      <c r="G1126" s="87">
        <v>0.0</v>
      </c>
      <c r="H1126" s="87">
        <v>0.0</v>
      </c>
      <c r="I1126" s="87">
        <v>0.0</v>
      </c>
      <c r="J1126" s="87">
        <v>0.0</v>
      </c>
      <c r="K1126" s="87">
        <v>0.0</v>
      </c>
      <c r="L1126" s="87">
        <v>0.0</v>
      </c>
      <c r="M1126" s="87">
        <v>0.0</v>
      </c>
      <c r="N1126" s="91"/>
      <c r="O1126" s="87">
        <v>0.0</v>
      </c>
      <c r="P1126" s="87">
        <v>0.0</v>
      </c>
      <c r="Q1126" s="87">
        <v>0.0</v>
      </c>
      <c r="R1126" s="87">
        <v>0.0</v>
      </c>
      <c r="S1126" s="87">
        <v>0.0</v>
      </c>
      <c r="T1126" s="91"/>
      <c r="U1126" s="91"/>
      <c r="V1126" s="91"/>
      <c r="W1126" s="91"/>
      <c r="X1126" s="91"/>
      <c r="Y1126" s="87">
        <v>0.0</v>
      </c>
      <c r="Z1126" s="88" t="s">
        <v>1396</v>
      </c>
    </row>
    <row r="1127" hidden="1">
      <c r="A1127" s="90" t="s">
        <v>2975</v>
      </c>
      <c r="B1127" s="90" t="s">
        <v>2976</v>
      </c>
      <c r="C1127" s="90" t="s">
        <v>630</v>
      </c>
      <c r="D1127" s="90" t="s">
        <v>640</v>
      </c>
      <c r="E1127" s="90" t="s">
        <v>1426</v>
      </c>
      <c r="F1127" s="87">
        <v>62.0</v>
      </c>
      <c r="G1127" s="87">
        <v>2.0</v>
      </c>
      <c r="H1127" s="87">
        <v>189905.0</v>
      </c>
      <c r="I1127" s="87">
        <v>311.0</v>
      </c>
      <c r="J1127" s="87">
        <v>3814.184</v>
      </c>
      <c r="K1127" s="87">
        <v>3794.347</v>
      </c>
      <c r="L1127" s="87">
        <v>3946.151</v>
      </c>
      <c r="M1127" s="87">
        <v>2831.186</v>
      </c>
      <c r="N1127" s="87">
        <v>0.746159</v>
      </c>
      <c r="O1127" s="87">
        <v>0.0</v>
      </c>
      <c r="P1127" s="87">
        <v>2.0</v>
      </c>
      <c r="Q1127" s="87">
        <v>8.074667</v>
      </c>
      <c r="R1127" s="87">
        <v>23.96851</v>
      </c>
      <c r="S1127" s="87">
        <v>47.78706</v>
      </c>
      <c r="T1127" s="87">
        <v>6.374108</v>
      </c>
      <c r="U1127" s="87">
        <v>8.869147</v>
      </c>
      <c r="V1127" s="87">
        <v>13.17751</v>
      </c>
      <c r="W1127" s="87">
        <v>34.6179</v>
      </c>
      <c r="X1127" s="87">
        <v>54.68325</v>
      </c>
      <c r="Y1127" s="87">
        <v>64.31096</v>
      </c>
      <c r="Z1127" s="88" t="s">
        <v>1396</v>
      </c>
    </row>
    <row r="1128" hidden="1">
      <c r="A1128" s="90" t="s">
        <v>2977</v>
      </c>
      <c r="B1128" s="90" t="s">
        <v>2978</v>
      </c>
      <c r="C1128" s="90" t="s">
        <v>630</v>
      </c>
      <c r="D1128" s="90" t="s">
        <v>640</v>
      </c>
      <c r="E1128" s="86">
        <v>46310.0</v>
      </c>
      <c r="F1128" s="87">
        <v>45.0</v>
      </c>
      <c r="G1128" s="87">
        <v>1.0</v>
      </c>
      <c r="H1128" s="87">
        <v>50506.0</v>
      </c>
      <c r="I1128" s="87">
        <v>3.0</v>
      </c>
      <c r="J1128" s="87">
        <v>565.2345</v>
      </c>
      <c r="K1128" s="87">
        <v>554.5227</v>
      </c>
      <c r="L1128" s="87">
        <v>536.5078</v>
      </c>
      <c r="M1128" s="87">
        <v>385.7862</v>
      </c>
      <c r="N1128" s="87">
        <v>0.695708</v>
      </c>
      <c r="O1128" s="87">
        <v>0.0</v>
      </c>
      <c r="P1128" s="87">
        <v>0.5</v>
      </c>
      <c r="Q1128" s="87">
        <v>1.481971</v>
      </c>
      <c r="R1128" s="87">
        <v>5.45589</v>
      </c>
      <c r="S1128" s="87">
        <v>13.86371</v>
      </c>
      <c r="T1128" s="87">
        <v>0.506298</v>
      </c>
      <c r="U1128" s="87">
        <v>1.921527</v>
      </c>
      <c r="V1128" s="87">
        <v>3.411658</v>
      </c>
      <c r="W1128" s="87">
        <v>6.237452</v>
      </c>
      <c r="X1128" s="87">
        <v>15.646</v>
      </c>
      <c r="Y1128" s="87">
        <v>12.05484</v>
      </c>
      <c r="Z1128" s="88" t="s">
        <v>1396</v>
      </c>
    </row>
    <row r="1129" hidden="1">
      <c r="A1129" s="90" t="s">
        <v>2979</v>
      </c>
      <c r="B1129" s="90" t="s">
        <v>2980</v>
      </c>
      <c r="C1129" s="90" t="s">
        <v>630</v>
      </c>
      <c r="D1129" s="90" t="s">
        <v>640</v>
      </c>
      <c r="E1129" s="90" t="s">
        <v>1413</v>
      </c>
      <c r="F1129" s="87">
        <v>35.0</v>
      </c>
      <c r="G1129" s="87">
        <v>2.0</v>
      </c>
      <c r="H1129" s="87">
        <v>21642.0</v>
      </c>
      <c r="I1129" s="87">
        <v>4.0</v>
      </c>
      <c r="J1129" s="87">
        <v>254.1284</v>
      </c>
      <c r="K1129" s="87">
        <v>267.0935</v>
      </c>
      <c r="L1129" s="87">
        <v>262.2968</v>
      </c>
      <c r="M1129" s="87">
        <v>170.0432</v>
      </c>
      <c r="N1129" s="87">
        <v>0.636643</v>
      </c>
      <c r="O1129" s="87">
        <v>1.139142</v>
      </c>
      <c r="P1129" s="87">
        <v>2.63543</v>
      </c>
      <c r="Q1129" s="87">
        <v>4.012682</v>
      </c>
      <c r="R1129" s="87">
        <v>5.166636</v>
      </c>
      <c r="S1129" s="87">
        <v>8.906303</v>
      </c>
      <c r="T1129" s="87">
        <v>1.421454</v>
      </c>
      <c r="U1129" s="87">
        <v>3.556979</v>
      </c>
      <c r="V1129" s="87">
        <v>4.012682</v>
      </c>
      <c r="W1129" s="87">
        <v>5.690095</v>
      </c>
      <c r="X1129" s="87">
        <v>9.200826</v>
      </c>
      <c r="Y1129" s="87">
        <v>9.892352</v>
      </c>
      <c r="Z1129" s="88" t="s">
        <v>1396</v>
      </c>
    </row>
    <row r="1130" hidden="1">
      <c r="A1130" s="90" t="s">
        <v>2981</v>
      </c>
      <c r="B1130" s="90" t="s">
        <v>2982</v>
      </c>
      <c r="C1130" s="90" t="s">
        <v>630</v>
      </c>
      <c r="D1130" s="90" t="s">
        <v>640</v>
      </c>
      <c r="E1130" s="90" t="s">
        <v>1398</v>
      </c>
      <c r="F1130" s="87">
        <v>17.0</v>
      </c>
      <c r="G1130" s="87">
        <v>0.0</v>
      </c>
      <c r="H1130" s="87">
        <v>13588.0</v>
      </c>
      <c r="I1130" s="87">
        <v>0.0</v>
      </c>
      <c r="J1130" s="87">
        <v>93.20932</v>
      </c>
      <c r="K1130" s="87">
        <v>94.56051</v>
      </c>
      <c r="L1130" s="87">
        <v>95.35074</v>
      </c>
      <c r="M1130" s="87">
        <v>44.56061</v>
      </c>
      <c r="N1130" s="87">
        <v>0.471239</v>
      </c>
      <c r="O1130" s="87">
        <v>2.284991</v>
      </c>
      <c r="P1130" s="87">
        <v>2.354841</v>
      </c>
      <c r="Q1130" s="87">
        <v>3.972673</v>
      </c>
      <c r="R1130" s="87">
        <v>8.387116</v>
      </c>
      <c r="S1130" s="87">
        <v>10.35062</v>
      </c>
      <c r="T1130" s="87">
        <v>2.284991</v>
      </c>
      <c r="U1130" s="87">
        <v>2.354841</v>
      </c>
      <c r="V1130" s="87">
        <v>3.972673</v>
      </c>
      <c r="W1130" s="87">
        <v>8.387116</v>
      </c>
      <c r="X1130" s="87">
        <v>10.35062</v>
      </c>
      <c r="Y1130" s="87">
        <v>7.880043</v>
      </c>
      <c r="Z1130" s="88" t="s">
        <v>1396</v>
      </c>
    </row>
    <row r="1131" hidden="1">
      <c r="A1131" s="90" t="s">
        <v>2983</v>
      </c>
      <c r="B1131" s="90" t="s">
        <v>2984</v>
      </c>
      <c r="C1131" s="90" t="s">
        <v>630</v>
      </c>
      <c r="D1131" s="90" t="s">
        <v>640</v>
      </c>
      <c r="E1131" s="90" t="s">
        <v>1400</v>
      </c>
      <c r="F1131" s="87">
        <v>17.0</v>
      </c>
      <c r="G1131" s="87">
        <v>2.0</v>
      </c>
      <c r="H1131" s="87">
        <v>6995.0</v>
      </c>
      <c r="I1131" s="87">
        <v>321.0</v>
      </c>
      <c r="J1131" s="87">
        <v>43.5539</v>
      </c>
      <c r="K1131" s="87">
        <v>43.95822</v>
      </c>
      <c r="L1131" s="87">
        <v>43.21858</v>
      </c>
      <c r="M1131" s="87">
        <v>20.36863</v>
      </c>
      <c r="N1131" s="87">
        <v>0.463363</v>
      </c>
      <c r="O1131" s="87">
        <v>0.943577</v>
      </c>
      <c r="P1131" s="87">
        <v>0.964516</v>
      </c>
      <c r="Q1131" s="87">
        <v>1.075944</v>
      </c>
      <c r="R1131" s="87">
        <v>3.225508</v>
      </c>
      <c r="S1131" s="87">
        <v>3.446719</v>
      </c>
      <c r="T1131" s="87">
        <v>0.959214</v>
      </c>
      <c r="U1131" s="87">
        <v>0.964516</v>
      </c>
      <c r="V1131" s="87">
        <v>1.38326</v>
      </c>
      <c r="W1131" s="87">
        <v>3.289427</v>
      </c>
      <c r="X1131" s="87">
        <v>3.446719</v>
      </c>
      <c r="Y1131" s="87">
        <v>2.930548</v>
      </c>
      <c r="Z1131" s="88" t="s">
        <v>1396</v>
      </c>
    </row>
    <row r="1132" hidden="1">
      <c r="A1132" s="90" t="s">
        <v>2985</v>
      </c>
      <c r="B1132" s="90" t="s">
        <v>2986</v>
      </c>
      <c r="C1132" s="90" t="s">
        <v>630</v>
      </c>
      <c r="D1132" s="90" t="s">
        <v>640</v>
      </c>
      <c r="E1132" s="89">
        <v>46300.0</v>
      </c>
      <c r="F1132" s="87">
        <v>58.0</v>
      </c>
      <c r="G1132" s="87">
        <v>2.0</v>
      </c>
      <c r="H1132" s="87">
        <v>89792.0</v>
      </c>
      <c r="I1132" s="87">
        <v>7.0</v>
      </c>
      <c r="J1132" s="87">
        <v>1050.039</v>
      </c>
      <c r="K1132" s="87">
        <v>1043.05</v>
      </c>
      <c r="L1132" s="87">
        <v>1059.246</v>
      </c>
      <c r="M1132" s="87">
        <v>710.5256</v>
      </c>
      <c r="N1132" s="87">
        <v>0.6812</v>
      </c>
      <c r="O1132" s="87">
        <v>0.0</v>
      </c>
      <c r="P1132" s="87">
        <v>0.0</v>
      </c>
      <c r="Q1132" s="87">
        <v>3.098741</v>
      </c>
      <c r="R1132" s="87">
        <v>7.99531</v>
      </c>
      <c r="S1132" s="87">
        <v>20.204</v>
      </c>
      <c r="T1132" s="87">
        <v>3.031245</v>
      </c>
      <c r="U1132" s="87">
        <v>5.571776</v>
      </c>
      <c r="V1132" s="87">
        <v>6.00214</v>
      </c>
      <c r="W1132" s="87">
        <v>13.33115</v>
      </c>
      <c r="X1132" s="87">
        <v>22.44283</v>
      </c>
      <c r="Y1132" s="87">
        <v>18.29913</v>
      </c>
      <c r="Z1132" s="88" t="s">
        <v>1396</v>
      </c>
    </row>
    <row r="1133" hidden="1">
      <c r="A1133" s="90" t="s">
        <v>2972</v>
      </c>
      <c r="B1133" s="90" t="s">
        <v>2987</v>
      </c>
      <c r="C1133" s="90" t="s">
        <v>630</v>
      </c>
      <c r="D1133" s="90" t="s">
        <v>640</v>
      </c>
      <c r="E1133" s="90" t="s">
        <v>1403</v>
      </c>
      <c r="F1133" s="87">
        <v>28.0</v>
      </c>
      <c r="G1133" s="87">
        <v>28.0</v>
      </c>
      <c r="H1133" s="87">
        <v>1810.0</v>
      </c>
      <c r="I1133" s="87">
        <v>1810.0</v>
      </c>
      <c r="J1133" s="87">
        <v>0.0</v>
      </c>
      <c r="K1133" s="87">
        <v>0.0</v>
      </c>
      <c r="L1133" s="87">
        <v>0.0</v>
      </c>
      <c r="M1133" s="87">
        <v>0.0</v>
      </c>
      <c r="N1133" s="91"/>
      <c r="O1133" s="87">
        <v>0.0</v>
      </c>
      <c r="P1133" s="87">
        <v>0.0</v>
      </c>
      <c r="Q1133" s="87">
        <v>0.0</v>
      </c>
      <c r="R1133" s="87">
        <v>0.0</v>
      </c>
      <c r="S1133" s="87">
        <v>0.0</v>
      </c>
      <c r="T1133" s="91"/>
      <c r="U1133" s="91"/>
      <c r="V1133" s="91"/>
      <c r="W1133" s="91"/>
      <c r="X1133" s="91"/>
      <c r="Y1133" s="87">
        <v>0.0</v>
      </c>
      <c r="Z1133" s="88" t="s">
        <v>1396</v>
      </c>
    </row>
    <row r="1134" hidden="1">
      <c r="A1134" s="90" t="s">
        <v>2975</v>
      </c>
      <c r="B1134" s="90" t="s">
        <v>2988</v>
      </c>
      <c r="C1134" s="90" t="s">
        <v>630</v>
      </c>
      <c r="D1134" s="90" t="s">
        <v>2989</v>
      </c>
      <c r="E1134" s="90" t="s">
        <v>1426</v>
      </c>
      <c r="F1134" s="87">
        <v>5.0</v>
      </c>
      <c r="G1134" s="87">
        <v>0.0</v>
      </c>
      <c r="H1134" s="87">
        <v>23309.0</v>
      </c>
      <c r="I1134" s="87">
        <v>0.0</v>
      </c>
      <c r="J1134" s="87">
        <v>301.5957</v>
      </c>
      <c r="K1134" s="87">
        <v>287.947</v>
      </c>
      <c r="L1134" s="87">
        <v>279.894</v>
      </c>
      <c r="M1134" s="87">
        <v>247.3107</v>
      </c>
      <c r="N1134" s="87">
        <v>0.858876</v>
      </c>
      <c r="O1134" s="87">
        <v>0.0</v>
      </c>
      <c r="P1134" s="87">
        <v>0.0</v>
      </c>
      <c r="Q1134" s="87">
        <v>0.0</v>
      </c>
      <c r="R1134" s="87">
        <v>16.08804</v>
      </c>
      <c r="S1134" s="87">
        <v>24.5483</v>
      </c>
      <c r="T1134" s="87">
        <v>16.08804</v>
      </c>
      <c r="U1134" s="87">
        <v>16.08804</v>
      </c>
      <c r="V1134" s="87">
        <v>24.5483</v>
      </c>
      <c r="W1134" s="87">
        <v>29.81674</v>
      </c>
      <c r="X1134" s="87">
        <v>29.81674</v>
      </c>
      <c r="Y1134" s="87">
        <v>41.13529</v>
      </c>
      <c r="Z1134" s="88" t="s">
        <v>1396</v>
      </c>
    </row>
    <row r="1135" hidden="1">
      <c r="A1135" s="90" t="s">
        <v>2977</v>
      </c>
      <c r="B1135" s="90" t="s">
        <v>2990</v>
      </c>
      <c r="C1135" s="90" t="s">
        <v>630</v>
      </c>
      <c r="D1135" s="90" t="s">
        <v>2989</v>
      </c>
      <c r="E1135" s="86">
        <v>46310.0</v>
      </c>
      <c r="F1135" s="87">
        <v>7.0</v>
      </c>
      <c r="G1135" s="87">
        <v>0.0</v>
      </c>
      <c r="H1135" s="87">
        <v>2996.0</v>
      </c>
      <c r="I1135" s="87">
        <v>0.0</v>
      </c>
      <c r="J1135" s="87">
        <v>52.27746</v>
      </c>
      <c r="K1135" s="87">
        <v>76.93753</v>
      </c>
      <c r="L1135" s="87">
        <v>68.6976</v>
      </c>
      <c r="M1135" s="87">
        <v>45.19884</v>
      </c>
      <c r="N1135" s="87">
        <v>0.587475</v>
      </c>
      <c r="O1135" s="87">
        <v>0.0</v>
      </c>
      <c r="P1135" s="87">
        <v>2.0</v>
      </c>
      <c r="Q1135" s="87">
        <v>7.165128</v>
      </c>
      <c r="R1135" s="87">
        <v>9.51705</v>
      </c>
      <c r="S1135" s="87">
        <v>13.0565</v>
      </c>
      <c r="T1135" s="87">
        <v>2.0</v>
      </c>
      <c r="U1135" s="87">
        <v>7.165128</v>
      </c>
      <c r="V1135" s="87">
        <v>7.165128</v>
      </c>
      <c r="W1135" s="87">
        <v>13.0565</v>
      </c>
      <c r="X1135" s="87">
        <v>20.78528</v>
      </c>
      <c r="Y1135" s="87">
        <v>10.99108</v>
      </c>
      <c r="Z1135" s="88" t="s">
        <v>1396</v>
      </c>
    </row>
    <row r="1136" hidden="1">
      <c r="A1136" s="90" t="s">
        <v>2979</v>
      </c>
      <c r="B1136" s="90" t="s">
        <v>2991</v>
      </c>
      <c r="C1136" s="90" t="s">
        <v>630</v>
      </c>
      <c r="D1136" s="90" t="s">
        <v>2989</v>
      </c>
      <c r="E1136" s="90" t="s">
        <v>1413</v>
      </c>
      <c r="F1136" s="87">
        <v>7.0</v>
      </c>
      <c r="G1136" s="87">
        <v>0.0</v>
      </c>
      <c r="H1136" s="87">
        <v>1337.0</v>
      </c>
      <c r="I1136" s="87">
        <v>0.0</v>
      </c>
      <c r="J1136" s="87">
        <v>44.00371</v>
      </c>
      <c r="K1136" s="87">
        <v>36.60537</v>
      </c>
      <c r="L1136" s="87">
        <v>35.18208</v>
      </c>
      <c r="M1136" s="87">
        <v>19.83747</v>
      </c>
      <c r="N1136" s="87">
        <v>0.541928</v>
      </c>
      <c r="O1136" s="87">
        <v>1.338161</v>
      </c>
      <c r="P1136" s="87">
        <v>2.643405</v>
      </c>
      <c r="Q1136" s="87">
        <v>2.643405</v>
      </c>
      <c r="R1136" s="87">
        <v>7.863379</v>
      </c>
      <c r="S1136" s="87">
        <v>9.317359</v>
      </c>
      <c r="T1136" s="87">
        <v>1.338161</v>
      </c>
      <c r="U1136" s="87">
        <v>2.643405</v>
      </c>
      <c r="V1136" s="87">
        <v>2.643405</v>
      </c>
      <c r="W1136" s="87">
        <v>7.863379</v>
      </c>
      <c r="X1136" s="87">
        <v>9.317359</v>
      </c>
      <c r="Y1136" s="87">
        <v>6.100894</v>
      </c>
      <c r="Z1136" s="88" t="s">
        <v>1396</v>
      </c>
    </row>
    <row r="1137" hidden="1">
      <c r="A1137" s="90" t="s">
        <v>2981</v>
      </c>
      <c r="B1137" s="90" t="s">
        <v>2992</v>
      </c>
      <c r="C1137" s="90" t="s">
        <v>630</v>
      </c>
      <c r="D1137" s="90" t="s">
        <v>2989</v>
      </c>
      <c r="E1137" s="90" t="s">
        <v>1398</v>
      </c>
      <c r="F1137" s="87">
        <v>5.0</v>
      </c>
      <c r="G1137" s="87">
        <v>0.0</v>
      </c>
      <c r="H1137" s="87">
        <v>2393.0</v>
      </c>
      <c r="I1137" s="87">
        <v>0.0</v>
      </c>
      <c r="J1137" s="87">
        <v>33.3807</v>
      </c>
      <c r="K1137" s="87">
        <v>27.68362</v>
      </c>
      <c r="L1137" s="87">
        <v>27.87786</v>
      </c>
      <c r="M1137" s="87">
        <v>10.15766</v>
      </c>
      <c r="N1137" s="87">
        <v>0.36692</v>
      </c>
      <c r="O1137" s="87">
        <v>3.493952</v>
      </c>
      <c r="P1137" s="87">
        <v>3.493952</v>
      </c>
      <c r="Q1137" s="87">
        <v>5.880079</v>
      </c>
      <c r="R1137" s="87">
        <v>8.15192</v>
      </c>
      <c r="S1137" s="87">
        <v>8.15192</v>
      </c>
      <c r="T1137" s="87">
        <v>3.493952</v>
      </c>
      <c r="U1137" s="87">
        <v>3.493952</v>
      </c>
      <c r="V1137" s="87">
        <v>5.880079</v>
      </c>
      <c r="W1137" s="87">
        <v>8.15192</v>
      </c>
      <c r="X1137" s="87">
        <v>8.15192</v>
      </c>
      <c r="Y1137" s="87">
        <v>6.920904</v>
      </c>
      <c r="Z1137" s="88" t="s">
        <v>1396</v>
      </c>
    </row>
    <row r="1138" hidden="1">
      <c r="A1138" s="90" t="s">
        <v>2983</v>
      </c>
      <c r="B1138" s="90" t="s">
        <v>2993</v>
      </c>
      <c r="C1138" s="90" t="s">
        <v>630</v>
      </c>
      <c r="D1138" s="90" t="s">
        <v>2989</v>
      </c>
      <c r="E1138" s="90" t="s">
        <v>1400</v>
      </c>
      <c r="F1138" s="87">
        <v>1.0</v>
      </c>
      <c r="G1138" s="87">
        <v>0.0</v>
      </c>
      <c r="H1138" s="87">
        <v>145.0</v>
      </c>
      <c r="I1138" s="87">
        <v>0.0</v>
      </c>
      <c r="J1138" s="87">
        <v>4.697594</v>
      </c>
      <c r="K1138" s="87">
        <v>3.848166</v>
      </c>
      <c r="L1138" s="87">
        <v>3.569193</v>
      </c>
      <c r="M1138" s="87">
        <v>3.848166</v>
      </c>
      <c r="N1138" s="87">
        <v>1.0</v>
      </c>
      <c r="O1138" s="87">
        <v>0.0</v>
      </c>
      <c r="P1138" s="87">
        <v>0.0</v>
      </c>
      <c r="Q1138" s="87">
        <v>0.0</v>
      </c>
      <c r="R1138" s="87">
        <v>3.848166</v>
      </c>
      <c r="S1138" s="87">
        <v>3.848166</v>
      </c>
      <c r="T1138" s="87">
        <v>3.848166</v>
      </c>
      <c r="U1138" s="87">
        <v>3.848166</v>
      </c>
      <c r="V1138" s="87">
        <v>3.848166</v>
      </c>
      <c r="W1138" s="87">
        <v>3.848166</v>
      </c>
      <c r="X1138" s="87">
        <v>3.848166</v>
      </c>
      <c r="Y1138" s="87">
        <v>1.924083</v>
      </c>
      <c r="Z1138" s="88" t="s">
        <v>1396</v>
      </c>
    </row>
    <row r="1139" hidden="1">
      <c r="A1139" s="90" t="s">
        <v>2985</v>
      </c>
      <c r="B1139" s="90" t="s">
        <v>2994</v>
      </c>
      <c r="C1139" s="90" t="s">
        <v>630</v>
      </c>
      <c r="D1139" s="90" t="s">
        <v>2989</v>
      </c>
      <c r="E1139" s="89">
        <v>46300.0</v>
      </c>
      <c r="F1139" s="87">
        <v>9.0</v>
      </c>
      <c r="G1139" s="87">
        <v>0.0</v>
      </c>
      <c r="H1139" s="87">
        <v>8772.0</v>
      </c>
      <c r="I1139" s="87">
        <v>0.0</v>
      </c>
      <c r="J1139" s="87">
        <v>216.1614</v>
      </c>
      <c r="K1139" s="87">
        <v>205.9833</v>
      </c>
      <c r="L1139" s="87">
        <v>198.5133</v>
      </c>
      <c r="M1139" s="87">
        <v>157.5377</v>
      </c>
      <c r="N1139" s="87">
        <v>0.764808</v>
      </c>
      <c r="O1139" s="87">
        <v>4.46046</v>
      </c>
      <c r="P1139" s="87">
        <v>6.856739</v>
      </c>
      <c r="Q1139" s="87">
        <v>7.973268</v>
      </c>
      <c r="R1139" s="87">
        <v>9.345803</v>
      </c>
      <c r="S1139" s="87">
        <v>19.80927</v>
      </c>
      <c r="T1139" s="87">
        <v>4.46046</v>
      </c>
      <c r="U1139" s="87">
        <v>6.856739</v>
      </c>
      <c r="V1139" s="87">
        <v>7.973268</v>
      </c>
      <c r="W1139" s="87">
        <v>9.345803</v>
      </c>
      <c r="X1139" s="87">
        <v>19.80927</v>
      </c>
      <c r="Y1139" s="87">
        <v>29.42618</v>
      </c>
      <c r="Z1139" s="88" t="s">
        <v>1396</v>
      </c>
    </row>
    <row r="1140" hidden="1">
      <c r="A1140" s="90" t="s">
        <v>2972</v>
      </c>
      <c r="B1140" s="90" t="s">
        <v>2995</v>
      </c>
      <c r="C1140" s="90" t="s">
        <v>630</v>
      </c>
      <c r="D1140" s="90" t="s">
        <v>2989</v>
      </c>
      <c r="E1140" s="90" t="s">
        <v>1403</v>
      </c>
      <c r="F1140" s="87">
        <v>4.0</v>
      </c>
      <c r="G1140" s="87">
        <v>4.0</v>
      </c>
      <c r="H1140" s="87">
        <v>133.0</v>
      </c>
      <c r="I1140" s="87">
        <v>133.0</v>
      </c>
      <c r="J1140" s="87">
        <v>0.0</v>
      </c>
      <c r="K1140" s="87">
        <v>0.0</v>
      </c>
      <c r="L1140" s="87">
        <v>0.0</v>
      </c>
      <c r="M1140" s="87">
        <v>0.0</v>
      </c>
      <c r="N1140" s="91"/>
      <c r="O1140" s="87">
        <v>0.0</v>
      </c>
      <c r="P1140" s="87">
        <v>0.0</v>
      </c>
      <c r="Q1140" s="87">
        <v>0.0</v>
      </c>
      <c r="R1140" s="87">
        <v>0.0</v>
      </c>
      <c r="S1140" s="87">
        <v>0.0</v>
      </c>
      <c r="T1140" s="91"/>
      <c r="U1140" s="91"/>
      <c r="V1140" s="91"/>
      <c r="W1140" s="91"/>
      <c r="X1140" s="91"/>
      <c r="Y1140" s="87">
        <v>0.0</v>
      </c>
      <c r="Z1140" s="88" t="s">
        <v>1396</v>
      </c>
    </row>
    <row r="1141" hidden="1">
      <c r="A1141" s="90" t="s">
        <v>2981</v>
      </c>
      <c r="B1141" s="90" t="s">
        <v>3386</v>
      </c>
      <c r="C1141" s="90" t="s">
        <v>630</v>
      </c>
      <c r="D1141" s="90" t="s">
        <v>3387</v>
      </c>
      <c r="E1141" s="90" t="s">
        <v>1398</v>
      </c>
      <c r="F1141" s="87">
        <v>2.0</v>
      </c>
      <c r="G1141" s="87">
        <v>0.0</v>
      </c>
      <c r="H1141" s="87">
        <v>16.0</v>
      </c>
      <c r="I1141" s="87">
        <v>0.0</v>
      </c>
      <c r="J1141" s="87">
        <v>0.0</v>
      </c>
      <c r="K1141" s="87">
        <v>0.0</v>
      </c>
      <c r="L1141" s="87">
        <v>0.0</v>
      </c>
      <c r="M1141" s="87">
        <v>0.0</v>
      </c>
      <c r="N1141" s="91"/>
      <c r="O1141" s="91"/>
      <c r="P1141" s="91"/>
      <c r="Q1141" s="91"/>
      <c r="R1141" s="91"/>
      <c r="S1141" s="91"/>
      <c r="T1141" s="91"/>
      <c r="U1141" s="91"/>
      <c r="V1141" s="91"/>
      <c r="W1141" s="91"/>
      <c r="X1141" s="91"/>
      <c r="Y1141" s="91"/>
      <c r="Z1141" s="88" t="s">
        <v>1396</v>
      </c>
    </row>
    <row r="1142" hidden="1">
      <c r="A1142" s="90" t="s">
        <v>2977</v>
      </c>
      <c r="B1142" s="90" t="s">
        <v>2996</v>
      </c>
      <c r="C1142" s="90" t="s">
        <v>630</v>
      </c>
      <c r="D1142" s="90" t="s">
        <v>645</v>
      </c>
      <c r="E1142" s="86">
        <v>46310.0</v>
      </c>
      <c r="F1142" s="87">
        <v>3.0</v>
      </c>
      <c r="G1142" s="87">
        <v>0.0</v>
      </c>
      <c r="H1142" s="87">
        <v>3200.0</v>
      </c>
      <c r="I1142" s="87">
        <v>0.0</v>
      </c>
      <c r="J1142" s="87">
        <v>0.0</v>
      </c>
      <c r="K1142" s="87">
        <v>0.0</v>
      </c>
      <c r="L1142" s="87">
        <v>0.0</v>
      </c>
      <c r="M1142" s="87">
        <v>0.0</v>
      </c>
      <c r="N1142" s="91"/>
      <c r="O1142" s="91"/>
      <c r="P1142" s="91"/>
      <c r="Q1142" s="91"/>
      <c r="R1142" s="91"/>
      <c r="S1142" s="91"/>
      <c r="T1142" s="91"/>
      <c r="U1142" s="91"/>
      <c r="V1142" s="91"/>
      <c r="W1142" s="91"/>
      <c r="X1142" s="91"/>
      <c r="Y1142" s="91"/>
      <c r="Z1142" s="88" t="s">
        <v>1396</v>
      </c>
    </row>
    <row r="1143" hidden="1">
      <c r="A1143" s="90" t="s">
        <v>2985</v>
      </c>
      <c r="B1143" s="90" t="s">
        <v>2997</v>
      </c>
      <c r="C1143" s="90" t="s">
        <v>630</v>
      </c>
      <c r="D1143" s="90" t="s">
        <v>645</v>
      </c>
      <c r="E1143" s="89">
        <v>46300.0</v>
      </c>
      <c r="F1143" s="87">
        <v>1.0</v>
      </c>
      <c r="G1143" s="87">
        <v>0.0</v>
      </c>
      <c r="H1143" s="87">
        <v>2602.0</v>
      </c>
      <c r="I1143" s="87">
        <v>0.0</v>
      </c>
      <c r="J1143" s="87">
        <v>0.0</v>
      </c>
      <c r="K1143" s="87">
        <v>0.0</v>
      </c>
      <c r="L1143" s="87">
        <v>0.0</v>
      </c>
      <c r="M1143" s="87">
        <v>0.0</v>
      </c>
      <c r="N1143" s="91"/>
      <c r="O1143" s="87">
        <v>0.0</v>
      </c>
      <c r="P1143" s="87">
        <v>0.0</v>
      </c>
      <c r="Q1143" s="87">
        <v>0.0</v>
      </c>
      <c r="R1143" s="87">
        <v>0.0</v>
      </c>
      <c r="S1143" s="87">
        <v>0.0</v>
      </c>
      <c r="T1143" s="91"/>
      <c r="U1143" s="91"/>
      <c r="V1143" s="91"/>
      <c r="W1143" s="91"/>
      <c r="X1143" s="91"/>
      <c r="Y1143" s="87">
        <v>0.0</v>
      </c>
      <c r="Z1143" s="88" t="s">
        <v>1396</v>
      </c>
    </row>
    <row r="1144" hidden="1">
      <c r="A1144" s="90" t="s">
        <v>2972</v>
      </c>
      <c r="B1144" s="90" t="s">
        <v>2998</v>
      </c>
      <c r="C1144" s="90" t="s">
        <v>630</v>
      </c>
      <c r="D1144" s="90" t="s">
        <v>645</v>
      </c>
      <c r="E1144" s="90" t="s">
        <v>1403</v>
      </c>
      <c r="F1144" s="87">
        <v>2.0</v>
      </c>
      <c r="G1144" s="87">
        <v>2.0</v>
      </c>
      <c r="H1144" s="87">
        <v>32.0</v>
      </c>
      <c r="I1144" s="87">
        <v>32.0</v>
      </c>
      <c r="J1144" s="87">
        <v>0.0</v>
      </c>
      <c r="K1144" s="87">
        <v>0.0</v>
      </c>
      <c r="L1144" s="87">
        <v>0.0</v>
      </c>
      <c r="M1144" s="87">
        <v>0.0</v>
      </c>
      <c r="N1144" s="91"/>
      <c r="O1144" s="87">
        <v>0.0</v>
      </c>
      <c r="P1144" s="87">
        <v>0.0</v>
      </c>
      <c r="Q1144" s="87">
        <v>0.0</v>
      </c>
      <c r="R1144" s="87">
        <v>0.0</v>
      </c>
      <c r="S1144" s="87">
        <v>0.0</v>
      </c>
      <c r="T1144" s="91"/>
      <c r="U1144" s="91"/>
      <c r="V1144" s="91"/>
      <c r="W1144" s="91"/>
      <c r="X1144" s="91"/>
      <c r="Y1144" s="87">
        <v>0.0</v>
      </c>
      <c r="Z1144" s="88" t="s">
        <v>1396</v>
      </c>
    </row>
    <row r="1145" hidden="1">
      <c r="A1145" s="90" t="s">
        <v>2975</v>
      </c>
      <c r="B1145" s="90" t="s">
        <v>2999</v>
      </c>
      <c r="C1145" s="90" t="s">
        <v>630</v>
      </c>
      <c r="D1145" s="90" t="s">
        <v>3000</v>
      </c>
      <c r="E1145" s="90" t="s">
        <v>1426</v>
      </c>
      <c r="F1145" s="87">
        <v>4.0</v>
      </c>
      <c r="G1145" s="87">
        <v>0.0</v>
      </c>
      <c r="H1145" s="87">
        <v>12919.0</v>
      </c>
      <c r="I1145" s="87">
        <v>0.0</v>
      </c>
      <c r="J1145" s="87">
        <v>0.0</v>
      </c>
      <c r="K1145" s="87">
        <v>0.0</v>
      </c>
      <c r="L1145" s="87">
        <v>0.0</v>
      </c>
      <c r="M1145" s="87">
        <v>0.0</v>
      </c>
      <c r="N1145" s="91"/>
      <c r="O1145" s="91"/>
      <c r="P1145" s="91"/>
      <c r="Q1145" s="91"/>
      <c r="R1145" s="91"/>
      <c r="S1145" s="91"/>
      <c r="T1145" s="91"/>
      <c r="U1145" s="91"/>
      <c r="V1145" s="91"/>
      <c r="W1145" s="91"/>
      <c r="X1145" s="91"/>
      <c r="Y1145" s="91"/>
      <c r="Z1145" s="88" t="s">
        <v>1396</v>
      </c>
    </row>
    <row r="1146" hidden="1">
      <c r="A1146" s="90" t="s">
        <v>2977</v>
      </c>
      <c r="B1146" s="90" t="s">
        <v>3001</v>
      </c>
      <c r="C1146" s="90" t="s">
        <v>630</v>
      </c>
      <c r="D1146" s="90" t="s">
        <v>3000</v>
      </c>
      <c r="E1146" s="86">
        <v>46310.0</v>
      </c>
      <c r="F1146" s="87">
        <v>5.0</v>
      </c>
      <c r="G1146" s="87">
        <v>0.0</v>
      </c>
      <c r="H1146" s="87">
        <v>5895.0</v>
      </c>
      <c r="I1146" s="87">
        <v>0.0</v>
      </c>
      <c r="J1146" s="87">
        <v>0.0</v>
      </c>
      <c r="K1146" s="87">
        <v>0.0</v>
      </c>
      <c r="L1146" s="87">
        <v>0.0</v>
      </c>
      <c r="M1146" s="87">
        <v>0.0</v>
      </c>
      <c r="N1146" s="91"/>
      <c r="O1146" s="91"/>
      <c r="P1146" s="91"/>
      <c r="Q1146" s="91"/>
      <c r="R1146" s="91"/>
      <c r="S1146" s="91"/>
      <c r="T1146" s="91"/>
      <c r="U1146" s="91"/>
      <c r="V1146" s="91"/>
      <c r="W1146" s="91"/>
      <c r="X1146" s="91"/>
      <c r="Y1146" s="91"/>
      <c r="Z1146" s="88" t="s">
        <v>1396</v>
      </c>
    </row>
    <row r="1147" hidden="1">
      <c r="A1147" s="90" t="s">
        <v>2979</v>
      </c>
      <c r="B1147" s="90" t="s">
        <v>3388</v>
      </c>
      <c r="C1147" s="90" t="s">
        <v>630</v>
      </c>
      <c r="D1147" s="90" t="s">
        <v>3000</v>
      </c>
      <c r="E1147" s="90" t="s">
        <v>1413</v>
      </c>
      <c r="F1147" s="87">
        <v>1.0</v>
      </c>
      <c r="G1147" s="87">
        <v>0.0</v>
      </c>
      <c r="H1147" s="87">
        <v>766.0</v>
      </c>
      <c r="I1147" s="87">
        <v>0.0</v>
      </c>
      <c r="J1147" s="87">
        <v>0.0</v>
      </c>
      <c r="K1147" s="87">
        <v>0.0</v>
      </c>
      <c r="L1147" s="87">
        <v>0.0</v>
      </c>
      <c r="M1147" s="87">
        <v>0.0</v>
      </c>
      <c r="N1147" s="91"/>
      <c r="O1147" s="91"/>
      <c r="P1147" s="91"/>
      <c r="Q1147" s="91"/>
      <c r="R1147" s="91"/>
      <c r="S1147" s="91"/>
      <c r="T1147" s="91"/>
      <c r="U1147" s="91"/>
      <c r="V1147" s="91"/>
      <c r="W1147" s="91"/>
      <c r="X1147" s="91"/>
      <c r="Y1147" s="91"/>
      <c r="Z1147" s="88" t="s">
        <v>1396</v>
      </c>
    </row>
    <row r="1148" hidden="1">
      <c r="A1148" s="90" t="s">
        <v>2983</v>
      </c>
      <c r="B1148" s="90" t="s">
        <v>3389</v>
      </c>
      <c r="C1148" s="90" t="s">
        <v>630</v>
      </c>
      <c r="D1148" s="90" t="s">
        <v>3000</v>
      </c>
      <c r="E1148" s="90" t="s">
        <v>1400</v>
      </c>
      <c r="F1148" s="87">
        <v>3.0</v>
      </c>
      <c r="G1148" s="87">
        <v>0.0</v>
      </c>
      <c r="H1148" s="87">
        <v>2425.0</v>
      </c>
      <c r="I1148" s="87">
        <v>0.0</v>
      </c>
      <c r="J1148" s="87">
        <v>0.0</v>
      </c>
      <c r="K1148" s="87">
        <v>0.0</v>
      </c>
      <c r="L1148" s="87">
        <v>0.0</v>
      </c>
      <c r="M1148" s="87">
        <v>0.0</v>
      </c>
      <c r="N1148" s="91"/>
      <c r="O1148" s="91"/>
      <c r="P1148" s="91"/>
      <c r="Q1148" s="91"/>
      <c r="R1148" s="91"/>
      <c r="S1148" s="91"/>
      <c r="T1148" s="91"/>
      <c r="U1148" s="91"/>
      <c r="V1148" s="91"/>
      <c r="W1148" s="91"/>
      <c r="X1148" s="91"/>
      <c r="Y1148" s="91"/>
      <c r="Z1148" s="88" t="s">
        <v>1396</v>
      </c>
    </row>
    <row r="1149" hidden="1">
      <c r="A1149" s="90" t="s">
        <v>2985</v>
      </c>
      <c r="B1149" s="90" t="s">
        <v>3002</v>
      </c>
      <c r="C1149" s="90" t="s">
        <v>630</v>
      </c>
      <c r="D1149" s="90" t="s">
        <v>3000</v>
      </c>
      <c r="E1149" s="89">
        <v>46300.0</v>
      </c>
      <c r="F1149" s="87">
        <v>3.0</v>
      </c>
      <c r="G1149" s="87">
        <v>0.0</v>
      </c>
      <c r="H1149" s="87">
        <v>4006.0</v>
      </c>
      <c r="I1149" s="87">
        <v>0.0</v>
      </c>
      <c r="J1149" s="87">
        <v>0.0</v>
      </c>
      <c r="K1149" s="87">
        <v>0.0</v>
      </c>
      <c r="L1149" s="87">
        <v>0.0</v>
      </c>
      <c r="M1149" s="87">
        <v>0.0</v>
      </c>
      <c r="N1149" s="91"/>
      <c r="O1149" s="91"/>
      <c r="P1149" s="91"/>
      <c r="Q1149" s="91"/>
      <c r="R1149" s="91"/>
      <c r="S1149" s="91"/>
      <c r="T1149" s="91"/>
      <c r="U1149" s="91"/>
      <c r="V1149" s="91"/>
      <c r="W1149" s="91"/>
      <c r="X1149" s="91"/>
      <c r="Y1149" s="91"/>
      <c r="Z1149" s="88" t="s">
        <v>1396</v>
      </c>
    </row>
    <row r="1150" hidden="1">
      <c r="A1150" s="90" t="s">
        <v>2975</v>
      </c>
      <c r="B1150" s="90" t="s">
        <v>3004</v>
      </c>
      <c r="C1150" s="90" t="s">
        <v>630</v>
      </c>
      <c r="D1150" s="90" t="s">
        <v>631</v>
      </c>
      <c r="E1150" s="90" t="s">
        <v>1426</v>
      </c>
      <c r="F1150" s="87">
        <v>14.0</v>
      </c>
      <c r="G1150" s="87">
        <v>2.0</v>
      </c>
      <c r="H1150" s="87">
        <v>17984.0</v>
      </c>
      <c r="I1150" s="87">
        <v>91.0</v>
      </c>
      <c r="J1150" s="87">
        <v>477.8716</v>
      </c>
      <c r="K1150" s="87">
        <v>415.7918</v>
      </c>
      <c r="L1150" s="87">
        <v>362.9153</v>
      </c>
      <c r="M1150" s="87">
        <v>314.7204</v>
      </c>
      <c r="N1150" s="87">
        <v>0.756918</v>
      </c>
      <c r="O1150" s="87">
        <v>0.0</v>
      </c>
      <c r="P1150" s="87">
        <v>2.340848</v>
      </c>
      <c r="Q1150" s="87">
        <v>12.8013</v>
      </c>
      <c r="R1150" s="87">
        <v>41.17146</v>
      </c>
      <c r="S1150" s="87">
        <v>44.75781</v>
      </c>
      <c r="T1150" s="87">
        <v>2.340848</v>
      </c>
      <c r="U1150" s="87">
        <v>12.8013</v>
      </c>
      <c r="V1150" s="87">
        <v>12.8013</v>
      </c>
      <c r="W1150" s="87">
        <v>44.75781</v>
      </c>
      <c r="X1150" s="87">
        <v>78.09834</v>
      </c>
      <c r="Y1150" s="87">
        <v>59.39883</v>
      </c>
      <c r="Z1150" s="88" t="s">
        <v>1396</v>
      </c>
    </row>
    <row r="1151" hidden="1">
      <c r="A1151" s="90" t="s">
        <v>2977</v>
      </c>
      <c r="B1151" s="90" t="s">
        <v>3005</v>
      </c>
      <c r="C1151" s="90" t="s">
        <v>630</v>
      </c>
      <c r="D1151" s="90" t="s">
        <v>631</v>
      </c>
      <c r="E1151" s="86">
        <v>46310.0</v>
      </c>
      <c r="F1151" s="87">
        <v>22.0</v>
      </c>
      <c r="G1151" s="87">
        <v>3.0</v>
      </c>
      <c r="H1151" s="87">
        <v>17613.0</v>
      </c>
      <c r="I1151" s="87">
        <v>16.0</v>
      </c>
      <c r="J1151" s="87">
        <v>125.0811</v>
      </c>
      <c r="K1151" s="87">
        <v>122.5965</v>
      </c>
      <c r="L1151" s="87">
        <v>127.6905</v>
      </c>
      <c r="M1151" s="87">
        <v>70.49249</v>
      </c>
      <c r="N1151" s="87">
        <v>0.574996</v>
      </c>
      <c r="O1151" s="87">
        <v>0.0</v>
      </c>
      <c r="P1151" s="87">
        <v>0.0</v>
      </c>
      <c r="Q1151" s="87">
        <v>0.3</v>
      </c>
      <c r="R1151" s="87">
        <v>7.734798</v>
      </c>
      <c r="S1151" s="87">
        <v>10.66347</v>
      </c>
      <c r="T1151" s="87">
        <v>3.667466</v>
      </c>
      <c r="U1151" s="87">
        <v>6.122553</v>
      </c>
      <c r="V1151" s="87">
        <v>7.734798</v>
      </c>
      <c r="W1151" s="87">
        <v>10.66347</v>
      </c>
      <c r="X1151" s="87">
        <v>21.69497</v>
      </c>
      <c r="Y1151" s="87">
        <v>8.756896</v>
      </c>
      <c r="Z1151" s="88" t="s">
        <v>1396</v>
      </c>
    </row>
    <row r="1152" hidden="1">
      <c r="A1152" s="90" t="s">
        <v>2979</v>
      </c>
      <c r="B1152" s="90" t="s">
        <v>3006</v>
      </c>
      <c r="C1152" s="90" t="s">
        <v>630</v>
      </c>
      <c r="D1152" s="90" t="s">
        <v>631</v>
      </c>
      <c r="E1152" s="90" t="s">
        <v>1413</v>
      </c>
      <c r="F1152" s="87">
        <v>18.0</v>
      </c>
      <c r="G1152" s="87">
        <v>2.0</v>
      </c>
      <c r="H1152" s="87">
        <v>15270.0</v>
      </c>
      <c r="I1152" s="87">
        <v>5.0</v>
      </c>
      <c r="J1152" s="87">
        <v>186.8384</v>
      </c>
      <c r="K1152" s="87">
        <v>183.9561</v>
      </c>
      <c r="L1152" s="87">
        <v>184.4092</v>
      </c>
      <c r="M1152" s="87">
        <v>119.947</v>
      </c>
      <c r="N1152" s="87">
        <v>0.652041</v>
      </c>
      <c r="O1152" s="87">
        <v>0.0</v>
      </c>
      <c r="P1152" s="87">
        <v>0.0</v>
      </c>
      <c r="Q1152" s="87">
        <v>0.1</v>
      </c>
      <c r="R1152" s="87">
        <v>8.190251</v>
      </c>
      <c r="S1152" s="87">
        <v>9.037325</v>
      </c>
      <c r="T1152" s="87">
        <v>0.572161</v>
      </c>
      <c r="U1152" s="87">
        <v>4.670828</v>
      </c>
      <c r="V1152" s="87">
        <v>8.190251</v>
      </c>
      <c r="W1152" s="87">
        <v>8.546437</v>
      </c>
      <c r="X1152" s="87">
        <v>10.81497</v>
      </c>
      <c r="Y1152" s="87">
        <v>9.197805</v>
      </c>
      <c r="Z1152" s="88" t="s">
        <v>1396</v>
      </c>
    </row>
    <row r="1153" hidden="1">
      <c r="A1153" s="90" t="s">
        <v>2981</v>
      </c>
      <c r="B1153" s="90" t="s">
        <v>3007</v>
      </c>
      <c r="C1153" s="90" t="s">
        <v>630</v>
      </c>
      <c r="D1153" s="90" t="s">
        <v>631</v>
      </c>
      <c r="E1153" s="90" t="s">
        <v>1398</v>
      </c>
      <c r="F1153" s="87">
        <v>18.0</v>
      </c>
      <c r="G1153" s="87">
        <v>0.0</v>
      </c>
      <c r="H1153" s="87">
        <v>15414.0</v>
      </c>
      <c r="I1153" s="87">
        <v>0.0</v>
      </c>
      <c r="J1153" s="87">
        <v>112.2929</v>
      </c>
      <c r="K1153" s="87">
        <v>102.7156</v>
      </c>
      <c r="L1153" s="87">
        <v>95.27499</v>
      </c>
      <c r="M1153" s="87">
        <v>79.37272</v>
      </c>
      <c r="N1153" s="87">
        <v>0.772743</v>
      </c>
      <c r="O1153" s="87">
        <v>1.0</v>
      </c>
      <c r="P1153" s="87">
        <v>2.366671</v>
      </c>
      <c r="Q1153" s="87">
        <v>2.4496</v>
      </c>
      <c r="R1153" s="87">
        <v>3.582834</v>
      </c>
      <c r="S1153" s="87">
        <v>6.91709</v>
      </c>
      <c r="T1153" s="87">
        <v>1.0</v>
      </c>
      <c r="U1153" s="87">
        <v>2.366671</v>
      </c>
      <c r="V1153" s="87">
        <v>2.4496</v>
      </c>
      <c r="W1153" s="87">
        <v>3.582834</v>
      </c>
      <c r="X1153" s="87">
        <v>6.91709</v>
      </c>
      <c r="Y1153" s="87">
        <v>11.41284</v>
      </c>
      <c r="Z1153" s="88" t="s">
        <v>1396</v>
      </c>
    </row>
    <row r="1154" hidden="1">
      <c r="A1154" s="90" t="s">
        <v>2983</v>
      </c>
      <c r="B1154" s="90" t="s">
        <v>3008</v>
      </c>
      <c r="C1154" s="90" t="s">
        <v>630</v>
      </c>
      <c r="D1154" s="90" t="s">
        <v>631</v>
      </c>
      <c r="E1154" s="90" t="s">
        <v>1400</v>
      </c>
      <c r="F1154" s="87">
        <v>39.0</v>
      </c>
      <c r="G1154" s="87">
        <v>0.0</v>
      </c>
      <c r="H1154" s="87">
        <v>12870.0</v>
      </c>
      <c r="I1154" s="87">
        <v>0.0</v>
      </c>
      <c r="J1154" s="87">
        <v>90.66796</v>
      </c>
      <c r="K1154" s="87">
        <v>82.21992</v>
      </c>
      <c r="L1154" s="87">
        <v>77.12312</v>
      </c>
      <c r="M1154" s="87">
        <v>44.31301</v>
      </c>
      <c r="N1154" s="87">
        <v>0.538957</v>
      </c>
      <c r="O1154" s="87">
        <v>0.702299</v>
      </c>
      <c r="P1154" s="87">
        <v>1.239261</v>
      </c>
      <c r="Q1154" s="87">
        <v>1.705126</v>
      </c>
      <c r="R1154" s="87">
        <v>2.583008</v>
      </c>
      <c r="S1154" s="87">
        <v>5.055973</v>
      </c>
      <c r="T1154" s="87">
        <v>0.702299</v>
      </c>
      <c r="U1154" s="87">
        <v>1.239261</v>
      </c>
      <c r="V1154" s="87">
        <v>1.705126</v>
      </c>
      <c r="W1154" s="87">
        <v>2.583008</v>
      </c>
      <c r="X1154" s="87">
        <v>5.055973</v>
      </c>
      <c r="Y1154" s="87">
        <v>4.110996</v>
      </c>
      <c r="Z1154" s="88" t="s">
        <v>1396</v>
      </c>
    </row>
    <row r="1155" hidden="1">
      <c r="A1155" s="90" t="s">
        <v>2985</v>
      </c>
      <c r="B1155" s="90" t="s">
        <v>3009</v>
      </c>
      <c r="C1155" s="90" t="s">
        <v>630</v>
      </c>
      <c r="D1155" s="90" t="s">
        <v>631</v>
      </c>
      <c r="E1155" s="89">
        <v>46300.0</v>
      </c>
      <c r="F1155" s="87">
        <v>11.0</v>
      </c>
      <c r="G1155" s="87">
        <v>1.0</v>
      </c>
      <c r="H1155" s="87">
        <v>22738.0</v>
      </c>
      <c r="I1155" s="87">
        <v>2.0</v>
      </c>
      <c r="J1155" s="87">
        <v>223.5711</v>
      </c>
      <c r="K1155" s="87">
        <v>221.8756</v>
      </c>
      <c r="L1155" s="87">
        <v>225.7127</v>
      </c>
      <c r="M1155" s="87">
        <v>161.9664</v>
      </c>
      <c r="N1155" s="87">
        <v>0.729988</v>
      </c>
      <c r="O1155" s="87">
        <v>0.0</v>
      </c>
      <c r="P1155" s="87">
        <v>0.198925</v>
      </c>
      <c r="Q1155" s="87">
        <v>2.642988</v>
      </c>
      <c r="R1155" s="87">
        <v>5.703984</v>
      </c>
      <c r="S1155" s="87">
        <v>29.78629</v>
      </c>
      <c r="T1155" s="87">
        <v>0.198925</v>
      </c>
      <c r="U1155" s="87">
        <v>2.642988</v>
      </c>
      <c r="V1155" s="87">
        <v>4.479294</v>
      </c>
      <c r="W1155" s="87">
        <v>17.09768</v>
      </c>
      <c r="X1155" s="87">
        <v>29.78629</v>
      </c>
      <c r="Y1155" s="87">
        <v>24.65284</v>
      </c>
      <c r="Z1155" s="88" t="s">
        <v>1396</v>
      </c>
    </row>
    <row r="1156" hidden="1">
      <c r="A1156" s="90" t="s">
        <v>2972</v>
      </c>
      <c r="B1156" s="90" t="s">
        <v>3010</v>
      </c>
      <c r="C1156" s="90" t="s">
        <v>630</v>
      </c>
      <c r="D1156" s="90" t="s">
        <v>631</v>
      </c>
      <c r="E1156" s="90" t="s">
        <v>1403</v>
      </c>
      <c r="F1156" s="87">
        <v>16.0</v>
      </c>
      <c r="G1156" s="87">
        <v>16.0</v>
      </c>
      <c r="H1156" s="87">
        <v>405.0</v>
      </c>
      <c r="I1156" s="87">
        <v>405.0</v>
      </c>
      <c r="J1156" s="87">
        <v>0.0</v>
      </c>
      <c r="K1156" s="87">
        <v>0.0</v>
      </c>
      <c r="L1156" s="87">
        <v>0.0</v>
      </c>
      <c r="M1156" s="87">
        <v>0.0</v>
      </c>
      <c r="N1156" s="91"/>
      <c r="O1156" s="87">
        <v>0.0</v>
      </c>
      <c r="P1156" s="87">
        <v>0.0</v>
      </c>
      <c r="Q1156" s="87">
        <v>0.0</v>
      </c>
      <c r="R1156" s="87">
        <v>0.0</v>
      </c>
      <c r="S1156" s="87">
        <v>0.0</v>
      </c>
      <c r="T1156" s="91"/>
      <c r="U1156" s="91"/>
      <c r="V1156" s="91"/>
      <c r="W1156" s="91"/>
      <c r="X1156" s="91"/>
      <c r="Y1156" s="87">
        <v>0.0</v>
      </c>
      <c r="Z1156" s="88" t="s">
        <v>1396</v>
      </c>
    </row>
    <row r="1157" hidden="1">
      <c r="A1157" s="90" t="s">
        <v>2975</v>
      </c>
      <c r="B1157" s="90" t="s">
        <v>3011</v>
      </c>
      <c r="C1157" s="90" t="s">
        <v>630</v>
      </c>
      <c r="D1157" s="90" t="s">
        <v>1099</v>
      </c>
      <c r="E1157" s="90" t="s">
        <v>1426</v>
      </c>
      <c r="F1157" s="87">
        <v>18.0</v>
      </c>
      <c r="G1157" s="87">
        <v>0.0</v>
      </c>
      <c r="H1157" s="87">
        <v>14794.0</v>
      </c>
      <c r="I1157" s="87">
        <v>0.0</v>
      </c>
      <c r="J1157" s="87">
        <v>88.50211</v>
      </c>
      <c r="K1157" s="87">
        <v>90.68869</v>
      </c>
      <c r="L1157" s="87">
        <v>95.79116</v>
      </c>
      <c r="M1157" s="87">
        <v>63.81485</v>
      </c>
      <c r="N1157" s="87">
        <v>0.703669</v>
      </c>
      <c r="O1157" s="87">
        <v>0.0</v>
      </c>
      <c r="P1157" s="87">
        <v>0.133333</v>
      </c>
      <c r="Q1157" s="87">
        <v>0.332258</v>
      </c>
      <c r="R1157" s="87">
        <v>1.977011</v>
      </c>
      <c r="S1157" s="87">
        <v>3.527957</v>
      </c>
      <c r="T1157" s="87">
        <v>0.133333</v>
      </c>
      <c r="U1157" s="87">
        <v>0.332258</v>
      </c>
      <c r="V1157" s="87">
        <v>1.825616</v>
      </c>
      <c r="W1157" s="87">
        <v>2.398771</v>
      </c>
      <c r="X1157" s="87">
        <v>3.527957</v>
      </c>
      <c r="Y1157" s="87">
        <v>4.773089</v>
      </c>
      <c r="Z1157" s="88" t="s">
        <v>1396</v>
      </c>
    </row>
    <row r="1158" hidden="1">
      <c r="A1158" s="90" t="s">
        <v>2977</v>
      </c>
      <c r="B1158" s="90" t="s">
        <v>3012</v>
      </c>
      <c r="C1158" s="90" t="s">
        <v>630</v>
      </c>
      <c r="D1158" s="90" t="s">
        <v>1099</v>
      </c>
      <c r="E1158" s="86">
        <v>46310.0</v>
      </c>
      <c r="F1158" s="87">
        <v>11.0</v>
      </c>
      <c r="G1158" s="87">
        <v>0.0</v>
      </c>
      <c r="H1158" s="87">
        <v>5290.0</v>
      </c>
      <c r="I1158" s="87">
        <v>0.0</v>
      </c>
      <c r="J1158" s="87">
        <v>12.36456</v>
      </c>
      <c r="K1158" s="87">
        <v>13.10668</v>
      </c>
      <c r="L1158" s="87">
        <v>15.80115</v>
      </c>
      <c r="M1158" s="87">
        <v>6.974503</v>
      </c>
      <c r="N1158" s="87">
        <v>0.532133</v>
      </c>
      <c r="O1158" s="87">
        <v>0.0</v>
      </c>
      <c r="P1158" s="87">
        <v>0.444427</v>
      </c>
      <c r="Q1158" s="87">
        <v>0.498925</v>
      </c>
      <c r="R1158" s="87">
        <v>1.23498</v>
      </c>
      <c r="S1158" s="87">
        <v>1.629032</v>
      </c>
      <c r="T1158" s="87">
        <v>0.444427</v>
      </c>
      <c r="U1158" s="87">
        <v>0.498925</v>
      </c>
      <c r="V1158" s="87">
        <v>0.917443</v>
      </c>
      <c r="W1158" s="87">
        <v>1.407373</v>
      </c>
      <c r="X1158" s="87">
        <v>1.629032</v>
      </c>
      <c r="Y1158" s="87">
        <v>1.456298</v>
      </c>
      <c r="Z1158" s="88" t="s">
        <v>1396</v>
      </c>
    </row>
    <row r="1159" hidden="1">
      <c r="A1159" s="90" t="s">
        <v>2981</v>
      </c>
      <c r="B1159" s="90" t="s">
        <v>3013</v>
      </c>
      <c r="C1159" s="90" t="s">
        <v>630</v>
      </c>
      <c r="D1159" s="90" t="s">
        <v>1099</v>
      </c>
      <c r="E1159" s="90" t="s">
        <v>1398</v>
      </c>
      <c r="F1159" s="87">
        <v>0.0</v>
      </c>
      <c r="G1159" s="87">
        <v>0.0</v>
      </c>
      <c r="H1159" s="87">
        <v>0.0</v>
      </c>
      <c r="I1159" s="87">
        <v>0.0</v>
      </c>
      <c r="J1159" s="87">
        <v>0.0</v>
      </c>
      <c r="K1159" s="87">
        <v>0.0</v>
      </c>
      <c r="L1159" s="87">
        <v>0.833333</v>
      </c>
      <c r="M1159" s="87">
        <v>0.0</v>
      </c>
      <c r="N1159" s="91"/>
      <c r="O1159" s="87">
        <v>0.0</v>
      </c>
      <c r="P1159" s="87">
        <v>0.0</v>
      </c>
      <c r="Q1159" s="87">
        <v>0.0</v>
      </c>
      <c r="R1159" s="87">
        <v>0.0</v>
      </c>
      <c r="S1159" s="87">
        <v>0.0</v>
      </c>
      <c r="T1159" s="91"/>
      <c r="U1159" s="91"/>
      <c r="V1159" s="91"/>
      <c r="W1159" s="91"/>
      <c r="X1159" s="91"/>
      <c r="Y1159" s="87">
        <v>0.0</v>
      </c>
      <c r="Z1159" s="88" t="s">
        <v>1396</v>
      </c>
    </row>
    <row r="1160" hidden="1">
      <c r="A1160" s="90" t="s">
        <v>2983</v>
      </c>
      <c r="B1160" s="90" t="s">
        <v>3390</v>
      </c>
      <c r="C1160" s="90" t="s">
        <v>630</v>
      </c>
      <c r="D1160" s="90" t="s">
        <v>1099</v>
      </c>
      <c r="E1160" s="90" t="s">
        <v>1400</v>
      </c>
      <c r="F1160" s="87">
        <v>1.0</v>
      </c>
      <c r="G1160" s="87">
        <v>1.0</v>
      </c>
      <c r="H1160" s="87">
        <v>3.0</v>
      </c>
      <c r="I1160" s="87">
        <v>3.0</v>
      </c>
      <c r="J1160" s="87">
        <v>0.0</v>
      </c>
      <c r="K1160" s="87">
        <v>0.0</v>
      </c>
      <c r="L1160" s="87">
        <v>0.0</v>
      </c>
      <c r="M1160" s="87">
        <v>0.0</v>
      </c>
      <c r="N1160" s="91"/>
      <c r="O1160" s="91"/>
      <c r="P1160" s="91"/>
      <c r="Q1160" s="91"/>
      <c r="R1160" s="91"/>
      <c r="S1160" s="91"/>
      <c r="T1160" s="91"/>
      <c r="U1160" s="91"/>
      <c r="V1160" s="91"/>
      <c r="W1160" s="91"/>
      <c r="X1160" s="91"/>
      <c r="Y1160" s="91"/>
      <c r="Z1160" s="88" t="s">
        <v>1396</v>
      </c>
    </row>
    <row r="1161" hidden="1">
      <c r="A1161" s="90" t="s">
        <v>2985</v>
      </c>
      <c r="B1161" s="90" t="s">
        <v>3014</v>
      </c>
      <c r="C1161" s="90" t="s">
        <v>630</v>
      </c>
      <c r="D1161" s="90" t="s">
        <v>1099</v>
      </c>
      <c r="E1161" s="89">
        <v>46300.0</v>
      </c>
      <c r="F1161" s="87">
        <v>36.0</v>
      </c>
      <c r="G1161" s="87">
        <v>0.0</v>
      </c>
      <c r="H1161" s="87">
        <v>27660.0</v>
      </c>
      <c r="I1161" s="87">
        <v>0.0</v>
      </c>
      <c r="J1161" s="87">
        <v>214.2397</v>
      </c>
      <c r="K1161" s="87">
        <v>224.3157</v>
      </c>
      <c r="L1161" s="87">
        <v>230.2652</v>
      </c>
      <c r="M1161" s="87">
        <v>173.7691</v>
      </c>
      <c r="N1161" s="87">
        <v>0.774663</v>
      </c>
      <c r="O1161" s="87">
        <v>0.233333</v>
      </c>
      <c r="P1161" s="87">
        <v>0.932258</v>
      </c>
      <c r="Q1161" s="87">
        <v>1.102595</v>
      </c>
      <c r="R1161" s="87">
        <v>2.286432</v>
      </c>
      <c r="S1161" s="87">
        <v>3.299662</v>
      </c>
      <c r="T1161" s="87">
        <v>0.598925</v>
      </c>
      <c r="U1161" s="87">
        <v>0.932258</v>
      </c>
      <c r="V1161" s="87">
        <v>1.46129</v>
      </c>
      <c r="W1161" s="87">
        <v>2.351745</v>
      </c>
      <c r="X1161" s="87">
        <v>3.299662</v>
      </c>
      <c r="Y1161" s="87">
        <v>6.409021</v>
      </c>
      <c r="Z1161" s="88" t="s">
        <v>1396</v>
      </c>
    </row>
    <row r="1162" hidden="1">
      <c r="A1162" s="90" t="s">
        <v>2972</v>
      </c>
      <c r="B1162" s="90" t="s">
        <v>3015</v>
      </c>
      <c r="C1162" s="90" t="s">
        <v>630</v>
      </c>
      <c r="D1162" s="90" t="s">
        <v>1099</v>
      </c>
      <c r="E1162" s="90" t="s">
        <v>1403</v>
      </c>
      <c r="F1162" s="87">
        <v>0.0</v>
      </c>
      <c r="G1162" s="87">
        <v>0.0</v>
      </c>
      <c r="H1162" s="87">
        <v>0.0</v>
      </c>
      <c r="I1162" s="87">
        <v>0.0</v>
      </c>
      <c r="J1162" s="87">
        <v>0.0</v>
      </c>
      <c r="K1162" s="87">
        <v>0.0</v>
      </c>
      <c r="L1162" s="87">
        <v>0.0</v>
      </c>
      <c r="M1162" s="87">
        <v>0.0</v>
      </c>
      <c r="N1162" s="91"/>
      <c r="O1162" s="87">
        <v>0.0</v>
      </c>
      <c r="P1162" s="87">
        <v>0.0</v>
      </c>
      <c r="Q1162" s="87">
        <v>0.0</v>
      </c>
      <c r="R1162" s="87">
        <v>0.0</v>
      </c>
      <c r="S1162" s="87">
        <v>0.0</v>
      </c>
      <c r="T1162" s="91"/>
      <c r="U1162" s="91"/>
      <c r="V1162" s="91"/>
      <c r="W1162" s="91"/>
      <c r="X1162" s="91"/>
      <c r="Y1162" s="87">
        <v>0.0</v>
      </c>
      <c r="Z1162" s="88" t="s">
        <v>1396</v>
      </c>
    </row>
    <row r="1163" hidden="1">
      <c r="A1163" s="90" t="s">
        <v>2975</v>
      </c>
      <c r="B1163" s="90" t="s">
        <v>3016</v>
      </c>
      <c r="C1163" s="90" t="s">
        <v>630</v>
      </c>
      <c r="D1163" s="90" t="s">
        <v>3017</v>
      </c>
      <c r="E1163" s="90" t="s">
        <v>1426</v>
      </c>
      <c r="F1163" s="87">
        <v>5.0</v>
      </c>
      <c r="G1163" s="87">
        <v>0.0</v>
      </c>
      <c r="H1163" s="87">
        <v>7371.0</v>
      </c>
      <c r="I1163" s="87">
        <v>0.0</v>
      </c>
      <c r="J1163" s="87">
        <v>981.2761</v>
      </c>
      <c r="K1163" s="87">
        <v>968.5672</v>
      </c>
      <c r="L1163" s="87">
        <v>951.7579</v>
      </c>
      <c r="M1163" s="87">
        <v>823.6039</v>
      </c>
      <c r="N1163" s="87">
        <v>0.850332</v>
      </c>
      <c r="O1163" s="87">
        <v>0.0</v>
      </c>
      <c r="P1163" s="87">
        <v>0.0</v>
      </c>
      <c r="Q1163" s="87">
        <v>0.0</v>
      </c>
      <c r="R1163" s="87">
        <v>47.39204</v>
      </c>
      <c r="S1163" s="87">
        <v>97.57125</v>
      </c>
      <c r="T1163" s="87">
        <v>47.39204</v>
      </c>
      <c r="U1163" s="87">
        <v>47.39204</v>
      </c>
      <c r="V1163" s="87">
        <v>97.57125</v>
      </c>
      <c r="W1163" s="87">
        <v>104.066</v>
      </c>
      <c r="X1163" s="87">
        <v>104.066</v>
      </c>
      <c r="Y1163" s="87">
        <v>121.0709</v>
      </c>
      <c r="Z1163" s="88" t="s">
        <v>1396</v>
      </c>
    </row>
    <row r="1164" hidden="1">
      <c r="A1164" s="90" t="s">
        <v>2977</v>
      </c>
      <c r="B1164" s="90" t="s">
        <v>3018</v>
      </c>
      <c r="C1164" s="90" t="s">
        <v>630</v>
      </c>
      <c r="D1164" s="90" t="s">
        <v>3017</v>
      </c>
      <c r="E1164" s="89">
        <v>46310.0</v>
      </c>
      <c r="F1164" s="87">
        <v>2.0</v>
      </c>
      <c r="G1164" s="87">
        <v>1.0</v>
      </c>
      <c r="H1164" s="87">
        <v>1384.0</v>
      </c>
      <c r="I1164" s="87">
        <v>26.0</v>
      </c>
      <c r="J1164" s="87">
        <v>13.79902</v>
      </c>
      <c r="K1164" s="87">
        <v>15.2163</v>
      </c>
      <c r="L1164" s="87">
        <v>18.06727</v>
      </c>
      <c r="M1164" s="87">
        <v>15.2163</v>
      </c>
      <c r="N1164" s="87">
        <v>1.0</v>
      </c>
      <c r="O1164" s="87">
        <v>0.0</v>
      </c>
      <c r="P1164" s="87">
        <v>0.0</v>
      </c>
      <c r="Q1164" s="87">
        <v>0.0</v>
      </c>
      <c r="R1164" s="87">
        <v>0.0</v>
      </c>
      <c r="S1164" s="87">
        <v>0.0</v>
      </c>
      <c r="T1164" s="87">
        <v>15.2163</v>
      </c>
      <c r="U1164" s="87">
        <v>15.2163</v>
      </c>
      <c r="V1164" s="87">
        <v>15.2163</v>
      </c>
      <c r="W1164" s="87">
        <v>15.2163</v>
      </c>
      <c r="X1164" s="87">
        <v>15.2163</v>
      </c>
      <c r="Y1164" s="87">
        <v>3.804076</v>
      </c>
      <c r="Z1164" s="88" t="s">
        <v>1396</v>
      </c>
    </row>
    <row r="1165" hidden="1">
      <c r="A1165" s="90" t="s">
        <v>2979</v>
      </c>
      <c r="B1165" s="90" t="s">
        <v>3019</v>
      </c>
      <c r="C1165" s="90" t="s">
        <v>630</v>
      </c>
      <c r="D1165" s="90" t="s">
        <v>3017</v>
      </c>
      <c r="E1165" s="90" t="s">
        <v>1413</v>
      </c>
      <c r="F1165" s="87">
        <v>9.0</v>
      </c>
      <c r="G1165" s="87">
        <v>0.0</v>
      </c>
      <c r="H1165" s="87">
        <v>13554.0</v>
      </c>
      <c r="I1165" s="87">
        <v>0.0</v>
      </c>
      <c r="J1165" s="87">
        <v>119.6856</v>
      </c>
      <c r="K1165" s="87">
        <v>119.576</v>
      </c>
      <c r="L1165" s="87">
        <v>115.5873</v>
      </c>
      <c r="M1165" s="87">
        <v>59.01823</v>
      </c>
      <c r="N1165" s="87">
        <v>0.493562</v>
      </c>
      <c r="O1165" s="87">
        <v>2.838116</v>
      </c>
      <c r="P1165" s="87">
        <v>4.868389</v>
      </c>
      <c r="Q1165" s="87">
        <v>8.609369</v>
      </c>
      <c r="R1165" s="87">
        <v>14.65024</v>
      </c>
      <c r="S1165" s="87">
        <v>15.25683</v>
      </c>
      <c r="T1165" s="87">
        <v>2.838116</v>
      </c>
      <c r="U1165" s="87">
        <v>4.868389</v>
      </c>
      <c r="V1165" s="87">
        <v>8.609369</v>
      </c>
      <c r="W1165" s="87">
        <v>14.65024</v>
      </c>
      <c r="X1165" s="87">
        <v>15.25683</v>
      </c>
      <c r="Y1165" s="87">
        <v>14.947</v>
      </c>
      <c r="Z1165" s="88" t="s">
        <v>1396</v>
      </c>
    </row>
    <row r="1166" hidden="1">
      <c r="A1166" s="90" t="s">
        <v>2981</v>
      </c>
      <c r="B1166" s="90" t="s">
        <v>3020</v>
      </c>
      <c r="C1166" s="90" t="s">
        <v>630</v>
      </c>
      <c r="D1166" s="90" t="s">
        <v>3017</v>
      </c>
      <c r="E1166" s="90" t="s">
        <v>1398</v>
      </c>
      <c r="F1166" s="87">
        <v>0.0</v>
      </c>
      <c r="G1166" s="87">
        <v>0.0</v>
      </c>
      <c r="H1166" s="87">
        <v>0.0</v>
      </c>
      <c r="I1166" s="87">
        <v>0.0</v>
      </c>
      <c r="J1166" s="87">
        <v>0.0</v>
      </c>
      <c r="K1166" s="87">
        <v>1.0</v>
      </c>
      <c r="L1166" s="87">
        <v>2.176774</v>
      </c>
      <c r="M1166" s="87">
        <v>1.0</v>
      </c>
      <c r="N1166" s="87">
        <v>1.0</v>
      </c>
      <c r="O1166" s="87">
        <v>1.0</v>
      </c>
      <c r="P1166" s="87">
        <v>1.0</v>
      </c>
      <c r="Q1166" s="87">
        <v>1.0</v>
      </c>
      <c r="R1166" s="87">
        <v>1.0</v>
      </c>
      <c r="S1166" s="87">
        <v>1.0</v>
      </c>
      <c r="T1166" s="87">
        <v>1.0</v>
      </c>
      <c r="U1166" s="87">
        <v>1.0</v>
      </c>
      <c r="V1166" s="87">
        <v>1.0</v>
      </c>
      <c r="W1166" s="87">
        <v>1.0</v>
      </c>
      <c r="X1166" s="87">
        <v>1.0</v>
      </c>
      <c r="Y1166" s="87">
        <v>1.0</v>
      </c>
      <c r="Z1166" s="88" t="s">
        <v>1396</v>
      </c>
    </row>
    <row r="1167" hidden="1">
      <c r="A1167" s="90" t="s">
        <v>2983</v>
      </c>
      <c r="B1167" s="90" t="s">
        <v>3021</v>
      </c>
      <c r="C1167" s="90" t="s">
        <v>630</v>
      </c>
      <c r="D1167" s="90" t="s">
        <v>3017</v>
      </c>
      <c r="E1167" s="90" t="s">
        <v>1400</v>
      </c>
      <c r="F1167" s="87">
        <v>3.0</v>
      </c>
      <c r="G1167" s="87">
        <v>1.0</v>
      </c>
      <c r="H1167" s="87">
        <v>1475.0</v>
      </c>
      <c r="I1167" s="87">
        <v>491.0</v>
      </c>
      <c r="J1167" s="87">
        <v>3.089943</v>
      </c>
      <c r="K1167" s="87">
        <v>2.886741</v>
      </c>
      <c r="L1167" s="87">
        <v>3.627983</v>
      </c>
      <c r="M1167" s="87">
        <v>2.886741</v>
      </c>
      <c r="N1167" s="87">
        <v>1.0</v>
      </c>
      <c r="O1167" s="87">
        <v>0.0</v>
      </c>
      <c r="P1167" s="87">
        <v>0.0</v>
      </c>
      <c r="Q1167" s="87">
        <v>0.0</v>
      </c>
      <c r="R1167" s="87">
        <v>2.886741</v>
      </c>
      <c r="S1167" s="87">
        <v>2.886741</v>
      </c>
      <c r="T1167" s="87">
        <v>2.886741</v>
      </c>
      <c r="U1167" s="87">
        <v>2.886741</v>
      </c>
      <c r="V1167" s="87">
        <v>2.886741</v>
      </c>
      <c r="W1167" s="87">
        <v>2.886741</v>
      </c>
      <c r="X1167" s="87">
        <v>2.886741</v>
      </c>
      <c r="Y1167" s="87">
        <v>1.44337</v>
      </c>
      <c r="Z1167" s="88" t="s">
        <v>1396</v>
      </c>
    </row>
    <row r="1168" hidden="1">
      <c r="A1168" s="90" t="s">
        <v>2985</v>
      </c>
      <c r="B1168" s="90" t="s">
        <v>3022</v>
      </c>
      <c r="C1168" s="90" t="s">
        <v>630</v>
      </c>
      <c r="D1168" s="90" t="s">
        <v>3017</v>
      </c>
      <c r="E1168" s="89">
        <v>46300.0</v>
      </c>
      <c r="F1168" s="87">
        <v>4.0</v>
      </c>
      <c r="G1168" s="87">
        <v>0.0</v>
      </c>
      <c r="H1168" s="87">
        <v>53.0</v>
      </c>
      <c r="I1168" s="87">
        <v>0.0</v>
      </c>
      <c r="J1168" s="87">
        <v>45.74773</v>
      </c>
      <c r="K1168" s="87">
        <v>45.43737</v>
      </c>
      <c r="L1168" s="87">
        <v>44.60032</v>
      </c>
      <c r="M1168" s="87">
        <v>27.90461</v>
      </c>
      <c r="N1168" s="87">
        <v>0.614134</v>
      </c>
      <c r="O1168" s="87">
        <v>0.0</v>
      </c>
      <c r="P1168" s="87">
        <v>0.0</v>
      </c>
      <c r="Q1168" s="87">
        <v>0.0</v>
      </c>
      <c r="R1168" s="87">
        <v>17.53275</v>
      </c>
      <c r="S1168" s="87">
        <v>27.90461</v>
      </c>
      <c r="T1168" s="87">
        <v>17.53275</v>
      </c>
      <c r="U1168" s="87">
        <v>17.53275</v>
      </c>
      <c r="V1168" s="87">
        <v>17.53275</v>
      </c>
      <c r="W1168" s="87">
        <v>27.90461</v>
      </c>
      <c r="X1168" s="87">
        <v>27.90461</v>
      </c>
      <c r="Y1168" s="87">
        <v>15.14579</v>
      </c>
      <c r="Z1168" s="88" t="s">
        <v>1396</v>
      </c>
    </row>
    <row r="1169" hidden="1">
      <c r="A1169" s="90" t="s">
        <v>2972</v>
      </c>
      <c r="B1169" s="90" t="s">
        <v>3023</v>
      </c>
      <c r="C1169" s="90" t="s">
        <v>630</v>
      </c>
      <c r="D1169" s="90" t="s">
        <v>3017</v>
      </c>
      <c r="E1169" s="90" t="s">
        <v>1403</v>
      </c>
      <c r="F1169" s="87">
        <v>4.0</v>
      </c>
      <c r="G1169" s="87">
        <v>4.0</v>
      </c>
      <c r="H1169" s="87">
        <v>85.0</v>
      </c>
      <c r="I1169" s="87">
        <v>85.0</v>
      </c>
      <c r="J1169" s="87">
        <v>0.0</v>
      </c>
      <c r="K1169" s="87">
        <v>0.0</v>
      </c>
      <c r="L1169" s="87">
        <v>0.0</v>
      </c>
      <c r="M1169" s="87">
        <v>0.0</v>
      </c>
      <c r="N1169" s="91"/>
      <c r="O1169" s="87">
        <v>0.0</v>
      </c>
      <c r="P1169" s="87">
        <v>0.0</v>
      </c>
      <c r="Q1169" s="87">
        <v>0.0</v>
      </c>
      <c r="R1169" s="87">
        <v>0.0</v>
      </c>
      <c r="S1169" s="87">
        <v>0.0</v>
      </c>
      <c r="T1169" s="91"/>
      <c r="U1169" s="91"/>
      <c r="V1169" s="91"/>
      <c r="W1169" s="91"/>
      <c r="X1169" s="91"/>
      <c r="Y1169" s="87">
        <v>0.0</v>
      </c>
      <c r="Z1169" s="88" t="s">
        <v>1396</v>
      </c>
    </row>
    <row r="1170" hidden="1">
      <c r="A1170" s="90" t="s">
        <v>2975</v>
      </c>
      <c r="B1170" s="90" t="s">
        <v>3024</v>
      </c>
      <c r="C1170" s="90" t="s">
        <v>630</v>
      </c>
      <c r="D1170" s="90" t="s">
        <v>1096</v>
      </c>
      <c r="E1170" s="90" t="s">
        <v>1426</v>
      </c>
      <c r="F1170" s="87">
        <v>5.0</v>
      </c>
      <c r="G1170" s="87">
        <v>0.0</v>
      </c>
      <c r="H1170" s="87">
        <v>4519.0</v>
      </c>
      <c r="I1170" s="87">
        <v>0.0</v>
      </c>
      <c r="J1170" s="87">
        <v>55.45628</v>
      </c>
      <c r="K1170" s="87">
        <v>54.996</v>
      </c>
      <c r="L1170" s="87">
        <v>55.79241</v>
      </c>
      <c r="M1170" s="87">
        <v>31.413</v>
      </c>
      <c r="N1170" s="87">
        <v>0.571187</v>
      </c>
      <c r="O1170" s="87">
        <v>0.0</v>
      </c>
      <c r="P1170" s="87">
        <v>0.0</v>
      </c>
      <c r="Q1170" s="87">
        <v>0.0</v>
      </c>
      <c r="R1170" s="87">
        <v>5.577823</v>
      </c>
      <c r="S1170" s="87">
        <v>18.00518</v>
      </c>
      <c r="T1170" s="87">
        <v>5.577823</v>
      </c>
      <c r="U1170" s="87">
        <v>5.577823</v>
      </c>
      <c r="V1170" s="87">
        <v>5.577823</v>
      </c>
      <c r="W1170" s="87">
        <v>18.00518</v>
      </c>
      <c r="X1170" s="87">
        <v>31.413</v>
      </c>
      <c r="Y1170" s="87">
        <v>10.9992</v>
      </c>
      <c r="Z1170" s="88" t="s">
        <v>1396</v>
      </c>
    </row>
    <row r="1171" hidden="1">
      <c r="A1171" s="90" t="s">
        <v>2977</v>
      </c>
      <c r="B1171" s="90" t="s">
        <v>3025</v>
      </c>
      <c r="C1171" s="90" t="s">
        <v>630</v>
      </c>
      <c r="D1171" s="90" t="s">
        <v>1096</v>
      </c>
      <c r="E1171" s="86">
        <v>46310.0</v>
      </c>
      <c r="F1171" s="87">
        <v>2.0</v>
      </c>
      <c r="G1171" s="87">
        <v>1.0</v>
      </c>
      <c r="H1171" s="87">
        <v>2827.0</v>
      </c>
      <c r="I1171" s="87">
        <v>2.0</v>
      </c>
      <c r="J1171" s="87">
        <v>17.22839</v>
      </c>
      <c r="K1171" s="87">
        <v>18.59194</v>
      </c>
      <c r="L1171" s="87">
        <v>19.59886</v>
      </c>
      <c r="M1171" s="87">
        <v>18.59194</v>
      </c>
      <c r="N1171" s="87">
        <v>1.0</v>
      </c>
      <c r="O1171" s="87">
        <v>0.0</v>
      </c>
      <c r="P1171" s="87">
        <v>0.0</v>
      </c>
      <c r="Q1171" s="87">
        <v>0.0</v>
      </c>
      <c r="R1171" s="87">
        <v>0.0</v>
      </c>
      <c r="S1171" s="87">
        <v>0.0</v>
      </c>
      <c r="T1171" s="87">
        <v>18.59194</v>
      </c>
      <c r="U1171" s="87">
        <v>18.59194</v>
      </c>
      <c r="V1171" s="87">
        <v>18.59194</v>
      </c>
      <c r="W1171" s="87">
        <v>18.59194</v>
      </c>
      <c r="X1171" s="87">
        <v>18.59194</v>
      </c>
      <c r="Y1171" s="87">
        <v>4.647986</v>
      </c>
      <c r="Z1171" s="88" t="s">
        <v>1396</v>
      </c>
    </row>
    <row r="1172" hidden="1">
      <c r="A1172" s="90" t="s">
        <v>2979</v>
      </c>
      <c r="B1172" s="90" t="s">
        <v>3026</v>
      </c>
      <c r="C1172" s="90" t="s">
        <v>630</v>
      </c>
      <c r="D1172" s="90" t="s">
        <v>1096</v>
      </c>
      <c r="E1172" s="90" t="s">
        <v>1413</v>
      </c>
      <c r="F1172" s="87">
        <v>1.0</v>
      </c>
      <c r="G1172" s="87">
        <v>0.0</v>
      </c>
      <c r="H1172" s="87">
        <v>1.0</v>
      </c>
      <c r="I1172" s="87">
        <v>0.0</v>
      </c>
      <c r="J1172" s="87">
        <v>0.0</v>
      </c>
      <c r="K1172" s="87">
        <v>0.0</v>
      </c>
      <c r="L1172" s="87">
        <v>0.0</v>
      </c>
      <c r="M1172" s="87">
        <v>0.0</v>
      </c>
      <c r="N1172" s="91"/>
      <c r="O1172" s="91"/>
      <c r="P1172" s="91"/>
      <c r="Q1172" s="91"/>
      <c r="R1172" s="91"/>
      <c r="S1172" s="91"/>
      <c r="T1172" s="91"/>
      <c r="U1172" s="91"/>
      <c r="V1172" s="91"/>
      <c r="W1172" s="91"/>
      <c r="X1172" s="91"/>
      <c r="Y1172" s="91"/>
      <c r="Z1172" s="88" t="s">
        <v>1396</v>
      </c>
    </row>
    <row r="1173" hidden="1">
      <c r="A1173" s="90" t="s">
        <v>2985</v>
      </c>
      <c r="B1173" s="90" t="s">
        <v>3027</v>
      </c>
      <c r="C1173" s="90" t="s">
        <v>630</v>
      </c>
      <c r="D1173" s="90" t="s">
        <v>1096</v>
      </c>
      <c r="E1173" s="89">
        <v>46300.0</v>
      </c>
      <c r="F1173" s="87">
        <v>13.0</v>
      </c>
      <c r="G1173" s="87">
        <v>0.0</v>
      </c>
      <c r="H1173" s="87">
        <v>12684.0</v>
      </c>
      <c r="I1173" s="87">
        <v>0.0</v>
      </c>
      <c r="J1173" s="87">
        <v>77.31956</v>
      </c>
      <c r="K1173" s="87">
        <v>81.67317</v>
      </c>
      <c r="L1173" s="87">
        <v>80.0553</v>
      </c>
      <c r="M1173" s="87">
        <v>43.22357</v>
      </c>
      <c r="N1173" s="87">
        <v>0.529226</v>
      </c>
      <c r="O1173" s="87">
        <v>1.408819</v>
      </c>
      <c r="P1173" s="87">
        <v>1.696262</v>
      </c>
      <c r="Q1173" s="87">
        <v>3.124286</v>
      </c>
      <c r="R1173" s="87">
        <v>3.854788</v>
      </c>
      <c r="S1173" s="87">
        <v>5.921039</v>
      </c>
      <c r="T1173" s="87">
        <v>1.696262</v>
      </c>
      <c r="U1173" s="87">
        <v>1.934493</v>
      </c>
      <c r="V1173" s="87">
        <v>3.124286</v>
      </c>
      <c r="W1173" s="87">
        <v>3.854788</v>
      </c>
      <c r="X1173" s="87">
        <v>7.507</v>
      </c>
      <c r="Y1173" s="87">
        <v>5.833798</v>
      </c>
      <c r="Z1173" s="88" t="s">
        <v>1396</v>
      </c>
    </row>
    <row r="1174" hidden="1">
      <c r="A1174" s="90" t="s">
        <v>2972</v>
      </c>
      <c r="B1174" s="90" t="s">
        <v>3028</v>
      </c>
      <c r="C1174" s="90" t="s">
        <v>630</v>
      </c>
      <c r="D1174" s="90" t="s">
        <v>1096</v>
      </c>
      <c r="E1174" s="90" t="s">
        <v>1403</v>
      </c>
      <c r="F1174" s="87">
        <v>1.0</v>
      </c>
      <c r="G1174" s="87">
        <v>1.0</v>
      </c>
      <c r="H1174" s="87">
        <v>1.0</v>
      </c>
      <c r="I1174" s="87">
        <v>1.0</v>
      </c>
      <c r="J1174" s="87">
        <v>0.0</v>
      </c>
      <c r="K1174" s="87">
        <v>0.0</v>
      </c>
      <c r="L1174" s="87">
        <v>0.0</v>
      </c>
      <c r="M1174" s="87">
        <v>0.0</v>
      </c>
      <c r="N1174" s="91"/>
      <c r="O1174" s="87">
        <v>0.0</v>
      </c>
      <c r="P1174" s="87">
        <v>0.0</v>
      </c>
      <c r="Q1174" s="87">
        <v>0.0</v>
      </c>
      <c r="R1174" s="87">
        <v>0.0</v>
      </c>
      <c r="S1174" s="87">
        <v>0.0</v>
      </c>
      <c r="T1174" s="91"/>
      <c r="U1174" s="91"/>
      <c r="V1174" s="91"/>
      <c r="W1174" s="91"/>
      <c r="X1174" s="91"/>
      <c r="Y1174" s="87">
        <v>0.0</v>
      </c>
      <c r="Z1174" s="88" t="s">
        <v>1396</v>
      </c>
    </row>
    <row r="1175" hidden="1">
      <c r="A1175" s="90" t="s">
        <v>3035</v>
      </c>
      <c r="B1175" s="90" t="s">
        <v>3036</v>
      </c>
      <c r="C1175" s="90" t="s">
        <v>1122</v>
      </c>
      <c r="D1175" s="90" t="s">
        <v>1123</v>
      </c>
      <c r="E1175" s="86">
        <v>46310.0</v>
      </c>
      <c r="F1175" s="87">
        <v>2.0</v>
      </c>
      <c r="G1175" s="87">
        <v>0.0</v>
      </c>
      <c r="H1175" s="87">
        <v>269.0</v>
      </c>
      <c r="I1175" s="87">
        <v>0.0</v>
      </c>
      <c r="J1175" s="87">
        <v>1.326623</v>
      </c>
      <c r="K1175" s="87">
        <v>1.541529</v>
      </c>
      <c r="L1175" s="87">
        <v>1.287414</v>
      </c>
      <c r="M1175" s="87">
        <v>1.028037</v>
      </c>
      <c r="N1175" s="87">
        <v>0.666894</v>
      </c>
      <c r="O1175" s="87">
        <v>0.513492</v>
      </c>
      <c r="P1175" s="87">
        <v>0.513492</v>
      </c>
      <c r="Q1175" s="87">
        <v>0.513492</v>
      </c>
      <c r="R1175" s="87">
        <v>1.028037</v>
      </c>
      <c r="S1175" s="87">
        <v>1.028037</v>
      </c>
      <c r="T1175" s="87">
        <v>0.513492</v>
      </c>
      <c r="U1175" s="87">
        <v>0.513492</v>
      </c>
      <c r="V1175" s="87">
        <v>0.513492</v>
      </c>
      <c r="W1175" s="87">
        <v>1.028037</v>
      </c>
      <c r="X1175" s="87">
        <v>1.028037</v>
      </c>
      <c r="Y1175" s="87">
        <v>0.770765</v>
      </c>
      <c r="Z1175" s="88" t="s">
        <v>1396</v>
      </c>
    </row>
    <row r="1176" hidden="1">
      <c r="A1176" s="90" t="s">
        <v>3037</v>
      </c>
      <c r="B1176" s="90" t="s">
        <v>3038</v>
      </c>
      <c r="C1176" s="90" t="s">
        <v>1122</v>
      </c>
      <c r="D1176" s="90" t="s">
        <v>1123</v>
      </c>
      <c r="E1176" s="90" t="s">
        <v>1413</v>
      </c>
      <c r="F1176" s="87">
        <v>2.0</v>
      </c>
      <c r="G1176" s="87">
        <v>0.0</v>
      </c>
      <c r="H1176" s="87">
        <v>192.0</v>
      </c>
      <c r="I1176" s="87">
        <v>0.0</v>
      </c>
      <c r="J1176" s="87">
        <v>0.761905</v>
      </c>
      <c r="K1176" s="87">
        <v>0.80049</v>
      </c>
      <c r="L1176" s="87">
        <v>1.637077</v>
      </c>
      <c r="M1176" s="87">
        <v>0.633824</v>
      </c>
      <c r="N1176" s="87">
        <v>0.791794</v>
      </c>
      <c r="O1176" s="87">
        <v>0.166667</v>
      </c>
      <c r="P1176" s="87">
        <v>0.166667</v>
      </c>
      <c r="Q1176" s="87">
        <v>0.166667</v>
      </c>
      <c r="R1176" s="87">
        <v>0.633824</v>
      </c>
      <c r="S1176" s="87">
        <v>0.633824</v>
      </c>
      <c r="T1176" s="87">
        <v>0.166667</v>
      </c>
      <c r="U1176" s="87">
        <v>0.166667</v>
      </c>
      <c r="V1176" s="87">
        <v>0.166667</v>
      </c>
      <c r="W1176" s="87">
        <v>0.633824</v>
      </c>
      <c r="X1176" s="87">
        <v>0.633824</v>
      </c>
      <c r="Y1176" s="87">
        <v>0.400245</v>
      </c>
      <c r="Z1176" s="88" t="s">
        <v>1396</v>
      </c>
    </row>
    <row r="1177" hidden="1">
      <c r="A1177" s="90" t="s">
        <v>3039</v>
      </c>
      <c r="B1177" s="90" t="s">
        <v>3040</v>
      </c>
      <c r="C1177" s="90" t="s">
        <v>1122</v>
      </c>
      <c r="D1177" s="90" t="s">
        <v>1123</v>
      </c>
      <c r="E1177" s="90" t="s">
        <v>1398</v>
      </c>
      <c r="F1177" s="87">
        <v>1.0</v>
      </c>
      <c r="G1177" s="87">
        <v>1.0</v>
      </c>
      <c r="H1177" s="87">
        <v>4.0</v>
      </c>
      <c r="I1177" s="87">
        <v>4.0</v>
      </c>
      <c r="J1177" s="87">
        <v>0.0</v>
      </c>
      <c r="K1177" s="87">
        <v>0.0</v>
      </c>
      <c r="L1177" s="87">
        <v>0.0</v>
      </c>
      <c r="M1177" s="87">
        <v>0.0</v>
      </c>
      <c r="N1177" s="85"/>
      <c r="O1177" s="91"/>
      <c r="P1177" s="91"/>
      <c r="Q1177" s="91"/>
      <c r="R1177" s="91"/>
      <c r="S1177" s="91"/>
      <c r="T1177" s="91"/>
      <c r="U1177" s="91"/>
      <c r="V1177" s="91"/>
      <c r="W1177" s="91"/>
      <c r="X1177" s="91"/>
      <c r="Y1177" s="91"/>
      <c r="Z1177" s="88" t="s">
        <v>1396</v>
      </c>
    </row>
    <row r="1178" hidden="1">
      <c r="A1178" s="90" t="s">
        <v>3041</v>
      </c>
      <c r="B1178" s="90" t="s">
        <v>3042</v>
      </c>
      <c r="C1178" s="90" t="s">
        <v>1122</v>
      </c>
      <c r="D1178" s="90" t="s">
        <v>1123</v>
      </c>
      <c r="E1178" s="90" t="s">
        <v>1400</v>
      </c>
      <c r="F1178" s="87">
        <v>24.0</v>
      </c>
      <c r="G1178" s="87">
        <v>5.0</v>
      </c>
      <c r="H1178" s="87">
        <v>4094.0</v>
      </c>
      <c r="I1178" s="87">
        <v>745.0</v>
      </c>
      <c r="J1178" s="87">
        <v>4.58539</v>
      </c>
      <c r="K1178" s="87">
        <v>3.424696</v>
      </c>
      <c r="L1178" s="87">
        <v>4.385461</v>
      </c>
      <c r="M1178" s="87">
        <v>2.224644</v>
      </c>
      <c r="N1178" s="87">
        <v>0.649589</v>
      </c>
      <c r="O1178" s="87">
        <v>0.0</v>
      </c>
      <c r="P1178" s="87">
        <v>0.0</v>
      </c>
      <c r="Q1178" s="87">
        <v>0.0</v>
      </c>
      <c r="R1178" s="87">
        <v>0.066667</v>
      </c>
      <c r="S1178" s="87">
        <v>0.196256</v>
      </c>
      <c r="T1178" s="87">
        <v>0.033333</v>
      </c>
      <c r="U1178" s="87">
        <v>0.066667</v>
      </c>
      <c r="V1178" s="87">
        <v>0.066667</v>
      </c>
      <c r="W1178" s="87">
        <v>0.188889</v>
      </c>
      <c r="X1178" s="87">
        <v>0.268347</v>
      </c>
      <c r="Y1178" s="87">
        <v>0.1489</v>
      </c>
      <c r="Z1178" s="88" t="s">
        <v>1396</v>
      </c>
    </row>
    <row r="1179" hidden="1">
      <c r="A1179" s="90" t="s">
        <v>3043</v>
      </c>
      <c r="B1179" s="90" t="s">
        <v>3044</v>
      </c>
      <c r="C1179" s="90" t="s">
        <v>1122</v>
      </c>
      <c r="D1179" s="90" t="s">
        <v>1123</v>
      </c>
      <c r="E1179" s="90" t="s">
        <v>1403</v>
      </c>
      <c r="F1179" s="87">
        <v>1.0</v>
      </c>
      <c r="G1179" s="87">
        <v>1.0</v>
      </c>
      <c r="H1179" s="87">
        <v>90.0</v>
      </c>
      <c r="I1179" s="87">
        <v>90.0</v>
      </c>
      <c r="J1179" s="87">
        <v>0.0</v>
      </c>
      <c r="K1179" s="87">
        <v>0.0</v>
      </c>
      <c r="L1179" s="87">
        <v>0.0</v>
      </c>
      <c r="M1179" s="87">
        <v>0.0</v>
      </c>
      <c r="N1179" s="85"/>
      <c r="O1179" s="87">
        <v>0.0</v>
      </c>
      <c r="P1179" s="87">
        <v>0.0</v>
      </c>
      <c r="Q1179" s="87">
        <v>0.0</v>
      </c>
      <c r="R1179" s="87">
        <v>0.0</v>
      </c>
      <c r="S1179" s="87">
        <v>0.0</v>
      </c>
      <c r="T1179" s="91"/>
      <c r="U1179" s="91"/>
      <c r="V1179" s="91"/>
      <c r="W1179" s="91"/>
      <c r="X1179" s="91"/>
      <c r="Y1179" s="87">
        <v>0.0</v>
      </c>
      <c r="Z1179" s="88" t="s">
        <v>1396</v>
      </c>
    </row>
    <row r="1180" hidden="1">
      <c r="A1180" s="90" t="s">
        <v>3041</v>
      </c>
      <c r="B1180" s="90" t="s">
        <v>3045</v>
      </c>
      <c r="C1180" s="90" t="s">
        <v>1122</v>
      </c>
      <c r="D1180" s="90" t="s">
        <v>3046</v>
      </c>
      <c r="E1180" s="90" t="s">
        <v>1400</v>
      </c>
      <c r="F1180" s="87">
        <v>2.0</v>
      </c>
      <c r="G1180" s="87">
        <v>0.0</v>
      </c>
      <c r="H1180" s="87">
        <v>271.0</v>
      </c>
      <c r="I1180" s="87">
        <v>0.0</v>
      </c>
      <c r="J1180" s="87">
        <v>0.142857</v>
      </c>
      <c r="K1180" s="87">
        <v>0.136864</v>
      </c>
      <c r="L1180" s="87">
        <v>0.125753</v>
      </c>
      <c r="M1180" s="87">
        <v>0.070197</v>
      </c>
      <c r="N1180" s="87">
        <v>0.512897</v>
      </c>
      <c r="O1180" s="87">
        <v>0.0</v>
      </c>
      <c r="P1180" s="87">
        <v>0.0</v>
      </c>
      <c r="Q1180" s="87">
        <v>0.0</v>
      </c>
      <c r="R1180" s="87">
        <v>0.066667</v>
      </c>
      <c r="S1180" s="87">
        <v>0.070197</v>
      </c>
      <c r="T1180" s="87">
        <v>0.066667</v>
      </c>
      <c r="U1180" s="87">
        <v>0.066667</v>
      </c>
      <c r="V1180" s="87">
        <v>0.066667</v>
      </c>
      <c r="W1180" s="87">
        <v>0.070197</v>
      </c>
      <c r="X1180" s="87">
        <v>0.070197</v>
      </c>
      <c r="Y1180" s="87">
        <v>0.045621</v>
      </c>
      <c r="Z1180" s="88" t="s">
        <v>1396</v>
      </c>
    </row>
    <row r="1181" hidden="1">
      <c r="A1181" s="90" t="s">
        <v>3037</v>
      </c>
      <c r="B1181" s="90" t="s">
        <v>3048</v>
      </c>
      <c r="C1181" s="90" t="s">
        <v>1122</v>
      </c>
      <c r="D1181" s="90" t="s">
        <v>3049</v>
      </c>
      <c r="E1181" s="90" t="s">
        <v>1413</v>
      </c>
      <c r="F1181" s="87">
        <v>1.0</v>
      </c>
      <c r="G1181" s="87">
        <v>0.0</v>
      </c>
      <c r="H1181" s="87">
        <v>149.0</v>
      </c>
      <c r="I1181" s="87">
        <v>0.0</v>
      </c>
      <c r="J1181" s="87">
        <v>0.214286</v>
      </c>
      <c r="K1181" s="87">
        <v>0.35</v>
      </c>
      <c r="L1181" s="87">
        <v>0.36036</v>
      </c>
      <c r="M1181" s="87">
        <v>0.35</v>
      </c>
      <c r="N1181" s="87">
        <v>1.0</v>
      </c>
      <c r="O1181" s="87">
        <v>0.35</v>
      </c>
      <c r="P1181" s="87">
        <v>0.35</v>
      </c>
      <c r="Q1181" s="87">
        <v>0.35</v>
      </c>
      <c r="R1181" s="87">
        <v>0.35</v>
      </c>
      <c r="S1181" s="87">
        <v>0.35</v>
      </c>
      <c r="T1181" s="87">
        <v>0.35</v>
      </c>
      <c r="U1181" s="87">
        <v>0.35</v>
      </c>
      <c r="V1181" s="87">
        <v>0.35</v>
      </c>
      <c r="W1181" s="87">
        <v>0.35</v>
      </c>
      <c r="X1181" s="87">
        <v>0.35</v>
      </c>
      <c r="Y1181" s="87">
        <v>0.35</v>
      </c>
      <c r="Z1181" s="88" t="s">
        <v>1396</v>
      </c>
    </row>
    <row r="1182" hidden="1">
      <c r="A1182" s="90" t="s">
        <v>3039</v>
      </c>
      <c r="B1182" s="90" t="s">
        <v>3050</v>
      </c>
      <c r="C1182" s="90" t="s">
        <v>1122</v>
      </c>
      <c r="D1182" s="90" t="s">
        <v>3049</v>
      </c>
      <c r="E1182" s="90" t="s">
        <v>1398</v>
      </c>
      <c r="F1182" s="87">
        <v>1.0</v>
      </c>
      <c r="G1182" s="87">
        <v>1.0</v>
      </c>
      <c r="H1182" s="87">
        <v>4.0</v>
      </c>
      <c r="I1182" s="87">
        <v>4.0</v>
      </c>
      <c r="J1182" s="87">
        <v>0.0</v>
      </c>
      <c r="K1182" s="87">
        <v>0.0</v>
      </c>
      <c r="L1182" s="87">
        <v>0.0</v>
      </c>
      <c r="M1182" s="87">
        <v>0.0</v>
      </c>
      <c r="N1182" s="91"/>
      <c r="O1182" s="91"/>
      <c r="P1182" s="91"/>
      <c r="Q1182" s="91"/>
      <c r="R1182" s="91"/>
      <c r="S1182" s="91"/>
      <c r="T1182" s="91"/>
      <c r="U1182" s="91"/>
      <c r="V1182" s="91"/>
      <c r="W1182" s="91"/>
      <c r="X1182" s="91"/>
      <c r="Y1182" s="91"/>
      <c r="Z1182" s="88" t="s">
        <v>1396</v>
      </c>
    </row>
    <row r="1183" hidden="1">
      <c r="A1183" s="90" t="s">
        <v>3041</v>
      </c>
      <c r="B1183" s="90" t="s">
        <v>3051</v>
      </c>
      <c r="C1183" s="90" t="s">
        <v>1122</v>
      </c>
      <c r="D1183" s="90" t="s">
        <v>3049</v>
      </c>
      <c r="E1183" s="90" t="s">
        <v>1400</v>
      </c>
      <c r="F1183" s="87">
        <v>5.0</v>
      </c>
      <c r="G1183" s="87">
        <v>0.0</v>
      </c>
      <c r="H1183" s="87">
        <v>511.0</v>
      </c>
      <c r="I1183" s="87">
        <v>0.0</v>
      </c>
      <c r="J1183" s="87">
        <v>1.968254</v>
      </c>
      <c r="K1183" s="87">
        <v>4.849809</v>
      </c>
      <c r="L1183" s="87">
        <v>3.313236</v>
      </c>
      <c r="M1183" s="87">
        <v>3.476558</v>
      </c>
      <c r="N1183" s="87">
        <v>0.716844</v>
      </c>
      <c r="O1183" s="87">
        <v>0.0</v>
      </c>
      <c r="P1183" s="87">
        <v>0.04</v>
      </c>
      <c r="Q1183" s="87">
        <v>0.04</v>
      </c>
      <c r="R1183" s="87">
        <v>1.133333</v>
      </c>
      <c r="S1183" s="87">
        <v>1.133333</v>
      </c>
      <c r="T1183" s="87">
        <v>0.04</v>
      </c>
      <c r="U1183" s="87">
        <v>0.199918</v>
      </c>
      <c r="V1183" s="87">
        <v>0.199918</v>
      </c>
      <c r="W1183" s="87">
        <v>1.133333</v>
      </c>
      <c r="X1183" s="87">
        <v>1.133333</v>
      </c>
      <c r="Y1183" s="87">
        <v>0.808301</v>
      </c>
      <c r="Z1183" s="88" t="s">
        <v>1396</v>
      </c>
    </row>
    <row r="1184" hidden="1">
      <c r="A1184" s="90" t="s">
        <v>3043</v>
      </c>
      <c r="B1184" s="90" t="s">
        <v>3052</v>
      </c>
      <c r="C1184" s="90" t="s">
        <v>1122</v>
      </c>
      <c r="D1184" s="90" t="s">
        <v>3049</v>
      </c>
      <c r="E1184" s="90" t="s">
        <v>1403</v>
      </c>
      <c r="F1184" s="87">
        <v>3.0</v>
      </c>
      <c r="G1184" s="87">
        <v>3.0</v>
      </c>
      <c r="H1184" s="87">
        <v>62.0</v>
      </c>
      <c r="I1184" s="87">
        <v>62.0</v>
      </c>
      <c r="J1184" s="87">
        <v>0.0</v>
      </c>
      <c r="K1184" s="87">
        <v>0.0</v>
      </c>
      <c r="L1184" s="87">
        <v>0.0</v>
      </c>
      <c r="M1184" s="87">
        <v>0.0</v>
      </c>
      <c r="N1184" s="91"/>
      <c r="O1184" s="87">
        <v>0.0</v>
      </c>
      <c r="P1184" s="87">
        <v>0.0</v>
      </c>
      <c r="Q1184" s="87">
        <v>0.0</v>
      </c>
      <c r="R1184" s="87">
        <v>0.0</v>
      </c>
      <c r="S1184" s="87">
        <v>0.0</v>
      </c>
      <c r="T1184" s="91"/>
      <c r="U1184" s="91"/>
      <c r="V1184" s="91"/>
      <c r="W1184" s="91"/>
      <c r="X1184" s="91"/>
      <c r="Y1184" s="87">
        <v>0.0</v>
      </c>
      <c r="Z1184" s="88" t="s">
        <v>1396</v>
      </c>
    </row>
    <row r="1185" hidden="1">
      <c r="A1185" s="90" t="s">
        <v>3041</v>
      </c>
      <c r="B1185" s="90" t="s">
        <v>3053</v>
      </c>
      <c r="C1185" s="90" t="s">
        <v>1122</v>
      </c>
      <c r="D1185" s="90" t="s">
        <v>3054</v>
      </c>
      <c r="E1185" s="90" t="s">
        <v>1400</v>
      </c>
      <c r="F1185" s="87">
        <v>5.0</v>
      </c>
      <c r="G1185" s="87">
        <v>0.0</v>
      </c>
      <c r="H1185" s="87">
        <v>643.0</v>
      </c>
      <c r="I1185" s="87">
        <v>0.0</v>
      </c>
      <c r="J1185" s="87">
        <v>1.310689</v>
      </c>
      <c r="K1185" s="87">
        <v>1.611528</v>
      </c>
      <c r="L1185" s="87">
        <v>1.569307</v>
      </c>
      <c r="M1185" s="87">
        <v>0.753927</v>
      </c>
      <c r="N1185" s="87">
        <v>0.467834</v>
      </c>
      <c r="O1185" s="87">
        <v>0.034483</v>
      </c>
      <c r="P1185" s="87">
        <v>0.069048</v>
      </c>
      <c r="Q1185" s="87">
        <v>0.069048</v>
      </c>
      <c r="R1185" s="87">
        <v>0.338095</v>
      </c>
      <c r="S1185" s="87">
        <v>0.415975</v>
      </c>
      <c r="T1185" s="87">
        <v>0.034483</v>
      </c>
      <c r="U1185" s="87">
        <v>0.069048</v>
      </c>
      <c r="V1185" s="87">
        <v>0.069048</v>
      </c>
      <c r="W1185" s="87">
        <v>0.338095</v>
      </c>
      <c r="X1185" s="87">
        <v>0.415975</v>
      </c>
      <c r="Y1185" s="87">
        <v>0.322306</v>
      </c>
      <c r="Z1185" s="88" t="s">
        <v>1396</v>
      </c>
    </row>
    <row r="1186" hidden="1">
      <c r="A1186" s="90" t="s">
        <v>3041</v>
      </c>
      <c r="B1186" s="90" t="s">
        <v>2363</v>
      </c>
      <c r="C1186" s="90" t="s">
        <v>1122</v>
      </c>
      <c r="D1186" s="90" t="s">
        <v>445</v>
      </c>
      <c r="E1186" s="90" t="s">
        <v>1400</v>
      </c>
      <c r="F1186" s="87">
        <v>1.0</v>
      </c>
      <c r="G1186" s="87">
        <v>0.0</v>
      </c>
      <c r="H1186" s="87">
        <v>153.0</v>
      </c>
      <c r="I1186" s="87">
        <v>0.0</v>
      </c>
      <c r="J1186" s="87">
        <v>0.0</v>
      </c>
      <c r="K1186" s="87">
        <v>0.0</v>
      </c>
      <c r="L1186" s="87">
        <v>0.0</v>
      </c>
      <c r="M1186" s="87">
        <v>0.0</v>
      </c>
      <c r="N1186" s="91"/>
      <c r="O1186" s="91"/>
      <c r="P1186" s="91"/>
      <c r="Q1186" s="91"/>
      <c r="R1186" s="91"/>
      <c r="S1186" s="91"/>
      <c r="T1186" s="91"/>
      <c r="U1186" s="91"/>
      <c r="V1186" s="91"/>
      <c r="W1186" s="91"/>
      <c r="X1186" s="91"/>
      <c r="Y1186" s="91"/>
      <c r="Z1186" s="88" t="s">
        <v>1396</v>
      </c>
    </row>
    <row r="1187" hidden="1">
      <c r="A1187" s="90" t="s">
        <v>3062</v>
      </c>
      <c r="B1187" s="90" t="s">
        <v>3063</v>
      </c>
      <c r="C1187" s="90" t="s">
        <v>1130</v>
      </c>
      <c r="D1187" s="90" t="s">
        <v>2425</v>
      </c>
      <c r="E1187" s="90" t="s">
        <v>1426</v>
      </c>
      <c r="F1187" s="87">
        <v>1.0</v>
      </c>
      <c r="G1187" s="87">
        <v>0.0</v>
      </c>
      <c r="H1187" s="87">
        <v>385.0</v>
      </c>
      <c r="I1187" s="87">
        <v>0.0</v>
      </c>
      <c r="J1187" s="87">
        <v>0.857143</v>
      </c>
      <c r="K1187" s="87">
        <v>1.213376</v>
      </c>
      <c r="L1187" s="87">
        <v>1.139652</v>
      </c>
      <c r="M1187" s="87">
        <v>1.213376</v>
      </c>
      <c r="N1187" s="87">
        <v>1.0</v>
      </c>
      <c r="O1187" s="87">
        <v>1.213376</v>
      </c>
      <c r="P1187" s="87">
        <v>1.213376</v>
      </c>
      <c r="Q1187" s="87">
        <v>1.213376</v>
      </c>
      <c r="R1187" s="87">
        <v>1.213376</v>
      </c>
      <c r="S1187" s="87">
        <v>1.213376</v>
      </c>
      <c r="T1187" s="87">
        <v>1.213376</v>
      </c>
      <c r="U1187" s="87">
        <v>1.213376</v>
      </c>
      <c r="V1187" s="87">
        <v>1.213376</v>
      </c>
      <c r="W1187" s="87">
        <v>1.213376</v>
      </c>
      <c r="X1187" s="87">
        <v>1.213376</v>
      </c>
      <c r="Y1187" s="87">
        <v>1.213376</v>
      </c>
      <c r="Z1187" s="88" t="s">
        <v>1396</v>
      </c>
    </row>
    <row r="1188" hidden="1">
      <c r="A1188" s="90" t="s">
        <v>3071</v>
      </c>
      <c r="B1188" s="90" t="s">
        <v>3072</v>
      </c>
      <c r="C1188" s="90" t="s">
        <v>1130</v>
      </c>
      <c r="D1188" s="90" t="s">
        <v>3070</v>
      </c>
      <c r="E1188" s="90" t="s">
        <v>1413</v>
      </c>
      <c r="F1188" s="87">
        <v>0.0</v>
      </c>
      <c r="G1188" s="87">
        <v>0.0</v>
      </c>
      <c r="H1188" s="87">
        <v>0.0</v>
      </c>
      <c r="I1188" s="87">
        <v>0.0</v>
      </c>
      <c r="J1188" s="87">
        <v>0.0</v>
      </c>
      <c r="K1188" s="87">
        <v>0.0</v>
      </c>
      <c r="L1188" s="87">
        <v>0.0</v>
      </c>
      <c r="M1188" s="87">
        <v>0.0</v>
      </c>
      <c r="N1188" s="91"/>
      <c r="O1188" s="87">
        <v>0.0</v>
      </c>
      <c r="P1188" s="87">
        <v>0.0</v>
      </c>
      <c r="Q1188" s="87">
        <v>0.0</v>
      </c>
      <c r="R1188" s="87">
        <v>0.0</v>
      </c>
      <c r="S1188" s="87">
        <v>0.0</v>
      </c>
      <c r="T1188" s="91"/>
      <c r="U1188" s="91"/>
      <c r="V1188" s="91"/>
      <c r="W1188" s="91"/>
      <c r="X1188" s="91"/>
      <c r="Y1188" s="87">
        <v>0.0</v>
      </c>
      <c r="Z1188" s="88" t="s">
        <v>1396</v>
      </c>
    </row>
    <row r="1189" hidden="1">
      <c r="A1189" s="90" t="s">
        <v>3073</v>
      </c>
      <c r="B1189" s="90" t="s">
        <v>3074</v>
      </c>
      <c r="C1189" s="90" t="s">
        <v>1130</v>
      </c>
      <c r="D1189" s="90" t="s">
        <v>3070</v>
      </c>
      <c r="E1189" s="90" t="s">
        <v>1398</v>
      </c>
      <c r="F1189" s="87">
        <v>2.0</v>
      </c>
      <c r="G1189" s="87">
        <v>1.0</v>
      </c>
      <c r="H1189" s="87">
        <v>16.0</v>
      </c>
      <c r="I1189" s="87">
        <v>2.0</v>
      </c>
      <c r="J1189" s="87">
        <v>0.0</v>
      </c>
      <c r="K1189" s="87">
        <v>0.0</v>
      </c>
      <c r="L1189" s="87">
        <v>0.0</v>
      </c>
      <c r="M1189" s="87">
        <v>0.0</v>
      </c>
      <c r="N1189" s="91"/>
      <c r="O1189" s="91"/>
      <c r="P1189" s="91"/>
      <c r="Q1189" s="91"/>
      <c r="R1189" s="91"/>
      <c r="S1189" s="91"/>
      <c r="T1189" s="91"/>
      <c r="U1189" s="91"/>
      <c r="V1189" s="91"/>
      <c r="W1189" s="91"/>
      <c r="X1189" s="91"/>
      <c r="Y1189" s="91"/>
      <c r="Z1189" s="88" t="s">
        <v>1396</v>
      </c>
    </row>
    <row r="1190" hidden="1">
      <c r="A1190" s="90" t="s">
        <v>3068</v>
      </c>
      <c r="B1190" s="90" t="s">
        <v>3077</v>
      </c>
      <c r="C1190" s="90" t="s">
        <v>1130</v>
      </c>
      <c r="D1190" s="90" t="s">
        <v>3070</v>
      </c>
      <c r="E1190" s="90" t="s">
        <v>1403</v>
      </c>
      <c r="F1190" s="87">
        <v>0.0</v>
      </c>
      <c r="G1190" s="87">
        <v>0.0</v>
      </c>
      <c r="H1190" s="87">
        <v>0.0</v>
      </c>
      <c r="I1190" s="87">
        <v>0.0</v>
      </c>
      <c r="J1190" s="87">
        <v>0.0</v>
      </c>
      <c r="K1190" s="87">
        <v>0.0</v>
      </c>
      <c r="L1190" s="87">
        <v>0.0</v>
      </c>
      <c r="M1190" s="87">
        <v>0.0</v>
      </c>
      <c r="N1190" s="91"/>
      <c r="O1190" s="87">
        <v>0.0</v>
      </c>
      <c r="P1190" s="87">
        <v>0.0</v>
      </c>
      <c r="Q1190" s="87">
        <v>0.0</v>
      </c>
      <c r="R1190" s="87">
        <v>0.0</v>
      </c>
      <c r="S1190" s="87">
        <v>0.0</v>
      </c>
      <c r="T1190" s="91"/>
      <c r="U1190" s="91"/>
      <c r="V1190" s="91"/>
      <c r="W1190" s="91"/>
      <c r="X1190" s="91"/>
      <c r="Y1190" s="87">
        <v>0.0</v>
      </c>
      <c r="Z1190" s="88" t="s">
        <v>1396</v>
      </c>
    </row>
    <row r="1191" hidden="1">
      <c r="A1191" s="90" t="s">
        <v>3062</v>
      </c>
      <c r="B1191" s="90" t="s">
        <v>3078</v>
      </c>
      <c r="C1191" s="90" t="s">
        <v>1130</v>
      </c>
      <c r="D1191" s="90" t="s">
        <v>2443</v>
      </c>
      <c r="E1191" s="90" t="s">
        <v>1426</v>
      </c>
      <c r="F1191" s="87">
        <v>3.0</v>
      </c>
      <c r="G1191" s="87">
        <v>1.0</v>
      </c>
      <c r="H1191" s="87">
        <v>1094.0</v>
      </c>
      <c r="I1191" s="87">
        <v>5.0</v>
      </c>
      <c r="J1191" s="87">
        <v>12.16109</v>
      </c>
      <c r="K1191" s="87">
        <v>11.30101</v>
      </c>
      <c r="L1191" s="87">
        <v>10.47413</v>
      </c>
      <c r="M1191" s="87">
        <v>9.744255</v>
      </c>
      <c r="N1191" s="87">
        <v>0.862246</v>
      </c>
      <c r="O1191" s="87">
        <v>1.556757</v>
      </c>
      <c r="P1191" s="87">
        <v>1.556757</v>
      </c>
      <c r="Q1191" s="87">
        <v>1.556757</v>
      </c>
      <c r="R1191" s="87">
        <v>9.744255</v>
      </c>
      <c r="S1191" s="87">
        <v>9.744255</v>
      </c>
      <c r="T1191" s="87">
        <v>1.556757</v>
      </c>
      <c r="U1191" s="87">
        <v>1.556757</v>
      </c>
      <c r="V1191" s="87">
        <v>1.556757</v>
      </c>
      <c r="W1191" s="87">
        <v>9.744255</v>
      </c>
      <c r="X1191" s="87">
        <v>9.744255</v>
      </c>
      <c r="Y1191" s="87">
        <v>5.650506</v>
      </c>
      <c r="Z1191" s="88" t="s">
        <v>1396</v>
      </c>
    </row>
    <row r="1192" hidden="1">
      <c r="A1192" s="90" t="s">
        <v>3064</v>
      </c>
      <c r="B1192" s="90" t="s">
        <v>2442</v>
      </c>
      <c r="C1192" s="90" t="s">
        <v>1130</v>
      </c>
      <c r="D1192" s="90" t="s">
        <v>2443</v>
      </c>
      <c r="E1192" s="86">
        <v>46310.0</v>
      </c>
      <c r="F1192" s="87">
        <v>0.0</v>
      </c>
      <c r="G1192" s="87">
        <v>0.0</v>
      </c>
      <c r="H1192" s="87">
        <v>0.0</v>
      </c>
      <c r="I1192" s="87">
        <v>0.0</v>
      </c>
      <c r="J1192" s="87">
        <v>0.0</v>
      </c>
      <c r="K1192" s="87">
        <v>1.5</v>
      </c>
      <c r="L1192" s="87">
        <v>0.317992</v>
      </c>
      <c r="M1192" s="87">
        <v>1.5</v>
      </c>
      <c r="N1192" s="87">
        <v>1.0</v>
      </c>
      <c r="O1192" s="87">
        <v>1.5</v>
      </c>
      <c r="P1192" s="87">
        <v>1.5</v>
      </c>
      <c r="Q1192" s="87">
        <v>1.5</v>
      </c>
      <c r="R1192" s="87">
        <v>1.5</v>
      </c>
      <c r="S1192" s="87">
        <v>1.5</v>
      </c>
      <c r="T1192" s="87">
        <v>1.5</v>
      </c>
      <c r="U1192" s="87">
        <v>1.5</v>
      </c>
      <c r="V1192" s="87">
        <v>1.5</v>
      </c>
      <c r="W1192" s="87">
        <v>1.5</v>
      </c>
      <c r="X1192" s="87">
        <v>1.5</v>
      </c>
      <c r="Y1192" s="87">
        <v>1.5</v>
      </c>
      <c r="Z1192" s="88" t="s">
        <v>1396</v>
      </c>
    </row>
    <row r="1193" hidden="1">
      <c r="A1193" s="90" t="s">
        <v>3071</v>
      </c>
      <c r="B1193" s="90" t="s">
        <v>2444</v>
      </c>
      <c r="C1193" s="90" t="s">
        <v>1130</v>
      </c>
      <c r="D1193" s="90" t="s">
        <v>2443</v>
      </c>
      <c r="E1193" s="90" t="s">
        <v>1413</v>
      </c>
      <c r="F1193" s="87">
        <v>1.0</v>
      </c>
      <c r="G1193" s="87">
        <v>0.0</v>
      </c>
      <c r="H1193" s="87">
        <v>534.0</v>
      </c>
      <c r="I1193" s="87">
        <v>0.0</v>
      </c>
      <c r="J1193" s="87">
        <v>3.938173</v>
      </c>
      <c r="K1193" s="87">
        <v>4.386111</v>
      </c>
      <c r="L1193" s="87">
        <v>4.789257</v>
      </c>
      <c r="M1193" s="87">
        <v>4.386111</v>
      </c>
      <c r="N1193" s="87">
        <v>1.0</v>
      </c>
      <c r="O1193" s="87">
        <v>4.386111</v>
      </c>
      <c r="P1193" s="87">
        <v>4.386111</v>
      </c>
      <c r="Q1193" s="87">
        <v>4.386111</v>
      </c>
      <c r="R1193" s="87">
        <v>4.386111</v>
      </c>
      <c r="S1193" s="87">
        <v>4.386111</v>
      </c>
      <c r="T1193" s="87">
        <v>4.386111</v>
      </c>
      <c r="U1193" s="87">
        <v>4.386111</v>
      </c>
      <c r="V1193" s="87">
        <v>4.386111</v>
      </c>
      <c r="W1193" s="87">
        <v>4.386111</v>
      </c>
      <c r="X1193" s="87">
        <v>4.386111</v>
      </c>
      <c r="Y1193" s="87">
        <v>4.386111</v>
      </c>
      <c r="Z1193" s="88" t="s">
        <v>1396</v>
      </c>
    </row>
    <row r="1194" hidden="1">
      <c r="A1194" s="90" t="s">
        <v>3073</v>
      </c>
      <c r="B1194" s="90" t="s">
        <v>2445</v>
      </c>
      <c r="C1194" s="90" t="s">
        <v>1130</v>
      </c>
      <c r="D1194" s="90" t="s">
        <v>2443</v>
      </c>
      <c r="E1194" s="90" t="s">
        <v>1398</v>
      </c>
      <c r="F1194" s="87">
        <v>1.0</v>
      </c>
      <c r="G1194" s="87">
        <v>0.0</v>
      </c>
      <c r="H1194" s="87">
        <v>338.0</v>
      </c>
      <c r="I1194" s="87">
        <v>0.0</v>
      </c>
      <c r="J1194" s="87">
        <v>3.272727</v>
      </c>
      <c r="K1194" s="87">
        <v>3.26213</v>
      </c>
      <c r="L1194" s="87">
        <v>2.881782</v>
      </c>
      <c r="M1194" s="87">
        <v>3.26213</v>
      </c>
      <c r="N1194" s="87">
        <v>1.0</v>
      </c>
      <c r="O1194" s="87">
        <v>0.0</v>
      </c>
      <c r="P1194" s="87">
        <v>0.0</v>
      </c>
      <c r="Q1194" s="87">
        <v>0.0</v>
      </c>
      <c r="R1194" s="87">
        <v>3.26213</v>
      </c>
      <c r="S1194" s="87">
        <v>3.26213</v>
      </c>
      <c r="T1194" s="87">
        <v>3.26213</v>
      </c>
      <c r="U1194" s="87">
        <v>3.26213</v>
      </c>
      <c r="V1194" s="87">
        <v>3.26213</v>
      </c>
      <c r="W1194" s="87">
        <v>3.26213</v>
      </c>
      <c r="X1194" s="87">
        <v>3.26213</v>
      </c>
      <c r="Y1194" s="87">
        <v>1.631065</v>
      </c>
      <c r="Z1194" s="88" t="s">
        <v>1396</v>
      </c>
    </row>
    <row r="1195" hidden="1">
      <c r="A1195" s="90" t="s">
        <v>3066</v>
      </c>
      <c r="B1195" s="90" t="s">
        <v>2446</v>
      </c>
      <c r="C1195" s="90" t="s">
        <v>1130</v>
      </c>
      <c r="D1195" s="90" t="s">
        <v>2443</v>
      </c>
      <c r="E1195" s="86">
        <v>46300.0</v>
      </c>
      <c r="F1195" s="87">
        <v>48.0</v>
      </c>
      <c r="G1195" s="87">
        <v>2.0</v>
      </c>
      <c r="H1195" s="87">
        <v>12213.0</v>
      </c>
      <c r="I1195" s="87">
        <v>9.0</v>
      </c>
      <c r="J1195" s="87">
        <v>35.34921</v>
      </c>
      <c r="K1195" s="87">
        <v>36.79491</v>
      </c>
      <c r="L1195" s="87">
        <v>36.60914</v>
      </c>
      <c r="M1195" s="87">
        <v>20.81899</v>
      </c>
      <c r="N1195" s="87">
        <v>0.565812</v>
      </c>
      <c r="O1195" s="87">
        <v>0.165591</v>
      </c>
      <c r="P1195" s="87">
        <v>0.265591</v>
      </c>
      <c r="Q1195" s="87">
        <v>0.298925</v>
      </c>
      <c r="R1195" s="87">
        <v>0.602956</v>
      </c>
      <c r="S1195" s="87">
        <v>0.866667</v>
      </c>
      <c r="T1195" s="87">
        <v>0.2</v>
      </c>
      <c r="U1195" s="87">
        <v>0.266667</v>
      </c>
      <c r="V1195" s="87">
        <v>0.333333</v>
      </c>
      <c r="W1195" s="87">
        <v>0.619622</v>
      </c>
      <c r="X1195" s="87">
        <v>0.866667</v>
      </c>
      <c r="Y1195" s="87">
        <v>0.799889</v>
      </c>
      <c r="Z1195" s="88" t="s">
        <v>1396</v>
      </c>
    </row>
    <row r="1196" hidden="1">
      <c r="A1196" s="90" t="s">
        <v>3068</v>
      </c>
      <c r="B1196" s="90" t="s">
        <v>2447</v>
      </c>
      <c r="C1196" s="90" t="s">
        <v>1130</v>
      </c>
      <c r="D1196" s="90" t="s">
        <v>2443</v>
      </c>
      <c r="E1196" s="90" t="s">
        <v>1403</v>
      </c>
      <c r="F1196" s="87">
        <v>3.0</v>
      </c>
      <c r="G1196" s="87">
        <v>3.0</v>
      </c>
      <c r="H1196" s="87">
        <v>8.0</v>
      </c>
      <c r="I1196" s="87">
        <v>8.0</v>
      </c>
      <c r="J1196" s="87">
        <v>0.0</v>
      </c>
      <c r="K1196" s="87">
        <v>0.0</v>
      </c>
      <c r="L1196" s="87">
        <v>0.0</v>
      </c>
      <c r="M1196" s="87">
        <v>0.0</v>
      </c>
      <c r="N1196" s="91"/>
      <c r="O1196" s="87">
        <v>0.0</v>
      </c>
      <c r="P1196" s="87">
        <v>0.0</v>
      </c>
      <c r="Q1196" s="87">
        <v>0.0</v>
      </c>
      <c r="R1196" s="87">
        <v>0.0</v>
      </c>
      <c r="S1196" s="87">
        <v>0.0</v>
      </c>
      <c r="T1196" s="91"/>
      <c r="U1196" s="91"/>
      <c r="V1196" s="91"/>
      <c r="W1196" s="91"/>
      <c r="X1196" s="91"/>
      <c r="Y1196" s="87">
        <v>0.0</v>
      </c>
      <c r="Z1196" s="88" t="s">
        <v>1396</v>
      </c>
    </row>
    <row r="1197" hidden="1">
      <c r="A1197" s="90" t="s">
        <v>3062</v>
      </c>
      <c r="B1197" s="90" t="s">
        <v>3080</v>
      </c>
      <c r="C1197" s="90" t="s">
        <v>1130</v>
      </c>
      <c r="D1197" s="90" t="s">
        <v>1131</v>
      </c>
      <c r="E1197" s="90" t="s">
        <v>1426</v>
      </c>
      <c r="F1197" s="87">
        <v>12.0</v>
      </c>
      <c r="G1197" s="87">
        <v>1.0</v>
      </c>
      <c r="H1197" s="87">
        <v>4109.0</v>
      </c>
      <c r="I1197" s="87">
        <v>40.0</v>
      </c>
      <c r="J1197" s="87">
        <v>32.35966</v>
      </c>
      <c r="K1197" s="87">
        <v>32.67196</v>
      </c>
      <c r="L1197" s="87">
        <v>33.735</v>
      </c>
      <c r="M1197" s="87">
        <v>22.5397</v>
      </c>
      <c r="N1197" s="87">
        <v>0.689879</v>
      </c>
      <c r="O1197" s="87">
        <v>0.336918</v>
      </c>
      <c r="P1197" s="87">
        <v>0.603687</v>
      </c>
      <c r="Q1197" s="87">
        <v>0.729263</v>
      </c>
      <c r="R1197" s="87">
        <v>1.891297</v>
      </c>
      <c r="S1197" s="87">
        <v>2.175404</v>
      </c>
      <c r="T1197" s="87">
        <v>0.603687</v>
      </c>
      <c r="U1197" s="87">
        <v>0.729263</v>
      </c>
      <c r="V1197" s="87">
        <v>1.031183</v>
      </c>
      <c r="W1197" s="87">
        <v>1.891297</v>
      </c>
      <c r="X1197" s="87">
        <v>2.175404</v>
      </c>
      <c r="Y1197" s="87">
        <v>2.722663</v>
      </c>
      <c r="Z1197" s="88" t="s">
        <v>1396</v>
      </c>
    </row>
    <row r="1198" hidden="1">
      <c r="A1198" s="90" t="s">
        <v>3064</v>
      </c>
      <c r="B1198" s="90" t="s">
        <v>3081</v>
      </c>
      <c r="C1198" s="90" t="s">
        <v>1130</v>
      </c>
      <c r="D1198" s="90" t="s">
        <v>1131</v>
      </c>
      <c r="E1198" s="86">
        <v>46310.0</v>
      </c>
      <c r="F1198" s="87">
        <v>35.0</v>
      </c>
      <c r="G1198" s="87">
        <v>8.0</v>
      </c>
      <c r="H1198" s="87">
        <v>6197.0</v>
      </c>
      <c r="I1198" s="87">
        <v>261.0</v>
      </c>
      <c r="J1198" s="87">
        <v>16.31278</v>
      </c>
      <c r="K1198" s="87">
        <v>24.04194</v>
      </c>
      <c r="L1198" s="87">
        <v>22.18761</v>
      </c>
      <c r="M1198" s="87">
        <v>14.58902</v>
      </c>
      <c r="N1198" s="87">
        <v>0.606816</v>
      </c>
      <c r="O1198" s="87">
        <v>0.0</v>
      </c>
      <c r="P1198" s="87">
        <v>0.033333</v>
      </c>
      <c r="Q1198" s="87">
        <v>0.133333</v>
      </c>
      <c r="R1198" s="87">
        <v>0.532258</v>
      </c>
      <c r="S1198" s="87">
        <v>0.965591</v>
      </c>
      <c r="T1198" s="87">
        <v>0.132258</v>
      </c>
      <c r="U1198" s="87">
        <v>0.238095</v>
      </c>
      <c r="V1198" s="87">
        <v>0.431183</v>
      </c>
      <c r="W1198" s="87">
        <v>0.666667</v>
      </c>
      <c r="X1198" s="87">
        <v>1.316569</v>
      </c>
      <c r="Y1198" s="87">
        <v>0.775546</v>
      </c>
      <c r="Z1198" s="88" t="s">
        <v>1396</v>
      </c>
    </row>
    <row r="1199" hidden="1">
      <c r="A1199" s="90" t="s">
        <v>3071</v>
      </c>
      <c r="B1199" s="90" t="s">
        <v>3082</v>
      </c>
      <c r="C1199" s="90" t="s">
        <v>1130</v>
      </c>
      <c r="D1199" s="90" t="s">
        <v>1131</v>
      </c>
      <c r="E1199" s="90" t="s">
        <v>1413</v>
      </c>
      <c r="F1199" s="87">
        <v>15.0</v>
      </c>
      <c r="G1199" s="87">
        <v>5.0</v>
      </c>
      <c r="H1199" s="87">
        <v>2747.0</v>
      </c>
      <c r="I1199" s="87">
        <v>76.0</v>
      </c>
      <c r="J1199" s="87">
        <v>16.75286</v>
      </c>
      <c r="K1199" s="87">
        <v>18.23717</v>
      </c>
      <c r="L1199" s="87">
        <v>17.14536</v>
      </c>
      <c r="M1199" s="87">
        <v>16.04556</v>
      </c>
      <c r="N1199" s="87">
        <v>0.879827</v>
      </c>
      <c r="O1199" s="87">
        <v>0.045455</v>
      </c>
      <c r="P1199" s="87">
        <v>0.066667</v>
      </c>
      <c r="Q1199" s="87">
        <v>0.101149</v>
      </c>
      <c r="R1199" s="87">
        <v>0.165591</v>
      </c>
      <c r="S1199" s="87">
        <v>1.0</v>
      </c>
      <c r="T1199" s="87">
        <v>0.045455</v>
      </c>
      <c r="U1199" s="87">
        <v>0.066667</v>
      </c>
      <c r="V1199" s="87">
        <v>0.101149</v>
      </c>
      <c r="W1199" s="87">
        <v>0.165591</v>
      </c>
      <c r="X1199" s="87">
        <v>1.0</v>
      </c>
      <c r="Y1199" s="87">
        <v>1.823717</v>
      </c>
      <c r="Z1199" s="88" t="s">
        <v>1396</v>
      </c>
    </row>
    <row r="1200" hidden="1">
      <c r="A1200" s="90" t="s">
        <v>3073</v>
      </c>
      <c r="B1200" s="90" t="s">
        <v>3083</v>
      </c>
      <c r="C1200" s="90" t="s">
        <v>1130</v>
      </c>
      <c r="D1200" s="90" t="s">
        <v>1131</v>
      </c>
      <c r="E1200" s="90" t="s">
        <v>1398</v>
      </c>
      <c r="F1200" s="87">
        <v>14.0</v>
      </c>
      <c r="G1200" s="87">
        <v>2.0</v>
      </c>
      <c r="H1200" s="87">
        <v>2222.0</v>
      </c>
      <c r="I1200" s="87">
        <v>241.0</v>
      </c>
      <c r="J1200" s="87">
        <v>2.399084</v>
      </c>
      <c r="K1200" s="87">
        <v>2.298763</v>
      </c>
      <c r="L1200" s="87">
        <v>2.21703</v>
      </c>
      <c r="M1200" s="87">
        <v>1.493697</v>
      </c>
      <c r="N1200" s="87">
        <v>0.649783</v>
      </c>
      <c r="O1200" s="87">
        <v>0.0</v>
      </c>
      <c r="P1200" s="87">
        <v>0.0</v>
      </c>
      <c r="Q1200" s="87">
        <v>0.0</v>
      </c>
      <c r="R1200" s="87">
        <v>0.067816</v>
      </c>
      <c r="S1200" s="87">
        <v>0.403917</v>
      </c>
      <c r="T1200" s="87">
        <v>0.033333</v>
      </c>
      <c r="U1200" s="87">
        <v>0.067816</v>
      </c>
      <c r="V1200" s="87">
        <v>0.067816</v>
      </c>
      <c r="W1200" s="87">
        <v>0.403917</v>
      </c>
      <c r="X1200" s="87">
        <v>0.694624</v>
      </c>
      <c r="Y1200" s="87">
        <v>0.255418</v>
      </c>
      <c r="Z1200" s="88" t="s">
        <v>1396</v>
      </c>
    </row>
    <row r="1201" hidden="1">
      <c r="A1201" s="90" t="s">
        <v>3075</v>
      </c>
      <c r="B1201" s="90" t="s">
        <v>3084</v>
      </c>
      <c r="C1201" s="90" t="s">
        <v>1130</v>
      </c>
      <c r="D1201" s="90" t="s">
        <v>1131</v>
      </c>
      <c r="E1201" s="90" t="s">
        <v>1400</v>
      </c>
      <c r="F1201" s="87">
        <v>42.0</v>
      </c>
      <c r="G1201" s="87">
        <v>14.0</v>
      </c>
      <c r="H1201" s="87">
        <v>4804.0</v>
      </c>
      <c r="I1201" s="87">
        <v>611.0</v>
      </c>
      <c r="J1201" s="87">
        <v>3.770635</v>
      </c>
      <c r="K1201" s="87">
        <v>6.994582</v>
      </c>
      <c r="L1201" s="87">
        <v>4.126191</v>
      </c>
      <c r="M1201" s="87">
        <v>5.542166</v>
      </c>
      <c r="N1201" s="87">
        <v>0.792351</v>
      </c>
      <c r="O1201" s="87">
        <v>0.0</v>
      </c>
      <c r="P1201" s="87">
        <v>0.033333</v>
      </c>
      <c r="Q1201" s="87">
        <v>0.043478</v>
      </c>
      <c r="R1201" s="87">
        <v>0.066741</v>
      </c>
      <c r="S1201" s="87">
        <v>0.148718</v>
      </c>
      <c r="T1201" s="87">
        <v>0.034483</v>
      </c>
      <c r="U1201" s="87">
        <v>0.063508</v>
      </c>
      <c r="V1201" s="87">
        <v>0.066667</v>
      </c>
      <c r="W1201" s="87">
        <v>0.111111</v>
      </c>
      <c r="X1201" s="87">
        <v>0.164516</v>
      </c>
      <c r="Y1201" s="87">
        <v>0.279783</v>
      </c>
      <c r="Z1201" s="88" t="s">
        <v>1396</v>
      </c>
    </row>
    <row r="1202" hidden="1">
      <c r="A1202" s="90" t="s">
        <v>3066</v>
      </c>
      <c r="B1202" s="90" t="s">
        <v>3085</v>
      </c>
      <c r="C1202" s="90" t="s">
        <v>1130</v>
      </c>
      <c r="D1202" s="90" t="s">
        <v>1131</v>
      </c>
      <c r="E1202" s="89">
        <v>46300.0</v>
      </c>
      <c r="F1202" s="87">
        <v>30.0</v>
      </c>
      <c r="G1202" s="87">
        <v>3.0</v>
      </c>
      <c r="H1202" s="87">
        <v>6987.0</v>
      </c>
      <c r="I1202" s="87">
        <v>20.0</v>
      </c>
      <c r="J1202" s="87">
        <v>34.30885</v>
      </c>
      <c r="K1202" s="87">
        <v>38.08218</v>
      </c>
      <c r="L1202" s="87">
        <v>36.78764</v>
      </c>
      <c r="M1202" s="87">
        <v>24.7751</v>
      </c>
      <c r="N1202" s="87">
        <v>0.650569</v>
      </c>
      <c r="O1202" s="87">
        <v>0.138462</v>
      </c>
      <c r="P1202" s="87">
        <v>0.166667</v>
      </c>
      <c r="Q1202" s="87">
        <v>0.57404</v>
      </c>
      <c r="R1202" s="87">
        <v>1.165591</v>
      </c>
      <c r="S1202" s="87">
        <v>1.620263</v>
      </c>
      <c r="T1202" s="87">
        <v>0.138462</v>
      </c>
      <c r="U1202" s="87">
        <v>0.166667</v>
      </c>
      <c r="V1202" s="87">
        <v>0.57404</v>
      </c>
      <c r="W1202" s="87">
        <v>1.165591</v>
      </c>
      <c r="X1202" s="87">
        <v>1.620263</v>
      </c>
      <c r="Y1202" s="87">
        <v>1.813437</v>
      </c>
      <c r="Z1202" s="88" t="s">
        <v>1396</v>
      </c>
    </row>
    <row r="1203" hidden="1">
      <c r="A1203" s="90" t="s">
        <v>3068</v>
      </c>
      <c r="B1203" s="90" t="s">
        <v>3086</v>
      </c>
      <c r="C1203" s="90" t="s">
        <v>1130</v>
      </c>
      <c r="D1203" s="90" t="s">
        <v>1131</v>
      </c>
      <c r="E1203" s="90" t="s">
        <v>1403</v>
      </c>
      <c r="F1203" s="87">
        <v>11.0</v>
      </c>
      <c r="G1203" s="87">
        <v>11.0</v>
      </c>
      <c r="H1203" s="87">
        <v>1358.0</v>
      </c>
      <c r="I1203" s="87">
        <v>1358.0</v>
      </c>
      <c r="J1203" s="87">
        <v>0.0</v>
      </c>
      <c r="K1203" s="87">
        <v>0.0</v>
      </c>
      <c r="L1203" s="87">
        <v>0.0</v>
      </c>
      <c r="M1203" s="87">
        <v>0.0</v>
      </c>
      <c r="N1203" s="91"/>
      <c r="O1203" s="87">
        <v>0.0</v>
      </c>
      <c r="P1203" s="87">
        <v>0.0</v>
      </c>
      <c r="Q1203" s="87">
        <v>0.0</v>
      </c>
      <c r="R1203" s="87">
        <v>0.0</v>
      </c>
      <c r="S1203" s="87">
        <v>0.0</v>
      </c>
      <c r="T1203" s="91"/>
      <c r="U1203" s="91"/>
      <c r="V1203" s="91"/>
      <c r="W1203" s="91"/>
      <c r="X1203" s="91"/>
      <c r="Y1203" s="87">
        <v>0.0</v>
      </c>
      <c r="Z1203" s="88" t="s">
        <v>1396</v>
      </c>
    </row>
    <row r="1204" hidden="1">
      <c r="A1204" s="90" t="s">
        <v>3062</v>
      </c>
      <c r="B1204" s="90" t="s">
        <v>2448</v>
      </c>
      <c r="C1204" s="90" t="s">
        <v>1130</v>
      </c>
      <c r="D1204" s="90" t="s">
        <v>1135</v>
      </c>
      <c r="E1204" s="90" t="s">
        <v>1426</v>
      </c>
      <c r="F1204" s="87">
        <v>23.0</v>
      </c>
      <c r="G1204" s="87">
        <v>5.0</v>
      </c>
      <c r="H1204" s="87">
        <v>7638.0</v>
      </c>
      <c r="I1204" s="87">
        <v>526.0</v>
      </c>
      <c r="J1204" s="87">
        <v>5.839744</v>
      </c>
      <c r="K1204" s="87">
        <v>9.281118</v>
      </c>
      <c r="L1204" s="87">
        <v>13.83373</v>
      </c>
      <c r="M1204" s="87">
        <v>5.330879</v>
      </c>
      <c r="N1204" s="87">
        <v>0.574379</v>
      </c>
      <c r="O1204" s="87">
        <v>0.321439</v>
      </c>
      <c r="P1204" s="87">
        <v>0.366667</v>
      </c>
      <c r="Q1204" s="87">
        <v>0.696774</v>
      </c>
      <c r="R1204" s="87">
        <v>1.281959</v>
      </c>
      <c r="S1204" s="87">
        <v>1.2834</v>
      </c>
      <c r="T1204" s="87">
        <v>0.321439</v>
      </c>
      <c r="U1204" s="87">
        <v>0.366667</v>
      </c>
      <c r="V1204" s="87">
        <v>0.696774</v>
      </c>
      <c r="W1204" s="87">
        <v>1.281959</v>
      </c>
      <c r="X1204" s="87">
        <v>1.2834</v>
      </c>
      <c r="Y1204" s="87">
        <v>1.325874</v>
      </c>
      <c r="Z1204" s="88" t="s">
        <v>1396</v>
      </c>
    </row>
    <row r="1205" hidden="1">
      <c r="A1205" s="90" t="s">
        <v>3064</v>
      </c>
      <c r="B1205" s="90" t="s">
        <v>2449</v>
      </c>
      <c r="C1205" s="90" t="s">
        <v>1130</v>
      </c>
      <c r="D1205" s="90" t="s">
        <v>1135</v>
      </c>
      <c r="E1205" s="89">
        <v>46310.0</v>
      </c>
      <c r="F1205" s="87">
        <v>27.0</v>
      </c>
      <c r="G1205" s="87">
        <v>5.0</v>
      </c>
      <c r="H1205" s="87">
        <v>4405.0</v>
      </c>
      <c r="I1205" s="87">
        <v>490.0</v>
      </c>
      <c r="J1205" s="87">
        <v>8.612338</v>
      </c>
      <c r="K1205" s="87">
        <v>9.339394</v>
      </c>
      <c r="L1205" s="87">
        <v>26.04794</v>
      </c>
      <c r="M1205" s="87">
        <v>5.55</v>
      </c>
      <c r="N1205" s="87">
        <v>0.594257</v>
      </c>
      <c r="O1205" s="87">
        <v>0.0</v>
      </c>
      <c r="P1205" s="87">
        <v>0.033333</v>
      </c>
      <c r="Q1205" s="87">
        <v>0.4</v>
      </c>
      <c r="R1205" s="87">
        <v>0.765152</v>
      </c>
      <c r="S1205" s="87">
        <v>1.190909</v>
      </c>
      <c r="T1205" s="87">
        <v>0.033333</v>
      </c>
      <c r="U1205" s="87">
        <v>0.4</v>
      </c>
      <c r="V1205" s="87">
        <v>0.5</v>
      </c>
      <c r="W1205" s="87">
        <v>0.9</v>
      </c>
      <c r="X1205" s="87">
        <v>1.190909</v>
      </c>
      <c r="Y1205" s="87">
        <v>1.03771</v>
      </c>
      <c r="Z1205" s="88" t="s">
        <v>1396</v>
      </c>
    </row>
    <row r="1206" hidden="1">
      <c r="A1206" s="90" t="s">
        <v>3071</v>
      </c>
      <c r="B1206" s="90" t="s">
        <v>2450</v>
      </c>
      <c r="C1206" s="90" t="s">
        <v>1130</v>
      </c>
      <c r="D1206" s="90" t="s">
        <v>1135</v>
      </c>
      <c r="E1206" s="90" t="s">
        <v>1413</v>
      </c>
      <c r="F1206" s="87">
        <v>23.0</v>
      </c>
      <c r="G1206" s="87">
        <v>6.0</v>
      </c>
      <c r="H1206" s="87">
        <v>3257.0</v>
      </c>
      <c r="I1206" s="87">
        <v>75.0</v>
      </c>
      <c r="J1206" s="87">
        <v>15.45714</v>
      </c>
      <c r="K1206" s="87">
        <v>15.60062</v>
      </c>
      <c r="L1206" s="87">
        <v>18.12306</v>
      </c>
      <c r="M1206" s="87">
        <v>13.1</v>
      </c>
      <c r="N1206" s="87">
        <v>0.83971</v>
      </c>
      <c r="O1206" s="87">
        <v>0.0</v>
      </c>
      <c r="P1206" s="87">
        <v>0.033333</v>
      </c>
      <c r="Q1206" s="87">
        <v>0.3</v>
      </c>
      <c r="R1206" s="87">
        <v>0.5</v>
      </c>
      <c r="S1206" s="87">
        <v>0.767289</v>
      </c>
      <c r="T1206" s="87">
        <v>0.033333</v>
      </c>
      <c r="U1206" s="87">
        <v>0.3</v>
      </c>
      <c r="V1206" s="87">
        <v>0.4</v>
      </c>
      <c r="W1206" s="87">
        <v>0.5</v>
      </c>
      <c r="X1206" s="87">
        <v>1.433333</v>
      </c>
      <c r="Y1206" s="87">
        <v>1.418238</v>
      </c>
      <c r="Z1206" s="88" t="s">
        <v>1396</v>
      </c>
    </row>
    <row r="1207" hidden="1">
      <c r="A1207" s="90" t="s">
        <v>3073</v>
      </c>
      <c r="B1207" s="90" t="s">
        <v>2451</v>
      </c>
      <c r="C1207" s="90" t="s">
        <v>1130</v>
      </c>
      <c r="D1207" s="90" t="s">
        <v>1135</v>
      </c>
      <c r="E1207" s="90" t="s">
        <v>1398</v>
      </c>
      <c r="F1207" s="87">
        <v>21.0</v>
      </c>
      <c r="G1207" s="87">
        <v>4.0</v>
      </c>
      <c r="H1207" s="87">
        <v>2244.0</v>
      </c>
      <c r="I1207" s="87">
        <v>51.0</v>
      </c>
      <c r="J1207" s="87">
        <v>3.048352</v>
      </c>
      <c r="K1207" s="87">
        <v>7.072578</v>
      </c>
      <c r="L1207" s="87">
        <v>5.501268</v>
      </c>
      <c r="M1207" s="87">
        <v>5.034483</v>
      </c>
      <c r="N1207" s="87">
        <v>0.711831</v>
      </c>
      <c r="O1207" s="87">
        <v>0.0</v>
      </c>
      <c r="P1207" s="87">
        <v>0.0</v>
      </c>
      <c r="Q1207" s="87">
        <v>0.0</v>
      </c>
      <c r="R1207" s="87">
        <v>0.3</v>
      </c>
      <c r="S1207" s="87">
        <v>0.9</v>
      </c>
      <c r="T1207" s="87">
        <v>0.066667</v>
      </c>
      <c r="U1207" s="87">
        <v>0.3</v>
      </c>
      <c r="V1207" s="87">
        <v>0.771429</v>
      </c>
      <c r="W1207" s="87">
        <v>0.9</v>
      </c>
      <c r="X1207" s="87">
        <v>1.0</v>
      </c>
      <c r="Y1207" s="87">
        <v>0.642962</v>
      </c>
      <c r="Z1207" s="88" t="s">
        <v>1396</v>
      </c>
    </row>
    <row r="1208" hidden="1">
      <c r="A1208" s="90" t="s">
        <v>3075</v>
      </c>
      <c r="B1208" s="90" t="s">
        <v>2452</v>
      </c>
      <c r="C1208" s="90" t="s">
        <v>1130</v>
      </c>
      <c r="D1208" s="90" t="s">
        <v>1135</v>
      </c>
      <c r="E1208" s="90" t="s">
        <v>1400</v>
      </c>
      <c r="F1208" s="87">
        <v>107.0</v>
      </c>
      <c r="G1208" s="87">
        <v>32.0</v>
      </c>
      <c r="H1208" s="87">
        <v>5144.0</v>
      </c>
      <c r="I1208" s="87">
        <v>1046.0</v>
      </c>
      <c r="J1208" s="87">
        <v>1.722161</v>
      </c>
      <c r="K1208" s="87">
        <v>22.03933</v>
      </c>
      <c r="L1208" s="87">
        <v>5.587578</v>
      </c>
      <c r="M1208" s="87">
        <v>15.54563</v>
      </c>
      <c r="N1208" s="87">
        <v>0.705359</v>
      </c>
      <c r="O1208" s="87">
        <v>0.0</v>
      </c>
      <c r="P1208" s="87">
        <v>0.0</v>
      </c>
      <c r="Q1208" s="87">
        <v>0.0</v>
      </c>
      <c r="R1208" s="87">
        <v>0.088933</v>
      </c>
      <c r="S1208" s="87">
        <v>1.0</v>
      </c>
      <c r="T1208" s="87">
        <v>0.071429</v>
      </c>
      <c r="U1208" s="87">
        <v>0.133333</v>
      </c>
      <c r="V1208" s="87">
        <v>0.222222</v>
      </c>
      <c r="W1208" s="87">
        <v>1.0</v>
      </c>
      <c r="X1208" s="87">
        <v>1.166667</v>
      </c>
      <c r="Y1208" s="87">
        <v>0.629695</v>
      </c>
      <c r="Z1208" s="88" t="s">
        <v>1396</v>
      </c>
    </row>
    <row r="1209" hidden="1">
      <c r="A1209" s="90" t="s">
        <v>3066</v>
      </c>
      <c r="B1209" s="90" t="s">
        <v>2453</v>
      </c>
      <c r="C1209" s="90" t="s">
        <v>1130</v>
      </c>
      <c r="D1209" s="90" t="s">
        <v>1135</v>
      </c>
      <c r="E1209" s="89">
        <v>46300.0</v>
      </c>
      <c r="F1209" s="87">
        <v>34.0</v>
      </c>
      <c r="G1209" s="87">
        <v>0.0</v>
      </c>
      <c r="H1209" s="87">
        <v>6014.0</v>
      </c>
      <c r="I1209" s="87">
        <v>0.0</v>
      </c>
      <c r="J1209" s="87">
        <v>14.7132</v>
      </c>
      <c r="K1209" s="87">
        <v>16.49904</v>
      </c>
      <c r="L1209" s="87">
        <v>16.69647</v>
      </c>
      <c r="M1209" s="87">
        <v>9.829903</v>
      </c>
      <c r="N1209" s="87">
        <v>0.595786</v>
      </c>
      <c r="O1209" s="87">
        <v>0.0</v>
      </c>
      <c r="P1209" s="87">
        <v>0.297849</v>
      </c>
      <c r="Q1209" s="87">
        <v>0.35</v>
      </c>
      <c r="R1209" s="87">
        <v>1.09418</v>
      </c>
      <c r="S1209" s="87">
        <v>1.666667</v>
      </c>
      <c r="T1209" s="87">
        <v>0.30023</v>
      </c>
      <c r="U1209" s="87">
        <v>0.35</v>
      </c>
      <c r="V1209" s="87">
        <v>0.46129</v>
      </c>
      <c r="W1209" s="87">
        <v>1.666667</v>
      </c>
      <c r="X1209" s="87">
        <v>1.829903</v>
      </c>
      <c r="Y1209" s="87">
        <v>1.178503</v>
      </c>
      <c r="Z1209" s="88" t="s">
        <v>1396</v>
      </c>
    </row>
    <row r="1210" hidden="1">
      <c r="A1210" s="90" t="s">
        <v>3068</v>
      </c>
      <c r="B1210" s="90" t="s">
        <v>2454</v>
      </c>
      <c r="C1210" s="90" t="s">
        <v>1130</v>
      </c>
      <c r="D1210" s="90" t="s">
        <v>1135</v>
      </c>
      <c r="E1210" s="90" t="s">
        <v>1403</v>
      </c>
      <c r="F1210" s="87">
        <v>74.0</v>
      </c>
      <c r="G1210" s="87">
        <v>74.0</v>
      </c>
      <c r="H1210" s="87">
        <v>5441.0</v>
      </c>
      <c r="I1210" s="87">
        <v>5441.0</v>
      </c>
      <c r="J1210" s="87">
        <v>0.0</v>
      </c>
      <c r="K1210" s="87">
        <v>0.0</v>
      </c>
      <c r="L1210" s="87">
        <v>0.0</v>
      </c>
      <c r="M1210" s="87">
        <v>0.0</v>
      </c>
      <c r="N1210" s="91"/>
      <c r="O1210" s="87">
        <v>0.0</v>
      </c>
      <c r="P1210" s="87">
        <v>0.0</v>
      </c>
      <c r="Q1210" s="87">
        <v>0.0</v>
      </c>
      <c r="R1210" s="87">
        <v>0.0</v>
      </c>
      <c r="S1210" s="87">
        <v>0.0</v>
      </c>
      <c r="T1210" s="91"/>
      <c r="U1210" s="91"/>
      <c r="V1210" s="91"/>
      <c r="W1210" s="91"/>
      <c r="X1210" s="91"/>
      <c r="Y1210" s="87">
        <v>0.0</v>
      </c>
      <c r="Z1210" s="88" t="s">
        <v>1396</v>
      </c>
    </row>
    <row r="1211" hidden="1">
      <c r="A1211" s="90" t="s">
        <v>3062</v>
      </c>
      <c r="B1211" s="90" t="s">
        <v>3087</v>
      </c>
      <c r="C1211" s="90" t="s">
        <v>1130</v>
      </c>
      <c r="D1211" s="90" t="s">
        <v>2456</v>
      </c>
      <c r="E1211" s="90" t="s">
        <v>1426</v>
      </c>
      <c r="F1211" s="87">
        <v>2.0</v>
      </c>
      <c r="G1211" s="87">
        <v>0.0</v>
      </c>
      <c r="H1211" s="87">
        <v>298.0</v>
      </c>
      <c r="I1211" s="87">
        <v>0.0</v>
      </c>
      <c r="J1211" s="87">
        <v>0.658442</v>
      </c>
      <c r="K1211" s="87">
        <v>0.468043</v>
      </c>
      <c r="L1211" s="87">
        <v>0.518117</v>
      </c>
      <c r="M1211" s="87">
        <v>0.299078</v>
      </c>
      <c r="N1211" s="87">
        <v>0.638996</v>
      </c>
      <c r="O1211" s="87">
        <v>0.168966</v>
      </c>
      <c r="P1211" s="87">
        <v>0.168966</v>
      </c>
      <c r="Q1211" s="87">
        <v>0.168966</v>
      </c>
      <c r="R1211" s="87">
        <v>0.299078</v>
      </c>
      <c r="S1211" s="87">
        <v>0.299078</v>
      </c>
      <c r="T1211" s="87">
        <v>0.168966</v>
      </c>
      <c r="U1211" s="87">
        <v>0.168966</v>
      </c>
      <c r="V1211" s="87">
        <v>0.168966</v>
      </c>
      <c r="W1211" s="87">
        <v>0.299078</v>
      </c>
      <c r="X1211" s="87">
        <v>0.299078</v>
      </c>
      <c r="Y1211" s="87">
        <v>0.234022</v>
      </c>
      <c r="Z1211" s="88" t="s">
        <v>1396</v>
      </c>
    </row>
    <row r="1212" hidden="1">
      <c r="A1212" s="90" t="s">
        <v>3073</v>
      </c>
      <c r="B1212" s="90" t="s">
        <v>2455</v>
      </c>
      <c r="C1212" s="90" t="s">
        <v>1130</v>
      </c>
      <c r="D1212" s="90" t="s">
        <v>2456</v>
      </c>
      <c r="E1212" s="90" t="s">
        <v>1398</v>
      </c>
      <c r="F1212" s="87">
        <v>2.0</v>
      </c>
      <c r="G1212" s="87">
        <v>1.0</v>
      </c>
      <c r="H1212" s="87">
        <v>226.0</v>
      </c>
      <c r="I1212" s="87">
        <v>2.0</v>
      </c>
      <c r="J1212" s="87">
        <v>1.857143</v>
      </c>
      <c r="K1212" s="87">
        <v>1.698925</v>
      </c>
      <c r="L1212" s="87">
        <v>1.645993</v>
      </c>
      <c r="M1212" s="87">
        <v>1.698925</v>
      </c>
      <c r="N1212" s="87">
        <v>1.0</v>
      </c>
      <c r="O1212" s="87">
        <v>1.698925</v>
      </c>
      <c r="P1212" s="87">
        <v>1.698925</v>
      </c>
      <c r="Q1212" s="87">
        <v>1.698925</v>
      </c>
      <c r="R1212" s="87">
        <v>1.698925</v>
      </c>
      <c r="S1212" s="87">
        <v>1.698925</v>
      </c>
      <c r="T1212" s="87">
        <v>1.698925</v>
      </c>
      <c r="U1212" s="87">
        <v>1.698925</v>
      </c>
      <c r="V1212" s="87">
        <v>1.698925</v>
      </c>
      <c r="W1212" s="87">
        <v>1.698925</v>
      </c>
      <c r="X1212" s="87">
        <v>1.698925</v>
      </c>
      <c r="Y1212" s="87">
        <v>1.698925</v>
      </c>
      <c r="Z1212" s="88" t="s">
        <v>1396</v>
      </c>
    </row>
    <row r="1213" hidden="1">
      <c r="A1213" s="90" t="s">
        <v>3075</v>
      </c>
      <c r="B1213" s="90" t="s">
        <v>2457</v>
      </c>
      <c r="C1213" s="90" t="s">
        <v>1130</v>
      </c>
      <c r="D1213" s="90" t="s">
        <v>2456</v>
      </c>
      <c r="E1213" s="90" t="s">
        <v>1400</v>
      </c>
      <c r="F1213" s="87">
        <v>10.0</v>
      </c>
      <c r="G1213" s="87">
        <v>5.0</v>
      </c>
      <c r="H1213" s="87">
        <v>592.0</v>
      </c>
      <c r="I1213" s="87">
        <v>139.0</v>
      </c>
      <c r="J1213" s="87">
        <v>0.0</v>
      </c>
      <c r="K1213" s="87">
        <v>0.0</v>
      </c>
      <c r="L1213" s="87">
        <v>0.0</v>
      </c>
      <c r="M1213" s="87">
        <v>0.0</v>
      </c>
      <c r="N1213" s="91"/>
      <c r="O1213" s="87">
        <v>0.0</v>
      </c>
      <c r="P1213" s="87">
        <v>0.0</v>
      </c>
      <c r="Q1213" s="87">
        <v>0.0</v>
      </c>
      <c r="R1213" s="87">
        <v>0.0</v>
      </c>
      <c r="S1213" s="87">
        <v>0.0</v>
      </c>
      <c r="T1213" s="91"/>
      <c r="U1213" s="91"/>
      <c r="V1213" s="91"/>
      <c r="W1213" s="91"/>
      <c r="X1213" s="91"/>
      <c r="Y1213" s="87">
        <v>0.0</v>
      </c>
      <c r="Z1213" s="88" t="s">
        <v>1396</v>
      </c>
    </row>
    <row r="1214" hidden="1">
      <c r="A1214" s="90" t="s">
        <v>3066</v>
      </c>
      <c r="B1214" s="90" t="s">
        <v>2458</v>
      </c>
      <c r="C1214" s="90" t="s">
        <v>1130</v>
      </c>
      <c r="D1214" s="90" t="s">
        <v>2456</v>
      </c>
      <c r="E1214" s="89">
        <v>46300.0</v>
      </c>
      <c r="F1214" s="87">
        <v>3.0</v>
      </c>
      <c r="G1214" s="87">
        <v>0.0</v>
      </c>
      <c r="H1214" s="87">
        <v>1268.0</v>
      </c>
      <c r="I1214" s="87">
        <v>0.0</v>
      </c>
      <c r="J1214" s="87">
        <v>9.556477</v>
      </c>
      <c r="K1214" s="87">
        <v>8.473261</v>
      </c>
      <c r="L1214" s="87">
        <v>7.798172</v>
      </c>
      <c r="M1214" s="87">
        <v>8.08267</v>
      </c>
      <c r="N1214" s="87">
        <v>0.953903</v>
      </c>
      <c r="O1214" s="87">
        <v>0.166667</v>
      </c>
      <c r="P1214" s="87">
        <v>0.166667</v>
      </c>
      <c r="Q1214" s="87">
        <v>0.166667</v>
      </c>
      <c r="R1214" s="87">
        <v>0.223925</v>
      </c>
      <c r="S1214" s="87">
        <v>8.08267</v>
      </c>
      <c r="T1214" s="87">
        <v>0.166667</v>
      </c>
      <c r="U1214" s="87">
        <v>0.166667</v>
      </c>
      <c r="V1214" s="87">
        <v>0.166667</v>
      </c>
      <c r="W1214" s="87">
        <v>0.223925</v>
      </c>
      <c r="X1214" s="87">
        <v>8.08267</v>
      </c>
      <c r="Y1214" s="87">
        <v>2.82442</v>
      </c>
      <c r="Z1214" s="88" t="s">
        <v>1396</v>
      </c>
    </row>
    <row r="1215" hidden="1">
      <c r="A1215" s="90" t="s">
        <v>3068</v>
      </c>
      <c r="B1215" s="90" t="s">
        <v>2459</v>
      </c>
      <c r="C1215" s="90" t="s">
        <v>1130</v>
      </c>
      <c r="D1215" s="90" t="s">
        <v>2456</v>
      </c>
      <c r="E1215" s="90" t="s">
        <v>1403</v>
      </c>
      <c r="F1215" s="87">
        <v>2.0</v>
      </c>
      <c r="G1215" s="87">
        <v>2.0</v>
      </c>
      <c r="H1215" s="87">
        <v>56.0</v>
      </c>
      <c r="I1215" s="87">
        <v>56.0</v>
      </c>
      <c r="J1215" s="87">
        <v>0.0</v>
      </c>
      <c r="K1215" s="87">
        <v>0.0</v>
      </c>
      <c r="L1215" s="87">
        <v>0.0</v>
      </c>
      <c r="M1215" s="87">
        <v>0.0</v>
      </c>
      <c r="N1215" s="91"/>
      <c r="O1215" s="87">
        <v>0.0</v>
      </c>
      <c r="P1215" s="87">
        <v>0.0</v>
      </c>
      <c r="Q1215" s="87">
        <v>0.0</v>
      </c>
      <c r="R1215" s="87">
        <v>0.0</v>
      </c>
      <c r="S1215" s="87">
        <v>0.0</v>
      </c>
      <c r="T1215" s="91"/>
      <c r="U1215" s="91"/>
      <c r="V1215" s="91"/>
      <c r="W1215" s="91"/>
      <c r="X1215" s="91"/>
      <c r="Y1215" s="87">
        <v>0.0</v>
      </c>
      <c r="Z1215" s="88" t="s">
        <v>1396</v>
      </c>
    </row>
    <row r="1216" hidden="1">
      <c r="A1216" s="90" t="s">
        <v>3089</v>
      </c>
      <c r="B1216" s="90" t="s">
        <v>1491</v>
      </c>
      <c r="C1216" s="90" t="s">
        <v>644</v>
      </c>
      <c r="D1216" s="90" t="s">
        <v>1488</v>
      </c>
      <c r="E1216" s="90" t="s">
        <v>1400</v>
      </c>
      <c r="F1216" s="87">
        <v>1.0</v>
      </c>
      <c r="G1216" s="87">
        <v>0.0</v>
      </c>
      <c r="H1216" s="87">
        <v>939.0</v>
      </c>
      <c r="I1216" s="87">
        <v>0.0</v>
      </c>
      <c r="J1216" s="87">
        <v>0.0</v>
      </c>
      <c r="K1216" s="87">
        <v>0.0</v>
      </c>
      <c r="L1216" s="87">
        <v>0.0</v>
      </c>
      <c r="M1216" s="87">
        <v>0.0</v>
      </c>
      <c r="N1216" s="91"/>
      <c r="O1216" s="91"/>
      <c r="P1216" s="91"/>
      <c r="Q1216" s="91"/>
      <c r="R1216" s="91"/>
      <c r="S1216" s="91"/>
      <c r="T1216" s="91"/>
      <c r="U1216" s="91"/>
      <c r="V1216" s="91"/>
      <c r="W1216" s="91"/>
      <c r="X1216" s="91"/>
      <c r="Y1216" s="91"/>
      <c r="Z1216" s="88" t="s">
        <v>1396</v>
      </c>
    </row>
    <row r="1217" hidden="1">
      <c r="A1217" s="90" t="s">
        <v>3091</v>
      </c>
      <c r="B1217" s="90" t="s">
        <v>3092</v>
      </c>
      <c r="C1217" s="90" t="s">
        <v>644</v>
      </c>
      <c r="D1217" s="90" t="s">
        <v>652</v>
      </c>
      <c r="E1217" s="90" t="s">
        <v>1426</v>
      </c>
      <c r="F1217" s="87">
        <v>38.0</v>
      </c>
      <c r="G1217" s="87">
        <v>7.0</v>
      </c>
      <c r="H1217" s="87">
        <v>79877.0</v>
      </c>
      <c r="I1217" s="87">
        <v>253.0</v>
      </c>
      <c r="J1217" s="87">
        <v>879.7751</v>
      </c>
      <c r="K1217" s="87">
        <v>887.8138</v>
      </c>
      <c r="L1217" s="87">
        <v>936.7684</v>
      </c>
      <c r="M1217" s="87">
        <v>489.7582</v>
      </c>
      <c r="N1217" s="87">
        <v>0.551645</v>
      </c>
      <c r="O1217" s="87">
        <v>0.0</v>
      </c>
      <c r="P1217" s="87">
        <v>10.41936</v>
      </c>
      <c r="Q1217" s="87">
        <v>17.90184</v>
      </c>
      <c r="R1217" s="87">
        <v>23.29083</v>
      </c>
      <c r="S1217" s="87">
        <v>30.62396</v>
      </c>
      <c r="T1217" s="87">
        <v>13.46953</v>
      </c>
      <c r="U1217" s="87">
        <v>17.90184</v>
      </c>
      <c r="V1217" s="87">
        <v>19.08809</v>
      </c>
      <c r="W1217" s="87">
        <v>26.4108</v>
      </c>
      <c r="X1217" s="87">
        <v>33.66658</v>
      </c>
      <c r="Y1217" s="87">
        <v>31.70764</v>
      </c>
      <c r="Z1217" s="88" t="s">
        <v>1396</v>
      </c>
    </row>
    <row r="1218" hidden="1">
      <c r="A1218" s="90" t="s">
        <v>3093</v>
      </c>
      <c r="B1218" s="90" t="s">
        <v>3094</v>
      </c>
      <c r="C1218" s="90" t="s">
        <v>644</v>
      </c>
      <c r="D1218" s="90" t="s">
        <v>652</v>
      </c>
      <c r="E1218" s="86">
        <v>46310.0</v>
      </c>
      <c r="F1218" s="87">
        <v>46.0</v>
      </c>
      <c r="G1218" s="87">
        <v>4.0</v>
      </c>
      <c r="H1218" s="87">
        <v>32517.0</v>
      </c>
      <c r="I1218" s="87">
        <v>279.0</v>
      </c>
      <c r="J1218" s="87">
        <v>427.5843</v>
      </c>
      <c r="K1218" s="87">
        <v>431.4808</v>
      </c>
      <c r="L1218" s="87">
        <v>419.0323</v>
      </c>
      <c r="M1218" s="87">
        <v>278.7394</v>
      </c>
      <c r="N1218" s="87">
        <v>0.646007</v>
      </c>
      <c r="O1218" s="87">
        <v>0.0</v>
      </c>
      <c r="P1218" s="87">
        <v>0.233333</v>
      </c>
      <c r="Q1218" s="87">
        <v>1.49431</v>
      </c>
      <c r="R1218" s="87">
        <v>4.644059</v>
      </c>
      <c r="S1218" s="87">
        <v>11.33724</v>
      </c>
      <c r="T1218" s="87">
        <v>0.602529</v>
      </c>
      <c r="U1218" s="87">
        <v>1.63033</v>
      </c>
      <c r="V1218" s="87">
        <v>3.44096</v>
      </c>
      <c r="W1218" s="87">
        <v>8.020245</v>
      </c>
      <c r="X1218" s="87">
        <v>18.43872</v>
      </c>
      <c r="Y1218" s="87">
        <v>10.78702</v>
      </c>
      <c r="Z1218" s="88" t="s">
        <v>1396</v>
      </c>
    </row>
    <row r="1219" hidden="1">
      <c r="A1219" s="90" t="s">
        <v>3095</v>
      </c>
      <c r="B1219" s="90" t="s">
        <v>3096</v>
      </c>
      <c r="C1219" s="90" t="s">
        <v>644</v>
      </c>
      <c r="D1219" s="90" t="s">
        <v>652</v>
      </c>
      <c r="E1219" s="90" t="s">
        <v>1413</v>
      </c>
      <c r="F1219" s="87">
        <v>36.0</v>
      </c>
      <c r="G1219" s="87">
        <v>0.0</v>
      </c>
      <c r="H1219" s="87">
        <v>15989.0</v>
      </c>
      <c r="I1219" s="87">
        <v>0.0</v>
      </c>
      <c r="J1219" s="87">
        <v>203.1942</v>
      </c>
      <c r="K1219" s="87">
        <v>201.4085</v>
      </c>
      <c r="L1219" s="87">
        <v>200.7692</v>
      </c>
      <c r="M1219" s="87">
        <v>133.8378</v>
      </c>
      <c r="N1219" s="87">
        <v>0.664509</v>
      </c>
      <c r="O1219" s="87">
        <v>0.0</v>
      </c>
      <c r="P1219" s="87">
        <v>0.0</v>
      </c>
      <c r="Q1219" s="87">
        <v>0.655263</v>
      </c>
      <c r="R1219" s="87">
        <v>3.025123</v>
      </c>
      <c r="S1219" s="87">
        <v>5.875084</v>
      </c>
      <c r="T1219" s="87">
        <v>0.655263</v>
      </c>
      <c r="U1219" s="87">
        <v>1.792462</v>
      </c>
      <c r="V1219" s="87">
        <v>2.361366</v>
      </c>
      <c r="W1219" s="87">
        <v>4.055485</v>
      </c>
      <c r="X1219" s="87">
        <v>6.556752</v>
      </c>
      <c r="Y1219" s="87">
        <v>5.300223</v>
      </c>
      <c r="Z1219" s="88" t="s">
        <v>1396</v>
      </c>
    </row>
    <row r="1220" hidden="1">
      <c r="A1220" s="90" t="s">
        <v>3097</v>
      </c>
      <c r="B1220" s="90" t="s">
        <v>3098</v>
      </c>
      <c r="C1220" s="90" t="s">
        <v>644</v>
      </c>
      <c r="D1220" s="90" t="s">
        <v>652</v>
      </c>
      <c r="E1220" s="90" t="s">
        <v>1398</v>
      </c>
      <c r="F1220" s="87">
        <v>9.0</v>
      </c>
      <c r="G1220" s="87">
        <v>2.0</v>
      </c>
      <c r="H1220" s="87">
        <v>2348.0</v>
      </c>
      <c r="I1220" s="87">
        <v>89.0</v>
      </c>
      <c r="J1220" s="87">
        <v>14.25191</v>
      </c>
      <c r="K1220" s="87">
        <v>15.13571</v>
      </c>
      <c r="L1220" s="87">
        <v>13.95843</v>
      </c>
      <c r="M1220" s="87">
        <v>8.580684</v>
      </c>
      <c r="N1220" s="87">
        <v>0.566917</v>
      </c>
      <c r="O1220" s="87">
        <v>0.0</v>
      </c>
      <c r="P1220" s="87">
        <v>0.0</v>
      </c>
      <c r="Q1220" s="87">
        <v>0.0</v>
      </c>
      <c r="R1220" s="87">
        <v>2.104519</v>
      </c>
      <c r="S1220" s="87">
        <v>4.450503</v>
      </c>
      <c r="T1220" s="87">
        <v>2.104519</v>
      </c>
      <c r="U1220" s="87">
        <v>2.104519</v>
      </c>
      <c r="V1220" s="87">
        <v>2.104519</v>
      </c>
      <c r="W1220" s="87">
        <v>4.450503</v>
      </c>
      <c r="X1220" s="87">
        <v>8.580684</v>
      </c>
      <c r="Y1220" s="87">
        <v>3.027141</v>
      </c>
      <c r="Z1220" s="88" t="s">
        <v>1396</v>
      </c>
    </row>
    <row r="1221" hidden="1">
      <c r="A1221" s="90" t="s">
        <v>3089</v>
      </c>
      <c r="B1221" s="90" t="s">
        <v>3099</v>
      </c>
      <c r="C1221" s="90" t="s">
        <v>644</v>
      </c>
      <c r="D1221" s="90" t="s">
        <v>652</v>
      </c>
      <c r="E1221" s="90" t="s">
        <v>1400</v>
      </c>
      <c r="F1221" s="87">
        <v>12.0</v>
      </c>
      <c r="G1221" s="87">
        <v>1.0</v>
      </c>
      <c r="H1221" s="87">
        <v>3111.0</v>
      </c>
      <c r="I1221" s="87">
        <v>199.0</v>
      </c>
      <c r="J1221" s="87">
        <v>25.27598</v>
      </c>
      <c r="K1221" s="87">
        <v>22.4349</v>
      </c>
      <c r="L1221" s="87">
        <v>21.42295</v>
      </c>
      <c r="M1221" s="87">
        <v>9.201304</v>
      </c>
      <c r="N1221" s="87">
        <v>0.410134</v>
      </c>
      <c r="O1221" s="87">
        <v>0.0</v>
      </c>
      <c r="P1221" s="87">
        <v>1.406891</v>
      </c>
      <c r="Q1221" s="87">
        <v>1.472933</v>
      </c>
      <c r="R1221" s="87">
        <v>2.192047</v>
      </c>
      <c r="S1221" s="87">
        <v>3.765628</v>
      </c>
      <c r="T1221" s="87">
        <v>1.406891</v>
      </c>
      <c r="U1221" s="87">
        <v>1.472933</v>
      </c>
      <c r="V1221" s="87">
        <v>2.073819</v>
      </c>
      <c r="W1221" s="87">
        <v>2.322274</v>
      </c>
      <c r="X1221" s="87">
        <v>3.765628</v>
      </c>
      <c r="Y1221" s="87">
        <v>2.24349</v>
      </c>
      <c r="Z1221" s="88" t="s">
        <v>1396</v>
      </c>
    </row>
    <row r="1222" hidden="1">
      <c r="A1222" s="90" t="s">
        <v>3100</v>
      </c>
      <c r="B1222" s="90" t="s">
        <v>3101</v>
      </c>
      <c r="C1222" s="90" t="s">
        <v>644</v>
      </c>
      <c r="D1222" s="90" t="s">
        <v>652</v>
      </c>
      <c r="E1222" s="89">
        <v>46300.0</v>
      </c>
      <c r="F1222" s="87">
        <v>32.0</v>
      </c>
      <c r="G1222" s="87">
        <v>2.0</v>
      </c>
      <c r="H1222" s="87">
        <v>27391.0</v>
      </c>
      <c r="I1222" s="87">
        <v>23.0</v>
      </c>
      <c r="J1222" s="87">
        <v>313.963</v>
      </c>
      <c r="K1222" s="87">
        <v>299.2837</v>
      </c>
      <c r="L1222" s="87">
        <v>299.0425</v>
      </c>
      <c r="M1222" s="87">
        <v>190.8534</v>
      </c>
      <c r="N1222" s="87">
        <v>0.637701</v>
      </c>
      <c r="O1222" s="87">
        <v>0.0</v>
      </c>
      <c r="P1222" s="87">
        <v>0.0</v>
      </c>
      <c r="Q1222" s="87">
        <v>1.5</v>
      </c>
      <c r="R1222" s="87">
        <v>4.689909</v>
      </c>
      <c r="S1222" s="87">
        <v>13.64764</v>
      </c>
      <c r="T1222" s="87">
        <v>1.5</v>
      </c>
      <c r="U1222" s="87">
        <v>2.58801</v>
      </c>
      <c r="V1222" s="87">
        <v>3.958118</v>
      </c>
      <c r="W1222" s="87">
        <v>9.72937</v>
      </c>
      <c r="X1222" s="87">
        <v>18.75977</v>
      </c>
      <c r="Y1222" s="87">
        <v>10.6887</v>
      </c>
      <c r="Z1222" s="88" t="s">
        <v>1396</v>
      </c>
    </row>
    <row r="1223" hidden="1">
      <c r="A1223" s="90" t="s">
        <v>3090</v>
      </c>
      <c r="B1223" s="90" t="s">
        <v>3102</v>
      </c>
      <c r="C1223" s="90" t="s">
        <v>644</v>
      </c>
      <c r="D1223" s="90" t="s">
        <v>652</v>
      </c>
      <c r="E1223" s="90" t="s">
        <v>1403</v>
      </c>
      <c r="F1223" s="87">
        <v>30.0</v>
      </c>
      <c r="G1223" s="87">
        <v>30.0</v>
      </c>
      <c r="H1223" s="87">
        <v>1107.0</v>
      </c>
      <c r="I1223" s="87">
        <v>1107.0</v>
      </c>
      <c r="J1223" s="87">
        <v>0.0</v>
      </c>
      <c r="K1223" s="87">
        <v>0.0</v>
      </c>
      <c r="L1223" s="87">
        <v>0.0</v>
      </c>
      <c r="M1223" s="87">
        <v>0.0</v>
      </c>
      <c r="N1223" s="91"/>
      <c r="O1223" s="87">
        <v>0.0</v>
      </c>
      <c r="P1223" s="87">
        <v>0.0</v>
      </c>
      <c r="Q1223" s="87">
        <v>0.0</v>
      </c>
      <c r="R1223" s="87">
        <v>0.0</v>
      </c>
      <c r="S1223" s="87">
        <v>0.0</v>
      </c>
      <c r="T1223" s="91"/>
      <c r="U1223" s="91"/>
      <c r="V1223" s="91"/>
      <c r="W1223" s="91"/>
      <c r="X1223" s="91"/>
      <c r="Y1223" s="87">
        <v>0.0</v>
      </c>
      <c r="Z1223" s="88" t="s">
        <v>1396</v>
      </c>
    </row>
    <row r="1224" hidden="1">
      <c r="A1224" s="90" t="s">
        <v>3091</v>
      </c>
      <c r="B1224" s="90" t="s">
        <v>3103</v>
      </c>
      <c r="C1224" s="90" t="s">
        <v>644</v>
      </c>
      <c r="D1224" s="90" t="s">
        <v>659</v>
      </c>
      <c r="E1224" s="90" t="s">
        <v>1426</v>
      </c>
      <c r="F1224" s="87">
        <v>50.0</v>
      </c>
      <c r="G1224" s="87">
        <v>3.0</v>
      </c>
      <c r="H1224" s="87">
        <v>141638.0</v>
      </c>
      <c r="I1224" s="87">
        <v>1174.0</v>
      </c>
      <c r="J1224" s="87">
        <v>2033.629</v>
      </c>
      <c r="K1224" s="87">
        <v>2176.597</v>
      </c>
      <c r="L1224" s="87">
        <v>2203.685</v>
      </c>
      <c r="M1224" s="87">
        <v>1412.323</v>
      </c>
      <c r="N1224" s="87">
        <v>0.648867</v>
      </c>
      <c r="O1224" s="87">
        <v>0.0</v>
      </c>
      <c r="P1224" s="87">
        <v>7.840706</v>
      </c>
      <c r="Q1224" s="87">
        <v>11.07487</v>
      </c>
      <c r="R1224" s="87">
        <v>23.81144</v>
      </c>
      <c r="S1224" s="87">
        <v>46.15672</v>
      </c>
      <c r="T1224" s="87">
        <v>7.840706</v>
      </c>
      <c r="U1224" s="87">
        <v>10.29163</v>
      </c>
      <c r="V1224" s="87">
        <v>13.76999</v>
      </c>
      <c r="W1224" s="87">
        <v>25.37217</v>
      </c>
      <c r="X1224" s="87">
        <v>60.37939</v>
      </c>
      <c r="Y1224" s="87">
        <v>49.46812</v>
      </c>
      <c r="Z1224" s="88" t="s">
        <v>1396</v>
      </c>
    </row>
    <row r="1225" hidden="1">
      <c r="A1225" s="90" t="s">
        <v>3093</v>
      </c>
      <c r="B1225" s="90" t="s">
        <v>3104</v>
      </c>
      <c r="C1225" s="90" t="s">
        <v>644</v>
      </c>
      <c r="D1225" s="90" t="s">
        <v>659</v>
      </c>
      <c r="E1225" s="86">
        <v>46310.0</v>
      </c>
      <c r="F1225" s="87">
        <v>40.0</v>
      </c>
      <c r="G1225" s="87">
        <v>5.0</v>
      </c>
      <c r="H1225" s="87">
        <v>17021.0</v>
      </c>
      <c r="I1225" s="87">
        <v>71.0</v>
      </c>
      <c r="J1225" s="87">
        <v>277.2577</v>
      </c>
      <c r="K1225" s="87">
        <v>306.5042</v>
      </c>
      <c r="L1225" s="87">
        <v>302.5198</v>
      </c>
      <c r="M1225" s="87">
        <v>203.3412</v>
      </c>
      <c r="N1225" s="87">
        <v>0.66342</v>
      </c>
      <c r="O1225" s="87">
        <v>0.0</v>
      </c>
      <c r="P1225" s="87">
        <v>0.0</v>
      </c>
      <c r="Q1225" s="87">
        <v>1.084524</v>
      </c>
      <c r="R1225" s="87">
        <v>4.849496</v>
      </c>
      <c r="S1225" s="87">
        <v>8.623038</v>
      </c>
      <c r="T1225" s="87">
        <v>1.380407</v>
      </c>
      <c r="U1225" s="87">
        <v>3.429425</v>
      </c>
      <c r="V1225" s="87">
        <v>4.849496</v>
      </c>
      <c r="W1225" s="87">
        <v>7.403083</v>
      </c>
      <c r="X1225" s="87">
        <v>10.78759</v>
      </c>
      <c r="Y1225" s="87">
        <v>8.065901</v>
      </c>
      <c r="Z1225" s="88" t="s">
        <v>1396</v>
      </c>
    </row>
    <row r="1226" hidden="1">
      <c r="A1226" s="90" t="s">
        <v>3095</v>
      </c>
      <c r="B1226" s="90" t="s">
        <v>3105</v>
      </c>
      <c r="C1226" s="90" t="s">
        <v>644</v>
      </c>
      <c r="D1226" s="90" t="s">
        <v>659</v>
      </c>
      <c r="E1226" s="90" t="s">
        <v>1413</v>
      </c>
      <c r="F1226" s="87">
        <v>37.0</v>
      </c>
      <c r="G1226" s="87">
        <v>1.0</v>
      </c>
      <c r="H1226" s="87">
        <v>43452.0</v>
      </c>
      <c r="I1226" s="87">
        <v>15.0</v>
      </c>
      <c r="J1226" s="87">
        <v>386.7884</v>
      </c>
      <c r="K1226" s="87">
        <v>381.0553</v>
      </c>
      <c r="L1226" s="87">
        <v>372.0429</v>
      </c>
      <c r="M1226" s="87">
        <v>268.7127</v>
      </c>
      <c r="N1226" s="87">
        <v>0.70518</v>
      </c>
      <c r="O1226" s="87">
        <v>0.405435</v>
      </c>
      <c r="P1226" s="87">
        <v>0.947576</v>
      </c>
      <c r="Q1226" s="87">
        <v>1.320387</v>
      </c>
      <c r="R1226" s="87">
        <v>3.592471</v>
      </c>
      <c r="S1226" s="87">
        <v>12.77971</v>
      </c>
      <c r="T1226" s="87">
        <v>0.633333</v>
      </c>
      <c r="U1226" s="87">
        <v>1.141011</v>
      </c>
      <c r="V1226" s="87">
        <v>2.326802</v>
      </c>
      <c r="W1226" s="87">
        <v>6.091468</v>
      </c>
      <c r="X1226" s="87">
        <v>12.77971</v>
      </c>
      <c r="Y1226" s="87">
        <v>12.70184</v>
      </c>
      <c r="Z1226" s="88" t="s">
        <v>1396</v>
      </c>
    </row>
    <row r="1227" hidden="1">
      <c r="A1227" s="90" t="s">
        <v>3097</v>
      </c>
      <c r="B1227" s="90" t="s">
        <v>3106</v>
      </c>
      <c r="C1227" s="90" t="s">
        <v>644</v>
      </c>
      <c r="D1227" s="90" t="s">
        <v>659</v>
      </c>
      <c r="E1227" s="90" t="s">
        <v>1398</v>
      </c>
      <c r="F1227" s="87">
        <v>21.0</v>
      </c>
      <c r="G1227" s="87">
        <v>0.0</v>
      </c>
      <c r="H1227" s="87">
        <v>10955.0</v>
      </c>
      <c r="I1227" s="87">
        <v>0.0</v>
      </c>
      <c r="J1227" s="87">
        <v>70.90624</v>
      </c>
      <c r="K1227" s="87">
        <v>71.1781</v>
      </c>
      <c r="L1227" s="87">
        <v>70.26599</v>
      </c>
      <c r="M1227" s="87">
        <v>54.64669</v>
      </c>
      <c r="N1227" s="87">
        <v>0.767746</v>
      </c>
      <c r="O1227" s="87">
        <v>0.0</v>
      </c>
      <c r="P1227" s="87">
        <v>0.3</v>
      </c>
      <c r="Q1227" s="87">
        <v>0.337607</v>
      </c>
      <c r="R1227" s="87">
        <v>1.083195</v>
      </c>
      <c r="S1227" s="87">
        <v>3.378117</v>
      </c>
      <c r="T1227" s="87">
        <v>0.3</v>
      </c>
      <c r="U1227" s="87">
        <v>0.337607</v>
      </c>
      <c r="V1227" s="87">
        <v>1.066667</v>
      </c>
      <c r="W1227" s="87">
        <v>2.57265</v>
      </c>
      <c r="X1227" s="87">
        <v>5.025171</v>
      </c>
      <c r="Y1227" s="87">
        <v>4.186947</v>
      </c>
      <c r="Z1227" s="88" t="s">
        <v>1396</v>
      </c>
    </row>
    <row r="1228" hidden="1">
      <c r="A1228" s="90" t="s">
        <v>3089</v>
      </c>
      <c r="B1228" s="90" t="s">
        <v>3107</v>
      </c>
      <c r="C1228" s="90" t="s">
        <v>644</v>
      </c>
      <c r="D1228" s="90" t="s">
        <v>659</v>
      </c>
      <c r="E1228" s="90" t="s">
        <v>1400</v>
      </c>
      <c r="F1228" s="87">
        <v>54.0</v>
      </c>
      <c r="G1228" s="87">
        <v>17.0</v>
      </c>
      <c r="H1228" s="87">
        <v>63290.0</v>
      </c>
      <c r="I1228" s="87">
        <v>54183.0</v>
      </c>
      <c r="J1228" s="87">
        <v>87.82905</v>
      </c>
      <c r="K1228" s="87">
        <v>75.97621</v>
      </c>
      <c r="L1228" s="87">
        <v>79.61533</v>
      </c>
      <c r="M1228" s="87">
        <v>67.30111</v>
      </c>
      <c r="N1228" s="87">
        <v>0.885818</v>
      </c>
      <c r="O1228" s="87">
        <v>0.0</v>
      </c>
      <c r="P1228" s="87">
        <v>0.0</v>
      </c>
      <c r="Q1228" s="87">
        <v>0.0</v>
      </c>
      <c r="R1228" s="87">
        <v>0.0625</v>
      </c>
      <c r="S1228" s="87">
        <v>0.906545</v>
      </c>
      <c r="T1228" s="87">
        <v>0.133333</v>
      </c>
      <c r="U1228" s="87">
        <v>0.149141</v>
      </c>
      <c r="V1228" s="87">
        <v>0.331183</v>
      </c>
      <c r="W1228" s="87">
        <v>2.210103</v>
      </c>
      <c r="X1228" s="87">
        <v>5.117403</v>
      </c>
      <c r="Y1228" s="87">
        <v>2.170749</v>
      </c>
      <c r="Z1228" s="88" t="s">
        <v>1396</v>
      </c>
    </row>
    <row r="1229" hidden="1">
      <c r="A1229" s="90" t="s">
        <v>3100</v>
      </c>
      <c r="B1229" s="90" t="s">
        <v>3108</v>
      </c>
      <c r="C1229" s="90" t="s">
        <v>644</v>
      </c>
      <c r="D1229" s="90" t="s">
        <v>659</v>
      </c>
      <c r="E1229" s="86">
        <v>46300.0</v>
      </c>
      <c r="F1229" s="87">
        <v>30.0</v>
      </c>
      <c r="G1229" s="87">
        <v>2.0</v>
      </c>
      <c r="H1229" s="87">
        <v>46692.0</v>
      </c>
      <c r="I1229" s="87">
        <v>9.0</v>
      </c>
      <c r="J1229" s="87">
        <v>442.9731</v>
      </c>
      <c r="K1229" s="87">
        <v>557.6707</v>
      </c>
      <c r="L1229" s="87">
        <v>580.7563</v>
      </c>
      <c r="M1229" s="87">
        <v>383.9871</v>
      </c>
      <c r="N1229" s="87">
        <v>0.688555</v>
      </c>
      <c r="O1229" s="87">
        <v>0.0</v>
      </c>
      <c r="P1229" s="87">
        <v>1.809987</v>
      </c>
      <c r="Q1229" s="87">
        <v>2.599177</v>
      </c>
      <c r="R1229" s="87">
        <v>10.87456</v>
      </c>
      <c r="S1229" s="87">
        <v>18.78796</v>
      </c>
      <c r="T1229" s="87">
        <v>2.061494</v>
      </c>
      <c r="U1229" s="87">
        <v>2.599177</v>
      </c>
      <c r="V1229" s="87">
        <v>4.085873</v>
      </c>
      <c r="W1229" s="87">
        <v>15.47511</v>
      </c>
      <c r="X1229" s="87">
        <v>29.21158</v>
      </c>
      <c r="Y1229" s="87">
        <v>20.65447</v>
      </c>
      <c r="Z1229" s="88" t="s">
        <v>1396</v>
      </c>
    </row>
    <row r="1230" hidden="1">
      <c r="A1230" s="90" t="s">
        <v>3090</v>
      </c>
      <c r="B1230" s="90" t="s">
        <v>3109</v>
      </c>
      <c r="C1230" s="90" t="s">
        <v>644</v>
      </c>
      <c r="D1230" s="90" t="s">
        <v>659</v>
      </c>
      <c r="E1230" s="90" t="s">
        <v>1403</v>
      </c>
      <c r="F1230" s="87">
        <v>70.0</v>
      </c>
      <c r="G1230" s="87">
        <v>70.0</v>
      </c>
      <c r="H1230" s="87">
        <v>8544.0</v>
      </c>
      <c r="I1230" s="87">
        <v>8544.0</v>
      </c>
      <c r="J1230" s="87">
        <v>0.0</v>
      </c>
      <c r="K1230" s="87">
        <v>0.0</v>
      </c>
      <c r="L1230" s="87">
        <v>0.0</v>
      </c>
      <c r="M1230" s="87">
        <v>0.0</v>
      </c>
      <c r="N1230" s="91"/>
      <c r="O1230" s="87">
        <v>0.0</v>
      </c>
      <c r="P1230" s="87">
        <v>0.0</v>
      </c>
      <c r="Q1230" s="87">
        <v>0.0</v>
      </c>
      <c r="R1230" s="87">
        <v>0.0</v>
      </c>
      <c r="S1230" s="87">
        <v>0.0</v>
      </c>
      <c r="T1230" s="91"/>
      <c r="U1230" s="91"/>
      <c r="V1230" s="91"/>
      <c r="W1230" s="91"/>
      <c r="X1230" s="91"/>
      <c r="Y1230" s="87">
        <v>0.0</v>
      </c>
      <c r="Z1230" s="88" t="s">
        <v>1396</v>
      </c>
    </row>
    <row r="1231" hidden="1">
      <c r="A1231" s="90" t="s">
        <v>3095</v>
      </c>
      <c r="B1231" s="90" t="s">
        <v>3391</v>
      </c>
      <c r="C1231" s="90" t="s">
        <v>644</v>
      </c>
      <c r="D1231" s="90" t="s">
        <v>3392</v>
      </c>
      <c r="E1231" s="90" t="s">
        <v>1413</v>
      </c>
      <c r="F1231" s="87">
        <v>1.0</v>
      </c>
      <c r="G1231" s="87">
        <v>0.0</v>
      </c>
      <c r="H1231" s="87">
        <v>230.0</v>
      </c>
      <c r="I1231" s="87">
        <v>0.0</v>
      </c>
      <c r="J1231" s="87">
        <v>0.0</v>
      </c>
      <c r="K1231" s="87">
        <v>0.0</v>
      </c>
      <c r="L1231" s="87">
        <v>0.0</v>
      </c>
      <c r="M1231" s="87">
        <v>0.0</v>
      </c>
      <c r="N1231" s="91"/>
      <c r="O1231" s="91"/>
      <c r="P1231" s="91"/>
      <c r="Q1231" s="91"/>
      <c r="R1231" s="91"/>
      <c r="S1231" s="91"/>
      <c r="T1231" s="91"/>
      <c r="U1231" s="91"/>
      <c r="V1231" s="91"/>
      <c r="W1231" s="91"/>
      <c r="X1231" s="91"/>
      <c r="Y1231" s="91"/>
      <c r="Z1231" s="88" t="s">
        <v>1396</v>
      </c>
    </row>
    <row r="1232" hidden="1">
      <c r="A1232" s="90" t="s">
        <v>3091</v>
      </c>
      <c r="B1232" s="90" t="s">
        <v>3110</v>
      </c>
      <c r="C1232" s="90" t="s">
        <v>644</v>
      </c>
      <c r="D1232" s="90" t="s">
        <v>1261</v>
      </c>
      <c r="E1232" s="90" t="s">
        <v>1426</v>
      </c>
      <c r="F1232" s="87">
        <v>2.0</v>
      </c>
      <c r="G1232" s="87">
        <v>0.0</v>
      </c>
      <c r="H1232" s="87">
        <v>1861.0</v>
      </c>
      <c r="I1232" s="87">
        <v>0.0</v>
      </c>
      <c r="J1232" s="87">
        <v>7.082784</v>
      </c>
      <c r="K1232" s="87">
        <v>7.623168</v>
      </c>
      <c r="L1232" s="87">
        <v>12.40501</v>
      </c>
      <c r="M1232" s="87">
        <v>5.417823</v>
      </c>
      <c r="N1232" s="87">
        <v>0.710705</v>
      </c>
      <c r="O1232" s="87">
        <v>0.0</v>
      </c>
      <c r="P1232" s="87">
        <v>0.0</v>
      </c>
      <c r="Q1232" s="87">
        <v>0.0</v>
      </c>
      <c r="R1232" s="87">
        <v>2.205346</v>
      </c>
      <c r="S1232" s="87">
        <v>5.417823</v>
      </c>
      <c r="T1232" s="87">
        <v>2.205346</v>
      </c>
      <c r="U1232" s="87">
        <v>2.205346</v>
      </c>
      <c r="V1232" s="87">
        <v>2.205346</v>
      </c>
      <c r="W1232" s="87">
        <v>5.417823</v>
      </c>
      <c r="X1232" s="87">
        <v>5.417823</v>
      </c>
      <c r="Y1232" s="87">
        <v>2.541056</v>
      </c>
      <c r="Z1232" s="88" t="s">
        <v>1396</v>
      </c>
    </row>
    <row r="1233" hidden="1">
      <c r="A1233" s="90" t="s">
        <v>3093</v>
      </c>
      <c r="B1233" s="90" t="s">
        <v>2262</v>
      </c>
      <c r="C1233" s="90" t="s">
        <v>644</v>
      </c>
      <c r="D1233" s="90" t="s">
        <v>1261</v>
      </c>
      <c r="E1233" s="89">
        <v>46310.0</v>
      </c>
      <c r="F1233" s="87">
        <v>8.0</v>
      </c>
      <c r="G1233" s="87">
        <v>0.0</v>
      </c>
      <c r="H1233" s="87">
        <v>8103.0</v>
      </c>
      <c r="I1233" s="87">
        <v>0.0</v>
      </c>
      <c r="J1233" s="87">
        <v>170.4632</v>
      </c>
      <c r="K1233" s="87">
        <v>152.4792</v>
      </c>
      <c r="L1233" s="87">
        <v>141.3631</v>
      </c>
      <c r="M1233" s="87">
        <v>125.9403</v>
      </c>
      <c r="N1233" s="87">
        <v>0.825951</v>
      </c>
      <c r="O1233" s="87">
        <v>0.0</v>
      </c>
      <c r="P1233" s="87">
        <v>0.0</v>
      </c>
      <c r="Q1233" s="87">
        <v>0.428571</v>
      </c>
      <c r="R1233" s="87">
        <v>3.319447</v>
      </c>
      <c r="S1233" s="87">
        <v>15.71501</v>
      </c>
      <c r="T1233" s="87">
        <v>0.428571</v>
      </c>
      <c r="U1233" s="87">
        <v>3.125113</v>
      </c>
      <c r="V1233" s="87">
        <v>3.319447</v>
      </c>
      <c r="W1233" s="87">
        <v>3.95074</v>
      </c>
      <c r="X1233" s="87">
        <v>15.71501</v>
      </c>
      <c r="Y1233" s="87">
        <v>15.24792</v>
      </c>
      <c r="Z1233" s="88" t="s">
        <v>1396</v>
      </c>
    </row>
    <row r="1234" hidden="1">
      <c r="A1234" s="90" t="s">
        <v>3095</v>
      </c>
      <c r="B1234" s="90" t="s">
        <v>3111</v>
      </c>
      <c r="C1234" s="90" t="s">
        <v>644</v>
      </c>
      <c r="D1234" s="90" t="s">
        <v>1261</v>
      </c>
      <c r="E1234" s="90" t="s">
        <v>1413</v>
      </c>
      <c r="F1234" s="87">
        <v>8.0</v>
      </c>
      <c r="G1234" s="87">
        <v>0.0</v>
      </c>
      <c r="H1234" s="87">
        <v>7070.0</v>
      </c>
      <c r="I1234" s="87">
        <v>0.0</v>
      </c>
      <c r="J1234" s="87">
        <v>120.4509</v>
      </c>
      <c r="K1234" s="87">
        <v>111.3834</v>
      </c>
      <c r="L1234" s="87">
        <v>120.6595</v>
      </c>
      <c r="M1234" s="87">
        <v>69.65225</v>
      </c>
      <c r="N1234" s="87">
        <v>0.625338</v>
      </c>
      <c r="O1234" s="87">
        <v>1.441812</v>
      </c>
      <c r="P1234" s="87">
        <v>1.810774</v>
      </c>
      <c r="Q1234" s="87">
        <v>3.882594</v>
      </c>
      <c r="R1234" s="87">
        <v>8.054932</v>
      </c>
      <c r="S1234" s="87">
        <v>12.89094</v>
      </c>
      <c r="T1234" s="87">
        <v>1.441812</v>
      </c>
      <c r="U1234" s="87">
        <v>1.810774</v>
      </c>
      <c r="V1234" s="87">
        <v>3.882594</v>
      </c>
      <c r="W1234" s="87">
        <v>8.054932</v>
      </c>
      <c r="X1234" s="87">
        <v>12.89094</v>
      </c>
      <c r="Y1234" s="87">
        <v>11.13834</v>
      </c>
      <c r="Z1234" s="88" t="s">
        <v>1396</v>
      </c>
    </row>
    <row r="1235" hidden="1">
      <c r="A1235" s="90" t="s">
        <v>3097</v>
      </c>
      <c r="B1235" s="90" t="s">
        <v>3112</v>
      </c>
      <c r="C1235" s="90" t="s">
        <v>644</v>
      </c>
      <c r="D1235" s="90" t="s">
        <v>1261</v>
      </c>
      <c r="E1235" s="90" t="s">
        <v>1398</v>
      </c>
      <c r="F1235" s="87">
        <v>11.0</v>
      </c>
      <c r="G1235" s="87">
        <v>0.0</v>
      </c>
      <c r="H1235" s="87">
        <v>6363.0</v>
      </c>
      <c r="I1235" s="87">
        <v>0.0</v>
      </c>
      <c r="J1235" s="87">
        <v>94.887</v>
      </c>
      <c r="K1235" s="87">
        <v>94.26457</v>
      </c>
      <c r="L1235" s="87">
        <v>88.69333</v>
      </c>
      <c r="M1235" s="87">
        <v>65.96147</v>
      </c>
      <c r="N1235" s="87">
        <v>0.699748</v>
      </c>
      <c r="O1235" s="87">
        <v>0.0</v>
      </c>
      <c r="P1235" s="87">
        <v>0.0</v>
      </c>
      <c r="Q1235" s="87">
        <v>2.968442</v>
      </c>
      <c r="R1235" s="87">
        <v>4.764533</v>
      </c>
      <c r="S1235" s="87">
        <v>7.64082</v>
      </c>
      <c r="T1235" s="87">
        <v>2.968442</v>
      </c>
      <c r="U1235" s="87">
        <v>3.51843</v>
      </c>
      <c r="V1235" s="87">
        <v>4.330673</v>
      </c>
      <c r="W1235" s="87">
        <v>5.0802</v>
      </c>
      <c r="X1235" s="87">
        <v>11.04654</v>
      </c>
      <c r="Y1235" s="87">
        <v>7.855381</v>
      </c>
      <c r="Z1235" s="88" t="s">
        <v>1396</v>
      </c>
    </row>
    <row r="1236" hidden="1">
      <c r="A1236" s="90" t="s">
        <v>3089</v>
      </c>
      <c r="B1236" s="90" t="s">
        <v>2264</v>
      </c>
      <c r="C1236" s="90" t="s">
        <v>644</v>
      </c>
      <c r="D1236" s="90" t="s">
        <v>1261</v>
      </c>
      <c r="E1236" s="90" t="s">
        <v>1400</v>
      </c>
      <c r="F1236" s="87">
        <v>17.0</v>
      </c>
      <c r="G1236" s="87">
        <v>0.0</v>
      </c>
      <c r="H1236" s="87">
        <v>3930.0</v>
      </c>
      <c r="I1236" s="87">
        <v>0.0</v>
      </c>
      <c r="J1236" s="87">
        <v>49.64719</v>
      </c>
      <c r="K1236" s="87">
        <v>51.85957</v>
      </c>
      <c r="L1236" s="87">
        <v>59.71157</v>
      </c>
      <c r="M1236" s="87">
        <v>32.47942</v>
      </c>
      <c r="N1236" s="87">
        <v>0.626296</v>
      </c>
      <c r="O1236" s="87">
        <v>0.0</v>
      </c>
      <c r="P1236" s="87">
        <v>0.2</v>
      </c>
      <c r="Q1236" s="87">
        <v>0.217011</v>
      </c>
      <c r="R1236" s="87">
        <v>2.524248</v>
      </c>
      <c r="S1236" s="87">
        <v>5.387046</v>
      </c>
      <c r="T1236" s="87">
        <v>0.2</v>
      </c>
      <c r="U1236" s="87">
        <v>0.217011</v>
      </c>
      <c r="V1236" s="87">
        <v>1.397849</v>
      </c>
      <c r="W1236" s="87">
        <v>2.969739</v>
      </c>
      <c r="X1236" s="87">
        <v>5.387046</v>
      </c>
      <c r="Y1236" s="87">
        <v>3.241223</v>
      </c>
      <c r="Z1236" s="88" t="s">
        <v>1396</v>
      </c>
    </row>
    <row r="1237" hidden="1">
      <c r="A1237" s="90" t="s">
        <v>3100</v>
      </c>
      <c r="B1237" s="90" t="s">
        <v>3113</v>
      </c>
      <c r="C1237" s="90" t="s">
        <v>644</v>
      </c>
      <c r="D1237" s="90" t="s">
        <v>1261</v>
      </c>
      <c r="E1237" s="89">
        <v>46300.0</v>
      </c>
      <c r="F1237" s="87">
        <v>5.0</v>
      </c>
      <c r="G1237" s="87">
        <v>1.0</v>
      </c>
      <c r="H1237" s="87">
        <v>1542.0</v>
      </c>
      <c r="I1237" s="87">
        <v>30.0</v>
      </c>
      <c r="J1237" s="87">
        <v>11.54585</v>
      </c>
      <c r="K1237" s="87">
        <v>12.67229</v>
      </c>
      <c r="L1237" s="87">
        <v>14.69845</v>
      </c>
      <c r="M1237" s="87">
        <v>9.533991</v>
      </c>
      <c r="N1237" s="87">
        <v>0.75235</v>
      </c>
      <c r="O1237" s="87">
        <v>0.713001</v>
      </c>
      <c r="P1237" s="87">
        <v>0.713001</v>
      </c>
      <c r="Q1237" s="87">
        <v>0.713001</v>
      </c>
      <c r="R1237" s="87">
        <v>2.425295</v>
      </c>
      <c r="S1237" s="87">
        <v>9.533991</v>
      </c>
      <c r="T1237" s="87">
        <v>0.713001</v>
      </c>
      <c r="U1237" s="87">
        <v>0.713001</v>
      </c>
      <c r="V1237" s="87">
        <v>0.713001</v>
      </c>
      <c r="W1237" s="87">
        <v>2.425295</v>
      </c>
      <c r="X1237" s="87">
        <v>9.533991</v>
      </c>
      <c r="Y1237" s="87">
        <v>4.224096</v>
      </c>
      <c r="Z1237" s="88" t="s">
        <v>1396</v>
      </c>
    </row>
    <row r="1238" hidden="1">
      <c r="A1238" s="90" t="s">
        <v>3090</v>
      </c>
      <c r="B1238" s="90" t="s">
        <v>2265</v>
      </c>
      <c r="C1238" s="90" t="s">
        <v>644</v>
      </c>
      <c r="D1238" s="90" t="s">
        <v>1261</v>
      </c>
      <c r="E1238" s="90" t="s">
        <v>1403</v>
      </c>
      <c r="F1238" s="87">
        <v>4.0</v>
      </c>
      <c r="G1238" s="87">
        <v>4.0</v>
      </c>
      <c r="H1238" s="87">
        <v>15.0</v>
      </c>
      <c r="I1238" s="87">
        <v>15.0</v>
      </c>
      <c r="J1238" s="87">
        <v>0.0</v>
      </c>
      <c r="K1238" s="87">
        <v>0.0</v>
      </c>
      <c r="L1238" s="87">
        <v>0.0</v>
      </c>
      <c r="M1238" s="87">
        <v>0.0</v>
      </c>
      <c r="N1238" s="91"/>
      <c r="O1238" s="87">
        <v>0.0</v>
      </c>
      <c r="P1238" s="87">
        <v>0.0</v>
      </c>
      <c r="Q1238" s="87">
        <v>0.0</v>
      </c>
      <c r="R1238" s="87">
        <v>0.0</v>
      </c>
      <c r="S1238" s="87">
        <v>0.0</v>
      </c>
      <c r="T1238" s="91"/>
      <c r="U1238" s="91"/>
      <c r="V1238" s="91"/>
      <c r="W1238" s="91"/>
      <c r="X1238" s="91"/>
      <c r="Y1238" s="87">
        <v>0.0</v>
      </c>
      <c r="Z1238" s="88" t="s">
        <v>1396</v>
      </c>
    </row>
    <row r="1239" hidden="1">
      <c r="A1239" s="90" t="s">
        <v>3091</v>
      </c>
      <c r="B1239" s="90" t="s">
        <v>3114</v>
      </c>
      <c r="C1239" s="90" t="s">
        <v>644</v>
      </c>
      <c r="D1239" s="90" t="s">
        <v>1167</v>
      </c>
      <c r="E1239" s="90" t="s">
        <v>1426</v>
      </c>
      <c r="F1239" s="87">
        <v>8.0</v>
      </c>
      <c r="G1239" s="87">
        <v>1.0</v>
      </c>
      <c r="H1239" s="87">
        <v>8256.0</v>
      </c>
      <c r="I1239" s="87">
        <v>10.0</v>
      </c>
      <c r="J1239" s="87">
        <v>150.2942</v>
      </c>
      <c r="K1239" s="87">
        <v>186.5419</v>
      </c>
      <c r="L1239" s="87">
        <v>181.3553</v>
      </c>
      <c r="M1239" s="87">
        <v>118.0486</v>
      </c>
      <c r="N1239" s="87">
        <v>0.632826</v>
      </c>
      <c r="O1239" s="87">
        <v>0.0</v>
      </c>
      <c r="P1239" s="87">
        <v>0.0</v>
      </c>
      <c r="Q1239" s="87">
        <v>0.0</v>
      </c>
      <c r="R1239" s="87">
        <v>6.012223</v>
      </c>
      <c r="S1239" s="87">
        <v>31.51194</v>
      </c>
      <c r="T1239" s="87">
        <v>1.086916</v>
      </c>
      <c r="U1239" s="87">
        <v>6.012223</v>
      </c>
      <c r="V1239" s="87">
        <v>6.012223</v>
      </c>
      <c r="W1239" s="87">
        <v>31.51194</v>
      </c>
      <c r="X1239" s="87">
        <v>40.6733</v>
      </c>
      <c r="Y1239" s="87">
        <v>20.72688</v>
      </c>
      <c r="Z1239" s="88" t="s">
        <v>1396</v>
      </c>
    </row>
    <row r="1240" hidden="1">
      <c r="A1240" s="90" t="s">
        <v>3093</v>
      </c>
      <c r="B1240" s="90" t="s">
        <v>3115</v>
      </c>
      <c r="C1240" s="90" t="s">
        <v>644</v>
      </c>
      <c r="D1240" s="90" t="s">
        <v>1167</v>
      </c>
      <c r="E1240" s="86">
        <v>46310.0</v>
      </c>
      <c r="F1240" s="87">
        <v>14.0</v>
      </c>
      <c r="G1240" s="87">
        <v>0.0</v>
      </c>
      <c r="H1240" s="87">
        <v>12427.0</v>
      </c>
      <c r="I1240" s="87">
        <v>0.0</v>
      </c>
      <c r="J1240" s="87">
        <v>138.6498</v>
      </c>
      <c r="K1240" s="87">
        <v>140.5787</v>
      </c>
      <c r="L1240" s="87">
        <v>138.4026</v>
      </c>
      <c r="M1240" s="87">
        <v>62.85615</v>
      </c>
      <c r="N1240" s="87">
        <v>0.447124</v>
      </c>
      <c r="O1240" s="87">
        <v>1.619032</v>
      </c>
      <c r="P1240" s="87">
        <v>3.625973</v>
      </c>
      <c r="Q1240" s="87">
        <v>5.762147</v>
      </c>
      <c r="R1240" s="87">
        <v>7.204484</v>
      </c>
      <c r="S1240" s="87">
        <v>12.59074</v>
      </c>
      <c r="T1240" s="87">
        <v>3.476373</v>
      </c>
      <c r="U1240" s="87">
        <v>3.625973</v>
      </c>
      <c r="V1240" s="87">
        <v>6.341245</v>
      </c>
      <c r="W1240" s="87">
        <v>7.751923</v>
      </c>
      <c r="X1240" s="87">
        <v>12.59074</v>
      </c>
      <c r="Y1240" s="87">
        <v>9.371916</v>
      </c>
      <c r="Z1240" s="88" t="s">
        <v>1396</v>
      </c>
    </row>
    <row r="1241" hidden="1">
      <c r="A1241" s="90" t="s">
        <v>3095</v>
      </c>
      <c r="B1241" s="90" t="s">
        <v>3116</v>
      </c>
      <c r="C1241" s="90" t="s">
        <v>644</v>
      </c>
      <c r="D1241" s="90" t="s">
        <v>1167</v>
      </c>
      <c r="E1241" s="90" t="s">
        <v>1413</v>
      </c>
      <c r="F1241" s="87">
        <v>3.0</v>
      </c>
      <c r="G1241" s="87">
        <v>0.0</v>
      </c>
      <c r="H1241" s="87">
        <v>639.0</v>
      </c>
      <c r="I1241" s="87">
        <v>0.0</v>
      </c>
      <c r="J1241" s="87">
        <v>1.157143</v>
      </c>
      <c r="K1241" s="87">
        <v>0.82092</v>
      </c>
      <c r="L1241" s="87">
        <v>0.842593</v>
      </c>
      <c r="M1241" s="87">
        <v>0.82092</v>
      </c>
      <c r="N1241" s="87">
        <v>1.0</v>
      </c>
      <c r="O1241" s="87">
        <v>0.82092</v>
      </c>
      <c r="P1241" s="87">
        <v>0.82092</v>
      </c>
      <c r="Q1241" s="87">
        <v>0.82092</v>
      </c>
      <c r="R1241" s="87">
        <v>0.82092</v>
      </c>
      <c r="S1241" s="87">
        <v>0.82092</v>
      </c>
      <c r="T1241" s="87">
        <v>0.82092</v>
      </c>
      <c r="U1241" s="87">
        <v>0.82092</v>
      </c>
      <c r="V1241" s="87">
        <v>0.82092</v>
      </c>
      <c r="W1241" s="87">
        <v>0.82092</v>
      </c>
      <c r="X1241" s="87">
        <v>0.82092</v>
      </c>
      <c r="Y1241" s="87">
        <v>0.82092</v>
      </c>
      <c r="Z1241" s="88" t="s">
        <v>1396</v>
      </c>
    </row>
    <row r="1242" hidden="1">
      <c r="A1242" s="90" t="s">
        <v>3089</v>
      </c>
      <c r="B1242" s="90" t="s">
        <v>3117</v>
      </c>
      <c r="C1242" s="90" t="s">
        <v>644</v>
      </c>
      <c r="D1242" s="90" t="s">
        <v>1167</v>
      </c>
      <c r="E1242" s="90" t="s">
        <v>1400</v>
      </c>
      <c r="F1242" s="87">
        <v>3.0</v>
      </c>
      <c r="G1242" s="87">
        <v>1.0</v>
      </c>
      <c r="H1242" s="87">
        <v>317.0</v>
      </c>
      <c r="I1242" s="87">
        <v>213.0</v>
      </c>
      <c r="J1242" s="87">
        <v>0.071429</v>
      </c>
      <c r="K1242" s="87">
        <v>3.595543</v>
      </c>
      <c r="L1242" s="87">
        <v>6.187216</v>
      </c>
      <c r="M1242" s="87">
        <v>3.595543</v>
      </c>
      <c r="N1242" s="87">
        <v>1.0</v>
      </c>
      <c r="O1242" s="87">
        <v>3.595543</v>
      </c>
      <c r="P1242" s="87">
        <v>3.595543</v>
      </c>
      <c r="Q1242" s="87">
        <v>3.595543</v>
      </c>
      <c r="R1242" s="87">
        <v>3.595543</v>
      </c>
      <c r="S1242" s="87">
        <v>3.595543</v>
      </c>
      <c r="T1242" s="87">
        <v>3.595543</v>
      </c>
      <c r="U1242" s="87">
        <v>3.595543</v>
      </c>
      <c r="V1242" s="87">
        <v>3.595543</v>
      </c>
      <c r="W1242" s="87">
        <v>3.595543</v>
      </c>
      <c r="X1242" s="87">
        <v>3.595543</v>
      </c>
      <c r="Y1242" s="87">
        <v>3.595543</v>
      </c>
      <c r="Z1242" s="88" t="s">
        <v>1396</v>
      </c>
    </row>
    <row r="1243" hidden="1">
      <c r="A1243" s="90" t="s">
        <v>3100</v>
      </c>
      <c r="B1243" s="90" t="s">
        <v>3118</v>
      </c>
      <c r="C1243" s="90" t="s">
        <v>644</v>
      </c>
      <c r="D1243" s="90" t="s">
        <v>1167</v>
      </c>
      <c r="E1243" s="89">
        <v>46300.0</v>
      </c>
      <c r="F1243" s="87">
        <v>9.0</v>
      </c>
      <c r="G1243" s="87">
        <v>1.0</v>
      </c>
      <c r="H1243" s="87">
        <v>7326.0</v>
      </c>
      <c r="I1243" s="87">
        <v>2.0</v>
      </c>
      <c r="J1243" s="87">
        <v>92.4525</v>
      </c>
      <c r="K1243" s="87">
        <v>89.34863</v>
      </c>
      <c r="L1243" s="87">
        <v>91.08109</v>
      </c>
      <c r="M1243" s="87">
        <v>52.86433</v>
      </c>
      <c r="N1243" s="87">
        <v>0.591664</v>
      </c>
      <c r="O1243" s="87">
        <v>0.0</v>
      </c>
      <c r="P1243" s="87">
        <v>0.477496</v>
      </c>
      <c r="Q1243" s="87">
        <v>7.535089</v>
      </c>
      <c r="R1243" s="87">
        <v>9.055056</v>
      </c>
      <c r="S1243" s="87">
        <v>19.41666</v>
      </c>
      <c r="T1243" s="87">
        <v>0.477496</v>
      </c>
      <c r="U1243" s="87">
        <v>7.535089</v>
      </c>
      <c r="V1243" s="87">
        <v>7.535089</v>
      </c>
      <c r="W1243" s="87">
        <v>19.41666</v>
      </c>
      <c r="X1243" s="87">
        <v>20.15582</v>
      </c>
      <c r="Y1243" s="87">
        <v>12.76409</v>
      </c>
      <c r="Z1243" s="88" t="s">
        <v>1396</v>
      </c>
    </row>
    <row r="1244" hidden="1">
      <c r="A1244" s="90" t="s">
        <v>3090</v>
      </c>
      <c r="B1244" s="90" t="s">
        <v>3119</v>
      </c>
      <c r="C1244" s="90" t="s">
        <v>644</v>
      </c>
      <c r="D1244" s="90" t="s">
        <v>1167</v>
      </c>
      <c r="E1244" s="90" t="s">
        <v>1403</v>
      </c>
      <c r="F1244" s="87">
        <v>11.0</v>
      </c>
      <c r="G1244" s="87">
        <v>11.0</v>
      </c>
      <c r="H1244" s="87">
        <v>1151.0</v>
      </c>
      <c r="I1244" s="87">
        <v>1151.0</v>
      </c>
      <c r="J1244" s="87">
        <v>0.0</v>
      </c>
      <c r="K1244" s="87">
        <v>0.0</v>
      </c>
      <c r="L1244" s="87">
        <v>0.0</v>
      </c>
      <c r="M1244" s="87">
        <v>0.0</v>
      </c>
      <c r="N1244" s="85"/>
      <c r="O1244" s="87">
        <v>0.0</v>
      </c>
      <c r="P1244" s="87">
        <v>0.0</v>
      </c>
      <c r="Q1244" s="87">
        <v>0.0</v>
      </c>
      <c r="R1244" s="87">
        <v>0.0</v>
      </c>
      <c r="S1244" s="87">
        <v>0.0</v>
      </c>
      <c r="T1244" s="91"/>
      <c r="U1244" s="91"/>
      <c r="V1244" s="91"/>
      <c r="W1244" s="91"/>
      <c r="X1244" s="91"/>
      <c r="Y1244" s="87">
        <v>0.0</v>
      </c>
      <c r="Z1244" s="88" t="s">
        <v>1396</v>
      </c>
    </row>
    <row r="1245" hidden="1">
      <c r="A1245" s="90" t="s">
        <v>3091</v>
      </c>
      <c r="B1245" s="90" t="s">
        <v>3120</v>
      </c>
      <c r="C1245" s="90" t="s">
        <v>644</v>
      </c>
      <c r="D1245" s="90" t="s">
        <v>645</v>
      </c>
      <c r="E1245" s="90" t="s">
        <v>1426</v>
      </c>
      <c r="F1245" s="87">
        <v>8.0</v>
      </c>
      <c r="G1245" s="87">
        <v>0.0</v>
      </c>
      <c r="H1245" s="87">
        <v>15090.0</v>
      </c>
      <c r="I1245" s="87">
        <v>0.0</v>
      </c>
      <c r="J1245" s="87">
        <v>203.8645</v>
      </c>
      <c r="K1245" s="87">
        <v>199.6145</v>
      </c>
      <c r="L1245" s="87">
        <v>200.3985</v>
      </c>
      <c r="M1245" s="87">
        <v>99.00085</v>
      </c>
      <c r="N1245" s="87">
        <v>0.49596</v>
      </c>
      <c r="O1245" s="87">
        <v>0.5</v>
      </c>
      <c r="P1245" s="87">
        <v>10.22752</v>
      </c>
      <c r="Q1245" s="87">
        <v>14.83547</v>
      </c>
      <c r="R1245" s="87">
        <v>20.87066</v>
      </c>
      <c r="S1245" s="87">
        <v>39.33625</v>
      </c>
      <c r="T1245" s="87">
        <v>0.5</v>
      </c>
      <c r="U1245" s="87">
        <v>10.22752</v>
      </c>
      <c r="V1245" s="87">
        <v>14.83547</v>
      </c>
      <c r="W1245" s="87">
        <v>20.87066</v>
      </c>
      <c r="X1245" s="87">
        <v>39.33625</v>
      </c>
      <c r="Y1245" s="87">
        <v>24.95181</v>
      </c>
      <c r="Z1245" s="88" t="s">
        <v>1396</v>
      </c>
    </row>
    <row r="1246" hidden="1">
      <c r="A1246" s="90" t="s">
        <v>3093</v>
      </c>
      <c r="B1246" s="90" t="s">
        <v>2996</v>
      </c>
      <c r="C1246" s="90" t="s">
        <v>644</v>
      </c>
      <c r="D1246" s="90" t="s">
        <v>645</v>
      </c>
      <c r="E1246" s="86">
        <v>46310.0</v>
      </c>
      <c r="F1246" s="87">
        <v>42.0</v>
      </c>
      <c r="G1246" s="87">
        <v>1.0</v>
      </c>
      <c r="H1246" s="87">
        <v>42549.0</v>
      </c>
      <c r="I1246" s="87">
        <v>6.0</v>
      </c>
      <c r="J1246" s="87">
        <v>581.5878</v>
      </c>
      <c r="K1246" s="87">
        <v>517.1578</v>
      </c>
      <c r="L1246" s="87">
        <v>496.7265</v>
      </c>
      <c r="M1246" s="87">
        <v>324.9439</v>
      </c>
      <c r="N1246" s="87">
        <v>0.628326</v>
      </c>
      <c r="O1246" s="87">
        <v>0.0</v>
      </c>
      <c r="P1246" s="87">
        <v>0.0</v>
      </c>
      <c r="Q1246" s="87">
        <v>2.555871</v>
      </c>
      <c r="R1246" s="87">
        <v>7.314344</v>
      </c>
      <c r="S1246" s="87">
        <v>14.97314</v>
      </c>
      <c r="T1246" s="87">
        <v>3.326923</v>
      </c>
      <c r="U1246" s="87">
        <v>4.910132</v>
      </c>
      <c r="V1246" s="87">
        <v>7.328534</v>
      </c>
      <c r="W1246" s="87">
        <v>12.31366</v>
      </c>
      <c r="X1246" s="87">
        <v>19.5694</v>
      </c>
      <c r="Y1246" s="87">
        <v>12.92895</v>
      </c>
      <c r="Z1246" s="88" t="s">
        <v>1396</v>
      </c>
    </row>
    <row r="1247" hidden="1">
      <c r="A1247" s="90" t="s">
        <v>3095</v>
      </c>
      <c r="B1247" s="90" t="s">
        <v>3121</v>
      </c>
      <c r="C1247" s="90" t="s">
        <v>644</v>
      </c>
      <c r="D1247" s="90" t="s">
        <v>645</v>
      </c>
      <c r="E1247" s="90" t="s">
        <v>1413</v>
      </c>
      <c r="F1247" s="87">
        <v>31.0</v>
      </c>
      <c r="G1247" s="87">
        <v>3.0</v>
      </c>
      <c r="H1247" s="87">
        <v>19600.0</v>
      </c>
      <c r="I1247" s="87">
        <v>36.0</v>
      </c>
      <c r="J1247" s="87">
        <v>186.4609</v>
      </c>
      <c r="K1247" s="87">
        <v>187.7207</v>
      </c>
      <c r="L1247" s="87">
        <v>181.4657</v>
      </c>
      <c r="M1247" s="87">
        <v>108.6121</v>
      </c>
      <c r="N1247" s="87">
        <v>0.578583</v>
      </c>
      <c r="O1247" s="87">
        <v>0.0</v>
      </c>
      <c r="P1247" s="87">
        <v>1.882225</v>
      </c>
      <c r="Q1247" s="87">
        <v>3.269196</v>
      </c>
      <c r="R1247" s="87">
        <v>5.735224</v>
      </c>
      <c r="S1247" s="87">
        <v>7.841335</v>
      </c>
      <c r="T1247" s="87">
        <v>3.269196</v>
      </c>
      <c r="U1247" s="87">
        <v>3.959799</v>
      </c>
      <c r="V1247" s="87">
        <v>4.600384</v>
      </c>
      <c r="W1247" s="87">
        <v>6.586621</v>
      </c>
      <c r="X1247" s="87">
        <v>8.915506</v>
      </c>
      <c r="Y1247" s="87">
        <v>7.220028</v>
      </c>
      <c r="Z1247" s="88" t="s">
        <v>1396</v>
      </c>
    </row>
    <row r="1248" hidden="1">
      <c r="A1248" s="90" t="s">
        <v>3097</v>
      </c>
      <c r="B1248" s="90" t="s">
        <v>3122</v>
      </c>
      <c r="C1248" s="90" t="s">
        <v>644</v>
      </c>
      <c r="D1248" s="90" t="s">
        <v>645</v>
      </c>
      <c r="E1248" s="90" t="s">
        <v>1398</v>
      </c>
      <c r="F1248" s="87">
        <v>16.0</v>
      </c>
      <c r="G1248" s="87">
        <v>0.0</v>
      </c>
      <c r="H1248" s="87">
        <v>2573.0</v>
      </c>
      <c r="I1248" s="87">
        <v>0.0</v>
      </c>
      <c r="J1248" s="87">
        <v>24.44517</v>
      </c>
      <c r="K1248" s="87">
        <v>21.39206</v>
      </c>
      <c r="L1248" s="87">
        <v>18.41795</v>
      </c>
      <c r="M1248" s="87">
        <v>12.20954</v>
      </c>
      <c r="N1248" s="87">
        <v>0.570751</v>
      </c>
      <c r="O1248" s="87">
        <v>2.963695</v>
      </c>
      <c r="P1248" s="87">
        <v>2.963695</v>
      </c>
      <c r="Q1248" s="87">
        <v>2.963695</v>
      </c>
      <c r="R1248" s="87">
        <v>6.218822</v>
      </c>
      <c r="S1248" s="87">
        <v>12.20954</v>
      </c>
      <c r="T1248" s="87">
        <v>2.963695</v>
      </c>
      <c r="U1248" s="87">
        <v>2.963695</v>
      </c>
      <c r="V1248" s="87">
        <v>2.963695</v>
      </c>
      <c r="W1248" s="87">
        <v>6.218822</v>
      </c>
      <c r="X1248" s="87">
        <v>12.20954</v>
      </c>
      <c r="Y1248" s="87">
        <v>7.130687</v>
      </c>
      <c r="Z1248" s="88" t="s">
        <v>1396</v>
      </c>
    </row>
    <row r="1249" hidden="1">
      <c r="A1249" s="90" t="s">
        <v>3089</v>
      </c>
      <c r="B1249" s="90" t="s">
        <v>3032</v>
      </c>
      <c r="C1249" s="90" t="s">
        <v>644</v>
      </c>
      <c r="D1249" s="90" t="s">
        <v>645</v>
      </c>
      <c r="E1249" s="90" t="s">
        <v>1400</v>
      </c>
      <c r="F1249" s="87">
        <v>9.0</v>
      </c>
      <c r="G1249" s="87">
        <v>1.0</v>
      </c>
      <c r="H1249" s="87">
        <v>4262.0</v>
      </c>
      <c r="I1249" s="87">
        <v>13.0</v>
      </c>
      <c r="J1249" s="87">
        <v>36.90122</v>
      </c>
      <c r="K1249" s="87">
        <v>36.37213</v>
      </c>
      <c r="L1249" s="87">
        <v>39.63885</v>
      </c>
      <c r="M1249" s="87">
        <v>19.94365</v>
      </c>
      <c r="N1249" s="87">
        <v>0.548322</v>
      </c>
      <c r="O1249" s="87">
        <v>0.0</v>
      </c>
      <c r="P1249" s="87">
        <v>0.0</v>
      </c>
      <c r="Q1249" s="87">
        <v>0.297619</v>
      </c>
      <c r="R1249" s="87">
        <v>6.292617</v>
      </c>
      <c r="S1249" s="87">
        <v>6.780928</v>
      </c>
      <c r="T1249" s="87">
        <v>0.297619</v>
      </c>
      <c r="U1249" s="87">
        <v>3.057316</v>
      </c>
      <c r="V1249" s="87">
        <v>3.057316</v>
      </c>
      <c r="W1249" s="87">
        <v>6.780928</v>
      </c>
      <c r="X1249" s="87">
        <v>7.095805</v>
      </c>
      <c r="Y1249" s="87">
        <v>4.546516</v>
      </c>
      <c r="Z1249" s="88" t="s">
        <v>1396</v>
      </c>
    </row>
    <row r="1250" hidden="1">
      <c r="A1250" s="90" t="s">
        <v>3100</v>
      </c>
      <c r="B1250" s="90" t="s">
        <v>2997</v>
      </c>
      <c r="C1250" s="90" t="s">
        <v>644</v>
      </c>
      <c r="D1250" s="90" t="s">
        <v>645</v>
      </c>
      <c r="E1250" s="89">
        <v>46300.0</v>
      </c>
      <c r="F1250" s="87">
        <v>24.0</v>
      </c>
      <c r="G1250" s="87">
        <v>1.0</v>
      </c>
      <c r="H1250" s="87">
        <v>17212.0</v>
      </c>
      <c r="I1250" s="87">
        <v>23.0</v>
      </c>
      <c r="J1250" s="87">
        <v>184.5791</v>
      </c>
      <c r="K1250" s="87">
        <v>209.8513</v>
      </c>
      <c r="L1250" s="87">
        <v>202.1505</v>
      </c>
      <c r="M1250" s="87">
        <v>148.7987</v>
      </c>
      <c r="N1250" s="87">
        <v>0.709067</v>
      </c>
      <c r="O1250" s="87">
        <v>0.0</v>
      </c>
      <c r="P1250" s="87">
        <v>0.0</v>
      </c>
      <c r="Q1250" s="87">
        <v>1.0</v>
      </c>
      <c r="R1250" s="87">
        <v>7.979888</v>
      </c>
      <c r="S1250" s="87">
        <v>13.76713</v>
      </c>
      <c r="T1250" s="87">
        <v>1.629133</v>
      </c>
      <c r="U1250" s="87">
        <v>2.061494</v>
      </c>
      <c r="V1250" s="87">
        <v>7.979888</v>
      </c>
      <c r="W1250" s="87">
        <v>12.26622</v>
      </c>
      <c r="X1250" s="87">
        <v>16.42144</v>
      </c>
      <c r="Y1250" s="87">
        <v>10.49256</v>
      </c>
      <c r="Z1250" s="88" t="s">
        <v>1396</v>
      </c>
    </row>
    <row r="1251" hidden="1">
      <c r="A1251" s="90" t="s">
        <v>3090</v>
      </c>
      <c r="B1251" s="90" t="s">
        <v>2998</v>
      </c>
      <c r="C1251" s="90" t="s">
        <v>644</v>
      </c>
      <c r="D1251" s="90" t="s">
        <v>645</v>
      </c>
      <c r="E1251" s="90" t="s">
        <v>1403</v>
      </c>
      <c r="F1251" s="87">
        <v>6.0</v>
      </c>
      <c r="G1251" s="87">
        <v>6.0</v>
      </c>
      <c r="H1251" s="87">
        <v>10281.0</v>
      </c>
      <c r="I1251" s="87">
        <v>10281.0</v>
      </c>
      <c r="J1251" s="87">
        <v>0.0</v>
      </c>
      <c r="K1251" s="87">
        <v>0.0</v>
      </c>
      <c r="L1251" s="87">
        <v>0.0</v>
      </c>
      <c r="M1251" s="87">
        <v>0.0</v>
      </c>
      <c r="N1251" s="85"/>
      <c r="O1251" s="87">
        <v>0.0</v>
      </c>
      <c r="P1251" s="87">
        <v>0.0</v>
      </c>
      <c r="Q1251" s="87">
        <v>0.0</v>
      </c>
      <c r="R1251" s="87">
        <v>0.0</v>
      </c>
      <c r="S1251" s="87">
        <v>0.0</v>
      </c>
      <c r="T1251" s="91"/>
      <c r="U1251" s="91"/>
      <c r="V1251" s="91"/>
      <c r="W1251" s="91"/>
      <c r="X1251" s="91"/>
      <c r="Y1251" s="87">
        <v>0.0</v>
      </c>
      <c r="Z1251" s="88" t="s">
        <v>1396</v>
      </c>
    </row>
    <row r="1252" hidden="1">
      <c r="A1252" s="90" t="s">
        <v>3089</v>
      </c>
      <c r="B1252" s="90" t="s">
        <v>3123</v>
      </c>
      <c r="C1252" s="90" t="s">
        <v>644</v>
      </c>
      <c r="D1252" s="90" t="s">
        <v>3124</v>
      </c>
      <c r="E1252" s="90" t="s">
        <v>1400</v>
      </c>
      <c r="F1252" s="87">
        <v>0.0</v>
      </c>
      <c r="G1252" s="87">
        <v>0.0</v>
      </c>
      <c r="H1252" s="87">
        <v>0.0</v>
      </c>
      <c r="I1252" s="87">
        <v>0.0</v>
      </c>
      <c r="J1252" s="87">
        <v>0.0</v>
      </c>
      <c r="K1252" s="87">
        <v>0.0</v>
      </c>
      <c r="L1252" s="87">
        <v>0.0</v>
      </c>
      <c r="M1252" s="87">
        <v>0.0</v>
      </c>
      <c r="N1252" s="85"/>
      <c r="O1252" s="87">
        <v>0.0</v>
      </c>
      <c r="P1252" s="87">
        <v>0.0</v>
      </c>
      <c r="Q1252" s="87">
        <v>0.0</v>
      </c>
      <c r="R1252" s="87">
        <v>0.0</v>
      </c>
      <c r="S1252" s="87">
        <v>0.0</v>
      </c>
      <c r="T1252" s="91"/>
      <c r="U1252" s="91"/>
      <c r="V1252" s="91"/>
      <c r="W1252" s="91"/>
      <c r="X1252" s="91"/>
      <c r="Y1252" s="87">
        <v>0.0</v>
      </c>
      <c r="Z1252" s="88" t="s">
        <v>1396</v>
      </c>
    </row>
    <row r="1253" hidden="1">
      <c r="A1253" s="90" t="s">
        <v>3100</v>
      </c>
      <c r="B1253" s="90" t="s">
        <v>3125</v>
      </c>
      <c r="C1253" s="90" t="s">
        <v>644</v>
      </c>
      <c r="D1253" s="90" t="s">
        <v>3124</v>
      </c>
      <c r="E1253" s="89">
        <v>46300.0</v>
      </c>
      <c r="F1253" s="87">
        <v>1.0</v>
      </c>
      <c r="G1253" s="87">
        <v>0.0</v>
      </c>
      <c r="H1253" s="87">
        <v>419.0</v>
      </c>
      <c r="I1253" s="87">
        <v>0.0</v>
      </c>
      <c r="J1253" s="87">
        <v>0.642857</v>
      </c>
      <c r="K1253" s="87">
        <v>0.530108</v>
      </c>
      <c r="L1253" s="87">
        <v>0.517298</v>
      </c>
      <c r="M1253" s="87">
        <v>0.530108</v>
      </c>
      <c r="N1253" s="87">
        <v>1.0</v>
      </c>
      <c r="O1253" s="87">
        <v>0.530108</v>
      </c>
      <c r="P1253" s="87">
        <v>0.530108</v>
      </c>
      <c r="Q1253" s="87">
        <v>0.530108</v>
      </c>
      <c r="R1253" s="87">
        <v>0.530108</v>
      </c>
      <c r="S1253" s="87">
        <v>0.530108</v>
      </c>
      <c r="T1253" s="87">
        <v>0.530108</v>
      </c>
      <c r="U1253" s="87">
        <v>0.530108</v>
      </c>
      <c r="V1253" s="87">
        <v>0.530108</v>
      </c>
      <c r="W1253" s="87">
        <v>0.530108</v>
      </c>
      <c r="X1253" s="87">
        <v>0.530108</v>
      </c>
      <c r="Y1253" s="87">
        <v>0.530108</v>
      </c>
      <c r="Z1253" s="88" t="s">
        <v>1396</v>
      </c>
    </row>
    <row r="1254" hidden="1">
      <c r="A1254" s="90" t="s">
        <v>3090</v>
      </c>
      <c r="B1254" s="90" t="s">
        <v>3126</v>
      </c>
      <c r="C1254" s="90" t="s">
        <v>644</v>
      </c>
      <c r="D1254" s="90" t="s">
        <v>3124</v>
      </c>
      <c r="E1254" s="90" t="s">
        <v>1403</v>
      </c>
      <c r="F1254" s="87">
        <v>1.0</v>
      </c>
      <c r="G1254" s="87">
        <v>1.0</v>
      </c>
      <c r="H1254" s="87">
        <v>63.0</v>
      </c>
      <c r="I1254" s="87">
        <v>63.0</v>
      </c>
      <c r="J1254" s="87">
        <v>0.0</v>
      </c>
      <c r="K1254" s="87">
        <v>0.0</v>
      </c>
      <c r="L1254" s="87">
        <v>0.0</v>
      </c>
      <c r="M1254" s="87">
        <v>0.0</v>
      </c>
      <c r="N1254" s="85"/>
      <c r="O1254" s="87">
        <v>0.0</v>
      </c>
      <c r="P1254" s="87">
        <v>0.0</v>
      </c>
      <c r="Q1254" s="87">
        <v>0.0</v>
      </c>
      <c r="R1254" s="87">
        <v>0.0</v>
      </c>
      <c r="S1254" s="87">
        <v>0.0</v>
      </c>
      <c r="T1254" s="91"/>
      <c r="U1254" s="91"/>
      <c r="V1254" s="91"/>
      <c r="W1254" s="91"/>
      <c r="X1254" s="91"/>
      <c r="Y1254" s="87">
        <v>0.0</v>
      </c>
      <c r="Z1254" s="88" t="s">
        <v>1396</v>
      </c>
    </row>
    <row r="1255" hidden="1">
      <c r="A1255" s="90" t="s">
        <v>3091</v>
      </c>
      <c r="B1255" s="90" t="s">
        <v>3127</v>
      </c>
      <c r="C1255" s="90" t="s">
        <v>644</v>
      </c>
      <c r="D1255" s="90" t="s">
        <v>1171</v>
      </c>
      <c r="E1255" s="90" t="s">
        <v>1426</v>
      </c>
      <c r="F1255" s="87">
        <v>15.0</v>
      </c>
      <c r="G1255" s="87">
        <v>1.0</v>
      </c>
      <c r="H1255" s="87">
        <v>47763.0</v>
      </c>
      <c r="I1255" s="87">
        <v>61.0</v>
      </c>
      <c r="J1255" s="87">
        <v>636.9137</v>
      </c>
      <c r="K1255" s="87">
        <v>706.7333</v>
      </c>
      <c r="L1255" s="87">
        <v>662.3309</v>
      </c>
      <c r="M1255" s="87">
        <v>546.3899</v>
      </c>
      <c r="N1255" s="87">
        <v>0.77312</v>
      </c>
      <c r="O1255" s="87">
        <v>0.0</v>
      </c>
      <c r="P1255" s="87">
        <v>0.0</v>
      </c>
      <c r="Q1255" s="87">
        <v>0.0</v>
      </c>
      <c r="R1255" s="87">
        <v>11.90059</v>
      </c>
      <c r="S1255" s="87">
        <v>30.57186</v>
      </c>
      <c r="T1255" s="87">
        <v>11.31579</v>
      </c>
      <c r="U1255" s="87">
        <v>11.90059</v>
      </c>
      <c r="V1255" s="87">
        <v>19.37054</v>
      </c>
      <c r="W1255" s="87">
        <v>87.18459</v>
      </c>
      <c r="X1255" s="87">
        <v>143.8699</v>
      </c>
      <c r="Y1255" s="87">
        <v>50.48095</v>
      </c>
      <c r="Z1255" s="88" t="s">
        <v>1396</v>
      </c>
    </row>
    <row r="1256" hidden="1">
      <c r="A1256" s="90" t="s">
        <v>3093</v>
      </c>
      <c r="B1256" s="90" t="s">
        <v>3128</v>
      </c>
      <c r="C1256" s="90" t="s">
        <v>644</v>
      </c>
      <c r="D1256" s="90" t="s">
        <v>1171</v>
      </c>
      <c r="E1256" s="86">
        <v>46310.0</v>
      </c>
      <c r="F1256" s="87">
        <v>22.0</v>
      </c>
      <c r="G1256" s="87">
        <v>5.0</v>
      </c>
      <c r="H1256" s="87">
        <v>9395.0</v>
      </c>
      <c r="I1256" s="87">
        <v>955.0</v>
      </c>
      <c r="J1256" s="87">
        <v>59.29248</v>
      </c>
      <c r="K1256" s="87">
        <v>62.5869</v>
      </c>
      <c r="L1256" s="87">
        <v>66.07404</v>
      </c>
      <c r="M1256" s="87">
        <v>40.65998</v>
      </c>
      <c r="N1256" s="87">
        <v>0.649656</v>
      </c>
      <c r="O1256" s="87">
        <v>0.0</v>
      </c>
      <c r="P1256" s="87">
        <v>0.0</v>
      </c>
      <c r="Q1256" s="87">
        <v>0.0</v>
      </c>
      <c r="R1256" s="87">
        <v>2.800025</v>
      </c>
      <c r="S1256" s="87">
        <v>6.472822</v>
      </c>
      <c r="T1256" s="87">
        <v>0.137931</v>
      </c>
      <c r="U1256" s="87">
        <v>0.401149</v>
      </c>
      <c r="V1256" s="87">
        <v>2.800025</v>
      </c>
      <c r="W1256" s="87">
        <v>6.10541</v>
      </c>
      <c r="X1256" s="87">
        <v>8.409923</v>
      </c>
      <c r="Y1256" s="87">
        <v>4.814377</v>
      </c>
      <c r="Z1256" s="88" t="s">
        <v>1396</v>
      </c>
    </row>
    <row r="1257" hidden="1">
      <c r="A1257" s="90" t="s">
        <v>3095</v>
      </c>
      <c r="B1257" s="90" t="s">
        <v>3129</v>
      </c>
      <c r="C1257" s="90" t="s">
        <v>644</v>
      </c>
      <c r="D1257" s="90" t="s">
        <v>1171</v>
      </c>
      <c r="E1257" s="90" t="s">
        <v>1413</v>
      </c>
      <c r="F1257" s="87">
        <v>13.0</v>
      </c>
      <c r="G1257" s="87">
        <v>1.0</v>
      </c>
      <c r="H1257" s="87">
        <v>1278.0</v>
      </c>
      <c r="I1257" s="87">
        <v>4.0</v>
      </c>
      <c r="J1257" s="87">
        <v>20.21683</v>
      </c>
      <c r="K1257" s="87">
        <v>26.36928</v>
      </c>
      <c r="L1257" s="87">
        <v>25.15705</v>
      </c>
      <c r="M1257" s="87">
        <v>14.29121</v>
      </c>
      <c r="N1257" s="87">
        <v>0.541964</v>
      </c>
      <c r="O1257" s="87">
        <v>0.0</v>
      </c>
      <c r="P1257" s="87">
        <v>0.037037</v>
      </c>
      <c r="Q1257" s="87">
        <v>0.25</v>
      </c>
      <c r="R1257" s="87">
        <v>3.772451</v>
      </c>
      <c r="S1257" s="87">
        <v>4.893586</v>
      </c>
      <c r="T1257" s="87">
        <v>0.037037</v>
      </c>
      <c r="U1257" s="87">
        <v>0.25</v>
      </c>
      <c r="V1257" s="87">
        <v>3.125</v>
      </c>
      <c r="W1257" s="87">
        <v>3.772451</v>
      </c>
      <c r="X1257" s="87">
        <v>4.893586</v>
      </c>
      <c r="Y1257" s="87">
        <v>3.296161</v>
      </c>
      <c r="Z1257" s="88" t="s">
        <v>1396</v>
      </c>
    </row>
    <row r="1258" hidden="1">
      <c r="A1258" s="90" t="s">
        <v>3097</v>
      </c>
      <c r="B1258" s="90" t="s">
        <v>3130</v>
      </c>
      <c r="C1258" s="90" t="s">
        <v>644</v>
      </c>
      <c r="D1258" s="90" t="s">
        <v>1171</v>
      </c>
      <c r="E1258" s="90" t="s">
        <v>1398</v>
      </c>
      <c r="F1258" s="87">
        <v>7.0</v>
      </c>
      <c r="G1258" s="87">
        <v>0.0</v>
      </c>
      <c r="H1258" s="87">
        <v>3079.0</v>
      </c>
      <c r="I1258" s="87">
        <v>0.0</v>
      </c>
      <c r="J1258" s="87">
        <v>9.052381</v>
      </c>
      <c r="K1258" s="87">
        <v>9.215557</v>
      </c>
      <c r="L1258" s="87">
        <v>9.718547</v>
      </c>
      <c r="M1258" s="87">
        <v>6.939709</v>
      </c>
      <c r="N1258" s="87">
        <v>0.753043</v>
      </c>
      <c r="O1258" s="87">
        <v>0.0</v>
      </c>
      <c r="P1258" s="87">
        <v>0.0</v>
      </c>
      <c r="Q1258" s="87">
        <v>0.0</v>
      </c>
      <c r="R1258" s="87">
        <v>2.275849</v>
      </c>
      <c r="S1258" s="87">
        <v>2.88373</v>
      </c>
      <c r="T1258" s="87">
        <v>2.275849</v>
      </c>
      <c r="U1258" s="87">
        <v>2.275849</v>
      </c>
      <c r="V1258" s="87">
        <v>2.275849</v>
      </c>
      <c r="W1258" s="87">
        <v>2.88373</v>
      </c>
      <c r="X1258" s="87">
        <v>4.055978</v>
      </c>
      <c r="Y1258" s="87">
        <v>1.535926</v>
      </c>
      <c r="Z1258" s="88" t="s">
        <v>1396</v>
      </c>
    </row>
    <row r="1259" hidden="1">
      <c r="A1259" s="90" t="s">
        <v>3089</v>
      </c>
      <c r="B1259" s="90" t="s">
        <v>3131</v>
      </c>
      <c r="C1259" s="90" t="s">
        <v>644</v>
      </c>
      <c r="D1259" s="90" t="s">
        <v>1171</v>
      </c>
      <c r="E1259" s="90" t="s">
        <v>1400</v>
      </c>
      <c r="F1259" s="87">
        <v>21.0</v>
      </c>
      <c r="G1259" s="87">
        <v>1.0</v>
      </c>
      <c r="H1259" s="87">
        <v>4278.0</v>
      </c>
      <c r="I1259" s="87">
        <v>627.0</v>
      </c>
      <c r="J1259" s="87">
        <v>10.80495</v>
      </c>
      <c r="K1259" s="87">
        <v>15.42415</v>
      </c>
      <c r="L1259" s="87">
        <v>16.98719</v>
      </c>
      <c r="M1259" s="87">
        <v>7.151582</v>
      </c>
      <c r="N1259" s="87">
        <v>0.463661</v>
      </c>
      <c r="O1259" s="87">
        <v>0.891398</v>
      </c>
      <c r="P1259" s="87">
        <v>0.893406</v>
      </c>
      <c r="Q1259" s="87">
        <v>0.950082</v>
      </c>
      <c r="R1259" s="87">
        <v>1.910582</v>
      </c>
      <c r="S1259" s="87">
        <v>2.649406</v>
      </c>
      <c r="T1259" s="87">
        <v>0.891398</v>
      </c>
      <c r="U1259" s="87">
        <v>0.893406</v>
      </c>
      <c r="V1259" s="87">
        <v>0.950082</v>
      </c>
      <c r="W1259" s="87">
        <v>1.910582</v>
      </c>
      <c r="X1259" s="87">
        <v>2.649406</v>
      </c>
      <c r="Y1259" s="87">
        <v>1.928019</v>
      </c>
      <c r="Z1259" s="88" t="s">
        <v>1396</v>
      </c>
    </row>
    <row r="1260" hidden="1">
      <c r="A1260" s="90" t="s">
        <v>3100</v>
      </c>
      <c r="B1260" s="90" t="s">
        <v>3132</v>
      </c>
      <c r="C1260" s="90" t="s">
        <v>644</v>
      </c>
      <c r="D1260" s="90" t="s">
        <v>1171</v>
      </c>
      <c r="E1260" s="89">
        <v>46300.0</v>
      </c>
      <c r="F1260" s="87">
        <v>51.0</v>
      </c>
      <c r="G1260" s="87">
        <v>2.0</v>
      </c>
      <c r="H1260" s="87">
        <v>58855.0</v>
      </c>
      <c r="I1260" s="87">
        <v>13.0</v>
      </c>
      <c r="J1260" s="87">
        <v>783.6805</v>
      </c>
      <c r="K1260" s="87">
        <v>781.2951</v>
      </c>
      <c r="L1260" s="87">
        <v>743.6187</v>
      </c>
      <c r="M1260" s="87">
        <v>419.7329</v>
      </c>
      <c r="N1260" s="87">
        <v>0.537227</v>
      </c>
      <c r="O1260" s="87">
        <v>0.0</v>
      </c>
      <c r="P1260" s="87">
        <v>3.640743</v>
      </c>
      <c r="Q1260" s="87">
        <v>5.844724</v>
      </c>
      <c r="R1260" s="87">
        <v>10.97141</v>
      </c>
      <c r="S1260" s="87">
        <v>23.74752</v>
      </c>
      <c r="T1260" s="87">
        <v>3.640743</v>
      </c>
      <c r="U1260" s="87">
        <v>5.772038</v>
      </c>
      <c r="V1260" s="87">
        <v>8.021257</v>
      </c>
      <c r="W1260" s="87">
        <v>12.41715</v>
      </c>
      <c r="X1260" s="87">
        <v>24.5792</v>
      </c>
      <c r="Y1260" s="87">
        <v>17.75671</v>
      </c>
      <c r="Z1260" s="88" t="s">
        <v>1396</v>
      </c>
    </row>
    <row r="1261" hidden="1">
      <c r="A1261" s="90" t="s">
        <v>3090</v>
      </c>
      <c r="B1261" s="90" t="s">
        <v>3133</v>
      </c>
      <c r="C1261" s="90" t="s">
        <v>644</v>
      </c>
      <c r="D1261" s="90" t="s">
        <v>1171</v>
      </c>
      <c r="E1261" s="90" t="s">
        <v>1403</v>
      </c>
      <c r="F1261" s="87">
        <v>15.0</v>
      </c>
      <c r="G1261" s="87">
        <v>15.0</v>
      </c>
      <c r="H1261" s="87">
        <v>1246.0</v>
      </c>
      <c r="I1261" s="87">
        <v>1246.0</v>
      </c>
      <c r="J1261" s="87">
        <v>0.0</v>
      </c>
      <c r="K1261" s="87">
        <v>0.0</v>
      </c>
      <c r="L1261" s="87">
        <v>0.0</v>
      </c>
      <c r="M1261" s="87">
        <v>0.0</v>
      </c>
      <c r="N1261" s="85"/>
      <c r="O1261" s="87">
        <v>0.0</v>
      </c>
      <c r="P1261" s="87">
        <v>0.0</v>
      </c>
      <c r="Q1261" s="87">
        <v>0.0</v>
      </c>
      <c r="R1261" s="87">
        <v>0.0</v>
      </c>
      <c r="S1261" s="87">
        <v>0.0</v>
      </c>
      <c r="T1261" s="91"/>
      <c r="U1261" s="91"/>
      <c r="V1261" s="91"/>
      <c r="W1261" s="91"/>
      <c r="X1261" s="91"/>
      <c r="Y1261" s="87">
        <v>0.0</v>
      </c>
      <c r="Z1261" s="88" t="s">
        <v>1396</v>
      </c>
    </row>
    <row r="1262" hidden="1">
      <c r="A1262" s="90" t="s">
        <v>3100</v>
      </c>
      <c r="B1262" s="90" t="s">
        <v>3134</v>
      </c>
      <c r="C1262" s="90" t="s">
        <v>644</v>
      </c>
      <c r="D1262" s="90" t="s">
        <v>3135</v>
      </c>
      <c r="E1262" s="89">
        <v>46300.0</v>
      </c>
      <c r="F1262" s="87">
        <v>1.0</v>
      </c>
      <c r="G1262" s="87">
        <v>0.0</v>
      </c>
      <c r="H1262" s="87">
        <v>272.0</v>
      </c>
      <c r="I1262" s="87">
        <v>0.0</v>
      </c>
      <c r="J1262" s="87">
        <v>0.833333</v>
      </c>
      <c r="K1262" s="87">
        <v>0.698925</v>
      </c>
      <c r="L1262" s="87">
        <v>0.702018</v>
      </c>
      <c r="M1262" s="87">
        <v>0.698925</v>
      </c>
      <c r="N1262" s="87">
        <v>1.0</v>
      </c>
      <c r="O1262" s="87">
        <v>0.698925</v>
      </c>
      <c r="P1262" s="87">
        <v>0.698925</v>
      </c>
      <c r="Q1262" s="87">
        <v>0.698925</v>
      </c>
      <c r="R1262" s="87">
        <v>0.698925</v>
      </c>
      <c r="S1262" s="87">
        <v>0.698925</v>
      </c>
      <c r="T1262" s="87">
        <v>0.698925</v>
      </c>
      <c r="U1262" s="87">
        <v>0.698925</v>
      </c>
      <c r="V1262" s="87">
        <v>0.698925</v>
      </c>
      <c r="W1262" s="87">
        <v>0.698925</v>
      </c>
      <c r="X1262" s="87">
        <v>0.698925</v>
      </c>
      <c r="Y1262" s="87">
        <v>0.698925</v>
      </c>
      <c r="Z1262" s="88" t="s">
        <v>1396</v>
      </c>
    </row>
    <row r="1263" hidden="1">
      <c r="A1263" s="90" t="s">
        <v>3093</v>
      </c>
      <c r="B1263" s="90" t="s">
        <v>3136</v>
      </c>
      <c r="C1263" s="90" t="s">
        <v>644</v>
      </c>
      <c r="D1263" s="90" t="s">
        <v>709</v>
      </c>
      <c r="E1263" s="86">
        <v>46310.0</v>
      </c>
      <c r="F1263" s="87">
        <v>10.0</v>
      </c>
      <c r="G1263" s="87">
        <v>0.0</v>
      </c>
      <c r="H1263" s="87">
        <v>34742.0</v>
      </c>
      <c r="I1263" s="87">
        <v>0.0</v>
      </c>
      <c r="J1263" s="87">
        <v>349.1334</v>
      </c>
      <c r="K1263" s="87">
        <v>373.5215</v>
      </c>
      <c r="L1263" s="87">
        <v>364.8098</v>
      </c>
      <c r="M1263" s="87">
        <v>209.7626</v>
      </c>
      <c r="N1263" s="87">
        <v>0.561581</v>
      </c>
      <c r="O1263" s="87">
        <v>8.111982</v>
      </c>
      <c r="P1263" s="87">
        <v>8.552456</v>
      </c>
      <c r="Q1263" s="87">
        <v>10.24234</v>
      </c>
      <c r="R1263" s="87">
        <v>17.15227</v>
      </c>
      <c r="S1263" s="87">
        <v>78.83388</v>
      </c>
      <c r="T1263" s="87">
        <v>8.111982</v>
      </c>
      <c r="U1263" s="87">
        <v>8.552456</v>
      </c>
      <c r="V1263" s="87">
        <v>10.24234</v>
      </c>
      <c r="W1263" s="87">
        <v>17.15227</v>
      </c>
      <c r="X1263" s="87">
        <v>78.83388</v>
      </c>
      <c r="Y1263" s="87">
        <v>37.35215</v>
      </c>
      <c r="Z1263" s="88" t="s">
        <v>1396</v>
      </c>
    </row>
    <row r="1264" hidden="1">
      <c r="A1264" s="90" t="s">
        <v>3095</v>
      </c>
      <c r="B1264" s="90" t="s">
        <v>3137</v>
      </c>
      <c r="C1264" s="90" t="s">
        <v>644</v>
      </c>
      <c r="D1264" s="90" t="s">
        <v>709</v>
      </c>
      <c r="E1264" s="90" t="s">
        <v>1413</v>
      </c>
      <c r="F1264" s="87">
        <v>12.0</v>
      </c>
      <c r="G1264" s="87">
        <v>0.0</v>
      </c>
      <c r="H1264" s="87">
        <v>8620.0</v>
      </c>
      <c r="I1264" s="87">
        <v>0.0</v>
      </c>
      <c r="J1264" s="87">
        <v>87.19071</v>
      </c>
      <c r="K1264" s="87">
        <v>91.52774</v>
      </c>
      <c r="L1264" s="87">
        <v>92.00302</v>
      </c>
      <c r="M1264" s="87">
        <v>49.94595</v>
      </c>
      <c r="N1264" s="87">
        <v>0.545692</v>
      </c>
      <c r="O1264" s="87">
        <v>0.0</v>
      </c>
      <c r="P1264" s="87">
        <v>0.0</v>
      </c>
      <c r="Q1264" s="87">
        <v>4.021678</v>
      </c>
      <c r="R1264" s="87">
        <v>5.676058</v>
      </c>
      <c r="S1264" s="87">
        <v>6.579073</v>
      </c>
      <c r="T1264" s="87">
        <v>4.021678</v>
      </c>
      <c r="U1264" s="87">
        <v>4.406632</v>
      </c>
      <c r="V1264" s="87">
        <v>5.493939</v>
      </c>
      <c r="W1264" s="87">
        <v>6.098322</v>
      </c>
      <c r="X1264" s="87">
        <v>7.75845</v>
      </c>
      <c r="Y1264" s="87">
        <v>6.537696</v>
      </c>
      <c r="Z1264" s="88" t="s">
        <v>1396</v>
      </c>
    </row>
    <row r="1265" hidden="1">
      <c r="A1265" s="90" t="s">
        <v>3097</v>
      </c>
      <c r="B1265" s="90" t="s">
        <v>3138</v>
      </c>
      <c r="C1265" s="90" t="s">
        <v>644</v>
      </c>
      <c r="D1265" s="90" t="s">
        <v>709</v>
      </c>
      <c r="E1265" s="90" t="s">
        <v>1398</v>
      </c>
      <c r="F1265" s="87">
        <v>11.0</v>
      </c>
      <c r="G1265" s="87">
        <v>0.0</v>
      </c>
      <c r="H1265" s="87">
        <v>14930.0</v>
      </c>
      <c r="I1265" s="87">
        <v>0.0</v>
      </c>
      <c r="J1265" s="87">
        <v>161.1017</v>
      </c>
      <c r="K1265" s="87">
        <v>165.6515</v>
      </c>
      <c r="L1265" s="87">
        <v>159.0983</v>
      </c>
      <c r="M1265" s="87">
        <v>123.363</v>
      </c>
      <c r="N1265" s="87">
        <v>0.744714</v>
      </c>
      <c r="O1265" s="87">
        <v>0.0</v>
      </c>
      <c r="P1265" s="87">
        <v>0.398925</v>
      </c>
      <c r="Q1265" s="87">
        <v>1.570536</v>
      </c>
      <c r="R1265" s="87">
        <v>5.527891</v>
      </c>
      <c r="S1265" s="87">
        <v>11.18078</v>
      </c>
      <c r="T1265" s="87">
        <v>1.570536</v>
      </c>
      <c r="U1265" s="87">
        <v>2.132742</v>
      </c>
      <c r="V1265" s="87">
        <v>4.481921</v>
      </c>
      <c r="W1265" s="87">
        <v>6.592038</v>
      </c>
      <c r="X1265" s="87">
        <v>11.18078</v>
      </c>
      <c r="Y1265" s="87">
        <v>12.74242</v>
      </c>
      <c r="Z1265" s="88" t="s">
        <v>1396</v>
      </c>
    </row>
    <row r="1266" hidden="1">
      <c r="A1266" s="90" t="s">
        <v>3089</v>
      </c>
      <c r="B1266" s="90" t="s">
        <v>3139</v>
      </c>
      <c r="C1266" s="90" t="s">
        <v>644</v>
      </c>
      <c r="D1266" s="90" t="s">
        <v>709</v>
      </c>
      <c r="E1266" s="90" t="s">
        <v>1400</v>
      </c>
      <c r="F1266" s="87">
        <v>38.0</v>
      </c>
      <c r="G1266" s="87">
        <v>4.0</v>
      </c>
      <c r="H1266" s="87">
        <v>21453.0</v>
      </c>
      <c r="I1266" s="87">
        <v>17.0</v>
      </c>
      <c r="J1266" s="87">
        <v>186.5476</v>
      </c>
      <c r="K1266" s="87">
        <v>196.2494</v>
      </c>
      <c r="L1266" s="87">
        <v>190.4419</v>
      </c>
      <c r="M1266" s="87">
        <v>145.0159</v>
      </c>
      <c r="N1266" s="87">
        <v>0.738936</v>
      </c>
      <c r="O1266" s="87">
        <v>0.032258</v>
      </c>
      <c r="P1266" s="87">
        <v>1.137277</v>
      </c>
      <c r="Q1266" s="87">
        <v>1.728407</v>
      </c>
      <c r="R1266" s="87">
        <v>2.739588</v>
      </c>
      <c r="S1266" s="87">
        <v>5.846432</v>
      </c>
      <c r="T1266" s="87">
        <v>0.697849</v>
      </c>
      <c r="U1266" s="87">
        <v>1.691499</v>
      </c>
      <c r="V1266" s="87">
        <v>2.227618</v>
      </c>
      <c r="W1266" s="87">
        <v>4.275726</v>
      </c>
      <c r="X1266" s="87">
        <v>5.846432</v>
      </c>
      <c r="Y1266" s="87">
        <v>7.548055</v>
      </c>
      <c r="Z1266" s="88" t="s">
        <v>1396</v>
      </c>
    </row>
    <row r="1267" hidden="1">
      <c r="A1267" s="90" t="s">
        <v>3100</v>
      </c>
      <c r="B1267" s="90" t="s">
        <v>3140</v>
      </c>
      <c r="C1267" s="90" t="s">
        <v>644</v>
      </c>
      <c r="D1267" s="90" t="s">
        <v>709</v>
      </c>
      <c r="E1267" s="89">
        <v>46300.0</v>
      </c>
      <c r="F1267" s="87">
        <v>2.0</v>
      </c>
      <c r="G1267" s="87">
        <v>0.0</v>
      </c>
      <c r="H1267" s="87">
        <v>944.0</v>
      </c>
      <c r="I1267" s="87">
        <v>0.0</v>
      </c>
      <c r="J1267" s="87">
        <v>1.142857</v>
      </c>
      <c r="K1267" s="87">
        <v>1.426882</v>
      </c>
      <c r="L1267" s="87">
        <v>3.211959</v>
      </c>
      <c r="M1267" s="87">
        <v>1.426882</v>
      </c>
      <c r="N1267" s="87">
        <v>1.0</v>
      </c>
      <c r="O1267" s="87">
        <v>1.426882</v>
      </c>
      <c r="P1267" s="87">
        <v>1.426882</v>
      </c>
      <c r="Q1267" s="87">
        <v>1.426882</v>
      </c>
      <c r="R1267" s="87">
        <v>1.426882</v>
      </c>
      <c r="S1267" s="87">
        <v>1.426882</v>
      </c>
      <c r="T1267" s="87">
        <v>1.426882</v>
      </c>
      <c r="U1267" s="87">
        <v>1.426882</v>
      </c>
      <c r="V1267" s="87">
        <v>1.426882</v>
      </c>
      <c r="W1267" s="87">
        <v>1.426882</v>
      </c>
      <c r="X1267" s="87">
        <v>1.426882</v>
      </c>
      <c r="Y1267" s="87">
        <v>1.426882</v>
      </c>
      <c r="Z1267" s="88" t="s">
        <v>1396</v>
      </c>
    </row>
    <row r="1268" hidden="1">
      <c r="A1268" s="90" t="s">
        <v>3090</v>
      </c>
      <c r="B1268" s="90" t="s">
        <v>3141</v>
      </c>
      <c r="C1268" s="90" t="s">
        <v>644</v>
      </c>
      <c r="D1268" s="90" t="s">
        <v>709</v>
      </c>
      <c r="E1268" s="90" t="s">
        <v>1403</v>
      </c>
      <c r="F1268" s="87">
        <v>16.0</v>
      </c>
      <c r="G1268" s="87">
        <v>16.0</v>
      </c>
      <c r="H1268" s="87">
        <v>2415.0</v>
      </c>
      <c r="I1268" s="87">
        <v>2415.0</v>
      </c>
      <c r="J1268" s="87">
        <v>0.0</v>
      </c>
      <c r="K1268" s="87">
        <v>0.0</v>
      </c>
      <c r="L1268" s="87">
        <v>0.0</v>
      </c>
      <c r="M1268" s="87">
        <v>0.0</v>
      </c>
      <c r="N1268" s="85"/>
      <c r="O1268" s="87">
        <v>0.0</v>
      </c>
      <c r="P1268" s="87">
        <v>0.0</v>
      </c>
      <c r="Q1268" s="87">
        <v>0.0</v>
      </c>
      <c r="R1268" s="87">
        <v>0.0</v>
      </c>
      <c r="S1268" s="87">
        <v>0.0</v>
      </c>
      <c r="T1268" s="91"/>
      <c r="U1268" s="91"/>
      <c r="V1268" s="91"/>
      <c r="W1268" s="91"/>
      <c r="X1268" s="91"/>
      <c r="Y1268" s="87">
        <v>0.0</v>
      </c>
      <c r="Z1268" s="88" t="s">
        <v>1396</v>
      </c>
    </row>
    <row r="1269" hidden="1">
      <c r="A1269" s="90" t="s">
        <v>3091</v>
      </c>
      <c r="B1269" s="90" t="s">
        <v>3142</v>
      </c>
      <c r="C1269" s="90" t="s">
        <v>644</v>
      </c>
      <c r="D1269" s="90" t="s">
        <v>1198</v>
      </c>
      <c r="E1269" s="90" t="s">
        <v>1426</v>
      </c>
      <c r="F1269" s="87">
        <v>12.0</v>
      </c>
      <c r="G1269" s="87">
        <v>1.0</v>
      </c>
      <c r="H1269" s="87">
        <v>23836.0</v>
      </c>
      <c r="I1269" s="87">
        <v>5.0</v>
      </c>
      <c r="J1269" s="87">
        <v>453.5752</v>
      </c>
      <c r="K1269" s="87">
        <v>446.7315</v>
      </c>
      <c r="L1269" s="87">
        <v>424.6487</v>
      </c>
      <c r="M1269" s="87">
        <v>240.3769</v>
      </c>
      <c r="N1269" s="87">
        <v>0.538079</v>
      </c>
      <c r="O1269" s="87">
        <v>14.06587</v>
      </c>
      <c r="P1269" s="87">
        <v>21.51883</v>
      </c>
      <c r="Q1269" s="87">
        <v>21.57887</v>
      </c>
      <c r="R1269" s="87">
        <v>39.25625</v>
      </c>
      <c r="S1269" s="87">
        <v>48.15143</v>
      </c>
      <c r="T1269" s="87">
        <v>14.06587</v>
      </c>
      <c r="U1269" s="87">
        <v>21.51883</v>
      </c>
      <c r="V1269" s="87">
        <v>21.57887</v>
      </c>
      <c r="W1269" s="87">
        <v>39.25625</v>
      </c>
      <c r="X1269" s="87">
        <v>48.15143</v>
      </c>
      <c r="Y1269" s="87">
        <v>44.67315</v>
      </c>
      <c r="Z1269" s="88" t="s">
        <v>1396</v>
      </c>
    </row>
    <row r="1270" hidden="1">
      <c r="A1270" s="90" t="s">
        <v>3093</v>
      </c>
      <c r="B1270" s="90" t="s">
        <v>3143</v>
      </c>
      <c r="C1270" s="90" t="s">
        <v>644</v>
      </c>
      <c r="D1270" s="90" t="s">
        <v>1198</v>
      </c>
      <c r="E1270" s="86">
        <v>46310.0</v>
      </c>
      <c r="F1270" s="87">
        <v>14.0</v>
      </c>
      <c r="G1270" s="87">
        <v>4.0</v>
      </c>
      <c r="H1270" s="87">
        <v>4556.0</v>
      </c>
      <c r="I1270" s="87">
        <v>167.0</v>
      </c>
      <c r="J1270" s="87">
        <v>30.75078</v>
      </c>
      <c r="K1270" s="87">
        <v>32.01343</v>
      </c>
      <c r="L1270" s="87">
        <v>47.02286</v>
      </c>
      <c r="M1270" s="87">
        <v>26.10127</v>
      </c>
      <c r="N1270" s="87">
        <v>0.815323</v>
      </c>
      <c r="O1270" s="87">
        <v>0.0</v>
      </c>
      <c r="P1270" s="87">
        <v>0.0</v>
      </c>
      <c r="Q1270" s="87">
        <v>0.0</v>
      </c>
      <c r="R1270" s="87">
        <v>0.0</v>
      </c>
      <c r="S1270" s="87">
        <v>5.912156</v>
      </c>
      <c r="T1270" s="87">
        <v>5.912156</v>
      </c>
      <c r="U1270" s="87">
        <v>5.912156</v>
      </c>
      <c r="V1270" s="87">
        <v>5.912156</v>
      </c>
      <c r="W1270" s="87">
        <v>12.36756</v>
      </c>
      <c r="X1270" s="87">
        <v>13.73371</v>
      </c>
      <c r="Y1270" s="87">
        <v>4.001678</v>
      </c>
      <c r="Z1270" s="88" t="s">
        <v>1396</v>
      </c>
    </row>
    <row r="1271" hidden="1">
      <c r="A1271" s="90" t="s">
        <v>3095</v>
      </c>
      <c r="B1271" s="90" t="s">
        <v>3144</v>
      </c>
      <c r="C1271" s="90" t="s">
        <v>644</v>
      </c>
      <c r="D1271" s="90" t="s">
        <v>1198</v>
      </c>
      <c r="E1271" s="90" t="s">
        <v>1413</v>
      </c>
      <c r="F1271" s="87">
        <v>18.0</v>
      </c>
      <c r="G1271" s="87">
        <v>0.0</v>
      </c>
      <c r="H1271" s="87">
        <v>4720.0</v>
      </c>
      <c r="I1271" s="87">
        <v>0.0</v>
      </c>
      <c r="J1271" s="87">
        <v>22.20747</v>
      </c>
      <c r="K1271" s="87">
        <v>20.43527</v>
      </c>
      <c r="L1271" s="87">
        <v>26.62927</v>
      </c>
      <c r="M1271" s="87">
        <v>10.01409</v>
      </c>
      <c r="N1271" s="87">
        <v>0.49004</v>
      </c>
      <c r="O1271" s="87">
        <v>0.0</v>
      </c>
      <c r="P1271" s="87">
        <v>0.195238</v>
      </c>
      <c r="Q1271" s="87">
        <v>1.286171</v>
      </c>
      <c r="R1271" s="87">
        <v>2.225825</v>
      </c>
      <c r="S1271" s="87">
        <v>2.997811</v>
      </c>
      <c r="T1271" s="87">
        <v>0.195238</v>
      </c>
      <c r="U1271" s="87">
        <v>1.286171</v>
      </c>
      <c r="V1271" s="87">
        <v>1.464682</v>
      </c>
      <c r="W1271" s="87">
        <v>2.251449</v>
      </c>
      <c r="X1271" s="87">
        <v>2.997811</v>
      </c>
      <c r="Y1271" s="87">
        <v>2.043527</v>
      </c>
      <c r="Z1271" s="88" t="s">
        <v>1396</v>
      </c>
    </row>
    <row r="1272" hidden="1">
      <c r="A1272" s="90" t="s">
        <v>3097</v>
      </c>
      <c r="B1272" s="90" t="s">
        <v>3145</v>
      </c>
      <c r="C1272" s="90" t="s">
        <v>644</v>
      </c>
      <c r="D1272" s="90" t="s">
        <v>1198</v>
      </c>
      <c r="E1272" s="90" t="s">
        <v>1398</v>
      </c>
      <c r="F1272" s="87">
        <v>14.0</v>
      </c>
      <c r="G1272" s="87">
        <v>4.0</v>
      </c>
      <c r="H1272" s="87">
        <v>7332.0</v>
      </c>
      <c r="I1272" s="87">
        <v>487.0</v>
      </c>
      <c r="J1272" s="87">
        <v>56.70568</v>
      </c>
      <c r="K1272" s="87">
        <v>54.46534</v>
      </c>
      <c r="L1272" s="87">
        <v>53.20511</v>
      </c>
      <c r="M1272" s="87">
        <v>35.91647</v>
      </c>
      <c r="N1272" s="87">
        <v>0.659437</v>
      </c>
      <c r="O1272" s="87">
        <v>0.0</v>
      </c>
      <c r="P1272" s="87">
        <v>1.28725</v>
      </c>
      <c r="Q1272" s="87">
        <v>1.789544</v>
      </c>
      <c r="R1272" s="87">
        <v>2.486692</v>
      </c>
      <c r="S1272" s="87">
        <v>6.583111</v>
      </c>
      <c r="T1272" s="87">
        <v>1.28725</v>
      </c>
      <c r="U1272" s="87">
        <v>1.789544</v>
      </c>
      <c r="V1272" s="87">
        <v>1.949296</v>
      </c>
      <c r="W1272" s="87">
        <v>4.452983</v>
      </c>
      <c r="X1272" s="87">
        <v>6.583111</v>
      </c>
      <c r="Y1272" s="87">
        <v>6.051705</v>
      </c>
      <c r="Z1272" s="88" t="s">
        <v>1396</v>
      </c>
    </row>
    <row r="1273" hidden="1">
      <c r="A1273" s="90" t="s">
        <v>3089</v>
      </c>
      <c r="B1273" s="90" t="s">
        <v>3146</v>
      </c>
      <c r="C1273" s="90" t="s">
        <v>644</v>
      </c>
      <c r="D1273" s="90" t="s">
        <v>1198</v>
      </c>
      <c r="E1273" s="90" t="s">
        <v>1400</v>
      </c>
      <c r="F1273" s="87">
        <v>10.0</v>
      </c>
      <c r="G1273" s="87">
        <v>1.0</v>
      </c>
      <c r="H1273" s="87">
        <v>2196.0</v>
      </c>
      <c r="I1273" s="87">
        <v>4.0</v>
      </c>
      <c r="J1273" s="87">
        <v>4.324992</v>
      </c>
      <c r="K1273" s="87">
        <v>4.578497</v>
      </c>
      <c r="L1273" s="87">
        <v>4.57096</v>
      </c>
      <c r="M1273" s="87">
        <v>2.433883</v>
      </c>
      <c r="N1273" s="87">
        <v>0.53159</v>
      </c>
      <c r="O1273" s="87">
        <v>0.133333</v>
      </c>
      <c r="P1273" s="87">
        <v>0.420197</v>
      </c>
      <c r="Q1273" s="87">
        <v>0.420197</v>
      </c>
      <c r="R1273" s="87">
        <v>0.708046</v>
      </c>
      <c r="S1273" s="87">
        <v>0.883038</v>
      </c>
      <c r="T1273" s="87">
        <v>0.133333</v>
      </c>
      <c r="U1273" s="87">
        <v>0.420197</v>
      </c>
      <c r="V1273" s="87">
        <v>0.420197</v>
      </c>
      <c r="W1273" s="87">
        <v>0.708046</v>
      </c>
      <c r="X1273" s="87">
        <v>0.883038</v>
      </c>
      <c r="Y1273" s="87">
        <v>0.915699</v>
      </c>
      <c r="Z1273" s="88" t="s">
        <v>1396</v>
      </c>
    </row>
    <row r="1274" hidden="1">
      <c r="A1274" s="90" t="s">
        <v>3100</v>
      </c>
      <c r="B1274" s="90" t="s">
        <v>3147</v>
      </c>
      <c r="C1274" s="90" t="s">
        <v>644</v>
      </c>
      <c r="D1274" s="90" t="s">
        <v>1198</v>
      </c>
      <c r="E1274" s="89">
        <v>46300.0</v>
      </c>
      <c r="F1274" s="87">
        <v>10.0</v>
      </c>
      <c r="G1274" s="87">
        <v>0.0</v>
      </c>
      <c r="H1274" s="87">
        <v>8161.0</v>
      </c>
      <c r="I1274" s="87">
        <v>0.0</v>
      </c>
      <c r="J1274" s="87">
        <v>248.4077</v>
      </c>
      <c r="K1274" s="87">
        <v>233.5189</v>
      </c>
      <c r="L1274" s="87">
        <v>221.1783</v>
      </c>
      <c r="M1274" s="87">
        <v>180.4134</v>
      </c>
      <c r="N1274" s="87">
        <v>0.772586</v>
      </c>
      <c r="O1274" s="87">
        <v>0.0</v>
      </c>
      <c r="P1274" s="87">
        <v>0.0</v>
      </c>
      <c r="Q1274" s="87">
        <v>5.142532</v>
      </c>
      <c r="R1274" s="87">
        <v>8.139244</v>
      </c>
      <c r="S1274" s="87">
        <v>39.82377</v>
      </c>
      <c r="T1274" s="87">
        <v>5.142532</v>
      </c>
      <c r="U1274" s="87">
        <v>8.139244</v>
      </c>
      <c r="V1274" s="87">
        <v>8.139244</v>
      </c>
      <c r="W1274" s="87">
        <v>39.82377</v>
      </c>
      <c r="X1274" s="87">
        <v>80.54524</v>
      </c>
      <c r="Y1274" s="87">
        <v>33.35984</v>
      </c>
      <c r="Z1274" s="88" t="s">
        <v>1396</v>
      </c>
    </row>
    <row r="1275" hidden="1">
      <c r="A1275" s="90" t="s">
        <v>3090</v>
      </c>
      <c r="B1275" s="90" t="s">
        <v>3148</v>
      </c>
      <c r="C1275" s="90" t="s">
        <v>644</v>
      </c>
      <c r="D1275" s="90" t="s">
        <v>1198</v>
      </c>
      <c r="E1275" s="90" t="s">
        <v>1403</v>
      </c>
      <c r="F1275" s="87">
        <v>8.0</v>
      </c>
      <c r="G1275" s="87">
        <v>8.0</v>
      </c>
      <c r="H1275" s="87">
        <v>1612.0</v>
      </c>
      <c r="I1275" s="87">
        <v>1612.0</v>
      </c>
      <c r="J1275" s="87">
        <v>0.0</v>
      </c>
      <c r="K1275" s="87">
        <v>0.0</v>
      </c>
      <c r="L1275" s="87">
        <v>0.0</v>
      </c>
      <c r="M1275" s="87">
        <v>0.0</v>
      </c>
      <c r="N1275" s="85"/>
      <c r="O1275" s="87">
        <v>0.0</v>
      </c>
      <c r="P1275" s="87">
        <v>0.0</v>
      </c>
      <c r="Q1275" s="87">
        <v>0.0</v>
      </c>
      <c r="R1275" s="87">
        <v>0.0</v>
      </c>
      <c r="S1275" s="87">
        <v>0.0</v>
      </c>
      <c r="T1275" s="91"/>
      <c r="U1275" s="91"/>
      <c r="V1275" s="91"/>
      <c r="W1275" s="91"/>
      <c r="X1275" s="91"/>
      <c r="Y1275" s="87">
        <v>0.0</v>
      </c>
      <c r="Z1275" s="88" t="s">
        <v>1396</v>
      </c>
    </row>
    <row r="1276" hidden="1">
      <c r="A1276" s="90" t="s">
        <v>3155</v>
      </c>
      <c r="B1276" s="90" t="s">
        <v>3393</v>
      </c>
      <c r="C1276" s="90" t="s">
        <v>3153</v>
      </c>
      <c r="D1276" s="90" t="s">
        <v>3154</v>
      </c>
      <c r="E1276" s="90" t="s">
        <v>1400</v>
      </c>
      <c r="F1276" s="87">
        <v>6.0</v>
      </c>
      <c r="G1276" s="87">
        <v>6.0</v>
      </c>
      <c r="H1276" s="87">
        <v>25.0</v>
      </c>
      <c r="I1276" s="87">
        <v>25.0</v>
      </c>
      <c r="J1276" s="87">
        <v>0.0</v>
      </c>
      <c r="K1276" s="87">
        <v>0.0</v>
      </c>
      <c r="L1276" s="87">
        <v>0.0</v>
      </c>
      <c r="M1276" s="87">
        <v>0.0</v>
      </c>
      <c r="N1276" s="85"/>
      <c r="O1276" s="91"/>
      <c r="P1276" s="91"/>
      <c r="Q1276" s="91"/>
      <c r="R1276" s="91"/>
      <c r="S1276" s="91"/>
      <c r="T1276" s="91"/>
      <c r="U1276" s="91"/>
      <c r="V1276" s="91"/>
      <c r="W1276" s="91"/>
      <c r="X1276" s="91"/>
      <c r="Y1276" s="91"/>
      <c r="Z1276" s="88" t="s">
        <v>1396</v>
      </c>
    </row>
    <row r="1277" hidden="1">
      <c r="A1277" s="90" t="s">
        <v>3151</v>
      </c>
      <c r="B1277" s="90" t="s">
        <v>3152</v>
      </c>
      <c r="C1277" s="90" t="s">
        <v>3153</v>
      </c>
      <c r="D1277" s="90" t="s">
        <v>3154</v>
      </c>
      <c r="E1277" s="90" t="s">
        <v>1403</v>
      </c>
      <c r="F1277" s="87">
        <v>4.0</v>
      </c>
      <c r="G1277" s="87">
        <v>4.0</v>
      </c>
      <c r="H1277" s="87">
        <v>14.0</v>
      </c>
      <c r="I1277" s="87">
        <v>14.0</v>
      </c>
      <c r="J1277" s="87">
        <v>0.0</v>
      </c>
      <c r="K1277" s="87">
        <v>0.0</v>
      </c>
      <c r="L1277" s="87">
        <v>0.0</v>
      </c>
      <c r="M1277" s="87">
        <v>0.0</v>
      </c>
      <c r="N1277" s="85"/>
      <c r="O1277" s="87">
        <v>0.0</v>
      </c>
      <c r="P1277" s="87">
        <v>0.0</v>
      </c>
      <c r="Q1277" s="87">
        <v>0.0</v>
      </c>
      <c r="R1277" s="87">
        <v>0.0</v>
      </c>
      <c r="S1277" s="87">
        <v>0.0</v>
      </c>
      <c r="T1277" s="91"/>
      <c r="U1277" s="91"/>
      <c r="V1277" s="91"/>
      <c r="W1277" s="91"/>
      <c r="X1277" s="91"/>
      <c r="Y1277" s="87">
        <v>0.0</v>
      </c>
      <c r="Z1277" s="88" t="s">
        <v>1396</v>
      </c>
    </row>
    <row r="1278" hidden="1">
      <c r="A1278" s="90" t="s">
        <v>3151</v>
      </c>
      <c r="B1278" s="90" t="s">
        <v>3394</v>
      </c>
      <c r="C1278" s="90" t="s">
        <v>3153</v>
      </c>
      <c r="D1278" s="90" t="s">
        <v>3395</v>
      </c>
      <c r="E1278" s="90" t="s">
        <v>1403</v>
      </c>
      <c r="F1278" s="87">
        <v>1.0</v>
      </c>
      <c r="G1278" s="87">
        <v>1.0</v>
      </c>
      <c r="H1278" s="87">
        <v>8.0</v>
      </c>
      <c r="I1278" s="87">
        <v>8.0</v>
      </c>
      <c r="J1278" s="87">
        <v>0.0</v>
      </c>
      <c r="K1278" s="87">
        <v>0.0</v>
      </c>
      <c r="L1278" s="87">
        <v>0.0</v>
      </c>
      <c r="M1278" s="87">
        <v>0.0</v>
      </c>
      <c r="N1278" s="85"/>
      <c r="O1278" s="91"/>
      <c r="P1278" s="91"/>
      <c r="Q1278" s="91"/>
      <c r="R1278" s="91"/>
      <c r="S1278" s="91"/>
      <c r="T1278" s="91"/>
      <c r="U1278" s="91"/>
      <c r="V1278" s="91"/>
      <c r="W1278" s="91"/>
      <c r="X1278" s="91"/>
      <c r="Y1278" s="91"/>
      <c r="Z1278" s="88" t="s">
        <v>1396</v>
      </c>
    </row>
    <row r="1279" hidden="1">
      <c r="A1279" s="90" t="s">
        <v>3159</v>
      </c>
      <c r="B1279" s="90" t="s">
        <v>3160</v>
      </c>
      <c r="C1279" s="90" t="s">
        <v>3161</v>
      </c>
      <c r="D1279" s="90" t="s">
        <v>3162</v>
      </c>
      <c r="E1279" s="90" t="s">
        <v>1403</v>
      </c>
      <c r="F1279" s="87">
        <v>0.0</v>
      </c>
      <c r="G1279" s="87">
        <v>0.0</v>
      </c>
      <c r="H1279" s="87">
        <v>0.0</v>
      </c>
      <c r="I1279" s="87">
        <v>0.0</v>
      </c>
      <c r="J1279" s="87">
        <v>0.0</v>
      </c>
      <c r="K1279" s="87">
        <v>0.0</v>
      </c>
      <c r="L1279" s="87">
        <v>0.0</v>
      </c>
      <c r="M1279" s="87">
        <v>0.0</v>
      </c>
      <c r="N1279" s="85"/>
      <c r="O1279" s="87">
        <v>0.0</v>
      </c>
      <c r="P1279" s="87">
        <v>0.0</v>
      </c>
      <c r="Q1279" s="87">
        <v>0.0</v>
      </c>
      <c r="R1279" s="87">
        <v>0.0</v>
      </c>
      <c r="S1279" s="87">
        <v>0.0</v>
      </c>
      <c r="T1279" s="91"/>
      <c r="U1279" s="91"/>
      <c r="V1279" s="91"/>
      <c r="W1279" s="91"/>
      <c r="X1279" s="91"/>
      <c r="Y1279" s="87">
        <v>0.0</v>
      </c>
      <c r="Z1279" s="88" t="s">
        <v>1396</v>
      </c>
    </row>
    <row r="1280" hidden="1">
      <c r="A1280" s="90" t="s">
        <v>3166</v>
      </c>
      <c r="B1280" s="90" t="s">
        <v>3167</v>
      </c>
      <c r="C1280" s="90" t="s">
        <v>3168</v>
      </c>
      <c r="D1280" s="90" t="s">
        <v>3169</v>
      </c>
      <c r="E1280" s="90" t="s">
        <v>1400</v>
      </c>
      <c r="F1280" s="87">
        <v>34.0</v>
      </c>
      <c r="G1280" s="87">
        <v>12.0</v>
      </c>
      <c r="H1280" s="87">
        <v>2139.0</v>
      </c>
      <c r="I1280" s="87">
        <v>322.0</v>
      </c>
      <c r="J1280" s="87">
        <v>0.0</v>
      </c>
      <c r="K1280" s="87">
        <v>0.0</v>
      </c>
      <c r="L1280" s="87">
        <v>0.0</v>
      </c>
      <c r="M1280" s="87">
        <v>0.0</v>
      </c>
      <c r="N1280" s="85"/>
      <c r="O1280" s="87">
        <v>0.0</v>
      </c>
      <c r="P1280" s="87">
        <v>0.0</v>
      </c>
      <c r="Q1280" s="87">
        <v>0.0</v>
      </c>
      <c r="R1280" s="87">
        <v>0.0</v>
      </c>
      <c r="S1280" s="87">
        <v>0.0</v>
      </c>
      <c r="T1280" s="91"/>
      <c r="U1280" s="91"/>
      <c r="V1280" s="91"/>
      <c r="W1280" s="91"/>
      <c r="X1280" s="91"/>
      <c r="Y1280" s="87">
        <v>0.0</v>
      </c>
      <c r="Z1280" s="88" t="s">
        <v>1396</v>
      </c>
    </row>
    <row r="1281" hidden="1">
      <c r="A1281" s="90" t="s">
        <v>3170</v>
      </c>
      <c r="B1281" s="90" t="s">
        <v>3171</v>
      </c>
      <c r="C1281" s="90" t="s">
        <v>3168</v>
      </c>
      <c r="D1281" s="90" t="s">
        <v>3169</v>
      </c>
      <c r="E1281" s="90" t="s">
        <v>1403</v>
      </c>
      <c r="F1281" s="87">
        <v>2.0</v>
      </c>
      <c r="G1281" s="87">
        <v>2.0</v>
      </c>
      <c r="H1281" s="87">
        <v>65.0</v>
      </c>
      <c r="I1281" s="87">
        <v>65.0</v>
      </c>
      <c r="J1281" s="87">
        <v>0.0</v>
      </c>
      <c r="K1281" s="87">
        <v>0.0</v>
      </c>
      <c r="L1281" s="87">
        <v>0.0</v>
      </c>
      <c r="M1281" s="87">
        <v>0.0</v>
      </c>
      <c r="N1281" s="85"/>
      <c r="O1281" s="87">
        <v>0.0</v>
      </c>
      <c r="P1281" s="87">
        <v>0.0</v>
      </c>
      <c r="Q1281" s="87">
        <v>0.0</v>
      </c>
      <c r="R1281" s="87">
        <v>0.0</v>
      </c>
      <c r="S1281" s="87">
        <v>0.0</v>
      </c>
      <c r="T1281" s="91"/>
      <c r="U1281" s="91"/>
      <c r="V1281" s="91"/>
      <c r="W1281" s="91"/>
      <c r="X1281" s="91"/>
      <c r="Y1281" s="87">
        <v>0.0</v>
      </c>
      <c r="Z1281" s="88" t="s">
        <v>1396</v>
      </c>
    </row>
    <row r="1282" hidden="1">
      <c r="A1282" s="90" t="s">
        <v>3172</v>
      </c>
      <c r="B1282" s="90" t="s">
        <v>3173</v>
      </c>
      <c r="C1282" s="90" t="s">
        <v>3174</v>
      </c>
      <c r="D1282" s="90" t="s">
        <v>3175</v>
      </c>
      <c r="E1282" s="90" t="s">
        <v>1426</v>
      </c>
      <c r="F1282" s="87">
        <v>5.0</v>
      </c>
      <c r="G1282" s="87">
        <v>1.0</v>
      </c>
      <c r="H1282" s="87">
        <v>7387.0</v>
      </c>
      <c r="I1282" s="87">
        <v>69.0</v>
      </c>
      <c r="J1282" s="87">
        <v>247.6958</v>
      </c>
      <c r="K1282" s="87">
        <v>249.6285</v>
      </c>
      <c r="L1282" s="87">
        <v>246.3112</v>
      </c>
      <c r="M1282" s="87">
        <v>168.1922</v>
      </c>
      <c r="N1282" s="87">
        <v>0.67377</v>
      </c>
      <c r="O1282" s="87">
        <v>18.60784</v>
      </c>
      <c r="P1282" s="87">
        <v>18.60784</v>
      </c>
      <c r="Q1282" s="87">
        <v>28.51618</v>
      </c>
      <c r="R1282" s="87">
        <v>34.31228</v>
      </c>
      <c r="S1282" s="87">
        <v>34.31228</v>
      </c>
      <c r="T1282" s="87">
        <v>18.60784</v>
      </c>
      <c r="U1282" s="87">
        <v>18.60784</v>
      </c>
      <c r="V1282" s="87">
        <v>28.51618</v>
      </c>
      <c r="W1282" s="87">
        <v>34.31228</v>
      </c>
      <c r="X1282" s="87">
        <v>34.31228</v>
      </c>
      <c r="Y1282" s="87">
        <v>62.40713</v>
      </c>
      <c r="Z1282" s="88" t="s">
        <v>1396</v>
      </c>
    </row>
    <row r="1283" hidden="1">
      <c r="A1283" s="90" t="s">
        <v>3176</v>
      </c>
      <c r="B1283" s="90" t="s">
        <v>3177</v>
      </c>
      <c r="C1283" s="90" t="s">
        <v>3174</v>
      </c>
      <c r="D1283" s="90" t="s">
        <v>3175</v>
      </c>
      <c r="E1283" s="86">
        <v>46310.0</v>
      </c>
      <c r="F1283" s="87">
        <v>7.0</v>
      </c>
      <c r="G1283" s="87">
        <v>1.0</v>
      </c>
      <c r="H1283" s="87">
        <v>7497.0</v>
      </c>
      <c r="I1283" s="87">
        <v>3.0</v>
      </c>
      <c r="J1283" s="87">
        <v>177.4528</v>
      </c>
      <c r="K1283" s="87">
        <v>163.8235</v>
      </c>
      <c r="L1283" s="87">
        <v>161.4087</v>
      </c>
      <c r="M1283" s="87">
        <v>131.0227</v>
      </c>
      <c r="N1283" s="87">
        <v>0.79978</v>
      </c>
      <c r="O1283" s="87">
        <v>0.5</v>
      </c>
      <c r="P1283" s="87">
        <v>6.505463</v>
      </c>
      <c r="Q1283" s="87">
        <v>7.972423</v>
      </c>
      <c r="R1283" s="87">
        <v>8.041803</v>
      </c>
      <c r="S1283" s="87">
        <v>9.781058</v>
      </c>
      <c r="T1283" s="87">
        <v>0.5</v>
      </c>
      <c r="U1283" s="87">
        <v>6.505463</v>
      </c>
      <c r="V1283" s="87">
        <v>7.972423</v>
      </c>
      <c r="W1283" s="87">
        <v>8.041803</v>
      </c>
      <c r="X1283" s="87">
        <v>9.781058</v>
      </c>
      <c r="Y1283" s="87">
        <v>23.40336</v>
      </c>
      <c r="Z1283" s="88" t="s">
        <v>1396</v>
      </c>
    </row>
    <row r="1284" hidden="1">
      <c r="A1284" s="90" t="s">
        <v>3178</v>
      </c>
      <c r="B1284" s="90" t="s">
        <v>3179</v>
      </c>
      <c r="C1284" s="90" t="s">
        <v>3174</v>
      </c>
      <c r="D1284" s="90" t="s">
        <v>3175</v>
      </c>
      <c r="E1284" s="90" t="s">
        <v>1413</v>
      </c>
      <c r="F1284" s="87">
        <v>7.0</v>
      </c>
      <c r="G1284" s="87">
        <v>0.0</v>
      </c>
      <c r="H1284" s="87">
        <v>1243.0</v>
      </c>
      <c r="I1284" s="87">
        <v>0.0</v>
      </c>
      <c r="J1284" s="87">
        <v>36.59328</v>
      </c>
      <c r="K1284" s="87">
        <v>38.20224</v>
      </c>
      <c r="L1284" s="87">
        <v>37.56996</v>
      </c>
      <c r="M1284" s="87">
        <v>32.91546</v>
      </c>
      <c r="N1284" s="87">
        <v>0.861611</v>
      </c>
      <c r="O1284" s="87">
        <v>0.0</v>
      </c>
      <c r="P1284" s="87">
        <v>0.0</v>
      </c>
      <c r="Q1284" s="87">
        <v>0.391099</v>
      </c>
      <c r="R1284" s="87">
        <v>4.89568</v>
      </c>
      <c r="S1284" s="87">
        <v>4.89568</v>
      </c>
      <c r="T1284" s="87">
        <v>0.391099</v>
      </c>
      <c r="U1284" s="87">
        <v>0.391099</v>
      </c>
      <c r="V1284" s="87">
        <v>0.391099</v>
      </c>
      <c r="W1284" s="87">
        <v>4.89568</v>
      </c>
      <c r="X1284" s="87">
        <v>32.91546</v>
      </c>
      <c r="Y1284" s="87">
        <v>9.550559</v>
      </c>
      <c r="Z1284" s="88" t="s">
        <v>1396</v>
      </c>
    </row>
    <row r="1285" hidden="1">
      <c r="A1285" s="90" t="s">
        <v>3180</v>
      </c>
      <c r="B1285" s="90" t="s">
        <v>3181</v>
      </c>
      <c r="C1285" s="90" t="s">
        <v>3174</v>
      </c>
      <c r="D1285" s="90" t="s">
        <v>3175</v>
      </c>
      <c r="E1285" s="90" t="s">
        <v>1398</v>
      </c>
      <c r="F1285" s="87">
        <v>4.0</v>
      </c>
      <c r="G1285" s="87">
        <v>0.0</v>
      </c>
      <c r="H1285" s="87">
        <v>1200.0</v>
      </c>
      <c r="I1285" s="87">
        <v>0.0</v>
      </c>
      <c r="J1285" s="87">
        <v>12.14536</v>
      </c>
      <c r="K1285" s="87">
        <v>12.95498</v>
      </c>
      <c r="L1285" s="87">
        <v>14.79753</v>
      </c>
      <c r="M1285" s="87">
        <v>11.52403</v>
      </c>
      <c r="N1285" s="87">
        <v>0.889544</v>
      </c>
      <c r="O1285" s="87">
        <v>0.0</v>
      </c>
      <c r="P1285" s="87">
        <v>0.0</v>
      </c>
      <c r="Q1285" s="87">
        <v>0.5</v>
      </c>
      <c r="R1285" s="87">
        <v>0.930952</v>
      </c>
      <c r="S1285" s="87">
        <v>0.930952</v>
      </c>
      <c r="T1285" s="87">
        <v>0.5</v>
      </c>
      <c r="U1285" s="87">
        <v>0.5</v>
      </c>
      <c r="V1285" s="87">
        <v>0.5</v>
      </c>
      <c r="W1285" s="87">
        <v>0.930952</v>
      </c>
      <c r="X1285" s="87">
        <v>11.52403</v>
      </c>
      <c r="Y1285" s="87">
        <v>3.238745</v>
      </c>
      <c r="Z1285" s="88" t="s">
        <v>1396</v>
      </c>
    </row>
    <row r="1286" hidden="1">
      <c r="A1286" s="90" t="s">
        <v>3182</v>
      </c>
      <c r="B1286" s="90" t="s">
        <v>3183</v>
      </c>
      <c r="C1286" s="90" t="s">
        <v>3174</v>
      </c>
      <c r="D1286" s="90" t="s">
        <v>3175</v>
      </c>
      <c r="E1286" s="90" t="s">
        <v>1400</v>
      </c>
      <c r="F1286" s="87">
        <v>7.0</v>
      </c>
      <c r="G1286" s="87">
        <v>2.0</v>
      </c>
      <c r="H1286" s="87">
        <v>1062.0</v>
      </c>
      <c r="I1286" s="87">
        <v>26.0</v>
      </c>
      <c r="J1286" s="87">
        <v>14.72956</v>
      </c>
      <c r="K1286" s="87">
        <v>16.16255</v>
      </c>
      <c r="L1286" s="87">
        <v>13.38813</v>
      </c>
      <c r="M1286" s="87">
        <v>8.601854</v>
      </c>
      <c r="N1286" s="87">
        <v>0.532209</v>
      </c>
      <c r="O1286" s="87">
        <v>1.889967</v>
      </c>
      <c r="P1286" s="87">
        <v>1.889967</v>
      </c>
      <c r="Q1286" s="87">
        <v>1.889967</v>
      </c>
      <c r="R1286" s="87">
        <v>5.670731</v>
      </c>
      <c r="S1286" s="87">
        <v>8.601854</v>
      </c>
      <c r="T1286" s="87">
        <v>1.889967</v>
      </c>
      <c r="U1286" s="87">
        <v>1.889967</v>
      </c>
      <c r="V1286" s="87">
        <v>1.889967</v>
      </c>
      <c r="W1286" s="87">
        <v>5.670731</v>
      </c>
      <c r="X1286" s="87">
        <v>8.601854</v>
      </c>
      <c r="Y1286" s="87">
        <v>5.387517</v>
      </c>
      <c r="Z1286" s="88" t="s">
        <v>1396</v>
      </c>
    </row>
    <row r="1287" hidden="1">
      <c r="A1287" s="90" t="s">
        <v>3184</v>
      </c>
      <c r="B1287" s="90" t="s">
        <v>3185</v>
      </c>
      <c r="C1287" s="90" t="s">
        <v>3174</v>
      </c>
      <c r="D1287" s="90" t="s">
        <v>3175</v>
      </c>
      <c r="E1287" s="89">
        <v>46300.0</v>
      </c>
      <c r="F1287" s="87">
        <v>2.0</v>
      </c>
      <c r="G1287" s="87">
        <v>0.0</v>
      </c>
      <c r="H1287" s="87">
        <v>18412.0</v>
      </c>
      <c r="I1287" s="87">
        <v>0.0</v>
      </c>
      <c r="J1287" s="87">
        <v>194.9737</v>
      </c>
      <c r="K1287" s="87">
        <v>187.406</v>
      </c>
      <c r="L1287" s="87">
        <v>195.0751</v>
      </c>
      <c r="M1287" s="87">
        <v>128.3136</v>
      </c>
      <c r="N1287" s="87">
        <v>0.684683</v>
      </c>
      <c r="O1287" s="87">
        <v>1.0</v>
      </c>
      <c r="P1287" s="87">
        <v>1.0</v>
      </c>
      <c r="Q1287" s="87">
        <v>1.0</v>
      </c>
      <c r="R1287" s="87">
        <v>58.09237</v>
      </c>
      <c r="S1287" s="87">
        <v>128.3136</v>
      </c>
      <c r="T1287" s="87">
        <v>1.0</v>
      </c>
      <c r="U1287" s="87">
        <v>1.0</v>
      </c>
      <c r="V1287" s="87">
        <v>1.0</v>
      </c>
      <c r="W1287" s="87">
        <v>58.09237</v>
      </c>
      <c r="X1287" s="87">
        <v>128.3136</v>
      </c>
      <c r="Y1287" s="87">
        <v>62.46866</v>
      </c>
      <c r="Z1287" s="88" t="s">
        <v>1396</v>
      </c>
    </row>
    <row r="1288" hidden="1">
      <c r="A1288" s="90" t="s">
        <v>3186</v>
      </c>
      <c r="B1288" s="90" t="s">
        <v>3187</v>
      </c>
      <c r="C1288" s="90" t="s">
        <v>3174</v>
      </c>
      <c r="D1288" s="90" t="s">
        <v>3175</v>
      </c>
      <c r="E1288" s="90" t="s">
        <v>1403</v>
      </c>
      <c r="F1288" s="87">
        <v>2.0</v>
      </c>
      <c r="G1288" s="87">
        <v>2.0</v>
      </c>
      <c r="H1288" s="87">
        <v>6.0</v>
      </c>
      <c r="I1288" s="87">
        <v>6.0</v>
      </c>
      <c r="J1288" s="87">
        <v>0.0</v>
      </c>
      <c r="K1288" s="87">
        <v>0.0</v>
      </c>
      <c r="L1288" s="87">
        <v>0.0</v>
      </c>
      <c r="M1288" s="87">
        <v>0.0</v>
      </c>
      <c r="N1288" s="85"/>
      <c r="O1288" s="87">
        <v>0.0</v>
      </c>
      <c r="P1288" s="87">
        <v>0.0</v>
      </c>
      <c r="Q1288" s="87">
        <v>0.0</v>
      </c>
      <c r="R1288" s="87">
        <v>0.0</v>
      </c>
      <c r="S1288" s="87">
        <v>0.0</v>
      </c>
      <c r="T1288" s="91"/>
      <c r="U1288" s="91"/>
      <c r="V1288" s="91"/>
      <c r="W1288" s="91"/>
      <c r="X1288" s="91"/>
      <c r="Y1288" s="87">
        <v>0.0</v>
      </c>
      <c r="Z1288" s="88" t="s">
        <v>1396</v>
      </c>
    </row>
    <row r="1289" hidden="1">
      <c r="A1289" s="90" t="s">
        <v>3172</v>
      </c>
      <c r="B1289" s="90" t="s">
        <v>3188</v>
      </c>
      <c r="C1289" s="90" t="s">
        <v>3174</v>
      </c>
      <c r="D1289" s="90" t="s">
        <v>3189</v>
      </c>
      <c r="E1289" s="90" t="s">
        <v>1426</v>
      </c>
      <c r="F1289" s="87">
        <v>1.0</v>
      </c>
      <c r="G1289" s="87">
        <v>0.0</v>
      </c>
      <c r="H1289" s="87">
        <v>1122.0</v>
      </c>
      <c r="I1289" s="87">
        <v>0.0</v>
      </c>
      <c r="J1289" s="87">
        <v>77.54141</v>
      </c>
      <c r="K1289" s="87">
        <v>75.78224</v>
      </c>
      <c r="L1289" s="87">
        <v>76.88907</v>
      </c>
      <c r="M1289" s="87">
        <v>75.78224</v>
      </c>
      <c r="N1289" s="87">
        <v>1.0</v>
      </c>
      <c r="O1289" s="87">
        <v>75.78224</v>
      </c>
      <c r="P1289" s="87">
        <v>75.78224</v>
      </c>
      <c r="Q1289" s="87">
        <v>75.78224</v>
      </c>
      <c r="R1289" s="87">
        <v>75.78224</v>
      </c>
      <c r="S1289" s="87">
        <v>75.78224</v>
      </c>
      <c r="T1289" s="87">
        <v>75.78224</v>
      </c>
      <c r="U1289" s="87">
        <v>75.78224</v>
      </c>
      <c r="V1289" s="87">
        <v>75.78224</v>
      </c>
      <c r="W1289" s="87">
        <v>75.78224</v>
      </c>
      <c r="X1289" s="87">
        <v>75.78224</v>
      </c>
      <c r="Y1289" s="87">
        <v>75.78224</v>
      </c>
      <c r="Z1289" s="88" t="s">
        <v>1396</v>
      </c>
    </row>
    <row r="1290" hidden="1">
      <c r="A1290" s="90" t="s">
        <v>3176</v>
      </c>
      <c r="B1290" s="90" t="s">
        <v>3190</v>
      </c>
      <c r="C1290" s="90" t="s">
        <v>3174</v>
      </c>
      <c r="D1290" s="90" t="s">
        <v>3189</v>
      </c>
      <c r="E1290" s="86">
        <v>46310.0</v>
      </c>
      <c r="F1290" s="87">
        <v>5.0</v>
      </c>
      <c r="G1290" s="87">
        <v>0.0</v>
      </c>
      <c r="H1290" s="87">
        <v>3634.0</v>
      </c>
      <c r="I1290" s="87">
        <v>0.0</v>
      </c>
      <c r="J1290" s="87">
        <v>389.5733</v>
      </c>
      <c r="K1290" s="87">
        <v>362.4564</v>
      </c>
      <c r="L1290" s="87">
        <v>330.4418</v>
      </c>
      <c r="M1290" s="87">
        <v>312.7944</v>
      </c>
      <c r="N1290" s="87">
        <v>0.862985</v>
      </c>
      <c r="O1290" s="87">
        <v>0.0</v>
      </c>
      <c r="P1290" s="87">
        <v>0.0</v>
      </c>
      <c r="Q1290" s="87">
        <v>1.0</v>
      </c>
      <c r="R1290" s="87">
        <v>20.07944</v>
      </c>
      <c r="S1290" s="87">
        <v>28.58255</v>
      </c>
      <c r="T1290" s="87">
        <v>1.0</v>
      </c>
      <c r="U1290" s="87">
        <v>20.07944</v>
      </c>
      <c r="V1290" s="87">
        <v>20.07944</v>
      </c>
      <c r="W1290" s="87">
        <v>28.58255</v>
      </c>
      <c r="X1290" s="87">
        <v>122.4673</v>
      </c>
      <c r="Y1290" s="87">
        <v>51.77949</v>
      </c>
      <c r="Z1290" s="88" t="s">
        <v>1396</v>
      </c>
    </row>
    <row r="1291" hidden="1">
      <c r="A1291" s="90" t="s">
        <v>3178</v>
      </c>
      <c r="B1291" s="90" t="s">
        <v>3191</v>
      </c>
      <c r="C1291" s="90" t="s">
        <v>3174</v>
      </c>
      <c r="D1291" s="90" t="s">
        <v>3189</v>
      </c>
      <c r="E1291" s="90" t="s">
        <v>1413</v>
      </c>
      <c r="F1291" s="87">
        <v>4.0</v>
      </c>
      <c r="G1291" s="87">
        <v>1.0</v>
      </c>
      <c r="H1291" s="87">
        <v>4591.0</v>
      </c>
      <c r="I1291" s="87">
        <v>3.0</v>
      </c>
      <c r="J1291" s="87">
        <v>40.29132</v>
      </c>
      <c r="K1291" s="87">
        <v>37.44358</v>
      </c>
      <c r="L1291" s="87">
        <v>39.05731</v>
      </c>
      <c r="M1291" s="87">
        <v>28.33488</v>
      </c>
      <c r="N1291" s="87">
        <v>0.756735</v>
      </c>
      <c r="O1291" s="87">
        <v>0.0</v>
      </c>
      <c r="P1291" s="87">
        <v>0.0</v>
      </c>
      <c r="Q1291" s="87">
        <v>0.0</v>
      </c>
      <c r="R1291" s="87">
        <v>9.108703</v>
      </c>
      <c r="S1291" s="87">
        <v>28.33488</v>
      </c>
      <c r="T1291" s="87">
        <v>9.108703</v>
      </c>
      <c r="U1291" s="87">
        <v>9.108703</v>
      </c>
      <c r="V1291" s="87">
        <v>9.108703</v>
      </c>
      <c r="W1291" s="87">
        <v>28.33488</v>
      </c>
      <c r="X1291" s="87">
        <v>28.33488</v>
      </c>
      <c r="Y1291" s="87">
        <v>12.48119</v>
      </c>
      <c r="Z1291" s="88" t="s">
        <v>1396</v>
      </c>
    </row>
    <row r="1292" hidden="1">
      <c r="A1292" s="90" t="s">
        <v>3180</v>
      </c>
      <c r="B1292" s="90" t="s">
        <v>3192</v>
      </c>
      <c r="C1292" s="90" t="s">
        <v>3174</v>
      </c>
      <c r="D1292" s="90" t="s">
        <v>3189</v>
      </c>
      <c r="E1292" s="90" t="s">
        <v>1398</v>
      </c>
      <c r="F1292" s="87">
        <v>1.0</v>
      </c>
      <c r="G1292" s="87">
        <v>0.0</v>
      </c>
      <c r="H1292" s="87">
        <v>376.0</v>
      </c>
      <c r="I1292" s="87">
        <v>0.0</v>
      </c>
      <c r="J1292" s="87">
        <v>7.846898</v>
      </c>
      <c r="K1292" s="87">
        <v>8.489856</v>
      </c>
      <c r="L1292" s="87">
        <v>9.204218</v>
      </c>
      <c r="M1292" s="87">
        <v>8.489856</v>
      </c>
      <c r="N1292" s="87">
        <v>1.0</v>
      </c>
      <c r="O1292" s="87">
        <v>0.0</v>
      </c>
      <c r="P1292" s="87">
        <v>0.0</v>
      </c>
      <c r="Q1292" s="87">
        <v>0.0</v>
      </c>
      <c r="R1292" s="87">
        <v>8.489856</v>
      </c>
      <c r="S1292" s="87">
        <v>8.489856</v>
      </c>
      <c r="T1292" s="87">
        <v>8.489856</v>
      </c>
      <c r="U1292" s="87">
        <v>8.489856</v>
      </c>
      <c r="V1292" s="87">
        <v>8.489856</v>
      </c>
      <c r="W1292" s="87">
        <v>8.489856</v>
      </c>
      <c r="X1292" s="87">
        <v>8.489856</v>
      </c>
      <c r="Y1292" s="87">
        <v>4.244928</v>
      </c>
      <c r="Z1292" s="88" t="s">
        <v>1396</v>
      </c>
    </row>
    <row r="1293" hidden="1">
      <c r="A1293" s="90" t="s">
        <v>3182</v>
      </c>
      <c r="B1293" s="90" t="s">
        <v>3396</v>
      </c>
      <c r="C1293" s="90" t="s">
        <v>3174</v>
      </c>
      <c r="D1293" s="90" t="s">
        <v>3189</v>
      </c>
      <c r="E1293" s="90" t="s">
        <v>1400</v>
      </c>
      <c r="F1293" s="87">
        <v>2.0</v>
      </c>
      <c r="G1293" s="87">
        <v>0.0</v>
      </c>
      <c r="H1293" s="87">
        <v>132.0</v>
      </c>
      <c r="I1293" s="87">
        <v>0.0</v>
      </c>
      <c r="J1293" s="87">
        <v>0.0</v>
      </c>
      <c r="K1293" s="87">
        <v>0.0</v>
      </c>
      <c r="L1293" s="87">
        <v>0.0</v>
      </c>
      <c r="M1293" s="87">
        <v>0.0</v>
      </c>
      <c r="N1293" s="85"/>
      <c r="O1293" s="91"/>
      <c r="P1293" s="91"/>
      <c r="Q1293" s="91"/>
      <c r="R1293" s="91"/>
      <c r="S1293" s="91"/>
      <c r="T1293" s="91"/>
      <c r="U1293" s="91"/>
      <c r="V1293" s="91"/>
      <c r="W1293" s="91"/>
      <c r="X1293" s="91"/>
      <c r="Y1293" s="91"/>
      <c r="Z1293" s="88" t="s">
        <v>1396</v>
      </c>
    </row>
    <row r="1294" hidden="1">
      <c r="A1294" s="90" t="s">
        <v>3184</v>
      </c>
      <c r="B1294" s="90" t="s">
        <v>3193</v>
      </c>
      <c r="C1294" s="90" t="s">
        <v>3174</v>
      </c>
      <c r="D1294" s="90" t="s">
        <v>3189</v>
      </c>
      <c r="E1294" s="89">
        <v>46300.0</v>
      </c>
      <c r="F1294" s="87">
        <v>5.0</v>
      </c>
      <c r="G1294" s="87">
        <v>1.0</v>
      </c>
      <c r="H1294" s="87">
        <v>21407.0</v>
      </c>
      <c r="I1294" s="87">
        <v>2.0</v>
      </c>
      <c r="J1294" s="87">
        <v>297.7909</v>
      </c>
      <c r="K1294" s="87">
        <v>285.7665</v>
      </c>
      <c r="L1294" s="87">
        <v>288.4441</v>
      </c>
      <c r="M1294" s="87">
        <v>152.3839</v>
      </c>
      <c r="N1294" s="87">
        <v>0.533246</v>
      </c>
      <c r="O1294" s="87">
        <v>39.94954</v>
      </c>
      <c r="P1294" s="87">
        <v>39.94954</v>
      </c>
      <c r="Q1294" s="87">
        <v>43.1051</v>
      </c>
      <c r="R1294" s="87">
        <v>50.32801</v>
      </c>
      <c r="S1294" s="87">
        <v>50.32801</v>
      </c>
      <c r="T1294" s="87">
        <v>39.94954</v>
      </c>
      <c r="U1294" s="87">
        <v>39.94954</v>
      </c>
      <c r="V1294" s="87">
        <v>43.1051</v>
      </c>
      <c r="W1294" s="87">
        <v>50.32801</v>
      </c>
      <c r="X1294" s="87">
        <v>50.32801</v>
      </c>
      <c r="Y1294" s="87">
        <v>71.44163</v>
      </c>
      <c r="Z1294" s="88" t="s">
        <v>1396</v>
      </c>
    </row>
    <row r="1295" hidden="1">
      <c r="A1295" s="90" t="s">
        <v>3186</v>
      </c>
      <c r="B1295" s="90" t="s">
        <v>3194</v>
      </c>
      <c r="C1295" s="90" t="s">
        <v>3174</v>
      </c>
      <c r="D1295" s="90" t="s">
        <v>3189</v>
      </c>
      <c r="E1295" s="90" t="s">
        <v>1403</v>
      </c>
      <c r="F1295" s="87">
        <v>1.0</v>
      </c>
      <c r="G1295" s="87">
        <v>1.0</v>
      </c>
      <c r="H1295" s="87">
        <v>51.0</v>
      </c>
      <c r="I1295" s="87">
        <v>51.0</v>
      </c>
      <c r="J1295" s="87">
        <v>0.0</v>
      </c>
      <c r="K1295" s="87">
        <v>0.0</v>
      </c>
      <c r="L1295" s="87">
        <v>0.0</v>
      </c>
      <c r="M1295" s="87">
        <v>0.0</v>
      </c>
      <c r="N1295" s="85"/>
      <c r="O1295" s="87">
        <v>0.0</v>
      </c>
      <c r="P1295" s="87">
        <v>0.0</v>
      </c>
      <c r="Q1295" s="87">
        <v>0.0</v>
      </c>
      <c r="R1295" s="87">
        <v>0.0</v>
      </c>
      <c r="S1295" s="87">
        <v>0.0</v>
      </c>
      <c r="T1295" s="91"/>
      <c r="U1295" s="91"/>
      <c r="V1295" s="91"/>
      <c r="W1295" s="91"/>
      <c r="X1295" s="91"/>
      <c r="Y1295" s="87">
        <v>0.0</v>
      </c>
      <c r="Z1295" s="88" t="s">
        <v>1396</v>
      </c>
    </row>
    <row r="1296" hidden="1">
      <c r="A1296" s="90" t="s">
        <v>3176</v>
      </c>
      <c r="B1296" s="90" t="s">
        <v>3197</v>
      </c>
      <c r="C1296" s="90" t="s">
        <v>3174</v>
      </c>
      <c r="D1296" s="90" t="s">
        <v>3196</v>
      </c>
      <c r="E1296" s="86">
        <v>46310.0</v>
      </c>
      <c r="F1296" s="87">
        <v>7.0</v>
      </c>
      <c r="G1296" s="87">
        <v>1.0</v>
      </c>
      <c r="H1296" s="87">
        <v>13178.0</v>
      </c>
      <c r="I1296" s="87">
        <v>4.0</v>
      </c>
      <c r="J1296" s="87">
        <v>464.8271</v>
      </c>
      <c r="K1296" s="87">
        <v>468.5907</v>
      </c>
      <c r="L1296" s="87">
        <v>486.3473</v>
      </c>
      <c r="M1296" s="87">
        <v>372.9437</v>
      </c>
      <c r="N1296" s="87">
        <v>0.795884</v>
      </c>
      <c r="O1296" s="87">
        <v>0.0</v>
      </c>
      <c r="P1296" s="87">
        <v>7.926728</v>
      </c>
      <c r="Q1296" s="87">
        <v>8.374597</v>
      </c>
      <c r="R1296" s="87">
        <v>31.19905</v>
      </c>
      <c r="S1296" s="87">
        <v>48.14662</v>
      </c>
      <c r="T1296" s="87">
        <v>7.926728</v>
      </c>
      <c r="U1296" s="87">
        <v>8.374597</v>
      </c>
      <c r="V1296" s="87">
        <v>8.374597</v>
      </c>
      <c r="W1296" s="87">
        <v>48.14662</v>
      </c>
      <c r="X1296" s="87">
        <v>108.917</v>
      </c>
      <c r="Y1296" s="87">
        <v>66.94153</v>
      </c>
      <c r="Z1296" s="88" t="s">
        <v>1396</v>
      </c>
    </row>
    <row r="1297" hidden="1">
      <c r="A1297" s="90" t="s">
        <v>3178</v>
      </c>
      <c r="B1297" s="90" t="s">
        <v>3198</v>
      </c>
      <c r="C1297" s="90" t="s">
        <v>3174</v>
      </c>
      <c r="D1297" s="90" t="s">
        <v>3196</v>
      </c>
      <c r="E1297" s="90" t="s">
        <v>1413</v>
      </c>
      <c r="F1297" s="87">
        <v>4.0</v>
      </c>
      <c r="G1297" s="87">
        <v>1.0</v>
      </c>
      <c r="H1297" s="87">
        <v>2119.0</v>
      </c>
      <c r="I1297" s="87">
        <v>6.0</v>
      </c>
      <c r="J1297" s="87">
        <v>308.9093</v>
      </c>
      <c r="K1297" s="87">
        <v>335.0011</v>
      </c>
      <c r="L1297" s="87">
        <v>318.6379</v>
      </c>
      <c r="M1297" s="87">
        <v>300.5342</v>
      </c>
      <c r="N1297" s="87">
        <v>0.897114</v>
      </c>
      <c r="O1297" s="87">
        <v>0.0</v>
      </c>
      <c r="P1297" s="87">
        <v>0.0</v>
      </c>
      <c r="Q1297" s="87">
        <v>6.254751</v>
      </c>
      <c r="R1297" s="87">
        <v>28.21212</v>
      </c>
      <c r="S1297" s="87">
        <v>28.21212</v>
      </c>
      <c r="T1297" s="87">
        <v>6.254751</v>
      </c>
      <c r="U1297" s="87">
        <v>6.254751</v>
      </c>
      <c r="V1297" s="87">
        <v>6.254751</v>
      </c>
      <c r="W1297" s="87">
        <v>28.21212</v>
      </c>
      <c r="X1297" s="87">
        <v>300.5342</v>
      </c>
      <c r="Y1297" s="87">
        <v>83.75026</v>
      </c>
      <c r="Z1297" s="88" t="s">
        <v>1396</v>
      </c>
    </row>
    <row r="1298" hidden="1">
      <c r="A1298" s="90" t="s">
        <v>3180</v>
      </c>
      <c r="B1298" s="90" t="s">
        <v>3199</v>
      </c>
      <c r="C1298" s="90" t="s">
        <v>3174</v>
      </c>
      <c r="D1298" s="90" t="s">
        <v>3196</v>
      </c>
      <c r="E1298" s="90" t="s">
        <v>1398</v>
      </c>
      <c r="F1298" s="87">
        <v>4.0</v>
      </c>
      <c r="G1298" s="87">
        <v>0.0</v>
      </c>
      <c r="H1298" s="87">
        <v>4197.0</v>
      </c>
      <c r="I1298" s="87">
        <v>0.0</v>
      </c>
      <c r="J1298" s="87">
        <v>86.32956</v>
      </c>
      <c r="K1298" s="87">
        <v>98.08417</v>
      </c>
      <c r="L1298" s="87">
        <v>99.86357</v>
      </c>
      <c r="M1298" s="87">
        <v>62.00871</v>
      </c>
      <c r="N1298" s="87">
        <v>0.632199</v>
      </c>
      <c r="O1298" s="87">
        <v>0.0</v>
      </c>
      <c r="P1298" s="87">
        <v>0.0</v>
      </c>
      <c r="Q1298" s="87">
        <v>0.0</v>
      </c>
      <c r="R1298" s="87">
        <v>36.07546</v>
      </c>
      <c r="S1298" s="87">
        <v>62.00871</v>
      </c>
      <c r="T1298" s="87">
        <v>36.07546</v>
      </c>
      <c r="U1298" s="87">
        <v>36.07546</v>
      </c>
      <c r="V1298" s="87">
        <v>36.07546</v>
      </c>
      <c r="W1298" s="87">
        <v>62.00871</v>
      </c>
      <c r="X1298" s="87">
        <v>62.00871</v>
      </c>
      <c r="Y1298" s="87">
        <v>32.69472</v>
      </c>
      <c r="Z1298" s="88" t="s">
        <v>1396</v>
      </c>
    </row>
    <row r="1299" hidden="1">
      <c r="A1299" s="90" t="s">
        <v>3182</v>
      </c>
      <c r="B1299" s="90" t="s">
        <v>3200</v>
      </c>
      <c r="C1299" s="90" t="s">
        <v>3174</v>
      </c>
      <c r="D1299" s="90" t="s">
        <v>3196</v>
      </c>
      <c r="E1299" s="90" t="s">
        <v>1400</v>
      </c>
      <c r="F1299" s="87">
        <v>1.0</v>
      </c>
      <c r="G1299" s="87">
        <v>0.0</v>
      </c>
      <c r="H1299" s="87">
        <v>747.0</v>
      </c>
      <c r="I1299" s="87">
        <v>0.0</v>
      </c>
      <c r="J1299" s="87">
        <v>6.093362</v>
      </c>
      <c r="K1299" s="87">
        <v>5.074681</v>
      </c>
      <c r="L1299" s="87">
        <v>5.832089</v>
      </c>
      <c r="M1299" s="87">
        <v>5.074681</v>
      </c>
      <c r="N1299" s="87">
        <v>1.0</v>
      </c>
      <c r="O1299" s="87">
        <v>0.0</v>
      </c>
      <c r="P1299" s="87">
        <v>0.0</v>
      </c>
      <c r="Q1299" s="87">
        <v>0.0</v>
      </c>
      <c r="R1299" s="87">
        <v>5.074681</v>
      </c>
      <c r="S1299" s="87">
        <v>5.074681</v>
      </c>
      <c r="T1299" s="87">
        <v>5.074681</v>
      </c>
      <c r="U1299" s="87">
        <v>5.074681</v>
      </c>
      <c r="V1299" s="87">
        <v>5.074681</v>
      </c>
      <c r="W1299" s="87">
        <v>5.074681</v>
      </c>
      <c r="X1299" s="87">
        <v>5.074681</v>
      </c>
      <c r="Y1299" s="87">
        <v>2.537341</v>
      </c>
      <c r="Z1299" s="88" t="s">
        <v>1396</v>
      </c>
    </row>
    <row r="1300" hidden="1">
      <c r="A1300" s="90" t="s">
        <v>3184</v>
      </c>
      <c r="B1300" s="90" t="s">
        <v>3201</v>
      </c>
      <c r="C1300" s="90" t="s">
        <v>3174</v>
      </c>
      <c r="D1300" s="90" t="s">
        <v>3196</v>
      </c>
      <c r="E1300" s="89">
        <v>46300.0</v>
      </c>
      <c r="F1300" s="87">
        <v>0.0</v>
      </c>
      <c r="G1300" s="87">
        <v>0.0</v>
      </c>
      <c r="H1300" s="87">
        <v>0.0</v>
      </c>
      <c r="I1300" s="87">
        <v>0.0</v>
      </c>
      <c r="J1300" s="87">
        <v>0.0</v>
      </c>
      <c r="K1300" s="87">
        <v>0.0</v>
      </c>
      <c r="L1300" s="87">
        <v>0.0</v>
      </c>
      <c r="M1300" s="87">
        <v>0.0</v>
      </c>
      <c r="N1300" s="85"/>
      <c r="O1300" s="87">
        <v>0.0</v>
      </c>
      <c r="P1300" s="87">
        <v>0.0</v>
      </c>
      <c r="Q1300" s="87">
        <v>0.0</v>
      </c>
      <c r="R1300" s="87">
        <v>0.0</v>
      </c>
      <c r="S1300" s="87">
        <v>0.0</v>
      </c>
      <c r="T1300" s="91"/>
      <c r="U1300" s="91"/>
      <c r="V1300" s="91"/>
      <c r="W1300" s="91"/>
      <c r="X1300" s="91"/>
      <c r="Y1300" s="87">
        <v>0.0</v>
      </c>
      <c r="Z1300" s="88" t="s">
        <v>1396</v>
      </c>
    </row>
    <row r="1301" hidden="1">
      <c r="A1301" s="90" t="s">
        <v>3186</v>
      </c>
      <c r="B1301" s="90" t="s">
        <v>3202</v>
      </c>
      <c r="C1301" s="90" t="s">
        <v>3174</v>
      </c>
      <c r="D1301" s="90" t="s">
        <v>3196</v>
      </c>
      <c r="E1301" s="90" t="s">
        <v>1403</v>
      </c>
      <c r="F1301" s="87">
        <v>0.0</v>
      </c>
      <c r="G1301" s="87">
        <v>0.0</v>
      </c>
      <c r="H1301" s="87">
        <v>0.0</v>
      </c>
      <c r="I1301" s="87">
        <v>0.0</v>
      </c>
      <c r="J1301" s="87">
        <v>0.0</v>
      </c>
      <c r="K1301" s="87">
        <v>0.0</v>
      </c>
      <c r="L1301" s="87">
        <v>0.0</v>
      </c>
      <c r="M1301" s="87">
        <v>0.0</v>
      </c>
      <c r="N1301" s="85"/>
      <c r="O1301" s="87">
        <v>0.0</v>
      </c>
      <c r="P1301" s="87">
        <v>0.0</v>
      </c>
      <c r="Q1301" s="87">
        <v>0.0</v>
      </c>
      <c r="R1301" s="87">
        <v>0.0</v>
      </c>
      <c r="S1301" s="87">
        <v>0.0</v>
      </c>
      <c r="T1301" s="91"/>
      <c r="U1301" s="91"/>
      <c r="V1301" s="91"/>
      <c r="W1301" s="91"/>
      <c r="X1301" s="91"/>
      <c r="Y1301" s="87">
        <v>0.0</v>
      </c>
      <c r="Z1301" s="88" t="s">
        <v>1396</v>
      </c>
    </row>
    <row r="1302" hidden="1">
      <c r="A1302" s="90" t="s">
        <v>3176</v>
      </c>
      <c r="B1302" s="90" t="s">
        <v>1460</v>
      </c>
      <c r="C1302" s="90" t="s">
        <v>3174</v>
      </c>
      <c r="D1302" s="90" t="s">
        <v>1459</v>
      </c>
      <c r="E1302" s="86">
        <v>46310.0</v>
      </c>
      <c r="F1302" s="87">
        <v>1.0</v>
      </c>
      <c r="G1302" s="87">
        <v>0.0</v>
      </c>
      <c r="H1302" s="87">
        <v>3657.0</v>
      </c>
      <c r="I1302" s="87">
        <v>0.0</v>
      </c>
      <c r="J1302" s="87">
        <v>0.0</v>
      </c>
      <c r="K1302" s="87">
        <v>0.0</v>
      </c>
      <c r="L1302" s="87">
        <v>0.0</v>
      </c>
      <c r="M1302" s="87">
        <v>0.0</v>
      </c>
      <c r="N1302" s="85"/>
      <c r="O1302" s="91"/>
      <c r="P1302" s="91"/>
      <c r="Q1302" s="91"/>
      <c r="R1302" s="91"/>
      <c r="S1302" s="91"/>
      <c r="T1302" s="91"/>
      <c r="U1302" s="91"/>
      <c r="V1302" s="91"/>
      <c r="W1302" s="91"/>
      <c r="X1302" s="91"/>
      <c r="Y1302" s="91"/>
      <c r="Z1302" s="88" t="s">
        <v>1396</v>
      </c>
    </row>
    <row r="1303" hidden="1">
      <c r="A1303" s="90" t="s">
        <v>3180</v>
      </c>
      <c r="B1303" s="90" t="s">
        <v>1462</v>
      </c>
      <c r="C1303" s="90" t="s">
        <v>3174</v>
      </c>
      <c r="D1303" s="90" t="s">
        <v>1459</v>
      </c>
      <c r="E1303" s="90" t="s">
        <v>1398</v>
      </c>
      <c r="F1303" s="87">
        <v>1.0</v>
      </c>
      <c r="G1303" s="87">
        <v>0.0</v>
      </c>
      <c r="H1303" s="87">
        <v>2175.0</v>
      </c>
      <c r="I1303" s="87">
        <v>0.0</v>
      </c>
      <c r="J1303" s="87">
        <v>0.0</v>
      </c>
      <c r="K1303" s="87">
        <v>0.0</v>
      </c>
      <c r="L1303" s="87">
        <v>0.0</v>
      </c>
      <c r="M1303" s="87">
        <v>0.0</v>
      </c>
      <c r="N1303" s="85"/>
      <c r="O1303" s="91"/>
      <c r="P1303" s="91"/>
      <c r="Q1303" s="91"/>
      <c r="R1303" s="91"/>
      <c r="S1303" s="91"/>
      <c r="T1303" s="91"/>
      <c r="U1303" s="91"/>
      <c r="V1303" s="91"/>
      <c r="W1303" s="91"/>
      <c r="X1303" s="91"/>
      <c r="Y1303" s="91"/>
      <c r="Z1303" s="88" t="s">
        <v>1396</v>
      </c>
    </row>
    <row r="1304" hidden="1">
      <c r="A1304" s="90" t="s">
        <v>3182</v>
      </c>
      <c r="B1304" s="90" t="s">
        <v>1463</v>
      </c>
      <c r="C1304" s="90" t="s">
        <v>3174</v>
      </c>
      <c r="D1304" s="90" t="s">
        <v>1459</v>
      </c>
      <c r="E1304" s="90" t="s">
        <v>1400</v>
      </c>
      <c r="F1304" s="87">
        <v>1.0</v>
      </c>
      <c r="G1304" s="87">
        <v>0.0</v>
      </c>
      <c r="H1304" s="87">
        <v>511.0</v>
      </c>
      <c r="I1304" s="87">
        <v>0.0</v>
      </c>
      <c r="J1304" s="87">
        <v>0.0</v>
      </c>
      <c r="K1304" s="87">
        <v>0.0</v>
      </c>
      <c r="L1304" s="87">
        <v>0.0</v>
      </c>
      <c r="M1304" s="87">
        <v>0.0</v>
      </c>
      <c r="N1304" s="85"/>
      <c r="O1304" s="91"/>
      <c r="P1304" s="91"/>
      <c r="Q1304" s="91"/>
      <c r="R1304" s="91"/>
      <c r="S1304" s="91"/>
      <c r="T1304" s="91"/>
      <c r="U1304" s="91"/>
      <c r="V1304" s="91"/>
      <c r="W1304" s="91"/>
      <c r="X1304" s="91"/>
      <c r="Y1304" s="91"/>
      <c r="Z1304" s="88" t="s">
        <v>1396</v>
      </c>
    </row>
    <row r="1305" hidden="1">
      <c r="A1305" s="90" t="s">
        <v>3184</v>
      </c>
      <c r="B1305" s="90" t="s">
        <v>1464</v>
      </c>
      <c r="C1305" s="90" t="s">
        <v>3174</v>
      </c>
      <c r="D1305" s="90" t="s">
        <v>1459</v>
      </c>
      <c r="E1305" s="89">
        <v>46300.0</v>
      </c>
      <c r="F1305" s="87">
        <v>1.0</v>
      </c>
      <c r="G1305" s="87">
        <v>0.0</v>
      </c>
      <c r="H1305" s="87">
        <v>1267.0</v>
      </c>
      <c r="I1305" s="87">
        <v>0.0</v>
      </c>
      <c r="J1305" s="87">
        <v>0.0</v>
      </c>
      <c r="K1305" s="87">
        <v>0.0</v>
      </c>
      <c r="L1305" s="87">
        <v>0.0</v>
      </c>
      <c r="M1305" s="87">
        <v>0.0</v>
      </c>
      <c r="N1305" s="85"/>
      <c r="O1305" s="91"/>
      <c r="P1305" s="91"/>
      <c r="Q1305" s="91"/>
      <c r="R1305" s="91"/>
      <c r="S1305" s="91"/>
      <c r="T1305" s="91"/>
      <c r="U1305" s="91"/>
      <c r="V1305" s="91"/>
      <c r="W1305" s="91"/>
      <c r="X1305" s="91"/>
      <c r="Y1305" s="91"/>
      <c r="Z1305" s="88" t="s">
        <v>1396</v>
      </c>
    </row>
    <row r="1306" hidden="1">
      <c r="A1306" s="90" t="s">
        <v>3186</v>
      </c>
      <c r="B1306" s="90" t="s">
        <v>1465</v>
      </c>
      <c r="C1306" s="90" t="s">
        <v>3174</v>
      </c>
      <c r="D1306" s="90" t="s">
        <v>1459</v>
      </c>
      <c r="E1306" s="90" t="s">
        <v>1403</v>
      </c>
      <c r="F1306" s="87">
        <v>0.0</v>
      </c>
      <c r="G1306" s="87">
        <v>0.0</v>
      </c>
      <c r="H1306" s="87">
        <v>0.0</v>
      </c>
      <c r="I1306" s="87">
        <v>0.0</v>
      </c>
      <c r="J1306" s="87">
        <v>0.0</v>
      </c>
      <c r="K1306" s="87">
        <v>0.0</v>
      </c>
      <c r="L1306" s="87">
        <v>0.0</v>
      </c>
      <c r="M1306" s="87">
        <v>0.0</v>
      </c>
      <c r="N1306" s="85"/>
      <c r="O1306" s="87">
        <v>0.0</v>
      </c>
      <c r="P1306" s="87">
        <v>0.0</v>
      </c>
      <c r="Q1306" s="87">
        <v>0.0</v>
      </c>
      <c r="R1306" s="87">
        <v>0.0</v>
      </c>
      <c r="S1306" s="87">
        <v>0.0</v>
      </c>
      <c r="T1306" s="91"/>
      <c r="U1306" s="91"/>
      <c r="V1306" s="91"/>
      <c r="W1306" s="91"/>
      <c r="X1306" s="91"/>
      <c r="Y1306" s="87">
        <v>0.0</v>
      </c>
      <c r="Z1306" s="88" t="s">
        <v>1396</v>
      </c>
    </row>
    <row r="1307" hidden="1">
      <c r="A1307" s="90" t="s">
        <v>3203</v>
      </c>
      <c r="B1307" s="90" t="s">
        <v>3204</v>
      </c>
      <c r="C1307" s="90" t="s">
        <v>745</v>
      </c>
      <c r="D1307" s="90" t="s">
        <v>3205</v>
      </c>
      <c r="E1307" s="90" t="s">
        <v>1426</v>
      </c>
      <c r="F1307" s="87">
        <v>2.0</v>
      </c>
      <c r="G1307" s="87">
        <v>0.0</v>
      </c>
      <c r="H1307" s="87">
        <v>42.0</v>
      </c>
      <c r="I1307" s="87">
        <v>0.0</v>
      </c>
      <c r="J1307" s="87">
        <v>0.215909</v>
      </c>
      <c r="K1307" s="87">
        <v>1.328704</v>
      </c>
      <c r="L1307" s="87">
        <v>0.332539</v>
      </c>
      <c r="M1307" s="87">
        <v>1.328704</v>
      </c>
      <c r="N1307" s="87">
        <v>1.0</v>
      </c>
      <c r="O1307" s="87">
        <v>1.328704</v>
      </c>
      <c r="P1307" s="87">
        <v>1.328704</v>
      </c>
      <c r="Q1307" s="87">
        <v>1.328704</v>
      </c>
      <c r="R1307" s="87">
        <v>1.328704</v>
      </c>
      <c r="S1307" s="87">
        <v>1.328704</v>
      </c>
      <c r="T1307" s="87">
        <v>1.328704</v>
      </c>
      <c r="U1307" s="87">
        <v>1.328704</v>
      </c>
      <c r="V1307" s="87">
        <v>1.328704</v>
      </c>
      <c r="W1307" s="87">
        <v>1.328704</v>
      </c>
      <c r="X1307" s="87">
        <v>1.328704</v>
      </c>
      <c r="Y1307" s="87">
        <v>1.328704</v>
      </c>
      <c r="Z1307" s="88" t="s">
        <v>1396</v>
      </c>
    </row>
    <row r="1308" hidden="1">
      <c r="A1308" s="90" t="s">
        <v>3206</v>
      </c>
      <c r="B1308" s="90" t="s">
        <v>3207</v>
      </c>
      <c r="C1308" s="90" t="s">
        <v>745</v>
      </c>
      <c r="D1308" s="90" t="s">
        <v>3205</v>
      </c>
      <c r="E1308" s="86">
        <v>46310.0</v>
      </c>
      <c r="F1308" s="87">
        <v>5.0</v>
      </c>
      <c r="G1308" s="87">
        <v>0.0</v>
      </c>
      <c r="H1308" s="87">
        <v>73.0</v>
      </c>
      <c r="I1308" s="87">
        <v>0.0</v>
      </c>
      <c r="J1308" s="87">
        <v>0.344877</v>
      </c>
      <c r="K1308" s="87">
        <v>0.155825</v>
      </c>
      <c r="L1308" s="87">
        <v>1.041695</v>
      </c>
      <c r="M1308" s="87">
        <v>0.078788</v>
      </c>
      <c r="N1308" s="87">
        <v>0.505618</v>
      </c>
      <c r="O1308" s="87">
        <v>0.077037</v>
      </c>
      <c r="P1308" s="87">
        <v>0.077037</v>
      </c>
      <c r="Q1308" s="87">
        <v>0.077037</v>
      </c>
      <c r="R1308" s="87">
        <v>0.078788</v>
      </c>
      <c r="S1308" s="87">
        <v>0.078788</v>
      </c>
      <c r="T1308" s="87">
        <v>0.077037</v>
      </c>
      <c r="U1308" s="87">
        <v>0.077037</v>
      </c>
      <c r="V1308" s="87">
        <v>0.077037</v>
      </c>
      <c r="W1308" s="87">
        <v>0.078788</v>
      </c>
      <c r="X1308" s="87">
        <v>0.078788</v>
      </c>
      <c r="Y1308" s="87">
        <v>0.077912</v>
      </c>
      <c r="Z1308" s="88" t="s">
        <v>1396</v>
      </c>
    </row>
    <row r="1309" hidden="1">
      <c r="A1309" s="90" t="s">
        <v>3210</v>
      </c>
      <c r="B1309" s="90" t="s">
        <v>3211</v>
      </c>
      <c r="C1309" s="90" t="s">
        <v>745</v>
      </c>
      <c r="D1309" s="90" t="s">
        <v>3205</v>
      </c>
      <c r="E1309" s="90" t="s">
        <v>1398</v>
      </c>
      <c r="F1309" s="87">
        <v>3.0</v>
      </c>
      <c r="G1309" s="87">
        <v>0.0</v>
      </c>
      <c r="H1309" s="87">
        <v>55.0</v>
      </c>
      <c r="I1309" s="87">
        <v>0.0</v>
      </c>
      <c r="J1309" s="87">
        <v>0.0</v>
      </c>
      <c r="K1309" s="87">
        <v>0.083333</v>
      </c>
      <c r="L1309" s="87">
        <v>0.108292</v>
      </c>
      <c r="M1309" s="87">
        <v>0.083333</v>
      </c>
      <c r="N1309" s="87">
        <v>1.0</v>
      </c>
      <c r="O1309" s="87">
        <v>0.083333</v>
      </c>
      <c r="P1309" s="87">
        <v>0.083333</v>
      </c>
      <c r="Q1309" s="87">
        <v>0.083333</v>
      </c>
      <c r="R1309" s="87">
        <v>0.083333</v>
      </c>
      <c r="S1309" s="87">
        <v>0.083333</v>
      </c>
      <c r="T1309" s="87">
        <v>0.083333</v>
      </c>
      <c r="U1309" s="87">
        <v>0.083333</v>
      </c>
      <c r="V1309" s="87">
        <v>0.083333</v>
      </c>
      <c r="W1309" s="87">
        <v>0.083333</v>
      </c>
      <c r="X1309" s="87">
        <v>0.083333</v>
      </c>
      <c r="Y1309" s="87">
        <v>0.083333</v>
      </c>
      <c r="Z1309" s="88" t="s">
        <v>1396</v>
      </c>
    </row>
    <row r="1310" hidden="1">
      <c r="A1310" s="90" t="s">
        <v>3212</v>
      </c>
      <c r="B1310" s="90" t="s">
        <v>3213</v>
      </c>
      <c r="C1310" s="90" t="s">
        <v>745</v>
      </c>
      <c r="D1310" s="90" t="s">
        <v>3205</v>
      </c>
      <c r="E1310" s="90" t="s">
        <v>1400</v>
      </c>
      <c r="F1310" s="87">
        <v>4.0</v>
      </c>
      <c r="G1310" s="87">
        <v>0.0</v>
      </c>
      <c r="H1310" s="87">
        <v>187.0</v>
      </c>
      <c r="I1310" s="87">
        <v>0.0</v>
      </c>
      <c r="J1310" s="87">
        <v>0.5</v>
      </c>
      <c r="K1310" s="87">
        <v>2.055556</v>
      </c>
      <c r="L1310" s="87">
        <v>1.65851</v>
      </c>
      <c r="M1310" s="87">
        <v>2.0</v>
      </c>
      <c r="N1310" s="87">
        <v>0.972973</v>
      </c>
      <c r="O1310" s="87">
        <v>0.0</v>
      </c>
      <c r="P1310" s="87">
        <v>0.0</v>
      </c>
      <c r="Q1310" s="87">
        <v>0.0</v>
      </c>
      <c r="R1310" s="87">
        <v>0.055556</v>
      </c>
      <c r="S1310" s="87">
        <v>2.0</v>
      </c>
      <c r="T1310" s="87">
        <v>0.055556</v>
      </c>
      <c r="U1310" s="87">
        <v>0.055556</v>
      </c>
      <c r="V1310" s="87">
        <v>0.055556</v>
      </c>
      <c r="W1310" s="87">
        <v>2.0</v>
      </c>
      <c r="X1310" s="87">
        <v>2.0</v>
      </c>
      <c r="Y1310" s="87">
        <v>0.685185</v>
      </c>
      <c r="Z1310" s="88" t="s">
        <v>1396</v>
      </c>
    </row>
    <row r="1311" hidden="1">
      <c r="A1311" s="90" t="s">
        <v>3227</v>
      </c>
      <c r="B1311" s="90" t="s">
        <v>3397</v>
      </c>
      <c r="C1311" s="90" t="s">
        <v>745</v>
      </c>
      <c r="D1311" s="90" t="s">
        <v>3205</v>
      </c>
      <c r="E1311" s="89">
        <v>46300.0</v>
      </c>
      <c r="F1311" s="87">
        <v>2.0</v>
      </c>
      <c r="G1311" s="87">
        <v>1.0</v>
      </c>
      <c r="H1311" s="87">
        <v>26.0</v>
      </c>
      <c r="I1311" s="87">
        <v>12.0</v>
      </c>
      <c r="J1311" s="87">
        <v>0.0</v>
      </c>
      <c r="K1311" s="87">
        <v>0.0</v>
      </c>
      <c r="L1311" s="87">
        <v>0.0</v>
      </c>
      <c r="M1311" s="87">
        <v>0.0</v>
      </c>
      <c r="N1311" s="85"/>
      <c r="O1311" s="91"/>
      <c r="P1311" s="91"/>
      <c r="Q1311" s="91"/>
      <c r="R1311" s="91"/>
      <c r="S1311" s="91"/>
      <c r="T1311" s="91"/>
      <c r="U1311" s="91"/>
      <c r="V1311" s="91"/>
      <c r="W1311" s="91"/>
      <c r="X1311" s="91"/>
      <c r="Y1311" s="91"/>
      <c r="Z1311" s="88" t="s">
        <v>1396</v>
      </c>
    </row>
    <row r="1312" hidden="1">
      <c r="A1312" s="90" t="s">
        <v>3208</v>
      </c>
      <c r="B1312" s="90" t="s">
        <v>3216</v>
      </c>
      <c r="C1312" s="90" t="s">
        <v>745</v>
      </c>
      <c r="D1312" s="90" t="s">
        <v>3217</v>
      </c>
      <c r="E1312" s="90" t="s">
        <v>1413</v>
      </c>
      <c r="F1312" s="87">
        <v>1.0</v>
      </c>
      <c r="G1312" s="87">
        <v>0.0</v>
      </c>
      <c r="H1312" s="87">
        <v>151.0</v>
      </c>
      <c r="I1312" s="87">
        <v>0.0</v>
      </c>
      <c r="J1312" s="87">
        <v>3.780506</v>
      </c>
      <c r="K1312" s="87">
        <v>4.591878</v>
      </c>
      <c r="L1312" s="87">
        <v>4.591878</v>
      </c>
      <c r="M1312" s="87">
        <v>4.591878</v>
      </c>
      <c r="N1312" s="87">
        <v>1.0</v>
      </c>
      <c r="O1312" s="87">
        <v>4.591878</v>
      </c>
      <c r="P1312" s="87">
        <v>4.591878</v>
      </c>
      <c r="Q1312" s="87">
        <v>4.591878</v>
      </c>
      <c r="R1312" s="87">
        <v>4.591878</v>
      </c>
      <c r="S1312" s="87">
        <v>4.591878</v>
      </c>
      <c r="T1312" s="87">
        <v>4.591878</v>
      </c>
      <c r="U1312" s="87">
        <v>4.591878</v>
      </c>
      <c r="V1312" s="87">
        <v>4.591878</v>
      </c>
      <c r="W1312" s="87">
        <v>4.591878</v>
      </c>
      <c r="X1312" s="87">
        <v>4.591878</v>
      </c>
      <c r="Y1312" s="87">
        <v>4.591878</v>
      </c>
      <c r="Z1312" s="88" t="s">
        <v>1396</v>
      </c>
    </row>
    <row r="1313" hidden="1">
      <c r="A1313" s="90" t="s">
        <v>3212</v>
      </c>
      <c r="B1313" s="90" t="s">
        <v>3218</v>
      </c>
      <c r="C1313" s="90" t="s">
        <v>745</v>
      </c>
      <c r="D1313" s="90" t="s">
        <v>3217</v>
      </c>
      <c r="E1313" s="90" t="s">
        <v>1400</v>
      </c>
      <c r="F1313" s="87">
        <v>6.0</v>
      </c>
      <c r="G1313" s="87">
        <v>0.0</v>
      </c>
      <c r="H1313" s="87">
        <v>1149.0</v>
      </c>
      <c r="I1313" s="87">
        <v>0.0</v>
      </c>
      <c r="J1313" s="87">
        <v>1.571429</v>
      </c>
      <c r="K1313" s="87">
        <v>1.304147</v>
      </c>
      <c r="L1313" s="87">
        <v>1.400389</v>
      </c>
      <c r="M1313" s="87">
        <v>0.706298</v>
      </c>
      <c r="N1313" s="87">
        <v>0.541578</v>
      </c>
      <c r="O1313" s="87">
        <v>0.0</v>
      </c>
      <c r="P1313" s="87">
        <v>0.033333</v>
      </c>
      <c r="Q1313" s="87">
        <v>0.1</v>
      </c>
      <c r="R1313" s="87">
        <v>0.132258</v>
      </c>
      <c r="S1313" s="87">
        <v>0.332258</v>
      </c>
      <c r="T1313" s="87">
        <v>0.033333</v>
      </c>
      <c r="U1313" s="87">
        <v>0.1</v>
      </c>
      <c r="V1313" s="87">
        <v>0.1</v>
      </c>
      <c r="W1313" s="87">
        <v>0.332258</v>
      </c>
      <c r="X1313" s="87">
        <v>0.340707</v>
      </c>
      <c r="Y1313" s="87">
        <v>0.186307</v>
      </c>
      <c r="Z1313" s="88" t="s">
        <v>1396</v>
      </c>
    </row>
    <row r="1314" hidden="1">
      <c r="A1314" s="90" t="s">
        <v>3214</v>
      </c>
      <c r="B1314" s="90" t="s">
        <v>3219</v>
      </c>
      <c r="C1314" s="90" t="s">
        <v>745</v>
      </c>
      <c r="D1314" s="90" t="s">
        <v>3217</v>
      </c>
      <c r="E1314" s="90" t="s">
        <v>1403</v>
      </c>
      <c r="F1314" s="87">
        <v>0.0</v>
      </c>
      <c r="G1314" s="87">
        <v>0.0</v>
      </c>
      <c r="H1314" s="87">
        <v>0.0</v>
      </c>
      <c r="I1314" s="87">
        <v>0.0</v>
      </c>
      <c r="J1314" s="87">
        <v>0.0</v>
      </c>
      <c r="K1314" s="87">
        <v>0.0</v>
      </c>
      <c r="L1314" s="87">
        <v>0.0</v>
      </c>
      <c r="M1314" s="87">
        <v>0.0</v>
      </c>
      <c r="N1314" s="85"/>
      <c r="O1314" s="87">
        <v>0.0</v>
      </c>
      <c r="P1314" s="87">
        <v>0.0</v>
      </c>
      <c r="Q1314" s="87">
        <v>0.0</v>
      </c>
      <c r="R1314" s="87">
        <v>0.0</v>
      </c>
      <c r="S1314" s="87">
        <v>0.0</v>
      </c>
      <c r="T1314" s="91"/>
      <c r="U1314" s="91"/>
      <c r="V1314" s="91"/>
      <c r="W1314" s="91"/>
      <c r="X1314" s="91"/>
      <c r="Y1314" s="87">
        <v>0.0</v>
      </c>
      <c r="Z1314" s="88" t="s">
        <v>1396</v>
      </c>
    </row>
    <row r="1315" hidden="1">
      <c r="A1315" s="90" t="s">
        <v>3206</v>
      </c>
      <c r="B1315" s="90" t="s">
        <v>3220</v>
      </c>
      <c r="C1315" s="90" t="s">
        <v>745</v>
      </c>
      <c r="D1315" s="90" t="s">
        <v>754</v>
      </c>
      <c r="E1315" s="86">
        <v>46310.0</v>
      </c>
      <c r="F1315" s="87">
        <v>1.0</v>
      </c>
      <c r="G1315" s="87">
        <v>0.0</v>
      </c>
      <c r="H1315" s="87">
        <v>379.0</v>
      </c>
      <c r="I1315" s="87">
        <v>0.0</v>
      </c>
      <c r="J1315" s="87">
        <v>1.785714</v>
      </c>
      <c r="K1315" s="87">
        <v>2.724342</v>
      </c>
      <c r="L1315" s="87">
        <v>3.732637</v>
      </c>
      <c r="M1315" s="87">
        <v>2.724342</v>
      </c>
      <c r="N1315" s="87">
        <v>1.0</v>
      </c>
      <c r="O1315" s="87">
        <v>2.724342</v>
      </c>
      <c r="P1315" s="87">
        <v>2.724342</v>
      </c>
      <c r="Q1315" s="87">
        <v>2.724342</v>
      </c>
      <c r="R1315" s="87">
        <v>2.724342</v>
      </c>
      <c r="S1315" s="87">
        <v>2.724342</v>
      </c>
      <c r="T1315" s="87">
        <v>2.724342</v>
      </c>
      <c r="U1315" s="87">
        <v>2.724342</v>
      </c>
      <c r="V1315" s="87">
        <v>2.724342</v>
      </c>
      <c r="W1315" s="87">
        <v>2.724342</v>
      </c>
      <c r="X1315" s="87">
        <v>2.724342</v>
      </c>
      <c r="Y1315" s="87">
        <v>2.724342</v>
      </c>
      <c r="Z1315" s="88" t="s">
        <v>1396</v>
      </c>
    </row>
    <row r="1316" hidden="1">
      <c r="A1316" s="90" t="s">
        <v>3212</v>
      </c>
      <c r="B1316" s="90" t="s">
        <v>3221</v>
      </c>
      <c r="C1316" s="90" t="s">
        <v>745</v>
      </c>
      <c r="D1316" s="90" t="s">
        <v>754</v>
      </c>
      <c r="E1316" s="90" t="s">
        <v>1400</v>
      </c>
      <c r="F1316" s="87">
        <v>4.0</v>
      </c>
      <c r="G1316" s="87">
        <v>1.0</v>
      </c>
      <c r="H1316" s="87">
        <v>166.0</v>
      </c>
      <c r="I1316" s="87">
        <v>4.0</v>
      </c>
      <c r="J1316" s="87">
        <v>0.0</v>
      </c>
      <c r="K1316" s="87">
        <v>0.0</v>
      </c>
      <c r="L1316" s="87">
        <v>0.0</v>
      </c>
      <c r="M1316" s="87">
        <v>0.0</v>
      </c>
      <c r="N1316" s="85"/>
      <c r="O1316" s="87">
        <v>0.0</v>
      </c>
      <c r="P1316" s="87">
        <v>0.0</v>
      </c>
      <c r="Q1316" s="87">
        <v>0.0</v>
      </c>
      <c r="R1316" s="87">
        <v>0.0</v>
      </c>
      <c r="S1316" s="87">
        <v>0.0</v>
      </c>
      <c r="T1316" s="91"/>
      <c r="U1316" s="91"/>
      <c r="V1316" s="91"/>
      <c r="W1316" s="91"/>
      <c r="X1316" s="91"/>
      <c r="Y1316" s="87">
        <v>0.0</v>
      </c>
      <c r="Z1316" s="88" t="s">
        <v>1396</v>
      </c>
    </row>
    <row r="1317" hidden="1">
      <c r="A1317" s="90" t="s">
        <v>3214</v>
      </c>
      <c r="B1317" s="90" t="s">
        <v>3222</v>
      </c>
      <c r="C1317" s="90" t="s">
        <v>745</v>
      </c>
      <c r="D1317" s="90" t="s">
        <v>754</v>
      </c>
      <c r="E1317" s="90" t="s">
        <v>1403</v>
      </c>
      <c r="F1317" s="87">
        <v>2.0</v>
      </c>
      <c r="G1317" s="87">
        <v>2.0</v>
      </c>
      <c r="H1317" s="87">
        <v>84.0</v>
      </c>
      <c r="I1317" s="87">
        <v>84.0</v>
      </c>
      <c r="J1317" s="87">
        <v>0.0</v>
      </c>
      <c r="K1317" s="87">
        <v>0.0</v>
      </c>
      <c r="L1317" s="87">
        <v>0.0</v>
      </c>
      <c r="M1317" s="87">
        <v>0.0</v>
      </c>
      <c r="N1317" s="85"/>
      <c r="O1317" s="87">
        <v>0.0</v>
      </c>
      <c r="P1317" s="87">
        <v>0.0</v>
      </c>
      <c r="Q1317" s="87">
        <v>0.0</v>
      </c>
      <c r="R1317" s="87">
        <v>0.0</v>
      </c>
      <c r="S1317" s="87">
        <v>0.0</v>
      </c>
      <c r="T1317" s="91"/>
      <c r="U1317" s="91"/>
      <c r="V1317" s="91"/>
      <c r="W1317" s="91"/>
      <c r="X1317" s="91"/>
      <c r="Y1317" s="87">
        <v>0.0</v>
      </c>
      <c r="Z1317" s="88" t="s">
        <v>1396</v>
      </c>
    </row>
    <row r="1318" hidden="1">
      <c r="A1318" s="90" t="s">
        <v>3206</v>
      </c>
      <c r="B1318" s="90" t="s">
        <v>3223</v>
      </c>
      <c r="C1318" s="90" t="s">
        <v>745</v>
      </c>
      <c r="D1318" s="90" t="s">
        <v>746</v>
      </c>
      <c r="E1318" s="86">
        <v>46310.0</v>
      </c>
      <c r="F1318" s="87">
        <v>4.0</v>
      </c>
      <c r="G1318" s="87">
        <v>0.0</v>
      </c>
      <c r="H1318" s="87">
        <v>648.0</v>
      </c>
      <c r="I1318" s="87">
        <v>0.0</v>
      </c>
      <c r="J1318" s="87">
        <v>5.114286</v>
      </c>
      <c r="K1318" s="87">
        <v>5.168927</v>
      </c>
      <c r="L1318" s="87">
        <v>5.256103</v>
      </c>
      <c r="M1318" s="87">
        <v>3.151082</v>
      </c>
      <c r="N1318" s="87">
        <v>0.60962</v>
      </c>
      <c r="O1318" s="87">
        <v>0.595671</v>
      </c>
      <c r="P1318" s="87">
        <v>0.595671</v>
      </c>
      <c r="Q1318" s="87">
        <v>0.626475</v>
      </c>
      <c r="R1318" s="87">
        <v>0.795699</v>
      </c>
      <c r="S1318" s="87">
        <v>0.795699</v>
      </c>
      <c r="T1318" s="87">
        <v>0.595671</v>
      </c>
      <c r="U1318" s="87">
        <v>0.595671</v>
      </c>
      <c r="V1318" s="87">
        <v>0.626475</v>
      </c>
      <c r="W1318" s="87">
        <v>0.795699</v>
      </c>
      <c r="X1318" s="87">
        <v>0.795699</v>
      </c>
      <c r="Y1318" s="87">
        <v>1.292232</v>
      </c>
      <c r="Z1318" s="88" t="s">
        <v>1396</v>
      </c>
    </row>
    <row r="1319" hidden="1">
      <c r="A1319" s="90" t="s">
        <v>3208</v>
      </c>
      <c r="B1319" s="90" t="s">
        <v>3224</v>
      </c>
      <c r="C1319" s="90" t="s">
        <v>745</v>
      </c>
      <c r="D1319" s="90" t="s">
        <v>746</v>
      </c>
      <c r="E1319" s="90" t="s">
        <v>1413</v>
      </c>
      <c r="F1319" s="87">
        <v>4.0</v>
      </c>
      <c r="G1319" s="87">
        <v>0.0</v>
      </c>
      <c r="H1319" s="87">
        <v>719.0</v>
      </c>
      <c r="I1319" s="87">
        <v>0.0</v>
      </c>
      <c r="J1319" s="87">
        <v>1.02381</v>
      </c>
      <c r="K1319" s="87">
        <v>1.06129</v>
      </c>
      <c r="L1319" s="87">
        <v>1.092624</v>
      </c>
      <c r="M1319" s="87">
        <v>0.795699</v>
      </c>
      <c r="N1319" s="87">
        <v>0.749747</v>
      </c>
      <c r="O1319" s="87">
        <v>0.1</v>
      </c>
      <c r="P1319" s="87">
        <v>0.1</v>
      </c>
      <c r="Q1319" s="87">
        <v>0.1</v>
      </c>
      <c r="R1319" s="87">
        <v>0.165591</v>
      </c>
      <c r="S1319" s="87">
        <v>0.795699</v>
      </c>
      <c r="T1319" s="87">
        <v>0.1</v>
      </c>
      <c r="U1319" s="87">
        <v>0.1</v>
      </c>
      <c r="V1319" s="87">
        <v>0.1</v>
      </c>
      <c r="W1319" s="87">
        <v>0.165591</v>
      </c>
      <c r="X1319" s="87">
        <v>0.795699</v>
      </c>
      <c r="Y1319" s="87">
        <v>0.353763</v>
      </c>
      <c r="Z1319" s="88" t="s">
        <v>1396</v>
      </c>
    </row>
    <row r="1320" hidden="1">
      <c r="A1320" s="90" t="s">
        <v>3210</v>
      </c>
      <c r="B1320" s="90" t="s">
        <v>3225</v>
      </c>
      <c r="C1320" s="90" t="s">
        <v>745</v>
      </c>
      <c r="D1320" s="90" t="s">
        <v>746</v>
      </c>
      <c r="E1320" s="90" t="s">
        <v>1398</v>
      </c>
      <c r="F1320" s="87">
        <v>2.0</v>
      </c>
      <c r="G1320" s="87">
        <v>0.0</v>
      </c>
      <c r="H1320" s="87">
        <v>368.0</v>
      </c>
      <c r="I1320" s="87">
        <v>0.0</v>
      </c>
      <c r="J1320" s="87">
        <v>0.862637</v>
      </c>
      <c r="K1320" s="87">
        <v>1.207143</v>
      </c>
      <c r="L1320" s="87">
        <v>1.034387</v>
      </c>
      <c r="M1320" s="87">
        <v>0.866667</v>
      </c>
      <c r="N1320" s="87">
        <v>0.717949</v>
      </c>
      <c r="O1320" s="87">
        <v>0.340476</v>
      </c>
      <c r="P1320" s="87">
        <v>0.340476</v>
      </c>
      <c r="Q1320" s="87">
        <v>0.340476</v>
      </c>
      <c r="R1320" s="87">
        <v>0.866667</v>
      </c>
      <c r="S1320" s="87">
        <v>0.866667</v>
      </c>
      <c r="T1320" s="87">
        <v>0.340476</v>
      </c>
      <c r="U1320" s="87">
        <v>0.340476</v>
      </c>
      <c r="V1320" s="87">
        <v>0.340476</v>
      </c>
      <c r="W1320" s="87">
        <v>0.866667</v>
      </c>
      <c r="X1320" s="87">
        <v>0.866667</v>
      </c>
      <c r="Y1320" s="87">
        <v>0.603571</v>
      </c>
      <c r="Z1320" s="88" t="s">
        <v>1396</v>
      </c>
    </row>
    <row r="1321" hidden="1">
      <c r="A1321" s="90" t="s">
        <v>3212</v>
      </c>
      <c r="B1321" s="90" t="s">
        <v>3226</v>
      </c>
      <c r="C1321" s="90" t="s">
        <v>745</v>
      </c>
      <c r="D1321" s="90" t="s">
        <v>746</v>
      </c>
      <c r="E1321" s="90" t="s">
        <v>1400</v>
      </c>
      <c r="F1321" s="87">
        <v>92.0</v>
      </c>
      <c r="G1321" s="87">
        <v>23.0</v>
      </c>
      <c r="H1321" s="87">
        <v>7041.0</v>
      </c>
      <c r="I1321" s="87">
        <v>1248.0</v>
      </c>
      <c r="J1321" s="87">
        <v>11.03306</v>
      </c>
      <c r="K1321" s="87">
        <v>15.00107</v>
      </c>
      <c r="L1321" s="87">
        <v>18.34394</v>
      </c>
      <c r="M1321" s="87">
        <v>11.28182</v>
      </c>
      <c r="N1321" s="87">
        <v>0.752068</v>
      </c>
      <c r="O1321" s="87">
        <v>0.0</v>
      </c>
      <c r="P1321" s="87">
        <v>0.0</v>
      </c>
      <c r="Q1321" s="87">
        <v>0.014642</v>
      </c>
      <c r="R1321" s="87">
        <v>0.069518</v>
      </c>
      <c r="S1321" s="87">
        <v>0.152803</v>
      </c>
      <c r="T1321" s="87">
        <v>0.033333</v>
      </c>
      <c r="U1321" s="87">
        <v>0.047619</v>
      </c>
      <c r="V1321" s="87">
        <v>0.068352</v>
      </c>
      <c r="W1321" s="87">
        <v>0.123248</v>
      </c>
      <c r="X1321" s="87">
        <v>0.223862</v>
      </c>
      <c r="Y1321" s="87">
        <v>0.192321</v>
      </c>
      <c r="Z1321" s="88" t="s">
        <v>1396</v>
      </c>
    </row>
    <row r="1322" hidden="1">
      <c r="A1322" s="90" t="s">
        <v>3227</v>
      </c>
      <c r="B1322" s="90" t="s">
        <v>3228</v>
      </c>
      <c r="C1322" s="90" t="s">
        <v>745</v>
      </c>
      <c r="D1322" s="90" t="s">
        <v>746</v>
      </c>
      <c r="E1322" s="89">
        <v>46300.0</v>
      </c>
      <c r="F1322" s="87">
        <v>6.0</v>
      </c>
      <c r="G1322" s="87">
        <v>1.0</v>
      </c>
      <c r="H1322" s="87">
        <v>1130.0</v>
      </c>
      <c r="I1322" s="87">
        <v>383.0</v>
      </c>
      <c r="J1322" s="87">
        <v>1.285714</v>
      </c>
      <c r="K1322" s="87">
        <v>1.173857</v>
      </c>
      <c r="L1322" s="87">
        <v>1.083125</v>
      </c>
      <c r="M1322" s="87">
        <v>0.709754</v>
      </c>
      <c r="N1322" s="87">
        <v>0.604634</v>
      </c>
      <c r="O1322" s="87">
        <v>0.076923</v>
      </c>
      <c r="P1322" s="87">
        <v>0.076923</v>
      </c>
      <c r="Q1322" s="87">
        <v>0.153846</v>
      </c>
      <c r="R1322" s="87">
        <v>0.233333</v>
      </c>
      <c r="S1322" s="87">
        <v>0.233333</v>
      </c>
      <c r="T1322" s="87">
        <v>0.076923</v>
      </c>
      <c r="U1322" s="87">
        <v>0.076923</v>
      </c>
      <c r="V1322" s="87">
        <v>0.153846</v>
      </c>
      <c r="W1322" s="87">
        <v>0.233333</v>
      </c>
      <c r="X1322" s="87">
        <v>0.233333</v>
      </c>
      <c r="Y1322" s="87">
        <v>0.293464</v>
      </c>
      <c r="Z1322" s="88" t="s">
        <v>1396</v>
      </c>
    </row>
    <row r="1323" hidden="1">
      <c r="A1323" s="90" t="s">
        <v>3214</v>
      </c>
      <c r="B1323" s="90" t="s">
        <v>3229</v>
      </c>
      <c r="C1323" s="90" t="s">
        <v>745</v>
      </c>
      <c r="D1323" s="90" t="s">
        <v>746</v>
      </c>
      <c r="E1323" s="90" t="s">
        <v>1403</v>
      </c>
      <c r="F1323" s="87">
        <v>35.0</v>
      </c>
      <c r="G1323" s="87">
        <v>35.0</v>
      </c>
      <c r="H1323" s="87">
        <v>1823.0</v>
      </c>
      <c r="I1323" s="87">
        <v>1823.0</v>
      </c>
      <c r="J1323" s="87">
        <v>0.0</v>
      </c>
      <c r="K1323" s="87">
        <v>0.0</v>
      </c>
      <c r="L1323" s="87">
        <v>0.0</v>
      </c>
      <c r="M1323" s="87">
        <v>0.0</v>
      </c>
      <c r="N1323" s="85"/>
      <c r="O1323" s="87">
        <v>0.0</v>
      </c>
      <c r="P1323" s="87">
        <v>0.0</v>
      </c>
      <c r="Q1323" s="87">
        <v>0.0</v>
      </c>
      <c r="R1323" s="87">
        <v>0.0</v>
      </c>
      <c r="S1323" s="87">
        <v>0.0</v>
      </c>
      <c r="T1323" s="91"/>
      <c r="U1323" s="91"/>
      <c r="V1323" s="91"/>
      <c r="W1323" s="91"/>
      <c r="X1323" s="91"/>
      <c r="Y1323" s="87">
        <v>0.0</v>
      </c>
      <c r="Z1323" s="88" t="s">
        <v>1396</v>
      </c>
    </row>
    <row r="1324" hidden="1">
      <c r="A1324" s="90" t="s">
        <v>3230</v>
      </c>
      <c r="B1324" s="90" t="s">
        <v>3231</v>
      </c>
      <c r="C1324" s="90" t="s">
        <v>761</v>
      </c>
      <c r="D1324" s="90" t="s">
        <v>3232</v>
      </c>
      <c r="E1324" s="90" t="s">
        <v>1426</v>
      </c>
      <c r="F1324" s="87">
        <v>1.0</v>
      </c>
      <c r="G1324" s="87">
        <v>0.0</v>
      </c>
      <c r="H1324" s="87">
        <v>1942.0</v>
      </c>
      <c r="I1324" s="87">
        <v>0.0</v>
      </c>
      <c r="J1324" s="87">
        <v>20.54595</v>
      </c>
      <c r="K1324" s="87">
        <v>23.47148</v>
      </c>
      <c r="L1324" s="87">
        <v>24.59818</v>
      </c>
      <c r="M1324" s="87">
        <v>23.47148</v>
      </c>
      <c r="N1324" s="87">
        <v>1.0</v>
      </c>
      <c r="O1324" s="87">
        <v>23.47148</v>
      </c>
      <c r="P1324" s="87">
        <v>23.47148</v>
      </c>
      <c r="Q1324" s="87">
        <v>23.47148</v>
      </c>
      <c r="R1324" s="87">
        <v>23.47148</v>
      </c>
      <c r="S1324" s="87">
        <v>23.47148</v>
      </c>
      <c r="T1324" s="87">
        <v>23.47148</v>
      </c>
      <c r="U1324" s="87">
        <v>23.47148</v>
      </c>
      <c r="V1324" s="87">
        <v>23.47148</v>
      </c>
      <c r="W1324" s="87">
        <v>23.47148</v>
      </c>
      <c r="X1324" s="87">
        <v>23.47148</v>
      </c>
      <c r="Y1324" s="87">
        <v>23.47148</v>
      </c>
      <c r="Z1324" s="88" t="s">
        <v>1396</v>
      </c>
    </row>
    <row r="1325" hidden="1">
      <c r="A1325" s="90" t="s">
        <v>3233</v>
      </c>
      <c r="B1325" s="90" t="s">
        <v>3234</v>
      </c>
      <c r="C1325" s="90" t="s">
        <v>761</v>
      </c>
      <c r="D1325" s="90" t="s">
        <v>3232</v>
      </c>
      <c r="E1325" s="86">
        <v>46310.0</v>
      </c>
      <c r="F1325" s="87">
        <v>2.0</v>
      </c>
      <c r="G1325" s="87">
        <v>0.0</v>
      </c>
      <c r="H1325" s="87">
        <v>17775.0</v>
      </c>
      <c r="I1325" s="87">
        <v>0.0</v>
      </c>
      <c r="J1325" s="87">
        <v>205.8873</v>
      </c>
      <c r="K1325" s="87">
        <v>195.2541</v>
      </c>
      <c r="L1325" s="87">
        <v>180.5408</v>
      </c>
      <c r="M1325" s="87">
        <v>105.8424</v>
      </c>
      <c r="N1325" s="87">
        <v>0.542075</v>
      </c>
      <c r="O1325" s="87">
        <v>89.41174</v>
      </c>
      <c r="P1325" s="87">
        <v>89.41174</v>
      </c>
      <c r="Q1325" s="87">
        <v>89.41174</v>
      </c>
      <c r="R1325" s="87">
        <v>105.8424</v>
      </c>
      <c r="S1325" s="87">
        <v>105.8424</v>
      </c>
      <c r="T1325" s="87">
        <v>89.41174</v>
      </c>
      <c r="U1325" s="87">
        <v>89.41174</v>
      </c>
      <c r="V1325" s="87">
        <v>89.41174</v>
      </c>
      <c r="W1325" s="87">
        <v>105.8424</v>
      </c>
      <c r="X1325" s="87">
        <v>105.8424</v>
      </c>
      <c r="Y1325" s="87">
        <v>97.62707</v>
      </c>
      <c r="Z1325" s="88" t="s">
        <v>1396</v>
      </c>
    </row>
    <row r="1326" hidden="1">
      <c r="A1326" s="90" t="s">
        <v>3235</v>
      </c>
      <c r="B1326" s="90" t="s">
        <v>3236</v>
      </c>
      <c r="C1326" s="90" t="s">
        <v>761</v>
      </c>
      <c r="D1326" s="90" t="s">
        <v>3232</v>
      </c>
      <c r="E1326" s="90" t="s">
        <v>1413</v>
      </c>
      <c r="F1326" s="87">
        <v>2.0</v>
      </c>
      <c r="G1326" s="87">
        <v>0.0</v>
      </c>
      <c r="H1326" s="87">
        <v>9030.0</v>
      </c>
      <c r="I1326" s="87">
        <v>0.0</v>
      </c>
      <c r="J1326" s="87">
        <v>87.97246</v>
      </c>
      <c r="K1326" s="87">
        <v>98.48417</v>
      </c>
      <c r="L1326" s="87">
        <v>97.95047</v>
      </c>
      <c r="M1326" s="87">
        <v>98.48417</v>
      </c>
      <c r="N1326" s="87">
        <v>1.0</v>
      </c>
      <c r="O1326" s="87">
        <v>98.48417</v>
      </c>
      <c r="P1326" s="87">
        <v>98.48417</v>
      </c>
      <c r="Q1326" s="87">
        <v>98.48417</v>
      </c>
      <c r="R1326" s="87">
        <v>98.48417</v>
      </c>
      <c r="S1326" s="87">
        <v>98.48417</v>
      </c>
      <c r="T1326" s="87">
        <v>98.48417</v>
      </c>
      <c r="U1326" s="87">
        <v>98.48417</v>
      </c>
      <c r="V1326" s="87">
        <v>98.48417</v>
      </c>
      <c r="W1326" s="87">
        <v>98.48417</v>
      </c>
      <c r="X1326" s="87">
        <v>98.48417</v>
      </c>
      <c r="Y1326" s="87">
        <v>98.48417</v>
      </c>
      <c r="Z1326" s="88" t="s">
        <v>1396</v>
      </c>
    </row>
    <row r="1327" hidden="1">
      <c r="A1327" s="90" t="s">
        <v>3237</v>
      </c>
      <c r="B1327" s="90" t="s">
        <v>3238</v>
      </c>
      <c r="C1327" s="90" t="s">
        <v>761</v>
      </c>
      <c r="D1327" s="90" t="s">
        <v>3232</v>
      </c>
      <c r="E1327" s="90" t="s">
        <v>1400</v>
      </c>
      <c r="F1327" s="87">
        <v>1.0</v>
      </c>
      <c r="G1327" s="87">
        <v>0.0</v>
      </c>
      <c r="H1327" s="87">
        <v>101.0</v>
      </c>
      <c r="I1327" s="87">
        <v>0.0</v>
      </c>
      <c r="J1327" s="87">
        <v>0.0</v>
      </c>
      <c r="K1327" s="87">
        <v>0.0</v>
      </c>
      <c r="L1327" s="87">
        <v>0.0</v>
      </c>
      <c r="M1327" s="87">
        <v>0.0</v>
      </c>
      <c r="N1327" s="85"/>
      <c r="O1327" s="91"/>
      <c r="P1327" s="91"/>
      <c r="Q1327" s="91"/>
      <c r="R1327" s="91"/>
      <c r="S1327" s="91"/>
      <c r="T1327" s="91"/>
      <c r="U1327" s="91"/>
      <c r="V1327" s="91"/>
      <c r="W1327" s="91"/>
      <c r="X1327" s="91"/>
      <c r="Y1327" s="91"/>
      <c r="Z1327" s="88" t="s">
        <v>1396</v>
      </c>
    </row>
    <row r="1328" hidden="1">
      <c r="A1328" s="90" t="s">
        <v>3239</v>
      </c>
      <c r="B1328" s="90" t="s">
        <v>3240</v>
      </c>
      <c r="C1328" s="90" t="s">
        <v>761</v>
      </c>
      <c r="D1328" s="90" t="s">
        <v>3232</v>
      </c>
      <c r="E1328" s="89">
        <v>46300.0</v>
      </c>
      <c r="F1328" s="87">
        <v>4.0</v>
      </c>
      <c r="G1328" s="87">
        <v>0.0</v>
      </c>
      <c r="H1328" s="87">
        <v>5662.0</v>
      </c>
      <c r="I1328" s="87">
        <v>0.0</v>
      </c>
      <c r="J1328" s="87">
        <v>81.49794</v>
      </c>
      <c r="K1328" s="87">
        <v>81.65739</v>
      </c>
      <c r="L1328" s="87">
        <v>80.83187</v>
      </c>
      <c r="M1328" s="87">
        <v>54.52994</v>
      </c>
      <c r="N1328" s="87">
        <v>0.667789</v>
      </c>
      <c r="O1328" s="87">
        <v>4.108301</v>
      </c>
      <c r="P1328" s="87">
        <v>4.108301</v>
      </c>
      <c r="Q1328" s="87">
        <v>11.38895</v>
      </c>
      <c r="R1328" s="87">
        <v>11.6302</v>
      </c>
      <c r="S1328" s="87">
        <v>11.6302</v>
      </c>
      <c r="T1328" s="87">
        <v>4.108301</v>
      </c>
      <c r="U1328" s="87">
        <v>4.108301</v>
      </c>
      <c r="V1328" s="87">
        <v>11.38895</v>
      </c>
      <c r="W1328" s="87">
        <v>11.6302</v>
      </c>
      <c r="X1328" s="87">
        <v>11.6302</v>
      </c>
      <c r="Y1328" s="87">
        <v>20.41435</v>
      </c>
      <c r="Z1328" s="88" t="s">
        <v>1396</v>
      </c>
    </row>
    <row r="1329" hidden="1">
      <c r="A1329" s="90" t="s">
        <v>3241</v>
      </c>
      <c r="B1329" s="90" t="s">
        <v>3242</v>
      </c>
      <c r="C1329" s="90" t="s">
        <v>761</v>
      </c>
      <c r="D1329" s="90" t="s">
        <v>3232</v>
      </c>
      <c r="E1329" s="90" t="s">
        <v>1403</v>
      </c>
      <c r="F1329" s="87">
        <v>1.0</v>
      </c>
      <c r="G1329" s="87">
        <v>1.0</v>
      </c>
      <c r="H1329" s="87">
        <v>15.0</v>
      </c>
      <c r="I1329" s="87">
        <v>15.0</v>
      </c>
      <c r="J1329" s="87">
        <v>0.0</v>
      </c>
      <c r="K1329" s="87">
        <v>0.0</v>
      </c>
      <c r="L1329" s="87">
        <v>0.0</v>
      </c>
      <c r="M1329" s="87">
        <v>0.0</v>
      </c>
      <c r="N1329" s="85"/>
      <c r="O1329" s="87">
        <v>0.0</v>
      </c>
      <c r="P1329" s="87">
        <v>0.0</v>
      </c>
      <c r="Q1329" s="87">
        <v>0.0</v>
      </c>
      <c r="R1329" s="87">
        <v>0.0</v>
      </c>
      <c r="S1329" s="87">
        <v>0.0</v>
      </c>
      <c r="T1329" s="91"/>
      <c r="U1329" s="91"/>
      <c r="V1329" s="91"/>
      <c r="W1329" s="91"/>
      <c r="X1329" s="91"/>
      <c r="Y1329" s="87">
        <v>0.0</v>
      </c>
      <c r="Z1329" s="88" t="s">
        <v>1396</v>
      </c>
    </row>
    <row r="1330" hidden="1">
      <c r="A1330" s="90" t="s">
        <v>3230</v>
      </c>
      <c r="B1330" s="90" t="s">
        <v>3243</v>
      </c>
      <c r="C1330" s="90" t="s">
        <v>761</v>
      </c>
      <c r="D1330" s="90" t="s">
        <v>3244</v>
      </c>
      <c r="E1330" s="90" t="s">
        <v>1426</v>
      </c>
      <c r="F1330" s="87">
        <v>2.0</v>
      </c>
      <c r="G1330" s="87">
        <v>0.0</v>
      </c>
      <c r="H1330" s="87">
        <v>47481.0</v>
      </c>
      <c r="I1330" s="87">
        <v>0.0</v>
      </c>
      <c r="J1330" s="87">
        <v>596.2954</v>
      </c>
      <c r="K1330" s="87">
        <v>662.5013</v>
      </c>
      <c r="L1330" s="87">
        <v>625.9795</v>
      </c>
      <c r="M1330" s="87">
        <v>355.2223</v>
      </c>
      <c r="N1330" s="87">
        <v>0.536184</v>
      </c>
      <c r="O1330" s="87">
        <v>307.279</v>
      </c>
      <c r="P1330" s="87">
        <v>307.279</v>
      </c>
      <c r="Q1330" s="87">
        <v>307.279</v>
      </c>
      <c r="R1330" s="87">
        <v>355.2223</v>
      </c>
      <c r="S1330" s="87">
        <v>355.2223</v>
      </c>
      <c r="T1330" s="87">
        <v>307.279</v>
      </c>
      <c r="U1330" s="87">
        <v>307.279</v>
      </c>
      <c r="V1330" s="87">
        <v>307.279</v>
      </c>
      <c r="W1330" s="87">
        <v>355.2223</v>
      </c>
      <c r="X1330" s="87">
        <v>355.2223</v>
      </c>
      <c r="Y1330" s="87">
        <v>331.2506</v>
      </c>
      <c r="Z1330" s="88" t="s">
        <v>1396</v>
      </c>
    </row>
    <row r="1331" hidden="1">
      <c r="A1331" s="90" t="s">
        <v>3239</v>
      </c>
      <c r="B1331" s="90" t="s">
        <v>3246</v>
      </c>
      <c r="C1331" s="90" t="s">
        <v>761</v>
      </c>
      <c r="D1331" s="90" t="s">
        <v>3244</v>
      </c>
      <c r="E1331" s="89">
        <v>46300.0</v>
      </c>
      <c r="F1331" s="87">
        <v>1.0</v>
      </c>
      <c r="G1331" s="87">
        <v>0.0</v>
      </c>
      <c r="H1331" s="87">
        <v>5105.0</v>
      </c>
      <c r="I1331" s="87">
        <v>0.0</v>
      </c>
      <c r="J1331" s="87">
        <v>99.97992</v>
      </c>
      <c r="K1331" s="87">
        <v>99.73365</v>
      </c>
      <c r="L1331" s="87">
        <v>71.9987</v>
      </c>
      <c r="M1331" s="87">
        <v>99.73365</v>
      </c>
      <c r="N1331" s="87">
        <v>1.0</v>
      </c>
      <c r="O1331" s="87">
        <v>99.73365</v>
      </c>
      <c r="P1331" s="87">
        <v>99.73365</v>
      </c>
      <c r="Q1331" s="87">
        <v>99.73365</v>
      </c>
      <c r="R1331" s="87">
        <v>99.73365</v>
      </c>
      <c r="S1331" s="87">
        <v>99.73365</v>
      </c>
      <c r="T1331" s="87">
        <v>99.73365</v>
      </c>
      <c r="U1331" s="87">
        <v>99.73365</v>
      </c>
      <c r="V1331" s="87">
        <v>99.73365</v>
      </c>
      <c r="W1331" s="87">
        <v>99.73365</v>
      </c>
      <c r="X1331" s="87">
        <v>99.73365</v>
      </c>
      <c r="Y1331" s="87">
        <v>99.73365</v>
      </c>
      <c r="Z1331" s="88" t="s">
        <v>1396</v>
      </c>
    </row>
    <row r="1332" hidden="1">
      <c r="A1332" s="90" t="s">
        <v>3230</v>
      </c>
      <c r="B1332" s="90" t="s">
        <v>3248</v>
      </c>
      <c r="C1332" s="90" t="s">
        <v>761</v>
      </c>
      <c r="D1332" s="90" t="s">
        <v>3244</v>
      </c>
      <c r="E1332" s="90" t="s">
        <v>1426</v>
      </c>
      <c r="F1332" s="87">
        <v>2.0</v>
      </c>
      <c r="G1332" s="87">
        <v>0.0</v>
      </c>
      <c r="H1332" s="87">
        <v>47481.0</v>
      </c>
      <c r="I1332" s="87">
        <v>0.0</v>
      </c>
      <c r="J1332" s="87">
        <v>0.0</v>
      </c>
      <c r="K1332" s="87">
        <v>0.0</v>
      </c>
      <c r="L1332" s="87">
        <v>0.0</v>
      </c>
      <c r="M1332" s="87">
        <v>0.0</v>
      </c>
      <c r="N1332" s="85"/>
      <c r="O1332" s="91"/>
      <c r="P1332" s="91"/>
      <c r="Q1332" s="91"/>
      <c r="R1332" s="91"/>
      <c r="S1332" s="91"/>
      <c r="T1332" s="91"/>
      <c r="U1332" s="91"/>
      <c r="V1332" s="91"/>
      <c r="W1332" s="91"/>
      <c r="X1332" s="91"/>
      <c r="Y1332" s="91"/>
      <c r="Z1332" s="88" t="s">
        <v>1396</v>
      </c>
    </row>
    <row r="1333" hidden="1">
      <c r="A1333" s="90" t="s">
        <v>3239</v>
      </c>
      <c r="B1333" s="90" t="s">
        <v>3398</v>
      </c>
      <c r="C1333" s="90" t="s">
        <v>761</v>
      </c>
      <c r="D1333" s="90" t="s">
        <v>3244</v>
      </c>
      <c r="E1333" s="89">
        <v>46300.0</v>
      </c>
      <c r="F1333" s="87">
        <v>1.0</v>
      </c>
      <c r="G1333" s="87">
        <v>0.0</v>
      </c>
      <c r="H1333" s="87">
        <v>5105.0</v>
      </c>
      <c r="I1333" s="87">
        <v>0.0</v>
      </c>
      <c r="J1333" s="87">
        <v>0.0</v>
      </c>
      <c r="K1333" s="87">
        <v>0.0</v>
      </c>
      <c r="L1333" s="87">
        <v>0.0</v>
      </c>
      <c r="M1333" s="87">
        <v>0.0</v>
      </c>
      <c r="N1333" s="85"/>
      <c r="O1333" s="91"/>
      <c r="P1333" s="91"/>
      <c r="Q1333" s="91"/>
      <c r="R1333" s="91"/>
      <c r="S1333" s="91"/>
      <c r="T1333" s="91"/>
      <c r="U1333" s="91"/>
      <c r="V1333" s="91"/>
      <c r="W1333" s="91"/>
      <c r="X1333" s="91"/>
      <c r="Y1333" s="91"/>
      <c r="Z1333" s="88" t="s">
        <v>1396</v>
      </c>
    </row>
    <row r="1334" hidden="1">
      <c r="A1334" s="90" t="s">
        <v>3230</v>
      </c>
      <c r="B1334" s="90" t="s">
        <v>3251</v>
      </c>
      <c r="C1334" s="90" t="s">
        <v>761</v>
      </c>
      <c r="D1334" s="90" t="s">
        <v>3252</v>
      </c>
      <c r="E1334" s="90" t="s">
        <v>1426</v>
      </c>
      <c r="F1334" s="87">
        <v>1.0</v>
      </c>
      <c r="G1334" s="87">
        <v>0.0</v>
      </c>
      <c r="H1334" s="87">
        <v>480.0</v>
      </c>
      <c r="I1334" s="87">
        <v>0.0</v>
      </c>
      <c r="J1334" s="87">
        <v>17.76626</v>
      </c>
      <c r="K1334" s="87">
        <v>17.60654</v>
      </c>
      <c r="L1334" s="87">
        <v>13.88988</v>
      </c>
      <c r="M1334" s="87">
        <v>17.60654</v>
      </c>
      <c r="N1334" s="87">
        <v>1.0</v>
      </c>
      <c r="O1334" s="87">
        <v>17.60654</v>
      </c>
      <c r="P1334" s="87">
        <v>17.60654</v>
      </c>
      <c r="Q1334" s="87">
        <v>17.60654</v>
      </c>
      <c r="R1334" s="87">
        <v>17.60654</v>
      </c>
      <c r="S1334" s="87">
        <v>17.60654</v>
      </c>
      <c r="T1334" s="87">
        <v>17.60654</v>
      </c>
      <c r="U1334" s="87">
        <v>17.60654</v>
      </c>
      <c r="V1334" s="87">
        <v>17.60654</v>
      </c>
      <c r="W1334" s="87">
        <v>17.60654</v>
      </c>
      <c r="X1334" s="87">
        <v>17.60654</v>
      </c>
      <c r="Y1334" s="87">
        <v>17.60654</v>
      </c>
      <c r="Z1334" s="88" t="s">
        <v>1396</v>
      </c>
    </row>
    <row r="1335" hidden="1">
      <c r="A1335" s="90" t="s">
        <v>3233</v>
      </c>
      <c r="B1335" s="90" t="s">
        <v>3253</v>
      </c>
      <c r="C1335" s="90" t="s">
        <v>761</v>
      </c>
      <c r="D1335" s="90" t="s">
        <v>3252</v>
      </c>
      <c r="E1335" s="86">
        <v>46310.0</v>
      </c>
      <c r="F1335" s="87">
        <v>2.0</v>
      </c>
      <c r="G1335" s="87">
        <v>0.0</v>
      </c>
      <c r="H1335" s="87">
        <v>2587.0</v>
      </c>
      <c r="I1335" s="87">
        <v>0.0</v>
      </c>
      <c r="J1335" s="87">
        <v>48.86255</v>
      </c>
      <c r="K1335" s="87">
        <v>52.22126</v>
      </c>
      <c r="L1335" s="87">
        <v>53.07298</v>
      </c>
      <c r="M1335" s="87">
        <v>29.32609</v>
      </c>
      <c r="N1335" s="87">
        <v>0.561574</v>
      </c>
      <c r="O1335" s="87">
        <v>22.89518</v>
      </c>
      <c r="P1335" s="87">
        <v>22.89518</v>
      </c>
      <c r="Q1335" s="87">
        <v>22.89518</v>
      </c>
      <c r="R1335" s="87">
        <v>29.32609</v>
      </c>
      <c r="S1335" s="87">
        <v>29.32609</v>
      </c>
      <c r="T1335" s="87">
        <v>22.89518</v>
      </c>
      <c r="U1335" s="87">
        <v>22.89518</v>
      </c>
      <c r="V1335" s="87">
        <v>22.89518</v>
      </c>
      <c r="W1335" s="87">
        <v>29.32609</v>
      </c>
      <c r="X1335" s="87">
        <v>29.32609</v>
      </c>
      <c r="Y1335" s="87">
        <v>26.11063</v>
      </c>
      <c r="Z1335" s="88" t="s">
        <v>1396</v>
      </c>
    </row>
    <row r="1336" hidden="1">
      <c r="A1336" s="90" t="s">
        <v>3235</v>
      </c>
      <c r="B1336" s="90" t="s">
        <v>3254</v>
      </c>
      <c r="C1336" s="90" t="s">
        <v>761</v>
      </c>
      <c r="D1336" s="90" t="s">
        <v>3252</v>
      </c>
      <c r="E1336" s="90" t="s">
        <v>1413</v>
      </c>
      <c r="F1336" s="87">
        <v>2.0</v>
      </c>
      <c r="G1336" s="87">
        <v>0.0</v>
      </c>
      <c r="H1336" s="87">
        <v>2327.0</v>
      </c>
      <c r="I1336" s="87">
        <v>0.0</v>
      </c>
      <c r="J1336" s="87">
        <v>217.7644</v>
      </c>
      <c r="K1336" s="87">
        <v>138.079</v>
      </c>
      <c r="L1336" s="87">
        <v>128.6306</v>
      </c>
      <c r="M1336" s="87">
        <v>102.7817</v>
      </c>
      <c r="N1336" s="87">
        <v>0.744369</v>
      </c>
      <c r="O1336" s="87">
        <v>35.29727</v>
      </c>
      <c r="P1336" s="87">
        <v>35.29727</v>
      </c>
      <c r="Q1336" s="87">
        <v>35.29727</v>
      </c>
      <c r="R1336" s="87">
        <v>102.7817</v>
      </c>
      <c r="S1336" s="87">
        <v>102.7817</v>
      </c>
      <c r="T1336" s="87">
        <v>35.29727</v>
      </c>
      <c r="U1336" s="87">
        <v>35.29727</v>
      </c>
      <c r="V1336" s="87">
        <v>35.29727</v>
      </c>
      <c r="W1336" s="87">
        <v>102.7817</v>
      </c>
      <c r="X1336" s="87">
        <v>102.7817</v>
      </c>
      <c r="Y1336" s="87">
        <v>69.03948</v>
      </c>
      <c r="Z1336" s="88" t="s">
        <v>1396</v>
      </c>
    </row>
    <row r="1337" hidden="1">
      <c r="A1337" s="90" t="s">
        <v>3255</v>
      </c>
      <c r="B1337" s="90" t="s">
        <v>3256</v>
      </c>
      <c r="C1337" s="90" t="s">
        <v>761</v>
      </c>
      <c r="D1337" s="90" t="s">
        <v>3252</v>
      </c>
      <c r="E1337" s="90" t="s">
        <v>1398</v>
      </c>
      <c r="F1337" s="87">
        <v>3.0</v>
      </c>
      <c r="G1337" s="87">
        <v>0.0</v>
      </c>
      <c r="H1337" s="87">
        <v>2406.0</v>
      </c>
      <c r="I1337" s="87">
        <v>0.0</v>
      </c>
      <c r="J1337" s="87">
        <v>32.12439</v>
      </c>
      <c r="K1337" s="87">
        <v>30.99694</v>
      </c>
      <c r="L1337" s="87">
        <v>28.78857</v>
      </c>
      <c r="M1337" s="87">
        <v>23.81353</v>
      </c>
      <c r="N1337" s="87">
        <v>0.768254</v>
      </c>
      <c r="O1337" s="87">
        <v>7.183408</v>
      </c>
      <c r="P1337" s="87">
        <v>7.183408</v>
      </c>
      <c r="Q1337" s="87">
        <v>7.183408</v>
      </c>
      <c r="R1337" s="87">
        <v>23.81353</v>
      </c>
      <c r="S1337" s="87">
        <v>23.81353</v>
      </c>
      <c r="T1337" s="87">
        <v>7.183408</v>
      </c>
      <c r="U1337" s="87">
        <v>7.183408</v>
      </c>
      <c r="V1337" s="87">
        <v>7.183408</v>
      </c>
      <c r="W1337" s="87">
        <v>23.81353</v>
      </c>
      <c r="X1337" s="87">
        <v>23.81353</v>
      </c>
      <c r="Y1337" s="87">
        <v>15.49847</v>
      </c>
      <c r="Z1337" s="88" t="s">
        <v>1396</v>
      </c>
    </row>
    <row r="1338" hidden="1">
      <c r="A1338" s="90" t="s">
        <v>3237</v>
      </c>
      <c r="B1338" s="90" t="s">
        <v>3257</v>
      </c>
      <c r="C1338" s="90" t="s">
        <v>761</v>
      </c>
      <c r="D1338" s="90" t="s">
        <v>3252</v>
      </c>
      <c r="E1338" s="90" t="s">
        <v>1400</v>
      </c>
      <c r="F1338" s="87">
        <v>11.0</v>
      </c>
      <c r="G1338" s="87">
        <v>0.0</v>
      </c>
      <c r="H1338" s="87">
        <v>26861.0</v>
      </c>
      <c r="I1338" s="87">
        <v>0.0</v>
      </c>
      <c r="J1338" s="87">
        <v>498.701</v>
      </c>
      <c r="K1338" s="87">
        <v>502.0491</v>
      </c>
      <c r="L1338" s="87">
        <v>496.6345</v>
      </c>
      <c r="M1338" s="87">
        <v>267.2507</v>
      </c>
      <c r="N1338" s="87">
        <v>0.53232</v>
      </c>
      <c r="O1338" s="87">
        <v>9.730296</v>
      </c>
      <c r="P1338" s="87">
        <v>11.98691</v>
      </c>
      <c r="Q1338" s="87">
        <v>20.86488</v>
      </c>
      <c r="R1338" s="87">
        <v>31.59551</v>
      </c>
      <c r="S1338" s="87">
        <v>55.69951</v>
      </c>
      <c r="T1338" s="87">
        <v>11.98691</v>
      </c>
      <c r="U1338" s="87">
        <v>20.86488</v>
      </c>
      <c r="V1338" s="87">
        <v>20.8959</v>
      </c>
      <c r="W1338" s="87">
        <v>31.59551</v>
      </c>
      <c r="X1338" s="87">
        <v>55.69951</v>
      </c>
      <c r="Y1338" s="87">
        <v>41.83743</v>
      </c>
      <c r="Z1338" s="88" t="s">
        <v>1396</v>
      </c>
    </row>
    <row r="1339" hidden="1">
      <c r="A1339" s="90" t="s">
        <v>3239</v>
      </c>
      <c r="B1339" s="90" t="s">
        <v>3258</v>
      </c>
      <c r="C1339" s="90" t="s">
        <v>761</v>
      </c>
      <c r="D1339" s="90" t="s">
        <v>3252</v>
      </c>
      <c r="E1339" s="89">
        <v>46300.0</v>
      </c>
      <c r="F1339" s="87">
        <v>3.0</v>
      </c>
      <c r="G1339" s="87">
        <v>0.0</v>
      </c>
      <c r="H1339" s="87">
        <v>9034.0</v>
      </c>
      <c r="I1339" s="87">
        <v>0.0</v>
      </c>
      <c r="J1339" s="87">
        <v>131.7786</v>
      </c>
      <c r="K1339" s="87">
        <v>134.4739</v>
      </c>
      <c r="L1339" s="87">
        <v>143.2185</v>
      </c>
      <c r="M1339" s="87">
        <v>104.2271</v>
      </c>
      <c r="N1339" s="87">
        <v>0.775073</v>
      </c>
      <c r="O1339" s="87">
        <v>10.36534</v>
      </c>
      <c r="P1339" s="87">
        <v>10.36534</v>
      </c>
      <c r="Q1339" s="87">
        <v>10.36534</v>
      </c>
      <c r="R1339" s="87">
        <v>19.88144</v>
      </c>
      <c r="S1339" s="87">
        <v>104.2271</v>
      </c>
      <c r="T1339" s="87">
        <v>10.36534</v>
      </c>
      <c r="U1339" s="87">
        <v>10.36534</v>
      </c>
      <c r="V1339" s="87">
        <v>10.36534</v>
      </c>
      <c r="W1339" s="87">
        <v>19.88144</v>
      </c>
      <c r="X1339" s="87">
        <v>104.2271</v>
      </c>
      <c r="Y1339" s="87">
        <v>44.82464</v>
      </c>
      <c r="Z1339" s="88" t="s">
        <v>1396</v>
      </c>
    </row>
    <row r="1340" hidden="1">
      <c r="A1340" s="90" t="s">
        <v>3241</v>
      </c>
      <c r="B1340" s="90" t="s">
        <v>3259</v>
      </c>
      <c r="C1340" s="90" t="s">
        <v>761</v>
      </c>
      <c r="D1340" s="90" t="s">
        <v>3252</v>
      </c>
      <c r="E1340" s="90" t="s">
        <v>1403</v>
      </c>
      <c r="F1340" s="87">
        <v>2.0</v>
      </c>
      <c r="G1340" s="87">
        <v>2.0</v>
      </c>
      <c r="H1340" s="87">
        <v>35.0</v>
      </c>
      <c r="I1340" s="87">
        <v>35.0</v>
      </c>
      <c r="J1340" s="87">
        <v>0.0</v>
      </c>
      <c r="K1340" s="87">
        <v>0.0</v>
      </c>
      <c r="L1340" s="87">
        <v>0.0</v>
      </c>
      <c r="M1340" s="87">
        <v>0.0</v>
      </c>
      <c r="N1340" s="85"/>
      <c r="O1340" s="87">
        <v>0.0</v>
      </c>
      <c r="P1340" s="87">
        <v>0.0</v>
      </c>
      <c r="Q1340" s="87">
        <v>0.0</v>
      </c>
      <c r="R1340" s="87">
        <v>0.0</v>
      </c>
      <c r="S1340" s="87">
        <v>0.0</v>
      </c>
      <c r="T1340" s="91"/>
      <c r="U1340" s="91"/>
      <c r="V1340" s="91"/>
      <c r="W1340" s="91"/>
      <c r="X1340" s="91"/>
      <c r="Y1340" s="87">
        <v>0.0</v>
      </c>
      <c r="Z1340" s="88" t="s">
        <v>1396</v>
      </c>
    </row>
    <row r="1341" hidden="1">
      <c r="A1341" s="90" t="s">
        <v>3230</v>
      </c>
      <c r="B1341" s="90" t="s">
        <v>3260</v>
      </c>
      <c r="C1341" s="90" t="s">
        <v>761</v>
      </c>
      <c r="D1341" s="90" t="s">
        <v>762</v>
      </c>
      <c r="E1341" s="90" t="s">
        <v>1426</v>
      </c>
      <c r="F1341" s="87">
        <v>2.0</v>
      </c>
      <c r="G1341" s="87">
        <v>0.0</v>
      </c>
      <c r="H1341" s="87">
        <v>380.0</v>
      </c>
      <c r="I1341" s="87">
        <v>0.0</v>
      </c>
      <c r="J1341" s="87">
        <v>0.0</v>
      </c>
      <c r="K1341" s="87">
        <v>0.0</v>
      </c>
      <c r="L1341" s="87">
        <v>0.0</v>
      </c>
      <c r="M1341" s="87">
        <v>0.0</v>
      </c>
      <c r="N1341" s="85"/>
      <c r="O1341" s="91"/>
      <c r="P1341" s="91"/>
      <c r="Q1341" s="91"/>
      <c r="R1341" s="91"/>
      <c r="S1341" s="91"/>
      <c r="T1341" s="91"/>
      <c r="U1341" s="91"/>
      <c r="V1341" s="91"/>
      <c r="W1341" s="91"/>
      <c r="X1341" s="91"/>
      <c r="Y1341" s="91"/>
      <c r="Z1341" s="88" t="s">
        <v>1396</v>
      </c>
    </row>
    <row r="1342" hidden="1">
      <c r="A1342" s="90" t="s">
        <v>3233</v>
      </c>
      <c r="B1342" s="90" t="s">
        <v>3261</v>
      </c>
      <c r="C1342" s="90" t="s">
        <v>761</v>
      </c>
      <c r="D1342" s="90" t="s">
        <v>762</v>
      </c>
      <c r="E1342" s="86">
        <v>46310.0</v>
      </c>
      <c r="F1342" s="87">
        <v>2.0</v>
      </c>
      <c r="G1342" s="87">
        <v>0.0</v>
      </c>
      <c r="H1342" s="87">
        <v>1949.0</v>
      </c>
      <c r="I1342" s="87">
        <v>0.0</v>
      </c>
      <c r="J1342" s="87">
        <v>104.3182</v>
      </c>
      <c r="K1342" s="87">
        <v>115.4937</v>
      </c>
      <c r="L1342" s="87">
        <v>112.3428</v>
      </c>
      <c r="M1342" s="87">
        <v>101.5191</v>
      </c>
      <c r="N1342" s="87">
        <v>0.879001</v>
      </c>
      <c r="O1342" s="87">
        <v>13.97466</v>
      </c>
      <c r="P1342" s="87">
        <v>13.97466</v>
      </c>
      <c r="Q1342" s="87">
        <v>13.97466</v>
      </c>
      <c r="R1342" s="87">
        <v>101.5191</v>
      </c>
      <c r="S1342" s="87">
        <v>101.5191</v>
      </c>
      <c r="T1342" s="87">
        <v>13.97466</v>
      </c>
      <c r="U1342" s="87">
        <v>13.97466</v>
      </c>
      <c r="V1342" s="87">
        <v>13.97466</v>
      </c>
      <c r="W1342" s="87">
        <v>101.5191</v>
      </c>
      <c r="X1342" s="87">
        <v>101.5191</v>
      </c>
      <c r="Y1342" s="87">
        <v>57.74686</v>
      </c>
      <c r="Z1342" s="88" t="s">
        <v>1396</v>
      </c>
    </row>
    <row r="1343" hidden="1">
      <c r="A1343" s="90" t="s">
        <v>3235</v>
      </c>
      <c r="B1343" s="90" t="s">
        <v>3262</v>
      </c>
      <c r="C1343" s="90" t="s">
        <v>761</v>
      </c>
      <c r="D1343" s="90" t="s">
        <v>762</v>
      </c>
      <c r="E1343" s="90" t="s">
        <v>1413</v>
      </c>
      <c r="F1343" s="87">
        <v>6.0</v>
      </c>
      <c r="G1343" s="87">
        <v>0.0</v>
      </c>
      <c r="H1343" s="87">
        <v>19355.0</v>
      </c>
      <c r="I1343" s="87">
        <v>0.0</v>
      </c>
      <c r="J1343" s="87">
        <v>317.6892</v>
      </c>
      <c r="K1343" s="87">
        <v>314.5743</v>
      </c>
      <c r="L1343" s="87">
        <v>304.9735</v>
      </c>
      <c r="M1343" s="87">
        <v>157.4736</v>
      </c>
      <c r="N1343" s="87">
        <v>0.500593</v>
      </c>
      <c r="O1343" s="87">
        <v>9.264987</v>
      </c>
      <c r="P1343" s="87">
        <v>30.76404</v>
      </c>
      <c r="Q1343" s="87">
        <v>30.76404</v>
      </c>
      <c r="R1343" s="87">
        <v>52.87153</v>
      </c>
      <c r="S1343" s="87">
        <v>64.20009</v>
      </c>
      <c r="T1343" s="87">
        <v>9.264987</v>
      </c>
      <c r="U1343" s="87">
        <v>30.76404</v>
      </c>
      <c r="V1343" s="87">
        <v>30.76404</v>
      </c>
      <c r="W1343" s="87">
        <v>52.87153</v>
      </c>
      <c r="X1343" s="87">
        <v>64.20009</v>
      </c>
      <c r="Y1343" s="87">
        <v>62.91485</v>
      </c>
      <c r="Z1343" s="88" t="s">
        <v>1396</v>
      </c>
    </row>
    <row r="1344" hidden="1">
      <c r="A1344" s="90" t="s">
        <v>3255</v>
      </c>
      <c r="B1344" s="90" t="s">
        <v>3263</v>
      </c>
      <c r="C1344" s="90" t="s">
        <v>761</v>
      </c>
      <c r="D1344" s="90" t="s">
        <v>762</v>
      </c>
      <c r="E1344" s="90" t="s">
        <v>1398</v>
      </c>
      <c r="F1344" s="87">
        <v>3.0</v>
      </c>
      <c r="G1344" s="87">
        <v>0.0</v>
      </c>
      <c r="H1344" s="87">
        <v>2142.0</v>
      </c>
      <c r="I1344" s="87">
        <v>0.0</v>
      </c>
      <c r="J1344" s="87">
        <v>27.86116</v>
      </c>
      <c r="K1344" s="87">
        <v>28.45933</v>
      </c>
      <c r="L1344" s="87">
        <v>30.76126</v>
      </c>
      <c r="M1344" s="87">
        <v>24.50331</v>
      </c>
      <c r="N1344" s="87">
        <v>0.860994</v>
      </c>
      <c r="O1344" s="87">
        <v>3.956025</v>
      </c>
      <c r="P1344" s="87">
        <v>3.956025</v>
      </c>
      <c r="Q1344" s="87">
        <v>3.956025</v>
      </c>
      <c r="R1344" s="87">
        <v>24.50331</v>
      </c>
      <c r="S1344" s="87">
        <v>24.50331</v>
      </c>
      <c r="T1344" s="87">
        <v>3.956025</v>
      </c>
      <c r="U1344" s="87">
        <v>3.956025</v>
      </c>
      <c r="V1344" s="87">
        <v>3.956025</v>
      </c>
      <c r="W1344" s="87">
        <v>24.50331</v>
      </c>
      <c r="X1344" s="87">
        <v>24.50331</v>
      </c>
      <c r="Y1344" s="87">
        <v>14.22967</v>
      </c>
      <c r="Z1344" s="88" t="s">
        <v>1396</v>
      </c>
    </row>
    <row r="1345" hidden="1">
      <c r="A1345" s="90" t="s">
        <v>3237</v>
      </c>
      <c r="B1345" s="90" t="s">
        <v>3264</v>
      </c>
      <c r="C1345" s="90" t="s">
        <v>761</v>
      </c>
      <c r="D1345" s="90" t="s">
        <v>762</v>
      </c>
      <c r="E1345" s="90" t="s">
        <v>1400</v>
      </c>
      <c r="F1345" s="87">
        <v>8.0</v>
      </c>
      <c r="G1345" s="87">
        <v>0.0</v>
      </c>
      <c r="H1345" s="87">
        <v>16599.0</v>
      </c>
      <c r="I1345" s="87">
        <v>0.0</v>
      </c>
      <c r="J1345" s="87">
        <v>272.088</v>
      </c>
      <c r="K1345" s="87">
        <v>263.871</v>
      </c>
      <c r="L1345" s="87">
        <v>265.0708</v>
      </c>
      <c r="M1345" s="87">
        <v>176.1023</v>
      </c>
      <c r="N1345" s="87">
        <v>0.66738</v>
      </c>
      <c r="O1345" s="87">
        <v>4.390429</v>
      </c>
      <c r="P1345" s="87">
        <v>18.70844</v>
      </c>
      <c r="Q1345" s="87">
        <v>18.70844</v>
      </c>
      <c r="R1345" s="87">
        <v>41.19721</v>
      </c>
      <c r="S1345" s="87">
        <v>60.72316</v>
      </c>
      <c r="T1345" s="87">
        <v>4.390429</v>
      </c>
      <c r="U1345" s="87">
        <v>18.70844</v>
      </c>
      <c r="V1345" s="87">
        <v>18.70844</v>
      </c>
      <c r="W1345" s="87">
        <v>41.19721</v>
      </c>
      <c r="X1345" s="87">
        <v>60.72316</v>
      </c>
      <c r="Y1345" s="87">
        <v>43.97851</v>
      </c>
      <c r="Z1345" s="88" t="s">
        <v>1396</v>
      </c>
    </row>
    <row r="1346" hidden="1">
      <c r="A1346" s="90" t="s">
        <v>3239</v>
      </c>
      <c r="B1346" s="90" t="s">
        <v>3265</v>
      </c>
      <c r="C1346" s="90" t="s">
        <v>761</v>
      </c>
      <c r="D1346" s="90" t="s">
        <v>762</v>
      </c>
      <c r="E1346" s="89">
        <v>46300.0</v>
      </c>
      <c r="F1346" s="87">
        <v>19.0</v>
      </c>
      <c r="G1346" s="87">
        <v>0.0</v>
      </c>
      <c r="H1346" s="87">
        <v>25674.0</v>
      </c>
      <c r="I1346" s="87">
        <v>0.0</v>
      </c>
      <c r="J1346" s="87">
        <v>496.6738</v>
      </c>
      <c r="K1346" s="87">
        <v>459.2209</v>
      </c>
      <c r="L1346" s="87">
        <v>453.6018</v>
      </c>
      <c r="M1346" s="87">
        <v>218.4597</v>
      </c>
      <c r="N1346" s="87">
        <v>0.475718</v>
      </c>
      <c r="O1346" s="87">
        <v>5.400983</v>
      </c>
      <c r="P1346" s="87">
        <v>8.737999</v>
      </c>
      <c r="Q1346" s="87">
        <v>10.42958</v>
      </c>
      <c r="R1346" s="87">
        <v>24.58288</v>
      </c>
      <c r="S1346" s="87">
        <v>38.04854</v>
      </c>
      <c r="T1346" s="87">
        <v>5.400983</v>
      </c>
      <c r="U1346" s="87">
        <v>8.737999</v>
      </c>
      <c r="V1346" s="87">
        <v>10.42958</v>
      </c>
      <c r="W1346" s="87">
        <v>24.58288</v>
      </c>
      <c r="X1346" s="87">
        <v>38.04854</v>
      </c>
      <c r="Y1346" s="87">
        <v>27.01299</v>
      </c>
      <c r="Z1346" s="88" t="s">
        <v>1396</v>
      </c>
    </row>
    <row r="1347" hidden="1">
      <c r="A1347" s="90" t="s">
        <v>3241</v>
      </c>
      <c r="B1347" s="90" t="s">
        <v>3266</v>
      </c>
      <c r="C1347" s="90" t="s">
        <v>761</v>
      </c>
      <c r="D1347" s="90" t="s">
        <v>762</v>
      </c>
      <c r="E1347" s="90" t="s">
        <v>1403</v>
      </c>
      <c r="F1347" s="87">
        <v>3.0</v>
      </c>
      <c r="G1347" s="87">
        <v>3.0</v>
      </c>
      <c r="H1347" s="87">
        <v>96.0</v>
      </c>
      <c r="I1347" s="87">
        <v>96.0</v>
      </c>
      <c r="J1347" s="87">
        <v>0.0</v>
      </c>
      <c r="K1347" s="87">
        <v>0.0</v>
      </c>
      <c r="L1347" s="87">
        <v>0.0</v>
      </c>
      <c r="M1347" s="87">
        <v>0.0</v>
      </c>
      <c r="N1347" s="85"/>
      <c r="O1347" s="87">
        <v>0.0</v>
      </c>
      <c r="P1347" s="87">
        <v>0.0</v>
      </c>
      <c r="Q1347" s="87">
        <v>0.0</v>
      </c>
      <c r="R1347" s="87">
        <v>0.0</v>
      </c>
      <c r="S1347" s="87">
        <v>0.0</v>
      </c>
      <c r="T1347" s="91"/>
      <c r="U1347" s="91"/>
      <c r="V1347" s="91"/>
      <c r="W1347" s="91"/>
      <c r="X1347" s="91"/>
      <c r="Y1347" s="87">
        <v>0.0</v>
      </c>
      <c r="Z1347" s="88" t="s">
        <v>1396</v>
      </c>
    </row>
    <row r="1348" hidden="1">
      <c r="A1348" s="90" t="s">
        <v>3230</v>
      </c>
      <c r="B1348" s="90" t="s">
        <v>3267</v>
      </c>
      <c r="C1348" s="90" t="s">
        <v>761</v>
      </c>
      <c r="D1348" s="90" t="s">
        <v>3268</v>
      </c>
      <c r="E1348" s="90" t="s">
        <v>1426</v>
      </c>
      <c r="F1348" s="87">
        <v>4.0</v>
      </c>
      <c r="G1348" s="87">
        <v>0.0</v>
      </c>
      <c r="H1348" s="87">
        <v>21914.0</v>
      </c>
      <c r="I1348" s="87">
        <v>0.0</v>
      </c>
      <c r="J1348" s="87">
        <v>910.3201</v>
      </c>
      <c r="K1348" s="87">
        <v>947.6434</v>
      </c>
      <c r="L1348" s="87">
        <v>927.889</v>
      </c>
      <c r="M1348" s="87">
        <v>463.8127</v>
      </c>
      <c r="N1348" s="87">
        <v>0.489438</v>
      </c>
      <c r="O1348" s="87">
        <v>33.81505</v>
      </c>
      <c r="P1348" s="87">
        <v>33.81505</v>
      </c>
      <c r="Q1348" s="87">
        <v>127.3244</v>
      </c>
      <c r="R1348" s="87">
        <v>322.6912</v>
      </c>
      <c r="S1348" s="87">
        <v>322.6912</v>
      </c>
      <c r="T1348" s="87">
        <v>33.81505</v>
      </c>
      <c r="U1348" s="87">
        <v>33.81505</v>
      </c>
      <c r="V1348" s="87">
        <v>127.3244</v>
      </c>
      <c r="W1348" s="87">
        <v>322.6912</v>
      </c>
      <c r="X1348" s="87">
        <v>322.6912</v>
      </c>
      <c r="Y1348" s="87">
        <v>236.9109</v>
      </c>
      <c r="Z1348" s="88" t="s">
        <v>1396</v>
      </c>
    </row>
    <row r="1349" hidden="1">
      <c r="A1349" s="90" t="s">
        <v>3233</v>
      </c>
      <c r="B1349" s="90" t="s">
        <v>3269</v>
      </c>
      <c r="C1349" s="90" t="s">
        <v>761</v>
      </c>
      <c r="D1349" s="90" t="s">
        <v>3268</v>
      </c>
      <c r="E1349" s="86">
        <v>46310.0</v>
      </c>
      <c r="F1349" s="87">
        <v>13.0</v>
      </c>
      <c r="G1349" s="87">
        <v>1.0</v>
      </c>
      <c r="H1349" s="87">
        <v>22837.0</v>
      </c>
      <c r="I1349" s="87">
        <v>66.0</v>
      </c>
      <c r="J1349" s="87">
        <v>1060.839</v>
      </c>
      <c r="K1349" s="87">
        <v>1103.695</v>
      </c>
      <c r="L1349" s="87">
        <v>1122.434</v>
      </c>
      <c r="M1349" s="87">
        <v>629.2137</v>
      </c>
      <c r="N1349" s="87">
        <v>0.570098</v>
      </c>
      <c r="O1349" s="87">
        <v>14.05241</v>
      </c>
      <c r="P1349" s="87">
        <v>41.25082</v>
      </c>
      <c r="Q1349" s="87">
        <v>47.81342</v>
      </c>
      <c r="R1349" s="87">
        <v>70.58735</v>
      </c>
      <c r="S1349" s="87">
        <v>127.9253</v>
      </c>
      <c r="T1349" s="87">
        <v>14.05241</v>
      </c>
      <c r="U1349" s="87">
        <v>41.25082</v>
      </c>
      <c r="V1349" s="87">
        <v>47.81342</v>
      </c>
      <c r="W1349" s="87">
        <v>70.58735</v>
      </c>
      <c r="X1349" s="87">
        <v>127.9253</v>
      </c>
      <c r="Y1349" s="87">
        <v>122.6327</v>
      </c>
      <c r="Z1349" s="88" t="s">
        <v>1396</v>
      </c>
    </row>
    <row r="1350" hidden="1">
      <c r="A1350" s="90" t="s">
        <v>3235</v>
      </c>
      <c r="B1350" s="90" t="s">
        <v>3270</v>
      </c>
      <c r="C1350" s="90" t="s">
        <v>761</v>
      </c>
      <c r="D1350" s="90" t="s">
        <v>3268</v>
      </c>
      <c r="E1350" s="90" t="s">
        <v>1413</v>
      </c>
      <c r="F1350" s="87">
        <v>3.0</v>
      </c>
      <c r="G1350" s="87">
        <v>0.0</v>
      </c>
      <c r="H1350" s="87">
        <v>3373.0</v>
      </c>
      <c r="I1350" s="87">
        <v>0.0</v>
      </c>
      <c r="J1350" s="87">
        <v>120.9018</v>
      </c>
      <c r="K1350" s="87">
        <v>98.65926</v>
      </c>
      <c r="L1350" s="87">
        <v>89.8093</v>
      </c>
      <c r="M1350" s="87">
        <v>58.82233</v>
      </c>
      <c r="N1350" s="87">
        <v>0.596217</v>
      </c>
      <c r="O1350" s="87">
        <v>39.83693</v>
      </c>
      <c r="P1350" s="87">
        <v>39.83693</v>
      </c>
      <c r="Q1350" s="87">
        <v>39.83693</v>
      </c>
      <c r="R1350" s="87">
        <v>58.82233</v>
      </c>
      <c r="S1350" s="87">
        <v>58.82233</v>
      </c>
      <c r="T1350" s="87">
        <v>39.83693</v>
      </c>
      <c r="U1350" s="87">
        <v>39.83693</v>
      </c>
      <c r="V1350" s="87">
        <v>39.83693</v>
      </c>
      <c r="W1350" s="87">
        <v>58.82233</v>
      </c>
      <c r="X1350" s="87">
        <v>58.82233</v>
      </c>
      <c r="Y1350" s="87">
        <v>49.32963</v>
      </c>
      <c r="Z1350" s="88" t="s">
        <v>1396</v>
      </c>
    </row>
    <row r="1351" hidden="1">
      <c r="A1351" s="90" t="s">
        <v>3255</v>
      </c>
      <c r="B1351" s="90" t="s">
        <v>3271</v>
      </c>
      <c r="C1351" s="90" t="s">
        <v>761</v>
      </c>
      <c r="D1351" s="90" t="s">
        <v>3268</v>
      </c>
      <c r="E1351" s="90" t="s">
        <v>1398</v>
      </c>
      <c r="F1351" s="87">
        <v>1.0</v>
      </c>
      <c r="G1351" s="87">
        <v>0.0</v>
      </c>
      <c r="H1351" s="87">
        <v>1162.0</v>
      </c>
      <c r="I1351" s="87">
        <v>0.0</v>
      </c>
      <c r="J1351" s="87">
        <v>27.22104</v>
      </c>
      <c r="K1351" s="87">
        <v>27.60766</v>
      </c>
      <c r="L1351" s="87">
        <v>30.93104</v>
      </c>
      <c r="M1351" s="87">
        <v>27.60766</v>
      </c>
      <c r="N1351" s="87">
        <v>1.0</v>
      </c>
      <c r="O1351" s="87">
        <v>27.60766</v>
      </c>
      <c r="P1351" s="87">
        <v>27.60766</v>
      </c>
      <c r="Q1351" s="87">
        <v>27.60766</v>
      </c>
      <c r="R1351" s="87">
        <v>27.60766</v>
      </c>
      <c r="S1351" s="87">
        <v>27.60766</v>
      </c>
      <c r="T1351" s="87">
        <v>27.60766</v>
      </c>
      <c r="U1351" s="87">
        <v>27.60766</v>
      </c>
      <c r="V1351" s="87">
        <v>27.60766</v>
      </c>
      <c r="W1351" s="87">
        <v>27.60766</v>
      </c>
      <c r="X1351" s="87">
        <v>27.60766</v>
      </c>
      <c r="Y1351" s="87">
        <v>27.60766</v>
      </c>
      <c r="Z1351" s="88" t="s">
        <v>1396</v>
      </c>
    </row>
    <row r="1352" hidden="1">
      <c r="A1352" s="90" t="s">
        <v>3237</v>
      </c>
      <c r="B1352" s="90" t="s">
        <v>3272</v>
      </c>
      <c r="C1352" s="90" t="s">
        <v>761</v>
      </c>
      <c r="D1352" s="90" t="s">
        <v>3268</v>
      </c>
      <c r="E1352" s="90" t="s">
        <v>1400</v>
      </c>
      <c r="F1352" s="87">
        <v>6.0</v>
      </c>
      <c r="G1352" s="87">
        <v>0.0</v>
      </c>
      <c r="H1352" s="87">
        <v>6543.0</v>
      </c>
      <c r="I1352" s="87">
        <v>0.0</v>
      </c>
      <c r="J1352" s="87">
        <v>120.2634</v>
      </c>
      <c r="K1352" s="87">
        <v>116.7328</v>
      </c>
      <c r="L1352" s="87">
        <v>112.2964</v>
      </c>
      <c r="M1352" s="87">
        <v>45.36616</v>
      </c>
      <c r="N1352" s="87">
        <v>0.388632</v>
      </c>
      <c r="O1352" s="87">
        <v>3.835667</v>
      </c>
      <c r="P1352" s="87">
        <v>7.473859</v>
      </c>
      <c r="Q1352" s="87">
        <v>7.473859</v>
      </c>
      <c r="R1352" s="87">
        <v>19.4563</v>
      </c>
      <c r="S1352" s="87">
        <v>40.60086</v>
      </c>
      <c r="T1352" s="87">
        <v>3.835667</v>
      </c>
      <c r="U1352" s="87">
        <v>7.473859</v>
      </c>
      <c r="V1352" s="87">
        <v>7.473859</v>
      </c>
      <c r="W1352" s="87">
        <v>19.4563</v>
      </c>
      <c r="X1352" s="87">
        <v>40.60086</v>
      </c>
      <c r="Y1352" s="87">
        <v>23.34657</v>
      </c>
      <c r="Z1352" s="88" t="s">
        <v>1396</v>
      </c>
    </row>
    <row r="1353" hidden="1">
      <c r="A1353" s="90" t="s">
        <v>3239</v>
      </c>
      <c r="B1353" s="90" t="s">
        <v>3273</v>
      </c>
      <c r="C1353" s="90" t="s">
        <v>761</v>
      </c>
      <c r="D1353" s="90" t="s">
        <v>3268</v>
      </c>
      <c r="E1353" s="89">
        <v>46300.0</v>
      </c>
      <c r="F1353" s="87">
        <v>19.0</v>
      </c>
      <c r="G1353" s="87">
        <v>1.0</v>
      </c>
      <c r="H1353" s="87">
        <v>75753.0</v>
      </c>
      <c r="I1353" s="87">
        <v>145.0</v>
      </c>
      <c r="J1353" s="87">
        <v>6137.657</v>
      </c>
      <c r="K1353" s="87">
        <v>6537.395</v>
      </c>
      <c r="L1353" s="87">
        <v>6544.851</v>
      </c>
      <c r="M1353" s="87">
        <v>4449.635</v>
      </c>
      <c r="N1353" s="87">
        <v>0.680643</v>
      </c>
      <c r="O1353" s="87">
        <v>9.678585</v>
      </c>
      <c r="P1353" s="87">
        <v>10.96376</v>
      </c>
      <c r="Q1353" s="87">
        <v>83.90185</v>
      </c>
      <c r="R1353" s="87">
        <v>255.5487</v>
      </c>
      <c r="S1353" s="87">
        <v>581.7709</v>
      </c>
      <c r="T1353" s="87">
        <v>9.678585</v>
      </c>
      <c r="U1353" s="87">
        <v>10.96376</v>
      </c>
      <c r="V1353" s="87">
        <v>83.90185</v>
      </c>
      <c r="W1353" s="87">
        <v>255.5487</v>
      </c>
      <c r="X1353" s="87">
        <v>581.7709</v>
      </c>
      <c r="Y1353" s="87">
        <v>502.8765</v>
      </c>
      <c r="Z1353" s="88" t="s">
        <v>1396</v>
      </c>
    </row>
    <row r="1354" hidden="1">
      <c r="A1354" s="90" t="s">
        <v>3241</v>
      </c>
      <c r="B1354" s="90" t="s">
        <v>3274</v>
      </c>
      <c r="C1354" s="90" t="s">
        <v>761</v>
      </c>
      <c r="D1354" s="90" t="s">
        <v>3268</v>
      </c>
      <c r="E1354" s="90" t="s">
        <v>1403</v>
      </c>
      <c r="F1354" s="87">
        <v>25.0</v>
      </c>
      <c r="G1354" s="87">
        <v>25.0</v>
      </c>
      <c r="H1354" s="87">
        <v>8474.0</v>
      </c>
      <c r="I1354" s="87">
        <v>8474.0</v>
      </c>
      <c r="J1354" s="87">
        <v>0.0</v>
      </c>
      <c r="K1354" s="87">
        <v>0.0</v>
      </c>
      <c r="L1354" s="87">
        <v>0.0</v>
      </c>
      <c r="M1354" s="87">
        <v>0.0</v>
      </c>
      <c r="N1354" s="85"/>
      <c r="O1354" s="87">
        <v>0.0</v>
      </c>
      <c r="P1354" s="87">
        <v>0.0</v>
      </c>
      <c r="Q1354" s="87">
        <v>0.0</v>
      </c>
      <c r="R1354" s="87">
        <v>0.0</v>
      </c>
      <c r="S1354" s="87">
        <v>0.0</v>
      </c>
      <c r="T1354" s="91"/>
      <c r="U1354" s="91"/>
      <c r="V1354" s="91"/>
      <c r="W1354" s="91"/>
      <c r="X1354" s="91"/>
      <c r="Y1354" s="87">
        <v>0.0</v>
      </c>
      <c r="Z1354" s="88" t="s">
        <v>1396</v>
      </c>
    </row>
    <row r="1355" hidden="1">
      <c r="A1355" s="90" t="s">
        <v>3275</v>
      </c>
      <c r="B1355" s="90" t="s">
        <v>3277</v>
      </c>
      <c r="C1355" s="90" t="s">
        <v>3276</v>
      </c>
      <c r="D1355" s="90" t="s">
        <v>3278</v>
      </c>
      <c r="E1355" s="90" t="s">
        <v>1403</v>
      </c>
      <c r="F1355" s="87">
        <v>0.0</v>
      </c>
      <c r="G1355" s="87">
        <v>0.0</v>
      </c>
      <c r="H1355" s="87">
        <v>0.0</v>
      </c>
      <c r="I1355" s="87">
        <v>0.0</v>
      </c>
      <c r="J1355" s="87">
        <v>0.0</v>
      </c>
      <c r="K1355" s="87">
        <v>0.0</v>
      </c>
      <c r="L1355" s="87">
        <v>0.0</v>
      </c>
      <c r="M1355" s="87">
        <v>0.0</v>
      </c>
      <c r="N1355" s="85"/>
      <c r="O1355" s="87">
        <v>0.0</v>
      </c>
      <c r="P1355" s="87">
        <v>0.0</v>
      </c>
      <c r="Q1355" s="87">
        <v>0.0</v>
      </c>
      <c r="R1355" s="87">
        <v>0.0</v>
      </c>
      <c r="S1355" s="87">
        <v>0.0</v>
      </c>
      <c r="T1355" s="91"/>
      <c r="U1355" s="91"/>
      <c r="V1355" s="91"/>
      <c r="W1355" s="91"/>
      <c r="X1355" s="91"/>
      <c r="Y1355" s="87">
        <v>0.0</v>
      </c>
      <c r="Z1355" s="88" t="s">
        <v>1396</v>
      </c>
    </row>
    <row r="1356" hidden="1">
      <c r="A1356" s="90" t="s">
        <v>3281</v>
      </c>
      <c r="B1356" s="90" t="s">
        <v>3399</v>
      </c>
      <c r="C1356" s="90" t="s">
        <v>3276</v>
      </c>
      <c r="D1356" s="90" t="s">
        <v>3400</v>
      </c>
      <c r="E1356" s="90" t="s">
        <v>1400</v>
      </c>
      <c r="F1356" s="87">
        <v>4.0</v>
      </c>
      <c r="G1356" s="87">
        <v>4.0</v>
      </c>
      <c r="H1356" s="87">
        <v>4.0</v>
      </c>
      <c r="I1356" s="87">
        <v>4.0</v>
      </c>
      <c r="J1356" s="87">
        <v>0.0</v>
      </c>
      <c r="K1356" s="87">
        <v>0.0</v>
      </c>
      <c r="L1356" s="87">
        <v>0.0</v>
      </c>
      <c r="M1356" s="87">
        <v>0.0</v>
      </c>
      <c r="N1356" s="85"/>
      <c r="O1356" s="91"/>
      <c r="P1356" s="91"/>
      <c r="Q1356" s="91"/>
      <c r="R1356" s="91"/>
      <c r="S1356" s="91"/>
      <c r="T1356" s="91"/>
      <c r="U1356" s="91"/>
      <c r="V1356" s="91"/>
      <c r="W1356" s="91"/>
      <c r="X1356" s="91"/>
      <c r="Y1356" s="91"/>
      <c r="Z1356" s="88" t="s">
        <v>1396</v>
      </c>
    </row>
    <row r="1357" hidden="1">
      <c r="A1357" s="90" t="s">
        <v>3275</v>
      </c>
      <c r="B1357" s="90" t="s">
        <v>3401</v>
      </c>
      <c r="C1357" s="90" t="s">
        <v>3276</v>
      </c>
      <c r="D1357" s="90" t="s">
        <v>3400</v>
      </c>
      <c r="E1357" s="90" t="s">
        <v>1403</v>
      </c>
      <c r="F1357" s="87">
        <v>12.0</v>
      </c>
      <c r="G1357" s="87">
        <v>12.0</v>
      </c>
      <c r="H1357" s="87">
        <v>24.0</v>
      </c>
      <c r="I1357" s="87">
        <v>24.0</v>
      </c>
      <c r="J1357" s="87">
        <v>0.0</v>
      </c>
      <c r="K1357" s="87">
        <v>0.0</v>
      </c>
      <c r="L1357" s="87">
        <v>0.0</v>
      </c>
      <c r="M1357" s="87">
        <v>0.0</v>
      </c>
      <c r="N1357" s="85"/>
      <c r="O1357" s="91"/>
      <c r="P1357" s="91"/>
      <c r="Q1357" s="91"/>
      <c r="R1357" s="91"/>
      <c r="S1357" s="91"/>
      <c r="T1357" s="91"/>
      <c r="U1357" s="91"/>
      <c r="V1357" s="91"/>
      <c r="W1357" s="91"/>
      <c r="X1357" s="91"/>
      <c r="Y1357" s="91"/>
      <c r="Z1357" s="88" t="s">
        <v>1396</v>
      </c>
    </row>
    <row r="1358" hidden="1">
      <c r="A1358" s="90" t="s">
        <v>3281</v>
      </c>
      <c r="B1358" s="90" t="s">
        <v>3402</v>
      </c>
      <c r="C1358" s="90" t="s">
        <v>3276</v>
      </c>
      <c r="D1358" s="90" t="s">
        <v>3285</v>
      </c>
      <c r="E1358" s="90" t="s">
        <v>1400</v>
      </c>
      <c r="F1358" s="87">
        <v>1.0</v>
      </c>
      <c r="G1358" s="87">
        <v>1.0</v>
      </c>
      <c r="H1358" s="87">
        <v>2.0</v>
      </c>
      <c r="I1358" s="87">
        <v>2.0</v>
      </c>
      <c r="J1358" s="87">
        <v>0.0</v>
      </c>
      <c r="K1358" s="87">
        <v>0.0</v>
      </c>
      <c r="L1358" s="87">
        <v>0.0</v>
      </c>
      <c r="M1358" s="87">
        <v>0.0</v>
      </c>
      <c r="N1358" s="85"/>
      <c r="O1358" s="91"/>
      <c r="P1358" s="91"/>
      <c r="Q1358" s="91"/>
      <c r="R1358" s="91"/>
      <c r="S1358" s="91"/>
      <c r="T1358" s="91"/>
      <c r="U1358" s="91"/>
      <c r="V1358" s="91"/>
      <c r="W1358" s="91"/>
      <c r="X1358" s="91"/>
      <c r="Y1358" s="91"/>
      <c r="Z1358" s="88" t="s">
        <v>1396</v>
      </c>
    </row>
    <row r="1359" hidden="1">
      <c r="A1359" s="90" t="s">
        <v>3275</v>
      </c>
      <c r="B1359" s="90" t="s">
        <v>3284</v>
      </c>
      <c r="C1359" s="90" t="s">
        <v>3276</v>
      </c>
      <c r="D1359" s="90" t="s">
        <v>3285</v>
      </c>
      <c r="E1359" s="90" t="s">
        <v>1403</v>
      </c>
      <c r="F1359" s="87">
        <v>1.0</v>
      </c>
      <c r="G1359" s="87">
        <v>1.0</v>
      </c>
      <c r="H1359" s="87">
        <v>2.0</v>
      </c>
      <c r="I1359" s="87">
        <v>2.0</v>
      </c>
      <c r="J1359" s="87">
        <v>0.0</v>
      </c>
      <c r="K1359" s="87">
        <v>0.0</v>
      </c>
      <c r="L1359" s="87">
        <v>0.0</v>
      </c>
      <c r="M1359" s="87">
        <v>0.0</v>
      </c>
      <c r="N1359" s="85"/>
      <c r="O1359" s="87">
        <v>0.0</v>
      </c>
      <c r="P1359" s="87">
        <v>0.0</v>
      </c>
      <c r="Q1359" s="87">
        <v>0.0</v>
      </c>
      <c r="R1359" s="87">
        <v>0.0</v>
      </c>
      <c r="S1359" s="87">
        <v>0.0</v>
      </c>
      <c r="T1359" s="91"/>
      <c r="U1359" s="91"/>
      <c r="V1359" s="91"/>
      <c r="W1359" s="91"/>
      <c r="X1359" s="91"/>
      <c r="Y1359" s="87">
        <v>0.0</v>
      </c>
      <c r="Z1359" s="88" t="s">
        <v>1396</v>
      </c>
    </row>
    <row r="1360" hidden="1">
      <c r="A1360" s="90" t="s">
        <v>3281</v>
      </c>
      <c r="B1360" s="90" t="s">
        <v>3403</v>
      </c>
      <c r="C1360" s="90" t="s">
        <v>3276</v>
      </c>
      <c r="D1360" s="90" t="s">
        <v>3404</v>
      </c>
      <c r="E1360" s="90" t="s">
        <v>1400</v>
      </c>
      <c r="F1360" s="87">
        <v>3.0</v>
      </c>
      <c r="G1360" s="87">
        <v>3.0</v>
      </c>
      <c r="H1360" s="87">
        <v>8.0</v>
      </c>
      <c r="I1360" s="87">
        <v>8.0</v>
      </c>
      <c r="J1360" s="87">
        <v>0.0</v>
      </c>
      <c r="K1360" s="87">
        <v>0.0</v>
      </c>
      <c r="L1360" s="87">
        <v>0.0</v>
      </c>
      <c r="M1360" s="87">
        <v>0.0</v>
      </c>
      <c r="N1360" s="85"/>
      <c r="O1360" s="91"/>
      <c r="P1360" s="91"/>
      <c r="Q1360" s="91"/>
      <c r="R1360" s="91"/>
      <c r="S1360" s="91"/>
      <c r="T1360" s="91"/>
      <c r="U1360" s="91"/>
      <c r="V1360" s="91"/>
      <c r="W1360" s="91"/>
      <c r="X1360" s="91"/>
      <c r="Y1360" s="91"/>
      <c r="Z1360" s="88" t="s">
        <v>1396</v>
      </c>
    </row>
    <row r="1361" hidden="1">
      <c r="A1361" s="90" t="s">
        <v>3275</v>
      </c>
      <c r="B1361" s="90" t="s">
        <v>3405</v>
      </c>
      <c r="C1361" s="90" t="s">
        <v>3276</v>
      </c>
      <c r="D1361" s="90" t="s">
        <v>3404</v>
      </c>
      <c r="E1361" s="90" t="s">
        <v>1403</v>
      </c>
      <c r="F1361" s="87">
        <v>10.0</v>
      </c>
      <c r="G1361" s="87">
        <v>10.0</v>
      </c>
      <c r="H1361" s="87">
        <v>25.0</v>
      </c>
      <c r="I1361" s="87">
        <v>25.0</v>
      </c>
      <c r="J1361" s="87">
        <v>0.0</v>
      </c>
      <c r="K1361" s="87">
        <v>0.0</v>
      </c>
      <c r="L1361" s="87">
        <v>0.0</v>
      </c>
      <c r="M1361" s="87">
        <v>0.0</v>
      </c>
      <c r="N1361" s="85"/>
      <c r="O1361" s="91"/>
      <c r="P1361" s="91"/>
      <c r="Q1361" s="91"/>
      <c r="R1361" s="91"/>
      <c r="S1361" s="91"/>
      <c r="T1361" s="91"/>
      <c r="U1361" s="91"/>
      <c r="V1361" s="91"/>
      <c r="W1361" s="91"/>
      <c r="X1361" s="91"/>
      <c r="Y1361" s="91"/>
      <c r="Z1361" s="88" t="s">
        <v>1396</v>
      </c>
    </row>
  </sheetData>
  <autoFilter ref="$A$1:$Z$1361">
    <filterColumn colId="1">
      <filters>
        <filter val="Juices &amp; Cordials_0-5"/>
        <filter val="Ready to Heat_Unknown"/>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4" max="4" width="24.63"/>
    <col customWidth="1" min="5" max="5" width="17.25"/>
  </cols>
  <sheetData>
    <row r="1">
      <c r="A1" s="84" t="s">
        <v>3406</v>
      </c>
      <c r="B1" s="84" t="s">
        <v>3407</v>
      </c>
      <c r="C1" s="84" t="s">
        <v>3408</v>
      </c>
      <c r="D1" s="84" t="s">
        <v>3409</v>
      </c>
      <c r="E1" s="92" t="s">
        <v>3410</v>
      </c>
      <c r="F1" s="2" t="s">
        <v>3411</v>
      </c>
    </row>
    <row r="2">
      <c r="A2" s="84" t="s">
        <v>3344</v>
      </c>
      <c r="B2" s="87">
        <v>0.0</v>
      </c>
      <c r="C2" s="87">
        <v>0.0</v>
      </c>
      <c r="D2" s="84" t="s">
        <v>3412</v>
      </c>
      <c r="E2" s="92" t="s">
        <v>3413</v>
      </c>
      <c r="F2" s="93" t="str">
        <f t="shared" ref="F2:F1361" si="1">if(D2="Fallback: ParentCategory_ASP",E2*0.75, IF(D2="Fallback: ParentCategory",E2*0.5,E2))</f>
        <v>Not Applicable</v>
      </c>
    </row>
    <row r="3">
      <c r="A3" s="84" t="s">
        <v>3346</v>
      </c>
      <c r="B3" s="87">
        <v>0.0</v>
      </c>
      <c r="C3" s="87">
        <v>0.0</v>
      </c>
      <c r="D3" s="84" t="s">
        <v>3412</v>
      </c>
      <c r="E3" s="92" t="s">
        <v>3413</v>
      </c>
      <c r="F3" s="93" t="str">
        <f t="shared" si="1"/>
        <v>Not Applicable</v>
      </c>
    </row>
    <row r="4">
      <c r="A4" s="84" t="s">
        <v>1405</v>
      </c>
      <c r="B4" s="87">
        <v>3.0</v>
      </c>
      <c r="C4" s="87">
        <v>2.0</v>
      </c>
      <c r="D4" s="84" t="s">
        <v>3414</v>
      </c>
      <c r="E4" s="94">
        <v>0.667</v>
      </c>
      <c r="F4" s="95">
        <f t="shared" si="1"/>
        <v>0.3335</v>
      </c>
    </row>
    <row r="5">
      <c r="A5" s="84" t="s">
        <v>1408</v>
      </c>
      <c r="B5" s="87">
        <v>0.0</v>
      </c>
      <c r="C5" s="87">
        <v>0.0</v>
      </c>
      <c r="D5" s="84" t="s">
        <v>3412</v>
      </c>
      <c r="E5" s="92" t="s">
        <v>3413</v>
      </c>
      <c r="F5" s="93" t="str">
        <f t="shared" si="1"/>
        <v>Not Applicable</v>
      </c>
    </row>
    <row r="6">
      <c r="A6" s="84" t="s">
        <v>1408</v>
      </c>
      <c r="B6" s="87">
        <v>3.0</v>
      </c>
      <c r="C6" s="87">
        <v>2.0</v>
      </c>
      <c r="D6" s="84" t="s">
        <v>3415</v>
      </c>
      <c r="E6" s="94">
        <v>0.667</v>
      </c>
      <c r="F6" s="95">
        <f t="shared" si="1"/>
        <v>0.50025</v>
      </c>
    </row>
    <row r="7">
      <c r="A7" s="84" t="s">
        <v>1410</v>
      </c>
      <c r="B7" s="87">
        <v>0.0</v>
      </c>
      <c r="C7" s="87">
        <v>0.0</v>
      </c>
      <c r="D7" s="84" t="s">
        <v>3412</v>
      </c>
      <c r="E7" s="92" t="s">
        <v>3413</v>
      </c>
      <c r="F7" s="93" t="str">
        <f t="shared" si="1"/>
        <v>Not Applicable</v>
      </c>
    </row>
    <row r="8">
      <c r="A8" s="84" t="s">
        <v>1410</v>
      </c>
      <c r="B8" s="87">
        <v>3.0</v>
      </c>
      <c r="C8" s="87">
        <v>2.0</v>
      </c>
      <c r="D8" s="84" t="s">
        <v>3414</v>
      </c>
      <c r="E8" s="94">
        <v>0.667</v>
      </c>
      <c r="F8" s="95">
        <f t="shared" si="1"/>
        <v>0.3335</v>
      </c>
    </row>
    <row r="9">
      <c r="A9" s="84" t="s">
        <v>3204</v>
      </c>
      <c r="B9" s="87">
        <v>105.0</v>
      </c>
      <c r="C9" s="87">
        <v>61.0</v>
      </c>
      <c r="D9" s="84" t="s">
        <v>3414</v>
      </c>
      <c r="E9" s="94">
        <v>0.581</v>
      </c>
      <c r="F9" s="95">
        <f t="shared" si="1"/>
        <v>0.2905</v>
      </c>
    </row>
    <row r="10">
      <c r="A10" s="84" t="s">
        <v>3207</v>
      </c>
      <c r="B10" s="87">
        <v>4.0</v>
      </c>
      <c r="C10" s="87">
        <v>4.0</v>
      </c>
      <c r="D10" s="84" t="s">
        <v>3415</v>
      </c>
      <c r="E10" s="94">
        <v>1.0</v>
      </c>
      <c r="F10" s="95">
        <f t="shared" si="1"/>
        <v>0.75</v>
      </c>
    </row>
    <row r="11">
      <c r="A11" s="84" t="s">
        <v>3211</v>
      </c>
      <c r="B11" s="87">
        <v>105.0</v>
      </c>
      <c r="C11" s="87">
        <v>61.0</v>
      </c>
      <c r="D11" s="84" t="s">
        <v>3414</v>
      </c>
      <c r="E11" s="94">
        <v>0.581</v>
      </c>
      <c r="F11" s="95">
        <f t="shared" si="1"/>
        <v>0.2905</v>
      </c>
    </row>
    <row r="12">
      <c r="A12" s="84" t="s">
        <v>3213</v>
      </c>
      <c r="B12" s="87">
        <v>3.0</v>
      </c>
      <c r="C12" s="87">
        <v>0.0</v>
      </c>
      <c r="D12" s="84" t="s">
        <v>3416</v>
      </c>
      <c r="E12" s="94">
        <v>0.0</v>
      </c>
      <c r="F12" s="93">
        <f t="shared" si="1"/>
        <v>0</v>
      </c>
    </row>
    <row r="13">
      <c r="A13" s="84" t="s">
        <v>3397</v>
      </c>
      <c r="B13" s="87">
        <v>3.0</v>
      </c>
      <c r="C13" s="87">
        <v>3.0</v>
      </c>
      <c r="D13" s="84" t="s">
        <v>3415</v>
      </c>
      <c r="E13" s="94">
        <v>1.0</v>
      </c>
      <c r="F13" s="95">
        <f t="shared" si="1"/>
        <v>0.75</v>
      </c>
    </row>
    <row r="14">
      <c r="A14" s="84" t="s">
        <v>2718</v>
      </c>
      <c r="B14" s="87">
        <v>12.0</v>
      </c>
      <c r="C14" s="87">
        <v>0.0</v>
      </c>
      <c r="D14" s="84" t="s">
        <v>3415</v>
      </c>
      <c r="E14" s="94">
        <v>0.0</v>
      </c>
      <c r="F14" s="95">
        <f t="shared" si="1"/>
        <v>0</v>
      </c>
    </row>
    <row r="15">
      <c r="A15" s="84" t="s">
        <v>3349</v>
      </c>
      <c r="B15" s="87">
        <v>3.0</v>
      </c>
      <c r="C15" s="87">
        <v>3.0</v>
      </c>
      <c r="D15" s="84" t="s">
        <v>3415</v>
      </c>
      <c r="E15" s="94">
        <v>1.0</v>
      </c>
      <c r="F15" s="95">
        <f t="shared" si="1"/>
        <v>0.75</v>
      </c>
    </row>
    <row r="16">
      <c r="A16" s="84" t="s">
        <v>3350</v>
      </c>
      <c r="B16" s="87">
        <v>6.0</v>
      </c>
      <c r="C16" s="87">
        <v>5.0</v>
      </c>
      <c r="D16" s="84" t="s">
        <v>3415</v>
      </c>
      <c r="E16" s="94">
        <v>0.833</v>
      </c>
      <c r="F16" s="95">
        <f t="shared" si="1"/>
        <v>0.62475</v>
      </c>
    </row>
    <row r="17">
      <c r="A17" s="84" t="s">
        <v>2328</v>
      </c>
      <c r="B17" s="87">
        <v>49.0</v>
      </c>
      <c r="C17" s="87">
        <v>42.0</v>
      </c>
      <c r="D17" s="84" t="s">
        <v>3415</v>
      </c>
      <c r="E17" s="94">
        <v>0.857</v>
      </c>
      <c r="F17" s="95">
        <f t="shared" si="1"/>
        <v>0.64275</v>
      </c>
    </row>
    <row r="18">
      <c r="A18" s="84" t="s">
        <v>2331</v>
      </c>
      <c r="B18" s="87">
        <v>62.0</v>
      </c>
      <c r="C18" s="87">
        <v>53.0</v>
      </c>
      <c r="D18" s="84" t="s">
        <v>3414</v>
      </c>
      <c r="E18" s="94">
        <v>0.855</v>
      </c>
      <c r="F18" s="95">
        <f t="shared" si="1"/>
        <v>0.4275</v>
      </c>
    </row>
    <row r="19">
      <c r="A19" s="84" t="s">
        <v>2382</v>
      </c>
      <c r="B19" s="87">
        <v>10.0</v>
      </c>
      <c r="C19" s="87">
        <v>7.0</v>
      </c>
      <c r="D19" s="84" t="s">
        <v>3415</v>
      </c>
      <c r="E19" s="94">
        <v>0.7</v>
      </c>
      <c r="F19" s="95">
        <f t="shared" si="1"/>
        <v>0.525</v>
      </c>
    </row>
    <row r="20">
      <c r="A20" s="84" t="s">
        <v>2385</v>
      </c>
      <c r="B20" s="87">
        <v>88.0</v>
      </c>
      <c r="C20" s="87">
        <v>76.0</v>
      </c>
      <c r="D20" s="84" t="s">
        <v>3414</v>
      </c>
      <c r="E20" s="94">
        <v>0.864</v>
      </c>
      <c r="F20" s="95">
        <f t="shared" si="1"/>
        <v>0.432</v>
      </c>
    </row>
    <row r="21">
      <c r="A21" s="84" t="s">
        <v>2386</v>
      </c>
      <c r="B21" s="87">
        <v>10.0</v>
      </c>
      <c r="C21" s="87">
        <v>7.0</v>
      </c>
      <c r="D21" s="84" t="s">
        <v>3415</v>
      </c>
      <c r="E21" s="94">
        <v>0.7</v>
      </c>
      <c r="F21" s="95">
        <f t="shared" si="1"/>
        <v>0.525</v>
      </c>
    </row>
    <row r="22">
      <c r="A22" s="84" t="s">
        <v>1847</v>
      </c>
      <c r="B22" s="87">
        <v>6.0</v>
      </c>
      <c r="C22" s="87">
        <v>3.0</v>
      </c>
      <c r="D22" s="84" t="s">
        <v>3415</v>
      </c>
      <c r="E22" s="94">
        <v>0.5</v>
      </c>
      <c r="F22" s="95">
        <f t="shared" si="1"/>
        <v>0.375</v>
      </c>
    </row>
    <row r="23">
      <c r="A23" s="84" t="s">
        <v>1851</v>
      </c>
      <c r="B23" s="87">
        <v>8.0</v>
      </c>
      <c r="C23" s="87">
        <v>6.0</v>
      </c>
      <c r="D23" s="84" t="s">
        <v>3415</v>
      </c>
      <c r="E23" s="94">
        <v>0.75</v>
      </c>
      <c r="F23" s="95">
        <f t="shared" si="1"/>
        <v>0.5625</v>
      </c>
    </row>
    <row r="24">
      <c r="A24" s="84" t="s">
        <v>1853</v>
      </c>
      <c r="B24" s="87">
        <v>4.0</v>
      </c>
      <c r="C24" s="87">
        <v>3.0</v>
      </c>
      <c r="D24" s="84" t="s">
        <v>3415</v>
      </c>
      <c r="E24" s="94">
        <v>0.75</v>
      </c>
      <c r="F24" s="95">
        <f t="shared" si="1"/>
        <v>0.5625</v>
      </c>
    </row>
    <row r="25">
      <c r="A25" s="84" t="s">
        <v>1855</v>
      </c>
      <c r="B25" s="87">
        <v>6.0</v>
      </c>
      <c r="C25" s="87">
        <v>6.0</v>
      </c>
      <c r="D25" s="84" t="s">
        <v>3416</v>
      </c>
      <c r="E25" s="94">
        <v>1.0</v>
      </c>
      <c r="F25" s="93">
        <f t="shared" si="1"/>
        <v>1</v>
      </c>
    </row>
    <row r="26">
      <c r="A26" s="84" t="s">
        <v>1857</v>
      </c>
      <c r="B26" s="87">
        <v>9.0</v>
      </c>
      <c r="C26" s="87">
        <v>7.0</v>
      </c>
      <c r="D26" s="84" t="s">
        <v>3415</v>
      </c>
      <c r="E26" s="94">
        <v>0.778</v>
      </c>
      <c r="F26" s="95">
        <f t="shared" si="1"/>
        <v>0.5835</v>
      </c>
    </row>
    <row r="27">
      <c r="A27" s="84" t="s">
        <v>1859</v>
      </c>
      <c r="B27" s="87">
        <v>52.0</v>
      </c>
      <c r="C27" s="87">
        <v>37.0</v>
      </c>
      <c r="D27" s="84" t="s">
        <v>3414</v>
      </c>
      <c r="E27" s="94">
        <v>0.712</v>
      </c>
      <c r="F27" s="95">
        <f t="shared" si="1"/>
        <v>0.356</v>
      </c>
    </row>
    <row r="28">
      <c r="A28" s="84" t="s">
        <v>3347</v>
      </c>
      <c r="B28" s="87">
        <v>5.0</v>
      </c>
      <c r="C28" s="87">
        <v>0.0</v>
      </c>
      <c r="D28" s="84" t="s">
        <v>3415</v>
      </c>
      <c r="E28" s="94">
        <v>0.0</v>
      </c>
      <c r="F28" s="95">
        <f t="shared" si="1"/>
        <v>0</v>
      </c>
    </row>
    <row r="29">
      <c r="A29" s="84" t="s">
        <v>2744</v>
      </c>
      <c r="B29" s="87">
        <v>0.0</v>
      </c>
      <c r="C29" s="87">
        <v>0.0</v>
      </c>
      <c r="D29" s="84" t="s">
        <v>3412</v>
      </c>
      <c r="E29" s="92" t="s">
        <v>3413</v>
      </c>
      <c r="F29" s="93" t="str">
        <f t="shared" si="1"/>
        <v>Not Applicable</v>
      </c>
    </row>
    <row r="30">
      <c r="A30" s="84" t="s">
        <v>2748</v>
      </c>
      <c r="B30" s="87">
        <v>0.0</v>
      </c>
      <c r="C30" s="87">
        <v>0.0</v>
      </c>
      <c r="D30" s="84" t="s">
        <v>3412</v>
      </c>
      <c r="E30" s="92" t="s">
        <v>3413</v>
      </c>
      <c r="F30" s="93" t="str">
        <f t="shared" si="1"/>
        <v>Not Applicable</v>
      </c>
    </row>
    <row r="31">
      <c r="A31" s="84" t="s">
        <v>3277</v>
      </c>
      <c r="B31" s="87">
        <v>0.0</v>
      </c>
      <c r="C31" s="87">
        <v>0.0</v>
      </c>
      <c r="D31" s="84" t="s">
        <v>3412</v>
      </c>
      <c r="E31" s="92" t="s">
        <v>3413</v>
      </c>
      <c r="F31" s="93" t="str">
        <f t="shared" si="1"/>
        <v>Not Applicable</v>
      </c>
    </row>
    <row r="32">
      <c r="A32" s="84" t="s">
        <v>3160</v>
      </c>
      <c r="B32" s="87">
        <v>0.0</v>
      </c>
      <c r="C32" s="87">
        <v>0.0</v>
      </c>
      <c r="D32" s="84" t="s">
        <v>3412</v>
      </c>
      <c r="E32" s="92" t="s">
        <v>3413</v>
      </c>
      <c r="F32" s="93" t="str">
        <f t="shared" si="1"/>
        <v>Not Applicable</v>
      </c>
    </row>
    <row r="33">
      <c r="A33" s="84" t="s">
        <v>2749</v>
      </c>
      <c r="B33" s="87">
        <v>0.0</v>
      </c>
      <c r="C33" s="87">
        <v>0.0</v>
      </c>
      <c r="D33" s="84" t="s">
        <v>3412</v>
      </c>
      <c r="E33" s="92" t="s">
        <v>3413</v>
      </c>
      <c r="F33" s="93" t="str">
        <f t="shared" si="1"/>
        <v>Not Applicable</v>
      </c>
    </row>
    <row r="34">
      <c r="A34" s="84" t="s">
        <v>2751</v>
      </c>
      <c r="B34" s="87">
        <v>0.0</v>
      </c>
      <c r="C34" s="87">
        <v>0.0</v>
      </c>
      <c r="D34" s="84" t="s">
        <v>3412</v>
      </c>
      <c r="E34" s="92" t="s">
        <v>3413</v>
      </c>
      <c r="F34" s="93" t="str">
        <f t="shared" si="1"/>
        <v>Not Applicable</v>
      </c>
    </row>
    <row r="35">
      <c r="A35" s="84" t="s">
        <v>2582</v>
      </c>
      <c r="B35" s="87">
        <v>1.0</v>
      </c>
      <c r="C35" s="87">
        <v>1.0</v>
      </c>
      <c r="D35" s="84" t="s">
        <v>3414</v>
      </c>
      <c r="E35" s="92" t="s">
        <v>3413</v>
      </c>
      <c r="F35" s="95" t="str">
        <f t="shared" si="1"/>
        <v>#VALUE!</v>
      </c>
    </row>
    <row r="36">
      <c r="A36" s="84" t="s">
        <v>2585</v>
      </c>
      <c r="B36" s="87">
        <v>1.0</v>
      </c>
      <c r="C36" s="87">
        <v>1.0</v>
      </c>
      <c r="D36" s="84" t="s">
        <v>3414</v>
      </c>
      <c r="E36" s="92" t="s">
        <v>3413</v>
      </c>
      <c r="F36" s="95" t="str">
        <f t="shared" si="1"/>
        <v>#VALUE!</v>
      </c>
    </row>
    <row r="37">
      <c r="A37" s="84" t="s">
        <v>2587</v>
      </c>
      <c r="B37" s="87">
        <v>1.0</v>
      </c>
      <c r="C37" s="87">
        <v>1.0</v>
      </c>
      <c r="D37" s="84" t="s">
        <v>3414</v>
      </c>
      <c r="E37" s="92" t="s">
        <v>3413</v>
      </c>
      <c r="F37" s="95" t="str">
        <f t="shared" si="1"/>
        <v>#VALUE!</v>
      </c>
    </row>
    <row r="38">
      <c r="A38" s="84" t="s">
        <v>2589</v>
      </c>
      <c r="B38" s="87">
        <v>1.0</v>
      </c>
      <c r="C38" s="87">
        <v>1.0</v>
      </c>
      <c r="D38" s="84" t="s">
        <v>3414</v>
      </c>
      <c r="E38" s="92" t="s">
        <v>3413</v>
      </c>
      <c r="F38" s="95" t="str">
        <f t="shared" si="1"/>
        <v>#VALUE!</v>
      </c>
    </row>
    <row r="39">
      <c r="A39" s="84" t="s">
        <v>1475</v>
      </c>
      <c r="B39" s="87">
        <v>9.0</v>
      </c>
      <c r="C39" s="87">
        <v>7.0</v>
      </c>
      <c r="D39" s="84" t="s">
        <v>3415</v>
      </c>
      <c r="E39" s="94">
        <v>0.778</v>
      </c>
      <c r="F39" s="95">
        <f t="shared" si="1"/>
        <v>0.5835</v>
      </c>
    </row>
    <row r="40">
      <c r="A40" s="84" t="s">
        <v>1478</v>
      </c>
      <c r="B40" s="87">
        <v>12.0</v>
      </c>
      <c r="C40" s="87">
        <v>12.0</v>
      </c>
      <c r="D40" s="84" t="s">
        <v>3415</v>
      </c>
      <c r="E40" s="94">
        <v>1.0</v>
      </c>
      <c r="F40" s="95">
        <f t="shared" si="1"/>
        <v>0.75</v>
      </c>
    </row>
    <row r="41">
      <c r="A41" s="84" t="s">
        <v>1480</v>
      </c>
      <c r="B41" s="87">
        <v>12.0</v>
      </c>
      <c r="C41" s="87">
        <v>11.0</v>
      </c>
      <c r="D41" s="84" t="s">
        <v>3415</v>
      </c>
      <c r="E41" s="94">
        <v>0.917</v>
      </c>
      <c r="F41" s="95">
        <f t="shared" si="1"/>
        <v>0.68775</v>
      </c>
    </row>
    <row r="42">
      <c r="A42" s="84" t="s">
        <v>1482</v>
      </c>
      <c r="B42" s="87">
        <v>4.0</v>
      </c>
      <c r="C42" s="87">
        <v>4.0</v>
      </c>
      <c r="D42" s="84" t="s">
        <v>3415</v>
      </c>
      <c r="E42" s="94">
        <v>1.0</v>
      </c>
      <c r="F42" s="95">
        <f t="shared" si="1"/>
        <v>0.75</v>
      </c>
    </row>
    <row r="43">
      <c r="A43" s="84" t="s">
        <v>3290</v>
      </c>
      <c r="B43" s="87">
        <v>4.0</v>
      </c>
      <c r="C43" s="87">
        <v>4.0</v>
      </c>
      <c r="D43" s="84" t="s">
        <v>3415</v>
      </c>
      <c r="E43" s="94">
        <v>1.0</v>
      </c>
      <c r="F43" s="95">
        <f t="shared" si="1"/>
        <v>0.75</v>
      </c>
    </row>
    <row r="44">
      <c r="A44" s="84" t="s">
        <v>1484</v>
      </c>
      <c r="B44" s="87">
        <v>22.0</v>
      </c>
      <c r="C44" s="87">
        <v>17.0</v>
      </c>
      <c r="D44" s="84" t="s">
        <v>3415</v>
      </c>
      <c r="E44" s="94">
        <v>0.773</v>
      </c>
      <c r="F44" s="95">
        <f t="shared" si="1"/>
        <v>0.57975</v>
      </c>
    </row>
    <row r="45">
      <c r="A45" s="84" t="s">
        <v>1486</v>
      </c>
      <c r="B45" s="87">
        <v>63.0</v>
      </c>
      <c r="C45" s="87">
        <v>55.0</v>
      </c>
      <c r="D45" s="84" t="s">
        <v>3414</v>
      </c>
      <c r="E45" s="94">
        <v>0.873</v>
      </c>
      <c r="F45" s="95">
        <f t="shared" si="1"/>
        <v>0.4365</v>
      </c>
    </row>
    <row r="46">
      <c r="A46" s="84" t="s">
        <v>1487</v>
      </c>
      <c r="B46" s="87">
        <v>12.0</v>
      </c>
      <c r="C46" s="87">
        <v>12.0</v>
      </c>
      <c r="D46" s="84" t="s">
        <v>3415</v>
      </c>
      <c r="E46" s="94">
        <v>1.0</v>
      </c>
      <c r="F46" s="95">
        <f t="shared" si="1"/>
        <v>0.75</v>
      </c>
    </row>
    <row r="47">
      <c r="A47" s="84" t="s">
        <v>1489</v>
      </c>
      <c r="B47" s="87">
        <v>12.0</v>
      </c>
      <c r="C47" s="87">
        <v>11.0</v>
      </c>
      <c r="D47" s="84" t="s">
        <v>3415</v>
      </c>
      <c r="E47" s="94">
        <v>0.917</v>
      </c>
      <c r="F47" s="95">
        <f t="shared" si="1"/>
        <v>0.68775</v>
      </c>
    </row>
    <row r="48">
      <c r="A48" s="84" t="s">
        <v>1491</v>
      </c>
      <c r="B48" s="87">
        <v>4.0</v>
      </c>
      <c r="C48" s="87">
        <v>4.0</v>
      </c>
      <c r="D48" s="84" t="s">
        <v>3415</v>
      </c>
      <c r="E48" s="94">
        <v>1.0</v>
      </c>
      <c r="F48" s="95">
        <f t="shared" si="1"/>
        <v>0.75</v>
      </c>
    </row>
    <row r="49">
      <c r="A49" s="84" t="s">
        <v>1491</v>
      </c>
      <c r="B49" s="87">
        <v>25.0</v>
      </c>
      <c r="C49" s="87">
        <v>17.0</v>
      </c>
      <c r="D49" s="84" t="s">
        <v>3415</v>
      </c>
      <c r="E49" s="94">
        <v>0.68</v>
      </c>
      <c r="F49" s="95">
        <f t="shared" si="1"/>
        <v>0.51</v>
      </c>
    </row>
    <row r="50">
      <c r="A50" s="84" t="s">
        <v>1492</v>
      </c>
      <c r="B50" s="87">
        <v>63.0</v>
      </c>
      <c r="C50" s="87">
        <v>55.0</v>
      </c>
      <c r="D50" s="84" t="s">
        <v>3414</v>
      </c>
      <c r="E50" s="94">
        <v>0.873</v>
      </c>
      <c r="F50" s="95">
        <f t="shared" si="1"/>
        <v>0.4365</v>
      </c>
    </row>
    <row r="51">
      <c r="A51" s="84" t="s">
        <v>3337</v>
      </c>
      <c r="B51" s="87">
        <v>4.0</v>
      </c>
      <c r="C51" s="87">
        <v>4.0</v>
      </c>
      <c r="D51" s="84" t="s">
        <v>3414</v>
      </c>
      <c r="E51" s="94">
        <v>1.0</v>
      </c>
      <c r="F51" s="95">
        <f t="shared" si="1"/>
        <v>0.5</v>
      </c>
    </row>
    <row r="52">
      <c r="A52" s="84" t="s">
        <v>3338</v>
      </c>
      <c r="B52" s="87">
        <v>4.0</v>
      </c>
      <c r="C52" s="87">
        <v>4.0</v>
      </c>
      <c r="D52" s="84" t="s">
        <v>3414</v>
      </c>
      <c r="E52" s="94">
        <v>1.0</v>
      </c>
      <c r="F52" s="95">
        <f t="shared" si="1"/>
        <v>0.5</v>
      </c>
    </row>
    <row r="53">
      <c r="A53" s="84" t="s">
        <v>2390</v>
      </c>
      <c r="B53" s="87">
        <v>88.0</v>
      </c>
      <c r="C53" s="87">
        <v>76.0</v>
      </c>
      <c r="D53" s="84" t="s">
        <v>3414</v>
      </c>
      <c r="E53" s="94">
        <v>0.864</v>
      </c>
      <c r="F53" s="95">
        <f t="shared" si="1"/>
        <v>0.432</v>
      </c>
    </row>
    <row r="54">
      <c r="A54" s="84" t="s">
        <v>2392</v>
      </c>
      <c r="B54" s="87">
        <v>11.0</v>
      </c>
      <c r="C54" s="87">
        <v>11.0</v>
      </c>
      <c r="D54" s="84" t="s">
        <v>3415</v>
      </c>
      <c r="E54" s="94">
        <v>1.0</v>
      </c>
      <c r="F54" s="95">
        <f t="shared" si="1"/>
        <v>0.75</v>
      </c>
    </row>
    <row r="55">
      <c r="A55" s="84" t="s">
        <v>2394</v>
      </c>
      <c r="B55" s="87">
        <v>10.0</v>
      </c>
      <c r="C55" s="87">
        <v>10.0</v>
      </c>
      <c r="D55" s="84" t="s">
        <v>3415</v>
      </c>
      <c r="E55" s="94">
        <v>1.0</v>
      </c>
      <c r="F55" s="95">
        <f t="shared" si="1"/>
        <v>0.75</v>
      </c>
    </row>
    <row r="56">
      <c r="A56" s="84" t="s">
        <v>2396</v>
      </c>
      <c r="B56" s="87">
        <v>3.0</v>
      </c>
      <c r="C56" s="87">
        <v>2.0</v>
      </c>
      <c r="D56" s="84" t="s">
        <v>3415</v>
      </c>
      <c r="E56" s="94">
        <v>0.667</v>
      </c>
      <c r="F56" s="95">
        <f t="shared" si="1"/>
        <v>0.50025</v>
      </c>
    </row>
    <row r="57">
      <c r="A57" s="84" t="s">
        <v>2397</v>
      </c>
      <c r="B57" s="87">
        <v>10.0</v>
      </c>
      <c r="C57" s="87">
        <v>7.0</v>
      </c>
      <c r="D57" s="84" t="s">
        <v>3415</v>
      </c>
      <c r="E57" s="94">
        <v>0.7</v>
      </c>
      <c r="F57" s="95">
        <f t="shared" si="1"/>
        <v>0.525</v>
      </c>
    </row>
    <row r="58">
      <c r="A58" s="84" t="s">
        <v>2399</v>
      </c>
      <c r="B58" s="87">
        <v>50.0</v>
      </c>
      <c r="C58" s="87">
        <v>44.0</v>
      </c>
      <c r="D58" s="84" t="s">
        <v>3415</v>
      </c>
      <c r="E58" s="94">
        <v>0.88</v>
      </c>
      <c r="F58" s="95">
        <f t="shared" si="1"/>
        <v>0.66</v>
      </c>
    </row>
    <row r="59">
      <c r="A59" s="84" t="s">
        <v>2400</v>
      </c>
      <c r="B59" s="87">
        <v>88.0</v>
      </c>
      <c r="C59" s="87">
        <v>76.0</v>
      </c>
      <c r="D59" s="84" t="s">
        <v>3414</v>
      </c>
      <c r="E59" s="94">
        <v>0.864</v>
      </c>
      <c r="F59" s="95">
        <f t="shared" si="1"/>
        <v>0.432</v>
      </c>
    </row>
    <row r="60">
      <c r="A60" s="84" t="s">
        <v>1424</v>
      </c>
      <c r="B60" s="87">
        <v>19.0</v>
      </c>
      <c r="C60" s="87">
        <v>12.0</v>
      </c>
      <c r="D60" s="84" t="s">
        <v>3414</v>
      </c>
      <c r="E60" s="94">
        <v>0.632</v>
      </c>
      <c r="F60" s="95">
        <f t="shared" si="1"/>
        <v>0.316</v>
      </c>
    </row>
    <row r="61">
      <c r="A61" s="84" t="s">
        <v>1428</v>
      </c>
      <c r="B61" s="87">
        <v>3.0</v>
      </c>
      <c r="C61" s="87">
        <v>3.0</v>
      </c>
      <c r="D61" s="84" t="s">
        <v>3415</v>
      </c>
      <c r="E61" s="94">
        <v>1.0</v>
      </c>
      <c r="F61" s="95">
        <f t="shared" si="1"/>
        <v>0.75</v>
      </c>
    </row>
    <row r="62">
      <c r="A62" s="84" t="s">
        <v>1430</v>
      </c>
      <c r="B62" s="87">
        <v>19.0</v>
      </c>
      <c r="C62" s="87">
        <v>12.0</v>
      </c>
      <c r="D62" s="84" t="s">
        <v>3414</v>
      </c>
      <c r="E62" s="94">
        <v>0.632</v>
      </c>
      <c r="F62" s="95">
        <f t="shared" si="1"/>
        <v>0.316</v>
      </c>
    </row>
    <row r="63">
      <c r="A63" s="84" t="s">
        <v>1432</v>
      </c>
      <c r="B63" s="87">
        <v>19.0</v>
      </c>
      <c r="C63" s="87">
        <v>12.0</v>
      </c>
      <c r="D63" s="84" t="s">
        <v>3414</v>
      </c>
      <c r="E63" s="94">
        <v>0.632</v>
      </c>
      <c r="F63" s="95">
        <f t="shared" si="1"/>
        <v>0.316</v>
      </c>
    </row>
    <row r="64">
      <c r="A64" s="84" t="s">
        <v>1434</v>
      </c>
      <c r="B64" s="87">
        <v>12.0</v>
      </c>
      <c r="C64" s="87">
        <v>7.0</v>
      </c>
      <c r="D64" s="84" t="s">
        <v>3415</v>
      </c>
      <c r="E64" s="94">
        <v>0.583</v>
      </c>
      <c r="F64" s="95">
        <f t="shared" si="1"/>
        <v>0.43725</v>
      </c>
    </row>
    <row r="65">
      <c r="A65" s="84" t="s">
        <v>3288</v>
      </c>
      <c r="B65" s="87">
        <v>19.0</v>
      </c>
      <c r="C65" s="87">
        <v>12.0</v>
      </c>
      <c r="D65" s="84" t="s">
        <v>3414</v>
      </c>
      <c r="E65" s="94">
        <v>0.632</v>
      </c>
      <c r="F65" s="95">
        <f t="shared" si="1"/>
        <v>0.316</v>
      </c>
    </row>
    <row r="66">
      <c r="A66" s="84" t="s">
        <v>1435</v>
      </c>
      <c r="B66" s="87">
        <v>19.0</v>
      </c>
      <c r="C66" s="87">
        <v>12.0</v>
      </c>
      <c r="D66" s="84" t="s">
        <v>3414</v>
      </c>
      <c r="E66" s="94">
        <v>0.632</v>
      </c>
      <c r="F66" s="95">
        <f t="shared" si="1"/>
        <v>0.316</v>
      </c>
    </row>
    <row r="67">
      <c r="A67" s="84" t="s">
        <v>1436</v>
      </c>
      <c r="B67" s="87">
        <v>3.0</v>
      </c>
      <c r="C67" s="87">
        <v>3.0</v>
      </c>
      <c r="D67" s="84" t="s">
        <v>3415</v>
      </c>
      <c r="E67" s="94">
        <v>1.0</v>
      </c>
      <c r="F67" s="95">
        <f t="shared" si="1"/>
        <v>0.75</v>
      </c>
    </row>
    <row r="68">
      <c r="A68" s="84" t="s">
        <v>1438</v>
      </c>
      <c r="B68" s="87">
        <v>19.0</v>
      </c>
      <c r="C68" s="87">
        <v>12.0</v>
      </c>
      <c r="D68" s="84" t="s">
        <v>3414</v>
      </c>
      <c r="E68" s="94">
        <v>0.632</v>
      </c>
      <c r="F68" s="95">
        <f t="shared" si="1"/>
        <v>0.316</v>
      </c>
    </row>
    <row r="69">
      <c r="A69" s="84" t="s">
        <v>1439</v>
      </c>
      <c r="B69" s="87">
        <v>19.0</v>
      </c>
      <c r="C69" s="87">
        <v>12.0</v>
      </c>
      <c r="D69" s="84" t="s">
        <v>3414</v>
      </c>
      <c r="E69" s="94">
        <v>0.632</v>
      </c>
      <c r="F69" s="95">
        <f t="shared" si="1"/>
        <v>0.316</v>
      </c>
    </row>
    <row r="70">
      <c r="A70" s="84" t="s">
        <v>1440</v>
      </c>
      <c r="B70" s="87">
        <v>3.0</v>
      </c>
      <c r="C70" s="87">
        <v>2.0</v>
      </c>
      <c r="D70" s="84" t="s">
        <v>3416</v>
      </c>
      <c r="E70" s="94">
        <v>0.667</v>
      </c>
      <c r="F70" s="93">
        <f t="shared" si="1"/>
        <v>0.667</v>
      </c>
    </row>
    <row r="71">
      <c r="A71" s="84" t="s">
        <v>3289</v>
      </c>
      <c r="B71" s="87">
        <v>19.0</v>
      </c>
      <c r="C71" s="87">
        <v>12.0</v>
      </c>
      <c r="D71" s="84" t="s">
        <v>3414</v>
      </c>
      <c r="E71" s="94">
        <v>0.632</v>
      </c>
      <c r="F71" s="95">
        <f t="shared" si="1"/>
        <v>0.316</v>
      </c>
    </row>
    <row r="72">
      <c r="A72" s="84" t="s">
        <v>1441</v>
      </c>
      <c r="B72" s="87">
        <v>19.0</v>
      </c>
      <c r="C72" s="87">
        <v>12.0</v>
      </c>
      <c r="D72" s="84" t="s">
        <v>3414</v>
      </c>
      <c r="E72" s="94">
        <v>0.632</v>
      </c>
      <c r="F72" s="95">
        <f t="shared" si="1"/>
        <v>0.316</v>
      </c>
    </row>
    <row r="73">
      <c r="A73" s="84" t="s">
        <v>1442</v>
      </c>
      <c r="B73" s="87">
        <v>19.0</v>
      </c>
      <c r="C73" s="87">
        <v>12.0</v>
      </c>
      <c r="D73" s="84" t="s">
        <v>3414</v>
      </c>
      <c r="E73" s="94">
        <v>0.632</v>
      </c>
      <c r="F73" s="95">
        <f t="shared" si="1"/>
        <v>0.316</v>
      </c>
    </row>
    <row r="74">
      <c r="A74" s="84" t="s">
        <v>1443</v>
      </c>
      <c r="B74" s="87">
        <v>3.0</v>
      </c>
      <c r="C74" s="87">
        <v>3.0</v>
      </c>
      <c r="D74" s="84" t="s">
        <v>3415</v>
      </c>
      <c r="E74" s="94">
        <v>1.0</v>
      </c>
      <c r="F74" s="95">
        <f t="shared" si="1"/>
        <v>0.75</v>
      </c>
    </row>
    <row r="75">
      <c r="A75" s="84" t="s">
        <v>1444</v>
      </c>
      <c r="B75" s="87">
        <v>19.0</v>
      </c>
      <c r="C75" s="87">
        <v>12.0</v>
      </c>
      <c r="D75" s="84" t="s">
        <v>3414</v>
      </c>
      <c r="E75" s="94">
        <v>0.632</v>
      </c>
      <c r="F75" s="95">
        <f t="shared" si="1"/>
        <v>0.316</v>
      </c>
    </row>
    <row r="76">
      <c r="A76" s="84" t="s">
        <v>1445</v>
      </c>
      <c r="B76" s="87">
        <v>19.0</v>
      </c>
      <c r="C76" s="87">
        <v>12.0</v>
      </c>
      <c r="D76" s="84" t="s">
        <v>3414</v>
      </c>
      <c r="E76" s="94">
        <v>0.632</v>
      </c>
      <c r="F76" s="95">
        <f t="shared" si="1"/>
        <v>0.316</v>
      </c>
    </row>
    <row r="77">
      <c r="A77" s="84" t="s">
        <v>1446</v>
      </c>
      <c r="B77" s="87">
        <v>12.0</v>
      </c>
      <c r="C77" s="87">
        <v>7.0</v>
      </c>
      <c r="D77" s="84" t="s">
        <v>3415</v>
      </c>
      <c r="E77" s="94">
        <v>0.583</v>
      </c>
      <c r="F77" s="95">
        <f t="shared" si="1"/>
        <v>0.43725</v>
      </c>
    </row>
    <row r="78">
      <c r="A78" s="84" t="s">
        <v>1448</v>
      </c>
      <c r="B78" s="87">
        <v>19.0</v>
      </c>
      <c r="C78" s="87">
        <v>12.0</v>
      </c>
      <c r="D78" s="84" t="s">
        <v>3414</v>
      </c>
      <c r="E78" s="94">
        <v>0.632</v>
      </c>
      <c r="F78" s="95">
        <f t="shared" si="1"/>
        <v>0.316</v>
      </c>
    </row>
    <row r="79">
      <c r="A79" s="84" t="s">
        <v>1449</v>
      </c>
      <c r="B79" s="87">
        <v>19.0</v>
      </c>
      <c r="C79" s="87">
        <v>12.0</v>
      </c>
      <c r="D79" s="84" t="s">
        <v>3414</v>
      </c>
      <c r="E79" s="94">
        <v>0.632</v>
      </c>
      <c r="F79" s="95">
        <f t="shared" si="1"/>
        <v>0.316</v>
      </c>
    </row>
    <row r="80">
      <c r="A80" s="84" t="s">
        <v>1551</v>
      </c>
      <c r="B80" s="87">
        <v>7.0</v>
      </c>
      <c r="C80" s="87">
        <v>6.0</v>
      </c>
      <c r="D80" s="84" t="s">
        <v>3415</v>
      </c>
      <c r="E80" s="94">
        <v>0.857</v>
      </c>
      <c r="F80" s="95">
        <f t="shared" si="1"/>
        <v>0.64275</v>
      </c>
    </row>
    <row r="81">
      <c r="A81" s="84" t="s">
        <v>1554</v>
      </c>
      <c r="B81" s="87">
        <v>6.0</v>
      </c>
      <c r="C81" s="87">
        <v>4.0</v>
      </c>
      <c r="D81" s="84" t="s">
        <v>3415</v>
      </c>
      <c r="E81" s="94">
        <v>0.667</v>
      </c>
      <c r="F81" s="95">
        <f t="shared" si="1"/>
        <v>0.50025</v>
      </c>
    </row>
    <row r="82">
      <c r="A82" s="84" t="s">
        <v>1556</v>
      </c>
      <c r="B82" s="87">
        <v>6.0</v>
      </c>
      <c r="C82" s="87">
        <v>5.0</v>
      </c>
      <c r="D82" s="84" t="s">
        <v>3415</v>
      </c>
      <c r="E82" s="94">
        <v>0.833</v>
      </c>
      <c r="F82" s="95">
        <f t="shared" si="1"/>
        <v>0.62475</v>
      </c>
    </row>
    <row r="83">
      <c r="A83" s="84" t="s">
        <v>3296</v>
      </c>
      <c r="B83" s="87">
        <v>7.0</v>
      </c>
      <c r="C83" s="87">
        <v>7.0</v>
      </c>
      <c r="D83" s="84" t="s">
        <v>3415</v>
      </c>
      <c r="E83" s="94">
        <v>1.0</v>
      </c>
      <c r="F83" s="95">
        <f t="shared" si="1"/>
        <v>0.75</v>
      </c>
    </row>
    <row r="84">
      <c r="A84" s="84" t="s">
        <v>1560</v>
      </c>
      <c r="B84" s="87">
        <v>9.0</v>
      </c>
      <c r="C84" s="87">
        <v>7.0</v>
      </c>
      <c r="D84" s="84" t="s">
        <v>3415</v>
      </c>
      <c r="E84" s="94">
        <v>0.778</v>
      </c>
      <c r="F84" s="95">
        <f t="shared" si="1"/>
        <v>0.5835</v>
      </c>
    </row>
    <row r="85">
      <c r="A85" s="84" t="s">
        <v>1562</v>
      </c>
      <c r="B85" s="87">
        <v>36.0</v>
      </c>
      <c r="C85" s="87">
        <v>30.0</v>
      </c>
      <c r="D85" s="84" t="s">
        <v>3414</v>
      </c>
      <c r="E85" s="94">
        <v>0.833</v>
      </c>
      <c r="F85" s="95">
        <f t="shared" si="1"/>
        <v>0.4165</v>
      </c>
    </row>
    <row r="86">
      <c r="A86" s="84" t="s">
        <v>1563</v>
      </c>
      <c r="B86" s="87">
        <v>7.0</v>
      </c>
      <c r="C86" s="87">
        <v>6.0</v>
      </c>
      <c r="D86" s="84" t="s">
        <v>3415</v>
      </c>
      <c r="E86" s="94">
        <v>0.857</v>
      </c>
      <c r="F86" s="95">
        <f t="shared" si="1"/>
        <v>0.64275</v>
      </c>
    </row>
    <row r="87">
      <c r="A87" s="84" t="s">
        <v>1564</v>
      </c>
      <c r="B87" s="87">
        <v>6.0</v>
      </c>
      <c r="C87" s="87">
        <v>4.0</v>
      </c>
      <c r="D87" s="84" t="s">
        <v>3415</v>
      </c>
      <c r="E87" s="94">
        <v>0.667</v>
      </c>
      <c r="F87" s="95">
        <f t="shared" si="1"/>
        <v>0.50025</v>
      </c>
    </row>
    <row r="88">
      <c r="A88" s="84" t="s">
        <v>1565</v>
      </c>
      <c r="B88" s="87">
        <v>6.0</v>
      </c>
      <c r="C88" s="87">
        <v>5.0</v>
      </c>
      <c r="D88" s="84" t="s">
        <v>3415</v>
      </c>
      <c r="E88" s="94">
        <v>0.833</v>
      </c>
      <c r="F88" s="95">
        <f t="shared" si="1"/>
        <v>0.62475</v>
      </c>
    </row>
    <row r="89">
      <c r="A89" s="84" t="s">
        <v>1566</v>
      </c>
      <c r="B89" s="87">
        <v>36.0</v>
      </c>
      <c r="C89" s="87">
        <v>30.0</v>
      </c>
      <c r="D89" s="84" t="s">
        <v>3414</v>
      </c>
      <c r="E89" s="94">
        <v>0.833</v>
      </c>
      <c r="F89" s="95">
        <f t="shared" si="1"/>
        <v>0.4165</v>
      </c>
    </row>
    <row r="90">
      <c r="A90" s="84" t="s">
        <v>1568</v>
      </c>
      <c r="B90" s="87">
        <v>7.0</v>
      </c>
      <c r="C90" s="87">
        <v>7.0</v>
      </c>
      <c r="D90" s="84" t="s">
        <v>3415</v>
      </c>
      <c r="E90" s="94">
        <v>1.0</v>
      </c>
      <c r="F90" s="95">
        <f t="shared" si="1"/>
        <v>0.75</v>
      </c>
    </row>
    <row r="91">
      <c r="A91" s="84" t="s">
        <v>1569</v>
      </c>
      <c r="B91" s="87">
        <v>9.0</v>
      </c>
      <c r="C91" s="87">
        <v>7.0</v>
      </c>
      <c r="D91" s="84" t="s">
        <v>3415</v>
      </c>
      <c r="E91" s="94">
        <v>0.778</v>
      </c>
      <c r="F91" s="95">
        <f t="shared" si="1"/>
        <v>0.5835</v>
      </c>
    </row>
    <row r="92">
      <c r="A92" s="84" t="s">
        <v>1570</v>
      </c>
      <c r="B92" s="87">
        <v>36.0</v>
      </c>
      <c r="C92" s="87">
        <v>30.0</v>
      </c>
      <c r="D92" s="84" t="s">
        <v>3414</v>
      </c>
      <c r="E92" s="94">
        <v>0.833</v>
      </c>
      <c r="F92" s="95">
        <f t="shared" si="1"/>
        <v>0.4165</v>
      </c>
    </row>
    <row r="93">
      <c r="A93" s="84" t="s">
        <v>2538</v>
      </c>
      <c r="B93" s="87">
        <v>50.0</v>
      </c>
      <c r="C93" s="87">
        <v>44.0</v>
      </c>
      <c r="D93" s="84" t="s">
        <v>3414</v>
      </c>
      <c r="E93" s="94">
        <v>0.88</v>
      </c>
      <c r="F93" s="95">
        <f t="shared" si="1"/>
        <v>0.44</v>
      </c>
    </row>
    <row r="94">
      <c r="A94" s="84" t="s">
        <v>2541</v>
      </c>
      <c r="B94" s="87">
        <v>50.0</v>
      </c>
      <c r="C94" s="87">
        <v>44.0</v>
      </c>
      <c r="D94" s="84" t="s">
        <v>3414</v>
      </c>
      <c r="E94" s="94">
        <v>0.88</v>
      </c>
      <c r="F94" s="95">
        <f t="shared" si="1"/>
        <v>0.44</v>
      </c>
    </row>
    <row r="95">
      <c r="A95" s="84" t="s">
        <v>2545</v>
      </c>
      <c r="B95" s="87">
        <v>30.0</v>
      </c>
      <c r="C95" s="87">
        <v>26.0</v>
      </c>
      <c r="D95" s="84" t="s">
        <v>3415</v>
      </c>
      <c r="E95" s="94">
        <v>0.867</v>
      </c>
      <c r="F95" s="95">
        <f t="shared" si="1"/>
        <v>0.65025</v>
      </c>
    </row>
    <row r="96">
      <c r="A96" s="84" t="s">
        <v>2547</v>
      </c>
      <c r="B96" s="87">
        <v>50.0</v>
      </c>
      <c r="C96" s="87">
        <v>44.0</v>
      </c>
      <c r="D96" s="84" t="s">
        <v>3414</v>
      </c>
      <c r="E96" s="94">
        <v>0.88</v>
      </c>
      <c r="F96" s="95">
        <f t="shared" si="1"/>
        <v>0.44</v>
      </c>
    </row>
    <row r="97">
      <c r="A97" s="84" t="s">
        <v>2549</v>
      </c>
      <c r="B97" s="87">
        <v>50.0</v>
      </c>
      <c r="C97" s="87">
        <v>44.0</v>
      </c>
      <c r="D97" s="84" t="s">
        <v>3414</v>
      </c>
      <c r="E97" s="94">
        <v>0.88</v>
      </c>
      <c r="F97" s="95">
        <f t="shared" si="1"/>
        <v>0.44</v>
      </c>
    </row>
    <row r="98">
      <c r="A98" s="84" t="s">
        <v>2467</v>
      </c>
      <c r="B98" s="87">
        <v>117.0</v>
      </c>
      <c r="C98" s="87">
        <v>64.0</v>
      </c>
      <c r="D98" s="84" t="s">
        <v>3414</v>
      </c>
      <c r="E98" s="94">
        <v>0.547</v>
      </c>
      <c r="F98" s="95">
        <f t="shared" si="1"/>
        <v>0.2735</v>
      </c>
    </row>
    <row r="99">
      <c r="A99" s="84" t="s">
        <v>2470</v>
      </c>
      <c r="B99" s="87">
        <v>8.0</v>
      </c>
      <c r="C99" s="87">
        <v>6.0</v>
      </c>
      <c r="D99" s="84" t="s">
        <v>3415</v>
      </c>
      <c r="E99" s="94">
        <v>0.75</v>
      </c>
      <c r="F99" s="95">
        <f t="shared" si="1"/>
        <v>0.5625</v>
      </c>
    </row>
    <row r="100">
      <c r="A100" s="84" t="s">
        <v>2472</v>
      </c>
      <c r="B100" s="87">
        <v>15.0</v>
      </c>
      <c r="C100" s="87">
        <v>9.0</v>
      </c>
      <c r="D100" s="84" t="s">
        <v>3415</v>
      </c>
      <c r="E100" s="94">
        <v>0.6</v>
      </c>
      <c r="F100" s="95">
        <f t="shared" si="1"/>
        <v>0.45</v>
      </c>
    </row>
    <row r="101">
      <c r="A101" s="84" t="s">
        <v>2474</v>
      </c>
      <c r="B101" s="87">
        <v>13.0</v>
      </c>
      <c r="C101" s="87">
        <v>7.0</v>
      </c>
      <c r="D101" s="84" t="s">
        <v>3415</v>
      </c>
      <c r="E101" s="94">
        <v>0.538</v>
      </c>
      <c r="F101" s="95">
        <f t="shared" si="1"/>
        <v>0.4035</v>
      </c>
    </row>
    <row r="102">
      <c r="A102" s="84" t="s">
        <v>2476</v>
      </c>
      <c r="B102" s="87">
        <v>5.0</v>
      </c>
      <c r="C102" s="87">
        <v>4.0</v>
      </c>
      <c r="D102" s="84" t="s">
        <v>3416</v>
      </c>
      <c r="E102" s="94">
        <v>0.8</v>
      </c>
      <c r="F102" s="93">
        <f t="shared" si="1"/>
        <v>0.8</v>
      </c>
    </row>
    <row r="103">
      <c r="A103" s="84" t="s">
        <v>2478</v>
      </c>
      <c r="B103" s="87">
        <v>4.0</v>
      </c>
      <c r="C103" s="87">
        <v>3.0</v>
      </c>
      <c r="D103" s="84" t="s">
        <v>3415</v>
      </c>
      <c r="E103" s="94">
        <v>0.75</v>
      </c>
      <c r="F103" s="95">
        <f t="shared" si="1"/>
        <v>0.5625</v>
      </c>
    </row>
    <row r="104">
      <c r="A104" s="84" t="s">
        <v>2480</v>
      </c>
      <c r="B104" s="87">
        <v>25.0</v>
      </c>
      <c r="C104" s="87">
        <v>0.0</v>
      </c>
      <c r="D104" s="84" t="s">
        <v>3415</v>
      </c>
      <c r="E104" s="94">
        <v>0.0</v>
      </c>
      <c r="F104" s="95">
        <f t="shared" si="1"/>
        <v>0</v>
      </c>
    </row>
    <row r="105">
      <c r="A105" s="84" t="s">
        <v>1861</v>
      </c>
      <c r="B105" s="87">
        <v>52.0</v>
      </c>
      <c r="C105" s="87">
        <v>37.0</v>
      </c>
      <c r="D105" s="84" t="s">
        <v>3414</v>
      </c>
      <c r="E105" s="94">
        <v>0.712</v>
      </c>
      <c r="F105" s="95">
        <f t="shared" si="1"/>
        <v>0.356</v>
      </c>
    </row>
    <row r="106">
      <c r="A106" s="84" t="s">
        <v>1863</v>
      </c>
      <c r="B106" s="87">
        <v>6.0</v>
      </c>
      <c r="C106" s="87">
        <v>3.0</v>
      </c>
      <c r="D106" s="84" t="s">
        <v>3415</v>
      </c>
      <c r="E106" s="94">
        <v>0.5</v>
      </c>
      <c r="F106" s="95">
        <f t="shared" si="1"/>
        <v>0.375</v>
      </c>
    </row>
    <row r="107">
      <c r="A107" s="84" t="s">
        <v>1864</v>
      </c>
      <c r="B107" s="87">
        <v>8.0</v>
      </c>
      <c r="C107" s="87">
        <v>6.0</v>
      </c>
      <c r="D107" s="84" t="s">
        <v>3415</v>
      </c>
      <c r="E107" s="94">
        <v>0.75</v>
      </c>
      <c r="F107" s="95">
        <f t="shared" si="1"/>
        <v>0.5625</v>
      </c>
    </row>
    <row r="108">
      <c r="A108" s="84" t="s">
        <v>1865</v>
      </c>
      <c r="B108" s="87">
        <v>4.0</v>
      </c>
      <c r="C108" s="87">
        <v>3.0</v>
      </c>
      <c r="D108" s="84" t="s">
        <v>3415</v>
      </c>
      <c r="E108" s="94">
        <v>0.75</v>
      </c>
      <c r="F108" s="95">
        <f t="shared" si="1"/>
        <v>0.5625</v>
      </c>
    </row>
    <row r="109">
      <c r="A109" s="84" t="s">
        <v>1866</v>
      </c>
      <c r="B109" s="87">
        <v>24.0</v>
      </c>
      <c r="C109" s="87">
        <v>17.0</v>
      </c>
      <c r="D109" s="84" t="s">
        <v>3415</v>
      </c>
      <c r="E109" s="94">
        <v>0.708</v>
      </c>
      <c r="F109" s="95">
        <f t="shared" si="1"/>
        <v>0.531</v>
      </c>
    </row>
    <row r="110">
      <c r="A110" s="84" t="s">
        <v>1867</v>
      </c>
      <c r="B110" s="87">
        <v>9.0</v>
      </c>
      <c r="C110" s="87">
        <v>7.0</v>
      </c>
      <c r="D110" s="84" t="s">
        <v>3415</v>
      </c>
      <c r="E110" s="94">
        <v>0.778</v>
      </c>
      <c r="F110" s="95">
        <f t="shared" si="1"/>
        <v>0.5835</v>
      </c>
    </row>
    <row r="111">
      <c r="A111" s="84" t="s">
        <v>1868</v>
      </c>
      <c r="B111" s="87">
        <v>52.0</v>
      </c>
      <c r="C111" s="87">
        <v>37.0</v>
      </c>
      <c r="D111" s="84" t="s">
        <v>3414</v>
      </c>
      <c r="E111" s="94">
        <v>0.712</v>
      </c>
      <c r="F111" s="95">
        <f t="shared" si="1"/>
        <v>0.356</v>
      </c>
    </row>
    <row r="112">
      <c r="A112" s="84" t="s">
        <v>2401</v>
      </c>
      <c r="B112" s="87">
        <v>3.0</v>
      </c>
      <c r="C112" s="87">
        <v>3.0</v>
      </c>
      <c r="D112" s="84" t="s">
        <v>3416</v>
      </c>
      <c r="E112" s="94">
        <v>1.0</v>
      </c>
      <c r="F112" s="93">
        <f t="shared" si="1"/>
        <v>1</v>
      </c>
    </row>
    <row r="113">
      <c r="A113" s="84" t="s">
        <v>2403</v>
      </c>
      <c r="B113" s="87">
        <v>4.0</v>
      </c>
      <c r="C113" s="87">
        <v>4.0</v>
      </c>
      <c r="D113" s="84" t="s">
        <v>3416</v>
      </c>
      <c r="E113" s="94">
        <v>1.0</v>
      </c>
      <c r="F113" s="93">
        <f t="shared" si="1"/>
        <v>1</v>
      </c>
    </row>
    <row r="114">
      <c r="A114" s="84" t="s">
        <v>2404</v>
      </c>
      <c r="B114" s="87">
        <v>3.0</v>
      </c>
      <c r="C114" s="87">
        <v>2.0</v>
      </c>
      <c r="D114" s="84" t="s">
        <v>3415</v>
      </c>
      <c r="E114" s="94">
        <v>0.667</v>
      </c>
      <c r="F114" s="95">
        <f t="shared" si="1"/>
        <v>0.50025</v>
      </c>
    </row>
    <row r="115">
      <c r="A115" s="84" t="s">
        <v>2405</v>
      </c>
      <c r="B115" s="87">
        <v>10.0</v>
      </c>
      <c r="C115" s="87">
        <v>7.0</v>
      </c>
      <c r="D115" s="84" t="s">
        <v>3415</v>
      </c>
      <c r="E115" s="94">
        <v>0.7</v>
      </c>
      <c r="F115" s="95">
        <f t="shared" si="1"/>
        <v>0.525</v>
      </c>
    </row>
    <row r="116">
      <c r="A116" s="84" t="s">
        <v>2406</v>
      </c>
      <c r="B116" s="87">
        <v>3.0</v>
      </c>
      <c r="C116" s="87">
        <v>3.0</v>
      </c>
      <c r="D116" s="84" t="s">
        <v>3416</v>
      </c>
      <c r="E116" s="94">
        <v>1.0</v>
      </c>
      <c r="F116" s="93">
        <f t="shared" si="1"/>
        <v>1</v>
      </c>
    </row>
    <row r="117">
      <c r="A117" s="84" t="s">
        <v>2407</v>
      </c>
      <c r="B117" s="87">
        <v>88.0</v>
      </c>
      <c r="C117" s="87">
        <v>76.0</v>
      </c>
      <c r="D117" s="84" t="s">
        <v>3414</v>
      </c>
      <c r="E117" s="94">
        <v>0.864</v>
      </c>
      <c r="F117" s="95">
        <f t="shared" si="1"/>
        <v>0.432</v>
      </c>
    </row>
    <row r="118">
      <c r="A118" s="84" t="s">
        <v>2411</v>
      </c>
      <c r="B118" s="87">
        <v>10.0</v>
      </c>
      <c r="C118" s="87">
        <v>7.0</v>
      </c>
      <c r="D118" s="84" t="s">
        <v>3415</v>
      </c>
      <c r="E118" s="94">
        <v>0.7</v>
      </c>
      <c r="F118" s="95">
        <f t="shared" si="1"/>
        <v>0.525</v>
      </c>
    </row>
    <row r="119">
      <c r="A119" s="84" t="s">
        <v>2142</v>
      </c>
      <c r="B119" s="87">
        <v>3.0</v>
      </c>
      <c r="C119" s="87">
        <v>3.0</v>
      </c>
      <c r="D119" s="84" t="s">
        <v>3416</v>
      </c>
      <c r="E119" s="94">
        <v>1.0</v>
      </c>
      <c r="F119" s="93">
        <f t="shared" si="1"/>
        <v>1</v>
      </c>
    </row>
    <row r="120">
      <c r="A120" s="84" t="s">
        <v>2144</v>
      </c>
      <c r="B120" s="87">
        <v>4.0</v>
      </c>
      <c r="C120" s="87">
        <v>4.0</v>
      </c>
      <c r="D120" s="84" t="s">
        <v>3414</v>
      </c>
      <c r="E120" s="94">
        <v>1.0</v>
      </c>
      <c r="F120" s="95">
        <f t="shared" si="1"/>
        <v>0.5</v>
      </c>
    </row>
    <row r="121">
      <c r="A121" s="84" t="s">
        <v>2146</v>
      </c>
      <c r="B121" s="87">
        <v>4.0</v>
      </c>
      <c r="C121" s="87">
        <v>4.0</v>
      </c>
      <c r="D121" s="84" t="s">
        <v>3414</v>
      </c>
      <c r="E121" s="94">
        <v>1.0</v>
      </c>
      <c r="F121" s="95">
        <f t="shared" si="1"/>
        <v>0.5</v>
      </c>
    </row>
    <row r="122">
      <c r="A122" s="84" t="s">
        <v>2148</v>
      </c>
      <c r="B122" s="87">
        <v>4.0</v>
      </c>
      <c r="C122" s="87">
        <v>4.0</v>
      </c>
      <c r="D122" s="84" t="s">
        <v>3414</v>
      </c>
      <c r="E122" s="94">
        <v>1.0</v>
      </c>
      <c r="F122" s="95">
        <f t="shared" si="1"/>
        <v>0.5</v>
      </c>
    </row>
    <row r="123">
      <c r="A123" s="84" t="s">
        <v>2150</v>
      </c>
      <c r="B123" s="87">
        <v>4.0</v>
      </c>
      <c r="C123" s="87">
        <v>4.0</v>
      </c>
      <c r="D123" s="84" t="s">
        <v>3414</v>
      </c>
      <c r="E123" s="94">
        <v>1.0</v>
      </c>
      <c r="F123" s="95">
        <f t="shared" si="1"/>
        <v>0.5</v>
      </c>
    </row>
    <row r="124">
      <c r="A124" s="84" t="s">
        <v>2028</v>
      </c>
      <c r="B124" s="87">
        <v>4.0</v>
      </c>
      <c r="C124" s="87">
        <v>4.0</v>
      </c>
      <c r="D124" s="84" t="s">
        <v>3414</v>
      </c>
      <c r="E124" s="94">
        <v>1.0</v>
      </c>
      <c r="F124" s="95">
        <f t="shared" si="1"/>
        <v>0.5</v>
      </c>
    </row>
    <row r="125">
      <c r="A125" s="84" t="s">
        <v>3092</v>
      </c>
      <c r="B125" s="87">
        <v>12.0</v>
      </c>
      <c r="C125" s="87">
        <v>7.0</v>
      </c>
      <c r="D125" s="84" t="s">
        <v>3415</v>
      </c>
      <c r="E125" s="94">
        <v>0.583</v>
      </c>
      <c r="F125" s="95">
        <f t="shared" si="1"/>
        <v>0.43725</v>
      </c>
    </row>
    <row r="126">
      <c r="A126" s="84" t="s">
        <v>3094</v>
      </c>
      <c r="B126" s="87">
        <v>6.0</v>
      </c>
      <c r="C126" s="87">
        <v>3.0</v>
      </c>
      <c r="D126" s="84" t="s">
        <v>3416</v>
      </c>
      <c r="E126" s="94">
        <v>0.5</v>
      </c>
      <c r="F126" s="93">
        <f t="shared" si="1"/>
        <v>0.5</v>
      </c>
    </row>
    <row r="127">
      <c r="A127" s="84" t="s">
        <v>3096</v>
      </c>
      <c r="B127" s="87">
        <v>5.0</v>
      </c>
      <c r="C127" s="87">
        <v>3.0</v>
      </c>
      <c r="D127" s="84" t="s">
        <v>3416</v>
      </c>
      <c r="E127" s="94">
        <v>0.6</v>
      </c>
      <c r="F127" s="93">
        <f t="shared" si="1"/>
        <v>0.6</v>
      </c>
    </row>
    <row r="128">
      <c r="A128" s="84" t="s">
        <v>3098</v>
      </c>
      <c r="B128" s="87">
        <v>11.0</v>
      </c>
      <c r="C128" s="87">
        <v>10.0</v>
      </c>
      <c r="D128" s="84" t="s">
        <v>3415</v>
      </c>
      <c r="E128" s="94">
        <v>0.909</v>
      </c>
      <c r="F128" s="95">
        <f t="shared" si="1"/>
        <v>0.68175</v>
      </c>
    </row>
    <row r="129">
      <c r="A129" s="84" t="s">
        <v>3099</v>
      </c>
      <c r="B129" s="87">
        <v>4.0</v>
      </c>
      <c r="C129" s="87">
        <v>4.0</v>
      </c>
      <c r="D129" s="84" t="s">
        <v>3416</v>
      </c>
      <c r="E129" s="94">
        <v>1.0</v>
      </c>
      <c r="F129" s="93">
        <f t="shared" si="1"/>
        <v>1</v>
      </c>
    </row>
    <row r="130">
      <c r="A130" s="84" t="s">
        <v>3101</v>
      </c>
      <c r="B130" s="87">
        <v>9.0</v>
      </c>
      <c r="C130" s="87">
        <v>6.0</v>
      </c>
      <c r="D130" s="84" t="s">
        <v>3415</v>
      </c>
      <c r="E130" s="94">
        <v>0.667</v>
      </c>
      <c r="F130" s="95">
        <f t="shared" si="1"/>
        <v>0.50025</v>
      </c>
    </row>
    <row r="131">
      <c r="A131" s="84" t="s">
        <v>3102</v>
      </c>
      <c r="B131" s="87">
        <v>8.0</v>
      </c>
      <c r="C131" s="87">
        <v>0.0</v>
      </c>
      <c r="D131" s="84" t="s">
        <v>3415</v>
      </c>
      <c r="E131" s="94">
        <v>0.0</v>
      </c>
      <c r="F131" s="95">
        <f t="shared" si="1"/>
        <v>0</v>
      </c>
    </row>
    <row r="132">
      <c r="A132" s="84" t="s">
        <v>2973</v>
      </c>
      <c r="B132" s="87">
        <v>34.0</v>
      </c>
      <c r="C132" s="87">
        <v>16.0</v>
      </c>
      <c r="D132" s="84" t="s">
        <v>3414</v>
      </c>
      <c r="E132" s="94">
        <v>0.471</v>
      </c>
      <c r="F132" s="95">
        <f t="shared" si="1"/>
        <v>0.2355</v>
      </c>
    </row>
    <row r="133">
      <c r="A133" s="84" t="s">
        <v>2608</v>
      </c>
      <c r="B133" s="87">
        <v>39.0</v>
      </c>
      <c r="C133" s="87">
        <v>32.0</v>
      </c>
      <c r="D133" s="84" t="s">
        <v>3414</v>
      </c>
      <c r="E133" s="94">
        <v>0.821</v>
      </c>
      <c r="F133" s="95">
        <f t="shared" si="1"/>
        <v>0.4105</v>
      </c>
    </row>
    <row r="134">
      <c r="A134" s="84" t="s">
        <v>3360</v>
      </c>
      <c r="B134" s="87">
        <v>6.0</v>
      </c>
      <c r="C134" s="87">
        <v>6.0</v>
      </c>
      <c r="D134" s="84" t="s">
        <v>3415</v>
      </c>
      <c r="E134" s="94">
        <v>1.0</v>
      </c>
      <c r="F134" s="95">
        <f t="shared" si="1"/>
        <v>0.75</v>
      </c>
    </row>
    <row r="135">
      <c r="A135" s="84" t="s">
        <v>3361</v>
      </c>
      <c r="B135" s="87">
        <v>27.0</v>
      </c>
      <c r="C135" s="87">
        <v>20.0</v>
      </c>
      <c r="D135" s="84" t="s">
        <v>3415</v>
      </c>
      <c r="E135" s="94">
        <v>0.741</v>
      </c>
      <c r="F135" s="95">
        <f t="shared" si="1"/>
        <v>0.55575</v>
      </c>
    </row>
    <row r="136">
      <c r="A136" s="84" t="s">
        <v>3362</v>
      </c>
      <c r="B136" s="87">
        <v>39.0</v>
      </c>
      <c r="C136" s="87">
        <v>32.0</v>
      </c>
      <c r="D136" s="84" t="s">
        <v>3414</v>
      </c>
      <c r="E136" s="94">
        <v>0.821</v>
      </c>
      <c r="F136" s="95">
        <f t="shared" si="1"/>
        <v>0.4105</v>
      </c>
    </row>
    <row r="137">
      <c r="A137" s="84" t="s">
        <v>2612</v>
      </c>
      <c r="B137" s="87">
        <v>39.0</v>
      </c>
      <c r="C137" s="87">
        <v>32.0</v>
      </c>
      <c r="D137" s="84" t="s">
        <v>3414</v>
      </c>
      <c r="E137" s="94">
        <v>0.821</v>
      </c>
      <c r="F137" s="95">
        <f t="shared" si="1"/>
        <v>0.4105</v>
      </c>
    </row>
    <row r="138">
      <c r="A138" s="84" t="s">
        <v>2464</v>
      </c>
      <c r="B138" s="87">
        <v>10.0</v>
      </c>
      <c r="C138" s="87">
        <v>7.0</v>
      </c>
      <c r="D138" s="84" t="s">
        <v>3415</v>
      </c>
      <c r="E138" s="94">
        <v>0.7</v>
      </c>
      <c r="F138" s="95">
        <f t="shared" si="1"/>
        <v>0.525</v>
      </c>
    </row>
    <row r="139">
      <c r="A139" s="84" t="s">
        <v>3313</v>
      </c>
      <c r="B139" s="87">
        <v>0.0</v>
      </c>
      <c r="C139" s="87">
        <v>0.0</v>
      </c>
      <c r="D139" s="84" t="s">
        <v>3412</v>
      </c>
      <c r="E139" s="92" t="s">
        <v>3413</v>
      </c>
      <c r="F139" s="93" t="str">
        <f t="shared" si="1"/>
        <v>Not Applicable</v>
      </c>
    </row>
    <row r="140">
      <c r="A140" s="84" t="s">
        <v>1788</v>
      </c>
      <c r="B140" s="87">
        <v>11.0</v>
      </c>
      <c r="C140" s="87">
        <v>7.0</v>
      </c>
      <c r="D140" s="84" t="s">
        <v>3414</v>
      </c>
      <c r="E140" s="94">
        <v>0.636</v>
      </c>
      <c r="F140" s="95">
        <f t="shared" si="1"/>
        <v>0.318</v>
      </c>
    </row>
    <row r="141">
      <c r="A141" s="84" t="s">
        <v>1790</v>
      </c>
      <c r="B141" s="87">
        <v>3.0</v>
      </c>
      <c r="C141" s="87">
        <v>2.0</v>
      </c>
      <c r="D141" s="84" t="s">
        <v>3416</v>
      </c>
      <c r="E141" s="94">
        <v>0.667</v>
      </c>
      <c r="F141" s="93">
        <f t="shared" si="1"/>
        <v>0.667</v>
      </c>
    </row>
    <row r="142">
      <c r="A142" s="84" t="s">
        <v>1792</v>
      </c>
      <c r="B142" s="87">
        <v>11.0</v>
      </c>
      <c r="C142" s="87">
        <v>7.0</v>
      </c>
      <c r="D142" s="84" t="s">
        <v>3414</v>
      </c>
      <c r="E142" s="94">
        <v>0.636</v>
      </c>
      <c r="F142" s="95">
        <f t="shared" si="1"/>
        <v>0.318</v>
      </c>
    </row>
    <row r="143">
      <c r="A143" s="84" t="s">
        <v>1794</v>
      </c>
      <c r="B143" s="87">
        <v>11.0</v>
      </c>
      <c r="C143" s="87">
        <v>7.0</v>
      </c>
      <c r="D143" s="84" t="s">
        <v>3414</v>
      </c>
      <c r="E143" s="94">
        <v>0.636</v>
      </c>
      <c r="F143" s="95">
        <f t="shared" si="1"/>
        <v>0.318</v>
      </c>
    </row>
    <row r="144">
      <c r="A144" s="84" t="s">
        <v>1796</v>
      </c>
      <c r="B144" s="87">
        <v>11.0</v>
      </c>
      <c r="C144" s="87">
        <v>7.0</v>
      </c>
      <c r="D144" s="84" t="s">
        <v>3414</v>
      </c>
      <c r="E144" s="94">
        <v>0.636</v>
      </c>
      <c r="F144" s="95">
        <f t="shared" si="1"/>
        <v>0.318</v>
      </c>
    </row>
    <row r="145">
      <c r="A145" s="84" t="s">
        <v>1798</v>
      </c>
      <c r="B145" s="87">
        <v>11.0</v>
      </c>
      <c r="C145" s="87">
        <v>7.0</v>
      </c>
      <c r="D145" s="84" t="s">
        <v>3414</v>
      </c>
      <c r="E145" s="94">
        <v>0.636</v>
      </c>
      <c r="F145" s="95">
        <f t="shared" si="1"/>
        <v>0.318</v>
      </c>
    </row>
    <row r="146">
      <c r="A146" s="84" t="s">
        <v>1800</v>
      </c>
      <c r="B146" s="87">
        <v>11.0</v>
      </c>
      <c r="C146" s="87">
        <v>7.0</v>
      </c>
      <c r="D146" s="84" t="s">
        <v>3414</v>
      </c>
      <c r="E146" s="94">
        <v>0.636</v>
      </c>
      <c r="F146" s="95">
        <f t="shared" si="1"/>
        <v>0.318</v>
      </c>
    </row>
    <row r="147">
      <c r="A147" s="84" t="s">
        <v>3216</v>
      </c>
      <c r="B147" s="87">
        <v>105.0</v>
      </c>
      <c r="C147" s="87">
        <v>61.0</v>
      </c>
      <c r="D147" s="84" t="s">
        <v>3414</v>
      </c>
      <c r="E147" s="94">
        <v>0.581</v>
      </c>
      <c r="F147" s="95">
        <f t="shared" si="1"/>
        <v>0.2905</v>
      </c>
    </row>
    <row r="148">
      <c r="A148" s="84" t="s">
        <v>3218</v>
      </c>
      <c r="B148" s="87">
        <v>79.0</v>
      </c>
      <c r="C148" s="87">
        <v>49.0</v>
      </c>
      <c r="D148" s="84" t="s">
        <v>3415</v>
      </c>
      <c r="E148" s="94">
        <v>0.62</v>
      </c>
      <c r="F148" s="95">
        <f t="shared" si="1"/>
        <v>0.465</v>
      </c>
    </row>
    <row r="149">
      <c r="A149" s="84" t="s">
        <v>3219</v>
      </c>
      <c r="B149" s="87">
        <v>14.0</v>
      </c>
      <c r="C149" s="87">
        <v>0.0</v>
      </c>
      <c r="D149" s="84" t="s">
        <v>3415</v>
      </c>
      <c r="E149" s="94">
        <v>0.0</v>
      </c>
      <c r="F149" s="95">
        <f t="shared" si="1"/>
        <v>0</v>
      </c>
    </row>
    <row r="150">
      <c r="A150" s="84" t="s">
        <v>3303</v>
      </c>
      <c r="B150" s="87">
        <v>0.0</v>
      </c>
      <c r="C150" s="87">
        <v>0.0</v>
      </c>
      <c r="D150" s="84" t="s">
        <v>3412</v>
      </c>
      <c r="E150" s="92" t="s">
        <v>3413</v>
      </c>
      <c r="F150" s="93" t="str">
        <f t="shared" si="1"/>
        <v>Not Applicable</v>
      </c>
    </row>
    <row r="151">
      <c r="A151" s="84" t="s">
        <v>1623</v>
      </c>
      <c r="B151" s="87">
        <v>0.0</v>
      </c>
      <c r="C151" s="87">
        <v>0.0</v>
      </c>
      <c r="D151" s="84" t="s">
        <v>3412</v>
      </c>
      <c r="E151" s="92" t="s">
        <v>3413</v>
      </c>
      <c r="F151" s="93" t="str">
        <f t="shared" si="1"/>
        <v>Not Applicable</v>
      </c>
    </row>
    <row r="152">
      <c r="A152" s="84" t="s">
        <v>2481</v>
      </c>
      <c r="B152" s="87">
        <v>117.0</v>
      </c>
      <c r="C152" s="87">
        <v>64.0</v>
      </c>
      <c r="D152" s="84" t="s">
        <v>3414</v>
      </c>
      <c r="E152" s="94">
        <v>0.547</v>
      </c>
      <c r="F152" s="95">
        <f t="shared" si="1"/>
        <v>0.2735</v>
      </c>
    </row>
    <row r="153">
      <c r="A153" s="84" t="s">
        <v>2482</v>
      </c>
      <c r="B153" s="87">
        <v>5.0</v>
      </c>
      <c r="C153" s="87">
        <v>4.0</v>
      </c>
      <c r="D153" s="84" t="s">
        <v>3416</v>
      </c>
      <c r="E153" s="94">
        <v>0.8</v>
      </c>
      <c r="F153" s="93">
        <f t="shared" si="1"/>
        <v>0.8</v>
      </c>
    </row>
    <row r="154">
      <c r="A154" s="84" t="s">
        <v>2483</v>
      </c>
      <c r="B154" s="87">
        <v>7.0</v>
      </c>
      <c r="C154" s="87">
        <v>5.0</v>
      </c>
      <c r="D154" s="84" t="s">
        <v>3416</v>
      </c>
      <c r="E154" s="94">
        <v>0.714</v>
      </c>
      <c r="F154" s="93">
        <f t="shared" si="1"/>
        <v>0.714</v>
      </c>
    </row>
    <row r="155">
      <c r="A155" s="84" t="s">
        <v>2484</v>
      </c>
      <c r="B155" s="87">
        <v>13.0</v>
      </c>
      <c r="C155" s="87">
        <v>7.0</v>
      </c>
      <c r="D155" s="84" t="s">
        <v>3415</v>
      </c>
      <c r="E155" s="94">
        <v>0.538</v>
      </c>
      <c r="F155" s="95">
        <f t="shared" si="1"/>
        <v>0.4035</v>
      </c>
    </row>
    <row r="156">
      <c r="A156" s="84" t="s">
        <v>2485</v>
      </c>
      <c r="B156" s="87">
        <v>18.0</v>
      </c>
      <c r="C156" s="87">
        <v>13.0</v>
      </c>
      <c r="D156" s="84" t="s">
        <v>3416</v>
      </c>
      <c r="E156" s="94">
        <v>0.722</v>
      </c>
      <c r="F156" s="93">
        <f t="shared" si="1"/>
        <v>0.722</v>
      </c>
    </row>
    <row r="157">
      <c r="A157" s="84" t="s">
        <v>2486</v>
      </c>
      <c r="B157" s="87">
        <v>4.0</v>
      </c>
      <c r="C157" s="87">
        <v>3.0</v>
      </c>
      <c r="D157" s="84" t="s">
        <v>3415</v>
      </c>
      <c r="E157" s="94">
        <v>0.75</v>
      </c>
      <c r="F157" s="95">
        <f t="shared" si="1"/>
        <v>0.5625</v>
      </c>
    </row>
    <row r="158">
      <c r="A158" s="84" t="s">
        <v>2487</v>
      </c>
      <c r="B158" s="87">
        <v>25.0</v>
      </c>
      <c r="C158" s="87">
        <v>0.0</v>
      </c>
      <c r="D158" s="84" t="s">
        <v>3415</v>
      </c>
      <c r="E158" s="94">
        <v>0.0</v>
      </c>
      <c r="F158" s="95">
        <f t="shared" si="1"/>
        <v>0</v>
      </c>
    </row>
    <row r="159">
      <c r="A159" s="84" t="s">
        <v>2127</v>
      </c>
      <c r="B159" s="87">
        <v>0.0</v>
      </c>
      <c r="C159" s="87">
        <v>0.0</v>
      </c>
      <c r="D159" s="84" t="s">
        <v>3412</v>
      </c>
      <c r="E159" s="92" t="s">
        <v>3413</v>
      </c>
      <c r="F159" s="93" t="str">
        <f t="shared" si="1"/>
        <v>Not Applicable</v>
      </c>
    </row>
    <row r="160">
      <c r="A160" s="84" t="s">
        <v>2129</v>
      </c>
      <c r="B160" s="87">
        <v>0.0</v>
      </c>
      <c r="C160" s="87">
        <v>0.0</v>
      </c>
      <c r="D160" s="84" t="s">
        <v>3412</v>
      </c>
      <c r="E160" s="92" t="s">
        <v>3413</v>
      </c>
      <c r="F160" s="93" t="str">
        <f t="shared" si="1"/>
        <v>Not Applicable</v>
      </c>
    </row>
    <row r="161">
      <c r="A161" s="84" t="s">
        <v>2131</v>
      </c>
      <c r="B161" s="87">
        <v>0.0</v>
      </c>
      <c r="C161" s="87">
        <v>0.0</v>
      </c>
      <c r="D161" s="84" t="s">
        <v>3412</v>
      </c>
      <c r="E161" s="92" t="s">
        <v>3413</v>
      </c>
      <c r="F161" s="93" t="str">
        <f t="shared" si="1"/>
        <v>Not Applicable</v>
      </c>
    </row>
    <row r="162">
      <c r="A162" s="84" t="s">
        <v>2175</v>
      </c>
      <c r="B162" s="87">
        <v>3.0</v>
      </c>
      <c r="C162" s="87">
        <v>3.0</v>
      </c>
      <c r="D162" s="84" t="s">
        <v>3415</v>
      </c>
      <c r="E162" s="94">
        <v>1.0</v>
      </c>
      <c r="F162" s="95">
        <f t="shared" si="1"/>
        <v>0.75</v>
      </c>
    </row>
    <row r="163">
      <c r="A163" s="84" t="s">
        <v>2178</v>
      </c>
      <c r="B163" s="87">
        <v>3.0</v>
      </c>
      <c r="C163" s="87">
        <v>3.0</v>
      </c>
      <c r="D163" s="84" t="s">
        <v>3415</v>
      </c>
      <c r="E163" s="94">
        <v>1.0</v>
      </c>
      <c r="F163" s="95">
        <f t="shared" si="1"/>
        <v>0.75</v>
      </c>
    </row>
    <row r="164">
      <c r="A164" s="84" t="s">
        <v>2180</v>
      </c>
      <c r="B164" s="87">
        <v>4.0</v>
      </c>
      <c r="C164" s="87">
        <v>4.0</v>
      </c>
      <c r="D164" s="84" t="s">
        <v>3415</v>
      </c>
      <c r="E164" s="94">
        <v>1.0</v>
      </c>
      <c r="F164" s="95">
        <f t="shared" si="1"/>
        <v>0.75</v>
      </c>
    </row>
    <row r="165">
      <c r="A165" s="84" t="s">
        <v>2182</v>
      </c>
      <c r="B165" s="87">
        <v>3.0</v>
      </c>
      <c r="C165" s="87">
        <v>2.0</v>
      </c>
      <c r="D165" s="84" t="s">
        <v>3416</v>
      </c>
      <c r="E165" s="94">
        <v>0.667</v>
      </c>
      <c r="F165" s="93">
        <f t="shared" si="1"/>
        <v>0.667</v>
      </c>
    </row>
    <row r="166">
      <c r="A166" s="84" t="s">
        <v>2184</v>
      </c>
      <c r="B166" s="87">
        <v>34.0</v>
      </c>
      <c r="C166" s="87">
        <v>29.0</v>
      </c>
      <c r="D166" s="84" t="s">
        <v>3414</v>
      </c>
      <c r="E166" s="94">
        <v>0.853</v>
      </c>
      <c r="F166" s="95">
        <f t="shared" si="1"/>
        <v>0.4265</v>
      </c>
    </row>
    <row r="167">
      <c r="A167" s="84" t="s">
        <v>3293</v>
      </c>
      <c r="B167" s="87">
        <v>0.0</v>
      </c>
      <c r="C167" s="87">
        <v>0.0</v>
      </c>
      <c r="D167" s="84" t="s">
        <v>3412</v>
      </c>
      <c r="E167" s="92" t="s">
        <v>3413</v>
      </c>
      <c r="F167" s="93" t="str">
        <f t="shared" si="1"/>
        <v>Not Applicable</v>
      </c>
    </row>
    <row r="168">
      <c r="A168" s="84" t="s">
        <v>2187</v>
      </c>
      <c r="B168" s="87">
        <v>3.0</v>
      </c>
      <c r="C168" s="87">
        <v>3.0</v>
      </c>
      <c r="D168" s="84" t="s">
        <v>3416</v>
      </c>
      <c r="E168" s="94">
        <v>1.0</v>
      </c>
      <c r="F168" s="93">
        <f t="shared" si="1"/>
        <v>1</v>
      </c>
    </row>
    <row r="169">
      <c r="A169" s="84" t="s">
        <v>2188</v>
      </c>
      <c r="B169" s="87">
        <v>3.0</v>
      </c>
      <c r="C169" s="87">
        <v>3.0</v>
      </c>
      <c r="D169" s="84" t="s">
        <v>3415</v>
      </c>
      <c r="E169" s="94">
        <v>1.0</v>
      </c>
      <c r="F169" s="95">
        <f t="shared" si="1"/>
        <v>0.75</v>
      </c>
    </row>
    <row r="170">
      <c r="A170" s="84" t="s">
        <v>2189</v>
      </c>
      <c r="B170" s="87">
        <v>4.0</v>
      </c>
      <c r="C170" s="87">
        <v>4.0</v>
      </c>
      <c r="D170" s="84" t="s">
        <v>3415</v>
      </c>
      <c r="E170" s="94">
        <v>1.0</v>
      </c>
      <c r="F170" s="95">
        <f t="shared" si="1"/>
        <v>0.75</v>
      </c>
    </row>
    <row r="171">
      <c r="A171" s="84" t="s">
        <v>3342</v>
      </c>
      <c r="B171" s="87">
        <v>22.0</v>
      </c>
      <c r="C171" s="87">
        <v>18.0</v>
      </c>
      <c r="D171" s="84" t="s">
        <v>3415</v>
      </c>
      <c r="E171" s="94">
        <v>0.818</v>
      </c>
      <c r="F171" s="95">
        <f t="shared" si="1"/>
        <v>0.6135</v>
      </c>
    </row>
    <row r="172">
      <c r="A172" s="84" t="s">
        <v>2191</v>
      </c>
      <c r="B172" s="87">
        <v>34.0</v>
      </c>
      <c r="C172" s="87">
        <v>29.0</v>
      </c>
      <c r="D172" s="84" t="s">
        <v>3414</v>
      </c>
      <c r="E172" s="94">
        <v>0.853</v>
      </c>
      <c r="F172" s="95">
        <f t="shared" si="1"/>
        <v>0.4265</v>
      </c>
    </row>
    <row r="173">
      <c r="A173" s="84" t="s">
        <v>2192</v>
      </c>
      <c r="B173" s="87">
        <v>34.0</v>
      </c>
      <c r="C173" s="87">
        <v>29.0</v>
      </c>
      <c r="D173" s="84" t="s">
        <v>3414</v>
      </c>
      <c r="E173" s="94">
        <v>0.853</v>
      </c>
      <c r="F173" s="95">
        <f t="shared" si="1"/>
        <v>0.4265</v>
      </c>
    </row>
    <row r="174">
      <c r="A174" s="84" t="s">
        <v>2102</v>
      </c>
      <c r="B174" s="87">
        <v>1.0</v>
      </c>
      <c r="C174" s="87">
        <v>1.0</v>
      </c>
      <c r="D174" s="84" t="s">
        <v>3414</v>
      </c>
      <c r="E174" s="92" t="s">
        <v>3413</v>
      </c>
      <c r="F174" s="95" t="str">
        <f t="shared" si="1"/>
        <v>#VALUE!</v>
      </c>
    </row>
    <row r="175">
      <c r="A175" s="84" t="s">
        <v>2104</v>
      </c>
      <c r="B175" s="87">
        <v>1.0</v>
      </c>
      <c r="C175" s="87">
        <v>1.0</v>
      </c>
      <c r="D175" s="84" t="s">
        <v>3414</v>
      </c>
      <c r="E175" s="92" t="s">
        <v>3413</v>
      </c>
      <c r="F175" s="95" t="str">
        <f t="shared" si="1"/>
        <v>#VALUE!</v>
      </c>
    </row>
    <row r="176">
      <c r="A176" s="84" t="s">
        <v>3327</v>
      </c>
      <c r="B176" s="87">
        <v>1.0</v>
      </c>
      <c r="C176" s="87">
        <v>1.0</v>
      </c>
      <c r="D176" s="84" t="s">
        <v>3414</v>
      </c>
      <c r="E176" s="92" t="s">
        <v>3413</v>
      </c>
      <c r="F176" s="95" t="str">
        <f t="shared" si="1"/>
        <v>#VALUE!</v>
      </c>
    </row>
    <row r="177">
      <c r="A177" s="84" t="s">
        <v>2106</v>
      </c>
      <c r="B177" s="87">
        <v>1.0</v>
      </c>
      <c r="C177" s="87">
        <v>1.0</v>
      </c>
      <c r="D177" s="84" t="s">
        <v>3414</v>
      </c>
      <c r="E177" s="92" t="s">
        <v>3413</v>
      </c>
      <c r="F177" s="95" t="str">
        <f t="shared" si="1"/>
        <v>#VALUE!</v>
      </c>
    </row>
    <row r="178">
      <c r="A178" s="84" t="s">
        <v>2108</v>
      </c>
      <c r="B178" s="87">
        <v>1.0</v>
      </c>
      <c r="C178" s="87">
        <v>1.0</v>
      </c>
      <c r="D178" s="84" t="s">
        <v>3414</v>
      </c>
      <c r="E178" s="92" t="s">
        <v>3413</v>
      </c>
      <c r="F178" s="95" t="str">
        <f t="shared" si="1"/>
        <v>#VALUE!</v>
      </c>
    </row>
    <row r="179">
      <c r="A179" s="84" t="s">
        <v>2110</v>
      </c>
      <c r="B179" s="87">
        <v>1.0</v>
      </c>
      <c r="C179" s="87">
        <v>1.0</v>
      </c>
      <c r="D179" s="84" t="s">
        <v>3414</v>
      </c>
      <c r="E179" s="92" t="s">
        <v>3413</v>
      </c>
      <c r="F179" s="95" t="str">
        <f t="shared" si="1"/>
        <v>#VALUE!</v>
      </c>
    </row>
    <row r="180">
      <c r="A180" s="84" t="s">
        <v>1493</v>
      </c>
      <c r="B180" s="87">
        <v>9.0</v>
      </c>
      <c r="C180" s="87">
        <v>7.0</v>
      </c>
      <c r="D180" s="84" t="s">
        <v>3415</v>
      </c>
      <c r="E180" s="94">
        <v>0.778</v>
      </c>
      <c r="F180" s="95">
        <f t="shared" si="1"/>
        <v>0.5835</v>
      </c>
    </row>
    <row r="181">
      <c r="A181" s="84" t="s">
        <v>1495</v>
      </c>
      <c r="B181" s="87">
        <v>12.0</v>
      </c>
      <c r="C181" s="87">
        <v>12.0</v>
      </c>
      <c r="D181" s="84" t="s">
        <v>3415</v>
      </c>
      <c r="E181" s="94">
        <v>1.0</v>
      </c>
      <c r="F181" s="95">
        <f t="shared" si="1"/>
        <v>0.75</v>
      </c>
    </row>
    <row r="182">
      <c r="A182" s="84" t="s">
        <v>1496</v>
      </c>
      <c r="B182" s="87">
        <v>12.0</v>
      </c>
      <c r="C182" s="87">
        <v>11.0</v>
      </c>
      <c r="D182" s="84" t="s">
        <v>3415</v>
      </c>
      <c r="E182" s="94">
        <v>0.917</v>
      </c>
      <c r="F182" s="95">
        <f t="shared" si="1"/>
        <v>0.68775</v>
      </c>
    </row>
    <row r="183">
      <c r="A183" s="84" t="s">
        <v>1497</v>
      </c>
      <c r="B183" s="87">
        <v>4.0</v>
      </c>
      <c r="C183" s="87">
        <v>4.0</v>
      </c>
      <c r="D183" s="84" t="s">
        <v>3415</v>
      </c>
      <c r="E183" s="94">
        <v>1.0</v>
      </c>
      <c r="F183" s="95">
        <f t="shared" si="1"/>
        <v>0.75</v>
      </c>
    </row>
    <row r="184">
      <c r="A184" s="84" t="s">
        <v>1498</v>
      </c>
      <c r="B184" s="87">
        <v>22.0</v>
      </c>
      <c r="C184" s="87">
        <v>17.0</v>
      </c>
      <c r="D184" s="84" t="s">
        <v>3415</v>
      </c>
      <c r="E184" s="94">
        <v>0.773</v>
      </c>
      <c r="F184" s="95">
        <f t="shared" si="1"/>
        <v>0.57975</v>
      </c>
    </row>
    <row r="185">
      <c r="A185" s="84" t="s">
        <v>1499</v>
      </c>
      <c r="B185" s="87">
        <v>63.0</v>
      </c>
      <c r="C185" s="87">
        <v>55.0</v>
      </c>
      <c r="D185" s="84" t="s">
        <v>3414</v>
      </c>
      <c r="E185" s="94">
        <v>0.873</v>
      </c>
      <c r="F185" s="95">
        <f t="shared" si="1"/>
        <v>0.4365</v>
      </c>
    </row>
    <row r="186">
      <c r="A186" s="84" t="s">
        <v>2193</v>
      </c>
      <c r="B186" s="87">
        <v>34.0</v>
      </c>
      <c r="C186" s="87">
        <v>29.0</v>
      </c>
      <c r="D186" s="84" t="s">
        <v>3414</v>
      </c>
      <c r="E186" s="94">
        <v>0.853</v>
      </c>
      <c r="F186" s="95">
        <f t="shared" si="1"/>
        <v>0.4265</v>
      </c>
    </row>
    <row r="187">
      <c r="A187" s="84" t="s">
        <v>2194</v>
      </c>
      <c r="B187" s="87">
        <v>3.0</v>
      </c>
      <c r="C187" s="87">
        <v>3.0</v>
      </c>
      <c r="D187" s="84" t="s">
        <v>3415</v>
      </c>
      <c r="E187" s="94">
        <v>1.0</v>
      </c>
      <c r="F187" s="95">
        <f t="shared" si="1"/>
        <v>0.75</v>
      </c>
    </row>
    <row r="188">
      <c r="A188" s="84" t="s">
        <v>2195</v>
      </c>
      <c r="B188" s="87">
        <v>3.0</v>
      </c>
      <c r="C188" s="87">
        <v>3.0</v>
      </c>
      <c r="D188" s="84" t="s">
        <v>3415</v>
      </c>
      <c r="E188" s="94">
        <v>1.0</v>
      </c>
      <c r="F188" s="95">
        <f t="shared" si="1"/>
        <v>0.75</v>
      </c>
    </row>
    <row r="189">
      <c r="A189" s="84" t="s">
        <v>2196</v>
      </c>
      <c r="B189" s="87">
        <v>4.0</v>
      </c>
      <c r="C189" s="87">
        <v>4.0</v>
      </c>
      <c r="D189" s="84" t="s">
        <v>3415</v>
      </c>
      <c r="E189" s="94">
        <v>1.0</v>
      </c>
      <c r="F189" s="95">
        <f t="shared" si="1"/>
        <v>0.75</v>
      </c>
    </row>
    <row r="190">
      <c r="A190" s="84" t="s">
        <v>2197</v>
      </c>
      <c r="B190" s="87">
        <v>22.0</v>
      </c>
      <c r="C190" s="87">
        <v>18.0</v>
      </c>
      <c r="D190" s="84" t="s">
        <v>3415</v>
      </c>
      <c r="E190" s="94">
        <v>0.818</v>
      </c>
      <c r="F190" s="95">
        <f t="shared" si="1"/>
        <v>0.6135</v>
      </c>
    </row>
    <row r="191">
      <c r="A191" s="84" t="s">
        <v>2198</v>
      </c>
      <c r="B191" s="87">
        <v>34.0</v>
      </c>
      <c r="C191" s="87">
        <v>29.0</v>
      </c>
      <c r="D191" s="84" t="s">
        <v>3414</v>
      </c>
      <c r="E191" s="94">
        <v>0.853</v>
      </c>
      <c r="F191" s="95">
        <f t="shared" si="1"/>
        <v>0.4265</v>
      </c>
    </row>
    <row r="192">
      <c r="A192" s="84" t="s">
        <v>2199</v>
      </c>
      <c r="B192" s="87">
        <v>34.0</v>
      </c>
      <c r="C192" s="87">
        <v>29.0</v>
      </c>
      <c r="D192" s="84" t="s">
        <v>3414</v>
      </c>
      <c r="E192" s="94">
        <v>0.853</v>
      </c>
      <c r="F192" s="95">
        <f t="shared" si="1"/>
        <v>0.4265</v>
      </c>
    </row>
    <row r="193">
      <c r="A193" s="84" t="s">
        <v>1801</v>
      </c>
      <c r="B193" s="87">
        <v>11.0</v>
      </c>
      <c r="C193" s="87">
        <v>7.0</v>
      </c>
      <c r="D193" s="84" t="s">
        <v>3414</v>
      </c>
      <c r="E193" s="94">
        <v>0.636</v>
      </c>
      <c r="F193" s="95">
        <f t="shared" si="1"/>
        <v>0.318</v>
      </c>
    </row>
    <row r="194">
      <c r="A194" s="84" t="s">
        <v>1803</v>
      </c>
      <c r="B194" s="87">
        <v>5.0</v>
      </c>
      <c r="C194" s="87">
        <v>2.0</v>
      </c>
      <c r="D194" s="84" t="s">
        <v>3415</v>
      </c>
      <c r="E194" s="94">
        <v>0.4</v>
      </c>
      <c r="F194" s="95">
        <f t="shared" si="1"/>
        <v>0.3</v>
      </c>
    </row>
    <row r="195">
      <c r="A195" s="84" t="s">
        <v>1804</v>
      </c>
      <c r="B195" s="87">
        <v>11.0</v>
      </c>
      <c r="C195" s="87">
        <v>7.0</v>
      </c>
      <c r="D195" s="84" t="s">
        <v>3414</v>
      </c>
      <c r="E195" s="94">
        <v>0.636</v>
      </c>
      <c r="F195" s="95">
        <f t="shared" si="1"/>
        <v>0.318</v>
      </c>
    </row>
    <row r="196">
      <c r="A196" s="84" t="s">
        <v>1805</v>
      </c>
      <c r="B196" s="87">
        <v>11.0</v>
      </c>
      <c r="C196" s="87">
        <v>7.0</v>
      </c>
      <c r="D196" s="84" t="s">
        <v>3414</v>
      </c>
      <c r="E196" s="94">
        <v>0.636</v>
      </c>
      <c r="F196" s="95">
        <f t="shared" si="1"/>
        <v>0.318</v>
      </c>
    </row>
    <row r="197">
      <c r="A197" s="84" t="s">
        <v>1806</v>
      </c>
      <c r="B197" s="87">
        <v>11.0</v>
      </c>
      <c r="C197" s="87">
        <v>7.0</v>
      </c>
      <c r="D197" s="84" t="s">
        <v>3414</v>
      </c>
      <c r="E197" s="94">
        <v>0.636</v>
      </c>
      <c r="F197" s="95">
        <f t="shared" si="1"/>
        <v>0.318</v>
      </c>
    </row>
    <row r="198">
      <c r="A198" s="84" t="s">
        <v>1807</v>
      </c>
      <c r="B198" s="87">
        <v>11.0</v>
      </c>
      <c r="C198" s="87">
        <v>7.0</v>
      </c>
      <c r="D198" s="84" t="s">
        <v>3414</v>
      </c>
      <c r="E198" s="94">
        <v>0.636</v>
      </c>
      <c r="F198" s="95">
        <f t="shared" si="1"/>
        <v>0.318</v>
      </c>
    </row>
    <row r="199">
      <c r="A199" s="84" t="s">
        <v>1808</v>
      </c>
      <c r="B199" s="87">
        <v>11.0</v>
      </c>
      <c r="C199" s="87">
        <v>7.0</v>
      </c>
      <c r="D199" s="84" t="s">
        <v>3414</v>
      </c>
      <c r="E199" s="94">
        <v>0.636</v>
      </c>
      <c r="F199" s="95">
        <f t="shared" si="1"/>
        <v>0.318</v>
      </c>
    </row>
    <row r="200">
      <c r="A200" s="84" t="s">
        <v>1740</v>
      </c>
      <c r="B200" s="87">
        <v>3.0</v>
      </c>
      <c r="C200" s="87">
        <v>1.0</v>
      </c>
      <c r="D200" s="84" t="s">
        <v>3415</v>
      </c>
      <c r="E200" s="94">
        <v>0.333</v>
      </c>
      <c r="F200" s="95">
        <f t="shared" si="1"/>
        <v>0.24975</v>
      </c>
    </row>
    <row r="201">
      <c r="A201" s="84" t="s">
        <v>1742</v>
      </c>
      <c r="B201" s="87">
        <v>3.0</v>
      </c>
      <c r="C201" s="87">
        <v>0.0</v>
      </c>
      <c r="D201" s="84" t="s">
        <v>3415</v>
      </c>
      <c r="E201" s="94">
        <v>0.0</v>
      </c>
      <c r="F201" s="95">
        <f t="shared" si="1"/>
        <v>0</v>
      </c>
    </row>
    <row r="202">
      <c r="A202" s="84" t="s">
        <v>1744</v>
      </c>
      <c r="B202" s="87">
        <v>7.0</v>
      </c>
      <c r="C202" s="87">
        <v>6.0</v>
      </c>
      <c r="D202" s="84" t="s">
        <v>3415</v>
      </c>
      <c r="E202" s="94">
        <v>0.857</v>
      </c>
      <c r="F202" s="95">
        <f t="shared" si="1"/>
        <v>0.64275</v>
      </c>
    </row>
    <row r="203">
      <c r="A203" s="84" t="s">
        <v>1746</v>
      </c>
      <c r="B203" s="87">
        <v>4.0</v>
      </c>
      <c r="C203" s="87">
        <v>4.0</v>
      </c>
      <c r="D203" s="84" t="s">
        <v>3415</v>
      </c>
      <c r="E203" s="94">
        <v>1.0</v>
      </c>
      <c r="F203" s="95">
        <f t="shared" si="1"/>
        <v>0.75</v>
      </c>
    </row>
    <row r="204">
      <c r="A204" s="84" t="s">
        <v>1748</v>
      </c>
      <c r="B204" s="87">
        <v>24.0</v>
      </c>
      <c r="C204" s="87">
        <v>15.0</v>
      </c>
      <c r="D204" s="84" t="s">
        <v>3414</v>
      </c>
      <c r="E204" s="94">
        <v>0.625</v>
      </c>
      <c r="F204" s="95">
        <f t="shared" si="1"/>
        <v>0.3125</v>
      </c>
    </row>
    <row r="205">
      <c r="A205" s="84" t="s">
        <v>1750</v>
      </c>
      <c r="B205" s="87">
        <v>3.0</v>
      </c>
      <c r="C205" s="87">
        <v>2.0</v>
      </c>
      <c r="D205" s="84" t="s">
        <v>3415</v>
      </c>
      <c r="E205" s="94">
        <v>0.667</v>
      </c>
      <c r="F205" s="95">
        <f t="shared" si="1"/>
        <v>0.50025</v>
      </c>
    </row>
    <row r="206">
      <c r="A206" s="84" t="s">
        <v>1752</v>
      </c>
      <c r="B206" s="87">
        <v>24.0</v>
      </c>
      <c r="C206" s="87">
        <v>15.0</v>
      </c>
      <c r="D206" s="84" t="s">
        <v>3414</v>
      </c>
      <c r="E206" s="94">
        <v>0.625</v>
      </c>
      <c r="F206" s="95">
        <f t="shared" si="1"/>
        <v>0.3125</v>
      </c>
    </row>
    <row r="207">
      <c r="A207" s="84" t="s">
        <v>1753</v>
      </c>
      <c r="B207" s="87">
        <v>3.0</v>
      </c>
      <c r="C207" s="87">
        <v>1.0</v>
      </c>
      <c r="D207" s="84" t="s">
        <v>3415</v>
      </c>
      <c r="E207" s="94">
        <v>0.333</v>
      </c>
      <c r="F207" s="95">
        <f t="shared" si="1"/>
        <v>0.24975</v>
      </c>
    </row>
    <row r="208">
      <c r="A208" s="84" t="s">
        <v>1755</v>
      </c>
      <c r="B208" s="87">
        <v>3.0</v>
      </c>
      <c r="C208" s="87">
        <v>0.0</v>
      </c>
      <c r="D208" s="84" t="s">
        <v>3415</v>
      </c>
      <c r="E208" s="94">
        <v>0.0</v>
      </c>
      <c r="F208" s="95">
        <f t="shared" si="1"/>
        <v>0</v>
      </c>
    </row>
    <row r="209">
      <c r="A209" s="84" t="s">
        <v>1756</v>
      </c>
      <c r="B209" s="87">
        <v>4.0</v>
      </c>
      <c r="C209" s="87">
        <v>4.0</v>
      </c>
      <c r="D209" s="84" t="s">
        <v>3415</v>
      </c>
      <c r="E209" s="94">
        <v>1.0</v>
      </c>
      <c r="F209" s="95">
        <f t="shared" si="1"/>
        <v>0.75</v>
      </c>
    </row>
    <row r="210">
      <c r="A210" s="84" t="s">
        <v>1757</v>
      </c>
      <c r="B210" s="87">
        <v>3.0</v>
      </c>
      <c r="C210" s="87">
        <v>2.0</v>
      </c>
      <c r="D210" s="84" t="s">
        <v>3415</v>
      </c>
      <c r="E210" s="94">
        <v>0.667</v>
      </c>
      <c r="F210" s="95">
        <f t="shared" si="1"/>
        <v>0.50025</v>
      </c>
    </row>
    <row r="211">
      <c r="A211" s="84" t="s">
        <v>1758</v>
      </c>
      <c r="B211" s="87">
        <v>24.0</v>
      </c>
      <c r="C211" s="87">
        <v>15.0</v>
      </c>
      <c r="D211" s="84" t="s">
        <v>3414</v>
      </c>
      <c r="E211" s="94">
        <v>0.625</v>
      </c>
      <c r="F211" s="95">
        <f t="shared" si="1"/>
        <v>0.3125</v>
      </c>
    </row>
    <row r="212">
      <c r="A212" s="84" t="s">
        <v>1759</v>
      </c>
      <c r="B212" s="87">
        <v>3.0</v>
      </c>
      <c r="C212" s="87">
        <v>1.0</v>
      </c>
      <c r="D212" s="84" t="s">
        <v>3415</v>
      </c>
      <c r="E212" s="94">
        <v>0.333</v>
      </c>
      <c r="F212" s="95">
        <f t="shared" si="1"/>
        <v>0.24975</v>
      </c>
    </row>
    <row r="213">
      <c r="A213" s="84" t="s">
        <v>1761</v>
      </c>
      <c r="B213" s="87">
        <v>3.0</v>
      </c>
      <c r="C213" s="87">
        <v>0.0</v>
      </c>
      <c r="D213" s="84" t="s">
        <v>3415</v>
      </c>
      <c r="E213" s="94">
        <v>0.0</v>
      </c>
      <c r="F213" s="95">
        <f t="shared" si="1"/>
        <v>0</v>
      </c>
    </row>
    <row r="214">
      <c r="A214" s="84" t="s">
        <v>1762</v>
      </c>
      <c r="B214" s="87">
        <v>3.0</v>
      </c>
      <c r="C214" s="87">
        <v>3.0</v>
      </c>
      <c r="D214" s="84" t="s">
        <v>3416</v>
      </c>
      <c r="E214" s="94">
        <v>1.0</v>
      </c>
      <c r="F214" s="93">
        <f t="shared" si="1"/>
        <v>1</v>
      </c>
    </row>
    <row r="215">
      <c r="A215" s="84" t="s">
        <v>1763</v>
      </c>
      <c r="B215" s="87">
        <v>4.0</v>
      </c>
      <c r="C215" s="87">
        <v>4.0</v>
      </c>
      <c r="D215" s="84" t="s">
        <v>3415</v>
      </c>
      <c r="E215" s="94">
        <v>1.0</v>
      </c>
      <c r="F215" s="95">
        <f t="shared" si="1"/>
        <v>0.75</v>
      </c>
    </row>
    <row r="216">
      <c r="A216" s="84" t="s">
        <v>1764</v>
      </c>
      <c r="B216" s="87">
        <v>3.0</v>
      </c>
      <c r="C216" s="87">
        <v>2.0</v>
      </c>
      <c r="D216" s="84" t="s">
        <v>3415</v>
      </c>
      <c r="E216" s="94">
        <v>0.667</v>
      </c>
      <c r="F216" s="95">
        <f t="shared" si="1"/>
        <v>0.50025</v>
      </c>
    </row>
    <row r="217">
      <c r="A217" s="84" t="s">
        <v>1765</v>
      </c>
      <c r="B217" s="87">
        <v>24.0</v>
      </c>
      <c r="C217" s="87">
        <v>15.0</v>
      </c>
      <c r="D217" s="84" t="s">
        <v>3414</v>
      </c>
      <c r="E217" s="94">
        <v>0.625</v>
      </c>
      <c r="F217" s="95">
        <f t="shared" si="1"/>
        <v>0.3125</v>
      </c>
    </row>
    <row r="218">
      <c r="A218" s="84" t="s">
        <v>1766</v>
      </c>
      <c r="B218" s="87">
        <v>3.0</v>
      </c>
      <c r="C218" s="87">
        <v>1.0</v>
      </c>
      <c r="D218" s="84" t="s">
        <v>3416</v>
      </c>
      <c r="E218" s="94">
        <v>0.333</v>
      </c>
      <c r="F218" s="93">
        <f t="shared" si="1"/>
        <v>0.333</v>
      </c>
    </row>
    <row r="219">
      <c r="A219" s="84" t="s">
        <v>1768</v>
      </c>
      <c r="B219" s="87">
        <v>3.0</v>
      </c>
      <c r="C219" s="87">
        <v>0.0</v>
      </c>
      <c r="D219" s="84" t="s">
        <v>3415</v>
      </c>
      <c r="E219" s="94">
        <v>0.0</v>
      </c>
      <c r="F219" s="95">
        <f t="shared" si="1"/>
        <v>0</v>
      </c>
    </row>
    <row r="220">
      <c r="A220" s="84" t="s">
        <v>1769</v>
      </c>
      <c r="B220" s="87">
        <v>7.0</v>
      </c>
      <c r="C220" s="87">
        <v>6.0</v>
      </c>
      <c r="D220" s="84" t="s">
        <v>3415</v>
      </c>
      <c r="E220" s="94">
        <v>0.857</v>
      </c>
      <c r="F220" s="95">
        <f t="shared" si="1"/>
        <v>0.64275</v>
      </c>
    </row>
    <row r="221">
      <c r="A221" s="84" t="s">
        <v>1770</v>
      </c>
      <c r="B221" s="87">
        <v>4.0</v>
      </c>
      <c r="C221" s="87">
        <v>4.0</v>
      </c>
      <c r="D221" s="84" t="s">
        <v>3415</v>
      </c>
      <c r="E221" s="94">
        <v>1.0</v>
      </c>
      <c r="F221" s="95">
        <f t="shared" si="1"/>
        <v>0.75</v>
      </c>
    </row>
    <row r="222">
      <c r="A222" s="84" t="s">
        <v>1771</v>
      </c>
      <c r="B222" s="87">
        <v>24.0</v>
      </c>
      <c r="C222" s="87">
        <v>15.0</v>
      </c>
      <c r="D222" s="84" t="s">
        <v>3414</v>
      </c>
      <c r="E222" s="94">
        <v>0.625</v>
      </c>
      <c r="F222" s="95">
        <f t="shared" si="1"/>
        <v>0.3125</v>
      </c>
    </row>
    <row r="223">
      <c r="A223" s="84" t="s">
        <v>1772</v>
      </c>
      <c r="B223" s="87">
        <v>3.0</v>
      </c>
      <c r="C223" s="87">
        <v>2.0</v>
      </c>
      <c r="D223" s="84" t="s">
        <v>3415</v>
      </c>
      <c r="E223" s="94">
        <v>0.667</v>
      </c>
      <c r="F223" s="95">
        <f t="shared" si="1"/>
        <v>0.50025</v>
      </c>
    </row>
    <row r="224">
      <c r="A224" s="84" t="s">
        <v>1773</v>
      </c>
      <c r="B224" s="87">
        <v>24.0</v>
      </c>
      <c r="C224" s="87">
        <v>15.0</v>
      </c>
      <c r="D224" s="84" t="s">
        <v>3414</v>
      </c>
      <c r="E224" s="94">
        <v>0.625</v>
      </c>
      <c r="F224" s="95">
        <f t="shared" si="1"/>
        <v>0.3125</v>
      </c>
    </row>
    <row r="225">
      <c r="A225" s="84" t="s">
        <v>2416</v>
      </c>
      <c r="B225" s="87">
        <v>88.0</v>
      </c>
      <c r="C225" s="87">
        <v>76.0</v>
      </c>
      <c r="D225" s="84" t="s">
        <v>3414</v>
      </c>
      <c r="E225" s="94">
        <v>0.864</v>
      </c>
      <c r="F225" s="95">
        <f t="shared" si="1"/>
        <v>0.432</v>
      </c>
    </row>
    <row r="226">
      <c r="A226" s="84" t="s">
        <v>2418</v>
      </c>
      <c r="B226" s="87">
        <v>11.0</v>
      </c>
      <c r="C226" s="87">
        <v>11.0</v>
      </c>
      <c r="D226" s="84" t="s">
        <v>3415</v>
      </c>
      <c r="E226" s="94">
        <v>1.0</v>
      </c>
      <c r="F226" s="95">
        <f t="shared" si="1"/>
        <v>0.75</v>
      </c>
    </row>
    <row r="227">
      <c r="A227" s="84" t="s">
        <v>2419</v>
      </c>
      <c r="B227" s="87">
        <v>10.0</v>
      </c>
      <c r="C227" s="87">
        <v>10.0</v>
      </c>
      <c r="D227" s="84" t="s">
        <v>3415</v>
      </c>
      <c r="E227" s="94">
        <v>1.0</v>
      </c>
      <c r="F227" s="95">
        <f t="shared" si="1"/>
        <v>0.75</v>
      </c>
    </row>
    <row r="228">
      <c r="A228" s="84" t="s">
        <v>2420</v>
      </c>
      <c r="B228" s="87">
        <v>3.0</v>
      </c>
      <c r="C228" s="87">
        <v>2.0</v>
      </c>
      <c r="D228" s="84" t="s">
        <v>3415</v>
      </c>
      <c r="E228" s="94">
        <v>0.667</v>
      </c>
      <c r="F228" s="95">
        <f t="shared" si="1"/>
        <v>0.50025</v>
      </c>
    </row>
    <row r="229">
      <c r="A229" s="84" t="s">
        <v>2421</v>
      </c>
      <c r="B229" s="87">
        <v>10.0</v>
      </c>
      <c r="C229" s="87">
        <v>7.0</v>
      </c>
      <c r="D229" s="84" t="s">
        <v>3415</v>
      </c>
      <c r="E229" s="94">
        <v>0.7</v>
      </c>
      <c r="F229" s="95">
        <f t="shared" si="1"/>
        <v>0.525</v>
      </c>
    </row>
    <row r="230">
      <c r="A230" s="84" t="s">
        <v>2422</v>
      </c>
      <c r="B230" s="87">
        <v>50.0</v>
      </c>
      <c r="C230" s="87">
        <v>44.0</v>
      </c>
      <c r="D230" s="84" t="s">
        <v>3415</v>
      </c>
      <c r="E230" s="94">
        <v>0.88</v>
      </c>
      <c r="F230" s="95">
        <f t="shared" si="1"/>
        <v>0.66</v>
      </c>
    </row>
    <row r="231">
      <c r="A231" s="84" t="s">
        <v>3220</v>
      </c>
      <c r="B231" s="87">
        <v>4.0</v>
      </c>
      <c r="C231" s="87">
        <v>4.0</v>
      </c>
      <c r="D231" s="84" t="s">
        <v>3415</v>
      </c>
      <c r="E231" s="94">
        <v>1.0</v>
      </c>
      <c r="F231" s="95">
        <f t="shared" si="1"/>
        <v>0.75</v>
      </c>
    </row>
    <row r="232">
      <c r="A232" s="84" t="s">
        <v>3221</v>
      </c>
      <c r="B232" s="87">
        <v>79.0</v>
      </c>
      <c r="C232" s="87">
        <v>49.0</v>
      </c>
      <c r="D232" s="84" t="s">
        <v>3415</v>
      </c>
      <c r="E232" s="94">
        <v>0.62</v>
      </c>
      <c r="F232" s="95">
        <f t="shared" si="1"/>
        <v>0.465</v>
      </c>
    </row>
    <row r="233">
      <c r="A233" s="84" t="s">
        <v>3222</v>
      </c>
      <c r="B233" s="87">
        <v>14.0</v>
      </c>
      <c r="C233" s="87">
        <v>0.0</v>
      </c>
      <c r="D233" s="84" t="s">
        <v>3415</v>
      </c>
      <c r="E233" s="94">
        <v>0.0</v>
      </c>
      <c r="F233" s="95">
        <f t="shared" si="1"/>
        <v>0</v>
      </c>
    </row>
    <row r="234">
      <c r="A234" s="84" t="s">
        <v>3393</v>
      </c>
      <c r="B234" s="87">
        <v>0.0</v>
      </c>
      <c r="C234" s="87">
        <v>0.0</v>
      </c>
      <c r="D234" s="84" t="s">
        <v>3412</v>
      </c>
      <c r="E234" s="92" t="s">
        <v>3413</v>
      </c>
      <c r="F234" s="93" t="str">
        <f t="shared" si="1"/>
        <v>Not Applicable</v>
      </c>
    </row>
    <row r="235">
      <c r="A235" s="84" t="s">
        <v>3152</v>
      </c>
      <c r="B235" s="87">
        <v>0.0</v>
      </c>
      <c r="C235" s="87">
        <v>0.0</v>
      </c>
      <c r="D235" s="84" t="s">
        <v>3412</v>
      </c>
      <c r="E235" s="92" t="s">
        <v>3413</v>
      </c>
      <c r="F235" s="93" t="str">
        <f t="shared" si="1"/>
        <v>Not Applicable</v>
      </c>
    </row>
    <row r="236">
      <c r="A236" s="84" t="s">
        <v>2124</v>
      </c>
      <c r="B236" s="87">
        <v>0.0</v>
      </c>
      <c r="C236" s="87">
        <v>0.0</v>
      </c>
      <c r="D236" s="84" t="s">
        <v>3412</v>
      </c>
      <c r="E236" s="92" t="s">
        <v>3413</v>
      </c>
      <c r="F236" s="93" t="str">
        <f t="shared" si="1"/>
        <v>Not Applicable</v>
      </c>
    </row>
    <row r="237">
      <c r="A237" s="84" t="s">
        <v>3328</v>
      </c>
      <c r="B237" s="87">
        <v>0.0</v>
      </c>
      <c r="C237" s="87">
        <v>0.0</v>
      </c>
      <c r="D237" s="84" t="s">
        <v>3412</v>
      </c>
      <c r="E237" s="92" t="s">
        <v>3413</v>
      </c>
      <c r="F237" s="93" t="str">
        <f t="shared" si="1"/>
        <v>Not Applicable</v>
      </c>
    </row>
    <row r="238">
      <c r="A238" s="84" t="s">
        <v>2842</v>
      </c>
      <c r="B238" s="87">
        <v>7.0</v>
      </c>
      <c r="C238" s="87">
        <v>5.0</v>
      </c>
      <c r="D238" s="84" t="s">
        <v>3415</v>
      </c>
      <c r="E238" s="94">
        <v>0.714</v>
      </c>
      <c r="F238" s="95">
        <f t="shared" si="1"/>
        <v>0.5355</v>
      </c>
    </row>
    <row r="239">
      <c r="A239" s="84" t="s">
        <v>3378</v>
      </c>
      <c r="B239" s="87">
        <v>4.0</v>
      </c>
      <c r="C239" s="87">
        <v>4.0</v>
      </c>
      <c r="D239" s="84" t="s">
        <v>3415</v>
      </c>
      <c r="E239" s="94">
        <v>1.0</v>
      </c>
      <c r="F239" s="95">
        <f t="shared" si="1"/>
        <v>0.75</v>
      </c>
    </row>
    <row r="240">
      <c r="A240" s="84" t="s">
        <v>2844</v>
      </c>
      <c r="B240" s="87">
        <v>8.0</v>
      </c>
      <c r="C240" s="87">
        <v>6.0</v>
      </c>
      <c r="D240" s="84" t="s">
        <v>3415</v>
      </c>
      <c r="E240" s="94">
        <v>0.75</v>
      </c>
      <c r="F240" s="95">
        <f t="shared" si="1"/>
        <v>0.5625</v>
      </c>
    </row>
    <row r="241">
      <c r="A241" s="84" t="s">
        <v>2845</v>
      </c>
      <c r="B241" s="87">
        <v>3.0</v>
      </c>
      <c r="C241" s="87">
        <v>2.0</v>
      </c>
      <c r="D241" s="84" t="s">
        <v>3416</v>
      </c>
      <c r="E241" s="94">
        <v>0.667</v>
      </c>
      <c r="F241" s="93">
        <f t="shared" si="1"/>
        <v>0.667</v>
      </c>
    </row>
    <row r="242">
      <c r="A242" s="84" t="s">
        <v>2847</v>
      </c>
      <c r="B242" s="87">
        <v>52.0</v>
      </c>
      <c r="C242" s="87">
        <v>38.0</v>
      </c>
      <c r="D242" s="84" t="s">
        <v>3414</v>
      </c>
      <c r="E242" s="94">
        <v>0.731</v>
      </c>
      <c r="F242" s="95">
        <f t="shared" si="1"/>
        <v>0.3655</v>
      </c>
    </row>
    <row r="243">
      <c r="A243" s="84" t="s">
        <v>2848</v>
      </c>
      <c r="B243" s="87">
        <v>52.0</v>
      </c>
      <c r="C243" s="87">
        <v>38.0</v>
      </c>
      <c r="D243" s="84" t="s">
        <v>3414</v>
      </c>
      <c r="E243" s="94">
        <v>0.731</v>
      </c>
      <c r="F243" s="95">
        <f t="shared" si="1"/>
        <v>0.3655</v>
      </c>
    </row>
    <row r="244">
      <c r="A244" s="84" t="s">
        <v>2850</v>
      </c>
      <c r="B244" s="87">
        <v>3.0</v>
      </c>
      <c r="C244" s="87">
        <v>1.0</v>
      </c>
      <c r="D244" s="84" t="s">
        <v>3416</v>
      </c>
      <c r="E244" s="94">
        <v>0.333</v>
      </c>
      <c r="F244" s="93">
        <f t="shared" si="1"/>
        <v>0.333</v>
      </c>
    </row>
    <row r="245">
      <c r="A245" s="84" t="s">
        <v>2852</v>
      </c>
      <c r="B245" s="87">
        <v>4.0</v>
      </c>
      <c r="C245" s="87">
        <v>4.0</v>
      </c>
      <c r="D245" s="84" t="s">
        <v>3415</v>
      </c>
      <c r="E245" s="94">
        <v>1.0</v>
      </c>
      <c r="F245" s="95">
        <f t="shared" si="1"/>
        <v>0.75</v>
      </c>
    </row>
    <row r="246">
      <c r="A246" s="84" t="s">
        <v>2853</v>
      </c>
      <c r="B246" s="87">
        <v>8.0</v>
      </c>
      <c r="C246" s="87">
        <v>6.0</v>
      </c>
      <c r="D246" s="84" t="s">
        <v>3415</v>
      </c>
      <c r="E246" s="94">
        <v>0.75</v>
      </c>
      <c r="F246" s="95">
        <f t="shared" si="1"/>
        <v>0.5625</v>
      </c>
    </row>
    <row r="247">
      <c r="A247" s="84" t="s">
        <v>2854</v>
      </c>
      <c r="B247" s="87">
        <v>13.0</v>
      </c>
      <c r="C247" s="87">
        <v>8.0</v>
      </c>
      <c r="D247" s="84" t="s">
        <v>3416</v>
      </c>
      <c r="E247" s="94">
        <v>0.615</v>
      </c>
      <c r="F247" s="93">
        <f t="shared" si="1"/>
        <v>0.615</v>
      </c>
    </row>
    <row r="248">
      <c r="A248" s="84" t="s">
        <v>2856</v>
      </c>
      <c r="B248" s="87">
        <v>4.0</v>
      </c>
      <c r="C248" s="87">
        <v>4.0</v>
      </c>
      <c r="D248" s="84" t="s">
        <v>3415</v>
      </c>
      <c r="E248" s="94">
        <v>1.0</v>
      </c>
      <c r="F248" s="95">
        <f t="shared" si="1"/>
        <v>0.75</v>
      </c>
    </row>
    <row r="249">
      <c r="A249" s="84" t="s">
        <v>2857</v>
      </c>
      <c r="B249" s="87">
        <v>52.0</v>
      </c>
      <c r="C249" s="87">
        <v>38.0</v>
      </c>
      <c r="D249" s="84" t="s">
        <v>3414</v>
      </c>
      <c r="E249" s="94">
        <v>0.731</v>
      </c>
      <c r="F249" s="95">
        <f t="shared" si="1"/>
        <v>0.3655</v>
      </c>
    </row>
    <row r="250">
      <c r="A250" s="84" t="s">
        <v>1691</v>
      </c>
      <c r="B250" s="87">
        <v>26.0</v>
      </c>
      <c r="C250" s="87">
        <v>19.0</v>
      </c>
      <c r="D250" s="84" t="s">
        <v>3414</v>
      </c>
      <c r="E250" s="94">
        <v>0.731</v>
      </c>
      <c r="F250" s="95">
        <f t="shared" si="1"/>
        <v>0.3655</v>
      </c>
    </row>
    <row r="251">
      <c r="A251" s="84" t="s">
        <v>1693</v>
      </c>
      <c r="B251" s="87">
        <v>4.0</v>
      </c>
      <c r="C251" s="87">
        <v>4.0</v>
      </c>
      <c r="D251" s="84" t="s">
        <v>3415</v>
      </c>
      <c r="E251" s="94">
        <v>1.0</v>
      </c>
      <c r="F251" s="95">
        <f t="shared" si="1"/>
        <v>0.75</v>
      </c>
    </row>
    <row r="252">
      <c r="A252" s="84" t="s">
        <v>1695</v>
      </c>
      <c r="B252" s="87">
        <v>6.0</v>
      </c>
      <c r="C252" s="87">
        <v>3.0</v>
      </c>
      <c r="D252" s="84" t="s">
        <v>3415</v>
      </c>
      <c r="E252" s="94">
        <v>0.5</v>
      </c>
      <c r="F252" s="95">
        <f t="shared" si="1"/>
        <v>0.375</v>
      </c>
    </row>
    <row r="253">
      <c r="A253" s="84" t="s">
        <v>1697</v>
      </c>
      <c r="B253" s="87">
        <v>4.0</v>
      </c>
      <c r="C253" s="87">
        <v>1.0</v>
      </c>
      <c r="D253" s="84" t="s">
        <v>3415</v>
      </c>
      <c r="E253" s="94">
        <v>0.25</v>
      </c>
      <c r="F253" s="95">
        <f t="shared" si="1"/>
        <v>0.1875</v>
      </c>
    </row>
    <row r="254">
      <c r="A254" s="84" t="s">
        <v>1699</v>
      </c>
      <c r="B254" s="87">
        <v>8.0</v>
      </c>
      <c r="C254" s="87">
        <v>8.0</v>
      </c>
      <c r="D254" s="84" t="s">
        <v>3415</v>
      </c>
      <c r="E254" s="94">
        <v>1.0</v>
      </c>
      <c r="F254" s="95">
        <f t="shared" si="1"/>
        <v>0.75</v>
      </c>
    </row>
    <row r="255">
      <c r="A255" s="84" t="s">
        <v>1701</v>
      </c>
      <c r="B255" s="87">
        <v>4.0</v>
      </c>
      <c r="C255" s="87">
        <v>3.0</v>
      </c>
      <c r="D255" s="84" t="s">
        <v>3415</v>
      </c>
      <c r="E255" s="94">
        <v>0.75</v>
      </c>
      <c r="F255" s="95">
        <f t="shared" si="1"/>
        <v>0.5625</v>
      </c>
    </row>
    <row r="256">
      <c r="A256" s="84" t="s">
        <v>1703</v>
      </c>
      <c r="B256" s="87">
        <v>26.0</v>
      </c>
      <c r="C256" s="87">
        <v>19.0</v>
      </c>
      <c r="D256" s="84" t="s">
        <v>3414</v>
      </c>
      <c r="E256" s="94">
        <v>0.731</v>
      </c>
      <c r="F256" s="95">
        <f t="shared" si="1"/>
        <v>0.3655</v>
      </c>
    </row>
    <row r="257">
      <c r="A257" s="84" t="s">
        <v>1704</v>
      </c>
      <c r="B257" s="87">
        <v>26.0</v>
      </c>
      <c r="C257" s="87">
        <v>19.0</v>
      </c>
      <c r="D257" s="84" t="s">
        <v>3414</v>
      </c>
      <c r="E257" s="94">
        <v>0.731</v>
      </c>
      <c r="F257" s="95">
        <f t="shared" si="1"/>
        <v>0.3655</v>
      </c>
    </row>
    <row r="258">
      <c r="A258" s="84" t="s">
        <v>1705</v>
      </c>
      <c r="B258" s="87">
        <v>4.0</v>
      </c>
      <c r="C258" s="87">
        <v>4.0</v>
      </c>
      <c r="D258" s="84" t="s">
        <v>3415</v>
      </c>
      <c r="E258" s="94">
        <v>1.0</v>
      </c>
      <c r="F258" s="95">
        <f t="shared" si="1"/>
        <v>0.75</v>
      </c>
    </row>
    <row r="259">
      <c r="A259" s="84" t="s">
        <v>1706</v>
      </c>
      <c r="B259" s="87">
        <v>6.0</v>
      </c>
      <c r="C259" s="87">
        <v>3.0</v>
      </c>
      <c r="D259" s="84" t="s">
        <v>3415</v>
      </c>
      <c r="E259" s="94">
        <v>0.5</v>
      </c>
      <c r="F259" s="95">
        <f t="shared" si="1"/>
        <v>0.375</v>
      </c>
    </row>
    <row r="260">
      <c r="A260" s="84" t="s">
        <v>1707</v>
      </c>
      <c r="B260" s="87">
        <v>4.0</v>
      </c>
      <c r="C260" s="87">
        <v>1.0</v>
      </c>
      <c r="D260" s="84" t="s">
        <v>3415</v>
      </c>
      <c r="E260" s="94">
        <v>0.25</v>
      </c>
      <c r="F260" s="95">
        <f t="shared" si="1"/>
        <v>0.1875</v>
      </c>
    </row>
    <row r="261">
      <c r="A261" s="84" t="s">
        <v>1708</v>
      </c>
      <c r="B261" s="87">
        <v>8.0</v>
      </c>
      <c r="C261" s="87">
        <v>8.0</v>
      </c>
      <c r="D261" s="84" t="s">
        <v>3415</v>
      </c>
      <c r="E261" s="94">
        <v>1.0</v>
      </c>
      <c r="F261" s="95">
        <f t="shared" si="1"/>
        <v>0.75</v>
      </c>
    </row>
    <row r="262">
      <c r="A262" s="84" t="s">
        <v>1709</v>
      </c>
      <c r="B262" s="87">
        <v>4.0</v>
      </c>
      <c r="C262" s="87">
        <v>3.0</v>
      </c>
      <c r="D262" s="84" t="s">
        <v>3415</v>
      </c>
      <c r="E262" s="94">
        <v>0.75</v>
      </c>
      <c r="F262" s="95">
        <f t="shared" si="1"/>
        <v>0.5625</v>
      </c>
    </row>
    <row r="263">
      <c r="A263" s="84" t="s">
        <v>1710</v>
      </c>
      <c r="B263" s="87">
        <v>26.0</v>
      </c>
      <c r="C263" s="87">
        <v>19.0</v>
      </c>
      <c r="D263" s="84" t="s">
        <v>3414</v>
      </c>
      <c r="E263" s="94">
        <v>0.731</v>
      </c>
      <c r="F263" s="95">
        <f t="shared" si="1"/>
        <v>0.3655</v>
      </c>
    </row>
    <row r="264">
      <c r="A264" s="84" t="s">
        <v>2366</v>
      </c>
      <c r="B264" s="87">
        <v>0.0</v>
      </c>
      <c r="C264" s="87">
        <v>0.0</v>
      </c>
      <c r="D264" s="84" t="s">
        <v>3412</v>
      </c>
      <c r="E264" s="92" t="s">
        <v>3413</v>
      </c>
      <c r="F264" s="93" t="str">
        <f t="shared" si="1"/>
        <v>Not Applicable</v>
      </c>
    </row>
    <row r="265">
      <c r="A265" s="84" t="s">
        <v>3356</v>
      </c>
      <c r="B265" s="87">
        <v>0.0</v>
      </c>
      <c r="C265" s="87">
        <v>0.0</v>
      </c>
      <c r="D265" s="84" t="s">
        <v>3412</v>
      </c>
      <c r="E265" s="92" t="s">
        <v>3413</v>
      </c>
      <c r="F265" s="93" t="str">
        <f t="shared" si="1"/>
        <v>Not Applicable</v>
      </c>
    </row>
    <row r="266">
      <c r="A266" s="84" t="s">
        <v>3369</v>
      </c>
      <c r="B266" s="87">
        <v>49.0</v>
      </c>
      <c r="C266" s="87">
        <v>0.0</v>
      </c>
      <c r="D266" s="84" t="s">
        <v>3414</v>
      </c>
      <c r="E266" s="94">
        <v>0.0</v>
      </c>
      <c r="F266" s="95">
        <f t="shared" si="1"/>
        <v>0</v>
      </c>
    </row>
    <row r="267">
      <c r="A267" s="84" t="s">
        <v>2723</v>
      </c>
      <c r="B267" s="87">
        <v>12.0</v>
      </c>
      <c r="C267" s="87">
        <v>0.0</v>
      </c>
      <c r="D267" s="84" t="s">
        <v>3415</v>
      </c>
      <c r="E267" s="94">
        <v>0.0</v>
      </c>
      <c r="F267" s="95">
        <f t="shared" si="1"/>
        <v>0</v>
      </c>
    </row>
    <row r="268">
      <c r="A268" s="84" t="s">
        <v>2725</v>
      </c>
      <c r="B268" s="87">
        <v>36.0</v>
      </c>
      <c r="C268" s="87">
        <v>0.0</v>
      </c>
      <c r="D268" s="84" t="s">
        <v>3415</v>
      </c>
      <c r="E268" s="94">
        <v>0.0</v>
      </c>
      <c r="F268" s="95">
        <f t="shared" si="1"/>
        <v>0</v>
      </c>
    </row>
    <row r="269">
      <c r="A269" s="84" t="s">
        <v>2032</v>
      </c>
      <c r="B269" s="87">
        <v>6.0</v>
      </c>
      <c r="C269" s="87">
        <v>5.0</v>
      </c>
      <c r="D269" s="84" t="s">
        <v>3414</v>
      </c>
      <c r="E269" s="94">
        <v>0.833</v>
      </c>
      <c r="F269" s="95">
        <f t="shared" si="1"/>
        <v>0.4165</v>
      </c>
    </row>
    <row r="270">
      <c r="A270" s="84" t="s">
        <v>2036</v>
      </c>
      <c r="B270" s="87">
        <v>6.0</v>
      </c>
      <c r="C270" s="87">
        <v>5.0</v>
      </c>
      <c r="D270" s="84" t="s">
        <v>3414</v>
      </c>
      <c r="E270" s="94">
        <v>0.833</v>
      </c>
      <c r="F270" s="95">
        <f t="shared" si="1"/>
        <v>0.4165</v>
      </c>
    </row>
    <row r="271">
      <c r="A271" s="84" t="s">
        <v>2038</v>
      </c>
      <c r="B271" s="87">
        <v>6.0</v>
      </c>
      <c r="C271" s="87">
        <v>5.0</v>
      </c>
      <c r="D271" s="84" t="s">
        <v>3414</v>
      </c>
      <c r="E271" s="94">
        <v>0.833</v>
      </c>
      <c r="F271" s="95">
        <f t="shared" si="1"/>
        <v>0.4165</v>
      </c>
    </row>
    <row r="272">
      <c r="A272" s="84" t="s">
        <v>2040</v>
      </c>
      <c r="B272" s="87">
        <v>3.0</v>
      </c>
      <c r="C272" s="87">
        <v>2.0</v>
      </c>
      <c r="D272" s="84" t="s">
        <v>3416</v>
      </c>
      <c r="E272" s="94">
        <v>0.667</v>
      </c>
      <c r="F272" s="93">
        <f t="shared" si="1"/>
        <v>0.667</v>
      </c>
    </row>
    <row r="273">
      <c r="A273" s="84" t="s">
        <v>2042</v>
      </c>
      <c r="B273" s="87">
        <v>6.0</v>
      </c>
      <c r="C273" s="87">
        <v>5.0</v>
      </c>
      <c r="D273" s="84" t="s">
        <v>3414</v>
      </c>
      <c r="E273" s="94">
        <v>0.833</v>
      </c>
      <c r="F273" s="95">
        <f t="shared" si="1"/>
        <v>0.4165</v>
      </c>
    </row>
    <row r="274">
      <c r="A274" s="84" t="s">
        <v>2044</v>
      </c>
      <c r="B274" s="87">
        <v>6.0</v>
      </c>
      <c r="C274" s="87">
        <v>5.0</v>
      </c>
      <c r="D274" s="84" t="s">
        <v>3414</v>
      </c>
      <c r="E274" s="94">
        <v>0.833</v>
      </c>
      <c r="F274" s="95">
        <f t="shared" si="1"/>
        <v>0.4165</v>
      </c>
    </row>
    <row r="275">
      <c r="A275" s="84" t="s">
        <v>2200</v>
      </c>
      <c r="B275" s="87">
        <v>34.0</v>
      </c>
      <c r="C275" s="87">
        <v>29.0</v>
      </c>
      <c r="D275" s="84" t="s">
        <v>3414</v>
      </c>
      <c r="E275" s="94">
        <v>0.853</v>
      </c>
      <c r="F275" s="95">
        <f t="shared" si="1"/>
        <v>0.4265</v>
      </c>
    </row>
    <row r="276">
      <c r="A276" s="84" t="s">
        <v>2201</v>
      </c>
      <c r="B276" s="87">
        <v>3.0</v>
      </c>
      <c r="C276" s="87">
        <v>3.0</v>
      </c>
      <c r="D276" s="84" t="s">
        <v>3415</v>
      </c>
      <c r="E276" s="94">
        <v>1.0</v>
      </c>
      <c r="F276" s="95">
        <f t="shared" si="1"/>
        <v>0.75</v>
      </c>
    </row>
    <row r="277">
      <c r="A277" s="84" t="s">
        <v>2202</v>
      </c>
      <c r="B277" s="87">
        <v>3.0</v>
      </c>
      <c r="C277" s="87">
        <v>3.0</v>
      </c>
      <c r="D277" s="84" t="s">
        <v>3415</v>
      </c>
      <c r="E277" s="94">
        <v>1.0</v>
      </c>
      <c r="F277" s="95">
        <f t="shared" si="1"/>
        <v>0.75</v>
      </c>
    </row>
    <row r="278">
      <c r="A278" s="84" t="s">
        <v>2203</v>
      </c>
      <c r="B278" s="87">
        <v>4.0</v>
      </c>
      <c r="C278" s="87">
        <v>4.0</v>
      </c>
      <c r="D278" s="84" t="s">
        <v>3415</v>
      </c>
      <c r="E278" s="94">
        <v>1.0</v>
      </c>
      <c r="F278" s="95">
        <f t="shared" si="1"/>
        <v>0.75</v>
      </c>
    </row>
    <row r="279">
      <c r="A279" s="84" t="s">
        <v>2204</v>
      </c>
      <c r="B279" s="87">
        <v>3.0</v>
      </c>
      <c r="C279" s="87">
        <v>1.0</v>
      </c>
      <c r="D279" s="84" t="s">
        <v>3416</v>
      </c>
      <c r="E279" s="94">
        <v>0.333</v>
      </c>
      <c r="F279" s="93">
        <f t="shared" si="1"/>
        <v>0.333</v>
      </c>
    </row>
    <row r="280">
      <c r="A280" s="84" t="s">
        <v>2205</v>
      </c>
      <c r="B280" s="87">
        <v>34.0</v>
      </c>
      <c r="C280" s="87">
        <v>29.0</v>
      </c>
      <c r="D280" s="84" t="s">
        <v>3414</v>
      </c>
      <c r="E280" s="94">
        <v>0.853</v>
      </c>
      <c r="F280" s="95">
        <f t="shared" si="1"/>
        <v>0.4265</v>
      </c>
    </row>
    <row r="281">
      <c r="A281" s="84" t="s">
        <v>2206</v>
      </c>
      <c r="B281" s="87">
        <v>34.0</v>
      </c>
      <c r="C281" s="87">
        <v>29.0</v>
      </c>
      <c r="D281" s="84" t="s">
        <v>3414</v>
      </c>
      <c r="E281" s="94">
        <v>0.853</v>
      </c>
      <c r="F281" s="95">
        <f t="shared" si="1"/>
        <v>0.4265</v>
      </c>
    </row>
    <row r="282">
      <c r="A282" s="84" t="s">
        <v>2152</v>
      </c>
      <c r="B282" s="87">
        <v>3.0</v>
      </c>
      <c r="C282" s="87">
        <v>3.0</v>
      </c>
      <c r="D282" s="84" t="s">
        <v>3415</v>
      </c>
      <c r="E282" s="94">
        <v>1.0</v>
      </c>
      <c r="F282" s="95">
        <f t="shared" si="1"/>
        <v>0.75</v>
      </c>
    </row>
    <row r="283">
      <c r="A283" s="84" t="s">
        <v>2153</v>
      </c>
      <c r="B283" s="87">
        <v>4.0</v>
      </c>
      <c r="C283" s="87">
        <v>4.0</v>
      </c>
      <c r="D283" s="84" t="s">
        <v>3414</v>
      </c>
      <c r="E283" s="94">
        <v>1.0</v>
      </c>
      <c r="F283" s="95">
        <f t="shared" si="1"/>
        <v>0.5</v>
      </c>
    </row>
    <row r="284">
      <c r="A284" s="84" t="s">
        <v>2154</v>
      </c>
      <c r="B284" s="87">
        <v>4.0</v>
      </c>
      <c r="C284" s="87">
        <v>4.0</v>
      </c>
      <c r="D284" s="84" t="s">
        <v>3414</v>
      </c>
      <c r="E284" s="94">
        <v>1.0</v>
      </c>
      <c r="F284" s="95">
        <f t="shared" si="1"/>
        <v>0.5</v>
      </c>
    </row>
    <row r="285">
      <c r="A285" s="84" t="s">
        <v>2155</v>
      </c>
      <c r="B285" s="87">
        <v>4.0</v>
      </c>
      <c r="C285" s="87">
        <v>4.0</v>
      </c>
      <c r="D285" s="84" t="s">
        <v>3414</v>
      </c>
      <c r="E285" s="94">
        <v>1.0</v>
      </c>
      <c r="F285" s="95">
        <f t="shared" si="1"/>
        <v>0.5</v>
      </c>
    </row>
    <row r="286">
      <c r="A286" s="84" t="s">
        <v>2156</v>
      </c>
      <c r="B286" s="87">
        <v>4.0</v>
      </c>
      <c r="C286" s="87">
        <v>4.0</v>
      </c>
      <c r="D286" s="84" t="s">
        <v>3414</v>
      </c>
      <c r="E286" s="94">
        <v>1.0</v>
      </c>
      <c r="F286" s="95">
        <f t="shared" si="1"/>
        <v>0.5</v>
      </c>
    </row>
    <row r="287">
      <c r="A287" s="84" t="s">
        <v>2157</v>
      </c>
      <c r="B287" s="87">
        <v>4.0</v>
      </c>
      <c r="C287" s="87">
        <v>4.0</v>
      </c>
      <c r="D287" s="84" t="s">
        <v>3414</v>
      </c>
      <c r="E287" s="94">
        <v>1.0</v>
      </c>
      <c r="F287" s="95">
        <f t="shared" si="1"/>
        <v>0.5</v>
      </c>
    </row>
    <row r="288">
      <c r="A288" s="84" t="s">
        <v>2976</v>
      </c>
      <c r="B288" s="87">
        <v>7.0</v>
      </c>
      <c r="C288" s="87">
        <v>2.0</v>
      </c>
      <c r="D288" s="84" t="s">
        <v>3416</v>
      </c>
      <c r="E288" s="94">
        <v>0.286</v>
      </c>
      <c r="F288" s="93">
        <f t="shared" si="1"/>
        <v>0.286</v>
      </c>
    </row>
    <row r="289">
      <c r="A289" s="84" t="s">
        <v>2978</v>
      </c>
      <c r="B289" s="87">
        <v>7.0</v>
      </c>
      <c r="C289" s="87">
        <v>3.0</v>
      </c>
      <c r="D289" s="84" t="s">
        <v>3416</v>
      </c>
      <c r="E289" s="94">
        <v>0.429</v>
      </c>
      <c r="F289" s="93">
        <f t="shared" si="1"/>
        <v>0.429</v>
      </c>
    </row>
    <row r="290">
      <c r="A290" s="84" t="s">
        <v>2980</v>
      </c>
      <c r="B290" s="87">
        <v>3.0</v>
      </c>
      <c r="C290" s="87">
        <v>0.0</v>
      </c>
      <c r="D290" s="84" t="s">
        <v>3416</v>
      </c>
      <c r="E290" s="94">
        <v>0.0</v>
      </c>
      <c r="F290" s="93">
        <f t="shared" si="1"/>
        <v>0</v>
      </c>
    </row>
    <row r="291">
      <c r="A291" s="84" t="s">
        <v>2982</v>
      </c>
      <c r="B291" s="87">
        <v>34.0</v>
      </c>
      <c r="C291" s="87">
        <v>16.0</v>
      </c>
      <c r="D291" s="84" t="s">
        <v>3414</v>
      </c>
      <c r="E291" s="94">
        <v>0.471</v>
      </c>
      <c r="F291" s="95">
        <f t="shared" si="1"/>
        <v>0.2355</v>
      </c>
    </row>
    <row r="292">
      <c r="A292" s="84" t="s">
        <v>2984</v>
      </c>
      <c r="B292" s="87">
        <v>34.0</v>
      </c>
      <c r="C292" s="87">
        <v>16.0</v>
      </c>
      <c r="D292" s="84" t="s">
        <v>3414</v>
      </c>
      <c r="E292" s="94">
        <v>0.471</v>
      </c>
      <c r="F292" s="95">
        <f t="shared" si="1"/>
        <v>0.2355</v>
      </c>
    </row>
    <row r="293">
      <c r="A293" s="84" t="s">
        <v>2986</v>
      </c>
      <c r="B293" s="87">
        <v>4.0</v>
      </c>
      <c r="C293" s="87">
        <v>2.0</v>
      </c>
      <c r="D293" s="84" t="s">
        <v>3416</v>
      </c>
      <c r="E293" s="94">
        <v>0.5</v>
      </c>
      <c r="F293" s="93">
        <f t="shared" si="1"/>
        <v>0.5</v>
      </c>
    </row>
    <row r="294">
      <c r="A294" s="84" t="s">
        <v>2987</v>
      </c>
      <c r="B294" s="87">
        <v>34.0</v>
      </c>
      <c r="C294" s="87">
        <v>16.0</v>
      </c>
      <c r="D294" s="84" t="s">
        <v>3414</v>
      </c>
      <c r="E294" s="94">
        <v>0.471</v>
      </c>
      <c r="F294" s="95">
        <f t="shared" si="1"/>
        <v>0.2355</v>
      </c>
    </row>
    <row r="295">
      <c r="A295" s="84" t="s">
        <v>3391</v>
      </c>
      <c r="B295" s="87">
        <v>20.0</v>
      </c>
      <c r="C295" s="87">
        <v>12.0</v>
      </c>
      <c r="D295" s="84" t="s">
        <v>3415</v>
      </c>
      <c r="E295" s="94">
        <v>0.6</v>
      </c>
      <c r="F295" s="95">
        <f t="shared" si="1"/>
        <v>0.45</v>
      </c>
    </row>
    <row r="296">
      <c r="A296" s="84" t="s">
        <v>3103</v>
      </c>
      <c r="B296" s="87">
        <v>8.0</v>
      </c>
      <c r="C296" s="87">
        <v>5.0</v>
      </c>
      <c r="D296" s="84" t="s">
        <v>3416</v>
      </c>
      <c r="E296" s="94">
        <v>0.625</v>
      </c>
      <c r="F296" s="93">
        <f t="shared" si="1"/>
        <v>0.625</v>
      </c>
    </row>
    <row r="297">
      <c r="A297" s="84" t="s">
        <v>3104</v>
      </c>
      <c r="B297" s="87">
        <v>6.0</v>
      </c>
      <c r="C297" s="87">
        <v>4.0</v>
      </c>
      <c r="D297" s="84" t="s">
        <v>3416</v>
      </c>
      <c r="E297" s="94">
        <v>0.667</v>
      </c>
      <c r="F297" s="93">
        <f t="shared" si="1"/>
        <v>0.667</v>
      </c>
    </row>
    <row r="298">
      <c r="A298" s="84" t="s">
        <v>3105</v>
      </c>
      <c r="B298" s="87">
        <v>7.0</v>
      </c>
      <c r="C298" s="87">
        <v>4.0</v>
      </c>
      <c r="D298" s="84" t="s">
        <v>3416</v>
      </c>
      <c r="E298" s="94">
        <v>0.571</v>
      </c>
      <c r="F298" s="93">
        <f t="shared" si="1"/>
        <v>0.571</v>
      </c>
    </row>
    <row r="299">
      <c r="A299" s="84" t="s">
        <v>3106</v>
      </c>
      <c r="B299" s="87">
        <v>8.0</v>
      </c>
      <c r="C299" s="87">
        <v>8.0</v>
      </c>
      <c r="D299" s="84" t="s">
        <v>3416</v>
      </c>
      <c r="E299" s="94">
        <v>1.0</v>
      </c>
      <c r="F299" s="93">
        <f t="shared" si="1"/>
        <v>1</v>
      </c>
    </row>
    <row r="300">
      <c r="A300" s="84" t="s">
        <v>3107</v>
      </c>
      <c r="B300" s="87">
        <v>13.0</v>
      </c>
      <c r="C300" s="87">
        <v>8.0</v>
      </c>
      <c r="D300" s="84" t="s">
        <v>3416</v>
      </c>
      <c r="E300" s="94">
        <v>0.615</v>
      </c>
      <c r="F300" s="93">
        <f t="shared" si="1"/>
        <v>0.615</v>
      </c>
    </row>
    <row r="301">
      <c r="A301" s="84" t="s">
        <v>3108</v>
      </c>
      <c r="B301" s="87">
        <v>5.0</v>
      </c>
      <c r="C301" s="87">
        <v>5.0</v>
      </c>
      <c r="D301" s="84" t="s">
        <v>3416</v>
      </c>
      <c r="E301" s="94">
        <v>1.0</v>
      </c>
      <c r="F301" s="93">
        <f t="shared" si="1"/>
        <v>1</v>
      </c>
    </row>
    <row r="302">
      <c r="A302" s="84" t="s">
        <v>3109</v>
      </c>
      <c r="B302" s="87">
        <v>3.0</v>
      </c>
      <c r="C302" s="87">
        <v>0.0</v>
      </c>
      <c r="D302" s="84" t="s">
        <v>3416</v>
      </c>
      <c r="E302" s="94">
        <v>0.0</v>
      </c>
      <c r="F302" s="93">
        <f t="shared" si="1"/>
        <v>0</v>
      </c>
    </row>
    <row r="303">
      <c r="A303" s="84" t="s">
        <v>1869</v>
      </c>
      <c r="B303" s="87">
        <v>52.0</v>
      </c>
      <c r="C303" s="87">
        <v>37.0</v>
      </c>
      <c r="D303" s="84" t="s">
        <v>3414</v>
      </c>
      <c r="E303" s="94">
        <v>0.712</v>
      </c>
      <c r="F303" s="95">
        <f t="shared" si="1"/>
        <v>0.356</v>
      </c>
    </row>
    <row r="304">
      <c r="A304" s="84" t="s">
        <v>1871</v>
      </c>
      <c r="B304" s="87">
        <v>3.0</v>
      </c>
      <c r="C304" s="87">
        <v>1.0</v>
      </c>
      <c r="D304" s="84" t="s">
        <v>3416</v>
      </c>
      <c r="E304" s="94">
        <v>0.333</v>
      </c>
      <c r="F304" s="93">
        <f t="shared" si="1"/>
        <v>0.333</v>
      </c>
    </row>
    <row r="305">
      <c r="A305" s="84" t="s">
        <v>1872</v>
      </c>
      <c r="B305" s="87">
        <v>3.0</v>
      </c>
      <c r="C305" s="87">
        <v>3.0</v>
      </c>
      <c r="D305" s="84" t="s">
        <v>3416</v>
      </c>
      <c r="E305" s="94">
        <v>1.0</v>
      </c>
      <c r="F305" s="93">
        <f t="shared" si="1"/>
        <v>1</v>
      </c>
    </row>
    <row r="306">
      <c r="A306" s="84" t="s">
        <v>1873</v>
      </c>
      <c r="B306" s="87">
        <v>4.0</v>
      </c>
      <c r="C306" s="87">
        <v>3.0</v>
      </c>
      <c r="D306" s="84" t="s">
        <v>3415</v>
      </c>
      <c r="E306" s="94">
        <v>0.75</v>
      </c>
      <c r="F306" s="95">
        <f t="shared" si="1"/>
        <v>0.5625</v>
      </c>
    </row>
    <row r="307">
      <c r="A307" s="84" t="s">
        <v>1874</v>
      </c>
      <c r="B307" s="87">
        <v>6.0</v>
      </c>
      <c r="C307" s="87">
        <v>4.0</v>
      </c>
      <c r="D307" s="84" t="s">
        <v>3416</v>
      </c>
      <c r="E307" s="94">
        <v>0.667</v>
      </c>
      <c r="F307" s="93">
        <f t="shared" si="1"/>
        <v>0.667</v>
      </c>
    </row>
    <row r="308">
      <c r="A308" s="84" t="s">
        <v>1875</v>
      </c>
      <c r="B308" s="87">
        <v>5.0</v>
      </c>
      <c r="C308" s="87">
        <v>3.0</v>
      </c>
      <c r="D308" s="84" t="s">
        <v>3416</v>
      </c>
      <c r="E308" s="94">
        <v>0.6</v>
      </c>
      <c r="F308" s="93">
        <f t="shared" si="1"/>
        <v>0.6</v>
      </c>
    </row>
    <row r="309">
      <c r="A309" s="84" t="s">
        <v>1876</v>
      </c>
      <c r="B309" s="87">
        <v>52.0</v>
      </c>
      <c r="C309" s="87">
        <v>37.0</v>
      </c>
      <c r="D309" s="84" t="s">
        <v>3414</v>
      </c>
      <c r="E309" s="94">
        <v>0.712</v>
      </c>
      <c r="F309" s="95">
        <f t="shared" si="1"/>
        <v>0.356</v>
      </c>
    </row>
    <row r="310">
      <c r="A310" s="84" t="s">
        <v>3339</v>
      </c>
      <c r="B310" s="87">
        <v>4.0</v>
      </c>
      <c r="C310" s="87">
        <v>4.0</v>
      </c>
      <c r="D310" s="84" t="s">
        <v>3414</v>
      </c>
      <c r="E310" s="94">
        <v>1.0</v>
      </c>
      <c r="F310" s="95">
        <f t="shared" si="1"/>
        <v>0.5</v>
      </c>
    </row>
    <row r="311">
      <c r="A311" s="84" t="s">
        <v>2158</v>
      </c>
      <c r="B311" s="87">
        <v>4.0</v>
      </c>
      <c r="C311" s="87">
        <v>4.0</v>
      </c>
      <c r="D311" s="84" t="s">
        <v>3414</v>
      </c>
      <c r="E311" s="94">
        <v>1.0</v>
      </c>
      <c r="F311" s="95">
        <f t="shared" si="1"/>
        <v>0.5</v>
      </c>
    </row>
    <row r="312">
      <c r="A312" s="84" t="s">
        <v>2160</v>
      </c>
      <c r="B312" s="87">
        <v>4.0</v>
      </c>
      <c r="C312" s="87">
        <v>4.0</v>
      </c>
      <c r="D312" s="84" t="s">
        <v>3414</v>
      </c>
      <c r="E312" s="94">
        <v>1.0</v>
      </c>
      <c r="F312" s="95">
        <f t="shared" si="1"/>
        <v>0.5</v>
      </c>
    </row>
    <row r="313">
      <c r="A313" s="84" t="s">
        <v>2045</v>
      </c>
      <c r="B313" s="87">
        <v>6.0</v>
      </c>
      <c r="C313" s="87">
        <v>5.0</v>
      </c>
      <c r="D313" s="84" t="s">
        <v>3414</v>
      </c>
      <c r="E313" s="94">
        <v>0.833</v>
      </c>
      <c r="F313" s="95">
        <f t="shared" si="1"/>
        <v>0.4165</v>
      </c>
    </row>
    <row r="314">
      <c r="A314" s="84" t="s">
        <v>2047</v>
      </c>
      <c r="B314" s="87">
        <v>6.0</v>
      </c>
      <c r="C314" s="87">
        <v>5.0</v>
      </c>
      <c r="D314" s="84" t="s">
        <v>3414</v>
      </c>
      <c r="E314" s="94">
        <v>0.833</v>
      </c>
      <c r="F314" s="95">
        <f t="shared" si="1"/>
        <v>0.4165</v>
      </c>
    </row>
    <row r="315">
      <c r="A315" s="84" t="s">
        <v>2048</v>
      </c>
      <c r="B315" s="87">
        <v>6.0</v>
      </c>
      <c r="C315" s="87">
        <v>5.0</v>
      </c>
      <c r="D315" s="84" t="s">
        <v>3414</v>
      </c>
      <c r="E315" s="94">
        <v>0.833</v>
      </c>
      <c r="F315" s="95">
        <f t="shared" si="1"/>
        <v>0.4165</v>
      </c>
    </row>
    <row r="316">
      <c r="A316" s="84" t="s">
        <v>2049</v>
      </c>
      <c r="B316" s="87">
        <v>3.0</v>
      </c>
      <c r="C316" s="87">
        <v>2.0</v>
      </c>
      <c r="D316" s="84" t="s">
        <v>3415</v>
      </c>
      <c r="E316" s="94">
        <v>0.667</v>
      </c>
      <c r="F316" s="95">
        <f t="shared" si="1"/>
        <v>0.50025</v>
      </c>
    </row>
    <row r="317">
      <c r="A317" s="84" t="s">
        <v>2050</v>
      </c>
      <c r="B317" s="87">
        <v>6.0</v>
      </c>
      <c r="C317" s="87">
        <v>5.0</v>
      </c>
      <c r="D317" s="84" t="s">
        <v>3414</v>
      </c>
      <c r="E317" s="94">
        <v>0.833</v>
      </c>
      <c r="F317" s="95">
        <f t="shared" si="1"/>
        <v>0.4165</v>
      </c>
    </row>
    <row r="318">
      <c r="A318" s="84" t="s">
        <v>2051</v>
      </c>
      <c r="B318" s="87">
        <v>6.0</v>
      </c>
      <c r="C318" s="87">
        <v>5.0</v>
      </c>
      <c r="D318" s="84" t="s">
        <v>3414</v>
      </c>
      <c r="E318" s="94">
        <v>0.833</v>
      </c>
      <c r="F318" s="95">
        <f t="shared" si="1"/>
        <v>0.4165</v>
      </c>
    </row>
    <row r="319">
      <c r="A319" s="84" t="s">
        <v>1412</v>
      </c>
      <c r="B319" s="87">
        <v>3.0</v>
      </c>
      <c r="C319" s="87">
        <v>2.0</v>
      </c>
      <c r="D319" s="84" t="s">
        <v>3414</v>
      </c>
      <c r="E319" s="94">
        <v>0.667</v>
      </c>
      <c r="F319" s="95">
        <f t="shared" si="1"/>
        <v>0.3335</v>
      </c>
    </row>
    <row r="320">
      <c r="A320" s="84" t="s">
        <v>1415</v>
      </c>
      <c r="B320" s="87">
        <v>3.0</v>
      </c>
      <c r="C320" s="87">
        <v>2.0</v>
      </c>
      <c r="D320" s="84" t="s">
        <v>3416</v>
      </c>
      <c r="E320" s="94">
        <v>0.667</v>
      </c>
      <c r="F320" s="93">
        <f t="shared" si="1"/>
        <v>0.667</v>
      </c>
    </row>
    <row r="321">
      <c r="A321" s="84" t="s">
        <v>1417</v>
      </c>
      <c r="B321" s="87">
        <v>3.0</v>
      </c>
      <c r="C321" s="87">
        <v>2.0</v>
      </c>
      <c r="D321" s="84" t="s">
        <v>3414</v>
      </c>
      <c r="E321" s="94">
        <v>0.667</v>
      </c>
      <c r="F321" s="95">
        <f t="shared" si="1"/>
        <v>0.3335</v>
      </c>
    </row>
    <row r="322">
      <c r="A322" s="84" t="s">
        <v>1418</v>
      </c>
      <c r="B322" s="87">
        <v>3.0</v>
      </c>
      <c r="C322" s="87">
        <v>2.0</v>
      </c>
      <c r="D322" s="84" t="s">
        <v>3414</v>
      </c>
      <c r="E322" s="94">
        <v>0.667</v>
      </c>
      <c r="F322" s="95">
        <f t="shared" si="1"/>
        <v>0.3335</v>
      </c>
    </row>
    <row r="323">
      <c r="A323" s="84" t="s">
        <v>2299</v>
      </c>
      <c r="B323" s="87">
        <v>0.0</v>
      </c>
      <c r="C323" s="87">
        <v>0.0</v>
      </c>
      <c r="D323" s="84" t="s">
        <v>3412</v>
      </c>
      <c r="E323" s="92" t="s">
        <v>3413</v>
      </c>
      <c r="F323" s="93" t="str">
        <f t="shared" si="1"/>
        <v>Not Applicable</v>
      </c>
    </row>
    <row r="324">
      <c r="A324" s="84" t="s">
        <v>2301</v>
      </c>
      <c r="B324" s="87">
        <v>0.0</v>
      </c>
      <c r="C324" s="87">
        <v>0.0</v>
      </c>
      <c r="D324" s="84" t="s">
        <v>3412</v>
      </c>
      <c r="E324" s="92" t="s">
        <v>3413</v>
      </c>
      <c r="F324" s="93" t="str">
        <f t="shared" si="1"/>
        <v>Not Applicable</v>
      </c>
    </row>
    <row r="325">
      <c r="A325" s="84" t="s">
        <v>1774</v>
      </c>
      <c r="B325" s="87">
        <v>33.0</v>
      </c>
      <c r="C325" s="87">
        <v>24.0</v>
      </c>
      <c r="D325" s="84" t="s">
        <v>3414</v>
      </c>
      <c r="E325" s="94">
        <v>0.727</v>
      </c>
      <c r="F325" s="95">
        <f t="shared" si="1"/>
        <v>0.3635</v>
      </c>
    </row>
    <row r="326">
      <c r="A326" s="84" t="s">
        <v>1774</v>
      </c>
      <c r="B326" s="87">
        <v>3.0</v>
      </c>
      <c r="C326" s="87">
        <v>1.0</v>
      </c>
      <c r="D326" s="84" t="s">
        <v>3415</v>
      </c>
      <c r="E326" s="94">
        <v>0.333</v>
      </c>
      <c r="F326" s="95">
        <f t="shared" si="1"/>
        <v>0.24975</v>
      </c>
    </row>
    <row r="327">
      <c r="A327" s="84" t="s">
        <v>1978</v>
      </c>
      <c r="B327" s="87">
        <v>9.0</v>
      </c>
      <c r="C327" s="87">
        <v>6.0</v>
      </c>
      <c r="D327" s="84" t="s">
        <v>3415</v>
      </c>
      <c r="E327" s="94">
        <v>0.667</v>
      </c>
      <c r="F327" s="95">
        <f t="shared" si="1"/>
        <v>0.50025</v>
      </c>
    </row>
    <row r="328">
      <c r="A328" s="84" t="s">
        <v>1775</v>
      </c>
      <c r="B328" s="87">
        <v>5.0</v>
      </c>
      <c r="C328" s="87">
        <v>3.0</v>
      </c>
      <c r="D328" s="84" t="s">
        <v>3415</v>
      </c>
      <c r="E328" s="94">
        <v>0.6</v>
      </c>
      <c r="F328" s="95">
        <f t="shared" si="1"/>
        <v>0.45</v>
      </c>
    </row>
    <row r="329">
      <c r="A329" s="84" t="s">
        <v>1775</v>
      </c>
      <c r="B329" s="87">
        <v>7.0</v>
      </c>
      <c r="C329" s="87">
        <v>6.0</v>
      </c>
      <c r="D329" s="84" t="s">
        <v>3415</v>
      </c>
      <c r="E329" s="94">
        <v>0.857</v>
      </c>
      <c r="F329" s="95">
        <f t="shared" si="1"/>
        <v>0.64275</v>
      </c>
    </row>
    <row r="330">
      <c r="A330" s="84" t="s">
        <v>1776</v>
      </c>
      <c r="B330" s="87">
        <v>4.0</v>
      </c>
      <c r="C330" s="87">
        <v>4.0</v>
      </c>
      <c r="D330" s="84" t="s">
        <v>3415</v>
      </c>
      <c r="E330" s="94">
        <v>1.0</v>
      </c>
      <c r="F330" s="95">
        <f t="shared" si="1"/>
        <v>0.75</v>
      </c>
    </row>
    <row r="331">
      <c r="A331" s="84" t="s">
        <v>1776</v>
      </c>
      <c r="B331" s="87">
        <v>4.0</v>
      </c>
      <c r="C331" s="87">
        <v>2.0</v>
      </c>
      <c r="D331" s="84" t="s">
        <v>3415</v>
      </c>
      <c r="E331" s="94">
        <v>0.5</v>
      </c>
      <c r="F331" s="95">
        <f t="shared" si="1"/>
        <v>0.375</v>
      </c>
    </row>
    <row r="332">
      <c r="A332" s="84" t="s">
        <v>1982</v>
      </c>
      <c r="B332" s="87">
        <v>33.0</v>
      </c>
      <c r="C332" s="87">
        <v>24.0</v>
      </c>
      <c r="D332" s="84" t="s">
        <v>3414</v>
      </c>
      <c r="E332" s="94">
        <v>0.727</v>
      </c>
      <c r="F332" s="95">
        <f t="shared" si="1"/>
        <v>0.3635</v>
      </c>
    </row>
    <row r="333">
      <c r="A333" s="84" t="s">
        <v>1777</v>
      </c>
      <c r="B333" s="87">
        <v>15.0</v>
      </c>
      <c r="C333" s="87">
        <v>13.0</v>
      </c>
      <c r="D333" s="84" t="s">
        <v>3415</v>
      </c>
      <c r="E333" s="94">
        <v>0.867</v>
      </c>
      <c r="F333" s="95">
        <f t="shared" si="1"/>
        <v>0.65025</v>
      </c>
    </row>
    <row r="334">
      <c r="A334" s="84" t="s">
        <v>1777</v>
      </c>
      <c r="B334" s="87">
        <v>3.0</v>
      </c>
      <c r="C334" s="87">
        <v>2.0</v>
      </c>
      <c r="D334" s="84" t="s">
        <v>3415</v>
      </c>
      <c r="E334" s="94">
        <v>0.667</v>
      </c>
      <c r="F334" s="95">
        <f t="shared" si="1"/>
        <v>0.50025</v>
      </c>
    </row>
    <row r="335">
      <c r="A335" s="84" t="s">
        <v>1778</v>
      </c>
      <c r="B335" s="87">
        <v>33.0</v>
      </c>
      <c r="C335" s="87">
        <v>24.0</v>
      </c>
      <c r="D335" s="84" t="s">
        <v>3414</v>
      </c>
      <c r="E335" s="94">
        <v>0.727</v>
      </c>
      <c r="F335" s="95">
        <f t="shared" si="1"/>
        <v>0.3635</v>
      </c>
    </row>
    <row r="336">
      <c r="A336" s="84" t="s">
        <v>1778</v>
      </c>
      <c r="B336" s="87">
        <v>24.0</v>
      </c>
      <c r="C336" s="87">
        <v>15.0</v>
      </c>
      <c r="D336" s="84" t="s">
        <v>3414</v>
      </c>
      <c r="E336" s="94">
        <v>0.625</v>
      </c>
      <c r="F336" s="95">
        <f t="shared" si="1"/>
        <v>0.3125</v>
      </c>
    </row>
    <row r="337">
      <c r="A337" s="84" t="s">
        <v>2592</v>
      </c>
      <c r="B337" s="87">
        <v>1.0</v>
      </c>
      <c r="C337" s="87">
        <v>1.0</v>
      </c>
      <c r="D337" s="84" t="s">
        <v>3414</v>
      </c>
      <c r="E337" s="92" t="s">
        <v>3413</v>
      </c>
      <c r="F337" s="95" t="str">
        <f t="shared" si="1"/>
        <v>#VALUE!</v>
      </c>
    </row>
    <row r="338">
      <c r="A338" s="84" t="s">
        <v>2594</v>
      </c>
      <c r="B338" s="87">
        <v>1.0</v>
      </c>
      <c r="C338" s="87">
        <v>1.0</v>
      </c>
      <c r="D338" s="84" t="s">
        <v>3414</v>
      </c>
      <c r="E338" s="92" t="s">
        <v>3413</v>
      </c>
      <c r="F338" s="95" t="str">
        <f t="shared" si="1"/>
        <v>#VALUE!</v>
      </c>
    </row>
    <row r="339">
      <c r="A339" s="84" t="s">
        <v>2596</v>
      </c>
      <c r="B339" s="87">
        <v>1.0</v>
      </c>
      <c r="C339" s="87">
        <v>1.0</v>
      </c>
      <c r="D339" s="84" t="s">
        <v>3414</v>
      </c>
      <c r="E339" s="92" t="s">
        <v>3413</v>
      </c>
      <c r="F339" s="95" t="str">
        <f t="shared" si="1"/>
        <v>#VALUE!</v>
      </c>
    </row>
    <row r="340">
      <c r="A340" s="84" t="s">
        <v>2598</v>
      </c>
      <c r="B340" s="87">
        <v>1.0</v>
      </c>
      <c r="C340" s="87">
        <v>1.0</v>
      </c>
      <c r="D340" s="84" t="s">
        <v>3414</v>
      </c>
      <c r="E340" s="92" t="s">
        <v>3413</v>
      </c>
      <c r="F340" s="95" t="str">
        <f t="shared" si="1"/>
        <v>#VALUE!</v>
      </c>
    </row>
    <row r="341">
      <c r="A341" s="84" t="s">
        <v>2599</v>
      </c>
      <c r="B341" s="87">
        <v>1.0</v>
      </c>
      <c r="C341" s="87">
        <v>1.0</v>
      </c>
      <c r="D341" s="84" t="s">
        <v>3414</v>
      </c>
      <c r="E341" s="92" t="s">
        <v>3413</v>
      </c>
      <c r="F341" s="95" t="str">
        <f t="shared" si="1"/>
        <v>#VALUE!</v>
      </c>
    </row>
    <row r="342">
      <c r="A342" s="84" t="s">
        <v>3330</v>
      </c>
      <c r="B342" s="87">
        <v>0.0</v>
      </c>
      <c r="C342" s="87">
        <v>0.0</v>
      </c>
      <c r="D342" s="84" t="s">
        <v>3412</v>
      </c>
      <c r="E342" s="92" t="s">
        <v>3413</v>
      </c>
      <c r="F342" s="93" t="str">
        <f t="shared" si="1"/>
        <v>Not Applicable</v>
      </c>
    </row>
    <row r="343">
      <c r="A343" s="84" t="s">
        <v>3334</v>
      </c>
      <c r="B343" s="87">
        <v>0.0</v>
      </c>
      <c r="C343" s="87">
        <v>0.0</v>
      </c>
      <c r="D343" s="84" t="s">
        <v>3412</v>
      </c>
      <c r="E343" s="92" t="s">
        <v>3413</v>
      </c>
      <c r="F343" s="93" t="str">
        <f t="shared" si="1"/>
        <v>Not Applicable</v>
      </c>
    </row>
    <row r="344">
      <c r="A344" s="84" t="s">
        <v>2488</v>
      </c>
      <c r="B344" s="87">
        <v>117.0</v>
      </c>
      <c r="C344" s="87">
        <v>64.0</v>
      </c>
      <c r="D344" s="84" t="s">
        <v>3414</v>
      </c>
      <c r="E344" s="94">
        <v>0.547</v>
      </c>
      <c r="F344" s="95">
        <f t="shared" si="1"/>
        <v>0.2735</v>
      </c>
    </row>
    <row r="345">
      <c r="A345" s="84" t="s">
        <v>2489</v>
      </c>
      <c r="B345" s="87">
        <v>8.0</v>
      </c>
      <c r="C345" s="87">
        <v>6.0</v>
      </c>
      <c r="D345" s="84" t="s">
        <v>3415</v>
      </c>
      <c r="E345" s="94">
        <v>0.75</v>
      </c>
      <c r="F345" s="95">
        <f t="shared" si="1"/>
        <v>0.5625</v>
      </c>
    </row>
    <row r="346">
      <c r="A346" s="84" t="s">
        <v>2490</v>
      </c>
      <c r="B346" s="87">
        <v>15.0</v>
      </c>
      <c r="C346" s="87">
        <v>9.0</v>
      </c>
      <c r="D346" s="84" t="s">
        <v>3415</v>
      </c>
      <c r="E346" s="94">
        <v>0.6</v>
      </c>
      <c r="F346" s="95">
        <f t="shared" si="1"/>
        <v>0.45</v>
      </c>
    </row>
    <row r="347">
      <c r="A347" s="84" t="s">
        <v>2491</v>
      </c>
      <c r="B347" s="87">
        <v>13.0</v>
      </c>
      <c r="C347" s="87">
        <v>7.0</v>
      </c>
      <c r="D347" s="84" t="s">
        <v>3415</v>
      </c>
      <c r="E347" s="94">
        <v>0.538</v>
      </c>
      <c r="F347" s="95">
        <f t="shared" si="1"/>
        <v>0.4035</v>
      </c>
    </row>
    <row r="348">
      <c r="A348" s="84" t="s">
        <v>2492</v>
      </c>
      <c r="B348" s="87">
        <v>51.0</v>
      </c>
      <c r="C348" s="87">
        <v>38.0</v>
      </c>
      <c r="D348" s="84" t="s">
        <v>3415</v>
      </c>
      <c r="E348" s="94">
        <v>0.745</v>
      </c>
      <c r="F348" s="95">
        <f t="shared" si="1"/>
        <v>0.55875</v>
      </c>
    </row>
    <row r="349">
      <c r="A349" s="84" t="s">
        <v>2493</v>
      </c>
      <c r="B349" s="87">
        <v>4.0</v>
      </c>
      <c r="C349" s="87">
        <v>3.0</v>
      </c>
      <c r="D349" s="84" t="s">
        <v>3415</v>
      </c>
      <c r="E349" s="94">
        <v>0.75</v>
      </c>
      <c r="F349" s="95">
        <f t="shared" si="1"/>
        <v>0.5625</v>
      </c>
    </row>
    <row r="350">
      <c r="A350" s="84" t="s">
        <v>2494</v>
      </c>
      <c r="B350" s="87">
        <v>25.0</v>
      </c>
      <c r="C350" s="87">
        <v>0.0</v>
      </c>
      <c r="D350" s="84" t="s">
        <v>3415</v>
      </c>
      <c r="E350" s="94">
        <v>0.0</v>
      </c>
      <c r="F350" s="95">
        <f t="shared" si="1"/>
        <v>0</v>
      </c>
    </row>
    <row r="351">
      <c r="A351" s="84" t="s">
        <v>2726</v>
      </c>
      <c r="B351" s="87">
        <v>3.0</v>
      </c>
      <c r="C351" s="87">
        <v>0.0</v>
      </c>
      <c r="D351" s="84" t="s">
        <v>3416</v>
      </c>
      <c r="E351" s="94">
        <v>0.0</v>
      </c>
      <c r="F351" s="93">
        <f t="shared" si="1"/>
        <v>0</v>
      </c>
    </row>
    <row r="352">
      <c r="A352" s="84" t="s">
        <v>2728</v>
      </c>
      <c r="B352" s="87">
        <v>7.0</v>
      </c>
      <c r="C352" s="87">
        <v>0.0</v>
      </c>
      <c r="D352" s="84" t="s">
        <v>3416</v>
      </c>
      <c r="E352" s="94">
        <v>0.0</v>
      </c>
      <c r="F352" s="93">
        <f t="shared" si="1"/>
        <v>0</v>
      </c>
    </row>
    <row r="353">
      <c r="A353" s="84" t="s">
        <v>3386</v>
      </c>
      <c r="B353" s="87">
        <v>34.0</v>
      </c>
      <c r="C353" s="87">
        <v>16.0</v>
      </c>
      <c r="D353" s="84" t="s">
        <v>3414</v>
      </c>
      <c r="E353" s="94">
        <v>0.471</v>
      </c>
      <c r="F353" s="95">
        <f t="shared" si="1"/>
        <v>0.2355</v>
      </c>
    </row>
    <row r="354">
      <c r="A354" s="84" t="s">
        <v>2988</v>
      </c>
      <c r="B354" s="87">
        <v>9.0</v>
      </c>
      <c r="C354" s="87">
        <v>4.0</v>
      </c>
      <c r="D354" s="84" t="s">
        <v>3415</v>
      </c>
      <c r="E354" s="94">
        <v>0.444</v>
      </c>
      <c r="F354" s="95">
        <f t="shared" si="1"/>
        <v>0.333</v>
      </c>
    </row>
    <row r="355">
      <c r="A355" s="84" t="s">
        <v>2990</v>
      </c>
      <c r="B355" s="87">
        <v>11.0</v>
      </c>
      <c r="C355" s="87">
        <v>5.0</v>
      </c>
      <c r="D355" s="84" t="s">
        <v>3415</v>
      </c>
      <c r="E355" s="94">
        <v>0.455</v>
      </c>
      <c r="F355" s="95">
        <f t="shared" si="1"/>
        <v>0.34125</v>
      </c>
    </row>
    <row r="356">
      <c r="A356" s="84" t="s">
        <v>2991</v>
      </c>
      <c r="B356" s="87">
        <v>5.0</v>
      </c>
      <c r="C356" s="87">
        <v>1.0</v>
      </c>
      <c r="D356" s="84" t="s">
        <v>3415</v>
      </c>
      <c r="E356" s="94">
        <v>0.2</v>
      </c>
      <c r="F356" s="95">
        <f t="shared" si="1"/>
        <v>0.15</v>
      </c>
    </row>
    <row r="357">
      <c r="A357" s="84" t="s">
        <v>2992</v>
      </c>
      <c r="B357" s="87">
        <v>34.0</v>
      </c>
      <c r="C357" s="87">
        <v>16.0</v>
      </c>
      <c r="D357" s="84" t="s">
        <v>3414</v>
      </c>
      <c r="E357" s="94">
        <v>0.471</v>
      </c>
      <c r="F357" s="95">
        <f t="shared" si="1"/>
        <v>0.2355</v>
      </c>
    </row>
    <row r="358">
      <c r="A358" s="84" t="s">
        <v>2993</v>
      </c>
      <c r="B358" s="87">
        <v>34.0</v>
      </c>
      <c r="C358" s="87">
        <v>16.0</v>
      </c>
      <c r="D358" s="84" t="s">
        <v>3414</v>
      </c>
      <c r="E358" s="94">
        <v>0.471</v>
      </c>
      <c r="F358" s="95">
        <f t="shared" si="1"/>
        <v>0.2355</v>
      </c>
    </row>
    <row r="359">
      <c r="A359" s="84" t="s">
        <v>2994</v>
      </c>
      <c r="B359" s="87">
        <v>5.0</v>
      </c>
      <c r="C359" s="87">
        <v>2.0</v>
      </c>
      <c r="D359" s="84" t="s">
        <v>3415</v>
      </c>
      <c r="E359" s="94">
        <v>0.4</v>
      </c>
      <c r="F359" s="95">
        <f t="shared" si="1"/>
        <v>0.3</v>
      </c>
    </row>
    <row r="360">
      <c r="A360" s="84" t="s">
        <v>2995</v>
      </c>
      <c r="B360" s="87">
        <v>34.0</v>
      </c>
      <c r="C360" s="87">
        <v>16.0</v>
      </c>
      <c r="D360" s="84" t="s">
        <v>3414</v>
      </c>
      <c r="E360" s="94">
        <v>0.471</v>
      </c>
      <c r="F360" s="95">
        <f t="shared" si="1"/>
        <v>0.2355</v>
      </c>
    </row>
    <row r="361">
      <c r="A361" s="84" t="s">
        <v>1809</v>
      </c>
      <c r="B361" s="87">
        <v>11.0</v>
      </c>
      <c r="C361" s="87">
        <v>7.0</v>
      </c>
      <c r="D361" s="84" t="s">
        <v>3414</v>
      </c>
      <c r="E361" s="94">
        <v>0.636</v>
      </c>
      <c r="F361" s="95">
        <f t="shared" si="1"/>
        <v>0.318</v>
      </c>
    </row>
    <row r="362">
      <c r="A362" s="84" t="s">
        <v>1810</v>
      </c>
      <c r="B362" s="87">
        <v>5.0</v>
      </c>
      <c r="C362" s="87">
        <v>2.0</v>
      </c>
      <c r="D362" s="84" t="s">
        <v>3415</v>
      </c>
      <c r="E362" s="94">
        <v>0.4</v>
      </c>
      <c r="F362" s="95">
        <f t="shared" si="1"/>
        <v>0.3</v>
      </c>
    </row>
    <row r="363">
      <c r="A363" s="84" t="s">
        <v>1811</v>
      </c>
      <c r="B363" s="87">
        <v>11.0</v>
      </c>
      <c r="C363" s="87">
        <v>7.0</v>
      </c>
      <c r="D363" s="84" t="s">
        <v>3414</v>
      </c>
      <c r="E363" s="94">
        <v>0.636</v>
      </c>
      <c r="F363" s="95">
        <f t="shared" si="1"/>
        <v>0.318</v>
      </c>
    </row>
    <row r="364">
      <c r="A364" s="84" t="s">
        <v>1812</v>
      </c>
      <c r="B364" s="87">
        <v>11.0</v>
      </c>
      <c r="C364" s="87">
        <v>7.0</v>
      </c>
      <c r="D364" s="84" t="s">
        <v>3414</v>
      </c>
      <c r="E364" s="94">
        <v>0.636</v>
      </c>
      <c r="F364" s="95">
        <f t="shared" si="1"/>
        <v>0.318</v>
      </c>
    </row>
    <row r="365">
      <c r="A365" s="84" t="s">
        <v>1813</v>
      </c>
      <c r="B365" s="87">
        <v>11.0</v>
      </c>
      <c r="C365" s="87">
        <v>7.0</v>
      </c>
      <c r="D365" s="84" t="s">
        <v>3414</v>
      </c>
      <c r="E365" s="94">
        <v>0.636</v>
      </c>
      <c r="F365" s="95">
        <f t="shared" si="1"/>
        <v>0.318</v>
      </c>
    </row>
    <row r="366">
      <c r="A366" s="84" t="s">
        <v>1814</v>
      </c>
      <c r="B366" s="87">
        <v>11.0</v>
      </c>
      <c r="C366" s="87">
        <v>7.0</v>
      </c>
      <c r="D366" s="84" t="s">
        <v>3414</v>
      </c>
      <c r="E366" s="94">
        <v>0.636</v>
      </c>
      <c r="F366" s="95">
        <f t="shared" si="1"/>
        <v>0.318</v>
      </c>
    </row>
    <row r="367">
      <c r="A367" s="84" t="s">
        <v>1815</v>
      </c>
      <c r="B367" s="87">
        <v>11.0</v>
      </c>
      <c r="C367" s="87">
        <v>7.0</v>
      </c>
      <c r="D367" s="84" t="s">
        <v>3414</v>
      </c>
      <c r="E367" s="94">
        <v>0.636</v>
      </c>
      <c r="F367" s="95">
        <f t="shared" si="1"/>
        <v>0.318</v>
      </c>
    </row>
    <row r="368">
      <c r="A368" s="84" t="s">
        <v>1904</v>
      </c>
      <c r="B368" s="87">
        <v>3.0</v>
      </c>
      <c r="C368" s="87">
        <v>3.0</v>
      </c>
      <c r="D368" s="84" t="s">
        <v>3415</v>
      </c>
      <c r="E368" s="94">
        <v>1.0</v>
      </c>
      <c r="F368" s="95">
        <f t="shared" si="1"/>
        <v>0.75</v>
      </c>
    </row>
    <row r="369">
      <c r="A369" s="84" t="s">
        <v>1906</v>
      </c>
      <c r="B369" s="87">
        <v>5.0</v>
      </c>
      <c r="C369" s="87">
        <v>4.0</v>
      </c>
      <c r="D369" s="84" t="s">
        <v>3415</v>
      </c>
      <c r="E369" s="94">
        <v>0.8</v>
      </c>
      <c r="F369" s="95">
        <f t="shared" si="1"/>
        <v>0.6</v>
      </c>
    </row>
    <row r="370">
      <c r="A370" s="84" t="s">
        <v>1908</v>
      </c>
      <c r="B370" s="87">
        <v>9.0</v>
      </c>
      <c r="C370" s="87">
        <v>4.0</v>
      </c>
      <c r="D370" s="84" t="s">
        <v>3415</v>
      </c>
      <c r="E370" s="94">
        <v>0.444</v>
      </c>
      <c r="F370" s="95">
        <f t="shared" si="1"/>
        <v>0.333</v>
      </c>
    </row>
    <row r="371">
      <c r="A371" s="84" t="s">
        <v>1910</v>
      </c>
      <c r="B371" s="87">
        <v>4.0</v>
      </c>
      <c r="C371" s="87">
        <v>3.0</v>
      </c>
      <c r="D371" s="84" t="s">
        <v>3416</v>
      </c>
      <c r="E371" s="94">
        <v>0.75</v>
      </c>
      <c r="F371" s="93">
        <f t="shared" si="1"/>
        <v>0.75</v>
      </c>
    </row>
    <row r="372">
      <c r="A372" s="84" t="s">
        <v>1912</v>
      </c>
      <c r="B372" s="87">
        <v>3.0</v>
      </c>
      <c r="C372" s="87">
        <v>2.0</v>
      </c>
      <c r="D372" s="84" t="s">
        <v>3415</v>
      </c>
      <c r="E372" s="94">
        <v>0.667</v>
      </c>
      <c r="F372" s="95">
        <f t="shared" si="1"/>
        <v>0.50025</v>
      </c>
    </row>
    <row r="373">
      <c r="A373" s="84" t="s">
        <v>1914</v>
      </c>
      <c r="B373" s="87">
        <v>75.0</v>
      </c>
      <c r="C373" s="87">
        <v>52.0</v>
      </c>
      <c r="D373" s="84" t="s">
        <v>3414</v>
      </c>
      <c r="E373" s="94">
        <v>0.693</v>
      </c>
      <c r="F373" s="95">
        <f t="shared" si="1"/>
        <v>0.3465</v>
      </c>
    </row>
    <row r="374">
      <c r="A374" s="84" t="s">
        <v>1506</v>
      </c>
      <c r="B374" s="87">
        <v>9.0</v>
      </c>
      <c r="C374" s="87">
        <v>7.0</v>
      </c>
      <c r="D374" s="84" t="s">
        <v>3415</v>
      </c>
      <c r="E374" s="94">
        <v>0.778</v>
      </c>
      <c r="F374" s="95">
        <f t="shared" si="1"/>
        <v>0.5835</v>
      </c>
    </row>
    <row r="375">
      <c r="A375" s="84" t="s">
        <v>1508</v>
      </c>
      <c r="B375" s="87">
        <v>12.0</v>
      </c>
      <c r="C375" s="87">
        <v>12.0</v>
      </c>
      <c r="D375" s="84" t="s">
        <v>3415</v>
      </c>
      <c r="E375" s="94">
        <v>1.0</v>
      </c>
      <c r="F375" s="95">
        <f t="shared" si="1"/>
        <v>0.75</v>
      </c>
    </row>
    <row r="376">
      <c r="A376" s="84" t="s">
        <v>1509</v>
      </c>
      <c r="B376" s="87">
        <v>6.0</v>
      </c>
      <c r="C376" s="87">
        <v>6.0</v>
      </c>
      <c r="D376" s="84" t="s">
        <v>3416</v>
      </c>
      <c r="E376" s="94">
        <v>1.0</v>
      </c>
      <c r="F376" s="93">
        <f t="shared" si="1"/>
        <v>1</v>
      </c>
    </row>
    <row r="377">
      <c r="A377" s="84" t="s">
        <v>1510</v>
      </c>
      <c r="B377" s="87">
        <v>4.0</v>
      </c>
      <c r="C377" s="87">
        <v>4.0</v>
      </c>
      <c r="D377" s="84" t="s">
        <v>3415</v>
      </c>
      <c r="E377" s="94">
        <v>1.0</v>
      </c>
      <c r="F377" s="95">
        <f t="shared" si="1"/>
        <v>0.75</v>
      </c>
    </row>
    <row r="378">
      <c r="A378" s="84" t="s">
        <v>1511</v>
      </c>
      <c r="B378" s="87">
        <v>4.0</v>
      </c>
      <c r="C378" s="87">
        <v>4.0</v>
      </c>
      <c r="D378" s="84" t="s">
        <v>3415</v>
      </c>
      <c r="E378" s="94">
        <v>1.0</v>
      </c>
      <c r="F378" s="95">
        <f t="shared" si="1"/>
        <v>0.75</v>
      </c>
    </row>
    <row r="379">
      <c r="A379" s="84" t="s">
        <v>1512</v>
      </c>
      <c r="B379" s="87">
        <v>22.0</v>
      </c>
      <c r="C379" s="87">
        <v>17.0</v>
      </c>
      <c r="D379" s="84" t="s">
        <v>3415</v>
      </c>
      <c r="E379" s="94">
        <v>0.773</v>
      </c>
      <c r="F379" s="95">
        <f t="shared" si="1"/>
        <v>0.57975</v>
      </c>
    </row>
    <row r="380">
      <c r="A380" s="84" t="s">
        <v>1513</v>
      </c>
      <c r="B380" s="87">
        <v>63.0</v>
      </c>
      <c r="C380" s="87">
        <v>55.0</v>
      </c>
      <c r="D380" s="84" t="s">
        <v>3414</v>
      </c>
      <c r="E380" s="94">
        <v>0.873</v>
      </c>
      <c r="F380" s="95">
        <f t="shared" si="1"/>
        <v>0.4365</v>
      </c>
    </row>
    <row r="381">
      <c r="A381" s="84" t="s">
        <v>2550</v>
      </c>
      <c r="B381" s="87">
        <v>50.0</v>
      </c>
      <c r="C381" s="87">
        <v>44.0</v>
      </c>
      <c r="D381" s="84" t="s">
        <v>3414</v>
      </c>
      <c r="E381" s="94">
        <v>0.88</v>
      </c>
      <c r="F381" s="95">
        <f t="shared" si="1"/>
        <v>0.44</v>
      </c>
    </row>
    <row r="382">
      <c r="A382" s="84" t="s">
        <v>2551</v>
      </c>
      <c r="B382" s="87">
        <v>50.0</v>
      </c>
      <c r="C382" s="87">
        <v>44.0</v>
      </c>
      <c r="D382" s="84" t="s">
        <v>3414</v>
      </c>
      <c r="E382" s="94">
        <v>0.88</v>
      </c>
      <c r="F382" s="95">
        <f t="shared" si="1"/>
        <v>0.44</v>
      </c>
    </row>
    <row r="383">
      <c r="A383" s="84" t="s">
        <v>2553</v>
      </c>
      <c r="B383" s="87">
        <v>6.0</v>
      </c>
      <c r="C383" s="87">
        <v>5.0</v>
      </c>
      <c r="D383" s="84" t="s">
        <v>3416</v>
      </c>
      <c r="E383" s="94">
        <v>0.833</v>
      </c>
      <c r="F383" s="93">
        <f t="shared" si="1"/>
        <v>0.833</v>
      </c>
    </row>
    <row r="384">
      <c r="A384" s="84" t="s">
        <v>2554</v>
      </c>
      <c r="B384" s="87">
        <v>4.0</v>
      </c>
      <c r="C384" s="87">
        <v>4.0</v>
      </c>
      <c r="D384" s="84" t="s">
        <v>3415</v>
      </c>
      <c r="E384" s="94">
        <v>1.0</v>
      </c>
      <c r="F384" s="95">
        <f t="shared" si="1"/>
        <v>0.75</v>
      </c>
    </row>
    <row r="385">
      <c r="A385" s="84" t="s">
        <v>2555</v>
      </c>
      <c r="B385" s="87">
        <v>9.0</v>
      </c>
      <c r="C385" s="87">
        <v>6.0</v>
      </c>
      <c r="D385" s="84" t="s">
        <v>3416</v>
      </c>
      <c r="E385" s="94">
        <v>0.667</v>
      </c>
      <c r="F385" s="93">
        <f t="shared" si="1"/>
        <v>0.667</v>
      </c>
    </row>
    <row r="386">
      <c r="A386" s="84" t="s">
        <v>2556</v>
      </c>
      <c r="B386" s="87">
        <v>50.0</v>
      </c>
      <c r="C386" s="87">
        <v>44.0</v>
      </c>
      <c r="D386" s="84" t="s">
        <v>3414</v>
      </c>
      <c r="E386" s="94">
        <v>0.88</v>
      </c>
      <c r="F386" s="95">
        <f t="shared" si="1"/>
        <v>0.44</v>
      </c>
    </row>
    <row r="387">
      <c r="A387" s="84" t="s">
        <v>2557</v>
      </c>
      <c r="B387" s="87">
        <v>50.0</v>
      </c>
      <c r="C387" s="87">
        <v>44.0</v>
      </c>
      <c r="D387" s="84" t="s">
        <v>3414</v>
      </c>
      <c r="E387" s="94">
        <v>0.88</v>
      </c>
      <c r="F387" s="95">
        <f t="shared" si="1"/>
        <v>0.44</v>
      </c>
    </row>
    <row r="388">
      <c r="A388" s="84" t="s">
        <v>2912</v>
      </c>
      <c r="B388" s="87">
        <v>3.0</v>
      </c>
      <c r="C388" s="87">
        <v>3.0</v>
      </c>
      <c r="D388" s="84" t="s">
        <v>3414</v>
      </c>
      <c r="E388" s="94">
        <v>1.0</v>
      </c>
      <c r="F388" s="95">
        <f t="shared" si="1"/>
        <v>0.5</v>
      </c>
    </row>
    <row r="389">
      <c r="A389" s="84" t="s">
        <v>2252</v>
      </c>
      <c r="B389" s="87">
        <v>14.0</v>
      </c>
      <c r="C389" s="87">
        <v>8.0</v>
      </c>
      <c r="D389" s="84" t="s">
        <v>3414</v>
      </c>
      <c r="E389" s="94">
        <v>0.571</v>
      </c>
      <c r="F389" s="95">
        <f t="shared" si="1"/>
        <v>0.2855</v>
      </c>
    </row>
    <row r="390">
      <c r="A390" s="84" t="s">
        <v>2255</v>
      </c>
      <c r="B390" s="87">
        <v>3.0</v>
      </c>
      <c r="C390" s="87">
        <v>2.0</v>
      </c>
      <c r="D390" s="84" t="s">
        <v>3415</v>
      </c>
      <c r="E390" s="94">
        <v>0.667</v>
      </c>
      <c r="F390" s="95">
        <f t="shared" si="1"/>
        <v>0.50025</v>
      </c>
    </row>
    <row r="391">
      <c r="A391" s="84" t="s">
        <v>2257</v>
      </c>
      <c r="B391" s="87">
        <v>4.0</v>
      </c>
      <c r="C391" s="87">
        <v>2.0</v>
      </c>
      <c r="D391" s="84" t="s">
        <v>3415</v>
      </c>
      <c r="E391" s="94">
        <v>0.5</v>
      </c>
      <c r="F391" s="95">
        <f t="shared" si="1"/>
        <v>0.375</v>
      </c>
    </row>
    <row r="392">
      <c r="A392" s="84" t="s">
        <v>2259</v>
      </c>
      <c r="B392" s="87">
        <v>4.0</v>
      </c>
      <c r="C392" s="87">
        <v>2.0</v>
      </c>
      <c r="D392" s="84" t="s">
        <v>3415</v>
      </c>
      <c r="E392" s="94">
        <v>0.5</v>
      </c>
      <c r="F392" s="95">
        <f t="shared" si="1"/>
        <v>0.375</v>
      </c>
    </row>
    <row r="393">
      <c r="A393" s="84" t="s">
        <v>2261</v>
      </c>
      <c r="B393" s="87">
        <v>14.0</v>
      </c>
      <c r="C393" s="87">
        <v>8.0</v>
      </c>
      <c r="D393" s="84" t="s">
        <v>3414</v>
      </c>
      <c r="E393" s="94">
        <v>0.571</v>
      </c>
      <c r="F393" s="95">
        <f t="shared" si="1"/>
        <v>0.2855</v>
      </c>
    </row>
    <row r="394">
      <c r="A394" s="84" t="s">
        <v>2647</v>
      </c>
      <c r="B394" s="87">
        <v>24.0</v>
      </c>
      <c r="C394" s="87">
        <v>16.0</v>
      </c>
      <c r="D394" s="84" t="s">
        <v>3414</v>
      </c>
      <c r="E394" s="94">
        <v>0.667</v>
      </c>
      <c r="F394" s="95">
        <f t="shared" si="1"/>
        <v>0.3335</v>
      </c>
    </row>
    <row r="395">
      <c r="A395" s="84" t="s">
        <v>2649</v>
      </c>
      <c r="B395" s="87">
        <v>24.0</v>
      </c>
      <c r="C395" s="87">
        <v>16.0</v>
      </c>
      <c r="D395" s="84" t="s">
        <v>3414</v>
      </c>
      <c r="E395" s="94">
        <v>0.667</v>
      </c>
      <c r="F395" s="95">
        <f t="shared" si="1"/>
        <v>0.3335</v>
      </c>
    </row>
    <row r="396">
      <c r="A396" s="84" t="s">
        <v>2651</v>
      </c>
      <c r="B396" s="87">
        <v>24.0</v>
      </c>
      <c r="C396" s="87">
        <v>16.0</v>
      </c>
      <c r="D396" s="84" t="s">
        <v>3414</v>
      </c>
      <c r="E396" s="94">
        <v>0.667</v>
      </c>
      <c r="F396" s="95">
        <f t="shared" si="1"/>
        <v>0.3335</v>
      </c>
    </row>
    <row r="397">
      <c r="A397" s="84" t="s">
        <v>2653</v>
      </c>
      <c r="B397" s="87">
        <v>4.0</v>
      </c>
      <c r="C397" s="87">
        <v>4.0</v>
      </c>
      <c r="D397" s="84" t="s">
        <v>3416</v>
      </c>
      <c r="E397" s="94">
        <v>1.0</v>
      </c>
      <c r="F397" s="93">
        <f t="shared" si="1"/>
        <v>1</v>
      </c>
    </row>
    <row r="398">
      <c r="A398" s="84" t="s">
        <v>2655</v>
      </c>
      <c r="B398" s="87">
        <v>3.0</v>
      </c>
      <c r="C398" s="87">
        <v>2.0</v>
      </c>
      <c r="D398" s="84" t="s">
        <v>3415</v>
      </c>
      <c r="E398" s="94">
        <v>0.667</v>
      </c>
      <c r="F398" s="95">
        <f t="shared" si="1"/>
        <v>0.50025</v>
      </c>
    </row>
    <row r="399">
      <c r="A399" s="84" t="s">
        <v>2657</v>
      </c>
      <c r="B399" s="87">
        <v>13.0</v>
      </c>
      <c r="C399" s="87">
        <v>9.0</v>
      </c>
      <c r="D399" s="84" t="s">
        <v>3415</v>
      </c>
      <c r="E399" s="94">
        <v>0.692</v>
      </c>
      <c r="F399" s="95">
        <f t="shared" si="1"/>
        <v>0.519</v>
      </c>
    </row>
    <row r="400">
      <c r="A400" s="84" t="s">
        <v>2659</v>
      </c>
      <c r="B400" s="87">
        <v>24.0</v>
      </c>
      <c r="C400" s="87">
        <v>16.0</v>
      </c>
      <c r="D400" s="84" t="s">
        <v>3414</v>
      </c>
      <c r="E400" s="94">
        <v>0.667</v>
      </c>
      <c r="F400" s="95">
        <f t="shared" si="1"/>
        <v>0.3335</v>
      </c>
    </row>
    <row r="401">
      <c r="A401" s="84" t="s">
        <v>2730</v>
      </c>
      <c r="B401" s="87">
        <v>49.0</v>
      </c>
      <c r="C401" s="87">
        <v>0.0</v>
      </c>
      <c r="D401" s="84" t="s">
        <v>3414</v>
      </c>
      <c r="E401" s="94">
        <v>0.0</v>
      </c>
      <c r="F401" s="95">
        <f t="shared" si="1"/>
        <v>0</v>
      </c>
    </row>
    <row r="402">
      <c r="A402" s="84" t="s">
        <v>3370</v>
      </c>
      <c r="B402" s="87">
        <v>49.0</v>
      </c>
      <c r="C402" s="87">
        <v>0.0</v>
      </c>
      <c r="D402" s="84" t="s">
        <v>3414</v>
      </c>
      <c r="E402" s="94">
        <v>0.0</v>
      </c>
      <c r="F402" s="95">
        <f t="shared" si="1"/>
        <v>0</v>
      </c>
    </row>
    <row r="403">
      <c r="A403" s="84" t="s">
        <v>1960</v>
      </c>
      <c r="B403" s="87">
        <v>12.0</v>
      </c>
      <c r="C403" s="87">
        <v>0.0</v>
      </c>
      <c r="D403" s="84" t="s">
        <v>3415</v>
      </c>
      <c r="E403" s="94">
        <v>0.0</v>
      </c>
      <c r="F403" s="95">
        <f t="shared" si="1"/>
        <v>0</v>
      </c>
    </row>
    <row r="404">
      <c r="A404" s="84" t="s">
        <v>2731</v>
      </c>
      <c r="B404" s="87">
        <v>36.0</v>
      </c>
      <c r="C404" s="87">
        <v>0.0</v>
      </c>
      <c r="D404" s="84" t="s">
        <v>3415</v>
      </c>
      <c r="E404" s="94">
        <v>0.0</v>
      </c>
      <c r="F404" s="95">
        <f t="shared" si="1"/>
        <v>0</v>
      </c>
    </row>
    <row r="405">
      <c r="A405" s="84" t="s">
        <v>3110</v>
      </c>
      <c r="B405" s="87">
        <v>12.0</v>
      </c>
      <c r="C405" s="87">
        <v>7.0</v>
      </c>
      <c r="D405" s="84" t="s">
        <v>3415</v>
      </c>
      <c r="E405" s="94">
        <v>0.583</v>
      </c>
      <c r="F405" s="95">
        <f t="shared" si="1"/>
        <v>0.43725</v>
      </c>
    </row>
    <row r="406">
      <c r="A406" s="84" t="s">
        <v>2262</v>
      </c>
      <c r="B406" s="87">
        <v>24.0</v>
      </c>
      <c r="C406" s="87">
        <v>15.0</v>
      </c>
      <c r="D406" s="84" t="s">
        <v>3415</v>
      </c>
      <c r="E406" s="94">
        <v>0.625</v>
      </c>
      <c r="F406" s="95">
        <f t="shared" si="1"/>
        <v>0.46875</v>
      </c>
    </row>
    <row r="407">
      <c r="A407" s="84" t="s">
        <v>3111</v>
      </c>
      <c r="B407" s="87">
        <v>20.0</v>
      </c>
      <c r="C407" s="87">
        <v>12.0</v>
      </c>
      <c r="D407" s="84" t="s">
        <v>3415</v>
      </c>
      <c r="E407" s="94">
        <v>0.6</v>
      </c>
      <c r="F407" s="95">
        <f t="shared" si="1"/>
        <v>0.45</v>
      </c>
    </row>
    <row r="408">
      <c r="A408" s="84" t="s">
        <v>3112</v>
      </c>
      <c r="B408" s="87">
        <v>11.0</v>
      </c>
      <c r="C408" s="87">
        <v>10.0</v>
      </c>
      <c r="D408" s="84" t="s">
        <v>3415</v>
      </c>
      <c r="E408" s="94">
        <v>0.909</v>
      </c>
      <c r="F408" s="95">
        <f t="shared" si="1"/>
        <v>0.68175</v>
      </c>
    </row>
    <row r="409">
      <c r="A409" s="84" t="s">
        <v>2264</v>
      </c>
      <c r="B409" s="87">
        <v>25.0</v>
      </c>
      <c r="C409" s="87">
        <v>17.0</v>
      </c>
      <c r="D409" s="84" t="s">
        <v>3415</v>
      </c>
      <c r="E409" s="94">
        <v>0.68</v>
      </c>
      <c r="F409" s="95">
        <f t="shared" si="1"/>
        <v>0.51</v>
      </c>
    </row>
    <row r="410">
      <c r="A410" s="84" t="s">
        <v>3113</v>
      </c>
      <c r="B410" s="87">
        <v>9.0</v>
      </c>
      <c r="C410" s="87">
        <v>6.0</v>
      </c>
      <c r="D410" s="84" t="s">
        <v>3415</v>
      </c>
      <c r="E410" s="94">
        <v>0.667</v>
      </c>
      <c r="F410" s="95">
        <f t="shared" si="1"/>
        <v>0.50025</v>
      </c>
    </row>
    <row r="411">
      <c r="A411" s="84" t="s">
        <v>2265</v>
      </c>
      <c r="B411" s="87">
        <v>8.0</v>
      </c>
      <c r="C411" s="87">
        <v>0.0</v>
      </c>
      <c r="D411" s="84" t="s">
        <v>3415</v>
      </c>
      <c r="E411" s="94">
        <v>0.0</v>
      </c>
      <c r="F411" s="95">
        <f t="shared" si="1"/>
        <v>0</v>
      </c>
    </row>
    <row r="412">
      <c r="A412" s="84" t="s">
        <v>3305</v>
      </c>
      <c r="B412" s="87">
        <v>0.0</v>
      </c>
      <c r="C412" s="87">
        <v>0.0</v>
      </c>
      <c r="D412" s="84" t="s">
        <v>3412</v>
      </c>
      <c r="E412" s="92" t="s">
        <v>3413</v>
      </c>
      <c r="F412" s="93" t="str">
        <f t="shared" si="1"/>
        <v>Not Applicable</v>
      </c>
    </row>
    <row r="413">
      <c r="A413" s="84" t="s">
        <v>3308</v>
      </c>
      <c r="B413" s="87">
        <v>0.0</v>
      </c>
      <c r="C413" s="87">
        <v>0.0</v>
      </c>
      <c r="D413" s="84" t="s">
        <v>3412</v>
      </c>
      <c r="E413" s="92" t="s">
        <v>3413</v>
      </c>
      <c r="F413" s="93" t="str">
        <f t="shared" si="1"/>
        <v>Not Applicable</v>
      </c>
    </row>
    <row r="414">
      <c r="A414" s="84" t="s">
        <v>2495</v>
      </c>
      <c r="B414" s="87">
        <v>8.0</v>
      </c>
      <c r="C414" s="87">
        <v>6.0</v>
      </c>
      <c r="D414" s="84" t="s">
        <v>3415</v>
      </c>
      <c r="E414" s="94">
        <v>0.75</v>
      </c>
      <c r="F414" s="95">
        <f t="shared" si="1"/>
        <v>0.5625</v>
      </c>
    </row>
    <row r="415">
      <c r="A415" s="84" t="s">
        <v>2497</v>
      </c>
      <c r="B415" s="87">
        <v>3.0</v>
      </c>
      <c r="C415" s="87">
        <v>2.0</v>
      </c>
      <c r="D415" s="84" t="s">
        <v>3416</v>
      </c>
      <c r="E415" s="94">
        <v>0.667</v>
      </c>
      <c r="F415" s="93">
        <f t="shared" si="1"/>
        <v>0.667</v>
      </c>
    </row>
    <row r="416">
      <c r="A416" s="84" t="s">
        <v>2498</v>
      </c>
      <c r="B416" s="87">
        <v>13.0</v>
      </c>
      <c r="C416" s="87">
        <v>7.0</v>
      </c>
      <c r="D416" s="84" t="s">
        <v>3415</v>
      </c>
      <c r="E416" s="94">
        <v>0.538</v>
      </c>
      <c r="F416" s="95">
        <f t="shared" si="1"/>
        <v>0.4035</v>
      </c>
    </row>
    <row r="417">
      <c r="A417" s="84" t="s">
        <v>2499</v>
      </c>
      <c r="B417" s="87">
        <v>51.0</v>
      </c>
      <c r="C417" s="87">
        <v>38.0</v>
      </c>
      <c r="D417" s="84" t="s">
        <v>3415</v>
      </c>
      <c r="E417" s="94">
        <v>0.745</v>
      </c>
      <c r="F417" s="95">
        <f t="shared" si="1"/>
        <v>0.55875</v>
      </c>
    </row>
    <row r="418">
      <c r="A418" s="84" t="s">
        <v>2500</v>
      </c>
      <c r="B418" s="87">
        <v>3.0</v>
      </c>
      <c r="C418" s="87">
        <v>2.0</v>
      </c>
      <c r="D418" s="84" t="s">
        <v>3416</v>
      </c>
      <c r="E418" s="94">
        <v>0.667</v>
      </c>
      <c r="F418" s="93">
        <f t="shared" si="1"/>
        <v>0.667</v>
      </c>
    </row>
    <row r="419">
      <c r="A419" s="84" t="s">
        <v>2501</v>
      </c>
      <c r="B419" s="87">
        <v>25.0</v>
      </c>
      <c r="C419" s="87">
        <v>0.0</v>
      </c>
      <c r="D419" s="84" t="s">
        <v>3415</v>
      </c>
      <c r="E419" s="94">
        <v>0.0</v>
      </c>
      <c r="F419" s="95">
        <f t="shared" si="1"/>
        <v>0</v>
      </c>
    </row>
    <row r="420">
      <c r="A420" s="84" t="s">
        <v>2207</v>
      </c>
      <c r="B420" s="87">
        <v>3.0</v>
      </c>
      <c r="C420" s="87">
        <v>3.0</v>
      </c>
      <c r="D420" s="84" t="s">
        <v>3415</v>
      </c>
      <c r="E420" s="94">
        <v>1.0</v>
      </c>
      <c r="F420" s="95">
        <f t="shared" si="1"/>
        <v>0.75</v>
      </c>
    </row>
    <row r="421">
      <c r="A421" s="84" t="s">
        <v>2208</v>
      </c>
      <c r="B421" s="87">
        <v>3.0</v>
      </c>
      <c r="C421" s="87">
        <v>3.0</v>
      </c>
      <c r="D421" s="84" t="s">
        <v>3415</v>
      </c>
      <c r="E421" s="94">
        <v>1.0</v>
      </c>
      <c r="F421" s="95">
        <f t="shared" si="1"/>
        <v>0.75</v>
      </c>
    </row>
    <row r="422">
      <c r="A422" s="84" t="s">
        <v>2209</v>
      </c>
      <c r="B422" s="87">
        <v>4.0</v>
      </c>
      <c r="C422" s="87">
        <v>4.0</v>
      </c>
      <c r="D422" s="84" t="s">
        <v>3415</v>
      </c>
      <c r="E422" s="94">
        <v>1.0</v>
      </c>
      <c r="F422" s="95">
        <f t="shared" si="1"/>
        <v>0.75</v>
      </c>
    </row>
    <row r="423">
      <c r="A423" s="84" t="s">
        <v>2210</v>
      </c>
      <c r="B423" s="87">
        <v>7.0</v>
      </c>
      <c r="C423" s="87">
        <v>7.0</v>
      </c>
      <c r="D423" s="84" t="s">
        <v>3416</v>
      </c>
      <c r="E423" s="94">
        <v>1.0</v>
      </c>
      <c r="F423" s="93">
        <f t="shared" si="1"/>
        <v>1</v>
      </c>
    </row>
    <row r="424">
      <c r="A424" s="84" t="s">
        <v>2211</v>
      </c>
      <c r="B424" s="87">
        <v>34.0</v>
      </c>
      <c r="C424" s="87">
        <v>29.0</v>
      </c>
      <c r="D424" s="84" t="s">
        <v>3414</v>
      </c>
      <c r="E424" s="94">
        <v>0.853</v>
      </c>
      <c r="F424" s="95">
        <f t="shared" si="1"/>
        <v>0.4265</v>
      </c>
    </row>
    <row r="425">
      <c r="A425" s="84" t="s">
        <v>2212</v>
      </c>
      <c r="B425" s="87">
        <v>34.0</v>
      </c>
      <c r="C425" s="87">
        <v>29.0</v>
      </c>
      <c r="D425" s="84" t="s">
        <v>3414</v>
      </c>
      <c r="E425" s="94">
        <v>0.853</v>
      </c>
      <c r="F425" s="95">
        <f t="shared" si="1"/>
        <v>0.4265</v>
      </c>
    </row>
    <row r="426">
      <c r="A426" s="84" t="s">
        <v>2660</v>
      </c>
      <c r="B426" s="87">
        <v>24.0</v>
      </c>
      <c r="C426" s="87">
        <v>16.0</v>
      </c>
      <c r="D426" s="84" t="s">
        <v>3414</v>
      </c>
      <c r="E426" s="94">
        <v>0.667</v>
      </c>
      <c r="F426" s="95">
        <f t="shared" si="1"/>
        <v>0.3335</v>
      </c>
    </row>
    <row r="427">
      <c r="A427" s="84" t="s">
        <v>2661</v>
      </c>
      <c r="B427" s="87">
        <v>24.0</v>
      </c>
      <c r="C427" s="87">
        <v>16.0</v>
      </c>
      <c r="D427" s="84" t="s">
        <v>3414</v>
      </c>
      <c r="E427" s="94">
        <v>0.667</v>
      </c>
      <c r="F427" s="95">
        <f t="shared" si="1"/>
        <v>0.3335</v>
      </c>
    </row>
    <row r="428">
      <c r="A428" s="84" t="s">
        <v>2662</v>
      </c>
      <c r="B428" s="87">
        <v>24.0</v>
      </c>
      <c r="C428" s="87">
        <v>16.0</v>
      </c>
      <c r="D428" s="84" t="s">
        <v>3414</v>
      </c>
      <c r="E428" s="94">
        <v>0.667</v>
      </c>
      <c r="F428" s="95">
        <f t="shared" si="1"/>
        <v>0.3335</v>
      </c>
    </row>
    <row r="429">
      <c r="A429" s="84" t="s">
        <v>2663</v>
      </c>
      <c r="B429" s="87">
        <v>13.0</v>
      </c>
      <c r="C429" s="87">
        <v>9.0</v>
      </c>
      <c r="D429" s="84" t="s">
        <v>3415</v>
      </c>
      <c r="E429" s="94">
        <v>0.692</v>
      </c>
      <c r="F429" s="95">
        <f t="shared" si="1"/>
        <v>0.519</v>
      </c>
    </row>
    <row r="430">
      <c r="A430" s="84" t="s">
        <v>2664</v>
      </c>
      <c r="B430" s="87">
        <v>24.0</v>
      </c>
      <c r="C430" s="87">
        <v>16.0</v>
      </c>
      <c r="D430" s="84" t="s">
        <v>3414</v>
      </c>
      <c r="E430" s="94">
        <v>0.667</v>
      </c>
      <c r="F430" s="95">
        <f t="shared" si="1"/>
        <v>0.3335</v>
      </c>
    </row>
    <row r="431">
      <c r="A431" s="84" t="s">
        <v>2613</v>
      </c>
      <c r="B431" s="87">
        <v>39.0</v>
      </c>
      <c r="C431" s="87">
        <v>32.0</v>
      </c>
      <c r="D431" s="84" t="s">
        <v>3414</v>
      </c>
      <c r="E431" s="94">
        <v>0.821</v>
      </c>
      <c r="F431" s="95">
        <f t="shared" si="1"/>
        <v>0.4105</v>
      </c>
    </row>
    <row r="432">
      <c r="A432" s="84" t="s">
        <v>2616</v>
      </c>
      <c r="B432" s="87">
        <v>6.0</v>
      </c>
      <c r="C432" s="87">
        <v>6.0</v>
      </c>
      <c r="D432" s="84" t="s">
        <v>3415</v>
      </c>
      <c r="E432" s="94">
        <v>1.0</v>
      </c>
      <c r="F432" s="95">
        <f t="shared" si="1"/>
        <v>0.75</v>
      </c>
    </row>
    <row r="433">
      <c r="A433" s="84" t="s">
        <v>2618</v>
      </c>
      <c r="B433" s="87">
        <v>5.0</v>
      </c>
      <c r="C433" s="87">
        <v>5.0</v>
      </c>
      <c r="D433" s="84" t="s">
        <v>3415</v>
      </c>
      <c r="E433" s="94">
        <v>1.0</v>
      </c>
      <c r="F433" s="95">
        <f t="shared" si="1"/>
        <v>0.75</v>
      </c>
    </row>
    <row r="434">
      <c r="A434" s="84" t="s">
        <v>2620</v>
      </c>
      <c r="B434" s="87">
        <v>11.0</v>
      </c>
      <c r="C434" s="87">
        <v>7.0</v>
      </c>
      <c r="D434" s="84" t="s">
        <v>3416</v>
      </c>
      <c r="E434" s="94">
        <v>0.636</v>
      </c>
      <c r="F434" s="93">
        <f t="shared" si="1"/>
        <v>0.636</v>
      </c>
    </row>
    <row r="435">
      <c r="A435" s="84" t="s">
        <v>3363</v>
      </c>
      <c r="B435" s="87">
        <v>39.0</v>
      </c>
      <c r="C435" s="87">
        <v>32.0</v>
      </c>
      <c r="D435" s="84" t="s">
        <v>3414</v>
      </c>
      <c r="E435" s="94">
        <v>0.821</v>
      </c>
      <c r="F435" s="95">
        <f t="shared" si="1"/>
        <v>0.4105</v>
      </c>
    </row>
    <row r="436">
      <c r="A436" s="84" t="s">
        <v>2621</v>
      </c>
      <c r="B436" s="87">
        <v>39.0</v>
      </c>
      <c r="C436" s="87">
        <v>32.0</v>
      </c>
      <c r="D436" s="84" t="s">
        <v>3414</v>
      </c>
      <c r="E436" s="94">
        <v>0.821</v>
      </c>
      <c r="F436" s="95">
        <f t="shared" si="1"/>
        <v>0.4105</v>
      </c>
    </row>
    <row r="437">
      <c r="A437" s="84" t="s">
        <v>2622</v>
      </c>
      <c r="B437" s="87">
        <v>39.0</v>
      </c>
      <c r="C437" s="87">
        <v>32.0</v>
      </c>
      <c r="D437" s="84" t="s">
        <v>3414</v>
      </c>
      <c r="E437" s="94">
        <v>0.821</v>
      </c>
      <c r="F437" s="95">
        <f t="shared" si="1"/>
        <v>0.4105</v>
      </c>
    </row>
    <row r="438">
      <c r="A438" s="84" t="s">
        <v>2624</v>
      </c>
      <c r="B438" s="87">
        <v>6.0</v>
      </c>
      <c r="C438" s="87">
        <v>6.0</v>
      </c>
      <c r="D438" s="84" t="s">
        <v>3415</v>
      </c>
      <c r="E438" s="94">
        <v>1.0</v>
      </c>
      <c r="F438" s="95">
        <f t="shared" si="1"/>
        <v>0.75</v>
      </c>
    </row>
    <row r="439">
      <c r="A439" s="84" t="s">
        <v>2625</v>
      </c>
      <c r="B439" s="87">
        <v>3.0</v>
      </c>
      <c r="C439" s="87">
        <v>3.0</v>
      </c>
      <c r="D439" s="84" t="s">
        <v>3416</v>
      </c>
      <c r="E439" s="94">
        <v>1.0</v>
      </c>
      <c r="F439" s="93">
        <f t="shared" si="1"/>
        <v>1</v>
      </c>
    </row>
    <row r="440">
      <c r="A440" s="84" t="s">
        <v>2626</v>
      </c>
      <c r="B440" s="87">
        <v>11.0</v>
      </c>
      <c r="C440" s="87">
        <v>8.0</v>
      </c>
      <c r="D440" s="84" t="s">
        <v>3416</v>
      </c>
      <c r="E440" s="94">
        <v>0.727</v>
      </c>
      <c r="F440" s="93">
        <f t="shared" si="1"/>
        <v>0.727</v>
      </c>
    </row>
    <row r="441">
      <c r="A441" s="84" t="s">
        <v>2628</v>
      </c>
      <c r="B441" s="87">
        <v>39.0</v>
      </c>
      <c r="C441" s="87">
        <v>32.0</v>
      </c>
      <c r="D441" s="84" t="s">
        <v>3414</v>
      </c>
      <c r="E441" s="94">
        <v>0.821</v>
      </c>
      <c r="F441" s="95">
        <f t="shared" si="1"/>
        <v>0.4105</v>
      </c>
    </row>
    <row r="442">
      <c r="A442" s="84" t="s">
        <v>2629</v>
      </c>
      <c r="B442" s="87">
        <v>39.0</v>
      </c>
      <c r="C442" s="87">
        <v>32.0</v>
      </c>
      <c r="D442" s="84" t="s">
        <v>3414</v>
      </c>
      <c r="E442" s="94">
        <v>0.821</v>
      </c>
      <c r="F442" s="95">
        <f t="shared" si="1"/>
        <v>0.4105</v>
      </c>
    </row>
    <row r="443">
      <c r="A443" s="84" t="s">
        <v>3364</v>
      </c>
      <c r="B443" s="87">
        <v>39.0</v>
      </c>
      <c r="C443" s="87">
        <v>32.0</v>
      </c>
      <c r="D443" s="84" t="s">
        <v>3414</v>
      </c>
      <c r="E443" s="94">
        <v>0.821</v>
      </c>
      <c r="F443" s="95">
        <f t="shared" si="1"/>
        <v>0.4105</v>
      </c>
    </row>
    <row r="444">
      <c r="A444" s="84" t="s">
        <v>2630</v>
      </c>
      <c r="B444" s="87">
        <v>6.0</v>
      </c>
      <c r="C444" s="87">
        <v>6.0</v>
      </c>
      <c r="D444" s="84" t="s">
        <v>3415</v>
      </c>
      <c r="E444" s="94">
        <v>1.0</v>
      </c>
      <c r="F444" s="95">
        <f t="shared" si="1"/>
        <v>0.75</v>
      </c>
    </row>
    <row r="445">
      <c r="A445" s="84" t="s">
        <v>2632</v>
      </c>
      <c r="B445" s="87">
        <v>27.0</v>
      </c>
      <c r="C445" s="87">
        <v>20.0</v>
      </c>
      <c r="D445" s="84" t="s">
        <v>3415</v>
      </c>
      <c r="E445" s="94">
        <v>0.741</v>
      </c>
      <c r="F445" s="95">
        <f t="shared" si="1"/>
        <v>0.55575</v>
      </c>
    </row>
    <row r="446">
      <c r="A446" s="84" t="s">
        <v>2633</v>
      </c>
      <c r="B446" s="87">
        <v>39.0</v>
      </c>
      <c r="C446" s="87">
        <v>32.0</v>
      </c>
      <c r="D446" s="84" t="s">
        <v>3414</v>
      </c>
      <c r="E446" s="94">
        <v>0.821</v>
      </c>
      <c r="F446" s="95">
        <f t="shared" si="1"/>
        <v>0.4105</v>
      </c>
    </row>
    <row r="447">
      <c r="A447" s="84" t="s">
        <v>2306</v>
      </c>
      <c r="B447" s="87">
        <v>0.0</v>
      </c>
      <c r="C447" s="87">
        <v>0.0</v>
      </c>
      <c r="D447" s="84" t="s">
        <v>3412</v>
      </c>
      <c r="E447" s="92" t="s">
        <v>3413</v>
      </c>
      <c r="F447" s="93" t="str">
        <f t="shared" si="1"/>
        <v>Not Applicable</v>
      </c>
    </row>
    <row r="448">
      <c r="A448" s="84" t="s">
        <v>2310</v>
      </c>
      <c r="B448" s="87">
        <v>0.0</v>
      </c>
      <c r="C448" s="87">
        <v>0.0</v>
      </c>
      <c r="D448" s="84" t="s">
        <v>3412</v>
      </c>
      <c r="E448" s="92" t="s">
        <v>3413</v>
      </c>
      <c r="F448" s="93" t="str">
        <f t="shared" si="1"/>
        <v>Not Applicable</v>
      </c>
    </row>
    <row r="449">
      <c r="A449" s="84" t="s">
        <v>1453</v>
      </c>
      <c r="B449" s="87">
        <v>4.0</v>
      </c>
      <c r="C449" s="87">
        <v>3.0</v>
      </c>
      <c r="D449" s="84" t="s">
        <v>3416</v>
      </c>
      <c r="E449" s="94">
        <v>0.75</v>
      </c>
      <c r="F449" s="93">
        <f t="shared" si="1"/>
        <v>0.75</v>
      </c>
    </row>
    <row r="450">
      <c r="A450" s="84" t="s">
        <v>1454</v>
      </c>
      <c r="B450" s="87">
        <v>19.0</v>
      </c>
      <c r="C450" s="87">
        <v>12.0</v>
      </c>
      <c r="D450" s="84" t="s">
        <v>3414</v>
      </c>
      <c r="E450" s="94">
        <v>0.632</v>
      </c>
      <c r="F450" s="95">
        <f t="shared" si="1"/>
        <v>0.316</v>
      </c>
    </row>
    <row r="451">
      <c r="A451" s="84" t="s">
        <v>3063</v>
      </c>
      <c r="B451" s="87">
        <v>7.0</v>
      </c>
      <c r="C451" s="87">
        <v>5.0</v>
      </c>
      <c r="D451" s="84" t="s">
        <v>3415</v>
      </c>
      <c r="E451" s="94">
        <v>0.714</v>
      </c>
      <c r="F451" s="95">
        <f t="shared" si="1"/>
        <v>0.5355</v>
      </c>
    </row>
    <row r="452">
      <c r="A452" s="84" t="s">
        <v>1877</v>
      </c>
      <c r="B452" s="87">
        <v>52.0</v>
      </c>
      <c r="C452" s="87">
        <v>37.0</v>
      </c>
      <c r="D452" s="84" t="s">
        <v>3414</v>
      </c>
      <c r="E452" s="94">
        <v>0.712</v>
      </c>
      <c r="F452" s="95">
        <f t="shared" si="1"/>
        <v>0.356</v>
      </c>
    </row>
    <row r="453">
      <c r="A453" s="84" t="s">
        <v>1879</v>
      </c>
      <c r="B453" s="87">
        <v>6.0</v>
      </c>
      <c r="C453" s="87">
        <v>3.0</v>
      </c>
      <c r="D453" s="84" t="s">
        <v>3415</v>
      </c>
      <c r="E453" s="94">
        <v>0.5</v>
      </c>
      <c r="F453" s="95">
        <f t="shared" si="1"/>
        <v>0.375</v>
      </c>
    </row>
    <row r="454">
      <c r="A454" s="84" t="s">
        <v>1880</v>
      </c>
      <c r="B454" s="87">
        <v>8.0</v>
      </c>
      <c r="C454" s="87">
        <v>6.0</v>
      </c>
      <c r="D454" s="84" t="s">
        <v>3415</v>
      </c>
      <c r="E454" s="94">
        <v>0.75</v>
      </c>
      <c r="F454" s="95">
        <f t="shared" si="1"/>
        <v>0.5625</v>
      </c>
    </row>
    <row r="455">
      <c r="A455" s="84" t="s">
        <v>1881</v>
      </c>
      <c r="B455" s="87">
        <v>4.0</v>
      </c>
      <c r="C455" s="87">
        <v>3.0</v>
      </c>
      <c r="D455" s="84" t="s">
        <v>3415</v>
      </c>
      <c r="E455" s="94">
        <v>0.75</v>
      </c>
      <c r="F455" s="95">
        <f t="shared" si="1"/>
        <v>0.5625</v>
      </c>
    </row>
    <row r="456">
      <c r="A456" s="84" t="s">
        <v>1882</v>
      </c>
      <c r="B456" s="87">
        <v>24.0</v>
      </c>
      <c r="C456" s="87">
        <v>17.0</v>
      </c>
      <c r="D456" s="84" t="s">
        <v>3415</v>
      </c>
      <c r="E456" s="94">
        <v>0.708</v>
      </c>
      <c r="F456" s="95">
        <f t="shared" si="1"/>
        <v>0.531</v>
      </c>
    </row>
    <row r="457">
      <c r="A457" s="84" t="s">
        <v>1883</v>
      </c>
      <c r="B457" s="87">
        <v>9.0</v>
      </c>
      <c r="C457" s="87">
        <v>7.0</v>
      </c>
      <c r="D457" s="84" t="s">
        <v>3415</v>
      </c>
      <c r="E457" s="94">
        <v>0.778</v>
      </c>
      <c r="F457" s="95">
        <f t="shared" si="1"/>
        <v>0.5835</v>
      </c>
    </row>
    <row r="458">
      <c r="A458" s="84" t="s">
        <v>1884</v>
      </c>
      <c r="B458" s="87">
        <v>52.0</v>
      </c>
      <c r="C458" s="87">
        <v>37.0</v>
      </c>
      <c r="D458" s="84" t="s">
        <v>3414</v>
      </c>
      <c r="E458" s="94">
        <v>0.712</v>
      </c>
      <c r="F458" s="95">
        <f t="shared" si="1"/>
        <v>0.356</v>
      </c>
    </row>
    <row r="459">
      <c r="A459" s="84" t="s">
        <v>3318</v>
      </c>
      <c r="B459" s="87">
        <v>2.0</v>
      </c>
      <c r="C459" s="87">
        <v>0.0</v>
      </c>
      <c r="D459" s="84" t="s">
        <v>3414</v>
      </c>
      <c r="E459" s="92" t="s">
        <v>3413</v>
      </c>
      <c r="F459" s="95" t="str">
        <f t="shared" si="1"/>
        <v>#VALUE!</v>
      </c>
    </row>
    <row r="460">
      <c r="A460" s="84" t="s">
        <v>3320</v>
      </c>
      <c r="B460" s="87">
        <v>2.0</v>
      </c>
      <c r="C460" s="87">
        <v>0.0</v>
      </c>
      <c r="D460" s="84" t="s">
        <v>3414</v>
      </c>
      <c r="E460" s="92" t="s">
        <v>3413</v>
      </c>
      <c r="F460" s="95" t="str">
        <f t="shared" si="1"/>
        <v>#VALUE!</v>
      </c>
    </row>
    <row r="461">
      <c r="A461" s="84" t="s">
        <v>2858</v>
      </c>
      <c r="B461" s="87">
        <v>52.0</v>
      </c>
      <c r="C461" s="87">
        <v>38.0</v>
      </c>
      <c r="D461" s="84" t="s">
        <v>3414</v>
      </c>
      <c r="E461" s="94">
        <v>0.731</v>
      </c>
      <c r="F461" s="95">
        <f t="shared" si="1"/>
        <v>0.3655</v>
      </c>
    </row>
    <row r="462">
      <c r="A462" s="84" t="s">
        <v>2860</v>
      </c>
      <c r="B462" s="87">
        <v>7.0</v>
      </c>
      <c r="C462" s="87">
        <v>5.0</v>
      </c>
      <c r="D462" s="84" t="s">
        <v>3415</v>
      </c>
      <c r="E462" s="94">
        <v>0.714</v>
      </c>
      <c r="F462" s="95">
        <f t="shared" si="1"/>
        <v>0.5355</v>
      </c>
    </row>
    <row r="463">
      <c r="A463" s="84" t="s">
        <v>2861</v>
      </c>
      <c r="B463" s="87">
        <v>3.0</v>
      </c>
      <c r="C463" s="87">
        <v>3.0</v>
      </c>
      <c r="D463" s="84" t="s">
        <v>3416</v>
      </c>
      <c r="E463" s="94">
        <v>1.0</v>
      </c>
      <c r="F463" s="93">
        <f t="shared" si="1"/>
        <v>1</v>
      </c>
    </row>
    <row r="464">
      <c r="A464" s="84" t="s">
        <v>2862</v>
      </c>
      <c r="B464" s="87">
        <v>4.0</v>
      </c>
      <c r="C464" s="87">
        <v>3.0</v>
      </c>
      <c r="D464" s="84" t="s">
        <v>3416</v>
      </c>
      <c r="E464" s="94">
        <v>0.75</v>
      </c>
      <c r="F464" s="93">
        <f t="shared" si="1"/>
        <v>0.75</v>
      </c>
    </row>
    <row r="465">
      <c r="A465" s="84" t="s">
        <v>2863</v>
      </c>
      <c r="B465" s="87">
        <v>4.0</v>
      </c>
      <c r="C465" s="87">
        <v>3.0</v>
      </c>
      <c r="D465" s="84" t="s">
        <v>3416</v>
      </c>
      <c r="E465" s="94">
        <v>0.75</v>
      </c>
      <c r="F465" s="93">
        <f t="shared" si="1"/>
        <v>0.75</v>
      </c>
    </row>
    <row r="466">
      <c r="A466" s="84" t="s">
        <v>2864</v>
      </c>
      <c r="B466" s="87">
        <v>4.0</v>
      </c>
      <c r="C466" s="87">
        <v>4.0</v>
      </c>
      <c r="D466" s="84" t="s">
        <v>3416</v>
      </c>
      <c r="E466" s="94">
        <v>1.0</v>
      </c>
      <c r="F466" s="93">
        <f t="shared" si="1"/>
        <v>1</v>
      </c>
    </row>
    <row r="467">
      <c r="A467" s="84" t="s">
        <v>2868</v>
      </c>
      <c r="B467" s="87">
        <v>8.0</v>
      </c>
      <c r="C467" s="87">
        <v>6.0</v>
      </c>
      <c r="D467" s="84" t="s">
        <v>3415</v>
      </c>
      <c r="E467" s="94">
        <v>0.75</v>
      </c>
      <c r="F467" s="95">
        <f t="shared" si="1"/>
        <v>0.5625</v>
      </c>
    </row>
    <row r="468">
      <c r="A468" s="84" t="s">
        <v>2869</v>
      </c>
      <c r="B468" s="87">
        <v>28.0</v>
      </c>
      <c r="C468" s="87">
        <v>18.0</v>
      </c>
      <c r="D468" s="84" t="s">
        <v>3415</v>
      </c>
      <c r="E468" s="94">
        <v>0.643</v>
      </c>
      <c r="F468" s="95">
        <f t="shared" si="1"/>
        <v>0.48225</v>
      </c>
    </row>
    <row r="469">
      <c r="A469" s="84" t="s">
        <v>2870</v>
      </c>
      <c r="B469" s="87">
        <v>52.0</v>
      </c>
      <c r="C469" s="87">
        <v>38.0</v>
      </c>
      <c r="D469" s="84" t="s">
        <v>3414</v>
      </c>
      <c r="E469" s="94">
        <v>0.731</v>
      </c>
      <c r="F469" s="95">
        <f t="shared" si="1"/>
        <v>0.3655</v>
      </c>
    </row>
    <row r="470">
      <c r="A470" s="84" t="s">
        <v>2871</v>
      </c>
      <c r="B470" s="87">
        <v>52.0</v>
      </c>
      <c r="C470" s="87">
        <v>38.0</v>
      </c>
      <c r="D470" s="84" t="s">
        <v>3414</v>
      </c>
      <c r="E470" s="94">
        <v>0.731</v>
      </c>
      <c r="F470" s="95">
        <f t="shared" si="1"/>
        <v>0.3655</v>
      </c>
    </row>
    <row r="471">
      <c r="A471" s="84" t="s">
        <v>2873</v>
      </c>
      <c r="B471" s="87">
        <v>7.0</v>
      </c>
      <c r="C471" s="87">
        <v>5.0</v>
      </c>
      <c r="D471" s="84" t="s">
        <v>3415</v>
      </c>
      <c r="E471" s="94">
        <v>0.714</v>
      </c>
      <c r="F471" s="95">
        <f t="shared" si="1"/>
        <v>0.5355</v>
      </c>
    </row>
    <row r="472">
      <c r="A472" s="84" t="s">
        <v>2874</v>
      </c>
      <c r="B472" s="87">
        <v>4.0</v>
      </c>
      <c r="C472" s="87">
        <v>4.0</v>
      </c>
      <c r="D472" s="84" t="s">
        <v>3415</v>
      </c>
      <c r="E472" s="94">
        <v>1.0</v>
      </c>
      <c r="F472" s="95">
        <f t="shared" si="1"/>
        <v>0.75</v>
      </c>
    </row>
    <row r="473">
      <c r="A473" s="84" t="s">
        <v>2875</v>
      </c>
      <c r="B473" s="87">
        <v>8.0</v>
      </c>
      <c r="C473" s="87">
        <v>6.0</v>
      </c>
      <c r="D473" s="84" t="s">
        <v>3415</v>
      </c>
      <c r="E473" s="94">
        <v>0.75</v>
      </c>
      <c r="F473" s="95">
        <f t="shared" si="1"/>
        <v>0.5625</v>
      </c>
    </row>
    <row r="474">
      <c r="A474" s="84" t="s">
        <v>2876</v>
      </c>
      <c r="B474" s="87">
        <v>6.0</v>
      </c>
      <c r="C474" s="87">
        <v>3.0</v>
      </c>
      <c r="D474" s="84" t="s">
        <v>3416</v>
      </c>
      <c r="E474" s="94">
        <v>0.5</v>
      </c>
      <c r="F474" s="93">
        <f t="shared" si="1"/>
        <v>0.5</v>
      </c>
    </row>
    <row r="475">
      <c r="A475" s="84" t="s">
        <v>2877</v>
      </c>
      <c r="B475" s="87">
        <v>4.0</v>
      </c>
      <c r="C475" s="87">
        <v>4.0</v>
      </c>
      <c r="D475" s="84" t="s">
        <v>3415</v>
      </c>
      <c r="E475" s="94">
        <v>1.0</v>
      </c>
      <c r="F475" s="95">
        <f t="shared" si="1"/>
        <v>0.75</v>
      </c>
    </row>
    <row r="476">
      <c r="A476" s="84" t="s">
        <v>2878</v>
      </c>
      <c r="B476" s="87">
        <v>52.0</v>
      </c>
      <c r="C476" s="87">
        <v>38.0</v>
      </c>
      <c r="D476" s="84" t="s">
        <v>3414</v>
      </c>
      <c r="E476" s="94">
        <v>0.731</v>
      </c>
      <c r="F476" s="95">
        <f t="shared" si="1"/>
        <v>0.3655</v>
      </c>
    </row>
    <row r="477">
      <c r="A477" s="84" t="s">
        <v>1571</v>
      </c>
      <c r="B477" s="87">
        <v>36.0</v>
      </c>
      <c r="C477" s="87">
        <v>30.0</v>
      </c>
      <c r="D477" s="84" t="s">
        <v>3414</v>
      </c>
      <c r="E477" s="94">
        <v>0.833</v>
      </c>
      <c r="F477" s="95">
        <f t="shared" si="1"/>
        <v>0.4165</v>
      </c>
    </row>
    <row r="478">
      <c r="A478" s="84" t="s">
        <v>1985</v>
      </c>
      <c r="B478" s="87">
        <v>33.0</v>
      </c>
      <c r="C478" s="87">
        <v>24.0</v>
      </c>
      <c r="D478" s="84" t="s">
        <v>3414</v>
      </c>
      <c r="E478" s="94">
        <v>0.727</v>
      </c>
      <c r="F478" s="95">
        <f t="shared" si="1"/>
        <v>0.3635</v>
      </c>
    </row>
    <row r="479">
      <c r="A479" s="84" t="s">
        <v>1986</v>
      </c>
      <c r="B479" s="87">
        <v>9.0</v>
      </c>
      <c r="C479" s="87">
        <v>6.0</v>
      </c>
      <c r="D479" s="84" t="s">
        <v>3415</v>
      </c>
      <c r="E479" s="94">
        <v>0.667</v>
      </c>
      <c r="F479" s="95">
        <f t="shared" si="1"/>
        <v>0.50025</v>
      </c>
    </row>
    <row r="480">
      <c r="A480" s="84" t="s">
        <v>1987</v>
      </c>
      <c r="B480" s="87">
        <v>5.0</v>
      </c>
      <c r="C480" s="87">
        <v>3.0</v>
      </c>
      <c r="D480" s="84" t="s">
        <v>3415</v>
      </c>
      <c r="E480" s="94">
        <v>0.6</v>
      </c>
      <c r="F480" s="95">
        <f t="shared" si="1"/>
        <v>0.45</v>
      </c>
    </row>
    <row r="481">
      <c r="A481" s="84" t="s">
        <v>1988</v>
      </c>
      <c r="B481" s="87">
        <v>4.0</v>
      </c>
      <c r="C481" s="87">
        <v>2.0</v>
      </c>
      <c r="D481" s="84" t="s">
        <v>3415</v>
      </c>
      <c r="E481" s="94">
        <v>0.5</v>
      </c>
      <c r="F481" s="95">
        <f t="shared" si="1"/>
        <v>0.375</v>
      </c>
    </row>
    <row r="482">
      <c r="A482" s="84" t="s">
        <v>3323</v>
      </c>
      <c r="B482" s="87">
        <v>33.0</v>
      </c>
      <c r="C482" s="87">
        <v>24.0</v>
      </c>
      <c r="D482" s="84" t="s">
        <v>3414</v>
      </c>
      <c r="E482" s="94">
        <v>0.727</v>
      </c>
      <c r="F482" s="95">
        <f t="shared" si="1"/>
        <v>0.3635</v>
      </c>
    </row>
    <row r="483">
      <c r="A483" s="84" t="s">
        <v>1989</v>
      </c>
      <c r="B483" s="87">
        <v>15.0</v>
      </c>
      <c r="C483" s="87">
        <v>13.0</v>
      </c>
      <c r="D483" s="84" t="s">
        <v>3415</v>
      </c>
      <c r="E483" s="94">
        <v>0.867</v>
      </c>
      <c r="F483" s="95">
        <f t="shared" si="1"/>
        <v>0.65025</v>
      </c>
    </row>
    <row r="484">
      <c r="A484" s="84" t="s">
        <v>1990</v>
      </c>
      <c r="B484" s="87">
        <v>33.0</v>
      </c>
      <c r="C484" s="87">
        <v>24.0</v>
      </c>
      <c r="D484" s="84" t="s">
        <v>3414</v>
      </c>
      <c r="E484" s="94">
        <v>0.727</v>
      </c>
      <c r="F484" s="95">
        <f t="shared" si="1"/>
        <v>0.3635</v>
      </c>
    </row>
    <row r="485">
      <c r="A485" s="84" t="s">
        <v>2772</v>
      </c>
      <c r="B485" s="87">
        <v>16.0</v>
      </c>
      <c r="C485" s="87">
        <v>15.0</v>
      </c>
      <c r="D485" s="84" t="s">
        <v>3415</v>
      </c>
      <c r="E485" s="94">
        <v>0.938</v>
      </c>
      <c r="F485" s="95">
        <f t="shared" si="1"/>
        <v>0.7035</v>
      </c>
    </row>
    <row r="486">
      <c r="A486" s="84" t="s">
        <v>2775</v>
      </c>
      <c r="B486" s="87">
        <v>11.0</v>
      </c>
      <c r="C486" s="87">
        <v>8.0</v>
      </c>
      <c r="D486" s="84" t="s">
        <v>3415</v>
      </c>
      <c r="E486" s="94">
        <v>0.727</v>
      </c>
      <c r="F486" s="95">
        <f t="shared" si="1"/>
        <v>0.54525</v>
      </c>
    </row>
    <row r="487">
      <c r="A487" s="84" t="s">
        <v>2777</v>
      </c>
      <c r="B487" s="87">
        <v>7.0</v>
      </c>
      <c r="C487" s="87">
        <v>5.0</v>
      </c>
      <c r="D487" s="84" t="s">
        <v>3415</v>
      </c>
      <c r="E487" s="94">
        <v>0.714</v>
      </c>
      <c r="F487" s="95">
        <f t="shared" si="1"/>
        <v>0.5355</v>
      </c>
    </row>
    <row r="488">
      <c r="A488" s="84" t="s">
        <v>2779</v>
      </c>
      <c r="B488" s="87">
        <v>9.0</v>
      </c>
      <c r="C488" s="87">
        <v>5.0</v>
      </c>
      <c r="D488" s="84" t="s">
        <v>3415</v>
      </c>
      <c r="E488" s="94">
        <v>0.556</v>
      </c>
      <c r="F488" s="95">
        <f t="shared" si="1"/>
        <v>0.417</v>
      </c>
    </row>
    <row r="489">
      <c r="A489" s="84" t="s">
        <v>2781</v>
      </c>
      <c r="B489" s="87">
        <v>19.0</v>
      </c>
      <c r="C489" s="87">
        <v>16.0</v>
      </c>
      <c r="D489" s="84" t="s">
        <v>3415</v>
      </c>
      <c r="E489" s="94">
        <v>0.842</v>
      </c>
      <c r="F489" s="95">
        <f t="shared" si="1"/>
        <v>0.6315</v>
      </c>
    </row>
    <row r="490">
      <c r="A490" s="84" t="s">
        <v>2783</v>
      </c>
      <c r="B490" s="87">
        <v>66.0</v>
      </c>
      <c r="C490" s="87">
        <v>51.0</v>
      </c>
      <c r="D490" s="84" t="s">
        <v>3414</v>
      </c>
      <c r="E490" s="94">
        <v>0.773</v>
      </c>
      <c r="F490" s="95">
        <f t="shared" si="1"/>
        <v>0.3865</v>
      </c>
    </row>
    <row r="491">
      <c r="A491" s="84" t="s">
        <v>2634</v>
      </c>
      <c r="B491" s="87">
        <v>39.0</v>
      </c>
      <c r="C491" s="87">
        <v>32.0</v>
      </c>
      <c r="D491" s="84" t="s">
        <v>3414</v>
      </c>
      <c r="E491" s="94">
        <v>0.821</v>
      </c>
      <c r="F491" s="95">
        <f t="shared" si="1"/>
        <v>0.4105</v>
      </c>
    </row>
    <row r="492">
      <c r="A492" s="84" t="s">
        <v>2636</v>
      </c>
      <c r="B492" s="87">
        <v>4.0</v>
      </c>
      <c r="C492" s="87">
        <v>4.0</v>
      </c>
      <c r="D492" s="84" t="s">
        <v>3416</v>
      </c>
      <c r="E492" s="94">
        <v>1.0</v>
      </c>
      <c r="F492" s="93">
        <f t="shared" si="1"/>
        <v>1</v>
      </c>
    </row>
    <row r="493">
      <c r="A493" s="84" t="s">
        <v>2637</v>
      </c>
      <c r="B493" s="87">
        <v>5.0</v>
      </c>
      <c r="C493" s="87">
        <v>5.0</v>
      </c>
      <c r="D493" s="84" t="s">
        <v>3415</v>
      </c>
      <c r="E493" s="94">
        <v>1.0</v>
      </c>
      <c r="F493" s="95">
        <f t="shared" si="1"/>
        <v>0.75</v>
      </c>
    </row>
    <row r="494">
      <c r="A494" s="84" t="s">
        <v>2638</v>
      </c>
      <c r="B494" s="87">
        <v>3.0</v>
      </c>
      <c r="C494" s="87">
        <v>3.0</v>
      </c>
      <c r="D494" s="84" t="s">
        <v>3416</v>
      </c>
      <c r="E494" s="94">
        <v>1.0</v>
      </c>
      <c r="F494" s="93">
        <f t="shared" si="1"/>
        <v>1</v>
      </c>
    </row>
    <row r="495">
      <c r="A495" s="84" t="s">
        <v>3365</v>
      </c>
      <c r="B495" s="87">
        <v>39.0</v>
      </c>
      <c r="C495" s="87">
        <v>32.0</v>
      </c>
      <c r="D495" s="84" t="s">
        <v>3414</v>
      </c>
      <c r="E495" s="94">
        <v>0.821</v>
      </c>
      <c r="F495" s="95">
        <f t="shared" si="1"/>
        <v>0.4105</v>
      </c>
    </row>
    <row r="496">
      <c r="A496" s="84" t="s">
        <v>2639</v>
      </c>
      <c r="B496" s="87">
        <v>39.0</v>
      </c>
      <c r="C496" s="87">
        <v>32.0</v>
      </c>
      <c r="D496" s="84" t="s">
        <v>3414</v>
      </c>
      <c r="E496" s="94">
        <v>0.821</v>
      </c>
      <c r="F496" s="95">
        <f t="shared" si="1"/>
        <v>0.4105</v>
      </c>
    </row>
    <row r="497">
      <c r="A497" s="84" t="s">
        <v>3173</v>
      </c>
      <c r="B497" s="87">
        <v>7.0</v>
      </c>
      <c r="C497" s="87">
        <v>7.0</v>
      </c>
      <c r="D497" s="84" t="s">
        <v>3414</v>
      </c>
      <c r="E497" s="94">
        <v>1.0</v>
      </c>
      <c r="F497" s="95">
        <f t="shared" si="1"/>
        <v>0.5</v>
      </c>
    </row>
    <row r="498">
      <c r="A498" s="84" t="s">
        <v>3177</v>
      </c>
      <c r="B498" s="87">
        <v>4.0</v>
      </c>
      <c r="C498" s="87">
        <v>4.0</v>
      </c>
      <c r="D498" s="84" t="s">
        <v>3415</v>
      </c>
      <c r="E498" s="94">
        <v>1.0</v>
      </c>
      <c r="F498" s="95">
        <f t="shared" si="1"/>
        <v>0.75</v>
      </c>
    </row>
    <row r="499">
      <c r="A499" s="84" t="s">
        <v>3179</v>
      </c>
      <c r="B499" s="87">
        <v>7.0</v>
      </c>
      <c r="C499" s="87">
        <v>7.0</v>
      </c>
      <c r="D499" s="84" t="s">
        <v>3414</v>
      </c>
      <c r="E499" s="94">
        <v>1.0</v>
      </c>
      <c r="F499" s="95">
        <f t="shared" si="1"/>
        <v>0.5</v>
      </c>
    </row>
    <row r="500">
      <c r="A500" s="84" t="s">
        <v>3181</v>
      </c>
      <c r="B500" s="87">
        <v>7.0</v>
      </c>
      <c r="C500" s="87">
        <v>7.0</v>
      </c>
      <c r="D500" s="84" t="s">
        <v>3414</v>
      </c>
      <c r="E500" s="94">
        <v>1.0</v>
      </c>
      <c r="F500" s="95">
        <f t="shared" si="1"/>
        <v>0.5</v>
      </c>
    </row>
    <row r="501">
      <c r="A501" s="84" t="s">
        <v>3183</v>
      </c>
      <c r="B501" s="87">
        <v>7.0</v>
      </c>
      <c r="C501" s="87">
        <v>7.0</v>
      </c>
      <c r="D501" s="84" t="s">
        <v>3414</v>
      </c>
      <c r="E501" s="94">
        <v>1.0</v>
      </c>
      <c r="F501" s="95">
        <f t="shared" si="1"/>
        <v>0.5</v>
      </c>
    </row>
    <row r="502">
      <c r="A502" s="84" t="s">
        <v>3185</v>
      </c>
      <c r="B502" s="87">
        <v>7.0</v>
      </c>
      <c r="C502" s="87">
        <v>7.0</v>
      </c>
      <c r="D502" s="84" t="s">
        <v>3414</v>
      </c>
      <c r="E502" s="94">
        <v>1.0</v>
      </c>
      <c r="F502" s="95">
        <f t="shared" si="1"/>
        <v>0.5</v>
      </c>
    </row>
    <row r="503">
      <c r="A503" s="84" t="s">
        <v>3187</v>
      </c>
      <c r="B503" s="87">
        <v>7.0</v>
      </c>
      <c r="C503" s="87">
        <v>7.0</v>
      </c>
      <c r="D503" s="84" t="s">
        <v>3414</v>
      </c>
      <c r="E503" s="94">
        <v>1.0</v>
      </c>
      <c r="F503" s="95">
        <f t="shared" si="1"/>
        <v>0.5</v>
      </c>
    </row>
    <row r="504">
      <c r="A504" s="84" t="s">
        <v>2502</v>
      </c>
      <c r="B504" s="87">
        <v>117.0</v>
      </c>
      <c r="C504" s="87">
        <v>64.0</v>
      </c>
      <c r="D504" s="84" t="s">
        <v>3414</v>
      </c>
      <c r="E504" s="94">
        <v>0.547</v>
      </c>
      <c r="F504" s="95">
        <f t="shared" si="1"/>
        <v>0.2735</v>
      </c>
    </row>
    <row r="505">
      <c r="A505" s="84" t="s">
        <v>2503</v>
      </c>
      <c r="B505" s="87">
        <v>8.0</v>
      </c>
      <c r="C505" s="87">
        <v>6.0</v>
      </c>
      <c r="D505" s="84" t="s">
        <v>3415</v>
      </c>
      <c r="E505" s="94">
        <v>0.75</v>
      </c>
      <c r="F505" s="95">
        <f t="shared" si="1"/>
        <v>0.5625</v>
      </c>
    </row>
    <row r="506">
      <c r="A506" s="84" t="s">
        <v>2504</v>
      </c>
      <c r="B506" s="87">
        <v>15.0</v>
      </c>
      <c r="C506" s="87">
        <v>9.0</v>
      </c>
      <c r="D506" s="84" t="s">
        <v>3415</v>
      </c>
      <c r="E506" s="94">
        <v>0.6</v>
      </c>
      <c r="F506" s="95">
        <f t="shared" si="1"/>
        <v>0.45</v>
      </c>
    </row>
    <row r="507">
      <c r="A507" s="84" t="s">
        <v>2505</v>
      </c>
      <c r="B507" s="87">
        <v>13.0</v>
      </c>
      <c r="C507" s="87">
        <v>7.0</v>
      </c>
      <c r="D507" s="84" t="s">
        <v>3415</v>
      </c>
      <c r="E507" s="94">
        <v>0.538</v>
      </c>
      <c r="F507" s="95">
        <f t="shared" si="1"/>
        <v>0.4035</v>
      </c>
    </row>
    <row r="508">
      <c r="A508" s="84" t="s">
        <v>2506</v>
      </c>
      <c r="B508" s="87">
        <v>3.0</v>
      </c>
      <c r="C508" s="87">
        <v>2.0</v>
      </c>
      <c r="D508" s="84" t="s">
        <v>3416</v>
      </c>
      <c r="E508" s="94">
        <v>0.667</v>
      </c>
      <c r="F508" s="93">
        <f t="shared" si="1"/>
        <v>0.667</v>
      </c>
    </row>
    <row r="509">
      <c r="A509" s="84" t="s">
        <v>2507</v>
      </c>
      <c r="B509" s="87">
        <v>4.0</v>
      </c>
      <c r="C509" s="87">
        <v>3.0</v>
      </c>
      <c r="D509" s="84" t="s">
        <v>3415</v>
      </c>
      <c r="E509" s="94">
        <v>0.75</v>
      </c>
      <c r="F509" s="95">
        <f t="shared" si="1"/>
        <v>0.5625</v>
      </c>
    </row>
    <row r="510">
      <c r="A510" s="84" t="s">
        <v>2508</v>
      </c>
      <c r="B510" s="87">
        <v>25.0</v>
      </c>
      <c r="C510" s="87">
        <v>0.0</v>
      </c>
      <c r="D510" s="84" t="s">
        <v>3415</v>
      </c>
      <c r="E510" s="94">
        <v>0.0</v>
      </c>
      <c r="F510" s="95">
        <f t="shared" si="1"/>
        <v>0</v>
      </c>
    </row>
    <row r="511">
      <c r="A511" s="84" t="s">
        <v>2133</v>
      </c>
      <c r="B511" s="87">
        <v>0.0</v>
      </c>
      <c r="C511" s="87">
        <v>0.0</v>
      </c>
      <c r="D511" s="84" t="s">
        <v>3412</v>
      </c>
      <c r="E511" s="92" t="s">
        <v>3413</v>
      </c>
      <c r="F511" s="93" t="str">
        <f t="shared" si="1"/>
        <v>Not Applicable</v>
      </c>
    </row>
    <row r="512">
      <c r="A512" s="84" t="s">
        <v>3336</v>
      </c>
      <c r="B512" s="87">
        <v>0.0</v>
      </c>
      <c r="C512" s="87">
        <v>0.0</v>
      </c>
      <c r="D512" s="84" t="s">
        <v>3412</v>
      </c>
      <c r="E512" s="92" t="s">
        <v>3413</v>
      </c>
      <c r="F512" s="93" t="str">
        <f t="shared" si="1"/>
        <v>Not Applicable</v>
      </c>
    </row>
    <row r="513">
      <c r="A513" s="84" t="s">
        <v>2135</v>
      </c>
      <c r="B513" s="87">
        <v>0.0</v>
      </c>
      <c r="C513" s="87">
        <v>0.0</v>
      </c>
      <c r="D513" s="84" t="s">
        <v>3412</v>
      </c>
      <c r="E513" s="92" t="s">
        <v>3413</v>
      </c>
      <c r="F513" s="93" t="str">
        <f t="shared" si="1"/>
        <v>Not Applicable</v>
      </c>
    </row>
    <row r="514">
      <c r="A514" s="84" t="s">
        <v>1627</v>
      </c>
      <c r="B514" s="87">
        <v>11.0</v>
      </c>
      <c r="C514" s="87">
        <v>7.0</v>
      </c>
      <c r="D514" s="84" t="s">
        <v>3415</v>
      </c>
      <c r="E514" s="94">
        <v>0.636</v>
      </c>
      <c r="F514" s="95">
        <f t="shared" si="1"/>
        <v>0.477</v>
      </c>
    </row>
    <row r="515">
      <c r="A515" s="84" t="s">
        <v>2333</v>
      </c>
      <c r="B515" s="87">
        <v>62.0</v>
      </c>
      <c r="C515" s="87">
        <v>53.0</v>
      </c>
      <c r="D515" s="84" t="s">
        <v>3414</v>
      </c>
      <c r="E515" s="94">
        <v>0.855</v>
      </c>
      <c r="F515" s="95">
        <f t="shared" si="1"/>
        <v>0.4275</v>
      </c>
    </row>
    <row r="516">
      <c r="A516" s="84" t="s">
        <v>2336</v>
      </c>
      <c r="B516" s="87">
        <v>3.0</v>
      </c>
      <c r="C516" s="87">
        <v>3.0</v>
      </c>
      <c r="D516" s="84" t="s">
        <v>3415</v>
      </c>
      <c r="E516" s="94">
        <v>1.0</v>
      </c>
      <c r="F516" s="95">
        <f t="shared" si="1"/>
        <v>0.75</v>
      </c>
    </row>
    <row r="517">
      <c r="A517" s="84" t="s">
        <v>2338</v>
      </c>
      <c r="B517" s="87">
        <v>6.0</v>
      </c>
      <c r="C517" s="87">
        <v>5.0</v>
      </c>
      <c r="D517" s="84" t="s">
        <v>3415</v>
      </c>
      <c r="E517" s="94">
        <v>0.833</v>
      </c>
      <c r="F517" s="95">
        <f t="shared" si="1"/>
        <v>0.62475</v>
      </c>
    </row>
    <row r="518">
      <c r="A518" s="84" t="s">
        <v>2339</v>
      </c>
      <c r="B518" s="87">
        <v>49.0</v>
      </c>
      <c r="C518" s="87">
        <v>42.0</v>
      </c>
      <c r="D518" s="84" t="s">
        <v>3415</v>
      </c>
      <c r="E518" s="94">
        <v>0.857</v>
      </c>
      <c r="F518" s="95">
        <f t="shared" si="1"/>
        <v>0.64275</v>
      </c>
    </row>
    <row r="519">
      <c r="A519" s="84" t="s">
        <v>2341</v>
      </c>
      <c r="B519" s="87">
        <v>62.0</v>
      </c>
      <c r="C519" s="87">
        <v>53.0</v>
      </c>
      <c r="D519" s="84" t="s">
        <v>3414</v>
      </c>
      <c r="E519" s="94">
        <v>0.855</v>
      </c>
      <c r="F519" s="95">
        <f t="shared" si="1"/>
        <v>0.4275</v>
      </c>
    </row>
    <row r="520">
      <c r="A520" s="84" t="s">
        <v>2342</v>
      </c>
      <c r="B520" s="87">
        <v>62.0</v>
      </c>
      <c r="C520" s="87">
        <v>53.0</v>
      </c>
      <c r="D520" s="84" t="s">
        <v>3414</v>
      </c>
      <c r="E520" s="94">
        <v>0.855</v>
      </c>
      <c r="F520" s="95">
        <f t="shared" si="1"/>
        <v>0.4275</v>
      </c>
    </row>
    <row r="521">
      <c r="A521" s="84" t="s">
        <v>2665</v>
      </c>
      <c r="B521" s="87">
        <v>24.0</v>
      </c>
      <c r="C521" s="87">
        <v>16.0</v>
      </c>
      <c r="D521" s="84" t="s">
        <v>3414</v>
      </c>
      <c r="E521" s="94">
        <v>0.667</v>
      </c>
      <c r="F521" s="95">
        <f t="shared" si="1"/>
        <v>0.3335</v>
      </c>
    </row>
    <row r="522">
      <c r="A522" s="84" t="s">
        <v>2667</v>
      </c>
      <c r="B522" s="87">
        <v>24.0</v>
      </c>
      <c r="C522" s="87">
        <v>16.0</v>
      </c>
      <c r="D522" s="84" t="s">
        <v>3414</v>
      </c>
      <c r="E522" s="94">
        <v>0.667</v>
      </c>
      <c r="F522" s="95">
        <f t="shared" si="1"/>
        <v>0.3335</v>
      </c>
    </row>
    <row r="523">
      <c r="A523" s="84" t="s">
        <v>2668</v>
      </c>
      <c r="B523" s="87">
        <v>24.0</v>
      </c>
      <c r="C523" s="87">
        <v>16.0</v>
      </c>
      <c r="D523" s="84" t="s">
        <v>3414</v>
      </c>
      <c r="E523" s="94">
        <v>0.667</v>
      </c>
      <c r="F523" s="95">
        <f t="shared" si="1"/>
        <v>0.3335</v>
      </c>
    </row>
    <row r="524">
      <c r="A524" s="84" t="s">
        <v>2669</v>
      </c>
      <c r="B524" s="87">
        <v>3.0</v>
      </c>
      <c r="C524" s="87">
        <v>3.0</v>
      </c>
      <c r="D524" s="84" t="s">
        <v>3416</v>
      </c>
      <c r="E524" s="94">
        <v>1.0</v>
      </c>
      <c r="F524" s="93">
        <f t="shared" si="1"/>
        <v>1</v>
      </c>
    </row>
    <row r="525">
      <c r="A525" s="84" t="s">
        <v>2670</v>
      </c>
      <c r="B525" s="87">
        <v>24.0</v>
      </c>
      <c r="C525" s="87">
        <v>16.0</v>
      </c>
      <c r="D525" s="84" t="s">
        <v>3414</v>
      </c>
      <c r="E525" s="94">
        <v>0.667</v>
      </c>
      <c r="F525" s="95">
        <f t="shared" si="1"/>
        <v>0.3335</v>
      </c>
    </row>
    <row r="526">
      <c r="A526" s="84" t="s">
        <v>3231</v>
      </c>
      <c r="B526" s="87">
        <v>8.0</v>
      </c>
      <c r="C526" s="87">
        <v>8.0</v>
      </c>
      <c r="D526" s="84" t="s">
        <v>3414</v>
      </c>
      <c r="E526" s="94">
        <v>1.0</v>
      </c>
      <c r="F526" s="95">
        <f t="shared" si="1"/>
        <v>0.5</v>
      </c>
    </row>
    <row r="527">
      <c r="A527" s="84" t="s">
        <v>3234</v>
      </c>
      <c r="B527" s="87">
        <v>8.0</v>
      </c>
      <c r="C527" s="87">
        <v>8.0</v>
      </c>
      <c r="D527" s="84" t="s">
        <v>3414</v>
      </c>
      <c r="E527" s="94">
        <v>1.0</v>
      </c>
      <c r="F527" s="95">
        <f t="shared" si="1"/>
        <v>0.5</v>
      </c>
    </row>
    <row r="528">
      <c r="A528" s="84" t="s">
        <v>3236</v>
      </c>
      <c r="B528" s="87">
        <v>8.0</v>
      </c>
      <c r="C528" s="87">
        <v>8.0</v>
      </c>
      <c r="D528" s="84" t="s">
        <v>3414</v>
      </c>
      <c r="E528" s="94">
        <v>1.0</v>
      </c>
      <c r="F528" s="95">
        <f t="shared" si="1"/>
        <v>0.5</v>
      </c>
    </row>
    <row r="529">
      <c r="A529" s="84" t="s">
        <v>3238</v>
      </c>
      <c r="B529" s="87">
        <v>8.0</v>
      </c>
      <c r="C529" s="87">
        <v>8.0</v>
      </c>
      <c r="D529" s="84" t="s">
        <v>3414</v>
      </c>
      <c r="E529" s="94">
        <v>1.0</v>
      </c>
      <c r="F529" s="95">
        <f t="shared" si="1"/>
        <v>0.5</v>
      </c>
    </row>
    <row r="530">
      <c r="A530" s="84" t="s">
        <v>3240</v>
      </c>
      <c r="B530" s="87">
        <v>4.0</v>
      </c>
      <c r="C530" s="87">
        <v>4.0</v>
      </c>
      <c r="D530" s="84" t="s">
        <v>3415</v>
      </c>
      <c r="E530" s="94">
        <v>1.0</v>
      </c>
      <c r="F530" s="95">
        <f t="shared" si="1"/>
        <v>0.75</v>
      </c>
    </row>
    <row r="531">
      <c r="A531" s="84" t="s">
        <v>3242</v>
      </c>
      <c r="B531" s="87">
        <v>8.0</v>
      </c>
      <c r="C531" s="87">
        <v>8.0</v>
      </c>
      <c r="D531" s="84" t="s">
        <v>3414</v>
      </c>
      <c r="E531" s="94">
        <v>1.0</v>
      </c>
      <c r="F531" s="95">
        <f t="shared" si="1"/>
        <v>0.5</v>
      </c>
    </row>
    <row r="532">
      <c r="A532" s="84" t="s">
        <v>2671</v>
      </c>
      <c r="B532" s="87">
        <v>24.0</v>
      </c>
      <c r="C532" s="87">
        <v>16.0</v>
      </c>
      <c r="D532" s="84" t="s">
        <v>3414</v>
      </c>
      <c r="E532" s="94">
        <v>0.667</v>
      </c>
      <c r="F532" s="95">
        <f t="shared" si="1"/>
        <v>0.3335</v>
      </c>
    </row>
    <row r="533">
      <c r="A533" s="84" t="s">
        <v>2672</v>
      </c>
      <c r="B533" s="87">
        <v>24.0</v>
      </c>
      <c r="C533" s="87">
        <v>16.0</v>
      </c>
      <c r="D533" s="84" t="s">
        <v>3414</v>
      </c>
      <c r="E533" s="94">
        <v>0.667</v>
      </c>
      <c r="F533" s="95">
        <f t="shared" si="1"/>
        <v>0.3335</v>
      </c>
    </row>
    <row r="534">
      <c r="A534" s="84" t="s">
        <v>2673</v>
      </c>
      <c r="B534" s="87">
        <v>24.0</v>
      </c>
      <c r="C534" s="87">
        <v>16.0</v>
      </c>
      <c r="D534" s="84" t="s">
        <v>3414</v>
      </c>
      <c r="E534" s="94">
        <v>0.667</v>
      </c>
      <c r="F534" s="95">
        <f t="shared" si="1"/>
        <v>0.3335</v>
      </c>
    </row>
    <row r="535">
      <c r="A535" s="84" t="s">
        <v>2674</v>
      </c>
      <c r="B535" s="87">
        <v>3.0</v>
      </c>
      <c r="C535" s="87">
        <v>2.0</v>
      </c>
      <c r="D535" s="84" t="s">
        <v>3415</v>
      </c>
      <c r="E535" s="94">
        <v>0.667</v>
      </c>
      <c r="F535" s="95">
        <f t="shared" si="1"/>
        <v>0.50025</v>
      </c>
    </row>
    <row r="536">
      <c r="A536" s="84" t="s">
        <v>2675</v>
      </c>
      <c r="B536" s="87">
        <v>4.0</v>
      </c>
      <c r="C536" s="87">
        <v>1.0</v>
      </c>
      <c r="D536" s="84" t="s">
        <v>3416</v>
      </c>
      <c r="E536" s="94">
        <v>0.25</v>
      </c>
      <c r="F536" s="93">
        <f t="shared" si="1"/>
        <v>0.25</v>
      </c>
    </row>
    <row r="537">
      <c r="A537" s="84" t="s">
        <v>2676</v>
      </c>
      <c r="B537" s="87">
        <v>24.0</v>
      </c>
      <c r="C537" s="87">
        <v>16.0</v>
      </c>
      <c r="D537" s="84" t="s">
        <v>3414</v>
      </c>
      <c r="E537" s="94">
        <v>0.667</v>
      </c>
      <c r="F537" s="95">
        <f t="shared" si="1"/>
        <v>0.3335</v>
      </c>
    </row>
    <row r="538">
      <c r="A538" s="84" t="s">
        <v>1573</v>
      </c>
      <c r="B538" s="87">
        <v>7.0</v>
      </c>
      <c r="C538" s="87">
        <v>6.0</v>
      </c>
      <c r="D538" s="84" t="s">
        <v>3415</v>
      </c>
      <c r="E538" s="94">
        <v>0.857</v>
      </c>
      <c r="F538" s="95">
        <f t="shared" si="1"/>
        <v>0.64275</v>
      </c>
    </row>
    <row r="539">
      <c r="A539" s="84" t="s">
        <v>3297</v>
      </c>
      <c r="B539" s="87">
        <v>6.0</v>
      </c>
      <c r="C539" s="87">
        <v>4.0</v>
      </c>
      <c r="D539" s="84" t="s">
        <v>3415</v>
      </c>
      <c r="E539" s="94">
        <v>0.667</v>
      </c>
      <c r="F539" s="95">
        <f t="shared" si="1"/>
        <v>0.50025</v>
      </c>
    </row>
    <row r="540">
      <c r="A540" s="84" t="s">
        <v>3298</v>
      </c>
      <c r="B540" s="87">
        <v>36.0</v>
      </c>
      <c r="C540" s="87">
        <v>30.0</v>
      </c>
      <c r="D540" s="84" t="s">
        <v>3414</v>
      </c>
      <c r="E540" s="94">
        <v>0.833</v>
      </c>
      <c r="F540" s="95">
        <f t="shared" si="1"/>
        <v>0.4165</v>
      </c>
    </row>
    <row r="541">
      <c r="A541" s="84" t="s">
        <v>3299</v>
      </c>
      <c r="B541" s="87">
        <v>7.0</v>
      </c>
      <c r="C541" s="87">
        <v>7.0</v>
      </c>
      <c r="D541" s="84" t="s">
        <v>3415</v>
      </c>
      <c r="E541" s="94">
        <v>1.0</v>
      </c>
      <c r="F541" s="95">
        <f t="shared" si="1"/>
        <v>0.75</v>
      </c>
    </row>
    <row r="542">
      <c r="A542" s="84" t="s">
        <v>1574</v>
      </c>
      <c r="B542" s="87">
        <v>9.0</v>
      </c>
      <c r="C542" s="87">
        <v>7.0</v>
      </c>
      <c r="D542" s="84" t="s">
        <v>3415</v>
      </c>
      <c r="E542" s="94">
        <v>0.778</v>
      </c>
      <c r="F542" s="95">
        <f t="shared" si="1"/>
        <v>0.5835</v>
      </c>
    </row>
    <row r="543">
      <c r="A543" s="84" t="s">
        <v>1575</v>
      </c>
      <c r="B543" s="87">
        <v>36.0</v>
      </c>
      <c r="C543" s="87">
        <v>30.0</v>
      </c>
      <c r="D543" s="84" t="s">
        <v>3414</v>
      </c>
      <c r="E543" s="94">
        <v>0.833</v>
      </c>
      <c r="F543" s="95">
        <f t="shared" si="1"/>
        <v>0.4165</v>
      </c>
    </row>
    <row r="544">
      <c r="A544" s="84" t="s">
        <v>1576</v>
      </c>
      <c r="B544" s="87">
        <v>4.0</v>
      </c>
      <c r="C544" s="87">
        <v>3.0</v>
      </c>
      <c r="D544" s="84" t="s">
        <v>3416</v>
      </c>
      <c r="E544" s="94">
        <v>0.75</v>
      </c>
      <c r="F544" s="93">
        <f t="shared" si="1"/>
        <v>0.75</v>
      </c>
    </row>
    <row r="545">
      <c r="A545" s="84" t="s">
        <v>1578</v>
      </c>
      <c r="B545" s="87">
        <v>6.0</v>
      </c>
      <c r="C545" s="87">
        <v>4.0</v>
      </c>
      <c r="D545" s="84" t="s">
        <v>3415</v>
      </c>
      <c r="E545" s="94">
        <v>0.667</v>
      </c>
      <c r="F545" s="95">
        <f t="shared" si="1"/>
        <v>0.50025</v>
      </c>
    </row>
    <row r="546">
      <c r="A546" s="84" t="s">
        <v>1579</v>
      </c>
      <c r="B546" s="87">
        <v>6.0</v>
      </c>
      <c r="C546" s="87">
        <v>5.0</v>
      </c>
      <c r="D546" s="84" t="s">
        <v>3415</v>
      </c>
      <c r="E546" s="94">
        <v>0.833</v>
      </c>
      <c r="F546" s="95">
        <f t="shared" si="1"/>
        <v>0.62475</v>
      </c>
    </row>
    <row r="547">
      <c r="A547" s="84" t="s">
        <v>1580</v>
      </c>
      <c r="B547" s="87">
        <v>36.0</v>
      </c>
      <c r="C547" s="87">
        <v>30.0</v>
      </c>
      <c r="D547" s="84" t="s">
        <v>3414</v>
      </c>
      <c r="E547" s="94">
        <v>0.833</v>
      </c>
      <c r="F547" s="95">
        <f t="shared" si="1"/>
        <v>0.4165</v>
      </c>
    </row>
    <row r="548">
      <c r="A548" s="84" t="s">
        <v>1581</v>
      </c>
      <c r="B548" s="87">
        <v>7.0</v>
      </c>
      <c r="C548" s="87">
        <v>7.0</v>
      </c>
      <c r="D548" s="84" t="s">
        <v>3415</v>
      </c>
      <c r="E548" s="94">
        <v>1.0</v>
      </c>
      <c r="F548" s="95">
        <f t="shared" si="1"/>
        <v>0.75</v>
      </c>
    </row>
    <row r="549">
      <c r="A549" s="84" t="s">
        <v>1582</v>
      </c>
      <c r="B549" s="87">
        <v>5.0</v>
      </c>
      <c r="C549" s="87">
        <v>4.0</v>
      </c>
      <c r="D549" s="84" t="s">
        <v>3416</v>
      </c>
      <c r="E549" s="94">
        <v>0.8</v>
      </c>
      <c r="F549" s="93">
        <f t="shared" si="1"/>
        <v>0.8</v>
      </c>
    </row>
    <row r="550">
      <c r="A550" s="84" t="s">
        <v>1583</v>
      </c>
      <c r="B550" s="87">
        <v>36.0</v>
      </c>
      <c r="C550" s="87">
        <v>30.0</v>
      </c>
      <c r="D550" s="84" t="s">
        <v>3414</v>
      </c>
      <c r="E550" s="94">
        <v>0.833</v>
      </c>
      <c r="F550" s="95">
        <f t="shared" si="1"/>
        <v>0.4165</v>
      </c>
    </row>
    <row r="551">
      <c r="A551" s="84" t="s">
        <v>3326</v>
      </c>
      <c r="B551" s="87">
        <v>6.0</v>
      </c>
      <c r="C551" s="87">
        <v>6.0</v>
      </c>
      <c r="D551" s="84" t="s">
        <v>3415</v>
      </c>
      <c r="E551" s="94">
        <v>1.0</v>
      </c>
      <c r="F551" s="95">
        <f t="shared" si="1"/>
        <v>0.75</v>
      </c>
    </row>
    <row r="552">
      <c r="A552" s="84" t="s">
        <v>2063</v>
      </c>
      <c r="B552" s="87">
        <v>7.0</v>
      </c>
      <c r="C552" s="87">
        <v>4.0</v>
      </c>
      <c r="D552" s="84" t="s">
        <v>3415</v>
      </c>
      <c r="E552" s="94">
        <v>0.571</v>
      </c>
      <c r="F552" s="95">
        <f t="shared" si="1"/>
        <v>0.42825</v>
      </c>
    </row>
    <row r="553">
      <c r="A553" s="84" t="s">
        <v>2066</v>
      </c>
      <c r="B553" s="87">
        <v>47.0</v>
      </c>
      <c r="C553" s="87">
        <v>35.0</v>
      </c>
      <c r="D553" s="84" t="s">
        <v>3414</v>
      </c>
      <c r="E553" s="94">
        <v>0.745</v>
      </c>
      <c r="F553" s="95">
        <f t="shared" si="1"/>
        <v>0.3725</v>
      </c>
    </row>
    <row r="554">
      <c r="A554" s="84" t="s">
        <v>2068</v>
      </c>
      <c r="B554" s="87">
        <v>5.0</v>
      </c>
      <c r="C554" s="87">
        <v>5.0</v>
      </c>
      <c r="D554" s="84" t="s">
        <v>3415</v>
      </c>
      <c r="E554" s="94">
        <v>1.0</v>
      </c>
      <c r="F554" s="95">
        <f t="shared" si="1"/>
        <v>0.75</v>
      </c>
    </row>
    <row r="555">
      <c r="A555" s="84" t="s">
        <v>2070</v>
      </c>
      <c r="B555" s="87">
        <v>18.0</v>
      </c>
      <c r="C555" s="87">
        <v>16.0</v>
      </c>
      <c r="D555" s="84" t="s">
        <v>3415</v>
      </c>
      <c r="E555" s="94">
        <v>0.889</v>
      </c>
      <c r="F555" s="95">
        <f t="shared" si="1"/>
        <v>0.66675</v>
      </c>
    </row>
    <row r="556">
      <c r="A556" s="84" t="s">
        <v>2072</v>
      </c>
      <c r="B556" s="87">
        <v>3.0</v>
      </c>
      <c r="C556" s="87">
        <v>2.0</v>
      </c>
      <c r="D556" s="84" t="s">
        <v>3415</v>
      </c>
      <c r="E556" s="94">
        <v>0.667</v>
      </c>
      <c r="F556" s="95">
        <f t="shared" si="1"/>
        <v>0.50025</v>
      </c>
    </row>
    <row r="557">
      <c r="A557" s="84" t="s">
        <v>2074</v>
      </c>
      <c r="B557" s="87">
        <v>6.0</v>
      </c>
      <c r="C557" s="87">
        <v>0.0</v>
      </c>
      <c r="D557" s="84" t="s">
        <v>3415</v>
      </c>
      <c r="E557" s="94">
        <v>0.0</v>
      </c>
      <c r="F557" s="95">
        <f t="shared" si="1"/>
        <v>0</v>
      </c>
    </row>
    <row r="558">
      <c r="A558" s="84" t="s">
        <v>1600</v>
      </c>
      <c r="B558" s="87">
        <v>5.0</v>
      </c>
      <c r="C558" s="87">
        <v>4.0</v>
      </c>
      <c r="D558" s="84" t="s">
        <v>3415</v>
      </c>
      <c r="E558" s="94">
        <v>0.8</v>
      </c>
      <c r="F558" s="95">
        <f t="shared" si="1"/>
        <v>0.6</v>
      </c>
    </row>
    <row r="559">
      <c r="A559" s="84" t="s">
        <v>1603</v>
      </c>
      <c r="B559" s="87">
        <v>3.0</v>
      </c>
      <c r="C559" s="87">
        <v>3.0</v>
      </c>
      <c r="D559" s="84" t="s">
        <v>3415</v>
      </c>
      <c r="E559" s="94">
        <v>1.0</v>
      </c>
      <c r="F559" s="95">
        <f t="shared" si="1"/>
        <v>0.75</v>
      </c>
    </row>
    <row r="560">
      <c r="A560" s="84" t="s">
        <v>1605</v>
      </c>
      <c r="B560" s="87">
        <v>100.0</v>
      </c>
      <c r="C560" s="87">
        <v>78.0</v>
      </c>
      <c r="D560" s="84" t="s">
        <v>3416</v>
      </c>
      <c r="E560" s="94">
        <v>0.78</v>
      </c>
      <c r="F560" s="93">
        <f t="shared" si="1"/>
        <v>0.78</v>
      </c>
    </row>
    <row r="561">
      <c r="A561" s="84" t="s">
        <v>1607</v>
      </c>
      <c r="B561" s="87">
        <v>22.0</v>
      </c>
      <c r="C561" s="87">
        <v>0.0</v>
      </c>
      <c r="D561" s="84" t="s">
        <v>3416</v>
      </c>
      <c r="E561" s="94">
        <v>0.0</v>
      </c>
      <c r="F561" s="93">
        <f t="shared" si="1"/>
        <v>0</v>
      </c>
    </row>
    <row r="562">
      <c r="A562" s="84" t="s">
        <v>1514</v>
      </c>
      <c r="B562" s="87">
        <v>8.0</v>
      </c>
      <c r="C562" s="87">
        <v>6.0</v>
      </c>
      <c r="D562" s="84" t="s">
        <v>3416</v>
      </c>
      <c r="E562" s="94">
        <v>0.75</v>
      </c>
      <c r="F562" s="93">
        <f t="shared" si="1"/>
        <v>0.75</v>
      </c>
    </row>
    <row r="563">
      <c r="A563" s="84" t="s">
        <v>1515</v>
      </c>
      <c r="B563" s="87">
        <v>9.0</v>
      </c>
      <c r="C563" s="87">
        <v>9.0</v>
      </c>
      <c r="D563" s="84" t="s">
        <v>3416</v>
      </c>
      <c r="E563" s="94">
        <v>1.0</v>
      </c>
      <c r="F563" s="93">
        <f t="shared" si="1"/>
        <v>1</v>
      </c>
    </row>
    <row r="564">
      <c r="A564" s="84" t="s">
        <v>1516</v>
      </c>
      <c r="B564" s="87">
        <v>5.0</v>
      </c>
      <c r="C564" s="87">
        <v>4.0</v>
      </c>
      <c r="D564" s="84" t="s">
        <v>3416</v>
      </c>
      <c r="E564" s="94">
        <v>0.8</v>
      </c>
      <c r="F564" s="93">
        <f t="shared" si="1"/>
        <v>0.8</v>
      </c>
    </row>
    <row r="565">
      <c r="A565" s="84" t="s">
        <v>1517</v>
      </c>
      <c r="B565" s="87">
        <v>4.0</v>
      </c>
      <c r="C565" s="87">
        <v>4.0</v>
      </c>
      <c r="D565" s="84" t="s">
        <v>3415</v>
      </c>
      <c r="E565" s="94">
        <v>1.0</v>
      </c>
      <c r="F565" s="95">
        <f t="shared" si="1"/>
        <v>0.75</v>
      </c>
    </row>
    <row r="566">
      <c r="A566" s="84" t="s">
        <v>1518</v>
      </c>
      <c r="B566" s="87">
        <v>4.0</v>
      </c>
      <c r="C566" s="87">
        <v>4.0</v>
      </c>
      <c r="D566" s="84" t="s">
        <v>3415</v>
      </c>
      <c r="E566" s="94">
        <v>1.0</v>
      </c>
      <c r="F566" s="95">
        <f t="shared" si="1"/>
        <v>0.75</v>
      </c>
    </row>
    <row r="567">
      <c r="A567" s="84" t="s">
        <v>1519</v>
      </c>
      <c r="B567" s="87">
        <v>14.0</v>
      </c>
      <c r="C567" s="87">
        <v>13.0</v>
      </c>
      <c r="D567" s="84" t="s">
        <v>3416</v>
      </c>
      <c r="E567" s="94">
        <v>0.929</v>
      </c>
      <c r="F567" s="93">
        <f t="shared" si="1"/>
        <v>0.929</v>
      </c>
    </row>
    <row r="568">
      <c r="A568" s="84" t="s">
        <v>1520</v>
      </c>
      <c r="B568" s="87">
        <v>63.0</v>
      </c>
      <c r="C568" s="87">
        <v>55.0</v>
      </c>
      <c r="D568" s="84" t="s">
        <v>3414</v>
      </c>
      <c r="E568" s="94">
        <v>0.873</v>
      </c>
      <c r="F568" s="95">
        <f t="shared" si="1"/>
        <v>0.4365</v>
      </c>
    </row>
    <row r="569">
      <c r="A569" s="84" t="s">
        <v>1631</v>
      </c>
      <c r="B569" s="87">
        <v>3.0</v>
      </c>
      <c r="C569" s="87">
        <v>0.0</v>
      </c>
      <c r="D569" s="84" t="s">
        <v>3415</v>
      </c>
      <c r="E569" s="94">
        <v>0.0</v>
      </c>
      <c r="F569" s="95">
        <f t="shared" si="1"/>
        <v>0</v>
      </c>
    </row>
    <row r="570">
      <c r="A570" s="84" t="s">
        <v>1634</v>
      </c>
      <c r="B570" s="87">
        <v>12.0</v>
      </c>
      <c r="C570" s="87">
        <v>8.0</v>
      </c>
      <c r="D570" s="84" t="s">
        <v>3415</v>
      </c>
      <c r="E570" s="94">
        <v>0.667</v>
      </c>
      <c r="F570" s="95">
        <f t="shared" si="1"/>
        <v>0.50025</v>
      </c>
    </row>
    <row r="571">
      <c r="A571" s="84" t="s">
        <v>1636</v>
      </c>
      <c r="B571" s="87">
        <v>13.0</v>
      </c>
      <c r="C571" s="87">
        <v>6.0</v>
      </c>
      <c r="D571" s="84" t="s">
        <v>3415</v>
      </c>
      <c r="E571" s="94">
        <v>0.462</v>
      </c>
      <c r="F571" s="95">
        <f t="shared" si="1"/>
        <v>0.3465</v>
      </c>
    </row>
    <row r="572">
      <c r="A572" s="84" t="s">
        <v>1638</v>
      </c>
      <c r="B572" s="87">
        <v>9.0</v>
      </c>
      <c r="C572" s="87">
        <v>8.0</v>
      </c>
      <c r="D572" s="84" t="s">
        <v>3415</v>
      </c>
      <c r="E572" s="94">
        <v>0.889</v>
      </c>
      <c r="F572" s="95">
        <f t="shared" si="1"/>
        <v>0.66675</v>
      </c>
    </row>
    <row r="573">
      <c r="A573" s="84" t="s">
        <v>1640</v>
      </c>
      <c r="B573" s="87">
        <v>3.0</v>
      </c>
      <c r="C573" s="87">
        <v>3.0</v>
      </c>
      <c r="D573" s="84" t="s">
        <v>3415</v>
      </c>
      <c r="E573" s="94">
        <v>1.0</v>
      </c>
      <c r="F573" s="95">
        <f t="shared" si="1"/>
        <v>0.75</v>
      </c>
    </row>
    <row r="574">
      <c r="A574" s="84" t="s">
        <v>1641</v>
      </c>
      <c r="B574" s="87">
        <v>11.0</v>
      </c>
      <c r="C574" s="87">
        <v>7.0</v>
      </c>
      <c r="D574" s="84" t="s">
        <v>3415</v>
      </c>
      <c r="E574" s="94">
        <v>0.636</v>
      </c>
      <c r="F574" s="95">
        <f t="shared" si="1"/>
        <v>0.477</v>
      </c>
    </row>
    <row r="575">
      <c r="A575" s="84" t="s">
        <v>1643</v>
      </c>
      <c r="B575" s="87">
        <v>0.0</v>
      </c>
      <c r="C575" s="87">
        <v>0.0</v>
      </c>
      <c r="D575" s="84" t="s">
        <v>3412</v>
      </c>
      <c r="E575" s="92" t="s">
        <v>3413</v>
      </c>
      <c r="F575" s="93" t="str">
        <f t="shared" si="1"/>
        <v>Not Applicable</v>
      </c>
    </row>
    <row r="576">
      <c r="A576" s="84" t="s">
        <v>1643</v>
      </c>
      <c r="B576" s="87">
        <v>10.0</v>
      </c>
      <c r="C576" s="87">
        <v>2.0</v>
      </c>
      <c r="D576" s="84" t="s">
        <v>3415</v>
      </c>
      <c r="E576" s="94">
        <v>0.2</v>
      </c>
      <c r="F576" s="95">
        <f t="shared" si="1"/>
        <v>0.15</v>
      </c>
    </row>
    <row r="577">
      <c r="A577" s="84" t="s">
        <v>1644</v>
      </c>
      <c r="B577" s="87">
        <v>3.0</v>
      </c>
      <c r="C577" s="87">
        <v>0.0</v>
      </c>
      <c r="D577" s="84" t="s">
        <v>3415</v>
      </c>
      <c r="E577" s="94">
        <v>0.0</v>
      </c>
      <c r="F577" s="95">
        <f t="shared" si="1"/>
        <v>0</v>
      </c>
    </row>
    <row r="578">
      <c r="A578" s="84" t="s">
        <v>2677</v>
      </c>
      <c r="B578" s="87">
        <v>24.0</v>
      </c>
      <c r="C578" s="87">
        <v>16.0</v>
      </c>
      <c r="D578" s="84" t="s">
        <v>3414</v>
      </c>
      <c r="E578" s="94">
        <v>0.667</v>
      </c>
      <c r="F578" s="95">
        <f t="shared" si="1"/>
        <v>0.3335</v>
      </c>
    </row>
    <row r="579">
      <c r="A579" s="84" t="s">
        <v>2679</v>
      </c>
      <c r="B579" s="87">
        <v>24.0</v>
      </c>
      <c r="C579" s="87">
        <v>16.0</v>
      </c>
      <c r="D579" s="84" t="s">
        <v>3414</v>
      </c>
      <c r="E579" s="94">
        <v>0.667</v>
      </c>
      <c r="F579" s="95">
        <f t="shared" si="1"/>
        <v>0.3335</v>
      </c>
    </row>
    <row r="580">
      <c r="A580" s="84" t="s">
        <v>2680</v>
      </c>
      <c r="B580" s="87">
        <v>24.0</v>
      </c>
      <c r="C580" s="87">
        <v>16.0</v>
      </c>
      <c r="D580" s="84" t="s">
        <v>3414</v>
      </c>
      <c r="E580" s="94">
        <v>0.667</v>
      </c>
      <c r="F580" s="95">
        <f t="shared" si="1"/>
        <v>0.3335</v>
      </c>
    </row>
    <row r="581">
      <c r="A581" s="84" t="s">
        <v>2681</v>
      </c>
      <c r="B581" s="87">
        <v>4.0</v>
      </c>
      <c r="C581" s="87">
        <v>4.0</v>
      </c>
      <c r="D581" s="84" t="s">
        <v>3415</v>
      </c>
      <c r="E581" s="94">
        <v>1.0</v>
      </c>
      <c r="F581" s="95">
        <f t="shared" si="1"/>
        <v>0.75</v>
      </c>
    </row>
    <row r="582">
      <c r="A582" s="84" t="s">
        <v>2682</v>
      </c>
      <c r="B582" s="87">
        <v>13.0</v>
      </c>
      <c r="C582" s="87">
        <v>9.0</v>
      </c>
      <c r="D582" s="84" t="s">
        <v>3415</v>
      </c>
      <c r="E582" s="94">
        <v>0.692</v>
      </c>
      <c r="F582" s="95">
        <f t="shared" si="1"/>
        <v>0.519</v>
      </c>
    </row>
    <row r="583">
      <c r="A583" s="84" t="s">
        <v>2683</v>
      </c>
      <c r="B583" s="87">
        <v>24.0</v>
      </c>
      <c r="C583" s="87">
        <v>16.0</v>
      </c>
      <c r="D583" s="84" t="s">
        <v>3414</v>
      </c>
      <c r="E583" s="94">
        <v>0.667</v>
      </c>
      <c r="F583" s="95">
        <f t="shared" si="1"/>
        <v>0.3335</v>
      </c>
    </row>
    <row r="584">
      <c r="A584" s="84" t="s">
        <v>2901</v>
      </c>
      <c r="B584" s="87">
        <v>0.0</v>
      </c>
      <c r="C584" s="87">
        <v>0.0</v>
      </c>
      <c r="D584" s="84" t="s">
        <v>3412</v>
      </c>
      <c r="E584" s="92" t="s">
        <v>3413</v>
      </c>
      <c r="F584" s="93" t="str">
        <f t="shared" si="1"/>
        <v>Not Applicable</v>
      </c>
    </row>
    <row r="585">
      <c r="A585" s="84" t="s">
        <v>2213</v>
      </c>
      <c r="B585" s="87">
        <v>34.0</v>
      </c>
      <c r="C585" s="87">
        <v>29.0</v>
      </c>
      <c r="D585" s="84" t="s">
        <v>3414</v>
      </c>
      <c r="E585" s="94">
        <v>0.853</v>
      </c>
      <c r="F585" s="95">
        <f t="shared" si="1"/>
        <v>0.4265</v>
      </c>
    </row>
    <row r="586">
      <c r="A586" s="84" t="s">
        <v>2214</v>
      </c>
      <c r="B586" s="87">
        <v>3.0</v>
      </c>
      <c r="C586" s="87">
        <v>3.0</v>
      </c>
      <c r="D586" s="84" t="s">
        <v>3415</v>
      </c>
      <c r="E586" s="94">
        <v>1.0</v>
      </c>
      <c r="F586" s="95">
        <f t="shared" si="1"/>
        <v>0.75</v>
      </c>
    </row>
    <row r="587">
      <c r="A587" s="84" t="s">
        <v>2215</v>
      </c>
      <c r="B587" s="87">
        <v>3.0</v>
      </c>
      <c r="C587" s="87">
        <v>3.0</v>
      </c>
      <c r="D587" s="84" t="s">
        <v>3415</v>
      </c>
      <c r="E587" s="94">
        <v>1.0</v>
      </c>
      <c r="F587" s="95">
        <f t="shared" si="1"/>
        <v>0.75</v>
      </c>
    </row>
    <row r="588">
      <c r="A588" s="84" t="s">
        <v>2216</v>
      </c>
      <c r="B588" s="87">
        <v>4.0</v>
      </c>
      <c r="C588" s="87">
        <v>4.0</v>
      </c>
      <c r="D588" s="84" t="s">
        <v>3415</v>
      </c>
      <c r="E588" s="94">
        <v>1.0</v>
      </c>
      <c r="F588" s="95">
        <f t="shared" si="1"/>
        <v>0.75</v>
      </c>
    </row>
    <row r="589">
      <c r="A589" s="84" t="s">
        <v>2217</v>
      </c>
      <c r="B589" s="87">
        <v>22.0</v>
      </c>
      <c r="C589" s="87">
        <v>18.0</v>
      </c>
      <c r="D589" s="84" t="s">
        <v>3415</v>
      </c>
      <c r="E589" s="94">
        <v>0.818</v>
      </c>
      <c r="F589" s="95">
        <f t="shared" si="1"/>
        <v>0.6135</v>
      </c>
    </row>
    <row r="590">
      <c r="A590" s="84" t="s">
        <v>2218</v>
      </c>
      <c r="B590" s="87">
        <v>34.0</v>
      </c>
      <c r="C590" s="87">
        <v>29.0</v>
      </c>
      <c r="D590" s="84" t="s">
        <v>3414</v>
      </c>
      <c r="E590" s="94">
        <v>0.853</v>
      </c>
      <c r="F590" s="95">
        <f t="shared" si="1"/>
        <v>0.4265</v>
      </c>
    </row>
    <row r="591">
      <c r="A591" s="84" t="s">
        <v>2219</v>
      </c>
      <c r="B591" s="87">
        <v>34.0</v>
      </c>
      <c r="C591" s="87">
        <v>29.0</v>
      </c>
      <c r="D591" s="84" t="s">
        <v>3414</v>
      </c>
      <c r="E591" s="94">
        <v>0.853</v>
      </c>
      <c r="F591" s="95">
        <f t="shared" si="1"/>
        <v>0.4265</v>
      </c>
    </row>
    <row r="592">
      <c r="A592" s="84" t="s">
        <v>2220</v>
      </c>
      <c r="B592" s="87">
        <v>34.0</v>
      </c>
      <c r="C592" s="87">
        <v>29.0</v>
      </c>
      <c r="D592" s="84" t="s">
        <v>3414</v>
      </c>
      <c r="E592" s="94">
        <v>0.853</v>
      </c>
      <c r="F592" s="95">
        <f t="shared" si="1"/>
        <v>0.4265</v>
      </c>
    </row>
    <row r="593">
      <c r="A593" s="84" t="s">
        <v>2221</v>
      </c>
      <c r="B593" s="87">
        <v>3.0</v>
      </c>
      <c r="C593" s="87">
        <v>3.0</v>
      </c>
      <c r="D593" s="84" t="s">
        <v>3415</v>
      </c>
      <c r="E593" s="94">
        <v>1.0</v>
      </c>
      <c r="F593" s="95">
        <f t="shared" si="1"/>
        <v>0.75</v>
      </c>
    </row>
    <row r="594">
      <c r="A594" s="84" t="s">
        <v>2222</v>
      </c>
      <c r="B594" s="87">
        <v>3.0</v>
      </c>
      <c r="C594" s="87">
        <v>3.0</v>
      </c>
      <c r="D594" s="84" t="s">
        <v>3415</v>
      </c>
      <c r="E594" s="94">
        <v>1.0</v>
      </c>
      <c r="F594" s="95">
        <f t="shared" si="1"/>
        <v>0.75</v>
      </c>
    </row>
    <row r="595">
      <c r="A595" s="84" t="s">
        <v>2223</v>
      </c>
      <c r="B595" s="87">
        <v>4.0</v>
      </c>
      <c r="C595" s="87">
        <v>4.0</v>
      </c>
      <c r="D595" s="84" t="s">
        <v>3415</v>
      </c>
      <c r="E595" s="94">
        <v>1.0</v>
      </c>
      <c r="F595" s="95">
        <f t="shared" si="1"/>
        <v>0.75</v>
      </c>
    </row>
    <row r="596">
      <c r="A596" s="84" t="s">
        <v>2224</v>
      </c>
      <c r="B596" s="87">
        <v>22.0</v>
      </c>
      <c r="C596" s="87">
        <v>18.0</v>
      </c>
      <c r="D596" s="84" t="s">
        <v>3415</v>
      </c>
      <c r="E596" s="94">
        <v>0.818</v>
      </c>
      <c r="F596" s="95">
        <f t="shared" si="1"/>
        <v>0.6135</v>
      </c>
    </row>
    <row r="597">
      <c r="A597" s="84" t="s">
        <v>2225</v>
      </c>
      <c r="B597" s="87">
        <v>34.0</v>
      </c>
      <c r="C597" s="87">
        <v>29.0</v>
      </c>
      <c r="D597" s="84" t="s">
        <v>3414</v>
      </c>
      <c r="E597" s="94">
        <v>0.853</v>
      </c>
      <c r="F597" s="95">
        <f t="shared" si="1"/>
        <v>0.4265</v>
      </c>
    </row>
    <row r="598">
      <c r="A598" s="84" t="s">
        <v>2226</v>
      </c>
      <c r="B598" s="87">
        <v>34.0</v>
      </c>
      <c r="C598" s="87">
        <v>29.0</v>
      </c>
      <c r="D598" s="84" t="s">
        <v>3414</v>
      </c>
      <c r="E598" s="94">
        <v>0.853</v>
      </c>
      <c r="F598" s="95">
        <f t="shared" si="1"/>
        <v>0.4265</v>
      </c>
    </row>
    <row r="599">
      <c r="A599" s="84" t="s">
        <v>2266</v>
      </c>
      <c r="B599" s="87">
        <v>14.0</v>
      </c>
      <c r="C599" s="87">
        <v>8.0</v>
      </c>
      <c r="D599" s="84" t="s">
        <v>3414</v>
      </c>
      <c r="E599" s="94">
        <v>0.571</v>
      </c>
      <c r="F599" s="95">
        <f t="shared" si="1"/>
        <v>0.2855</v>
      </c>
    </row>
    <row r="600">
      <c r="A600" s="84" t="s">
        <v>2268</v>
      </c>
      <c r="B600" s="87">
        <v>3.0</v>
      </c>
      <c r="C600" s="87">
        <v>2.0</v>
      </c>
      <c r="D600" s="84" t="s">
        <v>3416</v>
      </c>
      <c r="E600" s="94">
        <v>0.667</v>
      </c>
      <c r="F600" s="93">
        <f t="shared" si="1"/>
        <v>0.667</v>
      </c>
    </row>
    <row r="601">
      <c r="A601" s="84" t="s">
        <v>2269</v>
      </c>
      <c r="B601" s="87">
        <v>4.0</v>
      </c>
      <c r="C601" s="87">
        <v>2.0</v>
      </c>
      <c r="D601" s="84" t="s">
        <v>3415</v>
      </c>
      <c r="E601" s="94">
        <v>0.5</v>
      </c>
      <c r="F601" s="95">
        <f t="shared" si="1"/>
        <v>0.375</v>
      </c>
    </row>
    <row r="602">
      <c r="A602" s="84" t="s">
        <v>2271</v>
      </c>
      <c r="B602" s="87">
        <v>14.0</v>
      </c>
      <c r="C602" s="87">
        <v>8.0</v>
      </c>
      <c r="D602" s="84" t="s">
        <v>3414</v>
      </c>
      <c r="E602" s="94">
        <v>0.571</v>
      </c>
      <c r="F602" s="95">
        <f t="shared" si="1"/>
        <v>0.2855</v>
      </c>
    </row>
    <row r="603">
      <c r="A603" s="84" t="s">
        <v>2272</v>
      </c>
      <c r="B603" s="87">
        <v>14.0</v>
      </c>
      <c r="C603" s="87">
        <v>8.0</v>
      </c>
      <c r="D603" s="84" t="s">
        <v>3414</v>
      </c>
      <c r="E603" s="94">
        <v>0.571</v>
      </c>
      <c r="F603" s="95">
        <f t="shared" si="1"/>
        <v>0.2855</v>
      </c>
    </row>
    <row r="604">
      <c r="A604" s="84" t="s">
        <v>2273</v>
      </c>
      <c r="B604" s="87">
        <v>4.0</v>
      </c>
      <c r="C604" s="87">
        <v>2.0</v>
      </c>
      <c r="D604" s="84" t="s">
        <v>3415</v>
      </c>
      <c r="E604" s="94">
        <v>0.5</v>
      </c>
      <c r="F604" s="95">
        <f t="shared" si="1"/>
        <v>0.375</v>
      </c>
    </row>
    <row r="605">
      <c r="A605" s="84" t="s">
        <v>2274</v>
      </c>
      <c r="B605" s="87">
        <v>14.0</v>
      </c>
      <c r="C605" s="87">
        <v>8.0</v>
      </c>
      <c r="D605" s="84" t="s">
        <v>3414</v>
      </c>
      <c r="E605" s="94">
        <v>0.571</v>
      </c>
      <c r="F605" s="95">
        <f t="shared" si="1"/>
        <v>0.2855</v>
      </c>
    </row>
    <row r="606">
      <c r="A606" s="84" t="s">
        <v>2302</v>
      </c>
      <c r="B606" s="87">
        <v>0.0</v>
      </c>
      <c r="C606" s="87">
        <v>0.0</v>
      </c>
      <c r="D606" s="84" t="s">
        <v>3412</v>
      </c>
      <c r="E606" s="92" t="s">
        <v>3413</v>
      </c>
      <c r="F606" s="93" t="str">
        <f t="shared" si="1"/>
        <v>Not Applicable</v>
      </c>
    </row>
    <row r="607">
      <c r="A607" s="84" t="s">
        <v>2304</v>
      </c>
      <c r="B607" s="87">
        <v>0.0</v>
      </c>
      <c r="C607" s="87">
        <v>0.0</v>
      </c>
      <c r="D607" s="84" t="s">
        <v>3412</v>
      </c>
      <c r="E607" s="92" t="s">
        <v>3413</v>
      </c>
      <c r="F607" s="93" t="str">
        <f t="shared" si="1"/>
        <v>Not Applicable</v>
      </c>
    </row>
    <row r="608">
      <c r="A608" s="84" t="s">
        <v>2784</v>
      </c>
      <c r="B608" s="87">
        <v>11.0</v>
      </c>
      <c r="C608" s="87">
        <v>8.0</v>
      </c>
      <c r="D608" s="84" t="s">
        <v>3415</v>
      </c>
      <c r="E608" s="94">
        <v>0.727</v>
      </c>
      <c r="F608" s="95">
        <f t="shared" si="1"/>
        <v>0.54525</v>
      </c>
    </row>
    <row r="609">
      <c r="A609" s="84" t="s">
        <v>2785</v>
      </c>
      <c r="B609" s="87">
        <v>7.0</v>
      </c>
      <c r="C609" s="87">
        <v>5.0</v>
      </c>
      <c r="D609" s="84" t="s">
        <v>3415</v>
      </c>
      <c r="E609" s="94">
        <v>0.714</v>
      </c>
      <c r="F609" s="95">
        <f t="shared" si="1"/>
        <v>0.5355</v>
      </c>
    </row>
    <row r="610">
      <c r="A610" s="84" t="s">
        <v>2787</v>
      </c>
      <c r="B610" s="87">
        <v>3.0</v>
      </c>
      <c r="C610" s="87">
        <v>2.0</v>
      </c>
      <c r="D610" s="84" t="s">
        <v>3415</v>
      </c>
      <c r="E610" s="94">
        <v>0.667</v>
      </c>
      <c r="F610" s="95">
        <f t="shared" si="1"/>
        <v>0.50025</v>
      </c>
    </row>
    <row r="611">
      <c r="A611" s="84" t="s">
        <v>2788</v>
      </c>
      <c r="B611" s="87">
        <v>3.0</v>
      </c>
      <c r="C611" s="87">
        <v>2.0</v>
      </c>
      <c r="D611" s="84" t="s">
        <v>3416</v>
      </c>
      <c r="E611" s="94">
        <v>0.667</v>
      </c>
      <c r="F611" s="93">
        <f t="shared" si="1"/>
        <v>0.667</v>
      </c>
    </row>
    <row r="612">
      <c r="A612" s="84" t="s">
        <v>2789</v>
      </c>
      <c r="B612" s="87">
        <v>66.0</v>
      </c>
      <c r="C612" s="87">
        <v>51.0</v>
      </c>
      <c r="D612" s="84" t="s">
        <v>3414</v>
      </c>
      <c r="E612" s="94">
        <v>0.773</v>
      </c>
      <c r="F612" s="95">
        <f t="shared" si="1"/>
        <v>0.3865</v>
      </c>
    </row>
    <row r="613">
      <c r="A613" s="84" t="s">
        <v>2314</v>
      </c>
      <c r="B613" s="87">
        <v>0.0</v>
      </c>
      <c r="C613" s="87">
        <v>0.0</v>
      </c>
      <c r="D613" s="84" t="s">
        <v>3412</v>
      </c>
      <c r="E613" s="92" t="s">
        <v>3413</v>
      </c>
      <c r="F613" s="93" t="str">
        <f t="shared" si="1"/>
        <v>Not Applicable</v>
      </c>
    </row>
    <row r="614">
      <c r="A614" s="84" t="s">
        <v>2315</v>
      </c>
      <c r="B614" s="87">
        <v>0.0</v>
      </c>
      <c r="C614" s="87">
        <v>0.0</v>
      </c>
      <c r="D614" s="84" t="s">
        <v>3412</v>
      </c>
      <c r="E614" s="92" t="s">
        <v>3413</v>
      </c>
      <c r="F614" s="93" t="str">
        <f t="shared" si="1"/>
        <v>Not Applicable</v>
      </c>
    </row>
    <row r="615">
      <c r="A615" s="84" t="s">
        <v>3367</v>
      </c>
      <c r="B615" s="87">
        <v>24.0</v>
      </c>
      <c r="C615" s="87">
        <v>16.0</v>
      </c>
      <c r="D615" s="84" t="s">
        <v>3414</v>
      </c>
      <c r="E615" s="94">
        <v>0.667</v>
      </c>
      <c r="F615" s="95">
        <f t="shared" si="1"/>
        <v>0.3335</v>
      </c>
    </row>
    <row r="616">
      <c r="A616" s="84" t="s">
        <v>2684</v>
      </c>
      <c r="B616" s="87">
        <v>24.0</v>
      </c>
      <c r="C616" s="87">
        <v>16.0</v>
      </c>
      <c r="D616" s="84" t="s">
        <v>3414</v>
      </c>
      <c r="E616" s="94">
        <v>0.667</v>
      </c>
      <c r="F616" s="95">
        <f t="shared" si="1"/>
        <v>0.3335</v>
      </c>
    </row>
    <row r="617">
      <c r="A617" s="84" t="s">
        <v>2685</v>
      </c>
      <c r="B617" s="87">
        <v>3.0</v>
      </c>
      <c r="C617" s="87">
        <v>2.0</v>
      </c>
      <c r="D617" s="84" t="s">
        <v>3415</v>
      </c>
      <c r="E617" s="94">
        <v>0.667</v>
      </c>
      <c r="F617" s="95">
        <f t="shared" si="1"/>
        <v>0.50025</v>
      </c>
    </row>
    <row r="618">
      <c r="A618" s="84" t="s">
        <v>2686</v>
      </c>
      <c r="B618" s="87">
        <v>13.0</v>
      </c>
      <c r="C618" s="87">
        <v>9.0</v>
      </c>
      <c r="D618" s="84" t="s">
        <v>3415</v>
      </c>
      <c r="E618" s="94">
        <v>0.692</v>
      </c>
      <c r="F618" s="95">
        <f t="shared" si="1"/>
        <v>0.519</v>
      </c>
    </row>
    <row r="619">
      <c r="A619" s="84" t="s">
        <v>2687</v>
      </c>
      <c r="B619" s="87">
        <v>24.0</v>
      </c>
      <c r="C619" s="87">
        <v>16.0</v>
      </c>
      <c r="D619" s="84" t="s">
        <v>3414</v>
      </c>
      <c r="E619" s="94">
        <v>0.667</v>
      </c>
      <c r="F619" s="95">
        <f t="shared" si="1"/>
        <v>0.3335</v>
      </c>
    </row>
    <row r="620">
      <c r="A620" s="84" t="s">
        <v>3072</v>
      </c>
      <c r="B620" s="87">
        <v>16.0</v>
      </c>
      <c r="C620" s="87">
        <v>13.0</v>
      </c>
      <c r="D620" s="84" t="s">
        <v>3415</v>
      </c>
      <c r="E620" s="94">
        <v>0.813</v>
      </c>
      <c r="F620" s="95">
        <f t="shared" si="1"/>
        <v>0.60975</v>
      </c>
    </row>
    <row r="621">
      <c r="A621" s="84" t="s">
        <v>3074</v>
      </c>
      <c r="B621" s="87">
        <v>13.0</v>
      </c>
      <c r="C621" s="87">
        <v>10.0</v>
      </c>
      <c r="D621" s="84" t="s">
        <v>3415</v>
      </c>
      <c r="E621" s="94">
        <v>0.769</v>
      </c>
      <c r="F621" s="95">
        <f t="shared" si="1"/>
        <v>0.57675</v>
      </c>
    </row>
    <row r="622">
      <c r="A622" s="84" t="s">
        <v>3077</v>
      </c>
      <c r="B622" s="87">
        <v>20.0</v>
      </c>
      <c r="C622" s="87">
        <v>0.0</v>
      </c>
      <c r="D622" s="84" t="s">
        <v>3415</v>
      </c>
      <c r="E622" s="94">
        <v>0.0</v>
      </c>
      <c r="F622" s="95">
        <f t="shared" si="1"/>
        <v>0</v>
      </c>
    </row>
    <row r="623">
      <c r="A623" s="84" t="s">
        <v>1915</v>
      </c>
      <c r="B623" s="87">
        <v>3.0</v>
      </c>
      <c r="C623" s="87">
        <v>3.0</v>
      </c>
      <c r="D623" s="84" t="s">
        <v>3415</v>
      </c>
      <c r="E623" s="94">
        <v>1.0</v>
      </c>
      <c r="F623" s="95">
        <f t="shared" si="1"/>
        <v>0.75</v>
      </c>
    </row>
    <row r="624">
      <c r="A624" s="84" t="s">
        <v>1918</v>
      </c>
      <c r="B624" s="87">
        <v>7.0</v>
      </c>
      <c r="C624" s="87">
        <v>4.0</v>
      </c>
      <c r="D624" s="84" t="s">
        <v>3415</v>
      </c>
      <c r="E624" s="94">
        <v>0.571</v>
      </c>
      <c r="F624" s="95">
        <f t="shared" si="1"/>
        <v>0.42825</v>
      </c>
    </row>
    <row r="625">
      <c r="A625" s="84" t="s">
        <v>1919</v>
      </c>
      <c r="B625" s="87">
        <v>5.0</v>
      </c>
      <c r="C625" s="87">
        <v>4.0</v>
      </c>
      <c r="D625" s="84" t="s">
        <v>3415</v>
      </c>
      <c r="E625" s="94">
        <v>0.8</v>
      </c>
      <c r="F625" s="95">
        <f t="shared" si="1"/>
        <v>0.6</v>
      </c>
    </row>
    <row r="626">
      <c r="A626" s="84" t="s">
        <v>1920</v>
      </c>
      <c r="B626" s="87">
        <v>9.0</v>
      </c>
      <c r="C626" s="87">
        <v>4.0</v>
      </c>
      <c r="D626" s="84" t="s">
        <v>3415</v>
      </c>
      <c r="E626" s="94">
        <v>0.444</v>
      </c>
      <c r="F626" s="95">
        <f t="shared" si="1"/>
        <v>0.333</v>
      </c>
    </row>
    <row r="627">
      <c r="A627" s="84" t="s">
        <v>1921</v>
      </c>
      <c r="B627" s="87">
        <v>46.0</v>
      </c>
      <c r="C627" s="87">
        <v>35.0</v>
      </c>
      <c r="D627" s="84" t="s">
        <v>3415</v>
      </c>
      <c r="E627" s="94">
        <v>0.761</v>
      </c>
      <c r="F627" s="95">
        <f t="shared" si="1"/>
        <v>0.57075</v>
      </c>
    </row>
    <row r="628">
      <c r="A628" s="84" t="s">
        <v>3317</v>
      </c>
      <c r="B628" s="87">
        <v>3.0</v>
      </c>
      <c r="C628" s="87">
        <v>2.0</v>
      </c>
      <c r="D628" s="84" t="s">
        <v>3415</v>
      </c>
      <c r="E628" s="94">
        <v>0.667</v>
      </c>
      <c r="F628" s="95">
        <f t="shared" si="1"/>
        <v>0.50025</v>
      </c>
    </row>
    <row r="629">
      <c r="A629" s="84" t="s">
        <v>1922</v>
      </c>
      <c r="B629" s="87">
        <v>75.0</v>
      </c>
      <c r="C629" s="87">
        <v>52.0</v>
      </c>
      <c r="D629" s="84" t="s">
        <v>3414</v>
      </c>
      <c r="E629" s="94">
        <v>0.693</v>
      </c>
      <c r="F629" s="95">
        <f t="shared" si="1"/>
        <v>0.3465</v>
      </c>
    </row>
    <row r="630">
      <c r="A630" s="84" t="s">
        <v>2378</v>
      </c>
      <c r="B630" s="87">
        <v>0.0</v>
      </c>
      <c r="C630" s="87">
        <v>0.0</v>
      </c>
      <c r="D630" s="84" t="s">
        <v>3412</v>
      </c>
      <c r="E630" s="92" t="s">
        <v>3413</v>
      </c>
      <c r="F630" s="93" t="str">
        <f t="shared" si="1"/>
        <v>Not Applicable</v>
      </c>
    </row>
    <row r="631">
      <c r="A631" s="84" t="s">
        <v>2560</v>
      </c>
      <c r="B631" s="87">
        <v>4.0</v>
      </c>
      <c r="C631" s="87">
        <v>4.0</v>
      </c>
      <c r="D631" s="84" t="s">
        <v>3415</v>
      </c>
      <c r="E631" s="94">
        <v>1.0</v>
      </c>
      <c r="F631" s="95">
        <f t="shared" si="1"/>
        <v>0.75</v>
      </c>
    </row>
    <row r="632">
      <c r="A632" s="84" t="s">
        <v>2561</v>
      </c>
      <c r="B632" s="87">
        <v>30.0</v>
      </c>
      <c r="C632" s="87">
        <v>26.0</v>
      </c>
      <c r="D632" s="84" t="s">
        <v>3415</v>
      </c>
      <c r="E632" s="94">
        <v>0.867</v>
      </c>
      <c r="F632" s="95">
        <f t="shared" si="1"/>
        <v>0.65025</v>
      </c>
    </row>
    <row r="633">
      <c r="A633" s="84" t="s">
        <v>2562</v>
      </c>
      <c r="B633" s="87">
        <v>50.0</v>
      </c>
      <c r="C633" s="87">
        <v>44.0</v>
      </c>
      <c r="D633" s="84" t="s">
        <v>3414</v>
      </c>
      <c r="E633" s="94">
        <v>0.88</v>
      </c>
      <c r="F633" s="95">
        <f t="shared" si="1"/>
        <v>0.44</v>
      </c>
    </row>
    <row r="634">
      <c r="A634" s="84" t="s">
        <v>3114</v>
      </c>
      <c r="B634" s="87">
        <v>12.0</v>
      </c>
      <c r="C634" s="87">
        <v>7.0</v>
      </c>
      <c r="D634" s="84" t="s">
        <v>3415</v>
      </c>
      <c r="E634" s="94">
        <v>0.583</v>
      </c>
      <c r="F634" s="95">
        <f t="shared" si="1"/>
        <v>0.43725</v>
      </c>
    </row>
    <row r="635">
      <c r="A635" s="84" t="s">
        <v>3115</v>
      </c>
      <c r="B635" s="87">
        <v>24.0</v>
      </c>
      <c r="C635" s="87">
        <v>15.0</v>
      </c>
      <c r="D635" s="84" t="s">
        <v>3415</v>
      </c>
      <c r="E635" s="94">
        <v>0.625</v>
      </c>
      <c r="F635" s="95">
        <f t="shared" si="1"/>
        <v>0.46875</v>
      </c>
    </row>
    <row r="636">
      <c r="A636" s="84" t="s">
        <v>3116</v>
      </c>
      <c r="B636" s="87">
        <v>20.0</v>
      </c>
      <c r="C636" s="87">
        <v>12.0</v>
      </c>
      <c r="D636" s="84" t="s">
        <v>3415</v>
      </c>
      <c r="E636" s="94">
        <v>0.6</v>
      </c>
      <c r="F636" s="95">
        <f t="shared" si="1"/>
        <v>0.45</v>
      </c>
    </row>
    <row r="637">
      <c r="A637" s="84" t="s">
        <v>3117</v>
      </c>
      <c r="B637" s="87">
        <v>25.0</v>
      </c>
      <c r="C637" s="87">
        <v>17.0</v>
      </c>
      <c r="D637" s="84" t="s">
        <v>3415</v>
      </c>
      <c r="E637" s="94">
        <v>0.68</v>
      </c>
      <c r="F637" s="95">
        <f t="shared" si="1"/>
        <v>0.51</v>
      </c>
    </row>
    <row r="638">
      <c r="A638" s="84" t="s">
        <v>3118</v>
      </c>
      <c r="B638" s="87">
        <v>9.0</v>
      </c>
      <c r="C638" s="87">
        <v>6.0</v>
      </c>
      <c r="D638" s="84" t="s">
        <v>3415</v>
      </c>
      <c r="E638" s="94">
        <v>0.667</v>
      </c>
      <c r="F638" s="95">
        <f t="shared" si="1"/>
        <v>0.50025</v>
      </c>
    </row>
    <row r="639">
      <c r="A639" s="84" t="s">
        <v>3119</v>
      </c>
      <c r="B639" s="87">
        <v>8.0</v>
      </c>
      <c r="C639" s="87">
        <v>0.0</v>
      </c>
      <c r="D639" s="84" t="s">
        <v>3415</v>
      </c>
      <c r="E639" s="94">
        <v>0.0</v>
      </c>
      <c r="F639" s="95">
        <f t="shared" si="1"/>
        <v>0</v>
      </c>
    </row>
    <row r="640">
      <c r="A640" s="84" t="s">
        <v>3036</v>
      </c>
      <c r="B640" s="87">
        <v>37.0</v>
      </c>
      <c r="C640" s="87">
        <v>29.0</v>
      </c>
      <c r="D640" s="84" t="s">
        <v>3414</v>
      </c>
      <c r="E640" s="94">
        <v>0.784</v>
      </c>
      <c r="F640" s="95">
        <f t="shared" si="1"/>
        <v>0.392</v>
      </c>
    </row>
    <row r="641">
      <c r="A641" s="84" t="s">
        <v>3038</v>
      </c>
      <c r="B641" s="87">
        <v>3.0</v>
      </c>
      <c r="C641" s="87">
        <v>3.0</v>
      </c>
      <c r="D641" s="84" t="s">
        <v>3415</v>
      </c>
      <c r="E641" s="94">
        <v>1.0</v>
      </c>
      <c r="F641" s="95">
        <f t="shared" si="1"/>
        <v>0.75</v>
      </c>
    </row>
    <row r="642">
      <c r="A642" s="84" t="s">
        <v>3040</v>
      </c>
      <c r="B642" s="87">
        <v>37.0</v>
      </c>
      <c r="C642" s="87">
        <v>29.0</v>
      </c>
      <c r="D642" s="84" t="s">
        <v>3414</v>
      </c>
      <c r="E642" s="94">
        <v>0.784</v>
      </c>
      <c r="F642" s="95">
        <f t="shared" si="1"/>
        <v>0.392</v>
      </c>
    </row>
    <row r="643">
      <c r="A643" s="84" t="s">
        <v>3042</v>
      </c>
      <c r="B643" s="87">
        <v>22.0</v>
      </c>
      <c r="C643" s="87">
        <v>16.0</v>
      </c>
      <c r="D643" s="84" t="s">
        <v>3416</v>
      </c>
      <c r="E643" s="94">
        <v>0.727</v>
      </c>
      <c r="F643" s="93">
        <f t="shared" si="1"/>
        <v>0.727</v>
      </c>
    </row>
    <row r="644">
      <c r="A644" s="84" t="s">
        <v>3044</v>
      </c>
      <c r="B644" s="87">
        <v>37.0</v>
      </c>
      <c r="C644" s="87">
        <v>29.0</v>
      </c>
      <c r="D644" s="84" t="s">
        <v>3414</v>
      </c>
      <c r="E644" s="94">
        <v>0.784</v>
      </c>
      <c r="F644" s="95">
        <f t="shared" si="1"/>
        <v>0.392</v>
      </c>
    </row>
    <row r="645">
      <c r="A645" s="84" t="s">
        <v>3310</v>
      </c>
      <c r="B645" s="87">
        <v>0.0</v>
      </c>
      <c r="C645" s="87">
        <v>0.0</v>
      </c>
      <c r="D645" s="84" t="s">
        <v>3412</v>
      </c>
      <c r="E645" s="92" t="s">
        <v>3413</v>
      </c>
      <c r="F645" s="93" t="str">
        <f t="shared" si="1"/>
        <v>Not Applicable</v>
      </c>
    </row>
    <row r="646">
      <c r="A646" s="84" t="s">
        <v>2509</v>
      </c>
      <c r="B646" s="87">
        <v>117.0</v>
      </c>
      <c r="C646" s="87">
        <v>64.0</v>
      </c>
      <c r="D646" s="84" t="s">
        <v>3414</v>
      </c>
      <c r="E646" s="94">
        <v>0.547</v>
      </c>
      <c r="F646" s="95">
        <f t="shared" si="1"/>
        <v>0.2735</v>
      </c>
    </row>
    <row r="647">
      <c r="A647" s="84" t="s">
        <v>2510</v>
      </c>
      <c r="B647" s="87">
        <v>8.0</v>
      </c>
      <c r="C647" s="87">
        <v>6.0</v>
      </c>
      <c r="D647" s="84" t="s">
        <v>3415</v>
      </c>
      <c r="E647" s="94">
        <v>0.75</v>
      </c>
      <c r="F647" s="95">
        <f t="shared" si="1"/>
        <v>0.5625</v>
      </c>
    </row>
    <row r="648">
      <c r="A648" s="84" t="s">
        <v>2511</v>
      </c>
      <c r="B648" s="87">
        <v>15.0</v>
      </c>
      <c r="C648" s="87">
        <v>9.0</v>
      </c>
      <c r="D648" s="84" t="s">
        <v>3415</v>
      </c>
      <c r="E648" s="94">
        <v>0.6</v>
      </c>
      <c r="F648" s="95">
        <f t="shared" si="1"/>
        <v>0.45</v>
      </c>
    </row>
    <row r="649">
      <c r="A649" s="84" t="s">
        <v>2512</v>
      </c>
      <c r="B649" s="87">
        <v>13.0</v>
      </c>
      <c r="C649" s="87">
        <v>7.0</v>
      </c>
      <c r="D649" s="84" t="s">
        <v>3415</v>
      </c>
      <c r="E649" s="94">
        <v>0.538</v>
      </c>
      <c r="F649" s="95">
        <f t="shared" si="1"/>
        <v>0.4035</v>
      </c>
    </row>
    <row r="650">
      <c r="A650" s="84" t="s">
        <v>2513</v>
      </c>
      <c r="B650" s="87">
        <v>10.0</v>
      </c>
      <c r="C650" s="87">
        <v>7.0</v>
      </c>
      <c r="D650" s="84" t="s">
        <v>3416</v>
      </c>
      <c r="E650" s="94">
        <v>0.7</v>
      </c>
      <c r="F650" s="93">
        <f t="shared" si="1"/>
        <v>0.7</v>
      </c>
    </row>
    <row r="651">
      <c r="A651" s="84" t="s">
        <v>2514</v>
      </c>
      <c r="B651" s="87">
        <v>4.0</v>
      </c>
      <c r="C651" s="87">
        <v>3.0</v>
      </c>
      <c r="D651" s="84" t="s">
        <v>3415</v>
      </c>
      <c r="E651" s="94">
        <v>0.75</v>
      </c>
      <c r="F651" s="95">
        <f t="shared" si="1"/>
        <v>0.5625</v>
      </c>
    </row>
    <row r="652">
      <c r="A652" s="84" t="s">
        <v>2515</v>
      </c>
      <c r="B652" s="87">
        <v>24.0</v>
      </c>
      <c r="C652" s="87">
        <v>0.0</v>
      </c>
      <c r="D652" s="84" t="s">
        <v>3416</v>
      </c>
      <c r="E652" s="94">
        <v>0.0</v>
      </c>
      <c r="F652" s="93">
        <f t="shared" si="1"/>
        <v>0</v>
      </c>
    </row>
    <row r="653">
      <c r="A653" s="84" t="s">
        <v>3373</v>
      </c>
      <c r="B653" s="87">
        <v>0.0</v>
      </c>
      <c r="C653" s="87">
        <v>0.0</v>
      </c>
      <c r="D653" s="84" t="s">
        <v>3412</v>
      </c>
      <c r="E653" s="92" t="s">
        <v>3413</v>
      </c>
      <c r="F653" s="93" t="str">
        <f t="shared" si="1"/>
        <v>Not Applicable</v>
      </c>
    </row>
    <row r="654">
      <c r="A654" s="84" t="s">
        <v>1609</v>
      </c>
      <c r="B654" s="87">
        <v>4.0</v>
      </c>
      <c r="C654" s="87">
        <v>4.0</v>
      </c>
      <c r="D654" s="84" t="s">
        <v>3415</v>
      </c>
      <c r="E654" s="94">
        <v>1.0</v>
      </c>
      <c r="F654" s="95">
        <f t="shared" si="1"/>
        <v>0.75</v>
      </c>
    </row>
    <row r="655">
      <c r="A655" s="84" t="s">
        <v>1610</v>
      </c>
      <c r="B655" s="87">
        <v>3.0</v>
      </c>
      <c r="C655" s="87">
        <v>3.0</v>
      </c>
      <c r="D655" s="84" t="s">
        <v>3415</v>
      </c>
      <c r="E655" s="94">
        <v>1.0</v>
      </c>
      <c r="F655" s="95">
        <f t="shared" si="1"/>
        <v>0.75</v>
      </c>
    </row>
    <row r="656">
      <c r="A656" s="84" t="s">
        <v>1611</v>
      </c>
      <c r="B656" s="87">
        <v>7.0</v>
      </c>
      <c r="C656" s="87">
        <v>5.0</v>
      </c>
      <c r="D656" s="84" t="s">
        <v>3416</v>
      </c>
      <c r="E656" s="94">
        <v>0.714</v>
      </c>
      <c r="F656" s="93">
        <f t="shared" si="1"/>
        <v>0.714</v>
      </c>
    </row>
    <row r="657">
      <c r="A657" s="84" t="s">
        <v>1612</v>
      </c>
      <c r="B657" s="87">
        <v>37.0</v>
      </c>
      <c r="C657" s="87">
        <v>0.0</v>
      </c>
      <c r="D657" s="84" t="s">
        <v>3415</v>
      </c>
      <c r="E657" s="94">
        <v>0.0</v>
      </c>
      <c r="F657" s="95">
        <f t="shared" si="1"/>
        <v>0</v>
      </c>
    </row>
    <row r="658">
      <c r="A658" s="84" t="s">
        <v>2826</v>
      </c>
      <c r="B658" s="87">
        <v>0.0</v>
      </c>
      <c r="C658" s="87">
        <v>0.0</v>
      </c>
      <c r="D658" s="84" t="s">
        <v>3412</v>
      </c>
      <c r="E658" s="92" t="s">
        <v>3413</v>
      </c>
      <c r="F658" s="93" t="str">
        <f t="shared" si="1"/>
        <v>Not Applicable</v>
      </c>
    </row>
    <row r="659">
      <c r="A659" s="84" t="s">
        <v>2830</v>
      </c>
      <c r="B659" s="87">
        <v>0.0</v>
      </c>
      <c r="C659" s="87">
        <v>0.0</v>
      </c>
      <c r="D659" s="84" t="s">
        <v>3412</v>
      </c>
      <c r="E659" s="92" t="s">
        <v>3413</v>
      </c>
      <c r="F659" s="93" t="str">
        <f t="shared" si="1"/>
        <v>Not Applicable</v>
      </c>
    </row>
    <row r="660">
      <c r="A660" s="84" t="s">
        <v>2516</v>
      </c>
      <c r="B660" s="87">
        <v>117.0</v>
      </c>
      <c r="C660" s="87">
        <v>64.0</v>
      </c>
      <c r="D660" s="84" t="s">
        <v>3414</v>
      </c>
      <c r="E660" s="94">
        <v>0.547</v>
      </c>
      <c r="F660" s="95">
        <f t="shared" si="1"/>
        <v>0.2735</v>
      </c>
    </row>
    <row r="661">
      <c r="A661" s="84" t="s">
        <v>2518</v>
      </c>
      <c r="B661" s="87">
        <v>8.0</v>
      </c>
      <c r="C661" s="87">
        <v>6.0</v>
      </c>
      <c r="D661" s="84" t="s">
        <v>3415</v>
      </c>
      <c r="E661" s="94">
        <v>0.75</v>
      </c>
      <c r="F661" s="95">
        <f t="shared" si="1"/>
        <v>0.5625</v>
      </c>
    </row>
    <row r="662">
      <c r="A662" s="84" t="s">
        <v>2519</v>
      </c>
      <c r="B662" s="87">
        <v>15.0</v>
      </c>
      <c r="C662" s="87">
        <v>9.0</v>
      </c>
      <c r="D662" s="84" t="s">
        <v>3415</v>
      </c>
      <c r="E662" s="94">
        <v>0.6</v>
      </c>
      <c r="F662" s="95">
        <f t="shared" si="1"/>
        <v>0.45</v>
      </c>
    </row>
    <row r="663">
      <c r="A663" s="84" t="s">
        <v>2520</v>
      </c>
      <c r="B663" s="87">
        <v>13.0</v>
      </c>
      <c r="C663" s="87">
        <v>7.0</v>
      </c>
      <c r="D663" s="84" t="s">
        <v>3415</v>
      </c>
      <c r="E663" s="94">
        <v>0.538</v>
      </c>
      <c r="F663" s="95">
        <f t="shared" si="1"/>
        <v>0.4035</v>
      </c>
    </row>
    <row r="664">
      <c r="A664" s="84" t="s">
        <v>2521</v>
      </c>
      <c r="B664" s="87">
        <v>51.0</v>
      </c>
      <c r="C664" s="87">
        <v>38.0</v>
      </c>
      <c r="D664" s="84" t="s">
        <v>3415</v>
      </c>
      <c r="E664" s="94">
        <v>0.745</v>
      </c>
      <c r="F664" s="95">
        <f t="shared" si="1"/>
        <v>0.55875</v>
      </c>
    </row>
    <row r="665">
      <c r="A665" s="84" t="s">
        <v>2522</v>
      </c>
      <c r="B665" s="87">
        <v>4.0</v>
      </c>
      <c r="C665" s="87">
        <v>3.0</v>
      </c>
      <c r="D665" s="84" t="s">
        <v>3415</v>
      </c>
      <c r="E665" s="94">
        <v>0.75</v>
      </c>
      <c r="F665" s="95">
        <f t="shared" si="1"/>
        <v>0.5625</v>
      </c>
    </row>
    <row r="666">
      <c r="A666" s="84" t="s">
        <v>2523</v>
      </c>
      <c r="B666" s="87">
        <v>25.0</v>
      </c>
      <c r="C666" s="87">
        <v>0.0</v>
      </c>
      <c r="D666" s="84" t="s">
        <v>3415</v>
      </c>
      <c r="E666" s="94">
        <v>0.0</v>
      </c>
      <c r="F666" s="95">
        <f t="shared" si="1"/>
        <v>0</v>
      </c>
    </row>
    <row r="667">
      <c r="A667" s="84" t="s">
        <v>3375</v>
      </c>
      <c r="B667" s="87">
        <v>0.0</v>
      </c>
      <c r="C667" s="87">
        <v>0.0</v>
      </c>
      <c r="D667" s="84" t="s">
        <v>3412</v>
      </c>
      <c r="E667" s="92" t="s">
        <v>3413</v>
      </c>
      <c r="F667" s="93" t="str">
        <f t="shared" si="1"/>
        <v>Not Applicable</v>
      </c>
    </row>
    <row r="668">
      <c r="A668" s="84" t="s">
        <v>3377</v>
      </c>
      <c r="B668" s="87">
        <v>0.0</v>
      </c>
      <c r="C668" s="87">
        <v>0.0</v>
      </c>
      <c r="D668" s="84" t="s">
        <v>3412</v>
      </c>
      <c r="E668" s="92" t="s">
        <v>3413</v>
      </c>
      <c r="F668" s="93" t="str">
        <f t="shared" si="1"/>
        <v>Not Applicable</v>
      </c>
    </row>
    <row r="669">
      <c r="A669" s="84" t="s">
        <v>2320</v>
      </c>
      <c r="B669" s="87">
        <v>7.0</v>
      </c>
      <c r="C669" s="87">
        <v>0.0</v>
      </c>
      <c r="D669" s="84" t="s">
        <v>3414</v>
      </c>
      <c r="E669" s="94">
        <v>0.0</v>
      </c>
      <c r="F669" s="95">
        <f t="shared" si="1"/>
        <v>0</v>
      </c>
    </row>
    <row r="670">
      <c r="A670" s="84" t="s">
        <v>2324</v>
      </c>
      <c r="B670" s="87">
        <v>5.0</v>
      </c>
      <c r="C670" s="87">
        <v>0.0</v>
      </c>
      <c r="D670" s="84" t="s">
        <v>3416</v>
      </c>
      <c r="E670" s="94">
        <v>0.0</v>
      </c>
      <c r="F670" s="93">
        <f t="shared" si="1"/>
        <v>0</v>
      </c>
    </row>
    <row r="671">
      <c r="A671" s="84" t="s">
        <v>2326</v>
      </c>
      <c r="B671" s="87">
        <v>7.0</v>
      </c>
      <c r="C671" s="87">
        <v>0.0</v>
      </c>
      <c r="D671" s="84" t="s">
        <v>3414</v>
      </c>
      <c r="E671" s="94">
        <v>0.0</v>
      </c>
      <c r="F671" s="95">
        <f t="shared" si="1"/>
        <v>0</v>
      </c>
    </row>
    <row r="672">
      <c r="A672" s="84" t="s">
        <v>2999</v>
      </c>
      <c r="B672" s="87">
        <v>9.0</v>
      </c>
      <c r="C672" s="87">
        <v>4.0</v>
      </c>
      <c r="D672" s="84" t="s">
        <v>3415</v>
      </c>
      <c r="E672" s="94">
        <v>0.444</v>
      </c>
      <c r="F672" s="95">
        <f t="shared" si="1"/>
        <v>0.333</v>
      </c>
    </row>
    <row r="673">
      <c r="A673" s="84" t="s">
        <v>3001</v>
      </c>
      <c r="B673" s="87">
        <v>11.0</v>
      </c>
      <c r="C673" s="87">
        <v>5.0</v>
      </c>
      <c r="D673" s="84" t="s">
        <v>3415</v>
      </c>
      <c r="E673" s="94">
        <v>0.455</v>
      </c>
      <c r="F673" s="95">
        <f t="shared" si="1"/>
        <v>0.34125</v>
      </c>
    </row>
    <row r="674">
      <c r="A674" s="84" t="s">
        <v>3388</v>
      </c>
      <c r="B674" s="87">
        <v>5.0</v>
      </c>
      <c r="C674" s="87">
        <v>1.0</v>
      </c>
      <c r="D674" s="84" t="s">
        <v>3415</v>
      </c>
      <c r="E674" s="94">
        <v>0.2</v>
      </c>
      <c r="F674" s="95">
        <f t="shared" si="1"/>
        <v>0.15</v>
      </c>
    </row>
    <row r="675">
      <c r="A675" s="84" t="s">
        <v>3389</v>
      </c>
      <c r="B675" s="87">
        <v>34.0</v>
      </c>
      <c r="C675" s="87">
        <v>16.0</v>
      </c>
      <c r="D675" s="84" t="s">
        <v>3414</v>
      </c>
      <c r="E675" s="94">
        <v>0.471</v>
      </c>
      <c r="F675" s="95">
        <f t="shared" si="1"/>
        <v>0.2355</v>
      </c>
    </row>
    <row r="676">
      <c r="A676" s="84" t="s">
        <v>3002</v>
      </c>
      <c r="B676" s="87">
        <v>5.0</v>
      </c>
      <c r="C676" s="87">
        <v>2.0</v>
      </c>
      <c r="D676" s="84" t="s">
        <v>3415</v>
      </c>
      <c r="E676" s="94">
        <v>0.4</v>
      </c>
      <c r="F676" s="95">
        <f t="shared" si="1"/>
        <v>0.3</v>
      </c>
    </row>
    <row r="677">
      <c r="A677" s="84" t="s">
        <v>3120</v>
      </c>
      <c r="B677" s="87">
        <v>12.0</v>
      </c>
      <c r="C677" s="87">
        <v>7.0</v>
      </c>
      <c r="D677" s="84" t="s">
        <v>3415</v>
      </c>
      <c r="E677" s="94">
        <v>0.583</v>
      </c>
      <c r="F677" s="95">
        <f t="shared" si="1"/>
        <v>0.43725</v>
      </c>
    </row>
    <row r="678">
      <c r="A678" s="84" t="s">
        <v>2996</v>
      </c>
      <c r="B678" s="87">
        <v>7.0</v>
      </c>
      <c r="C678" s="87">
        <v>5.0</v>
      </c>
      <c r="D678" s="84" t="s">
        <v>3416</v>
      </c>
      <c r="E678" s="94">
        <v>0.714</v>
      </c>
      <c r="F678" s="93">
        <f t="shared" si="1"/>
        <v>0.714</v>
      </c>
    </row>
    <row r="679">
      <c r="A679" s="84" t="s">
        <v>2996</v>
      </c>
      <c r="B679" s="87">
        <v>7.0</v>
      </c>
      <c r="C679" s="87">
        <v>5.0</v>
      </c>
      <c r="D679" s="84" t="s">
        <v>3416</v>
      </c>
      <c r="E679" s="94">
        <v>0.714</v>
      </c>
      <c r="F679" s="93">
        <f t="shared" si="1"/>
        <v>0.714</v>
      </c>
    </row>
    <row r="680">
      <c r="A680" s="84" t="s">
        <v>3121</v>
      </c>
      <c r="B680" s="87">
        <v>5.0</v>
      </c>
      <c r="C680" s="87">
        <v>3.0</v>
      </c>
      <c r="D680" s="84" t="s">
        <v>3416</v>
      </c>
      <c r="E680" s="94">
        <v>0.6</v>
      </c>
      <c r="F680" s="93">
        <f t="shared" si="1"/>
        <v>0.6</v>
      </c>
    </row>
    <row r="681">
      <c r="A681" s="84" t="s">
        <v>3122</v>
      </c>
      <c r="B681" s="87">
        <v>11.0</v>
      </c>
      <c r="C681" s="87">
        <v>10.0</v>
      </c>
      <c r="D681" s="84" t="s">
        <v>3415</v>
      </c>
      <c r="E681" s="94">
        <v>0.909</v>
      </c>
      <c r="F681" s="95">
        <f t="shared" si="1"/>
        <v>0.68175</v>
      </c>
    </row>
    <row r="682">
      <c r="A682" s="84" t="s">
        <v>3032</v>
      </c>
      <c r="B682" s="87">
        <v>25.0</v>
      </c>
      <c r="C682" s="87">
        <v>17.0</v>
      </c>
      <c r="D682" s="84" t="s">
        <v>3415</v>
      </c>
      <c r="E682" s="94">
        <v>0.68</v>
      </c>
      <c r="F682" s="95">
        <f t="shared" si="1"/>
        <v>0.51</v>
      </c>
    </row>
    <row r="683">
      <c r="A683" s="84" t="s">
        <v>2997</v>
      </c>
      <c r="B683" s="87">
        <v>5.0</v>
      </c>
      <c r="C683" s="87">
        <v>2.0</v>
      </c>
      <c r="D683" s="84" t="s">
        <v>3415</v>
      </c>
      <c r="E683" s="94">
        <v>0.4</v>
      </c>
      <c r="F683" s="95">
        <f t="shared" si="1"/>
        <v>0.3</v>
      </c>
    </row>
    <row r="684">
      <c r="A684" s="84" t="s">
        <v>2997</v>
      </c>
      <c r="B684" s="87">
        <v>9.0</v>
      </c>
      <c r="C684" s="87">
        <v>6.0</v>
      </c>
      <c r="D684" s="84" t="s">
        <v>3415</v>
      </c>
      <c r="E684" s="94">
        <v>0.667</v>
      </c>
      <c r="F684" s="95">
        <f t="shared" si="1"/>
        <v>0.50025</v>
      </c>
    </row>
    <row r="685">
      <c r="A685" s="84" t="s">
        <v>2998</v>
      </c>
      <c r="B685" s="87">
        <v>34.0</v>
      </c>
      <c r="C685" s="87">
        <v>16.0</v>
      </c>
      <c r="D685" s="84" t="s">
        <v>3414</v>
      </c>
      <c r="E685" s="94">
        <v>0.471</v>
      </c>
      <c r="F685" s="95">
        <f t="shared" si="1"/>
        <v>0.2355</v>
      </c>
    </row>
    <row r="686">
      <c r="A686" s="84" t="s">
        <v>2998</v>
      </c>
      <c r="B686" s="87">
        <v>8.0</v>
      </c>
      <c r="C686" s="87">
        <v>0.0</v>
      </c>
      <c r="D686" s="84" t="s">
        <v>3415</v>
      </c>
      <c r="E686" s="94">
        <v>0.0</v>
      </c>
      <c r="F686" s="95">
        <f t="shared" si="1"/>
        <v>0</v>
      </c>
    </row>
    <row r="687">
      <c r="A687" s="84" t="s">
        <v>1923</v>
      </c>
      <c r="B687" s="87">
        <v>75.0</v>
      </c>
      <c r="C687" s="87">
        <v>52.0</v>
      </c>
      <c r="D687" s="84" t="s">
        <v>3414</v>
      </c>
      <c r="E687" s="94">
        <v>0.693</v>
      </c>
      <c r="F687" s="95">
        <f t="shared" si="1"/>
        <v>0.3465</v>
      </c>
    </row>
    <row r="688">
      <c r="A688" s="84" t="s">
        <v>2275</v>
      </c>
      <c r="B688" s="87">
        <v>14.0</v>
      </c>
      <c r="C688" s="87">
        <v>8.0</v>
      </c>
      <c r="D688" s="84" t="s">
        <v>3414</v>
      </c>
      <c r="E688" s="94">
        <v>0.571</v>
      </c>
      <c r="F688" s="95">
        <f t="shared" si="1"/>
        <v>0.2855</v>
      </c>
    </row>
    <row r="689">
      <c r="A689" s="84" t="s">
        <v>2277</v>
      </c>
      <c r="B689" s="87">
        <v>4.0</v>
      </c>
      <c r="C689" s="87">
        <v>2.0</v>
      </c>
      <c r="D689" s="84" t="s">
        <v>3415</v>
      </c>
      <c r="E689" s="94">
        <v>0.5</v>
      </c>
      <c r="F689" s="95">
        <f t="shared" si="1"/>
        <v>0.375</v>
      </c>
    </row>
    <row r="690">
      <c r="A690" s="84" t="s">
        <v>2278</v>
      </c>
      <c r="B690" s="87">
        <v>14.0</v>
      </c>
      <c r="C690" s="87">
        <v>8.0</v>
      </c>
      <c r="D690" s="84" t="s">
        <v>3414</v>
      </c>
      <c r="E690" s="94">
        <v>0.571</v>
      </c>
      <c r="F690" s="95">
        <f t="shared" si="1"/>
        <v>0.2855</v>
      </c>
    </row>
    <row r="691">
      <c r="A691" s="84" t="s">
        <v>2429</v>
      </c>
      <c r="B691" s="87">
        <v>88.0</v>
      </c>
      <c r="C691" s="87">
        <v>76.0</v>
      </c>
      <c r="D691" s="84" t="s">
        <v>3414</v>
      </c>
      <c r="E691" s="94">
        <v>0.864</v>
      </c>
      <c r="F691" s="95">
        <f t="shared" si="1"/>
        <v>0.432</v>
      </c>
    </row>
    <row r="692">
      <c r="A692" s="84" t="s">
        <v>2431</v>
      </c>
      <c r="B692" s="87">
        <v>11.0</v>
      </c>
      <c r="C692" s="87">
        <v>11.0</v>
      </c>
      <c r="D692" s="84" t="s">
        <v>3415</v>
      </c>
      <c r="E692" s="94">
        <v>1.0</v>
      </c>
      <c r="F692" s="95">
        <f t="shared" si="1"/>
        <v>0.75</v>
      </c>
    </row>
    <row r="693">
      <c r="A693" s="84" t="s">
        <v>2432</v>
      </c>
      <c r="B693" s="87">
        <v>10.0</v>
      </c>
      <c r="C693" s="87">
        <v>10.0</v>
      </c>
      <c r="D693" s="84" t="s">
        <v>3415</v>
      </c>
      <c r="E693" s="94">
        <v>1.0</v>
      </c>
      <c r="F693" s="95">
        <f t="shared" si="1"/>
        <v>0.75</v>
      </c>
    </row>
    <row r="694">
      <c r="A694" s="84" t="s">
        <v>2433</v>
      </c>
      <c r="B694" s="87">
        <v>10.0</v>
      </c>
      <c r="C694" s="87">
        <v>7.0</v>
      </c>
      <c r="D694" s="84" t="s">
        <v>3415</v>
      </c>
      <c r="E694" s="94">
        <v>0.7</v>
      </c>
      <c r="F694" s="95">
        <f t="shared" si="1"/>
        <v>0.525</v>
      </c>
    </row>
    <row r="695">
      <c r="A695" s="84" t="s">
        <v>2434</v>
      </c>
      <c r="B695" s="87">
        <v>88.0</v>
      </c>
      <c r="C695" s="87">
        <v>76.0</v>
      </c>
      <c r="D695" s="84" t="s">
        <v>3414</v>
      </c>
      <c r="E695" s="94">
        <v>0.864</v>
      </c>
      <c r="F695" s="95">
        <f t="shared" si="1"/>
        <v>0.432</v>
      </c>
    </row>
    <row r="696">
      <c r="A696" s="84" t="s">
        <v>2435</v>
      </c>
      <c r="B696" s="87">
        <v>88.0</v>
      </c>
      <c r="C696" s="87">
        <v>76.0</v>
      </c>
      <c r="D696" s="84" t="s">
        <v>3414</v>
      </c>
      <c r="E696" s="94">
        <v>0.864</v>
      </c>
      <c r="F696" s="95">
        <f t="shared" si="1"/>
        <v>0.432</v>
      </c>
    </row>
    <row r="697">
      <c r="A697" s="84" t="s">
        <v>2436</v>
      </c>
      <c r="B697" s="87">
        <v>5.0</v>
      </c>
      <c r="C697" s="87">
        <v>5.0</v>
      </c>
      <c r="D697" s="84" t="s">
        <v>3416</v>
      </c>
      <c r="E697" s="94">
        <v>1.0</v>
      </c>
      <c r="F697" s="93">
        <f t="shared" si="1"/>
        <v>1</v>
      </c>
    </row>
    <row r="698">
      <c r="A698" s="84" t="s">
        <v>2437</v>
      </c>
      <c r="B698" s="87">
        <v>5.0</v>
      </c>
      <c r="C698" s="87">
        <v>5.0</v>
      </c>
      <c r="D698" s="84" t="s">
        <v>3416</v>
      </c>
      <c r="E698" s="94">
        <v>1.0</v>
      </c>
      <c r="F698" s="93">
        <f t="shared" si="1"/>
        <v>1</v>
      </c>
    </row>
    <row r="699">
      <c r="A699" s="84" t="s">
        <v>2438</v>
      </c>
      <c r="B699" s="87">
        <v>3.0</v>
      </c>
      <c r="C699" s="87">
        <v>2.0</v>
      </c>
      <c r="D699" s="84" t="s">
        <v>3416</v>
      </c>
      <c r="E699" s="94">
        <v>0.667</v>
      </c>
      <c r="F699" s="93">
        <f t="shared" si="1"/>
        <v>0.667</v>
      </c>
    </row>
    <row r="700">
      <c r="A700" s="84" t="s">
        <v>2439</v>
      </c>
      <c r="B700" s="87">
        <v>6.0</v>
      </c>
      <c r="C700" s="87">
        <v>4.0</v>
      </c>
      <c r="D700" s="84" t="s">
        <v>3416</v>
      </c>
      <c r="E700" s="94">
        <v>0.667</v>
      </c>
      <c r="F700" s="93">
        <f t="shared" si="1"/>
        <v>0.667</v>
      </c>
    </row>
    <row r="701">
      <c r="A701" s="84" t="s">
        <v>2440</v>
      </c>
      <c r="B701" s="87">
        <v>3.0</v>
      </c>
      <c r="C701" s="87">
        <v>3.0</v>
      </c>
      <c r="D701" s="84" t="s">
        <v>3416</v>
      </c>
      <c r="E701" s="94">
        <v>1.0</v>
      </c>
      <c r="F701" s="93">
        <f t="shared" si="1"/>
        <v>1</v>
      </c>
    </row>
    <row r="702">
      <c r="A702" s="84" t="s">
        <v>2441</v>
      </c>
      <c r="B702" s="87">
        <v>88.0</v>
      </c>
      <c r="C702" s="87">
        <v>76.0</v>
      </c>
      <c r="D702" s="84" t="s">
        <v>3414</v>
      </c>
      <c r="E702" s="94">
        <v>0.864</v>
      </c>
      <c r="F702" s="95">
        <f t="shared" si="1"/>
        <v>0.432</v>
      </c>
    </row>
    <row r="703">
      <c r="A703" s="84" t="s">
        <v>1711</v>
      </c>
      <c r="B703" s="87">
        <v>26.0</v>
      </c>
      <c r="C703" s="87">
        <v>19.0</v>
      </c>
      <c r="D703" s="84" t="s">
        <v>3414</v>
      </c>
      <c r="E703" s="94">
        <v>0.731</v>
      </c>
      <c r="F703" s="95">
        <f t="shared" si="1"/>
        <v>0.3655</v>
      </c>
    </row>
    <row r="704">
      <c r="A704" s="84" t="s">
        <v>1712</v>
      </c>
      <c r="B704" s="87">
        <v>4.0</v>
      </c>
      <c r="C704" s="87">
        <v>4.0</v>
      </c>
      <c r="D704" s="84" t="s">
        <v>3415</v>
      </c>
      <c r="E704" s="94">
        <v>1.0</v>
      </c>
      <c r="F704" s="95">
        <f t="shared" si="1"/>
        <v>0.75</v>
      </c>
    </row>
    <row r="705">
      <c r="A705" s="84" t="s">
        <v>1713</v>
      </c>
      <c r="B705" s="87">
        <v>3.0</v>
      </c>
      <c r="C705" s="87">
        <v>1.0</v>
      </c>
      <c r="D705" s="84" t="s">
        <v>3416</v>
      </c>
      <c r="E705" s="94">
        <v>0.333</v>
      </c>
      <c r="F705" s="93">
        <f t="shared" si="1"/>
        <v>0.333</v>
      </c>
    </row>
    <row r="706">
      <c r="A706" s="84" t="s">
        <v>1714</v>
      </c>
      <c r="B706" s="87">
        <v>4.0</v>
      </c>
      <c r="C706" s="87">
        <v>1.0</v>
      </c>
      <c r="D706" s="84" t="s">
        <v>3415</v>
      </c>
      <c r="E706" s="94">
        <v>0.25</v>
      </c>
      <c r="F706" s="95">
        <f t="shared" si="1"/>
        <v>0.1875</v>
      </c>
    </row>
    <row r="707">
      <c r="A707" s="84" t="s">
        <v>1715</v>
      </c>
      <c r="B707" s="87">
        <v>5.0</v>
      </c>
      <c r="C707" s="87">
        <v>5.0</v>
      </c>
      <c r="D707" s="84" t="s">
        <v>3416</v>
      </c>
      <c r="E707" s="94">
        <v>1.0</v>
      </c>
      <c r="F707" s="93">
        <f t="shared" si="1"/>
        <v>1</v>
      </c>
    </row>
    <row r="708">
      <c r="A708" s="84" t="s">
        <v>1716</v>
      </c>
      <c r="B708" s="87">
        <v>4.0</v>
      </c>
      <c r="C708" s="87">
        <v>3.0</v>
      </c>
      <c r="D708" s="84" t="s">
        <v>3415</v>
      </c>
      <c r="E708" s="94">
        <v>0.75</v>
      </c>
      <c r="F708" s="95">
        <f t="shared" si="1"/>
        <v>0.5625</v>
      </c>
    </row>
    <row r="709">
      <c r="A709" s="84" t="s">
        <v>1717</v>
      </c>
      <c r="B709" s="87">
        <v>26.0</v>
      </c>
      <c r="C709" s="87">
        <v>19.0</v>
      </c>
      <c r="D709" s="84" t="s">
        <v>3414</v>
      </c>
      <c r="E709" s="94">
        <v>0.731</v>
      </c>
      <c r="F709" s="95">
        <f t="shared" si="1"/>
        <v>0.3655</v>
      </c>
    </row>
    <row r="710">
      <c r="A710" s="84" t="s">
        <v>2756</v>
      </c>
      <c r="B710" s="87">
        <v>0.0</v>
      </c>
      <c r="C710" s="87">
        <v>0.0</v>
      </c>
      <c r="D710" s="84" t="s">
        <v>3412</v>
      </c>
      <c r="E710" s="92" t="s">
        <v>3413</v>
      </c>
      <c r="F710" s="93" t="str">
        <f t="shared" si="1"/>
        <v>Not Applicable</v>
      </c>
    </row>
    <row r="711">
      <c r="A711" s="84" t="s">
        <v>3372</v>
      </c>
      <c r="B711" s="87">
        <v>0.0</v>
      </c>
      <c r="C711" s="87">
        <v>0.0</v>
      </c>
      <c r="D711" s="84" t="s">
        <v>3412</v>
      </c>
      <c r="E711" s="92" t="s">
        <v>3413</v>
      </c>
      <c r="F711" s="93" t="str">
        <f t="shared" si="1"/>
        <v>Not Applicable</v>
      </c>
    </row>
    <row r="712">
      <c r="A712" s="84" t="s">
        <v>2760</v>
      </c>
      <c r="B712" s="87">
        <v>0.0</v>
      </c>
      <c r="C712" s="87">
        <v>0.0</v>
      </c>
      <c r="D712" s="84" t="s">
        <v>3412</v>
      </c>
      <c r="E712" s="92" t="s">
        <v>3413</v>
      </c>
      <c r="F712" s="93" t="str">
        <f t="shared" si="1"/>
        <v>Not Applicable</v>
      </c>
    </row>
    <row r="713">
      <c r="A713" s="84" t="s">
        <v>1991</v>
      </c>
      <c r="B713" s="87">
        <v>33.0</v>
      </c>
      <c r="C713" s="87">
        <v>24.0</v>
      </c>
      <c r="D713" s="84" t="s">
        <v>3414</v>
      </c>
      <c r="E713" s="94">
        <v>0.727</v>
      </c>
      <c r="F713" s="95">
        <f t="shared" si="1"/>
        <v>0.3635</v>
      </c>
    </row>
    <row r="714">
      <c r="A714" s="84" t="s">
        <v>1992</v>
      </c>
      <c r="B714" s="87">
        <v>9.0</v>
      </c>
      <c r="C714" s="87">
        <v>6.0</v>
      </c>
      <c r="D714" s="84" t="s">
        <v>3415</v>
      </c>
      <c r="E714" s="94">
        <v>0.667</v>
      </c>
      <c r="F714" s="95">
        <f t="shared" si="1"/>
        <v>0.50025</v>
      </c>
    </row>
    <row r="715">
      <c r="A715" s="84" t="s">
        <v>1993</v>
      </c>
      <c r="B715" s="87">
        <v>5.0</v>
      </c>
      <c r="C715" s="87">
        <v>3.0</v>
      </c>
      <c r="D715" s="84" t="s">
        <v>3415</v>
      </c>
      <c r="E715" s="94">
        <v>0.6</v>
      </c>
      <c r="F715" s="95">
        <f t="shared" si="1"/>
        <v>0.45</v>
      </c>
    </row>
    <row r="716">
      <c r="A716" s="84" t="s">
        <v>1994</v>
      </c>
      <c r="B716" s="87">
        <v>4.0</v>
      </c>
      <c r="C716" s="87">
        <v>2.0</v>
      </c>
      <c r="D716" s="84" t="s">
        <v>3415</v>
      </c>
      <c r="E716" s="94">
        <v>0.5</v>
      </c>
      <c r="F716" s="95">
        <f t="shared" si="1"/>
        <v>0.375</v>
      </c>
    </row>
    <row r="717">
      <c r="A717" s="84" t="s">
        <v>3324</v>
      </c>
      <c r="B717" s="87">
        <v>33.0</v>
      </c>
      <c r="C717" s="87">
        <v>24.0</v>
      </c>
      <c r="D717" s="84" t="s">
        <v>3414</v>
      </c>
      <c r="E717" s="94">
        <v>0.727</v>
      </c>
      <c r="F717" s="95">
        <f t="shared" si="1"/>
        <v>0.3635</v>
      </c>
    </row>
    <row r="718">
      <c r="A718" s="84" t="s">
        <v>1995</v>
      </c>
      <c r="B718" s="87">
        <v>15.0</v>
      </c>
      <c r="C718" s="87">
        <v>13.0</v>
      </c>
      <c r="D718" s="84" t="s">
        <v>3415</v>
      </c>
      <c r="E718" s="94">
        <v>0.867</v>
      </c>
      <c r="F718" s="95">
        <f t="shared" si="1"/>
        <v>0.65025</v>
      </c>
    </row>
    <row r="719">
      <c r="A719" s="84" t="s">
        <v>1996</v>
      </c>
      <c r="B719" s="87">
        <v>33.0</v>
      </c>
      <c r="C719" s="87">
        <v>24.0</v>
      </c>
      <c r="D719" s="84" t="s">
        <v>3414</v>
      </c>
      <c r="E719" s="94">
        <v>0.727</v>
      </c>
      <c r="F719" s="95">
        <f t="shared" si="1"/>
        <v>0.3635</v>
      </c>
    </row>
    <row r="720">
      <c r="A720" s="84" t="s">
        <v>3357</v>
      </c>
      <c r="B720" s="87">
        <v>10.0</v>
      </c>
      <c r="C720" s="87">
        <v>7.0</v>
      </c>
      <c r="D720" s="84" t="s">
        <v>3415</v>
      </c>
      <c r="E720" s="94">
        <v>0.7</v>
      </c>
      <c r="F720" s="95">
        <f t="shared" si="1"/>
        <v>0.525</v>
      </c>
    </row>
    <row r="721">
      <c r="A721" s="84" t="s">
        <v>3248</v>
      </c>
      <c r="B721" s="87">
        <v>8.0</v>
      </c>
      <c r="C721" s="87">
        <v>8.0</v>
      </c>
      <c r="D721" s="84" t="s">
        <v>3414</v>
      </c>
      <c r="E721" s="94">
        <v>1.0</v>
      </c>
      <c r="F721" s="95">
        <f t="shared" si="1"/>
        <v>0.5</v>
      </c>
    </row>
    <row r="722">
      <c r="A722" s="84" t="s">
        <v>3398</v>
      </c>
      <c r="B722" s="87">
        <v>4.0</v>
      </c>
      <c r="C722" s="87">
        <v>4.0</v>
      </c>
      <c r="D722" s="84" t="s">
        <v>3415</v>
      </c>
      <c r="E722" s="94">
        <v>1.0</v>
      </c>
      <c r="F722" s="95">
        <f t="shared" si="1"/>
        <v>0.75</v>
      </c>
    </row>
    <row r="723">
      <c r="A723" s="84" t="s">
        <v>3243</v>
      </c>
      <c r="B723" s="87">
        <v>8.0</v>
      </c>
      <c r="C723" s="87">
        <v>8.0</v>
      </c>
      <c r="D723" s="84" t="s">
        <v>3414</v>
      </c>
      <c r="E723" s="94">
        <v>1.0</v>
      </c>
      <c r="F723" s="95">
        <f t="shared" si="1"/>
        <v>0.5</v>
      </c>
    </row>
    <row r="724">
      <c r="A724" s="84" t="s">
        <v>3246</v>
      </c>
      <c r="B724" s="87">
        <v>4.0</v>
      </c>
      <c r="C724" s="87">
        <v>4.0</v>
      </c>
      <c r="D724" s="84" t="s">
        <v>3415</v>
      </c>
      <c r="E724" s="94">
        <v>1.0</v>
      </c>
      <c r="F724" s="95">
        <f t="shared" si="1"/>
        <v>0.75</v>
      </c>
    </row>
    <row r="725">
      <c r="A725" s="84" t="s">
        <v>2761</v>
      </c>
      <c r="B725" s="87">
        <v>0.0</v>
      </c>
      <c r="C725" s="87">
        <v>0.0</v>
      </c>
      <c r="D725" s="84" t="s">
        <v>3412</v>
      </c>
      <c r="E725" s="92" t="s">
        <v>3413</v>
      </c>
      <c r="F725" s="93" t="str">
        <f t="shared" si="1"/>
        <v>Not Applicable</v>
      </c>
    </row>
    <row r="726">
      <c r="A726" s="84" t="s">
        <v>2764</v>
      </c>
      <c r="B726" s="87">
        <v>0.0</v>
      </c>
      <c r="C726" s="87">
        <v>0.0</v>
      </c>
      <c r="D726" s="84" t="s">
        <v>3412</v>
      </c>
      <c r="E726" s="92" t="s">
        <v>3413</v>
      </c>
      <c r="F726" s="93" t="str">
        <f t="shared" si="1"/>
        <v>Not Applicable</v>
      </c>
    </row>
    <row r="727">
      <c r="A727" s="84" t="s">
        <v>1645</v>
      </c>
      <c r="B727" s="87">
        <v>12.0</v>
      </c>
      <c r="C727" s="87">
        <v>8.0</v>
      </c>
      <c r="D727" s="84" t="s">
        <v>3415</v>
      </c>
      <c r="E727" s="94">
        <v>0.667</v>
      </c>
      <c r="F727" s="95">
        <f t="shared" si="1"/>
        <v>0.50025</v>
      </c>
    </row>
    <row r="728">
      <c r="A728" s="84" t="s">
        <v>1646</v>
      </c>
      <c r="B728" s="87">
        <v>13.0</v>
      </c>
      <c r="C728" s="87">
        <v>6.0</v>
      </c>
      <c r="D728" s="84" t="s">
        <v>3415</v>
      </c>
      <c r="E728" s="94">
        <v>0.462</v>
      </c>
      <c r="F728" s="95">
        <f t="shared" si="1"/>
        <v>0.3465</v>
      </c>
    </row>
    <row r="729">
      <c r="A729" s="84" t="s">
        <v>1647</v>
      </c>
      <c r="B729" s="87">
        <v>4.0</v>
      </c>
      <c r="C729" s="87">
        <v>3.0</v>
      </c>
      <c r="D729" s="84" t="s">
        <v>3416</v>
      </c>
      <c r="E729" s="94">
        <v>0.75</v>
      </c>
      <c r="F729" s="93">
        <f t="shared" si="1"/>
        <v>0.75</v>
      </c>
    </row>
    <row r="730">
      <c r="A730" s="84" t="s">
        <v>1648</v>
      </c>
      <c r="B730" s="87">
        <v>3.0</v>
      </c>
      <c r="C730" s="87">
        <v>3.0</v>
      </c>
      <c r="D730" s="84" t="s">
        <v>3416</v>
      </c>
      <c r="E730" s="94">
        <v>1.0</v>
      </c>
      <c r="F730" s="93">
        <f t="shared" si="1"/>
        <v>1</v>
      </c>
    </row>
    <row r="731">
      <c r="A731" s="84" t="s">
        <v>1649</v>
      </c>
      <c r="B731" s="87">
        <v>10.0</v>
      </c>
      <c r="C731" s="87">
        <v>2.0</v>
      </c>
      <c r="D731" s="84" t="s">
        <v>3415</v>
      </c>
      <c r="E731" s="94">
        <v>0.2</v>
      </c>
      <c r="F731" s="95">
        <f t="shared" si="1"/>
        <v>0.15</v>
      </c>
    </row>
    <row r="732">
      <c r="A732" s="84" t="s">
        <v>1650</v>
      </c>
      <c r="B732" s="87">
        <v>3.0</v>
      </c>
      <c r="C732" s="87">
        <v>0.0</v>
      </c>
      <c r="D732" s="84" t="s">
        <v>3415</v>
      </c>
      <c r="E732" s="94">
        <v>0.0</v>
      </c>
      <c r="F732" s="95">
        <f t="shared" si="1"/>
        <v>0</v>
      </c>
    </row>
    <row r="733">
      <c r="A733" s="84" t="s">
        <v>3123</v>
      </c>
      <c r="B733" s="87">
        <v>25.0</v>
      </c>
      <c r="C733" s="87">
        <v>17.0</v>
      </c>
      <c r="D733" s="84" t="s">
        <v>3415</v>
      </c>
      <c r="E733" s="94">
        <v>0.68</v>
      </c>
      <c r="F733" s="95">
        <f t="shared" si="1"/>
        <v>0.51</v>
      </c>
    </row>
    <row r="734">
      <c r="A734" s="84" t="s">
        <v>3125</v>
      </c>
      <c r="B734" s="87">
        <v>9.0</v>
      </c>
      <c r="C734" s="87">
        <v>6.0</v>
      </c>
      <c r="D734" s="84" t="s">
        <v>3415</v>
      </c>
      <c r="E734" s="94">
        <v>0.667</v>
      </c>
      <c r="F734" s="95">
        <f t="shared" si="1"/>
        <v>0.50025</v>
      </c>
    </row>
    <row r="735">
      <c r="A735" s="84" t="s">
        <v>3126</v>
      </c>
      <c r="B735" s="87">
        <v>8.0</v>
      </c>
      <c r="C735" s="87">
        <v>0.0</v>
      </c>
      <c r="D735" s="84" t="s">
        <v>3415</v>
      </c>
      <c r="E735" s="94">
        <v>0.0</v>
      </c>
      <c r="F735" s="95">
        <f t="shared" si="1"/>
        <v>0</v>
      </c>
    </row>
    <row r="736">
      <c r="A736" s="84" t="s">
        <v>1925</v>
      </c>
      <c r="B736" s="87">
        <v>3.0</v>
      </c>
      <c r="C736" s="87">
        <v>3.0</v>
      </c>
      <c r="D736" s="84" t="s">
        <v>3415</v>
      </c>
      <c r="E736" s="94">
        <v>1.0</v>
      </c>
      <c r="F736" s="95">
        <f t="shared" si="1"/>
        <v>0.75</v>
      </c>
    </row>
    <row r="737">
      <c r="A737" s="84" t="s">
        <v>1927</v>
      </c>
      <c r="B737" s="87">
        <v>7.0</v>
      </c>
      <c r="C737" s="87">
        <v>4.0</v>
      </c>
      <c r="D737" s="84" t="s">
        <v>3415</v>
      </c>
      <c r="E737" s="94">
        <v>0.571</v>
      </c>
      <c r="F737" s="95">
        <f t="shared" si="1"/>
        <v>0.42825</v>
      </c>
    </row>
    <row r="738">
      <c r="A738" s="84" t="s">
        <v>1928</v>
      </c>
      <c r="B738" s="87">
        <v>3.0</v>
      </c>
      <c r="C738" s="87">
        <v>2.0</v>
      </c>
      <c r="D738" s="84" t="s">
        <v>3416</v>
      </c>
      <c r="E738" s="94">
        <v>0.667</v>
      </c>
      <c r="F738" s="93">
        <f t="shared" si="1"/>
        <v>0.667</v>
      </c>
    </row>
    <row r="739">
      <c r="A739" s="84" t="s">
        <v>1929</v>
      </c>
      <c r="B739" s="87">
        <v>9.0</v>
      </c>
      <c r="C739" s="87">
        <v>4.0</v>
      </c>
      <c r="D739" s="84" t="s">
        <v>3415</v>
      </c>
      <c r="E739" s="94">
        <v>0.444</v>
      </c>
      <c r="F739" s="95">
        <f t="shared" si="1"/>
        <v>0.333</v>
      </c>
    </row>
    <row r="740">
      <c r="A740" s="84" t="s">
        <v>1930</v>
      </c>
      <c r="B740" s="87">
        <v>46.0</v>
      </c>
      <c r="C740" s="87">
        <v>35.0</v>
      </c>
      <c r="D740" s="84" t="s">
        <v>3415</v>
      </c>
      <c r="E740" s="94">
        <v>0.761</v>
      </c>
      <c r="F740" s="95">
        <f t="shared" si="1"/>
        <v>0.57075</v>
      </c>
    </row>
    <row r="741">
      <c r="A741" s="84" t="s">
        <v>1931</v>
      </c>
      <c r="B741" s="87">
        <v>3.0</v>
      </c>
      <c r="C741" s="87">
        <v>2.0</v>
      </c>
      <c r="D741" s="84" t="s">
        <v>3415</v>
      </c>
      <c r="E741" s="94">
        <v>0.667</v>
      </c>
      <c r="F741" s="95">
        <f t="shared" si="1"/>
        <v>0.50025</v>
      </c>
    </row>
    <row r="742">
      <c r="A742" s="84" t="s">
        <v>1932</v>
      </c>
      <c r="B742" s="87">
        <v>75.0</v>
      </c>
      <c r="C742" s="87">
        <v>52.0</v>
      </c>
      <c r="D742" s="84" t="s">
        <v>3414</v>
      </c>
      <c r="E742" s="94">
        <v>0.693</v>
      </c>
      <c r="F742" s="95">
        <f t="shared" si="1"/>
        <v>0.3465</v>
      </c>
    </row>
    <row r="743">
      <c r="A743" s="84" t="s">
        <v>1963</v>
      </c>
      <c r="B743" s="87">
        <v>2.0</v>
      </c>
      <c r="C743" s="87">
        <v>0.0</v>
      </c>
      <c r="D743" s="84" t="s">
        <v>3414</v>
      </c>
      <c r="E743" s="92" t="s">
        <v>3413</v>
      </c>
      <c r="F743" s="95" t="str">
        <f t="shared" si="1"/>
        <v>#VALUE!</v>
      </c>
    </row>
    <row r="744">
      <c r="A744" s="84" t="s">
        <v>3321</v>
      </c>
      <c r="B744" s="87">
        <v>2.0</v>
      </c>
      <c r="C744" s="87">
        <v>0.0</v>
      </c>
      <c r="D744" s="84" t="s">
        <v>3414</v>
      </c>
      <c r="E744" s="92" t="s">
        <v>3413</v>
      </c>
      <c r="F744" s="95" t="str">
        <f t="shared" si="1"/>
        <v>#VALUE!</v>
      </c>
    </row>
    <row r="745">
      <c r="A745" s="84" t="s">
        <v>1933</v>
      </c>
      <c r="B745" s="87">
        <v>3.0</v>
      </c>
      <c r="C745" s="87">
        <v>3.0</v>
      </c>
      <c r="D745" s="84" t="s">
        <v>3415</v>
      </c>
      <c r="E745" s="94">
        <v>1.0</v>
      </c>
      <c r="F745" s="95">
        <f t="shared" si="1"/>
        <v>0.75</v>
      </c>
    </row>
    <row r="746">
      <c r="A746" s="84" t="s">
        <v>1934</v>
      </c>
      <c r="B746" s="87">
        <v>7.0</v>
      </c>
      <c r="C746" s="87">
        <v>4.0</v>
      </c>
      <c r="D746" s="84" t="s">
        <v>3415</v>
      </c>
      <c r="E746" s="94">
        <v>0.571</v>
      </c>
      <c r="F746" s="95">
        <f t="shared" si="1"/>
        <v>0.42825</v>
      </c>
    </row>
    <row r="747">
      <c r="A747" s="84" t="s">
        <v>1935</v>
      </c>
      <c r="B747" s="87">
        <v>5.0</v>
      </c>
      <c r="C747" s="87">
        <v>4.0</v>
      </c>
      <c r="D747" s="84" t="s">
        <v>3415</v>
      </c>
      <c r="E747" s="94">
        <v>0.8</v>
      </c>
      <c r="F747" s="95">
        <f t="shared" si="1"/>
        <v>0.6</v>
      </c>
    </row>
    <row r="748">
      <c r="A748" s="84" t="s">
        <v>1936</v>
      </c>
      <c r="B748" s="87">
        <v>9.0</v>
      </c>
      <c r="C748" s="87">
        <v>4.0</v>
      </c>
      <c r="D748" s="84" t="s">
        <v>3415</v>
      </c>
      <c r="E748" s="94">
        <v>0.444</v>
      </c>
      <c r="F748" s="95">
        <f t="shared" si="1"/>
        <v>0.333</v>
      </c>
    </row>
    <row r="749">
      <c r="A749" s="84" t="s">
        <v>1937</v>
      </c>
      <c r="B749" s="87">
        <v>6.0</v>
      </c>
      <c r="C749" s="87">
        <v>6.0</v>
      </c>
      <c r="D749" s="84" t="s">
        <v>3416</v>
      </c>
      <c r="E749" s="94">
        <v>1.0</v>
      </c>
      <c r="F749" s="93">
        <f t="shared" si="1"/>
        <v>1</v>
      </c>
    </row>
    <row r="750">
      <c r="A750" s="84" t="s">
        <v>1938</v>
      </c>
      <c r="B750" s="87">
        <v>3.0</v>
      </c>
      <c r="C750" s="87">
        <v>2.0</v>
      </c>
      <c r="D750" s="84" t="s">
        <v>3415</v>
      </c>
      <c r="E750" s="94">
        <v>0.667</v>
      </c>
      <c r="F750" s="95">
        <f t="shared" si="1"/>
        <v>0.50025</v>
      </c>
    </row>
    <row r="751">
      <c r="A751" s="84" t="s">
        <v>1939</v>
      </c>
      <c r="B751" s="87">
        <v>75.0</v>
      </c>
      <c r="C751" s="87">
        <v>52.0</v>
      </c>
      <c r="D751" s="84" t="s">
        <v>3414</v>
      </c>
      <c r="E751" s="94">
        <v>0.693</v>
      </c>
      <c r="F751" s="95">
        <f t="shared" si="1"/>
        <v>0.3465</v>
      </c>
    </row>
    <row r="752">
      <c r="A752" s="84" t="s">
        <v>3127</v>
      </c>
      <c r="B752" s="87">
        <v>12.0</v>
      </c>
      <c r="C752" s="87">
        <v>7.0</v>
      </c>
      <c r="D752" s="84" t="s">
        <v>3415</v>
      </c>
      <c r="E752" s="94">
        <v>0.583</v>
      </c>
      <c r="F752" s="95">
        <f t="shared" si="1"/>
        <v>0.43725</v>
      </c>
    </row>
    <row r="753">
      <c r="A753" s="84" t="s">
        <v>3128</v>
      </c>
      <c r="B753" s="87">
        <v>24.0</v>
      </c>
      <c r="C753" s="87">
        <v>15.0</v>
      </c>
      <c r="D753" s="84" t="s">
        <v>3415</v>
      </c>
      <c r="E753" s="94">
        <v>0.625</v>
      </c>
      <c r="F753" s="95">
        <f t="shared" si="1"/>
        <v>0.46875</v>
      </c>
    </row>
    <row r="754">
      <c r="A754" s="84" t="s">
        <v>3129</v>
      </c>
      <c r="B754" s="87">
        <v>20.0</v>
      </c>
      <c r="C754" s="87">
        <v>12.0</v>
      </c>
      <c r="D754" s="84" t="s">
        <v>3415</v>
      </c>
      <c r="E754" s="94">
        <v>0.6</v>
      </c>
      <c r="F754" s="95">
        <f t="shared" si="1"/>
        <v>0.45</v>
      </c>
    </row>
    <row r="755">
      <c r="A755" s="84" t="s">
        <v>3130</v>
      </c>
      <c r="B755" s="87">
        <v>11.0</v>
      </c>
      <c r="C755" s="87">
        <v>10.0</v>
      </c>
      <c r="D755" s="84" t="s">
        <v>3415</v>
      </c>
      <c r="E755" s="94">
        <v>0.909</v>
      </c>
      <c r="F755" s="95">
        <f t="shared" si="1"/>
        <v>0.68175</v>
      </c>
    </row>
    <row r="756">
      <c r="A756" s="84" t="s">
        <v>3131</v>
      </c>
      <c r="B756" s="87">
        <v>25.0</v>
      </c>
      <c r="C756" s="87">
        <v>17.0</v>
      </c>
      <c r="D756" s="84" t="s">
        <v>3415</v>
      </c>
      <c r="E756" s="94">
        <v>0.68</v>
      </c>
      <c r="F756" s="95">
        <f t="shared" si="1"/>
        <v>0.51</v>
      </c>
    </row>
    <row r="757">
      <c r="A757" s="84" t="s">
        <v>3132</v>
      </c>
      <c r="B757" s="87">
        <v>9.0</v>
      </c>
      <c r="C757" s="87">
        <v>6.0</v>
      </c>
      <c r="D757" s="84" t="s">
        <v>3415</v>
      </c>
      <c r="E757" s="94">
        <v>0.667</v>
      </c>
      <c r="F757" s="95">
        <f t="shared" si="1"/>
        <v>0.50025</v>
      </c>
    </row>
    <row r="758">
      <c r="A758" s="84" t="s">
        <v>3133</v>
      </c>
      <c r="B758" s="87">
        <v>8.0</v>
      </c>
      <c r="C758" s="87">
        <v>0.0</v>
      </c>
      <c r="D758" s="84" t="s">
        <v>3415</v>
      </c>
      <c r="E758" s="94">
        <v>0.0</v>
      </c>
      <c r="F758" s="95">
        <f t="shared" si="1"/>
        <v>0</v>
      </c>
    </row>
    <row r="759">
      <c r="A759" s="84" t="s">
        <v>1651</v>
      </c>
      <c r="B759" s="87">
        <v>12.0</v>
      </c>
      <c r="C759" s="87">
        <v>8.0</v>
      </c>
      <c r="D759" s="84" t="s">
        <v>3415</v>
      </c>
      <c r="E759" s="94">
        <v>0.667</v>
      </c>
      <c r="F759" s="95">
        <f t="shared" si="1"/>
        <v>0.50025</v>
      </c>
    </row>
    <row r="760">
      <c r="A760" s="84" t="s">
        <v>1652</v>
      </c>
      <c r="B760" s="87">
        <v>13.0</v>
      </c>
      <c r="C760" s="87">
        <v>6.0</v>
      </c>
      <c r="D760" s="84" t="s">
        <v>3415</v>
      </c>
      <c r="E760" s="94">
        <v>0.462</v>
      </c>
      <c r="F760" s="95">
        <f t="shared" si="1"/>
        <v>0.3465</v>
      </c>
    </row>
    <row r="761">
      <c r="A761" s="84" t="s">
        <v>1653</v>
      </c>
      <c r="B761" s="87">
        <v>9.0</v>
      </c>
      <c r="C761" s="87">
        <v>8.0</v>
      </c>
      <c r="D761" s="84" t="s">
        <v>3415</v>
      </c>
      <c r="E761" s="94">
        <v>0.889</v>
      </c>
      <c r="F761" s="95">
        <f t="shared" si="1"/>
        <v>0.66675</v>
      </c>
    </row>
    <row r="762">
      <c r="A762" s="84" t="s">
        <v>1654</v>
      </c>
      <c r="B762" s="87">
        <v>3.0</v>
      </c>
      <c r="C762" s="87">
        <v>3.0</v>
      </c>
      <c r="D762" s="84" t="s">
        <v>3415</v>
      </c>
      <c r="E762" s="94">
        <v>1.0</v>
      </c>
      <c r="F762" s="95">
        <f t="shared" si="1"/>
        <v>0.75</v>
      </c>
    </row>
    <row r="763">
      <c r="A763" s="84" t="s">
        <v>1655</v>
      </c>
      <c r="B763" s="87">
        <v>4.0</v>
      </c>
      <c r="C763" s="87">
        <v>3.0</v>
      </c>
      <c r="D763" s="84" t="s">
        <v>3416</v>
      </c>
      <c r="E763" s="94">
        <v>0.75</v>
      </c>
      <c r="F763" s="93">
        <f t="shared" si="1"/>
        <v>0.75</v>
      </c>
    </row>
    <row r="764">
      <c r="A764" s="84" t="s">
        <v>1656</v>
      </c>
      <c r="B764" s="87">
        <v>5.0</v>
      </c>
      <c r="C764" s="87">
        <v>0.0</v>
      </c>
      <c r="D764" s="84" t="s">
        <v>3416</v>
      </c>
      <c r="E764" s="94">
        <v>0.0</v>
      </c>
      <c r="F764" s="93">
        <f t="shared" si="1"/>
        <v>0</v>
      </c>
    </row>
    <row r="765">
      <c r="A765" s="84" t="s">
        <v>1657</v>
      </c>
      <c r="B765" s="87">
        <v>3.0</v>
      </c>
      <c r="C765" s="87">
        <v>0.0</v>
      </c>
      <c r="D765" s="84" t="s">
        <v>3415</v>
      </c>
      <c r="E765" s="94">
        <v>0.0</v>
      </c>
      <c r="F765" s="95">
        <f t="shared" si="1"/>
        <v>0</v>
      </c>
    </row>
    <row r="766">
      <c r="A766" s="84" t="s">
        <v>1997</v>
      </c>
      <c r="B766" s="87">
        <v>33.0</v>
      </c>
      <c r="C766" s="87">
        <v>24.0</v>
      </c>
      <c r="D766" s="84" t="s">
        <v>3414</v>
      </c>
      <c r="E766" s="94">
        <v>0.727</v>
      </c>
      <c r="F766" s="95">
        <f t="shared" si="1"/>
        <v>0.3635</v>
      </c>
    </row>
    <row r="767">
      <c r="A767" s="84" t="s">
        <v>1999</v>
      </c>
      <c r="B767" s="87">
        <v>9.0</v>
      </c>
      <c r="C767" s="87">
        <v>6.0</v>
      </c>
      <c r="D767" s="84" t="s">
        <v>3415</v>
      </c>
      <c r="E767" s="94">
        <v>0.667</v>
      </c>
      <c r="F767" s="95">
        <f t="shared" si="1"/>
        <v>0.50025</v>
      </c>
    </row>
    <row r="768">
      <c r="A768" s="84" t="s">
        <v>2000</v>
      </c>
      <c r="B768" s="87">
        <v>5.0</v>
      </c>
      <c r="C768" s="87">
        <v>3.0</v>
      </c>
      <c r="D768" s="84" t="s">
        <v>3415</v>
      </c>
      <c r="E768" s="94">
        <v>0.6</v>
      </c>
      <c r="F768" s="95">
        <f t="shared" si="1"/>
        <v>0.45</v>
      </c>
    </row>
    <row r="769">
      <c r="A769" s="84" t="s">
        <v>2001</v>
      </c>
      <c r="B769" s="87">
        <v>4.0</v>
      </c>
      <c r="C769" s="87">
        <v>2.0</v>
      </c>
      <c r="D769" s="84" t="s">
        <v>3415</v>
      </c>
      <c r="E769" s="94">
        <v>0.5</v>
      </c>
      <c r="F769" s="95">
        <f t="shared" si="1"/>
        <v>0.375</v>
      </c>
    </row>
    <row r="770">
      <c r="A770" s="84" t="s">
        <v>2002</v>
      </c>
      <c r="B770" s="87">
        <v>33.0</v>
      </c>
      <c r="C770" s="87">
        <v>24.0</v>
      </c>
      <c r="D770" s="84" t="s">
        <v>3414</v>
      </c>
      <c r="E770" s="94">
        <v>0.727</v>
      </c>
      <c r="F770" s="95">
        <f t="shared" si="1"/>
        <v>0.3635</v>
      </c>
    </row>
    <row r="771">
      <c r="A771" s="84" t="s">
        <v>2003</v>
      </c>
      <c r="B771" s="87">
        <v>15.0</v>
      </c>
      <c r="C771" s="87">
        <v>13.0</v>
      </c>
      <c r="D771" s="84" t="s">
        <v>3415</v>
      </c>
      <c r="E771" s="94">
        <v>0.867</v>
      </c>
      <c r="F771" s="95">
        <f t="shared" si="1"/>
        <v>0.65025</v>
      </c>
    </row>
    <row r="772">
      <c r="A772" s="84" t="s">
        <v>2004</v>
      </c>
      <c r="B772" s="87">
        <v>33.0</v>
      </c>
      <c r="C772" s="87">
        <v>24.0</v>
      </c>
      <c r="D772" s="84" t="s">
        <v>3414</v>
      </c>
      <c r="E772" s="94">
        <v>0.727</v>
      </c>
      <c r="F772" s="95">
        <f t="shared" si="1"/>
        <v>0.3635</v>
      </c>
    </row>
    <row r="773">
      <c r="A773" s="84" t="s">
        <v>2375</v>
      </c>
      <c r="B773" s="87">
        <v>0.0</v>
      </c>
      <c r="C773" s="87">
        <v>0.0</v>
      </c>
      <c r="D773" s="84" t="s">
        <v>3412</v>
      </c>
      <c r="E773" s="92" t="s">
        <v>3413</v>
      </c>
      <c r="F773" s="93" t="str">
        <f t="shared" si="1"/>
        <v>Not Applicable</v>
      </c>
    </row>
    <row r="774">
      <c r="A774" s="84" t="s">
        <v>1965</v>
      </c>
      <c r="B774" s="87">
        <v>2.0</v>
      </c>
      <c r="C774" s="87">
        <v>0.0</v>
      </c>
      <c r="D774" s="84" t="s">
        <v>3414</v>
      </c>
      <c r="E774" s="92" t="s">
        <v>3413</v>
      </c>
      <c r="F774" s="95" t="str">
        <f t="shared" si="1"/>
        <v>#VALUE!</v>
      </c>
    </row>
    <row r="775">
      <c r="A775" s="84" t="s">
        <v>1968</v>
      </c>
      <c r="B775" s="87">
        <v>2.0</v>
      </c>
      <c r="C775" s="87">
        <v>0.0</v>
      </c>
      <c r="D775" s="84" t="s">
        <v>3414</v>
      </c>
      <c r="E775" s="92" t="s">
        <v>3413</v>
      </c>
      <c r="F775" s="95" t="str">
        <f t="shared" si="1"/>
        <v>#VALUE!</v>
      </c>
    </row>
    <row r="776">
      <c r="A776" s="84" t="s">
        <v>2600</v>
      </c>
      <c r="B776" s="87">
        <v>1.0</v>
      </c>
      <c r="C776" s="87">
        <v>1.0</v>
      </c>
      <c r="D776" s="84" t="s">
        <v>3414</v>
      </c>
      <c r="E776" s="92" t="s">
        <v>3413</v>
      </c>
      <c r="F776" s="95" t="str">
        <f t="shared" si="1"/>
        <v>#VALUE!</v>
      </c>
    </row>
    <row r="777">
      <c r="A777" s="84" t="s">
        <v>2601</v>
      </c>
      <c r="B777" s="87">
        <v>1.0</v>
      </c>
      <c r="C777" s="87">
        <v>1.0</v>
      </c>
      <c r="D777" s="84" t="s">
        <v>3414</v>
      </c>
      <c r="E777" s="92" t="s">
        <v>3413</v>
      </c>
      <c r="F777" s="95" t="str">
        <f t="shared" si="1"/>
        <v>#VALUE!</v>
      </c>
    </row>
    <row r="778">
      <c r="A778" s="84" t="s">
        <v>3359</v>
      </c>
      <c r="B778" s="87">
        <v>1.0</v>
      </c>
      <c r="C778" s="87">
        <v>1.0</v>
      </c>
      <c r="D778" s="84" t="s">
        <v>3414</v>
      </c>
      <c r="E778" s="92" t="s">
        <v>3413</v>
      </c>
      <c r="F778" s="95" t="str">
        <f t="shared" si="1"/>
        <v>#VALUE!</v>
      </c>
    </row>
    <row r="779">
      <c r="A779" s="84" t="s">
        <v>2602</v>
      </c>
      <c r="B779" s="87">
        <v>1.0</v>
      </c>
      <c r="C779" s="87">
        <v>1.0</v>
      </c>
      <c r="D779" s="84" t="s">
        <v>3414</v>
      </c>
      <c r="E779" s="92" t="s">
        <v>3413</v>
      </c>
      <c r="F779" s="95" t="str">
        <f t="shared" si="1"/>
        <v>#VALUE!</v>
      </c>
    </row>
    <row r="780">
      <c r="A780" s="84" t="s">
        <v>3188</v>
      </c>
      <c r="B780" s="87">
        <v>7.0</v>
      </c>
      <c r="C780" s="87">
        <v>7.0</v>
      </c>
      <c r="D780" s="84" t="s">
        <v>3414</v>
      </c>
      <c r="E780" s="94">
        <v>1.0</v>
      </c>
      <c r="F780" s="95">
        <f t="shared" si="1"/>
        <v>0.5</v>
      </c>
    </row>
    <row r="781">
      <c r="A781" s="84" t="s">
        <v>3190</v>
      </c>
      <c r="B781" s="87">
        <v>4.0</v>
      </c>
      <c r="C781" s="87">
        <v>4.0</v>
      </c>
      <c r="D781" s="84" t="s">
        <v>3415</v>
      </c>
      <c r="E781" s="94">
        <v>1.0</v>
      </c>
      <c r="F781" s="95">
        <f t="shared" si="1"/>
        <v>0.75</v>
      </c>
    </row>
    <row r="782">
      <c r="A782" s="84" t="s">
        <v>3191</v>
      </c>
      <c r="B782" s="87">
        <v>7.0</v>
      </c>
      <c r="C782" s="87">
        <v>7.0</v>
      </c>
      <c r="D782" s="84" t="s">
        <v>3414</v>
      </c>
      <c r="E782" s="94">
        <v>1.0</v>
      </c>
      <c r="F782" s="95">
        <f t="shared" si="1"/>
        <v>0.5</v>
      </c>
    </row>
    <row r="783">
      <c r="A783" s="84" t="s">
        <v>3192</v>
      </c>
      <c r="B783" s="87">
        <v>7.0</v>
      </c>
      <c r="C783" s="87">
        <v>7.0</v>
      </c>
      <c r="D783" s="84" t="s">
        <v>3414</v>
      </c>
      <c r="E783" s="94">
        <v>1.0</v>
      </c>
      <c r="F783" s="95">
        <f t="shared" si="1"/>
        <v>0.5</v>
      </c>
    </row>
    <row r="784">
      <c r="A784" s="84" t="s">
        <v>3396</v>
      </c>
      <c r="B784" s="87">
        <v>7.0</v>
      </c>
      <c r="C784" s="87">
        <v>7.0</v>
      </c>
      <c r="D784" s="84" t="s">
        <v>3414</v>
      </c>
      <c r="E784" s="94">
        <v>1.0</v>
      </c>
      <c r="F784" s="95">
        <f t="shared" si="1"/>
        <v>0.5</v>
      </c>
    </row>
    <row r="785">
      <c r="A785" s="84" t="s">
        <v>3193</v>
      </c>
      <c r="B785" s="87">
        <v>7.0</v>
      </c>
      <c r="C785" s="87">
        <v>7.0</v>
      </c>
      <c r="D785" s="84" t="s">
        <v>3414</v>
      </c>
      <c r="E785" s="94">
        <v>1.0</v>
      </c>
      <c r="F785" s="95">
        <f t="shared" si="1"/>
        <v>0.5</v>
      </c>
    </row>
    <row r="786">
      <c r="A786" s="84" t="s">
        <v>3194</v>
      </c>
      <c r="B786" s="87">
        <v>7.0</v>
      </c>
      <c r="C786" s="87">
        <v>7.0</v>
      </c>
      <c r="D786" s="84" t="s">
        <v>3414</v>
      </c>
      <c r="E786" s="94">
        <v>1.0</v>
      </c>
      <c r="F786" s="95">
        <f t="shared" si="1"/>
        <v>0.5</v>
      </c>
    </row>
    <row r="787">
      <c r="A787" s="84" t="s">
        <v>1817</v>
      </c>
      <c r="B787" s="87">
        <v>11.0</v>
      </c>
      <c r="C787" s="87">
        <v>7.0</v>
      </c>
      <c r="D787" s="84" t="s">
        <v>3414</v>
      </c>
      <c r="E787" s="94">
        <v>0.636</v>
      </c>
      <c r="F787" s="95">
        <f t="shared" si="1"/>
        <v>0.318</v>
      </c>
    </row>
    <row r="788">
      <c r="A788" s="84" t="s">
        <v>1818</v>
      </c>
      <c r="B788" s="87">
        <v>11.0</v>
      </c>
      <c r="C788" s="87">
        <v>7.0</v>
      </c>
      <c r="D788" s="84" t="s">
        <v>3414</v>
      </c>
      <c r="E788" s="94">
        <v>0.636</v>
      </c>
      <c r="F788" s="95">
        <f t="shared" si="1"/>
        <v>0.318</v>
      </c>
    </row>
    <row r="789">
      <c r="A789" s="84" t="s">
        <v>1820</v>
      </c>
      <c r="B789" s="87">
        <v>11.0</v>
      </c>
      <c r="C789" s="87">
        <v>7.0</v>
      </c>
      <c r="D789" s="84" t="s">
        <v>3414</v>
      </c>
      <c r="E789" s="94">
        <v>0.636</v>
      </c>
      <c r="F789" s="95">
        <f t="shared" si="1"/>
        <v>0.318</v>
      </c>
    </row>
    <row r="790">
      <c r="A790" s="84" t="s">
        <v>1821</v>
      </c>
      <c r="B790" s="87">
        <v>11.0</v>
      </c>
      <c r="C790" s="87">
        <v>7.0</v>
      </c>
      <c r="D790" s="84" t="s">
        <v>3414</v>
      </c>
      <c r="E790" s="94">
        <v>0.636</v>
      </c>
      <c r="F790" s="95">
        <f t="shared" si="1"/>
        <v>0.318</v>
      </c>
    </row>
    <row r="791">
      <c r="A791" s="84" t="s">
        <v>2161</v>
      </c>
      <c r="B791" s="87">
        <v>3.0</v>
      </c>
      <c r="C791" s="87">
        <v>3.0</v>
      </c>
      <c r="D791" s="84" t="s">
        <v>3415</v>
      </c>
      <c r="E791" s="94">
        <v>1.0</v>
      </c>
      <c r="F791" s="95">
        <f t="shared" si="1"/>
        <v>0.75</v>
      </c>
    </row>
    <row r="792">
      <c r="A792" s="84" t="s">
        <v>2162</v>
      </c>
      <c r="B792" s="87">
        <v>4.0</v>
      </c>
      <c r="C792" s="87">
        <v>4.0</v>
      </c>
      <c r="D792" s="84" t="s">
        <v>3414</v>
      </c>
      <c r="E792" s="94">
        <v>1.0</v>
      </c>
      <c r="F792" s="95">
        <f t="shared" si="1"/>
        <v>0.5</v>
      </c>
    </row>
    <row r="793">
      <c r="A793" s="84" t="s">
        <v>2163</v>
      </c>
      <c r="B793" s="87">
        <v>4.0</v>
      </c>
      <c r="C793" s="87">
        <v>4.0</v>
      </c>
      <c r="D793" s="84" t="s">
        <v>3414</v>
      </c>
      <c r="E793" s="94">
        <v>1.0</v>
      </c>
      <c r="F793" s="95">
        <f t="shared" si="1"/>
        <v>0.5</v>
      </c>
    </row>
    <row r="794">
      <c r="A794" s="84" t="s">
        <v>2164</v>
      </c>
      <c r="B794" s="87">
        <v>4.0</v>
      </c>
      <c r="C794" s="87">
        <v>4.0</v>
      </c>
      <c r="D794" s="84" t="s">
        <v>3414</v>
      </c>
      <c r="E794" s="94">
        <v>1.0</v>
      </c>
      <c r="F794" s="95">
        <f t="shared" si="1"/>
        <v>0.5</v>
      </c>
    </row>
    <row r="795">
      <c r="A795" s="84" t="s">
        <v>2688</v>
      </c>
      <c r="B795" s="87">
        <v>24.0</v>
      </c>
      <c r="C795" s="87">
        <v>16.0</v>
      </c>
      <c r="D795" s="84" t="s">
        <v>3414</v>
      </c>
      <c r="E795" s="94">
        <v>0.667</v>
      </c>
      <c r="F795" s="95">
        <f t="shared" si="1"/>
        <v>0.3335</v>
      </c>
    </row>
    <row r="796">
      <c r="A796" s="84" t="s">
        <v>2690</v>
      </c>
      <c r="B796" s="87">
        <v>24.0</v>
      </c>
      <c r="C796" s="87">
        <v>16.0</v>
      </c>
      <c r="D796" s="84" t="s">
        <v>3414</v>
      </c>
      <c r="E796" s="94">
        <v>0.667</v>
      </c>
      <c r="F796" s="95">
        <f t="shared" si="1"/>
        <v>0.3335</v>
      </c>
    </row>
    <row r="797">
      <c r="A797" s="84" t="s">
        <v>2691</v>
      </c>
      <c r="B797" s="87">
        <v>24.0</v>
      </c>
      <c r="C797" s="87">
        <v>16.0</v>
      </c>
      <c r="D797" s="84" t="s">
        <v>3414</v>
      </c>
      <c r="E797" s="94">
        <v>0.667</v>
      </c>
      <c r="F797" s="95">
        <f t="shared" si="1"/>
        <v>0.3335</v>
      </c>
    </row>
    <row r="798">
      <c r="A798" s="84" t="s">
        <v>2692</v>
      </c>
      <c r="B798" s="87">
        <v>3.0</v>
      </c>
      <c r="C798" s="87">
        <v>2.0</v>
      </c>
      <c r="D798" s="84" t="s">
        <v>3415</v>
      </c>
      <c r="E798" s="94">
        <v>0.667</v>
      </c>
      <c r="F798" s="95">
        <f t="shared" si="1"/>
        <v>0.50025</v>
      </c>
    </row>
    <row r="799">
      <c r="A799" s="84" t="s">
        <v>2693</v>
      </c>
      <c r="B799" s="87">
        <v>13.0</v>
      </c>
      <c r="C799" s="87">
        <v>9.0</v>
      </c>
      <c r="D799" s="84" t="s">
        <v>3415</v>
      </c>
      <c r="E799" s="94">
        <v>0.692</v>
      </c>
      <c r="F799" s="95">
        <f t="shared" si="1"/>
        <v>0.519</v>
      </c>
    </row>
    <row r="800">
      <c r="A800" s="84" t="s">
        <v>2694</v>
      </c>
      <c r="B800" s="87">
        <v>24.0</v>
      </c>
      <c r="C800" s="87">
        <v>16.0</v>
      </c>
      <c r="D800" s="84" t="s">
        <v>3414</v>
      </c>
      <c r="E800" s="94">
        <v>0.667</v>
      </c>
      <c r="F800" s="95">
        <f t="shared" si="1"/>
        <v>0.3335</v>
      </c>
    </row>
    <row r="801">
      <c r="A801" s="84" t="s">
        <v>1419</v>
      </c>
      <c r="B801" s="87">
        <v>3.0</v>
      </c>
      <c r="C801" s="87">
        <v>2.0</v>
      </c>
      <c r="D801" s="84" t="s">
        <v>3415</v>
      </c>
      <c r="E801" s="94">
        <v>0.667</v>
      </c>
      <c r="F801" s="95">
        <f t="shared" si="1"/>
        <v>0.50025</v>
      </c>
    </row>
    <row r="802">
      <c r="A802" s="84" t="s">
        <v>1421</v>
      </c>
      <c r="B802" s="87">
        <v>3.0</v>
      </c>
      <c r="C802" s="87">
        <v>2.0</v>
      </c>
      <c r="D802" s="84" t="s">
        <v>3414</v>
      </c>
      <c r="E802" s="94">
        <v>0.667</v>
      </c>
      <c r="F802" s="95">
        <f t="shared" si="1"/>
        <v>0.3335</v>
      </c>
    </row>
    <row r="803">
      <c r="A803" s="84" t="s">
        <v>2604</v>
      </c>
      <c r="B803" s="87">
        <v>0.0</v>
      </c>
      <c r="C803" s="87">
        <v>0.0</v>
      </c>
      <c r="D803" s="84" t="s">
        <v>3412</v>
      </c>
      <c r="E803" s="92" t="s">
        <v>3413</v>
      </c>
      <c r="F803" s="93" t="str">
        <f t="shared" si="1"/>
        <v>Not Applicable</v>
      </c>
    </row>
    <row r="804">
      <c r="A804" s="84" t="s">
        <v>1613</v>
      </c>
      <c r="B804" s="87">
        <v>5.0</v>
      </c>
      <c r="C804" s="87">
        <v>4.0</v>
      </c>
      <c r="D804" s="84" t="s">
        <v>3415</v>
      </c>
      <c r="E804" s="94">
        <v>0.8</v>
      </c>
      <c r="F804" s="95">
        <f t="shared" si="1"/>
        <v>0.6</v>
      </c>
    </row>
    <row r="805">
      <c r="A805" s="84" t="s">
        <v>1614</v>
      </c>
      <c r="B805" s="87">
        <v>4.0</v>
      </c>
      <c r="C805" s="87">
        <v>4.0</v>
      </c>
      <c r="D805" s="84" t="s">
        <v>3415</v>
      </c>
      <c r="E805" s="94">
        <v>1.0</v>
      </c>
      <c r="F805" s="95">
        <f t="shared" si="1"/>
        <v>0.75</v>
      </c>
    </row>
    <row r="806">
      <c r="A806" s="84" t="s">
        <v>1615</v>
      </c>
      <c r="B806" s="87">
        <v>26.0</v>
      </c>
      <c r="C806" s="87">
        <v>24.0</v>
      </c>
      <c r="D806" s="84" t="s">
        <v>3416</v>
      </c>
      <c r="E806" s="94">
        <v>0.923</v>
      </c>
      <c r="F806" s="93">
        <f t="shared" si="1"/>
        <v>0.923</v>
      </c>
    </row>
    <row r="807">
      <c r="A807" s="84" t="s">
        <v>1616</v>
      </c>
      <c r="B807" s="87">
        <v>37.0</v>
      </c>
      <c r="C807" s="87">
        <v>0.0</v>
      </c>
      <c r="D807" s="84" t="s">
        <v>3415</v>
      </c>
      <c r="E807" s="94">
        <v>0.0</v>
      </c>
      <c r="F807" s="95">
        <f t="shared" si="1"/>
        <v>0</v>
      </c>
    </row>
    <row r="808">
      <c r="A808" s="84" t="s">
        <v>2344</v>
      </c>
      <c r="B808" s="87">
        <v>62.0</v>
      </c>
      <c r="C808" s="87">
        <v>53.0</v>
      </c>
      <c r="D808" s="84" t="s">
        <v>3414</v>
      </c>
      <c r="E808" s="94">
        <v>0.855</v>
      </c>
      <c r="F808" s="95">
        <f t="shared" si="1"/>
        <v>0.4275</v>
      </c>
    </row>
    <row r="809">
      <c r="A809" s="84" t="s">
        <v>3351</v>
      </c>
      <c r="B809" s="87">
        <v>62.0</v>
      </c>
      <c r="C809" s="87">
        <v>53.0</v>
      </c>
      <c r="D809" s="84" t="s">
        <v>3414</v>
      </c>
      <c r="E809" s="94">
        <v>0.855</v>
      </c>
      <c r="F809" s="95">
        <f t="shared" si="1"/>
        <v>0.4275</v>
      </c>
    </row>
    <row r="810">
      <c r="A810" s="84" t="s">
        <v>2345</v>
      </c>
      <c r="B810" s="87">
        <v>3.0</v>
      </c>
      <c r="C810" s="87">
        <v>3.0</v>
      </c>
      <c r="D810" s="84" t="s">
        <v>3415</v>
      </c>
      <c r="E810" s="94">
        <v>1.0</v>
      </c>
      <c r="F810" s="95">
        <f t="shared" si="1"/>
        <v>0.75</v>
      </c>
    </row>
    <row r="811">
      <c r="A811" s="84" t="s">
        <v>2346</v>
      </c>
      <c r="B811" s="87">
        <v>6.0</v>
      </c>
      <c r="C811" s="87">
        <v>5.0</v>
      </c>
      <c r="D811" s="84" t="s">
        <v>3415</v>
      </c>
      <c r="E811" s="94">
        <v>0.833</v>
      </c>
      <c r="F811" s="95">
        <f t="shared" si="1"/>
        <v>0.62475</v>
      </c>
    </row>
    <row r="812">
      <c r="A812" s="84" t="s">
        <v>2005</v>
      </c>
      <c r="B812" s="87">
        <v>33.0</v>
      </c>
      <c r="C812" s="87">
        <v>24.0</v>
      </c>
      <c r="D812" s="84" t="s">
        <v>3414</v>
      </c>
      <c r="E812" s="94">
        <v>0.727</v>
      </c>
      <c r="F812" s="95">
        <f t="shared" si="1"/>
        <v>0.3635</v>
      </c>
    </row>
    <row r="813">
      <c r="A813" s="84" t="s">
        <v>2006</v>
      </c>
      <c r="B813" s="87">
        <v>9.0</v>
      </c>
      <c r="C813" s="87">
        <v>6.0</v>
      </c>
      <c r="D813" s="84" t="s">
        <v>3415</v>
      </c>
      <c r="E813" s="94">
        <v>0.667</v>
      </c>
      <c r="F813" s="95">
        <f t="shared" si="1"/>
        <v>0.50025</v>
      </c>
    </row>
    <row r="814">
      <c r="A814" s="84" t="s">
        <v>2007</v>
      </c>
      <c r="B814" s="87">
        <v>5.0</v>
      </c>
      <c r="C814" s="87">
        <v>3.0</v>
      </c>
      <c r="D814" s="84" t="s">
        <v>3415</v>
      </c>
      <c r="E814" s="94">
        <v>0.6</v>
      </c>
      <c r="F814" s="95">
        <f t="shared" si="1"/>
        <v>0.45</v>
      </c>
    </row>
    <row r="815">
      <c r="A815" s="84" t="s">
        <v>2008</v>
      </c>
      <c r="B815" s="87">
        <v>4.0</v>
      </c>
      <c r="C815" s="87">
        <v>2.0</v>
      </c>
      <c r="D815" s="84" t="s">
        <v>3415</v>
      </c>
      <c r="E815" s="94">
        <v>0.5</v>
      </c>
      <c r="F815" s="95">
        <f t="shared" si="1"/>
        <v>0.375</v>
      </c>
    </row>
    <row r="816">
      <c r="A816" s="84" t="s">
        <v>2009</v>
      </c>
      <c r="B816" s="87">
        <v>33.0</v>
      </c>
      <c r="C816" s="87">
        <v>24.0</v>
      </c>
      <c r="D816" s="84" t="s">
        <v>3414</v>
      </c>
      <c r="E816" s="94">
        <v>0.727</v>
      </c>
      <c r="F816" s="95">
        <f t="shared" si="1"/>
        <v>0.3635</v>
      </c>
    </row>
    <row r="817">
      <c r="A817" s="84" t="s">
        <v>2010</v>
      </c>
      <c r="B817" s="87">
        <v>15.0</v>
      </c>
      <c r="C817" s="87">
        <v>13.0</v>
      </c>
      <c r="D817" s="84" t="s">
        <v>3415</v>
      </c>
      <c r="E817" s="94">
        <v>0.867</v>
      </c>
      <c r="F817" s="95">
        <f t="shared" si="1"/>
        <v>0.65025</v>
      </c>
    </row>
    <row r="818">
      <c r="A818" s="84" t="s">
        <v>2011</v>
      </c>
      <c r="B818" s="87">
        <v>33.0</v>
      </c>
      <c r="C818" s="87">
        <v>24.0</v>
      </c>
      <c r="D818" s="84" t="s">
        <v>3414</v>
      </c>
      <c r="E818" s="94">
        <v>0.727</v>
      </c>
      <c r="F818" s="95">
        <f t="shared" si="1"/>
        <v>0.3635</v>
      </c>
    </row>
    <row r="819">
      <c r="A819" s="84" t="s">
        <v>2915</v>
      </c>
      <c r="B819" s="87">
        <v>3.0</v>
      </c>
      <c r="C819" s="87">
        <v>3.0</v>
      </c>
      <c r="D819" s="84" t="s">
        <v>3414</v>
      </c>
      <c r="E819" s="94">
        <v>1.0</v>
      </c>
      <c r="F819" s="95">
        <f t="shared" si="1"/>
        <v>0.5</v>
      </c>
    </row>
    <row r="820">
      <c r="A820" s="84" t="s">
        <v>2918</v>
      </c>
      <c r="B820" s="87">
        <v>3.0</v>
      </c>
      <c r="C820" s="87">
        <v>3.0</v>
      </c>
      <c r="D820" s="84" t="s">
        <v>3414</v>
      </c>
      <c r="E820" s="94">
        <v>1.0</v>
      </c>
      <c r="F820" s="95">
        <f t="shared" si="1"/>
        <v>0.5</v>
      </c>
    </row>
    <row r="821">
      <c r="A821" s="84" t="s">
        <v>2920</v>
      </c>
      <c r="B821" s="87">
        <v>3.0</v>
      </c>
      <c r="C821" s="87">
        <v>3.0</v>
      </c>
      <c r="D821" s="84" t="s">
        <v>3416</v>
      </c>
      <c r="E821" s="94">
        <v>1.0</v>
      </c>
      <c r="F821" s="93">
        <f t="shared" si="1"/>
        <v>1</v>
      </c>
    </row>
    <row r="822">
      <c r="A822" s="84" t="s">
        <v>2922</v>
      </c>
      <c r="B822" s="87">
        <v>3.0</v>
      </c>
      <c r="C822" s="87">
        <v>3.0</v>
      </c>
      <c r="D822" s="84" t="s">
        <v>3414</v>
      </c>
      <c r="E822" s="94">
        <v>1.0</v>
      </c>
      <c r="F822" s="95">
        <f t="shared" si="1"/>
        <v>0.5</v>
      </c>
    </row>
    <row r="823">
      <c r="A823" s="84" t="s">
        <v>2924</v>
      </c>
      <c r="B823" s="87">
        <v>3.0</v>
      </c>
      <c r="C823" s="87">
        <v>3.0</v>
      </c>
      <c r="D823" s="84" t="s">
        <v>3414</v>
      </c>
      <c r="E823" s="94">
        <v>1.0</v>
      </c>
      <c r="F823" s="95">
        <f t="shared" si="1"/>
        <v>0.5</v>
      </c>
    </row>
    <row r="824">
      <c r="A824" s="84" t="s">
        <v>2926</v>
      </c>
      <c r="B824" s="87">
        <v>3.0</v>
      </c>
      <c r="C824" s="87">
        <v>3.0</v>
      </c>
      <c r="D824" s="84" t="s">
        <v>3414</v>
      </c>
      <c r="E824" s="94">
        <v>1.0</v>
      </c>
      <c r="F824" s="95">
        <f t="shared" si="1"/>
        <v>0.5</v>
      </c>
    </row>
    <row r="825">
      <c r="A825" s="84" t="s">
        <v>2927</v>
      </c>
      <c r="B825" s="87">
        <v>3.0</v>
      </c>
      <c r="C825" s="87">
        <v>3.0</v>
      </c>
      <c r="D825" s="84" t="s">
        <v>3414</v>
      </c>
      <c r="E825" s="94">
        <v>1.0</v>
      </c>
      <c r="F825" s="95">
        <f t="shared" si="1"/>
        <v>0.5</v>
      </c>
    </row>
    <row r="826">
      <c r="A826" s="84" t="s">
        <v>2831</v>
      </c>
      <c r="B826" s="87">
        <v>0.0</v>
      </c>
      <c r="C826" s="87">
        <v>0.0</v>
      </c>
      <c r="D826" s="84" t="s">
        <v>3412</v>
      </c>
      <c r="E826" s="92" t="s">
        <v>3413</v>
      </c>
      <c r="F826" s="93" t="str">
        <f t="shared" si="1"/>
        <v>Not Applicable</v>
      </c>
    </row>
    <row r="827">
      <c r="A827" s="84" t="s">
        <v>2833</v>
      </c>
      <c r="B827" s="87">
        <v>0.0</v>
      </c>
      <c r="C827" s="87">
        <v>0.0</v>
      </c>
      <c r="D827" s="84" t="s">
        <v>3412</v>
      </c>
      <c r="E827" s="92" t="s">
        <v>3413</v>
      </c>
      <c r="F827" s="93" t="str">
        <f t="shared" si="1"/>
        <v>Not Applicable</v>
      </c>
    </row>
    <row r="828">
      <c r="A828" s="84" t="s">
        <v>1455</v>
      </c>
      <c r="B828" s="87">
        <v>3.0</v>
      </c>
      <c r="C828" s="87">
        <v>3.0</v>
      </c>
      <c r="D828" s="84" t="s">
        <v>3415</v>
      </c>
      <c r="E828" s="94">
        <v>1.0</v>
      </c>
      <c r="F828" s="95">
        <f t="shared" si="1"/>
        <v>0.75</v>
      </c>
    </row>
    <row r="829">
      <c r="A829" s="84" t="s">
        <v>1456</v>
      </c>
      <c r="B829" s="87">
        <v>12.0</v>
      </c>
      <c r="C829" s="87">
        <v>7.0</v>
      </c>
      <c r="D829" s="84" t="s">
        <v>3415</v>
      </c>
      <c r="E829" s="94">
        <v>0.583</v>
      </c>
      <c r="F829" s="95">
        <f t="shared" si="1"/>
        <v>0.43725</v>
      </c>
    </row>
    <row r="830">
      <c r="A830" s="84" t="s">
        <v>1457</v>
      </c>
      <c r="B830" s="87">
        <v>19.0</v>
      </c>
      <c r="C830" s="87">
        <v>12.0</v>
      </c>
      <c r="D830" s="84" t="s">
        <v>3414</v>
      </c>
      <c r="E830" s="94">
        <v>0.632</v>
      </c>
      <c r="F830" s="95">
        <f t="shared" si="1"/>
        <v>0.316</v>
      </c>
    </row>
    <row r="831">
      <c r="A831" s="84" t="s">
        <v>3251</v>
      </c>
      <c r="B831" s="87">
        <v>8.0</v>
      </c>
      <c r="C831" s="87">
        <v>8.0</v>
      </c>
      <c r="D831" s="84" t="s">
        <v>3414</v>
      </c>
      <c r="E831" s="94">
        <v>1.0</v>
      </c>
      <c r="F831" s="95">
        <f t="shared" si="1"/>
        <v>0.5</v>
      </c>
    </row>
    <row r="832">
      <c r="A832" s="84" t="s">
        <v>3253</v>
      </c>
      <c r="B832" s="87">
        <v>8.0</v>
      </c>
      <c r="C832" s="87">
        <v>8.0</v>
      </c>
      <c r="D832" s="84" t="s">
        <v>3414</v>
      </c>
      <c r="E832" s="94">
        <v>1.0</v>
      </c>
      <c r="F832" s="95">
        <f t="shared" si="1"/>
        <v>0.5</v>
      </c>
    </row>
    <row r="833">
      <c r="A833" s="84" t="s">
        <v>3254</v>
      </c>
      <c r="B833" s="87">
        <v>8.0</v>
      </c>
      <c r="C833" s="87">
        <v>8.0</v>
      </c>
      <c r="D833" s="84" t="s">
        <v>3414</v>
      </c>
      <c r="E833" s="94">
        <v>1.0</v>
      </c>
      <c r="F833" s="95">
        <f t="shared" si="1"/>
        <v>0.5</v>
      </c>
    </row>
    <row r="834">
      <c r="A834" s="84" t="s">
        <v>3256</v>
      </c>
      <c r="B834" s="87">
        <v>8.0</v>
      </c>
      <c r="C834" s="87">
        <v>8.0</v>
      </c>
      <c r="D834" s="84" t="s">
        <v>3414</v>
      </c>
      <c r="E834" s="94">
        <v>1.0</v>
      </c>
      <c r="F834" s="95">
        <f t="shared" si="1"/>
        <v>0.5</v>
      </c>
    </row>
    <row r="835">
      <c r="A835" s="84" t="s">
        <v>3257</v>
      </c>
      <c r="B835" s="87">
        <v>8.0</v>
      </c>
      <c r="C835" s="87">
        <v>8.0</v>
      </c>
      <c r="D835" s="84" t="s">
        <v>3414</v>
      </c>
      <c r="E835" s="94">
        <v>1.0</v>
      </c>
      <c r="F835" s="95">
        <f t="shared" si="1"/>
        <v>0.5</v>
      </c>
    </row>
    <row r="836">
      <c r="A836" s="84" t="s">
        <v>3258</v>
      </c>
      <c r="B836" s="87">
        <v>4.0</v>
      </c>
      <c r="C836" s="87">
        <v>4.0</v>
      </c>
      <c r="D836" s="84" t="s">
        <v>3415</v>
      </c>
      <c r="E836" s="94">
        <v>1.0</v>
      </c>
      <c r="F836" s="95">
        <f t="shared" si="1"/>
        <v>0.75</v>
      </c>
    </row>
    <row r="837">
      <c r="A837" s="84" t="s">
        <v>3259</v>
      </c>
      <c r="B837" s="87">
        <v>8.0</v>
      </c>
      <c r="C837" s="87">
        <v>8.0</v>
      </c>
      <c r="D837" s="84" t="s">
        <v>3414</v>
      </c>
      <c r="E837" s="94">
        <v>1.0</v>
      </c>
      <c r="F837" s="95">
        <f t="shared" si="1"/>
        <v>0.5</v>
      </c>
    </row>
    <row r="838">
      <c r="A838" s="84" t="s">
        <v>2564</v>
      </c>
      <c r="B838" s="87">
        <v>11.0</v>
      </c>
      <c r="C838" s="87">
        <v>10.0</v>
      </c>
      <c r="D838" s="84" t="s">
        <v>3415</v>
      </c>
      <c r="E838" s="94">
        <v>0.909</v>
      </c>
      <c r="F838" s="95">
        <f t="shared" si="1"/>
        <v>0.68175</v>
      </c>
    </row>
    <row r="839">
      <c r="A839" s="84" t="s">
        <v>2565</v>
      </c>
      <c r="B839" s="87">
        <v>30.0</v>
      </c>
      <c r="C839" s="87">
        <v>26.0</v>
      </c>
      <c r="D839" s="84" t="s">
        <v>3415</v>
      </c>
      <c r="E839" s="94">
        <v>0.867</v>
      </c>
      <c r="F839" s="95">
        <f t="shared" si="1"/>
        <v>0.65025</v>
      </c>
    </row>
    <row r="840">
      <c r="A840" s="84" t="s">
        <v>2566</v>
      </c>
      <c r="B840" s="87">
        <v>50.0</v>
      </c>
      <c r="C840" s="87">
        <v>44.0</v>
      </c>
      <c r="D840" s="84" t="s">
        <v>3414</v>
      </c>
      <c r="E840" s="94">
        <v>0.88</v>
      </c>
      <c r="F840" s="95">
        <f t="shared" si="1"/>
        <v>0.44</v>
      </c>
    </row>
    <row r="841">
      <c r="A841" s="84" t="s">
        <v>1970</v>
      </c>
      <c r="B841" s="87">
        <v>2.0</v>
      </c>
      <c r="C841" s="87">
        <v>0.0</v>
      </c>
      <c r="D841" s="84" t="s">
        <v>3414</v>
      </c>
      <c r="E841" s="92" t="s">
        <v>3413</v>
      </c>
      <c r="F841" s="95" t="str">
        <f t="shared" si="1"/>
        <v>#VALUE!</v>
      </c>
    </row>
    <row r="842">
      <c r="A842" s="84" t="s">
        <v>1973</v>
      </c>
      <c r="B842" s="87">
        <v>2.0</v>
      </c>
      <c r="C842" s="87">
        <v>0.0</v>
      </c>
      <c r="D842" s="84" t="s">
        <v>3414</v>
      </c>
      <c r="E842" s="92" t="s">
        <v>3413</v>
      </c>
      <c r="F842" s="95" t="str">
        <f t="shared" si="1"/>
        <v>#VALUE!</v>
      </c>
    </row>
    <row r="843">
      <c r="A843" s="84" t="s">
        <v>3134</v>
      </c>
      <c r="B843" s="87">
        <v>9.0</v>
      </c>
      <c r="C843" s="87">
        <v>6.0</v>
      </c>
      <c r="D843" s="84" t="s">
        <v>3415</v>
      </c>
      <c r="E843" s="94">
        <v>0.667</v>
      </c>
      <c r="F843" s="95">
        <f t="shared" si="1"/>
        <v>0.50025</v>
      </c>
    </row>
    <row r="844">
      <c r="A844" s="84" t="s">
        <v>2567</v>
      </c>
      <c r="B844" s="87">
        <v>50.0</v>
      </c>
      <c r="C844" s="87">
        <v>44.0</v>
      </c>
      <c r="D844" s="84" t="s">
        <v>3414</v>
      </c>
      <c r="E844" s="94">
        <v>0.88</v>
      </c>
      <c r="F844" s="95">
        <f t="shared" si="1"/>
        <v>0.44</v>
      </c>
    </row>
    <row r="845">
      <c r="A845" s="84" t="s">
        <v>2569</v>
      </c>
      <c r="B845" s="87">
        <v>11.0</v>
      </c>
      <c r="C845" s="87">
        <v>10.0</v>
      </c>
      <c r="D845" s="84" t="s">
        <v>3415</v>
      </c>
      <c r="E845" s="94">
        <v>0.909</v>
      </c>
      <c r="F845" s="95">
        <f t="shared" si="1"/>
        <v>0.68175</v>
      </c>
    </row>
    <row r="846">
      <c r="A846" s="84" t="s">
        <v>2570</v>
      </c>
      <c r="B846" s="87">
        <v>4.0</v>
      </c>
      <c r="C846" s="87">
        <v>4.0</v>
      </c>
      <c r="D846" s="84" t="s">
        <v>3415</v>
      </c>
      <c r="E846" s="94">
        <v>1.0</v>
      </c>
      <c r="F846" s="95">
        <f t="shared" si="1"/>
        <v>0.75</v>
      </c>
    </row>
    <row r="847">
      <c r="A847" s="84" t="s">
        <v>2571</v>
      </c>
      <c r="B847" s="87">
        <v>6.0</v>
      </c>
      <c r="C847" s="87">
        <v>6.0</v>
      </c>
      <c r="D847" s="84" t="s">
        <v>3416</v>
      </c>
      <c r="E847" s="94">
        <v>1.0</v>
      </c>
      <c r="F847" s="93">
        <f t="shared" si="1"/>
        <v>1</v>
      </c>
    </row>
    <row r="848">
      <c r="A848" s="84" t="s">
        <v>2572</v>
      </c>
      <c r="B848" s="87">
        <v>50.0</v>
      </c>
      <c r="C848" s="87">
        <v>44.0</v>
      </c>
      <c r="D848" s="84" t="s">
        <v>3414</v>
      </c>
      <c r="E848" s="94">
        <v>0.88</v>
      </c>
      <c r="F848" s="95">
        <f t="shared" si="1"/>
        <v>0.44</v>
      </c>
    </row>
    <row r="849">
      <c r="A849" s="84" t="s">
        <v>2573</v>
      </c>
      <c r="B849" s="87">
        <v>50.0</v>
      </c>
      <c r="C849" s="87">
        <v>44.0</v>
      </c>
      <c r="D849" s="84" t="s">
        <v>3414</v>
      </c>
      <c r="E849" s="94">
        <v>0.88</v>
      </c>
      <c r="F849" s="95">
        <f t="shared" si="1"/>
        <v>0.44</v>
      </c>
    </row>
    <row r="850">
      <c r="A850" s="84" t="s">
        <v>2936</v>
      </c>
      <c r="B850" s="87">
        <v>16.0</v>
      </c>
      <c r="C850" s="87">
        <v>16.0</v>
      </c>
      <c r="D850" s="84" t="s">
        <v>3415</v>
      </c>
      <c r="E850" s="94">
        <v>1.0</v>
      </c>
      <c r="F850" s="95">
        <f t="shared" si="1"/>
        <v>0.75</v>
      </c>
    </row>
    <row r="851">
      <c r="A851" s="84" t="s">
        <v>2938</v>
      </c>
      <c r="B851" s="87">
        <v>4.0</v>
      </c>
      <c r="C851" s="87">
        <v>3.0</v>
      </c>
      <c r="D851" s="84" t="s">
        <v>3416</v>
      </c>
      <c r="E851" s="94">
        <v>0.75</v>
      </c>
      <c r="F851" s="93">
        <f t="shared" si="1"/>
        <v>0.75</v>
      </c>
    </row>
    <row r="852">
      <c r="A852" s="84" t="s">
        <v>2940</v>
      </c>
      <c r="B852" s="87">
        <v>5.0</v>
      </c>
      <c r="C852" s="87">
        <v>4.0</v>
      </c>
      <c r="D852" s="84" t="s">
        <v>3415</v>
      </c>
      <c r="E852" s="94">
        <v>0.8</v>
      </c>
      <c r="F852" s="95">
        <f t="shared" si="1"/>
        <v>0.6</v>
      </c>
    </row>
    <row r="853">
      <c r="A853" s="84" t="s">
        <v>2942</v>
      </c>
      <c r="B853" s="87">
        <v>6.0</v>
      </c>
      <c r="C853" s="87">
        <v>6.0</v>
      </c>
      <c r="D853" s="84" t="s">
        <v>3415</v>
      </c>
      <c r="E853" s="94">
        <v>1.0</v>
      </c>
      <c r="F853" s="95">
        <f t="shared" si="1"/>
        <v>0.75</v>
      </c>
    </row>
    <row r="854">
      <c r="A854" s="84" t="s">
        <v>2944</v>
      </c>
      <c r="B854" s="87">
        <v>17.0</v>
      </c>
      <c r="C854" s="87">
        <v>12.0</v>
      </c>
      <c r="D854" s="84" t="s">
        <v>3415</v>
      </c>
      <c r="E854" s="94">
        <v>0.706</v>
      </c>
      <c r="F854" s="95">
        <f t="shared" si="1"/>
        <v>0.5295</v>
      </c>
    </row>
    <row r="855">
      <c r="A855" s="84" t="s">
        <v>2946</v>
      </c>
      <c r="B855" s="87">
        <v>5.0</v>
      </c>
      <c r="C855" s="87">
        <v>4.0</v>
      </c>
      <c r="D855" s="84" t="s">
        <v>3416</v>
      </c>
      <c r="E855" s="94">
        <v>0.8</v>
      </c>
      <c r="F855" s="93">
        <f t="shared" si="1"/>
        <v>0.8</v>
      </c>
    </row>
    <row r="856">
      <c r="A856" s="84" t="s">
        <v>2948</v>
      </c>
      <c r="B856" s="87">
        <v>74.0</v>
      </c>
      <c r="C856" s="87">
        <v>62.0</v>
      </c>
      <c r="D856" s="84" t="s">
        <v>3414</v>
      </c>
      <c r="E856" s="94">
        <v>0.838</v>
      </c>
      <c r="F856" s="95">
        <f t="shared" si="1"/>
        <v>0.419</v>
      </c>
    </row>
    <row r="857">
      <c r="A857" s="84" t="s">
        <v>3004</v>
      </c>
      <c r="B857" s="87">
        <v>9.0</v>
      </c>
      <c r="C857" s="87">
        <v>4.0</v>
      </c>
      <c r="D857" s="84" t="s">
        <v>3415</v>
      </c>
      <c r="E857" s="94">
        <v>0.444</v>
      </c>
      <c r="F857" s="95">
        <f t="shared" si="1"/>
        <v>0.333</v>
      </c>
    </row>
    <row r="858">
      <c r="A858" s="84" t="s">
        <v>3005</v>
      </c>
      <c r="B858" s="87">
        <v>11.0</v>
      </c>
      <c r="C858" s="87">
        <v>5.0</v>
      </c>
      <c r="D858" s="84" t="s">
        <v>3415</v>
      </c>
      <c r="E858" s="94">
        <v>0.455</v>
      </c>
      <c r="F858" s="95">
        <f t="shared" si="1"/>
        <v>0.34125</v>
      </c>
    </row>
    <row r="859">
      <c r="A859" s="84" t="s">
        <v>3006</v>
      </c>
      <c r="B859" s="87">
        <v>5.0</v>
      </c>
      <c r="C859" s="87">
        <v>1.0</v>
      </c>
      <c r="D859" s="84" t="s">
        <v>3415</v>
      </c>
      <c r="E859" s="94">
        <v>0.2</v>
      </c>
      <c r="F859" s="95">
        <f t="shared" si="1"/>
        <v>0.15</v>
      </c>
    </row>
    <row r="860">
      <c r="A860" s="84" t="s">
        <v>3007</v>
      </c>
      <c r="B860" s="87">
        <v>34.0</v>
      </c>
      <c r="C860" s="87">
        <v>16.0</v>
      </c>
      <c r="D860" s="84" t="s">
        <v>3414</v>
      </c>
      <c r="E860" s="94">
        <v>0.471</v>
      </c>
      <c r="F860" s="95">
        <f t="shared" si="1"/>
        <v>0.2355</v>
      </c>
    </row>
    <row r="861">
      <c r="A861" s="84" t="s">
        <v>3008</v>
      </c>
      <c r="B861" s="87">
        <v>34.0</v>
      </c>
      <c r="C861" s="87">
        <v>16.0</v>
      </c>
      <c r="D861" s="84" t="s">
        <v>3414</v>
      </c>
      <c r="E861" s="94">
        <v>0.471</v>
      </c>
      <c r="F861" s="95">
        <f t="shared" si="1"/>
        <v>0.2355</v>
      </c>
    </row>
    <row r="862">
      <c r="A862" s="84" t="s">
        <v>3009</v>
      </c>
      <c r="B862" s="87">
        <v>5.0</v>
      </c>
      <c r="C862" s="87">
        <v>2.0</v>
      </c>
      <c r="D862" s="84" t="s">
        <v>3415</v>
      </c>
      <c r="E862" s="94">
        <v>0.4</v>
      </c>
      <c r="F862" s="95">
        <f t="shared" si="1"/>
        <v>0.3</v>
      </c>
    </row>
    <row r="863">
      <c r="A863" s="84" t="s">
        <v>3010</v>
      </c>
      <c r="B863" s="87">
        <v>34.0</v>
      </c>
      <c r="C863" s="87">
        <v>16.0</v>
      </c>
      <c r="D863" s="84" t="s">
        <v>3414</v>
      </c>
      <c r="E863" s="94">
        <v>0.471</v>
      </c>
      <c r="F863" s="95">
        <f t="shared" si="1"/>
        <v>0.2355</v>
      </c>
    </row>
    <row r="864">
      <c r="A864" s="84" t="s">
        <v>1718</v>
      </c>
      <c r="B864" s="87">
        <v>26.0</v>
      </c>
      <c r="C864" s="87">
        <v>19.0</v>
      </c>
      <c r="D864" s="84" t="s">
        <v>3414</v>
      </c>
      <c r="E864" s="94">
        <v>0.731</v>
      </c>
      <c r="F864" s="95">
        <f t="shared" si="1"/>
        <v>0.3655</v>
      </c>
    </row>
    <row r="865">
      <c r="A865" s="84" t="s">
        <v>1720</v>
      </c>
      <c r="B865" s="87">
        <v>4.0</v>
      </c>
      <c r="C865" s="87">
        <v>4.0</v>
      </c>
      <c r="D865" s="84" t="s">
        <v>3415</v>
      </c>
      <c r="E865" s="94">
        <v>1.0</v>
      </c>
      <c r="F865" s="95">
        <f t="shared" si="1"/>
        <v>0.75</v>
      </c>
    </row>
    <row r="866">
      <c r="A866" s="84" t="s">
        <v>1721</v>
      </c>
      <c r="B866" s="87">
        <v>6.0</v>
      </c>
      <c r="C866" s="87">
        <v>3.0</v>
      </c>
      <c r="D866" s="84" t="s">
        <v>3415</v>
      </c>
      <c r="E866" s="94">
        <v>0.5</v>
      </c>
      <c r="F866" s="95">
        <f t="shared" si="1"/>
        <v>0.375</v>
      </c>
    </row>
    <row r="867">
      <c r="A867" s="84" t="s">
        <v>1722</v>
      </c>
      <c r="B867" s="87">
        <v>4.0</v>
      </c>
      <c r="C867" s="87">
        <v>1.0</v>
      </c>
      <c r="D867" s="84" t="s">
        <v>3415</v>
      </c>
      <c r="E867" s="94">
        <v>0.25</v>
      </c>
      <c r="F867" s="95">
        <f t="shared" si="1"/>
        <v>0.1875</v>
      </c>
    </row>
    <row r="868">
      <c r="A868" s="84" t="s">
        <v>1723</v>
      </c>
      <c r="B868" s="87">
        <v>8.0</v>
      </c>
      <c r="C868" s="87">
        <v>8.0</v>
      </c>
      <c r="D868" s="84" t="s">
        <v>3415</v>
      </c>
      <c r="E868" s="94">
        <v>1.0</v>
      </c>
      <c r="F868" s="95">
        <f t="shared" si="1"/>
        <v>0.75</v>
      </c>
    </row>
    <row r="869">
      <c r="A869" s="84" t="s">
        <v>1724</v>
      </c>
      <c r="B869" s="87">
        <v>4.0</v>
      </c>
      <c r="C869" s="87">
        <v>3.0</v>
      </c>
      <c r="D869" s="84" t="s">
        <v>3415</v>
      </c>
      <c r="E869" s="94">
        <v>0.75</v>
      </c>
      <c r="F869" s="95">
        <f t="shared" si="1"/>
        <v>0.5625</v>
      </c>
    </row>
    <row r="870">
      <c r="A870" s="84" t="s">
        <v>1725</v>
      </c>
      <c r="B870" s="87">
        <v>26.0</v>
      </c>
      <c r="C870" s="87">
        <v>19.0</v>
      </c>
      <c r="D870" s="84" t="s">
        <v>3414</v>
      </c>
      <c r="E870" s="94">
        <v>0.731</v>
      </c>
      <c r="F870" s="95">
        <f t="shared" si="1"/>
        <v>0.3655</v>
      </c>
    </row>
    <row r="871">
      <c r="A871" s="84" t="s">
        <v>2790</v>
      </c>
      <c r="B871" s="87">
        <v>5.0</v>
      </c>
      <c r="C871" s="87">
        <v>3.0</v>
      </c>
      <c r="D871" s="84" t="s">
        <v>3416</v>
      </c>
      <c r="E871" s="94">
        <v>0.6</v>
      </c>
      <c r="F871" s="93">
        <f t="shared" si="1"/>
        <v>0.6</v>
      </c>
    </row>
    <row r="872">
      <c r="A872" s="84" t="s">
        <v>2791</v>
      </c>
      <c r="B872" s="87">
        <v>5.0</v>
      </c>
      <c r="C872" s="87">
        <v>3.0</v>
      </c>
      <c r="D872" s="84" t="s">
        <v>3416</v>
      </c>
      <c r="E872" s="94">
        <v>0.6</v>
      </c>
      <c r="F872" s="93">
        <f t="shared" si="1"/>
        <v>0.6</v>
      </c>
    </row>
    <row r="873">
      <c r="A873" s="84" t="s">
        <v>2792</v>
      </c>
      <c r="B873" s="87">
        <v>3.0</v>
      </c>
      <c r="C873" s="87">
        <v>2.0</v>
      </c>
      <c r="D873" s="84" t="s">
        <v>3415</v>
      </c>
      <c r="E873" s="94">
        <v>0.667</v>
      </c>
      <c r="F873" s="95">
        <f t="shared" si="1"/>
        <v>0.50025</v>
      </c>
    </row>
    <row r="874">
      <c r="A874" s="84" t="s">
        <v>2793</v>
      </c>
      <c r="B874" s="87">
        <v>6.0</v>
      </c>
      <c r="C874" s="87">
        <v>3.0</v>
      </c>
      <c r="D874" s="84" t="s">
        <v>3416</v>
      </c>
      <c r="E874" s="94">
        <v>0.5</v>
      </c>
      <c r="F874" s="93">
        <f t="shared" si="1"/>
        <v>0.5</v>
      </c>
    </row>
    <row r="875">
      <c r="A875" s="84" t="s">
        <v>2794</v>
      </c>
      <c r="B875" s="87">
        <v>3.0</v>
      </c>
      <c r="C875" s="87">
        <v>3.0</v>
      </c>
      <c r="D875" s="84" t="s">
        <v>3416</v>
      </c>
      <c r="E875" s="94">
        <v>1.0</v>
      </c>
      <c r="F875" s="93">
        <f t="shared" si="1"/>
        <v>1</v>
      </c>
    </row>
    <row r="876">
      <c r="A876" s="84" t="s">
        <v>2795</v>
      </c>
      <c r="B876" s="87">
        <v>66.0</v>
      </c>
      <c r="C876" s="87">
        <v>51.0</v>
      </c>
      <c r="D876" s="84" t="s">
        <v>3414</v>
      </c>
      <c r="E876" s="94">
        <v>0.773</v>
      </c>
      <c r="F876" s="95">
        <f t="shared" si="1"/>
        <v>0.3865</v>
      </c>
    </row>
    <row r="877">
      <c r="A877" s="84" t="s">
        <v>2052</v>
      </c>
      <c r="B877" s="87">
        <v>6.0</v>
      </c>
      <c r="C877" s="87">
        <v>5.0</v>
      </c>
      <c r="D877" s="84" t="s">
        <v>3414</v>
      </c>
      <c r="E877" s="94">
        <v>0.833</v>
      </c>
      <c r="F877" s="95">
        <f t="shared" si="1"/>
        <v>0.4165</v>
      </c>
    </row>
    <row r="878">
      <c r="A878" s="84" t="s">
        <v>3325</v>
      </c>
      <c r="B878" s="87">
        <v>3.0</v>
      </c>
      <c r="C878" s="87">
        <v>2.0</v>
      </c>
      <c r="D878" s="84" t="s">
        <v>3415</v>
      </c>
      <c r="E878" s="94">
        <v>0.667</v>
      </c>
      <c r="F878" s="95">
        <f t="shared" si="1"/>
        <v>0.50025</v>
      </c>
    </row>
    <row r="879">
      <c r="A879" s="84" t="s">
        <v>2056</v>
      </c>
      <c r="B879" s="87">
        <v>6.0</v>
      </c>
      <c r="C879" s="87">
        <v>5.0</v>
      </c>
      <c r="D879" s="84" t="s">
        <v>3414</v>
      </c>
      <c r="E879" s="94">
        <v>0.833</v>
      </c>
      <c r="F879" s="95">
        <f t="shared" si="1"/>
        <v>0.4165</v>
      </c>
    </row>
    <row r="880">
      <c r="A880" s="84" t="s">
        <v>2524</v>
      </c>
      <c r="B880" s="87">
        <v>117.0</v>
      </c>
      <c r="C880" s="87">
        <v>64.0</v>
      </c>
      <c r="D880" s="84" t="s">
        <v>3414</v>
      </c>
      <c r="E880" s="94">
        <v>0.547</v>
      </c>
      <c r="F880" s="95">
        <f t="shared" si="1"/>
        <v>0.2735</v>
      </c>
    </row>
    <row r="881">
      <c r="A881" s="84" t="s">
        <v>2525</v>
      </c>
      <c r="B881" s="87">
        <v>8.0</v>
      </c>
      <c r="C881" s="87">
        <v>6.0</v>
      </c>
      <c r="D881" s="84" t="s">
        <v>3415</v>
      </c>
      <c r="E881" s="94">
        <v>0.75</v>
      </c>
      <c r="F881" s="95">
        <f t="shared" si="1"/>
        <v>0.5625</v>
      </c>
    </row>
    <row r="882">
      <c r="A882" s="84" t="s">
        <v>2526</v>
      </c>
      <c r="B882" s="87">
        <v>15.0</v>
      </c>
      <c r="C882" s="87">
        <v>9.0</v>
      </c>
      <c r="D882" s="84" t="s">
        <v>3415</v>
      </c>
      <c r="E882" s="94">
        <v>0.6</v>
      </c>
      <c r="F882" s="95">
        <f t="shared" si="1"/>
        <v>0.45</v>
      </c>
    </row>
    <row r="883">
      <c r="A883" s="84" t="s">
        <v>2527</v>
      </c>
      <c r="B883" s="87">
        <v>13.0</v>
      </c>
      <c r="C883" s="87">
        <v>7.0</v>
      </c>
      <c r="D883" s="84" t="s">
        <v>3415</v>
      </c>
      <c r="E883" s="94">
        <v>0.538</v>
      </c>
      <c r="F883" s="95">
        <f t="shared" si="1"/>
        <v>0.4035</v>
      </c>
    </row>
    <row r="884">
      <c r="A884" s="84" t="s">
        <v>2528</v>
      </c>
      <c r="B884" s="87">
        <v>8.0</v>
      </c>
      <c r="C884" s="87">
        <v>5.0</v>
      </c>
      <c r="D884" s="84" t="s">
        <v>3416</v>
      </c>
      <c r="E884" s="94">
        <v>0.625</v>
      </c>
      <c r="F884" s="93">
        <f t="shared" si="1"/>
        <v>0.625</v>
      </c>
    </row>
    <row r="885">
      <c r="A885" s="84" t="s">
        <v>2529</v>
      </c>
      <c r="B885" s="87">
        <v>4.0</v>
      </c>
      <c r="C885" s="87">
        <v>3.0</v>
      </c>
      <c r="D885" s="84" t="s">
        <v>3415</v>
      </c>
      <c r="E885" s="94">
        <v>0.75</v>
      </c>
      <c r="F885" s="95">
        <f t="shared" si="1"/>
        <v>0.5625</v>
      </c>
    </row>
    <row r="886">
      <c r="A886" s="84" t="s">
        <v>2530</v>
      </c>
      <c r="B886" s="87">
        <v>25.0</v>
      </c>
      <c r="C886" s="87">
        <v>0.0</v>
      </c>
      <c r="D886" s="84" t="s">
        <v>3415</v>
      </c>
      <c r="E886" s="94">
        <v>0.0</v>
      </c>
      <c r="F886" s="95">
        <f t="shared" si="1"/>
        <v>0</v>
      </c>
    </row>
    <row r="887">
      <c r="A887" s="84" t="s">
        <v>2280</v>
      </c>
      <c r="B887" s="87">
        <v>3.0</v>
      </c>
      <c r="C887" s="87">
        <v>2.0</v>
      </c>
      <c r="D887" s="84" t="s">
        <v>3415</v>
      </c>
      <c r="E887" s="94">
        <v>0.667</v>
      </c>
      <c r="F887" s="95">
        <f t="shared" si="1"/>
        <v>0.50025</v>
      </c>
    </row>
    <row r="888">
      <c r="A888" s="84" t="s">
        <v>2281</v>
      </c>
      <c r="B888" s="87">
        <v>4.0</v>
      </c>
      <c r="C888" s="87">
        <v>2.0</v>
      </c>
      <c r="D888" s="84" t="s">
        <v>3415</v>
      </c>
      <c r="E888" s="94">
        <v>0.5</v>
      </c>
      <c r="F888" s="95">
        <f t="shared" si="1"/>
        <v>0.375</v>
      </c>
    </row>
    <row r="889">
      <c r="A889" s="84" t="s">
        <v>2282</v>
      </c>
      <c r="B889" s="87">
        <v>14.0</v>
      </c>
      <c r="C889" s="87">
        <v>8.0</v>
      </c>
      <c r="D889" s="84" t="s">
        <v>3414</v>
      </c>
      <c r="E889" s="94">
        <v>0.571</v>
      </c>
      <c r="F889" s="95">
        <f t="shared" si="1"/>
        <v>0.2855</v>
      </c>
    </row>
    <row r="890">
      <c r="A890" s="84" t="s">
        <v>2283</v>
      </c>
      <c r="B890" s="87">
        <v>14.0</v>
      </c>
      <c r="C890" s="87">
        <v>8.0</v>
      </c>
      <c r="D890" s="84" t="s">
        <v>3414</v>
      </c>
      <c r="E890" s="94">
        <v>0.571</v>
      </c>
      <c r="F890" s="95">
        <f t="shared" si="1"/>
        <v>0.2855</v>
      </c>
    </row>
    <row r="891">
      <c r="A891" s="84" t="s">
        <v>2284</v>
      </c>
      <c r="B891" s="87">
        <v>4.0</v>
      </c>
      <c r="C891" s="87">
        <v>2.0</v>
      </c>
      <c r="D891" s="84" t="s">
        <v>3415</v>
      </c>
      <c r="E891" s="94">
        <v>0.5</v>
      </c>
      <c r="F891" s="95">
        <f t="shared" si="1"/>
        <v>0.375</v>
      </c>
    </row>
    <row r="892">
      <c r="A892" s="84" t="s">
        <v>2285</v>
      </c>
      <c r="B892" s="87">
        <v>14.0</v>
      </c>
      <c r="C892" s="87">
        <v>8.0</v>
      </c>
      <c r="D892" s="84" t="s">
        <v>3414</v>
      </c>
      <c r="E892" s="94">
        <v>0.571</v>
      </c>
      <c r="F892" s="95">
        <f t="shared" si="1"/>
        <v>0.2855</v>
      </c>
    </row>
    <row r="893">
      <c r="A893" s="84" t="s">
        <v>2113</v>
      </c>
      <c r="B893" s="87">
        <v>1.0</v>
      </c>
      <c r="C893" s="87">
        <v>1.0</v>
      </c>
      <c r="D893" s="84" t="s">
        <v>3414</v>
      </c>
      <c r="E893" s="92" t="s">
        <v>3413</v>
      </c>
      <c r="F893" s="95" t="str">
        <f t="shared" si="1"/>
        <v>#VALUE!</v>
      </c>
    </row>
    <row r="894">
      <c r="A894" s="84" t="s">
        <v>2114</v>
      </c>
      <c r="B894" s="87">
        <v>1.0</v>
      </c>
      <c r="C894" s="87">
        <v>1.0</v>
      </c>
      <c r="D894" s="84" t="s">
        <v>3414</v>
      </c>
      <c r="E894" s="92" t="s">
        <v>3413</v>
      </c>
      <c r="F894" s="95" t="str">
        <f t="shared" si="1"/>
        <v>#VALUE!</v>
      </c>
    </row>
    <row r="895">
      <c r="A895" s="84" t="s">
        <v>3011</v>
      </c>
      <c r="B895" s="87">
        <v>9.0</v>
      </c>
      <c r="C895" s="87">
        <v>4.0</v>
      </c>
      <c r="D895" s="84" t="s">
        <v>3415</v>
      </c>
      <c r="E895" s="94">
        <v>0.444</v>
      </c>
      <c r="F895" s="95">
        <f t="shared" si="1"/>
        <v>0.333</v>
      </c>
    </row>
    <row r="896">
      <c r="A896" s="84" t="s">
        <v>3012</v>
      </c>
      <c r="B896" s="87">
        <v>3.0</v>
      </c>
      <c r="C896" s="87">
        <v>1.0</v>
      </c>
      <c r="D896" s="84" t="s">
        <v>3416</v>
      </c>
      <c r="E896" s="94">
        <v>0.333</v>
      </c>
      <c r="F896" s="93">
        <f t="shared" si="1"/>
        <v>0.333</v>
      </c>
    </row>
    <row r="897">
      <c r="A897" s="84" t="s">
        <v>3013</v>
      </c>
      <c r="B897" s="87">
        <v>34.0</v>
      </c>
      <c r="C897" s="87">
        <v>16.0</v>
      </c>
      <c r="D897" s="84" t="s">
        <v>3414</v>
      </c>
      <c r="E897" s="94">
        <v>0.471</v>
      </c>
      <c r="F897" s="95">
        <f t="shared" si="1"/>
        <v>0.2355</v>
      </c>
    </row>
    <row r="898">
      <c r="A898" s="84" t="s">
        <v>3390</v>
      </c>
      <c r="B898" s="87">
        <v>34.0</v>
      </c>
      <c r="C898" s="87">
        <v>16.0</v>
      </c>
      <c r="D898" s="84" t="s">
        <v>3414</v>
      </c>
      <c r="E898" s="94">
        <v>0.471</v>
      </c>
      <c r="F898" s="95">
        <f t="shared" si="1"/>
        <v>0.2355</v>
      </c>
    </row>
    <row r="899">
      <c r="A899" s="84" t="s">
        <v>3014</v>
      </c>
      <c r="B899" s="87">
        <v>5.0</v>
      </c>
      <c r="C899" s="87">
        <v>2.0</v>
      </c>
      <c r="D899" s="84" t="s">
        <v>3415</v>
      </c>
      <c r="E899" s="94">
        <v>0.4</v>
      </c>
      <c r="F899" s="95">
        <f t="shared" si="1"/>
        <v>0.3</v>
      </c>
    </row>
    <row r="900">
      <c r="A900" s="84" t="s">
        <v>3015</v>
      </c>
      <c r="B900" s="87">
        <v>34.0</v>
      </c>
      <c r="C900" s="87">
        <v>16.0</v>
      </c>
      <c r="D900" s="84" t="s">
        <v>3414</v>
      </c>
      <c r="E900" s="94">
        <v>0.471</v>
      </c>
      <c r="F900" s="95">
        <f t="shared" si="1"/>
        <v>0.2355</v>
      </c>
    </row>
    <row r="901">
      <c r="A901" s="84" t="s">
        <v>3352</v>
      </c>
      <c r="B901" s="87">
        <v>3.0</v>
      </c>
      <c r="C901" s="87">
        <v>3.0</v>
      </c>
      <c r="D901" s="84" t="s">
        <v>3415</v>
      </c>
      <c r="E901" s="94">
        <v>1.0</v>
      </c>
      <c r="F901" s="95">
        <f t="shared" si="1"/>
        <v>0.75</v>
      </c>
    </row>
    <row r="902">
      <c r="A902" s="84" t="s">
        <v>3354</v>
      </c>
      <c r="B902" s="87">
        <v>49.0</v>
      </c>
      <c r="C902" s="87">
        <v>42.0</v>
      </c>
      <c r="D902" s="84" t="s">
        <v>3415</v>
      </c>
      <c r="E902" s="94">
        <v>0.857</v>
      </c>
      <c r="F902" s="95">
        <f t="shared" si="1"/>
        <v>0.64275</v>
      </c>
    </row>
    <row r="903">
      <c r="A903" s="84" t="s">
        <v>1822</v>
      </c>
      <c r="B903" s="87">
        <v>11.0</v>
      </c>
      <c r="C903" s="87">
        <v>7.0</v>
      </c>
      <c r="D903" s="84" t="s">
        <v>3414</v>
      </c>
      <c r="E903" s="94">
        <v>0.636</v>
      </c>
      <c r="F903" s="95">
        <f t="shared" si="1"/>
        <v>0.318</v>
      </c>
    </row>
    <row r="904">
      <c r="A904" s="84" t="s">
        <v>2348</v>
      </c>
      <c r="B904" s="87">
        <v>62.0</v>
      </c>
      <c r="C904" s="87">
        <v>53.0</v>
      </c>
      <c r="D904" s="84" t="s">
        <v>3414</v>
      </c>
      <c r="E904" s="94">
        <v>0.855</v>
      </c>
      <c r="F904" s="95">
        <f t="shared" si="1"/>
        <v>0.4275</v>
      </c>
    </row>
    <row r="905">
      <c r="A905" s="84" t="s">
        <v>2349</v>
      </c>
      <c r="B905" s="87">
        <v>3.0</v>
      </c>
      <c r="C905" s="87">
        <v>3.0</v>
      </c>
      <c r="D905" s="84" t="s">
        <v>3415</v>
      </c>
      <c r="E905" s="94">
        <v>1.0</v>
      </c>
      <c r="F905" s="95">
        <f t="shared" si="1"/>
        <v>0.75</v>
      </c>
    </row>
    <row r="906">
      <c r="A906" s="84" t="s">
        <v>2350</v>
      </c>
      <c r="B906" s="87">
        <v>6.0</v>
      </c>
      <c r="C906" s="87">
        <v>5.0</v>
      </c>
      <c r="D906" s="84" t="s">
        <v>3415</v>
      </c>
      <c r="E906" s="94">
        <v>0.833</v>
      </c>
      <c r="F906" s="95">
        <f t="shared" si="1"/>
        <v>0.62475</v>
      </c>
    </row>
    <row r="907">
      <c r="A907" s="84" t="s">
        <v>2351</v>
      </c>
      <c r="B907" s="87">
        <v>49.0</v>
      </c>
      <c r="C907" s="87">
        <v>42.0</v>
      </c>
      <c r="D907" s="84" t="s">
        <v>3415</v>
      </c>
      <c r="E907" s="94">
        <v>0.857</v>
      </c>
      <c r="F907" s="95">
        <f t="shared" si="1"/>
        <v>0.64275</v>
      </c>
    </row>
    <row r="908">
      <c r="A908" s="84" t="s">
        <v>2352</v>
      </c>
      <c r="B908" s="87">
        <v>62.0</v>
      </c>
      <c r="C908" s="87">
        <v>53.0</v>
      </c>
      <c r="D908" s="84" t="s">
        <v>3414</v>
      </c>
      <c r="E908" s="94">
        <v>0.855</v>
      </c>
      <c r="F908" s="95">
        <f t="shared" si="1"/>
        <v>0.4275</v>
      </c>
    </row>
    <row r="909">
      <c r="A909" s="84" t="s">
        <v>2353</v>
      </c>
      <c r="B909" s="87">
        <v>62.0</v>
      </c>
      <c r="C909" s="87">
        <v>53.0</v>
      </c>
      <c r="D909" s="84" t="s">
        <v>3414</v>
      </c>
      <c r="E909" s="94">
        <v>0.855</v>
      </c>
      <c r="F909" s="95">
        <f t="shared" si="1"/>
        <v>0.4275</v>
      </c>
    </row>
    <row r="910">
      <c r="A910" s="84" t="s">
        <v>3291</v>
      </c>
      <c r="B910" s="87">
        <v>9.0</v>
      </c>
      <c r="C910" s="87">
        <v>7.0</v>
      </c>
      <c r="D910" s="84" t="s">
        <v>3415</v>
      </c>
      <c r="E910" s="94">
        <v>0.778</v>
      </c>
      <c r="F910" s="95">
        <f t="shared" si="1"/>
        <v>0.5835</v>
      </c>
    </row>
    <row r="911">
      <c r="A911" s="84" t="s">
        <v>1521</v>
      </c>
      <c r="B911" s="87">
        <v>3.0</v>
      </c>
      <c r="C911" s="87">
        <v>1.0</v>
      </c>
      <c r="D911" s="84" t="s">
        <v>3416</v>
      </c>
      <c r="E911" s="94">
        <v>0.333</v>
      </c>
      <c r="F911" s="93">
        <f t="shared" si="1"/>
        <v>0.333</v>
      </c>
    </row>
    <row r="912">
      <c r="A912" s="84" t="s">
        <v>1523</v>
      </c>
      <c r="B912" s="87">
        <v>63.0</v>
      </c>
      <c r="C912" s="87">
        <v>55.0</v>
      </c>
      <c r="D912" s="84" t="s">
        <v>3414</v>
      </c>
      <c r="E912" s="94">
        <v>0.873</v>
      </c>
      <c r="F912" s="95">
        <f t="shared" si="1"/>
        <v>0.4365</v>
      </c>
    </row>
    <row r="913">
      <c r="A913" s="84" t="s">
        <v>3078</v>
      </c>
      <c r="B913" s="87">
        <v>88.0</v>
      </c>
      <c r="C913" s="87">
        <v>76.0</v>
      </c>
      <c r="D913" s="84" t="s">
        <v>3414</v>
      </c>
      <c r="E913" s="94">
        <v>0.864</v>
      </c>
      <c r="F913" s="95">
        <f t="shared" si="1"/>
        <v>0.432</v>
      </c>
    </row>
    <row r="914">
      <c r="A914" s="84" t="s">
        <v>3078</v>
      </c>
      <c r="B914" s="87">
        <v>7.0</v>
      </c>
      <c r="C914" s="87">
        <v>5.0</v>
      </c>
      <c r="D914" s="84" t="s">
        <v>3415</v>
      </c>
      <c r="E914" s="94">
        <v>0.714</v>
      </c>
      <c r="F914" s="95">
        <f t="shared" si="1"/>
        <v>0.5355</v>
      </c>
    </row>
    <row r="915">
      <c r="A915" s="84" t="s">
        <v>2442</v>
      </c>
      <c r="B915" s="87">
        <v>24.0</v>
      </c>
      <c r="C915" s="87">
        <v>15.0</v>
      </c>
      <c r="D915" s="84" t="s">
        <v>3415</v>
      </c>
      <c r="E915" s="94">
        <v>0.625</v>
      </c>
      <c r="F915" s="95">
        <f t="shared" si="1"/>
        <v>0.46875</v>
      </c>
    </row>
    <row r="916">
      <c r="A916" s="84" t="s">
        <v>2444</v>
      </c>
      <c r="B916" s="87">
        <v>10.0</v>
      </c>
      <c r="C916" s="87">
        <v>10.0</v>
      </c>
      <c r="D916" s="84" t="s">
        <v>3415</v>
      </c>
      <c r="E916" s="94">
        <v>1.0</v>
      </c>
      <c r="F916" s="95">
        <f t="shared" si="1"/>
        <v>0.75</v>
      </c>
    </row>
    <row r="917">
      <c r="A917" s="84" t="s">
        <v>2444</v>
      </c>
      <c r="B917" s="87">
        <v>16.0</v>
      </c>
      <c r="C917" s="87">
        <v>13.0</v>
      </c>
      <c r="D917" s="84" t="s">
        <v>3415</v>
      </c>
      <c r="E917" s="94">
        <v>0.813</v>
      </c>
      <c r="F917" s="95">
        <f t="shared" si="1"/>
        <v>0.60975</v>
      </c>
    </row>
    <row r="918">
      <c r="A918" s="84" t="s">
        <v>2445</v>
      </c>
      <c r="B918" s="87">
        <v>3.0</v>
      </c>
      <c r="C918" s="87">
        <v>2.0</v>
      </c>
      <c r="D918" s="84" t="s">
        <v>3415</v>
      </c>
      <c r="E918" s="94">
        <v>0.667</v>
      </c>
      <c r="F918" s="95">
        <f t="shared" si="1"/>
        <v>0.50025</v>
      </c>
    </row>
    <row r="919">
      <c r="A919" s="84" t="s">
        <v>2445</v>
      </c>
      <c r="B919" s="87">
        <v>13.0</v>
      </c>
      <c r="C919" s="87">
        <v>10.0</v>
      </c>
      <c r="D919" s="84" t="s">
        <v>3415</v>
      </c>
      <c r="E919" s="94">
        <v>0.769</v>
      </c>
      <c r="F919" s="95">
        <f t="shared" si="1"/>
        <v>0.57675</v>
      </c>
    </row>
    <row r="920">
      <c r="A920" s="84" t="s">
        <v>2446</v>
      </c>
      <c r="B920" s="87">
        <v>87.0</v>
      </c>
      <c r="C920" s="87">
        <v>75.0</v>
      </c>
      <c r="D920" s="84" t="s">
        <v>3416</v>
      </c>
      <c r="E920" s="94">
        <v>0.862</v>
      </c>
      <c r="F920" s="93">
        <f t="shared" si="1"/>
        <v>0.862</v>
      </c>
    </row>
    <row r="921">
      <c r="A921" s="84" t="s">
        <v>2446</v>
      </c>
      <c r="B921" s="87">
        <v>87.0</v>
      </c>
      <c r="C921" s="87">
        <v>75.0</v>
      </c>
      <c r="D921" s="84" t="s">
        <v>3416</v>
      </c>
      <c r="E921" s="94">
        <v>0.862</v>
      </c>
      <c r="F921" s="93">
        <f t="shared" si="1"/>
        <v>0.862</v>
      </c>
    </row>
    <row r="922">
      <c r="A922" s="84" t="s">
        <v>2447</v>
      </c>
      <c r="B922" s="87">
        <v>20.0</v>
      </c>
      <c r="C922" s="87">
        <v>0.0</v>
      </c>
      <c r="D922" s="84" t="s">
        <v>3415</v>
      </c>
      <c r="E922" s="94">
        <v>0.0</v>
      </c>
      <c r="F922" s="95">
        <f t="shared" si="1"/>
        <v>0</v>
      </c>
    </row>
    <row r="923">
      <c r="A923" s="84" t="s">
        <v>2949</v>
      </c>
      <c r="B923" s="87">
        <v>16.0</v>
      </c>
      <c r="C923" s="87">
        <v>16.0</v>
      </c>
      <c r="D923" s="84" t="s">
        <v>3415</v>
      </c>
      <c r="E923" s="94">
        <v>1.0</v>
      </c>
      <c r="F923" s="95">
        <f t="shared" si="1"/>
        <v>0.75</v>
      </c>
    </row>
    <row r="924">
      <c r="A924" s="84" t="s">
        <v>2951</v>
      </c>
      <c r="B924" s="87">
        <v>3.0</v>
      </c>
      <c r="C924" s="87">
        <v>3.0</v>
      </c>
      <c r="D924" s="84" t="s">
        <v>3416</v>
      </c>
      <c r="E924" s="94">
        <v>1.0</v>
      </c>
      <c r="F924" s="93">
        <f t="shared" si="1"/>
        <v>1</v>
      </c>
    </row>
    <row r="925">
      <c r="A925" s="84" t="s">
        <v>2952</v>
      </c>
      <c r="B925" s="87">
        <v>5.0</v>
      </c>
      <c r="C925" s="87">
        <v>4.0</v>
      </c>
      <c r="D925" s="84" t="s">
        <v>3415</v>
      </c>
      <c r="E925" s="94">
        <v>0.8</v>
      </c>
      <c r="F925" s="95">
        <f t="shared" si="1"/>
        <v>0.6</v>
      </c>
    </row>
    <row r="926">
      <c r="A926" s="84" t="s">
        <v>2953</v>
      </c>
      <c r="B926" s="87">
        <v>6.0</v>
      </c>
      <c r="C926" s="87">
        <v>6.0</v>
      </c>
      <c r="D926" s="84" t="s">
        <v>3415</v>
      </c>
      <c r="E926" s="94">
        <v>1.0</v>
      </c>
      <c r="F926" s="95">
        <f t="shared" si="1"/>
        <v>0.75</v>
      </c>
    </row>
    <row r="927">
      <c r="A927" s="84" t="s">
        <v>2954</v>
      </c>
      <c r="B927" s="87">
        <v>17.0</v>
      </c>
      <c r="C927" s="87">
        <v>12.0</v>
      </c>
      <c r="D927" s="84" t="s">
        <v>3415</v>
      </c>
      <c r="E927" s="94">
        <v>0.706</v>
      </c>
      <c r="F927" s="95">
        <f t="shared" si="1"/>
        <v>0.5295</v>
      </c>
    </row>
    <row r="928">
      <c r="A928" s="84" t="s">
        <v>2955</v>
      </c>
      <c r="B928" s="87">
        <v>19.0</v>
      </c>
      <c r="C928" s="87">
        <v>16.0</v>
      </c>
      <c r="D928" s="84" t="s">
        <v>3415</v>
      </c>
      <c r="E928" s="94">
        <v>0.842</v>
      </c>
      <c r="F928" s="95">
        <f t="shared" si="1"/>
        <v>0.6315</v>
      </c>
    </row>
    <row r="929">
      <c r="A929" s="84" t="s">
        <v>2956</v>
      </c>
      <c r="B929" s="87">
        <v>74.0</v>
      </c>
      <c r="C929" s="87">
        <v>62.0</v>
      </c>
      <c r="D929" s="84" t="s">
        <v>3414</v>
      </c>
      <c r="E929" s="94">
        <v>0.838</v>
      </c>
      <c r="F929" s="95">
        <f t="shared" si="1"/>
        <v>0.419</v>
      </c>
    </row>
    <row r="930">
      <c r="A930" s="84" t="s">
        <v>2012</v>
      </c>
      <c r="B930" s="87">
        <v>33.0</v>
      </c>
      <c r="C930" s="87">
        <v>24.0</v>
      </c>
      <c r="D930" s="84" t="s">
        <v>3414</v>
      </c>
      <c r="E930" s="94">
        <v>0.727</v>
      </c>
      <c r="F930" s="95">
        <f t="shared" si="1"/>
        <v>0.3635</v>
      </c>
    </row>
    <row r="931">
      <c r="A931" s="84" t="s">
        <v>2013</v>
      </c>
      <c r="B931" s="87">
        <v>7.0</v>
      </c>
      <c r="C931" s="87">
        <v>5.0</v>
      </c>
      <c r="D931" s="84" t="s">
        <v>3416</v>
      </c>
      <c r="E931" s="94">
        <v>0.714</v>
      </c>
      <c r="F931" s="93">
        <f t="shared" si="1"/>
        <v>0.714</v>
      </c>
    </row>
    <row r="932">
      <c r="A932" s="84" t="s">
        <v>2014</v>
      </c>
      <c r="B932" s="87">
        <v>5.0</v>
      </c>
      <c r="C932" s="87">
        <v>3.0</v>
      </c>
      <c r="D932" s="84" t="s">
        <v>3415</v>
      </c>
      <c r="E932" s="94">
        <v>0.6</v>
      </c>
      <c r="F932" s="95">
        <f t="shared" si="1"/>
        <v>0.45</v>
      </c>
    </row>
    <row r="933">
      <c r="A933" s="84" t="s">
        <v>2015</v>
      </c>
      <c r="B933" s="87">
        <v>3.0</v>
      </c>
      <c r="C933" s="87">
        <v>1.0</v>
      </c>
      <c r="D933" s="84" t="s">
        <v>3416</v>
      </c>
      <c r="E933" s="94">
        <v>0.333</v>
      </c>
      <c r="F933" s="93">
        <f t="shared" si="1"/>
        <v>0.333</v>
      </c>
    </row>
    <row r="934">
      <c r="A934" s="84" t="s">
        <v>2016</v>
      </c>
      <c r="B934" s="87">
        <v>33.0</v>
      </c>
      <c r="C934" s="87">
        <v>24.0</v>
      </c>
      <c r="D934" s="84" t="s">
        <v>3414</v>
      </c>
      <c r="E934" s="94">
        <v>0.727</v>
      </c>
      <c r="F934" s="95">
        <f t="shared" si="1"/>
        <v>0.3635</v>
      </c>
    </row>
    <row r="935">
      <c r="A935" s="84" t="s">
        <v>2017</v>
      </c>
      <c r="B935" s="87">
        <v>6.0</v>
      </c>
      <c r="C935" s="87">
        <v>5.0</v>
      </c>
      <c r="D935" s="84" t="s">
        <v>3416</v>
      </c>
      <c r="E935" s="94">
        <v>0.833</v>
      </c>
      <c r="F935" s="93">
        <f t="shared" si="1"/>
        <v>0.833</v>
      </c>
    </row>
    <row r="936">
      <c r="A936" s="84" t="s">
        <v>2018</v>
      </c>
      <c r="B936" s="87">
        <v>33.0</v>
      </c>
      <c r="C936" s="87">
        <v>24.0</v>
      </c>
      <c r="D936" s="84" t="s">
        <v>3414</v>
      </c>
      <c r="E936" s="94">
        <v>0.727</v>
      </c>
      <c r="F936" s="95">
        <f t="shared" si="1"/>
        <v>0.3635</v>
      </c>
    </row>
    <row r="937">
      <c r="A937" s="84" t="s">
        <v>1885</v>
      </c>
      <c r="B937" s="87">
        <v>52.0</v>
      </c>
      <c r="C937" s="87">
        <v>37.0</v>
      </c>
      <c r="D937" s="84" t="s">
        <v>3414</v>
      </c>
      <c r="E937" s="94">
        <v>0.712</v>
      </c>
      <c r="F937" s="95">
        <f t="shared" si="1"/>
        <v>0.356</v>
      </c>
    </row>
    <row r="938">
      <c r="A938" s="84" t="s">
        <v>1887</v>
      </c>
      <c r="B938" s="87">
        <v>11.0</v>
      </c>
      <c r="C938" s="87">
        <v>11.0</v>
      </c>
      <c r="D938" s="84" t="s">
        <v>3415</v>
      </c>
      <c r="E938" s="94">
        <v>1.0</v>
      </c>
      <c r="F938" s="95">
        <f t="shared" si="1"/>
        <v>0.75</v>
      </c>
    </row>
    <row r="939">
      <c r="A939" s="84" t="s">
        <v>1887</v>
      </c>
      <c r="B939" s="87">
        <v>6.0</v>
      </c>
      <c r="C939" s="87">
        <v>3.0</v>
      </c>
      <c r="D939" s="84" t="s">
        <v>3415</v>
      </c>
      <c r="E939" s="94">
        <v>0.5</v>
      </c>
      <c r="F939" s="95">
        <f t="shared" si="1"/>
        <v>0.375</v>
      </c>
    </row>
    <row r="940">
      <c r="A940" s="84" t="s">
        <v>1888</v>
      </c>
      <c r="B940" s="87">
        <v>8.0</v>
      </c>
      <c r="C940" s="87">
        <v>6.0</v>
      </c>
      <c r="D940" s="84" t="s">
        <v>3415</v>
      </c>
      <c r="E940" s="94">
        <v>0.75</v>
      </c>
      <c r="F940" s="95">
        <f t="shared" si="1"/>
        <v>0.5625</v>
      </c>
    </row>
    <row r="941">
      <c r="A941" s="84" t="s">
        <v>3316</v>
      </c>
      <c r="B941" s="87">
        <v>4.0</v>
      </c>
      <c r="C941" s="87">
        <v>3.0</v>
      </c>
      <c r="D941" s="84" t="s">
        <v>3415</v>
      </c>
      <c r="E941" s="94">
        <v>0.75</v>
      </c>
      <c r="F941" s="95">
        <f t="shared" si="1"/>
        <v>0.5625</v>
      </c>
    </row>
    <row r="942">
      <c r="A942" s="84" t="s">
        <v>1889</v>
      </c>
      <c r="B942" s="87">
        <v>4.0</v>
      </c>
      <c r="C942" s="87">
        <v>2.0</v>
      </c>
      <c r="D942" s="84" t="s">
        <v>3416</v>
      </c>
      <c r="E942" s="94">
        <v>0.5</v>
      </c>
      <c r="F942" s="93">
        <f t="shared" si="1"/>
        <v>0.5</v>
      </c>
    </row>
    <row r="943">
      <c r="A943" s="84" t="s">
        <v>1890</v>
      </c>
      <c r="B943" s="87">
        <v>3.0</v>
      </c>
      <c r="C943" s="87">
        <v>3.0</v>
      </c>
      <c r="D943" s="84" t="s">
        <v>3416</v>
      </c>
      <c r="E943" s="94">
        <v>1.0</v>
      </c>
      <c r="F943" s="93">
        <f t="shared" si="1"/>
        <v>1</v>
      </c>
    </row>
    <row r="944">
      <c r="A944" s="84" t="s">
        <v>1891</v>
      </c>
      <c r="B944" s="87">
        <v>52.0</v>
      </c>
      <c r="C944" s="87">
        <v>37.0</v>
      </c>
      <c r="D944" s="84" t="s">
        <v>3414</v>
      </c>
      <c r="E944" s="94">
        <v>0.712</v>
      </c>
      <c r="F944" s="95">
        <f t="shared" si="1"/>
        <v>0.356</v>
      </c>
    </row>
    <row r="945">
      <c r="A945" s="84" t="s">
        <v>2879</v>
      </c>
      <c r="B945" s="87">
        <v>7.0</v>
      </c>
      <c r="C945" s="87">
        <v>5.0</v>
      </c>
      <c r="D945" s="84" t="s">
        <v>3415</v>
      </c>
      <c r="E945" s="94">
        <v>0.714</v>
      </c>
      <c r="F945" s="95">
        <f t="shared" si="1"/>
        <v>0.5355</v>
      </c>
    </row>
    <row r="946">
      <c r="A946" s="84" t="s">
        <v>2881</v>
      </c>
      <c r="B946" s="87">
        <v>4.0</v>
      </c>
      <c r="C946" s="87">
        <v>4.0</v>
      </c>
      <c r="D946" s="84" t="s">
        <v>3415</v>
      </c>
      <c r="E946" s="94">
        <v>1.0</v>
      </c>
      <c r="F946" s="95">
        <f t="shared" si="1"/>
        <v>0.75</v>
      </c>
    </row>
    <row r="947">
      <c r="A947" s="84" t="s">
        <v>2882</v>
      </c>
      <c r="B947" s="87">
        <v>8.0</v>
      </c>
      <c r="C947" s="87">
        <v>6.0</v>
      </c>
      <c r="D947" s="84" t="s">
        <v>3415</v>
      </c>
      <c r="E947" s="94">
        <v>0.75</v>
      </c>
      <c r="F947" s="95">
        <f t="shared" si="1"/>
        <v>0.5625</v>
      </c>
    </row>
    <row r="948">
      <c r="A948" s="84" t="s">
        <v>2883</v>
      </c>
      <c r="B948" s="87">
        <v>28.0</v>
      </c>
      <c r="C948" s="87">
        <v>18.0</v>
      </c>
      <c r="D948" s="84" t="s">
        <v>3415</v>
      </c>
      <c r="E948" s="94">
        <v>0.643</v>
      </c>
      <c r="F948" s="95">
        <f t="shared" si="1"/>
        <v>0.48225</v>
      </c>
    </row>
    <row r="949">
      <c r="A949" s="84" t="s">
        <v>2884</v>
      </c>
      <c r="B949" s="87">
        <v>4.0</v>
      </c>
      <c r="C949" s="87">
        <v>4.0</v>
      </c>
      <c r="D949" s="84" t="s">
        <v>3415</v>
      </c>
      <c r="E949" s="94">
        <v>1.0</v>
      </c>
      <c r="F949" s="95">
        <f t="shared" si="1"/>
        <v>0.75</v>
      </c>
    </row>
    <row r="950">
      <c r="A950" s="84" t="s">
        <v>2885</v>
      </c>
      <c r="B950" s="87">
        <v>52.0</v>
      </c>
      <c r="C950" s="87">
        <v>38.0</v>
      </c>
      <c r="D950" s="84" t="s">
        <v>3414</v>
      </c>
      <c r="E950" s="94">
        <v>0.731</v>
      </c>
      <c r="F950" s="95">
        <f t="shared" si="1"/>
        <v>0.3655</v>
      </c>
    </row>
    <row r="951">
      <c r="A951" s="84" t="s">
        <v>2752</v>
      </c>
      <c r="B951" s="87">
        <v>0.0</v>
      </c>
      <c r="C951" s="87">
        <v>0.0</v>
      </c>
      <c r="D951" s="84" t="s">
        <v>3412</v>
      </c>
      <c r="E951" s="92" t="s">
        <v>3413</v>
      </c>
      <c r="F951" s="93" t="str">
        <f t="shared" si="1"/>
        <v>Not Applicable</v>
      </c>
    </row>
    <row r="952">
      <c r="A952" s="84" t="s">
        <v>2754</v>
      </c>
      <c r="B952" s="87">
        <v>0.0</v>
      </c>
      <c r="C952" s="87">
        <v>0.0</v>
      </c>
      <c r="D952" s="84" t="s">
        <v>3412</v>
      </c>
      <c r="E952" s="92" t="s">
        <v>3413</v>
      </c>
      <c r="F952" s="93" t="str">
        <f t="shared" si="1"/>
        <v>Not Applicable</v>
      </c>
    </row>
    <row r="953">
      <c r="A953" s="84" t="s">
        <v>1779</v>
      </c>
      <c r="B953" s="87">
        <v>3.0</v>
      </c>
      <c r="C953" s="87">
        <v>1.0</v>
      </c>
      <c r="D953" s="84" t="s">
        <v>3415</v>
      </c>
      <c r="E953" s="94">
        <v>0.333</v>
      </c>
      <c r="F953" s="95">
        <f t="shared" si="1"/>
        <v>0.24975</v>
      </c>
    </row>
    <row r="954">
      <c r="A954" s="84" t="s">
        <v>1781</v>
      </c>
      <c r="B954" s="87">
        <v>3.0</v>
      </c>
      <c r="C954" s="87">
        <v>0.0</v>
      </c>
      <c r="D954" s="84" t="s">
        <v>3416</v>
      </c>
      <c r="E954" s="94">
        <v>0.0</v>
      </c>
      <c r="F954" s="93">
        <f t="shared" si="1"/>
        <v>0</v>
      </c>
    </row>
    <row r="955">
      <c r="A955" s="84" t="s">
        <v>1782</v>
      </c>
      <c r="B955" s="87">
        <v>7.0</v>
      </c>
      <c r="C955" s="87">
        <v>6.0</v>
      </c>
      <c r="D955" s="84" t="s">
        <v>3415</v>
      </c>
      <c r="E955" s="94">
        <v>0.857</v>
      </c>
      <c r="F955" s="95">
        <f t="shared" si="1"/>
        <v>0.64275</v>
      </c>
    </row>
    <row r="956">
      <c r="A956" s="84" t="s">
        <v>1783</v>
      </c>
      <c r="B956" s="87">
        <v>4.0</v>
      </c>
      <c r="C956" s="87">
        <v>4.0</v>
      </c>
      <c r="D956" s="84" t="s">
        <v>3415</v>
      </c>
      <c r="E956" s="94">
        <v>1.0</v>
      </c>
      <c r="F956" s="95">
        <f t="shared" si="1"/>
        <v>0.75</v>
      </c>
    </row>
    <row r="957">
      <c r="A957" s="84" t="s">
        <v>1784</v>
      </c>
      <c r="B957" s="87">
        <v>24.0</v>
      </c>
      <c r="C957" s="87">
        <v>15.0</v>
      </c>
      <c r="D957" s="84" t="s">
        <v>3414</v>
      </c>
      <c r="E957" s="94">
        <v>0.625</v>
      </c>
      <c r="F957" s="95">
        <f t="shared" si="1"/>
        <v>0.3125</v>
      </c>
    </row>
    <row r="958">
      <c r="A958" s="84" t="s">
        <v>1785</v>
      </c>
      <c r="B958" s="87">
        <v>3.0</v>
      </c>
      <c r="C958" s="87">
        <v>2.0</v>
      </c>
      <c r="D958" s="84" t="s">
        <v>3415</v>
      </c>
      <c r="E958" s="94">
        <v>0.667</v>
      </c>
      <c r="F958" s="95">
        <f t="shared" si="1"/>
        <v>0.50025</v>
      </c>
    </row>
    <row r="959">
      <c r="A959" s="84" t="s">
        <v>1786</v>
      </c>
      <c r="B959" s="87">
        <v>24.0</v>
      </c>
      <c r="C959" s="87">
        <v>15.0</v>
      </c>
      <c r="D959" s="84" t="s">
        <v>3414</v>
      </c>
      <c r="E959" s="94">
        <v>0.625</v>
      </c>
      <c r="F959" s="95">
        <f t="shared" si="1"/>
        <v>0.3125</v>
      </c>
    </row>
    <row r="960">
      <c r="A960" s="84" t="s">
        <v>2695</v>
      </c>
      <c r="B960" s="87">
        <v>24.0</v>
      </c>
      <c r="C960" s="87">
        <v>16.0</v>
      </c>
      <c r="D960" s="84" t="s">
        <v>3414</v>
      </c>
      <c r="E960" s="94">
        <v>0.667</v>
      </c>
      <c r="F960" s="95">
        <f t="shared" si="1"/>
        <v>0.3335</v>
      </c>
    </row>
    <row r="961">
      <c r="A961" s="84" t="s">
        <v>2697</v>
      </c>
      <c r="B961" s="87">
        <v>24.0</v>
      </c>
      <c r="C961" s="87">
        <v>16.0</v>
      </c>
      <c r="D961" s="84" t="s">
        <v>3414</v>
      </c>
      <c r="E961" s="94">
        <v>0.667</v>
      </c>
      <c r="F961" s="95">
        <f t="shared" si="1"/>
        <v>0.3335</v>
      </c>
    </row>
    <row r="962">
      <c r="A962" s="84" t="s">
        <v>2699</v>
      </c>
      <c r="B962" s="87">
        <v>3.0</v>
      </c>
      <c r="C962" s="87">
        <v>2.0</v>
      </c>
      <c r="D962" s="84" t="s">
        <v>3415</v>
      </c>
      <c r="E962" s="94">
        <v>0.667</v>
      </c>
      <c r="F962" s="95">
        <f t="shared" si="1"/>
        <v>0.50025</v>
      </c>
    </row>
    <row r="963">
      <c r="A963" s="84" t="s">
        <v>2700</v>
      </c>
      <c r="B963" s="87">
        <v>13.0</v>
      </c>
      <c r="C963" s="87">
        <v>9.0</v>
      </c>
      <c r="D963" s="84" t="s">
        <v>3415</v>
      </c>
      <c r="E963" s="94">
        <v>0.692</v>
      </c>
      <c r="F963" s="95">
        <f t="shared" si="1"/>
        <v>0.519</v>
      </c>
    </row>
    <row r="964">
      <c r="A964" s="84" t="s">
        <v>2701</v>
      </c>
      <c r="B964" s="87">
        <v>24.0</v>
      </c>
      <c r="C964" s="87">
        <v>16.0</v>
      </c>
      <c r="D964" s="84" t="s">
        <v>3414</v>
      </c>
      <c r="E964" s="94">
        <v>0.667</v>
      </c>
      <c r="F964" s="95">
        <f t="shared" si="1"/>
        <v>0.3335</v>
      </c>
    </row>
    <row r="965">
      <c r="A965" s="84" t="s">
        <v>2136</v>
      </c>
      <c r="B965" s="87">
        <v>0.0</v>
      </c>
      <c r="C965" s="87">
        <v>0.0</v>
      </c>
      <c r="D965" s="84" t="s">
        <v>3412</v>
      </c>
      <c r="E965" s="92" t="s">
        <v>3413</v>
      </c>
      <c r="F965" s="93" t="str">
        <f t="shared" si="1"/>
        <v>Not Applicable</v>
      </c>
    </row>
    <row r="966">
      <c r="A966" s="84" t="s">
        <v>1940</v>
      </c>
      <c r="B966" s="87">
        <v>7.0</v>
      </c>
      <c r="C966" s="87">
        <v>4.0</v>
      </c>
      <c r="D966" s="84" t="s">
        <v>3415</v>
      </c>
      <c r="E966" s="94">
        <v>0.571</v>
      </c>
      <c r="F966" s="95">
        <f t="shared" si="1"/>
        <v>0.42825</v>
      </c>
    </row>
    <row r="967">
      <c r="A967" s="84" t="s">
        <v>1941</v>
      </c>
      <c r="B967" s="87">
        <v>5.0</v>
      </c>
      <c r="C967" s="87">
        <v>4.0</v>
      </c>
      <c r="D967" s="84" t="s">
        <v>3415</v>
      </c>
      <c r="E967" s="94">
        <v>0.8</v>
      </c>
      <c r="F967" s="95">
        <f t="shared" si="1"/>
        <v>0.6</v>
      </c>
    </row>
    <row r="968">
      <c r="A968" s="84" t="s">
        <v>1942</v>
      </c>
      <c r="B968" s="87">
        <v>5.0</v>
      </c>
      <c r="C968" s="87">
        <v>2.0</v>
      </c>
      <c r="D968" s="84" t="s">
        <v>3416</v>
      </c>
      <c r="E968" s="94">
        <v>0.4</v>
      </c>
      <c r="F968" s="93">
        <f t="shared" si="1"/>
        <v>0.4</v>
      </c>
    </row>
    <row r="969">
      <c r="A969" s="84" t="s">
        <v>1943</v>
      </c>
      <c r="B969" s="87">
        <v>28.0</v>
      </c>
      <c r="C969" s="87">
        <v>22.0</v>
      </c>
      <c r="D969" s="84" t="s">
        <v>3416</v>
      </c>
      <c r="E969" s="94">
        <v>0.786</v>
      </c>
      <c r="F969" s="93">
        <f t="shared" si="1"/>
        <v>0.786</v>
      </c>
    </row>
    <row r="970">
      <c r="A970" s="84" t="s">
        <v>1944</v>
      </c>
      <c r="B970" s="87">
        <v>75.0</v>
      </c>
      <c r="C970" s="87">
        <v>52.0</v>
      </c>
      <c r="D970" s="84" t="s">
        <v>3414</v>
      </c>
      <c r="E970" s="94">
        <v>0.693</v>
      </c>
      <c r="F970" s="95">
        <f t="shared" si="1"/>
        <v>0.3465</v>
      </c>
    </row>
    <row r="971">
      <c r="A971" s="84" t="s">
        <v>3016</v>
      </c>
      <c r="B971" s="87">
        <v>9.0</v>
      </c>
      <c r="C971" s="87">
        <v>4.0</v>
      </c>
      <c r="D971" s="84" t="s">
        <v>3415</v>
      </c>
      <c r="E971" s="94">
        <v>0.444</v>
      </c>
      <c r="F971" s="95">
        <f t="shared" si="1"/>
        <v>0.333</v>
      </c>
    </row>
    <row r="972">
      <c r="A972" s="84" t="s">
        <v>3018</v>
      </c>
      <c r="B972" s="87">
        <v>11.0</v>
      </c>
      <c r="C972" s="87">
        <v>5.0</v>
      </c>
      <c r="D972" s="84" t="s">
        <v>3415</v>
      </c>
      <c r="E972" s="94">
        <v>0.455</v>
      </c>
      <c r="F972" s="95">
        <f t="shared" si="1"/>
        <v>0.34125</v>
      </c>
    </row>
    <row r="973">
      <c r="A973" s="84" t="s">
        <v>3019</v>
      </c>
      <c r="B973" s="87">
        <v>5.0</v>
      </c>
      <c r="C973" s="87">
        <v>1.0</v>
      </c>
      <c r="D973" s="84" t="s">
        <v>3415</v>
      </c>
      <c r="E973" s="94">
        <v>0.2</v>
      </c>
      <c r="F973" s="95">
        <f t="shared" si="1"/>
        <v>0.15</v>
      </c>
    </row>
    <row r="974">
      <c r="A974" s="84" t="s">
        <v>3020</v>
      </c>
      <c r="B974" s="87">
        <v>34.0</v>
      </c>
      <c r="C974" s="87">
        <v>16.0</v>
      </c>
      <c r="D974" s="84" t="s">
        <v>3414</v>
      </c>
      <c r="E974" s="94">
        <v>0.471</v>
      </c>
      <c r="F974" s="95">
        <f t="shared" si="1"/>
        <v>0.2355</v>
      </c>
    </row>
    <row r="975">
      <c r="A975" s="84" t="s">
        <v>3021</v>
      </c>
      <c r="B975" s="87">
        <v>34.0</v>
      </c>
      <c r="C975" s="87">
        <v>16.0</v>
      </c>
      <c r="D975" s="84" t="s">
        <v>3414</v>
      </c>
      <c r="E975" s="94">
        <v>0.471</v>
      </c>
      <c r="F975" s="95">
        <f t="shared" si="1"/>
        <v>0.2355</v>
      </c>
    </row>
    <row r="976">
      <c r="A976" s="84" t="s">
        <v>3022</v>
      </c>
      <c r="B976" s="87">
        <v>5.0</v>
      </c>
      <c r="C976" s="87">
        <v>2.0</v>
      </c>
      <c r="D976" s="84" t="s">
        <v>3415</v>
      </c>
      <c r="E976" s="94">
        <v>0.4</v>
      </c>
      <c r="F976" s="95">
        <f t="shared" si="1"/>
        <v>0.3</v>
      </c>
    </row>
    <row r="977">
      <c r="A977" s="84" t="s">
        <v>3023</v>
      </c>
      <c r="B977" s="87">
        <v>34.0</v>
      </c>
      <c r="C977" s="87">
        <v>16.0</v>
      </c>
      <c r="D977" s="84" t="s">
        <v>3414</v>
      </c>
      <c r="E977" s="94">
        <v>0.471</v>
      </c>
      <c r="F977" s="95">
        <f t="shared" si="1"/>
        <v>0.2355</v>
      </c>
    </row>
    <row r="978">
      <c r="A978" s="84" t="s">
        <v>2702</v>
      </c>
      <c r="B978" s="87">
        <v>24.0</v>
      </c>
      <c r="C978" s="87">
        <v>16.0</v>
      </c>
      <c r="D978" s="84" t="s">
        <v>3414</v>
      </c>
      <c r="E978" s="94">
        <v>0.667</v>
      </c>
      <c r="F978" s="95">
        <f t="shared" si="1"/>
        <v>0.3335</v>
      </c>
    </row>
    <row r="979">
      <c r="A979" s="84" t="s">
        <v>2705</v>
      </c>
      <c r="B979" s="87">
        <v>24.0</v>
      </c>
      <c r="C979" s="87">
        <v>16.0</v>
      </c>
      <c r="D979" s="84" t="s">
        <v>3414</v>
      </c>
      <c r="E979" s="94">
        <v>0.667</v>
      </c>
      <c r="F979" s="95">
        <f t="shared" si="1"/>
        <v>0.3335</v>
      </c>
    </row>
    <row r="980">
      <c r="A980" s="84" t="s">
        <v>2706</v>
      </c>
      <c r="B980" s="87">
        <v>4.0</v>
      </c>
      <c r="C980" s="87">
        <v>4.0</v>
      </c>
      <c r="D980" s="84" t="s">
        <v>3415</v>
      </c>
      <c r="E980" s="94">
        <v>1.0</v>
      </c>
      <c r="F980" s="95">
        <f t="shared" si="1"/>
        <v>0.75</v>
      </c>
    </row>
    <row r="981">
      <c r="A981" s="84" t="s">
        <v>2707</v>
      </c>
      <c r="B981" s="87">
        <v>3.0</v>
      </c>
      <c r="C981" s="87">
        <v>2.0</v>
      </c>
      <c r="D981" s="84" t="s">
        <v>3415</v>
      </c>
      <c r="E981" s="94">
        <v>0.667</v>
      </c>
      <c r="F981" s="95">
        <f t="shared" si="1"/>
        <v>0.50025</v>
      </c>
    </row>
    <row r="982">
      <c r="A982" s="84" t="s">
        <v>2708</v>
      </c>
      <c r="B982" s="87">
        <v>13.0</v>
      </c>
      <c r="C982" s="87">
        <v>9.0</v>
      </c>
      <c r="D982" s="84" t="s">
        <v>3415</v>
      </c>
      <c r="E982" s="94">
        <v>0.692</v>
      </c>
      <c r="F982" s="95">
        <f t="shared" si="1"/>
        <v>0.519</v>
      </c>
    </row>
    <row r="983">
      <c r="A983" s="84" t="s">
        <v>2709</v>
      </c>
      <c r="B983" s="87">
        <v>24.0</v>
      </c>
      <c r="C983" s="87">
        <v>16.0</v>
      </c>
      <c r="D983" s="84" t="s">
        <v>3414</v>
      </c>
      <c r="E983" s="94">
        <v>0.667</v>
      </c>
      <c r="F983" s="95">
        <f t="shared" si="1"/>
        <v>0.3335</v>
      </c>
    </row>
    <row r="984">
      <c r="A984" s="84" t="s">
        <v>1945</v>
      </c>
      <c r="B984" s="87">
        <v>7.0</v>
      </c>
      <c r="C984" s="87">
        <v>4.0</v>
      </c>
      <c r="D984" s="84" t="s">
        <v>3415</v>
      </c>
      <c r="E984" s="94">
        <v>0.571</v>
      </c>
      <c r="F984" s="95">
        <f t="shared" si="1"/>
        <v>0.42825</v>
      </c>
    </row>
    <row r="985">
      <c r="A985" s="84" t="s">
        <v>1947</v>
      </c>
      <c r="B985" s="87">
        <v>5.0</v>
      </c>
      <c r="C985" s="87">
        <v>4.0</v>
      </c>
      <c r="D985" s="84" t="s">
        <v>3415</v>
      </c>
      <c r="E985" s="94">
        <v>0.8</v>
      </c>
      <c r="F985" s="95">
        <f t="shared" si="1"/>
        <v>0.6</v>
      </c>
    </row>
    <row r="986">
      <c r="A986" s="84" t="s">
        <v>1948</v>
      </c>
      <c r="B986" s="87">
        <v>9.0</v>
      </c>
      <c r="C986" s="87">
        <v>4.0</v>
      </c>
      <c r="D986" s="84" t="s">
        <v>3415</v>
      </c>
      <c r="E986" s="94">
        <v>0.444</v>
      </c>
      <c r="F986" s="95">
        <f t="shared" si="1"/>
        <v>0.333</v>
      </c>
    </row>
    <row r="987">
      <c r="A987" s="84" t="s">
        <v>1949</v>
      </c>
      <c r="B987" s="87">
        <v>46.0</v>
      </c>
      <c r="C987" s="87">
        <v>35.0</v>
      </c>
      <c r="D987" s="84" t="s">
        <v>3415</v>
      </c>
      <c r="E987" s="94">
        <v>0.761</v>
      </c>
      <c r="F987" s="95">
        <f t="shared" si="1"/>
        <v>0.57075</v>
      </c>
    </row>
    <row r="988">
      <c r="A988" s="84" t="s">
        <v>1951</v>
      </c>
      <c r="B988" s="87">
        <v>75.0</v>
      </c>
      <c r="C988" s="87">
        <v>52.0</v>
      </c>
      <c r="D988" s="84" t="s">
        <v>3414</v>
      </c>
      <c r="E988" s="94">
        <v>0.693</v>
      </c>
      <c r="F988" s="95">
        <f t="shared" si="1"/>
        <v>0.3465</v>
      </c>
    </row>
    <row r="989">
      <c r="A989" s="84" t="s">
        <v>3322</v>
      </c>
      <c r="B989" s="87">
        <v>2.0</v>
      </c>
      <c r="C989" s="87">
        <v>0.0</v>
      </c>
      <c r="D989" s="84" t="s">
        <v>3414</v>
      </c>
      <c r="E989" s="92" t="s">
        <v>3413</v>
      </c>
      <c r="F989" s="95" t="str">
        <f t="shared" si="1"/>
        <v>#VALUE!</v>
      </c>
    </row>
    <row r="990">
      <c r="A990" s="84" t="s">
        <v>2732</v>
      </c>
      <c r="B990" s="87">
        <v>12.0</v>
      </c>
      <c r="C990" s="87">
        <v>0.0</v>
      </c>
      <c r="D990" s="84" t="s">
        <v>3415</v>
      </c>
      <c r="E990" s="94">
        <v>0.0</v>
      </c>
      <c r="F990" s="95">
        <f t="shared" si="1"/>
        <v>0</v>
      </c>
    </row>
    <row r="991">
      <c r="A991" s="84" t="s">
        <v>2734</v>
      </c>
      <c r="B991" s="87">
        <v>36.0</v>
      </c>
      <c r="C991" s="87">
        <v>0.0</v>
      </c>
      <c r="D991" s="84" t="s">
        <v>3415</v>
      </c>
      <c r="E991" s="94">
        <v>0.0</v>
      </c>
      <c r="F991" s="95">
        <f t="shared" si="1"/>
        <v>0</v>
      </c>
    </row>
    <row r="992">
      <c r="A992" s="84" t="s">
        <v>1524</v>
      </c>
      <c r="B992" s="87">
        <v>63.0</v>
      </c>
      <c r="C992" s="87">
        <v>55.0</v>
      </c>
      <c r="D992" s="84" t="s">
        <v>3414</v>
      </c>
      <c r="E992" s="94">
        <v>0.873</v>
      </c>
      <c r="F992" s="95">
        <f t="shared" si="1"/>
        <v>0.4365</v>
      </c>
    </row>
    <row r="993">
      <c r="A993" s="84" t="s">
        <v>3024</v>
      </c>
      <c r="B993" s="87">
        <v>9.0</v>
      </c>
      <c r="C993" s="87">
        <v>4.0</v>
      </c>
      <c r="D993" s="84" t="s">
        <v>3415</v>
      </c>
      <c r="E993" s="94">
        <v>0.444</v>
      </c>
      <c r="F993" s="95">
        <f t="shared" si="1"/>
        <v>0.333</v>
      </c>
    </row>
    <row r="994">
      <c r="A994" s="84" t="s">
        <v>3025</v>
      </c>
      <c r="B994" s="87">
        <v>11.0</v>
      </c>
      <c r="C994" s="87">
        <v>5.0</v>
      </c>
      <c r="D994" s="84" t="s">
        <v>3415</v>
      </c>
      <c r="E994" s="94">
        <v>0.455</v>
      </c>
      <c r="F994" s="95">
        <f t="shared" si="1"/>
        <v>0.34125</v>
      </c>
    </row>
    <row r="995">
      <c r="A995" s="84" t="s">
        <v>3026</v>
      </c>
      <c r="B995" s="87">
        <v>5.0</v>
      </c>
      <c r="C995" s="87">
        <v>1.0</v>
      </c>
      <c r="D995" s="84" t="s">
        <v>3415</v>
      </c>
      <c r="E995" s="94">
        <v>0.2</v>
      </c>
      <c r="F995" s="95">
        <f t="shared" si="1"/>
        <v>0.15</v>
      </c>
    </row>
    <row r="996">
      <c r="A996" s="84" t="s">
        <v>3027</v>
      </c>
      <c r="B996" s="87">
        <v>5.0</v>
      </c>
      <c r="C996" s="87">
        <v>2.0</v>
      </c>
      <c r="D996" s="84" t="s">
        <v>3415</v>
      </c>
      <c r="E996" s="94">
        <v>0.4</v>
      </c>
      <c r="F996" s="95">
        <f t="shared" si="1"/>
        <v>0.3</v>
      </c>
    </row>
    <row r="997">
      <c r="A997" s="84" t="s">
        <v>3028</v>
      </c>
      <c r="B997" s="87">
        <v>34.0</v>
      </c>
      <c r="C997" s="87">
        <v>16.0</v>
      </c>
      <c r="D997" s="84" t="s">
        <v>3414</v>
      </c>
      <c r="E997" s="94">
        <v>0.471</v>
      </c>
      <c r="F997" s="95">
        <f t="shared" si="1"/>
        <v>0.2355</v>
      </c>
    </row>
    <row r="998">
      <c r="A998" s="84" t="s">
        <v>2957</v>
      </c>
      <c r="B998" s="87">
        <v>14.0</v>
      </c>
      <c r="C998" s="87">
        <v>14.0</v>
      </c>
      <c r="D998" s="84" t="s">
        <v>3416</v>
      </c>
      <c r="E998" s="94">
        <v>1.0</v>
      </c>
      <c r="F998" s="93">
        <f t="shared" si="1"/>
        <v>1</v>
      </c>
    </row>
    <row r="999">
      <c r="A999" s="84" t="s">
        <v>2959</v>
      </c>
      <c r="B999" s="87">
        <v>10.0</v>
      </c>
      <c r="C999" s="87">
        <v>8.0</v>
      </c>
      <c r="D999" s="84" t="s">
        <v>3415</v>
      </c>
      <c r="E999" s="94">
        <v>0.8</v>
      </c>
      <c r="F999" s="95">
        <f t="shared" si="1"/>
        <v>0.6</v>
      </c>
    </row>
    <row r="1000">
      <c r="A1000" s="84" t="s">
        <v>2960</v>
      </c>
      <c r="B1000" s="87">
        <v>5.0</v>
      </c>
      <c r="C1000" s="87">
        <v>4.0</v>
      </c>
      <c r="D1000" s="84" t="s">
        <v>3415</v>
      </c>
      <c r="E1000" s="94">
        <v>0.8</v>
      </c>
      <c r="F1000" s="95">
        <f t="shared" si="1"/>
        <v>0.6</v>
      </c>
    </row>
    <row r="1001">
      <c r="A1001" s="84" t="s">
        <v>2961</v>
      </c>
      <c r="B1001" s="87">
        <v>6.0</v>
      </c>
      <c r="C1001" s="87">
        <v>6.0</v>
      </c>
      <c r="D1001" s="84" t="s">
        <v>3415</v>
      </c>
      <c r="E1001" s="94">
        <v>1.0</v>
      </c>
      <c r="F1001" s="95">
        <f t="shared" si="1"/>
        <v>0.75</v>
      </c>
    </row>
    <row r="1002">
      <c r="A1002" s="84" t="s">
        <v>2962</v>
      </c>
      <c r="B1002" s="87">
        <v>5.0</v>
      </c>
      <c r="C1002" s="87">
        <v>4.0</v>
      </c>
      <c r="D1002" s="84" t="s">
        <v>3416</v>
      </c>
      <c r="E1002" s="94">
        <v>0.8</v>
      </c>
      <c r="F1002" s="93">
        <f t="shared" si="1"/>
        <v>0.8</v>
      </c>
    </row>
    <row r="1003">
      <c r="A1003" s="84" t="s">
        <v>2963</v>
      </c>
      <c r="B1003" s="87">
        <v>12.0</v>
      </c>
      <c r="C1003" s="87">
        <v>10.0</v>
      </c>
      <c r="D1003" s="84" t="s">
        <v>3416</v>
      </c>
      <c r="E1003" s="94">
        <v>0.833</v>
      </c>
      <c r="F1003" s="93">
        <f t="shared" si="1"/>
        <v>0.833</v>
      </c>
    </row>
    <row r="1004">
      <c r="A1004" s="84" t="s">
        <v>2964</v>
      </c>
      <c r="B1004" s="87">
        <v>74.0</v>
      </c>
      <c r="C1004" s="87">
        <v>62.0</v>
      </c>
      <c r="D1004" s="84" t="s">
        <v>3414</v>
      </c>
      <c r="E1004" s="94">
        <v>0.838</v>
      </c>
      <c r="F1004" s="95">
        <f t="shared" si="1"/>
        <v>0.419</v>
      </c>
    </row>
    <row r="1005">
      <c r="A1005" s="84" t="s">
        <v>2227</v>
      </c>
      <c r="B1005" s="87">
        <v>34.0</v>
      </c>
      <c r="C1005" s="87">
        <v>29.0</v>
      </c>
      <c r="D1005" s="84" t="s">
        <v>3414</v>
      </c>
      <c r="E1005" s="94">
        <v>0.853</v>
      </c>
      <c r="F1005" s="95">
        <f t="shared" si="1"/>
        <v>0.4265</v>
      </c>
    </row>
    <row r="1006">
      <c r="A1006" s="84" t="s">
        <v>2229</v>
      </c>
      <c r="B1006" s="87">
        <v>3.0</v>
      </c>
      <c r="C1006" s="87">
        <v>3.0</v>
      </c>
      <c r="D1006" s="84" t="s">
        <v>3415</v>
      </c>
      <c r="E1006" s="94">
        <v>1.0</v>
      </c>
      <c r="F1006" s="95">
        <f t="shared" si="1"/>
        <v>0.75</v>
      </c>
    </row>
    <row r="1007">
      <c r="A1007" s="84" t="s">
        <v>2230</v>
      </c>
      <c r="B1007" s="87">
        <v>3.0</v>
      </c>
      <c r="C1007" s="87">
        <v>3.0</v>
      </c>
      <c r="D1007" s="84" t="s">
        <v>3415</v>
      </c>
      <c r="E1007" s="94">
        <v>1.0</v>
      </c>
      <c r="F1007" s="95">
        <f t="shared" si="1"/>
        <v>0.75</v>
      </c>
    </row>
    <row r="1008">
      <c r="A1008" s="84" t="s">
        <v>2231</v>
      </c>
      <c r="B1008" s="87">
        <v>4.0</v>
      </c>
      <c r="C1008" s="87">
        <v>4.0</v>
      </c>
      <c r="D1008" s="84" t="s">
        <v>3415</v>
      </c>
      <c r="E1008" s="94">
        <v>1.0</v>
      </c>
      <c r="F1008" s="95">
        <f t="shared" si="1"/>
        <v>0.75</v>
      </c>
    </row>
    <row r="1009">
      <c r="A1009" s="84" t="s">
        <v>2232</v>
      </c>
      <c r="B1009" s="87">
        <v>7.0</v>
      </c>
      <c r="C1009" s="87">
        <v>6.0</v>
      </c>
      <c r="D1009" s="84" t="s">
        <v>3416</v>
      </c>
      <c r="E1009" s="94">
        <v>0.857</v>
      </c>
      <c r="F1009" s="93">
        <f t="shared" si="1"/>
        <v>0.857</v>
      </c>
    </row>
    <row r="1010">
      <c r="A1010" s="84" t="s">
        <v>2233</v>
      </c>
      <c r="B1010" s="87">
        <v>34.0</v>
      </c>
      <c r="C1010" s="87">
        <v>29.0</v>
      </c>
      <c r="D1010" s="84" t="s">
        <v>3414</v>
      </c>
      <c r="E1010" s="94">
        <v>0.853</v>
      </c>
      <c r="F1010" s="95">
        <f t="shared" si="1"/>
        <v>0.4265</v>
      </c>
    </row>
    <row r="1011">
      <c r="A1011" s="84" t="s">
        <v>2234</v>
      </c>
      <c r="B1011" s="87">
        <v>34.0</v>
      </c>
      <c r="C1011" s="87">
        <v>29.0</v>
      </c>
      <c r="D1011" s="84" t="s">
        <v>3414</v>
      </c>
      <c r="E1011" s="94">
        <v>0.853</v>
      </c>
      <c r="F1011" s="95">
        <f t="shared" si="1"/>
        <v>0.4265</v>
      </c>
    </row>
    <row r="1012">
      <c r="A1012" s="84" t="s">
        <v>2904</v>
      </c>
      <c r="B1012" s="87">
        <v>0.0</v>
      </c>
      <c r="C1012" s="87">
        <v>0.0</v>
      </c>
      <c r="D1012" s="84" t="s">
        <v>3412</v>
      </c>
      <c r="E1012" s="92" t="s">
        <v>3413</v>
      </c>
      <c r="F1012" s="93" t="str">
        <f t="shared" si="1"/>
        <v>Not Applicable</v>
      </c>
    </row>
    <row r="1013">
      <c r="A1013" s="84" t="s">
        <v>2906</v>
      </c>
      <c r="B1013" s="87">
        <v>0.0</v>
      </c>
      <c r="C1013" s="87">
        <v>0.0</v>
      </c>
      <c r="D1013" s="84" t="s">
        <v>3412</v>
      </c>
      <c r="E1013" s="92" t="s">
        <v>3413</v>
      </c>
      <c r="F1013" s="93" t="str">
        <f t="shared" si="1"/>
        <v>Not Applicable</v>
      </c>
    </row>
    <row r="1014">
      <c r="A1014" s="84" t="s">
        <v>3379</v>
      </c>
      <c r="B1014" s="87">
        <v>3.0</v>
      </c>
      <c r="C1014" s="87">
        <v>3.0</v>
      </c>
      <c r="D1014" s="84" t="s">
        <v>3415</v>
      </c>
      <c r="E1014" s="94">
        <v>1.0</v>
      </c>
      <c r="F1014" s="95">
        <f t="shared" si="1"/>
        <v>0.75</v>
      </c>
    </row>
    <row r="1015">
      <c r="A1015" s="84" t="s">
        <v>2928</v>
      </c>
      <c r="B1015" s="87">
        <v>3.0</v>
      </c>
      <c r="C1015" s="87">
        <v>3.0</v>
      </c>
      <c r="D1015" s="84" t="s">
        <v>3414</v>
      </c>
      <c r="E1015" s="94">
        <v>1.0</v>
      </c>
      <c r="F1015" s="95">
        <f t="shared" si="1"/>
        <v>0.5</v>
      </c>
    </row>
    <row r="1016">
      <c r="A1016" s="84" t="s">
        <v>3380</v>
      </c>
      <c r="B1016" s="87">
        <v>3.0</v>
      </c>
      <c r="C1016" s="87">
        <v>3.0</v>
      </c>
      <c r="D1016" s="84" t="s">
        <v>3414</v>
      </c>
      <c r="E1016" s="94">
        <v>1.0</v>
      </c>
      <c r="F1016" s="95">
        <f t="shared" si="1"/>
        <v>0.5</v>
      </c>
    </row>
    <row r="1017">
      <c r="A1017" s="84" t="s">
        <v>1658</v>
      </c>
      <c r="B1017" s="87">
        <v>3.0</v>
      </c>
      <c r="C1017" s="87">
        <v>0.0</v>
      </c>
      <c r="D1017" s="84" t="s">
        <v>3415</v>
      </c>
      <c r="E1017" s="94">
        <v>0.0</v>
      </c>
      <c r="F1017" s="95">
        <f t="shared" si="1"/>
        <v>0</v>
      </c>
    </row>
    <row r="1018">
      <c r="A1018" s="84" t="s">
        <v>2965</v>
      </c>
      <c r="B1018" s="87">
        <v>16.0</v>
      </c>
      <c r="C1018" s="87">
        <v>16.0</v>
      </c>
      <c r="D1018" s="84" t="s">
        <v>3415</v>
      </c>
      <c r="E1018" s="94">
        <v>1.0</v>
      </c>
      <c r="F1018" s="95">
        <f t="shared" si="1"/>
        <v>0.75</v>
      </c>
    </row>
    <row r="1019">
      <c r="A1019" s="84" t="s">
        <v>2966</v>
      </c>
      <c r="B1019" s="87">
        <v>10.0</v>
      </c>
      <c r="C1019" s="87">
        <v>8.0</v>
      </c>
      <c r="D1019" s="84" t="s">
        <v>3415</v>
      </c>
      <c r="E1019" s="94">
        <v>0.8</v>
      </c>
      <c r="F1019" s="95">
        <f t="shared" si="1"/>
        <v>0.6</v>
      </c>
    </row>
    <row r="1020">
      <c r="A1020" s="84" t="s">
        <v>2967</v>
      </c>
      <c r="B1020" s="87">
        <v>5.0</v>
      </c>
      <c r="C1020" s="87">
        <v>4.0</v>
      </c>
      <c r="D1020" s="84" t="s">
        <v>3415</v>
      </c>
      <c r="E1020" s="94">
        <v>0.8</v>
      </c>
      <c r="F1020" s="95">
        <f t="shared" si="1"/>
        <v>0.6</v>
      </c>
    </row>
    <row r="1021">
      <c r="A1021" s="84" t="s">
        <v>2968</v>
      </c>
      <c r="B1021" s="87">
        <v>4.0</v>
      </c>
      <c r="C1021" s="87">
        <v>4.0</v>
      </c>
      <c r="D1021" s="84" t="s">
        <v>3416</v>
      </c>
      <c r="E1021" s="94">
        <v>1.0</v>
      </c>
      <c r="F1021" s="93">
        <f t="shared" si="1"/>
        <v>1</v>
      </c>
    </row>
    <row r="1022">
      <c r="A1022" s="84" t="s">
        <v>2969</v>
      </c>
      <c r="B1022" s="87">
        <v>10.0</v>
      </c>
      <c r="C1022" s="87">
        <v>8.0</v>
      </c>
      <c r="D1022" s="84" t="s">
        <v>3416</v>
      </c>
      <c r="E1022" s="94">
        <v>0.8</v>
      </c>
      <c r="F1022" s="93">
        <f t="shared" si="1"/>
        <v>0.8</v>
      </c>
    </row>
    <row r="1023">
      <c r="A1023" s="84" t="s">
        <v>2970</v>
      </c>
      <c r="B1023" s="87">
        <v>19.0</v>
      </c>
      <c r="C1023" s="87">
        <v>16.0</v>
      </c>
      <c r="D1023" s="84" t="s">
        <v>3415</v>
      </c>
      <c r="E1023" s="94">
        <v>0.842</v>
      </c>
      <c r="F1023" s="95">
        <f t="shared" si="1"/>
        <v>0.6315</v>
      </c>
    </row>
    <row r="1024">
      <c r="A1024" s="84" t="s">
        <v>2971</v>
      </c>
      <c r="B1024" s="87">
        <v>74.0</v>
      </c>
      <c r="C1024" s="87">
        <v>62.0</v>
      </c>
      <c r="D1024" s="84" t="s">
        <v>3414</v>
      </c>
      <c r="E1024" s="94">
        <v>0.838</v>
      </c>
      <c r="F1024" s="95">
        <f t="shared" si="1"/>
        <v>0.419</v>
      </c>
    </row>
    <row r="1025">
      <c r="A1025" s="84" t="s">
        <v>1526</v>
      </c>
      <c r="B1025" s="87">
        <v>9.0</v>
      </c>
      <c r="C1025" s="87">
        <v>7.0</v>
      </c>
      <c r="D1025" s="84" t="s">
        <v>3415</v>
      </c>
      <c r="E1025" s="94">
        <v>0.778</v>
      </c>
      <c r="F1025" s="95">
        <f t="shared" si="1"/>
        <v>0.5835</v>
      </c>
    </row>
    <row r="1026">
      <c r="A1026" s="84" t="s">
        <v>1528</v>
      </c>
      <c r="B1026" s="87">
        <v>12.0</v>
      </c>
      <c r="C1026" s="87">
        <v>12.0</v>
      </c>
      <c r="D1026" s="84" t="s">
        <v>3415</v>
      </c>
      <c r="E1026" s="94">
        <v>1.0</v>
      </c>
      <c r="F1026" s="95">
        <f t="shared" si="1"/>
        <v>0.75</v>
      </c>
    </row>
    <row r="1027">
      <c r="A1027" s="84" t="s">
        <v>1529</v>
      </c>
      <c r="B1027" s="87">
        <v>12.0</v>
      </c>
      <c r="C1027" s="87">
        <v>11.0</v>
      </c>
      <c r="D1027" s="84" t="s">
        <v>3415</v>
      </c>
      <c r="E1027" s="94">
        <v>0.917</v>
      </c>
      <c r="F1027" s="95">
        <f t="shared" si="1"/>
        <v>0.68775</v>
      </c>
    </row>
    <row r="1028">
      <c r="A1028" s="84" t="s">
        <v>1530</v>
      </c>
      <c r="B1028" s="87">
        <v>4.0</v>
      </c>
      <c r="C1028" s="87">
        <v>4.0</v>
      </c>
      <c r="D1028" s="84" t="s">
        <v>3415</v>
      </c>
      <c r="E1028" s="94">
        <v>1.0</v>
      </c>
      <c r="F1028" s="95">
        <f t="shared" si="1"/>
        <v>0.75</v>
      </c>
    </row>
    <row r="1029">
      <c r="A1029" s="84" t="s">
        <v>1531</v>
      </c>
      <c r="B1029" s="87">
        <v>4.0</v>
      </c>
      <c r="C1029" s="87">
        <v>4.0</v>
      </c>
      <c r="D1029" s="84" t="s">
        <v>3415</v>
      </c>
      <c r="E1029" s="94">
        <v>1.0</v>
      </c>
      <c r="F1029" s="95">
        <f t="shared" si="1"/>
        <v>0.75</v>
      </c>
    </row>
    <row r="1030">
      <c r="A1030" s="84" t="s">
        <v>1532</v>
      </c>
      <c r="B1030" s="87">
        <v>22.0</v>
      </c>
      <c r="C1030" s="87">
        <v>17.0</v>
      </c>
      <c r="D1030" s="84" t="s">
        <v>3415</v>
      </c>
      <c r="E1030" s="94">
        <v>0.773</v>
      </c>
      <c r="F1030" s="95">
        <f t="shared" si="1"/>
        <v>0.57975</v>
      </c>
    </row>
    <row r="1031">
      <c r="A1031" s="84" t="s">
        <v>1533</v>
      </c>
      <c r="B1031" s="87">
        <v>63.0</v>
      </c>
      <c r="C1031" s="87">
        <v>55.0</v>
      </c>
      <c r="D1031" s="84" t="s">
        <v>3414</v>
      </c>
      <c r="E1031" s="94">
        <v>0.873</v>
      </c>
      <c r="F1031" s="95">
        <f t="shared" si="1"/>
        <v>0.4365</v>
      </c>
    </row>
    <row r="1032">
      <c r="A1032" s="84" t="s">
        <v>2930</v>
      </c>
      <c r="B1032" s="87">
        <v>3.0</v>
      </c>
      <c r="C1032" s="87">
        <v>3.0</v>
      </c>
      <c r="D1032" s="84" t="s">
        <v>3415</v>
      </c>
      <c r="E1032" s="94">
        <v>1.0</v>
      </c>
      <c r="F1032" s="95">
        <f t="shared" si="1"/>
        <v>0.75</v>
      </c>
    </row>
    <row r="1033">
      <c r="A1033" s="84" t="s">
        <v>2932</v>
      </c>
      <c r="B1033" s="87">
        <v>3.0</v>
      </c>
      <c r="C1033" s="87">
        <v>3.0</v>
      </c>
      <c r="D1033" s="84" t="s">
        <v>3414</v>
      </c>
      <c r="E1033" s="94">
        <v>1.0</v>
      </c>
      <c r="F1033" s="95">
        <f t="shared" si="1"/>
        <v>0.5</v>
      </c>
    </row>
    <row r="1034">
      <c r="A1034" s="84" t="s">
        <v>2933</v>
      </c>
      <c r="B1034" s="87">
        <v>3.0</v>
      </c>
      <c r="C1034" s="87">
        <v>3.0</v>
      </c>
      <c r="D1034" s="84" t="s">
        <v>3414</v>
      </c>
      <c r="E1034" s="94">
        <v>1.0</v>
      </c>
      <c r="F1034" s="95">
        <f t="shared" si="1"/>
        <v>0.5</v>
      </c>
    </row>
    <row r="1035">
      <c r="A1035" s="84" t="s">
        <v>2934</v>
      </c>
      <c r="B1035" s="87">
        <v>3.0</v>
      </c>
      <c r="C1035" s="87">
        <v>3.0</v>
      </c>
      <c r="D1035" s="84" t="s">
        <v>3414</v>
      </c>
      <c r="E1035" s="94">
        <v>1.0</v>
      </c>
      <c r="F1035" s="95">
        <f t="shared" si="1"/>
        <v>0.5</v>
      </c>
    </row>
    <row r="1036">
      <c r="A1036" s="84" t="s">
        <v>2796</v>
      </c>
      <c r="B1036" s="87">
        <v>16.0</v>
      </c>
      <c r="C1036" s="87">
        <v>15.0</v>
      </c>
      <c r="D1036" s="84" t="s">
        <v>3415</v>
      </c>
      <c r="E1036" s="94">
        <v>0.938</v>
      </c>
      <c r="F1036" s="95">
        <f t="shared" si="1"/>
        <v>0.7035</v>
      </c>
    </row>
    <row r="1037">
      <c r="A1037" s="84" t="s">
        <v>2798</v>
      </c>
      <c r="B1037" s="87">
        <v>11.0</v>
      </c>
      <c r="C1037" s="87">
        <v>8.0</v>
      </c>
      <c r="D1037" s="84" t="s">
        <v>3415</v>
      </c>
      <c r="E1037" s="94">
        <v>0.727</v>
      </c>
      <c r="F1037" s="95">
        <f t="shared" si="1"/>
        <v>0.54525</v>
      </c>
    </row>
    <row r="1038">
      <c r="A1038" s="84" t="s">
        <v>2799</v>
      </c>
      <c r="B1038" s="87">
        <v>7.0</v>
      </c>
      <c r="C1038" s="87">
        <v>5.0</v>
      </c>
      <c r="D1038" s="84" t="s">
        <v>3415</v>
      </c>
      <c r="E1038" s="94">
        <v>0.714</v>
      </c>
      <c r="F1038" s="95">
        <f t="shared" si="1"/>
        <v>0.5355</v>
      </c>
    </row>
    <row r="1039">
      <c r="A1039" s="84" t="s">
        <v>2800</v>
      </c>
      <c r="B1039" s="87">
        <v>3.0</v>
      </c>
      <c r="C1039" s="87">
        <v>2.0</v>
      </c>
      <c r="D1039" s="84" t="s">
        <v>3415</v>
      </c>
      <c r="E1039" s="94">
        <v>0.667</v>
      </c>
      <c r="F1039" s="95">
        <f t="shared" si="1"/>
        <v>0.50025</v>
      </c>
    </row>
    <row r="1040">
      <c r="A1040" s="84" t="s">
        <v>2801</v>
      </c>
      <c r="B1040" s="87">
        <v>9.0</v>
      </c>
      <c r="C1040" s="87">
        <v>5.0</v>
      </c>
      <c r="D1040" s="84" t="s">
        <v>3415</v>
      </c>
      <c r="E1040" s="94">
        <v>0.556</v>
      </c>
      <c r="F1040" s="95">
        <f t="shared" si="1"/>
        <v>0.417</v>
      </c>
    </row>
    <row r="1041">
      <c r="A1041" s="84" t="s">
        <v>2802</v>
      </c>
      <c r="B1041" s="87">
        <v>3.0</v>
      </c>
      <c r="C1041" s="87">
        <v>1.0</v>
      </c>
      <c r="D1041" s="84" t="s">
        <v>3416</v>
      </c>
      <c r="E1041" s="94">
        <v>0.333</v>
      </c>
      <c r="F1041" s="93">
        <f t="shared" si="1"/>
        <v>0.333</v>
      </c>
    </row>
    <row r="1042">
      <c r="A1042" s="84" t="s">
        <v>2803</v>
      </c>
      <c r="B1042" s="87">
        <v>66.0</v>
      </c>
      <c r="C1042" s="87">
        <v>51.0</v>
      </c>
      <c r="D1042" s="84" t="s">
        <v>3414</v>
      </c>
      <c r="E1042" s="94">
        <v>0.773</v>
      </c>
      <c r="F1042" s="95">
        <f t="shared" si="1"/>
        <v>0.3865</v>
      </c>
    </row>
    <row r="1043">
      <c r="A1043" s="84" t="s">
        <v>3399</v>
      </c>
      <c r="B1043" s="87">
        <v>0.0</v>
      </c>
      <c r="C1043" s="87">
        <v>0.0</v>
      </c>
      <c r="D1043" s="84" t="s">
        <v>3412</v>
      </c>
      <c r="E1043" s="92" t="s">
        <v>3413</v>
      </c>
      <c r="F1043" s="93" t="str">
        <f t="shared" si="1"/>
        <v>Not Applicable</v>
      </c>
    </row>
    <row r="1044">
      <c r="A1044" s="84" t="s">
        <v>3401</v>
      </c>
      <c r="B1044" s="87">
        <v>0.0</v>
      </c>
      <c r="C1044" s="87">
        <v>0.0</v>
      </c>
      <c r="D1044" s="84" t="s">
        <v>3412</v>
      </c>
      <c r="E1044" s="92" t="s">
        <v>3413</v>
      </c>
      <c r="F1044" s="93" t="str">
        <f t="shared" si="1"/>
        <v>Not Applicable</v>
      </c>
    </row>
    <row r="1045">
      <c r="A1045" s="84" t="s">
        <v>3341</v>
      </c>
      <c r="B1045" s="87">
        <v>4.0</v>
      </c>
      <c r="C1045" s="87">
        <v>4.0</v>
      </c>
      <c r="D1045" s="84" t="s">
        <v>3414</v>
      </c>
      <c r="E1045" s="94">
        <v>1.0</v>
      </c>
      <c r="F1045" s="95">
        <f t="shared" si="1"/>
        <v>0.5</v>
      </c>
    </row>
    <row r="1046">
      <c r="A1046" s="84" t="s">
        <v>2165</v>
      </c>
      <c r="B1046" s="87">
        <v>4.0</v>
      </c>
      <c r="C1046" s="87">
        <v>4.0</v>
      </c>
      <c r="D1046" s="84" t="s">
        <v>3414</v>
      </c>
      <c r="E1046" s="94">
        <v>1.0</v>
      </c>
      <c r="F1046" s="95">
        <f t="shared" si="1"/>
        <v>0.5</v>
      </c>
    </row>
    <row r="1047">
      <c r="A1047" s="84" t="s">
        <v>2167</v>
      </c>
      <c r="B1047" s="87">
        <v>4.0</v>
      </c>
      <c r="C1047" s="87">
        <v>4.0</v>
      </c>
      <c r="D1047" s="84" t="s">
        <v>3414</v>
      </c>
      <c r="E1047" s="94">
        <v>1.0</v>
      </c>
      <c r="F1047" s="95">
        <f t="shared" si="1"/>
        <v>0.5</v>
      </c>
    </row>
    <row r="1048">
      <c r="A1048" s="84" t="s">
        <v>3080</v>
      </c>
      <c r="B1048" s="87">
        <v>7.0</v>
      </c>
      <c r="C1048" s="87">
        <v>5.0</v>
      </c>
      <c r="D1048" s="84" t="s">
        <v>3415</v>
      </c>
      <c r="E1048" s="94">
        <v>0.714</v>
      </c>
      <c r="F1048" s="95">
        <f t="shared" si="1"/>
        <v>0.5355</v>
      </c>
    </row>
    <row r="1049">
      <c r="A1049" s="84" t="s">
        <v>3081</v>
      </c>
      <c r="B1049" s="87">
        <v>18.0</v>
      </c>
      <c r="C1049" s="87">
        <v>9.0</v>
      </c>
      <c r="D1049" s="84" t="s">
        <v>3416</v>
      </c>
      <c r="E1049" s="94">
        <v>0.5</v>
      </c>
      <c r="F1049" s="93">
        <f t="shared" si="1"/>
        <v>0.5</v>
      </c>
    </row>
    <row r="1050">
      <c r="A1050" s="84" t="s">
        <v>3082</v>
      </c>
      <c r="B1050" s="87">
        <v>6.0</v>
      </c>
      <c r="C1050" s="87">
        <v>5.0</v>
      </c>
      <c r="D1050" s="84" t="s">
        <v>3416</v>
      </c>
      <c r="E1050" s="94">
        <v>0.833</v>
      </c>
      <c r="F1050" s="93">
        <f t="shared" si="1"/>
        <v>0.833</v>
      </c>
    </row>
    <row r="1051">
      <c r="A1051" s="84" t="s">
        <v>3083</v>
      </c>
      <c r="B1051" s="87">
        <v>6.0</v>
      </c>
      <c r="C1051" s="87">
        <v>4.0</v>
      </c>
      <c r="D1051" s="84" t="s">
        <v>3416</v>
      </c>
      <c r="E1051" s="94">
        <v>0.667</v>
      </c>
      <c r="F1051" s="93">
        <f t="shared" si="1"/>
        <v>0.667</v>
      </c>
    </row>
    <row r="1052">
      <c r="A1052" s="84" t="s">
        <v>3084</v>
      </c>
      <c r="B1052" s="87">
        <v>22.0</v>
      </c>
      <c r="C1052" s="87">
        <v>14.0</v>
      </c>
      <c r="D1052" s="84" t="s">
        <v>3416</v>
      </c>
      <c r="E1052" s="94">
        <v>0.636</v>
      </c>
      <c r="F1052" s="93">
        <f t="shared" si="1"/>
        <v>0.636</v>
      </c>
    </row>
    <row r="1053">
      <c r="A1053" s="84" t="s">
        <v>3085</v>
      </c>
      <c r="B1053" s="87">
        <v>9.0</v>
      </c>
      <c r="C1053" s="87">
        <v>8.0</v>
      </c>
      <c r="D1053" s="84" t="s">
        <v>3416</v>
      </c>
      <c r="E1053" s="94">
        <v>0.889</v>
      </c>
      <c r="F1053" s="93">
        <f t="shared" si="1"/>
        <v>0.889</v>
      </c>
    </row>
    <row r="1054">
      <c r="A1054" s="84" t="s">
        <v>3086</v>
      </c>
      <c r="B1054" s="87">
        <v>20.0</v>
      </c>
      <c r="C1054" s="87">
        <v>0.0</v>
      </c>
      <c r="D1054" s="84" t="s">
        <v>3415</v>
      </c>
      <c r="E1054" s="94">
        <v>0.0</v>
      </c>
      <c r="F1054" s="95">
        <f t="shared" si="1"/>
        <v>0</v>
      </c>
    </row>
    <row r="1055">
      <c r="A1055" s="84" t="s">
        <v>3394</v>
      </c>
      <c r="B1055" s="87">
        <v>0.0</v>
      </c>
      <c r="C1055" s="87">
        <v>0.0</v>
      </c>
      <c r="D1055" s="84" t="s">
        <v>3412</v>
      </c>
      <c r="E1055" s="92" t="s">
        <v>3413</v>
      </c>
      <c r="F1055" s="93" t="str">
        <f t="shared" si="1"/>
        <v>Not Applicable</v>
      </c>
    </row>
    <row r="1056">
      <c r="A1056" s="84" t="s">
        <v>2237</v>
      </c>
      <c r="B1056" s="87">
        <v>3.0</v>
      </c>
      <c r="C1056" s="87">
        <v>3.0</v>
      </c>
      <c r="D1056" s="84" t="s">
        <v>3415</v>
      </c>
      <c r="E1056" s="94">
        <v>1.0</v>
      </c>
      <c r="F1056" s="95">
        <f t="shared" si="1"/>
        <v>0.75</v>
      </c>
    </row>
    <row r="1057">
      <c r="A1057" s="84" t="s">
        <v>2238</v>
      </c>
      <c r="B1057" s="87">
        <v>4.0</v>
      </c>
      <c r="C1057" s="87">
        <v>4.0</v>
      </c>
      <c r="D1057" s="84" t="s">
        <v>3415</v>
      </c>
      <c r="E1057" s="94">
        <v>1.0</v>
      </c>
      <c r="F1057" s="95">
        <f t="shared" si="1"/>
        <v>0.75</v>
      </c>
    </row>
    <row r="1058">
      <c r="A1058" s="84" t="s">
        <v>2239</v>
      </c>
      <c r="B1058" s="87">
        <v>22.0</v>
      </c>
      <c r="C1058" s="87">
        <v>18.0</v>
      </c>
      <c r="D1058" s="84" t="s">
        <v>3415</v>
      </c>
      <c r="E1058" s="94">
        <v>0.818</v>
      </c>
      <c r="F1058" s="95">
        <f t="shared" si="1"/>
        <v>0.6135</v>
      </c>
    </row>
    <row r="1059">
      <c r="A1059" s="84" t="s">
        <v>2240</v>
      </c>
      <c r="B1059" s="87">
        <v>34.0</v>
      </c>
      <c r="C1059" s="87">
        <v>29.0</v>
      </c>
      <c r="D1059" s="84" t="s">
        <v>3414</v>
      </c>
      <c r="E1059" s="94">
        <v>0.853</v>
      </c>
      <c r="F1059" s="95">
        <f t="shared" si="1"/>
        <v>0.4265</v>
      </c>
    </row>
    <row r="1060">
      <c r="A1060" s="84" t="s">
        <v>2241</v>
      </c>
      <c r="B1060" s="87">
        <v>34.0</v>
      </c>
      <c r="C1060" s="87">
        <v>29.0</v>
      </c>
      <c r="D1060" s="84" t="s">
        <v>3414</v>
      </c>
      <c r="E1060" s="94">
        <v>0.853</v>
      </c>
      <c r="F1060" s="95">
        <f t="shared" si="1"/>
        <v>0.4265</v>
      </c>
    </row>
    <row r="1061">
      <c r="A1061" s="84" t="s">
        <v>2168</v>
      </c>
      <c r="B1061" s="87">
        <v>3.0</v>
      </c>
      <c r="C1061" s="87">
        <v>3.0</v>
      </c>
      <c r="D1061" s="84" t="s">
        <v>3415</v>
      </c>
      <c r="E1061" s="94">
        <v>1.0</v>
      </c>
      <c r="F1061" s="95">
        <f t="shared" si="1"/>
        <v>0.75</v>
      </c>
    </row>
    <row r="1062">
      <c r="A1062" s="84" t="s">
        <v>2169</v>
      </c>
      <c r="B1062" s="87">
        <v>4.0</v>
      </c>
      <c r="C1062" s="87">
        <v>4.0</v>
      </c>
      <c r="D1062" s="84" t="s">
        <v>3414</v>
      </c>
      <c r="E1062" s="94">
        <v>1.0</v>
      </c>
      <c r="F1062" s="95">
        <f t="shared" si="1"/>
        <v>0.5</v>
      </c>
    </row>
    <row r="1063">
      <c r="A1063" s="84" t="s">
        <v>2170</v>
      </c>
      <c r="B1063" s="87">
        <v>4.0</v>
      </c>
      <c r="C1063" s="87">
        <v>4.0</v>
      </c>
      <c r="D1063" s="84" t="s">
        <v>3414</v>
      </c>
      <c r="E1063" s="94">
        <v>1.0</v>
      </c>
      <c r="F1063" s="95">
        <f t="shared" si="1"/>
        <v>0.5</v>
      </c>
    </row>
    <row r="1064">
      <c r="A1064" s="84" t="s">
        <v>2171</v>
      </c>
      <c r="B1064" s="87">
        <v>4.0</v>
      </c>
      <c r="C1064" s="87">
        <v>4.0</v>
      </c>
      <c r="D1064" s="84" t="s">
        <v>3414</v>
      </c>
      <c r="E1064" s="94">
        <v>1.0</v>
      </c>
      <c r="F1064" s="95">
        <f t="shared" si="1"/>
        <v>0.5</v>
      </c>
    </row>
    <row r="1065">
      <c r="A1065" s="84" t="s">
        <v>2172</v>
      </c>
      <c r="B1065" s="87">
        <v>4.0</v>
      </c>
      <c r="C1065" s="87">
        <v>4.0</v>
      </c>
      <c r="D1065" s="84" t="s">
        <v>3414</v>
      </c>
      <c r="E1065" s="94">
        <v>1.0</v>
      </c>
      <c r="F1065" s="95">
        <f t="shared" si="1"/>
        <v>0.5</v>
      </c>
    </row>
    <row r="1066">
      <c r="A1066" s="84" t="s">
        <v>2173</v>
      </c>
      <c r="B1066" s="87">
        <v>4.0</v>
      </c>
      <c r="C1066" s="87">
        <v>4.0</v>
      </c>
      <c r="D1066" s="84" t="s">
        <v>3414</v>
      </c>
      <c r="E1066" s="94">
        <v>1.0</v>
      </c>
      <c r="F1066" s="95">
        <f t="shared" si="1"/>
        <v>0.5</v>
      </c>
    </row>
    <row r="1067">
      <c r="A1067" s="84" t="s">
        <v>2448</v>
      </c>
      <c r="B1067" s="87">
        <v>7.0</v>
      </c>
      <c r="C1067" s="87">
        <v>5.0</v>
      </c>
      <c r="D1067" s="84" t="s">
        <v>3415</v>
      </c>
      <c r="E1067" s="94">
        <v>0.714</v>
      </c>
      <c r="F1067" s="95">
        <f t="shared" si="1"/>
        <v>0.5355</v>
      </c>
    </row>
    <row r="1068">
      <c r="A1068" s="84" t="s">
        <v>2448</v>
      </c>
      <c r="B1068" s="87">
        <v>88.0</v>
      </c>
      <c r="C1068" s="87">
        <v>76.0</v>
      </c>
      <c r="D1068" s="84" t="s">
        <v>3414</v>
      </c>
      <c r="E1068" s="94">
        <v>0.864</v>
      </c>
      <c r="F1068" s="95">
        <f t="shared" si="1"/>
        <v>0.432</v>
      </c>
    </row>
    <row r="1069">
      <c r="A1069" s="84" t="s">
        <v>2449</v>
      </c>
      <c r="B1069" s="87">
        <v>6.0</v>
      </c>
      <c r="C1069" s="87">
        <v>6.0</v>
      </c>
      <c r="D1069" s="84" t="s">
        <v>3416</v>
      </c>
      <c r="E1069" s="94">
        <v>1.0</v>
      </c>
      <c r="F1069" s="93">
        <f t="shared" si="1"/>
        <v>1</v>
      </c>
    </row>
    <row r="1070">
      <c r="A1070" s="84" t="s">
        <v>2449</v>
      </c>
      <c r="B1070" s="87">
        <v>6.0</v>
      </c>
      <c r="C1070" s="87">
        <v>6.0</v>
      </c>
      <c r="D1070" s="84" t="s">
        <v>3416</v>
      </c>
      <c r="E1070" s="94">
        <v>1.0</v>
      </c>
      <c r="F1070" s="93">
        <f t="shared" si="1"/>
        <v>1</v>
      </c>
    </row>
    <row r="1071">
      <c r="A1071" s="84" t="s">
        <v>2450</v>
      </c>
      <c r="B1071" s="87">
        <v>9.0</v>
      </c>
      <c r="C1071" s="87">
        <v>7.0</v>
      </c>
      <c r="D1071" s="84" t="s">
        <v>3416</v>
      </c>
      <c r="E1071" s="94">
        <v>0.778</v>
      </c>
      <c r="F1071" s="93">
        <f t="shared" si="1"/>
        <v>0.778</v>
      </c>
    </row>
    <row r="1072">
      <c r="A1072" s="84" t="s">
        <v>2450</v>
      </c>
      <c r="B1072" s="87">
        <v>9.0</v>
      </c>
      <c r="C1072" s="87">
        <v>7.0</v>
      </c>
      <c r="D1072" s="84" t="s">
        <v>3416</v>
      </c>
      <c r="E1072" s="94">
        <v>0.778</v>
      </c>
      <c r="F1072" s="93">
        <f t="shared" si="1"/>
        <v>0.778</v>
      </c>
    </row>
    <row r="1073">
      <c r="A1073" s="84" t="s">
        <v>2451</v>
      </c>
      <c r="B1073" s="87">
        <v>6.0</v>
      </c>
      <c r="C1073" s="87">
        <v>5.0</v>
      </c>
      <c r="D1073" s="84" t="s">
        <v>3416</v>
      </c>
      <c r="E1073" s="94">
        <v>0.833</v>
      </c>
      <c r="F1073" s="93">
        <f t="shared" si="1"/>
        <v>0.833</v>
      </c>
    </row>
    <row r="1074">
      <c r="A1074" s="84" t="s">
        <v>2451</v>
      </c>
      <c r="B1074" s="87">
        <v>6.0</v>
      </c>
      <c r="C1074" s="87">
        <v>5.0</v>
      </c>
      <c r="D1074" s="84" t="s">
        <v>3416</v>
      </c>
      <c r="E1074" s="94">
        <v>0.833</v>
      </c>
      <c r="F1074" s="93">
        <f t="shared" si="1"/>
        <v>0.833</v>
      </c>
    </row>
    <row r="1075">
      <c r="A1075" s="84" t="s">
        <v>2452</v>
      </c>
      <c r="B1075" s="87">
        <v>13.0</v>
      </c>
      <c r="C1075" s="87">
        <v>7.0</v>
      </c>
      <c r="D1075" s="84" t="s">
        <v>3416</v>
      </c>
      <c r="E1075" s="94">
        <v>0.538</v>
      </c>
      <c r="F1075" s="93">
        <f t="shared" si="1"/>
        <v>0.538</v>
      </c>
    </row>
    <row r="1076">
      <c r="A1076" s="84" t="s">
        <v>2452</v>
      </c>
      <c r="B1076" s="87">
        <v>13.0</v>
      </c>
      <c r="C1076" s="87">
        <v>7.0</v>
      </c>
      <c r="D1076" s="84" t="s">
        <v>3416</v>
      </c>
      <c r="E1076" s="94">
        <v>0.538</v>
      </c>
      <c r="F1076" s="93">
        <f t="shared" si="1"/>
        <v>0.538</v>
      </c>
    </row>
    <row r="1077">
      <c r="A1077" s="84" t="s">
        <v>2453</v>
      </c>
      <c r="B1077" s="87">
        <v>5.0</v>
      </c>
      <c r="C1077" s="87">
        <v>4.0</v>
      </c>
      <c r="D1077" s="84" t="s">
        <v>3416</v>
      </c>
      <c r="E1077" s="94">
        <v>0.8</v>
      </c>
      <c r="F1077" s="93">
        <f t="shared" si="1"/>
        <v>0.8</v>
      </c>
    </row>
    <row r="1078">
      <c r="A1078" s="84" t="s">
        <v>2453</v>
      </c>
      <c r="B1078" s="87">
        <v>5.0</v>
      </c>
      <c r="C1078" s="87">
        <v>4.0</v>
      </c>
      <c r="D1078" s="84" t="s">
        <v>3416</v>
      </c>
      <c r="E1078" s="94">
        <v>0.8</v>
      </c>
      <c r="F1078" s="93">
        <f t="shared" si="1"/>
        <v>0.8</v>
      </c>
    </row>
    <row r="1079">
      <c r="A1079" s="84" t="s">
        <v>2454</v>
      </c>
      <c r="B1079" s="87">
        <v>18.0</v>
      </c>
      <c r="C1079" s="87">
        <v>0.0</v>
      </c>
      <c r="D1079" s="84" t="s">
        <v>3416</v>
      </c>
      <c r="E1079" s="94">
        <v>0.0</v>
      </c>
      <c r="F1079" s="93">
        <f t="shared" si="1"/>
        <v>0</v>
      </c>
    </row>
    <row r="1080">
      <c r="A1080" s="84" t="s">
        <v>2454</v>
      </c>
      <c r="B1080" s="87">
        <v>18.0</v>
      </c>
      <c r="C1080" s="87">
        <v>0.0</v>
      </c>
      <c r="D1080" s="84" t="s">
        <v>3416</v>
      </c>
      <c r="E1080" s="94">
        <v>0.0</v>
      </c>
      <c r="F1080" s="93">
        <f t="shared" si="1"/>
        <v>0</v>
      </c>
    </row>
    <row r="1081">
      <c r="A1081" s="84" t="s">
        <v>2138</v>
      </c>
      <c r="B1081" s="87">
        <v>0.0</v>
      </c>
      <c r="C1081" s="87">
        <v>0.0</v>
      </c>
      <c r="D1081" s="84" t="s">
        <v>3412</v>
      </c>
      <c r="E1081" s="92" t="s">
        <v>3413</v>
      </c>
      <c r="F1081" s="93" t="str">
        <f t="shared" si="1"/>
        <v>Not Applicable</v>
      </c>
    </row>
    <row r="1082">
      <c r="A1082" s="84" t="s">
        <v>2140</v>
      </c>
      <c r="B1082" s="87">
        <v>0.0</v>
      </c>
      <c r="C1082" s="87">
        <v>0.0</v>
      </c>
      <c r="D1082" s="84" t="s">
        <v>3412</v>
      </c>
      <c r="E1082" s="92" t="s">
        <v>3413</v>
      </c>
      <c r="F1082" s="93" t="str">
        <f t="shared" si="1"/>
        <v>Not Applicable</v>
      </c>
    </row>
    <row r="1083">
      <c r="A1083" s="84" t="s">
        <v>2804</v>
      </c>
      <c r="B1083" s="87">
        <v>13.0</v>
      </c>
      <c r="C1083" s="87">
        <v>12.0</v>
      </c>
      <c r="D1083" s="84" t="s">
        <v>3416</v>
      </c>
      <c r="E1083" s="94">
        <v>0.923</v>
      </c>
      <c r="F1083" s="93">
        <f t="shared" si="1"/>
        <v>0.923</v>
      </c>
    </row>
    <row r="1084">
      <c r="A1084" s="84" t="s">
        <v>2805</v>
      </c>
      <c r="B1084" s="87">
        <v>5.0</v>
      </c>
      <c r="C1084" s="87">
        <v>4.0</v>
      </c>
      <c r="D1084" s="84" t="s">
        <v>3416</v>
      </c>
      <c r="E1084" s="94">
        <v>0.8</v>
      </c>
      <c r="F1084" s="93">
        <f t="shared" si="1"/>
        <v>0.8</v>
      </c>
    </row>
    <row r="1085">
      <c r="A1085" s="84" t="s">
        <v>2806</v>
      </c>
      <c r="B1085" s="87">
        <v>7.0</v>
      </c>
      <c r="C1085" s="87">
        <v>5.0</v>
      </c>
      <c r="D1085" s="84" t="s">
        <v>3415</v>
      </c>
      <c r="E1085" s="94">
        <v>0.714</v>
      </c>
      <c r="F1085" s="95">
        <f t="shared" si="1"/>
        <v>0.5355</v>
      </c>
    </row>
    <row r="1086">
      <c r="A1086" s="84" t="s">
        <v>2807</v>
      </c>
      <c r="B1086" s="87">
        <v>3.0</v>
      </c>
      <c r="C1086" s="87">
        <v>2.0</v>
      </c>
      <c r="D1086" s="84" t="s">
        <v>3415</v>
      </c>
      <c r="E1086" s="94">
        <v>0.667</v>
      </c>
      <c r="F1086" s="95">
        <f t="shared" si="1"/>
        <v>0.50025</v>
      </c>
    </row>
    <row r="1087">
      <c r="A1087" s="84" t="s">
        <v>2808</v>
      </c>
      <c r="B1087" s="87">
        <v>9.0</v>
      </c>
      <c r="C1087" s="87">
        <v>5.0</v>
      </c>
      <c r="D1087" s="84" t="s">
        <v>3415</v>
      </c>
      <c r="E1087" s="94">
        <v>0.556</v>
      </c>
      <c r="F1087" s="95">
        <f t="shared" si="1"/>
        <v>0.417</v>
      </c>
    </row>
    <row r="1088">
      <c r="A1088" s="84" t="s">
        <v>2809</v>
      </c>
      <c r="B1088" s="87">
        <v>13.0</v>
      </c>
      <c r="C1088" s="87">
        <v>12.0</v>
      </c>
      <c r="D1088" s="84" t="s">
        <v>3416</v>
      </c>
      <c r="E1088" s="94">
        <v>0.923</v>
      </c>
      <c r="F1088" s="93">
        <f t="shared" si="1"/>
        <v>0.923</v>
      </c>
    </row>
    <row r="1089">
      <c r="A1089" s="84" t="s">
        <v>2810</v>
      </c>
      <c r="B1089" s="87">
        <v>66.0</v>
      </c>
      <c r="C1089" s="87">
        <v>51.0</v>
      </c>
      <c r="D1089" s="84" t="s">
        <v>3414</v>
      </c>
      <c r="E1089" s="94">
        <v>0.773</v>
      </c>
      <c r="F1089" s="95">
        <f t="shared" si="1"/>
        <v>0.3865</v>
      </c>
    </row>
    <row r="1090">
      <c r="A1090" s="84" t="s">
        <v>3136</v>
      </c>
      <c r="B1090" s="87">
        <v>24.0</v>
      </c>
      <c r="C1090" s="87">
        <v>15.0</v>
      </c>
      <c r="D1090" s="84" t="s">
        <v>3415</v>
      </c>
      <c r="E1090" s="94">
        <v>0.625</v>
      </c>
      <c r="F1090" s="95">
        <f t="shared" si="1"/>
        <v>0.46875</v>
      </c>
    </row>
    <row r="1091">
      <c r="A1091" s="84" t="s">
        <v>3137</v>
      </c>
      <c r="B1091" s="87">
        <v>20.0</v>
      </c>
      <c r="C1091" s="87">
        <v>12.0</v>
      </c>
      <c r="D1091" s="84" t="s">
        <v>3415</v>
      </c>
      <c r="E1091" s="94">
        <v>0.6</v>
      </c>
      <c r="F1091" s="95">
        <f t="shared" si="1"/>
        <v>0.45</v>
      </c>
    </row>
    <row r="1092">
      <c r="A1092" s="84" t="s">
        <v>3138</v>
      </c>
      <c r="B1092" s="87">
        <v>11.0</v>
      </c>
      <c r="C1092" s="87">
        <v>10.0</v>
      </c>
      <c r="D1092" s="84" t="s">
        <v>3415</v>
      </c>
      <c r="E1092" s="94">
        <v>0.909</v>
      </c>
      <c r="F1092" s="95">
        <f t="shared" si="1"/>
        <v>0.68175</v>
      </c>
    </row>
    <row r="1093">
      <c r="A1093" s="84" t="s">
        <v>3139</v>
      </c>
      <c r="B1093" s="87">
        <v>3.0</v>
      </c>
      <c r="C1093" s="87">
        <v>1.0</v>
      </c>
      <c r="D1093" s="84" t="s">
        <v>3416</v>
      </c>
      <c r="E1093" s="94">
        <v>0.333</v>
      </c>
      <c r="F1093" s="93">
        <f t="shared" si="1"/>
        <v>0.333</v>
      </c>
    </row>
    <row r="1094">
      <c r="A1094" s="84" t="s">
        <v>3140</v>
      </c>
      <c r="B1094" s="87">
        <v>9.0</v>
      </c>
      <c r="C1094" s="87">
        <v>6.0</v>
      </c>
      <c r="D1094" s="84" t="s">
        <v>3415</v>
      </c>
      <c r="E1094" s="94">
        <v>0.667</v>
      </c>
      <c r="F1094" s="95">
        <f t="shared" si="1"/>
        <v>0.50025</v>
      </c>
    </row>
    <row r="1095">
      <c r="A1095" s="84" t="s">
        <v>3141</v>
      </c>
      <c r="B1095" s="87">
        <v>5.0</v>
      </c>
      <c r="C1095" s="87">
        <v>0.0</v>
      </c>
      <c r="D1095" s="84" t="s">
        <v>3416</v>
      </c>
      <c r="E1095" s="94">
        <v>0.0</v>
      </c>
      <c r="F1095" s="93">
        <f t="shared" si="1"/>
        <v>0</v>
      </c>
    </row>
    <row r="1096">
      <c r="A1096" s="84" t="s">
        <v>2531</v>
      </c>
      <c r="B1096" s="87">
        <v>8.0</v>
      </c>
      <c r="C1096" s="87">
        <v>6.0</v>
      </c>
      <c r="D1096" s="84" t="s">
        <v>3415</v>
      </c>
      <c r="E1096" s="94">
        <v>0.75</v>
      </c>
      <c r="F1096" s="95">
        <f t="shared" si="1"/>
        <v>0.5625</v>
      </c>
    </row>
    <row r="1097">
      <c r="A1097" s="84" t="s">
        <v>2532</v>
      </c>
      <c r="B1097" s="87">
        <v>15.0</v>
      </c>
      <c r="C1097" s="87">
        <v>9.0</v>
      </c>
      <c r="D1097" s="84" t="s">
        <v>3415</v>
      </c>
      <c r="E1097" s="94">
        <v>0.6</v>
      </c>
      <c r="F1097" s="95">
        <f t="shared" si="1"/>
        <v>0.45</v>
      </c>
    </row>
    <row r="1098">
      <c r="A1098" s="84" t="s">
        <v>2533</v>
      </c>
      <c r="B1098" s="87">
        <v>13.0</v>
      </c>
      <c r="C1098" s="87">
        <v>7.0</v>
      </c>
      <c r="D1098" s="84" t="s">
        <v>3415</v>
      </c>
      <c r="E1098" s="94">
        <v>0.538</v>
      </c>
      <c r="F1098" s="95">
        <f t="shared" si="1"/>
        <v>0.4035</v>
      </c>
    </row>
    <row r="1099">
      <c r="A1099" s="84" t="s">
        <v>2534</v>
      </c>
      <c r="B1099" s="87">
        <v>4.0</v>
      </c>
      <c r="C1099" s="87">
        <v>4.0</v>
      </c>
      <c r="D1099" s="84" t="s">
        <v>3416</v>
      </c>
      <c r="E1099" s="94">
        <v>1.0</v>
      </c>
      <c r="F1099" s="93">
        <f t="shared" si="1"/>
        <v>1</v>
      </c>
    </row>
    <row r="1100">
      <c r="A1100" s="84" t="s">
        <v>2535</v>
      </c>
      <c r="B1100" s="87">
        <v>4.0</v>
      </c>
      <c r="C1100" s="87">
        <v>3.0</v>
      </c>
      <c r="D1100" s="84" t="s">
        <v>3415</v>
      </c>
      <c r="E1100" s="94">
        <v>0.75</v>
      </c>
      <c r="F1100" s="95">
        <f t="shared" si="1"/>
        <v>0.5625</v>
      </c>
    </row>
    <row r="1101">
      <c r="A1101" s="84" t="s">
        <v>2536</v>
      </c>
      <c r="B1101" s="87">
        <v>25.0</v>
      </c>
      <c r="C1101" s="87">
        <v>0.0</v>
      </c>
      <c r="D1101" s="84" t="s">
        <v>3415</v>
      </c>
      <c r="E1101" s="94">
        <v>0.0</v>
      </c>
      <c r="F1101" s="95">
        <f t="shared" si="1"/>
        <v>0</v>
      </c>
    </row>
    <row r="1102">
      <c r="A1102" s="84" t="s">
        <v>1892</v>
      </c>
      <c r="B1102" s="87">
        <v>24.0</v>
      </c>
      <c r="C1102" s="87">
        <v>17.0</v>
      </c>
      <c r="D1102" s="84" t="s">
        <v>3415</v>
      </c>
      <c r="E1102" s="94">
        <v>0.708</v>
      </c>
      <c r="F1102" s="95">
        <f t="shared" si="1"/>
        <v>0.531</v>
      </c>
    </row>
    <row r="1103">
      <c r="A1103" s="84" t="s">
        <v>1824</v>
      </c>
      <c r="B1103" s="87">
        <v>5.0</v>
      </c>
      <c r="C1103" s="87">
        <v>2.0</v>
      </c>
      <c r="D1103" s="84" t="s">
        <v>3415</v>
      </c>
      <c r="E1103" s="94">
        <v>0.4</v>
      </c>
      <c r="F1103" s="95">
        <f t="shared" si="1"/>
        <v>0.3</v>
      </c>
    </row>
    <row r="1104">
      <c r="A1104" s="84" t="s">
        <v>1826</v>
      </c>
      <c r="B1104" s="87">
        <v>11.0</v>
      </c>
      <c r="C1104" s="87">
        <v>7.0</v>
      </c>
      <c r="D1104" s="84" t="s">
        <v>3414</v>
      </c>
      <c r="E1104" s="94">
        <v>0.636</v>
      </c>
      <c r="F1104" s="95">
        <f t="shared" si="1"/>
        <v>0.318</v>
      </c>
    </row>
    <row r="1105">
      <c r="A1105" s="84" t="s">
        <v>1827</v>
      </c>
      <c r="B1105" s="87">
        <v>11.0</v>
      </c>
      <c r="C1105" s="87">
        <v>7.0</v>
      </c>
      <c r="D1105" s="84" t="s">
        <v>3414</v>
      </c>
      <c r="E1105" s="94">
        <v>0.636</v>
      </c>
      <c r="F1105" s="95">
        <f t="shared" si="1"/>
        <v>0.318</v>
      </c>
    </row>
    <row r="1106">
      <c r="A1106" s="84" t="s">
        <v>1828</v>
      </c>
      <c r="B1106" s="87">
        <v>11.0</v>
      </c>
      <c r="C1106" s="87">
        <v>7.0</v>
      </c>
      <c r="D1106" s="84" t="s">
        <v>3414</v>
      </c>
      <c r="E1106" s="94">
        <v>0.636</v>
      </c>
      <c r="F1106" s="95">
        <f t="shared" si="1"/>
        <v>0.318</v>
      </c>
    </row>
    <row r="1107">
      <c r="A1107" s="84" t="s">
        <v>1830</v>
      </c>
      <c r="B1107" s="87">
        <v>11.0</v>
      </c>
      <c r="C1107" s="87">
        <v>7.0</v>
      </c>
      <c r="D1107" s="84" t="s">
        <v>3414</v>
      </c>
      <c r="E1107" s="94">
        <v>0.636</v>
      </c>
      <c r="F1107" s="95">
        <f t="shared" si="1"/>
        <v>0.318</v>
      </c>
    </row>
    <row r="1108">
      <c r="A1108" s="84" t="s">
        <v>2316</v>
      </c>
      <c r="B1108" s="87">
        <v>0.0</v>
      </c>
      <c r="C1108" s="87">
        <v>0.0</v>
      </c>
      <c r="D1108" s="84" t="s">
        <v>3412</v>
      </c>
      <c r="E1108" s="92" t="s">
        <v>3413</v>
      </c>
      <c r="F1108" s="93" t="str">
        <f t="shared" si="1"/>
        <v>Not Applicable</v>
      </c>
    </row>
    <row r="1109">
      <c r="A1109" s="84" t="s">
        <v>2318</v>
      </c>
      <c r="B1109" s="87">
        <v>0.0</v>
      </c>
      <c r="C1109" s="87">
        <v>0.0</v>
      </c>
      <c r="D1109" s="84" t="s">
        <v>3412</v>
      </c>
      <c r="E1109" s="92" t="s">
        <v>3413</v>
      </c>
      <c r="F1109" s="93" t="str">
        <f t="shared" si="1"/>
        <v>Not Applicable</v>
      </c>
    </row>
    <row r="1110">
      <c r="A1110" s="84" t="s">
        <v>1617</v>
      </c>
      <c r="B1110" s="87">
        <v>3.0</v>
      </c>
      <c r="C1110" s="87">
        <v>2.0</v>
      </c>
      <c r="D1110" s="84" t="s">
        <v>3416</v>
      </c>
      <c r="E1110" s="94">
        <v>0.667</v>
      </c>
      <c r="F1110" s="93">
        <f t="shared" si="1"/>
        <v>0.667</v>
      </c>
    </row>
    <row r="1111">
      <c r="A1111" s="84" t="s">
        <v>1618</v>
      </c>
      <c r="B1111" s="87">
        <v>4.0</v>
      </c>
      <c r="C1111" s="87">
        <v>4.0</v>
      </c>
      <c r="D1111" s="84" t="s">
        <v>3415</v>
      </c>
      <c r="E1111" s="94">
        <v>1.0</v>
      </c>
      <c r="F1111" s="95">
        <f t="shared" si="1"/>
        <v>0.75</v>
      </c>
    </row>
    <row r="1112">
      <c r="A1112" s="84" t="s">
        <v>1619</v>
      </c>
      <c r="B1112" s="87">
        <v>3.0</v>
      </c>
      <c r="C1112" s="87">
        <v>3.0</v>
      </c>
      <c r="D1112" s="84" t="s">
        <v>3415</v>
      </c>
      <c r="E1112" s="94">
        <v>1.0</v>
      </c>
      <c r="F1112" s="95">
        <f t="shared" si="1"/>
        <v>0.75</v>
      </c>
    </row>
    <row r="1113">
      <c r="A1113" s="84" t="s">
        <v>1620</v>
      </c>
      <c r="B1113" s="87">
        <v>123.0</v>
      </c>
      <c r="C1113" s="87">
        <v>98.0</v>
      </c>
      <c r="D1113" s="84" t="s">
        <v>3416</v>
      </c>
      <c r="E1113" s="94">
        <v>0.797</v>
      </c>
      <c r="F1113" s="93">
        <f t="shared" si="1"/>
        <v>0.797</v>
      </c>
    </row>
    <row r="1114">
      <c r="A1114" s="84" t="s">
        <v>3301</v>
      </c>
      <c r="B1114" s="87">
        <v>305.0</v>
      </c>
      <c r="C1114" s="87">
        <v>216.0</v>
      </c>
      <c r="D1114" s="84" t="s">
        <v>3414</v>
      </c>
      <c r="E1114" s="94">
        <v>0.708</v>
      </c>
      <c r="F1114" s="95">
        <f t="shared" si="1"/>
        <v>0.354</v>
      </c>
    </row>
    <row r="1115">
      <c r="A1115" s="84" t="s">
        <v>1621</v>
      </c>
      <c r="B1115" s="87">
        <v>15.0</v>
      </c>
      <c r="C1115" s="87">
        <v>0.0</v>
      </c>
      <c r="D1115" s="84" t="s">
        <v>3416</v>
      </c>
      <c r="E1115" s="94">
        <v>0.0</v>
      </c>
      <c r="F1115" s="93">
        <f t="shared" si="1"/>
        <v>0</v>
      </c>
    </row>
    <row r="1116">
      <c r="A1116" s="84" t="s">
        <v>1534</v>
      </c>
      <c r="B1116" s="87">
        <v>9.0</v>
      </c>
      <c r="C1116" s="87">
        <v>7.0</v>
      </c>
      <c r="D1116" s="84" t="s">
        <v>3415</v>
      </c>
      <c r="E1116" s="94">
        <v>0.778</v>
      </c>
      <c r="F1116" s="95">
        <f t="shared" si="1"/>
        <v>0.5835</v>
      </c>
    </row>
    <row r="1117">
      <c r="A1117" s="84" t="s">
        <v>1536</v>
      </c>
      <c r="B1117" s="87">
        <v>12.0</v>
      </c>
      <c r="C1117" s="87">
        <v>12.0</v>
      </c>
      <c r="D1117" s="84" t="s">
        <v>3415</v>
      </c>
      <c r="E1117" s="94">
        <v>1.0</v>
      </c>
      <c r="F1117" s="95">
        <f t="shared" si="1"/>
        <v>0.75</v>
      </c>
    </row>
    <row r="1118">
      <c r="A1118" s="84" t="s">
        <v>1537</v>
      </c>
      <c r="B1118" s="87">
        <v>12.0</v>
      </c>
      <c r="C1118" s="87">
        <v>11.0</v>
      </c>
      <c r="D1118" s="84" t="s">
        <v>3415</v>
      </c>
      <c r="E1118" s="94">
        <v>0.917</v>
      </c>
      <c r="F1118" s="95">
        <f t="shared" si="1"/>
        <v>0.68775</v>
      </c>
    </row>
    <row r="1119">
      <c r="A1119" s="84" t="s">
        <v>1538</v>
      </c>
      <c r="B1119" s="87">
        <v>4.0</v>
      </c>
      <c r="C1119" s="87">
        <v>4.0</v>
      </c>
      <c r="D1119" s="84" t="s">
        <v>3415</v>
      </c>
      <c r="E1119" s="94">
        <v>1.0</v>
      </c>
      <c r="F1119" s="95">
        <f t="shared" si="1"/>
        <v>0.75</v>
      </c>
    </row>
    <row r="1120">
      <c r="A1120" s="84" t="s">
        <v>1539</v>
      </c>
      <c r="B1120" s="87">
        <v>4.0</v>
      </c>
      <c r="C1120" s="87">
        <v>4.0</v>
      </c>
      <c r="D1120" s="84" t="s">
        <v>3415</v>
      </c>
      <c r="E1120" s="94">
        <v>1.0</v>
      </c>
      <c r="F1120" s="95">
        <f t="shared" si="1"/>
        <v>0.75</v>
      </c>
    </row>
    <row r="1121">
      <c r="A1121" s="84" t="s">
        <v>1540</v>
      </c>
      <c r="B1121" s="87">
        <v>22.0</v>
      </c>
      <c r="C1121" s="87">
        <v>17.0</v>
      </c>
      <c r="D1121" s="84" t="s">
        <v>3415</v>
      </c>
      <c r="E1121" s="94">
        <v>0.773</v>
      </c>
      <c r="F1121" s="95">
        <f t="shared" si="1"/>
        <v>0.57975</v>
      </c>
    </row>
    <row r="1122">
      <c r="A1122" s="84" t="s">
        <v>1541</v>
      </c>
      <c r="B1122" s="87">
        <v>63.0</v>
      </c>
      <c r="C1122" s="87">
        <v>55.0</v>
      </c>
      <c r="D1122" s="84" t="s">
        <v>3414</v>
      </c>
      <c r="E1122" s="94">
        <v>0.873</v>
      </c>
      <c r="F1122" s="95">
        <f t="shared" si="1"/>
        <v>0.4365</v>
      </c>
    </row>
    <row r="1123">
      <c r="A1123" s="84" t="s">
        <v>1831</v>
      </c>
      <c r="B1123" s="87">
        <v>11.0</v>
      </c>
      <c r="C1123" s="87">
        <v>7.0</v>
      </c>
      <c r="D1123" s="84" t="s">
        <v>3414</v>
      </c>
      <c r="E1123" s="94">
        <v>0.636</v>
      </c>
      <c r="F1123" s="95">
        <f t="shared" si="1"/>
        <v>0.318</v>
      </c>
    </row>
    <row r="1124">
      <c r="A1124" s="84" t="s">
        <v>1832</v>
      </c>
      <c r="B1124" s="87">
        <v>5.0</v>
      </c>
      <c r="C1124" s="87">
        <v>2.0</v>
      </c>
      <c r="D1124" s="84" t="s">
        <v>3415</v>
      </c>
      <c r="E1124" s="94">
        <v>0.4</v>
      </c>
      <c r="F1124" s="95">
        <f t="shared" si="1"/>
        <v>0.3</v>
      </c>
    </row>
    <row r="1125">
      <c r="A1125" s="84" t="s">
        <v>1833</v>
      </c>
      <c r="B1125" s="87">
        <v>11.0</v>
      </c>
      <c r="C1125" s="87">
        <v>7.0</v>
      </c>
      <c r="D1125" s="84" t="s">
        <v>3414</v>
      </c>
      <c r="E1125" s="94">
        <v>0.636</v>
      </c>
      <c r="F1125" s="95">
        <f t="shared" si="1"/>
        <v>0.318</v>
      </c>
    </row>
    <row r="1126">
      <c r="A1126" s="84" t="s">
        <v>1834</v>
      </c>
      <c r="B1126" s="87">
        <v>11.0</v>
      </c>
      <c r="C1126" s="87">
        <v>7.0</v>
      </c>
      <c r="D1126" s="84" t="s">
        <v>3414</v>
      </c>
      <c r="E1126" s="94">
        <v>0.636</v>
      </c>
      <c r="F1126" s="95">
        <f t="shared" si="1"/>
        <v>0.318</v>
      </c>
    </row>
    <row r="1127">
      <c r="A1127" s="84" t="s">
        <v>1835</v>
      </c>
      <c r="B1127" s="87">
        <v>11.0</v>
      </c>
      <c r="C1127" s="87">
        <v>7.0</v>
      </c>
      <c r="D1127" s="84" t="s">
        <v>3414</v>
      </c>
      <c r="E1127" s="94">
        <v>0.636</v>
      </c>
      <c r="F1127" s="95">
        <f t="shared" si="1"/>
        <v>0.318</v>
      </c>
    </row>
    <row r="1128">
      <c r="A1128" s="84" t="s">
        <v>1836</v>
      </c>
      <c r="B1128" s="87">
        <v>11.0</v>
      </c>
      <c r="C1128" s="87">
        <v>7.0</v>
      </c>
      <c r="D1128" s="84" t="s">
        <v>3414</v>
      </c>
      <c r="E1128" s="94">
        <v>0.636</v>
      </c>
      <c r="F1128" s="95">
        <f t="shared" si="1"/>
        <v>0.318</v>
      </c>
    </row>
    <row r="1129">
      <c r="A1129" s="84" t="s">
        <v>1837</v>
      </c>
      <c r="B1129" s="87">
        <v>11.0</v>
      </c>
      <c r="C1129" s="87">
        <v>7.0</v>
      </c>
      <c r="D1129" s="84" t="s">
        <v>3414</v>
      </c>
      <c r="E1129" s="94">
        <v>0.636</v>
      </c>
      <c r="F1129" s="95">
        <f t="shared" si="1"/>
        <v>0.318</v>
      </c>
    </row>
    <row r="1130">
      <c r="A1130" s="84" t="s">
        <v>2736</v>
      </c>
      <c r="B1130" s="87">
        <v>49.0</v>
      </c>
      <c r="C1130" s="87">
        <v>0.0</v>
      </c>
      <c r="D1130" s="84" t="s">
        <v>3414</v>
      </c>
      <c r="E1130" s="94">
        <v>0.0</v>
      </c>
      <c r="F1130" s="95">
        <f t="shared" si="1"/>
        <v>0</v>
      </c>
    </row>
    <row r="1131">
      <c r="A1131" s="84" t="s">
        <v>2738</v>
      </c>
      <c r="B1131" s="87">
        <v>4.0</v>
      </c>
      <c r="C1131" s="87">
        <v>0.0</v>
      </c>
      <c r="D1131" s="84" t="s">
        <v>3416</v>
      </c>
      <c r="E1131" s="94">
        <v>0.0</v>
      </c>
      <c r="F1131" s="93">
        <f t="shared" si="1"/>
        <v>0</v>
      </c>
    </row>
    <row r="1132">
      <c r="A1132" s="84" t="s">
        <v>2739</v>
      </c>
      <c r="B1132" s="87">
        <v>29.0</v>
      </c>
      <c r="C1132" s="87">
        <v>0.0</v>
      </c>
      <c r="D1132" s="84" t="s">
        <v>3416</v>
      </c>
      <c r="E1132" s="94">
        <v>0.0</v>
      </c>
      <c r="F1132" s="93">
        <f t="shared" si="1"/>
        <v>0</v>
      </c>
    </row>
    <row r="1133">
      <c r="A1133" s="84" t="s">
        <v>2887</v>
      </c>
      <c r="B1133" s="87">
        <v>1.0</v>
      </c>
      <c r="C1133" s="87">
        <v>0.0</v>
      </c>
      <c r="D1133" s="84" t="s">
        <v>3414</v>
      </c>
      <c r="E1133" s="92" t="s">
        <v>3413</v>
      </c>
      <c r="F1133" s="95" t="str">
        <f t="shared" si="1"/>
        <v>#VALUE!</v>
      </c>
    </row>
    <row r="1134">
      <c r="A1134" s="84" t="s">
        <v>2354</v>
      </c>
      <c r="B1134" s="87">
        <v>6.0</v>
      </c>
      <c r="C1134" s="87">
        <v>5.0</v>
      </c>
      <c r="D1134" s="84" t="s">
        <v>3416</v>
      </c>
      <c r="E1134" s="94">
        <v>0.833</v>
      </c>
      <c r="F1134" s="93">
        <f t="shared" si="1"/>
        <v>0.833</v>
      </c>
    </row>
    <row r="1135">
      <c r="A1135" s="84" t="s">
        <v>2356</v>
      </c>
      <c r="B1135" s="87">
        <v>4.0</v>
      </c>
      <c r="C1135" s="87">
        <v>3.0</v>
      </c>
      <c r="D1135" s="84" t="s">
        <v>3416</v>
      </c>
      <c r="E1135" s="94">
        <v>0.75</v>
      </c>
      <c r="F1135" s="93">
        <f t="shared" si="1"/>
        <v>0.75</v>
      </c>
    </row>
    <row r="1136">
      <c r="A1136" s="84" t="s">
        <v>1660</v>
      </c>
      <c r="B1136" s="87">
        <v>12.0</v>
      </c>
      <c r="C1136" s="87">
        <v>8.0</v>
      </c>
      <c r="D1136" s="84" t="s">
        <v>3415</v>
      </c>
      <c r="E1136" s="94">
        <v>0.667</v>
      </c>
      <c r="F1136" s="95">
        <f t="shared" si="1"/>
        <v>0.50025</v>
      </c>
    </row>
    <row r="1137">
      <c r="A1137" s="84" t="s">
        <v>1661</v>
      </c>
      <c r="B1137" s="87">
        <v>13.0</v>
      </c>
      <c r="C1137" s="87">
        <v>6.0</v>
      </c>
      <c r="D1137" s="84" t="s">
        <v>3415</v>
      </c>
      <c r="E1137" s="94">
        <v>0.462</v>
      </c>
      <c r="F1137" s="95">
        <f t="shared" si="1"/>
        <v>0.3465</v>
      </c>
    </row>
    <row r="1138">
      <c r="A1138" s="84" t="s">
        <v>1662</v>
      </c>
      <c r="B1138" s="87">
        <v>9.0</v>
      </c>
      <c r="C1138" s="87">
        <v>8.0</v>
      </c>
      <c r="D1138" s="84" t="s">
        <v>3415</v>
      </c>
      <c r="E1138" s="94">
        <v>0.889</v>
      </c>
      <c r="F1138" s="95">
        <f t="shared" si="1"/>
        <v>0.66675</v>
      </c>
    </row>
    <row r="1139">
      <c r="A1139" s="84" t="s">
        <v>1663</v>
      </c>
      <c r="B1139" s="87">
        <v>3.0</v>
      </c>
      <c r="C1139" s="87">
        <v>3.0</v>
      </c>
      <c r="D1139" s="84" t="s">
        <v>3415</v>
      </c>
      <c r="E1139" s="94">
        <v>1.0</v>
      </c>
      <c r="F1139" s="95">
        <f t="shared" si="1"/>
        <v>0.75</v>
      </c>
    </row>
    <row r="1140">
      <c r="A1140" s="84" t="s">
        <v>1664</v>
      </c>
      <c r="B1140" s="87">
        <v>11.0</v>
      </c>
      <c r="C1140" s="87">
        <v>7.0</v>
      </c>
      <c r="D1140" s="84" t="s">
        <v>3415</v>
      </c>
      <c r="E1140" s="94">
        <v>0.636</v>
      </c>
      <c r="F1140" s="95">
        <f t="shared" si="1"/>
        <v>0.477</v>
      </c>
    </row>
    <row r="1141">
      <c r="A1141" s="84" t="s">
        <v>1665</v>
      </c>
      <c r="B1141" s="87">
        <v>10.0</v>
      </c>
      <c r="C1141" s="87">
        <v>2.0</v>
      </c>
      <c r="D1141" s="84" t="s">
        <v>3415</v>
      </c>
      <c r="E1141" s="94">
        <v>0.2</v>
      </c>
      <c r="F1141" s="95">
        <f t="shared" si="1"/>
        <v>0.15</v>
      </c>
    </row>
    <row r="1142">
      <c r="A1142" s="84" t="s">
        <v>1666</v>
      </c>
      <c r="B1142" s="87">
        <v>3.0</v>
      </c>
      <c r="C1142" s="87">
        <v>0.0</v>
      </c>
      <c r="D1142" s="84" t="s">
        <v>3415</v>
      </c>
      <c r="E1142" s="94">
        <v>0.0</v>
      </c>
      <c r="F1142" s="95">
        <f t="shared" si="1"/>
        <v>0</v>
      </c>
    </row>
    <row r="1143">
      <c r="A1143" s="84" t="s">
        <v>1667</v>
      </c>
      <c r="B1143" s="87">
        <v>12.0</v>
      </c>
      <c r="C1143" s="87">
        <v>8.0</v>
      </c>
      <c r="D1143" s="84" t="s">
        <v>3415</v>
      </c>
      <c r="E1143" s="94">
        <v>0.667</v>
      </c>
      <c r="F1143" s="95">
        <f t="shared" si="1"/>
        <v>0.50025</v>
      </c>
    </row>
    <row r="1144">
      <c r="A1144" s="84" t="s">
        <v>1668</v>
      </c>
      <c r="B1144" s="87">
        <v>13.0</v>
      </c>
      <c r="C1144" s="87">
        <v>6.0</v>
      </c>
      <c r="D1144" s="84" t="s">
        <v>3415</v>
      </c>
      <c r="E1144" s="94">
        <v>0.462</v>
      </c>
      <c r="F1144" s="95">
        <f t="shared" si="1"/>
        <v>0.3465</v>
      </c>
    </row>
    <row r="1145">
      <c r="A1145" s="84" t="s">
        <v>1669</v>
      </c>
      <c r="B1145" s="87">
        <v>9.0</v>
      </c>
      <c r="C1145" s="87">
        <v>8.0</v>
      </c>
      <c r="D1145" s="84" t="s">
        <v>3415</v>
      </c>
      <c r="E1145" s="94">
        <v>0.889</v>
      </c>
      <c r="F1145" s="95">
        <f t="shared" si="1"/>
        <v>0.66675</v>
      </c>
    </row>
    <row r="1146">
      <c r="A1146" s="84" t="s">
        <v>1670</v>
      </c>
      <c r="B1146" s="87">
        <v>3.0</v>
      </c>
      <c r="C1146" s="87">
        <v>3.0</v>
      </c>
      <c r="D1146" s="84" t="s">
        <v>3415</v>
      </c>
      <c r="E1146" s="94">
        <v>1.0</v>
      </c>
      <c r="F1146" s="95">
        <f t="shared" si="1"/>
        <v>0.75</v>
      </c>
    </row>
    <row r="1147">
      <c r="A1147" s="84" t="s">
        <v>1671</v>
      </c>
      <c r="B1147" s="87">
        <v>11.0</v>
      </c>
      <c r="C1147" s="87">
        <v>7.0</v>
      </c>
      <c r="D1147" s="84" t="s">
        <v>3415</v>
      </c>
      <c r="E1147" s="94">
        <v>0.636</v>
      </c>
      <c r="F1147" s="95">
        <f t="shared" si="1"/>
        <v>0.477</v>
      </c>
    </row>
    <row r="1148">
      <c r="A1148" s="84" t="s">
        <v>1672</v>
      </c>
      <c r="B1148" s="87">
        <v>10.0</v>
      </c>
      <c r="C1148" s="87">
        <v>2.0</v>
      </c>
      <c r="D1148" s="84" t="s">
        <v>3415</v>
      </c>
      <c r="E1148" s="94">
        <v>0.2</v>
      </c>
      <c r="F1148" s="95">
        <f t="shared" si="1"/>
        <v>0.15</v>
      </c>
    </row>
    <row r="1149">
      <c r="A1149" s="84" t="s">
        <v>1673</v>
      </c>
      <c r="B1149" s="87">
        <v>3.0</v>
      </c>
      <c r="C1149" s="87">
        <v>0.0</v>
      </c>
      <c r="D1149" s="84" t="s">
        <v>3415</v>
      </c>
      <c r="E1149" s="94">
        <v>0.0</v>
      </c>
      <c r="F1149" s="95">
        <f t="shared" si="1"/>
        <v>0</v>
      </c>
    </row>
    <row r="1150">
      <c r="A1150" s="84" t="s">
        <v>1674</v>
      </c>
      <c r="B1150" s="87">
        <v>9.0</v>
      </c>
      <c r="C1150" s="87">
        <v>6.0</v>
      </c>
      <c r="D1150" s="84" t="s">
        <v>3416</v>
      </c>
      <c r="E1150" s="94">
        <v>0.667</v>
      </c>
      <c r="F1150" s="93">
        <f t="shared" si="1"/>
        <v>0.667</v>
      </c>
    </row>
    <row r="1151">
      <c r="A1151" s="84" t="s">
        <v>1675</v>
      </c>
      <c r="B1151" s="87">
        <v>4.0</v>
      </c>
      <c r="C1151" s="87">
        <v>0.0</v>
      </c>
      <c r="D1151" s="84" t="s">
        <v>3416</v>
      </c>
      <c r="E1151" s="94">
        <v>0.0</v>
      </c>
      <c r="F1151" s="93">
        <f t="shared" si="1"/>
        <v>0</v>
      </c>
    </row>
    <row r="1152">
      <c r="A1152" s="84" t="s">
        <v>1676</v>
      </c>
      <c r="B1152" s="87">
        <v>3.0</v>
      </c>
      <c r="C1152" s="87">
        <v>3.0</v>
      </c>
      <c r="D1152" s="84" t="s">
        <v>3416</v>
      </c>
      <c r="E1152" s="94">
        <v>1.0</v>
      </c>
      <c r="F1152" s="93">
        <f t="shared" si="1"/>
        <v>1</v>
      </c>
    </row>
    <row r="1153">
      <c r="A1153" s="84" t="s">
        <v>1677</v>
      </c>
      <c r="B1153" s="87">
        <v>3.0</v>
      </c>
      <c r="C1153" s="87">
        <v>3.0</v>
      </c>
      <c r="D1153" s="84" t="s">
        <v>3415</v>
      </c>
      <c r="E1153" s="94">
        <v>1.0</v>
      </c>
      <c r="F1153" s="95">
        <f t="shared" si="1"/>
        <v>0.75</v>
      </c>
    </row>
    <row r="1154">
      <c r="A1154" s="84" t="s">
        <v>1678</v>
      </c>
      <c r="B1154" s="87">
        <v>4.0</v>
      </c>
      <c r="C1154" s="87">
        <v>3.0</v>
      </c>
      <c r="D1154" s="84" t="s">
        <v>3416</v>
      </c>
      <c r="E1154" s="94">
        <v>0.75</v>
      </c>
      <c r="F1154" s="93">
        <f t="shared" si="1"/>
        <v>0.75</v>
      </c>
    </row>
    <row r="1155">
      <c r="A1155" s="84" t="s">
        <v>1679</v>
      </c>
      <c r="B1155" s="87">
        <v>10.0</v>
      </c>
      <c r="C1155" s="87">
        <v>2.0</v>
      </c>
      <c r="D1155" s="84" t="s">
        <v>3415</v>
      </c>
      <c r="E1155" s="94">
        <v>0.2</v>
      </c>
      <c r="F1155" s="95">
        <f t="shared" si="1"/>
        <v>0.15</v>
      </c>
    </row>
    <row r="1156">
      <c r="A1156" s="84" t="s">
        <v>1680</v>
      </c>
      <c r="B1156" s="87">
        <v>3.0</v>
      </c>
      <c r="C1156" s="87">
        <v>0.0</v>
      </c>
      <c r="D1156" s="84" t="s">
        <v>3415</v>
      </c>
      <c r="E1156" s="94">
        <v>0.0</v>
      </c>
      <c r="F1156" s="95">
        <f t="shared" si="1"/>
        <v>0</v>
      </c>
    </row>
    <row r="1157">
      <c r="A1157" s="84" t="s">
        <v>3260</v>
      </c>
      <c r="B1157" s="87">
        <v>8.0</v>
      </c>
      <c r="C1157" s="87">
        <v>8.0</v>
      </c>
      <c r="D1157" s="84" t="s">
        <v>3414</v>
      </c>
      <c r="E1157" s="94">
        <v>1.0</v>
      </c>
      <c r="F1157" s="95">
        <f t="shared" si="1"/>
        <v>0.5</v>
      </c>
    </row>
    <row r="1158">
      <c r="A1158" s="84" t="s">
        <v>3261</v>
      </c>
      <c r="B1158" s="87">
        <v>8.0</v>
      </c>
      <c r="C1158" s="87">
        <v>8.0</v>
      </c>
      <c r="D1158" s="84" t="s">
        <v>3414</v>
      </c>
      <c r="E1158" s="94">
        <v>1.0</v>
      </c>
      <c r="F1158" s="95">
        <f t="shared" si="1"/>
        <v>0.5</v>
      </c>
    </row>
    <row r="1159">
      <c r="A1159" s="84" t="s">
        <v>3262</v>
      </c>
      <c r="B1159" s="87">
        <v>8.0</v>
      </c>
      <c r="C1159" s="87">
        <v>8.0</v>
      </c>
      <c r="D1159" s="84" t="s">
        <v>3414</v>
      </c>
      <c r="E1159" s="94">
        <v>1.0</v>
      </c>
      <c r="F1159" s="95">
        <f t="shared" si="1"/>
        <v>0.5</v>
      </c>
    </row>
    <row r="1160">
      <c r="A1160" s="84" t="s">
        <v>3263</v>
      </c>
      <c r="B1160" s="87">
        <v>8.0</v>
      </c>
      <c r="C1160" s="87">
        <v>8.0</v>
      </c>
      <c r="D1160" s="84" t="s">
        <v>3414</v>
      </c>
      <c r="E1160" s="94">
        <v>1.0</v>
      </c>
      <c r="F1160" s="95">
        <f t="shared" si="1"/>
        <v>0.5</v>
      </c>
    </row>
    <row r="1161">
      <c r="A1161" s="84" t="s">
        <v>3264</v>
      </c>
      <c r="B1161" s="87">
        <v>8.0</v>
      </c>
      <c r="C1161" s="87">
        <v>8.0</v>
      </c>
      <c r="D1161" s="84" t="s">
        <v>3414</v>
      </c>
      <c r="E1161" s="94">
        <v>1.0</v>
      </c>
      <c r="F1161" s="95">
        <f t="shared" si="1"/>
        <v>0.5</v>
      </c>
    </row>
    <row r="1162">
      <c r="A1162" s="84" t="s">
        <v>3265</v>
      </c>
      <c r="B1162" s="87">
        <v>4.0</v>
      </c>
      <c r="C1162" s="87">
        <v>4.0</v>
      </c>
      <c r="D1162" s="84" t="s">
        <v>3416</v>
      </c>
      <c r="E1162" s="94">
        <v>1.0</v>
      </c>
      <c r="F1162" s="93">
        <f t="shared" si="1"/>
        <v>1</v>
      </c>
    </row>
    <row r="1163">
      <c r="A1163" s="84" t="s">
        <v>3266</v>
      </c>
      <c r="B1163" s="87">
        <v>8.0</v>
      </c>
      <c r="C1163" s="87">
        <v>8.0</v>
      </c>
      <c r="D1163" s="84" t="s">
        <v>3414</v>
      </c>
      <c r="E1163" s="94">
        <v>1.0</v>
      </c>
      <c r="F1163" s="95">
        <f t="shared" si="1"/>
        <v>0.5</v>
      </c>
    </row>
    <row r="1164">
      <c r="A1164" s="84" t="s">
        <v>3045</v>
      </c>
      <c r="B1164" s="87">
        <v>31.0</v>
      </c>
      <c r="C1164" s="87">
        <v>24.0</v>
      </c>
      <c r="D1164" s="84" t="s">
        <v>3415</v>
      </c>
      <c r="E1164" s="94">
        <v>0.774</v>
      </c>
      <c r="F1164" s="95">
        <f t="shared" si="1"/>
        <v>0.5805</v>
      </c>
    </row>
    <row r="1165">
      <c r="A1165" s="84" t="s">
        <v>1681</v>
      </c>
      <c r="B1165" s="87">
        <v>12.0</v>
      </c>
      <c r="C1165" s="87">
        <v>8.0</v>
      </c>
      <c r="D1165" s="84" t="s">
        <v>3415</v>
      </c>
      <c r="E1165" s="94">
        <v>0.667</v>
      </c>
      <c r="F1165" s="95">
        <f t="shared" si="1"/>
        <v>0.50025</v>
      </c>
    </row>
    <row r="1166">
      <c r="A1166" s="84" t="s">
        <v>1682</v>
      </c>
      <c r="B1166" s="87">
        <v>6.0</v>
      </c>
      <c r="C1166" s="87">
        <v>5.0</v>
      </c>
      <c r="D1166" s="84" t="s">
        <v>3416</v>
      </c>
      <c r="E1166" s="94">
        <v>0.833</v>
      </c>
      <c r="F1166" s="93">
        <f t="shared" si="1"/>
        <v>0.833</v>
      </c>
    </row>
    <row r="1167">
      <c r="A1167" s="84" t="s">
        <v>1683</v>
      </c>
      <c r="B1167" s="87">
        <v>9.0</v>
      </c>
      <c r="C1167" s="87">
        <v>8.0</v>
      </c>
      <c r="D1167" s="84" t="s">
        <v>3415</v>
      </c>
      <c r="E1167" s="94">
        <v>0.889</v>
      </c>
      <c r="F1167" s="95">
        <f t="shared" si="1"/>
        <v>0.66675</v>
      </c>
    </row>
    <row r="1168">
      <c r="A1168" s="84" t="s">
        <v>1684</v>
      </c>
      <c r="B1168" s="87">
        <v>3.0</v>
      </c>
      <c r="C1168" s="87">
        <v>3.0</v>
      </c>
      <c r="D1168" s="84" t="s">
        <v>3415</v>
      </c>
      <c r="E1168" s="94">
        <v>1.0</v>
      </c>
      <c r="F1168" s="95">
        <f t="shared" si="1"/>
        <v>0.75</v>
      </c>
    </row>
    <row r="1169">
      <c r="A1169" s="84" t="s">
        <v>1685</v>
      </c>
      <c r="B1169" s="87">
        <v>11.0</v>
      </c>
      <c r="C1169" s="87">
        <v>7.0</v>
      </c>
      <c r="D1169" s="84" t="s">
        <v>3415</v>
      </c>
      <c r="E1169" s="94">
        <v>0.636</v>
      </c>
      <c r="F1169" s="95">
        <f t="shared" si="1"/>
        <v>0.477</v>
      </c>
    </row>
    <row r="1170">
      <c r="A1170" s="84" t="s">
        <v>1686</v>
      </c>
      <c r="B1170" s="87">
        <v>10.0</v>
      </c>
      <c r="C1170" s="87">
        <v>2.0</v>
      </c>
      <c r="D1170" s="84" t="s">
        <v>3415</v>
      </c>
      <c r="E1170" s="94">
        <v>0.2</v>
      </c>
      <c r="F1170" s="95">
        <f t="shared" si="1"/>
        <v>0.15</v>
      </c>
    </row>
    <row r="1171">
      <c r="A1171" s="84" t="s">
        <v>1687</v>
      </c>
      <c r="B1171" s="87">
        <v>3.0</v>
      </c>
      <c r="C1171" s="87">
        <v>0.0</v>
      </c>
      <c r="D1171" s="84" t="s">
        <v>3416</v>
      </c>
      <c r="E1171" s="94">
        <v>0.0</v>
      </c>
      <c r="F1171" s="93">
        <f t="shared" si="1"/>
        <v>0</v>
      </c>
    </row>
    <row r="1172">
      <c r="A1172" s="84" t="s">
        <v>3048</v>
      </c>
      <c r="B1172" s="87">
        <v>3.0</v>
      </c>
      <c r="C1172" s="87">
        <v>3.0</v>
      </c>
      <c r="D1172" s="84" t="s">
        <v>3415</v>
      </c>
      <c r="E1172" s="94">
        <v>1.0</v>
      </c>
      <c r="F1172" s="95">
        <f t="shared" si="1"/>
        <v>0.75</v>
      </c>
    </row>
    <row r="1173">
      <c r="A1173" s="84" t="s">
        <v>3050</v>
      </c>
      <c r="B1173" s="87">
        <v>37.0</v>
      </c>
      <c r="C1173" s="87">
        <v>29.0</v>
      </c>
      <c r="D1173" s="84" t="s">
        <v>3414</v>
      </c>
      <c r="E1173" s="94">
        <v>0.784</v>
      </c>
      <c r="F1173" s="95">
        <f t="shared" si="1"/>
        <v>0.392</v>
      </c>
    </row>
    <row r="1174">
      <c r="A1174" s="84" t="s">
        <v>3051</v>
      </c>
      <c r="B1174" s="87">
        <v>31.0</v>
      </c>
      <c r="C1174" s="87">
        <v>24.0</v>
      </c>
      <c r="D1174" s="84" t="s">
        <v>3415</v>
      </c>
      <c r="E1174" s="94">
        <v>0.774</v>
      </c>
      <c r="F1174" s="95">
        <f t="shared" si="1"/>
        <v>0.5805</v>
      </c>
    </row>
    <row r="1175">
      <c r="A1175" s="84" t="s">
        <v>3052</v>
      </c>
      <c r="B1175" s="87">
        <v>37.0</v>
      </c>
      <c r="C1175" s="87">
        <v>29.0</v>
      </c>
      <c r="D1175" s="84" t="s">
        <v>3414</v>
      </c>
      <c r="E1175" s="94">
        <v>0.784</v>
      </c>
      <c r="F1175" s="95">
        <f t="shared" si="1"/>
        <v>0.392</v>
      </c>
    </row>
    <row r="1176">
      <c r="A1176" s="84" t="s">
        <v>3053</v>
      </c>
      <c r="B1176" s="87">
        <v>5.0</v>
      </c>
      <c r="C1176" s="87">
        <v>4.0</v>
      </c>
      <c r="D1176" s="84" t="s">
        <v>3416</v>
      </c>
      <c r="E1176" s="94">
        <v>0.8</v>
      </c>
      <c r="F1176" s="93">
        <f t="shared" si="1"/>
        <v>0.8</v>
      </c>
    </row>
    <row r="1177">
      <c r="A1177" s="84" t="s">
        <v>1840</v>
      </c>
      <c r="B1177" s="87">
        <v>5.0</v>
      </c>
      <c r="C1177" s="87">
        <v>2.0</v>
      </c>
      <c r="D1177" s="84" t="s">
        <v>3415</v>
      </c>
      <c r="E1177" s="94">
        <v>0.4</v>
      </c>
      <c r="F1177" s="95">
        <f t="shared" si="1"/>
        <v>0.3</v>
      </c>
    </row>
    <row r="1178">
      <c r="A1178" s="84" t="s">
        <v>1841</v>
      </c>
      <c r="B1178" s="87">
        <v>11.0</v>
      </c>
      <c r="C1178" s="87">
        <v>7.0</v>
      </c>
      <c r="D1178" s="84" t="s">
        <v>3414</v>
      </c>
      <c r="E1178" s="94">
        <v>0.636</v>
      </c>
      <c r="F1178" s="95">
        <f t="shared" si="1"/>
        <v>0.318</v>
      </c>
    </row>
    <row r="1179">
      <c r="A1179" s="84" t="s">
        <v>1842</v>
      </c>
      <c r="B1179" s="87">
        <v>11.0</v>
      </c>
      <c r="C1179" s="87">
        <v>7.0</v>
      </c>
      <c r="D1179" s="84" t="s">
        <v>3414</v>
      </c>
      <c r="E1179" s="94">
        <v>0.636</v>
      </c>
      <c r="F1179" s="95">
        <f t="shared" si="1"/>
        <v>0.318</v>
      </c>
    </row>
    <row r="1180">
      <c r="A1180" s="84" t="s">
        <v>1843</v>
      </c>
      <c r="B1180" s="87">
        <v>11.0</v>
      </c>
      <c r="C1180" s="87">
        <v>7.0</v>
      </c>
      <c r="D1180" s="84" t="s">
        <v>3414</v>
      </c>
      <c r="E1180" s="94">
        <v>0.636</v>
      </c>
      <c r="F1180" s="95">
        <f t="shared" si="1"/>
        <v>0.318</v>
      </c>
    </row>
    <row r="1181">
      <c r="A1181" s="84" t="s">
        <v>1844</v>
      </c>
      <c r="B1181" s="87">
        <v>11.0</v>
      </c>
      <c r="C1181" s="87">
        <v>7.0</v>
      </c>
      <c r="D1181" s="84" t="s">
        <v>3414</v>
      </c>
      <c r="E1181" s="94">
        <v>0.636</v>
      </c>
      <c r="F1181" s="95">
        <f t="shared" si="1"/>
        <v>0.318</v>
      </c>
    </row>
    <row r="1182">
      <c r="A1182" s="84" t="s">
        <v>1845</v>
      </c>
      <c r="B1182" s="87">
        <v>11.0</v>
      </c>
      <c r="C1182" s="87">
        <v>7.0</v>
      </c>
      <c r="D1182" s="84" t="s">
        <v>3414</v>
      </c>
      <c r="E1182" s="94">
        <v>0.636</v>
      </c>
      <c r="F1182" s="95">
        <f t="shared" si="1"/>
        <v>0.318</v>
      </c>
    </row>
    <row r="1183">
      <c r="A1183" s="84" t="s">
        <v>1726</v>
      </c>
      <c r="B1183" s="87">
        <v>26.0</v>
      </c>
      <c r="C1183" s="87">
        <v>19.0</v>
      </c>
      <c r="D1183" s="84" t="s">
        <v>3414</v>
      </c>
      <c r="E1183" s="94">
        <v>0.731</v>
      </c>
      <c r="F1183" s="95">
        <f t="shared" si="1"/>
        <v>0.3655</v>
      </c>
    </row>
    <row r="1184">
      <c r="A1184" s="84" t="s">
        <v>1727</v>
      </c>
      <c r="B1184" s="87">
        <v>4.0</v>
      </c>
      <c r="C1184" s="87">
        <v>4.0</v>
      </c>
      <c r="D1184" s="84" t="s">
        <v>3415</v>
      </c>
      <c r="E1184" s="94">
        <v>1.0</v>
      </c>
      <c r="F1184" s="95">
        <f t="shared" si="1"/>
        <v>0.75</v>
      </c>
    </row>
    <row r="1185">
      <c r="A1185" s="84" t="s">
        <v>1728</v>
      </c>
      <c r="B1185" s="87">
        <v>6.0</v>
      </c>
      <c r="C1185" s="87">
        <v>3.0</v>
      </c>
      <c r="D1185" s="84" t="s">
        <v>3415</v>
      </c>
      <c r="E1185" s="94">
        <v>0.5</v>
      </c>
      <c r="F1185" s="95">
        <f t="shared" si="1"/>
        <v>0.375</v>
      </c>
    </row>
    <row r="1186">
      <c r="A1186" s="84" t="s">
        <v>1729</v>
      </c>
      <c r="B1186" s="87">
        <v>4.0</v>
      </c>
      <c r="C1186" s="87">
        <v>1.0</v>
      </c>
      <c r="D1186" s="84" t="s">
        <v>3415</v>
      </c>
      <c r="E1186" s="94">
        <v>0.25</v>
      </c>
      <c r="F1186" s="95">
        <f t="shared" si="1"/>
        <v>0.1875</v>
      </c>
    </row>
    <row r="1187">
      <c r="A1187" s="84" t="s">
        <v>1730</v>
      </c>
      <c r="B1187" s="87">
        <v>8.0</v>
      </c>
      <c r="C1187" s="87">
        <v>8.0</v>
      </c>
      <c r="D1187" s="84" t="s">
        <v>3415</v>
      </c>
      <c r="E1187" s="94">
        <v>1.0</v>
      </c>
      <c r="F1187" s="95">
        <f t="shared" si="1"/>
        <v>0.75</v>
      </c>
    </row>
    <row r="1188">
      <c r="A1188" s="84" t="s">
        <v>1731</v>
      </c>
      <c r="B1188" s="87">
        <v>4.0</v>
      </c>
      <c r="C1188" s="87">
        <v>3.0</v>
      </c>
      <c r="D1188" s="84" t="s">
        <v>3415</v>
      </c>
      <c r="E1188" s="94">
        <v>0.75</v>
      </c>
      <c r="F1188" s="95">
        <f t="shared" si="1"/>
        <v>0.5625</v>
      </c>
    </row>
    <row r="1189">
      <c r="A1189" s="84" t="s">
        <v>1732</v>
      </c>
      <c r="B1189" s="87">
        <v>26.0</v>
      </c>
      <c r="C1189" s="87">
        <v>19.0</v>
      </c>
      <c r="D1189" s="84" t="s">
        <v>3414</v>
      </c>
      <c r="E1189" s="94">
        <v>0.731</v>
      </c>
      <c r="F1189" s="95">
        <f t="shared" si="1"/>
        <v>0.3655</v>
      </c>
    </row>
    <row r="1190">
      <c r="A1190" s="84" t="s">
        <v>2057</v>
      </c>
      <c r="B1190" s="87">
        <v>6.0</v>
      </c>
      <c r="C1190" s="87">
        <v>5.0</v>
      </c>
      <c r="D1190" s="84" t="s">
        <v>3414</v>
      </c>
      <c r="E1190" s="94">
        <v>0.833</v>
      </c>
      <c r="F1190" s="95">
        <f t="shared" si="1"/>
        <v>0.4165</v>
      </c>
    </row>
    <row r="1191">
      <c r="A1191" s="84" t="s">
        <v>2060</v>
      </c>
      <c r="B1191" s="87">
        <v>3.0</v>
      </c>
      <c r="C1191" s="87">
        <v>2.0</v>
      </c>
      <c r="D1191" s="84" t="s">
        <v>3415</v>
      </c>
      <c r="E1191" s="94">
        <v>0.667</v>
      </c>
      <c r="F1191" s="95">
        <f t="shared" si="1"/>
        <v>0.50025</v>
      </c>
    </row>
    <row r="1192">
      <c r="A1192" s="84" t="s">
        <v>2061</v>
      </c>
      <c r="B1192" s="87">
        <v>6.0</v>
      </c>
      <c r="C1192" s="87">
        <v>5.0</v>
      </c>
      <c r="D1192" s="84" t="s">
        <v>3414</v>
      </c>
      <c r="E1192" s="94">
        <v>0.833</v>
      </c>
      <c r="F1192" s="95">
        <f t="shared" si="1"/>
        <v>0.4165</v>
      </c>
    </row>
    <row r="1193">
      <c r="A1193" s="84" t="s">
        <v>2640</v>
      </c>
      <c r="B1193" s="87">
        <v>39.0</v>
      </c>
      <c r="C1193" s="87">
        <v>32.0</v>
      </c>
      <c r="D1193" s="84" t="s">
        <v>3414</v>
      </c>
      <c r="E1193" s="94">
        <v>0.821</v>
      </c>
      <c r="F1193" s="95">
        <f t="shared" si="1"/>
        <v>0.4105</v>
      </c>
    </row>
    <row r="1194">
      <c r="A1194" s="84" t="s">
        <v>2642</v>
      </c>
      <c r="B1194" s="87">
        <v>6.0</v>
      </c>
      <c r="C1194" s="87">
        <v>6.0</v>
      </c>
      <c r="D1194" s="84" t="s">
        <v>3415</v>
      </c>
      <c r="E1194" s="94">
        <v>1.0</v>
      </c>
      <c r="F1194" s="95">
        <f t="shared" si="1"/>
        <v>0.75</v>
      </c>
    </row>
    <row r="1195">
      <c r="A1195" s="84" t="s">
        <v>2643</v>
      </c>
      <c r="B1195" s="87">
        <v>5.0</v>
      </c>
      <c r="C1195" s="87">
        <v>5.0</v>
      </c>
      <c r="D1195" s="84" t="s">
        <v>3415</v>
      </c>
      <c r="E1195" s="94">
        <v>1.0</v>
      </c>
      <c r="F1195" s="95">
        <f t="shared" si="1"/>
        <v>0.75</v>
      </c>
    </row>
    <row r="1196">
      <c r="A1196" s="84" t="s">
        <v>2644</v>
      </c>
      <c r="B1196" s="87">
        <v>27.0</v>
      </c>
      <c r="C1196" s="87">
        <v>20.0</v>
      </c>
      <c r="D1196" s="84" t="s">
        <v>3415</v>
      </c>
      <c r="E1196" s="94">
        <v>0.741</v>
      </c>
      <c r="F1196" s="95">
        <f t="shared" si="1"/>
        <v>0.55575</v>
      </c>
    </row>
    <row r="1197">
      <c r="A1197" s="84" t="s">
        <v>3366</v>
      </c>
      <c r="B1197" s="87">
        <v>39.0</v>
      </c>
      <c r="C1197" s="87">
        <v>32.0</v>
      </c>
      <c r="D1197" s="84" t="s">
        <v>3414</v>
      </c>
      <c r="E1197" s="94">
        <v>0.821</v>
      </c>
      <c r="F1197" s="95">
        <f t="shared" si="1"/>
        <v>0.4105</v>
      </c>
    </row>
    <row r="1198">
      <c r="A1198" s="84" t="s">
        <v>2645</v>
      </c>
      <c r="B1198" s="87">
        <v>39.0</v>
      </c>
      <c r="C1198" s="87">
        <v>32.0</v>
      </c>
      <c r="D1198" s="84" t="s">
        <v>3414</v>
      </c>
      <c r="E1198" s="94">
        <v>0.821</v>
      </c>
      <c r="F1198" s="95">
        <f t="shared" si="1"/>
        <v>0.4105</v>
      </c>
    </row>
    <row r="1199">
      <c r="A1199" s="84" t="s">
        <v>2574</v>
      </c>
      <c r="B1199" s="87">
        <v>50.0</v>
      </c>
      <c r="C1199" s="87">
        <v>44.0</v>
      </c>
      <c r="D1199" s="84" t="s">
        <v>3414</v>
      </c>
      <c r="E1199" s="94">
        <v>0.88</v>
      </c>
      <c r="F1199" s="95">
        <f t="shared" si="1"/>
        <v>0.44</v>
      </c>
    </row>
    <row r="1200">
      <c r="A1200" s="84" t="s">
        <v>2575</v>
      </c>
      <c r="B1200" s="87">
        <v>50.0</v>
      </c>
      <c r="C1200" s="87">
        <v>44.0</v>
      </c>
      <c r="D1200" s="84" t="s">
        <v>3414</v>
      </c>
      <c r="E1200" s="94">
        <v>0.88</v>
      </c>
      <c r="F1200" s="95">
        <f t="shared" si="1"/>
        <v>0.44</v>
      </c>
    </row>
    <row r="1201">
      <c r="A1201" s="84" t="s">
        <v>2576</v>
      </c>
      <c r="B1201" s="87">
        <v>5.0</v>
      </c>
      <c r="C1201" s="87">
        <v>5.0</v>
      </c>
      <c r="D1201" s="84" t="s">
        <v>3416</v>
      </c>
      <c r="E1201" s="94">
        <v>1.0</v>
      </c>
      <c r="F1201" s="93">
        <f t="shared" si="1"/>
        <v>1</v>
      </c>
    </row>
    <row r="1202">
      <c r="A1202" s="84" t="s">
        <v>2577</v>
      </c>
      <c r="B1202" s="87">
        <v>4.0</v>
      </c>
      <c r="C1202" s="87">
        <v>4.0</v>
      </c>
      <c r="D1202" s="84" t="s">
        <v>3415</v>
      </c>
      <c r="E1202" s="94">
        <v>1.0</v>
      </c>
      <c r="F1202" s="95">
        <f t="shared" si="1"/>
        <v>0.75</v>
      </c>
    </row>
    <row r="1203">
      <c r="A1203" s="84" t="s">
        <v>2578</v>
      </c>
      <c r="B1203" s="87">
        <v>12.0</v>
      </c>
      <c r="C1203" s="87">
        <v>11.0</v>
      </c>
      <c r="D1203" s="84" t="s">
        <v>3416</v>
      </c>
      <c r="E1203" s="94">
        <v>0.917</v>
      </c>
      <c r="F1203" s="93">
        <f t="shared" si="1"/>
        <v>0.917</v>
      </c>
    </row>
    <row r="1204">
      <c r="A1204" s="84" t="s">
        <v>2579</v>
      </c>
      <c r="B1204" s="87">
        <v>50.0</v>
      </c>
      <c r="C1204" s="87">
        <v>44.0</v>
      </c>
      <c r="D1204" s="84" t="s">
        <v>3414</v>
      </c>
      <c r="E1204" s="94">
        <v>0.88</v>
      </c>
      <c r="F1204" s="95">
        <f t="shared" si="1"/>
        <v>0.44</v>
      </c>
    </row>
    <row r="1205">
      <c r="A1205" s="84" t="s">
        <v>2580</v>
      </c>
      <c r="B1205" s="87">
        <v>50.0</v>
      </c>
      <c r="C1205" s="87">
        <v>44.0</v>
      </c>
      <c r="D1205" s="84" t="s">
        <v>3414</v>
      </c>
      <c r="E1205" s="94">
        <v>0.88</v>
      </c>
      <c r="F1205" s="95">
        <f t="shared" si="1"/>
        <v>0.44</v>
      </c>
    </row>
    <row r="1206">
      <c r="A1206" s="84" t="s">
        <v>3267</v>
      </c>
      <c r="B1206" s="87">
        <v>8.0</v>
      </c>
      <c r="C1206" s="87">
        <v>8.0</v>
      </c>
      <c r="D1206" s="84" t="s">
        <v>3414</v>
      </c>
      <c r="E1206" s="94">
        <v>1.0</v>
      </c>
      <c r="F1206" s="95">
        <f t="shared" si="1"/>
        <v>0.5</v>
      </c>
    </row>
    <row r="1207">
      <c r="A1207" s="84" t="s">
        <v>3269</v>
      </c>
      <c r="B1207" s="87">
        <v>8.0</v>
      </c>
      <c r="C1207" s="87">
        <v>8.0</v>
      </c>
      <c r="D1207" s="84" t="s">
        <v>3414</v>
      </c>
      <c r="E1207" s="94">
        <v>1.0</v>
      </c>
      <c r="F1207" s="95">
        <f t="shared" si="1"/>
        <v>0.5</v>
      </c>
    </row>
    <row r="1208">
      <c r="A1208" s="84" t="s">
        <v>3270</v>
      </c>
      <c r="B1208" s="87">
        <v>8.0</v>
      </c>
      <c r="C1208" s="87">
        <v>8.0</v>
      </c>
      <c r="D1208" s="84" t="s">
        <v>3414</v>
      </c>
      <c r="E1208" s="94">
        <v>1.0</v>
      </c>
      <c r="F1208" s="95">
        <f t="shared" si="1"/>
        <v>0.5</v>
      </c>
    </row>
    <row r="1209">
      <c r="A1209" s="84" t="s">
        <v>3271</v>
      </c>
      <c r="B1209" s="87">
        <v>8.0</v>
      </c>
      <c r="C1209" s="87">
        <v>8.0</v>
      </c>
      <c r="D1209" s="84" t="s">
        <v>3414</v>
      </c>
      <c r="E1209" s="94">
        <v>1.0</v>
      </c>
      <c r="F1209" s="95">
        <f t="shared" si="1"/>
        <v>0.5</v>
      </c>
    </row>
    <row r="1210">
      <c r="A1210" s="84" t="s">
        <v>3272</v>
      </c>
      <c r="B1210" s="87">
        <v>8.0</v>
      </c>
      <c r="C1210" s="87">
        <v>8.0</v>
      </c>
      <c r="D1210" s="84" t="s">
        <v>3414</v>
      </c>
      <c r="E1210" s="94">
        <v>1.0</v>
      </c>
      <c r="F1210" s="95">
        <f t="shared" si="1"/>
        <v>0.5</v>
      </c>
    </row>
    <row r="1211">
      <c r="A1211" s="84" t="s">
        <v>3273</v>
      </c>
      <c r="B1211" s="87">
        <v>4.0</v>
      </c>
      <c r="C1211" s="87">
        <v>4.0</v>
      </c>
      <c r="D1211" s="84" t="s">
        <v>3415</v>
      </c>
      <c r="E1211" s="94">
        <v>1.0</v>
      </c>
      <c r="F1211" s="95">
        <f t="shared" si="1"/>
        <v>0.75</v>
      </c>
    </row>
    <row r="1212">
      <c r="A1212" s="84" t="s">
        <v>3274</v>
      </c>
      <c r="B1212" s="87">
        <v>8.0</v>
      </c>
      <c r="C1212" s="87">
        <v>8.0</v>
      </c>
      <c r="D1212" s="84" t="s">
        <v>3414</v>
      </c>
      <c r="E1212" s="94">
        <v>1.0</v>
      </c>
      <c r="F1212" s="95">
        <f t="shared" si="1"/>
        <v>0.5</v>
      </c>
    </row>
    <row r="1213">
      <c r="A1213" s="84" t="s">
        <v>2811</v>
      </c>
      <c r="B1213" s="87">
        <v>16.0</v>
      </c>
      <c r="C1213" s="87">
        <v>15.0</v>
      </c>
      <c r="D1213" s="84" t="s">
        <v>3415</v>
      </c>
      <c r="E1213" s="94">
        <v>0.938</v>
      </c>
      <c r="F1213" s="95">
        <f t="shared" si="1"/>
        <v>0.7035</v>
      </c>
    </row>
    <row r="1214">
      <c r="A1214" s="84" t="s">
        <v>2813</v>
      </c>
      <c r="B1214" s="87">
        <v>11.0</v>
      </c>
      <c r="C1214" s="87">
        <v>8.0</v>
      </c>
      <c r="D1214" s="84" t="s">
        <v>3415</v>
      </c>
      <c r="E1214" s="94">
        <v>0.727</v>
      </c>
      <c r="F1214" s="95">
        <f t="shared" si="1"/>
        <v>0.54525</v>
      </c>
    </row>
    <row r="1215">
      <c r="A1215" s="84" t="s">
        <v>2814</v>
      </c>
      <c r="B1215" s="87">
        <v>7.0</v>
      </c>
      <c r="C1215" s="87">
        <v>5.0</v>
      </c>
      <c r="D1215" s="84" t="s">
        <v>3415</v>
      </c>
      <c r="E1215" s="94">
        <v>0.714</v>
      </c>
      <c r="F1215" s="95">
        <f t="shared" si="1"/>
        <v>0.5355</v>
      </c>
    </row>
    <row r="1216">
      <c r="A1216" s="84" t="s">
        <v>2815</v>
      </c>
      <c r="B1216" s="87">
        <v>3.0</v>
      </c>
      <c r="C1216" s="87">
        <v>2.0</v>
      </c>
      <c r="D1216" s="84" t="s">
        <v>3415</v>
      </c>
      <c r="E1216" s="94">
        <v>0.667</v>
      </c>
      <c r="F1216" s="95">
        <f t="shared" si="1"/>
        <v>0.50025</v>
      </c>
    </row>
    <row r="1217">
      <c r="A1217" s="84" t="s">
        <v>2817</v>
      </c>
      <c r="B1217" s="87">
        <v>19.0</v>
      </c>
      <c r="C1217" s="87">
        <v>16.0</v>
      </c>
      <c r="D1217" s="84" t="s">
        <v>3415</v>
      </c>
      <c r="E1217" s="94">
        <v>0.842</v>
      </c>
      <c r="F1217" s="95">
        <f t="shared" si="1"/>
        <v>0.6315</v>
      </c>
    </row>
    <row r="1218">
      <c r="A1218" s="84" t="s">
        <v>2818</v>
      </c>
      <c r="B1218" s="87">
        <v>66.0</v>
      </c>
      <c r="C1218" s="87">
        <v>51.0</v>
      </c>
      <c r="D1218" s="84" t="s">
        <v>3414</v>
      </c>
      <c r="E1218" s="94">
        <v>0.773</v>
      </c>
      <c r="F1218" s="95">
        <f t="shared" si="1"/>
        <v>0.3865</v>
      </c>
    </row>
    <row r="1219">
      <c r="A1219" s="84" t="s">
        <v>2076</v>
      </c>
      <c r="B1219" s="87">
        <v>6.0</v>
      </c>
      <c r="C1219" s="87">
        <v>6.0</v>
      </c>
      <c r="D1219" s="84" t="s">
        <v>3415</v>
      </c>
      <c r="E1219" s="94">
        <v>1.0</v>
      </c>
      <c r="F1219" s="95">
        <f t="shared" si="1"/>
        <v>0.75</v>
      </c>
    </row>
    <row r="1220">
      <c r="A1220" s="84" t="s">
        <v>2078</v>
      </c>
      <c r="B1220" s="87">
        <v>3.0</v>
      </c>
      <c r="C1220" s="87">
        <v>3.0</v>
      </c>
      <c r="D1220" s="84" t="s">
        <v>3416</v>
      </c>
      <c r="E1220" s="94">
        <v>1.0</v>
      </c>
      <c r="F1220" s="93">
        <f t="shared" si="1"/>
        <v>1</v>
      </c>
    </row>
    <row r="1221">
      <c r="A1221" s="84" t="s">
        <v>2079</v>
      </c>
      <c r="B1221" s="87">
        <v>47.0</v>
      </c>
      <c r="C1221" s="87">
        <v>35.0</v>
      </c>
      <c r="D1221" s="84" t="s">
        <v>3414</v>
      </c>
      <c r="E1221" s="94">
        <v>0.745</v>
      </c>
      <c r="F1221" s="95">
        <f t="shared" si="1"/>
        <v>0.3725</v>
      </c>
    </row>
    <row r="1222">
      <c r="A1222" s="84" t="s">
        <v>2080</v>
      </c>
      <c r="B1222" s="87">
        <v>5.0</v>
      </c>
      <c r="C1222" s="87">
        <v>5.0</v>
      </c>
      <c r="D1222" s="84" t="s">
        <v>3415</v>
      </c>
      <c r="E1222" s="94">
        <v>1.0</v>
      </c>
      <c r="F1222" s="95">
        <f t="shared" si="1"/>
        <v>0.75</v>
      </c>
    </row>
    <row r="1223">
      <c r="A1223" s="84" t="s">
        <v>2081</v>
      </c>
      <c r="B1223" s="87">
        <v>18.0</v>
      </c>
      <c r="C1223" s="87">
        <v>16.0</v>
      </c>
      <c r="D1223" s="84" t="s">
        <v>3415</v>
      </c>
      <c r="E1223" s="94">
        <v>0.889</v>
      </c>
      <c r="F1223" s="95">
        <f t="shared" si="1"/>
        <v>0.66675</v>
      </c>
    </row>
    <row r="1224">
      <c r="A1224" s="84" t="s">
        <v>2082</v>
      </c>
      <c r="B1224" s="87">
        <v>3.0</v>
      </c>
      <c r="C1224" s="87">
        <v>2.0</v>
      </c>
      <c r="D1224" s="84" t="s">
        <v>3415</v>
      </c>
      <c r="E1224" s="94">
        <v>0.667</v>
      </c>
      <c r="F1224" s="95">
        <f t="shared" si="1"/>
        <v>0.50025</v>
      </c>
    </row>
    <row r="1225">
      <c r="A1225" s="84" t="s">
        <v>2083</v>
      </c>
      <c r="B1225" s="87">
        <v>6.0</v>
      </c>
      <c r="C1225" s="87">
        <v>0.0</v>
      </c>
      <c r="D1225" s="84" t="s">
        <v>3415</v>
      </c>
      <c r="E1225" s="94">
        <v>0.0</v>
      </c>
      <c r="F1225" s="95">
        <f t="shared" si="1"/>
        <v>0</v>
      </c>
    </row>
    <row r="1226">
      <c r="A1226" s="84" t="s">
        <v>1584</v>
      </c>
      <c r="B1226" s="87">
        <v>7.0</v>
      </c>
      <c r="C1226" s="87">
        <v>6.0</v>
      </c>
      <c r="D1226" s="84" t="s">
        <v>3415</v>
      </c>
      <c r="E1226" s="94">
        <v>0.857</v>
      </c>
      <c r="F1226" s="95">
        <f t="shared" si="1"/>
        <v>0.64275</v>
      </c>
    </row>
    <row r="1227">
      <c r="A1227" s="84" t="s">
        <v>1586</v>
      </c>
      <c r="B1227" s="87">
        <v>5.0</v>
      </c>
      <c r="C1227" s="87">
        <v>4.0</v>
      </c>
      <c r="D1227" s="84" t="s">
        <v>3416</v>
      </c>
      <c r="E1227" s="94">
        <v>0.8</v>
      </c>
      <c r="F1227" s="93">
        <f t="shared" si="1"/>
        <v>0.8</v>
      </c>
    </row>
    <row r="1228">
      <c r="A1228" s="84" t="s">
        <v>1587</v>
      </c>
      <c r="B1228" s="87">
        <v>3.0</v>
      </c>
      <c r="C1228" s="87">
        <v>3.0</v>
      </c>
      <c r="D1228" s="84" t="s">
        <v>3416</v>
      </c>
      <c r="E1228" s="94">
        <v>1.0</v>
      </c>
      <c r="F1228" s="93">
        <f t="shared" si="1"/>
        <v>1</v>
      </c>
    </row>
    <row r="1229">
      <c r="A1229" s="84" t="s">
        <v>1588</v>
      </c>
      <c r="B1229" s="87">
        <v>36.0</v>
      </c>
      <c r="C1229" s="87">
        <v>30.0</v>
      </c>
      <c r="D1229" s="84" t="s">
        <v>3414</v>
      </c>
      <c r="E1229" s="94">
        <v>0.833</v>
      </c>
      <c r="F1229" s="95">
        <f t="shared" si="1"/>
        <v>0.4165</v>
      </c>
    </row>
    <row r="1230">
      <c r="A1230" s="84" t="s">
        <v>1589</v>
      </c>
      <c r="B1230" s="87">
        <v>5.0</v>
      </c>
      <c r="C1230" s="87">
        <v>5.0</v>
      </c>
      <c r="D1230" s="84" t="s">
        <v>3416</v>
      </c>
      <c r="E1230" s="94">
        <v>1.0</v>
      </c>
      <c r="F1230" s="93">
        <f t="shared" si="1"/>
        <v>1</v>
      </c>
    </row>
    <row r="1231">
      <c r="A1231" s="84" t="s">
        <v>1590</v>
      </c>
      <c r="B1231" s="87">
        <v>3.0</v>
      </c>
      <c r="C1231" s="87">
        <v>2.0</v>
      </c>
      <c r="D1231" s="84" t="s">
        <v>3416</v>
      </c>
      <c r="E1231" s="94">
        <v>0.667</v>
      </c>
      <c r="F1231" s="93">
        <f t="shared" si="1"/>
        <v>0.667</v>
      </c>
    </row>
    <row r="1232">
      <c r="A1232" s="84" t="s">
        <v>1591</v>
      </c>
      <c r="B1232" s="87">
        <v>36.0</v>
      </c>
      <c r="C1232" s="87">
        <v>30.0</v>
      </c>
      <c r="D1232" s="84" t="s">
        <v>3414</v>
      </c>
      <c r="E1232" s="94">
        <v>0.833</v>
      </c>
      <c r="F1232" s="95">
        <f t="shared" si="1"/>
        <v>0.4165</v>
      </c>
    </row>
    <row r="1233">
      <c r="A1233" s="84" t="s">
        <v>1895</v>
      </c>
      <c r="B1233" s="87">
        <v>52.0</v>
      </c>
      <c r="C1233" s="87">
        <v>37.0</v>
      </c>
      <c r="D1233" s="84" t="s">
        <v>3414</v>
      </c>
      <c r="E1233" s="94">
        <v>0.712</v>
      </c>
      <c r="F1233" s="95">
        <f t="shared" si="1"/>
        <v>0.356</v>
      </c>
    </row>
    <row r="1234">
      <c r="A1234" s="84" t="s">
        <v>1897</v>
      </c>
      <c r="B1234" s="87">
        <v>6.0</v>
      </c>
      <c r="C1234" s="87">
        <v>3.0</v>
      </c>
      <c r="D1234" s="84" t="s">
        <v>3415</v>
      </c>
      <c r="E1234" s="94">
        <v>0.5</v>
      </c>
      <c r="F1234" s="95">
        <f t="shared" si="1"/>
        <v>0.375</v>
      </c>
    </row>
    <row r="1235">
      <c r="A1235" s="84" t="s">
        <v>1898</v>
      </c>
      <c r="B1235" s="87">
        <v>3.0</v>
      </c>
      <c r="C1235" s="87">
        <v>2.0</v>
      </c>
      <c r="D1235" s="84" t="s">
        <v>3416</v>
      </c>
      <c r="E1235" s="94">
        <v>0.667</v>
      </c>
      <c r="F1235" s="93">
        <f t="shared" si="1"/>
        <v>0.667</v>
      </c>
    </row>
    <row r="1236">
      <c r="A1236" s="84" t="s">
        <v>1899</v>
      </c>
      <c r="B1236" s="87">
        <v>3.0</v>
      </c>
      <c r="C1236" s="87">
        <v>2.0</v>
      </c>
      <c r="D1236" s="84" t="s">
        <v>3416</v>
      </c>
      <c r="E1236" s="94">
        <v>0.667</v>
      </c>
      <c r="F1236" s="93">
        <f t="shared" si="1"/>
        <v>0.667</v>
      </c>
    </row>
    <row r="1237">
      <c r="A1237" s="84" t="s">
        <v>1900</v>
      </c>
      <c r="B1237" s="87">
        <v>5.0</v>
      </c>
      <c r="C1237" s="87">
        <v>2.0</v>
      </c>
      <c r="D1237" s="84" t="s">
        <v>3416</v>
      </c>
      <c r="E1237" s="94">
        <v>0.4</v>
      </c>
      <c r="F1237" s="93">
        <f t="shared" si="1"/>
        <v>0.4</v>
      </c>
    </row>
    <row r="1238">
      <c r="A1238" s="84" t="s">
        <v>1901</v>
      </c>
      <c r="B1238" s="87">
        <v>9.0</v>
      </c>
      <c r="C1238" s="87">
        <v>7.0</v>
      </c>
      <c r="D1238" s="84" t="s">
        <v>3415</v>
      </c>
      <c r="E1238" s="94">
        <v>0.778</v>
      </c>
      <c r="F1238" s="95">
        <f t="shared" si="1"/>
        <v>0.5835</v>
      </c>
    </row>
    <row r="1239">
      <c r="A1239" s="84" t="s">
        <v>1902</v>
      </c>
      <c r="B1239" s="87">
        <v>52.0</v>
      </c>
      <c r="C1239" s="87">
        <v>37.0</v>
      </c>
      <c r="D1239" s="84" t="s">
        <v>3414</v>
      </c>
      <c r="E1239" s="94">
        <v>0.712</v>
      </c>
      <c r="F1239" s="95">
        <f t="shared" si="1"/>
        <v>0.356</v>
      </c>
    </row>
    <row r="1240">
      <c r="A1240" s="84" t="s">
        <v>1593</v>
      </c>
      <c r="B1240" s="87">
        <v>6.0</v>
      </c>
      <c r="C1240" s="87">
        <v>4.0</v>
      </c>
      <c r="D1240" s="84" t="s">
        <v>3415</v>
      </c>
      <c r="E1240" s="94">
        <v>0.667</v>
      </c>
      <c r="F1240" s="95">
        <f t="shared" si="1"/>
        <v>0.50025</v>
      </c>
    </row>
    <row r="1241">
      <c r="A1241" s="84" t="s">
        <v>1594</v>
      </c>
      <c r="B1241" s="87">
        <v>6.0</v>
      </c>
      <c r="C1241" s="87">
        <v>5.0</v>
      </c>
      <c r="D1241" s="84" t="s">
        <v>3415</v>
      </c>
      <c r="E1241" s="94">
        <v>0.833</v>
      </c>
      <c r="F1241" s="95">
        <f t="shared" si="1"/>
        <v>0.62475</v>
      </c>
    </row>
    <row r="1242">
      <c r="A1242" s="84" t="s">
        <v>1595</v>
      </c>
      <c r="B1242" s="87">
        <v>36.0</v>
      </c>
      <c r="C1242" s="87">
        <v>30.0</v>
      </c>
      <c r="D1242" s="84" t="s">
        <v>3414</v>
      </c>
      <c r="E1242" s="94">
        <v>0.833</v>
      </c>
      <c r="F1242" s="95">
        <f t="shared" si="1"/>
        <v>0.4165</v>
      </c>
    </row>
    <row r="1243">
      <c r="A1243" s="84" t="s">
        <v>1596</v>
      </c>
      <c r="B1243" s="87">
        <v>7.0</v>
      </c>
      <c r="C1243" s="87">
        <v>7.0</v>
      </c>
      <c r="D1243" s="84" t="s">
        <v>3415</v>
      </c>
      <c r="E1243" s="94">
        <v>1.0</v>
      </c>
      <c r="F1243" s="95">
        <f t="shared" si="1"/>
        <v>0.75</v>
      </c>
    </row>
    <row r="1244">
      <c r="A1244" s="84" t="s">
        <v>1597</v>
      </c>
      <c r="B1244" s="87">
        <v>9.0</v>
      </c>
      <c r="C1244" s="87">
        <v>7.0</v>
      </c>
      <c r="D1244" s="84" t="s">
        <v>3415</v>
      </c>
      <c r="E1244" s="94">
        <v>0.778</v>
      </c>
      <c r="F1244" s="95">
        <f t="shared" si="1"/>
        <v>0.5835</v>
      </c>
    </row>
    <row r="1245">
      <c r="A1245" s="84" t="s">
        <v>1598</v>
      </c>
      <c r="B1245" s="87">
        <v>36.0</v>
      </c>
      <c r="C1245" s="87">
        <v>30.0</v>
      </c>
      <c r="D1245" s="84" t="s">
        <v>3414</v>
      </c>
      <c r="E1245" s="94">
        <v>0.833</v>
      </c>
      <c r="F1245" s="95">
        <f t="shared" si="1"/>
        <v>0.4165</v>
      </c>
    </row>
    <row r="1246">
      <c r="A1246" s="84" t="s">
        <v>3167</v>
      </c>
      <c r="B1246" s="87">
        <v>0.0</v>
      </c>
      <c r="C1246" s="87">
        <v>0.0</v>
      </c>
      <c r="D1246" s="84" t="s">
        <v>3412</v>
      </c>
      <c r="E1246" s="92" t="s">
        <v>3413</v>
      </c>
      <c r="F1246" s="93" t="str">
        <f t="shared" si="1"/>
        <v>Not Applicable</v>
      </c>
    </row>
    <row r="1247">
      <c r="A1247" s="84" t="s">
        <v>3171</v>
      </c>
      <c r="B1247" s="87">
        <v>0.0</v>
      </c>
      <c r="C1247" s="87">
        <v>0.0</v>
      </c>
      <c r="D1247" s="84" t="s">
        <v>3412</v>
      </c>
      <c r="E1247" s="92" t="s">
        <v>3413</v>
      </c>
      <c r="F1247" s="93" t="str">
        <f t="shared" si="1"/>
        <v>Not Applicable</v>
      </c>
    </row>
    <row r="1248">
      <c r="A1248" s="84" t="s">
        <v>2084</v>
      </c>
      <c r="B1248" s="87">
        <v>4.0</v>
      </c>
      <c r="C1248" s="87">
        <v>4.0</v>
      </c>
      <c r="D1248" s="84" t="s">
        <v>3416</v>
      </c>
      <c r="E1248" s="94">
        <v>1.0</v>
      </c>
      <c r="F1248" s="93">
        <f t="shared" si="1"/>
        <v>1</v>
      </c>
    </row>
    <row r="1249">
      <c r="A1249" s="84" t="s">
        <v>2085</v>
      </c>
      <c r="B1249" s="87">
        <v>3.0</v>
      </c>
      <c r="C1249" s="87">
        <v>1.0</v>
      </c>
      <c r="D1249" s="84" t="s">
        <v>3416</v>
      </c>
      <c r="E1249" s="94">
        <v>0.333</v>
      </c>
      <c r="F1249" s="93">
        <f t="shared" si="1"/>
        <v>0.333</v>
      </c>
    </row>
    <row r="1250">
      <c r="A1250" s="84" t="s">
        <v>2086</v>
      </c>
      <c r="B1250" s="87">
        <v>47.0</v>
      </c>
      <c r="C1250" s="87">
        <v>35.0</v>
      </c>
      <c r="D1250" s="84" t="s">
        <v>3414</v>
      </c>
      <c r="E1250" s="94">
        <v>0.745</v>
      </c>
      <c r="F1250" s="95">
        <f t="shared" si="1"/>
        <v>0.3725</v>
      </c>
    </row>
    <row r="1251">
      <c r="A1251" s="84" t="s">
        <v>2087</v>
      </c>
      <c r="B1251" s="87">
        <v>5.0</v>
      </c>
      <c r="C1251" s="87">
        <v>5.0</v>
      </c>
      <c r="D1251" s="84" t="s">
        <v>3415</v>
      </c>
      <c r="E1251" s="94">
        <v>1.0</v>
      </c>
      <c r="F1251" s="95">
        <f t="shared" si="1"/>
        <v>0.75</v>
      </c>
    </row>
    <row r="1252">
      <c r="A1252" s="84" t="s">
        <v>2088</v>
      </c>
      <c r="B1252" s="87">
        <v>14.0</v>
      </c>
      <c r="C1252" s="87">
        <v>13.0</v>
      </c>
      <c r="D1252" s="84" t="s">
        <v>3416</v>
      </c>
      <c r="E1252" s="94">
        <v>0.929</v>
      </c>
      <c r="F1252" s="93">
        <f t="shared" si="1"/>
        <v>0.929</v>
      </c>
    </row>
    <row r="1253">
      <c r="A1253" s="84" t="s">
        <v>2089</v>
      </c>
      <c r="B1253" s="87">
        <v>3.0</v>
      </c>
      <c r="C1253" s="87">
        <v>2.0</v>
      </c>
      <c r="D1253" s="84" t="s">
        <v>3415</v>
      </c>
      <c r="E1253" s="94">
        <v>0.667</v>
      </c>
      <c r="F1253" s="95">
        <f t="shared" si="1"/>
        <v>0.50025</v>
      </c>
    </row>
    <row r="1254">
      <c r="A1254" s="84" t="s">
        <v>2090</v>
      </c>
      <c r="B1254" s="87">
        <v>6.0</v>
      </c>
      <c r="C1254" s="87">
        <v>0.0</v>
      </c>
      <c r="D1254" s="84" t="s">
        <v>3416</v>
      </c>
      <c r="E1254" s="94">
        <v>0.0</v>
      </c>
      <c r="F1254" s="93">
        <f t="shared" si="1"/>
        <v>0</v>
      </c>
    </row>
    <row r="1255">
      <c r="A1255" s="84" t="s">
        <v>1952</v>
      </c>
      <c r="B1255" s="87">
        <v>3.0</v>
      </c>
      <c r="C1255" s="87">
        <v>3.0</v>
      </c>
      <c r="D1255" s="84" t="s">
        <v>3416</v>
      </c>
      <c r="E1255" s="94">
        <v>1.0</v>
      </c>
      <c r="F1255" s="93">
        <f t="shared" si="1"/>
        <v>1</v>
      </c>
    </row>
    <row r="1256">
      <c r="A1256" s="84" t="s">
        <v>1953</v>
      </c>
      <c r="B1256" s="87">
        <v>3.0</v>
      </c>
      <c r="C1256" s="87">
        <v>2.0</v>
      </c>
      <c r="D1256" s="84" t="s">
        <v>3416</v>
      </c>
      <c r="E1256" s="94">
        <v>0.667</v>
      </c>
      <c r="F1256" s="93">
        <f t="shared" si="1"/>
        <v>0.667</v>
      </c>
    </row>
    <row r="1257">
      <c r="A1257" s="84" t="s">
        <v>1954</v>
      </c>
      <c r="B1257" s="87">
        <v>5.0</v>
      </c>
      <c r="C1257" s="87">
        <v>4.0</v>
      </c>
      <c r="D1257" s="84" t="s">
        <v>3415</v>
      </c>
      <c r="E1257" s="94">
        <v>0.8</v>
      </c>
      <c r="F1257" s="95">
        <f t="shared" si="1"/>
        <v>0.6</v>
      </c>
    </row>
    <row r="1258">
      <c r="A1258" s="84" t="s">
        <v>1955</v>
      </c>
      <c r="B1258" s="87">
        <v>9.0</v>
      </c>
      <c r="C1258" s="87">
        <v>4.0</v>
      </c>
      <c r="D1258" s="84" t="s">
        <v>3415</v>
      </c>
      <c r="E1258" s="94">
        <v>0.444</v>
      </c>
      <c r="F1258" s="95">
        <f t="shared" si="1"/>
        <v>0.333</v>
      </c>
    </row>
    <row r="1259">
      <c r="A1259" s="84" t="s">
        <v>1956</v>
      </c>
      <c r="B1259" s="87">
        <v>5.0</v>
      </c>
      <c r="C1259" s="87">
        <v>3.0</v>
      </c>
      <c r="D1259" s="84" t="s">
        <v>3416</v>
      </c>
      <c r="E1259" s="94">
        <v>0.6</v>
      </c>
      <c r="F1259" s="93">
        <f t="shared" si="1"/>
        <v>0.6</v>
      </c>
    </row>
    <row r="1260">
      <c r="A1260" s="84" t="s">
        <v>1957</v>
      </c>
      <c r="B1260" s="87">
        <v>3.0</v>
      </c>
      <c r="C1260" s="87">
        <v>2.0</v>
      </c>
      <c r="D1260" s="84" t="s">
        <v>3416</v>
      </c>
      <c r="E1260" s="94">
        <v>0.667</v>
      </c>
      <c r="F1260" s="93">
        <f t="shared" si="1"/>
        <v>0.667</v>
      </c>
    </row>
    <row r="1261">
      <c r="A1261" s="84" t="s">
        <v>1958</v>
      </c>
      <c r="B1261" s="87">
        <v>75.0</v>
      </c>
      <c r="C1261" s="87">
        <v>52.0</v>
      </c>
      <c r="D1261" s="84" t="s">
        <v>3414</v>
      </c>
      <c r="E1261" s="94">
        <v>0.693</v>
      </c>
      <c r="F1261" s="95">
        <f t="shared" si="1"/>
        <v>0.3465</v>
      </c>
    </row>
    <row r="1262">
      <c r="A1262" s="84" t="s">
        <v>2357</v>
      </c>
      <c r="B1262" s="87">
        <v>3.0</v>
      </c>
      <c r="C1262" s="87">
        <v>3.0</v>
      </c>
      <c r="D1262" s="84" t="s">
        <v>3415</v>
      </c>
      <c r="E1262" s="94">
        <v>1.0</v>
      </c>
      <c r="F1262" s="95">
        <f t="shared" si="1"/>
        <v>0.75</v>
      </c>
    </row>
    <row r="1263">
      <c r="A1263" s="84" t="s">
        <v>2358</v>
      </c>
      <c r="B1263" s="87">
        <v>49.0</v>
      </c>
      <c r="C1263" s="87">
        <v>42.0</v>
      </c>
      <c r="D1263" s="84" t="s">
        <v>3415</v>
      </c>
      <c r="E1263" s="94">
        <v>0.857</v>
      </c>
      <c r="F1263" s="95">
        <f t="shared" si="1"/>
        <v>0.64275</v>
      </c>
    </row>
    <row r="1264">
      <c r="A1264" s="84" t="s">
        <v>3197</v>
      </c>
      <c r="B1264" s="87">
        <v>4.0</v>
      </c>
      <c r="C1264" s="87">
        <v>4.0</v>
      </c>
      <c r="D1264" s="84" t="s">
        <v>3415</v>
      </c>
      <c r="E1264" s="94">
        <v>1.0</v>
      </c>
      <c r="F1264" s="95">
        <f t="shared" si="1"/>
        <v>0.75</v>
      </c>
    </row>
    <row r="1265">
      <c r="A1265" s="84" t="s">
        <v>3198</v>
      </c>
      <c r="B1265" s="87">
        <v>7.0</v>
      </c>
      <c r="C1265" s="87">
        <v>7.0</v>
      </c>
      <c r="D1265" s="84" t="s">
        <v>3414</v>
      </c>
      <c r="E1265" s="94">
        <v>1.0</v>
      </c>
      <c r="F1265" s="95">
        <f t="shared" si="1"/>
        <v>0.5</v>
      </c>
    </row>
    <row r="1266">
      <c r="A1266" s="84" t="s">
        <v>3199</v>
      </c>
      <c r="B1266" s="87">
        <v>7.0</v>
      </c>
      <c r="C1266" s="87">
        <v>7.0</v>
      </c>
      <c r="D1266" s="84" t="s">
        <v>3414</v>
      </c>
      <c r="E1266" s="94">
        <v>1.0</v>
      </c>
      <c r="F1266" s="95">
        <f t="shared" si="1"/>
        <v>0.5</v>
      </c>
    </row>
    <row r="1267">
      <c r="A1267" s="84" t="s">
        <v>3200</v>
      </c>
      <c r="B1267" s="87">
        <v>7.0</v>
      </c>
      <c r="C1267" s="87">
        <v>7.0</v>
      </c>
      <c r="D1267" s="84" t="s">
        <v>3414</v>
      </c>
      <c r="E1267" s="94">
        <v>1.0</v>
      </c>
      <c r="F1267" s="95">
        <f t="shared" si="1"/>
        <v>0.5</v>
      </c>
    </row>
    <row r="1268">
      <c r="A1268" s="84" t="s">
        <v>3201</v>
      </c>
      <c r="B1268" s="87">
        <v>7.0</v>
      </c>
      <c r="C1268" s="87">
        <v>7.0</v>
      </c>
      <c r="D1268" s="84" t="s">
        <v>3414</v>
      </c>
      <c r="E1268" s="94">
        <v>1.0</v>
      </c>
      <c r="F1268" s="95">
        <f t="shared" si="1"/>
        <v>0.5</v>
      </c>
    </row>
    <row r="1269">
      <c r="A1269" s="84" t="s">
        <v>3202</v>
      </c>
      <c r="B1269" s="87">
        <v>7.0</v>
      </c>
      <c r="C1269" s="87">
        <v>7.0</v>
      </c>
      <c r="D1269" s="84" t="s">
        <v>3414</v>
      </c>
      <c r="E1269" s="94">
        <v>1.0</v>
      </c>
      <c r="F1269" s="95">
        <f t="shared" si="1"/>
        <v>0.5</v>
      </c>
    </row>
    <row r="1270">
      <c r="A1270" s="84" t="s">
        <v>3383</v>
      </c>
      <c r="B1270" s="87">
        <v>0.0</v>
      </c>
      <c r="C1270" s="87">
        <v>0.0</v>
      </c>
      <c r="D1270" s="84" t="s">
        <v>3412</v>
      </c>
      <c r="E1270" s="92" t="s">
        <v>3413</v>
      </c>
      <c r="F1270" s="93" t="str">
        <f t="shared" si="1"/>
        <v>Not Applicable</v>
      </c>
    </row>
    <row r="1271">
      <c r="A1271" s="84" t="s">
        <v>1544</v>
      </c>
      <c r="B1271" s="87">
        <v>12.0</v>
      </c>
      <c r="C1271" s="87">
        <v>12.0</v>
      </c>
      <c r="D1271" s="84" t="s">
        <v>3415</v>
      </c>
      <c r="E1271" s="94">
        <v>1.0</v>
      </c>
      <c r="F1271" s="95">
        <f t="shared" si="1"/>
        <v>0.75</v>
      </c>
    </row>
    <row r="1272">
      <c r="A1272" s="84" t="s">
        <v>1545</v>
      </c>
      <c r="B1272" s="87">
        <v>12.0</v>
      </c>
      <c r="C1272" s="87">
        <v>11.0</v>
      </c>
      <c r="D1272" s="84" t="s">
        <v>3415</v>
      </c>
      <c r="E1272" s="94">
        <v>0.917</v>
      </c>
      <c r="F1272" s="95">
        <f t="shared" si="1"/>
        <v>0.68775</v>
      </c>
    </row>
    <row r="1273">
      <c r="A1273" s="84" t="s">
        <v>1546</v>
      </c>
      <c r="B1273" s="87">
        <v>4.0</v>
      </c>
      <c r="C1273" s="87">
        <v>4.0</v>
      </c>
      <c r="D1273" s="84" t="s">
        <v>3415</v>
      </c>
      <c r="E1273" s="94">
        <v>1.0</v>
      </c>
      <c r="F1273" s="95">
        <f t="shared" si="1"/>
        <v>0.75</v>
      </c>
    </row>
    <row r="1274">
      <c r="A1274" s="84" t="s">
        <v>1547</v>
      </c>
      <c r="B1274" s="87">
        <v>4.0</v>
      </c>
      <c r="C1274" s="87">
        <v>4.0</v>
      </c>
      <c r="D1274" s="84" t="s">
        <v>3415</v>
      </c>
      <c r="E1274" s="94">
        <v>1.0</v>
      </c>
      <c r="F1274" s="95">
        <f t="shared" si="1"/>
        <v>0.75</v>
      </c>
    </row>
    <row r="1275">
      <c r="A1275" s="84" t="s">
        <v>1548</v>
      </c>
      <c r="B1275" s="87">
        <v>3.0</v>
      </c>
      <c r="C1275" s="87">
        <v>1.0</v>
      </c>
      <c r="D1275" s="84" t="s">
        <v>3416</v>
      </c>
      <c r="E1275" s="94">
        <v>0.333</v>
      </c>
      <c r="F1275" s="93">
        <f t="shared" si="1"/>
        <v>0.333</v>
      </c>
    </row>
    <row r="1276">
      <c r="A1276" s="84" t="s">
        <v>1549</v>
      </c>
      <c r="B1276" s="87">
        <v>63.0</v>
      </c>
      <c r="C1276" s="87">
        <v>55.0</v>
      </c>
      <c r="D1276" s="84" t="s">
        <v>3414</v>
      </c>
      <c r="E1276" s="94">
        <v>0.873</v>
      </c>
      <c r="F1276" s="95">
        <f t="shared" si="1"/>
        <v>0.4365</v>
      </c>
    </row>
    <row r="1277">
      <c r="A1277" s="84" t="s">
        <v>3223</v>
      </c>
      <c r="B1277" s="87">
        <v>4.0</v>
      </c>
      <c r="C1277" s="87">
        <v>4.0</v>
      </c>
      <c r="D1277" s="84" t="s">
        <v>3415</v>
      </c>
      <c r="E1277" s="94">
        <v>1.0</v>
      </c>
      <c r="F1277" s="95">
        <f t="shared" si="1"/>
        <v>0.75</v>
      </c>
    </row>
    <row r="1278">
      <c r="A1278" s="84" t="s">
        <v>3224</v>
      </c>
      <c r="B1278" s="87">
        <v>105.0</v>
      </c>
      <c r="C1278" s="87">
        <v>61.0</v>
      </c>
      <c r="D1278" s="84" t="s">
        <v>3414</v>
      </c>
      <c r="E1278" s="94">
        <v>0.581</v>
      </c>
      <c r="F1278" s="95">
        <f t="shared" si="1"/>
        <v>0.2905</v>
      </c>
    </row>
    <row r="1279">
      <c r="A1279" s="84" t="s">
        <v>3225</v>
      </c>
      <c r="B1279" s="87">
        <v>105.0</v>
      </c>
      <c r="C1279" s="87">
        <v>61.0</v>
      </c>
      <c r="D1279" s="84" t="s">
        <v>3414</v>
      </c>
      <c r="E1279" s="94">
        <v>0.581</v>
      </c>
      <c r="F1279" s="95">
        <f t="shared" si="1"/>
        <v>0.2905</v>
      </c>
    </row>
    <row r="1280">
      <c r="A1280" s="84" t="s">
        <v>3226</v>
      </c>
      <c r="B1280" s="87">
        <v>75.0</v>
      </c>
      <c r="C1280" s="87">
        <v>49.0</v>
      </c>
      <c r="D1280" s="84" t="s">
        <v>3416</v>
      </c>
      <c r="E1280" s="94">
        <v>0.653</v>
      </c>
      <c r="F1280" s="93">
        <f t="shared" si="1"/>
        <v>0.653</v>
      </c>
    </row>
    <row r="1281">
      <c r="A1281" s="84" t="s">
        <v>3228</v>
      </c>
      <c r="B1281" s="87">
        <v>3.0</v>
      </c>
      <c r="C1281" s="87">
        <v>3.0</v>
      </c>
      <c r="D1281" s="84" t="s">
        <v>3416</v>
      </c>
      <c r="E1281" s="94">
        <v>1.0</v>
      </c>
      <c r="F1281" s="93">
        <f t="shared" si="1"/>
        <v>1</v>
      </c>
    </row>
    <row r="1282">
      <c r="A1282" s="84" t="s">
        <v>3229</v>
      </c>
      <c r="B1282" s="87">
        <v>13.0</v>
      </c>
      <c r="C1282" s="87">
        <v>0.0</v>
      </c>
      <c r="D1282" s="84" t="s">
        <v>3416</v>
      </c>
      <c r="E1282" s="94">
        <v>0.0</v>
      </c>
      <c r="F1282" s="93">
        <f t="shared" si="1"/>
        <v>0</v>
      </c>
    </row>
    <row r="1283">
      <c r="A1283" s="84" t="s">
        <v>2091</v>
      </c>
      <c r="B1283" s="87">
        <v>6.0</v>
      </c>
      <c r="C1283" s="87">
        <v>6.0</v>
      </c>
      <c r="D1283" s="84" t="s">
        <v>3415</v>
      </c>
      <c r="E1283" s="94">
        <v>1.0</v>
      </c>
      <c r="F1283" s="95">
        <f t="shared" si="1"/>
        <v>0.75</v>
      </c>
    </row>
    <row r="1284">
      <c r="A1284" s="84" t="s">
        <v>2093</v>
      </c>
      <c r="B1284" s="87">
        <v>7.0</v>
      </c>
      <c r="C1284" s="87">
        <v>4.0</v>
      </c>
      <c r="D1284" s="84" t="s">
        <v>3415</v>
      </c>
      <c r="E1284" s="94">
        <v>0.571</v>
      </c>
      <c r="F1284" s="95">
        <f t="shared" si="1"/>
        <v>0.42825</v>
      </c>
    </row>
    <row r="1285">
      <c r="A1285" s="84" t="s">
        <v>2094</v>
      </c>
      <c r="B1285" s="87">
        <v>47.0</v>
      </c>
      <c r="C1285" s="87">
        <v>35.0</v>
      </c>
      <c r="D1285" s="84" t="s">
        <v>3414</v>
      </c>
      <c r="E1285" s="94">
        <v>0.745</v>
      </c>
      <c r="F1285" s="95">
        <f t="shared" si="1"/>
        <v>0.3725</v>
      </c>
    </row>
    <row r="1286">
      <c r="A1286" s="84" t="s">
        <v>2095</v>
      </c>
      <c r="B1286" s="87">
        <v>5.0</v>
      </c>
      <c r="C1286" s="87">
        <v>5.0</v>
      </c>
      <c r="D1286" s="84" t="s">
        <v>3415</v>
      </c>
      <c r="E1286" s="94">
        <v>1.0</v>
      </c>
      <c r="F1286" s="95">
        <f t="shared" si="1"/>
        <v>0.75</v>
      </c>
    </row>
    <row r="1287">
      <c r="A1287" s="84" t="s">
        <v>2096</v>
      </c>
      <c r="B1287" s="87">
        <v>4.0</v>
      </c>
      <c r="C1287" s="87">
        <v>3.0</v>
      </c>
      <c r="D1287" s="84" t="s">
        <v>3416</v>
      </c>
      <c r="E1287" s="94">
        <v>0.75</v>
      </c>
      <c r="F1287" s="93">
        <f t="shared" si="1"/>
        <v>0.75</v>
      </c>
    </row>
    <row r="1288">
      <c r="A1288" s="84" t="s">
        <v>2097</v>
      </c>
      <c r="B1288" s="87">
        <v>3.0</v>
      </c>
      <c r="C1288" s="87">
        <v>2.0</v>
      </c>
      <c r="D1288" s="84" t="s">
        <v>3415</v>
      </c>
      <c r="E1288" s="94">
        <v>0.667</v>
      </c>
      <c r="F1288" s="95">
        <f t="shared" si="1"/>
        <v>0.50025</v>
      </c>
    </row>
    <row r="1289">
      <c r="A1289" s="84" t="s">
        <v>2098</v>
      </c>
      <c r="B1289" s="87">
        <v>6.0</v>
      </c>
      <c r="C1289" s="87">
        <v>0.0</v>
      </c>
      <c r="D1289" s="84" t="s">
        <v>3415</v>
      </c>
      <c r="E1289" s="94">
        <v>0.0</v>
      </c>
      <c r="F1289" s="95">
        <f t="shared" si="1"/>
        <v>0</v>
      </c>
    </row>
    <row r="1290">
      <c r="A1290" s="84" t="s">
        <v>3087</v>
      </c>
      <c r="B1290" s="87">
        <v>7.0</v>
      </c>
      <c r="C1290" s="87">
        <v>5.0</v>
      </c>
      <c r="D1290" s="84" t="s">
        <v>3415</v>
      </c>
      <c r="E1290" s="94">
        <v>0.714</v>
      </c>
      <c r="F1290" s="95">
        <f t="shared" si="1"/>
        <v>0.5355</v>
      </c>
    </row>
    <row r="1291">
      <c r="A1291" s="84" t="s">
        <v>2455</v>
      </c>
      <c r="B1291" s="87">
        <v>13.0</v>
      </c>
      <c r="C1291" s="87">
        <v>10.0</v>
      </c>
      <c r="D1291" s="84" t="s">
        <v>3415</v>
      </c>
      <c r="E1291" s="94">
        <v>0.769</v>
      </c>
      <c r="F1291" s="95">
        <f t="shared" si="1"/>
        <v>0.57675</v>
      </c>
    </row>
    <row r="1292">
      <c r="A1292" s="84" t="s">
        <v>2457</v>
      </c>
      <c r="B1292" s="87">
        <v>34.0</v>
      </c>
      <c r="C1292" s="87">
        <v>21.0</v>
      </c>
      <c r="D1292" s="84" t="s">
        <v>3415</v>
      </c>
      <c r="E1292" s="94">
        <v>0.618</v>
      </c>
      <c r="F1292" s="95">
        <f t="shared" si="1"/>
        <v>0.4635</v>
      </c>
    </row>
    <row r="1293">
      <c r="A1293" s="84" t="s">
        <v>2458</v>
      </c>
      <c r="B1293" s="87">
        <v>3.0</v>
      </c>
      <c r="C1293" s="87">
        <v>3.0</v>
      </c>
      <c r="D1293" s="84" t="s">
        <v>3416</v>
      </c>
      <c r="E1293" s="94">
        <v>1.0</v>
      </c>
      <c r="F1293" s="93">
        <f t="shared" si="1"/>
        <v>1</v>
      </c>
    </row>
    <row r="1294">
      <c r="A1294" s="84" t="s">
        <v>2459</v>
      </c>
      <c r="B1294" s="87">
        <v>20.0</v>
      </c>
      <c r="C1294" s="87">
        <v>0.0</v>
      </c>
      <c r="D1294" s="84" t="s">
        <v>3415</v>
      </c>
      <c r="E1294" s="94">
        <v>0.0</v>
      </c>
      <c r="F1294" s="95">
        <f t="shared" si="1"/>
        <v>0</v>
      </c>
    </row>
    <row r="1295">
      <c r="A1295" s="84" t="s">
        <v>2465</v>
      </c>
      <c r="B1295" s="87">
        <v>10.0</v>
      </c>
      <c r="C1295" s="87">
        <v>7.0</v>
      </c>
      <c r="D1295" s="84" t="s">
        <v>3415</v>
      </c>
      <c r="E1295" s="94">
        <v>0.7</v>
      </c>
      <c r="F1295" s="95">
        <f t="shared" si="1"/>
        <v>0.525</v>
      </c>
    </row>
    <row r="1296">
      <c r="A1296" s="84" t="s">
        <v>2460</v>
      </c>
      <c r="B1296" s="87">
        <v>88.0</v>
      </c>
      <c r="C1296" s="87">
        <v>76.0</v>
      </c>
      <c r="D1296" s="84" t="s">
        <v>3414</v>
      </c>
      <c r="E1296" s="94">
        <v>0.864</v>
      </c>
      <c r="F1296" s="95">
        <f t="shared" si="1"/>
        <v>0.432</v>
      </c>
    </row>
    <row r="1297">
      <c r="A1297" s="84" t="s">
        <v>2242</v>
      </c>
      <c r="B1297" s="87">
        <v>3.0</v>
      </c>
      <c r="C1297" s="87">
        <v>3.0</v>
      </c>
      <c r="D1297" s="84" t="s">
        <v>3415</v>
      </c>
      <c r="E1297" s="94">
        <v>1.0</v>
      </c>
      <c r="F1297" s="95">
        <f t="shared" si="1"/>
        <v>0.75</v>
      </c>
    </row>
    <row r="1298">
      <c r="A1298" s="84" t="s">
        <v>2244</v>
      </c>
      <c r="B1298" s="87">
        <v>4.0</v>
      </c>
      <c r="C1298" s="87">
        <v>4.0</v>
      </c>
      <c r="D1298" s="84" t="s">
        <v>3415</v>
      </c>
      <c r="E1298" s="94">
        <v>1.0</v>
      </c>
      <c r="F1298" s="95">
        <f t="shared" si="1"/>
        <v>0.75</v>
      </c>
    </row>
    <row r="1299">
      <c r="A1299" s="84" t="s">
        <v>2245</v>
      </c>
      <c r="B1299" s="87">
        <v>22.0</v>
      </c>
      <c r="C1299" s="87">
        <v>18.0</v>
      </c>
      <c r="D1299" s="84" t="s">
        <v>3415</v>
      </c>
      <c r="E1299" s="94">
        <v>0.818</v>
      </c>
      <c r="F1299" s="95">
        <f t="shared" si="1"/>
        <v>0.6135</v>
      </c>
    </row>
    <row r="1300">
      <c r="A1300" s="84" t="s">
        <v>2246</v>
      </c>
      <c r="B1300" s="87">
        <v>34.0</v>
      </c>
      <c r="C1300" s="87">
        <v>29.0</v>
      </c>
      <c r="D1300" s="84" t="s">
        <v>3414</v>
      </c>
      <c r="E1300" s="94">
        <v>0.853</v>
      </c>
      <c r="F1300" s="95">
        <f t="shared" si="1"/>
        <v>0.4265</v>
      </c>
    </row>
    <row r="1301">
      <c r="A1301" s="84" t="s">
        <v>2286</v>
      </c>
      <c r="B1301" s="87">
        <v>14.0</v>
      </c>
      <c r="C1301" s="87">
        <v>8.0</v>
      </c>
      <c r="D1301" s="84" t="s">
        <v>3414</v>
      </c>
      <c r="E1301" s="94">
        <v>0.571</v>
      </c>
      <c r="F1301" s="95">
        <f t="shared" si="1"/>
        <v>0.2855</v>
      </c>
    </row>
    <row r="1302">
      <c r="A1302" s="84" t="s">
        <v>2287</v>
      </c>
      <c r="B1302" s="87">
        <v>3.0</v>
      </c>
      <c r="C1302" s="87">
        <v>2.0</v>
      </c>
      <c r="D1302" s="84" t="s">
        <v>3415</v>
      </c>
      <c r="E1302" s="94">
        <v>0.667</v>
      </c>
      <c r="F1302" s="95">
        <f t="shared" si="1"/>
        <v>0.50025</v>
      </c>
    </row>
    <row r="1303">
      <c r="A1303" s="84" t="s">
        <v>2288</v>
      </c>
      <c r="B1303" s="87">
        <v>4.0</v>
      </c>
      <c r="C1303" s="87">
        <v>2.0</v>
      </c>
      <c r="D1303" s="84" t="s">
        <v>3415</v>
      </c>
      <c r="E1303" s="94">
        <v>0.5</v>
      </c>
      <c r="F1303" s="95">
        <f t="shared" si="1"/>
        <v>0.375</v>
      </c>
    </row>
    <row r="1304">
      <c r="A1304" s="84" t="s">
        <v>2289</v>
      </c>
      <c r="B1304" s="87">
        <v>14.0</v>
      </c>
      <c r="C1304" s="87">
        <v>8.0</v>
      </c>
      <c r="D1304" s="84" t="s">
        <v>3414</v>
      </c>
      <c r="E1304" s="94">
        <v>0.571</v>
      </c>
      <c r="F1304" s="95">
        <f t="shared" si="1"/>
        <v>0.2855</v>
      </c>
    </row>
    <row r="1305">
      <c r="A1305" s="84" t="s">
        <v>2290</v>
      </c>
      <c r="B1305" s="87">
        <v>14.0</v>
      </c>
      <c r="C1305" s="87">
        <v>8.0</v>
      </c>
      <c r="D1305" s="84" t="s">
        <v>3414</v>
      </c>
      <c r="E1305" s="94">
        <v>0.571</v>
      </c>
      <c r="F1305" s="95">
        <f t="shared" si="1"/>
        <v>0.2855</v>
      </c>
    </row>
    <row r="1306">
      <c r="A1306" s="84" t="s">
        <v>2291</v>
      </c>
      <c r="B1306" s="87">
        <v>4.0</v>
      </c>
      <c r="C1306" s="87">
        <v>2.0</v>
      </c>
      <c r="D1306" s="84" t="s">
        <v>3415</v>
      </c>
      <c r="E1306" s="94">
        <v>0.5</v>
      </c>
      <c r="F1306" s="95">
        <f t="shared" si="1"/>
        <v>0.375</v>
      </c>
    </row>
    <row r="1307">
      <c r="A1307" s="84" t="s">
        <v>2292</v>
      </c>
      <c r="B1307" s="87">
        <v>14.0</v>
      </c>
      <c r="C1307" s="87">
        <v>8.0</v>
      </c>
      <c r="D1307" s="84" t="s">
        <v>3414</v>
      </c>
      <c r="E1307" s="94">
        <v>0.571</v>
      </c>
      <c r="F1307" s="95">
        <f t="shared" si="1"/>
        <v>0.2855</v>
      </c>
    </row>
    <row r="1308">
      <c r="A1308" s="84" t="s">
        <v>2019</v>
      </c>
      <c r="B1308" s="87">
        <v>33.0</v>
      </c>
      <c r="C1308" s="87">
        <v>24.0</v>
      </c>
      <c r="D1308" s="84" t="s">
        <v>3414</v>
      </c>
      <c r="E1308" s="94">
        <v>0.727</v>
      </c>
      <c r="F1308" s="95">
        <f t="shared" si="1"/>
        <v>0.3635</v>
      </c>
    </row>
    <row r="1309">
      <c r="A1309" s="84" t="s">
        <v>2021</v>
      </c>
      <c r="B1309" s="87">
        <v>9.0</v>
      </c>
      <c r="C1309" s="87">
        <v>6.0</v>
      </c>
      <c r="D1309" s="84" t="s">
        <v>3415</v>
      </c>
      <c r="E1309" s="94">
        <v>0.667</v>
      </c>
      <c r="F1309" s="95">
        <f t="shared" si="1"/>
        <v>0.50025</v>
      </c>
    </row>
    <row r="1310">
      <c r="A1310" s="84" t="s">
        <v>2022</v>
      </c>
      <c r="B1310" s="87">
        <v>5.0</v>
      </c>
      <c r="C1310" s="87">
        <v>3.0</v>
      </c>
      <c r="D1310" s="84" t="s">
        <v>3415</v>
      </c>
      <c r="E1310" s="94">
        <v>0.6</v>
      </c>
      <c r="F1310" s="95">
        <f t="shared" si="1"/>
        <v>0.45</v>
      </c>
    </row>
    <row r="1311">
      <c r="A1311" s="84" t="s">
        <v>2023</v>
      </c>
      <c r="B1311" s="87">
        <v>4.0</v>
      </c>
      <c r="C1311" s="87">
        <v>2.0</v>
      </c>
      <c r="D1311" s="84" t="s">
        <v>3415</v>
      </c>
      <c r="E1311" s="94">
        <v>0.5</v>
      </c>
      <c r="F1311" s="95">
        <f t="shared" si="1"/>
        <v>0.375</v>
      </c>
    </row>
    <row r="1312">
      <c r="A1312" s="84" t="s">
        <v>2024</v>
      </c>
      <c r="B1312" s="87">
        <v>33.0</v>
      </c>
      <c r="C1312" s="87">
        <v>24.0</v>
      </c>
      <c r="D1312" s="84" t="s">
        <v>3414</v>
      </c>
      <c r="E1312" s="94">
        <v>0.727</v>
      </c>
      <c r="F1312" s="95">
        <f t="shared" si="1"/>
        <v>0.3635</v>
      </c>
    </row>
    <row r="1313">
      <c r="A1313" s="84" t="s">
        <v>2025</v>
      </c>
      <c r="B1313" s="87">
        <v>15.0</v>
      </c>
      <c r="C1313" s="87">
        <v>13.0</v>
      </c>
      <c r="D1313" s="84" t="s">
        <v>3415</v>
      </c>
      <c r="E1313" s="94">
        <v>0.867</v>
      </c>
      <c r="F1313" s="95">
        <f t="shared" si="1"/>
        <v>0.65025</v>
      </c>
    </row>
    <row r="1314">
      <c r="A1314" s="84" t="s">
        <v>2026</v>
      </c>
      <c r="B1314" s="87">
        <v>33.0</v>
      </c>
      <c r="C1314" s="87">
        <v>24.0</v>
      </c>
      <c r="D1314" s="84" t="s">
        <v>3414</v>
      </c>
      <c r="E1314" s="94">
        <v>0.727</v>
      </c>
      <c r="F1314" s="95">
        <f t="shared" si="1"/>
        <v>0.3635</v>
      </c>
    </row>
    <row r="1315">
      <c r="A1315" s="84" t="s">
        <v>2360</v>
      </c>
      <c r="B1315" s="87">
        <v>62.0</v>
      </c>
      <c r="C1315" s="87">
        <v>53.0</v>
      </c>
      <c r="D1315" s="84" t="s">
        <v>3414</v>
      </c>
      <c r="E1315" s="94">
        <v>0.855</v>
      </c>
      <c r="F1315" s="95">
        <f t="shared" si="1"/>
        <v>0.4275</v>
      </c>
    </row>
    <row r="1316">
      <c r="A1316" s="84" t="s">
        <v>2361</v>
      </c>
      <c r="B1316" s="87">
        <v>3.0</v>
      </c>
      <c r="C1316" s="87">
        <v>3.0</v>
      </c>
      <c r="D1316" s="84" t="s">
        <v>3415</v>
      </c>
      <c r="E1316" s="94">
        <v>1.0</v>
      </c>
      <c r="F1316" s="95">
        <f t="shared" si="1"/>
        <v>0.75</v>
      </c>
    </row>
    <row r="1317">
      <c r="A1317" s="84" t="s">
        <v>2363</v>
      </c>
      <c r="B1317" s="87">
        <v>45.0</v>
      </c>
      <c r="C1317" s="87">
        <v>39.0</v>
      </c>
      <c r="D1317" s="84" t="s">
        <v>3416</v>
      </c>
      <c r="E1317" s="94">
        <v>0.867</v>
      </c>
      <c r="F1317" s="93">
        <f t="shared" si="1"/>
        <v>0.867</v>
      </c>
    </row>
    <row r="1318">
      <c r="A1318" s="84" t="s">
        <v>2363</v>
      </c>
      <c r="B1318" s="87">
        <v>45.0</v>
      </c>
      <c r="C1318" s="87">
        <v>39.0</v>
      </c>
      <c r="D1318" s="84" t="s">
        <v>3416</v>
      </c>
      <c r="E1318" s="94">
        <v>0.867</v>
      </c>
      <c r="F1318" s="93">
        <f t="shared" si="1"/>
        <v>0.867</v>
      </c>
    </row>
    <row r="1319">
      <c r="A1319" s="84" t="s">
        <v>2364</v>
      </c>
      <c r="B1319" s="87">
        <v>62.0</v>
      </c>
      <c r="C1319" s="87">
        <v>53.0</v>
      </c>
      <c r="D1319" s="84" t="s">
        <v>3414</v>
      </c>
      <c r="E1319" s="94">
        <v>0.855</v>
      </c>
      <c r="F1319" s="95">
        <f t="shared" si="1"/>
        <v>0.4275</v>
      </c>
    </row>
    <row r="1320">
      <c r="A1320" s="84" t="s">
        <v>2823</v>
      </c>
      <c r="B1320" s="87">
        <v>0.0</v>
      </c>
      <c r="C1320" s="87">
        <v>0.0</v>
      </c>
      <c r="D1320" s="84" t="s">
        <v>3412</v>
      </c>
      <c r="E1320" s="92" t="s">
        <v>3413</v>
      </c>
      <c r="F1320" s="93" t="str">
        <f t="shared" si="1"/>
        <v>Not Applicable</v>
      </c>
    </row>
    <row r="1321">
      <c r="A1321" s="84" t="s">
        <v>3142</v>
      </c>
      <c r="B1321" s="87">
        <v>12.0</v>
      </c>
      <c r="C1321" s="87">
        <v>7.0</v>
      </c>
      <c r="D1321" s="84" t="s">
        <v>3415</v>
      </c>
      <c r="E1321" s="94">
        <v>0.583</v>
      </c>
      <c r="F1321" s="95">
        <f t="shared" si="1"/>
        <v>0.43725</v>
      </c>
    </row>
    <row r="1322">
      <c r="A1322" s="84" t="s">
        <v>3143</v>
      </c>
      <c r="B1322" s="87">
        <v>24.0</v>
      </c>
      <c r="C1322" s="87">
        <v>15.0</v>
      </c>
      <c r="D1322" s="84" t="s">
        <v>3415</v>
      </c>
      <c r="E1322" s="94">
        <v>0.625</v>
      </c>
      <c r="F1322" s="95">
        <f t="shared" si="1"/>
        <v>0.46875</v>
      </c>
    </row>
    <row r="1323">
      <c r="A1323" s="84" t="s">
        <v>3144</v>
      </c>
      <c r="B1323" s="87">
        <v>20.0</v>
      </c>
      <c r="C1323" s="87">
        <v>12.0</v>
      </c>
      <c r="D1323" s="84" t="s">
        <v>3415</v>
      </c>
      <c r="E1323" s="94">
        <v>0.6</v>
      </c>
      <c r="F1323" s="95">
        <f t="shared" si="1"/>
        <v>0.45</v>
      </c>
    </row>
    <row r="1324">
      <c r="A1324" s="84" t="s">
        <v>3145</v>
      </c>
      <c r="B1324" s="87">
        <v>11.0</v>
      </c>
      <c r="C1324" s="87">
        <v>10.0</v>
      </c>
      <c r="D1324" s="84" t="s">
        <v>3415</v>
      </c>
      <c r="E1324" s="94">
        <v>0.909</v>
      </c>
      <c r="F1324" s="95">
        <f t="shared" si="1"/>
        <v>0.68175</v>
      </c>
    </row>
    <row r="1325">
      <c r="A1325" s="84" t="s">
        <v>3146</v>
      </c>
      <c r="B1325" s="87">
        <v>25.0</v>
      </c>
      <c r="C1325" s="87">
        <v>17.0</v>
      </c>
      <c r="D1325" s="84" t="s">
        <v>3415</v>
      </c>
      <c r="E1325" s="94">
        <v>0.68</v>
      </c>
      <c r="F1325" s="95">
        <f t="shared" si="1"/>
        <v>0.51</v>
      </c>
    </row>
    <row r="1326">
      <c r="A1326" s="84" t="s">
        <v>3147</v>
      </c>
      <c r="B1326" s="87">
        <v>9.0</v>
      </c>
      <c r="C1326" s="87">
        <v>6.0</v>
      </c>
      <c r="D1326" s="84" t="s">
        <v>3415</v>
      </c>
      <c r="E1326" s="94">
        <v>0.667</v>
      </c>
      <c r="F1326" s="95">
        <f t="shared" si="1"/>
        <v>0.50025</v>
      </c>
    </row>
    <row r="1327">
      <c r="A1327" s="84" t="s">
        <v>3148</v>
      </c>
      <c r="B1327" s="87">
        <v>8.0</v>
      </c>
      <c r="C1327" s="87">
        <v>0.0</v>
      </c>
      <c r="D1327" s="84" t="s">
        <v>3415</v>
      </c>
      <c r="E1327" s="94">
        <v>0.0</v>
      </c>
      <c r="F1327" s="95">
        <f t="shared" si="1"/>
        <v>0</v>
      </c>
    </row>
    <row r="1328">
      <c r="A1328" s="84" t="s">
        <v>3402</v>
      </c>
      <c r="B1328" s="87">
        <v>0.0</v>
      </c>
      <c r="C1328" s="87">
        <v>0.0</v>
      </c>
      <c r="D1328" s="84" t="s">
        <v>3412</v>
      </c>
      <c r="E1328" s="92" t="s">
        <v>3413</v>
      </c>
      <c r="F1328" s="93" t="str">
        <f t="shared" si="1"/>
        <v>Not Applicable</v>
      </c>
    </row>
    <row r="1329">
      <c r="A1329" s="84" t="s">
        <v>3284</v>
      </c>
      <c r="B1329" s="87">
        <v>0.0</v>
      </c>
      <c r="C1329" s="87">
        <v>0.0</v>
      </c>
      <c r="D1329" s="84" t="s">
        <v>3412</v>
      </c>
      <c r="E1329" s="92" t="s">
        <v>3413</v>
      </c>
      <c r="F1329" s="93" t="str">
        <f t="shared" si="1"/>
        <v>Not Applicable</v>
      </c>
    </row>
    <row r="1330">
      <c r="A1330" s="84" t="s">
        <v>3403</v>
      </c>
      <c r="B1330" s="87">
        <v>0.0</v>
      </c>
      <c r="C1330" s="87">
        <v>0.0</v>
      </c>
      <c r="D1330" s="84" t="s">
        <v>3412</v>
      </c>
      <c r="E1330" s="92" t="s">
        <v>3413</v>
      </c>
      <c r="F1330" s="93" t="str">
        <f t="shared" si="1"/>
        <v>Not Applicable</v>
      </c>
    </row>
    <row r="1331">
      <c r="A1331" s="84" t="s">
        <v>3405</v>
      </c>
      <c r="B1331" s="87">
        <v>0.0</v>
      </c>
      <c r="C1331" s="87">
        <v>0.0</v>
      </c>
      <c r="D1331" s="84" t="s">
        <v>3412</v>
      </c>
      <c r="E1331" s="92" t="s">
        <v>3413</v>
      </c>
      <c r="F1331" s="93" t="str">
        <f t="shared" si="1"/>
        <v>Not Applicable</v>
      </c>
    </row>
    <row r="1332">
      <c r="A1332" s="84" t="s">
        <v>2115</v>
      </c>
      <c r="B1332" s="87">
        <v>1.0</v>
      </c>
      <c r="C1332" s="87">
        <v>1.0</v>
      </c>
      <c r="D1332" s="84" t="s">
        <v>3414</v>
      </c>
      <c r="E1332" s="92" t="s">
        <v>3413</v>
      </c>
      <c r="F1332" s="95" t="str">
        <f t="shared" si="1"/>
        <v>#VALUE!</v>
      </c>
    </row>
    <row r="1333">
      <c r="A1333" s="84" t="s">
        <v>2116</v>
      </c>
      <c r="B1333" s="87">
        <v>1.0</v>
      </c>
      <c r="C1333" s="87">
        <v>1.0</v>
      </c>
      <c r="D1333" s="84" t="s">
        <v>3414</v>
      </c>
      <c r="E1333" s="92" t="s">
        <v>3413</v>
      </c>
      <c r="F1333" s="95" t="str">
        <f t="shared" si="1"/>
        <v>#VALUE!</v>
      </c>
    </row>
    <row r="1334">
      <c r="A1334" s="84" t="s">
        <v>2117</v>
      </c>
      <c r="B1334" s="87">
        <v>1.0</v>
      </c>
      <c r="C1334" s="87">
        <v>1.0</v>
      </c>
      <c r="D1334" s="84" t="s">
        <v>3414</v>
      </c>
      <c r="E1334" s="92" t="s">
        <v>3413</v>
      </c>
      <c r="F1334" s="95" t="str">
        <f t="shared" si="1"/>
        <v>#VALUE!</v>
      </c>
    </row>
    <row r="1335">
      <c r="A1335" s="84" t="s">
        <v>2118</v>
      </c>
      <c r="B1335" s="87">
        <v>1.0</v>
      </c>
      <c r="C1335" s="87">
        <v>1.0</v>
      </c>
      <c r="D1335" s="84" t="s">
        <v>3414</v>
      </c>
      <c r="E1335" s="92" t="s">
        <v>3413</v>
      </c>
      <c r="F1335" s="95" t="str">
        <f t="shared" si="1"/>
        <v>#VALUE!</v>
      </c>
    </row>
    <row r="1336">
      <c r="A1336" s="84" t="s">
        <v>2119</v>
      </c>
      <c r="B1336" s="87">
        <v>1.0</v>
      </c>
      <c r="C1336" s="87">
        <v>1.0</v>
      </c>
      <c r="D1336" s="84" t="s">
        <v>3414</v>
      </c>
      <c r="E1336" s="92" t="s">
        <v>3413</v>
      </c>
      <c r="F1336" s="95" t="str">
        <f t="shared" si="1"/>
        <v>#VALUE!</v>
      </c>
    </row>
    <row r="1337">
      <c r="A1337" s="84" t="s">
        <v>2120</v>
      </c>
      <c r="B1337" s="87">
        <v>1.0</v>
      </c>
      <c r="C1337" s="87">
        <v>1.0</v>
      </c>
      <c r="D1337" s="84" t="s">
        <v>3414</v>
      </c>
      <c r="E1337" s="92" t="s">
        <v>3413</v>
      </c>
      <c r="F1337" s="95" t="str">
        <f t="shared" si="1"/>
        <v>#VALUE!</v>
      </c>
    </row>
    <row r="1338">
      <c r="A1338" s="84" t="s">
        <v>1458</v>
      </c>
      <c r="B1338" s="87">
        <v>19.0</v>
      </c>
      <c r="C1338" s="87">
        <v>12.0</v>
      </c>
      <c r="D1338" s="84" t="s">
        <v>3414</v>
      </c>
      <c r="E1338" s="94">
        <v>0.632</v>
      </c>
      <c r="F1338" s="95">
        <f t="shared" si="1"/>
        <v>0.316</v>
      </c>
    </row>
    <row r="1339">
      <c r="A1339" s="84" t="s">
        <v>1460</v>
      </c>
      <c r="B1339" s="87">
        <v>4.0</v>
      </c>
      <c r="C1339" s="87">
        <v>4.0</v>
      </c>
      <c r="D1339" s="84" t="s">
        <v>3415</v>
      </c>
      <c r="E1339" s="94">
        <v>1.0</v>
      </c>
      <c r="F1339" s="95">
        <f t="shared" si="1"/>
        <v>0.75</v>
      </c>
    </row>
    <row r="1340">
      <c r="A1340" s="84" t="s">
        <v>1460</v>
      </c>
      <c r="B1340" s="87">
        <v>3.0</v>
      </c>
      <c r="C1340" s="87">
        <v>3.0</v>
      </c>
      <c r="D1340" s="84" t="s">
        <v>3415</v>
      </c>
      <c r="E1340" s="94">
        <v>1.0</v>
      </c>
      <c r="F1340" s="95">
        <f t="shared" si="1"/>
        <v>0.75</v>
      </c>
    </row>
    <row r="1341">
      <c r="A1341" s="84" t="s">
        <v>1461</v>
      </c>
      <c r="B1341" s="87">
        <v>19.0</v>
      </c>
      <c r="C1341" s="87">
        <v>12.0</v>
      </c>
      <c r="D1341" s="84" t="s">
        <v>3414</v>
      </c>
      <c r="E1341" s="94">
        <v>0.632</v>
      </c>
      <c r="F1341" s="95">
        <f t="shared" si="1"/>
        <v>0.316</v>
      </c>
    </row>
    <row r="1342">
      <c r="A1342" s="84" t="s">
        <v>1462</v>
      </c>
      <c r="B1342" s="87">
        <v>7.0</v>
      </c>
      <c r="C1342" s="87">
        <v>7.0</v>
      </c>
      <c r="D1342" s="84" t="s">
        <v>3414</v>
      </c>
      <c r="E1342" s="94">
        <v>1.0</v>
      </c>
      <c r="F1342" s="95">
        <f t="shared" si="1"/>
        <v>0.5</v>
      </c>
    </row>
    <row r="1343">
      <c r="A1343" s="84" t="s">
        <v>1462</v>
      </c>
      <c r="B1343" s="87">
        <v>19.0</v>
      </c>
      <c r="C1343" s="87">
        <v>12.0</v>
      </c>
      <c r="D1343" s="84" t="s">
        <v>3414</v>
      </c>
      <c r="E1343" s="94">
        <v>0.632</v>
      </c>
      <c r="F1343" s="95">
        <f t="shared" si="1"/>
        <v>0.316</v>
      </c>
    </row>
    <row r="1344">
      <c r="A1344" s="84" t="s">
        <v>1463</v>
      </c>
      <c r="B1344" s="87">
        <v>7.0</v>
      </c>
      <c r="C1344" s="87">
        <v>7.0</v>
      </c>
      <c r="D1344" s="84" t="s">
        <v>3414</v>
      </c>
      <c r="E1344" s="94">
        <v>1.0</v>
      </c>
      <c r="F1344" s="95">
        <f t="shared" si="1"/>
        <v>0.5</v>
      </c>
    </row>
    <row r="1345">
      <c r="A1345" s="84" t="s">
        <v>1463</v>
      </c>
      <c r="B1345" s="87">
        <v>12.0</v>
      </c>
      <c r="C1345" s="87">
        <v>7.0</v>
      </c>
      <c r="D1345" s="84" t="s">
        <v>3415</v>
      </c>
      <c r="E1345" s="94">
        <v>0.583</v>
      </c>
      <c r="F1345" s="95">
        <f t="shared" si="1"/>
        <v>0.43725</v>
      </c>
    </row>
    <row r="1346">
      <c r="A1346" s="84" t="s">
        <v>1464</v>
      </c>
      <c r="B1346" s="87">
        <v>7.0</v>
      </c>
      <c r="C1346" s="87">
        <v>7.0</v>
      </c>
      <c r="D1346" s="84" t="s">
        <v>3414</v>
      </c>
      <c r="E1346" s="94">
        <v>1.0</v>
      </c>
      <c r="F1346" s="95">
        <f t="shared" si="1"/>
        <v>0.5</v>
      </c>
    </row>
    <row r="1347">
      <c r="A1347" s="84" t="s">
        <v>1464</v>
      </c>
      <c r="B1347" s="87">
        <v>19.0</v>
      </c>
      <c r="C1347" s="87">
        <v>12.0</v>
      </c>
      <c r="D1347" s="84" t="s">
        <v>3414</v>
      </c>
      <c r="E1347" s="94">
        <v>0.632</v>
      </c>
      <c r="F1347" s="95">
        <f t="shared" si="1"/>
        <v>0.316</v>
      </c>
    </row>
    <row r="1348">
      <c r="A1348" s="84" t="s">
        <v>1465</v>
      </c>
      <c r="B1348" s="87">
        <v>7.0</v>
      </c>
      <c r="C1348" s="87">
        <v>7.0</v>
      </c>
      <c r="D1348" s="84" t="s">
        <v>3414</v>
      </c>
      <c r="E1348" s="94">
        <v>1.0</v>
      </c>
      <c r="F1348" s="95">
        <f t="shared" si="1"/>
        <v>0.5</v>
      </c>
    </row>
    <row r="1349">
      <c r="A1349" s="84" t="s">
        <v>1465</v>
      </c>
      <c r="B1349" s="87">
        <v>19.0</v>
      </c>
      <c r="C1349" s="87">
        <v>12.0</v>
      </c>
      <c r="D1349" s="84" t="s">
        <v>3414</v>
      </c>
      <c r="E1349" s="94">
        <v>0.632</v>
      </c>
      <c r="F1349" s="95">
        <f t="shared" si="1"/>
        <v>0.316</v>
      </c>
    </row>
    <row r="1350">
      <c r="A1350" s="84" t="s">
        <v>2892</v>
      </c>
      <c r="B1350" s="87">
        <v>1.0</v>
      </c>
      <c r="C1350" s="87">
        <v>0.0</v>
      </c>
      <c r="D1350" s="84" t="s">
        <v>3414</v>
      </c>
      <c r="E1350" s="92" t="s">
        <v>3413</v>
      </c>
      <c r="F1350" s="95" t="str">
        <f t="shared" si="1"/>
        <v>#VALUE!</v>
      </c>
    </row>
    <row r="1351">
      <c r="A1351" s="84" t="s">
        <v>2710</v>
      </c>
      <c r="B1351" s="87">
        <v>24.0</v>
      </c>
      <c r="C1351" s="87">
        <v>16.0</v>
      </c>
      <c r="D1351" s="84" t="s">
        <v>3414</v>
      </c>
      <c r="E1351" s="94">
        <v>0.667</v>
      </c>
      <c r="F1351" s="95">
        <f t="shared" si="1"/>
        <v>0.3335</v>
      </c>
    </row>
    <row r="1352">
      <c r="A1352" s="84" t="s">
        <v>2712</v>
      </c>
      <c r="B1352" s="87">
        <v>24.0</v>
      </c>
      <c r="C1352" s="87">
        <v>16.0</v>
      </c>
      <c r="D1352" s="84" t="s">
        <v>3414</v>
      </c>
      <c r="E1352" s="94">
        <v>0.667</v>
      </c>
      <c r="F1352" s="95">
        <f t="shared" si="1"/>
        <v>0.3335</v>
      </c>
    </row>
    <row r="1353">
      <c r="A1353" s="84" t="s">
        <v>2714</v>
      </c>
      <c r="B1353" s="87">
        <v>4.0</v>
      </c>
      <c r="C1353" s="87">
        <v>4.0</v>
      </c>
      <c r="D1353" s="84" t="s">
        <v>3415</v>
      </c>
      <c r="E1353" s="94">
        <v>1.0</v>
      </c>
      <c r="F1353" s="95">
        <f t="shared" si="1"/>
        <v>0.75</v>
      </c>
    </row>
    <row r="1354">
      <c r="A1354" s="84" t="s">
        <v>2715</v>
      </c>
      <c r="B1354" s="87">
        <v>13.0</v>
      </c>
      <c r="C1354" s="87">
        <v>9.0</v>
      </c>
      <c r="D1354" s="84" t="s">
        <v>3415</v>
      </c>
      <c r="E1354" s="94">
        <v>0.692</v>
      </c>
      <c r="F1354" s="95">
        <f t="shared" si="1"/>
        <v>0.519</v>
      </c>
    </row>
    <row r="1355">
      <c r="A1355" s="84" t="s">
        <v>2716</v>
      </c>
      <c r="B1355" s="87">
        <v>24.0</v>
      </c>
      <c r="C1355" s="87">
        <v>16.0</v>
      </c>
      <c r="D1355" s="84" t="s">
        <v>3414</v>
      </c>
      <c r="E1355" s="94">
        <v>0.667</v>
      </c>
      <c r="F1355" s="95">
        <f t="shared" si="1"/>
        <v>0.3335</v>
      </c>
    </row>
    <row r="1356">
      <c r="A1356" s="84" t="s">
        <v>1395</v>
      </c>
      <c r="B1356" s="87">
        <v>5.0</v>
      </c>
      <c r="C1356" s="87">
        <v>5.0</v>
      </c>
      <c r="D1356" s="84" t="s">
        <v>3414</v>
      </c>
      <c r="E1356" s="94">
        <v>1.0</v>
      </c>
      <c r="F1356" s="95">
        <f t="shared" si="1"/>
        <v>0.5</v>
      </c>
    </row>
    <row r="1357">
      <c r="A1357" s="84" t="s">
        <v>3287</v>
      </c>
      <c r="B1357" s="87">
        <v>5.0</v>
      </c>
      <c r="C1357" s="87">
        <v>5.0</v>
      </c>
      <c r="D1357" s="84" t="s">
        <v>3414</v>
      </c>
      <c r="E1357" s="94">
        <v>1.0</v>
      </c>
      <c r="F1357" s="95">
        <f t="shared" si="1"/>
        <v>0.5</v>
      </c>
    </row>
    <row r="1358">
      <c r="A1358" s="84" t="s">
        <v>1397</v>
      </c>
      <c r="B1358" s="87">
        <v>5.0</v>
      </c>
      <c r="C1358" s="87">
        <v>5.0</v>
      </c>
      <c r="D1358" s="84" t="s">
        <v>3414</v>
      </c>
      <c r="E1358" s="94">
        <v>1.0</v>
      </c>
      <c r="F1358" s="95">
        <f t="shared" si="1"/>
        <v>0.5</v>
      </c>
    </row>
    <row r="1359">
      <c r="A1359" s="84" t="s">
        <v>1399</v>
      </c>
      <c r="B1359" s="87">
        <v>3.0</v>
      </c>
      <c r="C1359" s="87">
        <v>3.0</v>
      </c>
      <c r="D1359" s="84" t="s">
        <v>3416</v>
      </c>
      <c r="E1359" s="94">
        <v>1.0</v>
      </c>
      <c r="F1359" s="93">
        <f t="shared" si="1"/>
        <v>1</v>
      </c>
    </row>
    <row r="1360">
      <c r="A1360" s="84" t="s">
        <v>1401</v>
      </c>
      <c r="B1360" s="87">
        <v>5.0</v>
      </c>
      <c r="C1360" s="87">
        <v>5.0</v>
      </c>
      <c r="D1360" s="84" t="s">
        <v>3414</v>
      </c>
      <c r="E1360" s="94">
        <v>1.0</v>
      </c>
      <c r="F1360" s="95">
        <f t="shared" si="1"/>
        <v>0.5</v>
      </c>
    </row>
    <row r="1361">
      <c r="A1361" s="84" t="s">
        <v>1402</v>
      </c>
      <c r="B1361" s="87">
        <v>5.0</v>
      </c>
      <c r="C1361" s="87">
        <v>5.0</v>
      </c>
      <c r="D1361" s="84" t="s">
        <v>3414</v>
      </c>
      <c r="E1361" s="94">
        <v>1.0</v>
      </c>
      <c r="F1361" s="95">
        <f t="shared" si="1"/>
        <v>0.5</v>
      </c>
    </row>
    <row r="1362">
      <c r="A1362" s="84"/>
      <c r="B1362" s="87"/>
      <c r="C1362" s="87"/>
      <c r="D1362" s="84"/>
      <c r="E1362" s="92"/>
    </row>
    <row r="1363">
      <c r="A1363" s="84"/>
      <c r="B1363" s="87"/>
      <c r="C1363" s="87"/>
      <c r="D1363" s="84"/>
      <c r="E1363" s="92"/>
    </row>
    <row r="1364">
      <c r="A1364" s="84"/>
      <c r="B1364" s="87"/>
      <c r="C1364" s="87"/>
      <c r="D1364" s="84"/>
      <c r="E1364" s="92"/>
    </row>
    <row r="1365">
      <c r="A1365" s="84"/>
      <c r="B1365" s="87"/>
      <c r="C1365" s="87"/>
      <c r="D1365" s="84"/>
      <c r="E1365" s="92"/>
    </row>
    <row r="1366">
      <c r="A1366" s="84"/>
      <c r="B1366" s="87"/>
      <c r="C1366" s="87"/>
      <c r="D1366" s="84"/>
      <c r="E1366" s="94"/>
    </row>
    <row r="1367">
      <c r="A1367" s="84"/>
      <c r="B1367" s="87"/>
      <c r="C1367" s="87"/>
      <c r="D1367" s="84"/>
      <c r="E1367" s="94"/>
    </row>
    <row r="1368">
      <c r="A1368" s="84"/>
      <c r="B1368" s="87"/>
      <c r="C1368" s="87"/>
      <c r="D1368" s="84"/>
      <c r="E1368" s="94"/>
    </row>
    <row r="1369">
      <c r="A1369" s="84"/>
      <c r="B1369" s="87"/>
      <c r="C1369" s="87"/>
      <c r="D1369" s="84"/>
      <c r="E1369" s="94"/>
    </row>
    <row r="1370">
      <c r="A1370" s="84"/>
      <c r="B1370" s="87"/>
      <c r="C1370" s="87"/>
      <c r="D1370" s="84"/>
      <c r="E1370" s="94"/>
    </row>
    <row r="1371">
      <c r="A1371" s="84"/>
      <c r="B1371" s="87"/>
      <c r="C1371" s="87"/>
      <c r="D1371" s="84"/>
      <c r="E1371" s="94"/>
    </row>
    <row r="1372">
      <c r="A1372" s="84"/>
      <c r="B1372" s="87"/>
      <c r="C1372" s="87"/>
      <c r="D1372" s="84"/>
      <c r="E1372" s="92"/>
    </row>
    <row r="1373">
      <c r="A1373" s="84"/>
      <c r="B1373" s="87"/>
      <c r="C1373" s="87"/>
      <c r="D1373" s="84"/>
      <c r="E1373" s="92"/>
    </row>
    <row r="1374">
      <c r="A1374" s="84"/>
      <c r="B1374" s="87"/>
      <c r="C1374" s="87"/>
      <c r="D1374" s="84"/>
      <c r="E1374" s="92"/>
    </row>
    <row r="1375">
      <c r="A1375" s="84"/>
      <c r="B1375" s="87"/>
      <c r="C1375" s="87"/>
      <c r="D1375" s="84"/>
      <c r="E1375" s="92"/>
    </row>
    <row r="1376">
      <c r="A1376" s="84"/>
      <c r="B1376" s="87"/>
      <c r="C1376" s="87"/>
      <c r="D1376" s="84"/>
      <c r="E1376" s="94"/>
    </row>
    <row r="1377">
      <c r="A1377" s="84"/>
      <c r="B1377" s="87"/>
      <c r="C1377" s="87"/>
      <c r="D1377" s="84"/>
      <c r="E1377" s="94"/>
    </row>
    <row r="1378">
      <c r="A1378" s="84"/>
      <c r="B1378" s="87"/>
      <c r="C1378" s="87"/>
      <c r="D1378" s="84"/>
      <c r="E1378" s="94"/>
    </row>
    <row r="1379">
      <c r="A1379" s="84"/>
      <c r="B1379" s="87"/>
      <c r="C1379" s="87"/>
      <c r="D1379" s="84"/>
      <c r="E1379" s="94"/>
    </row>
    <row r="1380">
      <c r="A1380" s="84"/>
      <c r="B1380" s="87"/>
      <c r="C1380" s="87"/>
      <c r="D1380" s="84"/>
      <c r="E1380" s="94"/>
    </row>
    <row r="1381">
      <c r="A1381" s="84"/>
      <c r="B1381" s="87"/>
      <c r="C1381" s="87"/>
      <c r="D1381" s="84"/>
      <c r="E1381" s="94"/>
    </row>
    <row r="1382">
      <c r="A1382" s="84"/>
      <c r="B1382" s="87"/>
      <c r="C1382" s="87"/>
      <c r="D1382" s="84"/>
      <c r="E1382" s="92"/>
    </row>
    <row r="1383">
      <c r="A1383" s="84"/>
      <c r="B1383" s="87"/>
      <c r="C1383" s="87"/>
      <c r="D1383" s="84"/>
      <c r="E1383" s="92"/>
    </row>
    <row r="1384">
      <c r="A1384" s="84"/>
      <c r="B1384" s="87"/>
      <c r="C1384" s="87"/>
      <c r="D1384" s="84"/>
      <c r="E1384" s="92"/>
    </row>
    <row r="1385">
      <c r="A1385" s="84"/>
      <c r="B1385" s="87"/>
      <c r="C1385" s="87"/>
      <c r="D1385" s="84"/>
      <c r="E1385" s="92"/>
    </row>
    <row r="1386">
      <c r="A1386" s="84"/>
      <c r="B1386" s="87"/>
      <c r="C1386" s="87"/>
      <c r="D1386" s="84"/>
      <c r="E1386" s="92"/>
    </row>
    <row r="1387">
      <c r="A1387" s="84"/>
      <c r="B1387" s="87"/>
      <c r="C1387" s="87"/>
      <c r="D1387" s="84"/>
      <c r="E1387" s="92"/>
    </row>
    <row r="1388">
      <c r="A1388" s="84"/>
      <c r="B1388" s="87"/>
      <c r="C1388" s="87"/>
      <c r="D1388" s="84"/>
      <c r="E1388" s="92"/>
    </row>
    <row r="1389">
      <c r="A1389" s="84"/>
      <c r="B1389" s="87"/>
      <c r="C1389" s="87"/>
      <c r="D1389" s="84"/>
      <c r="E1389" s="92"/>
    </row>
    <row r="1390">
      <c r="A1390" s="84"/>
      <c r="B1390" s="87"/>
      <c r="C1390" s="87"/>
      <c r="D1390" s="84"/>
      <c r="E1390" s="92"/>
    </row>
    <row r="1391">
      <c r="A1391" s="84"/>
      <c r="B1391" s="87"/>
      <c r="C1391" s="87"/>
      <c r="D1391" s="84"/>
      <c r="E1391" s="92"/>
    </row>
    <row r="1392">
      <c r="A1392" s="84"/>
      <c r="B1392" s="87"/>
      <c r="C1392" s="87"/>
      <c r="D1392" s="84"/>
      <c r="E1392" s="92"/>
    </row>
    <row r="1393">
      <c r="A1393" s="84"/>
      <c r="B1393" s="87"/>
      <c r="C1393" s="87"/>
      <c r="D1393" s="84"/>
      <c r="E1393" s="92"/>
    </row>
    <row r="1394">
      <c r="A1394" s="84"/>
      <c r="B1394" s="87"/>
      <c r="C1394" s="87"/>
      <c r="D1394" s="84"/>
      <c r="E1394" s="92"/>
    </row>
    <row r="1395">
      <c r="A1395" s="84"/>
      <c r="B1395" s="87"/>
      <c r="C1395" s="87"/>
      <c r="D1395" s="84"/>
      <c r="E1395" s="92"/>
    </row>
    <row r="1396">
      <c r="A1396" s="84"/>
      <c r="B1396" s="87"/>
      <c r="C1396" s="87"/>
      <c r="D1396" s="84"/>
      <c r="E1396" s="92"/>
    </row>
    <row r="1397">
      <c r="A1397" s="84"/>
      <c r="B1397" s="87"/>
      <c r="C1397" s="87"/>
      <c r="D1397" s="84"/>
      <c r="E1397" s="9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75"/>
    <col customWidth="1" min="3" max="3" width="42.5"/>
    <col customWidth="1" min="5" max="5" width="22.5"/>
    <col hidden="1" min="12" max="17" width="12.63"/>
    <col customWidth="1" min="18" max="18" width="24.38"/>
    <col customWidth="1" min="24" max="24" width="1.5"/>
    <col customWidth="1" min="33" max="33" width="1.38"/>
    <col customWidth="1" min="36" max="36" width="1.63"/>
    <col customWidth="1" min="38" max="38" width="1.25"/>
    <col customWidth="1" min="43" max="43" width="1.38"/>
    <col customWidth="1" min="45" max="45" width="0.88"/>
    <col customWidth="1" min="48" max="48" width="0.88"/>
    <col hidden="1" min="52" max="53" width="12.63"/>
    <col hidden="1" min="56" max="56" width="12.63"/>
    <col hidden="1" min="60" max="67" width="12.63"/>
    <col customWidth="1" min="70" max="70" width="19.88"/>
    <col hidden="1" min="83" max="83" width="12.63"/>
  </cols>
  <sheetData>
    <row r="1" ht="37.5" customHeight="1">
      <c r="A1" s="96"/>
      <c r="B1" s="96"/>
      <c r="C1" s="97"/>
      <c r="D1" s="97"/>
      <c r="E1" s="97"/>
      <c r="F1" s="97"/>
      <c r="G1" s="97"/>
      <c r="H1" s="97"/>
      <c r="I1" s="97"/>
      <c r="J1" s="97"/>
      <c r="K1" s="97"/>
      <c r="L1" s="97"/>
      <c r="M1" s="97"/>
      <c r="N1" s="97"/>
      <c r="O1" s="97"/>
      <c r="P1" s="97"/>
      <c r="Q1" s="97"/>
      <c r="R1" s="96"/>
      <c r="S1" s="97"/>
      <c r="T1" s="97"/>
      <c r="U1" s="98" t="s">
        <v>3417</v>
      </c>
      <c r="V1" s="16"/>
      <c r="W1" s="16"/>
      <c r="X1" s="16"/>
      <c r="Y1" s="16"/>
      <c r="Z1" s="16"/>
      <c r="AA1" s="16"/>
      <c r="AB1" s="16"/>
      <c r="AC1" s="16"/>
      <c r="AD1" s="16"/>
      <c r="AE1" s="16"/>
      <c r="AF1" s="16"/>
      <c r="AG1" s="16"/>
      <c r="AH1" s="16"/>
      <c r="AI1" s="16"/>
      <c r="AJ1" s="16"/>
      <c r="AK1" s="41"/>
      <c r="AL1" s="97"/>
      <c r="AM1" s="99" t="s">
        <v>3418</v>
      </c>
      <c r="AN1" s="16"/>
      <c r="AO1" s="16"/>
      <c r="AP1" s="16"/>
      <c r="AQ1" s="16"/>
      <c r="AR1" s="41"/>
      <c r="AS1" s="97"/>
      <c r="AT1" s="100" t="s">
        <v>3419</v>
      </c>
      <c r="AU1" s="16"/>
      <c r="AV1" s="16"/>
      <c r="AW1" s="16"/>
      <c r="AX1" s="101"/>
      <c r="AY1" s="101"/>
      <c r="AZ1" s="97"/>
      <c r="BA1" s="97"/>
      <c r="BB1" s="97"/>
      <c r="BC1" s="97"/>
      <c r="BD1" s="97"/>
      <c r="BE1" s="97"/>
      <c r="BF1" s="97"/>
      <c r="BG1" s="97"/>
      <c r="BH1" s="97"/>
      <c r="BI1" s="97"/>
      <c r="BJ1" s="97"/>
      <c r="BK1" s="97"/>
      <c r="BL1" s="97"/>
      <c r="BM1" s="97"/>
      <c r="BN1" s="97"/>
      <c r="BO1" s="102"/>
      <c r="BP1" s="103"/>
      <c r="BQ1" s="97"/>
      <c r="BR1" s="97"/>
      <c r="BS1" s="97"/>
      <c r="BT1" s="97"/>
      <c r="BU1" s="97"/>
      <c r="BV1" s="97"/>
      <c r="BW1" s="97"/>
      <c r="BX1" s="97"/>
      <c r="BY1" s="97"/>
      <c r="BZ1" s="97"/>
      <c r="CA1" s="97"/>
      <c r="CB1" s="97"/>
      <c r="CC1" s="97"/>
      <c r="CD1" s="97"/>
      <c r="CE1" s="97"/>
    </row>
    <row r="2">
      <c r="A2" s="104"/>
      <c r="B2" s="104"/>
      <c r="C2" s="101"/>
      <c r="D2" s="101"/>
      <c r="E2" s="101"/>
      <c r="F2" s="101"/>
      <c r="G2" s="101"/>
      <c r="H2" s="101"/>
      <c r="I2" s="101"/>
      <c r="J2" s="101"/>
      <c r="K2" s="101"/>
      <c r="L2" s="101"/>
      <c r="M2" s="101"/>
      <c r="N2" s="101"/>
      <c r="O2" s="101"/>
      <c r="P2" s="101"/>
      <c r="Q2" s="101"/>
      <c r="R2" s="104"/>
      <c r="S2" s="101"/>
      <c r="T2" s="101"/>
      <c r="U2" s="105" t="s">
        <v>3420</v>
      </c>
      <c r="V2" s="106" t="s">
        <v>3421</v>
      </c>
      <c r="W2" s="41"/>
      <c r="X2" s="101"/>
      <c r="Y2" s="105" t="s">
        <v>3422</v>
      </c>
      <c r="Z2" s="105" t="s">
        <v>3423</v>
      </c>
      <c r="AA2" s="107" t="s">
        <v>3424</v>
      </c>
      <c r="AB2" s="107" t="s">
        <v>3425</v>
      </c>
      <c r="AC2" s="107" t="s">
        <v>3426</v>
      </c>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8" t="s">
        <v>3427</v>
      </c>
      <c r="BF2" s="108" t="s">
        <v>3428</v>
      </c>
      <c r="BG2" s="101"/>
      <c r="BH2" s="101"/>
      <c r="BI2" s="101"/>
      <c r="BJ2" s="101"/>
      <c r="BK2" s="101"/>
      <c r="BL2" s="101"/>
      <c r="BM2" s="101"/>
      <c r="BN2" s="101"/>
      <c r="BO2" s="109" t="s">
        <v>3429</v>
      </c>
      <c r="BP2" s="110">
        <v>50.0</v>
      </c>
      <c r="BQ2" s="101"/>
      <c r="BR2" s="101"/>
      <c r="BS2" s="101"/>
      <c r="BT2" s="101"/>
      <c r="BU2" s="101"/>
      <c r="BV2" s="101"/>
      <c r="BW2" s="101"/>
      <c r="BX2" s="101"/>
      <c r="BY2" s="101"/>
      <c r="BZ2" s="101"/>
      <c r="CA2" s="101"/>
      <c r="CB2" s="101"/>
      <c r="CC2" s="101"/>
      <c r="CD2" s="101"/>
      <c r="CE2" s="101"/>
    </row>
    <row r="3">
      <c r="A3" s="111"/>
      <c r="B3" s="111"/>
      <c r="C3" s="111"/>
      <c r="D3" s="111"/>
      <c r="E3" s="111"/>
      <c r="F3" s="111"/>
      <c r="G3" s="111"/>
      <c r="H3" s="111"/>
      <c r="I3" s="111"/>
      <c r="J3" s="111"/>
      <c r="K3" s="111"/>
      <c r="L3" s="111"/>
      <c r="M3" s="111"/>
      <c r="N3" s="111"/>
      <c r="O3" s="111"/>
      <c r="P3" s="111"/>
      <c r="Q3" s="111"/>
      <c r="R3" s="111"/>
      <c r="S3" s="111"/>
      <c r="T3" s="111"/>
      <c r="U3" s="112" t="s">
        <v>3430</v>
      </c>
      <c r="V3" s="112" t="s">
        <v>3431</v>
      </c>
      <c r="X3" s="111"/>
      <c r="Y3" s="113"/>
      <c r="Z3" s="112" t="s">
        <v>3432</v>
      </c>
      <c r="AA3" s="111"/>
      <c r="AB3" s="111"/>
      <c r="AC3" s="112" t="s">
        <v>3433</v>
      </c>
      <c r="AD3" s="111"/>
      <c r="AE3" s="111"/>
      <c r="AF3" s="112" t="s">
        <v>3434</v>
      </c>
      <c r="AG3" s="111"/>
      <c r="AH3" s="111"/>
      <c r="AI3" s="112" t="s">
        <v>3435</v>
      </c>
      <c r="AJ3" s="111"/>
      <c r="AK3" s="111"/>
      <c r="AL3" s="111"/>
      <c r="AM3" s="111"/>
      <c r="AN3" s="111"/>
      <c r="AO3" s="111"/>
      <c r="AP3" s="111"/>
      <c r="AQ3" s="111"/>
      <c r="AR3" s="112" t="s">
        <v>3436</v>
      </c>
      <c r="AS3" s="111"/>
      <c r="AT3" s="111"/>
      <c r="AU3" s="111"/>
      <c r="AV3" s="111"/>
      <c r="AW3" s="112" t="s">
        <v>3436</v>
      </c>
      <c r="AX3" s="111"/>
      <c r="AY3" s="112" t="s">
        <v>3436</v>
      </c>
      <c r="AZ3" s="111"/>
      <c r="BA3" s="111"/>
      <c r="BB3" s="111"/>
      <c r="BC3" s="111"/>
      <c r="BD3" s="111"/>
      <c r="BE3" s="112" t="s">
        <v>3437</v>
      </c>
      <c r="BF3" s="112" t="s">
        <v>3438</v>
      </c>
      <c r="BG3" s="112" t="s">
        <v>3439</v>
      </c>
      <c r="BH3" s="111"/>
      <c r="BI3" s="111"/>
      <c r="BJ3" s="111"/>
      <c r="BK3" s="111"/>
      <c r="BL3" s="111"/>
      <c r="BM3" s="111"/>
      <c r="BN3" s="111"/>
      <c r="BO3" s="111"/>
      <c r="BP3" s="111"/>
      <c r="BQ3" s="111"/>
      <c r="BR3" s="111"/>
      <c r="BS3" s="111"/>
      <c r="BT3" s="111"/>
      <c r="BU3" s="111"/>
      <c r="BV3" s="111"/>
      <c r="BW3" s="111"/>
      <c r="BX3" s="111"/>
      <c r="BY3" s="111"/>
      <c r="BZ3" s="111"/>
      <c r="CA3" s="111"/>
      <c r="CB3" s="111"/>
      <c r="CC3" s="111"/>
      <c r="CD3" s="111"/>
      <c r="CE3" s="111"/>
    </row>
    <row r="4">
      <c r="A4" s="114"/>
      <c r="B4" s="114"/>
      <c r="C4" s="115" t="s">
        <v>3440</v>
      </c>
      <c r="R4" s="116"/>
      <c r="U4" s="117" t="s">
        <v>3441</v>
      </c>
      <c r="V4" s="118"/>
      <c r="W4" s="118"/>
      <c r="X4" s="118"/>
      <c r="Y4" s="118"/>
      <c r="Z4" s="118"/>
      <c r="AA4" s="118"/>
      <c r="AB4" s="118"/>
      <c r="AC4" s="118"/>
      <c r="AD4" s="118"/>
      <c r="AE4" s="118"/>
      <c r="AF4" s="118"/>
      <c r="AG4" s="118"/>
      <c r="AH4" s="118"/>
      <c r="AI4" s="118"/>
      <c r="AJ4" s="118"/>
      <c r="AK4" s="119"/>
      <c r="AM4" s="120" t="s">
        <v>3442</v>
      </c>
      <c r="AN4" s="118"/>
      <c r="AO4" s="118"/>
      <c r="AP4" s="118"/>
      <c r="AQ4" s="118"/>
      <c r="AR4" s="119"/>
      <c r="AT4" s="120" t="s">
        <v>3443</v>
      </c>
      <c r="AU4" s="118"/>
      <c r="AV4" s="118"/>
      <c r="AW4" s="119"/>
    </row>
    <row r="5">
      <c r="A5" s="121"/>
      <c r="B5" s="121"/>
      <c r="C5" s="12"/>
      <c r="D5" s="12"/>
      <c r="E5" s="12"/>
      <c r="F5" s="12"/>
      <c r="G5" s="12"/>
      <c r="H5" s="12"/>
      <c r="I5" s="12"/>
      <c r="J5" s="12"/>
      <c r="K5" s="12"/>
      <c r="R5" s="116"/>
      <c r="U5" s="117" t="s">
        <v>3444</v>
      </c>
      <c r="V5" s="118"/>
      <c r="W5" s="119"/>
      <c r="X5" s="122"/>
      <c r="Y5" s="123" t="s">
        <v>3445</v>
      </c>
      <c r="Z5" s="118"/>
      <c r="AA5" s="118"/>
      <c r="AB5" s="118"/>
      <c r="AC5" s="118"/>
      <c r="AD5" s="118"/>
      <c r="AE5" s="118"/>
      <c r="AF5" s="119"/>
      <c r="AG5" s="122"/>
      <c r="AH5" s="117" t="s">
        <v>3446</v>
      </c>
      <c r="AI5" s="119"/>
      <c r="AJ5" s="122"/>
      <c r="AK5" s="124" t="s">
        <v>3447</v>
      </c>
      <c r="AM5" s="120" t="s">
        <v>3448</v>
      </c>
      <c r="AN5" s="118"/>
      <c r="AO5" s="118"/>
      <c r="AP5" s="119"/>
      <c r="AQ5" s="125"/>
      <c r="AR5" s="124" t="s">
        <v>3449</v>
      </c>
      <c r="AT5" s="120" t="s">
        <v>3450</v>
      </c>
      <c r="AU5" s="119"/>
      <c r="AV5" s="122"/>
      <c r="AW5" s="124" t="s">
        <v>3450</v>
      </c>
      <c r="BZ5" s="1" t="s">
        <v>3451</v>
      </c>
    </row>
    <row r="6">
      <c r="A6" s="126" t="s">
        <v>3452</v>
      </c>
      <c r="B6" s="126" t="s">
        <v>3453</v>
      </c>
      <c r="C6" s="127" t="s">
        <v>3454</v>
      </c>
      <c r="D6" s="127" t="s">
        <v>66</v>
      </c>
      <c r="E6" s="127" t="s">
        <v>3455</v>
      </c>
      <c r="F6" s="127" t="s">
        <v>3456</v>
      </c>
      <c r="G6" s="127" t="s">
        <v>3457</v>
      </c>
      <c r="H6" s="127" t="s">
        <v>3458</v>
      </c>
      <c r="I6" s="127" t="s">
        <v>3459</v>
      </c>
      <c r="J6" s="127" t="s">
        <v>3460</v>
      </c>
      <c r="K6" s="127" t="s">
        <v>3461</v>
      </c>
      <c r="L6" s="39" t="s">
        <v>93</v>
      </c>
      <c r="M6" s="39" t="s">
        <v>94</v>
      </c>
      <c r="N6" s="39" t="s">
        <v>95</v>
      </c>
      <c r="O6" s="39" t="s">
        <v>96</v>
      </c>
      <c r="P6" s="39" t="s">
        <v>97</v>
      </c>
      <c r="Q6" s="39" t="s">
        <v>98</v>
      </c>
      <c r="R6" s="126" t="s">
        <v>3462</v>
      </c>
      <c r="S6" s="127" t="s">
        <v>3463</v>
      </c>
      <c r="T6" s="128" t="s">
        <v>3464</v>
      </c>
      <c r="U6" s="129" t="s">
        <v>3465</v>
      </c>
      <c r="V6" s="129" t="s">
        <v>3466</v>
      </c>
      <c r="W6" s="129" t="s">
        <v>3467</v>
      </c>
      <c r="X6" s="122"/>
      <c r="Y6" s="130" t="s">
        <v>3468</v>
      </c>
      <c r="Z6" s="129" t="s">
        <v>3469</v>
      </c>
      <c r="AA6" s="131" t="s">
        <v>3470</v>
      </c>
      <c r="AB6" s="129" t="s">
        <v>3471</v>
      </c>
      <c r="AC6" s="129" t="s">
        <v>3471</v>
      </c>
      <c r="AD6" s="128" t="s">
        <v>3464</v>
      </c>
      <c r="AE6" s="129" t="s">
        <v>6</v>
      </c>
      <c r="AF6" s="129" t="s">
        <v>3472</v>
      </c>
      <c r="AG6" s="122"/>
      <c r="AH6" s="129" t="s">
        <v>3473</v>
      </c>
      <c r="AI6" s="129" t="s">
        <v>3474</v>
      </c>
      <c r="AJ6" s="122"/>
      <c r="AK6" s="129" t="s">
        <v>3475</v>
      </c>
      <c r="AM6" s="132" t="s">
        <v>3476</v>
      </c>
      <c r="AN6" s="132" t="s">
        <v>3477</v>
      </c>
      <c r="AO6" s="132" t="s">
        <v>3478</v>
      </c>
      <c r="AP6" s="132" t="s">
        <v>3479</v>
      </c>
      <c r="AQ6" s="125"/>
      <c r="AR6" s="132" t="s">
        <v>3480</v>
      </c>
      <c r="AT6" s="132" t="s">
        <v>3481</v>
      </c>
      <c r="AU6" s="132" t="s">
        <v>3482</v>
      </c>
      <c r="AV6" s="122"/>
      <c r="AW6" s="132" t="s">
        <v>3483</v>
      </c>
      <c r="AY6" s="124" t="s">
        <v>3484</v>
      </c>
      <c r="AZ6" s="2" t="s">
        <v>3485</v>
      </c>
      <c r="BA6" s="2" t="s">
        <v>3486</v>
      </c>
      <c r="BB6" s="2" t="s">
        <v>3487</v>
      </c>
      <c r="BC6" s="2" t="s">
        <v>3488</v>
      </c>
      <c r="BD6" s="2" t="s">
        <v>3489</v>
      </c>
      <c r="BE6" s="2" t="s">
        <v>3490</v>
      </c>
      <c r="BF6" s="133" t="s">
        <v>3491</v>
      </c>
      <c r="BG6" s="2" t="s">
        <v>3492</v>
      </c>
      <c r="BH6" s="4" t="s">
        <v>3493</v>
      </c>
      <c r="BI6" s="2" t="s">
        <v>3494</v>
      </c>
      <c r="BJ6" s="2" t="s">
        <v>3495</v>
      </c>
      <c r="BK6" s="2" t="s">
        <v>3492</v>
      </c>
      <c r="BL6" s="2" t="s">
        <v>3496</v>
      </c>
      <c r="BM6" s="2" t="s">
        <v>3497</v>
      </c>
      <c r="BN6" s="2" t="s">
        <v>3498</v>
      </c>
      <c r="BO6" s="4"/>
      <c r="BP6" s="4" t="s">
        <v>3499</v>
      </c>
      <c r="BQ6" s="4"/>
      <c r="BR6" s="134" t="s">
        <v>3500</v>
      </c>
      <c r="BS6" s="135" t="s">
        <v>3501</v>
      </c>
      <c r="BT6" s="136" t="s">
        <v>3502</v>
      </c>
      <c r="BU6" s="136" t="s">
        <v>3503</v>
      </c>
      <c r="BV6" s="136" t="s">
        <v>3504</v>
      </c>
      <c r="BW6" s="136" t="s">
        <v>3505</v>
      </c>
      <c r="BX6" s="136" t="s">
        <v>3506</v>
      </c>
      <c r="BY6" s="134" t="s">
        <v>3500</v>
      </c>
      <c r="BZ6" s="136" t="s">
        <v>3502</v>
      </c>
      <c r="CA6" s="136" t="s">
        <v>3503</v>
      </c>
      <c r="CB6" s="136" t="s">
        <v>3504</v>
      </c>
      <c r="CC6" s="136" t="s">
        <v>3505</v>
      </c>
      <c r="CD6" s="136" t="s">
        <v>3506</v>
      </c>
      <c r="CE6" s="136"/>
    </row>
    <row r="7">
      <c r="A7" s="84">
        <v>9.062300139744E12</v>
      </c>
      <c r="B7" s="84" t="s">
        <v>3507</v>
      </c>
      <c r="C7" s="137" t="s">
        <v>767</v>
      </c>
      <c r="D7" s="138" t="s">
        <v>107</v>
      </c>
      <c r="E7" s="139" t="s">
        <v>120</v>
      </c>
      <c r="F7" s="140" t="s">
        <v>3508</v>
      </c>
      <c r="G7" s="141">
        <v>0.0</v>
      </c>
      <c r="H7" s="142">
        <v>23.66421</v>
      </c>
      <c r="I7" s="143" t="s">
        <v>111</v>
      </c>
      <c r="J7" s="83"/>
      <c r="K7" s="144">
        <v>365.0</v>
      </c>
      <c r="R7" s="145" t="str">
        <f t="shared" ref="R7:R301" si="1">E7&amp;"_"&amp;S7</f>
        <v>Baby Food_20-25</v>
      </c>
      <c r="S7" s="146" t="str">
        <f t="shared" ref="S7:S301" si="2">IF(H7&lt;5,"0-5",IF(H7&lt;10,"5-10",IF(H7&lt;15,"10-15",IF(H7&lt;20,"15-20",IF(H7&lt;25,"20-25","25+")))))</f>
        <v>20-25</v>
      </c>
      <c r="T7" s="95" t="str">
        <f t="array" ref="T7">XLOOKUP(C7,'Depth or Width'!P:P,'Depth or Width'!V:V)</f>
        <v>Width</v>
      </c>
      <c r="U7" s="93">
        <f t="shared" ref="U7:U301" si="3">If(OR(B7="DC",B7="Careem DC"),MAX(G7,150)/(30),MAX(G7,80)/(K7*0.5))</f>
        <v>5</v>
      </c>
      <c r="V7" s="147">
        <f t="array" ref="V7">iferror(XLOOKUP(R7,'Refrence Data'!B:B,'Refrence Data'!W:W),"NA")</f>
        <v>1.663492</v>
      </c>
      <c r="W7" s="95">
        <f t="shared" ref="W7:W301" si="4">iferror(IF(OR(U7=0,V7=0),0,IF(V7/U7&gt;=1,100,IF(V7/U7&gt;=0.75,75,IF(V7/U7&gt;=0.5,50,0)))),"NA")</f>
        <v>0</v>
      </c>
      <c r="Y7" s="148">
        <f t="array" ref="Y7">IFERROR(XLOOKUP(R7,'Refrence Data'!B:B,'Refrence Data'!N:N),"NA")</f>
        <v>0.354949</v>
      </c>
      <c r="Z7" s="95" t="str">
        <f t="shared" ref="Z7:Z301" si="5">IF(Y7&gt;0.7,"HIGH",IF(Y7&gt;0.5,"MEDIUM","LOW"))</f>
        <v>LOW</v>
      </c>
      <c r="AA7" s="147">
        <f t="array" ref="AA7">XLOOKUP(R7,'Refrence Data'!B:B,'Refrence Data'!AC:AC)</f>
        <v>2.559953</v>
      </c>
      <c r="AB7" s="147">
        <f t="array" ref="AB7">IFERROR(XLOOKUP(R7,'Refrence Data'!B:B,'Refrence Data'!Y:Y),"NA")</f>
        <v>1.036618</v>
      </c>
      <c r="AC7" s="95" t="str">
        <f t="shared" ref="AC7:AC301" si="6">IF(AB7&lt;AA7*0.5,"Low","High")</f>
        <v>Low</v>
      </c>
      <c r="AD7" s="95" t="str">
        <f t="shared" ref="AD7:AD301" si="7">T7</f>
        <v>Width</v>
      </c>
      <c r="AE7" s="95" t="str">
        <f t="shared" ref="AE7:AE301" si="8">Z7&amp;AC7&amp;AD7</f>
        <v>LOWLowWidth</v>
      </c>
      <c r="AF7" s="95">
        <f t="array" ref="AF7">XLOOKUP(AE7,'Category Saturation'!A:A,'Category Saturation'!E:E)</f>
        <v>40</v>
      </c>
      <c r="AH7" s="148">
        <f t="array" ref="AH7">iferror(XLOOKUP(R7,'New Launch Success Rate'!A:A,'New Launch Success Rate'!F:F),"NA")</f>
        <v>0.316</v>
      </c>
      <c r="AI7" s="95">
        <f t="shared" ref="AI7:AI301" si="9">if(OR(AH7="Not Applicable",AH7="NA"),"NA",IF(AH7&lt;20%,0,IF(AH7&lt;50%,25,IF(AH7&lt;70%,50,100))))</f>
        <v>25</v>
      </c>
      <c r="AK7" s="149">
        <f t="shared" ref="AK7:AK301" si="10">if(AI7="NA",(W7*60%+AF7*40%),(W7*60%+AF7*30%+AI7*10%))</f>
        <v>14.5</v>
      </c>
      <c r="AM7" s="150">
        <f t="array" ref="AM7">XLOOKUP(R7,'Non Moving'!C:C,'Non Moving'!I:I)/100</f>
        <v>0.432</v>
      </c>
      <c r="AN7" s="151">
        <f t="shared" ref="AN7:AN301" si="11">IF(AM7&lt;0.1,100,IF(AM7&lt;0.15,75,IF(AM7&lt;0.2,50,0)))</f>
        <v>0</v>
      </c>
      <c r="AO7" s="150">
        <f t="array" ref="AO7">XLOOKUP(R7,'Non Moving'!C:C,'Non Moving'!F:F)/100</f>
        <v>0.44</v>
      </c>
      <c r="AP7" s="151">
        <f t="shared" ref="AP7:AP301" si="12">IF(AO7&lt;0.25,100,IF(AO7&lt;0.35,75,IF(AO7&lt;0.45,50,0)))</f>
        <v>50</v>
      </c>
      <c r="AR7" s="95">
        <f t="shared" ref="AR7:AR301" si="13">AN7*0.5+AP7*0.5</f>
        <v>25</v>
      </c>
      <c r="AT7" s="95">
        <f t="shared" ref="AT7:AT301" si="14">IF(I7="Yes",100,0)</f>
        <v>0</v>
      </c>
      <c r="AU7" s="95">
        <f t="array" ref="AU7">iferror(XLOOKUP(J7,Monetization!A:A,Monetization!B:B),25)</f>
        <v>25</v>
      </c>
      <c r="AW7" s="95">
        <f t="shared" ref="AW7:AW301" si="15">AT7*0.7+AU7*0.3</f>
        <v>7.5</v>
      </c>
      <c r="AY7" s="149">
        <f t="shared" ref="AY7:AY301" si="16">AK7*0.4+AR7*0.4+AW7*0.2</f>
        <v>17.3</v>
      </c>
      <c r="AZ7" s="95" t="str">
        <f t="shared" ref="AZ7:AZ301" si="17">IF(AY7&lt;25,"0-25",IF(AY7&lt;50,"25-50",IF(AY7&lt;75,"50-75","75-100")))</f>
        <v>0-25</v>
      </c>
      <c r="BA7" s="95" t="str">
        <f t="shared" ref="BA7:BA301" si="18">IF(AK7&lt;25,"0-25",IF(AK7&lt;50,"25-50",IF(AK7&lt;75,"50-75","75-100")))</f>
        <v>0-25</v>
      </c>
      <c r="BB7" s="152">
        <f t="array" ref="BB7">iferror(XLOOKUP(C7,Sheet9!A:A,Sheet9!D:D),0)</f>
        <v>0.12</v>
      </c>
      <c r="BC7" s="2">
        <v>1.0</v>
      </c>
      <c r="BD7" s="95">
        <f t="array" ref="BD7">XLOOKUP(C7,ROS!C:C,ROS!O:O)</f>
        <v>0</v>
      </c>
      <c r="BE7" s="147">
        <f t="array" ref="BE7">IFERROR(XLOOKUP(C7,ROS!T:T,ROS!U:U),"")</f>
        <v>0</v>
      </c>
      <c r="BF7" s="147">
        <f t="array" ref="BF7">XLOOKUP(R7,'Refrence Data'!B:B,'Refrence Data'!T:T)</f>
        <v>0.604598</v>
      </c>
      <c r="BG7" s="95">
        <f t="shared" ref="BG7:BG301" si="19">IF(max(BE7,BD7)&gt;max(min(BF7,U7),1),1,0)</f>
        <v>0</v>
      </c>
      <c r="BH7" s="4" t="str">
        <f t="shared" ref="BH7:BH301" si="20">if(BB7&gt;70%, IF(AND(AK7&gt;$BP$2,BG7=1),"TP",IF(AND(AK7&gt;$BP$2,BG7=0),"FP",IF(AND(AK7&lt;=$BP$2,BG7=0), "TN", "FN"))),"")</f>
        <v/>
      </c>
      <c r="BI7" s="2" t="s">
        <v>3509</v>
      </c>
      <c r="BJ7" s="151">
        <f t="shared" ref="BJ7:BJ11" si="21">SUMIFS(BC:BC,AZ:AZ,BI7,BB:BB,"&gt;30%")</f>
        <v>0</v>
      </c>
      <c r="BK7" s="151">
        <f t="shared" ref="BK7:BK11" si="22">SUMIFS(BG:BG,AZ:AZ,BI7,BB:BB,"&gt;30%")</f>
        <v>0</v>
      </c>
      <c r="BL7" s="95">
        <f t="shared" ref="BL7:BL11" si="23">BJ7-BK7</f>
        <v>0</v>
      </c>
      <c r="BM7" s="95">
        <f t="shared" ref="BM7:BM8" si="24">BL7</f>
        <v>0</v>
      </c>
      <c r="BN7" s="148" t="str">
        <f t="shared" ref="BN7:BN10" si="25">BM7/BJ7</f>
        <v>#DIV/0!</v>
      </c>
      <c r="BO7" s="153"/>
      <c r="BP7" s="153" t="str">
        <f t="shared" ref="BP7:BP301" si="26">If(BB7&gt;70%, IF(AND(AY7&gt;$BP$2,BG7=1),"TP",IF(AND(AY7&gt;$BP$2,BG7=0),"FP",IF(AND(AY7&lt;=$BP$2,BG7=0), "TN", "FN"))),"")</f>
        <v/>
      </c>
      <c r="BQ7" s="153"/>
      <c r="BR7" s="154" t="s">
        <v>3510</v>
      </c>
      <c r="BS7" s="151">
        <f t="shared" ref="BS7:BS10" si="27">COUNTIFS(BP:BP,BR7)</f>
        <v>39</v>
      </c>
      <c r="BT7" s="95">
        <v>67.0</v>
      </c>
      <c r="BU7" s="95">
        <v>59.0</v>
      </c>
      <c r="BV7" s="95">
        <v>33.0</v>
      </c>
      <c r="BW7" s="95">
        <v>88.0</v>
      </c>
      <c r="BX7" s="95">
        <v>28.0</v>
      </c>
      <c r="BY7" s="154" t="s">
        <v>3510</v>
      </c>
      <c r="BZ7" s="95">
        <v>69.0</v>
      </c>
      <c r="CA7" s="95">
        <v>63.0</v>
      </c>
      <c r="CB7" s="95">
        <v>49.0</v>
      </c>
      <c r="CC7" s="95">
        <v>84.0</v>
      </c>
      <c r="CD7" s="95">
        <v>27.0</v>
      </c>
    </row>
    <row r="8">
      <c r="A8" s="84">
        <v>9.062300131434E12</v>
      </c>
      <c r="B8" s="84" t="s">
        <v>3507</v>
      </c>
      <c r="C8" s="137" t="s">
        <v>771</v>
      </c>
      <c r="D8" s="138" t="s">
        <v>107</v>
      </c>
      <c r="E8" s="139" t="s">
        <v>120</v>
      </c>
      <c r="F8" s="140" t="s">
        <v>3508</v>
      </c>
      <c r="G8" s="141">
        <v>0.0</v>
      </c>
      <c r="H8" s="142">
        <v>13.12732</v>
      </c>
      <c r="I8" s="143" t="s">
        <v>111</v>
      </c>
      <c r="J8" s="83"/>
      <c r="K8" s="144">
        <v>365.0</v>
      </c>
      <c r="R8" s="145" t="str">
        <f t="shared" si="1"/>
        <v>Baby Food_10-15</v>
      </c>
      <c r="S8" s="146" t="str">
        <f t="shared" si="2"/>
        <v>10-15</v>
      </c>
      <c r="T8" s="95" t="str">
        <f t="array" ref="T8">XLOOKUP(C8,'Depth or Width'!P:P,'Depth or Width'!V:V)</f>
        <v>Width</v>
      </c>
      <c r="U8" s="93">
        <f t="shared" si="3"/>
        <v>5</v>
      </c>
      <c r="V8" s="147">
        <f t="array" ref="V8">iferror(XLOOKUP(R8,'Refrence Data'!B:B,'Refrence Data'!W:W),"NA")</f>
        <v>6.018057</v>
      </c>
      <c r="W8" s="95">
        <f t="shared" si="4"/>
        <v>100</v>
      </c>
      <c r="Y8" s="148">
        <f t="array" ref="Y8">IFERROR(XLOOKUP(R8,'Refrence Data'!B:B,'Refrence Data'!N:N),"NA")</f>
        <v>0.326111</v>
      </c>
      <c r="Z8" s="95" t="str">
        <f t="shared" si="5"/>
        <v>LOW</v>
      </c>
      <c r="AA8" s="147">
        <f t="array" ref="AA8">XLOOKUP(R8,'Refrence Data'!B:B,'Refrence Data'!AC:AC)</f>
        <v>2.559953</v>
      </c>
      <c r="AB8" s="147">
        <f t="array" ref="AB8">IFERROR(XLOOKUP(R8,'Refrence Data'!B:B,'Refrence Data'!Y:Y),"NA")</f>
        <v>5.817529</v>
      </c>
      <c r="AC8" s="95" t="str">
        <f t="shared" si="6"/>
        <v>High</v>
      </c>
      <c r="AD8" s="95" t="str">
        <f t="shared" si="7"/>
        <v>Width</v>
      </c>
      <c r="AE8" s="95" t="str">
        <f t="shared" si="8"/>
        <v>LOWHighWidth</v>
      </c>
      <c r="AF8" s="95">
        <f t="array" ref="AF8">XLOOKUP(AE8,'Category Saturation'!A:A,'Category Saturation'!E:E)</f>
        <v>100</v>
      </c>
      <c r="AH8" s="148">
        <f t="array" ref="AH8">iferror(XLOOKUP(R8,'New Launch Success Rate'!A:A,'New Launch Success Rate'!F:F),"NA")</f>
        <v>0.75</v>
      </c>
      <c r="AI8" s="95">
        <f t="shared" si="9"/>
        <v>100</v>
      </c>
      <c r="AK8" s="149">
        <f t="shared" si="10"/>
        <v>100</v>
      </c>
      <c r="AM8" s="150">
        <f t="array" ref="AM8">XLOOKUP(R8,'Non Moving'!C:C,'Non Moving'!I:I)/100</f>
        <v>0.041</v>
      </c>
      <c r="AN8" s="151">
        <f t="shared" si="11"/>
        <v>100</v>
      </c>
      <c r="AO8" s="150">
        <f t="array" ref="AO8">XLOOKUP(R8,'Non Moving'!C:C,'Non Moving'!F:F)/100</f>
        <v>0.134</v>
      </c>
      <c r="AP8" s="151">
        <f t="shared" si="12"/>
        <v>100</v>
      </c>
      <c r="AR8" s="95">
        <f t="shared" si="13"/>
        <v>100</v>
      </c>
      <c r="AT8" s="95">
        <f t="shared" si="14"/>
        <v>0</v>
      </c>
      <c r="AU8" s="95">
        <f t="array" ref="AU8">iferror(XLOOKUP(J8,Monetization!A:A,Monetization!B:B),25)</f>
        <v>25</v>
      </c>
      <c r="AW8" s="95">
        <f t="shared" si="15"/>
        <v>7.5</v>
      </c>
      <c r="AY8" s="149">
        <f t="shared" si="16"/>
        <v>81.5</v>
      </c>
      <c r="AZ8" s="95" t="str">
        <f t="shared" si="17"/>
        <v>75-100</v>
      </c>
      <c r="BA8" s="95" t="str">
        <f t="shared" si="18"/>
        <v>75-100</v>
      </c>
      <c r="BB8" s="152">
        <f t="array" ref="BB8">iferror(XLOOKUP(C8,Sheet9!A:A,Sheet9!D:D),0)</f>
        <v>0.07</v>
      </c>
      <c r="BC8" s="2">
        <v>1.0</v>
      </c>
      <c r="BD8" s="95">
        <f t="array" ref="BD8">XLOOKUP(C8,ROS!C:C,ROS!O:O)</f>
        <v>0</v>
      </c>
      <c r="BE8" s="147">
        <f t="array" ref="BE8">IFERROR(XLOOKUP(C8,ROS!T:T,ROS!U:U),"")</f>
        <v>0.30952381</v>
      </c>
      <c r="BF8" s="147">
        <f t="array" ref="BF8">XLOOKUP(R8,'Refrence Data'!B:B,'Refrence Data'!T:T)</f>
        <v>2.113793</v>
      </c>
      <c r="BG8" s="95">
        <f t="shared" si="19"/>
        <v>0</v>
      </c>
      <c r="BH8" s="4" t="str">
        <f t="shared" si="20"/>
        <v/>
      </c>
      <c r="BI8" s="2" t="s">
        <v>3511</v>
      </c>
      <c r="BJ8" s="151">
        <f t="shared" si="21"/>
        <v>0</v>
      </c>
      <c r="BK8" s="151">
        <f t="shared" si="22"/>
        <v>0</v>
      </c>
      <c r="BL8" s="95">
        <f t="shared" si="23"/>
        <v>0</v>
      </c>
      <c r="BM8" s="95">
        <f t="shared" si="24"/>
        <v>0</v>
      </c>
      <c r="BN8" s="148" t="str">
        <f t="shared" si="25"/>
        <v>#DIV/0!</v>
      </c>
      <c r="BO8" s="153"/>
      <c r="BP8" s="153" t="str">
        <f t="shared" si="26"/>
        <v/>
      </c>
      <c r="BQ8" s="153"/>
      <c r="BR8" s="154" t="s">
        <v>3512</v>
      </c>
      <c r="BS8" s="151">
        <f t="shared" si="27"/>
        <v>47</v>
      </c>
      <c r="BT8" s="95">
        <v>29.0</v>
      </c>
      <c r="BU8" s="95">
        <v>65.0</v>
      </c>
      <c r="BV8" s="95">
        <v>66.0</v>
      </c>
      <c r="BW8" s="95">
        <v>63.0</v>
      </c>
      <c r="BX8" s="95">
        <v>57.0</v>
      </c>
      <c r="BY8" s="154" t="s">
        <v>3512</v>
      </c>
      <c r="BZ8" s="95">
        <v>25.0</v>
      </c>
      <c r="CA8" s="95">
        <v>58.0</v>
      </c>
      <c r="CB8" s="95">
        <v>51.0</v>
      </c>
      <c r="CC8" s="95">
        <v>64.0</v>
      </c>
      <c r="CD8" s="95">
        <v>54.0</v>
      </c>
    </row>
    <row r="9">
      <c r="A9" s="84">
        <v>6.291108362716E12</v>
      </c>
      <c r="B9" s="84" t="s">
        <v>3513</v>
      </c>
      <c r="C9" s="137" t="s">
        <v>774</v>
      </c>
      <c r="D9" s="138" t="s">
        <v>139</v>
      </c>
      <c r="E9" s="139" t="s">
        <v>775</v>
      </c>
      <c r="F9" s="140" t="s">
        <v>3514</v>
      </c>
      <c r="G9" s="141">
        <v>0.0</v>
      </c>
      <c r="H9" s="142">
        <v>7.094394</v>
      </c>
      <c r="I9" s="143" t="s">
        <v>111</v>
      </c>
      <c r="J9" s="83"/>
      <c r="K9" s="144">
        <v>3.0</v>
      </c>
      <c r="R9" s="145" t="str">
        <f t="shared" si="1"/>
        <v>Fresh Bakery_5-10</v>
      </c>
      <c r="S9" s="146" t="str">
        <f t="shared" si="2"/>
        <v>5-10</v>
      </c>
      <c r="T9" s="95" t="str">
        <f t="array" ref="T9">XLOOKUP(C9,'Depth or Width'!P:P,'Depth or Width'!V:V)</f>
        <v>Width</v>
      </c>
      <c r="U9" s="93">
        <f t="shared" si="3"/>
        <v>53.33333333</v>
      </c>
      <c r="V9" s="147">
        <f t="array" ref="V9">iferror(XLOOKUP(R9,'Refrence Data'!B:B,'Refrence Data'!W:W),"NA")</f>
        <v>28.62059</v>
      </c>
      <c r="W9" s="95">
        <f t="shared" si="4"/>
        <v>50</v>
      </c>
      <c r="Y9" s="148">
        <f t="array" ref="Y9">IFERROR(XLOOKUP(R9,'Refrence Data'!B:B,'Refrence Data'!N:N),"NA")</f>
        <v>0.777464</v>
      </c>
      <c r="Z9" s="95" t="str">
        <f t="shared" si="5"/>
        <v>HIGH</v>
      </c>
      <c r="AA9" s="147">
        <f t="array" ref="AA9">XLOOKUP(R9,'Refrence Data'!B:B,'Refrence Data'!AC:AC)</f>
        <v>16.03854</v>
      </c>
      <c r="AB9" s="147">
        <f t="array" ref="AB9">IFERROR(XLOOKUP(R9,'Refrence Data'!B:B,'Refrence Data'!Y:Y),"NA")</f>
        <v>19.32794</v>
      </c>
      <c r="AC9" s="95" t="str">
        <f t="shared" si="6"/>
        <v>High</v>
      </c>
      <c r="AD9" s="95" t="str">
        <f t="shared" si="7"/>
        <v>Width</v>
      </c>
      <c r="AE9" s="95" t="str">
        <f t="shared" si="8"/>
        <v>HIGHHighWidth</v>
      </c>
      <c r="AF9" s="95">
        <f t="array" ref="AF9">XLOOKUP(AE9,'Category Saturation'!A:A,'Category Saturation'!E:E)</f>
        <v>25</v>
      </c>
      <c r="AH9" s="148">
        <f t="array" ref="AH9">iferror(XLOOKUP(R9,'New Launch Success Rate'!A:A,'New Launch Success Rate'!F:F),"NA")</f>
        <v>0.929</v>
      </c>
      <c r="AI9" s="95">
        <f t="shared" si="9"/>
        <v>100</v>
      </c>
      <c r="AK9" s="149">
        <f t="shared" si="10"/>
        <v>47.5</v>
      </c>
      <c r="AM9" s="150">
        <f t="array" ref="AM9">XLOOKUP(R9,'Non Moving'!C:C,'Non Moving'!I:I)/100</f>
        <v>0.007</v>
      </c>
      <c r="AN9" s="151">
        <f t="shared" si="11"/>
        <v>100</v>
      </c>
      <c r="AO9" s="150">
        <f t="array" ref="AO9">XLOOKUP(R9,'Non Moving'!C:C,'Non Moving'!F:F)/100</f>
        <v>0.016</v>
      </c>
      <c r="AP9" s="151">
        <f t="shared" si="12"/>
        <v>100</v>
      </c>
      <c r="AR9" s="95">
        <f t="shared" si="13"/>
        <v>100</v>
      </c>
      <c r="AT9" s="95">
        <f t="shared" si="14"/>
        <v>0</v>
      </c>
      <c r="AU9" s="95">
        <f t="array" ref="AU9">iferror(XLOOKUP(J9,Monetization!A:A,Monetization!B:B),25)</f>
        <v>25</v>
      </c>
      <c r="AW9" s="95">
        <f t="shared" si="15"/>
        <v>7.5</v>
      </c>
      <c r="AY9" s="149">
        <f t="shared" si="16"/>
        <v>60.5</v>
      </c>
      <c r="AZ9" s="95" t="str">
        <f t="shared" si="17"/>
        <v>50-75</v>
      </c>
      <c r="BA9" s="95" t="str">
        <f t="shared" si="18"/>
        <v>25-50</v>
      </c>
      <c r="BB9" s="152">
        <f t="array" ref="BB9">iferror(XLOOKUP(C9,Sheet9!A:A,Sheet9!D:D),0)</f>
        <v>0.49</v>
      </c>
      <c r="BC9" s="2">
        <v>1.0</v>
      </c>
      <c r="BD9" s="95">
        <f t="array" ref="BD9">XLOOKUP(C9,ROS!C:C,ROS!O:O)</f>
        <v>0</v>
      </c>
      <c r="BE9" s="147">
        <f t="array" ref="BE9">IFERROR(XLOOKUP(C9,ROS!T:T,ROS!U:U),"")</f>
        <v>11.88427128</v>
      </c>
      <c r="BF9" s="147">
        <f t="array" ref="BF9">XLOOKUP(R9,'Refrence Data'!B:B,'Refrence Data'!T:T)</f>
        <v>17.7057</v>
      </c>
      <c r="BG9" s="95">
        <f t="shared" si="19"/>
        <v>0</v>
      </c>
      <c r="BH9" s="4" t="str">
        <f t="shared" si="20"/>
        <v/>
      </c>
      <c r="BI9" s="155" t="s">
        <v>3515</v>
      </c>
      <c r="BJ9" s="151">
        <f t="shared" si="21"/>
        <v>0</v>
      </c>
      <c r="BK9" s="151">
        <f t="shared" si="22"/>
        <v>0</v>
      </c>
      <c r="BL9" s="156">
        <f t="shared" si="23"/>
        <v>0</v>
      </c>
      <c r="BM9" s="156">
        <f t="shared" ref="BM9:BM11" si="28">BK9</f>
        <v>0</v>
      </c>
      <c r="BN9" s="157" t="str">
        <f t="shared" si="25"/>
        <v>#DIV/0!</v>
      </c>
      <c r="BO9" s="153"/>
      <c r="BP9" s="153" t="str">
        <f t="shared" si="26"/>
        <v/>
      </c>
      <c r="BQ9" s="153"/>
      <c r="BR9" s="154" t="s">
        <v>3516</v>
      </c>
      <c r="BS9" s="158">
        <f t="shared" si="27"/>
        <v>44</v>
      </c>
      <c r="BT9" s="159">
        <v>31.0</v>
      </c>
      <c r="BU9" s="159">
        <v>27.0</v>
      </c>
      <c r="BV9" s="159">
        <v>14.0</v>
      </c>
      <c r="BW9" s="159">
        <v>30.0</v>
      </c>
      <c r="BX9" s="159">
        <v>24.0</v>
      </c>
      <c r="BY9" s="154" t="s">
        <v>3516</v>
      </c>
      <c r="BZ9" s="156">
        <v>36.0</v>
      </c>
      <c r="CA9" s="156">
        <v>36.0</v>
      </c>
      <c r="CB9" s="156">
        <v>28.0</v>
      </c>
      <c r="CC9" s="156">
        <v>31.0</v>
      </c>
      <c r="CD9" s="156">
        <v>27.0</v>
      </c>
      <c r="CE9" s="156"/>
    </row>
    <row r="10">
      <c r="A10" s="84">
        <v>6.29110836116E12</v>
      </c>
      <c r="B10" s="84" t="s">
        <v>3513</v>
      </c>
      <c r="C10" s="137" t="s">
        <v>778</v>
      </c>
      <c r="D10" s="138" t="s">
        <v>139</v>
      </c>
      <c r="E10" s="139" t="s">
        <v>775</v>
      </c>
      <c r="F10" s="140" t="s">
        <v>3514</v>
      </c>
      <c r="G10" s="141">
        <v>0.0</v>
      </c>
      <c r="H10" s="142">
        <v>12.21715</v>
      </c>
      <c r="I10" s="143" t="s">
        <v>111</v>
      </c>
      <c r="J10" s="83"/>
      <c r="K10" s="144">
        <v>10.0</v>
      </c>
      <c r="R10" s="145" t="str">
        <f t="shared" si="1"/>
        <v>Fresh Bakery_10-15</v>
      </c>
      <c r="S10" s="146" t="str">
        <f t="shared" si="2"/>
        <v>10-15</v>
      </c>
      <c r="T10" s="95" t="str">
        <f t="array" ref="T10">XLOOKUP(C10,'Depth or Width'!P:P,'Depth or Width'!V:V)</f>
        <v>Width</v>
      </c>
      <c r="U10" s="93">
        <f t="shared" si="3"/>
        <v>16</v>
      </c>
      <c r="V10" s="147">
        <f t="array" ref="V10">iferror(XLOOKUP(R10,'Refrence Data'!B:B,'Refrence Data'!W:W),"NA")</f>
        <v>30.13907</v>
      </c>
      <c r="W10" s="95">
        <f t="shared" si="4"/>
        <v>100</v>
      </c>
      <c r="Y10" s="148">
        <f t="array" ref="Y10">IFERROR(XLOOKUP(R10,'Refrence Data'!B:B,'Refrence Data'!N:N),"NA")</f>
        <v>0.847266</v>
      </c>
      <c r="Z10" s="95" t="str">
        <f t="shared" si="5"/>
        <v>HIGH</v>
      </c>
      <c r="AA10" s="147">
        <f t="array" ref="AA10">XLOOKUP(R10,'Refrence Data'!B:B,'Refrence Data'!AC:AC)</f>
        <v>16.03854</v>
      </c>
      <c r="AB10" s="147">
        <f t="array" ref="AB10">IFERROR(XLOOKUP(R10,'Refrence Data'!B:B,'Refrence Data'!Y:Y),"NA")</f>
        <v>16.03854</v>
      </c>
      <c r="AC10" s="95" t="str">
        <f t="shared" si="6"/>
        <v>High</v>
      </c>
      <c r="AD10" s="95" t="str">
        <f t="shared" si="7"/>
        <v>Width</v>
      </c>
      <c r="AE10" s="95" t="str">
        <f t="shared" si="8"/>
        <v>HIGHHighWidth</v>
      </c>
      <c r="AF10" s="95">
        <f t="array" ref="AF10">XLOOKUP(AE10,'Category Saturation'!A:A,'Category Saturation'!E:E)</f>
        <v>25</v>
      </c>
      <c r="AH10" s="148">
        <f t="array" ref="AH10">iferror(XLOOKUP(R10,'New Launch Success Rate'!A:A,'New Launch Success Rate'!F:F),"NA")</f>
        <v>1</v>
      </c>
      <c r="AI10" s="95">
        <f t="shared" si="9"/>
        <v>100</v>
      </c>
      <c r="AK10" s="149">
        <f t="shared" si="10"/>
        <v>77.5</v>
      </c>
      <c r="AM10" s="150">
        <f t="array" ref="AM10">XLOOKUP(R10,'Non Moving'!C:C,'Non Moving'!I:I)/100</f>
        <v>0.005</v>
      </c>
      <c r="AN10" s="151">
        <f t="shared" si="11"/>
        <v>100</v>
      </c>
      <c r="AO10" s="150">
        <f t="array" ref="AO10">XLOOKUP(R10,'Non Moving'!C:C,'Non Moving'!F:F)/100</f>
        <v>0.006</v>
      </c>
      <c r="AP10" s="151">
        <f t="shared" si="12"/>
        <v>100</v>
      </c>
      <c r="AR10" s="95">
        <f t="shared" si="13"/>
        <v>100</v>
      </c>
      <c r="AT10" s="95">
        <f t="shared" si="14"/>
        <v>0</v>
      </c>
      <c r="AU10" s="95">
        <f t="array" ref="AU10">iferror(XLOOKUP(J10,Monetization!A:A,Monetization!B:B),25)</f>
        <v>25</v>
      </c>
      <c r="AW10" s="95">
        <f t="shared" si="15"/>
        <v>7.5</v>
      </c>
      <c r="AY10" s="149">
        <f t="shared" si="16"/>
        <v>72.5</v>
      </c>
      <c r="AZ10" s="95" t="str">
        <f t="shared" si="17"/>
        <v>50-75</v>
      </c>
      <c r="BA10" s="95" t="str">
        <f t="shared" si="18"/>
        <v>75-100</v>
      </c>
      <c r="BB10" s="152">
        <f t="array" ref="BB10">iferror(XLOOKUP(C10,Sheet9!A:A,Sheet9!D:D),0)</f>
        <v>0.74</v>
      </c>
      <c r="BC10" s="2">
        <v>1.0</v>
      </c>
      <c r="BD10" s="95">
        <f t="array" ref="BD10">XLOOKUP(C10,ROS!C:C,ROS!O:O)</f>
        <v>0</v>
      </c>
      <c r="BE10" s="147">
        <f t="array" ref="BE10">IFERROR(XLOOKUP(C10,ROS!T:T,ROS!U:U),"")</f>
        <v>12.26161061</v>
      </c>
      <c r="BF10" s="147">
        <f t="array" ref="BF10">XLOOKUP(R10,'Refrence Data'!B:B,'Refrence Data'!T:T)</f>
        <v>5.799434</v>
      </c>
      <c r="BG10" s="95">
        <f t="shared" si="19"/>
        <v>1</v>
      </c>
      <c r="BH10" s="4" t="str">
        <f t="shared" si="20"/>
        <v>TP</v>
      </c>
      <c r="BI10" s="2" t="s">
        <v>3517</v>
      </c>
      <c r="BJ10" s="151">
        <f t="shared" si="21"/>
        <v>0</v>
      </c>
      <c r="BK10" s="151">
        <f t="shared" si="22"/>
        <v>0</v>
      </c>
      <c r="BL10" s="95">
        <f t="shared" si="23"/>
        <v>0</v>
      </c>
      <c r="BM10" s="95">
        <f t="shared" si="28"/>
        <v>0</v>
      </c>
      <c r="BN10" s="148" t="str">
        <f t="shared" si="25"/>
        <v>#DIV/0!</v>
      </c>
      <c r="BO10" s="153"/>
      <c r="BP10" s="153" t="str">
        <f t="shared" si="26"/>
        <v>TP</v>
      </c>
      <c r="BQ10" s="153"/>
      <c r="BR10" s="154" t="s">
        <v>3518</v>
      </c>
      <c r="BS10" s="158">
        <f t="shared" si="27"/>
        <v>5</v>
      </c>
      <c r="BT10" s="159">
        <v>9.0</v>
      </c>
      <c r="BU10" s="159">
        <v>19.0</v>
      </c>
      <c r="BV10" s="159">
        <v>39.0</v>
      </c>
      <c r="BW10" s="159">
        <v>37.0</v>
      </c>
      <c r="BX10" s="159">
        <v>16.0</v>
      </c>
      <c r="BY10" s="154" t="s">
        <v>3518</v>
      </c>
      <c r="BZ10" s="160">
        <v>6.0</v>
      </c>
      <c r="CA10" s="161">
        <v>13.0</v>
      </c>
      <c r="CB10" s="161">
        <v>24.0</v>
      </c>
      <c r="CC10" s="161">
        <v>39.0</v>
      </c>
      <c r="CD10" s="161">
        <v>17.0</v>
      </c>
      <c r="CE10" s="161"/>
    </row>
    <row r="11">
      <c r="A11" s="84">
        <v>6.291108361122E12</v>
      </c>
      <c r="B11" s="84" t="s">
        <v>3513</v>
      </c>
      <c r="C11" s="137" t="s">
        <v>779</v>
      </c>
      <c r="D11" s="138" t="s">
        <v>139</v>
      </c>
      <c r="E11" s="139" t="s">
        <v>775</v>
      </c>
      <c r="F11" s="140" t="s">
        <v>3514</v>
      </c>
      <c r="G11" s="141">
        <v>0.0</v>
      </c>
      <c r="H11" s="142">
        <v>12.00086</v>
      </c>
      <c r="I11" s="143" t="s">
        <v>111</v>
      </c>
      <c r="J11" s="83"/>
      <c r="K11" s="144">
        <v>10.0</v>
      </c>
      <c r="R11" s="145" t="str">
        <f t="shared" si="1"/>
        <v>Fresh Bakery_10-15</v>
      </c>
      <c r="S11" s="146" t="str">
        <f t="shared" si="2"/>
        <v>10-15</v>
      </c>
      <c r="T11" s="95" t="str">
        <f t="array" ref="T11">XLOOKUP(C11,'Depth or Width'!P:P,'Depth or Width'!V:V)</f>
        <v>Width</v>
      </c>
      <c r="U11" s="93">
        <f t="shared" si="3"/>
        <v>16</v>
      </c>
      <c r="V11" s="147">
        <f t="array" ref="V11">iferror(XLOOKUP(R11,'Refrence Data'!B:B,'Refrence Data'!W:W),"NA")</f>
        <v>30.13907</v>
      </c>
      <c r="W11" s="95">
        <f t="shared" si="4"/>
        <v>100</v>
      </c>
      <c r="Y11" s="148">
        <f t="array" ref="Y11">IFERROR(XLOOKUP(R11,'Refrence Data'!B:B,'Refrence Data'!N:N),"NA")</f>
        <v>0.847266</v>
      </c>
      <c r="Z11" s="95" t="str">
        <f t="shared" si="5"/>
        <v>HIGH</v>
      </c>
      <c r="AA11" s="147">
        <f t="array" ref="AA11">XLOOKUP(R11,'Refrence Data'!B:B,'Refrence Data'!AC:AC)</f>
        <v>16.03854</v>
      </c>
      <c r="AB11" s="147">
        <f t="array" ref="AB11">IFERROR(XLOOKUP(R11,'Refrence Data'!B:B,'Refrence Data'!Y:Y),"NA")</f>
        <v>16.03854</v>
      </c>
      <c r="AC11" s="95" t="str">
        <f t="shared" si="6"/>
        <v>High</v>
      </c>
      <c r="AD11" s="95" t="str">
        <f t="shared" si="7"/>
        <v>Width</v>
      </c>
      <c r="AE11" s="95" t="str">
        <f t="shared" si="8"/>
        <v>HIGHHighWidth</v>
      </c>
      <c r="AF11" s="95">
        <f t="array" ref="AF11">XLOOKUP(AE11,'Category Saturation'!A:A,'Category Saturation'!E:E)</f>
        <v>25</v>
      </c>
      <c r="AH11" s="148">
        <f t="array" ref="AH11">iferror(XLOOKUP(R11,'New Launch Success Rate'!A:A,'New Launch Success Rate'!F:F),"NA")</f>
        <v>1</v>
      </c>
      <c r="AI11" s="95">
        <f t="shared" si="9"/>
        <v>100</v>
      </c>
      <c r="AK11" s="149">
        <f t="shared" si="10"/>
        <v>77.5</v>
      </c>
      <c r="AM11" s="150">
        <f t="array" ref="AM11">XLOOKUP(R11,'Non Moving'!C:C,'Non Moving'!I:I)/100</f>
        <v>0.005</v>
      </c>
      <c r="AN11" s="151">
        <f t="shared" si="11"/>
        <v>100</v>
      </c>
      <c r="AO11" s="150">
        <f t="array" ref="AO11">XLOOKUP(R11,'Non Moving'!C:C,'Non Moving'!F:F)/100</f>
        <v>0.006</v>
      </c>
      <c r="AP11" s="151">
        <f t="shared" si="12"/>
        <v>100</v>
      </c>
      <c r="AR11" s="95">
        <f t="shared" si="13"/>
        <v>100</v>
      </c>
      <c r="AT11" s="95">
        <f t="shared" si="14"/>
        <v>0</v>
      </c>
      <c r="AU11" s="95">
        <f t="array" ref="AU11">iferror(XLOOKUP(J11,Monetization!A:A,Monetization!B:B),25)</f>
        <v>25</v>
      </c>
      <c r="AW11" s="95">
        <f t="shared" si="15"/>
        <v>7.5</v>
      </c>
      <c r="AY11" s="149">
        <f t="shared" si="16"/>
        <v>72.5</v>
      </c>
      <c r="AZ11" s="95" t="str">
        <f t="shared" si="17"/>
        <v>50-75</v>
      </c>
      <c r="BA11" s="95" t="str">
        <f t="shared" si="18"/>
        <v>75-100</v>
      </c>
      <c r="BB11" s="152">
        <f t="array" ref="BB11">iferror(XLOOKUP(C11,Sheet9!A:A,Sheet9!D:D),0)</f>
        <v>0.83</v>
      </c>
      <c r="BC11" s="2">
        <v>1.0</v>
      </c>
      <c r="BD11" s="95">
        <f t="array" ref="BD11">XLOOKUP(C11,ROS!C:C,ROS!O:O)</f>
        <v>9.462596</v>
      </c>
      <c r="BE11" s="147">
        <f t="array" ref="BE11">IFERROR(XLOOKUP(C11,ROS!T:T,ROS!U:U),"")</f>
        <v>4.422064047</v>
      </c>
      <c r="BF11" s="147">
        <f t="array" ref="BF11">XLOOKUP(R11,'Refrence Data'!B:B,'Refrence Data'!T:T)</f>
        <v>5.799434</v>
      </c>
      <c r="BG11" s="95">
        <f t="shared" si="19"/>
        <v>1</v>
      </c>
      <c r="BH11" s="4" t="str">
        <f t="shared" si="20"/>
        <v>TP</v>
      </c>
      <c r="BI11" s="2" t="s">
        <v>3519</v>
      </c>
      <c r="BJ11" s="151">
        <f t="shared" si="21"/>
        <v>0</v>
      </c>
      <c r="BK11" s="151">
        <f t="shared" si="22"/>
        <v>0</v>
      </c>
      <c r="BL11" s="95">
        <f t="shared" si="23"/>
        <v>0</v>
      </c>
      <c r="BM11" s="95">
        <f t="shared" si="28"/>
        <v>0</v>
      </c>
      <c r="BN11" s="148"/>
      <c r="BO11" s="153"/>
      <c r="BP11" s="153" t="str">
        <f t="shared" si="26"/>
        <v>TP</v>
      </c>
      <c r="BQ11" s="153"/>
      <c r="BR11" s="162" t="s">
        <v>3520</v>
      </c>
      <c r="BS11" s="163">
        <f>SUM(BS7:BS10)</f>
        <v>135</v>
      </c>
      <c r="BT11" s="164">
        <v>136.0</v>
      </c>
      <c r="BU11" s="164">
        <v>170.0</v>
      </c>
      <c r="BV11" s="164">
        <v>152.0</v>
      </c>
      <c r="BW11" s="164">
        <v>218.0</v>
      </c>
      <c r="BX11" s="165">
        <v>125.0</v>
      </c>
      <c r="BY11" s="162" t="s">
        <v>3520</v>
      </c>
      <c r="BZ11" s="164">
        <v>136.0</v>
      </c>
      <c r="CA11" s="164">
        <v>170.0</v>
      </c>
      <c r="CB11" s="164">
        <v>152.0</v>
      </c>
      <c r="CC11" s="164">
        <v>218.0</v>
      </c>
      <c r="CD11" s="165">
        <v>125.0</v>
      </c>
      <c r="CE11" s="161"/>
    </row>
    <row r="12">
      <c r="A12" s="84">
        <v>6.291108361047E12</v>
      </c>
      <c r="B12" s="84" t="s">
        <v>3513</v>
      </c>
      <c r="C12" s="137" t="s">
        <v>780</v>
      </c>
      <c r="D12" s="138" t="s">
        <v>139</v>
      </c>
      <c r="E12" s="139" t="s">
        <v>775</v>
      </c>
      <c r="F12" s="140" t="s">
        <v>3514</v>
      </c>
      <c r="G12" s="141">
        <v>0.0</v>
      </c>
      <c r="H12" s="142">
        <v>13.08966</v>
      </c>
      <c r="I12" s="143" t="s">
        <v>111</v>
      </c>
      <c r="J12" s="83"/>
      <c r="K12" s="144">
        <v>4.0</v>
      </c>
      <c r="R12" s="145" t="str">
        <f t="shared" si="1"/>
        <v>Fresh Bakery_10-15</v>
      </c>
      <c r="S12" s="146" t="str">
        <f t="shared" si="2"/>
        <v>10-15</v>
      </c>
      <c r="T12" s="95" t="str">
        <f t="array" ref="T12">XLOOKUP(C12,'Depth or Width'!P:P,'Depth or Width'!V:V)</f>
        <v>Width</v>
      </c>
      <c r="U12" s="93">
        <f t="shared" si="3"/>
        <v>40</v>
      </c>
      <c r="V12" s="147">
        <f t="array" ref="V12">iferror(XLOOKUP(R12,'Refrence Data'!B:B,'Refrence Data'!W:W),"NA")</f>
        <v>30.13907</v>
      </c>
      <c r="W12" s="95">
        <f t="shared" si="4"/>
        <v>75</v>
      </c>
      <c r="Y12" s="148">
        <f t="array" ref="Y12">IFERROR(XLOOKUP(R12,'Refrence Data'!B:B,'Refrence Data'!N:N),"NA")</f>
        <v>0.847266</v>
      </c>
      <c r="Z12" s="95" t="str">
        <f t="shared" si="5"/>
        <v>HIGH</v>
      </c>
      <c r="AA12" s="147">
        <f t="array" ref="AA12">XLOOKUP(R12,'Refrence Data'!B:B,'Refrence Data'!AC:AC)</f>
        <v>16.03854</v>
      </c>
      <c r="AB12" s="147">
        <f t="array" ref="AB12">IFERROR(XLOOKUP(R12,'Refrence Data'!B:B,'Refrence Data'!Y:Y),"NA")</f>
        <v>16.03854</v>
      </c>
      <c r="AC12" s="95" t="str">
        <f t="shared" si="6"/>
        <v>High</v>
      </c>
      <c r="AD12" s="95" t="str">
        <f t="shared" si="7"/>
        <v>Width</v>
      </c>
      <c r="AE12" s="95" t="str">
        <f t="shared" si="8"/>
        <v>HIGHHighWidth</v>
      </c>
      <c r="AF12" s="95">
        <f t="array" ref="AF12">XLOOKUP(AE12,'Category Saturation'!A:A,'Category Saturation'!E:E)</f>
        <v>25</v>
      </c>
      <c r="AH12" s="148">
        <f t="array" ref="AH12">iferror(XLOOKUP(R12,'New Launch Success Rate'!A:A,'New Launch Success Rate'!F:F),"NA")</f>
        <v>1</v>
      </c>
      <c r="AI12" s="95">
        <f t="shared" si="9"/>
        <v>100</v>
      </c>
      <c r="AK12" s="149">
        <f t="shared" si="10"/>
        <v>62.5</v>
      </c>
      <c r="AM12" s="150">
        <f t="array" ref="AM12">XLOOKUP(R12,'Non Moving'!C:C,'Non Moving'!I:I)/100</f>
        <v>0.005</v>
      </c>
      <c r="AN12" s="151">
        <f t="shared" si="11"/>
        <v>100</v>
      </c>
      <c r="AO12" s="150">
        <f t="array" ref="AO12">XLOOKUP(R12,'Non Moving'!C:C,'Non Moving'!F:F)/100</f>
        <v>0.006</v>
      </c>
      <c r="AP12" s="151">
        <f t="shared" si="12"/>
        <v>100</v>
      </c>
      <c r="AR12" s="95">
        <f t="shared" si="13"/>
        <v>100</v>
      </c>
      <c r="AT12" s="95">
        <f t="shared" si="14"/>
        <v>0</v>
      </c>
      <c r="AU12" s="95">
        <f t="array" ref="AU12">iferror(XLOOKUP(J12,Monetization!A:A,Monetization!B:B),25)</f>
        <v>25</v>
      </c>
      <c r="AW12" s="95">
        <f t="shared" si="15"/>
        <v>7.5</v>
      </c>
      <c r="AY12" s="149">
        <f t="shared" si="16"/>
        <v>66.5</v>
      </c>
      <c r="AZ12" s="95" t="str">
        <f t="shared" si="17"/>
        <v>50-75</v>
      </c>
      <c r="BA12" s="95" t="str">
        <f t="shared" si="18"/>
        <v>50-75</v>
      </c>
      <c r="BB12" s="152">
        <f t="array" ref="BB12">iferror(XLOOKUP(C12,Sheet9!A:A,Sheet9!D:D),0)</f>
        <v>0.71</v>
      </c>
      <c r="BC12" s="2">
        <v>1.0</v>
      </c>
      <c r="BD12" s="95">
        <f t="array" ref="BD12">XLOOKUP(C12,ROS!C:C,ROS!O:O)</f>
        <v>50.03894</v>
      </c>
      <c r="BE12" s="147">
        <f t="array" ref="BE12">IFERROR(XLOOKUP(C12,ROS!T:T,ROS!U:U),"")</f>
        <v>48.0482684</v>
      </c>
      <c r="BF12" s="147">
        <f t="array" ref="BF12">XLOOKUP(R12,'Refrence Data'!B:B,'Refrence Data'!T:T)</f>
        <v>5.799434</v>
      </c>
      <c r="BG12" s="95">
        <f t="shared" si="19"/>
        <v>1</v>
      </c>
      <c r="BH12" s="4" t="str">
        <f t="shared" si="20"/>
        <v>TP</v>
      </c>
      <c r="BI12" s="2" t="s">
        <v>3520</v>
      </c>
      <c r="BJ12" s="95">
        <f t="shared" ref="BJ12:BM12" si="29">SUM(BJ7:BJ11)</f>
        <v>0</v>
      </c>
      <c r="BK12" s="95">
        <f t="shared" si="29"/>
        <v>0</v>
      </c>
      <c r="BL12" s="95">
        <f t="shared" si="29"/>
        <v>0</v>
      </c>
      <c r="BM12" s="95">
        <f t="shared" si="29"/>
        <v>0</v>
      </c>
      <c r="BN12" s="148" t="str">
        <f>BM12/BJ12</f>
        <v>#DIV/0!</v>
      </c>
      <c r="BO12" s="153"/>
      <c r="BP12" s="153" t="str">
        <f t="shared" si="26"/>
        <v>TP</v>
      </c>
      <c r="BQ12" s="153"/>
      <c r="BR12" s="153"/>
      <c r="BS12" s="153"/>
    </row>
    <row r="13">
      <c r="A13" s="84">
        <v>6.291108361078E12</v>
      </c>
      <c r="B13" s="84" t="s">
        <v>3513</v>
      </c>
      <c r="C13" s="137" t="s">
        <v>781</v>
      </c>
      <c r="D13" s="138" t="s">
        <v>139</v>
      </c>
      <c r="E13" s="139" t="s">
        <v>775</v>
      </c>
      <c r="F13" s="140" t="s">
        <v>3514</v>
      </c>
      <c r="G13" s="141">
        <v>0.0</v>
      </c>
      <c r="H13" s="142">
        <v>17.78595</v>
      </c>
      <c r="I13" s="143" t="s">
        <v>111</v>
      </c>
      <c r="J13" s="83"/>
      <c r="K13" s="144">
        <v>4.0</v>
      </c>
      <c r="R13" s="145" t="str">
        <f t="shared" si="1"/>
        <v>Fresh Bakery_15-20</v>
      </c>
      <c r="S13" s="146" t="str">
        <f t="shared" si="2"/>
        <v>15-20</v>
      </c>
      <c r="T13" s="95" t="str">
        <f t="array" ref="T13">XLOOKUP(C13,'Depth or Width'!P:P,'Depth or Width'!V:V)</f>
        <v>Width</v>
      </c>
      <c r="U13" s="93">
        <f t="shared" si="3"/>
        <v>40</v>
      </c>
      <c r="V13" s="147">
        <f t="array" ref="V13">iferror(XLOOKUP(R13,'Refrence Data'!B:B,'Refrence Data'!W:W),"NA")</f>
        <v>18.49113</v>
      </c>
      <c r="W13" s="95">
        <f t="shared" si="4"/>
        <v>0</v>
      </c>
      <c r="Y13" s="148">
        <f t="array" ref="Y13">IFERROR(XLOOKUP(R13,'Refrence Data'!B:B,'Refrence Data'!N:N),"NA")</f>
        <v>0.879995</v>
      </c>
      <c r="Z13" s="95" t="str">
        <f t="shared" si="5"/>
        <v>HIGH</v>
      </c>
      <c r="AA13" s="147">
        <f t="array" ref="AA13">XLOOKUP(R13,'Refrence Data'!B:B,'Refrence Data'!AC:AC)</f>
        <v>16.03854</v>
      </c>
      <c r="AB13" s="147">
        <f t="array" ref="AB13">IFERROR(XLOOKUP(R13,'Refrence Data'!B:B,'Refrence Data'!Y:Y),"NA")</f>
        <v>22.44653</v>
      </c>
      <c r="AC13" s="95" t="str">
        <f t="shared" si="6"/>
        <v>High</v>
      </c>
      <c r="AD13" s="95" t="str">
        <f t="shared" si="7"/>
        <v>Width</v>
      </c>
      <c r="AE13" s="95" t="str">
        <f t="shared" si="8"/>
        <v>HIGHHighWidth</v>
      </c>
      <c r="AF13" s="95">
        <f t="array" ref="AF13">XLOOKUP(AE13,'Category Saturation'!A:A,'Category Saturation'!E:E)</f>
        <v>25</v>
      </c>
      <c r="AH13" s="148">
        <f t="array" ref="AH13">iferror(XLOOKUP(R13,'New Launch Success Rate'!A:A,'New Launch Success Rate'!F:F),"NA")</f>
        <v>0.8</v>
      </c>
      <c r="AI13" s="95">
        <f t="shared" si="9"/>
        <v>100</v>
      </c>
      <c r="AK13" s="149">
        <f t="shared" si="10"/>
        <v>17.5</v>
      </c>
      <c r="AM13" s="150">
        <f t="array" ref="AM13">XLOOKUP(R13,'Non Moving'!C:C,'Non Moving'!I:I)/100</f>
        <v>0.014</v>
      </c>
      <c r="AN13" s="151">
        <f t="shared" si="11"/>
        <v>100</v>
      </c>
      <c r="AO13" s="150">
        <f t="array" ref="AO13">XLOOKUP(R13,'Non Moving'!C:C,'Non Moving'!F:F)/100</f>
        <v>0.035</v>
      </c>
      <c r="AP13" s="151">
        <f t="shared" si="12"/>
        <v>100</v>
      </c>
      <c r="AR13" s="95">
        <f t="shared" si="13"/>
        <v>100</v>
      </c>
      <c r="AT13" s="95">
        <f t="shared" si="14"/>
        <v>0</v>
      </c>
      <c r="AU13" s="95">
        <f t="array" ref="AU13">iferror(XLOOKUP(J13,Monetization!A:A,Monetization!B:B),25)</f>
        <v>25</v>
      </c>
      <c r="AW13" s="95">
        <f t="shared" si="15"/>
        <v>7.5</v>
      </c>
      <c r="AY13" s="149">
        <f t="shared" si="16"/>
        <v>48.5</v>
      </c>
      <c r="AZ13" s="95" t="str">
        <f t="shared" si="17"/>
        <v>25-50</v>
      </c>
      <c r="BA13" s="95" t="str">
        <f t="shared" si="18"/>
        <v>0-25</v>
      </c>
      <c r="BB13" s="152">
        <f t="array" ref="BB13">iferror(XLOOKUP(C13,Sheet9!A:A,Sheet9!D:D),0)</f>
        <v>0.69</v>
      </c>
      <c r="BC13" s="2">
        <v>1.0</v>
      </c>
      <c r="BD13" s="95">
        <f t="array" ref="BD13">XLOOKUP(C13,ROS!C:C,ROS!O:O)</f>
        <v>24.44589</v>
      </c>
      <c r="BE13" s="147">
        <f t="array" ref="BE13">IFERROR(XLOOKUP(C13,ROS!T:T,ROS!U:U),"")</f>
        <v>29.75761738</v>
      </c>
      <c r="BF13" s="147">
        <f t="array" ref="BF13">XLOOKUP(R13,'Refrence Data'!B:B,'Refrence Data'!T:T)</f>
        <v>5.539511</v>
      </c>
      <c r="BG13" s="95">
        <f t="shared" si="19"/>
        <v>1</v>
      </c>
      <c r="BH13" s="4" t="str">
        <f t="shared" si="20"/>
        <v/>
      </c>
      <c r="BO13" s="153"/>
      <c r="BP13" s="153" t="str">
        <f t="shared" si="26"/>
        <v/>
      </c>
      <c r="BQ13" s="153"/>
      <c r="BR13" s="153"/>
      <c r="BS13" s="166"/>
    </row>
    <row r="14">
      <c r="A14" s="84">
        <v>8.908006217892E12</v>
      </c>
      <c r="B14" s="84" t="s">
        <v>3521</v>
      </c>
      <c r="C14" s="137" t="s">
        <v>793</v>
      </c>
      <c r="D14" s="138" t="s">
        <v>795</v>
      </c>
      <c r="E14" s="139" t="s">
        <v>796</v>
      </c>
      <c r="F14" s="140" t="s">
        <v>3522</v>
      </c>
      <c r="G14" s="141">
        <v>0.0</v>
      </c>
      <c r="H14" s="142">
        <v>16.46921</v>
      </c>
      <c r="I14" s="143" t="s">
        <v>111</v>
      </c>
      <c r="J14" s="83"/>
      <c r="K14" s="144">
        <v>360.0</v>
      </c>
      <c r="R14" s="145" t="str">
        <f t="shared" si="1"/>
        <v>Baking Mixes_15-20</v>
      </c>
      <c r="S14" s="146" t="str">
        <f t="shared" si="2"/>
        <v>15-20</v>
      </c>
      <c r="T14" s="95" t="str">
        <f t="array" ref="T14">XLOOKUP(C14,'Depth or Width'!P:P,'Depth or Width'!V:V)</f>
        <v>Depth</v>
      </c>
      <c r="U14" s="93">
        <f t="shared" si="3"/>
        <v>5</v>
      </c>
      <c r="V14" s="147">
        <f t="array" ref="V14">iferror(XLOOKUP(R14,'Refrence Data'!B:B,'Refrence Data'!W:W),"NA")</f>
        <v>1.026984</v>
      </c>
      <c r="W14" s="95">
        <f t="shared" si="4"/>
        <v>0</v>
      </c>
      <c r="Y14" s="148">
        <f t="array" ref="Y14">IFERROR(XLOOKUP(R14,'Refrence Data'!B:B,'Refrence Data'!N:N),"NA")</f>
        <v>0.776839</v>
      </c>
      <c r="Z14" s="95" t="str">
        <f t="shared" si="5"/>
        <v>HIGH</v>
      </c>
      <c r="AA14" s="147">
        <f t="array" ref="AA14">XLOOKUP(R14,'Refrence Data'!B:B,'Refrence Data'!AC:AC)</f>
        <v>1.042299</v>
      </c>
      <c r="AB14" s="147">
        <f t="array" ref="AB14">IFERROR(XLOOKUP(R14,'Refrence Data'!B:B,'Refrence Data'!Y:Y),"NA")</f>
        <v>2.706367</v>
      </c>
      <c r="AC14" s="95" t="str">
        <f t="shared" si="6"/>
        <v>High</v>
      </c>
      <c r="AD14" s="95" t="str">
        <f t="shared" si="7"/>
        <v>Depth</v>
      </c>
      <c r="AE14" s="95" t="str">
        <f t="shared" si="8"/>
        <v>HIGHHighDepth</v>
      </c>
      <c r="AF14" s="95">
        <f t="array" ref="AF14">XLOOKUP(AE14,'Category Saturation'!A:A,'Category Saturation'!E:E)</f>
        <v>0</v>
      </c>
      <c r="AH14" s="148">
        <f t="array" ref="AH14">iferror(XLOOKUP(R14,'New Launch Success Rate'!A:A,'New Launch Success Rate'!F:F),"NA")</f>
        <v>0.62475</v>
      </c>
      <c r="AI14" s="95">
        <f t="shared" si="9"/>
        <v>50</v>
      </c>
      <c r="AK14" s="149">
        <f t="shared" si="10"/>
        <v>5</v>
      </c>
      <c r="AM14" s="150">
        <f t="array" ref="AM14">XLOOKUP(R14,'Non Moving'!C:C,'Non Moving'!I:I)/100</f>
        <v>0.146</v>
      </c>
      <c r="AN14" s="151">
        <f t="shared" si="11"/>
        <v>75</v>
      </c>
      <c r="AO14" s="150">
        <f t="array" ref="AO14">XLOOKUP(R14,'Non Moving'!C:C,'Non Moving'!F:F)/100</f>
        <v>0.361</v>
      </c>
      <c r="AP14" s="151">
        <f t="shared" si="12"/>
        <v>50</v>
      </c>
      <c r="AR14" s="95">
        <f t="shared" si="13"/>
        <v>62.5</v>
      </c>
      <c r="AT14" s="95">
        <f t="shared" si="14"/>
        <v>0</v>
      </c>
      <c r="AU14" s="95">
        <f t="array" ref="AU14">iferror(XLOOKUP(J14,Monetization!A:A,Monetization!B:B),25)</f>
        <v>25</v>
      </c>
      <c r="AW14" s="95">
        <f t="shared" si="15"/>
        <v>7.5</v>
      </c>
      <c r="AY14" s="149">
        <f t="shared" si="16"/>
        <v>28.5</v>
      </c>
      <c r="AZ14" s="95" t="str">
        <f t="shared" si="17"/>
        <v>25-50</v>
      </c>
      <c r="BA14" s="95" t="str">
        <f t="shared" si="18"/>
        <v>0-25</v>
      </c>
      <c r="BB14" s="152">
        <f t="array" ref="BB14">iferror(XLOOKUP(C14,Sheet9!A:A,Sheet9!D:D),0)</f>
        <v>1</v>
      </c>
      <c r="BC14" s="2">
        <v>1.0</v>
      </c>
      <c r="BD14" s="95">
        <f t="array" ref="BD14">XLOOKUP(C14,ROS!C:C,ROS!O:O)</f>
        <v>0</v>
      </c>
      <c r="BE14" s="147">
        <f t="array" ref="BE14">IFERROR(XLOOKUP(C14,ROS!T:T,ROS!U:U),"")</f>
        <v>0.25</v>
      </c>
      <c r="BF14" s="147">
        <f t="array" ref="BF14">XLOOKUP(R14,'Refrence Data'!B:B,'Refrence Data'!T:T)</f>
        <v>0.291667</v>
      </c>
      <c r="BG14" s="95">
        <f t="shared" si="19"/>
        <v>0</v>
      </c>
      <c r="BH14" s="4" t="str">
        <f t="shared" si="20"/>
        <v>TN</v>
      </c>
      <c r="BO14" s="153"/>
      <c r="BP14" s="153" t="str">
        <f t="shared" si="26"/>
        <v>TN</v>
      </c>
      <c r="BQ14" s="153"/>
      <c r="BR14" s="163" t="s">
        <v>3523</v>
      </c>
      <c r="BS14" s="167">
        <f t="shared" ref="BS14:BX14" si="30">SUM(BS7:BS8)/BS11</f>
        <v>0.637037037</v>
      </c>
      <c r="BT14" s="167">
        <f t="shared" si="30"/>
        <v>0.7058823529</v>
      </c>
      <c r="BU14" s="167">
        <f t="shared" si="30"/>
        <v>0.7294117647</v>
      </c>
      <c r="BV14" s="167">
        <f t="shared" si="30"/>
        <v>0.6513157895</v>
      </c>
      <c r="BW14" s="167">
        <f t="shared" si="30"/>
        <v>0.6926605505</v>
      </c>
      <c r="BX14" s="167">
        <f t="shared" si="30"/>
        <v>0.68</v>
      </c>
      <c r="BZ14" s="167">
        <f t="shared" ref="BZ14:CD14" si="31">SUM(BZ7:BZ8)/BZ11</f>
        <v>0.6911764706</v>
      </c>
      <c r="CA14" s="167">
        <f t="shared" si="31"/>
        <v>0.7117647059</v>
      </c>
      <c r="CB14" s="167">
        <f t="shared" si="31"/>
        <v>0.6578947368</v>
      </c>
      <c r="CC14" s="167">
        <f t="shared" si="31"/>
        <v>0.6788990826</v>
      </c>
      <c r="CD14" s="167">
        <f t="shared" si="31"/>
        <v>0.648</v>
      </c>
      <c r="CE14" s="167"/>
    </row>
    <row r="15">
      <c r="A15" s="84">
        <v>8.90800621709E12</v>
      </c>
      <c r="B15" s="84" t="s">
        <v>3521</v>
      </c>
      <c r="C15" s="137" t="s">
        <v>798</v>
      </c>
      <c r="D15" s="138" t="s">
        <v>795</v>
      </c>
      <c r="E15" s="139" t="s">
        <v>796</v>
      </c>
      <c r="F15" s="140" t="s">
        <v>3522</v>
      </c>
      <c r="G15" s="141">
        <v>0.0</v>
      </c>
      <c r="H15" s="142">
        <v>15.9865</v>
      </c>
      <c r="I15" s="143" t="s">
        <v>111</v>
      </c>
      <c r="J15" s="83"/>
      <c r="K15" s="144">
        <v>360.0</v>
      </c>
      <c r="R15" s="145" t="str">
        <f t="shared" si="1"/>
        <v>Baking Mixes_15-20</v>
      </c>
      <c r="S15" s="146" t="str">
        <f t="shared" si="2"/>
        <v>15-20</v>
      </c>
      <c r="T15" s="95" t="str">
        <f t="array" ref="T15">XLOOKUP(C15,'Depth or Width'!P:P,'Depth or Width'!V:V)</f>
        <v>Depth</v>
      </c>
      <c r="U15" s="93">
        <f t="shared" si="3"/>
        <v>5</v>
      </c>
      <c r="V15" s="147">
        <f t="array" ref="V15">iferror(XLOOKUP(R15,'Refrence Data'!B:B,'Refrence Data'!W:W),"NA")</f>
        <v>1.026984</v>
      </c>
      <c r="W15" s="95">
        <f t="shared" si="4"/>
        <v>0</v>
      </c>
      <c r="Y15" s="148">
        <f t="array" ref="Y15">IFERROR(XLOOKUP(R15,'Refrence Data'!B:B,'Refrence Data'!N:N),"NA")</f>
        <v>0.776839</v>
      </c>
      <c r="Z15" s="95" t="str">
        <f t="shared" si="5"/>
        <v>HIGH</v>
      </c>
      <c r="AA15" s="147">
        <f t="array" ref="AA15">XLOOKUP(R15,'Refrence Data'!B:B,'Refrence Data'!AC:AC)</f>
        <v>1.042299</v>
      </c>
      <c r="AB15" s="147">
        <f t="array" ref="AB15">IFERROR(XLOOKUP(R15,'Refrence Data'!B:B,'Refrence Data'!Y:Y),"NA")</f>
        <v>2.706367</v>
      </c>
      <c r="AC15" s="95" t="str">
        <f t="shared" si="6"/>
        <v>High</v>
      </c>
      <c r="AD15" s="95" t="str">
        <f t="shared" si="7"/>
        <v>Depth</v>
      </c>
      <c r="AE15" s="95" t="str">
        <f t="shared" si="8"/>
        <v>HIGHHighDepth</v>
      </c>
      <c r="AF15" s="95">
        <f t="array" ref="AF15">XLOOKUP(AE15,'Category Saturation'!A:A,'Category Saturation'!E:E)</f>
        <v>0</v>
      </c>
      <c r="AH15" s="148">
        <f t="array" ref="AH15">iferror(XLOOKUP(R15,'New Launch Success Rate'!A:A,'New Launch Success Rate'!F:F),"NA")</f>
        <v>0.62475</v>
      </c>
      <c r="AI15" s="95">
        <f t="shared" si="9"/>
        <v>50</v>
      </c>
      <c r="AK15" s="149">
        <f t="shared" si="10"/>
        <v>5</v>
      </c>
      <c r="AM15" s="150">
        <f t="array" ref="AM15">XLOOKUP(R15,'Non Moving'!C:C,'Non Moving'!I:I)/100</f>
        <v>0.146</v>
      </c>
      <c r="AN15" s="151">
        <f t="shared" si="11"/>
        <v>75</v>
      </c>
      <c r="AO15" s="150">
        <f t="array" ref="AO15">XLOOKUP(R15,'Non Moving'!C:C,'Non Moving'!F:F)/100</f>
        <v>0.361</v>
      </c>
      <c r="AP15" s="151">
        <f t="shared" si="12"/>
        <v>50</v>
      </c>
      <c r="AR15" s="95">
        <f t="shared" si="13"/>
        <v>62.5</v>
      </c>
      <c r="AT15" s="95">
        <f t="shared" si="14"/>
        <v>0</v>
      </c>
      <c r="AU15" s="95">
        <f t="array" ref="AU15">iferror(XLOOKUP(J15,Monetization!A:A,Monetization!B:B),25)</f>
        <v>25</v>
      </c>
      <c r="AW15" s="95">
        <f t="shared" si="15"/>
        <v>7.5</v>
      </c>
      <c r="AY15" s="149">
        <f t="shared" si="16"/>
        <v>28.5</v>
      </c>
      <c r="AZ15" s="95" t="str">
        <f t="shared" si="17"/>
        <v>25-50</v>
      </c>
      <c r="BA15" s="95" t="str">
        <f t="shared" si="18"/>
        <v>0-25</v>
      </c>
      <c r="BB15" s="152">
        <f t="array" ref="BB15">iferror(XLOOKUP(C15,Sheet9!A:A,Sheet9!D:D),0)</f>
        <v>1</v>
      </c>
      <c r="BC15" s="2">
        <v>1.0</v>
      </c>
      <c r="BD15" s="95">
        <f t="array" ref="BD15">XLOOKUP(C15,ROS!C:C,ROS!O:O)</f>
        <v>0</v>
      </c>
      <c r="BE15" s="147">
        <f t="array" ref="BE15">IFERROR(XLOOKUP(C15,ROS!T:T,ROS!U:U),"")</f>
        <v>0</v>
      </c>
      <c r="BF15" s="147">
        <f t="array" ref="BF15">XLOOKUP(R15,'Refrence Data'!B:B,'Refrence Data'!T:T)</f>
        <v>0.291667</v>
      </c>
      <c r="BG15" s="95">
        <f t="shared" si="19"/>
        <v>0</v>
      </c>
      <c r="BH15" s="4" t="str">
        <f t="shared" si="20"/>
        <v>TN</v>
      </c>
      <c r="BI15" s="153" t="s">
        <v>3447</v>
      </c>
      <c r="BJ15" s="153" t="s">
        <v>3495</v>
      </c>
      <c r="BK15" s="153" t="s">
        <v>3492</v>
      </c>
      <c r="BL15" s="153" t="s">
        <v>3496</v>
      </c>
      <c r="BM15" s="153" t="s">
        <v>3497</v>
      </c>
      <c r="BN15" s="153" t="s">
        <v>3498</v>
      </c>
      <c r="BO15" s="153"/>
      <c r="BP15" s="153" t="str">
        <f t="shared" si="26"/>
        <v>TN</v>
      </c>
      <c r="BQ15" s="153"/>
      <c r="BR15" s="168" t="s">
        <v>3524</v>
      </c>
      <c r="BS15" s="169">
        <v>0.46</v>
      </c>
      <c r="BT15" s="170">
        <v>0.69</v>
      </c>
      <c r="BU15" s="170">
        <v>0.71</v>
      </c>
      <c r="BV15" s="170">
        <v>0.66</v>
      </c>
      <c r="BW15" s="170">
        <v>0.68</v>
      </c>
      <c r="BX15" s="170">
        <v>0.68</v>
      </c>
      <c r="BZ15" s="152">
        <f>AVERAGE(BZ14:CD14)</f>
        <v>0.6775469992</v>
      </c>
    </row>
    <row r="16">
      <c r="A16" s="84">
        <v>7.30167934503E11</v>
      </c>
      <c r="B16" s="84" t="s">
        <v>3521</v>
      </c>
      <c r="C16" s="137" t="s">
        <v>799</v>
      </c>
      <c r="D16" s="138" t="s">
        <v>795</v>
      </c>
      <c r="E16" s="139" t="s">
        <v>801</v>
      </c>
      <c r="F16" s="140" t="s">
        <v>3525</v>
      </c>
      <c r="G16" s="141">
        <v>0.0</v>
      </c>
      <c r="H16" s="142">
        <v>40.88267</v>
      </c>
      <c r="I16" s="143" t="s">
        <v>112</v>
      </c>
      <c r="J16" s="83"/>
      <c r="K16" s="144">
        <v>360.0</v>
      </c>
      <c r="R16" s="145" t="str">
        <f t="shared" si="1"/>
        <v>Syrups &amp; Toppings_25+</v>
      </c>
      <c r="S16" s="146" t="str">
        <f t="shared" si="2"/>
        <v>25+</v>
      </c>
      <c r="T16" s="95" t="str">
        <f t="array" ref="T16">XLOOKUP(C16,'Depth or Width'!P:P,'Depth or Width'!V:V)</f>
        <v>Width</v>
      </c>
      <c r="U16" s="93">
        <f t="shared" si="3"/>
        <v>5</v>
      </c>
      <c r="V16" s="147">
        <f t="array" ref="V16">iferror(XLOOKUP(R16,'Refrence Data'!B:B,'Refrence Data'!W:W),"NA")</f>
        <v>5.476501</v>
      </c>
      <c r="W16" s="95">
        <f t="shared" si="4"/>
        <v>100</v>
      </c>
      <c r="Y16" s="148">
        <f t="array" ref="Y16">IFERROR(XLOOKUP(R16,'Refrence Data'!B:B,'Refrence Data'!N:N),"NA")</f>
        <v>0.617425</v>
      </c>
      <c r="Z16" s="95" t="str">
        <f t="shared" si="5"/>
        <v>MEDIUM</v>
      </c>
      <c r="AA16" s="147">
        <f t="array" ref="AA16">XLOOKUP(R16,'Refrence Data'!B:B,'Refrence Data'!AC:AC)</f>
        <v>1.140152</v>
      </c>
      <c r="AB16" s="147">
        <f t="array" ref="AB16">IFERROR(XLOOKUP(R16,'Refrence Data'!B:B,'Refrence Data'!Y:Y),"NA")</f>
        <v>3.011085</v>
      </c>
      <c r="AC16" s="95" t="str">
        <f t="shared" si="6"/>
        <v>High</v>
      </c>
      <c r="AD16" s="95" t="str">
        <f t="shared" si="7"/>
        <v>Width</v>
      </c>
      <c r="AE16" s="95" t="str">
        <f t="shared" si="8"/>
        <v>MEDIUMHighWidth</v>
      </c>
      <c r="AF16" s="95">
        <f t="array" ref="AF16">XLOOKUP(AE16,'Category Saturation'!A:A,'Category Saturation'!E:E)</f>
        <v>10</v>
      </c>
      <c r="AH16" s="148">
        <f t="array" ref="AH16">iferror(XLOOKUP(R16,'New Launch Success Rate'!A:A,'New Launch Success Rate'!F:F),"NA")</f>
        <v>0.75</v>
      </c>
      <c r="AI16" s="95">
        <f t="shared" si="9"/>
        <v>100</v>
      </c>
      <c r="AK16" s="149">
        <f t="shared" si="10"/>
        <v>73</v>
      </c>
      <c r="AM16" s="150">
        <f t="array" ref="AM16">XLOOKUP(R16,'Non Moving'!C:C,'Non Moving'!I:I)/100</f>
        <v>0.067</v>
      </c>
      <c r="AN16" s="151">
        <f t="shared" si="11"/>
        <v>100</v>
      </c>
      <c r="AO16" s="150">
        <f t="array" ref="AO16">XLOOKUP(R16,'Non Moving'!C:C,'Non Moving'!F:F)/100</f>
        <v>0.245</v>
      </c>
      <c r="AP16" s="151">
        <f t="shared" si="12"/>
        <v>100</v>
      </c>
      <c r="AR16" s="95">
        <f t="shared" si="13"/>
        <v>100</v>
      </c>
      <c r="AT16" s="95">
        <f t="shared" si="14"/>
        <v>100</v>
      </c>
      <c r="AU16" s="95">
        <f t="array" ref="AU16">iferror(XLOOKUP(J16,Monetization!A:A,Monetization!B:B),25)</f>
        <v>25</v>
      </c>
      <c r="AW16" s="95">
        <f t="shared" si="15"/>
        <v>77.5</v>
      </c>
      <c r="AY16" s="149">
        <f t="shared" si="16"/>
        <v>84.7</v>
      </c>
      <c r="AZ16" s="95" t="str">
        <f t="shared" si="17"/>
        <v>75-100</v>
      </c>
      <c r="BA16" s="95" t="str">
        <f t="shared" si="18"/>
        <v>50-75</v>
      </c>
      <c r="BB16" s="152">
        <f t="array" ref="BB16">iferror(XLOOKUP(C16,Sheet9!A:A,Sheet9!D:D),0)</f>
        <v>0.94</v>
      </c>
      <c r="BC16" s="2">
        <v>1.0</v>
      </c>
      <c r="BD16" s="95">
        <f t="array" ref="BD16">XLOOKUP(C16,ROS!C:C,ROS!O:O)</f>
        <v>1.141941</v>
      </c>
      <c r="BE16" s="147">
        <f t="array" ref="BE16">IFERROR(XLOOKUP(C16,ROS!T:T,ROS!U:U),"")</f>
        <v>0.226190476</v>
      </c>
      <c r="BF16" s="147">
        <f t="array" ref="BF16">XLOOKUP(R16,'Refrence Data'!B:B,'Refrence Data'!T:T)</f>
        <v>0.283333</v>
      </c>
      <c r="BG16" s="95">
        <f t="shared" si="19"/>
        <v>1</v>
      </c>
      <c r="BH16" s="4" t="str">
        <f t="shared" si="20"/>
        <v>TP</v>
      </c>
      <c r="BI16" s="153" t="s">
        <v>3526</v>
      </c>
      <c r="BJ16" s="151">
        <f t="shared" ref="BJ16:BJ18" si="32">COUNTIFS(BA:BA,BI16)</f>
        <v>121</v>
      </c>
      <c r="BK16" s="151" t="str">
        <f t="shared" ref="BK16:BK18" si="33">SUMIFS(BG:BG,BA:BA,BI16)</f>
        <v>#N/A</v>
      </c>
      <c r="BL16" s="151" t="str">
        <f t="shared" ref="BL16:BL18" si="34">BJ16-BK16</f>
        <v>#N/A</v>
      </c>
      <c r="BM16" s="151" t="str">
        <f t="shared" ref="BM16:BM17" si="35">BL16</f>
        <v>#N/A</v>
      </c>
      <c r="BN16" s="150" t="str">
        <f t="shared" ref="BN16:BN18" si="36">BM16/BJ16</f>
        <v>#N/A</v>
      </c>
      <c r="BO16" s="153"/>
      <c r="BP16" s="153" t="str">
        <f t="shared" si="26"/>
        <v>TP</v>
      </c>
      <c r="BQ16" s="153"/>
      <c r="BR16" s="153"/>
      <c r="BS16" s="150"/>
      <c r="BZ16" s="152"/>
      <c r="CA16" s="152"/>
      <c r="CB16" s="152"/>
      <c r="CC16" s="152"/>
      <c r="CD16" s="152"/>
    </row>
    <row r="17">
      <c r="A17" s="171" t="e">
        <v>#N/A</v>
      </c>
      <c r="B17" s="171" t="s">
        <v>3527</v>
      </c>
      <c r="C17" s="137" t="s">
        <v>3528</v>
      </c>
      <c r="D17" s="138" t="s">
        <v>180</v>
      </c>
      <c r="E17" s="139" t="s">
        <v>808</v>
      </c>
      <c r="F17" s="140" t="s">
        <v>3514</v>
      </c>
      <c r="G17" s="141">
        <v>1.0</v>
      </c>
      <c r="H17" s="142">
        <v>29.88697</v>
      </c>
      <c r="I17" s="143" t="s">
        <v>111</v>
      </c>
      <c r="J17" s="83"/>
      <c r="K17" s="144">
        <v>3.0</v>
      </c>
      <c r="R17" s="145" t="str">
        <f t="shared" si="1"/>
        <v>Fresh Juices &amp; Smoothies_25+</v>
      </c>
      <c r="S17" s="146" t="str">
        <f t="shared" si="2"/>
        <v>25+</v>
      </c>
      <c r="T17" s="95" t="str">
        <f t="array" ref="T17">XLOOKUP(C17,'Depth or Width'!P:P,'Depth or Width'!V:V)</f>
        <v>#N/A</v>
      </c>
      <c r="U17" s="93">
        <f t="shared" si="3"/>
        <v>53.33333333</v>
      </c>
      <c r="V17" s="147">
        <f t="array" ref="V17">iferror(XLOOKUP(R17,'Refrence Data'!B:B,'Refrence Data'!W:W),"NA")</f>
        <v>16.57278</v>
      </c>
      <c r="W17" s="95">
        <f t="shared" si="4"/>
        <v>0</v>
      </c>
      <c r="Y17" s="148">
        <f t="array" ref="Y17">IFERROR(XLOOKUP(R17,'Refrence Data'!B:B,'Refrence Data'!N:N),"NA")</f>
        <v>1</v>
      </c>
      <c r="Z17" s="95" t="str">
        <f t="shared" si="5"/>
        <v>HIGH</v>
      </c>
      <c r="AA17" s="147">
        <f t="array" ref="AA17">XLOOKUP(R17,'Refrence Data'!B:B,'Refrence Data'!AC:AC)</f>
        <v>24.47063</v>
      </c>
      <c r="AB17" s="147">
        <f t="array" ref="AB17">IFERROR(XLOOKUP(R17,'Refrence Data'!B:B,'Refrence Data'!Y:Y),"NA")</f>
        <v>16.57278</v>
      </c>
      <c r="AC17" s="95" t="str">
        <f t="shared" si="6"/>
        <v>High</v>
      </c>
      <c r="AD17" s="95" t="str">
        <f t="shared" si="7"/>
        <v>#N/A</v>
      </c>
      <c r="AE17" s="95" t="str">
        <f t="shared" si="8"/>
        <v>#N/A</v>
      </c>
      <c r="AF17" s="95" t="str">
        <f t="array" ref="AF17">XLOOKUP(AE17,'Category Saturation'!A:A,'Category Saturation'!E:E)</f>
        <v>#N/A</v>
      </c>
      <c r="AH17" s="148">
        <f t="array" ref="AH17">iferror(XLOOKUP(R17,'New Launch Success Rate'!A:A,'New Launch Success Rate'!F:F),"NA")</f>
        <v>0.477</v>
      </c>
      <c r="AI17" s="95">
        <f t="shared" si="9"/>
        <v>25</v>
      </c>
      <c r="AK17" s="149" t="str">
        <f t="shared" si="10"/>
        <v>#N/A</v>
      </c>
      <c r="AM17" s="150">
        <f t="array" ref="AM17">XLOOKUP(R17,'Non Moving'!C:C,'Non Moving'!I:I)/100</f>
        <v>0</v>
      </c>
      <c r="AN17" s="151">
        <f t="shared" si="11"/>
        <v>100</v>
      </c>
      <c r="AO17" s="150">
        <f t="array" ref="AO17">XLOOKUP(R17,'Non Moving'!C:C,'Non Moving'!F:F)/100</f>
        <v>0</v>
      </c>
      <c r="AP17" s="151">
        <f t="shared" si="12"/>
        <v>100</v>
      </c>
      <c r="AR17" s="95">
        <f t="shared" si="13"/>
        <v>100</v>
      </c>
      <c r="AT17" s="95">
        <f t="shared" si="14"/>
        <v>0</v>
      </c>
      <c r="AU17" s="95">
        <f t="array" ref="AU17">iferror(XLOOKUP(J17,Monetization!A:A,Monetization!B:B),25)</f>
        <v>25</v>
      </c>
      <c r="AW17" s="95">
        <f t="shared" si="15"/>
        <v>7.5</v>
      </c>
      <c r="AY17" s="149" t="str">
        <f t="shared" si="16"/>
        <v>#N/A</v>
      </c>
      <c r="AZ17" s="95" t="str">
        <f t="shared" si="17"/>
        <v>#N/A</v>
      </c>
      <c r="BA17" s="95" t="str">
        <f t="shared" si="18"/>
        <v>#N/A</v>
      </c>
      <c r="BB17" s="152">
        <f t="array" ref="BB17">iferror(XLOOKUP(C17,Sheet9!A:A,Sheet9!D:D),0)</f>
        <v>0.45</v>
      </c>
      <c r="BC17" s="2">
        <v>1.0</v>
      </c>
      <c r="BD17" s="95">
        <f t="array" ref="BD17">XLOOKUP(C17,ROS!C:C,ROS!O:O)</f>
        <v>19.03393</v>
      </c>
      <c r="BE17" s="147">
        <f t="array" ref="BE17">IFERROR(XLOOKUP(C17,ROS!T:T,ROS!U:U),"")</f>
        <v>7.626803752</v>
      </c>
      <c r="BF17" s="147">
        <f t="array" ref="BF17">XLOOKUP(R17,'Refrence Data'!B:B,'Refrence Data'!T:T)</f>
        <v>16.57278</v>
      </c>
      <c r="BG17" s="95">
        <f t="shared" si="19"/>
        <v>1</v>
      </c>
      <c r="BH17" s="4" t="str">
        <f t="shared" si="20"/>
        <v/>
      </c>
      <c r="BI17" s="153" t="s">
        <v>3529</v>
      </c>
      <c r="BJ17" s="151">
        <f t="shared" si="32"/>
        <v>53</v>
      </c>
      <c r="BK17" s="151">
        <f t="shared" si="33"/>
        <v>18</v>
      </c>
      <c r="BL17" s="151">
        <f t="shared" si="34"/>
        <v>35</v>
      </c>
      <c r="BM17" s="151">
        <f t="shared" si="35"/>
        <v>35</v>
      </c>
      <c r="BN17" s="150">
        <f t="shared" si="36"/>
        <v>0.6603773585</v>
      </c>
      <c r="BO17" s="153"/>
      <c r="BP17" s="153" t="str">
        <f t="shared" si="26"/>
        <v/>
      </c>
      <c r="BQ17" s="153"/>
      <c r="BR17" s="168" t="s">
        <v>3530</v>
      </c>
      <c r="BS17" s="172">
        <f t="shared" ref="BS17:BX17" si="37">BS8/(BS8+BS9)</f>
        <v>0.5164835165</v>
      </c>
      <c r="BT17" s="172">
        <f t="shared" si="37"/>
        <v>0.4833333333</v>
      </c>
      <c r="BU17" s="172">
        <f t="shared" si="37"/>
        <v>0.7065217391</v>
      </c>
      <c r="BV17" s="172">
        <f t="shared" si="37"/>
        <v>0.825</v>
      </c>
      <c r="BW17" s="172">
        <f t="shared" si="37"/>
        <v>0.6774193548</v>
      </c>
      <c r="BX17" s="172">
        <f t="shared" si="37"/>
        <v>0.7037037037</v>
      </c>
      <c r="BZ17" s="152">
        <f t="shared" ref="BZ17:CD17" si="38">BZ10/BZ11</f>
        <v>0.04411764706</v>
      </c>
      <c r="CA17" s="152">
        <f t="shared" si="38"/>
        <v>0.07647058824</v>
      </c>
      <c r="CB17" s="152">
        <f t="shared" si="38"/>
        <v>0.1578947368</v>
      </c>
      <c r="CC17" s="152">
        <f t="shared" si="38"/>
        <v>0.1788990826</v>
      </c>
      <c r="CD17" s="152">
        <f t="shared" si="38"/>
        <v>0.136</v>
      </c>
    </row>
    <row r="18">
      <c r="A18" s="84">
        <v>6.290361987636E12</v>
      </c>
      <c r="B18" s="84" t="s">
        <v>3513</v>
      </c>
      <c r="C18" s="137" t="s">
        <v>810</v>
      </c>
      <c r="D18" s="138" t="s">
        <v>180</v>
      </c>
      <c r="E18" s="139" t="s">
        <v>808</v>
      </c>
      <c r="F18" s="140" t="s">
        <v>3514</v>
      </c>
      <c r="G18" s="141">
        <v>0.0</v>
      </c>
      <c r="H18" s="142">
        <v>60.89012</v>
      </c>
      <c r="I18" s="143" t="s">
        <v>111</v>
      </c>
      <c r="J18" s="83"/>
      <c r="K18" s="144">
        <v>365.0</v>
      </c>
      <c r="R18" s="145" t="str">
        <f t="shared" si="1"/>
        <v>Fresh Juices &amp; Smoothies_25+</v>
      </c>
      <c r="S18" s="146" t="str">
        <f t="shared" si="2"/>
        <v>25+</v>
      </c>
      <c r="T18" s="95" t="str">
        <f t="array" ref="T18">XLOOKUP(C18,'Depth or Width'!P:P,'Depth or Width'!V:V)</f>
        <v>Depth</v>
      </c>
      <c r="U18" s="93">
        <f t="shared" si="3"/>
        <v>0.4383561644</v>
      </c>
      <c r="V18" s="147">
        <f t="array" ref="V18">iferror(XLOOKUP(R18,'Refrence Data'!B:B,'Refrence Data'!W:W),"NA")</f>
        <v>16.57278</v>
      </c>
      <c r="W18" s="95">
        <f t="shared" si="4"/>
        <v>100</v>
      </c>
      <c r="Y18" s="148">
        <f t="array" ref="Y18">IFERROR(XLOOKUP(R18,'Refrence Data'!B:B,'Refrence Data'!N:N),"NA")</f>
        <v>1</v>
      </c>
      <c r="Z18" s="95" t="str">
        <f t="shared" si="5"/>
        <v>HIGH</v>
      </c>
      <c r="AA18" s="147">
        <f t="array" ref="AA18">XLOOKUP(R18,'Refrence Data'!B:B,'Refrence Data'!AC:AC)</f>
        <v>24.47063</v>
      </c>
      <c r="AB18" s="147">
        <f t="array" ref="AB18">IFERROR(XLOOKUP(R18,'Refrence Data'!B:B,'Refrence Data'!Y:Y),"NA")</f>
        <v>16.57278</v>
      </c>
      <c r="AC18" s="95" t="str">
        <f t="shared" si="6"/>
        <v>High</v>
      </c>
      <c r="AD18" s="95" t="str">
        <f t="shared" si="7"/>
        <v>Depth</v>
      </c>
      <c r="AE18" s="95" t="str">
        <f t="shared" si="8"/>
        <v>HIGHHighDepth</v>
      </c>
      <c r="AF18" s="95">
        <f t="array" ref="AF18">XLOOKUP(AE18,'Category Saturation'!A:A,'Category Saturation'!E:E)</f>
        <v>0</v>
      </c>
      <c r="AH18" s="148">
        <f t="array" ref="AH18">iferror(XLOOKUP(R18,'New Launch Success Rate'!A:A,'New Launch Success Rate'!F:F),"NA")</f>
        <v>0.477</v>
      </c>
      <c r="AI18" s="95">
        <f t="shared" si="9"/>
        <v>25</v>
      </c>
      <c r="AK18" s="149">
        <f t="shared" si="10"/>
        <v>62.5</v>
      </c>
      <c r="AM18" s="150">
        <f t="array" ref="AM18">XLOOKUP(R18,'Non Moving'!C:C,'Non Moving'!I:I)/100</f>
        <v>0</v>
      </c>
      <c r="AN18" s="151">
        <f t="shared" si="11"/>
        <v>100</v>
      </c>
      <c r="AO18" s="150">
        <f t="array" ref="AO18">XLOOKUP(R18,'Non Moving'!C:C,'Non Moving'!F:F)/100</f>
        <v>0</v>
      </c>
      <c r="AP18" s="151">
        <f t="shared" si="12"/>
        <v>100</v>
      </c>
      <c r="AR18" s="95">
        <f t="shared" si="13"/>
        <v>100</v>
      </c>
      <c r="AT18" s="95">
        <f t="shared" si="14"/>
        <v>0</v>
      </c>
      <c r="AU18" s="95">
        <f t="array" ref="AU18">iferror(XLOOKUP(J18,Monetization!A:A,Monetization!B:B),25)</f>
        <v>25</v>
      </c>
      <c r="AW18" s="95">
        <f t="shared" si="15"/>
        <v>7.5</v>
      </c>
      <c r="AY18" s="149">
        <f t="shared" si="16"/>
        <v>66.5</v>
      </c>
      <c r="AZ18" s="95" t="str">
        <f t="shared" si="17"/>
        <v>50-75</v>
      </c>
      <c r="BA18" s="95" t="str">
        <f t="shared" si="18"/>
        <v>50-75</v>
      </c>
      <c r="BB18" s="152">
        <f t="array" ref="BB18">iferror(XLOOKUP(C18,Sheet9!A:A,Sheet9!D:D),0)</f>
        <v>0.89</v>
      </c>
      <c r="BC18" s="2">
        <v>1.0</v>
      </c>
      <c r="BD18" s="95">
        <f t="array" ref="BD18">XLOOKUP(C18,ROS!C:C,ROS!O:O)</f>
        <v>2.779004</v>
      </c>
      <c r="BE18" s="147">
        <f t="array" ref="BE18">IFERROR(XLOOKUP(C18,ROS!T:T,ROS!U:U),"")</f>
        <v>0.502777778</v>
      </c>
      <c r="BF18" s="147">
        <f t="array" ref="BF18">XLOOKUP(R18,'Refrence Data'!B:B,'Refrence Data'!T:T)</f>
        <v>16.57278</v>
      </c>
      <c r="BG18" s="95">
        <f t="shared" si="19"/>
        <v>1</v>
      </c>
      <c r="BH18" s="4" t="str">
        <f t="shared" si="20"/>
        <v>TP</v>
      </c>
      <c r="BI18" s="153" t="s">
        <v>3531</v>
      </c>
      <c r="BJ18" s="151">
        <f t="shared" si="32"/>
        <v>86</v>
      </c>
      <c r="BK18" s="151">
        <f t="shared" si="33"/>
        <v>24</v>
      </c>
      <c r="BL18" s="151">
        <f t="shared" si="34"/>
        <v>62</v>
      </c>
      <c r="BM18" s="151">
        <f>BK18</f>
        <v>24</v>
      </c>
      <c r="BN18" s="150">
        <f t="shared" si="36"/>
        <v>0.2790697674</v>
      </c>
      <c r="BO18" s="153"/>
      <c r="BP18" s="153" t="str">
        <f t="shared" si="26"/>
        <v>TP</v>
      </c>
      <c r="BQ18" s="153"/>
      <c r="BR18" s="168" t="s">
        <v>3532</v>
      </c>
      <c r="BS18" s="173">
        <f>AVERAGE(BS17:BX17)</f>
        <v>0.6520769412</v>
      </c>
      <c r="BZ18" s="148">
        <f t="shared" ref="BZ18:CD18" si="39">BZ9/BZ11</f>
        <v>0.2647058824</v>
      </c>
      <c r="CA18" s="148">
        <f t="shared" si="39"/>
        <v>0.2117647059</v>
      </c>
      <c r="CB18" s="148">
        <f t="shared" si="39"/>
        <v>0.1842105263</v>
      </c>
      <c r="CC18" s="148">
        <f t="shared" si="39"/>
        <v>0.1422018349</v>
      </c>
      <c r="CD18" s="148">
        <f t="shared" si="39"/>
        <v>0.216</v>
      </c>
    </row>
    <row r="19">
      <c r="A19" s="84">
        <v>6.291109603986E12</v>
      </c>
      <c r="B19" s="84" t="s">
        <v>3521</v>
      </c>
      <c r="C19" s="137" t="s">
        <v>821</v>
      </c>
      <c r="D19" s="138" t="s">
        <v>180</v>
      </c>
      <c r="E19" s="139" t="s">
        <v>815</v>
      </c>
      <c r="F19" s="140" t="s">
        <v>3533</v>
      </c>
      <c r="G19" s="141">
        <v>0.0</v>
      </c>
      <c r="H19" s="142">
        <v>10.4149</v>
      </c>
      <c r="I19" s="143" t="s">
        <v>112</v>
      </c>
      <c r="J19" s="83"/>
      <c r="K19" s="174">
        <v>547.0</v>
      </c>
      <c r="R19" s="145" t="str">
        <f t="shared" si="1"/>
        <v>Smoothies &amp; Refreshers_10-15</v>
      </c>
      <c r="S19" s="146" t="str">
        <f t="shared" si="2"/>
        <v>10-15</v>
      </c>
      <c r="T19" s="95" t="str">
        <f t="array" ref="T19">XLOOKUP(C19,'Depth or Width'!P:P,'Depth or Width'!V:V)</f>
        <v>Width</v>
      </c>
      <c r="U19" s="93">
        <f t="shared" si="3"/>
        <v>5</v>
      </c>
      <c r="V19" s="147">
        <f t="array" ref="V19">iferror(XLOOKUP(R19,'Refrence Data'!B:B,'Refrence Data'!W:W),"NA")</f>
        <v>25.68258</v>
      </c>
      <c r="W19" s="95">
        <f t="shared" si="4"/>
        <v>100</v>
      </c>
      <c r="Y19" s="148">
        <f t="array" ref="Y19">IFERROR(XLOOKUP(R19,'Refrence Data'!B:B,'Refrence Data'!N:N),"NA")</f>
        <v>0.8252</v>
      </c>
      <c r="Z19" s="95" t="str">
        <f t="shared" si="5"/>
        <v>HIGH</v>
      </c>
      <c r="AA19" s="147">
        <f t="array" ref="AA19">XLOOKUP(R19,'Refrence Data'!B:B,'Refrence Data'!AC:AC)</f>
        <v>1.894988</v>
      </c>
      <c r="AB19" s="147">
        <f t="array" ref="AB19">IFERROR(XLOOKUP(R19,'Refrence Data'!B:B,'Refrence Data'!Y:Y),"NA")</f>
        <v>10.3256</v>
      </c>
      <c r="AC19" s="95" t="str">
        <f t="shared" si="6"/>
        <v>High</v>
      </c>
      <c r="AD19" s="95" t="str">
        <f t="shared" si="7"/>
        <v>Width</v>
      </c>
      <c r="AE19" s="95" t="str">
        <f t="shared" si="8"/>
        <v>HIGHHighWidth</v>
      </c>
      <c r="AF19" s="95">
        <f t="array" ref="AF19">XLOOKUP(AE19,'Category Saturation'!A:A,'Category Saturation'!E:E)</f>
        <v>25</v>
      </c>
      <c r="AH19" s="148">
        <f t="array" ref="AH19">iferror(XLOOKUP(R19,'New Launch Success Rate'!A:A,'New Launch Success Rate'!F:F),"NA")</f>
        <v>0.3465</v>
      </c>
      <c r="AI19" s="95">
        <f t="shared" si="9"/>
        <v>25</v>
      </c>
      <c r="AK19" s="149">
        <f t="shared" si="10"/>
        <v>70</v>
      </c>
      <c r="AM19" s="150">
        <f t="array" ref="AM19">XLOOKUP(R19,'Non Moving'!C:C,'Non Moving'!I:I)/100</f>
        <v>0.02</v>
      </c>
      <c r="AN19" s="151">
        <f t="shared" si="11"/>
        <v>100</v>
      </c>
      <c r="AO19" s="150">
        <f t="array" ref="AO19">XLOOKUP(R19,'Non Moving'!C:C,'Non Moving'!F:F)/100</f>
        <v>0.13</v>
      </c>
      <c r="AP19" s="151">
        <f t="shared" si="12"/>
        <v>100</v>
      </c>
      <c r="AR19" s="95">
        <f t="shared" si="13"/>
        <v>100</v>
      </c>
      <c r="AT19" s="95">
        <f t="shared" si="14"/>
        <v>100</v>
      </c>
      <c r="AU19" s="95">
        <f t="array" ref="AU19">iferror(XLOOKUP(J19,Monetization!A:A,Monetization!B:B),25)</f>
        <v>25</v>
      </c>
      <c r="AW19" s="95">
        <f t="shared" si="15"/>
        <v>77.5</v>
      </c>
      <c r="AY19" s="149">
        <f t="shared" si="16"/>
        <v>83.5</v>
      </c>
      <c r="AZ19" s="95" t="str">
        <f t="shared" si="17"/>
        <v>75-100</v>
      </c>
      <c r="BA19" s="95" t="str">
        <f t="shared" si="18"/>
        <v>50-75</v>
      </c>
      <c r="BB19" s="152">
        <f t="array" ref="BB19">iferror(XLOOKUP(C19,Sheet9!A:A,Sheet9!D:D),0)</f>
        <v>0.83</v>
      </c>
      <c r="BC19" s="2">
        <v>1.0</v>
      </c>
      <c r="BD19" s="95">
        <f t="array" ref="BD19">XLOOKUP(C19,ROS!C:C,ROS!O:O)</f>
        <v>0.090909</v>
      </c>
      <c r="BE19" s="147">
        <f t="array" ref="BE19">IFERROR(XLOOKUP(C19,ROS!T:T,ROS!U:U),"")</f>
        <v>1.636363636</v>
      </c>
      <c r="BF19" s="147">
        <f t="array" ref="BF19">XLOOKUP(R19,'Refrence Data'!B:B,'Refrence Data'!T:T)</f>
        <v>4.913513</v>
      </c>
      <c r="BG19" s="95">
        <f t="shared" si="19"/>
        <v>0</v>
      </c>
      <c r="BH19" s="4" t="str">
        <f t="shared" si="20"/>
        <v>FP</v>
      </c>
      <c r="BO19" s="153"/>
      <c r="BP19" s="153" t="str">
        <f t="shared" si="26"/>
        <v>FP</v>
      </c>
      <c r="BQ19" s="153"/>
      <c r="BR19" s="153"/>
      <c r="BS19" s="153"/>
    </row>
    <row r="20">
      <c r="A20" s="84">
        <v>6.291109606017E12</v>
      </c>
      <c r="B20" s="84" t="s">
        <v>3521</v>
      </c>
      <c r="C20" s="137" t="s">
        <v>813</v>
      </c>
      <c r="D20" s="138" t="s">
        <v>180</v>
      </c>
      <c r="E20" s="139" t="s">
        <v>815</v>
      </c>
      <c r="F20" s="140" t="s">
        <v>3533</v>
      </c>
      <c r="G20" s="141">
        <v>0.0</v>
      </c>
      <c r="H20" s="142">
        <v>57.64973</v>
      </c>
      <c r="I20" s="143" t="s">
        <v>112</v>
      </c>
      <c r="J20" s="83"/>
      <c r="K20" s="144">
        <v>547.0</v>
      </c>
      <c r="R20" s="145" t="str">
        <f t="shared" si="1"/>
        <v>Smoothies &amp; Refreshers_25+</v>
      </c>
      <c r="S20" s="146" t="str">
        <f t="shared" si="2"/>
        <v>25+</v>
      </c>
      <c r="T20" s="95" t="str">
        <f t="array" ref="T20">XLOOKUP(C20,'Depth or Width'!P:P,'Depth or Width'!V:V)</f>
        <v>Width</v>
      </c>
      <c r="U20" s="93">
        <f t="shared" si="3"/>
        <v>5</v>
      </c>
      <c r="V20" s="147">
        <f t="array" ref="V20">iferror(XLOOKUP(R20,'Refrence Data'!B:B,'Refrence Data'!W:W),"NA")</f>
        <v>2.112771</v>
      </c>
      <c r="W20" s="95">
        <f t="shared" si="4"/>
        <v>0</v>
      </c>
      <c r="Y20" s="148">
        <f t="array" ref="Y20">IFERROR(XLOOKUP(R20,'Refrence Data'!B:B,'Refrence Data'!N:N),"NA")</f>
        <v>1</v>
      </c>
      <c r="Z20" s="95" t="str">
        <f t="shared" si="5"/>
        <v>HIGH</v>
      </c>
      <c r="AA20" s="147">
        <f t="array" ref="AA20">XLOOKUP(R20,'Refrence Data'!B:B,'Refrence Data'!AC:AC)</f>
        <v>1.894988</v>
      </c>
      <c r="AB20" s="147">
        <f t="array" ref="AB20">IFERROR(XLOOKUP(R20,'Refrence Data'!B:B,'Refrence Data'!Y:Y),"NA")</f>
        <v>0.396386</v>
      </c>
      <c r="AC20" s="95" t="str">
        <f t="shared" si="6"/>
        <v>Low</v>
      </c>
      <c r="AD20" s="95" t="str">
        <f t="shared" si="7"/>
        <v>Width</v>
      </c>
      <c r="AE20" s="95" t="str">
        <f t="shared" si="8"/>
        <v>HIGHLowWidth</v>
      </c>
      <c r="AF20" s="95">
        <f t="array" ref="AF20">XLOOKUP(AE20,'Category Saturation'!A:A,'Category Saturation'!E:E)</f>
        <v>15</v>
      </c>
      <c r="AH20" s="148">
        <f t="array" ref="AH20">iferror(XLOOKUP(R20,'New Launch Success Rate'!A:A,'New Launch Success Rate'!F:F),"NA")</f>
        <v>0.477</v>
      </c>
      <c r="AI20" s="95">
        <f t="shared" si="9"/>
        <v>25</v>
      </c>
      <c r="AK20" s="149">
        <f t="shared" si="10"/>
        <v>7</v>
      </c>
      <c r="AM20" s="150">
        <f t="array" ref="AM20">XLOOKUP(R20,'Non Moving'!C:C,'Non Moving'!I:I)/100</f>
        <v>0.412</v>
      </c>
      <c r="AN20" s="151">
        <f t="shared" si="11"/>
        <v>0</v>
      </c>
      <c r="AO20" s="150">
        <f t="array" ref="AO20">XLOOKUP(R20,'Non Moving'!C:C,'Non Moving'!F:F)/100</f>
        <v>0.458</v>
      </c>
      <c r="AP20" s="151">
        <f t="shared" si="12"/>
        <v>0</v>
      </c>
      <c r="AR20" s="95">
        <f t="shared" si="13"/>
        <v>0</v>
      </c>
      <c r="AT20" s="95">
        <f t="shared" si="14"/>
        <v>100</v>
      </c>
      <c r="AU20" s="95">
        <f t="array" ref="AU20">iferror(XLOOKUP(J20,Monetization!A:A,Monetization!B:B),25)</f>
        <v>25</v>
      </c>
      <c r="AW20" s="95">
        <f t="shared" si="15"/>
        <v>77.5</v>
      </c>
      <c r="AY20" s="149">
        <f t="shared" si="16"/>
        <v>18.3</v>
      </c>
      <c r="AZ20" s="95" t="str">
        <f t="shared" si="17"/>
        <v>0-25</v>
      </c>
      <c r="BA20" s="95" t="str">
        <f t="shared" si="18"/>
        <v>0-25</v>
      </c>
      <c r="BB20" s="152">
        <f t="array" ref="BB20">iferror(XLOOKUP(C20,Sheet9!A:A,Sheet9!D:D),0)</f>
        <v>0</v>
      </c>
      <c r="BC20" s="2">
        <v>1.0</v>
      </c>
      <c r="BD20" s="95">
        <f t="array" ref="BD20">XLOOKUP(C20,ROS!C:C,ROS!O:O)</f>
        <v>0</v>
      </c>
      <c r="BE20" s="147" t="str">
        <f t="array" ref="BE20">IFERROR(XLOOKUP(C20,ROS!T:T,ROS!U:U),"")</f>
        <v/>
      </c>
      <c r="BF20" s="147">
        <f t="array" ref="BF20">XLOOKUP(R20,'Refrence Data'!B:B,'Refrence Data'!T:T)</f>
        <v>1.058317</v>
      </c>
      <c r="BG20" s="95">
        <f t="shared" si="19"/>
        <v>0</v>
      </c>
      <c r="BH20" s="4" t="str">
        <f t="shared" si="20"/>
        <v/>
      </c>
      <c r="BI20" s="153" t="s">
        <v>3520</v>
      </c>
      <c r="BJ20" s="151">
        <f t="shared" ref="BJ20:BM20" si="40">SUM(BJ16:BJ19)</f>
        <v>260</v>
      </c>
      <c r="BK20" s="151" t="str">
        <f t="shared" si="40"/>
        <v>#N/A</v>
      </c>
      <c r="BL20" s="151" t="str">
        <f t="shared" si="40"/>
        <v>#N/A</v>
      </c>
      <c r="BM20" s="151" t="str">
        <f t="shared" si="40"/>
        <v>#N/A</v>
      </c>
      <c r="BN20" s="175" t="str">
        <f>BM20/BJ20</f>
        <v>#N/A</v>
      </c>
      <c r="BO20" s="153"/>
      <c r="BP20" s="153" t="str">
        <f t="shared" si="26"/>
        <v/>
      </c>
      <c r="BQ20" s="153"/>
      <c r="BR20" s="153"/>
      <c r="BS20" s="153"/>
    </row>
    <row r="21">
      <c r="A21" s="84">
        <v>6.291109606E12</v>
      </c>
      <c r="B21" s="84" t="s">
        <v>3521</v>
      </c>
      <c r="C21" s="137" t="s">
        <v>817</v>
      </c>
      <c r="D21" s="138" t="s">
        <v>180</v>
      </c>
      <c r="E21" s="139" t="s">
        <v>815</v>
      </c>
      <c r="F21" s="140" t="s">
        <v>3533</v>
      </c>
      <c r="G21" s="141">
        <v>0.0</v>
      </c>
      <c r="H21" s="142">
        <v>57.15172</v>
      </c>
      <c r="I21" s="143" t="s">
        <v>112</v>
      </c>
      <c r="J21" s="83"/>
      <c r="K21" s="174">
        <v>547.0</v>
      </c>
      <c r="R21" s="145" t="str">
        <f t="shared" si="1"/>
        <v>Smoothies &amp; Refreshers_25+</v>
      </c>
      <c r="S21" s="146" t="str">
        <f t="shared" si="2"/>
        <v>25+</v>
      </c>
      <c r="T21" s="95" t="str">
        <f t="array" ref="T21">XLOOKUP(C21,'Depth or Width'!P:P,'Depth or Width'!V:V)</f>
        <v>Width</v>
      </c>
      <c r="U21" s="93">
        <f t="shared" si="3"/>
        <v>5</v>
      </c>
      <c r="V21" s="147">
        <f t="array" ref="V21">iferror(XLOOKUP(R21,'Refrence Data'!B:B,'Refrence Data'!W:W),"NA")</f>
        <v>2.112771</v>
      </c>
      <c r="W21" s="95">
        <f t="shared" si="4"/>
        <v>0</v>
      </c>
      <c r="Y21" s="148">
        <f t="array" ref="Y21">IFERROR(XLOOKUP(R21,'Refrence Data'!B:B,'Refrence Data'!N:N),"NA")</f>
        <v>1</v>
      </c>
      <c r="Z21" s="95" t="str">
        <f t="shared" si="5"/>
        <v>HIGH</v>
      </c>
      <c r="AA21" s="147">
        <f t="array" ref="AA21">XLOOKUP(R21,'Refrence Data'!B:B,'Refrence Data'!AC:AC)</f>
        <v>1.894988</v>
      </c>
      <c r="AB21" s="147">
        <f t="array" ref="AB21">IFERROR(XLOOKUP(R21,'Refrence Data'!B:B,'Refrence Data'!Y:Y),"NA")</f>
        <v>0.396386</v>
      </c>
      <c r="AC21" s="95" t="str">
        <f t="shared" si="6"/>
        <v>Low</v>
      </c>
      <c r="AD21" s="95" t="str">
        <f t="shared" si="7"/>
        <v>Width</v>
      </c>
      <c r="AE21" s="95" t="str">
        <f t="shared" si="8"/>
        <v>HIGHLowWidth</v>
      </c>
      <c r="AF21" s="95">
        <f t="array" ref="AF21">XLOOKUP(AE21,'Category Saturation'!A:A,'Category Saturation'!E:E)</f>
        <v>15</v>
      </c>
      <c r="AH21" s="148">
        <f t="array" ref="AH21">iferror(XLOOKUP(R21,'New Launch Success Rate'!A:A,'New Launch Success Rate'!F:F),"NA")</f>
        <v>0.477</v>
      </c>
      <c r="AI21" s="95">
        <f t="shared" si="9"/>
        <v>25</v>
      </c>
      <c r="AK21" s="149">
        <f t="shared" si="10"/>
        <v>7</v>
      </c>
      <c r="AM21" s="150">
        <f t="array" ref="AM21">XLOOKUP(R21,'Non Moving'!C:C,'Non Moving'!I:I)/100</f>
        <v>0.412</v>
      </c>
      <c r="AN21" s="151">
        <f t="shared" si="11"/>
        <v>0</v>
      </c>
      <c r="AO21" s="150">
        <f t="array" ref="AO21">XLOOKUP(R21,'Non Moving'!C:C,'Non Moving'!F:F)/100</f>
        <v>0.458</v>
      </c>
      <c r="AP21" s="151">
        <f t="shared" si="12"/>
        <v>0</v>
      </c>
      <c r="AR21" s="95">
        <f t="shared" si="13"/>
        <v>0</v>
      </c>
      <c r="AT21" s="95">
        <f t="shared" si="14"/>
        <v>100</v>
      </c>
      <c r="AU21" s="95">
        <f t="array" ref="AU21">iferror(XLOOKUP(J21,Monetization!A:A,Monetization!B:B),25)</f>
        <v>25</v>
      </c>
      <c r="AW21" s="95">
        <f t="shared" si="15"/>
        <v>77.5</v>
      </c>
      <c r="AY21" s="149">
        <f t="shared" si="16"/>
        <v>18.3</v>
      </c>
      <c r="AZ21" s="95" t="str">
        <f t="shared" si="17"/>
        <v>0-25</v>
      </c>
      <c r="BA21" s="95" t="str">
        <f t="shared" si="18"/>
        <v>0-25</v>
      </c>
      <c r="BB21" s="152">
        <f t="array" ref="BB21">iferror(XLOOKUP(C21,Sheet9!A:A,Sheet9!D:D),0)</f>
        <v>0</v>
      </c>
      <c r="BC21" s="2">
        <v>1.0</v>
      </c>
      <c r="BD21" s="95">
        <f t="array" ref="BD21">XLOOKUP(C21,ROS!C:C,ROS!O:O)</f>
        <v>0</v>
      </c>
      <c r="BE21" s="147" t="str">
        <f t="array" ref="BE21">IFERROR(XLOOKUP(C21,ROS!T:T,ROS!U:U),"")</f>
        <v/>
      </c>
      <c r="BF21" s="147">
        <f t="array" ref="BF21">XLOOKUP(R21,'Refrence Data'!B:B,'Refrence Data'!T:T)</f>
        <v>1.058317</v>
      </c>
      <c r="BG21" s="95">
        <f t="shared" si="19"/>
        <v>0</v>
      </c>
      <c r="BH21" s="4" t="str">
        <f t="shared" si="20"/>
        <v/>
      </c>
      <c r="BJ21" s="151"/>
      <c r="BK21" s="151"/>
      <c r="BL21" s="151"/>
      <c r="BM21" s="151"/>
      <c r="BN21" s="150"/>
      <c r="BO21" s="153"/>
      <c r="BP21" s="153" t="str">
        <f t="shared" si="26"/>
        <v/>
      </c>
      <c r="BQ21" s="153"/>
      <c r="BR21" s="168" t="s">
        <v>3534</v>
      </c>
      <c r="BS21" s="153"/>
      <c r="BT21" s="2" t="s">
        <v>3535</v>
      </c>
    </row>
    <row r="22">
      <c r="A22" s="84">
        <v>6.291109605997E12</v>
      </c>
      <c r="B22" s="84" t="s">
        <v>3521</v>
      </c>
      <c r="C22" s="137" t="s">
        <v>818</v>
      </c>
      <c r="D22" s="138" t="s">
        <v>180</v>
      </c>
      <c r="E22" s="139" t="s">
        <v>815</v>
      </c>
      <c r="F22" s="140" t="s">
        <v>3533</v>
      </c>
      <c r="G22" s="141">
        <v>0.0</v>
      </c>
      <c r="H22" s="142">
        <v>43.43883</v>
      </c>
      <c r="I22" s="143" t="s">
        <v>112</v>
      </c>
      <c r="J22" s="83"/>
      <c r="K22" s="174">
        <v>547.0</v>
      </c>
      <c r="R22" s="145" t="str">
        <f t="shared" si="1"/>
        <v>Smoothies &amp; Refreshers_25+</v>
      </c>
      <c r="S22" s="146" t="str">
        <f t="shared" si="2"/>
        <v>25+</v>
      </c>
      <c r="T22" s="95" t="str">
        <f t="array" ref="T22">XLOOKUP(C22,'Depth or Width'!P:P,'Depth or Width'!V:V)</f>
        <v>Width</v>
      </c>
      <c r="U22" s="93">
        <f t="shared" si="3"/>
        <v>5</v>
      </c>
      <c r="V22" s="147">
        <f t="array" ref="V22">iferror(XLOOKUP(R22,'Refrence Data'!B:B,'Refrence Data'!W:W),"NA")</f>
        <v>2.112771</v>
      </c>
      <c r="W22" s="95">
        <f t="shared" si="4"/>
        <v>0</v>
      </c>
      <c r="Y22" s="148">
        <f t="array" ref="Y22">IFERROR(XLOOKUP(R22,'Refrence Data'!B:B,'Refrence Data'!N:N),"NA")</f>
        <v>1</v>
      </c>
      <c r="Z22" s="95" t="str">
        <f t="shared" si="5"/>
        <v>HIGH</v>
      </c>
      <c r="AA22" s="147">
        <f t="array" ref="AA22">XLOOKUP(R22,'Refrence Data'!B:B,'Refrence Data'!AC:AC)</f>
        <v>1.894988</v>
      </c>
      <c r="AB22" s="147">
        <f t="array" ref="AB22">IFERROR(XLOOKUP(R22,'Refrence Data'!B:B,'Refrence Data'!Y:Y),"NA")</f>
        <v>0.396386</v>
      </c>
      <c r="AC22" s="95" t="str">
        <f t="shared" si="6"/>
        <v>Low</v>
      </c>
      <c r="AD22" s="95" t="str">
        <f t="shared" si="7"/>
        <v>Width</v>
      </c>
      <c r="AE22" s="95" t="str">
        <f t="shared" si="8"/>
        <v>HIGHLowWidth</v>
      </c>
      <c r="AF22" s="95">
        <f t="array" ref="AF22">XLOOKUP(AE22,'Category Saturation'!A:A,'Category Saturation'!E:E)</f>
        <v>15</v>
      </c>
      <c r="AH22" s="148">
        <f t="array" ref="AH22">iferror(XLOOKUP(R22,'New Launch Success Rate'!A:A,'New Launch Success Rate'!F:F),"NA")</f>
        <v>0.477</v>
      </c>
      <c r="AI22" s="95">
        <f t="shared" si="9"/>
        <v>25</v>
      </c>
      <c r="AK22" s="149">
        <f t="shared" si="10"/>
        <v>7</v>
      </c>
      <c r="AM22" s="150">
        <f t="array" ref="AM22">XLOOKUP(R22,'Non Moving'!C:C,'Non Moving'!I:I)/100</f>
        <v>0.412</v>
      </c>
      <c r="AN22" s="151">
        <f t="shared" si="11"/>
        <v>0</v>
      </c>
      <c r="AO22" s="150">
        <f t="array" ref="AO22">XLOOKUP(R22,'Non Moving'!C:C,'Non Moving'!F:F)/100</f>
        <v>0.458</v>
      </c>
      <c r="AP22" s="151">
        <f t="shared" si="12"/>
        <v>0</v>
      </c>
      <c r="AR22" s="95">
        <f t="shared" si="13"/>
        <v>0</v>
      </c>
      <c r="AT22" s="95">
        <f t="shared" si="14"/>
        <v>100</v>
      </c>
      <c r="AU22" s="95">
        <f t="array" ref="AU22">iferror(XLOOKUP(J22,Monetization!A:A,Monetization!B:B),25)</f>
        <v>25</v>
      </c>
      <c r="AW22" s="95">
        <f t="shared" si="15"/>
        <v>77.5</v>
      </c>
      <c r="AY22" s="149">
        <f t="shared" si="16"/>
        <v>18.3</v>
      </c>
      <c r="AZ22" s="95" t="str">
        <f t="shared" si="17"/>
        <v>0-25</v>
      </c>
      <c r="BA22" s="95" t="str">
        <f t="shared" si="18"/>
        <v>0-25</v>
      </c>
      <c r="BB22" s="152">
        <f t="array" ref="BB22">iferror(XLOOKUP(C22,Sheet9!A:A,Sheet9!D:D),0)</f>
        <v>0</v>
      </c>
      <c r="BC22" s="2">
        <v>1.0</v>
      </c>
      <c r="BD22" s="95">
        <f t="array" ref="BD22">XLOOKUP(C22,ROS!C:C,ROS!O:O)</f>
        <v>0</v>
      </c>
      <c r="BE22" s="147" t="str">
        <f t="array" ref="BE22">IFERROR(XLOOKUP(C22,ROS!T:T,ROS!U:U),"")</f>
        <v/>
      </c>
      <c r="BF22" s="147">
        <f t="array" ref="BF22">XLOOKUP(R22,'Refrence Data'!B:B,'Refrence Data'!T:T)</f>
        <v>1.058317</v>
      </c>
      <c r="BG22" s="95">
        <f t="shared" si="19"/>
        <v>0</v>
      </c>
      <c r="BH22" s="4" t="str">
        <f t="shared" si="20"/>
        <v/>
      </c>
      <c r="BO22" s="153"/>
      <c r="BP22" s="153" t="str">
        <f t="shared" si="26"/>
        <v/>
      </c>
      <c r="BQ22" s="153"/>
      <c r="BR22" s="176" t="s">
        <v>3536</v>
      </c>
      <c r="BS22" s="153"/>
    </row>
    <row r="23">
      <c r="A23" s="84">
        <v>6.291109605584E12</v>
      </c>
      <c r="B23" s="84" t="s">
        <v>3521</v>
      </c>
      <c r="C23" s="137" t="s">
        <v>819</v>
      </c>
      <c r="D23" s="138" t="s">
        <v>180</v>
      </c>
      <c r="E23" s="139" t="s">
        <v>815</v>
      </c>
      <c r="F23" s="140" t="s">
        <v>3533</v>
      </c>
      <c r="G23" s="141">
        <v>0.0</v>
      </c>
      <c r="H23" s="142">
        <v>164.3637</v>
      </c>
      <c r="I23" s="143" t="s">
        <v>112</v>
      </c>
      <c r="J23" s="83"/>
      <c r="K23" s="174">
        <v>547.0</v>
      </c>
      <c r="R23" s="145" t="str">
        <f t="shared" si="1"/>
        <v>Smoothies &amp; Refreshers_25+</v>
      </c>
      <c r="S23" s="146" t="str">
        <f t="shared" si="2"/>
        <v>25+</v>
      </c>
      <c r="T23" s="95" t="str">
        <f t="array" ref="T23">XLOOKUP(C23,'Depth or Width'!P:P,'Depth or Width'!V:V)</f>
        <v>Width</v>
      </c>
      <c r="U23" s="93">
        <f t="shared" si="3"/>
        <v>5</v>
      </c>
      <c r="V23" s="147">
        <f t="array" ref="V23">iferror(XLOOKUP(R23,'Refrence Data'!B:B,'Refrence Data'!W:W),"NA")</f>
        <v>2.112771</v>
      </c>
      <c r="W23" s="95">
        <f t="shared" si="4"/>
        <v>0</v>
      </c>
      <c r="Y23" s="148">
        <f t="array" ref="Y23">IFERROR(XLOOKUP(R23,'Refrence Data'!B:B,'Refrence Data'!N:N),"NA")</f>
        <v>1</v>
      </c>
      <c r="Z23" s="95" t="str">
        <f t="shared" si="5"/>
        <v>HIGH</v>
      </c>
      <c r="AA23" s="147">
        <f t="array" ref="AA23">XLOOKUP(R23,'Refrence Data'!B:B,'Refrence Data'!AC:AC)</f>
        <v>1.894988</v>
      </c>
      <c r="AB23" s="147">
        <f t="array" ref="AB23">IFERROR(XLOOKUP(R23,'Refrence Data'!B:B,'Refrence Data'!Y:Y),"NA")</f>
        <v>0.396386</v>
      </c>
      <c r="AC23" s="95" t="str">
        <f t="shared" si="6"/>
        <v>Low</v>
      </c>
      <c r="AD23" s="95" t="str">
        <f t="shared" si="7"/>
        <v>Width</v>
      </c>
      <c r="AE23" s="95" t="str">
        <f t="shared" si="8"/>
        <v>HIGHLowWidth</v>
      </c>
      <c r="AF23" s="95">
        <f t="array" ref="AF23">XLOOKUP(AE23,'Category Saturation'!A:A,'Category Saturation'!E:E)</f>
        <v>15</v>
      </c>
      <c r="AH23" s="148">
        <f t="array" ref="AH23">iferror(XLOOKUP(R23,'New Launch Success Rate'!A:A,'New Launch Success Rate'!F:F),"NA")</f>
        <v>0.477</v>
      </c>
      <c r="AI23" s="95">
        <f t="shared" si="9"/>
        <v>25</v>
      </c>
      <c r="AK23" s="149">
        <f t="shared" si="10"/>
        <v>7</v>
      </c>
      <c r="AM23" s="150">
        <f t="array" ref="AM23">XLOOKUP(R23,'Non Moving'!C:C,'Non Moving'!I:I)/100</f>
        <v>0.412</v>
      </c>
      <c r="AN23" s="151">
        <f t="shared" si="11"/>
        <v>0</v>
      </c>
      <c r="AO23" s="150">
        <f t="array" ref="AO23">XLOOKUP(R23,'Non Moving'!C:C,'Non Moving'!F:F)/100</f>
        <v>0.458</v>
      </c>
      <c r="AP23" s="151">
        <f t="shared" si="12"/>
        <v>0</v>
      </c>
      <c r="AR23" s="95">
        <f t="shared" si="13"/>
        <v>0</v>
      </c>
      <c r="AT23" s="95">
        <f t="shared" si="14"/>
        <v>100</v>
      </c>
      <c r="AU23" s="95">
        <f t="array" ref="AU23">iferror(XLOOKUP(J23,Monetization!A:A,Monetization!B:B),25)</f>
        <v>25</v>
      </c>
      <c r="AW23" s="95">
        <f t="shared" si="15"/>
        <v>77.5</v>
      </c>
      <c r="AY23" s="149">
        <f t="shared" si="16"/>
        <v>18.3</v>
      </c>
      <c r="AZ23" s="95" t="str">
        <f t="shared" si="17"/>
        <v>0-25</v>
      </c>
      <c r="BA23" s="95" t="str">
        <f t="shared" si="18"/>
        <v>0-25</v>
      </c>
      <c r="BB23" s="152">
        <f t="array" ref="BB23">iferror(XLOOKUP(C23,Sheet9!A:A,Sheet9!D:D),0)</f>
        <v>0.95</v>
      </c>
      <c r="BC23" s="2">
        <v>1.0</v>
      </c>
      <c r="BD23" s="95">
        <f t="array" ref="BD23">XLOOKUP(C23,ROS!C:C,ROS!O:O)</f>
        <v>0.959041</v>
      </c>
      <c r="BE23" s="147">
        <f t="array" ref="BE23">IFERROR(XLOOKUP(C23,ROS!T:T,ROS!U:U),"")</f>
        <v>0</v>
      </c>
      <c r="BF23" s="147">
        <f t="array" ref="BF23">XLOOKUP(R23,'Refrence Data'!B:B,'Refrence Data'!T:T)</f>
        <v>1.058317</v>
      </c>
      <c r="BG23" s="95">
        <f t="shared" si="19"/>
        <v>0</v>
      </c>
      <c r="BH23" s="4" t="str">
        <f t="shared" si="20"/>
        <v>TN</v>
      </c>
      <c r="BO23" s="153"/>
      <c r="BP23" s="153" t="str">
        <f t="shared" si="26"/>
        <v>TN</v>
      </c>
      <c r="BQ23" s="153"/>
      <c r="BR23" s="176" t="s">
        <v>3537</v>
      </c>
      <c r="BS23" s="176" t="s">
        <v>3538</v>
      </c>
    </row>
    <row r="24">
      <c r="A24" s="84">
        <v>6.29110960556E12</v>
      </c>
      <c r="B24" s="84" t="s">
        <v>3521</v>
      </c>
      <c r="C24" s="137" t="s">
        <v>820</v>
      </c>
      <c r="D24" s="138" t="s">
        <v>180</v>
      </c>
      <c r="E24" s="139" t="s">
        <v>815</v>
      </c>
      <c r="F24" s="140" t="s">
        <v>3533</v>
      </c>
      <c r="G24" s="141">
        <v>0.0</v>
      </c>
      <c r="H24" s="142">
        <v>10.16581</v>
      </c>
      <c r="I24" s="143" t="s">
        <v>112</v>
      </c>
      <c r="J24" s="83"/>
      <c r="K24" s="174">
        <v>547.0</v>
      </c>
      <c r="R24" s="145" t="str">
        <f t="shared" si="1"/>
        <v>Smoothies &amp; Refreshers_10-15</v>
      </c>
      <c r="S24" s="146" t="str">
        <f t="shared" si="2"/>
        <v>10-15</v>
      </c>
      <c r="T24" s="95" t="str">
        <f t="array" ref="T24">XLOOKUP(C24,'Depth or Width'!P:P,'Depth or Width'!V:V)</f>
        <v>Width</v>
      </c>
      <c r="U24" s="93">
        <f t="shared" si="3"/>
        <v>5</v>
      </c>
      <c r="V24" s="147">
        <f t="array" ref="V24">iferror(XLOOKUP(R24,'Refrence Data'!B:B,'Refrence Data'!W:W),"NA")</f>
        <v>25.68258</v>
      </c>
      <c r="W24" s="95">
        <f t="shared" si="4"/>
        <v>100</v>
      </c>
      <c r="Y24" s="148">
        <f t="array" ref="Y24">IFERROR(XLOOKUP(R24,'Refrence Data'!B:B,'Refrence Data'!N:N),"NA")</f>
        <v>0.8252</v>
      </c>
      <c r="Z24" s="95" t="str">
        <f t="shared" si="5"/>
        <v>HIGH</v>
      </c>
      <c r="AA24" s="147">
        <f t="array" ref="AA24">XLOOKUP(R24,'Refrence Data'!B:B,'Refrence Data'!AC:AC)</f>
        <v>1.894988</v>
      </c>
      <c r="AB24" s="147">
        <f t="array" ref="AB24">IFERROR(XLOOKUP(R24,'Refrence Data'!B:B,'Refrence Data'!Y:Y),"NA")</f>
        <v>10.3256</v>
      </c>
      <c r="AC24" s="95" t="str">
        <f t="shared" si="6"/>
        <v>High</v>
      </c>
      <c r="AD24" s="95" t="str">
        <f t="shared" si="7"/>
        <v>Width</v>
      </c>
      <c r="AE24" s="95" t="str">
        <f t="shared" si="8"/>
        <v>HIGHHighWidth</v>
      </c>
      <c r="AF24" s="95">
        <f t="array" ref="AF24">XLOOKUP(AE24,'Category Saturation'!A:A,'Category Saturation'!E:E)</f>
        <v>25</v>
      </c>
      <c r="AH24" s="148">
        <f t="array" ref="AH24">iferror(XLOOKUP(R24,'New Launch Success Rate'!A:A,'New Launch Success Rate'!F:F),"NA")</f>
        <v>0.3465</v>
      </c>
      <c r="AI24" s="95">
        <f t="shared" si="9"/>
        <v>25</v>
      </c>
      <c r="AK24" s="149">
        <f t="shared" si="10"/>
        <v>70</v>
      </c>
      <c r="AM24" s="150">
        <f t="array" ref="AM24">XLOOKUP(R24,'Non Moving'!C:C,'Non Moving'!I:I)/100</f>
        <v>0.02</v>
      </c>
      <c r="AN24" s="151">
        <f t="shared" si="11"/>
        <v>100</v>
      </c>
      <c r="AO24" s="150">
        <f t="array" ref="AO24">XLOOKUP(R24,'Non Moving'!C:C,'Non Moving'!F:F)/100</f>
        <v>0.13</v>
      </c>
      <c r="AP24" s="151">
        <f t="shared" si="12"/>
        <v>100</v>
      </c>
      <c r="AR24" s="95">
        <f t="shared" si="13"/>
        <v>100</v>
      </c>
      <c r="AT24" s="95">
        <f t="shared" si="14"/>
        <v>100</v>
      </c>
      <c r="AU24" s="95">
        <f t="array" ref="AU24">iferror(XLOOKUP(J24,Monetization!A:A,Monetization!B:B),25)</f>
        <v>25</v>
      </c>
      <c r="AW24" s="95">
        <f t="shared" si="15"/>
        <v>77.5</v>
      </c>
      <c r="AY24" s="149">
        <f t="shared" si="16"/>
        <v>83.5</v>
      </c>
      <c r="AZ24" s="95" t="str">
        <f t="shared" si="17"/>
        <v>75-100</v>
      </c>
      <c r="BA24" s="95" t="str">
        <f t="shared" si="18"/>
        <v>50-75</v>
      </c>
      <c r="BB24" s="152">
        <f t="array" ref="BB24">iferror(XLOOKUP(C24,Sheet9!A:A,Sheet9!D:D),0)</f>
        <v>0.82</v>
      </c>
      <c r="BC24" s="2">
        <v>1.0</v>
      </c>
      <c r="BD24" s="95">
        <f t="array" ref="BD24">XLOOKUP(C24,ROS!C:C,ROS!O:O)</f>
        <v>0</v>
      </c>
      <c r="BE24" s="147">
        <f t="array" ref="BE24">IFERROR(XLOOKUP(C24,ROS!T:T,ROS!U:U),"")</f>
        <v>4.335714286</v>
      </c>
      <c r="BF24" s="147">
        <f t="array" ref="BF24">XLOOKUP(R24,'Refrence Data'!B:B,'Refrence Data'!T:T)</f>
        <v>4.913513</v>
      </c>
      <c r="BG24" s="95">
        <f t="shared" si="19"/>
        <v>0</v>
      </c>
      <c r="BH24" s="4" t="str">
        <f t="shared" si="20"/>
        <v>FP</v>
      </c>
      <c r="BO24" s="153"/>
      <c r="BP24" s="153" t="str">
        <f t="shared" si="26"/>
        <v>FP</v>
      </c>
      <c r="BQ24" s="153"/>
      <c r="BR24" s="176" t="s">
        <v>3539</v>
      </c>
      <c r="BS24" s="176" t="s">
        <v>3540</v>
      </c>
    </row>
    <row r="25">
      <c r="A25" s="171">
        <v>6.291109604754E12</v>
      </c>
      <c r="B25" s="171" t="s">
        <v>3521</v>
      </c>
      <c r="C25" s="137" t="s">
        <v>1319</v>
      </c>
      <c r="D25" s="138" t="s">
        <v>180</v>
      </c>
      <c r="E25" s="139" t="s">
        <v>815</v>
      </c>
      <c r="F25" s="140" t="s">
        <v>3533</v>
      </c>
      <c r="G25" s="141">
        <v>0.0</v>
      </c>
      <c r="H25" s="142">
        <v>175.6141</v>
      </c>
      <c r="I25" s="143" t="s">
        <v>112</v>
      </c>
      <c r="J25" s="83"/>
      <c r="K25" s="174">
        <v>547.0</v>
      </c>
      <c r="R25" s="145" t="str">
        <f t="shared" si="1"/>
        <v>Smoothies &amp; Refreshers_25+</v>
      </c>
      <c r="S25" s="146" t="str">
        <f t="shared" si="2"/>
        <v>25+</v>
      </c>
      <c r="T25" s="95" t="str">
        <f t="array" ref="T25">XLOOKUP(C25,'Depth or Width'!P:P,'Depth or Width'!V:V)</f>
        <v>Width</v>
      </c>
      <c r="U25" s="93">
        <f t="shared" si="3"/>
        <v>5</v>
      </c>
      <c r="V25" s="147">
        <f t="array" ref="V25">iferror(XLOOKUP(R25,'Refrence Data'!B:B,'Refrence Data'!W:W),"NA")</f>
        <v>2.112771</v>
      </c>
      <c r="W25" s="95">
        <f t="shared" si="4"/>
        <v>0</v>
      </c>
      <c r="Y25" s="148">
        <f t="array" ref="Y25">IFERROR(XLOOKUP(R25,'Refrence Data'!B:B,'Refrence Data'!N:N),"NA")</f>
        <v>1</v>
      </c>
      <c r="Z25" s="95" t="str">
        <f t="shared" si="5"/>
        <v>HIGH</v>
      </c>
      <c r="AA25" s="147">
        <f t="array" ref="AA25">XLOOKUP(R25,'Refrence Data'!B:B,'Refrence Data'!AC:AC)</f>
        <v>1.894988</v>
      </c>
      <c r="AB25" s="147">
        <f t="array" ref="AB25">IFERROR(XLOOKUP(R25,'Refrence Data'!B:B,'Refrence Data'!Y:Y),"NA")</f>
        <v>0.396386</v>
      </c>
      <c r="AC25" s="95" t="str">
        <f t="shared" si="6"/>
        <v>Low</v>
      </c>
      <c r="AD25" s="95" t="str">
        <f t="shared" si="7"/>
        <v>Width</v>
      </c>
      <c r="AE25" s="95" t="str">
        <f t="shared" si="8"/>
        <v>HIGHLowWidth</v>
      </c>
      <c r="AF25" s="95">
        <f t="array" ref="AF25">XLOOKUP(AE25,'Category Saturation'!A:A,'Category Saturation'!E:E)</f>
        <v>15</v>
      </c>
      <c r="AH25" s="148">
        <f t="array" ref="AH25">iferror(XLOOKUP(R25,'New Launch Success Rate'!A:A,'New Launch Success Rate'!F:F),"NA")</f>
        <v>0.477</v>
      </c>
      <c r="AI25" s="95">
        <f t="shared" si="9"/>
        <v>25</v>
      </c>
      <c r="AK25" s="149">
        <f t="shared" si="10"/>
        <v>7</v>
      </c>
      <c r="AM25" s="150">
        <f t="array" ref="AM25">XLOOKUP(R25,'Non Moving'!C:C,'Non Moving'!I:I)/100</f>
        <v>0.412</v>
      </c>
      <c r="AN25" s="151">
        <f t="shared" si="11"/>
        <v>0</v>
      </c>
      <c r="AO25" s="150">
        <f t="array" ref="AO25">XLOOKUP(R25,'Non Moving'!C:C,'Non Moving'!F:F)/100</f>
        <v>0.458</v>
      </c>
      <c r="AP25" s="151">
        <f t="shared" si="12"/>
        <v>0</v>
      </c>
      <c r="AR25" s="95">
        <f t="shared" si="13"/>
        <v>0</v>
      </c>
      <c r="AT25" s="95">
        <f t="shared" si="14"/>
        <v>100</v>
      </c>
      <c r="AU25" s="95">
        <f t="array" ref="AU25">iferror(XLOOKUP(J25,Monetization!A:A,Monetization!B:B),25)</f>
        <v>25</v>
      </c>
      <c r="AW25" s="95">
        <f t="shared" si="15"/>
        <v>77.5</v>
      </c>
      <c r="AY25" s="149">
        <f t="shared" si="16"/>
        <v>18.3</v>
      </c>
      <c r="AZ25" s="95" t="str">
        <f t="shared" si="17"/>
        <v>0-25</v>
      </c>
      <c r="BA25" s="95" t="str">
        <f t="shared" si="18"/>
        <v>0-25</v>
      </c>
      <c r="BB25" s="152">
        <f t="array" ref="BB25">iferror(XLOOKUP(C25,Sheet9!A:A,Sheet9!D:D),0)</f>
        <v>0.95</v>
      </c>
      <c r="BC25" s="2">
        <v>1.0</v>
      </c>
      <c r="BD25" s="95">
        <f t="array" ref="BD25">XLOOKUP(C25,ROS!C:C,ROS!O:O)</f>
        <v>0</v>
      </c>
      <c r="BE25" s="147">
        <f t="array" ref="BE25">IFERROR(XLOOKUP(C25,ROS!T:T,ROS!U:U),"")</f>
        <v>0</v>
      </c>
      <c r="BF25" s="147">
        <f t="array" ref="BF25">XLOOKUP(R25,'Refrence Data'!B:B,'Refrence Data'!T:T)</f>
        <v>1.058317</v>
      </c>
      <c r="BG25" s="95">
        <f t="shared" si="19"/>
        <v>0</v>
      </c>
      <c r="BH25" s="4" t="str">
        <f t="shared" si="20"/>
        <v>TN</v>
      </c>
      <c r="BO25" s="153"/>
      <c r="BP25" s="153" t="str">
        <f t="shared" si="26"/>
        <v>TN</v>
      </c>
      <c r="BQ25" s="153"/>
      <c r="BR25" s="176" t="s">
        <v>3541</v>
      </c>
      <c r="BS25" s="153"/>
    </row>
    <row r="26">
      <c r="A26" s="171">
        <v>8.908017962576E12</v>
      </c>
      <c r="B26" s="171" t="s">
        <v>3521</v>
      </c>
      <c r="C26" s="137" t="s">
        <v>1076</v>
      </c>
      <c r="D26" s="138" t="s">
        <v>616</v>
      </c>
      <c r="E26" s="139" t="s">
        <v>622</v>
      </c>
      <c r="F26" s="140" t="s">
        <v>3542</v>
      </c>
      <c r="G26" s="141">
        <v>0.0</v>
      </c>
      <c r="H26" s="142">
        <v>9.992104</v>
      </c>
      <c r="I26" s="143" t="s">
        <v>112</v>
      </c>
      <c r="J26" s="83"/>
      <c r="K26" s="174">
        <v>365.0</v>
      </c>
      <c r="R26" s="145" t="str">
        <f t="shared" si="1"/>
        <v>Noodles &amp; Soup_5-10</v>
      </c>
      <c r="S26" s="146" t="str">
        <f t="shared" si="2"/>
        <v>5-10</v>
      </c>
      <c r="T26" s="95" t="str">
        <f t="array" ref="T26">XLOOKUP(C26,'Depth or Width'!P:P,'Depth or Width'!V:V)</f>
        <v>Depth</v>
      </c>
      <c r="U26" s="93">
        <f t="shared" si="3"/>
        <v>5</v>
      </c>
      <c r="V26" s="147">
        <f t="array" ref="V26">iferror(XLOOKUP(R26,'Refrence Data'!B:B,'Refrence Data'!W:W),"NA")</f>
        <v>5.347041</v>
      </c>
      <c r="W26" s="95">
        <f t="shared" si="4"/>
        <v>100</v>
      </c>
      <c r="Y26" s="148">
        <f t="array" ref="Y26">IFERROR(XLOOKUP(R26,'Refrence Data'!B:B,'Refrence Data'!N:N),"NA")</f>
        <v>0.61668</v>
      </c>
      <c r="Z26" s="95" t="str">
        <f t="shared" si="5"/>
        <v>MEDIUM</v>
      </c>
      <c r="AA26" s="147">
        <f t="array" ref="AA26">XLOOKUP(R26,'Refrence Data'!B:B,'Refrence Data'!AC:AC)</f>
        <v>3.10509</v>
      </c>
      <c r="AB26" s="147">
        <f t="array" ref="AB26">IFERROR(XLOOKUP(R26,'Refrence Data'!B:B,'Refrence Data'!Y:Y),"NA")</f>
        <v>6.422177</v>
      </c>
      <c r="AC26" s="95" t="str">
        <f t="shared" si="6"/>
        <v>High</v>
      </c>
      <c r="AD26" s="95" t="str">
        <f t="shared" si="7"/>
        <v>Depth</v>
      </c>
      <c r="AE26" s="95" t="str">
        <f t="shared" si="8"/>
        <v>MEDIUMHighDepth</v>
      </c>
      <c r="AF26" s="95">
        <f t="array" ref="AF26">XLOOKUP(AE26,'Category Saturation'!A:A,'Category Saturation'!E:E)</f>
        <v>60</v>
      </c>
      <c r="AH26" s="148">
        <f t="array" ref="AH26">iferror(XLOOKUP(R26,'New Launch Success Rate'!A:A,'New Launch Success Rate'!F:F),"NA")</f>
        <v>0.8</v>
      </c>
      <c r="AI26" s="95">
        <f t="shared" si="9"/>
        <v>100</v>
      </c>
      <c r="AK26" s="149">
        <f t="shared" si="10"/>
        <v>88</v>
      </c>
      <c r="AM26" s="150">
        <f t="array" ref="AM26">XLOOKUP(R26,'Non Moving'!C:C,'Non Moving'!I:I)/100</f>
        <v>0.024</v>
      </c>
      <c r="AN26" s="151">
        <f t="shared" si="11"/>
        <v>100</v>
      </c>
      <c r="AO26" s="150">
        <f t="array" ref="AO26">XLOOKUP(R26,'Non Moving'!C:C,'Non Moving'!F:F)/100</f>
        <v>0.13</v>
      </c>
      <c r="AP26" s="151">
        <f t="shared" si="12"/>
        <v>100</v>
      </c>
      <c r="AR26" s="95">
        <f t="shared" si="13"/>
        <v>100</v>
      </c>
      <c r="AT26" s="95">
        <f t="shared" si="14"/>
        <v>100</v>
      </c>
      <c r="AU26" s="95">
        <f t="array" ref="AU26">iferror(XLOOKUP(J26,Monetization!A:A,Monetization!B:B),25)</f>
        <v>25</v>
      </c>
      <c r="AW26" s="95">
        <f t="shared" si="15"/>
        <v>77.5</v>
      </c>
      <c r="AY26" s="149">
        <f t="shared" si="16"/>
        <v>90.7</v>
      </c>
      <c r="AZ26" s="95" t="str">
        <f t="shared" si="17"/>
        <v>75-100</v>
      </c>
      <c r="BA26" s="95" t="str">
        <f t="shared" si="18"/>
        <v>75-100</v>
      </c>
      <c r="BB26" s="152">
        <f t="array" ref="BB26">iferror(XLOOKUP(C26,Sheet9!A:A,Sheet9!D:D),0)</f>
        <v>1</v>
      </c>
      <c r="BC26" s="2">
        <v>1.0</v>
      </c>
      <c r="BD26" s="95">
        <f t="array" ref="BD26">XLOOKUP(C26,ROS!C:C,ROS!O:O)</f>
        <v>0</v>
      </c>
      <c r="BE26" s="147">
        <f t="array" ref="BE26">IFERROR(XLOOKUP(C26,ROS!T:T,ROS!U:U),"")</f>
        <v>0</v>
      </c>
      <c r="BF26" s="147">
        <f t="array" ref="BF26">XLOOKUP(R26,'Refrence Data'!B:B,'Refrence Data'!T:T)</f>
        <v>1</v>
      </c>
      <c r="BG26" s="95">
        <f t="shared" si="19"/>
        <v>0</v>
      </c>
      <c r="BH26" s="4" t="str">
        <f t="shared" si="20"/>
        <v>FP</v>
      </c>
      <c r="BO26" s="153"/>
      <c r="BP26" s="153" t="str">
        <f t="shared" si="26"/>
        <v>FP</v>
      </c>
      <c r="BQ26" s="153"/>
      <c r="BR26" s="176" t="s">
        <v>3543</v>
      </c>
      <c r="BS26" s="153"/>
    </row>
    <row r="27">
      <c r="A27" s="171">
        <v>6.291109603559E12</v>
      </c>
      <c r="B27" s="171" t="s">
        <v>3521</v>
      </c>
      <c r="C27" s="137" t="s">
        <v>822</v>
      </c>
      <c r="D27" s="138" t="s">
        <v>180</v>
      </c>
      <c r="E27" s="139" t="s">
        <v>815</v>
      </c>
      <c r="F27" s="140" t="s">
        <v>3533</v>
      </c>
      <c r="G27" s="141">
        <v>0.0</v>
      </c>
      <c r="H27" s="142">
        <v>7.531348</v>
      </c>
      <c r="I27" s="143" t="s">
        <v>112</v>
      </c>
      <c r="J27" s="83"/>
      <c r="K27" s="174">
        <v>547.0</v>
      </c>
      <c r="R27" s="145" t="str">
        <f t="shared" si="1"/>
        <v>Smoothies &amp; Refreshers_5-10</v>
      </c>
      <c r="S27" s="146" t="str">
        <f t="shared" si="2"/>
        <v>5-10</v>
      </c>
      <c r="T27" s="95" t="str">
        <f t="array" ref="T27">XLOOKUP(C27,'Depth or Width'!P:P,'Depth or Width'!V:V)</f>
        <v>Width</v>
      </c>
      <c r="U27" s="93">
        <f t="shared" si="3"/>
        <v>5</v>
      </c>
      <c r="V27" s="147">
        <f t="array" ref="V27">iferror(XLOOKUP(R27,'Refrence Data'!B:B,'Refrence Data'!W:W),"NA")</f>
        <v>9.474938</v>
      </c>
      <c r="W27" s="95">
        <f t="shared" si="4"/>
        <v>100</v>
      </c>
      <c r="Y27" s="148">
        <f t="array" ref="Y27">IFERROR(XLOOKUP(R27,'Refrence Data'!B:B,'Refrence Data'!N:N),"NA")</f>
        <v>1</v>
      </c>
      <c r="Z27" s="95" t="str">
        <f t="shared" si="5"/>
        <v>HIGH</v>
      </c>
      <c r="AA27" s="147">
        <f t="array" ref="AA27">XLOOKUP(R27,'Refrence Data'!B:B,'Refrence Data'!AC:AC)</f>
        <v>1.894988</v>
      </c>
      <c r="AB27" s="147">
        <f t="array" ref="AB27">IFERROR(XLOOKUP(R27,'Refrence Data'!B:B,'Refrence Data'!Y:Y),"NA")</f>
        <v>1.894988</v>
      </c>
      <c r="AC27" s="95" t="str">
        <f t="shared" si="6"/>
        <v>High</v>
      </c>
      <c r="AD27" s="95" t="str">
        <f t="shared" si="7"/>
        <v>Width</v>
      </c>
      <c r="AE27" s="95" t="str">
        <f t="shared" si="8"/>
        <v>HIGHHighWidth</v>
      </c>
      <c r="AF27" s="95">
        <f t="array" ref="AF27">XLOOKUP(AE27,'Category Saturation'!A:A,'Category Saturation'!E:E)</f>
        <v>25</v>
      </c>
      <c r="AH27" s="148">
        <f t="array" ref="AH27">iferror(XLOOKUP(R27,'New Launch Success Rate'!A:A,'New Launch Success Rate'!F:F),"NA")</f>
        <v>0.15</v>
      </c>
      <c r="AI27" s="95">
        <f t="shared" si="9"/>
        <v>0</v>
      </c>
      <c r="AK27" s="149">
        <f t="shared" si="10"/>
        <v>67.5</v>
      </c>
      <c r="AM27" s="150">
        <f t="array" ref="AM27">XLOOKUP(R27,'Non Moving'!C:C,'Non Moving'!I:I)/100</f>
        <v>0.02</v>
      </c>
      <c r="AN27" s="151">
        <f t="shared" si="11"/>
        <v>100</v>
      </c>
      <c r="AO27" s="150">
        <f t="array" ref="AO27">XLOOKUP(R27,'Non Moving'!C:C,'Non Moving'!F:F)/100</f>
        <v>0.111</v>
      </c>
      <c r="AP27" s="151">
        <f t="shared" si="12"/>
        <v>100</v>
      </c>
      <c r="AR27" s="95">
        <f t="shared" si="13"/>
        <v>100</v>
      </c>
      <c r="AT27" s="95">
        <f t="shared" si="14"/>
        <v>100</v>
      </c>
      <c r="AU27" s="95">
        <f t="array" ref="AU27">iferror(XLOOKUP(J27,Monetization!A:A,Monetization!B:B),25)</f>
        <v>25</v>
      </c>
      <c r="AW27" s="95">
        <f t="shared" si="15"/>
        <v>77.5</v>
      </c>
      <c r="AY27" s="149">
        <f t="shared" si="16"/>
        <v>82.5</v>
      </c>
      <c r="AZ27" s="95" t="str">
        <f t="shared" si="17"/>
        <v>75-100</v>
      </c>
      <c r="BA27" s="95" t="str">
        <f t="shared" si="18"/>
        <v>50-75</v>
      </c>
      <c r="BB27" s="152">
        <f t="array" ref="BB27">iferror(XLOOKUP(C27,Sheet9!A:A,Sheet9!D:D),0)</f>
        <v>0.81</v>
      </c>
      <c r="BC27" s="2">
        <v>1.0</v>
      </c>
      <c r="BD27" s="95">
        <f t="array" ref="BD27">XLOOKUP(C27,ROS!C:C,ROS!O:O)</f>
        <v>0</v>
      </c>
      <c r="BE27" s="147">
        <f t="array" ref="BE27">IFERROR(XLOOKUP(C27,ROS!T:T,ROS!U:U),"")</f>
        <v>10.99239094</v>
      </c>
      <c r="BF27" s="147">
        <f t="array" ref="BF27">XLOOKUP(R27,'Refrence Data'!B:B,'Refrence Data'!T:T)</f>
        <v>9.474938</v>
      </c>
      <c r="BG27" s="95">
        <f t="shared" si="19"/>
        <v>1</v>
      </c>
      <c r="BH27" s="4" t="str">
        <f t="shared" si="20"/>
        <v>TP</v>
      </c>
      <c r="BO27" s="153"/>
      <c r="BP27" s="153" t="str">
        <f t="shared" si="26"/>
        <v>TP</v>
      </c>
      <c r="BQ27" s="153"/>
      <c r="BR27" s="176" t="s">
        <v>3544</v>
      </c>
      <c r="BS27" s="153"/>
    </row>
    <row r="28">
      <c r="A28" s="171">
        <v>6.291109603047E12</v>
      </c>
      <c r="B28" s="171" t="s">
        <v>3521</v>
      </c>
      <c r="C28" s="137" t="s">
        <v>823</v>
      </c>
      <c r="D28" s="138" t="s">
        <v>180</v>
      </c>
      <c r="E28" s="139" t="s">
        <v>815</v>
      </c>
      <c r="F28" s="140" t="s">
        <v>3533</v>
      </c>
      <c r="G28" s="141">
        <v>0.0</v>
      </c>
      <c r="H28" s="142">
        <v>76.03991</v>
      </c>
      <c r="I28" s="143" t="s">
        <v>112</v>
      </c>
      <c r="J28" s="83"/>
      <c r="K28" s="174">
        <v>730.0</v>
      </c>
      <c r="R28" s="145" t="str">
        <f t="shared" si="1"/>
        <v>Smoothies &amp; Refreshers_25+</v>
      </c>
      <c r="S28" s="146" t="str">
        <f t="shared" si="2"/>
        <v>25+</v>
      </c>
      <c r="T28" s="95" t="str">
        <f t="array" ref="T28">XLOOKUP(C28,'Depth or Width'!P:P,'Depth or Width'!V:V)</f>
        <v>Width</v>
      </c>
      <c r="U28" s="93">
        <f t="shared" si="3"/>
        <v>5</v>
      </c>
      <c r="V28" s="147">
        <f t="array" ref="V28">iferror(XLOOKUP(R28,'Refrence Data'!B:B,'Refrence Data'!W:W),"NA")</f>
        <v>2.112771</v>
      </c>
      <c r="W28" s="95">
        <f t="shared" si="4"/>
        <v>0</v>
      </c>
      <c r="Y28" s="148">
        <f t="array" ref="Y28">IFERROR(XLOOKUP(R28,'Refrence Data'!B:B,'Refrence Data'!N:N),"NA")</f>
        <v>1</v>
      </c>
      <c r="Z28" s="95" t="str">
        <f t="shared" si="5"/>
        <v>HIGH</v>
      </c>
      <c r="AA28" s="147">
        <f t="array" ref="AA28">XLOOKUP(R28,'Refrence Data'!B:B,'Refrence Data'!AC:AC)</f>
        <v>1.894988</v>
      </c>
      <c r="AB28" s="147">
        <f t="array" ref="AB28">IFERROR(XLOOKUP(R28,'Refrence Data'!B:B,'Refrence Data'!Y:Y),"NA")</f>
        <v>0.396386</v>
      </c>
      <c r="AC28" s="95" t="str">
        <f t="shared" si="6"/>
        <v>Low</v>
      </c>
      <c r="AD28" s="95" t="str">
        <f t="shared" si="7"/>
        <v>Width</v>
      </c>
      <c r="AE28" s="95" t="str">
        <f t="shared" si="8"/>
        <v>HIGHLowWidth</v>
      </c>
      <c r="AF28" s="95">
        <f t="array" ref="AF28">XLOOKUP(AE28,'Category Saturation'!A:A,'Category Saturation'!E:E)</f>
        <v>15</v>
      </c>
      <c r="AH28" s="148">
        <f t="array" ref="AH28">iferror(XLOOKUP(R28,'New Launch Success Rate'!A:A,'New Launch Success Rate'!F:F),"NA")</f>
        <v>0.477</v>
      </c>
      <c r="AI28" s="95">
        <f t="shared" si="9"/>
        <v>25</v>
      </c>
      <c r="AK28" s="149">
        <f t="shared" si="10"/>
        <v>7</v>
      </c>
      <c r="AM28" s="150">
        <f t="array" ref="AM28">XLOOKUP(R28,'Non Moving'!C:C,'Non Moving'!I:I)/100</f>
        <v>0.412</v>
      </c>
      <c r="AN28" s="151">
        <f t="shared" si="11"/>
        <v>0</v>
      </c>
      <c r="AO28" s="150">
        <f t="array" ref="AO28">XLOOKUP(R28,'Non Moving'!C:C,'Non Moving'!F:F)/100</f>
        <v>0.458</v>
      </c>
      <c r="AP28" s="151">
        <f t="shared" si="12"/>
        <v>0</v>
      </c>
      <c r="AR28" s="95">
        <f t="shared" si="13"/>
        <v>0</v>
      </c>
      <c r="AT28" s="95">
        <f t="shared" si="14"/>
        <v>100</v>
      </c>
      <c r="AU28" s="95">
        <f t="array" ref="AU28">iferror(XLOOKUP(J28,Monetization!A:A,Monetization!B:B),25)</f>
        <v>25</v>
      </c>
      <c r="AW28" s="95">
        <f t="shared" si="15"/>
        <v>77.5</v>
      </c>
      <c r="AY28" s="149">
        <f t="shared" si="16"/>
        <v>18.3</v>
      </c>
      <c r="AZ28" s="95" t="str">
        <f t="shared" si="17"/>
        <v>0-25</v>
      </c>
      <c r="BA28" s="95" t="str">
        <f t="shared" si="18"/>
        <v>0-25</v>
      </c>
      <c r="BB28" s="152">
        <f t="array" ref="BB28">iferror(XLOOKUP(C28,Sheet9!A:A,Sheet9!D:D),0)</f>
        <v>0.95</v>
      </c>
      <c r="BC28" s="2">
        <v>1.0</v>
      </c>
      <c r="BD28" s="95">
        <f t="array" ref="BD28">XLOOKUP(C28,ROS!C:C,ROS!O:O)</f>
        <v>0</v>
      </c>
      <c r="BE28" s="147">
        <f t="array" ref="BE28">IFERROR(XLOOKUP(C28,ROS!T:T,ROS!U:U),"")</f>
        <v>0</v>
      </c>
      <c r="BF28" s="147">
        <f t="array" ref="BF28">XLOOKUP(R28,'Refrence Data'!B:B,'Refrence Data'!T:T)</f>
        <v>1.058317</v>
      </c>
      <c r="BG28" s="95">
        <f t="shared" si="19"/>
        <v>0</v>
      </c>
      <c r="BH28" s="4" t="str">
        <f t="shared" si="20"/>
        <v>TN</v>
      </c>
      <c r="BO28" s="153"/>
      <c r="BP28" s="153" t="str">
        <f t="shared" si="26"/>
        <v>TN</v>
      </c>
      <c r="BQ28" s="153"/>
      <c r="BR28" s="153"/>
      <c r="BS28" s="153"/>
    </row>
    <row r="29">
      <c r="A29" s="171">
        <v>6.291109600381E12</v>
      </c>
      <c r="B29" s="171" t="s">
        <v>3521</v>
      </c>
      <c r="C29" s="137" t="s">
        <v>824</v>
      </c>
      <c r="D29" s="138" t="s">
        <v>180</v>
      </c>
      <c r="E29" s="139" t="s">
        <v>815</v>
      </c>
      <c r="F29" s="140" t="s">
        <v>3533</v>
      </c>
      <c r="G29" s="141">
        <v>0.0</v>
      </c>
      <c r="H29" s="142">
        <v>8.879351</v>
      </c>
      <c r="I29" s="143" t="s">
        <v>112</v>
      </c>
      <c r="J29" s="83"/>
      <c r="K29" s="174">
        <v>730.0</v>
      </c>
      <c r="R29" s="145" t="str">
        <f t="shared" si="1"/>
        <v>Smoothies &amp; Refreshers_5-10</v>
      </c>
      <c r="S29" s="146" t="str">
        <f t="shared" si="2"/>
        <v>5-10</v>
      </c>
      <c r="T29" s="95" t="str">
        <f t="array" ref="T29">XLOOKUP(C29,'Depth or Width'!P:P,'Depth or Width'!V:V)</f>
        <v>Width</v>
      </c>
      <c r="U29" s="93">
        <f t="shared" si="3"/>
        <v>5</v>
      </c>
      <c r="V29" s="147">
        <f t="array" ref="V29">iferror(XLOOKUP(R29,'Refrence Data'!B:B,'Refrence Data'!W:W),"NA")</f>
        <v>9.474938</v>
      </c>
      <c r="W29" s="95">
        <f t="shared" si="4"/>
        <v>100</v>
      </c>
      <c r="Y29" s="148">
        <f t="array" ref="Y29">IFERROR(XLOOKUP(R29,'Refrence Data'!B:B,'Refrence Data'!N:N),"NA")</f>
        <v>1</v>
      </c>
      <c r="Z29" s="95" t="str">
        <f t="shared" si="5"/>
        <v>HIGH</v>
      </c>
      <c r="AA29" s="147">
        <f t="array" ref="AA29">XLOOKUP(R29,'Refrence Data'!B:B,'Refrence Data'!AC:AC)</f>
        <v>1.894988</v>
      </c>
      <c r="AB29" s="147">
        <f t="array" ref="AB29">IFERROR(XLOOKUP(R29,'Refrence Data'!B:B,'Refrence Data'!Y:Y),"NA")</f>
        <v>1.894988</v>
      </c>
      <c r="AC29" s="95" t="str">
        <f t="shared" si="6"/>
        <v>High</v>
      </c>
      <c r="AD29" s="95" t="str">
        <f t="shared" si="7"/>
        <v>Width</v>
      </c>
      <c r="AE29" s="95" t="str">
        <f t="shared" si="8"/>
        <v>HIGHHighWidth</v>
      </c>
      <c r="AF29" s="95">
        <f t="array" ref="AF29">XLOOKUP(AE29,'Category Saturation'!A:A,'Category Saturation'!E:E)</f>
        <v>25</v>
      </c>
      <c r="AH29" s="148">
        <f t="array" ref="AH29">iferror(XLOOKUP(R29,'New Launch Success Rate'!A:A,'New Launch Success Rate'!F:F),"NA")</f>
        <v>0.15</v>
      </c>
      <c r="AI29" s="95">
        <f t="shared" si="9"/>
        <v>0</v>
      </c>
      <c r="AK29" s="149">
        <f t="shared" si="10"/>
        <v>67.5</v>
      </c>
      <c r="AM29" s="150">
        <f t="array" ref="AM29">XLOOKUP(R29,'Non Moving'!C:C,'Non Moving'!I:I)/100</f>
        <v>0.02</v>
      </c>
      <c r="AN29" s="151">
        <f t="shared" si="11"/>
        <v>100</v>
      </c>
      <c r="AO29" s="150">
        <f t="array" ref="AO29">XLOOKUP(R29,'Non Moving'!C:C,'Non Moving'!F:F)/100</f>
        <v>0.111</v>
      </c>
      <c r="AP29" s="151">
        <f t="shared" si="12"/>
        <v>100</v>
      </c>
      <c r="AR29" s="95">
        <f t="shared" si="13"/>
        <v>100</v>
      </c>
      <c r="AT29" s="95">
        <f t="shared" si="14"/>
        <v>100</v>
      </c>
      <c r="AU29" s="95">
        <f t="array" ref="AU29">iferror(XLOOKUP(J29,Monetization!A:A,Monetization!B:B),25)</f>
        <v>25</v>
      </c>
      <c r="AW29" s="95">
        <f t="shared" si="15"/>
        <v>77.5</v>
      </c>
      <c r="AY29" s="149">
        <f t="shared" si="16"/>
        <v>82.5</v>
      </c>
      <c r="AZ29" s="95" t="str">
        <f t="shared" si="17"/>
        <v>75-100</v>
      </c>
      <c r="BA29" s="95" t="str">
        <f t="shared" si="18"/>
        <v>50-75</v>
      </c>
      <c r="BB29" s="152">
        <f t="array" ref="BB29">iferror(XLOOKUP(C29,Sheet9!A:A,Sheet9!D:D),0)</f>
        <v>0.92</v>
      </c>
      <c r="BC29" s="2">
        <v>1.0</v>
      </c>
      <c r="BD29" s="95">
        <f t="array" ref="BD29">XLOOKUP(C29,ROS!C:C,ROS!O:O)</f>
        <v>5.533608</v>
      </c>
      <c r="BE29" s="147">
        <f t="array" ref="BE29">IFERROR(XLOOKUP(C29,ROS!T:T,ROS!U:U),"")</f>
        <v>1.696969697</v>
      </c>
      <c r="BF29" s="147">
        <f t="array" ref="BF29">XLOOKUP(R29,'Refrence Data'!B:B,'Refrence Data'!T:T)</f>
        <v>9.474938</v>
      </c>
      <c r="BG29" s="95">
        <f t="shared" si="19"/>
        <v>1</v>
      </c>
      <c r="BH29" s="4" t="str">
        <f t="shared" si="20"/>
        <v>TP</v>
      </c>
      <c r="BO29" s="153"/>
      <c r="BP29" s="153" t="str">
        <f t="shared" si="26"/>
        <v>TP</v>
      </c>
      <c r="BQ29" s="153"/>
      <c r="BR29" s="153"/>
      <c r="BS29" s="153"/>
    </row>
    <row r="30">
      <c r="A30" s="171">
        <v>1.2000066528E10</v>
      </c>
      <c r="B30" s="171" t="s">
        <v>3507</v>
      </c>
      <c r="C30" s="137" t="s">
        <v>825</v>
      </c>
      <c r="D30" s="138" t="s">
        <v>180</v>
      </c>
      <c r="E30" s="139" t="s">
        <v>181</v>
      </c>
      <c r="F30" s="140" t="s">
        <v>3545</v>
      </c>
      <c r="G30" s="141">
        <v>6.0</v>
      </c>
      <c r="H30" s="142">
        <v>3.946666</v>
      </c>
      <c r="I30" s="143" t="s">
        <v>111</v>
      </c>
      <c r="J30" s="83"/>
      <c r="K30" s="174">
        <v>24.0</v>
      </c>
      <c r="R30" s="145" t="str">
        <f t="shared" si="1"/>
        <v>Soft Drinks_0-5</v>
      </c>
      <c r="S30" s="146" t="str">
        <f t="shared" si="2"/>
        <v>0-5</v>
      </c>
      <c r="T30" s="95" t="str">
        <f t="array" ref="T30">XLOOKUP(C30,'Depth or Width'!P:P,'Depth or Width'!V:V)</f>
        <v>Depth</v>
      </c>
      <c r="U30" s="93">
        <f t="shared" si="3"/>
        <v>5</v>
      </c>
      <c r="V30" s="147">
        <f t="array" ref="V30">iferror(XLOOKUP(R30,'Refrence Data'!B:B,'Refrence Data'!W:W),"NA")</f>
        <v>36.11122</v>
      </c>
      <c r="W30" s="95">
        <f t="shared" si="4"/>
        <v>100</v>
      </c>
      <c r="Y30" s="148">
        <f t="array" ref="Y30">IFERROR(XLOOKUP(R30,'Refrence Data'!B:B,'Refrence Data'!N:N),"NA")</f>
        <v>0.515663</v>
      </c>
      <c r="Z30" s="95" t="str">
        <f t="shared" si="5"/>
        <v>MEDIUM</v>
      </c>
      <c r="AA30" s="147">
        <f t="array" ref="AA30">XLOOKUP(R30,'Refrence Data'!B:B,'Refrence Data'!AC:AC)</f>
        <v>12.43132</v>
      </c>
      <c r="AB30" s="147">
        <f t="array" ref="AB30">IFERROR(XLOOKUP(R30,'Refrence Data'!B:B,'Refrence Data'!Y:Y),"NA")</f>
        <v>40.53839</v>
      </c>
      <c r="AC30" s="95" t="str">
        <f t="shared" si="6"/>
        <v>High</v>
      </c>
      <c r="AD30" s="95" t="str">
        <f t="shared" si="7"/>
        <v>Depth</v>
      </c>
      <c r="AE30" s="95" t="str">
        <f t="shared" si="8"/>
        <v>MEDIUMHighDepth</v>
      </c>
      <c r="AF30" s="95">
        <f t="array" ref="AF30">XLOOKUP(AE30,'Category Saturation'!A:A,'Category Saturation'!E:E)</f>
        <v>60</v>
      </c>
      <c r="AH30" s="148">
        <f t="array" ref="AH30">iferror(XLOOKUP(R30,'New Launch Success Rate'!A:A,'New Launch Success Rate'!F:F),"NA")</f>
        <v>0.667</v>
      </c>
      <c r="AI30" s="95">
        <f t="shared" si="9"/>
        <v>50</v>
      </c>
      <c r="AK30" s="149">
        <f t="shared" si="10"/>
        <v>83</v>
      </c>
      <c r="AM30" s="150">
        <f t="array" ref="AM30">XLOOKUP(R30,'Non Moving'!C:C,'Non Moving'!I:I)/100</f>
        <v>0.013</v>
      </c>
      <c r="AN30" s="151">
        <f t="shared" si="11"/>
        <v>100</v>
      </c>
      <c r="AO30" s="150">
        <f t="array" ref="AO30">XLOOKUP(R30,'Non Moving'!C:C,'Non Moving'!F:F)/100</f>
        <v>0.054</v>
      </c>
      <c r="AP30" s="151">
        <f t="shared" si="12"/>
        <v>100</v>
      </c>
      <c r="AR30" s="95">
        <f t="shared" si="13"/>
        <v>100</v>
      </c>
      <c r="AT30" s="95">
        <f t="shared" si="14"/>
        <v>0</v>
      </c>
      <c r="AU30" s="95">
        <f t="array" ref="AU30">iferror(XLOOKUP(J30,Monetization!A:A,Monetization!B:B),25)</f>
        <v>25</v>
      </c>
      <c r="AW30" s="95">
        <f t="shared" si="15"/>
        <v>7.5</v>
      </c>
      <c r="AY30" s="149">
        <f t="shared" si="16"/>
        <v>74.7</v>
      </c>
      <c r="AZ30" s="95" t="str">
        <f t="shared" si="17"/>
        <v>50-75</v>
      </c>
      <c r="BA30" s="95" t="str">
        <f t="shared" si="18"/>
        <v>75-100</v>
      </c>
      <c r="BB30" s="152">
        <f t="array" ref="BB30">iferror(XLOOKUP(C30,Sheet9!A:A,Sheet9!D:D),0)</f>
        <v>0.7</v>
      </c>
      <c r="BC30" s="2">
        <v>1.0</v>
      </c>
      <c r="BD30" s="95">
        <f t="array" ref="BD30">XLOOKUP(C30,ROS!C:C,ROS!O:O)</f>
        <v>0</v>
      </c>
      <c r="BE30" s="147">
        <f t="array" ref="BE30">IFERROR(XLOOKUP(C30,ROS!T:T,ROS!U:U),"")</f>
        <v>24.48895826</v>
      </c>
      <c r="BF30" s="147">
        <f t="array" ref="BF30">XLOOKUP(R30,'Refrence Data'!B:B,'Refrence Data'!T:T)</f>
        <v>11.52857</v>
      </c>
      <c r="BG30" s="95">
        <f t="shared" si="19"/>
        <v>1</v>
      </c>
      <c r="BH30" s="4" t="str">
        <f t="shared" si="20"/>
        <v/>
      </c>
      <c r="BO30" s="153"/>
      <c r="BP30" s="153" t="str">
        <f t="shared" si="26"/>
        <v/>
      </c>
      <c r="BQ30" s="153"/>
      <c r="BR30" s="168" t="s">
        <v>3546</v>
      </c>
      <c r="BS30" s="153"/>
    </row>
    <row r="31">
      <c r="A31" s="171">
        <v>8.859577501142E12</v>
      </c>
      <c r="B31" s="171" t="s">
        <v>3521</v>
      </c>
      <c r="C31" s="137" t="s">
        <v>1320</v>
      </c>
      <c r="D31" s="138" t="s">
        <v>180</v>
      </c>
      <c r="E31" s="139" t="s">
        <v>815</v>
      </c>
      <c r="F31" s="140" t="s">
        <v>3547</v>
      </c>
      <c r="G31" s="141">
        <v>0.0</v>
      </c>
      <c r="H31" s="142">
        <v>5.995263</v>
      </c>
      <c r="I31" s="143" t="s">
        <v>112</v>
      </c>
      <c r="J31" s="83"/>
      <c r="K31" s="174">
        <v>455.0</v>
      </c>
      <c r="R31" s="145" t="str">
        <f t="shared" si="1"/>
        <v>Smoothies &amp; Refreshers_5-10</v>
      </c>
      <c r="S31" s="146" t="str">
        <f t="shared" si="2"/>
        <v>5-10</v>
      </c>
      <c r="T31" s="95" t="str">
        <f t="array" ref="T31">XLOOKUP(C31,'Depth or Width'!P:P,'Depth or Width'!V:V)</f>
        <v>Width</v>
      </c>
      <c r="U31" s="93">
        <f t="shared" si="3"/>
        <v>5</v>
      </c>
      <c r="V31" s="147">
        <f t="array" ref="V31">iferror(XLOOKUP(R31,'Refrence Data'!B:B,'Refrence Data'!W:W),"NA")</f>
        <v>9.474938</v>
      </c>
      <c r="W31" s="95">
        <f t="shared" si="4"/>
        <v>100</v>
      </c>
      <c r="Y31" s="148">
        <f t="array" ref="Y31">IFERROR(XLOOKUP(R31,'Refrence Data'!B:B,'Refrence Data'!N:N),"NA")</f>
        <v>1</v>
      </c>
      <c r="Z31" s="95" t="str">
        <f t="shared" si="5"/>
        <v>HIGH</v>
      </c>
      <c r="AA31" s="147">
        <f t="array" ref="AA31">XLOOKUP(R31,'Refrence Data'!B:B,'Refrence Data'!AC:AC)</f>
        <v>1.894988</v>
      </c>
      <c r="AB31" s="147">
        <f t="array" ref="AB31">IFERROR(XLOOKUP(R31,'Refrence Data'!B:B,'Refrence Data'!Y:Y),"NA")</f>
        <v>1.894988</v>
      </c>
      <c r="AC31" s="95" t="str">
        <f t="shared" si="6"/>
        <v>High</v>
      </c>
      <c r="AD31" s="95" t="str">
        <f t="shared" si="7"/>
        <v>Width</v>
      </c>
      <c r="AE31" s="95" t="str">
        <f t="shared" si="8"/>
        <v>HIGHHighWidth</v>
      </c>
      <c r="AF31" s="95">
        <f t="array" ref="AF31">XLOOKUP(AE31,'Category Saturation'!A:A,'Category Saturation'!E:E)</f>
        <v>25</v>
      </c>
      <c r="AH31" s="148">
        <f t="array" ref="AH31">iferror(XLOOKUP(R31,'New Launch Success Rate'!A:A,'New Launch Success Rate'!F:F),"NA")</f>
        <v>0.15</v>
      </c>
      <c r="AI31" s="95">
        <f t="shared" si="9"/>
        <v>0</v>
      </c>
      <c r="AK31" s="149">
        <f t="shared" si="10"/>
        <v>67.5</v>
      </c>
      <c r="AM31" s="150">
        <f t="array" ref="AM31">XLOOKUP(R31,'Non Moving'!C:C,'Non Moving'!I:I)/100</f>
        <v>0.02</v>
      </c>
      <c r="AN31" s="151">
        <f t="shared" si="11"/>
        <v>100</v>
      </c>
      <c r="AO31" s="150">
        <f t="array" ref="AO31">XLOOKUP(R31,'Non Moving'!C:C,'Non Moving'!F:F)/100</f>
        <v>0.111</v>
      </c>
      <c r="AP31" s="151">
        <f t="shared" si="12"/>
        <v>100</v>
      </c>
      <c r="AR31" s="95">
        <f t="shared" si="13"/>
        <v>100</v>
      </c>
      <c r="AT31" s="95">
        <f t="shared" si="14"/>
        <v>100</v>
      </c>
      <c r="AU31" s="95">
        <f t="array" ref="AU31">iferror(XLOOKUP(J31,Monetization!A:A,Monetization!B:B),25)</f>
        <v>25</v>
      </c>
      <c r="AW31" s="95">
        <f t="shared" si="15"/>
        <v>77.5</v>
      </c>
      <c r="AY31" s="149">
        <f t="shared" si="16"/>
        <v>82.5</v>
      </c>
      <c r="AZ31" s="95" t="str">
        <f t="shared" si="17"/>
        <v>75-100</v>
      </c>
      <c r="BA31" s="95" t="str">
        <f t="shared" si="18"/>
        <v>50-75</v>
      </c>
      <c r="BB31" s="152">
        <f t="array" ref="BB31">iferror(XLOOKUP(C31,Sheet9!A:A,Sheet9!D:D),0)</f>
        <v>0</v>
      </c>
      <c r="BC31" s="2">
        <v>1.0</v>
      </c>
      <c r="BD31" s="95">
        <f t="array" ref="BD31">XLOOKUP(C31,ROS!C:C,ROS!O:O)</f>
        <v>0</v>
      </c>
      <c r="BE31" s="147" t="str">
        <f t="array" ref="BE31">IFERROR(XLOOKUP(C31,ROS!T:T,ROS!U:U),"")</f>
        <v/>
      </c>
      <c r="BF31" s="147">
        <f t="array" ref="BF31">XLOOKUP(R31,'Refrence Data'!B:B,'Refrence Data'!T:T)</f>
        <v>9.474938</v>
      </c>
      <c r="BG31" s="95">
        <f t="shared" si="19"/>
        <v>0</v>
      </c>
      <c r="BH31" s="4" t="str">
        <f t="shared" si="20"/>
        <v/>
      </c>
      <c r="BO31" s="153"/>
      <c r="BP31" s="153" t="str">
        <f t="shared" si="26"/>
        <v/>
      </c>
      <c r="BQ31" s="153"/>
      <c r="BR31" s="176" t="s">
        <v>3548</v>
      </c>
      <c r="BS31" s="153"/>
    </row>
    <row r="32">
      <c r="A32" s="171">
        <v>8.859577501111E12</v>
      </c>
      <c r="B32" s="171" t="s">
        <v>3521</v>
      </c>
      <c r="C32" s="137" t="s">
        <v>1321</v>
      </c>
      <c r="D32" s="138" t="s">
        <v>180</v>
      </c>
      <c r="E32" s="139" t="s">
        <v>815</v>
      </c>
      <c r="F32" s="140" t="s">
        <v>3547</v>
      </c>
      <c r="G32" s="141">
        <v>0.0</v>
      </c>
      <c r="H32" s="142">
        <v>5.994848</v>
      </c>
      <c r="I32" s="143" t="s">
        <v>112</v>
      </c>
      <c r="J32" s="83"/>
      <c r="K32" s="174">
        <v>455.0</v>
      </c>
      <c r="R32" s="145" t="str">
        <f t="shared" si="1"/>
        <v>Smoothies &amp; Refreshers_5-10</v>
      </c>
      <c r="S32" s="146" t="str">
        <f t="shared" si="2"/>
        <v>5-10</v>
      </c>
      <c r="T32" s="95" t="str">
        <f t="array" ref="T32">XLOOKUP(C32,'Depth or Width'!P:P,'Depth or Width'!V:V)</f>
        <v>Width</v>
      </c>
      <c r="U32" s="93">
        <f t="shared" si="3"/>
        <v>5</v>
      </c>
      <c r="V32" s="147">
        <f t="array" ref="V32">iferror(XLOOKUP(R32,'Refrence Data'!B:B,'Refrence Data'!W:W),"NA")</f>
        <v>9.474938</v>
      </c>
      <c r="W32" s="95">
        <f t="shared" si="4"/>
        <v>100</v>
      </c>
      <c r="Y32" s="148">
        <f t="array" ref="Y32">IFERROR(XLOOKUP(R32,'Refrence Data'!B:B,'Refrence Data'!N:N),"NA")</f>
        <v>1</v>
      </c>
      <c r="Z32" s="95" t="str">
        <f t="shared" si="5"/>
        <v>HIGH</v>
      </c>
      <c r="AA32" s="147">
        <f t="array" ref="AA32">XLOOKUP(R32,'Refrence Data'!B:B,'Refrence Data'!AC:AC)</f>
        <v>1.894988</v>
      </c>
      <c r="AB32" s="147">
        <f t="array" ref="AB32">IFERROR(XLOOKUP(R32,'Refrence Data'!B:B,'Refrence Data'!Y:Y),"NA")</f>
        <v>1.894988</v>
      </c>
      <c r="AC32" s="95" t="str">
        <f t="shared" si="6"/>
        <v>High</v>
      </c>
      <c r="AD32" s="95" t="str">
        <f t="shared" si="7"/>
        <v>Width</v>
      </c>
      <c r="AE32" s="95" t="str">
        <f t="shared" si="8"/>
        <v>HIGHHighWidth</v>
      </c>
      <c r="AF32" s="95">
        <f t="array" ref="AF32">XLOOKUP(AE32,'Category Saturation'!A:A,'Category Saturation'!E:E)</f>
        <v>25</v>
      </c>
      <c r="AH32" s="148">
        <f t="array" ref="AH32">iferror(XLOOKUP(R32,'New Launch Success Rate'!A:A,'New Launch Success Rate'!F:F),"NA")</f>
        <v>0.15</v>
      </c>
      <c r="AI32" s="95">
        <f t="shared" si="9"/>
        <v>0</v>
      </c>
      <c r="AK32" s="149">
        <f t="shared" si="10"/>
        <v>67.5</v>
      </c>
      <c r="AM32" s="150">
        <f t="array" ref="AM32">XLOOKUP(R32,'Non Moving'!C:C,'Non Moving'!I:I)/100</f>
        <v>0.02</v>
      </c>
      <c r="AN32" s="151">
        <f t="shared" si="11"/>
        <v>100</v>
      </c>
      <c r="AO32" s="150">
        <f t="array" ref="AO32">XLOOKUP(R32,'Non Moving'!C:C,'Non Moving'!F:F)/100</f>
        <v>0.111</v>
      </c>
      <c r="AP32" s="151">
        <f t="shared" si="12"/>
        <v>100</v>
      </c>
      <c r="AR32" s="95">
        <f t="shared" si="13"/>
        <v>100</v>
      </c>
      <c r="AT32" s="95">
        <f t="shared" si="14"/>
        <v>100</v>
      </c>
      <c r="AU32" s="95">
        <f t="array" ref="AU32">iferror(XLOOKUP(J32,Monetization!A:A,Monetization!B:B),25)</f>
        <v>25</v>
      </c>
      <c r="AW32" s="95">
        <f t="shared" si="15"/>
        <v>77.5</v>
      </c>
      <c r="AY32" s="149">
        <f t="shared" si="16"/>
        <v>82.5</v>
      </c>
      <c r="AZ32" s="95" t="str">
        <f t="shared" si="17"/>
        <v>75-100</v>
      </c>
      <c r="BA32" s="95" t="str">
        <f t="shared" si="18"/>
        <v>50-75</v>
      </c>
      <c r="BB32" s="152">
        <f t="array" ref="BB32">iferror(XLOOKUP(C32,Sheet9!A:A,Sheet9!D:D),0)</f>
        <v>0</v>
      </c>
      <c r="BC32" s="2">
        <v>1.0</v>
      </c>
      <c r="BD32" s="95">
        <f t="array" ref="BD32">XLOOKUP(C32,ROS!C:C,ROS!O:O)</f>
        <v>0</v>
      </c>
      <c r="BE32" s="147" t="str">
        <f t="array" ref="BE32">IFERROR(XLOOKUP(C32,ROS!T:T,ROS!U:U),"")</f>
        <v/>
      </c>
      <c r="BF32" s="147">
        <f t="array" ref="BF32">XLOOKUP(R32,'Refrence Data'!B:B,'Refrence Data'!T:T)</f>
        <v>9.474938</v>
      </c>
      <c r="BG32" s="95">
        <f t="shared" si="19"/>
        <v>0</v>
      </c>
      <c r="BH32" s="4" t="str">
        <f t="shared" si="20"/>
        <v/>
      </c>
      <c r="BO32" s="153"/>
      <c r="BP32" s="153" t="str">
        <f t="shared" si="26"/>
        <v/>
      </c>
      <c r="BQ32" s="153"/>
      <c r="BR32" s="153"/>
      <c r="BS32" s="153"/>
    </row>
    <row r="33">
      <c r="A33" s="171">
        <v>7.340001807325E12</v>
      </c>
      <c r="B33" s="171" t="s">
        <v>3521</v>
      </c>
      <c r="C33" s="137" t="s">
        <v>1322</v>
      </c>
      <c r="D33" s="138" t="s">
        <v>180</v>
      </c>
      <c r="E33" s="139" t="s">
        <v>202</v>
      </c>
      <c r="F33" s="140" t="s">
        <v>3547</v>
      </c>
      <c r="G33" s="141">
        <v>8.0</v>
      </c>
      <c r="H33" s="142">
        <v>14.23759</v>
      </c>
      <c r="I33" s="143" t="s">
        <v>112</v>
      </c>
      <c r="J33" s="83"/>
      <c r="K33" s="174">
        <v>365.0</v>
      </c>
      <c r="R33" s="145" t="str">
        <f t="shared" si="1"/>
        <v>Sports &amp; Energy Drinks_10-15</v>
      </c>
      <c r="S33" s="146" t="str">
        <f t="shared" si="2"/>
        <v>10-15</v>
      </c>
      <c r="T33" s="95" t="str">
        <f t="array" ref="T33">XLOOKUP(C33,'Depth or Width'!P:P,'Depth or Width'!V:V)</f>
        <v>Width</v>
      </c>
      <c r="U33" s="93">
        <f t="shared" si="3"/>
        <v>5</v>
      </c>
      <c r="V33" s="147">
        <f t="array" ref="V33">iferror(XLOOKUP(R33,'Refrence Data'!B:B,'Refrence Data'!W:W),"NA")</f>
        <v>3.931908</v>
      </c>
      <c r="W33" s="95">
        <f t="shared" si="4"/>
        <v>75</v>
      </c>
      <c r="Y33" s="148">
        <f t="array" ref="Y33">IFERROR(XLOOKUP(R33,'Refrence Data'!B:B,'Refrence Data'!N:N),"NA")</f>
        <v>0.663965</v>
      </c>
      <c r="Z33" s="95" t="str">
        <f t="shared" si="5"/>
        <v>MEDIUM</v>
      </c>
      <c r="AA33" s="147">
        <f t="array" ref="AA33">XLOOKUP(R33,'Refrence Data'!B:B,'Refrence Data'!AC:AC)</f>
        <v>8.302396</v>
      </c>
      <c r="AB33" s="147">
        <f t="array" ref="AB33">IFERROR(XLOOKUP(R33,'Refrence Data'!B:B,'Refrence Data'!Y:Y),"NA")</f>
        <v>8.302396</v>
      </c>
      <c r="AC33" s="95" t="str">
        <f t="shared" si="6"/>
        <v>High</v>
      </c>
      <c r="AD33" s="95" t="str">
        <f t="shared" si="7"/>
        <v>Width</v>
      </c>
      <c r="AE33" s="95" t="str">
        <f t="shared" si="8"/>
        <v>MEDIUMHighWidth</v>
      </c>
      <c r="AF33" s="95">
        <f t="array" ref="AF33">XLOOKUP(AE33,'Category Saturation'!A:A,'Category Saturation'!E:E)</f>
        <v>10</v>
      </c>
      <c r="AH33" s="148">
        <f t="array" ref="AH33">iferror(XLOOKUP(R33,'New Launch Success Rate'!A:A,'New Launch Success Rate'!F:F),"NA")</f>
        <v>0.833</v>
      </c>
      <c r="AI33" s="95">
        <f t="shared" si="9"/>
        <v>100</v>
      </c>
      <c r="AK33" s="149">
        <f t="shared" si="10"/>
        <v>58</v>
      </c>
      <c r="AM33" s="150">
        <f t="array" ref="AM33">XLOOKUP(R33,'Non Moving'!C:C,'Non Moving'!I:I)/100</f>
        <v>0.084</v>
      </c>
      <c r="AN33" s="151">
        <f t="shared" si="11"/>
        <v>100</v>
      </c>
      <c r="AO33" s="150">
        <f t="array" ref="AO33">XLOOKUP(R33,'Non Moving'!C:C,'Non Moving'!F:F)/100</f>
        <v>0.252</v>
      </c>
      <c r="AP33" s="151">
        <f t="shared" si="12"/>
        <v>75</v>
      </c>
      <c r="AR33" s="95">
        <f t="shared" si="13"/>
        <v>87.5</v>
      </c>
      <c r="AT33" s="95">
        <f t="shared" si="14"/>
        <v>100</v>
      </c>
      <c r="AU33" s="95">
        <f t="array" ref="AU33">iferror(XLOOKUP(J33,Monetization!A:A,Monetization!B:B),25)</f>
        <v>25</v>
      </c>
      <c r="AW33" s="95">
        <f t="shared" si="15"/>
        <v>77.5</v>
      </c>
      <c r="AY33" s="149">
        <f t="shared" si="16"/>
        <v>73.7</v>
      </c>
      <c r="AZ33" s="95" t="str">
        <f t="shared" si="17"/>
        <v>50-75</v>
      </c>
      <c r="BA33" s="95" t="str">
        <f t="shared" si="18"/>
        <v>50-75</v>
      </c>
      <c r="BB33" s="152">
        <f t="array" ref="BB33">iferror(XLOOKUP(C33,Sheet9!A:A,Sheet9!D:D),0)</f>
        <v>0</v>
      </c>
      <c r="BC33" s="2">
        <v>1.0</v>
      </c>
      <c r="BD33" s="95">
        <f t="array" ref="BD33">XLOOKUP(C33,ROS!C:C,ROS!O:O)</f>
        <v>0.125</v>
      </c>
      <c r="BE33" s="147" t="str">
        <f t="array" ref="BE33">IFERROR(XLOOKUP(C33,ROS!T:T,ROS!U:U),"")</f>
        <v/>
      </c>
      <c r="BF33" s="147">
        <f t="array" ref="BF33">XLOOKUP(R33,'Refrence Data'!B:B,'Refrence Data'!T:T)</f>
        <v>2.099654</v>
      </c>
      <c r="BG33" s="95">
        <f t="shared" si="19"/>
        <v>0</v>
      </c>
      <c r="BH33" s="4" t="str">
        <f t="shared" si="20"/>
        <v/>
      </c>
      <c r="BO33" s="153"/>
      <c r="BP33" s="153" t="str">
        <f t="shared" si="26"/>
        <v/>
      </c>
      <c r="BQ33" s="153"/>
      <c r="BR33" s="153"/>
      <c r="BS33" s="153"/>
    </row>
    <row r="34">
      <c r="A34" s="171">
        <v>5.060042491339E12</v>
      </c>
      <c r="B34" s="171" t="s">
        <v>3507</v>
      </c>
      <c r="C34" s="137" t="s">
        <v>829</v>
      </c>
      <c r="D34" s="138" t="s">
        <v>180</v>
      </c>
      <c r="E34" s="139" t="s">
        <v>181</v>
      </c>
      <c r="F34" s="140" t="s">
        <v>3549</v>
      </c>
      <c r="G34" s="141">
        <v>0.0</v>
      </c>
      <c r="H34" s="142">
        <v>16.98658</v>
      </c>
      <c r="I34" s="143" t="s">
        <v>111</v>
      </c>
      <c r="J34" s="83"/>
      <c r="K34" s="174">
        <v>270.0</v>
      </c>
      <c r="R34" s="145" t="str">
        <f t="shared" si="1"/>
        <v>Soft Drinks_15-20</v>
      </c>
      <c r="S34" s="146" t="str">
        <f t="shared" si="2"/>
        <v>15-20</v>
      </c>
      <c r="T34" s="95" t="str">
        <f t="array" ref="T34">XLOOKUP(C34,'Depth or Width'!P:P,'Depth or Width'!V:V)</f>
        <v>Depth</v>
      </c>
      <c r="U34" s="93">
        <f t="shared" si="3"/>
        <v>5</v>
      </c>
      <c r="V34" s="147">
        <f t="array" ref="V34">iferror(XLOOKUP(R34,'Refrence Data'!B:B,'Refrence Data'!W:W),"NA")</f>
        <v>8.726428</v>
      </c>
      <c r="W34" s="95">
        <f t="shared" si="4"/>
        <v>100</v>
      </c>
      <c r="Y34" s="148">
        <f t="array" ref="Y34">IFERROR(XLOOKUP(R34,'Refrence Data'!B:B,'Refrence Data'!N:N),"NA")</f>
        <v>0.642502</v>
      </c>
      <c r="Z34" s="95" t="str">
        <f t="shared" si="5"/>
        <v>MEDIUM</v>
      </c>
      <c r="AA34" s="147">
        <f t="array" ref="AA34">XLOOKUP(R34,'Refrence Data'!B:B,'Refrence Data'!AC:AC)</f>
        <v>12.43132</v>
      </c>
      <c r="AB34" s="147">
        <f t="array" ref="AB34">IFERROR(XLOOKUP(R34,'Refrence Data'!B:B,'Refrence Data'!Y:Y),"NA")</f>
        <v>11.54518</v>
      </c>
      <c r="AC34" s="95" t="str">
        <f t="shared" si="6"/>
        <v>High</v>
      </c>
      <c r="AD34" s="95" t="str">
        <f t="shared" si="7"/>
        <v>Depth</v>
      </c>
      <c r="AE34" s="95" t="str">
        <f t="shared" si="8"/>
        <v>MEDIUMHighDepth</v>
      </c>
      <c r="AF34" s="95">
        <f t="array" ref="AF34">XLOOKUP(AE34,'Category Saturation'!A:A,'Category Saturation'!E:E)</f>
        <v>60</v>
      </c>
      <c r="AH34" s="148">
        <f t="array" ref="AH34">iferror(XLOOKUP(R34,'New Launch Success Rate'!A:A,'New Launch Success Rate'!F:F),"NA")</f>
        <v>1</v>
      </c>
      <c r="AI34" s="95">
        <f t="shared" si="9"/>
        <v>100</v>
      </c>
      <c r="AK34" s="149">
        <f t="shared" si="10"/>
        <v>88</v>
      </c>
      <c r="AM34" s="150">
        <f t="array" ref="AM34">XLOOKUP(R34,'Non Moving'!C:C,'Non Moving'!I:I)/100</f>
        <v>0.037</v>
      </c>
      <c r="AN34" s="151">
        <f t="shared" si="11"/>
        <v>100</v>
      </c>
      <c r="AO34" s="150">
        <f t="array" ref="AO34">XLOOKUP(R34,'Non Moving'!C:C,'Non Moving'!F:F)/100</f>
        <v>0.125</v>
      </c>
      <c r="AP34" s="151">
        <f t="shared" si="12"/>
        <v>100</v>
      </c>
      <c r="AR34" s="95">
        <f t="shared" si="13"/>
        <v>100</v>
      </c>
      <c r="AT34" s="95">
        <f t="shared" si="14"/>
        <v>0</v>
      </c>
      <c r="AU34" s="95">
        <f t="array" ref="AU34">iferror(XLOOKUP(J34,Monetization!A:A,Monetization!B:B),25)</f>
        <v>25</v>
      </c>
      <c r="AW34" s="95">
        <f t="shared" si="15"/>
        <v>7.5</v>
      </c>
      <c r="AY34" s="149">
        <f t="shared" si="16"/>
        <v>76.7</v>
      </c>
      <c r="AZ34" s="95" t="str">
        <f t="shared" si="17"/>
        <v>75-100</v>
      </c>
      <c r="BA34" s="95" t="str">
        <f t="shared" si="18"/>
        <v>75-100</v>
      </c>
      <c r="BB34" s="152">
        <f t="array" ref="BB34">iferror(XLOOKUP(C34,Sheet9!A:A,Sheet9!D:D),0)</f>
        <v>0.67</v>
      </c>
      <c r="BC34" s="2">
        <v>1.0</v>
      </c>
      <c r="BD34" s="95">
        <f t="array" ref="BD34">XLOOKUP(C34,ROS!C:C,ROS!O:O)</f>
        <v>0</v>
      </c>
      <c r="BE34" s="147">
        <f t="array" ref="BE34">IFERROR(XLOOKUP(C34,ROS!T:T,ROS!U:U),"")</f>
        <v>0</v>
      </c>
      <c r="BF34" s="147">
        <f t="array" ref="BF34">XLOOKUP(R34,'Refrence Data'!B:B,'Refrence Data'!T:T)</f>
        <v>1.436355</v>
      </c>
      <c r="BG34" s="95">
        <f t="shared" si="19"/>
        <v>0</v>
      </c>
      <c r="BH34" s="4" t="str">
        <f t="shared" si="20"/>
        <v/>
      </c>
      <c r="BO34" s="153"/>
      <c r="BP34" s="153" t="str">
        <f t="shared" si="26"/>
        <v/>
      </c>
      <c r="BQ34" s="153"/>
      <c r="BR34" s="153"/>
      <c r="BS34" s="153"/>
    </row>
    <row r="35">
      <c r="A35" s="171">
        <v>5.060042491322E12</v>
      </c>
      <c r="B35" s="171" t="s">
        <v>3507</v>
      </c>
      <c r="C35" s="137" t="s">
        <v>831</v>
      </c>
      <c r="D35" s="138" t="s">
        <v>180</v>
      </c>
      <c r="E35" s="139" t="s">
        <v>181</v>
      </c>
      <c r="F35" s="140" t="s">
        <v>3549</v>
      </c>
      <c r="G35" s="141">
        <v>1.0</v>
      </c>
      <c r="H35" s="142">
        <v>13.8924</v>
      </c>
      <c r="I35" s="143" t="s">
        <v>111</v>
      </c>
      <c r="J35" s="83"/>
      <c r="K35" s="174">
        <v>270.0</v>
      </c>
      <c r="R35" s="145" t="str">
        <f t="shared" si="1"/>
        <v>Soft Drinks_10-15</v>
      </c>
      <c r="S35" s="146" t="str">
        <f t="shared" si="2"/>
        <v>10-15</v>
      </c>
      <c r="T35" s="95" t="str">
        <f t="array" ref="T35">XLOOKUP(C35,'Depth or Width'!P:P,'Depth or Width'!V:V)</f>
        <v>Depth</v>
      </c>
      <c r="U35" s="93">
        <f t="shared" si="3"/>
        <v>5</v>
      </c>
      <c r="V35" s="147">
        <f t="array" ref="V35">iferror(XLOOKUP(R35,'Refrence Data'!B:B,'Refrence Data'!W:W),"NA")</f>
        <v>24.87245</v>
      </c>
      <c r="W35" s="95">
        <f t="shared" si="4"/>
        <v>100</v>
      </c>
      <c r="Y35" s="148">
        <f t="array" ref="Y35">IFERROR(XLOOKUP(R35,'Refrence Data'!B:B,'Refrence Data'!N:N),"NA")</f>
        <v>0.744824</v>
      </c>
      <c r="Z35" s="95" t="str">
        <f t="shared" si="5"/>
        <v>HIGH</v>
      </c>
      <c r="AA35" s="147">
        <f t="array" ref="AA35">XLOOKUP(R35,'Refrence Data'!B:B,'Refrence Data'!AC:AC)</f>
        <v>12.43132</v>
      </c>
      <c r="AB35" s="147">
        <f t="array" ref="AB35">IFERROR(XLOOKUP(R35,'Refrence Data'!B:B,'Refrence Data'!Y:Y),"NA")</f>
        <v>66.20878</v>
      </c>
      <c r="AC35" s="95" t="str">
        <f t="shared" si="6"/>
        <v>High</v>
      </c>
      <c r="AD35" s="95" t="str">
        <f t="shared" si="7"/>
        <v>Depth</v>
      </c>
      <c r="AE35" s="95" t="str">
        <f t="shared" si="8"/>
        <v>HIGHHighDepth</v>
      </c>
      <c r="AF35" s="95">
        <f t="array" ref="AF35">XLOOKUP(AE35,'Category Saturation'!A:A,'Category Saturation'!E:E)</f>
        <v>0</v>
      </c>
      <c r="AH35" s="148">
        <f t="array" ref="AH35">iferror(XLOOKUP(R35,'New Launch Success Rate'!A:A,'New Launch Success Rate'!F:F),"NA")</f>
        <v>0</v>
      </c>
      <c r="AI35" s="95">
        <f t="shared" si="9"/>
        <v>0</v>
      </c>
      <c r="AK35" s="149">
        <f t="shared" si="10"/>
        <v>60</v>
      </c>
      <c r="AM35" s="150">
        <f t="array" ref="AM35">XLOOKUP(R35,'Non Moving'!C:C,'Non Moving'!I:I)/100</f>
        <v>0.037</v>
      </c>
      <c r="AN35" s="151">
        <f t="shared" si="11"/>
        <v>100</v>
      </c>
      <c r="AO35" s="150">
        <f t="array" ref="AO35">XLOOKUP(R35,'Non Moving'!C:C,'Non Moving'!F:F)/100</f>
        <v>0.293</v>
      </c>
      <c r="AP35" s="151">
        <f t="shared" si="12"/>
        <v>75</v>
      </c>
      <c r="AR35" s="95">
        <f t="shared" si="13"/>
        <v>87.5</v>
      </c>
      <c r="AT35" s="95">
        <f t="shared" si="14"/>
        <v>0</v>
      </c>
      <c r="AU35" s="95">
        <f t="array" ref="AU35">iferror(XLOOKUP(J35,Monetization!A:A,Monetization!B:B),25)</f>
        <v>25</v>
      </c>
      <c r="AW35" s="95">
        <f t="shared" si="15"/>
        <v>7.5</v>
      </c>
      <c r="AY35" s="149">
        <f t="shared" si="16"/>
        <v>60.5</v>
      </c>
      <c r="AZ35" s="95" t="str">
        <f t="shared" si="17"/>
        <v>50-75</v>
      </c>
      <c r="BA35" s="95" t="str">
        <f t="shared" si="18"/>
        <v>50-75</v>
      </c>
      <c r="BB35" s="152">
        <f t="array" ref="BB35">iferror(XLOOKUP(C35,Sheet9!A:A,Sheet9!D:D),0)</f>
        <v>0.5</v>
      </c>
      <c r="BC35" s="2">
        <v>1.0</v>
      </c>
      <c r="BD35" s="95">
        <f t="array" ref="BD35">XLOOKUP(C35,ROS!C:C,ROS!O:O)</f>
        <v>0.208333</v>
      </c>
      <c r="BE35" s="147">
        <f t="array" ref="BE35">IFERROR(XLOOKUP(C35,ROS!T:T,ROS!U:U),"")</f>
        <v>0.267857143</v>
      </c>
      <c r="BF35" s="147">
        <f t="array" ref="BF35">XLOOKUP(R35,'Refrence Data'!B:B,'Refrence Data'!T:T)</f>
        <v>0.395699</v>
      </c>
      <c r="BG35" s="95">
        <f t="shared" si="19"/>
        <v>0</v>
      </c>
      <c r="BH35" s="4" t="str">
        <f t="shared" si="20"/>
        <v/>
      </c>
      <c r="BO35" s="153"/>
      <c r="BP35" s="153" t="str">
        <f t="shared" si="26"/>
        <v/>
      </c>
      <c r="BQ35" s="153"/>
      <c r="BR35" s="153"/>
      <c r="BS35" s="153"/>
    </row>
    <row r="36">
      <c r="A36" s="171">
        <v>5.060042490035E12</v>
      </c>
      <c r="B36" s="171" t="s">
        <v>3507</v>
      </c>
      <c r="C36" s="137" t="s">
        <v>832</v>
      </c>
      <c r="D36" s="138" t="s">
        <v>180</v>
      </c>
      <c r="E36" s="139" t="s">
        <v>181</v>
      </c>
      <c r="F36" s="140" t="s">
        <v>3549</v>
      </c>
      <c r="G36" s="141">
        <v>0.0</v>
      </c>
      <c r="H36" s="142">
        <v>16.98658</v>
      </c>
      <c r="I36" s="143" t="s">
        <v>111</v>
      </c>
      <c r="J36" s="83"/>
      <c r="K36" s="174">
        <v>270.0</v>
      </c>
      <c r="R36" s="145" t="str">
        <f t="shared" si="1"/>
        <v>Soft Drinks_15-20</v>
      </c>
      <c r="S36" s="146" t="str">
        <f t="shared" si="2"/>
        <v>15-20</v>
      </c>
      <c r="T36" s="95" t="str">
        <f t="array" ref="T36">XLOOKUP(C36,'Depth or Width'!P:P,'Depth or Width'!V:V)</f>
        <v>Depth</v>
      </c>
      <c r="U36" s="93">
        <f t="shared" si="3"/>
        <v>5</v>
      </c>
      <c r="V36" s="147">
        <f t="array" ref="V36">iferror(XLOOKUP(R36,'Refrence Data'!B:B,'Refrence Data'!W:W),"NA")</f>
        <v>8.726428</v>
      </c>
      <c r="W36" s="95">
        <f t="shared" si="4"/>
        <v>100</v>
      </c>
      <c r="Y36" s="148">
        <f t="array" ref="Y36">IFERROR(XLOOKUP(R36,'Refrence Data'!B:B,'Refrence Data'!N:N),"NA")</f>
        <v>0.642502</v>
      </c>
      <c r="Z36" s="95" t="str">
        <f t="shared" si="5"/>
        <v>MEDIUM</v>
      </c>
      <c r="AA36" s="147">
        <f t="array" ref="AA36">XLOOKUP(R36,'Refrence Data'!B:B,'Refrence Data'!AC:AC)</f>
        <v>12.43132</v>
      </c>
      <c r="AB36" s="147">
        <f t="array" ref="AB36">IFERROR(XLOOKUP(R36,'Refrence Data'!B:B,'Refrence Data'!Y:Y),"NA")</f>
        <v>11.54518</v>
      </c>
      <c r="AC36" s="95" t="str">
        <f t="shared" si="6"/>
        <v>High</v>
      </c>
      <c r="AD36" s="95" t="str">
        <f t="shared" si="7"/>
        <v>Depth</v>
      </c>
      <c r="AE36" s="95" t="str">
        <f t="shared" si="8"/>
        <v>MEDIUMHighDepth</v>
      </c>
      <c r="AF36" s="95">
        <f t="array" ref="AF36">XLOOKUP(AE36,'Category Saturation'!A:A,'Category Saturation'!E:E)</f>
        <v>60</v>
      </c>
      <c r="AH36" s="148">
        <f t="array" ref="AH36">iferror(XLOOKUP(R36,'New Launch Success Rate'!A:A,'New Launch Success Rate'!F:F),"NA")</f>
        <v>1</v>
      </c>
      <c r="AI36" s="95">
        <f t="shared" si="9"/>
        <v>100</v>
      </c>
      <c r="AK36" s="149">
        <f t="shared" si="10"/>
        <v>88</v>
      </c>
      <c r="AM36" s="150">
        <f t="array" ref="AM36">XLOOKUP(R36,'Non Moving'!C:C,'Non Moving'!I:I)/100</f>
        <v>0.037</v>
      </c>
      <c r="AN36" s="151">
        <f t="shared" si="11"/>
        <v>100</v>
      </c>
      <c r="AO36" s="150">
        <f t="array" ref="AO36">XLOOKUP(R36,'Non Moving'!C:C,'Non Moving'!F:F)/100</f>
        <v>0.125</v>
      </c>
      <c r="AP36" s="151">
        <f t="shared" si="12"/>
        <v>100</v>
      </c>
      <c r="AR36" s="95">
        <f t="shared" si="13"/>
        <v>100</v>
      </c>
      <c r="AT36" s="95">
        <f t="shared" si="14"/>
        <v>0</v>
      </c>
      <c r="AU36" s="95">
        <f t="array" ref="AU36">iferror(XLOOKUP(J36,Monetization!A:A,Monetization!B:B),25)</f>
        <v>25</v>
      </c>
      <c r="AW36" s="95">
        <f t="shared" si="15"/>
        <v>7.5</v>
      </c>
      <c r="AY36" s="149">
        <f t="shared" si="16"/>
        <v>76.7</v>
      </c>
      <c r="AZ36" s="95" t="str">
        <f t="shared" si="17"/>
        <v>75-100</v>
      </c>
      <c r="BA36" s="95" t="str">
        <f t="shared" si="18"/>
        <v>75-100</v>
      </c>
      <c r="BB36" s="152">
        <f t="array" ref="BB36">iferror(XLOOKUP(C36,Sheet9!A:A,Sheet9!D:D),0)</f>
        <v>0.5</v>
      </c>
      <c r="BC36" s="2">
        <v>1.0</v>
      </c>
      <c r="BD36" s="95">
        <f t="array" ref="BD36">XLOOKUP(C36,ROS!C:C,ROS!O:O)</f>
        <v>0</v>
      </c>
      <c r="BE36" s="147">
        <f t="array" ref="BE36">IFERROR(XLOOKUP(C36,ROS!T:T,ROS!U:U),"")</f>
        <v>0.416666667</v>
      </c>
      <c r="BF36" s="147">
        <f t="array" ref="BF36">XLOOKUP(R36,'Refrence Data'!B:B,'Refrence Data'!T:T)</f>
        <v>1.436355</v>
      </c>
      <c r="BG36" s="95">
        <f t="shared" si="19"/>
        <v>0</v>
      </c>
      <c r="BH36" s="4" t="str">
        <f t="shared" si="20"/>
        <v/>
      </c>
      <c r="BO36" s="153"/>
      <c r="BP36" s="153" t="str">
        <f t="shared" si="26"/>
        <v/>
      </c>
      <c r="BQ36" s="153"/>
      <c r="BR36" s="153"/>
      <c r="BS36" s="153"/>
    </row>
    <row r="37">
      <c r="A37" s="171">
        <v>5.060042490028E12</v>
      </c>
      <c r="B37" s="171" t="s">
        <v>3507</v>
      </c>
      <c r="C37" s="137" t="s">
        <v>1323</v>
      </c>
      <c r="D37" s="138" t="s">
        <v>180</v>
      </c>
      <c r="E37" s="139" t="s">
        <v>181</v>
      </c>
      <c r="F37" s="140" t="s">
        <v>3549</v>
      </c>
      <c r="G37" s="141">
        <v>0.0</v>
      </c>
      <c r="H37" s="142">
        <v>16.98658</v>
      </c>
      <c r="I37" s="143" t="s">
        <v>111</v>
      </c>
      <c r="J37" s="83"/>
      <c r="K37" s="174">
        <v>270.0</v>
      </c>
      <c r="R37" s="145" t="str">
        <f t="shared" si="1"/>
        <v>Soft Drinks_15-20</v>
      </c>
      <c r="S37" s="146" t="str">
        <f t="shared" si="2"/>
        <v>15-20</v>
      </c>
      <c r="T37" s="95" t="str">
        <f t="array" ref="T37">XLOOKUP(C37,'Depth or Width'!P:P,'Depth or Width'!V:V)</f>
        <v>Width</v>
      </c>
      <c r="U37" s="93">
        <f t="shared" si="3"/>
        <v>5</v>
      </c>
      <c r="V37" s="147">
        <f t="array" ref="V37">iferror(XLOOKUP(R37,'Refrence Data'!B:B,'Refrence Data'!W:W),"NA")</f>
        <v>8.726428</v>
      </c>
      <c r="W37" s="95">
        <f t="shared" si="4"/>
        <v>100</v>
      </c>
      <c r="Y37" s="148">
        <f t="array" ref="Y37">IFERROR(XLOOKUP(R37,'Refrence Data'!B:B,'Refrence Data'!N:N),"NA")</f>
        <v>0.642502</v>
      </c>
      <c r="Z37" s="95" t="str">
        <f t="shared" si="5"/>
        <v>MEDIUM</v>
      </c>
      <c r="AA37" s="147">
        <f t="array" ref="AA37">XLOOKUP(R37,'Refrence Data'!B:B,'Refrence Data'!AC:AC)</f>
        <v>12.43132</v>
      </c>
      <c r="AB37" s="147">
        <f t="array" ref="AB37">IFERROR(XLOOKUP(R37,'Refrence Data'!B:B,'Refrence Data'!Y:Y),"NA")</f>
        <v>11.54518</v>
      </c>
      <c r="AC37" s="95" t="str">
        <f t="shared" si="6"/>
        <v>High</v>
      </c>
      <c r="AD37" s="95" t="str">
        <f t="shared" si="7"/>
        <v>Width</v>
      </c>
      <c r="AE37" s="95" t="str">
        <f t="shared" si="8"/>
        <v>MEDIUMHighWidth</v>
      </c>
      <c r="AF37" s="95">
        <f t="array" ref="AF37">XLOOKUP(AE37,'Category Saturation'!A:A,'Category Saturation'!E:E)</f>
        <v>10</v>
      </c>
      <c r="AH37" s="148">
        <f t="array" ref="AH37">iferror(XLOOKUP(R37,'New Launch Success Rate'!A:A,'New Launch Success Rate'!F:F),"NA")</f>
        <v>1</v>
      </c>
      <c r="AI37" s="95">
        <f t="shared" si="9"/>
        <v>100</v>
      </c>
      <c r="AK37" s="149">
        <f t="shared" si="10"/>
        <v>73</v>
      </c>
      <c r="AM37" s="150">
        <f t="array" ref="AM37">XLOOKUP(R37,'Non Moving'!C:C,'Non Moving'!I:I)/100</f>
        <v>0.037</v>
      </c>
      <c r="AN37" s="151">
        <f t="shared" si="11"/>
        <v>100</v>
      </c>
      <c r="AO37" s="150">
        <f t="array" ref="AO37">XLOOKUP(R37,'Non Moving'!C:C,'Non Moving'!F:F)/100</f>
        <v>0.125</v>
      </c>
      <c r="AP37" s="151">
        <f t="shared" si="12"/>
        <v>100</v>
      </c>
      <c r="AR37" s="95">
        <f t="shared" si="13"/>
        <v>100</v>
      </c>
      <c r="AT37" s="95">
        <f t="shared" si="14"/>
        <v>0</v>
      </c>
      <c r="AU37" s="95">
        <f t="array" ref="AU37">iferror(XLOOKUP(J37,Monetization!A:A,Monetization!B:B),25)</f>
        <v>25</v>
      </c>
      <c r="AW37" s="95">
        <f t="shared" si="15"/>
        <v>7.5</v>
      </c>
      <c r="AY37" s="149">
        <f t="shared" si="16"/>
        <v>70.7</v>
      </c>
      <c r="AZ37" s="95" t="str">
        <f t="shared" si="17"/>
        <v>50-75</v>
      </c>
      <c r="BA37" s="95" t="str">
        <f t="shared" si="18"/>
        <v>50-75</v>
      </c>
      <c r="BB37" s="152">
        <f t="array" ref="BB37">iferror(XLOOKUP(C37,Sheet9!A:A,Sheet9!D:D),0)</f>
        <v>0.45</v>
      </c>
      <c r="BC37" s="2">
        <v>1.0</v>
      </c>
      <c r="BD37" s="95">
        <f t="array" ref="BD37">XLOOKUP(C37,ROS!C:C,ROS!O:O)</f>
        <v>0</v>
      </c>
      <c r="BE37" s="147">
        <f t="array" ref="BE37">IFERROR(XLOOKUP(C37,ROS!T:T,ROS!U:U),"")</f>
        <v>0</v>
      </c>
      <c r="BF37" s="147">
        <f t="array" ref="BF37">XLOOKUP(R37,'Refrence Data'!B:B,'Refrence Data'!T:T)</f>
        <v>1.436355</v>
      </c>
      <c r="BG37" s="95">
        <f t="shared" si="19"/>
        <v>0</v>
      </c>
      <c r="BH37" s="4" t="str">
        <f t="shared" si="20"/>
        <v/>
      </c>
      <c r="BO37" s="153"/>
      <c r="BP37" s="153" t="str">
        <f t="shared" si="26"/>
        <v/>
      </c>
      <c r="BQ37" s="153"/>
      <c r="BR37" s="153"/>
      <c r="BS37" s="153"/>
    </row>
    <row r="38">
      <c r="A38" s="171">
        <v>5.060042490011E12</v>
      </c>
      <c r="B38" s="171" t="s">
        <v>3507</v>
      </c>
      <c r="C38" s="137" t="s">
        <v>833</v>
      </c>
      <c r="D38" s="138" t="s">
        <v>180</v>
      </c>
      <c r="E38" s="139" t="s">
        <v>181</v>
      </c>
      <c r="F38" s="140" t="s">
        <v>3549</v>
      </c>
      <c r="G38" s="141">
        <v>0.0</v>
      </c>
      <c r="H38" s="142">
        <v>16.98658</v>
      </c>
      <c r="I38" s="143" t="s">
        <v>111</v>
      </c>
      <c r="J38" s="83"/>
      <c r="K38" s="174">
        <v>270.0</v>
      </c>
      <c r="R38" s="145" t="str">
        <f t="shared" si="1"/>
        <v>Soft Drinks_15-20</v>
      </c>
      <c r="S38" s="146" t="str">
        <f t="shared" si="2"/>
        <v>15-20</v>
      </c>
      <c r="T38" s="95" t="str">
        <f t="array" ref="T38">XLOOKUP(C38,'Depth or Width'!P:P,'Depth or Width'!V:V)</f>
        <v>Depth</v>
      </c>
      <c r="U38" s="93">
        <f t="shared" si="3"/>
        <v>5</v>
      </c>
      <c r="V38" s="147">
        <f t="array" ref="V38">iferror(XLOOKUP(R38,'Refrence Data'!B:B,'Refrence Data'!W:W),"NA")</f>
        <v>8.726428</v>
      </c>
      <c r="W38" s="95">
        <f t="shared" si="4"/>
        <v>100</v>
      </c>
      <c r="Y38" s="148">
        <f t="array" ref="Y38">IFERROR(XLOOKUP(R38,'Refrence Data'!B:B,'Refrence Data'!N:N),"NA")</f>
        <v>0.642502</v>
      </c>
      <c r="Z38" s="95" t="str">
        <f t="shared" si="5"/>
        <v>MEDIUM</v>
      </c>
      <c r="AA38" s="147">
        <f t="array" ref="AA38">XLOOKUP(R38,'Refrence Data'!B:B,'Refrence Data'!AC:AC)</f>
        <v>12.43132</v>
      </c>
      <c r="AB38" s="147">
        <f t="array" ref="AB38">IFERROR(XLOOKUP(R38,'Refrence Data'!B:B,'Refrence Data'!Y:Y),"NA")</f>
        <v>11.54518</v>
      </c>
      <c r="AC38" s="95" t="str">
        <f t="shared" si="6"/>
        <v>High</v>
      </c>
      <c r="AD38" s="95" t="str">
        <f t="shared" si="7"/>
        <v>Depth</v>
      </c>
      <c r="AE38" s="95" t="str">
        <f t="shared" si="8"/>
        <v>MEDIUMHighDepth</v>
      </c>
      <c r="AF38" s="95">
        <f t="array" ref="AF38">XLOOKUP(AE38,'Category Saturation'!A:A,'Category Saturation'!E:E)</f>
        <v>60</v>
      </c>
      <c r="AH38" s="148">
        <f t="array" ref="AH38">iferror(XLOOKUP(R38,'New Launch Success Rate'!A:A,'New Launch Success Rate'!F:F),"NA")</f>
        <v>1</v>
      </c>
      <c r="AI38" s="95">
        <f t="shared" si="9"/>
        <v>100</v>
      </c>
      <c r="AK38" s="149">
        <f t="shared" si="10"/>
        <v>88</v>
      </c>
      <c r="AM38" s="150">
        <f t="array" ref="AM38">XLOOKUP(R38,'Non Moving'!C:C,'Non Moving'!I:I)/100</f>
        <v>0.037</v>
      </c>
      <c r="AN38" s="151">
        <f t="shared" si="11"/>
        <v>100</v>
      </c>
      <c r="AO38" s="150">
        <f t="array" ref="AO38">XLOOKUP(R38,'Non Moving'!C:C,'Non Moving'!F:F)/100</f>
        <v>0.125</v>
      </c>
      <c r="AP38" s="151">
        <f t="shared" si="12"/>
        <v>100</v>
      </c>
      <c r="AR38" s="95">
        <f t="shared" si="13"/>
        <v>100</v>
      </c>
      <c r="AT38" s="95">
        <f t="shared" si="14"/>
        <v>0</v>
      </c>
      <c r="AU38" s="95">
        <f t="array" ref="AU38">iferror(XLOOKUP(J38,Monetization!A:A,Monetization!B:B),25)</f>
        <v>25</v>
      </c>
      <c r="AW38" s="95">
        <f t="shared" si="15"/>
        <v>7.5</v>
      </c>
      <c r="AY38" s="149">
        <f t="shared" si="16"/>
        <v>76.7</v>
      </c>
      <c r="AZ38" s="95" t="str">
        <f t="shared" si="17"/>
        <v>75-100</v>
      </c>
      <c r="BA38" s="95" t="str">
        <f t="shared" si="18"/>
        <v>75-100</v>
      </c>
      <c r="BB38" s="152">
        <f t="array" ref="BB38">iferror(XLOOKUP(C38,Sheet9!A:A,Sheet9!D:D),0)</f>
        <v>0.5</v>
      </c>
      <c r="BC38" s="2">
        <v>1.0</v>
      </c>
      <c r="BD38" s="95">
        <f t="array" ref="BD38">XLOOKUP(C38,ROS!C:C,ROS!O:O)</f>
        <v>0</v>
      </c>
      <c r="BE38" s="147">
        <f t="array" ref="BE38">IFERROR(XLOOKUP(C38,ROS!T:T,ROS!U:U),"")</f>
        <v>0.392857143</v>
      </c>
      <c r="BF38" s="147">
        <f t="array" ref="BF38">XLOOKUP(R38,'Refrence Data'!B:B,'Refrence Data'!T:T)</f>
        <v>1.436355</v>
      </c>
      <c r="BG38" s="95">
        <f t="shared" si="19"/>
        <v>0</v>
      </c>
      <c r="BH38" s="4" t="str">
        <f t="shared" si="20"/>
        <v/>
      </c>
      <c r="BO38" s="153"/>
      <c r="BP38" s="153" t="str">
        <f t="shared" si="26"/>
        <v/>
      </c>
      <c r="BQ38" s="153"/>
      <c r="BR38" s="153"/>
      <c r="BS38" s="153"/>
    </row>
    <row r="39">
      <c r="A39" s="171">
        <v>5.060042490004E12</v>
      </c>
      <c r="B39" s="171" t="s">
        <v>3507</v>
      </c>
      <c r="C39" s="137" t="s">
        <v>834</v>
      </c>
      <c r="D39" s="138" t="s">
        <v>180</v>
      </c>
      <c r="E39" s="139" t="s">
        <v>181</v>
      </c>
      <c r="F39" s="140" t="s">
        <v>3549</v>
      </c>
      <c r="G39" s="141">
        <v>0.0</v>
      </c>
      <c r="H39" s="142">
        <v>16.98658</v>
      </c>
      <c r="I39" s="143" t="s">
        <v>111</v>
      </c>
      <c r="J39" s="83"/>
      <c r="K39" s="174">
        <v>270.0</v>
      </c>
      <c r="R39" s="145" t="str">
        <f t="shared" si="1"/>
        <v>Soft Drinks_15-20</v>
      </c>
      <c r="S39" s="146" t="str">
        <f t="shared" si="2"/>
        <v>15-20</v>
      </c>
      <c r="T39" s="95" t="str">
        <f t="array" ref="T39">XLOOKUP(C39,'Depth or Width'!P:P,'Depth or Width'!V:V)</f>
        <v>Depth</v>
      </c>
      <c r="U39" s="93">
        <f t="shared" si="3"/>
        <v>5</v>
      </c>
      <c r="V39" s="147">
        <f t="array" ref="V39">iferror(XLOOKUP(R39,'Refrence Data'!B:B,'Refrence Data'!W:W),"NA")</f>
        <v>8.726428</v>
      </c>
      <c r="W39" s="95">
        <f t="shared" si="4"/>
        <v>100</v>
      </c>
      <c r="Y39" s="148">
        <f t="array" ref="Y39">IFERROR(XLOOKUP(R39,'Refrence Data'!B:B,'Refrence Data'!N:N),"NA")</f>
        <v>0.642502</v>
      </c>
      <c r="Z39" s="95" t="str">
        <f t="shared" si="5"/>
        <v>MEDIUM</v>
      </c>
      <c r="AA39" s="147">
        <f t="array" ref="AA39">XLOOKUP(R39,'Refrence Data'!B:B,'Refrence Data'!AC:AC)</f>
        <v>12.43132</v>
      </c>
      <c r="AB39" s="147">
        <f t="array" ref="AB39">IFERROR(XLOOKUP(R39,'Refrence Data'!B:B,'Refrence Data'!Y:Y),"NA")</f>
        <v>11.54518</v>
      </c>
      <c r="AC39" s="95" t="str">
        <f t="shared" si="6"/>
        <v>High</v>
      </c>
      <c r="AD39" s="95" t="str">
        <f t="shared" si="7"/>
        <v>Depth</v>
      </c>
      <c r="AE39" s="95" t="str">
        <f t="shared" si="8"/>
        <v>MEDIUMHighDepth</v>
      </c>
      <c r="AF39" s="95">
        <f t="array" ref="AF39">XLOOKUP(AE39,'Category Saturation'!A:A,'Category Saturation'!E:E)</f>
        <v>60</v>
      </c>
      <c r="AH39" s="148">
        <f t="array" ref="AH39">iferror(XLOOKUP(R39,'New Launch Success Rate'!A:A,'New Launch Success Rate'!F:F),"NA")</f>
        <v>1</v>
      </c>
      <c r="AI39" s="95">
        <f t="shared" si="9"/>
        <v>100</v>
      </c>
      <c r="AK39" s="149">
        <f t="shared" si="10"/>
        <v>88</v>
      </c>
      <c r="AM39" s="150">
        <f t="array" ref="AM39">XLOOKUP(R39,'Non Moving'!C:C,'Non Moving'!I:I)/100</f>
        <v>0.037</v>
      </c>
      <c r="AN39" s="151">
        <f t="shared" si="11"/>
        <v>100</v>
      </c>
      <c r="AO39" s="150">
        <f t="array" ref="AO39">XLOOKUP(R39,'Non Moving'!C:C,'Non Moving'!F:F)/100</f>
        <v>0.125</v>
      </c>
      <c r="AP39" s="151">
        <f t="shared" si="12"/>
        <v>100</v>
      </c>
      <c r="AR39" s="95">
        <f t="shared" si="13"/>
        <v>100</v>
      </c>
      <c r="AT39" s="95">
        <f t="shared" si="14"/>
        <v>0</v>
      </c>
      <c r="AU39" s="95">
        <f t="array" ref="AU39">iferror(XLOOKUP(J39,Monetization!A:A,Monetization!B:B),25)</f>
        <v>25</v>
      </c>
      <c r="AW39" s="95">
        <f t="shared" si="15"/>
        <v>7.5</v>
      </c>
      <c r="AY39" s="149">
        <f t="shared" si="16"/>
        <v>76.7</v>
      </c>
      <c r="AZ39" s="95" t="str">
        <f t="shared" si="17"/>
        <v>75-100</v>
      </c>
      <c r="BA39" s="95" t="str">
        <f t="shared" si="18"/>
        <v>75-100</v>
      </c>
      <c r="BB39" s="152">
        <f t="array" ref="BB39">iferror(XLOOKUP(C39,Sheet9!A:A,Sheet9!D:D),0)</f>
        <v>0.5</v>
      </c>
      <c r="BC39" s="2">
        <v>1.0</v>
      </c>
      <c r="BD39" s="95">
        <f t="array" ref="BD39">XLOOKUP(C39,ROS!C:C,ROS!O:O)</f>
        <v>0</v>
      </c>
      <c r="BE39" s="147">
        <f t="array" ref="BE39">IFERROR(XLOOKUP(C39,ROS!T:T,ROS!U:U),"")</f>
        <v>0.166666667</v>
      </c>
      <c r="BF39" s="147">
        <f t="array" ref="BF39">XLOOKUP(R39,'Refrence Data'!B:B,'Refrence Data'!T:T)</f>
        <v>1.436355</v>
      </c>
      <c r="BG39" s="95">
        <f t="shared" si="19"/>
        <v>0</v>
      </c>
      <c r="BH39" s="4" t="str">
        <f t="shared" si="20"/>
        <v/>
      </c>
      <c r="BO39" s="153"/>
      <c r="BP39" s="153" t="str">
        <f t="shared" si="26"/>
        <v/>
      </c>
      <c r="BQ39" s="153"/>
      <c r="BR39" s="153"/>
      <c r="BS39" s="153"/>
    </row>
    <row r="40">
      <c r="A40" s="171">
        <v>5.00029102551E12</v>
      </c>
      <c r="B40" s="171" t="s">
        <v>3507</v>
      </c>
      <c r="C40" s="137" t="s">
        <v>835</v>
      </c>
      <c r="D40" s="138" t="s">
        <v>180</v>
      </c>
      <c r="E40" s="139" t="s">
        <v>186</v>
      </c>
      <c r="F40" s="140" t="s">
        <v>3550</v>
      </c>
      <c r="G40" s="141">
        <v>6.0</v>
      </c>
      <c r="H40" s="142">
        <v>113.9897</v>
      </c>
      <c r="I40" s="143" t="s">
        <v>112</v>
      </c>
      <c r="J40" s="83"/>
      <c r="K40" s="174">
        <v>0.0</v>
      </c>
      <c r="R40" s="145" t="str">
        <f t="shared" si="1"/>
        <v>Sober Sips &amp; Mixers_25+</v>
      </c>
      <c r="S40" s="146" t="str">
        <f t="shared" si="2"/>
        <v>25+</v>
      </c>
      <c r="T40" s="95" t="str">
        <f t="array" ref="T40">XLOOKUP(C40,'Depth or Width'!P:P,'Depth or Width'!V:V)</f>
        <v>Width</v>
      </c>
      <c r="U40" s="93">
        <f t="shared" si="3"/>
        <v>5</v>
      </c>
      <c r="V40" s="147">
        <f t="array" ref="V40">iferror(XLOOKUP(R40,'Refrence Data'!B:B,'Refrence Data'!W:W),"NA")</f>
        <v>0.666013</v>
      </c>
      <c r="W40" s="95">
        <f t="shared" si="4"/>
        <v>0</v>
      </c>
      <c r="Y40" s="148">
        <f t="array" ref="Y40">IFERROR(XLOOKUP(R40,'Refrence Data'!B:B,'Refrence Data'!N:N),"NA")</f>
        <v>0.962532</v>
      </c>
      <c r="Z40" s="95" t="str">
        <f t="shared" si="5"/>
        <v>HIGH</v>
      </c>
      <c r="AA40" s="147">
        <f t="array" ref="AA40">XLOOKUP(R40,'Refrence Data'!B:B,'Refrence Data'!AC:AC)</f>
        <v>10.69072</v>
      </c>
      <c r="AB40" s="147">
        <f t="array" ref="AB40">IFERROR(XLOOKUP(R40,'Refrence Data'!B:B,'Refrence Data'!Y:Y),"NA")</f>
        <v>4.141047</v>
      </c>
      <c r="AC40" s="95" t="str">
        <f t="shared" si="6"/>
        <v>Low</v>
      </c>
      <c r="AD40" s="95" t="str">
        <f t="shared" si="7"/>
        <v>Width</v>
      </c>
      <c r="AE40" s="95" t="str">
        <f t="shared" si="8"/>
        <v>HIGHLowWidth</v>
      </c>
      <c r="AF40" s="95">
        <f t="array" ref="AF40">XLOOKUP(AE40,'Category Saturation'!A:A,'Category Saturation'!E:E)</f>
        <v>15</v>
      </c>
      <c r="AH40" s="148">
        <f t="array" ref="AH40">iferror(XLOOKUP(R40,'New Launch Success Rate'!A:A,'New Launch Success Rate'!F:F),"NA")</f>
        <v>0.477</v>
      </c>
      <c r="AI40" s="95">
        <f t="shared" si="9"/>
        <v>25</v>
      </c>
      <c r="AK40" s="149">
        <f t="shared" si="10"/>
        <v>7</v>
      </c>
      <c r="AM40" s="150">
        <f t="array" ref="AM40">XLOOKUP(R40,'Non Moving'!C:C,'Non Moving'!I:I)/100</f>
        <v>0.246</v>
      </c>
      <c r="AN40" s="151">
        <f t="shared" si="11"/>
        <v>0</v>
      </c>
      <c r="AO40" s="150">
        <f t="array" ref="AO40">XLOOKUP(R40,'Non Moving'!C:C,'Non Moving'!F:F)/100</f>
        <v>0.481</v>
      </c>
      <c r="AP40" s="151">
        <f t="shared" si="12"/>
        <v>0</v>
      </c>
      <c r="AR40" s="95">
        <f t="shared" si="13"/>
        <v>0</v>
      </c>
      <c r="AT40" s="95">
        <f t="shared" si="14"/>
        <v>100</v>
      </c>
      <c r="AU40" s="95">
        <f t="array" ref="AU40">iferror(XLOOKUP(J40,Monetization!A:A,Monetization!B:B),25)</f>
        <v>25</v>
      </c>
      <c r="AW40" s="95">
        <f t="shared" si="15"/>
        <v>77.5</v>
      </c>
      <c r="AY40" s="149">
        <f t="shared" si="16"/>
        <v>18.3</v>
      </c>
      <c r="AZ40" s="95" t="str">
        <f t="shared" si="17"/>
        <v>0-25</v>
      </c>
      <c r="BA40" s="95" t="str">
        <f t="shared" si="18"/>
        <v>0-25</v>
      </c>
      <c r="BB40" s="152">
        <f t="array" ref="BB40">iferror(XLOOKUP(C40,Sheet9!A:A,Sheet9!D:D),0)</f>
        <v>0</v>
      </c>
      <c r="BC40" s="2">
        <v>1.0</v>
      </c>
      <c r="BD40" s="95">
        <f t="array" ref="BD40">XLOOKUP(C40,ROS!C:C,ROS!O:O)</f>
        <v>0</v>
      </c>
      <c r="BE40" s="147" t="str">
        <f t="array" ref="BE40">IFERROR(XLOOKUP(C40,ROS!T:T,ROS!U:U),"")</f>
        <v/>
      </c>
      <c r="BF40" s="147">
        <f t="array" ref="BF40">XLOOKUP(R40,'Refrence Data'!B:B,'Refrence Data'!T:T)</f>
        <v>0.086957</v>
      </c>
      <c r="BG40" s="95">
        <f t="shared" si="19"/>
        <v>0</v>
      </c>
      <c r="BH40" s="4" t="str">
        <f t="shared" si="20"/>
        <v/>
      </c>
      <c r="BO40" s="153"/>
      <c r="BP40" s="153" t="str">
        <f t="shared" si="26"/>
        <v/>
      </c>
      <c r="BQ40" s="153"/>
      <c r="BR40" s="153"/>
      <c r="BS40" s="153"/>
    </row>
    <row r="41">
      <c r="A41" s="171">
        <v>5.000289933605E12</v>
      </c>
      <c r="B41" s="171" t="s">
        <v>3507</v>
      </c>
      <c r="C41" s="137" t="s">
        <v>838</v>
      </c>
      <c r="D41" s="138" t="s">
        <v>180</v>
      </c>
      <c r="E41" s="139" t="s">
        <v>186</v>
      </c>
      <c r="F41" s="140" t="s">
        <v>3550</v>
      </c>
      <c r="G41" s="141">
        <v>6.0</v>
      </c>
      <c r="H41" s="142">
        <v>73.64181</v>
      </c>
      <c r="I41" s="143" t="s">
        <v>112</v>
      </c>
      <c r="J41" s="83"/>
      <c r="K41" s="174">
        <v>0.0</v>
      </c>
      <c r="R41" s="145" t="str">
        <f t="shared" si="1"/>
        <v>Sober Sips &amp; Mixers_25+</v>
      </c>
      <c r="S41" s="146" t="str">
        <f t="shared" si="2"/>
        <v>25+</v>
      </c>
      <c r="T41" s="95" t="str">
        <f t="array" ref="T41">XLOOKUP(C41,'Depth or Width'!P:P,'Depth or Width'!V:V)</f>
        <v>Width</v>
      </c>
      <c r="U41" s="93">
        <f t="shared" si="3"/>
        <v>5</v>
      </c>
      <c r="V41" s="147">
        <f t="array" ref="V41">iferror(XLOOKUP(R41,'Refrence Data'!B:B,'Refrence Data'!W:W),"NA")</f>
        <v>0.666013</v>
      </c>
      <c r="W41" s="95">
        <f t="shared" si="4"/>
        <v>0</v>
      </c>
      <c r="Y41" s="148">
        <f t="array" ref="Y41">IFERROR(XLOOKUP(R41,'Refrence Data'!B:B,'Refrence Data'!N:N),"NA")</f>
        <v>0.962532</v>
      </c>
      <c r="Z41" s="95" t="str">
        <f t="shared" si="5"/>
        <v>HIGH</v>
      </c>
      <c r="AA41" s="147">
        <f t="array" ref="AA41">XLOOKUP(R41,'Refrence Data'!B:B,'Refrence Data'!AC:AC)</f>
        <v>10.69072</v>
      </c>
      <c r="AB41" s="147">
        <f t="array" ref="AB41">IFERROR(XLOOKUP(R41,'Refrence Data'!B:B,'Refrence Data'!Y:Y),"NA")</f>
        <v>4.141047</v>
      </c>
      <c r="AC41" s="95" t="str">
        <f t="shared" si="6"/>
        <v>Low</v>
      </c>
      <c r="AD41" s="95" t="str">
        <f t="shared" si="7"/>
        <v>Width</v>
      </c>
      <c r="AE41" s="95" t="str">
        <f t="shared" si="8"/>
        <v>HIGHLowWidth</v>
      </c>
      <c r="AF41" s="95">
        <f t="array" ref="AF41">XLOOKUP(AE41,'Category Saturation'!A:A,'Category Saturation'!E:E)</f>
        <v>15</v>
      </c>
      <c r="AH41" s="148">
        <f t="array" ref="AH41">iferror(XLOOKUP(R41,'New Launch Success Rate'!A:A,'New Launch Success Rate'!F:F),"NA")</f>
        <v>0.477</v>
      </c>
      <c r="AI41" s="95">
        <f t="shared" si="9"/>
        <v>25</v>
      </c>
      <c r="AK41" s="149">
        <f t="shared" si="10"/>
        <v>7</v>
      </c>
      <c r="AM41" s="150">
        <f t="array" ref="AM41">XLOOKUP(R41,'Non Moving'!C:C,'Non Moving'!I:I)/100</f>
        <v>0.246</v>
      </c>
      <c r="AN41" s="151">
        <f t="shared" si="11"/>
        <v>0</v>
      </c>
      <c r="AO41" s="150">
        <f t="array" ref="AO41">XLOOKUP(R41,'Non Moving'!C:C,'Non Moving'!F:F)/100</f>
        <v>0.481</v>
      </c>
      <c r="AP41" s="151">
        <f t="shared" si="12"/>
        <v>0</v>
      </c>
      <c r="AR41" s="95">
        <f t="shared" si="13"/>
        <v>0</v>
      </c>
      <c r="AT41" s="95">
        <f t="shared" si="14"/>
        <v>100</v>
      </c>
      <c r="AU41" s="95">
        <f t="array" ref="AU41">iferror(XLOOKUP(J41,Monetization!A:A,Monetization!B:B),25)</f>
        <v>25</v>
      </c>
      <c r="AW41" s="95">
        <f t="shared" si="15"/>
        <v>77.5</v>
      </c>
      <c r="AY41" s="149">
        <f t="shared" si="16"/>
        <v>18.3</v>
      </c>
      <c r="AZ41" s="95" t="str">
        <f t="shared" si="17"/>
        <v>0-25</v>
      </c>
      <c r="BA41" s="95" t="str">
        <f t="shared" si="18"/>
        <v>0-25</v>
      </c>
      <c r="BB41" s="152">
        <f t="array" ref="BB41">iferror(XLOOKUP(C41,Sheet9!A:A,Sheet9!D:D),0)</f>
        <v>0</v>
      </c>
      <c r="BC41" s="2">
        <v>1.0</v>
      </c>
      <c r="BD41" s="95">
        <f t="array" ref="BD41">XLOOKUP(C41,ROS!C:C,ROS!O:O)</f>
        <v>0.090909</v>
      </c>
      <c r="BE41" s="147" t="str">
        <f t="array" ref="BE41">IFERROR(XLOOKUP(C41,ROS!T:T,ROS!U:U),"")</f>
        <v/>
      </c>
      <c r="BF41" s="147">
        <f t="array" ref="BF41">XLOOKUP(R41,'Refrence Data'!B:B,'Refrence Data'!T:T)</f>
        <v>0.086957</v>
      </c>
      <c r="BG41" s="95">
        <f t="shared" si="19"/>
        <v>0</v>
      </c>
      <c r="BH41" s="4" t="str">
        <f t="shared" si="20"/>
        <v/>
      </c>
      <c r="BO41" s="153"/>
      <c r="BP41" s="153" t="str">
        <f t="shared" si="26"/>
        <v/>
      </c>
      <c r="BQ41" s="153"/>
      <c r="BR41" s="153"/>
      <c r="BS41" s="153"/>
    </row>
    <row r="42">
      <c r="A42" s="171">
        <v>5.000213024829E12</v>
      </c>
      <c r="B42" s="171" t="s">
        <v>3507</v>
      </c>
      <c r="C42" s="137" t="s">
        <v>840</v>
      </c>
      <c r="D42" s="138" t="s">
        <v>180</v>
      </c>
      <c r="E42" s="139" t="s">
        <v>186</v>
      </c>
      <c r="F42" s="140" t="s">
        <v>3550</v>
      </c>
      <c r="G42" s="141">
        <v>24.0</v>
      </c>
      <c r="H42" s="142">
        <v>17.7984</v>
      </c>
      <c r="I42" s="143" t="s">
        <v>112</v>
      </c>
      <c r="J42" s="83"/>
      <c r="K42" s="174">
        <v>300.0</v>
      </c>
      <c r="R42" s="145" t="str">
        <f t="shared" si="1"/>
        <v>Sober Sips &amp; Mixers_15-20</v>
      </c>
      <c r="S42" s="146" t="str">
        <f t="shared" si="2"/>
        <v>15-20</v>
      </c>
      <c r="T42" s="95" t="str">
        <f t="array" ref="T42">XLOOKUP(C42,'Depth or Width'!P:P,'Depth or Width'!V:V)</f>
        <v>Width</v>
      </c>
      <c r="U42" s="93">
        <f t="shared" si="3"/>
        <v>5</v>
      </c>
      <c r="V42" s="147">
        <f t="array" ref="V42">iferror(XLOOKUP(R42,'Refrence Data'!B:B,'Refrence Data'!W:W),"NA")</f>
        <v>2.919932</v>
      </c>
      <c r="W42" s="95">
        <f t="shared" si="4"/>
        <v>50</v>
      </c>
      <c r="Y42" s="148">
        <f t="array" ref="Y42">IFERROR(XLOOKUP(R42,'Refrence Data'!B:B,'Refrence Data'!N:N),"NA")</f>
        <v>0.834676</v>
      </c>
      <c r="Z42" s="95" t="str">
        <f t="shared" si="5"/>
        <v>HIGH</v>
      </c>
      <c r="AA42" s="147">
        <f t="array" ref="AA42">XLOOKUP(R42,'Refrence Data'!B:B,'Refrence Data'!AC:AC)</f>
        <v>10.69072</v>
      </c>
      <c r="AB42" s="147">
        <f t="array" ref="AB42">IFERROR(XLOOKUP(R42,'Refrence Data'!B:B,'Refrence Data'!Y:Y),"NA")</f>
        <v>11.37515</v>
      </c>
      <c r="AC42" s="95" t="str">
        <f t="shared" si="6"/>
        <v>High</v>
      </c>
      <c r="AD42" s="95" t="str">
        <f t="shared" si="7"/>
        <v>Width</v>
      </c>
      <c r="AE42" s="95" t="str">
        <f t="shared" si="8"/>
        <v>HIGHHighWidth</v>
      </c>
      <c r="AF42" s="95">
        <f t="array" ref="AF42">XLOOKUP(AE42,'Category Saturation'!A:A,'Category Saturation'!E:E)</f>
        <v>25</v>
      </c>
      <c r="AH42" s="148">
        <f t="array" ref="AH42">iferror(XLOOKUP(R42,'New Launch Success Rate'!A:A,'New Launch Success Rate'!F:F),"NA")</f>
        <v>0.66675</v>
      </c>
      <c r="AI42" s="95">
        <f t="shared" si="9"/>
        <v>50</v>
      </c>
      <c r="AK42" s="149">
        <f t="shared" si="10"/>
        <v>42.5</v>
      </c>
      <c r="AM42" s="150">
        <f t="array" ref="AM42">XLOOKUP(R42,'Non Moving'!C:C,'Non Moving'!I:I)/100</f>
        <v>0.083</v>
      </c>
      <c r="AN42" s="151">
        <f t="shared" si="11"/>
        <v>100</v>
      </c>
      <c r="AO42" s="150">
        <f t="array" ref="AO42">XLOOKUP(R42,'Non Moving'!C:C,'Non Moving'!F:F)/100</f>
        <v>0.23</v>
      </c>
      <c r="AP42" s="151">
        <f t="shared" si="12"/>
        <v>100</v>
      </c>
      <c r="AR42" s="95">
        <f t="shared" si="13"/>
        <v>100</v>
      </c>
      <c r="AT42" s="95">
        <f t="shared" si="14"/>
        <v>100</v>
      </c>
      <c r="AU42" s="95">
        <f t="array" ref="AU42">iferror(XLOOKUP(J42,Monetization!A:A,Monetization!B:B),25)</f>
        <v>25</v>
      </c>
      <c r="AW42" s="95">
        <f t="shared" si="15"/>
        <v>77.5</v>
      </c>
      <c r="AY42" s="149">
        <f t="shared" si="16"/>
        <v>72.5</v>
      </c>
      <c r="AZ42" s="95" t="str">
        <f t="shared" si="17"/>
        <v>50-75</v>
      </c>
      <c r="BA42" s="95" t="str">
        <f t="shared" si="18"/>
        <v>25-50</v>
      </c>
      <c r="BB42" s="152">
        <f t="array" ref="BB42">iferror(XLOOKUP(C42,Sheet9!A:A,Sheet9!D:D),0)</f>
        <v>0.24</v>
      </c>
      <c r="BC42" s="2">
        <v>1.0</v>
      </c>
      <c r="BD42" s="95">
        <f t="array" ref="BD42">XLOOKUP(C42,ROS!C:C,ROS!O:O)</f>
        <v>0</v>
      </c>
      <c r="BE42" s="147">
        <f t="array" ref="BE42">IFERROR(XLOOKUP(C42,ROS!T:T,ROS!U:U),"")</f>
        <v>5</v>
      </c>
      <c r="BF42" s="147">
        <f t="array" ref="BF42">XLOOKUP(R42,'Refrence Data'!B:B,'Refrence Data'!T:T)</f>
        <v>0.182006</v>
      </c>
      <c r="BG42" s="95">
        <f t="shared" si="19"/>
        <v>1</v>
      </c>
      <c r="BH42" s="4" t="str">
        <f t="shared" si="20"/>
        <v/>
      </c>
      <c r="BO42" s="153"/>
      <c r="BP42" s="153" t="str">
        <f t="shared" si="26"/>
        <v/>
      </c>
      <c r="BQ42" s="153"/>
      <c r="BR42" s="153"/>
      <c r="BS42" s="153"/>
    </row>
    <row r="43">
      <c r="A43" s="171">
        <v>8.908017962569E12</v>
      </c>
      <c r="B43" s="171" t="s">
        <v>3521</v>
      </c>
      <c r="C43" s="137" t="s">
        <v>1077</v>
      </c>
      <c r="D43" s="138" t="s">
        <v>616</v>
      </c>
      <c r="E43" s="139" t="s">
        <v>622</v>
      </c>
      <c r="F43" s="140" t="s">
        <v>3542</v>
      </c>
      <c r="G43" s="141">
        <v>0.0</v>
      </c>
      <c r="H43" s="142">
        <v>8.234962</v>
      </c>
      <c r="I43" s="143" t="s">
        <v>112</v>
      </c>
      <c r="J43" s="83"/>
      <c r="K43" s="174">
        <v>365.0</v>
      </c>
      <c r="R43" s="145" t="str">
        <f t="shared" si="1"/>
        <v>Noodles &amp; Soup_5-10</v>
      </c>
      <c r="S43" s="146" t="str">
        <f t="shared" si="2"/>
        <v>5-10</v>
      </c>
      <c r="T43" s="95" t="str">
        <f t="array" ref="T43">XLOOKUP(C43,'Depth or Width'!P:P,'Depth or Width'!V:V)</f>
        <v>Depth</v>
      </c>
      <c r="U43" s="93">
        <f t="shared" si="3"/>
        <v>5</v>
      </c>
      <c r="V43" s="147">
        <f t="array" ref="V43">iferror(XLOOKUP(R43,'Refrence Data'!B:B,'Refrence Data'!W:W),"NA")</f>
        <v>5.347041</v>
      </c>
      <c r="W43" s="95">
        <f t="shared" si="4"/>
        <v>100</v>
      </c>
      <c r="Y43" s="148">
        <f t="array" ref="Y43">IFERROR(XLOOKUP(R43,'Refrence Data'!B:B,'Refrence Data'!N:N),"NA")</f>
        <v>0.61668</v>
      </c>
      <c r="Z43" s="95" t="str">
        <f t="shared" si="5"/>
        <v>MEDIUM</v>
      </c>
      <c r="AA43" s="147">
        <f t="array" ref="AA43">XLOOKUP(R43,'Refrence Data'!B:B,'Refrence Data'!AC:AC)</f>
        <v>3.10509</v>
      </c>
      <c r="AB43" s="147">
        <f t="array" ref="AB43">IFERROR(XLOOKUP(R43,'Refrence Data'!B:B,'Refrence Data'!Y:Y),"NA")</f>
        <v>6.422177</v>
      </c>
      <c r="AC43" s="95" t="str">
        <f t="shared" si="6"/>
        <v>High</v>
      </c>
      <c r="AD43" s="95" t="str">
        <f t="shared" si="7"/>
        <v>Depth</v>
      </c>
      <c r="AE43" s="95" t="str">
        <f t="shared" si="8"/>
        <v>MEDIUMHighDepth</v>
      </c>
      <c r="AF43" s="95">
        <f t="array" ref="AF43">XLOOKUP(AE43,'Category Saturation'!A:A,'Category Saturation'!E:E)</f>
        <v>60</v>
      </c>
      <c r="AH43" s="148">
        <f t="array" ref="AH43">iferror(XLOOKUP(R43,'New Launch Success Rate'!A:A,'New Launch Success Rate'!F:F),"NA")</f>
        <v>0.8</v>
      </c>
      <c r="AI43" s="95">
        <f t="shared" si="9"/>
        <v>100</v>
      </c>
      <c r="AK43" s="149">
        <f t="shared" si="10"/>
        <v>88</v>
      </c>
      <c r="AM43" s="150">
        <f t="array" ref="AM43">XLOOKUP(R43,'Non Moving'!C:C,'Non Moving'!I:I)/100</f>
        <v>0.024</v>
      </c>
      <c r="AN43" s="151">
        <f t="shared" si="11"/>
        <v>100</v>
      </c>
      <c r="AO43" s="150">
        <f t="array" ref="AO43">XLOOKUP(R43,'Non Moving'!C:C,'Non Moving'!F:F)/100</f>
        <v>0.13</v>
      </c>
      <c r="AP43" s="151">
        <f t="shared" si="12"/>
        <v>100</v>
      </c>
      <c r="AR43" s="95">
        <f t="shared" si="13"/>
        <v>100</v>
      </c>
      <c r="AT43" s="95">
        <f t="shared" si="14"/>
        <v>100</v>
      </c>
      <c r="AU43" s="95">
        <f t="array" ref="AU43">iferror(XLOOKUP(J43,Monetization!A:A,Monetization!B:B),25)</f>
        <v>25</v>
      </c>
      <c r="AW43" s="95">
        <f t="shared" si="15"/>
        <v>77.5</v>
      </c>
      <c r="AY43" s="149">
        <f t="shared" si="16"/>
        <v>90.7</v>
      </c>
      <c r="AZ43" s="95" t="str">
        <f t="shared" si="17"/>
        <v>75-100</v>
      </c>
      <c r="BA43" s="95" t="str">
        <f t="shared" si="18"/>
        <v>75-100</v>
      </c>
      <c r="BB43" s="152">
        <f t="array" ref="BB43">iferror(XLOOKUP(C43,Sheet9!A:A,Sheet9!D:D),0)</f>
        <v>0.95</v>
      </c>
      <c r="BC43" s="2">
        <v>1.0</v>
      </c>
      <c r="BD43" s="95">
        <f t="array" ref="BD43">XLOOKUP(C43,ROS!C:C,ROS!O:O)</f>
        <v>0</v>
      </c>
      <c r="BE43" s="147">
        <f t="array" ref="BE43">IFERROR(XLOOKUP(C43,ROS!T:T,ROS!U:U),"")</f>
        <v>0.166666667</v>
      </c>
      <c r="BF43" s="147">
        <f t="array" ref="BF43">XLOOKUP(R43,'Refrence Data'!B:B,'Refrence Data'!T:T)</f>
        <v>1</v>
      </c>
      <c r="BG43" s="95">
        <f t="shared" si="19"/>
        <v>0</v>
      </c>
      <c r="BH43" s="4" t="str">
        <f t="shared" si="20"/>
        <v>FP</v>
      </c>
      <c r="BO43" s="153"/>
      <c r="BP43" s="153" t="str">
        <f t="shared" si="26"/>
        <v>FP</v>
      </c>
      <c r="BQ43" s="153"/>
      <c r="BR43" s="153"/>
      <c r="BS43" s="153"/>
    </row>
    <row r="44">
      <c r="A44" s="171">
        <v>8.908017962552E12</v>
      </c>
      <c r="B44" s="171" t="s">
        <v>3521</v>
      </c>
      <c r="C44" s="137" t="s">
        <v>1078</v>
      </c>
      <c r="D44" s="138" t="s">
        <v>616</v>
      </c>
      <c r="E44" s="139" t="s">
        <v>622</v>
      </c>
      <c r="F44" s="140" t="s">
        <v>3542</v>
      </c>
      <c r="G44" s="141">
        <v>0.0</v>
      </c>
      <c r="H44" s="142">
        <v>2.498026</v>
      </c>
      <c r="I44" s="143" t="s">
        <v>112</v>
      </c>
      <c r="J44" s="83"/>
      <c r="K44" s="174">
        <v>365.0</v>
      </c>
      <c r="R44" s="145" t="str">
        <f t="shared" si="1"/>
        <v>Noodles &amp; Soup_0-5</v>
      </c>
      <c r="S44" s="146" t="str">
        <f t="shared" si="2"/>
        <v>0-5</v>
      </c>
      <c r="T44" s="95" t="str">
        <f t="array" ref="T44">XLOOKUP(C44,'Depth or Width'!P:P,'Depth or Width'!V:V)</f>
        <v>Depth</v>
      </c>
      <c r="U44" s="93">
        <f t="shared" si="3"/>
        <v>5</v>
      </c>
      <c r="V44" s="147">
        <f t="array" ref="V44">iferror(XLOOKUP(R44,'Refrence Data'!B:B,'Refrence Data'!W:W),"NA")</f>
        <v>13.67064</v>
      </c>
      <c r="W44" s="95">
        <f t="shared" si="4"/>
        <v>100</v>
      </c>
      <c r="Y44" s="148">
        <f t="array" ref="Y44">IFERROR(XLOOKUP(R44,'Refrence Data'!B:B,'Refrence Data'!N:N),"NA")</f>
        <v>0.787002</v>
      </c>
      <c r="Z44" s="95" t="str">
        <f t="shared" si="5"/>
        <v>HIGH</v>
      </c>
      <c r="AA44" s="147">
        <f t="array" ref="AA44">XLOOKUP(R44,'Refrence Data'!B:B,'Refrence Data'!AC:AC)</f>
        <v>3.10509</v>
      </c>
      <c r="AB44" s="147">
        <f t="array" ref="AB44">IFERROR(XLOOKUP(R44,'Refrence Data'!B:B,'Refrence Data'!Y:Y),"NA")</f>
        <v>7.541123</v>
      </c>
      <c r="AC44" s="95" t="str">
        <f t="shared" si="6"/>
        <v>High</v>
      </c>
      <c r="AD44" s="95" t="str">
        <f t="shared" si="7"/>
        <v>Depth</v>
      </c>
      <c r="AE44" s="95" t="str">
        <f t="shared" si="8"/>
        <v>HIGHHighDepth</v>
      </c>
      <c r="AF44" s="95">
        <f t="array" ref="AF44">XLOOKUP(AE44,'Category Saturation'!A:A,'Category Saturation'!E:E)</f>
        <v>0</v>
      </c>
      <c r="AH44" s="148">
        <f t="array" ref="AH44">iferror(XLOOKUP(R44,'New Launch Success Rate'!A:A,'New Launch Success Rate'!F:F),"NA")</f>
        <v>0.75</v>
      </c>
      <c r="AI44" s="95">
        <f t="shared" si="9"/>
        <v>100</v>
      </c>
      <c r="AK44" s="149">
        <f t="shared" si="10"/>
        <v>70</v>
      </c>
      <c r="AM44" s="150">
        <f t="array" ref="AM44">XLOOKUP(R44,'Non Moving'!C:C,'Non Moving'!I:I)/100</f>
        <v>0.012</v>
      </c>
      <c r="AN44" s="151">
        <f t="shared" si="11"/>
        <v>100</v>
      </c>
      <c r="AO44" s="150">
        <f t="array" ref="AO44">XLOOKUP(R44,'Non Moving'!C:C,'Non Moving'!F:F)/100</f>
        <v>0.086</v>
      </c>
      <c r="AP44" s="151">
        <f t="shared" si="12"/>
        <v>100</v>
      </c>
      <c r="AR44" s="95">
        <f t="shared" si="13"/>
        <v>100</v>
      </c>
      <c r="AT44" s="95">
        <f t="shared" si="14"/>
        <v>100</v>
      </c>
      <c r="AU44" s="95">
        <f t="array" ref="AU44">iferror(XLOOKUP(J44,Monetization!A:A,Monetization!B:B),25)</f>
        <v>25</v>
      </c>
      <c r="AW44" s="95">
        <f t="shared" si="15"/>
        <v>77.5</v>
      </c>
      <c r="AY44" s="149">
        <f t="shared" si="16"/>
        <v>83.5</v>
      </c>
      <c r="AZ44" s="95" t="str">
        <f t="shared" si="17"/>
        <v>75-100</v>
      </c>
      <c r="BA44" s="95" t="str">
        <f t="shared" si="18"/>
        <v>50-75</v>
      </c>
      <c r="BB44" s="152">
        <f t="array" ref="BB44">iferror(XLOOKUP(C44,Sheet9!A:A,Sheet9!D:D),0)</f>
        <v>0.96</v>
      </c>
      <c r="BC44" s="2">
        <v>1.0</v>
      </c>
      <c r="BD44" s="95">
        <f t="array" ref="BD44">XLOOKUP(C44,ROS!C:C,ROS!O:O)</f>
        <v>0</v>
      </c>
      <c r="BE44" s="147">
        <f t="array" ref="BE44">IFERROR(XLOOKUP(C44,ROS!T:T,ROS!U:U),"")</f>
        <v>0</v>
      </c>
      <c r="BF44" s="147">
        <f t="array" ref="BF44">XLOOKUP(R44,'Refrence Data'!B:B,'Refrence Data'!T:T)</f>
        <v>0.160256</v>
      </c>
      <c r="BG44" s="95">
        <f t="shared" si="19"/>
        <v>0</v>
      </c>
      <c r="BH44" s="4" t="str">
        <f t="shared" si="20"/>
        <v>FP</v>
      </c>
      <c r="BO44" s="153"/>
      <c r="BP44" s="153" t="str">
        <f t="shared" si="26"/>
        <v>FP</v>
      </c>
      <c r="BQ44" s="153"/>
      <c r="BR44" s="153"/>
      <c r="BS44" s="153"/>
    </row>
    <row r="45">
      <c r="A45" s="171">
        <v>8.908017962545E12</v>
      </c>
      <c r="B45" s="171" t="s">
        <v>3521</v>
      </c>
      <c r="C45" s="137" t="s">
        <v>1079</v>
      </c>
      <c r="D45" s="138" t="s">
        <v>616</v>
      </c>
      <c r="E45" s="139" t="s">
        <v>622</v>
      </c>
      <c r="F45" s="140" t="s">
        <v>3542</v>
      </c>
      <c r="G45" s="141">
        <v>0.0</v>
      </c>
      <c r="H45" s="142">
        <v>2.406984</v>
      </c>
      <c r="I45" s="143" t="s">
        <v>112</v>
      </c>
      <c r="J45" s="83"/>
      <c r="K45" s="174">
        <v>365.0</v>
      </c>
      <c r="R45" s="145" t="str">
        <f t="shared" si="1"/>
        <v>Noodles &amp; Soup_0-5</v>
      </c>
      <c r="S45" s="146" t="str">
        <f t="shared" si="2"/>
        <v>0-5</v>
      </c>
      <c r="T45" s="95" t="str">
        <f t="array" ref="T45">XLOOKUP(C45,'Depth or Width'!P:P,'Depth or Width'!V:V)</f>
        <v>Depth</v>
      </c>
      <c r="U45" s="93">
        <f t="shared" si="3"/>
        <v>5</v>
      </c>
      <c r="V45" s="147">
        <f t="array" ref="V45">iferror(XLOOKUP(R45,'Refrence Data'!B:B,'Refrence Data'!W:W),"NA")</f>
        <v>13.67064</v>
      </c>
      <c r="W45" s="95">
        <f t="shared" si="4"/>
        <v>100</v>
      </c>
      <c r="Y45" s="148">
        <f t="array" ref="Y45">IFERROR(XLOOKUP(R45,'Refrence Data'!B:B,'Refrence Data'!N:N),"NA")</f>
        <v>0.787002</v>
      </c>
      <c r="Z45" s="95" t="str">
        <f t="shared" si="5"/>
        <v>HIGH</v>
      </c>
      <c r="AA45" s="147">
        <f t="array" ref="AA45">XLOOKUP(R45,'Refrence Data'!B:B,'Refrence Data'!AC:AC)</f>
        <v>3.10509</v>
      </c>
      <c r="AB45" s="147">
        <f t="array" ref="AB45">IFERROR(XLOOKUP(R45,'Refrence Data'!B:B,'Refrence Data'!Y:Y),"NA")</f>
        <v>7.541123</v>
      </c>
      <c r="AC45" s="95" t="str">
        <f t="shared" si="6"/>
        <v>High</v>
      </c>
      <c r="AD45" s="95" t="str">
        <f t="shared" si="7"/>
        <v>Depth</v>
      </c>
      <c r="AE45" s="95" t="str">
        <f t="shared" si="8"/>
        <v>HIGHHighDepth</v>
      </c>
      <c r="AF45" s="95">
        <f t="array" ref="AF45">XLOOKUP(AE45,'Category Saturation'!A:A,'Category Saturation'!E:E)</f>
        <v>0</v>
      </c>
      <c r="AH45" s="148">
        <f t="array" ref="AH45">iferror(XLOOKUP(R45,'New Launch Success Rate'!A:A,'New Launch Success Rate'!F:F),"NA")</f>
        <v>0.75</v>
      </c>
      <c r="AI45" s="95">
        <f t="shared" si="9"/>
        <v>100</v>
      </c>
      <c r="AK45" s="149">
        <f t="shared" si="10"/>
        <v>70</v>
      </c>
      <c r="AM45" s="150">
        <f t="array" ref="AM45">XLOOKUP(R45,'Non Moving'!C:C,'Non Moving'!I:I)/100</f>
        <v>0.012</v>
      </c>
      <c r="AN45" s="151">
        <f t="shared" si="11"/>
        <v>100</v>
      </c>
      <c r="AO45" s="150">
        <f t="array" ref="AO45">XLOOKUP(R45,'Non Moving'!C:C,'Non Moving'!F:F)/100</f>
        <v>0.086</v>
      </c>
      <c r="AP45" s="151">
        <f t="shared" si="12"/>
        <v>100</v>
      </c>
      <c r="AR45" s="95">
        <f t="shared" si="13"/>
        <v>100</v>
      </c>
      <c r="AT45" s="95">
        <f t="shared" si="14"/>
        <v>100</v>
      </c>
      <c r="AU45" s="95">
        <f t="array" ref="AU45">iferror(XLOOKUP(J45,Monetization!A:A,Monetization!B:B),25)</f>
        <v>25</v>
      </c>
      <c r="AW45" s="95">
        <f t="shared" si="15"/>
        <v>77.5</v>
      </c>
      <c r="AY45" s="149">
        <f t="shared" si="16"/>
        <v>83.5</v>
      </c>
      <c r="AZ45" s="95" t="str">
        <f t="shared" si="17"/>
        <v>75-100</v>
      </c>
      <c r="BA45" s="95" t="str">
        <f t="shared" si="18"/>
        <v>50-75</v>
      </c>
      <c r="BB45" s="152">
        <f t="array" ref="BB45">iferror(XLOOKUP(C45,Sheet9!A:A,Sheet9!D:D),0)</f>
        <v>0.92</v>
      </c>
      <c r="BC45" s="2">
        <v>1.0</v>
      </c>
      <c r="BD45" s="95">
        <f t="array" ref="BD45">XLOOKUP(C45,ROS!C:C,ROS!O:O)</f>
        <v>0</v>
      </c>
      <c r="BE45" s="147">
        <f t="array" ref="BE45">IFERROR(XLOOKUP(C45,ROS!T:T,ROS!U:U),"")</f>
        <v>0.803571429</v>
      </c>
      <c r="BF45" s="147">
        <f t="array" ref="BF45">XLOOKUP(R45,'Refrence Data'!B:B,'Refrence Data'!T:T)</f>
        <v>0.160256</v>
      </c>
      <c r="BG45" s="95">
        <f t="shared" si="19"/>
        <v>0</v>
      </c>
      <c r="BH45" s="4" t="str">
        <f t="shared" si="20"/>
        <v>FP</v>
      </c>
      <c r="BO45" s="153"/>
      <c r="BP45" s="153" t="str">
        <f t="shared" si="26"/>
        <v>FP</v>
      </c>
      <c r="BQ45" s="153"/>
      <c r="BR45" s="153"/>
      <c r="BS45" s="153"/>
    </row>
    <row r="46">
      <c r="A46" s="171">
        <v>8.908017962538E12</v>
      </c>
      <c r="B46" s="171" t="s">
        <v>3521</v>
      </c>
      <c r="C46" s="137" t="s">
        <v>1080</v>
      </c>
      <c r="D46" s="138" t="s">
        <v>616</v>
      </c>
      <c r="E46" s="139" t="s">
        <v>622</v>
      </c>
      <c r="F46" s="140" t="s">
        <v>3542</v>
      </c>
      <c r="G46" s="141">
        <v>0.0</v>
      </c>
      <c r="H46" s="142">
        <v>2.111874</v>
      </c>
      <c r="I46" s="143" t="s">
        <v>112</v>
      </c>
      <c r="J46" s="83"/>
      <c r="K46" s="174">
        <v>365.0</v>
      </c>
      <c r="R46" s="145" t="str">
        <f t="shared" si="1"/>
        <v>Noodles &amp; Soup_0-5</v>
      </c>
      <c r="S46" s="146" t="str">
        <f t="shared" si="2"/>
        <v>0-5</v>
      </c>
      <c r="T46" s="95" t="str">
        <f t="array" ref="T46">XLOOKUP(C46,'Depth or Width'!P:P,'Depth or Width'!V:V)</f>
        <v>Depth</v>
      </c>
      <c r="U46" s="93">
        <f t="shared" si="3"/>
        <v>5</v>
      </c>
      <c r="V46" s="147">
        <f t="array" ref="V46">iferror(XLOOKUP(R46,'Refrence Data'!B:B,'Refrence Data'!W:W),"NA")</f>
        <v>13.67064</v>
      </c>
      <c r="W46" s="95">
        <f t="shared" si="4"/>
        <v>100</v>
      </c>
      <c r="Y46" s="148">
        <f t="array" ref="Y46">IFERROR(XLOOKUP(R46,'Refrence Data'!B:B,'Refrence Data'!N:N),"NA")</f>
        <v>0.787002</v>
      </c>
      <c r="Z46" s="95" t="str">
        <f t="shared" si="5"/>
        <v>HIGH</v>
      </c>
      <c r="AA46" s="147">
        <f t="array" ref="AA46">XLOOKUP(R46,'Refrence Data'!B:B,'Refrence Data'!AC:AC)</f>
        <v>3.10509</v>
      </c>
      <c r="AB46" s="147">
        <f t="array" ref="AB46">IFERROR(XLOOKUP(R46,'Refrence Data'!B:B,'Refrence Data'!Y:Y),"NA")</f>
        <v>7.541123</v>
      </c>
      <c r="AC46" s="95" t="str">
        <f t="shared" si="6"/>
        <v>High</v>
      </c>
      <c r="AD46" s="95" t="str">
        <f t="shared" si="7"/>
        <v>Depth</v>
      </c>
      <c r="AE46" s="95" t="str">
        <f t="shared" si="8"/>
        <v>HIGHHighDepth</v>
      </c>
      <c r="AF46" s="95">
        <f t="array" ref="AF46">XLOOKUP(AE46,'Category Saturation'!A:A,'Category Saturation'!E:E)</f>
        <v>0</v>
      </c>
      <c r="AH46" s="148">
        <f t="array" ref="AH46">iferror(XLOOKUP(R46,'New Launch Success Rate'!A:A,'New Launch Success Rate'!F:F),"NA")</f>
        <v>0.75</v>
      </c>
      <c r="AI46" s="95">
        <f t="shared" si="9"/>
        <v>100</v>
      </c>
      <c r="AK46" s="149">
        <f t="shared" si="10"/>
        <v>70</v>
      </c>
      <c r="AM46" s="150">
        <f t="array" ref="AM46">XLOOKUP(R46,'Non Moving'!C:C,'Non Moving'!I:I)/100</f>
        <v>0.012</v>
      </c>
      <c r="AN46" s="151">
        <f t="shared" si="11"/>
        <v>100</v>
      </c>
      <c r="AO46" s="150">
        <f t="array" ref="AO46">XLOOKUP(R46,'Non Moving'!C:C,'Non Moving'!F:F)/100</f>
        <v>0.086</v>
      </c>
      <c r="AP46" s="151">
        <f t="shared" si="12"/>
        <v>100</v>
      </c>
      <c r="AR46" s="95">
        <f t="shared" si="13"/>
        <v>100</v>
      </c>
      <c r="AT46" s="95">
        <f t="shared" si="14"/>
        <v>100</v>
      </c>
      <c r="AU46" s="95">
        <f t="array" ref="AU46">iferror(XLOOKUP(J46,Monetization!A:A,Monetization!B:B),25)</f>
        <v>25</v>
      </c>
      <c r="AW46" s="95">
        <f t="shared" si="15"/>
        <v>77.5</v>
      </c>
      <c r="AY46" s="149">
        <f t="shared" si="16"/>
        <v>83.5</v>
      </c>
      <c r="AZ46" s="95" t="str">
        <f t="shared" si="17"/>
        <v>75-100</v>
      </c>
      <c r="BA46" s="95" t="str">
        <f t="shared" si="18"/>
        <v>50-75</v>
      </c>
      <c r="BB46" s="152">
        <f t="array" ref="BB46">iferror(XLOOKUP(C46,Sheet9!A:A,Sheet9!D:D),0)</f>
        <v>0.98</v>
      </c>
      <c r="BC46" s="2">
        <v>1.0</v>
      </c>
      <c r="BD46" s="95">
        <f t="array" ref="BD46">XLOOKUP(C46,ROS!C:C,ROS!O:O)</f>
        <v>0</v>
      </c>
      <c r="BE46" s="147">
        <f t="array" ref="BE46">IFERROR(XLOOKUP(C46,ROS!T:T,ROS!U:U),"")</f>
        <v>0</v>
      </c>
      <c r="BF46" s="147">
        <f t="array" ref="BF46">XLOOKUP(R46,'Refrence Data'!B:B,'Refrence Data'!T:T)</f>
        <v>0.160256</v>
      </c>
      <c r="BG46" s="95">
        <f t="shared" si="19"/>
        <v>0</v>
      </c>
      <c r="BH46" s="4" t="str">
        <f t="shared" si="20"/>
        <v>FP</v>
      </c>
      <c r="BO46" s="153"/>
      <c r="BP46" s="153" t="str">
        <f t="shared" si="26"/>
        <v>FP</v>
      </c>
      <c r="BQ46" s="153"/>
      <c r="BR46" s="153"/>
      <c r="BS46" s="153"/>
    </row>
    <row r="47">
      <c r="A47" s="171">
        <v>6.772504452718E12</v>
      </c>
      <c r="B47" s="171" t="s">
        <v>3521</v>
      </c>
      <c r="C47" s="137" t="s">
        <v>849</v>
      </c>
      <c r="D47" s="138" t="s">
        <v>213</v>
      </c>
      <c r="E47" s="139" t="s">
        <v>851</v>
      </c>
      <c r="F47" s="140" t="s">
        <v>3551</v>
      </c>
      <c r="G47" s="141">
        <v>0.0</v>
      </c>
      <c r="H47" s="142">
        <v>18.74844</v>
      </c>
      <c r="I47" s="143" t="s">
        <v>111</v>
      </c>
      <c r="J47" s="83"/>
      <c r="K47" s="174">
        <v>365.0</v>
      </c>
      <c r="R47" s="145" t="str">
        <f t="shared" si="1"/>
        <v>Honey &amp; Jams_15-20</v>
      </c>
      <c r="S47" s="146" t="str">
        <f t="shared" si="2"/>
        <v>15-20</v>
      </c>
      <c r="T47" s="95" t="str">
        <f t="array" ref="T47">XLOOKUP(C47,'Depth or Width'!P:P,'Depth or Width'!V:V)</f>
        <v>Width</v>
      </c>
      <c r="U47" s="93">
        <f t="shared" si="3"/>
        <v>5</v>
      </c>
      <c r="V47" s="147">
        <f t="array" ref="V47">iferror(XLOOKUP(R47,'Refrence Data'!B:B,'Refrence Data'!W:W),"NA")</f>
        <v>3.797239</v>
      </c>
      <c r="W47" s="95">
        <f t="shared" si="4"/>
        <v>75</v>
      </c>
      <c r="Y47" s="148">
        <f t="array" ref="Y47">IFERROR(XLOOKUP(R47,'Refrence Data'!B:B,'Refrence Data'!N:N),"NA")</f>
        <v>0.747323</v>
      </c>
      <c r="Z47" s="95" t="str">
        <f t="shared" si="5"/>
        <v>HIGH</v>
      </c>
      <c r="AA47" s="147">
        <f t="array" ref="AA47">XLOOKUP(R47,'Refrence Data'!B:B,'Refrence Data'!AC:AC)</f>
        <v>3.662123</v>
      </c>
      <c r="AB47" s="147">
        <f t="array" ref="AB47">IFERROR(XLOOKUP(R47,'Refrence Data'!B:B,'Refrence Data'!Y:Y),"NA")</f>
        <v>5.240685</v>
      </c>
      <c r="AC47" s="95" t="str">
        <f t="shared" si="6"/>
        <v>High</v>
      </c>
      <c r="AD47" s="95" t="str">
        <f t="shared" si="7"/>
        <v>Width</v>
      </c>
      <c r="AE47" s="95" t="str">
        <f t="shared" si="8"/>
        <v>HIGHHighWidth</v>
      </c>
      <c r="AF47" s="95">
        <f t="array" ref="AF47">XLOOKUP(AE47,'Category Saturation'!A:A,'Category Saturation'!E:E)</f>
        <v>25</v>
      </c>
      <c r="AH47" s="148">
        <f t="array" ref="AH47">iferror(XLOOKUP(R47,'New Launch Success Rate'!A:A,'New Launch Success Rate'!F:F),"NA")</f>
        <v>0.333</v>
      </c>
      <c r="AI47" s="95">
        <f t="shared" si="9"/>
        <v>25</v>
      </c>
      <c r="AK47" s="149">
        <f t="shared" si="10"/>
        <v>55</v>
      </c>
      <c r="AM47" s="150">
        <f t="array" ref="AM47">XLOOKUP(R47,'Non Moving'!C:C,'Non Moving'!I:I)/100</f>
        <v>0.12</v>
      </c>
      <c r="AN47" s="151">
        <f t="shared" si="11"/>
        <v>75</v>
      </c>
      <c r="AO47" s="150">
        <f t="array" ref="AO47">XLOOKUP(R47,'Non Moving'!C:C,'Non Moving'!F:F)/100</f>
        <v>0.324</v>
      </c>
      <c r="AP47" s="151">
        <f t="shared" si="12"/>
        <v>75</v>
      </c>
      <c r="AR47" s="95">
        <f t="shared" si="13"/>
        <v>75</v>
      </c>
      <c r="AT47" s="95">
        <f t="shared" si="14"/>
        <v>0</v>
      </c>
      <c r="AU47" s="95">
        <f t="array" ref="AU47">iferror(XLOOKUP(J47,Monetization!A:A,Monetization!B:B),25)</f>
        <v>25</v>
      </c>
      <c r="AW47" s="95">
        <f t="shared" si="15"/>
        <v>7.5</v>
      </c>
      <c r="AY47" s="149">
        <f t="shared" si="16"/>
        <v>53.5</v>
      </c>
      <c r="AZ47" s="95" t="str">
        <f t="shared" si="17"/>
        <v>50-75</v>
      </c>
      <c r="BA47" s="95" t="str">
        <f t="shared" si="18"/>
        <v>50-75</v>
      </c>
      <c r="BB47" s="152">
        <f t="array" ref="BB47">iferror(XLOOKUP(C47,Sheet9!A:A,Sheet9!D:D),0)</f>
        <v>1</v>
      </c>
      <c r="BC47" s="2">
        <v>1.0</v>
      </c>
      <c r="BD47" s="95">
        <f t="array" ref="BD47">XLOOKUP(C47,ROS!C:C,ROS!O:O)</f>
        <v>0.571429</v>
      </c>
      <c r="BE47" s="147">
        <f t="array" ref="BE47">IFERROR(XLOOKUP(C47,ROS!T:T,ROS!U:U),"")</f>
        <v>0</v>
      </c>
      <c r="BF47" s="147">
        <f t="array" ref="BF47">XLOOKUP(R47,'Refrence Data'!B:B,'Refrence Data'!T:T)</f>
        <v>0.424431</v>
      </c>
      <c r="BG47" s="95">
        <f t="shared" si="19"/>
        <v>0</v>
      </c>
      <c r="BH47" s="4" t="str">
        <f t="shared" si="20"/>
        <v>FP</v>
      </c>
      <c r="BO47" s="153"/>
      <c r="BP47" s="153" t="str">
        <f t="shared" si="26"/>
        <v>FP</v>
      </c>
      <c r="BQ47" s="153"/>
      <c r="BR47" s="153"/>
      <c r="BS47" s="153"/>
    </row>
    <row r="48">
      <c r="A48" s="171">
        <v>6.772504452701E12</v>
      </c>
      <c r="B48" s="171" t="s">
        <v>3521</v>
      </c>
      <c r="C48" s="137" t="s">
        <v>853</v>
      </c>
      <c r="D48" s="138" t="s">
        <v>213</v>
      </c>
      <c r="E48" s="139" t="s">
        <v>851</v>
      </c>
      <c r="F48" s="140" t="s">
        <v>3551</v>
      </c>
      <c r="G48" s="141">
        <v>24.0</v>
      </c>
      <c r="H48" s="142">
        <v>18.48539</v>
      </c>
      <c r="I48" s="143" t="s">
        <v>111</v>
      </c>
      <c r="J48" s="83"/>
      <c r="K48" s="174">
        <v>365.0</v>
      </c>
      <c r="R48" s="145" t="str">
        <f t="shared" si="1"/>
        <v>Honey &amp; Jams_15-20</v>
      </c>
      <c r="S48" s="146" t="str">
        <f t="shared" si="2"/>
        <v>15-20</v>
      </c>
      <c r="T48" s="95" t="str">
        <f t="array" ref="T48">XLOOKUP(C48,'Depth or Width'!P:P,'Depth or Width'!V:V)</f>
        <v>Width</v>
      </c>
      <c r="U48" s="93">
        <f t="shared" si="3"/>
        <v>5</v>
      </c>
      <c r="V48" s="147">
        <f t="array" ref="V48">iferror(XLOOKUP(R48,'Refrence Data'!B:B,'Refrence Data'!W:W),"NA")</f>
        <v>3.797239</v>
      </c>
      <c r="W48" s="95">
        <f t="shared" si="4"/>
        <v>75</v>
      </c>
      <c r="Y48" s="148">
        <f t="array" ref="Y48">IFERROR(XLOOKUP(R48,'Refrence Data'!B:B,'Refrence Data'!N:N),"NA")</f>
        <v>0.747323</v>
      </c>
      <c r="Z48" s="95" t="str">
        <f t="shared" si="5"/>
        <v>HIGH</v>
      </c>
      <c r="AA48" s="147">
        <f t="array" ref="AA48">XLOOKUP(R48,'Refrence Data'!B:B,'Refrence Data'!AC:AC)</f>
        <v>3.662123</v>
      </c>
      <c r="AB48" s="147">
        <f t="array" ref="AB48">IFERROR(XLOOKUP(R48,'Refrence Data'!B:B,'Refrence Data'!Y:Y),"NA")</f>
        <v>5.240685</v>
      </c>
      <c r="AC48" s="95" t="str">
        <f t="shared" si="6"/>
        <v>High</v>
      </c>
      <c r="AD48" s="95" t="str">
        <f t="shared" si="7"/>
        <v>Width</v>
      </c>
      <c r="AE48" s="95" t="str">
        <f t="shared" si="8"/>
        <v>HIGHHighWidth</v>
      </c>
      <c r="AF48" s="95">
        <f t="array" ref="AF48">XLOOKUP(AE48,'Category Saturation'!A:A,'Category Saturation'!E:E)</f>
        <v>25</v>
      </c>
      <c r="AH48" s="148">
        <f t="array" ref="AH48">iferror(XLOOKUP(R48,'New Launch Success Rate'!A:A,'New Launch Success Rate'!F:F),"NA")</f>
        <v>0.333</v>
      </c>
      <c r="AI48" s="95">
        <f t="shared" si="9"/>
        <v>25</v>
      </c>
      <c r="AK48" s="149">
        <f t="shared" si="10"/>
        <v>55</v>
      </c>
      <c r="AM48" s="150">
        <f t="array" ref="AM48">XLOOKUP(R48,'Non Moving'!C:C,'Non Moving'!I:I)/100</f>
        <v>0.12</v>
      </c>
      <c r="AN48" s="151">
        <f t="shared" si="11"/>
        <v>75</v>
      </c>
      <c r="AO48" s="150">
        <f t="array" ref="AO48">XLOOKUP(R48,'Non Moving'!C:C,'Non Moving'!F:F)/100</f>
        <v>0.324</v>
      </c>
      <c r="AP48" s="151">
        <f t="shared" si="12"/>
        <v>75</v>
      </c>
      <c r="AR48" s="95">
        <f t="shared" si="13"/>
        <v>75</v>
      </c>
      <c r="AT48" s="95">
        <f t="shared" si="14"/>
        <v>0</v>
      </c>
      <c r="AU48" s="95">
        <f t="array" ref="AU48">iferror(XLOOKUP(J48,Monetization!A:A,Monetization!B:B),25)</f>
        <v>25</v>
      </c>
      <c r="AW48" s="95">
        <f t="shared" si="15"/>
        <v>7.5</v>
      </c>
      <c r="AY48" s="149">
        <f t="shared" si="16"/>
        <v>53.5</v>
      </c>
      <c r="AZ48" s="95" t="str">
        <f t="shared" si="17"/>
        <v>50-75</v>
      </c>
      <c r="BA48" s="95" t="str">
        <f t="shared" si="18"/>
        <v>50-75</v>
      </c>
      <c r="BB48" s="152">
        <f t="array" ref="BB48">iferror(XLOOKUP(C48,Sheet9!A:A,Sheet9!D:D),0)</f>
        <v>1</v>
      </c>
      <c r="BC48" s="2">
        <v>1.0</v>
      </c>
      <c r="BD48" s="95">
        <f t="array" ref="BD48">XLOOKUP(C48,ROS!C:C,ROS!O:O)</f>
        <v>0.714286</v>
      </c>
      <c r="BE48" s="147">
        <f t="array" ref="BE48">IFERROR(XLOOKUP(C48,ROS!T:T,ROS!U:U),"")</f>
        <v>0.5</v>
      </c>
      <c r="BF48" s="147">
        <f t="array" ref="BF48">XLOOKUP(R48,'Refrence Data'!B:B,'Refrence Data'!T:T)</f>
        <v>0.424431</v>
      </c>
      <c r="BG48" s="95">
        <f t="shared" si="19"/>
        <v>0</v>
      </c>
      <c r="BH48" s="4" t="str">
        <f t="shared" si="20"/>
        <v>FP</v>
      </c>
      <c r="BO48" s="153"/>
      <c r="BP48" s="153" t="str">
        <f t="shared" si="26"/>
        <v>FP</v>
      </c>
      <c r="BQ48" s="153"/>
      <c r="BR48" s="153"/>
      <c r="BS48" s="153"/>
    </row>
    <row r="49">
      <c r="A49" s="171">
        <v>6.772504452169E12</v>
      </c>
      <c r="B49" s="171" t="s">
        <v>3521</v>
      </c>
      <c r="C49" s="137" t="s">
        <v>854</v>
      </c>
      <c r="D49" s="138" t="s">
        <v>213</v>
      </c>
      <c r="E49" s="139" t="s">
        <v>851</v>
      </c>
      <c r="F49" s="140" t="s">
        <v>3551</v>
      </c>
      <c r="G49" s="141">
        <v>0.0</v>
      </c>
      <c r="H49" s="142">
        <v>19.48354</v>
      </c>
      <c r="I49" s="143" t="s">
        <v>111</v>
      </c>
      <c r="J49" s="83"/>
      <c r="K49" s="174">
        <v>365.0</v>
      </c>
      <c r="R49" s="145" t="str">
        <f t="shared" si="1"/>
        <v>Honey &amp; Jams_15-20</v>
      </c>
      <c r="S49" s="146" t="str">
        <f t="shared" si="2"/>
        <v>15-20</v>
      </c>
      <c r="T49" s="95" t="str">
        <f t="array" ref="T49">XLOOKUP(C49,'Depth or Width'!P:P,'Depth or Width'!V:V)</f>
        <v>Width</v>
      </c>
      <c r="U49" s="93">
        <f t="shared" si="3"/>
        <v>5</v>
      </c>
      <c r="V49" s="147">
        <f t="array" ref="V49">iferror(XLOOKUP(R49,'Refrence Data'!B:B,'Refrence Data'!W:W),"NA")</f>
        <v>3.797239</v>
      </c>
      <c r="W49" s="95">
        <f t="shared" si="4"/>
        <v>75</v>
      </c>
      <c r="Y49" s="148">
        <f t="array" ref="Y49">IFERROR(XLOOKUP(R49,'Refrence Data'!B:B,'Refrence Data'!N:N),"NA")</f>
        <v>0.747323</v>
      </c>
      <c r="Z49" s="95" t="str">
        <f t="shared" si="5"/>
        <v>HIGH</v>
      </c>
      <c r="AA49" s="147">
        <f t="array" ref="AA49">XLOOKUP(R49,'Refrence Data'!B:B,'Refrence Data'!AC:AC)</f>
        <v>3.662123</v>
      </c>
      <c r="AB49" s="147">
        <f t="array" ref="AB49">IFERROR(XLOOKUP(R49,'Refrence Data'!B:B,'Refrence Data'!Y:Y),"NA")</f>
        <v>5.240685</v>
      </c>
      <c r="AC49" s="95" t="str">
        <f t="shared" si="6"/>
        <v>High</v>
      </c>
      <c r="AD49" s="95" t="str">
        <f t="shared" si="7"/>
        <v>Width</v>
      </c>
      <c r="AE49" s="95" t="str">
        <f t="shared" si="8"/>
        <v>HIGHHighWidth</v>
      </c>
      <c r="AF49" s="95">
        <f t="array" ref="AF49">XLOOKUP(AE49,'Category Saturation'!A:A,'Category Saturation'!E:E)</f>
        <v>25</v>
      </c>
      <c r="AH49" s="148">
        <f t="array" ref="AH49">iferror(XLOOKUP(R49,'New Launch Success Rate'!A:A,'New Launch Success Rate'!F:F),"NA")</f>
        <v>0.333</v>
      </c>
      <c r="AI49" s="95">
        <f t="shared" si="9"/>
        <v>25</v>
      </c>
      <c r="AK49" s="149">
        <f t="shared" si="10"/>
        <v>55</v>
      </c>
      <c r="AM49" s="150">
        <f t="array" ref="AM49">XLOOKUP(R49,'Non Moving'!C:C,'Non Moving'!I:I)/100</f>
        <v>0.12</v>
      </c>
      <c r="AN49" s="151">
        <f t="shared" si="11"/>
        <v>75</v>
      </c>
      <c r="AO49" s="150">
        <f t="array" ref="AO49">XLOOKUP(R49,'Non Moving'!C:C,'Non Moving'!F:F)/100</f>
        <v>0.324</v>
      </c>
      <c r="AP49" s="151">
        <f t="shared" si="12"/>
        <v>75</v>
      </c>
      <c r="AR49" s="95">
        <f t="shared" si="13"/>
        <v>75</v>
      </c>
      <c r="AT49" s="95">
        <f t="shared" si="14"/>
        <v>0</v>
      </c>
      <c r="AU49" s="95">
        <f t="array" ref="AU49">iferror(XLOOKUP(J49,Monetization!A:A,Monetization!B:B),25)</f>
        <v>25</v>
      </c>
      <c r="AW49" s="95">
        <f t="shared" si="15"/>
        <v>7.5</v>
      </c>
      <c r="AY49" s="149">
        <f t="shared" si="16"/>
        <v>53.5</v>
      </c>
      <c r="AZ49" s="95" t="str">
        <f t="shared" si="17"/>
        <v>50-75</v>
      </c>
      <c r="BA49" s="95" t="str">
        <f t="shared" si="18"/>
        <v>50-75</v>
      </c>
      <c r="BB49" s="152">
        <f t="array" ref="BB49">iferror(XLOOKUP(C49,Sheet9!A:A,Sheet9!D:D),0)</f>
        <v>0.99</v>
      </c>
      <c r="BC49" s="2">
        <v>1.0</v>
      </c>
      <c r="BD49" s="95">
        <f t="array" ref="BD49">XLOOKUP(C49,ROS!C:C,ROS!O:O)</f>
        <v>0</v>
      </c>
      <c r="BE49" s="147">
        <f t="array" ref="BE49">IFERROR(XLOOKUP(C49,ROS!T:T,ROS!U:U),"")</f>
        <v>0</v>
      </c>
      <c r="BF49" s="147">
        <f t="array" ref="BF49">XLOOKUP(R49,'Refrence Data'!B:B,'Refrence Data'!T:T)</f>
        <v>0.424431</v>
      </c>
      <c r="BG49" s="95">
        <f t="shared" si="19"/>
        <v>0</v>
      </c>
      <c r="BH49" s="4" t="str">
        <f t="shared" si="20"/>
        <v>FP</v>
      </c>
      <c r="BO49" s="153"/>
      <c r="BP49" s="153" t="str">
        <f t="shared" si="26"/>
        <v>FP</v>
      </c>
      <c r="BQ49" s="153"/>
      <c r="BR49" s="153"/>
      <c r="BS49" s="153"/>
    </row>
    <row r="50">
      <c r="A50" s="171">
        <v>8.445291773042E12</v>
      </c>
      <c r="B50" s="171" t="s">
        <v>3521</v>
      </c>
      <c r="C50" s="137" t="s">
        <v>855</v>
      </c>
      <c r="D50" s="138" t="s">
        <v>213</v>
      </c>
      <c r="E50" s="139" t="s">
        <v>220</v>
      </c>
      <c r="F50" s="140" t="s">
        <v>3552</v>
      </c>
      <c r="G50" s="141">
        <v>12.0</v>
      </c>
      <c r="H50" s="142">
        <v>21.78279</v>
      </c>
      <c r="I50" s="143" t="s">
        <v>111</v>
      </c>
      <c r="J50" s="83"/>
      <c r="K50" s="174">
        <v>365.0</v>
      </c>
      <c r="R50" s="145" t="str">
        <f t="shared" si="1"/>
        <v>Cereal &amp; Granola_20-25</v>
      </c>
      <c r="S50" s="146" t="str">
        <f t="shared" si="2"/>
        <v>20-25</v>
      </c>
      <c r="T50" s="95" t="str">
        <f t="array" ref="T50">XLOOKUP(C50,'Depth or Width'!P:P,'Depth or Width'!V:V)</f>
        <v>Depth</v>
      </c>
      <c r="U50" s="93">
        <f t="shared" si="3"/>
        <v>5</v>
      </c>
      <c r="V50" s="147">
        <f t="array" ref="V50">iferror(XLOOKUP(R50,'Refrence Data'!B:B,'Refrence Data'!W:W),"NA")</f>
        <v>7.665551</v>
      </c>
      <c r="W50" s="95">
        <f t="shared" si="4"/>
        <v>100</v>
      </c>
      <c r="Y50" s="148">
        <f t="array" ref="Y50">IFERROR(XLOOKUP(R50,'Refrence Data'!B:B,'Refrence Data'!N:N),"NA")</f>
        <v>0.582705</v>
      </c>
      <c r="Z50" s="95" t="str">
        <f t="shared" si="5"/>
        <v>MEDIUM</v>
      </c>
      <c r="AA50" s="147">
        <f t="array" ref="AA50">XLOOKUP(R50,'Refrence Data'!B:B,'Refrence Data'!AC:AC)</f>
        <v>3.369756</v>
      </c>
      <c r="AB50" s="147">
        <f t="array" ref="AB50">IFERROR(XLOOKUP(R50,'Refrence Data'!B:B,'Refrence Data'!Y:Y),"NA")</f>
        <v>7.244174</v>
      </c>
      <c r="AC50" s="95" t="str">
        <f t="shared" si="6"/>
        <v>High</v>
      </c>
      <c r="AD50" s="95" t="str">
        <f t="shared" si="7"/>
        <v>Depth</v>
      </c>
      <c r="AE50" s="95" t="str">
        <f t="shared" si="8"/>
        <v>MEDIUMHighDepth</v>
      </c>
      <c r="AF50" s="95">
        <f t="array" ref="AF50">XLOOKUP(AE50,'Category Saturation'!A:A,'Category Saturation'!E:E)</f>
        <v>60</v>
      </c>
      <c r="AH50" s="148">
        <f t="array" ref="AH50">iferror(XLOOKUP(R50,'New Launch Success Rate'!A:A,'New Launch Success Rate'!F:F),"NA")</f>
        <v>0.1875</v>
      </c>
      <c r="AI50" s="95">
        <f t="shared" si="9"/>
        <v>0</v>
      </c>
      <c r="AK50" s="149">
        <f t="shared" si="10"/>
        <v>78</v>
      </c>
      <c r="AM50" s="150">
        <f t="array" ref="AM50">XLOOKUP(R50,'Non Moving'!C:C,'Non Moving'!I:I)/100</f>
        <v>0.032</v>
      </c>
      <c r="AN50" s="151">
        <f t="shared" si="11"/>
        <v>100</v>
      </c>
      <c r="AO50" s="150">
        <f t="array" ref="AO50">XLOOKUP(R50,'Non Moving'!C:C,'Non Moving'!F:F)/100</f>
        <v>0.126</v>
      </c>
      <c r="AP50" s="151">
        <f t="shared" si="12"/>
        <v>100</v>
      </c>
      <c r="AR50" s="95">
        <f t="shared" si="13"/>
        <v>100</v>
      </c>
      <c r="AT50" s="95">
        <f t="shared" si="14"/>
        <v>0</v>
      </c>
      <c r="AU50" s="95">
        <f t="array" ref="AU50">iferror(XLOOKUP(J50,Monetization!A:A,Monetization!B:B),25)</f>
        <v>25</v>
      </c>
      <c r="AW50" s="95">
        <f t="shared" si="15"/>
        <v>7.5</v>
      </c>
      <c r="AY50" s="149">
        <f t="shared" si="16"/>
        <v>72.7</v>
      </c>
      <c r="AZ50" s="95" t="str">
        <f t="shared" si="17"/>
        <v>50-75</v>
      </c>
      <c r="BA50" s="95" t="str">
        <f t="shared" si="18"/>
        <v>75-100</v>
      </c>
      <c r="BB50" s="152">
        <f t="array" ref="BB50">iferror(XLOOKUP(C50,Sheet9!A:A,Sheet9!D:D),0)</f>
        <v>0.6</v>
      </c>
      <c r="BC50" s="2">
        <v>1.0</v>
      </c>
      <c r="BD50" s="95">
        <f t="array" ref="BD50">XLOOKUP(C50,ROS!C:C,ROS!O:O)</f>
        <v>14.12785</v>
      </c>
      <c r="BE50" s="147">
        <f t="array" ref="BE50">IFERROR(XLOOKUP(C50,ROS!T:T,ROS!U:U),"")</f>
        <v>18.37936508</v>
      </c>
      <c r="BF50" s="147">
        <f t="array" ref="BF50">XLOOKUP(R50,'Refrence Data'!B:B,'Refrence Data'!T:T)</f>
        <v>0.924145</v>
      </c>
      <c r="BG50" s="95">
        <f t="shared" si="19"/>
        <v>1</v>
      </c>
      <c r="BH50" s="4" t="str">
        <f t="shared" si="20"/>
        <v/>
      </c>
      <c r="BO50" s="153"/>
      <c r="BP50" s="153" t="str">
        <f t="shared" si="26"/>
        <v/>
      </c>
      <c r="BQ50" s="153"/>
      <c r="BR50" s="153"/>
      <c r="BS50" s="153"/>
    </row>
    <row r="51">
      <c r="A51" s="171">
        <v>5.900020047069E12</v>
      </c>
      <c r="B51" s="171" t="s">
        <v>3521</v>
      </c>
      <c r="C51" s="137" t="s">
        <v>857</v>
      </c>
      <c r="D51" s="138" t="s">
        <v>213</v>
      </c>
      <c r="E51" s="139" t="s">
        <v>220</v>
      </c>
      <c r="F51" s="140" t="s">
        <v>3552</v>
      </c>
      <c r="G51" s="141">
        <v>12.0</v>
      </c>
      <c r="H51" s="142">
        <v>19.24009</v>
      </c>
      <c r="I51" s="143" t="s">
        <v>111</v>
      </c>
      <c r="J51" s="83"/>
      <c r="K51" s="174">
        <v>365.0</v>
      </c>
      <c r="R51" s="145" t="str">
        <f t="shared" si="1"/>
        <v>Cereal &amp; Granola_15-20</v>
      </c>
      <c r="S51" s="146" t="str">
        <f t="shared" si="2"/>
        <v>15-20</v>
      </c>
      <c r="T51" s="95" t="str">
        <f t="array" ref="T51">XLOOKUP(C51,'Depth or Width'!P:P,'Depth or Width'!V:V)</f>
        <v>Depth</v>
      </c>
      <c r="U51" s="93">
        <f t="shared" si="3"/>
        <v>5</v>
      </c>
      <c r="V51" s="147">
        <f t="array" ref="V51">iferror(XLOOKUP(R51,'Refrence Data'!B:B,'Refrence Data'!W:W),"NA")</f>
        <v>6.93207</v>
      </c>
      <c r="W51" s="95">
        <f t="shared" si="4"/>
        <v>100</v>
      </c>
      <c r="Y51" s="148">
        <f t="array" ref="Y51">IFERROR(XLOOKUP(R51,'Refrence Data'!B:B,'Refrence Data'!N:N),"NA")</f>
        <v>0.613072</v>
      </c>
      <c r="Z51" s="95" t="str">
        <f t="shared" si="5"/>
        <v>MEDIUM</v>
      </c>
      <c r="AA51" s="147">
        <f t="array" ref="AA51">XLOOKUP(R51,'Refrence Data'!B:B,'Refrence Data'!AC:AC)</f>
        <v>3.369756</v>
      </c>
      <c r="AB51" s="147">
        <f t="array" ref="AB51">IFERROR(XLOOKUP(R51,'Refrence Data'!B:B,'Refrence Data'!Y:Y),"NA")</f>
        <v>6.769219</v>
      </c>
      <c r="AC51" s="95" t="str">
        <f t="shared" si="6"/>
        <v>High</v>
      </c>
      <c r="AD51" s="95" t="str">
        <f t="shared" si="7"/>
        <v>Depth</v>
      </c>
      <c r="AE51" s="95" t="str">
        <f t="shared" si="8"/>
        <v>MEDIUMHighDepth</v>
      </c>
      <c r="AF51" s="95">
        <f t="array" ref="AF51">XLOOKUP(AE51,'Category Saturation'!A:A,'Category Saturation'!E:E)</f>
        <v>60</v>
      </c>
      <c r="AH51" s="148">
        <f t="array" ref="AH51">iferror(XLOOKUP(R51,'New Launch Success Rate'!A:A,'New Launch Success Rate'!F:F),"NA")</f>
        <v>0.375</v>
      </c>
      <c r="AI51" s="95">
        <f t="shared" si="9"/>
        <v>25</v>
      </c>
      <c r="AK51" s="149">
        <f t="shared" si="10"/>
        <v>80.5</v>
      </c>
      <c r="AM51" s="150">
        <f t="array" ref="AM51">XLOOKUP(R51,'Non Moving'!C:C,'Non Moving'!I:I)/100</f>
        <v>0.019</v>
      </c>
      <c r="AN51" s="151">
        <f t="shared" si="11"/>
        <v>100</v>
      </c>
      <c r="AO51" s="150">
        <f t="array" ref="AO51">XLOOKUP(R51,'Non Moving'!C:C,'Non Moving'!F:F)/100</f>
        <v>0.108</v>
      </c>
      <c r="AP51" s="151">
        <f t="shared" si="12"/>
        <v>100</v>
      </c>
      <c r="AR51" s="95">
        <f t="shared" si="13"/>
        <v>100</v>
      </c>
      <c r="AT51" s="95">
        <f t="shared" si="14"/>
        <v>0</v>
      </c>
      <c r="AU51" s="95">
        <f t="array" ref="AU51">iferror(XLOOKUP(J51,Monetization!A:A,Monetization!B:B),25)</f>
        <v>25</v>
      </c>
      <c r="AW51" s="95">
        <f t="shared" si="15"/>
        <v>7.5</v>
      </c>
      <c r="AY51" s="149">
        <f t="shared" si="16"/>
        <v>73.7</v>
      </c>
      <c r="AZ51" s="95" t="str">
        <f t="shared" si="17"/>
        <v>50-75</v>
      </c>
      <c r="BA51" s="95" t="str">
        <f t="shared" si="18"/>
        <v>75-100</v>
      </c>
      <c r="BB51" s="152">
        <f t="array" ref="BB51">iferror(XLOOKUP(C51,Sheet9!A:A,Sheet9!D:D),0)</f>
        <v>0</v>
      </c>
      <c r="BC51" s="2">
        <v>1.0</v>
      </c>
      <c r="BD51" s="95">
        <f t="array" ref="BD51">XLOOKUP(C51,ROS!C:C,ROS!O:O)</f>
        <v>0</v>
      </c>
      <c r="BE51" s="147" t="str">
        <f t="array" ref="BE51">IFERROR(XLOOKUP(C51,ROS!T:T,ROS!U:U),"")</f>
        <v/>
      </c>
      <c r="BF51" s="147">
        <f t="array" ref="BF51">XLOOKUP(R51,'Refrence Data'!B:B,'Refrence Data'!T:T)</f>
        <v>1.099073</v>
      </c>
      <c r="BG51" s="95">
        <f t="shared" si="19"/>
        <v>0</v>
      </c>
      <c r="BH51" s="4" t="str">
        <f t="shared" si="20"/>
        <v/>
      </c>
      <c r="BO51" s="153"/>
      <c r="BP51" s="153" t="str">
        <f t="shared" si="26"/>
        <v/>
      </c>
      <c r="BQ51" s="153"/>
      <c r="BR51" s="153"/>
      <c r="BS51" s="153"/>
    </row>
    <row r="52">
      <c r="A52" s="171">
        <v>6.298042724389E12</v>
      </c>
      <c r="B52" s="171" t="s">
        <v>3521</v>
      </c>
      <c r="C52" s="137" t="s">
        <v>859</v>
      </c>
      <c r="D52" s="138" t="s">
        <v>213</v>
      </c>
      <c r="E52" s="139" t="s">
        <v>861</v>
      </c>
      <c r="F52" s="140" t="s">
        <v>3553</v>
      </c>
      <c r="G52" s="141">
        <v>12.0</v>
      </c>
      <c r="H52" s="142">
        <v>21.49785</v>
      </c>
      <c r="I52" s="143" t="s">
        <v>111</v>
      </c>
      <c r="J52" s="83"/>
      <c r="K52" s="174">
        <v>730.0</v>
      </c>
      <c r="R52" s="145" t="str">
        <f t="shared" si="1"/>
        <v>Spreads &amp; Syrups_20-25</v>
      </c>
      <c r="S52" s="146" t="str">
        <f t="shared" si="2"/>
        <v>20-25</v>
      </c>
      <c r="T52" s="95" t="str">
        <f t="array" ref="T52">XLOOKUP(C52,'Depth or Width'!P:P,'Depth or Width'!V:V)</f>
        <v>Width</v>
      </c>
      <c r="U52" s="93">
        <f t="shared" si="3"/>
        <v>5</v>
      </c>
      <c r="V52" s="147">
        <f t="array" ref="V52">iferror(XLOOKUP(R52,'Refrence Data'!B:B,'Refrence Data'!W:W),"NA")</f>
        <v>2.421635</v>
      </c>
      <c r="W52" s="95">
        <f t="shared" si="4"/>
        <v>0</v>
      </c>
      <c r="Y52" s="148">
        <f t="array" ref="Y52">IFERROR(XLOOKUP(R52,'Refrence Data'!B:B,'Refrence Data'!N:N),"NA")</f>
        <v>0.741838</v>
      </c>
      <c r="Z52" s="95" t="str">
        <f t="shared" si="5"/>
        <v>HIGH</v>
      </c>
      <c r="AA52" s="147">
        <f t="array" ref="AA52">XLOOKUP(R52,'Refrence Data'!B:B,'Refrence Data'!AC:AC)</f>
        <v>6.288573</v>
      </c>
      <c r="AB52" s="147">
        <f t="array" ref="AB52">IFERROR(XLOOKUP(R52,'Refrence Data'!B:B,'Refrence Data'!Y:Y),"NA")</f>
        <v>6.288573</v>
      </c>
      <c r="AC52" s="95" t="str">
        <f t="shared" si="6"/>
        <v>High</v>
      </c>
      <c r="AD52" s="95" t="str">
        <f t="shared" si="7"/>
        <v>Width</v>
      </c>
      <c r="AE52" s="95" t="str">
        <f t="shared" si="8"/>
        <v>HIGHHighWidth</v>
      </c>
      <c r="AF52" s="95">
        <f t="array" ref="AF52">XLOOKUP(AE52,'Category Saturation'!A:A,'Category Saturation'!E:E)</f>
        <v>25</v>
      </c>
      <c r="AH52" s="148">
        <f t="array" ref="AH52">iferror(XLOOKUP(R52,'New Launch Success Rate'!A:A,'New Launch Success Rate'!F:F),"NA")</f>
        <v>0.1875</v>
      </c>
      <c r="AI52" s="95">
        <f t="shared" si="9"/>
        <v>0</v>
      </c>
      <c r="AK52" s="149">
        <f t="shared" si="10"/>
        <v>7.5</v>
      </c>
      <c r="AM52" s="150">
        <f t="array" ref="AM52">XLOOKUP(R52,'Non Moving'!C:C,'Non Moving'!I:I)/100</f>
        <v>0.025</v>
      </c>
      <c r="AN52" s="151">
        <f t="shared" si="11"/>
        <v>100</v>
      </c>
      <c r="AO52" s="150">
        <f t="array" ref="AO52">XLOOKUP(R52,'Non Moving'!C:C,'Non Moving'!F:F)/100</f>
        <v>0.138</v>
      </c>
      <c r="AP52" s="151">
        <f t="shared" si="12"/>
        <v>100</v>
      </c>
      <c r="AR52" s="95">
        <f t="shared" si="13"/>
        <v>100</v>
      </c>
      <c r="AT52" s="95">
        <f t="shared" si="14"/>
        <v>0</v>
      </c>
      <c r="AU52" s="95">
        <f t="array" ref="AU52">iferror(XLOOKUP(J52,Monetization!A:A,Monetization!B:B),25)</f>
        <v>25</v>
      </c>
      <c r="AW52" s="95">
        <f t="shared" si="15"/>
        <v>7.5</v>
      </c>
      <c r="AY52" s="149">
        <f t="shared" si="16"/>
        <v>44.5</v>
      </c>
      <c r="AZ52" s="95" t="str">
        <f t="shared" si="17"/>
        <v>25-50</v>
      </c>
      <c r="BA52" s="95" t="str">
        <f t="shared" si="18"/>
        <v>0-25</v>
      </c>
      <c r="BB52" s="152">
        <f t="array" ref="BB52">iferror(XLOOKUP(C52,Sheet9!A:A,Sheet9!D:D),0)</f>
        <v>0</v>
      </c>
      <c r="BC52" s="2">
        <v>1.0</v>
      </c>
      <c r="BD52" s="95">
        <f t="array" ref="BD52">XLOOKUP(C52,ROS!C:C,ROS!O:O)</f>
        <v>1.995238</v>
      </c>
      <c r="BE52" s="147" t="str">
        <f t="array" ref="BE52">IFERROR(XLOOKUP(C52,ROS!T:T,ROS!U:U),"")</f>
        <v/>
      </c>
      <c r="BF52" s="147">
        <f t="array" ref="BF52">XLOOKUP(R52,'Refrence Data'!B:B,'Refrence Data'!T:T)</f>
        <v>0.364983</v>
      </c>
      <c r="BG52" s="95">
        <f t="shared" si="19"/>
        <v>1</v>
      </c>
      <c r="BH52" s="4" t="str">
        <f t="shared" si="20"/>
        <v/>
      </c>
      <c r="BO52" s="153"/>
      <c r="BP52" s="153" t="str">
        <f t="shared" si="26"/>
        <v/>
      </c>
      <c r="BQ52" s="153"/>
      <c r="BR52" s="153"/>
      <c r="BS52" s="153"/>
    </row>
    <row r="53">
      <c r="A53" s="171">
        <v>8.908017962491E12</v>
      </c>
      <c r="B53" s="171" t="s">
        <v>3521</v>
      </c>
      <c r="C53" s="137" t="s">
        <v>1082</v>
      </c>
      <c r="D53" s="138" t="s">
        <v>616</v>
      </c>
      <c r="E53" s="139" t="s">
        <v>622</v>
      </c>
      <c r="F53" s="140" t="s">
        <v>3542</v>
      </c>
      <c r="G53" s="141">
        <v>0.0</v>
      </c>
      <c r="H53" s="142">
        <v>5.688838</v>
      </c>
      <c r="I53" s="143" t="s">
        <v>112</v>
      </c>
      <c r="J53" s="83"/>
      <c r="K53" s="174">
        <v>240.0</v>
      </c>
      <c r="R53" s="145" t="str">
        <f t="shared" si="1"/>
        <v>Noodles &amp; Soup_5-10</v>
      </c>
      <c r="S53" s="146" t="str">
        <f t="shared" si="2"/>
        <v>5-10</v>
      </c>
      <c r="T53" s="95" t="str">
        <f t="array" ref="T53">XLOOKUP(C53,'Depth or Width'!P:P,'Depth or Width'!V:V)</f>
        <v>Depth</v>
      </c>
      <c r="U53" s="93">
        <f t="shared" si="3"/>
        <v>5</v>
      </c>
      <c r="V53" s="147">
        <f t="array" ref="V53">iferror(XLOOKUP(R53,'Refrence Data'!B:B,'Refrence Data'!W:W),"NA")</f>
        <v>5.347041</v>
      </c>
      <c r="W53" s="95">
        <f t="shared" si="4"/>
        <v>100</v>
      </c>
      <c r="Y53" s="148">
        <f t="array" ref="Y53">IFERROR(XLOOKUP(R53,'Refrence Data'!B:B,'Refrence Data'!N:N),"NA")</f>
        <v>0.61668</v>
      </c>
      <c r="Z53" s="95" t="str">
        <f t="shared" si="5"/>
        <v>MEDIUM</v>
      </c>
      <c r="AA53" s="147">
        <f t="array" ref="AA53">XLOOKUP(R53,'Refrence Data'!B:B,'Refrence Data'!AC:AC)</f>
        <v>3.10509</v>
      </c>
      <c r="AB53" s="147">
        <f t="array" ref="AB53">IFERROR(XLOOKUP(R53,'Refrence Data'!B:B,'Refrence Data'!Y:Y),"NA")</f>
        <v>6.422177</v>
      </c>
      <c r="AC53" s="95" t="str">
        <f t="shared" si="6"/>
        <v>High</v>
      </c>
      <c r="AD53" s="95" t="str">
        <f t="shared" si="7"/>
        <v>Depth</v>
      </c>
      <c r="AE53" s="95" t="str">
        <f t="shared" si="8"/>
        <v>MEDIUMHighDepth</v>
      </c>
      <c r="AF53" s="95">
        <f t="array" ref="AF53">XLOOKUP(AE53,'Category Saturation'!A:A,'Category Saturation'!E:E)</f>
        <v>60</v>
      </c>
      <c r="AH53" s="148">
        <f t="array" ref="AH53">iferror(XLOOKUP(R53,'New Launch Success Rate'!A:A,'New Launch Success Rate'!F:F),"NA")</f>
        <v>0.8</v>
      </c>
      <c r="AI53" s="95">
        <f t="shared" si="9"/>
        <v>100</v>
      </c>
      <c r="AK53" s="149">
        <f t="shared" si="10"/>
        <v>88</v>
      </c>
      <c r="AM53" s="150">
        <f t="array" ref="AM53">XLOOKUP(R53,'Non Moving'!C:C,'Non Moving'!I:I)/100</f>
        <v>0.024</v>
      </c>
      <c r="AN53" s="151">
        <f t="shared" si="11"/>
        <v>100</v>
      </c>
      <c r="AO53" s="150">
        <f t="array" ref="AO53">XLOOKUP(R53,'Non Moving'!C:C,'Non Moving'!F:F)/100</f>
        <v>0.13</v>
      </c>
      <c r="AP53" s="151">
        <f t="shared" si="12"/>
        <v>100</v>
      </c>
      <c r="AR53" s="95">
        <f t="shared" si="13"/>
        <v>100</v>
      </c>
      <c r="AT53" s="95">
        <f t="shared" si="14"/>
        <v>100</v>
      </c>
      <c r="AU53" s="95">
        <f t="array" ref="AU53">iferror(XLOOKUP(J53,Monetization!A:A,Monetization!B:B),25)</f>
        <v>25</v>
      </c>
      <c r="AW53" s="95">
        <f t="shared" si="15"/>
        <v>77.5</v>
      </c>
      <c r="AY53" s="149">
        <f t="shared" si="16"/>
        <v>90.7</v>
      </c>
      <c r="AZ53" s="95" t="str">
        <f t="shared" si="17"/>
        <v>75-100</v>
      </c>
      <c r="BA53" s="95" t="str">
        <f t="shared" si="18"/>
        <v>75-100</v>
      </c>
      <c r="BB53" s="152">
        <f t="array" ref="BB53">iferror(XLOOKUP(C53,Sheet9!A:A,Sheet9!D:D),0)</f>
        <v>0.95</v>
      </c>
      <c r="BC53" s="2">
        <v>1.0</v>
      </c>
      <c r="BD53" s="95">
        <f t="array" ref="BD53">XLOOKUP(C53,ROS!C:C,ROS!O:O)</f>
        <v>0</v>
      </c>
      <c r="BE53" s="147">
        <f t="array" ref="BE53">IFERROR(XLOOKUP(C53,ROS!T:T,ROS!U:U),"")</f>
        <v>0.666666667</v>
      </c>
      <c r="BF53" s="147">
        <f t="array" ref="BF53">XLOOKUP(R53,'Refrence Data'!B:B,'Refrence Data'!T:T)</f>
        <v>1</v>
      </c>
      <c r="BG53" s="95">
        <f t="shared" si="19"/>
        <v>0</v>
      </c>
      <c r="BH53" s="4" t="str">
        <f t="shared" si="20"/>
        <v>FP</v>
      </c>
      <c r="BO53" s="153"/>
      <c r="BP53" s="153" t="str">
        <f t="shared" si="26"/>
        <v>FP</v>
      </c>
      <c r="BQ53" s="153"/>
      <c r="BR53" s="153"/>
      <c r="BS53" s="153"/>
    </row>
    <row r="54">
      <c r="A54" s="171">
        <v>3.387390124439E12</v>
      </c>
      <c r="B54" s="171" t="s">
        <v>3521</v>
      </c>
      <c r="C54" s="137" t="s">
        <v>865</v>
      </c>
      <c r="D54" s="138" t="s">
        <v>213</v>
      </c>
      <c r="E54" s="139" t="s">
        <v>220</v>
      </c>
      <c r="F54" s="140" t="s">
        <v>3552</v>
      </c>
      <c r="G54" s="141">
        <v>14.0</v>
      </c>
      <c r="H54" s="142">
        <v>19.98312</v>
      </c>
      <c r="I54" s="143" t="s">
        <v>111</v>
      </c>
      <c r="J54" s="83"/>
      <c r="K54" s="174">
        <v>365.0</v>
      </c>
      <c r="R54" s="145" t="str">
        <f t="shared" si="1"/>
        <v>Cereal &amp; Granola_15-20</v>
      </c>
      <c r="S54" s="146" t="str">
        <f t="shared" si="2"/>
        <v>15-20</v>
      </c>
      <c r="T54" s="95" t="str">
        <f t="array" ref="T54">XLOOKUP(C54,'Depth or Width'!P:P,'Depth or Width'!V:V)</f>
        <v>Width</v>
      </c>
      <c r="U54" s="93">
        <f t="shared" si="3"/>
        <v>5</v>
      </c>
      <c r="V54" s="147">
        <f t="array" ref="V54">iferror(XLOOKUP(R54,'Refrence Data'!B:B,'Refrence Data'!W:W),"NA")</f>
        <v>6.93207</v>
      </c>
      <c r="W54" s="95">
        <f t="shared" si="4"/>
        <v>100</v>
      </c>
      <c r="Y54" s="148">
        <f t="array" ref="Y54">IFERROR(XLOOKUP(R54,'Refrence Data'!B:B,'Refrence Data'!N:N),"NA")</f>
        <v>0.613072</v>
      </c>
      <c r="Z54" s="95" t="str">
        <f t="shared" si="5"/>
        <v>MEDIUM</v>
      </c>
      <c r="AA54" s="147">
        <f t="array" ref="AA54">XLOOKUP(R54,'Refrence Data'!B:B,'Refrence Data'!AC:AC)</f>
        <v>3.369756</v>
      </c>
      <c r="AB54" s="147">
        <f t="array" ref="AB54">IFERROR(XLOOKUP(R54,'Refrence Data'!B:B,'Refrence Data'!Y:Y),"NA")</f>
        <v>6.769219</v>
      </c>
      <c r="AC54" s="95" t="str">
        <f t="shared" si="6"/>
        <v>High</v>
      </c>
      <c r="AD54" s="95" t="str">
        <f t="shared" si="7"/>
        <v>Width</v>
      </c>
      <c r="AE54" s="95" t="str">
        <f t="shared" si="8"/>
        <v>MEDIUMHighWidth</v>
      </c>
      <c r="AF54" s="95">
        <f t="array" ref="AF54">XLOOKUP(AE54,'Category Saturation'!A:A,'Category Saturation'!E:E)</f>
        <v>10</v>
      </c>
      <c r="AH54" s="148">
        <f t="array" ref="AH54">iferror(XLOOKUP(R54,'New Launch Success Rate'!A:A,'New Launch Success Rate'!F:F),"NA")</f>
        <v>0.375</v>
      </c>
      <c r="AI54" s="95">
        <f t="shared" si="9"/>
        <v>25</v>
      </c>
      <c r="AK54" s="149">
        <f t="shared" si="10"/>
        <v>65.5</v>
      </c>
      <c r="AM54" s="150">
        <f t="array" ref="AM54">XLOOKUP(R54,'Non Moving'!C:C,'Non Moving'!I:I)/100</f>
        <v>0.019</v>
      </c>
      <c r="AN54" s="151">
        <f t="shared" si="11"/>
        <v>100</v>
      </c>
      <c r="AO54" s="150">
        <f t="array" ref="AO54">XLOOKUP(R54,'Non Moving'!C:C,'Non Moving'!F:F)/100</f>
        <v>0.108</v>
      </c>
      <c r="AP54" s="151">
        <f t="shared" si="12"/>
        <v>100</v>
      </c>
      <c r="AR54" s="95">
        <f t="shared" si="13"/>
        <v>100</v>
      </c>
      <c r="AT54" s="95">
        <f t="shared" si="14"/>
        <v>0</v>
      </c>
      <c r="AU54" s="95">
        <f t="array" ref="AU54">iferror(XLOOKUP(J54,Monetization!A:A,Monetization!B:B),25)</f>
        <v>25</v>
      </c>
      <c r="AW54" s="95">
        <f t="shared" si="15"/>
        <v>7.5</v>
      </c>
      <c r="AY54" s="149">
        <f t="shared" si="16"/>
        <v>67.7</v>
      </c>
      <c r="AZ54" s="95" t="str">
        <f t="shared" si="17"/>
        <v>50-75</v>
      </c>
      <c r="BA54" s="95" t="str">
        <f t="shared" si="18"/>
        <v>50-75</v>
      </c>
      <c r="BB54" s="152">
        <f t="array" ref="BB54">iferror(XLOOKUP(C54,Sheet9!A:A,Sheet9!D:D),0)</f>
        <v>0.99</v>
      </c>
      <c r="BC54" s="2">
        <v>1.0</v>
      </c>
      <c r="BD54" s="95">
        <f t="array" ref="BD54">XLOOKUP(C54,ROS!C:C,ROS!O:O)</f>
        <v>2.519358</v>
      </c>
      <c r="BE54" s="147">
        <f t="array" ref="BE54">IFERROR(XLOOKUP(C54,ROS!T:T,ROS!U:U),"")</f>
        <v>0.30952381</v>
      </c>
      <c r="BF54" s="147">
        <f t="array" ref="BF54">XLOOKUP(R54,'Refrence Data'!B:B,'Refrence Data'!T:T)</f>
        <v>1.099073</v>
      </c>
      <c r="BG54" s="95">
        <f t="shared" si="19"/>
        <v>1</v>
      </c>
      <c r="BH54" s="4" t="str">
        <f t="shared" si="20"/>
        <v>TP</v>
      </c>
      <c r="BO54" s="153"/>
      <c r="BP54" s="153" t="str">
        <f t="shared" si="26"/>
        <v>TP</v>
      </c>
      <c r="BQ54" s="153"/>
      <c r="BR54" s="153"/>
      <c r="BS54" s="153"/>
    </row>
    <row r="55">
      <c r="A55" s="171">
        <v>5.425038430462E12</v>
      </c>
      <c r="B55" s="171" t="s">
        <v>3521</v>
      </c>
      <c r="C55" s="137" t="s">
        <v>868</v>
      </c>
      <c r="D55" s="138" t="s">
        <v>213</v>
      </c>
      <c r="E55" s="139" t="s">
        <v>220</v>
      </c>
      <c r="F55" s="140" t="s">
        <v>3554</v>
      </c>
      <c r="G55" s="141">
        <v>1.0</v>
      </c>
      <c r="H55" s="142">
        <v>22.73204</v>
      </c>
      <c r="I55" s="143" t="s">
        <v>111</v>
      </c>
      <c r="J55" s="83"/>
      <c r="K55" s="174">
        <v>540.0</v>
      </c>
      <c r="R55" s="145" t="str">
        <f t="shared" si="1"/>
        <v>Cereal &amp; Granola_20-25</v>
      </c>
      <c r="S55" s="146" t="str">
        <f t="shared" si="2"/>
        <v>20-25</v>
      </c>
      <c r="T55" s="95" t="str">
        <f t="array" ref="T55">XLOOKUP(C55,'Depth or Width'!P:P,'Depth or Width'!V:V)</f>
        <v>Width</v>
      </c>
      <c r="U55" s="93">
        <f t="shared" si="3"/>
        <v>5</v>
      </c>
      <c r="V55" s="147">
        <f t="array" ref="V55">iferror(XLOOKUP(R55,'Refrence Data'!B:B,'Refrence Data'!W:W),"NA")</f>
        <v>7.665551</v>
      </c>
      <c r="W55" s="95">
        <f t="shared" si="4"/>
        <v>100</v>
      </c>
      <c r="Y55" s="148">
        <f t="array" ref="Y55">IFERROR(XLOOKUP(R55,'Refrence Data'!B:B,'Refrence Data'!N:N),"NA")</f>
        <v>0.582705</v>
      </c>
      <c r="Z55" s="95" t="str">
        <f t="shared" si="5"/>
        <v>MEDIUM</v>
      </c>
      <c r="AA55" s="147">
        <f t="array" ref="AA55">XLOOKUP(R55,'Refrence Data'!B:B,'Refrence Data'!AC:AC)</f>
        <v>3.369756</v>
      </c>
      <c r="AB55" s="147">
        <f t="array" ref="AB55">IFERROR(XLOOKUP(R55,'Refrence Data'!B:B,'Refrence Data'!Y:Y),"NA")</f>
        <v>7.244174</v>
      </c>
      <c r="AC55" s="95" t="str">
        <f t="shared" si="6"/>
        <v>High</v>
      </c>
      <c r="AD55" s="95" t="str">
        <f t="shared" si="7"/>
        <v>Width</v>
      </c>
      <c r="AE55" s="95" t="str">
        <f t="shared" si="8"/>
        <v>MEDIUMHighWidth</v>
      </c>
      <c r="AF55" s="95">
        <f t="array" ref="AF55">XLOOKUP(AE55,'Category Saturation'!A:A,'Category Saturation'!E:E)</f>
        <v>10</v>
      </c>
      <c r="AH55" s="148">
        <f t="array" ref="AH55">iferror(XLOOKUP(R55,'New Launch Success Rate'!A:A,'New Launch Success Rate'!F:F),"NA")</f>
        <v>0.1875</v>
      </c>
      <c r="AI55" s="95">
        <f t="shared" si="9"/>
        <v>0</v>
      </c>
      <c r="AK55" s="149">
        <f t="shared" si="10"/>
        <v>63</v>
      </c>
      <c r="AM55" s="150">
        <f t="array" ref="AM55">XLOOKUP(R55,'Non Moving'!C:C,'Non Moving'!I:I)/100</f>
        <v>0.032</v>
      </c>
      <c r="AN55" s="151">
        <f t="shared" si="11"/>
        <v>100</v>
      </c>
      <c r="AO55" s="150">
        <f t="array" ref="AO55">XLOOKUP(R55,'Non Moving'!C:C,'Non Moving'!F:F)/100</f>
        <v>0.126</v>
      </c>
      <c r="AP55" s="151">
        <f t="shared" si="12"/>
        <v>100</v>
      </c>
      <c r="AR55" s="95">
        <f t="shared" si="13"/>
        <v>100</v>
      </c>
      <c r="AT55" s="95">
        <f t="shared" si="14"/>
        <v>0</v>
      </c>
      <c r="AU55" s="95">
        <f t="array" ref="AU55">iferror(XLOOKUP(J55,Monetization!A:A,Monetization!B:B),25)</f>
        <v>25</v>
      </c>
      <c r="AW55" s="95">
        <f t="shared" si="15"/>
        <v>7.5</v>
      </c>
      <c r="AY55" s="149">
        <f t="shared" si="16"/>
        <v>66.7</v>
      </c>
      <c r="AZ55" s="95" t="str">
        <f t="shared" si="17"/>
        <v>50-75</v>
      </c>
      <c r="BA55" s="95" t="str">
        <f t="shared" si="18"/>
        <v>50-75</v>
      </c>
      <c r="BB55" s="152">
        <f t="array" ref="BB55">iferror(XLOOKUP(C55,Sheet9!A:A,Sheet9!D:D),0)</f>
        <v>1</v>
      </c>
      <c r="BC55" s="2">
        <v>1.0</v>
      </c>
      <c r="BD55" s="95">
        <f t="array" ref="BD55">XLOOKUP(C55,ROS!C:C,ROS!O:O)</f>
        <v>0</v>
      </c>
      <c r="BE55" s="147">
        <f t="array" ref="BE55">IFERROR(XLOOKUP(C55,ROS!T:T,ROS!U:U),"")</f>
        <v>0</v>
      </c>
      <c r="BF55" s="147">
        <f t="array" ref="BF55">XLOOKUP(R55,'Refrence Data'!B:B,'Refrence Data'!T:T)</f>
        <v>0.924145</v>
      </c>
      <c r="BG55" s="95">
        <f t="shared" si="19"/>
        <v>0</v>
      </c>
      <c r="BH55" s="4" t="str">
        <f t="shared" si="20"/>
        <v>FP</v>
      </c>
      <c r="BO55" s="153"/>
      <c r="BP55" s="153" t="str">
        <f t="shared" si="26"/>
        <v>FP</v>
      </c>
      <c r="BQ55" s="153"/>
      <c r="BR55" s="153"/>
      <c r="BS55" s="153"/>
    </row>
    <row r="56">
      <c r="A56" s="171">
        <v>5.425038430424E12</v>
      </c>
      <c r="B56" s="171" t="s">
        <v>3521</v>
      </c>
      <c r="C56" s="137" t="s">
        <v>871</v>
      </c>
      <c r="D56" s="138" t="s">
        <v>213</v>
      </c>
      <c r="E56" s="139" t="s">
        <v>220</v>
      </c>
      <c r="F56" s="140" t="s">
        <v>3554</v>
      </c>
      <c r="G56" s="141">
        <v>0.0</v>
      </c>
      <c r="H56" s="142">
        <v>26.25394</v>
      </c>
      <c r="I56" s="143" t="s">
        <v>111</v>
      </c>
      <c r="J56" s="83"/>
      <c r="K56" s="174">
        <v>365.0</v>
      </c>
      <c r="R56" s="145" t="str">
        <f t="shared" si="1"/>
        <v>Cereal &amp; Granola_25+</v>
      </c>
      <c r="S56" s="146" t="str">
        <f t="shared" si="2"/>
        <v>25+</v>
      </c>
      <c r="T56" s="95" t="str">
        <f t="array" ref="T56">XLOOKUP(C56,'Depth or Width'!P:P,'Depth or Width'!V:V)</f>
        <v>Width</v>
      </c>
      <c r="U56" s="93">
        <f t="shared" si="3"/>
        <v>5</v>
      </c>
      <c r="V56" s="147">
        <f t="array" ref="V56">iferror(XLOOKUP(R56,'Refrence Data'!B:B,'Refrence Data'!W:W),"NA")</f>
        <v>2.242476</v>
      </c>
      <c r="W56" s="95">
        <f t="shared" si="4"/>
        <v>0</v>
      </c>
      <c r="Y56" s="148">
        <f t="array" ref="Y56">IFERROR(XLOOKUP(R56,'Refrence Data'!B:B,'Refrence Data'!N:N),"NA")</f>
        <v>0.603529</v>
      </c>
      <c r="Z56" s="95" t="str">
        <f t="shared" si="5"/>
        <v>MEDIUM</v>
      </c>
      <c r="AA56" s="147">
        <f t="array" ref="AA56">XLOOKUP(R56,'Refrence Data'!B:B,'Refrence Data'!AC:AC)</f>
        <v>3.369756</v>
      </c>
      <c r="AB56" s="147">
        <f t="array" ref="AB56">IFERROR(XLOOKUP(R56,'Refrence Data'!B:B,'Refrence Data'!Y:Y),"NA")</f>
        <v>3.369756</v>
      </c>
      <c r="AC56" s="95" t="str">
        <f t="shared" si="6"/>
        <v>High</v>
      </c>
      <c r="AD56" s="95" t="str">
        <f t="shared" si="7"/>
        <v>Width</v>
      </c>
      <c r="AE56" s="95" t="str">
        <f t="shared" si="8"/>
        <v>MEDIUMHighWidth</v>
      </c>
      <c r="AF56" s="95">
        <f t="array" ref="AF56">XLOOKUP(AE56,'Category Saturation'!A:A,'Category Saturation'!E:E)</f>
        <v>10</v>
      </c>
      <c r="AH56" s="148">
        <f t="array" ref="AH56">iferror(XLOOKUP(R56,'New Launch Success Rate'!A:A,'New Launch Success Rate'!F:F),"NA")</f>
        <v>0.75</v>
      </c>
      <c r="AI56" s="95">
        <f t="shared" si="9"/>
        <v>100</v>
      </c>
      <c r="AK56" s="149">
        <f t="shared" si="10"/>
        <v>13</v>
      </c>
      <c r="AM56" s="150">
        <f t="array" ref="AM56">XLOOKUP(R56,'Non Moving'!C:C,'Non Moving'!I:I)/100</f>
        <v>0.093</v>
      </c>
      <c r="AN56" s="151">
        <f t="shared" si="11"/>
        <v>100</v>
      </c>
      <c r="AO56" s="150">
        <f t="array" ref="AO56">XLOOKUP(R56,'Non Moving'!C:C,'Non Moving'!F:F)/100</f>
        <v>0.271</v>
      </c>
      <c r="AP56" s="151">
        <f t="shared" si="12"/>
        <v>75</v>
      </c>
      <c r="AR56" s="95">
        <f t="shared" si="13"/>
        <v>87.5</v>
      </c>
      <c r="AT56" s="95">
        <f t="shared" si="14"/>
        <v>0</v>
      </c>
      <c r="AU56" s="95">
        <f t="array" ref="AU56">iferror(XLOOKUP(J56,Monetization!A:A,Monetization!B:B),25)</f>
        <v>25</v>
      </c>
      <c r="AW56" s="95">
        <f t="shared" si="15"/>
        <v>7.5</v>
      </c>
      <c r="AY56" s="149">
        <f t="shared" si="16"/>
        <v>41.7</v>
      </c>
      <c r="AZ56" s="95" t="str">
        <f t="shared" si="17"/>
        <v>25-50</v>
      </c>
      <c r="BA56" s="95" t="str">
        <f t="shared" si="18"/>
        <v>0-25</v>
      </c>
      <c r="BB56" s="152">
        <f t="array" ref="BB56">iferror(XLOOKUP(C56,Sheet9!A:A,Sheet9!D:D),0)</f>
        <v>1</v>
      </c>
      <c r="BC56" s="2">
        <v>1.0</v>
      </c>
      <c r="BD56" s="95">
        <f t="array" ref="BD56">XLOOKUP(C56,ROS!C:C,ROS!O:O)</f>
        <v>0</v>
      </c>
      <c r="BE56" s="147">
        <f t="array" ref="BE56">IFERROR(XLOOKUP(C56,ROS!T:T,ROS!U:U),"")</f>
        <v>0</v>
      </c>
      <c r="BF56" s="147">
        <f t="array" ref="BF56">XLOOKUP(R56,'Refrence Data'!B:B,'Refrence Data'!T:T)</f>
        <v>0.583333</v>
      </c>
      <c r="BG56" s="95">
        <f t="shared" si="19"/>
        <v>0</v>
      </c>
      <c r="BH56" s="4" t="str">
        <f t="shared" si="20"/>
        <v>TN</v>
      </c>
      <c r="BO56" s="153"/>
      <c r="BP56" s="153" t="str">
        <f t="shared" si="26"/>
        <v>TN</v>
      </c>
      <c r="BQ56" s="153"/>
      <c r="BR56" s="153"/>
      <c r="BS56" s="153"/>
    </row>
    <row r="57">
      <c r="A57" s="171">
        <v>5.425038430394E12</v>
      </c>
      <c r="B57" s="171" t="s">
        <v>3521</v>
      </c>
      <c r="C57" s="137" t="s">
        <v>872</v>
      </c>
      <c r="D57" s="138" t="s">
        <v>213</v>
      </c>
      <c r="E57" s="139" t="s">
        <v>220</v>
      </c>
      <c r="F57" s="140" t="s">
        <v>3554</v>
      </c>
      <c r="G57" s="141">
        <v>0.0</v>
      </c>
      <c r="H57" s="142">
        <v>22.35612</v>
      </c>
      <c r="I57" s="143" t="s">
        <v>111</v>
      </c>
      <c r="J57" s="83"/>
      <c r="K57" s="174">
        <v>365.0</v>
      </c>
      <c r="R57" s="145" t="str">
        <f t="shared" si="1"/>
        <v>Cereal &amp; Granola_20-25</v>
      </c>
      <c r="S57" s="146" t="str">
        <f t="shared" si="2"/>
        <v>20-25</v>
      </c>
      <c r="T57" s="95" t="str">
        <f t="array" ref="T57">XLOOKUP(C57,'Depth or Width'!P:P,'Depth or Width'!V:V)</f>
        <v>Width</v>
      </c>
      <c r="U57" s="93">
        <f t="shared" si="3"/>
        <v>5</v>
      </c>
      <c r="V57" s="147">
        <f t="array" ref="V57">iferror(XLOOKUP(R57,'Refrence Data'!B:B,'Refrence Data'!W:W),"NA")</f>
        <v>7.665551</v>
      </c>
      <c r="W57" s="95">
        <f t="shared" si="4"/>
        <v>100</v>
      </c>
      <c r="Y57" s="148">
        <f t="array" ref="Y57">IFERROR(XLOOKUP(R57,'Refrence Data'!B:B,'Refrence Data'!N:N),"NA")</f>
        <v>0.582705</v>
      </c>
      <c r="Z57" s="95" t="str">
        <f t="shared" si="5"/>
        <v>MEDIUM</v>
      </c>
      <c r="AA57" s="147">
        <f t="array" ref="AA57">XLOOKUP(R57,'Refrence Data'!B:B,'Refrence Data'!AC:AC)</f>
        <v>3.369756</v>
      </c>
      <c r="AB57" s="147">
        <f t="array" ref="AB57">IFERROR(XLOOKUP(R57,'Refrence Data'!B:B,'Refrence Data'!Y:Y),"NA")</f>
        <v>7.244174</v>
      </c>
      <c r="AC57" s="95" t="str">
        <f t="shared" si="6"/>
        <v>High</v>
      </c>
      <c r="AD57" s="95" t="str">
        <f t="shared" si="7"/>
        <v>Width</v>
      </c>
      <c r="AE57" s="95" t="str">
        <f t="shared" si="8"/>
        <v>MEDIUMHighWidth</v>
      </c>
      <c r="AF57" s="95">
        <f t="array" ref="AF57">XLOOKUP(AE57,'Category Saturation'!A:A,'Category Saturation'!E:E)</f>
        <v>10</v>
      </c>
      <c r="AH57" s="148">
        <f t="array" ref="AH57">iferror(XLOOKUP(R57,'New Launch Success Rate'!A:A,'New Launch Success Rate'!F:F),"NA")</f>
        <v>0.1875</v>
      </c>
      <c r="AI57" s="95">
        <f t="shared" si="9"/>
        <v>0</v>
      </c>
      <c r="AK57" s="149">
        <f t="shared" si="10"/>
        <v>63</v>
      </c>
      <c r="AM57" s="150">
        <f t="array" ref="AM57">XLOOKUP(R57,'Non Moving'!C:C,'Non Moving'!I:I)/100</f>
        <v>0.032</v>
      </c>
      <c r="AN57" s="151">
        <f t="shared" si="11"/>
        <v>100</v>
      </c>
      <c r="AO57" s="150">
        <f t="array" ref="AO57">XLOOKUP(R57,'Non Moving'!C:C,'Non Moving'!F:F)/100</f>
        <v>0.126</v>
      </c>
      <c r="AP57" s="151">
        <f t="shared" si="12"/>
        <v>100</v>
      </c>
      <c r="AR57" s="95">
        <f t="shared" si="13"/>
        <v>100</v>
      </c>
      <c r="AT57" s="95">
        <f t="shared" si="14"/>
        <v>0</v>
      </c>
      <c r="AU57" s="95">
        <f t="array" ref="AU57">iferror(XLOOKUP(J57,Monetization!A:A,Monetization!B:B),25)</f>
        <v>25</v>
      </c>
      <c r="AW57" s="95">
        <f t="shared" si="15"/>
        <v>7.5</v>
      </c>
      <c r="AY57" s="149">
        <f t="shared" si="16"/>
        <v>66.7</v>
      </c>
      <c r="AZ57" s="95" t="str">
        <f t="shared" si="17"/>
        <v>50-75</v>
      </c>
      <c r="BA57" s="95" t="str">
        <f t="shared" si="18"/>
        <v>50-75</v>
      </c>
      <c r="BB57" s="152">
        <f t="array" ref="BB57">iferror(XLOOKUP(C57,Sheet9!A:A,Sheet9!D:D),0)</f>
        <v>1</v>
      </c>
      <c r="BC57" s="2">
        <v>1.0</v>
      </c>
      <c r="BD57" s="95">
        <f t="array" ref="BD57">XLOOKUP(C57,ROS!C:C,ROS!O:O)</f>
        <v>0</v>
      </c>
      <c r="BE57" s="147">
        <f t="array" ref="BE57">IFERROR(XLOOKUP(C57,ROS!T:T,ROS!U:U),"")</f>
        <v>0</v>
      </c>
      <c r="BF57" s="147">
        <f t="array" ref="BF57">XLOOKUP(R57,'Refrence Data'!B:B,'Refrence Data'!T:T)</f>
        <v>0.924145</v>
      </c>
      <c r="BG57" s="95">
        <f t="shared" si="19"/>
        <v>0</v>
      </c>
      <c r="BH57" s="4" t="str">
        <f t="shared" si="20"/>
        <v>FP</v>
      </c>
      <c r="BO57" s="153"/>
      <c r="BP57" s="153" t="str">
        <f t="shared" si="26"/>
        <v>FP</v>
      </c>
      <c r="BQ57" s="153"/>
      <c r="BR57" s="153"/>
      <c r="BS57" s="153"/>
    </row>
    <row r="58">
      <c r="A58" s="171">
        <v>5.425038430387E12</v>
      </c>
      <c r="B58" s="171" t="s">
        <v>3521</v>
      </c>
      <c r="C58" s="137" t="s">
        <v>873</v>
      </c>
      <c r="D58" s="138" t="s">
        <v>213</v>
      </c>
      <c r="E58" s="139" t="s">
        <v>220</v>
      </c>
      <c r="F58" s="140" t="s">
        <v>3554</v>
      </c>
      <c r="G58" s="141">
        <v>1.0</v>
      </c>
      <c r="H58" s="142">
        <v>28.7273</v>
      </c>
      <c r="I58" s="143" t="s">
        <v>111</v>
      </c>
      <c r="J58" s="83"/>
      <c r="K58" s="174">
        <v>540.0</v>
      </c>
      <c r="R58" s="145" t="str">
        <f t="shared" si="1"/>
        <v>Cereal &amp; Granola_25+</v>
      </c>
      <c r="S58" s="146" t="str">
        <f t="shared" si="2"/>
        <v>25+</v>
      </c>
      <c r="T58" s="95" t="str">
        <f t="array" ref="T58">XLOOKUP(C58,'Depth or Width'!P:P,'Depth or Width'!V:V)</f>
        <v>Width</v>
      </c>
      <c r="U58" s="93">
        <f t="shared" si="3"/>
        <v>5</v>
      </c>
      <c r="V58" s="147">
        <f t="array" ref="V58">iferror(XLOOKUP(R58,'Refrence Data'!B:B,'Refrence Data'!W:W),"NA")</f>
        <v>2.242476</v>
      </c>
      <c r="W58" s="95">
        <f t="shared" si="4"/>
        <v>0</v>
      </c>
      <c r="Y58" s="148">
        <f t="array" ref="Y58">IFERROR(XLOOKUP(R58,'Refrence Data'!B:B,'Refrence Data'!N:N),"NA")</f>
        <v>0.603529</v>
      </c>
      <c r="Z58" s="95" t="str">
        <f t="shared" si="5"/>
        <v>MEDIUM</v>
      </c>
      <c r="AA58" s="147">
        <f t="array" ref="AA58">XLOOKUP(R58,'Refrence Data'!B:B,'Refrence Data'!AC:AC)</f>
        <v>3.369756</v>
      </c>
      <c r="AB58" s="147">
        <f t="array" ref="AB58">IFERROR(XLOOKUP(R58,'Refrence Data'!B:B,'Refrence Data'!Y:Y),"NA")</f>
        <v>3.369756</v>
      </c>
      <c r="AC58" s="95" t="str">
        <f t="shared" si="6"/>
        <v>High</v>
      </c>
      <c r="AD58" s="95" t="str">
        <f t="shared" si="7"/>
        <v>Width</v>
      </c>
      <c r="AE58" s="95" t="str">
        <f t="shared" si="8"/>
        <v>MEDIUMHighWidth</v>
      </c>
      <c r="AF58" s="95">
        <f t="array" ref="AF58">XLOOKUP(AE58,'Category Saturation'!A:A,'Category Saturation'!E:E)</f>
        <v>10</v>
      </c>
      <c r="AH58" s="148">
        <f t="array" ref="AH58">iferror(XLOOKUP(R58,'New Launch Success Rate'!A:A,'New Launch Success Rate'!F:F),"NA")</f>
        <v>0.75</v>
      </c>
      <c r="AI58" s="95">
        <f t="shared" si="9"/>
        <v>100</v>
      </c>
      <c r="AK58" s="149">
        <f t="shared" si="10"/>
        <v>13</v>
      </c>
      <c r="AM58" s="150">
        <f t="array" ref="AM58">XLOOKUP(R58,'Non Moving'!C:C,'Non Moving'!I:I)/100</f>
        <v>0.093</v>
      </c>
      <c r="AN58" s="151">
        <f t="shared" si="11"/>
        <v>100</v>
      </c>
      <c r="AO58" s="150">
        <f t="array" ref="AO58">XLOOKUP(R58,'Non Moving'!C:C,'Non Moving'!F:F)/100</f>
        <v>0.271</v>
      </c>
      <c r="AP58" s="151">
        <f t="shared" si="12"/>
        <v>75</v>
      </c>
      <c r="AR58" s="95">
        <f t="shared" si="13"/>
        <v>87.5</v>
      </c>
      <c r="AT58" s="95">
        <f t="shared" si="14"/>
        <v>0</v>
      </c>
      <c r="AU58" s="95">
        <f t="array" ref="AU58">iferror(XLOOKUP(J58,Monetization!A:A,Monetization!B:B),25)</f>
        <v>25</v>
      </c>
      <c r="AW58" s="95">
        <f t="shared" si="15"/>
        <v>7.5</v>
      </c>
      <c r="AY58" s="149">
        <f t="shared" si="16"/>
        <v>41.7</v>
      </c>
      <c r="AZ58" s="95" t="str">
        <f t="shared" si="17"/>
        <v>25-50</v>
      </c>
      <c r="BA58" s="95" t="str">
        <f t="shared" si="18"/>
        <v>0-25</v>
      </c>
      <c r="BB58" s="152">
        <f t="array" ref="BB58">iferror(XLOOKUP(C58,Sheet9!A:A,Sheet9!D:D),0)</f>
        <v>1</v>
      </c>
      <c r="BC58" s="2">
        <v>1.0</v>
      </c>
      <c r="BD58" s="95">
        <f t="array" ref="BD58">XLOOKUP(C58,ROS!C:C,ROS!O:O)</f>
        <v>0</v>
      </c>
      <c r="BE58" s="147">
        <f t="array" ref="BE58">IFERROR(XLOOKUP(C58,ROS!T:T,ROS!U:U),"")</f>
        <v>0</v>
      </c>
      <c r="BF58" s="147">
        <f t="array" ref="BF58">XLOOKUP(R58,'Refrence Data'!B:B,'Refrence Data'!T:T)</f>
        <v>0.583333</v>
      </c>
      <c r="BG58" s="95">
        <f t="shared" si="19"/>
        <v>0</v>
      </c>
      <c r="BH58" s="4" t="str">
        <f t="shared" si="20"/>
        <v>TN</v>
      </c>
      <c r="BO58" s="153"/>
      <c r="BP58" s="153" t="str">
        <f t="shared" si="26"/>
        <v>TN</v>
      </c>
      <c r="BQ58" s="153"/>
      <c r="BR58" s="153"/>
      <c r="BS58" s="153"/>
    </row>
    <row r="59">
      <c r="A59" s="171">
        <v>7.3016793451E11</v>
      </c>
      <c r="B59" s="171" t="s">
        <v>3521</v>
      </c>
      <c r="C59" s="137" t="s">
        <v>874</v>
      </c>
      <c r="D59" s="138" t="s">
        <v>213</v>
      </c>
      <c r="E59" s="139" t="s">
        <v>861</v>
      </c>
      <c r="F59" s="140" t="s">
        <v>3525</v>
      </c>
      <c r="G59" s="141">
        <v>0.0</v>
      </c>
      <c r="H59" s="142">
        <v>41.28084</v>
      </c>
      <c r="I59" s="143" t="s">
        <v>112</v>
      </c>
      <c r="J59" s="83"/>
      <c r="K59" s="174">
        <v>360.0</v>
      </c>
      <c r="R59" s="145" t="str">
        <f t="shared" si="1"/>
        <v>Spreads &amp; Syrups_25+</v>
      </c>
      <c r="S59" s="146" t="str">
        <f t="shared" si="2"/>
        <v>25+</v>
      </c>
      <c r="T59" s="95" t="str">
        <f t="array" ref="T59">XLOOKUP(C59,'Depth or Width'!P:P,'Depth or Width'!V:V)</f>
        <v>Width</v>
      </c>
      <c r="U59" s="93">
        <f t="shared" si="3"/>
        <v>5</v>
      </c>
      <c r="V59" s="147">
        <f t="array" ref="V59">iferror(XLOOKUP(R59,'Refrence Data'!B:B,'Refrence Data'!W:W),"NA")</f>
        <v>1.381101</v>
      </c>
      <c r="W59" s="95">
        <f t="shared" si="4"/>
        <v>0</v>
      </c>
      <c r="Y59" s="148">
        <f t="array" ref="Y59">IFERROR(XLOOKUP(R59,'Refrence Data'!B:B,'Refrence Data'!N:N),"NA")</f>
        <v>0.782621</v>
      </c>
      <c r="Z59" s="95" t="str">
        <f t="shared" si="5"/>
        <v>HIGH</v>
      </c>
      <c r="AA59" s="147">
        <f t="array" ref="AA59">XLOOKUP(R59,'Refrence Data'!B:B,'Refrence Data'!AC:AC)</f>
        <v>6.288573</v>
      </c>
      <c r="AB59" s="147">
        <f t="array" ref="AB59">IFERROR(XLOOKUP(R59,'Refrence Data'!B:B,'Refrence Data'!Y:Y),"NA")</f>
        <v>3.364223</v>
      </c>
      <c r="AC59" s="95" t="str">
        <f t="shared" si="6"/>
        <v>High</v>
      </c>
      <c r="AD59" s="95" t="str">
        <f t="shared" si="7"/>
        <v>Width</v>
      </c>
      <c r="AE59" s="95" t="str">
        <f t="shared" si="8"/>
        <v>HIGHHighWidth</v>
      </c>
      <c r="AF59" s="95">
        <f t="array" ref="AF59">XLOOKUP(AE59,'Category Saturation'!A:A,'Category Saturation'!E:E)</f>
        <v>25</v>
      </c>
      <c r="AH59" s="148">
        <f t="array" ref="AH59">iferror(XLOOKUP(R59,'New Launch Success Rate'!A:A,'New Launch Success Rate'!F:F),"NA")</f>
        <v>0.75</v>
      </c>
      <c r="AI59" s="95">
        <f t="shared" si="9"/>
        <v>100</v>
      </c>
      <c r="AK59" s="149">
        <f t="shared" si="10"/>
        <v>17.5</v>
      </c>
      <c r="AM59" s="150">
        <f t="array" ref="AM59">XLOOKUP(R59,'Non Moving'!C:C,'Non Moving'!I:I)/100</f>
        <v>0.198</v>
      </c>
      <c r="AN59" s="151">
        <f t="shared" si="11"/>
        <v>50</v>
      </c>
      <c r="AO59" s="150">
        <f t="array" ref="AO59">XLOOKUP(R59,'Non Moving'!C:C,'Non Moving'!F:F)/100</f>
        <v>0.406</v>
      </c>
      <c r="AP59" s="151">
        <f t="shared" si="12"/>
        <v>50</v>
      </c>
      <c r="AR59" s="95">
        <f t="shared" si="13"/>
        <v>50</v>
      </c>
      <c r="AT59" s="95">
        <f t="shared" si="14"/>
        <v>100</v>
      </c>
      <c r="AU59" s="95">
        <f t="array" ref="AU59">iferror(XLOOKUP(J59,Monetization!A:A,Monetization!B:B),25)</f>
        <v>25</v>
      </c>
      <c r="AW59" s="95">
        <f t="shared" si="15"/>
        <v>77.5</v>
      </c>
      <c r="AY59" s="149">
        <f t="shared" si="16"/>
        <v>42.5</v>
      </c>
      <c r="AZ59" s="95" t="str">
        <f t="shared" si="17"/>
        <v>25-50</v>
      </c>
      <c r="BA59" s="95" t="str">
        <f t="shared" si="18"/>
        <v>0-25</v>
      </c>
      <c r="BB59" s="152">
        <f t="array" ref="BB59">iferror(XLOOKUP(C59,Sheet9!A:A,Sheet9!D:D),0)</f>
        <v>0.95</v>
      </c>
      <c r="BC59" s="2">
        <v>1.0</v>
      </c>
      <c r="BD59" s="95">
        <f t="array" ref="BD59">XLOOKUP(C59,ROS!C:C,ROS!O:O)</f>
        <v>0</v>
      </c>
      <c r="BE59" s="147">
        <f t="array" ref="BE59">IFERROR(XLOOKUP(C59,ROS!T:T,ROS!U:U),"")</f>
        <v>0</v>
      </c>
      <c r="BF59" s="147">
        <f t="array" ref="BF59">XLOOKUP(R59,'Refrence Data'!B:B,'Refrence Data'!T:T)</f>
        <v>0.18799</v>
      </c>
      <c r="BG59" s="95">
        <f t="shared" si="19"/>
        <v>0</v>
      </c>
      <c r="BH59" s="4" t="str">
        <f t="shared" si="20"/>
        <v>TN</v>
      </c>
      <c r="BO59" s="153"/>
      <c r="BP59" s="153" t="str">
        <f t="shared" si="26"/>
        <v>TN</v>
      </c>
      <c r="BQ59" s="153"/>
      <c r="BR59" s="153"/>
      <c r="BS59" s="153"/>
    </row>
    <row r="60">
      <c r="A60" s="171">
        <v>7.30167934497E11</v>
      </c>
      <c r="B60" s="171" t="s">
        <v>3521</v>
      </c>
      <c r="C60" s="137" t="s">
        <v>876</v>
      </c>
      <c r="D60" s="138" t="s">
        <v>213</v>
      </c>
      <c r="E60" s="139" t="s">
        <v>861</v>
      </c>
      <c r="F60" s="140" t="s">
        <v>3525</v>
      </c>
      <c r="G60" s="141">
        <v>0.0</v>
      </c>
      <c r="H60" s="142">
        <v>37.97</v>
      </c>
      <c r="I60" s="143" t="s">
        <v>112</v>
      </c>
      <c r="J60" s="83"/>
      <c r="K60" s="174">
        <v>360.0</v>
      </c>
      <c r="R60" s="145" t="str">
        <f t="shared" si="1"/>
        <v>Spreads &amp; Syrups_25+</v>
      </c>
      <c r="S60" s="146" t="str">
        <f t="shared" si="2"/>
        <v>25+</v>
      </c>
      <c r="T60" s="95" t="str">
        <f t="array" ref="T60">XLOOKUP(C60,'Depth or Width'!P:P,'Depth or Width'!V:V)</f>
        <v>Width</v>
      </c>
      <c r="U60" s="93">
        <f t="shared" si="3"/>
        <v>5</v>
      </c>
      <c r="V60" s="147">
        <f t="array" ref="V60">iferror(XLOOKUP(R60,'Refrence Data'!B:B,'Refrence Data'!W:W),"NA")</f>
        <v>1.381101</v>
      </c>
      <c r="W60" s="95">
        <f t="shared" si="4"/>
        <v>0</v>
      </c>
      <c r="Y60" s="148">
        <f t="array" ref="Y60">IFERROR(XLOOKUP(R60,'Refrence Data'!B:B,'Refrence Data'!N:N),"NA")</f>
        <v>0.782621</v>
      </c>
      <c r="Z60" s="95" t="str">
        <f t="shared" si="5"/>
        <v>HIGH</v>
      </c>
      <c r="AA60" s="147">
        <f t="array" ref="AA60">XLOOKUP(R60,'Refrence Data'!B:B,'Refrence Data'!AC:AC)</f>
        <v>6.288573</v>
      </c>
      <c r="AB60" s="147">
        <f t="array" ref="AB60">IFERROR(XLOOKUP(R60,'Refrence Data'!B:B,'Refrence Data'!Y:Y),"NA")</f>
        <v>3.364223</v>
      </c>
      <c r="AC60" s="95" t="str">
        <f t="shared" si="6"/>
        <v>High</v>
      </c>
      <c r="AD60" s="95" t="str">
        <f t="shared" si="7"/>
        <v>Width</v>
      </c>
      <c r="AE60" s="95" t="str">
        <f t="shared" si="8"/>
        <v>HIGHHighWidth</v>
      </c>
      <c r="AF60" s="95">
        <f t="array" ref="AF60">XLOOKUP(AE60,'Category Saturation'!A:A,'Category Saturation'!E:E)</f>
        <v>25</v>
      </c>
      <c r="AH60" s="148">
        <f t="array" ref="AH60">iferror(XLOOKUP(R60,'New Launch Success Rate'!A:A,'New Launch Success Rate'!F:F),"NA")</f>
        <v>0.75</v>
      </c>
      <c r="AI60" s="95">
        <f t="shared" si="9"/>
        <v>100</v>
      </c>
      <c r="AK60" s="149">
        <f t="shared" si="10"/>
        <v>17.5</v>
      </c>
      <c r="AM60" s="150">
        <f t="array" ref="AM60">XLOOKUP(R60,'Non Moving'!C:C,'Non Moving'!I:I)/100</f>
        <v>0.198</v>
      </c>
      <c r="AN60" s="151">
        <f t="shared" si="11"/>
        <v>50</v>
      </c>
      <c r="AO60" s="150">
        <f t="array" ref="AO60">XLOOKUP(R60,'Non Moving'!C:C,'Non Moving'!F:F)/100</f>
        <v>0.406</v>
      </c>
      <c r="AP60" s="151">
        <f t="shared" si="12"/>
        <v>50</v>
      </c>
      <c r="AR60" s="95">
        <f t="shared" si="13"/>
        <v>50</v>
      </c>
      <c r="AT60" s="95">
        <f t="shared" si="14"/>
        <v>100</v>
      </c>
      <c r="AU60" s="95">
        <f t="array" ref="AU60">iferror(XLOOKUP(J60,Monetization!A:A,Monetization!B:B),25)</f>
        <v>25</v>
      </c>
      <c r="AW60" s="95">
        <f t="shared" si="15"/>
        <v>77.5</v>
      </c>
      <c r="AY60" s="149">
        <f t="shared" si="16"/>
        <v>42.5</v>
      </c>
      <c r="AZ60" s="95" t="str">
        <f t="shared" si="17"/>
        <v>25-50</v>
      </c>
      <c r="BA60" s="95" t="str">
        <f t="shared" si="18"/>
        <v>0-25</v>
      </c>
      <c r="BB60" s="152">
        <f t="array" ref="BB60">iferror(XLOOKUP(C60,Sheet9!A:A,Sheet9!D:D),0)</f>
        <v>0.94</v>
      </c>
      <c r="BC60" s="2">
        <v>1.0</v>
      </c>
      <c r="BD60" s="95">
        <f t="array" ref="BD60">XLOOKUP(C60,ROS!C:C,ROS!O:O)</f>
        <v>0</v>
      </c>
      <c r="BE60" s="147">
        <f t="array" ref="BE60">IFERROR(XLOOKUP(C60,ROS!T:T,ROS!U:U),"")</f>
        <v>0.30952381</v>
      </c>
      <c r="BF60" s="147">
        <f t="array" ref="BF60">XLOOKUP(R60,'Refrence Data'!B:B,'Refrence Data'!T:T)</f>
        <v>0.18799</v>
      </c>
      <c r="BG60" s="95">
        <f t="shared" si="19"/>
        <v>0</v>
      </c>
      <c r="BH60" s="4" t="str">
        <f t="shared" si="20"/>
        <v>TN</v>
      </c>
      <c r="BO60" s="153"/>
      <c r="BP60" s="153" t="str">
        <f t="shared" si="26"/>
        <v>TN</v>
      </c>
      <c r="BQ60" s="153"/>
      <c r="BR60" s="153"/>
      <c r="BS60" s="153"/>
    </row>
    <row r="61">
      <c r="A61" s="171">
        <v>4.6020140234E12</v>
      </c>
      <c r="B61" s="171" t="s">
        <v>3521</v>
      </c>
      <c r="C61" s="137" t="s">
        <v>877</v>
      </c>
      <c r="D61" s="138" t="s">
        <v>231</v>
      </c>
      <c r="E61" s="139" t="s">
        <v>232</v>
      </c>
      <c r="F61" s="140" t="s">
        <v>3555</v>
      </c>
      <c r="G61" s="141">
        <v>0.0</v>
      </c>
      <c r="H61" s="142">
        <v>4.720884</v>
      </c>
      <c r="I61" s="143" t="s">
        <v>112</v>
      </c>
      <c r="J61" s="83"/>
      <c r="K61" s="174">
        <v>365.0</v>
      </c>
      <c r="R61" s="145" t="str">
        <f t="shared" si="1"/>
        <v>Block Cheese_0-5</v>
      </c>
      <c r="S61" s="146" t="str">
        <f t="shared" si="2"/>
        <v>0-5</v>
      </c>
      <c r="T61" s="95" t="str">
        <f t="array" ref="T61">XLOOKUP(C61,'Depth or Width'!P:P,'Depth or Width'!V:V)</f>
        <v>Depth</v>
      </c>
      <c r="U61" s="93">
        <f t="shared" si="3"/>
        <v>5</v>
      </c>
      <c r="V61" s="147">
        <f t="array" ref="V61">iferror(XLOOKUP(R61,'Refrence Data'!B:B,'Refrence Data'!W:W),"NA")</f>
        <v>22.95029</v>
      </c>
      <c r="W61" s="95">
        <f t="shared" si="4"/>
        <v>100</v>
      </c>
      <c r="Y61" s="148">
        <f t="array" ref="Y61">IFERROR(XLOOKUP(R61,'Refrence Data'!B:B,'Refrence Data'!N:N),"NA")</f>
        <v>0.568376</v>
      </c>
      <c r="Z61" s="95" t="str">
        <f t="shared" si="5"/>
        <v>MEDIUM</v>
      </c>
      <c r="AA61" s="147">
        <f t="array" ref="AA61">XLOOKUP(R61,'Refrence Data'!B:B,'Refrence Data'!AC:AC)</f>
        <v>12.48875</v>
      </c>
      <c r="AB61" s="147">
        <f t="array" ref="AB61">IFERROR(XLOOKUP(R61,'Refrence Data'!B:B,'Refrence Data'!Y:Y),"NA")</f>
        <v>20.18934</v>
      </c>
      <c r="AC61" s="95" t="str">
        <f t="shared" si="6"/>
        <v>High</v>
      </c>
      <c r="AD61" s="95" t="str">
        <f t="shared" si="7"/>
        <v>Depth</v>
      </c>
      <c r="AE61" s="95" t="str">
        <f t="shared" si="8"/>
        <v>MEDIUMHighDepth</v>
      </c>
      <c r="AF61" s="95">
        <f t="array" ref="AF61">XLOOKUP(AE61,'Category Saturation'!A:A,'Category Saturation'!E:E)</f>
        <v>60</v>
      </c>
      <c r="AH61" s="148">
        <f t="array" ref="AH61">iferror(XLOOKUP(R61,'New Launch Success Rate'!A:A,'New Launch Success Rate'!F:F),"NA")</f>
        <v>0.318</v>
      </c>
      <c r="AI61" s="95">
        <f t="shared" si="9"/>
        <v>25</v>
      </c>
      <c r="AK61" s="149">
        <f t="shared" si="10"/>
        <v>80.5</v>
      </c>
      <c r="AM61" s="150">
        <f t="array" ref="AM61">XLOOKUP(R61,'Non Moving'!C:C,'Non Moving'!I:I)/100</f>
        <v>0.184</v>
      </c>
      <c r="AN61" s="151">
        <f t="shared" si="11"/>
        <v>50</v>
      </c>
      <c r="AO61" s="150">
        <f t="array" ref="AO61">XLOOKUP(R61,'Non Moving'!C:C,'Non Moving'!F:F)/100</f>
        <v>0.328</v>
      </c>
      <c r="AP61" s="151">
        <f t="shared" si="12"/>
        <v>75</v>
      </c>
      <c r="AR61" s="95">
        <f t="shared" si="13"/>
        <v>62.5</v>
      </c>
      <c r="AT61" s="95">
        <f t="shared" si="14"/>
        <v>100</v>
      </c>
      <c r="AU61" s="95">
        <f t="array" ref="AU61">iferror(XLOOKUP(J61,Monetization!A:A,Monetization!B:B),25)</f>
        <v>25</v>
      </c>
      <c r="AW61" s="95">
        <f t="shared" si="15"/>
        <v>77.5</v>
      </c>
      <c r="AY61" s="149">
        <f t="shared" si="16"/>
        <v>72.7</v>
      </c>
      <c r="AZ61" s="95" t="str">
        <f t="shared" si="17"/>
        <v>50-75</v>
      </c>
      <c r="BA61" s="95" t="str">
        <f t="shared" si="18"/>
        <v>75-100</v>
      </c>
      <c r="BB61" s="152">
        <f t="array" ref="BB61">iferror(XLOOKUP(C61,Sheet9!A:A,Sheet9!D:D),0)</f>
        <v>0.33</v>
      </c>
      <c r="BC61" s="2">
        <v>1.0</v>
      </c>
      <c r="BD61" s="95">
        <f t="array" ref="BD61">XLOOKUP(C61,ROS!C:C,ROS!O:O)</f>
        <v>0</v>
      </c>
      <c r="BE61" s="147">
        <f t="array" ref="BE61">IFERROR(XLOOKUP(C61,ROS!T:T,ROS!U:U),"")</f>
        <v>0</v>
      </c>
      <c r="BF61" s="147">
        <f t="array" ref="BF61">XLOOKUP(R61,'Refrence Data'!B:B,'Refrence Data'!T:T)</f>
        <v>17.42839</v>
      </c>
      <c r="BG61" s="95">
        <f t="shared" si="19"/>
        <v>0</v>
      </c>
      <c r="BH61" s="4" t="str">
        <f t="shared" si="20"/>
        <v/>
      </c>
      <c r="BO61" s="153"/>
      <c r="BP61" s="153" t="str">
        <f t="shared" si="26"/>
        <v/>
      </c>
      <c r="BQ61" s="153"/>
      <c r="BR61" s="153"/>
      <c r="BS61" s="153"/>
    </row>
    <row r="62">
      <c r="A62" s="171">
        <v>9.310678345626E12</v>
      </c>
      <c r="B62" s="171" t="s">
        <v>3507</v>
      </c>
      <c r="C62" s="137" t="s">
        <v>1324</v>
      </c>
      <c r="D62" s="138" t="s">
        <v>1848</v>
      </c>
      <c r="E62" s="139" t="s">
        <v>1878</v>
      </c>
      <c r="F62" s="140" t="s">
        <v>3556</v>
      </c>
      <c r="G62" s="141">
        <v>0.0</v>
      </c>
      <c r="H62" s="142">
        <v>20.48381</v>
      </c>
      <c r="I62" s="143" t="s">
        <v>111</v>
      </c>
      <c r="J62" s="83"/>
      <c r="K62" s="174">
        <v>1095.0</v>
      </c>
      <c r="R62" s="145" t="str">
        <f t="shared" si="1"/>
        <v>Dish Cleaners_20-25</v>
      </c>
      <c r="S62" s="146" t="str">
        <f t="shared" si="2"/>
        <v>20-25</v>
      </c>
      <c r="T62" s="95" t="str">
        <f t="array" ref="T62">XLOOKUP(C62,'Depth or Width'!P:P,'Depth or Width'!V:V)</f>
        <v>Width</v>
      </c>
      <c r="U62" s="93">
        <f t="shared" si="3"/>
        <v>5</v>
      </c>
      <c r="V62" s="147">
        <f t="array" ref="V62">iferror(XLOOKUP(R62,'Refrence Data'!B:B,'Refrence Data'!W:W),"NA")</f>
        <v>3.384098</v>
      </c>
      <c r="W62" s="95">
        <f t="shared" si="4"/>
        <v>50</v>
      </c>
      <c r="Y62" s="148">
        <f t="array" ref="Y62">IFERROR(XLOOKUP(R62,'Refrence Data'!B:B,'Refrence Data'!N:N),"NA")</f>
        <v>0.565397</v>
      </c>
      <c r="Z62" s="95" t="str">
        <f t="shared" si="5"/>
        <v>MEDIUM</v>
      </c>
      <c r="AA62" s="147">
        <f t="array" ref="AA62">XLOOKUP(R62,'Refrence Data'!B:B,'Refrence Data'!AC:AC)</f>
        <v>6.830055</v>
      </c>
      <c r="AB62" s="147">
        <f t="array" ref="AB62">IFERROR(XLOOKUP(R62,'Refrence Data'!B:B,'Refrence Data'!Y:Y),"NA")</f>
        <v>6.010668</v>
      </c>
      <c r="AC62" s="95" t="str">
        <f t="shared" si="6"/>
        <v>High</v>
      </c>
      <c r="AD62" s="95" t="str">
        <f t="shared" si="7"/>
        <v>Width</v>
      </c>
      <c r="AE62" s="95" t="str">
        <f t="shared" si="8"/>
        <v>MEDIUMHighWidth</v>
      </c>
      <c r="AF62" s="95">
        <f t="array" ref="AF62">XLOOKUP(AE62,'Category Saturation'!A:A,'Category Saturation'!E:E)</f>
        <v>10</v>
      </c>
      <c r="AH62" s="148">
        <f t="array" ref="AH62">iferror(XLOOKUP(R62,'New Launch Success Rate'!A:A,'New Launch Success Rate'!F:F),"NA")</f>
        <v>0.5625</v>
      </c>
      <c r="AI62" s="95">
        <f t="shared" si="9"/>
        <v>50</v>
      </c>
      <c r="AK62" s="149">
        <f t="shared" si="10"/>
        <v>38</v>
      </c>
      <c r="AM62" s="150">
        <f t="array" ref="AM62">XLOOKUP(R62,'Non Moving'!C:C,'Non Moving'!I:I)/100</f>
        <v>0.059</v>
      </c>
      <c r="AN62" s="151">
        <f t="shared" si="11"/>
        <v>100</v>
      </c>
      <c r="AO62" s="150">
        <f t="array" ref="AO62">XLOOKUP(R62,'Non Moving'!C:C,'Non Moving'!F:F)/100</f>
        <v>0.207</v>
      </c>
      <c r="AP62" s="151">
        <f t="shared" si="12"/>
        <v>100</v>
      </c>
      <c r="AR62" s="95">
        <f t="shared" si="13"/>
        <v>100</v>
      </c>
      <c r="AT62" s="95">
        <f t="shared" si="14"/>
        <v>0</v>
      </c>
      <c r="AU62" s="95">
        <f t="array" ref="AU62">iferror(XLOOKUP(J62,Monetization!A:A,Monetization!B:B),25)</f>
        <v>25</v>
      </c>
      <c r="AW62" s="95">
        <f t="shared" si="15"/>
        <v>7.5</v>
      </c>
      <c r="AY62" s="149">
        <f t="shared" si="16"/>
        <v>56.7</v>
      </c>
      <c r="AZ62" s="95" t="str">
        <f t="shared" si="17"/>
        <v>50-75</v>
      </c>
      <c r="BA62" s="95" t="str">
        <f t="shared" si="18"/>
        <v>25-50</v>
      </c>
      <c r="BB62" s="152">
        <f t="array" ref="BB62">iferror(XLOOKUP(C62,Sheet9!A:A,Sheet9!D:D),0)</f>
        <v>0</v>
      </c>
      <c r="BC62" s="2">
        <v>1.0</v>
      </c>
      <c r="BD62" s="95">
        <f t="array" ref="BD62">XLOOKUP(C62,ROS!C:C,ROS!O:O)</f>
        <v>5.000794</v>
      </c>
      <c r="BE62" s="147" t="str">
        <f t="array" ref="BE62">IFERROR(XLOOKUP(C62,ROS!T:T,ROS!U:U),"")</f>
        <v/>
      </c>
      <c r="BF62" s="147">
        <f t="array" ref="BF62">XLOOKUP(R62,'Refrence Data'!B:B,'Refrence Data'!T:T)</f>
        <v>0.569935</v>
      </c>
      <c r="BG62" s="95">
        <f t="shared" si="19"/>
        <v>1</v>
      </c>
      <c r="BH62" s="4" t="str">
        <f t="shared" si="20"/>
        <v/>
      </c>
      <c r="BO62" s="153"/>
      <c r="BP62" s="153" t="str">
        <f t="shared" si="26"/>
        <v/>
      </c>
      <c r="BQ62" s="153"/>
      <c r="BR62" s="153"/>
      <c r="BS62" s="153"/>
    </row>
    <row r="63">
      <c r="A63" s="171">
        <v>5.060941970027E12</v>
      </c>
      <c r="B63" s="171" t="s">
        <v>3521</v>
      </c>
      <c r="C63" s="137" t="s">
        <v>879</v>
      </c>
      <c r="D63" s="138" t="s">
        <v>258</v>
      </c>
      <c r="E63" s="139" t="s">
        <v>881</v>
      </c>
      <c r="F63" s="140" t="s">
        <v>3557</v>
      </c>
      <c r="G63" s="141">
        <v>0.0</v>
      </c>
      <c r="H63" s="142">
        <v>55.12473</v>
      </c>
      <c r="I63" s="143" t="s">
        <v>111</v>
      </c>
      <c r="J63" s="83"/>
      <c r="K63" s="174">
        <v>720.0</v>
      </c>
      <c r="R63" s="145" t="str">
        <f t="shared" si="1"/>
        <v>Tea_25+</v>
      </c>
      <c r="S63" s="146" t="str">
        <f t="shared" si="2"/>
        <v>25+</v>
      </c>
      <c r="T63" s="95" t="str">
        <f t="array" ref="T63">XLOOKUP(C63,'Depth or Width'!P:P,'Depth or Width'!V:V)</f>
        <v>Depth</v>
      </c>
      <c r="U63" s="93">
        <f t="shared" si="3"/>
        <v>5</v>
      </c>
      <c r="V63" s="147">
        <f t="array" ref="V63">iferror(XLOOKUP(R63,'Refrence Data'!B:B,'Refrence Data'!W:W),"NA")</f>
        <v>1.073753</v>
      </c>
      <c r="W63" s="95">
        <f t="shared" si="4"/>
        <v>0</v>
      </c>
      <c r="Y63" s="148">
        <f t="array" ref="Y63">IFERROR(XLOOKUP(R63,'Refrence Data'!B:B,'Refrence Data'!N:N),"NA")</f>
        <v>0.597331</v>
      </c>
      <c r="Z63" s="95" t="str">
        <f t="shared" si="5"/>
        <v>MEDIUM</v>
      </c>
      <c r="AA63" s="147">
        <f t="array" ref="AA63">XLOOKUP(R63,'Refrence Data'!B:B,'Refrence Data'!AC:AC)</f>
        <v>2.900255</v>
      </c>
      <c r="AB63" s="147">
        <f t="array" ref="AB63">IFERROR(XLOOKUP(R63,'Refrence Data'!B:B,'Refrence Data'!Y:Y),"NA")</f>
        <v>1.082613</v>
      </c>
      <c r="AC63" s="95" t="str">
        <f t="shared" si="6"/>
        <v>Low</v>
      </c>
      <c r="AD63" s="95" t="str">
        <f t="shared" si="7"/>
        <v>Depth</v>
      </c>
      <c r="AE63" s="95" t="str">
        <f t="shared" si="8"/>
        <v>MEDIUMLowDepth</v>
      </c>
      <c r="AF63" s="95">
        <f t="array" ref="AF63">XLOOKUP(AE63,'Category Saturation'!A:A,'Category Saturation'!E:E)</f>
        <v>50</v>
      </c>
      <c r="AH63" s="148">
        <f t="array" ref="AH63">iferror(XLOOKUP(R63,'New Launch Success Rate'!A:A,'New Launch Success Rate'!F:F),"NA")</f>
        <v>0.6</v>
      </c>
      <c r="AI63" s="95">
        <f t="shared" si="9"/>
        <v>50</v>
      </c>
      <c r="AK63" s="149">
        <f t="shared" si="10"/>
        <v>20</v>
      </c>
      <c r="AM63" s="150">
        <f t="array" ref="AM63">XLOOKUP(R63,'Non Moving'!C:C,'Non Moving'!I:I)/100</f>
        <v>0.289</v>
      </c>
      <c r="AN63" s="151">
        <f t="shared" si="11"/>
        <v>0</v>
      </c>
      <c r="AO63" s="150">
        <f t="array" ref="AO63">XLOOKUP(R63,'Non Moving'!C:C,'Non Moving'!F:F)/100</f>
        <v>0.412</v>
      </c>
      <c r="AP63" s="151">
        <f t="shared" si="12"/>
        <v>50</v>
      </c>
      <c r="AR63" s="95">
        <f t="shared" si="13"/>
        <v>25</v>
      </c>
      <c r="AT63" s="95">
        <f t="shared" si="14"/>
        <v>0</v>
      </c>
      <c r="AU63" s="95">
        <f t="array" ref="AU63">iferror(XLOOKUP(J63,Monetization!A:A,Monetization!B:B),25)</f>
        <v>25</v>
      </c>
      <c r="AW63" s="95">
        <f t="shared" si="15"/>
        <v>7.5</v>
      </c>
      <c r="AY63" s="149">
        <f t="shared" si="16"/>
        <v>19.5</v>
      </c>
      <c r="AZ63" s="95" t="str">
        <f t="shared" si="17"/>
        <v>0-25</v>
      </c>
      <c r="BA63" s="95" t="str">
        <f t="shared" si="18"/>
        <v>0-25</v>
      </c>
      <c r="BB63" s="152">
        <f t="array" ref="BB63">iferror(XLOOKUP(C63,Sheet9!A:A,Sheet9!D:D),0)</f>
        <v>0.98</v>
      </c>
      <c r="BC63" s="2">
        <v>1.0</v>
      </c>
      <c r="BD63" s="95">
        <f t="array" ref="BD63">XLOOKUP(C63,ROS!C:C,ROS!O:O)</f>
        <v>0</v>
      </c>
      <c r="BE63" s="147">
        <f t="array" ref="BE63">IFERROR(XLOOKUP(C63,ROS!T:T,ROS!U:U),"")</f>
        <v>0.153846154</v>
      </c>
      <c r="BF63" s="147">
        <f t="array" ref="BF63">XLOOKUP(R63,'Refrence Data'!B:B,'Refrence Data'!T:T)</f>
        <v>0.286243</v>
      </c>
      <c r="BG63" s="95">
        <f t="shared" si="19"/>
        <v>0</v>
      </c>
      <c r="BH63" s="4" t="str">
        <f t="shared" si="20"/>
        <v>TN</v>
      </c>
      <c r="BO63" s="153"/>
      <c r="BP63" s="153" t="str">
        <f t="shared" si="26"/>
        <v>TN</v>
      </c>
      <c r="BQ63" s="153"/>
      <c r="BR63" s="153"/>
      <c r="BS63" s="153"/>
    </row>
    <row r="64">
      <c r="A64" s="171">
        <v>6.298042332034E12</v>
      </c>
      <c r="B64" s="171" t="s">
        <v>3521</v>
      </c>
      <c r="C64" s="137" t="s">
        <v>883</v>
      </c>
      <c r="D64" s="138" t="s">
        <v>258</v>
      </c>
      <c r="E64" s="139" t="s">
        <v>881</v>
      </c>
      <c r="F64" s="140" t="s">
        <v>3558</v>
      </c>
      <c r="G64" s="141">
        <v>0.0</v>
      </c>
      <c r="H64" s="142">
        <v>191.099</v>
      </c>
      <c r="I64" s="143" t="s">
        <v>111</v>
      </c>
      <c r="J64" s="83"/>
      <c r="K64" s="174">
        <v>720.0</v>
      </c>
      <c r="R64" s="145" t="str">
        <f t="shared" si="1"/>
        <v>Tea_25+</v>
      </c>
      <c r="S64" s="146" t="str">
        <f t="shared" si="2"/>
        <v>25+</v>
      </c>
      <c r="T64" s="95" t="str">
        <f t="array" ref="T64">XLOOKUP(C64,'Depth or Width'!P:P,'Depth or Width'!V:V)</f>
        <v>Width</v>
      </c>
      <c r="U64" s="93">
        <f t="shared" si="3"/>
        <v>5</v>
      </c>
      <c r="V64" s="147">
        <f t="array" ref="V64">iferror(XLOOKUP(R64,'Refrence Data'!B:B,'Refrence Data'!W:W),"NA")</f>
        <v>1.073753</v>
      </c>
      <c r="W64" s="95">
        <f t="shared" si="4"/>
        <v>0</v>
      </c>
      <c r="Y64" s="148">
        <f t="array" ref="Y64">IFERROR(XLOOKUP(R64,'Refrence Data'!B:B,'Refrence Data'!N:N),"NA")</f>
        <v>0.597331</v>
      </c>
      <c r="Z64" s="95" t="str">
        <f t="shared" si="5"/>
        <v>MEDIUM</v>
      </c>
      <c r="AA64" s="147">
        <f t="array" ref="AA64">XLOOKUP(R64,'Refrence Data'!B:B,'Refrence Data'!AC:AC)</f>
        <v>2.900255</v>
      </c>
      <c r="AB64" s="147">
        <f t="array" ref="AB64">IFERROR(XLOOKUP(R64,'Refrence Data'!B:B,'Refrence Data'!Y:Y),"NA")</f>
        <v>1.082613</v>
      </c>
      <c r="AC64" s="95" t="str">
        <f t="shared" si="6"/>
        <v>Low</v>
      </c>
      <c r="AD64" s="95" t="str">
        <f t="shared" si="7"/>
        <v>Width</v>
      </c>
      <c r="AE64" s="95" t="str">
        <f t="shared" si="8"/>
        <v>MEDIUMLowWidth</v>
      </c>
      <c r="AF64" s="95">
        <f t="array" ref="AF64">XLOOKUP(AE64,'Category Saturation'!A:A,'Category Saturation'!E:E)</f>
        <v>25</v>
      </c>
      <c r="AH64" s="148">
        <f t="array" ref="AH64">iferror(XLOOKUP(R64,'New Launch Success Rate'!A:A,'New Launch Success Rate'!F:F),"NA")</f>
        <v>0.6</v>
      </c>
      <c r="AI64" s="95">
        <f t="shared" si="9"/>
        <v>50</v>
      </c>
      <c r="AK64" s="149">
        <f t="shared" si="10"/>
        <v>12.5</v>
      </c>
      <c r="AM64" s="150">
        <f t="array" ref="AM64">XLOOKUP(R64,'Non Moving'!C:C,'Non Moving'!I:I)/100</f>
        <v>0.289</v>
      </c>
      <c r="AN64" s="151">
        <f t="shared" si="11"/>
        <v>0</v>
      </c>
      <c r="AO64" s="150">
        <f t="array" ref="AO64">XLOOKUP(R64,'Non Moving'!C:C,'Non Moving'!F:F)/100</f>
        <v>0.412</v>
      </c>
      <c r="AP64" s="151">
        <f t="shared" si="12"/>
        <v>50</v>
      </c>
      <c r="AR64" s="95">
        <f t="shared" si="13"/>
        <v>25</v>
      </c>
      <c r="AT64" s="95">
        <f t="shared" si="14"/>
        <v>0</v>
      </c>
      <c r="AU64" s="95">
        <f t="array" ref="AU64">iferror(XLOOKUP(J64,Monetization!A:A,Monetization!B:B),25)</f>
        <v>25</v>
      </c>
      <c r="AW64" s="95">
        <f t="shared" si="15"/>
        <v>7.5</v>
      </c>
      <c r="AY64" s="149">
        <f t="shared" si="16"/>
        <v>16.5</v>
      </c>
      <c r="AZ64" s="95" t="str">
        <f t="shared" si="17"/>
        <v>0-25</v>
      </c>
      <c r="BA64" s="95" t="str">
        <f t="shared" si="18"/>
        <v>0-25</v>
      </c>
      <c r="BB64" s="152">
        <f t="array" ref="BB64">iferror(XLOOKUP(C64,Sheet9!A:A,Sheet9!D:D),0)</f>
        <v>0</v>
      </c>
      <c r="BC64" s="2">
        <v>1.0</v>
      </c>
      <c r="BD64" s="95">
        <f t="array" ref="BD64">XLOOKUP(C64,ROS!C:C,ROS!O:O)</f>
        <v>0.111111</v>
      </c>
      <c r="BE64" s="147" t="str">
        <f t="array" ref="BE64">IFERROR(XLOOKUP(C64,ROS!T:T,ROS!U:U),"")</f>
        <v/>
      </c>
      <c r="BF64" s="147">
        <f t="array" ref="BF64">XLOOKUP(R64,'Refrence Data'!B:B,'Refrence Data'!T:T)</f>
        <v>0.286243</v>
      </c>
      <c r="BG64" s="95">
        <f t="shared" si="19"/>
        <v>0</v>
      </c>
      <c r="BH64" s="4" t="str">
        <f t="shared" si="20"/>
        <v/>
      </c>
      <c r="BO64" s="153"/>
      <c r="BP64" s="153" t="str">
        <f t="shared" si="26"/>
        <v/>
      </c>
      <c r="BQ64" s="153"/>
      <c r="BR64" s="153"/>
      <c r="BS64" s="153"/>
    </row>
    <row r="65">
      <c r="A65" s="171">
        <v>6.298042332027E12</v>
      </c>
      <c r="B65" s="171" t="s">
        <v>3521</v>
      </c>
      <c r="C65" s="137" t="s">
        <v>886</v>
      </c>
      <c r="D65" s="138" t="s">
        <v>258</v>
      </c>
      <c r="E65" s="139" t="s">
        <v>881</v>
      </c>
      <c r="F65" s="140" t="s">
        <v>3558</v>
      </c>
      <c r="G65" s="141">
        <v>0.0</v>
      </c>
      <c r="H65" s="142">
        <v>220.4252</v>
      </c>
      <c r="I65" s="143" t="s">
        <v>111</v>
      </c>
      <c r="J65" s="83"/>
      <c r="K65" s="174">
        <v>720.0</v>
      </c>
      <c r="R65" s="145" t="str">
        <f t="shared" si="1"/>
        <v>Tea_25+</v>
      </c>
      <c r="S65" s="146" t="str">
        <f t="shared" si="2"/>
        <v>25+</v>
      </c>
      <c r="T65" s="95" t="str">
        <f t="array" ref="T65">XLOOKUP(C65,'Depth or Width'!P:P,'Depth or Width'!V:V)</f>
        <v>Width</v>
      </c>
      <c r="U65" s="93">
        <f t="shared" si="3"/>
        <v>5</v>
      </c>
      <c r="V65" s="147">
        <f t="array" ref="V65">iferror(XLOOKUP(R65,'Refrence Data'!B:B,'Refrence Data'!W:W),"NA")</f>
        <v>1.073753</v>
      </c>
      <c r="W65" s="95">
        <f t="shared" si="4"/>
        <v>0</v>
      </c>
      <c r="Y65" s="148">
        <f t="array" ref="Y65">IFERROR(XLOOKUP(R65,'Refrence Data'!B:B,'Refrence Data'!N:N),"NA")</f>
        <v>0.597331</v>
      </c>
      <c r="Z65" s="95" t="str">
        <f t="shared" si="5"/>
        <v>MEDIUM</v>
      </c>
      <c r="AA65" s="147">
        <f t="array" ref="AA65">XLOOKUP(R65,'Refrence Data'!B:B,'Refrence Data'!AC:AC)</f>
        <v>2.900255</v>
      </c>
      <c r="AB65" s="147">
        <f t="array" ref="AB65">IFERROR(XLOOKUP(R65,'Refrence Data'!B:B,'Refrence Data'!Y:Y),"NA")</f>
        <v>1.082613</v>
      </c>
      <c r="AC65" s="95" t="str">
        <f t="shared" si="6"/>
        <v>Low</v>
      </c>
      <c r="AD65" s="95" t="str">
        <f t="shared" si="7"/>
        <v>Width</v>
      </c>
      <c r="AE65" s="95" t="str">
        <f t="shared" si="8"/>
        <v>MEDIUMLowWidth</v>
      </c>
      <c r="AF65" s="95">
        <f t="array" ref="AF65">XLOOKUP(AE65,'Category Saturation'!A:A,'Category Saturation'!E:E)</f>
        <v>25</v>
      </c>
      <c r="AH65" s="148">
        <f t="array" ref="AH65">iferror(XLOOKUP(R65,'New Launch Success Rate'!A:A,'New Launch Success Rate'!F:F),"NA")</f>
        <v>0.6</v>
      </c>
      <c r="AI65" s="95">
        <f t="shared" si="9"/>
        <v>50</v>
      </c>
      <c r="AK65" s="149">
        <f t="shared" si="10"/>
        <v>12.5</v>
      </c>
      <c r="AM65" s="150">
        <f t="array" ref="AM65">XLOOKUP(R65,'Non Moving'!C:C,'Non Moving'!I:I)/100</f>
        <v>0.289</v>
      </c>
      <c r="AN65" s="151">
        <f t="shared" si="11"/>
        <v>0</v>
      </c>
      <c r="AO65" s="150">
        <f t="array" ref="AO65">XLOOKUP(R65,'Non Moving'!C:C,'Non Moving'!F:F)/100</f>
        <v>0.412</v>
      </c>
      <c r="AP65" s="151">
        <f t="shared" si="12"/>
        <v>50</v>
      </c>
      <c r="AR65" s="95">
        <f t="shared" si="13"/>
        <v>25</v>
      </c>
      <c r="AT65" s="95">
        <f t="shared" si="14"/>
        <v>0</v>
      </c>
      <c r="AU65" s="95">
        <f t="array" ref="AU65">iferror(XLOOKUP(J65,Monetization!A:A,Monetization!B:B),25)</f>
        <v>25</v>
      </c>
      <c r="AW65" s="95">
        <f t="shared" si="15"/>
        <v>7.5</v>
      </c>
      <c r="AY65" s="149">
        <f t="shared" si="16"/>
        <v>16.5</v>
      </c>
      <c r="AZ65" s="95" t="str">
        <f t="shared" si="17"/>
        <v>0-25</v>
      </c>
      <c r="BA65" s="95" t="str">
        <f t="shared" si="18"/>
        <v>0-25</v>
      </c>
      <c r="BB65" s="152">
        <f t="array" ref="BB65">iferror(XLOOKUP(C65,Sheet9!A:A,Sheet9!D:D),0)</f>
        <v>0</v>
      </c>
      <c r="BC65" s="2">
        <v>1.0</v>
      </c>
      <c r="BD65" s="95">
        <f t="array" ref="BD65">XLOOKUP(C65,ROS!C:C,ROS!O:O)</f>
        <v>0</v>
      </c>
      <c r="BE65" s="147" t="str">
        <f t="array" ref="BE65">IFERROR(XLOOKUP(C65,ROS!T:T,ROS!U:U),"")</f>
        <v/>
      </c>
      <c r="BF65" s="147">
        <f t="array" ref="BF65">XLOOKUP(R65,'Refrence Data'!B:B,'Refrence Data'!T:T)</f>
        <v>0.286243</v>
      </c>
      <c r="BG65" s="95">
        <f t="shared" si="19"/>
        <v>0</v>
      </c>
      <c r="BH65" s="4" t="str">
        <f t="shared" si="20"/>
        <v/>
      </c>
      <c r="BO65" s="153"/>
      <c r="BP65" s="153" t="str">
        <f t="shared" si="26"/>
        <v/>
      </c>
      <c r="BQ65" s="153"/>
      <c r="BR65" s="153"/>
      <c r="BS65" s="153"/>
    </row>
    <row r="66">
      <c r="A66" s="171">
        <v>6.298042332003E12</v>
      </c>
      <c r="B66" s="171" t="s">
        <v>3521</v>
      </c>
      <c r="C66" s="137" t="s">
        <v>887</v>
      </c>
      <c r="D66" s="138" t="s">
        <v>258</v>
      </c>
      <c r="E66" s="139" t="s">
        <v>881</v>
      </c>
      <c r="F66" s="140" t="s">
        <v>3558</v>
      </c>
      <c r="G66" s="141">
        <v>0.0</v>
      </c>
      <c r="H66" s="142">
        <v>158.4174</v>
      </c>
      <c r="I66" s="143" t="s">
        <v>111</v>
      </c>
      <c r="J66" s="83"/>
      <c r="K66" s="174">
        <v>720.0</v>
      </c>
      <c r="R66" s="145" t="str">
        <f t="shared" si="1"/>
        <v>Tea_25+</v>
      </c>
      <c r="S66" s="146" t="str">
        <f t="shared" si="2"/>
        <v>25+</v>
      </c>
      <c r="T66" s="95" t="str">
        <f t="array" ref="T66">XLOOKUP(C66,'Depth or Width'!P:P,'Depth or Width'!V:V)</f>
        <v>Width</v>
      </c>
      <c r="U66" s="93">
        <f t="shared" si="3"/>
        <v>5</v>
      </c>
      <c r="V66" s="147">
        <f t="array" ref="V66">iferror(XLOOKUP(R66,'Refrence Data'!B:B,'Refrence Data'!W:W),"NA")</f>
        <v>1.073753</v>
      </c>
      <c r="W66" s="95">
        <f t="shared" si="4"/>
        <v>0</v>
      </c>
      <c r="Y66" s="148">
        <f t="array" ref="Y66">IFERROR(XLOOKUP(R66,'Refrence Data'!B:B,'Refrence Data'!N:N),"NA")</f>
        <v>0.597331</v>
      </c>
      <c r="Z66" s="95" t="str">
        <f t="shared" si="5"/>
        <v>MEDIUM</v>
      </c>
      <c r="AA66" s="147">
        <f t="array" ref="AA66">XLOOKUP(R66,'Refrence Data'!B:B,'Refrence Data'!AC:AC)</f>
        <v>2.900255</v>
      </c>
      <c r="AB66" s="147">
        <f t="array" ref="AB66">IFERROR(XLOOKUP(R66,'Refrence Data'!B:B,'Refrence Data'!Y:Y),"NA")</f>
        <v>1.082613</v>
      </c>
      <c r="AC66" s="95" t="str">
        <f t="shared" si="6"/>
        <v>Low</v>
      </c>
      <c r="AD66" s="95" t="str">
        <f t="shared" si="7"/>
        <v>Width</v>
      </c>
      <c r="AE66" s="95" t="str">
        <f t="shared" si="8"/>
        <v>MEDIUMLowWidth</v>
      </c>
      <c r="AF66" s="95">
        <f t="array" ref="AF66">XLOOKUP(AE66,'Category Saturation'!A:A,'Category Saturation'!E:E)</f>
        <v>25</v>
      </c>
      <c r="AH66" s="148">
        <f t="array" ref="AH66">iferror(XLOOKUP(R66,'New Launch Success Rate'!A:A,'New Launch Success Rate'!F:F),"NA")</f>
        <v>0.6</v>
      </c>
      <c r="AI66" s="95">
        <f t="shared" si="9"/>
        <v>50</v>
      </c>
      <c r="AK66" s="149">
        <f t="shared" si="10"/>
        <v>12.5</v>
      </c>
      <c r="AM66" s="150">
        <f t="array" ref="AM66">XLOOKUP(R66,'Non Moving'!C:C,'Non Moving'!I:I)/100</f>
        <v>0.289</v>
      </c>
      <c r="AN66" s="151">
        <f t="shared" si="11"/>
        <v>0</v>
      </c>
      <c r="AO66" s="150">
        <f t="array" ref="AO66">XLOOKUP(R66,'Non Moving'!C:C,'Non Moving'!F:F)/100</f>
        <v>0.412</v>
      </c>
      <c r="AP66" s="151">
        <f t="shared" si="12"/>
        <v>50</v>
      </c>
      <c r="AR66" s="95">
        <f t="shared" si="13"/>
        <v>25</v>
      </c>
      <c r="AT66" s="95">
        <f t="shared" si="14"/>
        <v>0</v>
      </c>
      <c r="AU66" s="95">
        <f t="array" ref="AU66">iferror(XLOOKUP(J66,Monetization!A:A,Monetization!B:B),25)</f>
        <v>25</v>
      </c>
      <c r="AW66" s="95">
        <f t="shared" si="15"/>
        <v>7.5</v>
      </c>
      <c r="AY66" s="149">
        <f t="shared" si="16"/>
        <v>16.5</v>
      </c>
      <c r="AZ66" s="95" t="str">
        <f t="shared" si="17"/>
        <v>0-25</v>
      </c>
      <c r="BA66" s="95" t="str">
        <f t="shared" si="18"/>
        <v>0-25</v>
      </c>
      <c r="BB66" s="152">
        <f t="array" ref="BB66">iferror(XLOOKUP(C66,Sheet9!A:A,Sheet9!D:D),0)</f>
        <v>0</v>
      </c>
      <c r="BC66" s="2">
        <v>1.0</v>
      </c>
      <c r="BD66" s="95">
        <f t="array" ref="BD66">XLOOKUP(C66,ROS!C:C,ROS!O:O)</f>
        <v>0</v>
      </c>
      <c r="BE66" s="147" t="str">
        <f t="array" ref="BE66">IFERROR(XLOOKUP(C66,ROS!T:T,ROS!U:U),"")</f>
        <v/>
      </c>
      <c r="BF66" s="147">
        <f t="array" ref="BF66">XLOOKUP(R66,'Refrence Data'!B:B,'Refrence Data'!T:T)</f>
        <v>0.286243</v>
      </c>
      <c r="BG66" s="95">
        <f t="shared" si="19"/>
        <v>0</v>
      </c>
      <c r="BH66" s="4" t="str">
        <f t="shared" si="20"/>
        <v/>
      </c>
      <c r="BO66" s="153"/>
      <c r="BP66" s="153" t="str">
        <f t="shared" si="26"/>
        <v/>
      </c>
      <c r="BQ66" s="153"/>
      <c r="BR66" s="153"/>
      <c r="BS66" s="153"/>
    </row>
    <row r="67">
      <c r="A67" s="171">
        <v>6.290360088754E12</v>
      </c>
      <c r="B67" s="171" t="s">
        <v>3521</v>
      </c>
      <c r="C67" s="137" t="s">
        <v>888</v>
      </c>
      <c r="D67" s="138" t="s">
        <v>258</v>
      </c>
      <c r="E67" s="139" t="s">
        <v>881</v>
      </c>
      <c r="F67" s="140" t="s">
        <v>3558</v>
      </c>
      <c r="G67" s="141">
        <v>0.0</v>
      </c>
      <c r="H67" s="142">
        <v>39.98169</v>
      </c>
      <c r="I67" s="143" t="s">
        <v>111</v>
      </c>
      <c r="J67" s="83"/>
      <c r="K67" s="174">
        <v>1080.0</v>
      </c>
      <c r="R67" s="145" t="str">
        <f t="shared" si="1"/>
        <v>Tea_25+</v>
      </c>
      <c r="S67" s="146" t="str">
        <f t="shared" si="2"/>
        <v>25+</v>
      </c>
      <c r="T67" s="95" t="str">
        <f t="array" ref="T67">XLOOKUP(C67,'Depth or Width'!P:P,'Depth or Width'!V:V)</f>
        <v>Width</v>
      </c>
      <c r="U67" s="93">
        <f t="shared" si="3"/>
        <v>5</v>
      </c>
      <c r="V67" s="147">
        <f t="array" ref="V67">iferror(XLOOKUP(R67,'Refrence Data'!B:B,'Refrence Data'!W:W),"NA")</f>
        <v>1.073753</v>
      </c>
      <c r="W67" s="95">
        <f t="shared" si="4"/>
        <v>0</v>
      </c>
      <c r="Y67" s="148">
        <f t="array" ref="Y67">IFERROR(XLOOKUP(R67,'Refrence Data'!B:B,'Refrence Data'!N:N),"NA")</f>
        <v>0.597331</v>
      </c>
      <c r="Z67" s="95" t="str">
        <f t="shared" si="5"/>
        <v>MEDIUM</v>
      </c>
      <c r="AA67" s="147">
        <f t="array" ref="AA67">XLOOKUP(R67,'Refrence Data'!B:B,'Refrence Data'!AC:AC)</f>
        <v>2.900255</v>
      </c>
      <c r="AB67" s="147">
        <f t="array" ref="AB67">IFERROR(XLOOKUP(R67,'Refrence Data'!B:B,'Refrence Data'!Y:Y),"NA")</f>
        <v>1.082613</v>
      </c>
      <c r="AC67" s="95" t="str">
        <f t="shared" si="6"/>
        <v>Low</v>
      </c>
      <c r="AD67" s="95" t="str">
        <f t="shared" si="7"/>
        <v>Width</v>
      </c>
      <c r="AE67" s="95" t="str">
        <f t="shared" si="8"/>
        <v>MEDIUMLowWidth</v>
      </c>
      <c r="AF67" s="95">
        <f t="array" ref="AF67">XLOOKUP(AE67,'Category Saturation'!A:A,'Category Saturation'!E:E)</f>
        <v>25</v>
      </c>
      <c r="AH67" s="148">
        <f t="array" ref="AH67">iferror(XLOOKUP(R67,'New Launch Success Rate'!A:A,'New Launch Success Rate'!F:F),"NA")</f>
        <v>0.6</v>
      </c>
      <c r="AI67" s="95">
        <f t="shared" si="9"/>
        <v>50</v>
      </c>
      <c r="AK67" s="149">
        <f t="shared" si="10"/>
        <v>12.5</v>
      </c>
      <c r="AM67" s="150">
        <f t="array" ref="AM67">XLOOKUP(R67,'Non Moving'!C:C,'Non Moving'!I:I)/100</f>
        <v>0.289</v>
      </c>
      <c r="AN67" s="151">
        <f t="shared" si="11"/>
        <v>0</v>
      </c>
      <c r="AO67" s="150">
        <f t="array" ref="AO67">XLOOKUP(R67,'Non Moving'!C:C,'Non Moving'!F:F)/100</f>
        <v>0.412</v>
      </c>
      <c r="AP67" s="151">
        <f t="shared" si="12"/>
        <v>50</v>
      </c>
      <c r="AR67" s="95">
        <f t="shared" si="13"/>
        <v>25</v>
      </c>
      <c r="AT67" s="95">
        <f t="shared" si="14"/>
        <v>0</v>
      </c>
      <c r="AU67" s="95">
        <f t="array" ref="AU67">iferror(XLOOKUP(J67,Monetization!A:A,Monetization!B:B),25)</f>
        <v>25</v>
      </c>
      <c r="AW67" s="95">
        <f t="shared" si="15"/>
        <v>7.5</v>
      </c>
      <c r="AY67" s="149">
        <f t="shared" si="16"/>
        <v>16.5</v>
      </c>
      <c r="AZ67" s="95" t="str">
        <f t="shared" si="17"/>
        <v>0-25</v>
      </c>
      <c r="BA67" s="95" t="str">
        <f t="shared" si="18"/>
        <v>0-25</v>
      </c>
      <c r="BB67" s="152">
        <f t="array" ref="BB67">iferror(XLOOKUP(C67,Sheet9!A:A,Sheet9!D:D),0)</f>
        <v>0</v>
      </c>
      <c r="BC67" s="2">
        <v>1.0</v>
      </c>
      <c r="BD67" s="95">
        <f t="array" ref="BD67">XLOOKUP(C67,ROS!C:C,ROS!O:O)</f>
        <v>0</v>
      </c>
      <c r="BE67" s="147" t="str">
        <f t="array" ref="BE67">IFERROR(XLOOKUP(C67,ROS!T:T,ROS!U:U),"")</f>
        <v/>
      </c>
      <c r="BF67" s="147">
        <f t="array" ref="BF67">XLOOKUP(R67,'Refrence Data'!B:B,'Refrence Data'!T:T)</f>
        <v>0.286243</v>
      </c>
      <c r="BG67" s="95">
        <f t="shared" si="19"/>
        <v>0</v>
      </c>
      <c r="BH67" s="4" t="str">
        <f t="shared" si="20"/>
        <v/>
      </c>
      <c r="BO67" s="153"/>
      <c r="BP67" s="153" t="str">
        <f t="shared" si="26"/>
        <v/>
      </c>
      <c r="BQ67" s="153"/>
      <c r="BR67" s="153"/>
      <c r="BS67" s="153"/>
    </row>
    <row r="68">
      <c r="A68" s="171">
        <v>6.290360086316E12</v>
      </c>
      <c r="B68" s="171" t="s">
        <v>3521</v>
      </c>
      <c r="C68" s="137" t="s">
        <v>889</v>
      </c>
      <c r="D68" s="138" t="s">
        <v>258</v>
      </c>
      <c r="E68" s="139" t="s">
        <v>881</v>
      </c>
      <c r="F68" s="140" t="s">
        <v>3558</v>
      </c>
      <c r="G68" s="141">
        <v>0.0</v>
      </c>
      <c r="H68" s="142">
        <v>58.95021</v>
      </c>
      <c r="I68" s="143" t="s">
        <v>111</v>
      </c>
      <c r="J68" s="83"/>
      <c r="K68" s="174">
        <v>720.0</v>
      </c>
      <c r="R68" s="145" t="str">
        <f t="shared" si="1"/>
        <v>Tea_25+</v>
      </c>
      <c r="S68" s="146" t="str">
        <f t="shared" si="2"/>
        <v>25+</v>
      </c>
      <c r="T68" s="95" t="str">
        <f t="array" ref="T68">XLOOKUP(C68,'Depth or Width'!P:P,'Depth or Width'!V:V)</f>
        <v>Width</v>
      </c>
      <c r="U68" s="93">
        <f t="shared" si="3"/>
        <v>5</v>
      </c>
      <c r="V68" s="147">
        <f t="array" ref="V68">iferror(XLOOKUP(R68,'Refrence Data'!B:B,'Refrence Data'!W:W),"NA")</f>
        <v>1.073753</v>
      </c>
      <c r="W68" s="95">
        <f t="shared" si="4"/>
        <v>0</v>
      </c>
      <c r="Y68" s="148">
        <f t="array" ref="Y68">IFERROR(XLOOKUP(R68,'Refrence Data'!B:B,'Refrence Data'!N:N),"NA")</f>
        <v>0.597331</v>
      </c>
      <c r="Z68" s="95" t="str">
        <f t="shared" si="5"/>
        <v>MEDIUM</v>
      </c>
      <c r="AA68" s="147">
        <f t="array" ref="AA68">XLOOKUP(R68,'Refrence Data'!B:B,'Refrence Data'!AC:AC)</f>
        <v>2.900255</v>
      </c>
      <c r="AB68" s="147">
        <f t="array" ref="AB68">IFERROR(XLOOKUP(R68,'Refrence Data'!B:B,'Refrence Data'!Y:Y),"NA")</f>
        <v>1.082613</v>
      </c>
      <c r="AC68" s="95" t="str">
        <f t="shared" si="6"/>
        <v>Low</v>
      </c>
      <c r="AD68" s="95" t="str">
        <f t="shared" si="7"/>
        <v>Width</v>
      </c>
      <c r="AE68" s="95" t="str">
        <f t="shared" si="8"/>
        <v>MEDIUMLowWidth</v>
      </c>
      <c r="AF68" s="95">
        <f t="array" ref="AF68">XLOOKUP(AE68,'Category Saturation'!A:A,'Category Saturation'!E:E)</f>
        <v>25</v>
      </c>
      <c r="AH68" s="148">
        <f t="array" ref="AH68">iferror(XLOOKUP(R68,'New Launch Success Rate'!A:A,'New Launch Success Rate'!F:F),"NA")</f>
        <v>0.6</v>
      </c>
      <c r="AI68" s="95">
        <f t="shared" si="9"/>
        <v>50</v>
      </c>
      <c r="AK68" s="149">
        <f t="shared" si="10"/>
        <v>12.5</v>
      </c>
      <c r="AM68" s="150">
        <f t="array" ref="AM68">XLOOKUP(R68,'Non Moving'!C:C,'Non Moving'!I:I)/100</f>
        <v>0.289</v>
      </c>
      <c r="AN68" s="151">
        <f t="shared" si="11"/>
        <v>0</v>
      </c>
      <c r="AO68" s="150">
        <f t="array" ref="AO68">XLOOKUP(R68,'Non Moving'!C:C,'Non Moving'!F:F)/100</f>
        <v>0.412</v>
      </c>
      <c r="AP68" s="151">
        <f t="shared" si="12"/>
        <v>50</v>
      </c>
      <c r="AR68" s="95">
        <f t="shared" si="13"/>
        <v>25</v>
      </c>
      <c r="AT68" s="95">
        <f t="shared" si="14"/>
        <v>0</v>
      </c>
      <c r="AU68" s="95">
        <f t="array" ref="AU68">iferror(XLOOKUP(J68,Monetization!A:A,Monetization!B:B),25)</f>
        <v>25</v>
      </c>
      <c r="AW68" s="95">
        <f t="shared" si="15"/>
        <v>7.5</v>
      </c>
      <c r="AY68" s="149">
        <f t="shared" si="16"/>
        <v>16.5</v>
      </c>
      <c r="AZ68" s="95" t="str">
        <f t="shared" si="17"/>
        <v>0-25</v>
      </c>
      <c r="BA68" s="95" t="str">
        <f t="shared" si="18"/>
        <v>0-25</v>
      </c>
      <c r="BB68" s="152">
        <f t="array" ref="BB68">iferror(XLOOKUP(C68,Sheet9!A:A,Sheet9!D:D),0)</f>
        <v>0</v>
      </c>
      <c r="BC68" s="2">
        <v>1.0</v>
      </c>
      <c r="BD68" s="95">
        <f t="array" ref="BD68">XLOOKUP(C68,ROS!C:C,ROS!O:O)</f>
        <v>0</v>
      </c>
      <c r="BE68" s="147" t="str">
        <f t="array" ref="BE68">IFERROR(XLOOKUP(C68,ROS!T:T,ROS!U:U),"")</f>
        <v/>
      </c>
      <c r="BF68" s="147">
        <f t="array" ref="BF68">XLOOKUP(R68,'Refrence Data'!B:B,'Refrence Data'!T:T)</f>
        <v>0.286243</v>
      </c>
      <c r="BG68" s="95">
        <f t="shared" si="19"/>
        <v>0</v>
      </c>
      <c r="BH68" s="4" t="str">
        <f t="shared" si="20"/>
        <v/>
      </c>
      <c r="BO68" s="153"/>
      <c r="BP68" s="153" t="str">
        <f t="shared" si="26"/>
        <v/>
      </c>
      <c r="BQ68" s="153"/>
      <c r="BR68" s="153"/>
      <c r="BS68" s="153"/>
    </row>
    <row r="69">
      <c r="A69" s="171">
        <v>6.290360081564E12</v>
      </c>
      <c r="B69" s="171" t="s">
        <v>3521</v>
      </c>
      <c r="C69" s="137" t="s">
        <v>890</v>
      </c>
      <c r="D69" s="138" t="s">
        <v>258</v>
      </c>
      <c r="E69" s="139" t="s">
        <v>881</v>
      </c>
      <c r="F69" s="140" t="s">
        <v>3558</v>
      </c>
      <c r="G69" s="141">
        <v>0.0</v>
      </c>
      <c r="H69" s="142">
        <v>113.2824</v>
      </c>
      <c r="I69" s="143" t="s">
        <v>111</v>
      </c>
      <c r="J69" s="83"/>
      <c r="K69" s="174">
        <v>720.0</v>
      </c>
      <c r="R69" s="145" t="str">
        <f t="shared" si="1"/>
        <v>Tea_25+</v>
      </c>
      <c r="S69" s="146" t="str">
        <f t="shared" si="2"/>
        <v>25+</v>
      </c>
      <c r="T69" s="95" t="str">
        <f t="array" ref="T69">XLOOKUP(C69,'Depth or Width'!P:P,'Depth or Width'!V:V)</f>
        <v>Width</v>
      </c>
      <c r="U69" s="93">
        <f t="shared" si="3"/>
        <v>5</v>
      </c>
      <c r="V69" s="147">
        <f t="array" ref="V69">iferror(XLOOKUP(R69,'Refrence Data'!B:B,'Refrence Data'!W:W),"NA")</f>
        <v>1.073753</v>
      </c>
      <c r="W69" s="95">
        <f t="shared" si="4"/>
        <v>0</v>
      </c>
      <c r="Y69" s="148">
        <f t="array" ref="Y69">IFERROR(XLOOKUP(R69,'Refrence Data'!B:B,'Refrence Data'!N:N),"NA")</f>
        <v>0.597331</v>
      </c>
      <c r="Z69" s="95" t="str">
        <f t="shared" si="5"/>
        <v>MEDIUM</v>
      </c>
      <c r="AA69" s="147">
        <f t="array" ref="AA69">XLOOKUP(R69,'Refrence Data'!B:B,'Refrence Data'!AC:AC)</f>
        <v>2.900255</v>
      </c>
      <c r="AB69" s="147">
        <f t="array" ref="AB69">IFERROR(XLOOKUP(R69,'Refrence Data'!B:B,'Refrence Data'!Y:Y),"NA")</f>
        <v>1.082613</v>
      </c>
      <c r="AC69" s="95" t="str">
        <f t="shared" si="6"/>
        <v>Low</v>
      </c>
      <c r="AD69" s="95" t="str">
        <f t="shared" si="7"/>
        <v>Width</v>
      </c>
      <c r="AE69" s="95" t="str">
        <f t="shared" si="8"/>
        <v>MEDIUMLowWidth</v>
      </c>
      <c r="AF69" s="95">
        <f t="array" ref="AF69">XLOOKUP(AE69,'Category Saturation'!A:A,'Category Saturation'!E:E)</f>
        <v>25</v>
      </c>
      <c r="AH69" s="148">
        <f t="array" ref="AH69">iferror(XLOOKUP(R69,'New Launch Success Rate'!A:A,'New Launch Success Rate'!F:F),"NA")</f>
        <v>0.6</v>
      </c>
      <c r="AI69" s="95">
        <f t="shared" si="9"/>
        <v>50</v>
      </c>
      <c r="AK69" s="149">
        <f t="shared" si="10"/>
        <v>12.5</v>
      </c>
      <c r="AM69" s="150">
        <f t="array" ref="AM69">XLOOKUP(R69,'Non Moving'!C:C,'Non Moving'!I:I)/100</f>
        <v>0.289</v>
      </c>
      <c r="AN69" s="151">
        <f t="shared" si="11"/>
        <v>0</v>
      </c>
      <c r="AO69" s="150">
        <f t="array" ref="AO69">XLOOKUP(R69,'Non Moving'!C:C,'Non Moving'!F:F)/100</f>
        <v>0.412</v>
      </c>
      <c r="AP69" s="151">
        <f t="shared" si="12"/>
        <v>50</v>
      </c>
      <c r="AR69" s="95">
        <f t="shared" si="13"/>
        <v>25</v>
      </c>
      <c r="AT69" s="95">
        <f t="shared" si="14"/>
        <v>0</v>
      </c>
      <c r="AU69" s="95">
        <f t="array" ref="AU69">iferror(XLOOKUP(J69,Monetization!A:A,Monetization!B:B),25)</f>
        <v>25</v>
      </c>
      <c r="AW69" s="95">
        <f t="shared" si="15"/>
        <v>7.5</v>
      </c>
      <c r="AY69" s="149">
        <f t="shared" si="16"/>
        <v>16.5</v>
      </c>
      <c r="AZ69" s="95" t="str">
        <f t="shared" si="17"/>
        <v>0-25</v>
      </c>
      <c r="BA69" s="95" t="str">
        <f t="shared" si="18"/>
        <v>0-25</v>
      </c>
      <c r="BB69" s="152">
        <f t="array" ref="BB69">iferror(XLOOKUP(C69,Sheet9!A:A,Sheet9!D:D),0)</f>
        <v>0</v>
      </c>
      <c r="BC69" s="2">
        <v>1.0</v>
      </c>
      <c r="BD69" s="95">
        <f t="array" ref="BD69">XLOOKUP(C69,ROS!C:C,ROS!O:O)</f>
        <v>0</v>
      </c>
      <c r="BE69" s="147" t="str">
        <f t="array" ref="BE69">IFERROR(XLOOKUP(C69,ROS!T:T,ROS!U:U),"")</f>
        <v/>
      </c>
      <c r="BF69" s="147">
        <f t="array" ref="BF69">XLOOKUP(R69,'Refrence Data'!B:B,'Refrence Data'!T:T)</f>
        <v>0.286243</v>
      </c>
      <c r="BG69" s="95">
        <f t="shared" si="19"/>
        <v>0</v>
      </c>
      <c r="BH69" s="4" t="str">
        <f t="shared" si="20"/>
        <v/>
      </c>
      <c r="BO69" s="153"/>
      <c r="BP69" s="153" t="str">
        <f t="shared" si="26"/>
        <v/>
      </c>
      <c r="BQ69" s="153"/>
      <c r="BR69" s="153"/>
      <c r="BS69" s="153"/>
    </row>
    <row r="70">
      <c r="A70" s="171">
        <v>5.070002032632E12</v>
      </c>
      <c r="B70" s="171" t="s">
        <v>3521</v>
      </c>
      <c r="C70" s="137" t="s">
        <v>893</v>
      </c>
      <c r="D70" s="138" t="s">
        <v>258</v>
      </c>
      <c r="E70" s="139" t="s">
        <v>881</v>
      </c>
      <c r="F70" s="140" t="s">
        <v>3559</v>
      </c>
      <c r="G70" s="141">
        <v>40.0</v>
      </c>
      <c r="H70" s="142">
        <v>63.67301</v>
      </c>
      <c r="I70" s="143" t="s">
        <v>111</v>
      </c>
      <c r="J70" s="83"/>
      <c r="K70" s="174">
        <v>730.0</v>
      </c>
      <c r="R70" s="145" t="str">
        <f t="shared" si="1"/>
        <v>Tea_25+</v>
      </c>
      <c r="S70" s="146" t="str">
        <f t="shared" si="2"/>
        <v>25+</v>
      </c>
      <c r="T70" s="95" t="str">
        <f t="array" ref="T70">XLOOKUP(C70,'Depth or Width'!P:P,'Depth or Width'!V:V)</f>
        <v>Depth</v>
      </c>
      <c r="U70" s="93">
        <f t="shared" si="3"/>
        <v>5</v>
      </c>
      <c r="V70" s="147">
        <f t="array" ref="V70">iferror(XLOOKUP(R70,'Refrence Data'!B:B,'Refrence Data'!W:W),"NA")</f>
        <v>1.073753</v>
      </c>
      <c r="W70" s="95">
        <f t="shared" si="4"/>
        <v>0</v>
      </c>
      <c r="Y70" s="148">
        <f t="array" ref="Y70">IFERROR(XLOOKUP(R70,'Refrence Data'!B:B,'Refrence Data'!N:N),"NA")</f>
        <v>0.597331</v>
      </c>
      <c r="Z70" s="95" t="str">
        <f t="shared" si="5"/>
        <v>MEDIUM</v>
      </c>
      <c r="AA70" s="147">
        <f t="array" ref="AA70">XLOOKUP(R70,'Refrence Data'!B:B,'Refrence Data'!AC:AC)</f>
        <v>2.900255</v>
      </c>
      <c r="AB70" s="147">
        <f t="array" ref="AB70">IFERROR(XLOOKUP(R70,'Refrence Data'!B:B,'Refrence Data'!Y:Y),"NA")</f>
        <v>1.082613</v>
      </c>
      <c r="AC70" s="95" t="str">
        <f t="shared" si="6"/>
        <v>Low</v>
      </c>
      <c r="AD70" s="95" t="str">
        <f t="shared" si="7"/>
        <v>Depth</v>
      </c>
      <c r="AE70" s="95" t="str">
        <f t="shared" si="8"/>
        <v>MEDIUMLowDepth</v>
      </c>
      <c r="AF70" s="95">
        <f t="array" ref="AF70">XLOOKUP(AE70,'Category Saturation'!A:A,'Category Saturation'!E:E)</f>
        <v>50</v>
      </c>
      <c r="AH70" s="148">
        <f t="array" ref="AH70">iferror(XLOOKUP(R70,'New Launch Success Rate'!A:A,'New Launch Success Rate'!F:F),"NA")</f>
        <v>0.6</v>
      </c>
      <c r="AI70" s="95">
        <f t="shared" si="9"/>
        <v>50</v>
      </c>
      <c r="AK70" s="149">
        <f t="shared" si="10"/>
        <v>20</v>
      </c>
      <c r="AM70" s="150">
        <f t="array" ref="AM70">XLOOKUP(R70,'Non Moving'!C:C,'Non Moving'!I:I)/100</f>
        <v>0.289</v>
      </c>
      <c r="AN70" s="151">
        <f t="shared" si="11"/>
        <v>0</v>
      </c>
      <c r="AO70" s="150">
        <f t="array" ref="AO70">XLOOKUP(R70,'Non Moving'!C:C,'Non Moving'!F:F)/100</f>
        <v>0.412</v>
      </c>
      <c r="AP70" s="151">
        <f t="shared" si="12"/>
        <v>50</v>
      </c>
      <c r="AR70" s="95">
        <f t="shared" si="13"/>
        <v>25</v>
      </c>
      <c r="AT70" s="95">
        <f t="shared" si="14"/>
        <v>0</v>
      </c>
      <c r="AU70" s="95">
        <f t="array" ref="AU70">iferror(XLOOKUP(J70,Monetization!A:A,Monetization!B:B),25)</f>
        <v>25</v>
      </c>
      <c r="AW70" s="95">
        <f t="shared" si="15"/>
        <v>7.5</v>
      </c>
      <c r="AY70" s="149">
        <f t="shared" si="16"/>
        <v>19.5</v>
      </c>
      <c r="AZ70" s="95" t="str">
        <f t="shared" si="17"/>
        <v>0-25</v>
      </c>
      <c r="BA70" s="95" t="str">
        <f t="shared" si="18"/>
        <v>0-25</v>
      </c>
      <c r="BB70" s="152">
        <f t="array" ref="BB70">iferror(XLOOKUP(C70,Sheet9!A:A,Sheet9!D:D),0)</f>
        <v>0.06</v>
      </c>
      <c r="BC70" s="2">
        <v>1.0</v>
      </c>
      <c r="BD70" s="95">
        <f t="array" ref="BD70">XLOOKUP(C70,ROS!C:C,ROS!O:O)</f>
        <v>0</v>
      </c>
      <c r="BE70" s="147">
        <f t="array" ref="BE70">IFERROR(XLOOKUP(C70,ROS!T:T,ROS!U:U),"")</f>
        <v>0</v>
      </c>
      <c r="BF70" s="147">
        <f t="array" ref="BF70">XLOOKUP(R70,'Refrence Data'!B:B,'Refrence Data'!T:T)</f>
        <v>0.286243</v>
      </c>
      <c r="BG70" s="95">
        <f t="shared" si="19"/>
        <v>0</v>
      </c>
      <c r="BH70" s="4" t="str">
        <f t="shared" si="20"/>
        <v/>
      </c>
      <c r="BO70" s="153"/>
      <c r="BP70" s="153" t="str">
        <f t="shared" si="26"/>
        <v/>
      </c>
      <c r="BQ70" s="153"/>
      <c r="BR70" s="153"/>
      <c r="BS70" s="153"/>
    </row>
    <row r="71">
      <c r="A71" s="171">
        <v>5.070002032601E12</v>
      </c>
      <c r="B71" s="171" t="s">
        <v>3507</v>
      </c>
      <c r="C71" s="137" t="s">
        <v>894</v>
      </c>
      <c r="D71" s="138" t="s">
        <v>258</v>
      </c>
      <c r="E71" s="139" t="s">
        <v>881</v>
      </c>
      <c r="F71" s="140" t="s">
        <v>3559</v>
      </c>
      <c r="G71" s="141">
        <v>40.0</v>
      </c>
      <c r="H71" s="142">
        <v>64.94514</v>
      </c>
      <c r="I71" s="143" t="s">
        <v>111</v>
      </c>
      <c r="J71" s="83"/>
      <c r="K71" s="174">
        <v>730.0</v>
      </c>
      <c r="R71" s="145" t="str">
        <f t="shared" si="1"/>
        <v>Tea_25+</v>
      </c>
      <c r="S71" s="146" t="str">
        <f t="shared" si="2"/>
        <v>25+</v>
      </c>
      <c r="T71" s="95" t="str">
        <f t="array" ref="T71">XLOOKUP(C71,'Depth or Width'!P:P,'Depth or Width'!V:V)</f>
        <v>Depth</v>
      </c>
      <c r="U71" s="93">
        <f t="shared" si="3"/>
        <v>5</v>
      </c>
      <c r="V71" s="147">
        <f t="array" ref="V71">iferror(XLOOKUP(R71,'Refrence Data'!B:B,'Refrence Data'!W:W),"NA")</f>
        <v>1.073753</v>
      </c>
      <c r="W71" s="95">
        <f t="shared" si="4"/>
        <v>0</v>
      </c>
      <c r="Y71" s="148">
        <f t="array" ref="Y71">IFERROR(XLOOKUP(R71,'Refrence Data'!B:B,'Refrence Data'!N:N),"NA")</f>
        <v>0.597331</v>
      </c>
      <c r="Z71" s="95" t="str">
        <f t="shared" si="5"/>
        <v>MEDIUM</v>
      </c>
      <c r="AA71" s="147">
        <f t="array" ref="AA71">XLOOKUP(R71,'Refrence Data'!B:B,'Refrence Data'!AC:AC)</f>
        <v>2.900255</v>
      </c>
      <c r="AB71" s="147">
        <f t="array" ref="AB71">IFERROR(XLOOKUP(R71,'Refrence Data'!B:B,'Refrence Data'!Y:Y),"NA")</f>
        <v>1.082613</v>
      </c>
      <c r="AC71" s="95" t="str">
        <f t="shared" si="6"/>
        <v>Low</v>
      </c>
      <c r="AD71" s="95" t="str">
        <f t="shared" si="7"/>
        <v>Depth</v>
      </c>
      <c r="AE71" s="95" t="str">
        <f t="shared" si="8"/>
        <v>MEDIUMLowDepth</v>
      </c>
      <c r="AF71" s="95">
        <f t="array" ref="AF71">XLOOKUP(AE71,'Category Saturation'!A:A,'Category Saturation'!E:E)</f>
        <v>50</v>
      </c>
      <c r="AH71" s="148">
        <f t="array" ref="AH71">iferror(XLOOKUP(R71,'New Launch Success Rate'!A:A,'New Launch Success Rate'!F:F),"NA")</f>
        <v>0.6</v>
      </c>
      <c r="AI71" s="95">
        <f t="shared" si="9"/>
        <v>50</v>
      </c>
      <c r="AK71" s="149">
        <f t="shared" si="10"/>
        <v>20</v>
      </c>
      <c r="AM71" s="150">
        <f t="array" ref="AM71">XLOOKUP(R71,'Non Moving'!C:C,'Non Moving'!I:I)/100</f>
        <v>0.289</v>
      </c>
      <c r="AN71" s="151">
        <f t="shared" si="11"/>
        <v>0</v>
      </c>
      <c r="AO71" s="150">
        <f t="array" ref="AO71">XLOOKUP(R71,'Non Moving'!C:C,'Non Moving'!F:F)/100</f>
        <v>0.412</v>
      </c>
      <c r="AP71" s="151">
        <f t="shared" si="12"/>
        <v>50</v>
      </c>
      <c r="AR71" s="95">
        <f t="shared" si="13"/>
        <v>25</v>
      </c>
      <c r="AT71" s="95">
        <f t="shared" si="14"/>
        <v>0</v>
      </c>
      <c r="AU71" s="95">
        <f t="array" ref="AU71">iferror(XLOOKUP(J71,Monetization!A:A,Monetization!B:B),25)</f>
        <v>25</v>
      </c>
      <c r="AW71" s="95">
        <f t="shared" si="15"/>
        <v>7.5</v>
      </c>
      <c r="AY71" s="149">
        <f t="shared" si="16"/>
        <v>19.5</v>
      </c>
      <c r="AZ71" s="95" t="str">
        <f t="shared" si="17"/>
        <v>0-25</v>
      </c>
      <c r="BA71" s="95" t="str">
        <f t="shared" si="18"/>
        <v>0-25</v>
      </c>
      <c r="BB71" s="152">
        <f t="array" ref="BB71">iferror(XLOOKUP(C71,Sheet9!A:A,Sheet9!D:D),0)</f>
        <v>0.04</v>
      </c>
      <c r="BC71" s="2">
        <v>1.0</v>
      </c>
      <c r="BD71" s="95">
        <f t="array" ref="BD71">XLOOKUP(C71,ROS!C:C,ROS!O:O)</f>
        <v>0</v>
      </c>
      <c r="BE71" s="147">
        <f t="array" ref="BE71">IFERROR(XLOOKUP(C71,ROS!T:T,ROS!U:U),"")</f>
        <v>0</v>
      </c>
      <c r="BF71" s="147">
        <f t="array" ref="BF71">XLOOKUP(R71,'Refrence Data'!B:B,'Refrence Data'!T:T)</f>
        <v>0.286243</v>
      </c>
      <c r="BG71" s="95">
        <f t="shared" si="19"/>
        <v>0</v>
      </c>
      <c r="BH71" s="4" t="str">
        <f t="shared" si="20"/>
        <v/>
      </c>
      <c r="BO71" s="153"/>
      <c r="BP71" s="153" t="str">
        <f t="shared" si="26"/>
        <v/>
      </c>
      <c r="BQ71" s="153"/>
      <c r="BR71" s="153"/>
      <c r="BS71" s="153"/>
    </row>
    <row r="72">
      <c r="A72" s="171">
        <v>5.065023246045E12</v>
      </c>
      <c r="B72" s="171" t="s">
        <v>3521</v>
      </c>
      <c r="C72" s="137" t="s">
        <v>895</v>
      </c>
      <c r="D72" s="138" t="s">
        <v>258</v>
      </c>
      <c r="E72" s="139" t="s">
        <v>881</v>
      </c>
      <c r="F72" s="140" t="s">
        <v>3559</v>
      </c>
      <c r="G72" s="141">
        <v>40.0</v>
      </c>
      <c r="H72" s="142">
        <v>13.08384</v>
      </c>
      <c r="I72" s="143" t="s">
        <v>111</v>
      </c>
      <c r="J72" s="83"/>
      <c r="K72" s="174">
        <v>730.0</v>
      </c>
      <c r="R72" s="145" t="str">
        <f t="shared" si="1"/>
        <v>Tea_10-15</v>
      </c>
      <c r="S72" s="146" t="str">
        <f t="shared" si="2"/>
        <v>10-15</v>
      </c>
      <c r="T72" s="95" t="str">
        <f t="array" ref="T72">XLOOKUP(C72,'Depth or Width'!P:P,'Depth or Width'!V:V)</f>
        <v>Depth</v>
      </c>
      <c r="U72" s="93">
        <f t="shared" si="3"/>
        <v>5</v>
      </c>
      <c r="V72" s="147">
        <f t="array" ref="V72">iferror(XLOOKUP(R72,'Refrence Data'!B:B,'Refrence Data'!W:W),"NA")</f>
        <v>2.580096</v>
      </c>
      <c r="W72" s="95">
        <f t="shared" si="4"/>
        <v>50</v>
      </c>
      <c r="Y72" s="148">
        <f t="array" ref="Y72">IFERROR(XLOOKUP(R72,'Refrence Data'!B:B,'Refrence Data'!N:N),"NA")</f>
        <v>0.625835</v>
      </c>
      <c r="Z72" s="95" t="str">
        <f t="shared" si="5"/>
        <v>MEDIUM</v>
      </c>
      <c r="AA72" s="147">
        <f t="array" ref="AA72">XLOOKUP(R72,'Refrence Data'!B:B,'Refrence Data'!AC:AC)</f>
        <v>2.900255</v>
      </c>
      <c r="AB72" s="147">
        <f t="array" ref="AB72">IFERROR(XLOOKUP(R72,'Refrence Data'!B:B,'Refrence Data'!Y:Y),"NA")</f>
        <v>3.005839</v>
      </c>
      <c r="AC72" s="95" t="str">
        <f t="shared" si="6"/>
        <v>High</v>
      </c>
      <c r="AD72" s="95" t="str">
        <f t="shared" si="7"/>
        <v>Depth</v>
      </c>
      <c r="AE72" s="95" t="str">
        <f t="shared" si="8"/>
        <v>MEDIUMHighDepth</v>
      </c>
      <c r="AF72" s="95">
        <f t="array" ref="AF72">XLOOKUP(AE72,'Category Saturation'!A:A,'Category Saturation'!E:E)</f>
        <v>60</v>
      </c>
      <c r="AH72" s="148">
        <f t="array" ref="AH72">iferror(XLOOKUP(R72,'New Launch Success Rate'!A:A,'New Launch Success Rate'!F:F),"NA")</f>
        <v>0.667</v>
      </c>
      <c r="AI72" s="95">
        <f t="shared" si="9"/>
        <v>50</v>
      </c>
      <c r="AK72" s="149">
        <f t="shared" si="10"/>
        <v>53</v>
      </c>
      <c r="AM72" s="150">
        <f t="array" ref="AM72">XLOOKUP(R72,'Non Moving'!C:C,'Non Moving'!I:I)/100</f>
        <v>0.075</v>
      </c>
      <c r="AN72" s="151">
        <f t="shared" si="11"/>
        <v>100</v>
      </c>
      <c r="AO72" s="150">
        <f t="array" ref="AO72">XLOOKUP(R72,'Non Moving'!C:C,'Non Moving'!F:F)/100</f>
        <v>0.301</v>
      </c>
      <c r="AP72" s="151">
        <f t="shared" si="12"/>
        <v>75</v>
      </c>
      <c r="AR72" s="95">
        <f t="shared" si="13"/>
        <v>87.5</v>
      </c>
      <c r="AT72" s="95">
        <f t="shared" si="14"/>
        <v>0</v>
      </c>
      <c r="AU72" s="95">
        <f t="array" ref="AU72">iferror(XLOOKUP(J72,Monetization!A:A,Monetization!B:B),25)</f>
        <v>25</v>
      </c>
      <c r="AW72" s="95">
        <f t="shared" si="15"/>
        <v>7.5</v>
      </c>
      <c r="AY72" s="149">
        <f t="shared" si="16"/>
        <v>57.7</v>
      </c>
      <c r="AZ72" s="95" t="str">
        <f t="shared" si="17"/>
        <v>50-75</v>
      </c>
      <c r="BA72" s="95" t="str">
        <f t="shared" si="18"/>
        <v>50-75</v>
      </c>
      <c r="BB72" s="152">
        <f t="array" ref="BB72">iferror(XLOOKUP(C72,Sheet9!A:A,Sheet9!D:D),0)</f>
        <v>0.07</v>
      </c>
      <c r="BC72" s="2">
        <v>1.0</v>
      </c>
      <c r="BD72" s="95">
        <f t="array" ref="BD72">XLOOKUP(C72,ROS!C:C,ROS!O:O)</f>
        <v>0</v>
      </c>
      <c r="BE72" s="147">
        <f t="array" ref="BE72">IFERROR(XLOOKUP(C72,ROS!T:T,ROS!U:U),"")</f>
        <v>0</v>
      </c>
      <c r="BF72" s="147">
        <f t="array" ref="BF72">XLOOKUP(R72,'Refrence Data'!B:B,'Refrence Data'!T:T)</f>
        <v>0.286346</v>
      </c>
      <c r="BG72" s="95">
        <f t="shared" si="19"/>
        <v>0</v>
      </c>
      <c r="BH72" s="4" t="str">
        <f t="shared" si="20"/>
        <v/>
      </c>
      <c r="BO72" s="153"/>
      <c r="BP72" s="153" t="str">
        <f t="shared" si="26"/>
        <v/>
      </c>
      <c r="BQ72" s="153"/>
      <c r="BR72" s="153"/>
      <c r="BS72" s="153"/>
    </row>
    <row r="73">
      <c r="A73" s="171">
        <v>6.29804233201E12</v>
      </c>
      <c r="B73" s="171" t="s">
        <v>3521</v>
      </c>
      <c r="C73" s="137" t="s">
        <v>896</v>
      </c>
      <c r="D73" s="138" t="s">
        <v>258</v>
      </c>
      <c r="E73" s="139" t="s">
        <v>881</v>
      </c>
      <c r="F73" s="140" t="s">
        <v>3558</v>
      </c>
      <c r="G73" s="141">
        <v>0.0</v>
      </c>
      <c r="H73" s="142">
        <v>116.6306</v>
      </c>
      <c r="I73" s="143" t="s">
        <v>111</v>
      </c>
      <c r="J73" s="83"/>
      <c r="K73" s="174">
        <v>365.0</v>
      </c>
      <c r="R73" s="145" t="str">
        <f t="shared" si="1"/>
        <v>Tea_25+</v>
      </c>
      <c r="S73" s="146" t="str">
        <f t="shared" si="2"/>
        <v>25+</v>
      </c>
      <c r="T73" s="95" t="str">
        <f t="array" ref="T73">XLOOKUP(C73,'Depth or Width'!P:P,'Depth or Width'!V:V)</f>
        <v>Width</v>
      </c>
      <c r="U73" s="93">
        <f t="shared" si="3"/>
        <v>5</v>
      </c>
      <c r="V73" s="147">
        <f t="array" ref="V73">iferror(XLOOKUP(R73,'Refrence Data'!B:B,'Refrence Data'!W:W),"NA")</f>
        <v>1.073753</v>
      </c>
      <c r="W73" s="95">
        <f t="shared" si="4"/>
        <v>0</v>
      </c>
      <c r="Y73" s="148">
        <f t="array" ref="Y73">IFERROR(XLOOKUP(R73,'Refrence Data'!B:B,'Refrence Data'!N:N),"NA")</f>
        <v>0.597331</v>
      </c>
      <c r="Z73" s="95" t="str">
        <f t="shared" si="5"/>
        <v>MEDIUM</v>
      </c>
      <c r="AA73" s="147">
        <f t="array" ref="AA73">XLOOKUP(R73,'Refrence Data'!B:B,'Refrence Data'!AC:AC)</f>
        <v>2.900255</v>
      </c>
      <c r="AB73" s="147">
        <f t="array" ref="AB73">IFERROR(XLOOKUP(R73,'Refrence Data'!B:B,'Refrence Data'!Y:Y),"NA")</f>
        <v>1.082613</v>
      </c>
      <c r="AC73" s="95" t="str">
        <f t="shared" si="6"/>
        <v>Low</v>
      </c>
      <c r="AD73" s="95" t="str">
        <f t="shared" si="7"/>
        <v>Width</v>
      </c>
      <c r="AE73" s="95" t="str">
        <f t="shared" si="8"/>
        <v>MEDIUMLowWidth</v>
      </c>
      <c r="AF73" s="95">
        <f t="array" ref="AF73">XLOOKUP(AE73,'Category Saturation'!A:A,'Category Saturation'!E:E)</f>
        <v>25</v>
      </c>
      <c r="AH73" s="148">
        <f t="array" ref="AH73">iferror(XLOOKUP(R73,'New Launch Success Rate'!A:A,'New Launch Success Rate'!F:F),"NA")</f>
        <v>0.6</v>
      </c>
      <c r="AI73" s="95">
        <f t="shared" si="9"/>
        <v>50</v>
      </c>
      <c r="AK73" s="149">
        <f t="shared" si="10"/>
        <v>12.5</v>
      </c>
      <c r="AM73" s="150">
        <f t="array" ref="AM73">XLOOKUP(R73,'Non Moving'!C:C,'Non Moving'!I:I)/100</f>
        <v>0.289</v>
      </c>
      <c r="AN73" s="151">
        <f t="shared" si="11"/>
        <v>0</v>
      </c>
      <c r="AO73" s="150">
        <f t="array" ref="AO73">XLOOKUP(R73,'Non Moving'!C:C,'Non Moving'!F:F)/100</f>
        <v>0.412</v>
      </c>
      <c r="AP73" s="151">
        <f t="shared" si="12"/>
        <v>50</v>
      </c>
      <c r="AR73" s="95">
        <f t="shared" si="13"/>
        <v>25</v>
      </c>
      <c r="AT73" s="95">
        <f t="shared" si="14"/>
        <v>0</v>
      </c>
      <c r="AU73" s="95">
        <f t="array" ref="AU73">iferror(XLOOKUP(J73,Monetization!A:A,Monetization!B:B),25)</f>
        <v>25</v>
      </c>
      <c r="AW73" s="95">
        <f t="shared" si="15"/>
        <v>7.5</v>
      </c>
      <c r="AY73" s="149">
        <f t="shared" si="16"/>
        <v>16.5</v>
      </c>
      <c r="AZ73" s="95" t="str">
        <f t="shared" si="17"/>
        <v>0-25</v>
      </c>
      <c r="BA73" s="95" t="str">
        <f t="shared" si="18"/>
        <v>0-25</v>
      </c>
      <c r="BB73" s="152">
        <f t="array" ref="BB73">iferror(XLOOKUP(C73,Sheet9!A:A,Sheet9!D:D),0)</f>
        <v>0</v>
      </c>
      <c r="BC73" s="2">
        <v>1.0</v>
      </c>
      <c r="BD73" s="95">
        <f t="array" ref="BD73">XLOOKUP(C73,ROS!C:C,ROS!O:O)</f>
        <v>0</v>
      </c>
      <c r="BE73" s="147" t="str">
        <f t="array" ref="BE73">IFERROR(XLOOKUP(C73,ROS!T:T,ROS!U:U),"")</f>
        <v/>
      </c>
      <c r="BF73" s="147">
        <f t="array" ref="BF73">XLOOKUP(R73,'Refrence Data'!B:B,'Refrence Data'!T:T)</f>
        <v>0.286243</v>
      </c>
      <c r="BG73" s="95">
        <f t="shared" si="19"/>
        <v>0</v>
      </c>
      <c r="BH73" s="4" t="str">
        <f t="shared" si="20"/>
        <v/>
      </c>
      <c r="BO73" s="153"/>
      <c r="BP73" s="153" t="str">
        <f t="shared" si="26"/>
        <v/>
      </c>
      <c r="BQ73" s="153"/>
      <c r="BR73" s="153"/>
      <c r="BS73" s="153"/>
    </row>
    <row r="74">
      <c r="A74" s="171">
        <v>6.291109429524E12</v>
      </c>
      <c r="B74" s="171" t="s">
        <v>3521</v>
      </c>
      <c r="C74" s="137" t="s">
        <v>902</v>
      </c>
      <c r="D74" s="138" t="s">
        <v>258</v>
      </c>
      <c r="E74" s="139" t="s">
        <v>899</v>
      </c>
      <c r="F74" s="140" t="s">
        <v>3560</v>
      </c>
      <c r="G74" s="141">
        <v>24.0</v>
      </c>
      <c r="H74" s="142">
        <v>9.591898</v>
      </c>
      <c r="I74" s="143" t="s">
        <v>111</v>
      </c>
      <c r="J74" s="83"/>
      <c r="K74" s="174">
        <v>720.0</v>
      </c>
      <c r="R74" s="145" t="str">
        <f t="shared" si="1"/>
        <v>Creamers &amp; Milk_5-10</v>
      </c>
      <c r="S74" s="146" t="str">
        <f t="shared" si="2"/>
        <v>5-10</v>
      </c>
      <c r="T74" s="95" t="str">
        <f t="array" ref="T74">XLOOKUP(C74,'Depth or Width'!P:P,'Depth or Width'!V:V)</f>
        <v>Width</v>
      </c>
      <c r="U74" s="93">
        <f t="shared" si="3"/>
        <v>5</v>
      </c>
      <c r="V74" s="147">
        <f t="array" ref="V74">iferror(XLOOKUP(R74,'Refrence Data'!B:B,'Refrence Data'!W:W),"NA")</f>
        <v>12.67532</v>
      </c>
      <c r="W74" s="95">
        <f t="shared" si="4"/>
        <v>100</v>
      </c>
      <c r="Y74" s="148">
        <f t="array" ref="Y74">IFERROR(XLOOKUP(R74,'Refrence Data'!B:B,'Refrence Data'!N:N),"NA")</f>
        <v>1</v>
      </c>
      <c r="Z74" s="95" t="str">
        <f t="shared" si="5"/>
        <v>HIGH</v>
      </c>
      <c r="AA74" s="147">
        <f t="array" ref="AA74">XLOOKUP(R74,'Refrence Data'!B:B,'Refrence Data'!AC:AC)</f>
        <v>2.535065</v>
      </c>
      <c r="AB74" s="147">
        <f t="array" ref="AB74">IFERROR(XLOOKUP(R74,'Refrence Data'!B:B,'Refrence Data'!Y:Y),"NA")</f>
        <v>2.535065</v>
      </c>
      <c r="AC74" s="95" t="str">
        <f t="shared" si="6"/>
        <v>High</v>
      </c>
      <c r="AD74" s="95" t="str">
        <f t="shared" si="7"/>
        <v>Width</v>
      </c>
      <c r="AE74" s="95" t="str">
        <f t="shared" si="8"/>
        <v>HIGHHighWidth</v>
      </c>
      <c r="AF74" s="95">
        <f t="array" ref="AF74">XLOOKUP(AE74,'Category Saturation'!A:A,'Category Saturation'!E:E)</f>
        <v>25</v>
      </c>
      <c r="AH74" s="148">
        <f t="array" ref="AH74">iferror(XLOOKUP(R74,'New Launch Success Rate'!A:A,'New Launch Success Rate'!F:F),"NA")</f>
        <v>0.50025</v>
      </c>
      <c r="AI74" s="95">
        <f t="shared" si="9"/>
        <v>50</v>
      </c>
      <c r="AK74" s="149">
        <f t="shared" si="10"/>
        <v>72.5</v>
      </c>
      <c r="AM74" s="150">
        <f t="array" ref="AM74">XLOOKUP(R74,'Non Moving'!C:C,'Non Moving'!I:I)/100</f>
        <v>0</v>
      </c>
      <c r="AN74" s="151">
        <f t="shared" si="11"/>
        <v>100</v>
      </c>
      <c r="AO74" s="150">
        <f t="array" ref="AO74">XLOOKUP(R74,'Non Moving'!C:C,'Non Moving'!F:F)/100</f>
        <v>0</v>
      </c>
      <c r="AP74" s="151">
        <f t="shared" si="12"/>
        <v>100</v>
      </c>
      <c r="AR74" s="95">
        <f t="shared" si="13"/>
        <v>100</v>
      </c>
      <c r="AT74" s="95">
        <f t="shared" si="14"/>
        <v>0</v>
      </c>
      <c r="AU74" s="95">
        <f t="array" ref="AU74">iferror(XLOOKUP(J74,Monetization!A:A,Monetization!B:B),25)</f>
        <v>25</v>
      </c>
      <c r="AW74" s="95">
        <f t="shared" si="15"/>
        <v>7.5</v>
      </c>
      <c r="AY74" s="149">
        <f t="shared" si="16"/>
        <v>70.5</v>
      </c>
      <c r="AZ74" s="95" t="str">
        <f t="shared" si="17"/>
        <v>50-75</v>
      </c>
      <c r="BA74" s="95" t="str">
        <f t="shared" si="18"/>
        <v>50-75</v>
      </c>
      <c r="BB74" s="152">
        <f t="array" ref="BB74">iferror(XLOOKUP(C74,Sheet9!A:A,Sheet9!D:D),0)</f>
        <v>0.83</v>
      </c>
      <c r="BC74" s="2">
        <v>1.0</v>
      </c>
      <c r="BD74" s="95">
        <f t="array" ref="BD74">XLOOKUP(C74,ROS!C:C,ROS!O:O)</f>
        <v>0</v>
      </c>
      <c r="BE74" s="147">
        <f t="array" ref="BE74">IFERROR(XLOOKUP(C74,ROS!T:T,ROS!U:U),"")</f>
        <v>3.009110334</v>
      </c>
      <c r="BF74" s="147">
        <f t="array" ref="BF74">XLOOKUP(R74,'Refrence Data'!B:B,'Refrence Data'!T:T)</f>
        <v>12.67532</v>
      </c>
      <c r="BG74" s="95">
        <f t="shared" si="19"/>
        <v>0</v>
      </c>
      <c r="BH74" s="4" t="str">
        <f t="shared" si="20"/>
        <v>FP</v>
      </c>
      <c r="BO74" s="153"/>
      <c r="BP74" s="153" t="str">
        <f t="shared" si="26"/>
        <v>FP</v>
      </c>
      <c r="BQ74" s="153"/>
      <c r="BR74" s="153"/>
      <c r="BS74" s="153"/>
    </row>
    <row r="75">
      <c r="A75" s="171">
        <v>6.287003478782E12</v>
      </c>
      <c r="B75" s="171" t="s">
        <v>3521</v>
      </c>
      <c r="C75" s="137" t="s">
        <v>903</v>
      </c>
      <c r="D75" s="138" t="s">
        <v>258</v>
      </c>
      <c r="E75" s="139" t="s">
        <v>905</v>
      </c>
      <c r="F75" s="140" t="s">
        <v>3561</v>
      </c>
      <c r="G75" s="141">
        <v>0.0</v>
      </c>
      <c r="H75" s="142">
        <v>24.33271</v>
      </c>
      <c r="I75" s="143" t="s">
        <v>111</v>
      </c>
      <c r="J75" s="83"/>
      <c r="K75" s="174">
        <v>720.0</v>
      </c>
      <c r="R75" s="145" t="str">
        <f t="shared" si="1"/>
        <v>Pods &amp; Capsules_20-25</v>
      </c>
      <c r="S75" s="146" t="str">
        <f t="shared" si="2"/>
        <v>20-25</v>
      </c>
      <c r="T75" s="95" t="str">
        <f t="array" ref="T75">XLOOKUP(C75,'Depth or Width'!P:P,'Depth or Width'!V:V)</f>
        <v>Width</v>
      </c>
      <c r="U75" s="93">
        <f t="shared" si="3"/>
        <v>5</v>
      </c>
      <c r="V75" s="147">
        <f t="array" ref="V75">iferror(XLOOKUP(R75,'Refrence Data'!B:B,'Refrence Data'!W:W),"NA")</f>
        <v>5.61772</v>
      </c>
      <c r="W75" s="95">
        <f t="shared" si="4"/>
        <v>100</v>
      </c>
      <c r="Y75" s="148">
        <f t="array" ref="Y75">IFERROR(XLOOKUP(R75,'Refrence Data'!B:B,'Refrence Data'!N:N),"NA")</f>
        <v>0.659871</v>
      </c>
      <c r="Z75" s="95" t="str">
        <f t="shared" si="5"/>
        <v>MEDIUM</v>
      </c>
      <c r="AA75" s="147">
        <f t="array" ref="AA75">XLOOKUP(R75,'Refrence Data'!B:B,'Refrence Data'!AC:AC)</f>
        <v>2.936445</v>
      </c>
      <c r="AB75" s="147">
        <f t="array" ref="AB75">IFERROR(XLOOKUP(R75,'Refrence Data'!B:B,'Refrence Data'!Y:Y),"NA")</f>
        <v>7.494846</v>
      </c>
      <c r="AC75" s="95" t="str">
        <f t="shared" si="6"/>
        <v>High</v>
      </c>
      <c r="AD75" s="95" t="str">
        <f t="shared" si="7"/>
        <v>Width</v>
      </c>
      <c r="AE75" s="95" t="str">
        <f t="shared" si="8"/>
        <v>MEDIUMHighWidth</v>
      </c>
      <c r="AF75" s="95">
        <f t="array" ref="AF75">XLOOKUP(AE75,'Category Saturation'!A:A,'Category Saturation'!E:E)</f>
        <v>10</v>
      </c>
      <c r="AH75" s="148">
        <f t="array" ref="AH75">iferror(XLOOKUP(R75,'New Launch Success Rate'!A:A,'New Launch Success Rate'!F:F),"NA")</f>
        <v>0.4</v>
      </c>
      <c r="AI75" s="95">
        <f t="shared" si="9"/>
        <v>25</v>
      </c>
      <c r="AK75" s="149">
        <f t="shared" si="10"/>
        <v>65.5</v>
      </c>
      <c r="AM75" s="150">
        <f t="array" ref="AM75">XLOOKUP(R75,'Non Moving'!C:C,'Non Moving'!I:I)/100</f>
        <v>0.079</v>
      </c>
      <c r="AN75" s="151">
        <f t="shared" si="11"/>
        <v>100</v>
      </c>
      <c r="AO75" s="150">
        <f t="array" ref="AO75">XLOOKUP(R75,'Non Moving'!C:C,'Non Moving'!F:F)/100</f>
        <v>0.271</v>
      </c>
      <c r="AP75" s="151">
        <f t="shared" si="12"/>
        <v>75</v>
      </c>
      <c r="AR75" s="95">
        <f t="shared" si="13"/>
        <v>87.5</v>
      </c>
      <c r="AT75" s="95">
        <f t="shared" si="14"/>
        <v>0</v>
      </c>
      <c r="AU75" s="95">
        <f t="array" ref="AU75">iferror(XLOOKUP(J75,Monetization!A:A,Monetization!B:B),25)</f>
        <v>25</v>
      </c>
      <c r="AW75" s="95">
        <f t="shared" si="15"/>
        <v>7.5</v>
      </c>
      <c r="AY75" s="149">
        <f t="shared" si="16"/>
        <v>62.7</v>
      </c>
      <c r="AZ75" s="95" t="str">
        <f t="shared" si="17"/>
        <v>50-75</v>
      </c>
      <c r="BA75" s="95" t="str">
        <f t="shared" si="18"/>
        <v>50-75</v>
      </c>
      <c r="BB75" s="152">
        <f t="array" ref="BB75">iferror(XLOOKUP(C75,Sheet9!A:A,Sheet9!D:D),0)</f>
        <v>1</v>
      </c>
      <c r="BC75" s="2">
        <v>1.0</v>
      </c>
      <c r="BD75" s="95">
        <f t="array" ref="BD75">XLOOKUP(C75,ROS!C:C,ROS!O:O)</f>
        <v>0</v>
      </c>
      <c r="BE75" s="147">
        <f t="array" ref="BE75">IFERROR(XLOOKUP(C75,ROS!T:T,ROS!U:U),"")</f>
        <v>0</v>
      </c>
      <c r="BF75" s="147">
        <f t="array" ref="BF75">XLOOKUP(R75,'Refrence Data'!B:B,'Refrence Data'!T:T)</f>
        <v>0.551307</v>
      </c>
      <c r="BG75" s="95">
        <f t="shared" si="19"/>
        <v>0</v>
      </c>
      <c r="BH75" s="4" t="str">
        <f t="shared" si="20"/>
        <v>FP</v>
      </c>
      <c r="BO75" s="153"/>
      <c r="BP75" s="153" t="str">
        <f t="shared" si="26"/>
        <v>FP</v>
      </c>
      <c r="BQ75" s="153"/>
      <c r="BR75" s="153"/>
      <c r="BS75" s="153"/>
    </row>
    <row r="76">
      <c r="A76" s="171">
        <v>6.271100041574E12</v>
      </c>
      <c r="B76" s="171" t="s">
        <v>3521</v>
      </c>
      <c r="C76" s="137" t="s">
        <v>907</v>
      </c>
      <c r="D76" s="138" t="s">
        <v>258</v>
      </c>
      <c r="E76" s="139" t="s">
        <v>259</v>
      </c>
      <c r="F76" s="140" t="s">
        <v>3561</v>
      </c>
      <c r="G76" s="141">
        <v>12.0</v>
      </c>
      <c r="H76" s="142">
        <v>22.83072</v>
      </c>
      <c r="I76" s="143" t="s">
        <v>111</v>
      </c>
      <c r="J76" s="83"/>
      <c r="K76" s="174">
        <v>365.0</v>
      </c>
      <c r="R76" s="145" t="str">
        <f t="shared" si="1"/>
        <v>Instant Coffee &amp; Sachets_20-25</v>
      </c>
      <c r="S76" s="146" t="str">
        <f t="shared" si="2"/>
        <v>20-25</v>
      </c>
      <c r="T76" s="95" t="str">
        <f t="array" ref="T76">XLOOKUP(C76,'Depth or Width'!P:P,'Depth or Width'!V:V)</f>
        <v>Depth</v>
      </c>
      <c r="U76" s="93">
        <f t="shared" si="3"/>
        <v>5</v>
      </c>
      <c r="V76" s="147">
        <f t="array" ref="V76">iferror(XLOOKUP(R76,'Refrence Data'!B:B,'Refrence Data'!W:W),"NA")</f>
        <v>2.292428</v>
      </c>
      <c r="W76" s="95">
        <f t="shared" si="4"/>
        <v>0</v>
      </c>
      <c r="Y76" s="148">
        <f t="array" ref="Y76">IFERROR(XLOOKUP(R76,'Refrence Data'!B:B,'Refrence Data'!N:N),"NA")</f>
        <v>0.73279</v>
      </c>
      <c r="Z76" s="95" t="str">
        <f t="shared" si="5"/>
        <v>HIGH</v>
      </c>
      <c r="AA76" s="147">
        <f t="array" ref="AA76">XLOOKUP(R76,'Refrence Data'!B:B,'Refrence Data'!AC:AC)</f>
        <v>3.58844</v>
      </c>
      <c r="AB76" s="147">
        <f t="array" ref="AB76">IFERROR(XLOOKUP(R76,'Refrence Data'!B:B,'Refrence Data'!Y:Y),"NA")</f>
        <v>2.500387</v>
      </c>
      <c r="AC76" s="95" t="str">
        <f t="shared" si="6"/>
        <v>High</v>
      </c>
      <c r="AD76" s="95" t="str">
        <f t="shared" si="7"/>
        <v>Depth</v>
      </c>
      <c r="AE76" s="95" t="str">
        <f t="shared" si="8"/>
        <v>HIGHHighDepth</v>
      </c>
      <c r="AF76" s="95">
        <f t="array" ref="AF76">XLOOKUP(AE76,'Category Saturation'!A:A,'Category Saturation'!E:E)</f>
        <v>0</v>
      </c>
      <c r="AH76" s="148">
        <f t="array" ref="AH76">iferror(XLOOKUP(R76,'New Launch Success Rate'!A:A,'New Launch Success Rate'!F:F),"NA")</f>
        <v>0.333</v>
      </c>
      <c r="AI76" s="95">
        <f t="shared" si="9"/>
        <v>25</v>
      </c>
      <c r="AK76" s="149">
        <f t="shared" si="10"/>
        <v>2.5</v>
      </c>
      <c r="AM76" s="150">
        <f t="array" ref="AM76">XLOOKUP(R76,'Non Moving'!C:C,'Non Moving'!I:I)/100</f>
        <v>0.127</v>
      </c>
      <c r="AN76" s="151">
        <f t="shared" si="11"/>
        <v>75</v>
      </c>
      <c r="AO76" s="150">
        <f t="array" ref="AO76">XLOOKUP(R76,'Non Moving'!C:C,'Non Moving'!F:F)/100</f>
        <v>0.322</v>
      </c>
      <c r="AP76" s="151">
        <f t="shared" si="12"/>
        <v>75</v>
      </c>
      <c r="AR76" s="95">
        <f t="shared" si="13"/>
        <v>75</v>
      </c>
      <c r="AT76" s="95">
        <f t="shared" si="14"/>
        <v>0</v>
      </c>
      <c r="AU76" s="95">
        <f t="array" ref="AU76">iferror(XLOOKUP(J76,Monetization!A:A,Monetization!B:B),25)</f>
        <v>25</v>
      </c>
      <c r="AW76" s="95">
        <f t="shared" si="15"/>
        <v>7.5</v>
      </c>
      <c r="AY76" s="149">
        <f t="shared" si="16"/>
        <v>32.5</v>
      </c>
      <c r="AZ76" s="95" t="str">
        <f t="shared" si="17"/>
        <v>25-50</v>
      </c>
      <c r="BA76" s="95" t="str">
        <f t="shared" si="18"/>
        <v>0-25</v>
      </c>
      <c r="BB76" s="152">
        <f t="array" ref="BB76">iferror(XLOOKUP(C76,Sheet9!A:A,Sheet9!D:D),0)</f>
        <v>1</v>
      </c>
      <c r="BC76" s="2">
        <v>1.0</v>
      </c>
      <c r="BD76" s="95">
        <f t="array" ref="BD76">XLOOKUP(C76,ROS!C:C,ROS!O:O)</f>
        <v>0</v>
      </c>
      <c r="BE76" s="147">
        <f t="array" ref="BE76">IFERROR(XLOOKUP(C76,ROS!T:T,ROS!U:U),"")</f>
        <v>0</v>
      </c>
      <c r="BF76" s="147">
        <f t="array" ref="BF76">XLOOKUP(R76,'Refrence Data'!B:B,'Refrence Data'!T:T)</f>
        <v>0.331818</v>
      </c>
      <c r="BG76" s="95">
        <f t="shared" si="19"/>
        <v>0</v>
      </c>
      <c r="BH76" s="4" t="str">
        <f t="shared" si="20"/>
        <v>TN</v>
      </c>
      <c r="BO76" s="153"/>
      <c r="BP76" s="153" t="str">
        <f t="shared" si="26"/>
        <v>TN</v>
      </c>
      <c r="BQ76" s="153"/>
      <c r="BR76" s="153"/>
      <c r="BS76" s="153"/>
    </row>
    <row r="77">
      <c r="A77" s="171">
        <v>8.908017962484E12</v>
      </c>
      <c r="B77" s="171" t="s">
        <v>3521</v>
      </c>
      <c r="C77" s="137" t="s">
        <v>1086</v>
      </c>
      <c r="D77" s="138" t="s">
        <v>616</v>
      </c>
      <c r="E77" s="139" t="s">
        <v>622</v>
      </c>
      <c r="F77" s="140" t="s">
        <v>3542</v>
      </c>
      <c r="G77" s="141">
        <v>0.0</v>
      </c>
      <c r="H77" s="142">
        <v>4.164557</v>
      </c>
      <c r="I77" s="143" t="s">
        <v>112</v>
      </c>
      <c r="J77" s="83"/>
      <c r="K77" s="174">
        <v>240.0</v>
      </c>
      <c r="R77" s="145" t="str">
        <f t="shared" si="1"/>
        <v>Noodles &amp; Soup_0-5</v>
      </c>
      <c r="S77" s="146" t="str">
        <f t="shared" si="2"/>
        <v>0-5</v>
      </c>
      <c r="T77" s="95" t="str">
        <f t="array" ref="T77">XLOOKUP(C77,'Depth or Width'!P:P,'Depth or Width'!V:V)</f>
        <v>Depth</v>
      </c>
      <c r="U77" s="93">
        <f t="shared" si="3"/>
        <v>5</v>
      </c>
      <c r="V77" s="147">
        <f t="array" ref="V77">iferror(XLOOKUP(R77,'Refrence Data'!B:B,'Refrence Data'!W:W),"NA")</f>
        <v>13.67064</v>
      </c>
      <c r="W77" s="95">
        <f t="shared" si="4"/>
        <v>100</v>
      </c>
      <c r="Y77" s="148">
        <f t="array" ref="Y77">IFERROR(XLOOKUP(R77,'Refrence Data'!B:B,'Refrence Data'!N:N),"NA")</f>
        <v>0.787002</v>
      </c>
      <c r="Z77" s="95" t="str">
        <f t="shared" si="5"/>
        <v>HIGH</v>
      </c>
      <c r="AA77" s="147">
        <f t="array" ref="AA77">XLOOKUP(R77,'Refrence Data'!B:B,'Refrence Data'!AC:AC)</f>
        <v>3.10509</v>
      </c>
      <c r="AB77" s="147">
        <f t="array" ref="AB77">IFERROR(XLOOKUP(R77,'Refrence Data'!B:B,'Refrence Data'!Y:Y),"NA")</f>
        <v>7.541123</v>
      </c>
      <c r="AC77" s="95" t="str">
        <f t="shared" si="6"/>
        <v>High</v>
      </c>
      <c r="AD77" s="95" t="str">
        <f t="shared" si="7"/>
        <v>Depth</v>
      </c>
      <c r="AE77" s="95" t="str">
        <f t="shared" si="8"/>
        <v>HIGHHighDepth</v>
      </c>
      <c r="AF77" s="95">
        <f t="array" ref="AF77">XLOOKUP(AE77,'Category Saturation'!A:A,'Category Saturation'!E:E)</f>
        <v>0</v>
      </c>
      <c r="AH77" s="148">
        <f t="array" ref="AH77">iferror(XLOOKUP(R77,'New Launch Success Rate'!A:A,'New Launch Success Rate'!F:F),"NA")</f>
        <v>0.75</v>
      </c>
      <c r="AI77" s="95">
        <f t="shared" si="9"/>
        <v>100</v>
      </c>
      <c r="AK77" s="149">
        <f t="shared" si="10"/>
        <v>70</v>
      </c>
      <c r="AM77" s="150">
        <f t="array" ref="AM77">XLOOKUP(R77,'Non Moving'!C:C,'Non Moving'!I:I)/100</f>
        <v>0.012</v>
      </c>
      <c r="AN77" s="151">
        <f t="shared" si="11"/>
        <v>100</v>
      </c>
      <c r="AO77" s="150">
        <f t="array" ref="AO77">XLOOKUP(R77,'Non Moving'!C:C,'Non Moving'!F:F)/100</f>
        <v>0.086</v>
      </c>
      <c r="AP77" s="151">
        <f t="shared" si="12"/>
        <v>100</v>
      </c>
      <c r="AR77" s="95">
        <f t="shared" si="13"/>
        <v>100</v>
      </c>
      <c r="AT77" s="95">
        <f t="shared" si="14"/>
        <v>100</v>
      </c>
      <c r="AU77" s="95">
        <f t="array" ref="AU77">iferror(XLOOKUP(J77,Monetization!A:A,Monetization!B:B),25)</f>
        <v>25</v>
      </c>
      <c r="AW77" s="95">
        <f t="shared" si="15"/>
        <v>77.5</v>
      </c>
      <c r="AY77" s="149">
        <f t="shared" si="16"/>
        <v>83.5</v>
      </c>
      <c r="AZ77" s="95" t="str">
        <f t="shared" si="17"/>
        <v>75-100</v>
      </c>
      <c r="BA77" s="95" t="str">
        <f t="shared" si="18"/>
        <v>50-75</v>
      </c>
      <c r="BB77" s="152">
        <f t="array" ref="BB77">iferror(XLOOKUP(C77,Sheet9!A:A,Sheet9!D:D),0)</f>
        <v>0.9</v>
      </c>
      <c r="BC77" s="2">
        <v>1.0</v>
      </c>
      <c r="BD77" s="95">
        <f t="array" ref="BD77">XLOOKUP(C77,ROS!C:C,ROS!O:O)</f>
        <v>0.75</v>
      </c>
      <c r="BE77" s="147">
        <f t="array" ref="BE77">IFERROR(XLOOKUP(C77,ROS!T:T,ROS!U:U),"")</f>
        <v>0.281818182</v>
      </c>
      <c r="BF77" s="147">
        <f t="array" ref="BF77">XLOOKUP(R77,'Refrence Data'!B:B,'Refrence Data'!T:T)</f>
        <v>0.160256</v>
      </c>
      <c r="BG77" s="95">
        <f t="shared" si="19"/>
        <v>0</v>
      </c>
      <c r="BH77" s="4" t="str">
        <f t="shared" si="20"/>
        <v>FP</v>
      </c>
      <c r="BO77" s="153"/>
      <c r="BP77" s="153" t="str">
        <f t="shared" si="26"/>
        <v>FP</v>
      </c>
      <c r="BQ77" s="153"/>
      <c r="BR77" s="153"/>
      <c r="BS77" s="153"/>
    </row>
    <row r="78">
      <c r="A78" s="171">
        <v>8.906002770373E12</v>
      </c>
      <c r="B78" s="171" t="s">
        <v>3521</v>
      </c>
      <c r="C78" s="137" t="s">
        <v>911</v>
      </c>
      <c r="D78" s="138" t="s">
        <v>258</v>
      </c>
      <c r="E78" s="139" t="s">
        <v>259</v>
      </c>
      <c r="F78" s="140" t="s">
        <v>3562</v>
      </c>
      <c r="G78" s="141">
        <v>0.0</v>
      </c>
      <c r="H78" s="142">
        <v>15.87368</v>
      </c>
      <c r="I78" s="143" t="s">
        <v>111</v>
      </c>
      <c r="J78" s="83"/>
      <c r="K78" s="174">
        <v>365.0</v>
      </c>
      <c r="R78" s="145" t="str">
        <f t="shared" si="1"/>
        <v>Instant Coffee &amp; Sachets_15-20</v>
      </c>
      <c r="S78" s="146" t="str">
        <f t="shared" si="2"/>
        <v>15-20</v>
      </c>
      <c r="T78" s="95" t="str">
        <f t="array" ref="T78">XLOOKUP(C78,'Depth or Width'!P:P,'Depth or Width'!V:V)</f>
        <v>Depth</v>
      </c>
      <c r="U78" s="93">
        <f t="shared" si="3"/>
        <v>5</v>
      </c>
      <c r="V78" s="147">
        <f t="array" ref="V78">iferror(XLOOKUP(R78,'Refrence Data'!B:B,'Refrence Data'!W:W),"NA")</f>
        <v>2.097519</v>
      </c>
      <c r="W78" s="95">
        <f t="shared" si="4"/>
        <v>0</v>
      </c>
      <c r="Y78" s="148">
        <f t="array" ref="Y78">IFERROR(XLOOKUP(R78,'Refrence Data'!B:B,'Refrence Data'!N:N),"NA")</f>
        <v>0.938776</v>
      </c>
      <c r="Z78" s="95" t="str">
        <f t="shared" si="5"/>
        <v>HIGH</v>
      </c>
      <c r="AA78" s="147">
        <f t="array" ref="AA78">XLOOKUP(R78,'Refrence Data'!B:B,'Refrence Data'!AC:AC)</f>
        <v>3.58844</v>
      </c>
      <c r="AB78" s="147">
        <f t="array" ref="AB78">IFERROR(XLOOKUP(R78,'Refrence Data'!B:B,'Refrence Data'!Y:Y),"NA")</f>
        <v>3.58844</v>
      </c>
      <c r="AC78" s="95" t="str">
        <f t="shared" si="6"/>
        <v>High</v>
      </c>
      <c r="AD78" s="95" t="str">
        <f t="shared" si="7"/>
        <v>Depth</v>
      </c>
      <c r="AE78" s="95" t="str">
        <f t="shared" si="8"/>
        <v>HIGHHighDepth</v>
      </c>
      <c r="AF78" s="95">
        <f t="array" ref="AF78">XLOOKUP(AE78,'Category Saturation'!A:A,'Category Saturation'!E:E)</f>
        <v>0</v>
      </c>
      <c r="AH78" s="148">
        <f t="array" ref="AH78">iferror(XLOOKUP(R78,'New Launch Success Rate'!A:A,'New Launch Success Rate'!F:F),"NA")</f>
        <v>0.6</v>
      </c>
      <c r="AI78" s="95">
        <f t="shared" si="9"/>
        <v>50</v>
      </c>
      <c r="AK78" s="149">
        <f t="shared" si="10"/>
        <v>5</v>
      </c>
      <c r="AM78" s="150">
        <f t="array" ref="AM78">XLOOKUP(R78,'Non Moving'!C:C,'Non Moving'!I:I)/100</f>
        <v>0.015</v>
      </c>
      <c r="AN78" s="151">
        <f t="shared" si="11"/>
        <v>100</v>
      </c>
      <c r="AO78" s="150">
        <f t="array" ref="AO78">XLOOKUP(R78,'Non Moving'!C:C,'Non Moving'!F:F)/100</f>
        <v>0.105</v>
      </c>
      <c r="AP78" s="151">
        <f t="shared" si="12"/>
        <v>100</v>
      </c>
      <c r="AR78" s="95">
        <f t="shared" si="13"/>
        <v>100</v>
      </c>
      <c r="AT78" s="95">
        <f t="shared" si="14"/>
        <v>0</v>
      </c>
      <c r="AU78" s="95">
        <f t="array" ref="AU78">iferror(XLOOKUP(J78,Monetization!A:A,Monetization!B:B),25)</f>
        <v>25</v>
      </c>
      <c r="AW78" s="95">
        <f t="shared" si="15"/>
        <v>7.5</v>
      </c>
      <c r="AY78" s="149">
        <f t="shared" si="16"/>
        <v>43.5</v>
      </c>
      <c r="AZ78" s="95" t="str">
        <f t="shared" si="17"/>
        <v>25-50</v>
      </c>
      <c r="BA78" s="95" t="str">
        <f t="shared" si="18"/>
        <v>0-25</v>
      </c>
      <c r="BB78" s="152">
        <f t="array" ref="BB78">iferror(XLOOKUP(C78,Sheet9!A:A,Sheet9!D:D),0)</f>
        <v>0.92</v>
      </c>
      <c r="BC78" s="2">
        <v>1.0</v>
      </c>
      <c r="BD78" s="95">
        <f t="array" ref="BD78">XLOOKUP(C78,ROS!C:C,ROS!O:O)</f>
        <v>0</v>
      </c>
      <c r="BE78" s="147">
        <f t="array" ref="BE78">IFERROR(XLOOKUP(C78,ROS!T:T,ROS!U:U),"")</f>
        <v>0</v>
      </c>
      <c r="BF78" s="147">
        <f t="array" ref="BF78">XLOOKUP(R78,'Refrence Data'!B:B,'Refrence Data'!T:T)</f>
        <v>0.074074</v>
      </c>
      <c r="BG78" s="95">
        <f t="shared" si="19"/>
        <v>0</v>
      </c>
      <c r="BH78" s="4" t="str">
        <f t="shared" si="20"/>
        <v>TN</v>
      </c>
      <c r="BO78" s="153"/>
      <c r="BP78" s="153" t="str">
        <f t="shared" si="26"/>
        <v>TN</v>
      </c>
      <c r="BQ78" s="153"/>
      <c r="BR78" s="153"/>
      <c r="BS78" s="153"/>
    </row>
    <row r="79">
      <c r="A79" s="171">
        <v>3.046920030021E12</v>
      </c>
      <c r="B79" s="171" t="s">
        <v>3521</v>
      </c>
      <c r="C79" s="137" t="s">
        <v>1263</v>
      </c>
      <c r="D79" s="138" t="s">
        <v>644</v>
      </c>
      <c r="E79" s="139" t="s">
        <v>659</v>
      </c>
      <c r="F79" s="140" t="s">
        <v>3563</v>
      </c>
      <c r="G79" s="141">
        <v>0.0</v>
      </c>
      <c r="H79" s="142">
        <v>8.903303</v>
      </c>
      <c r="I79" s="143" t="s">
        <v>112</v>
      </c>
      <c r="J79" s="83"/>
      <c r="K79" s="174">
        <v>365.0</v>
      </c>
      <c r="R79" s="145" t="str">
        <f t="shared" si="1"/>
        <v>Chocolate Bars &amp; Bags_5-10</v>
      </c>
      <c r="S79" s="146" t="str">
        <f t="shared" si="2"/>
        <v>5-10</v>
      </c>
      <c r="T79" s="95" t="str">
        <f t="array" ref="T79">XLOOKUP(C79,'Depth or Width'!P:P,'Depth or Width'!V:V)</f>
        <v>Depth</v>
      </c>
      <c r="U79" s="93">
        <f t="shared" si="3"/>
        <v>5</v>
      </c>
      <c r="V79" s="147">
        <f t="array" ref="V79">iferror(XLOOKUP(R79,'Refrence Data'!B:B,'Refrence Data'!W:W),"NA")</f>
        <v>15.47511</v>
      </c>
      <c r="W79" s="95">
        <f t="shared" si="4"/>
        <v>100</v>
      </c>
      <c r="Y79" s="148">
        <f t="array" ref="Y79">IFERROR(XLOOKUP(R79,'Refrence Data'!B:B,'Refrence Data'!N:N),"NA")</f>
        <v>0.770669</v>
      </c>
      <c r="Z79" s="95" t="str">
        <f t="shared" si="5"/>
        <v>HIGH</v>
      </c>
      <c r="AA79" s="147">
        <f t="array" ref="AA79">XLOOKUP(R79,'Refrence Data'!B:B,'Refrence Data'!AC:AC)</f>
        <v>6.048674</v>
      </c>
      <c r="AB79" s="147">
        <f t="array" ref="AB79">IFERROR(XLOOKUP(R79,'Refrence Data'!B:B,'Refrence Data'!Y:Y),"NA")</f>
        <v>14.21772</v>
      </c>
      <c r="AC79" s="95" t="str">
        <f t="shared" si="6"/>
        <v>High</v>
      </c>
      <c r="AD79" s="95" t="str">
        <f t="shared" si="7"/>
        <v>Depth</v>
      </c>
      <c r="AE79" s="95" t="str">
        <f t="shared" si="8"/>
        <v>HIGHHighDepth</v>
      </c>
      <c r="AF79" s="95">
        <f t="array" ref="AF79">XLOOKUP(AE79,'Category Saturation'!A:A,'Category Saturation'!E:E)</f>
        <v>0</v>
      </c>
      <c r="AH79" s="148">
        <f t="array" ref="AH79">iferror(XLOOKUP(R79,'New Launch Success Rate'!A:A,'New Launch Success Rate'!F:F),"NA")</f>
        <v>1</v>
      </c>
      <c r="AI79" s="95">
        <f t="shared" si="9"/>
        <v>100</v>
      </c>
      <c r="AK79" s="149">
        <f t="shared" si="10"/>
        <v>70</v>
      </c>
      <c r="AM79" s="150">
        <f t="array" ref="AM79">XLOOKUP(R79,'Non Moving'!C:C,'Non Moving'!I:I)/100</f>
        <v>0.021</v>
      </c>
      <c r="AN79" s="151">
        <f t="shared" si="11"/>
        <v>100</v>
      </c>
      <c r="AO79" s="150">
        <f t="array" ref="AO79">XLOOKUP(R79,'Non Moving'!C:C,'Non Moving'!F:F)/100</f>
        <v>0.081</v>
      </c>
      <c r="AP79" s="151">
        <f t="shared" si="12"/>
        <v>100</v>
      </c>
      <c r="AR79" s="95">
        <f t="shared" si="13"/>
        <v>100</v>
      </c>
      <c r="AT79" s="95">
        <f t="shared" si="14"/>
        <v>100</v>
      </c>
      <c r="AU79" s="95">
        <f t="array" ref="AU79">iferror(XLOOKUP(J79,Monetization!A:A,Monetization!B:B),25)</f>
        <v>25</v>
      </c>
      <c r="AW79" s="95">
        <f t="shared" si="15"/>
        <v>77.5</v>
      </c>
      <c r="AY79" s="149">
        <f t="shared" si="16"/>
        <v>83.5</v>
      </c>
      <c r="AZ79" s="95" t="str">
        <f t="shared" si="17"/>
        <v>75-100</v>
      </c>
      <c r="BA79" s="95" t="str">
        <f t="shared" si="18"/>
        <v>50-75</v>
      </c>
      <c r="BB79" s="152">
        <f t="array" ref="BB79">iferror(XLOOKUP(C79,Sheet9!A:A,Sheet9!D:D),0)</f>
        <v>0.92</v>
      </c>
      <c r="BC79" s="2">
        <v>1.0</v>
      </c>
      <c r="BD79" s="95">
        <f t="array" ref="BD79">XLOOKUP(C79,ROS!C:C,ROS!O:O)</f>
        <v>0</v>
      </c>
      <c r="BE79" s="147">
        <f t="array" ref="BE79">IFERROR(XLOOKUP(C79,ROS!T:T,ROS!U:U),"")</f>
        <v>0.666666667</v>
      </c>
      <c r="BF79" s="147">
        <f t="array" ref="BF79">XLOOKUP(R79,'Refrence Data'!B:B,'Refrence Data'!T:T)</f>
        <v>1.809987</v>
      </c>
      <c r="BG79" s="95">
        <f t="shared" si="19"/>
        <v>0</v>
      </c>
      <c r="BH79" s="4" t="str">
        <f t="shared" si="20"/>
        <v>FP</v>
      </c>
      <c r="BP79" s="153" t="str">
        <f t="shared" si="26"/>
        <v>FP</v>
      </c>
    </row>
    <row r="80">
      <c r="A80" s="171">
        <v>4.801958392003E12</v>
      </c>
      <c r="B80" s="171" t="s">
        <v>3521</v>
      </c>
      <c r="C80" s="137" t="s">
        <v>913</v>
      </c>
      <c r="D80" s="138" t="s">
        <v>264</v>
      </c>
      <c r="E80" s="139" t="s">
        <v>915</v>
      </c>
      <c r="F80" s="140" t="s">
        <v>3564</v>
      </c>
      <c r="G80" s="141">
        <v>24.0</v>
      </c>
      <c r="H80" s="142">
        <v>9.028446</v>
      </c>
      <c r="I80" s="143" t="s">
        <v>111</v>
      </c>
      <c r="J80" s="83"/>
      <c r="K80" s="174">
        <v>365.0</v>
      </c>
      <c r="R80" s="145" t="str">
        <f t="shared" si="1"/>
        <v>Cooking Mixes_5-10</v>
      </c>
      <c r="S80" s="146" t="str">
        <f t="shared" si="2"/>
        <v>5-10</v>
      </c>
      <c r="T80" s="95" t="str">
        <f t="array" ref="T80">XLOOKUP(C80,'Depth or Width'!P:P,'Depth or Width'!V:V)</f>
        <v>Depth</v>
      </c>
      <c r="U80" s="93">
        <f t="shared" si="3"/>
        <v>5</v>
      </c>
      <c r="V80" s="147">
        <f t="array" ref="V80">iferror(XLOOKUP(R80,'Refrence Data'!B:B,'Refrence Data'!W:W),"NA")</f>
        <v>1.065591</v>
      </c>
      <c r="W80" s="95">
        <f t="shared" si="4"/>
        <v>0</v>
      </c>
      <c r="Y80" s="148">
        <f t="array" ref="Y80">IFERROR(XLOOKUP(R80,'Refrence Data'!B:B,'Refrence Data'!N:N),"NA")</f>
        <v>0.252536</v>
      </c>
      <c r="Z80" s="95" t="str">
        <f t="shared" si="5"/>
        <v>LOW</v>
      </c>
      <c r="AA80" s="147">
        <f t="array" ref="AA80">XLOOKUP(R80,'Refrence Data'!B:B,'Refrence Data'!AC:AC)</f>
        <v>0.539583</v>
      </c>
      <c r="AB80" s="147">
        <f t="array" ref="AB80">IFERROR(XLOOKUP(R80,'Refrence Data'!B:B,'Refrence Data'!Y:Y),"NA")</f>
        <v>0.849921</v>
      </c>
      <c r="AC80" s="95" t="str">
        <f t="shared" si="6"/>
        <v>High</v>
      </c>
      <c r="AD80" s="95" t="str">
        <f t="shared" si="7"/>
        <v>Depth</v>
      </c>
      <c r="AE80" s="95" t="str">
        <f t="shared" si="8"/>
        <v>LOWHighDepth</v>
      </c>
      <c r="AF80" s="95">
        <f t="array" ref="AF80">XLOOKUP(AE80,'Category Saturation'!A:A,'Category Saturation'!E:E)</f>
        <v>90</v>
      </c>
      <c r="AH80" s="148">
        <f t="array" ref="AH80">iferror(XLOOKUP(R80,'New Launch Success Rate'!A:A,'New Launch Success Rate'!F:F),"NA")</f>
        <v>0.65025</v>
      </c>
      <c r="AI80" s="95">
        <f t="shared" si="9"/>
        <v>50</v>
      </c>
      <c r="AK80" s="149">
        <f t="shared" si="10"/>
        <v>32</v>
      </c>
      <c r="AM80" s="150">
        <f t="array" ref="AM80">XLOOKUP(R80,'Non Moving'!C:C,'Non Moving'!I:I)/100</f>
        <v>0.235</v>
      </c>
      <c r="AN80" s="151">
        <f t="shared" si="11"/>
        <v>0</v>
      </c>
      <c r="AO80" s="150">
        <f t="array" ref="AO80">XLOOKUP(R80,'Non Moving'!C:C,'Non Moving'!F:F)/100</f>
        <v>0.473</v>
      </c>
      <c r="AP80" s="151">
        <f t="shared" si="12"/>
        <v>0</v>
      </c>
      <c r="AR80" s="95">
        <f t="shared" si="13"/>
        <v>0</v>
      </c>
      <c r="AT80" s="95">
        <f t="shared" si="14"/>
        <v>0</v>
      </c>
      <c r="AU80" s="95">
        <f t="array" ref="AU80">iferror(XLOOKUP(J80,Monetization!A:A,Monetization!B:B),25)</f>
        <v>25</v>
      </c>
      <c r="AW80" s="95">
        <f t="shared" si="15"/>
        <v>7.5</v>
      </c>
      <c r="AY80" s="149">
        <f t="shared" si="16"/>
        <v>14.3</v>
      </c>
      <c r="AZ80" s="95" t="str">
        <f t="shared" si="17"/>
        <v>0-25</v>
      </c>
      <c r="BA80" s="95" t="str">
        <f t="shared" si="18"/>
        <v>25-50</v>
      </c>
      <c r="BB80" s="152">
        <f t="array" ref="BB80">iferror(XLOOKUP(C80,Sheet9!A:A,Sheet9!D:D),0)</f>
        <v>0</v>
      </c>
      <c r="BC80" s="2">
        <v>1.0</v>
      </c>
      <c r="BD80" s="95">
        <f t="array" ref="BD80">XLOOKUP(C80,ROS!C:C,ROS!O:O)</f>
        <v>2.728907</v>
      </c>
      <c r="BE80" s="147" t="str">
        <f t="array" ref="BE80">IFERROR(XLOOKUP(C80,ROS!T:T,ROS!U:U),"")</f>
        <v/>
      </c>
      <c r="BF80" s="147">
        <f t="array" ref="BF80">XLOOKUP(R80,'Refrence Data'!B:B,'Refrence Data'!T:T)</f>
        <v>0.497849</v>
      </c>
      <c r="BG80" s="95">
        <f t="shared" si="19"/>
        <v>1</v>
      </c>
      <c r="BH80" s="4" t="str">
        <f t="shared" si="20"/>
        <v/>
      </c>
      <c r="BO80" s="153"/>
      <c r="BP80" s="153" t="str">
        <f t="shared" si="26"/>
        <v/>
      </c>
      <c r="BQ80" s="153"/>
      <c r="BR80" s="153"/>
      <c r="BS80" s="153"/>
    </row>
    <row r="81">
      <c r="A81" s="171">
        <v>6.291106763577E12</v>
      </c>
      <c r="B81" s="171" t="s">
        <v>3513</v>
      </c>
      <c r="C81" s="137" t="s">
        <v>926</v>
      </c>
      <c r="D81" s="138" t="s">
        <v>363</v>
      </c>
      <c r="E81" s="139" t="s">
        <v>928</v>
      </c>
      <c r="F81" s="140" t="s">
        <v>3565</v>
      </c>
      <c r="G81" s="141">
        <v>1.0</v>
      </c>
      <c r="H81" s="142">
        <v>30.376</v>
      </c>
      <c r="I81" s="143" t="s">
        <v>111</v>
      </c>
      <c r="J81" s="83"/>
      <c r="K81" s="174">
        <v>9.0</v>
      </c>
      <c r="R81" s="145" t="str">
        <f t="shared" si="1"/>
        <v>Seafood_25+</v>
      </c>
      <c r="S81" s="146" t="str">
        <f t="shared" si="2"/>
        <v>25+</v>
      </c>
      <c r="T81" s="95" t="str">
        <f t="array" ref="T81">XLOOKUP(C81,'Depth or Width'!P:P,'Depth or Width'!V:V)</f>
        <v>Depth</v>
      </c>
      <c r="U81" s="93">
        <f t="shared" si="3"/>
        <v>17.77777778</v>
      </c>
      <c r="V81" s="147">
        <f t="array" ref="V81">iferror(XLOOKUP(R81,'Refrence Data'!B:B,'Refrence Data'!W:W),"NA")</f>
        <v>9.4293</v>
      </c>
      <c r="W81" s="95">
        <f t="shared" si="4"/>
        <v>50</v>
      </c>
      <c r="Y81" s="148">
        <f t="array" ref="Y81">IFERROR(XLOOKUP(R81,'Refrence Data'!B:B,'Refrence Data'!N:N),"NA")</f>
        <v>0.833004</v>
      </c>
      <c r="Z81" s="95" t="str">
        <f t="shared" si="5"/>
        <v>HIGH</v>
      </c>
      <c r="AA81" s="147">
        <f t="array" ref="AA81">XLOOKUP(R81,'Refrence Data'!B:B,'Refrence Data'!AC:AC)</f>
        <v>17.85337</v>
      </c>
      <c r="AB81" s="147">
        <f t="array" ref="AB81">IFERROR(XLOOKUP(R81,'Refrence Data'!B:B,'Refrence Data'!Y:Y),"NA")</f>
        <v>22.70624</v>
      </c>
      <c r="AC81" s="95" t="str">
        <f t="shared" si="6"/>
        <v>High</v>
      </c>
      <c r="AD81" s="95" t="str">
        <f t="shared" si="7"/>
        <v>Depth</v>
      </c>
      <c r="AE81" s="95" t="str">
        <f t="shared" si="8"/>
        <v>HIGHHighDepth</v>
      </c>
      <c r="AF81" s="95">
        <f t="array" ref="AF81">XLOOKUP(AE81,'Category Saturation'!A:A,'Category Saturation'!E:E)</f>
        <v>0</v>
      </c>
      <c r="AH81" s="148">
        <f t="array" ref="AH81">iferror(XLOOKUP(R81,'New Launch Success Rate'!A:A,'New Launch Success Rate'!F:F),"NA")</f>
        <v>0.5</v>
      </c>
      <c r="AI81" s="95">
        <f t="shared" si="9"/>
        <v>50</v>
      </c>
      <c r="AK81" s="149">
        <f t="shared" si="10"/>
        <v>35</v>
      </c>
      <c r="AM81" s="150">
        <f t="array" ref="AM81">XLOOKUP(R81,'Non Moving'!C:C,'Non Moving'!I:I)/100</f>
        <v>0.01</v>
      </c>
      <c r="AN81" s="151">
        <f t="shared" si="11"/>
        <v>100</v>
      </c>
      <c r="AO81" s="150">
        <f t="array" ref="AO81">XLOOKUP(R81,'Non Moving'!C:C,'Non Moving'!F:F)/100</f>
        <v>0.025</v>
      </c>
      <c r="AP81" s="151">
        <f t="shared" si="12"/>
        <v>100</v>
      </c>
      <c r="AR81" s="95">
        <f t="shared" si="13"/>
        <v>100</v>
      </c>
      <c r="AT81" s="95">
        <f t="shared" si="14"/>
        <v>0</v>
      </c>
      <c r="AU81" s="95">
        <f t="array" ref="AU81">iferror(XLOOKUP(J81,Monetization!A:A,Monetization!B:B),25)</f>
        <v>25</v>
      </c>
      <c r="AW81" s="95">
        <f t="shared" si="15"/>
        <v>7.5</v>
      </c>
      <c r="AY81" s="149">
        <f t="shared" si="16"/>
        <v>55.5</v>
      </c>
      <c r="AZ81" s="95" t="str">
        <f t="shared" si="17"/>
        <v>50-75</v>
      </c>
      <c r="BA81" s="95" t="str">
        <f t="shared" si="18"/>
        <v>25-50</v>
      </c>
      <c r="BB81" s="152">
        <f t="array" ref="BB81">iferror(XLOOKUP(C81,Sheet9!A:A,Sheet9!D:D),0)</f>
        <v>0.75</v>
      </c>
      <c r="BC81" s="2">
        <v>1.0</v>
      </c>
      <c r="BD81" s="95">
        <f t="array" ref="BD81">XLOOKUP(C81,ROS!C:C,ROS!O:O)</f>
        <v>0</v>
      </c>
      <c r="BE81" s="147">
        <f t="array" ref="BE81">IFERROR(XLOOKUP(C81,ROS!T:T,ROS!U:U),"")</f>
        <v>0.654545455</v>
      </c>
      <c r="BF81" s="147">
        <f t="array" ref="BF81">XLOOKUP(R81,'Refrence Data'!B:B,'Refrence Data'!T:T)</f>
        <v>1.671264</v>
      </c>
      <c r="BG81" s="95">
        <f t="shared" si="19"/>
        <v>0</v>
      </c>
      <c r="BH81" s="4" t="str">
        <f t="shared" si="20"/>
        <v>TN</v>
      </c>
      <c r="BO81" s="153"/>
      <c r="BP81" s="153" t="str">
        <f t="shared" si="26"/>
        <v>FP</v>
      </c>
      <c r="BQ81" s="153"/>
      <c r="BR81" s="153"/>
      <c r="BS81" s="153"/>
    </row>
    <row r="82">
      <c r="A82" s="171">
        <v>6.29110676356E12</v>
      </c>
      <c r="B82" s="171" t="s">
        <v>3527</v>
      </c>
      <c r="C82" s="137" t="s">
        <v>930</v>
      </c>
      <c r="D82" s="138" t="s">
        <v>363</v>
      </c>
      <c r="E82" s="139" t="s">
        <v>928</v>
      </c>
      <c r="F82" s="140" t="s">
        <v>3565</v>
      </c>
      <c r="G82" s="141">
        <v>1.0</v>
      </c>
      <c r="H82" s="142">
        <v>14.48855</v>
      </c>
      <c r="I82" s="143" t="s">
        <v>111</v>
      </c>
      <c r="J82" s="83"/>
      <c r="K82" s="174">
        <v>7.0</v>
      </c>
      <c r="R82" s="145" t="str">
        <f t="shared" si="1"/>
        <v>Seafood_10-15</v>
      </c>
      <c r="S82" s="146" t="str">
        <f t="shared" si="2"/>
        <v>10-15</v>
      </c>
      <c r="T82" s="95" t="str">
        <f t="array" ref="T82">XLOOKUP(C82,'Depth or Width'!P:P,'Depth or Width'!V:V)</f>
        <v>Depth</v>
      </c>
      <c r="U82" s="93">
        <f t="shared" si="3"/>
        <v>22.85714286</v>
      </c>
      <c r="V82" s="147">
        <f t="array" ref="V82">iferror(XLOOKUP(R82,'Refrence Data'!B:B,'Refrence Data'!W:W),"NA")</f>
        <v>6.678075</v>
      </c>
      <c r="W82" s="95">
        <f t="shared" si="4"/>
        <v>0</v>
      </c>
      <c r="Y82" s="148">
        <f t="array" ref="Y82">IFERROR(XLOOKUP(R82,'Refrence Data'!B:B,'Refrence Data'!N:N),"NA")</f>
        <v>0.704635</v>
      </c>
      <c r="Z82" s="95" t="str">
        <f t="shared" si="5"/>
        <v>HIGH</v>
      </c>
      <c r="AA82" s="147">
        <f t="array" ref="AA82">XLOOKUP(R82,'Refrence Data'!B:B,'Refrence Data'!AC:AC)</f>
        <v>17.85337</v>
      </c>
      <c r="AB82" s="147">
        <f t="array" ref="AB82">IFERROR(XLOOKUP(R82,'Refrence Data'!B:B,'Refrence Data'!Y:Y),"NA")</f>
        <v>6.355034</v>
      </c>
      <c r="AC82" s="95" t="str">
        <f t="shared" si="6"/>
        <v>Low</v>
      </c>
      <c r="AD82" s="95" t="str">
        <f t="shared" si="7"/>
        <v>Depth</v>
      </c>
      <c r="AE82" s="95" t="str">
        <f t="shared" si="8"/>
        <v>HIGHLowDepth</v>
      </c>
      <c r="AF82" s="95">
        <f t="array" ref="AF82">XLOOKUP(AE82,'Category Saturation'!A:A,'Category Saturation'!E:E)</f>
        <v>0</v>
      </c>
      <c r="AH82" s="148">
        <f t="array" ref="AH82">iferror(XLOOKUP(R82,'New Launch Success Rate'!A:A,'New Launch Success Rate'!F:F),"NA")</f>
        <v>0.75</v>
      </c>
      <c r="AI82" s="95">
        <f t="shared" si="9"/>
        <v>100</v>
      </c>
      <c r="AK82" s="149">
        <f t="shared" si="10"/>
        <v>10</v>
      </c>
      <c r="AM82" s="150">
        <f t="array" ref="AM82">XLOOKUP(R82,'Non Moving'!C:C,'Non Moving'!I:I)/100</f>
        <v>0.662</v>
      </c>
      <c r="AN82" s="151">
        <f t="shared" si="11"/>
        <v>0</v>
      </c>
      <c r="AO82" s="150">
        <f t="array" ref="AO82">XLOOKUP(R82,'Non Moving'!C:C,'Non Moving'!F:F)/100</f>
        <v>0.576</v>
      </c>
      <c r="AP82" s="151">
        <f t="shared" si="12"/>
        <v>0</v>
      </c>
      <c r="AR82" s="95">
        <f t="shared" si="13"/>
        <v>0</v>
      </c>
      <c r="AT82" s="95">
        <f t="shared" si="14"/>
        <v>0</v>
      </c>
      <c r="AU82" s="95">
        <f t="array" ref="AU82">iferror(XLOOKUP(J82,Monetization!A:A,Monetization!B:B),25)</f>
        <v>25</v>
      </c>
      <c r="AW82" s="95">
        <f t="shared" si="15"/>
        <v>7.5</v>
      </c>
      <c r="AY82" s="149">
        <f t="shared" si="16"/>
        <v>5.5</v>
      </c>
      <c r="AZ82" s="95" t="str">
        <f t="shared" si="17"/>
        <v>0-25</v>
      </c>
      <c r="BA82" s="95" t="str">
        <f t="shared" si="18"/>
        <v>0-25</v>
      </c>
      <c r="BB82" s="152">
        <f t="array" ref="BB82">iferror(XLOOKUP(C82,Sheet9!A:A,Sheet9!D:D),0)</f>
        <v>0</v>
      </c>
      <c r="BC82" s="2">
        <v>1.0</v>
      </c>
      <c r="BD82" s="95">
        <f t="array" ref="BD82">XLOOKUP(C82,ROS!C:C,ROS!O:O)</f>
        <v>0</v>
      </c>
      <c r="BE82" s="147" t="str">
        <f t="array" ref="BE82">IFERROR(XLOOKUP(C82,ROS!T:T,ROS!U:U),"")</f>
        <v/>
      </c>
      <c r="BF82" s="147">
        <f t="array" ref="BF82">XLOOKUP(R82,'Refrence Data'!B:B,'Refrence Data'!T:T)</f>
        <v>0.043478</v>
      </c>
      <c r="BG82" s="95">
        <f t="shared" si="19"/>
        <v>0</v>
      </c>
      <c r="BH82" s="4" t="str">
        <f t="shared" si="20"/>
        <v/>
      </c>
      <c r="BO82" s="153"/>
      <c r="BP82" s="153" t="str">
        <f t="shared" si="26"/>
        <v/>
      </c>
      <c r="BQ82" s="153"/>
      <c r="BR82" s="153"/>
      <c r="BS82" s="153"/>
    </row>
    <row r="83">
      <c r="A83" s="171">
        <v>6.291106763553E12</v>
      </c>
      <c r="B83" s="171" t="s">
        <v>3527</v>
      </c>
      <c r="C83" s="137" t="s">
        <v>931</v>
      </c>
      <c r="D83" s="138" t="s">
        <v>363</v>
      </c>
      <c r="E83" s="139" t="s">
        <v>928</v>
      </c>
      <c r="F83" s="140" t="s">
        <v>3565</v>
      </c>
      <c r="G83" s="141">
        <v>1.0</v>
      </c>
      <c r="H83" s="142">
        <v>22.782</v>
      </c>
      <c r="I83" s="143" t="s">
        <v>111</v>
      </c>
      <c r="J83" s="83"/>
      <c r="K83" s="174">
        <v>5.0</v>
      </c>
      <c r="R83" s="145" t="str">
        <f t="shared" si="1"/>
        <v>Seafood_20-25</v>
      </c>
      <c r="S83" s="146" t="str">
        <f t="shared" si="2"/>
        <v>20-25</v>
      </c>
      <c r="T83" s="95" t="str">
        <f t="array" ref="T83">XLOOKUP(C83,'Depth or Width'!P:P,'Depth or Width'!V:V)</f>
        <v>Depth</v>
      </c>
      <c r="U83" s="93">
        <f t="shared" si="3"/>
        <v>32</v>
      </c>
      <c r="V83" s="147">
        <f t="array" ref="V83">iferror(XLOOKUP(R83,'Refrence Data'!B:B,'Refrence Data'!W:W),"NA")</f>
        <v>6</v>
      </c>
      <c r="W83" s="95">
        <f t="shared" si="4"/>
        <v>0</v>
      </c>
      <c r="Y83" s="148">
        <f t="array" ref="Y83">IFERROR(XLOOKUP(R83,'Refrence Data'!B:B,'Refrence Data'!N:N),"NA")</f>
        <v>0.927976</v>
      </c>
      <c r="Z83" s="95" t="str">
        <f t="shared" si="5"/>
        <v>HIGH</v>
      </c>
      <c r="AA83" s="147">
        <f t="array" ref="AA83">XLOOKUP(R83,'Refrence Data'!B:B,'Refrence Data'!AC:AC)</f>
        <v>17.85337</v>
      </c>
      <c r="AB83" s="147">
        <f t="array" ref="AB83">IFERROR(XLOOKUP(R83,'Refrence Data'!B:B,'Refrence Data'!Y:Y),"NA")</f>
        <v>17.85337</v>
      </c>
      <c r="AC83" s="95" t="str">
        <f t="shared" si="6"/>
        <v>High</v>
      </c>
      <c r="AD83" s="95" t="str">
        <f t="shared" si="7"/>
        <v>Depth</v>
      </c>
      <c r="AE83" s="95" t="str">
        <f t="shared" si="8"/>
        <v>HIGHHighDepth</v>
      </c>
      <c r="AF83" s="95">
        <f t="array" ref="AF83">XLOOKUP(AE83,'Category Saturation'!A:A,'Category Saturation'!E:E)</f>
        <v>0</v>
      </c>
      <c r="AH83" s="148">
        <f t="array" ref="AH83">iferror(XLOOKUP(R83,'New Launch Success Rate'!A:A,'New Launch Success Rate'!F:F),"NA")</f>
        <v>0.5</v>
      </c>
      <c r="AI83" s="95">
        <f t="shared" si="9"/>
        <v>50</v>
      </c>
      <c r="AK83" s="149">
        <f t="shared" si="10"/>
        <v>5</v>
      </c>
      <c r="AM83" s="150">
        <f t="array" ref="AM83">XLOOKUP(R83,'Non Moving'!C:C,'Non Moving'!I:I)/100</f>
        <v>0</v>
      </c>
      <c r="AN83" s="151">
        <f t="shared" si="11"/>
        <v>100</v>
      </c>
      <c r="AO83" s="150">
        <f t="array" ref="AO83">XLOOKUP(R83,'Non Moving'!C:C,'Non Moving'!F:F)/100</f>
        <v>0</v>
      </c>
      <c r="AP83" s="151">
        <f t="shared" si="12"/>
        <v>100</v>
      </c>
      <c r="AR83" s="95">
        <f t="shared" si="13"/>
        <v>100</v>
      </c>
      <c r="AT83" s="95">
        <f t="shared" si="14"/>
        <v>0</v>
      </c>
      <c r="AU83" s="95">
        <f t="array" ref="AU83">iferror(XLOOKUP(J83,Monetization!A:A,Monetization!B:B),25)</f>
        <v>25</v>
      </c>
      <c r="AW83" s="95">
        <f t="shared" si="15"/>
        <v>7.5</v>
      </c>
      <c r="AY83" s="149">
        <f t="shared" si="16"/>
        <v>43.5</v>
      </c>
      <c r="AZ83" s="95" t="str">
        <f t="shared" si="17"/>
        <v>25-50</v>
      </c>
      <c r="BA83" s="95" t="str">
        <f t="shared" si="18"/>
        <v>0-25</v>
      </c>
      <c r="BB83" s="152">
        <f t="array" ref="BB83">iferror(XLOOKUP(C83,Sheet9!A:A,Sheet9!D:D),0)</f>
        <v>0</v>
      </c>
      <c r="BC83" s="2">
        <v>1.0</v>
      </c>
      <c r="BD83" s="95">
        <f t="array" ref="BD83">XLOOKUP(C83,ROS!C:C,ROS!O:O)</f>
        <v>0</v>
      </c>
      <c r="BE83" s="147" t="str">
        <f t="array" ref="BE83">IFERROR(XLOOKUP(C83,ROS!T:T,ROS!U:U),"")</f>
        <v/>
      </c>
      <c r="BF83" s="147">
        <f t="array" ref="BF83">XLOOKUP(R83,'Refrence Data'!B:B,'Refrence Data'!T:T)</f>
        <v>1.081481</v>
      </c>
      <c r="BG83" s="95">
        <f t="shared" si="19"/>
        <v>0</v>
      </c>
      <c r="BH83" s="4" t="str">
        <f t="shared" si="20"/>
        <v/>
      </c>
      <c r="BO83" s="153"/>
      <c r="BP83" s="153" t="str">
        <f t="shared" si="26"/>
        <v/>
      </c>
      <c r="BQ83" s="153"/>
      <c r="BR83" s="153"/>
      <c r="BS83" s="153"/>
    </row>
    <row r="84">
      <c r="A84" s="171">
        <v>6.291106763546E12</v>
      </c>
      <c r="B84" s="171" t="s">
        <v>3527</v>
      </c>
      <c r="C84" s="137" t="s">
        <v>932</v>
      </c>
      <c r="D84" s="138" t="s">
        <v>363</v>
      </c>
      <c r="E84" s="139" t="s">
        <v>928</v>
      </c>
      <c r="F84" s="140" t="s">
        <v>3565</v>
      </c>
      <c r="G84" s="141">
        <v>1.0</v>
      </c>
      <c r="H84" s="142">
        <v>26.87876</v>
      </c>
      <c r="I84" s="143" t="s">
        <v>111</v>
      </c>
      <c r="J84" s="83"/>
      <c r="K84" s="174">
        <v>7.0</v>
      </c>
      <c r="R84" s="145" t="str">
        <f t="shared" si="1"/>
        <v>Seafood_25+</v>
      </c>
      <c r="S84" s="146" t="str">
        <f t="shared" si="2"/>
        <v>25+</v>
      </c>
      <c r="T84" s="95" t="str">
        <f t="array" ref="T84">XLOOKUP(C84,'Depth or Width'!P:P,'Depth or Width'!V:V)</f>
        <v>Depth</v>
      </c>
      <c r="U84" s="93">
        <f t="shared" si="3"/>
        <v>22.85714286</v>
      </c>
      <c r="V84" s="147">
        <f t="array" ref="V84">iferror(XLOOKUP(R84,'Refrence Data'!B:B,'Refrence Data'!W:W),"NA")</f>
        <v>9.4293</v>
      </c>
      <c r="W84" s="95">
        <f t="shared" si="4"/>
        <v>0</v>
      </c>
      <c r="Y84" s="148">
        <f t="array" ref="Y84">IFERROR(XLOOKUP(R84,'Refrence Data'!B:B,'Refrence Data'!N:N),"NA")</f>
        <v>0.833004</v>
      </c>
      <c r="Z84" s="95" t="str">
        <f t="shared" si="5"/>
        <v>HIGH</v>
      </c>
      <c r="AA84" s="147">
        <f t="array" ref="AA84">XLOOKUP(R84,'Refrence Data'!B:B,'Refrence Data'!AC:AC)</f>
        <v>17.85337</v>
      </c>
      <c r="AB84" s="147">
        <f t="array" ref="AB84">IFERROR(XLOOKUP(R84,'Refrence Data'!B:B,'Refrence Data'!Y:Y),"NA")</f>
        <v>22.70624</v>
      </c>
      <c r="AC84" s="95" t="str">
        <f t="shared" si="6"/>
        <v>High</v>
      </c>
      <c r="AD84" s="95" t="str">
        <f t="shared" si="7"/>
        <v>Depth</v>
      </c>
      <c r="AE84" s="95" t="str">
        <f t="shared" si="8"/>
        <v>HIGHHighDepth</v>
      </c>
      <c r="AF84" s="95">
        <f t="array" ref="AF84">XLOOKUP(AE84,'Category Saturation'!A:A,'Category Saturation'!E:E)</f>
        <v>0</v>
      </c>
      <c r="AH84" s="148">
        <f t="array" ref="AH84">iferror(XLOOKUP(R84,'New Launch Success Rate'!A:A,'New Launch Success Rate'!F:F),"NA")</f>
        <v>0.5</v>
      </c>
      <c r="AI84" s="95">
        <f t="shared" si="9"/>
        <v>50</v>
      </c>
      <c r="AK84" s="149">
        <f t="shared" si="10"/>
        <v>5</v>
      </c>
      <c r="AM84" s="150">
        <f t="array" ref="AM84">XLOOKUP(R84,'Non Moving'!C:C,'Non Moving'!I:I)/100</f>
        <v>0.01</v>
      </c>
      <c r="AN84" s="151">
        <f t="shared" si="11"/>
        <v>100</v>
      </c>
      <c r="AO84" s="150">
        <f t="array" ref="AO84">XLOOKUP(R84,'Non Moving'!C:C,'Non Moving'!F:F)/100</f>
        <v>0.025</v>
      </c>
      <c r="AP84" s="151">
        <f t="shared" si="12"/>
        <v>100</v>
      </c>
      <c r="AR84" s="95">
        <f t="shared" si="13"/>
        <v>100</v>
      </c>
      <c r="AT84" s="95">
        <f t="shared" si="14"/>
        <v>0</v>
      </c>
      <c r="AU84" s="95">
        <f t="array" ref="AU84">iferror(XLOOKUP(J84,Monetization!A:A,Monetization!B:B),25)</f>
        <v>25</v>
      </c>
      <c r="AW84" s="95">
        <f t="shared" si="15"/>
        <v>7.5</v>
      </c>
      <c r="AY84" s="149">
        <f t="shared" si="16"/>
        <v>43.5</v>
      </c>
      <c r="AZ84" s="95" t="str">
        <f t="shared" si="17"/>
        <v>25-50</v>
      </c>
      <c r="BA84" s="95" t="str">
        <f t="shared" si="18"/>
        <v>0-25</v>
      </c>
      <c r="BB84" s="152">
        <f t="array" ref="BB84">iferror(XLOOKUP(C84,Sheet9!A:A,Sheet9!D:D),0)</f>
        <v>0</v>
      </c>
      <c r="BC84" s="2">
        <v>1.0</v>
      </c>
      <c r="BD84" s="95">
        <f t="array" ref="BD84">XLOOKUP(C84,ROS!C:C,ROS!O:O)</f>
        <v>0</v>
      </c>
      <c r="BE84" s="147" t="str">
        <f t="array" ref="BE84">IFERROR(XLOOKUP(C84,ROS!T:T,ROS!U:U),"")</f>
        <v/>
      </c>
      <c r="BF84" s="147">
        <f t="array" ref="BF84">XLOOKUP(R84,'Refrence Data'!B:B,'Refrence Data'!T:T)</f>
        <v>1.671264</v>
      </c>
      <c r="BG84" s="95">
        <f t="shared" si="19"/>
        <v>0</v>
      </c>
      <c r="BH84" s="4" t="str">
        <f t="shared" si="20"/>
        <v/>
      </c>
      <c r="BO84" s="153"/>
      <c r="BP84" s="153" t="str">
        <f t="shared" si="26"/>
        <v/>
      </c>
      <c r="BQ84" s="153"/>
      <c r="BR84" s="153"/>
      <c r="BS84" s="153"/>
    </row>
    <row r="85">
      <c r="A85" s="171">
        <v>6.281007053433E12</v>
      </c>
      <c r="B85" s="171" t="s">
        <v>3527</v>
      </c>
      <c r="C85" s="137" t="s">
        <v>1325</v>
      </c>
      <c r="D85" s="138" t="s">
        <v>363</v>
      </c>
      <c r="E85" s="139" t="s">
        <v>364</v>
      </c>
      <c r="F85" s="140" t="s">
        <v>3566</v>
      </c>
      <c r="G85" s="141">
        <v>1.0</v>
      </c>
      <c r="H85" s="142">
        <v>32.72414</v>
      </c>
      <c r="I85" s="143" t="s">
        <v>112</v>
      </c>
      <c r="J85" s="83"/>
      <c r="K85" s="174">
        <v>7.0</v>
      </c>
      <c r="R85" s="145" t="str">
        <f t="shared" si="1"/>
        <v>Chicken_25+</v>
      </c>
      <c r="S85" s="146" t="str">
        <f t="shared" si="2"/>
        <v>25+</v>
      </c>
      <c r="T85" s="95" t="str">
        <f t="array" ref="T85">XLOOKUP(C85,'Depth or Width'!P:P,'Depth or Width'!V:V)</f>
        <v>Width</v>
      </c>
      <c r="U85" s="93">
        <f t="shared" si="3"/>
        <v>22.85714286</v>
      </c>
      <c r="V85" s="147">
        <f t="array" ref="V85">iferror(XLOOKUP(R85,'Refrence Data'!B:B,'Refrence Data'!W:W),"NA")</f>
        <v>1.533333</v>
      </c>
      <c r="W85" s="95">
        <f t="shared" si="4"/>
        <v>0</v>
      </c>
      <c r="Y85" s="148">
        <f t="array" ref="Y85">IFERROR(XLOOKUP(R85,'Refrence Data'!B:B,'Refrence Data'!N:N),"NA")</f>
        <v>0.957464</v>
      </c>
      <c r="Z85" s="95" t="str">
        <f t="shared" si="5"/>
        <v>HIGH</v>
      </c>
      <c r="AA85" s="147">
        <f t="array" ref="AA85">XLOOKUP(R85,'Refrence Data'!B:B,'Refrence Data'!AC:AC)</f>
        <v>50.27981</v>
      </c>
      <c r="AB85" s="147">
        <f t="array" ref="AB85">IFERROR(XLOOKUP(R85,'Refrence Data'!B:B,'Refrence Data'!Y:Y),"NA")</f>
        <v>21.52468</v>
      </c>
      <c r="AC85" s="95" t="str">
        <f t="shared" si="6"/>
        <v>Low</v>
      </c>
      <c r="AD85" s="95" t="str">
        <f t="shared" si="7"/>
        <v>Width</v>
      </c>
      <c r="AE85" s="95" t="str">
        <f t="shared" si="8"/>
        <v>HIGHLowWidth</v>
      </c>
      <c r="AF85" s="95">
        <f t="array" ref="AF85">XLOOKUP(AE85,'Category Saturation'!A:A,'Category Saturation'!E:E)</f>
        <v>15</v>
      </c>
      <c r="AH85" s="148">
        <f t="array" ref="AH85">iferror(XLOOKUP(R85,'New Launch Success Rate'!A:A,'New Launch Success Rate'!F:F),"NA")</f>
        <v>0.5</v>
      </c>
      <c r="AI85" s="95">
        <f t="shared" si="9"/>
        <v>50</v>
      </c>
      <c r="AK85" s="149">
        <f t="shared" si="10"/>
        <v>9.5</v>
      </c>
      <c r="AM85" s="150">
        <f t="array" ref="AM85">XLOOKUP(R85,'Non Moving'!C:C,'Non Moving'!I:I)/100</f>
        <v>0.034</v>
      </c>
      <c r="AN85" s="151">
        <f t="shared" si="11"/>
        <v>100</v>
      </c>
      <c r="AO85" s="150">
        <f t="array" ref="AO85">XLOOKUP(R85,'Non Moving'!C:C,'Non Moving'!F:F)/100</f>
        <v>0.166</v>
      </c>
      <c r="AP85" s="151">
        <f t="shared" si="12"/>
        <v>100</v>
      </c>
      <c r="AR85" s="95">
        <f t="shared" si="13"/>
        <v>100</v>
      </c>
      <c r="AT85" s="95">
        <f t="shared" si="14"/>
        <v>100</v>
      </c>
      <c r="AU85" s="95">
        <f t="array" ref="AU85">iferror(XLOOKUP(J85,Monetization!A:A,Monetization!B:B),25)</f>
        <v>25</v>
      </c>
      <c r="AW85" s="95">
        <f t="shared" si="15"/>
        <v>77.5</v>
      </c>
      <c r="AY85" s="149">
        <f t="shared" si="16"/>
        <v>59.3</v>
      </c>
      <c r="AZ85" s="95" t="str">
        <f t="shared" si="17"/>
        <v>50-75</v>
      </c>
      <c r="BA85" s="95" t="str">
        <f t="shared" si="18"/>
        <v>0-25</v>
      </c>
      <c r="BB85" s="152">
        <f t="array" ref="BB85">iferror(XLOOKUP(C85,Sheet9!A:A,Sheet9!D:D),0)</f>
        <v>0</v>
      </c>
      <c r="BC85" s="2">
        <v>1.0</v>
      </c>
      <c r="BD85" s="95">
        <f t="array" ref="BD85">XLOOKUP(C85,ROS!C:C,ROS!O:O)</f>
        <v>0</v>
      </c>
      <c r="BE85" s="147" t="str">
        <f t="array" ref="BE85">IFERROR(XLOOKUP(C85,ROS!T:T,ROS!U:U),"")</f>
        <v/>
      </c>
      <c r="BF85" s="147">
        <f t="array" ref="BF85">XLOOKUP(R85,'Refrence Data'!B:B,'Refrence Data'!T:T)</f>
        <v>0.325</v>
      </c>
      <c r="BG85" s="95">
        <f t="shared" si="19"/>
        <v>0</v>
      </c>
      <c r="BH85" s="4" t="str">
        <f t="shared" si="20"/>
        <v/>
      </c>
      <c r="BO85" s="153"/>
      <c r="BP85" s="153" t="str">
        <f t="shared" si="26"/>
        <v/>
      </c>
      <c r="BQ85" s="153"/>
      <c r="BR85" s="153"/>
      <c r="BS85" s="153"/>
    </row>
    <row r="86">
      <c r="A86" s="171">
        <v>6.298042161375E12</v>
      </c>
      <c r="B86" s="171" t="s">
        <v>3521</v>
      </c>
      <c r="C86" s="137" t="s">
        <v>1330</v>
      </c>
      <c r="D86" s="138" t="s">
        <v>393</v>
      </c>
      <c r="E86" s="139" t="s">
        <v>435</v>
      </c>
      <c r="F86" s="140" t="s">
        <v>3567</v>
      </c>
      <c r="G86" s="141">
        <v>250.0</v>
      </c>
      <c r="H86" s="142">
        <v>12.49013</v>
      </c>
      <c r="I86" s="143" t="s">
        <v>111</v>
      </c>
      <c r="J86" s="83"/>
      <c r="K86" s="174">
        <v>360.0</v>
      </c>
      <c r="R86" s="145" t="str">
        <f t="shared" si="1"/>
        <v>Breads &amp; Bakes_10-15</v>
      </c>
      <c r="S86" s="146" t="str">
        <f t="shared" si="2"/>
        <v>10-15</v>
      </c>
      <c r="T86" s="95" t="str">
        <f t="array" ref="T86">XLOOKUP(C86,'Depth or Width'!P:P,'Depth or Width'!V:V)</f>
        <v>Width</v>
      </c>
      <c r="U86" s="93">
        <f t="shared" si="3"/>
        <v>8.333333333</v>
      </c>
      <c r="V86" s="147">
        <f t="array" ref="V86">iferror(XLOOKUP(R86,'Refrence Data'!B:B,'Refrence Data'!W:W),"NA")</f>
        <v>3.906563</v>
      </c>
      <c r="W86" s="95">
        <f t="shared" si="4"/>
        <v>0</v>
      </c>
      <c r="Y86" s="148">
        <f t="array" ref="Y86">IFERROR(XLOOKUP(R86,'Refrence Data'!B:B,'Refrence Data'!N:N),"NA")</f>
        <v>0.638116</v>
      </c>
      <c r="Z86" s="95" t="str">
        <f t="shared" si="5"/>
        <v>MEDIUM</v>
      </c>
      <c r="AA86" s="147">
        <f t="array" ref="AA86">XLOOKUP(R86,'Refrence Data'!B:B,'Refrence Data'!AC:AC)</f>
        <v>1.874188</v>
      </c>
      <c r="AB86" s="147">
        <f t="array" ref="AB86">IFERROR(XLOOKUP(R86,'Refrence Data'!B:B,'Refrence Data'!Y:Y),"NA")</f>
        <v>3.187063</v>
      </c>
      <c r="AC86" s="95" t="str">
        <f t="shared" si="6"/>
        <v>High</v>
      </c>
      <c r="AD86" s="95" t="str">
        <f t="shared" si="7"/>
        <v>Width</v>
      </c>
      <c r="AE86" s="95" t="str">
        <f t="shared" si="8"/>
        <v>MEDIUMHighWidth</v>
      </c>
      <c r="AF86" s="95">
        <f t="array" ref="AF86">XLOOKUP(AE86,'Category Saturation'!A:A,'Category Saturation'!E:E)</f>
        <v>10</v>
      </c>
      <c r="AH86" s="148">
        <f t="array" ref="AH86">iferror(XLOOKUP(R86,'New Launch Success Rate'!A:A,'New Launch Success Rate'!F:F),"NA")</f>
        <v>1</v>
      </c>
      <c r="AI86" s="95">
        <f t="shared" si="9"/>
        <v>100</v>
      </c>
      <c r="AK86" s="149">
        <f t="shared" si="10"/>
        <v>13</v>
      </c>
      <c r="AM86" s="150">
        <f t="array" ref="AM86">XLOOKUP(R86,'Non Moving'!C:C,'Non Moving'!I:I)/100</f>
        <v>0.042</v>
      </c>
      <c r="AN86" s="151">
        <f t="shared" si="11"/>
        <v>100</v>
      </c>
      <c r="AO86" s="150">
        <f t="array" ref="AO86">XLOOKUP(R86,'Non Moving'!C:C,'Non Moving'!F:F)/100</f>
        <v>0.119</v>
      </c>
      <c r="AP86" s="151">
        <f t="shared" si="12"/>
        <v>100</v>
      </c>
      <c r="AR86" s="95">
        <f t="shared" si="13"/>
        <v>100</v>
      </c>
      <c r="AT86" s="95">
        <f t="shared" si="14"/>
        <v>0</v>
      </c>
      <c r="AU86" s="95">
        <f t="array" ref="AU86">iferror(XLOOKUP(J86,Monetization!A:A,Monetization!B:B),25)</f>
        <v>25</v>
      </c>
      <c r="AW86" s="95">
        <f t="shared" si="15"/>
        <v>7.5</v>
      </c>
      <c r="AY86" s="149">
        <f t="shared" si="16"/>
        <v>46.7</v>
      </c>
      <c r="AZ86" s="95" t="str">
        <f t="shared" si="17"/>
        <v>25-50</v>
      </c>
      <c r="BA86" s="95" t="str">
        <f t="shared" si="18"/>
        <v>0-25</v>
      </c>
      <c r="BB86" s="152">
        <f t="array" ref="BB86">iferror(XLOOKUP(C86,Sheet9!A:A,Sheet9!D:D),0)</f>
        <v>0</v>
      </c>
      <c r="BC86" s="2">
        <v>1.0</v>
      </c>
      <c r="BD86" s="95" t="str">
        <f t="array" ref="BD86">XLOOKUP(C86,ROS!C:C,ROS!O:O)</f>
        <v>#N/A</v>
      </c>
      <c r="BE86" s="147" t="str">
        <f t="array" ref="BE86">IFERROR(XLOOKUP(C86,ROS!T:T,ROS!U:U),"")</f>
        <v/>
      </c>
      <c r="BF86" s="147">
        <f t="array" ref="BF86">XLOOKUP(R86,'Refrence Data'!B:B,'Refrence Data'!T:T)</f>
        <v>1.216569</v>
      </c>
      <c r="BG86" s="95" t="str">
        <f t="shared" si="19"/>
        <v>#N/A</v>
      </c>
      <c r="BH86" s="4" t="str">
        <f t="shared" si="20"/>
        <v/>
      </c>
      <c r="BO86" s="153"/>
      <c r="BP86" s="153" t="str">
        <f t="shared" si="26"/>
        <v/>
      </c>
      <c r="BQ86" s="153"/>
      <c r="BR86" s="153"/>
      <c r="BS86" s="153"/>
    </row>
    <row r="87">
      <c r="A87" s="171">
        <v>4.640167403755E12</v>
      </c>
      <c r="B87" s="171" t="s">
        <v>3521</v>
      </c>
      <c r="C87" s="137" t="s">
        <v>933</v>
      </c>
      <c r="D87" s="138" t="s">
        <v>393</v>
      </c>
      <c r="E87" s="139" t="s">
        <v>394</v>
      </c>
      <c r="F87" s="140" t="s">
        <v>3568</v>
      </c>
      <c r="G87" s="141">
        <v>0.0</v>
      </c>
      <c r="H87" s="142">
        <v>55.20638</v>
      </c>
      <c r="I87" s="143" t="s">
        <v>112</v>
      </c>
      <c r="J87" s="83"/>
      <c r="K87" s="174">
        <v>365.0</v>
      </c>
      <c r="R87" s="145" t="str">
        <f t="shared" si="1"/>
        <v>Chicken &amp; Meat_25+</v>
      </c>
      <c r="S87" s="146" t="str">
        <f t="shared" si="2"/>
        <v>25+</v>
      </c>
      <c r="T87" s="95" t="str">
        <f t="array" ref="T87">XLOOKUP(C87,'Depth or Width'!P:P,'Depth or Width'!V:V)</f>
        <v>Width</v>
      </c>
      <c r="U87" s="93">
        <f t="shared" si="3"/>
        <v>5</v>
      </c>
      <c r="V87" s="147">
        <f t="array" ref="V87">iferror(XLOOKUP(R87,'Refrence Data'!B:B,'Refrence Data'!W:W),"NA")</f>
        <v>1.812338</v>
      </c>
      <c r="W87" s="95">
        <f t="shared" si="4"/>
        <v>0</v>
      </c>
      <c r="Y87" s="148">
        <f t="array" ref="Y87">IFERROR(XLOOKUP(R87,'Refrence Data'!B:B,'Refrence Data'!N:N),"NA")</f>
        <v>0.666706</v>
      </c>
      <c r="Z87" s="95" t="str">
        <f t="shared" si="5"/>
        <v>MEDIUM</v>
      </c>
      <c r="AA87" s="147">
        <f t="array" ref="AA87">XLOOKUP(R87,'Refrence Data'!B:B,'Refrence Data'!AC:AC)</f>
        <v>2.088727</v>
      </c>
      <c r="AB87" s="147">
        <f t="array" ref="AB87">IFERROR(XLOOKUP(R87,'Refrence Data'!B:B,'Refrence Data'!Y:Y),"NA")</f>
        <v>2.088727</v>
      </c>
      <c r="AC87" s="95" t="str">
        <f t="shared" si="6"/>
        <v>High</v>
      </c>
      <c r="AD87" s="95" t="str">
        <f t="shared" si="7"/>
        <v>Width</v>
      </c>
      <c r="AE87" s="95" t="str">
        <f t="shared" si="8"/>
        <v>MEDIUMHighWidth</v>
      </c>
      <c r="AF87" s="95">
        <f t="array" ref="AF87">XLOOKUP(AE87,'Category Saturation'!A:A,'Category Saturation'!E:E)</f>
        <v>10</v>
      </c>
      <c r="AH87" s="148">
        <f t="array" ref="AH87">iferror(XLOOKUP(R87,'New Launch Success Rate'!A:A,'New Launch Success Rate'!F:F),"NA")</f>
        <v>0.333</v>
      </c>
      <c r="AI87" s="95">
        <f t="shared" si="9"/>
        <v>25</v>
      </c>
      <c r="AK87" s="149">
        <f t="shared" si="10"/>
        <v>5.5</v>
      </c>
      <c r="AM87" s="150">
        <f t="array" ref="AM87">XLOOKUP(R87,'Non Moving'!C:C,'Non Moving'!I:I)/100</f>
        <v>0.116</v>
      </c>
      <c r="AN87" s="151">
        <f t="shared" si="11"/>
        <v>75</v>
      </c>
      <c r="AO87" s="150">
        <f t="array" ref="AO87">XLOOKUP(R87,'Non Moving'!C:C,'Non Moving'!F:F)/100</f>
        <v>0.287</v>
      </c>
      <c r="AP87" s="151">
        <f t="shared" si="12"/>
        <v>75</v>
      </c>
      <c r="AR87" s="95">
        <f t="shared" si="13"/>
        <v>75</v>
      </c>
      <c r="AT87" s="95">
        <f t="shared" si="14"/>
        <v>100</v>
      </c>
      <c r="AU87" s="95">
        <f t="array" ref="AU87">iferror(XLOOKUP(J87,Monetization!A:A,Monetization!B:B),25)</f>
        <v>25</v>
      </c>
      <c r="AW87" s="95">
        <f t="shared" si="15"/>
        <v>77.5</v>
      </c>
      <c r="AY87" s="149">
        <f t="shared" si="16"/>
        <v>47.7</v>
      </c>
      <c r="AZ87" s="95" t="str">
        <f t="shared" si="17"/>
        <v>25-50</v>
      </c>
      <c r="BA87" s="95" t="str">
        <f t="shared" si="18"/>
        <v>0-25</v>
      </c>
      <c r="BB87" s="152">
        <f t="array" ref="BB87">iferror(XLOOKUP(C87,Sheet9!A:A,Sheet9!D:D),0)</f>
        <v>0.1</v>
      </c>
      <c r="BC87" s="2">
        <v>1.0</v>
      </c>
      <c r="BD87" s="95">
        <f t="array" ref="BD87">XLOOKUP(C87,ROS!C:C,ROS!O:O)</f>
        <v>0</v>
      </c>
      <c r="BE87" s="147">
        <f t="array" ref="BE87">IFERROR(XLOOKUP(C87,ROS!T:T,ROS!U:U),"")</f>
        <v>0.125</v>
      </c>
      <c r="BF87" s="147">
        <f t="array" ref="BF87">XLOOKUP(R87,'Refrence Data'!B:B,'Refrence Data'!T:T)</f>
        <v>0.723732</v>
      </c>
      <c r="BG87" s="95">
        <f t="shared" si="19"/>
        <v>0</v>
      </c>
      <c r="BH87" s="4" t="str">
        <f t="shared" si="20"/>
        <v/>
      </c>
      <c r="BO87" s="153"/>
      <c r="BP87" s="153" t="str">
        <f t="shared" si="26"/>
        <v/>
      </c>
      <c r="BQ87" s="153"/>
      <c r="BR87" s="153"/>
      <c r="BS87" s="153"/>
    </row>
    <row r="88">
      <c r="A88" s="171">
        <v>8.904063259356E12</v>
      </c>
      <c r="B88" s="171" t="s">
        <v>3521</v>
      </c>
      <c r="C88" s="137" t="s">
        <v>934</v>
      </c>
      <c r="D88" s="138" t="s">
        <v>393</v>
      </c>
      <c r="E88" s="139" t="s">
        <v>435</v>
      </c>
      <c r="F88" s="140" t="s">
        <v>3569</v>
      </c>
      <c r="G88" s="141">
        <v>0.0</v>
      </c>
      <c r="H88" s="142">
        <v>14.03891</v>
      </c>
      <c r="I88" s="143" t="s">
        <v>112</v>
      </c>
      <c r="J88" s="83"/>
      <c r="K88" s="174">
        <v>548.0</v>
      </c>
      <c r="R88" s="145" t="str">
        <f t="shared" si="1"/>
        <v>Breads &amp; Bakes_10-15</v>
      </c>
      <c r="S88" s="146" t="str">
        <f t="shared" si="2"/>
        <v>10-15</v>
      </c>
      <c r="T88" s="95" t="str">
        <f t="array" ref="T88">XLOOKUP(C88,'Depth or Width'!P:P,'Depth or Width'!V:V)</f>
        <v>Depth</v>
      </c>
      <c r="U88" s="93">
        <f t="shared" si="3"/>
        <v>5</v>
      </c>
      <c r="V88" s="147">
        <f t="array" ref="V88">iferror(XLOOKUP(R88,'Refrence Data'!B:B,'Refrence Data'!W:W),"NA")</f>
        <v>3.906563</v>
      </c>
      <c r="W88" s="95">
        <f t="shared" si="4"/>
        <v>75</v>
      </c>
      <c r="Y88" s="148">
        <f t="array" ref="Y88">IFERROR(XLOOKUP(R88,'Refrence Data'!B:B,'Refrence Data'!N:N),"NA")</f>
        <v>0.638116</v>
      </c>
      <c r="Z88" s="95" t="str">
        <f t="shared" si="5"/>
        <v>MEDIUM</v>
      </c>
      <c r="AA88" s="147">
        <f t="array" ref="AA88">XLOOKUP(R88,'Refrence Data'!B:B,'Refrence Data'!AC:AC)</f>
        <v>1.874188</v>
      </c>
      <c r="AB88" s="147">
        <f t="array" ref="AB88">IFERROR(XLOOKUP(R88,'Refrence Data'!B:B,'Refrence Data'!Y:Y),"NA")</f>
        <v>3.187063</v>
      </c>
      <c r="AC88" s="95" t="str">
        <f t="shared" si="6"/>
        <v>High</v>
      </c>
      <c r="AD88" s="95" t="str">
        <f t="shared" si="7"/>
        <v>Depth</v>
      </c>
      <c r="AE88" s="95" t="str">
        <f t="shared" si="8"/>
        <v>MEDIUMHighDepth</v>
      </c>
      <c r="AF88" s="95">
        <f t="array" ref="AF88">XLOOKUP(AE88,'Category Saturation'!A:A,'Category Saturation'!E:E)</f>
        <v>60</v>
      </c>
      <c r="AH88" s="148">
        <f t="array" ref="AH88">iferror(XLOOKUP(R88,'New Launch Success Rate'!A:A,'New Launch Success Rate'!F:F),"NA")</f>
        <v>1</v>
      </c>
      <c r="AI88" s="95">
        <f t="shared" si="9"/>
        <v>100</v>
      </c>
      <c r="AK88" s="149">
        <f t="shared" si="10"/>
        <v>73</v>
      </c>
      <c r="AM88" s="150">
        <f t="array" ref="AM88">XLOOKUP(R88,'Non Moving'!C:C,'Non Moving'!I:I)/100</f>
        <v>0.042</v>
      </c>
      <c r="AN88" s="151">
        <f t="shared" si="11"/>
        <v>100</v>
      </c>
      <c r="AO88" s="150">
        <f t="array" ref="AO88">XLOOKUP(R88,'Non Moving'!C:C,'Non Moving'!F:F)/100</f>
        <v>0.119</v>
      </c>
      <c r="AP88" s="151">
        <f t="shared" si="12"/>
        <v>100</v>
      </c>
      <c r="AR88" s="95">
        <f t="shared" si="13"/>
        <v>100</v>
      </c>
      <c r="AT88" s="95">
        <f t="shared" si="14"/>
        <v>100</v>
      </c>
      <c r="AU88" s="95">
        <f t="array" ref="AU88">iferror(XLOOKUP(J88,Monetization!A:A,Monetization!B:B),25)</f>
        <v>25</v>
      </c>
      <c r="AW88" s="95">
        <f t="shared" si="15"/>
        <v>77.5</v>
      </c>
      <c r="AY88" s="149">
        <f t="shared" si="16"/>
        <v>84.7</v>
      </c>
      <c r="AZ88" s="95" t="str">
        <f t="shared" si="17"/>
        <v>75-100</v>
      </c>
      <c r="BA88" s="95" t="str">
        <f t="shared" si="18"/>
        <v>50-75</v>
      </c>
      <c r="BB88" s="152">
        <f t="array" ref="BB88">iferror(XLOOKUP(C88,Sheet9!A:A,Sheet9!D:D),0)</f>
        <v>0</v>
      </c>
      <c r="BC88" s="2">
        <v>1.0</v>
      </c>
      <c r="BD88" s="95">
        <f t="array" ref="BD88">XLOOKUP(C88,ROS!C:C,ROS!O:O)</f>
        <v>0</v>
      </c>
      <c r="BE88" s="147">
        <f t="array" ref="BE88">IFERROR(XLOOKUP(C88,ROS!T:T,ROS!U:U),"")</f>
        <v>0</v>
      </c>
      <c r="BF88" s="147">
        <f t="array" ref="BF88">XLOOKUP(R88,'Refrence Data'!B:B,'Refrence Data'!T:T)</f>
        <v>1.216569</v>
      </c>
      <c r="BG88" s="95">
        <f t="shared" si="19"/>
        <v>0</v>
      </c>
      <c r="BH88" s="4" t="str">
        <f t="shared" si="20"/>
        <v/>
      </c>
      <c r="BO88" s="153"/>
      <c r="BP88" s="153" t="str">
        <f t="shared" si="26"/>
        <v/>
      </c>
      <c r="BQ88" s="153"/>
      <c r="BR88" s="153"/>
      <c r="BS88" s="153"/>
    </row>
    <row r="89">
      <c r="A89" s="171">
        <v>504722.0</v>
      </c>
      <c r="B89" s="171" t="s">
        <v>3527</v>
      </c>
      <c r="C89" s="137" t="s">
        <v>1332</v>
      </c>
      <c r="D89" s="138" t="s">
        <v>439</v>
      </c>
      <c r="E89" s="139" t="s">
        <v>939</v>
      </c>
      <c r="F89" s="140" t="s">
        <v>3514</v>
      </c>
      <c r="G89" s="141">
        <v>0.0</v>
      </c>
      <c r="H89" s="142">
        <v>14.73816</v>
      </c>
      <c r="I89" s="143" t="s">
        <v>111</v>
      </c>
      <c r="J89" s="83"/>
      <c r="K89" s="174">
        <v>4.0</v>
      </c>
      <c r="R89" s="145" t="str">
        <f t="shared" si="1"/>
        <v>Vegetables_10-15</v>
      </c>
      <c r="S89" s="146" t="str">
        <f t="shared" si="2"/>
        <v>10-15</v>
      </c>
      <c r="T89" s="95" t="str">
        <f t="array" ref="T89">XLOOKUP(C89,'Depth or Width'!P:P,'Depth or Width'!V:V)</f>
        <v>Width</v>
      </c>
      <c r="U89" s="93">
        <f t="shared" si="3"/>
        <v>40</v>
      </c>
      <c r="V89" s="147">
        <f t="array" ref="V89">iferror(XLOOKUP(R89,'Refrence Data'!B:B,'Refrence Data'!W:W),"NA")</f>
        <v>23.59783</v>
      </c>
      <c r="W89" s="95">
        <f t="shared" si="4"/>
        <v>50</v>
      </c>
      <c r="Y89" s="148">
        <f t="array" ref="Y89">IFERROR(XLOOKUP(R89,'Refrence Data'!B:B,'Refrence Data'!N:N),"NA")</f>
        <v>0.768578</v>
      </c>
      <c r="Z89" s="95" t="str">
        <f t="shared" si="5"/>
        <v>HIGH</v>
      </c>
      <c r="AA89" s="147">
        <f t="array" ref="AA89">XLOOKUP(R89,'Refrence Data'!B:B,'Refrence Data'!AC:AC)</f>
        <v>14.18516</v>
      </c>
      <c r="AB89" s="147">
        <f t="array" ref="AB89">IFERROR(XLOOKUP(R89,'Refrence Data'!B:B,'Refrence Data'!Y:Y),"NA")</f>
        <v>50.02146</v>
      </c>
      <c r="AC89" s="95" t="str">
        <f t="shared" si="6"/>
        <v>High</v>
      </c>
      <c r="AD89" s="95" t="str">
        <f t="shared" si="7"/>
        <v>Width</v>
      </c>
      <c r="AE89" s="95" t="str">
        <f t="shared" si="8"/>
        <v>HIGHHighWidth</v>
      </c>
      <c r="AF89" s="95">
        <f t="array" ref="AF89">XLOOKUP(AE89,'Category Saturation'!A:A,'Category Saturation'!E:E)</f>
        <v>25</v>
      </c>
      <c r="AH89" s="148">
        <f t="array" ref="AH89">iferror(XLOOKUP(R89,'New Launch Success Rate'!A:A,'New Launch Success Rate'!F:F),"NA")</f>
        <v>0.50025</v>
      </c>
      <c r="AI89" s="95">
        <f t="shared" si="9"/>
        <v>50</v>
      </c>
      <c r="AK89" s="149">
        <f t="shared" si="10"/>
        <v>42.5</v>
      </c>
      <c r="AM89" s="150">
        <f t="array" ref="AM89">XLOOKUP(R89,'Non Moving'!C:C,'Non Moving'!I:I)/100</f>
        <v>0.004</v>
      </c>
      <c r="AN89" s="151">
        <f t="shared" si="11"/>
        <v>100</v>
      </c>
      <c r="AO89" s="150">
        <f t="array" ref="AO89">XLOOKUP(R89,'Non Moving'!C:C,'Non Moving'!F:F)/100</f>
        <v>0.034</v>
      </c>
      <c r="AP89" s="151">
        <f t="shared" si="12"/>
        <v>100</v>
      </c>
      <c r="AR89" s="95">
        <f t="shared" si="13"/>
        <v>100</v>
      </c>
      <c r="AT89" s="95">
        <f t="shared" si="14"/>
        <v>0</v>
      </c>
      <c r="AU89" s="95">
        <f t="array" ref="AU89">iferror(XLOOKUP(J89,Monetization!A:A,Monetization!B:B),25)</f>
        <v>25</v>
      </c>
      <c r="AW89" s="95">
        <f t="shared" si="15"/>
        <v>7.5</v>
      </c>
      <c r="AY89" s="149">
        <f t="shared" si="16"/>
        <v>58.5</v>
      </c>
      <c r="AZ89" s="95" t="str">
        <f t="shared" si="17"/>
        <v>50-75</v>
      </c>
      <c r="BA89" s="95" t="str">
        <f t="shared" si="18"/>
        <v>25-50</v>
      </c>
      <c r="BB89" s="152">
        <f t="array" ref="BB89">iferror(XLOOKUP(C89,Sheet9!A:A,Sheet9!D:D),0)</f>
        <v>0</v>
      </c>
      <c r="BC89" s="2">
        <v>1.0</v>
      </c>
      <c r="BD89" s="95">
        <f t="array" ref="BD89">XLOOKUP(C89,ROS!C:C,ROS!O:O)</f>
        <v>0</v>
      </c>
      <c r="BE89" s="147" t="str">
        <f t="array" ref="BE89">IFERROR(XLOOKUP(C89,ROS!T:T,ROS!U:U),"")</f>
        <v/>
      </c>
      <c r="BF89" s="147">
        <f t="array" ref="BF89">XLOOKUP(R89,'Refrence Data'!B:B,'Refrence Data'!T:T)</f>
        <v>2.153444</v>
      </c>
      <c r="BG89" s="95">
        <f t="shared" si="19"/>
        <v>0</v>
      </c>
      <c r="BH89" s="4" t="str">
        <f t="shared" si="20"/>
        <v/>
      </c>
      <c r="BO89" s="153"/>
      <c r="BP89" s="153" t="str">
        <f t="shared" si="26"/>
        <v/>
      </c>
      <c r="BQ89" s="153"/>
      <c r="BR89" s="153"/>
      <c r="BS89" s="153"/>
    </row>
    <row r="90">
      <c r="A90" s="171" t="s">
        <v>3570</v>
      </c>
      <c r="B90" s="171" t="s">
        <v>3513</v>
      </c>
      <c r="C90" s="137" t="s">
        <v>937</v>
      </c>
      <c r="D90" s="138" t="s">
        <v>439</v>
      </c>
      <c r="E90" s="139" t="s">
        <v>939</v>
      </c>
      <c r="F90" s="140" t="s">
        <v>3571</v>
      </c>
      <c r="G90" s="141">
        <v>0.0</v>
      </c>
      <c r="H90" s="142">
        <v>7.454265</v>
      </c>
      <c r="I90" s="143" t="s">
        <v>111</v>
      </c>
      <c r="J90" s="83"/>
      <c r="K90" s="174">
        <v>3.0</v>
      </c>
      <c r="R90" s="145" t="str">
        <f t="shared" si="1"/>
        <v>Vegetables_5-10</v>
      </c>
      <c r="S90" s="146" t="str">
        <f t="shared" si="2"/>
        <v>5-10</v>
      </c>
      <c r="T90" s="95" t="str">
        <f t="array" ref="T90">XLOOKUP(C90,'Depth or Width'!P:P,'Depth or Width'!V:V)</f>
        <v>Depth</v>
      </c>
      <c r="U90" s="93">
        <f t="shared" si="3"/>
        <v>53.33333333</v>
      </c>
      <c r="V90" s="147">
        <f t="array" ref="V90">iferror(XLOOKUP(R90,'Refrence Data'!B:B,'Refrence Data'!W:W),"NA")</f>
        <v>50.13541</v>
      </c>
      <c r="W90" s="95">
        <f t="shared" si="4"/>
        <v>75</v>
      </c>
      <c r="Y90" s="148">
        <f t="array" ref="Y90">IFERROR(XLOOKUP(R90,'Refrence Data'!B:B,'Refrence Data'!N:N),"NA")</f>
        <v>0.677619</v>
      </c>
      <c r="Z90" s="95" t="str">
        <f t="shared" si="5"/>
        <v>MEDIUM</v>
      </c>
      <c r="AA90" s="147">
        <f t="array" ref="AA90">XLOOKUP(R90,'Refrence Data'!B:B,'Refrence Data'!AC:AC)</f>
        <v>14.18516</v>
      </c>
      <c r="AB90" s="147">
        <f t="array" ref="AB90">IFERROR(XLOOKUP(R90,'Refrence Data'!B:B,'Refrence Data'!Y:Y),"NA")</f>
        <v>62.17994</v>
      </c>
      <c r="AC90" s="95" t="str">
        <f t="shared" si="6"/>
        <v>High</v>
      </c>
      <c r="AD90" s="95" t="str">
        <f t="shared" si="7"/>
        <v>Depth</v>
      </c>
      <c r="AE90" s="95" t="str">
        <f t="shared" si="8"/>
        <v>MEDIUMHighDepth</v>
      </c>
      <c r="AF90" s="95">
        <f t="array" ref="AF90">XLOOKUP(AE90,'Category Saturation'!A:A,'Category Saturation'!E:E)</f>
        <v>60</v>
      </c>
      <c r="AH90" s="148">
        <f t="array" ref="AH90">iferror(XLOOKUP(R90,'New Launch Success Rate'!A:A,'New Launch Success Rate'!F:F),"NA")</f>
        <v>0.375</v>
      </c>
      <c r="AI90" s="95">
        <f t="shared" si="9"/>
        <v>25</v>
      </c>
      <c r="AK90" s="149">
        <f t="shared" si="10"/>
        <v>65.5</v>
      </c>
      <c r="AM90" s="150">
        <f t="array" ref="AM90">XLOOKUP(R90,'Non Moving'!C:C,'Non Moving'!I:I)/100</f>
        <v>0.003</v>
      </c>
      <c r="AN90" s="151">
        <f t="shared" si="11"/>
        <v>100</v>
      </c>
      <c r="AO90" s="150">
        <f t="array" ref="AO90">XLOOKUP(R90,'Non Moving'!C:C,'Non Moving'!F:F)/100</f>
        <v>0.021</v>
      </c>
      <c r="AP90" s="151">
        <f t="shared" si="12"/>
        <v>100</v>
      </c>
      <c r="AR90" s="95">
        <f t="shared" si="13"/>
        <v>100</v>
      </c>
      <c r="AT90" s="95">
        <f t="shared" si="14"/>
        <v>0</v>
      </c>
      <c r="AU90" s="95">
        <f t="array" ref="AU90">iferror(XLOOKUP(J90,Monetization!A:A,Monetization!B:B),25)</f>
        <v>25</v>
      </c>
      <c r="AW90" s="95">
        <f t="shared" si="15"/>
        <v>7.5</v>
      </c>
      <c r="AY90" s="149">
        <f t="shared" si="16"/>
        <v>67.7</v>
      </c>
      <c r="AZ90" s="95" t="str">
        <f t="shared" si="17"/>
        <v>50-75</v>
      </c>
      <c r="BA90" s="95" t="str">
        <f t="shared" si="18"/>
        <v>50-75</v>
      </c>
      <c r="BB90" s="152">
        <f t="array" ref="BB90">iferror(XLOOKUP(C90,Sheet9!A:A,Sheet9!D:D),0)</f>
        <v>0.85</v>
      </c>
      <c r="BC90" s="2">
        <v>1.0</v>
      </c>
      <c r="BD90" s="95">
        <f t="array" ref="BD90">XLOOKUP(C90,ROS!C:C,ROS!O:O)</f>
        <v>171.9474</v>
      </c>
      <c r="BE90" s="147">
        <f t="array" ref="BE90">IFERROR(XLOOKUP(C90,ROS!T:T,ROS!U:U),"")</f>
        <v>205.9595405</v>
      </c>
      <c r="BF90" s="147">
        <f t="array" ref="BF90">XLOOKUP(R90,'Refrence Data'!B:B,'Refrence Data'!T:T)</f>
        <v>13.69032</v>
      </c>
      <c r="BG90" s="95">
        <f t="shared" si="19"/>
        <v>1</v>
      </c>
      <c r="BH90" s="4" t="str">
        <f t="shared" si="20"/>
        <v>TP</v>
      </c>
      <c r="BO90" s="153"/>
      <c r="BP90" s="153" t="str">
        <f t="shared" si="26"/>
        <v>TP</v>
      </c>
      <c r="BQ90" s="153"/>
      <c r="BR90" s="153"/>
      <c r="BS90" s="153"/>
    </row>
    <row r="91">
      <c r="A91" s="171" t="s">
        <v>3572</v>
      </c>
      <c r="B91" s="171" t="s">
        <v>3527</v>
      </c>
      <c r="C91" s="137" t="s">
        <v>941</v>
      </c>
      <c r="D91" s="138" t="s">
        <v>439</v>
      </c>
      <c r="E91" s="139" t="s">
        <v>939</v>
      </c>
      <c r="F91" s="140" t="s">
        <v>3573</v>
      </c>
      <c r="G91" s="141">
        <v>0.0</v>
      </c>
      <c r="H91" s="142">
        <v>12.74957</v>
      </c>
      <c r="I91" s="143" t="s">
        <v>111</v>
      </c>
      <c r="J91" s="83"/>
      <c r="K91" s="174">
        <v>4.0</v>
      </c>
      <c r="R91" s="145" t="str">
        <f t="shared" si="1"/>
        <v>Vegetables_10-15</v>
      </c>
      <c r="S91" s="146" t="str">
        <f t="shared" si="2"/>
        <v>10-15</v>
      </c>
      <c r="T91" s="95" t="str">
        <f t="array" ref="T91">XLOOKUP(C91,'Depth or Width'!P:P,'Depth or Width'!V:V)</f>
        <v>Depth</v>
      </c>
      <c r="U91" s="93">
        <f t="shared" si="3"/>
        <v>40</v>
      </c>
      <c r="V91" s="147">
        <f t="array" ref="V91">iferror(XLOOKUP(R91,'Refrence Data'!B:B,'Refrence Data'!W:W),"NA")</f>
        <v>23.59783</v>
      </c>
      <c r="W91" s="95">
        <f t="shared" si="4"/>
        <v>50</v>
      </c>
      <c r="Y91" s="148">
        <f t="array" ref="Y91">IFERROR(XLOOKUP(R91,'Refrence Data'!B:B,'Refrence Data'!N:N),"NA")</f>
        <v>0.768578</v>
      </c>
      <c r="Z91" s="95" t="str">
        <f t="shared" si="5"/>
        <v>HIGH</v>
      </c>
      <c r="AA91" s="147">
        <f t="array" ref="AA91">XLOOKUP(R91,'Refrence Data'!B:B,'Refrence Data'!AC:AC)</f>
        <v>14.18516</v>
      </c>
      <c r="AB91" s="147">
        <f t="array" ref="AB91">IFERROR(XLOOKUP(R91,'Refrence Data'!B:B,'Refrence Data'!Y:Y),"NA")</f>
        <v>50.02146</v>
      </c>
      <c r="AC91" s="95" t="str">
        <f t="shared" si="6"/>
        <v>High</v>
      </c>
      <c r="AD91" s="95" t="str">
        <f t="shared" si="7"/>
        <v>Depth</v>
      </c>
      <c r="AE91" s="95" t="str">
        <f t="shared" si="8"/>
        <v>HIGHHighDepth</v>
      </c>
      <c r="AF91" s="95">
        <f t="array" ref="AF91">XLOOKUP(AE91,'Category Saturation'!A:A,'Category Saturation'!E:E)</f>
        <v>0</v>
      </c>
      <c r="AH91" s="148">
        <f t="array" ref="AH91">iferror(XLOOKUP(R91,'New Launch Success Rate'!A:A,'New Launch Success Rate'!F:F),"NA")</f>
        <v>0.50025</v>
      </c>
      <c r="AI91" s="95">
        <f t="shared" si="9"/>
        <v>50</v>
      </c>
      <c r="AK91" s="149">
        <f t="shared" si="10"/>
        <v>35</v>
      </c>
      <c r="AM91" s="150">
        <f t="array" ref="AM91">XLOOKUP(R91,'Non Moving'!C:C,'Non Moving'!I:I)/100</f>
        <v>0.004</v>
      </c>
      <c r="AN91" s="151">
        <f t="shared" si="11"/>
        <v>100</v>
      </c>
      <c r="AO91" s="150">
        <f t="array" ref="AO91">XLOOKUP(R91,'Non Moving'!C:C,'Non Moving'!F:F)/100</f>
        <v>0.034</v>
      </c>
      <c r="AP91" s="151">
        <f t="shared" si="12"/>
        <v>100</v>
      </c>
      <c r="AR91" s="95">
        <f t="shared" si="13"/>
        <v>100</v>
      </c>
      <c r="AT91" s="95">
        <f t="shared" si="14"/>
        <v>0</v>
      </c>
      <c r="AU91" s="95">
        <f t="array" ref="AU91">iferror(XLOOKUP(J91,Monetization!A:A,Monetization!B:B),25)</f>
        <v>25</v>
      </c>
      <c r="AW91" s="95">
        <f t="shared" si="15"/>
        <v>7.5</v>
      </c>
      <c r="AY91" s="149">
        <f t="shared" si="16"/>
        <v>55.5</v>
      </c>
      <c r="AZ91" s="95" t="str">
        <f t="shared" si="17"/>
        <v>50-75</v>
      </c>
      <c r="BA91" s="95" t="str">
        <f t="shared" si="18"/>
        <v>25-50</v>
      </c>
      <c r="BB91" s="152">
        <f t="array" ref="BB91">iferror(XLOOKUP(C91,Sheet9!A:A,Sheet9!D:D),0)</f>
        <v>0.92</v>
      </c>
      <c r="BC91" s="2">
        <v>1.0</v>
      </c>
      <c r="BD91" s="95">
        <f t="array" ref="BD91">XLOOKUP(C91,ROS!C:C,ROS!O:O)</f>
        <v>231.3158</v>
      </c>
      <c r="BE91" s="147">
        <f t="array" ref="BE91">IFERROR(XLOOKUP(C91,ROS!T:T,ROS!U:U),"")</f>
        <v>75.8044511</v>
      </c>
      <c r="BF91" s="147">
        <f t="array" ref="BF91">XLOOKUP(R91,'Refrence Data'!B:B,'Refrence Data'!T:T)</f>
        <v>2.153444</v>
      </c>
      <c r="BG91" s="95">
        <f t="shared" si="19"/>
        <v>1</v>
      </c>
      <c r="BH91" s="4" t="str">
        <f t="shared" si="20"/>
        <v>FN</v>
      </c>
      <c r="BO91" s="153"/>
      <c r="BP91" s="153" t="str">
        <f t="shared" si="26"/>
        <v>TP</v>
      </c>
      <c r="BQ91" s="153"/>
      <c r="BR91" s="153"/>
      <c r="BS91" s="153"/>
    </row>
    <row r="92">
      <c r="A92" s="171" t="e">
        <v>#N/A</v>
      </c>
      <c r="B92" s="171" t="s">
        <v>3527</v>
      </c>
      <c r="C92" s="137" t="s">
        <v>3574</v>
      </c>
      <c r="D92" s="138" t="s">
        <v>439</v>
      </c>
      <c r="E92" s="139" t="s">
        <v>939</v>
      </c>
      <c r="F92" s="140" t="s">
        <v>3575</v>
      </c>
      <c r="G92" s="141">
        <v>0.0</v>
      </c>
      <c r="H92" s="142">
        <v>7.862158</v>
      </c>
      <c r="I92" s="143" t="s">
        <v>111</v>
      </c>
      <c r="J92" s="83"/>
      <c r="K92" s="174">
        <v>5.0</v>
      </c>
      <c r="R92" s="145" t="str">
        <f t="shared" si="1"/>
        <v>Vegetables_5-10</v>
      </c>
      <c r="S92" s="146" t="str">
        <f t="shared" si="2"/>
        <v>5-10</v>
      </c>
      <c r="T92" s="95" t="str">
        <f t="array" ref="T92">XLOOKUP(C92,'Depth or Width'!P:P,'Depth or Width'!V:V)</f>
        <v>#N/A</v>
      </c>
      <c r="U92" s="93">
        <f t="shared" si="3"/>
        <v>32</v>
      </c>
      <c r="V92" s="147">
        <f t="array" ref="V92">iferror(XLOOKUP(R92,'Refrence Data'!B:B,'Refrence Data'!W:W),"NA")</f>
        <v>50.13541</v>
      </c>
      <c r="W92" s="95">
        <f t="shared" si="4"/>
        <v>100</v>
      </c>
      <c r="Y92" s="148">
        <f t="array" ref="Y92">IFERROR(XLOOKUP(R92,'Refrence Data'!B:B,'Refrence Data'!N:N),"NA")</f>
        <v>0.677619</v>
      </c>
      <c r="Z92" s="95" t="str">
        <f t="shared" si="5"/>
        <v>MEDIUM</v>
      </c>
      <c r="AA92" s="147">
        <f t="array" ref="AA92">XLOOKUP(R92,'Refrence Data'!B:B,'Refrence Data'!AC:AC)</f>
        <v>14.18516</v>
      </c>
      <c r="AB92" s="147">
        <f t="array" ref="AB92">IFERROR(XLOOKUP(R92,'Refrence Data'!B:B,'Refrence Data'!Y:Y),"NA")</f>
        <v>62.17994</v>
      </c>
      <c r="AC92" s="95" t="str">
        <f t="shared" si="6"/>
        <v>High</v>
      </c>
      <c r="AD92" s="95" t="str">
        <f t="shared" si="7"/>
        <v>#N/A</v>
      </c>
      <c r="AE92" s="95" t="str">
        <f t="shared" si="8"/>
        <v>#N/A</v>
      </c>
      <c r="AF92" s="95" t="str">
        <f t="array" ref="AF92">XLOOKUP(AE92,'Category Saturation'!A:A,'Category Saturation'!E:E)</f>
        <v>#N/A</v>
      </c>
      <c r="AH92" s="148">
        <f t="array" ref="AH92">iferror(XLOOKUP(R92,'New Launch Success Rate'!A:A,'New Launch Success Rate'!F:F),"NA")</f>
        <v>0.375</v>
      </c>
      <c r="AI92" s="95">
        <f t="shared" si="9"/>
        <v>25</v>
      </c>
      <c r="AK92" s="149" t="str">
        <f t="shared" si="10"/>
        <v>#N/A</v>
      </c>
      <c r="AM92" s="150">
        <f t="array" ref="AM92">XLOOKUP(R92,'Non Moving'!C:C,'Non Moving'!I:I)/100</f>
        <v>0.003</v>
      </c>
      <c r="AN92" s="151">
        <f t="shared" si="11"/>
        <v>100</v>
      </c>
      <c r="AO92" s="150">
        <f t="array" ref="AO92">XLOOKUP(R92,'Non Moving'!C:C,'Non Moving'!F:F)/100</f>
        <v>0.021</v>
      </c>
      <c r="AP92" s="151">
        <f t="shared" si="12"/>
        <v>100</v>
      </c>
      <c r="AR92" s="95">
        <f t="shared" si="13"/>
        <v>100</v>
      </c>
      <c r="AT92" s="95">
        <f t="shared" si="14"/>
        <v>0</v>
      </c>
      <c r="AU92" s="95">
        <f t="array" ref="AU92">iferror(XLOOKUP(J92,Monetization!A:A,Monetization!B:B),25)</f>
        <v>25</v>
      </c>
      <c r="AW92" s="95">
        <f t="shared" si="15"/>
        <v>7.5</v>
      </c>
      <c r="AY92" s="149" t="str">
        <f t="shared" si="16"/>
        <v>#N/A</v>
      </c>
      <c r="AZ92" s="95" t="str">
        <f t="shared" si="17"/>
        <v>#N/A</v>
      </c>
      <c r="BA92" s="95" t="str">
        <f t="shared" si="18"/>
        <v>#N/A</v>
      </c>
      <c r="BB92" s="152">
        <f t="array" ref="BB92">iferror(XLOOKUP(C92,Sheet9!A:A,Sheet9!D:D),0)</f>
        <v>0.75</v>
      </c>
      <c r="BC92" s="2">
        <v>1.0</v>
      </c>
      <c r="BD92" s="95">
        <f t="array" ref="BD92">XLOOKUP(C92,ROS!C:C,ROS!O:O)</f>
        <v>97.67084</v>
      </c>
      <c r="BE92" s="147" t="str">
        <f t="array" ref="BE92">IFERROR(XLOOKUP(C92,ROS!T:T,ROS!U:U),"")</f>
        <v/>
      </c>
      <c r="BF92" s="147">
        <f t="array" ref="BF92">XLOOKUP(R92,'Refrence Data'!B:B,'Refrence Data'!T:T)</f>
        <v>13.69032</v>
      </c>
      <c r="BG92" s="95">
        <f t="shared" si="19"/>
        <v>1</v>
      </c>
      <c r="BH92" s="4" t="str">
        <f t="shared" si="20"/>
        <v>#N/A</v>
      </c>
      <c r="BO92" s="153"/>
      <c r="BP92" s="153" t="str">
        <f t="shared" si="26"/>
        <v>#N/A</v>
      </c>
      <c r="BQ92" s="153"/>
      <c r="BR92" s="153"/>
      <c r="BS92" s="153"/>
    </row>
    <row r="93">
      <c r="A93" s="171">
        <v>504744.0</v>
      </c>
      <c r="B93" s="171" t="s">
        <v>3527</v>
      </c>
      <c r="C93" s="137" t="s">
        <v>1335</v>
      </c>
      <c r="D93" s="138" t="s">
        <v>439</v>
      </c>
      <c r="E93" s="139" t="s">
        <v>2267</v>
      </c>
      <c r="F93" s="140" t="s">
        <v>3576</v>
      </c>
      <c r="G93" s="141">
        <v>0.0</v>
      </c>
      <c r="H93" s="142">
        <v>16.28713</v>
      </c>
      <c r="I93" s="143" t="s">
        <v>111</v>
      </c>
      <c r="J93" s="83"/>
      <c r="K93" s="174">
        <v>4.0</v>
      </c>
      <c r="R93" s="145" t="str">
        <f t="shared" si="1"/>
        <v>Fruits_15-20</v>
      </c>
      <c r="S93" s="146" t="str">
        <f t="shared" si="2"/>
        <v>15-20</v>
      </c>
      <c r="T93" s="95" t="str">
        <f t="array" ref="T93">XLOOKUP(C93,'Depth or Width'!P:P,'Depth or Width'!V:V)</f>
        <v>Width</v>
      </c>
      <c r="U93" s="93">
        <f t="shared" si="3"/>
        <v>40</v>
      </c>
      <c r="V93" s="147">
        <f t="array" ref="V93">iferror(XLOOKUP(R93,'Refrence Data'!B:B,'Refrence Data'!W:W),"NA")</f>
        <v>27.96219</v>
      </c>
      <c r="W93" s="95">
        <f t="shared" si="4"/>
        <v>50</v>
      </c>
      <c r="Y93" s="148">
        <f t="array" ref="Y93">IFERROR(XLOOKUP(R93,'Refrence Data'!B:B,'Refrence Data'!N:N),"NA")</f>
        <v>0.818071</v>
      </c>
      <c r="Z93" s="95" t="str">
        <f t="shared" si="5"/>
        <v>HIGH</v>
      </c>
      <c r="AA93" s="147">
        <f t="array" ref="AA93">XLOOKUP(R93,'Refrence Data'!B:B,'Refrence Data'!AC:AC)</f>
        <v>31.48961</v>
      </c>
      <c r="AB93" s="147">
        <f t="array" ref="AB93">IFERROR(XLOOKUP(R93,'Refrence Data'!B:B,'Refrence Data'!Y:Y),"NA")</f>
        <v>27.71601</v>
      </c>
      <c r="AC93" s="95" t="str">
        <f t="shared" si="6"/>
        <v>High</v>
      </c>
      <c r="AD93" s="95" t="str">
        <f t="shared" si="7"/>
        <v>Width</v>
      </c>
      <c r="AE93" s="95" t="str">
        <f t="shared" si="8"/>
        <v>HIGHHighWidth</v>
      </c>
      <c r="AF93" s="95">
        <f t="array" ref="AF93">XLOOKUP(AE93,'Category Saturation'!A:A,'Category Saturation'!E:E)</f>
        <v>25</v>
      </c>
      <c r="AH93" s="148">
        <f t="array" ref="AH93">iferror(XLOOKUP(R93,'New Launch Success Rate'!A:A,'New Launch Success Rate'!F:F),"NA")</f>
        <v>0.375</v>
      </c>
      <c r="AI93" s="95">
        <f t="shared" si="9"/>
        <v>25</v>
      </c>
      <c r="AK93" s="149">
        <f t="shared" si="10"/>
        <v>40</v>
      </c>
      <c r="AM93" s="150">
        <f t="array" ref="AM93">XLOOKUP(R93,'Non Moving'!C:C,'Non Moving'!I:I)/100</f>
        <v>0.015</v>
      </c>
      <c r="AN93" s="151">
        <f t="shared" si="11"/>
        <v>100</v>
      </c>
      <c r="AO93" s="150">
        <f t="array" ref="AO93">XLOOKUP(R93,'Non Moving'!C:C,'Non Moving'!F:F)/100</f>
        <v>0.054</v>
      </c>
      <c r="AP93" s="151">
        <f t="shared" si="12"/>
        <v>100</v>
      </c>
      <c r="AR93" s="95">
        <f t="shared" si="13"/>
        <v>100</v>
      </c>
      <c r="AT93" s="95">
        <f t="shared" si="14"/>
        <v>0</v>
      </c>
      <c r="AU93" s="95">
        <f t="array" ref="AU93">iferror(XLOOKUP(J93,Monetization!A:A,Monetization!B:B),25)</f>
        <v>25</v>
      </c>
      <c r="AW93" s="95">
        <f t="shared" si="15"/>
        <v>7.5</v>
      </c>
      <c r="AY93" s="149">
        <f t="shared" si="16"/>
        <v>57.5</v>
      </c>
      <c r="AZ93" s="95" t="str">
        <f t="shared" si="17"/>
        <v>50-75</v>
      </c>
      <c r="BA93" s="95" t="str">
        <f t="shared" si="18"/>
        <v>25-50</v>
      </c>
      <c r="BB93" s="152">
        <f t="array" ref="BB93">iferror(XLOOKUP(C93,Sheet9!A:A,Sheet9!D:D),0)</f>
        <v>0</v>
      </c>
      <c r="BC93" s="2">
        <v>1.0</v>
      </c>
      <c r="BD93" s="95">
        <f t="array" ref="BD93">XLOOKUP(C93,ROS!C:C,ROS!O:O)</f>
        <v>0</v>
      </c>
      <c r="BE93" s="147" t="str">
        <f t="array" ref="BE93">IFERROR(XLOOKUP(C93,ROS!T:T,ROS!U:U),"")</f>
        <v/>
      </c>
      <c r="BF93" s="147">
        <f t="array" ref="BF93">XLOOKUP(R93,'Refrence Data'!B:B,'Refrence Data'!T:T)</f>
        <v>3.43846</v>
      </c>
      <c r="BG93" s="95">
        <f t="shared" si="19"/>
        <v>0</v>
      </c>
      <c r="BH93" s="4" t="str">
        <f t="shared" si="20"/>
        <v/>
      </c>
      <c r="BO93" s="153"/>
      <c r="BP93" s="153" t="str">
        <f t="shared" si="26"/>
        <v/>
      </c>
      <c r="BQ93" s="153"/>
      <c r="BR93" s="153"/>
      <c r="BS93" s="153"/>
    </row>
    <row r="94">
      <c r="A94" s="171">
        <v>1.0120432E7</v>
      </c>
      <c r="B94" s="171" t="s">
        <v>3527</v>
      </c>
      <c r="C94" s="137" t="s">
        <v>1336</v>
      </c>
      <c r="D94" s="138" t="s">
        <v>439</v>
      </c>
      <c r="E94" s="139" t="s">
        <v>939</v>
      </c>
      <c r="F94" s="140" t="s">
        <v>3575</v>
      </c>
      <c r="G94" s="141">
        <v>0.0</v>
      </c>
      <c r="H94" s="142">
        <v>5.495657</v>
      </c>
      <c r="I94" s="143" t="s">
        <v>111</v>
      </c>
      <c r="J94" s="83"/>
      <c r="K94" s="174">
        <v>5.0</v>
      </c>
      <c r="R94" s="145" t="str">
        <f t="shared" si="1"/>
        <v>Vegetables_5-10</v>
      </c>
      <c r="S94" s="146" t="str">
        <f t="shared" si="2"/>
        <v>5-10</v>
      </c>
      <c r="T94" s="95" t="str">
        <f t="array" ref="T94">XLOOKUP(C94,'Depth or Width'!P:P,'Depth or Width'!V:V)</f>
        <v>Width</v>
      </c>
      <c r="U94" s="93">
        <f t="shared" si="3"/>
        <v>32</v>
      </c>
      <c r="V94" s="147">
        <f t="array" ref="V94">iferror(XLOOKUP(R94,'Refrence Data'!B:B,'Refrence Data'!W:W),"NA")</f>
        <v>50.13541</v>
      </c>
      <c r="W94" s="95">
        <f t="shared" si="4"/>
        <v>100</v>
      </c>
      <c r="Y94" s="148">
        <f t="array" ref="Y94">IFERROR(XLOOKUP(R94,'Refrence Data'!B:B,'Refrence Data'!N:N),"NA")</f>
        <v>0.677619</v>
      </c>
      <c r="Z94" s="95" t="str">
        <f t="shared" si="5"/>
        <v>MEDIUM</v>
      </c>
      <c r="AA94" s="147">
        <f t="array" ref="AA94">XLOOKUP(R94,'Refrence Data'!B:B,'Refrence Data'!AC:AC)</f>
        <v>14.18516</v>
      </c>
      <c r="AB94" s="147">
        <f t="array" ref="AB94">IFERROR(XLOOKUP(R94,'Refrence Data'!B:B,'Refrence Data'!Y:Y),"NA")</f>
        <v>62.17994</v>
      </c>
      <c r="AC94" s="95" t="str">
        <f t="shared" si="6"/>
        <v>High</v>
      </c>
      <c r="AD94" s="95" t="str">
        <f t="shared" si="7"/>
        <v>Width</v>
      </c>
      <c r="AE94" s="95" t="str">
        <f t="shared" si="8"/>
        <v>MEDIUMHighWidth</v>
      </c>
      <c r="AF94" s="95">
        <f t="array" ref="AF94">XLOOKUP(AE94,'Category Saturation'!A:A,'Category Saturation'!E:E)</f>
        <v>10</v>
      </c>
      <c r="AH94" s="148">
        <f t="array" ref="AH94">iferror(XLOOKUP(R94,'New Launch Success Rate'!A:A,'New Launch Success Rate'!F:F),"NA")</f>
        <v>0.375</v>
      </c>
      <c r="AI94" s="95">
        <f t="shared" si="9"/>
        <v>25</v>
      </c>
      <c r="AK94" s="149">
        <f t="shared" si="10"/>
        <v>65.5</v>
      </c>
      <c r="AM94" s="150">
        <f t="array" ref="AM94">XLOOKUP(R94,'Non Moving'!C:C,'Non Moving'!I:I)/100</f>
        <v>0.003</v>
      </c>
      <c r="AN94" s="151">
        <f t="shared" si="11"/>
        <v>100</v>
      </c>
      <c r="AO94" s="150">
        <f t="array" ref="AO94">XLOOKUP(R94,'Non Moving'!C:C,'Non Moving'!F:F)/100</f>
        <v>0.021</v>
      </c>
      <c r="AP94" s="151">
        <f t="shared" si="12"/>
        <v>100</v>
      </c>
      <c r="AR94" s="95">
        <f t="shared" si="13"/>
        <v>100</v>
      </c>
      <c r="AT94" s="95">
        <f t="shared" si="14"/>
        <v>0</v>
      </c>
      <c r="AU94" s="95">
        <f t="array" ref="AU94">iferror(XLOOKUP(J94,Monetization!A:A,Monetization!B:B),25)</f>
        <v>25</v>
      </c>
      <c r="AW94" s="95">
        <f t="shared" si="15"/>
        <v>7.5</v>
      </c>
      <c r="AY94" s="149">
        <f t="shared" si="16"/>
        <v>67.7</v>
      </c>
      <c r="AZ94" s="95" t="str">
        <f t="shared" si="17"/>
        <v>50-75</v>
      </c>
      <c r="BA94" s="95" t="str">
        <f t="shared" si="18"/>
        <v>50-75</v>
      </c>
      <c r="BB94" s="152">
        <f t="array" ref="BB94">iferror(XLOOKUP(C94,Sheet9!A:A,Sheet9!D:D),0)</f>
        <v>0</v>
      </c>
      <c r="BC94" s="2">
        <v>1.0</v>
      </c>
      <c r="BD94" s="95">
        <f t="array" ref="BD94">XLOOKUP(C94,ROS!C:C,ROS!O:O)</f>
        <v>0</v>
      </c>
      <c r="BE94" s="147" t="str">
        <f t="array" ref="BE94">IFERROR(XLOOKUP(C94,ROS!T:T,ROS!U:U),"")</f>
        <v/>
      </c>
      <c r="BF94" s="147">
        <f t="array" ref="BF94">XLOOKUP(R94,'Refrence Data'!B:B,'Refrence Data'!T:T)</f>
        <v>13.69032</v>
      </c>
      <c r="BG94" s="95">
        <f t="shared" si="19"/>
        <v>0</v>
      </c>
      <c r="BH94" s="4" t="str">
        <f t="shared" si="20"/>
        <v/>
      </c>
      <c r="BO94" s="153"/>
      <c r="BP94" s="153" t="str">
        <f t="shared" si="26"/>
        <v/>
      </c>
      <c r="BQ94" s="153"/>
      <c r="BR94" s="153"/>
      <c r="BS94" s="153"/>
    </row>
    <row r="95">
      <c r="A95" s="171">
        <v>7.33739037756E11</v>
      </c>
      <c r="B95" s="171" t="s">
        <v>3521</v>
      </c>
      <c r="C95" s="137" t="s">
        <v>942</v>
      </c>
      <c r="D95" s="138" t="s">
        <v>444</v>
      </c>
      <c r="E95" s="139" t="s">
        <v>445</v>
      </c>
      <c r="F95" s="140" t="s">
        <v>3577</v>
      </c>
      <c r="G95" s="141">
        <v>1.0</v>
      </c>
      <c r="H95" s="142">
        <v>44.88147</v>
      </c>
      <c r="I95" s="143" t="s">
        <v>111</v>
      </c>
      <c r="J95" s="83"/>
      <c r="K95" s="174">
        <v>365.0</v>
      </c>
      <c r="R95" s="145" t="str">
        <f t="shared" si="1"/>
        <v>Vitamins &amp; Supplements_25+</v>
      </c>
      <c r="S95" s="146" t="str">
        <f t="shared" si="2"/>
        <v>25+</v>
      </c>
      <c r="T95" s="95" t="str">
        <f t="array" ref="T95">XLOOKUP(C95,'Depth or Width'!P:P,'Depth or Width'!V:V)</f>
        <v>Depth</v>
      </c>
      <c r="U95" s="93">
        <f t="shared" si="3"/>
        <v>5</v>
      </c>
      <c r="V95" s="147">
        <f t="array" ref="V95">iferror(XLOOKUP(R95,'Refrence Data'!B:B,'Refrence Data'!W:W),"NA")</f>
        <v>0.660562</v>
      </c>
      <c r="W95" s="95">
        <f t="shared" si="4"/>
        <v>0</v>
      </c>
      <c r="Y95" s="148">
        <f t="array" ref="Y95">IFERROR(XLOOKUP(R95,'Refrence Data'!B:B,'Refrence Data'!N:N),"NA")</f>
        <v>0.627431</v>
      </c>
      <c r="Z95" s="95" t="str">
        <f t="shared" si="5"/>
        <v>MEDIUM</v>
      </c>
      <c r="AA95" s="147">
        <f t="array" ref="AA95">XLOOKUP(R95,'Refrence Data'!B:B,'Refrence Data'!AC:AC)</f>
        <v>3.58708</v>
      </c>
      <c r="AB95" s="147">
        <f t="array" ref="AB95">IFERROR(XLOOKUP(R95,'Refrence Data'!B:B,'Refrence Data'!Y:Y),"NA")</f>
        <v>1.003368</v>
      </c>
      <c r="AC95" s="95" t="str">
        <f t="shared" si="6"/>
        <v>Low</v>
      </c>
      <c r="AD95" s="95" t="str">
        <f t="shared" si="7"/>
        <v>Depth</v>
      </c>
      <c r="AE95" s="95" t="str">
        <f t="shared" si="8"/>
        <v>MEDIUMLowDepth</v>
      </c>
      <c r="AF95" s="95">
        <f t="array" ref="AF95">XLOOKUP(AE95,'Category Saturation'!A:A,'Category Saturation'!E:E)</f>
        <v>50</v>
      </c>
      <c r="AH95" s="148">
        <f t="array" ref="AH95">iferror(XLOOKUP(R95,'New Launch Success Rate'!A:A,'New Launch Success Rate'!F:F),"NA")</f>
        <v>0.867</v>
      </c>
      <c r="AI95" s="95">
        <f t="shared" si="9"/>
        <v>100</v>
      </c>
      <c r="AK95" s="149">
        <f t="shared" si="10"/>
        <v>25</v>
      </c>
      <c r="AM95" s="150">
        <f t="array" ref="AM95">XLOOKUP(R95,'Non Moving'!C:C,'Non Moving'!I:I)/100</f>
        <v>0.37</v>
      </c>
      <c r="AN95" s="151">
        <f t="shared" si="11"/>
        <v>0</v>
      </c>
      <c r="AO95" s="150">
        <f t="array" ref="AO95">XLOOKUP(R95,'Non Moving'!C:C,'Non Moving'!F:F)/100</f>
        <v>0.477</v>
      </c>
      <c r="AP95" s="151">
        <f t="shared" si="12"/>
        <v>0</v>
      </c>
      <c r="AR95" s="95">
        <f t="shared" si="13"/>
        <v>0</v>
      </c>
      <c r="AT95" s="95">
        <f t="shared" si="14"/>
        <v>0</v>
      </c>
      <c r="AU95" s="95">
        <f t="array" ref="AU95">iferror(XLOOKUP(J95,Monetization!A:A,Monetization!B:B),25)</f>
        <v>25</v>
      </c>
      <c r="AW95" s="95">
        <f t="shared" si="15"/>
        <v>7.5</v>
      </c>
      <c r="AY95" s="149">
        <f t="shared" si="16"/>
        <v>11.5</v>
      </c>
      <c r="AZ95" s="95" t="str">
        <f t="shared" si="17"/>
        <v>0-25</v>
      </c>
      <c r="BA95" s="95" t="str">
        <f t="shared" si="18"/>
        <v>25-50</v>
      </c>
      <c r="BB95" s="152">
        <f t="array" ref="BB95">iferror(XLOOKUP(C95,Sheet9!A:A,Sheet9!D:D),0)</f>
        <v>0.95</v>
      </c>
      <c r="BC95" s="2">
        <v>1.0</v>
      </c>
      <c r="BD95" s="95">
        <f t="array" ref="BD95">XLOOKUP(C95,ROS!C:C,ROS!O:O)</f>
        <v>0</v>
      </c>
      <c r="BE95" s="147">
        <f t="array" ref="BE95">IFERROR(XLOOKUP(C95,ROS!T:T,ROS!U:U),"")</f>
        <v>0</v>
      </c>
      <c r="BF95" s="147">
        <f t="array" ref="BF95">XLOOKUP(R95,'Refrence Data'!B:B,'Refrence Data'!T:T)</f>
        <v>0.133333</v>
      </c>
      <c r="BG95" s="95">
        <f t="shared" si="19"/>
        <v>0</v>
      </c>
      <c r="BH95" s="4" t="str">
        <f t="shared" si="20"/>
        <v>TN</v>
      </c>
      <c r="BO95" s="153"/>
      <c r="BP95" s="153" t="str">
        <f t="shared" si="26"/>
        <v>TN</v>
      </c>
      <c r="BQ95" s="153"/>
      <c r="BR95" s="153"/>
      <c r="BS95" s="153"/>
    </row>
    <row r="96">
      <c r="A96" s="171">
        <v>7.33739004666E11</v>
      </c>
      <c r="B96" s="171" t="s">
        <v>3521</v>
      </c>
      <c r="C96" s="137" t="s">
        <v>943</v>
      </c>
      <c r="D96" s="138" t="s">
        <v>444</v>
      </c>
      <c r="E96" s="139" t="s">
        <v>445</v>
      </c>
      <c r="F96" s="140" t="s">
        <v>3577</v>
      </c>
      <c r="G96" s="141">
        <v>1.0</v>
      </c>
      <c r="H96" s="142">
        <v>71.21908</v>
      </c>
      <c r="I96" s="143" t="s">
        <v>111</v>
      </c>
      <c r="J96" s="83"/>
      <c r="K96" s="174">
        <v>365.0</v>
      </c>
      <c r="R96" s="145" t="str">
        <f t="shared" si="1"/>
        <v>Vitamins &amp; Supplements_25+</v>
      </c>
      <c r="S96" s="146" t="str">
        <f t="shared" si="2"/>
        <v>25+</v>
      </c>
      <c r="T96" s="95" t="str">
        <f t="array" ref="T96">XLOOKUP(C96,'Depth or Width'!P:P,'Depth or Width'!V:V)</f>
        <v>Depth</v>
      </c>
      <c r="U96" s="93">
        <f t="shared" si="3"/>
        <v>5</v>
      </c>
      <c r="V96" s="147">
        <f t="array" ref="V96">iferror(XLOOKUP(R96,'Refrence Data'!B:B,'Refrence Data'!W:W),"NA")</f>
        <v>0.660562</v>
      </c>
      <c r="W96" s="95">
        <f t="shared" si="4"/>
        <v>0</v>
      </c>
      <c r="Y96" s="148">
        <f t="array" ref="Y96">IFERROR(XLOOKUP(R96,'Refrence Data'!B:B,'Refrence Data'!N:N),"NA")</f>
        <v>0.627431</v>
      </c>
      <c r="Z96" s="95" t="str">
        <f t="shared" si="5"/>
        <v>MEDIUM</v>
      </c>
      <c r="AA96" s="147">
        <f t="array" ref="AA96">XLOOKUP(R96,'Refrence Data'!B:B,'Refrence Data'!AC:AC)</f>
        <v>3.58708</v>
      </c>
      <c r="AB96" s="147">
        <f t="array" ref="AB96">IFERROR(XLOOKUP(R96,'Refrence Data'!B:B,'Refrence Data'!Y:Y),"NA")</f>
        <v>1.003368</v>
      </c>
      <c r="AC96" s="95" t="str">
        <f t="shared" si="6"/>
        <v>Low</v>
      </c>
      <c r="AD96" s="95" t="str">
        <f t="shared" si="7"/>
        <v>Depth</v>
      </c>
      <c r="AE96" s="95" t="str">
        <f t="shared" si="8"/>
        <v>MEDIUMLowDepth</v>
      </c>
      <c r="AF96" s="95">
        <f t="array" ref="AF96">XLOOKUP(AE96,'Category Saturation'!A:A,'Category Saturation'!E:E)</f>
        <v>50</v>
      </c>
      <c r="AH96" s="148">
        <f t="array" ref="AH96">iferror(XLOOKUP(R96,'New Launch Success Rate'!A:A,'New Launch Success Rate'!F:F),"NA")</f>
        <v>0.867</v>
      </c>
      <c r="AI96" s="95">
        <f t="shared" si="9"/>
        <v>100</v>
      </c>
      <c r="AK96" s="149">
        <f t="shared" si="10"/>
        <v>25</v>
      </c>
      <c r="AM96" s="150">
        <f t="array" ref="AM96">XLOOKUP(R96,'Non Moving'!C:C,'Non Moving'!I:I)/100</f>
        <v>0.37</v>
      </c>
      <c r="AN96" s="151">
        <f t="shared" si="11"/>
        <v>0</v>
      </c>
      <c r="AO96" s="150">
        <f t="array" ref="AO96">XLOOKUP(R96,'Non Moving'!C:C,'Non Moving'!F:F)/100</f>
        <v>0.477</v>
      </c>
      <c r="AP96" s="151">
        <f t="shared" si="12"/>
        <v>0</v>
      </c>
      <c r="AR96" s="95">
        <f t="shared" si="13"/>
        <v>0</v>
      </c>
      <c r="AT96" s="95">
        <f t="shared" si="14"/>
        <v>0</v>
      </c>
      <c r="AU96" s="95">
        <f t="array" ref="AU96">iferror(XLOOKUP(J96,Monetization!A:A,Monetization!B:B),25)</f>
        <v>25</v>
      </c>
      <c r="AW96" s="95">
        <f t="shared" si="15"/>
        <v>7.5</v>
      </c>
      <c r="AY96" s="149">
        <f t="shared" si="16"/>
        <v>11.5</v>
      </c>
      <c r="AZ96" s="95" t="str">
        <f t="shared" si="17"/>
        <v>0-25</v>
      </c>
      <c r="BA96" s="95" t="str">
        <f t="shared" si="18"/>
        <v>25-50</v>
      </c>
      <c r="BB96" s="152">
        <f t="array" ref="BB96">iferror(XLOOKUP(C96,Sheet9!A:A,Sheet9!D:D),0)</f>
        <v>0.95</v>
      </c>
      <c r="BC96" s="2">
        <v>1.0</v>
      </c>
      <c r="BD96" s="95">
        <f t="array" ref="BD96">XLOOKUP(C96,ROS!C:C,ROS!O:O)</f>
        <v>0.214286</v>
      </c>
      <c r="BE96" s="147">
        <f t="array" ref="BE96">IFERROR(XLOOKUP(C96,ROS!T:T,ROS!U:U),"")</f>
        <v>0</v>
      </c>
      <c r="BF96" s="147">
        <f t="array" ref="BF96">XLOOKUP(R96,'Refrence Data'!B:B,'Refrence Data'!T:T)</f>
        <v>0.133333</v>
      </c>
      <c r="BG96" s="95">
        <f t="shared" si="19"/>
        <v>0</v>
      </c>
      <c r="BH96" s="4" t="str">
        <f t="shared" si="20"/>
        <v>TN</v>
      </c>
      <c r="BO96" s="153"/>
      <c r="BP96" s="153" t="str">
        <f t="shared" si="26"/>
        <v>TN</v>
      </c>
      <c r="BQ96" s="153"/>
      <c r="BR96" s="153"/>
      <c r="BS96" s="153"/>
    </row>
    <row r="97">
      <c r="A97" s="171">
        <v>8.59795006991E11</v>
      </c>
      <c r="B97" s="171" t="s">
        <v>3521</v>
      </c>
      <c r="C97" s="137" t="s">
        <v>944</v>
      </c>
      <c r="D97" s="138" t="s">
        <v>444</v>
      </c>
      <c r="E97" s="139" t="s">
        <v>445</v>
      </c>
      <c r="F97" s="140" t="s">
        <v>3578</v>
      </c>
      <c r="G97" s="141">
        <v>0.0</v>
      </c>
      <c r="H97" s="142">
        <v>140.5594</v>
      </c>
      <c r="I97" s="143" t="s">
        <v>111</v>
      </c>
      <c r="J97" s="83"/>
      <c r="K97" s="174">
        <v>730.0</v>
      </c>
      <c r="R97" s="145" t="str">
        <f t="shared" si="1"/>
        <v>Vitamins &amp; Supplements_25+</v>
      </c>
      <c r="S97" s="146" t="str">
        <f t="shared" si="2"/>
        <v>25+</v>
      </c>
      <c r="T97" s="95" t="str">
        <f t="array" ref="T97">XLOOKUP(C97,'Depth or Width'!P:P,'Depth or Width'!V:V)</f>
        <v>Width</v>
      </c>
      <c r="U97" s="93">
        <f t="shared" si="3"/>
        <v>5</v>
      </c>
      <c r="V97" s="147">
        <f t="array" ref="V97">iferror(XLOOKUP(R97,'Refrence Data'!B:B,'Refrence Data'!W:W),"NA")</f>
        <v>0.660562</v>
      </c>
      <c r="W97" s="95">
        <f t="shared" si="4"/>
        <v>0</v>
      </c>
      <c r="Y97" s="148">
        <f t="array" ref="Y97">IFERROR(XLOOKUP(R97,'Refrence Data'!B:B,'Refrence Data'!N:N),"NA")</f>
        <v>0.627431</v>
      </c>
      <c r="Z97" s="95" t="str">
        <f t="shared" si="5"/>
        <v>MEDIUM</v>
      </c>
      <c r="AA97" s="147">
        <f t="array" ref="AA97">XLOOKUP(R97,'Refrence Data'!B:B,'Refrence Data'!AC:AC)</f>
        <v>3.58708</v>
      </c>
      <c r="AB97" s="147">
        <f t="array" ref="AB97">IFERROR(XLOOKUP(R97,'Refrence Data'!B:B,'Refrence Data'!Y:Y),"NA")</f>
        <v>1.003368</v>
      </c>
      <c r="AC97" s="95" t="str">
        <f t="shared" si="6"/>
        <v>Low</v>
      </c>
      <c r="AD97" s="95" t="str">
        <f t="shared" si="7"/>
        <v>Width</v>
      </c>
      <c r="AE97" s="95" t="str">
        <f t="shared" si="8"/>
        <v>MEDIUMLowWidth</v>
      </c>
      <c r="AF97" s="95">
        <f t="array" ref="AF97">XLOOKUP(AE97,'Category Saturation'!A:A,'Category Saturation'!E:E)</f>
        <v>25</v>
      </c>
      <c r="AH97" s="148">
        <f t="array" ref="AH97">iferror(XLOOKUP(R97,'New Launch Success Rate'!A:A,'New Launch Success Rate'!F:F),"NA")</f>
        <v>0.867</v>
      </c>
      <c r="AI97" s="95">
        <f t="shared" si="9"/>
        <v>100</v>
      </c>
      <c r="AK97" s="149">
        <f t="shared" si="10"/>
        <v>17.5</v>
      </c>
      <c r="AM97" s="150">
        <f t="array" ref="AM97">XLOOKUP(R97,'Non Moving'!C:C,'Non Moving'!I:I)/100</f>
        <v>0.37</v>
      </c>
      <c r="AN97" s="151">
        <f t="shared" si="11"/>
        <v>0</v>
      </c>
      <c r="AO97" s="150">
        <f t="array" ref="AO97">XLOOKUP(R97,'Non Moving'!C:C,'Non Moving'!F:F)/100</f>
        <v>0.477</v>
      </c>
      <c r="AP97" s="151">
        <f t="shared" si="12"/>
        <v>0</v>
      </c>
      <c r="AR97" s="95">
        <f t="shared" si="13"/>
        <v>0</v>
      </c>
      <c r="AT97" s="95">
        <f t="shared" si="14"/>
        <v>0</v>
      </c>
      <c r="AU97" s="95">
        <f t="array" ref="AU97">iferror(XLOOKUP(J97,Monetization!A:A,Monetization!B:B),25)</f>
        <v>25</v>
      </c>
      <c r="AW97" s="95">
        <f t="shared" si="15"/>
        <v>7.5</v>
      </c>
      <c r="AY97" s="149">
        <f t="shared" si="16"/>
        <v>8.5</v>
      </c>
      <c r="AZ97" s="95" t="str">
        <f t="shared" si="17"/>
        <v>0-25</v>
      </c>
      <c r="BA97" s="95" t="str">
        <f t="shared" si="18"/>
        <v>0-25</v>
      </c>
      <c r="BB97" s="152">
        <f t="array" ref="BB97">iferror(XLOOKUP(C97,Sheet9!A:A,Sheet9!D:D),0)</f>
        <v>1</v>
      </c>
      <c r="BC97" s="2">
        <v>1.0</v>
      </c>
      <c r="BD97" s="95">
        <f t="array" ref="BD97">XLOOKUP(C97,ROS!C:C,ROS!O:O)</f>
        <v>0.571429</v>
      </c>
      <c r="BE97" s="147">
        <f t="array" ref="BE97">IFERROR(XLOOKUP(C97,ROS!T:T,ROS!U:U),"")</f>
        <v>0</v>
      </c>
      <c r="BF97" s="147">
        <f t="array" ref="BF97">XLOOKUP(R97,'Refrence Data'!B:B,'Refrence Data'!T:T)</f>
        <v>0.133333</v>
      </c>
      <c r="BG97" s="95">
        <f t="shared" si="19"/>
        <v>0</v>
      </c>
      <c r="BH97" s="4" t="str">
        <f t="shared" si="20"/>
        <v>TN</v>
      </c>
      <c r="BO97" s="153"/>
      <c r="BP97" s="153" t="str">
        <f t="shared" si="26"/>
        <v>TN</v>
      </c>
      <c r="BQ97" s="153"/>
      <c r="BR97" s="153"/>
      <c r="BS97" s="153"/>
    </row>
    <row r="98">
      <c r="A98" s="171">
        <v>8.10011080478E11</v>
      </c>
      <c r="B98" s="171" t="s">
        <v>3521</v>
      </c>
      <c r="C98" s="137" t="s">
        <v>952</v>
      </c>
      <c r="D98" s="138" t="s">
        <v>444</v>
      </c>
      <c r="E98" s="139" t="s">
        <v>954</v>
      </c>
      <c r="F98" s="140" t="s">
        <v>3578</v>
      </c>
      <c r="G98" s="141">
        <v>0.0</v>
      </c>
      <c r="H98" s="142">
        <v>23.83407</v>
      </c>
      <c r="I98" s="143" t="s">
        <v>111</v>
      </c>
      <c r="J98" s="83"/>
      <c r="K98" s="174">
        <v>730.0</v>
      </c>
      <c r="R98" s="145" t="str">
        <f t="shared" si="1"/>
        <v>Masks &amp; Gloves_20-25</v>
      </c>
      <c r="S98" s="146" t="str">
        <f t="shared" si="2"/>
        <v>20-25</v>
      </c>
      <c r="T98" s="95" t="str">
        <f t="array" ref="T98">XLOOKUP(C98,'Depth or Width'!P:P,'Depth or Width'!V:V)</f>
        <v>Depth</v>
      </c>
      <c r="U98" s="93">
        <f t="shared" si="3"/>
        <v>5</v>
      </c>
      <c r="V98" s="147">
        <f t="array" ref="V98">iferror(XLOOKUP(R98,'Refrence Data'!B:B,'Refrence Data'!W:W),"NA")</f>
        <v>1.006722</v>
      </c>
      <c r="W98" s="95">
        <f t="shared" si="4"/>
        <v>0</v>
      </c>
      <c r="Y98" s="148">
        <f t="array" ref="Y98">IFERROR(XLOOKUP(R98,'Refrence Data'!B:B,'Refrence Data'!N:N),"NA")</f>
        <v>1</v>
      </c>
      <c r="Z98" s="95" t="str">
        <f t="shared" si="5"/>
        <v>HIGH</v>
      </c>
      <c r="AA98" s="147">
        <f t="array" ref="AA98">XLOOKUP(R98,'Refrence Data'!B:B,'Refrence Data'!AC:AC)</f>
        <v>1.006722</v>
      </c>
      <c r="AB98" s="147">
        <f t="array" ref="AB98">IFERROR(XLOOKUP(R98,'Refrence Data'!B:B,'Refrence Data'!Y:Y),"NA")</f>
        <v>1.006722</v>
      </c>
      <c r="AC98" s="95" t="str">
        <f t="shared" si="6"/>
        <v>High</v>
      </c>
      <c r="AD98" s="95" t="str">
        <f t="shared" si="7"/>
        <v>Depth</v>
      </c>
      <c r="AE98" s="95" t="str">
        <f t="shared" si="8"/>
        <v>HIGHHighDepth</v>
      </c>
      <c r="AF98" s="95">
        <f t="array" ref="AF98">XLOOKUP(AE98,'Category Saturation'!A:A,'Category Saturation'!E:E)</f>
        <v>0</v>
      </c>
      <c r="AH98" s="148">
        <f t="array" ref="AH98">iferror(XLOOKUP(R98,'New Launch Success Rate'!A:A,'New Launch Success Rate'!F:F),"NA")</f>
        <v>0.62475</v>
      </c>
      <c r="AI98" s="95">
        <f t="shared" si="9"/>
        <v>50</v>
      </c>
      <c r="AK98" s="149">
        <f t="shared" si="10"/>
        <v>5</v>
      </c>
      <c r="AM98" s="150">
        <f t="array" ref="AM98">XLOOKUP(R98,'Non Moving'!C:C,'Non Moving'!I:I)/100</f>
        <v>0.136</v>
      </c>
      <c r="AN98" s="151">
        <f t="shared" si="11"/>
        <v>75</v>
      </c>
      <c r="AO98" s="150">
        <f t="array" ref="AO98">XLOOKUP(R98,'Non Moving'!C:C,'Non Moving'!F:F)/100</f>
        <v>0.269</v>
      </c>
      <c r="AP98" s="151">
        <f t="shared" si="12"/>
        <v>75</v>
      </c>
      <c r="AR98" s="95">
        <f t="shared" si="13"/>
        <v>75</v>
      </c>
      <c r="AT98" s="95">
        <f t="shared" si="14"/>
        <v>0</v>
      </c>
      <c r="AU98" s="95">
        <f t="array" ref="AU98">iferror(XLOOKUP(J98,Monetization!A:A,Monetization!B:B),25)</f>
        <v>25</v>
      </c>
      <c r="AW98" s="95">
        <f t="shared" si="15"/>
        <v>7.5</v>
      </c>
      <c r="AY98" s="149">
        <f t="shared" si="16"/>
        <v>33.5</v>
      </c>
      <c r="AZ98" s="95" t="str">
        <f t="shared" si="17"/>
        <v>25-50</v>
      </c>
      <c r="BA98" s="95" t="str">
        <f t="shared" si="18"/>
        <v>0-25</v>
      </c>
      <c r="BB98" s="152">
        <f t="array" ref="BB98">iferror(XLOOKUP(C98,Sheet9!A:A,Sheet9!D:D),0)</f>
        <v>1</v>
      </c>
      <c r="BC98" s="2">
        <v>1.0</v>
      </c>
      <c r="BD98" s="95">
        <f t="array" ref="BD98">XLOOKUP(C98,ROS!C:C,ROS!O:O)</f>
        <v>0</v>
      </c>
      <c r="BE98" s="147">
        <f t="array" ref="BE98">IFERROR(XLOOKUP(C98,ROS!T:T,ROS!U:U),"")</f>
        <v>0</v>
      </c>
      <c r="BF98" s="147">
        <f t="array" ref="BF98">XLOOKUP(R98,'Refrence Data'!B:B,'Refrence Data'!T:T)</f>
        <v>1.006722</v>
      </c>
      <c r="BG98" s="95">
        <f t="shared" si="19"/>
        <v>0</v>
      </c>
      <c r="BH98" s="4" t="str">
        <f t="shared" si="20"/>
        <v>TN</v>
      </c>
      <c r="BO98" s="153"/>
      <c r="BP98" s="153" t="str">
        <f t="shared" si="26"/>
        <v>TN</v>
      </c>
      <c r="BQ98" s="153"/>
      <c r="BR98" s="153"/>
      <c r="BS98" s="153"/>
    </row>
    <row r="99">
      <c r="A99" s="171">
        <v>5.060216564142E12</v>
      </c>
      <c r="B99" s="171" t="s">
        <v>3521</v>
      </c>
      <c r="C99" s="137" t="s">
        <v>956</v>
      </c>
      <c r="D99" s="138" t="s">
        <v>444</v>
      </c>
      <c r="E99" s="139" t="s">
        <v>445</v>
      </c>
      <c r="F99" s="140" t="s">
        <v>3579</v>
      </c>
      <c r="G99" s="141">
        <v>0.0</v>
      </c>
      <c r="H99" s="142">
        <v>45.91122</v>
      </c>
      <c r="I99" s="143" t="s">
        <v>112</v>
      </c>
      <c r="J99" s="83"/>
      <c r="K99" s="174">
        <v>1095.0</v>
      </c>
      <c r="R99" s="145" t="str">
        <f t="shared" si="1"/>
        <v>Vitamins &amp; Supplements_25+</v>
      </c>
      <c r="S99" s="146" t="str">
        <f t="shared" si="2"/>
        <v>25+</v>
      </c>
      <c r="T99" s="95" t="str">
        <f t="array" ref="T99">XLOOKUP(C99,'Depth or Width'!P:P,'Depth or Width'!V:V)</f>
        <v>Depth</v>
      </c>
      <c r="U99" s="93">
        <f t="shared" si="3"/>
        <v>5</v>
      </c>
      <c r="V99" s="147">
        <f t="array" ref="V99">iferror(XLOOKUP(R99,'Refrence Data'!B:B,'Refrence Data'!W:W),"NA")</f>
        <v>0.660562</v>
      </c>
      <c r="W99" s="95">
        <f t="shared" si="4"/>
        <v>0</v>
      </c>
      <c r="Y99" s="148">
        <f t="array" ref="Y99">IFERROR(XLOOKUP(R99,'Refrence Data'!B:B,'Refrence Data'!N:N),"NA")</f>
        <v>0.627431</v>
      </c>
      <c r="Z99" s="95" t="str">
        <f t="shared" si="5"/>
        <v>MEDIUM</v>
      </c>
      <c r="AA99" s="147">
        <f t="array" ref="AA99">XLOOKUP(R99,'Refrence Data'!B:B,'Refrence Data'!AC:AC)</f>
        <v>3.58708</v>
      </c>
      <c r="AB99" s="147">
        <f t="array" ref="AB99">IFERROR(XLOOKUP(R99,'Refrence Data'!B:B,'Refrence Data'!Y:Y),"NA")</f>
        <v>1.003368</v>
      </c>
      <c r="AC99" s="95" t="str">
        <f t="shared" si="6"/>
        <v>Low</v>
      </c>
      <c r="AD99" s="95" t="str">
        <f t="shared" si="7"/>
        <v>Depth</v>
      </c>
      <c r="AE99" s="95" t="str">
        <f t="shared" si="8"/>
        <v>MEDIUMLowDepth</v>
      </c>
      <c r="AF99" s="95">
        <f t="array" ref="AF99">XLOOKUP(AE99,'Category Saturation'!A:A,'Category Saturation'!E:E)</f>
        <v>50</v>
      </c>
      <c r="AH99" s="148">
        <f t="array" ref="AH99">iferror(XLOOKUP(R99,'New Launch Success Rate'!A:A,'New Launch Success Rate'!F:F),"NA")</f>
        <v>0.867</v>
      </c>
      <c r="AI99" s="95">
        <f t="shared" si="9"/>
        <v>100</v>
      </c>
      <c r="AK99" s="149">
        <f t="shared" si="10"/>
        <v>25</v>
      </c>
      <c r="AM99" s="150">
        <f t="array" ref="AM99">XLOOKUP(R99,'Non Moving'!C:C,'Non Moving'!I:I)/100</f>
        <v>0.37</v>
      </c>
      <c r="AN99" s="151">
        <f t="shared" si="11"/>
        <v>0</v>
      </c>
      <c r="AO99" s="150">
        <f t="array" ref="AO99">XLOOKUP(R99,'Non Moving'!C:C,'Non Moving'!F:F)/100</f>
        <v>0.477</v>
      </c>
      <c r="AP99" s="151">
        <f t="shared" si="12"/>
        <v>0</v>
      </c>
      <c r="AR99" s="95">
        <f t="shared" si="13"/>
        <v>0</v>
      </c>
      <c r="AT99" s="95">
        <f t="shared" si="14"/>
        <v>100</v>
      </c>
      <c r="AU99" s="95">
        <f t="array" ref="AU99">iferror(XLOOKUP(J99,Monetization!A:A,Monetization!B:B),25)</f>
        <v>25</v>
      </c>
      <c r="AW99" s="95">
        <f t="shared" si="15"/>
        <v>77.5</v>
      </c>
      <c r="AY99" s="149">
        <f t="shared" si="16"/>
        <v>25.5</v>
      </c>
      <c r="AZ99" s="95" t="str">
        <f t="shared" si="17"/>
        <v>25-50</v>
      </c>
      <c r="BA99" s="95" t="str">
        <f t="shared" si="18"/>
        <v>25-50</v>
      </c>
      <c r="BB99" s="152">
        <f t="array" ref="BB99">iferror(XLOOKUP(C99,Sheet9!A:A,Sheet9!D:D),0)</f>
        <v>0.94</v>
      </c>
      <c r="BC99" s="2">
        <v>1.0</v>
      </c>
      <c r="BD99" s="95">
        <f t="array" ref="BD99">XLOOKUP(C99,ROS!C:C,ROS!O:O)</f>
        <v>0.357143</v>
      </c>
      <c r="BE99" s="147">
        <f t="array" ref="BE99">IFERROR(XLOOKUP(C99,ROS!T:T,ROS!U:U),"")</f>
        <v>0.142857143</v>
      </c>
      <c r="BF99" s="147">
        <f t="array" ref="BF99">XLOOKUP(R99,'Refrence Data'!B:B,'Refrence Data'!T:T)</f>
        <v>0.133333</v>
      </c>
      <c r="BG99" s="95">
        <f t="shared" si="19"/>
        <v>0</v>
      </c>
      <c r="BH99" s="4" t="str">
        <f t="shared" si="20"/>
        <v>TN</v>
      </c>
      <c r="BO99" s="153"/>
      <c r="BP99" s="153" t="str">
        <f t="shared" si="26"/>
        <v>TN</v>
      </c>
      <c r="BQ99" s="153"/>
      <c r="BR99" s="153"/>
      <c r="BS99" s="153"/>
    </row>
    <row r="100">
      <c r="A100" s="171">
        <v>5.060216564098E12</v>
      </c>
      <c r="B100" s="171" t="s">
        <v>3521</v>
      </c>
      <c r="C100" s="137" t="s">
        <v>958</v>
      </c>
      <c r="D100" s="138" t="s">
        <v>444</v>
      </c>
      <c r="E100" s="139" t="s">
        <v>445</v>
      </c>
      <c r="F100" s="140" t="s">
        <v>3579</v>
      </c>
      <c r="G100" s="141">
        <v>0.0</v>
      </c>
      <c r="H100" s="142">
        <v>58.15732</v>
      </c>
      <c r="I100" s="143" t="s">
        <v>112</v>
      </c>
      <c r="J100" s="83"/>
      <c r="K100" s="174">
        <v>1095.0</v>
      </c>
      <c r="R100" s="145" t="str">
        <f t="shared" si="1"/>
        <v>Vitamins &amp; Supplements_25+</v>
      </c>
      <c r="S100" s="146" t="str">
        <f t="shared" si="2"/>
        <v>25+</v>
      </c>
      <c r="T100" s="95" t="str">
        <f t="array" ref="T100">XLOOKUP(C100,'Depth or Width'!P:P,'Depth or Width'!V:V)</f>
        <v>Depth</v>
      </c>
      <c r="U100" s="93">
        <f t="shared" si="3"/>
        <v>5</v>
      </c>
      <c r="V100" s="147">
        <f t="array" ref="V100">iferror(XLOOKUP(R100,'Refrence Data'!B:B,'Refrence Data'!W:W),"NA")</f>
        <v>0.660562</v>
      </c>
      <c r="W100" s="95">
        <f t="shared" si="4"/>
        <v>0</v>
      </c>
      <c r="Y100" s="148">
        <f t="array" ref="Y100">IFERROR(XLOOKUP(R100,'Refrence Data'!B:B,'Refrence Data'!N:N),"NA")</f>
        <v>0.627431</v>
      </c>
      <c r="Z100" s="95" t="str">
        <f t="shared" si="5"/>
        <v>MEDIUM</v>
      </c>
      <c r="AA100" s="147">
        <f t="array" ref="AA100">XLOOKUP(R100,'Refrence Data'!B:B,'Refrence Data'!AC:AC)</f>
        <v>3.58708</v>
      </c>
      <c r="AB100" s="147">
        <f t="array" ref="AB100">IFERROR(XLOOKUP(R100,'Refrence Data'!B:B,'Refrence Data'!Y:Y),"NA")</f>
        <v>1.003368</v>
      </c>
      <c r="AC100" s="95" t="str">
        <f t="shared" si="6"/>
        <v>Low</v>
      </c>
      <c r="AD100" s="95" t="str">
        <f t="shared" si="7"/>
        <v>Depth</v>
      </c>
      <c r="AE100" s="95" t="str">
        <f t="shared" si="8"/>
        <v>MEDIUMLowDepth</v>
      </c>
      <c r="AF100" s="95">
        <f t="array" ref="AF100">XLOOKUP(AE100,'Category Saturation'!A:A,'Category Saturation'!E:E)</f>
        <v>50</v>
      </c>
      <c r="AH100" s="148">
        <f t="array" ref="AH100">iferror(XLOOKUP(R100,'New Launch Success Rate'!A:A,'New Launch Success Rate'!F:F),"NA")</f>
        <v>0.867</v>
      </c>
      <c r="AI100" s="95">
        <f t="shared" si="9"/>
        <v>100</v>
      </c>
      <c r="AK100" s="149">
        <f t="shared" si="10"/>
        <v>25</v>
      </c>
      <c r="AM100" s="150">
        <f t="array" ref="AM100">XLOOKUP(R100,'Non Moving'!C:C,'Non Moving'!I:I)/100</f>
        <v>0.37</v>
      </c>
      <c r="AN100" s="151">
        <f t="shared" si="11"/>
        <v>0</v>
      </c>
      <c r="AO100" s="150">
        <f t="array" ref="AO100">XLOOKUP(R100,'Non Moving'!C:C,'Non Moving'!F:F)/100</f>
        <v>0.477</v>
      </c>
      <c r="AP100" s="151">
        <f t="shared" si="12"/>
        <v>0</v>
      </c>
      <c r="AR100" s="95">
        <f t="shared" si="13"/>
        <v>0</v>
      </c>
      <c r="AT100" s="95">
        <f t="shared" si="14"/>
        <v>100</v>
      </c>
      <c r="AU100" s="95">
        <f t="array" ref="AU100">iferror(XLOOKUP(J100,Monetization!A:A,Monetization!B:B),25)</f>
        <v>25</v>
      </c>
      <c r="AW100" s="95">
        <f t="shared" si="15"/>
        <v>77.5</v>
      </c>
      <c r="AY100" s="149">
        <f t="shared" si="16"/>
        <v>25.5</v>
      </c>
      <c r="AZ100" s="95" t="str">
        <f t="shared" si="17"/>
        <v>25-50</v>
      </c>
      <c r="BA100" s="95" t="str">
        <f t="shared" si="18"/>
        <v>25-50</v>
      </c>
      <c r="BB100" s="152">
        <f t="array" ref="BB100">iferror(XLOOKUP(C100,Sheet9!A:A,Sheet9!D:D),0)</f>
        <v>0.96</v>
      </c>
      <c r="BC100" s="2">
        <v>1.0</v>
      </c>
      <c r="BD100" s="95">
        <f t="array" ref="BD100">XLOOKUP(C100,ROS!C:C,ROS!O:O)</f>
        <v>0</v>
      </c>
      <c r="BE100" s="147">
        <f t="array" ref="BE100">IFERROR(XLOOKUP(C100,ROS!T:T,ROS!U:U),"")</f>
        <v>0</v>
      </c>
      <c r="BF100" s="147">
        <f t="array" ref="BF100">XLOOKUP(R100,'Refrence Data'!B:B,'Refrence Data'!T:T)</f>
        <v>0.133333</v>
      </c>
      <c r="BG100" s="95">
        <f t="shared" si="19"/>
        <v>0</v>
      </c>
      <c r="BH100" s="4" t="str">
        <f t="shared" si="20"/>
        <v>TN</v>
      </c>
      <c r="BO100" s="153"/>
      <c r="BP100" s="153" t="str">
        <f t="shared" si="26"/>
        <v>TN</v>
      </c>
      <c r="BQ100" s="153"/>
      <c r="BR100" s="153"/>
      <c r="BS100" s="153"/>
    </row>
    <row r="101">
      <c r="A101" s="171">
        <v>5.060216560168E12</v>
      </c>
      <c r="B101" s="171" t="s">
        <v>3521</v>
      </c>
      <c r="C101" s="137" t="s">
        <v>960</v>
      </c>
      <c r="D101" s="138" t="s">
        <v>444</v>
      </c>
      <c r="E101" s="139" t="s">
        <v>445</v>
      </c>
      <c r="F101" s="140" t="s">
        <v>3579</v>
      </c>
      <c r="G101" s="141">
        <v>0.0</v>
      </c>
      <c r="H101" s="142">
        <v>80.54099</v>
      </c>
      <c r="I101" s="143" t="s">
        <v>112</v>
      </c>
      <c r="J101" s="83"/>
      <c r="K101" s="174">
        <v>1095.0</v>
      </c>
      <c r="R101" s="145" t="str">
        <f t="shared" si="1"/>
        <v>Vitamins &amp; Supplements_25+</v>
      </c>
      <c r="S101" s="146" t="str">
        <f t="shared" si="2"/>
        <v>25+</v>
      </c>
      <c r="T101" s="95" t="str">
        <f t="array" ref="T101">XLOOKUP(C101,'Depth or Width'!P:P,'Depth or Width'!V:V)</f>
        <v>Depth</v>
      </c>
      <c r="U101" s="93">
        <f t="shared" si="3"/>
        <v>5</v>
      </c>
      <c r="V101" s="147">
        <f t="array" ref="V101">iferror(XLOOKUP(R101,'Refrence Data'!B:B,'Refrence Data'!W:W),"NA")</f>
        <v>0.660562</v>
      </c>
      <c r="W101" s="95">
        <f t="shared" si="4"/>
        <v>0</v>
      </c>
      <c r="Y101" s="148">
        <f t="array" ref="Y101">IFERROR(XLOOKUP(R101,'Refrence Data'!B:B,'Refrence Data'!N:N),"NA")</f>
        <v>0.627431</v>
      </c>
      <c r="Z101" s="95" t="str">
        <f t="shared" si="5"/>
        <v>MEDIUM</v>
      </c>
      <c r="AA101" s="147">
        <f t="array" ref="AA101">XLOOKUP(R101,'Refrence Data'!B:B,'Refrence Data'!AC:AC)</f>
        <v>3.58708</v>
      </c>
      <c r="AB101" s="147">
        <f t="array" ref="AB101">IFERROR(XLOOKUP(R101,'Refrence Data'!B:B,'Refrence Data'!Y:Y),"NA")</f>
        <v>1.003368</v>
      </c>
      <c r="AC101" s="95" t="str">
        <f t="shared" si="6"/>
        <v>Low</v>
      </c>
      <c r="AD101" s="95" t="str">
        <f t="shared" si="7"/>
        <v>Depth</v>
      </c>
      <c r="AE101" s="95" t="str">
        <f t="shared" si="8"/>
        <v>MEDIUMLowDepth</v>
      </c>
      <c r="AF101" s="95">
        <f t="array" ref="AF101">XLOOKUP(AE101,'Category Saturation'!A:A,'Category Saturation'!E:E)</f>
        <v>50</v>
      </c>
      <c r="AH101" s="148">
        <f t="array" ref="AH101">iferror(XLOOKUP(R101,'New Launch Success Rate'!A:A,'New Launch Success Rate'!F:F),"NA")</f>
        <v>0.867</v>
      </c>
      <c r="AI101" s="95">
        <f t="shared" si="9"/>
        <v>100</v>
      </c>
      <c r="AK101" s="149">
        <f t="shared" si="10"/>
        <v>25</v>
      </c>
      <c r="AM101" s="150">
        <f t="array" ref="AM101">XLOOKUP(R101,'Non Moving'!C:C,'Non Moving'!I:I)/100</f>
        <v>0.37</v>
      </c>
      <c r="AN101" s="151">
        <f t="shared" si="11"/>
        <v>0</v>
      </c>
      <c r="AO101" s="150">
        <f t="array" ref="AO101">XLOOKUP(R101,'Non Moving'!C:C,'Non Moving'!F:F)/100</f>
        <v>0.477</v>
      </c>
      <c r="AP101" s="151">
        <f t="shared" si="12"/>
        <v>0</v>
      </c>
      <c r="AR101" s="95">
        <f t="shared" si="13"/>
        <v>0</v>
      </c>
      <c r="AT101" s="95">
        <f t="shared" si="14"/>
        <v>100</v>
      </c>
      <c r="AU101" s="95">
        <f t="array" ref="AU101">iferror(XLOOKUP(J101,Monetization!A:A,Monetization!B:B),25)</f>
        <v>25</v>
      </c>
      <c r="AW101" s="95">
        <f t="shared" si="15"/>
        <v>77.5</v>
      </c>
      <c r="AY101" s="149">
        <f t="shared" si="16"/>
        <v>25.5</v>
      </c>
      <c r="AZ101" s="95" t="str">
        <f t="shared" si="17"/>
        <v>25-50</v>
      </c>
      <c r="BA101" s="95" t="str">
        <f t="shared" si="18"/>
        <v>25-50</v>
      </c>
      <c r="BB101" s="152">
        <f t="array" ref="BB101">iferror(XLOOKUP(C101,Sheet9!A:A,Sheet9!D:D),0)</f>
        <v>1</v>
      </c>
      <c r="BC101" s="2">
        <v>1.0</v>
      </c>
      <c r="BD101" s="95">
        <f t="array" ref="BD101">XLOOKUP(C101,ROS!C:C,ROS!O:O)</f>
        <v>0.071429</v>
      </c>
      <c r="BE101" s="147">
        <f t="array" ref="BE101">IFERROR(XLOOKUP(C101,ROS!T:T,ROS!U:U),"")</f>
        <v>0</v>
      </c>
      <c r="BF101" s="147">
        <f t="array" ref="BF101">XLOOKUP(R101,'Refrence Data'!B:B,'Refrence Data'!T:T)</f>
        <v>0.133333</v>
      </c>
      <c r="BG101" s="95">
        <f t="shared" si="19"/>
        <v>0</v>
      </c>
      <c r="BH101" s="4" t="str">
        <f t="shared" si="20"/>
        <v>TN</v>
      </c>
      <c r="BO101" s="153"/>
      <c r="BP101" s="153" t="str">
        <f t="shared" si="26"/>
        <v>TN</v>
      </c>
      <c r="BQ101" s="153"/>
      <c r="BR101" s="153"/>
      <c r="BS101" s="153"/>
    </row>
    <row r="102">
      <c r="A102" s="171">
        <v>7.4892706803E11</v>
      </c>
      <c r="B102" s="171" t="s">
        <v>3507</v>
      </c>
      <c r="C102" s="137" t="s">
        <v>961</v>
      </c>
      <c r="D102" s="138" t="s">
        <v>444</v>
      </c>
      <c r="E102" s="139" t="s">
        <v>445</v>
      </c>
      <c r="F102" s="140" t="s">
        <v>3580</v>
      </c>
      <c r="G102" s="141">
        <v>1.0</v>
      </c>
      <c r="H102" s="142">
        <v>139.9203</v>
      </c>
      <c r="I102" s="143" t="s">
        <v>111</v>
      </c>
      <c r="J102" s="83"/>
      <c r="K102" s="174">
        <v>730.0</v>
      </c>
      <c r="R102" s="145" t="str">
        <f t="shared" si="1"/>
        <v>Vitamins &amp; Supplements_25+</v>
      </c>
      <c r="S102" s="146" t="str">
        <f t="shared" si="2"/>
        <v>25+</v>
      </c>
      <c r="T102" s="95" t="str">
        <f t="array" ref="T102">XLOOKUP(C102,'Depth or Width'!P:P,'Depth or Width'!V:V)</f>
        <v>Depth</v>
      </c>
      <c r="U102" s="93">
        <f t="shared" si="3"/>
        <v>5</v>
      </c>
      <c r="V102" s="147">
        <f t="array" ref="V102">iferror(XLOOKUP(R102,'Refrence Data'!B:B,'Refrence Data'!W:W),"NA")</f>
        <v>0.660562</v>
      </c>
      <c r="W102" s="95">
        <f t="shared" si="4"/>
        <v>0</v>
      </c>
      <c r="Y102" s="148">
        <f t="array" ref="Y102">IFERROR(XLOOKUP(R102,'Refrence Data'!B:B,'Refrence Data'!N:N),"NA")</f>
        <v>0.627431</v>
      </c>
      <c r="Z102" s="95" t="str">
        <f t="shared" si="5"/>
        <v>MEDIUM</v>
      </c>
      <c r="AA102" s="147">
        <f t="array" ref="AA102">XLOOKUP(R102,'Refrence Data'!B:B,'Refrence Data'!AC:AC)</f>
        <v>3.58708</v>
      </c>
      <c r="AB102" s="147">
        <f t="array" ref="AB102">IFERROR(XLOOKUP(R102,'Refrence Data'!B:B,'Refrence Data'!Y:Y),"NA")</f>
        <v>1.003368</v>
      </c>
      <c r="AC102" s="95" t="str">
        <f t="shared" si="6"/>
        <v>Low</v>
      </c>
      <c r="AD102" s="95" t="str">
        <f t="shared" si="7"/>
        <v>Depth</v>
      </c>
      <c r="AE102" s="95" t="str">
        <f t="shared" si="8"/>
        <v>MEDIUMLowDepth</v>
      </c>
      <c r="AF102" s="95">
        <f t="array" ref="AF102">XLOOKUP(AE102,'Category Saturation'!A:A,'Category Saturation'!E:E)</f>
        <v>50</v>
      </c>
      <c r="AH102" s="148">
        <f t="array" ref="AH102">iferror(XLOOKUP(R102,'New Launch Success Rate'!A:A,'New Launch Success Rate'!F:F),"NA")</f>
        <v>0.867</v>
      </c>
      <c r="AI102" s="95">
        <f t="shared" si="9"/>
        <v>100</v>
      </c>
      <c r="AK102" s="149">
        <f t="shared" si="10"/>
        <v>25</v>
      </c>
      <c r="AM102" s="150">
        <f t="array" ref="AM102">XLOOKUP(R102,'Non Moving'!C:C,'Non Moving'!I:I)/100</f>
        <v>0.37</v>
      </c>
      <c r="AN102" s="151">
        <f t="shared" si="11"/>
        <v>0</v>
      </c>
      <c r="AO102" s="150">
        <f t="array" ref="AO102">XLOOKUP(R102,'Non Moving'!C:C,'Non Moving'!F:F)/100</f>
        <v>0.477</v>
      </c>
      <c r="AP102" s="151">
        <f t="shared" si="12"/>
        <v>0</v>
      </c>
      <c r="AR102" s="95">
        <f t="shared" si="13"/>
        <v>0</v>
      </c>
      <c r="AT102" s="95">
        <f t="shared" si="14"/>
        <v>0</v>
      </c>
      <c r="AU102" s="95">
        <f t="array" ref="AU102">iferror(XLOOKUP(J102,Monetization!A:A,Monetization!B:B),25)</f>
        <v>25</v>
      </c>
      <c r="AW102" s="95">
        <f t="shared" si="15"/>
        <v>7.5</v>
      </c>
      <c r="AY102" s="149">
        <f t="shared" si="16"/>
        <v>11.5</v>
      </c>
      <c r="AZ102" s="95" t="str">
        <f t="shared" si="17"/>
        <v>0-25</v>
      </c>
      <c r="BA102" s="95" t="str">
        <f t="shared" si="18"/>
        <v>25-50</v>
      </c>
      <c r="BB102" s="152">
        <f t="array" ref="BB102">iferror(XLOOKUP(C102,Sheet9!A:A,Sheet9!D:D),0)</f>
        <v>0.25</v>
      </c>
      <c r="BC102" s="2">
        <v>1.0</v>
      </c>
      <c r="BD102" s="95">
        <f t="array" ref="BD102">XLOOKUP(C102,ROS!C:C,ROS!O:O)</f>
        <v>0</v>
      </c>
      <c r="BE102" s="147">
        <f t="array" ref="BE102">IFERROR(XLOOKUP(C102,ROS!T:T,ROS!U:U),"")</f>
        <v>0.767857143</v>
      </c>
      <c r="BF102" s="147">
        <f t="array" ref="BF102">XLOOKUP(R102,'Refrence Data'!B:B,'Refrence Data'!T:T)</f>
        <v>0.133333</v>
      </c>
      <c r="BG102" s="95">
        <f t="shared" si="19"/>
        <v>0</v>
      </c>
      <c r="BH102" s="4" t="str">
        <f t="shared" si="20"/>
        <v/>
      </c>
      <c r="BO102" s="153"/>
      <c r="BP102" s="153" t="str">
        <f t="shared" si="26"/>
        <v/>
      </c>
      <c r="BQ102" s="153"/>
      <c r="BR102" s="153"/>
      <c r="BS102" s="153"/>
    </row>
    <row r="103">
      <c r="A103" s="171">
        <v>8.50022452017E11</v>
      </c>
      <c r="B103" s="171" t="s">
        <v>3521</v>
      </c>
      <c r="C103" s="137" t="s">
        <v>965</v>
      </c>
      <c r="D103" s="138" t="s">
        <v>458</v>
      </c>
      <c r="E103" s="139" t="s">
        <v>468</v>
      </c>
      <c r="F103" s="140" t="s">
        <v>3581</v>
      </c>
      <c r="G103" s="141">
        <v>0.0</v>
      </c>
      <c r="H103" s="142">
        <v>21.08286</v>
      </c>
      <c r="I103" s="143" t="s">
        <v>112</v>
      </c>
      <c r="J103" s="83"/>
      <c r="K103" s="174">
        <v>730.0</v>
      </c>
      <c r="R103" s="145" t="str">
        <f t="shared" si="1"/>
        <v>BBQ_20-25</v>
      </c>
      <c r="S103" s="146" t="str">
        <f t="shared" si="2"/>
        <v>20-25</v>
      </c>
      <c r="T103" s="95" t="str">
        <f t="array" ref="T103">XLOOKUP(C103,'Depth or Width'!P:P,'Depth or Width'!V:V)</f>
        <v>Width</v>
      </c>
      <c r="U103" s="93">
        <f t="shared" si="3"/>
        <v>5</v>
      </c>
      <c r="V103" s="147">
        <f t="array" ref="V103">iferror(XLOOKUP(R103,'Refrence Data'!B:B,'Refrence Data'!W:W),"NA")</f>
        <v>9.665518</v>
      </c>
      <c r="W103" s="95">
        <f t="shared" si="4"/>
        <v>100</v>
      </c>
      <c r="Y103" s="148">
        <f t="array" ref="Y103">IFERROR(XLOOKUP(R103,'Refrence Data'!B:B,'Refrence Data'!N:N),"NA")</f>
        <v>0.604383</v>
      </c>
      <c r="Z103" s="95" t="str">
        <f t="shared" si="5"/>
        <v>MEDIUM</v>
      </c>
      <c r="AA103" s="147">
        <f t="array" ref="AA103">XLOOKUP(R103,'Refrence Data'!B:B,'Refrence Data'!AC:AC)</f>
        <v>1.906542</v>
      </c>
      <c r="AB103" s="147">
        <f t="array" ref="AB103">IFERROR(XLOOKUP(R103,'Refrence Data'!B:B,'Refrence Data'!Y:Y),"NA")</f>
        <v>6.613025</v>
      </c>
      <c r="AC103" s="95" t="str">
        <f t="shared" si="6"/>
        <v>High</v>
      </c>
      <c r="AD103" s="95" t="str">
        <f t="shared" si="7"/>
        <v>Width</v>
      </c>
      <c r="AE103" s="95" t="str">
        <f t="shared" si="8"/>
        <v>MEDIUMHighWidth</v>
      </c>
      <c r="AF103" s="95">
        <f t="array" ref="AF103">XLOOKUP(AE103,'Category Saturation'!A:A,'Category Saturation'!E:E)</f>
        <v>10</v>
      </c>
      <c r="AH103" s="148">
        <f t="array" ref="AH103">iferror(XLOOKUP(R103,'New Launch Success Rate'!A:A,'New Launch Success Rate'!F:F),"NA")</f>
        <v>0.50025</v>
      </c>
      <c r="AI103" s="95">
        <f t="shared" si="9"/>
        <v>50</v>
      </c>
      <c r="AK103" s="149">
        <f t="shared" si="10"/>
        <v>68</v>
      </c>
      <c r="AM103" s="150">
        <f t="array" ref="AM103">XLOOKUP(R103,'Non Moving'!C:C,'Non Moving'!I:I)/100</f>
        <v>0.139</v>
      </c>
      <c r="AN103" s="151">
        <f t="shared" si="11"/>
        <v>75</v>
      </c>
      <c r="AO103" s="150">
        <f t="array" ref="AO103">XLOOKUP(R103,'Non Moving'!C:C,'Non Moving'!F:F)/100</f>
        <v>0.415</v>
      </c>
      <c r="AP103" s="151">
        <f t="shared" si="12"/>
        <v>50</v>
      </c>
      <c r="AR103" s="95">
        <f t="shared" si="13"/>
        <v>62.5</v>
      </c>
      <c r="AT103" s="95">
        <f t="shared" si="14"/>
        <v>100</v>
      </c>
      <c r="AU103" s="95">
        <f t="array" ref="AU103">iferror(XLOOKUP(J103,Monetization!A:A,Monetization!B:B),25)</f>
        <v>25</v>
      </c>
      <c r="AW103" s="95">
        <f t="shared" si="15"/>
        <v>77.5</v>
      </c>
      <c r="AY103" s="149">
        <f t="shared" si="16"/>
        <v>67.7</v>
      </c>
      <c r="AZ103" s="95" t="str">
        <f t="shared" si="17"/>
        <v>50-75</v>
      </c>
      <c r="BA103" s="95" t="str">
        <f t="shared" si="18"/>
        <v>50-75</v>
      </c>
      <c r="BB103" s="152">
        <f t="array" ref="BB103">iferror(XLOOKUP(C103,Sheet9!A:A,Sheet9!D:D),0)</f>
        <v>0</v>
      </c>
      <c r="BC103" s="2">
        <v>1.0</v>
      </c>
      <c r="BD103" s="95">
        <f t="array" ref="BD103">XLOOKUP(C103,ROS!C:C,ROS!O:O)</f>
        <v>0</v>
      </c>
      <c r="BE103" s="147">
        <f t="array" ref="BE103">IFERROR(XLOOKUP(C103,ROS!T:T,ROS!U:U),"")</f>
        <v>0</v>
      </c>
      <c r="BF103" s="147">
        <f t="array" ref="BF103">XLOOKUP(R103,'Refrence Data'!B:B,'Refrence Data'!T:T)</f>
        <v>0.204762</v>
      </c>
      <c r="BG103" s="95">
        <f t="shared" si="19"/>
        <v>0</v>
      </c>
      <c r="BH103" s="4" t="str">
        <f t="shared" si="20"/>
        <v/>
      </c>
      <c r="BO103" s="153"/>
      <c r="BP103" s="153" t="str">
        <f t="shared" si="26"/>
        <v/>
      </c>
      <c r="BQ103" s="153"/>
      <c r="BR103" s="153"/>
      <c r="BS103" s="153"/>
    </row>
    <row r="104">
      <c r="A104" s="171">
        <v>5.060517511296E12</v>
      </c>
      <c r="B104" s="171" t="s">
        <v>3521</v>
      </c>
      <c r="C104" s="137" t="s">
        <v>966</v>
      </c>
      <c r="D104" s="138" t="s">
        <v>458</v>
      </c>
      <c r="E104" s="139" t="s">
        <v>468</v>
      </c>
      <c r="F104" s="140" t="s">
        <v>3581</v>
      </c>
      <c r="G104" s="141">
        <v>0.0</v>
      </c>
      <c r="H104" s="142">
        <v>43.31327</v>
      </c>
      <c r="I104" s="143" t="s">
        <v>112</v>
      </c>
      <c r="J104" s="83"/>
      <c r="K104" s="174">
        <v>730.0</v>
      </c>
      <c r="R104" s="145" t="str">
        <f t="shared" si="1"/>
        <v>BBQ_25+</v>
      </c>
      <c r="S104" s="146" t="str">
        <f t="shared" si="2"/>
        <v>25+</v>
      </c>
      <c r="T104" s="95" t="str">
        <f t="array" ref="T104">XLOOKUP(C104,'Depth or Width'!P:P,'Depth or Width'!V:V)</f>
        <v>Width</v>
      </c>
      <c r="U104" s="93">
        <f t="shared" si="3"/>
        <v>5</v>
      </c>
      <c r="V104" s="147">
        <f t="array" ref="V104">iferror(XLOOKUP(R104,'Refrence Data'!B:B,'Refrence Data'!W:W),"NA")</f>
        <v>0.3</v>
      </c>
      <c r="W104" s="95">
        <f t="shared" si="4"/>
        <v>0</v>
      </c>
      <c r="Y104" s="148">
        <f t="array" ref="Y104">IFERROR(XLOOKUP(R104,'Refrence Data'!B:B,'Refrence Data'!N:N),"NA")</f>
        <v>0.805719</v>
      </c>
      <c r="Z104" s="95" t="str">
        <f t="shared" si="5"/>
        <v>HIGH</v>
      </c>
      <c r="AA104" s="147">
        <f t="array" ref="AA104">XLOOKUP(R104,'Refrence Data'!B:B,'Refrence Data'!AC:AC)</f>
        <v>1.906542</v>
      </c>
      <c r="AB104" s="147">
        <f t="array" ref="AB104">IFERROR(XLOOKUP(R104,'Refrence Data'!B:B,'Refrence Data'!Y:Y),"NA")</f>
        <v>0.726012</v>
      </c>
      <c r="AC104" s="95" t="str">
        <f t="shared" si="6"/>
        <v>Low</v>
      </c>
      <c r="AD104" s="95" t="str">
        <f t="shared" si="7"/>
        <v>Width</v>
      </c>
      <c r="AE104" s="95" t="str">
        <f t="shared" si="8"/>
        <v>HIGHLowWidth</v>
      </c>
      <c r="AF104" s="95">
        <f t="array" ref="AF104">XLOOKUP(AE104,'Category Saturation'!A:A,'Category Saturation'!E:E)</f>
        <v>15</v>
      </c>
      <c r="AH104" s="148">
        <f t="array" ref="AH104">iferror(XLOOKUP(R104,'New Launch Success Rate'!A:A,'New Launch Success Rate'!F:F),"NA")</f>
        <v>0.525</v>
      </c>
      <c r="AI104" s="95">
        <f t="shared" si="9"/>
        <v>50</v>
      </c>
      <c r="AK104" s="149">
        <f t="shared" si="10"/>
        <v>9.5</v>
      </c>
      <c r="AM104" s="150">
        <f t="array" ref="AM104">XLOOKUP(R104,'Non Moving'!C:C,'Non Moving'!I:I)/100</f>
        <v>0.558</v>
      </c>
      <c r="AN104" s="151">
        <f t="shared" si="11"/>
        <v>0</v>
      </c>
      <c r="AO104" s="150">
        <f t="array" ref="AO104">XLOOKUP(R104,'Non Moving'!C:C,'Non Moving'!F:F)/100</f>
        <v>0.602</v>
      </c>
      <c r="AP104" s="151">
        <f t="shared" si="12"/>
        <v>0</v>
      </c>
      <c r="AR104" s="95">
        <f t="shared" si="13"/>
        <v>0</v>
      </c>
      <c r="AT104" s="95">
        <f t="shared" si="14"/>
        <v>100</v>
      </c>
      <c r="AU104" s="95">
        <f t="array" ref="AU104">iferror(XLOOKUP(J104,Monetization!A:A,Monetization!B:B),25)</f>
        <v>25</v>
      </c>
      <c r="AW104" s="95">
        <f t="shared" si="15"/>
        <v>77.5</v>
      </c>
      <c r="AY104" s="149">
        <f t="shared" si="16"/>
        <v>19.3</v>
      </c>
      <c r="AZ104" s="95" t="str">
        <f t="shared" si="17"/>
        <v>0-25</v>
      </c>
      <c r="BA104" s="95" t="str">
        <f t="shared" si="18"/>
        <v>0-25</v>
      </c>
      <c r="BB104" s="152">
        <f t="array" ref="BB104">iferror(XLOOKUP(C104,Sheet9!A:A,Sheet9!D:D),0)</f>
        <v>0</v>
      </c>
      <c r="BC104" s="2">
        <v>1.0</v>
      </c>
      <c r="BD104" s="95">
        <f t="array" ref="BD104">XLOOKUP(C104,ROS!C:C,ROS!O:O)</f>
        <v>0</v>
      </c>
      <c r="BE104" s="147">
        <f t="array" ref="BE104">IFERROR(XLOOKUP(C104,ROS!T:T,ROS!U:U),"")</f>
        <v>0</v>
      </c>
      <c r="BF104" s="147">
        <f t="array" ref="BF104">XLOOKUP(R104,'Refrence Data'!B:B,'Refrence Data'!T:T)</f>
        <v>0.033333</v>
      </c>
      <c r="BG104" s="95">
        <f t="shared" si="19"/>
        <v>0</v>
      </c>
      <c r="BH104" s="4" t="str">
        <f t="shared" si="20"/>
        <v/>
      </c>
      <c r="BO104" s="153"/>
      <c r="BP104" s="153" t="str">
        <f t="shared" si="26"/>
        <v/>
      </c>
      <c r="BQ104" s="153"/>
      <c r="BR104" s="153"/>
      <c r="BS104" s="153"/>
    </row>
    <row r="105">
      <c r="A105" s="171">
        <v>5.060517511289E12</v>
      </c>
      <c r="B105" s="171" t="s">
        <v>3521</v>
      </c>
      <c r="C105" s="137" t="s">
        <v>968</v>
      </c>
      <c r="D105" s="138" t="s">
        <v>458</v>
      </c>
      <c r="E105" s="139" t="s">
        <v>468</v>
      </c>
      <c r="F105" s="140" t="s">
        <v>3581</v>
      </c>
      <c r="G105" s="141">
        <v>0.0</v>
      </c>
      <c r="H105" s="142">
        <v>38.86682</v>
      </c>
      <c r="I105" s="143" t="s">
        <v>112</v>
      </c>
      <c r="J105" s="83"/>
      <c r="K105" s="174">
        <v>730.0</v>
      </c>
      <c r="R105" s="145" t="str">
        <f t="shared" si="1"/>
        <v>BBQ_25+</v>
      </c>
      <c r="S105" s="146" t="str">
        <f t="shared" si="2"/>
        <v>25+</v>
      </c>
      <c r="T105" s="95" t="str">
        <f t="array" ref="T105">XLOOKUP(C105,'Depth or Width'!P:P,'Depth or Width'!V:V)</f>
        <v>Width</v>
      </c>
      <c r="U105" s="93">
        <f t="shared" si="3"/>
        <v>5</v>
      </c>
      <c r="V105" s="147">
        <f t="array" ref="V105">iferror(XLOOKUP(R105,'Refrence Data'!B:B,'Refrence Data'!W:W),"NA")</f>
        <v>0.3</v>
      </c>
      <c r="W105" s="95">
        <f t="shared" si="4"/>
        <v>0</v>
      </c>
      <c r="Y105" s="148">
        <f t="array" ref="Y105">IFERROR(XLOOKUP(R105,'Refrence Data'!B:B,'Refrence Data'!N:N),"NA")</f>
        <v>0.805719</v>
      </c>
      <c r="Z105" s="95" t="str">
        <f t="shared" si="5"/>
        <v>HIGH</v>
      </c>
      <c r="AA105" s="147">
        <f t="array" ref="AA105">XLOOKUP(R105,'Refrence Data'!B:B,'Refrence Data'!AC:AC)</f>
        <v>1.906542</v>
      </c>
      <c r="AB105" s="147">
        <f t="array" ref="AB105">IFERROR(XLOOKUP(R105,'Refrence Data'!B:B,'Refrence Data'!Y:Y),"NA")</f>
        <v>0.726012</v>
      </c>
      <c r="AC105" s="95" t="str">
        <f t="shared" si="6"/>
        <v>Low</v>
      </c>
      <c r="AD105" s="95" t="str">
        <f t="shared" si="7"/>
        <v>Width</v>
      </c>
      <c r="AE105" s="95" t="str">
        <f t="shared" si="8"/>
        <v>HIGHLowWidth</v>
      </c>
      <c r="AF105" s="95">
        <f t="array" ref="AF105">XLOOKUP(AE105,'Category Saturation'!A:A,'Category Saturation'!E:E)</f>
        <v>15</v>
      </c>
      <c r="AH105" s="148">
        <f t="array" ref="AH105">iferror(XLOOKUP(R105,'New Launch Success Rate'!A:A,'New Launch Success Rate'!F:F),"NA")</f>
        <v>0.525</v>
      </c>
      <c r="AI105" s="95">
        <f t="shared" si="9"/>
        <v>50</v>
      </c>
      <c r="AK105" s="149">
        <f t="shared" si="10"/>
        <v>9.5</v>
      </c>
      <c r="AM105" s="150">
        <f t="array" ref="AM105">XLOOKUP(R105,'Non Moving'!C:C,'Non Moving'!I:I)/100</f>
        <v>0.558</v>
      </c>
      <c r="AN105" s="151">
        <f t="shared" si="11"/>
        <v>0</v>
      </c>
      <c r="AO105" s="150">
        <f t="array" ref="AO105">XLOOKUP(R105,'Non Moving'!C:C,'Non Moving'!F:F)/100</f>
        <v>0.602</v>
      </c>
      <c r="AP105" s="151">
        <f t="shared" si="12"/>
        <v>0</v>
      </c>
      <c r="AR105" s="95">
        <f t="shared" si="13"/>
        <v>0</v>
      </c>
      <c r="AT105" s="95">
        <f t="shared" si="14"/>
        <v>100</v>
      </c>
      <c r="AU105" s="95">
        <f t="array" ref="AU105">iferror(XLOOKUP(J105,Monetization!A:A,Monetization!B:B),25)</f>
        <v>25</v>
      </c>
      <c r="AW105" s="95">
        <f t="shared" si="15"/>
        <v>77.5</v>
      </c>
      <c r="AY105" s="149">
        <f t="shared" si="16"/>
        <v>19.3</v>
      </c>
      <c r="AZ105" s="95" t="str">
        <f t="shared" si="17"/>
        <v>0-25</v>
      </c>
      <c r="BA105" s="95" t="str">
        <f t="shared" si="18"/>
        <v>0-25</v>
      </c>
      <c r="BB105" s="152">
        <f t="array" ref="BB105">iferror(XLOOKUP(C105,Sheet9!A:A,Sheet9!D:D),0)</f>
        <v>1</v>
      </c>
      <c r="BC105" s="2">
        <v>1.0</v>
      </c>
      <c r="BD105" s="95">
        <f t="array" ref="BD105">XLOOKUP(C105,ROS!C:C,ROS!O:O)</f>
        <v>0</v>
      </c>
      <c r="BE105" s="147">
        <f t="array" ref="BE105">IFERROR(XLOOKUP(C105,ROS!T:T,ROS!U:U),"")</f>
        <v>0</v>
      </c>
      <c r="BF105" s="147">
        <f t="array" ref="BF105">XLOOKUP(R105,'Refrence Data'!B:B,'Refrence Data'!T:T)</f>
        <v>0.033333</v>
      </c>
      <c r="BG105" s="95">
        <f t="shared" si="19"/>
        <v>0</v>
      </c>
      <c r="BH105" s="4" t="str">
        <f t="shared" si="20"/>
        <v>TN</v>
      </c>
      <c r="BO105" s="153"/>
      <c r="BP105" s="153" t="str">
        <f t="shared" si="26"/>
        <v>TN</v>
      </c>
      <c r="BQ105" s="153"/>
      <c r="BR105" s="153"/>
      <c r="BS105" s="153"/>
    </row>
    <row r="106">
      <c r="A106" s="171">
        <v>3.4223251994E10</v>
      </c>
      <c r="B106" s="171" t="s">
        <v>3521</v>
      </c>
      <c r="C106" s="137" t="s">
        <v>969</v>
      </c>
      <c r="D106" s="138" t="s">
        <v>458</v>
      </c>
      <c r="E106" s="139" t="s">
        <v>459</v>
      </c>
      <c r="F106" s="140" t="s">
        <v>3581</v>
      </c>
      <c r="G106" s="141">
        <v>0.0</v>
      </c>
      <c r="H106" s="142">
        <v>21.08213</v>
      </c>
      <c r="I106" s="143" t="s">
        <v>112</v>
      </c>
      <c r="J106" s="83"/>
      <c r="K106" s="174">
        <v>730.0</v>
      </c>
      <c r="R106" s="145" t="str">
        <f t="shared" si="1"/>
        <v>Home Improvement_20-25</v>
      </c>
      <c r="S106" s="146" t="str">
        <f t="shared" si="2"/>
        <v>20-25</v>
      </c>
      <c r="T106" s="95" t="str">
        <f t="array" ref="T106">XLOOKUP(C106,'Depth or Width'!P:P,'Depth or Width'!V:V)</f>
        <v>Depth</v>
      </c>
      <c r="U106" s="93">
        <f t="shared" si="3"/>
        <v>5</v>
      </c>
      <c r="V106" s="147">
        <f t="array" ref="V106">iferror(XLOOKUP(R106,'Refrence Data'!B:B,'Refrence Data'!W:W),"NA")</f>
        <v>1.137793</v>
      </c>
      <c r="W106" s="95">
        <f t="shared" si="4"/>
        <v>0</v>
      </c>
      <c r="Y106" s="148">
        <f t="array" ref="Y106">IFERROR(XLOOKUP(R106,'Refrence Data'!B:B,'Refrence Data'!N:N),"NA")</f>
        <v>0.701194</v>
      </c>
      <c r="Z106" s="95" t="str">
        <f t="shared" si="5"/>
        <v>HIGH</v>
      </c>
      <c r="AA106" s="147">
        <f t="array" ref="AA106">XLOOKUP(R106,'Refrence Data'!B:B,'Refrence Data'!AC:AC)</f>
        <v>0.989448</v>
      </c>
      <c r="AB106" s="147">
        <f t="array" ref="AB106">IFERROR(XLOOKUP(R106,'Refrence Data'!B:B,'Refrence Data'!Y:Y),"NA")</f>
        <v>1.190877</v>
      </c>
      <c r="AC106" s="95" t="str">
        <f t="shared" si="6"/>
        <v>High</v>
      </c>
      <c r="AD106" s="95" t="str">
        <f t="shared" si="7"/>
        <v>Depth</v>
      </c>
      <c r="AE106" s="95" t="str">
        <f t="shared" si="8"/>
        <v>HIGHHighDepth</v>
      </c>
      <c r="AF106" s="95">
        <f t="array" ref="AF106">XLOOKUP(AE106,'Category Saturation'!A:A,'Category Saturation'!E:E)</f>
        <v>0</v>
      </c>
      <c r="AH106" s="148">
        <f t="array" ref="AH106">iferror(XLOOKUP(R106,'New Launch Success Rate'!A:A,'New Launch Success Rate'!F:F),"NA")</f>
        <v>0.667</v>
      </c>
      <c r="AI106" s="95">
        <f t="shared" si="9"/>
        <v>50</v>
      </c>
      <c r="AK106" s="149">
        <f t="shared" si="10"/>
        <v>5</v>
      </c>
      <c r="AM106" s="150">
        <f t="array" ref="AM106">XLOOKUP(R106,'Non Moving'!C:C,'Non Moving'!I:I)/100</f>
        <v>0.206</v>
      </c>
      <c r="AN106" s="151">
        <f t="shared" si="11"/>
        <v>0</v>
      </c>
      <c r="AO106" s="150">
        <f t="array" ref="AO106">XLOOKUP(R106,'Non Moving'!C:C,'Non Moving'!F:F)/100</f>
        <v>0.279</v>
      </c>
      <c r="AP106" s="151">
        <f t="shared" si="12"/>
        <v>75</v>
      </c>
      <c r="AR106" s="95">
        <f t="shared" si="13"/>
        <v>37.5</v>
      </c>
      <c r="AT106" s="95">
        <f t="shared" si="14"/>
        <v>100</v>
      </c>
      <c r="AU106" s="95">
        <f t="array" ref="AU106">iferror(XLOOKUP(J106,Monetization!A:A,Monetization!B:B),25)</f>
        <v>25</v>
      </c>
      <c r="AW106" s="95">
        <f t="shared" si="15"/>
        <v>77.5</v>
      </c>
      <c r="AY106" s="149">
        <f t="shared" si="16"/>
        <v>32.5</v>
      </c>
      <c r="AZ106" s="95" t="str">
        <f t="shared" si="17"/>
        <v>25-50</v>
      </c>
      <c r="BA106" s="95" t="str">
        <f t="shared" si="18"/>
        <v>0-25</v>
      </c>
      <c r="BB106" s="152">
        <f t="array" ref="BB106">iferror(XLOOKUP(C106,Sheet9!A:A,Sheet9!D:D),0)</f>
        <v>0</v>
      </c>
      <c r="BC106" s="2">
        <v>1.0</v>
      </c>
      <c r="BD106" s="95">
        <f t="array" ref="BD106">XLOOKUP(C106,ROS!C:C,ROS!O:O)</f>
        <v>0</v>
      </c>
      <c r="BE106" s="147">
        <f t="array" ref="BE106">IFERROR(XLOOKUP(C106,ROS!T:T,ROS!U:U),"")</f>
        <v>0</v>
      </c>
      <c r="BF106" s="147">
        <f t="array" ref="BF106">XLOOKUP(R106,'Refrence Data'!B:B,'Refrence Data'!T:T)</f>
        <v>0.066667</v>
      </c>
      <c r="BG106" s="95">
        <f t="shared" si="19"/>
        <v>0</v>
      </c>
      <c r="BH106" s="4" t="str">
        <f t="shared" si="20"/>
        <v/>
      </c>
      <c r="BO106" s="153"/>
      <c r="BP106" s="153" t="str">
        <f t="shared" si="26"/>
        <v/>
      </c>
      <c r="BQ106" s="153"/>
      <c r="BR106" s="153"/>
      <c r="BS106" s="153"/>
    </row>
    <row r="107">
      <c r="A107" s="171">
        <v>6.291108549988E12</v>
      </c>
      <c r="B107" s="171" t="s">
        <v>3521</v>
      </c>
      <c r="C107" s="137" t="s">
        <v>972</v>
      </c>
      <c r="D107" s="138" t="s">
        <v>458</v>
      </c>
      <c r="E107" s="139" t="s">
        <v>974</v>
      </c>
      <c r="F107" s="140" t="s">
        <v>3582</v>
      </c>
      <c r="G107" s="141">
        <v>1.0</v>
      </c>
      <c r="H107" s="142">
        <v>34.97237</v>
      </c>
      <c r="I107" s="143" t="s">
        <v>112</v>
      </c>
      <c r="J107" s="83"/>
      <c r="K107" s="174">
        <v>1095.0</v>
      </c>
      <c r="R107" s="145" t="str">
        <f t="shared" si="1"/>
        <v>Beach_25+</v>
      </c>
      <c r="S107" s="146" t="str">
        <f t="shared" si="2"/>
        <v>25+</v>
      </c>
      <c r="T107" s="95" t="str">
        <f t="array" ref="T107">XLOOKUP(C107,'Depth or Width'!P:P,'Depth or Width'!V:V)</f>
        <v>Depth</v>
      </c>
      <c r="U107" s="93">
        <f t="shared" si="3"/>
        <v>5</v>
      </c>
      <c r="V107" s="147">
        <f t="array" ref="V107">iferror(XLOOKUP(R107,'Refrence Data'!B:B,'Refrence Data'!W:W),"NA")</f>
        <v>0.033333</v>
      </c>
      <c r="W107" s="95">
        <f t="shared" si="4"/>
        <v>0</v>
      </c>
      <c r="Y107" s="148">
        <f t="array" ref="Y107">IFERROR(XLOOKUP(R107,'Refrence Data'!B:B,'Refrence Data'!N:N),"NA")</f>
        <v>0.814791</v>
      </c>
      <c r="Z107" s="95" t="str">
        <f t="shared" si="5"/>
        <v>HIGH</v>
      </c>
      <c r="AA107" s="147">
        <f t="array" ref="AA107">XLOOKUP(R107,'Refrence Data'!B:B,'Refrence Data'!AC:AC)</f>
        <v>0.25</v>
      </c>
      <c r="AB107" s="147">
        <f t="array" ref="AB107">IFERROR(XLOOKUP(R107,'Refrence Data'!B:B,'Refrence Data'!Y:Y),"NA")</f>
        <v>0.28564</v>
      </c>
      <c r="AC107" s="95" t="str">
        <f t="shared" si="6"/>
        <v>High</v>
      </c>
      <c r="AD107" s="95" t="str">
        <f t="shared" si="7"/>
        <v>Depth</v>
      </c>
      <c r="AE107" s="95" t="str">
        <f t="shared" si="8"/>
        <v>HIGHHighDepth</v>
      </c>
      <c r="AF107" s="95">
        <f t="array" ref="AF107">XLOOKUP(AE107,'Category Saturation'!A:A,'Category Saturation'!E:E)</f>
        <v>0</v>
      </c>
      <c r="AH107" s="148">
        <f t="array" ref="AH107">iferror(XLOOKUP(R107,'New Launch Success Rate'!A:A,'New Launch Success Rate'!F:F),"NA")</f>
        <v>0.525</v>
      </c>
      <c r="AI107" s="95">
        <f t="shared" si="9"/>
        <v>50</v>
      </c>
      <c r="AK107" s="149">
        <f t="shared" si="10"/>
        <v>5</v>
      </c>
      <c r="AM107" s="150">
        <f t="array" ref="AM107">XLOOKUP(R107,'Non Moving'!C:C,'Non Moving'!I:I)/100</f>
        <v>0.514</v>
      </c>
      <c r="AN107" s="151">
        <f t="shared" si="11"/>
        <v>0</v>
      </c>
      <c r="AO107" s="150">
        <f t="array" ref="AO107">XLOOKUP(R107,'Non Moving'!C:C,'Non Moving'!F:F)/100</f>
        <v>0.645</v>
      </c>
      <c r="AP107" s="151">
        <f t="shared" si="12"/>
        <v>0</v>
      </c>
      <c r="AR107" s="95">
        <f t="shared" si="13"/>
        <v>0</v>
      </c>
      <c r="AT107" s="95">
        <f t="shared" si="14"/>
        <v>100</v>
      </c>
      <c r="AU107" s="95">
        <f t="array" ref="AU107">iferror(XLOOKUP(J107,Monetization!A:A,Monetization!B:B),25)</f>
        <v>25</v>
      </c>
      <c r="AW107" s="95">
        <f t="shared" si="15"/>
        <v>77.5</v>
      </c>
      <c r="AY107" s="149">
        <f t="shared" si="16"/>
        <v>17.5</v>
      </c>
      <c r="AZ107" s="95" t="str">
        <f t="shared" si="17"/>
        <v>0-25</v>
      </c>
      <c r="BA107" s="95" t="str">
        <f t="shared" si="18"/>
        <v>0-25</v>
      </c>
      <c r="BB107" s="152">
        <f t="array" ref="BB107">iferror(XLOOKUP(C107,Sheet9!A:A,Sheet9!D:D),0)</f>
        <v>0</v>
      </c>
      <c r="BC107" s="2">
        <v>1.0</v>
      </c>
      <c r="BD107" s="95">
        <f t="array" ref="BD107">XLOOKUP(C107,ROS!C:C,ROS!O:O)</f>
        <v>0</v>
      </c>
      <c r="BE107" s="147">
        <f t="array" ref="BE107">IFERROR(XLOOKUP(C107,ROS!T:T,ROS!U:U),"")</f>
        <v>0</v>
      </c>
      <c r="BF107" s="147">
        <f t="array" ref="BF107">XLOOKUP(R107,'Refrence Data'!B:B,'Refrence Data'!T:T)</f>
        <v>0.033333</v>
      </c>
      <c r="BG107" s="95">
        <f t="shared" si="19"/>
        <v>0</v>
      </c>
      <c r="BH107" s="4" t="str">
        <f t="shared" si="20"/>
        <v/>
      </c>
      <c r="BO107" s="153"/>
      <c r="BP107" s="153" t="str">
        <f t="shared" si="26"/>
        <v/>
      </c>
      <c r="BQ107" s="153"/>
      <c r="BR107" s="153"/>
      <c r="BS107" s="153"/>
    </row>
    <row r="108">
      <c r="A108" s="171">
        <v>6.291108549971E12</v>
      </c>
      <c r="B108" s="171" t="s">
        <v>3521</v>
      </c>
      <c r="C108" s="137" t="s">
        <v>976</v>
      </c>
      <c r="D108" s="138" t="s">
        <v>458</v>
      </c>
      <c r="E108" s="139" t="s">
        <v>974</v>
      </c>
      <c r="F108" s="140" t="s">
        <v>3582</v>
      </c>
      <c r="G108" s="141">
        <v>1.0</v>
      </c>
      <c r="H108" s="142">
        <v>34.97237</v>
      </c>
      <c r="I108" s="143" t="s">
        <v>112</v>
      </c>
      <c r="J108" s="83"/>
      <c r="K108" s="174">
        <v>1095.0</v>
      </c>
      <c r="R108" s="145" t="str">
        <f t="shared" si="1"/>
        <v>Beach_25+</v>
      </c>
      <c r="S108" s="146" t="str">
        <f t="shared" si="2"/>
        <v>25+</v>
      </c>
      <c r="T108" s="95" t="str">
        <f t="array" ref="T108">XLOOKUP(C108,'Depth or Width'!P:P,'Depth or Width'!V:V)</f>
        <v>Depth</v>
      </c>
      <c r="U108" s="93">
        <f t="shared" si="3"/>
        <v>5</v>
      </c>
      <c r="V108" s="147">
        <f t="array" ref="V108">iferror(XLOOKUP(R108,'Refrence Data'!B:B,'Refrence Data'!W:W),"NA")</f>
        <v>0.033333</v>
      </c>
      <c r="W108" s="95">
        <f t="shared" si="4"/>
        <v>0</v>
      </c>
      <c r="Y108" s="148">
        <f t="array" ref="Y108">IFERROR(XLOOKUP(R108,'Refrence Data'!B:B,'Refrence Data'!N:N),"NA")</f>
        <v>0.814791</v>
      </c>
      <c r="Z108" s="95" t="str">
        <f t="shared" si="5"/>
        <v>HIGH</v>
      </c>
      <c r="AA108" s="147">
        <f t="array" ref="AA108">XLOOKUP(R108,'Refrence Data'!B:B,'Refrence Data'!AC:AC)</f>
        <v>0.25</v>
      </c>
      <c r="AB108" s="147">
        <f t="array" ref="AB108">IFERROR(XLOOKUP(R108,'Refrence Data'!B:B,'Refrence Data'!Y:Y),"NA")</f>
        <v>0.28564</v>
      </c>
      <c r="AC108" s="95" t="str">
        <f t="shared" si="6"/>
        <v>High</v>
      </c>
      <c r="AD108" s="95" t="str">
        <f t="shared" si="7"/>
        <v>Depth</v>
      </c>
      <c r="AE108" s="95" t="str">
        <f t="shared" si="8"/>
        <v>HIGHHighDepth</v>
      </c>
      <c r="AF108" s="95">
        <f t="array" ref="AF108">XLOOKUP(AE108,'Category Saturation'!A:A,'Category Saturation'!E:E)</f>
        <v>0</v>
      </c>
      <c r="AH108" s="148">
        <f t="array" ref="AH108">iferror(XLOOKUP(R108,'New Launch Success Rate'!A:A,'New Launch Success Rate'!F:F),"NA")</f>
        <v>0.525</v>
      </c>
      <c r="AI108" s="95">
        <f t="shared" si="9"/>
        <v>50</v>
      </c>
      <c r="AK108" s="149">
        <f t="shared" si="10"/>
        <v>5</v>
      </c>
      <c r="AM108" s="150">
        <f t="array" ref="AM108">XLOOKUP(R108,'Non Moving'!C:C,'Non Moving'!I:I)/100</f>
        <v>0.514</v>
      </c>
      <c r="AN108" s="151">
        <f t="shared" si="11"/>
        <v>0</v>
      </c>
      <c r="AO108" s="150">
        <f t="array" ref="AO108">XLOOKUP(R108,'Non Moving'!C:C,'Non Moving'!F:F)/100</f>
        <v>0.645</v>
      </c>
      <c r="AP108" s="151">
        <f t="shared" si="12"/>
        <v>0</v>
      </c>
      <c r="AR108" s="95">
        <f t="shared" si="13"/>
        <v>0</v>
      </c>
      <c r="AT108" s="95">
        <f t="shared" si="14"/>
        <v>100</v>
      </c>
      <c r="AU108" s="95">
        <f t="array" ref="AU108">iferror(XLOOKUP(J108,Monetization!A:A,Monetization!B:B),25)</f>
        <v>25</v>
      </c>
      <c r="AW108" s="95">
        <f t="shared" si="15"/>
        <v>77.5</v>
      </c>
      <c r="AY108" s="149">
        <f t="shared" si="16"/>
        <v>17.5</v>
      </c>
      <c r="AZ108" s="95" t="str">
        <f t="shared" si="17"/>
        <v>0-25</v>
      </c>
      <c r="BA108" s="95" t="str">
        <f t="shared" si="18"/>
        <v>0-25</v>
      </c>
      <c r="BB108" s="152">
        <f t="array" ref="BB108">iferror(XLOOKUP(C108,Sheet9!A:A,Sheet9!D:D),0)</f>
        <v>0</v>
      </c>
      <c r="BC108" s="2">
        <v>1.0</v>
      </c>
      <c r="BD108" s="95">
        <f t="array" ref="BD108">XLOOKUP(C108,ROS!C:C,ROS!O:O)</f>
        <v>0</v>
      </c>
      <c r="BE108" s="147">
        <f t="array" ref="BE108">IFERROR(XLOOKUP(C108,ROS!T:T,ROS!U:U),"")</f>
        <v>0</v>
      </c>
      <c r="BF108" s="147">
        <f t="array" ref="BF108">XLOOKUP(R108,'Refrence Data'!B:B,'Refrence Data'!T:T)</f>
        <v>0.033333</v>
      </c>
      <c r="BG108" s="95">
        <f t="shared" si="19"/>
        <v>0</v>
      </c>
      <c r="BH108" s="4" t="str">
        <f t="shared" si="20"/>
        <v/>
      </c>
      <c r="BO108" s="153"/>
      <c r="BP108" s="153" t="str">
        <f t="shared" si="26"/>
        <v/>
      </c>
      <c r="BQ108" s="153"/>
      <c r="BR108" s="153"/>
      <c r="BS108" s="153"/>
    </row>
    <row r="109">
      <c r="A109" s="171" t="e">
        <v>#N/A</v>
      </c>
      <c r="B109" s="171" t="s">
        <v>3521</v>
      </c>
      <c r="C109" s="137" t="s">
        <v>3583</v>
      </c>
      <c r="D109" s="138" t="s">
        <v>458</v>
      </c>
      <c r="E109" s="139" t="s">
        <v>974</v>
      </c>
      <c r="F109" s="140" t="s">
        <v>3582</v>
      </c>
      <c r="G109" s="141">
        <v>0.0</v>
      </c>
      <c r="H109" s="142">
        <v>29.93416</v>
      </c>
      <c r="I109" s="143" t="s">
        <v>112</v>
      </c>
      <c r="J109" s="83"/>
      <c r="K109" s="174">
        <v>1095.0</v>
      </c>
      <c r="R109" s="145" t="str">
        <f t="shared" si="1"/>
        <v>Beach_25+</v>
      </c>
      <c r="S109" s="146" t="str">
        <f t="shared" si="2"/>
        <v>25+</v>
      </c>
      <c r="T109" s="95" t="str">
        <f t="array" ref="T109">XLOOKUP(C109,'Depth or Width'!P:P,'Depth or Width'!V:V)</f>
        <v>#N/A</v>
      </c>
      <c r="U109" s="93">
        <f t="shared" si="3"/>
        <v>5</v>
      </c>
      <c r="V109" s="147">
        <f t="array" ref="V109">iferror(XLOOKUP(R109,'Refrence Data'!B:B,'Refrence Data'!W:W),"NA")</f>
        <v>0.033333</v>
      </c>
      <c r="W109" s="95">
        <f t="shared" si="4"/>
        <v>0</v>
      </c>
      <c r="Y109" s="148">
        <f t="array" ref="Y109">IFERROR(XLOOKUP(R109,'Refrence Data'!B:B,'Refrence Data'!N:N),"NA")</f>
        <v>0.814791</v>
      </c>
      <c r="Z109" s="95" t="str">
        <f t="shared" si="5"/>
        <v>HIGH</v>
      </c>
      <c r="AA109" s="147">
        <f t="array" ref="AA109">XLOOKUP(R109,'Refrence Data'!B:B,'Refrence Data'!AC:AC)</f>
        <v>0.25</v>
      </c>
      <c r="AB109" s="147">
        <f t="array" ref="AB109">IFERROR(XLOOKUP(R109,'Refrence Data'!B:B,'Refrence Data'!Y:Y),"NA")</f>
        <v>0.28564</v>
      </c>
      <c r="AC109" s="95" t="str">
        <f t="shared" si="6"/>
        <v>High</v>
      </c>
      <c r="AD109" s="95" t="str">
        <f t="shared" si="7"/>
        <v>#N/A</v>
      </c>
      <c r="AE109" s="95" t="str">
        <f t="shared" si="8"/>
        <v>#N/A</v>
      </c>
      <c r="AF109" s="95" t="str">
        <f t="array" ref="AF109">XLOOKUP(AE109,'Category Saturation'!A:A,'Category Saturation'!E:E)</f>
        <v>#N/A</v>
      </c>
      <c r="AH109" s="148">
        <f t="array" ref="AH109">iferror(XLOOKUP(R109,'New Launch Success Rate'!A:A,'New Launch Success Rate'!F:F),"NA")</f>
        <v>0.525</v>
      </c>
      <c r="AI109" s="95">
        <f t="shared" si="9"/>
        <v>50</v>
      </c>
      <c r="AK109" s="149" t="str">
        <f t="shared" si="10"/>
        <v>#N/A</v>
      </c>
      <c r="AM109" s="150">
        <f t="array" ref="AM109">XLOOKUP(R109,'Non Moving'!C:C,'Non Moving'!I:I)/100</f>
        <v>0.514</v>
      </c>
      <c r="AN109" s="151">
        <f t="shared" si="11"/>
        <v>0</v>
      </c>
      <c r="AO109" s="150">
        <f t="array" ref="AO109">XLOOKUP(R109,'Non Moving'!C:C,'Non Moving'!F:F)/100</f>
        <v>0.645</v>
      </c>
      <c r="AP109" s="151">
        <f t="shared" si="12"/>
        <v>0</v>
      </c>
      <c r="AR109" s="95">
        <f t="shared" si="13"/>
        <v>0</v>
      </c>
      <c r="AT109" s="95">
        <f t="shared" si="14"/>
        <v>100</v>
      </c>
      <c r="AU109" s="95">
        <f t="array" ref="AU109">iferror(XLOOKUP(J109,Monetization!A:A,Monetization!B:B),25)</f>
        <v>25</v>
      </c>
      <c r="AW109" s="95">
        <f t="shared" si="15"/>
        <v>77.5</v>
      </c>
      <c r="AY109" s="149" t="str">
        <f t="shared" si="16"/>
        <v>#N/A</v>
      </c>
      <c r="AZ109" s="95" t="str">
        <f t="shared" si="17"/>
        <v>#N/A</v>
      </c>
      <c r="BA109" s="95" t="str">
        <f t="shared" si="18"/>
        <v>#N/A</v>
      </c>
      <c r="BB109" s="152">
        <f t="array" ref="BB109">iferror(XLOOKUP(C109,Sheet9!A:A,Sheet9!D:D),0)</f>
        <v>0</v>
      </c>
      <c r="BC109" s="2">
        <v>1.0</v>
      </c>
      <c r="BD109" s="95">
        <f t="array" ref="BD109">XLOOKUP(C109,ROS!C:C,ROS!O:O)</f>
        <v>0</v>
      </c>
      <c r="BE109" s="147">
        <f t="array" ref="BE109">IFERROR(XLOOKUP(C109,ROS!T:T,ROS!U:U),"")</f>
        <v>0</v>
      </c>
      <c r="BF109" s="147">
        <f t="array" ref="BF109">XLOOKUP(R109,'Refrence Data'!B:B,'Refrence Data'!T:T)</f>
        <v>0.033333</v>
      </c>
      <c r="BG109" s="95">
        <f t="shared" si="19"/>
        <v>0</v>
      </c>
      <c r="BH109" s="4" t="str">
        <f t="shared" si="20"/>
        <v/>
      </c>
      <c r="BO109" s="153"/>
      <c r="BP109" s="153" t="str">
        <f t="shared" si="26"/>
        <v/>
      </c>
      <c r="BQ109" s="153"/>
      <c r="BR109" s="153"/>
      <c r="BS109" s="153"/>
    </row>
    <row r="110">
      <c r="A110" s="171">
        <v>6.291108549957E12</v>
      </c>
      <c r="B110" s="171" t="s">
        <v>3521</v>
      </c>
      <c r="C110" s="137" t="s">
        <v>978</v>
      </c>
      <c r="D110" s="138" t="s">
        <v>458</v>
      </c>
      <c r="E110" s="139" t="s">
        <v>974</v>
      </c>
      <c r="F110" s="140" t="s">
        <v>3582</v>
      </c>
      <c r="G110" s="141">
        <v>0.0</v>
      </c>
      <c r="H110" s="142">
        <v>32.27996</v>
      </c>
      <c r="I110" s="143" t="s">
        <v>112</v>
      </c>
      <c r="J110" s="83"/>
      <c r="K110" s="174">
        <v>1095.0</v>
      </c>
      <c r="R110" s="145" t="str">
        <f t="shared" si="1"/>
        <v>Beach_25+</v>
      </c>
      <c r="S110" s="146" t="str">
        <f t="shared" si="2"/>
        <v>25+</v>
      </c>
      <c r="T110" s="95" t="str">
        <f t="array" ref="T110">XLOOKUP(C110,'Depth or Width'!P:P,'Depth or Width'!V:V)</f>
        <v>Depth</v>
      </c>
      <c r="U110" s="93">
        <f t="shared" si="3"/>
        <v>5</v>
      </c>
      <c r="V110" s="147">
        <f t="array" ref="V110">iferror(XLOOKUP(R110,'Refrence Data'!B:B,'Refrence Data'!W:W),"NA")</f>
        <v>0.033333</v>
      </c>
      <c r="W110" s="95">
        <f t="shared" si="4"/>
        <v>0</v>
      </c>
      <c r="Y110" s="148">
        <f t="array" ref="Y110">IFERROR(XLOOKUP(R110,'Refrence Data'!B:B,'Refrence Data'!N:N),"NA")</f>
        <v>0.814791</v>
      </c>
      <c r="Z110" s="95" t="str">
        <f t="shared" si="5"/>
        <v>HIGH</v>
      </c>
      <c r="AA110" s="147">
        <f t="array" ref="AA110">XLOOKUP(R110,'Refrence Data'!B:B,'Refrence Data'!AC:AC)</f>
        <v>0.25</v>
      </c>
      <c r="AB110" s="147">
        <f t="array" ref="AB110">IFERROR(XLOOKUP(R110,'Refrence Data'!B:B,'Refrence Data'!Y:Y),"NA")</f>
        <v>0.28564</v>
      </c>
      <c r="AC110" s="95" t="str">
        <f t="shared" si="6"/>
        <v>High</v>
      </c>
      <c r="AD110" s="95" t="str">
        <f t="shared" si="7"/>
        <v>Depth</v>
      </c>
      <c r="AE110" s="95" t="str">
        <f t="shared" si="8"/>
        <v>HIGHHighDepth</v>
      </c>
      <c r="AF110" s="95">
        <f t="array" ref="AF110">XLOOKUP(AE110,'Category Saturation'!A:A,'Category Saturation'!E:E)</f>
        <v>0</v>
      </c>
      <c r="AH110" s="148">
        <f t="array" ref="AH110">iferror(XLOOKUP(R110,'New Launch Success Rate'!A:A,'New Launch Success Rate'!F:F),"NA")</f>
        <v>0.525</v>
      </c>
      <c r="AI110" s="95">
        <f t="shared" si="9"/>
        <v>50</v>
      </c>
      <c r="AK110" s="149">
        <f t="shared" si="10"/>
        <v>5</v>
      </c>
      <c r="AM110" s="150">
        <f t="array" ref="AM110">XLOOKUP(R110,'Non Moving'!C:C,'Non Moving'!I:I)/100</f>
        <v>0.514</v>
      </c>
      <c r="AN110" s="151">
        <f t="shared" si="11"/>
        <v>0</v>
      </c>
      <c r="AO110" s="150">
        <f t="array" ref="AO110">XLOOKUP(R110,'Non Moving'!C:C,'Non Moving'!F:F)/100</f>
        <v>0.645</v>
      </c>
      <c r="AP110" s="151">
        <f t="shared" si="12"/>
        <v>0</v>
      </c>
      <c r="AR110" s="95">
        <f t="shared" si="13"/>
        <v>0</v>
      </c>
      <c r="AT110" s="95">
        <f t="shared" si="14"/>
        <v>100</v>
      </c>
      <c r="AU110" s="95">
        <f t="array" ref="AU110">iferror(XLOOKUP(J110,Monetization!A:A,Monetization!B:B),25)</f>
        <v>25</v>
      </c>
      <c r="AW110" s="95">
        <f t="shared" si="15"/>
        <v>77.5</v>
      </c>
      <c r="AY110" s="149">
        <f t="shared" si="16"/>
        <v>17.5</v>
      </c>
      <c r="AZ110" s="95" t="str">
        <f t="shared" si="17"/>
        <v>0-25</v>
      </c>
      <c r="BA110" s="95" t="str">
        <f t="shared" si="18"/>
        <v>0-25</v>
      </c>
      <c r="BB110" s="152">
        <f t="array" ref="BB110">iferror(XLOOKUP(C110,Sheet9!A:A,Sheet9!D:D),0)</f>
        <v>0</v>
      </c>
      <c r="BC110" s="2">
        <v>1.0</v>
      </c>
      <c r="BD110" s="95">
        <f t="array" ref="BD110">XLOOKUP(C110,ROS!C:C,ROS!O:O)</f>
        <v>0.222222</v>
      </c>
      <c r="BE110" s="147">
        <f t="array" ref="BE110">IFERROR(XLOOKUP(C110,ROS!T:T,ROS!U:U),"")</f>
        <v>0</v>
      </c>
      <c r="BF110" s="147">
        <f t="array" ref="BF110">XLOOKUP(R110,'Refrence Data'!B:B,'Refrence Data'!T:T)</f>
        <v>0.033333</v>
      </c>
      <c r="BG110" s="95">
        <f t="shared" si="19"/>
        <v>0</v>
      </c>
      <c r="BH110" s="4" t="str">
        <f t="shared" si="20"/>
        <v/>
      </c>
      <c r="BO110" s="153"/>
      <c r="BP110" s="153" t="str">
        <f t="shared" si="26"/>
        <v/>
      </c>
      <c r="BQ110" s="153"/>
      <c r="BR110" s="153"/>
      <c r="BS110" s="153"/>
    </row>
    <row r="111">
      <c r="A111" s="171">
        <v>3.60052336336E12</v>
      </c>
      <c r="B111" s="171" t="s">
        <v>3507</v>
      </c>
      <c r="C111" s="137" t="s">
        <v>979</v>
      </c>
      <c r="D111" s="138" t="s">
        <v>472</v>
      </c>
      <c r="E111" s="139" t="s">
        <v>507</v>
      </c>
      <c r="F111" s="140" t="s">
        <v>3556</v>
      </c>
      <c r="G111" s="141">
        <v>1.0</v>
      </c>
      <c r="H111" s="142">
        <v>53.85597</v>
      </c>
      <c r="I111" s="143" t="s">
        <v>111</v>
      </c>
      <c r="J111" s="83"/>
      <c r="K111" s="174">
        <v>1095.0</v>
      </c>
      <c r="R111" s="145" t="str">
        <f t="shared" si="1"/>
        <v>Body &amp; Skin Care_25+</v>
      </c>
      <c r="S111" s="146" t="str">
        <f t="shared" si="2"/>
        <v>25+</v>
      </c>
      <c r="T111" s="95" t="str">
        <f t="array" ref="T111">XLOOKUP(C111,'Depth or Width'!P:P,'Depth or Width'!V:V)</f>
        <v>Depth</v>
      </c>
      <c r="U111" s="93">
        <f t="shared" si="3"/>
        <v>5</v>
      </c>
      <c r="V111" s="147">
        <f t="array" ref="V111">iferror(XLOOKUP(R111,'Refrence Data'!B:B,'Refrence Data'!W:W),"NA")</f>
        <v>0.36819</v>
      </c>
      <c r="W111" s="95">
        <f t="shared" si="4"/>
        <v>0</v>
      </c>
      <c r="Y111" s="148">
        <f t="array" ref="Y111">IFERROR(XLOOKUP(R111,'Refrence Data'!B:B,'Refrence Data'!N:N),"NA")</f>
        <v>0.674706</v>
      </c>
      <c r="Z111" s="95" t="str">
        <f t="shared" si="5"/>
        <v>MEDIUM</v>
      </c>
      <c r="AA111" s="147">
        <f t="array" ref="AA111">XLOOKUP(R111,'Refrence Data'!B:B,'Refrence Data'!AC:AC)</f>
        <v>0.753123</v>
      </c>
      <c r="AB111" s="147">
        <f t="array" ref="AB111">IFERROR(XLOOKUP(R111,'Refrence Data'!B:B,'Refrence Data'!Y:Y),"NA")</f>
        <v>0.617037</v>
      </c>
      <c r="AC111" s="95" t="str">
        <f t="shared" si="6"/>
        <v>High</v>
      </c>
      <c r="AD111" s="95" t="str">
        <f t="shared" si="7"/>
        <v>Depth</v>
      </c>
      <c r="AE111" s="95" t="str">
        <f t="shared" si="8"/>
        <v>MEDIUMHighDepth</v>
      </c>
      <c r="AF111" s="95">
        <f t="array" ref="AF111">XLOOKUP(AE111,'Category Saturation'!A:A,'Category Saturation'!E:E)</f>
        <v>60</v>
      </c>
      <c r="AH111" s="148">
        <f t="array" ref="AH111">iferror(XLOOKUP(R111,'New Launch Success Rate'!A:A,'New Launch Success Rate'!F:F),"NA")</f>
        <v>0.722</v>
      </c>
      <c r="AI111" s="95">
        <f t="shared" si="9"/>
        <v>100</v>
      </c>
      <c r="AK111" s="149">
        <f t="shared" si="10"/>
        <v>28</v>
      </c>
      <c r="AM111" s="150">
        <f t="array" ref="AM111">XLOOKUP(R111,'Non Moving'!C:C,'Non Moving'!I:I)/100</f>
        <v>0.419</v>
      </c>
      <c r="AN111" s="151">
        <f t="shared" si="11"/>
        <v>0</v>
      </c>
      <c r="AO111" s="150">
        <f t="array" ref="AO111">XLOOKUP(R111,'Non Moving'!C:C,'Non Moving'!F:F)/100</f>
        <v>0.56</v>
      </c>
      <c r="AP111" s="151">
        <f t="shared" si="12"/>
        <v>0</v>
      </c>
      <c r="AR111" s="95">
        <f t="shared" si="13"/>
        <v>0</v>
      </c>
      <c r="AT111" s="95">
        <f t="shared" si="14"/>
        <v>0</v>
      </c>
      <c r="AU111" s="95">
        <f t="array" ref="AU111">iferror(XLOOKUP(J111,Monetization!A:A,Monetization!B:B),25)</f>
        <v>25</v>
      </c>
      <c r="AW111" s="95">
        <f t="shared" si="15"/>
        <v>7.5</v>
      </c>
      <c r="AY111" s="149">
        <f t="shared" si="16"/>
        <v>12.7</v>
      </c>
      <c r="AZ111" s="95" t="str">
        <f t="shared" si="17"/>
        <v>0-25</v>
      </c>
      <c r="BA111" s="95" t="str">
        <f t="shared" si="18"/>
        <v>25-50</v>
      </c>
      <c r="BB111" s="152">
        <f t="array" ref="BB111">iferror(XLOOKUP(C111,Sheet9!A:A,Sheet9!D:D),0)</f>
        <v>0.04</v>
      </c>
      <c r="BC111" s="2">
        <v>1.0</v>
      </c>
      <c r="BD111" s="95">
        <f t="array" ref="BD111">XLOOKUP(C111,ROS!C:C,ROS!O:O)</f>
        <v>0</v>
      </c>
      <c r="BE111" s="147">
        <f t="array" ref="BE111">IFERROR(XLOOKUP(C111,ROS!T:T,ROS!U:U),"")</f>
        <v>0</v>
      </c>
      <c r="BF111" s="147">
        <f t="array" ref="BF111">XLOOKUP(R111,'Refrence Data'!B:B,'Refrence Data'!T:T)</f>
        <v>0.085714</v>
      </c>
      <c r="BG111" s="95">
        <f t="shared" si="19"/>
        <v>0</v>
      </c>
      <c r="BH111" s="4" t="str">
        <f t="shared" si="20"/>
        <v/>
      </c>
      <c r="BO111" s="153"/>
      <c r="BP111" s="153" t="str">
        <f t="shared" si="26"/>
        <v/>
      </c>
      <c r="BQ111" s="153"/>
      <c r="BR111" s="153"/>
      <c r="BS111" s="153"/>
    </row>
    <row r="112">
      <c r="A112" s="171">
        <v>8.718951675681E12</v>
      </c>
      <c r="B112" s="171" t="s">
        <v>3507</v>
      </c>
      <c r="C112" s="137" t="s">
        <v>982</v>
      </c>
      <c r="D112" s="138" t="s">
        <v>472</v>
      </c>
      <c r="E112" s="139" t="s">
        <v>477</v>
      </c>
      <c r="F112" s="140" t="s">
        <v>3584</v>
      </c>
      <c r="G112" s="141">
        <v>0.0</v>
      </c>
      <c r="H112" s="142">
        <v>36.97079</v>
      </c>
      <c r="I112" s="143" t="s">
        <v>111</v>
      </c>
      <c r="J112" s="83"/>
      <c r="K112" s="174">
        <v>1064.0</v>
      </c>
      <c r="R112" s="145" t="str">
        <f t="shared" si="1"/>
        <v>Oral Care_25+</v>
      </c>
      <c r="S112" s="146" t="str">
        <f t="shared" si="2"/>
        <v>25+</v>
      </c>
      <c r="T112" s="95" t="str">
        <f t="array" ref="T112">XLOOKUP(C112,'Depth or Width'!P:P,'Depth or Width'!V:V)</f>
        <v>Depth</v>
      </c>
      <c r="U112" s="93">
        <f t="shared" si="3"/>
        <v>5</v>
      </c>
      <c r="V112" s="147">
        <f t="array" ref="V112">iferror(XLOOKUP(R112,'Refrence Data'!B:B,'Refrence Data'!W:W),"NA")</f>
        <v>2.12737</v>
      </c>
      <c r="W112" s="95">
        <f t="shared" si="4"/>
        <v>0</v>
      </c>
      <c r="Y112" s="148">
        <f t="array" ref="Y112">IFERROR(XLOOKUP(R112,'Refrence Data'!B:B,'Refrence Data'!N:N),"NA")</f>
        <v>0.592661</v>
      </c>
      <c r="Z112" s="95" t="str">
        <f t="shared" si="5"/>
        <v>MEDIUM</v>
      </c>
      <c r="AA112" s="147">
        <f t="array" ref="AA112">XLOOKUP(R112,'Refrence Data'!B:B,'Refrence Data'!AC:AC)</f>
        <v>5.030053</v>
      </c>
      <c r="AB112" s="147">
        <f t="array" ref="AB112">IFERROR(XLOOKUP(R112,'Refrence Data'!B:B,'Refrence Data'!Y:Y),"NA")</f>
        <v>2.801665</v>
      </c>
      <c r="AC112" s="95" t="str">
        <f t="shared" si="6"/>
        <v>High</v>
      </c>
      <c r="AD112" s="95" t="str">
        <f t="shared" si="7"/>
        <v>Depth</v>
      </c>
      <c r="AE112" s="95" t="str">
        <f t="shared" si="8"/>
        <v>MEDIUMHighDepth</v>
      </c>
      <c r="AF112" s="95">
        <f t="array" ref="AF112">XLOOKUP(AE112,'Category Saturation'!A:A,'Category Saturation'!E:E)</f>
        <v>60</v>
      </c>
      <c r="AH112" s="148">
        <f t="array" ref="AH112">iferror(XLOOKUP(R112,'New Launch Success Rate'!A:A,'New Launch Success Rate'!F:F),"NA")</f>
        <v>0.625</v>
      </c>
      <c r="AI112" s="95">
        <f t="shared" si="9"/>
        <v>50</v>
      </c>
      <c r="AK112" s="149">
        <f t="shared" si="10"/>
        <v>23</v>
      </c>
      <c r="AM112" s="150">
        <f t="array" ref="AM112">XLOOKUP(R112,'Non Moving'!C:C,'Non Moving'!I:I)/100</f>
        <v>0.1</v>
      </c>
      <c r="AN112" s="151">
        <f t="shared" si="11"/>
        <v>75</v>
      </c>
      <c r="AO112" s="150">
        <f t="array" ref="AO112">XLOOKUP(R112,'Non Moving'!C:C,'Non Moving'!F:F)/100</f>
        <v>0.273</v>
      </c>
      <c r="AP112" s="151">
        <f t="shared" si="12"/>
        <v>75</v>
      </c>
      <c r="AR112" s="95">
        <f t="shared" si="13"/>
        <v>75</v>
      </c>
      <c r="AT112" s="95">
        <f t="shared" si="14"/>
        <v>0</v>
      </c>
      <c r="AU112" s="95">
        <f t="array" ref="AU112">iferror(XLOOKUP(J112,Monetization!A:A,Monetization!B:B),25)</f>
        <v>25</v>
      </c>
      <c r="AW112" s="95">
        <f t="shared" si="15"/>
        <v>7.5</v>
      </c>
      <c r="AY112" s="149">
        <f t="shared" si="16"/>
        <v>40.7</v>
      </c>
      <c r="AZ112" s="95" t="str">
        <f t="shared" si="17"/>
        <v>25-50</v>
      </c>
      <c r="BA112" s="95" t="str">
        <f t="shared" si="18"/>
        <v>0-25</v>
      </c>
      <c r="BB112" s="152">
        <f t="array" ref="BB112">iferror(XLOOKUP(C112,Sheet9!A:A,Sheet9!D:D),0)</f>
        <v>0.65</v>
      </c>
      <c r="BC112" s="2">
        <v>1.0</v>
      </c>
      <c r="BD112" s="95">
        <f t="array" ref="BD112">XLOOKUP(C112,ROS!C:C,ROS!O:O)</f>
        <v>8.084099</v>
      </c>
      <c r="BE112" s="147">
        <f t="array" ref="BE112">IFERROR(XLOOKUP(C112,ROS!T:T,ROS!U:U),"")</f>
        <v>7.315223665</v>
      </c>
      <c r="BF112" s="147">
        <f t="array" ref="BF112">XLOOKUP(R112,'Refrence Data'!B:B,'Refrence Data'!T:T)</f>
        <v>0.309886</v>
      </c>
      <c r="BG112" s="95">
        <f t="shared" si="19"/>
        <v>1</v>
      </c>
      <c r="BH112" s="4" t="str">
        <f t="shared" si="20"/>
        <v/>
      </c>
      <c r="BO112" s="153"/>
      <c r="BP112" s="153" t="str">
        <f t="shared" si="26"/>
        <v/>
      </c>
      <c r="BQ112" s="153"/>
      <c r="BR112" s="153"/>
      <c r="BS112" s="153"/>
    </row>
    <row r="113">
      <c r="A113" s="171">
        <v>4.251232221619E12</v>
      </c>
      <c r="B113" s="171" t="s">
        <v>3521</v>
      </c>
      <c r="C113" s="137" t="s">
        <v>984</v>
      </c>
      <c r="D113" s="138" t="s">
        <v>472</v>
      </c>
      <c r="E113" s="139" t="s">
        <v>986</v>
      </c>
      <c r="F113" s="140" t="s">
        <v>3585</v>
      </c>
      <c r="G113" s="141">
        <v>1.0</v>
      </c>
      <c r="H113" s="142">
        <v>12.23966</v>
      </c>
      <c r="I113" s="143" t="s">
        <v>111</v>
      </c>
      <c r="J113" s="83"/>
      <c r="K113" s="174">
        <v>1095.0</v>
      </c>
      <c r="R113" s="145" t="str">
        <f t="shared" si="1"/>
        <v>Makeup_10-15</v>
      </c>
      <c r="S113" s="146" t="str">
        <f t="shared" si="2"/>
        <v>10-15</v>
      </c>
      <c r="T113" s="95" t="str">
        <f t="array" ref="T113">XLOOKUP(C113,'Depth or Width'!P:P,'Depth or Width'!V:V)</f>
        <v>Depth</v>
      </c>
      <c r="U113" s="93">
        <f t="shared" si="3"/>
        <v>5</v>
      </c>
      <c r="V113" s="147">
        <f t="array" ref="V113">iferror(XLOOKUP(R113,'Refrence Data'!B:B,'Refrence Data'!W:W),"NA")</f>
        <v>2.3089</v>
      </c>
      <c r="W113" s="95">
        <f t="shared" si="4"/>
        <v>0</v>
      </c>
      <c r="Y113" s="148">
        <f t="array" ref="Y113">IFERROR(XLOOKUP(R113,'Refrence Data'!B:B,'Refrence Data'!N:N),"NA")</f>
        <v>1</v>
      </c>
      <c r="Z113" s="95" t="str">
        <f t="shared" si="5"/>
        <v>HIGH</v>
      </c>
      <c r="AA113" s="147">
        <f t="array" ref="AA113">XLOOKUP(R113,'Refrence Data'!B:B,'Refrence Data'!AC:AC)</f>
        <v>2.297512</v>
      </c>
      <c r="AB113" s="147">
        <f t="array" ref="AB113">IFERROR(XLOOKUP(R113,'Refrence Data'!B:B,'Refrence Data'!Y:Y),"NA")</f>
        <v>2.3089</v>
      </c>
      <c r="AC113" s="95" t="str">
        <f t="shared" si="6"/>
        <v>High</v>
      </c>
      <c r="AD113" s="95" t="str">
        <f t="shared" si="7"/>
        <v>Depth</v>
      </c>
      <c r="AE113" s="95" t="str">
        <f t="shared" si="8"/>
        <v>HIGHHighDepth</v>
      </c>
      <c r="AF113" s="95">
        <f t="array" ref="AF113">XLOOKUP(AE113,'Category Saturation'!A:A,'Category Saturation'!E:E)</f>
        <v>0</v>
      </c>
      <c r="AH113" s="148">
        <f t="array" ref="AH113">iferror(XLOOKUP(R113,'New Launch Success Rate'!A:A,'New Launch Success Rate'!F:F),"NA")</f>
        <v>0.6</v>
      </c>
      <c r="AI113" s="95">
        <f t="shared" si="9"/>
        <v>50</v>
      </c>
      <c r="AK113" s="149">
        <f t="shared" si="10"/>
        <v>5</v>
      </c>
      <c r="AM113" s="150">
        <f t="array" ref="AM113">XLOOKUP(R113,'Non Moving'!C:C,'Non Moving'!I:I)/100</f>
        <v>0.162</v>
      </c>
      <c r="AN113" s="151">
        <f t="shared" si="11"/>
        <v>50</v>
      </c>
      <c r="AO113" s="150">
        <f t="array" ref="AO113">XLOOKUP(R113,'Non Moving'!C:C,'Non Moving'!F:F)/100</f>
        <v>0.133</v>
      </c>
      <c r="AP113" s="151">
        <f t="shared" si="12"/>
        <v>100</v>
      </c>
      <c r="AR113" s="95">
        <f t="shared" si="13"/>
        <v>75</v>
      </c>
      <c r="AT113" s="95">
        <f t="shared" si="14"/>
        <v>0</v>
      </c>
      <c r="AU113" s="95">
        <f t="array" ref="AU113">iferror(XLOOKUP(J113,Monetization!A:A,Monetization!B:B),25)</f>
        <v>25</v>
      </c>
      <c r="AW113" s="95">
        <f t="shared" si="15"/>
        <v>7.5</v>
      </c>
      <c r="AY113" s="149">
        <f t="shared" si="16"/>
        <v>33.5</v>
      </c>
      <c r="AZ113" s="95" t="str">
        <f t="shared" si="17"/>
        <v>25-50</v>
      </c>
      <c r="BA113" s="95" t="str">
        <f t="shared" si="18"/>
        <v>0-25</v>
      </c>
      <c r="BB113" s="152">
        <f t="array" ref="BB113">iferror(XLOOKUP(C113,Sheet9!A:A,Sheet9!D:D),0)</f>
        <v>0.95</v>
      </c>
      <c r="BC113" s="2">
        <v>1.0</v>
      </c>
      <c r="BD113" s="95">
        <f t="array" ref="BD113">XLOOKUP(C113,ROS!C:C,ROS!O:O)</f>
        <v>1.791209</v>
      </c>
      <c r="BE113" s="147">
        <f t="array" ref="BE113">IFERROR(XLOOKUP(C113,ROS!T:T,ROS!U:U),"")</f>
        <v>0</v>
      </c>
      <c r="BF113" s="147">
        <f t="array" ref="BF113">XLOOKUP(R113,'Refrence Data'!B:B,'Refrence Data'!T:T)</f>
        <v>2.3089</v>
      </c>
      <c r="BG113" s="95">
        <f t="shared" si="19"/>
        <v>0</v>
      </c>
      <c r="BH113" s="4" t="str">
        <f t="shared" si="20"/>
        <v>TN</v>
      </c>
      <c r="BO113" s="153"/>
      <c r="BP113" s="153" t="str">
        <f t="shared" si="26"/>
        <v>TN</v>
      </c>
      <c r="BQ113" s="153"/>
      <c r="BR113" s="153"/>
      <c r="BS113" s="153"/>
    </row>
    <row r="114">
      <c r="A114" s="171">
        <v>4.250587705461E12</v>
      </c>
      <c r="B114" s="171" t="s">
        <v>3521</v>
      </c>
      <c r="C114" s="137" t="s">
        <v>990</v>
      </c>
      <c r="D114" s="138" t="s">
        <v>472</v>
      </c>
      <c r="E114" s="139" t="s">
        <v>986</v>
      </c>
      <c r="F114" s="140" t="s">
        <v>3585</v>
      </c>
      <c r="G114" s="141">
        <v>0.0</v>
      </c>
      <c r="H114" s="142">
        <v>11.08232</v>
      </c>
      <c r="I114" s="143" t="s">
        <v>111</v>
      </c>
      <c r="J114" s="83"/>
      <c r="K114" s="174">
        <v>1095.0</v>
      </c>
      <c r="R114" s="145" t="str">
        <f t="shared" si="1"/>
        <v>Makeup_10-15</v>
      </c>
      <c r="S114" s="146" t="str">
        <f t="shared" si="2"/>
        <v>10-15</v>
      </c>
      <c r="T114" s="95" t="str">
        <f t="array" ref="T114">XLOOKUP(C114,'Depth or Width'!P:P,'Depth or Width'!V:V)</f>
        <v>Depth</v>
      </c>
      <c r="U114" s="93">
        <f t="shared" si="3"/>
        <v>5</v>
      </c>
      <c r="V114" s="147">
        <f t="array" ref="V114">iferror(XLOOKUP(R114,'Refrence Data'!B:B,'Refrence Data'!W:W),"NA")</f>
        <v>2.3089</v>
      </c>
      <c r="W114" s="95">
        <f t="shared" si="4"/>
        <v>0</v>
      </c>
      <c r="Y114" s="148">
        <f t="array" ref="Y114">IFERROR(XLOOKUP(R114,'Refrence Data'!B:B,'Refrence Data'!N:N),"NA")</f>
        <v>1</v>
      </c>
      <c r="Z114" s="95" t="str">
        <f t="shared" si="5"/>
        <v>HIGH</v>
      </c>
      <c r="AA114" s="147">
        <f t="array" ref="AA114">XLOOKUP(R114,'Refrence Data'!B:B,'Refrence Data'!AC:AC)</f>
        <v>2.297512</v>
      </c>
      <c r="AB114" s="147">
        <f t="array" ref="AB114">IFERROR(XLOOKUP(R114,'Refrence Data'!B:B,'Refrence Data'!Y:Y),"NA")</f>
        <v>2.3089</v>
      </c>
      <c r="AC114" s="95" t="str">
        <f t="shared" si="6"/>
        <v>High</v>
      </c>
      <c r="AD114" s="95" t="str">
        <f t="shared" si="7"/>
        <v>Depth</v>
      </c>
      <c r="AE114" s="95" t="str">
        <f t="shared" si="8"/>
        <v>HIGHHighDepth</v>
      </c>
      <c r="AF114" s="95">
        <f t="array" ref="AF114">XLOOKUP(AE114,'Category Saturation'!A:A,'Category Saturation'!E:E)</f>
        <v>0</v>
      </c>
      <c r="AH114" s="148">
        <f t="array" ref="AH114">iferror(XLOOKUP(R114,'New Launch Success Rate'!A:A,'New Launch Success Rate'!F:F),"NA")</f>
        <v>0.6</v>
      </c>
      <c r="AI114" s="95">
        <f t="shared" si="9"/>
        <v>50</v>
      </c>
      <c r="AK114" s="149">
        <f t="shared" si="10"/>
        <v>5</v>
      </c>
      <c r="AM114" s="150">
        <f t="array" ref="AM114">XLOOKUP(R114,'Non Moving'!C:C,'Non Moving'!I:I)/100</f>
        <v>0.162</v>
      </c>
      <c r="AN114" s="151">
        <f t="shared" si="11"/>
        <v>50</v>
      </c>
      <c r="AO114" s="150">
        <f t="array" ref="AO114">XLOOKUP(R114,'Non Moving'!C:C,'Non Moving'!F:F)/100</f>
        <v>0.133</v>
      </c>
      <c r="AP114" s="151">
        <f t="shared" si="12"/>
        <v>100</v>
      </c>
      <c r="AR114" s="95">
        <f t="shared" si="13"/>
        <v>75</v>
      </c>
      <c r="AT114" s="95">
        <f t="shared" si="14"/>
        <v>0</v>
      </c>
      <c r="AU114" s="95">
        <f t="array" ref="AU114">iferror(XLOOKUP(J114,Monetization!A:A,Monetization!B:B),25)</f>
        <v>25</v>
      </c>
      <c r="AW114" s="95">
        <f t="shared" si="15"/>
        <v>7.5</v>
      </c>
      <c r="AY114" s="149">
        <f t="shared" si="16"/>
        <v>33.5</v>
      </c>
      <c r="AZ114" s="95" t="str">
        <f t="shared" si="17"/>
        <v>25-50</v>
      </c>
      <c r="BA114" s="95" t="str">
        <f t="shared" si="18"/>
        <v>0-25</v>
      </c>
      <c r="BB114" s="152">
        <f t="array" ref="BB114">iferror(XLOOKUP(C114,Sheet9!A:A,Sheet9!D:D),0)</f>
        <v>0.95</v>
      </c>
      <c r="BC114" s="2">
        <v>1.0</v>
      </c>
      <c r="BD114" s="95">
        <f t="array" ref="BD114">XLOOKUP(C114,ROS!C:C,ROS!O:O)</f>
        <v>0.5</v>
      </c>
      <c r="BE114" s="147">
        <f t="array" ref="BE114">IFERROR(XLOOKUP(C114,ROS!T:T,ROS!U:U),"")</f>
        <v>0</v>
      </c>
      <c r="BF114" s="147">
        <f t="array" ref="BF114">XLOOKUP(R114,'Refrence Data'!B:B,'Refrence Data'!T:T)</f>
        <v>2.3089</v>
      </c>
      <c r="BG114" s="95">
        <f t="shared" si="19"/>
        <v>0</v>
      </c>
      <c r="BH114" s="4" t="str">
        <f t="shared" si="20"/>
        <v>TN</v>
      </c>
      <c r="BO114" s="153"/>
      <c r="BP114" s="153" t="str">
        <f t="shared" si="26"/>
        <v>TN</v>
      </c>
      <c r="BQ114" s="153"/>
      <c r="BR114" s="153"/>
      <c r="BS114" s="153"/>
    </row>
    <row r="115">
      <c r="A115" s="171">
        <v>4.059729466242E12</v>
      </c>
      <c r="B115" s="171" t="s">
        <v>3521</v>
      </c>
      <c r="C115" s="137" t="s">
        <v>994</v>
      </c>
      <c r="D115" s="138" t="s">
        <v>472</v>
      </c>
      <c r="E115" s="139" t="s">
        <v>986</v>
      </c>
      <c r="F115" s="140" t="s">
        <v>3585</v>
      </c>
      <c r="G115" s="141">
        <v>0.0</v>
      </c>
      <c r="H115" s="142">
        <v>13.35684</v>
      </c>
      <c r="I115" s="143" t="s">
        <v>111</v>
      </c>
      <c r="J115" s="83"/>
      <c r="K115" s="174">
        <v>1095.0</v>
      </c>
      <c r="R115" s="145" t="str">
        <f t="shared" si="1"/>
        <v>Makeup_10-15</v>
      </c>
      <c r="S115" s="146" t="str">
        <f t="shared" si="2"/>
        <v>10-15</v>
      </c>
      <c r="T115" s="95" t="str">
        <f t="array" ref="T115">XLOOKUP(C115,'Depth or Width'!P:P,'Depth or Width'!V:V)</f>
        <v>Depth</v>
      </c>
      <c r="U115" s="93">
        <f t="shared" si="3"/>
        <v>5</v>
      </c>
      <c r="V115" s="147">
        <f t="array" ref="V115">iferror(XLOOKUP(R115,'Refrence Data'!B:B,'Refrence Data'!W:W),"NA")</f>
        <v>2.3089</v>
      </c>
      <c r="W115" s="95">
        <f t="shared" si="4"/>
        <v>0</v>
      </c>
      <c r="Y115" s="148">
        <f t="array" ref="Y115">IFERROR(XLOOKUP(R115,'Refrence Data'!B:B,'Refrence Data'!N:N),"NA")</f>
        <v>1</v>
      </c>
      <c r="Z115" s="95" t="str">
        <f t="shared" si="5"/>
        <v>HIGH</v>
      </c>
      <c r="AA115" s="147">
        <f t="array" ref="AA115">XLOOKUP(R115,'Refrence Data'!B:B,'Refrence Data'!AC:AC)</f>
        <v>2.297512</v>
      </c>
      <c r="AB115" s="147">
        <f t="array" ref="AB115">IFERROR(XLOOKUP(R115,'Refrence Data'!B:B,'Refrence Data'!Y:Y),"NA")</f>
        <v>2.3089</v>
      </c>
      <c r="AC115" s="95" t="str">
        <f t="shared" si="6"/>
        <v>High</v>
      </c>
      <c r="AD115" s="95" t="str">
        <f t="shared" si="7"/>
        <v>Depth</v>
      </c>
      <c r="AE115" s="95" t="str">
        <f t="shared" si="8"/>
        <v>HIGHHighDepth</v>
      </c>
      <c r="AF115" s="95">
        <f t="array" ref="AF115">XLOOKUP(AE115,'Category Saturation'!A:A,'Category Saturation'!E:E)</f>
        <v>0</v>
      </c>
      <c r="AH115" s="148">
        <f t="array" ref="AH115">iferror(XLOOKUP(R115,'New Launch Success Rate'!A:A,'New Launch Success Rate'!F:F),"NA")</f>
        <v>0.6</v>
      </c>
      <c r="AI115" s="95">
        <f t="shared" si="9"/>
        <v>50</v>
      </c>
      <c r="AK115" s="149">
        <f t="shared" si="10"/>
        <v>5</v>
      </c>
      <c r="AM115" s="150">
        <f t="array" ref="AM115">XLOOKUP(R115,'Non Moving'!C:C,'Non Moving'!I:I)/100</f>
        <v>0.162</v>
      </c>
      <c r="AN115" s="151">
        <f t="shared" si="11"/>
        <v>50</v>
      </c>
      <c r="AO115" s="150">
        <f t="array" ref="AO115">XLOOKUP(R115,'Non Moving'!C:C,'Non Moving'!F:F)/100</f>
        <v>0.133</v>
      </c>
      <c r="AP115" s="151">
        <f t="shared" si="12"/>
        <v>100</v>
      </c>
      <c r="AR115" s="95">
        <f t="shared" si="13"/>
        <v>75</v>
      </c>
      <c r="AT115" s="95">
        <f t="shared" si="14"/>
        <v>0</v>
      </c>
      <c r="AU115" s="95">
        <f t="array" ref="AU115">iferror(XLOOKUP(J115,Monetization!A:A,Monetization!B:B),25)</f>
        <v>25</v>
      </c>
      <c r="AW115" s="95">
        <f t="shared" si="15"/>
        <v>7.5</v>
      </c>
      <c r="AY115" s="149">
        <f t="shared" si="16"/>
        <v>33.5</v>
      </c>
      <c r="AZ115" s="95" t="str">
        <f t="shared" si="17"/>
        <v>25-50</v>
      </c>
      <c r="BA115" s="95" t="str">
        <f t="shared" si="18"/>
        <v>0-25</v>
      </c>
      <c r="BB115" s="152">
        <f t="array" ref="BB115">iferror(XLOOKUP(C115,Sheet9!A:A,Sheet9!D:D),0)</f>
        <v>0.96</v>
      </c>
      <c r="BC115" s="2">
        <v>1.0</v>
      </c>
      <c r="BD115" s="95">
        <f t="array" ref="BD115">XLOOKUP(C115,ROS!C:C,ROS!O:O)</f>
        <v>0.071429</v>
      </c>
      <c r="BE115" s="147">
        <f t="array" ref="BE115">IFERROR(XLOOKUP(C115,ROS!T:T,ROS!U:U),"")</f>
        <v>0</v>
      </c>
      <c r="BF115" s="147">
        <f t="array" ref="BF115">XLOOKUP(R115,'Refrence Data'!B:B,'Refrence Data'!T:T)</f>
        <v>2.3089</v>
      </c>
      <c r="BG115" s="95">
        <f t="shared" si="19"/>
        <v>0</v>
      </c>
      <c r="BH115" s="4" t="str">
        <f t="shared" si="20"/>
        <v>TN</v>
      </c>
      <c r="BO115" s="153"/>
      <c r="BP115" s="153" t="str">
        <f t="shared" si="26"/>
        <v>TN</v>
      </c>
      <c r="BQ115" s="153"/>
      <c r="BR115" s="153"/>
      <c r="BS115" s="153"/>
    </row>
    <row r="116">
      <c r="A116" s="171">
        <v>4.059729447371E12</v>
      </c>
      <c r="B116" s="171" t="s">
        <v>3521</v>
      </c>
      <c r="C116" s="137" t="s">
        <v>995</v>
      </c>
      <c r="D116" s="138" t="s">
        <v>472</v>
      </c>
      <c r="E116" s="139" t="s">
        <v>986</v>
      </c>
      <c r="F116" s="140" t="s">
        <v>3585</v>
      </c>
      <c r="G116" s="141">
        <v>0.0</v>
      </c>
      <c r="H116" s="142">
        <v>10.99131</v>
      </c>
      <c r="I116" s="143" t="s">
        <v>111</v>
      </c>
      <c r="J116" s="83"/>
      <c r="K116" s="174">
        <v>1095.0</v>
      </c>
      <c r="R116" s="145" t="str">
        <f t="shared" si="1"/>
        <v>Makeup_10-15</v>
      </c>
      <c r="S116" s="146" t="str">
        <f t="shared" si="2"/>
        <v>10-15</v>
      </c>
      <c r="T116" s="95" t="str">
        <f t="array" ref="T116">XLOOKUP(C116,'Depth or Width'!P:P,'Depth or Width'!V:V)</f>
        <v>Depth</v>
      </c>
      <c r="U116" s="93">
        <f t="shared" si="3"/>
        <v>5</v>
      </c>
      <c r="V116" s="147">
        <f t="array" ref="V116">iferror(XLOOKUP(R116,'Refrence Data'!B:B,'Refrence Data'!W:W),"NA")</f>
        <v>2.3089</v>
      </c>
      <c r="W116" s="95">
        <f t="shared" si="4"/>
        <v>0</v>
      </c>
      <c r="Y116" s="148">
        <f t="array" ref="Y116">IFERROR(XLOOKUP(R116,'Refrence Data'!B:B,'Refrence Data'!N:N),"NA")</f>
        <v>1</v>
      </c>
      <c r="Z116" s="95" t="str">
        <f t="shared" si="5"/>
        <v>HIGH</v>
      </c>
      <c r="AA116" s="147">
        <f t="array" ref="AA116">XLOOKUP(R116,'Refrence Data'!B:B,'Refrence Data'!AC:AC)</f>
        <v>2.297512</v>
      </c>
      <c r="AB116" s="147">
        <f t="array" ref="AB116">IFERROR(XLOOKUP(R116,'Refrence Data'!B:B,'Refrence Data'!Y:Y),"NA")</f>
        <v>2.3089</v>
      </c>
      <c r="AC116" s="95" t="str">
        <f t="shared" si="6"/>
        <v>High</v>
      </c>
      <c r="AD116" s="95" t="str">
        <f t="shared" si="7"/>
        <v>Depth</v>
      </c>
      <c r="AE116" s="95" t="str">
        <f t="shared" si="8"/>
        <v>HIGHHighDepth</v>
      </c>
      <c r="AF116" s="95">
        <f t="array" ref="AF116">XLOOKUP(AE116,'Category Saturation'!A:A,'Category Saturation'!E:E)</f>
        <v>0</v>
      </c>
      <c r="AH116" s="148">
        <f t="array" ref="AH116">iferror(XLOOKUP(R116,'New Launch Success Rate'!A:A,'New Launch Success Rate'!F:F),"NA")</f>
        <v>0.6</v>
      </c>
      <c r="AI116" s="95">
        <f t="shared" si="9"/>
        <v>50</v>
      </c>
      <c r="AK116" s="149">
        <f t="shared" si="10"/>
        <v>5</v>
      </c>
      <c r="AM116" s="150">
        <f t="array" ref="AM116">XLOOKUP(R116,'Non Moving'!C:C,'Non Moving'!I:I)/100</f>
        <v>0.162</v>
      </c>
      <c r="AN116" s="151">
        <f t="shared" si="11"/>
        <v>50</v>
      </c>
      <c r="AO116" s="150">
        <f t="array" ref="AO116">XLOOKUP(R116,'Non Moving'!C:C,'Non Moving'!F:F)/100</f>
        <v>0.133</v>
      </c>
      <c r="AP116" s="151">
        <f t="shared" si="12"/>
        <v>100</v>
      </c>
      <c r="AR116" s="95">
        <f t="shared" si="13"/>
        <v>75</v>
      </c>
      <c r="AT116" s="95">
        <f t="shared" si="14"/>
        <v>0</v>
      </c>
      <c r="AU116" s="95">
        <f t="array" ref="AU116">iferror(XLOOKUP(J116,Monetization!A:A,Monetization!B:B),25)</f>
        <v>25</v>
      </c>
      <c r="AW116" s="95">
        <f t="shared" si="15"/>
        <v>7.5</v>
      </c>
      <c r="AY116" s="149">
        <f t="shared" si="16"/>
        <v>33.5</v>
      </c>
      <c r="AZ116" s="95" t="str">
        <f t="shared" si="17"/>
        <v>25-50</v>
      </c>
      <c r="BA116" s="95" t="str">
        <f t="shared" si="18"/>
        <v>0-25</v>
      </c>
      <c r="BB116" s="152">
        <f t="array" ref="BB116">iferror(XLOOKUP(C116,Sheet9!A:A,Sheet9!D:D),0)</f>
        <v>0.95</v>
      </c>
      <c r="BC116" s="2">
        <v>1.0</v>
      </c>
      <c r="BD116" s="95">
        <f t="array" ref="BD116">XLOOKUP(C116,ROS!C:C,ROS!O:O)</f>
        <v>0.071429</v>
      </c>
      <c r="BE116" s="147">
        <f t="array" ref="BE116">IFERROR(XLOOKUP(C116,ROS!T:T,ROS!U:U),"")</f>
        <v>0.142857143</v>
      </c>
      <c r="BF116" s="147">
        <f t="array" ref="BF116">XLOOKUP(R116,'Refrence Data'!B:B,'Refrence Data'!T:T)</f>
        <v>2.3089</v>
      </c>
      <c r="BG116" s="95">
        <f t="shared" si="19"/>
        <v>0</v>
      </c>
      <c r="BH116" s="4" t="str">
        <f t="shared" si="20"/>
        <v>TN</v>
      </c>
      <c r="BO116" s="153"/>
      <c r="BP116" s="153" t="str">
        <f t="shared" si="26"/>
        <v>TN</v>
      </c>
      <c r="BQ116" s="153"/>
      <c r="BR116" s="153"/>
      <c r="BS116" s="153"/>
    </row>
    <row r="117">
      <c r="A117" s="171">
        <v>4.059729382665E12</v>
      </c>
      <c r="B117" s="171" t="s">
        <v>3521</v>
      </c>
      <c r="C117" s="137" t="s">
        <v>998</v>
      </c>
      <c r="D117" s="138" t="s">
        <v>472</v>
      </c>
      <c r="E117" s="139" t="s">
        <v>986</v>
      </c>
      <c r="F117" s="140" t="s">
        <v>3585</v>
      </c>
      <c r="G117" s="141">
        <v>0.0</v>
      </c>
      <c r="H117" s="142">
        <v>13.4194</v>
      </c>
      <c r="I117" s="143" t="s">
        <v>111</v>
      </c>
      <c r="J117" s="83"/>
      <c r="K117" s="174">
        <v>1095.0</v>
      </c>
      <c r="R117" s="145" t="str">
        <f t="shared" si="1"/>
        <v>Makeup_10-15</v>
      </c>
      <c r="S117" s="146" t="str">
        <f t="shared" si="2"/>
        <v>10-15</v>
      </c>
      <c r="T117" s="95" t="str">
        <f t="array" ref="T117">XLOOKUP(C117,'Depth or Width'!P:P,'Depth or Width'!V:V)</f>
        <v>Depth</v>
      </c>
      <c r="U117" s="93">
        <f t="shared" si="3"/>
        <v>5</v>
      </c>
      <c r="V117" s="147">
        <f t="array" ref="V117">iferror(XLOOKUP(R117,'Refrence Data'!B:B,'Refrence Data'!W:W),"NA")</f>
        <v>2.3089</v>
      </c>
      <c r="W117" s="95">
        <f t="shared" si="4"/>
        <v>0</v>
      </c>
      <c r="Y117" s="148">
        <f t="array" ref="Y117">IFERROR(XLOOKUP(R117,'Refrence Data'!B:B,'Refrence Data'!N:N),"NA")</f>
        <v>1</v>
      </c>
      <c r="Z117" s="95" t="str">
        <f t="shared" si="5"/>
        <v>HIGH</v>
      </c>
      <c r="AA117" s="147">
        <f t="array" ref="AA117">XLOOKUP(R117,'Refrence Data'!B:B,'Refrence Data'!AC:AC)</f>
        <v>2.297512</v>
      </c>
      <c r="AB117" s="147">
        <f t="array" ref="AB117">IFERROR(XLOOKUP(R117,'Refrence Data'!B:B,'Refrence Data'!Y:Y),"NA")</f>
        <v>2.3089</v>
      </c>
      <c r="AC117" s="95" t="str">
        <f t="shared" si="6"/>
        <v>High</v>
      </c>
      <c r="AD117" s="95" t="str">
        <f t="shared" si="7"/>
        <v>Depth</v>
      </c>
      <c r="AE117" s="95" t="str">
        <f t="shared" si="8"/>
        <v>HIGHHighDepth</v>
      </c>
      <c r="AF117" s="95">
        <f t="array" ref="AF117">XLOOKUP(AE117,'Category Saturation'!A:A,'Category Saturation'!E:E)</f>
        <v>0</v>
      </c>
      <c r="AH117" s="148">
        <f t="array" ref="AH117">iferror(XLOOKUP(R117,'New Launch Success Rate'!A:A,'New Launch Success Rate'!F:F),"NA")</f>
        <v>0.6</v>
      </c>
      <c r="AI117" s="95">
        <f t="shared" si="9"/>
        <v>50</v>
      </c>
      <c r="AK117" s="149">
        <f t="shared" si="10"/>
        <v>5</v>
      </c>
      <c r="AM117" s="150">
        <f t="array" ref="AM117">XLOOKUP(R117,'Non Moving'!C:C,'Non Moving'!I:I)/100</f>
        <v>0.162</v>
      </c>
      <c r="AN117" s="151">
        <f t="shared" si="11"/>
        <v>50</v>
      </c>
      <c r="AO117" s="150">
        <f t="array" ref="AO117">XLOOKUP(R117,'Non Moving'!C:C,'Non Moving'!F:F)/100</f>
        <v>0.133</v>
      </c>
      <c r="AP117" s="151">
        <f t="shared" si="12"/>
        <v>100</v>
      </c>
      <c r="AR117" s="95">
        <f t="shared" si="13"/>
        <v>75</v>
      </c>
      <c r="AT117" s="95">
        <f t="shared" si="14"/>
        <v>0</v>
      </c>
      <c r="AU117" s="95">
        <f t="array" ref="AU117">iferror(XLOOKUP(J117,Monetization!A:A,Monetization!B:B),25)</f>
        <v>25</v>
      </c>
      <c r="AW117" s="95">
        <f t="shared" si="15"/>
        <v>7.5</v>
      </c>
      <c r="AY117" s="149">
        <f t="shared" si="16"/>
        <v>33.5</v>
      </c>
      <c r="AZ117" s="95" t="str">
        <f t="shared" si="17"/>
        <v>25-50</v>
      </c>
      <c r="BA117" s="95" t="str">
        <f t="shared" si="18"/>
        <v>0-25</v>
      </c>
      <c r="BB117" s="152">
        <f t="array" ref="BB117">iferror(XLOOKUP(C117,Sheet9!A:A,Sheet9!D:D),0)</f>
        <v>0.96</v>
      </c>
      <c r="BC117" s="2">
        <v>1.0</v>
      </c>
      <c r="BD117" s="95">
        <f t="array" ref="BD117">XLOOKUP(C117,ROS!C:C,ROS!O:O)</f>
        <v>1.142857</v>
      </c>
      <c r="BE117" s="147">
        <f t="array" ref="BE117">IFERROR(XLOOKUP(C117,ROS!T:T,ROS!U:U),"")</f>
        <v>0</v>
      </c>
      <c r="BF117" s="147">
        <f t="array" ref="BF117">XLOOKUP(R117,'Refrence Data'!B:B,'Refrence Data'!T:T)</f>
        <v>2.3089</v>
      </c>
      <c r="BG117" s="95">
        <f t="shared" si="19"/>
        <v>0</v>
      </c>
      <c r="BH117" s="4" t="str">
        <f t="shared" si="20"/>
        <v>TN</v>
      </c>
      <c r="BO117" s="153"/>
      <c r="BP117" s="153" t="str">
        <f t="shared" si="26"/>
        <v>TN</v>
      </c>
      <c r="BQ117" s="153"/>
      <c r="BR117" s="153"/>
      <c r="BS117" s="153"/>
    </row>
    <row r="118">
      <c r="A118" s="171">
        <v>4.059729382412E12</v>
      </c>
      <c r="B118" s="171" t="s">
        <v>3521</v>
      </c>
      <c r="C118" s="137" t="s">
        <v>999</v>
      </c>
      <c r="D118" s="138" t="s">
        <v>472</v>
      </c>
      <c r="E118" s="139" t="s">
        <v>986</v>
      </c>
      <c r="F118" s="140" t="s">
        <v>3585</v>
      </c>
      <c r="G118" s="141">
        <v>0.0</v>
      </c>
      <c r="H118" s="142">
        <v>12.38756</v>
      </c>
      <c r="I118" s="143" t="s">
        <v>111</v>
      </c>
      <c r="J118" s="83"/>
      <c r="K118" s="174">
        <v>1095.0</v>
      </c>
      <c r="R118" s="145" t="str">
        <f t="shared" si="1"/>
        <v>Makeup_10-15</v>
      </c>
      <c r="S118" s="146" t="str">
        <f t="shared" si="2"/>
        <v>10-15</v>
      </c>
      <c r="T118" s="95" t="str">
        <f t="array" ref="T118">XLOOKUP(C118,'Depth or Width'!P:P,'Depth or Width'!V:V)</f>
        <v>Depth</v>
      </c>
      <c r="U118" s="93">
        <f t="shared" si="3"/>
        <v>5</v>
      </c>
      <c r="V118" s="147">
        <f t="array" ref="V118">iferror(XLOOKUP(R118,'Refrence Data'!B:B,'Refrence Data'!W:W),"NA")</f>
        <v>2.3089</v>
      </c>
      <c r="W118" s="95">
        <f t="shared" si="4"/>
        <v>0</v>
      </c>
      <c r="Y118" s="148">
        <f t="array" ref="Y118">IFERROR(XLOOKUP(R118,'Refrence Data'!B:B,'Refrence Data'!N:N),"NA")</f>
        <v>1</v>
      </c>
      <c r="Z118" s="95" t="str">
        <f t="shared" si="5"/>
        <v>HIGH</v>
      </c>
      <c r="AA118" s="147">
        <f t="array" ref="AA118">XLOOKUP(R118,'Refrence Data'!B:B,'Refrence Data'!AC:AC)</f>
        <v>2.297512</v>
      </c>
      <c r="AB118" s="147">
        <f t="array" ref="AB118">IFERROR(XLOOKUP(R118,'Refrence Data'!B:B,'Refrence Data'!Y:Y),"NA")</f>
        <v>2.3089</v>
      </c>
      <c r="AC118" s="95" t="str">
        <f t="shared" si="6"/>
        <v>High</v>
      </c>
      <c r="AD118" s="95" t="str">
        <f t="shared" si="7"/>
        <v>Depth</v>
      </c>
      <c r="AE118" s="95" t="str">
        <f t="shared" si="8"/>
        <v>HIGHHighDepth</v>
      </c>
      <c r="AF118" s="95">
        <f t="array" ref="AF118">XLOOKUP(AE118,'Category Saturation'!A:A,'Category Saturation'!E:E)</f>
        <v>0</v>
      </c>
      <c r="AH118" s="148">
        <f t="array" ref="AH118">iferror(XLOOKUP(R118,'New Launch Success Rate'!A:A,'New Launch Success Rate'!F:F),"NA")</f>
        <v>0.6</v>
      </c>
      <c r="AI118" s="95">
        <f t="shared" si="9"/>
        <v>50</v>
      </c>
      <c r="AK118" s="149">
        <f t="shared" si="10"/>
        <v>5</v>
      </c>
      <c r="AM118" s="150">
        <f t="array" ref="AM118">XLOOKUP(R118,'Non Moving'!C:C,'Non Moving'!I:I)/100</f>
        <v>0.162</v>
      </c>
      <c r="AN118" s="151">
        <f t="shared" si="11"/>
        <v>50</v>
      </c>
      <c r="AO118" s="150">
        <f t="array" ref="AO118">XLOOKUP(R118,'Non Moving'!C:C,'Non Moving'!F:F)/100</f>
        <v>0.133</v>
      </c>
      <c r="AP118" s="151">
        <f t="shared" si="12"/>
        <v>100</v>
      </c>
      <c r="AR118" s="95">
        <f t="shared" si="13"/>
        <v>75</v>
      </c>
      <c r="AT118" s="95">
        <f t="shared" si="14"/>
        <v>0</v>
      </c>
      <c r="AU118" s="95">
        <f t="array" ref="AU118">iferror(XLOOKUP(J118,Monetization!A:A,Monetization!B:B),25)</f>
        <v>25</v>
      </c>
      <c r="AW118" s="95">
        <f t="shared" si="15"/>
        <v>7.5</v>
      </c>
      <c r="AY118" s="149">
        <f t="shared" si="16"/>
        <v>33.5</v>
      </c>
      <c r="AZ118" s="95" t="str">
        <f t="shared" si="17"/>
        <v>25-50</v>
      </c>
      <c r="BA118" s="95" t="str">
        <f t="shared" si="18"/>
        <v>0-25</v>
      </c>
      <c r="BB118" s="152">
        <f t="array" ref="BB118">iferror(XLOOKUP(C118,Sheet9!A:A,Sheet9!D:D),0)</f>
        <v>0.95</v>
      </c>
      <c r="BC118" s="2">
        <v>1.0</v>
      </c>
      <c r="BD118" s="95">
        <f t="array" ref="BD118">XLOOKUP(C118,ROS!C:C,ROS!O:O)</f>
        <v>2.915751</v>
      </c>
      <c r="BE118" s="147">
        <f t="array" ref="BE118">IFERROR(XLOOKUP(C118,ROS!T:T,ROS!U:U),"")</f>
        <v>0</v>
      </c>
      <c r="BF118" s="147">
        <f t="array" ref="BF118">XLOOKUP(R118,'Refrence Data'!B:B,'Refrence Data'!T:T)</f>
        <v>2.3089</v>
      </c>
      <c r="BG118" s="95">
        <f t="shared" si="19"/>
        <v>1</v>
      </c>
      <c r="BH118" s="4" t="str">
        <f t="shared" si="20"/>
        <v>FN</v>
      </c>
      <c r="BO118" s="153"/>
      <c r="BP118" s="153" t="str">
        <f t="shared" si="26"/>
        <v>FN</v>
      </c>
      <c r="BQ118" s="153"/>
      <c r="BR118" s="153"/>
      <c r="BS118" s="153"/>
    </row>
    <row r="119">
      <c r="A119" s="171">
        <v>4.059729381255E12</v>
      </c>
      <c r="B119" s="171" t="s">
        <v>3521</v>
      </c>
      <c r="C119" s="137" t="s">
        <v>1000</v>
      </c>
      <c r="D119" s="138" t="s">
        <v>472</v>
      </c>
      <c r="E119" s="139" t="s">
        <v>986</v>
      </c>
      <c r="F119" s="140" t="s">
        <v>3585</v>
      </c>
      <c r="G119" s="141">
        <v>0.0</v>
      </c>
      <c r="H119" s="142">
        <v>10.24152</v>
      </c>
      <c r="I119" s="143" t="s">
        <v>111</v>
      </c>
      <c r="J119" s="83"/>
      <c r="K119" s="174">
        <v>1095.0</v>
      </c>
      <c r="R119" s="145" t="str">
        <f t="shared" si="1"/>
        <v>Makeup_10-15</v>
      </c>
      <c r="S119" s="146" t="str">
        <f t="shared" si="2"/>
        <v>10-15</v>
      </c>
      <c r="T119" s="95" t="str">
        <f t="array" ref="T119">XLOOKUP(C119,'Depth or Width'!P:P,'Depth or Width'!V:V)</f>
        <v>Depth</v>
      </c>
      <c r="U119" s="93">
        <f t="shared" si="3"/>
        <v>5</v>
      </c>
      <c r="V119" s="147">
        <f t="array" ref="V119">iferror(XLOOKUP(R119,'Refrence Data'!B:B,'Refrence Data'!W:W),"NA")</f>
        <v>2.3089</v>
      </c>
      <c r="W119" s="95">
        <f t="shared" si="4"/>
        <v>0</v>
      </c>
      <c r="Y119" s="148">
        <f t="array" ref="Y119">IFERROR(XLOOKUP(R119,'Refrence Data'!B:B,'Refrence Data'!N:N),"NA")</f>
        <v>1</v>
      </c>
      <c r="Z119" s="95" t="str">
        <f t="shared" si="5"/>
        <v>HIGH</v>
      </c>
      <c r="AA119" s="147">
        <f t="array" ref="AA119">XLOOKUP(R119,'Refrence Data'!B:B,'Refrence Data'!AC:AC)</f>
        <v>2.297512</v>
      </c>
      <c r="AB119" s="147">
        <f t="array" ref="AB119">IFERROR(XLOOKUP(R119,'Refrence Data'!B:B,'Refrence Data'!Y:Y),"NA")</f>
        <v>2.3089</v>
      </c>
      <c r="AC119" s="95" t="str">
        <f t="shared" si="6"/>
        <v>High</v>
      </c>
      <c r="AD119" s="95" t="str">
        <f t="shared" si="7"/>
        <v>Depth</v>
      </c>
      <c r="AE119" s="95" t="str">
        <f t="shared" si="8"/>
        <v>HIGHHighDepth</v>
      </c>
      <c r="AF119" s="95">
        <f t="array" ref="AF119">XLOOKUP(AE119,'Category Saturation'!A:A,'Category Saturation'!E:E)</f>
        <v>0</v>
      </c>
      <c r="AH119" s="148">
        <f t="array" ref="AH119">iferror(XLOOKUP(R119,'New Launch Success Rate'!A:A,'New Launch Success Rate'!F:F),"NA")</f>
        <v>0.6</v>
      </c>
      <c r="AI119" s="95">
        <f t="shared" si="9"/>
        <v>50</v>
      </c>
      <c r="AK119" s="149">
        <f t="shared" si="10"/>
        <v>5</v>
      </c>
      <c r="AM119" s="150">
        <f t="array" ref="AM119">XLOOKUP(R119,'Non Moving'!C:C,'Non Moving'!I:I)/100</f>
        <v>0.162</v>
      </c>
      <c r="AN119" s="151">
        <f t="shared" si="11"/>
        <v>50</v>
      </c>
      <c r="AO119" s="150">
        <f t="array" ref="AO119">XLOOKUP(R119,'Non Moving'!C:C,'Non Moving'!F:F)/100</f>
        <v>0.133</v>
      </c>
      <c r="AP119" s="151">
        <f t="shared" si="12"/>
        <v>100</v>
      </c>
      <c r="AR119" s="95">
        <f t="shared" si="13"/>
        <v>75</v>
      </c>
      <c r="AT119" s="95">
        <f t="shared" si="14"/>
        <v>0</v>
      </c>
      <c r="AU119" s="95">
        <f t="array" ref="AU119">iferror(XLOOKUP(J119,Monetization!A:A,Monetization!B:B),25)</f>
        <v>25</v>
      </c>
      <c r="AW119" s="95">
        <f t="shared" si="15"/>
        <v>7.5</v>
      </c>
      <c r="AY119" s="149">
        <f t="shared" si="16"/>
        <v>33.5</v>
      </c>
      <c r="AZ119" s="95" t="str">
        <f t="shared" si="17"/>
        <v>25-50</v>
      </c>
      <c r="BA119" s="95" t="str">
        <f t="shared" si="18"/>
        <v>0-25</v>
      </c>
      <c r="BB119" s="152">
        <f t="array" ref="BB119">iferror(XLOOKUP(C119,Sheet9!A:A,Sheet9!D:D),0)</f>
        <v>0.95</v>
      </c>
      <c r="BC119" s="2">
        <v>1.0</v>
      </c>
      <c r="BD119" s="95">
        <f t="array" ref="BD119">XLOOKUP(C119,ROS!C:C,ROS!O:O)</f>
        <v>0</v>
      </c>
      <c r="BE119" s="147">
        <f t="array" ref="BE119">IFERROR(XLOOKUP(C119,ROS!T:T,ROS!U:U),"")</f>
        <v>0.416666667</v>
      </c>
      <c r="BF119" s="147">
        <f t="array" ref="BF119">XLOOKUP(R119,'Refrence Data'!B:B,'Refrence Data'!T:T)</f>
        <v>2.3089</v>
      </c>
      <c r="BG119" s="95">
        <f t="shared" si="19"/>
        <v>0</v>
      </c>
      <c r="BH119" s="4" t="str">
        <f t="shared" si="20"/>
        <v>TN</v>
      </c>
      <c r="BO119" s="153"/>
      <c r="BP119" s="153" t="str">
        <f t="shared" si="26"/>
        <v>TN</v>
      </c>
      <c r="BQ119" s="153"/>
      <c r="BR119" s="153"/>
      <c r="BS119" s="153"/>
    </row>
    <row r="120">
      <c r="A120" s="171">
        <v>4.059729348319E12</v>
      </c>
      <c r="B120" s="171" t="s">
        <v>3521</v>
      </c>
      <c r="C120" s="137" t="s">
        <v>1001</v>
      </c>
      <c r="D120" s="138" t="s">
        <v>472</v>
      </c>
      <c r="E120" s="139" t="s">
        <v>986</v>
      </c>
      <c r="F120" s="140" t="s">
        <v>3585</v>
      </c>
      <c r="G120" s="141">
        <v>0.0</v>
      </c>
      <c r="H120" s="142">
        <v>13.23954</v>
      </c>
      <c r="I120" s="143" t="s">
        <v>111</v>
      </c>
      <c r="J120" s="83"/>
      <c r="K120" s="174">
        <v>1095.0</v>
      </c>
      <c r="R120" s="145" t="str">
        <f t="shared" si="1"/>
        <v>Makeup_10-15</v>
      </c>
      <c r="S120" s="146" t="str">
        <f t="shared" si="2"/>
        <v>10-15</v>
      </c>
      <c r="T120" s="95" t="str">
        <f t="array" ref="T120">XLOOKUP(C120,'Depth or Width'!P:P,'Depth or Width'!V:V)</f>
        <v>Depth</v>
      </c>
      <c r="U120" s="93">
        <f t="shared" si="3"/>
        <v>5</v>
      </c>
      <c r="V120" s="147">
        <f t="array" ref="V120">iferror(XLOOKUP(R120,'Refrence Data'!B:B,'Refrence Data'!W:W),"NA")</f>
        <v>2.3089</v>
      </c>
      <c r="W120" s="95">
        <f t="shared" si="4"/>
        <v>0</v>
      </c>
      <c r="Y120" s="148">
        <f t="array" ref="Y120">IFERROR(XLOOKUP(R120,'Refrence Data'!B:B,'Refrence Data'!N:N),"NA")</f>
        <v>1</v>
      </c>
      <c r="Z120" s="95" t="str">
        <f t="shared" si="5"/>
        <v>HIGH</v>
      </c>
      <c r="AA120" s="147">
        <f t="array" ref="AA120">XLOOKUP(R120,'Refrence Data'!B:B,'Refrence Data'!AC:AC)</f>
        <v>2.297512</v>
      </c>
      <c r="AB120" s="147">
        <f t="array" ref="AB120">IFERROR(XLOOKUP(R120,'Refrence Data'!B:B,'Refrence Data'!Y:Y),"NA")</f>
        <v>2.3089</v>
      </c>
      <c r="AC120" s="95" t="str">
        <f t="shared" si="6"/>
        <v>High</v>
      </c>
      <c r="AD120" s="95" t="str">
        <f t="shared" si="7"/>
        <v>Depth</v>
      </c>
      <c r="AE120" s="95" t="str">
        <f t="shared" si="8"/>
        <v>HIGHHighDepth</v>
      </c>
      <c r="AF120" s="95">
        <f t="array" ref="AF120">XLOOKUP(AE120,'Category Saturation'!A:A,'Category Saturation'!E:E)</f>
        <v>0</v>
      </c>
      <c r="AH120" s="148">
        <f t="array" ref="AH120">iferror(XLOOKUP(R120,'New Launch Success Rate'!A:A,'New Launch Success Rate'!F:F),"NA")</f>
        <v>0.6</v>
      </c>
      <c r="AI120" s="95">
        <f t="shared" si="9"/>
        <v>50</v>
      </c>
      <c r="AK120" s="149">
        <f t="shared" si="10"/>
        <v>5</v>
      </c>
      <c r="AM120" s="150">
        <f t="array" ref="AM120">XLOOKUP(R120,'Non Moving'!C:C,'Non Moving'!I:I)/100</f>
        <v>0.162</v>
      </c>
      <c r="AN120" s="151">
        <f t="shared" si="11"/>
        <v>50</v>
      </c>
      <c r="AO120" s="150">
        <f t="array" ref="AO120">XLOOKUP(R120,'Non Moving'!C:C,'Non Moving'!F:F)/100</f>
        <v>0.133</v>
      </c>
      <c r="AP120" s="151">
        <f t="shared" si="12"/>
        <v>100</v>
      </c>
      <c r="AR120" s="95">
        <f t="shared" si="13"/>
        <v>75</v>
      </c>
      <c r="AT120" s="95">
        <f t="shared" si="14"/>
        <v>0</v>
      </c>
      <c r="AU120" s="95">
        <f t="array" ref="AU120">iferror(XLOOKUP(J120,Monetization!A:A,Monetization!B:B),25)</f>
        <v>25</v>
      </c>
      <c r="AW120" s="95">
        <f t="shared" si="15"/>
        <v>7.5</v>
      </c>
      <c r="AY120" s="149">
        <f t="shared" si="16"/>
        <v>33.5</v>
      </c>
      <c r="AZ120" s="95" t="str">
        <f t="shared" si="17"/>
        <v>25-50</v>
      </c>
      <c r="BA120" s="95" t="str">
        <f t="shared" si="18"/>
        <v>0-25</v>
      </c>
      <c r="BB120" s="152">
        <f t="array" ref="BB120">iferror(XLOOKUP(C120,Sheet9!A:A,Sheet9!D:D),0)</f>
        <v>0.94</v>
      </c>
      <c r="BC120" s="2">
        <v>1.0</v>
      </c>
      <c r="BD120" s="95">
        <f t="array" ref="BD120">XLOOKUP(C120,ROS!C:C,ROS!O:O)</f>
        <v>1</v>
      </c>
      <c r="BE120" s="147">
        <f t="array" ref="BE120">IFERROR(XLOOKUP(C120,ROS!T:T,ROS!U:U),"")</f>
        <v>0.285714286</v>
      </c>
      <c r="BF120" s="147">
        <f t="array" ref="BF120">XLOOKUP(R120,'Refrence Data'!B:B,'Refrence Data'!T:T)</f>
        <v>2.3089</v>
      </c>
      <c r="BG120" s="95">
        <f t="shared" si="19"/>
        <v>0</v>
      </c>
      <c r="BH120" s="4" t="str">
        <f t="shared" si="20"/>
        <v>TN</v>
      </c>
      <c r="BO120" s="153"/>
      <c r="BP120" s="153" t="str">
        <f t="shared" si="26"/>
        <v>TN</v>
      </c>
      <c r="BQ120" s="153"/>
      <c r="BR120" s="153"/>
      <c r="BS120" s="153"/>
    </row>
    <row r="121">
      <c r="A121" s="171">
        <v>4.059729323965E12</v>
      </c>
      <c r="B121" s="171" t="s">
        <v>3521</v>
      </c>
      <c r="C121" s="137" t="s">
        <v>1002</v>
      </c>
      <c r="D121" s="138" t="s">
        <v>472</v>
      </c>
      <c r="E121" s="139" t="s">
        <v>986</v>
      </c>
      <c r="F121" s="140" t="s">
        <v>3585</v>
      </c>
      <c r="G121" s="141">
        <v>0.0</v>
      </c>
      <c r="H121" s="142">
        <v>10.99131</v>
      </c>
      <c r="I121" s="143" t="s">
        <v>111</v>
      </c>
      <c r="J121" s="83"/>
      <c r="K121" s="174">
        <v>1095.0</v>
      </c>
      <c r="R121" s="145" t="str">
        <f t="shared" si="1"/>
        <v>Makeup_10-15</v>
      </c>
      <c r="S121" s="146" t="str">
        <f t="shared" si="2"/>
        <v>10-15</v>
      </c>
      <c r="T121" s="95" t="str">
        <f t="array" ref="T121">XLOOKUP(C121,'Depth or Width'!P:P,'Depth or Width'!V:V)</f>
        <v>Depth</v>
      </c>
      <c r="U121" s="93">
        <f t="shared" si="3"/>
        <v>5</v>
      </c>
      <c r="V121" s="147">
        <f t="array" ref="V121">iferror(XLOOKUP(R121,'Refrence Data'!B:B,'Refrence Data'!W:W),"NA")</f>
        <v>2.3089</v>
      </c>
      <c r="W121" s="95">
        <f t="shared" si="4"/>
        <v>0</v>
      </c>
      <c r="Y121" s="148">
        <f t="array" ref="Y121">IFERROR(XLOOKUP(R121,'Refrence Data'!B:B,'Refrence Data'!N:N),"NA")</f>
        <v>1</v>
      </c>
      <c r="Z121" s="95" t="str">
        <f t="shared" si="5"/>
        <v>HIGH</v>
      </c>
      <c r="AA121" s="147">
        <f t="array" ref="AA121">XLOOKUP(R121,'Refrence Data'!B:B,'Refrence Data'!AC:AC)</f>
        <v>2.297512</v>
      </c>
      <c r="AB121" s="147">
        <f t="array" ref="AB121">IFERROR(XLOOKUP(R121,'Refrence Data'!B:B,'Refrence Data'!Y:Y),"NA")</f>
        <v>2.3089</v>
      </c>
      <c r="AC121" s="95" t="str">
        <f t="shared" si="6"/>
        <v>High</v>
      </c>
      <c r="AD121" s="95" t="str">
        <f t="shared" si="7"/>
        <v>Depth</v>
      </c>
      <c r="AE121" s="95" t="str">
        <f t="shared" si="8"/>
        <v>HIGHHighDepth</v>
      </c>
      <c r="AF121" s="95">
        <f t="array" ref="AF121">XLOOKUP(AE121,'Category Saturation'!A:A,'Category Saturation'!E:E)</f>
        <v>0</v>
      </c>
      <c r="AH121" s="148">
        <f t="array" ref="AH121">iferror(XLOOKUP(R121,'New Launch Success Rate'!A:A,'New Launch Success Rate'!F:F),"NA")</f>
        <v>0.6</v>
      </c>
      <c r="AI121" s="95">
        <f t="shared" si="9"/>
        <v>50</v>
      </c>
      <c r="AK121" s="149">
        <f t="shared" si="10"/>
        <v>5</v>
      </c>
      <c r="AM121" s="150">
        <f t="array" ref="AM121">XLOOKUP(R121,'Non Moving'!C:C,'Non Moving'!I:I)/100</f>
        <v>0.162</v>
      </c>
      <c r="AN121" s="151">
        <f t="shared" si="11"/>
        <v>50</v>
      </c>
      <c r="AO121" s="150">
        <f t="array" ref="AO121">XLOOKUP(R121,'Non Moving'!C:C,'Non Moving'!F:F)/100</f>
        <v>0.133</v>
      </c>
      <c r="AP121" s="151">
        <f t="shared" si="12"/>
        <v>100</v>
      </c>
      <c r="AR121" s="95">
        <f t="shared" si="13"/>
        <v>75</v>
      </c>
      <c r="AT121" s="95">
        <f t="shared" si="14"/>
        <v>0</v>
      </c>
      <c r="AU121" s="95">
        <f t="array" ref="AU121">iferror(XLOOKUP(J121,Monetization!A:A,Monetization!B:B),25)</f>
        <v>25</v>
      </c>
      <c r="AW121" s="95">
        <f t="shared" si="15"/>
        <v>7.5</v>
      </c>
      <c r="AY121" s="149">
        <f t="shared" si="16"/>
        <v>33.5</v>
      </c>
      <c r="AZ121" s="95" t="str">
        <f t="shared" si="17"/>
        <v>25-50</v>
      </c>
      <c r="BA121" s="95" t="str">
        <f t="shared" si="18"/>
        <v>0-25</v>
      </c>
      <c r="BB121" s="152">
        <f t="array" ref="BB121">iferror(XLOOKUP(C121,Sheet9!A:A,Sheet9!D:D),0)</f>
        <v>0</v>
      </c>
      <c r="BC121" s="2">
        <v>1.0</v>
      </c>
      <c r="BD121" s="95">
        <f t="array" ref="BD121">XLOOKUP(C121,ROS!C:C,ROS!O:O)</f>
        <v>1.285714</v>
      </c>
      <c r="BE121" s="147" t="str">
        <f t="array" ref="BE121">IFERROR(XLOOKUP(C121,ROS!T:T,ROS!U:U),"")</f>
        <v/>
      </c>
      <c r="BF121" s="147">
        <f t="array" ref="BF121">XLOOKUP(R121,'Refrence Data'!B:B,'Refrence Data'!T:T)</f>
        <v>2.3089</v>
      </c>
      <c r="BG121" s="95">
        <f t="shared" si="19"/>
        <v>0</v>
      </c>
      <c r="BH121" s="4" t="str">
        <f t="shared" si="20"/>
        <v/>
      </c>
      <c r="BO121" s="153"/>
      <c r="BP121" s="153" t="str">
        <f t="shared" si="26"/>
        <v/>
      </c>
      <c r="BQ121" s="153"/>
      <c r="BR121" s="153"/>
      <c r="BS121" s="153"/>
    </row>
    <row r="122">
      <c r="A122" s="171">
        <v>4.059729271136E12</v>
      </c>
      <c r="B122" s="171" t="s">
        <v>3521</v>
      </c>
      <c r="C122" s="137" t="s">
        <v>1005</v>
      </c>
      <c r="D122" s="138" t="s">
        <v>472</v>
      </c>
      <c r="E122" s="139" t="s">
        <v>986</v>
      </c>
      <c r="F122" s="140" t="s">
        <v>3585</v>
      </c>
      <c r="G122" s="141">
        <v>0.0</v>
      </c>
      <c r="H122" s="142">
        <v>17.45932</v>
      </c>
      <c r="I122" s="143" t="s">
        <v>111</v>
      </c>
      <c r="J122" s="83"/>
      <c r="K122" s="174">
        <v>1095.0</v>
      </c>
      <c r="R122" s="145" t="str">
        <f t="shared" si="1"/>
        <v>Makeup_15-20</v>
      </c>
      <c r="S122" s="146" t="str">
        <f t="shared" si="2"/>
        <v>15-20</v>
      </c>
      <c r="T122" s="95" t="str">
        <f t="array" ref="T122">XLOOKUP(C122,'Depth or Width'!P:P,'Depth or Width'!V:V)</f>
        <v>Depth</v>
      </c>
      <c r="U122" s="93">
        <f t="shared" si="3"/>
        <v>5</v>
      </c>
      <c r="V122" s="147">
        <f t="array" ref="V122">iferror(XLOOKUP(R122,'Refrence Data'!B:B,'Refrence Data'!W:W),"NA")</f>
        <v>2.297512</v>
      </c>
      <c r="W122" s="95">
        <f t="shared" si="4"/>
        <v>0</v>
      </c>
      <c r="Y122" s="148">
        <f t="array" ref="Y122">IFERROR(XLOOKUP(R122,'Refrence Data'!B:B,'Refrence Data'!N:N),"NA")</f>
        <v>1</v>
      </c>
      <c r="Z122" s="95" t="str">
        <f t="shared" si="5"/>
        <v>HIGH</v>
      </c>
      <c r="AA122" s="147">
        <f t="array" ref="AA122">XLOOKUP(R122,'Refrence Data'!B:B,'Refrence Data'!AC:AC)</f>
        <v>2.297512</v>
      </c>
      <c r="AB122" s="147">
        <f t="array" ref="AB122">IFERROR(XLOOKUP(R122,'Refrence Data'!B:B,'Refrence Data'!Y:Y),"NA")</f>
        <v>2.297512</v>
      </c>
      <c r="AC122" s="95" t="str">
        <f t="shared" si="6"/>
        <v>High</v>
      </c>
      <c r="AD122" s="95" t="str">
        <f t="shared" si="7"/>
        <v>Depth</v>
      </c>
      <c r="AE122" s="95" t="str">
        <f t="shared" si="8"/>
        <v>HIGHHighDepth</v>
      </c>
      <c r="AF122" s="95">
        <f t="array" ref="AF122">XLOOKUP(AE122,'Category Saturation'!A:A,'Category Saturation'!E:E)</f>
        <v>0</v>
      </c>
      <c r="AH122" s="148">
        <f t="array" ref="AH122">iferror(XLOOKUP(R122,'New Launch Success Rate'!A:A,'New Launch Success Rate'!F:F),"NA")</f>
        <v>0.75</v>
      </c>
      <c r="AI122" s="95">
        <f t="shared" si="9"/>
        <v>100</v>
      </c>
      <c r="AK122" s="149">
        <f t="shared" si="10"/>
        <v>10</v>
      </c>
      <c r="AM122" s="150">
        <f t="array" ref="AM122">XLOOKUP(R122,'Non Moving'!C:C,'Non Moving'!I:I)/100</f>
        <v>0.817</v>
      </c>
      <c r="AN122" s="151">
        <f t="shared" si="11"/>
        <v>0</v>
      </c>
      <c r="AO122" s="150">
        <f t="array" ref="AO122">XLOOKUP(R122,'Non Moving'!C:C,'Non Moving'!F:F)/100</f>
        <v>0.735</v>
      </c>
      <c r="AP122" s="151">
        <f t="shared" si="12"/>
        <v>0</v>
      </c>
      <c r="AR122" s="95">
        <f t="shared" si="13"/>
        <v>0</v>
      </c>
      <c r="AT122" s="95">
        <f t="shared" si="14"/>
        <v>0</v>
      </c>
      <c r="AU122" s="95">
        <f t="array" ref="AU122">iferror(XLOOKUP(J122,Monetization!A:A,Monetization!B:B),25)</f>
        <v>25</v>
      </c>
      <c r="AW122" s="95">
        <f t="shared" si="15"/>
        <v>7.5</v>
      </c>
      <c r="AY122" s="149">
        <f t="shared" si="16"/>
        <v>5.5</v>
      </c>
      <c r="AZ122" s="95" t="str">
        <f t="shared" si="17"/>
        <v>0-25</v>
      </c>
      <c r="BA122" s="95" t="str">
        <f t="shared" si="18"/>
        <v>0-25</v>
      </c>
      <c r="BB122" s="152">
        <f t="array" ref="BB122">iferror(XLOOKUP(C122,Sheet9!A:A,Sheet9!D:D),0)</f>
        <v>0.88</v>
      </c>
      <c r="BC122" s="2">
        <v>1.0</v>
      </c>
      <c r="BD122" s="95">
        <f t="array" ref="BD122">XLOOKUP(C122,ROS!C:C,ROS!O:O)</f>
        <v>0</v>
      </c>
      <c r="BE122" s="147">
        <f t="array" ref="BE122">IFERROR(XLOOKUP(C122,ROS!T:T,ROS!U:U),"")</f>
        <v>0.2</v>
      </c>
      <c r="BF122" s="147">
        <f t="array" ref="BF122">XLOOKUP(R122,'Refrence Data'!B:B,'Refrence Data'!T:T)</f>
        <v>2.297512</v>
      </c>
      <c r="BG122" s="95">
        <f t="shared" si="19"/>
        <v>0</v>
      </c>
      <c r="BH122" s="4" t="str">
        <f t="shared" si="20"/>
        <v>TN</v>
      </c>
      <c r="BO122" s="153"/>
      <c r="BP122" s="153" t="str">
        <f t="shared" si="26"/>
        <v>TN</v>
      </c>
      <c r="BQ122" s="153"/>
      <c r="BR122" s="153"/>
      <c r="BS122" s="153"/>
    </row>
    <row r="123">
      <c r="A123" s="171">
        <v>4.059729245861E12</v>
      </c>
      <c r="B123" s="171" t="s">
        <v>3521</v>
      </c>
      <c r="C123" s="137" t="s">
        <v>1007</v>
      </c>
      <c r="D123" s="138" t="s">
        <v>472</v>
      </c>
      <c r="E123" s="139" t="s">
        <v>986</v>
      </c>
      <c r="F123" s="140" t="s">
        <v>3585</v>
      </c>
      <c r="G123" s="141">
        <v>0.0</v>
      </c>
      <c r="H123" s="142">
        <v>14.94319</v>
      </c>
      <c r="I123" s="143" t="s">
        <v>111</v>
      </c>
      <c r="J123" s="83"/>
      <c r="K123" s="174">
        <v>1095.0</v>
      </c>
      <c r="R123" s="145" t="str">
        <f t="shared" si="1"/>
        <v>Makeup_10-15</v>
      </c>
      <c r="S123" s="146" t="str">
        <f t="shared" si="2"/>
        <v>10-15</v>
      </c>
      <c r="T123" s="95" t="str">
        <f t="array" ref="T123">XLOOKUP(C123,'Depth or Width'!P:P,'Depth or Width'!V:V)</f>
        <v>Depth</v>
      </c>
      <c r="U123" s="93">
        <f t="shared" si="3"/>
        <v>5</v>
      </c>
      <c r="V123" s="147">
        <f t="array" ref="V123">iferror(XLOOKUP(R123,'Refrence Data'!B:B,'Refrence Data'!W:W),"NA")</f>
        <v>2.3089</v>
      </c>
      <c r="W123" s="95">
        <f t="shared" si="4"/>
        <v>0</v>
      </c>
      <c r="Y123" s="148">
        <f t="array" ref="Y123">IFERROR(XLOOKUP(R123,'Refrence Data'!B:B,'Refrence Data'!N:N),"NA")</f>
        <v>1</v>
      </c>
      <c r="Z123" s="95" t="str">
        <f t="shared" si="5"/>
        <v>HIGH</v>
      </c>
      <c r="AA123" s="147">
        <f t="array" ref="AA123">XLOOKUP(R123,'Refrence Data'!B:B,'Refrence Data'!AC:AC)</f>
        <v>2.297512</v>
      </c>
      <c r="AB123" s="147">
        <f t="array" ref="AB123">IFERROR(XLOOKUP(R123,'Refrence Data'!B:B,'Refrence Data'!Y:Y),"NA")</f>
        <v>2.3089</v>
      </c>
      <c r="AC123" s="95" t="str">
        <f t="shared" si="6"/>
        <v>High</v>
      </c>
      <c r="AD123" s="95" t="str">
        <f t="shared" si="7"/>
        <v>Depth</v>
      </c>
      <c r="AE123" s="95" t="str">
        <f t="shared" si="8"/>
        <v>HIGHHighDepth</v>
      </c>
      <c r="AF123" s="95">
        <f t="array" ref="AF123">XLOOKUP(AE123,'Category Saturation'!A:A,'Category Saturation'!E:E)</f>
        <v>0</v>
      </c>
      <c r="AH123" s="148">
        <f t="array" ref="AH123">iferror(XLOOKUP(R123,'New Launch Success Rate'!A:A,'New Launch Success Rate'!F:F),"NA")</f>
        <v>0.6</v>
      </c>
      <c r="AI123" s="95">
        <f t="shared" si="9"/>
        <v>50</v>
      </c>
      <c r="AK123" s="149">
        <f t="shared" si="10"/>
        <v>5</v>
      </c>
      <c r="AM123" s="150">
        <f t="array" ref="AM123">XLOOKUP(R123,'Non Moving'!C:C,'Non Moving'!I:I)/100</f>
        <v>0.162</v>
      </c>
      <c r="AN123" s="151">
        <f t="shared" si="11"/>
        <v>50</v>
      </c>
      <c r="AO123" s="150">
        <f t="array" ref="AO123">XLOOKUP(R123,'Non Moving'!C:C,'Non Moving'!F:F)/100</f>
        <v>0.133</v>
      </c>
      <c r="AP123" s="151">
        <f t="shared" si="12"/>
        <v>100</v>
      </c>
      <c r="AR123" s="95">
        <f t="shared" si="13"/>
        <v>75</v>
      </c>
      <c r="AT123" s="95">
        <f t="shared" si="14"/>
        <v>0</v>
      </c>
      <c r="AU123" s="95">
        <f t="array" ref="AU123">iferror(XLOOKUP(J123,Monetization!A:A,Monetization!B:B),25)</f>
        <v>25</v>
      </c>
      <c r="AW123" s="95">
        <f t="shared" si="15"/>
        <v>7.5</v>
      </c>
      <c r="AY123" s="149">
        <f t="shared" si="16"/>
        <v>33.5</v>
      </c>
      <c r="AZ123" s="95" t="str">
        <f t="shared" si="17"/>
        <v>25-50</v>
      </c>
      <c r="BA123" s="95" t="str">
        <f t="shared" si="18"/>
        <v>0-25</v>
      </c>
      <c r="BB123" s="152">
        <f t="array" ref="BB123">iferror(XLOOKUP(C123,Sheet9!A:A,Sheet9!D:D),0)</f>
        <v>0</v>
      </c>
      <c r="BC123" s="2">
        <v>1.0</v>
      </c>
      <c r="BD123" s="95">
        <f t="array" ref="BD123">XLOOKUP(C123,ROS!C:C,ROS!O:O)</f>
        <v>0.714286</v>
      </c>
      <c r="BE123" s="147" t="str">
        <f t="array" ref="BE123">IFERROR(XLOOKUP(C123,ROS!T:T,ROS!U:U),"")</f>
        <v/>
      </c>
      <c r="BF123" s="147">
        <f t="array" ref="BF123">XLOOKUP(R123,'Refrence Data'!B:B,'Refrence Data'!T:T)</f>
        <v>2.3089</v>
      </c>
      <c r="BG123" s="95">
        <f t="shared" si="19"/>
        <v>0</v>
      </c>
      <c r="BH123" s="4" t="str">
        <f t="shared" si="20"/>
        <v/>
      </c>
      <c r="BO123" s="153"/>
      <c r="BP123" s="153" t="str">
        <f t="shared" si="26"/>
        <v/>
      </c>
      <c r="BQ123" s="153"/>
      <c r="BR123" s="153"/>
      <c r="BS123" s="153"/>
    </row>
    <row r="124">
      <c r="A124" s="171">
        <v>4.059729207241E12</v>
      </c>
      <c r="B124" s="171" t="s">
        <v>3521</v>
      </c>
      <c r="C124" s="137" t="s">
        <v>1008</v>
      </c>
      <c r="D124" s="138" t="s">
        <v>472</v>
      </c>
      <c r="E124" s="139" t="s">
        <v>986</v>
      </c>
      <c r="F124" s="140" t="s">
        <v>3585</v>
      </c>
      <c r="G124" s="141">
        <v>0.0</v>
      </c>
      <c r="H124" s="142">
        <v>10.97383</v>
      </c>
      <c r="I124" s="143" t="s">
        <v>111</v>
      </c>
      <c r="J124" s="83"/>
      <c r="K124" s="174">
        <v>1095.0</v>
      </c>
      <c r="R124" s="145" t="str">
        <f t="shared" si="1"/>
        <v>Makeup_10-15</v>
      </c>
      <c r="S124" s="146" t="str">
        <f t="shared" si="2"/>
        <v>10-15</v>
      </c>
      <c r="T124" s="95" t="str">
        <f t="array" ref="T124">XLOOKUP(C124,'Depth or Width'!P:P,'Depth or Width'!V:V)</f>
        <v>Depth</v>
      </c>
      <c r="U124" s="93">
        <f t="shared" si="3"/>
        <v>5</v>
      </c>
      <c r="V124" s="147">
        <f t="array" ref="V124">iferror(XLOOKUP(R124,'Refrence Data'!B:B,'Refrence Data'!W:W),"NA")</f>
        <v>2.3089</v>
      </c>
      <c r="W124" s="95">
        <f t="shared" si="4"/>
        <v>0</v>
      </c>
      <c r="Y124" s="148">
        <f t="array" ref="Y124">IFERROR(XLOOKUP(R124,'Refrence Data'!B:B,'Refrence Data'!N:N),"NA")</f>
        <v>1</v>
      </c>
      <c r="Z124" s="95" t="str">
        <f t="shared" si="5"/>
        <v>HIGH</v>
      </c>
      <c r="AA124" s="147">
        <f t="array" ref="AA124">XLOOKUP(R124,'Refrence Data'!B:B,'Refrence Data'!AC:AC)</f>
        <v>2.297512</v>
      </c>
      <c r="AB124" s="147">
        <f t="array" ref="AB124">IFERROR(XLOOKUP(R124,'Refrence Data'!B:B,'Refrence Data'!Y:Y),"NA")</f>
        <v>2.3089</v>
      </c>
      <c r="AC124" s="95" t="str">
        <f t="shared" si="6"/>
        <v>High</v>
      </c>
      <c r="AD124" s="95" t="str">
        <f t="shared" si="7"/>
        <v>Depth</v>
      </c>
      <c r="AE124" s="95" t="str">
        <f t="shared" si="8"/>
        <v>HIGHHighDepth</v>
      </c>
      <c r="AF124" s="95">
        <f t="array" ref="AF124">XLOOKUP(AE124,'Category Saturation'!A:A,'Category Saturation'!E:E)</f>
        <v>0</v>
      </c>
      <c r="AH124" s="148">
        <f t="array" ref="AH124">iferror(XLOOKUP(R124,'New Launch Success Rate'!A:A,'New Launch Success Rate'!F:F),"NA")</f>
        <v>0.6</v>
      </c>
      <c r="AI124" s="95">
        <f t="shared" si="9"/>
        <v>50</v>
      </c>
      <c r="AK124" s="149">
        <f t="shared" si="10"/>
        <v>5</v>
      </c>
      <c r="AM124" s="150">
        <f t="array" ref="AM124">XLOOKUP(R124,'Non Moving'!C:C,'Non Moving'!I:I)/100</f>
        <v>0.162</v>
      </c>
      <c r="AN124" s="151">
        <f t="shared" si="11"/>
        <v>50</v>
      </c>
      <c r="AO124" s="150">
        <f t="array" ref="AO124">XLOOKUP(R124,'Non Moving'!C:C,'Non Moving'!F:F)/100</f>
        <v>0.133</v>
      </c>
      <c r="AP124" s="151">
        <f t="shared" si="12"/>
        <v>100</v>
      </c>
      <c r="AR124" s="95">
        <f t="shared" si="13"/>
        <v>75</v>
      </c>
      <c r="AT124" s="95">
        <f t="shared" si="14"/>
        <v>0</v>
      </c>
      <c r="AU124" s="95">
        <f t="array" ref="AU124">iferror(XLOOKUP(J124,Monetization!A:A,Monetization!B:B),25)</f>
        <v>25</v>
      </c>
      <c r="AW124" s="95">
        <f t="shared" si="15"/>
        <v>7.5</v>
      </c>
      <c r="AY124" s="149">
        <f t="shared" si="16"/>
        <v>33.5</v>
      </c>
      <c r="AZ124" s="95" t="str">
        <f t="shared" si="17"/>
        <v>25-50</v>
      </c>
      <c r="BA124" s="95" t="str">
        <f t="shared" si="18"/>
        <v>0-25</v>
      </c>
      <c r="BB124" s="152">
        <f t="array" ref="BB124">iferror(XLOOKUP(C124,Sheet9!A:A,Sheet9!D:D),0)</f>
        <v>0.96</v>
      </c>
      <c r="BC124" s="2">
        <v>1.0</v>
      </c>
      <c r="BD124" s="95">
        <f t="array" ref="BD124">XLOOKUP(C124,ROS!C:C,ROS!O:O)</f>
        <v>0</v>
      </c>
      <c r="BE124" s="147">
        <f t="array" ref="BE124">IFERROR(XLOOKUP(C124,ROS!T:T,ROS!U:U),"")</f>
        <v>0</v>
      </c>
      <c r="BF124" s="147">
        <f t="array" ref="BF124">XLOOKUP(R124,'Refrence Data'!B:B,'Refrence Data'!T:T)</f>
        <v>2.3089</v>
      </c>
      <c r="BG124" s="95">
        <f t="shared" si="19"/>
        <v>0</v>
      </c>
      <c r="BH124" s="4" t="str">
        <f t="shared" si="20"/>
        <v>TN</v>
      </c>
      <c r="BO124" s="153"/>
      <c r="BP124" s="153" t="str">
        <f t="shared" si="26"/>
        <v>TN</v>
      </c>
      <c r="BQ124" s="153"/>
      <c r="BR124" s="153"/>
      <c r="BS124" s="153"/>
    </row>
    <row r="125">
      <c r="A125" s="171">
        <v>6.295120057827E12</v>
      </c>
      <c r="B125" s="171" t="s">
        <v>3521</v>
      </c>
      <c r="C125" s="137" t="s">
        <v>1343</v>
      </c>
      <c r="D125" s="138" t="s">
        <v>472</v>
      </c>
      <c r="E125" s="139" t="s">
        <v>487</v>
      </c>
      <c r="F125" s="140" t="s">
        <v>3586</v>
      </c>
      <c r="G125" s="141">
        <v>0.0</v>
      </c>
      <c r="H125" s="142">
        <v>22.48223</v>
      </c>
      <c r="I125" s="143" t="s">
        <v>111</v>
      </c>
      <c r="J125" s="83"/>
      <c r="K125" s="174">
        <v>730.0</v>
      </c>
      <c r="R125" s="145" t="str">
        <f t="shared" si="1"/>
        <v>Shaving &amp; Hair Removal_20-25</v>
      </c>
      <c r="S125" s="146" t="str">
        <f t="shared" si="2"/>
        <v>20-25</v>
      </c>
      <c r="T125" s="95" t="str">
        <f t="array" ref="T125">XLOOKUP(C125,'Depth or Width'!P:P,'Depth or Width'!V:V)</f>
        <v>Width</v>
      </c>
      <c r="U125" s="93">
        <f t="shared" si="3"/>
        <v>5</v>
      </c>
      <c r="V125" s="147">
        <f t="array" ref="V125">iferror(XLOOKUP(R125,'Refrence Data'!B:B,'Refrence Data'!W:W),"NA")</f>
        <v>1.031685</v>
      </c>
      <c r="W125" s="95">
        <f t="shared" si="4"/>
        <v>0</v>
      </c>
      <c r="Y125" s="148">
        <f t="array" ref="Y125">IFERROR(XLOOKUP(R125,'Refrence Data'!B:B,'Refrence Data'!N:N),"NA")</f>
        <v>0.62326</v>
      </c>
      <c r="Z125" s="95" t="str">
        <f t="shared" si="5"/>
        <v>MEDIUM</v>
      </c>
      <c r="AA125" s="147">
        <f t="array" ref="AA125">XLOOKUP(R125,'Refrence Data'!B:B,'Refrence Data'!AC:AC)</f>
        <v>4.520344</v>
      </c>
      <c r="AB125" s="147">
        <f t="array" ref="AB125">IFERROR(XLOOKUP(R125,'Refrence Data'!B:B,'Refrence Data'!Y:Y),"NA")</f>
        <v>1.686969</v>
      </c>
      <c r="AC125" s="95" t="str">
        <f t="shared" si="6"/>
        <v>Low</v>
      </c>
      <c r="AD125" s="95" t="str">
        <f t="shared" si="7"/>
        <v>Width</v>
      </c>
      <c r="AE125" s="95" t="str">
        <f t="shared" si="8"/>
        <v>MEDIUMLowWidth</v>
      </c>
      <c r="AF125" s="95">
        <f t="array" ref="AF125">XLOOKUP(AE125,'Category Saturation'!A:A,'Category Saturation'!E:E)</f>
        <v>25</v>
      </c>
      <c r="AH125" s="148">
        <f t="array" ref="AH125">iferror(XLOOKUP(R125,'New Launch Success Rate'!A:A,'New Launch Success Rate'!F:F),"NA")</f>
        <v>0.4035</v>
      </c>
      <c r="AI125" s="95">
        <f t="shared" si="9"/>
        <v>25</v>
      </c>
      <c r="AK125" s="149">
        <f t="shared" si="10"/>
        <v>10</v>
      </c>
      <c r="AM125" s="150">
        <f t="array" ref="AM125">XLOOKUP(R125,'Non Moving'!C:C,'Non Moving'!I:I)/100</f>
        <v>0.191</v>
      </c>
      <c r="AN125" s="151">
        <f t="shared" si="11"/>
        <v>50</v>
      </c>
      <c r="AO125" s="150">
        <f t="array" ref="AO125">XLOOKUP(R125,'Non Moving'!C:C,'Non Moving'!F:F)/100</f>
        <v>0.365</v>
      </c>
      <c r="AP125" s="151">
        <f t="shared" si="12"/>
        <v>50</v>
      </c>
      <c r="AR125" s="95">
        <f t="shared" si="13"/>
        <v>50</v>
      </c>
      <c r="AT125" s="95">
        <f t="shared" si="14"/>
        <v>0</v>
      </c>
      <c r="AU125" s="95">
        <f t="array" ref="AU125">iferror(XLOOKUP(J125,Monetization!A:A,Monetization!B:B),25)</f>
        <v>25</v>
      </c>
      <c r="AW125" s="95">
        <f t="shared" si="15"/>
        <v>7.5</v>
      </c>
      <c r="AY125" s="149">
        <f t="shared" si="16"/>
        <v>25.5</v>
      </c>
      <c r="AZ125" s="95" t="str">
        <f t="shared" si="17"/>
        <v>25-50</v>
      </c>
      <c r="BA125" s="95" t="str">
        <f t="shared" si="18"/>
        <v>0-25</v>
      </c>
      <c r="BB125" s="152">
        <f t="array" ref="BB125">iferror(XLOOKUP(C125,Sheet9!A:A,Sheet9!D:D),0)</f>
        <v>0</v>
      </c>
      <c r="BC125" s="2">
        <v>1.0</v>
      </c>
      <c r="BD125" s="95">
        <f t="array" ref="BD125">XLOOKUP(C125,ROS!C:C,ROS!O:O)</f>
        <v>0</v>
      </c>
      <c r="BE125" s="147" t="str">
        <f t="array" ref="BE125">IFERROR(XLOOKUP(C125,ROS!T:T,ROS!U:U),"")</f>
        <v/>
      </c>
      <c r="BF125" s="147">
        <f t="array" ref="BF125">XLOOKUP(R125,'Refrence Data'!B:B,'Refrence Data'!T:T)</f>
        <v>0.339459</v>
      </c>
      <c r="BG125" s="95">
        <f t="shared" si="19"/>
        <v>0</v>
      </c>
      <c r="BH125" s="4" t="str">
        <f t="shared" si="20"/>
        <v/>
      </c>
      <c r="BO125" s="153"/>
      <c r="BP125" s="153" t="str">
        <f t="shared" si="26"/>
        <v/>
      </c>
      <c r="BQ125" s="153"/>
      <c r="BR125" s="153"/>
      <c r="BS125" s="153"/>
    </row>
    <row r="126">
      <c r="A126" s="171">
        <v>7.73602685585E11</v>
      </c>
      <c r="B126" s="171" t="s">
        <v>3521</v>
      </c>
      <c r="C126" s="137" t="s">
        <v>1011</v>
      </c>
      <c r="D126" s="138" t="s">
        <v>472</v>
      </c>
      <c r="E126" s="139" t="s">
        <v>986</v>
      </c>
      <c r="F126" s="140" t="s">
        <v>3587</v>
      </c>
      <c r="G126" s="141">
        <v>0.0</v>
      </c>
      <c r="H126" s="142">
        <v>83.93368</v>
      </c>
      <c r="I126" s="143" t="s">
        <v>112</v>
      </c>
      <c r="J126" s="83"/>
      <c r="K126" s="174">
        <v>1095.0</v>
      </c>
      <c r="R126" s="145" t="str">
        <f t="shared" si="1"/>
        <v>Makeup_25+</v>
      </c>
      <c r="S126" s="146" t="str">
        <f t="shared" si="2"/>
        <v>25+</v>
      </c>
      <c r="T126" s="95" t="str">
        <f t="array" ref="T126">XLOOKUP(C126,'Depth or Width'!P:P,'Depth or Width'!V:V)</f>
        <v>Width</v>
      </c>
      <c r="U126" s="93">
        <f t="shared" si="3"/>
        <v>5</v>
      </c>
      <c r="V126" s="147">
        <f t="array" ref="V126">iferror(XLOOKUP(R126,'Refrence Data'!B:B,'Refrence Data'!W:W),"NA")</f>
        <v>0.555357</v>
      </c>
      <c r="W126" s="95">
        <f t="shared" si="4"/>
        <v>0</v>
      </c>
      <c r="Y126" s="148">
        <f t="array" ref="Y126">IFERROR(XLOOKUP(R126,'Refrence Data'!B:B,'Refrence Data'!N:N),"NA")</f>
        <v>0.708307</v>
      </c>
      <c r="Z126" s="95" t="str">
        <f t="shared" si="5"/>
        <v>HIGH</v>
      </c>
      <c r="AA126" s="147">
        <f t="array" ref="AA126">XLOOKUP(R126,'Refrence Data'!B:B,'Refrence Data'!AC:AC)</f>
        <v>2.297512</v>
      </c>
      <c r="AB126" s="147">
        <f t="array" ref="AB126">IFERROR(XLOOKUP(R126,'Refrence Data'!B:B,'Refrence Data'!Y:Y),"NA")</f>
        <v>1.151648</v>
      </c>
      <c r="AC126" s="95" t="str">
        <f t="shared" si="6"/>
        <v>High</v>
      </c>
      <c r="AD126" s="95" t="str">
        <f t="shared" si="7"/>
        <v>Width</v>
      </c>
      <c r="AE126" s="95" t="str">
        <f t="shared" si="8"/>
        <v>HIGHHighWidth</v>
      </c>
      <c r="AF126" s="95">
        <f t="array" ref="AF126">XLOOKUP(AE126,'Category Saturation'!A:A,'Category Saturation'!E:E)</f>
        <v>25</v>
      </c>
      <c r="AH126" s="148">
        <f t="array" ref="AH126">iferror(XLOOKUP(R126,'New Launch Success Rate'!A:A,'New Launch Success Rate'!F:F),"NA")</f>
        <v>0.923</v>
      </c>
      <c r="AI126" s="95">
        <f t="shared" si="9"/>
        <v>100</v>
      </c>
      <c r="AK126" s="149">
        <f t="shared" si="10"/>
        <v>17.5</v>
      </c>
      <c r="AM126" s="150">
        <f t="array" ref="AM126">XLOOKUP(R126,'Non Moving'!C:C,'Non Moving'!I:I)/100</f>
        <v>0.414</v>
      </c>
      <c r="AN126" s="151">
        <f t="shared" si="11"/>
        <v>0</v>
      </c>
      <c r="AO126" s="150">
        <f t="array" ref="AO126">XLOOKUP(R126,'Non Moving'!C:C,'Non Moving'!F:F)/100</f>
        <v>0.632</v>
      </c>
      <c r="AP126" s="151">
        <f t="shared" si="12"/>
        <v>0</v>
      </c>
      <c r="AR126" s="95">
        <f t="shared" si="13"/>
        <v>0</v>
      </c>
      <c r="AT126" s="95">
        <f t="shared" si="14"/>
        <v>100</v>
      </c>
      <c r="AU126" s="95">
        <f t="array" ref="AU126">iferror(XLOOKUP(J126,Monetization!A:A,Monetization!B:B),25)</f>
        <v>25</v>
      </c>
      <c r="AW126" s="95">
        <f t="shared" si="15"/>
        <v>77.5</v>
      </c>
      <c r="AY126" s="149">
        <f t="shared" si="16"/>
        <v>22.5</v>
      </c>
      <c r="AZ126" s="95" t="str">
        <f t="shared" si="17"/>
        <v>0-25</v>
      </c>
      <c r="BA126" s="95" t="str">
        <f t="shared" si="18"/>
        <v>0-25</v>
      </c>
      <c r="BB126" s="152">
        <f t="array" ref="BB126">iferror(XLOOKUP(C126,Sheet9!A:A,Sheet9!D:D),0)</f>
        <v>0</v>
      </c>
      <c r="BC126" s="2">
        <v>1.0</v>
      </c>
      <c r="BD126" s="95">
        <f t="array" ref="BD126">XLOOKUP(C126,ROS!C:C,ROS!O:O)</f>
        <v>0</v>
      </c>
      <c r="BE126" s="147" t="str">
        <f t="array" ref="BE126">IFERROR(XLOOKUP(C126,ROS!T:T,ROS!U:U),"")</f>
        <v/>
      </c>
      <c r="BF126" s="147">
        <f t="array" ref="BF126">XLOOKUP(R126,'Refrence Data'!B:B,'Refrence Data'!T:T)</f>
        <v>0.157576</v>
      </c>
      <c r="BG126" s="95">
        <f t="shared" si="19"/>
        <v>0</v>
      </c>
      <c r="BH126" s="4" t="str">
        <f t="shared" si="20"/>
        <v/>
      </c>
      <c r="BO126" s="153"/>
      <c r="BP126" s="153" t="str">
        <f t="shared" si="26"/>
        <v/>
      </c>
      <c r="BQ126" s="153"/>
      <c r="BR126" s="153"/>
      <c r="BS126" s="153"/>
    </row>
    <row r="127">
      <c r="A127" s="171">
        <v>7.73602685448E11</v>
      </c>
      <c r="B127" s="171" t="s">
        <v>3521</v>
      </c>
      <c r="C127" s="137" t="s">
        <v>1014</v>
      </c>
      <c r="D127" s="138" t="s">
        <v>472</v>
      </c>
      <c r="E127" s="139" t="s">
        <v>986</v>
      </c>
      <c r="F127" s="140" t="s">
        <v>3587</v>
      </c>
      <c r="G127" s="141">
        <v>0.0</v>
      </c>
      <c r="H127" s="142">
        <v>84.43098</v>
      </c>
      <c r="I127" s="143" t="s">
        <v>112</v>
      </c>
      <c r="J127" s="83"/>
      <c r="K127" s="174">
        <v>1095.0</v>
      </c>
      <c r="R127" s="145" t="str">
        <f t="shared" si="1"/>
        <v>Makeup_25+</v>
      </c>
      <c r="S127" s="146" t="str">
        <f t="shared" si="2"/>
        <v>25+</v>
      </c>
      <c r="T127" s="95" t="str">
        <f t="array" ref="T127">XLOOKUP(C127,'Depth or Width'!P:P,'Depth or Width'!V:V)</f>
        <v>Width</v>
      </c>
      <c r="U127" s="93">
        <f t="shared" si="3"/>
        <v>5</v>
      </c>
      <c r="V127" s="147">
        <f t="array" ref="V127">iferror(XLOOKUP(R127,'Refrence Data'!B:B,'Refrence Data'!W:W),"NA")</f>
        <v>0.555357</v>
      </c>
      <c r="W127" s="95">
        <f t="shared" si="4"/>
        <v>0</v>
      </c>
      <c r="Y127" s="148">
        <f t="array" ref="Y127">IFERROR(XLOOKUP(R127,'Refrence Data'!B:B,'Refrence Data'!N:N),"NA")</f>
        <v>0.708307</v>
      </c>
      <c r="Z127" s="95" t="str">
        <f t="shared" si="5"/>
        <v>HIGH</v>
      </c>
      <c r="AA127" s="147">
        <f t="array" ref="AA127">XLOOKUP(R127,'Refrence Data'!B:B,'Refrence Data'!AC:AC)</f>
        <v>2.297512</v>
      </c>
      <c r="AB127" s="147">
        <f t="array" ref="AB127">IFERROR(XLOOKUP(R127,'Refrence Data'!B:B,'Refrence Data'!Y:Y),"NA")</f>
        <v>1.151648</v>
      </c>
      <c r="AC127" s="95" t="str">
        <f t="shared" si="6"/>
        <v>High</v>
      </c>
      <c r="AD127" s="95" t="str">
        <f t="shared" si="7"/>
        <v>Width</v>
      </c>
      <c r="AE127" s="95" t="str">
        <f t="shared" si="8"/>
        <v>HIGHHighWidth</v>
      </c>
      <c r="AF127" s="95">
        <f t="array" ref="AF127">XLOOKUP(AE127,'Category Saturation'!A:A,'Category Saturation'!E:E)</f>
        <v>25</v>
      </c>
      <c r="AH127" s="148">
        <f t="array" ref="AH127">iferror(XLOOKUP(R127,'New Launch Success Rate'!A:A,'New Launch Success Rate'!F:F),"NA")</f>
        <v>0.923</v>
      </c>
      <c r="AI127" s="95">
        <f t="shared" si="9"/>
        <v>100</v>
      </c>
      <c r="AK127" s="149">
        <f t="shared" si="10"/>
        <v>17.5</v>
      </c>
      <c r="AM127" s="150">
        <f t="array" ref="AM127">XLOOKUP(R127,'Non Moving'!C:C,'Non Moving'!I:I)/100</f>
        <v>0.414</v>
      </c>
      <c r="AN127" s="151">
        <f t="shared" si="11"/>
        <v>0</v>
      </c>
      <c r="AO127" s="150">
        <f t="array" ref="AO127">XLOOKUP(R127,'Non Moving'!C:C,'Non Moving'!F:F)/100</f>
        <v>0.632</v>
      </c>
      <c r="AP127" s="151">
        <f t="shared" si="12"/>
        <v>0</v>
      </c>
      <c r="AR127" s="95">
        <f t="shared" si="13"/>
        <v>0</v>
      </c>
      <c r="AT127" s="95">
        <f t="shared" si="14"/>
        <v>100</v>
      </c>
      <c r="AU127" s="95">
        <f t="array" ref="AU127">iferror(XLOOKUP(J127,Monetization!A:A,Monetization!B:B),25)</f>
        <v>25</v>
      </c>
      <c r="AW127" s="95">
        <f t="shared" si="15"/>
        <v>77.5</v>
      </c>
      <c r="AY127" s="149">
        <f t="shared" si="16"/>
        <v>22.5</v>
      </c>
      <c r="AZ127" s="95" t="str">
        <f t="shared" si="17"/>
        <v>0-25</v>
      </c>
      <c r="BA127" s="95" t="str">
        <f t="shared" si="18"/>
        <v>0-25</v>
      </c>
      <c r="BB127" s="152">
        <f t="array" ref="BB127">iferror(XLOOKUP(C127,Sheet9!A:A,Sheet9!D:D),0)</f>
        <v>0</v>
      </c>
      <c r="BC127" s="2">
        <v>1.0</v>
      </c>
      <c r="BD127" s="95">
        <f t="array" ref="BD127">XLOOKUP(C127,ROS!C:C,ROS!O:O)</f>
        <v>0.111111</v>
      </c>
      <c r="BE127" s="147" t="str">
        <f t="array" ref="BE127">IFERROR(XLOOKUP(C127,ROS!T:T,ROS!U:U),"")</f>
        <v/>
      </c>
      <c r="BF127" s="147">
        <f t="array" ref="BF127">XLOOKUP(R127,'Refrence Data'!B:B,'Refrence Data'!T:T)</f>
        <v>0.157576</v>
      </c>
      <c r="BG127" s="95">
        <f t="shared" si="19"/>
        <v>0</v>
      </c>
      <c r="BH127" s="4" t="str">
        <f t="shared" si="20"/>
        <v/>
      </c>
      <c r="BO127" s="153"/>
      <c r="BP127" s="153" t="str">
        <f t="shared" si="26"/>
        <v/>
      </c>
      <c r="BQ127" s="153"/>
      <c r="BR127" s="153"/>
      <c r="BS127" s="153"/>
    </row>
    <row r="128">
      <c r="A128" s="171">
        <v>7.73602642861E11</v>
      </c>
      <c r="B128" s="171" t="s">
        <v>3521</v>
      </c>
      <c r="C128" s="137" t="s">
        <v>1016</v>
      </c>
      <c r="D128" s="138" t="s">
        <v>472</v>
      </c>
      <c r="E128" s="139" t="s">
        <v>986</v>
      </c>
      <c r="F128" s="140" t="s">
        <v>3587</v>
      </c>
      <c r="G128" s="141">
        <v>0.0</v>
      </c>
      <c r="H128" s="142">
        <v>77.03913</v>
      </c>
      <c r="I128" s="143" t="s">
        <v>112</v>
      </c>
      <c r="J128" s="83"/>
      <c r="K128" s="174">
        <v>1095.0</v>
      </c>
      <c r="R128" s="145" t="str">
        <f t="shared" si="1"/>
        <v>Makeup_25+</v>
      </c>
      <c r="S128" s="146" t="str">
        <f t="shared" si="2"/>
        <v>25+</v>
      </c>
      <c r="T128" s="95" t="str">
        <f t="array" ref="T128">XLOOKUP(C128,'Depth or Width'!P:P,'Depth or Width'!V:V)</f>
        <v>Width</v>
      </c>
      <c r="U128" s="93">
        <f t="shared" si="3"/>
        <v>5</v>
      </c>
      <c r="V128" s="147">
        <f t="array" ref="V128">iferror(XLOOKUP(R128,'Refrence Data'!B:B,'Refrence Data'!W:W),"NA")</f>
        <v>0.555357</v>
      </c>
      <c r="W128" s="95">
        <f t="shared" si="4"/>
        <v>0</v>
      </c>
      <c r="Y128" s="148">
        <f t="array" ref="Y128">IFERROR(XLOOKUP(R128,'Refrence Data'!B:B,'Refrence Data'!N:N),"NA")</f>
        <v>0.708307</v>
      </c>
      <c r="Z128" s="95" t="str">
        <f t="shared" si="5"/>
        <v>HIGH</v>
      </c>
      <c r="AA128" s="147">
        <f t="array" ref="AA128">XLOOKUP(R128,'Refrence Data'!B:B,'Refrence Data'!AC:AC)</f>
        <v>2.297512</v>
      </c>
      <c r="AB128" s="147">
        <f t="array" ref="AB128">IFERROR(XLOOKUP(R128,'Refrence Data'!B:B,'Refrence Data'!Y:Y),"NA")</f>
        <v>1.151648</v>
      </c>
      <c r="AC128" s="95" t="str">
        <f t="shared" si="6"/>
        <v>High</v>
      </c>
      <c r="AD128" s="95" t="str">
        <f t="shared" si="7"/>
        <v>Width</v>
      </c>
      <c r="AE128" s="95" t="str">
        <f t="shared" si="8"/>
        <v>HIGHHighWidth</v>
      </c>
      <c r="AF128" s="95">
        <f t="array" ref="AF128">XLOOKUP(AE128,'Category Saturation'!A:A,'Category Saturation'!E:E)</f>
        <v>25</v>
      </c>
      <c r="AH128" s="148">
        <f t="array" ref="AH128">iferror(XLOOKUP(R128,'New Launch Success Rate'!A:A,'New Launch Success Rate'!F:F),"NA")</f>
        <v>0.923</v>
      </c>
      <c r="AI128" s="95">
        <f t="shared" si="9"/>
        <v>100</v>
      </c>
      <c r="AK128" s="149">
        <f t="shared" si="10"/>
        <v>17.5</v>
      </c>
      <c r="AM128" s="150">
        <f t="array" ref="AM128">XLOOKUP(R128,'Non Moving'!C:C,'Non Moving'!I:I)/100</f>
        <v>0.414</v>
      </c>
      <c r="AN128" s="151">
        <f t="shared" si="11"/>
        <v>0</v>
      </c>
      <c r="AO128" s="150">
        <f t="array" ref="AO128">XLOOKUP(R128,'Non Moving'!C:C,'Non Moving'!F:F)/100</f>
        <v>0.632</v>
      </c>
      <c r="AP128" s="151">
        <f t="shared" si="12"/>
        <v>0</v>
      </c>
      <c r="AR128" s="95">
        <f t="shared" si="13"/>
        <v>0</v>
      </c>
      <c r="AT128" s="95">
        <f t="shared" si="14"/>
        <v>100</v>
      </c>
      <c r="AU128" s="95">
        <f t="array" ref="AU128">iferror(XLOOKUP(J128,Monetization!A:A,Monetization!B:B),25)</f>
        <v>25</v>
      </c>
      <c r="AW128" s="95">
        <f t="shared" si="15"/>
        <v>77.5</v>
      </c>
      <c r="AY128" s="149">
        <f t="shared" si="16"/>
        <v>22.5</v>
      </c>
      <c r="AZ128" s="95" t="str">
        <f t="shared" si="17"/>
        <v>0-25</v>
      </c>
      <c r="BA128" s="95" t="str">
        <f t="shared" si="18"/>
        <v>0-25</v>
      </c>
      <c r="BB128" s="152">
        <f t="array" ref="BB128">iferror(XLOOKUP(C128,Sheet9!A:A,Sheet9!D:D),0)</f>
        <v>0</v>
      </c>
      <c r="BC128" s="2">
        <v>1.0</v>
      </c>
      <c r="BD128" s="95">
        <f t="array" ref="BD128">XLOOKUP(C128,ROS!C:C,ROS!O:O)</f>
        <v>0.125</v>
      </c>
      <c r="BE128" s="147" t="str">
        <f t="array" ref="BE128">IFERROR(XLOOKUP(C128,ROS!T:T,ROS!U:U),"")</f>
        <v/>
      </c>
      <c r="BF128" s="147">
        <f t="array" ref="BF128">XLOOKUP(R128,'Refrence Data'!B:B,'Refrence Data'!T:T)</f>
        <v>0.157576</v>
      </c>
      <c r="BG128" s="95">
        <f t="shared" si="19"/>
        <v>0</v>
      </c>
      <c r="BH128" s="4" t="str">
        <f t="shared" si="20"/>
        <v/>
      </c>
      <c r="BO128" s="153"/>
      <c r="BP128" s="153" t="str">
        <f t="shared" si="26"/>
        <v/>
      </c>
      <c r="BQ128" s="153"/>
      <c r="BR128" s="153"/>
      <c r="BS128" s="153"/>
    </row>
    <row r="129">
      <c r="A129" s="171">
        <v>7.73602526772E11</v>
      </c>
      <c r="B129" s="171" t="s">
        <v>3521</v>
      </c>
      <c r="C129" s="137" t="s">
        <v>1017</v>
      </c>
      <c r="D129" s="138" t="s">
        <v>472</v>
      </c>
      <c r="E129" s="139" t="s">
        <v>986</v>
      </c>
      <c r="F129" s="140" t="s">
        <v>3587</v>
      </c>
      <c r="G129" s="141">
        <v>0.0</v>
      </c>
      <c r="H129" s="142">
        <v>98.76926</v>
      </c>
      <c r="I129" s="143" t="s">
        <v>112</v>
      </c>
      <c r="J129" s="83"/>
      <c r="K129" s="174">
        <v>1095.0</v>
      </c>
      <c r="R129" s="145" t="str">
        <f t="shared" si="1"/>
        <v>Makeup_25+</v>
      </c>
      <c r="S129" s="146" t="str">
        <f t="shared" si="2"/>
        <v>25+</v>
      </c>
      <c r="T129" s="95" t="str">
        <f t="array" ref="T129">XLOOKUP(C129,'Depth or Width'!P:P,'Depth or Width'!V:V)</f>
        <v>Width</v>
      </c>
      <c r="U129" s="93">
        <f t="shared" si="3"/>
        <v>5</v>
      </c>
      <c r="V129" s="147">
        <f t="array" ref="V129">iferror(XLOOKUP(R129,'Refrence Data'!B:B,'Refrence Data'!W:W),"NA")</f>
        <v>0.555357</v>
      </c>
      <c r="W129" s="95">
        <f t="shared" si="4"/>
        <v>0</v>
      </c>
      <c r="Y129" s="148">
        <f t="array" ref="Y129">IFERROR(XLOOKUP(R129,'Refrence Data'!B:B,'Refrence Data'!N:N),"NA")</f>
        <v>0.708307</v>
      </c>
      <c r="Z129" s="95" t="str">
        <f t="shared" si="5"/>
        <v>HIGH</v>
      </c>
      <c r="AA129" s="147">
        <f t="array" ref="AA129">XLOOKUP(R129,'Refrence Data'!B:B,'Refrence Data'!AC:AC)</f>
        <v>2.297512</v>
      </c>
      <c r="AB129" s="147">
        <f t="array" ref="AB129">IFERROR(XLOOKUP(R129,'Refrence Data'!B:B,'Refrence Data'!Y:Y),"NA")</f>
        <v>1.151648</v>
      </c>
      <c r="AC129" s="95" t="str">
        <f t="shared" si="6"/>
        <v>High</v>
      </c>
      <c r="AD129" s="95" t="str">
        <f t="shared" si="7"/>
        <v>Width</v>
      </c>
      <c r="AE129" s="95" t="str">
        <f t="shared" si="8"/>
        <v>HIGHHighWidth</v>
      </c>
      <c r="AF129" s="95">
        <f t="array" ref="AF129">XLOOKUP(AE129,'Category Saturation'!A:A,'Category Saturation'!E:E)</f>
        <v>25</v>
      </c>
      <c r="AH129" s="148">
        <f t="array" ref="AH129">iferror(XLOOKUP(R129,'New Launch Success Rate'!A:A,'New Launch Success Rate'!F:F),"NA")</f>
        <v>0.923</v>
      </c>
      <c r="AI129" s="95">
        <f t="shared" si="9"/>
        <v>100</v>
      </c>
      <c r="AK129" s="149">
        <f t="shared" si="10"/>
        <v>17.5</v>
      </c>
      <c r="AM129" s="150">
        <f t="array" ref="AM129">XLOOKUP(R129,'Non Moving'!C:C,'Non Moving'!I:I)/100</f>
        <v>0.414</v>
      </c>
      <c r="AN129" s="151">
        <f t="shared" si="11"/>
        <v>0</v>
      </c>
      <c r="AO129" s="150">
        <f t="array" ref="AO129">XLOOKUP(R129,'Non Moving'!C:C,'Non Moving'!F:F)/100</f>
        <v>0.632</v>
      </c>
      <c r="AP129" s="151">
        <f t="shared" si="12"/>
        <v>0</v>
      </c>
      <c r="AR129" s="95">
        <f t="shared" si="13"/>
        <v>0</v>
      </c>
      <c r="AT129" s="95">
        <f t="shared" si="14"/>
        <v>100</v>
      </c>
      <c r="AU129" s="95">
        <f t="array" ref="AU129">iferror(XLOOKUP(J129,Monetization!A:A,Monetization!B:B),25)</f>
        <v>25</v>
      </c>
      <c r="AW129" s="95">
        <f t="shared" si="15"/>
        <v>77.5</v>
      </c>
      <c r="AY129" s="149">
        <f t="shared" si="16"/>
        <v>22.5</v>
      </c>
      <c r="AZ129" s="95" t="str">
        <f t="shared" si="17"/>
        <v>0-25</v>
      </c>
      <c r="BA129" s="95" t="str">
        <f t="shared" si="18"/>
        <v>0-25</v>
      </c>
      <c r="BB129" s="152">
        <f t="array" ref="BB129">iferror(XLOOKUP(C129,Sheet9!A:A,Sheet9!D:D),0)</f>
        <v>0</v>
      </c>
      <c r="BC129" s="2">
        <v>1.0</v>
      </c>
      <c r="BD129" s="95">
        <f t="array" ref="BD129">XLOOKUP(C129,ROS!C:C,ROS!O:O)</f>
        <v>0</v>
      </c>
      <c r="BE129" s="147" t="str">
        <f t="array" ref="BE129">IFERROR(XLOOKUP(C129,ROS!T:T,ROS!U:U),"")</f>
        <v/>
      </c>
      <c r="BF129" s="147">
        <f t="array" ref="BF129">XLOOKUP(R129,'Refrence Data'!B:B,'Refrence Data'!T:T)</f>
        <v>0.157576</v>
      </c>
      <c r="BG129" s="95">
        <f t="shared" si="19"/>
        <v>0</v>
      </c>
      <c r="BH129" s="4" t="str">
        <f t="shared" si="20"/>
        <v/>
      </c>
      <c r="BO129" s="153"/>
      <c r="BP129" s="153" t="str">
        <f t="shared" si="26"/>
        <v/>
      </c>
      <c r="BQ129" s="153"/>
      <c r="BR129" s="153"/>
      <c r="BS129" s="153"/>
    </row>
    <row r="130">
      <c r="A130" s="171">
        <v>7.73602207107E11</v>
      </c>
      <c r="B130" s="171" t="s">
        <v>3521</v>
      </c>
      <c r="C130" s="137" t="s">
        <v>1018</v>
      </c>
      <c r="D130" s="138" t="s">
        <v>472</v>
      </c>
      <c r="E130" s="139" t="s">
        <v>986</v>
      </c>
      <c r="F130" s="140" t="s">
        <v>3587</v>
      </c>
      <c r="G130" s="141">
        <v>0.0</v>
      </c>
      <c r="H130" s="142">
        <v>108.6142</v>
      </c>
      <c r="I130" s="143" t="s">
        <v>112</v>
      </c>
      <c r="J130" s="83"/>
      <c r="K130" s="174">
        <v>1095.0</v>
      </c>
      <c r="R130" s="145" t="str">
        <f t="shared" si="1"/>
        <v>Makeup_25+</v>
      </c>
      <c r="S130" s="146" t="str">
        <f t="shared" si="2"/>
        <v>25+</v>
      </c>
      <c r="T130" s="95" t="str">
        <f t="array" ref="T130">XLOOKUP(C130,'Depth or Width'!P:P,'Depth or Width'!V:V)</f>
        <v>Width</v>
      </c>
      <c r="U130" s="93">
        <f t="shared" si="3"/>
        <v>5</v>
      </c>
      <c r="V130" s="147">
        <f t="array" ref="V130">iferror(XLOOKUP(R130,'Refrence Data'!B:B,'Refrence Data'!W:W),"NA")</f>
        <v>0.555357</v>
      </c>
      <c r="W130" s="95">
        <f t="shared" si="4"/>
        <v>0</v>
      </c>
      <c r="Y130" s="148">
        <f t="array" ref="Y130">IFERROR(XLOOKUP(R130,'Refrence Data'!B:B,'Refrence Data'!N:N),"NA")</f>
        <v>0.708307</v>
      </c>
      <c r="Z130" s="95" t="str">
        <f t="shared" si="5"/>
        <v>HIGH</v>
      </c>
      <c r="AA130" s="147">
        <f t="array" ref="AA130">XLOOKUP(R130,'Refrence Data'!B:B,'Refrence Data'!AC:AC)</f>
        <v>2.297512</v>
      </c>
      <c r="AB130" s="147">
        <f t="array" ref="AB130">IFERROR(XLOOKUP(R130,'Refrence Data'!B:B,'Refrence Data'!Y:Y),"NA")</f>
        <v>1.151648</v>
      </c>
      <c r="AC130" s="95" t="str">
        <f t="shared" si="6"/>
        <v>High</v>
      </c>
      <c r="AD130" s="95" t="str">
        <f t="shared" si="7"/>
        <v>Width</v>
      </c>
      <c r="AE130" s="95" t="str">
        <f t="shared" si="8"/>
        <v>HIGHHighWidth</v>
      </c>
      <c r="AF130" s="95">
        <f t="array" ref="AF130">XLOOKUP(AE130,'Category Saturation'!A:A,'Category Saturation'!E:E)</f>
        <v>25</v>
      </c>
      <c r="AH130" s="148">
        <f t="array" ref="AH130">iferror(XLOOKUP(R130,'New Launch Success Rate'!A:A,'New Launch Success Rate'!F:F),"NA")</f>
        <v>0.923</v>
      </c>
      <c r="AI130" s="95">
        <f t="shared" si="9"/>
        <v>100</v>
      </c>
      <c r="AK130" s="149">
        <f t="shared" si="10"/>
        <v>17.5</v>
      </c>
      <c r="AM130" s="150">
        <f t="array" ref="AM130">XLOOKUP(R130,'Non Moving'!C:C,'Non Moving'!I:I)/100</f>
        <v>0.414</v>
      </c>
      <c r="AN130" s="151">
        <f t="shared" si="11"/>
        <v>0</v>
      </c>
      <c r="AO130" s="150">
        <f t="array" ref="AO130">XLOOKUP(R130,'Non Moving'!C:C,'Non Moving'!F:F)/100</f>
        <v>0.632</v>
      </c>
      <c r="AP130" s="151">
        <f t="shared" si="12"/>
        <v>0</v>
      </c>
      <c r="AR130" s="95">
        <f t="shared" si="13"/>
        <v>0</v>
      </c>
      <c r="AT130" s="95">
        <f t="shared" si="14"/>
        <v>100</v>
      </c>
      <c r="AU130" s="95">
        <f t="array" ref="AU130">iferror(XLOOKUP(J130,Monetization!A:A,Monetization!B:B),25)</f>
        <v>25</v>
      </c>
      <c r="AW130" s="95">
        <f t="shared" si="15"/>
        <v>77.5</v>
      </c>
      <c r="AY130" s="149">
        <f t="shared" si="16"/>
        <v>22.5</v>
      </c>
      <c r="AZ130" s="95" t="str">
        <f t="shared" si="17"/>
        <v>0-25</v>
      </c>
      <c r="BA130" s="95" t="str">
        <f t="shared" si="18"/>
        <v>0-25</v>
      </c>
      <c r="BB130" s="152">
        <f t="array" ref="BB130">iferror(XLOOKUP(C130,Sheet9!A:A,Sheet9!D:D),0)</f>
        <v>0</v>
      </c>
      <c r="BC130" s="2">
        <v>1.0</v>
      </c>
      <c r="BD130" s="95">
        <f t="array" ref="BD130">XLOOKUP(C130,ROS!C:C,ROS!O:O)</f>
        <v>0</v>
      </c>
      <c r="BE130" s="147" t="str">
        <f t="array" ref="BE130">IFERROR(XLOOKUP(C130,ROS!T:T,ROS!U:U),"")</f>
        <v/>
      </c>
      <c r="BF130" s="147">
        <f t="array" ref="BF130">XLOOKUP(R130,'Refrence Data'!B:B,'Refrence Data'!T:T)</f>
        <v>0.157576</v>
      </c>
      <c r="BG130" s="95">
        <f t="shared" si="19"/>
        <v>0</v>
      </c>
      <c r="BH130" s="4" t="str">
        <f t="shared" si="20"/>
        <v/>
      </c>
      <c r="BO130" s="153"/>
      <c r="BP130" s="153" t="str">
        <f t="shared" si="26"/>
        <v/>
      </c>
      <c r="BQ130" s="153"/>
      <c r="BR130" s="153"/>
      <c r="BS130" s="153"/>
    </row>
    <row r="131">
      <c r="A131" s="171">
        <v>4.006000175294E12</v>
      </c>
      <c r="B131" s="171" t="s">
        <v>3507</v>
      </c>
      <c r="C131" s="137" t="s">
        <v>1019</v>
      </c>
      <c r="D131" s="138" t="s">
        <v>472</v>
      </c>
      <c r="E131" s="139" t="s">
        <v>507</v>
      </c>
      <c r="F131" s="140" t="s">
        <v>3560</v>
      </c>
      <c r="G131" s="141">
        <v>0.0</v>
      </c>
      <c r="H131" s="142">
        <v>22.57455</v>
      </c>
      <c r="I131" s="143" t="s">
        <v>111</v>
      </c>
      <c r="J131" s="83"/>
      <c r="K131" s="174">
        <v>1095.0</v>
      </c>
      <c r="R131" s="145" t="str">
        <f t="shared" si="1"/>
        <v>Body &amp; Skin Care_20-25</v>
      </c>
      <c r="S131" s="146" t="str">
        <f t="shared" si="2"/>
        <v>20-25</v>
      </c>
      <c r="T131" s="95" t="str">
        <f t="array" ref="T131">XLOOKUP(C131,'Depth or Width'!P:P,'Depth or Width'!V:V)</f>
        <v>Depth</v>
      </c>
      <c r="U131" s="93">
        <f t="shared" si="3"/>
        <v>5</v>
      </c>
      <c r="V131" s="147">
        <f t="array" ref="V131">iferror(XLOOKUP(R131,'Refrence Data'!B:B,'Refrence Data'!W:W),"NA")</f>
        <v>0.529167</v>
      </c>
      <c r="W131" s="95">
        <f t="shared" si="4"/>
        <v>0</v>
      </c>
      <c r="Y131" s="148">
        <f t="array" ref="Y131">IFERROR(XLOOKUP(R131,'Refrence Data'!B:B,'Refrence Data'!N:N),"NA")</f>
        <v>0.67634</v>
      </c>
      <c r="Z131" s="95" t="str">
        <f t="shared" si="5"/>
        <v>MEDIUM</v>
      </c>
      <c r="AA131" s="147">
        <f t="array" ref="AA131">XLOOKUP(R131,'Refrence Data'!B:B,'Refrence Data'!AC:AC)</f>
        <v>0.753123</v>
      </c>
      <c r="AB131" s="147">
        <f t="array" ref="AB131">IFERROR(XLOOKUP(R131,'Refrence Data'!B:B,'Refrence Data'!Y:Y),"NA")</f>
        <v>0.753123</v>
      </c>
      <c r="AC131" s="95" t="str">
        <f t="shared" si="6"/>
        <v>High</v>
      </c>
      <c r="AD131" s="95" t="str">
        <f t="shared" si="7"/>
        <v>Depth</v>
      </c>
      <c r="AE131" s="95" t="str">
        <f t="shared" si="8"/>
        <v>MEDIUMHighDepth</v>
      </c>
      <c r="AF131" s="95">
        <f t="array" ref="AF131">XLOOKUP(AE131,'Category Saturation'!A:A,'Category Saturation'!E:E)</f>
        <v>60</v>
      </c>
      <c r="AH131" s="148">
        <f t="array" ref="AH131">iferror(XLOOKUP(R131,'New Launch Success Rate'!A:A,'New Launch Success Rate'!F:F),"NA")</f>
        <v>0.4035</v>
      </c>
      <c r="AI131" s="95">
        <f t="shared" si="9"/>
        <v>25</v>
      </c>
      <c r="AK131" s="149">
        <f t="shared" si="10"/>
        <v>20.5</v>
      </c>
      <c r="AM131" s="150">
        <f t="array" ref="AM131">XLOOKUP(R131,'Non Moving'!C:C,'Non Moving'!I:I)/100</f>
        <v>0.228</v>
      </c>
      <c r="AN131" s="151">
        <f t="shared" si="11"/>
        <v>0</v>
      </c>
      <c r="AO131" s="150">
        <f t="array" ref="AO131">XLOOKUP(R131,'Non Moving'!C:C,'Non Moving'!F:F)/100</f>
        <v>0.37</v>
      </c>
      <c r="AP131" s="151">
        <f t="shared" si="12"/>
        <v>50</v>
      </c>
      <c r="AR131" s="95">
        <f t="shared" si="13"/>
        <v>25</v>
      </c>
      <c r="AT131" s="95">
        <f t="shared" si="14"/>
        <v>0</v>
      </c>
      <c r="AU131" s="95">
        <f t="array" ref="AU131">iferror(XLOOKUP(J131,Monetization!A:A,Monetization!B:B),25)</f>
        <v>25</v>
      </c>
      <c r="AW131" s="95">
        <f t="shared" si="15"/>
        <v>7.5</v>
      </c>
      <c r="AY131" s="149">
        <f t="shared" si="16"/>
        <v>19.7</v>
      </c>
      <c r="AZ131" s="95" t="str">
        <f t="shared" si="17"/>
        <v>0-25</v>
      </c>
      <c r="BA131" s="95" t="str">
        <f t="shared" si="18"/>
        <v>0-25</v>
      </c>
      <c r="BB131" s="152">
        <f t="array" ref="BB131">iferror(XLOOKUP(C131,Sheet9!A:A,Sheet9!D:D),0)</f>
        <v>0.44</v>
      </c>
      <c r="BC131" s="2">
        <v>1.0</v>
      </c>
      <c r="BD131" s="95">
        <f t="array" ref="BD131">XLOOKUP(C131,ROS!C:C,ROS!O:O)</f>
        <v>0</v>
      </c>
      <c r="BE131" s="147">
        <f t="array" ref="BE131">IFERROR(XLOOKUP(C131,ROS!T:T,ROS!U:U),"")</f>
        <v>1</v>
      </c>
      <c r="BF131" s="147">
        <f t="array" ref="BF131">XLOOKUP(R131,'Refrence Data'!B:B,'Refrence Data'!T:T)</f>
        <v>0.232258</v>
      </c>
      <c r="BG131" s="95">
        <f t="shared" si="19"/>
        <v>0</v>
      </c>
      <c r="BH131" s="4" t="str">
        <f t="shared" si="20"/>
        <v/>
      </c>
      <c r="BO131" s="153"/>
      <c r="BP131" s="153" t="str">
        <f t="shared" si="26"/>
        <v/>
      </c>
      <c r="BQ131" s="153"/>
      <c r="BR131" s="153"/>
      <c r="BS131" s="153"/>
    </row>
    <row r="132">
      <c r="A132" s="171">
        <v>4.006000175027E12</v>
      </c>
      <c r="B132" s="171" t="s">
        <v>3507</v>
      </c>
      <c r="C132" s="137" t="s">
        <v>1021</v>
      </c>
      <c r="D132" s="138" t="s">
        <v>472</v>
      </c>
      <c r="E132" s="139" t="s">
        <v>507</v>
      </c>
      <c r="F132" s="140" t="s">
        <v>3560</v>
      </c>
      <c r="G132" s="141">
        <v>0.0</v>
      </c>
      <c r="H132" s="142">
        <v>28.40256</v>
      </c>
      <c r="I132" s="143" t="s">
        <v>111</v>
      </c>
      <c r="J132" s="83"/>
      <c r="K132" s="174">
        <v>1095.0</v>
      </c>
      <c r="R132" s="145" t="str">
        <f t="shared" si="1"/>
        <v>Body &amp; Skin Care_25+</v>
      </c>
      <c r="S132" s="146" t="str">
        <f t="shared" si="2"/>
        <v>25+</v>
      </c>
      <c r="T132" s="95" t="str">
        <f t="array" ref="T132">XLOOKUP(C132,'Depth or Width'!P:P,'Depth or Width'!V:V)</f>
        <v>Depth</v>
      </c>
      <c r="U132" s="93">
        <f t="shared" si="3"/>
        <v>5</v>
      </c>
      <c r="V132" s="147">
        <f t="array" ref="V132">iferror(XLOOKUP(R132,'Refrence Data'!B:B,'Refrence Data'!W:W),"NA")</f>
        <v>0.36819</v>
      </c>
      <c r="W132" s="95">
        <f t="shared" si="4"/>
        <v>0</v>
      </c>
      <c r="Y132" s="148">
        <f t="array" ref="Y132">IFERROR(XLOOKUP(R132,'Refrence Data'!B:B,'Refrence Data'!N:N),"NA")</f>
        <v>0.674706</v>
      </c>
      <c r="Z132" s="95" t="str">
        <f t="shared" si="5"/>
        <v>MEDIUM</v>
      </c>
      <c r="AA132" s="147">
        <f t="array" ref="AA132">XLOOKUP(R132,'Refrence Data'!B:B,'Refrence Data'!AC:AC)</f>
        <v>0.753123</v>
      </c>
      <c r="AB132" s="147">
        <f t="array" ref="AB132">IFERROR(XLOOKUP(R132,'Refrence Data'!B:B,'Refrence Data'!Y:Y),"NA")</f>
        <v>0.617037</v>
      </c>
      <c r="AC132" s="95" t="str">
        <f t="shared" si="6"/>
        <v>High</v>
      </c>
      <c r="AD132" s="95" t="str">
        <f t="shared" si="7"/>
        <v>Depth</v>
      </c>
      <c r="AE132" s="95" t="str">
        <f t="shared" si="8"/>
        <v>MEDIUMHighDepth</v>
      </c>
      <c r="AF132" s="95">
        <f t="array" ref="AF132">XLOOKUP(AE132,'Category Saturation'!A:A,'Category Saturation'!E:E)</f>
        <v>60</v>
      </c>
      <c r="AH132" s="148">
        <f t="array" ref="AH132">iferror(XLOOKUP(R132,'New Launch Success Rate'!A:A,'New Launch Success Rate'!F:F),"NA")</f>
        <v>0.722</v>
      </c>
      <c r="AI132" s="95">
        <f t="shared" si="9"/>
        <v>100</v>
      </c>
      <c r="AK132" s="149">
        <f t="shared" si="10"/>
        <v>28</v>
      </c>
      <c r="AM132" s="150">
        <f t="array" ref="AM132">XLOOKUP(R132,'Non Moving'!C:C,'Non Moving'!I:I)/100</f>
        <v>0.419</v>
      </c>
      <c r="AN132" s="151">
        <f t="shared" si="11"/>
        <v>0</v>
      </c>
      <c r="AO132" s="150">
        <f t="array" ref="AO132">XLOOKUP(R132,'Non Moving'!C:C,'Non Moving'!F:F)/100</f>
        <v>0.56</v>
      </c>
      <c r="AP132" s="151">
        <f t="shared" si="12"/>
        <v>0</v>
      </c>
      <c r="AR132" s="95">
        <f t="shared" si="13"/>
        <v>0</v>
      </c>
      <c r="AT132" s="95">
        <f t="shared" si="14"/>
        <v>0</v>
      </c>
      <c r="AU132" s="95">
        <f t="array" ref="AU132">iferror(XLOOKUP(J132,Monetization!A:A,Monetization!B:B),25)</f>
        <v>25</v>
      </c>
      <c r="AW132" s="95">
        <f t="shared" si="15"/>
        <v>7.5</v>
      </c>
      <c r="AY132" s="149">
        <f t="shared" si="16"/>
        <v>12.7</v>
      </c>
      <c r="AZ132" s="95" t="str">
        <f t="shared" si="17"/>
        <v>0-25</v>
      </c>
      <c r="BA132" s="95" t="str">
        <f t="shared" si="18"/>
        <v>25-50</v>
      </c>
      <c r="BB132" s="152">
        <f t="array" ref="BB132">iferror(XLOOKUP(C132,Sheet9!A:A,Sheet9!D:D),0)</f>
        <v>0.22</v>
      </c>
      <c r="BC132" s="2">
        <v>1.0</v>
      </c>
      <c r="BD132" s="95">
        <f t="array" ref="BD132">XLOOKUP(C132,ROS!C:C,ROS!O:O)</f>
        <v>0</v>
      </c>
      <c r="BE132" s="147">
        <f t="array" ref="BE132">IFERROR(XLOOKUP(C132,ROS!T:T,ROS!U:U),"")</f>
        <v>1.333333333</v>
      </c>
      <c r="BF132" s="147">
        <f t="array" ref="BF132">XLOOKUP(R132,'Refrence Data'!B:B,'Refrence Data'!T:T)</f>
        <v>0.085714</v>
      </c>
      <c r="BG132" s="95">
        <f t="shared" si="19"/>
        <v>1</v>
      </c>
      <c r="BH132" s="4" t="str">
        <f t="shared" si="20"/>
        <v/>
      </c>
      <c r="BO132" s="153"/>
      <c r="BP132" s="153" t="str">
        <f t="shared" si="26"/>
        <v/>
      </c>
      <c r="BQ132" s="153"/>
      <c r="BR132" s="153"/>
      <c r="BS132" s="153"/>
    </row>
    <row r="133">
      <c r="A133" s="171">
        <v>4.006000174594E12</v>
      </c>
      <c r="B133" s="171" t="s">
        <v>3507</v>
      </c>
      <c r="C133" s="137" t="s">
        <v>1022</v>
      </c>
      <c r="D133" s="138" t="s">
        <v>472</v>
      </c>
      <c r="E133" s="139" t="s">
        <v>507</v>
      </c>
      <c r="F133" s="140" t="s">
        <v>3560</v>
      </c>
      <c r="G133" s="141">
        <v>0.0</v>
      </c>
      <c r="H133" s="142">
        <v>16.29016</v>
      </c>
      <c r="I133" s="143" t="s">
        <v>111</v>
      </c>
      <c r="J133" s="83"/>
      <c r="K133" s="174">
        <v>1095.0</v>
      </c>
      <c r="R133" s="145" t="str">
        <f t="shared" si="1"/>
        <v>Body &amp; Skin Care_15-20</v>
      </c>
      <c r="S133" s="146" t="str">
        <f t="shared" si="2"/>
        <v>15-20</v>
      </c>
      <c r="T133" s="95" t="str">
        <f t="array" ref="T133">XLOOKUP(C133,'Depth or Width'!P:P,'Depth or Width'!V:V)</f>
        <v>Depth</v>
      </c>
      <c r="U133" s="93">
        <f t="shared" si="3"/>
        <v>5</v>
      </c>
      <c r="V133" s="147">
        <f t="array" ref="V133">iferror(XLOOKUP(R133,'Refrence Data'!B:B,'Refrence Data'!W:W),"NA")</f>
        <v>1.566667</v>
      </c>
      <c r="W133" s="95">
        <f t="shared" si="4"/>
        <v>0</v>
      </c>
      <c r="Y133" s="148">
        <f t="array" ref="Y133">IFERROR(XLOOKUP(R133,'Refrence Data'!B:B,'Refrence Data'!N:N),"NA")</f>
        <v>0.510395</v>
      </c>
      <c r="Z133" s="95" t="str">
        <f t="shared" si="5"/>
        <v>MEDIUM</v>
      </c>
      <c r="AA133" s="147">
        <f t="array" ref="AA133">XLOOKUP(R133,'Refrence Data'!B:B,'Refrence Data'!AC:AC)</f>
        <v>0.753123</v>
      </c>
      <c r="AB133" s="147">
        <f t="array" ref="AB133">IFERROR(XLOOKUP(R133,'Refrence Data'!B:B,'Refrence Data'!Y:Y),"NA")</f>
        <v>2.009675</v>
      </c>
      <c r="AC133" s="95" t="str">
        <f t="shared" si="6"/>
        <v>High</v>
      </c>
      <c r="AD133" s="95" t="str">
        <f t="shared" si="7"/>
        <v>Depth</v>
      </c>
      <c r="AE133" s="95" t="str">
        <f t="shared" si="8"/>
        <v>MEDIUMHighDepth</v>
      </c>
      <c r="AF133" s="95">
        <f t="array" ref="AF133">XLOOKUP(AE133,'Category Saturation'!A:A,'Category Saturation'!E:E)</f>
        <v>60</v>
      </c>
      <c r="AH133" s="148">
        <f t="array" ref="AH133">iferror(XLOOKUP(R133,'New Launch Success Rate'!A:A,'New Launch Success Rate'!F:F),"NA")</f>
        <v>0.714</v>
      </c>
      <c r="AI133" s="95">
        <f t="shared" si="9"/>
        <v>100</v>
      </c>
      <c r="AK133" s="149">
        <f t="shared" si="10"/>
        <v>28</v>
      </c>
      <c r="AM133" s="150">
        <f t="array" ref="AM133">XLOOKUP(R133,'Non Moving'!C:C,'Non Moving'!I:I)/100</f>
        <v>0.192</v>
      </c>
      <c r="AN133" s="151">
        <f t="shared" si="11"/>
        <v>50</v>
      </c>
      <c r="AO133" s="150">
        <f t="array" ref="AO133">XLOOKUP(R133,'Non Moving'!C:C,'Non Moving'!F:F)/100</f>
        <v>0.296</v>
      </c>
      <c r="AP133" s="151">
        <f t="shared" si="12"/>
        <v>75</v>
      </c>
      <c r="AR133" s="95">
        <f t="shared" si="13"/>
        <v>62.5</v>
      </c>
      <c r="AT133" s="95">
        <f t="shared" si="14"/>
        <v>0</v>
      </c>
      <c r="AU133" s="95">
        <f t="array" ref="AU133">iferror(XLOOKUP(J133,Monetization!A:A,Monetization!B:B),25)</f>
        <v>25</v>
      </c>
      <c r="AW133" s="95">
        <f t="shared" si="15"/>
        <v>7.5</v>
      </c>
      <c r="AY133" s="149">
        <f t="shared" si="16"/>
        <v>37.7</v>
      </c>
      <c r="AZ133" s="95" t="str">
        <f t="shared" si="17"/>
        <v>25-50</v>
      </c>
      <c r="BA133" s="95" t="str">
        <f t="shared" si="18"/>
        <v>25-50</v>
      </c>
      <c r="BB133" s="152">
        <f t="array" ref="BB133">iferror(XLOOKUP(C133,Sheet9!A:A,Sheet9!D:D),0)</f>
        <v>0.2</v>
      </c>
      <c r="BC133" s="2">
        <v>1.0</v>
      </c>
      <c r="BD133" s="95">
        <f t="array" ref="BD133">XLOOKUP(C133,ROS!C:C,ROS!O:O)</f>
        <v>1.964286</v>
      </c>
      <c r="BE133" s="147">
        <f t="array" ref="BE133">IFERROR(XLOOKUP(C133,ROS!T:T,ROS!U:U),"")</f>
        <v>0</v>
      </c>
      <c r="BF133" s="147">
        <f t="array" ref="BF133">XLOOKUP(R133,'Refrence Data'!B:B,'Refrence Data'!T:T)</f>
        <v>0.422195</v>
      </c>
      <c r="BG133" s="95">
        <f t="shared" si="19"/>
        <v>1</v>
      </c>
      <c r="BH133" s="4" t="str">
        <f t="shared" si="20"/>
        <v/>
      </c>
      <c r="BO133" s="153"/>
      <c r="BP133" s="153" t="str">
        <f t="shared" si="26"/>
        <v/>
      </c>
      <c r="BQ133" s="153"/>
      <c r="BR133" s="153"/>
      <c r="BS133" s="153"/>
    </row>
    <row r="134">
      <c r="A134" s="171">
        <v>4.006000173306E12</v>
      </c>
      <c r="B134" s="171" t="s">
        <v>3507</v>
      </c>
      <c r="C134" s="137" t="s">
        <v>1023</v>
      </c>
      <c r="D134" s="138" t="s">
        <v>472</v>
      </c>
      <c r="E134" s="139" t="s">
        <v>507</v>
      </c>
      <c r="F134" s="140" t="s">
        <v>3560</v>
      </c>
      <c r="G134" s="141">
        <v>0.0</v>
      </c>
      <c r="H134" s="142">
        <v>23.33156</v>
      </c>
      <c r="I134" s="143" t="s">
        <v>111</v>
      </c>
      <c r="J134" s="83"/>
      <c r="K134" s="174">
        <v>1095.0</v>
      </c>
      <c r="R134" s="145" t="str">
        <f t="shared" si="1"/>
        <v>Body &amp; Skin Care_20-25</v>
      </c>
      <c r="S134" s="146" t="str">
        <f t="shared" si="2"/>
        <v>20-25</v>
      </c>
      <c r="T134" s="95" t="str">
        <f t="array" ref="T134">XLOOKUP(C134,'Depth or Width'!P:P,'Depth or Width'!V:V)</f>
        <v>Depth</v>
      </c>
      <c r="U134" s="93">
        <f t="shared" si="3"/>
        <v>5</v>
      </c>
      <c r="V134" s="147">
        <f t="array" ref="V134">iferror(XLOOKUP(R134,'Refrence Data'!B:B,'Refrence Data'!W:W),"NA")</f>
        <v>0.529167</v>
      </c>
      <c r="W134" s="95">
        <f t="shared" si="4"/>
        <v>0</v>
      </c>
      <c r="Y134" s="148">
        <f t="array" ref="Y134">IFERROR(XLOOKUP(R134,'Refrence Data'!B:B,'Refrence Data'!N:N),"NA")</f>
        <v>0.67634</v>
      </c>
      <c r="Z134" s="95" t="str">
        <f t="shared" si="5"/>
        <v>MEDIUM</v>
      </c>
      <c r="AA134" s="147">
        <f t="array" ref="AA134">XLOOKUP(R134,'Refrence Data'!B:B,'Refrence Data'!AC:AC)</f>
        <v>0.753123</v>
      </c>
      <c r="AB134" s="147">
        <f t="array" ref="AB134">IFERROR(XLOOKUP(R134,'Refrence Data'!B:B,'Refrence Data'!Y:Y),"NA")</f>
        <v>0.753123</v>
      </c>
      <c r="AC134" s="95" t="str">
        <f t="shared" si="6"/>
        <v>High</v>
      </c>
      <c r="AD134" s="95" t="str">
        <f t="shared" si="7"/>
        <v>Depth</v>
      </c>
      <c r="AE134" s="95" t="str">
        <f t="shared" si="8"/>
        <v>MEDIUMHighDepth</v>
      </c>
      <c r="AF134" s="95">
        <f t="array" ref="AF134">XLOOKUP(AE134,'Category Saturation'!A:A,'Category Saturation'!E:E)</f>
        <v>60</v>
      </c>
      <c r="AH134" s="148">
        <f t="array" ref="AH134">iferror(XLOOKUP(R134,'New Launch Success Rate'!A:A,'New Launch Success Rate'!F:F),"NA")</f>
        <v>0.4035</v>
      </c>
      <c r="AI134" s="95">
        <f t="shared" si="9"/>
        <v>25</v>
      </c>
      <c r="AK134" s="149">
        <f t="shared" si="10"/>
        <v>20.5</v>
      </c>
      <c r="AM134" s="150">
        <f t="array" ref="AM134">XLOOKUP(R134,'Non Moving'!C:C,'Non Moving'!I:I)/100</f>
        <v>0.228</v>
      </c>
      <c r="AN134" s="151">
        <f t="shared" si="11"/>
        <v>0</v>
      </c>
      <c r="AO134" s="150">
        <f t="array" ref="AO134">XLOOKUP(R134,'Non Moving'!C:C,'Non Moving'!F:F)/100</f>
        <v>0.37</v>
      </c>
      <c r="AP134" s="151">
        <f t="shared" si="12"/>
        <v>50</v>
      </c>
      <c r="AR134" s="95">
        <f t="shared" si="13"/>
        <v>25</v>
      </c>
      <c r="AT134" s="95">
        <f t="shared" si="14"/>
        <v>0</v>
      </c>
      <c r="AU134" s="95">
        <f t="array" ref="AU134">iferror(XLOOKUP(J134,Monetization!A:A,Monetization!B:B),25)</f>
        <v>25</v>
      </c>
      <c r="AW134" s="95">
        <f t="shared" si="15"/>
        <v>7.5</v>
      </c>
      <c r="AY134" s="149">
        <f t="shared" si="16"/>
        <v>19.7</v>
      </c>
      <c r="AZ134" s="95" t="str">
        <f t="shared" si="17"/>
        <v>0-25</v>
      </c>
      <c r="BA134" s="95" t="str">
        <f t="shared" si="18"/>
        <v>0-25</v>
      </c>
      <c r="BB134" s="152">
        <f t="array" ref="BB134">iferror(XLOOKUP(C134,Sheet9!A:A,Sheet9!D:D),0)</f>
        <v>0.5</v>
      </c>
      <c r="BC134" s="2">
        <v>1.0</v>
      </c>
      <c r="BD134" s="95">
        <f t="array" ref="BD134">XLOOKUP(C134,ROS!C:C,ROS!O:O)</f>
        <v>0</v>
      </c>
      <c r="BE134" s="147">
        <f t="array" ref="BE134">IFERROR(XLOOKUP(C134,ROS!T:T,ROS!U:U),"")</f>
        <v>0</v>
      </c>
      <c r="BF134" s="147">
        <f t="array" ref="BF134">XLOOKUP(R134,'Refrence Data'!B:B,'Refrence Data'!T:T)</f>
        <v>0.232258</v>
      </c>
      <c r="BG134" s="95">
        <f t="shared" si="19"/>
        <v>0</v>
      </c>
      <c r="BH134" s="4" t="str">
        <f t="shared" si="20"/>
        <v/>
      </c>
      <c r="BO134" s="153"/>
      <c r="BP134" s="153" t="str">
        <f t="shared" si="26"/>
        <v/>
      </c>
      <c r="BQ134" s="153"/>
      <c r="BR134" s="153"/>
      <c r="BS134" s="153"/>
    </row>
    <row r="135">
      <c r="A135" s="171">
        <v>4.006000172187E12</v>
      </c>
      <c r="B135" s="171" t="s">
        <v>3507</v>
      </c>
      <c r="C135" s="137" t="s">
        <v>1024</v>
      </c>
      <c r="D135" s="138" t="s">
        <v>472</v>
      </c>
      <c r="E135" s="139" t="s">
        <v>507</v>
      </c>
      <c r="F135" s="140" t="s">
        <v>3560</v>
      </c>
      <c r="G135" s="141">
        <v>0.0</v>
      </c>
      <c r="H135" s="142">
        <v>18.46717</v>
      </c>
      <c r="I135" s="143" t="s">
        <v>111</v>
      </c>
      <c r="J135" s="83"/>
      <c r="K135" s="174">
        <v>1095.0</v>
      </c>
      <c r="R135" s="145" t="str">
        <f t="shared" si="1"/>
        <v>Body &amp; Skin Care_15-20</v>
      </c>
      <c r="S135" s="146" t="str">
        <f t="shared" si="2"/>
        <v>15-20</v>
      </c>
      <c r="T135" s="95" t="str">
        <f t="array" ref="T135">XLOOKUP(C135,'Depth or Width'!P:P,'Depth or Width'!V:V)</f>
        <v>Depth</v>
      </c>
      <c r="U135" s="93">
        <f t="shared" si="3"/>
        <v>5</v>
      </c>
      <c r="V135" s="147">
        <f t="array" ref="V135">iferror(XLOOKUP(R135,'Refrence Data'!B:B,'Refrence Data'!W:W),"NA")</f>
        <v>1.566667</v>
      </c>
      <c r="W135" s="95">
        <f t="shared" si="4"/>
        <v>0</v>
      </c>
      <c r="Y135" s="148">
        <f t="array" ref="Y135">IFERROR(XLOOKUP(R135,'Refrence Data'!B:B,'Refrence Data'!N:N),"NA")</f>
        <v>0.510395</v>
      </c>
      <c r="Z135" s="95" t="str">
        <f t="shared" si="5"/>
        <v>MEDIUM</v>
      </c>
      <c r="AA135" s="147">
        <f t="array" ref="AA135">XLOOKUP(R135,'Refrence Data'!B:B,'Refrence Data'!AC:AC)</f>
        <v>0.753123</v>
      </c>
      <c r="AB135" s="147">
        <f t="array" ref="AB135">IFERROR(XLOOKUP(R135,'Refrence Data'!B:B,'Refrence Data'!Y:Y),"NA")</f>
        <v>2.009675</v>
      </c>
      <c r="AC135" s="95" t="str">
        <f t="shared" si="6"/>
        <v>High</v>
      </c>
      <c r="AD135" s="95" t="str">
        <f t="shared" si="7"/>
        <v>Depth</v>
      </c>
      <c r="AE135" s="95" t="str">
        <f t="shared" si="8"/>
        <v>MEDIUMHighDepth</v>
      </c>
      <c r="AF135" s="95">
        <f t="array" ref="AF135">XLOOKUP(AE135,'Category Saturation'!A:A,'Category Saturation'!E:E)</f>
        <v>60</v>
      </c>
      <c r="AH135" s="148">
        <f t="array" ref="AH135">iferror(XLOOKUP(R135,'New Launch Success Rate'!A:A,'New Launch Success Rate'!F:F),"NA")</f>
        <v>0.714</v>
      </c>
      <c r="AI135" s="95">
        <f t="shared" si="9"/>
        <v>100</v>
      </c>
      <c r="AK135" s="149">
        <f t="shared" si="10"/>
        <v>28</v>
      </c>
      <c r="AM135" s="150">
        <f t="array" ref="AM135">XLOOKUP(R135,'Non Moving'!C:C,'Non Moving'!I:I)/100</f>
        <v>0.192</v>
      </c>
      <c r="AN135" s="151">
        <f t="shared" si="11"/>
        <v>50</v>
      </c>
      <c r="AO135" s="150">
        <f t="array" ref="AO135">XLOOKUP(R135,'Non Moving'!C:C,'Non Moving'!F:F)/100</f>
        <v>0.296</v>
      </c>
      <c r="AP135" s="151">
        <f t="shared" si="12"/>
        <v>75</v>
      </c>
      <c r="AR135" s="95">
        <f t="shared" si="13"/>
        <v>62.5</v>
      </c>
      <c r="AT135" s="95">
        <f t="shared" si="14"/>
        <v>0</v>
      </c>
      <c r="AU135" s="95">
        <f t="array" ref="AU135">iferror(XLOOKUP(J135,Monetization!A:A,Monetization!B:B),25)</f>
        <v>25</v>
      </c>
      <c r="AW135" s="95">
        <f t="shared" si="15"/>
        <v>7.5</v>
      </c>
      <c r="AY135" s="149">
        <f t="shared" si="16"/>
        <v>37.7</v>
      </c>
      <c r="AZ135" s="95" t="str">
        <f t="shared" si="17"/>
        <v>25-50</v>
      </c>
      <c r="BA135" s="95" t="str">
        <f t="shared" si="18"/>
        <v>25-50</v>
      </c>
      <c r="BB135" s="152">
        <f t="array" ref="BB135">iferror(XLOOKUP(C135,Sheet9!A:A,Sheet9!D:D),0)</f>
        <v>0.7</v>
      </c>
      <c r="BC135" s="2">
        <v>1.0</v>
      </c>
      <c r="BD135" s="95">
        <f t="array" ref="BD135">XLOOKUP(C135,ROS!C:C,ROS!O:O)</f>
        <v>0</v>
      </c>
      <c r="BE135" s="147">
        <f t="array" ref="BE135">IFERROR(XLOOKUP(C135,ROS!T:T,ROS!U:U),"")</f>
        <v>0</v>
      </c>
      <c r="BF135" s="147">
        <f t="array" ref="BF135">XLOOKUP(R135,'Refrence Data'!B:B,'Refrence Data'!T:T)</f>
        <v>0.422195</v>
      </c>
      <c r="BG135" s="95">
        <f t="shared" si="19"/>
        <v>0</v>
      </c>
      <c r="BH135" s="4" t="str">
        <f t="shared" si="20"/>
        <v/>
      </c>
      <c r="BO135" s="153"/>
      <c r="BP135" s="153" t="str">
        <f t="shared" si="26"/>
        <v/>
      </c>
      <c r="BQ135" s="153"/>
      <c r="BR135" s="153"/>
      <c r="BS135" s="153"/>
    </row>
    <row r="136">
      <c r="A136" s="171">
        <v>4.006000172019E12</v>
      </c>
      <c r="B136" s="171" t="s">
        <v>3507</v>
      </c>
      <c r="C136" s="137" t="s">
        <v>1025</v>
      </c>
      <c r="D136" s="138" t="s">
        <v>472</v>
      </c>
      <c r="E136" s="139" t="s">
        <v>507</v>
      </c>
      <c r="F136" s="140" t="s">
        <v>3560</v>
      </c>
      <c r="G136" s="141">
        <v>0.0</v>
      </c>
      <c r="H136" s="142">
        <v>16.89913</v>
      </c>
      <c r="I136" s="143" t="s">
        <v>111</v>
      </c>
      <c r="J136" s="83"/>
      <c r="K136" s="174">
        <v>1095.0</v>
      </c>
      <c r="R136" s="145" t="str">
        <f t="shared" si="1"/>
        <v>Body &amp; Skin Care_15-20</v>
      </c>
      <c r="S136" s="146" t="str">
        <f t="shared" si="2"/>
        <v>15-20</v>
      </c>
      <c r="T136" s="95" t="str">
        <f t="array" ref="T136">XLOOKUP(C136,'Depth or Width'!P:P,'Depth or Width'!V:V)</f>
        <v>Depth</v>
      </c>
      <c r="U136" s="93">
        <f t="shared" si="3"/>
        <v>5</v>
      </c>
      <c r="V136" s="147">
        <f t="array" ref="V136">iferror(XLOOKUP(R136,'Refrence Data'!B:B,'Refrence Data'!W:W),"NA")</f>
        <v>1.566667</v>
      </c>
      <c r="W136" s="95">
        <f t="shared" si="4"/>
        <v>0</v>
      </c>
      <c r="Y136" s="148">
        <f t="array" ref="Y136">IFERROR(XLOOKUP(R136,'Refrence Data'!B:B,'Refrence Data'!N:N),"NA")</f>
        <v>0.510395</v>
      </c>
      <c r="Z136" s="95" t="str">
        <f t="shared" si="5"/>
        <v>MEDIUM</v>
      </c>
      <c r="AA136" s="147">
        <f t="array" ref="AA136">XLOOKUP(R136,'Refrence Data'!B:B,'Refrence Data'!AC:AC)</f>
        <v>0.753123</v>
      </c>
      <c r="AB136" s="147">
        <f t="array" ref="AB136">IFERROR(XLOOKUP(R136,'Refrence Data'!B:B,'Refrence Data'!Y:Y),"NA")</f>
        <v>2.009675</v>
      </c>
      <c r="AC136" s="95" t="str">
        <f t="shared" si="6"/>
        <v>High</v>
      </c>
      <c r="AD136" s="95" t="str">
        <f t="shared" si="7"/>
        <v>Depth</v>
      </c>
      <c r="AE136" s="95" t="str">
        <f t="shared" si="8"/>
        <v>MEDIUMHighDepth</v>
      </c>
      <c r="AF136" s="95">
        <f t="array" ref="AF136">XLOOKUP(AE136,'Category Saturation'!A:A,'Category Saturation'!E:E)</f>
        <v>60</v>
      </c>
      <c r="AH136" s="148">
        <f t="array" ref="AH136">iferror(XLOOKUP(R136,'New Launch Success Rate'!A:A,'New Launch Success Rate'!F:F),"NA")</f>
        <v>0.714</v>
      </c>
      <c r="AI136" s="95">
        <f t="shared" si="9"/>
        <v>100</v>
      </c>
      <c r="AK136" s="149">
        <f t="shared" si="10"/>
        <v>28</v>
      </c>
      <c r="AM136" s="150">
        <f t="array" ref="AM136">XLOOKUP(R136,'Non Moving'!C:C,'Non Moving'!I:I)/100</f>
        <v>0.192</v>
      </c>
      <c r="AN136" s="151">
        <f t="shared" si="11"/>
        <v>50</v>
      </c>
      <c r="AO136" s="150">
        <f t="array" ref="AO136">XLOOKUP(R136,'Non Moving'!C:C,'Non Moving'!F:F)/100</f>
        <v>0.296</v>
      </c>
      <c r="AP136" s="151">
        <f t="shared" si="12"/>
        <v>75</v>
      </c>
      <c r="AR136" s="95">
        <f t="shared" si="13"/>
        <v>62.5</v>
      </c>
      <c r="AT136" s="95">
        <f t="shared" si="14"/>
        <v>0</v>
      </c>
      <c r="AU136" s="95">
        <f t="array" ref="AU136">iferror(XLOOKUP(J136,Monetization!A:A,Monetization!B:B),25)</f>
        <v>25</v>
      </c>
      <c r="AW136" s="95">
        <f t="shared" si="15"/>
        <v>7.5</v>
      </c>
      <c r="AY136" s="149">
        <f t="shared" si="16"/>
        <v>37.7</v>
      </c>
      <c r="AZ136" s="95" t="str">
        <f t="shared" si="17"/>
        <v>25-50</v>
      </c>
      <c r="BA136" s="95" t="str">
        <f t="shared" si="18"/>
        <v>25-50</v>
      </c>
      <c r="BB136" s="152">
        <f t="array" ref="BB136">iferror(XLOOKUP(C136,Sheet9!A:A,Sheet9!D:D),0)</f>
        <v>0.41</v>
      </c>
      <c r="BC136" s="2">
        <v>1.0</v>
      </c>
      <c r="BD136" s="95">
        <f t="array" ref="BD136">XLOOKUP(C136,ROS!C:C,ROS!O:O)</f>
        <v>0</v>
      </c>
      <c r="BE136" s="147">
        <f t="array" ref="BE136">IFERROR(XLOOKUP(C136,ROS!T:T,ROS!U:U),"")</f>
        <v>0.5</v>
      </c>
      <c r="BF136" s="147">
        <f t="array" ref="BF136">XLOOKUP(R136,'Refrence Data'!B:B,'Refrence Data'!T:T)</f>
        <v>0.422195</v>
      </c>
      <c r="BG136" s="95">
        <f t="shared" si="19"/>
        <v>0</v>
      </c>
      <c r="BH136" s="4" t="str">
        <f t="shared" si="20"/>
        <v/>
      </c>
      <c r="BO136" s="153"/>
      <c r="BP136" s="153" t="str">
        <f t="shared" si="26"/>
        <v/>
      </c>
      <c r="BQ136" s="153"/>
      <c r="BR136" s="153"/>
      <c r="BS136" s="153"/>
    </row>
    <row r="137">
      <c r="A137" s="171">
        <v>4.006000169385E12</v>
      </c>
      <c r="B137" s="171" t="s">
        <v>3507</v>
      </c>
      <c r="C137" s="137" t="s">
        <v>1026</v>
      </c>
      <c r="D137" s="138" t="s">
        <v>472</v>
      </c>
      <c r="E137" s="139" t="s">
        <v>507</v>
      </c>
      <c r="F137" s="140" t="s">
        <v>3560</v>
      </c>
      <c r="G137" s="141">
        <v>0.0</v>
      </c>
      <c r="H137" s="142">
        <v>20.88595</v>
      </c>
      <c r="I137" s="143" t="s">
        <v>111</v>
      </c>
      <c r="J137" s="83"/>
      <c r="K137" s="174">
        <v>1095.0</v>
      </c>
      <c r="R137" s="145" t="str">
        <f t="shared" si="1"/>
        <v>Body &amp; Skin Care_20-25</v>
      </c>
      <c r="S137" s="146" t="str">
        <f t="shared" si="2"/>
        <v>20-25</v>
      </c>
      <c r="T137" s="95" t="str">
        <f t="array" ref="T137">XLOOKUP(C137,'Depth or Width'!P:P,'Depth or Width'!V:V)</f>
        <v>Depth</v>
      </c>
      <c r="U137" s="93">
        <f t="shared" si="3"/>
        <v>5</v>
      </c>
      <c r="V137" s="147">
        <f t="array" ref="V137">iferror(XLOOKUP(R137,'Refrence Data'!B:B,'Refrence Data'!W:W),"NA")</f>
        <v>0.529167</v>
      </c>
      <c r="W137" s="95">
        <f t="shared" si="4"/>
        <v>0</v>
      </c>
      <c r="Y137" s="148">
        <f t="array" ref="Y137">IFERROR(XLOOKUP(R137,'Refrence Data'!B:B,'Refrence Data'!N:N),"NA")</f>
        <v>0.67634</v>
      </c>
      <c r="Z137" s="95" t="str">
        <f t="shared" si="5"/>
        <v>MEDIUM</v>
      </c>
      <c r="AA137" s="147">
        <f t="array" ref="AA137">XLOOKUP(R137,'Refrence Data'!B:B,'Refrence Data'!AC:AC)</f>
        <v>0.753123</v>
      </c>
      <c r="AB137" s="147">
        <f t="array" ref="AB137">IFERROR(XLOOKUP(R137,'Refrence Data'!B:B,'Refrence Data'!Y:Y),"NA")</f>
        <v>0.753123</v>
      </c>
      <c r="AC137" s="95" t="str">
        <f t="shared" si="6"/>
        <v>High</v>
      </c>
      <c r="AD137" s="95" t="str">
        <f t="shared" si="7"/>
        <v>Depth</v>
      </c>
      <c r="AE137" s="95" t="str">
        <f t="shared" si="8"/>
        <v>MEDIUMHighDepth</v>
      </c>
      <c r="AF137" s="95">
        <f t="array" ref="AF137">XLOOKUP(AE137,'Category Saturation'!A:A,'Category Saturation'!E:E)</f>
        <v>60</v>
      </c>
      <c r="AH137" s="148">
        <f t="array" ref="AH137">iferror(XLOOKUP(R137,'New Launch Success Rate'!A:A,'New Launch Success Rate'!F:F),"NA")</f>
        <v>0.4035</v>
      </c>
      <c r="AI137" s="95">
        <f t="shared" si="9"/>
        <v>25</v>
      </c>
      <c r="AK137" s="149">
        <f t="shared" si="10"/>
        <v>20.5</v>
      </c>
      <c r="AM137" s="150">
        <f t="array" ref="AM137">XLOOKUP(R137,'Non Moving'!C:C,'Non Moving'!I:I)/100</f>
        <v>0.228</v>
      </c>
      <c r="AN137" s="151">
        <f t="shared" si="11"/>
        <v>0</v>
      </c>
      <c r="AO137" s="150">
        <f t="array" ref="AO137">XLOOKUP(R137,'Non Moving'!C:C,'Non Moving'!F:F)/100</f>
        <v>0.37</v>
      </c>
      <c r="AP137" s="151">
        <f t="shared" si="12"/>
        <v>50</v>
      </c>
      <c r="AR137" s="95">
        <f t="shared" si="13"/>
        <v>25</v>
      </c>
      <c r="AT137" s="95">
        <f t="shared" si="14"/>
        <v>0</v>
      </c>
      <c r="AU137" s="95">
        <f t="array" ref="AU137">iferror(XLOOKUP(J137,Monetization!A:A,Monetization!B:B),25)</f>
        <v>25</v>
      </c>
      <c r="AW137" s="95">
        <f t="shared" si="15"/>
        <v>7.5</v>
      </c>
      <c r="AY137" s="149">
        <f t="shared" si="16"/>
        <v>19.7</v>
      </c>
      <c r="AZ137" s="95" t="str">
        <f t="shared" si="17"/>
        <v>0-25</v>
      </c>
      <c r="BA137" s="95" t="str">
        <f t="shared" si="18"/>
        <v>0-25</v>
      </c>
      <c r="BB137" s="152">
        <f t="array" ref="BB137">iferror(XLOOKUP(C137,Sheet9!A:A,Sheet9!D:D),0)</f>
        <v>0.29</v>
      </c>
      <c r="BC137" s="2">
        <v>1.0</v>
      </c>
      <c r="BD137" s="95">
        <f t="array" ref="BD137">XLOOKUP(C137,ROS!C:C,ROS!O:O)</f>
        <v>0.271429</v>
      </c>
      <c r="BE137" s="147">
        <f t="array" ref="BE137">IFERROR(XLOOKUP(C137,ROS!T:T,ROS!U:U),"")</f>
        <v>1</v>
      </c>
      <c r="BF137" s="147">
        <f t="array" ref="BF137">XLOOKUP(R137,'Refrence Data'!B:B,'Refrence Data'!T:T)</f>
        <v>0.232258</v>
      </c>
      <c r="BG137" s="95">
        <f t="shared" si="19"/>
        <v>0</v>
      </c>
      <c r="BH137" s="4" t="str">
        <f t="shared" si="20"/>
        <v/>
      </c>
      <c r="BO137" s="153"/>
      <c r="BP137" s="153" t="str">
        <f t="shared" si="26"/>
        <v/>
      </c>
      <c r="BQ137" s="153"/>
      <c r="BR137" s="153"/>
      <c r="BS137" s="153"/>
    </row>
    <row r="138">
      <c r="A138" s="171">
        <v>1.942511432E11</v>
      </c>
      <c r="B138" s="171" t="s">
        <v>3521</v>
      </c>
      <c r="C138" s="137" t="s">
        <v>1027</v>
      </c>
      <c r="D138" s="138" t="s">
        <v>472</v>
      </c>
      <c r="E138" s="139" t="s">
        <v>986</v>
      </c>
      <c r="F138" s="140" t="s">
        <v>3587</v>
      </c>
      <c r="G138" s="141">
        <v>0.0</v>
      </c>
      <c r="H138" s="142">
        <v>81.98298</v>
      </c>
      <c r="I138" s="143" t="s">
        <v>112</v>
      </c>
      <c r="J138" s="83"/>
      <c r="K138" s="174">
        <v>1095.0</v>
      </c>
      <c r="R138" s="145" t="str">
        <f t="shared" si="1"/>
        <v>Makeup_25+</v>
      </c>
      <c r="S138" s="146" t="str">
        <f t="shared" si="2"/>
        <v>25+</v>
      </c>
      <c r="T138" s="95" t="str">
        <f t="array" ref="T138">XLOOKUP(C138,'Depth or Width'!P:P,'Depth or Width'!V:V)</f>
        <v>Width</v>
      </c>
      <c r="U138" s="93">
        <f t="shared" si="3"/>
        <v>5</v>
      </c>
      <c r="V138" s="147">
        <f t="array" ref="V138">iferror(XLOOKUP(R138,'Refrence Data'!B:B,'Refrence Data'!W:W),"NA")</f>
        <v>0.555357</v>
      </c>
      <c r="W138" s="95">
        <f t="shared" si="4"/>
        <v>0</v>
      </c>
      <c r="Y138" s="148">
        <f t="array" ref="Y138">IFERROR(XLOOKUP(R138,'Refrence Data'!B:B,'Refrence Data'!N:N),"NA")</f>
        <v>0.708307</v>
      </c>
      <c r="Z138" s="95" t="str">
        <f t="shared" si="5"/>
        <v>HIGH</v>
      </c>
      <c r="AA138" s="147">
        <f t="array" ref="AA138">XLOOKUP(R138,'Refrence Data'!B:B,'Refrence Data'!AC:AC)</f>
        <v>2.297512</v>
      </c>
      <c r="AB138" s="147">
        <f t="array" ref="AB138">IFERROR(XLOOKUP(R138,'Refrence Data'!B:B,'Refrence Data'!Y:Y),"NA")</f>
        <v>1.151648</v>
      </c>
      <c r="AC138" s="95" t="str">
        <f t="shared" si="6"/>
        <v>High</v>
      </c>
      <c r="AD138" s="95" t="str">
        <f t="shared" si="7"/>
        <v>Width</v>
      </c>
      <c r="AE138" s="95" t="str">
        <f t="shared" si="8"/>
        <v>HIGHHighWidth</v>
      </c>
      <c r="AF138" s="95">
        <f t="array" ref="AF138">XLOOKUP(AE138,'Category Saturation'!A:A,'Category Saturation'!E:E)</f>
        <v>25</v>
      </c>
      <c r="AH138" s="148">
        <f t="array" ref="AH138">iferror(XLOOKUP(R138,'New Launch Success Rate'!A:A,'New Launch Success Rate'!F:F),"NA")</f>
        <v>0.923</v>
      </c>
      <c r="AI138" s="95">
        <f t="shared" si="9"/>
        <v>100</v>
      </c>
      <c r="AK138" s="149">
        <f t="shared" si="10"/>
        <v>17.5</v>
      </c>
      <c r="AM138" s="150">
        <f t="array" ref="AM138">XLOOKUP(R138,'Non Moving'!C:C,'Non Moving'!I:I)/100</f>
        <v>0.414</v>
      </c>
      <c r="AN138" s="151">
        <f t="shared" si="11"/>
        <v>0</v>
      </c>
      <c r="AO138" s="150">
        <f t="array" ref="AO138">XLOOKUP(R138,'Non Moving'!C:C,'Non Moving'!F:F)/100</f>
        <v>0.632</v>
      </c>
      <c r="AP138" s="151">
        <f t="shared" si="12"/>
        <v>0</v>
      </c>
      <c r="AR138" s="95">
        <f t="shared" si="13"/>
        <v>0</v>
      </c>
      <c r="AT138" s="95">
        <f t="shared" si="14"/>
        <v>100</v>
      </c>
      <c r="AU138" s="95">
        <f t="array" ref="AU138">iferror(XLOOKUP(J138,Monetization!A:A,Monetization!B:B),25)</f>
        <v>25</v>
      </c>
      <c r="AW138" s="95">
        <f t="shared" si="15"/>
        <v>77.5</v>
      </c>
      <c r="AY138" s="149">
        <f t="shared" si="16"/>
        <v>22.5</v>
      </c>
      <c r="AZ138" s="95" t="str">
        <f t="shared" si="17"/>
        <v>0-25</v>
      </c>
      <c r="BA138" s="95" t="str">
        <f t="shared" si="18"/>
        <v>0-25</v>
      </c>
      <c r="BB138" s="152">
        <f t="array" ref="BB138">iferror(XLOOKUP(C138,Sheet9!A:A,Sheet9!D:D),0)</f>
        <v>0</v>
      </c>
      <c r="BC138" s="2">
        <v>1.0</v>
      </c>
      <c r="BD138" s="95">
        <f t="array" ref="BD138">XLOOKUP(C138,ROS!C:C,ROS!O:O)</f>
        <v>0</v>
      </c>
      <c r="BE138" s="147" t="str">
        <f t="array" ref="BE138">IFERROR(XLOOKUP(C138,ROS!T:T,ROS!U:U),"")</f>
        <v/>
      </c>
      <c r="BF138" s="147">
        <f t="array" ref="BF138">XLOOKUP(R138,'Refrence Data'!B:B,'Refrence Data'!T:T)</f>
        <v>0.157576</v>
      </c>
      <c r="BG138" s="95">
        <f t="shared" si="19"/>
        <v>0</v>
      </c>
      <c r="BH138" s="4" t="str">
        <f t="shared" si="20"/>
        <v/>
      </c>
      <c r="BO138" s="153"/>
      <c r="BP138" s="153" t="str">
        <f t="shared" si="26"/>
        <v/>
      </c>
      <c r="BQ138" s="153"/>
      <c r="BR138" s="153"/>
      <c r="BS138" s="153"/>
    </row>
    <row r="139">
      <c r="A139" s="171">
        <v>1.94251142999E11</v>
      </c>
      <c r="B139" s="171" t="s">
        <v>3521</v>
      </c>
      <c r="C139" s="137" t="s">
        <v>1029</v>
      </c>
      <c r="D139" s="138" t="s">
        <v>472</v>
      </c>
      <c r="E139" s="139" t="s">
        <v>986</v>
      </c>
      <c r="F139" s="140" t="s">
        <v>3587</v>
      </c>
      <c r="G139" s="141">
        <v>0.0</v>
      </c>
      <c r="H139" s="142">
        <v>81.98075</v>
      </c>
      <c r="I139" s="143" t="s">
        <v>112</v>
      </c>
      <c r="J139" s="83"/>
      <c r="K139" s="174">
        <v>1095.0</v>
      </c>
      <c r="R139" s="145" t="str">
        <f t="shared" si="1"/>
        <v>Makeup_25+</v>
      </c>
      <c r="S139" s="146" t="str">
        <f t="shared" si="2"/>
        <v>25+</v>
      </c>
      <c r="T139" s="95" t="str">
        <f t="array" ref="T139">XLOOKUP(C139,'Depth or Width'!P:P,'Depth or Width'!V:V)</f>
        <v>Width</v>
      </c>
      <c r="U139" s="93">
        <f t="shared" si="3"/>
        <v>5</v>
      </c>
      <c r="V139" s="147">
        <f t="array" ref="V139">iferror(XLOOKUP(R139,'Refrence Data'!B:B,'Refrence Data'!W:W),"NA")</f>
        <v>0.555357</v>
      </c>
      <c r="W139" s="95">
        <f t="shared" si="4"/>
        <v>0</v>
      </c>
      <c r="Y139" s="148">
        <f t="array" ref="Y139">IFERROR(XLOOKUP(R139,'Refrence Data'!B:B,'Refrence Data'!N:N),"NA")</f>
        <v>0.708307</v>
      </c>
      <c r="Z139" s="95" t="str">
        <f t="shared" si="5"/>
        <v>HIGH</v>
      </c>
      <c r="AA139" s="147">
        <f t="array" ref="AA139">XLOOKUP(R139,'Refrence Data'!B:B,'Refrence Data'!AC:AC)</f>
        <v>2.297512</v>
      </c>
      <c r="AB139" s="147">
        <f t="array" ref="AB139">IFERROR(XLOOKUP(R139,'Refrence Data'!B:B,'Refrence Data'!Y:Y),"NA")</f>
        <v>1.151648</v>
      </c>
      <c r="AC139" s="95" t="str">
        <f t="shared" si="6"/>
        <v>High</v>
      </c>
      <c r="AD139" s="95" t="str">
        <f t="shared" si="7"/>
        <v>Width</v>
      </c>
      <c r="AE139" s="95" t="str">
        <f t="shared" si="8"/>
        <v>HIGHHighWidth</v>
      </c>
      <c r="AF139" s="95">
        <f t="array" ref="AF139">XLOOKUP(AE139,'Category Saturation'!A:A,'Category Saturation'!E:E)</f>
        <v>25</v>
      </c>
      <c r="AH139" s="148">
        <f t="array" ref="AH139">iferror(XLOOKUP(R139,'New Launch Success Rate'!A:A,'New Launch Success Rate'!F:F),"NA")</f>
        <v>0.923</v>
      </c>
      <c r="AI139" s="95">
        <f t="shared" si="9"/>
        <v>100</v>
      </c>
      <c r="AK139" s="149">
        <f t="shared" si="10"/>
        <v>17.5</v>
      </c>
      <c r="AM139" s="150">
        <f t="array" ref="AM139">XLOOKUP(R139,'Non Moving'!C:C,'Non Moving'!I:I)/100</f>
        <v>0.414</v>
      </c>
      <c r="AN139" s="151">
        <f t="shared" si="11"/>
        <v>0</v>
      </c>
      <c r="AO139" s="150">
        <f t="array" ref="AO139">XLOOKUP(R139,'Non Moving'!C:C,'Non Moving'!F:F)/100</f>
        <v>0.632</v>
      </c>
      <c r="AP139" s="151">
        <f t="shared" si="12"/>
        <v>0</v>
      </c>
      <c r="AR139" s="95">
        <f t="shared" si="13"/>
        <v>0</v>
      </c>
      <c r="AT139" s="95">
        <f t="shared" si="14"/>
        <v>100</v>
      </c>
      <c r="AU139" s="95">
        <f t="array" ref="AU139">iferror(XLOOKUP(J139,Monetization!A:A,Monetization!B:B),25)</f>
        <v>25</v>
      </c>
      <c r="AW139" s="95">
        <f t="shared" si="15"/>
        <v>77.5</v>
      </c>
      <c r="AY139" s="149">
        <f t="shared" si="16"/>
        <v>22.5</v>
      </c>
      <c r="AZ139" s="95" t="str">
        <f t="shared" si="17"/>
        <v>0-25</v>
      </c>
      <c r="BA139" s="95" t="str">
        <f t="shared" si="18"/>
        <v>0-25</v>
      </c>
      <c r="BB139" s="152">
        <f t="array" ref="BB139">iferror(XLOOKUP(C139,Sheet9!A:A,Sheet9!D:D),0)</f>
        <v>0</v>
      </c>
      <c r="BC139" s="2">
        <v>1.0</v>
      </c>
      <c r="BD139" s="95">
        <f t="array" ref="BD139">XLOOKUP(C139,ROS!C:C,ROS!O:O)</f>
        <v>0</v>
      </c>
      <c r="BE139" s="147" t="str">
        <f t="array" ref="BE139">IFERROR(XLOOKUP(C139,ROS!T:T,ROS!U:U),"")</f>
        <v/>
      </c>
      <c r="BF139" s="147">
        <f t="array" ref="BF139">XLOOKUP(R139,'Refrence Data'!B:B,'Refrence Data'!T:T)</f>
        <v>0.157576</v>
      </c>
      <c r="BG139" s="95">
        <f t="shared" si="19"/>
        <v>0</v>
      </c>
      <c r="BH139" s="4" t="str">
        <f t="shared" si="20"/>
        <v/>
      </c>
      <c r="BO139" s="153"/>
      <c r="BP139" s="153" t="str">
        <f t="shared" si="26"/>
        <v/>
      </c>
      <c r="BQ139" s="153"/>
      <c r="BR139" s="153"/>
      <c r="BS139" s="153"/>
    </row>
    <row r="140">
      <c r="A140" s="171">
        <v>1.94251139937E11</v>
      </c>
      <c r="B140" s="171" t="s">
        <v>3521</v>
      </c>
      <c r="C140" s="137" t="s">
        <v>1030</v>
      </c>
      <c r="D140" s="138" t="s">
        <v>472</v>
      </c>
      <c r="E140" s="139" t="s">
        <v>986</v>
      </c>
      <c r="F140" s="140" t="s">
        <v>3587</v>
      </c>
      <c r="G140" s="141">
        <v>0.0</v>
      </c>
      <c r="H140" s="142">
        <v>81.98298</v>
      </c>
      <c r="I140" s="143" t="s">
        <v>112</v>
      </c>
      <c r="J140" s="83"/>
      <c r="K140" s="174">
        <v>1095.0</v>
      </c>
      <c r="R140" s="145" t="str">
        <f t="shared" si="1"/>
        <v>Makeup_25+</v>
      </c>
      <c r="S140" s="146" t="str">
        <f t="shared" si="2"/>
        <v>25+</v>
      </c>
      <c r="T140" s="95" t="str">
        <f t="array" ref="T140">XLOOKUP(C140,'Depth or Width'!P:P,'Depth or Width'!V:V)</f>
        <v>Width</v>
      </c>
      <c r="U140" s="93">
        <f t="shared" si="3"/>
        <v>5</v>
      </c>
      <c r="V140" s="147">
        <f t="array" ref="V140">iferror(XLOOKUP(R140,'Refrence Data'!B:B,'Refrence Data'!W:W),"NA")</f>
        <v>0.555357</v>
      </c>
      <c r="W140" s="95">
        <f t="shared" si="4"/>
        <v>0</v>
      </c>
      <c r="Y140" s="148">
        <f t="array" ref="Y140">IFERROR(XLOOKUP(R140,'Refrence Data'!B:B,'Refrence Data'!N:N),"NA")</f>
        <v>0.708307</v>
      </c>
      <c r="Z140" s="95" t="str">
        <f t="shared" si="5"/>
        <v>HIGH</v>
      </c>
      <c r="AA140" s="147">
        <f t="array" ref="AA140">XLOOKUP(R140,'Refrence Data'!B:B,'Refrence Data'!AC:AC)</f>
        <v>2.297512</v>
      </c>
      <c r="AB140" s="147">
        <f t="array" ref="AB140">IFERROR(XLOOKUP(R140,'Refrence Data'!B:B,'Refrence Data'!Y:Y),"NA")</f>
        <v>1.151648</v>
      </c>
      <c r="AC140" s="95" t="str">
        <f t="shared" si="6"/>
        <v>High</v>
      </c>
      <c r="AD140" s="95" t="str">
        <f t="shared" si="7"/>
        <v>Width</v>
      </c>
      <c r="AE140" s="95" t="str">
        <f t="shared" si="8"/>
        <v>HIGHHighWidth</v>
      </c>
      <c r="AF140" s="95">
        <f t="array" ref="AF140">XLOOKUP(AE140,'Category Saturation'!A:A,'Category Saturation'!E:E)</f>
        <v>25</v>
      </c>
      <c r="AH140" s="148">
        <f t="array" ref="AH140">iferror(XLOOKUP(R140,'New Launch Success Rate'!A:A,'New Launch Success Rate'!F:F),"NA")</f>
        <v>0.923</v>
      </c>
      <c r="AI140" s="95">
        <f t="shared" si="9"/>
        <v>100</v>
      </c>
      <c r="AK140" s="149">
        <f t="shared" si="10"/>
        <v>17.5</v>
      </c>
      <c r="AM140" s="150">
        <f t="array" ref="AM140">XLOOKUP(R140,'Non Moving'!C:C,'Non Moving'!I:I)/100</f>
        <v>0.414</v>
      </c>
      <c r="AN140" s="151">
        <f t="shared" si="11"/>
        <v>0</v>
      </c>
      <c r="AO140" s="150">
        <f t="array" ref="AO140">XLOOKUP(R140,'Non Moving'!C:C,'Non Moving'!F:F)/100</f>
        <v>0.632</v>
      </c>
      <c r="AP140" s="151">
        <f t="shared" si="12"/>
        <v>0</v>
      </c>
      <c r="AR140" s="95">
        <f t="shared" si="13"/>
        <v>0</v>
      </c>
      <c r="AT140" s="95">
        <f t="shared" si="14"/>
        <v>100</v>
      </c>
      <c r="AU140" s="95">
        <f t="array" ref="AU140">iferror(XLOOKUP(J140,Monetization!A:A,Monetization!B:B),25)</f>
        <v>25</v>
      </c>
      <c r="AW140" s="95">
        <f t="shared" si="15"/>
        <v>77.5</v>
      </c>
      <c r="AY140" s="149">
        <f t="shared" si="16"/>
        <v>22.5</v>
      </c>
      <c r="AZ140" s="95" t="str">
        <f t="shared" si="17"/>
        <v>0-25</v>
      </c>
      <c r="BA140" s="95" t="str">
        <f t="shared" si="18"/>
        <v>0-25</v>
      </c>
      <c r="BB140" s="152">
        <f t="array" ref="BB140">iferror(XLOOKUP(C140,Sheet9!A:A,Sheet9!D:D),0)</f>
        <v>0</v>
      </c>
      <c r="BC140" s="2">
        <v>1.0</v>
      </c>
      <c r="BD140" s="95">
        <f t="array" ref="BD140">XLOOKUP(C140,ROS!C:C,ROS!O:O)</f>
        <v>0</v>
      </c>
      <c r="BE140" s="147" t="str">
        <f t="array" ref="BE140">IFERROR(XLOOKUP(C140,ROS!T:T,ROS!U:U),"")</f>
        <v/>
      </c>
      <c r="BF140" s="147">
        <f t="array" ref="BF140">XLOOKUP(R140,'Refrence Data'!B:B,'Refrence Data'!T:T)</f>
        <v>0.157576</v>
      </c>
      <c r="BG140" s="95">
        <f t="shared" si="19"/>
        <v>0</v>
      </c>
      <c r="BH140" s="4" t="str">
        <f t="shared" si="20"/>
        <v/>
      </c>
      <c r="BO140" s="153"/>
      <c r="BP140" s="153" t="str">
        <f t="shared" si="26"/>
        <v/>
      </c>
      <c r="BQ140" s="153"/>
      <c r="BR140" s="153"/>
      <c r="BS140" s="153"/>
    </row>
    <row r="141">
      <c r="A141" s="171">
        <v>1.94251139913E11</v>
      </c>
      <c r="B141" s="171" t="s">
        <v>3521</v>
      </c>
      <c r="C141" s="137" t="s">
        <v>1031</v>
      </c>
      <c r="D141" s="138" t="s">
        <v>472</v>
      </c>
      <c r="E141" s="139" t="s">
        <v>986</v>
      </c>
      <c r="F141" s="140" t="s">
        <v>3587</v>
      </c>
      <c r="G141" s="141">
        <v>0.0</v>
      </c>
      <c r="H141" s="142">
        <v>82.48257</v>
      </c>
      <c r="I141" s="143" t="s">
        <v>112</v>
      </c>
      <c r="J141" s="83"/>
      <c r="K141" s="174">
        <v>1095.0</v>
      </c>
      <c r="R141" s="145" t="str">
        <f t="shared" si="1"/>
        <v>Makeup_25+</v>
      </c>
      <c r="S141" s="146" t="str">
        <f t="shared" si="2"/>
        <v>25+</v>
      </c>
      <c r="T141" s="95" t="str">
        <f t="array" ref="T141">XLOOKUP(C141,'Depth or Width'!P:P,'Depth or Width'!V:V)</f>
        <v>Width</v>
      </c>
      <c r="U141" s="93">
        <f t="shared" si="3"/>
        <v>5</v>
      </c>
      <c r="V141" s="147">
        <f t="array" ref="V141">iferror(XLOOKUP(R141,'Refrence Data'!B:B,'Refrence Data'!W:W),"NA")</f>
        <v>0.555357</v>
      </c>
      <c r="W141" s="95">
        <f t="shared" si="4"/>
        <v>0</v>
      </c>
      <c r="Y141" s="148">
        <f t="array" ref="Y141">IFERROR(XLOOKUP(R141,'Refrence Data'!B:B,'Refrence Data'!N:N),"NA")</f>
        <v>0.708307</v>
      </c>
      <c r="Z141" s="95" t="str">
        <f t="shared" si="5"/>
        <v>HIGH</v>
      </c>
      <c r="AA141" s="147">
        <f t="array" ref="AA141">XLOOKUP(R141,'Refrence Data'!B:B,'Refrence Data'!AC:AC)</f>
        <v>2.297512</v>
      </c>
      <c r="AB141" s="147">
        <f t="array" ref="AB141">IFERROR(XLOOKUP(R141,'Refrence Data'!B:B,'Refrence Data'!Y:Y),"NA")</f>
        <v>1.151648</v>
      </c>
      <c r="AC141" s="95" t="str">
        <f t="shared" si="6"/>
        <v>High</v>
      </c>
      <c r="AD141" s="95" t="str">
        <f t="shared" si="7"/>
        <v>Width</v>
      </c>
      <c r="AE141" s="95" t="str">
        <f t="shared" si="8"/>
        <v>HIGHHighWidth</v>
      </c>
      <c r="AF141" s="95">
        <f t="array" ref="AF141">XLOOKUP(AE141,'Category Saturation'!A:A,'Category Saturation'!E:E)</f>
        <v>25</v>
      </c>
      <c r="AH141" s="148">
        <f t="array" ref="AH141">iferror(XLOOKUP(R141,'New Launch Success Rate'!A:A,'New Launch Success Rate'!F:F),"NA")</f>
        <v>0.923</v>
      </c>
      <c r="AI141" s="95">
        <f t="shared" si="9"/>
        <v>100</v>
      </c>
      <c r="AK141" s="149">
        <f t="shared" si="10"/>
        <v>17.5</v>
      </c>
      <c r="AM141" s="150">
        <f t="array" ref="AM141">XLOOKUP(R141,'Non Moving'!C:C,'Non Moving'!I:I)/100</f>
        <v>0.414</v>
      </c>
      <c r="AN141" s="151">
        <f t="shared" si="11"/>
        <v>0</v>
      </c>
      <c r="AO141" s="150">
        <f t="array" ref="AO141">XLOOKUP(R141,'Non Moving'!C:C,'Non Moving'!F:F)/100</f>
        <v>0.632</v>
      </c>
      <c r="AP141" s="151">
        <f t="shared" si="12"/>
        <v>0</v>
      </c>
      <c r="AR141" s="95">
        <f t="shared" si="13"/>
        <v>0</v>
      </c>
      <c r="AT141" s="95">
        <f t="shared" si="14"/>
        <v>100</v>
      </c>
      <c r="AU141" s="95">
        <f t="array" ref="AU141">iferror(XLOOKUP(J141,Monetization!A:A,Monetization!B:B),25)</f>
        <v>25</v>
      </c>
      <c r="AW141" s="95">
        <f t="shared" si="15"/>
        <v>77.5</v>
      </c>
      <c r="AY141" s="149">
        <f t="shared" si="16"/>
        <v>22.5</v>
      </c>
      <c r="AZ141" s="95" t="str">
        <f t="shared" si="17"/>
        <v>0-25</v>
      </c>
      <c r="BA141" s="95" t="str">
        <f t="shared" si="18"/>
        <v>0-25</v>
      </c>
      <c r="BB141" s="152">
        <f t="array" ref="BB141">iferror(XLOOKUP(C141,Sheet9!A:A,Sheet9!D:D),0)</f>
        <v>0</v>
      </c>
      <c r="BC141" s="2">
        <v>1.0</v>
      </c>
      <c r="BD141" s="95">
        <f t="array" ref="BD141">XLOOKUP(C141,ROS!C:C,ROS!O:O)</f>
        <v>0</v>
      </c>
      <c r="BE141" s="147" t="str">
        <f t="array" ref="BE141">IFERROR(XLOOKUP(C141,ROS!T:T,ROS!U:U),"")</f>
        <v/>
      </c>
      <c r="BF141" s="147">
        <f t="array" ref="BF141">XLOOKUP(R141,'Refrence Data'!B:B,'Refrence Data'!T:T)</f>
        <v>0.157576</v>
      </c>
      <c r="BG141" s="95">
        <f t="shared" si="19"/>
        <v>0</v>
      </c>
      <c r="BH141" s="4" t="str">
        <f t="shared" si="20"/>
        <v/>
      </c>
      <c r="BO141" s="153"/>
      <c r="BP141" s="153" t="str">
        <f t="shared" si="26"/>
        <v/>
      </c>
      <c r="BQ141" s="153"/>
      <c r="BR141" s="153"/>
      <c r="BS141" s="153"/>
    </row>
    <row r="142">
      <c r="A142" s="171">
        <v>1.94251133621E11</v>
      </c>
      <c r="B142" s="171" t="s">
        <v>3521</v>
      </c>
      <c r="C142" s="137" t="s">
        <v>1032</v>
      </c>
      <c r="D142" s="138" t="s">
        <v>472</v>
      </c>
      <c r="E142" s="139" t="s">
        <v>986</v>
      </c>
      <c r="F142" s="140" t="s">
        <v>3587</v>
      </c>
      <c r="G142" s="141">
        <v>0.0</v>
      </c>
      <c r="H142" s="142">
        <v>81.98298</v>
      </c>
      <c r="I142" s="143" t="s">
        <v>112</v>
      </c>
      <c r="J142" s="83"/>
      <c r="K142" s="174">
        <v>1095.0</v>
      </c>
      <c r="R142" s="145" t="str">
        <f t="shared" si="1"/>
        <v>Makeup_25+</v>
      </c>
      <c r="S142" s="146" t="str">
        <f t="shared" si="2"/>
        <v>25+</v>
      </c>
      <c r="T142" s="95" t="str">
        <f t="array" ref="T142">XLOOKUP(C142,'Depth or Width'!P:P,'Depth or Width'!V:V)</f>
        <v>Width</v>
      </c>
      <c r="U142" s="93">
        <f t="shared" si="3"/>
        <v>5</v>
      </c>
      <c r="V142" s="147">
        <f t="array" ref="V142">iferror(XLOOKUP(R142,'Refrence Data'!B:B,'Refrence Data'!W:W),"NA")</f>
        <v>0.555357</v>
      </c>
      <c r="W142" s="95">
        <f t="shared" si="4"/>
        <v>0</v>
      </c>
      <c r="Y142" s="148">
        <f t="array" ref="Y142">IFERROR(XLOOKUP(R142,'Refrence Data'!B:B,'Refrence Data'!N:N),"NA")</f>
        <v>0.708307</v>
      </c>
      <c r="Z142" s="95" t="str">
        <f t="shared" si="5"/>
        <v>HIGH</v>
      </c>
      <c r="AA142" s="147">
        <f t="array" ref="AA142">XLOOKUP(R142,'Refrence Data'!B:B,'Refrence Data'!AC:AC)</f>
        <v>2.297512</v>
      </c>
      <c r="AB142" s="147">
        <f t="array" ref="AB142">IFERROR(XLOOKUP(R142,'Refrence Data'!B:B,'Refrence Data'!Y:Y),"NA")</f>
        <v>1.151648</v>
      </c>
      <c r="AC142" s="95" t="str">
        <f t="shared" si="6"/>
        <v>High</v>
      </c>
      <c r="AD142" s="95" t="str">
        <f t="shared" si="7"/>
        <v>Width</v>
      </c>
      <c r="AE142" s="95" t="str">
        <f t="shared" si="8"/>
        <v>HIGHHighWidth</v>
      </c>
      <c r="AF142" s="95">
        <f t="array" ref="AF142">XLOOKUP(AE142,'Category Saturation'!A:A,'Category Saturation'!E:E)</f>
        <v>25</v>
      </c>
      <c r="AH142" s="148">
        <f t="array" ref="AH142">iferror(XLOOKUP(R142,'New Launch Success Rate'!A:A,'New Launch Success Rate'!F:F),"NA")</f>
        <v>0.923</v>
      </c>
      <c r="AI142" s="95">
        <f t="shared" si="9"/>
        <v>100</v>
      </c>
      <c r="AK142" s="149">
        <f t="shared" si="10"/>
        <v>17.5</v>
      </c>
      <c r="AM142" s="150">
        <f t="array" ref="AM142">XLOOKUP(R142,'Non Moving'!C:C,'Non Moving'!I:I)/100</f>
        <v>0.414</v>
      </c>
      <c r="AN142" s="151">
        <f t="shared" si="11"/>
        <v>0</v>
      </c>
      <c r="AO142" s="150">
        <f t="array" ref="AO142">XLOOKUP(R142,'Non Moving'!C:C,'Non Moving'!F:F)/100</f>
        <v>0.632</v>
      </c>
      <c r="AP142" s="151">
        <f t="shared" si="12"/>
        <v>0</v>
      </c>
      <c r="AR142" s="95">
        <f t="shared" si="13"/>
        <v>0</v>
      </c>
      <c r="AT142" s="95">
        <f t="shared" si="14"/>
        <v>100</v>
      </c>
      <c r="AU142" s="95">
        <f t="array" ref="AU142">iferror(XLOOKUP(J142,Monetization!A:A,Monetization!B:B),25)</f>
        <v>25</v>
      </c>
      <c r="AW142" s="95">
        <f t="shared" si="15"/>
        <v>77.5</v>
      </c>
      <c r="AY142" s="149">
        <f t="shared" si="16"/>
        <v>22.5</v>
      </c>
      <c r="AZ142" s="95" t="str">
        <f t="shared" si="17"/>
        <v>0-25</v>
      </c>
      <c r="BA142" s="95" t="str">
        <f t="shared" si="18"/>
        <v>0-25</v>
      </c>
      <c r="BB142" s="152">
        <f t="array" ref="BB142">iferror(XLOOKUP(C142,Sheet9!A:A,Sheet9!D:D),0)</f>
        <v>0</v>
      </c>
      <c r="BC142" s="2">
        <v>1.0</v>
      </c>
      <c r="BD142" s="95">
        <f t="array" ref="BD142">XLOOKUP(C142,ROS!C:C,ROS!O:O)</f>
        <v>0</v>
      </c>
      <c r="BE142" s="147" t="str">
        <f t="array" ref="BE142">IFERROR(XLOOKUP(C142,ROS!T:T,ROS!U:U),"")</f>
        <v/>
      </c>
      <c r="BF142" s="147">
        <f t="array" ref="BF142">XLOOKUP(R142,'Refrence Data'!B:B,'Refrence Data'!T:T)</f>
        <v>0.157576</v>
      </c>
      <c r="BG142" s="95">
        <f t="shared" si="19"/>
        <v>0</v>
      </c>
      <c r="BH142" s="4" t="str">
        <f t="shared" si="20"/>
        <v/>
      </c>
      <c r="BO142" s="153"/>
      <c r="BP142" s="153" t="str">
        <f t="shared" si="26"/>
        <v/>
      </c>
      <c r="BQ142" s="153"/>
      <c r="BR142" s="153"/>
      <c r="BS142" s="153"/>
    </row>
    <row r="143">
      <c r="A143" s="171">
        <v>1.94251133508E11</v>
      </c>
      <c r="B143" s="171" t="s">
        <v>3521</v>
      </c>
      <c r="C143" s="137" t="s">
        <v>1033</v>
      </c>
      <c r="D143" s="138" t="s">
        <v>472</v>
      </c>
      <c r="E143" s="139" t="s">
        <v>986</v>
      </c>
      <c r="F143" s="140" t="s">
        <v>3587</v>
      </c>
      <c r="G143" s="141">
        <v>0.0</v>
      </c>
      <c r="H143" s="142">
        <v>81.98298</v>
      </c>
      <c r="I143" s="143" t="s">
        <v>112</v>
      </c>
      <c r="J143" s="83"/>
      <c r="K143" s="174">
        <v>1095.0</v>
      </c>
      <c r="R143" s="145" t="str">
        <f t="shared" si="1"/>
        <v>Makeup_25+</v>
      </c>
      <c r="S143" s="146" t="str">
        <f t="shared" si="2"/>
        <v>25+</v>
      </c>
      <c r="T143" s="95" t="str">
        <f t="array" ref="T143">XLOOKUP(C143,'Depth or Width'!P:P,'Depth or Width'!V:V)</f>
        <v>Width</v>
      </c>
      <c r="U143" s="93">
        <f t="shared" si="3"/>
        <v>5</v>
      </c>
      <c r="V143" s="147">
        <f t="array" ref="V143">iferror(XLOOKUP(R143,'Refrence Data'!B:B,'Refrence Data'!W:W),"NA")</f>
        <v>0.555357</v>
      </c>
      <c r="W143" s="95">
        <f t="shared" si="4"/>
        <v>0</v>
      </c>
      <c r="Y143" s="148">
        <f t="array" ref="Y143">IFERROR(XLOOKUP(R143,'Refrence Data'!B:B,'Refrence Data'!N:N),"NA")</f>
        <v>0.708307</v>
      </c>
      <c r="Z143" s="95" t="str">
        <f t="shared" si="5"/>
        <v>HIGH</v>
      </c>
      <c r="AA143" s="147">
        <f t="array" ref="AA143">XLOOKUP(R143,'Refrence Data'!B:B,'Refrence Data'!AC:AC)</f>
        <v>2.297512</v>
      </c>
      <c r="AB143" s="147">
        <f t="array" ref="AB143">IFERROR(XLOOKUP(R143,'Refrence Data'!B:B,'Refrence Data'!Y:Y),"NA")</f>
        <v>1.151648</v>
      </c>
      <c r="AC143" s="95" t="str">
        <f t="shared" si="6"/>
        <v>High</v>
      </c>
      <c r="AD143" s="95" t="str">
        <f t="shared" si="7"/>
        <v>Width</v>
      </c>
      <c r="AE143" s="95" t="str">
        <f t="shared" si="8"/>
        <v>HIGHHighWidth</v>
      </c>
      <c r="AF143" s="95">
        <f t="array" ref="AF143">XLOOKUP(AE143,'Category Saturation'!A:A,'Category Saturation'!E:E)</f>
        <v>25</v>
      </c>
      <c r="AH143" s="148">
        <f t="array" ref="AH143">iferror(XLOOKUP(R143,'New Launch Success Rate'!A:A,'New Launch Success Rate'!F:F),"NA")</f>
        <v>0.923</v>
      </c>
      <c r="AI143" s="95">
        <f t="shared" si="9"/>
        <v>100</v>
      </c>
      <c r="AK143" s="149">
        <f t="shared" si="10"/>
        <v>17.5</v>
      </c>
      <c r="AM143" s="150">
        <f t="array" ref="AM143">XLOOKUP(R143,'Non Moving'!C:C,'Non Moving'!I:I)/100</f>
        <v>0.414</v>
      </c>
      <c r="AN143" s="151">
        <f t="shared" si="11"/>
        <v>0</v>
      </c>
      <c r="AO143" s="150">
        <f t="array" ref="AO143">XLOOKUP(R143,'Non Moving'!C:C,'Non Moving'!F:F)/100</f>
        <v>0.632</v>
      </c>
      <c r="AP143" s="151">
        <f t="shared" si="12"/>
        <v>0</v>
      </c>
      <c r="AR143" s="95">
        <f t="shared" si="13"/>
        <v>0</v>
      </c>
      <c r="AT143" s="95">
        <f t="shared" si="14"/>
        <v>100</v>
      </c>
      <c r="AU143" s="95">
        <f t="array" ref="AU143">iferror(XLOOKUP(J143,Monetization!A:A,Monetization!B:B),25)</f>
        <v>25</v>
      </c>
      <c r="AW143" s="95">
        <f t="shared" si="15"/>
        <v>77.5</v>
      </c>
      <c r="AY143" s="149">
        <f t="shared" si="16"/>
        <v>22.5</v>
      </c>
      <c r="AZ143" s="95" t="str">
        <f t="shared" si="17"/>
        <v>0-25</v>
      </c>
      <c r="BA143" s="95" t="str">
        <f t="shared" si="18"/>
        <v>0-25</v>
      </c>
      <c r="BB143" s="152">
        <f t="array" ref="BB143">iferror(XLOOKUP(C143,Sheet9!A:A,Sheet9!D:D),0)</f>
        <v>0</v>
      </c>
      <c r="BC143" s="2">
        <v>1.0</v>
      </c>
      <c r="BD143" s="95">
        <f t="array" ref="BD143">XLOOKUP(C143,ROS!C:C,ROS!O:O)</f>
        <v>0.148352</v>
      </c>
      <c r="BE143" s="147" t="str">
        <f t="array" ref="BE143">IFERROR(XLOOKUP(C143,ROS!T:T,ROS!U:U),"")</f>
        <v/>
      </c>
      <c r="BF143" s="147">
        <f t="array" ref="BF143">XLOOKUP(R143,'Refrence Data'!B:B,'Refrence Data'!T:T)</f>
        <v>0.157576</v>
      </c>
      <c r="BG143" s="95">
        <f t="shared" si="19"/>
        <v>0</v>
      </c>
      <c r="BH143" s="4" t="str">
        <f t="shared" si="20"/>
        <v/>
      </c>
      <c r="BO143" s="153"/>
      <c r="BP143" s="153" t="str">
        <f t="shared" si="26"/>
        <v/>
      </c>
      <c r="BQ143" s="153"/>
      <c r="BR143" s="153"/>
      <c r="BS143" s="153"/>
    </row>
    <row r="144">
      <c r="A144" s="171">
        <v>6.291103071392E12</v>
      </c>
      <c r="B144" s="171" t="s">
        <v>3521</v>
      </c>
      <c r="C144" s="137" t="s">
        <v>1038</v>
      </c>
      <c r="D144" s="138" t="s">
        <v>472</v>
      </c>
      <c r="E144" s="139" t="s">
        <v>1036</v>
      </c>
      <c r="F144" s="140" t="s">
        <v>3588</v>
      </c>
      <c r="G144" s="141">
        <v>0.0</v>
      </c>
      <c r="H144" s="142">
        <v>6.147837</v>
      </c>
      <c r="I144" s="143" t="s">
        <v>112</v>
      </c>
      <c r="J144" s="83"/>
      <c r="K144" s="174">
        <v>730.0</v>
      </c>
      <c r="R144" s="145" t="str">
        <f t="shared" si="1"/>
        <v>Cosmetics_5-10</v>
      </c>
      <c r="S144" s="146" t="str">
        <f t="shared" si="2"/>
        <v>5-10</v>
      </c>
      <c r="T144" s="95" t="str">
        <f t="array" ref="T144">XLOOKUP(C144,'Depth or Width'!P:P,'Depth or Width'!V:V)</f>
        <v>Depth</v>
      </c>
      <c r="U144" s="93">
        <f t="shared" si="3"/>
        <v>5</v>
      </c>
      <c r="V144" s="147">
        <f t="array" ref="V144">iferror(XLOOKUP(R144,'Refrence Data'!B:B,'Refrence Data'!W:W),"NA")</f>
        <v>0.67381</v>
      </c>
      <c r="W144" s="95">
        <f t="shared" si="4"/>
        <v>0</v>
      </c>
      <c r="Y144" s="148">
        <f t="array" ref="Y144">IFERROR(XLOOKUP(R144,'Refrence Data'!B:B,'Refrence Data'!N:N),"NA")</f>
        <v>0.985033</v>
      </c>
      <c r="Z144" s="95" t="str">
        <f t="shared" si="5"/>
        <v>HIGH</v>
      </c>
      <c r="AA144" s="147">
        <f t="array" ref="AA144">XLOOKUP(R144,'Refrence Data'!B:B,'Refrence Data'!AC:AC)</f>
        <v>3.59538</v>
      </c>
      <c r="AB144" s="147">
        <f t="array" ref="AB144">IFERROR(XLOOKUP(R144,'Refrence Data'!B:B,'Refrence Data'!Y:Y),"NA")</f>
        <v>9.240623</v>
      </c>
      <c r="AC144" s="95" t="str">
        <f t="shared" si="6"/>
        <v>High</v>
      </c>
      <c r="AD144" s="95" t="str">
        <f t="shared" si="7"/>
        <v>Depth</v>
      </c>
      <c r="AE144" s="95" t="str">
        <f t="shared" si="8"/>
        <v>HIGHHighDepth</v>
      </c>
      <c r="AF144" s="95">
        <f t="array" ref="AF144">XLOOKUP(AE144,'Category Saturation'!A:A,'Category Saturation'!E:E)</f>
        <v>0</v>
      </c>
      <c r="AH144" s="148">
        <f t="array" ref="AH144">iferror(XLOOKUP(R144,'New Launch Success Rate'!A:A,'New Launch Success Rate'!F:F),"NA")</f>
        <v>0.5625</v>
      </c>
      <c r="AI144" s="95">
        <f t="shared" si="9"/>
        <v>50</v>
      </c>
      <c r="AK144" s="149">
        <f t="shared" si="10"/>
        <v>5</v>
      </c>
      <c r="AM144" s="150">
        <f t="array" ref="AM144">XLOOKUP(R144,'Non Moving'!C:C,'Non Moving'!I:I)/100</f>
        <v>0.002</v>
      </c>
      <c r="AN144" s="151">
        <f t="shared" si="11"/>
        <v>100</v>
      </c>
      <c r="AO144" s="150">
        <f t="array" ref="AO144">XLOOKUP(R144,'Non Moving'!C:C,'Non Moving'!F:F)/100</f>
        <v>0.057</v>
      </c>
      <c r="AP144" s="151">
        <f t="shared" si="12"/>
        <v>100</v>
      </c>
      <c r="AR144" s="95">
        <f t="shared" si="13"/>
        <v>100</v>
      </c>
      <c r="AT144" s="95">
        <f t="shared" si="14"/>
        <v>100</v>
      </c>
      <c r="AU144" s="95">
        <f t="array" ref="AU144">iferror(XLOOKUP(J144,Monetization!A:A,Monetization!B:B),25)</f>
        <v>25</v>
      </c>
      <c r="AW144" s="95">
        <f t="shared" si="15"/>
        <v>77.5</v>
      </c>
      <c r="AY144" s="149">
        <f t="shared" si="16"/>
        <v>57.5</v>
      </c>
      <c r="AZ144" s="95" t="str">
        <f t="shared" si="17"/>
        <v>50-75</v>
      </c>
      <c r="BA144" s="95" t="str">
        <f t="shared" si="18"/>
        <v>0-25</v>
      </c>
      <c r="BB144" s="152">
        <f t="array" ref="BB144">iferror(XLOOKUP(C144,Sheet9!A:A,Sheet9!D:D),0)</f>
        <v>0.92</v>
      </c>
      <c r="BC144" s="2">
        <v>1.0</v>
      </c>
      <c r="BD144" s="95">
        <f t="array" ref="BD144">XLOOKUP(C144,ROS!C:C,ROS!O:O)</f>
        <v>9.170413</v>
      </c>
      <c r="BE144" s="147">
        <f t="array" ref="BE144">IFERROR(XLOOKUP(C144,ROS!T:T,ROS!U:U),"")</f>
        <v>2.22039627</v>
      </c>
      <c r="BF144" s="147">
        <f t="array" ref="BF144">XLOOKUP(R144,'Refrence Data'!B:B,'Refrence Data'!T:T)</f>
        <v>0.058824</v>
      </c>
      <c r="BG144" s="95">
        <f t="shared" si="19"/>
        <v>1</v>
      </c>
      <c r="BH144" s="4" t="str">
        <f t="shared" si="20"/>
        <v>FN</v>
      </c>
      <c r="BO144" s="153"/>
      <c r="BP144" s="153" t="str">
        <f t="shared" si="26"/>
        <v>TP</v>
      </c>
      <c r="BQ144" s="153"/>
      <c r="BR144" s="153"/>
      <c r="BS144" s="153"/>
    </row>
    <row r="145">
      <c r="A145" s="171">
        <v>6.291103071378E12</v>
      </c>
      <c r="B145" s="171" t="s">
        <v>3521</v>
      </c>
      <c r="C145" s="137" t="s">
        <v>1039</v>
      </c>
      <c r="D145" s="138" t="s">
        <v>472</v>
      </c>
      <c r="E145" s="139" t="s">
        <v>1036</v>
      </c>
      <c r="F145" s="140" t="s">
        <v>3588</v>
      </c>
      <c r="G145" s="141">
        <v>0.0</v>
      </c>
      <c r="H145" s="142">
        <v>7.593586</v>
      </c>
      <c r="I145" s="143" t="s">
        <v>112</v>
      </c>
      <c r="J145" s="83"/>
      <c r="K145" s="174">
        <v>730.0</v>
      </c>
      <c r="R145" s="145" t="str">
        <f t="shared" si="1"/>
        <v>Cosmetics_5-10</v>
      </c>
      <c r="S145" s="146" t="str">
        <f t="shared" si="2"/>
        <v>5-10</v>
      </c>
      <c r="T145" s="95" t="str">
        <f t="array" ref="T145">XLOOKUP(C145,'Depth or Width'!P:P,'Depth or Width'!V:V)</f>
        <v>Depth</v>
      </c>
      <c r="U145" s="93">
        <f t="shared" si="3"/>
        <v>5</v>
      </c>
      <c r="V145" s="147">
        <f t="array" ref="V145">iferror(XLOOKUP(R145,'Refrence Data'!B:B,'Refrence Data'!W:W),"NA")</f>
        <v>0.67381</v>
      </c>
      <c r="W145" s="95">
        <f t="shared" si="4"/>
        <v>0</v>
      </c>
      <c r="Y145" s="148">
        <f t="array" ref="Y145">IFERROR(XLOOKUP(R145,'Refrence Data'!B:B,'Refrence Data'!N:N),"NA")</f>
        <v>0.985033</v>
      </c>
      <c r="Z145" s="95" t="str">
        <f t="shared" si="5"/>
        <v>HIGH</v>
      </c>
      <c r="AA145" s="147">
        <f t="array" ref="AA145">XLOOKUP(R145,'Refrence Data'!B:B,'Refrence Data'!AC:AC)</f>
        <v>3.59538</v>
      </c>
      <c r="AB145" s="147">
        <f t="array" ref="AB145">IFERROR(XLOOKUP(R145,'Refrence Data'!B:B,'Refrence Data'!Y:Y),"NA")</f>
        <v>9.240623</v>
      </c>
      <c r="AC145" s="95" t="str">
        <f t="shared" si="6"/>
        <v>High</v>
      </c>
      <c r="AD145" s="95" t="str">
        <f t="shared" si="7"/>
        <v>Depth</v>
      </c>
      <c r="AE145" s="95" t="str">
        <f t="shared" si="8"/>
        <v>HIGHHighDepth</v>
      </c>
      <c r="AF145" s="95">
        <f t="array" ref="AF145">XLOOKUP(AE145,'Category Saturation'!A:A,'Category Saturation'!E:E)</f>
        <v>0</v>
      </c>
      <c r="AH145" s="148">
        <f t="array" ref="AH145">iferror(XLOOKUP(R145,'New Launch Success Rate'!A:A,'New Launch Success Rate'!F:F),"NA")</f>
        <v>0.5625</v>
      </c>
      <c r="AI145" s="95">
        <f t="shared" si="9"/>
        <v>50</v>
      </c>
      <c r="AK145" s="149">
        <f t="shared" si="10"/>
        <v>5</v>
      </c>
      <c r="AM145" s="150">
        <f t="array" ref="AM145">XLOOKUP(R145,'Non Moving'!C:C,'Non Moving'!I:I)/100</f>
        <v>0.002</v>
      </c>
      <c r="AN145" s="151">
        <f t="shared" si="11"/>
        <v>100</v>
      </c>
      <c r="AO145" s="150">
        <f t="array" ref="AO145">XLOOKUP(R145,'Non Moving'!C:C,'Non Moving'!F:F)/100</f>
        <v>0.057</v>
      </c>
      <c r="AP145" s="151">
        <f t="shared" si="12"/>
        <v>100</v>
      </c>
      <c r="AR145" s="95">
        <f t="shared" si="13"/>
        <v>100</v>
      </c>
      <c r="AT145" s="95">
        <f t="shared" si="14"/>
        <v>100</v>
      </c>
      <c r="AU145" s="95">
        <f t="array" ref="AU145">iferror(XLOOKUP(J145,Monetization!A:A,Monetization!B:B),25)</f>
        <v>25</v>
      </c>
      <c r="AW145" s="95">
        <f t="shared" si="15"/>
        <v>77.5</v>
      </c>
      <c r="AY145" s="149">
        <f t="shared" si="16"/>
        <v>57.5</v>
      </c>
      <c r="AZ145" s="95" t="str">
        <f t="shared" si="17"/>
        <v>50-75</v>
      </c>
      <c r="BA145" s="95" t="str">
        <f t="shared" si="18"/>
        <v>0-25</v>
      </c>
      <c r="BB145" s="152">
        <f t="array" ref="BB145">iferror(XLOOKUP(C145,Sheet9!A:A,Sheet9!D:D),0)</f>
        <v>0.96</v>
      </c>
      <c r="BC145" s="2">
        <v>1.0</v>
      </c>
      <c r="BD145" s="95">
        <f t="array" ref="BD145">XLOOKUP(C145,ROS!C:C,ROS!O:O)</f>
        <v>4.70631</v>
      </c>
      <c r="BE145" s="147">
        <f t="array" ref="BE145">IFERROR(XLOOKUP(C145,ROS!T:T,ROS!U:U),"")</f>
        <v>1.646547897</v>
      </c>
      <c r="BF145" s="147">
        <f t="array" ref="BF145">XLOOKUP(R145,'Refrence Data'!B:B,'Refrence Data'!T:T)</f>
        <v>0.058824</v>
      </c>
      <c r="BG145" s="95">
        <f t="shared" si="19"/>
        <v>1</v>
      </c>
      <c r="BH145" s="4" t="str">
        <f t="shared" si="20"/>
        <v>FN</v>
      </c>
      <c r="BO145" s="153"/>
      <c r="BP145" s="153" t="str">
        <f t="shared" si="26"/>
        <v>TP</v>
      </c>
      <c r="BQ145" s="153"/>
      <c r="BR145" s="153"/>
      <c r="BS145" s="153"/>
    </row>
    <row r="146">
      <c r="A146" s="171">
        <v>5.060493181353E12</v>
      </c>
      <c r="B146" s="171" t="s">
        <v>3521</v>
      </c>
      <c r="C146" s="137" t="s">
        <v>1344</v>
      </c>
      <c r="D146" s="138" t="s">
        <v>472</v>
      </c>
      <c r="E146" s="139" t="s">
        <v>75</v>
      </c>
      <c r="F146" s="140" t="s">
        <v>3578</v>
      </c>
      <c r="G146" s="141">
        <v>1.0</v>
      </c>
      <c r="H146" s="142">
        <v>43.86414</v>
      </c>
      <c r="I146" s="143" t="s">
        <v>111</v>
      </c>
      <c r="J146" s="83"/>
      <c r="K146" s="174">
        <v>1095.0</v>
      </c>
      <c r="R146" s="145" t="str">
        <f t="shared" si="1"/>
        <v>Condoms_25+</v>
      </c>
      <c r="S146" s="146" t="str">
        <f t="shared" si="2"/>
        <v>25+</v>
      </c>
      <c r="T146" s="95" t="str">
        <f t="array" ref="T146">XLOOKUP(C146,'Depth or Width'!P:P,'Depth or Width'!V:V)</f>
        <v>Width</v>
      </c>
      <c r="U146" s="93">
        <f t="shared" si="3"/>
        <v>5</v>
      </c>
      <c r="V146" s="147">
        <f t="array" ref="V146">iferror(XLOOKUP(R146,'Refrence Data'!B:B,'Refrence Data'!W:W),"NA")</f>
        <v>3.820168</v>
      </c>
      <c r="W146" s="95">
        <f t="shared" si="4"/>
        <v>75</v>
      </c>
      <c r="Y146" s="148">
        <f t="array" ref="Y146">IFERROR(XLOOKUP(R146,'Refrence Data'!B:B,'Refrence Data'!N:N),"NA")</f>
        <v>0.452541</v>
      </c>
      <c r="Z146" s="95" t="str">
        <f t="shared" si="5"/>
        <v>LOW</v>
      </c>
      <c r="AA146" s="147">
        <f t="array" ref="AA146">XLOOKUP(R146,'Refrence Data'!B:B,'Refrence Data'!AC:AC)</f>
        <v>4.490327</v>
      </c>
      <c r="AB146" s="147">
        <f t="array" ref="AB146">IFERROR(XLOOKUP(R146,'Refrence Data'!B:B,'Refrence Data'!Y:Y),"NA")</f>
        <v>5.403307</v>
      </c>
      <c r="AC146" s="95" t="str">
        <f t="shared" si="6"/>
        <v>High</v>
      </c>
      <c r="AD146" s="95" t="str">
        <f t="shared" si="7"/>
        <v>Width</v>
      </c>
      <c r="AE146" s="95" t="str">
        <f t="shared" si="8"/>
        <v>LOWHighWidth</v>
      </c>
      <c r="AF146" s="95">
        <f t="array" ref="AF146">XLOOKUP(AE146,'Category Saturation'!A:A,'Category Saturation'!E:E)</f>
        <v>100</v>
      </c>
      <c r="AH146" s="148">
        <f t="array" ref="AH146">iferror(XLOOKUP(R146,'New Launch Success Rate'!A:A,'New Launch Success Rate'!F:F),"NA")</f>
        <v>0.667</v>
      </c>
      <c r="AI146" s="95">
        <f t="shared" si="9"/>
        <v>50</v>
      </c>
      <c r="AK146" s="149">
        <f t="shared" si="10"/>
        <v>80</v>
      </c>
      <c r="AM146" s="150">
        <f t="array" ref="AM146">XLOOKUP(R146,'Non Moving'!C:C,'Non Moving'!I:I)/100</f>
        <v>0.051</v>
      </c>
      <c r="AN146" s="151">
        <f t="shared" si="11"/>
        <v>100</v>
      </c>
      <c r="AO146" s="150">
        <f t="array" ref="AO146">XLOOKUP(R146,'Non Moving'!C:C,'Non Moving'!F:F)/100</f>
        <v>0.131</v>
      </c>
      <c r="AP146" s="151">
        <f t="shared" si="12"/>
        <v>100</v>
      </c>
      <c r="AR146" s="95">
        <f t="shared" si="13"/>
        <v>100</v>
      </c>
      <c r="AT146" s="95">
        <f t="shared" si="14"/>
        <v>0</v>
      </c>
      <c r="AU146" s="95">
        <f t="array" ref="AU146">iferror(XLOOKUP(J146,Monetization!A:A,Monetization!B:B),25)</f>
        <v>25</v>
      </c>
      <c r="AW146" s="95">
        <f t="shared" si="15"/>
        <v>7.5</v>
      </c>
      <c r="AY146" s="149">
        <f t="shared" si="16"/>
        <v>73.5</v>
      </c>
      <c r="AZ146" s="95" t="str">
        <f t="shared" si="17"/>
        <v>50-75</v>
      </c>
      <c r="BA146" s="95" t="str">
        <f t="shared" si="18"/>
        <v>75-100</v>
      </c>
      <c r="BB146" s="152">
        <f t="array" ref="BB146">iferror(XLOOKUP(C146,Sheet9!A:A,Sheet9!D:D),0)</f>
        <v>0</v>
      </c>
      <c r="BC146" s="2">
        <v>1.0</v>
      </c>
      <c r="BD146" s="95">
        <f t="array" ref="BD146">XLOOKUP(C146,ROS!C:C,ROS!O:O)</f>
        <v>0</v>
      </c>
      <c r="BE146" s="147" t="str">
        <f t="array" ref="BE146">IFERROR(XLOOKUP(C146,ROS!T:T,ROS!U:U),"")</f>
        <v/>
      </c>
      <c r="BF146" s="147">
        <f t="array" ref="BF146">XLOOKUP(R146,'Refrence Data'!B:B,'Refrence Data'!T:T)</f>
        <v>0.668966</v>
      </c>
      <c r="BG146" s="95">
        <f t="shared" si="19"/>
        <v>0</v>
      </c>
      <c r="BH146" s="4" t="str">
        <f t="shared" si="20"/>
        <v/>
      </c>
      <c r="BO146" s="153"/>
      <c r="BP146" s="153" t="str">
        <f t="shared" si="26"/>
        <v/>
      </c>
      <c r="BQ146" s="153"/>
      <c r="BR146" s="153"/>
      <c r="BS146" s="153"/>
    </row>
    <row r="147">
      <c r="A147" s="171">
        <v>5.060359483317E12</v>
      </c>
      <c r="B147" s="171" t="s">
        <v>3521</v>
      </c>
      <c r="C147" s="137" t="s">
        <v>1345</v>
      </c>
      <c r="D147" s="138" t="s">
        <v>472</v>
      </c>
      <c r="E147" s="139" t="s">
        <v>75</v>
      </c>
      <c r="F147" s="140" t="s">
        <v>3578</v>
      </c>
      <c r="G147" s="141">
        <v>1.0</v>
      </c>
      <c r="H147" s="142">
        <v>43.9153</v>
      </c>
      <c r="I147" s="143" t="s">
        <v>111</v>
      </c>
      <c r="J147" s="83"/>
      <c r="K147" s="174">
        <v>1095.0</v>
      </c>
      <c r="R147" s="145" t="str">
        <f t="shared" si="1"/>
        <v>Condoms_25+</v>
      </c>
      <c r="S147" s="146" t="str">
        <f t="shared" si="2"/>
        <v>25+</v>
      </c>
      <c r="T147" s="95" t="str">
        <f t="array" ref="T147">XLOOKUP(C147,'Depth or Width'!P:P,'Depth or Width'!V:V)</f>
        <v>Width</v>
      </c>
      <c r="U147" s="93">
        <f t="shared" si="3"/>
        <v>5</v>
      </c>
      <c r="V147" s="147">
        <f t="array" ref="V147">iferror(XLOOKUP(R147,'Refrence Data'!B:B,'Refrence Data'!W:W),"NA")</f>
        <v>3.820168</v>
      </c>
      <c r="W147" s="95">
        <f t="shared" si="4"/>
        <v>75</v>
      </c>
      <c r="Y147" s="148">
        <f t="array" ref="Y147">IFERROR(XLOOKUP(R147,'Refrence Data'!B:B,'Refrence Data'!N:N),"NA")</f>
        <v>0.452541</v>
      </c>
      <c r="Z147" s="95" t="str">
        <f t="shared" si="5"/>
        <v>LOW</v>
      </c>
      <c r="AA147" s="147">
        <f t="array" ref="AA147">XLOOKUP(R147,'Refrence Data'!B:B,'Refrence Data'!AC:AC)</f>
        <v>4.490327</v>
      </c>
      <c r="AB147" s="147">
        <f t="array" ref="AB147">IFERROR(XLOOKUP(R147,'Refrence Data'!B:B,'Refrence Data'!Y:Y),"NA")</f>
        <v>5.403307</v>
      </c>
      <c r="AC147" s="95" t="str">
        <f t="shared" si="6"/>
        <v>High</v>
      </c>
      <c r="AD147" s="95" t="str">
        <f t="shared" si="7"/>
        <v>Width</v>
      </c>
      <c r="AE147" s="95" t="str">
        <f t="shared" si="8"/>
        <v>LOWHighWidth</v>
      </c>
      <c r="AF147" s="95">
        <f t="array" ref="AF147">XLOOKUP(AE147,'Category Saturation'!A:A,'Category Saturation'!E:E)</f>
        <v>100</v>
      </c>
      <c r="AH147" s="148">
        <f t="array" ref="AH147">iferror(XLOOKUP(R147,'New Launch Success Rate'!A:A,'New Launch Success Rate'!F:F),"NA")</f>
        <v>0.667</v>
      </c>
      <c r="AI147" s="95">
        <f t="shared" si="9"/>
        <v>50</v>
      </c>
      <c r="AK147" s="149">
        <f t="shared" si="10"/>
        <v>80</v>
      </c>
      <c r="AM147" s="150">
        <f t="array" ref="AM147">XLOOKUP(R147,'Non Moving'!C:C,'Non Moving'!I:I)/100</f>
        <v>0.051</v>
      </c>
      <c r="AN147" s="151">
        <f t="shared" si="11"/>
        <v>100</v>
      </c>
      <c r="AO147" s="150">
        <f t="array" ref="AO147">XLOOKUP(R147,'Non Moving'!C:C,'Non Moving'!F:F)/100</f>
        <v>0.131</v>
      </c>
      <c r="AP147" s="151">
        <f t="shared" si="12"/>
        <v>100</v>
      </c>
      <c r="AR147" s="95">
        <f t="shared" si="13"/>
        <v>100</v>
      </c>
      <c r="AT147" s="95">
        <f t="shared" si="14"/>
        <v>0</v>
      </c>
      <c r="AU147" s="95">
        <f t="array" ref="AU147">iferror(XLOOKUP(J147,Monetization!A:A,Monetization!B:B),25)</f>
        <v>25</v>
      </c>
      <c r="AW147" s="95">
        <f t="shared" si="15"/>
        <v>7.5</v>
      </c>
      <c r="AY147" s="149">
        <f t="shared" si="16"/>
        <v>73.5</v>
      </c>
      <c r="AZ147" s="95" t="str">
        <f t="shared" si="17"/>
        <v>50-75</v>
      </c>
      <c r="BA147" s="95" t="str">
        <f t="shared" si="18"/>
        <v>75-100</v>
      </c>
      <c r="BB147" s="152">
        <f t="array" ref="BB147">iferror(XLOOKUP(C147,Sheet9!A:A,Sheet9!D:D),0)</f>
        <v>0</v>
      </c>
      <c r="BC147" s="2">
        <v>1.0</v>
      </c>
      <c r="BD147" s="95">
        <f t="array" ref="BD147">XLOOKUP(C147,ROS!C:C,ROS!O:O)</f>
        <v>0</v>
      </c>
      <c r="BE147" s="147" t="str">
        <f t="array" ref="BE147">IFERROR(XLOOKUP(C147,ROS!T:T,ROS!U:U),"")</f>
        <v/>
      </c>
      <c r="BF147" s="147">
        <f t="array" ref="BF147">XLOOKUP(R147,'Refrence Data'!B:B,'Refrence Data'!T:T)</f>
        <v>0.668966</v>
      </c>
      <c r="BG147" s="95">
        <f t="shared" si="19"/>
        <v>0</v>
      </c>
      <c r="BH147" s="4" t="str">
        <f t="shared" si="20"/>
        <v/>
      </c>
      <c r="BO147" s="153"/>
      <c r="BP147" s="153" t="str">
        <f t="shared" si="26"/>
        <v/>
      </c>
      <c r="BQ147" s="153"/>
      <c r="BR147" s="153"/>
      <c r="BS147" s="153"/>
    </row>
    <row r="148">
      <c r="A148" s="171">
        <v>5.03233100816E12</v>
      </c>
      <c r="B148" s="171" t="s">
        <v>3521</v>
      </c>
      <c r="C148" s="137" t="s">
        <v>1346</v>
      </c>
      <c r="D148" s="138" t="s">
        <v>472</v>
      </c>
      <c r="E148" s="139" t="s">
        <v>75</v>
      </c>
      <c r="F148" s="140" t="s">
        <v>3578</v>
      </c>
      <c r="G148" s="141">
        <v>1.0</v>
      </c>
      <c r="H148" s="142">
        <v>42.97889</v>
      </c>
      <c r="I148" s="143" t="s">
        <v>111</v>
      </c>
      <c r="J148" s="83"/>
      <c r="K148" s="174">
        <v>1095.0</v>
      </c>
      <c r="R148" s="145" t="str">
        <f t="shared" si="1"/>
        <v>Condoms_25+</v>
      </c>
      <c r="S148" s="146" t="str">
        <f t="shared" si="2"/>
        <v>25+</v>
      </c>
      <c r="T148" s="95" t="str">
        <f t="array" ref="T148">XLOOKUP(C148,'Depth or Width'!P:P,'Depth or Width'!V:V)</f>
        <v>Width</v>
      </c>
      <c r="U148" s="93">
        <f t="shared" si="3"/>
        <v>5</v>
      </c>
      <c r="V148" s="147">
        <f t="array" ref="V148">iferror(XLOOKUP(R148,'Refrence Data'!B:B,'Refrence Data'!W:W),"NA")</f>
        <v>3.820168</v>
      </c>
      <c r="W148" s="95">
        <f t="shared" si="4"/>
        <v>75</v>
      </c>
      <c r="Y148" s="148">
        <f t="array" ref="Y148">IFERROR(XLOOKUP(R148,'Refrence Data'!B:B,'Refrence Data'!N:N),"NA")</f>
        <v>0.452541</v>
      </c>
      <c r="Z148" s="95" t="str">
        <f t="shared" si="5"/>
        <v>LOW</v>
      </c>
      <c r="AA148" s="147">
        <f t="array" ref="AA148">XLOOKUP(R148,'Refrence Data'!B:B,'Refrence Data'!AC:AC)</f>
        <v>4.490327</v>
      </c>
      <c r="AB148" s="147">
        <f t="array" ref="AB148">IFERROR(XLOOKUP(R148,'Refrence Data'!B:B,'Refrence Data'!Y:Y),"NA")</f>
        <v>5.403307</v>
      </c>
      <c r="AC148" s="95" t="str">
        <f t="shared" si="6"/>
        <v>High</v>
      </c>
      <c r="AD148" s="95" t="str">
        <f t="shared" si="7"/>
        <v>Width</v>
      </c>
      <c r="AE148" s="95" t="str">
        <f t="shared" si="8"/>
        <v>LOWHighWidth</v>
      </c>
      <c r="AF148" s="95">
        <f t="array" ref="AF148">XLOOKUP(AE148,'Category Saturation'!A:A,'Category Saturation'!E:E)</f>
        <v>100</v>
      </c>
      <c r="AH148" s="148">
        <f t="array" ref="AH148">iferror(XLOOKUP(R148,'New Launch Success Rate'!A:A,'New Launch Success Rate'!F:F),"NA")</f>
        <v>0.667</v>
      </c>
      <c r="AI148" s="95">
        <f t="shared" si="9"/>
        <v>50</v>
      </c>
      <c r="AK148" s="149">
        <f t="shared" si="10"/>
        <v>80</v>
      </c>
      <c r="AM148" s="150">
        <f t="array" ref="AM148">XLOOKUP(R148,'Non Moving'!C:C,'Non Moving'!I:I)/100</f>
        <v>0.051</v>
      </c>
      <c r="AN148" s="151">
        <f t="shared" si="11"/>
        <v>100</v>
      </c>
      <c r="AO148" s="150">
        <f t="array" ref="AO148">XLOOKUP(R148,'Non Moving'!C:C,'Non Moving'!F:F)/100</f>
        <v>0.131</v>
      </c>
      <c r="AP148" s="151">
        <f t="shared" si="12"/>
        <v>100</v>
      </c>
      <c r="AR148" s="95">
        <f t="shared" si="13"/>
        <v>100</v>
      </c>
      <c r="AT148" s="95">
        <f t="shared" si="14"/>
        <v>0</v>
      </c>
      <c r="AU148" s="95">
        <f t="array" ref="AU148">iferror(XLOOKUP(J148,Monetization!A:A,Monetization!B:B),25)</f>
        <v>25</v>
      </c>
      <c r="AW148" s="95">
        <f t="shared" si="15"/>
        <v>7.5</v>
      </c>
      <c r="AY148" s="149">
        <f t="shared" si="16"/>
        <v>73.5</v>
      </c>
      <c r="AZ148" s="95" t="str">
        <f t="shared" si="17"/>
        <v>50-75</v>
      </c>
      <c r="BA148" s="95" t="str">
        <f t="shared" si="18"/>
        <v>75-100</v>
      </c>
      <c r="BB148" s="152">
        <f t="array" ref="BB148">iferror(XLOOKUP(C148,Sheet9!A:A,Sheet9!D:D),0)</f>
        <v>0</v>
      </c>
      <c r="BC148" s="2">
        <v>1.0</v>
      </c>
      <c r="BD148" s="95">
        <f t="array" ref="BD148">XLOOKUP(C148,ROS!C:C,ROS!O:O)</f>
        <v>0</v>
      </c>
      <c r="BE148" s="147" t="str">
        <f t="array" ref="BE148">IFERROR(XLOOKUP(C148,ROS!T:T,ROS!U:U),"")</f>
        <v/>
      </c>
      <c r="BF148" s="147">
        <f t="array" ref="BF148">XLOOKUP(R148,'Refrence Data'!B:B,'Refrence Data'!T:T)</f>
        <v>0.668966</v>
      </c>
      <c r="BG148" s="95">
        <f t="shared" si="19"/>
        <v>0</v>
      </c>
      <c r="BH148" s="4" t="str">
        <f t="shared" si="20"/>
        <v/>
      </c>
      <c r="BO148" s="153"/>
      <c r="BP148" s="153" t="str">
        <f t="shared" si="26"/>
        <v/>
      </c>
      <c r="BQ148" s="153"/>
      <c r="BR148" s="153"/>
      <c r="BS148" s="153"/>
    </row>
    <row r="149">
      <c r="A149" s="171" t="e">
        <v>#N/A</v>
      </c>
      <c r="B149" s="171" t="s">
        <v>3521</v>
      </c>
      <c r="C149" s="137" t="s">
        <v>3589</v>
      </c>
      <c r="D149" s="138" t="s">
        <v>472</v>
      </c>
      <c r="E149" s="139" t="s">
        <v>75</v>
      </c>
      <c r="F149" s="140" t="s">
        <v>3578</v>
      </c>
      <c r="G149" s="141">
        <v>1.0</v>
      </c>
      <c r="H149" s="142">
        <v>46.28493</v>
      </c>
      <c r="I149" s="143" t="s">
        <v>111</v>
      </c>
      <c r="J149" s="83"/>
      <c r="K149" s="174">
        <v>1095.0</v>
      </c>
      <c r="R149" s="145" t="str">
        <f t="shared" si="1"/>
        <v>Condoms_25+</v>
      </c>
      <c r="S149" s="146" t="str">
        <f t="shared" si="2"/>
        <v>25+</v>
      </c>
      <c r="T149" s="95" t="str">
        <f t="array" ref="T149">XLOOKUP(C149,'Depth or Width'!P:P,'Depth or Width'!V:V)</f>
        <v>#N/A</v>
      </c>
      <c r="U149" s="93">
        <f t="shared" si="3"/>
        <v>5</v>
      </c>
      <c r="V149" s="147">
        <f t="array" ref="V149">iferror(XLOOKUP(R149,'Refrence Data'!B:B,'Refrence Data'!W:W),"NA")</f>
        <v>3.820168</v>
      </c>
      <c r="W149" s="95">
        <f t="shared" si="4"/>
        <v>75</v>
      </c>
      <c r="Y149" s="148">
        <f t="array" ref="Y149">IFERROR(XLOOKUP(R149,'Refrence Data'!B:B,'Refrence Data'!N:N),"NA")</f>
        <v>0.452541</v>
      </c>
      <c r="Z149" s="95" t="str">
        <f t="shared" si="5"/>
        <v>LOW</v>
      </c>
      <c r="AA149" s="147">
        <f t="array" ref="AA149">XLOOKUP(R149,'Refrence Data'!B:B,'Refrence Data'!AC:AC)</f>
        <v>4.490327</v>
      </c>
      <c r="AB149" s="147">
        <f t="array" ref="AB149">IFERROR(XLOOKUP(R149,'Refrence Data'!B:B,'Refrence Data'!Y:Y),"NA")</f>
        <v>5.403307</v>
      </c>
      <c r="AC149" s="95" t="str">
        <f t="shared" si="6"/>
        <v>High</v>
      </c>
      <c r="AD149" s="95" t="str">
        <f t="shared" si="7"/>
        <v>#N/A</v>
      </c>
      <c r="AE149" s="95" t="str">
        <f t="shared" si="8"/>
        <v>#N/A</v>
      </c>
      <c r="AF149" s="95" t="str">
        <f t="array" ref="AF149">XLOOKUP(AE149,'Category Saturation'!A:A,'Category Saturation'!E:E)</f>
        <v>#N/A</v>
      </c>
      <c r="AH149" s="148">
        <f t="array" ref="AH149">iferror(XLOOKUP(R149,'New Launch Success Rate'!A:A,'New Launch Success Rate'!F:F),"NA")</f>
        <v>0.667</v>
      </c>
      <c r="AI149" s="95">
        <f t="shared" si="9"/>
        <v>50</v>
      </c>
      <c r="AK149" s="149" t="str">
        <f t="shared" si="10"/>
        <v>#N/A</v>
      </c>
      <c r="AM149" s="150">
        <f t="array" ref="AM149">XLOOKUP(R149,'Non Moving'!C:C,'Non Moving'!I:I)/100</f>
        <v>0.051</v>
      </c>
      <c r="AN149" s="151">
        <f t="shared" si="11"/>
        <v>100</v>
      </c>
      <c r="AO149" s="150">
        <f t="array" ref="AO149">XLOOKUP(R149,'Non Moving'!C:C,'Non Moving'!F:F)/100</f>
        <v>0.131</v>
      </c>
      <c r="AP149" s="151">
        <f t="shared" si="12"/>
        <v>100</v>
      </c>
      <c r="AR149" s="95">
        <f t="shared" si="13"/>
        <v>100</v>
      </c>
      <c r="AT149" s="95">
        <f t="shared" si="14"/>
        <v>0</v>
      </c>
      <c r="AU149" s="95">
        <f t="array" ref="AU149">iferror(XLOOKUP(J149,Monetization!A:A,Monetization!B:B),25)</f>
        <v>25</v>
      </c>
      <c r="AW149" s="95">
        <f t="shared" si="15"/>
        <v>7.5</v>
      </c>
      <c r="AY149" s="149" t="str">
        <f t="shared" si="16"/>
        <v>#N/A</v>
      </c>
      <c r="AZ149" s="95" t="str">
        <f t="shared" si="17"/>
        <v>#N/A</v>
      </c>
      <c r="BA149" s="95" t="str">
        <f t="shared" si="18"/>
        <v>#N/A</v>
      </c>
      <c r="BB149" s="152">
        <f t="array" ref="BB149">iferror(XLOOKUP(C149,Sheet9!A:A,Sheet9!D:D),0)</f>
        <v>0</v>
      </c>
      <c r="BC149" s="2">
        <v>1.0</v>
      </c>
      <c r="BD149" s="95">
        <f t="array" ref="BD149">XLOOKUP(C149,ROS!C:C,ROS!O:O)</f>
        <v>0</v>
      </c>
      <c r="BE149" s="147" t="str">
        <f t="array" ref="BE149">IFERROR(XLOOKUP(C149,ROS!T:T,ROS!U:U),"")</f>
        <v/>
      </c>
      <c r="BF149" s="147">
        <f t="array" ref="BF149">XLOOKUP(R149,'Refrence Data'!B:B,'Refrence Data'!T:T)</f>
        <v>0.668966</v>
      </c>
      <c r="BG149" s="95">
        <f t="shared" si="19"/>
        <v>0</v>
      </c>
      <c r="BH149" s="4" t="str">
        <f t="shared" si="20"/>
        <v/>
      </c>
      <c r="BO149" s="153"/>
      <c r="BP149" s="153" t="str">
        <f t="shared" si="26"/>
        <v/>
      </c>
      <c r="BQ149" s="153"/>
      <c r="BR149" s="153"/>
      <c r="BS149" s="153"/>
    </row>
    <row r="150">
      <c r="A150" s="171">
        <v>6.291053130279E12</v>
      </c>
      <c r="B150" s="171" t="s">
        <v>3521</v>
      </c>
      <c r="C150" s="137" t="s">
        <v>1040</v>
      </c>
      <c r="D150" s="138" t="s">
        <v>537</v>
      </c>
      <c r="E150" s="139" t="s">
        <v>538</v>
      </c>
      <c r="F150" s="140" t="s">
        <v>3590</v>
      </c>
      <c r="G150" s="141">
        <v>0.0</v>
      </c>
      <c r="H150" s="142">
        <v>25.6134</v>
      </c>
      <c r="I150" s="143" t="s">
        <v>111</v>
      </c>
      <c r="J150" s="83"/>
      <c r="K150" s="174">
        <v>540.0</v>
      </c>
      <c r="R150" s="145" t="str">
        <f t="shared" si="1"/>
        <v>Sticks &amp; Cones_25+</v>
      </c>
      <c r="S150" s="146" t="str">
        <f t="shared" si="2"/>
        <v>25+</v>
      </c>
      <c r="T150" s="95" t="str">
        <f t="array" ref="T150">XLOOKUP(C150,'Depth or Width'!P:P,'Depth or Width'!V:V)</f>
        <v>Depth</v>
      </c>
      <c r="U150" s="93">
        <f t="shared" si="3"/>
        <v>5</v>
      </c>
      <c r="V150" s="147">
        <f t="array" ref="V150">iferror(XLOOKUP(R150,'Refrence Data'!B:B,'Refrence Data'!W:W),"NA")</f>
        <v>1.301224</v>
      </c>
      <c r="W150" s="95">
        <f t="shared" si="4"/>
        <v>0</v>
      </c>
      <c r="Y150" s="148">
        <f t="array" ref="Y150">IFERROR(XLOOKUP(R150,'Refrence Data'!B:B,'Refrence Data'!N:N),"NA")</f>
        <v>0.647952</v>
      </c>
      <c r="Z150" s="95" t="str">
        <f t="shared" si="5"/>
        <v>MEDIUM</v>
      </c>
      <c r="AA150" s="147">
        <f t="array" ref="AA150">XLOOKUP(R150,'Refrence Data'!B:B,'Refrence Data'!AC:AC)</f>
        <v>8.710425</v>
      </c>
      <c r="AB150" s="147">
        <f t="array" ref="AB150">IFERROR(XLOOKUP(R150,'Refrence Data'!B:B,'Refrence Data'!Y:Y),"NA")</f>
        <v>2.170801</v>
      </c>
      <c r="AC150" s="95" t="str">
        <f t="shared" si="6"/>
        <v>Low</v>
      </c>
      <c r="AD150" s="95" t="str">
        <f t="shared" si="7"/>
        <v>Depth</v>
      </c>
      <c r="AE150" s="95" t="str">
        <f t="shared" si="8"/>
        <v>MEDIUMLowDepth</v>
      </c>
      <c r="AF150" s="95">
        <f t="array" ref="AF150">XLOOKUP(AE150,'Category Saturation'!A:A,'Category Saturation'!E:E)</f>
        <v>50</v>
      </c>
      <c r="AH150" s="148">
        <f t="array" ref="AH150">iferror(XLOOKUP(R150,'New Launch Success Rate'!A:A,'New Launch Success Rate'!F:F),"NA")</f>
        <v>0.917</v>
      </c>
      <c r="AI150" s="95">
        <f t="shared" si="9"/>
        <v>100</v>
      </c>
      <c r="AK150" s="149">
        <f t="shared" si="10"/>
        <v>25</v>
      </c>
      <c r="AM150" s="150">
        <f t="array" ref="AM150">XLOOKUP(R150,'Non Moving'!C:C,'Non Moving'!I:I)/100</f>
        <v>0.075</v>
      </c>
      <c r="AN150" s="151">
        <f t="shared" si="11"/>
        <v>100</v>
      </c>
      <c r="AO150" s="150">
        <f t="array" ref="AO150">XLOOKUP(R150,'Non Moving'!C:C,'Non Moving'!F:F)/100</f>
        <v>0.26</v>
      </c>
      <c r="AP150" s="151">
        <f t="shared" si="12"/>
        <v>75</v>
      </c>
      <c r="AR150" s="95">
        <f t="shared" si="13"/>
        <v>87.5</v>
      </c>
      <c r="AT150" s="95">
        <f t="shared" si="14"/>
        <v>0</v>
      </c>
      <c r="AU150" s="95">
        <f t="array" ref="AU150">iferror(XLOOKUP(J150,Monetization!A:A,Monetization!B:B),25)</f>
        <v>25</v>
      </c>
      <c r="AW150" s="95">
        <f t="shared" si="15"/>
        <v>7.5</v>
      </c>
      <c r="AY150" s="149">
        <f t="shared" si="16"/>
        <v>46.5</v>
      </c>
      <c r="AZ150" s="95" t="str">
        <f t="shared" si="17"/>
        <v>25-50</v>
      </c>
      <c r="BA150" s="95" t="str">
        <f t="shared" si="18"/>
        <v>25-50</v>
      </c>
      <c r="BB150" s="152">
        <f t="array" ref="BB150">iferror(XLOOKUP(C150,Sheet9!A:A,Sheet9!D:D),0)</f>
        <v>0.98</v>
      </c>
      <c r="BC150" s="2">
        <v>1.0</v>
      </c>
      <c r="BD150" s="95">
        <f t="array" ref="BD150">XLOOKUP(C150,ROS!C:C,ROS!O:O)</f>
        <v>1.639194</v>
      </c>
      <c r="BE150" s="147">
        <f t="array" ref="BE150">IFERROR(XLOOKUP(C150,ROS!T:T,ROS!U:U),"")</f>
        <v>0.583333333</v>
      </c>
      <c r="BF150" s="147">
        <f t="array" ref="BF150">XLOOKUP(R150,'Refrence Data'!B:B,'Refrence Data'!T:T)</f>
        <v>0.570197</v>
      </c>
      <c r="BG150" s="95">
        <f t="shared" si="19"/>
        <v>1</v>
      </c>
      <c r="BH150" s="4" t="str">
        <f t="shared" si="20"/>
        <v>FN</v>
      </c>
      <c r="BO150" s="153"/>
      <c r="BP150" s="153" t="str">
        <f t="shared" si="26"/>
        <v>FN</v>
      </c>
      <c r="BQ150" s="153"/>
      <c r="BR150" s="153"/>
      <c r="BS150" s="153"/>
    </row>
    <row r="151">
      <c r="A151" s="171">
        <v>6.291053041612E12</v>
      </c>
      <c r="B151" s="171" t="s">
        <v>3521</v>
      </c>
      <c r="C151" s="137" t="s">
        <v>1042</v>
      </c>
      <c r="D151" s="138" t="s">
        <v>537</v>
      </c>
      <c r="E151" s="139" t="s">
        <v>1044</v>
      </c>
      <c r="F151" s="140" t="s">
        <v>3591</v>
      </c>
      <c r="G151" s="141">
        <v>0.0</v>
      </c>
      <c r="H151" s="142">
        <v>9.54246</v>
      </c>
      <c r="I151" s="143" t="s">
        <v>111</v>
      </c>
      <c r="J151" s="83"/>
      <c r="K151" s="174">
        <v>540.0</v>
      </c>
      <c r="R151" s="145" t="str">
        <f t="shared" si="1"/>
        <v>Guilt Free_5-10</v>
      </c>
      <c r="S151" s="146" t="str">
        <f t="shared" si="2"/>
        <v>5-10</v>
      </c>
      <c r="T151" s="95" t="str">
        <f t="array" ref="T151">XLOOKUP(C151,'Depth or Width'!P:P,'Depth or Width'!V:V)</f>
        <v>Depth</v>
      </c>
      <c r="U151" s="93">
        <f t="shared" si="3"/>
        <v>5</v>
      </c>
      <c r="V151" s="147">
        <f t="array" ref="V151">iferror(XLOOKUP(R151,'Refrence Data'!B:B,'Refrence Data'!W:W),"NA")</f>
        <v>2.773577</v>
      </c>
      <c r="W151" s="95">
        <f t="shared" si="4"/>
        <v>50</v>
      </c>
      <c r="Y151" s="148">
        <f t="array" ref="Y151">IFERROR(XLOOKUP(R151,'Refrence Data'!B:B,'Refrence Data'!N:N),"NA")</f>
        <v>0.604202</v>
      </c>
      <c r="Z151" s="95" t="str">
        <f t="shared" si="5"/>
        <v>MEDIUM</v>
      </c>
      <c r="AA151" s="147">
        <f t="array" ref="AA151">XLOOKUP(R151,'Refrence Data'!B:B,'Refrence Data'!AC:AC)</f>
        <v>3.835392</v>
      </c>
      <c r="AB151" s="147">
        <f t="array" ref="AB151">IFERROR(XLOOKUP(R151,'Refrence Data'!B:B,'Refrence Data'!Y:Y),"NA")</f>
        <v>4.094877</v>
      </c>
      <c r="AC151" s="95" t="str">
        <f t="shared" si="6"/>
        <v>High</v>
      </c>
      <c r="AD151" s="95" t="str">
        <f t="shared" si="7"/>
        <v>Depth</v>
      </c>
      <c r="AE151" s="95" t="str">
        <f t="shared" si="8"/>
        <v>MEDIUMHighDepth</v>
      </c>
      <c r="AF151" s="95">
        <f t="array" ref="AF151">XLOOKUP(AE151,'Category Saturation'!A:A,'Category Saturation'!E:E)</f>
        <v>60</v>
      </c>
      <c r="AH151" s="148">
        <f t="array" ref="AH151">iferror(XLOOKUP(R151,'New Launch Success Rate'!A:A,'New Launch Success Rate'!F:F),"NA")</f>
        <v>0.44</v>
      </c>
      <c r="AI151" s="95">
        <f t="shared" si="9"/>
        <v>25</v>
      </c>
      <c r="AK151" s="149">
        <f t="shared" si="10"/>
        <v>50.5</v>
      </c>
      <c r="AM151" s="150">
        <f t="array" ref="AM151">XLOOKUP(R151,'Non Moving'!C:C,'Non Moving'!I:I)/100</f>
        <v>0.068</v>
      </c>
      <c r="AN151" s="151">
        <f t="shared" si="11"/>
        <v>100</v>
      </c>
      <c r="AO151" s="150">
        <f t="array" ref="AO151">XLOOKUP(R151,'Non Moving'!C:C,'Non Moving'!F:F)/100</f>
        <v>0.402</v>
      </c>
      <c r="AP151" s="151">
        <f t="shared" si="12"/>
        <v>50</v>
      </c>
      <c r="AR151" s="95">
        <f t="shared" si="13"/>
        <v>75</v>
      </c>
      <c r="AT151" s="95">
        <f t="shared" si="14"/>
        <v>0</v>
      </c>
      <c r="AU151" s="95">
        <f t="array" ref="AU151">iferror(XLOOKUP(J151,Monetization!A:A,Monetization!B:B),25)</f>
        <v>25</v>
      </c>
      <c r="AW151" s="95">
        <f t="shared" si="15"/>
        <v>7.5</v>
      </c>
      <c r="AY151" s="149">
        <f t="shared" si="16"/>
        <v>51.7</v>
      </c>
      <c r="AZ151" s="95" t="str">
        <f t="shared" si="17"/>
        <v>50-75</v>
      </c>
      <c r="BA151" s="95" t="str">
        <f t="shared" si="18"/>
        <v>50-75</v>
      </c>
      <c r="BB151" s="152">
        <f t="array" ref="BB151">iferror(XLOOKUP(C151,Sheet9!A:A,Sheet9!D:D),0)</f>
        <v>0</v>
      </c>
      <c r="BC151" s="2">
        <v>1.0</v>
      </c>
      <c r="BD151" s="95">
        <f t="array" ref="BD151">XLOOKUP(C151,ROS!C:C,ROS!O:O)</f>
        <v>0</v>
      </c>
      <c r="BE151" s="147">
        <f t="array" ref="BE151">IFERROR(XLOOKUP(C151,ROS!T:T,ROS!U:U),"")</f>
        <v>0</v>
      </c>
      <c r="BF151" s="147">
        <f t="array" ref="BF151">XLOOKUP(R151,'Refrence Data'!B:B,'Refrence Data'!T:T)</f>
        <v>1.819319</v>
      </c>
      <c r="BG151" s="95">
        <f t="shared" si="19"/>
        <v>0</v>
      </c>
      <c r="BH151" s="4" t="str">
        <f t="shared" si="20"/>
        <v/>
      </c>
      <c r="BO151" s="153"/>
      <c r="BP151" s="153" t="str">
        <f t="shared" si="26"/>
        <v/>
      </c>
      <c r="BQ151" s="153"/>
      <c r="BR151" s="153"/>
      <c r="BS151" s="153"/>
    </row>
    <row r="152">
      <c r="A152" s="171">
        <v>6.291107846019E12</v>
      </c>
      <c r="B152" s="171" t="s">
        <v>3521</v>
      </c>
      <c r="C152" s="137" t="s">
        <v>1046</v>
      </c>
      <c r="D152" s="138" t="s">
        <v>537</v>
      </c>
      <c r="E152" s="139" t="s">
        <v>552</v>
      </c>
      <c r="F152" s="140" t="s">
        <v>3592</v>
      </c>
      <c r="G152" s="141">
        <v>0.0</v>
      </c>
      <c r="H152" s="142">
        <v>74.19733</v>
      </c>
      <c r="I152" s="143" t="s">
        <v>112</v>
      </c>
      <c r="J152" s="83"/>
      <c r="K152" s="174">
        <v>365.0</v>
      </c>
      <c r="R152" s="145" t="str">
        <f t="shared" si="1"/>
        <v>Cups &amp; Tubs_25+</v>
      </c>
      <c r="S152" s="146" t="str">
        <f t="shared" si="2"/>
        <v>25+</v>
      </c>
      <c r="T152" s="95" t="str">
        <f t="array" ref="T152">XLOOKUP(C152,'Depth or Width'!P:P,'Depth or Width'!V:V)</f>
        <v>Width</v>
      </c>
      <c r="U152" s="93">
        <f t="shared" si="3"/>
        <v>5</v>
      </c>
      <c r="V152" s="147">
        <f t="array" ref="V152">iferror(XLOOKUP(R152,'Refrence Data'!B:B,'Refrence Data'!W:W),"NA")</f>
        <v>4.23226</v>
      </c>
      <c r="W152" s="95">
        <f t="shared" si="4"/>
        <v>75</v>
      </c>
      <c r="Y152" s="148">
        <f t="array" ref="Y152">IFERROR(XLOOKUP(R152,'Refrence Data'!B:B,'Refrence Data'!N:N),"NA")</f>
        <v>0.720249</v>
      </c>
      <c r="Z152" s="95" t="str">
        <f t="shared" si="5"/>
        <v>HIGH</v>
      </c>
      <c r="AA152" s="147">
        <f t="array" ref="AA152">XLOOKUP(R152,'Refrence Data'!B:B,'Refrence Data'!AC:AC)</f>
        <v>5.950041</v>
      </c>
      <c r="AB152" s="147">
        <f t="array" ref="AB152">IFERROR(XLOOKUP(R152,'Refrence Data'!B:B,'Refrence Data'!Y:Y),"NA")</f>
        <v>8.80268</v>
      </c>
      <c r="AC152" s="95" t="str">
        <f t="shared" si="6"/>
        <v>High</v>
      </c>
      <c r="AD152" s="95" t="str">
        <f t="shared" si="7"/>
        <v>Width</v>
      </c>
      <c r="AE152" s="95" t="str">
        <f t="shared" si="8"/>
        <v>HIGHHighWidth</v>
      </c>
      <c r="AF152" s="95">
        <f t="array" ref="AF152">XLOOKUP(AE152,'Category Saturation'!A:A,'Category Saturation'!E:E)</f>
        <v>25</v>
      </c>
      <c r="AH152" s="148">
        <f t="array" ref="AH152">iferror(XLOOKUP(R152,'New Launch Success Rate'!A:A,'New Launch Success Rate'!F:F),"NA")</f>
        <v>0.667</v>
      </c>
      <c r="AI152" s="95">
        <f t="shared" si="9"/>
        <v>50</v>
      </c>
      <c r="AK152" s="149">
        <f t="shared" si="10"/>
        <v>57.5</v>
      </c>
      <c r="AM152" s="150">
        <f t="array" ref="AM152">XLOOKUP(R152,'Non Moving'!C:C,'Non Moving'!I:I)/100</f>
        <v>0.029</v>
      </c>
      <c r="AN152" s="151">
        <f t="shared" si="11"/>
        <v>100</v>
      </c>
      <c r="AO152" s="150">
        <f t="array" ref="AO152">XLOOKUP(R152,'Non Moving'!C:C,'Non Moving'!F:F)/100</f>
        <v>0.149</v>
      </c>
      <c r="AP152" s="151">
        <f t="shared" si="12"/>
        <v>100</v>
      </c>
      <c r="AR152" s="95">
        <f t="shared" si="13"/>
        <v>100</v>
      </c>
      <c r="AT152" s="95">
        <f t="shared" si="14"/>
        <v>100</v>
      </c>
      <c r="AU152" s="95">
        <f t="array" ref="AU152">iferror(XLOOKUP(J152,Monetization!A:A,Monetization!B:B),25)</f>
        <v>25</v>
      </c>
      <c r="AW152" s="95">
        <f t="shared" si="15"/>
        <v>77.5</v>
      </c>
      <c r="AY152" s="149">
        <f t="shared" si="16"/>
        <v>78.5</v>
      </c>
      <c r="AZ152" s="95" t="str">
        <f t="shared" si="17"/>
        <v>75-100</v>
      </c>
      <c r="BA152" s="95" t="str">
        <f t="shared" si="18"/>
        <v>50-75</v>
      </c>
      <c r="BB152" s="152">
        <f t="array" ref="BB152">iferror(XLOOKUP(C152,Sheet9!A:A,Sheet9!D:D),0)</f>
        <v>0</v>
      </c>
      <c r="BC152" s="2">
        <v>1.0</v>
      </c>
      <c r="BD152" s="95">
        <f t="array" ref="BD152">XLOOKUP(C152,ROS!C:C,ROS!O:O)</f>
        <v>0</v>
      </c>
      <c r="BE152" s="147" t="str">
        <f t="array" ref="BE152">IFERROR(XLOOKUP(C152,ROS!T:T,ROS!U:U),"")</f>
        <v/>
      </c>
      <c r="BF152" s="147">
        <f t="array" ref="BF152">XLOOKUP(R152,'Refrence Data'!B:B,'Refrence Data'!T:T)</f>
        <v>0.733407</v>
      </c>
      <c r="BG152" s="95">
        <f t="shared" si="19"/>
        <v>0</v>
      </c>
      <c r="BH152" s="4" t="str">
        <f t="shared" si="20"/>
        <v/>
      </c>
      <c r="BO152" s="153"/>
      <c r="BP152" s="153" t="str">
        <f t="shared" si="26"/>
        <v/>
      </c>
      <c r="BQ152" s="153"/>
      <c r="BR152" s="153"/>
      <c r="BS152" s="153"/>
    </row>
    <row r="153">
      <c r="A153" s="171">
        <v>6.291107846002E12</v>
      </c>
      <c r="B153" s="171" t="s">
        <v>3521</v>
      </c>
      <c r="C153" s="137" t="s">
        <v>1049</v>
      </c>
      <c r="D153" s="138" t="s">
        <v>537</v>
      </c>
      <c r="E153" s="139" t="s">
        <v>552</v>
      </c>
      <c r="F153" s="140" t="s">
        <v>3592</v>
      </c>
      <c r="G153" s="141">
        <v>1.0</v>
      </c>
      <c r="H153" s="142">
        <v>58.20402</v>
      </c>
      <c r="I153" s="143" t="s">
        <v>112</v>
      </c>
      <c r="J153" s="83"/>
      <c r="K153" s="174">
        <v>365.0</v>
      </c>
      <c r="R153" s="145" t="str">
        <f t="shared" si="1"/>
        <v>Cups &amp; Tubs_25+</v>
      </c>
      <c r="S153" s="146" t="str">
        <f t="shared" si="2"/>
        <v>25+</v>
      </c>
      <c r="T153" s="95" t="str">
        <f t="array" ref="T153">XLOOKUP(C153,'Depth or Width'!P:P,'Depth or Width'!V:V)</f>
        <v>Width</v>
      </c>
      <c r="U153" s="93">
        <f t="shared" si="3"/>
        <v>5</v>
      </c>
      <c r="V153" s="147">
        <f t="array" ref="V153">iferror(XLOOKUP(R153,'Refrence Data'!B:B,'Refrence Data'!W:W),"NA")</f>
        <v>4.23226</v>
      </c>
      <c r="W153" s="95">
        <f t="shared" si="4"/>
        <v>75</v>
      </c>
      <c r="Y153" s="148">
        <f t="array" ref="Y153">IFERROR(XLOOKUP(R153,'Refrence Data'!B:B,'Refrence Data'!N:N),"NA")</f>
        <v>0.720249</v>
      </c>
      <c r="Z153" s="95" t="str">
        <f t="shared" si="5"/>
        <v>HIGH</v>
      </c>
      <c r="AA153" s="147">
        <f t="array" ref="AA153">XLOOKUP(R153,'Refrence Data'!B:B,'Refrence Data'!AC:AC)</f>
        <v>5.950041</v>
      </c>
      <c r="AB153" s="147">
        <f t="array" ref="AB153">IFERROR(XLOOKUP(R153,'Refrence Data'!B:B,'Refrence Data'!Y:Y),"NA")</f>
        <v>8.80268</v>
      </c>
      <c r="AC153" s="95" t="str">
        <f t="shared" si="6"/>
        <v>High</v>
      </c>
      <c r="AD153" s="95" t="str">
        <f t="shared" si="7"/>
        <v>Width</v>
      </c>
      <c r="AE153" s="95" t="str">
        <f t="shared" si="8"/>
        <v>HIGHHighWidth</v>
      </c>
      <c r="AF153" s="95">
        <f t="array" ref="AF153">XLOOKUP(AE153,'Category Saturation'!A:A,'Category Saturation'!E:E)</f>
        <v>25</v>
      </c>
      <c r="AH153" s="148">
        <f t="array" ref="AH153">iferror(XLOOKUP(R153,'New Launch Success Rate'!A:A,'New Launch Success Rate'!F:F),"NA")</f>
        <v>0.667</v>
      </c>
      <c r="AI153" s="95">
        <f t="shared" si="9"/>
        <v>50</v>
      </c>
      <c r="AK153" s="149">
        <f t="shared" si="10"/>
        <v>57.5</v>
      </c>
      <c r="AM153" s="150">
        <f t="array" ref="AM153">XLOOKUP(R153,'Non Moving'!C:C,'Non Moving'!I:I)/100</f>
        <v>0.029</v>
      </c>
      <c r="AN153" s="151">
        <f t="shared" si="11"/>
        <v>100</v>
      </c>
      <c r="AO153" s="150">
        <f t="array" ref="AO153">XLOOKUP(R153,'Non Moving'!C:C,'Non Moving'!F:F)/100</f>
        <v>0.149</v>
      </c>
      <c r="AP153" s="151">
        <f t="shared" si="12"/>
        <v>100</v>
      </c>
      <c r="AR153" s="95">
        <f t="shared" si="13"/>
        <v>100</v>
      </c>
      <c r="AT153" s="95">
        <f t="shared" si="14"/>
        <v>100</v>
      </c>
      <c r="AU153" s="95">
        <f t="array" ref="AU153">iferror(XLOOKUP(J153,Monetization!A:A,Monetization!B:B),25)</f>
        <v>25</v>
      </c>
      <c r="AW153" s="95">
        <f t="shared" si="15"/>
        <v>77.5</v>
      </c>
      <c r="AY153" s="149">
        <f t="shared" si="16"/>
        <v>78.5</v>
      </c>
      <c r="AZ153" s="95" t="str">
        <f t="shared" si="17"/>
        <v>75-100</v>
      </c>
      <c r="BA153" s="95" t="str">
        <f t="shared" si="18"/>
        <v>50-75</v>
      </c>
      <c r="BB153" s="152">
        <f t="array" ref="BB153">iferror(XLOOKUP(C153,Sheet9!A:A,Sheet9!D:D),0)</f>
        <v>0</v>
      </c>
      <c r="BC153" s="2">
        <v>1.0</v>
      </c>
      <c r="BD153" s="95">
        <f t="array" ref="BD153">XLOOKUP(C153,ROS!C:C,ROS!O:O)</f>
        <v>0</v>
      </c>
      <c r="BE153" s="147" t="str">
        <f t="array" ref="BE153">IFERROR(XLOOKUP(C153,ROS!T:T,ROS!U:U),"")</f>
        <v/>
      </c>
      <c r="BF153" s="147">
        <f t="array" ref="BF153">XLOOKUP(R153,'Refrence Data'!B:B,'Refrence Data'!T:T)</f>
        <v>0.733407</v>
      </c>
      <c r="BG153" s="95">
        <f t="shared" si="19"/>
        <v>0</v>
      </c>
      <c r="BH153" s="4" t="str">
        <f t="shared" si="20"/>
        <v/>
      </c>
      <c r="BO153" s="153"/>
      <c r="BP153" s="153" t="str">
        <f t="shared" si="26"/>
        <v/>
      </c>
      <c r="BQ153" s="153"/>
      <c r="BR153" s="153"/>
      <c r="BS153" s="153"/>
    </row>
    <row r="154">
      <c r="A154" s="171">
        <v>6.291107845999E12</v>
      </c>
      <c r="B154" s="171" t="s">
        <v>3521</v>
      </c>
      <c r="C154" s="137" t="s">
        <v>1050</v>
      </c>
      <c r="D154" s="138" t="s">
        <v>537</v>
      </c>
      <c r="E154" s="139" t="s">
        <v>552</v>
      </c>
      <c r="F154" s="140" t="s">
        <v>3592</v>
      </c>
      <c r="G154" s="141">
        <v>1.0</v>
      </c>
      <c r="H154" s="142">
        <v>52.45724</v>
      </c>
      <c r="I154" s="143" t="s">
        <v>112</v>
      </c>
      <c r="J154" s="83"/>
      <c r="K154" s="174">
        <v>365.0</v>
      </c>
      <c r="R154" s="145" t="str">
        <f t="shared" si="1"/>
        <v>Cups &amp; Tubs_25+</v>
      </c>
      <c r="S154" s="146" t="str">
        <f t="shared" si="2"/>
        <v>25+</v>
      </c>
      <c r="T154" s="95" t="str">
        <f t="array" ref="T154">XLOOKUP(C154,'Depth or Width'!P:P,'Depth or Width'!V:V)</f>
        <v>Width</v>
      </c>
      <c r="U154" s="93">
        <f t="shared" si="3"/>
        <v>5</v>
      </c>
      <c r="V154" s="147">
        <f t="array" ref="V154">iferror(XLOOKUP(R154,'Refrence Data'!B:B,'Refrence Data'!W:W),"NA")</f>
        <v>4.23226</v>
      </c>
      <c r="W154" s="95">
        <f t="shared" si="4"/>
        <v>75</v>
      </c>
      <c r="Y154" s="148">
        <f t="array" ref="Y154">IFERROR(XLOOKUP(R154,'Refrence Data'!B:B,'Refrence Data'!N:N),"NA")</f>
        <v>0.720249</v>
      </c>
      <c r="Z154" s="95" t="str">
        <f t="shared" si="5"/>
        <v>HIGH</v>
      </c>
      <c r="AA154" s="147">
        <f t="array" ref="AA154">XLOOKUP(R154,'Refrence Data'!B:B,'Refrence Data'!AC:AC)</f>
        <v>5.950041</v>
      </c>
      <c r="AB154" s="147">
        <f t="array" ref="AB154">IFERROR(XLOOKUP(R154,'Refrence Data'!B:B,'Refrence Data'!Y:Y),"NA")</f>
        <v>8.80268</v>
      </c>
      <c r="AC154" s="95" t="str">
        <f t="shared" si="6"/>
        <v>High</v>
      </c>
      <c r="AD154" s="95" t="str">
        <f t="shared" si="7"/>
        <v>Width</v>
      </c>
      <c r="AE154" s="95" t="str">
        <f t="shared" si="8"/>
        <v>HIGHHighWidth</v>
      </c>
      <c r="AF154" s="95">
        <f t="array" ref="AF154">XLOOKUP(AE154,'Category Saturation'!A:A,'Category Saturation'!E:E)</f>
        <v>25</v>
      </c>
      <c r="AH154" s="148">
        <f t="array" ref="AH154">iferror(XLOOKUP(R154,'New Launch Success Rate'!A:A,'New Launch Success Rate'!F:F),"NA")</f>
        <v>0.667</v>
      </c>
      <c r="AI154" s="95">
        <f t="shared" si="9"/>
        <v>50</v>
      </c>
      <c r="AK154" s="149">
        <f t="shared" si="10"/>
        <v>57.5</v>
      </c>
      <c r="AM154" s="150">
        <f t="array" ref="AM154">XLOOKUP(R154,'Non Moving'!C:C,'Non Moving'!I:I)/100</f>
        <v>0.029</v>
      </c>
      <c r="AN154" s="151">
        <f t="shared" si="11"/>
        <v>100</v>
      </c>
      <c r="AO154" s="150">
        <f t="array" ref="AO154">XLOOKUP(R154,'Non Moving'!C:C,'Non Moving'!F:F)/100</f>
        <v>0.149</v>
      </c>
      <c r="AP154" s="151">
        <f t="shared" si="12"/>
        <v>100</v>
      </c>
      <c r="AR154" s="95">
        <f t="shared" si="13"/>
        <v>100</v>
      </c>
      <c r="AT154" s="95">
        <f t="shared" si="14"/>
        <v>100</v>
      </c>
      <c r="AU154" s="95">
        <f t="array" ref="AU154">iferror(XLOOKUP(J154,Monetization!A:A,Monetization!B:B),25)</f>
        <v>25</v>
      </c>
      <c r="AW154" s="95">
        <f t="shared" si="15"/>
        <v>77.5</v>
      </c>
      <c r="AY154" s="149">
        <f t="shared" si="16"/>
        <v>78.5</v>
      </c>
      <c r="AZ154" s="95" t="str">
        <f t="shared" si="17"/>
        <v>75-100</v>
      </c>
      <c r="BA154" s="95" t="str">
        <f t="shared" si="18"/>
        <v>50-75</v>
      </c>
      <c r="BB154" s="152">
        <f t="array" ref="BB154">iferror(XLOOKUP(C154,Sheet9!A:A,Sheet9!D:D),0)</f>
        <v>0</v>
      </c>
      <c r="BC154" s="2">
        <v>1.0</v>
      </c>
      <c r="BD154" s="95">
        <f t="array" ref="BD154">XLOOKUP(C154,ROS!C:C,ROS!O:O)</f>
        <v>0</v>
      </c>
      <c r="BE154" s="147" t="str">
        <f t="array" ref="BE154">IFERROR(XLOOKUP(C154,ROS!T:T,ROS!U:U),"")</f>
        <v/>
      </c>
      <c r="BF154" s="147">
        <f t="array" ref="BF154">XLOOKUP(R154,'Refrence Data'!B:B,'Refrence Data'!T:T)</f>
        <v>0.733407</v>
      </c>
      <c r="BG154" s="95">
        <f t="shared" si="19"/>
        <v>0</v>
      </c>
      <c r="BH154" s="4" t="str">
        <f t="shared" si="20"/>
        <v/>
      </c>
      <c r="BO154" s="153"/>
      <c r="BP154" s="153" t="str">
        <f t="shared" si="26"/>
        <v/>
      </c>
      <c r="BQ154" s="153"/>
      <c r="BR154" s="153"/>
      <c r="BS154" s="153"/>
    </row>
    <row r="155">
      <c r="A155" s="171">
        <v>6.291107845968E12</v>
      </c>
      <c r="B155" s="171" t="s">
        <v>3521</v>
      </c>
      <c r="C155" s="137" t="s">
        <v>1051</v>
      </c>
      <c r="D155" s="138" t="s">
        <v>537</v>
      </c>
      <c r="E155" s="139" t="s">
        <v>552</v>
      </c>
      <c r="F155" s="140" t="s">
        <v>3592</v>
      </c>
      <c r="G155" s="141">
        <v>1.0</v>
      </c>
      <c r="H155" s="142">
        <v>93.30968</v>
      </c>
      <c r="I155" s="143" t="s">
        <v>112</v>
      </c>
      <c r="J155" s="83"/>
      <c r="K155" s="174">
        <v>365.0</v>
      </c>
      <c r="R155" s="145" t="str">
        <f t="shared" si="1"/>
        <v>Cups &amp; Tubs_25+</v>
      </c>
      <c r="S155" s="146" t="str">
        <f t="shared" si="2"/>
        <v>25+</v>
      </c>
      <c r="T155" s="95" t="str">
        <f t="array" ref="T155">XLOOKUP(C155,'Depth or Width'!P:P,'Depth or Width'!V:V)</f>
        <v>Width</v>
      </c>
      <c r="U155" s="93">
        <f t="shared" si="3"/>
        <v>5</v>
      </c>
      <c r="V155" s="147">
        <f t="array" ref="V155">iferror(XLOOKUP(R155,'Refrence Data'!B:B,'Refrence Data'!W:W),"NA")</f>
        <v>4.23226</v>
      </c>
      <c r="W155" s="95">
        <f t="shared" si="4"/>
        <v>75</v>
      </c>
      <c r="Y155" s="148">
        <f t="array" ref="Y155">IFERROR(XLOOKUP(R155,'Refrence Data'!B:B,'Refrence Data'!N:N),"NA")</f>
        <v>0.720249</v>
      </c>
      <c r="Z155" s="95" t="str">
        <f t="shared" si="5"/>
        <v>HIGH</v>
      </c>
      <c r="AA155" s="147">
        <f t="array" ref="AA155">XLOOKUP(R155,'Refrence Data'!B:B,'Refrence Data'!AC:AC)</f>
        <v>5.950041</v>
      </c>
      <c r="AB155" s="147">
        <f t="array" ref="AB155">IFERROR(XLOOKUP(R155,'Refrence Data'!B:B,'Refrence Data'!Y:Y),"NA")</f>
        <v>8.80268</v>
      </c>
      <c r="AC155" s="95" t="str">
        <f t="shared" si="6"/>
        <v>High</v>
      </c>
      <c r="AD155" s="95" t="str">
        <f t="shared" si="7"/>
        <v>Width</v>
      </c>
      <c r="AE155" s="95" t="str">
        <f t="shared" si="8"/>
        <v>HIGHHighWidth</v>
      </c>
      <c r="AF155" s="95">
        <f t="array" ref="AF155">XLOOKUP(AE155,'Category Saturation'!A:A,'Category Saturation'!E:E)</f>
        <v>25</v>
      </c>
      <c r="AH155" s="148">
        <f t="array" ref="AH155">iferror(XLOOKUP(R155,'New Launch Success Rate'!A:A,'New Launch Success Rate'!F:F),"NA")</f>
        <v>0.667</v>
      </c>
      <c r="AI155" s="95">
        <f t="shared" si="9"/>
        <v>50</v>
      </c>
      <c r="AK155" s="149">
        <f t="shared" si="10"/>
        <v>57.5</v>
      </c>
      <c r="AM155" s="150">
        <f t="array" ref="AM155">XLOOKUP(R155,'Non Moving'!C:C,'Non Moving'!I:I)/100</f>
        <v>0.029</v>
      </c>
      <c r="AN155" s="151">
        <f t="shared" si="11"/>
        <v>100</v>
      </c>
      <c r="AO155" s="150">
        <f t="array" ref="AO155">XLOOKUP(R155,'Non Moving'!C:C,'Non Moving'!F:F)/100</f>
        <v>0.149</v>
      </c>
      <c r="AP155" s="151">
        <f t="shared" si="12"/>
        <v>100</v>
      </c>
      <c r="AR155" s="95">
        <f t="shared" si="13"/>
        <v>100</v>
      </c>
      <c r="AT155" s="95">
        <f t="shared" si="14"/>
        <v>100</v>
      </c>
      <c r="AU155" s="95">
        <f t="array" ref="AU155">iferror(XLOOKUP(J155,Monetization!A:A,Monetization!B:B),25)</f>
        <v>25</v>
      </c>
      <c r="AW155" s="95">
        <f t="shared" si="15"/>
        <v>77.5</v>
      </c>
      <c r="AY155" s="149">
        <f t="shared" si="16"/>
        <v>78.5</v>
      </c>
      <c r="AZ155" s="95" t="str">
        <f t="shared" si="17"/>
        <v>75-100</v>
      </c>
      <c r="BA155" s="95" t="str">
        <f t="shared" si="18"/>
        <v>50-75</v>
      </c>
      <c r="BB155" s="152">
        <f t="array" ref="BB155">iferror(XLOOKUP(C155,Sheet9!A:A,Sheet9!D:D),0)</f>
        <v>0</v>
      </c>
      <c r="BC155" s="2">
        <v>1.0</v>
      </c>
      <c r="BD155" s="95">
        <f t="array" ref="BD155">XLOOKUP(C155,ROS!C:C,ROS!O:O)</f>
        <v>0</v>
      </c>
      <c r="BE155" s="147" t="str">
        <f t="array" ref="BE155">IFERROR(XLOOKUP(C155,ROS!T:T,ROS!U:U),"")</f>
        <v/>
      </c>
      <c r="BF155" s="147">
        <f t="array" ref="BF155">XLOOKUP(R155,'Refrence Data'!B:B,'Refrence Data'!T:T)</f>
        <v>0.733407</v>
      </c>
      <c r="BG155" s="95">
        <f t="shared" si="19"/>
        <v>0</v>
      </c>
      <c r="BH155" s="4" t="str">
        <f t="shared" si="20"/>
        <v/>
      </c>
      <c r="BO155" s="153"/>
      <c r="BP155" s="153" t="str">
        <f t="shared" si="26"/>
        <v/>
      </c>
      <c r="BQ155" s="153"/>
      <c r="BR155" s="153"/>
      <c r="BS155" s="153"/>
    </row>
    <row r="156">
      <c r="A156" s="171">
        <v>6.291107845951E12</v>
      </c>
      <c r="B156" s="171" t="s">
        <v>3521</v>
      </c>
      <c r="C156" s="137" t="s">
        <v>1052</v>
      </c>
      <c r="D156" s="138" t="s">
        <v>537</v>
      </c>
      <c r="E156" s="139" t="s">
        <v>552</v>
      </c>
      <c r="F156" s="140" t="s">
        <v>3592</v>
      </c>
      <c r="G156" s="141">
        <v>1.0</v>
      </c>
      <c r="H156" s="142">
        <v>52.69836</v>
      </c>
      <c r="I156" s="143" t="s">
        <v>112</v>
      </c>
      <c r="J156" s="83"/>
      <c r="K156" s="174">
        <v>365.0</v>
      </c>
      <c r="R156" s="145" t="str">
        <f t="shared" si="1"/>
        <v>Cups &amp; Tubs_25+</v>
      </c>
      <c r="S156" s="146" t="str">
        <f t="shared" si="2"/>
        <v>25+</v>
      </c>
      <c r="T156" s="95" t="str">
        <f t="array" ref="T156">XLOOKUP(C156,'Depth or Width'!P:P,'Depth or Width'!V:V)</f>
        <v>Width</v>
      </c>
      <c r="U156" s="93">
        <f t="shared" si="3"/>
        <v>5</v>
      </c>
      <c r="V156" s="147">
        <f t="array" ref="V156">iferror(XLOOKUP(R156,'Refrence Data'!B:B,'Refrence Data'!W:W),"NA")</f>
        <v>4.23226</v>
      </c>
      <c r="W156" s="95">
        <f t="shared" si="4"/>
        <v>75</v>
      </c>
      <c r="Y156" s="148">
        <f t="array" ref="Y156">IFERROR(XLOOKUP(R156,'Refrence Data'!B:B,'Refrence Data'!N:N),"NA")</f>
        <v>0.720249</v>
      </c>
      <c r="Z156" s="95" t="str">
        <f t="shared" si="5"/>
        <v>HIGH</v>
      </c>
      <c r="AA156" s="147">
        <f t="array" ref="AA156">XLOOKUP(R156,'Refrence Data'!B:B,'Refrence Data'!AC:AC)</f>
        <v>5.950041</v>
      </c>
      <c r="AB156" s="147">
        <f t="array" ref="AB156">IFERROR(XLOOKUP(R156,'Refrence Data'!B:B,'Refrence Data'!Y:Y),"NA")</f>
        <v>8.80268</v>
      </c>
      <c r="AC156" s="95" t="str">
        <f t="shared" si="6"/>
        <v>High</v>
      </c>
      <c r="AD156" s="95" t="str">
        <f t="shared" si="7"/>
        <v>Width</v>
      </c>
      <c r="AE156" s="95" t="str">
        <f t="shared" si="8"/>
        <v>HIGHHighWidth</v>
      </c>
      <c r="AF156" s="95">
        <f t="array" ref="AF156">XLOOKUP(AE156,'Category Saturation'!A:A,'Category Saturation'!E:E)</f>
        <v>25</v>
      </c>
      <c r="AH156" s="148">
        <f t="array" ref="AH156">iferror(XLOOKUP(R156,'New Launch Success Rate'!A:A,'New Launch Success Rate'!F:F),"NA")</f>
        <v>0.667</v>
      </c>
      <c r="AI156" s="95">
        <f t="shared" si="9"/>
        <v>50</v>
      </c>
      <c r="AK156" s="149">
        <f t="shared" si="10"/>
        <v>57.5</v>
      </c>
      <c r="AM156" s="150">
        <f t="array" ref="AM156">XLOOKUP(R156,'Non Moving'!C:C,'Non Moving'!I:I)/100</f>
        <v>0.029</v>
      </c>
      <c r="AN156" s="151">
        <f t="shared" si="11"/>
        <v>100</v>
      </c>
      <c r="AO156" s="150">
        <f t="array" ref="AO156">XLOOKUP(R156,'Non Moving'!C:C,'Non Moving'!F:F)/100</f>
        <v>0.149</v>
      </c>
      <c r="AP156" s="151">
        <f t="shared" si="12"/>
        <v>100</v>
      </c>
      <c r="AR156" s="95">
        <f t="shared" si="13"/>
        <v>100</v>
      </c>
      <c r="AT156" s="95">
        <f t="shared" si="14"/>
        <v>100</v>
      </c>
      <c r="AU156" s="95">
        <f t="array" ref="AU156">iferror(XLOOKUP(J156,Monetization!A:A,Monetization!B:B),25)</f>
        <v>25</v>
      </c>
      <c r="AW156" s="95">
        <f t="shared" si="15"/>
        <v>77.5</v>
      </c>
      <c r="AY156" s="149">
        <f t="shared" si="16"/>
        <v>78.5</v>
      </c>
      <c r="AZ156" s="95" t="str">
        <f t="shared" si="17"/>
        <v>75-100</v>
      </c>
      <c r="BA156" s="95" t="str">
        <f t="shared" si="18"/>
        <v>50-75</v>
      </c>
      <c r="BB156" s="152">
        <f t="array" ref="BB156">iferror(XLOOKUP(C156,Sheet9!A:A,Sheet9!D:D),0)</f>
        <v>0</v>
      </c>
      <c r="BC156" s="2">
        <v>1.0</v>
      </c>
      <c r="BD156" s="95">
        <f t="array" ref="BD156">XLOOKUP(C156,ROS!C:C,ROS!O:O)</f>
        <v>0</v>
      </c>
      <c r="BE156" s="147" t="str">
        <f t="array" ref="BE156">IFERROR(XLOOKUP(C156,ROS!T:T,ROS!U:U),"")</f>
        <v/>
      </c>
      <c r="BF156" s="147">
        <f t="array" ref="BF156">XLOOKUP(R156,'Refrence Data'!B:B,'Refrence Data'!T:T)</f>
        <v>0.733407</v>
      </c>
      <c r="BG156" s="95">
        <f t="shared" si="19"/>
        <v>0</v>
      </c>
      <c r="BH156" s="4" t="str">
        <f t="shared" si="20"/>
        <v/>
      </c>
      <c r="BO156" s="153"/>
      <c r="BP156" s="153" t="str">
        <f t="shared" si="26"/>
        <v/>
      </c>
      <c r="BQ156" s="153"/>
      <c r="BR156" s="153"/>
      <c r="BS156" s="153"/>
    </row>
    <row r="157">
      <c r="A157" s="171">
        <v>6.291107845784E12</v>
      </c>
      <c r="B157" s="171" t="s">
        <v>3521</v>
      </c>
      <c r="C157" s="137" t="s">
        <v>1053</v>
      </c>
      <c r="D157" s="138" t="s">
        <v>537</v>
      </c>
      <c r="E157" s="139" t="s">
        <v>552</v>
      </c>
      <c r="F157" s="140" t="s">
        <v>3592</v>
      </c>
      <c r="G157" s="141">
        <v>1.0</v>
      </c>
      <c r="H157" s="142">
        <v>67.30333</v>
      </c>
      <c r="I157" s="143" t="s">
        <v>112</v>
      </c>
      <c r="J157" s="83"/>
      <c r="K157" s="174">
        <v>365.0</v>
      </c>
      <c r="R157" s="145" t="str">
        <f t="shared" si="1"/>
        <v>Cups &amp; Tubs_25+</v>
      </c>
      <c r="S157" s="146" t="str">
        <f t="shared" si="2"/>
        <v>25+</v>
      </c>
      <c r="T157" s="95" t="str">
        <f t="array" ref="T157">XLOOKUP(C157,'Depth or Width'!P:P,'Depth or Width'!V:V)</f>
        <v>Width</v>
      </c>
      <c r="U157" s="93">
        <f t="shared" si="3"/>
        <v>5</v>
      </c>
      <c r="V157" s="147">
        <f t="array" ref="V157">iferror(XLOOKUP(R157,'Refrence Data'!B:B,'Refrence Data'!W:W),"NA")</f>
        <v>4.23226</v>
      </c>
      <c r="W157" s="95">
        <f t="shared" si="4"/>
        <v>75</v>
      </c>
      <c r="Y157" s="148">
        <f t="array" ref="Y157">IFERROR(XLOOKUP(R157,'Refrence Data'!B:B,'Refrence Data'!N:N),"NA")</f>
        <v>0.720249</v>
      </c>
      <c r="Z157" s="95" t="str">
        <f t="shared" si="5"/>
        <v>HIGH</v>
      </c>
      <c r="AA157" s="147">
        <f t="array" ref="AA157">XLOOKUP(R157,'Refrence Data'!B:B,'Refrence Data'!AC:AC)</f>
        <v>5.950041</v>
      </c>
      <c r="AB157" s="147">
        <f t="array" ref="AB157">IFERROR(XLOOKUP(R157,'Refrence Data'!B:B,'Refrence Data'!Y:Y),"NA")</f>
        <v>8.80268</v>
      </c>
      <c r="AC157" s="95" t="str">
        <f t="shared" si="6"/>
        <v>High</v>
      </c>
      <c r="AD157" s="95" t="str">
        <f t="shared" si="7"/>
        <v>Width</v>
      </c>
      <c r="AE157" s="95" t="str">
        <f t="shared" si="8"/>
        <v>HIGHHighWidth</v>
      </c>
      <c r="AF157" s="95">
        <f t="array" ref="AF157">XLOOKUP(AE157,'Category Saturation'!A:A,'Category Saturation'!E:E)</f>
        <v>25</v>
      </c>
      <c r="AH157" s="148">
        <f t="array" ref="AH157">iferror(XLOOKUP(R157,'New Launch Success Rate'!A:A,'New Launch Success Rate'!F:F),"NA")</f>
        <v>0.667</v>
      </c>
      <c r="AI157" s="95">
        <f t="shared" si="9"/>
        <v>50</v>
      </c>
      <c r="AK157" s="149">
        <f t="shared" si="10"/>
        <v>57.5</v>
      </c>
      <c r="AM157" s="150">
        <f t="array" ref="AM157">XLOOKUP(R157,'Non Moving'!C:C,'Non Moving'!I:I)/100</f>
        <v>0.029</v>
      </c>
      <c r="AN157" s="151">
        <f t="shared" si="11"/>
        <v>100</v>
      </c>
      <c r="AO157" s="150">
        <f t="array" ref="AO157">XLOOKUP(R157,'Non Moving'!C:C,'Non Moving'!F:F)/100</f>
        <v>0.149</v>
      </c>
      <c r="AP157" s="151">
        <f t="shared" si="12"/>
        <v>100</v>
      </c>
      <c r="AR157" s="95">
        <f t="shared" si="13"/>
        <v>100</v>
      </c>
      <c r="AT157" s="95">
        <f t="shared" si="14"/>
        <v>100</v>
      </c>
      <c r="AU157" s="95">
        <f t="array" ref="AU157">iferror(XLOOKUP(J157,Monetization!A:A,Monetization!B:B),25)</f>
        <v>25</v>
      </c>
      <c r="AW157" s="95">
        <f t="shared" si="15"/>
        <v>77.5</v>
      </c>
      <c r="AY157" s="149">
        <f t="shared" si="16"/>
        <v>78.5</v>
      </c>
      <c r="AZ157" s="95" t="str">
        <f t="shared" si="17"/>
        <v>75-100</v>
      </c>
      <c r="BA157" s="95" t="str">
        <f t="shared" si="18"/>
        <v>50-75</v>
      </c>
      <c r="BB157" s="152">
        <f t="array" ref="BB157">iferror(XLOOKUP(C157,Sheet9!A:A,Sheet9!D:D),0)</f>
        <v>0</v>
      </c>
      <c r="BC157" s="2">
        <v>1.0</v>
      </c>
      <c r="BD157" s="95">
        <f t="array" ref="BD157">XLOOKUP(C157,ROS!C:C,ROS!O:O)</f>
        <v>0</v>
      </c>
      <c r="BE157" s="147" t="str">
        <f t="array" ref="BE157">IFERROR(XLOOKUP(C157,ROS!T:T,ROS!U:U),"")</f>
        <v/>
      </c>
      <c r="BF157" s="147">
        <f t="array" ref="BF157">XLOOKUP(R157,'Refrence Data'!B:B,'Refrence Data'!T:T)</f>
        <v>0.733407</v>
      </c>
      <c r="BG157" s="95">
        <f t="shared" si="19"/>
        <v>0</v>
      </c>
      <c r="BH157" s="4" t="str">
        <f t="shared" si="20"/>
        <v/>
      </c>
      <c r="BO157" s="153"/>
      <c r="BP157" s="153" t="str">
        <f t="shared" si="26"/>
        <v/>
      </c>
      <c r="BQ157" s="153"/>
      <c r="BR157" s="153"/>
      <c r="BS157" s="153"/>
    </row>
    <row r="158">
      <c r="A158" s="171">
        <v>6.281006589896E12</v>
      </c>
      <c r="B158" s="171" t="s">
        <v>3521</v>
      </c>
      <c r="C158" s="137" t="s">
        <v>1348</v>
      </c>
      <c r="D158" s="138" t="s">
        <v>2609</v>
      </c>
      <c r="E158" s="139" t="s">
        <v>2635</v>
      </c>
      <c r="F158" s="140" t="s">
        <v>3593</v>
      </c>
      <c r="G158" s="141">
        <v>1.0</v>
      </c>
      <c r="H158" s="142">
        <v>41.28976</v>
      </c>
      <c r="I158" s="143" t="s">
        <v>111</v>
      </c>
      <c r="J158" s="83"/>
      <c r="K158" s="174">
        <v>730.0</v>
      </c>
      <c r="R158" s="145" t="str">
        <f t="shared" si="1"/>
        <v>Fabric Softeners_25+</v>
      </c>
      <c r="S158" s="146" t="str">
        <f t="shared" si="2"/>
        <v>25+</v>
      </c>
      <c r="T158" s="95" t="str">
        <f t="array" ref="T158">XLOOKUP(C158,'Depth or Width'!P:P,'Depth or Width'!V:V)</f>
        <v>Width</v>
      </c>
      <c r="U158" s="93">
        <f t="shared" si="3"/>
        <v>5</v>
      </c>
      <c r="V158" s="147">
        <f t="array" ref="V158">iferror(XLOOKUP(R158,'Refrence Data'!B:B,'Refrence Data'!W:W),"NA")</f>
        <v>3.999812</v>
      </c>
      <c r="W158" s="95">
        <f t="shared" si="4"/>
        <v>75</v>
      </c>
      <c r="Y158" s="148">
        <f t="array" ref="Y158">IFERROR(XLOOKUP(R158,'Refrence Data'!B:B,'Refrence Data'!N:N),"NA")</f>
        <v>0.54049</v>
      </c>
      <c r="Z158" s="95" t="str">
        <f t="shared" si="5"/>
        <v>MEDIUM</v>
      </c>
      <c r="AA158" s="147">
        <f t="array" ref="AA158">XLOOKUP(R158,'Refrence Data'!B:B,'Refrence Data'!AC:AC)</f>
        <v>5.59645</v>
      </c>
      <c r="AB158" s="147">
        <f t="array" ref="AB158">IFERROR(XLOOKUP(R158,'Refrence Data'!B:B,'Refrence Data'!Y:Y),"NA")</f>
        <v>5.59645</v>
      </c>
      <c r="AC158" s="95" t="str">
        <f t="shared" si="6"/>
        <v>High</v>
      </c>
      <c r="AD158" s="95" t="str">
        <f t="shared" si="7"/>
        <v>Width</v>
      </c>
      <c r="AE158" s="95" t="str">
        <f t="shared" si="8"/>
        <v>MEDIUMHighWidth</v>
      </c>
      <c r="AF158" s="95">
        <f t="array" ref="AF158">XLOOKUP(AE158,'Category Saturation'!A:A,'Category Saturation'!E:E)</f>
        <v>10</v>
      </c>
      <c r="AH158" s="148">
        <f t="array" ref="AH158">iferror(XLOOKUP(R158,'New Launch Success Rate'!A:A,'New Launch Success Rate'!F:F),"NA")</f>
        <v>1</v>
      </c>
      <c r="AI158" s="95">
        <f t="shared" si="9"/>
        <v>100</v>
      </c>
      <c r="AK158" s="149">
        <f t="shared" si="10"/>
        <v>58</v>
      </c>
      <c r="AM158" s="150">
        <f t="array" ref="AM158">XLOOKUP(R158,'Non Moving'!C:C,'Non Moving'!I:I)/100</f>
        <v>0.101</v>
      </c>
      <c r="AN158" s="151">
        <f t="shared" si="11"/>
        <v>75</v>
      </c>
      <c r="AO158" s="150">
        <f t="array" ref="AO158">XLOOKUP(R158,'Non Moving'!C:C,'Non Moving'!F:F)/100</f>
        <v>0.317</v>
      </c>
      <c r="AP158" s="151">
        <f t="shared" si="12"/>
        <v>75</v>
      </c>
      <c r="AR158" s="95">
        <f t="shared" si="13"/>
        <v>75</v>
      </c>
      <c r="AT158" s="95">
        <f t="shared" si="14"/>
        <v>0</v>
      </c>
      <c r="AU158" s="95">
        <f t="array" ref="AU158">iferror(XLOOKUP(J158,Monetization!A:A,Monetization!B:B),25)</f>
        <v>25</v>
      </c>
      <c r="AW158" s="95">
        <f t="shared" si="15"/>
        <v>7.5</v>
      </c>
      <c r="AY158" s="149">
        <f t="shared" si="16"/>
        <v>54.7</v>
      </c>
      <c r="AZ158" s="95" t="str">
        <f t="shared" si="17"/>
        <v>50-75</v>
      </c>
      <c r="BA158" s="95" t="str">
        <f t="shared" si="18"/>
        <v>50-75</v>
      </c>
      <c r="BB158" s="152">
        <f t="array" ref="BB158">iferror(XLOOKUP(C158,Sheet9!A:A,Sheet9!D:D),0)</f>
        <v>0.95</v>
      </c>
      <c r="BC158" s="2">
        <v>1.0</v>
      </c>
      <c r="BD158" s="95">
        <f t="array" ref="BD158">XLOOKUP(C158,ROS!C:C,ROS!O:O)</f>
        <v>1.005952</v>
      </c>
      <c r="BE158" s="147" t="str">
        <f t="array" ref="BE158">IFERROR(XLOOKUP(C158,ROS!T:T,ROS!U:U),"")</f>
        <v/>
      </c>
      <c r="BF158" s="147">
        <f t="array" ref="BF158">XLOOKUP(R158,'Refrence Data'!B:B,'Refrence Data'!T:T)</f>
        <v>2.201068</v>
      </c>
      <c r="BG158" s="95">
        <f t="shared" si="19"/>
        <v>0</v>
      </c>
      <c r="BH158" s="4" t="str">
        <f t="shared" si="20"/>
        <v>FP</v>
      </c>
      <c r="BO158" s="153"/>
      <c r="BP158" s="153" t="str">
        <f t="shared" si="26"/>
        <v>FP</v>
      </c>
      <c r="BQ158" s="153"/>
      <c r="BR158" s="153"/>
      <c r="BS158" s="153"/>
    </row>
    <row r="159">
      <c r="A159" s="171">
        <v>6.291030006306E12</v>
      </c>
      <c r="B159" s="171" t="s">
        <v>3527</v>
      </c>
      <c r="C159" s="137" t="s">
        <v>1058</v>
      </c>
      <c r="D159" s="138" t="s">
        <v>573</v>
      </c>
      <c r="E159" s="139" t="s">
        <v>582</v>
      </c>
      <c r="F159" s="140" t="s">
        <v>3594</v>
      </c>
      <c r="G159" s="141">
        <v>0.0</v>
      </c>
      <c r="H159" s="142">
        <v>11.29108</v>
      </c>
      <c r="I159" s="143" t="s">
        <v>111</v>
      </c>
      <c r="J159" s="83"/>
      <c r="K159" s="174">
        <v>14.0</v>
      </c>
      <c r="R159" s="145" t="str">
        <f t="shared" si="1"/>
        <v>Flavoured Yoghurt_10-15</v>
      </c>
      <c r="S159" s="146" t="str">
        <f t="shared" si="2"/>
        <v>10-15</v>
      </c>
      <c r="T159" s="95" t="str">
        <f t="array" ref="T159">XLOOKUP(C159,'Depth or Width'!P:P,'Depth or Width'!V:V)</f>
        <v>Depth</v>
      </c>
      <c r="U159" s="93">
        <f t="shared" si="3"/>
        <v>11.42857143</v>
      </c>
      <c r="V159" s="147">
        <f t="array" ref="V159">iferror(XLOOKUP(R159,'Refrence Data'!B:B,'Refrence Data'!W:W),"NA")</f>
        <v>17.40411</v>
      </c>
      <c r="W159" s="95">
        <f t="shared" si="4"/>
        <v>100</v>
      </c>
      <c r="Y159" s="148">
        <f t="array" ref="Y159">IFERROR(XLOOKUP(R159,'Refrence Data'!B:B,'Refrence Data'!N:N),"NA")</f>
        <v>0.648366</v>
      </c>
      <c r="Z159" s="95" t="str">
        <f t="shared" si="5"/>
        <v>MEDIUM</v>
      </c>
      <c r="AA159" s="147">
        <f t="array" ref="AA159">XLOOKUP(R159,'Refrence Data'!B:B,'Refrence Data'!AC:AC)</f>
        <v>16.03911</v>
      </c>
      <c r="AB159" s="147">
        <f t="array" ref="AB159">IFERROR(XLOOKUP(R159,'Refrence Data'!B:B,'Refrence Data'!Y:Y),"NA")</f>
        <v>16.03911</v>
      </c>
      <c r="AC159" s="95" t="str">
        <f t="shared" si="6"/>
        <v>High</v>
      </c>
      <c r="AD159" s="95" t="str">
        <f t="shared" si="7"/>
        <v>Depth</v>
      </c>
      <c r="AE159" s="95" t="str">
        <f t="shared" si="8"/>
        <v>MEDIUMHighDepth</v>
      </c>
      <c r="AF159" s="95">
        <f t="array" ref="AF159">XLOOKUP(AE159,'Category Saturation'!A:A,'Category Saturation'!E:E)</f>
        <v>60</v>
      </c>
      <c r="AH159" s="148">
        <f t="array" ref="AH159">iferror(XLOOKUP(R159,'New Launch Success Rate'!A:A,'New Launch Success Rate'!F:F),"NA")</f>
        <v>0.3335</v>
      </c>
      <c r="AI159" s="95">
        <f t="shared" si="9"/>
        <v>25</v>
      </c>
      <c r="AK159" s="149">
        <f t="shared" si="10"/>
        <v>80.5</v>
      </c>
      <c r="AM159" s="150">
        <f t="array" ref="AM159">XLOOKUP(R159,'Non Moving'!C:C,'Non Moving'!I:I)/100</f>
        <v>0.028</v>
      </c>
      <c r="AN159" s="151">
        <f t="shared" si="11"/>
        <v>100</v>
      </c>
      <c r="AO159" s="150">
        <f t="array" ref="AO159">XLOOKUP(R159,'Non Moving'!C:C,'Non Moving'!F:F)/100</f>
        <v>0.134</v>
      </c>
      <c r="AP159" s="151">
        <f t="shared" si="12"/>
        <v>100</v>
      </c>
      <c r="AR159" s="95">
        <f t="shared" si="13"/>
        <v>100</v>
      </c>
      <c r="AT159" s="95">
        <f t="shared" si="14"/>
        <v>0</v>
      </c>
      <c r="AU159" s="95">
        <f t="array" ref="AU159">iferror(XLOOKUP(J159,Monetization!A:A,Monetization!B:B),25)</f>
        <v>25</v>
      </c>
      <c r="AW159" s="95">
        <f t="shared" si="15"/>
        <v>7.5</v>
      </c>
      <c r="AY159" s="149">
        <f t="shared" si="16"/>
        <v>73.7</v>
      </c>
      <c r="AZ159" s="95" t="str">
        <f t="shared" si="17"/>
        <v>50-75</v>
      </c>
      <c r="BA159" s="95" t="str">
        <f t="shared" si="18"/>
        <v>75-100</v>
      </c>
      <c r="BB159" s="152">
        <f t="array" ref="BB159">iferror(XLOOKUP(C159,Sheet9!A:A,Sheet9!D:D),0)</f>
        <v>0.5</v>
      </c>
      <c r="BC159" s="2">
        <v>1.0</v>
      </c>
      <c r="BD159" s="95">
        <f t="array" ref="BD159">XLOOKUP(C159,ROS!C:C,ROS!O:O)</f>
        <v>21.38597</v>
      </c>
      <c r="BE159" s="147">
        <f t="array" ref="BE159">IFERROR(XLOOKUP(C159,ROS!T:T,ROS!U:U),"")</f>
        <v>9.234920635</v>
      </c>
      <c r="BF159" s="147">
        <f t="array" ref="BF159">XLOOKUP(R159,'Refrence Data'!B:B,'Refrence Data'!T:T)</f>
        <v>7.353783</v>
      </c>
      <c r="BG159" s="95">
        <f t="shared" si="19"/>
        <v>1</v>
      </c>
      <c r="BH159" s="4" t="str">
        <f t="shared" si="20"/>
        <v/>
      </c>
      <c r="BO159" s="153"/>
      <c r="BP159" s="153" t="str">
        <f t="shared" si="26"/>
        <v/>
      </c>
      <c r="BQ159" s="153"/>
      <c r="BR159" s="153"/>
      <c r="BS159" s="153"/>
    </row>
    <row r="160">
      <c r="A160" s="171">
        <v>6.291109429586E12</v>
      </c>
      <c r="B160" s="171" t="s">
        <v>3521</v>
      </c>
      <c r="C160" s="137" t="s">
        <v>1059</v>
      </c>
      <c r="D160" s="138" t="s">
        <v>601</v>
      </c>
      <c r="E160" s="139" t="s">
        <v>609</v>
      </c>
      <c r="F160" s="140" t="s">
        <v>3560</v>
      </c>
      <c r="G160" s="141">
        <v>12.0</v>
      </c>
      <c r="H160" s="142">
        <v>59.95263</v>
      </c>
      <c r="I160" s="143" t="s">
        <v>111</v>
      </c>
      <c r="J160" s="83"/>
      <c r="K160" s="174">
        <v>720.0</v>
      </c>
      <c r="R160" s="145" t="str">
        <f t="shared" si="1"/>
        <v>Oils_25+</v>
      </c>
      <c r="S160" s="146" t="str">
        <f t="shared" si="2"/>
        <v>25+</v>
      </c>
      <c r="T160" s="95" t="str">
        <f t="array" ref="T160">XLOOKUP(C160,'Depth or Width'!P:P,'Depth or Width'!V:V)</f>
        <v>Width</v>
      </c>
      <c r="U160" s="93">
        <f t="shared" si="3"/>
        <v>5</v>
      </c>
      <c r="V160" s="147">
        <f t="array" ref="V160">iferror(XLOOKUP(R160,'Refrence Data'!B:B,'Refrence Data'!W:W),"NA")</f>
        <v>1.380511</v>
      </c>
      <c r="W160" s="95">
        <f t="shared" si="4"/>
        <v>0</v>
      </c>
      <c r="Y160" s="148">
        <f t="array" ref="Y160">IFERROR(XLOOKUP(R160,'Refrence Data'!B:B,'Refrence Data'!N:N),"NA")</f>
        <v>0.692786</v>
      </c>
      <c r="Z160" s="95" t="str">
        <f t="shared" si="5"/>
        <v>MEDIUM</v>
      </c>
      <c r="AA160" s="147">
        <f t="array" ref="AA160">XLOOKUP(R160,'Refrence Data'!B:B,'Refrence Data'!AC:AC)</f>
        <v>5.976514</v>
      </c>
      <c r="AB160" s="147">
        <f t="array" ref="AB160">IFERROR(XLOOKUP(R160,'Refrence Data'!B:B,'Refrence Data'!Y:Y),"NA")</f>
        <v>3.009985</v>
      </c>
      <c r="AC160" s="95" t="str">
        <f t="shared" si="6"/>
        <v>High</v>
      </c>
      <c r="AD160" s="95" t="str">
        <f t="shared" si="7"/>
        <v>Width</v>
      </c>
      <c r="AE160" s="95" t="str">
        <f t="shared" si="8"/>
        <v>MEDIUMHighWidth</v>
      </c>
      <c r="AF160" s="95">
        <f t="array" ref="AF160">XLOOKUP(AE160,'Category Saturation'!A:A,'Category Saturation'!E:E)</f>
        <v>10</v>
      </c>
      <c r="AH160" s="148">
        <f t="array" ref="AH160">iferror(XLOOKUP(R160,'New Launch Success Rate'!A:A,'New Launch Success Rate'!F:F),"NA")</f>
        <v>0.5</v>
      </c>
      <c r="AI160" s="95">
        <f t="shared" si="9"/>
        <v>50</v>
      </c>
      <c r="AK160" s="149">
        <f t="shared" si="10"/>
        <v>8</v>
      </c>
      <c r="AM160" s="150">
        <f t="array" ref="AM160">XLOOKUP(R160,'Non Moving'!C:C,'Non Moving'!I:I)/100</f>
        <v>0.178</v>
      </c>
      <c r="AN160" s="151">
        <f t="shared" si="11"/>
        <v>50</v>
      </c>
      <c r="AO160" s="150">
        <f t="array" ref="AO160">XLOOKUP(R160,'Non Moving'!C:C,'Non Moving'!F:F)/100</f>
        <v>0.326</v>
      </c>
      <c r="AP160" s="151">
        <f t="shared" si="12"/>
        <v>75</v>
      </c>
      <c r="AR160" s="95">
        <f t="shared" si="13"/>
        <v>62.5</v>
      </c>
      <c r="AT160" s="95">
        <f t="shared" si="14"/>
        <v>0</v>
      </c>
      <c r="AU160" s="95">
        <f t="array" ref="AU160">iferror(XLOOKUP(J160,Monetization!A:A,Monetization!B:B),25)</f>
        <v>25</v>
      </c>
      <c r="AW160" s="95">
        <f t="shared" si="15"/>
        <v>7.5</v>
      </c>
      <c r="AY160" s="149">
        <f t="shared" si="16"/>
        <v>29.7</v>
      </c>
      <c r="AZ160" s="95" t="str">
        <f t="shared" si="17"/>
        <v>25-50</v>
      </c>
      <c r="BA160" s="95" t="str">
        <f t="shared" si="18"/>
        <v>0-25</v>
      </c>
      <c r="BB160" s="152">
        <f t="array" ref="BB160">iferror(XLOOKUP(C160,Sheet9!A:A,Sheet9!D:D),0)</f>
        <v>0.92</v>
      </c>
      <c r="BC160" s="2">
        <v>1.0</v>
      </c>
      <c r="BD160" s="95">
        <f t="array" ref="BD160">XLOOKUP(C160,ROS!C:C,ROS!O:O)</f>
        <v>0</v>
      </c>
      <c r="BE160" s="147">
        <f t="array" ref="BE160">IFERROR(XLOOKUP(C160,ROS!T:T,ROS!U:U),"")</f>
        <v>0</v>
      </c>
      <c r="BF160" s="147">
        <f t="array" ref="BF160">XLOOKUP(R160,'Refrence Data'!B:B,'Refrence Data'!T:T)</f>
        <v>0.358954</v>
      </c>
      <c r="BG160" s="95">
        <f t="shared" si="19"/>
        <v>0</v>
      </c>
      <c r="BH160" s="4" t="str">
        <f t="shared" si="20"/>
        <v>TN</v>
      </c>
      <c r="BO160" s="153"/>
      <c r="BP160" s="153" t="str">
        <f t="shared" si="26"/>
        <v>TN</v>
      </c>
      <c r="BQ160" s="153"/>
      <c r="BR160" s="153"/>
      <c r="BS160" s="153"/>
    </row>
    <row r="161">
      <c r="A161" s="171">
        <v>6.291109429555E12</v>
      </c>
      <c r="B161" s="171" t="s">
        <v>3521</v>
      </c>
      <c r="C161" s="137" t="s">
        <v>1061</v>
      </c>
      <c r="D161" s="138" t="s">
        <v>601</v>
      </c>
      <c r="E161" s="139" t="s">
        <v>609</v>
      </c>
      <c r="F161" s="140" t="s">
        <v>3560</v>
      </c>
      <c r="G161" s="141">
        <v>24.0</v>
      </c>
      <c r="H161" s="142">
        <v>31.72493</v>
      </c>
      <c r="I161" s="143" t="s">
        <v>111</v>
      </c>
      <c r="J161" s="83"/>
      <c r="K161" s="174">
        <v>720.0</v>
      </c>
      <c r="R161" s="145" t="str">
        <f t="shared" si="1"/>
        <v>Oils_25+</v>
      </c>
      <c r="S161" s="146" t="str">
        <f t="shared" si="2"/>
        <v>25+</v>
      </c>
      <c r="T161" s="95" t="str">
        <f t="array" ref="T161">XLOOKUP(C161,'Depth or Width'!P:P,'Depth or Width'!V:V)</f>
        <v>Width</v>
      </c>
      <c r="U161" s="93">
        <f t="shared" si="3"/>
        <v>5</v>
      </c>
      <c r="V161" s="147">
        <f t="array" ref="V161">iferror(XLOOKUP(R161,'Refrence Data'!B:B,'Refrence Data'!W:W),"NA")</f>
        <v>1.380511</v>
      </c>
      <c r="W161" s="95">
        <f t="shared" si="4"/>
        <v>0</v>
      </c>
      <c r="Y161" s="148">
        <f t="array" ref="Y161">IFERROR(XLOOKUP(R161,'Refrence Data'!B:B,'Refrence Data'!N:N),"NA")</f>
        <v>0.692786</v>
      </c>
      <c r="Z161" s="95" t="str">
        <f t="shared" si="5"/>
        <v>MEDIUM</v>
      </c>
      <c r="AA161" s="147">
        <f t="array" ref="AA161">XLOOKUP(R161,'Refrence Data'!B:B,'Refrence Data'!AC:AC)</f>
        <v>5.976514</v>
      </c>
      <c r="AB161" s="147">
        <f t="array" ref="AB161">IFERROR(XLOOKUP(R161,'Refrence Data'!B:B,'Refrence Data'!Y:Y),"NA")</f>
        <v>3.009985</v>
      </c>
      <c r="AC161" s="95" t="str">
        <f t="shared" si="6"/>
        <v>High</v>
      </c>
      <c r="AD161" s="95" t="str">
        <f t="shared" si="7"/>
        <v>Width</v>
      </c>
      <c r="AE161" s="95" t="str">
        <f t="shared" si="8"/>
        <v>MEDIUMHighWidth</v>
      </c>
      <c r="AF161" s="95">
        <f t="array" ref="AF161">XLOOKUP(AE161,'Category Saturation'!A:A,'Category Saturation'!E:E)</f>
        <v>10</v>
      </c>
      <c r="AH161" s="148">
        <f t="array" ref="AH161">iferror(XLOOKUP(R161,'New Launch Success Rate'!A:A,'New Launch Success Rate'!F:F),"NA")</f>
        <v>0.5</v>
      </c>
      <c r="AI161" s="95">
        <f t="shared" si="9"/>
        <v>50</v>
      </c>
      <c r="AK161" s="149">
        <f t="shared" si="10"/>
        <v>8</v>
      </c>
      <c r="AM161" s="150">
        <f t="array" ref="AM161">XLOOKUP(R161,'Non Moving'!C:C,'Non Moving'!I:I)/100</f>
        <v>0.178</v>
      </c>
      <c r="AN161" s="151">
        <f t="shared" si="11"/>
        <v>50</v>
      </c>
      <c r="AO161" s="150">
        <f t="array" ref="AO161">XLOOKUP(R161,'Non Moving'!C:C,'Non Moving'!F:F)/100</f>
        <v>0.326</v>
      </c>
      <c r="AP161" s="151">
        <f t="shared" si="12"/>
        <v>75</v>
      </c>
      <c r="AR161" s="95">
        <f t="shared" si="13"/>
        <v>62.5</v>
      </c>
      <c r="AT161" s="95">
        <f t="shared" si="14"/>
        <v>0</v>
      </c>
      <c r="AU161" s="95">
        <f t="array" ref="AU161">iferror(XLOOKUP(J161,Monetization!A:A,Monetization!B:B),25)</f>
        <v>25</v>
      </c>
      <c r="AW161" s="95">
        <f t="shared" si="15"/>
        <v>7.5</v>
      </c>
      <c r="AY161" s="149">
        <f t="shared" si="16"/>
        <v>29.7</v>
      </c>
      <c r="AZ161" s="95" t="str">
        <f t="shared" si="17"/>
        <v>25-50</v>
      </c>
      <c r="BA161" s="95" t="str">
        <f t="shared" si="18"/>
        <v>0-25</v>
      </c>
      <c r="BB161" s="152">
        <f t="array" ref="BB161">iferror(XLOOKUP(C161,Sheet9!A:A,Sheet9!D:D),0)</f>
        <v>1</v>
      </c>
      <c r="BC161" s="2">
        <v>1.0</v>
      </c>
      <c r="BD161" s="95">
        <f t="array" ref="BD161">XLOOKUP(C161,ROS!C:C,ROS!O:O)</f>
        <v>0</v>
      </c>
      <c r="BE161" s="147">
        <f t="array" ref="BE161">IFERROR(XLOOKUP(C161,ROS!T:T,ROS!U:U),"")</f>
        <v>0</v>
      </c>
      <c r="BF161" s="147">
        <f t="array" ref="BF161">XLOOKUP(R161,'Refrence Data'!B:B,'Refrence Data'!T:T)</f>
        <v>0.358954</v>
      </c>
      <c r="BG161" s="95">
        <f t="shared" si="19"/>
        <v>0</v>
      </c>
      <c r="BH161" s="4" t="str">
        <f t="shared" si="20"/>
        <v>TN</v>
      </c>
      <c r="BO161" s="153"/>
      <c r="BP161" s="153" t="str">
        <f t="shared" si="26"/>
        <v>TN</v>
      </c>
      <c r="BQ161" s="153"/>
      <c r="BR161" s="153"/>
      <c r="BS161" s="153"/>
    </row>
    <row r="162">
      <c r="A162" s="171">
        <v>6.298042161795E12</v>
      </c>
      <c r="B162" s="171" t="s">
        <v>3521</v>
      </c>
      <c r="C162" s="137" t="s">
        <v>1062</v>
      </c>
      <c r="D162" s="138" t="s">
        <v>601</v>
      </c>
      <c r="E162" s="139" t="s">
        <v>1063</v>
      </c>
      <c r="F162" s="140" t="s">
        <v>3595</v>
      </c>
      <c r="G162" s="141">
        <v>500.0</v>
      </c>
      <c r="H162" s="142">
        <v>4.01968</v>
      </c>
      <c r="I162" s="143" t="s">
        <v>112</v>
      </c>
      <c r="J162" s="83"/>
      <c r="K162" s="174">
        <v>365.0</v>
      </c>
      <c r="R162" s="145" t="str">
        <f t="shared" si="1"/>
        <v>Seasoning &amp; Spices_0-5</v>
      </c>
      <c r="S162" s="146" t="str">
        <f t="shared" si="2"/>
        <v>0-5</v>
      </c>
      <c r="T162" s="95" t="str">
        <f t="array" ref="T162">XLOOKUP(C162,'Depth or Width'!P:P,'Depth or Width'!V:V)</f>
        <v>Depth</v>
      </c>
      <c r="U162" s="93">
        <f t="shared" si="3"/>
        <v>16.66666667</v>
      </c>
      <c r="V162" s="147">
        <f t="array" ref="V162">iferror(XLOOKUP(R162,'Refrence Data'!B:B,'Refrence Data'!W:W),"NA")</f>
        <v>2.453327</v>
      </c>
      <c r="W162" s="95">
        <f t="shared" si="4"/>
        <v>0</v>
      </c>
      <c r="Y162" s="148">
        <f t="array" ref="Y162">IFERROR(XLOOKUP(R162,'Refrence Data'!B:B,'Refrence Data'!N:N),"NA")</f>
        <v>0.556583</v>
      </c>
      <c r="Z162" s="95" t="str">
        <f t="shared" si="5"/>
        <v>MEDIUM</v>
      </c>
      <c r="AA162" s="147">
        <f t="array" ref="AA162">XLOOKUP(R162,'Refrence Data'!B:B,'Refrence Data'!AC:AC)</f>
        <v>2.123224</v>
      </c>
      <c r="AB162" s="147">
        <f t="array" ref="AB162">IFERROR(XLOOKUP(R162,'Refrence Data'!B:B,'Refrence Data'!Y:Y),"NA")</f>
        <v>2.323907</v>
      </c>
      <c r="AC162" s="95" t="str">
        <f t="shared" si="6"/>
        <v>High</v>
      </c>
      <c r="AD162" s="95" t="str">
        <f t="shared" si="7"/>
        <v>Depth</v>
      </c>
      <c r="AE162" s="95" t="str">
        <f t="shared" si="8"/>
        <v>MEDIUMHighDepth</v>
      </c>
      <c r="AF162" s="95">
        <f t="array" ref="AF162">XLOOKUP(AE162,'Category Saturation'!A:A,'Category Saturation'!E:E)</f>
        <v>60</v>
      </c>
      <c r="AH162" s="148">
        <f t="array" ref="AH162">iferror(XLOOKUP(R162,'New Launch Success Rate'!A:A,'New Launch Success Rate'!F:F),"NA")</f>
        <v>0.923</v>
      </c>
      <c r="AI162" s="95">
        <f t="shared" si="9"/>
        <v>100</v>
      </c>
      <c r="AK162" s="149">
        <f t="shared" si="10"/>
        <v>28</v>
      </c>
      <c r="AM162" s="150">
        <f t="array" ref="AM162">XLOOKUP(R162,'Non Moving'!C:C,'Non Moving'!I:I)/100</f>
        <v>0.116</v>
      </c>
      <c r="AN162" s="151">
        <f t="shared" si="11"/>
        <v>75</v>
      </c>
      <c r="AO162" s="150">
        <f t="array" ref="AO162">XLOOKUP(R162,'Non Moving'!C:C,'Non Moving'!F:F)/100</f>
        <v>0.237</v>
      </c>
      <c r="AP162" s="151">
        <f t="shared" si="12"/>
        <v>100</v>
      </c>
      <c r="AR162" s="95">
        <f t="shared" si="13"/>
        <v>87.5</v>
      </c>
      <c r="AT162" s="95">
        <f t="shared" si="14"/>
        <v>100</v>
      </c>
      <c r="AU162" s="95">
        <f t="array" ref="AU162">iferror(XLOOKUP(J162,Monetization!A:A,Monetization!B:B),25)</f>
        <v>25</v>
      </c>
      <c r="AW162" s="95">
        <f t="shared" si="15"/>
        <v>77.5</v>
      </c>
      <c r="AY162" s="149">
        <f t="shared" si="16"/>
        <v>61.7</v>
      </c>
      <c r="AZ162" s="95" t="str">
        <f t="shared" si="17"/>
        <v>50-75</v>
      </c>
      <c r="BA162" s="95" t="str">
        <f t="shared" si="18"/>
        <v>25-50</v>
      </c>
      <c r="BB162" s="152">
        <f t="array" ref="BB162">iferror(XLOOKUP(C162,Sheet9!A:A,Sheet9!D:D),0)</f>
        <v>0.76</v>
      </c>
      <c r="BC162" s="2">
        <v>1.0</v>
      </c>
      <c r="BD162" s="95">
        <f t="array" ref="BD162">XLOOKUP(C162,ROS!C:C,ROS!O:O)</f>
        <v>11.33333</v>
      </c>
      <c r="BE162" s="147">
        <f t="array" ref="BE162">IFERROR(XLOOKUP(C162,ROS!T:T,ROS!U:U),"")</f>
        <v>10.89596792</v>
      </c>
      <c r="BF162" s="147">
        <f t="array" ref="BF162">XLOOKUP(R162,'Refrence Data'!B:B,'Refrence Data'!T:T)</f>
        <v>0.266667</v>
      </c>
      <c r="BG162" s="95">
        <f t="shared" si="19"/>
        <v>1</v>
      </c>
      <c r="BH162" s="4" t="str">
        <f t="shared" si="20"/>
        <v>FN</v>
      </c>
      <c r="BO162" s="153"/>
      <c r="BP162" s="153" t="str">
        <f t="shared" si="26"/>
        <v>TP</v>
      </c>
      <c r="BQ162" s="153"/>
      <c r="BR162" s="153"/>
      <c r="BS162" s="153"/>
    </row>
    <row r="163">
      <c r="A163" s="171">
        <v>6.298042161788E12</v>
      </c>
      <c r="B163" s="171" t="s">
        <v>3521</v>
      </c>
      <c r="C163" s="137" t="s">
        <v>1065</v>
      </c>
      <c r="D163" s="138" t="s">
        <v>601</v>
      </c>
      <c r="E163" s="139" t="s">
        <v>1063</v>
      </c>
      <c r="F163" s="140" t="s">
        <v>3595</v>
      </c>
      <c r="G163" s="141">
        <v>500.0</v>
      </c>
      <c r="H163" s="142">
        <v>4.446244</v>
      </c>
      <c r="I163" s="143" t="s">
        <v>112</v>
      </c>
      <c r="J163" s="83"/>
      <c r="K163" s="174">
        <v>365.0</v>
      </c>
      <c r="R163" s="145" t="str">
        <f t="shared" si="1"/>
        <v>Seasoning &amp; Spices_0-5</v>
      </c>
      <c r="S163" s="146" t="str">
        <f t="shared" si="2"/>
        <v>0-5</v>
      </c>
      <c r="T163" s="95" t="str">
        <f t="array" ref="T163">XLOOKUP(C163,'Depth or Width'!P:P,'Depth or Width'!V:V)</f>
        <v>Depth</v>
      </c>
      <c r="U163" s="93">
        <f t="shared" si="3"/>
        <v>16.66666667</v>
      </c>
      <c r="V163" s="147">
        <f t="array" ref="V163">iferror(XLOOKUP(R163,'Refrence Data'!B:B,'Refrence Data'!W:W),"NA")</f>
        <v>2.453327</v>
      </c>
      <c r="W163" s="95">
        <f t="shared" si="4"/>
        <v>0</v>
      </c>
      <c r="Y163" s="148">
        <f t="array" ref="Y163">IFERROR(XLOOKUP(R163,'Refrence Data'!B:B,'Refrence Data'!N:N),"NA")</f>
        <v>0.556583</v>
      </c>
      <c r="Z163" s="95" t="str">
        <f t="shared" si="5"/>
        <v>MEDIUM</v>
      </c>
      <c r="AA163" s="147">
        <f t="array" ref="AA163">XLOOKUP(R163,'Refrence Data'!B:B,'Refrence Data'!AC:AC)</f>
        <v>2.123224</v>
      </c>
      <c r="AB163" s="147">
        <f t="array" ref="AB163">IFERROR(XLOOKUP(R163,'Refrence Data'!B:B,'Refrence Data'!Y:Y),"NA")</f>
        <v>2.323907</v>
      </c>
      <c r="AC163" s="95" t="str">
        <f t="shared" si="6"/>
        <v>High</v>
      </c>
      <c r="AD163" s="95" t="str">
        <f t="shared" si="7"/>
        <v>Depth</v>
      </c>
      <c r="AE163" s="95" t="str">
        <f t="shared" si="8"/>
        <v>MEDIUMHighDepth</v>
      </c>
      <c r="AF163" s="95">
        <f t="array" ref="AF163">XLOOKUP(AE163,'Category Saturation'!A:A,'Category Saturation'!E:E)</f>
        <v>60</v>
      </c>
      <c r="AH163" s="148">
        <f t="array" ref="AH163">iferror(XLOOKUP(R163,'New Launch Success Rate'!A:A,'New Launch Success Rate'!F:F),"NA")</f>
        <v>0.923</v>
      </c>
      <c r="AI163" s="95">
        <f t="shared" si="9"/>
        <v>100</v>
      </c>
      <c r="AK163" s="149">
        <f t="shared" si="10"/>
        <v>28</v>
      </c>
      <c r="AM163" s="150">
        <f t="array" ref="AM163">XLOOKUP(R163,'Non Moving'!C:C,'Non Moving'!I:I)/100</f>
        <v>0.116</v>
      </c>
      <c r="AN163" s="151">
        <f t="shared" si="11"/>
        <v>75</v>
      </c>
      <c r="AO163" s="150">
        <f t="array" ref="AO163">XLOOKUP(R163,'Non Moving'!C:C,'Non Moving'!F:F)/100</f>
        <v>0.237</v>
      </c>
      <c r="AP163" s="151">
        <f t="shared" si="12"/>
        <v>100</v>
      </c>
      <c r="AR163" s="95">
        <f t="shared" si="13"/>
        <v>87.5</v>
      </c>
      <c r="AT163" s="95">
        <f t="shared" si="14"/>
        <v>100</v>
      </c>
      <c r="AU163" s="95">
        <f t="array" ref="AU163">iferror(XLOOKUP(J163,Monetization!A:A,Monetization!B:B),25)</f>
        <v>25</v>
      </c>
      <c r="AW163" s="95">
        <f t="shared" si="15"/>
        <v>77.5</v>
      </c>
      <c r="AY163" s="149">
        <f t="shared" si="16"/>
        <v>61.7</v>
      </c>
      <c r="AZ163" s="95" t="str">
        <f t="shared" si="17"/>
        <v>50-75</v>
      </c>
      <c r="BA163" s="95" t="str">
        <f t="shared" si="18"/>
        <v>25-50</v>
      </c>
      <c r="BB163" s="152">
        <f t="array" ref="BB163">iferror(XLOOKUP(C163,Sheet9!A:A,Sheet9!D:D),0)</f>
        <v>0.89</v>
      </c>
      <c r="BC163" s="2">
        <v>1.0</v>
      </c>
      <c r="BD163" s="95">
        <f t="array" ref="BD163">XLOOKUP(C163,ROS!C:C,ROS!O:O)</f>
        <v>0</v>
      </c>
      <c r="BE163" s="147">
        <f t="array" ref="BE163">IFERROR(XLOOKUP(C163,ROS!T:T,ROS!U:U),"")</f>
        <v>2.070887446</v>
      </c>
      <c r="BF163" s="147">
        <f t="array" ref="BF163">XLOOKUP(R163,'Refrence Data'!B:B,'Refrence Data'!T:T)</f>
        <v>0.266667</v>
      </c>
      <c r="BG163" s="95">
        <f t="shared" si="19"/>
        <v>1</v>
      </c>
      <c r="BH163" s="4" t="str">
        <f t="shared" si="20"/>
        <v>FN</v>
      </c>
      <c r="BO163" s="153"/>
      <c r="BP163" s="153" t="str">
        <f t="shared" si="26"/>
        <v>TP</v>
      </c>
      <c r="BQ163" s="153"/>
      <c r="BR163" s="153"/>
      <c r="BS163" s="153"/>
    </row>
    <row r="164">
      <c r="A164" s="171">
        <v>6.298042161771E12</v>
      </c>
      <c r="B164" s="171" t="s">
        <v>3521</v>
      </c>
      <c r="C164" s="137" t="s">
        <v>1066</v>
      </c>
      <c r="D164" s="138" t="s">
        <v>601</v>
      </c>
      <c r="E164" s="139" t="s">
        <v>1063</v>
      </c>
      <c r="F164" s="140" t="s">
        <v>3595</v>
      </c>
      <c r="G164" s="141">
        <v>500.0</v>
      </c>
      <c r="H164" s="142">
        <v>4.507153</v>
      </c>
      <c r="I164" s="143" t="s">
        <v>112</v>
      </c>
      <c r="J164" s="83"/>
      <c r="K164" s="174">
        <v>365.0</v>
      </c>
      <c r="R164" s="145" t="str">
        <f t="shared" si="1"/>
        <v>Seasoning &amp; Spices_0-5</v>
      </c>
      <c r="S164" s="146" t="str">
        <f t="shared" si="2"/>
        <v>0-5</v>
      </c>
      <c r="T164" s="95" t="str">
        <f t="array" ref="T164">XLOOKUP(C164,'Depth or Width'!P:P,'Depth or Width'!V:V)</f>
        <v>Depth</v>
      </c>
      <c r="U164" s="93">
        <f t="shared" si="3"/>
        <v>16.66666667</v>
      </c>
      <c r="V164" s="147">
        <f t="array" ref="V164">iferror(XLOOKUP(R164,'Refrence Data'!B:B,'Refrence Data'!W:W),"NA")</f>
        <v>2.453327</v>
      </c>
      <c r="W164" s="95">
        <f t="shared" si="4"/>
        <v>0</v>
      </c>
      <c r="Y164" s="148">
        <f t="array" ref="Y164">IFERROR(XLOOKUP(R164,'Refrence Data'!B:B,'Refrence Data'!N:N),"NA")</f>
        <v>0.556583</v>
      </c>
      <c r="Z164" s="95" t="str">
        <f t="shared" si="5"/>
        <v>MEDIUM</v>
      </c>
      <c r="AA164" s="147">
        <f t="array" ref="AA164">XLOOKUP(R164,'Refrence Data'!B:B,'Refrence Data'!AC:AC)</f>
        <v>2.123224</v>
      </c>
      <c r="AB164" s="147">
        <f t="array" ref="AB164">IFERROR(XLOOKUP(R164,'Refrence Data'!B:B,'Refrence Data'!Y:Y),"NA")</f>
        <v>2.323907</v>
      </c>
      <c r="AC164" s="95" t="str">
        <f t="shared" si="6"/>
        <v>High</v>
      </c>
      <c r="AD164" s="95" t="str">
        <f t="shared" si="7"/>
        <v>Depth</v>
      </c>
      <c r="AE164" s="95" t="str">
        <f t="shared" si="8"/>
        <v>MEDIUMHighDepth</v>
      </c>
      <c r="AF164" s="95">
        <f t="array" ref="AF164">XLOOKUP(AE164,'Category Saturation'!A:A,'Category Saturation'!E:E)</f>
        <v>60</v>
      </c>
      <c r="AH164" s="148">
        <f t="array" ref="AH164">iferror(XLOOKUP(R164,'New Launch Success Rate'!A:A,'New Launch Success Rate'!F:F),"NA")</f>
        <v>0.923</v>
      </c>
      <c r="AI164" s="95">
        <f t="shared" si="9"/>
        <v>100</v>
      </c>
      <c r="AK164" s="149">
        <f t="shared" si="10"/>
        <v>28</v>
      </c>
      <c r="AM164" s="150">
        <f t="array" ref="AM164">XLOOKUP(R164,'Non Moving'!C:C,'Non Moving'!I:I)/100</f>
        <v>0.116</v>
      </c>
      <c r="AN164" s="151">
        <f t="shared" si="11"/>
        <v>75</v>
      </c>
      <c r="AO164" s="150">
        <f t="array" ref="AO164">XLOOKUP(R164,'Non Moving'!C:C,'Non Moving'!F:F)/100</f>
        <v>0.237</v>
      </c>
      <c r="AP164" s="151">
        <f t="shared" si="12"/>
        <v>100</v>
      </c>
      <c r="AR164" s="95">
        <f t="shared" si="13"/>
        <v>87.5</v>
      </c>
      <c r="AT164" s="95">
        <f t="shared" si="14"/>
        <v>100</v>
      </c>
      <c r="AU164" s="95">
        <f t="array" ref="AU164">iferror(XLOOKUP(J164,Monetization!A:A,Monetization!B:B),25)</f>
        <v>25</v>
      </c>
      <c r="AW164" s="95">
        <f t="shared" si="15"/>
        <v>77.5</v>
      </c>
      <c r="AY164" s="149">
        <f t="shared" si="16"/>
        <v>61.7</v>
      </c>
      <c r="AZ164" s="95" t="str">
        <f t="shared" si="17"/>
        <v>50-75</v>
      </c>
      <c r="BA164" s="95" t="str">
        <f t="shared" si="18"/>
        <v>25-50</v>
      </c>
      <c r="BB164" s="152">
        <f t="array" ref="BB164">iferror(XLOOKUP(C164,Sheet9!A:A,Sheet9!D:D),0)</f>
        <v>0.87</v>
      </c>
      <c r="BC164" s="2">
        <v>1.0</v>
      </c>
      <c r="BD164" s="95">
        <f t="array" ref="BD164">XLOOKUP(C164,ROS!C:C,ROS!O:O)</f>
        <v>6.502381</v>
      </c>
      <c r="BE164" s="147">
        <f t="array" ref="BE164">IFERROR(XLOOKUP(C164,ROS!T:T,ROS!U:U),"")</f>
        <v>2.433513709</v>
      </c>
      <c r="BF164" s="147">
        <f t="array" ref="BF164">XLOOKUP(R164,'Refrence Data'!B:B,'Refrence Data'!T:T)</f>
        <v>0.266667</v>
      </c>
      <c r="BG164" s="95">
        <f t="shared" si="19"/>
        <v>1</v>
      </c>
      <c r="BH164" s="4" t="str">
        <f t="shared" si="20"/>
        <v>FN</v>
      </c>
      <c r="BO164" s="153"/>
      <c r="BP164" s="153" t="str">
        <f t="shared" si="26"/>
        <v>TP</v>
      </c>
      <c r="BQ164" s="153"/>
      <c r="BR164" s="153"/>
      <c r="BS164" s="153"/>
    </row>
    <row r="165">
      <c r="A165" s="171">
        <v>6.298042161764E12</v>
      </c>
      <c r="B165" s="171" t="s">
        <v>3521</v>
      </c>
      <c r="C165" s="137" t="s">
        <v>1067</v>
      </c>
      <c r="D165" s="138" t="s">
        <v>601</v>
      </c>
      <c r="E165" s="139" t="s">
        <v>1063</v>
      </c>
      <c r="F165" s="140" t="s">
        <v>3595</v>
      </c>
      <c r="G165" s="141">
        <v>500.0</v>
      </c>
      <c r="H165" s="142">
        <v>5.645232</v>
      </c>
      <c r="I165" s="143" t="s">
        <v>112</v>
      </c>
      <c r="J165" s="83"/>
      <c r="K165" s="174">
        <v>365.0</v>
      </c>
      <c r="R165" s="145" t="str">
        <f t="shared" si="1"/>
        <v>Seasoning &amp; Spices_5-10</v>
      </c>
      <c r="S165" s="146" t="str">
        <f t="shared" si="2"/>
        <v>5-10</v>
      </c>
      <c r="T165" s="95" t="str">
        <f t="array" ref="T165">XLOOKUP(C165,'Depth or Width'!P:P,'Depth or Width'!V:V)</f>
        <v>Depth</v>
      </c>
      <c r="U165" s="93">
        <f t="shared" si="3"/>
        <v>16.66666667</v>
      </c>
      <c r="V165" s="147">
        <f t="array" ref="V165">iferror(XLOOKUP(R165,'Refrence Data'!B:B,'Refrence Data'!W:W),"NA")</f>
        <v>2.603554</v>
      </c>
      <c r="W165" s="95">
        <f t="shared" si="4"/>
        <v>0</v>
      </c>
      <c r="Y165" s="148">
        <f t="array" ref="Y165">IFERROR(XLOOKUP(R165,'Refrence Data'!B:B,'Refrence Data'!N:N),"NA")</f>
        <v>0.644292</v>
      </c>
      <c r="Z165" s="95" t="str">
        <f t="shared" si="5"/>
        <v>MEDIUM</v>
      </c>
      <c r="AA165" s="147">
        <f t="array" ref="AA165">XLOOKUP(R165,'Refrence Data'!B:B,'Refrence Data'!AC:AC)</f>
        <v>2.123224</v>
      </c>
      <c r="AB165" s="147">
        <f t="array" ref="AB165">IFERROR(XLOOKUP(R165,'Refrence Data'!B:B,'Refrence Data'!Y:Y),"NA")</f>
        <v>3.245298</v>
      </c>
      <c r="AC165" s="95" t="str">
        <f t="shared" si="6"/>
        <v>High</v>
      </c>
      <c r="AD165" s="95" t="str">
        <f t="shared" si="7"/>
        <v>Depth</v>
      </c>
      <c r="AE165" s="95" t="str">
        <f t="shared" si="8"/>
        <v>MEDIUMHighDepth</v>
      </c>
      <c r="AF165" s="95">
        <f t="array" ref="AF165">XLOOKUP(AE165,'Category Saturation'!A:A,'Category Saturation'!E:E)</f>
        <v>60</v>
      </c>
      <c r="AH165" s="148">
        <f t="array" ref="AH165">iferror(XLOOKUP(R165,'New Launch Success Rate'!A:A,'New Launch Success Rate'!F:F),"NA")</f>
        <v>0.923</v>
      </c>
      <c r="AI165" s="95">
        <f t="shared" si="9"/>
        <v>100</v>
      </c>
      <c r="AK165" s="149">
        <f t="shared" si="10"/>
        <v>28</v>
      </c>
      <c r="AM165" s="150">
        <f t="array" ref="AM165">XLOOKUP(R165,'Non Moving'!C:C,'Non Moving'!I:I)/100</f>
        <v>0.067</v>
      </c>
      <c r="AN165" s="151">
        <f t="shared" si="11"/>
        <v>100</v>
      </c>
      <c r="AO165" s="150">
        <f t="array" ref="AO165">XLOOKUP(R165,'Non Moving'!C:C,'Non Moving'!F:F)/100</f>
        <v>0.212</v>
      </c>
      <c r="AP165" s="151">
        <f t="shared" si="12"/>
        <v>100</v>
      </c>
      <c r="AR165" s="95">
        <f t="shared" si="13"/>
        <v>100</v>
      </c>
      <c r="AT165" s="95">
        <f t="shared" si="14"/>
        <v>100</v>
      </c>
      <c r="AU165" s="95">
        <f t="array" ref="AU165">iferror(XLOOKUP(J165,Monetization!A:A,Monetization!B:B),25)</f>
        <v>25</v>
      </c>
      <c r="AW165" s="95">
        <f t="shared" si="15"/>
        <v>77.5</v>
      </c>
      <c r="AY165" s="149">
        <f t="shared" si="16"/>
        <v>66.7</v>
      </c>
      <c r="AZ165" s="95" t="str">
        <f t="shared" si="17"/>
        <v>50-75</v>
      </c>
      <c r="BA165" s="95" t="str">
        <f t="shared" si="18"/>
        <v>25-50</v>
      </c>
      <c r="BB165" s="152">
        <f t="array" ref="BB165">iferror(XLOOKUP(C165,Sheet9!A:A,Sheet9!D:D),0)</f>
        <v>0.72</v>
      </c>
      <c r="BC165" s="2">
        <v>1.0</v>
      </c>
      <c r="BD165" s="95">
        <f t="array" ref="BD165">XLOOKUP(C165,ROS!C:C,ROS!O:O)</f>
        <v>0</v>
      </c>
      <c r="BE165" s="147">
        <f t="array" ref="BE165">IFERROR(XLOOKUP(C165,ROS!T:T,ROS!U:U),"")</f>
        <v>1.607489732</v>
      </c>
      <c r="BF165" s="147">
        <f t="array" ref="BF165">XLOOKUP(R165,'Refrence Data'!B:B,'Refrence Data'!T:T)</f>
        <v>0.395699</v>
      </c>
      <c r="BG165" s="95">
        <f t="shared" si="19"/>
        <v>1</v>
      </c>
      <c r="BH165" s="4" t="str">
        <f t="shared" si="20"/>
        <v>FN</v>
      </c>
      <c r="BO165" s="153"/>
      <c r="BP165" s="153" t="str">
        <f t="shared" si="26"/>
        <v>TP</v>
      </c>
      <c r="BQ165" s="153"/>
      <c r="BR165" s="153"/>
      <c r="BS165" s="153"/>
    </row>
    <row r="166">
      <c r="A166" s="171">
        <v>6.298042161757E12</v>
      </c>
      <c r="B166" s="171" t="s">
        <v>3521</v>
      </c>
      <c r="C166" s="137" t="s">
        <v>1068</v>
      </c>
      <c r="D166" s="138" t="s">
        <v>601</v>
      </c>
      <c r="E166" s="139" t="s">
        <v>1063</v>
      </c>
      <c r="F166" s="140" t="s">
        <v>3595</v>
      </c>
      <c r="G166" s="141">
        <v>500.0</v>
      </c>
      <c r="H166" s="142">
        <v>5.571378</v>
      </c>
      <c r="I166" s="143" t="s">
        <v>112</v>
      </c>
      <c r="J166" s="83"/>
      <c r="K166" s="174">
        <v>365.0</v>
      </c>
      <c r="R166" s="145" t="str">
        <f t="shared" si="1"/>
        <v>Seasoning &amp; Spices_5-10</v>
      </c>
      <c r="S166" s="146" t="str">
        <f t="shared" si="2"/>
        <v>5-10</v>
      </c>
      <c r="T166" s="95" t="str">
        <f t="array" ref="T166">XLOOKUP(C166,'Depth or Width'!P:P,'Depth or Width'!V:V)</f>
        <v>Depth</v>
      </c>
      <c r="U166" s="93">
        <f t="shared" si="3"/>
        <v>16.66666667</v>
      </c>
      <c r="V166" s="147">
        <f t="array" ref="V166">iferror(XLOOKUP(R166,'Refrence Data'!B:B,'Refrence Data'!W:W),"NA")</f>
        <v>2.603554</v>
      </c>
      <c r="W166" s="95">
        <f t="shared" si="4"/>
        <v>0</v>
      </c>
      <c r="Y166" s="148">
        <f t="array" ref="Y166">IFERROR(XLOOKUP(R166,'Refrence Data'!B:B,'Refrence Data'!N:N),"NA")</f>
        <v>0.644292</v>
      </c>
      <c r="Z166" s="95" t="str">
        <f t="shared" si="5"/>
        <v>MEDIUM</v>
      </c>
      <c r="AA166" s="147">
        <f t="array" ref="AA166">XLOOKUP(R166,'Refrence Data'!B:B,'Refrence Data'!AC:AC)</f>
        <v>2.123224</v>
      </c>
      <c r="AB166" s="147">
        <f t="array" ref="AB166">IFERROR(XLOOKUP(R166,'Refrence Data'!B:B,'Refrence Data'!Y:Y),"NA")</f>
        <v>3.245298</v>
      </c>
      <c r="AC166" s="95" t="str">
        <f t="shared" si="6"/>
        <v>High</v>
      </c>
      <c r="AD166" s="95" t="str">
        <f t="shared" si="7"/>
        <v>Depth</v>
      </c>
      <c r="AE166" s="95" t="str">
        <f t="shared" si="8"/>
        <v>MEDIUMHighDepth</v>
      </c>
      <c r="AF166" s="95">
        <f t="array" ref="AF166">XLOOKUP(AE166,'Category Saturation'!A:A,'Category Saturation'!E:E)</f>
        <v>60</v>
      </c>
      <c r="AH166" s="148">
        <f t="array" ref="AH166">iferror(XLOOKUP(R166,'New Launch Success Rate'!A:A,'New Launch Success Rate'!F:F),"NA")</f>
        <v>0.923</v>
      </c>
      <c r="AI166" s="95">
        <f t="shared" si="9"/>
        <v>100</v>
      </c>
      <c r="AK166" s="149">
        <f t="shared" si="10"/>
        <v>28</v>
      </c>
      <c r="AM166" s="150">
        <f t="array" ref="AM166">XLOOKUP(R166,'Non Moving'!C:C,'Non Moving'!I:I)/100</f>
        <v>0.067</v>
      </c>
      <c r="AN166" s="151">
        <f t="shared" si="11"/>
        <v>100</v>
      </c>
      <c r="AO166" s="150">
        <f t="array" ref="AO166">XLOOKUP(R166,'Non Moving'!C:C,'Non Moving'!F:F)/100</f>
        <v>0.212</v>
      </c>
      <c r="AP166" s="151">
        <f t="shared" si="12"/>
        <v>100</v>
      </c>
      <c r="AR166" s="95">
        <f t="shared" si="13"/>
        <v>100</v>
      </c>
      <c r="AT166" s="95">
        <f t="shared" si="14"/>
        <v>100</v>
      </c>
      <c r="AU166" s="95">
        <f t="array" ref="AU166">iferror(XLOOKUP(J166,Monetization!A:A,Monetization!B:B),25)</f>
        <v>25</v>
      </c>
      <c r="AW166" s="95">
        <f t="shared" si="15"/>
        <v>77.5</v>
      </c>
      <c r="AY166" s="149">
        <f t="shared" si="16"/>
        <v>66.7</v>
      </c>
      <c r="AZ166" s="95" t="str">
        <f t="shared" si="17"/>
        <v>50-75</v>
      </c>
      <c r="BA166" s="95" t="str">
        <f t="shared" si="18"/>
        <v>25-50</v>
      </c>
      <c r="BB166" s="152">
        <f t="array" ref="BB166">iferror(XLOOKUP(C166,Sheet9!A:A,Sheet9!D:D),0)</f>
        <v>0.5</v>
      </c>
      <c r="BC166" s="2">
        <v>1.0</v>
      </c>
      <c r="BD166" s="95">
        <f t="array" ref="BD166">XLOOKUP(C166,ROS!C:C,ROS!O:O)</f>
        <v>0</v>
      </c>
      <c r="BE166" s="147">
        <f t="array" ref="BE166">IFERROR(XLOOKUP(C166,ROS!T:T,ROS!U:U),"")</f>
        <v>10.53593074</v>
      </c>
      <c r="BF166" s="147">
        <f t="array" ref="BF166">XLOOKUP(R166,'Refrence Data'!B:B,'Refrence Data'!T:T)</f>
        <v>0.395699</v>
      </c>
      <c r="BG166" s="95">
        <f t="shared" si="19"/>
        <v>1</v>
      </c>
      <c r="BH166" s="4" t="str">
        <f t="shared" si="20"/>
        <v/>
      </c>
      <c r="BO166" s="153"/>
      <c r="BP166" s="153" t="str">
        <f t="shared" si="26"/>
        <v/>
      </c>
      <c r="BQ166" s="153"/>
      <c r="BR166" s="153"/>
      <c r="BS166" s="153"/>
    </row>
    <row r="167">
      <c r="A167" s="171" t="s">
        <v>3596</v>
      </c>
      <c r="B167" s="171" t="s">
        <v>3521</v>
      </c>
      <c r="C167" s="137" t="s">
        <v>1069</v>
      </c>
      <c r="D167" s="138" t="s">
        <v>601</v>
      </c>
      <c r="E167" s="139" t="s">
        <v>1063</v>
      </c>
      <c r="F167" s="140" t="s">
        <v>3597</v>
      </c>
      <c r="G167" s="141">
        <v>0.0</v>
      </c>
      <c r="H167" s="142">
        <v>0.0</v>
      </c>
      <c r="I167" s="143" t="s">
        <v>111</v>
      </c>
      <c r="J167" s="83"/>
      <c r="K167" s="174">
        <v>730.0</v>
      </c>
      <c r="R167" s="145" t="str">
        <f t="shared" si="1"/>
        <v>Seasoning &amp; Spices_0-5</v>
      </c>
      <c r="S167" s="146" t="str">
        <f t="shared" si="2"/>
        <v>0-5</v>
      </c>
      <c r="T167" s="95" t="str">
        <f t="array" ref="T167">XLOOKUP(C167,'Depth or Width'!P:P,'Depth or Width'!V:V)</f>
        <v>Depth</v>
      </c>
      <c r="U167" s="93">
        <f t="shared" si="3"/>
        <v>5</v>
      </c>
      <c r="V167" s="147">
        <f t="array" ref="V167">iferror(XLOOKUP(R167,'Refrence Data'!B:B,'Refrence Data'!W:W),"NA")</f>
        <v>2.453327</v>
      </c>
      <c r="W167" s="95">
        <f t="shared" si="4"/>
        <v>0</v>
      </c>
      <c r="Y167" s="148">
        <f t="array" ref="Y167">IFERROR(XLOOKUP(R167,'Refrence Data'!B:B,'Refrence Data'!N:N),"NA")</f>
        <v>0.556583</v>
      </c>
      <c r="Z167" s="95" t="str">
        <f t="shared" si="5"/>
        <v>MEDIUM</v>
      </c>
      <c r="AA167" s="147">
        <f t="array" ref="AA167">XLOOKUP(R167,'Refrence Data'!B:B,'Refrence Data'!AC:AC)</f>
        <v>2.123224</v>
      </c>
      <c r="AB167" s="147">
        <f t="array" ref="AB167">IFERROR(XLOOKUP(R167,'Refrence Data'!B:B,'Refrence Data'!Y:Y),"NA")</f>
        <v>2.323907</v>
      </c>
      <c r="AC167" s="95" t="str">
        <f t="shared" si="6"/>
        <v>High</v>
      </c>
      <c r="AD167" s="95" t="str">
        <f t="shared" si="7"/>
        <v>Depth</v>
      </c>
      <c r="AE167" s="95" t="str">
        <f t="shared" si="8"/>
        <v>MEDIUMHighDepth</v>
      </c>
      <c r="AF167" s="95">
        <f t="array" ref="AF167">XLOOKUP(AE167,'Category Saturation'!A:A,'Category Saturation'!E:E)</f>
        <v>60</v>
      </c>
      <c r="AH167" s="148">
        <f t="array" ref="AH167">iferror(XLOOKUP(R167,'New Launch Success Rate'!A:A,'New Launch Success Rate'!F:F),"NA")</f>
        <v>0.923</v>
      </c>
      <c r="AI167" s="95">
        <f t="shared" si="9"/>
        <v>100</v>
      </c>
      <c r="AK167" s="149">
        <f t="shared" si="10"/>
        <v>28</v>
      </c>
      <c r="AM167" s="150">
        <f t="array" ref="AM167">XLOOKUP(R167,'Non Moving'!C:C,'Non Moving'!I:I)/100</f>
        <v>0.116</v>
      </c>
      <c r="AN167" s="151">
        <f t="shared" si="11"/>
        <v>75</v>
      </c>
      <c r="AO167" s="150">
        <f t="array" ref="AO167">XLOOKUP(R167,'Non Moving'!C:C,'Non Moving'!F:F)/100</f>
        <v>0.237</v>
      </c>
      <c r="AP167" s="151">
        <f t="shared" si="12"/>
        <v>100</v>
      </c>
      <c r="AR167" s="95">
        <f t="shared" si="13"/>
        <v>87.5</v>
      </c>
      <c r="AT167" s="95">
        <f t="shared" si="14"/>
        <v>0</v>
      </c>
      <c r="AU167" s="95">
        <f t="array" ref="AU167">iferror(XLOOKUP(J167,Monetization!A:A,Monetization!B:B),25)</f>
        <v>25</v>
      </c>
      <c r="AW167" s="95">
        <f t="shared" si="15"/>
        <v>7.5</v>
      </c>
      <c r="AY167" s="149">
        <f t="shared" si="16"/>
        <v>47.7</v>
      </c>
      <c r="AZ167" s="95" t="str">
        <f t="shared" si="17"/>
        <v>25-50</v>
      </c>
      <c r="BA167" s="95" t="str">
        <f t="shared" si="18"/>
        <v>25-50</v>
      </c>
      <c r="BB167" s="152">
        <f t="array" ref="BB167">iferror(XLOOKUP(C167,Sheet9!A:A,Sheet9!D:D),0)</f>
        <v>0</v>
      </c>
      <c r="BC167" s="2">
        <v>1.0</v>
      </c>
      <c r="BD167" s="95">
        <f t="array" ref="BD167">XLOOKUP(C167,ROS!C:C,ROS!O:O)</f>
        <v>0</v>
      </c>
      <c r="BE167" s="147" t="str">
        <f t="array" ref="BE167">IFERROR(XLOOKUP(C167,ROS!T:T,ROS!U:U),"")</f>
        <v/>
      </c>
      <c r="BF167" s="147">
        <f t="array" ref="BF167">XLOOKUP(R167,'Refrence Data'!B:B,'Refrence Data'!T:T)</f>
        <v>0.266667</v>
      </c>
      <c r="BG167" s="95">
        <f t="shared" si="19"/>
        <v>0</v>
      </c>
      <c r="BH167" s="4" t="str">
        <f t="shared" si="20"/>
        <v/>
      </c>
      <c r="BO167" s="153"/>
      <c r="BP167" s="153" t="str">
        <f t="shared" si="26"/>
        <v/>
      </c>
      <c r="BQ167" s="153"/>
      <c r="BR167" s="153"/>
      <c r="BS167" s="153"/>
    </row>
    <row r="168">
      <c r="A168" s="171">
        <v>8.908017962583E12</v>
      </c>
      <c r="B168" s="171" t="s">
        <v>3521</v>
      </c>
      <c r="C168" s="137" t="s">
        <v>1074</v>
      </c>
      <c r="D168" s="138" t="s">
        <v>616</v>
      </c>
      <c r="E168" s="139" t="s">
        <v>622</v>
      </c>
      <c r="F168" s="140" t="s">
        <v>3542</v>
      </c>
      <c r="G168" s="141">
        <v>0.0</v>
      </c>
      <c r="H168" s="142">
        <v>9.992104</v>
      </c>
      <c r="I168" s="143" t="s">
        <v>112</v>
      </c>
      <c r="J168" s="83"/>
      <c r="K168" s="174">
        <v>365.0</v>
      </c>
      <c r="R168" s="145" t="str">
        <f t="shared" si="1"/>
        <v>Noodles &amp; Soup_5-10</v>
      </c>
      <c r="S168" s="146" t="str">
        <f t="shared" si="2"/>
        <v>5-10</v>
      </c>
      <c r="T168" s="95" t="str">
        <f t="array" ref="T168">XLOOKUP(C168,'Depth or Width'!P:P,'Depth or Width'!V:V)</f>
        <v>Depth</v>
      </c>
      <c r="U168" s="93">
        <f t="shared" si="3"/>
        <v>5</v>
      </c>
      <c r="V168" s="147">
        <f t="array" ref="V168">iferror(XLOOKUP(R168,'Refrence Data'!B:B,'Refrence Data'!W:W),"NA")</f>
        <v>5.347041</v>
      </c>
      <c r="W168" s="95">
        <f t="shared" si="4"/>
        <v>100</v>
      </c>
      <c r="Y168" s="148">
        <f t="array" ref="Y168">IFERROR(XLOOKUP(R168,'Refrence Data'!B:B,'Refrence Data'!N:N),"NA")</f>
        <v>0.61668</v>
      </c>
      <c r="Z168" s="95" t="str">
        <f t="shared" si="5"/>
        <v>MEDIUM</v>
      </c>
      <c r="AA168" s="147">
        <f t="array" ref="AA168">XLOOKUP(R168,'Refrence Data'!B:B,'Refrence Data'!AC:AC)</f>
        <v>3.10509</v>
      </c>
      <c r="AB168" s="147">
        <f t="array" ref="AB168">IFERROR(XLOOKUP(R168,'Refrence Data'!B:B,'Refrence Data'!Y:Y),"NA")</f>
        <v>6.422177</v>
      </c>
      <c r="AC168" s="95" t="str">
        <f t="shared" si="6"/>
        <v>High</v>
      </c>
      <c r="AD168" s="95" t="str">
        <f t="shared" si="7"/>
        <v>Depth</v>
      </c>
      <c r="AE168" s="95" t="str">
        <f t="shared" si="8"/>
        <v>MEDIUMHighDepth</v>
      </c>
      <c r="AF168" s="95">
        <f t="array" ref="AF168">XLOOKUP(AE168,'Category Saturation'!A:A,'Category Saturation'!E:E)</f>
        <v>60</v>
      </c>
      <c r="AH168" s="148">
        <f t="array" ref="AH168">iferror(XLOOKUP(R168,'New Launch Success Rate'!A:A,'New Launch Success Rate'!F:F),"NA")</f>
        <v>0.8</v>
      </c>
      <c r="AI168" s="95">
        <f t="shared" si="9"/>
        <v>100</v>
      </c>
      <c r="AK168" s="149">
        <f t="shared" si="10"/>
        <v>88</v>
      </c>
      <c r="AM168" s="150">
        <f t="array" ref="AM168">XLOOKUP(R168,'Non Moving'!C:C,'Non Moving'!I:I)/100</f>
        <v>0.024</v>
      </c>
      <c r="AN168" s="151">
        <f t="shared" si="11"/>
        <v>100</v>
      </c>
      <c r="AO168" s="150">
        <f t="array" ref="AO168">XLOOKUP(R168,'Non Moving'!C:C,'Non Moving'!F:F)/100</f>
        <v>0.13</v>
      </c>
      <c r="AP168" s="151">
        <f t="shared" si="12"/>
        <v>100</v>
      </c>
      <c r="AR168" s="95">
        <f t="shared" si="13"/>
        <v>100</v>
      </c>
      <c r="AT168" s="95">
        <f t="shared" si="14"/>
        <v>100</v>
      </c>
      <c r="AU168" s="95">
        <f t="array" ref="AU168">iferror(XLOOKUP(J168,Monetization!A:A,Monetization!B:B),25)</f>
        <v>25</v>
      </c>
      <c r="AW168" s="95">
        <f t="shared" si="15"/>
        <v>77.5</v>
      </c>
      <c r="AY168" s="149">
        <f t="shared" si="16"/>
        <v>90.7</v>
      </c>
      <c r="AZ168" s="95" t="str">
        <f t="shared" si="17"/>
        <v>75-100</v>
      </c>
      <c r="BA168" s="95" t="str">
        <f t="shared" si="18"/>
        <v>75-100</v>
      </c>
      <c r="BB168" s="152">
        <f t="array" ref="BB168">iferror(XLOOKUP(C168,Sheet9!A:A,Sheet9!D:D),0)</f>
        <v>0.57</v>
      </c>
      <c r="BC168" s="2">
        <v>1.0</v>
      </c>
      <c r="BD168" s="95">
        <f t="array" ref="BD168">XLOOKUP(C168,ROS!C:C,ROS!O:O)</f>
        <v>0</v>
      </c>
      <c r="BE168" s="147">
        <f t="array" ref="BE168">IFERROR(XLOOKUP(C168,ROS!T:T,ROS!U:U),"")</f>
        <v>0.5</v>
      </c>
      <c r="BF168" s="147">
        <f t="array" ref="BF168">XLOOKUP(R168,'Refrence Data'!B:B,'Refrence Data'!T:T)</f>
        <v>1</v>
      </c>
      <c r="BG168" s="95">
        <f t="shared" si="19"/>
        <v>0</v>
      </c>
      <c r="BH168" s="4" t="str">
        <f t="shared" si="20"/>
        <v/>
      </c>
      <c r="BO168" s="153"/>
      <c r="BP168" s="153" t="str">
        <f t="shared" si="26"/>
        <v/>
      </c>
      <c r="BQ168" s="153"/>
      <c r="BR168" s="153"/>
      <c r="BS168" s="153"/>
    </row>
    <row r="169">
      <c r="A169" s="171">
        <v>3.046920023443E12</v>
      </c>
      <c r="B169" s="171" t="s">
        <v>3521</v>
      </c>
      <c r="C169" s="137" t="s">
        <v>1265</v>
      </c>
      <c r="D169" s="138" t="s">
        <v>644</v>
      </c>
      <c r="E169" s="139" t="s">
        <v>659</v>
      </c>
      <c r="F169" s="140" t="s">
        <v>3563</v>
      </c>
      <c r="G169" s="141">
        <v>0.0</v>
      </c>
      <c r="H169" s="142">
        <v>22.23243</v>
      </c>
      <c r="I169" s="143" t="s">
        <v>112</v>
      </c>
      <c r="J169" s="83"/>
      <c r="K169" s="174">
        <v>365.0</v>
      </c>
      <c r="R169" s="145" t="str">
        <f t="shared" si="1"/>
        <v>Chocolate Bars &amp; Bags_20-25</v>
      </c>
      <c r="S169" s="146" t="str">
        <f t="shared" si="2"/>
        <v>20-25</v>
      </c>
      <c r="T169" s="95" t="str">
        <f t="array" ref="T169">XLOOKUP(C169,'Depth or Width'!P:P,'Depth or Width'!V:V)</f>
        <v>Depth</v>
      </c>
      <c r="U169" s="93">
        <f t="shared" si="3"/>
        <v>5</v>
      </c>
      <c r="V169" s="147">
        <f t="array" ref="V169">iferror(XLOOKUP(R169,'Refrence Data'!B:B,'Refrence Data'!W:W),"NA")</f>
        <v>2.474816</v>
      </c>
      <c r="W169" s="95">
        <f t="shared" si="4"/>
        <v>0</v>
      </c>
      <c r="Y169" s="148">
        <f t="array" ref="Y169">IFERROR(XLOOKUP(R169,'Refrence Data'!B:B,'Refrence Data'!N:N),"NA")</f>
        <v>0.760554</v>
      </c>
      <c r="Z169" s="95" t="str">
        <f t="shared" si="5"/>
        <v>HIGH</v>
      </c>
      <c r="AA169" s="147">
        <f t="array" ref="AA169">XLOOKUP(R169,'Refrence Data'!B:B,'Refrence Data'!AC:AC)</f>
        <v>6.048674</v>
      </c>
      <c r="AB169" s="147">
        <f t="array" ref="AB169">IFERROR(XLOOKUP(R169,'Refrence Data'!B:B,'Refrence Data'!Y:Y),"NA")</f>
        <v>2.886817</v>
      </c>
      <c r="AC169" s="95" t="str">
        <f t="shared" si="6"/>
        <v>Low</v>
      </c>
      <c r="AD169" s="95" t="str">
        <f t="shared" si="7"/>
        <v>Depth</v>
      </c>
      <c r="AE169" s="95" t="str">
        <f t="shared" si="8"/>
        <v>HIGHLowDepth</v>
      </c>
      <c r="AF169" s="95">
        <f t="array" ref="AF169">XLOOKUP(AE169,'Category Saturation'!A:A,'Category Saturation'!E:E)</f>
        <v>0</v>
      </c>
      <c r="AH169" s="148">
        <f t="array" ref="AH169">iferror(XLOOKUP(R169,'New Launch Success Rate'!A:A,'New Launch Success Rate'!F:F),"NA")</f>
        <v>1</v>
      </c>
      <c r="AI169" s="95">
        <f t="shared" si="9"/>
        <v>100</v>
      </c>
      <c r="AK169" s="149">
        <f t="shared" si="10"/>
        <v>10</v>
      </c>
      <c r="AM169" s="150">
        <f t="array" ref="AM169">XLOOKUP(R169,'Non Moving'!C:C,'Non Moving'!I:I)/100</f>
        <v>0.193</v>
      </c>
      <c r="AN169" s="151">
        <f t="shared" si="11"/>
        <v>50</v>
      </c>
      <c r="AO169" s="150">
        <f t="array" ref="AO169">XLOOKUP(R169,'Non Moving'!C:C,'Non Moving'!F:F)/100</f>
        <v>0.236</v>
      </c>
      <c r="AP169" s="151">
        <f t="shared" si="12"/>
        <v>100</v>
      </c>
      <c r="AR169" s="95">
        <f t="shared" si="13"/>
        <v>75</v>
      </c>
      <c r="AT169" s="95">
        <f t="shared" si="14"/>
        <v>100</v>
      </c>
      <c r="AU169" s="95">
        <f t="array" ref="AU169">iferror(XLOOKUP(J169,Monetization!A:A,Monetization!B:B),25)</f>
        <v>25</v>
      </c>
      <c r="AW169" s="95">
        <f t="shared" si="15"/>
        <v>77.5</v>
      </c>
      <c r="AY169" s="149">
        <f t="shared" si="16"/>
        <v>49.5</v>
      </c>
      <c r="AZ169" s="95" t="str">
        <f t="shared" si="17"/>
        <v>25-50</v>
      </c>
      <c r="BA169" s="95" t="str">
        <f t="shared" si="18"/>
        <v>0-25</v>
      </c>
      <c r="BB169" s="152">
        <f t="array" ref="BB169">iferror(XLOOKUP(C169,Sheet9!A:A,Sheet9!D:D),0)</f>
        <v>1</v>
      </c>
      <c r="BC169" s="2">
        <v>1.0</v>
      </c>
      <c r="BD169" s="95">
        <f t="array" ref="BD169">XLOOKUP(C169,ROS!C:C,ROS!O:O)</f>
        <v>0</v>
      </c>
      <c r="BE169" s="147">
        <f t="array" ref="BE169">IFERROR(XLOOKUP(C169,ROS!T:T,ROS!U:U),"")</f>
        <v>0</v>
      </c>
      <c r="BF169" s="147">
        <f t="array" ref="BF169">XLOOKUP(R169,'Refrence Data'!B:B,'Refrence Data'!T:T)</f>
        <v>0.3</v>
      </c>
      <c r="BG169" s="95">
        <f t="shared" si="19"/>
        <v>0</v>
      </c>
      <c r="BH169" s="4" t="str">
        <f t="shared" si="20"/>
        <v>TN</v>
      </c>
      <c r="BP169" s="153" t="str">
        <f t="shared" si="26"/>
        <v>TN</v>
      </c>
    </row>
    <row r="170">
      <c r="A170" s="171">
        <v>3.046920023429E12</v>
      </c>
      <c r="B170" s="171" t="s">
        <v>3521</v>
      </c>
      <c r="C170" s="137" t="s">
        <v>1266</v>
      </c>
      <c r="D170" s="138" t="s">
        <v>644</v>
      </c>
      <c r="E170" s="139" t="s">
        <v>659</v>
      </c>
      <c r="F170" s="140" t="s">
        <v>3563</v>
      </c>
      <c r="G170" s="141">
        <v>0.0</v>
      </c>
      <c r="H170" s="142">
        <v>22.23243</v>
      </c>
      <c r="I170" s="143" t="s">
        <v>112</v>
      </c>
      <c r="J170" s="83"/>
      <c r="K170" s="174">
        <v>365.0</v>
      </c>
      <c r="R170" s="145" t="str">
        <f t="shared" si="1"/>
        <v>Chocolate Bars &amp; Bags_20-25</v>
      </c>
      <c r="S170" s="146" t="str">
        <f t="shared" si="2"/>
        <v>20-25</v>
      </c>
      <c r="T170" s="95" t="str">
        <f t="array" ref="T170">XLOOKUP(C170,'Depth or Width'!P:P,'Depth or Width'!V:V)</f>
        <v>Depth</v>
      </c>
      <c r="U170" s="93">
        <f t="shared" si="3"/>
        <v>5</v>
      </c>
      <c r="V170" s="147">
        <f t="array" ref="V170">iferror(XLOOKUP(R170,'Refrence Data'!B:B,'Refrence Data'!W:W),"NA")</f>
        <v>2.474816</v>
      </c>
      <c r="W170" s="95">
        <f t="shared" si="4"/>
        <v>0</v>
      </c>
      <c r="Y170" s="148">
        <f t="array" ref="Y170">IFERROR(XLOOKUP(R170,'Refrence Data'!B:B,'Refrence Data'!N:N),"NA")</f>
        <v>0.760554</v>
      </c>
      <c r="Z170" s="95" t="str">
        <f t="shared" si="5"/>
        <v>HIGH</v>
      </c>
      <c r="AA170" s="147">
        <f t="array" ref="AA170">XLOOKUP(R170,'Refrence Data'!B:B,'Refrence Data'!AC:AC)</f>
        <v>6.048674</v>
      </c>
      <c r="AB170" s="147">
        <f t="array" ref="AB170">IFERROR(XLOOKUP(R170,'Refrence Data'!B:B,'Refrence Data'!Y:Y),"NA")</f>
        <v>2.886817</v>
      </c>
      <c r="AC170" s="95" t="str">
        <f t="shared" si="6"/>
        <v>Low</v>
      </c>
      <c r="AD170" s="95" t="str">
        <f t="shared" si="7"/>
        <v>Depth</v>
      </c>
      <c r="AE170" s="95" t="str">
        <f t="shared" si="8"/>
        <v>HIGHLowDepth</v>
      </c>
      <c r="AF170" s="95">
        <f t="array" ref="AF170">XLOOKUP(AE170,'Category Saturation'!A:A,'Category Saturation'!E:E)</f>
        <v>0</v>
      </c>
      <c r="AH170" s="148">
        <f t="array" ref="AH170">iferror(XLOOKUP(R170,'New Launch Success Rate'!A:A,'New Launch Success Rate'!F:F),"NA")</f>
        <v>1</v>
      </c>
      <c r="AI170" s="95">
        <f t="shared" si="9"/>
        <v>100</v>
      </c>
      <c r="AK170" s="149">
        <f t="shared" si="10"/>
        <v>10</v>
      </c>
      <c r="AM170" s="150">
        <f t="array" ref="AM170">XLOOKUP(R170,'Non Moving'!C:C,'Non Moving'!I:I)/100</f>
        <v>0.193</v>
      </c>
      <c r="AN170" s="151">
        <f t="shared" si="11"/>
        <v>50</v>
      </c>
      <c r="AO170" s="150">
        <f t="array" ref="AO170">XLOOKUP(R170,'Non Moving'!C:C,'Non Moving'!F:F)/100</f>
        <v>0.236</v>
      </c>
      <c r="AP170" s="151">
        <f t="shared" si="12"/>
        <v>100</v>
      </c>
      <c r="AR170" s="95">
        <f t="shared" si="13"/>
        <v>75</v>
      </c>
      <c r="AT170" s="95">
        <f t="shared" si="14"/>
        <v>100</v>
      </c>
      <c r="AU170" s="95">
        <f t="array" ref="AU170">iferror(XLOOKUP(J170,Monetization!A:A,Monetization!B:B),25)</f>
        <v>25</v>
      </c>
      <c r="AW170" s="95">
        <f t="shared" si="15"/>
        <v>77.5</v>
      </c>
      <c r="AY170" s="149">
        <f t="shared" si="16"/>
        <v>49.5</v>
      </c>
      <c r="AZ170" s="95" t="str">
        <f t="shared" si="17"/>
        <v>25-50</v>
      </c>
      <c r="BA170" s="95" t="str">
        <f t="shared" si="18"/>
        <v>0-25</v>
      </c>
      <c r="BB170" s="152">
        <f t="array" ref="BB170">iferror(XLOOKUP(C170,Sheet9!A:A,Sheet9!D:D),0)</f>
        <v>0.96</v>
      </c>
      <c r="BC170" s="2">
        <v>1.0</v>
      </c>
      <c r="BD170" s="95">
        <f t="array" ref="BD170">XLOOKUP(C170,ROS!C:C,ROS!O:O)</f>
        <v>0.730769</v>
      </c>
      <c r="BE170" s="147">
        <f t="array" ref="BE170">IFERROR(XLOOKUP(C170,ROS!T:T,ROS!U:U),"")</f>
        <v>0.507575758</v>
      </c>
      <c r="BF170" s="147">
        <f t="array" ref="BF170">XLOOKUP(R170,'Refrence Data'!B:B,'Refrence Data'!T:T)</f>
        <v>0.3</v>
      </c>
      <c r="BG170" s="95">
        <f t="shared" si="19"/>
        <v>0</v>
      </c>
      <c r="BH170" s="4" t="str">
        <f t="shared" si="20"/>
        <v>TN</v>
      </c>
      <c r="BP170" s="153" t="str">
        <f t="shared" si="26"/>
        <v>TN</v>
      </c>
    </row>
    <row r="171">
      <c r="A171" s="171">
        <v>3.046920023368E12</v>
      </c>
      <c r="B171" s="171" t="s">
        <v>3521</v>
      </c>
      <c r="C171" s="137" t="s">
        <v>1267</v>
      </c>
      <c r="D171" s="138" t="s">
        <v>644</v>
      </c>
      <c r="E171" s="139" t="s">
        <v>659</v>
      </c>
      <c r="F171" s="140" t="s">
        <v>3563</v>
      </c>
      <c r="G171" s="141">
        <v>0.0</v>
      </c>
      <c r="H171" s="142">
        <v>21.46341</v>
      </c>
      <c r="I171" s="143" t="s">
        <v>112</v>
      </c>
      <c r="J171" s="83"/>
      <c r="K171" s="174">
        <v>365.0</v>
      </c>
      <c r="R171" s="145" t="str">
        <f t="shared" si="1"/>
        <v>Chocolate Bars &amp; Bags_20-25</v>
      </c>
      <c r="S171" s="146" t="str">
        <f t="shared" si="2"/>
        <v>20-25</v>
      </c>
      <c r="T171" s="95" t="str">
        <f t="array" ref="T171">XLOOKUP(C171,'Depth or Width'!P:P,'Depth or Width'!V:V)</f>
        <v>Depth</v>
      </c>
      <c r="U171" s="93">
        <f t="shared" si="3"/>
        <v>5</v>
      </c>
      <c r="V171" s="147">
        <f t="array" ref="V171">iferror(XLOOKUP(R171,'Refrence Data'!B:B,'Refrence Data'!W:W),"NA")</f>
        <v>2.474816</v>
      </c>
      <c r="W171" s="95">
        <f t="shared" si="4"/>
        <v>0</v>
      </c>
      <c r="Y171" s="148">
        <f t="array" ref="Y171">IFERROR(XLOOKUP(R171,'Refrence Data'!B:B,'Refrence Data'!N:N),"NA")</f>
        <v>0.760554</v>
      </c>
      <c r="Z171" s="95" t="str">
        <f t="shared" si="5"/>
        <v>HIGH</v>
      </c>
      <c r="AA171" s="147">
        <f t="array" ref="AA171">XLOOKUP(R171,'Refrence Data'!B:B,'Refrence Data'!AC:AC)</f>
        <v>6.048674</v>
      </c>
      <c r="AB171" s="147">
        <f t="array" ref="AB171">IFERROR(XLOOKUP(R171,'Refrence Data'!B:B,'Refrence Data'!Y:Y),"NA")</f>
        <v>2.886817</v>
      </c>
      <c r="AC171" s="95" t="str">
        <f t="shared" si="6"/>
        <v>Low</v>
      </c>
      <c r="AD171" s="95" t="str">
        <f t="shared" si="7"/>
        <v>Depth</v>
      </c>
      <c r="AE171" s="95" t="str">
        <f t="shared" si="8"/>
        <v>HIGHLowDepth</v>
      </c>
      <c r="AF171" s="95">
        <f t="array" ref="AF171">XLOOKUP(AE171,'Category Saturation'!A:A,'Category Saturation'!E:E)</f>
        <v>0</v>
      </c>
      <c r="AH171" s="148">
        <f t="array" ref="AH171">iferror(XLOOKUP(R171,'New Launch Success Rate'!A:A,'New Launch Success Rate'!F:F),"NA")</f>
        <v>1</v>
      </c>
      <c r="AI171" s="95">
        <f t="shared" si="9"/>
        <v>100</v>
      </c>
      <c r="AK171" s="149">
        <f t="shared" si="10"/>
        <v>10</v>
      </c>
      <c r="AM171" s="150">
        <f t="array" ref="AM171">XLOOKUP(R171,'Non Moving'!C:C,'Non Moving'!I:I)/100</f>
        <v>0.193</v>
      </c>
      <c r="AN171" s="151">
        <f t="shared" si="11"/>
        <v>50</v>
      </c>
      <c r="AO171" s="150">
        <f t="array" ref="AO171">XLOOKUP(R171,'Non Moving'!C:C,'Non Moving'!F:F)/100</f>
        <v>0.236</v>
      </c>
      <c r="AP171" s="151">
        <f t="shared" si="12"/>
        <v>100</v>
      </c>
      <c r="AR171" s="95">
        <f t="shared" si="13"/>
        <v>75</v>
      </c>
      <c r="AT171" s="95">
        <f t="shared" si="14"/>
        <v>100</v>
      </c>
      <c r="AU171" s="95">
        <f t="array" ref="AU171">iferror(XLOOKUP(J171,Monetization!A:A,Monetization!B:B),25)</f>
        <v>25</v>
      </c>
      <c r="AW171" s="95">
        <f t="shared" si="15"/>
        <v>77.5</v>
      </c>
      <c r="AY171" s="149">
        <f t="shared" si="16"/>
        <v>49.5</v>
      </c>
      <c r="AZ171" s="95" t="str">
        <f t="shared" si="17"/>
        <v>25-50</v>
      </c>
      <c r="BA171" s="95" t="str">
        <f t="shared" si="18"/>
        <v>0-25</v>
      </c>
      <c r="BB171" s="152">
        <f t="array" ref="BB171">iferror(XLOOKUP(C171,Sheet9!A:A,Sheet9!D:D),0)</f>
        <v>1</v>
      </c>
      <c r="BC171" s="2">
        <v>1.0</v>
      </c>
      <c r="BD171" s="95">
        <f t="array" ref="BD171">XLOOKUP(C171,ROS!C:C,ROS!O:O)</f>
        <v>0</v>
      </c>
      <c r="BE171" s="147">
        <f t="array" ref="BE171">IFERROR(XLOOKUP(C171,ROS!T:T,ROS!U:U),"")</f>
        <v>0</v>
      </c>
      <c r="BF171" s="147">
        <f t="array" ref="BF171">XLOOKUP(R171,'Refrence Data'!B:B,'Refrence Data'!T:T)</f>
        <v>0.3</v>
      </c>
      <c r="BG171" s="95">
        <f t="shared" si="19"/>
        <v>0</v>
      </c>
      <c r="BH171" s="4" t="str">
        <f t="shared" si="20"/>
        <v>TN</v>
      </c>
      <c r="BP171" s="153" t="str">
        <f t="shared" si="26"/>
        <v>TN</v>
      </c>
    </row>
    <row r="172">
      <c r="A172" s="171">
        <v>3.046920023351E12</v>
      </c>
      <c r="B172" s="171" t="s">
        <v>3521</v>
      </c>
      <c r="C172" s="137" t="s">
        <v>1268</v>
      </c>
      <c r="D172" s="138" t="s">
        <v>644</v>
      </c>
      <c r="E172" s="139" t="s">
        <v>659</v>
      </c>
      <c r="F172" s="140" t="s">
        <v>3563</v>
      </c>
      <c r="G172" s="141">
        <v>0.0</v>
      </c>
      <c r="H172" s="142">
        <v>21.58307</v>
      </c>
      <c r="I172" s="143" t="s">
        <v>112</v>
      </c>
      <c r="J172" s="83"/>
      <c r="K172" s="174">
        <v>365.0</v>
      </c>
      <c r="R172" s="145" t="str">
        <f t="shared" si="1"/>
        <v>Chocolate Bars &amp; Bags_20-25</v>
      </c>
      <c r="S172" s="146" t="str">
        <f t="shared" si="2"/>
        <v>20-25</v>
      </c>
      <c r="T172" s="95" t="str">
        <f t="array" ref="T172">XLOOKUP(C172,'Depth or Width'!P:P,'Depth or Width'!V:V)</f>
        <v>Depth</v>
      </c>
      <c r="U172" s="93">
        <f t="shared" si="3"/>
        <v>5</v>
      </c>
      <c r="V172" s="147">
        <f t="array" ref="V172">iferror(XLOOKUP(R172,'Refrence Data'!B:B,'Refrence Data'!W:W),"NA")</f>
        <v>2.474816</v>
      </c>
      <c r="W172" s="95">
        <f t="shared" si="4"/>
        <v>0</v>
      </c>
      <c r="Y172" s="148">
        <f t="array" ref="Y172">IFERROR(XLOOKUP(R172,'Refrence Data'!B:B,'Refrence Data'!N:N),"NA")</f>
        <v>0.760554</v>
      </c>
      <c r="Z172" s="95" t="str">
        <f t="shared" si="5"/>
        <v>HIGH</v>
      </c>
      <c r="AA172" s="147">
        <f t="array" ref="AA172">XLOOKUP(R172,'Refrence Data'!B:B,'Refrence Data'!AC:AC)</f>
        <v>6.048674</v>
      </c>
      <c r="AB172" s="147">
        <f t="array" ref="AB172">IFERROR(XLOOKUP(R172,'Refrence Data'!B:B,'Refrence Data'!Y:Y),"NA")</f>
        <v>2.886817</v>
      </c>
      <c r="AC172" s="95" t="str">
        <f t="shared" si="6"/>
        <v>Low</v>
      </c>
      <c r="AD172" s="95" t="str">
        <f t="shared" si="7"/>
        <v>Depth</v>
      </c>
      <c r="AE172" s="95" t="str">
        <f t="shared" si="8"/>
        <v>HIGHLowDepth</v>
      </c>
      <c r="AF172" s="95">
        <f t="array" ref="AF172">XLOOKUP(AE172,'Category Saturation'!A:A,'Category Saturation'!E:E)</f>
        <v>0</v>
      </c>
      <c r="AH172" s="148">
        <f t="array" ref="AH172">iferror(XLOOKUP(R172,'New Launch Success Rate'!A:A,'New Launch Success Rate'!F:F),"NA")</f>
        <v>1</v>
      </c>
      <c r="AI172" s="95">
        <f t="shared" si="9"/>
        <v>100</v>
      </c>
      <c r="AK172" s="149">
        <f t="shared" si="10"/>
        <v>10</v>
      </c>
      <c r="AM172" s="150">
        <f t="array" ref="AM172">XLOOKUP(R172,'Non Moving'!C:C,'Non Moving'!I:I)/100</f>
        <v>0.193</v>
      </c>
      <c r="AN172" s="151">
        <f t="shared" si="11"/>
        <v>50</v>
      </c>
      <c r="AO172" s="150">
        <f t="array" ref="AO172">XLOOKUP(R172,'Non Moving'!C:C,'Non Moving'!F:F)/100</f>
        <v>0.236</v>
      </c>
      <c r="AP172" s="151">
        <f t="shared" si="12"/>
        <v>100</v>
      </c>
      <c r="AR172" s="95">
        <f t="shared" si="13"/>
        <v>75</v>
      </c>
      <c r="AT172" s="95">
        <f t="shared" si="14"/>
        <v>100</v>
      </c>
      <c r="AU172" s="95">
        <f t="array" ref="AU172">iferror(XLOOKUP(J172,Monetization!A:A,Monetization!B:B),25)</f>
        <v>25</v>
      </c>
      <c r="AW172" s="95">
        <f t="shared" si="15"/>
        <v>77.5</v>
      </c>
      <c r="AY172" s="149">
        <f t="shared" si="16"/>
        <v>49.5</v>
      </c>
      <c r="AZ172" s="95" t="str">
        <f t="shared" si="17"/>
        <v>25-50</v>
      </c>
      <c r="BA172" s="95" t="str">
        <f t="shared" si="18"/>
        <v>0-25</v>
      </c>
      <c r="BB172" s="152">
        <f t="array" ref="BB172">iferror(XLOOKUP(C172,Sheet9!A:A,Sheet9!D:D),0)</f>
        <v>0.96</v>
      </c>
      <c r="BC172" s="2">
        <v>1.0</v>
      </c>
      <c r="BD172" s="95">
        <f t="array" ref="BD172">XLOOKUP(C172,ROS!C:C,ROS!O:O)</f>
        <v>0.464286</v>
      </c>
      <c r="BE172" s="147">
        <f t="array" ref="BE172">IFERROR(XLOOKUP(C172,ROS!T:T,ROS!U:U),"")</f>
        <v>0.416666667</v>
      </c>
      <c r="BF172" s="147">
        <f t="array" ref="BF172">XLOOKUP(R172,'Refrence Data'!B:B,'Refrence Data'!T:T)</f>
        <v>0.3</v>
      </c>
      <c r="BG172" s="95">
        <f t="shared" si="19"/>
        <v>0</v>
      </c>
      <c r="BH172" s="4" t="str">
        <f t="shared" si="20"/>
        <v>TN</v>
      </c>
      <c r="BP172" s="153" t="str">
        <f t="shared" si="26"/>
        <v>TN</v>
      </c>
    </row>
    <row r="173">
      <c r="A173" s="171">
        <v>6.290361987629E12</v>
      </c>
      <c r="B173" s="171" t="s">
        <v>3513</v>
      </c>
      <c r="C173" s="137" t="s">
        <v>811</v>
      </c>
      <c r="D173" s="138" t="s">
        <v>180</v>
      </c>
      <c r="E173" s="139" t="s">
        <v>808</v>
      </c>
      <c r="F173" s="140" t="s">
        <v>3514</v>
      </c>
      <c r="G173" s="141">
        <v>0.0</v>
      </c>
      <c r="H173" s="142">
        <v>34.9682</v>
      </c>
      <c r="I173" s="143" t="s">
        <v>111</v>
      </c>
      <c r="J173" s="83"/>
      <c r="K173" s="174">
        <v>365.0</v>
      </c>
      <c r="R173" s="145" t="str">
        <f t="shared" si="1"/>
        <v>Fresh Juices &amp; Smoothies_25+</v>
      </c>
      <c r="S173" s="146" t="str">
        <f t="shared" si="2"/>
        <v>25+</v>
      </c>
      <c r="T173" s="95" t="str">
        <f t="array" ref="T173">XLOOKUP(C173,'Depth or Width'!P:P,'Depth or Width'!V:V)</f>
        <v>Depth</v>
      </c>
      <c r="U173" s="93">
        <f t="shared" si="3"/>
        <v>0.4383561644</v>
      </c>
      <c r="V173" s="147">
        <f t="array" ref="V173">iferror(XLOOKUP(R173,'Refrence Data'!B:B,'Refrence Data'!W:W),"NA")</f>
        <v>16.57278</v>
      </c>
      <c r="W173" s="95">
        <f t="shared" si="4"/>
        <v>100</v>
      </c>
      <c r="Y173" s="148">
        <f t="array" ref="Y173">IFERROR(XLOOKUP(R173,'Refrence Data'!B:B,'Refrence Data'!N:N),"NA")</f>
        <v>1</v>
      </c>
      <c r="Z173" s="95" t="str">
        <f t="shared" si="5"/>
        <v>HIGH</v>
      </c>
      <c r="AA173" s="147">
        <f t="array" ref="AA173">XLOOKUP(R173,'Refrence Data'!B:B,'Refrence Data'!AC:AC)</f>
        <v>24.47063</v>
      </c>
      <c r="AB173" s="147">
        <f t="array" ref="AB173">IFERROR(XLOOKUP(R173,'Refrence Data'!B:B,'Refrence Data'!Y:Y),"NA")</f>
        <v>16.57278</v>
      </c>
      <c r="AC173" s="95" t="str">
        <f t="shared" si="6"/>
        <v>High</v>
      </c>
      <c r="AD173" s="95" t="str">
        <f t="shared" si="7"/>
        <v>Depth</v>
      </c>
      <c r="AE173" s="95" t="str">
        <f t="shared" si="8"/>
        <v>HIGHHighDepth</v>
      </c>
      <c r="AF173" s="95">
        <f t="array" ref="AF173">XLOOKUP(AE173,'Category Saturation'!A:A,'Category Saturation'!E:E)</f>
        <v>0</v>
      </c>
      <c r="AH173" s="148">
        <f t="array" ref="AH173">iferror(XLOOKUP(R173,'New Launch Success Rate'!A:A,'New Launch Success Rate'!F:F),"NA")</f>
        <v>0.477</v>
      </c>
      <c r="AI173" s="95">
        <f t="shared" si="9"/>
        <v>25</v>
      </c>
      <c r="AK173" s="149">
        <f t="shared" si="10"/>
        <v>62.5</v>
      </c>
      <c r="AM173" s="150">
        <f t="array" ref="AM173">XLOOKUP(R173,'Non Moving'!C:C,'Non Moving'!I:I)/100</f>
        <v>0</v>
      </c>
      <c r="AN173" s="151">
        <f t="shared" si="11"/>
        <v>100</v>
      </c>
      <c r="AO173" s="150">
        <f t="array" ref="AO173">XLOOKUP(R173,'Non Moving'!C:C,'Non Moving'!F:F)/100</f>
        <v>0</v>
      </c>
      <c r="AP173" s="151">
        <f t="shared" si="12"/>
        <v>100</v>
      </c>
      <c r="AR173" s="95">
        <f t="shared" si="13"/>
        <v>100</v>
      </c>
      <c r="AT173" s="95">
        <f t="shared" si="14"/>
        <v>0</v>
      </c>
      <c r="AU173" s="95">
        <f t="array" ref="AU173">iferror(XLOOKUP(J173,Monetization!A:A,Monetization!B:B),25)</f>
        <v>25</v>
      </c>
      <c r="AW173" s="95">
        <f t="shared" si="15"/>
        <v>7.5</v>
      </c>
      <c r="AY173" s="149">
        <f t="shared" si="16"/>
        <v>66.5</v>
      </c>
      <c r="AZ173" s="95" t="str">
        <f t="shared" si="17"/>
        <v>50-75</v>
      </c>
      <c r="BA173" s="95" t="str">
        <f t="shared" si="18"/>
        <v>50-75</v>
      </c>
      <c r="BB173" s="152">
        <f t="array" ref="BB173">iferror(XLOOKUP(C173,Sheet9!A:A,Sheet9!D:D),0)</f>
        <v>0.89</v>
      </c>
      <c r="BC173" s="2">
        <v>1.0</v>
      </c>
      <c r="BD173" s="95">
        <f t="array" ref="BD173">XLOOKUP(C173,ROS!C:C,ROS!O:O)</f>
        <v>0</v>
      </c>
      <c r="BE173" s="147">
        <f t="array" ref="BE173">IFERROR(XLOOKUP(C173,ROS!T:T,ROS!U:U),"")</f>
        <v>0.83502886</v>
      </c>
      <c r="BF173" s="147">
        <f t="array" ref="BF173">XLOOKUP(R173,'Refrence Data'!B:B,'Refrence Data'!T:T)</f>
        <v>16.57278</v>
      </c>
      <c r="BG173" s="95">
        <f t="shared" si="19"/>
        <v>0</v>
      </c>
      <c r="BH173" s="4" t="str">
        <f t="shared" si="20"/>
        <v>FP</v>
      </c>
      <c r="BI173" s="153" t="s">
        <v>3598</v>
      </c>
      <c r="BJ173" s="151">
        <f>COUNTIFS(BA:BA,BI173)</f>
        <v>31</v>
      </c>
      <c r="BK173" s="151">
        <f>SUMIFS(BG:BG,BA:BA,BI173)</f>
        <v>8</v>
      </c>
      <c r="BL173" s="151">
        <f>BJ173-BK173</f>
        <v>23</v>
      </c>
      <c r="BM173" s="151">
        <f>BK173</f>
        <v>8</v>
      </c>
      <c r="BN173" s="150">
        <f>BM173/BJ173</f>
        <v>0.2580645161</v>
      </c>
      <c r="BO173" s="153"/>
      <c r="BP173" s="153" t="str">
        <f t="shared" si="26"/>
        <v>FP</v>
      </c>
      <c r="BQ173" s="153"/>
      <c r="BR173" s="153"/>
      <c r="BS173" s="153"/>
    </row>
    <row r="174">
      <c r="A174" s="171">
        <v>8.908017962507E12</v>
      </c>
      <c r="B174" s="171" t="s">
        <v>3521</v>
      </c>
      <c r="C174" s="137" t="s">
        <v>1081</v>
      </c>
      <c r="D174" s="138" t="s">
        <v>616</v>
      </c>
      <c r="E174" s="139" t="s">
        <v>622</v>
      </c>
      <c r="F174" s="140" t="s">
        <v>3542</v>
      </c>
      <c r="G174" s="141">
        <v>0.0</v>
      </c>
      <c r="H174" s="142">
        <v>5.479277</v>
      </c>
      <c r="I174" s="143" t="s">
        <v>112</v>
      </c>
      <c r="J174" s="83"/>
      <c r="K174" s="174">
        <v>450.0</v>
      </c>
      <c r="R174" s="145" t="str">
        <f t="shared" si="1"/>
        <v>Noodles &amp; Soup_5-10</v>
      </c>
      <c r="S174" s="146" t="str">
        <f t="shared" si="2"/>
        <v>5-10</v>
      </c>
      <c r="T174" s="95" t="str">
        <f t="array" ref="T174">XLOOKUP(C174,'Depth or Width'!P:P,'Depth or Width'!V:V)</f>
        <v>Depth</v>
      </c>
      <c r="U174" s="93">
        <f t="shared" si="3"/>
        <v>5</v>
      </c>
      <c r="V174" s="147">
        <f t="array" ref="V174">iferror(XLOOKUP(R174,'Refrence Data'!B:B,'Refrence Data'!W:W),"NA")</f>
        <v>5.347041</v>
      </c>
      <c r="W174" s="95">
        <f t="shared" si="4"/>
        <v>100</v>
      </c>
      <c r="Y174" s="148">
        <f t="array" ref="Y174">IFERROR(XLOOKUP(R174,'Refrence Data'!B:B,'Refrence Data'!N:N),"NA")</f>
        <v>0.61668</v>
      </c>
      <c r="Z174" s="95" t="str">
        <f t="shared" si="5"/>
        <v>MEDIUM</v>
      </c>
      <c r="AA174" s="147">
        <f t="array" ref="AA174">XLOOKUP(R174,'Refrence Data'!B:B,'Refrence Data'!AC:AC)</f>
        <v>3.10509</v>
      </c>
      <c r="AB174" s="147">
        <f t="array" ref="AB174">IFERROR(XLOOKUP(R174,'Refrence Data'!B:B,'Refrence Data'!Y:Y),"NA")</f>
        <v>6.422177</v>
      </c>
      <c r="AC174" s="95" t="str">
        <f t="shared" si="6"/>
        <v>High</v>
      </c>
      <c r="AD174" s="95" t="str">
        <f t="shared" si="7"/>
        <v>Depth</v>
      </c>
      <c r="AE174" s="95" t="str">
        <f t="shared" si="8"/>
        <v>MEDIUMHighDepth</v>
      </c>
      <c r="AF174" s="95">
        <f t="array" ref="AF174">XLOOKUP(AE174,'Category Saturation'!A:A,'Category Saturation'!E:E)</f>
        <v>60</v>
      </c>
      <c r="AH174" s="148">
        <f t="array" ref="AH174">iferror(XLOOKUP(R174,'New Launch Success Rate'!A:A,'New Launch Success Rate'!F:F),"NA")</f>
        <v>0.8</v>
      </c>
      <c r="AI174" s="95">
        <f t="shared" si="9"/>
        <v>100</v>
      </c>
      <c r="AK174" s="149">
        <f t="shared" si="10"/>
        <v>88</v>
      </c>
      <c r="AM174" s="150">
        <f t="array" ref="AM174">XLOOKUP(R174,'Non Moving'!C:C,'Non Moving'!I:I)/100</f>
        <v>0.024</v>
      </c>
      <c r="AN174" s="151">
        <f t="shared" si="11"/>
        <v>100</v>
      </c>
      <c r="AO174" s="150">
        <f t="array" ref="AO174">XLOOKUP(R174,'Non Moving'!C:C,'Non Moving'!F:F)/100</f>
        <v>0.13</v>
      </c>
      <c r="AP174" s="151">
        <f t="shared" si="12"/>
        <v>100</v>
      </c>
      <c r="AR174" s="95">
        <f t="shared" si="13"/>
        <v>100</v>
      </c>
      <c r="AT174" s="95">
        <f t="shared" si="14"/>
        <v>100</v>
      </c>
      <c r="AU174" s="95">
        <f t="array" ref="AU174">iferror(XLOOKUP(J174,Monetization!A:A,Monetization!B:B),25)</f>
        <v>25</v>
      </c>
      <c r="AW174" s="95">
        <f t="shared" si="15"/>
        <v>77.5</v>
      </c>
      <c r="AY174" s="149">
        <f t="shared" si="16"/>
        <v>90.7</v>
      </c>
      <c r="AZ174" s="95" t="str">
        <f t="shared" si="17"/>
        <v>75-100</v>
      </c>
      <c r="BA174" s="95" t="str">
        <f t="shared" si="18"/>
        <v>75-100</v>
      </c>
      <c r="BB174" s="152">
        <f t="array" ref="BB174">iferror(XLOOKUP(C174,Sheet9!A:A,Sheet9!D:D),0)</f>
        <v>0.37</v>
      </c>
      <c r="BC174" s="2">
        <v>1.0</v>
      </c>
      <c r="BD174" s="95">
        <f t="array" ref="BD174">XLOOKUP(C174,ROS!C:C,ROS!O:O)</f>
        <v>0.285714</v>
      </c>
      <c r="BE174" s="147">
        <f t="array" ref="BE174">IFERROR(XLOOKUP(C174,ROS!T:T,ROS!U:U),"")</f>
        <v>2</v>
      </c>
      <c r="BF174" s="147">
        <f t="array" ref="BF174">XLOOKUP(R174,'Refrence Data'!B:B,'Refrence Data'!T:T)</f>
        <v>1</v>
      </c>
      <c r="BG174" s="95">
        <f t="shared" si="19"/>
        <v>1</v>
      </c>
      <c r="BH174" s="4" t="str">
        <f t="shared" si="20"/>
        <v/>
      </c>
      <c r="BO174" s="153"/>
      <c r="BP174" s="153" t="str">
        <f t="shared" si="26"/>
        <v/>
      </c>
      <c r="BQ174" s="153"/>
      <c r="BR174" s="153"/>
      <c r="BS174" s="153"/>
    </row>
    <row r="175">
      <c r="A175" s="171">
        <v>6.281034916329E12</v>
      </c>
      <c r="B175" s="171" t="s">
        <v>3507</v>
      </c>
      <c r="C175" s="137" t="s">
        <v>842</v>
      </c>
      <c r="D175" s="138" t="s">
        <v>180</v>
      </c>
      <c r="E175" s="139" t="s">
        <v>844</v>
      </c>
      <c r="F175" s="140" t="s">
        <v>3599</v>
      </c>
      <c r="G175" s="141">
        <v>0.0</v>
      </c>
      <c r="H175" s="142">
        <v>0.087605</v>
      </c>
      <c r="I175" s="143" t="s">
        <v>111</v>
      </c>
      <c r="J175" s="83"/>
      <c r="K175" s="174">
        <v>180.0</v>
      </c>
      <c r="R175" s="145" t="str">
        <f t="shared" si="1"/>
        <v>Juices &amp; Cordials_0-5</v>
      </c>
      <c r="S175" s="146" t="str">
        <f t="shared" si="2"/>
        <v>0-5</v>
      </c>
      <c r="T175" s="95" t="str">
        <f t="array" ref="T175">XLOOKUP(C175,'Depth or Width'!P:P,'Depth or Width'!V:V)</f>
        <v>Depth</v>
      </c>
      <c r="U175" s="93">
        <f t="shared" si="3"/>
        <v>5</v>
      </c>
      <c r="V175" s="147">
        <f t="array" ref="V175">iferror(XLOOKUP(R175,'Refrence Data'!B:B,'Refrence Data'!W:W),"NA")</f>
        <v>24.42536</v>
      </c>
      <c r="W175" s="95">
        <f t="shared" si="4"/>
        <v>100</v>
      </c>
      <c r="Y175" s="148">
        <f t="array" ref="Y175">IFERROR(XLOOKUP(R175,'Refrence Data'!B:B,'Refrence Data'!N:N),"NA")</f>
        <v>0.607889</v>
      </c>
      <c r="Z175" s="95" t="str">
        <f t="shared" si="5"/>
        <v>MEDIUM</v>
      </c>
      <c r="AA175" s="147">
        <f t="array" ref="AA175">XLOOKUP(R175,'Refrence Data'!B:B,'Refrence Data'!AC:AC)</f>
        <v>9.931681</v>
      </c>
      <c r="AB175" s="147">
        <f t="array" ref="AB175">IFERROR(XLOOKUP(R175,'Refrence Data'!B:B,'Refrence Data'!Y:Y),"NA")</f>
        <v>16.62915</v>
      </c>
      <c r="AC175" s="95" t="str">
        <f t="shared" si="6"/>
        <v>High</v>
      </c>
      <c r="AD175" s="95" t="str">
        <f t="shared" si="7"/>
        <v>Depth</v>
      </c>
      <c r="AE175" s="95" t="str">
        <f t="shared" si="8"/>
        <v>MEDIUMHighDepth</v>
      </c>
      <c r="AF175" s="95">
        <f t="array" ref="AF175">XLOOKUP(AE175,'Category Saturation'!A:A,'Category Saturation'!E:E)</f>
        <v>60</v>
      </c>
      <c r="AH175" s="148">
        <f t="array" ref="AH175">iferror(XLOOKUP(R175,'New Launch Success Rate'!A:A,'New Launch Success Rate'!F:F),"NA")</f>
        <v>0.50025</v>
      </c>
      <c r="AI175" s="95">
        <f t="shared" si="9"/>
        <v>50</v>
      </c>
      <c r="AK175" s="149">
        <f t="shared" si="10"/>
        <v>83</v>
      </c>
      <c r="AM175" s="150">
        <f t="array" ref="AM175">XLOOKUP(R175,'Non Moving'!C:C,'Non Moving'!I:I)/100</f>
        <v>0.039</v>
      </c>
      <c r="AN175" s="151">
        <f t="shared" si="11"/>
        <v>100</v>
      </c>
      <c r="AO175" s="150">
        <f t="array" ref="AO175">XLOOKUP(R175,'Non Moving'!C:C,'Non Moving'!F:F)/100</f>
        <v>0.059</v>
      </c>
      <c r="AP175" s="151">
        <f t="shared" si="12"/>
        <v>100</v>
      </c>
      <c r="AR175" s="95">
        <f t="shared" si="13"/>
        <v>100</v>
      </c>
      <c r="AT175" s="95">
        <f t="shared" si="14"/>
        <v>0</v>
      </c>
      <c r="AU175" s="95">
        <f t="array" ref="AU175">iferror(XLOOKUP(J175,Monetization!A:A,Monetization!B:B),25)</f>
        <v>25</v>
      </c>
      <c r="AW175" s="95">
        <f t="shared" si="15"/>
        <v>7.5</v>
      </c>
      <c r="AY175" s="149">
        <f t="shared" si="16"/>
        <v>74.7</v>
      </c>
      <c r="AZ175" s="95" t="str">
        <f t="shared" si="17"/>
        <v>50-75</v>
      </c>
      <c r="BA175" s="95" t="str">
        <f t="shared" si="18"/>
        <v>75-100</v>
      </c>
      <c r="BB175" s="152">
        <f t="array" ref="BB175">iferror(XLOOKUP(C175,Sheet9!A:A,Sheet9!D:D),0)</f>
        <v>0.86</v>
      </c>
      <c r="BC175" s="2">
        <v>1.0</v>
      </c>
      <c r="BD175" s="95">
        <f t="array" ref="BD175">XLOOKUP(C175,ROS!C:C,ROS!O:O)</f>
        <v>1</v>
      </c>
      <c r="BE175" s="147">
        <f t="array" ref="BE175">IFERROR(XLOOKUP(C175,ROS!T:T,ROS!U:U),"")</f>
        <v>1.083333333</v>
      </c>
      <c r="BF175" s="147">
        <f t="array" ref="BF175">XLOOKUP(R175,'Refrence Data'!B:B,'Refrence Data'!T:T)</f>
        <v>13.17738</v>
      </c>
      <c r="BG175" s="95">
        <f t="shared" si="19"/>
        <v>0</v>
      </c>
      <c r="BH175" s="4" t="str">
        <f t="shared" si="20"/>
        <v>FP</v>
      </c>
      <c r="BO175" s="153"/>
      <c r="BP175" s="153" t="str">
        <f t="shared" si="26"/>
        <v>FP</v>
      </c>
      <c r="BQ175" s="153"/>
      <c r="BR175" s="153"/>
      <c r="BS175" s="153"/>
    </row>
    <row r="176">
      <c r="A176" s="171">
        <v>8.908017962354E12</v>
      </c>
      <c r="B176" s="171" t="s">
        <v>3521</v>
      </c>
      <c r="C176" s="137" t="s">
        <v>1083</v>
      </c>
      <c r="D176" s="138" t="s">
        <v>616</v>
      </c>
      <c r="E176" s="139" t="s">
        <v>622</v>
      </c>
      <c r="F176" s="140" t="s">
        <v>3542</v>
      </c>
      <c r="G176" s="141">
        <v>0.0</v>
      </c>
      <c r="H176" s="142">
        <v>4.34811</v>
      </c>
      <c r="I176" s="143" t="s">
        <v>112</v>
      </c>
      <c r="J176" s="83"/>
      <c r="K176" s="174">
        <v>240.0</v>
      </c>
      <c r="R176" s="145" t="str">
        <f t="shared" si="1"/>
        <v>Noodles &amp; Soup_0-5</v>
      </c>
      <c r="S176" s="146" t="str">
        <f t="shared" si="2"/>
        <v>0-5</v>
      </c>
      <c r="T176" s="95" t="str">
        <f t="array" ref="T176">XLOOKUP(C176,'Depth or Width'!P:P,'Depth or Width'!V:V)</f>
        <v>Depth</v>
      </c>
      <c r="U176" s="93">
        <f t="shared" si="3"/>
        <v>5</v>
      </c>
      <c r="V176" s="147">
        <f t="array" ref="V176">iferror(XLOOKUP(R176,'Refrence Data'!B:B,'Refrence Data'!W:W),"NA")</f>
        <v>13.67064</v>
      </c>
      <c r="W176" s="95">
        <f t="shared" si="4"/>
        <v>100</v>
      </c>
      <c r="Y176" s="148">
        <f t="array" ref="Y176">IFERROR(XLOOKUP(R176,'Refrence Data'!B:B,'Refrence Data'!N:N),"NA")</f>
        <v>0.787002</v>
      </c>
      <c r="Z176" s="95" t="str">
        <f t="shared" si="5"/>
        <v>HIGH</v>
      </c>
      <c r="AA176" s="147">
        <f t="array" ref="AA176">XLOOKUP(R176,'Refrence Data'!B:B,'Refrence Data'!AC:AC)</f>
        <v>3.10509</v>
      </c>
      <c r="AB176" s="147">
        <f t="array" ref="AB176">IFERROR(XLOOKUP(R176,'Refrence Data'!B:B,'Refrence Data'!Y:Y),"NA")</f>
        <v>7.541123</v>
      </c>
      <c r="AC176" s="95" t="str">
        <f t="shared" si="6"/>
        <v>High</v>
      </c>
      <c r="AD176" s="95" t="str">
        <f t="shared" si="7"/>
        <v>Depth</v>
      </c>
      <c r="AE176" s="95" t="str">
        <f t="shared" si="8"/>
        <v>HIGHHighDepth</v>
      </c>
      <c r="AF176" s="95">
        <f t="array" ref="AF176">XLOOKUP(AE176,'Category Saturation'!A:A,'Category Saturation'!E:E)</f>
        <v>0</v>
      </c>
      <c r="AH176" s="148">
        <f t="array" ref="AH176">iferror(XLOOKUP(R176,'New Launch Success Rate'!A:A,'New Launch Success Rate'!F:F),"NA")</f>
        <v>0.75</v>
      </c>
      <c r="AI176" s="95">
        <f t="shared" si="9"/>
        <v>100</v>
      </c>
      <c r="AK176" s="149">
        <f t="shared" si="10"/>
        <v>70</v>
      </c>
      <c r="AM176" s="150">
        <f t="array" ref="AM176">XLOOKUP(R176,'Non Moving'!C:C,'Non Moving'!I:I)/100</f>
        <v>0.012</v>
      </c>
      <c r="AN176" s="151">
        <f t="shared" si="11"/>
        <v>100</v>
      </c>
      <c r="AO176" s="150">
        <f t="array" ref="AO176">XLOOKUP(R176,'Non Moving'!C:C,'Non Moving'!F:F)/100</f>
        <v>0.086</v>
      </c>
      <c r="AP176" s="151">
        <f t="shared" si="12"/>
        <v>100</v>
      </c>
      <c r="AR176" s="95">
        <f t="shared" si="13"/>
        <v>100</v>
      </c>
      <c r="AT176" s="95">
        <f t="shared" si="14"/>
        <v>100</v>
      </c>
      <c r="AU176" s="95">
        <f t="array" ref="AU176">iferror(XLOOKUP(J176,Monetization!A:A,Monetization!B:B),25)</f>
        <v>25</v>
      </c>
      <c r="AW176" s="95">
        <f t="shared" si="15"/>
        <v>77.5</v>
      </c>
      <c r="AY176" s="149">
        <f t="shared" si="16"/>
        <v>83.5</v>
      </c>
      <c r="AZ176" s="95" t="str">
        <f t="shared" si="17"/>
        <v>75-100</v>
      </c>
      <c r="BA176" s="95" t="str">
        <f t="shared" si="18"/>
        <v>50-75</v>
      </c>
      <c r="BB176" s="152">
        <f t="array" ref="BB176">iferror(XLOOKUP(C176,Sheet9!A:A,Sheet9!D:D),0)</f>
        <v>0.84</v>
      </c>
      <c r="BC176" s="2">
        <v>1.0</v>
      </c>
      <c r="BD176" s="95">
        <f t="array" ref="BD176">XLOOKUP(C176,ROS!C:C,ROS!O:O)</f>
        <v>1.180952</v>
      </c>
      <c r="BE176" s="147">
        <f t="array" ref="BE176">IFERROR(XLOOKUP(C176,ROS!T:T,ROS!U:U),"")</f>
        <v>0.972222222</v>
      </c>
      <c r="BF176" s="147">
        <f t="array" ref="BF176">XLOOKUP(R176,'Refrence Data'!B:B,'Refrence Data'!T:T)</f>
        <v>0.160256</v>
      </c>
      <c r="BG176" s="95">
        <f t="shared" si="19"/>
        <v>1</v>
      </c>
      <c r="BH176" s="4" t="str">
        <f t="shared" si="20"/>
        <v>TP</v>
      </c>
      <c r="BO176" s="153"/>
      <c r="BP176" s="153" t="str">
        <f t="shared" si="26"/>
        <v>TP</v>
      </c>
      <c r="BQ176" s="153"/>
      <c r="BR176" s="153"/>
      <c r="BS176" s="153"/>
    </row>
    <row r="177">
      <c r="A177" s="171">
        <v>8.906131682417E12</v>
      </c>
      <c r="B177" s="171" t="s">
        <v>3521</v>
      </c>
      <c r="C177" s="137" t="s">
        <v>1084</v>
      </c>
      <c r="D177" s="138" t="s">
        <v>616</v>
      </c>
      <c r="E177" s="139" t="s">
        <v>622</v>
      </c>
      <c r="F177" s="140" t="s">
        <v>3522</v>
      </c>
      <c r="G177" s="141">
        <v>130.0</v>
      </c>
      <c r="H177" s="142">
        <v>2.747829</v>
      </c>
      <c r="I177" s="143" t="s">
        <v>111</v>
      </c>
      <c r="J177" s="83"/>
      <c r="K177" s="174">
        <v>270.0</v>
      </c>
      <c r="R177" s="145" t="str">
        <f t="shared" si="1"/>
        <v>Noodles &amp; Soup_0-5</v>
      </c>
      <c r="S177" s="146" t="str">
        <f t="shared" si="2"/>
        <v>0-5</v>
      </c>
      <c r="T177" s="95" t="str">
        <f t="array" ref="T177">XLOOKUP(C177,'Depth or Width'!P:P,'Depth or Width'!V:V)</f>
        <v>Width</v>
      </c>
      <c r="U177" s="93">
        <f t="shared" si="3"/>
        <v>5</v>
      </c>
      <c r="V177" s="147">
        <f t="array" ref="V177">iferror(XLOOKUP(R177,'Refrence Data'!B:B,'Refrence Data'!W:W),"NA")</f>
        <v>13.67064</v>
      </c>
      <c r="W177" s="95">
        <f t="shared" si="4"/>
        <v>100</v>
      </c>
      <c r="Y177" s="148">
        <f t="array" ref="Y177">IFERROR(XLOOKUP(R177,'Refrence Data'!B:B,'Refrence Data'!N:N),"NA")</f>
        <v>0.787002</v>
      </c>
      <c r="Z177" s="95" t="str">
        <f t="shared" si="5"/>
        <v>HIGH</v>
      </c>
      <c r="AA177" s="147">
        <f t="array" ref="AA177">XLOOKUP(R177,'Refrence Data'!B:B,'Refrence Data'!AC:AC)</f>
        <v>3.10509</v>
      </c>
      <c r="AB177" s="147">
        <f t="array" ref="AB177">IFERROR(XLOOKUP(R177,'Refrence Data'!B:B,'Refrence Data'!Y:Y),"NA")</f>
        <v>7.541123</v>
      </c>
      <c r="AC177" s="95" t="str">
        <f t="shared" si="6"/>
        <v>High</v>
      </c>
      <c r="AD177" s="95" t="str">
        <f t="shared" si="7"/>
        <v>Width</v>
      </c>
      <c r="AE177" s="95" t="str">
        <f t="shared" si="8"/>
        <v>HIGHHighWidth</v>
      </c>
      <c r="AF177" s="95">
        <f t="array" ref="AF177">XLOOKUP(AE177,'Category Saturation'!A:A,'Category Saturation'!E:E)</f>
        <v>25</v>
      </c>
      <c r="AH177" s="148">
        <f t="array" ref="AH177">iferror(XLOOKUP(R177,'New Launch Success Rate'!A:A,'New Launch Success Rate'!F:F),"NA")</f>
        <v>0.75</v>
      </c>
      <c r="AI177" s="95">
        <f t="shared" si="9"/>
        <v>100</v>
      </c>
      <c r="AK177" s="149">
        <f t="shared" si="10"/>
        <v>77.5</v>
      </c>
      <c r="AM177" s="150">
        <f t="array" ref="AM177">XLOOKUP(R177,'Non Moving'!C:C,'Non Moving'!I:I)/100</f>
        <v>0.012</v>
      </c>
      <c r="AN177" s="151">
        <f t="shared" si="11"/>
        <v>100</v>
      </c>
      <c r="AO177" s="150">
        <f t="array" ref="AO177">XLOOKUP(R177,'Non Moving'!C:C,'Non Moving'!F:F)/100</f>
        <v>0.086</v>
      </c>
      <c r="AP177" s="151">
        <f t="shared" si="12"/>
        <v>100</v>
      </c>
      <c r="AR177" s="95">
        <f t="shared" si="13"/>
        <v>100</v>
      </c>
      <c r="AT177" s="95">
        <f t="shared" si="14"/>
        <v>0</v>
      </c>
      <c r="AU177" s="95">
        <f t="array" ref="AU177">iferror(XLOOKUP(J177,Monetization!A:A,Monetization!B:B),25)</f>
        <v>25</v>
      </c>
      <c r="AW177" s="95">
        <f t="shared" si="15"/>
        <v>7.5</v>
      </c>
      <c r="AY177" s="149">
        <f t="shared" si="16"/>
        <v>72.5</v>
      </c>
      <c r="AZ177" s="95" t="str">
        <f t="shared" si="17"/>
        <v>50-75</v>
      </c>
      <c r="BA177" s="95" t="str">
        <f t="shared" si="18"/>
        <v>75-100</v>
      </c>
      <c r="BB177" s="152">
        <f t="array" ref="BB177">iferror(XLOOKUP(C177,Sheet9!A:A,Sheet9!D:D),0)</f>
        <v>0.76</v>
      </c>
      <c r="BC177" s="2">
        <v>1.0</v>
      </c>
      <c r="BD177" s="95">
        <f t="array" ref="BD177">XLOOKUP(C177,ROS!C:C,ROS!O:O)</f>
        <v>5.545971</v>
      </c>
      <c r="BE177" s="147">
        <f t="array" ref="BE177">IFERROR(XLOOKUP(C177,ROS!T:T,ROS!U:U),"")</f>
        <v>1.591269841</v>
      </c>
      <c r="BF177" s="147">
        <f t="array" ref="BF177">XLOOKUP(R177,'Refrence Data'!B:B,'Refrence Data'!T:T)</f>
        <v>0.160256</v>
      </c>
      <c r="BG177" s="95">
        <f t="shared" si="19"/>
        <v>1</v>
      </c>
      <c r="BH177" s="4" t="str">
        <f t="shared" si="20"/>
        <v>TP</v>
      </c>
      <c r="BO177" s="153"/>
      <c r="BP177" s="153" t="str">
        <f t="shared" si="26"/>
        <v>TP</v>
      </c>
      <c r="BQ177" s="153"/>
      <c r="BR177" s="153"/>
      <c r="BS177" s="153"/>
    </row>
    <row r="178">
      <c r="A178" s="171">
        <v>6.281034916244E12</v>
      </c>
      <c r="B178" s="171" t="s">
        <v>3507</v>
      </c>
      <c r="C178" s="137" t="s">
        <v>846</v>
      </c>
      <c r="D178" s="138" t="s">
        <v>180</v>
      </c>
      <c r="E178" s="139" t="s">
        <v>844</v>
      </c>
      <c r="F178" s="140" t="s">
        <v>3599</v>
      </c>
      <c r="G178" s="141">
        <v>0.0</v>
      </c>
      <c r="H178" s="142">
        <v>3.247434</v>
      </c>
      <c r="I178" s="143" t="s">
        <v>111</v>
      </c>
      <c r="J178" s="83"/>
      <c r="K178" s="174">
        <v>180.0</v>
      </c>
      <c r="R178" s="145" t="str">
        <f t="shared" si="1"/>
        <v>Juices &amp; Cordials_0-5</v>
      </c>
      <c r="S178" s="146" t="str">
        <f t="shared" si="2"/>
        <v>0-5</v>
      </c>
      <c r="T178" s="95" t="str">
        <f t="array" ref="T178">XLOOKUP(C178,'Depth or Width'!P:P,'Depth or Width'!V:V)</f>
        <v>Depth</v>
      </c>
      <c r="U178" s="93">
        <f t="shared" si="3"/>
        <v>5</v>
      </c>
      <c r="V178" s="147">
        <f t="array" ref="V178">iferror(XLOOKUP(R178,'Refrence Data'!B:B,'Refrence Data'!W:W),"NA")</f>
        <v>24.42536</v>
      </c>
      <c r="W178" s="95">
        <f t="shared" si="4"/>
        <v>100</v>
      </c>
      <c r="Y178" s="148">
        <f t="array" ref="Y178">IFERROR(XLOOKUP(R178,'Refrence Data'!B:B,'Refrence Data'!N:N),"NA")</f>
        <v>0.607889</v>
      </c>
      <c r="Z178" s="95" t="str">
        <f t="shared" si="5"/>
        <v>MEDIUM</v>
      </c>
      <c r="AA178" s="147">
        <f t="array" ref="AA178">XLOOKUP(R178,'Refrence Data'!B:B,'Refrence Data'!AC:AC)</f>
        <v>9.931681</v>
      </c>
      <c r="AB178" s="147">
        <f t="array" ref="AB178">IFERROR(XLOOKUP(R178,'Refrence Data'!B:B,'Refrence Data'!Y:Y),"NA")</f>
        <v>16.62915</v>
      </c>
      <c r="AC178" s="95" t="str">
        <f t="shared" si="6"/>
        <v>High</v>
      </c>
      <c r="AD178" s="95" t="str">
        <f t="shared" si="7"/>
        <v>Depth</v>
      </c>
      <c r="AE178" s="95" t="str">
        <f t="shared" si="8"/>
        <v>MEDIUMHighDepth</v>
      </c>
      <c r="AF178" s="95">
        <f t="array" ref="AF178">XLOOKUP(AE178,'Category Saturation'!A:A,'Category Saturation'!E:E)</f>
        <v>60</v>
      </c>
      <c r="AH178" s="148">
        <f t="array" ref="AH178">iferror(XLOOKUP(R178,'New Launch Success Rate'!A:A,'New Launch Success Rate'!F:F),"NA")</f>
        <v>0.50025</v>
      </c>
      <c r="AI178" s="95">
        <f t="shared" si="9"/>
        <v>50</v>
      </c>
      <c r="AK178" s="149">
        <f t="shared" si="10"/>
        <v>83</v>
      </c>
      <c r="AM178" s="150">
        <f t="array" ref="AM178">XLOOKUP(R178,'Non Moving'!C:C,'Non Moving'!I:I)/100</f>
        <v>0.039</v>
      </c>
      <c r="AN178" s="151">
        <f t="shared" si="11"/>
        <v>100</v>
      </c>
      <c r="AO178" s="150">
        <f t="array" ref="AO178">XLOOKUP(R178,'Non Moving'!C:C,'Non Moving'!F:F)/100</f>
        <v>0.059</v>
      </c>
      <c r="AP178" s="151">
        <f t="shared" si="12"/>
        <v>100</v>
      </c>
      <c r="AR178" s="95">
        <f t="shared" si="13"/>
        <v>100</v>
      </c>
      <c r="AT178" s="95">
        <f t="shared" si="14"/>
        <v>0</v>
      </c>
      <c r="AU178" s="95">
        <f t="array" ref="AU178">iferror(XLOOKUP(J178,Monetization!A:A,Monetization!B:B),25)</f>
        <v>25</v>
      </c>
      <c r="AW178" s="95">
        <f t="shared" si="15"/>
        <v>7.5</v>
      </c>
      <c r="AY178" s="149">
        <f t="shared" si="16"/>
        <v>74.7</v>
      </c>
      <c r="AZ178" s="95" t="str">
        <f t="shared" si="17"/>
        <v>50-75</v>
      </c>
      <c r="BA178" s="95" t="str">
        <f t="shared" si="18"/>
        <v>75-100</v>
      </c>
      <c r="BB178" s="152">
        <f t="array" ref="BB178">iferror(XLOOKUP(C178,Sheet9!A:A,Sheet9!D:D),0)</f>
        <v>0.86</v>
      </c>
      <c r="BC178" s="2">
        <v>1.0</v>
      </c>
      <c r="BD178" s="95">
        <f t="array" ref="BD178">XLOOKUP(C178,ROS!C:C,ROS!O:O)</f>
        <v>1.341575</v>
      </c>
      <c r="BE178" s="147">
        <f t="array" ref="BE178">IFERROR(XLOOKUP(C178,ROS!T:T,ROS!U:U),"")</f>
        <v>0.333333333</v>
      </c>
      <c r="BF178" s="147">
        <f t="array" ref="BF178">XLOOKUP(R178,'Refrence Data'!B:B,'Refrence Data'!T:T)</f>
        <v>13.17738</v>
      </c>
      <c r="BG178" s="95">
        <f t="shared" si="19"/>
        <v>0</v>
      </c>
      <c r="BH178" s="4" t="str">
        <f t="shared" si="20"/>
        <v>FP</v>
      </c>
      <c r="BO178" s="153"/>
      <c r="BP178" s="153" t="str">
        <f t="shared" si="26"/>
        <v>FP</v>
      </c>
      <c r="BQ178" s="153"/>
      <c r="BR178" s="153"/>
      <c r="BS178" s="153"/>
    </row>
    <row r="179">
      <c r="A179" s="171">
        <v>5.039378005176E12</v>
      </c>
      <c r="B179" s="171" t="s">
        <v>3521</v>
      </c>
      <c r="C179" s="137" t="s">
        <v>1087</v>
      </c>
      <c r="D179" s="138" t="s">
        <v>630</v>
      </c>
      <c r="E179" s="139" t="s">
        <v>640</v>
      </c>
      <c r="F179" s="140" t="s">
        <v>3600</v>
      </c>
      <c r="G179" s="141">
        <v>80.0</v>
      </c>
      <c r="H179" s="142">
        <v>13.72282</v>
      </c>
      <c r="I179" s="143" t="s">
        <v>111</v>
      </c>
      <c r="J179" s="83"/>
      <c r="K179" s="174">
        <v>365.0</v>
      </c>
      <c r="R179" s="145" t="str">
        <f t="shared" si="1"/>
        <v>Chips &amp; Dips_10-15</v>
      </c>
      <c r="S179" s="146" t="str">
        <f t="shared" si="2"/>
        <v>10-15</v>
      </c>
      <c r="T179" s="95" t="str">
        <f t="array" ref="T179">XLOOKUP(C179,'Depth or Width'!P:P,'Depth or Width'!V:V)</f>
        <v>Width</v>
      </c>
      <c r="U179" s="93">
        <f t="shared" si="3"/>
        <v>5</v>
      </c>
      <c r="V179" s="147">
        <f t="array" ref="V179">iferror(XLOOKUP(R179,'Refrence Data'!B:B,'Refrence Data'!W:W),"NA")</f>
        <v>5.994401</v>
      </c>
      <c r="W179" s="95">
        <f t="shared" si="4"/>
        <v>100</v>
      </c>
      <c r="Y179" s="148">
        <f t="array" ref="Y179">IFERROR(XLOOKUP(R179,'Refrence Data'!B:B,'Refrence Data'!N:N),"NA")</f>
        <v>0.759702</v>
      </c>
      <c r="Z179" s="95" t="str">
        <f t="shared" si="5"/>
        <v>HIGH</v>
      </c>
      <c r="AA179" s="147">
        <f t="array" ref="AA179">XLOOKUP(R179,'Refrence Data'!B:B,'Refrence Data'!AC:AC)</f>
        <v>6.718884</v>
      </c>
      <c r="AB179" s="147">
        <f t="array" ref="AB179">IFERROR(XLOOKUP(R179,'Refrence Data'!B:B,'Refrence Data'!Y:Y),"NA")</f>
        <v>8.763743</v>
      </c>
      <c r="AC179" s="95" t="str">
        <f t="shared" si="6"/>
        <v>High</v>
      </c>
      <c r="AD179" s="95" t="str">
        <f t="shared" si="7"/>
        <v>Width</v>
      </c>
      <c r="AE179" s="95" t="str">
        <f t="shared" si="8"/>
        <v>HIGHHighWidth</v>
      </c>
      <c r="AF179" s="95">
        <f t="array" ref="AF179">XLOOKUP(AE179,'Category Saturation'!A:A,'Category Saturation'!E:E)</f>
        <v>25</v>
      </c>
      <c r="AH179" s="148">
        <f t="array" ref="AH179">iferror(XLOOKUP(R179,'New Launch Success Rate'!A:A,'New Launch Success Rate'!F:F),"NA")</f>
        <v>0.429</v>
      </c>
      <c r="AI179" s="95">
        <f t="shared" si="9"/>
        <v>25</v>
      </c>
      <c r="AK179" s="149">
        <f t="shared" si="10"/>
        <v>70</v>
      </c>
      <c r="AM179" s="150">
        <f t="array" ref="AM179">XLOOKUP(R179,'Non Moving'!C:C,'Non Moving'!I:I)/100</f>
        <v>0.044</v>
      </c>
      <c r="AN179" s="151">
        <f t="shared" si="11"/>
        <v>100</v>
      </c>
      <c r="AO179" s="150">
        <f t="array" ref="AO179">XLOOKUP(R179,'Non Moving'!C:C,'Non Moving'!F:F)/100</f>
        <v>0.117</v>
      </c>
      <c r="AP179" s="151">
        <f t="shared" si="12"/>
        <v>100</v>
      </c>
      <c r="AR179" s="95">
        <f t="shared" si="13"/>
        <v>100</v>
      </c>
      <c r="AT179" s="95">
        <f t="shared" si="14"/>
        <v>0</v>
      </c>
      <c r="AU179" s="95">
        <f t="array" ref="AU179">iferror(XLOOKUP(J179,Monetization!A:A,Monetization!B:B),25)</f>
        <v>25</v>
      </c>
      <c r="AW179" s="95">
        <f t="shared" si="15"/>
        <v>7.5</v>
      </c>
      <c r="AY179" s="149">
        <f t="shared" si="16"/>
        <v>69.5</v>
      </c>
      <c r="AZ179" s="95" t="str">
        <f t="shared" si="17"/>
        <v>50-75</v>
      </c>
      <c r="BA179" s="95" t="str">
        <f t="shared" si="18"/>
        <v>50-75</v>
      </c>
      <c r="BB179" s="152">
        <f t="array" ref="BB179">iferror(XLOOKUP(C179,Sheet9!A:A,Sheet9!D:D),0)</f>
        <v>0</v>
      </c>
      <c r="BC179" s="2">
        <v>1.0</v>
      </c>
      <c r="BD179" s="95">
        <f t="array" ref="BD179">XLOOKUP(C179,ROS!C:C,ROS!O:O)</f>
        <v>0.779004</v>
      </c>
      <c r="BE179" s="147" t="str">
        <f t="array" ref="BE179">IFERROR(XLOOKUP(C179,ROS!T:T,ROS!U:U),"")</f>
        <v/>
      </c>
      <c r="BF179" s="147">
        <f t="array" ref="BF179">XLOOKUP(R179,'Refrence Data'!B:B,'Refrence Data'!T:T)</f>
        <v>0.414286</v>
      </c>
      <c r="BG179" s="95">
        <f t="shared" si="19"/>
        <v>0</v>
      </c>
      <c r="BH179" s="4" t="str">
        <f t="shared" si="20"/>
        <v/>
      </c>
      <c r="BO179" s="153"/>
      <c r="BP179" s="153" t="str">
        <f t="shared" si="26"/>
        <v/>
      </c>
      <c r="BQ179" s="153"/>
      <c r="BR179" s="153"/>
      <c r="BS179" s="153"/>
    </row>
    <row r="180">
      <c r="A180" s="171">
        <v>7.33603100982E11</v>
      </c>
      <c r="B180" s="171" t="s">
        <v>3521</v>
      </c>
      <c r="C180" s="137" t="s">
        <v>1090</v>
      </c>
      <c r="D180" s="138" t="s">
        <v>630</v>
      </c>
      <c r="E180" s="139" t="s">
        <v>640</v>
      </c>
      <c r="F180" s="140" t="s">
        <v>3601</v>
      </c>
      <c r="G180" s="141">
        <v>0.0</v>
      </c>
      <c r="H180" s="142">
        <v>4.564393</v>
      </c>
      <c r="I180" s="143" t="s">
        <v>111</v>
      </c>
      <c r="J180" s="83"/>
      <c r="K180" s="174">
        <v>365.0</v>
      </c>
      <c r="R180" s="145" t="str">
        <f t="shared" si="1"/>
        <v>Chips &amp; Dips_0-5</v>
      </c>
      <c r="S180" s="146" t="str">
        <f t="shared" si="2"/>
        <v>0-5</v>
      </c>
      <c r="T180" s="95" t="str">
        <f t="array" ref="T180">XLOOKUP(C180,'Depth or Width'!P:P,'Depth or Width'!V:V)</f>
        <v>Depth</v>
      </c>
      <c r="U180" s="93">
        <f t="shared" si="3"/>
        <v>5</v>
      </c>
      <c r="V180" s="147">
        <f t="array" ref="V180">iferror(XLOOKUP(R180,'Refrence Data'!B:B,'Refrence Data'!W:W),"NA")</f>
        <v>22.69025</v>
      </c>
      <c r="W180" s="95">
        <f t="shared" si="4"/>
        <v>100</v>
      </c>
      <c r="Y180" s="148">
        <f t="array" ref="Y180">IFERROR(XLOOKUP(R180,'Refrence Data'!B:B,'Refrence Data'!N:N),"NA")</f>
        <v>0.822571</v>
      </c>
      <c r="Z180" s="95" t="str">
        <f t="shared" si="5"/>
        <v>HIGH</v>
      </c>
      <c r="AA180" s="147">
        <f t="array" ref="AA180">XLOOKUP(R180,'Refrence Data'!B:B,'Refrence Data'!AC:AC)</f>
        <v>6.718884</v>
      </c>
      <c r="AB180" s="147">
        <f t="array" ref="AB180">IFERROR(XLOOKUP(R180,'Refrence Data'!B:B,'Refrence Data'!Y:Y),"NA")</f>
        <v>39.77924</v>
      </c>
      <c r="AC180" s="95" t="str">
        <f t="shared" si="6"/>
        <v>High</v>
      </c>
      <c r="AD180" s="95" t="str">
        <f t="shared" si="7"/>
        <v>Depth</v>
      </c>
      <c r="AE180" s="95" t="str">
        <f t="shared" si="8"/>
        <v>HIGHHighDepth</v>
      </c>
      <c r="AF180" s="95">
        <f t="array" ref="AF180">XLOOKUP(AE180,'Category Saturation'!A:A,'Category Saturation'!E:E)</f>
        <v>0</v>
      </c>
      <c r="AH180" s="148">
        <f t="array" ref="AH180">iferror(XLOOKUP(R180,'New Launch Success Rate'!A:A,'New Launch Success Rate'!F:F),"NA")</f>
        <v>0.286</v>
      </c>
      <c r="AI180" s="95">
        <f t="shared" si="9"/>
        <v>25</v>
      </c>
      <c r="AK180" s="149">
        <f t="shared" si="10"/>
        <v>62.5</v>
      </c>
      <c r="AM180" s="150">
        <f t="array" ref="AM180">XLOOKUP(R180,'Non Moving'!C:C,'Non Moving'!I:I)/100</f>
        <v>0.005</v>
      </c>
      <c r="AN180" s="151">
        <f t="shared" si="11"/>
        <v>100</v>
      </c>
      <c r="AO180" s="150">
        <f t="array" ref="AO180">XLOOKUP(R180,'Non Moving'!C:C,'Non Moving'!F:F)/100</f>
        <v>0.037</v>
      </c>
      <c r="AP180" s="151">
        <f t="shared" si="12"/>
        <v>100</v>
      </c>
      <c r="AR180" s="95">
        <f t="shared" si="13"/>
        <v>100</v>
      </c>
      <c r="AT180" s="95">
        <f t="shared" si="14"/>
        <v>0</v>
      </c>
      <c r="AU180" s="95">
        <f t="array" ref="AU180">iferror(XLOOKUP(J180,Monetization!A:A,Monetization!B:B),25)</f>
        <v>25</v>
      </c>
      <c r="AW180" s="95">
        <f t="shared" si="15"/>
        <v>7.5</v>
      </c>
      <c r="AY180" s="149">
        <f t="shared" si="16"/>
        <v>66.5</v>
      </c>
      <c r="AZ180" s="95" t="str">
        <f t="shared" si="17"/>
        <v>50-75</v>
      </c>
      <c r="BA180" s="95" t="str">
        <f t="shared" si="18"/>
        <v>50-75</v>
      </c>
      <c r="BB180" s="152">
        <f t="array" ref="BB180">iferror(XLOOKUP(C180,Sheet9!A:A,Sheet9!D:D),0)</f>
        <v>0.95</v>
      </c>
      <c r="BC180" s="2">
        <v>1.0</v>
      </c>
      <c r="BD180" s="95">
        <f t="array" ref="BD180">XLOOKUP(C180,ROS!C:C,ROS!O:O)</f>
        <v>0</v>
      </c>
      <c r="BE180" s="147">
        <f t="array" ref="BE180">IFERROR(XLOOKUP(C180,ROS!T:T,ROS!U:U),"")</f>
        <v>2.023809524</v>
      </c>
      <c r="BF180" s="147">
        <f t="array" ref="BF180">XLOOKUP(R180,'Refrence Data'!B:B,'Refrence Data'!T:T)</f>
        <v>1.839303</v>
      </c>
      <c r="BG180" s="95">
        <f t="shared" si="19"/>
        <v>1</v>
      </c>
      <c r="BH180" s="4" t="str">
        <f t="shared" si="20"/>
        <v>TP</v>
      </c>
      <c r="BO180" s="153"/>
      <c r="BP180" s="153" t="str">
        <f t="shared" si="26"/>
        <v>TP</v>
      </c>
      <c r="BQ180" s="153"/>
      <c r="BR180" s="153"/>
      <c r="BS180" s="153"/>
    </row>
    <row r="181">
      <c r="A181" s="171">
        <v>7.33603100975E11</v>
      </c>
      <c r="B181" s="171" t="s">
        <v>3521</v>
      </c>
      <c r="C181" s="137" t="s">
        <v>1092</v>
      </c>
      <c r="D181" s="138" t="s">
        <v>630</v>
      </c>
      <c r="E181" s="139" t="s">
        <v>640</v>
      </c>
      <c r="F181" s="140" t="s">
        <v>3601</v>
      </c>
      <c r="G181" s="141">
        <v>0.0</v>
      </c>
      <c r="H181" s="142">
        <v>5.012615</v>
      </c>
      <c r="I181" s="143" t="s">
        <v>111</v>
      </c>
      <c r="J181" s="83"/>
      <c r="K181" s="174">
        <v>365.0</v>
      </c>
      <c r="R181" s="145" t="str">
        <f t="shared" si="1"/>
        <v>Chips &amp; Dips_5-10</v>
      </c>
      <c r="S181" s="146" t="str">
        <f t="shared" si="2"/>
        <v>5-10</v>
      </c>
      <c r="T181" s="95" t="str">
        <f t="array" ref="T181">XLOOKUP(C181,'Depth or Width'!P:P,'Depth or Width'!V:V)</f>
        <v>Depth</v>
      </c>
      <c r="U181" s="93">
        <f t="shared" si="3"/>
        <v>5</v>
      </c>
      <c r="V181" s="147">
        <f t="array" ref="V181">iferror(XLOOKUP(R181,'Refrence Data'!B:B,'Refrence Data'!W:W),"NA")</f>
        <v>8.929893</v>
      </c>
      <c r="W181" s="95">
        <f t="shared" si="4"/>
        <v>100</v>
      </c>
      <c r="Y181" s="148">
        <f t="array" ref="Y181">IFERROR(XLOOKUP(R181,'Refrence Data'!B:B,'Refrence Data'!N:N),"NA")</f>
        <v>0.754501</v>
      </c>
      <c r="Z181" s="95" t="str">
        <f t="shared" si="5"/>
        <v>HIGH</v>
      </c>
      <c r="AA181" s="147">
        <f t="array" ref="AA181">XLOOKUP(R181,'Refrence Data'!B:B,'Refrence Data'!AC:AC)</f>
        <v>6.718884</v>
      </c>
      <c r="AB181" s="147">
        <f t="array" ref="AB181">IFERROR(XLOOKUP(R181,'Refrence Data'!B:B,'Refrence Data'!Y:Y),"NA")</f>
        <v>12.8222</v>
      </c>
      <c r="AC181" s="95" t="str">
        <f t="shared" si="6"/>
        <v>High</v>
      </c>
      <c r="AD181" s="95" t="str">
        <f t="shared" si="7"/>
        <v>Depth</v>
      </c>
      <c r="AE181" s="95" t="str">
        <f t="shared" si="8"/>
        <v>HIGHHighDepth</v>
      </c>
      <c r="AF181" s="95">
        <f t="array" ref="AF181">XLOOKUP(AE181,'Category Saturation'!A:A,'Category Saturation'!E:E)</f>
        <v>0</v>
      </c>
      <c r="AH181" s="148">
        <f t="array" ref="AH181">iferror(XLOOKUP(R181,'New Launch Success Rate'!A:A,'New Launch Success Rate'!F:F),"NA")</f>
        <v>0.5</v>
      </c>
      <c r="AI181" s="95">
        <f t="shared" si="9"/>
        <v>50</v>
      </c>
      <c r="AK181" s="149">
        <f t="shared" si="10"/>
        <v>65</v>
      </c>
      <c r="AM181" s="150">
        <f t="array" ref="AM181">XLOOKUP(R181,'Non Moving'!C:C,'Non Moving'!I:I)/100</f>
        <v>0.009</v>
      </c>
      <c r="AN181" s="151">
        <f t="shared" si="11"/>
        <v>100</v>
      </c>
      <c r="AO181" s="150">
        <f t="array" ref="AO181">XLOOKUP(R181,'Non Moving'!C:C,'Non Moving'!F:F)/100</f>
        <v>0.045</v>
      </c>
      <c r="AP181" s="151">
        <f t="shared" si="12"/>
        <v>100</v>
      </c>
      <c r="AR181" s="95">
        <f t="shared" si="13"/>
        <v>100</v>
      </c>
      <c r="AT181" s="95">
        <f t="shared" si="14"/>
        <v>0</v>
      </c>
      <c r="AU181" s="95">
        <f t="array" ref="AU181">iferror(XLOOKUP(J181,Monetization!A:A,Monetization!B:B),25)</f>
        <v>25</v>
      </c>
      <c r="AW181" s="95">
        <f t="shared" si="15"/>
        <v>7.5</v>
      </c>
      <c r="AY181" s="149">
        <f t="shared" si="16"/>
        <v>67.5</v>
      </c>
      <c r="AZ181" s="95" t="str">
        <f t="shared" si="17"/>
        <v>50-75</v>
      </c>
      <c r="BA181" s="95" t="str">
        <f t="shared" si="18"/>
        <v>50-75</v>
      </c>
      <c r="BB181" s="152">
        <f t="array" ref="BB181">iferror(XLOOKUP(C181,Sheet9!A:A,Sheet9!D:D),0)</f>
        <v>0.96</v>
      </c>
      <c r="BC181" s="2">
        <v>1.0</v>
      </c>
      <c r="BD181" s="95">
        <f t="array" ref="BD181">XLOOKUP(C181,ROS!C:C,ROS!O:O)</f>
        <v>0</v>
      </c>
      <c r="BE181" s="147">
        <f t="array" ref="BE181">IFERROR(XLOOKUP(C181,ROS!T:T,ROS!U:U),"")</f>
        <v>1.092324342</v>
      </c>
      <c r="BF181" s="147">
        <f t="array" ref="BF181">XLOOKUP(R181,'Refrence Data'!B:B,'Refrence Data'!T:T)</f>
        <v>0.938001</v>
      </c>
      <c r="BG181" s="95">
        <f t="shared" si="19"/>
        <v>1</v>
      </c>
      <c r="BH181" s="4" t="str">
        <f t="shared" si="20"/>
        <v>TP</v>
      </c>
      <c r="BO181" s="153"/>
      <c r="BP181" s="153" t="str">
        <f t="shared" si="26"/>
        <v>TP</v>
      </c>
      <c r="BQ181" s="153"/>
      <c r="BR181" s="153"/>
      <c r="BS181" s="153"/>
    </row>
    <row r="182">
      <c r="A182" s="171">
        <v>7.33603100968E11</v>
      </c>
      <c r="B182" s="171" t="s">
        <v>3521</v>
      </c>
      <c r="C182" s="137" t="s">
        <v>1093</v>
      </c>
      <c r="D182" s="138" t="s">
        <v>630</v>
      </c>
      <c r="E182" s="139" t="s">
        <v>640</v>
      </c>
      <c r="F182" s="140" t="s">
        <v>3601</v>
      </c>
      <c r="G182" s="141">
        <v>0.0</v>
      </c>
      <c r="H182" s="142">
        <v>5.095696</v>
      </c>
      <c r="I182" s="143" t="s">
        <v>111</v>
      </c>
      <c r="J182" s="83"/>
      <c r="K182" s="174">
        <v>365.0</v>
      </c>
      <c r="R182" s="145" t="str">
        <f t="shared" si="1"/>
        <v>Chips &amp; Dips_5-10</v>
      </c>
      <c r="S182" s="146" t="str">
        <f t="shared" si="2"/>
        <v>5-10</v>
      </c>
      <c r="T182" s="95" t="str">
        <f t="array" ref="T182">XLOOKUP(C182,'Depth or Width'!P:P,'Depth or Width'!V:V)</f>
        <v>Depth</v>
      </c>
      <c r="U182" s="93">
        <f t="shared" si="3"/>
        <v>5</v>
      </c>
      <c r="V182" s="147">
        <f t="array" ref="V182">iferror(XLOOKUP(R182,'Refrence Data'!B:B,'Refrence Data'!W:W),"NA")</f>
        <v>8.929893</v>
      </c>
      <c r="W182" s="95">
        <f t="shared" si="4"/>
        <v>100</v>
      </c>
      <c r="Y182" s="148">
        <f t="array" ref="Y182">IFERROR(XLOOKUP(R182,'Refrence Data'!B:B,'Refrence Data'!N:N),"NA")</f>
        <v>0.754501</v>
      </c>
      <c r="Z182" s="95" t="str">
        <f t="shared" si="5"/>
        <v>HIGH</v>
      </c>
      <c r="AA182" s="147">
        <f t="array" ref="AA182">XLOOKUP(R182,'Refrence Data'!B:B,'Refrence Data'!AC:AC)</f>
        <v>6.718884</v>
      </c>
      <c r="AB182" s="147">
        <f t="array" ref="AB182">IFERROR(XLOOKUP(R182,'Refrence Data'!B:B,'Refrence Data'!Y:Y),"NA")</f>
        <v>12.8222</v>
      </c>
      <c r="AC182" s="95" t="str">
        <f t="shared" si="6"/>
        <v>High</v>
      </c>
      <c r="AD182" s="95" t="str">
        <f t="shared" si="7"/>
        <v>Depth</v>
      </c>
      <c r="AE182" s="95" t="str">
        <f t="shared" si="8"/>
        <v>HIGHHighDepth</v>
      </c>
      <c r="AF182" s="95">
        <f t="array" ref="AF182">XLOOKUP(AE182,'Category Saturation'!A:A,'Category Saturation'!E:E)</f>
        <v>0</v>
      </c>
      <c r="AH182" s="148">
        <f t="array" ref="AH182">iferror(XLOOKUP(R182,'New Launch Success Rate'!A:A,'New Launch Success Rate'!F:F),"NA")</f>
        <v>0.5</v>
      </c>
      <c r="AI182" s="95">
        <f t="shared" si="9"/>
        <v>50</v>
      </c>
      <c r="AK182" s="149">
        <f t="shared" si="10"/>
        <v>65</v>
      </c>
      <c r="AM182" s="150">
        <f t="array" ref="AM182">XLOOKUP(R182,'Non Moving'!C:C,'Non Moving'!I:I)/100</f>
        <v>0.009</v>
      </c>
      <c r="AN182" s="151">
        <f t="shared" si="11"/>
        <v>100</v>
      </c>
      <c r="AO182" s="150">
        <f t="array" ref="AO182">XLOOKUP(R182,'Non Moving'!C:C,'Non Moving'!F:F)/100</f>
        <v>0.045</v>
      </c>
      <c r="AP182" s="151">
        <f t="shared" si="12"/>
        <v>100</v>
      </c>
      <c r="AR182" s="95">
        <f t="shared" si="13"/>
        <v>100</v>
      </c>
      <c r="AT182" s="95">
        <f t="shared" si="14"/>
        <v>0</v>
      </c>
      <c r="AU182" s="95">
        <f t="array" ref="AU182">iferror(XLOOKUP(J182,Monetization!A:A,Monetization!B:B),25)</f>
        <v>25</v>
      </c>
      <c r="AW182" s="95">
        <f t="shared" si="15"/>
        <v>7.5</v>
      </c>
      <c r="AY182" s="149">
        <f t="shared" si="16"/>
        <v>67.5</v>
      </c>
      <c r="AZ182" s="95" t="str">
        <f t="shared" si="17"/>
        <v>50-75</v>
      </c>
      <c r="BA182" s="95" t="str">
        <f t="shared" si="18"/>
        <v>50-75</v>
      </c>
      <c r="BB182" s="152">
        <f t="array" ref="BB182">iferror(XLOOKUP(C182,Sheet9!A:A,Sheet9!D:D),0)</f>
        <v>0.96</v>
      </c>
      <c r="BC182" s="2">
        <v>1.0</v>
      </c>
      <c r="BD182" s="95">
        <f t="array" ref="BD182">XLOOKUP(C182,ROS!C:C,ROS!O:O)</f>
        <v>7.887979</v>
      </c>
      <c r="BE182" s="147">
        <f t="array" ref="BE182">IFERROR(XLOOKUP(C182,ROS!T:T,ROS!U:U),"")</f>
        <v>2.254845155</v>
      </c>
      <c r="BF182" s="147">
        <f t="array" ref="BF182">XLOOKUP(R182,'Refrence Data'!B:B,'Refrence Data'!T:T)</f>
        <v>0.938001</v>
      </c>
      <c r="BG182" s="95">
        <f t="shared" si="19"/>
        <v>1</v>
      </c>
      <c r="BH182" s="4" t="str">
        <f t="shared" si="20"/>
        <v>TP</v>
      </c>
      <c r="BO182" s="153"/>
      <c r="BP182" s="153" t="str">
        <f t="shared" si="26"/>
        <v>TP</v>
      </c>
      <c r="BQ182" s="153"/>
      <c r="BR182" s="153"/>
      <c r="BS182" s="153"/>
    </row>
    <row r="183">
      <c r="A183" s="171">
        <v>7.33603100951E11</v>
      </c>
      <c r="B183" s="171" t="s">
        <v>3521</v>
      </c>
      <c r="C183" s="137" t="s">
        <v>1094</v>
      </c>
      <c r="D183" s="138" t="s">
        <v>630</v>
      </c>
      <c r="E183" s="139" t="s">
        <v>640</v>
      </c>
      <c r="F183" s="140" t="s">
        <v>3601</v>
      </c>
      <c r="G183" s="141">
        <v>0.0</v>
      </c>
      <c r="H183" s="142">
        <v>5.095696</v>
      </c>
      <c r="I183" s="143" t="s">
        <v>111</v>
      </c>
      <c r="J183" s="83"/>
      <c r="K183" s="174">
        <v>365.0</v>
      </c>
      <c r="R183" s="145" t="str">
        <f t="shared" si="1"/>
        <v>Chips &amp; Dips_5-10</v>
      </c>
      <c r="S183" s="146" t="str">
        <f t="shared" si="2"/>
        <v>5-10</v>
      </c>
      <c r="T183" s="95" t="str">
        <f t="array" ref="T183">XLOOKUP(C183,'Depth or Width'!P:P,'Depth or Width'!V:V)</f>
        <v>Depth</v>
      </c>
      <c r="U183" s="93">
        <f t="shared" si="3"/>
        <v>5</v>
      </c>
      <c r="V183" s="147">
        <f t="array" ref="V183">iferror(XLOOKUP(R183,'Refrence Data'!B:B,'Refrence Data'!W:W),"NA")</f>
        <v>8.929893</v>
      </c>
      <c r="W183" s="95">
        <f t="shared" si="4"/>
        <v>100</v>
      </c>
      <c r="Y183" s="148">
        <f t="array" ref="Y183">IFERROR(XLOOKUP(R183,'Refrence Data'!B:B,'Refrence Data'!N:N),"NA")</f>
        <v>0.754501</v>
      </c>
      <c r="Z183" s="95" t="str">
        <f t="shared" si="5"/>
        <v>HIGH</v>
      </c>
      <c r="AA183" s="147">
        <f t="array" ref="AA183">XLOOKUP(R183,'Refrence Data'!B:B,'Refrence Data'!AC:AC)</f>
        <v>6.718884</v>
      </c>
      <c r="AB183" s="147">
        <f t="array" ref="AB183">IFERROR(XLOOKUP(R183,'Refrence Data'!B:B,'Refrence Data'!Y:Y),"NA")</f>
        <v>12.8222</v>
      </c>
      <c r="AC183" s="95" t="str">
        <f t="shared" si="6"/>
        <v>High</v>
      </c>
      <c r="AD183" s="95" t="str">
        <f t="shared" si="7"/>
        <v>Depth</v>
      </c>
      <c r="AE183" s="95" t="str">
        <f t="shared" si="8"/>
        <v>HIGHHighDepth</v>
      </c>
      <c r="AF183" s="95">
        <f t="array" ref="AF183">XLOOKUP(AE183,'Category Saturation'!A:A,'Category Saturation'!E:E)</f>
        <v>0</v>
      </c>
      <c r="AH183" s="148">
        <f t="array" ref="AH183">iferror(XLOOKUP(R183,'New Launch Success Rate'!A:A,'New Launch Success Rate'!F:F),"NA")</f>
        <v>0.5</v>
      </c>
      <c r="AI183" s="95">
        <f t="shared" si="9"/>
        <v>50</v>
      </c>
      <c r="AK183" s="149">
        <f t="shared" si="10"/>
        <v>65</v>
      </c>
      <c r="AM183" s="150">
        <f t="array" ref="AM183">XLOOKUP(R183,'Non Moving'!C:C,'Non Moving'!I:I)/100</f>
        <v>0.009</v>
      </c>
      <c r="AN183" s="151">
        <f t="shared" si="11"/>
        <v>100</v>
      </c>
      <c r="AO183" s="150">
        <f t="array" ref="AO183">XLOOKUP(R183,'Non Moving'!C:C,'Non Moving'!F:F)/100</f>
        <v>0.045</v>
      </c>
      <c r="AP183" s="151">
        <f t="shared" si="12"/>
        <v>100</v>
      </c>
      <c r="AR183" s="95">
        <f t="shared" si="13"/>
        <v>100</v>
      </c>
      <c r="AT183" s="95">
        <f t="shared" si="14"/>
        <v>0</v>
      </c>
      <c r="AU183" s="95">
        <f t="array" ref="AU183">iferror(XLOOKUP(J183,Monetization!A:A,Monetization!B:B),25)</f>
        <v>25</v>
      </c>
      <c r="AW183" s="95">
        <f t="shared" si="15"/>
        <v>7.5</v>
      </c>
      <c r="AY183" s="149">
        <f t="shared" si="16"/>
        <v>67.5</v>
      </c>
      <c r="AZ183" s="95" t="str">
        <f t="shared" si="17"/>
        <v>50-75</v>
      </c>
      <c r="BA183" s="95" t="str">
        <f t="shared" si="18"/>
        <v>50-75</v>
      </c>
      <c r="BB183" s="152">
        <f t="array" ref="BB183">iferror(XLOOKUP(C183,Sheet9!A:A,Sheet9!D:D),0)</f>
        <v>0.99</v>
      </c>
      <c r="BC183" s="2">
        <v>1.0</v>
      </c>
      <c r="BD183" s="95">
        <f t="array" ref="BD183">XLOOKUP(C183,ROS!C:C,ROS!O:O)</f>
        <v>11.77413</v>
      </c>
      <c r="BE183" s="147">
        <f t="array" ref="BE183">IFERROR(XLOOKUP(C183,ROS!T:T,ROS!U:U),"")</f>
        <v>2.40959041</v>
      </c>
      <c r="BF183" s="147">
        <f t="array" ref="BF183">XLOOKUP(R183,'Refrence Data'!B:B,'Refrence Data'!T:T)</f>
        <v>0.938001</v>
      </c>
      <c r="BG183" s="95">
        <f t="shared" si="19"/>
        <v>1</v>
      </c>
      <c r="BH183" s="4" t="str">
        <f t="shared" si="20"/>
        <v>TP</v>
      </c>
      <c r="BO183" s="153"/>
      <c r="BP183" s="153" t="str">
        <f t="shared" si="26"/>
        <v>TP</v>
      </c>
      <c r="BQ183" s="153"/>
      <c r="BR183" s="153"/>
      <c r="BS183" s="153"/>
    </row>
    <row r="184">
      <c r="A184" s="171">
        <v>6.297001056622E12</v>
      </c>
      <c r="B184" s="171" t="s">
        <v>3521</v>
      </c>
      <c r="C184" s="137" t="s">
        <v>1103</v>
      </c>
      <c r="D184" s="138" t="s">
        <v>630</v>
      </c>
      <c r="E184" s="139" t="s">
        <v>640</v>
      </c>
      <c r="F184" s="140" t="s">
        <v>3602</v>
      </c>
      <c r="G184" s="141">
        <v>0.0</v>
      </c>
      <c r="H184" s="142">
        <v>15.48692</v>
      </c>
      <c r="I184" s="143" t="s">
        <v>111</v>
      </c>
      <c r="J184" s="83"/>
      <c r="K184" s="174">
        <v>366.0</v>
      </c>
      <c r="R184" s="145" t="str">
        <f t="shared" si="1"/>
        <v>Chips &amp; Dips_15-20</v>
      </c>
      <c r="S184" s="146" t="str">
        <f t="shared" si="2"/>
        <v>15-20</v>
      </c>
      <c r="T184" s="95" t="str">
        <f t="array" ref="T184">XLOOKUP(C184,'Depth or Width'!P:P,'Depth or Width'!V:V)</f>
        <v>Depth</v>
      </c>
      <c r="U184" s="93">
        <f t="shared" si="3"/>
        <v>5</v>
      </c>
      <c r="V184" s="147">
        <f t="array" ref="V184">iferror(XLOOKUP(R184,'Refrence Data'!B:B,'Refrence Data'!W:W),"NA")</f>
        <v>5.007633</v>
      </c>
      <c r="W184" s="95">
        <f t="shared" si="4"/>
        <v>100</v>
      </c>
      <c r="Y184" s="148">
        <f t="array" ref="Y184">IFERROR(XLOOKUP(R184,'Refrence Data'!B:B,'Refrence Data'!N:N),"NA")</f>
        <v>0.669114</v>
      </c>
      <c r="Z184" s="95" t="str">
        <f t="shared" si="5"/>
        <v>MEDIUM</v>
      </c>
      <c r="AA184" s="147">
        <f t="array" ref="AA184">XLOOKUP(R184,'Refrence Data'!B:B,'Refrence Data'!AC:AC)</f>
        <v>6.718884</v>
      </c>
      <c r="AB184" s="147">
        <f t="array" ref="AB184">IFERROR(XLOOKUP(R184,'Refrence Data'!B:B,'Refrence Data'!Y:Y),"NA")</f>
        <v>6.718884</v>
      </c>
      <c r="AC184" s="95" t="str">
        <f t="shared" si="6"/>
        <v>High</v>
      </c>
      <c r="AD184" s="95" t="str">
        <f t="shared" si="7"/>
        <v>Depth</v>
      </c>
      <c r="AE184" s="95" t="str">
        <f t="shared" si="8"/>
        <v>MEDIUMHighDepth</v>
      </c>
      <c r="AF184" s="95">
        <f t="array" ref="AF184">XLOOKUP(AE184,'Category Saturation'!A:A,'Category Saturation'!E:E)</f>
        <v>60</v>
      </c>
      <c r="AH184" s="148">
        <f t="array" ref="AH184">iferror(XLOOKUP(R184,'New Launch Success Rate'!A:A,'New Launch Success Rate'!F:F),"NA")</f>
        <v>0</v>
      </c>
      <c r="AI184" s="95">
        <f t="shared" si="9"/>
        <v>0</v>
      </c>
      <c r="AK184" s="149">
        <f t="shared" si="10"/>
        <v>78</v>
      </c>
      <c r="AM184" s="150">
        <f t="array" ref="AM184">XLOOKUP(R184,'Non Moving'!C:C,'Non Moving'!I:I)/100</f>
        <v>0.028</v>
      </c>
      <c r="AN184" s="151">
        <f t="shared" si="11"/>
        <v>100</v>
      </c>
      <c r="AO184" s="150">
        <f t="array" ref="AO184">XLOOKUP(R184,'Non Moving'!C:C,'Non Moving'!F:F)/100</f>
        <v>0.124</v>
      </c>
      <c r="AP184" s="151">
        <f t="shared" si="12"/>
        <v>100</v>
      </c>
      <c r="AR184" s="95">
        <f t="shared" si="13"/>
        <v>100</v>
      </c>
      <c r="AT184" s="95">
        <f t="shared" si="14"/>
        <v>0</v>
      </c>
      <c r="AU184" s="95">
        <f t="array" ref="AU184">iferror(XLOOKUP(J184,Monetization!A:A,Monetization!B:B),25)</f>
        <v>25</v>
      </c>
      <c r="AW184" s="95">
        <f t="shared" si="15"/>
        <v>7.5</v>
      </c>
      <c r="AY184" s="149">
        <f t="shared" si="16"/>
        <v>72.7</v>
      </c>
      <c r="AZ184" s="95" t="str">
        <f t="shared" si="17"/>
        <v>50-75</v>
      </c>
      <c r="BA184" s="95" t="str">
        <f t="shared" si="18"/>
        <v>75-100</v>
      </c>
      <c r="BB184" s="152">
        <f t="array" ref="BB184">iferror(XLOOKUP(C184,Sheet9!A:A,Sheet9!D:D),0)</f>
        <v>0</v>
      </c>
      <c r="BC184" s="2">
        <v>1.0</v>
      </c>
      <c r="BD184" s="95">
        <f t="array" ref="BD184">XLOOKUP(C184,ROS!C:C,ROS!O:O)</f>
        <v>3.490873</v>
      </c>
      <c r="BE184" s="147">
        <f t="array" ref="BE184">IFERROR(XLOOKUP(C184,ROS!T:T,ROS!U:U),"")</f>
        <v>0</v>
      </c>
      <c r="BF184" s="147">
        <f t="array" ref="BF184">XLOOKUP(R184,'Refrence Data'!B:B,'Refrence Data'!T:T)</f>
        <v>1.116667</v>
      </c>
      <c r="BG184" s="95">
        <f t="shared" si="19"/>
        <v>1</v>
      </c>
      <c r="BH184" s="4" t="str">
        <f t="shared" si="20"/>
        <v/>
      </c>
      <c r="BO184" s="153"/>
      <c r="BP184" s="153" t="str">
        <f t="shared" si="26"/>
        <v/>
      </c>
      <c r="BQ184" s="153"/>
      <c r="BR184" s="153"/>
      <c r="BS184" s="153"/>
    </row>
    <row r="185">
      <c r="A185" s="171">
        <v>6.297001056615E12</v>
      </c>
      <c r="B185" s="171" t="s">
        <v>3521</v>
      </c>
      <c r="C185" s="137" t="s">
        <v>1105</v>
      </c>
      <c r="D185" s="138" t="s">
        <v>630</v>
      </c>
      <c r="E185" s="139" t="s">
        <v>640</v>
      </c>
      <c r="F185" s="140" t="s">
        <v>3602</v>
      </c>
      <c r="G185" s="141">
        <v>0.0</v>
      </c>
      <c r="H185" s="142">
        <v>22.73204</v>
      </c>
      <c r="I185" s="143" t="s">
        <v>111</v>
      </c>
      <c r="J185" s="83"/>
      <c r="K185" s="174">
        <v>366.0</v>
      </c>
      <c r="R185" s="145" t="str">
        <f t="shared" si="1"/>
        <v>Chips &amp; Dips_20-25</v>
      </c>
      <c r="S185" s="146" t="str">
        <f t="shared" si="2"/>
        <v>20-25</v>
      </c>
      <c r="T185" s="95" t="str">
        <f t="array" ref="T185">XLOOKUP(C185,'Depth or Width'!P:P,'Depth or Width'!V:V)</f>
        <v>Depth</v>
      </c>
      <c r="U185" s="93">
        <f t="shared" si="3"/>
        <v>5</v>
      </c>
      <c r="V185" s="147">
        <f t="array" ref="V185">iferror(XLOOKUP(R185,'Refrence Data'!B:B,'Refrence Data'!W:W),"NA")</f>
        <v>4.910211</v>
      </c>
      <c r="W185" s="95">
        <f t="shared" si="4"/>
        <v>75</v>
      </c>
      <c r="Y185" s="148">
        <f t="array" ref="Y185">IFERROR(XLOOKUP(R185,'Refrence Data'!B:B,'Refrence Data'!N:N),"NA")</f>
        <v>0.554619</v>
      </c>
      <c r="Z185" s="95" t="str">
        <f t="shared" si="5"/>
        <v>MEDIUM</v>
      </c>
      <c r="AA185" s="147">
        <f t="array" ref="AA185">XLOOKUP(R185,'Refrence Data'!B:B,'Refrence Data'!AC:AC)</f>
        <v>6.718884</v>
      </c>
      <c r="AB185" s="147">
        <f t="array" ref="AB185">IFERROR(XLOOKUP(R185,'Refrence Data'!B:B,'Refrence Data'!Y:Y),"NA")</f>
        <v>5.210905</v>
      </c>
      <c r="AC185" s="95" t="str">
        <f t="shared" si="6"/>
        <v>High</v>
      </c>
      <c r="AD185" s="95" t="str">
        <f t="shared" si="7"/>
        <v>Depth</v>
      </c>
      <c r="AE185" s="95" t="str">
        <f t="shared" si="8"/>
        <v>MEDIUMHighDepth</v>
      </c>
      <c r="AF185" s="95">
        <f t="array" ref="AF185">XLOOKUP(AE185,'Category Saturation'!A:A,'Category Saturation'!E:E)</f>
        <v>60</v>
      </c>
      <c r="AH185" s="148">
        <f t="array" ref="AH185">iferror(XLOOKUP(R185,'New Launch Success Rate'!A:A,'New Launch Success Rate'!F:F),"NA")</f>
        <v>0.2355</v>
      </c>
      <c r="AI185" s="95">
        <f t="shared" si="9"/>
        <v>25</v>
      </c>
      <c r="AK185" s="149">
        <f t="shared" si="10"/>
        <v>65.5</v>
      </c>
      <c r="AM185" s="150">
        <f t="array" ref="AM185">XLOOKUP(R185,'Non Moving'!C:C,'Non Moving'!I:I)/100</f>
        <v>0.02</v>
      </c>
      <c r="AN185" s="151">
        <f t="shared" si="11"/>
        <v>100</v>
      </c>
      <c r="AO185" s="150">
        <f t="array" ref="AO185">XLOOKUP(R185,'Non Moving'!C:C,'Non Moving'!F:F)/100</f>
        <v>0.119</v>
      </c>
      <c r="AP185" s="151">
        <f t="shared" si="12"/>
        <v>100</v>
      </c>
      <c r="AR185" s="95">
        <f t="shared" si="13"/>
        <v>100</v>
      </c>
      <c r="AT185" s="95">
        <f t="shared" si="14"/>
        <v>0</v>
      </c>
      <c r="AU185" s="95">
        <f t="array" ref="AU185">iferror(XLOOKUP(J185,Monetization!A:A,Monetization!B:B),25)</f>
        <v>25</v>
      </c>
      <c r="AW185" s="95">
        <f t="shared" si="15"/>
        <v>7.5</v>
      </c>
      <c r="AY185" s="149">
        <f t="shared" si="16"/>
        <v>67.7</v>
      </c>
      <c r="AZ185" s="95" t="str">
        <f t="shared" si="17"/>
        <v>50-75</v>
      </c>
      <c r="BA185" s="95" t="str">
        <f t="shared" si="18"/>
        <v>50-75</v>
      </c>
      <c r="BB185" s="152">
        <f t="array" ref="BB185">iferror(XLOOKUP(C185,Sheet9!A:A,Sheet9!D:D),0)</f>
        <v>0.92</v>
      </c>
      <c r="BC185" s="2">
        <v>1.0</v>
      </c>
      <c r="BD185" s="95">
        <f t="array" ref="BD185">XLOOKUP(C185,ROS!C:C,ROS!O:O)</f>
        <v>6.304587</v>
      </c>
      <c r="BE185" s="147">
        <f t="array" ref="BE185">IFERROR(XLOOKUP(C185,ROS!T:T,ROS!U:U),"")</f>
        <v>1.334582085</v>
      </c>
      <c r="BF185" s="147">
        <f t="array" ref="BF185">XLOOKUP(R185,'Refrence Data'!B:B,'Refrence Data'!T:T)</f>
        <v>0.7</v>
      </c>
      <c r="BG185" s="95">
        <f t="shared" si="19"/>
        <v>1</v>
      </c>
      <c r="BH185" s="4" t="str">
        <f t="shared" si="20"/>
        <v>TP</v>
      </c>
      <c r="BO185" s="153"/>
      <c r="BP185" s="153" t="str">
        <f t="shared" si="26"/>
        <v>TP</v>
      </c>
      <c r="BQ185" s="153"/>
      <c r="BR185" s="153"/>
      <c r="BS185" s="153"/>
    </row>
    <row r="186">
      <c r="A186" s="171">
        <v>6.297001056608E12</v>
      </c>
      <c r="B186" s="171" t="s">
        <v>3521</v>
      </c>
      <c r="C186" s="137" t="s">
        <v>1106</v>
      </c>
      <c r="D186" s="138" t="s">
        <v>630</v>
      </c>
      <c r="E186" s="139" t="s">
        <v>640</v>
      </c>
      <c r="F186" s="140" t="s">
        <v>3602</v>
      </c>
      <c r="G186" s="141">
        <v>0.0</v>
      </c>
      <c r="H186" s="142">
        <v>14.98816</v>
      </c>
      <c r="I186" s="143" t="s">
        <v>111</v>
      </c>
      <c r="J186" s="83"/>
      <c r="K186" s="174">
        <v>366.0</v>
      </c>
      <c r="R186" s="145" t="str">
        <f t="shared" si="1"/>
        <v>Chips &amp; Dips_10-15</v>
      </c>
      <c r="S186" s="146" t="str">
        <f t="shared" si="2"/>
        <v>10-15</v>
      </c>
      <c r="T186" s="95" t="str">
        <f t="array" ref="T186">XLOOKUP(C186,'Depth or Width'!P:P,'Depth or Width'!V:V)</f>
        <v>Depth</v>
      </c>
      <c r="U186" s="93">
        <f t="shared" si="3"/>
        <v>5</v>
      </c>
      <c r="V186" s="147">
        <f t="array" ref="V186">iferror(XLOOKUP(R186,'Refrence Data'!B:B,'Refrence Data'!W:W),"NA")</f>
        <v>5.994401</v>
      </c>
      <c r="W186" s="95">
        <f t="shared" si="4"/>
        <v>100</v>
      </c>
      <c r="Y186" s="148">
        <f t="array" ref="Y186">IFERROR(XLOOKUP(R186,'Refrence Data'!B:B,'Refrence Data'!N:N),"NA")</f>
        <v>0.759702</v>
      </c>
      <c r="Z186" s="95" t="str">
        <f t="shared" si="5"/>
        <v>HIGH</v>
      </c>
      <c r="AA186" s="147">
        <f t="array" ref="AA186">XLOOKUP(R186,'Refrence Data'!B:B,'Refrence Data'!AC:AC)</f>
        <v>6.718884</v>
      </c>
      <c r="AB186" s="147">
        <f t="array" ref="AB186">IFERROR(XLOOKUP(R186,'Refrence Data'!B:B,'Refrence Data'!Y:Y),"NA")</f>
        <v>8.763743</v>
      </c>
      <c r="AC186" s="95" t="str">
        <f t="shared" si="6"/>
        <v>High</v>
      </c>
      <c r="AD186" s="95" t="str">
        <f t="shared" si="7"/>
        <v>Depth</v>
      </c>
      <c r="AE186" s="95" t="str">
        <f t="shared" si="8"/>
        <v>HIGHHighDepth</v>
      </c>
      <c r="AF186" s="95">
        <f t="array" ref="AF186">XLOOKUP(AE186,'Category Saturation'!A:A,'Category Saturation'!E:E)</f>
        <v>0</v>
      </c>
      <c r="AH186" s="148">
        <f t="array" ref="AH186">iferror(XLOOKUP(R186,'New Launch Success Rate'!A:A,'New Launch Success Rate'!F:F),"NA")</f>
        <v>0.429</v>
      </c>
      <c r="AI186" s="95">
        <f t="shared" si="9"/>
        <v>25</v>
      </c>
      <c r="AK186" s="149">
        <f t="shared" si="10"/>
        <v>62.5</v>
      </c>
      <c r="AM186" s="150">
        <f t="array" ref="AM186">XLOOKUP(R186,'Non Moving'!C:C,'Non Moving'!I:I)/100</f>
        <v>0.044</v>
      </c>
      <c r="AN186" s="151">
        <f t="shared" si="11"/>
        <v>100</v>
      </c>
      <c r="AO186" s="150">
        <f t="array" ref="AO186">XLOOKUP(R186,'Non Moving'!C:C,'Non Moving'!F:F)/100</f>
        <v>0.117</v>
      </c>
      <c r="AP186" s="151">
        <f t="shared" si="12"/>
        <v>100</v>
      </c>
      <c r="AR186" s="95">
        <f t="shared" si="13"/>
        <v>100</v>
      </c>
      <c r="AT186" s="95">
        <f t="shared" si="14"/>
        <v>0</v>
      </c>
      <c r="AU186" s="95">
        <f t="array" ref="AU186">iferror(XLOOKUP(J186,Monetization!A:A,Monetization!B:B),25)</f>
        <v>25</v>
      </c>
      <c r="AW186" s="95">
        <f t="shared" si="15"/>
        <v>7.5</v>
      </c>
      <c r="AY186" s="149">
        <f t="shared" si="16"/>
        <v>66.5</v>
      </c>
      <c r="AZ186" s="95" t="str">
        <f t="shared" si="17"/>
        <v>50-75</v>
      </c>
      <c r="BA186" s="95" t="str">
        <f t="shared" si="18"/>
        <v>50-75</v>
      </c>
      <c r="BB186" s="152">
        <f t="array" ref="BB186">iferror(XLOOKUP(C186,Sheet9!A:A,Sheet9!D:D),0)</f>
        <v>0.41</v>
      </c>
      <c r="BC186" s="2">
        <v>1.0</v>
      </c>
      <c r="BD186" s="95">
        <f t="array" ref="BD186">XLOOKUP(C186,ROS!C:C,ROS!O:O)</f>
        <v>6.406172</v>
      </c>
      <c r="BE186" s="147">
        <f t="array" ref="BE186">IFERROR(XLOOKUP(C186,ROS!T:T,ROS!U:U),"")</f>
        <v>5.976190476</v>
      </c>
      <c r="BF186" s="147">
        <f t="array" ref="BF186">XLOOKUP(R186,'Refrence Data'!B:B,'Refrence Data'!T:T)</f>
        <v>0.414286</v>
      </c>
      <c r="BG186" s="95">
        <f t="shared" si="19"/>
        <v>1</v>
      </c>
      <c r="BH186" s="4" t="str">
        <f t="shared" si="20"/>
        <v/>
      </c>
      <c r="BO186" s="153"/>
      <c r="BP186" s="153" t="str">
        <f t="shared" si="26"/>
        <v/>
      </c>
      <c r="BQ186" s="153"/>
      <c r="BR186" s="153"/>
      <c r="BS186" s="153"/>
    </row>
    <row r="187">
      <c r="A187" s="171">
        <v>8.588007731919E12</v>
      </c>
      <c r="B187" s="171" t="s">
        <v>3521</v>
      </c>
      <c r="C187" s="137" t="s">
        <v>1107</v>
      </c>
      <c r="D187" s="138" t="s">
        <v>630</v>
      </c>
      <c r="E187" s="139" t="s">
        <v>640</v>
      </c>
      <c r="F187" s="140" t="s">
        <v>3554</v>
      </c>
      <c r="G187" s="141">
        <v>0.0</v>
      </c>
      <c r="H187" s="142">
        <v>21.98143</v>
      </c>
      <c r="I187" s="143" t="s">
        <v>111</v>
      </c>
      <c r="J187" s="83"/>
      <c r="K187" s="174">
        <v>365.0</v>
      </c>
      <c r="R187" s="145" t="str">
        <f t="shared" si="1"/>
        <v>Chips &amp; Dips_20-25</v>
      </c>
      <c r="S187" s="146" t="str">
        <f t="shared" si="2"/>
        <v>20-25</v>
      </c>
      <c r="T187" s="95" t="str">
        <f t="array" ref="T187">XLOOKUP(C187,'Depth or Width'!P:P,'Depth or Width'!V:V)</f>
        <v>Width</v>
      </c>
      <c r="U187" s="93">
        <f t="shared" si="3"/>
        <v>5</v>
      </c>
      <c r="V187" s="147">
        <f t="array" ref="V187">iferror(XLOOKUP(R187,'Refrence Data'!B:B,'Refrence Data'!W:W),"NA")</f>
        <v>4.910211</v>
      </c>
      <c r="W187" s="95">
        <f t="shared" si="4"/>
        <v>75</v>
      </c>
      <c r="Y187" s="148">
        <f t="array" ref="Y187">IFERROR(XLOOKUP(R187,'Refrence Data'!B:B,'Refrence Data'!N:N),"NA")</f>
        <v>0.554619</v>
      </c>
      <c r="Z187" s="95" t="str">
        <f t="shared" si="5"/>
        <v>MEDIUM</v>
      </c>
      <c r="AA187" s="147">
        <f t="array" ref="AA187">XLOOKUP(R187,'Refrence Data'!B:B,'Refrence Data'!AC:AC)</f>
        <v>6.718884</v>
      </c>
      <c r="AB187" s="147">
        <f t="array" ref="AB187">IFERROR(XLOOKUP(R187,'Refrence Data'!B:B,'Refrence Data'!Y:Y),"NA")</f>
        <v>5.210905</v>
      </c>
      <c r="AC187" s="95" t="str">
        <f t="shared" si="6"/>
        <v>High</v>
      </c>
      <c r="AD187" s="95" t="str">
        <f t="shared" si="7"/>
        <v>Width</v>
      </c>
      <c r="AE187" s="95" t="str">
        <f t="shared" si="8"/>
        <v>MEDIUMHighWidth</v>
      </c>
      <c r="AF187" s="95">
        <f t="array" ref="AF187">XLOOKUP(AE187,'Category Saturation'!A:A,'Category Saturation'!E:E)</f>
        <v>10</v>
      </c>
      <c r="AH187" s="148">
        <f t="array" ref="AH187">iferror(XLOOKUP(R187,'New Launch Success Rate'!A:A,'New Launch Success Rate'!F:F),"NA")</f>
        <v>0.2355</v>
      </c>
      <c r="AI187" s="95">
        <f t="shared" si="9"/>
        <v>25</v>
      </c>
      <c r="AK187" s="149">
        <f t="shared" si="10"/>
        <v>50.5</v>
      </c>
      <c r="AM187" s="150">
        <f t="array" ref="AM187">XLOOKUP(R187,'Non Moving'!C:C,'Non Moving'!I:I)/100</f>
        <v>0.02</v>
      </c>
      <c r="AN187" s="151">
        <f t="shared" si="11"/>
        <v>100</v>
      </c>
      <c r="AO187" s="150">
        <f t="array" ref="AO187">XLOOKUP(R187,'Non Moving'!C:C,'Non Moving'!F:F)/100</f>
        <v>0.119</v>
      </c>
      <c r="AP187" s="151">
        <f t="shared" si="12"/>
        <v>100</v>
      </c>
      <c r="AR187" s="95">
        <f t="shared" si="13"/>
        <v>100</v>
      </c>
      <c r="AT187" s="95">
        <f t="shared" si="14"/>
        <v>0</v>
      </c>
      <c r="AU187" s="95">
        <f t="array" ref="AU187">iferror(XLOOKUP(J187,Monetization!A:A,Monetization!B:B),25)</f>
        <v>25</v>
      </c>
      <c r="AW187" s="95">
        <f t="shared" si="15"/>
        <v>7.5</v>
      </c>
      <c r="AY187" s="149">
        <f t="shared" si="16"/>
        <v>61.7</v>
      </c>
      <c r="AZ187" s="95" t="str">
        <f t="shared" si="17"/>
        <v>50-75</v>
      </c>
      <c r="BA187" s="95" t="str">
        <f t="shared" si="18"/>
        <v>50-75</v>
      </c>
      <c r="BB187" s="152">
        <f t="array" ref="BB187">iferror(XLOOKUP(C187,Sheet9!A:A,Sheet9!D:D),0)</f>
        <v>0.95</v>
      </c>
      <c r="BC187" s="2">
        <v>1.0</v>
      </c>
      <c r="BD187" s="95">
        <f t="array" ref="BD187">XLOOKUP(C187,ROS!C:C,ROS!O:O)</f>
        <v>0</v>
      </c>
      <c r="BE187" s="147">
        <f t="array" ref="BE187">IFERROR(XLOOKUP(C187,ROS!T:T,ROS!U:U),"")</f>
        <v>0.681818182</v>
      </c>
      <c r="BF187" s="147">
        <f t="array" ref="BF187">XLOOKUP(R187,'Refrence Data'!B:B,'Refrence Data'!T:T)</f>
        <v>0.7</v>
      </c>
      <c r="BG187" s="95">
        <f t="shared" si="19"/>
        <v>0</v>
      </c>
      <c r="BH187" s="4" t="str">
        <f t="shared" si="20"/>
        <v>FP</v>
      </c>
      <c r="BO187" s="153"/>
      <c r="BP187" s="153" t="str">
        <f t="shared" si="26"/>
        <v>FP</v>
      </c>
      <c r="BQ187" s="153"/>
      <c r="BR187" s="153"/>
      <c r="BS187" s="153"/>
    </row>
    <row r="188">
      <c r="A188" s="171">
        <v>8.588007731902E12</v>
      </c>
      <c r="B188" s="171" t="s">
        <v>3521</v>
      </c>
      <c r="C188" s="137" t="s">
        <v>1110</v>
      </c>
      <c r="D188" s="138" t="s">
        <v>630</v>
      </c>
      <c r="E188" s="139" t="s">
        <v>640</v>
      </c>
      <c r="F188" s="140" t="s">
        <v>3554</v>
      </c>
      <c r="G188" s="141">
        <v>1.0</v>
      </c>
      <c r="H188" s="142">
        <v>17.63606</v>
      </c>
      <c r="I188" s="143" t="s">
        <v>111</v>
      </c>
      <c r="J188" s="83"/>
      <c r="K188" s="174">
        <v>365.0</v>
      </c>
      <c r="R188" s="145" t="str">
        <f t="shared" si="1"/>
        <v>Chips &amp; Dips_15-20</v>
      </c>
      <c r="S188" s="146" t="str">
        <f t="shared" si="2"/>
        <v>15-20</v>
      </c>
      <c r="T188" s="95" t="str">
        <f t="array" ref="T188">XLOOKUP(C188,'Depth or Width'!P:P,'Depth or Width'!V:V)</f>
        <v>Width</v>
      </c>
      <c r="U188" s="93">
        <f t="shared" si="3"/>
        <v>5</v>
      </c>
      <c r="V188" s="147">
        <f t="array" ref="V188">iferror(XLOOKUP(R188,'Refrence Data'!B:B,'Refrence Data'!W:W),"NA")</f>
        <v>5.007633</v>
      </c>
      <c r="W188" s="95">
        <f t="shared" si="4"/>
        <v>100</v>
      </c>
      <c r="Y188" s="148">
        <f t="array" ref="Y188">IFERROR(XLOOKUP(R188,'Refrence Data'!B:B,'Refrence Data'!N:N),"NA")</f>
        <v>0.669114</v>
      </c>
      <c r="Z188" s="95" t="str">
        <f t="shared" si="5"/>
        <v>MEDIUM</v>
      </c>
      <c r="AA188" s="147">
        <f t="array" ref="AA188">XLOOKUP(R188,'Refrence Data'!B:B,'Refrence Data'!AC:AC)</f>
        <v>6.718884</v>
      </c>
      <c r="AB188" s="147">
        <f t="array" ref="AB188">IFERROR(XLOOKUP(R188,'Refrence Data'!B:B,'Refrence Data'!Y:Y),"NA")</f>
        <v>6.718884</v>
      </c>
      <c r="AC188" s="95" t="str">
        <f t="shared" si="6"/>
        <v>High</v>
      </c>
      <c r="AD188" s="95" t="str">
        <f t="shared" si="7"/>
        <v>Width</v>
      </c>
      <c r="AE188" s="95" t="str">
        <f t="shared" si="8"/>
        <v>MEDIUMHighWidth</v>
      </c>
      <c r="AF188" s="95">
        <f t="array" ref="AF188">XLOOKUP(AE188,'Category Saturation'!A:A,'Category Saturation'!E:E)</f>
        <v>10</v>
      </c>
      <c r="AH188" s="148">
        <f t="array" ref="AH188">iferror(XLOOKUP(R188,'New Launch Success Rate'!A:A,'New Launch Success Rate'!F:F),"NA")</f>
        <v>0</v>
      </c>
      <c r="AI188" s="95">
        <f t="shared" si="9"/>
        <v>0</v>
      </c>
      <c r="AK188" s="149">
        <f t="shared" si="10"/>
        <v>63</v>
      </c>
      <c r="AM188" s="150">
        <f t="array" ref="AM188">XLOOKUP(R188,'Non Moving'!C:C,'Non Moving'!I:I)/100</f>
        <v>0.028</v>
      </c>
      <c r="AN188" s="151">
        <f t="shared" si="11"/>
        <v>100</v>
      </c>
      <c r="AO188" s="150">
        <f t="array" ref="AO188">XLOOKUP(R188,'Non Moving'!C:C,'Non Moving'!F:F)/100</f>
        <v>0.124</v>
      </c>
      <c r="AP188" s="151">
        <f t="shared" si="12"/>
        <v>100</v>
      </c>
      <c r="AR188" s="95">
        <f t="shared" si="13"/>
        <v>100</v>
      </c>
      <c r="AT188" s="95">
        <f t="shared" si="14"/>
        <v>0</v>
      </c>
      <c r="AU188" s="95">
        <f t="array" ref="AU188">iferror(XLOOKUP(J188,Monetization!A:A,Monetization!B:B),25)</f>
        <v>25</v>
      </c>
      <c r="AW188" s="95">
        <f t="shared" si="15"/>
        <v>7.5</v>
      </c>
      <c r="AY188" s="149">
        <f t="shared" si="16"/>
        <v>66.7</v>
      </c>
      <c r="AZ188" s="95" t="str">
        <f t="shared" si="17"/>
        <v>50-75</v>
      </c>
      <c r="BA188" s="95" t="str">
        <f t="shared" si="18"/>
        <v>50-75</v>
      </c>
      <c r="BB188" s="152">
        <f t="array" ref="BB188">iferror(XLOOKUP(C188,Sheet9!A:A,Sheet9!D:D),0)</f>
        <v>0.95</v>
      </c>
      <c r="BC188" s="2">
        <v>1.0</v>
      </c>
      <c r="BD188" s="95">
        <f t="array" ref="BD188">XLOOKUP(C188,ROS!C:C,ROS!O:O)</f>
        <v>2.352564</v>
      </c>
      <c r="BE188" s="147">
        <f t="array" ref="BE188">IFERROR(XLOOKUP(C188,ROS!T:T,ROS!U:U),"")</f>
        <v>0</v>
      </c>
      <c r="BF188" s="147">
        <f t="array" ref="BF188">XLOOKUP(R188,'Refrence Data'!B:B,'Refrence Data'!T:T)</f>
        <v>1.116667</v>
      </c>
      <c r="BG188" s="95">
        <f t="shared" si="19"/>
        <v>1</v>
      </c>
      <c r="BH188" s="4" t="str">
        <f t="shared" si="20"/>
        <v>TP</v>
      </c>
      <c r="BO188" s="153"/>
      <c r="BP188" s="153" t="str">
        <f t="shared" si="26"/>
        <v>TP</v>
      </c>
      <c r="BQ188" s="153"/>
      <c r="BR188" s="153"/>
      <c r="BS188" s="153"/>
    </row>
    <row r="189">
      <c r="A189" s="171">
        <v>8.588007731865E12</v>
      </c>
      <c r="B189" s="171" t="s">
        <v>3521</v>
      </c>
      <c r="C189" s="137" t="s">
        <v>1111</v>
      </c>
      <c r="D189" s="138" t="s">
        <v>630</v>
      </c>
      <c r="E189" s="139" t="s">
        <v>640</v>
      </c>
      <c r="F189" s="140" t="s">
        <v>3554</v>
      </c>
      <c r="G189" s="141">
        <v>1.0</v>
      </c>
      <c r="H189" s="142">
        <v>17.63606</v>
      </c>
      <c r="I189" s="143" t="s">
        <v>111</v>
      </c>
      <c r="J189" s="83"/>
      <c r="K189" s="174">
        <v>365.0</v>
      </c>
      <c r="R189" s="145" t="str">
        <f t="shared" si="1"/>
        <v>Chips &amp; Dips_15-20</v>
      </c>
      <c r="S189" s="146" t="str">
        <f t="shared" si="2"/>
        <v>15-20</v>
      </c>
      <c r="T189" s="95" t="str">
        <f t="array" ref="T189">XLOOKUP(C189,'Depth or Width'!P:P,'Depth or Width'!V:V)</f>
        <v>Width</v>
      </c>
      <c r="U189" s="93">
        <f t="shared" si="3"/>
        <v>5</v>
      </c>
      <c r="V189" s="147">
        <f t="array" ref="V189">iferror(XLOOKUP(R189,'Refrence Data'!B:B,'Refrence Data'!W:W),"NA")</f>
        <v>5.007633</v>
      </c>
      <c r="W189" s="95">
        <f t="shared" si="4"/>
        <v>100</v>
      </c>
      <c r="Y189" s="148">
        <f t="array" ref="Y189">IFERROR(XLOOKUP(R189,'Refrence Data'!B:B,'Refrence Data'!N:N),"NA")</f>
        <v>0.669114</v>
      </c>
      <c r="Z189" s="95" t="str">
        <f t="shared" si="5"/>
        <v>MEDIUM</v>
      </c>
      <c r="AA189" s="147">
        <f t="array" ref="AA189">XLOOKUP(R189,'Refrence Data'!B:B,'Refrence Data'!AC:AC)</f>
        <v>6.718884</v>
      </c>
      <c r="AB189" s="147">
        <f t="array" ref="AB189">IFERROR(XLOOKUP(R189,'Refrence Data'!B:B,'Refrence Data'!Y:Y),"NA")</f>
        <v>6.718884</v>
      </c>
      <c r="AC189" s="95" t="str">
        <f t="shared" si="6"/>
        <v>High</v>
      </c>
      <c r="AD189" s="95" t="str">
        <f t="shared" si="7"/>
        <v>Width</v>
      </c>
      <c r="AE189" s="95" t="str">
        <f t="shared" si="8"/>
        <v>MEDIUMHighWidth</v>
      </c>
      <c r="AF189" s="95">
        <f t="array" ref="AF189">XLOOKUP(AE189,'Category Saturation'!A:A,'Category Saturation'!E:E)</f>
        <v>10</v>
      </c>
      <c r="AH189" s="148">
        <f t="array" ref="AH189">iferror(XLOOKUP(R189,'New Launch Success Rate'!A:A,'New Launch Success Rate'!F:F),"NA")</f>
        <v>0</v>
      </c>
      <c r="AI189" s="95">
        <f t="shared" si="9"/>
        <v>0</v>
      </c>
      <c r="AK189" s="149">
        <f t="shared" si="10"/>
        <v>63</v>
      </c>
      <c r="AM189" s="150">
        <f t="array" ref="AM189">XLOOKUP(R189,'Non Moving'!C:C,'Non Moving'!I:I)/100</f>
        <v>0.028</v>
      </c>
      <c r="AN189" s="151">
        <f t="shared" si="11"/>
        <v>100</v>
      </c>
      <c r="AO189" s="150">
        <f t="array" ref="AO189">XLOOKUP(R189,'Non Moving'!C:C,'Non Moving'!F:F)/100</f>
        <v>0.124</v>
      </c>
      <c r="AP189" s="151">
        <f t="shared" si="12"/>
        <v>100</v>
      </c>
      <c r="AR189" s="95">
        <f t="shared" si="13"/>
        <v>100</v>
      </c>
      <c r="AT189" s="95">
        <f t="shared" si="14"/>
        <v>0</v>
      </c>
      <c r="AU189" s="95">
        <f t="array" ref="AU189">iferror(XLOOKUP(J189,Monetization!A:A,Monetization!B:B),25)</f>
        <v>25</v>
      </c>
      <c r="AW189" s="95">
        <f t="shared" si="15"/>
        <v>7.5</v>
      </c>
      <c r="AY189" s="149">
        <f t="shared" si="16"/>
        <v>66.7</v>
      </c>
      <c r="AZ189" s="95" t="str">
        <f t="shared" si="17"/>
        <v>50-75</v>
      </c>
      <c r="BA189" s="95" t="str">
        <f t="shared" si="18"/>
        <v>50-75</v>
      </c>
      <c r="BB189" s="152">
        <f t="array" ref="BB189">iferror(XLOOKUP(C189,Sheet9!A:A,Sheet9!D:D),0)</f>
        <v>0.94</v>
      </c>
      <c r="BC189" s="2">
        <v>1.0</v>
      </c>
      <c r="BD189" s="95">
        <f t="array" ref="BD189">XLOOKUP(C189,ROS!C:C,ROS!O:O)</f>
        <v>3.149573</v>
      </c>
      <c r="BE189" s="147">
        <f t="array" ref="BE189">IFERROR(XLOOKUP(C189,ROS!T:T,ROS!U:U),"")</f>
        <v>0.25</v>
      </c>
      <c r="BF189" s="147">
        <f t="array" ref="BF189">XLOOKUP(R189,'Refrence Data'!B:B,'Refrence Data'!T:T)</f>
        <v>1.116667</v>
      </c>
      <c r="BG189" s="95">
        <f t="shared" si="19"/>
        <v>1</v>
      </c>
      <c r="BH189" s="4" t="str">
        <f t="shared" si="20"/>
        <v>TP</v>
      </c>
      <c r="BO189" s="153"/>
      <c r="BP189" s="153" t="str">
        <f t="shared" si="26"/>
        <v>TP</v>
      </c>
      <c r="BQ189" s="153"/>
      <c r="BR189" s="153"/>
      <c r="BS189" s="153"/>
    </row>
    <row r="190">
      <c r="A190" s="171">
        <v>6.281034916237E12</v>
      </c>
      <c r="B190" s="171" t="s">
        <v>3507</v>
      </c>
      <c r="C190" s="137" t="s">
        <v>847</v>
      </c>
      <c r="D190" s="138" t="s">
        <v>180</v>
      </c>
      <c r="E190" s="139" t="s">
        <v>844</v>
      </c>
      <c r="F190" s="140" t="s">
        <v>3599</v>
      </c>
      <c r="G190" s="141">
        <v>0.0</v>
      </c>
      <c r="H190" s="142">
        <v>3.247434</v>
      </c>
      <c r="I190" s="143" t="s">
        <v>111</v>
      </c>
      <c r="J190" s="83"/>
      <c r="K190" s="174">
        <v>180.0</v>
      </c>
      <c r="R190" s="145" t="str">
        <f t="shared" si="1"/>
        <v>Juices &amp; Cordials_0-5</v>
      </c>
      <c r="S190" s="146" t="str">
        <f t="shared" si="2"/>
        <v>0-5</v>
      </c>
      <c r="T190" s="95" t="str">
        <f t="array" ref="T190">XLOOKUP(C190,'Depth or Width'!P:P,'Depth or Width'!V:V)</f>
        <v>Depth</v>
      </c>
      <c r="U190" s="93">
        <f t="shared" si="3"/>
        <v>5</v>
      </c>
      <c r="V190" s="147">
        <f t="array" ref="V190">iferror(XLOOKUP(R190,'Refrence Data'!B:B,'Refrence Data'!W:W),"NA")</f>
        <v>24.42536</v>
      </c>
      <c r="W190" s="95">
        <f t="shared" si="4"/>
        <v>100</v>
      </c>
      <c r="Y190" s="148">
        <f t="array" ref="Y190">IFERROR(XLOOKUP(R190,'Refrence Data'!B:B,'Refrence Data'!N:N),"NA")</f>
        <v>0.607889</v>
      </c>
      <c r="Z190" s="95" t="str">
        <f t="shared" si="5"/>
        <v>MEDIUM</v>
      </c>
      <c r="AA190" s="147">
        <f t="array" ref="AA190">XLOOKUP(R190,'Refrence Data'!B:B,'Refrence Data'!AC:AC)</f>
        <v>9.931681</v>
      </c>
      <c r="AB190" s="147">
        <f t="array" ref="AB190">IFERROR(XLOOKUP(R190,'Refrence Data'!B:B,'Refrence Data'!Y:Y),"NA")</f>
        <v>16.62915</v>
      </c>
      <c r="AC190" s="95" t="str">
        <f t="shared" si="6"/>
        <v>High</v>
      </c>
      <c r="AD190" s="95" t="str">
        <f t="shared" si="7"/>
        <v>Depth</v>
      </c>
      <c r="AE190" s="95" t="str">
        <f t="shared" si="8"/>
        <v>MEDIUMHighDepth</v>
      </c>
      <c r="AF190" s="95">
        <f t="array" ref="AF190">XLOOKUP(AE190,'Category Saturation'!A:A,'Category Saturation'!E:E)</f>
        <v>60</v>
      </c>
      <c r="AH190" s="148">
        <f t="array" ref="AH190">iferror(XLOOKUP(R190,'New Launch Success Rate'!A:A,'New Launch Success Rate'!F:F),"NA")</f>
        <v>0.50025</v>
      </c>
      <c r="AI190" s="95">
        <f t="shared" si="9"/>
        <v>50</v>
      </c>
      <c r="AK190" s="149">
        <f t="shared" si="10"/>
        <v>83</v>
      </c>
      <c r="AM190" s="150">
        <f t="array" ref="AM190">XLOOKUP(R190,'Non Moving'!C:C,'Non Moving'!I:I)/100</f>
        <v>0.039</v>
      </c>
      <c r="AN190" s="151">
        <f t="shared" si="11"/>
        <v>100</v>
      </c>
      <c r="AO190" s="150">
        <f t="array" ref="AO190">XLOOKUP(R190,'Non Moving'!C:C,'Non Moving'!F:F)/100</f>
        <v>0.059</v>
      </c>
      <c r="AP190" s="151">
        <f t="shared" si="12"/>
        <v>100</v>
      </c>
      <c r="AR190" s="95">
        <f t="shared" si="13"/>
        <v>100</v>
      </c>
      <c r="AT190" s="95">
        <f t="shared" si="14"/>
        <v>0</v>
      </c>
      <c r="AU190" s="95">
        <f t="array" ref="AU190">iferror(XLOOKUP(J190,Monetization!A:A,Monetization!B:B),25)</f>
        <v>25</v>
      </c>
      <c r="AW190" s="95">
        <f t="shared" si="15"/>
        <v>7.5</v>
      </c>
      <c r="AY190" s="149">
        <f t="shared" si="16"/>
        <v>74.7</v>
      </c>
      <c r="AZ190" s="95" t="str">
        <f t="shared" si="17"/>
        <v>50-75</v>
      </c>
      <c r="BA190" s="95" t="str">
        <f t="shared" si="18"/>
        <v>75-100</v>
      </c>
      <c r="BB190" s="152">
        <f t="array" ref="BB190">iferror(XLOOKUP(C190,Sheet9!A:A,Sheet9!D:D),0)</f>
        <v>0.86</v>
      </c>
      <c r="BC190" s="2">
        <v>1.0</v>
      </c>
      <c r="BD190" s="95">
        <f t="array" ref="BD190">XLOOKUP(C190,ROS!C:C,ROS!O:O)</f>
        <v>0</v>
      </c>
      <c r="BE190" s="147">
        <f t="array" ref="BE190">IFERROR(XLOOKUP(C190,ROS!T:T,ROS!U:U),"")</f>
        <v>0.416666667</v>
      </c>
      <c r="BF190" s="147">
        <f t="array" ref="BF190">XLOOKUP(R190,'Refrence Data'!B:B,'Refrence Data'!T:T)</f>
        <v>13.17738</v>
      </c>
      <c r="BG190" s="95">
        <f t="shared" si="19"/>
        <v>0</v>
      </c>
      <c r="BH190" s="4" t="str">
        <f t="shared" si="20"/>
        <v>FP</v>
      </c>
      <c r="BO190" s="153"/>
      <c r="BP190" s="153" t="str">
        <f t="shared" si="26"/>
        <v>FP</v>
      </c>
      <c r="BQ190" s="153"/>
      <c r="BR190" s="153"/>
      <c r="BS190" s="153"/>
    </row>
    <row r="191">
      <c r="A191" s="171">
        <v>6.28103491622E12</v>
      </c>
      <c r="B191" s="171" t="s">
        <v>3507</v>
      </c>
      <c r="C191" s="137" t="s">
        <v>848</v>
      </c>
      <c r="D191" s="138" t="s">
        <v>180</v>
      </c>
      <c r="E191" s="139" t="s">
        <v>844</v>
      </c>
      <c r="F191" s="140" t="s">
        <v>3599</v>
      </c>
      <c r="G191" s="141">
        <v>0.0</v>
      </c>
      <c r="H191" s="142">
        <v>0.050098</v>
      </c>
      <c r="I191" s="143" t="s">
        <v>111</v>
      </c>
      <c r="J191" s="83"/>
      <c r="K191" s="174">
        <v>180.0</v>
      </c>
      <c r="R191" s="145" t="str">
        <f t="shared" si="1"/>
        <v>Juices &amp; Cordials_0-5</v>
      </c>
      <c r="S191" s="146" t="str">
        <f t="shared" si="2"/>
        <v>0-5</v>
      </c>
      <c r="T191" s="95" t="str">
        <f t="array" ref="T191">XLOOKUP(C191,'Depth or Width'!P:P,'Depth or Width'!V:V)</f>
        <v>Depth</v>
      </c>
      <c r="U191" s="93">
        <f t="shared" si="3"/>
        <v>5</v>
      </c>
      <c r="V191" s="147">
        <f t="array" ref="V191">iferror(XLOOKUP(R191,'Refrence Data'!B:B,'Refrence Data'!W:W),"NA")</f>
        <v>24.42536</v>
      </c>
      <c r="W191" s="95">
        <f t="shared" si="4"/>
        <v>100</v>
      </c>
      <c r="Y191" s="148">
        <f t="array" ref="Y191">IFERROR(XLOOKUP(R191,'Refrence Data'!B:B,'Refrence Data'!N:N),"NA")</f>
        <v>0.607889</v>
      </c>
      <c r="Z191" s="95" t="str">
        <f t="shared" si="5"/>
        <v>MEDIUM</v>
      </c>
      <c r="AA191" s="147">
        <f t="array" ref="AA191">XLOOKUP(R191,'Refrence Data'!B:B,'Refrence Data'!AC:AC)</f>
        <v>9.931681</v>
      </c>
      <c r="AB191" s="147">
        <f t="array" ref="AB191">IFERROR(XLOOKUP(R191,'Refrence Data'!B:B,'Refrence Data'!Y:Y),"NA")</f>
        <v>16.62915</v>
      </c>
      <c r="AC191" s="95" t="str">
        <f t="shared" si="6"/>
        <v>High</v>
      </c>
      <c r="AD191" s="95" t="str">
        <f t="shared" si="7"/>
        <v>Depth</v>
      </c>
      <c r="AE191" s="95" t="str">
        <f t="shared" si="8"/>
        <v>MEDIUMHighDepth</v>
      </c>
      <c r="AF191" s="95">
        <f t="array" ref="AF191">XLOOKUP(AE191,'Category Saturation'!A:A,'Category Saturation'!E:E)</f>
        <v>60</v>
      </c>
      <c r="AH191" s="148">
        <f t="array" ref="AH191">iferror(XLOOKUP(R191,'New Launch Success Rate'!A:A,'New Launch Success Rate'!F:F),"NA")</f>
        <v>0.50025</v>
      </c>
      <c r="AI191" s="95">
        <f t="shared" si="9"/>
        <v>50</v>
      </c>
      <c r="AK191" s="149">
        <f t="shared" si="10"/>
        <v>83</v>
      </c>
      <c r="AM191" s="150">
        <f t="array" ref="AM191">XLOOKUP(R191,'Non Moving'!C:C,'Non Moving'!I:I)/100</f>
        <v>0.039</v>
      </c>
      <c r="AN191" s="151">
        <f t="shared" si="11"/>
        <v>100</v>
      </c>
      <c r="AO191" s="150">
        <f t="array" ref="AO191">XLOOKUP(R191,'Non Moving'!C:C,'Non Moving'!F:F)/100</f>
        <v>0.059</v>
      </c>
      <c r="AP191" s="151">
        <f t="shared" si="12"/>
        <v>100</v>
      </c>
      <c r="AR191" s="95">
        <f t="shared" si="13"/>
        <v>100</v>
      </c>
      <c r="AT191" s="95">
        <f t="shared" si="14"/>
        <v>0</v>
      </c>
      <c r="AU191" s="95">
        <f t="array" ref="AU191">iferror(XLOOKUP(J191,Monetization!A:A,Monetization!B:B),25)</f>
        <v>25</v>
      </c>
      <c r="AW191" s="95">
        <f t="shared" si="15"/>
        <v>7.5</v>
      </c>
      <c r="AY191" s="149">
        <f t="shared" si="16"/>
        <v>74.7</v>
      </c>
      <c r="AZ191" s="95" t="str">
        <f t="shared" si="17"/>
        <v>50-75</v>
      </c>
      <c r="BA191" s="95" t="str">
        <f t="shared" si="18"/>
        <v>75-100</v>
      </c>
      <c r="BB191" s="152">
        <f t="array" ref="BB191">iferror(XLOOKUP(C191,Sheet9!A:A,Sheet9!D:D),0)</f>
        <v>0.86</v>
      </c>
      <c r="BC191" s="2">
        <v>1.0</v>
      </c>
      <c r="BD191" s="95">
        <f t="array" ref="BD191">XLOOKUP(C191,ROS!C:C,ROS!O:O)</f>
        <v>0.416667</v>
      </c>
      <c r="BE191" s="147">
        <f t="array" ref="BE191">IFERROR(XLOOKUP(C191,ROS!T:T,ROS!U:U),"")</f>
        <v>0</v>
      </c>
      <c r="BF191" s="147">
        <f t="array" ref="BF191">XLOOKUP(R191,'Refrence Data'!B:B,'Refrence Data'!T:T)</f>
        <v>13.17738</v>
      </c>
      <c r="BG191" s="95">
        <f t="shared" si="19"/>
        <v>0</v>
      </c>
      <c r="BH191" s="4" t="str">
        <f t="shared" si="20"/>
        <v>FP</v>
      </c>
      <c r="BO191" s="153"/>
      <c r="BP191" s="153" t="str">
        <f t="shared" si="26"/>
        <v>FP</v>
      </c>
      <c r="BQ191" s="153"/>
      <c r="BR191" s="153"/>
      <c r="BS191" s="153"/>
    </row>
    <row r="192">
      <c r="A192" s="171">
        <v>8.85652025867E11</v>
      </c>
      <c r="B192" s="171" t="s">
        <v>3521</v>
      </c>
      <c r="C192" s="137" t="s">
        <v>1120</v>
      </c>
      <c r="D192" s="138" t="s">
        <v>1122</v>
      </c>
      <c r="E192" s="139" t="s">
        <v>1123</v>
      </c>
      <c r="F192" s="140" t="s">
        <v>3603</v>
      </c>
      <c r="G192" s="141">
        <v>0.0</v>
      </c>
      <c r="H192" s="142">
        <v>49.76694</v>
      </c>
      <c r="I192" s="143" t="s">
        <v>111</v>
      </c>
      <c r="J192" s="83"/>
      <c r="K192" s="174">
        <v>1095.0</v>
      </c>
      <c r="R192" s="145" t="str">
        <f t="shared" si="1"/>
        <v>Gym Equipment_25+</v>
      </c>
      <c r="S192" s="146" t="str">
        <f t="shared" si="2"/>
        <v>25+</v>
      </c>
      <c r="T192" s="95" t="str">
        <f t="array" ref="T192">XLOOKUP(C192,'Depth or Width'!P:P,'Depth or Width'!V:V)</f>
        <v>Width</v>
      </c>
      <c r="U192" s="93">
        <f t="shared" si="3"/>
        <v>5</v>
      </c>
      <c r="V192" s="147">
        <f t="array" ref="V192">iferror(XLOOKUP(R192,'Refrence Data'!B:B,'Refrence Data'!W:W),"NA")</f>
        <v>0.1</v>
      </c>
      <c r="W192" s="95">
        <f t="shared" si="4"/>
        <v>0</v>
      </c>
      <c r="Y192" s="148">
        <f t="array" ref="Y192">IFERROR(XLOOKUP(R192,'Refrence Data'!B:B,'Refrence Data'!N:N),"NA")</f>
        <v>0.698306</v>
      </c>
      <c r="Z192" s="95" t="str">
        <f t="shared" si="5"/>
        <v>MEDIUM</v>
      </c>
      <c r="AA192" s="147">
        <f t="array" ref="AA192">XLOOKUP(R192,'Refrence Data'!B:B,'Refrence Data'!AC:AC)</f>
        <v>0.3</v>
      </c>
      <c r="AB192" s="147">
        <f t="array" ref="AB192">IFERROR(XLOOKUP(R192,'Refrence Data'!B:B,'Refrence Data'!Y:Y),"NA")</f>
        <v>0.108599</v>
      </c>
      <c r="AC192" s="95" t="str">
        <f t="shared" si="6"/>
        <v>Low</v>
      </c>
      <c r="AD192" s="95" t="str">
        <f t="shared" si="7"/>
        <v>Width</v>
      </c>
      <c r="AE192" s="95" t="str">
        <f t="shared" si="8"/>
        <v>MEDIUMLowWidth</v>
      </c>
      <c r="AF192" s="95">
        <f t="array" ref="AF192">XLOOKUP(AE192,'Category Saturation'!A:A,'Category Saturation'!E:E)</f>
        <v>25</v>
      </c>
      <c r="AH192" s="148">
        <f t="array" ref="AH192">iferror(XLOOKUP(R192,'New Launch Success Rate'!A:A,'New Launch Success Rate'!F:F),"NA")</f>
        <v>0.727</v>
      </c>
      <c r="AI192" s="95">
        <f t="shared" si="9"/>
        <v>100</v>
      </c>
      <c r="AK192" s="149">
        <f t="shared" si="10"/>
        <v>17.5</v>
      </c>
      <c r="AM192" s="150">
        <f t="array" ref="AM192">XLOOKUP(R192,'Non Moving'!C:C,'Non Moving'!I:I)/100</f>
        <v>0.838</v>
      </c>
      <c r="AN192" s="151">
        <f t="shared" si="11"/>
        <v>0</v>
      </c>
      <c r="AO192" s="150">
        <f t="array" ref="AO192">XLOOKUP(R192,'Non Moving'!C:C,'Non Moving'!F:F)/100</f>
        <v>0.835</v>
      </c>
      <c r="AP192" s="151">
        <f t="shared" si="12"/>
        <v>0</v>
      </c>
      <c r="AR192" s="95">
        <f t="shared" si="13"/>
        <v>0</v>
      </c>
      <c r="AT192" s="95">
        <f t="shared" si="14"/>
        <v>0</v>
      </c>
      <c r="AU192" s="95">
        <f t="array" ref="AU192">iferror(XLOOKUP(J192,Monetization!A:A,Monetization!B:B),25)</f>
        <v>25</v>
      </c>
      <c r="AW192" s="95">
        <f t="shared" si="15"/>
        <v>7.5</v>
      </c>
      <c r="AY192" s="149">
        <f t="shared" si="16"/>
        <v>8.5</v>
      </c>
      <c r="AZ192" s="95" t="str">
        <f t="shared" si="17"/>
        <v>0-25</v>
      </c>
      <c r="BA192" s="95" t="str">
        <f t="shared" si="18"/>
        <v>0-25</v>
      </c>
      <c r="BB192" s="152">
        <f t="array" ref="BB192">iferror(XLOOKUP(C192,Sheet9!A:A,Sheet9!D:D),0)</f>
        <v>0</v>
      </c>
      <c r="BC192" s="2">
        <v>1.0</v>
      </c>
      <c r="BD192" s="95">
        <f t="array" ref="BD192">XLOOKUP(C192,ROS!C:C,ROS!O:O)</f>
        <v>0</v>
      </c>
      <c r="BE192" s="147" t="str">
        <f t="array" ref="BE192">IFERROR(XLOOKUP(C192,ROS!T:T,ROS!U:U),"")</f>
        <v/>
      </c>
      <c r="BF192" s="147">
        <f t="array" ref="BF192">XLOOKUP(R192,'Refrence Data'!B:B,'Refrence Data'!T:T)</f>
        <v>0.033333</v>
      </c>
      <c r="BG192" s="95">
        <f t="shared" si="19"/>
        <v>0</v>
      </c>
      <c r="BH192" s="4" t="str">
        <f t="shared" si="20"/>
        <v/>
      </c>
      <c r="BO192" s="153"/>
      <c r="BP192" s="153" t="str">
        <f t="shared" si="26"/>
        <v/>
      </c>
      <c r="BQ192" s="153"/>
      <c r="BR192" s="153"/>
      <c r="BS192" s="153"/>
    </row>
    <row r="193">
      <c r="A193" s="171">
        <v>8.85652001137E11</v>
      </c>
      <c r="B193" s="171" t="s">
        <v>3521</v>
      </c>
      <c r="C193" s="137" t="s">
        <v>1125</v>
      </c>
      <c r="D193" s="138" t="s">
        <v>1122</v>
      </c>
      <c r="E193" s="139" t="s">
        <v>1123</v>
      </c>
      <c r="F193" s="140" t="s">
        <v>3603</v>
      </c>
      <c r="G193" s="141">
        <v>0.0</v>
      </c>
      <c r="H193" s="142">
        <v>50.0168</v>
      </c>
      <c r="I193" s="143" t="s">
        <v>111</v>
      </c>
      <c r="J193" s="83"/>
      <c r="K193" s="174">
        <v>1095.0</v>
      </c>
      <c r="R193" s="145" t="str">
        <f t="shared" si="1"/>
        <v>Gym Equipment_25+</v>
      </c>
      <c r="S193" s="146" t="str">
        <f t="shared" si="2"/>
        <v>25+</v>
      </c>
      <c r="T193" s="95" t="str">
        <f t="array" ref="T193">XLOOKUP(C193,'Depth or Width'!P:P,'Depth or Width'!V:V)</f>
        <v>Depth</v>
      </c>
      <c r="U193" s="93">
        <f t="shared" si="3"/>
        <v>5</v>
      </c>
      <c r="V193" s="147">
        <f t="array" ref="V193">iferror(XLOOKUP(R193,'Refrence Data'!B:B,'Refrence Data'!W:W),"NA")</f>
        <v>0.1</v>
      </c>
      <c r="W193" s="95">
        <f t="shared" si="4"/>
        <v>0</v>
      </c>
      <c r="Y193" s="148">
        <f t="array" ref="Y193">IFERROR(XLOOKUP(R193,'Refrence Data'!B:B,'Refrence Data'!N:N),"NA")</f>
        <v>0.698306</v>
      </c>
      <c r="Z193" s="95" t="str">
        <f t="shared" si="5"/>
        <v>MEDIUM</v>
      </c>
      <c r="AA193" s="147">
        <f t="array" ref="AA193">XLOOKUP(R193,'Refrence Data'!B:B,'Refrence Data'!AC:AC)</f>
        <v>0.3</v>
      </c>
      <c r="AB193" s="147">
        <f t="array" ref="AB193">IFERROR(XLOOKUP(R193,'Refrence Data'!B:B,'Refrence Data'!Y:Y),"NA")</f>
        <v>0.108599</v>
      </c>
      <c r="AC193" s="95" t="str">
        <f t="shared" si="6"/>
        <v>Low</v>
      </c>
      <c r="AD193" s="95" t="str">
        <f t="shared" si="7"/>
        <v>Depth</v>
      </c>
      <c r="AE193" s="95" t="str">
        <f t="shared" si="8"/>
        <v>MEDIUMLowDepth</v>
      </c>
      <c r="AF193" s="95">
        <f t="array" ref="AF193">XLOOKUP(AE193,'Category Saturation'!A:A,'Category Saturation'!E:E)</f>
        <v>50</v>
      </c>
      <c r="AH193" s="148">
        <f t="array" ref="AH193">iferror(XLOOKUP(R193,'New Launch Success Rate'!A:A,'New Launch Success Rate'!F:F),"NA")</f>
        <v>0.727</v>
      </c>
      <c r="AI193" s="95">
        <f t="shared" si="9"/>
        <v>100</v>
      </c>
      <c r="AK193" s="149">
        <f t="shared" si="10"/>
        <v>25</v>
      </c>
      <c r="AM193" s="150">
        <f t="array" ref="AM193">XLOOKUP(R193,'Non Moving'!C:C,'Non Moving'!I:I)/100</f>
        <v>0.838</v>
      </c>
      <c r="AN193" s="151">
        <f t="shared" si="11"/>
        <v>0</v>
      </c>
      <c r="AO193" s="150">
        <f t="array" ref="AO193">XLOOKUP(R193,'Non Moving'!C:C,'Non Moving'!F:F)/100</f>
        <v>0.835</v>
      </c>
      <c r="AP193" s="151">
        <f t="shared" si="12"/>
        <v>0</v>
      </c>
      <c r="AR193" s="95">
        <f t="shared" si="13"/>
        <v>0</v>
      </c>
      <c r="AT193" s="95">
        <f t="shared" si="14"/>
        <v>0</v>
      </c>
      <c r="AU193" s="95">
        <f t="array" ref="AU193">iferror(XLOOKUP(J193,Monetization!A:A,Monetization!B:B),25)</f>
        <v>25</v>
      </c>
      <c r="AW193" s="95">
        <f t="shared" si="15"/>
        <v>7.5</v>
      </c>
      <c r="AY193" s="149">
        <f t="shared" si="16"/>
        <v>11.5</v>
      </c>
      <c r="AZ193" s="95" t="str">
        <f t="shared" si="17"/>
        <v>0-25</v>
      </c>
      <c r="BA193" s="95" t="str">
        <f t="shared" si="18"/>
        <v>25-50</v>
      </c>
      <c r="BB193" s="152">
        <f t="array" ref="BB193">iferror(XLOOKUP(C193,Sheet9!A:A,Sheet9!D:D),0)</f>
        <v>0</v>
      </c>
      <c r="BC193" s="2">
        <v>1.0</v>
      </c>
      <c r="BD193" s="95">
        <f t="array" ref="BD193">XLOOKUP(C193,ROS!C:C,ROS!O:O)</f>
        <v>0</v>
      </c>
      <c r="BE193" s="147" t="str">
        <f t="array" ref="BE193">IFERROR(XLOOKUP(C193,ROS!T:T,ROS!U:U),"")</f>
        <v/>
      </c>
      <c r="BF193" s="147">
        <f t="array" ref="BF193">XLOOKUP(R193,'Refrence Data'!B:B,'Refrence Data'!T:T)</f>
        <v>0.033333</v>
      </c>
      <c r="BG193" s="95">
        <f t="shared" si="19"/>
        <v>0</v>
      </c>
      <c r="BH193" s="4" t="str">
        <f t="shared" si="20"/>
        <v/>
      </c>
      <c r="BO193" s="153"/>
      <c r="BP193" s="153" t="str">
        <f t="shared" si="26"/>
        <v/>
      </c>
      <c r="BQ193" s="153"/>
      <c r="BR193" s="153"/>
      <c r="BS193" s="153"/>
    </row>
    <row r="194">
      <c r="A194" s="171">
        <v>7.1662470029E10</v>
      </c>
      <c r="B194" s="171" t="s">
        <v>3521</v>
      </c>
      <c r="C194" s="137" t="s">
        <v>1128</v>
      </c>
      <c r="D194" s="138" t="s">
        <v>1130</v>
      </c>
      <c r="E194" s="139" t="s">
        <v>1131</v>
      </c>
      <c r="F194" s="140" t="s">
        <v>3604</v>
      </c>
      <c r="G194" s="141">
        <v>0.0</v>
      </c>
      <c r="H194" s="142">
        <v>51.09524</v>
      </c>
      <c r="I194" s="143" t="s">
        <v>111</v>
      </c>
      <c r="J194" s="83"/>
      <c r="K194" s="174">
        <v>1095.0</v>
      </c>
      <c r="R194" s="145" t="str">
        <f t="shared" si="1"/>
        <v>School Supplies_25+</v>
      </c>
      <c r="S194" s="146" t="str">
        <f t="shared" si="2"/>
        <v>25+</v>
      </c>
      <c r="T194" s="95" t="str">
        <f t="array" ref="T194">XLOOKUP(C194,'Depth or Width'!P:P,'Depth or Width'!V:V)</f>
        <v>Depth</v>
      </c>
      <c r="U194" s="93">
        <f t="shared" si="3"/>
        <v>5</v>
      </c>
      <c r="V194" s="147">
        <f t="array" ref="V194">iferror(XLOOKUP(R194,'Refrence Data'!B:B,'Refrence Data'!W:W),"NA")</f>
        <v>0.073819</v>
      </c>
      <c r="W194" s="95">
        <f t="shared" si="4"/>
        <v>0</v>
      </c>
      <c r="Y194" s="148">
        <f t="array" ref="Y194">IFERROR(XLOOKUP(R194,'Refrence Data'!B:B,'Refrence Data'!N:N),"NA")</f>
        <v>0.829431</v>
      </c>
      <c r="Z194" s="95" t="str">
        <f t="shared" si="5"/>
        <v>HIGH</v>
      </c>
      <c r="AA194" s="147">
        <f t="array" ref="AA194">XLOOKUP(R194,'Refrence Data'!B:B,'Refrence Data'!AC:AC)</f>
        <v>0.633822</v>
      </c>
      <c r="AB194" s="147">
        <f t="array" ref="AB194">IFERROR(XLOOKUP(R194,'Refrence Data'!B:B,'Refrence Data'!Y:Y),"NA")</f>
        <v>0.122228</v>
      </c>
      <c r="AC194" s="95" t="str">
        <f t="shared" si="6"/>
        <v>Low</v>
      </c>
      <c r="AD194" s="95" t="str">
        <f t="shared" si="7"/>
        <v>Depth</v>
      </c>
      <c r="AE194" s="95" t="str">
        <f t="shared" si="8"/>
        <v>HIGHLowDepth</v>
      </c>
      <c r="AF194" s="95">
        <f t="array" ref="AF194">XLOOKUP(AE194,'Category Saturation'!A:A,'Category Saturation'!E:E)</f>
        <v>0</v>
      </c>
      <c r="AH194" s="148">
        <f t="array" ref="AH194">iferror(XLOOKUP(R194,'New Launch Success Rate'!A:A,'New Launch Success Rate'!F:F),"NA")</f>
        <v>0.636</v>
      </c>
      <c r="AI194" s="95">
        <f t="shared" si="9"/>
        <v>50</v>
      </c>
      <c r="AK194" s="149">
        <f t="shared" si="10"/>
        <v>5</v>
      </c>
      <c r="AM194" s="150">
        <f t="array" ref="AM194">XLOOKUP(R194,'Non Moving'!C:C,'Non Moving'!I:I)/100</f>
        <v>0.695</v>
      </c>
      <c r="AN194" s="151">
        <f t="shared" si="11"/>
        <v>0</v>
      </c>
      <c r="AO194" s="150">
        <f t="array" ref="AO194">XLOOKUP(R194,'Non Moving'!C:C,'Non Moving'!F:F)/100</f>
        <v>0.828</v>
      </c>
      <c r="AP194" s="151">
        <f t="shared" si="12"/>
        <v>0</v>
      </c>
      <c r="AR194" s="95">
        <f t="shared" si="13"/>
        <v>0</v>
      </c>
      <c r="AT194" s="95">
        <f t="shared" si="14"/>
        <v>0</v>
      </c>
      <c r="AU194" s="95">
        <f t="array" ref="AU194">iferror(XLOOKUP(J194,Monetization!A:A,Monetization!B:B),25)</f>
        <v>25</v>
      </c>
      <c r="AW194" s="95">
        <f t="shared" si="15"/>
        <v>7.5</v>
      </c>
      <c r="AY194" s="149">
        <f t="shared" si="16"/>
        <v>3.5</v>
      </c>
      <c r="AZ194" s="95" t="str">
        <f t="shared" si="17"/>
        <v>0-25</v>
      </c>
      <c r="BA194" s="95" t="str">
        <f t="shared" si="18"/>
        <v>0-25</v>
      </c>
      <c r="BB194" s="152">
        <f t="array" ref="BB194">iferror(XLOOKUP(C194,Sheet9!A:A,Sheet9!D:D),0)</f>
        <v>0</v>
      </c>
      <c r="BC194" s="2">
        <v>1.0</v>
      </c>
      <c r="BD194" s="95">
        <f t="array" ref="BD194">XLOOKUP(C194,ROS!C:C,ROS!O:O)</f>
        <v>0</v>
      </c>
      <c r="BE194" s="147" t="str">
        <f t="array" ref="BE194">IFERROR(XLOOKUP(C194,ROS!T:T,ROS!U:U),"")</f>
        <v/>
      </c>
      <c r="BF194" s="147">
        <f t="array" ref="BF194">XLOOKUP(R194,'Refrence Data'!B:B,'Refrence Data'!T:T)</f>
        <v>0.033333</v>
      </c>
      <c r="BG194" s="95">
        <f t="shared" si="19"/>
        <v>0</v>
      </c>
      <c r="BH194" s="4" t="str">
        <f t="shared" si="20"/>
        <v/>
      </c>
      <c r="BO194" s="153"/>
      <c r="BP194" s="153" t="str">
        <f t="shared" si="26"/>
        <v/>
      </c>
      <c r="BQ194" s="153"/>
      <c r="BR194" s="153"/>
      <c r="BS194" s="153"/>
    </row>
    <row r="195">
      <c r="A195" s="171">
        <v>7.1662112042E10</v>
      </c>
      <c r="B195" s="171" t="s">
        <v>3521</v>
      </c>
      <c r="C195" s="137" t="s">
        <v>1133</v>
      </c>
      <c r="D195" s="138" t="s">
        <v>1130</v>
      </c>
      <c r="E195" s="139" t="s">
        <v>1131</v>
      </c>
      <c r="F195" s="140" t="s">
        <v>3604</v>
      </c>
      <c r="G195" s="141">
        <v>0.0</v>
      </c>
      <c r="H195" s="142">
        <v>26.17424</v>
      </c>
      <c r="I195" s="143" t="s">
        <v>111</v>
      </c>
      <c r="J195" s="83"/>
      <c r="K195" s="174">
        <v>1095.0</v>
      </c>
      <c r="R195" s="145" t="str">
        <f t="shared" si="1"/>
        <v>School Supplies_25+</v>
      </c>
      <c r="S195" s="146" t="str">
        <f t="shared" si="2"/>
        <v>25+</v>
      </c>
      <c r="T195" s="95" t="str">
        <f t="array" ref="T195">XLOOKUP(C195,'Depth or Width'!P:P,'Depth or Width'!V:V)</f>
        <v>Depth</v>
      </c>
      <c r="U195" s="93">
        <f t="shared" si="3"/>
        <v>5</v>
      </c>
      <c r="V195" s="147">
        <f t="array" ref="V195">iferror(XLOOKUP(R195,'Refrence Data'!B:B,'Refrence Data'!W:W),"NA")</f>
        <v>0.073819</v>
      </c>
      <c r="W195" s="95">
        <f t="shared" si="4"/>
        <v>0</v>
      </c>
      <c r="Y195" s="148">
        <f t="array" ref="Y195">IFERROR(XLOOKUP(R195,'Refrence Data'!B:B,'Refrence Data'!N:N),"NA")</f>
        <v>0.829431</v>
      </c>
      <c r="Z195" s="95" t="str">
        <f t="shared" si="5"/>
        <v>HIGH</v>
      </c>
      <c r="AA195" s="147">
        <f t="array" ref="AA195">XLOOKUP(R195,'Refrence Data'!B:B,'Refrence Data'!AC:AC)</f>
        <v>0.633822</v>
      </c>
      <c r="AB195" s="147">
        <f t="array" ref="AB195">IFERROR(XLOOKUP(R195,'Refrence Data'!B:B,'Refrence Data'!Y:Y),"NA")</f>
        <v>0.122228</v>
      </c>
      <c r="AC195" s="95" t="str">
        <f t="shared" si="6"/>
        <v>Low</v>
      </c>
      <c r="AD195" s="95" t="str">
        <f t="shared" si="7"/>
        <v>Depth</v>
      </c>
      <c r="AE195" s="95" t="str">
        <f t="shared" si="8"/>
        <v>HIGHLowDepth</v>
      </c>
      <c r="AF195" s="95">
        <f t="array" ref="AF195">XLOOKUP(AE195,'Category Saturation'!A:A,'Category Saturation'!E:E)</f>
        <v>0</v>
      </c>
      <c r="AH195" s="148">
        <f t="array" ref="AH195">iferror(XLOOKUP(R195,'New Launch Success Rate'!A:A,'New Launch Success Rate'!F:F),"NA")</f>
        <v>0.636</v>
      </c>
      <c r="AI195" s="95">
        <f t="shared" si="9"/>
        <v>50</v>
      </c>
      <c r="AK195" s="149">
        <f t="shared" si="10"/>
        <v>5</v>
      </c>
      <c r="AM195" s="150">
        <f t="array" ref="AM195">XLOOKUP(R195,'Non Moving'!C:C,'Non Moving'!I:I)/100</f>
        <v>0.695</v>
      </c>
      <c r="AN195" s="151">
        <f t="shared" si="11"/>
        <v>0</v>
      </c>
      <c r="AO195" s="150">
        <f t="array" ref="AO195">XLOOKUP(R195,'Non Moving'!C:C,'Non Moving'!F:F)/100</f>
        <v>0.828</v>
      </c>
      <c r="AP195" s="151">
        <f t="shared" si="12"/>
        <v>0</v>
      </c>
      <c r="AR195" s="95">
        <f t="shared" si="13"/>
        <v>0</v>
      </c>
      <c r="AT195" s="95">
        <f t="shared" si="14"/>
        <v>0</v>
      </c>
      <c r="AU195" s="95">
        <f t="array" ref="AU195">iferror(XLOOKUP(J195,Monetization!A:A,Monetization!B:B),25)</f>
        <v>25</v>
      </c>
      <c r="AW195" s="95">
        <f t="shared" si="15"/>
        <v>7.5</v>
      </c>
      <c r="AY195" s="149">
        <f t="shared" si="16"/>
        <v>3.5</v>
      </c>
      <c r="AZ195" s="95" t="str">
        <f t="shared" si="17"/>
        <v>0-25</v>
      </c>
      <c r="BA195" s="95" t="str">
        <f t="shared" si="18"/>
        <v>0-25</v>
      </c>
      <c r="BB195" s="152">
        <f t="array" ref="BB195">iferror(XLOOKUP(C195,Sheet9!A:A,Sheet9!D:D),0)</f>
        <v>0</v>
      </c>
      <c r="BC195" s="2">
        <v>1.0</v>
      </c>
      <c r="BD195" s="95">
        <f t="array" ref="BD195">XLOOKUP(C195,ROS!C:C,ROS!O:O)</f>
        <v>0</v>
      </c>
      <c r="BE195" s="147" t="str">
        <f t="array" ref="BE195">IFERROR(XLOOKUP(C195,ROS!T:T,ROS!U:U),"")</f>
        <v/>
      </c>
      <c r="BF195" s="147">
        <f t="array" ref="BF195">XLOOKUP(R195,'Refrence Data'!B:B,'Refrence Data'!T:T)</f>
        <v>0.033333</v>
      </c>
      <c r="BG195" s="95">
        <f t="shared" si="19"/>
        <v>0</v>
      </c>
      <c r="BH195" s="4" t="str">
        <f t="shared" si="20"/>
        <v/>
      </c>
      <c r="BO195" s="153"/>
      <c r="BP195" s="153" t="str">
        <f t="shared" si="26"/>
        <v/>
      </c>
      <c r="BQ195" s="153"/>
      <c r="BR195" s="153"/>
      <c r="BS195" s="153"/>
    </row>
    <row r="196">
      <c r="A196" s="171">
        <v>6.924635797811E12</v>
      </c>
      <c r="B196" s="171" t="s">
        <v>3521</v>
      </c>
      <c r="C196" s="137" t="s">
        <v>1134</v>
      </c>
      <c r="D196" s="138" t="s">
        <v>1130</v>
      </c>
      <c r="E196" s="139" t="s">
        <v>1135</v>
      </c>
      <c r="F196" s="140" t="s">
        <v>3582</v>
      </c>
      <c r="G196" s="141">
        <v>0.0</v>
      </c>
      <c r="H196" s="142">
        <v>33.67339</v>
      </c>
      <c r="I196" s="143" t="s">
        <v>112</v>
      </c>
      <c r="J196" s="83"/>
      <c r="K196" s="174">
        <v>1095.0</v>
      </c>
      <c r="R196" s="145" t="str">
        <f t="shared" si="1"/>
        <v>Seasonal Celebrations_25+</v>
      </c>
      <c r="S196" s="146" t="str">
        <f t="shared" si="2"/>
        <v>25+</v>
      </c>
      <c r="T196" s="95" t="str">
        <f t="array" ref="T196">XLOOKUP(C196,'Depth or Width'!P:P,'Depth or Width'!V:V)</f>
        <v>Depth</v>
      </c>
      <c r="U196" s="93">
        <f t="shared" si="3"/>
        <v>5</v>
      </c>
      <c r="V196" s="147">
        <f t="array" ref="V196">iferror(XLOOKUP(R196,'Refrence Data'!B:B,'Refrence Data'!W:W),"NA")</f>
        <v>1.166667</v>
      </c>
      <c r="W196" s="95">
        <f t="shared" si="4"/>
        <v>0</v>
      </c>
      <c r="Y196" s="148">
        <f t="array" ref="Y196">IFERROR(XLOOKUP(R196,'Refrence Data'!B:B,'Refrence Data'!N:N),"NA")</f>
        <v>0.697243</v>
      </c>
      <c r="Z196" s="95" t="str">
        <f t="shared" si="5"/>
        <v>MEDIUM</v>
      </c>
      <c r="AA196" s="147">
        <f t="array" ref="AA196">XLOOKUP(R196,'Refrence Data'!B:B,'Refrence Data'!AC:AC)</f>
        <v>0.672438</v>
      </c>
      <c r="AB196" s="147">
        <f t="array" ref="AB196">IFERROR(XLOOKUP(R196,'Refrence Data'!B:B,'Refrence Data'!Y:Y),"NA")</f>
        <v>0.79449</v>
      </c>
      <c r="AC196" s="95" t="str">
        <f t="shared" si="6"/>
        <v>High</v>
      </c>
      <c r="AD196" s="95" t="str">
        <f t="shared" si="7"/>
        <v>Depth</v>
      </c>
      <c r="AE196" s="95" t="str">
        <f t="shared" si="8"/>
        <v>MEDIUMHighDepth</v>
      </c>
      <c r="AF196" s="95">
        <f t="array" ref="AF196">XLOOKUP(AE196,'Category Saturation'!A:A,'Category Saturation'!E:E)</f>
        <v>60</v>
      </c>
      <c r="AH196" s="148">
        <f t="array" ref="AH196">iferror(XLOOKUP(R196,'New Launch Success Rate'!A:A,'New Launch Success Rate'!F:F),"NA")</f>
        <v>0.538</v>
      </c>
      <c r="AI196" s="95">
        <f t="shared" si="9"/>
        <v>50</v>
      </c>
      <c r="AK196" s="149">
        <f t="shared" si="10"/>
        <v>23</v>
      </c>
      <c r="AM196" s="150">
        <f t="array" ref="AM196">XLOOKUP(R196,'Non Moving'!C:C,'Non Moving'!I:I)/100</f>
        <v>0.483</v>
      </c>
      <c r="AN196" s="151">
        <f t="shared" si="11"/>
        <v>0</v>
      </c>
      <c r="AO196" s="150">
        <f t="array" ref="AO196">XLOOKUP(R196,'Non Moving'!C:C,'Non Moving'!F:F)/100</f>
        <v>0.526</v>
      </c>
      <c r="AP196" s="151">
        <f t="shared" si="12"/>
        <v>0</v>
      </c>
      <c r="AR196" s="95">
        <f t="shared" si="13"/>
        <v>0</v>
      </c>
      <c r="AT196" s="95">
        <f t="shared" si="14"/>
        <v>100</v>
      </c>
      <c r="AU196" s="95">
        <f t="array" ref="AU196">iferror(XLOOKUP(J196,Monetization!A:A,Monetization!B:B),25)</f>
        <v>25</v>
      </c>
      <c r="AW196" s="95">
        <f t="shared" si="15"/>
        <v>77.5</v>
      </c>
      <c r="AY196" s="149">
        <f t="shared" si="16"/>
        <v>24.7</v>
      </c>
      <c r="AZ196" s="95" t="str">
        <f t="shared" si="17"/>
        <v>0-25</v>
      </c>
      <c r="BA196" s="95" t="str">
        <f t="shared" si="18"/>
        <v>0-25</v>
      </c>
      <c r="BB196" s="152">
        <f t="array" ref="BB196">iferror(XLOOKUP(C196,Sheet9!A:A,Sheet9!D:D),0)</f>
        <v>0</v>
      </c>
      <c r="BC196" s="2">
        <v>1.0</v>
      </c>
      <c r="BD196" s="95">
        <f t="array" ref="BD196">XLOOKUP(C196,ROS!C:C,ROS!O:O)</f>
        <v>0</v>
      </c>
      <c r="BE196" s="147" t="str">
        <f t="array" ref="BE196">IFERROR(XLOOKUP(C196,ROS!T:T,ROS!U:U),"")</f>
        <v/>
      </c>
      <c r="BF196" s="147">
        <f t="array" ref="BF196">XLOOKUP(R196,'Refrence Data'!B:B,'Refrence Data'!T:T)</f>
        <v>1</v>
      </c>
      <c r="BG196" s="95">
        <f t="shared" si="19"/>
        <v>0</v>
      </c>
      <c r="BH196" s="4" t="str">
        <f t="shared" si="20"/>
        <v/>
      </c>
      <c r="BO196" s="153"/>
      <c r="BP196" s="153" t="str">
        <f t="shared" si="26"/>
        <v/>
      </c>
      <c r="BQ196" s="153"/>
      <c r="BR196" s="153"/>
      <c r="BS196" s="153"/>
    </row>
    <row r="197">
      <c r="A197" s="171">
        <v>6.29110854965E12</v>
      </c>
      <c r="B197" s="171" t="s">
        <v>3521</v>
      </c>
      <c r="C197" s="137" t="s">
        <v>1137</v>
      </c>
      <c r="D197" s="138" t="s">
        <v>1130</v>
      </c>
      <c r="E197" s="139" t="s">
        <v>1135</v>
      </c>
      <c r="F197" s="140" t="s">
        <v>3582</v>
      </c>
      <c r="G197" s="141">
        <v>0.0</v>
      </c>
      <c r="H197" s="142">
        <v>33.67339</v>
      </c>
      <c r="I197" s="143" t="s">
        <v>112</v>
      </c>
      <c r="J197" s="83"/>
      <c r="K197" s="174">
        <v>1095.0</v>
      </c>
      <c r="R197" s="145" t="str">
        <f t="shared" si="1"/>
        <v>Seasonal Celebrations_25+</v>
      </c>
      <c r="S197" s="146" t="str">
        <f t="shared" si="2"/>
        <v>25+</v>
      </c>
      <c r="T197" s="95" t="str">
        <f t="array" ref="T197">XLOOKUP(C197,'Depth or Width'!P:P,'Depth or Width'!V:V)</f>
        <v>Depth</v>
      </c>
      <c r="U197" s="93">
        <f t="shared" si="3"/>
        <v>5</v>
      </c>
      <c r="V197" s="147">
        <f t="array" ref="V197">iferror(XLOOKUP(R197,'Refrence Data'!B:B,'Refrence Data'!W:W),"NA")</f>
        <v>1.166667</v>
      </c>
      <c r="W197" s="95">
        <f t="shared" si="4"/>
        <v>0</v>
      </c>
      <c r="Y197" s="148">
        <f t="array" ref="Y197">IFERROR(XLOOKUP(R197,'Refrence Data'!B:B,'Refrence Data'!N:N),"NA")</f>
        <v>0.697243</v>
      </c>
      <c r="Z197" s="95" t="str">
        <f t="shared" si="5"/>
        <v>MEDIUM</v>
      </c>
      <c r="AA197" s="147">
        <f t="array" ref="AA197">XLOOKUP(R197,'Refrence Data'!B:B,'Refrence Data'!AC:AC)</f>
        <v>0.672438</v>
      </c>
      <c r="AB197" s="147">
        <f t="array" ref="AB197">IFERROR(XLOOKUP(R197,'Refrence Data'!B:B,'Refrence Data'!Y:Y),"NA")</f>
        <v>0.79449</v>
      </c>
      <c r="AC197" s="95" t="str">
        <f t="shared" si="6"/>
        <v>High</v>
      </c>
      <c r="AD197" s="95" t="str">
        <f t="shared" si="7"/>
        <v>Depth</v>
      </c>
      <c r="AE197" s="95" t="str">
        <f t="shared" si="8"/>
        <v>MEDIUMHighDepth</v>
      </c>
      <c r="AF197" s="95">
        <f t="array" ref="AF197">XLOOKUP(AE197,'Category Saturation'!A:A,'Category Saturation'!E:E)</f>
        <v>60</v>
      </c>
      <c r="AH197" s="148">
        <f t="array" ref="AH197">iferror(XLOOKUP(R197,'New Launch Success Rate'!A:A,'New Launch Success Rate'!F:F),"NA")</f>
        <v>0.538</v>
      </c>
      <c r="AI197" s="95">
        <f t="shared" si="9"/>
        <v>50</v>
      </c>
      <c r="AK197" s="149">
        <f t="shared" si="10"/>
        <v>23</v>
      </c>
      <c r="AM197" s="150">
        <f t="array" ref="AM197">XLOOKUP(R197,'Non Moving'!C:C,'Non Moving'!I:I)/100</f>
        <v>0.483</v>
      </c>
      <c r="AN197" s="151">
        <f t="shared" si="11"/>
        <v>0</v>
      </c>
      <c r="AO197" s="150">
        <f t="array" ref="AO197">XLOOKUP(R197,'Non Moving'!C:C,'Non Moving'!F:F)/100</f>
        <v>0.526</v>
      </c>
      <c r="AP197" s="151">
        <f t="shared" si="12"/>
        <v>0</v>
      </c>
      <c r="AR197" s="95">
        <f t="shared" si="13"/>
        <v>0</v>
      </c>
      <c r="AT197" s="95">
        <f t="shared" si="14"/>
        <v>100</v>
      </c>
      <c r="AU197" s="95">
        <f t="array" ref="AU197">iferror(XLOOKUP(J197,Monetization!A:A,Monetization!B:B),25)</f>
        <v>25</v>
      </c>
      <c r="AW197" s="95">
        <f t="shared" si="15"/>
        <v>77.5</v>
      </c>
      <c r="AY197" s="149">
        <f t="shared" si="16"/>
        <v>24.7</v>
      </c>
      <c r="AZ197" s="95" t="str">
        <f t="shared" si="17"/>
        <v>0-25</v>
      </c>
      <c r="BA197" s="95" t="str">
        <f t="shared" si="18"/>
        <v>0-25</v>
      </c>
      <c r="BB197" s="152">
        <f t="array" ref="BB197">iferror(XLOOKUP(C197,Sheet9!A:A,Sheet9!D:D),0)</f>
        <v>0</v>
      </c>
      <c r="BC197" s="2">
        <v>1.0</v>
      </c>
      <c r="BD197" s="95">
        <f t="array" ref="BD197">XLOOKUP(C197,ROS!C:C,ROS!O:O)</f>
        <v>0</v>
      </c>
      <c r="BE197" s="147" t="str">
        <f t="array" ref="BE197">IFERROR(XLOOKUP(C197,ROS!T:T,ROS!U:U),"")</f>
        <v/>
      </c>
      <c r="BF197" s="147">
        <f t="array" ref="BF197">XLOOKUP(R197,'Refrence Data'!B:B,'Refrence Data'!T:T)</f>
        <v>1</v>
      </c>
      <c r="BG197" s="95">
        <f t="shared" si="19"/>
        <v>0</v>
      </c>
      <c r="BH197" s="4" t="str">
        <f t="shared" si="20"/>
        <v/>
      </c>
      <c r="BO197" s="153"/>
      <c r="BP197" s="153" t="str">
        <f t="shared" si="26"/>
        <v/>
      </c>
      <c r="BQ197" s="153"/>
      <c r="BR197" s="153"/>
      <c r="BS197" s="153"/>
    </row>
    <row r="198">
      <c r="A198" s="171">
        <v>6.291108541807E12</v>
      </c>
      <c r="B198" s="171" t="s">
        <v>3521</v>
      </c>
      <c r="C198" s="137" t="s">
        <v>1140</v>
      </c>
      <c r="D198" s="138" t="s">
        <v>1130</v>
      </c>
      <c r="E198" s="139" t="s">
        <v>1135</v>
      </c>
      <c r="F198" s="140" t="s">
        <v>3582</v>
      </c>
      <c r="G198" s="141">
        <v>1.0</v>
      </c>
      <c r="H198" s="142">
        <v>6.245065</v>
      </c>
      <c r="I198" s="143" t="s">
        <v>112</v>
      </c>
      <c r="J198" s="83"/>
      <c r="K198" s="174">
        <v>1095.0</v>
      </c>
      <c r="R198" s="145" t="str">
        <f t="shared" si="1"/>
        <v>Seasonal Celebrations_5-10</v>
      </c>
      <c r="S198" s="146" t="str">
        <f t="shared" si="2"/>
        <v>5-10</v>
      </c>
      <c r="T198" s="95" t="str">
        <f t="array" ref="T198">XLOOKUP(C198,'Depth or Width'!P:P,'Depth or Width'!V:V)</f>
        <v>Depth</v>
      </c>
      <c r="U198" s="93">
        <f t="shared" si="3"/>
        <v>5</v>
      </c>
      <c r="V198" s="147">
        <f t="array" ref="V198">iferror(XLOOKUP(R198,'Refrence Data'!B:B,'Refrence Data'!W:W),"NA")</f>
        <v>0.832258</v>
      </c>
      <c r="W198" s="95">
        <f t="shared" si="4"/>
        <v>0</v>
      </c>
      <c r="Y198" s="148">
        <f t="array" ref="Y198">IFERROR(XLOOKUP(R198,'Refrence Data'!B:B,'Refrence Data'!N:N),"NA")</f>
        <v>0.647568</v>
      </c>
      <c r="Z198" s="95" t="str">
        <f t="shared" si="5"/>
        <v>MEDIUM</v>
      </c>
      <c r="AA198" s="147">
        <f t="array" ref="AA198">XLOOKUP(R198,'Refrence Data'!B:B,'Refrence Data'!AC:AC)</f>
        <v>0.672438</v>
      </c>
      <c r="AB198" s="147">
        <f t="array" ref="AB198">IFERROR(XLOOKUP(R198,'Refrence Data'!B:B,'Refrence Data'!Y:Y),"NA")</f>
        <v>0.903096</v>
      </c>
      <c r="AC198" s="95" t="str">
        <f t="shared" si="6"/>
        <v>High</v>
      </c>
      <c r="AD198" s="95" t="str">
        <f t="shared" si="7"/>
        <v>Depth</v>
      </c>
      <c r="AE198" s="95" t="str">
        <f t="shared" si="8"/>
        <v>MEDIUMHighDepth</v>
      </c>
      <c r="AF198" s="95">
        <f t="array" ref="AF198">XLOOKUP(AE198,'Category Saturation'!A:A,'Category Saturation'!E:E)</f>
        <v>60</v>
      </c>
      <c r="AH198" s="148">
        <f t="array" ref="AH198">iferror(XLOOKUP(R198,'New Launch Success Rate'!A:A,'New Launch Success Rate'!F:F),"NA")</f>
        <v>0.8</v>
      </c>
      <c r="AI198" s="95">
        <f t="shared" si="9"/>
        <v>100</v>
      </c>
      <c r="AK198" s="149">
        <f t="shared" si="10"/>
        <v>28</v>
      </c>
      <c r="AM198" s="150">
        <f t="array" ref="AM198">XLOOKUP(R198,'Non Moving'!C:C,'Non Moving'!I:I)/100</f>
        <v>0.448</v>
      </c>
      <c r="AN198" s="151">
        <f t="shared" si="11"/>
        <v>0</v>
      </c>
      <c r="AO198" s="150">
        <f t="array" ref="AO198">XLOOKUP(R198,'Non Moving'!C:C,'Non Moving'!F:F)/100</f>
        <v>0.498</v>
      </c>
      <c r="AP198" s="151">
        <f t="shared" si="12"/>
        <v>0</v>
      </c>
      <c r="AR198" s="95">
        <f t="shared" si="13"/>
        <v>0</v>
      </c>
      <c r="AT198" s="95">
        <f t="shared" si="14"/>
        <v>100</v>
      </c>
      <c r="AU198" s="95">
        <f t="array" ref="AU198">iferror(XLOOKUP(J198,Monetization!A:A,Monetization!B:B),25)</f>
        <v>25</v>
      </c>
      <c r="AW198" s="95">
        <f t="shared" si="15"/>
        <v>77.5</v>
      </c>
      <c r="AY198" s="149">
        <f t="shared" si="16"/>
        <v>26.7</v>
      </c>
      <c r="AZ198" s="95" t="str">
        <f t="shared" si="17"/>
        <v>25-50</v>
      </c>
      <c r="BA198" s="95" t="str">
        <f t="shared" si="18"/>
        <v>25-50</v>
      </c>
      <c r="BB198" s="152">
        <f t="array" ref="BB198">iferror(XLOOKUP(C198,Sheet9!A:A,Sheet9!D:D),0)</f>
        <v>0</v>
      </c>
      <c r="BC198" s="2">
        <v>1.0</v>
      </c>
      <c r="BD198" s="95">
        <f t="array" ref="BD198">XLOOKUP(C198,ROS!C:C,ROS!O:O)</f>
        <v>0</v>
      </c>
      <c r="BE198" s="147" t="str">
        <f t="array" ref="BE198">IFERROR(XLOOKUP(C198,ROS!T:T,ROS!U:U),"")</f>
        <v/>
      </c>
      <c r="BF198" s="147">
        <f t="array" ref="BF198">XLOOKUP(R198,'Refrence Data'!B:B,'Refrence Data'!T:T)</f>
        <v>0.297849</v>
      </c>
      <c r="BG198" s="95">
        <f t="shared" si="19"/>
        <v>0</v>
      </c>
      <c r="BH198" s="4" t="str">
        <f t="shared" si="20"/>
        <v/>
      </c>
      <c r="BO198" s="153"/>
      <c r="BP198" s="153" t="str">
        <f t="shared" si="26"/>
        <v/>
      </c>
      <c r="BQ198" s="153"/>
      <c r="BR198" s="153"/>
      <c r="BS198" s="153"/>
    </row>
    <row r="199">
      <c r="A199" s="171">
        <v>7.000010000734E12</v>
      </c>
      <c r="B199" s="171" t="s">
        <v>3521</v>
      </c>
      <c r="C199" s="137" t="s">
        <v>1141</v>
      </c>
      <c r="D199" s="138" t="s">
        <v>1130</v>
      </c>
      <c r="E199" s="139" t="s">
        <v>1135</v>
      </c>
      <c r="F199" s="140" t="s">
        <v>3605</v>
      </c>
      <c r="G199" s="141">
        <v>0.0</v>
      </c>
      <c r="H199" s="142">
        <v>5.998478</v>
      </c>
      <c r="I199" s="143" t="s">
        <v>111</v>
      </c>
      <c r="J199" s="83"/>
      <c r="K199" s="174">
        <v>1095.0</v>
      </c>
      <c r="R199" s="145" t="str">
        <f t="shared" si="1"/>
        <v>Seasonal Celebrations_5-10</v>
      </c>
      <c r="S199" s="146" t="str">
        <f t="shared" si="2"/>
        <v>5-10</v>
      </c>
      <c r="T199" s="95" t="str">
        <f t="array" ref="T199">XLOOKUP(C199,'Depth or Width'!P:P,'Depth or Width'!V:V)</f>
        <v>Width</v>
      </c>
      <c r="U199" s="93">
        <f t="shared" si="3"/>
        <v>5</v>
      </c>
      <c r="V199" s="147">
        <f t="array" ref="V199">iferror(XLOOKUP(R199,'Refrence Data'!B:B,'Refrence Data'!W:W),"NA")</f>
        <v>0.832258</v>
      </c>
      <c r="W199" s="95">
        <f t="shared" si="4"/>
        <v>0</v>
      </c>
      <c r="Y199" s="148">
        <f t="array" ref="Y199">IFERROR(XLOOKUP(R199,'Refrence Data'!B:B,'Refrence Data'!N:N),"NA")</f>
        <v>0.647568</v>
      </c>
      <c r="Z199" s="95" t="str">
        <f t="shared" si="5"/>
        <v>MEDIUM</v>
      </c>
      <c r="AA199" s="147">
        <f t="array" ref="AA199">XLOOKUP(R199,'Refrence Data'!B:B,'Refrence Data'!AC:AC)</f>
        <v>0.672438</v>
      </c>
      <c r="AB199" s="147">
        <f t="array" ref="AB199">IFERROR(XLOOKUP(R199,'Refrence Data'!B:B,'Refrence Data'!Y:Y),"NA")</f>
        <v>0.903096</v>
      </c>
      <c r="AC199" s="95" t="str">
        <f t="shared" si="6"/>
        <v>High</v>
      </c>
      <c r="AD199" s="95" t="str">
        <f t="shared" si="7"/>
        <v>Width</v>
      </c>
      <c r="AE199" s="95" t="str">
        <f t="shared" si="8"/>
        <v>MEDIUMHighWidth</v>
      </c>
      <c r="AF199" s="95">
        <f t="array" ref="AF199">XLOOKUP(AE199,'Category Saturation'!A:A,'Category Saturation'!E:E)</f>
        <v>10</v>
      </c>
      <c r="AH199" s="148">
        <f t="array" ref="AH199">iferror(XLOOKUP(R199,'New Launch Success Rate'!A:A,'New Launch Success Rate'!F:F),"NA")</f>
        <v>0.8</v>
      </c>
      <c r="AI199" s="95">
        <f t="shared" si="9"/>
        <v>100</v>
      </c>
      <c r="AK199" s="149">
        <f t="shared" si="10"/>
        <v>13</v>
      </c>
      <c r="AM199" s="150">
        <f t="array" ref="AM199">XLOOKUP(R199,'Non Moving'!C:C,'Non Moving'!I:I)/100</f>
        <v>0.448</v>
      </c>
      <c r="AN199" s="151">
        <f t="shared" si="11"/>
        <v>0</v>
      </c>
      <c r="AO199" s="150">
        <f t="array" ref="AO199">XLOOKUP(R199,'Non Moving'!C:C,'Non Moving'!F:F)/100</f>
        <v>0.498</v>
      </c>
      <c r="AP199" s="151">
        <f t="shared" si="12"/>
        <v>0</v>
      </c>
      <c r="AR199" s="95">
        <f t="shared" si="13"/>
        <v>0</v>
      </c>
      <c r="AT199" s="95">
        <f t="shared" si="14"/>
        <v>0</v>
      </c>
      <c r="AU199" s="95">
        <f t="array" ref="AU199">iferror(XLOOKUP(J199,Monetization!A:A,Monetization!B:B),25)</f>
        <v>25</v>
      </c>
      <c r="AW199" s="95">
        <f t="shared" si="15"/>
        <v>7.5</v>
      </c>
      <c r="AY199" s="149">
        <f t="shared" si="16"/>
        <v>6.7</v>
      </c>
      <c r="AZ199" s="95" t="str">
        <f t="shared" si="17"/>
        <v>0-25</v>
      </c>
      <c r="BA199" s="95" t="str">
        <f t="shared" si="18"/>
        <v>0-25</v>
      </c>
      <c r="BB199" s="152">
        <f t="array" ref="BB199">iferror(XLOOKUP(C199,Sheet9!A:A,Sheet9!D:D),0)</f>
        <v>0</v>
      </c>
      <c r="BC199" s="2">
        <v>1.0</v>
      </c>
      <c r="BD199" s="95">
        <f t="array" ref="BD199">XLOOKUP(C199,ROS!C:C,ROS!O:O)</f>
        <v>0</v>
      </c>
      <c r="BE199" s="147" t="str">
        <f t="array" ref="BE199">IFERROR(XLOOKUP(C199,ROS!T:T,ROS!U:U),"")</f>
        <v/>
      </c>
      <c r="BF199" s="147">
        <f t="array" ref="BF199">XLOOKUP(R199,'Refrence Data'!B:B,'Refrence Data'!T:T)</f>
        <v>0.297849</v>
      </c>
      <c r="BG199" s="95">
        <f t="shared" si="19"/>
        <v>0</v>
      </c>
      <c r="BH199" s="4" t="str">
        <f t="shared" si="20"/>
        <v/>
      </c>
      <c r="BO199" s="153"/>
      <c r="BP199" s="153" t="str">
        <f t="shared" si="26"/>
        <v/>
      </c>
      <c r="BQ199" s="153"/>
      <c r="BR199" s="153"/>
      <c r="BS199" s="153"/>
    </row>
    <row r="200">
      <c r="A200" s="171">
        <v>6.953440511817E12</v>
      </c>
      <c r="B200" s="171" t="s">
        <v>3521</v>
      </c>
      <c r="C200" s="137" t="s">
        <v>1144</v>
      </c>
      <c r="D200" s="138" t="s">
        <v>1130</v>
      </c>
      <c r="E200" s="139" t="s">
        <v>1135</v>
      </c>
      <c r="F200" s="140" t="s">
        <v>3605</v>
      </c>
      <c r="G200" s="141">
        <v>0.0</v>
      </c>
      <c r="H200" s="142">
        <v>8.743091</v>
      </c>
      <c r="I200" s="143" t="s">
        <v>111</v>
      </c>
      <c r="J200" s="83"/>
      <c r="K200" s="174">
        <v>1095.0</v>
      </c>
      <c r="R200" s="145" t="str">
        <f t="shared" si="1"/>
        <v>Seasonal Celebrations_5-10</v>
      </c>
      <c r="S200" s="146" t="str">
        <f t="shared" si="2"/>
        <v>5-10</v>
      </c>
      <c r="T200" s="95" t="str">
        <f t="array" ref="T200">XLOOKUP(C200,'Depth or Width'!P:P,'Depth or Width'!V:V)</f>
        <v>Width</v>
      </c>
      <c r="U200" s="93">
        <f t="shared" si="3"/>
        <v>5</v>
      </c>
      <c r="V200" s="147">
        <f t="array" ref="V200">iferror(XLOOKUP(R200,'Refrence Data'!B:B,'Refrence Data'!W:W),"NA")</f>
        <v>0.832258</v>
      </c>
      <c r="W200" s="95">
        <f t="shared" si="4"/>
        <v>0</v>
      </c>
      <c r="Y200" s="148">
        <f t="array" ref="Y200">IFERROR(XLOOKUP(R200,'Refrence Data'!B:B,'Refrence Data'!N:N),"NA")</f>
        <v>0.647568</v>
      </c>
      <c r="Z200" s="95" t="str">
        <f t="shared" si="5"/>
        <v>MEDIUM</v>
      </c>
      <c r="AA200" s="147">
        <f t="array" ref="AA200">XLOOKUP(R200,'Refrence Data'!B:B,'Refrence Data'!AC:AC)</f>
        <v>0.672438</v>
      </c>
      <c r="AB200" s="147">
        <f t="array" ref="AB200">IFERROR(XLOOKUP(R200,'Refrence Data'!B:B,'Refrence Data'!Y:Y),"NA")</f>
        <v>0.903096</v>
      </c>
      <c r="AC200" s="95" t="str">
        <f t="shared" si="6"/>
        <v>High</v>
      </c>
      <c r="AD200" s="95" t="str">
        <f t="shared" si="7"/>
        <v>Width</v>
      </c>
      <c r="AE200" s="95" t="str">
        <f t="shared" si="8"/>
        <v>MEDIUMHighWidth</v>
      </c>
      <c r="AF200" s="95">
        <f t="array" ref="AF200">XLOOKUP(AE200,'Category Saturation'!A:A,'Category Saturation'!E:E)</f>
        <v>10</v>
      </c>
      <c r="AH200" s="148">
        <f t="array" ref="AH200">iferror(XLOOKUP(R200,'New Launch Success Rate'!A:A,'New Launch Success Rate'!F:F),"NA")</f>
        <v>0.8</v>
      </c>
      <c r="AI200" s="95">
        <f t="shared" si="9"/>
        <v>100</v>
      </c>
      <c r="AK200" s="149">
        <f t="shared" si="10"/>
        <v>13</v>
      </c>
      <c r="AM200" s="150">
        <f t="array" ref="AM200">XLOOKUP(R200,'Non Moving'!C:C,'Non Moving'!I:I)/100</f>
        <v>0.448</v>
      </c>
      <c r="AN200" s="151">
        <f t="shared" si="11"/>
        <v>0</v>
      </c>
      <c r="AO200" s="150">
        <f t="array" ref="AO200">XLOOKUP(R200,'Non Moving'!C:C,'Non Moving'!F:F)/100</f>
        <v>0.498</v>
      </c>
      <c r="AP200" s="151">
        <f t="shared" si="12"/>
        <v>0</v>
      </c>
      <c r="AR200" s="95">
        <f t="shared" si="13"/>
        <v>0</v>
      </c>
      <c r="AT200" s="95">
        <f t="shared" si="14"/>
        <v>0</v>
      </c>
      <c r="AU200" s="95">
        <f t="array" ref="AU200">iferror(XLOOKUP(J200,Monetization!A:A,Monetization!B:B),25)</f>
        <v>25</v>
      </c>
      <c r="AW200" s="95">
        <f t="shared" si="15"/>
        <v>7.5</v>
      </c>
      <c r="AY200" s="149">
        <f t="shared" si="16"/>
        <v>6.7</v>
      </c>
      <c r="AZ200" s="95" t="str">
        <f t="shared" si="17"/>
        <v>0-25</v>
      </c>
      <c r="BA200" s="95" t="str">
        <f t="shared" si="18"/>
        <v>0-25</v>
      </c>
      <c r="BB200" s="152">
        <f t="array" ref="BB200">iferror(XLOOKUP(C200,Sheet9!A:A,Sheet9!D:D),0)</f>
        <v>0</v>
      </c>
      <c r="BC200" s="2">
        <v>1.0</v>
      </c>
      <c r="BD200" s="95">
        <f t="array" ref="BD200">XLOOKUP(C200,ROS!C:C,ROS!O:O)</f>
        <v>0</v>
      </c>
      <c r="BE200" s="147" t="str">
        <f t="array" ref="BE200">IFERROR(XLOOKUP(C200,ROS!T:T,ROS!U:U),"")</f>
        <v/>
      </c>
      <c r="BF200" s="147">
        <f t="array" ref="BF200">XLOOKUP(R200,'Refrence Data'!B:B,'Refrence Data'!T:T)</f>
        <v>0.297849</v>
      </c>
      <c r="BG200" s="95">
        <f t="shared" si="19"/>
        <v>0</v>
      </c>
      <c r="BH200" s="4" t="str">
        <f t="shared" si="20"/>
        <v/>
      </c>
      <c r="BO200" s="153"/>
      <c r="BP200" s="153" t="str">
        <f t="shared" si="26"/>
        <v/>
      </c>
      <c r="BQ200" s="153"/>
      <c r="BR200" s="153"/>
      <c r="BS200" s="153"/>
    </row>
    <row r="201">
      <c r="A201" s="171">
        <v>6.9534405118E12</v>
      </c>
      <c r="B201" s="171" t="s">
        <v>3521</v>
      </c>
      <c r="C201" s="137" t="s">
        <v>1145</v>
      </c>
      <c r="D201" s="138" t="s">
        <v>1130</v>
      </c>
      <c r="E201" s="139" t="s">
        <v>1135</v>
      </c>
      <c r="F201" s="140" t="s">
        <v>3605</v>
      </c>
      <c r="G201" s="141">
        <v>1.0</v>
      </c>
      <c r="H201" s="142">
        <v>8.743091</v>
      </c>
      <c r="I201" s="143" t="s">
        <v>111</v>
      </c>
      <c r="J201" s="83"/>
      <c r="K201" s="174">
        <v>1095.0</v>
      </c>
      <c r="R201" s="145" t="str">
        <f t="shared" si="1"/>
        <v>Seasonal Celebrations_5-10</v>
      </c>
      <c r="S201" s="146" t="str">
        <f t="shared" si="2"/>
        <v>5-10</v>
      </c>
      <c r="T201" s="95" t="str">
        <f t="array" ref="T201">XLOOKUP(C201,'Depth or Width'!P:P,'Depth or Width'!V:V)</f>
        <v>Width</v>
      </c>
      <c r="U201" s="93">
        <f t="shared" si="3"/>
        <v>5</v>
      </c>
      <c r="V201" s="147">
        <f t="array" ref="V201">iferror(XLOOKUP(R201,'Refrence Data'!B:B,'Refrence Data'!W:W),"NA")</f>
        <v>0.832258</v>
      </c>
      <c r="W201" s="95">
        <f t="shared" si="4"/>
        <v>0</v>
      </c>
      <c r="Y201" s="148">
        <f t="array" ref="Y201">IFERROR(XLOOKUP(R201,'Refrence Data'!B:B,'Refrence Data'!N:N),"NA")</f>
        <v>0.647568</v>
      </c>
      <c r="Z201" s="95" t="str">
        <f t="shared" si="5"/>
        <v>MEDIUM</v>
      </c>
      <c r="AA201" s="147">
        <f t="array" ref="AA201">XLOOKUP(R201,'Refrence Data'!B:B,'Refrence Data'!AC:AC)</f>
        <v>0.672438</v>
      </c>
      <c r="AB201" s="147">
        <f t="array" ref="AB201">IFERROR(XLOOKUP(R201,'Refrence Data'!B:B,'Refrence Data'!Y:Y),"NA")</f>
        <v>0.903096</v>
      </c>
      <c r="AC201" s="95" t="str">
        <f t="shared" si="6"/>
        <v>High</v>
      </c>
      <c r="AD201" s="95" t="str">
        <f t="shared" si="7"/>
        <v>Width</v>
      </c>
      <c r="AE201" s="95" t="str">
        <f t="shared" si="8"/>
        <v>MEDIUMHighWidth</v>
      </c>
      <c r="AF201" s="95">
        <f t="array" ref="AF201">XLOOKUP(AE201,'Category Saturation'!A:A,'Category Saturation'!E:E)</f>
        <v>10</v>
      </c>
      <c r="AH201" s="148">
        <f t="array" ref="AH201">iferror(XLOOKUP(R201,'New Launch Success Rate'!A:A,'New Launch Success Rate'!F:F),"NA")</f>
        <v>0.8</v>
      </c>
      <c r="AI201" s="95">
        <f t="shared" si="9"/>
        <v>100</v>
      </c>
      <c r="AK201" s="149">
        <f t="shared" si="10"/>
        <v>13</v>
      </c>
      <c r="AM201" s="150">
        <f t="array" ref="AM201">XLOOKUP(R201,'Non Moving'!C:C,'Non Moving'!I:I)/100</f>
        <v>0.448</v>
      </c>
      <c r="AN201" s="151">
        <f t="shared" si="11"/>
        <v>0</v>
      </c>
      <c r="AO201" s="150">
        <f t="array" ref="AO201">XLOOKUP(R201,'Non Moving'!C:C,'Non Moving'!F:F)/100</f>
        <v>0.498</v>
      </c>
      <c r="AP201" s="151">
        <f t="shared" si="12"/>
        <v>0</v>
      </c>
      <c r="AR201" s="95">
        <f t="shared" si="13"/>
        <v>0</v>
      </c>
      <c r="AT201" s="95">
        <f t="shared" si="14"/>
        <v>0</v>
      </c>
      <c r="AU201" s="95">
        <f t="array" ref="AU201">iferror(XLOOKUP(J201,Monetization!A:A,Monetization!B:B),25)</f>
        <v>25</v>
      </c>
      <c r="AW201" s="95">
        <f t="shared" si="15"/>
        <v>7.5</v>
      </c>
      <c r="AY201" s="149">
        <f t="shared" si="16"/>
        <v>6.7</v>
      </c>
      <c r="AZ201" s="95" t="str">
        <f t="shared" si="17"/>
        <v>0-25</v>
      </c>
      <c r="BA201" s="95" t="str">
        <f t="shared" si="18"/>
        <v>0-25</v>
      </c>
      <c r="BB201" s="152">
        <f t="array" ref="BB201">iferror(XLOOKUP(C201,Sheet9!A:A,Sheet9!D:D),0)</f>
        <v>0</v>
      </c>
      <c r="BC201" s="2">
        <v>1.0</v>
      </c>
      <c r="BD201" s="95">
        <f t="array" ref="BD201">XLOOKUP(C201,ROS!C:C,ROS!O:O)</f>
        <v>0</v>
      </c>
      <c r="BE201" s="147" t="str">
        <f t="array" ref="BE201">IFERROR(XLOOKUP(C201,ROS!T:T,ROS!U:U),"")</f>
        <v/>
      </c>
      <c r="BF201" s="147">
        <f t="array" ref="BF201">XLOOKUP(R201,'Refrence Data'!B:B,'Refrence Data'!T:T)</f>
        <v>0.297849</v>
      </c>
      <c r="BG201" s="95">
        <f t="shared" si="19"/>
        <v>0</v>
      </c>
      <c r="BH201" s="4" t="str">
        <f t="shared" si="20"/>
        <v/>
      </c>
      <c r="BO201" s="153"/>
      <c r="BP201" s="153" t="str">
        <f t="shared" si="26"/>
        <v/>
      </c>
      <c r="BQ201" s="153"/>
      <c r="BR201" s="153"/>
      <c r="BS201" s="153"/>
    </row>
    <row r="202">
      <c r="A202" s="171">
        <v>6.95344051177E12</v>
      </c>
      <c r="B202" s="171" t="s">
        <v>3521</v>
      </c>
      <c r="C202" s="137" t="s">
        <v>1146</v>
      </c>
      <c r="D202" s="138" t="s">
        <v>1130</v>
      </c>
      <c r="E202" s="139" t="s">
        <v>1135</v>
      </c>
      <c r="F202" s="140" t="s">
        <v>3605</v>
      </c>
      <c r="G202" s="141">
        <v>0.0</v>
      </c>
      <c r="H202" s="142">
        <v>10.24191</v>
      </c>
      <c r="I202" s="143" t="s">
        <v>111</v>
      </c>
      <c r="J202" s="83"/>
      <c r="K202" s="174">
        <v>1095.0</v>
      </c>
      <c r="R202" s="145" t="str">
        <f t="shared" si="1"/>
        <v>Seasonal Celebrations_10-15</v>
      </c>
      <c r="S202" s="146" t="str">
        <f t="shared" si="2"/>
        <v>10-15</v>
      </c>
      <c r="T202" s="95" t="str">
        <f t="array" ref="T202">XLOOKUP(C202,'Depth or Width'!P:P,'Depth or Width'!V:V)</f>
        <v>Width</v>
      </c>
      <c r="U202" s="93">
        <f t="shared" si="3"/>
        <v>5</v>
      </c>
      <c r="V202" s="147">
        <f t="array" ref="V202">iferror(XLOOKUP(R202,'Refrence Data'!B:B,'Refrence Data'!W:W),"NA")</f>
        <v>0.765152</v>
      </c>
      <c r="W202" s="95">
        <f t="shared" si="4"/>
        <v>0</v>
      </c>
      <c r="Y202" s="148">
        <f t="array" ref="Y202">IFERROR(XLOOKUP(R202,'Refrence Data'!B:B,'Refrence Data'!N:N),"NA")</f>
        <v>0</v>
      </c>
      <c r="Z202" s="95" t="str">
        <f t="shared" si="5"/>
        <v>LOW</v>
      </c>
      <c r="AA202" s="147">
        <f t="array" ref="AA202">XLOOKUP(R202,'Refrence Data'!B:B,'Refrence Data'!AC:AC)</f>
        <v>0.672438</v>
      </c>
      <c r="AB202" s="147">
        <f t="array" ref="AB202">IFERROR(XLOOKUP(R202,'Refrence Data'!B:B,'Refrence Data'!Y:Y),"NA")</f>
        <v>0.399242</v>
      </c>
      <c r="AC202" s="95" t="str">
        <f t="shared" si="6"/>
        <v>High</v>
      </c>
      <c r="AD202" s="95" t="str">
        <f t="shared" si="7"/>
        <v>Width</v>
      </c>
      <c r="AE202" s="95" t="str">
        <f t="shared" si="8"/>
        <v>LOWHighWidth</v>
      </c>
      <c r="AF202" s="95">
        <f t="array" ref="AF202">XLOOKUP(AE202,'Category Saturation'!A:A,'Category Saturation'!E:E)</f>
        <v>100</v>
      </c>
      <c r="AH202" s="148">
        <f t="array" ref="AH202">iferror(XLOOKUP(R202,'New Launch Success Rate'!A:A,'New Launch Success Rate'!F:F),"NA")</f>
        <v>1</v>
      </c>
      <c r="AI202" s="95">
        <f t="shared" si="9"/>
        <v>100</v>
      </c>
      <c r="AK202" s="149">
        <f t="shared" si="10"/>
        <v>40</v>
      </c>
      <c r="AM202" s="150">
        <f t="array" ref="AM202">XLOOKUP(R202,'Non Moving'!C:C,'Non Moving'!I:I)/100</f>
        <v>0.366</v>
      </c>
      <c r="AN202" s="151">
        <f t="shared" si="11"/>
        <v>0</v>
      </c>
      <c r="AO202" s="150">
        <f t="array" ref="AO202">XLOOKUP(R202,'Non Moving'!C:C,'Non Moving'!F:F)/100</f>
        <v>0.427</v>
      </c>
      <c r="AP202" s="151">
        <f t="shared" si="12"/>
        <v>50</v>
      </c>
      <c r="AR202" s="95">
        <f t="shared" si="13"/>
        <v>25</v>
      </c>
      <c r="AT202" s="95">
        <f t="shared" si="14"/>
        <v>0</v>
      </c>
      <c r="AU202" s="95">
        <f t="array" ref="AU202">iferror(XLOOKUP(J202,Monetization!A:A,Monetization!B:B),25)</f>
        <v>25</v>
      </c>
      <c r="AW202" s="95">
        <f t="shared" si="15"/>
        <v>7.5</v>
      </c>
      <c r="AY202" s="149">
        <f t="shared" si="16"/>
        <v>27.5</v>
      </c>
      <c r="AZ202" s="95" t="str">
        <f t="shared" si="17"/>
        <v>25-50</v>
      </c>
      <c r="BA202" s="95" t="str">
        <f t="shared" si="18"/>
        <v>25-50</v>
      </c>
      <c r="BB202" s="152">
        <f t="array" ref="BB202">iferror(XLOOKUP(C202,Sheet9!A:A,Sheet9!D:D),0)</f>
        <v>0</v>
      </c>
      <c r="BC202" s="2">
        <v>1.0</v>
      </c>
      <c r="BD202" s="95">
        <f t="array" ref="BD202">XLOOKUP(C202,ROS!C:C,ROS!O:O)</f>
        <v>0</v>
      </c>
      <c r="BE202" s="147" t="str">
        <f t="array" ref="BE202">IFERROR(XLOOKUP(C202,ROS!T:T,ROS!U:U),"")</f>
        <v/>
      </c>
      <c r="BF202" s="147">
        <f t="array" ref="BF202">XLOOKUP(R202,'Refrence Data'!B:B,'Refrence Data'!T:T)</f>
        <v>0.033333</v>
      </c>
      <c r="BG202" s="95">
        <f t="shared" si="19"/>
        <v>0</v>
      </c>
      <c r="BH202" s="4" t="str">
        <f t="shared" si="20"/>
        <v/>
      </c>
      <c r="BO202" s="153"/>
      <c r="BP202" s="153" t="str">
        <f t="shared" si="26"/>
        <v/>
      </c>
      <c r="BQ202" s="153"/>
      <c r="BR202" s="153"/>
      <c r="BS202" s="153"/>
    </row>
    <row r="203">
      <c r="A203" s="171">
        <v>6.953440511718E12</v>
      </c>
      <c r="B203" s="171" t="s">
        <v>3521</v>
      </c>
      <c r="C203" s="137" t="s">
        <v>1147</v>
      </c>
      <c r="D203" s="138" t="s">
        <v>1130</v>
      </c>
      <c r="E203" s="139" t="s">
        <v>1135</v>
      </c>
      <c r="F203" s="140" t="s">
        <v>3605</v>
      </c>
      <c r="G203" s="141">
        <v>0.0</v>
      </c>
      <c r="H203" s="142">
        <v>8.646414</v>
      </c>
      <c r="I203" s="143" t="s">
        <v>111</v>
      </c>
      <c r="J203" s="83"/>
      <c r="K203" s="174">
        <v>1095.0</v>
      </c>
      <c r="R203" s="145" t="str">
        <f t="shared" si="1"/>
        <v>Seasonal Celebrations_5-10</v>
      </c>
      <c r="S203" s="146" t="str">
        <f t="shared" si="2"/>
        <v>5-10</v>
      </c>
      <c r="T203" s="95" t="str">
        <f t="array" ref="T203">XLOOKUP(C203,'Depth or Width'!P:P,'Depth or Width'!V:V)</f>
        <v>Width</v>
      </c>
      <c r="U203" s="93">
        <f t="shared" si="3"/>
        <v>5</v>
      </c>
      <c r="V203" s="147">
        <f t="array" ref="V203">iferror(XLOOKUP(R203,'Refrence Data'!B:B,'Refrence Data'!W:W),"NA")</f>
        <v>0.832258</v>
      </c>
      <c r="W203" s="95">
        <f t="shared" si="4"/>
        <v>0</v>
      </c>
      <c r="Y203" s="148">
        <f t="array" ref="Y203">IFERROR(XLOOKUP(R203,'Refrence Data'!B:B,'Refrence Data'!N:N),"NA")</f>
        <v>0.647568</v>
      </c>
      <c r="Z203" s="95" t="str">
        <f t="shared" si="5"/>
        <v>MEDIUM</v>
      </c>
      <c r="AA203" s="147">
        <f t="array" ref="AA203">XLOOKUP(R203,'Refrence Data'!B:B,'Refrence Data'!AC:AC)</f>
        <v>0.672438</v>
      </c>
      <c r="AB203" s="147">
        <f t="array" ref="AB203">IFERROR(XLOOKUP(R203,'Refrence Data'!B:B,'Refrence Data'!Y:Y),"NA")</f>
        <v>0.903096</v>
      </c>
      <c r="AC203" s="95" t="str">
        <f t="shared" si="6"/>
        <v>High</v>
      </c>
      <c r="AD203" s="95" t="str">
        <f t="shared" si="7"/>
        <v>Width</v>
      </c>
      <c r="AE203" s="95" t="str">
        <f t="shared" si="8"/>
        <v>MEDIUMHighWidth</v>
      </c>
      <c r="AF203" s="95">
        <f t="array" ref="AF203">XLOOKUP(AE203,'Category Saturation'!A:A,'Category Saturation'!E:E)</f>
        <v>10</v>
      </c>
      <c r="AH203" s="148">
        <f t="array" ref="AH203">iferror(XLOOKUP(R203,'New Launch Success Rate'!A:A,'New Launch Success Rate'!F:F),"NA")</f>
        <v>0.8</v>
      </c>
      <c r="AI203" s="95">
        <f t="shared" si="9"/>
        <v>100</v>
      </c>
      <c r="AK203" s="149">
        <f t="shared" si="10"/>
        <v>13</v>
      </c>
      <c r="AM203" s="150">
        <f t="array" ref="AM203">XLOOKUP(R203,'Non Moving'!C:C,'Non Moving'!I:I)/100</f>
        <v>0.448</v>
      </c>
      <c r="AN203" s="151">
        <f t="shared" si="11"/>
        <v>0</v>
      </c>
      <c r="AO203" s="150">
        <f t="array" ref="AO203">XLOOKUP(R203,'Non Moving'!C:C,'Non Moving'!F:F)/100</f>
        <v>0.498</v>
      </c>
      <c r="AP203" s="151">
        <f t="shared" si="12"/>
        <v>0</v>
      </c>
      <c r="AR203" s="95">
        <f t="shared" si="13"/>
        <v>0</v>
      </c>
      <c r="AT203" s="95">
        <f t="shared" si="14"/>
        <v>0</v>
      </c>
      <c r="AU203" s="95">
        <f t="array" ref="AU203">iferror(XLOOKUP(J203,Monetization!A:A,Monetization!B:B),25)</f>
        <v>25</v>
      </c>
      <c r="AW203" s="95">
        <f t="shared" si="15"/>
        <v>7.5</v>
      </c>
      <c r="AY203" s="149">
        <f t="shared" si="16"/>
        <v>6.7</v>
      </c>
      <c r="AZ203" s="95" t="str">
        <f t="shared" si="17"/>
        <v>0-25</v>
      </c>
      <c r="BA203" s="95" t="str">
        <f t="shared" si="18"/>
        <v>0-25</v>
      </c>
      <c r="BB203" s="152">
        <f t="array" ref="BB203">iferror(XLOOKUP(C203,Sheet9!A:A,Sheet9!D:D),0)</f>
        <v>0</v>
      </c>
      <c r="BC203" s="2">
        <v>1.0</v>
      </c>
      <c r="BD203" s="95">
        <f t="array" ref="BD203">XLOOKUP(C203,ROS!C:C,ROS!O:O)</f>
        <v>0.071429</v>
      </c>
      <c r="BE203" s="147" t="str">
        <f t="array" ref="BE203">IFERROR(XLOOKUP(C203,ROS!T:T,ROS!U:U),"")</f>
        <v/>
      </c>
      <c r="BF203" s="147">
        <f t="array" ref="BF203">XLOOKUP(R203,'Refrence Data'!B:B,'Refrence Data'!T:T)</f>
        <v>0.297849</v>
      </c>
      <c r="BG203" s="95">
        <f t="shared" si="19"/>
        <v>0</v>
      </c>
      <c r="BH203" s="4" t="str">
        <f t="shared" si="20"/>
        <v/>
      </c>
      <c r="BO203" s="153"/>
      <c r="BP203" s="153" t="str">
        <f t="shared" si="26"/>
        <v/>
      </c>
      <c r="BQ203" s="153"/>
      <c r="BR203" s="153"/>
      <c r="BS203" s="153"/>
    </row>
    <row r="204">
      <c r="A204" s="171">
        <v>6.953440511701E12</v>
      </c>
      <c r="B204" s="171" t="s">
        <v>3521</v>
      </c>
      <c r="C204" s="137" t="s">
        <v>1148</v>
      </c>
      <c r="D204" s="138" t="s">
        <v>1130</v>
      </c>
      <c r="E204" s="139" t="s">
        <v>1135</v>
      </c>
      <c r="F204" s="140" t="s">
        <v>3605</v>
      </c>
      <c r="G204" s="141">
        <v>0.0</v>
      </c>
      <c r="H204" s="142">
        <v>8.751627</v>
      </c>
      <c r="I204" s="143" t="s">
        <v>111</v>
      </c>
      <c r="J204" s="83"/>
      <c r="K204" s="174">
        <v>1095.0</v>
      </c>
      <c r="R204" s="145" t="str">
        <f t="shared" si="1"/>
        <v>Seasonal Celebrations_5-10</v>
      </c>
      <c r="S204" s="146" t="str">
        <f t="shared" si="2"/>
        <v>5-10</v>
      </c>
      <c r="T204" s="95" t="str">
        <f t="array" ref="T204">XLOOKUP(C204,'Depth or Width'!P:P,'Depth or Width'!V:V)</f>
        <v>Width</v>
      </c>
      <c r="U204" s="93">
        <f t="shared" si="3"/>
        <v>5</v>
      </c>
      <c r="V204" s="147">
        <f t="array" ref="V204">iferror(XLOOKUP(R204,'Refrence Data'!B:B,'Refrence Data'!W:W),"NA")</f>
        <v>0.832258</v>
      </c>
      <c r="W204" s="95">
        <f t="shared" si="4"/>
        <v>0</v>
      </c>
      <c r="Y204" s="148">
        <f t="array" ref="Y204">IFERROR(XLOOKUP(R204,'Refrence Data'!B:B,'Refrence Data'!N:N),"NA")</f>
        <v>0.647568</v>
      </c>
      <c r="Z204" s="95" t="str">
        <f t="shared" si="5"/>
        <v>MEDIUM</v>
      </c>
      <c r="AA204" s="147">
        <f t="array" ref="AA204">XLOOKUP(R204,'Refrence Data'!B:B,'Refrence Data'!AC:AC)</f>
        <v>0.672438</v>
      </c>
      <c r="AB204" s="147">
        <f t="array" ref="AB204">IFERROR(XLOOKUP(R204,'Refrence Data'!B:B,'Refrence Data'!Y:Y),"NA")</f>
        <v>0.903096</v>
      </c>
      <c r="AC204" s="95" t="str">
        <f t="shared" si="6"/>
        <v>High</v>
      </c>
      <c r="AD204" s="95" t="str">
        <f t="shared" si="7"/>
        <v>Width</v>
      </c>
      <c r="AE204" s="95" t="str">
        <f t="shared" si="8"/>
        <v>MEDIUMHighWidth</v>
      </c>
      <c r="AF204" s="95">
        <f t="array" ref="AF204">XLOOKUP(AE204,'Category Saturation'!A:A,'Category Saturation'!E:E)</f>
        <v>10</v>
      </c>
      <c r="AH204" s="148">
        <f t="array" ref="AH204">iferror(XLOOKUP(R204,'New Launch Success Rate'!A:A,'New Launch Success Rate'!F:F),"NA")</f>
        <v>0.8</v>
      </c>
      <c r="AI204" s="95">
        <f t="shared" si="9"/>
        <v>100</v>
      </c>
      <c r="AK204" s="149">
        <f t="shared" si="10"/>
        <v>13</v>
      </c>
      <c r="AM204" s="150">
        <f t="array" ref="AM204">XLOOKUP(R204,'Non Moving'!C:C,'Non Moving'!I:I)/100</f>
        <v>0.448</v>
      </c>
      <c r="AN204" s="151">
        <f t="shared" si="11"/>
        <v>0</v>
      </c>
      <c r="AO204" s="150">
        <f t="array" ref="AO204">XLOOKUP(R204,'Non Moving'!C:C,'Non Moving'!F:F)/100</f>
        <v>0.498</v>
      </c>
      <c r="AP204" s="151">
        <f t="shared" si="12"/>
        <v>0</v>
      </c>
      <c r="AR204" s="95">
        <f t="shared" si="13"/>
        <v>0</v>
      </c>
      <c r="AT204" s="95">
        <f t="shared" si="14"/>
        <v>0</v>
      </c>
      <c r="AU204" s="95">
        <f t="array" ref="AU204">iferror(XLOOKUP(J204,Monetization!A:A,Monetization!B:B),25)</f>
        <v>25</v>
      </c>
      <c r="AW204" s="95">
        <f t="shared" si="15"/>
        <v>7.5</v>
      </c>
      <c r="AY204" s="149">
        <f t="shared" si="16"/>
        <v>6.7</v>
      </c>
      <c r="AZ204" s="95" t="str">
        <f t="shared" si="17"/>
        <v>0-25</v>
      </c>
      <c r="BA204" s="95" t="str">
        <f t="shared" si="18"/>
        <v>0-25</v>
      </c>
      <c r="BB204" s="152">
        <f t="array" ref="BB204">iferror(XLOOKUP(C204,Sheet9!A:A,Sheet9!D:D),0)</f>
        <v>0</v>
      </c>
      <c r="BC204" s="2">
        <v>1.0</v>
      </c>
      <c r="BD204" s="95">
        <f t="array" ref="BD204">XLOOKUP(C204,ROS!C:C,ROS!O:O)</f>
        <v>0.071429</v>
      </c>
      <c r="BE204" s="147" t="str">
        <f t="array" ref="BE204">IFERROR(XLOOKUP(C204,ROS!T:T,ROS!U:U),"")</f>
        <v/>
      </c>
      <c r="BF204" s="147">
        <f t="array" ref="BF204">XLOOKUP(R204,'Refrence Data'!B:B,'Refrence Data'!T:T)</f>
        <v>0.297849</v>
      </c>
      <c r="BG204" s="95">
        <f t="shared" si="19"/>
        <v>0</v>
      </c>
      <c r="BH204" s="4" t="str">
        <f t="shared" si="20"/>
        <v/>
      </c>
      <c r="BO204" s="153"/>
      <c r="BP204" s="153" t="str">
        <f t="shared" si="26"/>
        <v/>
      </c>
      <c r="BQ204" s="153"/>
      <c r="BR204" s="153"/>
      <c r="BS204" s="153"/>
    </row>
    <row r="205">
      <c r="A205" s="171">
        <v>6.953440511633E12</v>
      </c>
      <c r="B205" s="171" t="s">
        <v>3521</v>
      </c>
      <c r="C205" s="137" t="s">
        <v>1149</v>
      </c>
      <c r="D205" s="138" t="s">
        <v>1130</v>
      </c>
      <c r="E205" s="139" t="s">
        <v>1135</v>
      </c>
      <c r="F205" s="140" t="s">
        <v>3605</v>
      </c>
      <c r="G205" s="141">
        <v>0.0</v>
      </c>
      <c r="H205" s="142">
        <v>8.80266</v>
      </c>
      <c r="I205" s="143" t="s">
        <v>111</v>
      </c>
      <c r="J205" s="83"/>
      <c r="K205" s="174">
        <v>1095.0</v>
      </c>
      <c r="R205" s="145" t="str">
        <f t="shared" si="1"/>
        <v>Seasonal Celebrations_5-10</v>
      </c>
      <c r="S205" s="146" t="str">
        <f t="shared" si="2"/>
        <v>5-10</v>
      </c>
      <c r="T205" s="95" t="str">
        <f t="array" ref="T205">XLOOKUP(C205,'Depth or Width'!P:P,'Depth or Width'!V:V)</f>
        <v>Width</v>
      </c>
      <c r="U205" s="93">
        <f t="shared" si="3"/>
        <v>5</v>
      </c>
      <c r="V205" s="147">
        <f t="array" ref="V205">iferror(XLOOKUP(R205,'Refrence Data'!B:B,'Refrence Data'!W:W),"NA")</f>
        <v>0.832258</v>
      </c>
      <c r="W205" s="95">
        <f t="shared" si="4"/>
        <v>0</v>
      </c>
      <c r="Y205" s="148">
        <f t="array" ref="Y205">IFERROR(XLOOKUP(R205,'Refrence Data'!B:B,'Refrence Data'!N:N),"NA")</f>
        <v>0.647568</v>
      </c>
      <c r="Z205" s="95" t="str">
        <f t="shared" si="5"/>
        <v>MEDIUM</v>
      </c>
      <c r="AA205" s="147">
        <f t="array" ref="AA205">XLOOKUP(R205,'Refrence Data'!B:B,'Refrence Data'!AC:AC)</f>
        <v>0.672438</v>
      </c>
      <c r="AB205" s="147">
        <f t="array" ref="AB205">IFERROR(XLOOKUP(R205,'Refrence Data'!B:B,'Refrence Data'!Y:Y),"NA")</f>
        <v>0.903096</v>
      </c>
      <c r="AC205" s="95" t="str">
        <f t="shared" si="6"/>
        <v>High</v>
      </c>
      <c r="AD205" s="95" t="str">
        <f t="shared" si="7"/>
        <v>Width</v>
      </c>
      <c r="AE205" s="95" t="str">
        <f t="shared" si="8"/>
        <v>MEDIUMHighWidth</v>
      </c>
      <c r="AF205" s="95">
        <f t="array" ref="AF205">XLOOKUP(AE205,'Category Saturation'!A:A,'Category Saturation'!E:E)</f>
        <v>10</v>
      </c>
      <c r="AH205" s="148">
        <f t="array" ref="AH205">iferror(XLOOKUP(R205,'New Launch Success Rate'!A:A,'New Launch Success Rate'!F:F),"NA")</f>
        <v>0.8</v>
      </c>
      <c r="AI205" s="95">
        <f t="shared" si="9"/>
        <v>100</v>
      </c>
      <c r="AK205" s="149">
        <f t="shared" si="10"/>
        <v>13</v>
      </c>
      <c r="AM205" s="150">
        <f t="array" ref="AM205">XLOOKUP(R205,'Non Moving'!C:C,'Non Moving'!I:I)/100</f>
        <v>0.448</v>
      </c>
      <c r="AN205" s="151">
        <f t="shared" si="11"/>
        <v>0</v>
      </c>
      <c r="AO205" s="150">
        <f t="array" ref="AO205">XLOOKUP(R205,'Non Moving'!C:C,'Non Moving'!F:F)/100</f>
        <v>0.498</v>
      </c>
      <c r="AP205" s="151">
        <f t="shared" si="12"/>
        <v>0</v>
      </c>
      <c r="AR205" s="95">
        <f t="shared" si="13"/>
        <v>0</v>
      </c>
      <c r="AT205" s="95">
        <f t="shared" si="14"/>
        <v>0</v>
      </c>
      <c r="AU205" s="95">
        <f t="array" ref="AU205">iferror(XLOOKUP(J205,Monetization!A:A,Monetization!B:B),25)</f>
        <v>25</v>
      </c>
      <c r="AW205" s="95">
        <f t="shared" si="15"/>
        <v>7.5</v>
      </c>
      <c r="AY205" s="149">
        <f t="shared" si="16"/>
        <v>6.7</v>
      </c>
      <c r="AZ205" s="95" t="str">
        <f t="shared" si="17"/>
        <v>0-25</v>
      </c>
      <c r="BA205" s="95" t="str">
        <f t="shared" si="18"/>
        <v>0-25</v>
      </c>
      <c r="BB205" s="152">
        <f t="array" ref="BB205">iferror(XLOOKUP(C205,Sheet9!A:A,Sheet9!D:D),0)</f>
        <v>0</v>
      </c>
      <c r="BC205" s="2">
        <v>1.0</v>
      </c>
      <c r="BD205" s="95">
        <f t="array" ref="BD205">XLOOKUP(C205,ROS!C:C,ROS!O:O)</f>
        <v>0.2</v>
      </c>
      <c r="BE205" s="147" t="str">
        <f t="array" ref="BE205">IFERROR(XLOOKUP(C205,ROS!T:T,ROS!U:U),"")</f>
        <v/>
      </c>
      <c r="BF205" s="147">
        <f t="array" ref="BF205">XLOOKUP(R205,'Refrence Data'!B:B,'Refrence Data'!T:T)</f>
        <v>0.297849</v>
      </c>
      <c r="BG205" s="95">
        <f t="shared" si="19"/>
        <v>0</v>
      </c>
      <c r="BH205" s="4" t="str">
        <f t="shared" si="20"/>
        <v/>
      </c>
      <c r="BO205" s="153"/>
      <c r="BP205" s="153" t="str">
        <f t="shared" si="26"/>
        <v/>
      </c>
      <c r="BQ205" s="153"/>
      <c r="BR205" s="153"/>
      <c r="BS205" s="153"/>
    </row>
    <row r="206">
      <c r="A206" s="171">
        <v>6.953440511619E12</v>
      </c>
      <c r="B206" s="171" t="s">
        <v>3521</v>
      </c>
      <c r="C206" s="137" t="s">
        <v>1150</v>
      </c>
      <c r="D206" s="138" t="s">
        <v>1130</v>
      </c>
      <c r="E206" s="139" t="s">
        <v>1135</v>
      </c>
      <c r="F206" s="140" t="s">
        <v>3605</v>
      </c>
      <c r="G206" s="141">
        <v>0.0</v>
      </c>
      <c r="H206" s="142">
        <v>10.24191</v>
      </c>
      <c r="I206" s="143" t="s">
        <v>111</v>
      </c>
      <c r="J206" s="83"/>
      <c r="K206" s="174">
        <v>1095.0</v>
      </c>
      <c r="R206" s="145" t="str">
        <f t="shared" si="1"/>
        <v>Seasonal Celebrations_10-15</v>
      </c>
      <c r="S206" s="146" t="str">
        <f t="shared" si="2"/>
        <v>10-15</v>
      </c>
      <c r="T206" s="95" t="str">
        <f t="array" ref="T206">XLOOKUP(C206,'Depth or Width'!P:P,'Depth or Width'!V:V)</f>
        <v>Width</v>
      </c>
      <c r="U206" s="93">
        <f t="shared" si="3"/>
        <v>5</v>
      </c>
      <c r="V206" s="147">
        <f t="array" ref="V206">iferror(XLOOKUP(R206,'Refrence Data'!B:B,'Refrence Data'!W:W),"NA")</f>
        <v>0.765152</v>
      </c>
      <c r="W206" s="95">
        <f t="shared" si="4"/>
        <v>0</v>
      </c>
      <c r="Y206" s="148">
        <f t="array" ref="Y206">IFERROR(XLOOKUP(R206,'Refrence Data'!B:B,'Refrence Data'!N:N),"NA")</f>
        <v>0</v>
      </c>
      <c r="Z206" s="95" t="str">
        <f t="shared" si="5"/>
        <v>LOW</v>
      </c>
      <c r="AA206" s="147">
        <f t="array" ref="AA206">XLOOKUP(R206,'Refrence Data'!B:B,'Refrence Data'!AC:AC)</f>
        <v>0.672438</v>
      </c>
      <c r="AB206" s="147">
        <f t="array" ref="AB206">IFERROR(XLOOKUP(R206,'Refrence Data'!B:B,'Refrence Data'!Y:Y),"NA")</f>
        <v>0.399242</v>
      </c>
      <c r="AC206" s="95" t="str">
        <f t="shared" si="6"/>
        <v>High</v>
      </c>
      <c r="AD206" s="95" t="str">
        <f t="shared" si="7"/>
        <v>Width</v>
      </c>
      <c r="AE206" s="95" t="str">
        <f t="shared" si="8"/>
        <v>LOWHighWidth</v>
      </c>
      <c r="AF206" s="95">
        <f t="array" ref="AF206">XLOOKUP(AE206,'Category Saturation'!A:A,'Category Saturation'!E:E)</f>
        <v>100</v>
      </c>
      <c r="AH206" s="148">
        <f t="array" ref="AH206">iferror(XLOOKUP(R206,'New Launch Success Rate'!A:A,'New Launch Success Rate'!F:F),"NA")</f>
        <v>1</v>
      </c>
      <c r="AI206" s="95">
        <f t="shared" si="9"/>
        <v>100</v>
      </c>
      <c r="AK206" s="149">
        <f t="shared" si="10"/>
        <v>40</v>
      </c>
      <c r="AM206" s="150">
        <f t="array" ref="AM206">XLOOKUP(R206,'Non Moving'!C:C,'Non Moving'!I:I)/100</f>
        <v>0.366</v>
      </c>
      <c r="AN206" s="151">
        <f t="shared" si="11"/>
        <v>0</v>
      </c>
      <c r="AO206" s="150">
        <f t="array" ref="AO206">XLOOKUP(R206,'Non Moving'!C:C,'Non Moving'!F:F)/100</f>
        <v>0.427</v>
      </c>
      <c r="AP206" s="151">
        <f t="shared" si="12"/>
        <v>50</v>
      </c>
      <c r="AR206" s="95">
        <f t="shared" si="13"/>
        <v>25</v>
      </c>
      <c r="AT206" s="95">
        <f t="shared" si="14"/>
        <v>0</v>
      </c>
      <c r="AU206" s="95">
        <f t="array" ref="AU206">iferror(XLOOKUP(J206,Monetization!A:A,Monetization!B:B),25)</f>
        <v>25</v>
      </c>
      <c r="AW206" s="95">
        <f t="shared" si="15"/>
        <v>7.5</v>
      </c>
      <c r="AY206" s="149">
        <f t="shared" si="16"/>
        <v>27.5</v>
      </c>
      <c r="AZ206" s="95" t="str">
        <f t="shared" si="17"/>
        <v>25-50</v>
      </c>
      <c r="BA206" s="95" t="str">
        <f t="shared" si="18"/>
        <v>25-50</v>
      </c>
      <c r="BB206" s="152">
        <f t="array" ref="BB206">iferror(XLOOKUP(C206,Sheet9!A:A,Sheet9!D:D),0)</f>
        <v>0</v>
      </c>
      <c r="BC206" s="2">
        <v>1.0</v>
      </c>
      <c r="BD206" s="95">
        <f t="array" ref="BD206">XLOOKUP(C206,ROS!C:C,ROS!O:O)</f>
        <v>0</v>
      </c>
      <c r="BE206" s="147" t="str">
        <f t="array" ref="BE206">IFERROR(XLOOKUP(C206,ROS!T:T,ROS!U:U),"")</f>
        <v/>
      </c>
      <c r="BF206" s="147">
        <f t="array" ref="BF206">XLOOKUP(R206,'Refrence Data'!B:B,'Refrence Data'!T:T)</f>
        <v>0.033333</v>
      </c>
      <c r="BG206" s="95">
        <f t="shared" si="19"/>
        <v>0</v>
      </c>
      <c r="BH206" s="4" t="str">
        <f t="shared" si="20"/>
        <v/>
      </c>
      <c r="BO206" s="153"/>
      <c r="BP206" s="153" t="str">
        <f t="shared" si="26"/>
        <v/>
      </c>
      <c r="BQ206" s="153"/>
      <c r="BR206" s="153"/>
      <c r="BS206" s="153"/>
    </row>
    <row r="207">
      <c r="A207" s="171">
        <v>6.953440511541E12</v>
      </c>
      <c r="B207" s="171" t="s">
        <v>3521</v>
      </c>
      <c r="C207" s="137" t="s">
        <v>1151</v>
      </c>
      <c r="D207" s="138" t="s">
        <v>1130</v>
      </c>
      <c r="E207" s="139" t="s">
        <v>1135</v>
      </c>
      <c r="F207" s="140" t="s">
        <v>3605</v>
      </c>
      <c r="G207" s="141">
        <v>1.0</v>
      </c>
      <c r="H207" s="142">
        <v>6.74467</v>
      </c>
      <c r="I207" s="143" t="s">
        <v>111</v>
      </c>
      <c r="J207" s="83"/>
      <c r="K207" s="174">
        <v>1095.0</v>
      </c>
      <c r="R207" s="145" t="str">
        <f t="shared" si="1"/>
        <v>Seasonal Celebrations_5-10</v>
      </c>
      <c r="S207" s="146" t="str">
        <f t="shared" si="2"/>
        <v>5-10</v>
      </c>
      <c r="T207" s="95" t="str">
        <f t="array" ref="T207">XLOOKUP(C207,'Depth or Width'!P:P,'Depth or Width'!V:V)</f>
        <v>Width</v>
      </c>
      <c r="U207" s="93">
        <f t="shared" si="3"/>
        <v>5</v>
      </c>
      <c r="V207" s="147">
        <f t="array" ref="V207">iferror(XLOOKUP(R207,'Refrence Data'!B:B,'Refrence Data'!W:W),"NA")</f>
        <v>0.832258</v>
      </c>
      <c r="W207" s="95">
        <f t="shared" si="4"/>
        <v>0</v>
      </c>
      <c r="Y207" s="148">
        <f t="array" ref="Y207">IFERROR(XLOOKUP(R207,'Refrence Data'!B:B,'Refrence Data'!N:N),"NA")</f>
        <v>0.647568</v>
      </c>
      <c r="Z207" s="95" t="str">
        <f t="shared" si="5"/>
        <v>MEDIUM</v>
      </c>
      <c r="AA207" s="147">
        <f t="array" ref="AA207">XLOOKUP(R207,'Refrence Data'!B:B,'Refrence Data'!AC:AC)</f>
        <v>0.672438</v>
      </c>
      <c r="AB207" s="147">
        <f t="array" ref="AB207">IFERROR(XLOOKUP(R207,'Refrence Data'!B:B,'Refrence Data'!Y:Y),"NA")</f>
        <v>0.903096</v>
      </c>
      <c r="AC207" s="95" t="str">
        <f t="shared" si="6"/>
        <v>High</v>
      </c>
      <c r="AD207" s="95" t="str">
        <f t="shared" si="7"/>
        <v>Width</v>
      </c>
      <c r="AE207" s="95" t="str">
        <f t="shared" si="8"/>
        <v>MEDIUMHighWidth</v>
      </c>
      <c r="AF207" s="95">
        <f t="array" ref="AF207">XLOOKUP(AE207,'Category Saturation'!A:A,'Category Saturation'!E:E)</f>
        <v>10</v>
      </c>
      <c r="AH207" s="148">
        <f t="array" ref="AH207">iferror(XLOOKUP(R207,'New Launch Success Rate'!A:A,'New Launch Success Rate'!F:F),"NA")</f>
        <v>0.8</v>
      </c>
      <c r="AI207" s="95">
        <f t="shared" si="9"/>
        <v>100</v>
      </c>
      <c r="AK207" s="149">
        <f t="shared" si="10"/>
        <v>13</v>
      </c>
      <c r="AM207" s="150">
        <f t="array" ref="AM207">XLOOKUP(R207,'Non Moving'!C:C,'Non Moving'!I:I)/100</f>
        <v>0.448</v>
      </c>
      <c r="AN207" s="151">
        <f t="shared" si="11"/>
        <v>0</v>
      </c>
      <c r="AO207" s="150">
        <f t="array" ref="AO207">XLOOKUP(R207,'Non Moving'!C:C,'Non Moving'!F:F)/100</f>
        <v>0.498</v>
      </c>
      <c r="AP207" s="151">
        <f t="shared" si="12"/>
        <v>0</v>
      </c>
      <c r="AR207" s="95">
        <f t="shared" si="13"/>
        <v>0</v>
      </c>
      <c r="AT207" s="95">
        <f t="shared" si="14"/>
        <v>0</v>
      </c>
      <c r="AU207" s="95">
        <f t="array" ref="AU207">iferror(XLOOKUP(J207,Monetization!A:A,Monetization!B:B),25)</f>
        <v>25</v>
      </c>
      <c r="AW207" s="95">
        <f t="shared" si="15"/>
        <v>7.5</v>
      </c>
      <c r="AY207" s="149">
        <f t="shared" si="16"/>
        <v>6.7</v>
      </c>
      <c r="AZ207" s="95" t="str">
        <f t="shared" si="17"/>
        <v>0-25</v>
      </c>
      <c r="BA207" s="95" t="str">
        <f t="shared" si="18"/>
        <v>0-25</v>
      </c>
      <c r="BB207" s="152">
        <f t="array" ref="BB207">iferror(XLOOKUP(C207,Sheet9!A:A,Sheet9!D:D),0)</f>
        <v>0</v>
      </c>
      <c r="BC207" s="2">
        <v>1.0</v>
      </c>
      <c r="BD207" s="95">
        <f t="array" ref="BD207">XLOOKUP(C207,ROS!C:C,ROS!O:O)</f>
        <v>0</v>
      </c>
      <c r="BE207" s="147" t="str">
        <f t="array" ref="BE207">IFERROR(XLOOKUP(C207,ROS!T:T,ROS!U:U),"")</f>
        <v/>
      </c>
      <c r="BF207" s="147">
        <f t="array" ref="BF207">XLOOKUP(R207,'Refrence Data'!B:B,'Refrence Data'!T:T)</f>
        <v>0.297849</v>
      </c>
      <c r="BG207" s="95">
        <f t="shared" si="19"/>
        <v>0</v>
      </c>
      <c r="BH207" s="4" t="str">
        <f t="shared" si="20"/>
        <v/>
      </c>
      <c r="BO207" s="153"/>
      <c r="BP207" s="153" t="str">
        <f t="shared" si="26"/>
        <v/>
      </c>
      <c r="BQ207" s="153"/>
      <c r="BR207" s="153"/>
      <c r="BS207" s="153"/>
    </row>
    <row r="208">
      <c r="A208" s="171">
        <v>6.291108549261E12</v>
      </c>
      <c r="B208" s="171" t="s">
        <v>3521</v>
      </c>
      <c r="C208" s="137" t="s">
        <v>1152</v>
      </c>
      <c r="D208" s="138" t="s">
        <v>1130</v>
      </c>
      <c r="E208" s="139" t="s">
        <v>1135</v>
      </c>
      <c r="F208" s="140" t="s">
        <v>3582</v>
      </c>
      <c r="G208" s="141">
        <v>1.0</v>
      </c>
      <c r="H208" s="142">
        <v>18.40852</v>
      </c>
      <c r="I208" s="143" t="s">
        <v>112</v>
      </c>
      <c r="J208" s="83"/>
      <c r="K208" s="174">
        <v>1095.0</v>
      </c>
      <c r="R208" s="145" t="str">
        <f t="shared" si="1"/>
        <v>Seasonal Celebrations_15-20</v>
      </c>
      <c r="S208" s="146" t="str">
        <f t="shared" si="2"/>
        <v>15-20</v>
      </c>
      <c r="T208" s="95" t="str">
        <f t="array" ref="T208">XLOOKUP(C208,'Depth or Width'!P:P,'Depth or Width'!V:V)</f>
        <v>Depth</v>
      </c>
      <c r="U208" s="93">
        <f t="shared" si="3"/>
        <v>5</v>
      </c>
      <c r="V208" s="147">
        <f t="array" ref="V208">iferror(XLOOKUP(R208,'Refrence Data'!B:B,'Refrence Data'!W:W),"NA")</f>
        <v>0.4</v>
      </c>
      <c r="W208" s="95">
        <f t="shared" si="4"/>
        <v>0</v>
      </c>
      <c r="Y208" s="148">
        <f t="array" ref="Y208">IFERROR(XLOOKUP(R208,'Refrence Data'!B:B,'Refrence Data'!N:N),"NA")</f>
        <v>0</v>
      </c>
      <c r="Z208" s="95" t="str">
        <f t="shared" si="5"/>
        <v>LOW</v>
      </c>
      <c r="AA208" s="147">
        <f t="array" ref="AA208">XLOOKUP(R208,'Refrence Data'!B:B,'Refrence Data'!AC:AC)</f>
        <v>0.672438</v>
      </c>
      <c r="AB208" s="147">
        <f t="array" ref="AB208">IFERROR(XLOOKUP(R208,'Refrence Data'!B:B,'Refrence Data'!Y:Y),"NA")</f>
        <v>0.4</v>
      </c>
      <c r="AC208" s="95" t="str">
        <f t="shared" si="6"/>
        <v>High</v>
      </c>
      <c r="AD208" s="95" t="str">
        <f t="shared" si="7"/>
        <v>Depth</v>
      </c>
      <c r="AE208" s="95" t="str">
        <f t="shared" si="8"/>
        <v>LOWHighDepth</v>
      </c>
      <c r="AF208" s="95">
        <f t="array" ref="AF208">XLOOKUP(AE208,'Category Saturation'!A:A,'Category Saturation'!E:E)</f>
        <v>90</v>
      </c>
      <c r="AH208" s="148">
        <f t="array" ref="AH208">iferror(XLOOKUP(R208,'New Launch Success Rate'!A:A,'New Launch Success Rate'!F:F),"NA")</f>
        <v>0.778</v>
      </c>
      <c r="AI208" s="95">
        <f t="shared" si="9"/>
        <v>100</v>
      </c>
      <c r="AK208" s="149">
        <f t="shared" si="10"/>
        <v>37</v>
      </c>
      <c r="AM208" s="150">
        <f t="array" ref="AM208">XLOOKUP(R208,'Non Moving'!C:C,'Non Moving'!I:I)/100</f>
        <v>0.225</v>
      </c>
      <c r="AN208" s="151">
        <f t="shared" si="11"/>
        <v>0</v>
      </c>
      <c r="AO208" s="150">
        <f t="array" ref="AO208">XLOOKUP(R208,'Non Moving'!C:C,'Non Moving'!F:F)/100</f>
        <v>0.247</v>
      </c>
      <c r="AP208" s="151">
        <f t="shared" si="12"/>
        <v>100</v>
      </c>
      <c r="AR208" s="95">
        <f t="shared" si="13"/>
        <v>50</v>
      </c>
      <c r="AT208" s="95">
        <f t="shared" si="14"/>
        <v>100</v>
      </c>
      <c r="AU208" s="95">
        <f t="array" ref="AU208">iferror(XLOOKUP(J208,Monetization!A:A,Monetization!B:B),25)</f>
        <v>25</v>
      </c>
      <c r="AW208" s="95">
        <f t="shared" si="15"/>
        <v>77.5</v>
      </c>
      <c r="AY208" s="149">
        <f t="shared" si="16"/>
        <v>50.3</v>
      </c>
      <c r="AZ208" s="95" t="str">
        <f t="shared" si="17"/>
        <v>50-75</v>
      </c>
      <c r="BA208" s="95" t="str">
        <f t="shared" si="18"/>
        <v>25-50</v>
      </c>
      <c r="BB208" s="152">
        <f t="array" ref="BB208">iferror(XLOOKUP(C208,Sheet9!A:A,Sheet9!D:D),0)</f>
        <v>0</v>
      </c>
      <c r="BC208" s="2">
        <v>1.0</v>
      </c>
      <c r="BD208" s="95">
        <f t="array" ref="BD208">XLOOKUP(C208,ROS!C:C,ROS!O:O)</f>
        <v>0.2</v>
      </c>
      <c r="BE208" s="147">
        <f t="array" ref="BE208">IFERROR(XLOOKUP(C208,ROS!T:T,ROS!U:U),"")</f>
        <v>0</v>
      </c>
      <c r="BF208" s="147">
        <f t="array" ref="BF208">XLOOKUP(R208,'Refrence Data'!B:B,'Refrence Data'!T:T)</f>
        <v>0.4</v>
      </c>
      <c r="BG208" s="95">
        <f t="shared" si="19"/>
        <v>0</v>
      </c>
      <c r="BH208" s="4" t="str">
        <f t="shared" si="20"/>
        <v/>
      </c>
      <c r="BO208" s="153"/>
      <c r="BP208" s="153" t="str">
        <f t="shared" si="26"/>
        <v/>
      </c>
      <c r="BQ208" s="153"/>
      <c r="BR208" s="153"/>
      <c r="BS208" s="153"/>
    </row>
    <row r="209">
      <c r="A209" s="171">
        <v>6.291108549254E12</v>
      </c>
      <c r="B209" s="171" t="s">
        <v>3521</v>
      </c>
      <c r="C209" s="137" t="s">
        <v>1153</v>
      </c>
      <c r="D209" s="138" t="s">
        <v>1130</v>
      </c>
      <c r="E209" s="139" t="s">
        <v>1135</v>
      </c>
      <c r="F209" s="140" t="s">
        <v>3582</v>
      </c>
      <c r="G209" s="141">
        <v>1.0</v>
      </c>
      <c r="H209" s="142">
        <v>18.48539</v>
      </c>
      <c r="I209" s="143" t="s">
        <v>112</v>
      </c>
      <c r="J209" s="83"/>
      <c r="K209" s="174">
        <v>1095.0</v>
      </c>
      <c r="R209" s="145" t="str">
        <f t="shared" si="1"/>
        <v>Seasonal Celebrations_15-20</v>
      </c>
      <c r="S209" s="146" t="str">
        <f t="shared" si="2"/>
        <v>15-20</v>
      </c>
      <c r="T209" s="95" t="str">
        <f t="array" ref="T209">XLOOKUP(C209,'Depth or Width'!P:P,'Depth or Width'!V:V)</f>
        <v>Depth</v>
      </c>
      <c r="U209" s="93">
        <f t="shared" si="3"/>
        <v>5</v>
      </c>
      <c r="V209" s="147">
        <f t="array" ref="V209">iferror(XLOOKUP(R209,'Refrence Data'!B:B,'Refrence Data'!W:W),"NA")</f>
        <v>0.4</v>
      </c>
      <c r="W209" s="95">
        <f t="shared" si="4"/>
        <v>0</v>
      </c>
      <c r="Y209" s="148">
        <f t="array" ref="Y209">IFERROR(XLOOKUP(R209,'Refrence Data'!B:B,'Refrence Data'!N:N),"NA")</f>
        <v>0</v>
      </c>
      <c r="Z209" s="95" t="str">
        <f t="shared" si="5"/>
        <v>LOW</v>
      </c>
      <c r="AA209" s="147">
        <f t="array" ref="AA209">XLOOKUP(R209,'Refrence Data'!B:B,'Refrence Data'!AC:AC)</f>
        <v>0.672438</v>
      </c>
      <c r="AB209" s="147">
        <f t="array" ref="AB209">IFERROR(XLOOKUP(R209,'Refrence Data'!B:B,'Refrence Data'!Y:Y),"NA")</f>
        <v>0.4</v>
      </c>
      <c r="AC209" s="95" t="str">
        <f t="shared" si="6"/>
        <v>High</v>
      </c>
      <c r="AD209" s="95" t="str">
        <f t="shared" si="7"/>
        <v>Depth</v>
      </c>
      <c r="AE209" s="95" t="str">
        <f t="shared" si="8"/>
        <v>LOWHighDepth</v>
      </c>
      <c r="AF209" s="95">
        <f t="array" ref="AF209">XLOOKUP(AE209,'Category Saturation'!A:A,'Category Saturation'!E:E)</f>
        <v>90</v>
      </c>
      <c r="AH209" s="148">
        <f t="array" ref="AH209">iferror(XLOOKUP(R209,'New Launch Success Rate'!A:A,'New Launch Success Rate'!F:F),"NA")</f>
        <v>0.778</v>
      </c>
      <c r="AI209" s="95">
        <f t="shared" si="9"/>
        <v>100</v>
      </c>
      <c r="AK209" s="149">
        <f t="shared" si="10"/>
        <v>37</v>
      </c>
      <c r="AM209" s="150">
        <f t="array" ref="AM209">XLOOKUP(R209,'Non Moving'!C:C,'Non Moving'!I:I)/100</f>
        <v>0.225</v>
      </c>
      <c r="AN209" s="151">
        <f t="shared" si="11"/>
        <v>0</v>
      </c>
      <c r="AO209" s="150">
        <f t="array" ref="AO209">XLOOKUP(R209,'Non Moving'!C:C,'Non Moving'!F:F)/100</f>
        <v>0.247</v>
      </c>
      <c r="AP209" s="151">
        <f t="shared" si="12"/>
        <v>100</v>
      </c>
      <c r="AR209" s="95">
        <f t="shared" si="13"/>
        <v>50</v>
      </c>
      <c r="AT209" s="95">
        <f t="shared" si="14"/>
        <v>100</v>
      </c>
      <c r="AU209" s="95">
        <f t="array" ref="AU209">iferror(XLOOKUP(J209,Monetization!A:A,Monetization!B:B),25)</f>
        <v>25</v>
      </c>
      <c r="AW209" s="95">
        <f t="shared" si="15"/>
        <v>77.5</v>
      </c>
      <c r="AY209" s="149">
        <f t="shared" si="16"/>
        <v>50.3</v>
      </c>
      <c r="AZ209" s="95" t="str">
        <f t="shared" si="17"/>
        <v>50-75</v>
      </c>
      <c r="BA209" s="95" t="str">
        <f t="shared" si="18"/>
        <v>25-50</v>
      </c>
      <c r="BB209" s="152">
        <f t="array" ref="BB209">iferror(XLOOKUP(C209,Sheet9!A:A,Sheet9!D:D),0)</f>
        <v>0</v>
      </c>
      <c r="BC209" s="2">
        <v>1.0</v>
      </c>
      <c r="BD209" s="95">
        <f t="array" ref="BD209">XLOOKUP(C209,ROS!C:C,ROS!O:O)</f>
        <v>0</v>
      </c>
      <c r="BE209" s="147">
        <f t="array" ref="BE209">IFERROR(XLOOKUP(C209,ROS!T:T,ROS!U:U),"")</f>
        <v>0</v>
      </c>
      <c r="BF209" s="147">
        <f t="array" ref="BF209">XLOOKUP(R209,'Refrence Data'!B:B,'Refrence Data'!T:T)</f>
        <v>0.4</v>
      </c>
      <c r="BG209" s="95">
        <f t="shared" si="19"/>
        <v>0</v>
      </c>
      <c r="BH209" s="4" t="str">
        <f t="shared" si="20"/>
        <v/>
      </c>
      <c r="BO209" s="153"/>
      <c r="BP209" s="153" t="str">
        <f t="shared" si="26"/>
        <v/>
      </c>
      <c r="BQ209" s="153"/>
      <c r="BR209" s="153"/>
      <c r="BS209" s="153"/>
    </row>
    <row r="210">
      <c r="A210" s="171">
        <v>8.711500696458E12</v>
      </c>
      <c r="B210" s="171" t="s">
        <v>3521</v>
      </c>
      <c r="C210" s="137" t="s">
        <v>1154</v>
      </c>
      <c r="D210" s="138" t="s">
        <v>1130</v>
      </c>
      <c r="E210" s="139" t="s">
        <v>1135</v>
      </c>
      <c r="F210" s="140" t="s">
        <v>3605</v>
      </c>
      <c r="G210" s="141">
        <v>1.0</v>
      </c>
      <c r="H210" s="142">
        <v>10.24191</v>
      </c>
      <c r="I210" s="143" t="s">
        <v>111</v>
      </c>
      <c r="J210" s="83"/>
      <c r="K210" s="174">
        <v>1095.0</v>
      </c>
      <c r="R210" s="145" t="str">
        <f t="shared" si="1"/>
        <v>Seasonal Celebrations_10-15</v>
      </c>
      <c r="S210" s="146" t="str">
        <f t="shared" si="2"/>
        <v>10-15</v>
      </c>
      <c r="T210" s="95" t="str">
        <f t="array" ref="T210">XLOOKUP(C210,'Depth or Width'!P:P,'Depth or Width'!V:V)</f>
        <v>Width</v>
      </c>
      <c r="U210" s="93">
        <f t="shared" si="3"/>
        <v>5</v>
      </c>
      <c r="V210" s="147">
        <f t="array" ref="V210">iferror(XLOOKUP(R210,'Refrence Data'!B:B,'Refrence Data'!W:W),"NA")</f>
        <v>0.765152</v>
      </c>
      <c r="W210" s="95">
        <f t="shared" si="4"/>
        <v>0</v>
      </c>
      <c r="Y210" s="148">
        <f t="array" ref="Y210">IFERROR(XLOOKUP(R210,'Refrence Data'!B:B,'Refrence Data'!N:N),"NA")</f>
        <v>0</v>
      </c>
      <c r="Z210" s="95" t="str">
        <f t="shared" si="5"/>
        <v>LOW</v>
      </c>
      <c r="AA210" s="147">
        <f t="array" ref="AA210">XLOOKUP(R210,'Refrence Data'!B:B,'Refrence Data'!AC:AC)</f>
        <v>0.672438</v>
      </c>
      <c r="AB210" s="147">
        <f t="array" ref="AB210">IFERROR(XLOOKUP(R210,'Refrence Data'!B:B,'Refrence Data'!Y:Y),"NA")</f>
        <v>0.399242</v>
      </c>
      <c r="AC210" s="95" t="str">
        <f t="shared" si="6"/>
        <v>High</v>
      </c>
      <c r="AD210" s="95" t="str">
        <f t="shared" si="7"/>
        <v>Width</v>
      </c>
      <c r="AE210" s="95" t="str">
        <f t="shared" si="8"/>
        <v>LOWHighWidth</v>
      </c>
      <c r="AF210" s="95">
        <f t="array" ref="AF210">XLOOKUP(AE210,'Category Saturation'!A:A,'Category Saturation'!E:E)</f>
        <v>100</v>
      </c>
      <c r="AH210" s="148">
        <f t="array" ref="AH210">iferror(XLOOKUP(R210,'New Launch Success Rate'!A:A,'New Launch Success Rate'!F:F),"NA")</f>
        <v>1</v>
      </c>
      <c r="AI210" s="95">
        <f t="shared" si="9"/>
        <v>100</v>
      </c>
      <c r="AK210" s="149">
        <f t="shared" si="10"/>
        <v>40</v>
      </c>
      <c r="AM210" s="150">
        <f t="array" ref="AM210">XLOOKUP(R210,'Non Moving'!C:C,'Non Moving'!I:I)/100</f>
        <v>0.366</v>
      </c>
      <c r="AN210" s="151">
        <f t="shared" si="11"/>
        <v>0</v>
      </c>
      <c r="AO210" s="150">
        <f t="array" ref="AO210">XLOOKUP(R210,'Non Moving'!C:C,'Non Moving'!F:F)/100</f>
        <v>0.427</v>
      </c>
      <c r="AP210" s="151">
        <f t="shared" si="12"/>
        <v>50</v>
      </c>
      <c r="AR210" s="95">
        <f t="shared" si="13"/>
        <v>25</v>
      </c>
      <c r="AT210" s="95">
        <f t="shared" si="14"/>
        <v>0</v>
      </c>
      <c r="AU210" s="95">
        <f t="array" ref="AU210">iferror(XLOOKUP(J210,Monetization!A:A,Monetization!B:B),25)</f>
        <v>25</v>
      </c>
      <c r="AW210" s="95">
        <f t="shared" si="15"/>
        <v>7.5</v>
      </c>
      <c r="AY210" s="149">
        <f t="shared" si="16"/>
        <v>27.5</v>
      </c>
      <c r="AZ210" s="95" t="str">
        <f t="shared" si="17"/>
        <v>25-50</v>
      </c>
      <c r="BA210" s="95" t="str">
        <f t="shared" si="18"/>
        <v>25-50</v>
      </c>
      <c r="BB210" s="152">
        <f t="array" ref="BB210">iferror(XLOOKUP(C210,Sheet9!A:A,Sheet9!D:D),0)</f>
        <v>0</v>
      </c>
      <c r="BC210" s="2">
        <v>1.0</v>
      </c>
      <c r="BD210" s="95">
        <f t="array" ref="BD210">XLOOKUP(C210,ROS!C:C,ROS!O:O)</f>
        <v>0.162338</v>
      </c>
      <c r="BE210" s="147" t="str">
        <f t="array" ref="BE210">IFERROR(XLOOKUP(C210,ROS!T:T,ROS!U:U),"")</f>
        <v/>
      </c>
      <c r="BF210" s="147">
        <f t="array" ref="BF210">XLOOKUP(R210,'Refrence Data'!B:B,'Refrence Data'!T:T)</f>
        <v>0.033333</v>
      </c>
      <c r="BG210" s="95">
        <f t="shared" si="19"/>
        <v>0</v>
      </c>
      <c r="BH210" s="4" t="str">
        <f t="shared" si="20"/>
        <v/>
      </c>
      <c r="BO210" s="153"/>
      <c r="BP210" s="153" t="str">
        <f t="shared" si="26"/>
        <v/>
      </c>
      <c r="BQ210" s="153"/>
      <c r="BR210" s="153"/>
      <c r="BS210" s="153"/>
    </row>
    <row r="211">
      <c r="A211" s="171">
        <v>7.000010015719E12</v>
      </c>
      <c r="B211" s="171" t="s">
        <v>3521</v>
      </c>
      <c r="C211" s="137" t="s">
        <v>1155</v>
      </c>
      <c r="D211" s="138" t="s">
        <v>1130</v>
      </c>
      <c r="E211" s="139" t="s">
        <v>1135</v>
      </c>
      <c r="F211" s="140" t="s">
        <v>3605</v>
      </c>
      <c r="G211" s="141">
        <v>1.0</v>
      </c>
      <c r="H211" s="142">
        <v>10.24191</v>
      </c>
      <c r="I211" s="143" t="s">
        <v>111</v>
      </c>
      <c r="J211" s="83"/>
      <c r="K211" s="174">
        <v>1095.0</v>
      </c>
      <c r="R211" s="145" t="str">
        <f t="shared" si="1"/>
        <v>Seasonal Celebrations_10-15</v>
      </c>
      <c r="S211" s="146" t="str">
        <f t="shared" si="2"/>
        <v>10-15</v>
      </c>
      <c r="T211" s="95" t="str">
        <f t="array" ref="T211">XLOOKUP(C211,'Depth or Width'!P:P,'Depth or Width'!V:V)</f>
        <v>Width</v>
      </c>
      <c r="U211" s="93">
        <f t="shared" si="3"/>
        <v>5</v>
      </c>
      <c r="V211" s="147">
        <f t="array" ref="V211">iferror(XLOOKUP(R211,'Refrence Data'!B:B,'Refrence Data'!W:W),"NA")</f>
        <v>0.765152</v>
      </c>
      <c r="W211" s="95">
        <f t="shared" si="4"/>
        <v>0</v>
      </c>
      <c r="Y211" s="148">
        <f t="array" ref="Y211">IFERROR(XLOOKUP(R211,'Refrence Data'!B:B,'Refrence Data'!N:N),"NA")</f>
        <v>0</v>
      </c>
      <c r="Z211" s="95" t="str">
        <f t="shared" si="5"/>
        <v>LOW</v>
      </c>
      <c r="AA211" s="147">
        <f t="array" ref="AA211">XLOOKUP(R211,'Refrence Data'!B:B,'Refrence Data'!AC:AC)</f>
        <v>0.672438</v>
      </c>
      <c r="AB211" s="147">
        <f t="array" ref="AB211">IFERROR(XLOOKUP(R211,'Refrence Data'!B:B,'Refrence Data'!Y:Y),"NA")</f>
        <v>0.399242</v>
      </c>
      <c r="AC211" s="95" t="str">
        <f t="shared" si="6"/>
        <v>High</v>
      </c>
      <c r="AD211" s="95" t="str">
        <f t="shared" si="7"/>
        <v>Width</v>
      </c>
      <c r="AE211" s="95" t="str">
        <f t="shared" si="8"/>
        <v>LOWHighWidth</v>
      </c>
      <c r="AF211" s="95">
        <f t="array" ref="AF211">XLOOKUP(AE211,'Category Saturation'!A:A,'Category Saturation'!E:E)</f>
        <v>100</v>
      </c>
      <c r="AH211" s="148">
        <f t="array" ref="AH211">iferror(XLOOKUP(R211,'New Launch Success Rate'!A:A,'New Launch Success Rate'!F:F),"NA")</f>
        <v>1</v>
      </c>
      <c r="AI211" s="95">
        <f t="shared" si="9"/>
        <v>100</v>
      </c>
      <c r="AK211" s="149">
        <f t="shared" si="10"/>
        <v>40</v>
      </c>
      <c r="AM211" s="150">
        <f t="array" ref="AM211">XLOOKUP(R211,'Non Moving'!C:C,'Non Moving'!I:I)/100</f>
        <v>0.366</v>
      </c>
      <c r="AN211" s="151">
        <f t="shared" si="11"/>
        <v>0</v>
      </c>
      <c r="AO211" s="150">
        <f t="array" ref="AO211">XLOOKUP(R211,'Non Moving'!C:C,'Non Moving'!F:F)/100</f>
        <v>0.427</v>
      </c>
      <c r="AP211" s="151">
        <f t="shared" si="12"/>
        <v>50</v>
      </c>
      <c r="AR211" s="95">
        <f t="shared" si="13"/>
        <v>25</v>
      </c>
      <c r="AT211" s="95">
        <f t="shared" si="14"/>
        <v>0</v>
      </c>
      <c r="AU211" s="95">
        <f t="array" ref="AU211">iferror(XLOOKUP(J211,Monetization!A:A,Monetization!B:B),25)</f>
        <v>25</v>
      </c>
      <c r="AW211" s="95">
        <f t="shared" si="15"/>
        <v>7.5</v>
      </c>
      <c r="AY211" s="149">
        <f t="shared" si="16"/>
        <v>27.5</v>
      </c>
      <c r="AZ211" s="95" t="str">
        <f t="shared" si="17"/>
        <v>25-50</v>
      </c>
      <c r="BA211" s="95" t="str">
        <f t="shared" si="18"/>
        <v>25-50</v>
      </c>
      <c r="BB211" s="152">
        <f t="array" ref="BB211">iferror(XLOOKUP(C211,Sheet9!A:A,Sheet9!D:D),0)</f>
        <v>0</v>
      </c>
      <c r="BC211" s="2">
        <v>1.0</v>
      </c>
      <c r="BD211" s="95">
        <f t="array" ref="BD211">XLOOKUP(C211,ROS!C:C,ROS!O:O)</f>
        <v>0</v>
      </c>
      <c r="BE211" s="147" t="str">
        <f t="array" ref="BE211">IFERROR(XLOOKUP(C211,ROS!T:T,ROS!U:U),"")</f>
        <v/>
      </c>
      <c r="BF211" s="147">
        <f t="array" ref="BF211">XLOOKUP(R211,'Refrence Data'!B:B,'Refrence Data'!T:T)</f>
        <v>0.033333</v>
      </c>
      <c r="BG211" s="95">
        <f t="shared" si="19"/>
        <v>0</v>
      </c>
      <c r="BH211" s="4" t="str">
        <f t="shared" si="20"/>
        <v/>
      </c>
      <c r="BO211" s="153"/>
      <c r="BP211" s="153" t="str">
        <f t="shared" si="26"/>
        <v/>
      </c>
      <c r="BQ211" s="153"/>
      <c r="BR211" s="153"/>
      <c r="BS211" s="153"/>
    </row>
    <row r="212">
      <c r="A212" s="171">
        <v>7.0000100146E12</v>
      </c>
      <c r="B212" s="171" t="s">
        <v>3521</v>
      </c>
      <c r="C212" s="137" t="s">
        <v>1156</v>
      </c>
      <c r="D212" s="138" t="s">
        <v>1130</v>
      </c>
      <c r="E212" s="139" t="s">
        <v>1135</v>
      </c>
      <c r="F212" s="140" t="s">
        <v>3605</v>
      </c>
      <c r="G212" s="141">
        <v>1.0</v>
      </c>
      <c r="H212" s="142">
        <v>8.743091</v>
      </c>
      <c r="I212" s="143" t="s">
        <v>111</v>
      </c>
      <c r="J212" s="83"/>
      <c r="K212" s="174">
        <v>1095.0</v>
      </c>
      <c r="R212" s="145" t="str">
        <f t="shared" si="1"/>
        <v>Seasonal Celebrations_5-10</v>
      </c>
      <c r="S212" s="146" t="str">
        <f t="shared" si="2"/>
        <v>5-10</v>
      </c>
      <c r="T212" s="95" t="str">
        <f t="array" ref="T212">XLOOKUP(C212,'Depth or Width'!P:P,'Depth or Width'!V:V)</f>
        <v>Width</v>
      </c>
      <c r="U212" s="93">
        <f t="shared" si="3"/>
        <v>5</v>
      </c>
      <c r="V212" s="147">
        <f t="array" ref="V212">iferror(XLOOKUP(R212,'Refrence Data'!B:B,'Refrence Data'!W:W),"NA")</f>
        <v>0.832258</v>
      </c>
      <c r="W212" s="95">
        <f t="shared" si="4"/>
        <v>0</v>
      </c>
      <c r="Y212" s="148">
        <f t="array" ref="Y212">IFERROR(XLOOKUP(R212,'Refrence Data'!B:B,'Refrence Data'!N:N),"NA")</f>
        <v>0.647568</v>
      </c>
      <c r="Z212" s="95" t="str">
        <f t="shared" si="5"/>
        <v>MEDIUM</v>
      </c>
      <c r="AA212" s="147">
        <f t="array" ref="AA212">XLOOKUP(R212,'Refrence Data'!B:B,'Refrence Data'!AC:AC)</f>
        <v>0.672438</v>
      </c>
      <c r="AB212" s="147">
        <f t="array" ref="AB212">IFERROR(XLOOKUP(R212,'Refrence Data'!B:B,'Refrence Data'!Y:Y),"NA")</f>
        <v>0.903096</v>
      </c>
      <c r="AC212" s="95" t="str">
        <f t="shared" si="6"/>
        <v>High</v>
      </c>
      <c r="AD212" s="95" t="str">
        <f t="shared" si="7"/>
        <v>Width</v>
      </c>
      <c r="AE212" s="95" t="str">
        <f t="shared" si="8"/>
        <v>MEDIUMHighWidth</v>
      </c>
      <c r="AF212" s="95">
        <f t="array" ref="AF212">XLOOKUP(AE212,'Category Saturation'!A:A,'Category Saturation'!E:E)</f>
        <v>10</v>
      </c>
      <c r="AH212" s="148">
        <f t="array" ref="AH212">iferror(XLOOKUP(R212,'New Launch Success Rate'!A:A,'New Launch Success Rate'!F:F),"NA")</f>
        <v>0.8</v>
      </c>
      <c r="AI212" s="95">
        <f t="shared" si="9"/>
        <v>100</v>
      </c>
      <c r="AK212" s="149">
        <f t="shared" si="10"/>
        <v>13</v>
      </c>
      <c r="AM212" s="150">
        <f t="array" ref="AM212">XLOOKUP(R212,'Non Moving'!C:C,'Non Moving'!I:I)/100</f>
        <v>0.448</v>
      </c>
      <c r="AN212" s="151">
        <f t="shared" si="11"/>
        <v>0</v>
      </c>
      <c r="AO212" s="150">
        <f t="array" ref="AO212">XLOOKUP(R212,'Non Moving'!C:C,'Non Moving'!F:F)/100</f>
        <v>0.498</v>
      </c>
      <c r="AP212" s="151">
        <f t="shared" si="12"/>
        <v>0</v>
      </c>
      <c r="AR212" s="95">
        <f t="shared" si="13"/>
        <v>0</v>
      </c>
      <c r="AT212" s="95">
        <f t="shared" si="14"/>
        <v>0</v>
      </c>
      <c r="AU212" s="95">
        <f t="array" ref="AU212">iferror(XLOOKUP(J212,Monetization!A:A,Monetization!B:B),25)</f>
        <v>25</v>
      </c>
      <c r="AW212" s="95">
        <f t="shared" si="15"/>
        <v>7.5</v>
      </c>
      <c r="AY212" s="149">
        <f t="shared" si="16"/>
        <v>6.7</v>
      </c>
      <c r="AZ212" s="95" t="str">
        <f t="shared" si="17"/>
        <v>0-25</v>
      </c>
      <c r="BA212" s="95" t="str">
        <f t="shared" si="18"/>
        <v>0-25</v>
      </c>
      <c r="BB212" s="152">
        <f t="array" ref="BB212">iferror(XLOOKUP(C212,Sheet9!A:A,Sheet9!D:D),0)</f>
        <v>0</v>
      </c>
      <c r="BC212" s="2">
        <v>1.0</v>
      </c>
      <c r="BD212" s="95">
        <f t="array" ref="BD212">XLOOKUP(C212,ROS!C:C,ROS!O:O)</f>
        <v>0</v>
      </c>
      <c r="BE212" s="147" t="str">
        <f t="array" ref="BE212">IFERROR(XLOOKUP(C212,ROS!T:T,ROS!U:U),"")</f>
        <v/>
      </c>
      <c r="BF212" s="147">
        <f t="array" ref="BF212">XLOOKUP(R212,'Refrence Data'!B:B,'Refrence Data'!T:T)</f>
        <v>0.297849</v>
      </c>
      <c r="BG212" s="95">
        <f t="shared" si="19"/>
        <v>0</v>
      </c>
      <c r="BH212" s="4" t="str">
        <f t="shared" si="20"/>
        <v/>
      </c>
      <c r="BO212" s="153"/>
      <c r="BP212" s="153" t="str">
        <f t="shared" si="26"/>
        <v/>
      </c>
      <c r="BQ212" s="153"/>
      <c r="BR212" s="153"/>
      <c r="BS212" s="153"/>
    </row>
    <row r="213">
      <c r="A213" s="171">
        <v>7.000010014565E12</v>
      </c>
      <c r="B213" s="171" t="s">
        <v>3521</v>
      </c>
      <c r="C213" s="137" t="s">
        <v>1157</v>
      </c>
      <c r="D213" s="138" t="s">
        <v>1130</v>
      </c>
      <c r="E213" s="139" t="s">
        <v>1135</v>
      </c>
      <c r="F213" s="140" t="s">
        <v>3605</v>
      </c>
      <c r="G213" s="141">
        <v>1.0</v>
      </c>
      <c r="H213" s="142">
        <v>5.245855</v>
      </c>
      <c r="I213" s="143" t="s">
        <v>111</v>
      </c>
      <c r="J213" s="83"/>
      <c r="K213" s="174">
        <v>1095.0</v>
      </c>
      <c r="R213" s="145" t="str">
        <f t="shared" si="1"/>
        <v>Seasonal Celebrations_5-10</v>
      </c>
      <c r="S213" s="146" t="str">
        <f t="shared" si="2"/>
        <v>5-10</v>
      </c>
      <c r="T213" s="95" t="str">
        <f t="array" ref="T213">XLOOKUP(C213,'Depth or Width'!P:P,'Depth or Width'!V:V)</f>
        <v>Width</v>
      </c>
      <c r="U213" s="93">
        <f t="shared" si="3"/>
        <v>5</v>
      </c>
      <c r="V213" s="147">
        <f t="array" ref="V213">iferror(XLOOKUP(R213,'Refrence Data'!B:B,'Refrence Data'!W:W),"NA")</f>
        <v>0.832258</v>
      </c>
      <c r="W213" s="95">
        <f t="shared" si="4"/>
        <v>0</v>
      </c>
      <c r="Y213" s="148">
        <f t="array" ref="Y213">IFERROR(XLOOKUP(R213,'Refrence Data'!B:B,'Refrence Data'!N:N),"NA")</f>
        <v>0.647568</v>
      </c>
      <c r="Z213" s="95" t="str">
        <f t="shared" si="5"/>
        <v>MEDIUM</v>
      </c>
      <c r="AA213" s="147">
        <f t="array" ref="AA213">XLOOKUP(R213,'Refrence Data'!B:B,'Refrence Data'!AC:AC)</f>
        <v>0.672438</v>
      </c>
      <c r="AB213" s="147">
        <f t="array" ref="AB213">IFERROR(XLOOKUP(R213,'Refrence Data'!B:B,'Refrence Data'!Y:Y),"NA")</f>
        <v>0.903096</v>
      </c>
      <c r="AC213" s="95" t="str">
        <f t="shared" si="6"/>
        <v>High</v>
      </c>
      <c r="AD213" s="95" t="str">
        <f t="shared" si="7"/>
        <v>Width</v>
      </c>
      <c r="AE213" s="95" t="str">
        <f t="shared" si="8"/>
        <v>MEDIUMHighWidth</v>
      </c>
      <c r="AF213" s="95">
        <f t="array" ref="AF213">XLOOKUP(AE213,'Category Saturation'!A:A,'Category Saturation'!E:E)</f>
        <v>10</v>
      </c>
      <c r="AH213" s="148">
        <f t="array" ref="AH213">iferror(XLOOKUP(R213,'New Launch Success Rate'!A:A,'New Launch Success Rate'!F:F),"NA")</f>
        <v>0.8</v>
      </c>
      <c r="AI213" s="95">
        <f t="shared" si="9"/>
        <v>100</v>
      </c>
      <c r="AK213" s="149">
        <f t="shared" si="10"/>
        <v>13</v>
      </c>
      <c r="AM213" s="150">
        <f t="array" ref="AM213">XLOOKUP(R213,'Non Moving'!C:C,'Non Moving'!I:I)/100</f>
        <v>0.448</v>
      </c>
      <c r="AN213" s="151">
        <f t="shared" si="11"/>
        <v>0</v>
      </c>
      <c r="AO213" s="150">
        <f t="array" ref="AO213">XLOOKUP(R213,'Non Moving'!C:C,'Non Moving'!F:F)/100</f>
        <v>0.498</v>
      </c>
      <c r="AP213" s="151">
        <f t="shared" si="12"/>
        <v>0</v>
      </c>
      <c r="AR213" s="95">
        <f t="shared" si="13"/>
        <v>0</v>
      </c>
      <c r="AT213" s="95">
        <f t="shared" si="14"/>
        <v>0</v>
      </c>
      <c r="AU213" s="95">
        <f t="array" ref="AU213">iferror(XLOOKUP(J213,Monetization!A:A,Monetization!B:B),25)</f>
        <v>25</v>
      </c>
      <c r="AW213" s="95">
        <f t="shared" si="15"/>
        <v>7.5</v>
      </c>
      <c r="AY213" s="149">
        <f t="shared" si="16"/>
        <v>6.7</v>
      </c>
      <c r="AZ213" s="95" t="str">
        <f t="shared" si="17"/>
        <v>0-25</v>
      </c>
      <c r="BA213" s="95" t="str">
        <f t="shared" si="18"/>
        <v>0-25</v>
      </c>
      <c r="BB213" s="152">
        <f t="array" ref="BB213">iferror(XLOOKUP(C213,Sheet9!A:A,Sheet9!D:D),0)</f>
        <v>0</v>
      </c>
      <c r="BC213" s="2">
        <v>1.0</v>
      </c>
      <c r="BD213" s="95">
        <f t="array" ref="BD213">XLOOKUP(C213,ROS!C:C,ROS!O:O)</f>
        <v>0</v>
      </c>
      <c r="BE213" s="147" t="str">
        <f t="array" ref="BE213">IFERROR(XLOOKUP(C213,ROS!T:T,ROS!U:U),"")</f>
        <v/>
      </c>
      <c r="BF213" s="147">
        <f t="array" ref="BF213">XLOOKUP(R213,'Refrence Data'!B:B,'Refrence Data'!T:T)</f>
        <v>0.297849</v>
      </c>
      <c r="BG213" s="95">
        <f t="shared" si="19"/>
        <v>0</v>
      </c>
      <c r="BH213" s="4" t="str">
        <f t="shared" si="20"/>
        <v/>
      </c>
      <c r="BO213" s="153"/>
      <c r="BP213" s="153" t="str">
        <f t="shared" si="26"/>
        <v/>
      </c>
      <c r="BQ213" s="153"/>
      <c r="BR213" s="153"/>
      <c r="BS213" s="153"/>
    </row>
    <row r="214">
      <c r="A214" s="171">
        <v>7.00001001309E12</v>
      </c>
      <c r="B214" s="171" t="s">
        <v>3521</v>
      </c>
      <c r="C214" s="137" t="s">
        <v>1158</v>
      </c>
      <c r="D214" s="138" t="s">
        <v>1130</v>
      </c>
      <c r="E214" s="139" t="s">
        <v>1135</v>
      </c>
      <c r="F214" s="140" t="s">
        <v>3605</v>
      </c>
      <c r="G214" s="141">
        <v>1.0</v>
      </c>
      <c r="H214" s="142">
        <v>10.24191</v>
      </c>
      <c r="I214" s="143" t="s">
        <v>111</v>
      </c>
      <c r="J214" s="83"/>
      <c r="K214" s="174">
        <v>1095.0</v>
      </c>
      <c r="R214" s="145" t="str">
        <f t="shared" si="1"/>
        <v>Seasonal Celebrations_10-15</v>
      </c>
      <c r="S214" s="146" t="str">
        <f t="shared" si="2"/>
        <v>10-15</v>
      </c>
      <c r="T214" s="95" t="str">
        <f t="array" ref="T214">XLOOKUP(C214,'Depth or Width'!P:P,'Depth or Width'!V:V)</f>
        <v>Width</v>
      </c>
      <c r="U214" s="93">
        <f t="shared" si="3"/>
        <v>5</v>
      </c>
      <c r="V214" s="147">
        <f t="array" ref="V214">iferror(XLOOKUP(R214,'Refrence Data'!B:B,'Refrence Data'!W:W),"NA")</f>
        <v>0.765152</v>
      </c>
      <c r="W214" s="95">
        <f t="shared" si="4"/>
        <v>0</v>
      </c>
      <c r="Y214" s="148">
        <f t="array" ref="Y214">IFERROR(XLOOKUP(R214,'Refrence Data'!B:B,'Refrence Data'!N:N),"NA")</f>
        <v>0</v>
      </c>
      <c r="Z214" s="95" t="str">
        <f t="shared" si="5"/>
        <v>LOW</v>
      </c>
      <c r="AA214" s="147">
        <f t="array" ref="AA214">XLOOKUP(R214,'Refrence Data'!B:B,'Refrence Data'!AC:AC)</f>
        <v>0.672438</v>
      </c>
      <c r="AB214" s="147">
        <f t="array" ref="AB214">IFERROR(XLOOKUP(R214,'Refrence Data'!B:B,'Refrence Data'!Y:Y),"NA")</f>
        <v>0.399242</v>
      </c>
      <c r="AC214" s="95" t="str">
        <f t="shared" si="6"/>
        <v>High</v>
      </c>
      <c r="AD214" s="95" t="str">
        <f t="shared" si="7"/>
        <v>Width</v>
      </c>
      <c r="AE214" s="95" t="str">
        <f t="shared" si="8"/>
        <v>LOWHighWidth</v>
      </c>
      <c r="AF214" s="95">
        <f t="array" ref="AF214">XLOOKUP(AE214,'Category Saturation'!A:A,'Category Saturation'!E:E)</f>
        <v>100</v>
      </c>
      <c r="AH214" s="148">
        <f t="array" ref="AH214">iferror(XLOOKUP(R214,'New Launch Success Rate'!A:A,'New Launch Success Rate'!F:F),"NA")</f>
        <v>1</v>
      </c>
      <c r="AI214" s="95">
        <f t="shared" si="9"/>
        <v>100</v>
      </c>
      <c r="AK214" s="149">
        <f t="shared" si="10"/>
        <v>40</v>
      </c>
      <c r="AM214" s="150">
        <f t="array" ref="AM214">XLOOKUP(R214,'Non Moving'!C:C,'Non Moving'!I:I)/100</f>
        <v>0.366</v>
      </c>
      <c r="AN214" s="151">
        <f t="shared" si="11"/>
        <v>0</v>
      </c>
      <c r="AO214" s="150">
        <f t="array" ref="AO214">XLOOKUP(R214,'Non Moving'!C:C,'Non Moving'!F:F)/100</f>
        <v>0.427</v>
      </c>
      <c r="AP214" s="151">
        <f t="shared" si="12"/>
        <v>50</v>
      </c>
      <c r="AR214" s="95">
        <f t="shared" si="13"/>
        <v>25</v>
      </c>
      <c r="AT214" s="95">
        <f t="shared" si="14"/>
        <v>0</v>
      </c>
      <c r="AU214" s="95">
        <f t="array" ref="AU214">iferror(XLOOKUP(J214,Monetization!A:A,Monetization!B:B),25)</f>
        <v>25</v>
      </c>
      <c r="AW214" s="95">
        <f t="shared" si="15"/>
        <v>7.5</v>
      </c>
      <c r="AY214" s="149">
        <f t="shared" si="16"/>
        <v>27.5</v>
      </c>
      <c r="AZ214" s="95" t="str">
        <f t="shared" si="17"/>
        <v>25-50</v>
      </c>
      <c r="BA214" s="95" t="str">
        <f t="shared" si="18"/>
        <v>25-50</v>
      </c>
      <c r="BB214" s="152">
        <f t="array" ref="BB214">iferror(XLOOKUP(C214,Sheet9!A:A,Sheet9!D:D),0)</f>
        <v>0</v>
      </c>
      <c r="BC214" s="2">
        <v>1.0</v>
      </c>
      <c r="BD214" s="95">
        <f t="array" ref="BD214">XLOOKUP(C214,ROS!C:C,ROS!O:O)</f>
        <v>0</v>
      </c>
      <c r="BE214" s="147" t="str">
        <f t="array" ref="BE214">IFERROR(XLOOKUP(C214,ROS!T:T,ROS!U:U),"")</f>
        <v/>
      </c>
      <c r="BF214" s="147">
        <f t="array" ref="BF214">XLOOKUP(R214,'Refrence Data'!B:B,'Refrence Data'!T:T)</f>
        <v>0.033333</v>
      </c>
      <c r="BG214" s="95">
        <f t="shared" si="19"/>
        <v>0</v>
      </c>
      <c r="BH214" s="4" t="str">
        <f t="shared" si="20"/>
        <v/>
      </c>
      <c r="BO214" s="153"/>
      <c r="BP214" s="153" t="str">
        <f t="shared" si="26"/>
        <v/>
      </c>
      <c r="BQ214" s="153"/>
      <c r="BR214" s="153"/>
      <c r="BS214" s="153"/>
    </row>
    <row r="215">
      <c r="A215" s="171">
        <v>6.95344051263E12</v>
      </c>
      <c r="B215" s="171" t="s">
        <v>3521</v>
      </c>
      <c r="C215" s="137" t="s">
        <v>1159</v>
      </c>
      <c r="D215" s="138" t="s">
        <v>1130</v>
      </c>
      <c r="E215" s="139" t="s">
        <v>1135</v>
      </c>
      <c r="F215" s="140" t="s">
        <v>3605</v>
      </c>
      <c r="G215" s="141">
        <v>1.0</v>
      </c>
      <c r="H215" s="142">
        <v>10.24191</v>
      </c>
      <c r="I215" s="143" t="s">
        <v>111</v>
      </c>
      <c r="J215" s="83"/>
      <c r="K215" s="174">
        <v>1095.0</v>
      </c>
      <c r="R215" s="145" t="str">
        <f t="shared" si="1"/>
        <v>Seasonal Celebrations_10-15</v>
      </c>
      <c r="S215" s="146" t="str">
        <f t="shared" si="2"/>
        <v>10-15</v>
      </c>
      <c r="T215" s="95" t="str">
        <f t="array" ref="T215">XLOOKUP(C215,'Depth or Width'!P:P,'Depth or Width'!V:V)</f>
        <v>Width</v>
      </c>
      <c r="U215" s="93">
        <f t="shared" si="3"/>
        <v>5</v>
      </c>
      <c r="V215" s="147">
        <f t="array" ref="V215">iferror(XLOOKUP(R215,'Refrence Data'!B:B,'Refrence Data'!W:W),"NA")</f>
        <v>0.765152</v>
      </c>
      <c r="W215" s="95">
        <f t="shared" si="4"/>
        <v>0</v>
      </c>
      <c r="Y215" s="148">
        <f t="array" ref="Y215">IFERROR(XLOOKUP(R215,'Refrence Data'!B:B,'Refrence Data'!N:N),"NA")</f>
        <v>0</v>
      </c>
      <c r="Z215" s="95" t="str">
        <f t="shared" si="5"/>
        <v>LOW</v>
      </c>
      <c r="AA215" s="147">
        <f t="array" ref="AA215">XLOOKUP(R215,'Refrence Data'!B:B,'Refrence Data'!AC:AC)</f>
        <v>0.672438</v>
      </c>
      <c r="AB215" s="147">
        <f t="array" ref="AB215">IFERROR(XLOOKUP(R215,'Refrence Data'!B:B,'Refrence Data'!Y:Y),"NA")</f>
        <v>0.399242</v>
      </c>
      <c r="AC215" s="95" t="str">
        <f t="shared" si="6"/>
        <v>High</v>
      </c>
      <c r="AD215" s="95" t="str">
        <f t="shared" si="7"/>
        <v>Width</v>
      </c>
      <c r="AE215" s="95" t="str">
        <f t="shared" si="8"/>
        <v>LOWHighWidth</v>
      </c>
      <c r="AF215" s="95">
        <f t="array" ref="AF215">XLOOKUP(AE215,'Category Saturation'!A:A,'Category Saturation'!E:E)</f>
        <v>100</v>
      </c>
      <c r="AH215" s="148">
        <f t="array" ref="AH215">iferror(XLOOKUP(R215,'New Launch Success Rate'!A:A,'New Launch Success Rate'!F:F),"NA")</f>
        <v>1</v>
      </c>
      <c r="AI215" s="95">
        <f t="shared" si="9"/>
        <v>100</v>
      </c>
      <c r="AK215" s="149">
        <f t="shared" si="10"/>
        <v>40</v>
      </c>
      <c r="AM215" s="150">
        <f t="array" ref="AM215">XLOOKUP(R215,'Non Moving'!C:C,'Non Moving'!I:I)/100</f>
        <v>0.366</v>
      </c>
      <c r="AN215" s="151">
        <f t="shared" si="11"/>
        <v>0</v>
      </c>
      <c r="AO215" s="150">
        <f t="array" ref="AO215">XLOOKUP(R215,'Non Moving'!C:C,'Non Moving'!F:F)/100</f>
        <v>0.427</v>
      </c>
      <c r="AP215" s="151">
        <f t="shared" si="12"/>
        <v>50</v>
      </c>
      <c r="AR215" s="95">
        <f t="shared" si="13"/>
        <v>25</v>
      </c>
      <c r="AT215" s="95">
        <f t="shared" si="14"/>
        <v>0</v>
      </c>
      <c r="AU215" s="95">
        <f t="array" ref="AU215">iferror(XLOOKUP(J215,Monetization!A:A,Monetization!B:B),25)</f>
        <v>25</v>
      </c>
      <c r="AW215" s="95">
        <f t="shared" si="15"/>
        <v>7.5</v>
      </c>
      <c r="AY215" s="149">
        <f t="shared" si="16"/>
        <v>27.5</v>
      </c>
      <c r="AZ215" s="95" t="str">
        <f t="shared" si="17"/>
        <v>25-50</v>
      </c>
      <c r="BA215" s="95" t="str">
        <f t="shared" si="18"/>
        <v>25-50</v>
      </c>
      <c r="BB215" s="152">
        <f t="array" ref="BB215">iferror(XLOOKUP(C215,Sheet9!A:A,Sheet9!D:D),0)</f>
        <v>0</v>
      </c>
      <c r="BC215" s="2">
        <v>1.0</v>
      </c>
      <c r="BD215" s="95">
        <f t="array" ref="BD215">XLOOKUP(C215,ROS!C:C,ROS!O:O)</f>
        <v>0</v>
      </c>
      <c r="BE215" s="147" t="str">
        <f t="array" ref="BE215">IFERROR(XLOOKUP(C215,ROS!T:T,ROS!U:U),"")</f>
        <v/>
      </c>
      <c r="BF215" s="147">
        <f t="array" ref="BF215">XLOOKUP(R215,'Refrence Data'!B:B,'Refrence Data'!T:T)</f>
        <v>0.033333</v>
      </c>
      <c r="BG215" s="95">
        <f t="shared" si="19"/>
        <v>0</v>
      </c>
      <c r="BH215" s="4" t="str">
        <f t="shared" si="20"/>
        <v/>
      </c>
      <c r="BO215" s="153"/>
      <c r="BP215" s="153" t="str">
        <f t="shared" si="26"/>
        <v/>
      </c>
      <c r="BQ215" s="153"/>
      <c r="BR215" s="153"/>
      <c r="BS215" s="153"/>
    </row>
    <row r="216">
      <c r="A216" s="171">
        <v>6.953440512623E12</v>
      </c>
      <c r="B216" s="171" t="s">
        <v>3521</v>
      </c>
      <c r="C216" s="137" t="s">
        <v>1160</v>
      </c>
      <c r="D216" s="138" t="s">
        <v>1130</v>
      </c>
      <c r="E216" s="139" t="s">
        <v>1135</v>
      </c>
      <c r="F216" s="140" t="s">
        <v>3605</v>
      </c>
      <c r="G216" s="141">
        <v>1.0</v>
      </c>
      <c r="H216" s="142">
        <v>8.743091</v>
      </c>
      <c r="I216" s="143" t="s">
        <v>111</v>
      </c>
      <c r="J216" s="83"/>
      <c r="K216" s="174">
        <v>1095.0</v>
      </c>
      <c r="R216" s="145" t="str">
        <f t="shared" si="1"/>
        <v>Seasonal Celebrations_5-10</v>
      </c>
      <c r="S216" s="146" t="str">
        <f t="shared" si="2"/>
        <v>5-10</v>
      </c>
      <c r="T216" s="95" t="str">
        <f t="array" ref="T216">XLOOKUP(C216,'Depth or Width'!P:P,'Depth or Width'!V:V)</f>
        <v>Width</v>
      </c>
      <c r="U216" s="93">
        <f t="shared" si="3"/>
        <v>5</v>
      </c>
      <c r="V216" s="147">
        <f t="array" ref="V216">iferror(XLOOKUP(R216,'Refrence Data'!B:B,'Refrence Data'!W:W),"NA")</f>
        <v>0.832258</v>
      </c>
      <c r="W216" s="95">
        <f t="shared" si="4"/>
        <v>0</v>
      </c>
      <c r="Y216" s="148">
        <f t="array" ref="Y216">IFERROR(XLOOKUP(R216,'Refrence Data'!B:B,'Refrence Data'!N:N),"NA")</f>
        <v>0.647568</v>
      </c>
      <c r="Z216" s="95" t="str">
        <f t="shared" si="5"/>
        <v>MEDIUM</v>
      </c>
      <c r="AA216" s="147">
        <f t="array" ref="AA216">XLOOKUP(R216,'Refrence Data'!B:B,'Refrence Data'!AC:AC)</f>
        <v>0.672438</v>
      </c>
      <c r="AB216" s="147">
        <f t="array" ref="AB216">IFERROR(XLOOKUP(R216,'Refrence Data'!B:B,'Refrence Data'!Y:Y),"NA")</f>
        <v>0.903096</v>
      </c>
      <c r="AC216" s="95" t="str">
        <f t="shared" si="6"/>
        <v>High</v>
      </c>
      <c r="AD216" s="95" t="str">
        <f t="shared" si="7"/>
        <v>Width</v>
      </c>
      <c r="AE216" s="95" t="str">
        <f t="shared" si="8"/>
        <v>MEDIUMHighWidth</v>
      </c>
      <c r="AF216" s="95">
        <f t="array" ref="AF216">XLOOKUP(AE216,'Category Saturation'!A:A,'Category Saturation'!E:E)</f>
        <v>10</v>
      </c>
      <c r="AH216" s="148">
        <f t="array" ref="AH216">iferror(XLOOKUP(R216,'New Launch Success Rate'!A:A,'New Launch Success Rate'!F:F),"NA")</f>
        <v>0.8</v>
      </c>
      <c r="AI216" s="95">
        <f t="shared" si="9"/>
        <v>100</v>
      </c>
      <c r="AK216" s="149">
        <f t="shared" si="10"/>
        <v>13</v>
      </c>
      <c r="AM216" s="150">
        <f t="array" ref="AM216">XLOOKUP(R216,'Non Moving'!C:C,'Non Moving'!I:I)/100</f>
        <v>0.448</v>
      </c>
      <c r="AN216" s="151">
        <f t="shared" si="11"/>
        <v>0</v>
      </c>
      <c r="AO216" s="150">
        <f t="array" ref="AO216">XLOOKUP(R216,'Non Moving'!C:C,'Non Moving'!F:F)/100</f>
        <v>0.498</v>
      </c>
      <c r="AP216" s="151">
        <f t="shared" si="12"/>
        <v>0</v>
      </c>
      <c r="AR216" s="95">
        <f t="shared" si="13"/>
        <v>0</v>
      </c>
      <c r="AT216" s="95">
        <f t="shared" si="14"/>
        <v>0</v>
      </c>
      <c r="AU216" s="95">
        <f t="array" ref="AU216">iferror(XLOOKUP(J216,Monetization!A:A,Monetization!B:B),25)</f>
        <v>25</v>
      </c>
      <c r="AW216" s="95">
        <f t="shared" si="15"/>
        <v>7.5</v>
      </c>
      <c r="AY216" s="149">
        <f t="shared" si="16"/>
        <v>6.7</v>
      </c>
      <c r="AZ216" s="95" t="str">
        <f t="shared" si="17"/>
        <v>0-25</v>
      </c>
      <c r="BA216" s="95" t="str">
        <f t="shared" si="18"/>
        <v>0-25</v>
      </c>
      <c r="BB216" s="152">
        <f t="array" ref="BB216">iferror(XLOOKUP(C216,Sheet9!A:A,Sheet9!D:D),0)</f>
        <v>0</v>
      </c>
      <c r="BC216" s="2">
        <v>1.0</v>
      </c>
      <c r="BD216" s="95">
        <f t="array" ref="BD216">XLOOKUP(C216,ROS!C:C,ROS!O:O)</f>
        <v>0</v>
      </c>
      <c r="BE216" s="147" t="str">
        <f t="array" ref="BE216">IFERROR(XLOOKUP(C216,ROS!T:T,ROS!U:U),"")</f>
        <v/>
      </c>
      <c r="BF216" s="147">
        <f t="array" ref="BF216">XLOOKUP(R216,'Refrence Data'!B:B,'Refrence Data'!T:T)</f>
        <v>0.297849</v>
      </c>
      <c r="BG216" s="95">
        <f t="shared" si="19"/>
        <v>0</v>
      </c>
      <c r="BH216" s="4" t="str">
        <f t="shared" si="20"/>
        <v/>
      </c>
      <c r="BO216" s="153"/>
      <c r="BP216" s="153" t="str">
        <f t="shared" si="26"/>
        <v/>
      </c>
      <c r="BQ216" s="153"/>
      <c r="BR216" s="153"/>
      <c r="BS216" s="153"/>
    </row>
    <row r="217">
      <c r="A217" s="171">
        <v>6.291108541524E12</v>
      </c>
      <c r="B217" s="171" t="s">
        <v>3521</v>
      </c>
      <c r="C217" s="137" t="s">
        <v>1161</v>
      </c>
      <c r="D217" s="138" t="s">
        <v>1130</v>
      </c>
      <c r="E217" s="139" t="s">
        <v>1135</v>
      </c>
      <c r="F217" s="140" t="s">
        <v>3582</v>
      </c>
      <c r="G217" s="141">
        <v>1.0</v>
      </c>
      <c r="H217" s="142">
        <v>4.528961</v>
      </c>
      <c r="I217" s="143" t="s">
        <v>112</v>
      </c>
      <c r="J217" s="83"/>
      <c r="K217" s="174">
        <v>1095.0</v>
      </c>
      <c r="R217" s="145" t="str">
        <f t="shared" si="1"/>
        <v>Seasonal Celebrations_0-5</v>
      </c>
      <c r="S217" s="146" t="str">
        <f t="shared" si="2"/>
        <v>0-5</v>
      </c>
      <c r="T217" s="95" t="str">
        <f t="array" ref="T217">XLOOKUP(C217,'Depth or Width'!P:P,'Depth or Width'!V:V)</f>
        <v>Depth</v>
      </c>
      <c r="U217" s="93">
        <f t="shared" si="3"/>
        <v>5</v>
      </c>
      <c r="V217" s="147">
        <f t="array" ref="V217">iferror(XLOOKUP(R217,'Refrence Data'!B:B,'Refrence Data'!W:W),"NA")</f>
        <v>1.2834</v>
      </c>
      <c r="W217" s="95">
        <f t="shared" si="4"/>
        <v>0</v>
      </c>
      <c r="Y217" s="148">
        <f t="array" ref="Y217">IFERROR(XLOOKUP(R217,'Refrence Data'!B:B,'Refrence Data'!N:N),"NA")</f>
        <v>0.863323</v>
      </c>
      <c r="Z217" s="95" t="str">
        <f t="shared" si="5"/>
        <v>HIGH</v>
      </c>
      <c r="AA217" s="147">
        <f t="array" ref="AA217">XLOOKUP(R217,'Refrence Data'!B:B,'Refrence Data'!AC:AC)</f>
        <v>0.672438</v>
      </c>
      <c r="AB217" s="147">
        <f t="array" ref="AB217">IFERROR(XLOOKUP(R217,'Refrence Data'!B:B,'Refrence Data'!Y:Y),"NA")</f>
        <v>1.01959</v>
      </c>
      <c r="AC217" s="95" t="str">
        <f t="shared" si="6"/>
        <v>High</v>
      </c>
      <c r="AD217" s="95" t="str">
        <f t="shared" si="7"/>
        <v>Depth</v>
      </c>
      <c r="AE217" s="95" t="str">
        <f t="shared" si="8"/>
        <v>HIGHHighDepth</v>
      </c>
      <c r="AF217" s="95">
        <f t="array" ref="AF217">XLOOKUP(AE217,'Category Saturation'!A:A,'Category Saturation'!E:E)</f>
        <v>0</v>
      </c>
      <c r="AH217" s="148">
        <f t="array" ref="AH217">iferror(XLOOKUP(R217,'New Launch Success Rate'!A:A,'New Launch Success Rate'!F:F),"NA")</f>
        <v>0.5355</v>
      </c>
      <c r="AI217" s="95">
        <f t="shared" si="9"/>
        <v>50</v>
      </c>
      <c r="AK217" s="149">
        <f t="shared" si="10"/>
        <v>5</v>
      </c>
      <c r="AM217" s="150">
        <f t="array" ref="AM217">XLOOKUP(R217,'Non Moving'!C:C,'Non Moving'!I:I)/100</f>
        <v>0.22</v>
      </c>
      <c r="AN217" s="151">
        <f t="shared" si="11"/>
        <v>0</v>
      </c>
      <c r="AO217" s="150">
        <f t="array" ref="AO217">XLOOKUP(R217,'Non Moving'!C:C,'Non Moving'!F:F)/100</f>
        <v>0.44</v>
      </c>
      <c r="AP217" s="151">
        <f t="shared" si="12"/>
        <v>50</v>
      </c>
      <c r="AR217" s="95">
        <f t="shared" si="13"/>
        <v>25</v>
      </c>
      <c r="AT217" s="95">
        <f t="shared" si="14"/>
        <v>100</v>
      </c>
      <c r="AU217" s="95">
        <f t="array" ref="AU217">iferror(XLOOKUP(J217,Monetization!A:A,Monetization!B:B),25)</f>
        <v>25</v>
      </c>
      <c r="AW217" s="95">
        <f t="shared" si="15"/>
        <v>77.5</v>
      </c>
      <c r="AY217" s="149">
        <f t="shared" si="16"/>
        <v>27.5</v>
      </c>
      <c r="AZ217" s="95" t="str">
        <f t="shared" si="17"/>
        <v>25-50</v>
      </c>
      <c r="BA217" s="95" t="str">
        <f t="shared" si="18"/>
        <v>0-25</v>
      </c>
      <c r="BB217" s="152">
        <f t="array" ref="BB217">iferror(XLOOKUP(C217,Sheet9!A:A,Sheet9!D:D),0)</f>
        <v>0.07</v>
      </c>
      <c r="BC217" s="2">
        <v>1.0</v>
      </c>
      <c r="BD217" s="95">
        <f t="array" ref="BD217">XLOOKUP(C217,ROS!C:C,ROS!O:O)</f>
        <v>1.142857</v>
      </c>
      <c r="BE217" s="147">
        <f t="array" ref="BE217">IFERROR(XLOOKUP(C217,ROS!T:T,ROS!U:U),"")</f>
        <v>0</v>
      </c>
      <c r="BF217" s="147">
        <f t="array" ref="BF217">XLOOKUP(R217,'Refrence Data'!B:B,'Refrence Data'!T:T)</f>
        <v>0.696774</v>
      </c>
      <c r="BG217" s="95">
        <f t="shared" si="19"/>
        <v>1</v>
      </c>
      <c r="BH217" s="4" t="str">
        <f t="shared" si="20"/>
        <v/>
      </c>
      <c r="BO217" s="153"/>
      <c r="BP217" s="153" t="str">
        <f t="shared" si="26"/>
        <v/>
      </c>
      <c r="BQ217" s="153"/>
      <c r="BR217" s="153"/>
      <c r="BS217" s="153"/>
    </row>
    <row r="218">
      <c r="A218" s="171">
        <v>6.291108541517E12</v>
      </c>
      <c r="B218" s="171" t="s">
        <v>3521</v>
      </c>
      <c r="C218" s="137" t="s">
        <v>1162</v>
      </c>
      <c r="D218" s="138" t="s">
        <v>1130</v>
      </c>
      <c r="E218" s="139" t="s">
        <v>1135</v>
      </c>
      <c r="F218" s="140" t="s">
        <v>3582</v>
      </c>
      <c r="G218" s="141">
        <v>1.0</v>
      </c>
      <c r="H218" s="142">
        <v>4.54616</v>
      </c>
      <c r="I218" s="143" t="s">
        <v>112</v>
      </c>
      <c r="J218" s="83"/>
      <c r="K218" s="174">
        <v>1095.0</v>
      </c>
      <c r="R218" s="145" t="str">
        <f t="shared" si="1"/>
        <v>Seasonal Celebrations_0-5</v>
      </c>
      <c r="S218" s="146" t="str">
        <f t="shared" si="2"/>
        <v>0-5</v>
      </c>
      <c r="T218" s="95" t="str">
        <f t="array" ref="T218">XLOOKUP(C218,'Depth or Width'!P:P,'Depth or Width'!V:V)</f>
        <v>Depth</v>
      </c>
      <c r="U218" s="93">
        <f t="shared" si="3"/>
        <v>5</v>
      </c>
      <c r="V218" s="147">
        <f t="array" ref="V218">iferror(XLOOKUP(R218,'Refrence Data'!B:B,'Refrence Data'!W:W),"NA")</f>
        <v>1.2834</v>
      </c>
      <c r="W218" s="95">
        <f t="shared" si="4"/>
        <v>0</v>
      </c>
      <c r="Y218" s="148">
        <f t="array" ref="Y218">IFERROR(XLOOKUP(R218,'Refrence Data'!B:B,'Refrence Data'!N:N),"NA")</f>
        <v>0.863323</v>
      </c>
      <c r="Z218" s="95" t="str">
        <f t="shared" si="5"/>
        <v>HIGH</v>
      </c>
      <c r="AA218" s="147">
        <f t="array" ref="AA218">XLOOKUP(R218,'Refrence Data'!B:B,'Refrence Data'!AC:AC)</f>
        <v>0.672438</v>
      </c>
      <c r="AB218" s="147">
        <f t="array" ref="AB218">IFERROR(XLOOKUP(R218,'Refrence Data'!B:B,'Refrence Data'!Y:Y),"NA")</f>
        <v>1.01959</v>
      </c>
      <c r="AC218" s="95" t="str">
        <f t="shared" si="6"/>
        <v>High</v>
      </c>
      <c r="AD218" s="95" t="str">
        <f t="shared" si="7"/>
        <v>Depth</v>
      </c>
      <c r="AE218" s="95" t="str">
        <f t="shared" si="8"/>
        <v>HIGHHighDepth</v>
      </c>
      <c r="AF218" s="95">
        <f t="array" ref="AF218">XLOOKUP(AE218,'Category Saturation'!A:A,'Category Saturation'!E:E)</f>
        <v>0</v>
      </c>
      <c r="AH218" s="148">
        <f t="array" ref="AH218">iferror(XLOOKUP(R218,'New Launch Success Rate'!A:A,'New Launch Success Rate'!F:F),"NA")</f>
        <v>0.5355</v>
      </c>
      <c r="AI218" s="95">
        <f t="shared" si="9"/>
        <v>50</v>
      </c>
      <c r="AK218" s="149">
        <f t="shared" si="10"/>
        <v>5</v>
      </c>
      <c r="AM218" s="150">
        <f t="array" ref="AM218">XLOOKUP(R218,'Non Moving'!C:C,'Non Moving'!I:I)/100</f>
        <v>0.22</v>
      </c>
      <c r="AN218" s="151">
        <f t="shared" si="11"/>
        <v>0</v>
      </c>
      <c r="AO218" s="150">
        <f t="array" ref="AO218">XLOOKUP(R218,'Non Moving'!C:C,'Non Moving'!F:F)/100</f>
        <v>0.44</v>
      </c>
      <c r="AP218" s="151">
        <f t="shared" si="12"/>
        <v>50</v>
      </c>
      <c r="AR218" s="95">
        <f t="shared" si="13"/>
        <v>25</v>
      </c>
      <c r="AT218" s="95">
        <f t="shared" si="14"/>
        <v>100</v>
      </c>
      <c r="AU218" s="95">
        <f t="array" ref="AU218">iferror(XLOOKUP(J218,Monetization!A:A,Monetization!B:B),25)</f>
        <v>25</v>
      </c>
      <c r="AW218" s="95">
        <f t="shared" si="15"/>
        <v>77.5</v>
      </c>
      <c r="AY218" s="149">
        <f t="shared" si="16"/>
        <v>27.5</v>
      </c>
      <c r="AZ218" s="95" t="str">
        <f t="shared" si="17"/>
        <v>25-50</v>
      </c>
      <c r="BA218" s="95" t="str">
        <f t="shared" si="18"/>
        <v>0-25</v>
      </c>
      <c r="BB218" s="152">
        <f t="array" ref="BB218">iferror(XLOOKUP(C218,Sheet9!A:A,Sheet9!D:D),0)</f>
        <v>0.09</v>
      </c>
      <c r="BC218" s="2">
        <v>1.0</v>
      </c>
      <c r="BD218" s="95">
        <f t="array" ref="BD218">XLOOKUP(C218,ROS!C:C,ROS!O:O)</f>
        <v>0.450397</v>
      </c>
      <c r="BE218" s="147">
        <f t="array" ref="BE218">IFERROR(XLOOKUP(C218,ROS!T:T,ROS!U:U),"")</f>
        <v>0</v>
      </c>
      <c r="BF218" s="147">
        <f t="array" ref="BF218">XLOOKUP(R218,'Refrence Data'!B:B,'Refrence Data'!T:T)</f>
        <v>0.696774</v>
      </c>
      <c r="BG218" s="95">
        <f t="shared" si="19"/>
        <v>0</v>
      </c>
      <c r="BH218" s="4" t="str">
        <f t="shared" si="20"/>
        <v/>
      </c>
      <c r="BO218" s="153"/>
      <c r="BP218" s="153" t="str">
        <f t="shared" si="26"/>
        <v/>
      </c>
      <c r="BQ218" s="153"/>
      <c r="BR218" s="153"/>
      <c r="BS218" s="153"/>
    </row>
    <row r="219">
      <c r="A219" s="171">
        <v>6.2911085415E12</v>
      </c>
      <c r="B219" s="171" t="s">
        <v>3521</v>
      </c>
      <c r="C219" s="137" t="s">
        <v>1163</v>
      </c>
      <c r="D219" s="138" t="s">
        <v>1130</v>
      </c>
      <c r="E219" s="139" t="s">
        <v>1135</v>
      </c>
      <c r="F219" s="140" t="s">
        <v>3582</v>
      </c>
      <c r="G219" s="141">
        <v>1.0</v>
      </c>
      <c r="H219" s="142">
        <v>4.5129</v>
      </c>
      <c r="I219" s="143" t="s">
        <v>112</v>
      </c>
      <c r="J219" s="83"/>
      <c r="K219" s="174">
        <v>1095.0</v>
      </c>
      <c r="R219" s="145" t="str">
        <f t="shared" si="1"/>
        <v>Seasonal Celebrations_0-5</v>
      </c>
      <c r="S219" s="146" t="str">
        <f t="shared" si="2"/>
        <v>0-5</v>
      </c>
      <c r="T219" s="95" t="str">
        <f t="array" ref="T219">XLOOKUP(C219,'Depth or Width'!P:P,'Depth or Width'!V:V)</f>
        <v>Depth</v>
      </c>
      <c r="U219" s="93">
        <f t="shared" si="3"/>
        <v>5</v>
      </c>
      <c r="V219" s="147">
        <f t="array" ref="V219">iferror(XLOOKUP(R219,'Refrence Data'!B:B,'Refrence Data'!W:W),"NA")</f>
        <v>1.2834</v>
      </c>
      <c r="W219" s="95">
        <f t="shared" si="4"/>
        <v>0</v>
      </c>
      <c r="Y219" s="148">
        <f t="array" ref="Y219">IFERROR(XLOOKUP(R219,'Refrence Data'!B:B,'Refrence Data'!N:N),"NA")</f>
        <v>0.863323</v>
      </c>
      <c r="Z219" s="95" t="str">
        <f t="shared" si="5"/>
        <v>HIGH</v>
      </c>
      <c r="AA219" s="147">
        <f t="array" ref="AA219">XLOOKUP(R219,'Refrence Data'!B:B,'Refrence Data'!AC:AC)</f>
        <v>0.672438</v>
      </c>
      <c r="AB219" s="147">
        <f t="array" ref="AB219">IFERROR(XLOOKUP(R219,'Refrence Data'!B:B,'Refrence Data'!Y:Y),"NA")</f>
        <v>1.01959</v>
      </c>
      <c r="AC219" s="95" t="str">
        <f t="shared" si="6"/>
        <v>High</v>
      </c>
      <c r="AD219" s="95" t="str">
        <f t="shared" si="7"/>
        <v>Depth</v>
      </c>
      <c r="AE219" s="95" t="str">
        <f t="shared" si="8"/>
        <v>HIGHHighDepth</v>
      </c>
      <c r="AF219" s="95">
        <f t="array" ref="AF219">XLOOKUP(AE219,'Category Saturation'!A:A,'Category Saturation'!E:E)</f>
        <v>0</v>
      </c>
      <c r="AH219" s="148">
        <f t="array" ref="AH219">iferror(XLOOKUP(R219,'New Launch Success Rate'!A:A,'New Launch Success Rate'!F:F),"NA")</f>
        <v>0.5355</v>
      </c>
      <c r="AI219" s="95">
        <f t="shared" si="9"/>
        <v>50</v>
      </c>
      <c r="AK219" s="149">
        <f t="shared" si="10"/>
        <v>5</v>
      </c>
      <c r="AM219" s="150">
        <f t="array" ref="AM219">XLOOKUP(R219,'Non Moving'!C:C,'Non Moving'!I:I)/100</f>
        <v>0.22</v>
      </c>
      <c r="AN219" s="151">
        <f t="shared" si="11"/>
        <v>0</v>
      </c>
      <c r="AO219" s="150">
        <f t="array" ref="AO219">XLOOKUP(R219,'Non Moving'!C:C,'Non Moving'!F:F)/100</f>
        <v>0.44</v>
      </c>
      <c r="AP219" s="151">
        <f t="shared" si="12"/>
        <v>50</v>
      </c>
      <c r="AR219" s="95">
        <f t="shared" si="13"/>
        <v>25</v>
      </c>
      <c r="AT219" s="95">
        <f t="shared" si="14"/>
        <v>100</v>
      </c>
      <c r="AU219" s="95">
        <f t="array" ref="AU219">iferror(XLOOKUP(J219,Monetization!A:A,Monetization!B:B),25)</f>
        <v>25</v>
      </c>
      <c r="AW219" s="95">
        <f t="shared" si="15"/>
        <v>77.5</v>
      </c>
      <c r="AY219" s="149">
        <f t="shared" si="16"/>
        <v>27.5</v>
      </c>
      <c r="AZ219" s="95" t="str">
        <f t="shared" si="17"/>
        <v>25-50</v>
      </c>
      <c r="BA219" s="95" t="str">
        <f t="shared" si="18"/>
        <v>0-25</v>
      </c>
      <c r="BB219" s="152">
        <f t="array" ref="BB219">iferror(XLOOKUP(C219,Sheet9!A:A,Sheet9!D:D),0)</f>
        <v>0.8</v>
      </c>
      <c r="BC219" s="2">
        <v>1.0</v>
      </c>
      <c r="BD219" s="95">
        <f t="array" ref="BD219">XLOOKUP(C219,ROS!C:C,ROS!O:O)</f>
        <v>0</v>
      </c>
      <c r="BE219" s="147">
        <f t="array" ref="BE219">IFERROR(XLOOKUP(C219,ROS!T:T,ROS!U:U),"")</f>
        <v>2.200865801</v>
      </c>
      <c r="BF219" s="147">
        <f t="array" ref="BF219">XLOOKUP(R219,'Refrence Data'!B:B,'Refrence Data'!T:T)</f>
        <v>0.696774</v>
      </c>
      <c r="BG219" s="95">
        <f t="shared" si="19"/>
        <v>1</v>
      </c>
      <c r="BH219" s="4" t="str">
        <f t="shared" si="20"/>
        <v>FN</v>
      </c>
      <c r="BO219" s="153"/>
      <c r="BP219" s="153" t="str">
        <f t="shared" si="26"/>
        <v>FN</v>
      </c>
      <c r="BQ219" s="153"/>
      <c r="BR219" s="153"/>
      <c r="BS219" s="153"/>
    </row>
    <row r="220">
      <c r="A220" s="171">
        <v>6.291108541494E12</v>
      </c>
      <c r="B220" s="171" t="s">
        <v>3521</v>
      </c>
      <c r="C220" s="137" t="s">
        <v>1164</v>
      </c>
      <c r="D220" s="138" t="s">
        <v>1130</v>
      </c>
      <c r="E220" s="139" t="s">
        <v>1135</v>
      </c>
      <c r="F220" s="140" t="s">
        <v>3582</v>
      </c>
      <c r="G220" s="141">
        <v>1.0</v>
      </c>
      <c r="H220" s="142">
        <v>4.446217</v>
      </c>
      <c r="I220" s="143" t="s">
        <v>112</v>
      </c>
      <c r="J220" s="83"/>
      <c r="K220" s="174">
        <v>1095.0</v>
      </c>
      <c r="R220" s="145" t="str">
        <f t="shared" si="1"/>
        <v>Seasonal Celebrations_0-5</v>
      </c>
      <c r="S220" s="146" t="str">
        <f t="shared" si="2"/>
        <v>0-5</v>
      </c>
      <c r="T220" s="95" t="str">
        <f t="array" ref="T220">XLOOKUP(C220,'Depth or Width'!P:P,'Depth or Width'!V:V)</f>
        <v>Depth</v>
      </c>
      <c r="U220" s="93">
        <f t="shared" si="3"/>
        <v>5</v>
      </c>
      <c r="V220" s="147">
        <f t="array" ref="V220">iferror(XLOOKUP(R220,'Refrence Data'!B:B,'Refrence Data'!W:W),"NA")</f>
        <v>1.2834</v>
      </c>
      <c r="W220" s="95">
        <f t="shared" si="4"/>
        <v>0</v>
      </c>
      <c r="Y220" s="148">
        <f t="array" ref="Y220">IFERROR(XLOOKUP(R220,'Refrence Data'!B:B,'Refrence Data'!N:N),"NA")</f>
        <v>0.863323</v>
      </c>
      <c r="Z220" s="95" t="str">
        <f t="shared" si="5"/>
        <v>HIGH</v>
      </c>
      <c r="AA220" s="147">
        <f t="array" ref="AA220">XLOOKUP(R220,'Refrence Data'!B:B,'Refrence Data'!AC:AC)</f>
        <v>0.672438</v>
      </c>
      <c r="AB220" s="147">
        <f t="array" ref="AB220">IFERROR(XLOOKUP(R220,'Refrence Data'!B:B,'Refrence Data'!Y:Y),"NA")</f>
        <v>1.01959</v>
      </c>
      <c r="AC220" s="95" t="str">
        <f t="shared" si="6"/>
        <v>High</v>
      </c>
      <c r="AD220" s="95" t="str">
        <f t="shared" si="7"/>
        <v>Depth</v>
      </c>
      <c r="AE220" s="95" t="str">
        <f t="shared" si="8"/>
        <v>HIGHHighDepth</v>
      </c>
      <c r="AF220" s="95">
        <f t="array" ref="AF220">XLOOKUP(AE220,'Category Saturation'!A:A,'Category Saturation'!E:E)</f>
        <v>0</v>
      </c>
      <c r="AH220" s="148">
        <f t="array" ref="AH220">iferror(XLOOKUP(R220,'New Launch Success Rate'!A:A,'New Launch Success Rate'!F:F),"NA")</f>
        <v>0.5355</v>
      </c>
      <c r="AI220" s="95">
        <f t="shared" si="9"/>
        <v>50</v>
      </c>
      <c r="AK220" s="149">
        <f t="shared" si="10"/>
        <v>5</v>
      </c>
      <c r="AM220" s="150">
        <f t="array" ref="AM220">XLOOKUP(R220,'Non Moving'!C:C,'Non Moving'!I:I)/100</f>
        <v>0.22</v>
      </c>
      <c r="AN220" s="151">
        <f t="shared" si="11"/>
        <v>0</v>
      </c>
      <c r="AO220" s="150">
        <f t="array" ref="AO220">XLOOKUP(R220,'Non Moving'!C:C,'Non Moving'!F:F)/100</f>
        <v>0.44</v>
      </c>
      <c r="AP220" s="151">
        <f t="shared" si="12"/>
        <v>50</v>
      </c>
      <c r="AR220" s="95">
        <f t="shared" si="13"/>
        <v>25</v>
      </c>
      <c r="AT220" s="95">
        <f t="shared" si="14"/>
        <v>100</v>
      </c>
      <c r="AU220" s="95">
        <f t="array" ref="AU220">iferror(XLOOKUP(J220,Monetization!A:A,Monetization!B:B),25)</f>
        <v>25</v>
      </c>
      <c r="AW220" s="95">
        <f t="shared" si="15"/>
        <v>77.5</v>
      </c>
      <c r="AY220" s="149">
        <f t="shared" si="16"/>
        <v>27.5</v>
      </c>
      <c r="AZ220" s="95" t="str">
        <f t="shared" si="17"/>
        <v>25-50</v>
      </c>
      <c r="BA220" s="95" t="str">
        <f t="shared" si="18"/>
        <v>0-25</v>
      </c>
      <c r="BB220" s="152">
        <f t="array" ref="BB220">iferror(XLOOKUP(C220,Sheet9!A:A,Sheet9!D:D),0)</f>
        <v>0</v>
      </c>
      <c r="BC220" s="2">
        <v>1.0</v>
      </c>
      <c r="BD220" s="95">
        <f t="array" ref="BD220">XLOOKUP(C220,ROS!C:C,ROS!O:O)</f>
        <v>0.071429</v>
      </c>
      <c r="BE220" s="147">
        <f t="array" ref="BE220">IFERROR(XLOOKUP(C220,ROS!T:T,ROS!U:U),"")</f>
        <v>0</v>
      </c>
      <c r="BF220" s="147">
        <f t="array" ref="BF220">XLOOKUP(R220,'Refrence Data'!B:B,'Refrence Data'!T:T)</f>
        <v>0.696774</v>
      </c>
      <c r="BG220" s="95">
        <f t="shared" si="19"/>
        <v>0</v>
      </c>
      <c r="BH220" s="4" t="str">
        <f t="shared" si="20"/>
        <v/>
      </c>
      <c r="BO220" s="153"/>
      <c r="BP220" s="153" t="str">
        <f t="shared" si="26"/>
        <v/>
      </c>
      <c r="BQ220" s="153"/>
      <c r="BR220" s="153"/>
      <c r="BS220" s="153"/>
    </row>
    <row r="221">
      <c r="A221" s="171">
        <v>8.935001727309E12</v>
      </c>
      <c r="B221" s="171" t="s">
        <v>3521</v>
      </c>
      <c r="C221" s="137" t="s">
        <v>1165</v>
      </c>
      <c r="D221" s="138" t="s">
        <v>644</v>
      </c>
      <c r="E221" s="139" t="s">
        <v>1167</v>
      </c>
      <c r="F221" s="140" t="s">
        <v>3564</v>
      </c>
      <c r="G221" s="141">
        <v>0.0</v>
      </c>
      <c r="H221" s="142">
        <v>12.61434</v>
      </c>
      <c r="I221" s="143" t="s">
        <v>111</v>
      </c>
      <c r="J221" s="83"/>
      <c r="K221" s="174">
        <v>450.0</v>
      </c>
      <c r="R221" s="145" t="str">
        <f t="shared" si="1"/>
        <v>Gums &amp; Mints_10-15</v>
      </c>
      <c r="S221" s="146" t="str">
        <f t="shared" si="2"/>
        <v>10-15</v>
      </c>
      <c r="T221" s="95" t="str">
        <f t="array" ref="T221">XLOOKUP(C221,'Depth or Width'!P:P,'Depth or Width'!V:V)</f>
        <v>Depth</v>
      </c>
      <c r="U221" s="93">
        <f t="shared" si="3"/>
        <v>5</v>
      </c>
      <c r="V221" s="147">
        <f t="array" ref="V221">iferror(XLOOKUP(R221,'Refrence Data'!B:B,'Refrence Data'!W:W),"NA")</f>
        <v>7.751923</v>
      </c>
      <c r="W221" s="95">
        <f t="shared" si="4"/>
        <v>100</v>
      </c>
      <c r="Y221" s="148">
        <f t="array" ref="Y221">IFERROR(XLOOKUP(R221,'Refrence Data'!B:B,'Refrence Data'!N:N),"NA")</f>
        <v>0.548139</v>
      </c>
      <c r="Z221" s="95" t="str">
        <f t="shared" si="5"/>
        <v>MEDIUM</v>
      </c>
      <c r="AA221" s="147">
        <f t="array" ref="AA221">XLOOKUP(R221,'Refrence Data'!B:B,'Refrence Data'!AC:AC)</f>
        <v>6.372817</v>
      </c>
      <c r="AB221" s="147">
        <f t="array" ref="AB221">IFERROR(XLOOKUP(R221,'Refrence Data'!B:B,'Refrence Data'!Y:Y),"NA")</f>
        <v>7.398881</v>
      </c>
      <c r="AC221" s="95" t="str">
        <f t="shared" si="6"/>
        <v>High</v>
      </c>
      <c r="AD221" s="95" t="str">
        <f t="shared" si="7"/>
        <v>Depth</v>
      </c>
      <c r="AE221" s="95" t="str">
        <f t="shared" si="8"/>
        <v>MEDIUMHighDepth</v>
      </c>
      <c r="AF221" s="95">
        <f t="array" ref="AF221">XLOOKUP(AE221,'Category Saturation'!A:A,'Category Saturation'!E:E)</f>
        <v>60</v>
      </c>
      <c r="AH221" s="148">
        <f t="array" ref="AH221">iferror(XLOOKUP(R221,'New Launch Success Rate'!A:A,'New Launch Success Rate'!F:F),"NA")</f>
        <v>0.46875</v>
      </c>
      <c r="AI221" s="95">
        <f t="shared" si="9"/>
        <v>25</v>
      </c>
      <c r="AK221" s="149">
        <f t="shared" si="10"/>
        <v>80.5</v>
      </c>
      <c r="AM221" s="150">
        <f t="array" ref="AM221">XLOOKUP(R221,'Non Moving'!C:C,'Non Moving'!I:I)/100</f>
        <v>0.04</v>
      </c>
      <c r="AN221" s="151">
        <f t="shared" si="11"/>
        <v>100</v>
      </c>
      <c r="AO221" s="150">
        <f t="array" ref="AO221">XLOOKUP(R221,'Non Moving'!C:C,'Non Moving'!F:F)/100</f>
        <v>0.071</v>
      </c>
      <c r="AP221" s="151">
        <f t="shared" si="12"/>
        <v>100</v>
      </c>
      <c r="AR221" s="95">
        <f t="shared" si="13"/>
        <v>100</v>
      </c>
      <c r="AT221" s="95">
        <f t="shared" si="14"/>
        <v>0</v>
      </c>
      <c r="AU221" s="95">
        <f t="array" ref="AU221">iferror(XLOOKUP(J221,Monetization!A:A,Monetization!B:B),25)</f>
        <v>25</v>
      </c>
      <c r="AW221" s="95">
        <f t="shared" si="15"/>
        <v>7.5</v>
      </c>
      <c r="AY221" s="149">
        <f t="shared" si="16"/>
        <v>73.7</v>
      </c>
      <c r="AZ221" s="95" t="str">
        <f t="shared" si="17"/>
        <v>50-75</v>
      </c>
      <c r="BA221" s="95" t="str">
        <f t="shared" si="18"/>
        <v>75-100</v>
      </c>
      <c r="BB221" s="152">
        <f t="array" ref="BB221">iferror(XLOOKUP(C221,Sheet9!A:A,Sheet9!D:D),0)</f>
        <v>0.65</v>
      </c>
      <c r="BC221" s="2">
        <v>1.0</v>
      </c>
      <c r="BD221" s="95">
        <f t="array" ref="BD221">XLOOKUP(C221,ROS!C:C,ROS!O:O)</f>
        <v>1.807143</v>
      </c>
      <c r="BE221" s="147">
        <f t="array" ref="BE221">IFERROR(XLOOKUP(C221,ROS!T:T,ROS!U:U),"")</f>
        <v>0.277777778</v>
      </c>
      <c r="BF221" s="147">
        <f t="array" ref="BF221">XLOOKUP(R221,'Refrence Data'!B:B,'Refrence Data'!T:T)</f>
        <v>3.476373</v>
      </c>
      <c r="BG221" s="95">
        <f t="shared" si="19"/>
        <v>0</v>
      </c>
      <c r="BH221" s="4" t="str">
        <f t="shared" si="20"/>
        <v/>
      </c>
      <c r="BO221" s="153"/>
      <c r="BP221" s="153" t="str">
        <f t="shared" si="26"/>
        <v/>
      </c>
      <c r="BQ221" s="153"/>
      <c r="BR221" s="153"/>
      <c r="BS221" s="153"/>
    </row>
    <row r="222">
      <c r="A222" s="171">
        <v>8.445290644862E12</v>
      </c>
      <c r="B222" s="171" t="s">
        <v>3521</v>
      </c>
      <c r="C222" s="137" t="s">
        <v>1169</v>
      </c>
      <c r="D222" s="138" t="s">
        <v>644</v>
      </c>
      <c r="E222" s="139" t="s">
        <v>1171</v>
      </c>
      <c r="F222" s="140" t="s">
        <v>3600</v>
      </c>
      <c r="G222" s="141">
        <v>0.0</v>
      </c>
      <c r="H222" s="142">
        <v>8.982902</v>
      </c>
      <c r="I222" s="143" t="s">
        <v>111</v>
      </c>
      <c r="J222" s="83"/>
      <c r="K222" s="174">
        <v>243.0</v>
      </c>
      <c r="R222" s="145" t="str">
        <f t="shared" si="1"/>
        <v>Jellies &amp; Candies_5-10</v>
      </c>
      <c r="S222" s="146" t="str">
        <f t="shared" si="2"/>
        <v>5-10</v>
      </c>
      <c r="T222" s="95" t="str">
        <f t="array" ref="T222">XLOOKUP(C222,'Depth or Width'!P:P,'Depth or Width'!V:V)</f>
        <v>Width</v>
      </c>
      <c r="U222" s="93">
        <f t="shared" si="3"/>
        <v>5</v>
      </c>
      <c r="V222" s="147">
        <f t="array" ref="V222">iferror(XLOOKUP(R222,'Refrence Data'!B:B,'Refrence Data'!W:W),"NA")</f>
        <v>11.23173</v>
      </c>
      <c r="W222" s="95">
        <f t="shared" si="4"/>
        <v>100</v>
      </c>
      <c r="Y222" s="148">
        <f t="array" ref="Y222">IFERROR(XLOOKUP(R222,'Refrence Data'!B:B,'Refrence Data'!N:N),"NA")</f>
        <v>0.668314</v>
      </c>
      <c r="Z222" s="95" t="str">
        <f t="shared" si="5"/>
        <v>MEDIUM</v>
      </c>
      <c r="AA222" s="147">
        <f t="array" ref="AA222">XLOOKUP(R222,'Refrence Data'!B:B,'Refrence Data'!AC:AC)</f>
        <v>3.630278</v>
      </c>
      <c r="AB222" s="147">
        <f t="array" ref="AB222">IFERROR(XLOOKUP(R222,'Refrence Data'!B:B,'Refrence Data'!Y:Y),"NA")</f>
        <v>12.32673</v>
      </c>
      <c r="AC222" s="95" t="str">
        <f t="shared" si="6"/>
        <v>High</v>
      </c>
      <c r="AD222" s="95" t="str">
        <f t="shared" si="7"/>
        <v>Width</v>
      </c>
      <c r="AE222" s="95" t="str">
        <f t="shared" si="8"/>
        <v>MEDIUMHighWidth</v>
      </c>
      <c r="AF222" s="95">
        <f t="array" ref="AF222">XLOOKUP(AE222,'Category Saturation'!A:A,'Category Saturation'!E:E)</f>
        <v>10</v>
      </c>
      <c r="AH222" s="148">
        <f t="array" ref="AH222">iferror(XLOOKUP(R222,'New Launch Success Rate'!A:A,'New Launch Success Rate'!F:F),"NA")</f>
        <v>0.50025</v>
      </c>
      <c r="AI222" s="95">
        <f t="shared" si="9"/>
        <v>50</v>
      </c>
      <c r="AK222" s="149">
        <f t="shared" si="10"/>
        <v>68</v>
      </c>
      <c r="AM222" s="150">
        <f t="array" ref="AM222">XLOOKUP(R222,'Non Moving'!C:C,'Non Moving'!I:I)/100</f>
        <v>0.017</v>
      </c>
      <c r="AN222" s="151">
        <f t="shared" si="11"/>
        <v>100</v>
      </c>
      <c r="AO222" s="150">
        <f t="array" ref="AO222">XLOOKUP(R222,'Non Moving'!C:C,'Non Moving'!F:F)/100</f>
        <v>0.056</v>
      </c>
      <c r="AP222" s="151">
        <f t="shared" si="12"/>
        <v>100</v>
      </c>
      <c r="AR222" s="95">
        <f t="shared" si="13"/>
        <v>100</v>
      </c>
      <c r="AT222" s="95">
        <f t="shared" si="14"/>
        <v>0</v>
      </c>
      <c r="AU222" s="95">
        <f t="array" ref="AU222">iferror(XLOOKUP(J222,Monetization!A:A,Monetization!B:B),25)</f>
        <v>25</v>
      </c>
      <c r="AW222" s="95">
        <f t="shared" si="15"/>
        <v>7.5</v>
      </c>
      <c r="AY222" s="149">
        <f t="shared" si="16"/>
        <v>68.7</v>
      </c>
      <c r="AZ222" s="95" t="str">
        <f t="shared" si="17"/>
        <v>50-75</v>
      </c>
      <c r="BA222" s="95" t="str">
        <f t="shared" si="18"/>
        <v>50-75</v>
      </c>
      <c r="BB222" s="152">
        <f t="array" ref="BB222">iferror(XLOOKUP(C222,Sheet9!A:A,Sheet9!D:D),0)</f>
        <v>0</v>
      </c>
      <c r="BC222" s="2">
        <v>1.0</v>
      </c>
      <c r="BD222" s="95">
        <f t="array" ref="BD222">XLOOKUP(C222,ROS!C:C,ROS!O:O)</f>
        <v>1.277778</v>
      </c>
      <c r="BE222" s="147" t="str">
        <f t="array" ref="BE222">IFERROR(XLOOKUP(C222,ROS!T:T,ROS!U:U),"")</f>
        <v/>
      </c>
      <c r="BF222" s="147">
        <f t="array" ref="BF222">XLOOKUP(R222,'Refrence Data'!B:B,'Refrence Data'!T:T)</f>
        <v>2.518937</v>
      </c>
      <c r="BG222" s="95">
        <f t="shared" si="19"/>
        <v>0</v>
      </c>
      <c r="BH222" s="4" t="str">
        <f t="shared" si="20"/>
        <v/>
      </c>
      <c r="BO222" s="153"/>
      <c r="BP222" s="153" t="str">
        <f t="shared" si="26"/>
        <v/>
      </c>
      <c r="BQ222" s="153"/>
      <c r="BR222" s="153"/>
      <c r="BS222" s="153"/>
    </row>
    <row r="223">
      <c r="A223" s="171">
        <v>8.445290644824E12</v>
      </c>
      <c r="B223" s="171" t="s">
        <v>3521</v>
      </c>
      <c r="C223" s="137" t="s">
        <v>1173</v>
      </c>
      <c r="D223" s="138" t="s">
        <v>644</v>
      </c>
      <c r="E223" s="139" t="s">
        <v>659</v>
      </c>
      <c r="F223" s="140" t="s">
        <v>3600</v>
      </c>
      <c r="G223" s="141">
        <v>0.0</v>
      </c>
      <c r="H223" s="142">
        <v>9.941945</v>
      </c>
      <c r="I223" s="143" t="s">
        <v>111</v>
      </c>
      <c r="J223" s="83"/>
      <c r="K223" s="174">
        <v>365.0</v>
      </c>
      <c r="R223" s="145" t="str">
        <f t="shared" si="1"/>
        <v>Chocolate Bars &amp; Bags_5-10</v>
      </c>
      <c r="S223" s="146" t="str">
        <f t="shared" si="2"/>
        <v>5-10</v>
      </c>
      <c r="T223" s="95" t="str">
        <f t="array" ref="T223">XLOOKUP(C223,'Depth or Width'!P:P,'Depth or Width'!V:V)</f>
        <v>Width</v>
      </c>
      <c r="U223" s="93">
        <f t="shared" si="3"/>
        <v>5</v>
      </c>
      <c r="V223" s="147">
        <f t="array" ref="V223">iferror(XLOOKUP(R223,'Refrence Data'!B:B,'Refrence Data'!W:W),"NA")</f>
        <v>15.47511</v>
      </c>
      <c r="W223" s="95">
        <f t="shared" si="4"/>
        <v>100</v>
      </c>
      <c r="Y223" s="148">
        <f t="array" ref="Y223">IFERROR(XLOOKUP(R223,'Refrence Data'!B:B,'Refrence Data'!N:N),"NA")</f>
        <v>0.770669</v>
      </c>
      <c r="Z223" s="95" t="str">
        <f t="shared" si="5"/>
        <v>HIGH</v>
      </c>
      <c r="AA223" s="147">
        <f t="array" ref="AA223">XLOOKUP(R223,'Refrence Data'!B:B,'Refrence Data'!AC:AC)</f>
        <v>6.048674</v>
      </c>
      <c r="AB223" s="147">
        <f t="array" ref="AB223">IFERROR(XLOOKUP(R223,'Refrence Data'!B:B,'Refrence Data'!Y:Y),"NA")</f>
        <v>14.21772</v>
      </c>
      <c r="AC223" s="95" t="str">
        <f t="shared" si="6"/>
        <v>High</v>
      </c>
      <c r="AD223" s="95" t="str">
        <f t="shared" si="7"/>
        <v>Width</v>
      </c>
      <c r="AE223" s="95" t="str">
        <f t="shared" si="8"/>
        <v>HIGHHighWidth</v>
      </c>
      <c r="AF223" s="95">
        <f t="array" ref="AF223">XLOOKUP(AE223,'Category Saturation'!A:A,'Category Saturation'!E:E)</f>
        <v>25</v>
      </c>
      <c r="AH223" s="148">
        <f t="array" ref="AH223">iferror(XLOOKUP(R223,'New Launch Success Rate'!A:A,'New Launch Success Rate'!F:F),"NA")</f>
        <v>1</v>
      </c>
      <c r="AI223" s="95">
        <f t="shared" si="9"/>
        <v>100</v>
      </c>
      <c r="AK223" s="149">
        <f t="shared" si="10"/>
        <v>77.5</v>
      </c>
      <c r="AM223" s="150">
        <f t="array" ref="AM223">XLOOKUP(R223,'Non Moving'!C:C,'Non Moving'!I:I)/100</f>
        <v>0.021</v>
      </c>
      <c r="AN223" s="151">
        <f t="shared" si="11"/>
        <v>100</v>
      </c>
      <c r="AO223" s="150">
        <f t="array" ref="AO223">XLOOKUP(R223,'Non Moving'!C:C,'Non Moving'!F:F)/100</f>
        <v>0.081</v>
      </c>
      <c r="AP223" s="151">
        <f t="shared" si="12"/>
        <v>100</v>
      </c>
      <c r="AR223" s="95">
        <f t="shared" si="13"/>
        <v>100</v>
      </c>
      <c r="AT223" s="95">
        <f t="shared" si="14"/>
        <v>0</v>
      </c>
      <c r="AU223" s="95">
        <f t="array" ref="AU223">iferror(XLOOKUP(J223,Monetization!A:A,Monetization!B:B),25)</f>
        <v>25</v>
      </c>
      <c r="AW223" s="95">
        <f t="shared" si="15"/>
        <v>7.5</v>
      </c>
      <c r="AY223" s="149">
        <f t="shared" si="16"/>
        <v>72.5</v>
      </c>
      <c r="AZ223" s="95" t="str">
        <f t="shared" si="17"/>
        <v>50-75</v>
      </c>
      <c r="BA223" s="95" t="str">
        <f t="shared" si="18"/>
        <v>75-100</v>
      </c>
      <c r="BB223" s="152">
        <f t="array" ref="BB223">iferror(XLOOKUP(C223,Sheet9!A:A,Sheet9!D:D),0)</f>
        <v>0</v>
      </c>
      <c r="BC223" s="2">
        <v>1.0</v>
      </c>
      <c r="BD223" s="95">
        <f t="array" ref="BD223">XLOOKUP(C223,ROS!C:C,ROS!O:O)</f>
        <v>0</v>
      </c>
      <c r="BE223" s="147" t="str">
        <f t="array" ref="BE223">IFERROR(XLOOKUP(C223,ROS!T:T,ROS!U:U),"")</f>
        <v/>
      </c>
      <c r="BF223" s="147">
        <f t="array" ref="BF223">XLOOKUP(R223,'Refrence Data'!B:B,'Refrence Data'!T:T)</f>
        <v>1.809987</v>
      </c>
      <c r="BG223" s="95">
        <f t="shared" si="19"/>
        <v>0</v>
      </c>
      <c r="BH223" s="4" t="str">
        <f t="shared" si="20"/>
        <v/>
      </c>
      <c r="BO223" s="153"/>
      <c r="BP223" s="153" t="str">
        <f t="shared" si="26"/>
        <v/>
      </c>
      <c r="BQ223" s="153"/>
      <c r="BR223" s="153"/>
      <c r="BS223" s="153"/>
    </row>
    <row r="224">
      <c r="A224" s="171">
        <v>8.445290637437E12</v>
      </c>
      <c r="B224" s="171" t="s">
        <v>3521</v>
      </c>
      <c r="C224" s="137" t="s">
        <v>1175</v>
      </c>
      <c r="D224" s="138" t="s">
        <v>644</v>
      </c>
      <c r="E224" s="139" t="s">
        <v>709</v>
      </c>
      <c r="F224" s="140" t="s">
        <v>3600</v>
      </c>
      <c r="G224" s="141">
        <v>0.0</v>
      </c>
      <c r="H224" s="142">
        <v>22.87383</v>
      </c>
      <c r="I224" s="143" t="s">
        <v>111</v>
      </c>
      <c r="J224" s="83"/>
      <c r="K224" s="174">
        <v>274.0</v>
      </c>
      <c r="R224" s="145" t="str">
        <f t="shared" si="1"/>
        <v>Sharing &amp; Gifting_20-25</v>
      </c>
      <c r="S224" s="146" t="str">
        <f t="shared" si="2"/>
        <v>20-25</v>
      </c>
      <c r="T224" s="95" t="str">
        <f t="array" ref="T224">XLOOKUP(C224,'Depth or Width'!P:P,'Depth or Width'!V:V)</f>
        <v>Depth</v>
      </c>
      <c r="U224" s="93">
        <f t="shared" si="3"/>
        <v>5</v>
      </c>
      <c r="V224" s="147">
        <f t="array" ref="V224">iferror(XLOOKUP(R224,'Refrence Data'!B:B,'Refrence Data'!W:W),"NA")</f>
        <v>10.40366</v>
      </c>
      <c r="W224" s="95">
        <f t="shared" si="4"/>
        <v>100</v>
      </c>
      <c r="Y224" s="148">
        <f t="array" ref="Y224">IFERROR(XLOOKUP(R224,'Refrence Data'!B:B,'Refrence Data'!N:N),"NA")</f>
        <v>0.77021</v>
      </c>
      <c r="Z224" s="95" t="str">
        <f t="shared" si="5"/>
        <v>HIGH</v>
      </c>
      <c r="AA224" s="147">
        <f t="array" ref="AA224">XLOOKUP(R224,'Refrence Data'!B:B,'Refrence Data'!AC:AC)</f>
        <v>4.126524</v>
      </c>
      <c r="AB224" s="147">
        <f t="array" ref="AB224">IFERROR(XLOOKUP(R224,'Refrence Data'!B:B,'Refrence Data'!Y:Y),"NA")</f>
        <v>10.82536</v>
      </c>
      <c r="AC224" s="95" t="str">
        <f t="shared" si="6"/>
        <v>High</v>
      </c>
      <c r="AD224" s="95" t="str">
        <f t="shared" si="7"/>
        <v>Depth</v>
      </c>
      <c r="AE224" s="95" t="str">
        <f t="shared" si="8"/>
        <v>HIGHHighDepth</v>
      </c>
      <c r="AF224" s="95">
        <f t="array" ref="AF224">XLOOKUP(AE224,'Category Saturation'!A:A,'Category Saturation'!E:E)</f>
        <v>0</v>
      </c>
      <c r="AH224" s="148">
        <f t="array" ref="AH224">iferror(XLOOKUP(R224,'New Launch Success Rate'!A:A,'New Launch Success Rate'!F:F),"NA")</f>
        <v>0.68175</v>
      </c>
      <c r="AI224" s="95">
        <f t="shared" si="9"/>
        <v>50</v>
      </c>
      <c r="AK224" s="149">
        <f t="shared" si="10"/>
        <v>65</v>
      </c>
      <c r="AM224" s="150">
        <f t="array" ref="AM224">XLOOKUP(R224,'Non Moving'!C:C,'Non Moving'!I:I)/100</f>
        <v>0.068</v>
      </c>
      <c r="AN224" s="151">
        <f t="shared" si="11"/>
        <v>100</v>
      </c>
      <c r="AO224" s="150">
        <f t="array" ref="AO224">XLOOKUP(R224,'Non Moving'!C:C,'Non Moving'!F:F)/100</f>
        <v>0.163</v>
      </c>
      <c r="AP224" s="151">
        <f t="shared" si="12"/>
        <v>100</v>
      </c>
      <c r="AR224" s="95">
        <f t="shared" si="13"/>
        <v>100</v>
      </c>
      <c r="AT224" s="95">
        <f t="shared" si="14"/>
        <v>0</v>
      </c>
      <c r="AU224" s="95">
        <f t="array" ref="AU224">iferror(XLOOKUP(J224,Monetization!A:A,Monetization!B:B),25)</f>
        <v>25</v>
      </c>
      <c r="AW224" s="95">
        <f t="shared" si="15"/>
        <v>7.5</v>
      </c>
      <c r="AY224" s="149">
        <f t="shared" si="16"/>
        <v>67.5</v>
      </c>
      <c r="AZ224" s="95" t="str">
        <f t="shared" si="17"/>
        <v>50-75</v>
      </c>
      <c r="BA224" s="95" t="str">
        <f t="shared" si="18"/>
        <v>50-75</v>
      </c>
      <c r="BB224" s="152">
        <f t="array" ref="BB224">iferror(XLOOKUP(C224,Sheet9!A:A,Sheet9!D:D),0)</f>
        <v>0</v>
      </c>
      <c r="BC224" s="2">
        <v>1.0</v>
      </c>
      <c r="BD224" s="95">
        <f t="array" ref="BD224">XLOOKUP(C224,ROS!C:C,ROS!O:O)</f>
        <v>0.196429</v>
      </c>
      <c r="BE224" s="147" t="str">
        <f t="array" ref="BE224">IFERROR(XLOOKUP(C224,ROS!T:T,ROS!U:U),"")</f>
        <v/>
      </c>
      <c r="BF224" s="147">
        <f t="array" ref="BF224">XLOOKUP(R224,'Refrence Data'!B:B,'Refrence Data'!T:T)</f>
        <v>1.570536</v>
      </c>
      <c r="BG224" s="95">
        <f t="shared" si="19"/>
        <v>0</v>
      </c>
      <c r="BH224" s="4" t="str">
        <f t="shared" si="20"/>
        <v/>
      </c>
      <c r="BO224" s="153"/>
      <c r="BP224" s="153" t="str">
        <f t="shared" si="26"/>
        <v/>
      </c>
      <c r="BQ224" s="153"/>
      <c r="BR224" s="153"/>
      <c r="BS224" s="153"/>
    </row>
    <row r="225">
      <c r="A225" s="171">
        <v>7.622201730413E12</v>
      </c>
      <c r="B225" s="171" t="s">
        <v>3521</v>
      </c>
      <c r="C225" s="137" t="s">
        <v>1176</v>
      </c>
      <c r="D225" s="138" t="s">
        <v>644</v>
      </c>
      <c r="E225" s="139" t="s">
        <v>709</v>
      </c>
      <c r="F225" s="140" t="s">
        <v>3600</v>
      </c>
      <c r="G225" s="141">
        <v>0.0</v>
      </c>
      <c r="H225" s="142">
        <v>17.96573</v>
      </c>
      <c r="I225" s="143" t="s">
        <v>111</v>
      </c>
      <c r="J225" s="83"/>
      <c r="K225" s="174">
        <v>270.0</v>
      </c>
      <c r="R225" s="145" t="str">
        <f t="shared" si="1"/>
        <v>Sharing &amp; Gifting_15-20</v>
      </c>
      <c r="S225" s="146" t="str">
        <f t="shared" si="2"/>
        <v>15-20</v>
      </c>
      <c r="T225" s="95" t="str">
        <f t="array" ref="T225">XLOOKUP(C225,'Depth or Width'!P:P,'Depth or Width'!V:V)</f>
        <v>Depth</v>
      </c>
      <c r="U225" s="93">
        <f t="shared" si="3"/>
        <v>5</v>
      </c>
      <c r="V225" s="147">
        <f t="array" ref="V225">iferror(XLOOKUP(R225,'Refrence Data'!B:B,'Refrence Data'!W:W),"NA")</f>
        <v>6.098322</v>
      </c>
      <c r="W225" s="95">
        <f t="shared" si="4"/>
        <v>100</v>
      </c>
      <c r="Y225" s="148">
        <f t="array" ref="Y225">IFERROR(XLOOKUP(R225,'Refrence Data'!B:B,'Refrence Data'!N:N),"NA")</f>
        <v>0.677309</v>
      </c>
      <c r="Z225" s="95" t="str">
        <f t="shared" si="5"/>
        <v>MEDIUM</v>
      </c>
      <c r="AA225" s="147">
        <f t="array" ref="AA225">XLOOKUP(R225,'Refrence Data'!B:B,'Refrence Data'!AC:AC)</f>
        <v>4.126524</v>
      </c>
      <c r="AB225" s="147">
        <f t="array" ref="AB225">IFERROR(XLOOKUP(R225,'Refrence Data'!B:B,'Refrence Data'!Y:Y),"NA")</f>
        <v>4.126524</v>
      </c>
      <c r="AC225" s="95" t="str">
        <f t="shared" si="6"/>
        <v>High</v>
      </c>
      <c r="AD225" s="95" t="str">
        <f t="shared" si="7"/>
        <v>Depth</v>
      </c>
      <c r="AE225" s="95" t="str">
        <f t="shared" si="8"/>
        <v>MEDIUMHighDepth</v>
      </c>
      <c r="AF225" s="95">
        <f t="array" ref="AF225">XLOOKUP(AE225,'Category Saturation'!A:A,'Category Saturation'!E:E)</f>
        <v>60</v>
      </c>
      <c r="AH225" s="148">
        <f t="array" ref="AH225">iferror(XLOOKUP(R225,'New Launch Success Rate'!A:A,'New Launch Success Rate'!F:F),"NA")</f>
        <v>0.45</v>
      </c>
      <c r="AI225" s="95">
        <f t="shared" si="9"/>
        <v>25</v>
      </c>
      <c r="AK225" s="149">
        <f t="shared" si="10"/>
        <v>80.5</v>
      </c>
      <c r="AM225" s="150">
        <f t="array" ref="AM225">XLOOKUP(R225,'Non Moving'!C:C,'Non Moving'!I:I)/100</f>
        <v>0.016</v>
      </c>
      <c r="AN225" s="151">
        <f t="shared" si="11"/>
        <v>100</v>
      </c>
      <c r="AO225" s="150">
        <f t="array" ref="AO225">XLOOKUP(R225,'Non Moving'!C:C,'Non Moving'!F:F)/100</f>
        <v>0.083</v>
      </c>
      <c r="AP225" s="151">
        <f t="shared" si="12"/>
        <v>100</v>
      </c>
      <c r="AR225" s="95">
        <f t="shared" si="13"/>
        <v>100</v>
      </c>
      <c r="AT225" s="95">
        <f t="shared" si="14"/>
        <v>0</v>
      </c>
      <c r="AU225" s="95">
        <f t="array" ref="AU225">iferror(XLOOKUP(J225,Monetization!A:A,Monetization!B:B),25)</f>
        <v>25</v>
      </c>
      <c r="AW225" s="95">
        <f t="shared" si="15"/>
        <v>7.5</v>
      </c>
      <c r="AY225" s="149">
        <f t="shared" si="16"/>
        <v>73.7</v>
      </c>
      <c r="AZ225" s="95" t="str">
        <f t="shared" si="17"/>
        <v>50-75</v>
      </c>
      <c r="BA225" s="95" t="str">
        <f t="shared" si="18"/>
        <v>75-100</v>
      </c>
      <c r="BB225" s="152">
        <f t="array" ref="BB225">iferror(XLOOKUP(C225,Sheet9!A:A,Sheet9!D:D),0)</f>
        <v>0</v>
      </c>
      <c r="BC225" s="2">
        <v>1.0</v>
      </c>
      <c r="BD225" s="95">
        <f t="array" ref="BD225">XLOOKUP(C225,ROS!C:C,ROS!O:O)</f>
        <v>0</v>
      </c>
      <c r="BE225" s="147" t="str">
        <f t="array" ref="BE225">IFERROR(XLOOKUP(C225,ROS!T:T,ROS!U:U),"")</f>
        <v/>
      </c>
      <c r="BF225" s="147">
        <f t="array" ref="BF225">XLOOKUP(R225,'Refrence Data'!B:B,'Refrence Data'!T:T)</f>
        <v>3.382314</v>
      </c>
      <c r="BG225" s="95">
        <f t="shared" si="19"/>
        <v>0</v>
      </c>
      <c r="BH225" s="4" t="str">
        <f t="shared" si="20"/>
        <v/>
      </c>
      <c r="BO225" s="153"/>
      <c r="BP225" s="153" t="str">
        <f t="shared" si="26"/>
        <v/>
      </c>
      <c r="BQ225" s="153"/>
      <c r="BR225" s="153"/>
      <c r="BS225" s="153"/>
    </row>
    <row r="226">
      <c r="A226" s="171">
        <v>7.622201725402E12</v>
      </c>
      <c r="B226" s="171" t="s">
        <v>3521</v>
      </c>
      <c r="C226" s="137" t="s">
        <v>1177</v>
      </c>
      <c r="D226" s="138" t="s">
        <v>644</v>
      </c>
      <c r="E226" s="139" t="s">
        <v>659</v>
      </c>
      <c r="F226" s="140" t="s">
        <v>3600</v>
      </c>
      <c r="G226" s="141">
        <v>0.0</v>
      </c>
      <c r="H226" s="142">
        <v>9.795799</v>
      </c>
      <c r="I226" s="143" t="s">
        <v>111</v>
      </c>
      <c r="J226" s="83"/>
      <c r="K226" s="174">
        <v>270.0</v>
      </c>
      <c r="R226" s="145" t="str">
        <f t="shared" si="1"/>
        <v>Chocolate Bars &amp; Bags_5-10</v>
      </c>
      <c r="S226" s="146" t="str">
        <f t="shared" si="2"/>
        <v>5-10</v>
      </c>
      <c r="T226" s="95" t="str">
        <f t="array" ref="T226">XLOOKUP(C226,'Depth or Width'!P:P,'Depth or Width'!V:V)</f>
        <v>Depth</v>
      </c>
      <c r="U226" s="93">
        <f t="shared" si="3"/>
        <v>5</v>
      </c>
      <c r="V226" s="147">
        <f t="array" ref="V226">iferror(XLOOKUP(R226,'Refrence Data'!B:B,'Refrence Data'!W:W),"NA")</f>
        <v>15.47511</v>
      </c>
      <c r="W226" s="95">
        <f t="shared" si="4"/>
        <v>100</v>
      </c>
      <c r="Y226" s="148">
        <f t="array" ref="Y226">IFERROR(XLOOKUP(R226,'Refrence Data'!B:B,'Refrence Data'!N:N),"NA")</f>
        <v>0.770669</v>
      </c>
      <c r="Z226" s="95" t="str">
        <f t="shared" si="5"/>
        <v>HIGH</v>
      </c>
      <c r="AA226" s="147">
        <f t="array" ref="AA226">XLOOKUP(R226,'Refrence Data'!B:B,'Refrence Data'!AC:AC)</f>
        <v>6.048674</v>
      </c>
      <c r="AB226" s="147">
        <f t="array" ref="AB226">IFERROR(XLOOKUP(R226,'Refrence Data'!B:B,'Refrence Data'!Y:Y),"NA")</f>
        <v>14.21772</v>
      </c>
      <c r="AC226" s="95" t="str">
        <f t="shared" si="6"/>
        <v>High</v>
      </c>
      <c r="AD226" s="95" t="str">
        <f t="shared" si="7"/>
        <v>Depth</v>
      </c>
      <c r="AE226" s="95" t="str">
        <f t="shared" si="8"/>
        <v>HIGHHighDepth</v>
      </c>
      <c r="AF226" s="95">
        <f t="array" ref="AF226">XLOOKUP(AE226,'Category Saturation'!A:A,'Category Saturation'!E:E)</f>
        <v>0</v>
      </c>
      <c r="AH226" s="148">
        <f t="array" ref="AH226">iferror(XLOOKUP(R226,'New Launch Success Rate'!A:A,'New Launch Success Rate'!F:F),"NA")</f>
        <v>1</v>
      </c>
      <c r="AI226" s="95">
        <f t="shared" si="9"/>
        <v>100</v>
      </c>
      <c r="AK226" s="149">
        <f t="shared" si="10"/>
        <v>70</v>
      </c>
      <c r="AM226" s="150">
        <f t="array" ref="AM226">XLOOKUP(R226,'Non Moving'!C:C,'Non Moving'!I:I)/100</f>
        <v>0.021</v>
      </c>
      <c r="AN226" s="151">
        <f t="shared" si="11"/>
        <v>100</v>
      </c>
      <c r="AO226" s="150">
        <f t="array" ref="AO226">XLOOKUP(R226,'Non Moving'!C:C,'Non Moving'!F:F)/100</f>
        <v>0.081</v>
      </c>
      <c r="AP226" s="151">
        <f t="shared" si="12"/>
        <v>100</v>
      </c>
      <c r="AR226" s="95">
        <f t="shared" si="13"/>
        <v>100</v>
      </c>
      <c r="AT226" s="95">
        <f t="shared" si="14"/>
        <v>0</v>
      </c>
      <c r="AU226" s="95">
        <f t="array" ref="AU226">iferror(XLOOKUP(J226,Monetization!A:A,Monetization!B:B),25)</f>
        <v>25</v>
      </c>
      <c r="AW226" s="95">
        <f t="shared" si="15"/>
        <v>7.5</v>
      </c>
      <c r="AY226" s="149">
        <f t="shared" si="16"/>
        <v>69.5</v>
      </c>
      <c r="AZ226" s="95" t="str">
        <f t="shared" si="17"/>
        <v>50-75</v>
      </c>
      <c r="BA226" s="95" t="str">
        <f t="shared" si="18"/>
        <v>50-75</v>
      </c>
      <c r="BB226" s="152">
        <f t="array" ref="BB226">iferror(XLOOKUP(C226,Sheet9!A:A,Sheet9!D:D),0)</f>
        <v>0</v>
      </c>
      <c r="BC226" s="2">
        <v>1.0</v>
      </c>
      <c r="BD226" s="95">
        <f t="array" ref="BD226">XLOOKUP(C226,ROS!C:C,ROS!O:O)</f>
        <v>0.285714</v>
      </c>
      <c r="BE226" s="147" t="str">
        <f t="array" ref="BE226">IFERROR(XLOOKUP(C226,ROS!T:T,ROS!U:U),"")</f>
        <v/>
      </c>
      <c r="BF226" s="147">
        <f t="array" ref="BF226">XLOOKUP(R226,'Refrence Data'!B:B,'Refrence Data'!T:T)</f>
        <v>1.809987</v>
      </c>
      <c r="BG226" s="95">
        <f t="shared" si="19"/>
        <v>0</v>
      </c>
      <c r="BH226" s="4" t="str">
        <f t="shared" si="20"/>
        <v/>
      </c>
      <c r="BO226" s="153"/>
      <c r="BP226" s="153" t="str">
        <f t="shared" si="26"/>
        <v/>
      </c>
      <c r="BQ226" s="153"/>
      <c r="BR226" s="153"/>
      <c r="BS226" s="153"/>
    </row>
    <row r="227">
      <c r="A227" s="171">
        <v>7.613287509505E12</v>
      </c>
      <c r="B227" s="171" t="s">
        <v>3521</v>
      </c>
      <c r="C227" s="137" t="s">
        <v>1178</v>
      </c>
      <c r="D227" s="138" t="s">
        <v>644</v>
      </c>
      <c r="E227" s="139" t="s">
        <v>1171</v>
      </c>
      <c r="F227" s="140" t="s">
        <v>3600</v>
      </c>
      <c r="G227" s="141">
        <v>0.0</v>
      </c>
      <c r="H227" s="142">
        <v>7.575167</v>
      </c>
      <c r="I227" s="143" t="s">
        <v>111</v>
      </c>
      <c r="J227" s="83"/>
      <c r="K227" s="174">
        <v>243.0</v>
      </c>
      <c r="R227" s="145" t="str">
        <f t="shared" si="1"/>
        <v>Jellies &amp; Candies_5-10</v>
      </c>
      <c r="S227" s="146" t="str">
        <f t="shared" si="2"/>
        <v>5-10</v>
      </c>
      <c r="T227" s="95" t="str">
        <f t="array" ref="T227">XLOOKUP(C227,'Depth or Width'!P:P,'Depth or Width'!V:V)</f>
        <v>Width</v>
      </c>
      <c r="U227" s="93">
        <f t="shared" si="3"/>
        <v>5</v>
      </c>
      <c r="V227" s="147">
        <f t="array" ref="V227">iferror(XLOOKUP(R227,'Refrence Data'!B:B,'Refrence Data'!W:W),"NA")</f>
        <v>11.23173</v>
      </c>
      <c r="W227" s="95">
        <f t="shared" si="4"/>
        <v>100</v>
      </c>
      <c r="Y227" s="148">
        <f t="array" ref="Y227">IFERROR(XLOOKUP(R227,'Refrence Data'!B:B,'Refrence Data'!N:N),"NA")</f>
        <v>0.668314</v>
      </c>
      <c r="Z227" s="95" t="str">
        <f t="shared" si="5"/>
        <v>MEDIUM</v>
      </c>
      <c r="AA227" s="147">
        <f t="array" ref="AA227">XLOOKUP(R227,'Refrence Data'!B:B,'Refrence Data'!AC:AC)</f>
        <v>3.630278</v>
      </c>
      <c r="AB227" s="147">
        <f t="array" ref="AB227">IFERROR(XLOOKUP(R227,'Refrence Data'!B:B,'Refrence Data'!Y:Y),"NA")</f>
        <v>12.32673</v>
      </c>
      <c r="AC227" s="95" t="str">
        <f t="shared" si="6"/>
        <v>High</v>
      </c>
      <c r="AD227" s="95" t="str">
        <f t="shared" si="7"/>
        <v>Width</v>
      </c>
      <c r="AE227" s="95" t="str">
        <f t="shared" si="8"/>
        <v>MEDIUMHighWidth</v>
      </c>
      <c r="AF227" s="95">
        <f t="array" ref="AF227">XLOOKUP(AE227,'Category Saturation'!A:A,'Category Saturation'!E:E)</f>
        <v>10</v>
      </c>
      <c r="AH227" s="148">
        <f t="array" ref="AH227">iferror(XLOOKUP(R227,'New Launch Success Rate'!A:A,'New Launch Success Rate'!F:F),"NA")</f>
        <v>0.50025</v>
      </c>
      <c r="AI227" s="95">
        <f t="shared" si="9"/>
        <v>50</v>
      </c>
      <c r="AK227" s="149">
        <f t="shared" si="10"/>
        <v>68</v>
      </c>
      <c r="AM227" s="150">
        <f t="array" ref="AM227">XLOOKUP(R227,'Non Moving'!C:C,'Non Moving'!I:I)/100</f>
        <v>0.017</v>
      </c>
      <c r="AN227" s="151">
        <f t="shared" si="11"/>
        <v>100</v>
      </c>
      <c r="AO227" s="150">
        <f t="array" ref="AO227">XLOOKUP(R227,'Non Moving'!C:C,'Non Moving'!F:F)/100</f>
        <v>0.056</v>
      </c>
      <c r="AP227" s="151">
        <f t="shared" si="12"/>
        <v>100</v>
      </c>
      <c r="AR227" s="95">
        <f t="shared" si="13"/>
        <v>100</v>
      </c>
      <c r="AT227" s="95">
        <f t="shared" si="14"/>
        <v>0</v>
      </c>
      <c r="AU227" s="95">
        <f t="array" ref="AU227">iferror(XLOOKUP(J227,Monetization!A:A,Monetization!B:B),25)</f>
        <v>25</v>
      </c>
      <c r="AW227" s="95">
        <f t="shared" si="15"/>
        <v>7.5</v>
      </c>
      <c r="AY227" s="149">
        <f t="shared" si="16"/>
        <v>68.7</v>
      </c>
      <c r="AZ227" s="95" t="str">
        <f t="shared" si="17"/>
        <v>50-75</v>
      </c>
      <c r="BA227" s="95" t="str">
        <f t="shared" si="18"/>
        <v>50-75</v>
      </c>
      <c r="BB227" s="152">
        <f t="array" ref="BB227">iferror(XLOOKUP(C227,Sheet9!A:A,Sheet9!D:D),0)</f>
        <v>0</v>
      </c>
      <c r="BC227" s="2">
        <v>1.0</v>
      </c>
      <c r="BD227" s="95">
        <f t="array" ref="BD227">XLOOKUP(C227,ROS!C:C,ROS!O:O)</f>
        <v>0</v>
      </c>
      <c r="BE227" s="147" t="str">
        <f t="array" ref="BE227">IFERROR(XLOOKUP(C227,ROS!T:T,ROS!U:U),"")</f>
        <v/>
      </c>
      <c r="BF227" s="147">
        <f t="array" ref="BF227">XLOOKUP(R227,'Refrence Data'!B:B,'Refrence Data'!T:T)</f>
        <v>2.518937</v>
      </c>
      <c r="BG227" s="95">
        <f t="shared" si="19"/>
        <v>0</v>
      </c>
      <c r="BH227" s="4" t="str">
        <f t="shared" si="20"/>
        <v/>
      </c>
      <c r="BO227" s="153"/>
      <c r="BP227" s="153" t="str">
        <f t="shared" si="26"/>
        <v/>
      </c>
      <c r="BQ227" s="153"/>
      <c r="BR227" s="153"/>
      <c r="BS227" s="153"/>
    </row>
    <row r="228">
      <c r="A228" s="171">
        <v>7.613036193061E12</v>
      </c>
      <c r="B228" s="171" t="s">
        <v>3521</v>
      </c>
      <c r="C228" s="137" t="s">
        <v>1179</v>
      </c>
      <c r="D228" s="138" t="s">
        <v>644</v>
      </c>
      <c r="E228" s="139" t="s">
        <v>709</v>
      </c>
      <c r="F228" s="140" t="s">
        <v>3600</v>
      </c>
      <c r="G228" s="141">
        <v>0.0</v>
      </c>
      <c r="H228" s="142">
        <v>9.842091</v>
      </c>
      <c r="I228" s="143" t="s">
        <v>111</v>
      </c>
      <c r="J228" s="83"/>
      <c r="K228" s="174">
        <v>90.0</v>
      </c>
      <c r="R228" s="145" t="str">
        <f t="shared" si="1"/>
        <v>Sharing &amp; Gifting_5-10</v>
      </c>
      <c r="S228" s="146" t="str">
        <f t="shared" si="2"/>
        <v>5-10</v>
      </c>
      <c r="T228" s="95" t="str">
        <f t="array" ref="T228">XLOOKUP(C228,'Depth or Width'!P:P,'Depth or Width'!V:V)</f>
        <v>Width</v>
      </c>
      <c r="U228" s="93">
        <f t="shared" si="3"/>
        <v>5</v>
      </c>
      <c r="V228" s="147">
        <f t="array" ref="V228">iferror(XLOOKUP(R228,'Refrence Data'!B:B,'Refrence Data'!W:W),"NA")</f>
        <v>1.426882</v>
      </c>
      <c r="W228" s="95">
        <f t="shared" si="4"/>
        <v>0</v>
      </c>
      <c r="Y228" s="148">
        <f t="array" ref="Y228">IFERROR(XLOOKUP(R228,'Refrence Data'!B:B,'Refrence Data'!N:N),"NA")</f>
        <v>1</v>
      </c>
      <c r="Z228" s="95" t="str">
        <f t="shared" si="5"/>
        <v>HIGH</v>
      </c>
      <c r="AA228" s="147">
        <f t="array" ref="AA228">XLOOKUP(R228,'Refrence Data'!B:B,'Refrence Data'!AC:AC)</f>
        <v>4.126524</v>
      </c>
      <c r="AB228" s="147">
        <f t="array" ref="AB228">IFERROR(XLOOKUP(R228,'Refrence Data'!B:B,'Refrence Data'!Y:Y),"NA")</f>
        <v>0.440066</v>
      </c>
      <c r="AC228" s="95" t="str">
        <f t="shared" si="6"/>
        <v>Low</v>
      </c>
      <c r="AD228" s="95" t="str">
        <f t="shared" si="7"/>
        <v>Width</v>
      </c>
      <c r="AE228" s="95" t="str">
        <f t="shared" si="8"/>
        <v>HIGHLowWidth</v>
      </c>
      <c r="AF228" s="95">
        <f t="array" ref="AF228">XLOOKUP(AE228,'Category Saturation'!A:A,'Category Saturation'!E:E)</f>
        <v>15</v>
      </c>
      <c r="AH228" s="148">
        <f t="array" ref="AH228">iferror(XLOOKUP(R228,'New Launch Success Rate'!A:A,'New Launch Success Rate'!F:F),"NA")</f>
        <v>0.50025</v>
      </c>
      <c r="AI228" s="95">
        <f t="shared" si="9"/>
        <v>50</v>
      </c>
      <c r="AK228" s="149">
        <f t="shared" si="10"/>
        <v>9.5</v>
      </c>
      <c r="AM228" s="150">
        <f t="array" ref="AM228">XLOOKUP(R228,'Non Moving'!C:C,'Non Moving'!I:I)/100</f>
        <v>0.041</v>
      </c>
      <c r="AN228" s="151">
        <f t="shared" si="11"/>
        <v>100</v>
      </c>
      <c r="AO228" s="150">
        <f t="array" ref="AO228">XLOOKUP(R228,'Non Moving'!C:C,'Non Moving'!F:F)/100</f>
        <v>0.119</v>
      </c>
      <c r="AP228" s="151">
        <f t="shared" si="12"/>
        <v>100</v>
      </c>
      <c r="AR228" s="95">
        <f t="shared" si="13"/>
        <v>100</v>
      </c>
      <c r="AT228" s="95">
        <f t="shared" si="14"/>
        <v>0</v>
      </c>
      <c r="AU228" s="95">
        <f t="array" ref="AU228">iferror(XLOOKUP(J228,Monetization!A:A,Monetization!B:B),25)</f>
        <v>25</v>
      </c>
      <c r="AW228" s="95">
        <f t="shared" si="15"/>
        <v>7.5</v>
      </c>
      <c r="AY228" s="149">
        <f t="shared" si="16"/>
        <v>45.3</v>
      </c>
      <c r="AZ228" s="95" t="str">
        <f t="shared" si="17"/>
        <v>25-50</v>
      </c>
      <c r="BA228" s="95" t="str">
        <f t="shared" si="18"/>
        <v>0-25</v>
      </c>
      <c r="BB228" s="152">
        <f t="array" ref="BB228">iferror(XLOOKUP(C228,Sheet9!A:A,Sheet9!D:D),0)</f>
        <v>0</v>
      </c>
      <c r="BC228" s="2">
        <v>1.0</v>
      </c>
      <c r="BD228" s="95">
        <f t="array" ref="BD228">XLOOKUP(C228,ROS!C:C,ROS!O:O)</f>
        <v>0.271429</v>
      </c>
      <c r="BE228" s="147" t="str">
        <f t="array" ref="BE228">IFERROR(XLOOKUP(C228,ROS!T:T,ROS!U:U),"")</f>
        <v/>
      </c>
      <c r="BF228" s="147">
        <f t="array" ref="BF228">XLOOKUP(R228,'Refrence Data'!B:B,'Refrence Data'!T:T)</f>
        <v>1.213516</v>
      </c>
      <c r="BG228" s="95">
        <f t="shared" si="19"/>
        <v>0</v>
      </c>
      <c r="BH228" s="4" t="str">
        <f t="shared" si="20"/>
        <v/>
      </c>
      <c r="BO228" s="153"/>
      <c r="BP228" s="153" t="str">
        <f t="shared" si="26"/>
        <v/>
      </c>
      <c r="BQ228" s="153"/>
      <c r="BR228" s="153"/>
      <c r="BS228" s="153"/>
    </row>
    <row r="229">
      <c r="A229" s="171">
        <v>7.613036193047E12</v>
      </c>
      <c r="B229" s="171" t="s">
        <v>3521</v>
      </c>
      <c r="C229" s="137" t="s">
        <v>1181</v>
      </c>
      <c r="D229" s="138" t="s">
        <v>644</v>
      </c>
      <c r="E229" s="139" t="s">
        <v>709</v>
      </c>
      <c r="F229" s="140" t="s">
        <v>3600</v>
      </c>
      <c r="G229" s="141">
        <v>0.0</v>
      </c>
      <c r="H229" s="142">
        <v>10.304</v>
      </c>
      <c r="I229" s="143" t="s">
        <v>111</v>
      </c>
      <c r="J229" s="83"/>
      <c r="K229" s="174">
        <v>90.0</v>
      </c>
      <c r="R229" s="145" t="str">
        <f t="shared" si="1"/>
        <v>Sharing &amp; Gifting_10-15</v>
      </c>
      <c r="S229" s="146" t="str">
        <f t="shared" si="2"/>
        <v>10-15</v>
      </c>
      <c r="T229" s="95" t="str">
        <f t="array" ref="T229">XLOOKUP(C229,'Depth or Width'!P:P,'Depth or Width'!V:V)</f>
        <v>Width</v>
      </c>
      <c r="U229" s="93">
        <f t="shared" si="3"/>
        <v>5</v>
      </c>
      <c r="V229" s="147">
        <f t="array" ref="V229">iferror(XLOOKUP(R229,'Refrence Data'!B:B,'Refrence Data'!W:W),"NA")</f>
        <v>17.15227</v>
      </c>
      <c r="W229" s="95">
        <f t="shared" si="4"/>
        <v>100</v>
      </c>
      <c r="Y229" s="148">
        <f t="array" ref="Y229">IFERROR(XLOOKUP(R229,'Refrence Data'!B:B,'Refrence Data'!N:N),"NA")</f>
        <v>0.772637</v>
      </c>
      <c r="Z229" s="95" t="str">
        <f t="shared" si="5"/>
        <v>HIGH</v>
      </c>
      <c r="AA229" s="147">
        <f t="array" ref="AA229">XLOOKUP(R229,'Refrence Data'!B:B,'Refrence Data'!AC:AC)</f>
        <v>4.126524</v>
      </c>
      <c r="AB229" s="147">
        <f t="array" ref="AB229">IFERROR(XLOOKUP(R229,'Refrence Data'!B:B,'Refrence Data'!Y:Y),"NA")</f>
        <v>31.12679</v>
      </c>
      <c r="AC229" s="95" t="str">
        <f t="shared" si="6"/>
        <v>High</v>
      </c>
      <c r="AD229" s="95" t="str">
        <f t="shared" si="7"/>
        <v>Width</v>
      </c>
      <c r="AE229" s="95" t="str">
        <f t="shared" si="8"/>
        <v>HIGHHighWidth</v>
      </c>
      <c r="AF229" s="95">
        <f t="array" ref="AF229">XLOOKUP(AE229,'Category Saturation'!A:A,'Category Saturation'!E:E)</f>
        <v>25</v>
      </c>
      <c r="AH229" s="148">
        <f t="array" ref="AH229">iferror(XLOOKUP(R229,'New Launch Success Rate'!A:A,'New Launch Success Rate'!F:F),"NA")</f>
        <v>0.46875</v>
      </c>
      <c r="AI229" s="95">
        <f t="shared" si="9"/>
        <v>25</v>
      </c>
      <c r="AK229" s="149">
        <f t="shared" si="10"/>
        <v>70</v>
      </c>
      <c r="AM229" s="150">
        <f t="array" ref="AM229">XLOOKUP(R229,'Non Moving'!C:C,'Non Moving'!I:I)/100</f>
        <v>0.009</v>
      </c>
      <c r="AN229" s="151">
        <f t="shared" si="11"/>
        <v>100</v>
      </c>
      <c r="AO229" s="150">
        <f t="array" ref="AO229">XLOOKUP(R229,'Non Moving'!C:C,'Non Moving'!F:F)/100</f>
        <v>0.021</v>
      </c>
      <c r="AP229" s="151">
        <f t="shared" si="12"/>
        <v>100</v>
      </c>
      <c r="AR229" s="95">
        <f t="shared" si="13"/>
        <v>100</v>
      </c>
      <c r="AT229" s="95">
        <f t="shared" si="14"/>
        <v>0</v>
      </c>
      <c r="AU229" s="95">
        <f t="array" ref="AU229">iferror(XLOOKUP(J229,Monetization!A:A,Monetization!B:B),25)</f>
        <v>25</v>
      </c>
      <c r="AW229" s="95">
        <f t="shared" si="15"/>
        <v>7.5</v>
      </c>
      <c r="AY229" s="149">
        <f t="shared" si="16"/>
        <v>69.5</v>
      </c>
      <c r="AZ229" s="95" t="str">
        <f t="shared" si="17"/>
        <v>50-75</v>
      </c>
      <c r="BA229" s="95" t="str">
        <f t="shared" si="18"/>
        <v>50-75</v>
      </c>
      <c r="BB229" s="152">
        <f t="array" ref="BB229">iferror(XLOOKUP(C229,Sheet9!A:A,Sheet9!D:D),0)</f>
        <v>0</v>
      </c>
      <c r="BC229" s="2">
        <v>1.0</v>
      </c>
      <c r="BD229" s="95">
        <f t="array" ref="BD229">XLOOKUP(C229,ROS!C:C,ROS!O:O)</f>
        <v>0</v>
      </c>
      <c r="BE229" s="147" t="str">
        <f t="array" ref="BE229">IFERROR(XLOOKUP(C229,ROS!T:T,ROS!U:U),"")</f>
        <v/>
      </c>
      <c r="BF229" s="147">
        <f t="array" ref="BF229">XLOOKUP(R229,'Refrence Data'!B:B,'Refrence Data'!T:T)</f>
        <v>8.111982</v>
      </c>
      <c r="BG229" s="95">
        <f t="shared" si="19"/>
        <v>0</v>
      </c>
      <c r="BH229" s="4" t="str">
        <f t="shared" si="20"/>
        <v/>
      </c>
      <c r="BO229" s="153"/>
      <c r="BP229" s="153" t="str">
        <f t="shared" si="26"/>
        <v/>
      </c>
      <c r="BQ229" s="153"/>
      <c r="BR229" s="153"/>
      <c r="BS229" s="153"/>
    </row>
    <row r="230">
      <c r="A230" s="171">
        <v>5.9946328E7</v>
      </c>
      <c r="B230" s="171" t="s">
        <v>3507</v>
      </c>
      <c r="C230" s="137" t="s">
        <v>1182</v>
      </c>
      <c r="D230" s="138" t="s">
        <v>644</v>
      </c>
      <c r="E230" s="139" t="s">
        <v>659</v>
      </c>
      <c r="F230" s="140" t="s">
        <v>3600</v>
      </c>
      <c r="G230" s="141">
        <v>0.0</v>
      </c>
      <c r="H230" s="142">
        <v>15.00434</v>
      </c>
      <c r="I230" s="143" t="s">
        <v>111</v>
      </c>
      <c r="J230" s="83"/>
      <c r="K230" s="174">
        <v>90.0</v>
      </c>
      <c r="R230" s="145" t="str">
        <f t="shared" si="1"/>
        <v>Chocolate Bars &amp; Bags_15-20</v>
      </c>
      <c r="S230" s="146" t="str">
        <f t="shared" si="2"/>
        <v>15-20</v>
      </c>
      <c r="T230" s="95" t="str">
        <f t="array" ref="T230">XLOOKUP(C230,'Depth or Width'!P:P,'Depth or Width'!V:V)</f>
        <v>Width</v>
      </c>
      <c r="U230" s="93">
        <f t="shared" si="3"/>
        <v>5</v>
      </c>
      <c r="V230" s="147">
        <f t="array" ref="V230">iferror(XLOOKUP(R230,'Refrence Data'!B:B,'Refrence Data'!W:W),"NA")</f>
        <v>6.091468</v>
      </c>
      <c r="W230" s="95">
        <f t="shared" si="4"/>
        <v>100</v>
      </c>
      <c r="Y230" s="148">
        <f t="array" ref="Y230">IFERROR(XLOOKUP(R230,'Refrence Data'!B:B,'Refrence Data'!N:N),"NA")</f>
        <v>0.806887</v>
      </c>
      <c r="Z230" s="95" t="str">
        <f t="shared" si="5"/>
        <v>HIGH</v>
      </c>
      <c r="AA230" s="147">
        <f t="array" ref="AA230">XLOOKUP(R230,'Refrence Data'!B:B,'Refrence Data'!AC:AC)</f>
        <v>6.048674</v>
      </c>
      <c r="AB230" s="147">
        <f t="array" ref="AB230">IFERROR(XLOOKUP(R230,'Refrence Data'!B:B,'Refrence Data'!Y:Y),"NA")</f>
        <v>9.989892</v>
      </c>
      <c r="AC230" s="95" t="str">
        <f t="shared" si="6"/>
        <v>High</v>
      </c>
      <c r="AD230" s="95" t="str">
        <f t="shared" si="7"/>
        <v>Width</v>
      </c>
      <c r="AE230" s="95" t="str">
        <f t="shared" si="8"/>
        <v>HIGHHighWidth</v>
      </c>
      <c r="AF230" s="95">
        <f t="array" ref="AF230">XLOOKUP(AE230,'Category Saturation'!A:A,'Category Saturation'!E:E)</f>
        <v>25</v>
      </c>
      <c r="AH230" s="148">
        <f t="array" ref="AH230">iferror(XLOOKUP(R230,'New Launch Success Rate'!A:A,'New Launch Success Rate'!F:F),"NA")</f>
        <v>0.571</v>
      </c>
      <c r="AI230" s="95">
        <f t="shared" si="9"/>
        <v>50</v>
      </c>
      <c r="AK230" s="149">
        <f t="shared" si="10"/>
        <v>72.5</v>
      </c>
      <c r="AM230" s="150">
        <f t="array" ref="AM230">XLOOKUP(R230,'Non Moving'!C:C,'Non Moving'!I:I)/100</f>
        <v>0.014</v>
      </c>
      <c r="AN230" s="151">
        <f t="shared" si="11"/>
        <v>100</v>
      </c>
      <c r="AO230" s="150">
        <f t="array" ref="AO230">XLOOKUP(R230,'Non Moving'!C:C,'Non Moving'!F:F)/100</f>
        <v>0.118</v>
      </c>
      <c r="AP230" s="151">
        <f t="shared" si="12"/>
        <v>100</v>
      </c>
      <c r="AR230" s="95">
        <f t="shared" si="13"/>
        <v>100</v>
      </c>
      <c r="AT230" s="95">
        <f t="shared" si="14"/>
        <v>0</v>
      </c>
      <c r="AU230" s="95">
        <f t="array" ref="AU230">iferror(XLOOKUP(J230,Monetization!A:A,Monetization!B:B),25)</f>
        <v>25</v>
      </c>
      <c r="AW230" s="95">
        <f t="shared" si="15"/>
        <v>7.5</v>
      </c>
      <c r="AY230" s="149">
        <f t="shared" si="16"/>
        <v>70.5</v>
      </c>
      <c r="AZ230" s="95" t="str">
        <f t="shared" si="17"/>
        <v>50-75</v>
      </c>
      <c r="BA230" s="95" t="str">
        <f t="shared" si="18"/>
        <v>50-75</v>
      </c>
      <c r="BB230" s="152">
        <f t="array" ref="BB230">iferror(XLOOKUP(C230,Sheet9!A:A,Sheet9!D:D),0)</f>
        <v>0</v>
      </c>
      <c r="BC230" s="2">
        <v>1.0</v>
      </c>
      <c r="BD230" s="95">
        <f t="array" ref="BD230">XLOOKUP(C230,ROS!C:C,ROS!O:O)</f>
        <v>0</v>
      </c>
      <c r="BE230" s="147" t="str">
        <f t="array" ref="BE230">IFERROR(XLOOKUP(C230,ROS!T:T,ROS!U:U),"")</f>
        <v/>
      </c>
      <c r="BF230" s="147">
        <f t="array" ref="BF230">XLOOKUP(R230,'Refrence Data'!B:B,'Refrence Data'!T:T)</f>
        <v>0.947576</v>
      </c>
      <c r="BG230" s="95">
        <f t="shared" si="19"/>
        <v>0</v>
      </c>
      <c r="BH230" s="4" t="str">
        <f t="shared" si="20"/>
        <v/>
      </c>
      <c r="BO230" s="153"/>
      <c r="BP230" s="153" t="str">
        <f t="shared" si="26"/>
        <v/>
      </c>
      <c r="BQ230" s="153"/>
      <c r="BR230" s="153"/>
      <c r="BS230" s="153"/>
    </row>
    <row r="231">
      <c r="A231" s="171">
        <v>5.7030807E7</v>
      </c>
      <c r="B231" s="171" t="s">
        <v>3507</v>
      </c>
      <c r="C231" s="137" t="s">
        <v>1183</v>
      </c>
      <c r="D231" s="138" t="s">
        <v>644</v>
      </c>
      <c r="E231" s="139" t="s">
        <v>659</v>
      </c>
      <c r="F231" s="140" t="s">
        <v>3600</v>
      </c>
      <c r="G231" s="141">
        <v>0.0</v>
      </c>
      <c r="H231" s="142">
        <v>4.868846</v>
      </c>
      <c r="I231" s="143" t="s">
        <v>111</v>
      </c>
      <c r="J231" s="83"/>
      <c r="K231" s="174">
        <v>150.0</v>
      </c>
      <c r="R231" s="145" t="str">
        <f t="shared" si="1"/>
        <v>Chocolate Bars &amp; Bags_0-5</v>
      </c>
      <c r="S231" s="146" t="str">
        <f t="shared" si="2"/>
        <v>0-5</v>
      </c>
      <c r="T231" s="95" t="str">
        <f t="array" ref="T231">XLOOKUP(C231,'Depth or Width'!P:P,'Depth or Width'!V:V)</f>
        <v>Depth</v>
      </c>
      <c r="U231" s="93">
        <f t="shared" si="3"/>
        <v>5</v>
      </c>
      <c r="V231" s="147">
        <f t="array" ref="V231">iferror(XLOOKUP(R231,'Refrence Data'!B:B,'Refrence Data'!W:W),"NA")</f>
        <v>24.47557</v>
      </c>
      <c r="W231" s="95">
        <f t="shared" si="4"/>
        <v>100</v>
      </c>
      <c r="Y231" s="148">
        <f t="array" ref="Y231">IFERROR(XLOOKUP(R231,'Refrence Data'!B:B,'Refrence Data'!N:N),"NA")</f>
        <v>0.690194</v>
      </c>
      <c r="Z231" s="95" t="str">
        <f t="shared" si="5"/>
        <v>MEDIUM</v>
      </c>
      <c r="AA231" s="147">
        <f t="array" ref="AA231">XLOOKUP(R231,'Refrence Data'!B:B,'Refrence Data'!AC:AC)</f>
        <v>6.048674</v>
      </c>
      <c r="AB231" s="147">
        <f t="array" ref="AB231">IFERROR(XLOOKUP(R231,'Refrence Data'!B:B,'Refrence Data'!Y:Y),"NA")</f>
        <v>39.12187</v>
      </c>
      <c r="AC231" s="95" t="str">
        <f t="shared" si="6"/>
        <v>High</v>
      </c>
      <c r="AD231" s="95" t="str">
        <f t="shared" si="7"/>
        <v>Depth</v>
      </c>
      <c r="AE231" s="95" t="str">
        <f t="shared" si="8"/>
        <v>MEDIUMHighDepth</v>
      </c>
      <c r="AF231" s="95">
        <f t="array" ref="AF231">XLOOKUP(AE231,'Category Saturation'!A:A,'Category Saturation'!E:E)</f>
        <v>60</v>
      </c>
      <c r="AH231" s="148">
        <f t="array" ref="AH231">iferror(XLOOKUP(R231,'New Launch Success Rate'!A:A,'New Launch Success Rate'!F:F),"NA")</f>
        <v>0.625</v>
      </c>
      <c r="AI231" s="95">
        <f t="shared" si="9"/>
        <v>50</v>
      </c>
      <c r="AK231" s="149">
        <f t="shared" si="10"/>
        <v>83</v>
      </c>
      <c r="AM231" s="150">
        <f t="array" ref="AM231">XLOOKUP(R231,'Non Moving'!C:C,'Non Moving'!I:I)/100</f>
        <v>0.012</v>
      </c>
      <c r="AN231" s="151">
        <f t="shared" si="11"/>
        <v>100</v>
      </c>
      <c r="AO231" s="150">
        <f t="array" ref="AO231">XLOOKUP(R231,'Non Moving'!C:C,'Non Moving'!F:F)/100</f>
        <v>0.018</v>
      </c>
      <c r="AP231" s="151">
        <f t="shared" si="12"/>
        <v>100</v>
      </c>
      <c r="AR231" s="95">
        <f t="shared" si="13"/>
        <v>100</v>
      </c>
      <c r="AT231" s="95">
        <f t="shared" si="14"/>
        <v>0</v>
      </c>
      <c r="AU231" s="95">
        <f t="array" ref="AU231">iferror(XLOOKUP(J231,Monetization!A:A,Monetization!B:B),25)</f>
        <v>25</v>
      </c>
      <c r="AW231" s="95">
        <f t="shared" si="15"/>
        <v>7.5</v>
      </c>
      <c r="AY231" s="149">
        <f t="shared" si="16"/>
        <v>74.7</v>
      </c>
      <c r="AZ231" s="95" t="str">
        <f t="shared" si="17"/>
        <v>50-75</v>
      </c>
      <c r="BA231" s="95" t="str">
        <f t="shared" si="18"/>
        <v>75-100</v>
      </c>
      <c r="BB231" s="152">
        <f t="array" ref="BB231">iferror(XLOOKUP(C231,Sheet9!A:A,Sheet9!D:D),0)</f>
        <v>0</v>
      </c>
      <c r="BC231" s="2">
        <v>1.0</v>
      </c>
      <c r="BD231" s="95">
        <f t="array" ref="BD231">XLOOKUP(C231,ROS!C:C,ROS!O:O)</f>
        <v>1.838828</v>
      </c>
      <c r="BE231" s="147" t="str">
        <f t="array" ref="BE231">IFERROR(XLOOKUP(C231,ROS!T:T,ROS!U:U),"")</f>
        <v/>
      </c>
      <c r="BF231" s="147">
        <f t="array" ref="BF231">XLOOKUP(R231,'Refrence Data'!B:B,'Refrence Data'!T:T)</f>
        <v>7.840706</v>
      </c>
      <c r="BG231" s="95">
        <f t="shared" si="19"/>
        <v>0</v>
      </c>
      <c r="BH231" s="4" t="str">
        <f t="shared" si="20"/>
        <v/>
      </c>
      <c r="BO231" s="153"/>
      <c r="BP231" s="153" t="str">
        <f t="shared" si="26"/>
        <v/>
      </c>
      <c r="BQ231" s="153"/>
      <c r="BR231" s="153"/>
      <c r="BS231" s="153"/>
    </row>
    <row r="232">
      <c r="A232" s="171">
        <v>5.03685400236E12</v>
      </c>
      <c r="B232" s="171" t="s">
        <v>3521</v>
      </c>
      <c r="C232" s="137" t="s">
        <v>1184</v>
      </c>
      <c r="D232" s="138" t="s">
        <v>644</v>
      </c>
      <c r="E232" s="139" t="s">
        <v>1171</v>
      </c>
      <c r="F232" s="140" t="s">
        <v>3600</v>
      </c>
      <c r="G232" s="141">
        <v>0.0</v>
      </c>
      <c r="H232" s="142">
        <v>12.78675</v>
      </c>
      <c r="I232" s="143" t="s">
        <v>111</v>
      </c>
      <c r="J232" s="83"/>
      <c r="K232" s="174">
        <v>365.0</v>
      </c>
      <c r="R232" s="145" t="str">
        <f t="shared" si="1"/>
        <v>Jellies &amp; Candies_10-15</v>
      </c>
      <c r="S232" s="146" t="str">
        <f t="shared" si="2"/>
        <v>10-15</v>
      </c>
      <c r="T232" s="95" t="str">
        <f t="array" ref="T232">XLOOKUP(C232,'Depth or Width'!P:P,'Depth or Width'!V:V)</f>
        <v>Width</v>
      </c>
      <c r="U232" s="93">
        <f t="shared" si="3"/>
        <v>5</v>
      </c>
      <c r="V232" s="147">
        <f t="array" ref="V232">iferror(XLOOKUP(R232,'Refrence Data'!B:B,'Refrence Data'!W:W),"NA")</f>
        <v>3.016175</v>
      </c>
      <c r="W232" s="95">
        <f t="shared" si="4"/>
        <v>50</v>
      </c>
      <c r="Y232" s="148">
        <f t="array" ref="Y232">IFERROR(XLOOKUP(R232,'Refrence Data'!B:B,'Refrence Data'!N:N),"NA")</f>
        <v>0.933489</v>
      </c>
      <c r="Z232" s="95" t="str">
        <f t="shared" si="5"/>
        <v>HIGH</v>
      </c>
      <c r="AA232" s="147">
        <f t="array" ref="AA232">XLOOKUP(R232,'Refrence Data'!B:B,'Refrence Data'!AC:AC)</f>
        <v>3.630278</v>
      </c>
      <c r="AB232" s="147">
        <f t="array" ref="AB232">IFERROR(XLOOKUP(R232,'Refrence Data'!B:B,'Refrence Data'!Y:Y),"NA")</f>
        <v>3.630278</v>
      </c>
      <c r="AC232" s="95" t="str">
        <f t="shared" si="6"/>
        <v>High</v>
      </c>
      <c r="AD232" s="95" t="str">
        <f t="shared" si="7"/>
        <v>Width</v>
      </c>
      <c r="AE232" s="95" t="str">
        <f t="shared" si="8"/>
        <v>HIGHHighWidth</v>
      </c>
      <c r="AF232" s="95">
        <f t="array" ref="AF232">XLOOKUP(AE232,'Category Saturation'!A:A,'Category Saturation'!E:E)</f>
        <v>25</v>
      </c>
      <c r="AH232" s="148">
        <f t="array" ref="AH232">iferror(XLOOKUP(R232,'New Launch Success Rate'!A:A,'New Launch Success Rate'!F:F),"NA")</f>
        <v>0.46875</v>
      </c>
      <c r="AI232" s="95">
        <f t="shared" si="9"/>
        <v>25</v>
      </c>
      <c r="AK232" s="149">
        <f t="shared" si="10"/>
        <v>40</v>
      </c>
      <c r="AM232" s="150">
        <f t="array" ref="AM232">XLOOKUP(R232,'Non Moving'!C:C,'Non Moving'!I:I)/100</f>
        <v>0.025</v>
      </c>
      <c r="AN232" s="151">
        <f t="shared" si="11"/>
        <v>100</v>
      </c>
      <c r="AO232" s="150">
        <f t="array" ref="AO232">XLOOKUP(R232,'Non Moving'!C:C,'Non Moving'!F:F)/100</f>
        <v>0.097</v>
      </c>
      <c r="AP232" s="151">
        <f t="shared" si="12"/>
        <v>100</v>
      </c>
      <c r="AR232" s="95">
        <f t="shared" si="13"/>
        <v>100</v>
      </c>
      <c r="AT232" s="95">
        <f t="shared" si="14"/>
        <v>0</v>
      </c>
      <c r="AU232" s="95">
        <f t="array" ref="AU232">iferror(XLOOKUP(J232,Monetization!A:A,Monetization!B:B),25)</f>
        <v>25</v>
      </c>
      <c r="AW232" s="95">
        <f t="shared" si="15"/>
        <v>7.5</v>
      </c>
      <c r="AY232" s="149">
        <f t="shared" si="16"/>
        <v>57.5</v>
      </c>
      <c r="AZ232" s="95" t="str">
        <f t="shared" si="17"/>
        <v>50-75</v>
      </c>
      <c r="BA232" s="95" t="str">
        <f t="shared" si="18"/>
        <v>25-50</v>
      </c>
      <c r="BB232" s="152">
        <f t="array" ref="BB232">iferror(XLOOKUP(C232,Sheet9!A:A,Sheet9!D:D),0)</f>
        <v>0</v>
      </c>
      <c r="BC232" s="2">
        <v>1.0</v>
      </c>
      <c r="BD232" s="95">
        <f t="array" ref="BD232">XLOOKUP(C232,ROS!C:C,ROS!O:O)</f>
        <v>0.333333</v>
      </c>
      <c r="BE232" s="147" t="str">
        <f t="array" ref="BE232">IFERROR(XLOOKUP(C232,ROS!T:T,ROS!U:U),"")</f>
        <v/>
      </c>
      <c r="BF232" s="147">
        <f t="array" ref="BF232">XLOOKUP(R232,'Refrence Data'!B:B,'Refrence Data'!T:T)</f>
        <v>0.033333</v>
      </c>
      <c r="BG232" s="95">
        <f t="shared" si="19"/>
        <v>0</v>
      </c>
      <c r="BH232" s="4" t="str">
        <f t="shared" si="20"/>
        <v/>
      </c>
      <c r="BO232" s="153"/>
      <c r="BP232" s="153" t="str">
        <f t="shared" si="26"/>
        <v/>
      </c>
      <c r="BQ232" s="153"/>
      <c r="BR232" s="153"/>
      <c r="BS232" s="153"/>
    </row>
    <row r="233">
      <c r="A233" s="171">
        <v>5.010169010289E12</v>
      </c>
      <c r="B233" s="171" t="s">
        <v>3521</v>
      </c>
      <c r="C233" s="137" t="s">
        <v>1187</v>
      </c>
      <c r="D233" s="138" t="s">
        <v>644</v>
      </c>
      <c r="E233" s="139" t="s">
        <v>1171</v>
      </c>
      <c r="F233" s="140" t="s">
        <v>3600</v>
      </c>
      <c r="G233" s="141">
        <v>0.0</v>
      </c>
      <c r="H233" s="142">
        <v>18.16551</v>
      </c>
      <c r="I233" s="143" t="s">
        <v>111</v>
      </c>
      <c r="J233" s="83"/>
      <c r="K233" s="174">
        <v>365.0</v>
      </c>
      <c r="R233" s="145" t="str">
        <f t="shared" si="1"/>
        <v>Jellies &amp; Candies_15-20</v>
      </c>
      <c r="S233" s="146" t="str">
        <f t="shared" si="2"/>
        <v>15-20</v>
      </c>
      <c r="T233" s="95" t="str">
        <f t="array" ref="T233">XLOOKUP(C233,'Depth or Width'!P:P,'Depth or Width'!V:V)</f>
        <v>Width</v>
      </c>
      <c r="U233" s="93">
        <f t="shared" si="3"/>
        <v>5</v>
      </c>
      <c r="V233" s="147">
        <f t="array" ref="V233">iferror(XLOOKUP(R233,'Refrence Data'!B:B,'Refrence Data'!W:W),"NA")</f>
        <v>3.772451</v>
      </c>
      <c r="W233" s="95">
        <f t="shared" si="4"/>
        <v>75</v>
      </c>
      <c r="Y233" s="148">
        <f t="array" ref="Y233">IFERROR(XLOOKUP(R233,'Refrence Data'!B:B,'Refrence Data'!N:N),"NA")</f>
        <v>0.703442</v>
      </c>
      <c r="Z233" s="95" t="str">
        <f t="shared" si="5"/>
        <v>HIGH</v>
      </c>
      <c r="AA233" s="147">
        <f t="array" ref="AA233">XLOOKUP(R233,'Refrence Data'!B:B,'Refrence Data'!AC:AC)</f>
        <v>3.630278</v>
      </c>
      <c r="AB233" s="147">
        <f t="array" ref="AB233">IFERROR(XLOOKUP(R233,'Refrence Data'!B:B,'Refrence Data'!Y:Y),"NA")</f>
        <v>1.756723</v>
      </c>
      <c r="AC233" s="95" t="str">
        <f t="shared" si="6"/>
        <v>Low</v>
      </c>
      <c r="AD233" s="95" t="str">
        <f t="shared" si="7"/>
        <v>Width</v>
      </c>
      <c r="AE233" s="95" t="str">
        <f t="shared" si="8"/>
        <v>HIGHLowWidth</v>
      </c>
      <c r="AF233" s="95">
        <f t="array" ref="AF233">XLOOKUP(AE233,'Category Saturation'!A:A,'Category Saturation'!E:E)</f>
        <v>15</v>
      </c>
      <c r="AH233" s="148">
        <f t="array" ref="AH233">iferror(XLOOKUP(R233,'New Launch Success Rate'!A:A,'New Launch Success Rate'!F:F),"NA")</f>
        <v>0.45</v>
      </c>
      <c r="AI233" s="95">
        <f t="shared" si="9"/>
        <v>25</v>
      </c>
      <c r="AK233" s="149">
        <f t="shared" si="10"/>
        <v>52</v>
      </c>
      <c r="AM233" s="150">
        <f t="array" ref="AM233">XLOOKUP(R233,'Non Moving'!C:C,'Non Moving'!I:I)/100</f>
        <v>0.269</v>
      </c>
      <c r="AN233" s="151">
        <f t="shared" si="11"/>
        <v>0</v>
      </c>
      <c r="AO233" s="150">
        <f t="array" ref="AO233">XLOOKUP(R233,'Non Moving'!C:C,'Non Moving'!F:F)/100</f>
        <v>0.45</v>
      </c>
      <c r="AP233" s="151">
        <f t="shared" si="12"/>
        <v>0</v>
      </c>
      <c r="AR233" s="95">
        <f t="shared" si="13"/>
        <v>0</v>
      </c>
      <c r="AT233" s="95">
        <f t="shared" si="14"/>
        <v>0</v>
      </c>
      <c r="AU233" s="95">
        <f t="array" ref="AU233">iferror(XLOOKUP(J233,Monetization!A:A,Monetization!B:B),25)</f>
        <v>25</v>
      </c>
      <c r="AW233" s="95">
        <f t="shared" si="15"/>
        <v>7.5</v>
      </c>
      <c r="AY233" s="149">
        <f t="shared" si="16"/>
        <v>22.3</v>
      </c>
      <c r="AZ233" s="95" t="str">
        <f t="shared" si="17"/>
        <v>0-25</v>
      </c>
      <c r="BA233" s="95" t="str">
        <f t="shared" si="18"/>
        <v>50-75</v>
      </c>
      <c r="BB233" s="152">
        <f t="array" ref="BB233">iferror(XLOOKUP(C233,Sheet9!A:A,Sheet9!D:D),0)</f>
        <v>0</v>
      </c>
      <c r="BC233" s="2">
        <v>1.0</v>
      </c>
      <c r="BD233" s="95">
        <f t="array" ref="BD233">XLOOKUP(C233,ROS!C:C,ROS!O:O)</f>
        <v>0</v>
      </c>
      <c r="BE233" s="147" t="str">
        <f t="array" ref="BE233">IFERROR(XLOOKUP(C233,ROS!T:T,ROS!U:U),"")</f>
        <v/>
      </c>
      <c r="BF233" s="147">
        <f t="array" ref="BF233">XLOOKUP(R233,'Refrence Data'!B:B,'Refrence Data'!T:T)</f>
        <v>0.25</v>
      </c>
      <c r="BG233" s="95">
        <f t="shared" si="19"/>
        <v>0</v>
      </c>
      <c r="BH233" s="4" t="str">
        <f t="shared" si="20"/>
        <v/>
      </c>
      <c r="BO233" s="153"/>
      <c r="BP233" s="153" t="str">
        <f t="shared" si="26"/>
        <v/>
      </c>
      <c r="BQ233" s="153"/>
      <c r="BR233" s="153"/>
      <c r="BS233" s="153"/>
    </row>
    <row r="234">
      <c r="A234" s="171">
        <v>5.000426171518E12</v>
      </c>
      <c r="B234" s="171" t="s">
        <v>3521</v>
      </c>
      <c r="C234" s="137" t="s">
        <v>1189</v>
      </c>
      <c r="D234" s="138" t="s">
        <v>644</v>
      </c>
      <c r="E234" s="139" t="s">
        <v>709</v>
      </c>
      <c r="F234" s="140" t="s">
        <v>3600</v>
      </c>
      <c r="G234" s="141">
        <v>0.0</v>
      </c>
      <c r="H234" s="142">
        <v>21.49313</v>
      </c>
      <c r="I234" s="143" t="s">
        <v>111</v>
      </c>
      <c r="J234" s="83"/>
      <c r="K234" s="174">
        <v>120.0</v>
      </c>
      <c r="R234" s="145" t="str">
        <f t="shared" si="1"/>
        <v>Sharing &amp; Gifting_20-25</v>
      </c>
      <c r="S234" s="146" t="str">
        <f t="shared" si="2"/>
        <v>20-25</v>
      </c>
      <c r="T234" s="95" t="str">
        <f t="array" ref="T234">XLOOKUP(C234,'Depth or Width'!P:P,'Depth or Width'!V:V)</f>
        <v>Width</v>
      </c>
      <c r="U234" s="93">
        <f t="shared" si="3"/>
        <v>5</v>
      </c>
      <c r="V234" s="147">
        <f t="array" ref="V234">iferror(XLOOKUP(R234,'Refrence Data'!B:B,'Refrence Data'!W:W),"NA")</f>
        <v>10.40366</v>
      </c>
      <c r="W234" s="95">
        <f t="shared" si="4"/>
        <v>100</v>
      </c>
      <c r="Y234" s="148">
        <f t="array" ref="Y234">IFERROR(XLOOKUP(R234,'Refrence Data'!B:B,'Refrence Data'!N:N),"NA")</f>
        <v>0.77021</v>
      </c>
      <c r="Z234" s="95" t="str">
        <f t="shared" si="5"/>
        <v>HIGH</v>
      </c>
      <c r="AA234" s="147">
        <f t="array" ref="AA234">XLOOKUP(R234,'Refrence Data'!B:B,'Refrence Data'!AC:AC)</f>
        <v>4.126524</v>
      </c>
      <c r="AB234" s="147">
        <f t="array" ref="AB234">IFERROR(XLOOKUP(R234,'Refrence Data'!B:B,'Refrence Data'!Y:Y),"NA")</f>
        <v>10.82536</v>
      </c>
      <c r="AC234" s="95" t="str">
        <f t="shared" si="6"/>
        <v>High</v>
      </c>
      <c r="AD234" s="95" t="str">
        <f t="shared" si="7"/>
        <v>Width</v>
      </c>
      <c r="AE234" s="95" t="str">
        <f t="shared" si="8"/>
        <v>HIGHHighWidth</v>
      </c>
      <c r="AF234" s="95">
        <f t="array" ref="AF234">XLOOKUP(AE234,'Category Saturation'!A:A,'Category Saturation'!E:E)</f>
        <v>25</v>
      </c>
      <c r="AH234" s="148">
        <f t="array" ref="AH234">iferror(XLOOKUP(R234,'New Launch Success Rate'!A:A,'New Launch Success Rate'!F:F),"NA")</f>
        <v>0.68175</v>
      </c>
      <c r="AI234" s="95">
        <f t="shared" si="9"/>
        <v>50</v>
      </c>
      <c r="AK234" s="149">
        <f t="shared" si="10"/>
        <v>72.5</v>
      </c>
      <c r="AM234" s="150">
        <f t="array" ref="AM234">XLOOKUP(R234,'Non Moving'!C:C,'Non Moving'!I:I)/100</f>
        <v>0.068</v>
      </c>
      <c r="AN234" s="151">
        <f t="shared" si="11"/>
        <v>100</v>
      </c>
      <c r="AO234" s="150">
        <f t="array" ref="AO234">XLOOKUP(R234,'Non Moving'!C:C,'Non Moving'!F:F)/100</f>
        <v>0.163</v>
      </c>
      <c r="AP234" s="151">
        <f t="shared" si="12"/>
        <v>100</v>
      </c>
      <c r="AR234" s="95">
        <f t="shared" si="13"/>
        <v>100</v>
      </c>
      <c r="AT234" s="95">
        <f t="shared" si="14"/>
        <v>0</v>
      </c>
      <c r="AU234" s="95">
        <f t="array" ref="AU234">iferror(XLOOKUP(J234,Monetization!A:A,Monetization!B:B),25)</f>
        <v>25</v>
      </c>
      <c r="AW234" s="95">
        <f t="shared" si="15"/>
        <v>7.5</v>
      </c>
      <c r="AY234" s="149">
        <f t="shared" si="16"/>
        <v>70.5</v>
      </c>
      <c r="AZ234" s="95" t="str">
        <f t="shared" si="17"/>
        <v>50-75</v>
      </c>
      <c r="BA234" s="95" t="str">
        <f t="shared" si="18"/>
        <v>50-75</v>
      </c>
      <c r="BB234" s="152">
        <f t="array" ref="BB234">iferror(XLOOKUP(C234,Sheet9!A:A,Sheet9!D:D),0)</f>
        <v>0</v>
      </c>
      <c r="BC234" s="2">
        <v>1.0</v>
      </c>
      <c r="BD234" s="95">
        <f t="array" ref="BD234">XLOOKUP(C234,ROS!C:C,ROS!O:O)</f>
        <v>0.278943</v>
      </c>
      <c r="BE234" s="147" t="str">
        <f t="array" ref="BE234">IFERROR(XLOOKUP(C234,ROS!T:T,ROS!U:U),"")</f>
        <v/>
      </c>
      <c r="BF234" s="147">
        <f t="array" ref="BF234">XLOOKUP(R234,'Refrence Data'!B:B,'Refrence Data'!T:T)</f>
        <v>1.570536</v>
      </c>
      <c r="BG234" s="95">
        <f t="shared" si="19"/>
        <v>0</v>
      </c>
      <c r="BH234" s="4" t="str">
        <f t="shared" si="20"/>
        <v/>
      </c>
      <c r="BO234" s="153"/>
      <c r="BP234" s="153" t="str">
        <f t="shared" si="26"/>
        <v/>
      </c>
      <c r="BQ234" s="153"/>
      <c r="BR234" s="153"/>
      <c r="BS234" s="153"/>
    </row>
    <row r="235">
      <c r="A235" s="171">
        <v>5.000168214559E12</v>
      </c>
      <c r="B235" s="171" t="s">
        <v>3521</v>
      </c>
      <c r="C235" s="137" t="s">
        <v>1191</v>
      </c>
      <c r="D235" s="138" t="s">
        <v>644</v>
      </c>
      <c r="E235" s="139" t="s">
        <v>652</v>
      </c>
      <c r="F235" s="140" t="s">
        <v>3600</v>
      </c>
      <c r="G235" s="141">
        <v>0.0</v>
      </c>
      <c r="H235" s="142">
        <v>8.592931</v>
      </c>
      <c r="I235" s="143" t="s">
        <v>111</v>
      </c>
      <c r="J235" s="83"/>
      <c r="K235" s="174">
        <v>168.0</v>
      </c>
      <c r="R235" s="145" t="str">
        <f t="shared" si="1"/>
        <v>Biscuits &amp; Cookies_5-10</v>
      </c>
      <c r="S235" s="146" t="str">
        <f t="shared" si="2"/>
        <v>5-10</v>
      </c>
      <c r="T235" s="95" t="str">
        <f t="array" ref="T235">XLOOKUP(C235,'Depth or Width'!P:P,'Depth or Width'!V:V)</f>
        <v>Depth</v>
      </c>
      <c r="U235" s="93">
        <f t="shared" si="3"/>
        <v>5</v>
      </c>
      <c r="V235" s="147">
        <f t="array" ref="V235">iferror(XLOOKUP(R235,'Refrence Data'!B:B,'Refrence Data'!W:W),"NA")</f>
        <v>3.976342</v>
      </c>
      <c r="W235" s="95">
        <f t="shared" si="4"/>
        <v>75</v>
      </c>
      <c r="Y235" s="148">
        <f t="array" ref="Y235">IFERROR(XLOOKUP(R235,'Refrence Data'!B:B,'Refrence Data'!N:N),"NA")</f>
        <v>0.855997</v>
      </c>
      <c r="Z235" s="95" t="str">
        <f t="shared" si="5"/>
        <v>HIGH</v>
      </c>
      <c r="AA235" s="147">
        <f t="array" ref="AA235">XLOOKUP(R235,'Refrence Data'!B:B,'Refrence Data'!AC:AC)</f>
        <v>3.91889</v>
      </c>
      <c r="AB235" s="147">
        <f t="array" ref="AB235">IFERROR(XLOOKUP(R235,'Refrence Data'!B:B,'Refrence Data'!Y:Y),"NA")</f>
        <v>5.208483</v>
      </c>
      <c r="AC235" s="95" t="str">
        <f t="shared" si="6"/>
        <v>High</v>
      </c>
      <c r="AD235" s="95" t="str">
        <f t="shared" si="7"/>
        <v>Depth</v>
      </c>
      <c r="AE235" s="95" t="str">
        <f t="shared" si="8"/>
        <v>HIGHHighDepth</v>
      </c>
      <c r="AF235" s="95">
        <f t="array" ref="AF235">XLOOKUP(AE235,'Category Saturation'!A:A,'Category Saturation'!E:E)</f>
        <v>0</v>
      </c>
      <c r="AH235" s="148">
        <f t="array" ref="AH235">iferror(XLOOKUP(R235,'New Launch Success Rate'!A:A,'New Launch Success Rate'!F:F),"NA")</f>
        <v>0.50025</v>
      </c>
      <c r="AI235" s="95">
        <f t="shared" si="9"/>
        <v>50</v>
      </c>
      <c r="AK235" s="149">
        <f t="shared" si="10"/>
        <v>50</v>
      </c>
      <c r="AM235" s="150">
        <f t="array" ref="AM235">XLOOKUP(R235,'Non Moving'!C:C,'Non Moving'!I:I)/100</f>
        <v>0.02</v>
      </c>
      <c r="AN235" s="151">
        <f t="shared" si="11"/>
        <v>100</v>
      </c>
      <c r="AO235" s="150">
        <f t="array" ref="AO235">XLOOKUP(R235,'Non Moving'!C:C,'Non Moving'!F:F)/100</f>
        <v>0.096</v>
      </c>
      <c r="AP235" s="151">
        <f t="shared" si="12"/>
        <v>100</v>
      </c>
      <c r="AR235" s="95">
        <f t="shared" si="13"/>
        <v>100</v>
      </c>
      <c r="AT235" s="95">
        <f t="shared" si="14"/>
        <v>0</v>
      </c>
      <c r="AU235" s="95">
        <f t="array" ref="AU235">iferror(XLOOKUP(J235,Monetization!A:A,Monetization!B:B),25)</f>
        <v>25</v>
      </c>
      <c r="AW235" s="95">
        <f t="shared" si="15"/>
        <v>7.5</v>
      </c>
      <c r="AY235" s="149">
        <f t="shared" si="16"/>
        <v>61.5</v>
      </c>
      <c r="AZ235" s="95" t="str">
        <f t="shared" si="17"/>
        <v>50-75</v>
      </c>
      <c r="BA235" s="95" t="str">
        <f t="shared" si="18"/>
        <v>50-75</v>
      </c>
      <c r="BB235" s="152">
        <f t="array" ref="BB235">iferror(XLOOKUP(C235,Sheet9!A:A,Sheet9!D:D),0)</f>
        <v>0</v>
      </c>
      <c r="BC235" s="2">
        <v>1.0</v>
      </c>
      <c r="BD235" s="95">
        <f t="array" ref="BD235">XLOOKUP(C235,ROS!C:C,ROS!O:O)</f>
        <v>0</v>
      </c>
      <c r="BE235" s="147" t="str">
        <f t="array" ref="BE235">IFERROR(XLOOKUP(C235,ROS!T:T,ROS!U:U),"")</f>
        <v/>
      </c>
      <c r="BF235" s="147">
        <f t="array" ref="BF235">XLOOKUP(R235,'Refrence Data'!B:B,'Refrence Data'!T:T)</f>
        <v>1.394624</v>
      </c>
      <c r="BG235" s="95">
        <f t="shared" si="19"/>
        <v>0</v>
      </c>
      <c r="BH235" s="4" t="str">
        <f t="shared" si="20"/>
        <v/>
      </c>
      <c r="BO235" s="153"/>
      <c r="BP235" s="153" t="str">
        <f t="shared" si="26"/>
        <v/>
      </c>
      <c r="BQ235" s="153"/>
      <c r="BR235" s="153"/>
      <c r="BS235" s="153"/>
    </row>
    <row r="236">
      <c r="A236" s="171">
        <v>5.000168180083E12</v>
      </c>
      <c r="B236" s="171" t="s">
        <v>3521</v>
      </c>
      <c r="C236" s="137" t="s">
        <v>1193</v>
      </c>
      <c r="D236" s="138" t="s">
        <v>644</v>
      </c>
      <c r="E236" s="139" t="s">
        <v>652</v>
      </c>
      <c r="F236" s="140" t="s">
        <v>3600</v>
      </c>
      <c r="G236" s="141">
        <v>0.0</v>
      </c>
      <c r="H236" s="142">
        <v>26.97795</v>
      </c>
      <c r="I236" s="143" t="s">
        <v>111</v>
      </c>
      <c r="J236" s="83"/>
      <c r="K236" s="174">
        <v>182.0</v>
      </c>
      <c r="R236" s="145" t="str">
        <f t="shared" si="1"/>
        <v>Biscuits &amp; Cookies_25+</v>
      </c>
      <c r="S236" s="146" t="str">
        <f t="shared" si="2"/>
        <v>25+</v>
      </c>
      <c r="T236" s="95" t="str">
        <f t="array" ref="T236">XLOOKUP(C236,'Depth or Width'!P:P,'Depth or Width'!V:V)</f>
        <v>Depth</v>
      </c>
      <c r="U236" s="93">
        <f t="shared" si="3"/>
        <v>5</v>
      </c>
      <c r="V236" s="147">
        <f t="array" ref="V236">iferror(XLOOKUP(R236,'Refrence Data'!B:B,'Refrence Data'!W:W),"NA")</f>
        <v>2.192047</v>
      </c>
      <c r="W236" s="95">
        <f t="shared" si="4"/>
        <v>0</v>
      </c>
      <c r="Y236" s="148">
        <f t="array" ref="Y236">IFERROR(XLOOKUP(R236,'Refrence Data'!B:B,'Refrence Data'!N:N),"NA")</f>
        <v>0.540888</v>
      </c>
      <c r="Z236" s="95" t="str">
        <f t="shared" si="5"/>
        <v>MEDIUM</v>
      </c>
      <c r="AA236" s="147">
        <f t="array" ref="AA236">XLOOKUP(R236,'Refrence Data'!B:B,'Refrence Data'!AC:AC)</f>
        <v>3.91889</v>
      </c>
      <c r="AB236" s="147">
        <f t="array" ref="AB236">IFERROR(XLOOKUP(R236,'Refrence Data'!B:B,'Refrence Data'!Y:Y),"NA")</f>
        <v>1.844109</v>
      </c>
      <c r="AC236" s="95" t="str">
        <f t="shared" si="6"/>
        <v>Low</v>
      </c>
      <c r="AD236" s="95" t="str">
        <f t="shared" si="7"/>
        <v>Depth</v>
      </c>
      <c r="AE236" s="95" t="str">
        <f t="shared" si="8"/>
        <v>MEDIUMLowDepth</v>
      </c>
      <c r="AF236" s="95">
        <f t="array" ref="AF236">XLOOKUP(AE236,'Category Saturation'!A:A,'Category Saturation'!E:E)</f>
        <v>50</v>
      </c>
      <c r="AH236" s="148">
        <f t="array" ref="AH236">iferror(XLOOKUP(R236,'New Launch Success Rate'!A:A,'New Launch Success Rate'!F:F),"NA")</f>
        <v>1</v>
      </c>
      <c r="AI236" s="95">
        <f t="shared" si="9"/>
        <v>100</v>
      </c>
      <c r="AK236" s="149">
        <f t="shared" si="10"/>
        <v>25</v>
      </c>
      <c r="AM236" s="150">
        <f t="array" ref="AM236">XLOOKUP(R236,'Non Moving'!C:C,'Non Moving'!I:I)/100</f>
        <v>0.176</v>
      </c>
      <c r="AN236" s="151">
        <f t="shared" si="11"/>
        <v>50</v>
      </c>
      <c r="AO236" s="150">
        <f t="array" ref="AO236">XLOOKUP(R236,'Non Moving'!C:C,'Non Moving'!F:F)/100</f>
        <v>0.261</v>
      </c>
      <c r="AP236" s="151">
        <f t="shared" si="12"/>
        <v>75</v>
      </c>
      <c r="AR236" s="95">
        <f t="shared" si="13"/>
        <v>62.5</v>
      </c>
      <c r="AT236" s="95">
        <f t="shared" si="14"/>
        <v>0</v>
      </c>
      <c r="AU236" s="95">
        <f t="array" ref="AU236">iferror(XLOOKUP(J236,Monetization!A:A,Monetization!B:B),25)</f>
        <v>25</v>
      </c>
      <c r="AW236" s="95">
        <f t="shared" si="15"/>
        <v>7.5</v>
      </c>
      <c r="AY236" s="149">
        <f t="shared" si="16"/>
        <v>36.5</v>
      </c>
      <c r="AZ236" s="95" t="str">
        <f t="shared" si="17"/>
        <v>25-50</v>
      </c>
      <c r="BA236" s="95" t="str">
        <f t="shared" si="18"/>
        <v>25-50</v>
      </c>
      <c r="BB236" s="152">
        <f t="array" ref="BB236">iferror(XLOOKUP(C236,Sheet9!A:A,Sheet9!D:D),0)</f>
        <v>0</v>
      </c>
      <c r="BC236" s="2">
        <v>1.0</v>
      </c>
      <c r="BD236" s="95">
        <f t="array" ref="BD236">XLOOKUP(C236,ROS!C:C,ROS!O:O)</f>
        <v>0</v>
      </c>
      <c r="BE236" s="147" t="str">
        <f t="array" ref="BE236">IFERROR(XLOOKUP(C236,ROS!T:T,ROS!U:U),"")</f>
        <v/>
      </c>
      <c r="BF236" s="147">
        <f t="array" ref="BF236">XLOOKUP(R236,'Refrence Data'!B:B,'Refrence Data'!T:T)</f>
        <v>0.870707</v>
      </c>
      <c r="BG236" s="95">
        <f t="shared" si="19"/>
        <v>0</v>
      </c>
      <c r="BH236" s="4" t="str">
        <f t="shared" si="20"/>
        <v/>
      </c>
      <c r="BO236" s="153"/>
      <c r="BP236" s="153" t="str">
        <f t="shared" si="26"/>
        <v/>
      </c>
      <c r="BQ236" s="153"/>
      <c r="BR236" s="153"/>
      <c r="BS236" s="153"/>
    </row>
    <row r="237">
      <c r="A237" s="171">
        <v>5.000168180045E12</v>
      </c>
      <c r="B237" s="171" t="s">
        <v>3521</v>
      </c>
      <c r="C237" s="137" t="s">
        <v>1195</v>
      </c>
      <c r="D237" s="138" t="s">
        <v>644</v>
      </c>
      <c r="E237" s="139" t="s">
        <v>652</v>
      </c>
      <c r="F237" s="140" t="s">
        <v>3600</v>
      </c>
      <c r="G237" s="141">
        <v>0.0</v>
      </c>
      <c r="H237" s="142">
        <v>18.985</v>
      </c>
      <c r="I237" s="143" t="s">
        <v>111</v>
      </c>
      <c r="J237" s="83"/>
      <c r="K237" s="174">
        <v>231.0</v>
      </c>
      <c r="R237" s="145" t="str">
        <f t="shared" si="1"/>
        <v>Biscuits &amp; Cookies_15-20</v>
      </c>
      <c r="S237" s="146" t="str">
        <f t="shared" si="2"/>
        <v>15-20</v>
      </c>
      <c r="T237" s="95" t="str">
        <f t="array" ref="T237">XLOOKUP(C237,'Depth or Width'!P:P,'Depth or Width'!V:V)</f>
        <v>Width</v>
      </c>
      <c r="U237" s="93">
        <f t="shared" si="3"/>
        <v>5</v>
      </c>
      <c r="V237" s="147">
        <f t="array" ref="V237">iferror(XLOOKUP(R237,'Refrence Data'!B:B,'Refrence Data'!W:W),"NA")</f>
        <v>3.590476</v>
      </c>
      <c r="W237" s="95">
        <f t="shared" si="4"/>
        <v>50</v>
      </c>
      <c r="Y237" s="148">
        <f t="array" ref="Y237">IFERROR(XLOOKUP(R237,'Refrence Data'!B:B,'Refrence Data'!N:N),"NA")</f>
        <v>0.708171</v>
      </c>
      <c r="Z237" s="95" t="str">
        <f t="shared" si="5"/>
        <v>HIGH</v>
      </c>
      <c r="AA237" s="147">
        <f t="array" ref="AA237">XLOOKUP(R237,'Refrence Data'!B:B,'Refrence Data'!AC:AC)</f>
        <v>3.91889</v>
      </c>
      <c r="AB237" s="147">
        <f t="array" ref="AB237">IFERROR(XLOOKUP(R237,'Refrence Data'!B:B,'Refrence Data'!Y:Y),"NA")</f>
        <v>3.91889</v>
      </c>
      <c r="AC237" s="95" t="str">
        <f t="shared" si="6"/>
        <v>High</v>
      </c>
      <c r="AD237" s="95" t="str">
        <f t="shared" si="7"/>
        <v>Width</v>
      </c>
      <c r="AE237" s="95" t="str">
        <f t="shared" si="8"/>
        <v>HIGHHighWidth</v>
      </c>
      <c r="AF237" s="95">
        <f t="array" ref="AF237">XLOOKUP(AE237,'Category Saturation'!A:A,'Category Saturation'!E:E)</f>
        <v>25</v>
      </c>
      <c r="AH237" s="148">
        <f t="array" ref="AH237">iferror(XLOOKUP(R237,'New Launch Success Rate'!A:A,'New Launch Success Rate'!F:F),"NA")</f>
        <v>0.6</v>
      </c>
      <c r="AI237" s="95">
        <f t="shared" si="9"/>
        <v>50</v>
      </c>
      <c r="AK237" s="149">
        <f t="shared" si="10"/>
        <v>42.5</v>
      </c>
      <c r="AM237" s="150">
        <f t="array" ref="AM237">XLOOKUP(R237,'Non Moving'!C:C,'Non Moving'!I:I)/100</f>
        <v>0.071</v>
      </c>
      <c r="AN237" s="151">
        <f t="shared" si="11"/>
        <v>100</v>
      </c>
      <c r="AO237" s="150">
        <f t="array" ref="AO237">XLOOKUP(R237,'Non Moving'!C:C,'Non Moving'!F:F)/100</f>
        <v>0.181</v>
      </c>
      <c r="AP237" s="151">
        <f t="shared" si="12"/>
        <v>100</v>
      </c>
      <c r="AR237" s="95">
        <f t="shared" si="13"/>
        <v>100</v>
      </c>
      <c r="AT237" s="95">
        <f t="shared" si="14"/>
        <v>0</v>
      </c>
      <c r="AU237" s="95">
        <f t="array" ref="AU237">iferror(XLOOKUP(J237,Monetization!A:A,Monetization!B:B),25)</f>
        <v>25</v>
      </c>
      <c r="AW237" s="95">
        <f t="shared" si="15"/>
        <v>7.5</v>
      </c>
      <c r="AY237" s="149">
        <f t="shared" si="16"/>
        <v>58.5</v>
      </c>
      <c r="AZ237" s="95" t="str">
        <f t="shared" si="17"/>
        <v>50-75</v>
      </c>
      <c r="BA237" s="95" t="str">
        <f t="shared" si="18"/>
        <v>25-50</v>
      </c>
      <c r="BB237" s="152">
        <f t="array" ref="BB237">iferror(XLOOKUP(C237,Sheet9!A:A,Sheet9!D:D),0)</f>
        <v>0</v>
      </c>
      <c r="BC237" s="2">
        <v>1.0</v>
      </c>
      <c r="BD237" s="95">
        <f t="array" ref="BD237">XLOOKUP(C237,ROS!C:C,ROS!O:O)</f>
        <v>0</v>
      </c>
      <c r="BE237" s="147" t="str">
        <f t="array" ref="BE237">IFERROR(XLOOKUP(C237,ROS!T:T,ROS!U:U),"")</f>
        <v/>
      </c>
      <c r="BF237" s="147">
        <f t="array" ref="BF237">XLOOKUP(R237,'Refrence Data'!B:B,'Refrence Data'!T:T)</f>
        <v>0.2</v>
      </c>
      <c r="BG237" s="95">
        <f t="shared" si="19"/>
        <v>0</v>
      </c>
      <c r="BH237" s="4" t="str">
        <f t="shared" si="20"/>
        <v/>
      </c>
      <c r="BO237" s="153"/>
      <c r="BP237" s="153" t="str">
        <f t="shared" si="26"/>
        <v/>
      </c>
      <c r="BQ237" s="153"/>
      <c r="BR237" s="153"/>
      <c r="BS237" s="153"/>
    </row>
    <row r="238">
      <c r="A238" s="171">
        <v>5.000168041469E12</v>
      </c>
      <c r="B238" s="171" t="s">
        <v>3521</v>
      </c>
      <c r="C238" s="137" t="s">
        <v>1197</v>
      </c>
      <c r="D238" s="138" t="s">
        <v>644</v>
      </c>
      <c r="E238" s="139" t="s">
        <v>1198</v>
      </c>
      <c r="F238" s="140" t="s">
        <v>3600</v>
      </c>
      <c r="G238" s="141">
        <v>0.0</v>
      </c>
      <c r="H238" s="142">
        <v>50.95973</v>
      </c>
      <c r="I238" s="143" t="s">
        <v>111</v>
      </c>
      <c r="J238" s="83"/>
      <c r="K238" s="174">
        <v>65.0</v>
      </c>
      <c r="R238" s="145" t="str">
        <f t="shared" si="1"/>
        <v>Wafers &amp; Cakes_25+</v>
      </c>
      <c r="S238" s="146" t="str">
        <f t="shared" si="2"/>
        <v>25+</v>
      </c>
      <c r="T238" s="95" t="str">
        <f t="array" ref="T238">XLOOKUP(C238,'Depth or Width'!P:P,'Depth or Width'!V:V)</f>
        <v>Width</v>
      </c>
      <c r="U238" s="93">
        <f t="shared" si="3"/>
        <v>5</v>
      </c>
      <c r="V238" s="147">
        <f t="array" ref="V238">iferror(XLOOKUP(R238,'Refrence Data'!B:B,'Refrence Data'!W:W),"NA")</f>
        <v>0.834483</v>
      </c>
      <c r="W238" s="95">
        <f t="shared" si="4"/>
        <v>0</v>
      </c>
      <c r="Y238" s="148">
        <f t="array" ref="Y238">IFERROR(XLOOKUP(R238,'Refrence Data'!B:B,'Refrence Data'!N:N),"NA")</f>
        <v>0.596708</v>
      </c>
      <c r="Z238" s="95" t="str">
        <f t="shared" si="5"/>
        <v>MEDIUM</v>
      </c>
      <c r="AA238" s="147">
        <f t="array" ref="AA238">XLOOKUP(R238,'Refrence Data'!B:B,'Refrence Data'!AC:AC)</f>
        <v>1.709981</v>
      </c>
      <c r="AB238" s="147">
        <f t="array" ref="AB238">IFERROR(XLOOKUP(R238,'Refrence Data'!B:B,'Refrence Data'!Y:Y),"NA")</f>
        <v>0.852653</v>
      </c>
      <c r="AC238" s="95" t="str">
        <f t="shared" si="6"/>
        <v>Low</v>
      </c>
      <c r="AD238" s="95" t="str">
        <f t="shared" si="7"/>
        <v>Width</v>
      </c>
      <c r="AE238" s="95" t="str">
        <f t="shared" si="8"/>
        <v>MEDIUMLowWidth</v>
      </c>
      <c r="AF238" s="95">
        <f t="array" ref="AF238">XLOOKUP(AE238,'Category Saturation'!A:A,'Category Saturation'!E:E)</f>
        <v>25</v>
      </c>
      <c r="AH238" s="148">
        <f t="array" ref="AH238">iferror(XLOOKUP(R238,'New Launch Success Rate'!A:A,'New Launch Success Rate'!F:F),"NA")</f>
        <v>0.51</v>
      </c>
      <c r="AI238" s="95">
        <f t="shared" si="9"/>
        <v>50</v>
      </c>
      <c r="AK238" s="149">
        <f t="shared" si="10"/>
        <v>12.5</v>
      </c>
      <c r="AM238" s="150">
        <f t="array" ref="AM238">XLOOKUP(R238,'Non Moving'!C:C,'Non Moving'!I:I)/100</f>
        <v>0.295</v>
      </c>
      <c r="AN238" s="151">
        <f t="shared" si="11"/>
        <v>0</v>
      </c>
      <c r="AO238" s="150">
        <f t="array" ref="AO238">XLOOKUP(R238,'Non Moving'!C:C,'Non Moving'!F:F)/100</f>
        <v>0.548</v>
      </c>
      <c r="AP238" s="151">
        <f t="shared" si="12"/>
        <v>0</v>
      </c>
      <c r="AR238" s="95">
        <f t="shared" si="13"/>
        <v>0</v>
      </c>
      <c r="AT238" s="95">
        <f t="shared" si="14"/>
        <v>0</v>
      </c>
      <c r="AU238" s="95">
        <f t="array" ref="AU238">iferror(XLOOKUP(J238,Monetization!A:A,Monetization!B:B),25)</f>
        <v>25</v>
      </c>
      <c r="AW238" s="95">
        <f t="shared" si="15"/>
        <v>7.5</v>
      </c>
      <c r="AY238" s="149">
        <f t="shared" si="16"/>
        <v>6.5</v>
      </c>
      <c r="AZ238" s="95" t="str">
        <f t="shared" si="17"/>
        <v>0-25</v>
      </c>
      <c r="BA238" s="95" t="str">
        <f t="shared" si="18"/>
        <v>0-25</v>
      </c>
      <c r="BB238" s="152">
        <f t="array" ref="BB238">iferror(XLOOKUP(C238,Sheet9!A:A,Sheet9!D:D),0)</f>
        <v>0</v>
      </c>
      <c r="BC238" s="2">
        <v>1.0</v>
      </c>
      <c r="BD238" s="95">
        <f t="array" ref="BD238">XLOOKUP(C238,ROS!C:C,ROS!O:O)</f>
        <v>0</v>
      </c>
      <c r="BE238" s="147" t="str">
        <f t="array" ref="BE238">IFERROR(XLOOKUP(C238,ROS!T:T,ROS!U:U),"")</f>
        <v/>
      </c>
      <c r="BF238" s="147">
        <f t="array" ref="BF238">XLOOKUP(R238,'Refrence Data'!B:B,'Refrence Data'!T:T)</f>
        <v>0.133333</v>
      </c>
      <c r="BG238" s="95">
        <f t="shared" si="19"/>
        <v>0</v>
      </c>
      <c r="BH238" s="4" t="str">
        <f t="shared" si="20"/>
        <v/>
      </c>
      <c r="BO238" s="153"/>
      <c r="BP238" s="153" t="str">
        <f t="shared" si="26"/>
        <v/>
      </c>
      <c r="BQ238" s="153"/>
      <c r="BR238" s="153"/>
      <c r="BS238" s="153"/>
    </row>
    <row r="239">
      <c r="A239" s="171">
        <v>5.000168040929E12</v>
      </c>
      <c r="B239" s="171" t="s">
        <v>3521</v>
      </c>
      <c r="C239" s="137" t="s">
        <v>1200</v>
      </c>
      <c r="D239" s="138" t="s">
        <v>644</v>
      </c>
      <c r="E239" s="139" t="s">
        <v>652</v>
      </c>
      <c r="F239" s="140" t="s">
        <v>3600</v>
      </c>
      <c r="G239" s="141">
        <v>0.0</v>
      </c>
      <c r="H239" s="142">
        <v>16.90654</v>
      </c>
      <c r="I239" s="143" t="s">
        <v>111</v>
      </c>
      <c r="J239" s="83"/>
      <c r="K239" s="174">
        <v>303.0</v>
      </c>
      <c r="R239" s="145" t="str">
        <f t="shared" si="1"/>
        <v>Biscuits &amp; Cookies_15-20</v>
      </c>
      <c r="S239" s="146" t="str">
        <f t="shared" si="2"/>
        <v>15-20</v>
      </c>
      <c r="T239" s="95" t="str">
        <f t="array" ref="T239">XLOOKUP(C239,'Depth or Width'!P:P,'Depth or Width'!V:V)</f>
        <v>Depth</v>
      </c>
      <c r="U239" s="93">
        <f t="shared" si="3"/>
        <v>5</v>
      </c>
      <c r="V239" s="147">
        <f t="array" ref="V239">iferror(XLOOKUP(R239,'Refrence Data'!B:B,'Refrence Data'!W:W),"NA")</f>
        <v>3.590476</v>
      </c>
      <c r="W239" s="95">
        <f t="shared" si="4"/>
        <v>50</v>
      </c>
      <c r="Y239" s="148">
        <f t="array" ref="Y239">IFERROR(XLOOKUP(R239,'Refrence Data'!B:B,'Refrence Data'!N:N),"NA")</f>
        <v>0.708171</v>
      </c>
      <c r="Z239" s="95" t="str">
        <f t="shared" si="5"/>
        <v>HIGH</v>
      </c>
      <c r="AA239" s="147">
        <f t="array" ref="AA239">XLOOKUP(R239,'Refrence Data'!B:B,'Refrence Data'!AC:AC)</f>
        <v>3.91889</v>
      </c>
      <c r="AB239" s="147">
        <f t="array" ref="AB239">IFERROR(XLOOKUP(R239,'Refrence Data'!B:B,'Refrence Data'!Y:Y),"NA")</f>
        <v>3.91889</v>
      </c>
      <c r="AC239" s="95" t="str">
        <f t="shared" si="6"/>
        <v>High</v>
      </c>
      <c r="AD239" s="95" t="str">
        <f t="shared" si="7"/>
        <v>Depth</v>
      </c>
      <c r="AE239" s="95" t="str">
        <f t="shared" si="8"/>
        <v>HIGHHighDepth</v>
      </c>
      <c r="AF239" s="95">
        <f t="array" ref="AF239">XLOOKUP(AE239,'Category Saturation'!A:A,'Category Saturation'!E:E)</f>
        <v>0</v>
      </c>
      <c r="AH239" s="148">
        <f t="array" ref="AH239">iferror(XLOOKUP(R239,'New Launch Success Rate'!A:A,'New Launch Success Rate'!F:F),"NA")</f>
        <v>0.6</v>
      </c>
      <c r="AI239" s="95">
        <f t="shared" si="9"/>
        <v>50</v>
      </c>
      <c r="AK239" s="149">
        <f t="shared" si="10"/>
        <v>35</v>
      </c>
      <c r="AM239" s="150">
        <f t="array" ref="AM239">XLOOKUP(R239,'Non Moving'!C:C,'Non Moving'!I:I)/100</f>
        <v>0.071</v>
      </c>
      <c r="AN239" s="151">
        <f t="shared" si="11"/>
        <v>100</v>
      </c>
      <c r="AO239" s="150">
        <f t="array" ref="AO239">XLOOKUP(R239,'Non Moving'!C:C,'Non Moving'!F:F)/100</f>
        <v>0.181</v>
      </c>
      <c r="AP239" s="151">
        <f t="shared" si="12"/>
        <v>100</v>
      </c>
      <c r="AR239" s="95">
        <f t="shared" si="13"/>
        <v>100</v>
      </c>
      <c r="AT239" s="95">
        <f t="shared" si="14"/>
        <v>0</v>
      </c>
      <c r="AU239" s="95">
        <f t="array" ref="AU239">iferror(XLOOKUP(J239,Monetization!A:A,Monetization!B:B),25)</f>
        <v>25</v>
      </c>
      <c r="AW239" s="95">
        <f t="shared" si="15"/>
        <v>7.5</v>
      </c>
      <c r="AY239" s="149">
        <f t="shared" si="16"/>
        <v>55.5</v>
      </c>
      <c r="AZ239" s="95" t="str">
        <f t="shared" si="17"/>
        <v>50-75</v>
      </c>
      <c r="BA239" s="95" t="str">
        <f t="shared" si="18"/>
        <v>25-50</v>
      </c>
      <c r="BB239" s="152">
        <f t="array" ref="BB239">iferror(XLOOKUP(C239,Sheet9!A:A,Sheet9!D:D),0)</f>
        <v>0</v>
      </c>
      <c r="BC239" s="2">
        <v>1.0</v>
      </c>
      <c r="BD239" s="95">
        <f t="array" ref="BD239">XLOOKUP(C239,ROS!C:C,ROS!O:O)</f>
        <v>0</v>
      </c>
      <c r="BE239" s="147" t="str">
        <f t="array" ref="BE239">IFERROR(XLOOKUP(C239,ROS!T:T,ROS!U:U),"")</f>
        <v/>
      </c>
      <c r="BF239" s="147">
        <f t="array" ref="BF239">XLOOKUP(R239,'Refrence Data'!B:B,'Refrence Data'!T:T)</f>
        <v>0.2</v>
      </c>
      <c r="BG239" s="95">
        <f t="shared" si="19"/>
        <v>0</v>
      </c>
      <c r="BH239" s="4" t="str">
        <f t="shared" si="20"/>
        <v/>
      </c>
      <c r="BO239" s="153"/>
      <c r="BP239" s="153" t="str">
        <f t="shared" si="26"/>
        <v/>
      </c>
      <c r="BQ239" s="153"/>
      <c r="BR239" s="153"/>
      <c r="BS239" s="153"/>
    </row>
    <row r="240">
      <c r="A240" s="171">
        <v>5.000168004167E12</v>
      </c>
      <c r="B240" s="171" t="s">
        <v>3521</v>
      </c>
      <c r="C240" s="137" t="s">
        <v>1201</v>
      </c>
      <c r="D240" s="138" t="s">
        <v>644</v>
      </c>
      <c r="E240" s="139" t="s">
        <v>652</v>
      </c>
      <c r="F240" s="140" t="s">
        <v>3600</v>
      </c>
      <c r="G240" s="141">
        <v>0.0</v>
      </c>
      <c r="H240" s="142">
        <v>12.98974</v>
      </c>
      <c r="I240" s="143" t="s">
        <v>111</v>
      </c>
      <c r="J240" s="83"/>
      <c r="K240" s="174">
        <v>170.0</v>
      </c>
      <c r="R240" s="145" t="str">
        <f t="shared" si="1"/>
        <v>Biscuits &amp; Cookies_10-15</v>
      </c>
      <c r="S240" s="146" t="str">
        <f t="shared" si="2"/>
        <v>10-15</v>
      </c>
      <c r="T240" s="95" t="str">
        <f t="array" ref="T240">XLOOKUP(C240,'Depth or Width'!P:P,'Depth or Width'!V:V)</f>
        <v>Depth</v>
      </c>
      <c r="U240" s="93">
        <f t="shared" si="3"/>
        <v>5</v>
      </c>
      <c r="V240" s="147">
        <f t="array" ref="V240">iferror(XLOOKUP(R240,'Refrence Data'!B:B,'Refrence Data'!W:W),"NA")</f>
        <v>5.174325</v>
      </c>
      <c r="W240" s="95">
        <f t="shared" si="4"/>
        <v>100</v>
      </c>
      <c r="Y240" s="148">
        <f t="array" ref="Y240">IFERROR(XLOOKUP(R240,'Refrence Data'!B:B,'Refrence Data'!N:N),"NA")</f>
        <v>0.792897</v>
      </c>
      <c r="Z240" s="95" t="str">
        <f t="shared" si="5"/>
        <v>HIGH</v>
      </c>
      <c r="AA240" s="147">
        <f t="array" ref="AA240">XLOOKUP(R240,'Refrence Data'!B:B,'Refrence Data'!AC:AC)</f>
        <v>3.91889</v>
      </c>
      <c r="AB240" s="147">
        <f t="array" ref="AB240">IFERROR(XLOOKUP(R240,'Refrence Data'!B:B,'Refrence Data'!Y:Y),"NA")</f>
        <v>6.50932</v>
      </c>
      <c r="AC240" s="95" t="str">
        <f t="shared" si="6"/>
        <v>High</v>
      </c>
      <c r="AD240" s="95" t="str">
        <f t="shared" si="7"/>
        <v>Depth</v>
      </c>
      <c r="AE240" s="95" t="str">
        <f t="shared" si="8"/>
        <v>HIGHHighDepth</v>
      </c>
      <c r="AF240" s="95">
        <f t="array" ref="AF240">XLOOKUP(AE240,'Category Saturation'!A:A,'Category Saturation'!E:E)</f>
        <v>0</v>
      </c>
      <c r="AH240" s="148">
        <f t="array" ref="AH240">iferror(XLOOKUP(R240,'New Launch Success Rate'!A:A,'New Launch Success Rate'!F:F),"NA")</f>
        <v>0.5</v>
      </c>
      <c r="AI240" s="95">
        <f t="shared" si="9"/>
        <v>50</v>
      </c>
      <c r="AK240" s="149">
        <f t="shared" si="10"/>
        <v>65</v>
      </c>
      <c r="AM240" s="150">
        <f t="array" ref="AM240">XLOOKUP(R240,'Non Moving'!C:C,'Non Moving'!I:I)/100</f>
        <v>0.031</v>
      </c>
      <c r="AN240" s="151">
        <f t="shared" si="11"/>
        <v>100</v>
      </c>
      <c r="AO240" s="150">
        <f t="array" ref="AO240">XLOOKUP(R240,'Non Moving'!C:C,'Non Moving'!F:F)/100</f>
        <v>0.114</v>
      </c>
      <c r="AP240" s="151">
        <f t="shared" si="12"/>
        <v>100</v>
      </c>
      <c r="AR240" s="95">
        <f t="shared" si="13"/>
        <v>100</v>
      </c>
      <c r="AT240" s="95">
        <f t="shared" si="14"/>
        <v>0</v>
      </c>
      <c r="AU240" s="95">
        <f t="array" ref="AU240">iferror(XLOOKUP(J240,Monetization!A:A,Monetization!B:B),25)</f>
        <v>25</v>
      </c>
      <c r="AW240" s="95">
        <f t="shared" si="15"/>
        <v>7.5</v>
      </c>
      <c r="AY240" s="149">
        <f t="shared" si="16"/>
        <v>67.5</v>
      </c>
      <c r="AZ240" s="95" t="str">
        <f t="shared" si="17"/>
        <v>50-75</v>
      </c>
      <c r="BA240" s="95" t="str">
        <f t="shared" si="18"/>
        <v>50-75</v>
      </c>
      <c r="BB240" s="152">
        <f t="array" ref="BB240">iferror(XLOOKUP(C240,Sheet9!A:A,Sheet9!D:D),0)</f>
        <v>0</v>
      </c>
      <c r="BC240" s="2">
        <v>1.0</v>
      </c>
      <c r="BD240" s="95">
        <f t="array" ref="BD240">XLOOKUP(C240,ROS!C:C,ROS!O:O)</f>
        <v>0</v>
      </c>
      <c r="BE240" s="147" t="str">
        <f t="array" ref="BE240">IFERROR(XLOOKUP(C240,ROS!T:T,ROS!U:U),"")</f>
        <v/>
      </c>
      <c r="BF240" s="147">
        <f t="array" ref="BF240">XLOOKUP(R240,'Refrence Data'!B:B,'Refrence Data'!T:T)</f>
        <v>0.466667</v>
      </c>
      <c r="BG240" s="95">
        <f t="shared" si="19"/>
        <v>0</v>
      </c>
      <c r="BH240" s="4" t="str">
        <f t="shared" si="20"/>
        <v/>
      </c>
      <c r="BO240" s="153"/>
      <c r="BP240" s="153" t="str">
        <f t="shared" si="26"/>
        <v/>
      </c>
      <c r="BQ240" s="153"/>
      <c r="BR240" s="153"/>
      <c r="BS240" s="153"/>
    </row>
    <row r="241">
      <c r="A241" s="171">
        <v>5.000137016955E12</v>
      </c>
      <c r="B241" s="171" t="s">
        <v>3521</v>
      </c>
      <c r="C241" s="137" t="s">
        <v>1202</v>
      </c>
      <c r="D241" s="138" t="s">
        <v>644</v>
      </c>
      <c r="E241" s="139" t="s">
        <v>652</v>
      </c>
      <c r="F241" s="140" t="s">
        <v>3600</v>
      </c>
      <c r="G241" s="141">
        <v>0.0</v>
      </c>
      <c r="H241" s="142">
        <v>20.37614</v>
      </c>
      <c r="I241" s="143" t="s">
        <v>111</v>
      </c>
      <c r="J241" s="83"/>
      <c r="K241" s="174">
        <v>225.0</v>
      </c>
      <c r="R241" s="145" t="str">
        <f t="shared" si="1"/>
        <v>Biscuits &amp; Cookies_20-25</v>
      </c>
      <c r="S241" s="146" t="str">
        <f t="shared" si="2"/>
        <v>20-25</v>
      </c>
      <c r="T241" s="95" t="str">
        <f t="array" ref="T241">XLOOKUP(C241,'Depth or Width'!P:P,'Depth or Width'!V:V)</f>
        <v>Width</v>
      </c>
      <c r="U241" s="93">
        <f t="shared" si="3"/>
        <v>5</v>
      </c>
      <c r="V241" s="147">
        <f t="array" ref="V241">iferror(XLOOKUP(R241,'Refrence Data'!B:B,'Refrence Data'!W:W),"NA")</f>
        <v>2.104519</v>
      </c>
      <c r="W241" s="95">
        <f t="shared" si="4"/>
        <v>0</v>
      </c>
      <c r="Y241" s="148">
        <f t="array" ref="Y241">IFERROR(XLOOKUP(R241,'Refrence Data'!B:B,'Refrence Data'!N:N),"NA")</f>
        <v>0.888353</v>
      </c>
      <c r="Z241" s="95" t="str">
        <f t="shared" si="5"/>
        <v>HIGH</v>
      </c>
      <c r="AA241" s="147">
        <f t="array" ref="AA241">XLOOKUP(R241,'Refrence Data'!B:B,'Refrence Data'!AC:AC)</f>
        <v>3.91889</v>
      </c>
      <c r="AB241" s="147">
        <f t="array" ref="AB241">IFERROR(XLOOKUP(R241,'Refrence Data'!B:B,'Refrence Data'!Y:Y),"NA")</f>
        <v>1.419829</v>
      </c>
      <c r="AC241" s="95" t="str">
        <f t="shared" si="6"/>
        <v>Low</v>
      </c>
      <c r="AD241" s="95" t="str">
        <f t="shared" si="7"/>
        <v>Width</v>
      </c>
      <c r="AE241" s="95" t="str">
        <f t="shared" si="8"/>
        <v>HIGHLowWidth</v>
      </c>
      <c r="AF241" s="95">
        <f t="array" ref="AF241">XLOOKUP(AE241,'Category Saturation'!A:A,'Category Saturation'!E:E)</f>
        <v>15</v>
      </c>
      <c r="AH241" s="148">
        <f t="array" ref="AH241">iferror(XLOOKUP(R241,'New Launch Success Rate'!A:A,'New Launch Success Rate'!F:F),"NA")</f>
        <v>0.68175</v>
      </c>
      <c r="AI241" s="95">
        <f t="shared" si="9"/>
        <v>50</v>
      </c>
      <c r="AK241" s="149">
        <f t="shared" si="10"/>
        <v>9.5</v>
      </c>
      <c r="AM241" s="150">
        <f t="array" ref="AM241">XLOOKUP(R241,'Non Moving'!C:C,'Non Moving'!I:I)/100</f>
        <v>0.065</v>
      </c>
      <c r="AN241" s="151">
        <f t="shared" si="11"/>
        <v>100</v>
      </c>
      <c r="AO241" s="150">
        <f t="array" ref="AO241">XLOOKUP(R241,'Non Moving'!C:C,'Non Moving'!F:F)/100</f>
        <v>0.161</v>
      </c>
      <c r="AP241" s="151">
        <f t="shared" si="12"/>
        <v>100</v>
      </c>
      <c r="AR241" s="95">
        <f t="shared" si="13"/>
        <v>100</v>
      </c>
      <c r="AT241" s="95">
        <f t="shared" si="14"/>
        <v>0</v>
      </c>
      <c r="AU241" s="95">
        <f t="array" ref="AU241">iferror(XLOOKUP(J241,Monetization!A:A,Monetization!B:B),25)</f>
        <v>25</v>
      </c>
      <c r="AW241" s="95">
        <f t="shared" si="15"/>
        <v>7.5</v>
      </c>
      <c r="AY241" s="149">
        <f t="shared" si="16"/>
        <v>45.3</v>
      </c>
      <c r="AZ241" s="95" t="str">
        <f t="shared" si="17"/>
        <v>25-50</v>
      </c>
      <c r="BA241" s="95" t="str">
        <f t="shared" si="18"/>
        <v>0-25</v>
      </c>
      <c r="BB241" s="152">
        <f t="array" ref="BB241">iferror(XLOOKUP(C241,Sheet9!A:A,Sheet9!D:D),0)</f>
        <v>0</v>
      </c>
      <c r="BC241" s="2">
        <v>1.0</v>
      </c>
      <c r="BD241" s="95">
        <f t="array" ref="BD241">XLOOKUP(C241,ROS!C:C,ROS!O:O)</f>
        <v>0.71978</v>
      </c>
      <c r="BE241" s="147" t="str">
        <f t="array" ref="BE241">IFERROR(XLOOKUP(C241,ROS!T:T,ROS!U:U),"")</f>
        <v/>
      </c>
      <c r="BF241" s="147">
        <f t="array" ref="BF241">XLOOKUP(R241,'Refrence Data'!B:B,'Refrence Data'!T:T)</f>
        <v>0.366667</v>
      </c>
      <c r="BG241" s="95">
        <f t="shared" si="19"/>
        <v>0</v>
      </c>
      <c r="BH241" s="4" t="str">
        <f t="shared" si="20"/>
        <v/>
      </c>
      <c r="BO241" s="153"/>
      <c r="BP241" s="153" t="str">
        <f t="shared" si="26"/>
        <v/>
      </c>
      <c r="BQ241" s="153"/>
      <c r="BR241" s="153"/>
      <c r="BS241" s="153"/>
    </row>
    <row r="242">
      <c r="A242" s="171">
        <v>3.800020492925E12</v>
      </c>
      <c r="B242" s="171" t="s">
        <v>3521</v>
      </c>
      <c r="C242" s="137" t="s">
        <v>1204</v>
      </c>
      <c r="D242" s="138" t="s">
        <v>644</v>
      </c>
      <c r="E242" s="139" t="s">
        <v>1171</v>
      </c>
      <c r="F242" s="140" t="s">
        <v>3600</v>
      </c>
      <c r="G242" s="141">
        <v>0.0</v>
      </c>
      <c r="H242" s="142">
        <v>11.99053</v>
      </c>
      <c r="I242" s="143" t="s">
        <v>111</v>
      </c>
      <c r="J242" s="83"/>
      <c r="K242" s="174">
        <v>365.0</v>
      </c>
      <c r="R242" s="145" t="str">
        <f t="shared" si="1"/>
        <v>Jellies &amp; Candies_10-15</v>
      </c>
      <c r="S242" s="146" t="str">
        <f t="shared" si="2"/>
        <v>10-15</v>
      </c>
      <c r="T242" s="95" t="str">
        <f t="array" ref="T242">XLOOKUP(C242,'Depth or Width'!P:P,'Depth or Width'!V:V)</f>
        <v>Width</v>
      </c>
      <c r="U242" s="93">
        <f t="shared" si="3"/>
        <v>5</v>
      </c>
      <c r="V242" s="147">
        <f t="array" ref="V242">iferror(XLOOKUP(R242,'Refrence Data'!B:B,'Refrence Data'!W:W),"NA")</f>
        <v>3.016175</v>
      </c>
      <c r="W242" s="95">
        <f t="shared" si="4"/>
        <v>50</v>
      </c>
      <c r="Y242" s="148">
        <f t="array" ref="Y242">IFERROR(XLOOKUP(R242,'Refrence Data'!B:B,'Refrence Data'!N:N),"NA")</f>
        <v>0.933489</v>
      </c>
      <c r="Z242" s="95" t="str">
        <f t="shared" si="5"/>
        <v>HIGH</v>
      </c>
      <c r="AA242" s="147">
        <f t="array" ref="AA242">XLOOKUP(R242,'Refrence Data'!B:B,'Refrence Data'!AC:AC)</f>
        <v>3.630278</v>
      </c>
      <c r="AB242" s="147">
        <f t="array" ref="AB242">IFERROR(XLOOKUP(R242,'Refrence Data'!B:B,'Refrence Data'!Y:Y),"NA")</f>
        <v>3.630278</v>
      </c>
      <c r="AC242" s="95" t="str">
        <f t="shared" si="6"/>
        <v>High</v>
      </c>
      <c r="AD242" s="95" t="str">
        <f t="shared" si="7"/>
        <v>Width</v>
      </c>
      <c r="AE242" s="95" t="str">
        <f t="shared" si="8"/>
        <v>HIGHHighWidth</v>
      </c>
      <c r="AF242" s="95">
        <f t="array" ref="AF242">XLOOKUP(AE242,'Category Saturation'!A:A,'Category Saturation'!E:E)</f>
        <v>25</v>
      </c>
      <c r="AH242" s="148">
        <f t="array" ref="AH242">iferror(XLOOKUP(R242,'New Launch Success Rate'!A:A,'New Launch Success Rate'!F:F),"NA")</f>
        <v>0.46875</v>
      </c>
      <c r="AI242" s="95">
        <f t="shared" si="9"/>
        <v>25</v>
      </c>
      <c r="AK242" s="149">
        <f t="shared" si="10"/>
        <v>40</v>
      </c>
      <c r="AM242" s="150">
        <f t="array" ref="AM242">XLOOKUP(R242,'Non Moving'!C:C,'Non Moving'!I:I)/100</f>
        <v>0.025</v>
      </c>
      <c r="AN242" s="151">
        <f t="shared" si="11"/>
        <v>100</v>
      </c>
      <c r="AO242" s="150">
        <f t="array" ref="AO242">XLOOKUP(R242,'Non Moving'!C:C,'Non Moving'!F:F)/100</f>
        <v>0.097</v>
      </c>
      <c r="AP242" s="151">
        <f t="shared" si="12"/>
        <v>100</v>
      </c>
      <c r="AR242" s="95">
        <f t="shared" si="13"/>
        <v>100</v>
      </c>
      <c r="AT242" s="95">
        <f t="shared" si="14"/>
        <v>0</v>
      </c>
      <c r="AU242" s="95">
        <f t="array" ref="AU242">iferror(XLOOKUP(J242,Monetization!A:A,Monetization!B:B),25)</f>
        <v>25</v>
      </c>
      <c r="AW242" s="95">
        <f t="shared" si="15"/>
        <v>7.5</v>
      </c>
      <c r="AY242" s="149">
        <f t="shared" si="16"/>
        <v>57.5</v>
      </c>
      <c r="AZ242" s="95" t="str">
        <f t="shared" si="17"/>
        <v>50-75</v>
      </c>
      <c r="BA242" s="95" t="str">
        <f t="shared" si="18"/>
        <v>25-50</v>
      </c>
      <c r="BB242" s="152">
        <f t="array" ref="BB242">iferror(XLOOKUP(C242,Sheet9!A:A,Sheet9!D:D),0)</f>
        <v>0</v>
      </c>
      <c r="BC242" s="2">
        <v>1.0</v>
      </c>
      <c r="BD242" s="95">
        <f t="array" ref="BD242">XLOOKUP(C242,ROS!C:C,ROS!O:O)</f>
        <v>0</v>
      </c>
      <c r="BE242" s="147" t="str">
        <f t="array" ref="BE242">IFERROR(XLOOKUP(C242,ROS!T:T,ROS!U:U),"")</f>
        <v/>
      </c>
      <c r="BF242" s="147">
        <f t="array" ref="BF242">XLOOKUP(R242,'Refrence Data'!B:B,'Refrence Data'!T:T)</f>
        <v>0.033333</v>
      </c>
      <c r="BG242" s="95">
        <f t="shared" si="19"/>
        <v>0</v>
      </c>
      <c r="BH242" s="4" t="str">
        <f t="shared" si="20"/>
        <v/>
      </c>
      <c r="BO242" s="153"/>
      <c r="BP242" s="153" t="str">
        <f t="shared" si="26"/>
        <v/>
      </c>
      <c r="BQ242" s="153"/>
      <c r="BR242" s="153"/>
      <c r="BS242" s="153"/>
    </row>
    <row r="243">
      <c r="A243" s="171">
        <v>8.445291561359E12</v>
      </c>
      <c r="B243" s="171" t="s">
        <v>3521</v>
      </c>
      <c r="C243" s="137" t="s">
        <v>1206</v>
      </c>
      <c r="D243" s="138" t="s">
        <v>644</v>
      </c>
      <c r="E243" s="139" t="s">
        <v>709</v>
      </c>
      <c r="F243" s="140" t="s">
        <v>3600</v>
      </c>
      <c r="G243" s="141">
        <v>0.0</v>
      </c>
      <c r="H243" s="142">
        <v>18.13483</v>
      </c>
      <c r="I243" s="143" t="s">
        <v>111</v>
      </c>
      <c r="J243" s="83"/>
      <c r="K243" s="174">
        <v>365.0</v>
      </c>
      <c r="R243" s="145" t="str">
        <f t="shared" si="1"/>
        <v>Sharing &amp; Gifting_15-20</v>
      </c>
      <c r="S243" s="146" t="str">
        <f t="shared" si="2"/>
        <v>15-20</v>
      </c>
      <c r="T243" s="95" t="str">
        <f t="array" ref="T243">XLOOKUP(C243,'Depth or Width'!P:P,'Depth or Width'!V:V)</f>
        <v>Width</v>
      </c>
      <c r="U243" s="93">
        <f t="shared" si="3"/>
        <v>5</v>
      </c>
      <c r="V243" s="147">
        <f t="array" ref="V243">iferror(XLOOKUP(R243,'Refrence Data'!B:B,'Refrence Data'!W:W),"NA")</f>
        <v>6.098322</v>
      </c>
      <c r="W243" s="95">
        <f t="shared" si="4"/>
        <v>100</v>
      </c>
      <c r="Y243" s="148">
        <f t="array" ref="Y243">IFERROR(XLOOKUP(R243,'Refrence Data'!B:B,'Refrence Data'!N:N),"NA")</f>
        <v>0.677309</v>
      </c>
      <c r="Z243" s="95" t="str">
        <f t="shared" si="5"/>
        <v>MEDIUM</v>
      </c>
      <c r="AA243" s="147">
        <f t="array" ref="AA243">XLOOKUP(R243,'Refrence Data'!B:B,'Refrence Data'!AC:AC)</f>
        <v>4.126524</v>
      </c>
      <c r="AB243" s="147">
        <f t="array" ref="AB243">IFERROR(XLOOKUP(R243,'Refrence Data'!B:B,'Refrence Data'!Y:Y),"NA")</f>
        <v>4.126524</v>
      </c>
      <c r="AC243" s="95" t="str">
        <f t="shared" si="6"/>
        <v>High</v>
      </c>
      <c r="AD243" s="95" t="str">
        <f t="shared" si="7"/>
        <v>Width</v>
      </c>
      <c r="AE243" s="95" t="str">
        <f t="shared" si="8"/>
        <v>MEDIUMHighWidth</v>
      </c>
      <c r="AF243" s="95">
        <f t="array" ref="AF243">XLOOKUP(AE243,'Category Saturation'!A:A,'Category Saturation'!E:E)</f>
        <v>10</v>
      </c>
      <c r="AH243" s="148">
        <f t="array" ref="AH243">iferror(XLOOKUP(R243,'New Launch Success Rate'!A:A,'New Launch Success Rate'!F:F),"NA")</f>
        <v>0.45</v>
      </c>
      <c r="AI243" s="95">
        <f t="shared" si="9"/>
        <v>25</v>
      </c>
      <c r="AK243" s="149">
        <f t="shared" si="10"/>
        <v>65.5</v>
      </c>
      <c r="AM243" s="150">
        <f t="array" ref="AM243">XLOOKUP(R243,'Non Moving'!C:C,'Non Moving'!I:I)/100</f>
        <v>0.016</v>
      </c>
      <c r="AN243" s="151">
        <f t="shared" si="11"/>
        <v>100</v>
      </c>
      <c r="AO243" s="150">
        <f t="array" ref="AO243">XLOOKUP(R243,'Non Moving'!C:C,'Non Moving'!F:F)/100</f>
        <v>0.083</v>
      </c>
      <c r="AP243" s="151">
        <f t="shared" si="12"/>
        <v>100</v>
      </c>
      <c r="AR243" s="95">
        <f t="shared" si="13"/>
        <v>100</v>
      </c>
      <c r="AT243" s="95">
        <f t="shared" si="14"/>
        <v>0</v>
      </c>
      <c r="AU243" s="95">
        <f t="array" ref="AU243">iferror(XLOOKUP(J243,Monetization!A:A,Monetization!B:B),25)</f>
        <v>25</v>
      </c>
      <c r="AW243" s="95">
        <f t="shared" si="15"/>
        <v>7.5</v>
      </c>
      <c r="AY243" s="149">
        <f t="shared" si="16"/>
        <v>67.7</v>
      </c>
      <c r="AZ243" s="95" t="str">
        <f t="shared" si="17"/>
        <v>50-75</v>
      </c>
      <c r="BA243" s="95" t="str">
        <f t="shared" si="18"/>
        <v>50-75</v>
      </c>
      <c r="BB243" s="152">
        <f t="array" ref="BB243">iferror(XLOOKUP(C243,Sheet9!A:A,Sheet9!D:D),0)</f>
        <v>0</v>
      </c>
      <c r="BC243" s="2">
        <v>1.0</v>
      </c>
      <c r="BD243" s="95">
        <f t="array" ref="BD243">XLOOKUP(C243,ROS!C:C,ROS!O:O)</f>
        <v>0</v>
      </c>
      <c r="BE243" s="147">
        <f t="array" ref="BE243">IFERROR(XLOOKUP(C243,ROS!T:T,ROS!U:U),"")</f>
        <v>0</v>
      </c>
      <c r="BF243" s="147">
        <f t="array" ref="BF243">XLOOKUP(R243,'Refrence Data'!B:B,'Refrence Data'!T:T)</f>
        <v>3.382314</v>
      </c>
      <c r="BG243" s="95">
        <f t="shared" si="19"/>
        <v>0</v>
      </c>
      <c r="BH243" s="4" t="str">
        <f t="shared" si="20"/>
        <v/>
      </c>
      <c r="BO243" s="153"/>
      <c r="BP243" s="153" t="str">
        <f t="shared" si="26"/>
        <v/>
      </c>
      <c r="BQ243" s="153"/>
      <c r="BR243" s="153"/>
      <c r="BS243" s="153"/>
    </row>
    <row r="244">
      <c r="A244" s="171">
        <v>3.535800111405E12</v>
      </c>
      <c r="B244" s="171" t="s">
        <v>3521</v>
      </c>
      <c r="C244" s="137" t="s">
        <v>1207</v>
      </c>
      <c r="D244" s="138" t="s">
        <v>644</v>
      </c>
      <c r="E244" s="139" t="s">
        <v>1198</v>
      </c>
      <c r="F244" s="140" t="s">
        <v>3606</v>
      </c>
      <c r="G244" s="141">
        <v>0.0</v>
      </c>
      <c r="H244" s="142">
        <v>101.0049</v>
      </c>
      <c r="I244" s="143" t="s">
        <v>111</v>
      </c>
      <c r="J244" s="83"/>
      <c r="K244" s="174">
        <v>365.0</v>
      </c>
      <c r="R244" s="145" t="str">
        <f t="shared" si="1"/>
        <v>Wafers &amp; Cakes_25+</v>
      </c>
      <c r="S244" s="146" t="str">
        <f t="shared" si="2"/>
        <v>25+</v>
      </c>
      <c r="T244" s="95" t="str">
        <f t="array" ref="T244">XLOOKUP(C244,'Depth or Width'!P:P,'Depth or Width'!V:V)</f>
        <v>Width</v>
      </c>
      <c r="U244" s="93">
        <f t="shared" si="3"/>
        <v>5</v>
      </c>
      <c r="V244" s="147">
        <f t="array" ref="V244">iferror(XLOOKUP(R244,'Refrence Data'!B:B,'Refrence Data'!W:W),"NA")</f>
        <v>0.834483</v>
      </c>
      <c r="W244" s="95">
        <f t="shared" si="4"/>
        <v>0</v>
      </c>
      <c r="Y244" s="148">
        <f t="array" ref="Y244">IFERROR(XLOOKUP(R244,'Refrence Data'!B:B,'Refrence Data'!N:N),"NA")</f>
        <v>0.596708</v>
      </c>
      <c r="Z244" s="95" t="str">
        <f t="shared" si="5"/>
        <v>MEDIUM</v>
      </c>
      <c r="AA244" s="147">
        <f t="array" ref="AA244">XLOOKUP(R244,'Refrence Data'!B:B,'Refrence Data'!AC:AC)</f>
        <v>1.709981</v>
      </c>
      <c r="AB244" s="147">
        <f t="array" ref="AB244">IFERROR(XLOOKUP(R244,'Refrence Data'!B:B,'Refrence Data'!Y:Y),"NA")</f>
        <v>0.852653</v>
      </c>
      <c r="AC244" s="95" t="str">
        <f t="shared" si="6"/>
        <v>Low</v>
      </c>
      <c r="AD244" s="95" t="str">
        <f t="shared" si="7"/>
        <v>Width</v>
      </c>
      <c r="AE244" s="95" t="str">
        <f t="shared" si="8"/>
        <v>MEDIUMLowWidth</v>
      </c>
      <c r="AF244" s="95">
        <f t="array" ref="AF244">XLOOKUP(AE244,'Category Saturation'!A:A,'Category Saturation'!E:E)</f>
        <v>25</v>
      </c>
      <c r="AH244" s="148">
        <f t="array" ref="AH244">iferror(XLOOKUP(R244,'New Launch Success Rate'!A:A,'New Launch Success Rate'!F:F),"NA")</f>
        <v>0.51</v>
      </c>
      <c r="AI244" s="95">
        <f t="shared" si="9"/>
        <v>50</v>
      </c>
      <c r="AK244" s="149">
        <f t="shared" si="10"/>
        <v>12.5</v>
      </c>
      <c r="AM244" s="150">
        <f t="array" ref="AM244">XLOOKUP(R244,'Non Moving'!C:C,'Non Moving'!I:I)/100</f>
        <v>0.295</v>
      </c>
      <c r="AN244" s="151">
        <f t="shared" si="11"/>
        <v>0</v>
      </c>
      <c r="AO244" s="150">
        <f t="array" ref="AO244">XLOOKUP(R244,'Non Moving'!C:C,'Non Moving'!F:F)/100</f>
        <v>0.548</v>
      </c>
      <c r="AP244" s="151">
        <f t="shared" si="12"/>
        <v>0</v>
      </c>
      <c r="AR244" s="95">
        <f t="shared" si="13"/>
        <v>0</v>
      </c>
      <c r="AT244" s="95">
        <f t="shared" si="14"/>
        <v>0</v>
      </c>
      <c r="AU244" s="95">
        <f t="array" ref="AU244">iferror(XLOOKUP(J244,Monetization!A:A,Monetization!B:B),25)</f>
        <v>25</v>
      </c>
      <c r="AW244" s="95">
        <f t="shared" si="15"/>
        <v>7.5</v>
      </c>
      <c r="AY244" s="149">
        <f t="shared" si="16"/>
        <v>6.5</v>
      </c>
      <c r="AZ244" s="95" t="str">
        <f t="shared" si="17"/>
        <v>0-25</v>
      </c>
      <c r="BA244" s="95" t="str">
        <f t="shared" si="18"/>
        <v>0-25</v>
      </c>
      <c r="BB244" s="152">
        <f t="array" ref="BB244">iferror(XLOOKUP(C244,Sheet9!A:A,Sheet9!D:D),0)</f>
        <v>1</v>
      </c>
      <c r="BC244" s="2">
        <v>1.0</v>
      </c>
      <c r="BD244" s="95">
        <f t="array" ref="BD244">XLOOKUP(C244,ROS!C:C,ROS!O:O)</f>
        <v>0</v>
      </c>
      <c r="BE244" s="147">
        <f t="array" ref="BE244">IFERROR(XLOOKUP(C244,ROS!T:T,ROS!U:U),"")</f>
        <v>0</v>
      </c>
      <c r="BF244" s="147">
        <f t="array" ref="BF244">XLOOKUP(R244,'Refrence Data'!B:B,'Refrence Data'!T:T)</f>
        <v>0.133333</v>
      </c>
      <c r="BG244" s="95">
        <f t="shared" si="19"/>
        <v>0</v>
      </c>
      <c r="BH244" s="4" t="str">
        <f t="shared" si="20"/>
        <v>TN</v>
      </c>
      <c r="BO244" s="153"/>
      <c r="BP244" s="153" t="str">
        <f t="shared" si="26"/>
        <v>TN</v>
      </c>
      <c r="BQ244" s="153"/>
      <c r="BR244" s="153"/>
      <c r="BS244" s="153"/>
    </row>
    <row r="245">
      <c r="A245" s="171">
        <v>3.535800009795E12</v>
      </c>
      <c r="B245" s="171" t="s">
        <v>3521</v>
      </c>
      <c r="C245" s="137" t="s">
        <v>1210</v>
      </c>
      <c r="D245" s="138" t="s">
        <v>644</v>
      </c>
      <c r="E245" s="139" t="s">
        <v>1198</v>
      </c>
      <c r="F245" s="140" t="s">
        <v>3606</v>
      </c>
      <c r="G245" s="141">
        <v>0.0</v>
      </c>
      <c r="H245" s="142">
        <v>23.87114</v>
      </c>
      <c r="I245" s="143" t="s">
        <v>111</v>
      </c>
      <c r="J245" s="83"/>
      <c r="K245" s="174">
        <v>365.0</v>
      </c>
      <c r="R245" s="145" t="str">
        <f t="shared" si="1"/>
        <v>Wafers &amp; Cakes_20-25</v>
      </c>
      <c r="S245" s="146" t="str">
        <f t="shared" si="2"/>
        <v>20-25</v>
      </c>
      <c r="T245" s="95" t="str">
        <f t="array" ref="T245">XLOOKUP(C245,'Depth or Width'!P:P,'Depth or Width'!V:V)</f>
        <v>Width</v>
      </c>
      <c r="U245" s="93">
        <f t="shared" si="3"/>
        <v>5</v>
      </c>
      <c r="V245" s="147">
        <f t="array" ref="V245">iferror(XLOOKUP(R245,'Refrence Data'!B:B,'Refrence Data'!W:W),"NA")</f>
        <v>4.452983</v>
      </c>
      <c r="W245" s="95">
        <f t="shared" si="4"/>
        <v>75</v>
      </c>
      <c r="Y245" s="148">
        <f t="array" ref="Y245">IFERROR(XLOOKUP(R245,'Refrence Data'!B:B,'Refrence Data'!N:N),"NA")</f>
        <v>0.659437</v>
      </c>
      <c r="Z245" s="95" t="str">
        <f t="shared" si="5"/>
        <v>MEDIUM</v>
      </c>
      <c r="AA245" s="147">
        <f t="array" ref="AA245">XLOOKUP(R245,'Refrence Data'!B:B,'Refrence Data'!AC:AC)</f>
        <v>1.709981</v>
      </c>
      <c r="AB245" s="147">
        <f t="array" ref="AB245">IFERROR(XLOOKUP(R245,'Refrence Data'!B:B,'Refrence Data'!Y:Y),"NA")</f>
        <v>5.446534</v>
      </c>
      <c r="AC245" s="95" t="str">
        <f t="shared" si="6"/>
        <v>High</v>
      </c>
      <c r="AD245" s="95" t="str">
        <f t="shared" si="7"/>
        <v>Width</v>
      </c>
      <c r="AE245" s="95" t="str">
        <f t="shared" si="8"/>
        <v>MEDIUMHighWidth</v>
      </c>
      <c r="AF245" s="95">
        <f t="array" ref="AF245">XLOOKUP(AE245,'Category Saturation'!A:A,'Category Saturation'!E:E)</f>
        <v>10</v>
      </c>
      <c r="AH245" s="148">
        <f t="array" ref="AH245">iferror(XLOOKUP(R245,'New Launch Success Rate'!A:A,'New Launch Success Rate'!F:F),"NA")</f>
        <v>0.68175</v>
      </c>
      <c r="AI245" s="95">
        <f t="shared" si="9"/>
        <v>50</v>
      </c>
      <c r="AK245" s="149">
        <f t="shared" si="10"/>
        <v>53</v>
      </c>
      <c r="AM245" s="150">
        <f t="array" ref="AM245">XLOOKUP(R245,'Non Moving'!C:C,'Non Moving'!I:I)/100</f>
        <v>0.039</v>
      </c>
      <c r="AN245" s="151">
        <f t="shared" si="11"/>
        <v>100</v>
      </c>
      <c r="AO245" s="150">
        <f t="array" ref="AO245">XLOOKUP(R245,'Non Moving'!C:C,'Non Moving'!F:F)/100</f>
        <v>0.21</v>
      </c>
      <c r="AP245" s="151">
        <f t="shared" si="12"/>
        <v>100</v>
      </c>
      <c r="AR245" s="95">
        <f t="shared" si="13"/>
        <v>100</v>
      </c>
      <c r="AT245" s="95">
        <f t="shared" si="14"/>
        <v>0</v>
      </c>
      <c r="AU245" s="95">
        <f t="array" ref="AU245">iferror(XLOOKUP(J245,Monetization!A:A,Monetization!B:B),25)</f>
        <v>25</v>
      </c>
      <c r="AW245" s="95">
        <f t="shared" si="15"/>
        <v>7.5</v>
      </c>
      <c r="AY245" s="149">
        <f t="shared" si="16"/>
        <v>62.7</v>
      </c>
      <c r="AZ245" s="95" t="str">
        <f t="shared" si="17"/>
        <v>50-75</v>
      </c>
      <c r="BA245" s="95" t="str">
        <f t="shared" si="18"/>
        <v>50-75</v>
      </c>
      <c r="BB245" s="152">
        <f t="array" ref="BB245">iferror(XLOOKUP(C245,Sheet9!A:A,Sheet9!D:D),0)</f>
        <v>0.98</v>
      </c>
      <c r="BC245" s="2">
        <v>1.0</v>
      </c>
      <c r="BD245" s="95">
        <f t="array" ref="BD245">XLOOKUP(C245,ROS!C:C,ROS!O:O)</f>
        <v>0</v>
      </c>
      <c r="BE245" s="147">
        <f t="array" ref="BE245">IFERROR(XLOOKUP(C245,ROS!T:T,ROS!U:U),"")</f>
        <v>0.181818182</v>
      </c>
      <c r="BF245" s="147">
        <f t="array" ref="BF245">XLOOKUP(R245,'Refrence Data'!B:B,'Refrence Data'!T:T)</f>
        <v>1.28725</v>
      </c>
      <c r="BG245" s="95">
        <f t="shared" si="19"/>
        <v>0</v>
      </c>
      <c r="BH245" s="4" t="str">
        <f t="shared" si="20"/>
        <v>FP</v>
      </c>
      <c r="BO245" s="153"/>
      <c r="BP245" s="153" t="str">
        <f t="shared" si="26"/>
        <v>FP</v>
      </c>
      <c r="BQ245" s="153"/>
      <c r="BR245" s="153"/>
      <c r="BS245" s="153"/>
    </row>
    <row r="246">
      <c r="A246" s="171">
        <v>3.431410132E12</v>
      </c>
      <c r="B246" s="171" t="s">
        <v>3521</v>
      </c>
      <c r="C246" s="137" t="s">
        <v>1211</v>
      </c>
      <c r="D246" s="138" t="s">
        <v>644</v>
      </c>
      <c r="E246" s="139" t="s">
        <v>1198</v>
      </c>
      <c r="F246" s="140" t="s">
        <v>3606</v>
      </c>
      <c r="G246" s="141">
        <v>0.0</v>
      </c>
      <c r="H246" s="142">
        <v>18.58822</v>
      </c>
      <c r="I246" s="143" t="s">
        <v>111</v>
      </c>
      <c r="J246" s="83"/>
      <c r="K246" s="174">
        <v>365.0</v>
      </c>
      <c r="R246" s="145" t="str">
        <f t="shared" si="1"/>
        <v>Wafers &amp; Cakes_15-20</v>
      </c>
      <c r="S246" s="146" t="str">
        <f t="shared" si="2"/>
        <v>15-20</v>
      </c>
      <c r="T246" s="95" t="str">
        <f t="array" ref="T246">XLOOKUP(C246,'Depth or Width'!P:P,'Depth or Width'!V:V)</f>
        <v>Width</v>
      </c>
      <c r="U246" s="93">
        <f t="shared" si="3"/>
        <v>5</v>
      </c>
      <c r="V246" s="147">
        <f t="array" ref="V246">iferror(XLOOKUP(R246,'Refrence Data'!B:B,'Refrence Data'!W:W),"NA")</f>
        <v>1.464682</v>
      </c>
      <c r="W246" s="95">
        <f t="shared" si="4"/>
        <v>0</v>
      </c>
      <c r="Y246" s="148">
        <f t="array" ref="Y246">IFERROR(XLOOKUP(R246,'Refrence Data'!B:B,'Refrence Data'!N:N),"NA")</f>
        <v>0.557061</v>
      </c>
      <c r="Z246" s="95" t="str">
        <f t="shared" si="5"/>
        <v>MEDIUM</v>
      </c>
      <c r="AA246" s="147">
        <f t="array" ref="AA246">XLOOKUP(R246,'Refrence Data'!B:B,'Refrence Data'!AC:AC)</f>
        <v>1.709981</v>
      </c>
      <c r="AB246" s="147">
        <f t="array" ref="AB246">IFERROR(XLOOKUP(R246,'Refrence Data'!B:B,'Refrence Data'!Y:Y),"NA")</f>
        <v>1.437698</v>
      </c>
      <c r="AC246" s="95" t="str">
        <f t="shared" si="6"/>
        <v>High</v>
      </c>
      <c r="AD246" s="95" t="str">
        <f t="shared" si="7"/>
        <v>Width</v>
      </c>
      <c r="AE246" s="95" t="str">
        <f t="shared" si="8"/>
        <v>MEDIUMHighWidth</v>
      </c>
      <c r="AF246" s="95">
        <f t="array" ref="AF246">XLOOKUP(AE246,'Category Saturation'!A:A,'Category Saturation'!E:E)</f>
        <v>10</v>
      </c>
      <c r="AH246" s="148">
        <f t="array" ref="AH246">iferror(XLOOKUP(R246,'New Launch Success Rate'!A:A,'New Launch Success Rate'!F:F),"NA")</f>
        <v>0.45</v>
      </c>
      <c r="AI246" s="95">
        <f t="shared" si="9"/>
        <v>25</v>
      </c>
      <c r="AK246" s="149">
        <f t="shared" si="10"/>
        <v>5.5</v>
      </c>
      <c r="AM246" s="150">
        <f t="array" ref="AM246">XLOOKUP(R246,'Non Moving'!C:C,'Non Moving'!I:I)/100</f>
        <v>0.173</v>
      </c>
      <c r="AN246" s="151">
        <f t="shared" si="11"/>
        <v>50</v>
      </c>
      <c r="AO246" s="150">
        <f t="array" ref="AO246">XLOOKUP(R246,'Non Moving'!C:C,'Non Moving'!F:F)/100</f>
        <v>0.285</v>
      </c>
      <c r="AP246" s="151">
        <f t="shared" si="12"/>
        <v>75</v>
      </c>
      <c r="AR246" s="95">
        <f t="shared" si="13"/>
        <v>62.5</v>
      </c>
      <c r="AT246" s="95">
        <f t="shared" si="14"/>
        <v>0</v>
      </c>
      <c r="AU246" s="95">
        <f t="array" ref="AU246">iferror(XLOOKUP(J246,Monetization!A:A,Monetization!B:B),25)</f>
        <v>25</v>
      </c>
      <c r="AW246" s="95">
        <f t="shared" si="15"/>
        <v>7.5</v>
      </c>
      <c r="AY246" s="149">
        <f t="shared" si="16"/>
        <v>28.7</v>
      </c>
      <c r="AZ246" s="95" t="str">
        <f t="shared" si="17"/>
        <v>25-50</v>
      </c>
      <c r="BA246" s="95" t="str">
        <f t="shared" si="18"/>
        <v>0-25</v>
      </c>
      <c r="BB246" s="152">
        <f t="array" ref="BB246">iferror(XLOOKUP(C246,Sheet9!A:A,Sheet9!D:D),0)</f>
        <v>1</v>
      </c>
      <c r="BC246" s="2">
        <v>1.0</v>
      </c>
      <c r="BD246" s="95">
        <f t="array" ref="BD246">XLOOKUP(C246,ROS!C:C,ROS!O:O)</f>
        <v>0</v>
      </c>
      <c r="BE246" s="147">
        <f t="array" ref="BE246">IFERROR(XLOOKUP(C246,ROS!T:T,ROS!U:U),"")</f>
        <v>0</v>
      </c>
      <c r="BF246" s="147">
        <f t="array" ref="BF246">XLOOKUP(R246,'Refrence Data'!B:B,'Refrence Data'!T:T)</f>
        <v>0.292677</v>
      </c>
      <c r="BG246" s="95">
        <f t="shared" si="19"/>
        <v>0</v>
      </c>
      <c r="BH246" s="4" t="str">
        <f t="shared" si="20"/>
        <v>TN</v>
      </c>
      <c r="BO246" s="153"/>
      <c r="BP246" s="153" t="str">
        <f t="shared" si="26"/>
        <v>TN</v>
      </c>
      <c r="BQ246" s="153"/>
      <c r="BR246" s="153"/>
      <c r="BS246" s="153"/>
    </row>
    <row r="247">
      <c r="A247" s="171">
        <v>3.431410131003E12</v>
      </c>
      <c r="B247" s="171" t="s">
        <v>3521</v>
      </c>
      <c r="C247" s="137" t="s">
        <v>1212</v>
      </c>
      <c r="D247" s="138" t="s">
        <v>644</v>
      </c>
      <c r="E247" s="139" t="s">
        <v>1198</v>
      </c>
      <c r="F247" s="140" t="s">
        <v>3606</v>
      </c>
      <c r="G247" s="141">
        <v>0.0</v>
      </c>
      <c r="H247" s="142">
        <v>24.21087</v>
      </c>
      <c r="I247" s="143" t="s">
        <v>111</v>
      </c>
      <c r="J247" s="83"/>
      <c r="K247" s="174">
        <v>365.0</v>
      </c>
      <c r="R247" s="145" t="str">
        <f t="shared" si="1"/>
        <v>Wafers &amp; Cakes_20-25</v>
      </c>
      <c r="S247" s="146" t="str">
        <f t="shared" si="2"/>
        <v>20-25</v>
      </c>
      <c r="T247" s="95" t="str">
        <f t="array" ref="T247">XLOOKUP(C247,'Depth or Width'!P:P,'Depth or Width'!V:V)</f>
        <v>Width</v>
      </c>
      <c r="U247" s="93">
        <f t="shared" si="3"/>
        <v>5</v>
      </c>
      <c r="V247" s="147">
        <f t="array" ref="V247">iferror(XLOOKUP(R247,'Refrence Data'!B:B,'Refrence Data'!W:W),"NA")</f>
        <v>4.452983</v>
      </c>
      <c r="W247" s="95">
        <f t="shared" si="4"/>
        <v>75</v>
      </c>
      <c r="Y247" s="148">
        <f t="array" ref="Y247">IFERROR(XLOOKUP(R247,'Refrence Data'!B:B,'Refrence Data'!N:N),"NA")</f>
        <v>0.659437</v>
      </c>
      <c r="Z247" s="95" t="str">
        <f t="shared" si="5"/>
        <v>MEDIUM</v>
      </c>
      <c r="AA247" s="147">
        <f t="array" ref="AA247">XLOOKUP(R247,'Refrence Data'!B:B,'Refrence Data'!AC:AC)</f>
        <v>1.709981</v>
      </c>
      <c r="AB247" s="147">
        <f t="array" ref="AB247">IFERROR(XLOOKUP(R247,'Refrence Data'!B:B,'Refrence Data'!Y:Y),"NA")</f>
        <v>5.446534</v>
      </c>
      <c r="AC247" s="95" t="str">
        <f t="shared" si="6"/>
        <v>High</v>
      </c>
      <c r="AD247" s="95" t="str">
        <f t="shared" si="7"/>
        <v>Width</v>
      </c>
      <c r="AE247" s="95" t="str">
        <f t="shared" si="8"/>
        <v>MEDIUMHighWidth</v>
      </c>
      <c r="AF247" s="95">
        <f t="array" ref="AF247">XLOOKUP(AE247,'Category Saturation'!A:A,'Category Saturation'!E:E)</f>
        <v>10</v>
      </c>
      <c r="AH247" s="148">
        <f t="array" ref="AH247">iferror(XLOOKUP(R247,'New Launch Success Rate'!A:A,'New Launch Success Rate'!F:F),"NA")</f>
        <v>0.68175</v>
      </c>
      <c r="AI247" s="95">
        <f t="shared" si="9"/>
        <v>50</v>
      </c>
      <c r="AK247" s="149">
        <f t="shared" si="10"/>
        <v>53</v>
      </c>
      <c r="AM247" s="150">
        <f t="array" ref="AM247">XLOOKUP(R247,'Non Moving'!C:C,'Non Moving'!I:I)/100</f>
        <v>0.039</v>
      </c>
      <c r="AN247" s="151">
        <f t="shared" si="11"/>
        <v>100</v>
      </c>
      <c r="AO247" s="150">
        <f t="array" ref="AO247">XLOOKUP(R247,'Non Moving'!C:C,'Non Moving'!F:F)/100</f>
        <v>0.21</v>
      </c>
      <c r="AP247" s="151">
        <f t="shared" si="12"/>
        <v>100</v>
      </c>
      <c r="AR247" s="95">
        <f t="shared" si="13"/>
        <v>100</v>
      </c>
      <c r="AT247" s="95">
        <f t="shared" si="14"/>
        <v>0</v>
      </c>
      <c r="AU247" s="95">
        <f t="array" ref="AU247">iferror(XLOOKUP(J247,Monetization!A:A,Monetization!B:B),25)</f>
        <v>25</v>
      </c>
      <c r="AW247" s="95">
        <f t="shared" si="15"/>
        <v>7.5</v>
      </c>
      <c r="AY247" s="149">
        <f t="shared" si="16"/>
        <v>62.7</v>
      </c>
      <c r="AZ247" s="95" t="str">
        <f t="shared" si="17"/>
        <v>50-75</v>
      </c>
      <c r="BA247" s="95" t="str">
        <f t="shared" si="18"/>
        <v>50-75</v>
      </c>
      <c r="BB247" s="152">
        <f t="array" ref="BB247">iferror(XLOOKUP(C247,Sheet9!A:A,Sheet9!D:D),0)</f>
        <v>1</v>
      </c>
      <c r="BC247" s="2">
        <v>1.0</v>
      </c>
      <c r="BD247" s="95">
        <f t="array" ref="BD247">XLOOKUP(C247,ROS!C:C,ROS!O:O)</f>
        <v>0</v>
      </c>
      <c r="BE247" s="147">
        <f t="array" ref="BE247">IFERROR(XLOOKUP(C247,ROS!T:T,ROS!U:U),"")</f>
        <v>0</v>
      </c>
      <c r="BF247" s="147">
        <f t="array" ref="BF247">XLOOKUP(R247,'Refrence Data'!B:B,'Refrence Data'!T:T)</f>
        <v>1.28725</v>
      </c>
      <c r="BG247" s="95">
        <f t="shared" si="19"/>
        <v>0</v>
      </c>
      <c r="BH247" s="4" t="str">
        <f t="shared" si="20"/>
        <v>FP</v>
      </c>
      <c r="BO247" s="153"/>
      <c r="BP247" s="153" t="str">
        <f t="shared" si="26"/>
        <v>FP</v>
      </c>
      <c r="BQ247" s="153"/>
      <c r="BR247" s="153"/>
      <c r="BS247" s="153"/>
    </row>
    <row r="248">
      <c r="A248" s="171">
        <v>3.431410001023E12</v>
      </c>
      <c r="B248" s="171" t="s">
        <v>3521</v>
      </c>
      <c r="C248" s="137" t="s">
        <v>1213</v>
      </c>
      <c r="D248" s="138" t="s">
        <v>644</v>
      </c>
      <c r="E248" s="139" t="s">
        <v>1198</v>
      </c>
      <c r="F248" s="140" t="s">
        <v>3606</v>
      </c>
      <c r="G248" s="141">
        <v>0.0</v>
      </c>
      <c r="H248" s="142">
        <v>16.48258</v>
      </c>
      <c r="I248" s="143" t="s">
        <v>111</v>
      </c>
      <c r="J248" s="83"/>
      <c r="K248" s="174">
        <v>365.0</v>
      </c>
      <c r="R248" s="145" t="str">
        <f t="shared" si="1"/>
        <v>Wafers &amp; Cakes_15-20</v>
      </c>
      <c r="S248" s="146" t="str">
        <f t="shared" si="2"/>
        <v>15-20</v>
      </c>
      <c r="T248" s="95" t="str">
        <f t="array" ref="T248">XLOOKUP(C248,'Depth or Width'!P:P,'Depth or Width'!V:V)</f>
        <v>Width</v>
      </c>
      <c r="U248" s="93">
        <f t="shared" si="3"/>
        <v>5</v>
      </c>
      <c r="V248" s="147">
        <f t="array" ref="V248">iferror(XLOOKUP(R248,'Refrence Data'!B:B,'Refrence Data'!W:W),"NA")</f>
        <v>1.464682</v>
      </c>
      <c r="W248" s="95">
        <f t="shared" si="4"/>
        <v>0</v>
      </c>
      <c r="Y248" s="148">
        <f t="array" ref="Y248">IFERROR(XLOOKUP(R248,'Refrence Data'!B:B,'Refrence Data'!N:N),"NA")</f>
        <v>0.557061</v>
      </c>
      <c r="Z248" s="95" t="str">
        <f t="shared" si="5"/>
        <v>MEDIUM</v>
      </c>
      <c r="AA248" s="147">
        <f t="array" ref="AA248">XLOOKUP(R248,'Refrence Data'!B:B,'Refrence Data'!AC:AC)</f>
        <v>1.709981</v>
      </c>
      <c r="AB248" s="147">
        <f t="array" ref="AB248">IFERROR(XLOOKUP(R248,'Refrence Data'!B:B,'Refrence Data'!Y:Y),"NA")</f>
        <v>1.437698</v>
      </c>
      <c r="AC248" s="95" t="str">
        <f t="shared" si="6"/>
        <v>High</v>
      </c>
      <c r="AD248" s="95" t="str">
        <f t="shared" si="7"/>
        <v>Width</v>
      </c>
      <c r="AE248" s="95" t="str">
        <f t="shared" si="8"/>
        <v>MEDIUMHighWidth</v>
      </c>
      <c r="AF248" s="95">
        <f t="array" ref="AF248">XLOOKUP(AE248,'Category Saturation'!A:A,'Category Saturation'!E:E)</f>
        <v>10</v>
      </c>
      <c r="AH248" s="148">
        <f t="array" ref="AH248">iferror(XLOOKUP(R248,'New Launch Success Rate'!A:A,'New Launch Success Rate'!F:F),"NA")</f>
        <v>0.45</v>
      </c>
      <c r="AI248" s="95">
        <f t="shared" si="9"/>
        <v>25</v>
      </c>
      <c r="AK248" s="149">
        <f t="shared" si="10"/>
        <v>5.5</v>
      </c>
      <c r="AM248" s="150">
        <f t="array" ref="AM248">XLOOKUP(R248,'Non Moving'!C:C,'Non Moving'!I:I)/100</f>
        <v>0.173</v>
      </c>
      <c r="AN248" s="151">
        <f t="shared" si="11"/>
        <v>50</v>
      </c>
      <c r="AO248" s="150">
        <f t="array" ref="AO248">XLOOKUP(R248,'Non Moving'!C:C,'Non Moving'!F:F)/100</f>
        <v>0.285</v>
      </c>
      <c r="AP248" s="151">
        <f t="shared" si="12"/>
        <v>75</v>
      </c>
      <c r="AR248" s="95">
        <f t="shared" si="13"/>
        <v>62.5</v>
      </c>
      <c r="AT248" s="95">
        <f t="shared" si="14"/>
        <v>0</v>
      </c>
      <c r="AU248" s="95">
        <f t="array" ref="AU248">iferror(XLOOKUP(J248,Monetization!A:A,Monetization!B:B),25)</f>
        <v>25</v>
      </c>
      <c r="AW248" s="95">
        <f t="shared" si="15"/>
        <v>7.5</v>
      </c>
      <c r="AY248" s="149">
        <f t="shared" si="16"/>
        <v>28.7</v>
      </c>
      <c r="AZ248" s="95" t="str">
        <f t="shared" si="17"/>
        <v>25-50</v>
      </c>
      <c r="BA248" s="95" t="str">
        <f t="shared" si="18"/>
        <v>0-25</v>
      </c>
      <c r="BB248" s="152">
        <f t="array" ref="BB248">iferror(XLOOKUP(C248,Sheet9!A:A,Sheet9!D:D),0)</f>
        <v>0.99</v>
      </c>
      <c r="BC248" s="2">
        <v>1.0</v>
      </c>
      <c r="BD248" s="95">
        <f t="array" ref="BD248">XLOOKUP(C248,ROS!C:C,ROS!O:O)</f>
        <v>0</v>
      </c>
      <c r="BE248" s="147">
        <f t="array" ref="BE248">IFERROR(XLOOKUP(C248,ROS!T:T,ROS!U:U),"")</f>
        <v>0</v>
      </c>
      <c r="BF248" s="147">
        <f t="array" ref="BF248">XLOOKUP(R248,'Refrence Data'!B:B,'Refrence Data'!T:T)</f>
        <v>0.292677</v>
      </c>
      <c r="BG248" s="95">
        <f t="shared" si="19"/>
        <v>0</v>
      </c>
      <c r="BH248" s="4" t="str">
        <f t="shared" si="20"/>
        <v>TN</v>
      </c>
      <c r="BO248" s="153"/>
      <c r="BP248" s="153" t="str">
        <f t="shared" si="26"/>
        <v>TN</v>
      </c>
      <c r="BQ248" s="153"/>
      <c r="BR248" s="153"/>
      <c r="BS248" s="153"/>
    </row>
    <row r="249">
      <c r="A249" s="171">
        <v>6.772504452985E12</v>
      </c>
      <c r="B249" s="171" t="s">
        <v>3521</v>
      </c>
      <c r="C249" s="137" t="s">
        <v>1214</v>
      </c>
      <c r="D249" s="138" t="s">
        <v>644</v>
      </c>
      <c r="E249" s="139" t="s">
        <v>645</v>
      </c>
      <c r="F249" s="140" t="s">
        <v>3551</v>
      </c>
      <c r="G249" s="141">
        <v>0.0</v>
      </c>
      <c r="H249" s="142">
        <v>12.52286</v>
      </c>
      <c r="I249" s="143" t="s">
        <v>111</v>
      </c>
      <c r="J249" s="83"/>
      <c r="K249" s="174">
        <v>365.0</v>
      </c>
      <c r="R249" s="145" t="str">
        <f t="shared" si="1"/>
        <v>Healthy Snacks_10-15</v>
      </c>
      <c r="S249" s="146" t="str">
        <f t="shared" si="2"/>
        <v>10-15</v>
      </c>
      <c r="T249" s="95" t="str">
        <f t="array" ref="T249">XLOOKUP(C249,'Depth or Width'!P:P,'Depth or Width'!V:V)</f>
        <v>Width</v>
      </c>
      <c r="U249" s="93">
        <f t="shared" si="3"/>
        <v>5</v>
      </c>
      <c r="V249" s="147">
        <f t="array" ref="V249">iferror(XLOOKUP(R249,'Refrence Data'!B:B,'Refrence Data'!W:W),"NA")</f>
        <v>0.310145</v>
      </c>
      <c r="W249" s="95">
        <f t="shared" si="4"/>
        <v>0</v>
      </c>
      <c r="Y249" s="148">
        <f t="array" ref="Y249">IFERROR(XLOOKUP(R249,'Refrence Data'!B:B,'Refrence Data'!N:N),"NA")</f>
        <v>0</v>
      </c>
      <c r="Z249" s="95" t="str">
        <f t="shared" si="5"/>
        <v>LOW</v>
      </c>
      <c r="AA249" s="147">
        <f t="array" ref="AA249">XLOOKUP(R249,'Refrence Data'!B:B,'Refrence Data'!AC:AC)</f>
        <v>0.310145</v>
      </c>
      <c r="AB249" s="147">
        <f t="array" ref="AB249">IFERROR(XLOOKUP(R249,'Refrence Data'!B:B,'Refrence Data'!Y:Y),"NA")</f>
        <v>0.310145</v>
      </c>
      <c r="AC249" s="95" t="str">
        <f t="shared" si="6"/>
        <v>High</v>
      </c>
      <c r="AD249" s="95" t="str">
        <f t="shared" si="7"/>
        <v>Width</v>
      </c>
      <c r="AE249" s="95" t="str">
        <f t="shared" si="8"/>
        <v>LOWHighWidth</v>
      </c>
      <c r="AF249" s="95">
        <f t="array" ref="AF249">XLOOKUP(AE249,'Category Saturation'!A:A,'Category Saturation'!E:E)</f>
        <v>100</v>
      </c>
      <c r="AH249" s="148">
        <f t="array" ref="AH249">iferror(XLOOKUP(R249,'New Launch Success Rate'!A:A,'New Launch Success Rate'!F:F),"NA")</f>
        <v>0.714</v>
      </c>
      <c r="AI249" s="95">
        <f t="shared" si="9"/>
        <v>100</v>
      </c>
      <c r="AK249" s="149">
        <f t="shared" si="10"/>
        <v>40</v>
      </c>
      <c r="AM249" s="150">
        <f t="array" ref="AM249">XLOOKUP(R249,'Non Moving'!C:C,'Non Moving'!I:I)/100</f>
        <v>0.024</v>
      </c>
      <c r="AN249" s="151">
        <f t="shared" si="11"/>
        <v>100</v>
      </c>
      <c r="AO249" s="150">
        <f t="array" ref="AO249">XLOOKUP(R249,'Non Moving'!C:C,'Non Moving'!F:F)/100</f>
        <v>0.152</v>
      </c>
      <c r="AP249" s="151">
        <f t="shared" si="12"/>
        <v>100</v>
      </c>
      <c r="AR249" s="95">
        <f t="shared" si="13"/>
        <v>100</v>
      </c>
      <c r="AT249" s="95">
        <f t="shared" si="14"/>
        <v>0</v>
      </c>
      <c r="AU249" s="95">
        <f t="array" ref="AU249">iferror(XLOOKUP(J249,Monetization!A:A,Monetization!B:B),25)</f>
        <v>25</v>
      </c>
      <c r="AW249" s="95">
        <f t="shared" si="15"/>
        <v>7.5</v>
      </c>
      <c r="AY249" s="149">
        <f t="shared" si="16"/>
        <v>57.5</v>
      </c>
      <c r="AZ249" s="95" t="str">
        <f t="shared" si="17"/>
        <v>50-75</v>
      </c>
      <c r="BA249" s="95" t="str">
        <f t="shared" si="18"/>
        <v>25-50</v>
      </c>
      <c r="BB249" s="152">
        <f t="array" ref="BB249">iferror(XLOOKUP(C249,Sheet9!A:A,Sheet9!D:D),0)</f>
        <v>0.9</v>
      </c>
      <c r="BC249" s="2">
        <v>1.0</v>
      </c>
      <c r="BD249" s="95">
        <f t="array" ref="BD249">XLOOKUP(C249,ROS!C:C,ROS!O:O)</f>
        <v>0.142857</v>
      </c>
      <c r="BE249" s="147">
        <f t="array" ref="BE249">IFERROR(XLOOKUP(C249,ROS!T:T,ROS!U:U),"")</f>
        <v>2.191724942</v>
      </c>
      <c r="BF249" s="147">
        <f t="array" ref="BF249">XLOOKUP(R249,'Refrence Data'!B:B,'Refrence Data'!T:T)</f>
        <v>0.310145</v>
      </c>
      <c r="BG249" s="95">
        <f t="shared" si="19"/>
        <v>1</v>
      </c>
      <c r="BH249" s="4" t="str">
        <f t="shared" si="20"/>
        <v>FN</v>
      </c>
      <c r="BO249" s="153"/>
      <c r="BP249" s="153" t="str">
        <f t="shared" si="26"/>
        <v>TP</v>
      </c>
      <c r="BQ249" s="153"/>
      <c r="BR249" s="153"/>
      <c r="BS249" s="153"/>
    </row>
    <row r="250">
      <c r="A250" s="171">
        <v>5.900020047571E12</v>
      </c>
      <c r="B250" s="171" t="s">
        <v>3521</v>
      </c>
      <c r="C250" s="137" t="s">
        <v>863</v>
      </c>
      <c r="D250" s="138" t="s">
        <v>213</v>
      </c>
      <c r="E250" s="139" t="s">
        <v>220</v>
      </c>
      <c r="F250" s="140" t="s">
        <v>3552</v>
      </c>
      <c r="G250" s="141">
        <v>12.0</v>
      </c>
      <c r="H250" s="142">
        <v>19.4846</v>
      </c>
      <c r="I250" s="143" t="s">
        <v>111</v>
      </c>
      <c r="J250" s="83"/>
      <c r="K250" s="174">
        <v>365.0</v>
      </c>
      <c r="R250" s="145" t="str">
        <f t="shared" si="1"/>
        <v>Cereal &amp; Granola_15-20</v>
      </c>
      <c r="S250" s="146" t="str">
        <f t="shared" si="2"/>
        <v>15-20</v>
      </c>
      <c r="T250" s="95" t="str">
        <f t="array" ref="T250">XLOOKUP(C250,'Depth or Width'!P:P,'Depth or Width'!V:V)</f>
        <v>Depth</v>
      </c>
      <c r="U250" s="93">
        <f t="shared" si="3"/>
        <v>5</v>
      </c>
      <c r="V250" s="147">
        <f t="array" ref="V250">iferror(XLOOKUP(R250,'Refrence Data'!B:B,'Refrence Data'!W:W),"NA")</f>
        <v>6.93207</v>
      </c>
      <c r="W250" s="95">
        <f t="shared" si="4"/>
        <v>100</v>
      </c>
      <c r="Y250" s="148">
        <f t="array" ref="Y250">IFERROR(XLOOKUP(R250,'Refrence Data'!B:B,'Refrence Data'!N:N),"NA")</f>
        <v>0.613072</v>
      </c>
      <c r="Z250" s="95" t="str">
        <f t="shared" si="5"/>
        <v>MEDIUM</v>
      </c>
      <c r="AA250" s="147">
        <f t="array" ref="AA250">XLOOKUP(R250,'Refrence Data'!B:B,'Refrence Data'!AC:AC)</f>
        <v>3.369756</v>
      </c>
      <c r="AB250" s="147">
        <f t="array" ref="AB250">IFERROR(XLOOKUP(R250,'Refrence Data'!B:B,'Refrence Data'!Y:Y),"NA")</f>
        <v>6.769219</v>
      </c>
      <c r="AC250" s="95" t="str">
        <f t="shared" si="6"/>
        <v>High</v>
      </c>
      <c r="AD250" s="95" t="str">
        <f t="shared" si="7"/>
        <v>Depth</v>
      </c>
      <c r="AE250" s="95" t="str">
        <f t="shared" si="8"/>
        <v>MEDIUMHighDepth</v>
      </c>
      <c r="AF250" s="95">
        <f t="array" ref="AF250">XLOOKUP(AE250,'Category Saturation'!A:A,'Category Saturation'!E:E)</f>
        <v>60</v>
      </c>
      <c r="AH250" s="148">
        <f t="array" ref="AH250">iferror(XLOOKUP(R250,'New Launch Success Rate'!A:A,'New Launch Success Rate'!F:F),"NA")</f>
        <v>0.375</v>
      </c>
      <c r="AI250" s="95">
        <f t="shared" si="9"/>
        <v>25</v>
      </c>
      <c r="AK250" s="149">
        <f t="shared" si="10"/>
        <v>80.5</v>
      </c>
      <c r="AM250" s="150">
        <f t="array" ref="AM250">XLOOKUP(R250,'Non Moving'!C:C,'Non Moving'!I:I)/100</f>
        <v>0.019</v>
      </c>
      <c r="AN250" s="151">
        <f t="shared" si="11"/>
        <v>100</v>
      </c>
      <c r="AO250" s="150">
        <f t="array" ref="AO250">XLOOKUP(R250,'Non Moving'!C:C,'Non Moving'!F:F)/100</f>
        <v>0.108</v>
      </c>
      <c r="AP250" s="151">
        <f t="shared" si="12"/>
        <v>100</v>
      </c>
      <c r="AR250" s="95">
        <f t="shared" si="13"/>
        <v>100</v>
      </c>
      <c r="AT250" s="95">
        <f t="shared" si="14"/>
        <v>0</v>
      </c>
      <c r="AU250" s="95">
        <f t="array" ref="AU250">iferror(XLOOKUP(J250,Monetization!A:A,Monetization!B:B),25)</f>
        <v>25</v>
      </c>
      <c r="AW250" s="95">
        <f t="shared" si="15"/>
        <v>7.5</v>
      </c>
      <c r="AY250" s="149">
        <f t="shared" si="16"/>
        <v>73.7</v>
      </c>
      <c r="AZ250" s="95" t="str">
        <f t="shared" si="17"/>
        <v>50-75</v>
      </c>
      <c r="BA250" s="95" t="str">
        <f t="shared" si="18"/>
        <v>75-100</v>
      </c>
      <c r="BB250" s="152">
        <f t="array" ref="BB250">iferror(XLOOKUP(C250,Sheet9!A:A,Sheet9!D:D),0)</f>
        <v>0.99</v>
      </c>
      <c r="BC250" s="2">
        <v>1.0</v>
      </c>
      <c r="BD250" s="95">
        <f t="array" ref="BD250">XLOOKUP(C250,ROS!C:C,ROS!O:O)</f>
        <v>0</v>
      </c>
      <c r="BE250" s="147">
        <f t="array" ref="BE250">IFERROR(XLOOKUP(C250,ROS!T:T,ROS!U:U),"")</f>
        <v>0</v>
      </c>
      <c r="BF250" s="147">
        <f t="array" ref="BF250">XLOOKUP(R250,'Refrence Data'!B:B,'Refrence Data'!T:T)</f>
        <v>1.099073</v>
      </c>
      <c r="BG250" s="95">
        <f t="shared" si="19"/>
        <v>0</v>
      </c>
      <c r="BH250" s="4" t="str">
        <f t="shared" si="20"/>
        <v>FP</v>
      </c>
      <c r="BO250" s="153"/>
      <c r="BP250" s="153" t="str">
        <f t="shared" si="26"/>
        <v>FP</v>
      </c>
      <c r="BQ250" s="153"/>
      <c r="BR250" s="153"/>
      <c r="BS250" s="153"/>
    </row>
    <row r="251">
      <c r="A251" s="171">
        <v>6.772504452961E12</v>
      </c>
      <c r="B251" s="171" t="s">
        <v>3521</v>
      </c>
      <c r="C251" s="137" t="s">
        <v>1217</v>
      </c>
      <c r="D251" s="138" t="s">
        <v>644</v>
      </c>
      <c r="E251" s="139" t="s">
        <v>645</v>
      </c>
      <c r="F251" s="140" t="s">
        <v>3551</v>
      </c>
      <c r="G251" s="141">
        <v>0.0</v>
      </c>
      <c r="H251" s="142">
        <v>11.81923</v>
      </c>
      <c r="I251" s="143" t="s">
        <v>111</v>
      </c>
      <c r="J251" s="83"/>
      <c r="K251" s="174">
        <v>365.0</v>
      </c>
      <c r="R251" s="145" t="str">
        <f t="shared" si="1"/>
        <v>Healthy Snacks_10-15</v>
      </c>
      <c r="S251" s="146" t="str">
        <f t="shared" si="2"/>
        <v>10-15</v>
      </c>
      <c r="T251" s="95" t="str">
        <f t="array" ref="T251">XLOOKUP(C251,'Depth or Width'!P:P,'Depth or Width'!V:V)</f>
        <v>Width</v>
      </c>
      <c r="U251" s="93">
        <f t="shared" si="3"/>
        <v>5</v>
      </c>
      <c r="V251" s="147">
        <f t="array" ref="V251">iferror(XLOOKUP(R251,'Refrence Data'!B:B,'Refrence Data'!W:W),"NA")</f>
        <v>0.310145</v>
      </c>
      <c r="W251" s="95">
        <f t="shared" si="4"/>
        <v>0</v>
      </c>
      <c r="Y251" s="148">
        <f t="array" ref="Y251">IFERROR(XLOOKUP(R251,'Refrence Data'!B:B,'Refrence Data'!N:N),"NA")</f>
        <v>0</v>
      </c>
      <c r="Z251" s="95" t="str">
        <f t="shared" si="5"/>
        <v>LOW</v>
      </c>
      <c r="AA251" s="147">
        <f t="array" ref="AA251">XLOOKUP(R251,'Refrence Data'!B:B,'Refrence Data'!AC:AC)</f>
        <v>0.310145</v>
      </c>
      <c r="AB251" s="147">
        <f t="array" ref="AB251">IFERROR(XLOOKUP(R251,'Refrence Data'!B:B,'Refrence Data'!Y:Y),"NA")</f>
        <v>0.310145</v>
      </c>
      <c r="AC251" s="95" t="str">
        <f t="shared" si="6"/>
        <v>High</v>
      </c>
      <c r="AD251" s="95" t="str">
        <f t="shared" si="7"/>
        <v>Width</v>
      </c>
      <c r="AE251" s="95" t="str">
        <f t="shared" si="8"/>
        <v>LOWHighWidth</v>
      </c>
      <c r="AF251" s="95">
        <f t="array" ref="AF251">XLOOKUP(AE251,'Category Saturation'!A:A,'Category Saturation'!E:E)</f>
        <v>100</v>
      </c>
      <c r="AH251" s="148">
        <f t="array" ref="AH251">iferror(XLOOKUP(R251,'New Launch Success Rate'!A:A,'New Launch Success Rate'!F:F),"NA")</f>
        <v>0.714</v>
      </c>
      <c r="AI251" s="95">
        <f t="shared" si="9"/>
        <v>100</v>
      </c>
      <c r="AK251" s="149">
        <f t="shared" si="10"/>
        <v>40</v>
      </c>
      <c r="AM251" s="150">
        <f t="array" ref="AM251">XLOOKUP(R251,'Non Moving'!C:C,'Non Moving'!I:I)/100</f>
        <v>0.024</v>
      </c>
      <c r="AN251" s="151">
        <f t="shared" si="11"/>
        <v>100</v>
      </c>
      <c r="AO251" s="150">
        <f t="array" ref="AO251">XLOOKUP(R251,'Non Moving'!C:C,'Non Moving'!F:F)/100</f>
        <v>0.152</v>
      </c>
      <c r="AP251" s="151">
        <f t="shared" si="12"/>
        <v>100</v>
      </c>
      <c r="AR251" s="95">
        <f t="shared" si="13"/>
        <v>100</v>
      </c>
      <c r="AT251" s="95">
        <f t="shared" si="14"/>
        <v>0</v>
      </c>
      <c r="AU251" s="95">
        <f t="array" ref="AU251">iferror(XLOOKUP(J251,Monetization!A:A,Monetization!B:B),25)</f>
        <v>25</v>
      </c>
      <c r="AW251" s="95">
        <f t="shared" si="15"/>
        <v>7.5</v>
      </c>
      <c r="AY251" s="149">
        <f t="shared" si="16"/>
        <v>57.5</v>
      </c>
      <c r="AZ251" s="95" t="str">
        <f t="shared" si="17"/>
        <v>50-75</v>
      </c>
      <c r="BA251" s="95" t="str">
        <f t="shared" si="18"/>
        <v>25-50</v>
      </c>
      <c r="BB251" s="152">
        <f t="array" ref="BB251">iferror(XLOOKUP(C251,Sheet9!A:A,Sheet9!D:D),0)</f>
        <v>0.96</v>
      </c>
      <c r="BC251" s="2">
        <v>1.0</v>
      </c>
      <c r="BD251" s="95">
        <f t="array" ref="BD251">XLOOKUP(C251,ROS!C:C,ROS!O:O)</f>
        <v>0</v>
      </c>
      <c r="BE251" s="147">
        <f t="array" ref="BE251">IFERROR(XLOOKUP(C251,ROS!T:T,ROS!U:U),"")</f>
        <v>1.947868798</v>
      </c>
      <c r="BF251" s="147">
        <f t="array" ref="BF251">XLOOKUP(R251,'Refrence Data'!B:B,'Refrence Data'!T:T)</f>
        <v>0.310145</v>
      </c>
      <c r="BG251" s="95">
        <f t="shared" si="19"/>
        <v>1</v>
      </c>
      <c r="BH251" s="4" t="str">
        <f t="shared" si="20"/>
        <v>FN</v>
      </c>
      <c r="BO251" s="153"/>
      <c r="BP251" s="153" t="str">
        <f t="shared" si="26"/>
        <v>TP</v>
      </c>
      <c r="BQ251" s="153"/>
      <c r="BR251" s="153"/>
      <c r="BS251" s="153"/>
    </row>
    <row r="252">
      <c r="A252" s="171">
        <v>6.772504452336E12</v>
      </c>
      <c r="B252" s="171" t="s">
        <v>3521</v>
      </c>
      <c r="C252" s="137" t="s">
        <v>1218</v>
      </c>
      <c r="D252" s="138" t="s">
        <v>644</v>
      </c>
      <c r="E252" s="139" t="s">
        <v>659</v>
      </c>
      <c r="F252" s="140" t="s">
        <v>3551</v>
      </c>
      <c r="G252" s="141">
        <v>0.0</v>
      </c>
      <c r="H252" s="142">
        <v>14.98816</v>
      </c>
      <c r="I252" s="143" t="s">
        <v>111</v>
      </c>
      <c r="J252" s="83"/>
      <c r="K252" s="174">
        <v>365.0</v>
      </c>
      <c r="R252" s="145" t="str">
        <f t="shared" si="1"/>
        <v>Chocolate Bars &amp; Bags_10-15</v>
      </c>
      <c r="S252" s="146" t="str">
        <f t="shared" si="2"/>
        <v>10-15</v>
      </c>
      <c r="T252" s="95" t="str">
        <f t="array" ref="T252">XLOOKUP(C252,'Depth or Width'!P:P,'Depth or Width'!V:V)</f>
        <v>Depth</v>
      </c>
      <c r="U252" s="93">
        <f t="shared" si="3"/>
        <v>5</v>
      </c>
      <c r="V252" s="147">
        <f t="array" ref="V252">iferror(XLOOKUP(R252,'Refrence Data'!B:B,'Refrence Data'!W:W),"NA")</f>
        <v>7.266665</v>
      </c>
      <c r="W252" s="95">
        <f t="shared" si="4"/>
        <v>100</v>
      </c>
      <c r="Y252" s="148">
        <f t="array" ref="Y252">IFERROR(XLOOKUP(R252,'Refrence Data'!B:B,'Refrence Data'!N:N),"NA")</f>
        <v>0.714491</v>
      </c>
      <c r="Z252" s="95" t="str">
        <f t="shared" si="5"/>
        <v>HIGH</v>
      </c>
      <c r="AA252" s="147">
        <f t="array" ref="AA252">XLOOKUP(R252,'Refrence Data'!B:B,'Refrence Data'!AC:AC)</f>
        <v>6.048674</v>
      </c>
      <c r="AB252" s="147">
        <f t="array" ref="AB252">IFERROR(XLOOKUP(R252,'Refrence Data'!B:B,'Refrence Data'!Y:Y),"NA")</f>
        <v>6.048674</v>
      </c>
      <c r="AC252" s="95" t="str">
        <f t="shared" si="6"/>
        <v>High</v>
      </c>
      <c r="AD252" s="95" t="str">
        <f t="shared" si="7"/>
        <v>Depth</v>
      </c>
      <c r="AE252" s="95" t="str">
        <f t="shared" si="8"/>
        <v>HIGHHighDepth</v>
      </c>
      <c r="AF252" s="95">
        <f t="array" ref="AF252">XLOOKUP(AE252,'Category Saturation'!A:A,'Category Saturation'!E:E)</f>
        <v>0</v>
      </c>
      <c r="AH252" s="148">
        <f t="array" ref="AH252">iferror(XLOOKUP(R252,'New Launch Success Rate'!A:A,'New Launch Success Rate'!F:F),"NA")</f>
        <v>0.667</v>
      </c>
      <c r="AI252" s="95">
        <f t="shared" si="9"/>
        <v>50</v>
      </c>
      <c r="AK252" s="149">
        <f t="shared" si="10"/>
        <v>65</v>
      </c>
      <c r="AM252" s="150">
        <f t="array" ref="AM252">XLOOKUP(R252,'Non Moving'!C:C,'Non Moving'!I:I)/100</f>
        <v>0.044</v>
      </c>
      <c r="AN252" s="151">
        <f t="shared" si="11"/>
        <v>100</v>
      </c>
      <c r="AO252" s="150">
        <f t="array" ref="AO252">XLOOKUP(R252,'Non Moving'!C:C,'Non Moving'!F:F)/100</f>
        <v>0.133</v>
      </c>
      <c r="AP252" s="151">
        <f t="shared" si="12"/>
        <v>100</v>
      </c>
      <c r="AR252" s="95">
        <f t="shared" si="13"/>
        <v>100</v>
      </c>
      <c r="AT252" s="95">
        <f t="shared" si="14"/>
        <v>0</v>
      </c>
      <c r="AU252" s="95">
        <f t="array" ref="AU252">iferror(XLOOKUP(J252,Monetization!A:A,Monetization!B:B),25)</f>
        <v>25</v>
      </c>
      <c r="AW252" s="95">
        <f t="shared" si="15"/>
        <v>7.5</v>
      </c>
      <c r="AY252" s="149">
        <f t="shared" si="16"/>
        <v>67.5</v>
      </c>
      <c r="AZ252" s="95" t="str">
        <f t="shared" si="17"/>
        <v>50-75</v>
      </c>
      <c r="BA252" s="95" t="str">
        <f t="shared" si="18"/>
        <v>50-75</v>
      </c>
      <c r="BB252" s="152">
        <f t="array" ref="BB252">iferror(XLOOKUP(C252,Sheet9!A:A,Sheet9!D:D),0)</f>
        <v>0.93</v>
      </c>
      <c r="BC252" s="2">
        <v>1.0</v>
      </c>
      <c r="BD252" s="95">
        <f t="array" ref="BD252">XLOOKUP(C252,ROS!C:C,ROS!O:O)</f>
        <v>6.416162</v>
      </c>
      <c r="BE252" s="147">
        <f t="array" ref="BE252">IFERROR(XLOOKUP(C252,ROS!T:T,ROS!U:U),"")</f>
        <v>2.34025974</v>
      </c>
      <c r="BF252" s="147">
        <f t="array" ref="BF252">XLOOKUP(R252,'Refrence Data'!B:B,'Refrence Data'!T:T)</f>
        <v>1.380407</v>
      </c>
      <c r="BG252" s="95">
        <f t="shared" si="19"/>
        <v>1</v>
      </c>
      <c r="BH252" s="4" t="str">
        <f t="shared" si="20"/>
        <v>TP</v>
      </c>
      <c r="BO252" s="153"/>
      <c r="BP252" s="153" t="str">
        <f t="shared" si="26"/>
        <v>TP</v>
      </c>
      <c r="BQ252" s="153"/>
      <c r="BR252" s="153"/>
      <c r="BS252" s="153"/>
    </row>
    <row r="253">
      <c r="A253" s="171">
        <v>6.772504452329E12</v>
      </c>
      <c r="B253" s="171" t="s">
        <v>3521</v>
      </c>
      <c r="C253" s="137" t="s">
        <v>1219</v>
      </c>
      <c r="D253" s="138" t="s">
        <v>644</v>
      </c>
      <c r="E253" s="139" t="s">
        <v>659</v>
      </c>
      <c r="F253" s="140" t="s">
        <v>3551</v>
      </c>
      <c r="G253" s="141">
        <v>0.0</v>
      </c>
      <c r="H253" s="142">
        <v>13.98307</v>
      </c>
      <c r="I253" s="143" t="s">
        <v>111</v>
      </c>
      <c r="J253" s="83"/>
      <c r="K253" s="174">
        <v>365.0</v>
      </c>
      <c r="R253" s="145" t="str">
        <f t="shared" si="1"/>
        <v>Chocolate Bars &amp; Bags_10-15</v>
      </c>
      <c r="S253" s="146" t="str">
        <f t="shared" si="2"/>
        <v>10-15</v>
      </c>
      <c r="T253" s="95" t="str">
        <f t="array" ref="T253">XLOOKUP(C253,'Depth or Width'!P:P,'Depth or Width'!V:V)</f>
        <v>Depth</v>
      </c>
      <c r="U253" s="93">
        <f t="shared" si="3"/>
        <v>5</v>
      </c>
      <c r="V253" s="147">
        <f t="array" ref="V253">iferror(XLOOKUP(R253,'Refrence Data'!B:B,'Refrence Data'!W:W),"NA")</f>
        <v>7.266665</v>
      </c>
      <c r="W253" s="95">
        <f t="shared" si="4"/>
        <v>100</v>
      </c>
      <c r="Y253" s="148">
        <f t="array" ref="Y253">IFERROR(XLOOKUP(R253,'Refrence Data'!B:B,'Refrence Data'!N:N),"NA")</f>
        <v>0.714491</v>
      </c>
      <c r="Z253" s="95" t="str">
        <f t="shared" si="5"/>
        <v>HIGH</v>
      </c>
      <c r="AA253" s="147">
        <f t="array" ref="AA253">XLOOKUP(R253,'Refrence Data'!B:B,'Refrence Data'!AC:AC)</f>
        <v>6.048674</v>
      </c>
      <c r="AB253" s="147">
        <f t="array" ref="AB253">IFERROR(XLOOKUP(R253,'Refrence Data'!B:B,'Refrence Data'!Y:Y),"NA")</f>
        <v>6.048674</v>
      </c>
      <c r="AC253" s="95" t="str">
        <f t="shared" si="6"/>
        <v>High</v>
      </c>
      <c r="AD253" s="95" t="str">
        <f t="shared" si="7"/>
        <v>Depth</v>
      </c>
      <c r="AE253" s="95" t="str">
        <f t="shared" si="8"/>
        <v>HIGHHighDepth</v>
      </c>
      <c r="AF253" s="95">
        <f t="array" ref="AF253">XLOOKUP(AE253,'Category Saturation'!A:A,'Category Saturation'!E:E)</f>
        <v>0</v>
      </c>
      <c r="AH253" s="148">
        <f t="array" ref="AH253">iferror(XLOOKUP(R253,'New Launch Success Rate'!A:A,'New Launch Success Rate'!F:F),"NA")</f>
        <v>0.667</v>
      </c>
      <c r="AI253" s="95">
        <f t="shared" si="9"/>
        <v>50</v>
      </c>
      <c r="AK253" s="149">
        <f t="shared" si="10"/>
        <v>65</v>
      </c>
      <c r="AM253" s="150">
        <f t="array" ref="AM253">XLOOKUP(R253,'Non Moving'!C:C,'Non Moving'!I:I)/100</f>
        <v>0.044</v>
      </c>
      <c r="AN253" s="151">
        <f t="shared" si="11"/>
        <v>100</v>
      </c>
      <c r="AO253" s="150">
        <f t="array" ref="AO253">XLOOKUP(R253,'Non Moving'!C:C,'Non Moving'!F:F)/100</f>
        <v>0.133</v>
      </c>
      <c r="AP253" s="151">
        <f t="shared" si="12"/>
        <v>100</v>
      </c>
      <c r="AR253" s="95">
        <f t="shared" si="13"/>
        <v>100</v>
      </c>
      <c r="AT253" s="95">
        <f t="shared" si="14"/>
        <v>0</v>
      </c>
      <c r="AU253" s="95">
        <f t="array" ref="AU253">iferror(XLOOKUP(J253,Monetization!A:A,Monetization!B:B),25)</f>
        <v>25</v>
      </c>
      <c r="AW253" s="95">
        <f t="shared" si="15"/>
        <v>7.5</v>
      </c>
      <c r="AY253" s="149">
        <f t="shared" si="16"/>
        <v>67.5</v>
      </c>
      <c r="AZ253" s="95" t="str">
        <f t="shared" si="17"/>
        <v>50-75</v>
      </c>
      <c r="BA253" s="95" t="str">
        <f t="shared" si="18"/>
        <v>50-75</v>
      </c>
      <c r="BB253" s="152">
        <f t="array" ref="BB253">iferror(XLOOKUP(C253,Sheet9!A:A,Sheet9!D:D),0)</f>
        <v>0.99</v>
      </c>
      <c r="BC253" s="2">
        <v>1.0</v>
      </c>
      <c r="BD253" s="95">
        <f t="array" ref="BD253">XLOOKUP(C253,ROS!C:C,ROS!O:O)</f>
        <v>2.011239</v>
      </c>
      <c r="BE253" s="147">
        <f t="array" ref="BE253">IFERROR(XLOOKUP(C253,ROS!T:T,ROS!U:U),"")</f>
        <v>0.340909091</v>
      </c>
      <c r="BF253" s="147">
        <f t="array" ref="BF253">XLOOKUP(R253,'Refrence Data'!B:B,'Refrence Data'!T:T)</f>
        <v>1.380407</v>
      </c>
      <c r="BG253" s="95">
        <f t="shared" si="19"/>
        <v>1</v>
      </c>
      <c r="BH253" s="4" t="str">
        <f t="shared" si="20"/>
        <v>TP</v>
      </c>
      <c r="BO253" s="153"/>
      <c r="BP253" s="153" t="str">
        <f t="shared" si="26"/>
        <v>TP</v>
      </c>
      <c r="BQ253" s="153"/>
      <c r="BR253" s="153"/>
      <c r="BS253" s="153"/>
    </row>
    <row r="254">
      <c r="A254" s="171" t="e">
        <v>#N/A</v>
      </c>
      <c r="B254" s="171" t="s">
        <v>3521</v>
      </c>
      <c r="C254" s="137" t="s">
        <v>1351</v>
      </c>
      <c r="D254" s="138" t="s">
        <v>644</v>
      </c>
      <c r="E254" s="139" t="s">
        <v>659</v>
      </c>
      <c r="F254" s="140" t="s">
        <v>3551</v>
      </c>
      <c r="G254" s="141">
        <v>24.0</v>
      </c>
      <c r="H254" s="142">
        <v>10.76359</v>
      </c>
      <c r="I254" s="143" t="s">
        <v>111</v>
      </c>
      <c r="J254" s="83"/>
      <c r="K254" s="174">
        <v>365.0</v>
      </c>
      <c r="R254" s="145" t="str">
        <f t="shared" si="1"/>
        <v>Chocolate Bars &amp; Bags_10-15</v>
      </c>
      <c r="S254" s="146" t="str">
        <f t="shared" si="2"/>
        <v>10-15</v>
      </c>
      <c r="T254" s="95" t="str">
        <f t="array" ref="T254">XLOOKUP(C254,'Depth or Width'!P:P,'Depth or Width'!V:V)</f>
        <v>Width</v>
      </c>
      <c r="U254" s="93">
        <f t="shared" si="3"/>
        <v>5</v>
      </c>
      <c r="V254" s="147">
        <f t="array" ref="V254">iferror(XLOOKUP(R254,'Refrence Data'!B:B,'Refrence Data'!W:W),"NA")</f>
        <v>7.266665</v>
      </c>
      <c r="W254" s="95">
        <f t="shared" si="4"/>
        <v>100</v>
      </c>
      <c r="Y254" s="148">
        <f t="array" ref="Y254">IFERROR(XLOOKUP(R254,'Refrence Data'!B:B,'Refrence Data'!N:N),"NA")</f>
        <v>0.714491</v>
      </c>
      <c r="Z254" s="95" t="str">
        <f t="shared" si="5"/>
        <v>HIGH</v>
      </c>
      <c r="AA254" s="147">
        <f t="array" ref="AA254">XLOOKUP(R254,'Refrence Data'!B:B,'Refrence Data'!AC:AC)</f>
        <v>6.048674</v>
      </c>
      <c r="AB254" s="147">
        <f t="array" ref="AB254">IFERROR(XLOOKUP(R254,'Refrence Data'!B:B,'Refrence Data'!Y:Y),"NA")</f>
        <v>6.048674</v>
      </c>
      <c r="AC254" s="95" t="str">
        <f t="shared" si="6"/>
        <v>High</v>
      </c>
      <c r="AD254" s="95" t="str">
        <f t="shared" si="7"/>
        <v>Width</v>
      </c>
      <c r="AE254" s="95" t="str">
        <f t="shared" si="8"/>
        <v>HIGHHighWidth</v>
      </c>
      <c r="AF254" s="95">
        <f t="array" ref="AF254">XLOOKUP(AE254,'Category Saturation'!A:A,'Category Saturation'!E:E)</f>
        <v>25</v>
      </c>
      <c r="AH254" s="148">
        <f t="array" ref="AH254">iferror(XLOOKUP(R254,'New Launch Success Rate'!A:A,'New Launch Success Rate'!F:F),"NA")</f>
        <v>0.667</v>
      </c>
      <c r="AI254" s="95">
        <f t="shared" si="9"/>
        <v>50</v>
      </c>
      <c r="AK254" s="149">
        <f t="shared" si="10"/>
        <v>72.5</v>
      </c>
      <c r="AM254" s="150">
        <f t="array" ref="AM254">XLOOKUP(R254,'Non Moving'!C:C,'Non Moving'!I:I)/100</f>
        <v>0.044</v>
      </c>
      <c r="AN254" s="151">
        <f t="shared" si="11"/>
        <v>100</v>
      </c>
      <c r="AO254" s="150">
        <f t="array" ref="AO254">XLOOKUP(R254,'Non Moving'!C:C,'Non Moving'!F:F)/100</f>
        <v>0.133</v>
      </c>
      <c r="AP254" s="151">
        <f t="shared" si="12"/>
        <v>100</v>
      </c>
      <c r="AR254" s="95">
        <f t="shared" si="13"/>
        <v>100</v>
      </c>
      <c r="AT254" s="95">
        <f t="shared" si="14"/>
        <v>0</v>
      </c>
      <c r="AU254" s="95">
        <f t="array" ref="AU254">iferror(XLOOKUP(J254,Monetization!A:A,Monetization!B:B),25)</f>
        <v>25</v>
      </c>
      <c r="AW254" s="95">
        <f t="shared" si="15"/>
        <v>7.5</v>
      </c>
      <c r="AY254" s="149">
        <f t="shared" si="16"/>
        <v>70.5</v>
      </c>
      <c r="AZ254" s="95" t="str">
        <f t="shared" si="17"/>
        <v>50-75</v>
      </c>
      <c r="BA254" s="95" t="str">
        <f t="shared" si="18"/>
        <v>50-75</v>
      </c>
      <c r="BB254" s="152">
        <f t="array" ref="BB254">iferror(XLOOKUP(C254,Sheet9!A:A,Sheet9!D:D),0)</f>
        <v>0.97</v>
      </c>
      <c r="BC254" s="2">
        <v>1.0</v>
      </c>
      <c r="BD254" s="95">
        <f t="array" ref="BD254">XLOOKUP(C254,ROS!C:C,ROS!O:O)</f>
        <v>2.737429</v>
      </c>
      <c r="BE254" s="147">
        <f t="array" ref="BE254">IFERROR(XLOOKUP(C254,ROS!T:T,ROS!U:U),"")</f>
        <v>1.176573427</v>
      </c>
      <c r="BF254" s="147">
        <f t="array" ref="BF254">XLOOKUP(R254,'Refrence Data'!B:B,'Refrence Data'!T:T)</f>
        <v>1.380407</v>
      </c>
      <c r="BG254" s="95">
        <f t="shared" si="19"/>
        <v>1</v>
      </c>
      <c r="BH254" s="4" t="str">
        <f t="shared" si="20"/>
        <v>TP</v>
      </c>
      <c r="BO254" s="153"/>
      <c r="BP254" s="153" t="str">
        <f t="shared" si="26"/>
        <v>TP</v>
      </c>
      <c r="BQ254" s="153"/>
      <c r="BR254" s="153"/>
      <c r="BS254" s="153"/>
    </row>
    <row r="255">
      <c r="A255" s="171">
        <v>6.772504452282E12</v>
      </c>
      <c r="B255" s="171" t="s">
        <v>3521</v>
      </c>
      <c r="C255" s="137" t="s">
        <v>1220</v>
      </c>
      <c r="D255" s="138" t="s">
        <v>644</v>
      </c>
      <c r="E255" s="139" t="s">
        <v>659</v>
      </c>
      <c r="F255" s="140" t="s">
        <v>3551</v>
      </c>
      <c r="G255" s="141">
        <v>0.0</v>
      </c>
      <c r="H255" s="142">
        <v>10.70232</v>
      </c>
      <c r="I255" s="143" t="s">
        <v>111</v>
      </c>
      <c r="J255" s="83"/>
      <c r="K255" s="174">
        <v>365.0</v>
      </c>
      <c r="R255" s="145" t="str">
        <f t="shared" si="1"/>
        <v>Chocolate Bars &amp; Bags_10-15</v>
      </c>
      <c r="S255" s="146" t="str">
        <f t="shared" si="2"/>
        <v>10-15</v>
      </c>
      <c r="T255" s="95" t="str">
        <f t="array" ref="T255">XLOOKUP(C255,'Depth or Width'!P:P,'Depth or Width'!V:V)</f>
        <v>Depth</v>
      </c>
      <c r="U255" s="93">
        <f t="shared" si="3"/>
        <v>5</v>
      </c>
      <c r="V255" s="147">
        <f t="array" ref="V255">iferror(XLOOKUP(R255,'Refrence Data'!B:B,'Refrence Data'!W:W),"NA")</f>
        <v>7.266665</v>
      </c>
      <c r="W255" s="95">
        <f t="shared" si="4"/>
        <v>100</v>
      </c>
      <c r="Y255" s="148">
        <f t="array" ref="Y255">IFERROR(XLOOKUP(R255,'Refrence Data'!B:B,'Refrence Data'!N:N),"NA")</f>
        <v>0.714491</v>
      </c>
      <c r="Z255" s="95" t="str">
        <f t="shared" si="5"/>
        <v>HIGH</v>
      </c>
      <c r="AA255" s="147">
        <f t="array" ref="AA255">XLOOKUP(R255,'Refrence Data'!B:B,'Refrence Data'!AC:AC)</f>
        <v>6.048674</v>
      </c>
      <c r="AB255" s="147">
        <f t="array" ref="AB255">IFERROR(XLOOKUP(R255,'Refrence Data'!B:B,'Refrence Data'!Y:Y),"NA")</f>
        <v>6.048674</v>
      </c>
      <c r="AC255" s="95" t="str">
        <f t="shared" si="6"/>
        <v>High</v>
      </c>
      <c r="AD255" s="95" t="str">
        <f t="shared" si="7"/>
        <v>Depth</v>
      </c>
      <c r="AE255" s="95" t="str">
        <f t="shared" si="8"/>
        <v>HIGHHighDepth</v>
      </c>
      <c r="AF255" s="95">
        <f t="array" ref="AF255">XLOOKUP(AE255,'Category Saturation'!A:A,'Category Saturation'!E:E)</f>
        <v>0</v>
      </c>
      <c r="AH255" s="148">
        <f t="array" ref="AH255">iferror(XLOOKUP(R255,'New Launch Success Rate'!A:A,'New Launch Success Rate'!F:F),"NA")</f>
        <v>0.667</v>
      </c>
      <c r="AI255" s="95">
        <f t="shared" si="9"/>
        <v>50</v>
      </c>
      <c r="AK255" s="149">
        <f t="shared" si="10"/>
        <v>65</v>
      </c>
      <c r="AM255" s="150">
        <f t="array" ref="AM255">XLOOKUP(R255,'Non Moving'!C:C,'Non Moving'!I:I)/100</f>
        <v>0.044</v>
      </c>
      <c r="AN255" s="151">
        <f t="shared" si="11"/>
        <v>100</v>
      </c>
      <c r="AO255" s="150">
        <f t="array" ref="AO255">XLOOKUP(R255,'Non Moving'!C:C,'Non Moving'!F:F)/100</f>
        <v>0.133</v>
      </c>
      <c r="AP255" s="151">
        <f t="shared" si="12"/>
        <v>100</v>
      </c>
      <c r="AR255" s="95">
        <f t="shared" si="13"/>
        <v>100</v>
      </c>
      <c r="AT255" s="95">
        <f t="shared" si="14"/>
        <v>0</v>
      </c>
      <c r="AU255" s="95">
        <f t="array" ref="AU255">iferror(XLOOKUP(J255,Monetization!A:A,Monetization!B:B),25)</f>
        <v>25</v>
      </c>
      <c r="AW255" s="95">
        <f t="shared" si="15"/>
        <v>7.5</v>
      </c>
      <c r="AY255" s="149">
        <f t="shared" si="16"/>
        <v>67.5</v>
      </c>
      <c r="AZ255" s="95" t="str">
        <f t="shared" si="17"/>
        <v>50-75</v>
      </c>
      <c r="BA255" s="95" t="str">
        <f t="shared" si="18"/>
        <v>50-75</v>
      </c>
      <c r="BB255" s="152">
        <f t="array" ref="BB255">iferror(XLOOKUP(C255,Sheet9!A:A,Sheet9!D:D),0)</f>
        <v>0.91</v>
      </c>
      <c r="BC255" s="2">
        <v>1.0</v>
      </c>
      <c r="BD255" s="95">
        <f t="array" ref="BD255">XLOOKUP(C255,ROS!C:C,ROS!O:O)</f>
        <v>0</v>
      </c>
      <c r="BE255" s="147">
        <f t="array" ref="BE255">IFERROR(XLOOKUP(C255,ROS!T:T,ROS!U:U),"")</f>
        <v>3.316400266</v>
      </c>
      <c r="BF255" s="147">
        <f t="array" ref="BF255">XLOOKUP(R255,'Refrence Data'!B:B,'Refrence Data'!T:T)</f>
        <v>1.380407</v>
      </c>
      <c r="BG255" s="95">
        <f t="shared" si="19"/>
        <v>1</v>
      </c>
      <c r="BH255" s="4" t="str">
        <f t="shared" si="20"/>
        <v>TP</v>
      </c>
      <c r="BO255" s="153"/>
      <c r="BP255" s="153" t="str">
        <f t="shared" si="26"/>
        <v>TP</v>
      </c>
      <c r="BQ255" s="153"/>
      <c r="BR255" s="153"/>
      <c r="BS255" s="153"/>
    </row>
    <row r="256">
      <c r="A256" s="171">
        <v>6.772504452251E12</v>
      </c>
      <c r="B256" s="171" t="s">
        <v>3521</v>
      </c>
      <c r="C256" s="137" t="s">
        <v>1221</v>
      </c>
      <c r="D256" s="138" t="s">
        <v>644</v>
      </c>
      <c r="E256" s="139" t="s">
        <v>659</v>
      </c>
      <c r="F256" s="140" t="s">
        <v>3551</v>
      </c>
      <c r="G256" s="141">
        <v>0.0</v>
      </c>
      <c r="H256" s="142">
        <v>10.70762</v>
      </c>
      <c r="I256" s="143" t="s">
        <v>111</v>
      </c>
      <c r="J256" s="83"/>
      <c r="K256" s="174">
        <v>365.0</v>
      </c>
      <c r="R256" s="145" t="str">
        <f t="shared" si="1"/>
        <v>Chocolate Bars &amp; Bags_10-15</v>
      </c>
      <c r="S256" s="146" t="str">
        <f t="shared" si="2"/>
        <v>10-15</v>
      </c>
      <c r="T256" s="95" t="str">
        <f t="array" ref="T256">XLOOKUP(C256,'Depth or Width'!P:P,'Depth or Width'!V:V)</f>
        <v>Depth</v>
      </c>
      <c r="U256" s="93">
        <f t="shared" si="3"/>
        <v>5</v>
      </c>
      <c r="V256" s="147">
        <f t="array" ref="V256">iferror(XLOOKUP(R256,'Refrence Data'!B:B,'Refrence Data'!W:W),"NA")</f>
        <v>7.266665</v>
      </c>
      <c r="W256" s="95">
        <f t="shared" si="4"/>
        <v>100</v>
      </c>
      <c r="Y256" s="148">
        <f t="array" ref="Y256">IFERROR(XLOOKUP(R256,'Refrence Data'!B:B,'Refrence Data'!N:N),"NA")</f>
        <v>0.714491</v>
      </c>
      <c r="Z256" s="95" t="str">
        <f t="shared" si="5"/>
        <v>HIGH</v>
      </c>
      <c r="AA256" s="147">
        <f t="array" ref="AA256">XLOOKUP(R256,'Refrence Data'!B:B,'Refrence Data'!AC:AC)</f>
        <v>6.048674</v>
      </c>
      <c r="AB256" s="147">
        <f t="array" ref="AB256">IFERROR(XLOOKUP(R256,'Refrence Data'!B:B,'Refrence Data'!Y:Y),"NA")</f>
        <v>6.048674</v>
      </c>
      <c r="AC256" s="95" t="str">
        <f t="shared" si="6"/>
        <v>High</v>
      </c>
      <c r="AD256" s="95" t="str">
        <f t="shared" si="7"/>
        <v>Depth</v>
      </c>
      <c r="AE256" s="95" t="str">
        <f t="shared" si="8"/>
        <v>HIGHHighDepth</v>
      </c>
      <c r="AF256" s="95">
        <f t="array" ref="AF256">XLOOKUP(AE256,'Category Saturation'!A:A,'Category Saturation'!E:E)</f>
        <v>0</v>
      </c>
      <c r="AH256" s="148">
        <f t="array" ref="AH256">iferror(XLOOKUP(R256,'New Launch Success Rate'!A:A,'New Launch Success Rate'!F:F),"NA")</f>
        <v>0.667</v>
      </c>
      <c r="AI256" s="95">
        <f t="shared" si="9"/>
        <v>50</v>
      </c>
      <c r="AK256" s="149">
        <f t="shared" si="10"/>
        <v>65</v>
      </c>
      <c r="AM256" s="150">
        <f t="array" ref="AM256">XLOOKUP(R256,'Non Moving'!C:C,'Non Moving'!I:I)/100</f>
        <v>0.044</v>
      </c>
      <c r="AN256" s="151">
        <f t="shared" si="11"/>
        <v>100</v>
      </c>
      <c r="AO256" s="150">
        <f t="array" ref="AO256">XLOOKUP(R256,'Non Moving'!C:C,'Non Moving'!F:F)/100</f>
        <v>0.133</v>
      </c>
      <c r="AP256" s="151">
        <f t="shared" si="12"/>
        <v>100</v>
      </c>
      <c r="AR256" s="95">
        <f t="shared" si="13"/>
        <v>100</v>
      </c>
      <c r="AT256" s="95">
        <f t="shared" si="14"/>
        <v>0</v>
      </c>
      <c r="AU256" s="95">
        <f t="array" ref="AU256">iferror(XLOOKUP(J256,Monetization!A:A,Monetization!B:B),25)</f>
        <v>25</v>
      </c>
      <c r="AW256" s="95">
        <f t="shared" si="15"/>
        <v>7.5</v>
      </c>
      <c r="AY256" s="149">
        <f t="shared" si="16"/>
        <v>67.5</v>
      </c>
      <c r="AZ256" s="95" t="str">
        <f t="shared" si="17"/>
        <v>50-75</v>
      </c>
      <c r="BA256" s="95" t="str">
        <f t="shared" si="18"/>
        <v>50-75</v>
      </c>
      <c r="BB256" s="152">
        <f t="array" ref="BB256">iferror(XLOOKUP(C256,Sheet9!A:A,Sheet9!D:D),0)</f>
        <v>0.93</v>
      </c>
      <c r="BC256" s="2">
        <v>1.0</v>
      </c>
      <c r="BD256" s="95">
        <f t="array" ref="BD256">XLOOKUP(C256,ROS!C:C,ROS!O:O)</f>
        <v>2</v>
      </c>
      <c r="BE256" s="147">
        <f t="array" ref="BE256">IFERROR(XLOOKUP(C256,ROS!T:T,ROS!U:U),"")</f>
        <v>1.66969697</v>
      </c>
      <c r="BF256" s="147">
        <f t="array" ref="BF256">XLOOKUP(R256,'Refrence Data'!B:B,'Refrence Data'!T:T)</f>
        <v>1.380407</v>
      </c>
      <c r="BG256" s="95">
        <f t="shared" si="19"/>
        <v>1</v>
      </c>
      <c r="BH256" s="4" t="str">
        <f t="shared" si="20"/>
        <v>TP</v>
      </c>
      <c r="BO256" s="153"/>
      <c r="BP256" s="153" t="str">
        <f t="shared" si="26"/>
        <v>TP</v>
      </c>
      <c r="BQ256" s="153"/>
      <c r="BR256" s="153"/>
      <c r="BS256" s="153"/>
    </row>
    <row r="257">
      <c r="A257" s="171">
        <v>8.906002770793E12</v>
      </c>
      <c r="B257" s="171" t="s">
        <v>3521</v>
      </c>
      <c r="C257" s="137" t="s">
        <v>908</v>
      </c>
      <c r="D257" s="138" t="s">
        <v>258</v>
      </c>
      <c r="E257" s="139" t="s">
        <v>899</v>
      </c>
      <c r="F257" s="140" t="s">
        <v>3562</v>
      </c>
      <c r="G257" s="141">
        <v>0.0</v>
      </c>
      <c r="H257" s="142">
        <v>5.952795</v>
      </c>
      <c r="I257" s="143" t="s">
        <v>111</v>
      </c>
      <c r="J257" s="83"/>
      <c r="K257" s="174">
        <v>365.0</v>
      </c>
      <c r="R257" s="145" t="str">
        <f t="shared" si="1"/>
        <v>Creamers &amp; Milk_5-10</v>
      </c>
      <c r="S257" s="146" t="str">
        <f t="shared" si="2"/>
        <v>5-10</v>
      </c>
      <c r="T257" s="95" t="str">
        <f t="array" ref="T257">XLOOKUP(C257,'Depth or Width'!P:P,'Depth or Width'!V:V)</f>
        <v>Width</v>
      </c>
      <c r="U257" s="93">
        <f t="shared" si="3"/>
        <v>5</v>
      </c>
      <c r="V257" s="147">
        <f t="array" ref="V257">iferror(XLOOKUP(R257,'Refrence Data'!B:B,'Refrence Data'!W:W),"NA")</f>
        <v>12.67532</v>
      </c>
      <c r="W257" s="95">
        <f t="shared" si="4"/>
        <v>100</v>
      </c>
      <c r="Y257" s="148">
        <f t="array" ref="Y257">IFERROR(XLOOKUP(R257,'Refrence Data'!B:B,'Refrence Data'!N:N),"NA")</f>
        <v>1</v>
      </c>
      <c r="Z257" s="95" t="str">
        <f t="shared" si="5"/>
        <v>HIGH</v>
      </c>
      <c r="AA257" s="147">
        <f t="array" ref="AA257">XLOOKUP(R257,'Refrence Data'!B:B,'Refrence Data'!AC:AC)</f>
        <v>2.535065</v>
      </c>
      <c r="AB257" s="147">
        <f t="array" ref="AB257">IFERROR(XLOOKUP(R257,'Refrence Data'!B:B,'Refrence Data'!Y:Y),"NA")</f>
        <v>2.535065</v>
      </c>
      <c r="AC257" s="95" t="str">
        <f t="shared" si="6"/>
        <v>High</v>
      </c>
      <c r="AD257" s="95" t="str">
        <f t="shared" si="7"/>
        <v>Width</v>
      </c>
      <c r="AE257" s="95" t="str">
        <f t="shared" si="8"/>
        <v>HIGHHighWidth</v>
      </c>
      <c r="AF257" s="95">
        <f t="array" ref="AF257">XLOOKUP(AE257,'Category Saturation'!A:A,'Category Saturation'!E:E)</f>
        <v>25</v>
      </c>
      <c r="AH257" s="148">
        <f t="array" ref="AH257">iferror(XLOOKUP(R257,'New Launch Success Rate'!A:A,'New Launch Success Rate'!F:F),"NA")</f>
        <v>0.50025</v>
      </c>
      <c r="AI257" s="95">
        <f t="shared" si="9"/>
        <v>50</v>
      </c>
      <c r="AK257" s="149">
        <f t="shared" si="10"/>
        <v>72.5</v>
      </c>
      <c r="AM257" s="150">
        <f t="array" ref="AM257">XLOOKUP(R257,'Non Moving'!C:C,'Non Moving'!I:I)/100</f>
        <v>0</v>
      </c>
      <c r="AN257" s="151">
        <f t="shared" si="11"/>
        <v>100</v>
      </c>
      <c r="AO257" s="150">
        <f t="array" ref="AO257">XLOOKUP(R257,'Non Moving'!C:C,'Non Moving'!F:F)/100</f>
        <v>0</v>
      </c>
      <c r="AP257" s="151">
        <f t="shared" si="12"/>
        <v>100</v>
      </c>
      <c r="AR257" s="95">
        <f t="shared" si="13"/>
        <v>100</v>
      </c>
      <c r="AT257" s="95">
        <f t="shared" si="14"/>
        <v>0</v>
      </c>
      <c r="AU257" s="95">
        <f t="array" ref="AU257">iferror(XLOOKUP(J257,Monetization!A:A,Monetization!B:B),25)</f>
        <v>25</v>
      </c>
      <c r="AW257" s="95">
        <f t="shared" si="15"/>
        <v>7.5</v>
      </c>
      <c r="AY257" s="149">
        <f t="shared" si="16"/>
        <v>70.5</v>
      </c>
      <c r="AZ257" s="95" t="str">
        <f t="shared" si="17"/>
        <v>50-75</v>
      </c>
      <c r="BA257" s="95" t="str">
        <f t="shared" si="18"/>
        <v>50-75</v>
      </c>
      <c r="BB257" s="152">
        <f t="array" ref="BB257">iferror(XLOOKUP(C257,Sheet9!A:A,Sheet9!D:D),0)</f>
        <v>1</v>
      </c>
      <c r="BC257" s="2">
        <v>1.0</v>
      </c>
      <c r="BD257" s="95">
        <f t="array" ref="BD257">XLOOKUP(C257,ROS!C:C,ROS!O:O)</f>
        <v>0</v>
      </c>
      <c r="BE257" s="147">
        <f t="array" ref="BE257">IFERROR(XLOOKUP(C257,ROS!T:T,ROS!U:U),"")</f>
        <v>0</v>
      </c>
      <c r="BF257" s="147">
        <f t="array" ref="BF257">XLOOKUP(R257,'Refrence Data'!B:B,'Refrence Data'!T:T)</f>
        <v>12.67532</v>
      </c>
      <c r="BG257" s="95">
        <f t="shared" si="19"/>
        <v>0</v>
      </c>
      <c r="BH257" s="4" t="str">
        <f t="shared" si="20"/>
        <v>FP</v>
      </c>
      <c r="BO257" s="153"/>
      <c r="BP257" s="153" t="str">
        <f t="shared" si="26"/>
        <v>FP</v>
      </c>
      <c r="BQ257" s="153"/>
      <c r="BR257" s="153"/>
      <c r="BS257" s="153"/>
    </row>
    <row r="258">
      <c r="A258" s="171">
        <v>6.221073012255E12</v>
      </c>
      <c r="B258" s="171" t="s">
        <v>3521</v>
      </c>
      <c r="C258" s="137" t="s">
        <v>1223</v>
      </c>
      <c r="D258" s="138" t="s">
        <v>644</v>
      </c>
      <c r="E258" s="139" t="s">
        <v>645</v>
      </c>
      <c r="F258" s="140" t="s">
        <v>3551</v>
      </c>
      <c r="G258" s="141">
        <v>0.0</v>
      </c>
      <c r="H258" s="142">
        <v>8.97624</v>
      </c>
      <c r="I258" s="143" t="s">
        <v>111</v>
      </c>
      <c r="J258" s="83"/>
      <c r="K258" s="174">
        <v>365.0</v>
      </c>
      <c r="R258" s="145" t="str">
        <f t="shared" si="1"/>
        <v>Healthy Snacks_5-10</v>
      </c>
      <c r="S258" s="146" t="str">
        <f t="shared" si="2"/>
        <v>5-10</v>
      </c>
      <c r="T258" s="95" t="str">
        <f t="array" ref="T258">XLOOKUP(C258,'Depth or Width'!P:P,'Depth or Width'!V:V)</f>
        <v>Width</v>
      </c>
      <c r="U258" s="93">
        <f t="shared" si="3"/>
        <v>5</v>
      </c>
      <c r="V258" s="147">
        <f t="array" ref="V258">iferror(XLOOKUP(R258,'Refrence Data'!B:B,'Refrence Data'!W:W),"NA")</f>
        <v>0</v>
      </c>
      <c r="W258" s="95">
        <f t="shared" si="4"/>
        <v>0</v>
      </c>
      <c r="Y258" s="148">
        <f t="array" ref="Y258">IFERROR(XLOOKUP(R258,'Refrence Data'!B:B,'Refrence Data'!N:N),"NA")</f>
        <v>0</v>
      </c>
      <c r="Z258" s="95" t="str">
        <f t="shared" si="5"/>
        <v>LOW</v>
      </c>
      <c r="AA258" s="147">
        <f t="array" ref="AA258">XLOOKUP(R258,'Refrence Data'!B:B,'Refrence Data'!AC:AC)</f>
        <v>0.310145</v>
      </c>
      <c r="AB258" s="147">
        <f t="array" ref="AB258">IFERROR(XLOOKUP(R258,'Refrence Data'!B:B,'Refrence Data'!Y:Y),"NA")</f>
        <v>0</v>
      </c>
      <c r="AC258" s="95" t="str">
        <f t="shared" si="6"/>
        <v>Low</v>
      </c>
      <c r="AD258" s="95" t="str">
        <f t="shared" si="7"/>
        <v>Width</v>
      </c>
      <c r="AE258" s="95" t="str">
        <f t="shared" si="8"/>
        <v>LOWLowWidth</v>
      </c>
      <c r="AF258" s="95">
        <f t="array" ref="AF258">XLOOKUP(AE258,'Category Saturation'!A:A,'Category Saturation'!E:E)</f>
        <v>40</v>
      </c>
      <c r="AH258" s="148">
        <f t="array" ref="AH258">iferror(XLOOKUP(R258,'New Launch Success Rate'!A:A,'New Launch Success Rate'!F:F),"NA")</f>
        <v>0.3</v>
      </c>
      <c r="AI258" s="95">
        <f t="shared" si="9"/>
        <v>25</v>
      </c>
      <c r="AK258" s="149">
        <f t="shared" si="10"/>
        <v>14.5</v>
      </c>
      <c r="AM258" s="150">
        <f t="array" ref="AM258">XLOOKUP(R258,'Non Moving'!C:C,'Non Moving'!I:I)/100</f>
        <v>0.014</v>
      </c>
      <c r="AN258" s="151">
        <f t="shared" si="11"/>
        <v>100</v>
      </c>
      <c r="AO258" s="150">
        <f t="array" ref="AO258">XLOOKUP(R258,'Non Moving'!C:C,'Non Moving'!F:F)/100</f>
        <v>0.092</v>
      </c>
      <c r="AP258" s="151">
        <f t="shared" si="12"/>
        <v>100</v>
      </c>
      <c r="AR258" s="95">
        <f t="shared" si="13"/>
        <v>100</v>
      </c>
      <c r="AT258" s="95">
        <f t="shared" si="14"/>
        <v>0</v>
      </c>
      <c r="AU258" s="95">
        <f t="array" ref="AU258">iferror(XLOOKUP(J258,Monetization!A:A,Monetization!B:B),25)</f>
        <v>25</v>
      </c>
      <c r="AW258" s="95">
        <f t="shared" si="15"/>
        <v>7.5</v>
      </c>
      <c r="AY258" s="149">
        <f t="shared" si="16"/>
        <v>47.3</v>
      </c>
      <c r="AZ258" s="95" t="str">
        <f t="shared" si="17"/>
        <v>25-50</v>
      </c>
      <c r="BA258" s="95" t="str">
        <f t="shared" si="18"/>
        <v>0-25</v>
      </c>
      <c r="BB258" s="152">
        <f t="array" ref="BB258">iferror(XLOOKUP(C258,Sheet9!A:A,Sheet9!D:D),0)</f>
        <v>0.94</v>
      </c>
      <c r="BC258" s="2">
        <v>1.0</v>
      </c>
      <c r="BD258" s="95">
        <f t="array" ref="BD258">XLOOKUP(C258,ROS!C:C,ROS!O:O)</f>
        <v>4.899539</v>
      </c>
      <c r="BE258" s="147">
        <f t="array" ref="BE258">IFERROR(XLOOKUP(C258,ROS!T:T,ROS!U:U),"")</f>
        <v>1.478968254</v>
      </c>
      <c r="BF258" s="147">
        <f t="array" ref="BF258">XLOOKUP(R258,'Refrence Data'!B:B,'Refrence Data'!T:T)</f>
        <v>0</v>
      </c>
      <c r="BG258" s="95">
        <f t="shared" si="19"/>
        <v>1</v>
      </c>
      <c r="BH258" s="4" t="str">
        <f t="shared" si="20"/>
        <v>FN</v>
      </c>
      <c r="BO258" s="153"/>
      <c r="BP258" s="153" t="str">
        <f t="shared" si="26"/>
        <v>FN</v>
      </c>
      <c r="BQ258" s="153"/>
      <c r="BR258" s="153"/>
      <c r="BS258" s="153"/>
    </row>
    <row r="259">
      <c r="A259" s="171">
        <v>6.221073012224E12</v>
      </c>
      <c r="B259" s="171" t="s">
        <v>3521</v>
      </c>
      <c r="C259" s="137" t="s">
        <v>1226</v>
      </c>
      <c r="D259" s="138" t="s">
        <v>644</v>
      </c>
      <c r="E259" s="139" t="s">
        <v>645</v>
      </c>
      <c r="F259" s="140" t="s">
        <v>3551</v>
      </c>
      <c r="G259" s="141">
        <v>0.0</v>
      </c>
      <c r="H259" s="142">
        <v>9.492499</v>
      </c>
      <c r="I259" s="143" t="s">
        <v>111</v>
      </c>
      <c r="J259" s="83"/>
      <c r="K259" s="174">
        <v>365.0</v>
      </c>
      <c r="R259" s="145" t="str">
        <f t="shared" si="1"/>
        <v>Healthy Snacks_5-10</v>
      </c>
      <c r="S259" s="146" t="str">
        <f t="shared" si="2"/>
        <v>5-10</v>
      </c>
      <c r="T259" s="95" t="str">
        <f t="array" ref="T259">XLOOKUP(C259,'Depth or Width'!P:P,'Depth or Width'!V:V)</f>
        <v>Width</v>
      </c>
      <c r="U259" s="93">
        <f t="shared" si="3"/>
        <v>5</v>
      </c>
      <c r="V259" s="147">
        <f t="array" ref="V259">iferror(XLOOKUP(R259,'Refrence Data'!B:B,'Refrence Data'!W:W),"NA")</f>
        <v>0</v>
      </c>
      <c r="W259" s="95">
        <f t="shared" si="4"/>
        <v>0</v>
      </c>
      <c r="Y259" s="148">
        <f t="array" ref="Y259">IFERROR(XLOOKUP(R259,'Refrence Data'!B:B,'Refrence Data'!N:N),"NA")</f>
        <v>0</v>
      </c>
      <c r="Z259" s="95" t="str">
        <f t="shared" si="5"/>
        <v>LOW</v>
      </c>
      <c r="AA259" s="147">
        <f t="array" ref="AA259">XLOOKUP(R259,'Refrence Data'!B:B,'Refrence Data'!AC:AC)</f>
        <v>0.310145</v>
      </c>
      <c r="AB259" s="147">
        <f t="array" ref="AB259">IFERROR(XLOOKUP(R259,'Refrence Data'!B:B,'Refrence Data'!Y:Y),"NA")</f>
        <v>0</v>
      </c>
      <c r="AC259" s="95" t="str">
        <f t="shared" si="6"/>
        <v>Low</v>
      </c>
      <c r="AD259" s="95" t="str">
        <f t="shared" si="7"/>
        <v>Width</v>
      </c>
      <c r="AE259" s="95" t="str">
        <f t="shared" si="8"/>
        <v>LOWLowWidth</v>
      </c>
      <c r="AF259" s="95">
        <f t="array" ref="AF259">XLOOKUP(AE259,'Category Saturation'!A:A,'Category Saturation'!E:E)</f>
        <v>40</v>
      </c>
      <c r="AH259" s="148">
        <f t="array" ref="AH259">iferror(XLOOKUP(R259,'New Launch Success Rate'!A:A,'New Launch Success Rate'!F:F),"NA")</f>
        <v>0.3</v>
      </c>
      <c r="AI259" s="95">
        <f t="shared" si="9"/>
        <v>25</v>
      </c>
      <c r="AK259" s="149">
        <f t="shared" si="10"/>
        <v>14.5</v>
      </c>
      <c r="AM259" s="150">
        <f t="array" ref="AM259">XLOOKUP(R259,'Non Moving'!C:C,'Non Moving'!I:I)/100</f>
        <v>0.014</v>
      </c>
      <c r="AN259" s="151">
        <f t="shared" si="11"/>
        <v>100</v>
      </c>
      <c r="AO259" s="150">
        <f t="array" ref="AO259">XLOOKUP(R259,'Non Moving'!C:C,'Non Moving'!F:F)/100</f>
        <v>0.092</v>
      </c>
      <c r="AP259" s="151">
        <f t="shared" si="12"/>
        <v>100</v>
      </c>
      <c r="AR259" s="95">
        <f t="shared" si="13"/>
        <v>100</v>
      </c>
      <c r="AT259" s="95">
        <f t="shared" si="14"/>
        <v>0</v>
      </c>
      <c r="AU259" s="95">
        <f t="array" ref="AU259">iferror(XLOOKUP(J259,Monetization!A:A,Monetization!B:B),25)</f>
        <v>25</v>
      </c>
      <c r="AW259" s="95">
        <f t="shared" si="15"/>
        <v>7.5</v>
      </c>
      <c r="AY259" s="149">
        <f t="shared" si="16"/>
        <v>47.3</v>
      </c>
      <c r="AZ259" s="95" t="str">
        <f t="shared" si="17"/>
        <v>25-50</v>
      </c>
      <c r="BA259" s="95" t="str">
        <f t="shared" si="18"/>
        <v>0-25</v>
      </c>
      <c r="BB259" s="152">
        <f t="array" ref="BB259">iferror(XLOOKUP(C259,Sheet9!A:A,Sheet9!D:D),0)</f>
        <v>0.92</v>
      </c>
      <c r="BC259" s="2">
        <v>1.0</v>
      </c>
      <c r="BD259" s="95">
        <f t="array" ref="BD259">XLOOKUP(C259,ROS!C:C,ROS!O:O)</f>
        <v>3.934158</v>
      </c>
      <c r="BE259" s="147">
        <f t="array" ref="BE259">IFERROR(XLOOKUP(C259,ROS!T:T,ROS!U:U),"")</f>
        <v>2.180808081</v>
      </c>
      <c r="BF259" s="147">
        <f t="array" ref="BF259">XLOOKUP(R259,'Refrence Data'!B:B,'Refrence Data'!T:T)</f>
        <v>0</v>
      </c>
      <c r="BG259" s="95">
        <f t="shared" si="19"/>
        <v>1</v>
      </c>
      <c r="BH259" s="4" t="str">
        <f t="shared" si="20"/>
        <v>FN</v>
      </c>
      <c r="BO259" s="153"/>
      <c r="BP259" s="153" t="str">
        <f t="shared" si="26"/>
        <v>FN</v>
      </c>
      <c r="BQ259" s="153"/>
      <c r="BR259" s="153"/>
      <c r="BS259" s="153"/>
    </row>
    <row r="260">
      <c r="A260" s="171">
        <v>6.22107301118E12</v>
      </c>
      <c r="B260" s="171" t="s">
        <v>3521</v>
      </c>
      <c r="C260" s="137" t="s">
        <v>1227</v>
      </c>
      <c r="D260" s="138" t="s">
        <v>644</v>
      </c>
      <c r="E260" s="139" t="s">
        <v>645</v>
      </c>
      <c r="F260" s="140" t="s">
        <v>3551</v>
      </c>
      <c r="G260" s="141">
        <v>0.0</v>
      </c>
      <c r="H260" s="142">
        <v>9.492499</v>
      </c>
      <c r="I260" s="143" t="s">
        <v>111</v>
      </c>
      <c r="J260" s="83"/>
      <c r="K260" s="174">
        <v>365.0</v>
      </c>
      <c r="R260" s="145" t="str">
        <f t="shared" si="1"/>
        <v>Healthy Snacks_5-10</v>
      </c>
      <c r="S260" s="146" t="str">
        <f t="shared" si="2"/>
        <v>5-10</v>
      </c>
      <c r="T260" s="95" t="str">
        <f t="array" ref="T260">XLOOKUP(C260,'Depth or Width'!P:P,'Depth or Width'!V:V)</f>
        <v>Width</v>
      </c>
      <c r="U260" s="93">
        <f t="shared" si="3"/>
        <v>5</v>
      </c>
      <c r="V260" s="147">
        <f t="array" ref="V260">iferror(XLOOKUP(R260,'Refrence Data'!B:B,'Refrence Data'!W:W),"NA")</f>
        <v>0</v>
      </c>
      <c r="W260" s="95">
        <f t="shared" si="4"/>
        <v>0</v>
      </c>
      <c r="Y260" s="148">
        <f t="array" ref="Y260">IFERROR(XLOOKUP(R260,'Refrence Data'!B:B,'Refrence Data'!N:N),"NA")</f>
        <v>0</v>
      </c>
      <c r="Z260" s="95" t="str">
        <f t="shared" si="5"/>
        <v>LOW</v>
      </c>
      <c r="AA260" s="147">
        <f t="array" ref="AA260">XLOOKUP(R260,'Refrence Data'!B:B,'Refrence Data'!AC:AC)</f>
        <v>0.310145</v>
      </c>
      <c r="AB260" s="147">
        <f t="array" ref="AB260">IFERROR(XLOOKUP(R260,'Refrence Data'!B:B,'Refrence Data'!Y:Y),"NA")</f>
        <v>0</v>
      </c>
      <c r="AC260" s="95" t="str">
        <f t="shared" si="6"/>
        <v>Low</v>
      </c>
      <c r="AD260" s="95" t="str">
        <f t="shared" si="7"/>
        <v>Width</v>
      </c>
      <c r="AE260" s="95" t="str">
        <f t="shared" si="8"/>
        <v>LOWLowWidth</v>
      </c>
      <c r="AF260" s="95">
        <f t="array" ref="AF260">XLOOKUP(AE260,'Category Saturation'!A:A,'Category Saturation'!E:E)</f>
        <v>40</v>
      </c>
      <c r="AH260" s="148">
        <f t="array" ref="AH260">iferror(XLOOKUP(R260,'New Launch Success Rate'!A:A,'New Launch Success Rate'!F:F),"NA")</f>
        <v>0.3</v>
      </c>
      <c r="AI260" s="95">
        <f t="shared" si="9"/>
        <v>25</v>
      </c>
      <c r="AK260" s="149">
        <f t="shared" si="10"/>
        <v>14.5</v>
      </c>
      <c r="AM260" s="150">
        <f t="array" ref="AM260">XLOOKUP(R260,'Non Moving'!C:C,'Non Moving'!I:I)/100</f>
        <v>0.014</v>
      </c>
      <c r="AN260" s="151">
        <f t="shared" si="11"/>
        <v>100</v>
      </c>
      <c r="AO260" s="150">
        <f t="array" ref="AO260">XLOOKUP(R260,'Non Moving'!C:C,'Non Moving'!F:F)/100</f>
        <v>0.092</v>
      </c>
      <c r="AP260" s="151">
        <f t="shared" si="12"/>
        <v>100</v>
      </c>
      <c r="AR260" s="95">
        <f t="shared" si="13"/>
        <v>100</v>
      </c>
      <c r="AT260" s="95">
        <f t="shared" si="14"/>
        <v>0</v>
      </c>
      <c r="AU260" s="95">
        <f t="array" ref="AU260">iferror(XLOOKUP(J260,Monetization!A:A,Monetization!B:B),25)</f>
        <v>25</v>
      </c>
      <c r="AW260" s="95">
        <f t="shared" si="15"/>
        <v>7.5</v>
      </c>
      <c r="AY260" s="149">
        <f t="shared" si="16"/>
        <v>47.3</v>
      </c>
      <c r="AZ260" s="95" t="str">
        <f t="shared" si="17"/>
        <v>25-50</v>
      </c>
      <c r="BA260" s="95" t="str">
        <f t="shared" si="18"/>
        <v>0-25</v>
      </c>
      <c r="BB260" s="152">
        <f t="array" ref="BB260">iferror(XLOOKUP(C260,Sheet9!A:A,Sheet9!D:D),0)</f>
        <v>0.65</v>
      </c>
      <c r="BC260" s="2">
        <v>1.0</v>
      </c>
      <c r="BD260" s="95">
        <f t="array" ref="BD260">XLOOKUP(C260,ROS!C:C,ROS!O:O)</f>
        <v>3.859424</v>
      </c>
      <c r="BE260" s="147">
        <f t="array" ref="BE260">IFERROR(XLOOKUP(C260,ROS!T:T,ROS!U:U),"")</f>
        <v>3.175865801</v>
      </c>
      <c r="BF260" s="147">
        <f t="array" ref="BF260">XLOOKUP(R260,'Refrence Data'!B:B,'Refrence Data'!T:T)</f>
        <v>0</v>
      </c>
      <c r="BG260" s="95">
        <f t="shared" si="19"/>
        <v>1</v>
      </c>
      <c r="BH260" s="4" t="str">
        <f t="shared" si="20"/>
        <v/>
      </c>
      <c r="BO260" s="153"/>
      <c r="BP260" s="153" t="str">
        <f t="shared" si="26"/>
        <v/>
      </c>
      <c r="BQ260" s="153"/>
      <c r="BR260" s="153"/>
      <c r="BS260" s="153"/>
    </row>
    <row r="261">
      <c r="A261" s="171">
        <v>6.221073008012E12</v>
      </c>
      <c r="B261" s="171" t="s">
        <v>3521</v>
      </c>
      <c r="C261" s="137" t="s">
        <v>1228</v>
      </c>
      <c r="D261" s="138" t="s">
        <v>644</v>
      </c>
      <c r="E261" s="139" t="s">
        <v>652</v>
      </c>
      <c r="F261" s="140" t="s">
        <v>3551</v>
      </c>
      <c r="G261" s="141">
        <v>0.0</v>
      </c>
      <c r="H261" s="142">
        <v>1.63132</v>
      </c>
      <c r="I261" s="143" t="s">
        <v>111</v>
      </c>
      <c r="J261" s="83"/>
      <c r="K261" s="174">
        <v>365.0</v>
      </c>
      <c r="R261" s="145" t="str">
        <f t="shared" si="1"/>
        <v>Biscuits &amp; Cookies_0-5</v>
      </c>
      <c r="S261" s="146" t="str">
        <f t="shared" si="2"/>
        <v>0-5</v>
      </c>
      <c r="T261" s="95" t="str">
        <f t="array" ref="T261">XLOOKUP(C261,'Depth or Width'!P:P,'Depth or Width'!V:V)</f>
        <v>Width</v>
      </c>
      <c r="U261" s="93">
        <f t="shared" si="3"/>
        <v>5</v>
      </c>
      <c r="V261" s="147">
        <f t="array" ref="V261">iferror(XLOOKUP(R261,'Refrence Data'!B:B,'Refrence Data'!W:W),"NA")</f>
        <v>25.6994</v>
      </c>
      <c r="W261" s="95">
        <f t="shared" si="4"/>
        <v>100</v>
      </c>
      <c r="Y261" s="148">
        <f t="array" ref="Y261">IFERROR(XLOOKUP(R261,'Refrence Data'!B:B,'Refrence Data'!N:N),"NA")</f>
        <v>0.703525</v>
      </c>
      <c r="Z261" s="95" t="str">
        <f t="shared" si="5"/>
        <v>HIGH</v>
      </c>
      <c r="AA261" s="147">
        <f t="array" ref="AA261">XLOOKUP(R261,'Refrence Data'!B:B,'Refrence Data'!AC:AC)</f>
        <v>3.91889</v>
      </c>
      <c r="AB261" s="147">
        <f t="array" ref="AB261">IFERROR(XLOOKUP(R261,'Refrence Data'!B:B,'Refrence Data'!Y:Y),"NA")</f>
        <v>18.30298</v>
      </c>
      <c r="AC261" s="95" t="str">
        <f t="shared" si="6"/>
        <v>High</v>
      </c>
      <c r="AD261" s="95" t="str">
        <f t="shared" si="7"/>
        <v>Width</v>
      </c>
      <c r="AE261" s="95" t="str">
        <f t="shared" si="8"/>
        <v>HIGHHighWidth</v>
      </c>
      <c r="AF261" s="95">
        <f t="array" ref="AF261">XLOOKUP(AE261,'Category Saturation'!A:A,'Category Saturation'!E:E)</f>
        <v>25</v>
      </c>
      <c r="AH261" s="148">
        <f t="array" ref="AH261">iferror(XLOOKUP(R261,'New Launch Success Rate'!A:A,'New Launch Success Rate'!F:F),"NA")</f>
        <v>0.43725</v>
      </c>
      <c r="AI261" s="95">
        <f t="shared" si="9"/>
        <v>25</v>
      </c>
      <c r="AK261" s="149">
        <f t="shared" si="10"/>
        <v>70</v>
      </c>
      <c r="AM261" s="150">
        <f t="array" ref="AM261">XLOOKUP(R261,'Non Moving'!C:C,'Non Moving'!I:I)/100</f>
        <v>0.008</v>
      </c>
      <c r="AN261" s="151">
        <f t="shared" si="11"/>
        <v>100</v>
      </c>
      <c r="AO261" s="150">
        <f t="array" ref="AO261">XLOOKUP(R261,'Non Moving'!C:C,'Non Moving'!F:F)/100</f>
        <v>0.066</v>
      </c>
      <c r="AP261" s="151">
        <f t="shared" si="12"/>
        <v>100</v>
      </c>
      <c r="AR261" s="95">
        <f t="shared" si="13"/>
        <v>100</v>
      </c>
      <c r="AT261" s="95">
        <f t="shared" si="14"/>
        <v>0</v>
      </c>
      <c r="AU261" s="95">
        <f t="array" ref="AU261">iferror(XLOOKUP(J261,Monetization!A:A,Monetization!B:B),25)</f>
        <v>25</v>
      </c>
      <c r="AW261" s="95">
        <f t="shared" si="15"/>
        <v>7.5</v>
      </c>
      <c r="AY261" s="149">
        <f t="shared" si="16"/>
        <v>69.5</v>
      </c>
      <c r="AZ261" s="95" t="str">
        <f t="shared" si="17"/>
        <v>50-75</v>
      </c>
      <c r="BA261" s="95" t="str">
        <f t="shared" si="18"/>
        <v>50-75</v>
      </c>
      <c r="BB261" s="152">
        <f t="array" ref="BB261">iferror(XLOOKUP(C261,Sheet9!A:A,Sheet9!D:D),0)</f>
        <v>0.91</v>
      </c>
      <c r="BC261" s="2">
        <v>1.0</v>
      </c>
      <c r="BD261" s="95">
        <f t="array" ref="BD261">XLOOKUP(C261,ROS!C:C,ROS!O:O)</f>
        <v>0</v>
      </c>
      <c r="BE261" s="147">
        <f t="array" ref="BE261">IFERROR(XLOOKUP(C261,ROS!T:T,ROS!U:U),"")</f>
        <v>3.254545455</v>
      </c>
      <c r="BF261" s="147">
        <f t="array" ref="BF261">XLOOKUP(R261,'Refrence Data'!B:B,'Refrence Data'!T:T)</f>
        <v>7.349738</v>
      </c>
      <c r="BG261" s="95">
        <f t="shared" si="19"/>
        <v>0</v>
      </c>
      <c r="BH261" s="4" t="str">
        <f t="shared" si="20"/>
        <v>FP</v>
      </c>
      <c r="BO261" s="153"/>
      <c r="BP261" s="153" t="str">
        <f t="shared" si="26"/>
        <v>FP</v>
      </c>
      <c r="BQ261" s="153"/>
      <c r="BR261" s="153"/>
      <c r="BS261" s="153"/>
    </row>
    <row r="262">
      <c r="A262" s="171">
        <v>6.221073002577E12</v>
      </c>
      <c r="B262" s="171" t="s">
        <v>3521</v>
      </c>
      <c r="C262" s="137" t="s">
        <v>1230</v>
      </c>
      <c r="D262" s="138" t="s">
        <v>644</v>
      </c>
      <c r="E262" s="139" t="s">
        <v>645</v>
      </c>
      <c r="F262" s="140" t="s">
        <v>3551</v>
      </c>
      <c r="G262" s="141">
        <v>0.0</v>
      </c>
      <c r="H262" s="142">
        <v>10.99072</v>
      </c>
      <c r="I262" s="143" t="s">
        <v>111</v>
      </c>
      <c r="J262" s="83"/>
      <c r="K262" s="174">
        <v>365.0</v>
      </c>
      <c r="R262" s="145" t="str">
        <f t="shared" si="1"/>
        <v>Healthy Snacks_10-15</v>
      </c>
      <c r="S262" s="146" t="str">
        <f t="shared" si="2"/>
        <v>10-15</v>
      </c>
      <c r="T262" s="95" t="str">
        <f t="array" ref="T262">XLOOKUP(C262,'Depth or Width'!P:P,'Depth or Width'!V:V)</f>
        <v>Width</v>
      </c>
      <c r="U262" s="93">
        <f t="shared" si="3"/>
        <v>5</v>
      </c>
      <c r="V262" s="147">
        <f t="array" ref="V262">iferror(XLOOKUP(R262,'Refrence Data'!B:B,'Refrence Data'!W:W),"NA")</f>
        <v>0.310145</v>
      </c>
      <c r="W262" s="95">
        <f t="shared" si="4"/>
        <v>0</v>
      </c>
      <c r="Y262" s="148">
        <f t="array" ref="Y262">IFERROR(XLOOKUP(R262,'Refrence Data'!B:B,'Refrence Data'!N:N),"NA")</f>
        <v>0</v>
      </c>
      <c r="Z262" s="95" t="str">
        <f t="shared" si="5"/>
        <v>LOW</v>
      </c>
      <c r="AA262" s="147">
        <f t="array" ref="AA262">XLOOKUP(R262,'Refrence Data'!B:B,'Refrence Data'!AC:AC)</f>
        <v>0.310145</v>
      </c>
      <c r="AB262" s="147">
        <f t="array" ref="AB262">IFERROR(XLOOKUP(R262,'Refrence Data'!B:B,'Refrence Data'!Y:Y),"NA")</f>
        <v>0.310145</v>
      </c>
      <c r="AC262" s="95" t="str">
        <f t="shared" si="6"/>
        <v>High</v>
      </c>
      <c r="AD262" s="95" t="str">
        <f t="shared" si="7"/>
        <v>Width</v>
      </c>
      <c r="AE262" s="95" t="str">
        <f t="shared" si="8"/>
        <v>LOWHighWidth</v>
      </c>
      <c r="AF262" s="95">
        <f t="array" ref="AF262">XLOOKUP(AE262,'Category Saturation'!A:A,'Category Saturation'!E:E)</f>
        <v>100</v>
      </c>
      <c r="AH262" s="148">
        <f t="array" ref="AH262">iferror(XLOOKUP(R262,'New Launch Success Rate'!A:A,'New Launch Success Rate'!F:F),"NA")</f>
        <v>0.714</v>
      </c>
      <c r="AI262" s="95">
        <f t="shared" si="9"/>
        <v>100</v>
      </c>
      <c r="AK262" s="149">
        <f t="shared" si="10"/>
        <v>40</v>
      </c>
      <c r="AM262" s="150">
        <f t="array" ref="AM262">XLOOKUP(R262,'Non Moving'!C:C,'Non Moving'!I:I)/100</f>
        <v>0.024</v>
      </c>
      <c r="AN262" s="151">
        <f t="shared" si="11"/>
        <v>100</v>
      </c>
      <c r="AO262" s="150">
        <f t="array" ref="AO262">XLOOKUP(R262,'Non Moving'!C:C,'Non Moving'!F:F)/100</f>
        <v>0.152</v>
      </c>
      <c r="AP262" s="151">
        <f t="shared" si="12"/>
        <v>100</v>
      </c>
      <c r="AR262" s="95">
        <f t="shared" si="13"/>
        <v>100</v>
      </c>
      <c r="AT262" s="95">
        <f t="shared" si="14"/>
        <v>0</v>
      </c>
      <c r="AU262" s="95">
        <f t="array" ref="AU262">iferror(XLOOKUP(J262,Monetization!A:A,Monetization!B:B),25)</f>
        <v>25</v>
      </c>
      <c r="AW262" s="95">
        <f t="shared" si="15"/>
        <v>7.5</v>
      </c>
      <c r="AY262" s="149">
        <f t="shared" si="16"/>
        <v>57.5</v>
      </c>
      <c r="AZ262" s="95" t="str">
        <f t="shared" si="17"/>
        <v>50-75</v>
      </c>
      <c r="BA262" s="95" t="str">
        <f t="shared" si="18"/>
        <v>25-50</v>
      </c>
      <c r="BB262" s="152">
        <f t="array" ref="BB262">iferror(XLOOKUP(C262,Sheet9!A:A,Sheet9!D:D),0)</f>
        <v>0.92</v>
      </c>
      <c r="BC262" s="2">
        <v>1.0</v>
      </c>
      <c r="BD262" s="95">
        <f t="array" ref="BD262">XLOOKUP(C262,ROS!C:C,ROS!O:O)</f>
        <v>0</v>
      </c>
      <c r="BE262" s="147">
        <f t="array" ref="BE262">IFERROR(XLOOKUP(C262,ROS!T:T,ROS!U:U),"")</f>
        <v>3.567027417</v>
      </c>
      <c r="BF262" s="147">
        <f t="array" ref="BF262">XLOOKUP(R262,'Refrence Data'!B:B,'Refrence Data'!T:T)</f>
        <v>0.310145</v>
      </c>
      <c r="BG262" s="95">
        <f t="shared" si="19"/>
        <v>1</v>
      </c>
      <c r="BH262" s="4" t="str">
        <f t="shared" si="20"/>
        <v>FN</v>
      </c>
      <c r="BO262" s="153"/>
      <c r="BP262" s="153" t="str">
        <f t="shared" si="26"/>
        <v>TP</v>
      </c>
      <c r="BQ262" s="153"/>
      <c r="BR262" s="153"/>
      <c r="BS262" s="153"/>
    </row>
    <row r="263">
      <c r="A263" s="171">
        <v>9.352047002808E12</v>
      </c>
      <c r="B263" s="171" t="s">
        <v>3521</v>
      </c>
      <c r="C263" s="137" t="s">
        <v>1231</v>
      </c>
      <c r="D263" s="138" t="s">
        <v>644</v>
      </c>
      <c r="E263" s="139" t="s">
        <v>652</v>
      </c>
      <c r="F263" s="140" t="s">
        <v>3607</v>
      </c>
      <c r="G263" s="141">
        <v>0.0</v>
      </c>
      <c r="H263" s="142">
        <v>116.1582</v>
      </c>
      <c r="I263" s="143" t="s">
        <v>111</v>
      </c>
      <c r="J263" s="83"/>
      <c r="K263" s="174">
        <v>180.0</v>
      </c>
      <c r="R263" s="145" t="str">
        <f t="shared" si="1"/>
        <v>Biscuits &amp; Cookies_25+</v>
      </c>
      <c r="S263" s="146" t="str">
        <f t="shared" si="2"/>
        <v>25+</v>
      </c>
      <c r="T263" s="95" t="str">
        <f t="array" ref="T263">XLOOKUP(C263,'Depth or Width'!P:P,'Depth or Width'!V:V)</f>
        <v>Width</v>
      </c>
      <c r="U263" s="93">
        <f t="shared" si="3"/>
        <v>5</v>
      </c>
      <c r="V263" s="147">
        <f t="array" ref="V263">iferror(XLOOKUP(R263,'Refrence Data'!B:B,'Refrence Data'!W:W),"NA")</f>
        <v>2.192047</v>
      </c>
      <c r="W263" s="95">
        <f t="shared" si="4"/>
        <v>0</v>
      </c>
      <c r="Y263" s="148">
        <f t="array" ref="Y263">IFERROR(XLOOKUP(R263,'Refrence Data'!B:B,'Refrence Data'!N:N),"NA")</f>
        <v>0.540888</v>
      </c>
      <c r="Z263" s="95" t="str">
        <f t="shared" si="5"/>
        <v>MEDIUM</v>
      </c>
      <c r="AA263" s="147">
        <f t="array" ref="AA263">XLOOKUP(R263,'Refrence Data'!B:B,'Refrence Data'!AC:AC)</f>
        <v>3.91889</v>
      </c>
      <c r="AB263" s="147">
        <f t="array" ref="AB263">IFERROR(XLOOKUP(R263,'Refrence Data'!B:B,'Refrence Data'!Y:Y),"NA")</f>
        <v>1.844109</v>
      </c>
      <c r="AC263" s="95" t="str">
        <f t="shared" si="6"/>
        <v>Low</v>
      </c>
      <c r="AD263" s="95" t="str">
        <f t="shared" si="7"/>
        <v>Width</v>
      </c>
      <c r="AE263" s="95" t="str">
        <f t="shared" si="8"/>
        <v>MEDIUMLowWidth</v>
      </c>
      <c r="AF263" s="95">
        <f t="array" ref="AF263">XLOOKUP(AE263,'Category Saturation'!A:A,'Category Saturation'!E:E)</f>
        <v>25</v>
      </c>
      <c r="AH263" s="148">
        <f t="array" ref="AH263">iferror(XLOOKUP(R263,'New Launch Success Rate'!A:A,'New Launch Success Rate'!F:F),"NA")</f>
        <v>1</v>
      </c>
      <c r="AI263" s="95">
        <f t="shared" si="9"/>
        <v>100</v>
      </c>
      <c r="AK263" s="149">
        <f t="shared" si="10"/>
        <v>17.5</v>
      </c>
      <c r="AM263" s="150">
        <f t="array" ref="AM263">XLOOKUP(R263,'Non Moving'!C:C,'Non Moving'!I:I)/100</f>
        <v>0.176</v>
      </c>
      <c r="AN263" s="151">
        <f t="shared" si="11"/>
        <v>50</v>
      </c>
      <c r="AO263" s="150">
        <f t="array" ref="AO263">XLOOKUP(R263,'Non Moving'!C:C,'Non Moving'!F:F)/100</f>
        <v>0.261</v>
      </c>
      <c r="AP263" s="151">
        <f t="shared" si="12"/>
        <v>75</v>
      </c>
      <c r="AR263" s="95">
        <f t="shared" si="13"/>
        <v>62.5</v>
      </c>
      <c r="AT263" s="95">
        <f t="shared" si="14"/>
        <v>0</v>
      </c>
      <c r="AU263" s="95">
        <f t="array" ref="AU263">iferror(XLOOKUP(J263,Monetization!A:A,Monetization!B:B),25)</f>
        <v>25</v>
      </c>
      <c r="AW263" s="95">
        <f t="shared" si="15"/>
        <v>7.5</v>
      </c>
      <c r="AY263" s="149">
        <f t="shared" si="16"/>
        <v>33.5</v>
      </c>
      <c r="AZ263" s="95" t="str">
        <f t="shared" si="17"/>
        <v>25-50</v>
      </c>
      <c r="BA263" s="95" t="str">
        <f t="shared" si="18"/>
        <v>0-25</v>
      </c>
      <c r="BB263" s="152">
        <f t="array" ref="BB263">iferror(XLOOKUP(C263,Sheet9!A:A,Sheet9!D:D),0)</f>
        <v>0.95</v>
      </c>
      <c r="BC263" s="2">
        <v>1.0</v>
      </c>
      <c r="BD263" s="95">
        <f t="array" ref="BD263">XLOOKUP(C263,ROS!C:C,ROS!O:O)</f>
        <v>0</v>
      </c>
      <c r="BE263" s="147">
        <f t="array" ref="BE263">IFERROR(XLOOKUP(C263,ROS!T:T,ROS!U:U),"")</f>
        <v>0</v>
      </c>
      <c r="BF263" s="147">
        <f t="array" ref="BF263">XLOOKUP(R263,'Refrence Data'!B:B,'Refrence Data'!T:T)</f>
        <v>0.870707</v>
      </c>
      <c r="BG263" s="95">
        <f t="shared" si="19"/>
        <v>0</v>
      </c>
      <c r="BH263" s="4" t="str">
        <f t="shared" si="20"/>
        <v>TN</v>
      </c>
      <c r="BO263" s="153"/>
      <c r="BP263" s="153" t="str">
        <f t="shared" si="26"/>
        <v>TN</v>
      </c>
      <c r="BQ263" s="153"/>
      <c r="BR263" s="153"/>
      <c r="BS263" s="153"/>
    </row>
    <row r="264">
      <c r="A264" s="171">
        <v>9.352047002792E12</v>
      </c>
      <c r="B264" s="171" t="s">
        <v>3521</v>
      </c>
      <c r="C264" s="137" t="s">
        <v>1233</v>
      </c>
      <c r="D264" s="138" t="s">
        <v>644</v>
      </c>
      <c r="E264" s="139" t="s">
        <v>652</v>
      </c>
      <c r="F264" s="140" t="s">
        <v>3607</v>
      </c>
      <c r="G264" s="141">
        <v>0.0</v>
      </c>
      <c r="H264" s="142">
        <v>43.81335</v>
      </c>
      <c r="I264" s="143" t="s">
        <v>111</v>
      </c>
      <c r="J264" s="83"/>
      <c r="K264" s="174">
        <v>180.0</v>
      </c>
      <c r="R264" s="145" t="str">
        <f t="shared" si="1"/>
        <v>Biscuits &amp; Cookies_25+</v>
      </c>
      <c r="S264" s="146" t="str">
        <f t="shared" si="2"/>
        <v>25+</v>
      </c>
      <c r="T264" s="95" t="str">
        <f t="array" ref="T264">XLOOKUP(C264,'Depth or Width'!P:P,'Depth or Width'!V:V)</f>
        <v>Width</v>
      </c>
      <c r="U264" s="93">
        <f t="shared" si="3"/>
        <v>5</v>
      </c>
      <c r="V264" s="147">
        <f t="array" ref="V264">iferror(XLOOKUP(R264,'Refrence Data'!B:B,'Refrence Data'!W:W),"NA")</f>
        <v>2.192047</v>
      </c>
      <c r="W264" s="95">
        <f t="shared" si="4"/>
        <v>0</v>
      </c>
      <c r="Y264" s="148">
        <f t="array" ref="Y264">IFERROR(XLOOKUP(R264,'Refrence Data'!B:B,'Refrence Data'!N:N),"NA")</f>
        <v>0.540888</v>
      </c>
      <c r="Z264" s="95" t="str">
        <f t="shared" si="5"/>
        <v>MEDIUM</v>
      </c>
      <c r="AA264" s="147">
        <f t="array" ref="AA264">XLOOKUP(R264,'Refrence Data'!B:B,'Refrence Data'!AC:AC)</f>
        <v>3.91889</v>
      </c>
      <c r="AB264" s="147">
        <f t="array" ref="AB264">IFERROR(XLOOKUP(R264,'Refrence Data'!B:B,'Refrence Data'!Y:Y),"NA")</f>
        <v>1.844109</v>
      </c>
      <c r="AC264" s="95" t="str">
        <f t="shared" si="6"/>
        <v>Low</v>
      </c>
      <c r="AD264" s="95" t="str">
        <f t="shared" si="7"/>
        <v>Width</v>
      </c>
      <c r="AE264" s="95" t="str">
        <f t="shared" si="8"/>
        <v>MEDIUMLowWidth</v>
      </c>
      <c r="AF264" s="95">
        <f t="array" ref="AF264">XLOOKUP(AE264,'Category Saturation'!A:A,'Category Saturation'!E:E)</f>
        <v>25</v>
      </c>
      <c r="AH264" s="148">
        <f t="array" ref="AH264">iferror(XLOOKUP(R264,'New Launch Success Rate'!A:A,'New Launch Success Rate'!F:F),"NA")</f>
        <v>1</v>
      </c>
      <c r="AI264" s="95">
        <f t="shared" si="9"/>
        <v>100</v>
      </c>
      <c r="AK264" s="149">
        <f t="shared" si="10"/>
        <v>17.5</v>
      </c>
      <c r="AM264" s="150">
        <f t="array" ref="AM264">XLOOKUP(R264,'Non Moving'!C:C,'Non Moving'!I:I)/100</f>
        <v>0.176</v>
      </c>
      <c r="AN264" s="151">
        <f t="shared" si="11"/>
        <v>50</v>
      </c>
      <c r="AO264" s="150">
        <f t="array" ref="AO264">XLOOKUP(R264,'Non Moving'!C:C,'Non Moving'!F:F)/100</f>
        <v>0.261</v>
      </c>
      <c r="AP264" s="151">
        <f t="shared" si="12"/>
        <v>75</v>
      </c>
      <c r="AR264" s="95">
        <f t="shared" si="13"/>
        <v>62.5</v>
      </c>
      <c r="AT264" s="95">
        <f t="shared" si="14"/>
        <v>0</v>
      </c>
      <c r="AU264" s="95">
        <f t="array" ref="AU264">iferror(XLOOKUP(J264,Monetization!A:A,Monetization!B:B),25)</f>
        <v>25</v>
      </c>
      <c r="AW264" s="95">
        <f t="shared" si="15"/>
        <v>7.5</v>
      </c>
      <c r="AY264" s="149">
        <f t="shared" si="16"/>
        <v>33.5</v>
      </c>
      <c r="AZ264" s="95" t="str">
        <f t="shared" si="17"/>
        <v>25-50</v>
      </c>
      <c r="BA264" s="95" t="str">
        <f t="shared" si="18"/>
        <v>0-25</v>
      </c>
      <c r="BB264" s="152">
        <f t="array" ref="BB264">iferror(XLOOKUP(C264,Sheet9!A:A,Sheet9!D:D),0)</f>
        <v>0.83</v>
      </c>
      <c r="BC264" s="2">
        <v>1.0</v>
      </c>
      <c r="BD264" s="95">
        <f t="array" ref="BD264">XLOOKUP(C264,ROS!C:C,ROS!O:O)</f>
        <v>0</v>
      </c>
      <c r="BE264" s="147">
        <f t="array" ref="BE264">IFERROR(XLOOKUP(C264,ROS!T:T,ROS!U:U),"")</f>
        <v>0</v>
      </c>
      <c r="BF264" s="147">
        <f t="array" ref="BF264">XLOOKUP(R264,'Refrence Data'!B:B,'Refrence Data'!T:T)</f>
        <v>0.870707</v>
      </c>
      <c r="BG264" s="95">
        <f t="shared" si="19"/>
        <v>0</v>
      </c>
      <c r="BH264" s="4" t="str">
        <f t="shared" si="20"/>
        <v>TN</v>
      </c>
      <c r="BO264" s="153"/>
      <c r="BP264" s="153" t="str">
        <f t="shared" si="26"/>
        <v>TN</v>
      </c>
      <c r="BQ264" s="153"/>
      <c r="BR264" s="153"/>
      <c r="BS264" s="153"/>
    </row>
    <row r="265">
      <c r="A265" s="171">
        <v>9.352047002785E12</v>
      </c>
      <c r="B265" s="171" t="s">
        <v>3521</v>
      </c>
      <c r="C265" s="137" t="s">
        <v>1234</v>
      </c>
      <c r="D265" s="138" t="s">
        <v>644</v>
      </c>
      <c r="E265" s="139" t="s">
        <v>652</v>
      </c>
      <c r="F265" s="140" t="s">
        <v>3607</v>
      </c>
      <c r="G265" s="141">
        <v>0.0</v>
      </c>
      <c r="H265" s="142">
        <v>34.76123</v>
      </c>
      <c r="I265" s="143" t="s">
        <v>111</v>
      </c>
      <c r="J265" s="83"/>
      <c r="K265" s="174">
        <v>180.0</v>
      </c>
      <c r="R265" s="145" t="str">
        <f t="shared" si="1"/>
        <v>Biscuits &amp; Cookies_25+</v>
      </c>
      <c r="S265" s="146" t="str">
        <f t="shared" si="2"/>
        <v>25+</v>
      </c>
      <c r="T265" s="95" t="str">
        <f t="array" ref="T265">XLOOKUP(C265,'Depth or Width'!P:P,'Depth or Width'!V:V)</f>
        <v>Width</v>
      </c>
      <c r="U265" s="93">
        <f t="shared" si="3"/>
        <v>5</v>
      </c>
      <c r="V265" s="147">
        <f t="array" ref="V265">iferror(XLOOKUP(R265,'Refrence Data'!B:B,'Refrence Data'!W:W),"NA")</f>
        <v>2.192047</v>
      </c>
      <c r="W265" s="95">
        <f t="shared" si="4"/>
        <v>0</v>
      </c>
      <c r="Y265" s="148">
        <f t="array" ref="Y265">IFERROR(XLOOKUP(R265,'Refrence Data'!B:B,'Refrence Data'!N:N),"NA")</f>
        <v>0.540888</v>
      </c>
      <c r="Z265" s="95" t="str">
        <f t="shared" si="5"/>
        <v>MEDIUM</v>
      </c>
      <c r="AA265" s="147">
        <f t="array" ref="AA265">XLOOKUP(R265,'Refrence Data'!B:B,'Refrence Data'!AC:AC)</f>
        <v>3.91889</v>
      </c>
      <c r="AB265" s="147">
        <f t="array" ref="AB265">IFERROR(XLOOKUP(R265,'Refrence Data'!B:B,'Refrence Data'!Y:Y),"NA")</f>
        <v>1.844109</v>
      </c>
      <c r="AC265" s="95" t="str">
        <f t="shared" si="6"/>
        <v>Low</v>
      </c>
      <c r="AD265" s="95" t="str">
        <f t="shared" si="7"/>
        <v>Width</v>
      </c>
      <c r="AE265" s="95" t="str">
        <f t="shared" si="8"/>
        <v>MEDIUMLowWidth</v>
      </c>
      <c r="AF265" s="95">
        <f t="array" ref="AF265">XLOOKUP(AE265,'Category Saturation'!A:A,'Category Saturation'!E:E)</f>
        <v>25</v>
      </c>
      <c r="AH265" s="148">
        <f t="array" ref="AH265">iferror(XLOOKUP(R265,'New Launch Success Rate'!A:A,'New Launch Success Rate'!F:F),"NA")</f>
        <v>1</v>
      </c>
      <c r="AI265" s="95">
        <f t="shared" si="9"/>
        <v>100</v>
      </c>
      <c r="AK265" s="149">
        <f t="shared" si="10"/>
        <v>17.5</v>
      </c>
      <c r="AM265" s="150">
        <f t="array" ref="AM265">XLOOKUP(R265,'Non Moving'!C:C,'Non Moving'!I:I)/100</f>
        <v>0.176</v>
      </c>
      <c r="AN265" s="151">
        <f t="shared" si="11"/>
        <v>50</v>
      </c>
      <c r="AO265" s="150">
        <f t="array" ref="AO265">XLOOKUP(R265,'Non Moving'!C:C,'Non Moving'!F:F)/100</f>
        <v>0.261</v>
      </c>
      <c r="AP265" s="151">
        <f t="shared" si="12"/>
        <v>75</v>
      </c>
      <c r="AR265" s="95">
        <f t="shared" si="13"/>
        <v>62.5</v>
      </c>
      <c r="AT265" s="95">
        <f t="shared" si="14"/>
        <v>0</v>
      </c>
      <c r="AU265" s="95">
        <f t="array" ref="AU265">iferror(XLOOKUP(J265,Monetization!A:A,Monetization!B:B),25)</f>
        <v>25</v>
      </c>
      <c r="AW265" s="95">
        <f t="shared" si="15"/>
        <v>7.5</v>
      </c>
      <c r="AY265" s="149">
        <f t="shared" si="16"/>
        <v>33.5</v>
      </c>
      <c r="AZ265" s="95" t="str">
        <f t="shared" si="17"/>
        <v>25-50</v>
      </c>
      <c r="BA265" s="95" t="str">
        <f t="shared" si="18"/>
        <v>0-25</v>
      </c>
      <c r="BB265" s="152">
        <f t="array" ref="BB265">iferror(XLOOKUP(C265,Sheet9!A:A,Sheet9!D:D),0)</f>
        <v>0.9</v>
      </c>
      <c r="BC265" s="2">
        <v>1.0</v>
      </c>
      <c r="BD265" s="95">
        <f t="array" ref="BD265">XLOOKUP(C265,ROS!C:C,ROS!O:O)</f>
        <v>0.25</v>
      </c>
      <c r="BE265" s="147">
        <f t="array" ref="BE265">IFERROR(XLOOKUP(C265,ROS!T:T,ROS!U:U),"")</f>
        <v>0</v>
      </c>
      <c r="BF265" s="147">
        <f t="array" ref="BF265">XLOOKUP(R265,'Refrence Data'!B:B,'Refrence Data'!T:T)</f>
        <v>0.870707</v>
      </c>
      <c r="BG265" s="95">
        <f t="shared" si="19"/>
        <v>0</v>
      </c>
      <c r="BH265" s="4" t="str">
        <f t="shared" si="20"/>
        <v>TN</v>
      </c>
      <c r="BO265" s="153"/>
      <c r="BP265" s="153" t="str">
        <f t="shared" si="26"/>
        <v>TN</v>
      </c>
      <c r="BQ265" s="153"/>
      <c r="BR265" s="153"/>
      <c r="BS265" s="153"/>
    </row>
    <row r="266">
      <c r="A266" s="171">
        <v>9.352047002778E12</v>
      </c>
      <c r="B266" s="171" t="s">
        <v>3521</v>
      </c>
      <c r="C266" s="137" t="s">
        <v>1235</v>
      </c>
      <c r="D266" s="138" t="s">
        <v>644</v>
      </c>
      <c r="E266" s="139" t="s">
        <v>652</v>
      </c>
      <c r="F266" s="140" t="s">
        <v>3607</v>
      </c>
      <c r="G266" s="141">
        <v>0.0</v>
      </c>
      <c r="H266" s="142">
        <v>43.71546</v>
      </c>
      <c r="I266" s="143" t="s">
        <v>111</v>
      </c>
      <c r="J266" s="83"/>
      <c r="K266" s="174">
        <v>180.0</v>
      </c>
      <c r="R266" s="145" t="str">
        <f t="shared" si="1"/>
        <v>Biscuits &amp; Cookies_25+</v>
      </c>
      <c r="S266" s="146" t="str">
        <f t="shared" si="2"/>
        <v>25+</v>
      </c>
      <c r="T266" s="95" t="str">
        <f t="array" ref="T266">XLOOKUP(C266,'Depth or Width'!P:P,'Depth or Width'!V:V)</f>
        <v>Width</v>
      </c>
      <c r="U266" s="93">
        <f t="shared" si="3"/>
        <v>5</v>
      </c>
      <c r="V266" s="147">
        <f t="array" ref="V266">iferror(XLOOKUP(R266,'Refrence Data'!B:B,'Refrence Data'!W:W),"NA")</f>
        <v>2.192047</v>
      </c>
      <c r="W266" s="95">
        <f t="shared" si="4"/>
        <v>0</v>
      </c>
      <c r="Y266" s="148">
        <f t="array" ref="Y266">IFERROR(XLOOKUP(R266,'Refrence Data'!B:B,'Refrence Data'!N:N),"NA")</f>
        <v>0.540888</v>
      </c>
      <c r="Z266" s="95" t="str">
        <f t="shared" si="5"/>
        <v>MEDIUM</v>
      </c>
      <c r="AA266" s="147">
        <f t="array" ref="AA266">XLOOKUP(R266,'Refrence Data'!B:B,'Refrence Data'!AC:AC)</f>
        <v>3.91889</v>
      </c>
      <c r="AB266" s="147">
        <f t="array" ref="AB266">IFERROR(XLOOKUP(R266,'Refrence Data'!B:B,'Refrence Data'!Y:Y),"NA")</f>
        <v>1.844109</v>
      </c>
      <c r="AC266" s="95" t="str">
        <f t="shared" si="6"/>
        <v>Low</v>
      </c>
      <c r="AD266" s="95" t="str">
        <f t="shared" si="7"/>
        <v>Width</v>
      </c>
      <c r="AE266" s="95" t="str">
        <f t="shared" si="8"/>
        <v>MEDIUMLowWidth</v>
      </c>
      <c r="AF266" s="95">
        <f t="array" ref="AF266">XLOOKUP(AE266,'Category Saturation'!A:A,'Category Saturation'!E:E)</f>
        <v>25</v>
      </c>
      <c r="AH266" s="148">
        <f t="array" ref="AH266">iferror(XLOOKUP(R266,'New Launch Success Rate'!A:A,'New Launch Success Rate'!F:F),"NA")</f>
        <v>1</v>
      </c>
      <c r="AI266" s="95">
        <f t="shared" si="9"/>
        <v>100</v>
      </c>
      <c r="AK266" s="149">
        <f t="shared" si="10"/>
        <v>17.5</v>
      </c>
      <c r="AM266" s="150">
        <f t="array" ref="AM266">XLOOKUP(R266,'Non Moving'!C:C,'Non Moving'!I:I)/100</f>
        <v>0.176</v>
      </c>
      <c r="AN266" s="151">
        <f t="shared" si="11"/>
        <v>50</v>
      </c>
      <c r="AO266" s="150">
        <f t="array" ref="AO266">XLOOKUP(R266,'Non Moving'!C:C,'Non Moving'!F:F)/100</f>
        <v>0.261</v>
      </c>
      <c r="AP266" s="151">
        <f t="shared" si="12"/>
        <v>75</v>
      </c>
      <c r="AR266" s="95">
        <f t="shared" si="13"/>
        <v>62.5</v>
      </c>
      <c r="AT266" s="95">
        <f t="shared" si="14"/>
        <v>0</v>
      </c>
      <c r="AU266" s="95">
        <f t="array" ref="AU266">iferror(XLOOKUP(J266,Monetization!A:A,Monetization!B:B),25)</f>
        <v>25</v>
      </c>
      <c r="AW266" s="95">
        <f t="shared" si="15"/>
        <v>7.5</v>
      </c>
      <c r="AY266" s="149">
        <f t="shared" si="16"/>
        <v>33.5</v>
      </c>
      <c r="AZ266" s="95" t="str">
        <f t="shared" si="17"/>
        <v>25-50</v>
      </c>
      <c r="BA266" s="95" t="str">
        <f t="shared" si="18"/>
        <v>0-25</v>
      </c>
      <c r="BB266" s="152">
        <f t="array" ref="BB266">iferror(XLOOKUP(C266,Sheet9!A:A,Sheet9!D:D),0)</f>
        <v>0.9</v>
      </c>
      <c r="BC266" s="2">
        <v>1.0</v>
      </c>
      <c r="BD266" s="95">
        <f t="array" ref="BD266">XLOOKUP(C266,ROS!C:C,ROS!O:O)</f>
        <v>0</v>
      </c>
      <c r="BE266" s="147">
        <f t="array" ref="BE266">IFERROR(XLOOKUP(C266,ROS!T:T,ROS!U:U),"")</f>
        <v>0</v>
      </c>
      <c r="BF266" s="147">
        <f t="array" ref="BF266">XLOOKUP(R266,'Refrence Data'!B:B,'Refrence Data'!T:T)</f>
        <v>0.870707</v>
      </c>
      <c r="BG266" s="95">
        <f t="shared" si="19"/>
        <v>0</v>
      </c>
      <c r="BH266" s="4" t="str">
        <f t="shared" si="20"/>
        <v>TN</v>
      </c>
      <c r="BO266" s="153"/>
      <c r="BP266" s="153" t="str">
        <f t="shared" si="26"/>
        <v>TN</v>
      </c>
      <c r="BQ266" s="153"/>
      <c r="BR266" s="153"/>
      <c r="BS266" s="153"/>
    </row>
    <row r="267">
      <c r="A267" s="171">
        <v>8.907316006011E12</v>
      </c>
      <c r="B267" s="171" t="s">
        <v>3521</v>
      </c>
      <c r="C267" s="137" t="s">
        <v>912</v>
      </c>
      <c r="D267" s="138" t="s">
        <v>264</v>
      </c>
      <c r="E267" s="139" t="s">
        <v>270</v>
      </c>
      <c r="F267" s="140" t="s">
        <v>3564</v>
      </c>
      <c r="G267" s="141">
        <v>0.0</v>
      </c>
      <c r="H267" s="142">
        <v>6.249229</v>
      </c>
      <c r="I267" s="143" t="s">
        <v>111</v>
      </c>
      <c r="J267" s="83"/>
      <c r="K267" s="174">
        <v>365.0</v>
      </c>
      <c r="R267" s="145" t="str">
        <f t="shared" si="1"/>
        <v>Paste &amp; Sauces_5-10</v>
      </c>
      <c r="S267" s="146" t="str">
        <f t="shared" si="2"/>
        <v>5-10</v>
      </c>
      <c r="T267" s="95" t="str">
        <f t="array" ref="T267">XLOOKUP(C267,'Depth or Width'!P:P,'Depth or Width'!V:V)</f>
        <v>Depth</v>
      </c>
      <c r="U267" s="93">
        <f t="shared" si="3"/>
        <v>5</v>
      </c>
      <c r="V267" s="147">
        <f t="array" ref="V267">iferror(XLOOKUP(R267,'Refrence Data'!B:B,'Refrence Data'!W:W),"NA")</f>
        <v>5.493482</v>
      </c>
      <c r="W267" s="95">
        <f t="shared" si="4"/>
        <v>100</v>
      </c>
      <c r="Y267" s="148">
        <f t="array" ref="Y267">IFERROR(XLOOKUP(R267,'Refrence Data'!B:B,'Refrence Data'!N:N),"NA")</f>
        <v>0.760103</v>
      </c>
      <c r="Z267" s="95" t="str">
        <f t="shared" si="5"/>
        <v>HIGH</v>
      </c>
      <c r="AA267" s="147">
        <f t="array" ref="AA267">XLOOKUP(R267,'Refrence Data'!B:B,'Refrence Data'!AC:AC)</f>
        <v>3.385656</v>
      </c>
      <c r="AB267" s="147">
        <f t="array" ref="AB267">IFERROR(XLOOKUP(R267,'Refrence Data'!B:B,'Refrence Data'!Y:Y),"NA")</f>
        <v>6.865441</v>
      </c>
      <c r="AC267" s="95" t="str">
        <f t="shared" si="6"/>
        <v>High</v>
      </c>
      <c r="AD267" s="95" t="str">
        <f t="shared" si="7"/>
        <v>Depth</v>
      </c>
      <c r="AE267" s="95" t="str">
        <f t="shared" si="8"/>
        <v>HIGHHighDepth</v>
      </c>
      <c r="AF267" s="95">
        <f t="array" ref="AF267">XLOOKUP(AE267,'Category Saturation'!A:A,'Category Saturation'!E:E)</f>
        <v>0</v>
      </c>
      <c r="AH267" s="148">
        <f t="array" ref="AH267">iferror(XLOOKUP(R267,'New Launch Success Rate'!A:A,'New Launch Success Rate'!F:F),"NA")</f>
        <v>0.833</v>
      </c>
      <c r="AI267" s="95">
        <f t="shared" si="9"/>
        <v>100</v>
      </c>
      <c r="AK267" s="149">
        <f t="shared" si="10"/>
        <v>70</v>
      </c>
      <c r="AM267" s="150">
        <f t="array" ref="AM267">XLOOKUP(R267,'Non Moving'!C:C,'Non Moving'!I:I)/100</f>
        <v>0.02</v>
      </c>
      <c r="AN267" s="151">
        <f t="shared" si="11"/>
        <v>100</v>
      </c>
      <c r="AO267" s="150">
        <f t="array" ref="AO267">XLOOKUP(R267,'Non Moving'!C:C,'Non Moving'!F:F)/100</f>
        <v>0.132</v>
      </c>
      <c r="AP267" s="151">
        <f t="shared" si="12"/>
        <v>100</v>
      </c>
      <c r="AR267" s="95">
        <f t="shared" si="13"/>
        <v>100</v>
      </c>
      <c r="AT267" s="95">
        <f t="shared" si="14"/>
        <v>0</v>
      </c>
      <c r="AU267" s="95">
        <f t="array" ref="AU267">iferror(XLOOKUP(J267,Monetization!A:A,Monetization!B:B),25)</f>
        <v>25</v>
      </c>
      <c r="AW267" s="95">
        <f t="shared" si="15"/>
        <v>7.5</v>
      </c>
      <c r="AY267" s="149">
        <f t="shared" si="16"/>
        <v>69.5</v>
      </c>
      <c r="AZ267" s="95" t="str">
        <f t="shared" si="17"/>
        <v>50-75</v>
      </c>
      <c r="BA267" s="95" t="str">
        <f t="shared" si="18"/>
        <v>50-75</v>
      </c>
      <c r="BB267" s="152">
        <f t="array" ref="BB267">iferror(XLOOKUP(C267,Sheet9!A:A,Sheet9!D:D),0)</f>
        <v>0.94</v>
      </c>
      <c r="BC267" s="2">
        <v>1.0</v>
      </c>
      <c r="BD267" s="95">
        <f t="array" ref="BD267">XLOOKUP(C267,ROS!C:C,ROS!O:O)</f>
        <v>0.857143</v>
      </c>
      <c r="BE267" s="147">
        <f t="array" ref="BE267">IFERROR(XLOOKUP(C267,ROS!T:T,ROS!U:U),"")</f>
        <v>0.424242424</v>
      </c>
      <c r="BF267" s="147">
        <f t="array" ref="BF267">XLOOKUP(R267,'Refrence Data'!B:B,'Refrence Data'!T:T)</f>
        <v>0.766667</v>
      </c>
      <c r="BG267" s="95">
        <f t="shared" si="19"/>
        <v>0</v>
      </c>
      <c r="BH267" s="4" t="str">
        <f t="shared" si="20"/>
        <v>FP</v>
      </c>
      <c r="BO267" s="153"/>
      <c r="BP267" s="153" t="str">
        <f t="shared" si="26"/>
        <v>FP</v>
      </c>
      <c r="BQ267" s="153"/>
      <c r="BR267" s="153"/>
      <c r="BS267" s="153"/>
    </row>
    <row r="268">
      <c r="A268" s="171">
        <v>9.341070003685E12</v>
      </c>
      <c r="B268" s="171" t="s">
        <v>3521</v>
      </c>
      <c r="C268" s="137" t="s">
        <v>1238</v>
      </c>
      <c r="D268" s="138" t="s">
        <v>644</v>
      </c>
      <c r="E268" s="139" t="s">
        <v>652</v>
      </c>
      <c r="F268" s="140" t="s">
        <v>3607</v>
      </c>
      <c r="G268" s="141">
        <v>0.0</v>
      </c>
      <c r="H268" s="142">
        <v>18.84999</v>
      </c>
      <c r="I268" s="143" t="s">
        <v>111</v>
      </c>
      <c r="J268" s="83"/>
      <c r="K268" s="174">
        <v>180.0</v>
      </c>
      <c r="R268" s="145" t="str">
        <f t="shared" si="1"/>
        <v>Biscuits &amp; Cookies_15-20</v>
      </c>
      <c r="S268" s="146" t="str">
        <f t="shared" si="2"/>
        <v>15-20</v>
      </c>
      <c r="T268" s="95" t="str">
        <f t="array" ref="T268">XLOOKUP(C268,'Depth or Width'!P:P,'Depth or Width'!V:V)</f>
        <v>Width</v>
      </c>
      <c r="U268" s="93">
        <f t="shared" si="3"/>
        <v>5</v>
      </c>
      <c r="V268" s="147">
        <f t="array" ref="V268">iferror(XLOOKUP(R268,'Refrence Data'!B:B,'Refrence Data'!W:W),"NA")</f>
        <v>3.590476</v>
      </c>
      <c r="W268" s="95">
        <f t="shared" si="4"/>
        <v>50</v>
      </c>
      <c r="Y268" s="148">
        <f t="array" ref="Y268">IFERROR(XLOOKUP(R268,'Refrence Data'!B:B,'Refrence Data'!N:N),"NA")</f>
        <v>0.708171</v>
      </c>
      <c r="Z268" s="95" t="str">
        <f t="shared" si="5"/>
        <v>HIGH</v>
      </c>
      <c r="AA268" s="147">
        <f t="array" ref="AA268">XLOOKUP(R268,'Refrence Data'!B:B,'Refrence Data'!AC:AC)</f>
        <v>3.91889</v>
      </c>
      <c r="AB268" s="147">
        <f t="array" ref="AB268">IFERROR(XLOOKUP(R268,'Refrence Data'!B:B,'Refrence Data'!Y:Y),"NA")</f>
        <v>3.91889</v>
      </c>
      <c r="AC268" s="95" t="str">
        <f t="shared" si="6"/>
        <v>High</v>
      </c>
      <c r="AD268" s="95" t="str">
        <f t="shared" si="7"/>
        <v>Width</v>
      </c>
      <c r="AE268" s="95" t="str">
        <f t="shared" si="8"/>
        <v>HIGHHighWidth</v>
      </c>
      <c r="AF268" s="95">
        <f t="array" ref="AF268">XLOOKUP(AE268,'Category Saturation'!A:A,'Category Saturation'!E:E)</f>
        <v>25</v>
      </c>
      <c r="AH268" s="148">
        <f t="array" ref="AH268">iferror(XLOOKUP(R268,'New Launch Success Rate'!A:A,'New Launch Success Rate'!F:F),"NA")</f>
        <v>0.6</v>
      </c>
      <c r="AI268" s="95">
        <f t="shared" si="9"/>
        <v>50</v>
      </c>
      <c r="AK268" s="149">
        <f t="shared" si="10"/>
        <v>42.5</v>
      </c>
      <c r="AM268" s="150">
        <f t="array" ref="AM268">XLOOKUP(R268,'Non Moving'!C:C,'Non Moving'!I:I)/100</f>
        <v>0.071</v>
      </c>
      <c r="AN268" s="151">
        <f t="shared" si="11"/>
        <v>100</v>
      </c>
      <c r="AO268" s="150">
        <f t="array" ref="AO268">XLOOKUP(R268,'Non Moving'!C:C,'Non Moving'!F:F)/100</f>
        <v>0.181</v>
      </c>
      <c r="AP268" s="151">
        <f t="shared" si="12"/>
        <v>100</v>
      </c>
      <c r="AR268" s="95">
        <f t="shared" si="13"/>
        <v>100</v>
      </c>
      <c r="AT268" s="95">
        <f t="shared" si="14"/>
        <v>0</v>
      </c>
      <c r="AU268" s="95">
        <f t="array" ref="AU268">iferror(XLOOKUP(J268,Monetization!A:A,Monetization!B:B),25)</f>
        <v>25</v>
      </c>
      <c r="AW268" s="95">
        <f t="shared" si="15"/>
        <v>7.5</v>
      </c>
      <c r="AY268" s="149">
        <f t="shared" si="16"/>
        <v>58.5</v>
      </c>
      <c r="AZ268" s="95" t="str">
        <f t="shared" si="17"/>
        <v>50-75</v>
      </c>
      <c r="BA268" s="95" t="str">
        <f t="shared" si="18"/>
        <v>25-50</v>
      </c>
      <c r="BB268" s="152">
        <f t="array" ref="BB268">iferror(XLOOKUP(C268,Sheet9!A:A,Sheet9!D:D),0)</f>
        <v>0.57</v>
      </c>
      <c r="BC268" s="2">
        <v>1.0</v>
      </c>
      <c r="BD268" s="95">
        <f t="array" ref="BD268">XLOOKUP(C268,ROS!C:C,ROS!O:O)</f>
        <v>0</v>
      </c>
      <c r="BE268" s="147">
        <f t="array" ref="BE268">IFERROR(XLOOKUP(C268,ROS!T:T,ROS!U:U),"")</f>
        <v>0</v>
      </c>
      <c r="BF268" s="147">
        <f t="array" ref="BF268">XLOOKUP(R268,'Refrence Data'!B:B,'Refrence Data'!T:T)</f>
        <v>0.2</v>
      </c>
      <c r="BG268" s="95">
        <f t="shared" si="19"/>
        <v>0</v>
      </c>
      <c r="BH268" s="4" t="str">
        <f t="shared" si="20"/>
        <v/>
      </c>
      <c r="BO268" s="153"/>
      <c r="BP268" s="153" t="str">
        <f t="shared" si="26"/>
        <v/>
      </c>
      <c r="BQ268" s="153"/>
      <c r="BR268" s="153"/>
      <c r="BS268" s="153"/>
    </row>
    <row r="269">
      <c r="A269" s="171">
        <v>9.341070002428E12</v>
      </c>
      <c r="B269" s="171" t="s">
        <v>3521</v>
      </c>
      <c r="C269" s="137" t="s">
        <v>1240</v>
      </c>
      <c r="D269" s="138" t="s">
        <v>644</v>
      </c>
      <c r="E269" s="139" t="s">
        <v>652</v>
      </c>
      <c r="F269" s="140" t="s">
        <v>3607</v>
      </c>
      <c r="G269" s="141">
        <v>0.0</v>
      </c>
      <c r="H269" s="142">
        <v>99.16354</v>
      </c>
      <c r="I269" s="143" t="s">
        <v>111</v>
      </c>
      <c r="J269" s="83"/>
      <c r="K269" s="174">
        <v>180.0</v>
      </c>
      <c r="R269" s="145" t="str">
        <f t="shared" si="1"/>
        <v>Biscuits &amp; Cookies_25+</v>
      </c>
      <c r="S269" s="146" t="str">
        <f t="shared" si="2"/>
        <v>25+</v>
      </c>
      <c r="T269" s="95" t="str">
        <f t="array" ref="T269">XLOOKUP(C269,'Depth or Width'!P:P,'Depth or Width'!V:V)</f>
        <v>Width</v>
      </c>
      <c r="U269" s="93">
        <f t="shared" si="3"/>
        <v>5</v>
      </c>
      <c r="V269" s="147">
        <f t="array" ref="V269">iferror(XLOOKUP(R269,'Refrence Data'!B:B,'Refrence Data'!W:W),"NA")</f>
        <v>2.192047</v>
      </c>
      <c r="W269" s="95">
        <f t="shared" si="4"/>
        <v>0</v>
      </c>
      <c r="Y269" s="148">
        <f t="array" ref="Y269">IFERROR(XLOOKUP(R269,'Refrence Data'!B:B,'Refrence Data'!N:N),"NA")</f>
        <v>0.540888</v>
      </c>
      <c r="Z269" s="95" t="str">
        <f t="shared" si="5"/>
        <v>MEDIUM</v>
      </c>
      <c r="AA269" s="147">
        <f t="array" ref="AA269">XLOOKUP(R269,'Refrence Data'!B:B,'Refrence Data'!AC:AC)</f>
        <v>3.91889</v>
      </c>
      <c r="AB269" s="147">
        <f t="array" ref="AB269">IFERROR(XLOOKUP(R269,'Refrence Data'!B:B,'Refrence Data'!Y:Y),"NA")</f>
        <v>1.844109</v>
      </c>
      <c r="AC269" s="95" t="str">
        <f t="shared" si="6"/>
        <v>Low</v>
      </c>
      <c r="AD269" s="95" t="str">
        <f t="shared" si="7"/>
        <v>Width</v>
      </c>
      <c r="AE269" s="95" t="str">
        <f t="shared" si="8"/>
        <v>MEDIUMLowWidth</v>
      </c>
      <c r="AF269" s="95">
        <f t="array" ref="AF269">XLOOKUP(AE269,'Category Saturation'!A:A,'Category Saturation'!E:E)</f>
        <v>25</v>
      </c>
      <c r="AH269" s="148">
        <f t="array" ref="AH269">iferror(XLOOKUP(R269,'New Launch Success Rate'!A:A,'New Launch Success Rate'!F:F),"NA")</f>
        <v>1</v>
      </c>
      <c r="AI269" s="95">
        <f t="shared" si="9"/>
        <v>100</v>
      </c>
      <c r="AK269" s="149">
        <f t="shared" si="10"/>
        <v>17.5</v>
      </c>
      <c r="AM269" s="150">
        <f t="array" ref="AM269">XLOOKUP(R269,'Non Moving'!C:C,'Non Moving'!I:I)/100</f>
        <v>0.176</v>
      </c>
      <c r="AN269" s="151">
        <f t="shared" si="11"/>
        <v>50</v>
      </c>
      <c r="AO269" s="150">
        <f t="array" ref="AO269">XLOOKUP(R269,'Non Moving'!C:C,'Non Moving'!F:F)/100</f>
        <v>0.261</v>
      </c>
      <c r="AP269" s="151">
        <f t="shared" si="12"/>
        <v>75</v>
      </c>
      <c r="AR269" s="95">
        <f t="shared" si="13"/>
        <v>62.5</v>
      </c>
      <c r="AT269" s="95">
        <f t="shared" si="14"/>
        <v>0</v>
      </c>
      <c r="AU269" s="95">
        <f t="array" ref="AU269">iferror(XLOOKUP(J269,Monetization!A:A,Monetization!B:B),25)</f>
        <v>25</v>
      </c>
      <c r="AW269" s="95">
        <f t="shared" si="15"/>
        <v>7.5</v>
      </c>
      <c r="AY269" s="149">
        <f t="shared" si="16"/>
        <v>33.5</v>
      </c>
      <c r="AZ269" s="95" t="str">
        <f t="shared" si="17"/>
        <v>25-50</v>
      </c>
      <c r="BA269" s="95" t="str">
        <f t="shared" si="18"/>
        <v>0-25</v>
      </c>
      <c r="BB269" s="152">
        <f t="array" ref="BB269">iferror(XLOOKUP(C269,Sheet9!A:A,Sheet9!D:D),0)</f>
        <v>0.95</v>
      </c>
      <c r="BC269" s="2">
        <v>1.0</v>
      </c>
      <c r="BD269" s="95">
        <f t="array" ref="BD269">XLOOKUP(C269,ROS!C:C,ROS!O:O)</f>
        <v>0</v>
      </c>
      <c r="BE269" s="147">
        <f t="array" ref="BE269">IFERROR(XLOOKUP(C269,ROS!T:T,ROS!U:U),"")</f>
        <v>0</v>
      </c>
      <c r="BF269" s="147">
        <f t="array" ref="BF269">XLOOKUP(R269,'Refrence Data'!B:B,'Refrence Data'!T:T)</f>
        <v>0.870707</v>
      </c>
      <c r="BG269" s="95">
        <f t="shared" si="19"/>
        <v>0</v>
      </c>
      <c r="BH269" s="4" t="str">
        <f t="shared" si="20"/>
        <v>TN</v>
      </c>
      <c r="BO269" s="153"/>
      <c r="BP269" s="153" t="str">
        <f t="shared" si="26"/>
        <v>TN</v>
      </c>
      <c r="BQ269" s="153"/>
      <c r="BR269" s="153"/>
      <c r="BS269" s="153"/>
    </row>
    <row r="270">
      <c r="A270" s="171">
        <v>8.588007731476E12</v>
      </c>
      <c r="B270" s="171" t="s">
        <v>3521</v>
      </c>
      <c r="C270" s="137" t="s">
        <v>1112</v>
      </c>
      <c r="D270" s="138" t="s">
        <v>630</v>
      </c>
      <c r="E270" s="139" t="s">
        <v>1096</v>
      </c>
      <c r="F270" s="140" t="s">
        <v>3554</v>
      </c>
      <c r="G270" s="141">
        <v>1.0</v>
      </c>
      <c r="H270" s="142">
        <v>11.24112</v>
      </c>
      <c r="I270" s="143" t="s">
        <v>111</v>
      </c>
      <c r="J270" s="83"/>
      <c r="K270" s="174">
        <v>300.0</v>
      </c>
      <c r="R270" s="145" t="str">
        <f t="shared" si="1"/>
        <v>Puffed Chips_10-15</v>
      </c>
      <c r="S270" s="146" t="str">
        <f t="shared" si="2"/>
        <v>10-15</v>
      </c>
      <c r="T270" s="95" t="str">
        <f t="array" ref="T270">XLOOKUP(C270,'Depth or Width'!P:P,'Depth or Width'!V:V)</f>
        <v>Width</v>
      </c>
      <c r="U270" s="93">
        <f t="shared" si="3"/>
        <v>5</v>
      </c>
      <c r="V270" s="147">
        <f t="array" ref="V270">iferror(XLOOKUP(R270,'Refrence Data'!B:B,'Refrence Data'!W:W),"NA")</f>
        <v>18.59194</v>
      </c>
      <c r="W270" s="95">
        <f t="shared" si="4"/>
        <v>100</v>
      </c>
      <c r="Y270" s="148">
        <f t="array" ref="Y270">IFERROR(XLOOKUP(R270,'Refrence Data'!B:B,'Refrence Data'!N:N),"NA")</f>
        <v>1</v>
      </c>
      <c r="Z270" s="95" t="str">
        <f t="shared" si="5"/>
        <v>HIGH</v>
      </c>
      <c r="AA270" s="147">
        <f t="array" ref="AA270">XLOOKUP(R270,'Refrence Data'!B:B,'Refrence Data'!AC:AC)</f>
        <v>3.029214</v>
      </c>
      <c r="AB270" s="147">
        <f t="array" ref="AB270">IFERROR(XLOOKUP(R270,'Refrence Data'!B:B,'Refrence Data'!Y:Y),"NA")</f>
        <v>3.098657</v>
      </c>
      <c r="AC270" s="95" t="str">
        <f t="shared" si="6"/>
        <v>High</v>
      </c>
      <c r="AD270" s="95" t="str">
        <f t="shared" si="7"/>
        <v>Width</v>
      </c>
      <c r="AE270" s="95" t="str">
        <f t="shared" si="8"/>
        <v>HIGHHighWidth</v>
      </c>
      <c r="AF270" s="95">
        <f t="array" ref="AF270">XLOOKUP(AE270,'Category Saturation'!A:A,'Category Saturation'!E:E)</f>
        <v>25</v>
      </c>
      <c r="AH270" s="148">
        <f t="array" ref="AH270">iferror(XLOOKUP(R270,'New Launch Success Rate'!A:A,'New Launch Success Rate'!F:F),"NA")</f>
        <v>0.34125</v>
      </c>
      <c r="AI270" s="95">
        <f t="shared" si="9"/>
        <v>25</v>
      </c>
      <c r="AK270" s="149">
        <f t="shared" si="10"/>
        <v>70</v>
      </c>
      <c r="AM270" s="150">
        <f t="array" ref="AM270">XLOOKUP(R270,'Non Moving'!C:C,'Non Moving'!I:I)/100</f>
        <v>0.006</v>
      </c>
      <c r="AN270" s="151">
        <f t="shared" si="11"/>
        <v>100</v>
      </c>
      <c r="AO270" s="150">
        <f t="array" ref="AO270">XLOOKUP(R270,'Non Moving'!C:C,'Non Moving'!F:F)/100</f>
        <v>0.088</v>
      </c>
      <c r="AP270" s="151">
        <f t="shared" si="12"/>
        <v>100</v>
      </c>
      <c r="AR270" s="95">
        <f t="shared" si="13"/>
        <v>100</v>
      </c>
      <c r="AT270" s="95">
        <f t="shared" si="14"/>
        <v>0</v>
      </c>
      <c r="AU270" s="95">
        <f t="array" ref="AU270">iferror(XLOOKUP(J270,Monetization!A:A,Monetization!B:B),25)</f>
        <v>25</v>
      </c>
      <c r="AW270" s="95">
        <f t="shared" si="15"/>
        <v>7.5</v>
      </c>
      <c r="AY270" s="149">
        <f t="shared" si="16"/>
        <v>69.5</v>
      </c>
      <c r="AZ270" s="95" t="str">
        <f t="shared" si="17"/>
        <v>50-75</v>
      </c>
      <c r="BA270" s="95" t="str">
        <f t="shared" si="18"/>
        <v>50-75</v>
      </c>
      <c r="BB270" s="152">
        <f t="array" ref="BB270">iferror(XLOOKUP(C270,Sheet9!A:A,Sheet9!D:D),0)</f>
        <v>0.84</v>
      </c>
      <c r="BC270" s="2">
        <v>1.0</v>
      </c>
      <c r="BD270" s="95">
        <f t="array" ref="BD270">XLOOKUP(C270,ROS!C:C,ROS!O:O)</f>
        <v>0</v>
      </c>
      <c r="BE270" s="147">
        <f t="array" ref="BE270">IFERROR(XLOOKUP(C270,ROS!T:T,ROS!U:U),"")</f>
        <v>0.1</v>
      </c>
      <c r="BF270" s="147">
        <f t="array" ref="BF270">XLOOKUP(R270,'Refrence Data'!B:B,'Refrence Data'!T:T)</f>
        <v>18.59194</v>
      </c>
      <c r="BG270" s="95">
        <f t="shared" si="19"/>
        <v>0</v>
      </c>
      <c r="BH270" s="4" t="str">
        <f t="shared" si="20"/>
        <v>FP</v>
      </c>
      <c r="BO270" s="153"/>
      <c r="BP270" s="153" t="str">
        <f t="shared" si="26"/>
        <v>FP</v>
      </c>
      <c r="BQ270" s="153"/>
      <c r="BR270" s="153"/>
      <c r="BS270" s="153"/>
    </row>
    <row r="271">
      <c r="A271" s="171">
        <v>9.341070000301E12</v>
      </c>
      <c r="B271" s="171" t="s">
        <v>3521</v>
      </c>
      <c r="C271" s="137" t="s">
        <v>1242</v>
      </c>
      <c r="D271" s="138" t="s">
        <v>644</v>
      </c>
      <c r="E271" s="139" t="s">
        <v>652</v>
      </c>
      <c r="F271" s="140" t="s">
        <v>3607</v>
      </c>
      <c r="G271" s="141">
        <v>0.0</v>
      </c>
      <c r="H271" s="142">
        <v>17.73599</v>
      </c>
      <c r="I271" s="143" t="s">
        <v>111</v>
      </c>
      <c r="J271" s="83"/>
      <c r="K271" s="174">
        <v>180.0</v>
      </c>
      <c r="R271" s="145" t="str">
        <f t="shared" si="1"/>
        <v>Biscuits &amp; Cookies_15-20</v>
      </c>
      <c r="S271" s="146" t="str">
        <f t="shared" si="2"/>
        <v>15-20</v>
      </c>
      <c r="T271" s="95" t="str">
        <f t="array" ref="T271">XLOOKUP(C271,'Depth or Width'!P:P,'Depth or Width'!V:V)</f>
        <v>Width</v>
      </c>
      <c r="U271" s="93">
        <f t="shared" si="3"/>
        <v>5</v>
      </c>
      <c r="V271" s="147">
        <f t="array" ref="V271">iferror(XLOOKUP(R271,'Refrence Data'!B:B,'Refrence Data'!W:W),"NA")</f>
        <v>3.590476</v>
      </c>
      <c r="W271" s="95">
        <f t="shared" si="4"/>
        <v>50</v>
      </c>
      <c r="Y271" s="148">
        <f t="array" ref="Y271">IFERROR(XLOOKUP(R271,'Refrence Data'!B:B,'Refrence Data'!N:N),"NA")</f>
        <v>0.708171</v>
      </c>
      <c r="Z271" s="95" t="str">
        <f t="shared" si="5"/>
        <v>HIGH</v>
      </c>
      <c r="AA271" s="147">
        <f t="array" ref="AA271">XLOOKUP(R271,'Refrence Data'!B:B,'Refrence Data'!AC:AC)</f>
        <v>3.91889</v>
      </c>
      <c r="AB271" s="147">
        <f t="array" ref="AB271">IFERROR(XLOOKUP(R271,'Refrence Data'!B:B,'Refrence Data'!Y:Y),"NA")</f>
        <v>3.91889</v>
      </c>
      <c r="AC271" s="95" t="str">
        <f t="shared" si="6"/>
        <v>High</v>
      </c>
      <c r="AD271" s="95" t="str">
        <f t="shared" si="7"/>
        <v>Width</v>
      </c>
      <c r="AE271" s="95" t="str">
        <f t="shared" si="8"/>
        <v>HIGHHighWidth</v>
      </c>
      <c r="AF271" s="95">
        <f t="array" ref="AF271">XLOOKUP(AE271,'Category Saturation'!A:A,'Category Saturation'!E:E)</f>
        <v>25</v>
      </c>
      <c r="AH271" s="148">
        <f t="array" ref="AH271">iferror(XLOOKUP(R271,'New Launch Success Rate'!A:A,'New Launch Success Rate'!F:F),"NA")</f>
        <v>0.6</v>
      </c>
      <c r="AI271" s="95">
        <f t="shared" si="9"/>
        <v>50</v>
      </c>
      <c r="AK271" s="149">
        <f t="shared" si="10"/>
        <v>42.5</v>
      </c>
      <c r="AM271" s="150">
        <f t="array" ref="AM271">XLOOKUP(R271,'Non Moving'!C:C,'Non Moving'!I:I)/100</f>
        <v>0.071</v>
      </c>
      <c r="AN271" s="151">
        <f t="shared" si="11"/>
        <v>100</v>
      </c>
      <c r="AO271" s="150">
        <f t="array" ref="AO271">XLOOKUP(R271,'Non Moving'!C:C,'Non Moving'!F:F)/100</f>
        <v>0.181</v>
      </c>
      <c r="AP271" s="151">
        <f t="shared" si="12"/>
        <v>100</v>
      </c>
      <c r="AR271" s="95">
        <f t="shared" si="13"/>
        <v>100</v>
      </c>
      <c r="AT271" s="95">
        <f t="shared" si="14"/>
        <v>0</v>
      </c>
      <c r="AU271" s="95">
        <f t="array" ref="AU271">iferror(XLOOKUP(J271,Monetization!A:A,Monetization!B:B),25)</f>
        <v>25</v>
      </c>
      <c r="AW271" s="95">
        <f t="shared" si="15"/>
        <v>7.5</v>
      </c>
      <c r="AY271" s="149">
        <f t="shared" si="16"/>
        <v>58.5</v>
      </c>
      <c r="AZ271" s="95" t="str">
        <f t="shared" si="17"/>
        <v>50-75</v>
      </c>
      <c r="BA271" s="95" t="str">
        <f t="shared" si="18"/>
        <v>25-50</v>
      </c>
      <c r="BB271" s="152">
        <f t="array" ref="BB271">iferror(XLOOKUP(C271,Sheet9!A:A,Sheet9!D:D),0)</f>
        <v>0.52</v>
      </c>
      <c r="BC271" s="2">
        <v>1.0</v>
      </c>
      <c r="BD271" s="95">
        <f t="array" ref="BD271">XLOOKUP(C271,ROS!C:C,ROS!O:O)</f>
        <v>0</v>
      </c>
      <c r="BE271" s="147">
        <f t="array" ref="BE271">IFERROR(XLOOKUP(C271,ROS!T:T,ROS!U:U),"")</f>
        <v>0</v>
      </c>
      <c r="BF271" s="147">
        <f t="array" ref="BF271">XLOOKUP(R271,'Refrence Data'!B:B,'Refrence Data'!T:T)</f>
        <v>0.2</v>
      </c>
      <c r="BG271" s="95">
        <f t="shared" si="19"/>
        <v>0</v>
      </c>
      <c r="BH271" s="4" t="str">
        <f t="shared" si="20"/>
        <v/>
      </c>
      <c r="BO271" s="153"/>
      <c r="BP271" s="153" t="str">
        <f t="shared" si="26"/>
        <v/>
      </c>
      <c r="BQ271" s="153"/>
      <c r="BR271" s="153"/>
      <c r="BS271" s="153"/>
    </row>
    <row r="272">
      <c r="A272" s="171">
        <v>9.316707022025E12</v>
      </c>
      <c r="B272" s="171" t="s">
        <v>3521</v>
      </c>
      <c r="C272" s="137" t="s">
        <v>1243</v>
      </c>
      <c r="D272" s="138" t="s">
        <v>644</v>
      </c>
      <c r="E272" s="139" t="s">
        <v>709</v>
      </c>
      <c r="F272" s="140" t="s">
        <v>3607</v>
      </c>
      <c r="G272" s="141">
        <v>0.0</v>
      </c>
      <c r="H272" s="142">
        <v>65.13545</v>
      </c>
      <c r="I272" s="143" t="s">
        <v>111</v>
      </c>
      <c r="J272" s="83"/>
      <c r="K272" s="174">
        <v>180.0</v>
      </c>
      <c r="R272" s="145" t="str">
        <f t="shared" si="1"/>
        <v>Sharing &amp; Gifting_25+</v>
      </c>
      <c r="S272" s="146" t="str">
        <f t="shared" si="2"/>
        <v>25+</v>
      </c>
      <c r="T272" s="95" t="str">
        <f t="array" ref="T272">XLOOKUP(C272,'Depth or Width'!P:P,'Depth or Width'!V:V)</f>
        <v>Width</v>
      </c>
      <c r="U272" s="93">
        <f t="shared" si="3"/>
        <v>5</v>
      </c>
      <c r="V272" s="147">
        <f t="array" ref="V272">iferror(XLOOKUP(R272,'Refrence Data'!B:B,'Refrence Data'!W:W),"NA")</f>
        <v>2.272605</v>
      </c>
      <c r="W272" s="95">
        <f t="shared" si="4"/>
        <v>0</v>
      </c>
      <c r="Y272" s="148">
        <f t="array" ref="Y272">IFERROR(XLOOKUP(R272,'Refrence Data'!B:B,'Refrence Data'!N:N),"NA")</f>
        <v>0.737286</v>
      </c>
      <c r="Z272" s="95" t="str">
        <f t="shared" si="5"/>
        <v>HIGH</v>
      </c>
      <c r="AA272" s="147">
        <f t="array" ref="AA272">XLOOKUP(R272,'Refrence Data'!B:B,'Refrence Data'!AC:AC)</f>
        <v>4.126524</v>
      </c>
      <c r="AB272" s="147">
        <f t="array" ref="AB272">IFERROR(XLOOKUP(R272,'Refrence Data'!B:B,'Refrence Data'!Y:Y),"NA")</f>
        <v>5.224899</v>
      </c>
      <c r="AC272" s="95" t="str">
        <f t="shared" si="6"/>
        <v>High</v>
      </c>
      <c r="AD272" s="95" t="str">
        <f t="shared" si="7"/>
        <v>Width</v>
      </c>
      <c r="AE272" s="95" t="str">
        <f t="shared" si="8"/>
        <v>HIGHHighWidth</v>
      </c>
      <c r="AF272" s="95">
        <f t="array" ref="AF272">XLOOKUP(AE272,'Category Saturation'!A:A,'Category Saturation'!E:E)</f>
        <v>25</v>
      </c>
      <c r="AH272" s="148">
        <f t="array" ref="AH272">iferror(XLOOKUP(R272,'New Launch Success Rate'!A:A,'New Launch Success Rate'!F:F),"NA")</f>
        <v>0.333</v>
      </c>
      <c r="AI272" s="95">
        <f t="shared" si="9"/>
        <v>25</v>
      </c>
      <c r="AK272" s="149">
        <f t="shared" si="10"/>
        <v>10</v>
      </c>
      <c r="AM272" s="150">
        <f t="array" ref="AM272">XLOOKUP(R272,'Non Moving'!C:C,'Non Moving'!I:I)/100</f>
        <v>0.108</v>
      </c>
      <c r="AN272" s="151">
        <f t="shared" si="11"/>
        <v>75</v>
      </c>
      <c r="AO272" s="150">
        <f t="array" ref="AO272">XLOOKUP(R272,'Non Moving'!C:C,'Non Moving'!F:F)/100</f>
        <v>0.356</v>
      </c>
      <c r="AP272" s="151">
        <f t="shared" si="12"/>
        <v>50</v>
      </c>
      <c r="AR272" s="95">
        <f t="shared" si="13"/>
        <v>62.5</v>
      </c>
      <c r="AT272" s="95">
        <f t="shared" si="14"/>
        <v>0</v>
      </c>
      <c r="AU272" s="95">
        <f t="array" ref="AU272">iferror(XLOOKUP(J272,Monetization!A:A,Monetization!B:B),25)</f>
        <v>25</v>
      </c>
      <c r="AW272" s="95">
        <f t="shared" si="15"/>
        <v>7.5</v>
      </c>
      <c r="AY272" s="149">
        <f t="shared" si="16"/>
        <v>30.5</v>
      </c>
      <c r="AZ272" s="95" t="str">
        <f t="shared" si="17"/>
        <v>25-50</v>
      </c>
      <c r="BA272" s="95" t="str">
        <f t="shared" si="18"/>
        <v>0-25</v>
      </c>
      <c r="BB272" s="152">
        <f t="array" ref="BB272">iferror(XLOOKUP(C272,Sheet9!A:A,Sheet9!D:D),0)</f>
        <v>0.9</v>
      </c>
      <c r="BC272" s="2">
        <v>1.0</v>
      </c>
      <c r="BD272" s="95">
        <f t="array" ref="BD272">XLOOKUP(C272,ROS!C:C,ROS!O:O)</f>
        <v>0.142857</v>
      </c>
      <c r="BE272" s="147">
        <f t="array" ref="BE272">IFERROR(XLOOKUP(C272,ROS!T:T,ROS!U:U),"")</f>
        <v>0</v>
      </c>
      <c r="BF272" s="147">
        <f t="array" ref="BF272">XLOOKUP(R272,'Refrence Data'!B:B,'Refrence Data'!T:T)</f>
        <v>0.144444</v>
      </c>
      <c r="BG272" s="95">
        <f t="shared" si="19"/>
        <v>0</v>
      </c>
      <c r="BH272" s="4" t="str">
        <f t="shared" si="20"/>
        <v>TN</v>
      </c>
      <c r="BO272" s="153"/>
      <c r="BP272" s="153" t="str">
        <f t="shared" si="26"/>
        <v>TN</v>
      </c>
      <c r="BQ272" s="153"/>
      <c r="BR272" s="153"/>
      <c r="BS272" s="153"/>
    </row>
    <row r="273">
      <c r="A273" s="171">
        <v>9.316707017373E12</v>
      </c>
      <c r="B273" s="171" t="s">
        <v>3521</v>
      </c>
      <c r="C273" s="137" t="s">
        <v>1245</v>
      </c>
      <c r="D273" s="138" t="s">
        <v>644</v>
      </c>
      <c r="E273" s="139" t="s">
        <v>659</v>
      </c>
      <c r="F273" s="140" t="s">
        <v>3607</v>
      </c>
      <c r="G273" s="141">
        <v>0.0</v>
      </c>
      <c r="H273" s="142">
        <v>32.92744</v>
      </c>
      <c r="I273" s="143" t="s">
        <v>111</v>
      </c>
      <c r="J273" s="83"/>
      <c r="K273" s="174">
        <v>180.0</v>
      </c>
      <c r="R273" s="145" t="str">
        <f t="shared" si="1"/>
        <v>Chocolate Bars &amp; Bags_25+</v>
      </c>
      <c r="S273" s="146" t="str">
        <f t="shared" si="2"/>
        <v>25+</v>
      </c>
      <c r="T273" s="95" t="str">
        <f t="array" ref="T273">XLOOKUP(C273,'Depth or Width'!P:P,'Depth or Width'!V:V)</f>
        <v>Width</v>
      </c>
      <c r="U273" s="93">
        <f t="shared" si="3"/>
        <v>5</v>
      </c>
      <c r="V273" s="147">
        <f t="array" ref="V273">iferror(XLOOKUP(R273,'Refrence Data'!B:B,'Refrence Data'!W:W),"NA")</f>
        <v>1</v>
      </c>
      <c r="W273" s="95">
        <f t="shared" si="4"/>
        <v>0</v>
      </c>
      <c r="Y273" s="148">
        <f t="array" ref="Y273">IFERROR(XLOOKUP(R273,'Refrence Data'!B:B,'Refrence Data'!N:N),"NA")</f>
        <v>0.904787</v>
      </c>
      <c r="Z273" s="95" t="str">
        <f t="shared" si="5"/>
        <v>HIGH</v>
      </c>
      <c r="AA273" s="147">
        <f t="array" ref="AA273">XLOOKUP(R273,'Refrence Data'!B:B,'Refrence Data'!AC:AC)</f>
        <v>6.048674</v>
      </c>
      <c r="AB273" s="147">
        <f t="array" ref="AB273">IFERROR(XLOOKUP(R273,'Refrence Data'!B:B,'Refrence Data'!Y:Y),"NA")</f>
        <v>1.662854</v>
      </c>
      <c r="AC273" s="95" t="str">
        <f t="shared" si="6"/>
        <v>Low</v>
      </c>
      <c r="AD273" s="95" t="str">
        <f t="shared" si="7"/>
        <v>Width</v>
      </c>
      <c r="AE273" s="95" t="str">
        <f t="shared" si="8"/>
        <v>HIGHLowWidth</v>
      </c>
      <c r="AF273" s="95">
        <f t="array" ref="AF273">XLOOKUP(AE273,'Category Saturation'!A:A,'Category Saturation'!E:E)</f>
        <v>15</v>
      </c>
      <c r="AH273" s="148">
        <f t="array" ref="AH273">iferror(XLOOKUP(R273,'New Launch Success Rate'!A:A,'New Launch Success Rate'!F:F),"NA")</f>
        <v>0.615</v>
      </c>
      <c r="AI273" s="95">
        <f t="shared" si="9"/>
        <v>50</v>
      </c>
      <c r="AK273" s="149">
        <f t="shared" si="10"/>
        <v>9.5</v>
      </c>
      <c r="AM273" s="150">
        <f t="array" ref="AM273">XLOOKUP(R273,'Non Moving'!C:C,'Non Moving'!I:I)/100</f>
        <v>0.227</v>
      </c>
      <c r="AN273" s="151">
        <f t="shared" si="11"/>
        <v>0</v>
      </c>
      <c r="AO273" s="150">
        <f t="array" ref="AO273">XLOOKUP(R273,'Non Moving'!C:C,'Non Moving'!F:F)/100</f>
        <v>0.482</v>
      </c>
      <c r="AP273" s="151">
        <f t="shared" si="12"/>
        <v>0</v>
      </c>
      <c r="AR273" s="95">
        <f t="shared" si="13"/>
        <v>0</v>
      </c>
      <c r="AT273" s="95">
        <f t="shared" si="14"/>
        <v>0</v>
      </c>
      <c r="AU273" s="95">
        <f t="array" ref="AU273">iferror(XLOOKUP(J273,Monetization!A:A,Monetization!B:B),25)</f>
        <v>25</v>
      </c>
      <c r="AW273" s="95">
        <f t="shared" si="15"/>
        <v>7.5</v>
      </c>
      <c r="AY273" s="149">
        <f t="shared" si="16"/>
        <v>5.3</v>
      </c>
      <c r="AZ273" s="95" t="str">
        <f t="shared" si="17"/>
        <v>0-25</v>
      </c>
      <c r="BA273" s="95" t="str">
        <f t="shared" si="18"/>
        <v>0-25</v>
      </c>
      <c r="BB273" s="152">
        <f t="array" ref="BB273">iferror(XLOOKUP(C273,Sheet9!A:A,Sheet9!D:D),0)</f>
        <v>0.82</v>
      </c>
      <c r="BC273" s="2">
        <v>1.0</v>
      </c>
      <c r="BD273" s="95">
        <f t="array" ref="BD273">XLOOKUP(C273,ROS!C:C,ROS!O:O)</f>
        <v>0</v>
      </c>
      <c r="BE273" s="147">
        <f t="array" ref="BE273">IFERROR(XLOOKUP(C273,ROS!T:T,ROS!U:U),"")</f>
        <v>0</v>
      </c>
      <c r="BF273" s="147">
        <f t="array" ref="BF273">XLOOKUP(R273,'Refrence Data'!B:B,'Refrence Data'!T:T)</f>
        <v>0.13702</v>
      </c>
      <c r="BG273" s="95">
        <f t="shared" si="19"/>
        <v>0</v>
      </c>
      <c r="BH273" s="4" t="str">
        <f t="shared" si="20"/>
        <v>TN</v>
      </c>
      <c r="BO273" s="153"/>
      <c r="BP273" s="153" t="str">
        <f t="shared" si="26"/>
        <v>TN</v>
      </c>
      <c r="BQ273" s="153"/>
      <c r="BR273" s="153"/>
      <c r="BS273" s="153"/>
    </row>
    <row r="274">
      <c r="A274" s="171">
        <v>9.316707016321E12</v>
      </c>
      <c r="B274" s="171" t="s">
        <v>3521</v>
      </c>
      <c r="C274" s="137" t="s">
        <v>1246</v>
      </c>
      <c r="D274" s="138" t="s">
        <v>644</v>
      </c>
      <c r="E274" s="139" t="s">
        <v>709</v>
      </c>
      <c r="F274" s="140" t="s">
        <v>3607</v>
      </c>
      <c r="G274" s="141">
        <v>0.0</v>
      </c>
      <c r="H274" s="142">
        <v>201.8405</v>
      </c>
      <c r="I274" s="143" t="s">
        <v>111</v>
      </c>
      <c r="J274" s="83"/>
      <c r="K274" s="174">
        <v>180.0</v>
      </c>
      <c r="R274" s="145" t="str">
        <f t="shared" si="1"/>
        <v>Sharing &amp; Gifting_25+</v>
      </c>
      <c r="S274" s="146" t="str">
        <f t="shared" si="2"/>
        <v>25+</v>
      </c>
      <c r="T274" s="95" t="str">
        <f t="array" ref="T274">XLOOKUP(C274,'Depth or Width'!P:P,'Depth or Width'!V:V)</f>
        <v>Width</v>
      </c>
      <c r="U274" s="93">
        <f t="shared" si="3"/>
        <v>5</v>
      </c>
      <c r="V274" s="147">
        <f t="array" ref="V274">iferror(XLOOKUP(R274,'Refrence Data'!B:B,'Refrence Data'!W:W),"NA")</f>
        <v>2.272605</v>
      </c>
      <c r="W274" s="95">
        <f t="shared" si="4"/>
        <v>0</v>
      </c>
      <c r="Y274" s="148">
        <f t="array" ref="Y274">IFERROR(XLOOKUP(R274,'Refrence Data'!B:B,'Refrence Data'!N:N),"NA")</f>
        <v>0.737286</v>
      </c>
      <c r="Z274" s="95" t="str">
        <f t="shared" si="5"/>
        <v>HIGH</v>
      </c>
      <c r="AA274" s="147">
        <f t="array" ref="AA274">XLOOKUP(R274,'Refrence Data'!B:B,'Refrence Data'!AC:AC)</f>
        <v>4.126524</v>
      </c>
      <c r="AB274" s="147">
        <f t="array" ref="AB274">IFERROR(XLOOKUP(R274,'Refrence Data'!B:B,'Refrence Data'!Y:Y),"NA")</f>
        <v>5.224899</v>
      </c>
      <c r="AC274" s="95" t="str">
        <f t="shared" si="6"/>
        <v>High</v>
      </c>
      <c r="AD274" s="95" t="str">
        <f t="shared" si="7"/>
        <v>Width</v>
      </c>
      <c r="AE274" s="95" t="str">
        <f t="shared" si="8"/>
        <v>HIGHHighWidth</v>
      </c>
      <c r="AF274" s="95">
        <f t="array" ref="AF274">XLOOKUP(AE274,'Category Saturation'!A:A,'Category Saturation'!E:E)</f>
        <v>25</v>
      </c>
      <c r="AH274" s="148">
        <f t="array" ref="AH274">iferror(XLOOKUP(R274,'New Launch Success Rate'!A:A,'New Launch Success Rate'!F:F),"NA")</f>
        <v>0.333</v>
      </c>
      <c r="AI274" s="95">
        <f t="shared" si="9"/>
        <v>25</v>
      </c>
      <c r="AK274" s="149">
        <f t="shared" si="10"/>
        <v>10</v>
      </c>
      <c r="AM274" s="150">
        <f t="array" ref="AM274">XLOOKUP(R274,'Non Moving'!C:C,'Non Moving'!I:I)/100</f>
        <v>0.108</v>
      </c>
      <c r="AN274" s="151">
        <f t="shared" si="11"/>
        <v>75</v>
      </c>
      <c r="AO274" s="150">
        <f t="array" ref="AO274">XLOOKUP(R274,'Non Moving'!C:C,'Non Moving'!F:F)/100</f>
        <v>0.356</v>
      </c>
      <c r="AP274" s="151">
        <f t="shared" si="12"/>
        <v>50</v>
      </c>
      <c r="AR274" s="95">
        <f t="shared" si="13"/>
        <v>62.5</v>
      </c>
      <c r="AT274" s="95">
        <f t="shared" si="14"/>
        <v>0</v>
      </c>
      <c r="AU274" s="95">
        <f t="array" ref="AU274">iferror(XLOOKUP(J274,Monetization!A:A,Monetization!B:B),25)</f>
        <v>25</v>
      </c>
      <c r="AW274" s="95">
        <f t="shared" si="15"/>
        <v>7.5</v>
      </c>
      <c r="AY274" s="149">
        <f t="shared" si="16"/>
        <v>30.5</v>
      </c>
      <c r="AZ274" s="95" t="str">
        <f t="shared" si="17"/>
        <v>25-50</v>
      </c>
      <c r="BA274" s="95" t="str">
        <f t="shared" si="18"/>
        <v>0-25</v>
      </c>
      <c r="BB274" s="152">
        <f t="array" ref="BB274">iferror(XLOOKUP(C274,Sheet9!A:A,Sheet9!D:D),0)</f>
        <v>0.95</v>
      </c>
      <c r="BC274" s="2">
        <v>1.0</v>
      </c>
      <c r="BD274" s="95">
        <f t="array" ref="BD274">XLOOKUP(C274,ROS!C:C,ROS!O:O)</f>
        <v>0</v>
      </c>
      <c r="BE274" s="147">
        <f t="array" ref="BE274">IFERROR(XLOOKUP(C274,ROS!T:T,ROS!U:U),"")</f>
        <v>0</v>
      </c>
      <c r="BF274" s="147">
        <f t="array" ref="BF274">XLOOKUP(R274,'Refrence Data'!B:B,'Refrence Data'!T:T)</f>
        <v>0.144444</v>
      </c>
      <c r="BG274" s="95">
        <f t="shared" si="19"/>
        <v>0</v>
      </c>
      <c r="BH274" s="4" t="str">
        <f t="shared" si="20"/>
        <v>TN</v>
      </c>
      <c r="BO274" s="153"/>
      <c r="BP274" s="153" t="str">
        <f t="shared" si="26"/>
        <v>TN</v>
      </c>
      <c r="BQ274" s="153"/>
      <c r="BR274" s="153"/>
      <c r="BS274" s="153"/>
    </row>
    <row r="275">
      <c r="A275" s="171">
        <v>7.622202275418E12</v>
      </c>
      <c r="B275" s="171" t="s">
        <v>3521</v>
      </c>
      <c r="C275" s="137" t="s">
        <v>1247</v>
      </c>
      <c r="D275" s="138" t="s">
        <v>644</v>
      </c>
      <c r="E275" s="139" t="s">
        <v>659</v>
      </c>
      <c r="F275" s="140" t="s">
        <v>3607</v>
      </c>
      <c r="G275" s="141">
        <v>0.0</v>
      </c>
      <c r="H275" s="142">
        <v>39.26405</v>
      </c>
      <c r="I275" s="143" t="s">
        <v>111</v>
      </c>
      <c r="J275" s="83"/>
      <c r="K275" s="174">
        <v>210.0</v>
      </c>
      <c r="R275" s="145" t="str">
        <f t="shared" si="1"/>
        <v>Chocolate Bars &amp; Bags_25+</v>
      </c>
      <c r="S275" s="146" t="str">
        <f t="shared" si="2"/>
        <v>25+</v>
      </c>
      <c r="T275" s="95" t="str">
        <f t="array" ref="T275">XLOOKUP(C275,'Depth or Width'!P:P,'Depth or Width'!V:V)</f>
        <v>Depth</v>
      </c>
      <c r="U275" s="93">
        <f t="shared" si="3"/>
        <v>5</v>
      </c>
      <c r="V275" s="147">
        <f t="array" ref="V275">iferror(XLOOKUP(R275,'Refrence Data'!B:B,'Refrence Data'!W:W),"NA")</f>
        <v>1</v>
      </c>
      <c r="W275" s="95">
        <f t="shared" si="4"/>
        <v>0</v>
      </c>
      <c r="Y275" s="148">
        <f t="array" ref="Y275">IFERROR(XLOOKUP(R275,'Refrence Data'!B:B,'Refrence Data'!N:N),"NA")</f>
        <v>0.904787</v>
      </c>
      <c r="Z275" s="95" t="str">
        <f t="shared" si="5"/>
        <v>HIGH</v>
      </c>
      <c r="AA275" s="147">
        <f t="array" ref="AA275">XLOOKUP(R275,'Refrence Data'!B:B,'Refrence Data'!AC:AC)</f>
        <v>6.048674</v>
      </c>
      <c r="AB275" s="147">
        <f t="array" ref="AB275">IFERROR(XLOOKUP(R275,'Refrence Data'!B:B,'Refrence Data'!Y:Y),"NA")</f>
        <v>1.662854</v>
      </c>
      <c r="AC275" s="95" t="str">
        <f t="shared" si="6"/>
        <v>Low</v>
      </c>
      <c r="AD275" s="95" t="str">
        <f t="shared" si="7"/>
        <v>Depth</v>
      </c>
      <c r="AE275" s="95" t="str">
        <f t="shared" si="8"/>
        <v>HIGHLowDepth</v>
      </c>
      <c r="AF275" s="95">
        <f t="array" ref="AF275">XLOOKUP(AE275,'Category Saturation'!A:A,'Category Saturation'!E:E)</f>
        <v>0</v>
      </c>
      <c r="AH275" s="148">
        <f t="array" ref="AH275">iferror(XLOOKUP(R275,'New Launch Success Rate'!A:A,'New Launch Success Rate'!F:F),"NA")</f>
        <v>0.615</v>
      </c>
      <c r="AI275" s="95">
        <f t="shared" si="9"/>
        <v>50</v>
      </c>
      <c r="AK275" s="149">
        <f t="shared" si="10"/>
        <v>5</v>
      </c>
      <c r="AM275" s="150">
        <f t="array" ref="AM275">XLOOKUP(R275,'Non Moving'!C:C,'Non Moving'!I:I)/100</f>
        <v>0.227</v>
      </c>
      <c r="AN275" s="151">
        <f t="shared" si="11"/>
        <v>0</v>
      </c>
      <c r="AO275" s="150">
        <f t="array" ref="AO275">XLOOKUP(R275,'Non Moving'!C:C,'Non Moving'!F:F)/100</f>
        <v>0.482</v>
      </c>
      <c r="AP275" s="151">
        <f t="shared" si="12"/>
        <v>0</v>
      </c>
      <c r="AR275" s="95">
        <f t="shared" si="13"/>
        <v>0</v>
      </c>
      <c r="AT275" s="95">
        <f t="shared" si="14"/>
        <v>0</v>
      </c>
      <c r="AU275" s="95">
        <f t="array" ref="AU275">iferror(XLOOKUP(J275,Monetization!A:A,Monetization!B:B),25)</f>
        <v>25</v>
      </c>
      <c r="AW275" s="95">
        <f t="shared" si="15"/>
        <v>7.5</v>
      </c>
      <c r="AY275" s="149">
        <f t="shared" si="16"/>
        <v>3.5</v>
      </c>
      <c r="AZ275" s="95" t="str">
        <f t="shared" si="17"/>
        <v>0-25</v>
      </c>
      <c r="BA275" s="95" t="str">
        <f t="shared" si="18"/>
        <v>0-25</v>
      </c>
      <c r="BB275" s="152">
        <f t="array" ref="BB275">iferror(XLOOKUP(C275,Sheet9!A:A,Sheet9!D:D),0)</f>
        <v>0.12</v>
      </c>
      <c r="BC275" s="2">
        <v>1.0</v>
      </c>
      <c r="BD275" s="95">
        <f t="array" ref="BD275">XLOOKUP(C275,ROS!C:C,ROS!O:O)</f>
        <v>0</v>
      </c>
      <c r="BE275" s="147">
        <f t="array" ref="BE275">IFERROR(XLOOKUP(C275,ROS!T:T,ROS!U:U),"")</f>
        <v>0</v>
      </c>
      <c r="BF275" s="147">
        <f t="array" ref="BF275">XLOOKUP(R275,'Refrence Data'!B:B,'Refrence Data'!T:T)</f>
        <v>0.13702</v>
      </c>
      <c r="BG275" s="95">
        <f t="shared" si="19"/>
        <v>0</v>
      </c>
      <c r="BH275" s="4" t="str">
        <f t="shared" si="20"/>
        <v/>
      </c>
      <c r="BO275" s="153"/>
      <c r="BP275" s="153" t="str">
        <f t="shared" si="26"/>
        <v/>
      </c>
      <c r="BQ275" s="153"/>
      <c r="BR275" s="153"/>
      <c r="BS275" s="153"/>
    </row>
    <row r="276">
      <c r="A276" s="171">
        <v>7.622202246791E12</v>
      </c>
      <c r="B276" s="171" t="s">
        <v>3521</v>
      </c>
      <c r="C276" s="137" t="s">
        <v>1248</v>
      </c>
      <c r="D276" s="138" t="s">
        <v>644</v>
      </c>
      <c r="E276" s="139" t="s">
        <v>659</v>
      </c>
      <c r="F276" s="140" t="s">
        <v>3607</v>
      </c>
      <c r="G276" s="141">
        <v>180.0</v>
      </c>
      <c r="H276" s="142">
        <v>58.44631</v>
      </c>
      <c r="I276" s="143" t="s">
        <v>111</v>
      </c>
      <c r="J276" s="83"/>
      <c r="K276" s="174">
        <v>210.0</v>
      </c>
      <c r="R276" s="145" t="str">
        <f t="shared" si="1"/>
        <v>Chocolate Bars &amp; Bags_25+</v>
      </c>
      <c r="S276" s="146" t="str">
        <f t="shared" si="2"/>
        <v>25+</v>
      </c>
      <c r="T276" s="95" t="str">
        <f t="array" ref="T276">XLOOKUP(C276,'Depth or Width'!P:P,'Depth or Width'!V:V)</f>
        <v>Depth</v>
      </c>
      <c r="U276" s="93">
        <f t="shared" si="3"/>
        <v>6</v>
      </c>
      <c r="V276" s="147">
        <f t="array" ref="V276">iferror(XLOOKUP(R276,'Refrence Data'!B:B,'Refrence Data'!W:W),"NA")</f>
        <v>1</v>
      </c>
      <c r="W276" s="95">
        <f t="shared" si="4"/>
        <v>0</v>
      </c>
      <c r="Y276" s="148">
        <f t="array" ref="Y276">IFERROR(XLOOKUP(R276,'Refrence Data'!B:B,'Refrence Data'!N:N),"NA")</f>
        <v>0.904787</v>
      </c>
      <c r="Z276" s="95" t="str">
        <f t="shared" si="5"/>
        <v>HIGH</v>
      </c>
      <c r="AA276" s="147">
        <f t="array" ref="AA276">XLOOKUP(R276,'Refrence Data'!B:B,'Refrence Data'!AC:AC)</f>
        <v>6.048674</v>
      </c>
      <c r="AB276" s="147">
        <f t="array" ref="AB276">IFERROR(XLOOKUP(R276,'Refrence Data'!B:B,'Refrence Data'!Y:Y),"NA")</f>
        <v>1.662854</v>
      </c>
      <c r="AC276" s="95" t="str">
        <f t="shared" si="6"/>
        <v>Low</v>
      </c>
      <c r="AD276" s="95" t="str">
        <f t="shared" si="7"/>
        <v>Depth</v>
      </c>
      <c r="AE276" s="95" t="str">
        <f t="shared" si="8"/>
        <v>HIGHLowDepth</v>
      </c>
      <c r="AF276" s="95">
        <f t="array" ref="AF276">XLOOKUP(AE276,'Category Saturation'!A:A,'Category Saturation'!E:E)</f>
        <v>0</v>
      </c>
      <c r="AH276" s="148">
        <f t="array" ref="AH276">iferror(XLOOKUP(R276,'New Launch Success Rate'!A:A,'New Launch Success Rate'!F:F),"NA")</f>
        <v>0.615</v>
      </c>
      <c r="AI276" s="95">
        <f t="shared" si="9"/>
        <v>50</v>
      </c>
      <c r="AK276" s="149">
        <f t="shared" si="10"/>
        <v>5</v>
      </c>
      <c r="AM276" s="150">
        <f t="array" ref="AM276">XLOOKUP(R276,'Non Moving'!C:C,'Non Moving'!I:I)/100</f>
        <v>0.227</v>
      </c>
      <c r="AN276" s="151">
        <f t="shared" si="11"/>
        <v>0</v>
      </c>
      <c r="AO276" s="150">
        <f t="array" ref="AO276">XLOOKUP(R276,'Non Moving'!C:C,'Non Moving'!F:F)/100</f>
        <v>0.482</v>
      </c>
      <c r="AP276" s="151">
        <f t="shared" si="12"/>
        <v>0</v>
      </c>
      <c r="AR276" s="95">
        <f t="shared" si="13"/>
        <v>0</v>
      </c>
      <c r="AT276" s="95">
        <f t="shared" si="14"/>
        <v>0</v>
      </c>
      <c r="AU276" s="95">
        <f t="array" ref="AU276">iferror(XLOOKUP(J276,Monetization!A:A,Monetization!B:B),25)</f>
        <v>25</v>
      </c>
      <c r="AW276" s="95">
        <f t="shared" si="15"/>
        <v>7.5</v>
      </c>
      <c r="AY276" s="149">
        <f t="shared" si="16"/>
        <v>3.5</v>
      </c>
      <c r="AZ276" s="95" t="str">
        <f t="shared" si="17"/>
        <v>0-25</v>
      </c>
      <c r="BA276" s="95" t="str">
        <f t="shared" si="18"/>
        <v>0-25</v>
      </c>
      <c r="BB276" s="152">
        <f t="array" ref="BB276">iferror(XLOOKUP(C276,Sheet9!A:A,Sheet9!D:D),0)</f>
        <v>0.39</v>
      </c>
      <c r="BC276" s="2">
        <v>1.0</v>
      </c>
      <c r="BD276" s="95">
        <f t="array" ref="BD276">XLOOKUP(C276,ROS!C:C,ROS!O:O)</f>
        <v>1.485714</v>
      </c>
      <c r="BE276" s="147">
        <f t="array" ref="BE276">IFERROR(XLOOKUP(C276,ROS!T:T,ROS!U:U),"")</f>
        <v>0.194444444</v>
      </c>
      <c r="BF276" s="147">
        <f t="array" ref="BF276">XLOOKUP(R276,'Refrence Data'!B:B,'Refrence Data'!T:T)</f>
        <v>0.13702</v>
      </c>
      <c r="BG276" s="95">
        <f t="shared" si="19"/>
        <v>1</v>
      </c>
      <c r="BH276" s="4" t="str">
        <f t="shared" si="20"/>
        <v/>
      </c>
      <c r="BO276" s="153"/>
      <c r="BP276" s="153" t="str">
        <f t="shared" si="26"/>
        <v/>
      </c>
      <c r="BQ276" s="153"/>
      <c r="BR276" s="153"/>
      <c r="BS276" s="153"/>
    </row>
    <row r="277">
      <c r="A277" s="171">
        <v>7.340001807363E12</v>
      </c>
      <c r="B277" s="171" t="s">
        <v>3521</v>
      </c>
      <c r="C277" s="137" t="s">
        <v>1249</v>
      </c>
      <c r="D277" s="138" t="s">
        <v>644</v>
      </c>
      <c r="E277" s="139" t="s">
        <v>645</v>
      </c>
      <c r="F277" s="140" t="s">
        <v>3547</v>
      </c>
      <c r="G277" s="141">
        <v>0.0</v>
      </c>
      <c r="H277" s="142">
        <v>13.40979</v>
      </c>
      <c r="I277" s="143" t="s">
        <v>112</v>
      </c>
      <c r="J277" s="83"/>
      <c r="K277" s="174">
        <v>365.0</v>
      </c>
      <c r="R277" s="145" t="str">
        <f t="shared" si="1"/>
        <v>Healthy Snacks_10-15</v>
      </c>
      <c r="S277" s="146" t="str">
        <f t="shared" si="2"/>
        <v>10-15</v>
      </c>
      <c r="T277" s="95" t="str">
        <f t="array" ref="T277">XLOOKUP(C277,'Depth or Width'!P:P,'Depth or Width'!V:V)</f>
        <v>Depth</v>
      </c>
      <c r="U277" s="93">
        <f t="shared" si="3"/>
        <v>5</v>
      </c>
      <c r="V277" s="147">
        <f t="array" ref="V277">iferror(XLOOKUP(R277,'Refrence Data'!B:B,'Refrence Data'!W:W),"NA")</f>
        <v>0.310145</v>
      </c>
      <c r="W277" s="95">
        <f t="shared" si="4"/>
        <v>0</v>
      </c>
      <c r="Y277" s="148">
        <f t="array" ref="Y277">IFERROR(XLOOKUP(R277,'Refrence Data'!B:B,'Refrence Data'!N:N),"NA")</f>
        <v>0</v>
      </c>
      <c r="Z277" s="95" t="str">
        <f t="shared" si="5"/>
        <v>LOW</v>
      </c>
      <c r="AA277" s="147">
        <f t="array" ref="AA277">XLOOKUP(R277,'Refrence Data'!B:B,'Refrence Data'!AC:AC)</f>
        <v>0.310145</v>
      </c>
      <c r="AB277" s="147">
        <f t="array" ref="AB277">IFERROR(XLOOKUP(R277,'Refrence Data'!B:B,'Refrence Data'!Y:Y),"NA")</f>
        <v>0.310145</v>
      </c>
      <c r="AC277" s="95" t="str">
        <f t="shared" si="6"/>
        <v>High</v>
      </c>
      <c r="AD277" s="95" t="str">
        <f t="shared" si="7"/>
        <v>Depth</v>
      </c>
      <c r="AE277" s="95" t="str">
        <f t="shared" si="8"/>
        <v>LOWHighDepth</v>
      </c>
      <c r="AF277" s="95">
        <f t="array" ref="AF277">XLOOKUP(AE277,'Category Saturation'!A:A,'Category Saturation'!E:E)</f>
        <v>90</v>
      </c>
      <c r="AH277" s="148">
        <f t="array" ref="AH277">iferror(XLOOKUP(R277,'New Launch Success Rate'!A:A,'New Launch Success Rate'!F:F),"NA")</f>
        <v>0.714</v>
      </c>
      <c r="AI277" s="95">
        <f t="shared" si="9"/>
        <v>100</v>
      </c>
      <c r="AK277" s="149">
        <f t="shared" si="10"/>
        <v>37</v>
      </c>
      <c r="AM277" s="150">
        <f t="array" ref="AM277">XLOOKUP(R277,'Non Moving'!C:C,'Non Moving'!I:I)/100</f>
        <v>0.024</v>
      </c>
      <c r="AN277" s="151">
        <f t="shared" si="11"/>
        <v>100</v>
      </c>
      <c r="AO277" s="150">
        <f t="array" ref="AO277">XLOOKUP(R277,'Non Moving'!C:C,'Non Moving'!F:F)/100</f>
        <v>0.152</v>
      </c>
      <c r="AP277" s="151">
        <f t="shared" si="12"/>
        <v>100</v>
      </c>
      <c r="AR277" s="95">
        <f t="shared" si="13"/>
        <v>100</v>
      </c>
      <c r="AT277" s="95">
        <f t="shared" si="14"/>
        <v>100</v>
      </c>
      <c r="AU277" s="95">
        <f t="array" ref="AU277">iferror(XLOOKUP(J277,Monetization!A:A,Monetization!B:B),25)</f>
        <v>25</v>
      </c>
      <c r="AW277" s="95">
        <f t="shared" si="15"/>
        <v>77.5</v>
      </c>
      <c r="AY277" s="149">
        <f t="shared" si="16"/>
        <v>70.3</v>
      </c>
      <c r="AZ277" s="95" t="str">
        <f t="shared" si="17"/>
        <v>50-75</v>
      </c>
      <c r="BA277" s="95" t="str">
        <f t="shared" si="18"/>
        <v>25-50</v>
      </c>
      <c r="BB277" s="152">
        <f t="array" ref="BB277">iferror(XLOOKUP(C277,Sheet9!A:A,Sheet9!D:D),0)</f>
        <v>0.81</v>
      </c>
      <c r="BC277" s="2">
        <v>1.0</v>
      </c>
      <c r="BD277" s="95">
        <f t="array" ref="BD277">XLOOKUP(C277,ROS!C:C,ROS!O:O)</f>
        <v>0</v>
      </c>
      <c r="BE277" s="147">
        <f t="array" ref="BE277">IFERROR(XLOOKUP(C277,ROS!T:T,ROS!U:U),"")</f>
        <v>4.116919192</v>
      </c>
      <c r="BF277" s="147">
        <f t="array" ref="BF277">XLOOKUP(R277,'Refrence Data'!B:B,'Refrence Data'!T:T)</f>
        <v>0.310145</v>
      </c>
      <c r="BG277" s="95">
        <f t="shared" si="19"/>
        <v>1</v>
      </c>
      <c r="BH277" s="4" t="str">
        <f t="shared" si="20"/>
        <v>FN</v>
      </c>
      <c r="BO277" s="153"/>
      <c r="BP277" s="153" t="str">
        <f t="shared" si="26"/>
        <v>TP</v>
      </c>
      <c r="BQ277" s="153"/>
      <c r="BR277" s="153"/>
      <c r="BS277" s="153"/>
    </row>
    <row r="278">
      <c r="A278" s="171">
        <v>7.340001807356E12</v>
      </c>
      <c r="B278" s="171" t="s">
        <v>3521</v>
      </c>
      <c r="C278" s="137" t="s">
        <v>1352</v>
      </c>
      <c r="D278" s="138" t="s">
        <v>644</v>
      </c>
      <c r="E278" s="139" t="s">
        <v>645</v>
      </c>
      <c r="F278" s="140" t="s">
        <v>3547</v>
      </c>
      <c r="G278" s="141">
        <v>0.0</v>
      </c>
      <c r="H278" s="142">
        <v>14.23485</v>
      </c>
      <c r="I278" s="143" t="s">
        <v>112</v>
      </c>
      <c r="J278" s="83"/>
      <c r="K278" s="174">
        <v>365.0</v>
      </c>
      <c r="R278" s="145" t="str">
        <f t="shared" si="1"/>
        <v>Healthy Snacks_10-15</v>
      </c>
      <c r="S278" s="146" t="str">
        <f t="shared" si="2"/>
        <v>10-15</v>
      </c>
      <c r="T278" s="95" t="str">
        <f t="array" ref="T278">XLOOKUP(C278,'Depth or Width'!P:P,'Depth or Width'!V:V)</f>
        <v>Width</v>
      </c>
      <c r="U278" s="93">
        <f t="shared" si="3"/>
        <v>5</v>
      </c>
      <c r="V278" s="147">
        <f t="array" ref="V278">iferror(XLOOKUP(R278,'Refrence Data'!B:B,'Refrence Data'!W:W),"NA")</f>
        <v>0.310145</v>
      </c>
      <c r="W278" s="95">
        <f t="shared" si="4"/>
        <v>0</v>
      </c>
      <c r="Y278" s="148">
        <f t="array" ref="Y278">IFERROR(XLOOKUP(R278,'Refrence Data'!B:B,'Refrence Data'!N:N),"NA")</f>
        <v>0</v>
      </c>
      <c r="Z278" s="95" t="str">
        <f t="shared" si="5"/>
        <v>LOW</v>
      </c>
      <c r="AA278" s="147">
        <f t="array" ref="AA278">XLOOKUP(R278,'Refrence Data'!B:B,'Refrence Data'!AC:AC)</f>
        <v>0.310145</v>
      </c>
      <c r="AB278" s="147">
        <f t="array" ref="AB278">IFERROR(XLOOKUP(R278,'Refrence Data'!B:B,'Refrence Data'!Y:Y),"NA")</f>
        <v>0.310145</v>
      </c>
      <c r="AC278" s="95" t="str">
        <f t="shared" si="6"/>
        <v>High</v>
      </c>
      <c r="AD278" s="95" t="str">
        <f t="shared" si="7"/>
        <v>Width</v>
      </c>
      <c r="AE278" s="95" t="str">
        <f t="shared" si="8"/>
        <v>LOWHighWidth</v>
      </c>
      <c r="AF278" s="95">
        <f t="array" ref="AF278">XLOOKUP(AE278,'Category Saturation'!A:A,'Category Saturation'!E:E)</f>
        <v>100</v>
      </c>
      <c r="AH278" s="148">
        <f t="array" ref="AH278">iferror(XLOOKUP(R278,'New Launch Success Rate'!A:A,'New Launch Success Rate'!F:F),"NA")</f>
        <v>0.714</v>
      </c>
      <c r="AI278" s="95">
        <f t="shared" si="9"/>
        <v>100</v>
      </c>
      <c r="AK278" s="149">
        <f t="shared" si="10"/>
        <v>40</v>
      </c>
      <c r="AM278" s="150">
        <f t="array" ref="AM278">XLOOKUP(R278,'Non Moving'!C:C,'Non Moving'!I:I)/100</f>
        <v>0.024</v>
      </c>
      <c r="AN278" s="151">
        <f t="shared" si="11"/>
        <v>100</v>
      </c>
      <c r="AO278" s="150">
        <f t="array" ref="AO278">XLOOKUP(R278,'Non Moving'!C:C,'Non Moving'!F:F)/100</f>
        <v>0.152</v>
      </c>
      <c r="AP278" s="151">
        <f t="shared" si="12"/>
        <v>100</v>
      </c>
      <c r="AR278" s="95">
        <f t="shared" si="13"/>
        <v>100</v>
      </c>
      <c r="AT278" s="95">
        <f t="shared" si="14"/>
        <v>100</v>
      </c>
      <c r="AU278" s="95">
        <f t="array" ref="AU278">iferror(XLOOKUP(J278,Monetization!A:A,Monetization!B:B),25)</f>
        <v>25</v>
      </c>
      <c r="AW278" s="95">
        <f t="shared" si="15"/>
        <v>77.5</v>
      </c>
      <c r="AY278" s="149">
        <f t="shared" si="16"/>
        <v>71.5</v>
      </c>
      <c r="AZ278" s="95" t="str">
        <f t="shared" si="17"/>
        <v>50-75</v>
      </c>
      <c r="BA278" s="95" t="str">
        <f t="shared" si="18"/>
        <v>25-50</v>
      </c>
      <c r="BB278" s="152">
        <f t="array" ref="BB278">iferror(XLOOKUP(C278,Sheet9!A:A,Sheet9!D:D),0)</f>
        <v>0.91</v>
      </c>
      <c r="BC278" s="2">
        <v>1.0</v>
      </c>
      <c r="BD278" s="95">
        <f t="array" ref="BD278">XLOOKUP(C278,ROS!C:C,ROS!O:O)</f>
        <v>0</v>
      </c>
      <c r="BE278" s="147">
        <f t="array" ref="BE278">IFERROR(XLOOKUP(C278,ROS!T:T,ROS!U:U),"")</f>
        <v>3.236013986</v>
      </c>
      <c r="BF278" s="147">
        <f t="array" ref="BF278">XLOOKUP(R278,'Refrence Data'!B:B,'Refrence Data'!T:T)</f>
        <v>0.310145</v>
      </c>
      <c r="BG278" s="95">
        <f t="shared" si="19"/>
        <v>1</v>
      </c>
      <c r="BH278" s="4" t="str">
        <f t="shared" si="20"/>
        <v>FN</v>
      </c>
      <c r="BO278" s="153"/>
      <c r="BP278" s="153" t="str">
        <f t="shared" si="26"/>
        <v>TP</v>
      </c>
      <c r="BQ278" s="153"/>
      <c r="BR278" s="153"/>
      <c r="BS278" s="153"/>
    </row>
    <row r="279">
      <c r="A279" s="171">
        <v>7.340001806618E12</v>
      </c>
      <c r="B279" s="171" t="s">
        <v>3521</v>
      </c>
      <c r="C279" s="137" t="s">
        <v>1353</v>
      </c>
      <c r="D279" s="138" t="s">
        <v>644</v>
      </c>
      <c r="E279" s="139" t="s">
        <v>645</v>
      </c>
      <c r="F279" s="140" t="s">
        <v>3547</v>
      </c>
      <c r="G279" s="141">
        <v>0.0</v>
      </c>
      <c r="H279" s="142">
        <v>13.23954</v>
      </c>
      <c r="I279" s="143" t="s">
        <v>112</v>
      </c>
      <c r="J279" s="83"/>
      <c r="K279" s="174">
        <v>365.0</v>
      </c>
      <c r="R279" s="145" t="str">
        <f t="shared" si="1"/>
        <v>Healthy Snacks_10-15</v>
      </c>
      <c r="S279" s="146" t="str">
        <f t="shared" si="2"/>
        <v>10-15</v>
      </c>
      <c r="T279" s="95" t="str">
        <f t="array" ref="T279">XLOOKUP(C279,'Depth or Width'!P:P,'Depth or Width'!V:V)</f>
        <v>Width</v>
      </c>
      <c r="U279" s="93">
        <f t="shared" si="3"/>
        <v>5</v>
      </c>
      <c r="V279" s="147">
        <f t="array" ref="V279">iferror(XLOOKUP(R279,'Refrence Data'!B:B,'Refrence Data'!W:W),"NA")</f>
        <v>0.310145</v>
      </c>
      <c r="W279" s="95">
        <f t="shared" si="4"/>
        <v>0</v>
      </c>
      <c r="Y279" s="148">
        <f t="array" ref="Y279">IFERROR(XLOOKUP(R279,'Refrence Data'!B:B,'Refrence Data'!N:N),"NA")</f>
        <v>0</v>
      </c>
      <c r="Z279" s="95" t="str">
        <f t="shared" si="5"/>
        <v>LOW</v>
      </c>
      <c r="AA279" s="147">
        <f t="array" ref="AA279">XLOOKUP(R279,'Refrence Data'!B:B,'Refrence Data'!AC:AC)</f>
        <v>0.310145</v>
      </c>
      <c r="AB279" s="147">
        <f t="array" ref="AB279">IFERROR(XLOOKUP(R279,'Refrence Data'!B:B,'Refrence Data'!Y:Y),"NA")</f>
        <v>0.310145</v>
      </c>
      <c r="AC279" s="95" t="str">
        <f t="shared" si="6"/>
        <v>High</v>
      </c>
      <c r="AD279" s="95" t="str">
        <f t="shared" si="7"/>
        <v>Width</v>
      </c>
      <c r="AE279" s="95" t="str">
        <f t="shared" si="8"/>
        <v>LOWHighWidth</v>
      </c>
      <c r="AF279" s="95">
        <f t="array" ref="AF279">XLOOKUP(AE279,'Category Saturation'!A:A,'Category Saturation'!E:E)</f>
        <v>100</v>
      </c>
      <c r="AH279" s="148">
        <f t="array" ref="AH279">iferror(XLOOKUP(R279,'New Launch Success Rate'!A:A,'New Launch Success Rate'!F:F),"NA")</f>
        <v>0.714</v>
      </c>
      <c r="AI279" s="95">
        <f t="shared" si="9"/>
        <v>100</v>
      </c>
      <c r="AK279" s="149">
        <f t="shared" si="10"/>
        <v>40</v>
      </c>
      <c r="AM279" s="150">
        <f t="array" ref="AM279">XLOOKUP(R279,'Non Moving'!C:C,'Non Moving'!I:I)/100</f>
        <v>0.024</v>
      </c>
      <c r="AN279" s="151">
        <f t="shared" si="11"/>
        <v>100</v>
      </c>
      <c r="AO279" s="150">
        <f t="array" ref="AO279">XLOOKUP(R279,'Non Moving'!C:C,'Non Moving'!F:F)/100</f>
        <v>0.152</v>
      </c>
      <c r="AP279" s="151">
        <f t="shared" si="12"/>
        <v>100</v>
      </c>
      <c r="AR279" s="95">
        <f t="shared" si="13"/>
        <v>100</v>
      </c>
      <c r="AT279" s="95">
        <f t="shared" si="14"/>
        <v>100</v>
      </c>
      <c r="AU279" s="95">
        <f t="array" ref="AU279">iferror(XLOOKUP(J279,Monetization!A:A,Monetization!B:B),25)</f>
        <v>25</v>
      </c>
      <c r="AW279" s="95">
        <f t="shared" si="15"/>
        <v>77.5</v>
      </c>
      <c r="AY279" s="149">
        <f t="shared" si="16"/>
        <v>71.5</v>
      </c>
      <c r="AZ279" s="95" t="str">
        <f t="shared" si="17"/>
        <v>50-75</v>
      </c>
      <c r="BA279" s="95" t="str">
        <f t="shared" si="18"/>
        <v>25-50</v>
      </c>
      <c r="BB279" s="152">
        <f t="array" ref="BB279">iferror(XLOOKUP(C279,Sheet9!A:A,Sheet9!D:D),0)</f>
        <v>0.87</v>
      </c>
      <c r="BC279" s="2">
        <v>1.0</v>
      </c>
      <c r="BD279" s="95">
        <f t="array" ref="BD279">XLOOKUP(C279,ROS!C:C,ROS!O:O)</f>
        <v>0.583333</v>
      </c>
      <c r="BE279" s="147">
        <f t="array" ref="BE279">IFERROR(XLOOKUP(C279,ROS!T:T,ROS!U:U),"")</f>
        <v>4.521348096</v>
      </c>
      <c r="BF279" s="147">
        <f t="array" ref="BF279">XLOOKUP(R279,'Refrence Data'!B:B,'Refrence Data'!T:T)</f>
        <v>0.310145</v>
      </c>
      <c r="BG279" s="95">
        <f t="shared" si="19"/>
        <v>1</v>
      </c>
      <c r="BH279" s="4" t="str">
        <f t="shared" si="20"/>
        <v>FN</v>
      </c>
      <c r="BO279" s="153"/>
      <c r="BP279" s="153" t="str">
        <f t="shared" si="26"/>
        <v>TP</v>
      </c>
      <c r="BQ279" s="153"/>
      <c r="BR279" s="153"/>
      <c r="BS279" s="153"/>
    </row>
    <row r="280">
      <c r="A280" s="171">
        <v>5.056357915189E12</v>
      </c>
      <c r="B280" s="171" t="s">
        <v>3521</v>
      </c>
      <c r="C280" s="137" t="s">
        <v>1250</v>
      </c>
      <c r="D280" s="138" t="s">
        <v>644</v>
      </c>
      <c r="E280" s="139" t="s">
        <v>709</v>
      </c>
      <c r="F280" s="140" t="s">
        <v>3607</v>
      </c>
      <c r="G280" s="141">
        <v>0.0</v>
      </c>
      <c r="H280" s="142">
        <v>26.14993</v>
      </c>
      <c r="I280" s="143" t="s">
        <v>111</v>
      </c>
      <c r="J280" s="83"/>
      <c r="K280" s="174">
        <v>180.0</v>
      </c>
      <c r="R280" s="145" t="str">
        <f t="shared" si="1"/>
        <v>Sharing &amp; Gifting_25+</v>
      </c>
      <c r="S280" s="146" t="str">
        <f t="shared" si="2"/>
        <v>25+</v>
      </c>
      <c r="T280" s="95" t="str">
        <f t="array" ref="T280">XLOOKUP(C280,'Depth or Width'!P:P,'Depth or Width'!V:V)</f>
        <v>Width</v>
      </c>
      <c r="U280" s="93">
        <f t="shared" si="3"/>
        <v>5</v>
      </c>
      <c r="V280" s="147">
        <f t="array" ref="V280">iferror(XLOOKUP(R280,'Refrence Data'!B:B,'Refrence Data'!W:W),"NA")</f>
        <v>2.272605</v>
      </c>
      <c r="W280" s="95">
        <f t="shared" si="4"/>
        <v>0</v>
      </c>
      <c r="Y280" s="148">
        <f t="array" ref="Y280">IFERROR(XLOOKUP(R280,'Refrence Data'!B:B,'Refrence Data'!N:N),"NA")</f>
        <v>0.737286</v>
      </c>
      <c r="Z280" s="95" t="str">
        <f t="shared" si="5"/>
        <v>HIGH</v>
      </c>
      <c r="AA280" s="147">
        <f t="array" ref="AA280">XLOOKUP(R280,'Refrence Data'!B:B,'Refrence Data'!AC:AC)</f>
        <v>4.126524</v>
      </c>
      <c r="AB280" s="147">
        <f t="array" ref="AB280">IFERROR(XLOOKUP(R280,'Refrence Data'!B:B,'Refrence Data'!Y:Y),"NA")</f>
        <v>5.224899</v>
      </c>
      <c r="AC280" s="95" t="str">
        <f t="shared" si="6"/>
        <v>High</v>
      </c>
      <c r="AD280" s="95" t="str">
        <f t="shared" si="7"/>
        <v>Width</v>
      </c>
      <c r="AE280" s="95" t="str">
        <f t="shared" si="8"/>
        <v>HIGHHighWidth</v>
      </c>
      <c r="AF280" s="95">
        <f t="array" ref="AF280">XLOOKUP(AE280,'Category Saturation'!A:A,'Category Saturation'!E:E)</f>
        <v>25</v>
      </c>
      <c r="AH280" s="148">
        <f t="array" ref="AH280">iferror(XLOOKUP(R280,'New Launch Success Rate'!A:A,'New Launch Success Rate'!F:F),"NA")</f>
        <v>0.333</v>
      </c>
      <c r="AI280" s="95">
        <f t="shared" si="9"/>
        <v>25</v>
      </c>
      <c r="AK280" s="149">
        <f t="shared" si="10"/>
        <v>10</v>
      </c>
      <c r="AM280" s="150">
        <f t="array" ref="AM280">XLOOKUP(R280,'Non Moving'!C:C,'Non Moving'!I:I)/100</f>
        <v>0.108</v>
      </c>
      <c r="AN280" s="151">
        <f t="shared" si="11"/>
        <v>75</v>
      </c>
      <c r="AO280" s="150">
        <f t="array" ref="AO280">XLOOKUP(R280,'Non Moving'!C:C,'Non Moving'!F:F)/100</f>
        <v>0.356</v>
      </c>
      <c r="AP280" s="151">
        <f t="shared" si="12"/>
        <v>50</v>
      </c>
      <c r="AR280" s="95">
        <f t="shared" si="13"/>
        <v>62.5</v>
      </c>
      <c r="AT280" s="95">
        <f t="shared" si="14"/>
        <v>0</v>
      </c>
      <c r="AU280" s="95">
        <f t="array" ref="AU280">iferror(XLOOKUP(J280,Monetization!A:A,Monetization!B:B),25)</f>
        <v>25</v>
      </c>
      <c r="AW280" s="95">
        <f t="shared" si="15"/>
        <v>7.5</v>
      </c>
      <c r="AY280" s="149">
        <f t="shared" si="16"/>
        <v>30.5</v>
      </c>
      <c r="AZ280" s="95" t="str">
        <f t="shared" si="17"/>
        <v>25-50</v>
      </c>
      <c r="BA280" s="95" t="str">
        <f t="shared" si="18"/>
        <v>0-25</v>
      </c>
      <c r="BB280" s="152">
        <f t="array" ref="BB280">iferror(XLOOKUP(C280,Sheet9!A:A,Sheet9!D:D),0)</f>
        <v>0.65</v>
      </c>
      <c r="BC280" s="2">
        <v>1.0</v>
      </c>
      <c r="BD280" s="95">
        <f t="array" ref="BD280">XLOOKUP(C280,ROS!C:C,ROS!O:O)</f>
        <v>0</v>
      </c>
      <c r="BE280" s="147">
        <f t="array" ref="BE280">IFERROR(XLOOKUP(C280,ROS!T:T,ROS!U:U),"")</f>
        <v>0</v>
      </c>
      <c r="BF280" s="147">
        <f t="array" ref="BF280">XLOOKUP(R280,'Refrence Data'!B:B,'Refrence Data'!T:T)</f>
        <v>0.144444</v>
      </c>
      <c r="BG280" s="95">
        <f t="shared" si="19"/>
        <v>0</v>
      </c>
      <c r="BH280" s="4" t="str">
        <f t="shared" si="20"/>
        <v/>
      </c>
      <c r="BO280" s="153"/>
      <c r="BP280" s="153" t="str">
        <f t="shared" si="26"/>
        <v/>
      </c>
      <c r="BQ280" s="153"/>
      <c r="BR280" s="153"/>
      <c r="BS280" s="153"/>
    </row>
    <row r="281">
      <c r="A281" s="171">
        <v>5.05635791511E12</v>
      </c>
      <c r="B281" s="171" t="s">
        <v>3521</v>
      </c>
      <c r="C281" s="137" t="s">
        <v>1252</v>
      </c>
      <c r="D281" s="138" t="s">
        <v>644</v>
      </c>
      <c r="E281" s="139" t="s">
        <v>659</v>
      </c>
      <c r="F281" s="140" t="s">
        <v>3607</v>
      </c>
      <c r="G281" s="141">
        <v>0.0</v>
      </c>
      <c r="H281" s="142">
        <v>8.461253</v>
      </c>
      <c r="I281" s="143" t="s">
        <v>111</v>
      </c>
      <c r="J281" s="83"/>
      <c r="K281" s="174">
        <v>210.0</v>
      </c>
      <c r="R281" s="145" t="str">
        <f t="shared" si="1"/>
        <v>Chocolate Bars &amp; Bags_5-10</v>
      </c>
      <c r="S281" s="146" t="str">
        <f t="shared" si="2"/>
        <v>5-10</v>
      </c>
      <c r="T281" s="95" t="str">
        <f t="array" ref="T281">XLOOKUP(C281,'Depth or Width'!P:P,'Depth or Width'!V:V)</f>
        <v>Depth</v>
      </c>
      <c r="U281" s="93">
        <f t="shared" si="3"/>
        <v>5</v>
      </c>
      <c r="V281" s="147">
        <f t="array" ref="V281">iferror(XLOOKUP(R281,'Refrence Data'!B:B,'Refrence Data'!W:W),"NA")</f>
        <v>15.47511</v>
      </c>
      <c r="W281" s="95">
        <f t="shared" si="4"/>
        <v>100</v>
      </c>
      <c r="Y281" s="148">
        <f t="array" ref="Y281">IFERROR(XLOOKUP(R281,'Refrence Data'!B:B,'Refrence Data'!N:N),"NA")</f>
        <v>0.770669</v>
      </c>
      <c r="Z281" s="95" t="str">
        <f t="shared" si="5"/>
        <v>HIGH</v>
      </c>
      <c r="AA281" s="147">
        <f t="array" ref="AA281">XLOOKUP(R281,'Refrence Data'!B:B,'Refrence Data'!AC:AC)</f>
        <v>6.048674</v>
      </c>
      <c r="AB281" s="147">
        <f t="array" ref="AB281">IFERROR(XLOOKUP(R281,'Refrence Data'!B:B,'Refrence Data'!Y:Y),"NA")</f>
        <v>14.21772</v>
      </c>
      <c r="AC281" s="95" t="str">
        <f t="shared" si="6"/>
        <v>High</v>
      </c>
      <c r="AD281" s="95" t="str">
        <f t="shared" si="7"/>
        <v>Depth</v>
      </c>
      <c r="AE281" s="95" t="str">
        <f t="shared" si="8"/>
        <v>HIGHHighDepth</v>
      </c>
      <c r="AF281" s="95">
        <f t="array" ref="AF281">XLOOKUP(AE281,'Category Saturation'!A:A,'Category Saturation'!E:E)</f>
        <v>0</v>
      </c>
      <c r="AH281" s="148">
        <f t="array" ref="AH281">iferror(XLOOKUP(R281,'New Launch Success Rate'!A:A,'New Launch Success Rate'!F:F),"NA")</f>
        <v>1</v>
      </c>
      <c r="AI281" s="95">
        <f t="shared" si="9"/>
        <v>100</v>
      </c>
      <c r="AK281" s="149">
        <f t="shared" si="10"/>
        <v>70</v>
      </c>
      <c r="AM281" s="150">
        <f t="array" ref="AM281">XLOOKUP(R281,'Non Moving'!C:C,'Non Moving'!I:I)/100</f>
        <v>0.021</v>
      </c>
      <c r="AN281" s="151">
        <f t="shared" si="11"/>
        <v>100</v>
      </c>
      <c r="AO281" s="150">
        <f t="array" ref="AO281">XLOOKUP(R281,'Non Moving'!C:C,'Non Moving'!F:F)/100</f>
        <v>0.081</v>
      </c>
      <c r="AP281" s="151">
        <f t="shared" si="12"/>
        <v>100</v>
      </c>
      <c r="AR281" s="95">
        <f t="shared" si="13"/>
        <v>100</v>
      </c>
      <c r="AT281" s="95">
        <f t="shared" si="14"/>
        <v>0</v>
      </c>
      <c r="AU281" s="95">
        <f t="array" ref="AU281">iferror(XLOOKUP(J281,Monetization!A:A,Monetization!B:B),25)</f>
        <v>25</v>
      </c>
      <c r="AW281" s="95">
        <f t="shared" si="15"/>
        <v>7.5</v>
      </c>
      <c r="AY281" s="149">
        <f t="shared" si="16"/>
        <v>69.5</v>
      </c>
      <c r="AZ281" s="95" t="str">
        <f t="shared" si="17"/>
        <v>50-75</v>
      </c>
      <c r="BA281" s="95" t="str">
        <f t="shared" si="18"/>
        <v>50-75</v>
      </c>
      <c r="BB281" s="152">
        <f t="array" ref="BB281">iferror(XLOOKUP(C281,Sheet9!A:A,Sheet9!D:D),0)</f>
        <v>0.39</v>
      </c>
      <c r="BC281" s="2">
        <v>1.0</v>
      </c>
      <c r="BD281" s="95">
        <f t="array" ref="BD281">XLOOKUP(C281,ROS!C:C,ROS!O:O)</f>
        <v>0</v>
      </c>
      <c r="BE281" s="147">
        <f t="array" ref="BE281">IFERROR(XLOOKUP(C281,ROS!T:T,ROS!U:U),"")</f>
        <v>0.824675325</v>
      </c>
      <c r="BF281" s="147">
        <f t="array" ref="BF281">XLOOKUP(R281,'Refrence Data'!B:B,'Refrence Data'!T:T)</f>
        <v>1.809987</v>
      </c>
      <c r="BG281" s="95">
        <f t="shared" si="19"/>
        <v>0</v>
      </c>
      <c r="BH281" s="4" t="str">
        <f t="shared" si="20"/>
        <v/>
      </c>
      <c r="BO281" s="153"/>
      <c r="BP281" s="153" t="str">
        <f t="shared" si="26"/>
        <v/>
      </c>
      <c r="BQ281" s="153"/>
      <c r="BR281" s="153"/>
      <c r="BS281" s="153"/>
    </row>
    <row r="282">
      <c r="A282" s="171">
        <v>5.000159566971E12</v>
      </c>
      <c r="B282" s="171" t="s">
        <v>3521</v>
      </c>
      <c r="C282" s="137" t="s">
        <v>1253</v>
      </c>
      <c r="D282" s="138" t="s">
        <v>644</v>
      </c>
      <c r="E282" s="139" t="s">
        <v>709</v>
      </c>
      <c r="F282" s="140" t="s">
        <v>3607</v>
      </c>
      <c r="G282" s="141">
        <v>0.0</v>
      </c>
      <c r="H282" s="142">
        <v>31.60051</v>
      </c>
      <c r="I282" s="143" t="s">
        <v>111</v>
      </c>
      <c r="J282" s="83"/>
      <c r="K282" s="174">
        <v>180.0</v>
      </c>
      <c r="R282" s="145" t="str">
        <f t="shared" si="1"/>
        <v>Sharing &amp; Gifting_25+</v>
      </c>
      <c r="S282" s="146" t="str">
        <f t="shared" si="2"/>
        <v>25+</v>
      </c>
      <c r="T282" s="95" t="str">
        <f t="array" ref="T282">XLOOKUP(C282,'Depth or Width'!P:P,'Depth or Width'!V:V)</f>
        <v>Width</v>
      </c>
      <c r="U282" s="93">
        <f t="shared" si="3"/>
        <v>5</v>
      </c>
      <c r="V282" s="147">
        <f t="array" ref="V282">iferror(XLOOKUP(R282,'Refrence Data'!B:B,'Refrence Data'!W:W),"NA")</f>
        <v>2.272605</v>
      </c>
      <c r="W282" s="95">
        <f t="shared" si="4"/>
        <v>0</v>
      </c>
      <c r="Y282" s="148">
        <f t="array" ref="Y282">IFERROR(XLOOKUP(R282,'Refrence Data'!B:B,'Refrence Data'!N:N),"NA")</f>
        <v>0.737286</v>
      </c>
      <c r="Z282" s="95" t="str">
        <f t="shared" si="5"/>
        <v>HIGH</v>
      </c>
      <c r="AA282" s="147">
        <f t="array" ref="AA282">XLOOKUP(R282,'Refrence Data'!B:B,'Refrence Data'!AC:AC)</f>
        <v>4.126524</v>
      </c>
      <c r="AB282" s="147">
        <f t="array" ref="AB282">IFERROR(XLOOKUP(R282,'Refrence Data'!B:B,'Refrence Data'!Y:Y),"NA")</f>
        <v>5.224899</v>
      </c>
      <c r="AC282" s="95" t="str">
        <f t="shared" si="6"/>
        <v>High</v>
      </c>
      <c r="AD282" s="95" t="str">
        <f t="shared" si="7"/>
        <v>Width</v>
      </c>
      <c r="AE282" s="95" t="str">
        <f t="shared" si="8"/>
        <v>HIGHHighWidth</v>
      </c>
      <c r="AF282" s="95">
        <f t="array" ref="AF282">XLOOKUP(AE282,'Category Saturation'!A:A,'Category Saturation'!E:E)</f>
        <v>25</v>
      </c>
      <c r="AH282" s="148">
        <f t="array" ref="AH282">iferror(XLOOKUP(R282,'New Launch Success Rate'!A:A,'New Launch Success Rate'!F:F),"NA")</f>
        <v>0.333</v>
      </c>
      <c r="AI282" s="95">
        <f t="shared" si="9"/>
        <v>25</v>
      </c>
      <c r="AK282" s="149">
        <f t="shared" si="10"/>
        <v>10</v>
      </c>
      <c r="AM282" s="150">
        <f t="array" ref="AM282">XLOOKUP(R282,'Non Moving'!C:C,'Non Moving'!I:I)/100</f>
        <v>0.108</v>
      </c>
      <c r="AN282" s="151">
        <f t="shared" si="11"/>
        <v>75</v>
      </c>
      <c r="AO282" s="150">
        <f t="array" ref="AO282">XLOOKUP(R282,'Non Moving'!C:C,'Non Moving'!F:F)/100</f>
        <v>0.356</v>
      </c>
      <c r="AP282" s="151">
        <f t="shared" si="12"/>
        <v>50</v>
      </c>
      <c r="AR282" s="95">
        <f t="shared" si="13"/>
        <v>62.5</v>
      </c>
      <c r="AT282" s="95">
        <f t="shared" si="14"/>
        <v>0</v>
      </c>
      <c r="AU282" s="95">
        <f t="array" ref="AU282">iferror(XLOOKUP(J282,Monetization!A:A,Monetization!B:B),25)</f>
        <v>25</v>
      </c>
      <c r="AW282" s="95">
        <f t="shared" si="15"/>
        <v>7.5</v>
      </c>
      <c r="AY282" s="149">
        <f t="shared" si="16"/>
        <v>30.5</v>
      </c>
      <c r="AZ282" s="95" t="str">
        <f t="shared" si="17"/>
        <v>25-50</v>
      </c>
      <c r="BA282" s="95" t="str">
        <f t="shared" si="18"/>
        <v>0-25</v>
      </c>
      <c r="BB282" s="152">
        <f t="array" ref="BB282">iferror(XLOOKUP(C282,Sheet9!A:A,Sheet9!D:D),0)</f>
        <v>0.14</v>
      </c>
      <c r="BC282" s="2">
        <v>1.0</v>
      </c>
      <c r="BD282" s="95">
        <f t="array" ref="BD282">XLOOKUP(C282,ROS!C:C,ROS!O:O)</f>
        <v>0.071429</v>
      </c>
      <c r="BE282" s="147">
        <f t="array" ref="BE282">IFERROR(XLOOKUP(C282,ROS!T:T,ROS!U:U),"")</f>
        <v>0.253968254</v>
      </c>
      <c r="BF282" s="147">
        <f t="array" ref="BF282">XLOOKUP(R282,'Refrence Data'!B:B,'Refrence Data'!T:T)</f>
        <v>0.144444</v>
      </c>
      <c r="BG282" s="95">
        <f t="shared" si="19"/>
        <v>0</v>
      </c>
      <c r="BH282" s="4" t="str">
        <f t="shared" si="20"/>
        <v/>
      </c>
      <c r="BO282" s="153"/>
      <c r="BP282" s="153" t="str">
        <f t="shared" si="26"/>
        <v/>
      </c>
      <c r="BQ282" s="153"/>
      <c r="BR282" s="153"/>
      <c r="BS282" s="153"/>
    </row>
    <row r="283">
      <c r="A283" s="171">
        <v>5.000159553285E12</v>
      </c>
      <c r="B283" s="171" t="s">
        <v>3521</v>
      </c>
      <c r="C283" s="137" t="s">
        <v>1254</v>
      </c>
      <c r="D283" s="138" t="s">
        <v>644</v>
      </c>
      <c r="E283" s="139" t="s">
        <v>709</v>
      </c>
      <c r="F283" s="140" t="s">
        <v>3607</v>
      </c>
      <c r="G283" s="141">
        <v>0.0</v>
      </c>
      <c r="H283" s="142">
        <v>32.97215</v>
      </c>
      <c r="I283" s="143" t="s">
        <v>111</v>
      </c>
      <c r="J283" s="83"/>
      <c r="K283" s="174">
        <v>180.0</v>
      </c>
      <c r="R283" s="145" t="str">
        <f t="shared" si="1"/>
        <v>Sharing &amp; Gifting_25+</v>
      </c>
      <c r="S283" s="146" t="str">
        <f t="shared" si="2"/>
        <v>25+</v>
      </c>
      <c r="T283" s="95" t="str">
        <f t="array" ref="T283">XLOOKUP(C283,'Depth or Width'!P:P,'Depth or Width'!V:V)</f>
        <v>Width</v>
      </c>
      <c r="U283" s="93">
        <f t="shared" si="3"/>
        <v>5</v>
      </c>
      <c r="V283" s="147">
        <f t="array" ref="V283">iferror(XLOOKUP(R283,'Refrence Data'!B:B,'Refrence Data'!W:W),"NA")</f>
        <v>2.272605</v>
      </c>
      <c r="W283" s="95">
        <f t="shared" si="4"/>
        <v>0</v>
      </c>
      <c r="Y283" s="148">
        <f t="array" ref="Y283">IFERROR(XLOOKUP(R283,'Refrence Data'!B:B,'Refrence Data'!N:N),"NA")</f>
        <v>0.737286</v>
      </c>
      <c r="Z283" s="95" t="str">
        <f t="shared" si="5"/>
        <v>HIGH</v>
      </c>
      <c r="AA283" s="147">
        <f t="array" ref="AA283">XLOOKUP(R283,'Refrence Data'!B:B,'Refrence Data'!AC:AC)</f>
        <v>4.126524</v>
      </c>
      <c r="AB283" s="147">
        <f t="array" ref="AB283">IFERROR(XLOOKUP(R283,'Refrence Data'!B:B,'Refrence Data'!Y:Y),"NA")</f>
        <v>5.224899</v>
      </c>
      <c r="AC283" s="95" t="str">
        <f t="shared" si="6"/>
        <v>High</v>
      </c>
      <c r="AD283" s="95" t="str">
        <f t="shared" si="7"/>
        <v>Width</v>
      </c>
      <c r="AE283" s="95" t="str">
        <f t="shared" si="8"/>
        <v>HIGHHighWidth</v>
      </c>
      <c r="AF283" s="95">
        <f t="array" ref="AF283">XLOOKUP(AE283,'Category Saturation'!A:A,'Category Saturation'!E:E)</f>
        <v>25</v>
      </c>
      <c r="AH283" s="148">
        <f t="array" ref="AH283">iferror(XLOOKUP(R283,'New Launch Success Rate'!A:A,'New Launch Success Rate'!F:F),"NA")</f>
        <v>0.333</v>
      </c>
      <c r="AI283" s="95">
        <f t="shared" si="9"/>
        <v>25</v>
      </c>
      <c r="AK283" s="149">
        <f t="shared" si="10"/>
        <v>10</v>
      </c>
      <c r="AM283" s="150">
        <f t="array" ref="AM283">XLOOKUP(R283,'Non Moving'!C:C,'Non Moving'!I:I)/100</f>
        <v>0.108</v>
      </c>
      <c r="AN283" s="151">
        <f t="shared" si="11"/>
        <v>75</v>
      </c>
      <c r="AO283" s="150">
        <f t="array" ref="AO283">XLOOKUP(R283,'Non Moving'!C:C,'Non Moving'!F:F)/100</f>
        <v>0.356</v>
      </c>
      <c r="AP283" s="151">
        <f t="shared" si="12"/>
        <v>50</v>
      </c>
      <c r="AR283" s="95">
        <f t="shared" si="13"/>
        <v>62.5</v>
      </c>
      <c r="AT283" s="95">
        <f t="shared" si="14"/>
        <v>0</v>
      </c>
      <c r="AU283" s="95">
        <f t="array" ref="AU283">iferror(XLOOKUP(J283,Monetization!A:A,Monetization!B:B),25)</f>
        <v>25</v>
      </c>
      <c r="AW283" s="95">
        <f t="shared" si="15"/>
        <v>7.5</v>
      </c>
      <c r="AY283" s="149">
        <f t="shared" si="16"/>
        <v>30.5</v>
      </c>
      <c r="AZ283" s="95" t="str">
        <f t="shared" si="17"/>
        <v>25-50</v>
      </c>
      <c r="BA283" s="95" t="str">
        <f t="shared" si="18"/>
        <v>0-25</v>
      </c>
      <c r="BB283" s="152">
        <f t="array" ref="BB283">iferror(XLOOKUP(C283,Sheet9!A:A,Sheet9!D:D),0)</f>
        <v>0.01</v>
      </c>
      <c r="BC283" s="2">
        <v>1.0</v>
      </c>
      <c r="BD283" s="95">
        <f t="array" ref="BD283">XLOOKUP(C283,ROS!C:C,ROS!O:O)</f>
        <v>0</v>
      </c>
      <c r="BE283" s="147">
        <f t="array" ref="BE283">IFERROR(XLOOKUP(C283,ROS!T:T,ROS!U:U),"")</f>
        <v>0</v>
      </c>
      <c r="BF283" s="147">
        <f t="array" ref="BF283">XLOOKUP(R283,'Refrence Data'!B:B,'Refrence Data'!T:T)</f>
        <v>0.144444</v>
      </c>
      <c r="BG283" s="95">
        <f t="shared" si="19"/>
        <v>0</v>
      </c>
      <c r="BH283" s="4" t="str">
        <f t="shared" si="20"/>
        <v/>
      </c>
      <c r="BP283" s="153" t="str">
        <f t="shared" si="26"/>
        <v/>
      </c>
      <c r="BQ283" s="153"/>
      <c r="BR283" s="153"/>
      <c r="BS283" s="153"/>
    </row>
    <row r="284">
      <c r="A284" s="171">
        <v>5.000159551281E12</v>
      </c>
      <c r="B284" s="171" t="s">
        <v>3521</v>
      </c>
      <c r="C284" s="137" t="s">
        <v>1257</v>
      </c>
      <c r="D284" s="138" t="s">
        <v>644</v>
      </c>
      <c r="E284" s="139" t="s">
        <v>659</v>
      </c>
      <c r="F284" s="140" t="s">
        <v>3607</v>
      </c>
      <c r="G284" s="141">
        <v>0.0</v>
      </c>
      <c r="H284" s="142">
        <v>9.741506</v>
      </c>
      <c r="I284" s="143" t="s">
        <v>111</v>
      </c>
      <c r="J284" s="83"/>
      <c r="K284" s="174">
        <v>240.0</v>
      </c>
      <c r="R284" s="145" t="str">
        <f t="shared" si="1"/>
        <v>Chocolate Bars &amp; Bags_5-10</v>
      </c>
      <c r="S284" s="146" t="str">
        <f t="shared" si="2"/>
        <v>5-10</v>
      </c>
      <c r="T284" s="95" t="str">
        <f t="array" ref="T284">XLOOKUP(C284,'Depth or Width'!P:P,'Depth or Width'!V:V)</f>
        <v>Depth</v>
      </c>
      <c r="U284" s="93">
        <f t="shared" si="3"/>
        <v>5</v>
      </c>
      <c r="V284" s="147">
        <f t="array" ref="V284">iferror(XLOOKUP(R284,'Refrence Data'!B:B,'Refrence Data'!W:W),"NA")</f>
        <v>15.47511</v>
      </c>
      <c r="W284" s="95">
        <f t="shared" si="4"/>
        <v>100</v>
      </c>
      <c r="Y284" s="148">
        <f t="array" ref="Y284">IFERROR(XLOOKUP(R284,'Refrence Data'!B:B,'Refrence Data'!N:N),"NA")</f>
        <v>0.770669</v>
      </c>
      <c r="Z284" s="95" t="str">
        <f t="shared" si="5"/>
        <v>HIGH</v>
      </c>
      <c r="AA284" s="147">
        <f t="array" ref="AA284">XLOOKUP(R284,'Refrence Data'!B:B,'Refrence Data'!AC:AC)</f>
        <v>6.048674</v>
      </c>
      <c r="AB284" s="147">
        <f t="array" ref="AB284">IFERROR(XLOOKUP(R284,'Refrence Data'!B:B,'Refrence Data'!Y:Y),"NA")</f>
        <v>14.21772</v>
      </c>
      <c r="AC284" s="95" t="str">
        <f t="shared" si="6"/>
        <v>High</v>
      </c>
      <c r="AD284" s="95" t="str">
        <f t="shared" si="7"/>
        <v>Depth</v>
      </c>
      <c r="AE284" s="95" t="str">
        <f t="shared" si="8"/>
        <v>HIGHHighDepth</v>
      </c>
      <c r="AF284" s="95">
        <f t="array" ref="AF284">XLOOKUP(AE284,'Category Saturation'!A:A,'Category Saturation'!E:E)</f>
        <v>0</v>
      </c>
      <c r="AH284" s="148">
        <f t="array" ref="AH284">iferror(XLOOKUP(R284,'New Launch Success Rate'!A:A,'New Launch Success Rate'!F:F),"NA")</f>
        <v>1</v>
      </c>
      <c r="AI284" s="95">
        <f t="shared" si="9"/>
        <v>100</v>
      </c>
      <c r="AK284" s="149">
        <f t="shared" si="10"/>
        <v>70</v>
      </c>
      <c r="AM284" s="150">
        <f t="array" ref="AM284">XLOOKUP(R284,'Non Moving'!C:C,'Non Moving'!I:I)/100</f>
        <v>0.021</v>
      </c>
      <c r="AN284" s="151">
        <f t="shared" si="11"/>
        <v>100</v>
      </c>
      <c r="AO284" s="150">
        <f t="array" ref="AO284">XLOOKUP(R284,'Non Moving'!C:C,'Non Moving'!F:F)/100</f>
        <v>0.081</v>
      </c>
      <c r="AP284" s="151">
        <f t="shared" si="12"/>
        <v>100</v>
      </c>
      <c r="AR284" s="95">
        <f t="shared" si="13"/>
        <v>100</v>
      </c>
      <c r="AT284" s="95">
        <f t="shared" si="14"/>
        <v>0</v>
      </c>
      <c r="AU284" s="95">
        <f t="array" ref="AU284">iferror(XLOOKUP(J284,Monetization!A:A,Monetization!B:B),25)</f>
        <v>25</v>
      </c>
      <c r="AW284" s="95">
        <f t="shared" si="15"/>
        <v>7.5</v>
      </c>
      <c r="AY284" s="149">
        <f t="shared" si="16"/>
        <v>69.5</v>
      </c>
      <c r="AZ284" s="95" t="str">
        <f t="shared" si="17"/>
        <v>50-75</v>
      </c>
      <c r="BA284" s="95" t="str">
        <f t="shared" si="18"/>
        <v>50-75</v>
      </c>
      <c r="BB284" s="152">
        <f t="array" ref="BB284">iferror(XLOOKUP(C284,Sheet9!A:A,Sheet9!D:D),0)</f>
        <v>0</v>
      </c>
      <c r="BC284" s="2">
        <v>1.0</v>
      </c>
      <c r="BD284" s="95">
        <f t="array" ref="BD284">XLOOKUP(C284,ROS!C:C,ROS!O:O)</f>
        <v>0</v>
      </c>
      <c r="BE284" s="147">
        <f t="array" ref="BE284">IFERROR(XLOOKUP(C284,ROS!T:T,ROS!U:U),"")</f>
        <v>0</v>
      </c>
      <c r="BF284" s="147">
        <f t="array" ref="BF284">XLOOKUP(R284,'Refrence Data'!B:B,'Refrence Data'!T:T)</f>
        <v>1.809987</v>
      </c>
      <c r="BG284" s="95">
        <f t="shared" si="19"/>
        <v>0</v>
      </c>
      <c r="BH284" s="4" t="str">
        <f t="shared" si="20"/>
        <v/>
      </c>
      <c r="BP284" s="153" t="str">
        <f t="shared" si="26"/>
        <v/>
      </c>
      <c r="BQ284" s="153"/>
      <c r="BR284" s="153"/>
      <c r="BS284" s="153"/>
    </row>
    <row r="285">
      <c r="A285" s="171">
        <v>5.000159538855E12</v>
      </c>
      <c r="B285" s="171" t="s">
        <v>3521</v>
      </c>
      <c r="C285" s="137" t="s">
        <v>1258</v>
      </c>
      <c r="D285" s="138" t="s">
        <v>644</v>
      </c>
      <c r="E285" s="139" t="s">
        <v>659</v>
      </c>
      <c r="F285" s="140" t="s">
        <v>3607</v>
      </c>
      <c r="G285" s="141">
        <v>0.0</v>
      </c>
      <c r="H285" s="142">
        <v>25.6847</v>
      </c>
      <c r="I285" s="143" t="s">
        <v>111</v>
      </c>
      <c r="J285" s="83"/>
      <c r="K285" s="174">
        <v>180.0</v>
      </c>
      <c r="R285" s="145" t="str">
        <f t="shared" si="1"/>
        <v>Chocolate Bars &amp; Bags_25+</v>
      </c>
      <c r="S285" s="146" t="str">
        <f t="shared" si="2"/>
        <v>25+</v>
      </c>
      <c r="T285" s="95" t="str">
        <f t="array" ref="T285">XLOOKUP(C285,'Depth or Width'!P:P,'Depth or Width'!V:V)</f>
        <v>Depth</v>
      </c>
      <c r="U285" s="93">
        <f t="shared" si="3"/>
        <v>5</v>
      </c>
      <c r="V285" s="147">
        <f t="array" ref="V285">iferror(XLOOKUP(R285,'Refrence Data'!B:B,'Refrence Data'!W:W),"NA")</f>
        <v>1</v>
      </c>
      <c r="W285" s="95">
        <f t="shared" si="4"/>
        <v>0</v>
      </c>
      <c r="Y285" s="148">
        <f t="array" ref="Y285">IFERROR(XLOOKUP(R285,'Refrence Data'!B:B,'Refrence Data'!N:N),"NA")</f>
        <v>0.904787</v>
      </c>
      <c r="Z285" s="95" t="str">
        <f t="shared" si="5"/>
        <v>HIGH</v>
      </c>
      <c r="AA285" s="147">
        <f t="array" ref="AA285">XLOOKUP(R285,'Refrence Data'!B:B,'Refrence Data'!AC:AC)</f>
        <v>6.048674</v>
      </c>
      <c r="AB285" s="147">
        <f t="array" ref="AB285">IFERROR(XLOOKUP(R285,'Refrence Data'!B:B,'Refrence Data'!Y:Y),"NA")</f>
        <v>1.662854</v>
      </c>
      <c r="AC285" s="95" t="str">
        <f t="shared" si="6"/>
        <v>Low</v>
      </c>
      <c r="AD285" s="95" t="str">
        <f t="shared" si="7"/>
        <v>Depth</v>
      </c>
      <c r="AE285" s="95" t="str">
        <f t="shared" si="8"/>
        <v>HIGHLowDepth</v>
      </c>
      <c r="AF285" s="95">
        <f t="array" ref="AF285">XLOOKUP(AE285,'Category Saturation'!A:A,'Category Saturation'!E:E)</f>
        <v>0</v>
      </c>
      <c r="AH285" s="148">
        <f t="array" ref="AH285">iferror(XLOOKUP(R285,'New Launch Success Rate'!A:A,'New Launch Success Rate'!F:F),"NA")</f>
        <v>0.615</v>
      </c>
      <c r="AI285" s="95">
        <f t="shared" si="9"/>
        <v>50</v>
      </c>
      <c r="AK285" s="149">
        <f t="shared" si="10"/>
        <v>5</v>
      </c>
      <c r="AM285" s="150">
        <f t="array" ref="AM285">XLOOKUP(R285,'Non Moving'!C:C,'Non Moving'!I:I)/100</f>
        <v>0.227</v>
      </c>
      <c r="AN285" s="151">
        <f t="shared" si="11"/>
        <v>0</v>
      </c>
      <c r="AO285" s="150">
        <f t="array" ref="AO285">XLOOKUP(R285,'Non Moving'!C:C,'Non Moving'!F:F)/100</f>
        <v>0.482</v>
      </c>
      <c r="AP285" s="151">
        <f t="shared" si="12"/>
        <v>0</v>
      </c>
      <c r="AR285" s="95">
        <f t="shared" si="13"/>
        <v>0</v>
      </c>
      <c r="AT285" s="95">
        <f t="shared" si="14"/>
        <v>0</v>
      </c>
      <c r="AU285" s="95">
        <f t="array" ref="AU285">iferror(XLOOKUP(J285,Monetization!A:A,Monetization!B:B),25)</f>
        <v>25</v>
      </c>
      <c r="AW285" s="95">
        <f t="shared" si="15"/>
        <v>7.5</v>
      </c>
      <c r="AY285" s="149">
        <f t="shared" si="16"/>
        <v>3.5</v>
      </c>
      <c r="AZ285" s="95" t="str">
        <f t="shared" si="17"/>
        <v>0-25</v>
      </c>
      <c r="BA285" s="95" t="str">
        <f t="shared" si="18"/>
        <v>0-25</v>
      </c>
      <c r="BB285" s="152">
        <f t="array" ref="BB285">iferror(XLOOKUP(C285,Sheet9!A:A,Sheet9!D:D),0)</f>
        <v>0.18</v>
      </c>
      <c r="BC285" s="2">
        <v>1.0</v>
      </c>
      <c r="BD285" s="95">
        <f t="array" ref="BD285">XLOOKUP(C285,ROS!C:C,ROS!O:O)</f>
        <v>0</v>
      </c>
      <c r="BE285" s="147">
        <f t="array" ref="BE285">IFERROR(XLOOKUP(C285,ROS!T:T,ROS!U:U),"")</f>
        <v>1.166666667</v>
      </c>
      <c r="BF285" s="147">
        <f t="array" ref="BF285">XLOOKUP(R285,'Refrence Data'!B:B,'Refrence Data'!T:T)</f>
        <v>0.13702</v>
      </c>
      <c r="BG285" s="95">
        <f t="shared" si="19"/>
        <v>1</v>
      </c>
      <c r="BH285" s="4" t="str">
        <f t="shared" si="20"/>
        <v/>
      </c>
      <c r="BP285" s="153" t="str">
        <f t="shared" si="26"/>
        <v/>
      </c>
      <c r="BQ285" s="153"/>
      <c r="BR285" s="153"/>
      <c r="BS285" s="153"/>
    </row>
    <row r="286">
      <c r="A286" s="171">
        <v>8.588007731438E12</v>
      </c>
      <c r="B286" s="171" t="s">
        <v>3521</v>
      </c>
      <c r="C286" s="137" t="s">
        <v>1115</v>
      </c>
      <c r="D286" s="138" t="s">
        <v>630</v>
      </c>
      <c r="E286" s="139" t="s">
        <v>640</v>
      </c>
      <c r="F286" s="140" t="s">
        <v>3554</v>
      </c>
      <c r="G286" s="141">
        <v>1.0</v>
      </c>
      <c r="H286" s="142">
        <v>11.24112</v>
      </c>
      <c r="I286" s="143" t="s">
        <v>111</v>
      </c>
      <c r="J286" s="83"/>
      <c r="K286" s="174">
        <v>300.0</v>
      </c>
      <c r="R286" s="145" t="str">
        <f t="shared" si="1"/>
        <v>Chips &amp; Dips_10-15</v>
      </c>
      <c r="S286" s="146" t="str">
        <f t="shared" si="2"/>
        <v>10-15</v>
      </c>
      <c r="T286" s="95" t="str">
        <f t="array" ref="T286">XLOOKUP(C286,'Depth or Width'!P:P,'Depth or Width'!V:V)</f>
        <v>Width</v>
      </c>
      <c r="U286" s="93">
        <f t="shared" si="3"/>
        <v>5</v>
      </c>
      <c r="V286" s="147">
        <f t="array" ref="V286">iferror(XLOOKUP(R286,'Refrence Data'!B:B,'Refrence Data'!W:W),"NA")</f>
        <v>5.994401</v>
      </c>
      <c r="W286" s="95">
        <f t="shared" si="4"/>
        <v>100</v>
      </c>
      <c r="Y286" s="148">
        <f t="array" ref="Y286">IFERROR(XLOOKUP(R286,'Refrence Data'!B:B,'Refrence Data'!N:N),"NA")</f>
        <v>0.759702</v>
      </c>
      <c r="Z286" s="95" t="str">
        <f t="shared" si="5"/>
        <v>HIGH</v>
      </c>
      <c r="AA286" s="147">
        <f t="array" ref="AA286">XLOOKUP(R286,'Refrence Data'!B:B,'Refrence Data'!AC:AC)</f>
        <v>6.718884</v>
      </c>
      <c r="AB286" s="147">
        <f t="array" ref="AB286">IFERROR(XLOOKUP(R286,'Refrence Data'!B:B,'Refrence Data'!Y:Y),"NA")</f>
        <v>8.763743</v>
      </c>
      <c r="AC286" s="95" t="str">
        <f t="shared" si="6"/>
        <v>High</v>
      </c>
      <c r="AD286" s="95" t="str">
        <f t="shared" si="7"/>
        <v>Width</v>
      </c>
      <c r="AE286" s="95" t="str">
        <f t="shared" si="8"/>
        <v>HIGHHighWidth</v>
      </c>
      <c r="AF286" s="95">
        <f t="array" ref="AF286">XLOOKUP(AE286,'Category Saturation'!A:A,'Category Saturation'!E:E)</f>
        <v>25</v>
      </c>
      <c r="AH286" s="148">
        <f t="array" ref="AH286">iferror(XLOOKUP(R286,'New Launch Success Rate'!A:A,'New Launch Success Rate'!F:F),"NA")</f>
        <v>0.429</v>
      </c>
      <c r="AI286" s="95">
        <f t="shared" si="9"/>
        <v>25</v>
      </c>
      <c r="AK286" s="149">
        <f t="shared" si="10"/>
        <v>70</v>
      </c>
      <c r="AM286" s="150">
        <f t="array" ref="AM286">XLOOKUP(R286,'Non Moving'!C:C,'Non Moving'!I:I)/100</f>
        <v>0.044</v>
      </c>
      <c r="AN286" s="151">
        <f t="shared" si="11"/>
        <v>100</v>
      </c>
      <c r="AO286" s="150">
        <f t="array" ref="AO286">XLOOKUP(R286,'Non Moving'!C:C,'Non Moving'!F:F)/100</f>
        <v>0.117</v>
      </c>
      <c r="AP286" s="151">
        <f t="shared" si="12"/>
        <v>100</v>
      </c>
      <c r="AR286" s="95">
        <f t="shared" si="13"/>
        <v>100</v>
      </c>
      <c r="AT286" s="95">
        <f t="shared" si="14"/>
        <v>0</v>
      </c>
      <c r="AU286" s="95">
        <f t="array" ref="AU286">iferror(XLOOKUP(J286,Monetization!A:A,Monetization!B:B),25)</f>
        <v>25</v>
      </c>
      <c r="AW286" s="95">
        <f t="shared" si="15"/>
        <v>7.5</v>
      </c>
      <c r="AY286" s="149">
        <f t="shared" si="16"/>
        <v>69.5</v>
      </c>
      <c r="AZ286" s="95" t="str">
        <f t="shared" si="17"/>
        <v>50-75</v>
      </c>
      <c r="BA286" s="95" t="str">
        <f t="shared" si="18"/>
        <v>50-75</v>
      </c>
      <c r="BB286" s="152">
        <f t="array" ref="BB286">iferror(XLOOKUP(C286,Sheet9!A:A,Sheet9!D:D),0)</f>
        <v>0.97</v>
      </c>
      <c r="BC286" s="2">
        <v>1.0</v>
      </c>
      <c r="BD286" s="95">
        <f t="array" ref="BD286">XLOOKUP(C286,ROS!C:C,ROS!O:O)</f>
        <v>0</v>
      </c>
      <c r="BE286" s="147">
        <f t="array" ref="BE286">IFERROR(XLOOKUP(C286,ROS!T:T,ROS!U:U),"")</f>
        <v>0.166666667</v>
      </c>
      <c r="BF286" s="147">
        <f t="array" ref="BF286">XLOOKUP(R286,'Refrence Data'!B:B,'Refrence Data'!T:T)</f>
        <v>0.414286</v>
      </c>
      <c r="BG286" s="95">
        <f t="shared" si="19"/>
        <v>0</v>
      </c>
      <c r="BH286" s="4" t="str">
        <f t="shared" si="20"/>
        <v>FP</v>
      </c>
      <c r="BO286" s="153"/>
      <c r="BP286" s="153" t="str">
        <f t="shared" si="26"/>
        <v>FP</v>
      </c>
      <c r="BQ286" s="153"/>
      <c r="BR286" s="153"/>
      <c r="BS286" s="153"/>
    </row>
    <row r="287">
      <c r="A287" s="171">
        <v>6.772504452978E12</v>
      </c>
      <c r="B287" s="171" t="s">
        <v>3521</v>
      </c>
      <c r="C287" s="137" t="s">
        <v>1216</v>
      </c>
      <c r="D287" s="138" t="s">
        <v>644</v>
      </c>
      <c r="E287" s="139" t="s">
        <v>645</v>
      </c>
      <c r="F287" s="140" t="s">
        <v>3551</v>
      </c>
      <c r="G287" s="141">
        <v>0.0</v>
      </c>
      <c r="H287" s="142">
        <v>11.57963</v>
      </c>
      <c r="I287" s="143" t="s">
        <v>111</v>
      </c>
      <c r="J287" s="83"/>
      <c r="K287" s="174">
        <v>365.0</v>
      </c>
      <c r="R287" s="145" t="str">
        <f t="shared" si="1"/>
        <v>Healthy Snacks_10-15</v>
      </c>
      <c r="S287" s="146" t="str">
        <f t="shared" si="2"/>
        <v>10-15</v>
      </c>
      <c r="T287" s="95" t="str">
        <f t="array" ref="T287">XLOOKUP(C287,'Depth or Width'!P:P,'Depth or Width'!V:V)</f>
        <v>Width</v>
      </c>
      <c r="U287" s="93">
        <f t="shared" si="3"/>
        <v>5</v>
      </c>
      <c r="V287" s="147">
        <f t="array" ref="V287">iferror(XLOOKUP(R287,'Refrence Data'!B:B,'Refrence Data'!W:W),"NA")</f>
        <v>0.310145</v>
      </c>
      <c r="W287" s="95">
        <f t="shared" si="4"/>
        <v>0</v>
      </c>
      <c r="Y287" s="148">
        <f t="array" ref="Y287">IFERROR(XLOOKUP(R287,'Refrence Data'!B:B,'Refrence Data'!N:N),"NA")</f>
        <v>0</v>
      </c>
      <c r="Z287" s="95" t="str">
        <f t="shared" si="5"/>
        <v>LOW</v>
      </c>
      <c r="AA287" s="147">
        <f t="array" ref="AA287">XLOOKUP(R287,'Refrence Data'!B:B,'Refrence Data'!AC:AC)</f>
        <v>0.310145</v>
      </c>
      <c r="AB287" s="147">
        <f t="array" ref="AB287">IFERROR(XLOOKUP(R287,'Refrence Data'!B:B,'Refrence Data'!Y:Y),"NA")</f>
        <v>0.310145</v>
      </c>
      <c r="AC287" s="95" t="str">
        <f t="shared" si="6"/>
        <v>High</v>
      </c>
      <c r="AD287" s="95" t="str">
        <f t="shared" si="7"/>
        <v>Width</v>
      </c>
      <c r="AE287" s="95" t="str">
        <f t="shared" si="8"/>
        <v>LOWHighWidth</v>
      </c>
      <c r="AF287" s="95">
        <f t="array" ref="AF287">XLOOKUP(AE287,'Category Saturation'!A:A,'Category Saturation'!E:E)</f>
        <v>100</v>
      </c>
      <c r="AH287" s="148">
        <f t="array" ref="AH287">iferror(XLOOKUP(R287,'New Launch Success Rate'!A:A,'New Launch Success Rate'!F:F),"NA")</f>
        <v>0.714</v>
      </c>
      <c r="AI287" s="95">
        <f t="shared" si="9"/>
        <v>100</v>
      </c>
      <c r="AK287" s="149">
        <f t="shared" si="10"/>
        <v>40</v>
      </c>
      <c r="AM287" s="150">
        <f t="array" ref="AM287">XLOOKUP(R287,'Non Moving'!C:C,'Non Moving'!I:I)/100</f>
        <v>0.024</v>
      </c>
      <c r="AN287" s="151">
        <f t="shared" si="11"/>
        <v>100</v>
      </c>
      <c r="AO287" s="150">
        <f t="array" ref="AO287">XLOOKUP(R287,'Non Moving'!C:C,'Non Moving'!F:F)/100</f>
        <v>0.152</v>
      </c>
      <c r="AP287" s="151">
        <f t="shared" si="12"/>
        <v>100</v>
      </c>
      <c r="AR287" s="95">
        <f t="shared" si="13"/>
        <v>100</v>
      </c>
      <c r="AT287" s="95">
        <f t="shared" si="14"/>
        <v>0</v>
      </c>
      <c r="AU287" s="95">
        <f t="array" ref="AU287">iferror(XLOOKUP(J287,Monetization!A:A,Monetization!B:B),25)</f>
        <v>25</v>
      </c>
      <c r="AW287" s="95">
        <f t="shared" si="15"/>
        <v>7.5</v>
      </c>
      <c r="AY287" s="149">
        <f t="shared" si="16"/>
        <v>57.5</v>
      </c>
      <c r="AZ287" s="95" t="str">
        <f t="shared" si="17"/>
        <v>50-75</v>
      </c>
      <c r="BA287" s="95" t="str">
        <f t="shared" si="18"/>
        <v>25-50</v>
      </c>
      <c r="BB287" s="152">
        <f t="array" ref="BB287">iferror(XLOOKUP(C287,Sheet9!A:A,Sheet9!D:D),0)</f>
        <v>0.97</v>
      </c>
      <c r="BC287" s="2">
        <v>1.0</v>
      </c>
      <c r="BD287" s="95">
        <f t="array" ref="BD287">XLOOKUP(C287,ROS!C:C,ROS!O:O)</f>
        <v>0</v>
      </c>
      <c r="BE287" s="147">
        <f t="array" ref="BE287">IFERROR(XLOOKUP(C287,ROS!T:T,ROS!U:U),"")</f>
        <v>0.515151515</v>
      </c>
      <c r="BF287" s="147">
        <f t="array" ref="BF287">XLOOKUP(R287,'Refrence Data'!B:B,'Refrence Data'!T:T)</f>
        <v>0.310145</v>
      </c>
      <c r="BG287" s="95">
        <f t="shared" si="19"/>
        <v>0</v>
      </c>
      <c r="BH287" s="4" t="str">
        <f t="shared" si="20"/>
        <v>TN</v>
      </c>
      <c r="BO287" s="153"/>
      <c r="BP287" s="153" t="str">
        <f t="shared" si="26"/>
        <v>FP</v>
      </c>
      <c r="BQ287" s="153"/>
      <c r="BR287" s="153"/>
      <c r="BS287" s="153"/>
    </row>
    <row r="288">
      <c r="A288" s="171">
        <v>3.046920030007E12</v>
      </c>
      <c r="B288" s="171" t="s">
        <v>3521</v>
      </c>
      <c r="C288" s="137" t="s">
        <v>1264</v>
      </c>
      <c r="D288" s="138" t="s">
        <v>644</v>
      </c>
      <c r="E288" s="139" t="s">
        <v>659</v>
      </c>
      <c r="F288" s="140" t="s">
        <v>3563</v>
      </c>
      <c r="G288" s="141">
        <v>0.0</v>
      </c>
      <c r="H288" s="142">
        <v>9.242697</v>
      </c>
      <c r="I288" s="143" t="s">
        <v>112</v>
      </c>
      <c r="J288" s="83"/>
      <c r="K288" s="174">
        <v>365.0</v>
      </c>
      <c r="R288" s="145" t="str">
        <f t="shared" si="1"/>
        <v>Chocolate Bars &amp; Bags_5-10</v>
      </c>
      <c r="S288" s="146" t="str">
        <f t="shared" si="2"/>
        <v>5-10</v>
      </c>
      <c r="T288" s="95" t="str">
        <f t="array" ref="T288">XLOOKUP(C288,'Depth or Width'!P:P,'Depth or Width'!V:V)</f>
        <v>Depth</v>
      </c>
      <c r="U288" s="93">
        <f t="shared" si="3"/>
        <v>5</v>
      </c>
      <c r="V288" s="147">
        <f t="array" ref="V288">iferror(XLOOKUP(R288,'Refrence Data'!B:B,'Refrence Data'!W:W),"NA")</f>
        <v>15.47511</v>
      </c>
      <c r="W288" s="95">
        <f t="shared" si="4"/>
        <v>100</v>
      </c>
      <c r="Y288" s="148">
        <f t="array" ref="Y288">IFERROR(XLOOKUP(R288,'Refrence Data'!B:B,'Refrence Data'!N:N),"NA")</f>
        <v>0.770669</v>
      </c>
      <c r="Z288" s="95" t="str">
        <f t="shared" si="5"/>
        <v>HIGH</v>
      </c>
      <c r="AA288" s="147">
        <f t="array" ref="AA288">XLOOKUP(R288,'Refrence Data'!B:B,'Refrence Data'!AC:AC)</f>
        <v>6.048674</v>
      </c>
      <c r="AB288" s="147">
        <f t="array" ref="AB288">IFERROR(XLOOKUP(R288,'Refrence Data'!B:B,'Refrence Data'!Y:Y),"NA")</f>
        <v>14.21772</v>
      </c>
      <c r="AC288" s="95" t="str">
        <f t="shared" si="6"/>
        <v>High</v>
      </c>
      <c r="AD288" s="95" t="str">
        <f t="shared" si="7"/>
        <v>Depth</v>
      </c>
      <c r="AE288" s="95" t="str">
        <f t="shared" si="8"/>
        <v>HIGHHighDepth</v>
      </c>
      <c r="AF288" s="95">
        <f t="array" ref="AF288">XLOOKUP(AE288,'Category Saturation'!A:A,'Category Saturation'!E:E)</f>
        <v>0</v>
      </c>
      <c r="AH288" s="148">
        <f t="array" ref="AH288">iferror(XLOOKUP(R288,'New Launch Success Rate'!A:A,'New Launch Success Rate'!F:F),"NA")</f>
        <v>1</v>
      </c>
      <c r="AI288" s="95">
        <f t="shared" si="9"/>
        <v>100</v>
      </c>
      <c r="AK288" s="149">
        <f t="shared" si="10"/>
        <v>70</v>
      </c>
      <c r="AM288" s="150">
        <f t="array" ref="AM288">XLOOKUP(R288,'Non Moving'!C:C,'Non Moving'!I:I)/100</f>
        <v>0.021</v>
      </c>
      <c r="AN288" s="151">
        <f t="shared" si="11"/>
        <v>100</v>
      </c>
      <c r="AO288" s="150">
        <f t="array" ref="AO288">XLOOKUP(R288,'Non Moving'!C:C,'Non Moving'!F:F)/100</f>
        <v>0.081</v>
      </c>
      <c r="AP288" s="151">
        <f t="shared" si="12"/>
        <v>100</v>
      </c>
      <c r="AR288" s="95">
        <f t="shared" si="13"/>
        <v>100</v>
      </c>
      <c r="AT288" s="95">
        <f t="shared" si="14"/>
        <v>100</v>
      </c>
      <c r="AU288" s="95">
        <f t="array" ref="AU288">iferror(XLOOKUP(J288,Monetization!A:A,Monetization!B:B),25)</f>
        <v>25</v>
      </c>
      <c r="AW288" s="95">
        <f t="shared" si="15"/>
        <v>77.5</v>
      </c>
      <c r="AY288" s="149">
        <f t="shared" si="16"/>
        <v>83.5</v>
      </c>
      <c r="AZ288" s="95" t="str">
        <f t="shared" si="17"/>
        <v>75-100</v>
      </c>
      <c r="BA288" s="95" t="str">
        <f t="shared" si="18"/>
        <v>50-75</v>
      </c>
      <c r="BB288" s="152">
        <f t="array" ref="BB288">iferror(XLOOKUP(C288,Sheet9!A:A,Sheet9!D:D),0)</f>
        <v>0.83</v>
      </c>
      <c r="BC288" s="2">
        <v>1.0</v>
      </c>
      <c r="BD288" s="95">
        <f t="array" ref="BD288">XLOOKUP(C288,ROS!C:C,ROS!O:O)</f>
        <v>0.640293</v>
      </c>
      <c r="BE288" s="147">
        <f t="array" ref="BE288">IFERROR(XLOOKUP(C288,ROS!T:T,ROS!U:U),"")</f>
        <v>1.346464646</v>
      </c>
      <c r="BF288" s="147">
        <f t="array" ref="BF288">XLOOKUP(R288,'Refrence Data'!B:B,'Refrence Data'!T:T)</f>
        <v>1.809987</v>
      </c>
      <c r="BG288" s="95">
        <f t="shared" si="19"/>
        <v>0</v>
      </c>
      <c r="BH288" s="4" t="str">
        <f t="shared" si="20"/>
        <v>FP</v>
      </c>
      <c r="BP288" s="153" t="str">
        <f t="shared" si="26"/>
        <v>FP</v>
      </c>
    </row>
    <row r="289">
      <c r="A289" s="171">
        <v>6.772504452244E12</v>
      </c>
      <c r="B289" s="171" t="s">
        <v>3521</v>
      </c>
      <c r="C289" s="137" t="s">
        <v>1222</v>
      </c>
      <c r="D289" s="138" t="s">
        <v>644</v>
      </c>
      <c r="E289" s="139" t="s">
        <v>659</v>
      </c>
      <c r="F289" s="140" t="s">
        <v>3551</v>
      </c>
      <c r="G289" s="141">
        <v>0.0</v>
      </c>
      <c r="H289" s="142">
        <v>13.48934</v>
      </c>
      <c r="I289" s="143" t="s">
        <v>111</v>
      </c>
      <c r="J289" s="83"/>
      <c r="K289" s="174">
        <v>365.0</v>
      </c>
      <c r="R289" s="145" t="str">
        <f t="shared" si="1"/>
        <v>Chocolate Bars &amp; Bags_10-15</v>
      </c>
      <c r="S289" s="146" t="str">
        <f t="shared" si="2"/>
        <v>10-15</v>
      </c>
      <c r="T289" s="95" t="str">
        <f t="array" ref="T289">XLOOKUP(C289,'Depth or Width'!P:P,'Depth or Width'!V:V)</f>
        <v>Depth</v>
      </c>
      <c r="U289" s="93">
        <f t="shared" si="3"/>
        <v>5</v>
      </c>
      <c r="V289" s="147">
        <f t="array" ref="V289">iferror(XLOOKUP(R289,'Refrence Data'!B:B,'Refrence Data'!W:W),"NA")</f>
        <v>7.266665</v>
      </c>
      <c r="W289" s="95">
        <f t="shared" si="4"/>
        <v>100</v>
      </c>
      <c r="Y289" s="148">
        <f t="array" ref="Y289">IFERROR(XLOOKUP(R289,'Refrence Data'!B:B,'Refrence Data'!N:N),"NA")</f>
        <v>0.714491</v>
      </c>
      <c r="Z289" s="95" t="str">
        <f t="shared" si="5"/>
        <v>HIGH</v>
      </c>
      <c r="AA289" s="147">
        <f t="array" ref="AA289">XLOOKUP(R289,'Refrence Data'!B:B,'Refrence Data'!AC:AC)</f>
        <v>6.048674</v>
      </c>
      <c r="AB289" s="147">
        <f t="array" ref="AB289">IFERROR(XLOOKUP(R289,'Refrence Data'!B:B,'Refrence Data'!Y:Y),"NA")</f>
        <v>6.048674</v>
      </c>
      <c r="AC289" s="95" t="str">
        <f t="shared" si="6"/>
        <v>High</v>
      </c>
      <c r="AD289" s="95" t="str">
        <f t="shared" si="7"/>
        <v>Depth</v>
      </c>
      <c r="AE289" s="95" t="str">
        <f t="shared" si="8"/>
        <v>HIGHHighDepth</v>
      </c>
      <c r="AF289" s="95">
        <f t="array" ref="AF289">XLOOKUP(AE289,'Category Saturation'!A:A,'Category Saturation'!E:E)</f>
        <v>0</v>
      </c>
      <c r="AH289" s="148">
        <f t="array" ref="AH289">iferror(XLOOKUP(R289,'New Launch Success Rate'!A:A,'New Launch Success Rate'!F:F),"NA")</f>
        <v>0.667</v>
      </c>
      <c r="AI289" s="95">
        <f t="shared" si="9"/>
        <v>50</v>
      </c>
      <c r="AK289" s="149">
        <f t="shared" si="10"/>
        <v>65</v>
      </c>
      <c r="AM289" s="150">
        <f t="array" ref="AM289">XLOOKUP(R289,'Non Moving'!C:C,'Non Moving'!I:I)/100</f>
        <v>0.044</v>
      </c>
      <c r="AN289" s="151">
        <f t="shared" si="11"/>
        <v>100</v>
      </c>
      <c r="AO289" s="150">
        <f t="array" ref="AO289">XLOOKUP(R289,'Non Moving'!C:C,'Non Moving'!F:F)/100</f>
        <v>0.133</v>
      </c>
      <c r="AP289" s="151">
        <f t="shared" si="12"/>
        <v>100</v>
      </c>
      <c r="AR289" s="95">
        <f t="shared" si="13"/>
        <v>100</v>
      </c>
      <c r="AT289" s="95">
        <f t="shared" si="14"/>
        <v>0</v>
      </c>
      <c r="AU289" s="95">
        <f t="array" ref="AU289">iferror(XLOOKUP(J289,Monetization!A:A,Monetization!B:B),25)</f>
        <v>25</v>
      </c>
      <c r="AW289" s="95">
        <f t="shared" si="15"/>
        <v>7.5</v>
      </c>
      <c r="AY289" s="149">
        <f t="shared" si="16"/>
        <v>67.5</v>
      </c>
      <c r="AZ289" s="95" t="str">
        <f t="shared" si="17"/>
        <v>50-75</v>
      </c>
      <c r="BA289" s="95" t="str">
        <f t="shared" si="18"/>
        <v>50-75</v>
      </c>
      <c r="BB289" s="152">
        <f t="array" ref="BB289">iferror(XLOOKUP(C289,Sheet9!A:A,Sheet9!D:D),0)</f>
        <v>0.99</v>
      </c>
      <c r="BC289" s="2">
        <v>1.0</v>
      </c>
      <c r="BD289" s="95">
        <f t="array" ref="BD289">XLOOKUP(C289,ROS!C:C,ROS!O:O)</f>
        <v>0</v>
      </c>
      <c r="BE289" s="147">
        <f t="array" ref="BE289">IFERROR(XLOOKUP(C289,ROS!T:T,ROS!U:U),"")</f>
        <v>0.153846154</v>
      </c>
      <c r="BF289" s="147">
        <f t="array" ref="BF289">XLOOKUP(R289,'Refrence Data'!B:B,'Refrence Data'!T:T)</f>
        <v>1.380407</v>
      </c>
      <c r="BG289" s="95">
        <f t="shared" si="19"/>
        <v>0</v>
      </c>
      <c r="BH289" s="4" t="str">
        <f t="shared" si="20"/>
        <v>FP</v>
      </c>
      <c r="BO289" s="153"/>
      <c r="BP289" s="153" t="str">
        <f t="shared" si="26"/>
        <v>FP</v>
      </c>
      <c r="BQ289" s="153"/>
      <c r="BR289" s="153"/>
      <c r="BS289" s="153"/>
    </row>
    <row r="290">
      <c r="A290" s="171">
        <v>9.34107000376E12</v>
      </c>
      <c r="B290" s="171" t="s">
        <v>3521</v>
      </c>
      <c r="C290" s="137" t="s">
        <v>1236</v>
      </c>
      <c r="D290" s="138" t="s">
        <v>644</v>
      </c>
      <c r="E290" s="139" t="s">
        <v>652</v>
      </c>
      <c r="F290" s="140" t="s">
        <v>3607</v>
      </c>
      <c r="G290" s="141">
        <v>0.0</v>
      </c>
      <c r="H290" s="142">
        <v>18.48539</v>
      </c>
      <c r="I290" s="143" t="s">
        <v>111</v>
      </c>
      <c r="J290" s="83"/>
      <c r="K290" s="174">
        <v>180.0</v>
      </c>
      <c r="R290" s="145" t="str">
        <f t="shared" si="1"/>
        <v>Biscuits &amp; Cookies_15-20</v>
      </c>
      <c r="S290" s="146" t="str">
        <f t="shared" si="2"/>
        <v>15-20</v>
      </c>
      <c r="T290" s="95" t="str">
        <f t="array" ref="T290">XLOOKUP(C290,'Depth or Width'!P:P,'Depth or Width'!V:V)</f>
        <v>Width</v>
      </c>
      <c r="U290" s="93">
        <f t="shared" si="3"/>
        <v>5</v>
      </c>
      <c r="V290" s="147">
        <f t="array" ref="V290">iferror(XLOOKUP(R290,'Refrence Data'!B:B,'Refrence Data'!W:W),"NA")</f>
        <v>3.590476</v>
      </c>
      <c r="W290" s="95">
        <f t="shared" si="4"/>
        <v>50</v>
      </c>
      <c r="Y290" s="148">
        <f t="array" ref="Y290">IFERROR(XLOOKUP(R290,'Refrence Data'!B:B,'Refrence Data'!N:N),"NA")</f>
        <v>0.708171</v>
      </c>
      <c r="Z290" s="95" t="str">
        <f t="shared" si="5"/>
        <v>HIGH</v>
      </c>
      <c r="AA290" s="147">
        <f t="array" ref="AA290">XLOOKUP(R290,'Refrence Data'!B:B,'Refrence Data'!AC:AC)</f>
        <v>3.91889</v>
      </c>
      <c r="AB290" s="147">
        <f t="array" ref="AB290">IFERROR(XLOOKUP(R290,'Refrence Data'!B:B,'Refrence Data'!Y:Y),"NA")</f>
        <v>3.91889</v>
      </c>
      <c r="AC290" s="95" t="str">
        <f t="shared" si="6"/>
        <v>High</v>
      </c>
      <c r="AD290" s="95" t="str">
        <f t="shared" si="7"/>
        <v>Width</v>
      </c>
      <c r="AE290" s="95" t="str">
        <f t="shared" si="8"/>
        <v>HIGHHighWidth</v>
      </c>
      <c r="AF290" s="95">
        <f t="array" ref="AF290">XLOOKUP(AE290,'Category Saturation'!A:A,'Category Saturation'!E:E)</f>
        <v>25</v>
      </c>
      <c r="AH290" s="148">
        <f t="array" ref="AH290">iferror(XLOOKUP(R290,'New Launch Success Rate'!A:A,'New Launch Success Rate'!F:F),"NA")</f>
        <v>0.6</v>
      </c>
      <c r="AI290" s="95">
        <f t="shared" si="9"/>
        <v>50</v>
      </c>
      <c r="AK290" s="149">
        <f t="shared" si="10"/>
        <v>42.5</v>
      </c>
      <c r="AM290" s="150">
        <f t="array" ref="AM290">XLOOKUP(R290,'Non Moving'!C:C,'Non Moving'!I:I)/100</f>
        <v>0.071</v>
      </c>
      <c r="AN290" s="151">
        <f t="shared" si="11"/>
        <v>100</v>
      </c>
      <c r="AO290" s="150">
        <f t="array" ref="AO290">XLOOKUP(R290,'Non Moving'!C:C,'Non Moving'!F:F)/100</f>
        <v>0.181</v>
      </c>
      <c r="AP290" s="151">
        <f t="shared" si="12"/>
        <v>100</v>
      </c>
      <c r="AR290" s="95">
        <f t="shared" si="13"/>
        <v>100</v>
      </c>
      <c r="AT290" s="95">
        <f t="shared" si="14"/>
        <v>0</v>
      </c>
      <c r="AU290" s="95">
        <f t="array" ref="AU290">iferror(XLOOKUP(J290,Monetization!A:A,Monetization!B:B),25)</f>
        <v>25</v>
      </c>
      <c r="AW290" s="95">
        <f t="shared" si="15"/>
        <v>7.5</v>
      </c>
      <c r="AY290" s="149">
        <f t="shared" si="16"/>
        <v>58.5</v>
      </c>
      <c r="AZ290" s="95" t="str">
        <f t="shared" si="17"/>
        <v>50-75</v>
      </c>
      <c r="BA290" s="95" t="str">
        <f t="shared" si="18"/>
        <v>25-50</v>
      </c>
      <c r="BB290" s="152">
        <f t="array" ref="BB290">iferror(XLOOKUP(C290,Sheet9!A:A,Sheet9!D:D),0)</f>
        <v>1</v>
      </c>
      <c r="BC290" s="2">
        <v>1.0</v>
      </c>
      <c r="BD290" s="95">
        <f t="array" ref="BD290">XLOOKUP(C290,ROS!C:C,ROS!O:O)</f>
        <v>0</v>
      </c>
      <c r="BE290" s="147">
        <f t="array" ref="BE290">IFERROR(XLOOKUP(C290,ROS!T:T,ROS!U:U),"")</f>
        <v>0</v>
      </c>
      <c r="BF290" s="147">
        <f t="array" ref="BF290">XLOOKUP(R290,'Refrence Data'!B:B,'Refrence Data'!T:T)</f>
        <v>0.2</v>
      </c>
      <c r="BG290" s="95">
        <f t="shared" si="19"/>
        <v>0</v>
      </c>
      <c r="BH290" s="4" t="str">
        <f t="shared" si="20"/>
        <v>TN</v>
      </c>
      <c r="BO290" s="153"/>
      <c r="BP290" s="153" t="str">
        <f t="shared" si="26"/>
        <v>FP</v>
      </c>
      <c r="BQ290" s="153"/>
      <c r="BR290" s="153"/>
      <c r="BS290" s="153"/>
    </row>
    <row r="291">
      <c r="A291" s="171">
        <v>9.3410700004E12</v>
      </c>
      <c r="B291" s="171" t="s">
        <v>3521</v>
      </c>
      <c r="C291" s="137" t="s">
        <v>1241</v>
      </c>
      <c r="D291" s="138" t="s">
        <v>644</v>
      </c>
      <c r="E291" s="139" t="s">
        <v>652</v>
      </c>
      <c r="F291" s="140" t="s">
        <v>3607</v>
      </c>
      <c r="G291" s="141">
        <v>0.0</v>
      </c>
      <c r="H291" s="142">
        <v>17.73599</v>
      </c>
      <c r="I291" s="143" t="s">
        <v>111</v>
      </c>
      <c r="J291" s="83"/>
      <c r="K291" s="174">
        <v>180.0</v>
      </c>
      <c r="R291" s="145" t="str">
        <f t="shared" si="1"/>
        <v>Biscuits &amp; Cookies_15-20</v>
      </c>
      <c r="S291" s="146" t="str">
        <f t="shared" si="2"/>
        <v>15-20</v>
      </c>
      <c r="T291" s="95" t="str">
        <f t="array" ref="T291">XLOOKUP(C291,'Depth or Width'!P:P,'Depth or Width'!V:V)</f>
        <v>Width</v>
      </c>
      <c r="U291" s="93">
        <f t="shared" si="3"/>
        <v>5</v>
      </c>
      <c r="V291" s="147">
        <f t="array" ref="V291">iferror(XLOOKUP(R291,'Refrence Data'!B:B,'Refrence Data'!W:W),"NA")</f>
        <v>3.590476</v>
      </c>
      <c r="W291" s="95">
        <f t="shared" si="4"/>
        <v>50</v>
      </c>
      <c r="Y291" s="148">
        <f t="array" ref="Y291">IFERROR(XLOOKUP(R291,'Refrence Data'!B:B,'Refrence Data'!N:N),"NA")</f>
        <v>0.708171</v>
      </c>
      <c r="Z291" s="95" t="str">
        <f t="shared" si="5"/>
        <v>HIGH</v>
      </c>
      <c r="AA291" s="147">
        <f t="array" ref="AA291">XLOOKUP(R291,'Refrence Data'!B:B,'Refrence Data'!AC:AC)</f>
        <v>3.91889</v>
      </c>
      <c r="AB291" s="147">
        <f t="array" ref="AB291">IFERROR(XLOOKUP(R291,'Refrence Data'!B:B,'Refrence Data'!Y:Y),"NA")</f>
        <v>3.91889</v>
      </c>
      <c r="AC291" s="95" t="str">
        <f t="shared" si="6"/>
        <v>High</v>
      </c>
      <c r="AD291" s="95" t="str">
        <f t="shared" si="7"/>
        <v>Width</v>
      </c>
      <c r="AE291" s="95" t="str">
        <f t="shared" si="8"/>
        <v>HIGHHighWidth</v>
      </c>
      <c r="AF291" s="95">
        <f t="array" ref="AF291">XLOOKUP(AE291,'Category Saturation'!A:A,'Category Saturation'!E:E)</f>
        <v>25</v>
      </c>
      <c r="AH291" s="148">
        <f t="array" ref="AH291">iferror(XLOOKUP(R291,'New Launch Success Rate'!A:A,'New Launch Success Rate'!F:F),"NA")</f>
        <v>0.6</v>
      </c>
      <c r="AI291" s="95">
        <f t="shared" si="9"/>
        <v>50</v>
      </c>
      <c r="AK291" s="149">
        <f t="shared" si="10"/>
        <v>42.5</v>
      </c>
      <c r="AM291" s="150">
        <f t="array" ref="AM291">XLOOKUP(R291,'Non Moving'!C:C,'Non Moving'!I:I)/100</f>
        <v>0.071</v>
      </c>
      <c r="AN291" s="151">
        <f t="shared" si="11"/>
        <v>100</v>
      </c>
      <c r="AO291" s="150">
        <f t="array" ref="AO291">XLOOKUP(R291,'Non Moving'!C:C,'Non Moving'!F:F)/100</f>
        <v>0.181</v>
      </c>
      <c r="AP291" s="151">
        <f t="shared" si="12"/>
        <v>100</v>
      </c>
      <c r="AR291" s="95">
        <f t="shared" si="13"/>
        <v>100</v>
      </c>
      <c r="AT291" s="95">
        <f t="shared" si="14"/>
        <v>0</v>
      </c>
      <c r="AU291" s="95">
        <f t="array" ref="AU291">iferror(XLOOKUP(J291,Monetization!A:A,Monetization!B:B),25)</f>
        <v>25</v>
      </c>
      <c r="AW291" s="95">
        <f t="shared" si="15"/>
        <v>7.5</v>
      </c>
      <c r="AY291" s="149">
        <f t="shared" si="16"/>
        <v>58.5</v>
      </c>
      <c r="AZ291" s="95" t="str">
        <f t="shared" si="17"/>
        <v>50-75</v>
      </c>
      <c r="BA291" s="95" t="str">
        <f t="shared" si="18"/>
        <v>25-50</v>
      </c>
      <c r="BB291" s="152">
        <f t="array" ref="BB291">iferror(XLOOKUP(C291,Sheet9!A:A,Sheet9!D:D),0)</f>
        <v>0.76</v>
      </c>
      <c r="BC291" s="2">
        <v>1.0</v>
      </c>
      <c r="BD291" s="95">
        <f t="array" ref="BD291">XLOOKUP(C291,ROS!C:C,ROS!O:O)</f>
        <v>0.222222</v>
      </c>
      <c r="BE291" s="147">
        <f>BD291</f>
        <v>0.222222</v>
      </c>
      <c r="BF291" s="147">
        <f t="array" ref="BF291">XLOOKUP(R291,'Refrence Data'!B:B,'Refrence Data'!T:T)</f>
        <v>0.2</v>
      </c>
      <c r="BG291" s="95">
        <f t="shared" si="19"/>
        <v>0</v>
      </c>
      <c r="BH291" s="4" t="str">
        <f t="shared" si="20"/>
        <v>TN</v>
      </c>
      <c r="BO291" s="153"/>
      <c r="BP291" s="153" t="str">
        <f t="shared" si="26"/>
        <v>FP</v>
      </c>
      <c r="BQ291" s="153"/>
      <c r="BR291" s="153"/>
      <c r="BS291" s="153"/>
    </row>
    <row r="292">
      <c r="A292" s="171">
        <v>8.684704660276E12</v>
      </c>
      <c r="B292" s="171" t="s">
        <v>3521</v>
      </c>
      <c r="C292" s="137" t="s">
        <v>1259</v>
      </c>
      <c r="D292" s="138" t="s">
        <v>644</v>
      </c>
      <c r="E292" s="139" t="s">
        <v>1261</v>
      </c>
      <c r="F292" s="140" t="s">
        <v>3608</v>
      </c>
      <c r="G292" s="141">
        <v>15.0</v>
      </c>
      <c r="H292" s="142">
        <v>19.95341</v>
      </c>
      <c r="I292" s="143" t="s">
        <v>111</v>
      </c>
      <c r="J292" s="83"/>
      <c r="K292" s="174">
        <v>730.0</v>
      </c>
      <c r="R292" s="145" t="str">
        <f t="shared" si="1"/>
        <v>Dates &amp; Dried Fruits_15-20</v>
      </c>
      <c r="S292" s="146" t="str">
        <f t="shared" si="2"/>
        <v>15-20</v>
      </c>
      <c r="T292" s="95" t="str">
        <f t="array" ref="T292">XLOOKUP(C292,'Depth or Width'!P:P,'Depth or Width'!V:V)</f>
        <v>Width</v>
      </c>
      <c r="U292" s="93">
        <f t="shared" si="3"/>
        <v>5</v>
      </c>
      <c r="V292" s="147">
        <f t="array" ref="V292">iferror(XLOOKUP(R292,'Refrence Data'!B:B,'Refrence Data'!W:W),"NA")</f>
        <v>5.154525</v>
      </c>
      <c r="W292" s="95">
        <f t="shared" si="4"/>
        <v>100</v>
      </c>
      <c r="Y292" s="148">
        <f t="array" ref="Y292">IFERROR(XLOOKUP(R292,'Refrence Data'!B:B,'Refrence Data'!N:N),"NA")</f>
        <v>0.712753</v>
      </c>
      <c r="Z292" s="95" t="str">
        <f t="shared" si="5"/>
        <v>HIGH</v>
      </c>
      <c r="AA292" s="147">
        <f t="array" ref="AA292">XLOOKUP(R292,'Refrence Data'!B:B,'Refrence Data'!AC:AC)</f>
        <v>2.493009</v>
      </c>
      <c r="AB292" s="147">
        <f t="array" ref="AB292">IFERROR(XLOOKUP(R292,'Refrence Data'!B:B,'Refrence Data'!Y:Y),"NA")</f>
        <v>8.272066</v>
      </c>
      <c r="AC292" s="95" t="str">
        <f t="shared" si="6"/>
        <v>High</v>
      </c>
      <c r="AD292" s="95" t="str">
        <f t="shared" si="7"/>
        <v>Width</v>
      </c>
      <c r="AE292" s="95" t="str">
        <f t="shared" si="8"/>
        <v>HIGHHighWidth</v>
      </c>
      <c r="AF292" s="95">
        <f t="array" ref="AF292">XLOOKUP(AE292,'Category Saturation'!A:A,'Category Saturation'!E:E)</f>
        <v>25</v>
      </c>
      <c r="AH292" s="148">
        <f t="array" ref="AH292">iferror(XLOOKUP(R292,'New Launch Success Rate'!A:A,'New Launch Success Rate'!F:F),"NA")</f>
        <v>0.45</v>
      </c>
      <c r="AI292" s="95">
        <f t="shared" si="9"/>
        <v>25</v>
      </c>
      <c r="AK292" s="149">
        <f t="shared" si="10"/>
        <v>70</v>
      </c>
      <c r="AM292" s="150">
        <f t="array" ref="AM292">XLOOKUP(R292,'Non Moving'!C:C,'Non Moving'!I:I)/100</f>
        <v>0.012</v>
      </c>
      <c r="AN292" s="151">
        <f t="shared" si="11"/>
        <v>100</v>
      </c>
      <c r="AO292" s="150">
        <f t="array" ref="AO292">XLOOKUP(R292,'Non Moving'!C:C,'Non Moving'!F:F)/100</f>
        <v>0.06</v>
      </c>
      <c r="AP292" s="151">
        <f t="shared" si="12"/>
        <v>100</v>
      </c>
      <c r="AR292" s="95">
        <f t="shared" si="13"/>
        <v>100</v>
      </c>
      <c r="AT292" s="95">
        <f t="shared" si="14"/>
        <v>0</v>
      </c>
      <c r="AU292" s="95">
        <f t="array" ref="AU292">iferror(XLOOKUP(J292,Monetization!A:A,Monetization!B:B),25)</f>
        <v>25</v>
      </c>
      <c r="AW292" s="95">
        <f t="shared" si="15"/>
        <v>7.5</v>
      </c>
      <c r="AY292" s="149">
        <f t="shared" si="16"/>
        <v>69.5</v>
      </c>
      <c r="AZ292" s="95" t="str">
        <f t="shared" si="17"/>
        <v>50-75</v>
      </c>
      <c r="BA292" s="95" t="str">
        <f t="shared" si="18"/>
        <v>50-75</v>
      </c>
      <c r="BB292" s="152">
        <f t="array" ref="BB292">iferror(XLOOKUP(C292,Sheet9!A:A,Sheet9!D:D),0)</f>
        <v>0.96</v>
      </c>
      <c r="BC292" s="2">
        <v>1.0</v>
      </c>
      <c r="BD292" s="95">
        <f t="array" ref="BD292">XLOOKUP(C292,ROS!C:C,ROS!O:O)</f>
        <v>0</v>
      </c>
      <c r="BE292" s="147">
        <f t="array" ref="BE292">IFERROR(XLOOKUP(C292,ROS!T:T,ROS!U:U),"")</f>
        <v>0.2</v>
      </c>
      <c r="BF292" s="147">
        <f t="array" ref="BF292">XLOOKUP(R292,'Refrence Data'!B:B,'Refrence Data'!T:T)</f>
        <v>1.701537</v>
      </c>
      <c r="BG292" s="95">
        <f t="shared" si="19"/>
        <v>0</v>
      </c>
      <c r="BH292" s="4" t="str">
        <f t="shared" si="20"/>
        <v>FP</v>
      </c>
      <c r="BP292" s="153" t="str">
        <f t="shared" si="26"/>
        <v>FP</v>
      </c>
      <c r="BQ292" s="153"/>
      <c r="BR292" s="153"/>
      <c r="BS292" s="153"/>
    </row>
    <row r="293">
      <c r="A293" s="171">
        <v>6.221073008135E12</v>
      </c>
      <c r="B293" s="171" t="s">
        <v>3521</v>
      </c>
      <c r="C293" s="137" t="s">
        <v>1269</v>
      </c>
      <c r="D293" s="138" t="s">
        <v>644</v>
      </c>
      <c r="E293" s="139" t="s">
        <v>652</v>
      </c>
      <c r="F293" s="140" t="s">
        <v>3551</v>
      </c>
      <c r="G293" s="141">
        <v>0.0</v>
      </c>
      <c r="H293" s="142">
        <v>2.737688</v>
      </c>
      <c r="I293" s="143" t="s">
        <v>111</v>
      </c>
      <c r="J293" s="83"/>
      <c r="K293" s="174">
        <v>365.0</v>
      </c>
      <c r="R293" s="145" t="str">
        <f t="shared" si="1"/>
        <v>Biscuits &amp; Cookies_0-5</v>
      </c>
      <c r="S293" s="146" t="str">
        <f t="shared" si="2"/>
        <v>0-5</v>
      </c>
      <c r="T293" s="95" t="str">
        <f t="array" ref="T293">XLOOKUP(C293,'Depth or Width'!P:P,'Depth or Width'!V:V)</f>
        <v>Width</v>
      </c>
      <c r="U293" s="93">
        <f t="shared" si="3"/>
        <v>5</v>
      </c>
      <c r="V293" s="147">
        <f t="array" ref="V293">iferror(XLOOKUP(R293,'Refrence Data'!B:B,'Refrence Data'!W:W),"NA")</f>
        <v>25.6994</v>
      </c>
      <c r="W293" s="95">
        <f t="shared" si="4"/>
        <v>100</v>
      </c>
      <c r="Y293" s="148">
        <f t="array" ref="Y293">IFERROR(XLOOKUP(R293,'Refrence Data'!B:B,'Refrence Data'!N:N),"NA")</f>
        <v>0.703525</v>
      </c>
      <c r="Z293" s="95" t="str">
        <f t="shared" si="5"/>
        <v>HIGH</v>
      </c>
      <c r="AA293" s="147">
        <f t="array" ref="AA293">XLOOKUP(R293,'Refrence Data'!B:B,'Refrence Data'!AC:AC)</f>
        <v>3.91889</v>
      </c>
      <c r="AB293" s="147">
        <f t="array" ref="AB293">IFERROR(XLOOKUP(R293,'Refrence Data'!B:B,'Refrence Data'!Y:Y),"NA")</f>
        <v>18.30298</v>
      </c>
      <c r="AC293" s="95" t="str">
        <f t="shared" si="6"/>
        <v>High</v>
      </c>
      <c r="AD293" s="95" t="str">
        <f t="shared" si="7"/>
        <v>Width</v>
      </c>
      <c r="AE293" s="95" t="str">
        <f t="shared" si="8"/>
        <v>HIGHHighWidth</v>
      </c>
      <c r="AF293" s="95">
        <f t="array" ref="AF293">XLOOKUP(AE293,'Category Saturation'!A:A,'Category Saturation'!E:E)</f>
        <v>25</v>
      </c>
      <c r="AH293" s="148">
        <f t="array" ref="AH293">iferror(XLOOKUP(R293,'New Launch Success Rate'!A:A,'New Launch Success Rate'!F:F),"NA")</f>
        <v>0.43725</v>
      </c>
      <c r="AI293" s="95">
        <f t="shared" si="9"/>
        <v>25</v>
      </c>
      <c r="AK293" s="149">
        <f t="shared" si="10"/>
        <v>70</v>
      </c>
      <c r="AM293" s="150">
        <f t="array" ref="AM293">XLOOKUP(R293,'Non Moving'!C:C,'Non Moving'!I:I)/100</f>
        <v>0.008</v>
      </c>
      <c r="AN293" s="151">
        <f t="shared" si="11"/>
        <v>100</v>
      </c>
      <c r="AO293" s="150">
        <f t="array" ref="AO293">XLOOKUP(R293,'Non Moving'!C:C,'Non Moving'!F:F)/100</f>
        <v>0.066</v>
      </c>
      <c r="AP293" s="151">
        <f t="shared" si="12"/>
        <v>100</v>
      </c>
      <c r="AR293" s="95">
        <f t="shared" si="13"/>
        <v>100</v>
      </c>
      <c r="AT293" s="95">
        <f t="shared" si="14"/>
        <v>0</v>
      </c>
      <c r="AU293" s="95">
        <f t="array" ref="AU293">iferror(XLOOKUP(J293,Monetization!A:A,Monetization!B:B),25)</f>
        <v>25</v>
      </c>
      <c r="AW293" s="95">
        <f t="shared" si="15"/>
        <v>7.5</v>
      </c>
      <c r="AY293" s="149">
        <f t="shared" si="16"/>
        <v>69.5</v>
      </c>
      <c r="AZ293" s="95" t="str">
        <f t="shared" si="17"/>
        <v>50-75</v>
      </c>
      <c r="BA293" s="95" t="str">
        <f t="shared" si="18"/>
        <v>50-75</v>
      </c>
      <c r="BB293" s="152">
        <f t="array" ref="BB293">iferror(XLOOKUP(C293,Sheet9!A:A,Sheet9!D:D),0)</f>
        <v>0.79</v>
      </c>
      <c r="BC293" s="2">
        <v>1.0</v>
      </c>
      <c r="BD293" s="95">
        <f t="array" ref="BD293">XLOOKUP(C293,ROS!C:C,ROS!O:O)</f>
        <v>0.142857</v>
      </c>
      <c r="BE293" s="147">
        <f t="array" ref="BE293">IFERROR(XLOOKUP(C293,ROS!T:T,ROS!U:U),"")</f>
        <v>10.48906649</v>
      </c>
      <c r="BF293" s="147">
        <f t="array" ref="BF293">XLOOKUP(R293,'Refrence Data'!B:B,'Refrence Data'!T:T)</f>
        <v>7.349738</v>
      </c>
      <c r="BG293" s="95">
        <f t="shared" si="19"/>
        <v>1</v>
      </c>
      <c r="BH293" s="4" t="str">
        <f t="shared" si="20"/>
        <v>TP</v>
      </c>
      <c r="BP293" s="153" t="str">
        <f t="shared" si="26"/>
        <v>TP</v>
      </c>
    </row>
    <row r="294">
      <c r="A294" s="171">
        <v>6.221073008104E12</v>
      </c>
      <c r="B294" s="171" t="s">
        <v>3521</v>
      </c>
      <c r="C294" s="137" t="s">
        <v>1270</v>
      </c>
      <c r="D294" s="138" t="s">
        <v>644</v>
      </c>
      <c r="E294" s="139" t="s">
        <v>652</v>
      </c>
      <c r="F294" s="140" t="s">
        <v>3551</v>
      </c>
      <c r="G294" s="141">
        <v>0.0</v>
      </c>
      <c r="H294" s="142">
        <v>2.780344</v>
      </c>
      <c r="I294" s="143" t="s">
        <v>111</v>
      </c>
      <c r="J294" s="83"/>
      <c r="K294" s="174">
        <v>365.0</v>
      </c>
      <c r="R294" s="145" t="str">
        <f t="shared" si="1"/>
        <v>Biscuits &amp; Cookies_0-5</v>
      </c>
      <c r="S294" s="146" t="str">
        <f t="shared" si="2"/>
        <v>0-5</v>
      </c>
      <c r="T294" s="95" t="str">
        <f t="array" ref="T294">XLOOKUP(C294,'Depth or Width'!P:P,'Depth or Width'!V:V)</f>
        <v>Width</v>
      </c>
      <c r="U294" s="93">
        <f t="shared" si="3"/>
        <v>5</v>
      </c>
      <c r="V294" s="147">
        <f t="array" ref="V294">iferror(XLOOKUP(R294,'Refrence Data'!B:B,'Refrence Data'!W:W),"NA")</f>
        <v>25.6994</v>
      </c>
      <c r="W294" s="95">
        <f t="shared" si="4"/>
        <v>100</v>
      </c>
      <c r="Y294" s="148">
        <f t="array" ref="Y294">IFERROR(XLOOKUP(R294,'Refrence Data'!B:B,'Refrence Data'!N:N),"NA")</f>
        <v>0.703525</v>
      </c>
      <c r="Z294" s="95" t="str">
        <f t="shared" si="5"/>
        <v>HIGH</v>
      </c>
      <c r="AA294" s="147">
        <f t="array" ref="AA294">XLOOKUP(R294,'Refrence Data'!B:B,'Refrence Data'!AC:AC)</f>
        <v>3.91889</v>
      </c>
      <c r="AB294" s="147">
        <f t="array" ref="AB294">IFERROR(XLOOKUP(R294,'Refrence Data'!B:B,'Refrence Data'!Y:Y),"NA")</f>
        <v>18.30298</v>
      </c>
      <c r="AC294" s="95" t="str">
        <f t="shared" si="6"/>
        <v>High</v>
      </c>
      <c r="AD294" s="95" t="str">
        <f t="shared" si="7"/>
        <v>Width</v>
      </c>
      <c r="AE294" s="95" t="str">
        <f t="shared" si="8"/>
        <v>HIGHHighWidth</v>
      </c>
      <c r="AF294" s="95">
        <f t="array" ref="AF294">XLOOKUP(AE294,'Category Saturation'!A:A,'Category Saturation'!E:E)</f>
        <v>25</v>
      </c>
      <c r="AH294" s="148">
        <f t="array" ref="AH294">iferror(XLOOKUP(R294,'New Launch Success Rate'!A:A,'New Launch Success Rate'!F:F),"NA")</f>
        <v>0.43725</v>
      </c>
      <c r="AI294" s="95">
        <f t="shared" si="9"/>
        <v>25</v>
      </c>
      <c r="AK294" s="149">
        <f t="shared" si="10"/>
        <v>70</v>
      </c>
      <c r="AM294" s="150">
        <f t="array" ref="AM294">XLOOKUP(R294,'Non Moving'!C:C,'Non Moving'!I:I)/100</f>
        <v>0.008</v>
      </c>
      <c r="AN294" s="151">
        <f t="shared" si="11"/>
        <v>100</v>
      </c>
      <c r="AO294" s="150">
        <f t="array" ref="AO294">XLOOKUP(R294,'Non Moving'!C:C,'Non Moving'!F:F)/100</f>
        <v>0.066</v>
      </c>
      <c r="AP294" s="151">
        <f t="shared" si="12"/>
        <v>100</v>
      </c>
      <c r="AR294" s="95">
        <f t="shared" si="13"/>
        <v>100</v>
      </c>
      <c r="AT294" s="95">
        <f t="shared" si="14"/>
        <v>0</v>
      </c>
      <c r="AU294" s="95">
        <f t="array" ref="AU294">iferror(XLOOKUP(J294,Monetization!A:A,Monetization!B:B),25)</f>
        <v>25</v>
      </c>
      <c r="AW294" s="95">
        <f t="shared" si="15"/>
        <v>7.5</v>
      </c>
      <c r="AY294" s="149">
        <f t="shared" si="16"/>
        <v>69.5</v>
      </c>
      <c r="AZ294" s="95" t="str">
        <f t="shared" si="17"/>
        <v>50-75</v>
      </c>
      <c r="BA294" s="95" t="str">
        <f t="shared" si="18"/>
        <v>50-75</v>
      </c>
      <c r="BB294" s="152">
        <f t="array" ref="BB294">iferror(XLOOKUP(C294,Sheet9!A:A,Sheet9!D:D),0)</f>
        <v>0.82</v>
      </c>
      <c r="BC294" s="2">
        <v>1.0</v>
      </c>
      <c r="BD294" s="95">
        <f t="array" ref="BD294">XLOOKUP(C294,ROS!C:C,ROS!O:O)</f>
        <v>16.08351</v>
      </c>
      <c r="BE294" s="147">
        <f t="array" ref="BE294">IFERROR(XLOOKUP(C294,ROS!T:T,ROS!U:U),"")</f>
        <v>12.03830891</v>
      </c>
      <c r="BF294" s="147">
        <f t="array" ref="BF294">XLOOKUP(R294,'Refrence Data'!B:B,'Refrence Data'!T:T)</f>
        <v>7.349738</v>
      </c>
      <c r="BG294" s="95">
        <f t="shared" si="19"/>
        <v>1</v>
      </c>
      <c r="BH294" s="4" t="str">
        <f t="shared" si="20"/>
        <v>TP</v>
      </c>
      <c r="BP294" s="153" t="str">
        <f t="shared" si="26"/>
        <v>TP</v>
      </c>
    </row>
    <row r="295">
      <c r="A295" s="171">
        <v>6.221073008043E12</v>
      </c>
      <c r="B295" s="171" t="s">
        <v>3521</v>
      </c>
      <c r="C295" s="137" t="s">
        <v>1271</v>
      </c>
      <c r="D295" s="138" t="s">
        <v>644</v>
      </c>
      <c r="E295" s="139" t="s">
        <v>652</v>
      </c>
      <c r="F295" s="140" t="s">
        <v>3551</v>
      </c>
      <c r="G295" s="141">
        <v>144.0</v>
      </c>
      <c r="H295" s="142">
        <v>1.848388</v>
      </c>
      <c r="I295" s="143" t="s">
        <v>111</v>
      </c>
      <c r="J295" s="83"/>
      <c r="K295" s="174">
        <v>365.0</v>
      </c>
      <c r="R295" s="145" t="str">
        <f t="shared" si="1"/>
        <v>Biscuits &amp; Cookies_0-5</v>
      </c>
      <c r="S295" s="146" t="str">
        <f t="shared" si="2"/>
        <v>0-5</v>
      </c>
      <c r="T295" s="95" t="str">
        <f t="array" ref="T295">XLOOKUP(C295,'Depth or Width'!P:P,'Depth or Width'!V:V)</f>
        <v>Width</v>
      </c>
      <c r="U295" s="93">
        <f t="shared" si="3"/>
        <v>5</v>
      </c>
      <c r="V295" s="147">
        <f t="array" ref="V295">iferror(XLOOKUP(R295,'Refrence Data'!B:B,'Refrence Data'!W:W),"NA")</f>
        <v>25.6994</v>
      </c>
      <c r="W295" s="95">
        <f t="shared" si="4"/>
        <v>100</v>
      </c>
      <c r="Y295" s="148">
        <f t="array" ref="Y295">IFERROR(XLOOKUP(R295,'Refrence Data'!B:B,'Refrence Data'!N:N),"NA")</f>
        <v>0.703525</v>
      </c>
      <c r="Z295" s="95" t="str">
        <f t="shared" si="5"/>
        <v>HIGH</v>
      </c>
      <c r="AA295" s="147">
        <f t="array" ref="AA295">XLOOKUP(R295,'Refrence Data'!B:B,'Refrence Data'!AC:AC)</f>
        <v>3.91889</v>
      </c>
      <c r="AB295" s="147">
        <f t="array" ref="AB295">IFERROR(XLOOKUP(R295,'Refrence Data'!B:B,'Refrence Data'!Y:Y),"NA")</f>
        <v>18.30298</v>
      </c>
      <c r="AC295" s="95" t="str">
        <f t="shared" si="6"/>
        <v>High</v>
      </c>
      <c r="AD295" s="95" t="str">
        <f t="shared" si="7"/>
        <v>Width</v>
      </c>
      <c r="AE295" s="95" t="str">
        <f t="shared" si="8"/>
        <v>HIGHHighWidth</v>
      </c>
      <c r="AF295" s="95">
        <f t="array" ref="AF295">XLOOKUP(AE295,'Category Saturation'!A:A,'Category Saturation'!E:E)</f>
        <v>25</v>
      </c>
      <c r="AH295" s="148">
        <f t="array" ref="AH295">iferror(XLOOKUP(R295,'New Launch Success Rate'!A:A,'New Launch Success Rate'!F:F),"NA")</f>
        <v>0.43725</v>
      </c>
      <c r="AI295" s="95">
        <f t="shared" si="9"/>
        <v>25</v>
      </c>
      <c r="AK295" s="149">
        <f t="shared" si="10"/>
        <v>70</v>
      </c>
      <c r="AM295" s="150">
        <f t="array" ref="AM295">XLOOKUP(R295,'Non Moving'!C:C,'Non Moving'!I:I)/100</f>
        <v>0.008</v>
      </c>
      <c r="AN295" s="151">
        <f t="shared" si="11"/>
        <v>100</v>
      </c>
      <c r="AO295" s="150">
        <f t="array" ref="AO295">XLOOKUP(R295,'Non Moving'!C:C,'Non Moving'!F:F)/100</f>
        <v>0.066</v>
      </c>
      <c r="AP295" s="151">
        <f t="shared" si="12"/>
        <v>100</v>
      </c>
      <c r="AR295" s="95">
        <f t="shared" si="13"/>
        <v>100</v>
      </c>
      <c r="AT295" s="95">
        <f t="shared" si="14"/>
        <v>0</v>
      </c>
      <c r="AU295" s="95">
        <f t="array" ref="AU295">iferror(XLOOKUP(J295,Monetization!A:A,Monetization!B:B),25)</f>
        <v>25</v>
      </c>
      <c r="AW295" s="95">
        <f t="shared" si="15"/>
        <v>7.5</v>
      </c>
      <c r="AY295" s="149">
        <f t="shared" si="16"/>
        <v>69.5</v>
      </c>
      <c r="AZ295" s="95" t="str">
        <f t="shared" si="17"/>
        <v>50-75</v>
      </c>
      <c r="BA295" s="95" t="str">
        <f t="shared" si="18"/>
        <v>50-75</v>
      </c>
      <c r="BB295" s="152">
        <f t="array" ref="BB295">iferror(XLOOKUP(C295,Sheet9!A:A,Sheet9!D:D),0)</f>
        <v>0.9</v>
      </c>
      <c r="BC295" s="2">
        <v>1.0</v>
      </c>
      <c r="BD295" s="95">
        <f t="array" ref="BD295">XLOOKUP(C295,ROS!C:C,ROS!O:O)</f>
        <v>0</v>
      </c>
      <c r="BE295" s="147">
        <f t="array" ref="BE295">IFERROR(XLOOKUP(C295,ROS!T:T,ROS!U:U),"")</f>
        <v>2.924747475</v>
      </c>
      <c r="BF295" s="147">
        <f t="array" ref="BF295">XLOOKUP(R295,'Refrence Data'!B:B,'Refrence Data'!T:T)</f>
        <v>7.349738</v>
      </c>
      <c r="BG295" s="95">
        <f t="shared" si="19"/>
        <v>0</v>
      </c>
      <c r="BH295" s="4" t="str">
        <f t="shared" si="20"/>
        <v>FP</v>
      </c>
      <c r="BP295" s="153" t="str">
        <f t="shared" si="26"/>
        <v>FP</v>
      </c>
    </row>
    <row r="296">
      <c r="A296" s="171">
        <v>6.298044150087E12</v>
      </c>
      <c r="B296" s="171" t="s">
        <v>3521</v>
      </c>
      <c r="C296" s="137" t="s">
        <v>1272</v>
      </c>
      <c r="D296" s="138" t="s">
        <v>644</v>
      </c>
      <c r="E296" s="139" t="s">
        <v>645</v>
      </c>
      <c r="F296" s="140" t="s">
        <v>3602</v>
      </c>
      <c r="G296" s="141">
        <v>6.0</v>
      </c>
      <c r="H296" s="142">
        <v>19.61654</v>
      </c>
      <c r="I296" s="143" t="s">
        <v>111</v>
      </c>
      <c r="J296" s="83"/>
      <c r="K296" s="174">
        <v>90.0</v>
      </c>
      <c r="R296" s="145" t="str">
        <f t="shared" si="1"/>
        <v>Healthy Snacks_15-20</v>
      </c>
      <c r="S296" s="146" t="str">
        <f t="shared" si="2"/>
        <v>15-20</v>
      </c>
      <c r="T296" s="95" t="str">
        <f t="array" ref="T296">XLOOKUP(C296,'Depth or Width'!P:P,'Depth or Width'!V:V)</f>
        <v>Width</v>
      </c>
      <c r="U296" s="93">
        <f t="shared" si="3"/>
        <v>5</v>
      </c>
      <c r="V296" s="147">
        <f t="array" ref="V296">iferror(XLOOKUP(R296,'Refrence Data'!B:B,'Refrence Data'!W:W),"NA")</f>
        <v>6.406133</v>
      </c>
      <c r="W296" s="95">
        <f t="shared" si="4"/>
        <v>100</v>
      </c>
      <c r="Y296" s="148">
        <f t="array" ref="Y296">IFERROR(XLOOKUP(R296,'Refrence Data'!B:B,'Refrence Data'!N:N),"NA")</f>
        <v>0.626706</v>
      </c>
      <c r="Z296" s="95" t="str">
        <f t="shared" si="5"/>
        <v>MEDIUM</v>
      </c>
      <c r="AA296" s="147">
        <f t="array" ref="AA296">XLOOKUP(R296,'Refrence Data'!B:B,'Refrence Data'!AC:AC)</f>
        <v>0.310145</v>
      </c>
      <c r="AB296" s="147">
        <f t="array" ref="AB296">IFERROR(XLOOKUP(R296,'Refrence Data'!B:B,'Refrence Data'!Y:Y),"NA")</f>
        <v>5.264324</v>
      </c>
      <c r="AC296" s="95" t="str">
        <f t="shared" si="6"/>
        <v>High</v>
      </c>
      <c r="AD296" s="95" t="str">
        <f t="shared" si="7"/>
        <v>Width</v>
      </c>
      <c r="AE296" s="95" t="str">
        <f t="shared" si="8"/>
        <v>MEDIUMHighWidth</v>
      </c>
      <c r="AF296" s="95">
        <f t="array" ref="AF296">XLOOKUP(AE296,'Category Saturation'!A:A,'Category Saturation'!E:E)</f>
        <v>10</v>
      </c>
      <c r="AH296" s="148">
        <f t="array" ref="AH296">iferror(XLOOKUP(R296,'New Launch Success Rate'!A:A,'New Launch Success Rate'!F:F),"NA")</f>
        <v>0.6</v>
      </c>
      <c r="AI296" s="95">
        <f t="shared" si="9"/>
        <v>50</v>
      </c>
      <c r="AK296" s="149">
        <f t="shared" si="10"/>
        <v>68</v>
      </c>
      <c r="AM296" s="150">
        <f t="array" ref="AM296">XLOOKUP(R296,'Non Moving'!C:C,'Non Moving'!I:I)/100</f>
        <v>0.038</v>
      </c>
      <c r="AN296" s="151">
        <f t="shared" si="11"/>
        <v>100</v>
      </c>
      <c r="AO296" s="150">
        <f t="array" ref="AO296">XLOOKUP(R296,'Non Moving'!C:C,'Non Moving'!F:F)/100</f>
        <v>0.144</v>
      </c>
      <c r="AP296" s="151">
        <f t="shared" si="12"/>
        <v>100</v>
      </c>
      <c r="AR296" s="95">
        <f t="shared" si="13"/>
        <v>100</v>
      </c>
      <c r="AT296" s="95">
        <f t="shared" si="14"/>
        <v>0</v>
      </c>
      <c r="AU296" s="95">
        <f t="array" ref="AU296">iferror(XLOOKUP(J296,Monetization!A:A,Monetization!B:B),25)</f>
        <v>25</v>
      </c>
      <c r="AW296" s="95">
        <f t="shared" si="15"/>
        <v>7.5</v>
      </c>
      <c r="AY296" s="149">
        <f t="shared" si="16"/>
        <v>68.7</v>
      </c>
      <c r="AZ296" s="95" t="str">
        <f t="shared" si="17"/>
        <v>50-75</v>
      </c>
      <c r="BA296" s="95" t="str">
        <f t="shared" si="18"/>
        <v>50-75</v>
      </c>
      <c r="BB296" s="152">
        <f t="array" ref="BB296">iferror(XLOOKUP(C296,Sheet9!A:A,Sheet9!D:D),0)</f>
        <v>1</v>
      </c>
      <c r="BC296" s="2">
        <v>1.0</v>
      </c>
      <c r="BD296" s="95">
        <f t="array" ref="BD296">XLOOKUP(C296,ROS!C:C,ROS!O:O)</f>
        <v>0</v>
      </c>
      <c r="BE296" s="147">
        <f t="array" ref="BE296">IFERROR(XLOOKUP(C296,ROS!T:T,ROS!U:U),"")</f>
        <v>0</v>
      </c>
      <c r="BF296" s="147">
        <f t="array" ref="BF296">XLOOKUP(R296,'Refrence Data'!B:B,'Refrence Data'!T:T)</f>
        <v>2.903866</v>
      </c>
      <c r="BG296" s="95">
        <f t="shared" si="19"/>
        <v>0</v>
      </c>
      <c r="BH296" s="4" t="str">
        <f t="shared" si="20"/>
        <v>FP</v>
      </c>
      <c r="BP296" s="153" t="str">
        <f t="shared" si="26"/>
        <v>FP</v>
      </c>
    </row>
    <row r="297">
      <c r="A297" s="171">
        <v>6.298044150063E12</v>
      </c>
      <c r="B297" s="171" t="s">
        <v>3521</v>
      </c>
      <c r="C297" s="137" t="s">
        <v>1274</v>
      </c>
      <c r="D297" s="138" t="s">
        <v>644</v>
      </c>
      <c r="E297" s="139" t="s">
        <v>645</v>
      </c>
      <c r="F297" s="140" t="s">
        <v>3602</v>
      </c>
      <c r="G297" s="141">
        <v>6.0</v>
      </c>
      <c r="H297" s="142">
        <v>19.98421</v>
      </c>
      <c r="I297" s="143" t="s">
        <v>111</v>
      </c>
      <c r="J297" s="83"/>
      <c r="K297" s="174">
        <v>90.0</v>
      </c>
      <c r="R297" s="145" t="str">
        <f t="shared" si="1"/>
        <v>Healthy Snacks_15-20</v>
      </c>
      <c r="S297" s="146" t="str">
        <f t="shared" si="2"/>
        <v>15-20</v>
      </c>
      <c r="T297" s="95" t="str">
        <f t="array" ref="T297">XLOOKUP(C297,'Depth or Width'!P:P,'Depth or Width'!V:V)</f>
        <v>Width</v>
      </c>
      <c r="U297" s="93">
        <f t="shared" si="3"/>
        <v>5</v>
      </c>
      <c r="V297" s="147">
        <f t="array" ref="V297">iferror(XLOOKUP(R297,'Refrence Data'!B:B,'Refrence Data'!W:W),"NA")</f>
        <v>6.406133</v>
      </c>
      <c r="W297" s="95">
        <f t="shared" si="4"/>
        <v>100</v>
      </c>
      <c r="Y297" s="148">
        <f t="array" ref="Y297">IFERROR(XLOOKUP(R297,'Refrence Data'!B:B,'Refrence Data'!N:N),"NA")</f>
        <v>0.626706</v>
      </c>
      <c r="Z297" s="95" t="str">
        <f t="shared" si="5"/>
        <v>MEDIUM</v>
      </c>
      <c r="AA297" s="147">
        <f t="array" ref="AA297">XLOOKUP(R297,'Refrence Data'!B:B,'Refrence Data'!AC:AC)</f>
        <v>0.310145</v>
      </c>
      <c r="AB297" s="147">
        <f t="array" ref="AB297">IFERROR(XLOOKUP(R297,'Refrence Data'!B:B,'Refrence Data'!Y:Y),"NA")</f>
        <v>5.264324</v>
      </c>
      <c r="AC297" s="95" t="str">
        <f t="shared" si="6"/>
        <v>High</v>
      </c>
      <c r="AD297" s="95" t="str">
        <f t="shared" si="7"/>
        <v>Width</v>
      </c>
      <c r="AE297" s="95" t="str">
        <f t="shared" si="8"/>
        <v>MEDIUMHighWidth</v>
      </c>
      <c r="AF297" s="95">
        <f t="array" ref="AF297">XLOOKUP(AE297,'Category Saturation'!A:A,'Category Saturation'!E:E)</f>
        <v>10</v>
      </c>
      <c r="AH297" s="148">
        <f t="array" ref="AH297">iferror(XLOOKUP(R297,'New Launch Success Rate'!A:A,'New Launch Success Rate'!F:F),"NA")</f>
        <v>0.6</v>
      </c>
      <c r="AI297" s="95">
        <f t="shared" si="9"/>
        <v>50</v>
      </c>
      <c r="AK297" s="149">
        <f t="shared" si="10"/>
        <v>68</v>
      </c>
      <c r="AM297" s="150">
        <f t="array" ref="AM297">XLOOKUP(R297,'Non Moving'!C:C,'Non Moving'!I:I)/100</f>
        <v>0.038</v>
      </c>
      <c r="AN297" s="151">
        <f t="shared" si="11"/>
        <v>100</v>
      </c>
      <c r="AO297" s="150">
        <f t="array" ref="AO297">XLOOKUP(R297,'Non Moving'!C:C,'Non Moving'!F:F)/100</f>
        <v>0.144</v>
      </c>
      <c r="AP297" s="151">
        <f t="shared" si="12"/>
        <v>100</v>
      </c>
      <c r="AR297" s="95">
        <f t="shared" si="13"/>
        <v>100</v>
      </c>
      <c r="AT297" s="95">
        <f t="shared" si="14"/>
        <v>0</v>
      </c>
      <c r="AU297" s="95">
        <f t="array" ref="AU297">iferror(XLOOKUP(J297,Monetization!A:A,Monetization!B:B),25)</f>
        <v>25</v>
      </c>
      <c r="AW297" s="95">
        <f t="shared" si="15"/>
        <v>7.5</v>
      </c>
      <c r="AY297" s="149">
        <f t="shared" si="16"/>
        <v>68.7</v>
      </c>
      <c r="AZ297" s="95" t="str">
        <f t="shared" si="17"/>
        <v>50-75</v>
      </c>
      <c r="BA297" s="95" t="str">
        <f t="shared" si="18"/>
        <v>50-75</v>
      </c>
      <c r="BB297" s="152">
        <f t="array" ref="BB297">iferror(XLOOKUP(C297,Sheet9!A:A,Sheet9!D:D),0)</f>
        <v>1</v>
      </c>
      <c r="BC297" s="2">
        <v>1.0</v>
      </c>
      <c r="BD297" s="95">
        <f t="array" ref="BD297">XLOOKUP(C297,ROS!C:C,ROS!O:O)</f>
        <v>0.071429</v>
      </c>
      <c r="BE297" s="147">
        <f t="array" ref="BE297">IFERROR(XLOOKUP(C297,ROS!T:T,ROS!U:U),"")</f>
        <v>0</v>
      </c>
      <c r="BF297" s="147">
        <f t="array" ref="BF297">XLOOKUP(R297,'Refrence Data'!B:B,'Refrence Data'!T:T)</f>
        <v>2.903866</v>
      </c>
      <c r="BG297" s="95">
        <f t="shared" si="19"/>
        <v>0</v>
      </c>
      <c r="BH297" s="4" t="str">
        <f t="shared" si="20"/>
        <v>FP</v>
      </c>
      <c r="BP297" s="153" t="str">
        <f t="shared" si="26"/>
        <v>FP</v>
      </c>
    </row>
    <row r="298">
      <c r="A298" s="171">
        <v>6.298044150049E12</v>
      </c>
      <c r="B298" s="171" t="s">
        <v>3521</v>
      </c>
      <c r="C298" s="137" t="s">
        <v>1275</v>
      </c>
      <c r="D298" s="138" t="s">
        <v>644</v>
      </c>
      <c r="E298" s="139" t="s">
        <v>645</v>
      </c>
      <c r="F298" s="140" t="s">
        <v>3602</v>
      </c>
      <c r="G298" s="141">
        <v>6.0</v>
      </c>
      <c r="H298" s="142">
        <v>20.73362</v>
      </c>
      <c r="I298" s="143" t="s">
        <v>111</v>
      </c>
      <c r="J298" s="83"/>
      <c r="K298" s="174">
        <v>90.0</v>
      </c>
      <c r="R298" s="145" t="str">
        <f t="shared" si="1"/>
        <v>Healthy Snacks_20-25</v>
      </c>
      <c r="S298" s="146" t="str">
        <f t="shared" si="2"/>
        <v>20-25</v>
      </c>
      <c r="T298" s="95" t="str">
        <f t="array" ref="T298">XLOOKUP(C298,'Depth or Width'!P:P,'Depth or Width'!V:V)</f>
        <v>Width</v>
      </c>
      <c r="U298" s="93">
        <f t="shared" si="3"/>
        <v>5</v>
      </c>
      <c r="V298" s="147">
        <f t="array" ref="V298">iferror(XLOOKUP(R298,'Refrence Data'!B:B,'Refrence Data'!W:W),"NA")</f>
        <v>3.433333</v>
      </c>
      <c r="W298" s="95">
        <f t="shared" si="4"/>
        <v>50</v>
      </c>
      <c r="Y298" s="148">
        <f t="array" ref="Y298">IFERROR(XLOOKUP(R298,'Refrence Data'!B:B,'Refrence Data'!N:N),"NA")</f>
        <v>0.580387</v>
      </c>
      <c r="Z298" s="95" t="str">
        <f t="shared" si="5"/>
        <v>MEDIUM</v>
      </c>
      <c r="AA298" s="147">
        <f t="array" ref="AA298">XLOOKUP(R298,'Refrence Data'!B:B,'Refrence Data'!AC:AC)</f>
        <v>0.310145</v>
      </c>
      <c r="AB298" s="147">
        <f t="array" ref="AB298">IFERROR(XLOOKUP(R298,'Refrence Data'!B:B,'Refrence Data'!Y:Y),"NA")</f>
        <v>3.149041</v>
      </c>
      <c r="AC298" s="95" t="str">
        <f t="shared" si="6"/>
        <v>High</v>
      </c>
      <c r="AD298" s="95" t="str">
        <f t="shared" si="7"/>
        <v>Width</v>
      </c>
      <c r="AE298" s="95" t="str">
        <f t="shared" si="8"/>
        <v>MEDIUMHighWidth</v>
      </c>
      <c r="AF298" s="95">
        <f t="array" ref="AF298">XLOOKUP(AE298,'Category Saturation'!A:A,'Category Saturation'!E:E)</f>
        <v>10</v>
      </c>
      <c r="AH298" s="148">
        <f t="array" ref="AH298">iferror(XLOOKUP(R298,'New Launch Success Rate'!A:A,'New Launch Success Rate'!F:F),"NA")</f>
        <v>0.68175</v>
      </c>
      <c r="AI298" s="95">
        <f t="shared" si="9"/>
        <v>50</v>
      </c>
      <c r="AK298" s="149">
        <f t="shared" si="10"/>
        <v>38</v>
      </c>
      <c r="AM298" s="150">
        <f t="array" ref="AM298">XLOOKUP(R298,'Non Moving'!C:C,'Non Moving'!I:I)/100</f>
        <v>0.258</v>
      </c>
      <c r="AN298" s="151">
        <f t="shared" si="11"/>
        <v>0</v>
      </c>
      <c r="AO298" s="150">
        <f t="array" ref="AO298">XLOOKUP(R298,'Non Moving'!C:C,'Non Moving'!F:F)/100</f>
        <v>0.34</v>
      </c>
      <c r="AP298" s="151">
        <f t="shared" si="12"/>
        <v>75</v>
      </c>
      <c r="AR298" s="95">
        <f t="shared" si="13"/>
        <v>37.5</v>
      </c>
      <c r="AT298" s="95">
        <f t="shared" si="14"/>
        <v>0</v>
      </c>
      <c r="AU298" s="95">
        <f t="array" ref="AU298">iferror(XLOOKUP(J298,Monetization!A:A,Monetization!B:B),25)</f>
        <v>25</v>
      </c>
      <c r="AW298" s="95">
        <f t="shared" si="15"/>
        <v>7.5</v>
      </c>
      <c r="AY298" s="149">
        <f t="shared" si="16"/>
        <v>31.7</v>
      </c>
      <c r="AZ298" s="95" t="str">
        <f t="shared" si="17"/>
        <v>25-50</v>
      </c>
      <c r="BA298" s="95" t="str">
        <f t="shared" si="18"/>
        <v>25-50</v>
      </c>
      <c r="BB298" s="152">
        <f t="array" ref="BB298">iferror(XLOOKUP(C298,Sheet9!A:A,Sheet9!D:D),0)</f>
        <v>1</v>
      </c>
      <c r="BC298" s="2">
        <v>1.0</v>
      </c>
      <c r="BD298" s="95">
        <f t="array" ref="BD298">XLOOKUP(C298,ROS!C:C,ROS!O:O)</f>
        <v>0</v>
      </c>
      <c r="BE298" s="147">
        <f t="array" ref="BE298">IFERROR(XLOOKUP(C298,ROS!T:T,ROS!U:U),"")</f>
        <v>0</v>
      </c>
      <c r="BF298" s="147">
        <f t="array" ref="BF298">XLOOKUP(R298,'Refrence Data'!B:B,'Refrence Data'!T:T)</f>
        <v>2.895238</v>
      </c>
      <c r="BG298" s="95">
        <f t="shared" si="19"/>
        <v>0</v>
      </c>
      <c r="BH298" s="4" t="str">
        <f t="shared" si="20"/>
        <v>TN</v>
      </c>
      <c r="BP298" s="153" t="str">
        <f t="shared" si="26"/>
        <v>TN</v>
      </c>
    </row>
    <row r="299">
      <c r="A299" s="171">
        <v>8.588007731537E12</v>
      </c>
      <c r="B299" s="171" t="s">
        <v>3521</v>
      </c>
      <c r="C299" s="137" t="s">
        <v>1276</v>
      </c>
      <c r="D299" s="138" t="s">
        <v>644</v>
      </c>
      <c r="E299" s="139" t="s">
        <v>640</v>
      </c>
      <c r="F299" s="140" t="s">
        <v>3554</v>
      </c>
      <c r="G299" s="141">
        <v>1.0</v>
      </c>
      <c r="H299" s="142">
        <v>13.00173</v>
      </c>
      <c r="I299" s="143" t="s">
        <v>111</v>
      </c>
      <c r="J299" s="83"/>
      <c r="K299" s="174">
        <v>365.0</v>
      </c>
      <c r="R299" s="145" t="str">
        <f t="shared" si="1"/>
        <v>Chips &amp; Dips_10-15</v>
      </c>
      <c r="S299" s="146" t="str">
        <f t="shared" si="2"/>
        <v>10-15</v>
      </c>
      <c r="T299" s="95" t="str">
        <f t="array" ref="T299">XLOOKUP(C299,'Depth or Width'!P:P,'Depth or Width'!V:V)</f>
        <v>Width</v>
      </c>
      <c r="U299" s="93">
        <f t="shared" si="3"/>
        <v>5</v>
      </c>
      <c r="V299" s="147">
        <f t="array" ref="V299">iferror(XLOOKUP(R299,'Refrence Data'!B:B,'Refrence Data'!W:W),"NA")</f>
        <v>5.994401</v>
      </c>
      <c r="W299" s="95">
        <f t="shared" si="4"/>
        <v>100</v>
      </c>
      <c r="Y299" s="148">
        <f t="array" ref="Y299">IFERROR(XLOOKUP(R299,'Refrence Data'!B:B,'Refrence Data'!N:N),"NA")</f>
        <v>0.759702</v>
      </c>
      <c r="Z299" s="95" t="str">
        <f t="shared" si="5"/>
        <v>HIGH</v>
      </c>
      <c r="AA299" s="147">
        <f t="array" ref="AA299">XLOOKUP(R299,'Refrence Data'!B:B,'Refrence Data'!AC:AC)</f>
        <v>6.718884</v>
      </c>
      <c r="AB299" s="147">
        <f t="array" ref="AB299">IFERROR(XLOOKUP(R299,'Refrence Data'!B:B,'Refrence Data'!Y:Y),"NA")</f>
        <v>8.763743</v>
      </c>
      <c r="AC299" s="95" t="str">
        <f t="shared" si="6"/>
        <v>High</v>
      </c>
      <c r="AD299" s="95" t="str">
        <f t="shared" si="7"/>
        <v>Width</v>
      </c>
      <c r="AE299" s="95" t="str">
        <f t="shared" si="8"/>
        <v>HIGHHighWidth</v>
      </c>
      <c r="AF299" s="95">
        <f t="array" ref="AF299">XLOOKUP(AE299,'Category Saturation'!A:A,'Category Saturation'!E:E)</f>
        <v>25</v>
      </c>
      <c r="AH299" s="148">
        <f t="array" ref="AH299">iferror(XLOOKUP(R299,'New Launch Success Rate'!A:A,'New Launch Success Rate'!F:F),"NA")</f>
        <v>0.429</v>
      </c>
      <c r="AI299" s="95">
        <f t="shared" si="9"/>
        <v>25</v>
      </c>
      <c r="AK299" s="149">
        <f t="shared" si="10"/>
        <v>70</v>
      </c>
      <c r="AM299" s="150">
        <f t="array" ref="AM299">XLOOKUP(R299,'Non Moving'!C:C,'Non Moving'!I:I)/100</f>
        <v>0.044</v>
      </c>
      <c r="AN299" s="151">
        <f t="shared" si="11"/>
        <v>100</v>
      </c>
      <c r="AO299" s="150">
        <f t="array" ref="AO299">XLOOKUP(R299,'Non Moving'!C:C,'Non Moving'!F:F)/100</f>
        <v>0.117</v>
      </c>
      <c r="AP299" s="151">
        <f t="shared" si="12"/>
        <v>100</v>
      </c>
      <c r="AR299" s="95">
        <f t="shared" si="13"/>
        <v>100</v>
      </c>
      <c r="AT299" s="95">
        <f t="shared" si="14"/>
        <v>0</v>
      </c>
      <c r="AU299" s="95">
        <f t="array" ref="AU299">iferror(XLOOKUP(J299,Monetization!A:A,Monetization!B:B),25)</f>
        <v>25</v>
      </c>
      <c r="AW299" s="95">
        <f t="shared" si="15"/>
        <v>7.5</v>
      </c>
      <c r="AY299" s="149">
        <f t="shared" si="16"/>
        <v>69.5</v>
      </c>
      <c r="AZ299" s="95" t="str">
        <f t="shared" si="17"/>
        <v>50-75</v>
      </c>
      <c r="BA299" s="95" t="str">
        <f t="shared" si="18"/>
        <v>50-75</v>
      </c>
      <c r="BB299" s="152">
        <f t="array" ref="BB299">iferror(XLOOKUP(C299,Sheet9!A:A,Sheet9!D:D),0)</f>
        <v>0.95</v>
      </c>
      <c r="BC299" s="2">
        <v>1.0</v>
      </c>
      <c r="BD299" s="95">
        <f t="array" ref="BD299">XLOOKUP(C299,ROS!C:C,ROS!O:O)</f>
        <v>0</v>
      </c>
      <c r="BE299" s="147">
        <f t="array" ref="BE299">IFERROR(XLOOKUP(C299,ROS!T:T,ROS!U:U),"")</f>
        <v>0.166666667</v>
      </c>
      <c r="BF299" s="147">
        <f t="array" ref="BF299">XLOOKUP(R299,'Refrence Data'!B:B,'Refrence Data'!T:T)</f>
        <v>0.414286</v>
      </c>
      <c r="BG299" s="95">
        <f t="shared" si="19"/>
        <v>0</v>
      </c>
      <c r="BH299" s="4" t="str">
        <f t="shared" si="20"/>
        <v>FP</v>
      </c>
      <c r="BP299" s="153" t="str">
        <f t="shared" si="26"/>
        <v>FP</v>
      </c>
    </row>
    <row r="300">
      <c r="A300" s="171">
        <v>8.588007731513E12</v>
      </c>
      <c r="B300" s="171" t="s">
        <v>3521</v>
      </c>
      <c r="C300" s="137" t="s">
        <v>1277</v>
      </c>
      <c r="D300" s="138" t="s">
        <v>644</v>
      </c>
      <c r="E300" s="139" t="s">
        <v>640</v>
      </c>
      <c r="F300" s="140" t="s">
        <v>3554</v>
      </c>
      <c r="G300" s="141">
        <v>1.0</v>
      </c>
      <c r="H300" s="142">
        <v>9.92477</v>
      </c>
      <c r="I300" s="143" t="s">
        <v>111</v>
      </c>
      <c r="J300" s="83"/>
      <c r="K300" s="174">
        <v>365.0</v>
      </c>
      <c r="R300" s="145" t="str">
        <f t="shared" si="1"/>
        <v>Chips &amp; Dips_5-10</v>
      </c>
      <c r="S300" s="146" t="str">
        <f t="shared" si="2"/>
        <v>5-10</v>
      </c>
      <c r="T300" s="95" t="str">
        <f t="array" ref="T300">XLOOKUP(C300,'Depth or Width'!P:P,'Depth or Width'!V:V)</f>
        <v>Width</v>
      </c>
      <c r="U300" s="93">
        <f t="shared" si="3"/>
        <v>5</v>
      </c>
      <c r="V300" s="147">
        <f t="array" ref="V300">iferror(XLOOKUP(R300,'Refrence Data'!B:B,'Refrence Data'!W:W),"NA")</f>
        <v>8.929893</v>
      </c>
      <c r="W300" s="95">
        <f t="shared" si="4"/>
        <v>100</v>
      </c>
      <c r="Y300" s="148">
        <f t="array" ref="Y300">IFERROR(XLOOKUP(R300,'Refrence Data'!B:B,'Refrence Data'!N:N),"NA")</f>
        <v>0.754501</v>
      </c>
      <c r="Z300" s="95" t="str">
        <f t="shared" si="5"/>
        <v>HIGH</v>
      </c>
      <c r="AA300" s="147">
        <f t="array" ref="AA300">XLOOKUP(R300,'Refrence Data'!B:B,'Refrence Data'!AC:AC)</f>
        <v>6.718884</v>
      </c>
      <c r="AB300" s="147">
        <f t="array" ref="AB300">IFERROR(XLOOKUP(R300,'Refrence Data'!B:B,'Refrence Data'!Y:Y),"NA")</f>
        <v>12.8222</v>
      </c>
      <c r="AC300" s="95" t="str">
        <f t="shared" si="6"/>
        <v>High</v>
      </c>
      <c r="AD300" s="95" t="str">
        <f t="shared" si="7"/>
        <v>Width</v>
      </c>
      <c r="AE300" s="95" t="str">
        <f t="shared" si="8"/>
        <v>HIGHHighWidth</v>
      </c>
      <c r="AF300" s="95">
        <f t="array" ref="AF300">XLOOKUP(AE300,'Category Saturation'!A:A,'Category Saturation'!E:E)</f>
        <v>25</v>
      </c>
      <c r="AH300" s="148">
        <f t="array" ref="AH300">iferror(XLOOKUP(R300,'New Launch Success Rate'!A:A,'New Launch Success Rate'!F:F),"NA")</f>
        <v>0.5</v>
      </c>
      <c r="AI300" s="95">
        <f t="shared" si="9"/>
        <v>50</v>
      </c>
      <c r="AK300" s="149">
        <f t="shared" si="10"/>
        <v>72.5</v>
      </c>
      <c r="AM300" s="150">
        <f t="array" ref="AM300">XLOOKUP(R300,'Non Moving'!C:C,'Non Moving'!I:I)/100</f>
        <v>0.009</v>
      </c>
      <c r="AN300" s="151">
        <f t="shared" si="11"/>
        <v>100</v>
      </c>
      <c r="AO300" s="150">
        <f t="array" ref="AO300">XLOOKUP(R300,'Non Moving'!C:C,'Non Moving'!F:F)/100</f>
        <v>0.045</v>
      </c>
      <c r="AP300" s="151">
        <f t="shared" si="12"/>
        <v>100</v>
      </c>
      <c r="AR300" s="95">
        <f t="shared" si="13"/>
        <v>100</v>
      </c>
      <c r="AT300" s="95">
        <f t="shared" si="14"/>
        <v>0</v>
      </c>
      <c r="AU300" s="95">
        <f t="array" ref="AU300">iferror(XLOOKUP(J300,Monetization!A:A,Monetization!B:B),25)</f>
        <v>25</v>
      </c>
      <c r="AW300" s="95">
        <f t="shared" si="15"/>
        <v>7.5</v>
      </c>
      <c r="AY300" s="149">
        <f t="shared" si="16"/>
        <v>70.5</v>
      </c>
      <c r="AZ300" s="95" t="str">
        <f t="shared" si="17"/>
        <v>50-75</v>
      </c>
      <c r="BA300" s="95" t="str">
        <f t="shared" si="18"/>
        <v>50-75</v>
      </c>
      <c r="BB300" s="152">
        <f t="array" ref="BB300">iferror(XLOOKUP(C300,Sheet9!A:A,Sheet9!D:D),0)</f>
        <v>0.92</v>
      </c>
      <c r="BC300" s="2">
        <v>1.0</v>
      </c>
      <c r="BD300" s="95">
        <f t="array" ref="BD300">XLOOKUP(C300,ROS!C:C,ROS!O:O)</f>
        <v>2.095238</v>
      </c>
      <c r="BE300" s="147">
        <f t="array" ref="BE300">IFERROR(XLOOKUP(C300,ROS!T:T,ROS!U:U),"")</f>
        <v>2.043867244</v>
      </c>
      <c r="BF300" s="147">
        <f t="array" ref="BF300">XLOOKUP(R300,'Refrence Data'!B:B,'Refrence Data'!T:T)</f>
        <v>0.938001</v>
      </c>
      <c r="BG300" s="95">
        <f t="shared" si="19"/>
        <v>1</v>
      </c>
      <c r="BH300" s="4" t="str">
        <f t="shared" si="20"/>
        <v>TP</v>
      </c>
      <c r="BP300" s="153" t="str">
        <f t="shared" si="26"/>
        <v>TP</v>
      </c>
    </row>
    <row r="301">
      <c r="A301" s="171">
        <v>8.58800773149E12</v>
      </c>
      <c r="B301" s="171" t="s">
        <v>3521</v>
      </c>
      <c r="C301" s="137" t="s">
        <v>1278</v>
      </c>
      <c r="D301" s="138" t="s">
        <v>644</v>
      </c>
      <c r="E301" s="139" t="s">
        <v>640</v>
      </c>
      <c r="F301" s="140" t="s">
        <v>3554</v>
      </c>
      <c r="G301" s="141">
        <v>1.0</v>
      </c>
      <c r="H301" s="142">
        <v>10.49171</v>
      </c>
      <c r="I301" s="143" t="s">
        <v>111</v>
      </c>
      <c r="J301" s="83"/>
      <c r="K301" s="174">
        <v>365.0</v>
      </c>
      <c r="R301" s="145" t="str">
        <f t="shared" si="1"/>
        <v>Chips &amp; Dips_10-15</v>
      </c>
      <c r="S301" s="146" t="str">
        <f t="shared" si="2"/>
        <v>10-15</v>
      </c>
      <c r="T301" s="95" t="str">
        <f t="array" ref="T301">XLOOKUP(C301,'Depth or Width'!P:P,'Depth or Width'!V:V)</f>
        <v>Width</v>
      </c>
      <c r="U301" s="93">
        <f t="shared" si="3"/>
        <v>5</v>
      </c>
      <c r="V301" s="147">
        <f t="array" ref="V301">iferror(XLOOKUP(R301,'Refrence Data'!B:B,'Refrence Data'!W:W),"NA")</f>
        <v>5.994401</v>
      </c>
      <c r="W301" s="95">
        <f t="shared" si="4"/>
        <v>100</v>
      </c>
      <c r="Y301" s="148">
        <f t="array" ref="Y301">IFERROR(XLOOKUP(R301,'Refrence Data'!B:B,'Refrence Data'!N:N),"NA")</f>
        <v>0.759702</v>
      </c>
      <c r="Z301" s="95" t="str">
        <f t="shared" si="5"/>
        <v>HIGH</v>
      </c>
      <c r="AA301" s="147">
        <f t="array" ref="AA301">XLOOKUP(R301,'Refrence Data'!B:B,'Refrence Data'!AC:AC)</f>
        <v>6.718884</v>
      </c>
      <c r="AB301" s="147">
        <f t="array" ref="AB301">IFERROR(XLOOKUP(R301,'Refrence Data'!B:B,'Refrence Data'!Y:Y),"NA")</f>
        <v>8.763743</v>
      </c>
      <c r="AC301" s="95" t="str">
        <f t="shared" si="6"/>
        <v>High</v>
      </c>
      <c r="AD301" s="95" t="str">
        <f t="shared" si="7"/>
        <v>Width</v>
      </c>
      <c r="AE301" s="95" t="str">
        <f t="shared" si="8"/>
        <v>HIGHHighWidth</v>
      </c>
      <c r="AF301" s="95">
        <f t="array" ref="AF301">XLOOKUP(AE301,'Category Saturation'!A:A,'Category Saturation'!E:E)</f>
        <v>25</v>
      </c>
      <c r="AH301" s="148">
        <f t="array" ref="AH301">iferror(XLOOKUP(R301,'New Launch Success Rate'!A:A,'New Launch Success Rate'!F:F),"NA")</f>
        <v>0.429</v>
      </c>
      <c r="AI301" s="95">
        <f t="shared" si="9"/>
        <v>25</v>
      </c>
      <c r="AK301" s="149">
        <f t="shared" si="10"/>
        <v>70</v>
      </c>
      <c r="AM301" s="150">
        <f t="array" ref="AM301">XLOOKUP(R301,'Non Moving'!C:C,'Non Moving'!I:I)/100</f>
        <v>0.044</v>
      </c>
      <c r="AN301" s="151">
        <f t="shared" si="11"/>
        <v>100</v>
      </c>
      <c r="AO301" s="150">
        <f t="array" ref="AO301">XLOOKUP(R301,'Non Moving'!C:C,'Non Moving'!F:F)/100</f>
        <v>0.117</v>
      </c>
      <c r="AP301" s="151">
        <f t="shared" si="12"/>
        <v>100</v>
      </c>
      <c r="AR301" s="95">
        <f t="shared" si="13"/>
        <v>100</v>
      </c>
      <c r="AT301" s="95">
        <f t="shared" si="14"/>
        <v>0</v>
      </c>
      <c r="AU301" s="95">
        <f t="array" ref="AU301">iferror(XLOOKUP(J301,Monetization!A:A,Monetization!B:B),25)</f>
        <v>25</v>
      </c>
      <c r="AW301" s="95">
        <f t="shared" si="15"/>
        <v>7.5</v>
      </c>
      <c r="AY301" s="149">
        <f t="shared" si="16"/>
        <v>69.5</v>
      </c>
      <c r="AZ301" s="95" t="str">
        <f t="shared" si="17"/>
        <v>50-75</v>
      </c>
      <c r="BA301" s="95" t="str">
        <f t="shared" si="18"/>
        <v>50-75</v>
      </c>
      <c r="BB301" s="152">
        <f t="array" ref="BB301">iferror(XLOOKUP(C301,Sheet9!A:A,Sheet9!D:D),0)</f>
        <v>0.95</v>
      </c>
      <c r="BC301" s="2">
        <v>1.0</v>
      </c>
      <c r="BD301" s="95">
        <f t="array" ref="BD301">XLOOKUP(C301,ROS!C:C,ROS!O:O)</f>
        <v>0</v>
      </c>
      <c r="BE301" s="147">
        <f t="array" ref="BE301">IFERROR(XLOOKUP(C301,ROS!T:T,ROS!U:U),"")</f>
        <v>0.340909091</v>
      </c>
      <c r="BF301" s="147">
        <f t="array" ref="BF301">XLOOKUP(R301,'Refrence Data'!B:B,'Refrence Data'!T:T)</f>
        <v>0.414286</v>
      </c>
      <c r="BG301" s="95">
        <f t="shared" si="19"/>
        <v>0</v>
      </c>
      <c r="BH301" s="4" t="str">
        <f t="shared" si="20"/>
        <v>FP</v>
      </c>
      <c r="BP301" s="153" t="str">
        <f t="shared" si="26"/>
        <v>FP</v>
      </c>
    </row>
    <row r="302">
      <c r="A302" s="116"/>
      <c r="B302" s="116"/>
      <c r="R302" s="116"/>
      <c r="Y302" s="148"/>
    </row>
    <row r="303">
      <c r="A303" s="116"/>
      <c r="B303" s="116"/>
      <c r="R303" s="116"/>
      <c r="Y303" s="148"/>
    </row>
    <row r="304">
      <c r="A304" s="116"/>
      <c r="B304" s="116"/>
      <c r="R304" s="116"/>
      <c r="Y304" s="148"/>
    </row>
    <row r="305">
      <c r="A305" s="116"/>
      <c r="B305" s="116"/>
      <c r="R305" s="116"/>
      <c r="Y305" s="148"/>
    </row>
    <row r="306">
      <c r="A306" s="116"/>
      <c r="B306" s="116"/>
      <c r="R306" s="116"/>
      <c r="Y306" s="148"/>
    </row>
    <row r="307">
      <c r="A307" s="116"/>
      <c r="B307" s="116"/>
      <c r="R307" s="116"/>
      <c r="Y307" s="148"/>
    </row>
    <row r="308">
      <c r="A308" s="116"/>
      <c r="B308" s="116"/>
      <c r="R308" s="116"/>
      <c r="Y308" s="148"/>
    </row>
    <row r="309">
      <c r="A309" s="116"/>
      <c r="B309" s="116"/>
      <c r="R309" s="116"/>
      <c r="Y309" s="148"/>
    </row>
    <row r="310">
      <c r="A310" s="116"/>
      <c r="B310" s="116"/>
      <c r="R310" s="116"/>
      <c r="Y310" s="148"/>
    </row>
    <row r="311">
      <c r="A311" s="116"/>
      <c r="B311" s="116"/>
      <c r="R311" s="116"/>
      <c r="Y311" s="148"/>
    </row>
    <row r="312">
      <c r="A312" s="116"/>
      <c r="B312" s="116"/>
      <c r="R312" s="116"/>
      <c r="Y312" s="148"/>
    </row>
    <row r="313">
      <c r="A313" s="116"/>
      <c r="B313" s="116"/>
      <c r="R313" s="116"/>
      <c r="Y313" s="148"/>
    </row>
    <row r="314">
      <c r="A314" s="116"/>
      <c r="B314" s="116"/>
      <c r="R314" s="116"/>
      <c r="Y314" s="148"/>
    </row>
    <row r="315">
      <c r="A315" s="116"/>
      <c r="B315" s="116"/>
      <c r="R315" s="116"/>
      <c r="Y315" s="148"/>
    </row>
    <row r="316">
      <c r="A316" s="116"/>
      <c r="B316" s="116"/>
      <c r="R316" s="116"/>
      <c r="Y316" s="148"/>
    </row>
    <row r="317">
      <c r="A317" s="116"/>
      <c r="B317" s="116"/>
      <c r="R317" s="116"/>
      <c r="Y317" s="148"/>
    </row>
    <row r="318">
      <c r="A318" s="116"/>
      <c r="B318" s="116"/>
      <c r="R318" s="116"/>
      <c r="Y318" s="148"/>
    </row>
    <row r="319">
      <c r="A319" s="116"/>
      <c r="B319" s="116"/>
      <c r="R319" s="116"/>
      <c r="Y319" s="148"/>
    </row>
    <row r="320">
      <c r="A320" s="116"/>
      <c r="B320" s="116"/>
      <c r="R320" s="116"/>
      <c r="Y320" s="148"/>
    </row>
    <row r="321">
      <c r="A321" s="116"/>
      <c r="B321" s="116"/>
      <c r="R321" s="116"/>
      <c r="Y321" s="148"/>
    </row>
    <row r="322">
      <c r="A322" s="116"/>
      <c r="B322" s="116"/>
      <c r="R322" s="116"/>
      <c r="Y322" s="148"/>
    </row>
    <row r="323">
      <c r="A323" s="116"/>
      <c r="B323" s="116"/>
      <c r="R323" s="116"/>
      <c r="Y323" s="148"/>
    </row>
    <row r="324">
      <c r="A324" s="116"/>
      <c r="B324" s="116"/>
      <c r="R324" s="116"/>
      <c r="Y324" s="148"/>
    </row>
    <row r="325">
      <c r="A325" s="116"/>
      <c r="B325" s="116"/>
      <c r="R325" s="116"/>
      <c r="Y325" s="148"/>
    </row>
    <row r="326">
      <c r="A326" s="116"/>
      <c r="B326" s="116"/>
      <c r="R326" s="116"/>
      <c r="Y326" s="148"/>
    </row>
    <row r="327">
      <c r="A327" s="116"/>
      <c r="B327" s="116"/>
      <c r="R327" s="116"/>
      <c r="Y327" s="148"/>
    </row>
    <row r="328">
      <c r="A328" s="116"/>
      <c r="B328" s="116"/>
      <c r="R328" s="116"/>
      <c r="Y328" s="148"/>
    </row>
    <row r="329">
      <c r="A329" s="116"/>
      <c r="B329" s="116"/>
      <c r="R329" s="116"/>
      <c r="Y329" s="148"/>
    </row>
    <row r="330">
      <c r="A330" s="116"/>
      <c r="B330" s="116"/>
      <c r="R330" s="116"/>
      <c r="Y330" s="148"/>
    </row>
    <row r="331">
      <c r="A331" s="116"/>
      <c r="B331" s="116"/>
      <c r="R331" s="116"/>
      <c r="Y331" s="148"/>
    </row>
    <row r="332">
      <c r="A332" s="116"/>
      <c r="B332" s="116"/>
      <c r="R332" s="116"/>
      <c r="Y332" s="148"/>
    </row>
    <row r="333">
      <c r="A333" s="116"/>
      <c r="B333" s="116"/>
      <c r="R333" s="116"/>
      <c r="Y333" s="148"/>
    </row>
    <row r="334">
      <c r="A334" s="116"/>
      <c r="B334" s="116"/>
      <c r="R334" s="116"/>
      <c r="Y334" s="148"/>
    </row>
    <row r="335">
      <c r="A335" s="116"/>
      <c r="B335" s="116"/>
      <c r="R335" s="116"/>
      <c r="Y335" s="148"/>
    </row>
    <row r="336">
      <c r="A336" s="116"/>
      <c r="B336" s="116"/>
      <c r="R336" s="116"/>
      <c r="Y336" s="148"/>
    </row>
    <row r="337">
      <c r="A337" s="116"/>
      <c r="B337" s="116"/>
      <c r="R337" s="116"/>
      <c r="Y337" s="148"/>
    </row>
    <row r="338">
      <c r="A338" s="116"/>
      <c r="B338" s="116"/>
      <c r="R338" s="116"/>
      <c r="Y338" s="148"/>
    </row>
    <row r="339">
      <c r="A339" s="116"/>
      <c r="B339" s="116"/>
      <c r="R339" s="116"/>
      <c r="Y339" s="148"/>
    </row>
    <row r="340">
      <c r="A340" s="116"/>
      <c r="B340" s="116"/>
      <c r="R340" s="116"/>
      <c r="Y340" s="148"/>
    </row>
    <row r="341">
      <c r="A341" s="116"/>
      <c r="B341" s="116"/>
      <c r="R341" s="116"/>
      <c r="Y341" s="148"/>
    </row>
    <row r="342">
      <c r="A342" s="116"/>
      <c r="B342" s="116"/>
      <c r="R342" s="116"/>
      <c r="Y342" s="148"/>
    </row>
    <row r="343">
      <c r="A343" s="116"/>
      <c r="B343" s="116"/>
      <c r="R343" s="116"/>
      <c r="Y343" s="148"/>
    </row>
    <row r="344">
      <c r="A344" s="116"/>
      <c r="B344" s="116"/>
      <c r="R344" s="116"/>
      <c r="Y344" s="148"/>
    </row>
    <row r="345">
      <c r="A345" s="116"/>
      <c r="B345" s="116"/>
      <c r="R345" s="116"/>
      <c r="Y345" s="148"/>
    </row>
    <row r="346">
      <c r="A346" s="116"/>
      <c r="B346" s="116"/>
      <c r="R346" s="116"/>
      <c r="Y346" s="148"/>
    </row>
    <row r="347">
      <c r="A347" s="116"/>
      <c r="B347" s="116"/>
      <c r="R347" s="116"/>
      <c r="Y347" s="148"/>
    </row>
    <row r="348">
      <c r="A348" s="116"/>
      <c r="B348" s="116"/>
      <c r="R348" s="116"/>
      <c r="Y348" s="148"/>
    </row>
    <row r="349">
      <c r="A349" s="116"/>
      <c r="B349" s="116"/>
      <c r="R349" s="116"/>
      <c r="Y349" s="148"/>
    </row>
    <row r="350">
      <c r="A350" s="116"/>
      <c r="B350" s="116"/>
      <c r="R350" s="116"/>
      <c r="Y350" s="148"/>
    </row>
    <row r="351">
      <c r="A351" s="116"/>
      <c r="B351" s="116"/>
      <c r="R351" s="116"/>
      <c r="Y351" s="148"/>
    </row>
    <row r="352">
      <c r="A352" s="116"/>
      <c r="B352" s="116"/>
      <c r="R352" s="116"/>
      <c r="Y352" s="148"/>
    </row>
    <row r="353">
      <c r="A353" s="116"/>
      <c r="B353" s="116"/>
      <c r="R353" s="116"/>
      <c r="Y353" s="148"/>
    </row>
    <row r="354">
      <c r="A354" s="116"/>
      <c r="B354" s="116"/>
      <c r="R354" s="116"/>
      <c r="Y354" s="148"/>
    </row>
    <row r="355">
      <c r="A355" s="116"/>
      <c r="B355" s="116"/>
      <c r="R355" s="116"/>
      <c r="Y355" s="148"/>
    </row>
    <row r="356">
      <c r="A356" s="116"/>
      <c r="B356" s="116"/>
      <c r="R356" s="116"/>
      <c r="Y356" s="148"/>
    </row>
    <row r="357">
      <c r="A357" s="116"/>
      <c r="B357" s="116"/>
      <c r="R357" s="116"/>
      <c r="Y357" s="148"/>
    </row>
    <row r="358">
      <c r="A358" s="116"/>
      <c r="B358" s="116"/>
      <c r="R358" s="116"/>
      <c r="Y358" s="148"/>
    </row>
    <row r="359">
      <c r="A359" s="116"/>
      <c r="B359" s="116"/>
      <c r="R359" s="116"/>
      <c r="Y359" s="148"/>
    </row>
    <row r="360">
      <c r="A360" s="116"/>
      <c r="B360" s="116"/>
      <c r="R360" s="116"/>
      <c r="Y360" s="148"/>
    </row>
    <row r="361">
      <c r="A361" s="116"/>
      <c r="B361" s="116"/>
      <c r="R361" s="116"/>
      <c r="Y361" s="148"/>
    </row>
    <row r="362">
      <c r="A362" s="116"/>
      <c r="B362" s="116"/>
      <c r="R362" s="116"/>
      <c r="Y362" s="148"/>
    </row>
    <row r="363">
      <c r="A363" s="116"/>
      <c r="B363" s="116"/>
      <c r="R363" s="116"/>
      <c r="Y363" s="148"/>
    </row>
    <row r="364">
      <c r="A364" s="116"/>
      <c r="B364" s="116"/>
      <c r="R364" s="116"/>
      <c r="Y364" s="148"/>
    </row>
    <row r="365">
      <c r="A365" s="116"/>
      <c r="B365" s="116"/>
      <c r="R365" s="116"/>
      <c r="Y365" s="148"/>
    </row>
    <row r="366">
      <c r="A366" s="116"/>
      <c r="B366" s="116"/>
      <c r="R366" s="116"/>
      <c r="Y366" s="148"/>
    </row>
    <row r="367">
      <c r="A367" s="116"/>
      <c r="B367" s="116"/>
      <c r="R367" s="116"/>
      <c r="Y367" s="148"/>
    </row>
    <row r="368">
      <c r="A368" s="116"/>
      <c r="B368" s="116"/>
      <c r="R368" s="116"/>
      <c r="Y368" s="148"/>
    </row>
    <row r="369">
      <c r="A369" s="116"/>
      <c r="B369" s="116"/>
      <c r="R369" s="116"/>
      <c r="Y369" s="148"/>
    </row>
    <row r="370">
      <c r="A370" s="116"/>
      <c r="B370" s="116"/>
      <c r="R370" s="116"/>
      <c r="Y370" s="148"/>
    </row>
    <row r="371">
      <c r="A371" s="116"/>
      <c r="B371" s="116"/>
      <c r="R371" s="116"/>
      <c r="Y371" s="148"/>
    </row>
    <row r="372">
      <c r="A372" s="116"/>
      <c r="B372" s="116"/>
      <c r="R372" s="116"/>
      <c r="Y372" s="148"/>
    </row>
    <row r="373">
      <c r="A373" s="116"/>
      <c r="B373" s="116"/>
      <c r="R373" s="116"/>
      <c r="Y373" s="148"/>
    </row>
    <row r="374">
      <c r="A374" s="116"/>
      <c r="B374" s="116"/>
      <c r="R374" s="116"/>
      <c r="Y374" s="148"/>
    </row>
    <row r="375">
      <c r="A375" s="116"/>
      <c r="B375" s="116"/>
      <c r="R375" s="116"/>
      <c r="Y375" s="148"/>
    </row>
    <row r="376">
      <c r="A376" s="116"/>
      <c r="B376" s="116"/>
      <c r="R376" s="116"/>
      <c r="Y376" s="148"/>
    </row>
    <row r="377">
      <c r="A377" s="116"/>
      <c r="B377" s="116"/>
      <c r="R377" s="116"/>
      <c r="Y377" s="148"/>
    </row>
    <row r="378">
      <c r="A378" s="116"/>
      <c r="B378" s="116"/>
      <c r="R378" s="116"/>
      <c r="Y378" s="148"/>
    </row>
    <row r="379">
      <c r="A379" s="116"/>
      <c r="B379" s="116"/>
      <c r="R379" s="116"/>
      <c r="Y379" s="148"/>
    </row>
    <row r="380">
      <c r="A380" s="116"/>
      <c r="B380" s="116"/>
      <c r="R380" s="116"/>
      <c r="Y380" s="148"/>
    </row>
    <row r="381">
      <c r="A381" s="116"/>
      <c r="B381" s="116"/>
      <c r="R381" s="116"/>
      <c r="Y381" s="148"/>
    </row>
    <row r="382">
      <c r="A382" s="116"/>
      <c r="B382" s="116"/>
      <c r="R382" s="116"/>
      <c r="Y382" s="148"/>
    </row>
    <row r="383">
      <c r="A383" s="116"/>
      <c r="B383" s="116"/>
      <c r="R383" s="116"/>
      <c r="Y383" s="148"/>
    </row>
    <row r="384">
      <c r="A384" s="116"/>
      <c r="B384" s="116"/>
      <c r="R384" s="116"/>
      <c r="Y384" s="148"/>
    </row>
    <row r="385">
      <c r="A385" s="116"/>
      <c r="B385" s="116"/>
      <c r="R385" s="116"/>
      <c r="Y385" s="148"/>
    </row>
    <row r="386">
      <c r="A386" s="116"/>
      <c r="B386" s="116"/>
      <c r="R386" s="116"/>
      <c r="Y386" s="148"/>
    </row>
    <row r="387">
      <c r="A387" s="116"/>
      <c r="B387" s="116"/>
      <c r="R387" s="116"/>
      <c r="Y387" s="148"/>
    </row>
    <row r="388">
      <c r="A388" s="116"/>
      <c r="B388" s="116"/>
      <c r="R388" s="116"/>
      <c r="Y388" s="148"/>
    </row>
    <row r="389">
      <c r="A389" s="116"/>
      <c r="B389" s="116"/>
      <c r="R389" s="116"/>
      <c r="Y389" s="148"/>
    </row>
    <row r="390">
      <c r="A390" s="116"/>
      <c r="B390" s="116"/>
      <c r="R390" s="116"/>
      <c r="Y390" s="148"/>
    </row>
    <row r="391">
      <c r="A391" s="116"/>
      <c r="B391" s="116"/>
      <c r="R391" s="116"/>
      <c r="Y391" s="148"/>
    </row>
    <row r="392">
      <c r="A392" s="116"/>
      <c r="B392" s="116"/>
      <c r="R392" s="116"/>
      <c r="Y392" s="148"/>
    </row>
    <row r="393">
      <c r="A393" s="116"/>
      <c r="B393" s="116"/>
      <c r="R393" s="116"/>
      <c r="Y393" s="148"/>
    </row>
    <row r="394">
      <c r="A394" s="116"/>
      <c r="B394" s="116"/>
      <c r="R394" s="116"/>
      <c r="Y394" s="148"/>
    </row>
    <row r="395">
      <c r="A395" s="116"/>
      <c r="B395" s="116"/>
      <c r="R395" s="116"/>
      <c r="Y395" s="148"/>
    </row>
    <row r="396">
      <c r="A396" s="116"/>
      <c r="B396" s="116"/>
      <c r="R396" s="116"/>
      <c r="Y396" s="148"/>
    </row>
    <row r="397">
      <c r="A397" s="116"/>
      <c r="B397" s="116"/>
      <c r="R397" s="116"/>
      <c r="Y397" s="148"/>
    </row>
    <row r="398">
      <c r="A398" s="116"/>
      <c r="B398" s="116"/>
      <c r="R398" s="116"/>
      <c r="Y398" s="148"/>
    </row>
    <row r="399">
      <c r="A399" s="116"/>
      <c r="B399" s="116"/>
      <c r="R399" s="116"/>
      <c r="Y399" s="148"/>
    </row>
    <row r="400">
      <c r="A400" s="116"/>
      <c r="B400" s="116"/>
      <c r="R400" s="116"/>
      <c r="Y400" s="148"/>
    </row>
    <row r="401">
      <c r="A401" s="116"/>
      <c r="B401" s="116"/>
      <c r="R401" s="116"/>
      <c r="Y401" s="148"/>
    </row>
    <row r="402">
      <c r="A402" s="116"/>
      <c r="B402" s="116"/>
      <c r="R402" s="116"/>
      <c r="Y402" s="148"/>
    </row>
    <row r="403">
      <c r="A403" s="116"/>
      <c r="B403" s="116"/>
      <c r="R403" s="116"/>
      <c r="Y403" s="148"/>
    </row>
    <row r="404">
      <c r="A404" s="116"/>
      <c r="B404" s="116"/>
      <c r="R404" s="116"/>
      <c r="Y404" s="148"/>
    </row>
    <row r="405">
      <c r="A405" s="116"/>
      <c r="B405" s="116"/>
      <c r="R405" s="116"/>
      <c r="Y405" s="148"/>
    </row>
    <row r="406">
      <c r="A406" s="116"/>
      <c r="B406" s="116"/>
      <c r="R406" s="116"/>
      <c r="Y406" s="148"/>
    </row>
    <row r="407">
      <c r="A407" s="116"/>
      <c r="B407" s="116"/>
      <c r="R407" s="116"/>
      <c r="Y407" s="148"/>
    </row>
    <row r="408">
      <c r="A408" s="116"/>
      <c r="B408" s="116"/>
      <c r="R408" s="116"/>
      <c r="Y408" s="148"/>
    </row>
    <row r="409">
      <c r="A409" s="116"/>
      <c r="B409" s="116"/>
      <c r="R409" s="116"/>
      <c r="Y409" s="148"/>
    </row>
    <row r="410">
      <c r="A410" s="116"/>
      <c r="B410" s="116"/>
      <c r="R410" s="116"/>
      <c r="Y410" s="148"/>
    </row>
    <row r="411">
      <c r="A411" s="116"/>
      <c r="B411" s="116"/>
      <c r="R411" s="116"/>
      <c r="Y411" s="148"/>
    </row>
    <row r="412">
      <c r="A412" s="116"/>
      <c r="B412" s="116"/>
      <c r="R412" s="116"/>
      <c r="Y412" s="148"/>
    </row>
    <row r="413">
      <c r="A413" s="116"/>
      <c r="B413" s="116"/>
      <c r="R413" s="116"/>
      <c r="Y413" s="148"/>
    </row>
    <row r="414">
      <c r="A414" s="116"/>
      <c r="B414" s="116"/>
      <c r="R414" s="116"/>
      <c r="Y414" s="148"/>
    </row>
    <row r="415">
      <c r="A415" s="116"/>
      <c r="B415" s="116"/>
      <c r="R415" s="116"/>
      <c r="Y415" s="148"/>
    </row>
    <row r="416">
      <c r="A416" s="116"/>
      <c r="B416" s="116"/>
      <c r="R416" s="116"/>
      <c r="Y416" s="148"/>
    </row>
    <row r="417">
      <c r="A417" s="116"/>
      <c r="B417" s="116"/>
      <c r="R417" s="116"/>
      <c r="Y417" s="148"/>
    </row>
    <row r="418">
      <c r="A418" s="116"/>
      <c r="B418" s="116"/>
      <c r="R418" s="116"/>
      <c r="Y418" s="148"/>
    </row>
    <row r="419">
      <c r="A419" s="116"/>
      <c r="B419" s="116"/>
      <c r="R419" s="116"/>
      <c r="Y419" s="148"/>
    </row>
    <row r="420">
      <c r="A420" s="116"/>
      <c r="B420" s="116"/>
      <c r="R420" s="116"/>
      <c r="Y420" s="148"/>
    </row>
    <row r="421">
      <c r="A421" s="116"/>
      <c r="B421" s="116"/>
      <c r="R421" s="116"/>
      <c r="Y421" s="148"/>
    </row>
    <row r="422">
      <c r="A422" s="116"/>
      <c r="B422" s="116"/>
      <c r="R422" s="116"/>
      <c r="Y422" s="148"/>
    </row>
    <row r="423">
      <c r="A423" s="116"/>
      <c r="B423" s="116"/>
      <c r="R423" s="116"/>
      <c r="Y423" s="148"/>
    </row>
    <row r="424">
      <c r="A424" s="116"/>
      <c r="B424" s="116"/>
      <c r="R424" s="116"/>
      <c r="Y424" s="148"/>
    </row>
    <row r="425">
      <c r="A425" s="116"/>
      <c r="B425" s="116"/>
      <c r="R425" s="116"/>
      <c r="Y425" s="148"/>
    </row>
    <row r="426">
      <c r="A426" s="116"/>
      <c r="B426" s="116"/>
      <c r="R426" s="116"/>
      <c r="Y426" s="148"/>
    </row>
    <row r="427">
      <c r="A427" s="116"/>
      <c r="B427" s="116"/>
      <c r="R427" s="116"/>
      <c r="Y427" s="148"/>
    </row>
    <row r="428">
      <c r="A428" s="116"/>
      <c r="B428" s="116"/>
      <c r="R428" s="116"/>
      <c r="Y428" s="148"/>
    </row>
    <row r="429">
      <c r="A429" s="116"/>
      <c r="B429" s="116"/>
      <c r="R429" s="116"/>
      <c r="Y429" s="148"/>
    </row>
    <row r="430">
      <c r="A430" s="116"/>
      <c r="B430" s="116"/>
      <c r="R430" s="116"/>
      <c r="Y430" s="148"/>
    </row>
    <row r="431">
      <c r="A431" s="116"/>
      <c r="B431" s="116"/>
      <c r="R431" s="116"/>
      <c r="Y431" s="148"/>
    </row>
    <row r="432">
      <c r="A432" s="116"/>
      <c r="B432" s="116"/>
      <c r="R432" s="116"/>
      <c r="Y432" s="148"/>
    </row>
    <row r="433">
      <c r="A433" s="116"/>
      <c r="B433" s="116"/>
      <c r="R433" s="116"/>
      <c r="Y433" s="148"/>
    </row>
    <row r="434">
      <c r="A434" s="116"/>
      <c r="B434" s="116"/>
      <c r="R434" s="116"/>
      <c r="Y434" s="148"/>
    </row>
    <row r="435">
      <c r="A435" s="116"/>
      <c r="B435" s="116"/>
      <c r="R435" s="116"/>
      <c r="Y435" s="148"/>
    </row>
    <row r="436">
      <c r="A436" s="116"/>
      <c r="B436" s="116"/>
      <c r="R436" s="116"/>
      <c r="Y436" s="148"/>
    </row>
    <row r="437">
      <c r="A437" s="116"/>
      <c r="B437" s="116"/>
      <c r="R437" s="116"/>
      <c r="Y437" s="148"/>
    </row>
    <row r="438">
      <c r="A438" s="116"/>
      <c r="B438" s="116"/>
      <c r="R438" s="116"/>
      <c r="Y438" s="148"/>
    </row>
    <row r="439">
      <c r="A439" s="116"/>
      <c r="B439" s="116"/>
      <c r="R439" s="116"/>
      <c r="Y439" s="148"/>
    </row>
    <row r="440">
      <c r="A440" s="116"/>
      <c r="B440" s="116"/>
      <c r="R440" s="116"/>
      <c r="Y440" s="148"/>
    </row>
    <row r="441">
      <c r="A441" s="116"/>
      <c r="B441" s="116"/>
      <c r="R441" s="116"/>
      <c r="Y441" s="148"/>
    </row>
    <row r="442">
      <c r="A442" s="116"/>
      <c r="B442" s="116"/>
      <c r="R442" s="116"/>
      <c r="Y442" s="148"/>
    </row>
    <row r="443">
      <c r="A443" s="116"/>
      <c r="B443" s="116"/>
      <c r="R443" s="116"/>
      <c r="Y443" s="148"/>
    </row>
    <row r="444">
      <c r="A444" s="116"/>
      <c r="B444" s="116"/>
      <c r="R444" s="116"/>
      <c r="Y444" s="148"/>
    </row>
    <row r="445">
      <c r="A445" s="116"/>
      <c r="B445" s="116"/>
      <c r="R445" s="116"/>
      <c r="Y445" s="148"/>
    </row>
    <row r="446">
      <c r="A446" s="116"/>
      <c r="B446" s="116"/>
      <c r="R446" s="116"/>
      <c r="Y446" s="148"/>
    </row>
    <row r="447">
      <c r="A447" s="116"/>
      <c r="B447" s="116"/>
      <c r="R447" s="116"/>
      <c r="Y447" s="148"/>
    </row>
    <row r="448">
      <c r="A448" s="116"/>
      <c r="B448" s="116"/>
      <c r="R448" s="116"/>
      <c r="Y448" s="148"/>
    </row>
    <row r="449">
      <c r="A449" s="116"/>
      <c r="B449" s="116"/>
      <c r="R449" s="116"/>
      <c r="Y449" s="148"/>
    </row>
    <row r="450">
      <c r="A450" s="116"/>
      <c r="B450" s="116"/>
      <c r="R450" s="116"/>
      <c r="Y450" s="148"/>
    </row>
    <row r="451">
      <c r="A451" s="116"/>
      <c r="B451" s="116"/>
      <c r="R451" s="116"/>
      <c r="Y451" s="148"/>
    </row>
    <row r="452">
      <c r="A452" s="116"/>
      <c r="B452" s="116"/>
      <c r="R452" s="116"/>
      <c r="Y452" s="148"/>
    </row>
    <row r="453">
      <c r="A453" s="116"/>
      <c r="B453" s="116"/>
      <c r="R453" s="116"/>
      <c r="Y453" s="148"/>
    </row>
    <row r="454">
      <c r="A454" s="116"/>
      <c r="B454" s="116"/>
      <c r="R454" s="116"/>
      <c r="Y454" s="148"/>
    </row>
    <row r="455">
      <c r="A455" s="116"/>
      <c r="B455" s="116"/>
      <c r="R455" s="116"/>
      <c r="Y455" s="148"/>
    </row>
    <row r="456">
      <c r="A456" s="116"/>
      <c r="B456" s="116"/>
      <c r="R456" s="116"/>
      <c r="Y456" s="148"/>
    </row>
    <row r="457">
      <c r="A457" s="116"/>
      <c r="B457" s="116"/>
      <c r="R457" s="116"/>
      <c r="Y457" s="148"/>
    </row>
    <row r="458">
      <c r="A458" s="116"/>
      <c r="B458" s="116"/>
      <c r="R458" s="116"/>
      <c r="Y458" s="148"/>
    </row>
    <row r="459">
      <c r="A459" s="116"/>
      <c r="B459" s="116"/>
      <c r="R459" s="116"/>
      <c r="Y459" s="148"/>
    </row>
    <row r="460">
      <c r="A460" s="116"/>
      <c r="B460" s="116"/>
      <c r="R460" s="116"/>
      <c r="Y460" s="148"/>
    </row>
    <row r="461">
      <c r="A461" s="116"/>
      <c r="B461" s="116"/>
      <c r="R461" s="116"/>
      <c r="Y461" s="148"/>
    </row>
    <row r="462">
      <c r="A462" s="116"/>
      <c r="B462" s="116"/>
      <c r="R462" s="116"/>
      <c r="Y462" s="148"/>
    </row>
    <row r="463">
      <c r="A463" s="116"/>
      <c r="B463" s="116"/>
      <c r="R463" s="116"/>
      <c r="Y463" s="148"/>
    </row>
    <row r="464">
      <c r="A464" s="116"/>
      <c r="B464" s="116"/>
      <c r="R464" s="116"/>
      <c r="Y464" s="148"/>
    </row>
    <row r="465">
      <c r="A465" s="116"/>
      <c r="B465" s="116"/>
      <c r="R465" s="116"/>
      <c r="Y465" s="148"/>
    </row>
    <row r="466">
      <c r="A466" s="116"/>
      <c r="B466" s="116"/>
      <c r="R466" s="116"/>
      <c r="Y466" s="148"/>
    </row>
    <row r="467">
      <c r="A467" s="116"/>
      <c r="B467" s="116"/>
      <c r="R467" s="116"/>
      <c r="Y467" s="148"/>
    </row>
    <row r="468">
      <c r="A468" s="116"/>
      <c r="B468" s="116"/>
      <c r="R468" s="116"/>
      <c r="Y468" s="148"/>
    </row>
    <row r="469">
      <c r="A469" s="116"/>
      <c r="B469" s="116"/>
      <c r="R469" s="116"/>
      <c r="Y469" s="148"/>
    </row>
    <row r="470">
      <c r="A470" s="116"/>
      <c r="B470" s="116"/>
      <c r="R470" s="116"/>
      <c r="Y470" s="148"/>
    </row>
    <row r="471">
      <c r="A471" s="116"/>
      <c r="B471" s="116"/>
      <c r="R471" s="116"/>
      <c r="Y471" s="148"/>
    </row>
    <row r="472">
      <c r="A472" s="116"/>
      <c r="B472" s="116"/>
      <c r="R472" s="116"/>
      <c r="Y472" s="148"/>
    </row>
    <row r="473">
      <c r="A473" s="116"/>
      <c r="B473" s="116"/>
      <c r="R473" s="116"/>
      <c r="Y473" s="148"/>
    </row>
    <row r="474">
      <c r="A474" s="116"/>
      <c r="B474" s="116"/>
      <c r="R474" s="116"/>
      <c r="Y474" s="148"/>
    </row>
    <row r="475">
      <c r="A475" s="116"/>
      <c r="B475" s="116"/>
      <c r="R475" s="116"/>
      <c r="Y475" s="148"/>
    </row>
    <row r="476">
      <c r="A476" s="116"/>
      <c r="B476" s="116"/>
      <c r="R476" s="116"/>
      <c r="Y476" s="148"/>
    </row>
    <row r="477">
      <c r="A477" s="116"/>
      <c r="B477" s="116"/>
      <c r="R477" s="116"/>
      <c r="Y477" s="148"/>
    </row>
    <row r="478">
      <c r="A478" s="116"/>
      <c r="B478" s="116"/>
      <c r="R478" s="116"/>
      <c r="Y478" s="148"/>
    </row>
    <row r="479">
      <c r="A479" s="116"/>
      <c r="B479" s="116"/>
      <c r="R479" s="116"/>
      <c r="Y479" s="148"/>
    </row>
    <row r="480">
      <c r="A480" s="116"/>
      <c r="B480" s="116"/>
      <c r="R480" s="116"/>
      <c r="Y480" s="148"/>
    </row>
    <row r="481">
      <c r="A481" s="116"/>
      <c r="B481" s="116"/>
      <c r="R481" s="116"/>
      <c r="Y481" s="148"/>
    </row>
    <row r="482">
      <c r="A482" s="116"/>
      <c r="B482" s="116"/>
      <c r="R482" s="116"/>
      <c r="Y482" s="148"/>
    </row>
    <row r="483">
      <c r="A483" s="116"/>
      <c r="B483" s="116"/>
      <c r="R483" s="116"/>
      <c r="Y483" s="148"/>
    </row>
    <row r="484">
      <c r="A484" s="116"/>
      <c r="B484" s="116"/>
      <c r="R484" s="116"/>
      <c r="Y484" s="148"/>
    </row>
    <row r="485">
      <c r="A485" s="116"/>
      <c r="B485" s="116"/>
      <c r="R485" s="116"/>
      <c r="Y485" s="148"/>
    </row>
    <row r="486">
      <c r="A486" s="116"/>
      <c r="B486" s="116"/>
      <c r="R486" s="116"/>
      <c r="Y486" s="148"/>
    </row>
    <row r="487">
      <c r="A487" s="116"/>
      <c r="B487" s="116"/>
      <c r="R487" s="116"/>
      <c r="Y487" s="148"/>
    </row>
    <row r="488">
      <c r="A488" s="116"/>
      <c r="B488" s="116"/>
      <c r="R488" s="116"/>
      <c r="Y488" s="148"/>
    </row>
    <row r="489">
      <c r="A489" s="116"/>
      <c r="B489" s="116"/>
      <c r="R489" s="116"/>
      <c r="Y489" s="148"/>
    </row>
    <row r="490">
      <c r="A490" s="116"/>
      <c r="B490" s="116"/>
      <c r="R490" s="116"/>
      <c r="Y490" s="148"/>
    </row>
    <row r="491">
      <c r="A491" s="116"/>
      <c r="B491" s="116"/>
      <c r="R491" s="116"/>
      <c r="Y491" s="148"/>
    </row>
    <row r="492">
      <c r="A492" s="116"/>
      <c r="B492" s="116"/>
      <c r="R492" s="116"/>
      <c r="Y492" s="148"/>
    </row>
    <row r="493">
      <c r="A493" s="116"/>
      <c r="B493" s="116"/>
      <c r="R493" s="116"/>
      <c r="Y493" s="148"/>
    </row>
    <row r="494">
      <c r="A494" s="116"/>
      <c r="B494" s="116"/>
      <c r="R494" s="116"/>
      <c r="Y494" s="148"/>
    </row>
    <row r="495">
      <c r="A495" s="116"/>
      <c r="B495" s="116"/>
      <c r="R495" s="116"/>
      <c r="Y495" s="148"/>
    </row>
    <row r="496">
      <c r="A496" s="116"/>
      <c r="B496" s="116"/>
      <c r="R496" s="116"/>
      <c r="Y496" s="148"/>
    </row>
    <row r="497">
      <c r="A497" s="116"/>
      <c r="B497" s="116"/>
      <c r="R497" s="116"/>
      <c r="Y497" s="148"/>
    </row>
    <row r="498">
      <c r="A498" s="116"/>
      <c r="B498" s="116"/>
      <c r="R498" s="116"/>
      <c r="Y498" s="148"/>
    </row>
    <row r="499">
      <c r="A499" s="116"/>
      <c r="B499" s="116"/>
      <c r="R499" s="116"/>
      <c r="Y499" s="148"/>
    </row>
    <row r="500">
      <c r="A500" s="116"/>
      <c r="B500" s="116"/>
      <c r="R500" s="116"/>
      <c r="Y500" s="148"/>
    </row>
    <row r="501">
      <c r="A501" s="116"/>
      <c r="B501" s="116"/>
      <c r="R501" s="116"/>
      <c r="Y501" s="148"/>
    </row>
    <row r="502">
      <c r="A502" s="116"/>
      <c r="B502" s="116"/>
      <c r="R502" s="116"/>
      <c r="Y502" s="148"/>
    </row>
    <row r="503">
      <c r="A503" s="116"/>
      <c r="B503" s="116"/>
      <c r="R503" s="116"/>
      <c r="Y503" s="148"/>
    </row>
    <row r="504">
      <c r="A504" s="116"/>
      <c r="B504" s="116"/>
      <c r="R504" s="116"/>
      <c r="Y504" s="148"/>
    </row>
    <row r="505">
      <c r="A505" s="116"/>
      <c r="B505" s="116"/>
      <c r="R505" s="116"/>
      <c r="Y505" s="148"/>
    </row>
    <row r="506">
      <c r="A506" s="116"/>
      <c r="B506" s="116"/>
      <c r="R506" s="116"/>
      <c r="Y506" s="148"/>
    </row>
    <row r="507">
      <c r="A507" s="116"/>
      <c r="B507" s="116"/>
      <c r="R507" s="116"/>
      <c r="Y507" s="148"/>
    </row>
    <row r="508">
      <c r="A508" s="116"/>
      <c r="B508" s="116"/>
      <c r="R508" s="116"/>
      <c r="Y508" s="148"/>
    </row>
    <row r="509">
      <c r="A509" s="116"/>
      <c r="B509" s="116"/>
      <c r="R509" s="116"/>
      <c r="Y509" s="148"/>
    </row>
    <row r="510">
      <c r="A510" s="116"/>
      <c r="B510" s="116"/>
      <c r="R510" s="116"/>
      <c r="Y510" s="148"/>
    </row>
    <row r="511">
      <c r="A511" s="116"/>
      <c r="B511" s="116"/>
      <c r="R511" s="116"/>
      <c r="Y511" s="148"/>
    </row>
    <row r="512">
      <c r="A512" s="116"/>
      <c r="B512" s="116"/>
      <c r="R512" s="116"/>
      <c r="Y512" s="148"/>
    </row>
    <row r="513">
      <c r="A513" s="116"/>
      <c r="B513" s="116"/>
      <c r="R513" s="116"/>
      <c r="Y513" s="148"/>
    </row>
    <row r="514">
      <c r="A514" s="116"/>
      <c r="B514" s="116"/>
      <c r="R514" s="116"/>
      <c r="Y514" s="148"/>
    </row>
    <row r="515">
      <c r="A515" s="116"/>
      <c r="B515" s="116"/>
      <c r="R515" s="116"/>
      <c r="Y515" s="148"/>
    </row>
    <row r="516">
      <c r="A516" s="116"/>
      <c r="B516" s="116"/>
      <c r="R516" s="116"/>
      <c r="Y516" s="148"/>
    </row>
    <row r="517">
      <c r="A517" s="116"/>
      <c r="B517" s="116"/>
      <c r="R517" s="116"/>
      <c r="Y517" s="148"/>
    </row>
    <row r="518">
      <c r="A518" s="116"/>
      <c r="B518" s="116"/>
      <c r="R518" s="116"/>
      <c r="Y518" s="148"/>
    </row>
    <row r="519">
      <c r="A519" s="116"/>
      <c r="B519" s="116"/>
      <c r="R519" s="116"/>
      <c r="Y519" s="148"/>
    </row>
    <row r="520">
      <c r="A520" s="116"/>
      <c r="B520" s="116"/>
      <c r="R520" s="116"/>
      <c r="Y520" s="148"/>
    </row>
    <row r="521">
      <c r="A521" s="116"/>
      <c r="B521" s="116"/>
      <c r="R521" s="116"/>
      <c r="Y521" s="148"/>
    </row>
    <row r="522">
      <c r="A522" s="116"/>
      <c r="B522" s="116"/>
      <c r="R522" s="116"/>
      <c r="Y522" s="148"/>
    </row>
    <row r="523">
      <c r="A523" s="116"/>
      <c r="B523" s="116"/>
      <c r="R523" s="116"/>
      <c r="Y523" s="148"/>
    </row>
    <row r="524">
      <c r="A524" s="116"/>
      <c r="B524" s="116"/>
      <c r="R524" s="116"/>
      <c r="Y524" s="148"/>
    </row>
    <row r="525">
      <c r="A525" s="116"/>
      <c r="B525" s="116"/>
      <c r="R525" s="116"/>
      <c r="Y525" s="148"/>
    </row>
    <row r="526">
      <c r="A526" s="116"/>
      <c r="B526" s="116"/>
      <c r="R526" s="116"/>
      <c r="Y526" s="148"/>
    </row>
    <row r="527">
      <c r="A527" s="116"/>
      <c r="B527" s="116"/>
      <c r="R527" s="116"/>
      <c r="Y527" s="148"/>
    </row>
    <row r="528">
      <c r="A528" s="116"/>
      <c r="B528" s="116"/>
      <c r="R528" s="116"/>
      <c r="Y528" s="148"/>
    </row>
    <row r="529">
      <c r="A529" s="116"/>
      <c r="B529" s="116"/>
      <c r="R529" s="116"/>
      <c r="Y529" s="148"/>
    </row>
    <row r="530">
      <c r="A530" s="116"/>
      <c r="B530" s="116"/>
      <c r="R530" s="116"/>
      <c r="Y530" s="148"/>
    </row>
    <row r="531">
      <c r="A531" s="116"/>
      <c r="B531" s="116"/>
      <c r="R531" s="116"/>
      <c r="Y531" s="148"/>
    </row>
    <row r="532">
      <c r="A532" s="116"/>
      <c r="B532" s="116"/>
      <c r="R532" s="116"/>
      <c r="Y532" s="148"/>
    </row>
    <row r="533">
      <c r="A533" s="116"/>
      <c r="B533" s="116"/>
      <c r="R533" s="116"/>
      <c r="Y533" s="148"/>
    </row>
    <row r="534">
      <c r="A534" s="116"/>
      <c r="B534" s="116"/>
      <c r="R534" s="116"/>
      <c r="Y534" s="148"/>
    </row>
    <row r="535">
      <c r="A535" s="116"/>
      <c r="B535" s="116"/>
      <c r="R535" s="116"/>
      <c r="Y535" s="148"/>
    </row>
    <row r="536">
      <c r="A536" s="116"/>
      <c r="B536" s="116"/>
      <c r="R536" s="116"/>
      <c r="Y536" s="148"/>
    </row>
    <row r="537">
      <c r="A537" s="116"/>
      <c r="B537" s="116"/>
      <c r="R537" s="116"/>
      <c r="Y537" s="148"/>
    </row>
    <row r="538">
      <c r="A538" s="116"/>
      <c r="B538" s="116"/>
      <c r="R538" s="116"/>
      <c r="Y538" s="148"/>
    </row>
    <row r="539">
      <c r="A539" s="116"/>
      <c r="B539" s="116"/>
      <c r="R539" s="116"/>
      <c r="Y539" s="148"/>
    </row>
    <row r="540">
      <c r="A540" s="116"/>
      <c r="B540" s="116"/>
      <c r="R540" s="116"/>
      <c r="Y540" s="148"/>
    </row>
    <row r="541">
      <c r="A541" s="116"/>
      <c r="B541" s="116"/>
      <c r="R541" s="116"/>
      <c r="Y541" s="148"/>
    </row>
    <row r="542">
      <c r="A542" s="116"/>
      <c r="B542" s="116"/>
      <c r="R542" s="116"/>
      <c r="Y542" s="148"/>
    </row>
    <row r="543">
      <c r="A543" s="116"/>
      <c r="B543" s="116"/>
      <c r="R543" s="116"/>
      <c r="Y543" s="148"/>
    </row>
    <row r="544">
      <c r="A544" s="116"/>
      <c r="B544" s="116"/>
      <c r="R544" s="116"/>
      <c r="Y544" s="148"/>
    </row>
    <row r="545">
      <c r="A545" s="116"/>
      <c r="B545" s="116"/>
      <c r="R545" s="116"/>
      <c r="Y545" s="148"/>
    </row>
    <row r="546">
      <c r="A546" s="116"/>
      <c r="B546" s="116"/>
      <c r="R546" s="116"/>
      <c r="Y546" s="148"/>
    </row>
    <row r="547">
      <c r="A547" s="116"/>
      <c r="B547" s="116"/>
      <c r="R547" s="116"/>
      <c r="Y547" s="148"/>
    </row>
    <row r="548">
      <c r="A548" s="116"/>
      <c r="B548" s="116"/>
      <c r="R548" s="116"/>
      <c r="Y548" s="148"/>
    </row>
    <row r="549">
      <c r="A549" s="116"/>
      <c r="B549" s="116"/>
      <c r="R549" s="116"/>
      <c r="Y549" s="148"/>
    </row>
    <row r="550">
      <c r="A550" s="116"/>
      <c r="B550" s="116"/>
      <c r="R550" s="116"/>
      <c r="Y550" s="148"/>
    </row>
    <row r="551">
      <c r="A551" s="116"/>
      <c r="B551" s="116"/>
      <c r="R551" s="116"/>
      <c r="Y551" s="148"/>
    </row>
    <row r="552">
      <c r="A552" s="116"/>
      <c r="B552" s="116"/>
      <c r="R552" s="116"/>
      <c r="Y552" s="148"/>
    </row>
    <row r="553">
      <c r="A553" s="116"/>
      <c r="B553" s="116"/>
      <c r="R553" s="116"/>
      <c r="Y553" s="148"/>
    </row>
    <row r="554">
      <c r="A554" s="116"/>
      <c r="B554" s="116"/>
      <c r="R554" s="116"/>
      <c r="Y554" s="148"/>
    </row>
    <row r="555">
      <c r="A555" s="116"/>
      <c r="B555" s="116"/>
      <c r="R555" s="116"/>
      <c r="Y555" s="148"/>
    </row>
    <row r="556">
      <c r="A556" s="116"/>
      <c r="B556" s="116"/>
      <c r="R556" s="116"/>
      <c r="Y556" s="148"/>
    </row>
    <row r="557">
      <c r="A557" s="116"/>
      <c r="B557" s="116"/>
      <c r="R557" s="116"/>
      <c r="Y557" s="148"/>
    </row>
    <row r="558">
      <c r="A558" s="116"/>
      <c r="B558" s="116"/>
      <c r="R558" s="116"/>
      <c r="Y558" s="148"/>
    </row>
    <row r="559">
      <c r="A559" s="116"/>
      <c r="B559" s="116"/>
      <c r="R559" s="116"/>
      <c r="Y559" s="148"/>
    </row>
    <row r="560">
      <c r="A560" s="116"/>
      <c r="B560" s="116"/>
      <c r="R560" s="116"/>
      <c r="Y560" s="148"/>
    </row>
    <row r="561">
      <c r="A561" s="116"/>
      <c r="B561" s="116"/>
      <c r="R561" s="116"/>
      <c r="Y561" s="148"/>
    </row>
    <row r="562">
      <c r="A562" s="116"/>
      <c r="B562" s="116"/>
      <c r="R562" s="116"/>
      <c r="Y562" s="148"/>
    </row>
    <row r="563">
      <c r="A563" s="116"/>
      <c r="B563" s="116"/>
      <c r="R563" s="116"/>
      <c r="Y563" s="148"/>
    </row>
    <row r="564">
      <c r="A564" s="116"/>
      <c r="B564" s="116"/>
      <c r="R564" s="116"/>
      <c r="Y564" s="148"/>
    </row>
    <row r="565">
      <c r="A565" s="116"/>
      <c r="B565" s="116"/>
      <c r="R565" s="116"/>
      <c r="Y565" s="148"/>
    </row>
    <row r="566">
      <c r="A566" s="116"/>
      <c r="B566" s="116"/>
      <c r="R566" s="116"/>
      <c r="Y566" s="148"/>
    </row>
    <row r="567">
      <c r="A567" s="116"/>
      <c r="B567" s="116"/>
      <c r="R567" s="116"/>
      <c r="Y567" s="148"/>
    </row>
    <row r="568">
      <c r="A568" s="116"/>
      <c r="B568" s="116"/>
      <c r="R568" s="116"/>
      <c r="Y568" s="148"/>
    </row>
    <row r="569">
      <c r="A569" s="116"/>
      <c r="B569" s="116"/>
      <c r="R569" s="116"/>
      <c r="Y569" s="148"/>
    </row>
    <row r="570">
      <c r="A570" s="116"/>
      <c r="B570" s="116"/>
      <c r="R570" s="116"/>
      <c r="Y570" s="148"/>
    </row>
    <row r="571">
      <c r="A571" s="116"/>
      <c r="B571" s="116"/>
      <c r="R571" s="116"/>
      <c r="Y571" s="148"/>
    </row>
    <row r="572">
      <c r="A572" s="116"/>
      <c r="B572" s="116"/>
      <c r="R572" s="116"/>
      <c r="Y572" s="148"/>
    </row>
    <row r="573">
      <c r="A573" s="116"/>
      <c r="B573" s="116"/>
      <c r="R573" s="116"/>
      <c r="Y573" s="148"/>
    </row>
    <row r="574">
      <c r="A574" s="116"/>
      <c r="B574" s="116"/>
      <c r="R574" s="116"/>
      <c r="Y574" s="148"/>
    </row>
    <row r="575">
      <c r="A575" s="116"/>
      <c r="B575" s="116"/>
      <c r="R575" s="116"/>
      <c r="Y575" s="148"/>
    </row>
    <row r="576">
      <c r="A576" s="116"/>
      <c r="B576" s="116"/>
      <c r="R576" s="116"/>
      <c r="Y576" s="148"/>
    </row>
    <row r="577">
      <c r="A577" s="116"/>
      <c r="B577" s="116"/>
      <c r="R577" s="116"/>
      <c r="Y577" s="148"/>
    </row>
    <row r="578">
      <c r="A578" s="116"/>
      <c r="B578" s="116"/>
      <c r="R578" s="116"/>
      <c r="Y578" s="148"/>
    </row>
    <row r="579">
      <c r="A579" s="116"/>
      <c r="B579" s="116"/>
      <c r="R579" s="116"/>
      <c r="Y579" s="148"/>
    </row>
    <row r="580">
      <c r="A580" s="116"/>
      <c r="B580" s="116"/>
      <c r="R580" s="116"/>
      <c r="Y580" s="148"/>
    </row>
    <row r="581">
      <c r="A581" s="116"/>
      <c r="B581" s="116"/>
      <c r="R581" s="116"/>
      <c r="Y581" s="148"/>
    </row>
    <row r="582">
      <c r="A582" s="116"/>
      <c r="B582" s="116"/>
      <c r="R582" s="116"/>
      <c r="Y582" s="148"/>
    </row>
    <row r="583">
      <c r="A583" s="116"/>
      <c r="B583" s="116"/>
      <c r="R583" s="116"/>
      <c r="Y583" s="148"/>
    </row>
    <row r="584">
      <c r="A584" s="116"/>
      <c r="B584" s="116"/>
      <c r="R584" s="116"/>
      <c r="Y584" s="148"/>
    </row>
    <row r="585">
      <c r="A585" s="116"/>
      <c r="B585" s="116"/>
      <c r="R585" s="116"/>
      <c r="Y585" s="148"/>
    </row>
    <row r="586">
      <c r="A586" s="116"/>
      <c r="B586" s="116"/>
      <c r="R586" s="116"/>
      <c r="Y586" s="148"/>
    </row>
    <row r="587">
      <c r="A587" s="116"/>
      <c r="B587" s="116"/>
      <c r="R587" s="116"/>
      <c r="Y587" s="148"/>
    </row>
    <row r="588">
      <c r="A588" s="116"/>
      <c r="B588" s="116"/>
      <c r="R588" s="116"/>
      <c r="Y588" s="148"/>
    </row>
    <row r="589">
      <c r="A589" s="116"/>
      <c r="B589" s="116"/>
      <c r="R589" s="116"/>
      <c r="Y589" s="148"/>
    </row>
    <row r="590">
      <c r="A590" s="116"/>
      <c r="B590" s="116"/>
      <c r="R590" s="116"/>
      <c r="Y590" s="148"/>
    </row>
    <row r="591">
      <c r="A591" s="116"/>
      <c r="B591" s="116"/>
      <c r="R591" s="116"/>
      <c r="Y591" s="148"/>
    </row>
    <row r="592">
      <c r="A592" s="116"/>
      <c r="B592" s="116"/>
      <c r="R592" s="116"/>
      <c r="Y592" s="148"/>
    </row>
    <row r="593">
      <c r="A593" s="116"/>
      <c r="B593" s="116"/>
      <c r="R593" s="116"/>
      <c r="Y593" s="148"/>
    </row>
    <row r="594">
      <c r="A594" s="116"/>
      <c r="B594" s="116"/>
      <c r="R594" s="116"/>
      <c r="Y594" s="148"/>
    </row>
    <row r="595">
      <c r="A595" s="116"/>
      <c r="B595" s="116"/>
      <c r="R595" s="116"/>
      <c r="Y595" s="148"/>
    </row>
    <row r="596">
      <c r="A596" s="116"/>
      <c r="B596" s="116"/>
      <c r="R596" s="116"/>
      <c r="Y596" s="148"/>
    </row>
    <row r="597">
      <c r="A597" s="116"/>
      <c r="B597" s="116"/>
      <c r="R597" s="116"/>
      <c r="Y597" s="148"/>
    </row>
    <row r="598">
      <c r="A598" s="116"/>
      <c r="B598" s="116"/>
      <c r="R598" s="116"/>
      <c r="Y598" s="148"/>
    </row>
    <row r="599">
      <c r="A599" s="116"/>
      <c r="B599" s="116"/>
      <c r="R599" s="116"/>
      <c r="Y599" s="148"/>
    </row>
    <row r="600">
      <c r="A600" s="116"/>
      <c r="B600" s="116"/>
      <c r="R600" s="116"/>
      <c r="Y600" s="148"/>
    </row>
    <row r="601">
      <c r="A601" s="116"/>
      <c r="B601" s="116"/>
      <c r="R601" s="116"/>
      <c r="Y601" s="148"/>
    </row>
    <row r="602">
      <c r="A602" s="116"/>
      <c r="B602" s="116"/>
      <c r="R602" s="116"/>
      <c r="Y602" s="148"/>
    </row>
    <row r="603">
      <c r="A603" s="116"/>
      <c r="B603" s="116"/>
      <c r="R603" s="116"/>
      <c r="Y603" s="148"/>
    </row>
    <row r="604">
      <c r="A604" s="116"/>
      <c r="B604" s="116"/>
      <c r="R604" s="116"/>
      <c r="Y604" s="148"/>
    </row>
    <row r="605">
      <c r="A605" s="116"/>
      <c r="B605" s="116"/>
      <c r="R605" s="116"/>
      <c r="Y605" s="148"/>
    </row>
    <row r="606">
      <c r="A606" s="116"/>
      <c r="B606" s="116"/>
      <c r="R606" s="116"/>
      <c r="Y606" s="148"/>
    </row>
    <row r="607">
      <c r="A607" s="116"/>
      <c r="B607" s="116"/>
      <c r="R607" s="116"/>
      <c r="Y607" s="148"/>
    </row>
    <row r="608">
      <c r="A608" s="116"/>
      <c r="B608" s="116"/>
      <c r="R608" s="116"/>
      <c r="Y608" s="148"/>
    </row>
    <row r="609">
      <c r="A609" s="116"/>
      <c r="B609" s="116"/>
      <c r="R609" s="116"/>
      <c r="Y609" s="148"/>
    </row>
    <row r="610">
      <c r="A610" s="116"/>
      <c r="B610" s="116"/>
      <c r="R610" s="116"/>
      <c r="Y610" s="148"/>
    </row>
    <row r="611">
      <c r="A611" s="116"/>
      <c r="B611" s="116"/>
      <c r="R611" s="116"/>
      <c r="Y611" s="148"/>
    </row>
    <row r="612">
      <c r="A612" s="116"/>
      <c r="B612" s="116"/>
      <c r="R612" s="116"/>
      <c r="Y612" s="148"/>
    </row>
    <row r="613">
      <c r="A613" s="116"/>
      <c r="B613" s="116"/>
      <c r="R613" s="116"/>
      <c r="Y613" s="148"/>
    </row>
    <row r="614">
      <c r="A614" s="116"/>
      <c r="B614" s="116"/>
      <c r="R614" s="116"/>
      <c r="Y614" s="148"/>
    </row>
    <row r="615">
      <c r="A615" s="116"/>
      <c r="B615" s="116"/>
      <c r="R615" s="116"/>
      <c r="Y615" s="148"/>
    </row>
    <row r="616">
      <c r="A616" s="116"/>
      <c r="B616" s="116"/>
      <c r="R616" s="116"/>
      <c r="Y616" s="148"/>
    </row>
    <row r="617">
      <c r="A617" s="116"/>
      <c r="B617" s="116"/>
      <c r="R617" s="116"/>
      <c r="Y617" s="148"/>
    </row>
    <row r="618">
      <c r="A618" s="116"/>
      <c r="B618" s="116"/>
      <c r="R618" s="116"/>
      <c r="Y618" s="148"/>
    </row>
    <row r="619">
      <c r="A619" s="116"/>
      <c r="B619" s="116"/>
      <c r="R619" s="116"/>
      <c r="Y619" s="148"/>
    </row>
    <row r="620">
      <c r="A620" s="116"/>
      <c r="B620" s="116"/>
      <c r="R620" s="116"/>
      <c r="Y620" s="148"/>
    </row>
    <row r="621">
      <c r="A621" s="116"/>
      <c r="B621" s="116"/>
      <c r="R621" s="116"/>
      <c r="Y621" s="148"/>
    </row>
    <row r="622">
      <c r="A622" s="116"/>
      <c r="B622" s="116"/>
      <c r="R622" s="116"/>
      <c r="Y622" s="148"/>
    </row>
    <row r="623">
      <c r="A623" s="116"/>
      <c r="B623" s="116"/>
      <c r="R623" s="116"/>
      <c r="Y623" s="148"/>
    </row>
    <row r="624">
      <c r="A624" s="116"/>
      <c r="B624" s="116"/>
      <c r="R624" s="116"/>
      <c r="Y624" s="148"/>
    </row>
    <row r="625">
      <c r="A625" s="116"/>
      <c r="B625" s="116"/>
      <c r="R625" s="116"/>
      <c r="Y625" s="148"/>
    </row>
    <row r="626">
      <c r="A626" s="116"/>
      <c r="B626" s="116"/>
      <c r="R626" s="116"/>
      <c r="Y626" s="148"/>
    </row>
    <row r="627">
      <c r="A627" s="116"/>
      <c r="B627" s="116"/>
      <c r="R627" s="116"/>
      <c r="Y627" s="148"/>
    </row>
    <row r="628">
      <c r="A628" s="116"/>
      <c r="B628" s="116"/>
      <c r="R628" s="116"/>
      <c r="Y628" s="148"/>
    </row>
    <row r="629">
      <c r="A629" s="116"/>
      <c r="B629" s="116"/>
      <c r="R629" s="116"/>
      <c r="Y629" s="148"/>
    </row>
    <row r="630">
      <c r="A630" s="116"/>
      <c r="B630" s="116"/>
      <c r="R630" s="116"/>
      <c r="Y630" s="148"/>
    </row>
    <row r="631">
      <c r="A631" s="116"/>
      <c r="B631" s="116"/>
      <c r="R631" s="116"/>
      <c r="Y631" s="148"/>
    </row>
    <row r="632">
      <c r="A632" s="116"/>
      <c r="B632" s="116"/>
      <c r="R632" s="116"/>
      <c r="Y632" s="148"/>
    </row>
    <row r="633">
      <c r="A633" s="116"/>
      <c r="B633" s="116"/>
      <c r="R633" s="116"/>
      <c r="Y633" s="148"/>
    </row>
    <row r="634">
      <c r="A634" s="116"/>
      <c r="B634" s="116"/>
      <c r="R634" s="116"/>
      <c r="Y634" s="148"/>
    </row>
    <row r="635">
      <c r="A635" s="116"/>
      <c r="B635" s="116"/>
      <c r="R635" s="116"/>
      <c r="Y635" s="148"/>
    </row>
    <row r="636">
      <c r="A636" s="116"/>
      <c r="B636" s="116"/>
      <c r="R636" s="116"/>
      <c r="Y636" s="148"/>
    </row>
    <row r="637">
      <c r="A637" s="116"/>
      <c r="B637" s="116"/>
      <c r="R637" s="116"/>
      <c r="Y637" s="148"/>
    </row>
    <row r="638">
      <c r="A638" s="116"/>
      <c r="B638" s="116"/>
      <c r="R638" s="116"/>
      <c r="Y638" s="148"/>
    </row>
    <row r="639">
      <c r="A639" s="116"/>
      <c r="B639" s="116"/>
      <c r="R639" s="116"/>
      <c r="Y639" s="148"/>
    </row>
    <row r="640">
      <c r="A640" s="116"/>
      <c r="B640" s="116"/>
      <c r="R640" s="116"/>
      <c r="Y640" s="148"/>
    </row>
    <row r="641">
      <c r="A641" s="116"/>
      <c r="B641" s="116"/>
      <c r="R641" s="116"/>
      <c r="Y641" s="148"/>
    </row>
    <row r="642">
      <c r="A642" s="116"/>
      <c r="B642" s="116"/>
      <c r="R642" s="116"/>
      <c r="Y642" s="148"/>
    </row>
    <row r="643">
      <c r="A643" s="116"/>
      <c r="B643" s="116"/>
      <c r="R643" s="116"/>
      <c r="Y643" s="148"/>
    </row>
    <row r="644">
      <c r="A644" s="116"/>
      <c r="B644" s="116"/>
      <c r="R644" s="116"/>
      <c r="Y644" s="148"/>
    </row>
    <row r="645">
      <c r="A645" s="116"/>
      <c r="B645" s="116"/>
      <c r="R645" s="116"/>
      <c r="Y645" s="148"/>
    </row>
    <row r="646">
      <c r="A646" s="116"/>
      <c r="B646" s="116"/>
      <c r="R646" s="116"/>
      <c r="Y646" s="148"/>
    </row>
    <row r="647">
      <c r="A647" s="116"/>
      <c r="B647" s="116"/>
      <c r="R647" s="116"/>
      <c r="Y647" s="148"/>
    </row>
    <row r="648">
      <c r="A648" s="116"/>
      <c r="B648" s="116"/>
      <c r="R648" s="116"/>
      <c r="Y648" s="148"/>
    </row>
    <row r="649">
      <c r="A649" s="116"/>
      <c r="B649" s="116"/>
      <c r="R649" s="116"/>
      <c r="Y649" s="148"/>
    </row>
    <row r="650">
      <c r="A650" s="116"/>
      <c r="B650" s="116"/>
      <c r="R650" s="116"/>
      <c r="Y650" s="148"/>
    </row>
    <row r="651">
      <c r="A651" s="116"/>
      <c r="B651" s="116"/>
      <c r="R651" s="116"/>
      <c r="Y651" s="148"/>
    </row>
    <row r="652">
      <c r="A652" s="116"/>
      <c r="B652" s="116"/>
      <c r="R652" s="116"/>
      <c r="Y652" s="148"/>
    </row>
    <row r="653">
      <c r="A653" s="116"/>
      <c r="B653" s="116"/>
      <c r="R653" s="116"/>
      <c r="Y653" s="148"/>
    </row>
    <row r="654">
      <c r="A654" s="116"/>
      <c r="B654" s="116"/>
      <c r="R654" s="116"/>
      <c r="Y654" s="148"/>
    </row>
    <row r="655">
      <c r="A655" s="116"/>
      <c r="B655" s="116"/>
      <c r="R655" s="116"/>
      <c r="Y655" s="148"/>
    </row>
    <row r="656">
      <c r="A656" s="116"/>
      <c r="B656" s="116"/>
      <c r="R656" s="116"/>
      <c r="Y656" s="148"/>
    </row>
    <row r="657">
      <c r="A657" s="116"/>
      <c r="B657" s="116"/>
      <c r="R657" s="116"/>
      <c r="Y657" s="148"/>
    </row>
    <row r="658">
      <c r="A658" s="116"/>
      <c r="B658" s="116"/>
      <c r="R658" s="116"/>
      <c r="Y658" s="148"/>
    </row>
    <row r="659">
      <c r="A659" s="116"/>
      <c r="B659" s="116"/>
      <c r="R659" s="116"/>
      <c r="Y659" s="148"/>
    </row>
    <row r="660">
      <c r="A660" s="116"/>
      <c r="B660" s="116"/>
      <c r="R660" s="116"/>
      <c r="Y660" s="148"/>
    </row>
    <row r="661">
      <c r="A661" s="116"/>
      <c r="B661" s="116"/>
      <c r="R661" s="116"/>
      <c r="Y661" s="148"/>
    </row>
    <row r="662">
      <c r="A662" s="116"/>
      <c r="B662" s="116"/>
      <c r="R662" s="116"/>
      <c r="Y662" s="148"/>
    </row>
    <row r="663">
      <c r="A663" s="116"/>
      <c r="B663" s="116"/>
      <c r="R663" s="116"/>
      <c r="Y663" s="148"/>
    </row>
    <row r="664">
      <c r="A664" s="116"/>
      <c r="B664" s="116"/>
      <c r="R664" s="116"/>
      <c r="Y664" s="148"/>
    </row>
    <row r="665">
      <c r="A665" s="116"/>
      <c r="B665" s="116"/>
      <c r="R665" s="116"/>
      <c r="Y665" s="148"/>
    </row>
    <row r="666">
      <c r="A666" s="116"/>
      <c r="B666" s="116"/>
      <c r="R666" s="116"/>
      <c r="Y666" s="148"/>
    </row>
    <row r="667">
      <c r="A667" s="116"/>
      <c r="B667" s="116"/>
      <c r="R667" s="116"/>
      <c r="Y667" s="148"/>
    </row>
    <row r="668">
      <c r="A668" s="116"/>
      <c r="B668" s="116"/>
      <c r="R668" s="116"/>
      <c r="Y668" s="148"/>
    </row>
    <row r="669">
      <c r="A669" s="116"/>
      <c r="B669" s="116"/>
      <c r="R669" s="116"/>
      <c r="Y669" s="148"/>
    </row>
    <row r="670">
      <c r="A670" s="116"/>
      <c r="B670" s="116"/>
      <c r="R670" s="116"/>
      <c r="Y670" s="148"/>
    </row>
    <row r="671">
      <c r="A671" s="116"/>
      <c r="B671" s="116"/>
      <c r="R671" s="116"/>
      <c r="Y671" s="148"/>
    </row>
    <row r="672">
      <c r="A672" s="116"/>
      <c r="B672" s="116"/>
      <c r="R672" s="116"/>
      <c r="Y672" s="148"/>
    </row>
    <row r="673">
      <c r="A673" s="116"/>
      <c r="B673" s="116"/>
      <c r="R673" s="116"/>
      <c r="Y673" s="148"/>
    </row>
    <row r="674">
      <c r="A674" s="116"/>
      <c r="B674" s="116"/>
      <c r="R674" s="116"/>
      <c r="Y674" s="148"/>
    </row>
    <row r="675">
      <c r="A675" s="116"/>
      <c r="B675" s="116"/>
      <c r="R675" s="116"/>
      <c r="Y675" s="148"/>
    </row>
    <row r="676">
      <c r="A676" s="116"/>
      <c r="B676" s="116"/>
      <c r="R676" s="116"/>
      <c r="Y676" s="148"/>
    </row>
    <row r="677">
      <c r="A677" s="116"/>
      <c r="B677" s="116"/>
      <c r="R677" s="116"/>
      <c r="Y677" s="148"/>
    </row>
    <row r="678">
      <c r="A678" s="116"/>
      <c r="B678" s="116"/>
      <c r="R678" s="116"/>
      <c r="Y678" s="148"/>
    </row>
    <row r="679">
      <c r="A679" s="116"/>
      <c r="B679" s="116"/>
      <c r="R679" s="116"/>
      <c r="Y679" s="148"/>
    </row>
    <row r="680">
      <c r="A680" s="116"/>
      <c r="B680" s="116"/>
      <c r="R680" s="116"/>
      <c r="Y680" s="148"/>
    </row>
    <row r="681">
      <c r="A681" s="116"/>
      <c r="B681" s="116"/>
      <c r="R681" s="116"/>
      <c r="Y681" s="148"/>
    </row>
    <row r="682">
      <c r="A682" s="116"/>
      <c r="B682" s="116"/>
      <c r="R682" s="116"/>
      <c r="Y682" s="148"/>
    </row>
    <row r="683">
      <c r="A683" s="116"/>
      <c r="B683" s="116"/>
      <c r="R683" s="116"/>
      <c r="Y683" s="148"/>
    </row>
    <row r="684">
      <c r="A684" s="116"/>
      <c r="B684" s="116"/>
      <c r="R684" s="116"/>
      <c r="Y684" s="148"/>
    </row>
    <row r="685">
      <c r="A685" s="116"/>
      <c r="B685" s="116"/>
      <c r="R685" s="116"/>
      <c r="Y685" s="148"/>
    </row>
    <row r="686">
      <c r="A686" s="116"/>
      <c r="B686" s="116"/>
      <c r="R686" s="116"/>
      <c r="Y686" s="148"/>
    </row>
    <row r="687">
      <c r="A687" s="116"/>
      <c r="B687" s="116"/>
      <c r="R687" s="116"/>
      <c r="Y687" s="148"/>
    </row>
    <row r="688">
      <c r="A688" s="116"/>
      <c r="B688" s="116"/>
      <c r="R688" s="116"/>
      <c r="Y688" s="148"/>
    </row>
    <row r="689">
      <c r="A689" s="116"/>
      <c r="B689" s="116"/>
      <c r="R689" s="116"/>
      <c r="Y689" s="148"/>
    </row>
    <row r="690">
      <c r="A690" s="116"/>
      <c r="B690" s="116"/>
      <c r="R690" s="116"/>
      <c r="Y690" s="148"/>
    </row>
    <row r="691">
      <c r="A691" s="116"/>
      <c r="B691" s="116"/>
      <c r="R691" s="116"/>
      <c r="Y691" s="148"/>
    </row>
    <row r="692">
      <c r="A692" s="116"/>
      <c r="B692" s="116"/>
      <c r="R692" s="116"/>
      <c r="Y692" s="148"/>
    </row>
    <row r="693">
      <c r="A693" s="116"/>
      <c r="B693" s="116"/>
      <c r="R693" s="116"/>
      <c r="Y693" s="148"/>
    </row>
    <row r="694">
      <c r="A694" s="116"/>
      <c r="B694" s="116"/>
      <c r="R694" s="116"/>
      <c r="Y694" s="148"/>
    </row>
    <row r="695">
      <c r="A695" s="116"/>
      <c r="B695" s="116"/>
      <c r="R695" s="116"/>
      <c r="Y695" s="148"/>
    </row>
    <row r="696">
      <c r="A696" s="116"/>
      <c r="B696" s="116"/>
      <c r="R696" s="116"/>
      <c r="Y696" s="148"/>
    </row>
    <row r="697">
      <c r="A697" s="116"/>
      <c r="B697" s="116"/>
      <c r="R697" s="116"/>
      <c r="Y697" s="148"/>
    </row>
    <row r="698">
      <c r="A698" s="116"/>
      <c r="B698" s="116"/>
      <c r="R698" s="116"/>
      <c r="Y698" s="148"/>
    </row>
    <row r="699">
      <c r="A699" s="116"/>
      <c r="B699" s="116"/>
      <c r="R699" s="116"/>
      <c r="Y699" s="148"/>
    </row>
    <row r="700">
      <c r="A700" s="116"/>
      <c r="B700" s="116"/>
      <c r="R700" s="116"/>
      <c r="Y700" s="148"/>
    </row>
    <row r="701">
      <c r="A701" s="116"/>
      <c r="B701" s="116"/>
      <c r="R701" s="116"/>
      <c r="Y701" s="148"/>
    </row>
    <row r="702">
      <c r="A702" s="116"/>
      <c r="B702" s="116"/>
      <c r="R702" s="116"/>
      <c r="Y702" s="148"/>
    </row>
    <row r="703">
      <c r="A703" s="116"/>
      <c r="B703" s="116"/>
      <c r="R703" s="116"/>
      <c r="Y703" s="148"/>
    </row>
    <row r="704">
      <c r="A704" s="116"/>
      <c r="B704" s="116"/>
      <c r="R704" s="116"/>
      <c r="Y704" s="148"/>
    </row>
    <row r="705">
      <c r="A705" s="116"/>
      <c r="B705" s="116"/>
      <c r="R705" s="116"/>
      <c r="Y705" s="148"/>
    </row>
    <row r="706">
      <c r="A706" s="116"/>
      <c r="B706" s="116"/>
      <c r="R706" s="116"/>
      <c r="Y706" s="148"/>
    </row>
    <row r="707">
      <c r="A707" s="116"/>
      <c r="B707" s="116"/>
      <c r="R707" s="116"/>
      <c r="Y707" s="148"/>
    </row>
    <row r="708">
      <c r="A708" s="116"/>
      <c r="B708" s="116"/>
      <c r="R708" s="116"/>
      <c r="Y708" s="148"/>
    </row>
    <row r="709">
      <c r="A709" s="116"/>
      <c r="B709" s="116"/>
      <c r="R709" s="116"/>
      <c r="Y709" s="148"/>
    </row>
    <row r="710">
      <c r="A710" s="116"/>
      <c r="B710" s="116"/>
      <c r="R710" s="116"/>
      <c r="Y710" s="148"/>
    </row>
    <row r="711">
      <c r="A711" s="116"/>
      <c r="B711" s="116"/>
      <c r="R711" s="116"/>
      <c r="Y711" s="148"/>
    </row>
    <row r="712">
      <c r="A712" s="116"/>
      <c r="B712" s="116"/>
      <c r="R712" s="116"/>
      <c r="Y712" s="148"/>
    </row>
    <row r="713">
      <c r="A713" s="116"/>
      <c r="B713" s="116"/>
      <c r="R713" s="116"/>
      <c r="Y713" s="148"/>
    </row>
    <row r="714">
      <c r="A714" s="116"/>
      <c r="B714" s="116"/>
      <c r="R714" s="116"/>
      <c r="Y714" s="148"/>
    </row>
    <row r="715">
      <c r="A715" s="116"/>
      <c r="B715" s="116"/>
      <c r="R715" s="116"/>
      <c r="Y715" s="148"/>
    </row>
    <row r="716">
      <c r="A716" s="116"/>
      <c r="B716" s="116"/>
      <c r="R716" s="116"/>
      <c r="Y716" s="148"/>
    </row>
    <row r="717">
      <c r="A717" s="116"/>
      <c r="B717" s="116"/>
      <c r="R717" s="116"/>
      <c r="Y717" s="148"/>
    </row>
    <row r="718">
      <c r="A718" s="116"/>
      <c r="B718" s="116"/>
      <c r="R718" s="116"/>
      <c r="Y718" s="148"/>
    </row>
    <row r="719">
      <c r="A719" s="116"/>
      <c r="B719" s="116"/>
      <c r="R719" s="116"/>
      <c r="Y719" s="148"/>
    </row>
    <row r="720">
      <c r="A720" s="116"/>
      <c r="B720" s="116"/>
      <c r="R720" s="116"/>
      <c r="Y720" s="148"/>
    </row>
    <row r="721">
      <c r="A721" s="116"/>
      <c r="B721" s="116"/>
      <c r="R721" s="116"/>
      <c r="Y721" s="148"/>
    </row>
    <row r="722">
      <c r="A722" s="116"/>
      <c r="B722" s="116"/>
      <c r="R722" s="116"/>
      <c r="Y722" s="148"/>
    </row>
    <row r="723">
      <c r="A723" s="116"/>
      <c r="B723" s="116"/>
      <c r="R723" s="116"/>
      <c r="Y723" s="148"/>
    </row>
    <row r="724">
      <c r="A724" s="116"/>
      <c r="B724" s="116"/>
      <c r="R724" s="116"/>
      <c r="Y724" s="148"/>
    </row>
    <row r="725">
      <c r="A725" s="116"/>
      <c r="B725" s="116"/>
      <c r="R725" s="116"/>
      <c r="Y725" s="148"/>
    </row>
    <row r="726">
      <c r="A726" s="116"/>
      <c r="B726" s="116"/>
      <c r="R726" s="116"/>
      <c r="Y726" s="148"/>
    </row>
    <row r="727">
      <c r="A727" s="116"/>
      <c r="B727" s="116"/>
      <c r="R727" s="116"/>
      <c r="Y727" s="148"/>
    </row>
    <row r="728">
      <c r="A728" s="116"/>
      <c r="B728" s="116"/>
      <c r="R728" s="116"/>
      <c r="Y728" s="148"/>
    </row>
    <row r="729">
      <c r="A729" s="116"/>
      <c r="B729" s="116"/>
      <c r="R729" s="116"/>
      <c r="Y729" s="148"/>
    </row>
    <row r="730">
      <c r="A730" s="116"/>
      <c r="B730" s="116"/>
      <c r="R730" s="116"/>
      <c r="Y730" s="148"/>
    </row>
    <row r="731">
      <c r="A731" s="116"/>
      <c r="B731" s="116"/>
      <c r="R731" s="116"/>
      <c r="Y731" s="148"/>
    </row>
    <row r="732">
      <c r="A732" s="116"/>
      <c r="B732" s="116"/>
      <c r="R732" s="116"/>
      <c r="Y732" s="148"/>
    </row>
    <row r="733">
      <c r="A733" s="116"/>
      <c r="B733" s="116"/>
      <c r="R733" s="116"/>
      <c r="Y733" s="148"/>
    </row>
    <row r="734">
      <c r="A734" s="116"/>
      <c r="B734" s="116"/>
      <c r="R734" s="116"/>
      <c r="Y734" s="148"/>
    </row>
    <row r="735">
      <c r="A735" s="116"/>
      <c r="B735" s="116"/>
      <c r="R735" s="116"/>
      <c r="Y735" s="148"/>
    </row>
    <row r="736">
      <c r="A736" s="116"/>
      <c r="B736" s="116"/>
      <c r="R736" s="116"/>
      <c r="Y736" s="148"/>
    </row>
    <row r="737">
      <c r="A737" s="116"/>
      <c r="B737" s="116"/>
      <c r="R737" s="116"/>
      <c r="Y737" s="148"/>
    </row>
    <row r="738">
      <c r="A738" s="116"/>
      <c r="B738" s="116"/>
      <c r="R738" s="116"/>
      <c r="Y738" s="148"/>
    </row>
    <row r="739">
      <c r="A739" s="116"/>
      <c r="B739" s="116"/>
      <c r="R739" s="116"/>
      <c r="Y739" s="148"/>
    </row>
    <row r="740">
      <c r="A740" s="116"/>
      <c r="B740" s="116"/>
      <c r="R740" s="116"/>
      <c r="Y740" s="148"/>
    </row>
    <row r="741">
      <c r="A741" s="116"/>
      <c r="B741" s="116"/>
      <c r="R741" s="116"/>
      <c r="Y741" s="148"/>
    </row>
    <row r="742">
      <c r="A742" s="116"/>
      <c r="B742" s="116"/>
      <c r="R742" s="116"/>
      <c r="Y742" s="148"/>
    </row>
    <row r="743">
      <c r="A743" s="116"/>
      <c r="B743" s="116"/>
      <c r="R743" s="116"/>
      <c r="Y743" s="148"/>
    </row>
    <row r="744">
      <c r="A744" s="116"/>
      <c r="B744" s="116"/>
      <c r="R744" s="116"/>
      <c r="Y744" s="148"/>
    </row>
    <row r="745">
      <c r="A745" s="116"/>
      <c r="B745" s="116"/>
      <c r="R745" s="116"/>
      <c r="Y745" s="148"/>
    </row>
    <row r="746">
      <c r="A746" s="116"/>
      <c r="B746" s="116"/>
      <c r="R746" s="116"/>
      <c r="Y746" s="148"/>
    </row>
    <row r="747">
      <c r="A747" s="116"/>
      <c r="B747" s="116"/>
      <c r="R747" s="116"/>
      <c r="Y747" s="148"/>
    </row>
    <row r="748">
      <c r="A748" s="116"/>
      <c r="B748" s="116"/>
      <c r="R748" s="116"/>
      <c r="Y748" s="148"/>
    </row>
    <row r="749">
      <c r="A749" s="116"/>
      <c r="B749" s="116"/>
      <c r="R749" s="116"/>
      <c r="Y749" s="148"/>
    </row>
    <row r="750">
      <c r="A750" s="116"/>
      <c r="B750" s="116"/>
      <c r="R750" s="116"/>
      <c r="Y750" s="148"/>
    </row>
    <row r="751">
      <c r="A751" s="116"/>
      <c r="B751" s="116"/>
      <c r="R751" s="116"/>
      <c r="Y751" s="148"/>
    </row>
    <row r="752">
      <c r="A752" s="116"/>
      <c r="B752" s="116"/>
      <c r="R752" s="116"/>
      <c r="Y752" s="148"/>
    </row>
    <row r="753">
      <c r="A753" s="116"/>
      <c r="B753" s="116"/>
      <c r="R753" s="116"/>
      <c r="Y753" s="148"/>
    </row>
    <row r="754">
      <c r="A754" s="116"/>
      <c r="B754" s="116"/>
      <c r="R754" s="116"/>
      <c r="Y754" s="148"/>
    </row>
    <row r="755">
      <c r="A755" s="116"/>
      <c r="B755" s="116"/>
      <c r="R755" s="116"/>
      <c r="Y755" s="148"/>
    </row>
    <row r="756">
      <c r="A756" s="116"/>
      <c r="B756" s="116"/>
      <c r="R756" s="116"/>
      <c r="Y756" s="148"/>
    </row>
    <row r="757">
      <c r="A757" s="116"/>
      <c r="B757" s="116"/>
      <c r="R757" s="116"/>
      <c r="Y757" s="148"/>
    </row>
    <row r="758">
      <c r="A758" s="116"/>
      <c r="B758" s="116"/>
      <c r="R758" s="116"/>
      <c r="Y758" s="148"/>
    </row>
    <row r="759">
      <c r="A759" s="116"/>
      <c r="B759" s="116"/>
      <c r="R759" s="116"/>
      <c r="Y759" s="148"/>
    </row>
    <row r="760">
      <c r="A760" s="116"/>
      <c r="B760" s="116"/>
      <c r="R760" s="116"/>
      <c r="Y760" s="148"/>
    </row>
    <row r="761">
      <c r="A761" s="116"/>
      <c r="B761" s="116"/>
      <c r="R761" s="116"/>
      <c r="Y761" s="148"/>
    </row>
    <row r="762">
      <c r="A762" s="116"/>
      <c r="B762" s="116"/>
      <c r="R762" s="116"/>
      <c r="Y762" s="148"/>
    </row>
    <row r="763">
      <c r="A763" s="116"/>
      <c r="B763" s="116"/>
      <c r="R763" s="116"/>
      <c r="Y763" s="148"/>
    </row>
    <row r="764">
      <c r="A764" s="116"/>
      <c r="B764" s="116"/>
      <c r="R764" s="116"/>
      <c r="Y764" s="148"/>
    </row>
    <row r="765">
      <c r="A765" s="116"/>
      <c r="B765" s="116"/>
      <c r="R765" s="116"/>
      <c r="Y765" s="148"/>
    </row>
    <row r="766">
      <c r="A766" s="116"/>
      <c r="B766" s="116"/>
      <c r="R766" s="116"/>
      <c r="Y766" s="148"/>
    </row>
    <row r="767">
      <c r="A767" s="116"/>
      <c r="B767" s="116"/>
      <c r="R767" s="116"/>
      <c r="Y767" s="148"/>
    </row>
    <row r="768">
      <c r="A768" s="116"/>
      <c r="B768" s="116"/>
      <c r="R768" s="116"/>
      <c r="Y768" s="148"/>
    </row>
    <row r="769">
      <c r="A769" s="116"/>
      <c r="B769" s="116"/>
      <c r="R769" s="116"/>
      <c r="Y769" s="148"/>
    </row>
    <row r="770">
      <c r="A770" s="116"/>
      <c r="B770" s="116"/>
      <c r="R770" s="116"/>
      <c r="Y770" s="148"/>
    </row>
    <row r="771">
      <c r="A771" s="116"/>
      <c r="B771" s="116"/>
      <c r="R771" s="116"/>
      <c r="Y771" s="148"/>
    </row>
    <row r="772">
      <c r="A772" s="116"/>
      <c r="B772" s="116"/>
      <c r="R772" s="116"/>
      <c r="Y772" s="148"/>
    </row>
    <row r="773">
      <c r="A773" s="116"/>
      <c r="B773" s="116"/>
      <c r="R773" s="116"/>
      <c r="Y773" s="148"/>
    </row>
    <row r="774">
      <c r="A774" s="116"/>
      <c r="B774" s="116"/>
      <c r="R774" s="116"/>
      <c r="Y774" s="148"/>
    </row>
    <row r="775">
      <c r="A775" s="116"/>
      <c r="B775" s="116"/>
      <c r="R775" s="116"/>
      <c r="Y775" s="148"/>
    </row>
    <row r="776">
      <c r="A776" s="116"/>
      <c r="B776" s="116"/>
      <c r="R776" s="116"/>
      <c r="Y776" s="148"/>
    </row>
    <row r="777">
      <c r="A777" s="116"/>
      <c r="B777" s="116"/>
      <c r="R777" s="116"/>
      <c r="Y777" s="148"/>
    </row>
    <row r="778">
      <c r="A778" s="116"/>
      <c r="B778" s="116"/>
      <c r="R778" s="116"/>
      <c r="Y778" s="148"/>
    </row>
    <row r="779">
      <c r="A779" s="116"/>
      <c r="B779" s="116"/>
      <c r="R779" s="116"/>
      <c r="Y779" s="148"/>
    </row>
    <row r="780">
      <c r="A780" s="116"/>
      <c r="B780" s="116"/>
      <c r="R780" s="116"/>
      <c r="Y780" s="148"/>
    </row>
    <row r="781">
      <c r="A781" s="116"/>
      <c r="B781" s="116"/>
      <c r="R781" s="116"/>
      <c r="Y781" s="148"/>
    </row>
    <row r="782">
      <c r="A782" s="116"/>
      <c r="B782" s="116"/>
      <c r="R782" s="116"/>
      <c r="Y782" s="148"/>
    </row>
    <row r="783">
      <c r="A783" s="116"/>
      <c r="B783" s="116"/>
      <c r="R783" s="116"/>
      <c r="Y783" s="148"/>
    </row>
    <row r="784">
      <c r="A784" s="116"/>
      <c r="B784" s="116"/>
      <c r="R784" s="116"/>
      <c r="Y784" s="148"/>
    </row>
    <row r="785">
      <c r="A785" s="116"/>
      <c r="B785" s="116"/>
      <c r="R785" s="116"/>
      <c r="Y785" s="148"/>
    </row>
    <row r="786">
      <c r="A786" s="116"/>
      <c r="B786" s="116"/>
      <c r="R786" s="116"/>
      <c r="Y786" s="148"/>
    </row>
    <row r="787">
      <c r="A787" s="116"/>
      <c r="B787" s="116"/>
      <c r="R787" s="116"/>
      <c r="Y787" s="148"/>
    </row>
    <row r="788">
      <c r="A788" s="116"/>
      <c r="B788" s="116"/>
      <c r="R788" s="116"/>
      <c r="Y788" s="148"/>
    </row>
    <row r="789">
      <c r="A789" s="116"/>
      <c r="B789" s="116"/>
      <c r="R789" s="116"/>
      <c r="Y789" s="148"/>
    </row>
    <row r="790">
      <c r="A790" s="116"/>
      <c r="B790" s="116"/>
      <c r="R790" s="116"/>
      <c r="Y790" s="148"/>
    </row>
    <row r="791">
      <c r="A791" s="116"/>
      <c r="B791" s="116"/>
      <c r="R791" s="116"/>
      <c r="Y791" s="148"/>
    </row>
    <row r="792">
      <c r="A792" s="116"/>
      <c r="B792" s="116"/>
      <c r="R792" s="116"/>
      <c r="Y792" s="148"/>
    </row>
    <row r="793">
      <c r="A793" s="116"/>
      <c r="B793" s="116"/>
      <c r="R793" s="116"/>
      <c r="Y793" s="148"/>
    </row>
    <row r="794">
      <c r="A794" s="116"/>
      <c r="B794" s="116"/>
      <c r="R794" s="116"/>
      <c r="Y794" s="148"/>
    </row>
    <row r="795">
      <c r="A795" s="116"/>
      <c r="B795" s="116"/>
      <c r="R795" s="116"/>
      <c r="Y795" s="148"/>
    </row>
    <row r="796">
      <c r="A796" s="116"/>
      <c r="B796" s="116"/>
      <c r="R796" s="116"/>
      <c r="Y796" s="148"/>
    </row>
    <row r="797">
      <c r="A797" s="116"/>
      <c r="B797" s="116"/>
      <c r="R797" s="116"/>
      <c r="Y797" s="148"/>
    </row>
    <row r="798">
      <c r="A798" s="116"/>
      <c r="B798" s="116"/>
      <c r="R798" s="116"/>
      <c r="Y798" s="148"/>
    </row>
    <row r="799">
      <c r="A799" s="116"/>
      <c r="B799" s="116"/>
      <c r="R799" s="116"/>
      <c r="Y799" s="148"/>
    </row>
    <row r="800">
      <c r="A800" s="116"/>
      <c r="B800" s="116"/>
      <c r="R800" s="116"/>
      <c r="Y800" s="148"/>
    </row>
    <row r="801">
      <c r="A801" s="116"/>
      <c r="B801" s="116"/>
      <c r="R801" s="116"/>
      <c r="Y801" s="148"/>
    </row>
    <row r="802">
      <c r="A802" s="116"/>
      <c r="B802" s="116"/>
      <c r="R802" s="116"/>
      <c r="Y802" s="148"/>
    </row>
    <row r="803">
      <c r="A803" s="116"/>
      <c r="B803" s="116"/>
      <c r="R803" s="116"/>
      <c r="Y803" s="148"/>
    </row>
    <row r="804">
      <c r="A804" s="116"/>
      <c r="B804" s="116"/>
      <c r="R804" s="116"/>
      <c r="Y804" s="148"/>
    </row>
    <row r="805">
      <c r="A805" s="116"/>
      <c r="B805" s="116"/>
      <c r="R805" s="116"/>
      <c r="Y805" s="148"/>
    </row>
    <row r="806">
      <c r="A806" s="116"/>
      <c r="B806" s="116"/>
      <c r="R806" s="116"/>
      <c r="Y806" s="148"/>
    </row>
    <row r="807">
      <c r="A807" s="116"/>
      <c r="B807" s="116"/>
      <c r="R807" s="116"/>
      <c r="Y807" s="148"/>
    </row>
    <row r="808">
      <c r="A808" s="116"/>
      <c r="B808" s="116"/>
      <c r="R808" s="116"/>
      <c r="Y808" s="148"/>
    </row>
    <row r="809">
      <c r="A809" s="116"/>
      <c r="B809" s="116"/>
      <c r="R809" s="116"/>
      <c r="Y809" s="148"/>
    </row>
    <row r="810">
      <c r="A810" s="116"/>
      <c r="B810" s="116"/>
      <c r="R810" s="116"/>
      <c r="Y810" s="148"/>
    </row>
    <row r="811">
      <c r="A811" s="116"/>
      <c r="B811" s="116"/>
      <c r="R811" s="116"/>
      <c r="Y811" s="148"/>
    </row>
    <row r="812">
      <c r="A812" s="116"/>
      <c r="B812" s="116"/>
      <c r="R812" s="116"/>
      <c r="Y812" s="148"/>
    </row>
    <row r="813">
      <c r="A813" s="116"/>
      <c r="B813" s="116"/>
      <c r="R813" s="116"/>
      <c r="Y813" s="148"/>
    </row>
    <row r="814">
      <c r="A814" s="116"/>
      <c r="B814" s="116"/>
      <c r="R814" s="116"/>
      <c r="Y814" s="148"/>
    </row>
    <row r="815">
      <c r="A815" s="116"/>
      <c r="B815" s="116"/>
      <c r="R815" s="116"/>
      <c r="Y815" s="148"/>
    </row>
    <row r="816">
      <c r="A816" s="116"/>
      <c r="B816" s="116"/>
      <c r="R816" s="116"/>
      <c r="Y816" s="148"/>
    </row>
    <row r="817">
      <c r="A817" s="116"/>
      <c r="B817" s="116"/>
      <c r="R817" s="116"/>
      <c r="Y817" s="148"/>
    </row>
    <row r="818">
      <c r="A818" s="116"/>
      <c r="B818" s="116"/>
      <c r="R818" s="116"/>
      <c r="Y818" s="148"/>
    </row>
    <row r="819">
      <c r="A819" s="116"/>
      <c r="B819" s="116"/>
      <c r="R819" s="116"/>
      <c r="Y819" s="148"/>
    </row>
    <row r="820">
      <c r="A820" s="116"/>
      <c r="B820" s="116"/>
      <c r="R820" s="116"/>
      <c r="Y820" s="148"/>
    </row>
    <row r="821">
      <c r="A821" s="116"/>
      <c r="B821" s="116"/>
      <c r="R821" s="116"/>
      <c r="Y821" s="148"/>
    </row>
    <row r="822">
      <c r="A822" s="116"/>
      <c r="B822" s="116"/>
      <c r="R822" s="116"/>
      <c r="Y822" s="148"/>
    </row>
    <row r="823">
      <c r="A823" s="116"/>
      <c r="B823" s="116"/>
      <c r="R823" s="116"/>
      <c r="Y823" s="148"/>
    </row>
    <row r="824">
      <c r="A824" s="116"/>
      <c r="B824" s="116"/>
      <c r="R824" s="116"/>
      <c r="Y824" s="148"/>
    </row>
    <row r="825">
      <c r="A825" s="116"/>
      <c r="B825" s="116"/>
      <c r="R825" s="116"/>
      <c r="Y825" s="148"/>
    </row>
    <row r="826">
      <c r="A826" s="116"/>
      <c r="B826" s="116"/>
      <c r="R826" s="116"/>
      <c r="Y826" s="148"/>
    </row>
    <row r="827">
      <c r="A827" s="116"/>
      <c r="B827" s="116"/>
      <c r="R827" s="116"/>
      <c r="Y827" s="148"/>
    </row>
    <row r="828">
      <c r="A828" s="116"/>
      <c r="B828" s="116"/>
      <c r="R828" s="116"/>
      <c r="Y828" s="148"/>
    </row>
    <row r="829">
      <c r="A829" s="116"/>
      <c r="B829" s="116"/>
      <c r="R829" s="116"/>
      <c r="Y829" s="148"/>
    </row>
    <row r="830">
      <c r="A830" s="116"/>
      <c r="B830" s="116"/>
      <c r="R830" s="116"/>
      <c r="Y830" s="148"/>
    </row>
    <row r="831">
      <c r="A831" s="116"/>
      <c r="B831" s="116"/>
      <c r="R831" s="116"/>
      <c r="Y831" s="148"/>
    </row>
    <row r="832">
      <c r="A832" s="116"/>
      <c r="B832" s="116"/>
      <c r="R832" s="116"/>
      <c r="Y832" s="148"/>
    </row>
    <row r="833">
      <c r="A833" s="116"/>
      <c r="B833" s="116"/>
      <c r="R833" s="116"/>
      <c r="Y833" s="148"/>
    </row>
    <row r="834">
      <c r="A834" s="116"/>
      <c r="B834" s="116"/>
      <c r="R834" s="116"/>
      <c r="Y834" s="148"/>
    </row>
    <row r="835">
      <c r="A835" s="116"/>
      <c r="B835" s="116"/>
      <c r="R835" s="116"/>
      <c r="Y835" s="148"/>
    </row>
    <row r="836">
      <c r="A836" s="116"/>
      <c r="B836" s="116"/>
      <c r="R836" s="116"/>
      <c r="Y836" s="148"/>
    </row>
    <row r="837">
      <c r="A837" s="116"/>
      <c r="B837" s="116"/>
      <c r="R837" s="116"/>
      <c r="Y837" s="148"/>
    </row>
    <row r="838">
      <c r="A838" s="116"/>
      <c r="B838" s="116"/>
      <c r="R838" s="116"/>
      <c r="Y838" s="148"/>
    </row>
    <row r="839">
      <c r="A839" s="116"/>
      <c r="B839" s="116"/>
      <c r="R839" s="116"/>
      <c r="Y839" s="148"/>
    </row>
    <row r="840">
      <c r="A840" s="116"/>
      <c r="B840" s="116"/>
      <c r="R840" s="116"/>
      <c r="Y840" s="148"/>
    </row>
    <row r="841">
      <c r="A841" s="116"/>
      <c r="B841" s="116"/>
      <c r="R841" s="116"/>
      <c r="Y841" s="148"/>
    </row>
    <row r="842">
      <c r="A842" s="116"/>
      <c r="B842" s="116"/>
      <c r="R842" s="116"/>
      <c r="Y842" s="148"/>
    </row>
    <row r="843">
      <c r="A843" s="116"/>
      <c r="B843" s="116"/>
      <c r="R843" s="116"/>
      <c r="Y843" s="148"/>
    </row>
    <row r="844">
      <c r="A844" s="116"/>
      <c r="B844" s="116"/>
      <c r="R844" s="116"/>
      <c r="Y844" s="148"/>
    </row>
    <row r="845">
      <c r="A845" s="116"/>
      <c r="B845" s="116"/>
      <c r="R845" s="116"/>
      <c r="Y845" s="148"/>
    </row>
    <row r="846">
      <c r="A846" s="116"/>
      <c r="B846" s="116"/>
      <c r="R846" s="116"/>
      <c r="Y846" s="148"/>
    </row>
    <row r="847">
      <c r="A847" s="116"/>
      <c r="B847" s="116"/>
      <c r="R847" s="116"/>
      <c r="Y847" s="148"/>
    </row>
    <row r="848">
      <c r="A848" s="116"/>
      <c r="B848" s="116"/>
      <c r="R848" s="116"/>
      <c r="Y848" s="148"/>
    </row>
    <row r="849">
      <c r="A849" s="116"/>
      <c r="B849" s="116"/>
      <c r="R849" s="116"/>
      <c r="Y849" s="148"/>
    </row>
    <row r="850">
      <c r="A850" s="116"/>
      <c r="B850" s="116"/>
      <c r="R850" s="116"/>
      <c r="Y850" s="148"/>
    </row>
    <row r="851">
      <c r="A851" s="116"/>
      <c r="B851" s="116"/>
      <c r="R851" s="116"/>
      <c r="Y851" s="148"/>
    </row>
    <row r="852">
      <c r="A852" s="116"/>
      <c r="B852" s="116"/>
      <c r="R852" s="116"/>
      <c r="Y852" s="148"/>
    </row>
    <row r="853">
      <c r="A853" s="116"/>
      <c r="B853" s="116"/>
      <c r="R853" s="116"/>
      <c r="Y853" s="148"/>
    </row>
    <row r="854">
      <c r="A854" s="116"/>
      <c r="B854" s="116"/>
      <c r="R854" s="116"/>
      <c r="Y854" s="148"/>
    </row>
    <row r="855">
      <c r="A855" s="116"/>
      <c r="B855" s="116"/>
      <c r="R855" s="116"/>
      <c r="Y855" s="148"/>
    </row>
    <row r="856">
      <c r="A856" s="116"/>
      <c r="B856" s="116"/>
      <c r="R856" s="116"/>
      <c r="Y856" s="148"/>
    </row>
    <row r="857">
      <c r="A857" s="116"/>
      <c r="B857" s="116"/>
      <c r="R857" s="116"/>
      <c r="Y857" s="148"/>
    </row>
    <row r="858">
      <c r="A858" s="116"/>
      <c r="B858" s="116"/>
      <c r="R858" s="116"/>
      <c r="Y858" s="148"/>
    </row>
    <row r="859">
      <c r="A859" s="116"/>
      <c r="B859" s="116"/>
      <c r="R859" s="116"/>
      <c r="Y859" s="148"/>
    </row>
    <row r="860">
      <c r="A860" s="116"/>
      <c r="B860" s="116"/>
      <c r="R860" s="116"/>
      <c r="Y860" s="148"/>
    </row>
    <row r="861">
      <c r="A861" s="116"/>
      <c r="B861" s="116"/>
      <c r="R861" s="116"/>
      <c r="Y861" s="148"/>
    </row>
    <row r="862">
      <c r="A862" s="116"/>
      <c r="B862" s="116"/>
      <c r="R862" s="116"/>
      <c r="Y862" s="148"/>
    </row>
    <row r="863">
      <c r="A863" s="116"/>
      <c r="B863" s="116"/>
      <c r="R863" s="116"/>
      <c r="Y863" s="148"/>
    </row>
    <row r="864">
      <c r="A864" s="116"/>
      <c r="B864" s="116"/>
      <c r="R864" s="116"/>
      <c r="Y864" s="148"/>
    </row>
    <row r="865">
      <c r="A865" s="116"/>
      <c r="B865" s="116"/>
      <c r="R865" s="116"/>
      <c r="Y865" s="148"/>
    </row>
    <row r="866">
      <c r="A866" s="116"/>
      <c r="B866" s="116"/>
      <c r="R866" s="116"/>
      <c r="Y866" s="148"/>
    </row>
    <row r="867">
      <c r="A867" s="116"/>
      <c r="B867" s="116"/>
      <c r="R867" s="116"/>
      <c r="Y867" s="148"/>
    </row>
    <row r="868">
      <c r="A868" s="116"/>
      <c r="B868" s="116"/>
      <c r="R868" s="116"/>
      <c r="Y868" s="148"/>
    </row>
    <row r="869">
      <c r="A869" s="116"/>
      <c r="B869" s="116"/>
      <c r="R869" s="116"/>
      <c r="Y869" s="148"/>
    </row>
    <row r="870">
      <c r="A870" s="116"/>
      <c r="B870" s="116"/>
      <c r="R870" s="116"/>
      <c r="Y870" s="148"/>
    </row>
    <row r="871">
      <c r="A871" s="116"/>
      <c r="B871" s="116"/>
      <c r="R871" s="116"/>
      <c r="Y871" s="148"/>
    </row>
    <row r="872">
      <c r="A872" s="116"/>
      <c r="B872" s="116"/>
      <c r="R872" s="116"/>
      <c r="Y872" s="148"/>
    </row>
    <row r="873">
      <c r="A873" s="116"/>
      <c r="B873" s="116"/>
      <c r="R873" s="116"/>
      <c r="Y873" s="148"/>
    </row>
    <row r="874">
      <c r="A874" s="116"/>
      <c r="B874" s="116"/>
      <c r="R874" s="116"/>
      <c r="Y874" s="148"/>
    </row>
    <row r="875">
      <c r="A875" s="116"/>
      <c r="B875" s="116"/>
      <c r="R875" s="116"/>
      <c r="Y875" s="148"/>
    </row>
    <row r="876">
      <c r="A876" s="116"/>
      <c r="B876" s="116"/>
      <c r="R876" s="116"/>
      <c r="Y876" s="148"/>
    </row>
    <row r="877">
      <c r="A877" s="116"/>
      <c r="B877" s="116"/>
      <c r="R877" s="116"/>
      <c r="Y877" s="148"/>
    </row>
    <row r="878">
      <c r="A878" s="116"/>
      <c r="B878" s="116"/>
      <c r="R878" s="116"/>
      <c r="Y878" s="148"/>
    </row>
    <row r="879">
      <c r="A879" s="116"/>
      <c r="B879" s="116"/>
      <c r="R879" s="116"/>
      <c r="Y879" s="148"/>
    </row>
    <row r="880">
      <c r="A880" s="116"/>
      <c r="B880" s="116"/>
      <c r="R880" s="116"/>
      <c r="Y880" s="148"/>
    </row>
    <row r="881">
      <c r="A881" s="116"/>
      <c r="B881" s="116"/>
      <c r="R881" s="116"/>
      <c r="Y881" s="148"/>
    </row>
    <row r="882">
      <c r="A882" s="116"/>
      <c r="B882" s="116"/>
      <c r="R882" s="116"/>
      <c r="Y882" s="148"/>
    </row>
    <row r="883">
      <c r="A883" s="116"/>
      <c r="B883" s="116"/>
      <c r="R883" s="116"/>
      <c r="Y883" s="148"/>
    </row>
    <row r="884">
      <c r="A884" s="116"/>
      <c r="B884" s="116"/>
      <c r="R884" s="116"/>
      <c r="Y884" s="148"/>
    </row>
    <row r="885">
      <c r="A885" s="116"/>
      <c r="B885" s="116"/>
      <c r="R885" s="116"/>
      <c r="Y885" s="148"/>
    </row>
    <row r="886">
      <c r="A886" s="116"/>
      <c r="B886" s="116"/>
      <c r="R886" s="116"/>
      <c r="Y886" s="148"/>
    </row>
    <row r="887">
      <c r="A887" s="116"/>
      <c r="B887" s="116"/>
      <c r="R887" s="116"/>
      <c r="Y887" s="148"/>
    </row>
    <row r="888">
      <c r="A888" s="116"/>
      <c r="B888" s="116"/>
      <c r="R888" s="116"/>
      <c r="Y888" s="148"/>
    </row>
    <row r="889">
      <c r="A889" s="116"/>
      <c r="B889" s="116"/>
      <c r="R889" s="116"/>
      <c r="Y889" s="148"/>
    </row>
    <row r="890">
      <c r="A890" s="116"/>
      <c r="B890" s="116"/>
      <c r="R890" s="116"/>
      <c r="Y890" s="148"/>
    </row>
    <row r="891">
      <c r="A891" s="116"/>
      <c r="B891" s="116"/>
      <c r="R891" s="116"/>
      <c r="Y891" s="148"/>
    </row>
    <row r="892">
      <c r="A892" s="116"/>
      <c r="B892" s="116"/>
      <c r="R892" s="116"/>
      <c r="Y892" s="148"/>
    </row>
    <row r="893">
      <c r="A893" s="116"/>
      <c r="B893" s="116"/>
      <c r="R893" s="116"/>
      <c r="Y893" s="148"/>
    </row>
    <row r="894">
      <c r="A894" s="116"/>
      <c r="B894" s="116"/>
      <c r="R894" s="116"/>
      <c r="Y894" s="148"/>
    </row>
    <row r="895">
      <c r="A895" s="116"/>
      <c r="B895" s="116"/>
      <c r="R895" s="116"/>
      <c r="Y895" s="148"/>
    </row>
    <row r="896">
      <c r="A896" s="116"/>
      <c r="B896" s="116"/>
      <c r="R896" s="116"/>
      <c r="Y896" s="148"/>
    </row>
    <row r="897">
      <c r="A897" s="116"/>
      <c r="B897" s="116"/>
      <c r="R897" s="116"/>
      <c r="Y897" s="148"/>
    </row>
    <row r="898">
      <c r="A898" s="116"/>
      <c r="B898" s="116"/>
      <c r="R898" s="116"/>
      <c r="Y898" s="148"/>
    </row>
    <row r="899">
      <c r="A899" s="116"/>
      <c r="B899" s="116"/>
      <c r="R899" s="116"/>
      <c r="Y899" s="148"/>
    </row>
    <row r="900">
      <c r="A900" s="116"/>
      <c r="B900" s="116"/>
      <c r="R900" s="116"/>
      <c r="Y900" s="148"/>
    </row>
    <row r="901">
      <c r="A901" s="116"/>
      <c r="B901" s="116"/>
      <c r="R901" s="116"/>
      <c r="Y901" s="148"/>
    </row>
    <row r="902">
      <c r="A902" s="116"/>
      <c r="B902" s="116"/>
      <c r="R902" s="116"/>
      <c r="Y902" s="148"/>
    </row>
    <row r="903">
      <c r="A903" s="116"/>
      <c r="B903" s="116"/>
      <c r="R903" s="116"/>
      <c r="Y903" s="148"/>
    </row>
    <row r="904">
      <c r="A904" s="116"/>
      <c r="B904" s="116"/>
      <c r="R904" s="116"/>
      <c r="Y904" s="148"/>
    </row>
    <row r="905">
      <c r="A905" s="116"/>
      <c r="B905" s="116"/>
      <c r="R905" s="116"/>
      <c r="Y905" s="148"/>
    </row>
    <row r="906">
      <c r="A906" s="116"/>
      <c r="B906" s="116"/>
      <c r="R906" s="116"/>
      <c r="Y906" s="148"/>
    </row>
    <row r="907">
      <c r="A907" s="116"/>
      <c r="B907" s="116"/>
      <c r="R907" s="116"/>
      <c r="Y907" s="148"/>
    </row>
    <row r="908">
      <c r="A908" s="116"/>
      <c r="B908" s="116"/>
      <c r="R908" s="116"/>
      <c r="Y908" s="148"/>
    </row>
    <row r="909">
      <c r="A909" s="116"/>
      <c r="B909" s="116"/>
      <c r="R909" s="116"/>
      <c r="Y909" s="148"/>
    </row>
    <row r="910">
      <c r="A910" s="116"/>
      <c r="B910" s="116"/>
      <c r="R910" s="116"/>
      <c r="Y910" s="148"/>
    </row>
    <row r="911">
      <c r="A911" s="116"/>
      <c r="B911" s="116"/>
      <c r="R911" s="116"/>
      <c r="Y911" s="148"/>
    </row>
    <row r="912">
      <c r="A912" s="116"/>
      <c r="B912" s="116"/>
      <c r="R912" s="116"/>
      <c r="Y912" s="148"/>
    </row>
    <row r="913">
      <c r="A913" s="116"/>
      <c r="B913" s="116"/>
      <c r="R913" s="116"/>
      <c r="Y913" s="148"/>
    </row>
    <row r="914">
      <c r="A914" s="116"/>
      <c r="B914" s="116"/>
      <c r="R914" s="116"/>
      <c r="Y914" s="148"/>
    </row>
    <row r="915">
      <c r="A915" s="116"/>
      <c r="B915" s="116"/>
      <c r="R915" s="116"/>
      <c r="Y915" s="148"/>
    </row>
    <row r="916">
      <c r="A916" s="116"/>
      <c r="B916" s="116"/>
      <c r="R916" s="116"/>
      <c r="Y916" s="148"/>
    </row>
    <row r="917">
      <c r="A917" s="116"/>
      <c r="B917" s="116"/>
      <c r="R917" s="116"/>
      <c r="Y917" s="148"/>
    </row>
    <row r="918">
      <c r="A918" s="116"/>
      <c r="B918" s="116"/>
      <c r="R918" s="116"/>
      <c r="Y918" s="148"/>
    </row>
    <row r="919">
      <c r="A919" s="116"/>
      <c r="B919" s="116"/>
      <c r="R919" s="116"/>
      <c r="Y919" s="148"/>
    </row>
    <row r="920">
      <c r="A920" s="116"/>
      <c r="B920" s="116"/>
      <c r="R920" s="116"/>
      <c r="Y920" s="148"/>
    </row>
    <row r="921">
      <c r="A921" s="116"/>
      <c r="B921" s="116"/>
      <c r="R921" s="116"/>
      <c r="Y921" s="148"/>
    </row>
    <row r="922">
      <c r="A922" s="116"/>
      <c r="B922" s="116"/>
      <c r="R922" s="116"/>
      <c r="Y922" s="148"/>
    </row>
    <row r="923">
      <c r="A923" s="116"/>
      <c r="B923" s="116"/>
      <c r="R923" s="116"/>
      <c r="Y923" s="148"/>
    </row>
    <row r="924">
      <c r="A924" s="116"/>
      <c r="B924" s="116"/>
      <c r="R924" s="116"/>
      <c r="Y924" s="148"/>
    </row>
    <row r="925">
      <c r="A925" s="116"/>
      <c r="B925" s="116"/>
      <c r="R925" s="116"/>
      <c r="Y925" s="148"/>
    </row>
    <row r="926">
      <c r="A926" s="116"/>
      <c r="B926" s="116"/>
      <c r="R926" s="116"/>
      <c r="Y926" s="148"/>
    </row>
    <row r="927">
      <c r="A927" s="116"/>
      <c r="B927" s="116"/>
      <c r="R927" s="116"/>
      <c r="Y927" s="148"/>
    </row>
    <row r="928">
      <c r="A928" s="116"/>
      <c r="B928" s="116"/>
      <c r="R928" s="116"/>
      <c r="Y928" s="148"/>
    </row>
  </sheetData>
  <mergeCells count="14">
    <mergeCell ref="AM4:AR4"/>
    <mergeCell ref="AT4:AW4"/>
    <mergeCell ref="U5:W5"/>
    <mergeCell ref="Y5:AF5"/>
    <mergeCell ref="AH5:AI5"/>
    <mergeCell ref="AM5:AP5"/>
    <mergeCell ref="AT5:AU5"/>
    <mergeCell ref="U1:AK1"/>
    <mergeCell ref="AM1:AR1"/>
    <mergeCell ref="AT1:AW1"/>
    <mergeCell ref="V2:W2"/>
    <mergeCell ref="V3:W3"/>
    <mergeCell ref="C4:Q4"/>
    <mergeCell ref="U4:AK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75"/>
    <col customWidth="1" min="5" max="5" width="51.0"/>
  </cols>
  <sheetData>
    <row r="1">
      <c r="A1" s="12"/>
      <c r="B1" s="12"/>
      <c r="C1" s="12"/>
      <c r="D1" s="177"/>
      <c r="E1" s="177"/>
    </row>
    <row r="2">
      <c r="A2" s="178" t="s">
        <v>3609</v>
      </c>
      <c r="B2" s="178" t="s">
        <v>3610</v>
      </c>
      <c r="C2" s="178" t="s">
        <v>3611</v>
      </c>
      <c r="D2" s="178" t="s">
        <v>3612</v>
      </c>
      <c r="E2" s="178" t="s">
        <v>3613</v>
      </c>
    </row>
    <row r="3">
      <c r="A3" s="179" t="s">
        <v>3614</v>
      </c>
      <c r="B3" s="180" t="s">
        <v>3615</v>
      </c>
      <c r="C3" s="181" t="s">
        <v>3616</v>
      </c>
      <c r="D3" s="182" t="s">
        <v>3617</v>
      </c>
      <c r="E3" s="182" t="s">
        <v>3618</v>
      </c>
    </row>
    <row r="4">
      <c r="A4" s="183" t="s">
        <v>3619</v>
      </c>
      <c r="B4" s="184" t="s">
        <v>3620</v>
      </c>
      <c r="C4" s="185" t="s">
        <v>3621</v>
      </c>
      <c r="D4" s="182" t="s">
        <v>3622</v>
      </c>
      <c r="E4" s="182" t="s">
        <v>3623</v>
      </c>
    </row>
    <row r="5">
      <c r="A5" s="186" t="s">
        <v>3624</v>
      </c>
      <c r="B5" s="187" t="s">
        <v>3625</v>
      </c>
      <c r="C5" s="188" t="s">
        <v>3626</v>
      </c>
      <c r="D5" s="182" t="s">
        <v>3627</v>
      </c>
      <c r="E5" s="182" t="s">
        <v>3628</v>
      </c>
    </row>
    <row r="6">
      <c r="A6" s="189"/>
      <c r="B6" s="12"/>
      <c r="C6" s="12"/>
      <c r="D6" s="177"/>
      <c r="E6" s="177"/>
    </row>
    <row r="7">
      <c r="A7" s="190" t="s">
        <v>3629</v>
      </c>
    </row>
    <row r="8">
      <c r="A8" s="2" t="s">
        <v>3630</v>
      </c>
      <c r="B8" s="171" t="s">
        <v>3631</v>
      </c>
    </row>
    <row r="9">
      <c r="B9" s="171" t="s">
        <v>3632</v>
      </c>
    </row>
  </sheetData>
  <mergeCells count="1">
    <mergeCell ref="A7:E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1" t="s">
        <v>3633</v>
      </c>
      <c r="B1" s="191" t="s">
        <v>3634</v>
      </c>
      <c r="C1" s="191" t="s">
        <v>3635</v>
      </c>
      <c r="D1" s="85"/>
    </row>
    <row r="2">
      <c r="A2" s="84" t="s">
        <v>825</v>
      </c>
      <c r="B2" s="87">
        <v>2250.0</v>
      </c>
      <c r="C2" s="87">
        <v>7560.0</v>
      </c>
      <c r="D2" s="192">
        <v>0.7</v>
      </c>
    </row>
    <row r="3">
      <c r="A3" s="84" t="s">
        <v>3636</v>
      </c>
      <c r="B3" s="87">
        <v>1324.0</v>
      </c>
      <c r="C3" s="87">
        <v>4680.0</v>
      </c>
      <c r="D3" s="192">
        <v>0.72</v>
      </c>
    </row>
    <row r="4">
      <c r="A4" s="84" t="s">
        <v>764</v>
      </c>
      <c r="B4" s="87">
        <v>1840.0</v>
      </c>
      <c r="C4" s="87">
        <v>6120.0</v>
      </c>
      <c r="D4" s="192">
        <v>0.7</v>
      </c>
    </row>
    <row r="5">
      <c r="A5" s="84" t="s">
        <v>765</v>
      </c>
      <c r="B5" s="87">
        <v>380.0</v>
      </c>
      <c r="C5" s="87">
        <v>6120.0</v>
      </c>
      <c r="D5" s="192">
        <v>0.94</v>
      </c>
    </row>
    <row r="6">
      <c r="A6" s="84" t="s">
        <v>759</v>
      </c>
      <c r="B6" s="87">
        <v>567.0</v>
      </c>
      <c r="C6" s="87">
        <v>6480.0</v>
      </c>
      <c r="D6" s="192">
        <v>0.91</v>
      </c>
    </row>
    <row r="7">
      <c r="A7" s="84" t="s">
        <v>3637</v>
      </c>
      <c r="B7" s="87">
        <v>2002.0</v>
      </c>
      <c r="C7" s="87">
        <v>5400.0</v>
      </c>
      <c r="D7" s="192">
        <v>0.63</v>
      </c>
    </row>
    <row r="8">
      <c r="A8" s="84" t="s">
        <v>580</v>
      </c>
      <c r="B8" s="87">
        <v>2458.0</v>
      </c>
      <c r="C8" s="87">
        <v>6480.0</v>
      </c>
      <c r="D8" s="192">
        <v>0.62</v>
      </c>
    </row>
    <row r="9">
      <c r="A9" s="84" t="s">
        <v>1058</v>
      </c>
      <c r="B9" s="87">
        <v>3399.0</v>
      </c>
      <c r="C9" s="87">
        <v>6840.0</v>
      </c>
      <c r="D9" s="192">
        <v>0.5</v>
      </c>
    </row>
    <row r="10">
      <c r="A10" s="84" t="s">
        <v>584</v>
      </c>
      <c r="B10" s="87">
        <v>3168.0</v>
      </c>
      <c r="C10" s="87">
        <v>6840.0</v>
      </c>
      <c r="D10" s="192">
        <v>0.54</v>
      </c>
    </row>
    <row r="11">
      <c r="A11" s="84" t="s">
        <v>903</v>
      </c>
      <c r="B11" s="87">
        <v>0.0</v>
      </c>
      <c r="C11" s="87">
        <v>4320.0</v>
      </c>
      <c r="D11" s="192">
        <v>1.0</v>
      </c>
    </row>
    <row r="12">
      <c r="A12" s="84" t="s">
        <v>907</v>
      </c>
      <c r="B12" s="87">
        <v>0.0</v>
      </c>
      <c r="C12" s="87">
        <v>4320.0</v>
      </c>
      <c r="D12" s="192">
        <v>1.0</v>
      </c>
    </row>
    <row r="13">
      <c r="A13" s="84" t="s">
        <v>387</v>
      </c>
      <c r="B13" s="87">
        <v>2223.0</v>
      </c>
      <c r="C13" s="87">
        <v>6696.0</v>
      </c>
      <c r="D13" s="192">
        <v>0.67</v>
      </c>
    </row>
    <row r="14">
      <c r="A14" s="84" t="s">
        <v>381</v>
      </c>
      <c r="B14" s="87">
        <v>1714.0</v>
      </c>
      <c r="C14" s="87">
        <v>6696.0</v>
      </c>
      <c r="D14" s="192">
        <v>0.74</v>
      </c>
    </row>
    <row r="15">
      <c r="A15" s="84" t="s">
        <v>388</v>
      </c>
      <c r="B15" s="87">
        <v>360.0</v>
      </c>
      <c r="C15" s="87">
        <v>360.0</v>
      </c>
      <c r="D15" s="192">
        <v>0.0</v>
      </c>
    </row>
    <row r="16">
      <c r="A16" s="84" t="s">
        <v>385</v>
      </c>
      <c r="B16" s="87">
        <v>2384.0</v>
      </c>
      <c r="C16" s="87">
        <v>6984.0</v>
      </c>
      <c r="D16" s="192">
        <v>0.66</v>
      </c>
    </row>
    <row r="17">
      <c r="A17" s="84" t="s">
        <v>389</v>
      </c>
      <c r="B17" s="87">
        <v>360.0</v>
      </c>
      <c r="C17" s="87">
        <v>360.0</v>
      </c>
      <c r="D17" s="192">
        <v>0.0</v>
      </c>
    </row>
    <row r="18">
      <c r="A18" s="84" t="s">
        <v>390</v>
      </c>
      <c r="B18" s="87">
        <v>1062.0</v>
      </c>
      <c r="C18" s="87">
        <v>1344.0</v>
      </c>
      <c r="D18" s="192">
        <v>0.21</v>
      </c>
    </row>
    <row r="19">
      <c r="A19" s="84" t="s">
        <v>400</v>
      </c>
      <c r="B19" s="87">
        <v>360.0</v>
      </c>
      <c r="C19" s="87">
        <v>6840.0</v>
      </c>
      <c r="D19" s="192">
        <v>0.95</v>
      </c>
    </row>
    <row r="20">
      <c r="A20" s="84" t="s">
        <v>396</v>
      </c>
      <c r="B20" s="87">
        <v>360.0</v>
      </c>
      <c r="C20" s="87">
        <v>6840.0</v>
      </c>
      <c r="D20" s="192">
        <v>0.95</v>
      </c>
    </row>
    <row r="21">
      <c r="A21" s="84" t="s">
        <v>470</v>
      </c>
      <c r="B21" s="87">
        <v>35.0</v>
      </c>
      <c r="C21" s="87">
        <v>1080.0</v>
      </c>
      <c r="D21" s="192">
        <v>0.97</v>
      </c>
    </row>
    <row r="22">
      <c r="A22" s="84" t="s">
        <v>926</v>
      </c>
      <c r="B22" s="87">
        <v>128.0</v>
      </c>
      <c r="C22" s="87">
        <v>504.0</v>
      </c>
      <c r="D22" s="192">
        <v>0.75</v>
      </c>
    </row>
    <row r="23">
      <c r="A23" s="84" t="s">
        <v>931</v>
      </c>
      <c r="B23" s="87">
        <v>144.0</v>
      </c>
      <c r="C23" s="87">
        <v>144.0</v>
      </c>
      <c r="D23" s="192">
        <v>0.0</v>
      </c>
    </row>
    <row r="24">
      <c r="A24" s="84" t="s">
        <v>930</v>
      </c>
      <c r="B24" s="87">
        <v>144.0</v>
      </c>
      <c r="C24" s="87">
        <v>144.0</v>
      </c>
      <c r="D24" s="192">
        <v>0.0</v>
      </c>
    </row>
    <row r="25">
      <c r="A25" s="84" t="s">
        <v>3528</v>
      </c>
      <c r="B25" s="87">
        <v>2591.0</v>
      </c>
      <c r="C25" s="87">
        <v>4680.0</v>
      </c>
      <c r="D25" s="192">
        <v>0.45</v>
      </c>
    </row>
    <row r="26">
      <c r="A26" s="84" t="s">
        <v>545</v>
      </c>
      <c r="B26" s="87">
        <v>0.0</v>
      </c>
      <c r="C26" s="87">
        <v>2160.0</v>
      </c>
      <c r="D26" s="192">
        <v>1.0</v>
      </c>
    </row>
    <row r="27">
      <c r="A27" s="84" t="s">
        <v>546</v>
      </c>
      <c r="B27" s="87">
        <v>31.0</v>
      </c>
      <c r="C27" s="87">
        <v>2160.0</v>
      </c>
      <c r="D27" s="192">
        <v>0.99</v>
      </c>
    </row>
    <row r="28">
      <c r="A28" s="84" t="s">
        <v>541</v>
      </c>
      <c r="B28" s="87">
        <v>12.0</v>
      </c>
      <c r="C28" s="87">
        <v>2880.0</v>
      </c>
      <c r="D28" s="192">
        <v>1.0</v>
      </c>
    </row>
    <row r="29">
      <c r="A29" s="84" t="s">
        <v>812</v>
      </c>
      <c r="B29" s="87">
        <v>37.0</v>
      </c>
      <c r="C29" s="87">
        <v>360.0</v>
      </c>
      <c r="D29" s="192">
        <v>0.9</v>
      </c>
    </row>
    <row r="30">
      <c r="A30" s="84" t="s">
        <v>810</v>
      </c>
      <c r="B30" s="87">
        <v>466.0</v>
      </c>
      <c r="C30" s="87">
        <v>4320.0</v>
      </c>
      <c r="D30" s="192">
        <v>0.89</v>
      </c>
    </row>
    <row r="31">
      <c r="A31" s="84" t="s">
        <v>811</v>
      </c>
      <c r="B31" s="87">
        <v>473.0</v>
      </c>
      <c r="C31" s="87">
        <v>4320.0</v>
      </c>
      <c r="D31" s="192">
        <v>0.89</v>
      </c>
    </row>
    <row r="32">
      <c r="A32" s="84" t="s">
        <v>1352</v>
      </c>
      <c r="B32" s="87">
        <v>130.0</v>
      </c>
      <c r="C32" s="87">
        <v>1440.0</v>
      </c>
      <c r="D32" s="192">
        <v>0.91</v>
      </c>
    </row>
    <row r="33">
      <c r="A33" s="84" t="s">
        <v>1249</v>
      </c>
      <c r="B33" s="87">
        <v>277.0</v>
      </c>
      <c r="C33" s="87">
        <v>1440.0</v>
      </c>
      <c r="D33" s="192">
        <v>0.81</v>
      </c>
    </row>
    <row r="34">
      <c r="A34" s="84" t="s">
        <v>1353</v>
      </c>
      <c r="B34" s="87">
        <v>285.0</v>
      </c>
      <c r="C34" s="87">
        <v>2160.0</v>
      </c>
      <c r="D34" s="192">
        <v>0.87</v>
      </c>
    </row>
    <row r="35">
      <c r="A35" s="84" t="s">
        <v>705</v>
      </c>
      <c r="B35" s="87">
        <v>420.0</v>
      </c>
      <c r="C35" s="87">
        <v>7200.0</v>
      </c>
      <c r="D35" s="192">
        <v>0.94</v>
      </c>
    </row>
    <row r="36">
      <c r="A36" s="84" t="s">
        <v>1228</v>
      </c>
      <c r="B36" s="87">
        <v>400.0</v>
      </c>
      <c r="C36" s="87">
        <v>4680.0</v>
      </c>
      <c r="D36" s="192">
        <v>0.91</v>
      </c>
    </row>
    <row r="37">
      <c r="A37" s="84" t="s">
        <v>1270</v>
      </c>
      <c r="B37" s="87">
        <v>1368.0</v>
      </c>
      <c r="C37" s="87">
        <v>7560.0</v>
      </c>
      <c r="D37" s="192">
        <v>0.82</v>
      </c>
    </row>
    <row r="38">
      <c r="A38" s="84" t="s">
        <v>1271</v>
      </c>
      <c r="B38" s="87">
        <v>855.0</v>
      </c>
      <c r="C38" s="87">
        <v>8280.0</v>
      </c>
      <c r="D38" s="192">
        <v>0.9</v>
      </c>
    </row>
    <row r="39">
      <c r="A39" s="84" t="s">
        <v>1269</v>
      </c>
      <c r="B39" s="87">
        <v>1699.0</v>
      </c>
      <c r="C39" s="87">
        <v>8280.0</v>
      </c>
      <c r="D39" s="192">
        <v>0.79</v>
      </c>
    </row>
    <row r="40">
      <c r="A40" s="84" t="s">
        <v>956</v>
      </c>
      <c r="B40" s="87">
        <v>527.0</v>
      </c>
      <c r="C40" s="87">
        <v>8280.0</v>
      </c>
      <c r="D40" s="192">
        <v>0.94</v>
      </c>
    </row>
    <row r="41">
      <c r="A41" s="84" t="s">
        <v>1118</v>
      </c>
      <c r="B41" s="87">
        <v>56.0</v>
      </c>
      <c r="C41" s="87">
        <v>3600.0</v>
      </c>
      <c r="D41" s="192">
        <v>0.98</v>
      </c>
    </row>
    <row r="42">
      <c r="A42" s="84" t="s">
        <v>1116</v>
      </c>
      <c r="B42" s="87">
        <v>0.0</v>
      </c>
      <c r="C42" s="87">
        <v>3600.0</v>
      </c>
      <c r="D42" s="192">
        <v>1.0</v>
      </c>
    </row>
    <row r="43">
      <c r="A43" s="84" t="s">
        <v>1119</v>
      </c>
      <c r="B43" s="87">
        <v>0.0</v>
      </c>
      <c r="C43" s="87">
        <v>3600.0</v>
      </c>
      <c r="D43" s="192">
        <v>1.0</v>
      </c>
    </row>
    <row r="44">
      <c r="A44" s="84" t="s">
        <v>361</v>
      </c>
      <c r="B44" s="87">
        <v>2736.0</v>
      </c>
      <c r="C44" s="87">
        <v>3096.0</v>
      </c>
      <c r="D44" s="192">
        <v>0.12</v>
      </c>
    </row>
    <row r="45">
      <c r="A45" s="84" t="s">
        <v>366</v>
      </c>
      <c r="B45" s="87">
        <v>2592.0</v>
      </c>
      <c r="C45" s="87">
        <v>2952.0</v>
      </c>
      <c r="D45" s="192">
        <v>0.12</v>
      </c>
    </row>
    <row r="46">
      <c r="A46" s="84" t="s">
        <v>1105</v>
      </c>
      <c r="B46" s="87">
        <v>623.0</v>
      </c>
      <c r="C46" s="87">
        <v>7560.0</v>
      </c>
      <c r="D46" s="192">
        <v>0.92</v>
      </c>
    </row>
    <row r="47">
      <c r="A47" s="84" t="s">
        <v>1103</v>
      </c>
      <c r="B47" s="87">
        <v>7560.0</v>
      </c>
      <c r="C47" s="87">
        <v>7560.0</v>
      </c>
      <c r="D47" s="192">
        <v>0.0</v>
      </c>
    </row>
    <row r="48">
      <c r="A48" s="84" t="s">
        <v>1106</v>
      </c>
      <c r="B48" s="87">
        <v>4486.0</v>
      </c>
      <c r="C48" s="87">
        <v>7560.0</v>
      </c>
      <c r="D48" s="192">
        <v>0.41</v>
      </c>
    </row>
    <row r="49">
      <c r="A49" s="84" t="s">
        <v>256</v>
      </c>
      <c r="B49" s="87">
        <v>723.0</v>
      </c>
      <c r="C49" s="87">
        <v>8280.0</v>
      </c>
      <c r="D49" s="192">
        <v>0.91</v>
      </c>
    </row>
    <row r="50">
      <c r="A50" s="84" t="s">
        <v>1234</v>
      </c>
      <c r="B50" s="87">
        <v>720.0</v>
      </c>
      <c r="C50" s="87">
        <v>7560.0</v>
      </c>
      <c r="D50" s="192">
        <v>0.9</v>
      </c>
    </row>
    <row r="51">
      <c r="A51" s="84" t="s">
        <v>1235</v>
      </c>
      <c r="B51" s="87">
        <v>720.0</v>
      </c>
      <c r="C51" s="87">
        <v>7560.0</v>
      </c>
      <c r="D51" s="192">
        <v>0.9</v>
      </c>
    </row>
    <row r="52">
      <c r="A52" s="84" t="s">
        <v>1231</v>
      </c>
      <c r="B52" s="87">
        <v>375.0</v>
      </c>
      <c r="C52" s="87">
        <v>8280.0</v>
      </c>
      <c r="D52" s="192">
        <v>0.95</v>
      </c>
    </row>
    <row r="53">
      <c r="A53" s="84" t="s">
        <v>1233</v>
      </c>
      <c r="B53" s="87">
        <v>1440.0</v>
      </c>
      <c r="C53" s="87">
        <v>8280.0</v>
      </c>
      <c r="D53" s="192">
        <v>0.83</v>
      </c>
    </row>
    <row r="54">
      <c r="A54" s="84" t="s">
        <v>688</v>
      </c>
      <c r="B54" s="87">
        <v>5636.0</v>
      </c>
      <c r="C54" s="87">
        <v>7200.0</v>
      </c>
      <c r="D54" s="192">
        <v>0.22</v>
      </c>
    </row>
    <row r="55">
      <c r="A55" s="84" t="s">
        <v>685</v>
      </c>
      <c r="B55" s="87">
        <v>5164.0</v>
      </c>
      <c r="C55" s="87">
        <v>7200.0</v>
      </c>
      <c r="D55" s="192">
        <v>0.28</v>
      </c>
    </row>
    <row r="56">
      <c r="A56" s="84" t="s">
        <v>689</v>
      </c>
      <c r="B56" s="87">
        <v>5097.0</v>
      </c>
      <c r="C56" s="87">
        <v>6480.0</v>
      </c>
      <c r="D56" s="192">
        <v>0.21</v>
      </c>
    </row>
    <row r="57">
      <c r="A57" s="84" t="s">
        <v>690</v>
      </c>
      <c r="B57" s="87">
        <v>3625.0</v>
      </c>
      <c r="C57" s="87">
        <v>6480.0</v>
      </c>
      <c r="D57" s="192">
        <v>0.44</v>
      </c>
    </row>
    <row r="58">
      <c r="A58" s="84" t="s">
        <v>697</v>
      </c>
      <c r="B58" s="87">
        <v>4016.0</v>
      </c>
      <c r="C58" s="87">
        <v>6480.0</v>
      </c>
      <c r="D58" s="192">
        <v>0.38</v>
      </c>
    </row>
    <row r="59">
      <c r="A59" s="84" t="s">
        <v>704</v>
      </c>
      <c r="B59" s="87">
        <v>4911.0</v>
      </c>
      <c r="C59" s="87">
        <v>6480.0</v>
      </c>
      <c r="D59" s="192">
        <v>0.24</v>
      </c>
    </row>
    <row r="60">
      <c r="A60" s="84" t="s">
        <v>691</v>
      </c>
      <c r="B60" s="87">
        <v>6435.0</v>
      </c>
      <c r="C60" s="87">
        <v>6480.0</v>
      </c>
      <c r="D60" s="192">
        <v>0.01</v>
      </c>
    </row>
    <row r="61">
      <c r="A61" s="84" t="s">
        <v>696</v>
      </c>
      <c r="B61" s="87">
        <v>5717.0</v>
      </c>
      <c r="C61" s="87">
        <v>6480.0</v>
      </c>
      <c r="D61" s="192">
        <v>0.12</v>
      </c>
    </row>
    <row r="62">
      <c r="A62" s="84" t="s">
        <v>702</v>
      </c>
      <c r="B62" s="87">
        <v>5567.0</v>
      </c>
      <c r="C62" s="87">
        <v>6480.0</v>
      </c>
      <c r="D62" s="192">
        <v>0.14</v>
      </c>
    </row>
    <row r="63">
      <c r="A63" s="84" t="s">
        <v>1248</v>
      </c>
      <c r="B63" s="87">
        <v>4613.0</v>
      </c>
      <c r="C63" s="87">
        <v>7560.0</v>
      </c>
      <c r="D63" s="192">
        <v>0.39</v>
      </c>
    </row>
    <row r="64">
      <c r="A64" s="84" t="s">
        <v>703</v>
      </c>
      <c r="B64" s="87">
        <v>5747.0</v>
      </c>
      <c r="C64" s="87">
        <v>7560.0</v>
      </c>
      <c r="D64" s="192">
        <v>0.24</v>
      </c>
    </row>
    <row r="65">
      <c r="A65" s="84" t="s">
        <v>687</v>
      </c>
      <c r="B65" s="87">
        <v>7200.0</v>
      </c>
      <c r="C65" s="87">
        <v>7200.0</v>
      </c>
      <c r="D65" s="192">
        <v>0.0</v>
      </c>
    </row>
    <row r="66">
      <c r="A66" s="84" t="s">
        <v>693</v>
      </c>
      <c r="B66" s="87">
        <v>7200.0</v>
      </c>
      <c r="C66" s="87">
        <v>7560.0</v>
      </c>
      <c r="D66" s="192">
        <v>0.05</v>
      </c>
    </row>
    <row r="67">
      <c r="A67" s="84" t="s">
        <v>692</v>
      </c>
      <c r="B67" s="87">
        <v>4960.0</v>
      </c>
      <c r="C67" s="87">
        <v>6480.0</v>
      </c>
      <c r="D67" s="192">
        <v>0.23</v>
      </c>
    </row>
    <row r="68">
      <c r="A68" s="84" t="s">
        <v>699</v>
      </c>
      <c r="B68" s="87">
        <v>6480.0</v>
      </c>
      <c r="C68" s="87">
        <v>6480.0</v>
      </c>
      <c r="D68" s="192">
        <v>0.0</v>
      </c>
    </row>
    <row r="69">
      <c r="A69" s="84" t="s">
        <v>701</v>
      </c>
      <c r="B69" s="87">
        <v>4423.0</v>
      </c>
      <c r="C69" s="87">
        <v>6480.0</v>
      </c>
      <c r="D69" s="192">
        <v>0.32</v>
      </c>
    </row>
    <row r="70">
      <c r="A70" s="84" t="s">
        <v>695</v>
      </c>
      <c r="B70" s="87">
        <v>7338.0</v>
      </c>
      <c r="C70" s="87">
        <v>7560.0</v>
      </c>
      <c r="D70" s="192">
        <v>0.03</v>
      </c>
    </row>
    <row r="71">
      <c r="A71" s="84" t="s">
        <v>698</v>
      </c>
      <c r="B71" s="87">
        <v>5934.0</v>
      </c>
      <c r="C71" s="87">
        <v>6480.0</v>
      </c>
      <c r="D71" s="192">
        <v>0.08</v>
      </c>
    </row>
    <row r="72">
      <c r="A72" s="84" t="s">
        <v>700</v>
      </c>
      <c r="B72" s="87">
        <v>6123.0</v>
      </c>
      <c r="C72" s="87">
        <v>7560.0</v>
      </c>
      <c r="D72" s="192">
        <v>0.19</v>
      </c>
    </row>
    <row r="73">
      <c r="A73" s="84" t="s">
        <v>694</v>
      </c>
      <c r="B73" s="87">
        <v>4376.0</v>
      </c>
      <c r="C73" s="87">
        <v>7560.0</v>
      </c>
      <c r="D73" s="192">
        <v>0.42</v>
      </c>
    </row>
    <row r="74">
      <c r="A74" s="84" t="s">
        <v>715</v>
      </c>
      <c r="B74" s="87">
        <v>5912.0</v>
      </c>
      <c r="C74" s="87">
        <v>6480.0</v>
      </c>
      <c r="D74" s="192">
        <v>0.09</v>
      </c>
    </row>
    <row r="75">
      <c r="A75" s="84" t="s">
        <v>1253</v>
      </c>
      <c r="B75" s="87">
        <v>6847.0</v>
      </c>
      <c r="C75" s="87">
        <v>7920.0</v>
      </c>
      <c r="D75" s="192">
        <v>0.14</v>
      </c>
    </row>
    <row r="76">
      <c r="A76" s="84" t="s">
        <v>721</v>
      </c>
      <c r="B76" s="87">
        <v>7092.0</v>
      </c>
      <c r="C76" s="87">
        <v>7200.0</v>
      </c>
      <c r="D76" s="192">
        <v>0.02</v>
      </c>
    </row>
    <row r="77">
      <c r="A77" s="84" t="s">
        <v>3574</v>
      </c>
      <c r="B77" s="87">
        <v>1510.0</v>
      </c>
      <c r="C77" s="87">
        <v>6072.0</v>
      </c>
      <c r="D77" s="192">
        <v>0.75</v>
      </c>
    </row>
    <row r="78">
      <c r="A78" s="84" t="s">
        <v>135</v>
      </c>
      <c r="B78" s="87">
        <v>1801.0</v>
      </c>
      <c r="C78" s="87">
        <v>3960.0</v>
      </c>
      <c r="D78" s="192">
        <v>0.55</v>
      </c>
    </row>
    <row r="79">
      <c r="A79" s="84" t="s">
        <v>129</v>
      </c>
      <c r="B79" s="87">
        <v>1080.0</v>
      </c>
      <c r="C79" s="87">
        <v>3240.0</v>
      </c>
      <c r="D79" s="192">
        <v>0.67</v>
      </c>
    </row>
    <row r="80">
      <c r="A80" s="84" t="s">
        <v>123</v>
      </c>
      <c r="B80" s="87">
        <v>2520.0</v>
      </c>
      <c r="C80" s="87">
        <v>3240.0</v>
      </c>
      <c r="D80" s="192">
        <v>0.22</v>
      </c>
    </row>
    <row r="81">
      <c r="A81" s="84" t="s">
        <v>125</v>
      </c>
      <c r="B81" s="87">
        <v>2160.0</v>
      </c>
      <c r="C81" s="87">
        <v>3240.0</v>
      </c>
      <c r="D81" s="192">
        <v>0.33</v>
      </c>
    </row>
    <row r="82">
      <c r="A82" s="84" t="s">
        <v>118</v>
      </c>
      <c r="B82" s="87">
        <v>2520.0</v>
      </c>
      <c r="C82" s="87">
        <v>3240.0</v>
      </c>
      <c r="D82" s="192">
        <v>0.22</v>
      </c>
    </row>
    <row r="83">
      <c r="A83" s="84" t="s">
        <v>778</v>
      </c>
      <c r="B83" s="87">
        <v>1829.0</v>
      </c>
      <c r="C83" s="87">
        <v>6912.0</v>
      </c>
      <c r="D83" s="192">
        <v>0.74</v>
      </c>
    </row>
    <row r="84">
      <c r="A84" s="84" t="s">
        <v>1246</v>
      </c>
      <c r="B84" s="87">
        <v>360.0</v>
      </c>
      <c r="C84" s="87">
        <v>7560.0</v>
      </c>
      <c r="D84" s="192">
        <v>0.95</v>
      </c>
    </row>
    <row r="85">
      <c r="A85" s="84" t="s">
        <v>1243</v>
      </c>
      <c r="B85" s="87">
        <v>720.0</v>
      </c>
      <c r="C85" s="87">
        <v>7560.0</v>
      </c>
      <c r="D85" s="192">
        <v>0.9</v>
      </c>
    </row>
    <row r="86">
      <c r="A86" s="84" t="s">
        <v>1245</v>
      </c>
      <c r="B86" s="87">
        <v>1343.0</v>
      </c>
      <c r="C86" s="87">
        <v>7560.0</v>
      </c>
      <c r="D86" s="192">
        <v>0.82</v>
      </c>
    </row>
    <row r="87">
      <c r="A87" s="84" t="s">
        <v>3638</v>
      </c>
      <c r="B87" s="87">
        <v>719.0</v>
      </c>
      <c r="C87" s="87">
        <v>7560.0</v>
      </c>
      <c r="D87" s="192">
        <v>0.9</v>
      </c>
    </row>
    <row r="88">
      <c r="A88" s="84" t="s">
        <v>278</v>
      </c>
      <c r="B88" s="87">
        <v>3782.0</v>
      </c>
      <c r="C88" s="87">
        <v>7560.0</v>
      </c>
      <c r="D88" s="192">
        <v>0.5</v>
      </c>
    </row>
    <row r="89">
      <c r="A89" s="84" t="s">
        <v>951</v>
      </c>
      <c r="B89" s="87">
        <v>794.0</v>
      </c>
      <c r="C89" s="87">
        <v>5040.0</v>
      </c>
      <c r="D89" s="192">
        <v>0.84</v>
      </c>
    </row>
    <row r="90">
      <c r="A90" s="84" t="s">
        <v>947</v>
      </c>
      <c r="B90" s="87">
        <v>184.0</v>
      </c>
      <c r="C90" s="87">
        <v>5040.0</v>
      </c>
      <c r="D90" s="192">
        <v>0.96</v>
      </c>
    </row>
    <row r="91">
      <c r="A91" s="84" t="s">
        <v>982</v>
      </c>
      <c r="B91" s="87">
        <v>2924.0</v>
      </c>
      <c r="C91" s="87">
        <v>8280.0</v>
      </c>
      <c r="D91" s="192">
        <v>0.65</v>
      </c>
    </row>
    <row r="92">
      <c r="A92" s="84" t="s">
        <v>1348</v>
      </c>
      <c r="B92" s="87">
        <v>182.0</v>
      </c>
      <c r="C92" s="87">
        <v>3312.0</v>
      </c>
      <c r="D92" s="192">
        <v>0.95</v>
      </c>
    </row>
    <row r="93">
      <c r="A93" s="84" t="s">
        <v>3639</v>
      </c>
      <c r="B93" s="87">
        <v>216.0</v>
      </c>
      <c r="C93" s="87">
        <v>4968.0</v>
      </c>
      <c r="D93" s="192">
        <v>0.96</v>
      </c>
    </row>
    <row r="94">
      <c r="A94" s="84" t="s">
        <v>3640</v>
      </c>
      <c r="B94" s="87">
        <v>250.0</v>
      </c>
      <c r="C94" s="87">
        <v>4752.0</v>
      </c>
      <c r="D94" s="192">
        <v>0.95</v>
      </c>
    </row>
    <row r="95">
      <c r="A95" s="84" t="s">
        <v>1313</v>
      </c>
      <c r="B95" s="87">
        <v>153.0</v>
      </c>
      <c r="C95" s="87">
        <v>3168.0</v>
      </c>
      <c r="D95" s="192">
        <v>0.95</v>
      </c>
    </row>
    <row r="96">
      <c r="A96" s="84" t="s">
        <v>1223</v>
      </c>
      <c r="B96" s="87">
        <v>273.0</v>
      </c>
      <c r="C96" s="87">
        <v>4680.0</v>
      </c>
      <c r="D96" s="192">
        <v>0.94</v>
      </c>
    </row>
    <row r="97">
      <c r="A97" s="84" t="s">
        <v>1230</v>
      </c>
      <c r="B97" s="87">
        <v>352.0</v>
      </c>
      <c r="C97" s="87">
        <v>4680.0</v>
      </c>
      <c r="D97" s="192">
        <v>0.92</v>
      </c>
    </row>
    <row r="98">
      <c r="A98" s="84" t="s">
        <v>1227</v>
      </c>
      <c r="B98" s="87">
        <v>1637.0</v>
      </c>
      <c r="C98" s="87">
        <v>4680.0</v>
      </c>
      <c r="D98" s="192">
        <v>0.65</v>
      </c>
    </row>
    <row r="99">
      <c r="A99" s="84" t="s">
        <v>1226</v>
      </c>
      <c r="B99" s="87">
        <v>355.0</v>
      </c>
      <c r="C99" s="87">
        <v>4680.0</v>
      </c>
      <c r="D99" s="192">
        <v>0.92</v>
      </c>
    </row>
    <row r="100">
      <c r="A100" s="84" t="s">
        <v>908</v>
      </c>
      <c r="B100" s="87">
        <v>0.0</v>
      </c>
      <c r="C100" s="87">
        <v>4680.0</v>
      </c>
      <c r="D100" s="192">
        <v>1.0</v>
      </c>
    </row>
    <row r="101">
      <c r="A101" s="84" t="s">
        <v>911</v>
      </c>
      <c r="B101" s="87">
        <v>360.0</v>
      </c>
      <c r="C101" s="87">
        <v>4680.0</v>
      </c>
      <c r="D101" s="192">
        <v>0.92</v>
      </c>
    </row>
    <row r="102">
      <c r="A102" s="84" t="s">
        <v>865</v>
      </c>
      <c r="B102" s="87">
        <v>59.0</v>
      </c>
      <c r="C102" s="87">
        <v>4320.0</v>
      </c>
      <c r="D102" s="192">
        <v>0.99</v>
      </c>
    </row>
    <row r="103">
      <c r="A103" s="84" t="s">
        <v>757</v>
      </c>
      <c r="B103" s="87">
        <v>442.0</v>
      </c>
      <c r="C103" s="87">
        <v>7560.0</v>
      </c>
      <c r="D103" s="192">
        <v>0.94</v>
      </c>
    </row>
    <row r="104">
      <c r="A104" s="84" t="s">
        <v>409</v>
      </c>
      <c r="B104" s="87">
        <v>0.0</v>
      </c>
      <c r="C104" s="87">
        <v>360.0</v>
      </c>
      <c r="D104" s="192">
        <v>1.0</v>
      </c>
    </row>
    <row r="105">
      <c r="A105" s="84" t="s">
        <v>3641</v>
      </c>
      <c r="B105" s="87">
        <v>248.0</v>
      </c>
      <c r="C105" s="87">
        <v>7560.0</v>
      </c>
      <c r="D105" s="192">
        <v>0.97</v>
      </c>
    </row>
    <row r="106">
      <c r="A106" s="84" t="s">
        <v>675</v>
      </c>
      <c r="B106" s="87">
        <v>205.0</v>
      </c>
      <c r="C106" s="87">
        <v>7200.0</v>
      </c>
      <c r="D106" s="192">
        <v>0.97</v>
      </c>
    </row>
    <row r="107">
      <c r="A107" s="84" t="s">
        <v>669</v>
      </c>
      <c r="B107" s="87">
        <v>593.0</v>
      </c>
      <c r="C107" s="87">
        <v>7560.0</v>
      </c>
      <c r="D107" s="192">
        <v>0.92</v>
      </c>
    </row>
    <row r="108">
      <c r="A108" s="84" t="s">
        <v>674</v>
      </c>
      <c r="B108" s="87">
        <v>2919.0</v>
      </c>
      <c r="C108" s="87">
        <v>7560.0</v>
      </c>
      <c r="D108" s="192">
        <v>0.61</v>
      </c>
    </row>
    <row r="109">
      <c r="A109" s="84" t="s">
        <v>673</v>
      </c>
      <c r="B109" s="87">
        <v>2813.0</v>
      </c>
      <c r="C109" s="87">
        <v>7560.0</v>
      </c>
      <c r="D109" s="192">
        <v>0.63</v>
      </c>
    </row>
    <row r="110">
      <c r="A110" s="84" t="s">
        <v>671</v>
      </c>
      <c r="B110" s="87">
        <v>290.0</v>
      </c>
      <c r="C110" s="87">
        <v>7560.0</v>
      </c>
      <c r="D110" s="192">
        <v>0.96</v>
      </c>
    </row>
    <row r="111">
      <c r="A111" s="84" t="s">
        <v>672</v>
      </c>
      <c r="B111" s="87">
        <v>525.0</v>
      </c>
      <c r="C111" s="87">
        <v>6840.0</v>
      </c>
      <c r="D111" s="192">
        <v>0.92</v>
      </c>
    </row>
    <row r="112">
      <c r="A112" s="84" t="s">
        <v>803</v>
      </c>
      <c r="B112" s="87">
        <v>161.0</v>
      </c>
      <c r="C112" s="87">
        <v>4320.0</v>
      </c>
      <c r="D112" s="192">
        <v>0.96</v>
      </c>
    </row>
    <row r="113">
      <c r="A113" s="84" t="s">
        <v>876</v>
      </c>
      <c r="B113" s="87">
        <v>429.0</v>
      </c>
      <c r="C113" s="87">
        <v>7560.0</v>
      </c>
      <c r="D113" s="192">
        <v>0.94</v>
      </c>
    </row>
    <row r="114">
      <c r="A114" s="84" t="s">
        <v>799</v>
      </c>
      <c r="B114" s="87">
        <v>433.0</v>
      </c>
      <c r="C114" s="87">
        <v>7560.0</v>
      </c>
      <c r="D114" s="192">
        <v>0.94</v>
      </c>
    </row>
    <row r="115">
      <c r="A115" s="84" t="s">
        <v>874</v>
      </c>
      <c r="B115" s="87">
        <v>412.0</v>
      </c>
      <c r="C115" s="87">
        <v>7560.0</v>
      </c>
      <c r="D115" s="192">
        <v>0.95</v>
      </c>
    </row>
    <row r="116">
      <c r="A116" s="84" t="s">
        <v>571</v>
      </c>
      <c r="B116" s="87">
        <v>4242.0</v>
      </c>
      <c r="C116" s="87">
        <v>7560.0</v>
      </c>
      <c r="D116" s="192">
        <v>0.44</v>
      </c>
    </row>
    <row r="117">
      <c r="A117" s="84" t="s">
        <v>1006</v>
      </c>
      <c r="B117" s="87">
        <v>360.0</v>
      </c>
      <c r="C117" s="87">
        <v>8280.0</v>
      </c>
      <c r="D117" s="192">
        <v>0.96</v>
      </c>
    </row>
    <row r="118">
      <c r="A118" s="84" t="s">
        <v>995</v>
      </c>
      <c r="B118" s="87">
        <v>407.0</v>
      </c>
      <c r="C118" s="87">
        <v>8280.0</v>
      </c>
      <c r="D118" s="192">
        <v>0.95</v>
      </c>
    </row>
    <row r="119">
      <c r="A119" s="84" t="s">
        <v>1001</v>
      </c>
      <c r="B119" s="87">
        <v>537.0</v>
      </c>
      <c r="C119" s="87">
        <v>8280.0</v>
      </c>
      <c r="D119" s="192">
        <v>0.94</v>
      </c>
    </row>
    <row r="120">
      <c r="A120" s="84" t="s">
        <v>996</v>
      </c>
      <c r="B120" s="87">
        <v>391.0</v>
      </c>
      <c r="C120" s="87">
        <v>8280.0</v>
      </c>
      <c r="D120" s="192">
        <v>0.95</v>
      </c>
    </row>
    <row r="121">
      <c r="A121" s="84" t="s">
        <v>1004</v>
      </c>
      <c r="B121" s="87">
        <v>480.0</v>
      </c>
      <c r="C121" s="87">
        <v>8280.0</v>
      </c>
      <c r="D121" s="192">
        <v>0.94</v>
      </c>
    </row>
    <row r="122">
      <c r="A122" s="84" t="s">
        <v>1003</v>
      </c>
      <c r="B122" s="87">
        <v>413.0</v>
      </c>
      <c r="C122" s="87">
        <v>8280.0</v>
      </c>
      <c r="D122" s="192">
        <v>0.95</v>
      </c>
    </row>
    <row r="123">
      <c r="A123" s="84" t="s">
        <v>988</v>
      </c>
      <c r="B123" s="87">
        <v>360.0</v>
      </c>
      <c r="C123" s="87">
        <v>8280.0</v>
      </c>
      <c r="D123" s="192">
        <v>0.96</v>
      </c>
    </row>
    <row r="124">
      <c r="A124" s="84" t="s">
        <v>998</v>
      </c>
      <c r="B124" s="87">
        <v>360.0</v>
      </c>
      <c r="C124" s="87">
        <v>8280.0</v>
      </c>
      <c r="D124" s="192">
        <v>0.96</v>
      </c>
    </row>
    <row r="125">
      <c r="A125" s="84" t="s">
        <v>1000</v>
      </c>
      <c r="B125" s="87">
        <v>417.0</v>
      </c>
      <c r="C125" s="87">
        <v>8280.0</v>
      </c>
      <c r="D125" s="192">
        <v>0.95</v>
      </c>
    </row>
    <row r="126">
      <c r="A126" s="84" t="s">
        <v>994</v>
      </c>
      <c r="B126" s="87">
        <v>360.0</v>
      </c>
      <c r="C126" s="87">
        <v>8280.0</v>
      </c>
      <c r="D126" s="192">
        <v>0.96</v>
      </c>
    </row>
    <row r="127">
      <c r="A127" s="84" t="s">
        <v>997</v>
      </c>
      <c r="B127" s="87">
        <v>5634.0</v>
      </c>
      <c r="C127" s="87">
        <v>8280.0</v>
      </c>
      <c r="D127" s="192">
        <v>0.32</v>
      </c>
    </row>
    <row r="128">
      <c r="A128" s="84" t="s">
        <v>991</v>
      </c>
      <c r="B128" s="87">
        <v>641.0</v>
      </c>
      <c r="C128" s="87">
        <v>8280.0</v>
      </c>
      <c r="D128" s="192">
        <v>0.92</v>
      </c>
    </row>
    <row r="129">
      <c r="A129" s="84" t="s">
        <v>1008</v>
      </c>
      <c r="B129" s="87">
        <v>360.0</v>
      </c>
      <c r="C129" s="87">
        <v>8280.0</v>
      </c>
      <c r="D129" s="192">
        <v>0.96</v>
      </c>
    </row>
    <row r="130">
      <c r="A130" s="84" t="s">
        <v>984</v>
      </c>
      <c r="B130" s="87">
        <v>374.0</v>
      </c>
      <c r="C130" s="87">
        <v>8280.0</v>
      </c>
      <c r="D130" s="192">
        <v>0.95</v>
      </c>
    </row>
    <row r="131">
      <c r="A131" s="84" t="s">
        <v>990</v>
      </c>
      <c r="B131" s="87">
        <v>360.0</v>
      </c>
      <c r="C131" s="87">
        <v>7560.0</v>
      </c>
      <c r="D131" s="192">
        <v>0.95</v>
      </c>
    </row>
    <row r="132">
      <c r="A132" s="84" t="s">
        <v>993</v>
      </c>
      <c r="B132" s="87">
        <v>360.0</v>
      </c>
      <c r="C132" s="87">
        <v>8280.0</v>
      </c>
      <c r="D132" s="192">
        <v>0.96</v>
      </c>
    </row>
    <row r="133">
      <c r="A133" s="84" t="s">
        <v>992</v>
      </c>
      <c r="B133" s="87">
        <v>398.0</v>
      </c>
      <c r="C133" s="87">
        <v>8280.0</v>
      </c>
      <c r="D133" s="192">
        <v>0.95</v>
      </c>
    </row>
    <row r="134">
      <c r="A134" s="84" t="s">
        <v>1005</v>
      </c>
      <c r="B134" s="87">
        <v>1022.0</v>
      </c>
      <c r="C134" s="87">
        <v>8280.0</v>
      </c>
      <c r="D134" s="192">
        <v>0.88</v>
      </c>
    </row>
    <row r="135">
      <c r="A135" s="84" t="s">
        <v>999</v>
      </c>
      <c r="B135" s="87">
        <v>402.0</v>
      </c>
      <c r="C135" s="87">
        <v>8280.0</v>
      </c>
      <c r="D135" s="192">
        <v>0.95</v>
      </c>
    </row>
    <row r="136">
      <c r="A136" s="84" t="s">
        <v>743</v>
      </c>
      <c r="B136" s="87">
        <v>2012.0</v>
      </c>
      <c r="C136" s="87">
        <v>7560.0</v>
      </c>
      <c r="D136" s="192">
        <v>0.73</v>
      </c>
    </row>
    <row r="137">
      <c r="A137" s="84" t="s">
        <v>194</v>
      </c>
      <c r="B137" s="87">
        <v>2775.0</v>
      </c>
      <c r="C137" s="87">
        <v>6120.0</v>
      </c>
      <c r="D137" s="192">
        <v>0.55</v>
      </c>
    </row>
    <row r="138">
      <c r="A138" s="84" t="s">
        <v>410</v>
      </c>
      <c r="B138" s="87">
        <v>0.0</v>
      </c>
      <c r="C138" s="87">
        <v>4320.0</v>
      </c>
      <c r="D138" s="192">
        <v>1.0</v>
      </c>
    </row>
    <row r="139">
      <c r="A139" s="84" t="s">
        <v>412</v>
      </c>
      <c r="B139" s="87">
        <v>0.0</v>
      </c>
      <c r="C139" s="87">
        <v>4320.0</v>
      </c>
      <c r="D139" s="192">
        <v>1.0</v>
      </c>
    </row>
    <row r="140">
      <c r="A140" s="84" t="s">
        <v>413</v>
      </c>
      <c r="B140" s="87">
        <v>14.0</v>
      </c>
      <c r="C140" s="87">
        <v>4320.0</v>
      </c>
      <c r="D140" s="192">
        <v>1.0</v>
      </c>
    </row>
    <row r="141">
      <c r="A141" s="84" t="s">
        <v>897</v>
      </c>
      <c r="B141" s="87">
        <v>738.0</v>
      </c>
      <c r="C141" s="87">
        <v>4680.0</v>
      </c>
      <c r="D141" s="192">
        <v>0.84</v>
      </c>
    </row>
    <row r="142">
      <c r="A142" s="84" t="s">
        <v>902</v>
      </c>
      <c r="B142" s="87">
        <v>787.0</v>
      </c>
      <c r="C142" s="87">
        <v>4680.0</v>
      </c>
      <c r="D142" s="192">
        <v>0.83</v>
      </c>
    </row>
    <row r="143">
      <c r="A143" s="84" t="s">
        <v>901</v>
      </c>
      <c r="B143" s="87">
        <v>718.0</v>
      </c>
      <c r="C143" s="87">
        <v>4680.0</v>
      </c>
      <c r="D143" s="192">
        <v>0.85</v>
      </c>
    </row>
    <row r="144">
      <c r="A144" s="84" t="s">
        <v>1061</v>
      </c>
      <c r="B144" s="87">
        <v>0.0</v>
      </c>
      <c r="C144" s="87">
        <v>5040.0</v>
      </c>
      <c r="D144" s="192">
        <v>1.0</v>
      </c>
    </row>
    <row r="145">
      <c r="A145" s="84" t="s">
        <v>1059</v>
      </c>
      <c r="B145" s="87">
        <v>362.0</v>
      </c>
      <c r="C145" s="87">
        <v>4680.0</v>
      </c>
      <c r="D145" s="192">
        <v>0.92</v>
      </c>
    </row>
    <row r="146">
      <c r="A146" s="84" t="s">
        <v>662</v>
      </c>
      <c r="B146" s="87">
        <v>0.0</v>
      </c>
      <c r="C146" s="87">
        <v>360.0</v>
      </c>
      <c r="D146" s="192">
        <v>1.0</v>
      </c>
    </row>
    <row r="147">
      <c r="A147" s="84" t="s">
        <v>667</v>
      </c>
      <c r="B147" s="87">
        <v>0.0</v>
      </c>
      <c r="C147" s="87">
        <v>360.0</v>
      </c>
      <c r="D147" s="192">
        <v>1.0</v>
      </c>
    </row>
    <row r="148">
      <c r="A148" s="84" t="s">
        <v>665</v>
      </c>
      <c r="B148" s="87">
        <v>0.0</v>
      </c>
      <c r="C148" s="87">
        <v>360.0</v>
      </c>
      <c r="D148" s="192">
        <v>1.0</v>
      </c>
    </row>
    <row r="149">
      <c r="A149" s="84" t="s">
        <v>666</v>
      </c>
      <c r="B149" s="87">
        <v>0.0</v>
      </c>
      <c r="C149" s="87">
        <v>360.0</v>
      </c>
      <c r="D149" s="192">
        <v>1.0</v>
      </c>
    </row>
    <row r="150">
      <c r="A150" s="84" t="s">
        <v>664</v>
      </c>
      <c r="B150" s="87">
        <v>0.0</v>
      </c>
      <c r="C150" s="87">
        <v>360.0</v>
      </c>
      <c r="D150" s="192">
        <v>1.0</v>
      </c>
    </row>
    <row r="151">
      <c r="A151" s="84" t="s">
        <v>668</v>
      </c>
      <c r="B151" s="87">
        <v>0.0</v>
      </c>
      <c r="C151" s="87">
        <v>360.0</v>
      </c>
      <c r="D151" s="192">
        <v>1.0</v>
      </c>
    </row>
    <row r="152">
      <c r="A152" s="84" t="s">
        <v>663</v>
      </c>
      <c r="B152" s="87">
        <v>0.0</v>
      </c>
      <c r="C152" s="87">
        <v>360.0</v>
      </c>
      <c r="D152" s="192">
        <v>1.0</v>
      </c>
    </row>
    <row r="153">
      <c r="A153" s="84" t="s">
        <v>661</v>
      </c>
      <c r="B153" s="87">
        <v>0.0</v>
      </c>
      <c r="C153" s="87">
        <v>360.0</v>
      </c>
      <c r="D153" s="192">
        <v>1.0</v>
      </c>
    </row>
    <row r="154">
      <c r="A154" s="84" t="s">
        <v>1236</v>
      </c>
      <c r="B154" s="87">
        <v>0.0</v>
      </c>
      <c r="C154" s="87">
        <v>2160.0</v>
      </c>
      <c r="D154" s="192">
        <v>1.0</v>
      </c>
    </row>
    <row r="155">
      <c r="A155" s="84" t="s">
        <v>283</v>
      </c>
      <c r="B155" s="87">
        <v>526.0</v>
      </c>
      <c r="C155" s="87">
        <v>6120.0</v>
      </c>
      <c r="D155" s="192">
        <v>0.91</v>
      </c>
    </row>
    <row r="156">
      <c r="A156" s="84" t="s">
        <v>280</v>
      </c>
      <c r="B156" s="87">
        <v>676.0</v>
      </c>
      <c r="C156" s="87">
        <v>6120.0</v>
      </c>
      <c r="D156" s="192">
        <v>0.89</v>
      </c>
    </row>
    <row r="157">
      <c r="A157" s="84" t="s">
        <v>285</v>
      </c>
      <c r="B157" s="87">
        <v>633.0</v>
      </c>
      <c r="C157" s="87">
        <v>5400.0</v>
      </c>
      <c r="D157" s="192">
        <v>0.88</v>
      </c>
    </row>
    <row r="158">
      <c r="A158" s="84" t="s">
        <v>178</v>
      </c>
      <c r="B158" s="87">
        <v>457.0</v>
      </c>
      <c r="C158" s="87">
        <v>720.0</v>
      </c>
      <c r="D158" s="192">
        <v>0.37</v>
      </c>
    </row>
    <row r="159">
      <c r="A159" s="84" t="s">
        <v>1289</v>
      </c>
      <c r="B159" s="87">
        <v>1360.0</v>
      </c>
      <c r="C159" s="87">
        <v>8280.0</v>
      </c>
      <c r="D159" s="192">
        <v>0.84</v>
      </c>
    </row>
    <row r="160">
      <c r="A160" s="84" t="s">
        <v>1284</v>
      </c>
      <c r="B160" s="87">
        <v>0.0</v>
      </c>
      <c r="C160" s="87">
        <v>720.0</v>
      </c>
      <c r="D160" s="192">
        <v>1.0</v>
      </c>
    </row>
    <row r="161">
      <c r="A161" s="84" t="s">
        <v>1283</v>
      </c>
      <c r="B161" s="87">
        <v>0.0</v>
      </c>
      <c r="C161" s="87">
        <v>720.0</v>
      </c>
      <c r="D161" s="192">
        <v>1.0</v>
      </c>
    </row>
    <row r="162">
      <c r="A162" s="84" t="s">
        <v>722</v>
      </c>
      <c r="B162" s="87">
        <v>7200.0</v>
      </c>
      <c r="C162" s="87">
        <v>7200.0</v>
      </c>
      <c r="D162" s="192">
        <v>0.0</v>
      </c>
    </row>
    <row r="163">
      <c r="A163" s="84" t="s">
        <v>718</v>
      </c>
      <c r="B163" s="87">
        <v>4767.0</v>
      </c>
      <c r="C163" s="87">
        <v>6480.0</v>
      </c>
      <c r="D163" s="192">
        <v>0.26</v>
      </c>
    </row>
    <row r="164">
      <c r="A164" s="84" t="s">
        <v>1210</v>
      </c>
      <c r="B164" s="87">
        <v>83.0</v>
      </c>
      <c r="C164" s="87">
        <v>5400.0</v>
      </c>
      <c r="D164" s="192">
        <v>0.98</v>
      </c>
    </row>
    <row r="165">
      <c r="A165" s="84" t="s">
        <v>1211</v>
      </c>
      <c r="B165" s="87">
        <v>21.0</v>
      </c>
      <c r="C165" s="87">
        <v>5400.0</v>
      </c>
      <c r="D165" s="192">
        <v>1.0</v>
      </c>
    </row>
    <row r="166">
      <c r="A166" s="84" t="s">
        <v>1212</v>
      </c>
      <c r="B166" s="87">
        <v>0.0</v>
      </c>
      <c r="C166" s="87">
        <v>5400.0</v>
      </c>
      <c r="D166" s="192">
        <v>1.0</v>
      </c>
    </row>
    <row r="167">
      <c r="A167" s="84" t="s">
        <v>1213</v>
      </c>
      <c r="B167" s="87">
        <v>29.0</v>
      </c>
      <c r="C167" s="87">
        <v>5400.0</v>
      </c>
      <c r="D167" s="192">
        <v>0.99</v>
      </c>
    </row>
    <row r="168">
      <c r="A168" s="84" t="s">
        <v>1207</v>
      </c>
      <c r="B168" s="87">
        <v>0.0</v>
      </c>
      <c r="C168" s="87">
        <v>5760.0</v>
      </c>
      <c r="D168" s="192">
        <v>1.0</v>
      </c>
    </row>
    <row r="169">
      <c r="A169" s="84" t="s">
        <v>132</v>
      </c>
      <c r="B169" s="87">
        <v>2110.0</v>
      </c>
      <c r="C169" s="87">
        <v>3240.0</v>
      </c>
      <c r="D169" s="192">
        <v>0.35</v>
      </c>
    </row>
    <row r="170">
      <c r="A170" s="84" t="s">
        <v>1163</v>
      </c>
      <c r="B170" s="87">
        <v>1492.0</v>
      </c>
      <c r="C170" s="87">
        <v>7560.0</v>
      </c>
      <c r="D170" s="192">
        <v>0.8</v>
      </c>
    </row>
    <row r="171">
      <c r="A171" s="84" t="s">
        <v>1164</v>
      </c>
      <c r="B171" s="87">
        <v>7560.0</v>
      </c>
      <c r="C171" s="87">
        <v>7560.0</v>
      </c>
      <c r="D171" s="192">
        <v>0.0</v>
      </c>
    </row>
    <row r="172">
      <c r="A172" s="84" t="s">
        <v>1161</v>
      </c>
      <c r="B172" s="87">
        <v>7001.0</v>
      </c>
      <c r="C172" s="87">
        <v>7560.0</v>
      </c>
      <c r="D172" s="192">
        <v>0.07</v>
      </c>
    </row>
    <row r="173">
      <c r="A173" s="84" t="s">
        <v>1162</v>
      </c>
      <c r="B173" s="87">
        <v>6873.0</v>
      </c>
      <c r="C173" s="87">
        <v>7560.0</v>
      </c>
      <c r="D173" s="192">
        <v>0.09</v>
      </c>
    </row>
    <row r="174">
      <c r="A174" s="84" t="s">
        <v>1238</v>
      </c>
      <c r="B174" s="87">
        <v>3600.0</v>
      </c>
      <c r="C174" s="87">
        <v>8280.0</v>
      </c>
      <c r="D174" s="192">
        <v>0.57</v>
      </c>
    </row>
    <row r="175">
      <c r="A175" s="84" t="s">
        <v>1240</v>
      </c>
      <c r="B175" s="87">
        <v>360.0</v>
      </c>
      <c r="C175" s="87">
        <v>7560.0</v>
      </c>
      <c r="D175" s="192">
        <v>0.95</v>
      </c>
    </row>
    <row r="176">
      <c r="A176" s="84" t="s">
        <v>1241</v>
      </c>
      <c r="B176" s="87">
        <v>1800.0</v>
      </c>
      <c r="C176" s="87">
        <v>7560.0</v>
      </c>
      <c r="D176" s="192">
        <v>0.76</v>
      </c>
    </row>
    <row r="177">
      <c r="A177" s="84" t="s">
        <v>1242</v>
      </c>
      <c r="B177" s="87">
        <v>3600.0</v>
      </c>
      <c r="C177" s="87">
        <v>7560.0</v>
      </c>
      <c r="D177" s="192">
        <v>0.52</v>
      </c>
    </row>
    <row r="178">
      <c r="A178" s="84" t="s">
        <v>3642</v>
      </c>
      <c r="B178" s="87">
        <v>9.0</v>
      </c>
      <c r="C178" s="87">
        <v>1440.0</v>
      </c>
      <c r="D178" s="192">
        <v>0.99</v>
      </c>
    </row>
    <row r="179">
      <c r="A179" s="84" t="s">
        <v>3643</v>
      </c>
      <c r="B179" s="87">
        <v>286.0</v>
      </c>
      <c r="C179" s="87">
        <v>2160.0</v>
      </c>
      <c r="D179" s="192">
        <v>0.87</v>
      </c>
    </row>
    <row r="180">
      <c r="A180" s="84" t="s">
        <v>207</v>
      </c>
      <c r="B180" s="87">
        <v>2419.0</v>
      </c>
      <c r="C180" s="87">
        <v>7560.0</v>
      </c>
      <c r="D180" s="192">
        <v>0.68</v>
      </c>
    </row>
    <row r="181">
      <c r="A181" s="84" t="s">
        <v>205</v>
      </c>
      <c r="B181" s="87">
        <v>1489.0</v>
      </c>
      <c r="C181" s="87">
        <v>8280.0</v>
      </c>
      <c r="D181" s="192">
        <v>0.82</v>
      </c>
    </row>
    <row r="182">
      <c r="A182" s="84" t="s">
        <v>200</v>
      </c>
      <c r="B182" s="87">
        <v>722.0</v>
      </c>
      <c r="C182" s="87">
        <v>7560.0</v>
      </c>
      <c r="D182" s="192">
        <v>0.9</v>
      </c>
    </row>
    <row r="183">
      <c r="A183" s="84" t="s">
        <v>209</v>
      </c>
      <c r="B183" s="87">
        <v>646.0</v>
      </c>
      <c r="C183" s="87">
        <v>7560.0</v>
      </c>
      <c r="D183" s="192">
        <v>0.91</v>
      </c>
    </row>
    <row r="184">
      <c r="A184" s="84" t="s">
        <v>604</v>
      </c>
      <c r="B184" s="87">
        <v>44.0</v>
      </c>
      <c r="C184" s="87">
        <v>720.0</v>
      </c>
      <c r="D184" s="192">
        <v>0.94</v>
      </c>
    </row>
    <row r="185">
      <c r="A185" s="84" t="s">
        <v>3644</v>
      </c>
      <c r="B185" s="87">
        <v>697.0</v>
      </c>
      <c r="C185" s="87">
        <v>7560.0</v>
      </c>
      <c r="D185" s="192">
        <v>0.91</v>
      </c>
    </row>
    <row r="186">
      <c r="A186" s="84" t="s">
        <v>1067</v>
      </c>
      <c r="B186" s="87">
        <v>2132.0</v>
      </c>
      <c r="C186" s="87">
        <v>7560.0</v>
      </c>
      <c r="D186" s="192">
        <v>0.72</v>
      </c>
    </row>
    <row r="187">
      <c r="A187" s="84" t="s">
        <v>3645</v>
      </c>
      <c r="B187" s="87">
        <v>736.0</v>
      </c>
      <c r="C187" s="87">
        <v>7560.0</v>
      </c>
      <c r="D187" s="192">
        <v>0.9</v>
      </c>
    </row>
    <row r="188">
      <c r="A188" s="84" t="s">
        <v>3646</v>
      </c>
      <c r="B188" s="87">
        <v>1512.0</v>
      </c>
      <c r="C188" s="87">
        <v>7560.0</v>
      </c>
      <c r="D188" s="192">
        <v>0.8</v>
      </c>
    </row>
    <row r="189">
      <c r="A189" s="84" t="s">
        <v>1066</v>
      </c>
      <c r="B189" s="87">
        <v>1053.0</v>
      </c>
      <c r="C189" s="87">
        <v>8280.0</v>
      </c>
      <c r="D189" s="192">
        <v>0.87</v>
      </c>
    </row>
    <row r="190">
      <c r="A190" s="84" t="s">
        <v>1062</v>
      </c>
      <c r="B190" s="87">
        <v>1993.0</v>
      </c>
      <c r="C190" s="87">
        <v>8280.0</v>
      </c>
      <c r="D190" s="192">
        <v>0.76</v>
      </c>
    </row>
    <row r="191">
      <c r="A191" s="84" t="s">
        <v>1065</v>
      </c>
      <c r="B191" s="87">
        <v>952.0</v>
      </c>
      <c r="C191" s="87">
        <v>8280.0</v>
      </c>
      <c r="D191" s="192">
        <v>0.89</v>
      </c>
    </row>
    <row r="192">
      <c r="A192" s="84" t="s">
        <v>3647</v>
      </c>
      <c r="B192" s="87">
        <v>1086.0</v>
      </c>
      <c r="C192" s="87">
        <v>7560.0</v>
      </c>
      <c r="D192" s="192">
        <v>0.86</v>
      </c>
    </row>
    <row r="193">
      <c r="A193" s="84" t="s">
        <v>339</v>
      </c>
      <c r="B193" s="87">
        <v>2005.0</v>
      </c>
      <c r="C193" s="87">
        <v>8280.0</v>
      </c>
      <c r="D193" s="192">
        <v>0.76</v>
      </c>
    </row>
    <row r="194">
      <c r="A194" s="84" t="s">
        <v>344</v>
      </c>
      <c r="B194" s="87">
        <v>1846.0</v>
      </c>
      <c r="C194" s="87">
        <v>8280.0</v>
      </c>
      <c r="D194" s="192">
        <v>0.78</v>
      </c>
    </row>
    <row r="195">
      <c r="A195" s="84" t="s">
        <v>1068</v>
      </c>
      <c r="B195" s="87">
        <v>3791.0</v>
      </c>
      <c r="C195" s="87">
        <v>7560.0</v>
      </c>
      <c r="D195" s="192">
        <v>0.5</v>
      </c>
    </row>
    <row r="196">
      <c r="A196" s="84" t="s">
        <v>3648</v>
      </c>
      <c r="B196" s="87">
        <v>461.0</v>
      </c>
      <c r="C196" s="87">
        <v>7560.0</v>
      </c>
      <c r="D196" s="192">
        <v>0.94</v>
      </c>
    </row>
    <row r="197">
      <c r="A197" s="84" t="s">
        <v>3649</v>
      </c>
      <c r="B197" s="87">
        <v>1072.0</v>
      </c>
      <c r="C197" s="87">
        <v>7560.0</v>
      </c>
      <c r="D197" s="192">
        <v>0.86</v>
      </c>
    </row>
    <row r="198">
      <c r="A198" s="84" t="s">
        <v>466</v>
      </c>
      <c r="B198" s="87">
        <v>643.0</v>
      </c>
      <c r="C198" s="87">
        <v>8280.0</v>
      </c>
      <c r="D198" s="192">
        <v>0.92</v>
      </c>
    </row>
    <row r="199">
      <c r="A199" s="84" t="s">
        <v>840</v>
      </c>
      <c r="B199" s="87">
        <v>4107.0</v>
      </c>
      <c r="C199" s="87">
        <v>5400.0</v>
      </c>
      <c r="D199" s="192">
        <v>0.24</v>
      </c>
    </row>
    <row r="200">
      <c r="A200" s="84" t="s">
        <v>1323</v>
      </c>
      <c r="B200" s="87">
        <v>395.0</v>
      </c>
      <c r="C200" s="87">
        <v>720.0</v>
      </c>
      <c r="D200" s="192">
        <v>0.45</v>
      </c>
    </row>
    <row r="201">
      <c r="A201" s="84" t="s">
        <v>829</v>
      </c>
      <c r="B201" s="87">
        <v>360.0</v>
      </c>
      <c r="C201" s="87">
        <v>1080.0</v>
      </c>
      <c r="D201" s="192">
        <v>0.67</v>
      </c>
    </row>
    <row r="202">
      <c r="A202" s="84" t="s">
        <v>834</v>
      </c>
      <c r="B202" s="87">
        <v>360.0</v>
      </c>
      <c r="C202" s="87">
        <v>720.0</v>
      </c>
      <c r="D202" s="192">
        <v>0.5</v>
      </c>
    </row>
    <row r="203">
      <c r="A203" s="84" t="s">
        <v>831</v>
      </c>
      <c r="B203" s="87">
        <v>360.0</v>
      </c>
      <c r="C203" s="87">
        <v>720.0</v>
      </c>
      <c r="D203" s="192">
        <v>0.5</v>
      </c>
    </row>
    <row r="204">
      <c r="A204" s="84" t="s">
        <v>833</v>
      </c>
      <c r="B204" s="87">
        <v>360.0</v>
      </c>
      <c r="C204" s="87">
        <v>720.0</v>
      </c>
      <c r="D204" s="192">
        <v>0.5</v>
      </c>
    </row>
    <row r="205">
      <c r="A205" s="84" t="s">
        <v>832</v>
      </c>
      <c r="B205" s="87">
        <v>360.0</v>
      </c>
      <c r="C205" s="87">
        <v>720.0</v>
      </c>
      <c r="D205" s="192">
        <v>0.5</v>
      </c>
    </row>
    <row r="206">
      <c r="A206" s="84" t="s">
        <v>934</v>
      </c>
      <c r="B206" s="87">
        <v>360.0</v>
      </c>
      <c r="C206" s="87">
        <v>360.0</v>
      </c>
      <c r="D206" s="192">
        <v>0.0</v>
      </c>
    </row>
    <row r="207">
      <c r="A207" s="84" t="s">
        <v>501</v>
      </c>
      <c r="B207" s="87">
        <v>151.0</v>
      </c>
      <c r="C207" s="87">
        <v>6480.0</v>
      </c>
      <c r="D207" s="192">
        <v>0.98</v>
      </c>
    </row>
    <row r="208">
      <c r="A208" s="84" t="s">
        <v>367</v>
      </c>
      <c r="B208" s="87">
        <v>2007.0</v>
      </c>
      <c r="C208" s="87">
        <v>8064.0</v>
      </c>
      <c r="D208" s="192">
        <v>0.75</v>
      </c>
    </row>
    <row r="209">
      <c r="A209" s="84" t="s">
        <v>1040</v>
      </c>
      <c r="B209" s="87">
        <v>50.0</v>
      </c>
      <c r="C209" s="87">
        <v>2160.0</v>
      </c>
      <c r="D209" s="192">
        <v>0.98</v>
      </c>
    </row>
    <row r="210">
      <c r="A210" s="84" t="s">
        <v>727</v>
      </c>
      <c r="B210" s="87">
        <v>549.0</v>
      </c>
      <c r="C210" s="87">
        <v>1080.0</v>
      </c>
      <c r="D210" s="192">
        <v>0.49</v>
      </c>
    </row>
    <row r="211">
      <c r="A211" s="84" t="s">
        <v>725</v>
      </c>
      <c r="B211" s="87">
        <v>360.0</v>
      </c>
      <c r="C211" s="87">
        <v>1080.0</v>
      </c>
      <c r="D211" s="192">
        <v>0.67</v>
      </c>
    </row>
    <row r="212">
      <c r="A212" s="84" t="s">
        <v>3650</v>
      </c>
      <c r="B212" s="87">
        <v>40.0</v>
      </c>
      <c r="C212" s="87">
        <v>1584.0</v>
      </c>
      <c r="D212" s="192">
        <v>0.97</v>
      </c>
    </row>
    <row r="213">
      <c r="A213" s="84" t="s">
        <v>1311</v>
      </c>
      <c r="B213" s="87">
        <v>32.0</v>
      </c>
      <c r="C213" s="87">
        <v>576.0</v>
      </c>
      <c r="D213" s="192">
        <v>0.94</v>
      </c>
    </row>
    <row r="214">
      <c r="A214" s="84" t="s">
        <v>733</v>
      </c>
      <c r="B214" s="87">
        <v>1080.0</v>
      </c>
      <c r="C214" s="87">
        <v>1080.0</v>
      </c>
      <c r="D214" s="192">
        <v>0.0</v>
      </c>
    </row>
    <row r="215">
      <c r="A215" s="84" t="s">
        <v>735</v>
      </c>
      <c r="B215" s="87">
        <v>3240.0</v>
      </c>
      <c r="C215" s="87">
        <v>8280.0</v>
      </c>
      <c r="D215" s="192">
        <v>0.61</v>
      </c>
    </row>
    <row r="216">
      <c r="A216" s="84" t="s">
        <v>767</v>
      </c>
      <c r="B216" s="87">
        <v>5550.0</v>
      </c>
      <c r="C216" s="87">
        <v>6312.0</v>
      </c>
      <c r="D216" s="192">
        <v>0.12</v>
      </c>
    </row>
    <row r="217">
      <c r="A217" s="84" t="s">
        <v>771</v>
      </c>
      <c r="B217" s="87">
        <v>5890.0</v>
      </c>
      <c r="C217" s="87">
        <v>6312.0</v>
      </c>
      <c r="D217" s="192">
        <v>0.07</v>
      </c>
    </row>
    <row r="218">
      <c r="A218" s="84" t="s">
        <v>336</v>
      </c>
      <c r="B218" s="87">
        <v>4986.0</v>
      </c>
      <c r="C218" s="87">
        <v>8280.0</v>
      </c>
      <c r="D218" s="192">
        <v>0.4</v>
      </c>
    </row>
    <row r="219">
      <c r="A219" s="84" t="s">
        <v>1093</v>
      </c>
      <c r="B219" s="87">
        <v>118.0</v>
      </c>
      <c r="C219" s="87">
        <v>2880.0</v>
      </c>
      <c r="D219" s="192">
        <v>0.96</v>
      </c>
    </row>
    <row r="220">
      <c r="A220" s="84" t="s">
        <v>1090</v>
      </c>
      <c r="B220" s="87">
        <v>116.0</v>
      </c>
      <c r="C220" s="87">
        <v>2160.0</v>
      </c>
      <c r="D220" s="192">
        <v>0.95</v>
      </c>
    </row>
    <row r="221">
      <c r="A221" s="84" t="s">
        <v>1092</v>
      </c>
      <c r="B221" s="87">
        <v>79.0</v>
      </c>
      <c r="C221" s="87">
        <v>2160.0</v>
      </c>
      <c r="D221" s="192">
        <v>0.96</v>
      </c>
    </row>
    <row r="222">
      <c r="A222" s="84" t="s">
        <v>1094</v>
      </c>
      <c r="B222" s="87">
        <v>36.0</v>
      </c>
      <c r="C222" s="87">
        <v>2880.0</v>
      </c>
      <c r="D222" s="192">
        <v>0.99</v>
      </c>
    </row>
    <row r="223">
      <c r="A223" s="84" t="s">
        <v>979</v>
      </c>
      <c r="B223" s="87">
        <v>7920.0</v>
      </c>
      <c r="C223" s="87">
        <v>8280.0</v>
      </c>
      <c r="D223" s="192">
        <v>0.04</v>
      </c>
    </row>
    <row r="224">
      <c r="A224" s="84" t="s">
        <v>937</v>
      </c>
      <c r="B224" s="87">
        <v>1280.0</v>
      </c>
      <c r="C224" s="87">
        <v>8280.0</v>
      </c>
      <c r="D224" s="192">
        <v>0.85</v>
      </c>
    </row>
    <row r="225">
      <c r="A225" s="84" t="s">
        <v>782</v>
      </c>
      <c r="B225" s="87">
        <v>244.0</v>
      </c>
      <c r="C225" s="87">
        <v>936.0</v>
      </c>
      <c r="D225" s="192">
        <v>0.74</v>
      </c>
    </row>
    <row r="226">
      <c r="A226" s="84" t="s">
        <v>777</v>
      </c>
      <c r="B226" s="87">
        <v>2441.0</v>
      </c>
      <c r="C226" s="87">
        <v>7272.0</v>
      </c>
      <c r="D226" s="192">
        <v>0.66</v>
      </c>
    </row>
    <row r="227">
      <c r="A227" s="84" t="s">
        <v>422</v>
      </c>
      <c r="B227" s="87">
        <v>6840.0</v>
      </c>
      <c r="C227" s="87">
        <v>6840.0</v>
      </c>
      <c r="D227" s="192">
        <v>0.0</v>
      </c>
    </row>
    <row r="228">
      <c r="A228" s="84" t="s">
        <v>424</v>
      </c>
      <c r="B228" s="87">
        <v>5760.0</v>
      </c>
      <c r="C228" s="87">
        <v>6120.0</v>
      </c>
      <c r="D228" s="192">
        <v>0.06</v>
      </c>
    </row>
    <row r="229">
      <c r="A229" s="84" t="s">
        <v>489</v>
      </c>
      <c r="B229" s="87">
        <v>536.0</v>
      </c>
      <c r="C229" s="87">
        <v>7200.0</v>
      </c>
      <c r="D229" s="192">
        <v>0.93</v>
      </c>
    </row>
    <row r="230">
      <c r="A230" s="84" t="s">
        <v>88</v>
      </c>
      <c r="B230" s="87">
        <v>496.0</v>
      </c>
      <c r="C230" s="87">
        <v>7920.0</v>
      </c>
      <c r="D230" s="192">
        <v>0.94</v>
      </c>
    </row>
    <row r="231">
      <c r="A231" s="84" t="s">
        <v>766</v>
      </c>
      <c r="B231" s="87">
        <v>360.0</v>
      </c>
      <c r="C231" s="87">
        <v>7920.0</v>
      </c>
      <c r="D231" s="192">
        <v>0.95</v>
      </c>
    </row>
    <row r="232">
      <c r="A232" s="84" t="s">
        <v>72</v>
      </c>
      <c r="B232" s="87">
        <v>0.0</v>
      </c>
      <c r="C232" s="87">
        <v>1080.0</v>
      </c>
      <c r="D232" s="192">
        <v>1.0</v>
      </c>
    </row>
    <row r="233">
      <c r="A233" s="84" t="s">
        <v>91</v>
      </c>
      <c r="B233" s="87">
        <v>366.0</v>
      </c>
      <c r="C233" s="87">
        <v>7560.0</v>
      </c>
      <c r="D233" s="192">
        <v>0.95</v>
      </c>
    </row>
    <row r="234">
      <c r="A234" s="84" t="s">
        <v>100</v>
      </c>
      <c r="B234" s="87">
        <v>360.0</v>
      </c>
      <c r="C234" s="87">
        <v>7200.0</v>
      </c>
      <c r="D234" s="192">
        <v>0.95</v>
      </c>
    </row>
    <row r="235">
      <c r="A235" s="84" t="s">
        <v>85</v>
      </c>
      <c r="B235" s="87">
        <v>0.0</v>
      </c>
      <c r="C235" s="87">
        <v>1080.0</v>
      </c>
      <c r="D235" s="192">
        <v>1.0</v>
      </c>
    </row>
    <row r="236">
      <c r="A236" s="84" t="s">
        <v>189</v>
      </c>
      <c r="B236" s="87">
        <v>5040.0</v>
      </c>
      <c r="C236" s="87">
        <v>5400.0</v>
      </c>
      <c r="D236" s="192">
        <v>0.07</v>
      </c>
    </row>
    <row r="237">
      <c r="A237" s="84" t="s">
        <v>1275</v>
      </c>
      <c r="B237" s="87">
        <v>0.0</v>
      </c>
      <c r="C237" s="87">
        <v>1440.0</v>
      </c>
      <c r="D237" s="192">
        <v>1.0</v>
      </c>
    </row>
    <row r="238">
      <c r="A238" s="84" t="s">
        <v>1274</v>
      </c>
      <c r="B238" s="87">
        <v>0.0</v>
      </c>
      <c r="C238" s="87">
        <v>1800.0</v>
      </c>
      <c r="D238" s="192">
        <v>1.0</v>
      </c>
    </row>
    <row r="239">
      <c r="A239" s="84" t="s">
        <v>1272</v>
      </c>
      <c r="B239" s="87">
        <v>0.0</v>
      </c>
      <c r="C239" s="87">
        <v>1440.0</v>
      </c>
      <c r="D239" s="192">
        <v>1.0</v>
      </c>
    </row>
    <row r="240">
      <c r="A240" s="84" t="s">
        <v>1115</v>
      </c>
      <c r="B240" s="87">
        <v>65.0</v>
      </c>
      <c r="C240" s="87">
        <v>2160.0</v>
      </c>
      <c r="D240" s="192">
        <v>0.97</v>
      </c>
    </row>
    <row r="241">
      <c r="A241" s="84" t="s">
        <v>1112</v>
      </c>
      <c r="B241" s="87">
        <v>353.0</v>
      </c>
      <c r="C241" s="87">
        <v>2160.0</v>
      </c>
      <c r="D241" s="192">
        <v>0.84</v>
      </c>
    </row>
    <row r="242">
      <c r="A242" s="84" t="s">
        <v>736</v>
      </c>
      <c r="B242" s="87">
        <v>6304.0</v>
      </c>
      <c r="C242" s="87">
        <v>7560.0</v>
      </c>
      <c r="D242" s="192">
        <v>0.17</v>
      </c>
    </row>
    <row r="243">
      <c r="A243" s="84" t="s">
        <v>738</v>
      </c>
      <c r="B243" s="87">
        <v>6489.0</v>
      </c>
      <c r="C243" s="87">
        <v>7560.0</v>
      </c>
      <c r="D243" s="192">
        <v>0.14</v>
      </c>
    </row>
    <row r="244">
      <c r="A244" s="84" t="s">
        <v>591</v>
      </c>
      <c r="B244" s="87">
        <v>301.0</v>
      </c>
      <c r="C244" s="87">
        <v>2160.0</v>
      </c>
      <c r="D244" s="192">
        <v>0.86</v>
      </c>
    </row>
    <row r="245">
      <c r="A245" s="84" t="s">
        <v>593</v>
      </c>
      <c r="B245" s="87">
        <v>135.0</v>
      </c>
      <c r="C245" s="87">
        <v>2160.0</v>
      </c>
      <c r="D245" s="192">
        <v>0.94</v>
      </c>
    </row>
    <row r="246">
      <c r="A246" s="84" t="s">
        <v>556</v>
      </c>
      <c r="B246" s="87">
        <v>0.0</v>
      </c>
      <c r="C246" s="87">
        <v>2160.0</v>
      </c>
      <c r="D246" s="192">
        <v>1.0</v>
      </c>
    </row>
    <row r="247">
      <c r="A247" s="84" t="s">
        <v>554</v>
      </c>
      <c r="B247" s="87">
        <v>0.0</v>
      </c>
      <c r="C247" s="87">
        <v>2160.0</v>
      </c>
      <c r="D247" s="192">
        <v>1.0</v>
      </c>
    </row>
    <row r="248">
      <c r="A248" s="84" t="s">
        <v>550</v>
      </c>
      <c r="B248" s="87">
        <v>0.0</v>
      </c>
      <c r="C248" s="87">
        <v>2160.0</v>
      </c>
      <c r="D248" s="192">
        <v>1.0</v>
      </c>
    </row>
    <row r="249">
      <c r="A249" s="84" t="s">
        <v>555</v>
      </c>
      <c r="B249" s="87">
        <v>50.0</v>
      </c>
      <c r="C249" s="87">
        <v>2160.0</v>
      </c>
      <c r="D249" s="192">
        <v>0.98</v>
      </c>
    </row>
    <row r="250">
      <c r="A250" s="84" t="s">
        <v>562</v>
      </c>
      <c r="B250" s="87">
        <v>0.0</v>
      </c>
      <c r="C250" s="87">
        <v>5400.0</v>
      </c>
      <c r="D250" s="192">
        <v>1.0</v>
      </c>
    </row>
    <row r="251">
      <c r="A251" s="84" t="s">
        <v>557</v>
      </c>
      <c r="B251" s="87">
        <v>32.0</v>
      </c>
      <c r="C251" s="87">
        <v>5040.0</v>
      </c>
      <c r="D251" s="192">
        <v>0.99</v>
      </c>
    </row>
    <row r="252">
      <c r="A252" s="84" t="s">
        <v>563</v>
      </c>
      <c r="B252" s="87">
        <v>2187.0</v>
      </c>
      <c r="C252" s="87">
        <v>5040.0</v>
      </c>
      <c r="D252" s="192">
        <v>0.57</v>
      </c>
    </row>
    <row r="253">
      <c r="A253" s="84" t="s">
        <v>564</v>
      </c>
      <c r="B253" s="87">
        <v>11.0</v>
      </c>
      <c r="C253" s="87">
        <v>5040.0</v>
      </c>
      <c r="D253" s="192">
        <v>1.0</v>
      </c>
    </row>
    <row r="254">
      <c r="A254" s="84" t="s">
        <v>565</v>
      </c>
      <c r="B254" s="87">
        <v>40.0</v>
      </c>
      <c r="C254" s="87">
        <v>5040.0</v>
      </c>
      <c r="D254" s="192">
        <v>0.99</v>
      </c>
    </row>
    <row r="255">
      <c r="A255" s="84" t="s">
        <v>561</v>
      </c>
      <c r="B255" s="87">
        <v>0.0</v>
      </c>
      <c r="C255" s="87">
        <v>5040.0</v>
      </c>
      <c r="D255" s="192">
        <v>1.0</v>
      </c>
    </row>
    <row r="256">
      <c r="A256" s="84" t="s">
        <v>560</v>
      </c>
      <c r="B256" s="87">
        <v>360.0</v>
      </c>
      <c r="C256" s="87">
        <v>5760.0</v>
      </c>
      <c r="D256" s="192">
        <v>0.94</v>
      </c>
    </row>
    <row r="257">
      <c r="A257" s="84" t="s">
        <v>941</v>
      </c>
      <c r="B257" s="87">
        <v>634.0</v>
      </c>
      <c r="C257" s="87">
        <v>8280.0</v>
      </c>
      <c r="D257" s="192">
        <v>0.92</v>
      </c>
    </row>
    <row r="258">
      <c r="A258" s="84" t="s">
        <v>1263</v>
      </c>
      <c r="B258" s="87">
        <v>111.0</v>
      </c>
      <c r="C258" s="87">
        <v>1440.0</v>
      </c>
      <c r="D258" s="192">
        <v>0.92</v>
      </c>
    </row>
    <row r="259">
      <c r="A259" s="84" t="s">
        <v>1265</v>
      </c>
      <c r="B259" s="87">
        <v>0.0</v>
      </c>
      <c r="C259" s="87">
        <v>1800.0</v>
      </c>
      <c r="D259" s="192">
        <v>1.0</v>
      </c>
    </row>
    <row r="260">
      <c r="A260" s="84" t="s">
        <v>1268</v>
      </c>
      <c r="B260" s="87">
        <v>55.0</v>
      </c>
      <c r="C260" s="87">
        <v>1440.0</v>
      </c>
      <c r="D260" s="192">
        <v>0.96</v>
      </c>
    </row>
    <row r="261">
      <c r="A261" s="84" t="s">
        <v>1264</v>
      </c>
      <c r="B261" s="87">
        <v>245.0</v>
      </c>
      <c r="C261" s="87">
        <v>1440.0</v>
      </c>
      <c r="D261" s="192">
        <v>0.83</v>
      </c>
    </row>
    <row r="262">
      <c r="A262" s="84" t="s">
        <v>1267</v>
      </c>
      <c r="B262" s="87">
        <v>0.0</v>
      </c>
      <c r="C262" s="87">
        <v>1800.0</v>
      </c>
      <c r="D262" s="192">
        <v>1.0</v>
      </c>
    </row>
    <row r="263">
      <c r="A263" s="84" t="s">
        <v>1266</v>
      </c>
      <c r="B263" s="87">
        <v>57.0</v>
      </c>
      <c r="C263" s="87">
        <v>1440.0</v>
      </c>
      <c r="D263" s="192">
        <v>0.96</v>
      </c>
    </row>
    <row r="264">
      <c r="A264" s="84" t="s">
        <v>681</v>
      </c>
      <c r="B264" s="87">
        <v>5406.0</v>
      </c>
      <c r="C264" s="87">
        <v>7200.0</v>
      </c>
      <c r="D264" s="192">
        <v>0.25</v>
      </c>
    </row>
    <row r="265">
      <c r="A265" s="84" t="s">
        <v>684</v>
      </c>
      <c r="B265" s="87">
        <v>7560.0</v>
      </c>
      <c r="C265" s="87">
        <v>7560.0</v>
      </c>
      <c r="D265" s="192">
        <v>0.0</v>
      </c>
    </row>
    <row r="266">
      <c r="A266" s="84" t="s">
        <v>854</v>
      </c>
      <c r="B266" s="87">
        <v>28.0</v>
      </c>
      <c r="C266" s="87">
        <v>4680.0</v>
      </c>
      <c r="D266" s="192">
        <v>0.99</v>
      </c>
    </row>
    <row r="267">
      <c r="A267" s="84" t="s">
        <v>853</v>
      </c>
      <c r="B267" s="87">
        <v>0.0</v>
      </c>
      <c r="C267" s="87">
        <v>4680.0</v>
      </c>
      <c r="D267" s="192">
        <v>1.0</v>
      </c>
    </row>
    <row r="268">
      <c r="A268" s="84" t="s">
        <v>849</v>
      </c>
      <c r="B268" s="87">
        <v>0.0</v>
      </c>
      <c r="C268" s="87">
        <v>4680.0</v>
      </c>
      <c r="D268" s="192">
        <v>1.0</v>
      </c>
    </row>
    <row r="269">
      <c r="A269" s="84" t="s">
        <v>1218</v>
      </c>
      <c r="B269" s="87">
        <v>349.0</v>
      </c>
      <c r="C269" s="87">
        <v>4680.0</v>
      </c>
      <c r="D269" s="192">
        <v>0.93</v>
      </c>
    </row>
    <row r="270">
      <c r="A270" s="84" t="s">
        <v>1219</v>
      </c>
      <c r="B270" s="87">
        <v>59.0</v>
      </c>
      <c r="C270" s="87">
        <v>4680.0</v>
      </c>
      <c r="D270" s="192">
        <v>0.99</v>
      </c>
    </row>
    <row r="271">
      <c r="A271" s="84" t="s">
        <v>1216</v>
      </c>
      <c r="B271" s="87">
        <v>134.0</v>
      </c>
      <c r="C271" s="87">
        <v>4680.0</v>
      </c>
      <c r="D271" s="192">
        <v>0.97</v>
      </c>
    </row>
    <row r="272">
      <c r="A272" s="84" t="s">
        <v>1351</v>
      </c>
      <c r="B272" s="87">
        <v>152.0</v>
      </c>
      <c r="C272" s="87">
        <v>4680.0</v>
      </c>
      <c r="D272" s="192">
        <v>0.97</v>
      </c>
    </row>
    <row r="273">
      <c r="A273" s="84" t="s">
        <v>1217</v>
      </c>
      <c r="B273" s="87">
        <v>191.0</v>
      </c>
      <c r="C273" s="87">
        <v>5040.0</v>
      </c>
      <c r="D273" s="192">
        <v>0.96</v>
      </c>
    </row>
    <row r="274">
      <c r="A274" s="84" t="s">
        <v>1220</v>
      </c>
      <c r="B274" s="87">
        <v>433.0</v>
      </c>
      <c r="C274" s="87">
        <v>5040.0</v>
      </c>
      <c r="D274" s="192">
        <v>0.91</v>
      </c>
    </row>
    <row r="275">
      <c r="A275" s="84" t="s">
        <v>1222</v>
      </c>
      <c r="B275" s="87">
        <v>50.0</v>
      </c>
      <c r="C275" s="87">
        <v>4680.0</v>
      </c>
      <c r="D275" s="192">
        <v>0.99</v>
      </c>
    </row>
    <row r="276">
      <c r="A276" s="84" t="s">
        <v>1214</v>
      </c>
      <c r="B276" s="87">
        <v>489.0</v>
      </c>
      <c r="C276" s="87">
        <v>4680.0</v>
      </c>
      <c r="D276" s="192">
        <v>0.9</v>
      </c>
    </row>
    <row r="277">
      <c r="A277" s="84" t="s">
        <v>1221</v>
      </c>
      <c r="B277" s="87">
        <v>326.0</v>
      </c>
      <c r="C277" s="87">
        <v>4680.0</v>
      </c>
      <c r="D277" s="192">
        <v>0.93</v>
      </c>
    </row>
    <row r="278">
      <c r="A278" s="84" t="s">
        <v>717</v>
      </c>
      <c r="B278" s="87">
        <v>5834.0</v>
      </c>
      <c r="C278" s="87">
        <v>6480.0</v>
      </c>
      <c r="D278" s="192">
        <v>0.1</v>
      </c>
    </row>
    <row r="279">
      <c r="A279" s="84" t="s">
        <v>713</v>
      </c>
      <c r="B279" s="87">
        <v>6337.0</v>
      </c>
      <c r="C279" s="87">
        <v>6480.0</v>
      </c>
      <c r="D279" s="192">
        <v>0.02</v>
      </c>
    </row>
    <row r="280">
      <c r="A280" s="84" t="s">
        <v>627</v>
      </c>
      <c r="B280" s="87">
        <v>1792.0</v>
      </c>
      <c r="C280" s="87">
        <v>7560.0</v>
      </c>
      <c r="D280" s="192">
        <v>0.76</v>
      </c>
    </row>
    <row r="281">
      <c r="A281" s="84" t="s">
        <v>625</v>
      </c>
      <c r="B281" s="87">
        <v>778.0</v>
      </c>
      <c r="C281" s="87">
        <v>7560.0</v>
      </c>
      <c r="D281" s="192">
        <v>0.9</v>
      </c>
    </row>
    <row r="282">
      <c r="A282" s="84" t="s">
        <v>624</v>
      </c>
      <c r="B282" s="87">
        <v>1310.0</v>
      </c>
      <c r="C282" s="87">
        <v>7560.0</v>
      </c>
      <c r="D282" s="192">
        <v>0.83</v>
      </c>
    </row>
    <row r="283">
      <c r="A283" s="84" t="s">
        <v>626</v>
      </c>
      <c r="B283" s="87">
        <v>1260.0</v>
      </c>
      <c r="C283" s="87">
        <v>7560.0</v>
      </c>
      <c r="D283" s="192">
        <v>0.83</v>
      </c>
    </row>
    <row r="284">
      <c r="A284" s="84" t="s">
        <v>620</v>
      </c>
      <c r="B284" s="87">
        <v>3951.0</v>
      </c>
      <c r="C284" s="87">
        <v>7560.0</v>
      </c>
      <c r="D284" s="192">
        <v>0.48</v>
      </c>
    </row>
    <row r="285">
      <c r="A285" s="84" t="s">
        <v>712</v>
      </c>
      <c r="B285" s="87">
        <v>3960.0</v>
      </c>
      <c r="C285" s="87">
        <v>6480.0</v>
      </c>
      <c r="D285" s="192">
        <v>0.39</v>
      </c>
    </row>
    <row r="286">
      <c r="A286" s="84" t="s">
        <v>724</v>
      </c>
      <c r="B286" s="87">
        <v>7200.0</v>
      </c>
      <c r="C286" s="87">
        <v>7200.0</v>
      </c>
      <c r="D286" s="192">
        <v>0.0</v>
      </c>
    </row>
    <row r="287">
      <c r="A287" s="84" t="s">
        <v>1252</v>
      </c>
      <c r="B287" s="87">
        <v>4628.0</v>
      </c>
      <c r="C287" s="87">
        <v>7560.0</v>
      </c>
      <c r="D287" s="192">
        <v>0.39</v>
      </c>
    </row>
    <row r="288">
      <c r="A288" s="84" t="s">
        <v>711</v>
      </c>
      <c r="B288" s="87">
        <v>6120.0</v>
      </c>
      <c r="C288" s="87">
        <v>6480.0</v>
      </c>
      <c r="D288" s="192">
        <v>0.06</v>
      </c>
    </row>
    <row r="289">
      <c r="A289" s="84" t="s">
        <v>720</v>
      </c>
      <c r="B289" s="87">
        <v>2893.0</v>
      </c>
      <c r="C289" s="87">
        <v>6480.0</v>
      </c>
      <c r="D289" s="192">
        <v>0.55</v>
      </c>
    </row>
    <row r="290">
      <c r="A290" s="84" t="s">
        <v>723</v>
      </c>
      <c r="B290" s="87">
        <v>3960.0</v>
      </c>
      <c r="C290" s="87">
        <v>6480.0</v>
      </c>
      <c r="D290" s="192">
        <v>0.39</v>
      </c>
    </row>
    <row r="291">
      <c r="A291" s="84" t="s">
        <v>707</v>
      </c>
      <c r="B291" s="87">
        <v>5760.0</v>
      </c>
      <c r="C291" s="87">
        <v>7200.0</v>
      </c>
      <c r="D291" s="192">
        <v>0.2</v>
      </c>
    </row>
    <row r="292">
      <c r="A292" s="84" t="s">
        <v>1107</v>
      </c>
      <c r="B292" s="87">
        <v>415.0</v>
      </c>
      <c r="C292" s="87">
        <v>7560.0</v>
      </c>
      <c r="D292" s="192">
        <v>0.95</v>
      </c>
    </row>
    <row r="293">
      <c r="A293" s="84" t="s">
        <v>1110</v>
      </c>
      <c r="B293" s="87">
        <v>360.0</v>
      </c>
      <c r="C293" s="87">
        <v>7560.0</v>
      </c>
      <c r="D293" s="192">
        <v>0.95</v>
      </c>
    </row>
    <row r="294">
      <c r="A294" s="84" t="s">
        <v>1111</v>
      </c>
      <c r="B294" s="87">
        <v>454.0</v>
      </c>
      <c r="C294" s="87">
        <v>7560.0</v>
      </c>
      <c r="D294" s="192">
        <v>0.94</v>
      </c>
    </row>
    <row r="295">
      <c r="A295" s="84" t="s">
        <v>1276</v>
      </c>
      <c r="B295" s="87">
        <v>414.0</v>
      </c>
      <c r="C295" s="87">
        <v>7560.0</v>
      </c>
      <c r="D295" s="192">
        <v>0.95</v>
      </c>
    </row>
    <row r="296">
      <c r="A296" s="84" t="s">
        <v>1278</v>
      </c>
      <c r="B296" s="87">
        <v>414.0</v>
      </c>
      <c r="C296" s="87">
        <v>7560.0</v>
      </c>
      <c r="D296" s="192">
        <v>0.95</v>
      </c>
    </row>
    <row r="297">
      <c r="A297" s="84" t="s">
        <v>1277</v>
      </c>
      <c r="B297" s="87">
        <v>569.0</v>
      </c>
      <c r="C297" s="87">
        <v>7560.0</v>
      </c>
      <c r="D297" s="192">
        <v>0.92</v>
      </c>
    </row>
    <row r="298">
      <c r="A298" s="84" t="s">
        <v>1165</v>
      </c>
      <c r="B298" s="87">
        <v>1506.0</v>
      </c>
      <c r="C298" s="87">
        <v>4320.0</v>
      </c>
      <c r="D298" s="192">
        <v>0.65</v>
      </c>
    </row>
    <row r="299">
      <c r="A299" s="84" t="s">
        <v>1250</v>
      </c>
      <c r="B299" s="87">
        <v>2880.0</v>
      </c>
      <c r="C299" s="87">
        <v>8280.0</v>
      </c>
      <c r="D299" s="192">
        <v>0.65</v>
      </c>
    </row>
    <row r="300">
      <c r="A300" s="84" t="s">
        <v>780</v>
      </c>
      <c r="B300" s="87">
        <v>2022.0</v>
      </c>
      <c r="C300" s="87">
        <v>7056.0</v>
      </c>
      <c r="D300" s="192">
        <v>0.71</v>
      </c>
    </row>
    <row r="301">
      <c r="A301" s="84" t="s">
        <v>781</v>
      </c>
      <c r="B301" s="87">
        <v>2183.0</v>
      </c>
      <c r="C301" s="87">
        <v>6984.0</v>
      </c>
      <c r="D301" s="192">
        <v>0.69</v>
      </c>
    </row>
    <row r="302">
      <c r="A302" s="84" t="s">
        <v>196</v>
      </c>
      <c r="B302" s="87">
        <v>5040.0</v>
      </c>
      <c r="C302" s="87">
        <v>5400.0</v>
      </c>
      <c r="D302" s="192">
        <v>0.07</v>
      </c>
    </row>
    <row r="303">
      <c r="A303" s="84" t="s">
        <v>496</v>
      </c>
      <c r="B303" s="87">
        <v>422.0</v>
      </c>
      <c r="C303" s="87">
        <v>8280.0</v>
      </c>
      <c r="D303" s="192">
        <v>0.95</v>
      </c>
    </row>
    <row r="304">
      <c r="A304" s="84" t="s">
        <v>499</v>
      </c>
      <c r="B304" s="87">
        <v>386.0</v>
      </c>
      <c r="C304" s="87">
        <v>8280.0</v>
      </c>
      <c r="D304" s="192">
        <v>0.95</v>
      </c>
    </row>
    <row r="305">
      <c r="A305" s="84" t="s">
        <v>497</v>
      </c>
      <c r="B305" s="87">
        <v>467.0</v>
      </c>
      <c r="C305" s="87">
        <v>8280.0</v>
      </c>
      <c r="D305" s="192">
        <v>0.94</v>
      </c>
    </row>
    <row r="306">
      <c r="A306" s="84" t="s">
        <v>500</v>
      </c>
      <c r="B306" s="87">
        <v>360.0</v>
      </c>
      <c r="C306" s="87">
        <v>8280.0</v>
      </c>
      <c r="D306" s="192">
        <v>0.96</v>
      </c>
    </row>
    <row r="307">
      <c r="A307" s="84" t="s">
        <v>495</v>
      </c>
      <c r="B307" s="87">
        <v>361.0</v>
      </c>
      <c r="C307" s="87">
        <v>8280.0</v>
      </c>
      <c r="D307" s="192">
        <v>0.96</v>
      </c>
    </row>
    <row r="308">
      <c r="A308" s="84" t="s">
        <v>498</v>
      </c>
      <c r="B308" s="87">
        <v>393.0</v>
      </c>
      <c r="C308" s="87">
        <v>8280.0</v>
      </c>
      <c r="D308" s="192">
        <v>0.95</v>
      </c>
    </row>
    <row r="309">
      <c r="A309" s="84" t="s">
        <v>912</v>
      </c>
      <c r="B309" s="87">
        <v>474.0</v>
      </c>
      <c r="C309" s="87">
        <v>8280.0</v>
      </c>
      <c r="D309" s="192">
        <v>0.94</v>
      </c>
    </row>
    <row r="310">
      <c r="A310" s="84" t="s">
        <v>294</v>
      </c>
      <c r="B310" s="87">
        <v>232.0</v>
      </c>
      <c r="C310" s="87">
        <v>7920.0</v>
      </c>
      <c r="D310" s="192">
        <v>0.97</v>
      </c>
    </row>
    <row r="311">
      <c r="A311" s="84" t="s">
        <v>297</v>
      </c>
      <c r="B311" s="87">
        <v>1409.0</v>
      </c>
      <c r="C311" s="87">
        <v>8280.0</v>
      </c>
      <c r="D311" s="192">
        <v>0.83</v>
      </c>
    </row>
    <row r="312">
      <c r="A312" s="84" t="s">
        <v>677</v>
      </c>
      <c r="B312" s="87">
        <v>6840.0</v>
      </c>
      <c r="C312" s="87">
        <v>7200.0</v>
      </c>
      <c r="D312" s="192">
        <v>0.05</v>
      </c>
    </row>
    <row r="313">
      <c r="A313" s="84" t="s">
        <v>680</v>
      </c>
      <c r="B313" s="87">
        <v>6001.0</v>
      </c>
      <c r="C313" s="87">
        <v>7560.0</v>
      </c>
      <c r="D313" s="192">
        <v>0.21</v>
      </c>
    </row>
    <row r="314">
      <c r="A314" s="84" t="s">
        <v>679</v>
      </c>
      <c r="B314" s="87">
        <v>6390.0</v>
      </c>
      <c r="C314" s="87">
        <v>7560.0</v>
      </c>
      <c r="D314" s="192">
        <v>0.15</v>
      </c>
    </row>
    <row r="315">
      <c r="A315" s="84" t="s">
        <v>3651</v>
      </c>
      <c r="B315" s="87">
        <v>13.0</v>
      </c>
      <c r="C315" s="87">
        <v>1800.0</v>
      </c>
      <c r="D315" s="192">
        <v>0.99</v>
      </c>
    </row>
    <row r="316">
      <c r="A316" s="84" t="s">
        <v>863</v>
      </c>
      <c r="B316" s="87">
        <v>48.0</v>
      </c>
      <c r="C316" s="87">
        <v>4320.0</v>
      </c>
      <c r="D316" s="192">
        <v>0.99</v>
      </c>
    </row>
    <row r="317">
      <c r="A317" s="84" t="s">
        <v>855</v>
      </c>
      <c r="B317" s="87">
        <v>2221.0</v>
      </c>
      <c r="C317" s="87">
        <v>5544.0</v>
      </c>
      <c r="D317" s="192">
        <v>0.6</v>
      </c>
    </row>
    <row r="318">
      <c r="A318" s="84" t="s">
        <v>1021</v>
      </c>
      <c r="B318" s="87">
        <v>2805.0</v>
      </c>
      <c r="C318" s="87">
        <v>3600.0</v>
      </c>
      <c r="D318" s="192">
        <v>0.22</v>
      </c>
    </row>
    <row r="319">
      <c r="A319" s="84" t="s">
        <v>1019</v>
      </c>
      <c r="B319" s="87">
        <v>2033.0</v>
      </c>
      <c r="C319" s="87">
        <v>3600.0</v>
      </c>
      <c r="D319" s="192">
        <v>0.44</v>
      </c>
    </row>
    <row r="320">
      <c r="A320" s="84" t="s">
        <v>1023</v>
      </c>
      <c r="B320" s="87">
        <v>1800.0</v>
      </c>
      <c r="C320" s="87">
        <v>3600.0</v>
      </c>
      <c r="D320" s="192">
        <v>0.5</v>
      </c>
    </row>
    <row r="321">
      <c r="A321" s="84" t="s">
        <v>1025</v>
      </c>
      <c r="B321" s="87">
        <v>2131.0</v>
      </c>
      <c r="C321" s="87">
        <v>3600.0</v>
      </c>
      <c r="D321" s="192">
        <v>0.41</v>
      </c>
    </row>
    <row r="322">
      <c r="A322" s="84" t="s">
        <v>1024</v>
      </c>
      <c r="B322" s="87">
        <v>1080.0</v>
      </c>
      <c r="C322" s="87">
        <v>3600.0</v>
      </c>
      <c r="D322" s="192">
        <v>0.7</v>
      </c>
    </row>
    <row r="323">
      <c r="A323" s="84" t="s">
        <v>1026</v>
      </c>
      <c r="B323" s="87">
        <v>2539.0</v>
      </c>
      <c r="C323" s="87">
        <v>3600.0</v>
      </c>
      <c r="D323" s="192">
        <v>0.29</v>
      </c>
    </row>
    <row r="324">
      <c r="A324" s="84" t="s">
        <v>1022</v>
      </c>
      <c r="B324" s="87">
        <v>2880.0</v>
      </c>
      <c r="C324" s="87">
        <v>3600.0</v>
      </c>
      <c r="D324" s="192">
        <v>0.2</v>
      </c>
    </row>
    <row r="325">
      <c r="A325" s="84" t="s">
        <v>942</v>
      </c>
      <c r="B325" s="87">
        <v>360.0</v>
      </c>
      <c r="C325" s="87">
        <v>7920.0</v>
      </c>
      <c r="D325" s="192">
        <v>0.95</v>
      </c>
    </row>
    <row r="326">
      <c r="A326" s="84" t="s">
        <v>451</v>
      </c>
      <c r="B326" s="87">
        <v>2771.0</v>
      </c>
      <c r="C326" s="87">
        <v>8280.0</v>
      </c>
      <c r="D326" s="192">
        <v>0.67</v>
      </c>
    </row>
    <row r="327">
      <c r="A327" s="84" t="s">
        <v>447</v>
      </c>
      <c r="B327" s="87">
        <v>555.0</v>
      </c>
      <c r="C327" s="87">
        <v>8280.0</v>
      </c>
      <c r="D327" s="192">
        <v>0.93</v>
      </c>
    </row>
    <row r="328">
      <c r="A328" s="84" t="s">
        <v>449</v>
      </c>
      <c r="B328" s="87">
        <v>1048.0</v>
      </c>
      <c r="C328" s="87">
        <v>7560.0</v>
      </c>
      <c r="D328" s="192">
        <v>0.86</v>
      </c>
    </row>
    <row r="329">
      <c r="A329" s="84" t="s">
        <v>943</v>
      </c>
      <c r="B329" s="87">
        <v>360.0</v>
      </c>
      <c r="C329" s="87">
        <v>7560.0</v>
      </c>
      <c r="D329" s="192">
        <v>0.95</v>
      </c>
    </row>
    <row r="330">
      <c r="A330" s="84" t="s">
        <v>450</v>
      </c>
      <c r="B330" s="87">
        <v>360.0</v>
      </c>
      <c r="C330" s="87">
        <v>8280.0</v>
      </c>
      <c r="D330" s="192">
        <v>0.96</v>
      </c>
    </row>
    <row r="331">
      <c r="A331" s="84" t="s">
        <v>751</v>
      </c>
      <c r="B331" s="87">
        <v>644.0</v>
      </c>
      <c r="C331" s="87">
        <v>7560.0</v>
      </c>
      <c r="D331" s="192">
        <v>0.91</v>
      </c>
    </row>
    <row r="332">
      <c r="A332" s="84" t="s">
        <v>656</v>
      </c>
      <c r="B332" s="87">
        <v>684.0</v>
      </c>
      <c r="C332" s="87">
        <v>7560.0</v>
      </c>
      <c r="D332" s="192">
        <v>0.91</v>
      </c>
    </row>
    <row r="333">
      <c r="A333" s="84" t="s">
        <v>650</v>
      </c>
      <c r="B333" s="87">
        <v>904.0</v>
      </c>
      <c r="C333" s="87">
        <v>6840.0</v>
      </c>
      <c r="D333" s="192">
        <v>0.87</v>
      </c>
    </row>
    <row r="334">
      <c r="A334" s="84" t="s">
        <v>654</v>
      </c>
      <c r="B334" s="87">
        <v>694.0</v>
      </c>
      <c r="C334" s="87">
        <v>8280.0</v>
      </c>
      <c r="D334" s="192">
        <v>0.92</v>
      </c>
    </row>
    <row r="335">
      <c r="A335" s="84" t="s">
        <v>655</v>
      </c>
      <c r="B335" s="87">
        <v>579.0</v>
      </c>
      <c r="C335" s="87">
        <v>7560.0</v>
      </c>
      <c r="D335" s="192">
        <v>0.92</v>
      </c>
    </row>
    <row r="336">
      <c r="A336" s="84" t="s">
        <v>594</v>
      </c>
      <c r="B336" s="87">
        <v>3222.0</v>
      </c>
      <c r="C336" s="87">
        <v>3240.0</v>
      </c>
      <c r="D336" s="192">
        <v>0.01</v>
      </c>
    </row>
    <row r="337">
      <c r="A337" s="84" t="s">
        <v>596</v>
      </c>
      <c r="B337" s="87">
        <v>3222.0</v>
      </c>
      <c r="C337" s="87">
        <v>3240.0</v>
      </c>
      <c r="D337" s="192">
        <v>0.01</v>
      </c>
    </row>
    <row r="338">
      <c r="A338" s="84" t="s">
        <v>961</v>
      </c>
      <c r="B338" s="87">
        <v>6251.0</v>
      </c>
      <c r="C338" s="87">
        <v>8280.0</v>
      </c>
      <c r="D338" s="192">
        <v>0.25</v>
      </c>
    </row>
    <row r="339">
      <c r="A339" s="84" t="s">
        <v>442</v>
      </c>
      <c r="B339" s="87">
        <v>360.0</v>
      </c>
      <c r="C339" s="87">
        <v>7920.0</v>
      </c>
      <c r="D339" s="192">
        <v>0.95</v>
      </c>
    </row>
    <row r="340">
      <c r="A340" s="84" t="s">
        <v>3652</v>
      </c>
      <c r="B340" s="87">
        <v>1174.0</v>
      </c>
      <c r="C340" s="87">
        <v>7560.0</v>
      </c>
      <c r="D340" s="192">
        <v>0.84</v>
      </c>
    </row>
    <row r="341">
      <c r="A341" s="84" t="s">
        <v>475</v>
      </c>
      <c r="B341" s="87">
        <v>1080.0</v>
      </c>
      <c r="C341" s="87">
        <v>1080.0</v>
      </c>
      <c r="D341" s="192">
        <v>0.0</v>
      </c>
    </row>
    <row r="342">
      <c r="A342" s="84" t="s">
        <v>3653</v>
      </c>
      <c r="B342" s="87">
        <v>2179.0</v>
      </c>
      <c r="C342" s="87">
        <v>7200.0</v>
      </c>
      <c r="D342" s="192">
        <v>0.7</v>
      </c>
    </row>
    <row r="343">
      <c r="A343" s="84" t="s">
        <v>3654</v>
      </c>
      <c r="B343" s="87">
        <v>768.0</v>
      </c>
      <c r="C343" s="87">
        <v>6336.0</v>
      </c>
      <c r="D343" s="192">
        <v>0.88</v>
      </c>
    </row>
    <row r="344">
      <c r="A344" s="84" t="s">
        <v>3655</v>
      </c>
      <c r="B344" s="87">
        <v>958.0</v>
      </c>
      <c r="C344" s="87">
        <v>6552.0</v>
      </c>
      <c r="D344" s="192">
        <v>0.85</v>
      </c>
    </row>
    <row r="345">
      <c r="A345" s="84" t="s">
        <v>3656</v>
      </c>
      <c r="B345" s="87">
        <v>395.0</v>
      </c>
      <c r="C345" s="87">
        <v>2880.0</v>
      </c>
      <c r="D345" s="192">
        <v>0.86</v>
      </c>
    </row>
    <row r="346">
      <c r="A346" s="84" t="s">
        <v>3657</v>
      </c>
      <c r="B346" s="87">
        <v>119.0</v>
      </c>
      <c r="C346" s="87">
        <v>2880.0</v>
      </c>
      <c r="D346" s="192">
        <v>0.96</v>
      </c>
    </row>
    <row r="347">
      <c r="A347" s="84" t="s">
        <v>3658</v>
      </c>
      <c r="B347" s="87">
        <v>364.0</v>
      </c>
      <c r="C347" s="87">
        <v>2880.0</v>
      </c>
      <c r="D347" s="192">
        <v>0.87</v>
      </c>
    </row>
    <row r="348">
      <c r="A348" s="84" t="s">
        <v>3659</v>
      </c>
      <c r="B348" s="87">
        <v>1544.0</v>
      </c>
      <c r="C348" s="87">
        <v>2880.0</v>
      </c>
      <c r="D348" s="192">
        <v>0.46</v>
      </c>
    </row>
    <row r="349">
      <c r="A349" s="84" t="s">
        <v>465</v>
      </c>
      <c r="B349" s="87">
        <v>422.0</v>
      </c>
      <c r="C349" s="87">
        <v>7920.0</v>
      </c>
      <c r="D349" s="192">
        <v>0.95</v>
      </c>
    </row>
    <row r="350">
      <c r="A350" s="84" t="s">
        <v>456</v>
      </c>
      <c r="B350" s="87">
        <v>362.0</v>
      </c>
      <c r="C350" s="87">
        <v>7200.0</v>
      </c>
      <c r="D350" s="192">
        <v>0.95</v>
      </c>
    </row>
    <row r="351">
      <c r="A351" s="84" t="s">
        <v>461</v>
      </c>
      <c r="B351" s="87">
        <v>360.0</v>
      </c>
      <c r="C351" s="87">
        <v>7920.0</v>
      </c>
      <c r="D351" s="192">
        <v>0.95</v>
      </c>
    </row>
    <row r="352">
      <c r="A352" s="84" t="s">
        <v>462</v>
      </c>
      <c r="B352" s="87">
        <v>0.0</v>
      </c>
      <c r="C352" s="87">
        <v>7920.0</v>
      </c>
      <c r="D352" s="192">
        <v>1.0</v>
      </c>
    </row>
    <row r="353">
      <c r="A353" s="84" t="s">
        <v>464</v>
      </c>
      <c r="B353" s="87">
        <v>0.0</v>
      </c>
      <c r="C353" s="87">
        <v>7560.0</v>
      </c>
      <c r="D353" s="192">
        <v>1.0</v>
      </c>
    </row>
    <row r="354">
      <c r="A354" s="84" t="s">
        <v>463</v>
      </c>
      <c r="B354" s="87">
        <v>360.0</v>
      </c>
      <c r="C354" s="87">
        <v>7920.0</v>
      </c>
      <c r="D354" s="192">
        <v>0.95</v>
      </c>
    </row>
    <row r="355">
      <c r="A355" s="84" t="s">
        <v>879</v>
      </c>
      <c r="B355" s="87">
        <v>101.0</v>
      </c>
      <c r="C355" s="87">
        <v>5040.0</v>
      </c>
      <c r="D355" s="192">
        <v>0.98</v>
      </c>
    </row>
    <row r="356">
      <c r="A356" s="84" t="s">
        <v>184</v>
      </c>
      <c r="B356" s="87">
        <v>1352.0</v>
      </c>
      <c r="C356" s="87">
        <v>5400.0</v>
      </c>
      <c r="D356" s="192">
        <v>0.75</v>
      </c>
    </row>
    <row r="357">
      <c r="A357" s="84" t="s">
        <v>432</v>
      </c>
      <c r="B357" s="87">
        <v>569.0</v>
      </c>
      <c r="C357" s="87">
        <v>6840.0</v>
      </c>
      <c r="D357" s="192">
        <v>0.92</v>
      </c>
    </row>
    <row r="358">
      <c r="A358" s="84" t="s">
        <v>430</v>
      </c>
      <c r="B358" s="87">
        <v>460.0</v>
      </c>
      <c r="C358" s="87">
        <v>6480.0</v>
      </c>
      <c r="D358" s="192">
        <v>0.93</v>
      </c>
    </row>
    <row r="359">
      <c r="A359" s="84" t="s">
        <v>642</v>
      </c>
      <c r="B359" s="87">
        <v>919.0</v>
      </c>
      <c r="C359" s="87">
        <v>7200.0</v>
      </c>
      <c r="D359" s="192">
        <v>0.87</v>
      </c>
    </row>
    <row r="360">
      <c r="A360" s="84" t="s">
        <v>649</v>
      </c>
      <c r="B360" s="87">
        <v>774.0</v>
      </c>
      <c r="C360" s="87">
        <v>7560.0</v>
      </c>
      <c r="D360" s="192">
        <v>0.9</v>
      </c>
    </row>
    <row r="361">
      <c r="A361" s="84" t="s">
        <v>647</v>
      </c>
      <c r="B361" s="87">
        <v>1031.0</v>
      </c>
      <c r="C361" s="87">
        <v>7560.0</v>
      </c>
      <c r="D361" s="192">
        <v>0.86</v>
      </c>
    </row>
    <row r="362">
      <c r="A362" s="84" t="s">
        <v>648</v>
      </c>
      <c r="B362" s="87">
        <v>683.0</v>
      </c>
      <c r="C362" s="87">
        <v>7200.0</v>
      </c>
      <c r="D362" s="192">
        <v>0.91</v>
      </c>
    </row>
    <row r="363">
      <c r="A363" s="84" t="s">
        <v>421</v>
      </c>
      <c r="B363" s="87">
        <v>177.0</v>
      </c>
      <c r="C363" s="87">
        <v>2880.0</v>
      </c>
      <c r="D363" s="192">
        <v>0.94</v>
      </c>
    </row>
    <row r="364">
      <c r="A364" s="84" t="s">
        <v>418</v>
      </c>
      <c r="B364" s="87">
        <v>11.0</v>
      </c>
      <c r="C364" s="87">
        <v>2520.0</v>
      </c>
      <c r="D364" s="192">
        <v>1.0</v>
      </c>
    </row>
    <row r="365">
      <c r="A365" s="84" t="s">
        <v>414</v>
      </c>
      <c r="B365" s="87">
        <v>58.0</v>
      </c>
      <c r="C365" s="87">
        <v>2160.0</v>
      </c>
      <c r="D365" s="192">
        <v>0.97</v>
      </c>
    </row>
    <row r="366">
      <c r="A366" s="84" t="s">
        <v>433</v>
      </c>
      <c r="B366" s="87">
        <v>720.0</v>
      </c>
      <c r="C366" s="87">
        <v>720.0</v>
      </c>
      <c r="D366" s="192">
        <v>0.0</v>
      </c>
    </row>
    <row r="367">
      <c r="A367" s="84" t="s">
        <v>1259</v>
      </c>
      <c r="B367" s="87">
        <v>103.0</v>
      </c>
      <c r="C367" s="87">
        <v>2880.0</v>
      </c>
      <c r="D367" s="192">
        <v>0.96</v>
      </c>
    </row>
    <row r="368">
      <c r="A368" s="84" t="s">
        <v>1309</v>
      </c>
      <c r="B368" s="87">
        <v>0.0</v>
      </c>
      <c r="C368" s="87">
        <v>8280.0</v>
      </c>
      <c r="D368" s="192">
        <v>1.0</v>
      </c>
    </row>
    <row r="369">
      <c r="A369" s="84" t="s">
        <v>968</v>
      </c>
      <c r="B369" s="87">
        <v>0.0</v>
      </c>
      <c r="C369" s="87">
        <v>720.0</v>
      </c>
      <c r="D369" s="192">
        <v>1.0</v>
      </c>
    </row>
    <row r="370">
      <c r="A370" s="84" t="s">
        <v>3660</v>
      </c>
      <c r="B370" s="87">
        <v>1336.0</v>
      </c>
      <c r="C370" s="87">
        <v>7704.0</v>
      </c>
      <c r="D370" s="192">
        <v>0.83</v>
      </c>
    </row>
    <row r="371">
      <c r="A371" s="84" t="s">
        <v>3661</v>
      </c>
      <c r="B371" s="87">
        <v>360.0</v>
      </c>
      <c r="C371" s="87">
        <v>1080.0</v>
      </c>
      <c r="D371" s="192">
        <v>0.67</v>
      </c>
    </row>
    <row r="372">
      <c r="A372" s="84" t="s">
        <v>638</v>
      </c>
      <c r="B372" s="87">
        <v>493.0</v>
      </c>
      <c r="C372" s="87">
        <v>6840.0</v>
      </c>
      <c r="D372" s="192">
        <v>0.93</v>
      </c>
    </row>
    <row r="373">
      <c r="A373" s="84" t="s">
        <v>848</v>
      </c>
      <c r="B373" s="87">
        <v>1087.0</v>
      </c>
      <c r="C373" s="87">
        <v>7560.0</v>
      </c>
      <c r="D373" s="192">
        <v>0.86</v>
      </c>
    </row>
    <row r="374">
      <c r="A374" s="84" t="s">
        <v>847</v>
      </c>
      <c r="B374" s="87">
        <v>1056.0</v>
      </c>
      <c r="C374" s="87">
        <v>7560.0</v>
      </c>
      <c r="D374" s="192">
        <v>0.86</v>
      </c>
    </row>
    <row r="375">
      <c r="A375" s="84" t="s">
        <v>846</v>
      </c>
      <c r="B375" s="87">
        <v>1053.0</v>
      </c>
      <c r="C375" s="87">
        <v>7560.0</v>
      </c>
      <c r="D375" s="192">
        <v>0.86</v>
      </c>
    </row>
    <row r="376">
      <c r="A376" s="84" t="s">
        <v>842</v>
      </c>
      <c r="B376" s="87">
        <v>1059.0</v>
      </c>
      <c r="C376" s="87">
        <v>7560.0</v>
      </c>
      <c r="D376" s="192">
        <v>0.86</v>
      </c>
    </row>
    <row r="377">
      <c r="A377" s="84" t="s">
        <v>728</v>
      </c>
      <c r="B377" s="87">
        <v>4618.0</v>
      </c>
      <c r="C377" s="87">
        <v>7560.0</v>
      </c>
      <c r="D377" s="192">
        <v>0.39</v>
      </c>
    </row>
    <row r="378">
      <c r="A378" s="84" t="s">
        <v>731</v>
      </c>
      <c r="B378" s="87">
        <v>5400.0</v>
      </c>
      <c r="C378" s="87">
        <v>7560.0</v>
      </c>
      <c r="D378" s="192">
        <v>0.29</v>
      </c>
    </row>
    <row r="379">
      <c r="A379" s="84" t="s">
        <v>730</v>
      </c>
      <c r="B379" s="87">
        <v>5760.0</v>
      </c>
      <c r="C379" s="87">
        <v>8280.0</v>
      </c>
      <c r="D379" s="192">
        <v>0.3</v>
      </c>
    </row>
    <row r="380">
      <c r="A380" s="84" t="s">
        <v>732</v>
      </c>
      <c r="B380" s="87">
        <v>1013.0</v>
      </c>
      <c r="C380" s="87">
        <v>1440.0</v>
      </c>
      <c r="D380" s="192">
        <v>0.3</v>
      </c>
    </row>
    <row r="381">
      <c r="A381" s="84" t="s">
        <v>223</v>
      </c>
      <c r="B381" s="87">
        <v>547.0</v>
      </c>
      <c r="C381" s="87">
        <v>1800.0</v>
      </c>
      <c r="D381" s="192">
        <v>0.7</v>
      </c>
    </row>
    <row r="382">
      <c r="A382" s="84" t="s">
        <v>116</v>
      </c>
      <c r="B382" s="87">
        <v>649.0</v>
      </c>
      <c r="C382" s="87">
        <v>3960.0</v>
      </c>
      <c r="D382" s="192">
        <v>0.84</v>
      </c>
    </row>
    <row r="383">
      <c r="A383" s="84" t="s">
        <v>113</v>
      </c>
      <c r="B383" s="87">
        <v>250.0</v>
      </c>
      <c r="C383" s="87">
        <v>3960.0</v>
      </c>
      <c r="D383" s="192">
        <v>0.94</v>
      </c>
    </row>
    <row r="384">
      <c r="A384" s="84" t="s">
        <v>105</v>
      </c>
      <c r="B384" s="87">
        <v>168.0</v>
      </c>
      <c r="C384" s="87">
        <v>3960.0</v>
      </c>
      <c r="D384" s="192">
        <v>0.96</v>
      </c>
    </row>
    <row r="385">
      <c r="A385" s="84" t="s">
        <v>933</v>
      </c>
      <c r="B385" s="87">
        <v>5210.0</v>
      </c>
      <c r="C385" s="87">
        <v>5760.0</v>
      </c>
      <c r="D385" s="192">
        <v>0.1</v>
      </c>
    </row>
    <row r="386">
      <c r="A386" s="84" t="s">
        <v>958</v>
      </c>
      <c r="B386" s="87">
        <v>360.0</v>
      </c>
      <c r="C386" s="87">
        <v>8280.0</v>
      </c>
      <c r="D386" s="192">
        <v>0.96</v>
      </c>
    </row>
    <row r="387">
      <c r="A387" s="84" t="s">
        <v>960</v>
      </c>
      <c r="B387" s="87">
        <v>0.0</v>
      </c>
      <c r="C387" s="87">
        <v>7560.0</v>
      </c>
      <c r="D387" s="192">
        <v>1.0</v>
      </c>
    </row>
    <row r="388">
      <c r="A388" s="84" t="s">
        <v>607</v>
      </c>
      <c r="B388" s="87">
        <v>693.0</v>
      </c>
      <c r="C388" s="87">
        <v>2880.0</v>
      </c>
      <c r="D388" s="192">
        <v>0.76</v>
      </c>
    </row>
    <row r="389">
      <c r="A389" s="84" t="s">
        <v>520</v>
      </c>
      <c r="B389" s="87">
        <v>360.0</v>
      </c>
      <c r="C389" s="87">
        <v>8280.0</v>
      </c>
      <c r="D389" s="192">
        <v>0.96</v>
      </c>
    </row>
    <row r="390">
      <c r="A390" s="84" t="s">
        <v>515</v>
      </c>
      <c r="B390" s="87">
        <v>360.0</v>
      </c>
      <c r="C390" s="87">
        <v>8280.0</v>
      </c>
      <c r="D390" s="192">
        <v>0.96</v>
      </c>
    </row>
    <row r="391">
      <c r="A391" s="84" t="s">
        <v>524</v>
      </c>
      <c r="B391" s="87">
        <v>360.0</v>
      </c>
      <c r="C391" s="87">
        <v>8280.0</v>
      </c>
      <c r="D391" s="192">
        <v>0.96</v>
      </c>
    </row>
    <row r="392">
      <c r="A392" s="84" t="s">
        <v>518</v>
      </c>
      <c r="B392" s="87">
        <v>360.0</v>
      </c>
      <c r="C392" s="87">
        <v>8280.0</v>
      </c>
      <c r="D392" s="192">
        <v>0.96</v>
      </c>
    </row>
    <row r="393">
      <c r="A393" s="84" t="s">
        <v>517</v>
      </c>
      <c r="B393" s="87">
        <v>360.0</v>
      </c>
      <c r="C393" s="87">
        <v>8280.0</v>
      </c>
      <c r="D393" s="192">
        <v>0.96</v>
      </c>
    </row>
    <row r="394">
      <c r="A394" s="84" t="s">
        <v>522</v>
      </c>
      <c r="B394" s="87">
        <v>360.0</v>
      </c>
      <c r="C394" s="87">
        <v>8280.0</v>
      </c>
      <c r="D394" s="192">
        <v>0.96</v>
      </c>
    </row>
    <row r="395">
      <c r="A395" s="84" t="s">
        <v>519</v>
      </c>
      <c r="B395" s="87">
        <v>360.0</v>
      </c>
      <c r="C395" s="87">
        <v>8280.0</v>
      </c>
      <c r="D395" s="192">
        <v>0.96</v>
      </c>
    </row>
    <row r="396">
      <c r="A396" s="84" t="s">
        <v>521</v>
      </c>
      <c r="B396" s="87">
        <v>360.0</v>
      </c>
      <c r="C396" s="87">
        <v>8280.0</v>
      </c>
      <c r="D396" s="192">
        <v>0.96</v>
      </c>
    </row>
    <row r="397">
      <c r="A397" s="84" t="s">
        <v>523</v>
      </c>
      <c r="B397" s="87">
        <v>439.0</v>
      </c>
      <c r="C397" s="87">
        <v>8280.0</v>
      </c>
      <c r="D397" s="192">
        <v>0.95</v>
      </c>
    </row>
    <row r="398">
      <c r="A398" s="84" t="s">
        <v>614</v>
      </c>
      <c r="B398" s="87">
        <v>0.0</v>
      </c>
      <c r="C398" s="87">
        <v>7560.0</v>
      </c>
      <c r="D398" s="192">
        <v>1.0</v>
      </c>
    </row>
    <row r="399">
      <c r="A399" s="84" t="s">
        <v>486</v>
      </c>
      <c r="B399" s="87">
        <v>2174.0</v>
      </c>
      <c r="C399" s="87">
        <v>7560.0</v>
      </c>
      <c r="D399" s="192">
        <v>0.71</v>
      </c>
    </row>
    <row r="400">
      <c r="A400" s="84" t="s">
        <v>514</v>
      </c>
      <c r="B400" s="87">
        <v>360.0</v>
      </c>
      <c r="C400" s="87">
        <v>7560.0</v>
      </c>
      <c r="D400" s="192">
        <v>0.95</v>
      </c>
    </row>
    <row r="401">
      <c r="A401" s="84" t="s">
        <v>452</v>
      </c>
      <c r="B401" s="87">
        <v>360.0</v>
      </c>
      <c r="C401" s="87">
        <v>7560.0</v>
      </c>
      <c r="D401" s="192">
        <v>0.95</v>
      </c>
    </row>
    <row r="402">
      <c r="A402" s="84" t="s">
        <v>484</v>
      </c>
      <c r="B402" s="87">
        <v>360.0</v>
      </c>
      <c r="C402" s="87">
        <v>8280.0</v>
      </c>
      <c r="D402" s="192">
        <v>0.96</v>
      </c>
    </row>
    <row r="403">
      <c r="A403" s="84" t="s">
        <v>1254</v>
      </c>
      <c r="B403" s="87">
        <v>7506.0</v>
      </c>
      <c r="C403" s="87">
        <v>7560.0</v>
      </c>
      <c r="D403" s="192">
        <v>0.01</v>
      </c>
    </row>
    <row r="404">
      <c r="A404" s="84" t="s">
        <v>1258</v>
      </c>
      <c r="B404" s="87">
        <v>6197.0</v>
      </c>
      <c r="C404" s="87">
        <v>7560.0</v>
      </c>
      <c r="D404" s="192">
        <v>0.18</v>
      </c>
    </row>
    <row r="405">
      <c r="A405" s="84" t="s">
        <v>798</v>
      </c>
      <c r="B405" s="87">
        <v>20.0</v>
      </c>
      <c r="C405" s="87">
        <v>4320.0</v>
      </c>
      <c r="D405" s="192">
        <v>1.0</v>
      </c>
    </row>
    <row r="406">
      <c r="A406" s="84" t="s">
        <v>1084</v>
      </c>
      <c r="B406" s="87">
        <v>1044.0</v>
      </c>
      <c r="C406" s="87">
        <v>4320.0</v>
      </c>
      <c r="D406" s="192">
        <v>0.76</v>
      </c>
    </row>
    <row r="407">
      <c r="A407" s="84" t="s">
        <v>793</v>
      </c>
      <c r="B407" s="87">
        <v>0.0</v>
      </c>
      <c r="C407" s="87">
        <v>4320.0</v>
      </c>
      <c r="D407" s="192">
        <v>1.0</v>
      </c>
    </row>
    <row r="408">
      <c r="A408" s="84" t="s">
        <v>611</v>
      </c>
      <c r="B408" s="87">
        <v>7414.0</v>
      </c>
      <c r="C408" s="87">
        <v>8280.0</v>
      </c>
      <c r="D408" s="192">
        <v>0.1</v>
      </c>
    </row>
    <row r="409">
      <c r="A409" s="84" t="s">
        <v>944</v>
      </c>
      <c r="B409" s="87">
        <v>0.0</v>
      </c>
      <c r="C409" s="87">
        <v>5040.0</v>
      </c>
      <c r="D409" s="192">
        <v>1.0</v>
      </c>
    </row>
    <row r="410">
      <c r="A410" s="84" t="s">
        <v>529</v>
      </c>
      <c r="B410" s="87">
        <v>394.0</v>
      </c>
      <c r="C410" s="87">
        <v>8280.0</v>
      </c>
      <c r="D410" s="192">
        <v>0.95</v>
      </c>
    </row>
    <row r="411">
      <c r="A411" s="84" t="s">
        <v>534</v>
      </c>
      <c r="B411" s="87">
        <v>0.0</v>
      </c>
      <c r="C411" s="87">
        <v>8280.0</v>
      </c>
      <c r="D411" s="192">
        <v>1.0</v>
      </c>
    </row>
    <row r="412">
      <c r="A412" s="84" t="s">
        <v>533</v>
      </c>
      <c r="B412" s="87">
        <v>0.0</v>
      </c>
      <c r="C412" s="87">
        <v>6480.0</v>
      </c>
      <c r="D412" s="192">
        <v>1.0</v>
      </c>
    </row>
    <row r="413">
      <c r="A413" s="84" t="s">
        <v>532</v>
      </c>
      <c r="B413" s="87">
        <v>0.0</v>
      </c>
      <c r="C413" s="87">
        <v>8280.0</v>
      </c>
      <c r="D413" s="192">
        <v>1.0</v>
      </c>
    </row>
    <row r="414">
      <c r="A414" s="84" t="s">
        <v>531</v>
      </c>
      <c r="B414" s="87">
        <v>0.0</v>
      </c>
      <c r="C414" s="87">
        <v>8280.0</v>
      </c>
      <c r="D414" s="192">
        <v>1.0</v>
      </c>
    </row>
    <row r="415">
      <c r="A415" s="84" t="s">
        <v>525</v>
      </c>
      <c r="B415" s="87">
        <v>360.0</v>
      </c>
      <c r="C415" s="87">
        <v>8280.0</v>
      </c>
      <c r="D415" s="192">
        <v>0.96</v>
      </c>
    </row>
    <row r="416">
      <c r="A416" s="84" t="s">
        <v>528</v>
      </c>
      <c r="B416" s="87">
        <v>0.0</v>
      </c>
      <c r="C416" s="87">
        <v>8280.0</v>
      </c>
      <c r="D416" s="192">
        <v>1.0</v>
      </c>
    </row>
    <row r="417">
      <c r="A417" s="84" t="s">
        <v>530</v>
      </c>
      <c r="B417" s="87">
        <v>360.0</v>
      </c>
      <c r="C417" s="87">
        <v>8280.0</v>
      </c>
      <c r="D417" s="192">
        <v>0.96</v>
      </c>
    </row>
    <row r="418">
      <c r="A418" s="84" t="s">
        <v>877</v>
      </c>
      <c r="B418" s="87">
        <v>720.0</v>
      </c>
      <c r="C418" s="87">
        <v>1080.0</v>
      </c>
      <c r="D418" s="192">
        <v>0.33</v>
      </c>
    </row>
    <row r="419">
      <c r="A419" s="84" t="s">
        <v>894</v>
      </c>
      <c r="B419" s="87">
        <v>2751.0</v>
      </c>
      <c r="C419" s="87">
        <v>2880.0</v>
      </c>
      <c r="D419" s="192">
        <v>0.04</v>
      </c>
    </row>
    <row r="420">
      <c r="A420" s="84" t="s">
        <v>893</v>
      </c>
      <c r="B420" s="87">
        <v>2705.0</v>
      </c>
      <c r="C420" s="87">
        <v>2880.0</v>
      </c>
      <c r="D420" s="192">
        <v>0.06</v>
      </c>
    </row>
    <row r="421">
      <c r="A421" s="84" t="s">
        <v>895</v>
      </c>
      <c r="B421" s="87">
        <v>2679.0</v>
      </c>
      <c r="C421" s="87">
        <v>2880.0</v>
      </c>
      <c r="D421" s="192">
        <v>0.07</v>
      </c>
    </row>
    <row r="422">
      <c r="A422" s="84" t="s">
        <v>635</v>
      </c>
      <c r="B422" s="87">
        <v>443.0</v>
      </c>
      <c r="C422" s="87">
        <v>7560.0</v>
      </c>
      <c r="D422" s="192">
        <v>0.94</v>
      </c>
    </row>
    <row r="423">
      <c r="A423" s="84" t="s">
        <v>634</v>
      </c>
      <c r="B423" s="87">
        <v>487.0</v>
      </c>
      <c r="C423" s="87">
        <v>7200.0</v>
      </c>
      <c r="D423" s="192">
        <v>0.93</v>
      </c>
    </row>
    <row r="424">
      <c r="A424" s="84" t="s">
        <v>636</v>
      </c>
      <c r="B424" s="87">
        <v>580.0</v>
      </c>
      <c r="C424" s="87">
        <v>7560.0</v>
      </c>
      <c r="D424" s="192">
        <v>0.92</v>
      </c>
    </row>
    <row r="425">
      <c r="A425" s="84" t="s">
        <v>633</v>
      </c>
      <c r="B425" s="87">
        <v>549.0</v>
      </c>
      <c r="C425" s="87">
        <v>7200.0</v>
      </c>
      <c r="D425" s="192">
        <v>0.92</v>
      </c>
    </row>
    <row r="426">
      <c r="A426" s="84" t="s">
        <v>637</v>
      </c>
      <c r="B426" s="87">
        <v>403.0</v>
      </c>
      <c r="C426" s="87">
        <v>7560.0</v>
      </c>
      <c r="D426" s="192">
        <v>0.95</v>
      </c>
    </row>
    <row r="427">
      <c r="A427" s="84" t="s">
        <v>628</v>
      </c>
      <c r="B427" s="87">
        <v>360.0</v>
      </c>
      <c r="C427" s="87">
        <v>7560.0</v>
      </c>
      <c r="D427" s="192">
        <v>0.95</v>
      </c>
    </row>
    <row r="428">
      <c r="A428" s="84" t="s">
        <v>1285</v>
      </c>
      <c r="B428" s="87">
        <v>1637.0</v>
      </c>
      <c r="C428" s="87">
        <v>4104.0</v>
      </c>
      <c r="D428" s="192">
        <v>0.6</v>
      </c>
    </row>
    <row r="429">
      <c r="A429" s="84" t="s">
        <v>824</v>
      </c>
      <c r="B429" s="87">
        <v>579.0</v>
      </c>
      <c r="C429" s="87">
        <v>7560.0</v>
      </c>
      <c r="D429" s="192">
        <v>0.92</v>
      </c>
    </row>
    <row r="430">
      <c r="A430" s="84" t="s">
        <v>823</v>
      </c>
      <c r="B430" s="87">
        <v>406.0</v>
      </c>
      <c r="C430" s="87">
        <v>7560.0</v>
      </c>
      <c r="D430" s="192">
        <v>0.95</v>
      </c>
    </row>
    <row r="431">
      <c r="A431" s="84" t="s">
        <v>822</v>
      </c>
      <c r="B431" s="87">
        <v>1554.0</v>
      </c>
      <c r="C431" s="87">
        <v>8280.0</v>
      </c>
      <c r="D431" s="192">
        <v>0.81</v>
      </c>
    </row>
    <row r="432">
      <c r="A432" s="84" t="s">
        <v>828</v>
      </c>
      <c r="B432" s="87">
        <v>1490.0</v>
      </c>
      <c r="C432" s="87">
        <v>8280.0</v>
      </c>
      <c r="D432" s="192">
        <v>0.82</v>
      </c>
    </row>
    <row r="433">
      <c r="A433" s="84" t="s">
        <v>821</v>
      </c>
      <c r="B433" s="87">
        <v>1303.0</v>
      </c>
      <c r="C433" s="87">
        <v>7560.0</v>
      </c>
      <c r="D433" s="192">
        <v>0.83</v>
      </c>
    </row>
    <row r="434">
      <c r="A434" s="84" t="s">
        <v>1319</v>
      </c>
      <c r="B434" s="87">
        <v>360.0</v>
      </c>
      <c r="C434" s="87">
        <v>7560.0</v>
      </c>
      <c r="D434" s="192">
        <v>0.95</v>
      </c>
    </row>
    <row r="435">
      <c r="A435" s="84" t="s">
        <v>820</v>
      </c>
      <c r="B435" s="87">
        <v>1355.0</v>
      </c>
      <c r="C435" s="87">
        <v>7560.0</v>
      </c>
      <c r="D435" s="192">
        <v>0.82</v>
      </c>
    </row>
    <row r="436">
      <c r="A436" s="84" t="s">
        <v>819</v>
      </c>
      <c r="B436" s="87">
        <v>360.0</v>
      </c>
      <c r="C436" s="87">
        <v>7560.0</v>
      </c>
      <c r="D436" s="192">
        <v>0.95</v>
      </c>
    </row>
    <row r="437">
      <c r="A437" s="84" t="s">
        <v>198</v>
      </c>
      <c r="B437" s="87">
        <v>5040.0</v>
      </c>
      <c r="C437" s="87">
        <v>5400.0</v>
      </c>
      <c r="D437" s="192">
        <v>0.07</v>
      </c>
    </row>
    <row r="438">
      <c r="A438" s="84" t="s">
        <v>3662</v>
      </c>
      <c r="B438" s="87">
        <v>2910.0</v>
      </c>
      <c r="C438" s="87">
        <v>4680.0</v>
      </c>
      <c r="D438" s="192">
        <v>0.38</v>
      </c>
    </row>
    <row r="439">
      <c r="A439" s="84" t="s">
        <v>401</v>
      </c>
      <c r="B439" s="87">
        <v>0.0</v>
      </c>
      <c r="C439" s="87">
        <v>360.0</v>
      </c>
      <c r="D439" s="192">
        <v>1.0</v>
      </c>
    </row>
    <row r="440">
      <c r="A440" s="84" t="s">
        <v>1247</v>
      </c>
      <c r="B440" s="87">
        <v>6646.0</v>
      </c>
      <c r="C440" s="87">
        <v>7560.0</v>
      </c>
      <c r="D440" s="192">
        <v>0.12</v>
      </c>
    </row>
    <row r="441">
      <c r="A441" s="84" t="s">
        <v>952</v>
      </c>
      <c r="B441" s="87">
        <v>0.0</v>
      </c>
      <c r="C441" s="87">
        <v>5040.0</v>
      </c>
      <c r="D441" s="192">
        <v>1.0</v>
      </c>
    </row>
    <row r="442">
      <c r="A442" s="84" t="s">
        <v>1342</v>
      </c>
      <c r="B442" s="87">
        <v>6.0</v>
      </c>
      <c r="C442" s="87">
        <v>5040.0</v>
      </c>
      <c r="D442" s="192">
        <v>1.0</v>
      </c>
    </row>
    <row r="443">
      <c r="A443" s="84" t="s">
        <v>871</v>
      </c>
      <c r="B443" s="87">
        <v>0.0</v>
      </c>
      <c r="C443" s="87">
        <v>2160.0</v>
      </c>
      <c r="D443" s="192">
        <v>1.0</v>
      </c>
    </row>
    <row r="444">
      <c r="A444" s="84" t="s">
        <v>868</v>
      </c>
      <c r="B444" s="87">
        <v>0.0</v>
      </c>
      <c r="C444" s="87">
        <v>2160.0</v>
      </c>
      <c r="D444" s="192">
        <v>1.0</v>
      </c>
    </row>
    <row r="445">
      <c r="A445" s="84" t="s">
        <v>873</v>
      </c>
      <c r="B445" s="87">
        <v>0.0</v>
      </c>
      <c r="C445" s="87">
        <v>2160.0</v>
      </c>
      <c r="D445" s="192">
        <v>1.0</v>
      </c>
    </row>
    <row r="446">
      <c r="A446" s="84" t="s">
        <v>872</v>
      </c>
      <c r="B446" s="87">
        <v>0.0</v>
      </c>
      <c r="C446" s="87">
        <v>2160.0</v>
      </c>
      <c r="D446" s="192">
        <v>1.0</v>
      </c>
    </row>
    <row r="447">
      <c r="A447" s="84" t="s">
        <v>599</v>
      </c>
      <c r="B447" s="87">
        <v>360.0</v>
      </c>
      <c r="C447" s="87">
        <v>8280.0</v>
      </c>
      <c r="D447" s="192">
        <v>0.96</v>
      </c>
    </row>
    <row r="448">
      <c r="A448" s="84" t="s">
        <v>752</v>
      </c>
      <c r="B448" s="87">
        <v>1302.0</v>
      </c>
      <c r="C448" s="87">
        <v>8280.0</v>
      </c>
      <c r="D448" s="192">
        <v>0.84</v>
      </c>
    </row>
    <row r="449">
      <c r="A449" s="84" t="s">
        <v>756</v>
      </c>
      <c r="B449" s="87">
        <v>426.0</v>
      </c>
      <c r="C449" s="87">
        <v>8280.0</v>
      </c>
      <c r="D449" s="192">
        <v>0.95</v>
      </c>
    </row>
    <row r="450">
      <c r="A450" s="84" t="s">
        <v>779</v>
      </c>
      <c r="B450" s="87">
        <v>1243.0</v>
      </c>
      <c r="C450" s="87">
        <v>7344.0</v>
      </c>
      <c r="D450" s="192">
        <v>0.83</v>
      </c>
    </row>
    <row r="451">
      <c r="A451" s="84" t="s">
        <v>3663</v>
      </c>
      <c r="B451" s="87">
        <v>427.0</v>
      </c>
      <c r="C451" s="87">
        <v>8280.0</v>
      </c>
      <c r="D451" s="192">
        <v>0.95</v>
      </c>
    </row>
    <row r="452">
      <c r="A452" s="84" t="s">
        <v>1307</v>
      </c>
      <c r="B452" s="87">
        <v>360.0</v>
      </c>
      <c r="C452" s="87">
        <v>360.0</v>
      </c>
      <c r="D452" s="192">
        <v>0.0</v>
      </c>
    </row>
    <row r="453">
      <c r="A453" s="84" t="s">
        <v>774</v>
      </c>
      <c r="B453" s="87">
        <v>3492.0</v>
      </c>
      <c r="C453" s="87">
        <v>6912.0</v>
      </c>
      <c r="D453" s="192">
        <v>0.49</v>
      </c>
    </row>
    <row r="454">
      <c r="A454" s="84" t="s">
        <v>1074</v>
      </c>
      <c r="B454" s="87">
        <v>937.0</v>
      </c>
      <c r="C454" s="87">
        <v>2160.0</v>
      </c>
      <c r="D454" s="192">
        <v>0.57</v>
      </c>
    </row>
    <row r="455">
      <c r="A455" s="84" t="s">
        <v>1079</v>
      </c>
      <c r="B455" s="87">
        <v>164.0</v>
      </c>
      <c r="C455" s="87">
        <v>2160.0</v>
      </c>
      <c r="D455" s="192">
        <v>0.92</v>
      </c>
    </row>
    <row r="456">
      <c r="A456" s="84" t="s">
        <v>1081</v>
      </c>
      <c r="B456" s="87">
        <v>1356.0</v>
      </c>
      <c r="C456" s="87">
        <v>2160.0</v>
      </c>
      <c r="D456" s="192">
        <v>0.37</v>
      </c>
    </row>
    <row r="457">
      <c r="A457" s="84" t="s">
        <v>1086</v>
      </c>
      <c r="B457" s="87">
        <v>209.0</v>
      </c>
      <c r="C457" s="87">
        <v>2160.0</v>
      </c>
      <c r="D457" s="192">
        <v>0.9</v>
      </c>
    </row>
    <row r="458">
      <c r="A458" s="84" t="s">
        <v>1083</v>
      </c>
      <c r="B458" s="87">
        <v>353.0</v>
      </c>
      <c r="C458" s="87">
        <v>2160.0</v>
      </c>
      <c r="D458" s="192">
        <v>0.84</v>
      </c>
    </row>
    <row r="459">
      <c r="A459" s="84" t="s">
        <v>1082</v>
      </c>
      <c r="B459" s="87">
        <v>112.0</v>
      </c>
      <c r="C459" s="87">
        <v>2160.0</v>
      </c>
      <c r="D459" s="192">
        <v>0.95</v>
      </c>
    </row>
    <row r="460">
      <c r="A460" s="84" t="s">
        <v>1077</v>
      </c>
      <c r="B460" s="87">
        <v>103.0</v>
      </c>
      <c r="C460" s="87">
        <v>2160.0</v>
      </c>
      <c r="D460" s="192">
        <v>0.95</v>
      </c>
    </row>
    <row r="461">
      <c r="A461" s="84" t="s">
        <v>1080</v>
      </c>
      <c r="B461" s="87">
        <v>53.0</v>
      </c>
      <c r="C461" s="87">
        <v>2160.0</v>
      </c>
      <c r="D461" s="192">
        <v>0.98</v>
      </c>
    </row>
    <row r="462">
      <c r="A462" s="84" t="s">
        <v>1076</v>
      </c>
      <c r="B462" s="87">
        <v>0.0</v>
      </c>
      <c r="C462" s="87">
        <v>2160.0</v>
      </c>
      <c r="D462" s="192">
        <v>1.0</v>
      </c>
    </row>
    <row r="463">
      <c r="A463" s="84" t="s">
        <v>1078</v>
      </c>
      <c r="B463" s="87">
        <v>79.0</v>
      </c>
      <c r="C463" s="87">
        <v>2160.0</v>
      </c>
      <c r="D463" s="192">
        <v>0.96</v>
      </c>
    </row>
    <row r="464">
      <c r="A464" s="84" t="s">
        <v>1034</v>
      </c>
      <c r="B464" s="87">
        <v>624.0</v>
      </c>
      <c r="C464" s="87">
        <v>6120.0</v>
      </c>
      <c r="D464" s="192">
        <v>0.9</v>
      </c>
    </row>
    <row r="465">
      <c r="A465" s="84" t="s">
        <v>1038</v>
      </c>
      <c r="B465" s="87">
        <v>464.0</v>
      </c>
      <c r="C465" s="87">
        <v>6120.0</v>
      </c>
      <c r="D465" s="192">
        <v>0.92</v>
      </c>
    </row>
    <row r="466">
      <c r="A466" s="84" t="s">
        <v>1039</v>
      </c>
      <c r="B466" s="87">
        <v>264.0</v>
      </c>
      <c r="C466" s="87">
        <v>6120.0</v>
      </c>
      <c r="D466" s="192">
        <v>0.96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3664</v>
      </c>
      <c r="B1" s="193" t="s">
        <v>3665</v>
      </c>
      <c r="C1" s="84" t="s">
        <v>3666</v>
      </c>
      <c r="D1" s="84" t="s">
        <v>3667</v>
      </c>
      <c r="E1" s="84" t="s">
        <v>3668</v>
      </c>
      <c r="F1" s="84" t="s">
        <v>3669</v>
      </c>
      <c r="G1" s="84" t="s">
        <v>3670</v>
      </c>
      <c r="H1" s="84" t="s">
        <v>3671</v>
      </c>
      <c r="I1" s="84" t="s">
        <v>3672</v>
      </c>
      <c r="J1" s="84" t="s">
        <v>3673</v>
      </c>
      <c r="K1" s="84" t="s">
        <v>3674</v>
      </c>
      <c r="L1" s="84" t="s">
        <v>3675</v>
      </c>
      <c r="M1" s="84" t="s">
        <v>3676</v>
      </c>
      <c r="N1" s="84" t="s">
        <v>3677</v>
      </c>
      <c r="O1" s="84" t="s">
        <v>3678</v>
      </c>
      <c r="P1" s="84" t="s">
        <v>3679</v>
      </c>
      <c r="Q1" s="84" t="s">
        <v>3680</v>
      </c>
      <c r="T1" s="191" t="s">
        <v>3633</v>
      </c>
      <c r="U1" s="191" t="s">
        <v>3681</v>
      </c>
    </row>
    <row r="2">
      <c r="A2" s="84" t="s">
        <v>644</v>
      </c>
      <c r="B2" s="194" t="s">
        <v>3682</v>
      </c>
      <c r="C2" s="84" t="s">
        <v>1270</v>
      </c>
      <c r="D2" s="88" t="s">
        <v>1396</v>
      </c>
      <c r="E2" s="84" t="s">
        <v>3683</v>
      </c>
      <c r="F2" s="84" t="s">
        <v>1229</v>
      </c>
      <c r="G2" s="84" t="s">
        <v>3551</v>
      </c>
      <c r="H2" s="84" t="s">
        <v>3521</v>
      </c>
      <c r="I2" s="84" t="s">
        <v>3684</v>
      </c>
      <c r="J2" s="85"/>
      <c r="K2" s="85"/>
      <c r="L2" s="87">
        <v>93.0</v>
      </c>
      <c r="M2" s="87">
        <v>17.0</v>
      </c>
      <c r="N2" s="87">
        <v>3.170202</v>
      </c>
      <c r="O2" s="87">
        <v>16.08351</v>
      </c>
      <c r="P2" s="87">
        <v>14.32793</v>
      </c>
      <c r="Q2" s="87">
        <v>12.20313</v>
      </c>
      <c r="T2" s="84" t="s">
        <v>825</v>
      </c>
      <c r="U2" s="87">
        <v>24.48895826</v>
      </c>
    </row>
    <row r="3">
      <c r="A3" s="84" t="s">
        <v>601</v>
      </c>
      <c r="B3" s="193" t="s">
        <v>3596</v>
      </c>
      <c r="C3" s="84" t="s">
        <v>1069</v>
      </c>
      <c r="D3" s="88" t="s">
        <v>1396</v>
      </c>
      <c r="E3" s="84" t="s">
        <v>3683</v>
      </c>
      <c r="F3" s="84" t="s">
        <v>1070</v>
      </c>
      <c r="G3" s="84" t="s">
        <v>3597</v>
      </c>
      <c r="H3" s="84" t="s">
        <v>3521</v>
      </c>
      <c r="I3" s="84" t="s">
        <v>3684</v>
      </c>
      <c r="J3" s="84" t="s">
        <v>130</v>
      </c>
      <c r="K3" s="84" t="s">
        <v>111</v>
      </c>
      <c r="L3" s="87">
        <v>792.0</v>
      </c>
      <c r="M3" s="87">
        <v>0.0</v>
      </c>
      <c r="N3" s="87">
        <v>0.0</v>
      </c>
      <c r="O3" s="87">
        <v>0.0</v>
      </c>
      <c r="P3" s="87">
        <v>0.0</v>
      </c>
      <c r="Q3" s="87">
        <v>0.0</v>
      </c>
      <c r="T3" s="84" t="s">
        <v>3636</v>
      </c>
      <c r="U3" s="87">
        <v>11.1045177</v>
      </c>
    </row>
    <row r="4">
      <c r="A4" s="84" t="s">
        <v>1130</v>
      </c>
      <c r="B4" s="194" t="s">
        <v>3685</v>
      </c>
      <c r="C4" s="84" t="s">
        <v>1158</v>
      </c>
      <c r="D4" s="88" t="s">
        <v>1396</v>
      </c>
      <c r="E4" s="84" t="s">
        <v>3683</v>
      </c>
      <c r="F4" s="84" t="s">
        <v>1142</v>
      </c>
      <c r="G4" s="84" t="s">
        <v>3605</v>
      </c>
      <c r="H4" s="84" t="s">
        <v>3521</v>
      </c>
      <c r="I4" s="84" t="s">
        <v>3684</v>
      </c>
      <c r="J4" s="84" t="s">
        <v>130</v>
      </c>
      <c r="K4" s="91"/>
      <c r="L4" s="87">
        <v>48.0</v>
      </c>
      <c r="M4" s="87">
        <v>0.0</v>
      </c>
      <c r="N4" s="87">
        <v>0.533333</v>
      </c>
      <c r="O4" s="87">
        <v>0.0</v>
      </c>
      <c r="P4" s="87">
        <v>0.0</v>
      </c>
      <c r="Q4" s="87">
        <v>1.206743</v>
      </c>
      <c r="T4" s="84" t="s">
        <v>764</v>
      </c>
      <c r="U4" s="87">
        <v>13.49504385</v>
      </c>
    </row>
    <row r="5">
      <c r="A5" s="84" t="s">
        <v>644</v>
      </c>
      <c r="B5" s="194" t="s">
        <v>3686</v>
      </c>
      <c r="C5" s="84" t="s">
        <v>1175</v>
      </c>
      <c r="D5" s="88" t="s">
        <v>1396</v>
      </c>
      <c r="E5" s="84" t="s">
        <v>3687</v>
      </c>
      <c r="F5" s="84" t="s">
        <v>737</v>
      </c>
      <c r="G5" s="84" t="s">
        <v>3600</v>
      </c>
      <c r="H5" s="84" t="s">
        <v>3521</v>
      </c>
      <c r="I5" s="84" t="s">
        <v>3684</v>
      </c>
      <c r="J5" s="84" t="s">
        <v>130</v>
      </c>
      <c r="K5" s="91"/>
      <c r="L5" s="87">
        <v>648.0</v>
      </c>
      <c r="M5" s="87">
        <v>0.0</v>
      </c>
      <c r="N5" s="87">
        <v>3.367496</v>
      </c>
      <c r="O5" s="87">
        <v>0.196429</v>
      </c>
      <c r="P5" s="87">
        <v>1.319755</v>
      </c>
      <c r="Q5" s="87">
        <v>3.180419</v>
      </c>
      <c r="T5" s="84" t="s">
        <v>765</v>
      </c>
      <c r="U5" s="87">
        <v>3.638428238</v>
      </c>
    </row>
    <row r="6">
      <c r="A6" s="84" t="s">
        <v>264</v>
      </c>
      <c r="B6" s="194" t="s">
        <v>3688</v>
      </c>
      <c r="C6" s="84" t="s">
        <v>290</v>
      </c>
      <c r="D6" s="88" t="s">
        <v>1396</v>
      </c>
      <c r="E6" s="84" t="s">
        <v>3687</v>
      </c>
      <c r="F6" s="84" t="s">
        <v>291</v>
      </c>
      <c r="G6" s="84" t="s">
        <v>3560</v>
      </c>
      <c r="H6" s="84" t="s">
        <v>3521</v>
      </c>
      <c r="I6" s="84" t="s">
        <v>3684</v>
      </c>
      <c r="J6" s="84" t="s">
        <v>292</v>
      </c>
      <c r="L6" s="87">
        <v>816.0</v>
      </c>
      <c r="M6" s="87">
        <v>0.0</v>
      </c>
      <c r="N6" s="87">
        <v>0.052632</v>
      </c>
      <c r="O6" s="87">
        <v>0.0</v>
      </c>
      <c r="P6" s="87">
        <v>0.0</v>
      </c>
      <c r="Q6" s="87">
        <v>0.052632</v>
      </c>
      <c r="T6" s="84" t="s">
        <v>759</v>
      </c>
      <c r="U6" s="87">
        <v>6.740642691</v>
      </c>
    </row>
    <row r="7">
      <c r="A7" s="84" t="s">
        <v>107</v>
      </c>
      <c r="B7" s="194" t="s">
        <v>3689</v>
      </c>
      <c r="C7" s="84" t="s">
        <v>105</v>
      </c>
      <c r="D7" s="88" t="s">
        <v>1396</v>
      </c>
      <c r="E7" s="84" t="s">
        <v>3687</v>
      </c>
      <c r="F7" s="84" t="s">
        <v>106</v>
      </c>
      <c r="G7" s="84" t="s">
        <v>3552</v>
      </c>
      <c r="H7" s="84" t="s">
        <v>3521</v>
      </c>
      <c r="I7" s="84" t="s">
        <v>3684</v>
      </c>
      <c r="J7" s="91"/>
      <c r="K7" s="91"/>
      <c r="L7" s="87">
        <v>96.0</v>
      </c>
      <c r="M7" s="87">
        <v>0.0</v>
      </c>
      <c r="N7" s="87">
        <v>0.055556</v>
      </c>
      <c r="O7" s="87">
        <v>0.214286</v>
      </c>
      <c r="P7" s="87">
        <v>0.166667</v>
      </c>
      <c r="Q7" s="87">
        <v>0.172222</v>
      </c>
      <c r="T7" s="84" t="s">
        <v>349</v>
      </c>
      <c r="U7" s="87">
        <v>14.14935065</v>
      </c>
    </row>
    <row r="8">
      <c r="A8" s="84" t="s">
        <v>264</v>
      </c>
      <c r="B8" s="194" t="s">
        <v>3690</v>
      </c>
      <c r="C8" s="84" t="s">
        <v>280</v>
      </c>
      <c r="D8" s="88" t="s">
        <v>1396</v>
      </c>
      <c r="E8" s="84" t="s">
        <v>3687</v>
      </c>
      <c r="F8" s="84" t="s">
        <v>281</v>
      </c>
      <c r="G8" s="84" t="s">
        <v>3691</v>
      </c>
      <c r="I8" s="84" t="s">
        <v>3684</v>
      </c>
      <c r="J8" s="85"/>
      <c r="K8" s="91"/>
      <c r="L8" s="87">
        <v>480.0</v>
      </c>
      <c r="M8" s="87">
        <v>0.0</v>
      </c>
      <c r="N8" s="87">
        <v>0.0</v>
      </c>
      <c r="O8" s="87">
        <v>0.0</v>
      </c>
      <c r="P8" s="87">
        <v>0.0</v>
      </c>
      <c r="Q8" s="87">
        <v>0.0</v>
      </c>
      <c r="T8" s="84" t="s">
        <v>3637</v>
      </c>
      <c r="U8" s="87">
        <v>6.693636919</v>
      </c>
    </row>
    <row r="9">
      <c r="A9" s="84" t="s">
        <v>537</v>
      </c>
      <c r="B9" s="194" t="s">
        <v>3692</v>
      </c>
      <c r="C9" s="84" t="s">
        <v>545</v>
      </c>
      <c r="D9" s="88" t="s">
        <v>1396</v>
      </c>
      <c r="E9" s="84" t="s">
        <v>3683</v>
      </c>
      <c r="F9" s="84" t="s">
        <v>542</v>
      </c>
      <c r="G9" s="84" t="s">
        <v>3514</v>
      </c>
      <c r="H9" s="84" t="s">
        <v>3521</v>
      </c>
      <c r="I9" s="84" t="s">
        <v>3693</v>
      </c>
      <c r="J9" s="85"/>
      <c r="K9" s="84" t="s">
        <v>111</v>
      </c>
      <c r="L9" s="87">
        <v>432.0</v>
      </c>
      <c r="M9" s="87">
        <v>0.0</v>
      </c>
      <c r="N9" s="87">
        <v>0.436111</v>
      </c>
      <c r="O9" s="87">
        <v>0.0</v>
      </c>
      <c r="P9" s="87">
        <v>0.0</v>
      </c>
      <c r="Q9" s="87">
        <v>0.436111</v>
      </c>
      <c r="T9" s="84" t="s">
        <v>580</v>
      </c>
      <c r="U9" s="87">
        <v>2.90479798</v>
      </c>
    </row>
    <row r="10">
      <c r="A10" s="84" t="s">
        <v>180</v>
      </c>
      <c r="B10" s="194" t="s">
        <v>3694</v>
      </c>
      <c r="C10" s="84" t="s">
        <v>832</v>
      </c>
      <c r="D10" s="88" t="s">
        <v>1396</v>
      </c>
      <c r="E10" s="91"/>
      <c r="F10" s="84" t="s">
        <v>830</v>
      </c>
      <c r="G10" s="84" t="s">
        <v>3549</v>
      </c>
      <c r="I10" s="84" t="s">
        <v>3684</v>
      </c>
      <c r="J10" s="91"/>
      <c r="K10" s="91"/>
      <c r="L10" s="87">
        <v>432.0</v>
      </c>
      <c r="M10" s="87">
        <v>0.0</v>
      </c>
      <c r="N10" s="87">
        <v>0.0</v>
      </c>
      <c r="O10" s="87">
        <v>0.0</v>
      </c>
      <c r="P10" s="87">
        <v>0.0</v>
      </c>
      <c r="Q10" s="87">
        <v>0.0</v>
      </c>
      <c r="T10" s="84" t="s">
        <v>1314</v>
      </c>
      <c r="U10" s="87">
        <v>0.0</v>
      </c>
    </row>
    <row r="11">
      <c r="A11" s="84" t="s">
        <v>644</v>
      </c>
      <c r="B11" s="194" t="s">
        <v>3695</v>
      </c>
      <c r="C11" s="84" t="s">
        <v>738</v>
      </c>
      <c r="D11" s="88" t="s">
        <v>1396</v>
      </c>
      <c r="E11" s="91"/>
      <c r="F11" s="84" t="s">
        <v>737</v>
      </c>
      <c r="G11" s="84" t="s">
        <v>3696</v>
      </c>
      <c r="I11" s="84" t="s">
        <v>3684</v>
      </c>
      <c r="J11" s="84" t="s">
        <v>215</v>
      </c>
      <c r="L11" s="87">
        <v>480.0</v>
      </c>
      <c r="M11" s="87">
        <v>0.0</v>
      </c>
      <c r="N11" s="87">
        <v>0.0</v>
      </c>
      <c r="O11" s="87">
        <v>0.0</v>
      </c>
      <c r="P11" s="87">
        <v>0.0</v>
      </c>
      <c r="Q11" s="87">
        <v>0.0</v>
      </c>
      <c r="T11" s="84" t="s">
        <v>585</v>
      </c>
      <c r="U11" s="87">
        <v>0.0</v>
      </c>
    </row>
    <row r="12">
      <c r="A12" s="84" t="s">
        <v>393</v>
      </c>
      <c r="B12" s="194" t="s">
        <v>3697</v>
      </c>
      <c r="C12" s="84" t="s">
        <v>409</v>
      </c>
      <c r="D12" s="88" t="s">
        <v>1396</v>
      </c>
      <c r="E12" s="84" t="s">
        <v>3687</v>
      </c>
      <c r="F12" s="84" t="s">
        <v>407</v>
      </c>
      <c r="G12" s="84" t="s">
        <v>3698</v>
      </c>
      <c r="I12" s="84" t="s">
        <v>3693</v>
      </c>
      <c r="J12" s="85"/>
      <c r="K12" s="91"/>
      <c r="L12" s="87">
        <v>552.0</v>
      </c>
      <c r="M12" s="87">
        <v>0.0</v>
      </c>
      <c r="N12" s="87">
        <v>0.0</v>
      </c>
      <c r="O12" s="87">
        <v>0.0</v>
      </c>
      <c r="P12" s="87">
        <v>0.0</v>
      </c>
      <c r="Q12" s="87">
        <v>0.0</v>
      </c>
      <c r="T12" s="84" t="s">
        <v>1058</v>
      </c>
      <c r="U12" s="87">
        <v>9.234920635</v>
      </c>
    </row>
    <row r="13">
      <c r="A13" s="84" t="s">
        <v>537</v>
      </c>
      <c r="B13" s="194" t="s">
        <v>3692</v>
      </c>
      <c r="C13" s="84" t="s">
        <v>545</v>
      </c>
      <c r="D13" s="88" t="s">
        <v>1396</v>
      </c>
      <c r="E13" s="84" t="s">
        <v>3683</v>
      </c>
      <c r="F13" s="84" t="s">
        <v>542</v>
      </c>
      <c r="G13" s="84" t="s">
        <v>3514</v>
      </c>
      <c r="H13" s="84" t="s">
        <v>3521</v>
      </c>
      <c r="I13" s="84" t="s">
        <v>3693</v>
      </c>
      <c r="J13" s="84" t="s">
        <v>130</v>
      </c>
      <c r="K13" s="84" t="s">
        <v>111</v>
      </c>
      <c r="L13" s="87">
        <v>24.0</v>
      </c>
      <c r="M13" s="87">
        <v>0.0</v>
      </c>
      <c r="N13" s="87">
        <v>0.0</v>
      </c>
      <c r="O13" s="87">
        <v>0.0</v>
      </c>
      <c r="P13" s="87">
        <v>0.0</v>
      </c>
      <c r="Q13" s="87">
        <v>0.0</v>
      </c>
      <c r="T13" s="84" t="s">
        <v>584</v>
      </c>
      <c r="U13" s="87">
        <v>6.01511544</v>
      </c>
    </row>
    <row r="14">
      <c r="A14" s="84" t="s">
        <v>139</v>
      </c>
      <c r="B14" s="194" t="s">
        <v>3699</v>
      </c>
      <c r="C14" s="84" t="s">
        <v>143</v>
      </c>
      <c r="D14" s="88" t="s">
        <v>1396</v>
      </c>
      <c r="E14" s="91"/>
      <c r="F14" s="84" t="s">
        <v>144</v>
      </c>
      <c r="G14" s="84" t="s">
        <v>3700</v>
      </c>
      <c r="I14" s="84" t="s">
        <v>3684</v>
      </c>
      <c r="J14" s="84" t="s">
        <v>130</v>
      </c>
      <c r="K14" s="85"/>
      <c r="L14" s="87">
        <v>480.0</v>
      </c>
      <c r="M14" s="87">
        <v>0.0</v>
      </c>
      <c r="N14" s="87">
        <v>0.0</v>
      </c>
      <c r="O14" s="87">
        <v>0.0</v>
      </c>
      <c r="P14" s="87">
        <v>0.0</v>
      </c>
      <c r="Q14" s="87">
        <v>0.0</v>
      </c>
      <c r="T14" s="84" t="s">
        <v>903</v>
      </c>
      <c r="U14" s="87">
        <v>0.0</v>
      </c>
    </row>
    <row r="15">
      <c r="A15" s="84" t="s">
        <v>644</v>
      </c>
      <c r="B15" s="194" t="s">
        <v>3701</v>
      </c>
      <c r="C15" s="84" t="s">
        <v>1173</v>
      </c>
      <c r="D15" s="88" t="s">
        <v>1396</v>
      </c>
      <c r="E15" s="84" t="s">
        <v>3683</v>
      </c>
      <c r="F15" s="84" t="s">
        <v>1174</v>
      </c>
      <c r="G15" s="84" t="s">
        <v>3600</v>
      </c>
      <c r="I15" s="84" t="s">
        <v>3684</v>
      </c>
      <c r="J15" s="84" t="s">
        <v>215</v>
      </c>
      <c r="L15" s="87">
        <v>480.0</v>
      </c>
      <c r="M15" s="87">
        <v>0.0</v>
      </c>
      <c r="N15" s="87">
        <v>0.0</v>
      </c>
      <c r="O15" s="87">
        <v>0.0</v>
      </c>
      <c r="P15" s="87">
        <v>0.0</v>
      </c>
      <c r="Q15" s="87">
        <v>0.0</v>
      </c>
      <c r="T15" s="84" t="s">
        <v>907</v>
      </c>
      <c r="U15" s="87">
        <v>0.0</v>
      </c>
    </row>
    <row r="16">
      <c r="A16" s="84" t="s">
        <v>301</v>
      </c>
      <c r="B16" s="194" t="s">
        <v>3702</v>
      </c>
      <c r="C16" s="84" t="s">
        <v>325</v>
      </c>
      <c r="D16" s="88" t="s">
        <v>1396</v>
      </c>
      <c r="E16" s="84" t="s">
        <v>3683</v>
      </c>
      <c r="F16" s="84" t="s">
        <v>300</v>
      </c>
      <c r="G16" s="84" t="s">
        <v>3703</v>
      </c>
      <c r="H16" s="84" t="s">
        <v>3521</v>
      </c>
      <c r="I16" s="84" t="s">
        <v>3684</v>
      </c>
      <c r="J16" s="84" t="s">
        <v>130</v>
      </c>
      <c r="K16" s="91"/>
      <c r="L16" s="87">
        <v>216.0</v>
      </c>
      <c r="M16" s="87">
        <v>0.0</v>
      </c>
      <c r="N16" s="87">
        <v>0.111111</v>
      </c>
      <c r="O16" s="87">
        <v>0.0</v>
      </c>
      <c r="P16" s="87">
        <v>0.0</v>
      </c>
      <c r="Q16" s="87">
        <v>0.144444</v>
      </c>
      <c r="T16" s="84" t="s">
        <v>387</v>
      </c>
      <c r="U16" s="87">
        <v>3.62012987</v>
      </c>
    </row>
    <row r="17">
      <c r="A17" s="84" t="s">
        <v>213</v>
      </c>
      <c r="B17" s="194" t="s">
        <v>3704</v>
      </c>
      <c r="C17" s="84" t="s">
        <v>868</v>
      </c>
      <c r="D17" s="88" t="s">
        <v>1396</v>
      </c>
      <c r="E17" s="84" t="s">
        <v>3683</v>
      </c>
      <c r="F17" s="84" t="s">
        <v>869</v>
      </c>
      <c r="G17" s="84" t="s">
        <v>3554</v>
      </c>
      <c r="H17" s="84" t="s">
        <v>3521</v>
      </c>
      <c r="I17" s="84" t="s">
        <v>3684</v>
      </c>
      <c r="J17" s="91"/>
      <c r="K17" s="84" t="s">
        <v>111</v>
      </c>
      <c r="L17" s="87">
        <v>528.0</v>
      </c>
      <c r="M17" s="87">
        <v>0.0</v>
      </c>
      <c r="N17" s="87">
        <v>0.0</v>
      </c>
      <c r="O17" s="87">
        <v>0.0</v>
      </c>
      <c r="P17" s="87">
        <v>0.0</v>
      </c>
      <c r="Q17" s="87">
        <v>0.0</v>
      </c>
      <c r="T17" s="84" t="s">
        <v>381</v>
      </c>
      <c r="U17" s="87">
        <v>2.47960373</v>
      </c>
    </row>
    <row r="18">
      <c r="A18" s="84" t="s">
        <v>644</v>
      </c>
      <c r="B18" s="194" t="s">
        <v>3705</v>
      </c>
      <c r="C18" s="84" t="s">
        <v>1212</v>
      </c>
      <c r="D18" s="88" t="s">
        <v>1396</v>
      </c>
      <c r="E18" s="84" t="s">
        <v>3683</v>
      </c>
      <c r="F18" s="84" t="s">
        <v>1208</v>
      </c>
      <c r="G18" s="84" t="s">
        <v>3606</v>
      </c>
      <c r="H18" s="84" t="s">
        <v>3521</v>
      </c>
      <c r="I18" s="84" t="s">
        <v>3684</v>
      </c>
      <c r="J18" s="85"/>
      <c r="K18" s="84" t="s">
        <v>111</v>
      </c>
      <c r="L18" s="87">
        <v>264.0</v>
      </c>
      <c r="M18" s="87">
        <v>0.0</v>
      </c>
      <c r="N18" s="87">
        <v>0.0</v>
      </c>
      <c r="O18" s="87">
        <v>0.0</v>
      </c>
      <c r="P18" s="87">
        <v>0.0</v>
      </c>
      <c r="Q18" s="87">
        <v>0.0</v>
      </c>
      <c r="T18" s="84" t="s">
        <v>388</v>
      </c>
      <c r="U18" s="87">
        <v>0.0</v>
      </c>
    </row>
    <row r="19">
      <c r="A19" s="84" t="s">
        <v>644</v>
      </c>
      <c r="B19" s="194" t="s">
        <v>3706</v>
      </c>
      <c r="C19" s="84" t="s">
        <v>695</v>
      </c>
      <c r="D19" s="88" t="s">
        <v>1396</v>
      </c>
      <c r="E19" s="84" t="s">
        <v>3683</v>
      </c>
      <c r="F19" s="84" t="s">
        <v>686</v>
      </c>
      <c r="G19" s="84" t="s">
        <v>3607</v>
      </c>
      <c r="H19" s="84" t="s">
        <v>3521</v>
      </c>
      <c r="I19" s="84" t="s">
        <v>3684</v>
      </c>
      <c r="J19" s="84" t="s">
        <v>215</v>
      </c>
      <c r="L19" s="87">
        <v>624.0</v>
      </c>
      <c r="M19" s="87">
        <v>0.0</v>
      </c>
      <c r="N19" s="87">
        <v>0.229167</v>
      </c>
      <c r="O19" s="87">
        <v>0.166667</v>
      </c>
      <c r="P19" s="87">
        <v>0.104762</v>
      </c>
      <c r="Q19" s="87">
        <v>0.136377</v>
      </c>
      <c r="T19" s="84" t="s">
        <v>385</v>
      </c>
      <c r="U19" s="87">
        <v>5.356660007</v>
      </c>
    </row>
    <row r="20">
      <c r="A20" s="84" t="s">
        <v>180</v>
      </c>
      <c r="B20" s="194" t="s">
        <v>3707</v>
      </c>
      <c r="C20" s="84" t="s">
        <v>196</v>
      </c>
      <c r="D20" s="88" t="s">
        <v>1396</v>
      </c>
      <c r="E20" s="84" t="s">
        <v>3683</v>
      </c>
      <c r="F20" s="84" t="s">
        <v>190</v>
      </c>
      <c r="G20" s="84" t="s">
        <v>3708</v>
      </c>
      <c r="H20" s="84" t="s">
        <v>3521</v>
      </c>
      <c r="I20" s="84" t="s">
        <v>3709</v>
      </c>
      <c r="J20" s="91"/>
      <c r="K20" s="91"/>
      <c r="L20" s="87">
        <v>600.0</v>
      </c>
      <c r="M20" s="87">
        <v>0.0</v>
      </c>
      <c r="N20" s="87">
        <v>0.79789</v>
      </c>
      <c r="O20" s="87">
        <v>0.0</v>
      </c>
      <c r="P20" s="87">
        <v>0.0</v>
      </c>
      <c r="Q20" s="87">
        <v>0.79789</v>
      </c>
      <c r="T20" s="84" t="s">
        <v>389</v>
      </c>
      <c r="U20" s="87">
        <v>0.0</v>
      </c>
    </row>
    <row r="21">
      <c r="A21" s="84" t="s">
        <v>258</v>
      </c>
      <c r="B21" s="194" t="s">
        <v>3710</v>
      </c>
      <c r="C21" s="84" t="s">
        <v>893</v>
      </c>
      <c r="D21" s="88" t="s">
        <v>1396</v>
      </c>
      <c r="E21" s="84" t="s">
        <v>3683</v>
      </c>
      <c r="F21" s="84" t="s">
        <v>892</v>
      </c>
      <c r="G21" s="84" t="s">
        <v>3559</v>
      </c>
      <c r="H21" s="84" t="s">
        <v>3521</v>
      </c>
      <c r="I21" s="84" t="s">
        <v>3684</v>
      </c>
      <c r="J21" s="91"/>
      <c r="K21" s="91"/>
      <c r="L21" s="87">
        <v>336.0</v>
      </c>
      <c r="M21" s="87">
        <v>0.0</v>
      </c>
      <c r="N21" s="87">
        <v>0.0</v>
      </c>
      <c r="O21" s="87">
        <v>0.0</v>
      </c>
      <c r="P21" s="87">
        <v>0.0</v>
      </c>
      <c r="Q21" s="87">
        <v>0.0</v>
      </c>
      <c r="T21" s="84" t="s">
        <v>437</v>
      </c>
      <c r="U21" s="87">
        <v>0.0</v>
      </c>
    </row>
    <row r="22">
      <c r="A22" s="84" t="s">
        <v>74</v>
      </c>
      <c r="B22" s="194" t="s">
        <v>3711</v>
      </c>
      <c r="C22" s="84" t="s">
        <v>72</v>
      </c>
      <c r="D22" s="88" t="s">
        <v>1396</v>
      </c>
      <c r="E22" s="84" t="s">
        <v>3683</v>
      </c>
      <c r="F22" s="84" t="s">
        <v>73</v>
      </c>
      <c r="G22" s="84" t="s">
        <v>3712</v>
      </c>
      <c r="I22" s="84" t="s">
        <v>3684</v>
      </c>
      <c r="J22" s="91"/>
      <c r="K22" s="91"/>
      <c r="L22" s="87">
        <v>552.0</v>
      </c>
      <c r="M22" s="87">
        <v>0.0</v>
      </c>
      <c r="N22" s="87">
        <v>0.0</v>
      </c>
      <c r="O22" s="87">
        <v>0.0</v>
      </c>
      <c r="P22" s="87">
        <v>0.0</v>
      </c>
      <c r="Q22" s="87">
        <v>0.0</v>
      </c>
      <c r="T22" s="84" t="s">
        <v>400</v>
      </c>
      <c r="U22" s="87">
        <v>0.0</v>
      </c>
    </row>
    <row r="23">
      <c r="A23" s="84" t="s">
        <v>439</v>
      </c>
      <c r="B23" s="194" t="s">
        <v>3713</v>
      </c>
      <c r="C23" s="84" t="s">
        <v>3653</v>
      </c>
      <c r="D23" s="88" t="s">
        <v>1396</v>
      </c>
      <c r="E23" s="84" t="s">
        <v>3683</v>
      </c>
      <c r="F23" s="84" t="s">
        <v>3714</v>
      </c>
      <c r="G23" s="84" t="s">
        <v>3715</v>
      </c>
      <c r="H23" s="84" t="s">
        <v>3521</v>
      </c>
      <c r="I23" s="84" t="s">
        <v>3684</v>
      </c>
      <c r="J23" s="85"/>
      <c r="K23" s="84" t="s">
        <v>111</v>
      </c>
      <c r="L23" s="87">
        <v>480.0</v>
      </c>
      <c r="M23" s="87">
        <v>0.0</v>
      </c>
      <c r="N23" s="87">
        <v>0.0</v>
      </c>
      <c r="O23" s="87">
        <v>0.0</v>
      </c>
      <c r="P23" s="87">
        <v>0.0</v>
      </c>
      <c r="Q23" s="87">
        <v>0.0</v>
      </c>
      <c r="T23" s="84" t="s">
        <v>396</v>
      </c>
      <c r="U23" s="87">
        <v>0.0</v>
      </c>
    </row>
    <row r="24">
      <c r="A24" s="84" t="s">
        <v>481</v>
      </c>
      <c r="B24" s="194" t="s">
        <v>3716</v>
      </c>
      <c r="C24" s="84" t="s">
        <v>496</v>
      </c>
      <c r="D24" s="88" t="s">
        <v>1396</v>
      </c>
      <c r="E24" s="84" t="s">
        <v>3683</v>
      </c>
      <c r="F24" s="84" t="s">
        <v>491</v>
      </c>
      <c r="G24" s="84" t="s">
        <v>3560</v>
      </c>
      <c r="H24" s="84" t="s">
        <v>3521</v>
      </c>
      <c r="I24" s="84" t="s">
        <v>3684</v>
      </c>
      <c r="J24" s="91"/>
      <c r="K24" s="91"/>
      <c r="L24" s="87">
        <v>16.0</v>
      </c>
      <c r="M24" s="87">
        <v>4.0</v>
      </c>
      <c r="N24" s="87">
        <v>0.142857</v>
      </c>
      <c r="O24" s="87">
        <v>3.424242</v>
      </c>
      <c r="P24" s="87">
        <v>3.236178</v>
      </c>
      <c r="Q24" s="87">
        <v>3.581298</v>
      </c>
      <c r="T24" s="84" t="s">
        <v>470</v>
      </c>
      <c r="U24" s="87">
        <v>0.0</v>
      </c>
    </row>
    <row r="25">
      <c r="A25" s="84" t="s">
        <v>458</v>
      </c>
      <c r="B25" s="194" t="s">
        <v>3717</v>
      </c>
      <c r="C25" s="84" t="s">
        <v>464</v>
      </c>
      <c r="D25" s="88" t="s">
        <v>1396</v>
      </c>
      <c r="E25" s="84" t="s">
        <v>3683</v>
      </c>
      <c r="F25" s="84" t="s">
        <v>457</v>
      </c>
      <c r="G25" s="84" t="s">
        <v>3560</v>
      </c>
      <c r="H25" s="84" t="s">
        <v>3521</v>
      </c>
      <c r="I25" s="84" t="s">
        <v>3684</v>
      </c>
      <c r="J25" s="84" t="s">
        <v>130</v>
      </c>
      <c r="K25" s="85"/>
      <c r="L25" s="87">
        <v>24.0</v>
      </c>
      <c r="M25" s="87">
        <v>0.0</v>
      </c>
      <c r="N25" s="87">
        <v>0.0</v>
      </c>
      <c r="O25" s="87">
        <v>0.0</v>
      </c>
      <c r="P25" s="87">
        <v>0.0</v>
      </c>
      <c r="Q25" s="87">
        <v>0.0</v>
      </c>
      <c r="T25" s="84" t="s">
        <v>926</v>
      </c>
      <c r="U25" s="87">
        <v>0.654545455</v>
      </c>
    </row>
    <row r="26">
      <c r="A26" s="84" t="s">
        <v>213</v>
      </c>
      <c r="B26" s="194" t="s">
        <v>3718</v>
      </c>
      <c r="C26" s="84" t="s">
        <v>872</v>
      </c>
      <c r="D26" s="88" t="s">
        <v>1396</v>
      </c>
      <c r="E26" s="84" t="s">
        <v>3683</v>
      </c>
      <c r="F26" s="84" t="s">
        <v>869</v>
      </c>
      <c r="G26" s="84" t="s">
        <v>3554</v>
      </c>
      <c r="H26" s="84" t="s">
        <v>3521</v>
      </c>
      <c r="I26" s="84" t="s">
        <v>3684</v>
      </c>
      <c r="J26" s="91"/>
      <c r="K26" s="84" t="s">
        <v>111</v>
      </c>
      <c r="L26" s="87">
        <v>528.0</v>
      </c>
      <c r="M26" s="87">
        <v>0.0</v>
      </c>
      <c r="N26" s="87">
        <v>0.0</v>
      </c>
      <c r="O26" s="87">
        <v>0.0</v>
      </c>
      <c r="P26" s="87">
        <v>0.0</v>
      </c>
      <c r="Q26" s="87">
        <v>0.0</v>
      </c>
      <c r="T26" s="84" t="s">
        <v>3528</v>
      </c>
      <c r="U26" s="87">
        <v>7.626803752</v>
      </c>
    </row>
    <row r="27">
      <c r="A27" s="84" t="s">
        <v>2609</v>
      </c>
      <c r="B27" s="194" t="s">
        <v>3719</v>
      </c>
      <c r="C27" s="84" t="s">
        <v>1313</v>
      </c>
      <c r="D27" s="88" t="s">
        <v>1396</v>
      </c>
      <c r="E27" s="84" t="s">
        <v>3683</v>
      </c>
      <c r="F27" s="84" t="s">
        <v>3720</v>
      </c>
      <c r="G27" s="84" t="s">
        <v>3593</v>
      </c>
      <c r="H27" s="84" t="s">
        <v>3507</v>
      </c>
      <c r="I27" s="84" t="s">
        <v>3684</v>
      </c>
      <c r="J27" s="85"/>
      <c r="K27" s="91"/>
      <c r="L27" s="87">
        <v>48.0</v>
      </c>
      <c r="M27" s="87">
        <v>0.0</v>
      </c>
      <c r="N27" s="87">
        <v>0.450549</v>
      </c>
      <c r="O27" s="87">
        <v>1.307692</v>
      </c>
      <c r="P27" s="87">
        <v>1.037931</v>
      </c>
      <c r="Q27" s="87">
        <v>1.113236</v>
      </c>
      <c r="T27" s="84" t="s">
        <v>545</v>
      </c>
      <c r="U27" s="87">
        <v>1.033333333</v>
      </c>
    </row>
    <row r="28">
      <c r="A28" s="84" t="s">
        <v>644</v>
      </c>
      <c r="B28" s="194" t="s">
        <v>3721</v>
      </c>
      <c r="C28" s="84" t="s">
        <v>721</v>
      </c>
      <c r="D28" s="88" t="s">
        <v>1396</v>
      </c>
      <c r="E28" s="84" t="s">
        <v>3687</v>
      </c>
      <c r="F28" s="84" t="s">
        <v>716</v>
      </c>
      <c r="G28" s="84" t="s">
        <v>3607</v>
      </c>
      <c r="H28" s="84" t="s">
        <v>3521</v>
      </c>
      <c r="I28" s="84" t="s">
        <v>3684</v>
      </c>
      <c r="J28" s="84" t="s">
        <v>130</v>
      </c>
      <c r="K28" s="85"/>
      <c r="L28" s="87">
        <v>72.0</v>
      </c>
      <c r="M28" s="87">
        <v>0.0</v>
      </c>
      <c r="N28" s="87">
        <v>0.0</v>
      </c>
      <c r="O28" s="87">
        <v>0.0</v>
      </c>
      <c r="P28" s="87">
        <v>0.0</v>
      </c>
      <c r="Q28" s="87">
        <v>0.0</v>
      </c>
      <c r="T28" s="84" t="s">
        <v>546</v>
      </c>
      <c r="U28" s="87">
        <v>1.869047619</v>
      </c>
    </row>
    <row r="29">
      <c r="A29" s="84" t="s">
        <v>644</v>
      </c>
      <c r="B29" s="194" t="s">
        <v>3722</v>
      </c>
      <c r="C29" s="84" t="s">
        <v>656</v>
      </c>
      <c r="D29" s="88" t="s">
        <v>1396</v>
      </c>
      <c r="E29" s="84" t="s">
        <v>3683</v>
      </c>
      <c r="F29" s="84" t="s">
        <v>651</v>
      </c>
      <c r="G29" s="84" t="s">
        <v>3723</v>
      </c>
      <c r="H29" s="84" t="s">
        <v>3521</v>
      </c>
      <c r="I29" s="84" t="s">
        <v>3684</v>
      </c>
      <c r="J29" s="84" t="s">
        <v>130</v>
      </c>
      <c r="K29" s="85"/>
      <c r="L29" s="87">
        <v>24.0</v>
      </c>
      <c r="M29" s="87">
        <v>0.0</v>
      </c>
      <c r="N29" s="87">
        <v>0.0</v>
      </c>
      <c r="O29" s="87">
        <v>0.0</v>
      </c>
      <c r="P29" s="87">
        <v>0.0</v>
      </c>
      <c r="Q29" s="87">
        <v>0.0</v>
      </c>
      <c r="T29" s="84" t="s">
        <v>541</v>
      </c>
      <c r="U29" s="87">
        <v>3.177655678</v>
      </c>
    </row>
    <row r="30">
      <c r="A30" s="84" t="s">
        <v>537</v>
      </c>
      <c r="B30" s="194" t="s">
        <v>3724</v>
      </c>
      <c r="C30" s="84" t="s">
        <v>564</v>
      </c>
      <c r="D30" s="88" t="s">
        <v>1396</v>
      </c>
      <c r="E30" s="84" t="s">
        <v>3683</v>
      </c>
      <c r="F30" s="84" t="s">
        <v>558</v>
      </c>
      <c r="G30" s="84" t="s">
        <v>3602</v>
      </c>
      <c r="H30" s="84" t="s">
        <v>3521</v>
      </c>
      <c r="I30" s="84" t="s">
        <v>3693</v>
      </c>
      <c r="J30" s="84" t="s">
        <v>130</v>
      </c>
      <c r="K30" s="85"/>
      <c r="L30" s="87">
        <v>10.0</v>
      </c>
      <c r="M30" s="87">
        <v>0.0</v>
      </c>
      <c r="N30" s="87">
        <v>0.0</v>
      </c>
      <c r="O30" s="87">
        <v>0.0</v>
      </c>
      <c r="P30" s="87">
        <v>0.0</v>
      </c>
      <c r="Q30" s="87">
        <v>0.0</v>
      </c>
      <c r="T30" s="84" t="s">
        <v>812</v>
      </c>
      <c r="U30" s="87">
        <v>1.0</v>
      </c>
    </row>
    <row r="31">
      <c r="A31" s="84" t="s">
        <v>472</v>
      </c>
      <c r="B31" s="194" t="s">
        <v>3725</v>
      </c>
      <c r="C31" s="84" t="s">
        <v>1021</v>
      </c>
      <c r="D31" s="88" t="s">
        <v>1396</v>
      </c>
      <c r="E31" s="84" t="s">
        <v>3683</v>
      </c>
      <c r="F31" s="84" t="s">
        <v>1020</v>
      </c>
      <c r="G31" s="84" t="s">
        <v>3560</v>
      </c>
      <c r="H31" s="84" t="s">
        <v>3507</v>
      </c>
      <c r="I31" s="84" t="s">
        <v>3684</v>
      </c>
      <c r="J31" s="84" t="s">
        <v>130</v>
      </c>
      <c r="K31" s="91"/>
      <c r="L31" s="87">
        <v>24.0</v>
      </c>
      <c r="M31" s="87">
        <v>0.0</v>
      </c>
      <c r="N31" s="87">
        <v>0.0</v>
      </c>
      <c r="O31" s="87">
        <v>0.0</v>
      </c>
      <c r="P31" s="87">
        <v>0.0</v>
      </c>
      <c r="Q31" s="87">
        <v>0.0</v>
      </c>
      <c r="T31" s="84" t="s">
        <v>810</v>
      </c>
      <c r="U31" s="87">
        <v>0.502777778</v>
      </c>
    </row>
    <row r="32">
      <c r="A32" s="84" t="s">
        <v>180</v>
      </c>
      <c r="B32" s="194" t="s">
        <v>3726</v>
      </c>
      <c r="C32" s="84" t="s">
        <v>209</v>
      </c>
      <c r="D32" s="88" t="s">
        <v>1396</v>
      </c>
      <c r="E32" s="84" t="s">
        <v>3683</v>
      </c>
      <c r="F32" s="84" t="s">
        <v>201</v>
      </c>
      <c r="G32" s="84" t="s">
        <v>3727</v>
      </c>
      <c r="H32" s="84" t="s">
        <v>3521</v>
      </c>
      <c r="I32" s="84" t="s">
        <v>3684</v>
      </c>
      <c r="J32" s="84" t="s">
        <v>130</v>
      </c>
      <c r="K32" s="91"/>
      <c r="L32" s="87">
        <v>48.0</v>
      </c>
      <c r="M32" s="87">
        <v>0.0</v>
      </c>
      <c r="N32" s="87">
        <v>0.0</v>
      </c>
      <c r="O32" s="87">
        <v>0.0</v>
      </c>
      <c r="P32" s="87">
        <v>0.033333</v>
      </c>
      <c r="Q32" s="87">
        <v>0.05</v>
      </c>
      <c r="T32" s="84" t="s">
        <v>811</v>
      </c>
      <c r="U32" s="87">
        <v>0.83502886</v>
      </c>
    </row>
    <row r="33">
      <c r="A33" s="84" t="s">
        <v>644</v>
      </c>
      <c r="B33" s="194" t="s">
        <v>3728</v>
      </c>
      <c r="C33" s="84" t="s">
        <v>691</v>
      </c>
      <c r="D33" s="88" t="s">
        <v>1396</v>
      </c>
      <c r="E33" s="84" t="s">
        <v>3683</v>
      </c>
      <c r="F33" s="84" t="s">
        <v>686</v>
      </c>
      <c r="G33" s="84" t="s">
        <v>3607</v>
      </c>
      <c r="H33" s="84" t="s">
        <v>3521</v>
      </c>
      <c r="I33" s="84" t="s">
        <v>3684</v>
      </c>
      <c r="J33" s="84" t="s">
        <v>130</v>
      </c>
      <c r="K33" s="85"/>
      <c r="L33" s="87">
        <v>24.0</v>
      </c>
      <c r="M33" s="87">
        <v>0.0</v>
      </c>
      <c r="N33" s="87">
        <v>0.0</v>
      </c>
      <c r="O33" s="87">
        <v>0.0</v>
      </c>
      <c r="P33" s="87">
        <v>0.0</v>
      </c>
      <c r="Q33" s="87">
        <v>0.0</v>
      </c>
      <c r="T33" s="84" t="s">
        <v>1352</v>
      </c>
      <c r="U33" s="87">
        <v>3.236013986</v>
      </c>
    </row>
    <row r="34">
      <c r="A34" s="84" t="s">
        <v>264</v>
      </c>
      <c r="B34" s="194" t="s">
        <v>3729</v>
      </c>
      <c r="C34" s="84" t="s">
        <v>3638</v>
      </c>
      <c r="D34" s="88" t="s">
        <v>1396</v>
      </c>
      <c r="E34" s="84" t="s">
        <v>3683</v>
      </c>
      <c r="F34" s="84" t="s">
        <v>274</v>
      </c>
      <c r="G34" s="84" t="s">
        <v>3691</v>
      </c>
      <c r="H34" s="84" t="s">
        <v>3521</v>
      </c>
      <c r="I34" s="84" t="s">
        <v>3684</v>
      </c>
      <c r="J34" s="84" t="s">
        <v>130</v>
      </c>
      <c r="K34" s="91"/>
      <c r="L34" s="87">
        <v>24.0</v>
      </c>
      <c r="M34" s="87">
        <v>0.0</v>
      </c>
      <c r="N34" s="87">
        <v>0.0</v>
      </c>
      <c r="O34" s="87">
        <v>0.0</v>
      </c>
      <c r="P34" s="87">
        <v>0.0</v>
      </c>
      <c r="Q34" s="87">
        <v>0.0</v>
      </c>
      <c r="T34" s="84" t="s">
        <v>1249</v>
      </c>
      <c r="U34" s="87">
        <v>4.116919192</v>
      </c>
    </row>
    <row r="35">
      <c r="A35" s="84" t="s">
        <v>472</v>
      </c>
      <c r="B35" s="194" t="s">
        <v>3730</v>
      </c>
      <c r="C35" s="84" t="s">
        <v>1025</v>
      </c>
      <c r="D35" s="88" t="s">
        <v>1396</v>
      </c>
      <c r="E35" s="84" t="s">
        <v>3683</v>
      </c>
      <c r="F35" s="84" t="s">
        <v>1020</v>
      </c>
      <c r="G35" s="84" t="s">
        <v>3560</v>
      </c>
      <c r="H35" s="84" t="s">
        <v>3507</v>
      </c>
      <c r="I35" s="84" t="s">
        <v>3684</v>
      </c>
      <c r="J35" s="84" t="s">
        <v>130</v>
      </c>
      <c r="K35" s="91"/>
      <c r="L35" s="87">
        <v>24.0</v>
      </c>
      <c r="M35" s="87">
        <v>0.0</v>
      </c>
      <c r="N35" s="87">
        <v>0.0</v>
      </c>
      <c r="O35" s="87">
        <v>0.0</v>
      </c>
      <c r="P35" s="87">
        <v>0.0</v>
      </c>
      <c r="Q35" s="87">
        <v>0.0</v>
      </c>
      <c r="T35" s="84" t="s">
        <v>3731</v>
      </c>
      <c r="U35" s="87">
        <v>0.0</v>
      </c>
    </row>
    <row r="36">
      <c r="A36" s="84" t="s">
        <v>537</v>
      </c>
      <c r="B36" s="194" t="s">
        <v>3732</v>
      </c>
      <c r="C36" s="84" t="s">
        <v>1051</v>
      </c>
      <c r="D36" s="88" t="s">
        <v>1396</v>
      </c>
      <c r="E36" s="84" t="s">
        <v>3683</v>
      </c>
      <c r="F36" s="84" t="s">
        <v>1047</v>
      </c>
      <c r="G36" s="84" t="s">
        <v>3592</v>
      </c>
      <c r="H36" s="84" t="s">
        <v>3521</v>
      </c>
      <c r="I36" s="84" t="s">
        <v>3693</v>
      </c>
      <c r="J36" s="84" t="s">
        <v>130</v>
      </c>
      <c r="K36" s="85"/>
      <c r="L36" s="87">
        <v>24.0</v>
      </c>
      <c r="M36" s="87">
        <v>0.0</v>
      </c>
      <c r="N36" s="87">
        <v>0.0</v>
      </c>
      <c r="O36" s="87">
        <v>0.0</v>
      </c>
      <c r="P36" s="87">
        <v>0.0</v>
      </c>
      <c r="Q36" s="87">
        <v>0.0</v>
      </c>
      <c r="T36" s="84" t="s">
        <v>1353</v>
      </c>
      <c r="U36" s="87">
        <v>4.521348096</v>
      </c>
    </row>
    <row r="37">
      <c r="A37" s="84" t="s">
        <v>644</v>
      </c>
      <c r="B37" s="194" t="s">
        <v>3733</v>
      </c>
      <c r="C37" s="84" t="s">
        <v>649</v>
      </c>
      <c r="D37" s="88" t="s">
        <v>1396</v>
      </c>
      <c r="E37" s="84" t="s">
        <v>3683</v>
      </c>
      <c r="F37" s="84" t="s">
        <v>643</v>
      </c>
      <c r="G37" s="84" t="s">
        <v>3734</v>
      </c>
      <c r="H37" s="84" t="s">
        <v>3521</v>
      </c>
      <c r="I37" s="84" t="s">
        <v>3684</v>
      </c>
      <c r="J37" s="85"/>
      <c r="K37" s="85"/>
      <c r="L37" s="87">
        <v>524.0</v>
      </c>
      <c r="M37" s="87">
        <v>5.0</v>
      </c>
      <c r="N37" s="87">
        <v>2.677245</v>
      </c>
      <c r="O37" s="87">
        <v>12.74403</v>
      </c>
      <c r="P37" s="87">
        <v>12.82122</v>
      </c>
      <c r="Q37" s="87">
        <v>8.852539</v>
      </c>
      <c r="T37" s="84" t="s">
        <v>705</v>
      </c>
      <c r="U37" s="87">
        <v>3.328338328</v>
      </c>
    </row>
    <row r="38">
      <c r="A38" s="84" t="s">
        <v>301</v>
      </c>
      <c r="B38" s="194" t="s">
        <v>3735</v>
      </c>
      <c r="C38" s="84" t="s">
        <v>319</v>
      </c>
      <c r="D38" s="88" t="s">
        <v>1396</v>
      </c>
      <c r="E38" s="84" t="s">
        <v>3683</v>
      </c>
      <c r="F38" s="84" t="s">
        <v>300</v>
      </c>
      <c r="G38" s="84" t="s">
        <v>3703</v>
      </c>
      <c r="H38" s="84" t="s">
        <v>3521</v>
      </c>
      <c r="I38" s="84" t="s">
        <v>3684</v>
      </c>
      <c r="J38" s="84" t="s">
        <v>130</v>
      </c>
      <c r="K38" s="91"/>
      <c r="L38" s="87">
        <v>360.0</v>
      </c>
      <c r="M38" s="87">
        <v>0.0</v>
      </c>
      <c r="N38" s="87">
        <v>2.158028</v>
      </c>
      <c r="O38" s="87">
        <v>0.071429</v>
      </c>
      <c r="P38" s="87">
        <v>0.033333</v>
      </c>
      <c r="Q38" s="87">
        <v>2.324695</v>
      </c>
      <c r="T38" s="84" t="s">
        <v>972</v>
      </c>
      <c r="U38" s="87">
        <v>0.0</v>
      </c>
    </row>
    <row r="39">
      <c r="A39" s="84" t="s">
        <v>213</v>
      </c>
      <c r="B39" s="194" t="s">
        <v>3736</v>
      </c>
      <c r="C39" s="84" t="s">
        <v>859</v>
      </c>
      <c r="D39" s="88" t="s">
        <v>1396</v>
      </c>
      <c r="E39" s="84" t="s">
        <v>3683</v>
      </c>
      <c r="F39" s="84" t="s">
        <v>860</v>
      </c>
      <c r="G39" s="84" t="s">
        <v>3553</v>
      </c>
      <c r="H39" s="84" t="s">
        <v>3521</v>
      </c>
      <c r="I39" s="84" t="s">
        <v>3684</v>
      </c>
      <c r="J39" s="84" t="s">
        <v>130</v>
      </c>
      <c r="K39" s="91"/>
      <c r="L39" s="87">
        <v>120.0</v>
      </c>
      <c r="M39" s="87">
        <v>4.0</v>
      </c>
      <c r="N39" s="87">
        <v>0.5</v>
      </c>
      <c r="O39" s="87">
        <v>1.995238</v>
      </c>
      <c r="P39" s="87">
        <v>1.798764</v>
      </c>
      <c r="Q39" s="87">
        <v>1.645323</v>
      </c>
      <c r="T39" s="84" t="s">
        <v>3583</v>
      </c>
      <c r="U39" s="87">
        <v>0.0</v>
      </c>
    </row>
    <row r="40">
      <c r="A40" s="84" t="s">
        <v>107</v>
      </c>
      <c r="B40" s="194" t="s">
        <v>3737</v>
      </c>
      <c r="C40" s="84" t="s">
        <v>132</v>
      </c>
      <c r="D40" s="88" t="s">
        <v>1396</v>
      </c>
      <c r="E40" s="84" t="s">
        <v>3683</v>
      </c>
      <c r="F40" s="84" t="s">
        <v>133</v>
      </c>
      <c r="G40" s="84" t="s">
        <v>3552</v>
      </c>
      <c r="H40" s="84" t="s">
        <v>3521</v>
      </c>
      <c r="I40" s="84" t="s">
        <v>3684</v>
      </c>
      <c r="J40" s="91"/>
      <c r="K40" s="85"/>
      <c r="L40" s="87">
        <v>88.0</v>
      </c>
      <c r="M40" s="87">
        <v>1.0</v>
      </c>
      <c r="N40" s="87">
        <v>0.288837</v>
      </c>
      <c r="O40" s="87">
        <v>0.428571</v>
      </c>
      <c r="P40" s="87">
        <v>0.266667</v>
      </c>
      <c r="Q40" s="87">
        <v>0.419789</v>
      </c>
      <c r="T40" s="84" t="s">
        <v>976</v>
      </c>
      <c r="U40" s="87">
        <v>0.0</v>
      </c>
    </row>
    <row r="41">
      <c r="A41" s="84" t="s">
        <v>357</v>
      </c>
      <c r="B41" s="194" t="s">
        <v>3738</v>
      </c>
      <c r="C41" s="84" t="s">
        <v>925</v>
      </c>
      <c r="D41" s="88" t="s">
        <v>1396</v>
      </c>
      <c r="E41" s="84" t="s">
        <v>3683</v>
      </c>
      <c r="F41" s="84" t="s">
        <v>919</v>
      </c>
      <c r="G41" s="84" t="s">
        <v>3739</v>
      </c>
      <c r="H41" s="84" t="s">
        <v>3740</v>
      </c>
      <c r="I41" s="84" t="s">
        <v>3709</v>
      </c>
      <c r="J41" s="85"/>
      <c r="K41" s="84" t="s">
        <v>111</v>
      </c>
      <c r="L41" s="87">
        <v>840.0</v>
      </c>
      <c r="M41" s="87">
        <v>0.0</v>
      </c>
      <c r="N41" s="87">
        <v>7.333333</v>
      </c>
      <c r="O41" s="87">
        <v>0.0</v>
      </c>
      <c r="P41" s="87">
        <v>0.0</v>
      </c>
      <c r="Q41" s="87">
        <v>7.333333</v>
      </c>
      <c r="T41" s="84" t="s">
        <v>978</v>
      </c>
      <c r="U41" s="87">
        <v>0.0</v>
      </c>
    </row>
    <row r="42">
      <c r="A42" s="84" t="s">
        <v>630</v>
      </c>
      <c r="B42" s="194" t="s">
        <v>3741</v>
      </c>
      <c r="C42" s="84" t="s">
        <v>1105</v>
      </c>
      <c r="D42" s="88" t="s">
        <v>1396</v>
      </c>
      <c r="E42" s="84" t="s">
        <v>3683</v>
      </c>
      <c r="F42" s="84" t="s">
        <v>1104</v>
      </c>
      <c r="G42" s="84" t="s">
        <v>3602</v>
      </c>
      <c r="H42" s="84" t="s">
        <v>3521</v>
      </c>
      <c r="I42" s="84" t="s">
        <v>3684</v>
      </c>
      <c r="J42" s="91"/>
      <c r="K42" s="85"/>
      <c r="L42" s="87">
        <v>24.0</v>
      </c>
      <c r="M42" s="87">
        <v>1.0</v>
      </c>
      <c r="N42" s="87">
        <v>0.0</v>
      </c>
      <c r="O42" s="87">
        <v>6.304587</v>
      </c>
      <c r="P42" s="87">
        <v>5.767208</v>
      </c>
      <c r="Q42" s="87">
        <v>4.930076</v>
      </c>
      <c r="T42" s="84" t="s">
        <v>1228</v>
      </c>
      <c r="U42" s="87">
        <v>3.254545455</v>
      </c>
    </row>
    <row r="43">
      <c r="A43" s="84" t="s">
        <v>264</v>
      </c>
      <c r="B43" s="194" t="s">
        <v>3742</v>
      </c>
      <c r="C43" s="84" t="s">
        <v>294</v>
      </c>
      <c r="D43" s="88" t="s">
        <v>1396</v>
      </c>
      <c r="E43" s="84" t="s">
        <v>3687</v>
      </c>
      <c r="F43" s="84" t="s">
        <v>295</v>
      </c>
      <c r="G43" s="84" t="s">
        <v>3564</v>
      </c>
      <c r="H43" s="84" t="s">
        <v>3521</v>
      </c>
      <c r="I43" s="84" t="s">
        <v>3684</v>
      </c>
      <c r="J43" s="91"/>
      <c r="K43" s="85"/>
      <c r="L43" s="87">
        <v>0.0</v>
      </c>
      <c r="M43" s="87">
        <v>6.0</v>
      </c>
      <c r="N43" s="87">
        <v>0.0</v>
      </c>
      <c r="O43" s="87">
        <v>1.608308</v>
      </c>
      <c r="P43" s="87">
        <v>1.569403</v>
      </c>
      <c r="Q43" s="87">
        <v>1.632685</v>
      </c>
      <c r="T43" s="84" t="s">
        <v>1270</v>
      </c>
      <c r="U43" s="87">
        <v>12.03830891</v>
      </c>
    </row>
    <row r="44">
      <c r="A44" s="84" t="s">
        <v>139</v>
      </c>
      <c r="B44" s="194" t="s">
        <v>3743</v>
      </c>
      <c r="C44" s="84" t="s">
        <v>778</v>
      </c>
      <c r="D44" s="88" t="s">
        <v>1396</v>
      </c>
      <c r="E44" s="84" t="s">
        <v>3683</v>
      </c>
      <c r="F44" s="84" t="s">
        <v>542</v>
      </c>
      <c r="G44" s="84" t="s">
        <v>3514</v>
      </c>
      <c r="I44" s="84" t="s">
        <v>3684</v>
      </c>
      <c r="J44" s="91"/>
      <c r="K44" s="85"/>
      <c r="L44" s="87">
        <v>552.0</v>
      </c>
      <c r="M44" s="87">
        <v>0.0</v>
      </c>
      <c r="N44" s="87">
        <v>0.0</v>
      </c>
      <c r="O44" s="87">
        <v>0.0</v>
      </c>
      <c r="P44" s="87">
        <v>0.0</v>
      </c>
      <c r="Q44" s="87">
        <v>0.0</v>
      </c>
      <c r="T44" s="84" t="s">
        <v>1271</v>
      </c>
      <c r="U44" s="87">
        <v>2.924747475</v>
      </c>
    </row>
    <row r="45">
      <c r="A45" s="84" t="s">
        <v>393</v>
      </c>
      <c r="B45" s="194" t="s">
        <v>3744</v>
      </c>
      <c r="C45" s="84" t="s">
        <v>3649</v>
      </c>
      <c r="D45" s="88" t="s">
        <v>1396</v>
      </c>
      <c r="E45" s="84" t="s">
        <v>3745</v>
      </c>
      <c r="F45" s="84" t="s">
        <v>340</v>
      </c>
      <c r="G45" s="84" t="s">
        <v>3567</v>
      </c>
      <c r="H45" s="84" t="s">
        <v>3521</v>
      </c>
      <c r="I45" s="84" t="s">
        <v>3693</v>
      </c>
      <c r="J45" s="85"/>
      <c r="K45" s="91"/>
      <c r="L45" s="87">
        <v>117.0</v>
      </c>
      <c r="M45" s="87">
        <v>16.0</v>
      </c>
      <c r="N45" s="87">
        <v>2.400616</v>
      </c>
      <c r="O45" s="87">
        <v>13.4756</v>
      </c>
      <c r="P45" s="87">
        <v>12.95636</v>
      </c>
      <c r="Q45" s="87">
        <v>11.6334</v>
      </c>
      <c r="T45" s="84" t="s">
        <v>1269</v>
      </c>
      <c r="U45" s="87">
        <v>10.48906649</v>
      </c>
    </row>
    <row r="46">
      <c r="A46" s="84" t="s">
        <v>644</v>
      </c>
      <c r="B46" s="194" t="s">
        <v>3746</v>
      </c>
      <c r="C46" s="84" t="s">
        <v>1214</v>
      </c>
      <c r="D46" s="88" t="s">
        <v>1396</v>
      </c>
      <c r="E46" s="84" t="s">
        <v>3683</v>
      </c>
      <c r="F46" s="84" t="s">
        <v>850</v>
      </c>
      <c r="G46" s="84" t="s">
        <v>3551</v>
      </c>
      <c r="H46" s="84" t="s">
        <v>3521</v>
      </c>
      <c r="I46" s="84" t="s">
        <v>3684</v>
      </c>
      <c r="J46" s="91"/>
      <c r="K46" s="84" t="s">
        <v>111</v>
      </c>
      <c r="L46" s="87">
        <v>312.0</v>
      </c>
      <c r="M46" s="87">
        <v>0.0</v>
      </c>
      <c r="N46" s="87">
        <v>0.0</v>
      </c>
      <c r="O46" s="87">
        <v>0.142857</v>
      </c>
      <c r="P46" s="87">
        <v>0.080952</v>
      </c>
      <c r="Q46" s="87">
        <v>0.067227</v>
      </c>
      <c r="T46" s="84" t="s">
        <v>956</v>
      </c>
      <c r="U46" s="87">
        <v>0.142857143</v>
      </c>
    </row>
    <row r="47">
      <c r="A47" s="84" t="s">
        <v>481</v>
      </c>
      <c r="B47" s="194" t="s">
        <v>3747</v>
      </c>
      <c r="C47" s="84" t="s">
        <v>530</v>
      </c>
      <c r="D47" s="88" t="s">
        <v>1396</v>
      </c>
      <c r="E47" s="84" t="s">
        <v>3683</v>
      </c>
      <c r="F47" s="84" t="s">
        <v>526</v>
      </c>
      <c r="G47" s="84" t="s">
        <v>3593</v>
      </c>
      <c r="H47" s="84" t="s">
        <v>3521</v>
      </c>
      <c r="I47" s="84" t="s">
        <v>3684</v>
      </c>
      <c r="J47" s="84" t="s">
        <v>130</v>
      </c>
      <c r="K47" s="85"/>
      <c r="L47" s="87">
        <v>24.0</v>
      </c>
      <c r="M47" s="87">
        <v>0.0</v>
      </c>
      <c r="N47" s="87">
        <v>0.0</v>
      </c>
      <c r="O47" s="87">
        <v>0.0</v>
      </c>
      <c r="P47" s="87">
        <v>0.0</v>
      </c>
      <c r="Q47" s="87">
        <v>0.0</v>
      </c>
      <c r="T47" s="84" t="s">
        <v>1118</v>
      </c>
      <c r="U47" s="87">
        <v>0.25</v>
      </c>
    </row>
    <row r="48">
      <c r="A48" s="84" t="s">
        <v>180</v>
      </c>
      <c r="B48" s="194" t="s">
        <v>3694</v>
      </c>
      <c r="C48" s="84" t="s">
        <v>832</v>
      </c>
      <c r="D48" s="88" t="s">
        <v>1396</v>
      </c>
      <c r="E48" s="84" t="s">
        <v>3683</v>
      </c>
      <c r="F48" s="84" t="s">
        <v>830</v>
      </c>
      <c r="G48" s="84" t="s">
        <v>3549</v>
      </c>
      <c r="H48" s="84" t="s">
        <v>3507</v>
      </c>
      <c r="I48" s="84" t="s">
        <v>3684</v>
      </c>
      <c r="J48" s="91"/>
      <c r="K48" s="91"/>
      <c r="L48" s="87">
        <v>0.0</v>
      </c>
      <c r="M48" s="87">
        <v>0.0</v>
      </c>
      <c r="N48" s="87">
        <v>0.0</v>
      </c>
      <c r="O48" s="87">
        <v>0.0</v>
      </c>
      <c r="P48" s="87">
        <v>0.0</v>
      </c>
      <c r="Q48" s="87">
        <v>0.0</v>
      </c>
      <c r="T48" s="84" t="s">
        <v>1116</v>
      </c>
      <c r="U48" s="87">
        <v>0.0</v>
      </c>
    </row>
    <row r="49">
      <c r="A49" s="84" t="s">
        <v>644</v>
      </c>
      <c r="B49" s="194" t="s">
        <v>3748</v>
      </c>
      <c r="C49" s="84" t="s">
        <v>741</v>
      </c>
      <c r="D49" s="88" t="s">
        <v>1396</v>
      </c>
      <c r="E49" s="84" t="s">
        <v>3683</v>
      </c>
      <c r="F49" s="84" t="s">
        <v>144</v>
      </c>
      <c r="G49" s="84" t="s">
        <v>3700</v>
      </c>
      <c r="H49" s="84" t="s">
        <v>3521</v>
      </c>
      <c r="I49" s="84" t="s">
        <v>3684</v>
      </c>
      <c r="J49" s="91"/>
      <c r="K49" s="84" t="s">
        <v>111</v>
      </c>
      <c r="L49" s="87">
        <v>792.0</v>
      </c>
      <c r="M49" s="87">
        <v>0.0</v>
      </c>
      <c r="N49" s="87">
        <v>0.0</v>
      </c>
      <c r="O49" s="87">
        <v>0.0</v>
      </c>
      <c r="P49" s="87">
        <v>0.0</v>
      </c>
      <c r="Q49" s="87">
        <v>0.0</v>
      </c>
      <c r="T49" s="84" t="s">
        <v>1119</v>
      </c>
      <c r="U49" s="87">
        <v>0.0</v>
      </c>
    </row>
    <row r="50">
      <c r="A50" s="84" t="s">
        <v>258</v>
      </c>
      <c r="B50" s="194" t="s">
        <v>3749</v>
      </c>
      <c r="C50" s="84" t="s">
        <v>886</v>
      </c>
      <c r="D50" s="88" t="s">
        <v>1396</v>
      </c>
      <c r="E50" s="84" t="s">
        <v>3683</v>
      </c>
      <c r="F50" s="84" t="s">
        <v>884</v>
      </c>
      <c r="G50" s="84" t="s">
        <v>3558</v>
      </c>
      <c r="I50" s="84" t="s">
        <v>3684</v>
      </c>
      <c r="J50" s="85"/>
      <c r="K50" s="91"/>
      <c r="L50" s="87">
        <v>552.0</v>
      </c>
      <c r="M50" s="87">
        <v>0.0</v>
      </c>
      <c r="N50" s="87">
        <v>0.0</v>
      </c>
      <c r="O50" s="87">
        <v>0.0</v>
      </c>
      <c r="P50" s="87">
        <v>0.0</v>
      </c>
      <c r="Q50" s="87">
        <v>0.0</v>
      </c>
      <c r="T50" s="84" t="s">
        <v>361</v>
      </c>
      <c r="U50" s="87">
        <v>0.0</v>
      </c>
    </row>
    <row r="51">
      <c r="A51" s="84" t="s">
        <v>644</v>
      </c>
      <c r="B51" s="194" t="s">
        <v>3750</v>
      </c>
      <c r="C51" s="84" t="s">
        <v>735</v>
      </c>
      <c r="D51" s="88" t="s">
        <v>1396</v>
      </c>
      <c r="E51" s="84" t="s">
        <v>3683</v>
      </c>
      <c r="F51" s="84" t="s">
        <v>3751</v>
      </c>
      <c r="G51" s="84" t="s">
        <v>3752</v>
      </c>
      <c r="H51" s="84" t="s">
        <v>3521</v>
      </c>
      <c r="I51" s="84" t="s">
        <v>3684</v>
      </c>
      <c r="J51" s="84" t="s">
        <v>215</v>
      </c>
      <c r="L51" s="87">
        <v>216.0</v>
      </c>
      <c r="M51" s="87">
        <v>0.0</v>
      </c>
      <c r="N51" s="87">
        <v>7.624423</v>
      </c>
      <c r="O51" s="87">
        <v>0.142857</v>
      </c>
      <c r="P51" s="87">
        <v>0.066667</v>
      </c>
      <c r="Q51" s="87">
        <v>7.941089</v>
      </c>
      <c r="T51" s="84" t="s">
        <v>366</v>
      </c>
      <c r="U51" s="87">
        <v>0.0</v>
      </c>
    </row>
    <row r="52">
      <c r="A52" s="84" t="s">
        <v>393</v>
      </c>
      <c r="B52" s="194" t="s">
        <v>3753</v>
      </c>
      <c r="C52" s="84" t="s">
        <v>413</v>
      </c>
      <c r="D52" s="88" t="s">
        <v>1396</v>
      </c>
      <c r="E52" s="84" t="s">
        <v>3683</v>
      </c>
      <c r="F52" s="84" t="s">
        <v>352</v>
      </c>
      <c r="G52" s="84" t="s">
        <v>3754</v>
      </c>
      <c r="H52" s="84" t="s">
        <v>3521</v>
      </c>
      <c r="I52" s="84" t="s">
        <v>3693</v>
      </c>
      <c r="J52" s="84" t="s">
        <v>130</v>
      </c>
      <c r="K52" s="84" t="s">
        <v>111</v>
      </c>
      <c r="L52" s="87">
        <v>48.0</v>
      </c>
      <c r="M52" s="87">
        <v>0.0</v>
      </c>
      <c r="N52" s="87">
        <v>0.0</v>
      </c>
      <c r="O52" s="87">
        <v>0.0</v>
      </c>
      <c r="P52" s="87">
        <v>0.0</v>
      </c>
      <c r="Q52" s="87">
        <v>0.0</v>
      </c>
      <c r="T52" s="84" t="s">
        <v>1105</v>
      </c>
      <c r="U52" s="87">
        <v>1.334582085</v>
      </c>
    </row>
    <row r="53">
      <c r="A53" s="84" t="s">
        <v>180</v>
      </c>
      <c r="B53" s="194" t="s">
        <v>3755</v>
      </c>
      <c r="C53" s="84" t="s">
        <v>812</v>
      </c>
      <c r="D53" s="88" t="s">
        <v>1396</v>
      </c>
      <c r="E53" s="84" t="s">
        <v>3683</v>
      </c>
      <c r="F53" s="84" t="s">
        <v>542</v>
      </c>
      <c r="G53" s="84" t="s">
        <v>3514</v>
      </c>
      <c r="H53" s="84" t="s">
        <v>3513</v>
      </c>
      <c r="I53" s="84" t="s">
        <v>3684</v>
      </c>
      <c r="J53" s="84" t="s">
        <v>130</v>
      </c>
      <c r="K53" s="85"/>
      <c r="L53" s="87">
        <v>0.0</v>
      </c>
      <c r="M53" s="87">
        <v>0.0</v>
      </c>
      <c r="N53" s="87">
        <v>0.0</v>
      </c>
      <c r="O53" s="87">
        <v>0.0</v>
      </c>
      <c r="P53" s="87">
        <v>0.033333</v>
      </c>
      <c r="Q53" s="87">
        <v>0.033333</v>
      </c>
      <c r="T53" s="84" t="s">
        <v>1103</v>
      </c>
      <c r="U53" s="87">
        <v>0.0</v>
      </c>
    </row>
    <row r="54">
      <c r="A54" s="84" t="s">
        <v>481</v>
      </c>
      <c r="B54" s="194" t="s">
        <v>3756</v>
      </c>
      <c r="C54" s="84" t="s">
        <v>1309</v>
      </c>
      <c r="D54" s="88" t="s">
        <v>1396</v>
      </c>
      <c r="E54" s="84" t="s">
        <v>3683</v>
      </c>
      <c r="F54" s="84" t="s">
        <v>3757</v>
      </c>
      <c r="G54" s="84" t="s">
        <v>3593</v>
      </c>
      <c r="H54" s="84" t="s">
        <v>3521</v>
      </c>
      <c r="I54" s="84" t="s">
        <v>3684</v>
      </c>
      <c r="J54" s="85"/>
      <c r="K54" s="91"/>
      <c r="L54" s="87">
        <v>0.0</v>
      </c>
      <c r="M54" s="87">
        <v>0.0</v>
      </c>
      <c r="N54" s="87">
        <v>0.0</v>
      </c>
      <c r="O54" s="87">
        <v>0.071429</v>
      </c>
      <c r="P54" s="87">
        <v>0.033333</v>
      </c>
      <c r="Q54" s="87">
        <v>0.050575</v>
      </c>
      <c r="T54" s="84" t="s">
        <v>1106</v>
      </c>
      <c r="U54" s="87">
        <v>5.976190476</v>
      </c>
    </row>
    <row r="55">
      <c r="A55" s="84" t="s">
        <v>481</v>
      </c>
      <c r="B55" s="194" t="s">
        <v>3758</v>
      </c>
      <c r="C55" s="84" t="s">
        <v>1007</v>
      </c>
      <c r="D55" s="88" t="s">
        <v>1396</v>
      </c>
      <c r="E55" s="84" t="s">
        <v>3683</v>
      </c>
      <c r="F55" s="84" t="s">
        <v>989</v>
      </c>
      <c r="G55" s="84" t="s">
        <v>3585</v>
      </c>
      <c r="H55" s="84" t="s">
        <v>3521</v>
      </c>
      <c r="I55" s="84" t="s">
        <v>3684</v>
      </c>
      <c r="J55" s="84" t="s">
        <v>292</v>
      </c>
      <c r="L55" s="87">
        <v>24.0</v>
      </c>
      <c r="M55" s="87">
        <v>1.0</v>
      </c>
      <c r="N55" s="87">
        <v>0.0</v>
      </c>
      <c r="O55" s="87">
        <v>0.714286</v>
      </c>
      <c r="P55" s="87">
        <v>0.633333</v>
      </c>
      <c r="Q55" s="87">
        <v>0.8736</v>
      </c>
      <c r="T55" s="84" t="s">
        <v>256</v>
      </c>
      <c r="U55" s="87">
        <v>0.0</v>
      </c>
    </row>
    <row r="56">
      <c r="A56" s="84" t="s">
        <v>180</v>
      </c>
      <c r="B56" s="194" t="s">
        <v>3759</v>
      </c>
      <c r="C56" s="84" t="s">
        <v>817</v>
      </c>
      <c r="D56" s="88" t="s">
        <v>1396</v>
      </c>
      <c r="E56" s="84" t="s">
        <v>3683</v>
      </c>
      <c r="F56" s="84" t="s">
        <v>814</v>
      </c>
      <c r="G56" s="84" t="s">
        <v>3533</v>
      </c>
      <c r="H56" s="84" t="s">
        <v>3521</v>
      </c>
      <c r="I56" s="84" t="s">
        <v>3684</v>
      </c>
      <c r="J56" s="91"/>
      <c r="K56" s="84" t="s">
        <v>111</v>
      </c>
      <c r="L56" s="87">
        <v>456.0</v>
      </c>
      <c r="M56" s="87">
        <v>0.0</v>
      </c>
      <c r="N56" s="87">
        <v>0.081667</v>
      </c>
      <c r="O56" s="87">
        <v>0.0</v>
      </c>
      <c r="P56" s="87">
        <v>0.333333</v>
      </c>
      <c r="Q56" s="87">
        <v>0.081667</v>
      </c>
      <c r="T56" s="84" t="s">
        <v>1234</v>
      </c>
      <c r="U56" s="87">
        <v>0.0</v>
      </c>
    </row>
    <row r="57">
      <c r="A57" s="84" t="s">
        <v>393</v>
      </c>
      <c r="B57" s="194" t="s">
        <v>3760</v>
      </c>
      <c r="C57" s="84" t="s">
        <v>391</v>
      </c>
      <c r="D57" s="88" t="s">
        <v>1396</v>
      </c>
      <c r="E57" s="84" t="s">
        <v>3687</v>
      </c>
      <c r="F57" s="84" t="s">
        <v>392</v>
      </c>
      <c r="G57" s="84" t="s">
        <v>3761</v>
      </c>
      <c r="H57" s="84" t="s">
        <v>3521</v>
      </c>
      <c r="I57" s="84" t="s">
        <v>3693</v>
      </c>
      <c r="J57" s="84" t="s">
        <v>130</v>
      </c>
      <c r="K57" s="91"/>
      <c r="L57" s="87">
        <v>240.0</v>
      </c>
      <c r="M57" s="87">
        <v>1.0</v>
      </c>
      <c r="N57" s="87">
        <v>1.352707</v>
      </c>
      <c r="O57" s="87">
        <v>1.421703</v>
      </c>
      <c r="P57" s="87">
        <v>3.463169</v>
      </c>
      <c r="Q57" s="87">
        <v>1.916473</v>
      </c>
      <c r="T57" s="84" t="s">
        <v>1235</v>
      </c>
      <c r="U57" s="87">
        <v>0.0</v>
      </c>
    </row>
    <row r="58">
      <c r="A58" s="84" t="s">
        <v>481</v>
      </c>
      <c r="B58" s="194" t="s">
        <v>3762</v>
      </c>
      <c r="C58" s="84" t="s">
        <v>1008</v>
      </c>
      <c r="D58" s="88" t="s">
        <v>1396</v>
      </c>
      <c r="E58" s="84" t="s">
        <v>3683</v>
      </c>
      <c r="F58" s="84" t="s">
        <v>989</v>
      </c>
      <c r="G58" s="84" t="s">
        <v>3585</v>
      </c>
      <c r="H58" s="84" t="s">
        <v>3521</v>
      </c>
      <c r="I58" s="84" t="s">
        <v>3684</v>
      </c>
      <c r="J58" s="84" t="s">
        <v>130</v>
      </c>
      <c r="K58" s="85"/>
      <c r="L58" s="87">
        <v>24.0</v>
      </c>
      <c r="M58" s="87">
        <v>0.0</v>
      </c>
      <c r="N58" s="87">
        <v>0.0</v>
      </c>
      <c r="O58" s="87">
        <v>0.0</v>
      </c>
      <c r="P58" s="87">
        <v>0.033333</v>
      </c>
      <c r="Q58" s="87">
        <v>0.05</v>
      </c>
      <c r="T58" s="84" t="s">
        <v>1231</v>
      </c>
      <c r="U58" s="87">
        <v>0.0</v>
      </c>
    </row>
    <row r="59">
      <c r="A59" s="84" t="s">
        <v>472</v>
      </c>
      <c r="B59" s="194" t="s">
        <v>3763</v>
      </c>
      <c r="C59" s="84" t="s">
        <v>1027</v>
      </c>
      <c r="D59" s="88" t="s">
        <v>1396</v>
      </c>
      <c r="E59" s="84" t="s">
        <v>3683</v>
      </c>
      <c r="F59" s="91"/>
      <c r="G59" s="84" t="s">
        <v>3587</v>
      </c>
      <c r="I59" s="84" t="s">
        <v>3684</v>
      </c>
      <c r="J59" s="91"/>
      <c r="K59" s="91"/>
      <c r="L59" s="87">
        <v>120.0</v>
      </c>
      <c r="M59" s="87">
        <v>0.0</v>
      </c>
      <c r="N59" s="87">
        <v>0.0</v>
      </c>
      <c r="O59" s="87">
        <v>0.0</v>
      </c>
      <c r="P59" s="87">
        <v>0.0</v>
      </c>
      <c r="Q59" s="87">
        <v>0.0</v>
      </c>
      <c r="T59" s="84" t="s">
        <v>1233</v>
      </c>
      <c r="U59" s="87">
        <v>0.0</v>
      </c>
    </row>
    <row r="60">
      <c r="A60" s="84" t="s">
        <v>363</v>
      </c>
      <c r="B60" s="194" t="s">
        <v>3764</v>
      </c>
      <c r="C60" s="84" t="s">
        <v>932</v>
      </c>
      <c r="D60" s="88" t="s">
        <v>1396</v>
      </c>
      <c r="E60" s="84" t="s">
        <v>3687</v>
      </c>
      <c r="F60" s="84" t="s">
        <v>927</v>
      </c>
      <c r="G60" s="84" t="s">
        <v>3565</v>
      </c>
      <c r="H60" s="87">
        <v>0.0</v>
      </c>
      <c r="I60" s="84" t="s">
        <v>3709</v>
      </c>
      <c r="J60" s="84" t="s">
        <v>130</v>
      </c>
      <c r="K60" s="85"/>
      <c r="L60" s="87">
        <v>24.0</v>
      </c>
      <c r="M60" s="87">
        <v>0.0</v>
      </c>
      <c r="N60" s="87">
        <v>0.0</v>
      </c>
      <c r="O60" s="87">
        <v>0.0</v>
      </c>
      <c r="P60" s="87">
        <v>0.0</v>
      </c>
      <c r="Q60" s="87">
        <v>0.0</v>
      </c>
      <c r="T60" s="84" t="s">
        <v>688</v>
      </c>
      <c r="U60" s="87">
        <v>0.0</v>
      </c>
    </row>
    <row r="61">
      <c r="A61" s="84" t="s">
        <v>630</v>
      </c>
      <c r="B61" s="194" t="s">
        <v>3765</v>
      </c>
      <c r="C61" s="84" t="s">
        <v>637</v>
      </c>
      <c r="D61" s="88" t="s">
        <v>1396</v>
      </c>
      <c r="E61" s="84" t="s">
        <v>3683</v>
      </c>
      <c r="F61" s="84" t="s">
        <v>629</v>
      </c>
      <c r="G61" s="84" t="s">
        <v>3766</v>
      </c>
      <c r="H61" s="84" t="s">
        <v>3521</v>
      </c>
      <c r="I61" s="84" t="s">
        <v>3684</v>
      </c>
      <c r="J61" s="84" t="s">
        <v>130</v>
      </c>
      <c r="K61" s="85"/>
      <c r="L61" s="87">
        <v>24.0</v>
      </c>
      <c r="M61" s="87">
        <v>0.0</v>
      </c>
      <c r="N61" s="87">
        <v>0.0</v>
      </c>
      <c r="O61" s="87">
        <v>0.0</v>
      </c>
      <c r="P61" s="87">
        <v>0.0</v>
      </c>
      <c r="Q61" s="87">
        <v>0.0</v>
      </c>
      <c r="T61" s="84" t="s">
        <v>685</v>
      </c>
      <c r="U61" s="87">
        <v>1.0</v>
      </c>
    </row>
    <row r="62">
      <c r="A62" s="84" t="s">
        <v>537</v>
      </c>
      <c r="B62" s="194" t="s">
        <v>3767</v>
      </c>
      <c r="C62" s="84" t="s">
        <v>1053</v>
      </c>
      <c r="D62" s="88" t="s">
        <v>1396</v>
      </c>
      <c r="E62" s="84" t="s">
        <v>3683</v>
      </c>
      <c r="F62" s="84" t="s">
        <v>1047</v>
      </c>
      <c r="G62" s="84" t="s">
        <v>3592</v>
      </c>
      <c r="H62" s="84" t="s">
        <v>3521</v>
      </c>
      <c r="I62" s="84" t="s">
        <v>3693</v>
      </c>
      <c r="J62" s="84" t="s">
        <v>130</v>
      </c>
      <c r="K62" s="91"/>
      <c r="L62" s="87">
        <v>24.0</v>
      </c>
      <c r="M62" s="87">
        <v>0.0</v>
      </c>
      <c r="N62" s="87">
        <v>0.0</v>
      </c>
      <c r="O62" s="87">
        <v>0.0</v>
      </c>
      <c r="P62" s="87">
        <v>0.0</v>
      </c>
      <c r="Q62" s="87">
        <v>0.0</v>
      </c>
      <c r="T62" s="84" t="s">
        <v>689</v>
      </c>
      <c r="U62" s="87">
        <v>0.0</v>
      </c>
    </row>
    <row r="63">
      <c r="A63" s="84" t="s">
        <v>258</v>
      </c>
      <c r="B63" s="194" t="s">
        <v>3768</v>
      </c>
      <c r="C63" s="84" t="s">
        <v>897</v>
      </c>
      <c r="D63" s="88" t="s">
        <v>1396</v>
      </c>
      <c r="E63" s="84" t="s">
        <v>3683</v>
      </c>
      <c r="F63" s="84" t="s">
        <v>898</v>
      </c>
      <c r="G63" s="84" t="s">
        <v>3560</v>
      </c>
      <c r="H63" s="84" t="s">
        <v>3521</v>
      </c>
      <c r="I63" s="84" t="s">
        <v>3684</v>
      </c>
      <c r="J63" s="85"/>
      <c r="K63" s="84" t="s">
        <v>111</v>
      </c>
      <c r="L63" s="87">
        <v>312.0</v>
      </c>
      <c r="M63" s="87">
        <v>0.0</v>
      </c>
      <c r="N63" s="87">
        <v>0.224524</v>
      </c>
      <c r="O63" s="87">
        <v>0.0</v>
      </c>
      <c r="P63" s="87">
        <v>0.5</v>
      </c>
      <c r="Q63" s="87">
        <v>0.224524</v>
      </c>
      <c r="T63" s="84" t="s">
        <v>690</v>
      </c>
      <c r="U63" s="87">
        <v>0.277777778</v>
      </c>
    </row>
    <row r="64">
      <c r="A64" s="84" t="s">
        <v>363</v>
      </c>
      <c r="B64" s="193" t="s">
        <v>3769</v>
      </c>
      <c r="C64" s="84" t="s">
        <v>374</v>
      </c>
      <c r="D64" s="88" t="s">
        <v>1396</v>
      </c>
      <c r="E64" s="84" t="s">
        <v>3683</v>
      </c>
      <c r="F64" s="84" t="s">
        <v>370</v>
      </c>
      <c r="G64" s="84" t="s">
        <v>3770</v>
      </c>
      <c r="H64" s="84" t="s">
        <v>3527</v>
      </c>
      <c r="I64" s="84" t="s">
        <v>3709</v>
      </c>
      <c r="J64" s="84" t="s">
        <v>130</v>
      </c>
      <c r="K64" s="84" t="s">
        <v>111</v>
      </c>
      <c r="L64" s="87">
        <v>816.0</v>
      </c>
      <c r="M64" s="87">
        <v>0.0</v>
      </c>
      <c r="N64" s="87">
        <v>0.0</v>
      </c>
      <c r="O64" s="87">
        <v>0.0</v>
      </c>
      <c r="P64" s="87">
        <v>0.0</v>
      </c>
      <c r="Q64" s="87">
        <v>0.0</v>
      </c>
      <c r="T64" s="84" t="s">
        <v>697</v>
      </c>
      <c r="U64" s="87">
        <v>0.0</v>
      </c>
    </row>
    <row r="65">
      <c r="A65" s="84" t="s">
        <v>568</v>
      </c>
      <c r="B65" s="194" t="s">
        <v>3771</v>
      </c>
      <c r="C65" s="84" t="s">
        <v>566</v>
      </c>
      <c r="D65" s="88" t="s">
        <v>1396</v>
      </c>
      <c r="E65" s="84" t="s">
        <v>3687</v>
      </c>
      <c r="F65" s="84" t="s">
        <v>567</v>
      </c>
      <c r="G65" s="84" t="s">
        <v>3772</v>
      </c>
      <c r="H65" s="84" t="s">
        <v>3521</v>
      </c>
      <c r="I65" s="84" t="s">
        <v>3684</v>
      </c>
      <c r="J65" s="84" t="s">
        <v>89</v>
      </c>
      <c r="K65" s="85"/>
      <c r="L65" s="87">
        <v>0.0</v>
      </c>
      <c r="M65" s="87">
        <v>1.0</v>
      </c>
      <c r="N65" s="87">
        <v>0.0</v>
      </c>
      <c r="O65" s="87">
        <v>1.071429</v>
      </c>
      <c r="P65" s="87">
        <v>0.833333</v>
      </c>
      <c r="Q65" s="87">
        <v>0.719697</v>
      </c>
      <c r="T65" s="84" t="s">
        <v>704</v>
      </c>
      <c r="U65" s="87">
        <v>0.0</v>
      </c>
    </row>
    <row r="66">
      <c r="A66" s="84" t="s">
        <v>107</v>
      </c>
      <c r="B66" s="194" t="s">
        <v>3773</v>
      </c>
      <c r="C66" s="84" t="s">
        <v>113</v>
      </c>
      <c r="D66" s="88" t="s">
        <v>1396</v>
      </c>
      <c r="E66" s="84" t="s">
        <v>3683</v>
      </c>
      <c r="F66" s="84" t="s">
        <v>106</v>
      </c>
      <c r="G66" s="84" t="s">
        <v>3552</v>
      </c>
      <c r="H66" s="84" t="s">
        <v>3521</v>
      </c>
      <c r="I66" s="84" t="s">
        <v>3684</v>
      </c>
      <c r="J66" s="91"/>
      <c r="K66" s="84" t="s">
        <v>111</v>
      </c>
      <c r="L66" s="87">
        <v>768.0</v>
      </c>
      <c r="M66" s="87">
        <v>0.0</v>
      </c>
      <c r="N66" s="87">
        <v>0.0</v>
      </c>
      <c r="O66" s="87">
        <v>0.0</v>
      </c>
      <c r="P66" s="87">
        <v>0.033333</v>
      </c>
      <c r="Q66" s="87">
        <v>0.018868</v>
      </c>
      <c r="T66" s="84" t="s">
        <v>691</v>
      </c>
      <c r="U66" s="87">
        <v>1.0</v>
      </c>
    </row>
    <row r="67">
      <c r="A67" s="84" t="s">
        <v>616</v>
      </c>
      <c r="B67" s="194" t="s">
        <v>3774</v>
      </c>
      <c r="C67" s="84" t="s">
        <v>627</v>
      </c>
      <c r="D67" s="88" t="s">
        <v>1396</v>
      </c>
      <c r="E67" s="84" t="s">
        <v>3683</v>
      </c>
      <c r="F67" s="84" t="s">
        <v>621</v>
      </c>
      <c r="G67" s="84" t="s">
        <v>3552</v>
      </c>
      <c r="H67" s="84" t="s">
        <v>3521</v>
      </c>
      <c r="I67" s="84" t="s">
        <v>3684</v>
      </c>
      <c r="J67" s="91"/>
      <c r="K67" s="91"/>
      <c r="L67" s="87">
        <v>54.0</v>
      </c>
      <c r="M67" s="87">
        <v>9.0</v>
      </c>
      <c r="N67" s="87">
        <v>1.318681</v>
      </c>
      <c r="O67" s="87">
        <v>8.312854</v>
      </c>
      <c r="P67" s="87">
        <v>6.987455</v>
      </c>
      <c r="Q67" s="87">
        <v>5.225365</v>
      </c>
      <c r="T67" s="84" t="s">
        <v>696</v>
      </c>
      <c r="U67" s="87">
        <v>0.0</v>
      </c>
    </row>
    <row r="68">
      <c r="A68" s="84" t="s">
        <v>573</v>
      </c>
      <c r="B68" s="194" t="s">
        <v>3775</v>
      </c>
      <c r="C68" s="84" t="s">
        <v>1314</v>
      </c>
      <c r="D68" s="88" t="s">
        <v>1396</v>
      </c>
      <c r="E68" s="84" t="s">
        <v>3683</v>
      </c>
      <c r="F68" s="84" t="s">
        <v>581</v>
      </c>
      <c r="G68" s="84" t="s">
        <v>3594</v>
      </c>
      <c r="H68" s="84" t="s">
        <v>3527</v>
      </c>
      <c r="I68" s="84" t="s">
        <v>3709</v>
      </c>
      <c r="J68" s="91"/>
      <c r="K68" s="84" t="s">
        <v>111</v>
      </c>
      <c r="L68" s="87">
        <v>1248.0</v>
      </c>
      <c r="M68" s="87">
        <v>0.0</v>
      </c>
      <c r="N68" s="87">
        <v>0.0</v>
      </c>
      <c r="O68" s="87">
        <v>0.0</v>
      </c>
      <c r="P68" s="87">
        <v>0.0</v>
      </c>
      <c r="Q68" s="87">
        <v>0.0</v>
      </c>
      <c r="T68" s="84" t="s">
        <v>702</v>
      </c>
      <c r="U68" s="87">
        <v>0.142857143</v>
      </c>
    </row>
    <row r="69">
      <c r="A69" s="84" t="s">
        <v>644</v>
      </c>
      <c r="B69" s="194" t="s">
        <v>3776</v>
      </c>
      <c r="C69" s="84" t="s">
        <v>1202</v>
      </c>
      <c r="D69" s="88" t="s">
        <v>1396</v>
      </c>
      <c r="E69" s="84" t="s">
        <v>3683</v>
      </c>
      <c r="F69" s="84" t="s">
        <v>1203</v>
      </c>
      <c r="G69" s="84" t="s">
        <v>3600</v>
      </c>
      <c r="H69" s="84" t="s">
        <v>3521</v>
      </c>
      <c r="I69" s="84" t="s">
        <v>3684</v>
      </c>
      <c r="J69" s="84" t="s">
        <v>130</v>
      </c>
      <c r="K69" s="91"/>
      <c r="L69" s="87">
        <v>528.0</v>
      </c>
      <c r="M69" s="87">
        <v>0.0</v>
      </c>
      <c r="N69" s="87">
        <v>2.621245</v>
      </c>
      <c r="O69" s="87">
        <v>0.71978</v>
      </c>
      <c r="P69" s="87">
        <v>0.382834</v>
      </c>
      <c r="Q69" s="87">
        <v>2.316551</v>
      </c>
      <c r="T69" s="84" t="s">
        <v>1248</v>
      </c>
      <c r="U69" s="87">
        <v>0.194444444</v>
      </c>
    </row>
    <row r="70">
      <c r="A70" s="84" t="s">
        <v>573</v>
      </c>
      <c r="B70" s="194" t="s">
        <v>3777</v>
      </c>
      <c r="C70" s="84" t="s">
        <v>571</v>
      </c>
      <c r="D70" s="88" t="s">
        <v>1396</v>
      </c>
      <c r="E70" s="84" t="s">
        <v>3683</v>
      </c>
      <c r="F70" s="84" t="s">
        <v>572</v>
      </c>
      <c r="G70" s="84" t="s">
        <v>3778</v>
      </c>
      <c r="H70" s="84" t="s">
        <v>3521</v>
      </c>
      <c r="I70" s="84" t="s">
        <v>3709</v>
      </c>
      <c r="J70" s="91"/>
      <c r="K70" s="91"/>
      <c r="L70" s="87">
        <v>44.0</v>
      </c>
      <c r="M70" s="87">
        <v>13.0</v>
      </c>
      <c r="N70" s="87">
        <v>1.372727</v>
      </c>
      <c r="O70" s="87">
        <v>7.333081</v>
      </c>
      <c r="P70" s="87">
        <v>7.206357</v>
      </c>
      <c r="Q70" s="87">
        <v>6.419979</v>
      </c>
      <c r="T70" s="84" t="s">
        <v>703</v>
      </c>
      <c r="U70" s="87">
        <v>2.0</v>
      </c>
    </row>
    <row r="71">
      <c r="A71" s="84" t="s">
        <v>444</v>
      </c>
      <c r="B71" s="194" t="s">
        <v>3779</v>
      </c>
      <c r="C71" s="84" t="s">
        <v>451</v>
      </c>
      <c r="D71" s="88" t="s">
        <v>1396</v>
      </c>
      <c r="E71" s="84" t="s">
        <v>3683</v>
      </c>
      <c r="F71" s="84" t="s">
        <v>448</v>
      </c>
      <c r="G71" s="84" t="s">
        <v>3577</v>
      </c>
      <c r="H71" s="84" t="s">
        <v>3521</v>
      </c>
      <c r="I71" s="84" t="s">
        <v>3684</v>
      </c>
      <c r="J71" s="91"/>
      <c r="K71" s="91"/>
      <c r="L71" s="87">
        <v>168.0</v>
      </c>
      <c r="M71" s="87">
        <v>0.0</v>
      </c>
      <c r="N71" s="87">
        <v>0.593276</v>
      </c>
      <c r="O71" s="87">
        <v>0.547619</v>
      </c>
      <c r="P71" s="87">
        <v>1.390977</v>
      </c>
      <c r="Q71" s="87">
        <v>0.541334</v>
      </c>
      <c r="T71" s="84" t="s">
        <v>687</v>
      </c>
      <c r="U71" s="87">
        <v>0.0</v>
      </c>
    </row>
    <row r="72">
      <c r="A72" s="84" t="s">
        <v>601</v>
      </c>
      <c r="B72" s="194" t="s">
        <v>3780</v>
      </c>
      <c r="C72" s="84" t="s">
        <v>1068</v>
      </c>
      <c r="D72" s="88" t="s">
        <v>1396</v>
      </c>
      <c r="E72" s="91"/>
      <c r="F72" s="84" t="s">
        <v>340</v>
      </c>
      <c r="G72" s="84" t="s">
        <v>3595</v>
      </c>
      <c r="I72" s="84" t="s">
        <v>3684</v>
      </c>
      <c r="J72" s="91"/>
      <c r="K72" s="91"/>
      <c r="L72" s="87">
        <v>456.0</v>
      </c>
      <c r="M72" s="87">
        <v>0.0</v>
      </c>
      <c r="N72" s="87">
        <v>0.0</v>
      </c>
      <c r="O72" s="87">
        <v>0.0</v>
      </c>
      <c r="P72" s="87">
        <v>0.0</v>
      </c>
      <c r="Q72" s="87">
        <v>0.0</v>
      </c>
      <c r="T72" s="84" t="s">
        <v>693</v>
      </c>
      <c r="U72" s="87">
        <v>0.0</v>
      </c>
    </row>
    <row r="73">
      <c r="A73" s="84" t="s">
        <v>537</v>
      </c>
      <c r="B73" s="194" t="s">
        <v>3781</v>
      </c>
      <c r="C73" s="84" t="s">
        <v>535</v>
      </c>
      <c r="D73" s="88" t="s">
        <v>1396</v>
      </c>
      <c r="E73" s="84" t="s">
        <v>3683</v>
      </c>
      <c r="F73" s="84" t="s">
        <v>536</v>
      </c>
      <c r="G73" s="84" t="s">
        <v>3782</v>
      </c>
      <c r="I73" s="84" t="s">
        <v>3693</v>
      </c>
      <c r="J73" s="84" t="s">
        <v>130</v>
      </c>
      <c r="K73" s="85"/>
      <c r="L73" s="87">
        <v>552.0</v>
      </c>
      <c r="M73" s="87">
        <v>0.0</v>
      </c>
      <c r="N73" s="87">
        <v>0.0</v>
      </c>
      <c r="O73" s="87">
        <v>0.0</v>
      </c>
      <c r="P73" s="87">
        <v>0.0</v>
      </c>
      <c r="Q73" s="87">
        <v>0.0</v>
      </c>
      <c r="T73" s="84" t="s">
        <v>692</v>
      </c>
      <c r="U73" s="87">
        <v>0.0</v>
      </c>
    </row>
    <row r="74">
      <c r="A74" s="84" t="s">
        <v>472</v>
      </c>
      <c r="B74" s="193" t="s">
        <v>3783</v>
      </c>
      <c r="C74" s="84" t="s">
        <v>1009</v>
      </c>
      <c r="D74" s="88" t="s">
        <v>1396</v>
      </c>
      <c r="E74" s="84" t="s">
        <v>3683</v>
      </c>
      <c r="F74" s="84" t="s">
        <v>1010</v>
      </c>
      <c r="G74" s="84" t="s">
        <v>3593</v>
      </c>
      <c r="H74" s="84" t="s">
        <v>3507</v>
      </c>
      <c r="I74" s="84" t="s">
        <v>3684</v>
      </c>
      <c r="J74" s="84" t="s">
        <v>130</v>
      </c>
      <c r="K74" s="84" t="s">
        <v>111</v>
      </c>
      <c r="L74" s="87">
        <v>816.0</v>
      </c>
      <c r="M74" s="87">
        <v>0.0</v>
      </c>
      <c r="N74" s="87">
        <v>0.0</v>
      </c>
      <c r="O74" s="87">
        <v>0.0</v>
      </c>
      <c r="P74" s="87">
        <v>0.0</v>
      </c>
      <c r="Q74" s="87">
        <v>0.0</v>
      </c>
      <c r="T74" s="84" t="s">
        <v>699</v>
      </c>
      <c r="U74" s="87">
        <v>0.0</v>
      </c>
    </row>
    <row r="75">
      <c r="A75" s="84" t="s">
        <v>644</v>
      </c>
      <c r="B75" s="194" t="s">
        <v>3784</v>
      </c>
      <c r="C75" s="84" t="s">
        <v>1227</v>
      </c>
      <c r="D75" s="88" t="s">
        <v>1396</v>
      </c>
      <c r="E75" s="84" t="s">
        <v>3683</v>
      </c>
      <c r="F75" s="84" t="s">
        <v>1224</v>
      </c>
      <c r="G75" s="84" t="s">
        <v>3551</v>
      </c>
      <c r="H75" s="84" t="s">
        <v>3521</v>
      </c>
      <c r="I75" s="84" t="s">
        <v>3684</v>
      </c>
      <c r="J75" s="85"/>
      <c r="K75" s="85"/>
      <c r="L75" s="87">
        <v>10.0</v>
      </c>
      <c r="M75" s="87">
        <v>4.0</v>
      </c>
      <c r="N75" s="87">
        <v>0.0</v>
      </c>
      <c r="O75" s="87">
        <v>3.859424</v>
      </c>
      <c r="P75" s="87">
        <v>3.263014</v>
      </c>
      <c r="Q75" s="87">
        <v>2.467261</v>
      </c>
      <c r="T75" s="84" t="s">
        <v>701</v>
      </c>
      <c r="U75" s="87">
        <v>0.0</v>
      </c>
    </row>
    <row r="76">
      <c r="A76" s="84" t="s">
        <v>1130</v>
      </c>
      <c r="B76" s="194" t="s">
        <v>3785</v>
      </c>
      <c r="C76" s="84" t="s">
        <v>1154</v>
      </c>
      <c r="D76" s="88" t="s">
        <v>1396</v>
      </c>
      <c r="E76" s="84" t="s">
        <v>3683</v>
      </c>
      <c r="F76" s="84" t="s">
        <v>1142</v>
      </c>
      <c r="G76" s="84" t="s">
        <v>3605</v>
      </c>
      <c r="H76" s="84" t="s">
        <v>3521</v>
      </c>
      <c r="I76" s="84" t="s">
        <v>3684</v>
      </c>
      <c r="J76" s="84" t="s">
        <v>130</v>
      </c>
      <c r="K76" s="91"/>
      <c r="L76" s="87">
        <v>48.0</v>
      </c>
      <c r="M76" s="87">
        <v>0.0</v>
      </c>
      <c r="N76" s="87">
        <v>0.090909</v>
      </c>
      <c r="O76" s="87">
        <v>0.162338</v>
      </c>
      <c r="P76" s="87">
        <v>0.108832</v>
      </c>
      <c r="Q76" s="87">
        <v>0.082553</v>
      </c>
      <c r="T76" s="84" t="s">
        <v>695</v>
      </c>
      <c r="U76" s="87">
        <v>0.0</v>
      </c>
    </row>
    <row r="77">
      <c r="A77" s="84" t="s">
        <v>107</v>
      </c>
      <c r="B77" s="194" t="s">
        <v>3786</v>
      </c>
      <c r="C77" s="84" t="s">
        <v>118</v>
      </c>
      <c r="D77" s="88" t="s">
        <v>1396</v>
      </c>
      <c r="E77" s="84" t="s">
        <v>3683</v>
      </c>
      <c r="F77" s="84" t="s">
        <v>119</v>
      </c>
      <c r="G77" s="84" t="s">
        <v>3552</v>
      </c>
      <c r="H77" s="84" t="s">
        <v>3521</v>
      </c>
      <c r="I77" s="84" t="s">
        <v>3684</v>
      </c>
      <c r="J77" s="91"/>
      <c r="K77" s="84" t="s">
        <v>111</v>
      </c>
      <c r="L77" s="87">
        <v>888.0</v>
      </c>
      <c r="M77" s="87">
        <v>0.0</v>
      </c>
      <c r="N77" s="87">
        <v>0.0</v>
      </c>
      <c r="O77" s="87">
        <v>0.0</v>
      </c>
      <c r="P77" s="87">
        <v>0.0</v>
      </c>
      <c r="Q77" s="87">
        <v>0.0</v>
      </c>
      <c r="T77" s="84" t="s">
        <v>698</v>
      </c>
      <c r="U77" s="87">
        <v>0.0</v>
      </c>
    </row>
    <row r="78">
      <c r="A78" s="84" t="s">
        <v>107</v>
      </c>
      <c r="B78" s="194" t="s">
        <v>3787</v>
      </c>
      <c r="C78" s="84" t="s">
        <v>767</v>
      </c>
      <c r="D78" s="88" t="s">
        <v>1396</v>
      </c>
      <c r="E78" s="84" t="s">
        <v>3683</v>
      </c>
      <c r="F78" s="84" t="s">
        <v>768</v>
      </c>
      <c r="G78" s="84" t="s">
        <v>3508</v>
      </c>
      <c r="H78" s="84" t="s">
        <v>3521</v>
      </c>
      <c r="I78" s="84" t="s">
        <v>3684</v>
      </c>
      <c r="J78" s="84" t="s">
        <v>130</v>
      </c>
      <c r="K78" s="85"/>
      <c r="L78" s="87">
        <v>24.0</v>
      </c>
      <c r="M78" s="87">
        <v>0.0</v>
      </c>
      <c r="N78" s="87">
        <v>0.0</v>
      </c>
      <c r="O78" s="87">
        <v>0.0</v>
      </c>
      <c r="P78" s="87">
        <v>0.0</v>
      </c>
      <c r="Q78" s="87">
        <v>0.0</v>
      </c>
      <c r="T78" s="84" t="s">
        <v>700</v>
      </c>
      <c r="U78" s="87">
        <v>0.0</v>
      </c>
    </row>
    <row r="79">
      <c r="A79" s="84" t="s">
        <v>644</v>
      </c>
      <c r="B79" s="194" t="s">
        <v>3788</v>
      </c>
      <c r="C79" s="84" t="s">
        <v>674</v>
      </c>
      <c r="D79" s="88" t="s">
        <v>1396</v>
      </c>
      <c r="E79" s="84" t="s">
        <v>3683</v>
      </c>
      <c r="F79" s="84" t="s">
        <v>670</v>
      </c>
      <c r="G79" s="84" t="s">
        <v>3789</v>
      </c>
      <c r="H79" s="84" t="s">
        <v>3521</v>
      </c>
      <c r="I79" s="84" t="s">
        <v>3684</v>
      </c>
      <c r="J79" s="91"/>
      <c r="K79" s="85"/>
      <c r="L79" s="87">
        <v>45.0</v>
      </c>
      <c r="M79" s="87">
        <v>11.0</v>
      </c>
      <c r="N79" s="87">
        <v>0.0</v>
      </c>
      <c r="O79" s="87">
        <v>21.29629</v>
      </c>
      <c r="P79" s="87">
        <v>22.74263</v>
      </c>
      <c r="Q79" s="87">
        <v>17.85478</v>
      </c>
      <c r="T79" s="84" t="s">
        <v>694</v>
      </c>
      <c r="U79" s="87">
        <v>0.0</v>
      </c>
    </row>
    <row r="80">
      <c r="A80" s="84" t="s">
        <v>644</v>
      </c>
      <c r="B80" s="194" t="s">
        <v>3790</v>
      </c>
      <c r="C80" s="84" t="s">
        <v>702</v>
      </c>
      <c r="D80" s="88" t="s">
        <v>1396</v>
      </c>
      <c r="E80" s="84" t="s">
        <v>3683</v>
      </c>
      <c r="F80" s="84" t="s">
        <v>686</v>
      </c>
      <c r="G80" s="84" t="s">
        <v>3607</v>
      </c>
      <c r="H80" s="84" t="s">
        <v>3521</v>
      </c>
      <c r="I80" s="84" t="s">
        <v>3684</v>
      </c>
      <c r="J80" s="84" t="s">
        <v>215</v>
      </c>
      <c r="K80" s="84" t="s">
        <v>111</v>
      </c>
      <c r="L80" s="87">
        <v>72.0</v>
      </c>
      <c r="M80" s="87">
        <v>0.0</v>
      </c>
      <c r="N80" s="87">
        <v>0.142857</v>
      </c>
      <c r="O80" s="87">
        <v>0.142857</v>
      </c>
      <c r="P80" s="87">
        <v>0.122266</v>
      </c>
      <c r="Q80" s="87">
        <v>0.054765</v>
      </c>
      <c r="T80" s="84" t="s">
        <v>715</v>
      </c>
      <c r="U80" s="87">
        <v>0.0</v>
      </c>
    </row>
    <row r="81">
      <c r="A81" s="84" t="s">
        <v>74</v>
      </c>
      <c r="B81" s="194" t="s">
        <v>3791</v>
      </c>
      <c r="C81" s="84" t="s">
        <v>85</v>
      </c>
      <c r="D81" s="88" t="s">
        <v>1396</v>
      </c>
      <c r="E81" s="84" t="s">
        <v>3683</v>
      </c>
      <c r="F81" s="84" t="s">
        <v>73</v>
      </c>
      <c r="G81" s="84" t="s">
        <v>3712</v>
      </c>
      <c r="H81" s="84" t="s">
        <v>3521</v>
      </c>
      <c r="I81" s="84" t="s">
        <v>3684</v>
      </c>
      <c r="J81" s="85"/>
      <c r="K81" s="85"/>
      <c r="L81" s="87">
        <v>46.0</v>
      </c>
      <c r="M81" s="87">
        <v>0.0</v>
      </c>
      <c r="N81" s="87">
        <v>0.0</v>
      </c>
      <c r="O81" s="87">
        <v>0.0</v>
      </c>
      <c r="P81" s="87">
        <v>0.0</v>
      </c>
      <c r="Q81" s="87">
        <v>0.016667</v>
      </c>
      <c r="T81" s="84" t="s">
        <v>1253</v>
      </c>
      <c r="U81" s="87">
        <v>0.253968254</v>
      </c>
    </row>
    <row r="82">
      <c r="A82" s="84" t="s">
        <v>644</v>
      </c>
      <c r="B82" s="194" t="s">
        <v>3792</v>
      </c>
      <c r="C82" s="84" t="s">
        <v>655</v>
      </c>
      <c r="D82" s="88" t="s">
        <v>1396</v>
      </c>
      <c r="E82" s="84" t="s">
        <v>3683</v>
      </c>
      <c r="F82" s="84" t="s">
        <v>651</v>
      </c>
      <c r="G82" s="84" t="s">
        <v>3723</v>
      </c>
      <c r="H82" s="84" t="s">
        <v>3521</v>
      </c>
      <c r="I82" s="84" t="s">
        <v>3684</v>
      </c>
      <c r="J82" s="84" t="s">
        <v>130</v>
      </c>
      <c r="K82" s="91"/>
      <c r="L82" s="87">
        <v>24.0</v>
      </c>
      <c r="M82" s="87">
        <v>0.0</v>
      </c>
      <c r="N82" s="87">
        <v>0.0</v>
      </c>
      <c r="O82" s="87">
        <v>0.0</v>
      </c>
      <c r="P82" s="87">
        <v>0.0</v>
      </c>
      <c r="Q82" s="87">
        <v>0.0</v>
      </c>
      <c r="T82" s="84" t="s">
        <v>721</v>
      </c>
      <c r="U82" s="87">
        <v>0.0</v>
      </c>
    </row>
    <row r="83">
      <c r="A83" s="84" t="s">
        <v>601</v>
      </c>
      <c r="B83" s="194" t="s">
        <v>3793</v>
      </c>
      <c r="C83" s="84" t="s">
        <v>3636</v>
      </c>
      <c r="D83" s="88" t="s">
        <v>1396</v>
      </c>
      <c r="E83" s="84" t="s">
        <v>3683</v>
      </c>
      <c r="F83" s="84" t="s">
        <v>3794</v>
      </c>
      <c r="G83" s="84" t="s">
        <v>3562</v>
      </c>
      <c r="H83" s="84" t="s">
        <v>3521</v>
      </c>
      <c r="I83" s="84" t="s">
        <v>3684</v>
      </c>
      <c r="J83" s="84" t="s">
        <v>130</v>
      </c>
      <c r="K83" s="91"/>
      <c r="L83" s="87">
        <v>24.0</v>
      </c>
      <c r="M83" s="87">
        <v>0.0</v>
      </c>
      <c r="N83" s="87">
        <v>0.0</v>
      </c>
      <c r="O83" s="87">
        <v>0.0</v>
      </c>
      <c r="P83" s="87">
        <v>0.0</v>
      </c>
      <c r="Q83" s="87">
        <v>0.0</v>
      </c>
      <c r="T83" s="84" t="s">
        <v>135</v>
      </c>
      <c r="U83" s="87">
        <v>0.290909091</v>
      </c>
    </row>
    <row r="84">
      <c r="A84" s="84" t="s">
        <v>74</v>
      </c>
      <c r="B84" s="194" t="s">
        <v>3795</v>
      </c>
      <c r="C84" s="84" t="s">
        <v>1344</v>
      </c>
      <c r="D84" s="88" t="s">
        <v>1396</v>
      </c>
      <c r="E84" s="84" t="s">
        <v>3683</v>
      </c>
      <c r="F84" s="84" t="s">
        <v>3796</v>
      </c>
      <c r="G84" s="91"/>
      <c r="H84" s="84" t="s">
        <v>3521</v>
      </c>
      <c r="I84" s="84" t="s">
        <v>3684</v>
      </c>
      <c r="J84" s="84" t="s">
        <v>130</v>
      </c>
      <c r="K84" s="91"/>
      <c r="L84" s="87">
        <v>24.0</v>
      </c>
      <c r="M84" s="87">
        <v>0.0</v>
      </c>
      <c r="N84" s="87">
        <v>0.0</v>
      </c>
      <c r="O84" s="87">
        <v>0.0</v>
      </c>
      <c r="P84" s="87">
        <v>0.0</v>
      </c>
      <c r="Q84" s="87">
        <v>0.0</v>
      </c>
      <c r="T84" s="84" t="s">
        <v>129</v>
      </c>
      <c r="U84" s="87">
        <v>2.0</v>
      </c>
    </row>
    <row r="85">
      <c r="A85" s="84" t="s">
        <v>644</v>
      </c>
      <c r="B85" s="194" t="s">
        <v>3706</v>
      </c>
      <c r="C85" s="84" t="s">
        <v>695</v>
      </c>
      <c r="D85" s="88" t="s">
        <v>1396</v>
      </c>
      <c r="E85" s="84" t="s">
        <v>3683</v>
      </c>
      <c r="F85" s="84" t="s">
        <v>686</v>
      </c>
      <c r="G85" s="84" t="s">
        <v>3607</v>
      </c>
      <c r="H85" s="84" t="s">
        <v>3521</v>
      </c>
      <c r="I85" s="84" t="s">
        <v>3684</v>
      </c>
      <c r="J85" s="84" t="s">
        <v>130</v>
      </c>
      <c r="K85" s="85"/>
      <c r="L85" s="87">
        <v>24.0</v>
      </c>
      <c r="M85" s="87">
        <v>0.0</v>
      </c>
      <c r="N85" s="87">
        <v>0.0</v>
      </c>
      <c r="O85" s="87">
        <v>0.0</v>
      </c>
      <c r="P85" s="87">
        <v>0.0</v>
      </c>
      <c r="Q85" s="87">
        <v>0.0</v>
      </c>
      <c r="T85" s="84" t="s">
        <v>123</v>
      </c>
      <c r="U85" s="87">
        <v>0.0</v>
      </c>
    </row>
    <row r="86">
      <c r="A86" s="84" t="s">
        <v>444</v>
      </c>
      <c r="B86" s="194" t="s">
        <v>3797</v>
      </c>
      <c r="C86" s="84" t="s">
        <v>447</v>
      </c>
      <c r="D86" s="88" t="s">
        <v>1396</v>
      </c>
      <c r="E86" s="84" t="s">
        <v>3683</v>
      </c>
      <c r="F86" s="84" t="s">
        <v>448</v>
      </c>
      <c r="G86" s="84" t="s">
        <v>3577</v>
      </c>
      <c r="H86" s="84" t="s">
        <v>3521</v>
      </c>
      <c r="I86" s="84" t="s">
        <v>3684</v>
      </c>
      <c r="J86" s="84" t="s">
        <v>130</v>
      </c>
      <c r="K86" s="85"/>
      <c r="L86" s="87">
        <v>24.0</v>
      </c>
      <c r="M86" s="87">
        <v>0.0</v>
      </c>
      <c r="N86" s="87">
        <v>0.0</v>
      </c>
      <c r="O86" s="87">
        <v>0.0</v>
      </c>
      <c r="P86" s="87">
        <v>0.0</v>
      </c>
      <c r="Q86" s="87">
        <v>0.0</v>
      </c>
      <c r="T86" s="84" t="s">
        <v>125</v>
      </c>
      <c r="U86" s="87">
        <v>0.0</v>
      </c>
    </row>
    <row r="87">
      <c r="A87" s="84" t="s">
        <v>74</v>
      </c>
      <c r="B87" s="194" t="s">
        <v>3798</v>
      </c>
      <c r="C87" s="84" t="s">
        <v>100</v>
      </c>
      <c r="D87" s="88" t="s">
        <v>1396</v>
      </c>
      <c r="E87" s="84" t="s">
        <v>3683</v>
      </c>
      <c r="F87" s="84" t="s">
        <v>73</v>
      </c>
      <c r="G87" s="84" t="s">
        <v>3712</v>
      </c>
      <c r="H87" s="84" t="s">
        <v>3521</v>
      </c>
      <c r="I87" s="84" t="s">
        <v>3684</v>
      </c>
      <c r="J87" s="91"/>
      <c r="K87" s="85"/>
      <c r="L87" s="87">
        <v>0.0</v>
      </c>
      <c r="M87" s="87">
        <v>4.0</v>
      </c>
      <c r="N87" s="87">
        <v>0.0</v>
      </c>
      <c r="O87" s="87">
        <v>1.879121</v>
      </c>
      <c r="P87" s="87">
        <v>1.808128</v>
      </c>
      <c r="Q87" s="87">
        <v>1.637738</v>
      </c>
      <c r="T87" s="84" t="s">
        <v>118</v>
      </c>
      <c r="U87" s="87">
        <v>0.0</v>
      </c>
    </row>
    <row r="88">
      <c r="A88" s="84" t="s">
        <v>537</v>
      </c>
      <c r="B88" s="194" t="s">
        <v>3724</v>
      </c>
      <c r="C88" s="84" t="s">
        <v>564</v>
      </c>
      <c r="D88" s="88" t="s">
        <v>1396</v>
      </c>
      <c r="E88" s="91"/>
      <c r="F88" s="84" t="s">
        <v>558</v>
      </c>
      <c r="G88" s="84" t="s">
        <v>3602</v>
      </c>
      <c r="I88" s="84" t="s">
        <v>3693</v>
      </c>
      <c r="J88" s="91"/>
      <c r="K88" s="91"/>
      <c r="L88" s="87">
        <v>432.0</v>
      </c>
      <c r="M88" s="87">
        <v>0.0</v>
      </c>
      <c r="N88" s="87">
        <v>0.0</v>
      </c>
      <c r="O88" s="87">
        <v>0.0</v>
      </c>
      <c r="P88" s="87">
        <v>0.0</v>
      </c>
      <c r="Q88" s="87">
        <v>0.0</v>
      </c>
      <c r="T88" s="84" t="s">
        <v>778</v>
      </c>
      <c r="U88" s="87">
        <v>12.26161061</v>
      </c>
    </row>
    <row r="89">
      <c r="A89" s="84" t="s">
        <v>644</v>
      </c>
      <c r="B89" s="194" t="s">
        <v>3799</v>
      </c>
      <c r="C89" s="84" t="s">
        <v>723</v>
      </c>
      <c r="D89" s="88" t="s">
        <v>1396</v>
      </c>
      <c r="E89" s="84" t="s">
        <v>3683</v>
      </c>
      <c r="F89" s="84" t="s">
        <v>708</v>
      </c>
      <c r="G89" s="84" t="s">
        <v>3607</v>
      </c>
      <c r="H89" s="84" t="s">
        <v>3521</v>
      </c>
      <c r="I89" s="84" t="s">
        <v>3684</v>
      </c>
      <c r="J89" s="84" t="s">
        <v>215</v>
      </c>
      <c r="K89" s="84" t="s">
        <v>111</v>
      </c>
      <c r="L89" s="87">
        <v>48.0</v>
      </c>
      <c r="M89" s="87">
        <v>0.0</v>
      </c>
      <c r="N89" s="87">
        <v>0.0</v>
      </c>
      <c r="O89" s="87">
        <v>0.071429</v>
      </c>
      <c r="P89" s="87">
        <v>0.033333</v>
      </c>
      <c r="Q89" s="87">
        <v>0.016667</v>
      </c>
      <c r="T89" s="84" t="s">
        <v>1246</v>
      </c>
      <c r="U89" s="87">
        <v>0.0</v>
      </c>
    </row>
    <row r="90">
      <c r="A90" s="84" t="s">
        <v>472</v>
      </c>
      <c r="B90" s="194" t="s">
        <v>3763</v>
      </c>
      <c r="C90" s="84" t="s">
        <v>1027</v>
      </c>
      <c r="D90" s="88" t="s">
        <v>1396</v>
      </c>
      <c r="E90" s="84" t="s">
        <v>3683</v>
      </c>
      <c r="F90" s="91"/>
      <c r="G90" s="84" t="s">
        <v>3587</v>
      </c>
      <c r="H90" s="84" t="s">
        <v>3521</v>
      </c>
      <c r="I90" s="84" t="s">
        <v>3684</v>
      </c>
      <c r="J90" s="91"/>
      <c r="K90" s="85"/>
      <c r="L90" s="87">
        <v>432.0</v>
      </c>
      <c r="M90" s="87">
        <v>0.0</v>
      </c>
      <c r="N90" s="87">
        <v>0.0</v>
      </c>
      <c r="O90" s="87">
        <v>0.0</v>
      </c>
      <c r="P90" s="87">
        <v>0.0</v>
      </c>
      <c r="Q90" s="87">
        <v>0.0</v>
      </c>
      <c r="T90" s="84" t="s">
        <v>1243</v>
      </c>
      <c r="U90" s="87">
        <v>0.0</v>
      </c>
    </row>
    <row r="91">
      <c r="A91" s="84" t="s">
        <v>644</v>
      </c>
      <c r="B91" s="194" t="s">
        <v>3800</v>
      </c>
      <c r="C91" s="84" t="s">
        <v>661</v>
      </c>
      <c r="D91" s="88" t="s">
        <v>1396</v>
      </c>
      <c r="E91" s="84" t="s">
        <v>3683</v>
      </c>
      <c r="F91" s="84" t="s">
        <v>658</v>
      </c>
      <c r="G91" s="84" t="s">
        <v>3801</v>
      </c>
      <c r="H91" s="84" t="s">
        <v>3521</v>
      </c>
      <c r="I91" s="84" t="s">
        <v>3684</v>
      </c>
      <c r="J91" s="85"/>
      <c r="K91" s="84" t="s">
        <v>111</v>
      </c>
      <c r="L91" s="87">
        <v>696.0</v>
      </c>
      <c r="M91" s="87">
        <v>0.0</v>
      </c>
      <c r="N91" s="87">
        <v>0.0</v>
      </c>
      <c r="O91" s="87">
        <v>0.0</v>
      </c>
      <c r="P91" s="87">
        <v>0.033333</v>
      </c>
      <c r="Q91" s="87">
        <v>0.016667</v>
      </c>
      <c r="T91" s="84" t="s">
        <v>1245</v>
      </c>
      <c r="U91" s="87">
        <v>0.0</v>
      </c>
    </row>
    <row r="92">
      <c r="A92" s="84" t="s">
        <v>644</v>
      </c>
      <c r="B92" s="194" t="s">
        <v>3802</v>
      </c>
      <c r="C92" s="84" t="s">
        <v>1352</v>
      </c>
      <c r="D92" s="88" t="s">
        <v>1396</v>
      </c>
      <c r="E92" s="84" t="s">
        <v>3683</v>
      </c>
      <c r="F92" s="84" t="s">
        <v>706</v>
      </c>
      <c r="G92" s="84" t="s">
        <v>3547</v>
      </c>
      <c r="H92" s="84" t="s">
        <v>3521</v>
      </c>
      <c r="I92" s="84" t="s">
        <v>3684</v>
      </c>
      <c r="J92" s="85"/>
      <c r="K92" s="84" t="s">
        <v>111</v>
      </c>
      <c r="L92" s="87">
        <v>624.0</v>
      </c>
      <c r="M92" s="87">
        <v>0.0</v>
      </c>
      <c r="N92" s="87">
        <v>0.5</v>
      </c>
      <c r="O92" s="87">
        <v>0.0</v>
      </c>
      <c r="P92" s="87">
        <v>0.0</v>
      </c>
      <c r="Q92" s="87">
        <v>0.5</v>
      </c>
      <c r="T92" s="84" t="s">
        <v>3638</v>
      </c>
      <c r="U92" s="87">
        <v>1.254834055</v>
      </c>
    </row>
    <row r="93">
      <c r="A93" s="84" t="s">
        <v>481</v>
      </c>
      <c r="B93" s="194" t="s">
        <v>3803</v>
      </c>
      <c r="C93" s="84" t="s">
        <v>993</v>
      </c>
      <c r="D93" s="88" t="s">
        <v>1396</v>
      </c>
      <c r="E93" s="84" t="s">
        <v>3683</v>
      </c>
      <c r="F93" s="84" t="s">
        <v>989</v>
      </c>
      <c r="G93" s="84" t="s">
        <v>3585</v>
      </c>
      <c r="H93" s="84" t="s">
        <v>3521</v>
      </c>
      <c r="I93" s="84" t="s">
        <v>3684</v>
      </c>
      <c r="J93" s="91"/>
      <c r="K93" s="91"/>
      <c r="L93" s="87">
        <v>24.0</v>
      </c>
      <c r="M93" s="87">
        <v>0.0</v>
      </c>
      <c r="N93" s="87">
        <v>0.0</v>
      </c>
      <c r="O93" s="87">
        <v>1.0</v>
      </c>
      <c r="P93" s="87">
        <v>0.9</v>
      </c>
      <c r="Q93" s="87">
        <v>0.955351</v>
      </c>
      <c r="T93" s="84" t="s">
        <v>278</v>
      </c>
      <c r="U93" s="87">
        <v>0.410714286</v>
      </c>
    </row>
    <row r="94">
      <c r="A94" s="84" t="s">
        <v>616</v>
      </c>
      <c r="B94" s="194" t="s">
        <v>3804</v>
      </c>
      <c r="C94" s="84" t="s">
        <v>1078</v>
      </c>
      <c r="D94" s="88" t="s">
        <v>1396</v>
      </c>
      <c r="E94" s="84" t="s">
        <v>3683</v>
      </c>
      <c r="F94" s="84" t="s">
        <v>1075</v>
      </c>
      <c r="G94" s="84" t="s">
        <v>3542</v>
      </c>
      <c r="H94" s="84" t="s">
        <v>3521</v>
      </c>
      <c r="I94" s="84" t="s">
        <v>3684</v>
      </c>
      <c r="J94" s="91"/>
      <c r="K94" s="84" t="s">
        <v>111</v>
      </c>
      <c r="L94" s="87">
        <v>480.0</v>
      </c>
      <c r="M94" s="87">
        <v>0.0</v>
      </c>
      <c r="N94" s="87">
        <v>0.121324</v>
      </c>
      <c r="O94" s="87">
        <v>0.0</v>
      </c>
      <c r="P94" s="87">
        <v>0.472222</v>
      </c>
      <c r="Q94" s="87">
        <v>0.121324</v>
      </c>
      <c r="T94" s="84" t="s">
        <v>922</v>
      </c>
      <c r="U94" s="87">
        <v>0.0</v>
      </c>
    </row>
    <row r="95">
      <c r="A95" s="84" t="s">
        <v>180</v>
      </c>
      <c r="B95" s="194" t="s">
        <v>3805</v>
      </c>
      <c r="C95" s="84" t="s">
        <v>189</v>
      </c>
      <c r="D95" s="88" t="s">
        <v>1396</v>
      </c>
      <c r="E95" s="84" t="s">
        <v>3683</v>
      </c>
      <c r="F95" s="84" t="s">
        <v>190</v>
      </c>
      <c r="G95" s="84" t="s">
        <v>3708</v>
      </c>
      <c r="H95" s="84" t="s">
        <v>3521</v>
      </c>
      <c r="I95" s="84" t="s">
        <v>3709</v>
      </c>
      <c r="J95" s="85"/>
      <c r="K95" s="85"/>
      <c r="L95" s="87">
        <v>624.0</v>
      </c>
      <c r="M95" s="87">
        <v>0.0</v>
      </c>
      <c r="N95" s="87">
        <v>1.540909</v>
      </c>
      <c r="O95" s="87">
        <v>0.0</v>
      </c>
      <c r="P95" s="87">
        <v>0.0</v>
      </c>
      <c r="Q95" s="87">
        <v>1.540909</v>
      </c>
      <c r="T95" s="84" t="s">
        <v>925</v>
      </c>
      <c r="U95" s="87">
        <v>0.0</v>
      </c>
    </row>
    <row r="96">
      <c r="A96" s="84" t="s">
        <v>180</v>
      </c>
      <c r="B96" s="194" t="s">
        <v>3806</v>
      </c>
      <c r="C96" s="84" t="s">
        <v>1323</v>
      </c>
      <c r="D96" s="88" t="s">
        <v>1396</v>
      </c>
      <c r="E96" s="91"/>
      <c r="F96" s="84" t="s">
        <v>830</v>
      </c>
      <c r="G96" s="84" t="s">
        <v>3549</v>
      </c>
      <c r="I96" s="84" t="s">
        <v>3684</v>
      </c>
      <c r="J96" s="91"/>
      <c r="K96" s="91"/>
      <c r="L96" s="87">
        <v>432.0</v>
      </c>
      <c r="M96" s="87">
        <v>0.0</v>
      </c>
      <c r="N96" s="87">
        <v>0.0</v>
      </c>
      <c r="O96" s="87">
        <v>0.0</v>
      </c>
      <c r="P96" s="87">
        <v>0.0</v>
      </c>
      <c r="Q96" s="87">
        <v>0.0</v>
      </c>
      <c r="T96" s="84" t="s">
        <v>951</v>
      </c>
      <c r="U96" s="87">
        <v>6.153679654</v>
      </c>
    </row>
    <row r="97">
      <c r="A97" s="84" t="s">
        <v>472</v>
      </c>
      <c r="B97" s="194" t="s">
        <v>3807</v>
      </c>
      <c r="C97" s="84" t="s">
        <v>1016</v>
      </c>
      <c r="D97" s="88" t="s">
        <v>1396</v>
      </c>
      <c r="E97" s="84" t="s">
        <v>3687</v>
      </c>
      <c r="F97" s="91"/>
      <c r="G97" s="84" t="s">
        <v>3587</v>
      </c>
      <c r="H97" s="84" t="s">
        <v>3521</v>
      </c>
      <c r="I97" s="84" t="s">
        <v>3684</v>
      </c>
      <c r="J97" s="84" t="s">
        <v>130</v>
      </c>
      <c r="K97" s="85"/>
      <c r="L97" s="87">
        <v>720.0</v>
      </c>
      <c r="M97" s="87">
        <v>0.0</v>
      </c>
      <c r="N97" s="87">
        <v>0.25</v>
      </c>
      <c r="O97" s="87">
        <v>0.125</v>
      </c>
      <c r="P97" s="87">
        <v>0.041667</v>
      </c>
      <c r="Q97" s="87">
        <v>0.144608</v>
      </c>
      <c r="T97" s="84" t="s">
        <v>947</v>
      </c>
      <c r="U97" s="87">
        <v>1.007575758</v>
      </c>
    </row>
    <row r="98">
      <c r="A98" s="84" t="s">
        <v>107</v>
      </c>
      <c r="B98" s="194" t="s">
        <v>3773</v>
      </c>
      <c r="C98" s="84" t="s">
        <v>113</v>
      </c>
      <c r="D98" s="88" t="s">
        <v>1396</v>
      </c>
      <c r="E98" s="84" t="s">
        <v>3683</v>
      </c>
      <c r="F98" s="84" t="s">
        <v>106</v>
      </c>
      <c r="G98" s="84" t="s">
        <v>3552</v>
      </c>
      <c r="H98" s="84" t="s">
        <v>3521</v>
      </c>
      <c r="I98" s="84" t="s">
        <v>3684</v>
      </c>
      <c r="J98" s="85"/>
      <c r="K98" s="85"/>
      <c r="L98" s="87">
        <v>24.0</v>
      </c>
      <c r="M98" s="87">
        <v>0.0</v>
      </c>
      <c r="N98" s="87">
        <v>0.0</v>
      </c>
      <c r="O98" s="87">
        <v>0.142857</v>
      </c>
      <c r="P98" s="87">
        <v>0.183333</v>
      </c>
      <c r="Q98" s="87">
        <v>0.269048</v>
      </c>
      <c r="T98" s="84" t="s">
        <v>982</v>
      </c>
      <c r="U98" s="87">
        <v>7.315223665</v>
      </c>
    </row>
    <row r="99">
      <c r="A99" s="84" t="s">
        <v>537</v>
      </c>
      <c r="B99" s="194" t="s">
        <v>3808</v>
      </c>
      <c r="C99" s="84" t="s">
        <v>557</v>
      </c>
      <c r="D99" s="88" t="s">
        <v>1396</v>
      </c>
      <c r="E99" s="84" t="s">
        <v>3683</v>
      </c>
      <c r="F99" s="84" t="s">
        <v>558</v>
      </c>
      <c r="G99" s="84" t="s">
        <v>3602</v>
      </c>
      <c r="H99" s="84" t="s">
        <v>3521</v>
      </c>
      <c r="I99" s="84" t="s">
        <v>3693</v>
      </c>
      <c r="J99" s="91"/>
      <c r="K99" s="91"/>
      <c r="L99" s="87">
        <v>10.0</v>
      </c>
      <c r="M99" s="87">
        <v>1.0</v>
      </c>
      <c r="N99" s="87">
        <v>0.0</v>
      </c>
      <c r="O99" s="87">
        <v>0.642857</v>
      </c>
      <c r="P99" s="87">
        <v>0.533333</v>
      </c>
      <c r="Q99" s="87">
        <v>0.938449</v>
      </c>
      <c r="T99" s="84" t="s">
        <v>3639</v>
      </c>
      <c r="U99" s="87">
        <v>0.0</v>
      </c>
    </row>
    <row r="100">
      <c r="A100" s="84" t="s">
        <v>458</v>
      </c>
      <c r="B100" s="194" t="s">
        <v>3809</v>
      </c>
      <c r="C100" s="84" t="s">
        <v>965</v>
      </c>
      <c r="D100" s="88" t="s">
        <v>1396</v>
      </c>
      <c r="E100" s="84" t="s">
        <v>3683</v>
      </c>
      <c r="F100" s="84" t="s">
        <v>963</v>
      </c>
      <c r="G100" s="84" t="s">
        <v>3581</v>
      </c>
      <c r="H100" s="84" t="s">
        <v>3521</v>
      </c>
      <c r="I100" s="84" t="s">
        <v>3684</v>
      </c>
      <c r="J100" s="84" t="s">
        <v>130</v>
      </c>
      <c r="K100" s="84" t="s">
        <v>111</v>
      </c>
      <c r="L100" s="87">
        <v>24.0</v>
      </c>
      <c r="M100" s="87">
        <v>0.0</v>
      </c>
      <c r="N100" s="87">
        <v>0.0</v>
      </c>
      <c r="O100" s="87">
        <v>0.0</v>
      </c>
      <c r="P100" s="87">
        <v>0.0</v>
      </c>
      <c r="Q100" s="87">
        <v>0.0</v>
      </c>
      <c r="T100" s="84" t="s">
        <v>3640</v>
      </c>
      <c r="U100" s="87">
        <v>0.0</v>
      </c>
    </row>
    <row r="101">
      <c r="A101" s="84" t="s">
        <v>537</v>
      </c>
      <c r="B101" s="194" t="s">
        <v>3732</v>
      </c>
      <c r="C101" s="84" t="s">
        <v>1051</v>
      </c>
      <c r="D101" s="88" t="s">
        <v>1396</v>
      </c>
      <c r="E101" s="84" t="s">
        <v>3683</v>
      </c>
      <c r="F101" s="84" t="s">
        <v>1047</v>
      </c>
      <c r="G101" s="84" t="s">
        <v>3592</v>
      </c>
      <c r="I101" s="84" t="s">
        <v>3693</v>
      </c>
      <c r="J101" s="85"/>
      <c r="K101" s="91"/>
      <c r="L101" s="87">
        <v>0.0</v>
      </c>
      <c r="M101" s="87">
        <v>0.0</v>
      </c>
      <c r="N101" s="87">
        <v>0.0</v>
      </c>
      <c r="O101" s="87">
        <v>0.0</v>
      </c>
      <c r="P101" s="87">
        <v>0.0</v>
      </c>
      <c r="Q101" s="87">
        <v>0.0</v>
      </c>
      <c r="T101" s="84" t="s">
        <v>3810</v>
      </c>
      <c r="U101" s="87">
        <v>0.0</v>
      </c>
    </row>
    <row r="102">
      <c r="A102" s="84" t="s">
        <v>537</v>
      </c>
      <c r="B102" s="194" t="s">
        <v>3811</v>
      </c>
      <c r="C102" s="84" t="s">
        <v>1040</v>
      </c>
      <c r="D102" s="88" t="s">
        <v>1396</v>
      </c>
      <c r="E102" s="84" t="s">
        <v>3683</v>
      </c>
      <c r="F102" s="84" t="s">
        <v>1041</v>
      </c>
      <c r="G102" s="84" t="s">
        <v>3590</v>
      </c>
      <c r="H102" s="84" t="s">
        <v>3521</v>
      </c>
      <c r="I102" s="84" t="s">
        <v>3693</v>
      </c>
      <c r="J102" s="91"/>
      <c r="K102" s="91"/>
      <c r="L102" s="87">
        <v>24.0</v>
      </c>
      <c r="M102" s="87">
        <v>2.0</v>
      </c>
      <c r="N102" s="87">
        <v>0.564103</v>
      </c>
      <c r="O102" s="87">
        <v>1.639194</v>
      </c>
      <c r="P102" s="87">
        <v>1.920612</v>
      </c>
      <c r="Q102" s="87">
        <v>1.88304</v>
      </c>
      <c r="T102" s="84" t="s">
        <v>1223</v>
      </c>
      <c r="U102" s="87">
        <v>1.478968254</v>
      </c>
    </row>
    <row r="103">
      <c r="A103" s="84" t="s">
        <v>644</v>
      </c>
      <c r="B103" s="194" t="s">
        <v>3812</v>
      </c>
      <c r="C103" s="84" t="s">
        <v>1258</v>
      </c>
      <c r="D103" s="88" t="s">
        <v>1396</v>
      </c>
      <c r="E103" s="84" t="s">
        <v>3683</v>
      </c>
      <c r="F103" s="84" t="s">
        <v>1255</v>
      </c>
      <c r="G103" s="84" t="s">
        <v>3607</v>
      </c>
      <c r="H103" s="84" t="s">
        <v>3521</v>
      </c>
      <c r="I103" s="84" t="s">
        <v>3684</v>
      </c>
      <c r="J103" s="84" t="s">
        <v>130</v>
      </c>
      <c r="K103" s="91"/>
      <c r="L103" s="87">
        <v>24.0</v>
      </c>
      <c r="M103" s="87">
        <v>0.0</v>
      </c>
      <c r="N103" s="87">
        <v>0.0</v>
      </c>
      <c r="O103" s="87">
        <v>0.0</v>
      </c>
      <c r="P103" s="87">
        <v>0.0</v>
      </c>
      <c r="Q103" s="87">
        <v>0.0</v>
      </c>
      <c r="T103" s="84" t="s">
        <v>1230</v>
      </c>
      <c r="U103" s="87">
        <v>3.567027417</v>
      </c>
    </row>
    <row r="104">
      <c r="A104" s="84" t="s">
        <v>393</v>
      </c>
      <c r="B104" s="194" t="s">
        <v>3813</v>
      </c>
      <c r="C104" s="84" t="s">
        <v>3642</v>
      </c>
      <c r="D104" s="88" t="s">
        <v>1396</v>
      </c>
      <c r="E104" s="84" t="s">
        <v>3687</v>
      </c>
      <c r="F104" s="84" t="s">
        <v>3814</v>
      </c>
      <c r="G104" s="84" t="s">
        <v>3815</v>
      </c>
      <c r="H104" s="84" t="s">
        <v>3521</v>
      </c>
      <c r="I104" s="84" t="s">
        <v>3693</v>
      </c>
      <c r="J104" s="84" t="s">
        <v>130</v>
      </c>
      <c r="K104" s="84" t="s">
        <v>111</v>
      </c>
      <c r="L104" s="87">
        <v>24.0</v>
      </c>
      <c r="M104" s="87">
        <v>0.0</v>
      </c>
      <c r="N104" s="87">
        <v>0.5</v>
      </c>
      <c r="O104" s="87">
        <v>0.0</v>
      </c>
      <c r="P104" s="87">
        <v>0.0</v>
      </c>
      <c r="Q104" s="87">
        <v>0.5</v>
      </c>
      <c r="T104" s="84" t="s">
        <v>1227</v>
      </c>
      <c r="U104" s="87">
        <v>3.175865801</v>
      </c>
    </row>
    <row r="105">
      <c r="A105" s="84" t="s">
        <v>180</v>
      </c>
      <c r="B105" s="194" t="s">
        <v>3816</v>
      </c>
      <c r="C105" s="84" t="s">
        <v>820</v>
      </c>
      <c r="D105" s="88" t="s">
        <v>1396</v>
      </c>
      <c r="E105" s="84" t="s">
        <v>3683</v>
      </c>
      <c r="F105" s="84" t="s">
        <v>814</v>
      </c>
      <c r="G105" s="84" t="s">
        <v>3533</v>
      </c>
      <c r="I105" s="84" t="s">
        <v>3684</v>
      </c>
      <c r="J105" s="91"/>
      <c r="K105" s="85"/>
      <c r="L105" s="87">
        <v>96.0</v>
      </c>
      <c r="M105" s="87">
        <v>0.0</v>
      </c>
      <c r="N105" s="87">
        <v>0.0</v>
      </c>
      <c r="O105" s="87">
        <v>0.0</v>
      </c>
      <c r="P105" s="87">
        <v>0.0</v>
      </c>
      <c r="Q105" s="87">
        <v>0.0</v>
      </c>
      <c r="T105" s="84" t="s">
        <v>1226</v>
      </c>
      <c r="U105" s="87">
        <v>2.180808081</v>
      </c>
    </row>
    <row r="106">
      <c r="A106" s="84" t="s">
        <v>74</v>
      </c>
      <c r="B106" s="194" t="s">
        <v>3817</v>
      </c>
      <c r="C106" s="84" t="s">
        <v>88</v>
      </c>
      <c r="D106" s="88" t="s">
        <v>1396</v>
      </c>
      <c r="E106" s="84" t="s">
        <v>3683</v>
      </c>
      <c r="F106" s="84" t="s">
        <v>73</v>
      </c>
      <c r="G106" s="84" t="s">
        <v>3712</v>
      </c>
      <c r="H106" s="84" t="s">
        <v>3521</v>
      </c>
      <c r="I106" s="84" t="s">
        <v>3684</v>
      </c>
      <c r="J106" s="84" t="s">
        <v>130</v>
      </c>
      <c r="K106" s="91"/>
      <c r="L106" s="87">
        <v>48.0</v>
      </c>
      <c r="M106" s="87">
        <v>0.0</v>
      </c>
      <c r="N106" s="87">
        <v>0.0</v>
      </c>
      <c r="O106" s="87">
        <v>0.0</v>
      </c>
      <c r="P106" s="87">
        <v>0.0</v>
      </c>
      <c r="Q106" s="87">
        <v>0.0</v>
      </c>
      <c r="T106" s="84" t="s">
        <v>908</v>
      </c>
      <c r="U106" s="87">
        <v>0.0</v>
      </c>
    </row>
    <row r="107">
      <c r="A107" s="84" t="s">
        <v>644</v>
      </c>
      <c r="B107" s="194" t="s">
        <v>3818</v>
      </c>
      <c r="C107" s="84" t="s">
        <v>732</v>
      </c>
      <c r="D107" s="88" t="s">
        <v>1396</v>
      </c>
      <c r="E107" s="84" t="s">
        <v>3683</v>
      </c>
      <c r="F107" s="84" t="s">
        <v>729</v>
      </c>
      <c r="G107" s="84" t="s">
        <v>3752</v>
      </c>
      <c r="I107" s="84" t="s">
        <v>3684</v>
      </c>
      <c r="J107" s="91"/>
      <c r="K107" s="91"/>
      <c r="L107" s="87">
        <v>24.0</v>
      </c>
      <c r="M107" s="87">
        <v>0.0</v>
      </c>
      <c r="N107" s="87">
        <v>0.0</v>
      </c>
      <c r="O107" s="87">
        <v>0.0</v>
      </c>
      <c r="P107" s="87">
        <v>0.0</v>
      </c>
      <c r="Q107" s="87">
        <v>0.0</v>
      </c>
      <c r="T107" s="84" t="s">
        <v>911</v>
      </c>
      <c r="U107" s="87">
        <v>0.0</v>
      </c>
    </row>
    <row r="108">
      <c r="A108" s="84" t="s">
        <v>644</v>
      </c>
      <c r="B108" s="194" t="s">
        <v>3819</v>
      </c>
      <c r="C108" s="84" t="s">
        <v>1211</v>
      </c>
      <c r="D108" s="88" t="s">
        <v>1396</v>
      </c>
      <c r="E108" s="84" t="s">
        <v>3683</v>
      </c>
      <c r="F108" s="84" t="s">
        <v>1208</v>
      </c>
      <c r="G108" s="84" t="s">
        <v>3606</v>
      </c>
      <c r="H108" s="84" t="s">
        <v>3521</v>
      </c>
      <c r="I108" s="84" t="s">
        <v>3684</v>
      </c>
      <c r="J108" s="84" t="s">
        <v>130</v>
      </c>
      <c r="K108" s="85"/>
      <c r="L108" s="87">
        <v>24.0</v>
      </c>
      <c r="M108" s="87">
        <v>0.0</v>
      </c>
      <c r="N108" s="87">
        <v>0.0</v>
      </c>
      <c r="O108" s="87">
        <v>0.0</v>
      </c>
      <c r="P108" s="87">
        <v>0.0</v>
      </c>
      <c r="Q108" s="87">
        <v>0.0</v>
      </c>
      <c r="T108" s="84" t="s">
        <v>865</v>
      </c>
      <c r="U108" s="87">
        <v>0.30952381</v>
      </c>
    </row>
    <row r="109">
      <c r="A109" s="84" t="s">
        <v>644</v>
      </c>
      <c r="B109" s="194" t="s">
        <v>3820</v>
      </c>
      <c r="C109" s="84" t="s">
        <v>1267</v>
      </c>
      <c r="D109" s="88" t="s">
        <v>1396</v>
      </c>
      <c r="E109" s="84" t="s">
        <v>3683</v>
      </c>
      <c r="F109" s="84" t="s">
        <v>682</v>
      </c>
      <c r="G109" s="84" t="s">
        <v>3563</v>
      </c>
      <c r="H109" s="84" t="s">
        <v>3521</v>
      </c>
      <c r="I109" s="84" t="s">
        <v>3684</v>
      </c>
      <c r="J109" s="84" t="s">
        <v>130</v>
      </c>
      <c r="K109" s="91"/>
      <c r="L109" s="87">
        <v>24.0</v>
      </c>
      <c r="M109" s="87">
        <v>0.0</v>
      </c>
      <c r="N109" s="87">
        <v>0.0</v>
      </c>
      <c r="O109" s="87">
        <v>0.0</v>
      </c>
      <c r="P109" s="87">
        <v>0.0</v>
      </c>
      <c r="Q109" s="87">
        <v>0.0</v>
      </c>
      <c r="T109" s="84" t="s">
        <v>757</v>
      </c>
      <c r="U109" s="87">
        <v>0.272727273</v>
      </c>
    </row>
    <row r="110">
      <c r="A110" s="84" t="s">
        <v>601</v>
      </c>
      <c r="B110" s="194" t="s">
        <v>3821</v>
      </c>
      <c r="C110" s="84" t="s">
        <v>1061</v>
      </c>
      <c r="D110" s="88" t="s">
        <v>1396</v>
      </c>
      <c r="E110" s="91"/>
      <c r="F110" s="84" t="s">
        <v>898</v>
      </c>
      <c r="G110" s="84" t="s">
        <v>3560</v>
      </c>
      <c r="I110" s="84" t="s">
        <v>3684</v>
      </c>
      <c r="J110" s="85"/>
      <c r="K110" s="91"/>
      <c r="L110" s="87">
        <v>24.0</v>
      </c>
      <c r="M110" s="87">
        <v>0.0</v>
      </c>
      <c r="N110" s="87">
        <v>0.0</v>
      </c>
      <c r="O110" s="87">
        <v>0.0</v>
      </c>
      <c r="P110" s="87">
        <v>0.0</v>
      </c>
      <c r="Q110" s="87">
        <v>0.0</v>
      </c>
      <c r="T110" s="84" t="s">
        <v>406</v>
      </c>
      <c r="U110" s="87">
        <v>2.0</v>
      </c>
    </row>
    <row r="111">
      <c r="A111" s="84" t="s">
        <v>573</v>
      </c>
      <c r="B111" s="194" t="s">
        <v>3822</v>
      </c>
      <c r="C111" s="84" t="s">
        <v>1058</v>
      </c>
      <c r="D111" s="88" t="s">
        <v>1396</v>
      </c>
      <c r="E111" s="84" t="s">
        <v>3683</v>
      </c>
      <c r="F111" s="84" t="s">
        <v>581</v>
      </c>
      <c r="G111" s="84" t="s">
        <v>3594</v>
      </c>
      <c r="H111" s="84" t="s">
        <v>3527</v>
      </c>
      <c r="I111" s="84" t="s">
        <v>3709</v>
      </c>
      <c r="J111" s="91"/>
      <c r="K111" s="91"/>
      <c r="L111" s="87">
        <v>239.0</v>
      </c>
      <c r="M111" s="87">
        <v>13.0</v>
      </c>
      <c r="N111" s="87">
        <v>6.979541</v>
      </c>
      <c r="O111" s="87">
        <v>21.38597</v>
      </c>
      <c r="P111" s="87">
        <v>24.76596</v>
      </c>
      <c r="Q111" s="87">
        <v>14.69756</v>
      </c>
      <c r="T111" s="84" t="s">
        <v>409</v>
      </c>
      <c r="U111" s="87">
        <v>0.0</v>
      </c>
    </row>
    <row r="112">
      <c r="A112" s="84" t="s">
        <v>107</v>
      </c>
      <c r="B112" s="194" t="s">
        <v>3823</v>
      </c>
      <c r="C112" s="84" t="s">
        <v>771</v>
      </c>
      <c r="D112" s="88" t="s">
        <v>1396</v>
      </c>
      <c r="E112" s="84" t="s">
        <v>3683</v>
      </c>
      <c r="F112" s="84" t="s">
        <v>768</v>
      </c>
      <c r="G112" s="84" t="s">
        <v>3508</v>
      </c>
      <c r="H112" s="84" t="s">
        <v>3521</v>
      </c>
      <c r="I112" s="84" t="s">
        <v>3684</v>
      </c>
      <c r="J112" s="85"/>
      <c r="K112" s="84" t="s">
        <v>111</v>
      </c>
      <c r="L112" s="87">
        <v>456.0</v>
      </c>
      <c r="M112" s="87">
        <v>0.0</v>
      </c>
      <c r="N112" s="87">
        <v>0.090909</v>
      </c>
      <c r="O112" s="87">
        <v>0.0</v>
      </c>
      <c r="P112" s="87">
        <v>0.0</v>
      </c>
      <c r="Q112" s="87">
        <v>0.090909</v>
      </c>
      <c r="T112" s="84" t="s">
        <v>3641</v>
      </c>
      <c r="U112" s="87">
        <v>1.887862138</v>
      </c>
    </row>
    <row r="113">
      <c r="A113" s="84" t="s">
        <v>139</v>
      </c>
      <c r="B113" s="194" t="s">
        <v>3824</v>
      </c>
      <c r="C113" s="84" t="s">
        <v>156</v>
      </c>
      <c r="D113" s="88" t="s">
        <v>1396</v>
      </c>
      <c r="E113" s="91"/>
      <c r="F113" s="84" t="s">
        <v>144</v>
      </c>
      <c r="G113" s="84" t="s">
        <v>3700</v>
      </c>
      <c r="I113" s="84" t="s">
        <v>3684</v>
      </c>
      <c r="J113" s="84" t="s">
        <v>130</v>
      </c>
      <c r="K113" s="91"/>
      <c r="L113" s="87">
        <v>480.0</v>
      </c>
      <c r="M113" s="87">
        <v>0.0</v>
      </c>
      <c r="N113" s="87">
        <v>0.0</v>
      </c>
      <c r="O113" s="87">
        <v>0.0</v>
      </c>
      <c r="P113" s="87">
        <v>0.0</v>
      </c>
      <c r="Q113" s="87">
        <v>0.0</v>
      </c>
      <c r="T113" s="84" t="s">
        <v>675</v>
      </c>
      <c r="U113" s="87">
        <v>3.833832834</v>
      </c>
    </row>
    <row r="114">
      <c r="A114" s="84" t="s">
        <v>472</v>
      </c>
      <c r="B114" s="194" t="s">
        <v>3825</v>
      </c>
      <c r="C114" s="84" t="s">
        <v>1032</v>
      </c>
      <c r="D114" s="88" t="s">
        <v>1396</v>
      </c>
      <c r="E114" s="84" t="s">
        <v>3683</v>
      </c>
      <c r="F114" s="91"/>
      <c r="G114" s="84" t="s">
        <v>3587</v>
      </c>
      <c r="H114" s="84" t="s">
        <v>3521</v>
      </c>
      <c r="I114" s="84" t="s">
        <v>3684</v>
      </c>
      <c r="J114" s="91"/>
      <c r="K114" s="85"/>
      <c r="L114" s="87">
        <v>432.0</v>
      </c>
      <c r="M114" s="87">
        <v>0.0</v>
      </c>
      <c r="N114" s="87">
        <v>0.0</v>
      </c>
      <c r="O114" s="87">
        <v>0.0</v>
      </c>
      <c r="P114" s="87">
        <v>0.0</v>
      </c>
      <c r="Q114" s="87">
        <v>0.0</v>
      </c>
      <c r="T114" s="84" t="s">
        <v>669</v>
      </c>
      <c r="U114" s="87">
        <v>6.956743257</v>
      </c>
    </row>
    <row r="115">
      <c r="A115" s="84" t="s">
        <v>393</v>
      </c>
      <c r="B115" s="194" t="s">
        <v>3744</v>
      </c>
      <c r="C115" s="84" t="s">
        <v>3649</v>
      </c>
      <c r="D115" s="88" t="s">
        <v>1396</v>
      </c>
      <c r="E115" s="91"/>
      <c r="F115" s="84" t="s">
        <v>340</v>
      </c>
      <c r="G115" s="84" t="s">
        <v>3567</v>
      </c>
      <c r="I115" s="84" t="s">
        <v>3693</v>
      </c>
      <c r="J115" s="91"/>
      <c r="K115" s="91"/>
      <c r="L115" s="87">
        <v>480.0</v>
      </c>
      <c r="M115" s="87">
        <v>0.0</v>
      </c>
      <c r="N115" s="87">
        <v>0.0</v>
      </c>
      <c r="O115" s="87">
        <v>0.0</v>
      </c>
      <c r="P115" s="87">
        <v>0.0</v>
      </c>
      <c r="Q115" s="87">
        <v>0.0</v>
      </c>
      <c r="T115" s="84" t="s">
        <v>674</v>
      </c>
      <c r="U115" s="87">
        <v>10.21540127</v>
      </c>
    </row>
    <row r="116">
      <c r="A116" s="84" t="s">
        <v>644</v>
      </c>
      <c r="B116" s="194" t="s">
        <v>3728</v>
      </c>
      <c r="C116" s="84" t="s">
        <v>691</v>
      </c>
      <c r="D116" s="88" t="s">
        <v>1396</v>
      </c>
      <c r="E116" s="84" t="s">
        <v>3683</v>
      </c>
      <c r="F116" s="84" t="s">
        <v>686</v>
      </c>
      <c r="G116" s="84" t="s">
        <v>3607</v>
      </c>
      <c r="H116" s="84" t="s">
        <v>3521</v>
      </c>
      <c r="I116" s="84" t="s">
        <v>3684</v>
      </c>
      <c r="J116" s="84" t="s">
        <v>215</v>
      </c>
      <c r="K116" s="84" t="s">
        <v>111</v>
      </c>
      <c r="L116" s="87">
        <v>72.0</v>
      </c>
      <c r="M116" s="87">
        <v>0.0</v>
      </c>
      <c r="N116" s="87">
        <v>0.066667</v>
      </c>
      <c r="O116" s="87">
        <v>0.0</v>
      </c>
      <c r="P116" s="87">
        <v>0.066667</v>
      </c>
      <c r="Q116" s="87">
        <v>0.083333</v>
      </c>
      <c r="T116" s="84" t="s">
        <v>673</v>
      </c>
      <c r="U116" s="87">
        <v>11.62624875</v>
      </c>
    </row>
    <row r="117">
      <c r="A117" s="84" t="s">
        <v>795</v>
      </c>
      <c r="B117" s="194" t="s">
        <v>3826</v>
      </c>
      <c r="C117" s="84" t="s">
        <v>803</v>
      </c>
      <c r="D117" s="88" t="s">
        <v>1396</v>
      </c>
      <c r="E117" s="91"/>
      <c r="F117" s="84" t="s">
        <v>804</v>
      </c>
      <c r="G117" s="84" t="s">
        <v>3827</v>
      </c>
      <c r="I117" s="84" t="s">
        <v>3684</v>
      </c>
      <c r="J117" s="85"/>
      <c r="K117" s="85"/>
      <c r="L117" s="87">
        <v>456.0</v>
      </c>
      <c r="M117" s="87">
        <v>0.0</v>
      </c>
      <c r="N117" s="87">
        <v>0.0</v>
      </c>
      <c r="O117" s="87">
        <v>0.0</v>
      </c>
      <c r="P117" s="87">
        <v>0.0</v>
      </c>
      <c r="Q117" s="87">
        <v>0.0</v>
      </c>
      <c r="T117" s="84" t="s">
        <v>671</v>
      </c>
      <c r="U117" s="87">
        <v>2.261133311</v>
      </c>
    </row>
    <row r="118">
      <c r="A118" s="84" t="s">
        <v>472</v>
      </c>
      <c r="B118" s="194" t="s">
        <v>3828</v>
      </c>
      <c r="C118" s="84" t="s">
        <v>1038</v>
      </c>
      <c r="D118" s="88" t="s">
        <v>1396</v>
      </c>
      <c r="E118" s="84" t="s">
        <v>3683</v>
      </c>
      <c r="F118" s="84" t="s">
        <v>1035</v>
      </c>
      <c r="G118" s="84" t="s">
        <v>3588</v>
      </c>
      <c r="H118" s="84" t="s">
        <v>3521</v>
      </c>
      <c r="I118" s="84" t="s">
        <v>3684</v>
      </c>
      <c r="J118" s="85"/>
      <c r="K118" s="85"/>
      <c r="L118" s="87">
        <v>0.0</v>
      </c>
      <c r="M118" s="87">
        <v>0.0</v>
      </c>
      <c r="N118" s="87">
        <v>0.0</v>
      </c>
      <c r="O118" s="87">
        <v>9.170413</v>
      </c>
      <c r="P118" s="87">
        <v>9.570631</v>
      </c>
      <c r="Q118" s="87">
        <v>9.906562</v>
      </c>
      <c r="T118" s="84" t="s">
        <v>672</v>
      </c>
      <c r="U118" s="87">
        <v>4.877705628</v>
      </c>
    </row>
    <row r="119">
      <c r="A119" s="84" t="s">
        <v>644</v>
      </c>
      <c r="B119" s="194" t="s">
        <v>3829</v>
      </c>
      <c r="C119" s="84" t="s">
        <v>1200</v>
      </c>
      <c r="D119" s="88" t="s">
        <v>1396</v>
      </c>
      <c r="E119" s="84" t="s">
        <v>3683</v>
      </c>
      <c r="F119" s="84" t="s">
        <v>1192</v>
      </c>
      <c r="G119" s="84" t="s">
        <v>3761</v>
      </c>
      <c r="I119" s="84" t="s">
        <v>3684</v>
      </c>
      <c r="J119" s="84" t="s">
        <v>215</v>
      </c>
      <c r="L119" s="87">
        <v>480.0</v>
      </c>
      <c r="M119" s="87">
        <v>0.0</v>
      </c>
      <c r="N119" s="87">
        <v>0.0</v>
      </c>
      <c r="O119" s="87">
        <v>0.0</v>
      </c>
      <c r="P119" s="87">
        <v>0.0</v>
      </c>
      <c r="Q119" s="87">
        <v>0.0</v>
      </c>
      <c r="T119" s="84" t="s">
        <v>803</v>
      </c>
      <c r="U119" s="87">
        <v>1.544155844</v>
      </c>
    </row>
    <row r="120">
      <c r="A120" s="84" t="s">
        <v>616</v>
      </c>
      <c r="B120" s="194" t="s">
        <v>3830</v>
      </c>
      <c r="C120" s="84" t="s">
        <v>1084</v>
      </c>
      <c r="D120" s="88" t="s">
        <v>1396</v>
      </c>
      <c r="E120" s="84" t="s">
        <v>3683</v>
      </c>
      <c r="F120" s="84" t="s">
        <v>794</v>
      </c>
      <c r="G120" s="84" t="s">
        <v>3522</v>
      </c>
      <c r="H120" s="84" t="s">
        <v>3521</v>
      </c>
      <c r="I120" s="84" t="s">
        <v>3684</v>
      </c>
      <c r="J120" s="91"/>
      <c r="K120" s="85"/>
      <c r="L120" s="87">
        <v>192.0</v>
      </c>
      <c r="M120" s="87">
        <v>0.0</v>
      </c>
      <c r="N120" s="87">
        <v>2.451905</v>
      </c>
      <c r="O120" s="87">
        <v>5.545971</v>
      </c>
      <c r="P120" s="87">
        <v>3.208671</v>
      </c>
      <c r="Q120" s="87">
        <v>1.878748</v>
      </c>
      <c r="T120" s="84" t="s">
        <v>876</v>
      </c>
      <c r="U120" s="87">
        <v>0.30952381</v>
      </c>
    </row>
    <row r="121">
      <c r="A121" s="84" t="s">
        <v>107</v>
      </c>
      <c r="B121" s="194" t="s">
        <v>3787</v>
      </c>
      <c r="C121" s="84" t="s">
        <v>767</v>
      </c>
      <c r="D121" s="88" t="s">
        <v>1396</v>
      </c>
      <c r="E121" s="84" t="s">
        <v>3683</v>
      </c>
      <c r="F121" s="84" t="s">
        <v>768</v>
      </c>
      <c r="G121" s="84" t="s">
        <v>3508</v>
      </c>
      <c r="H121" s="84" t="s">
        <v>3521</v>
      </c>
      <c r="I121" s="84" t="s">
        <v>3684</v>
      </c>
      <c r="J121" s="91"/>
      <c r="K121" s="85"/>
      <c r="L121" s="87">
        <v>144.0</v>
      </c>
      <c r="M121" s="87">
        <v>0.0</v>
      </c>
      <c r="N121" s="87">
        <v>1.140377</v>
      </c>
      <c r="O121" s="87">
        <v>0.79329</v>
      </c>
      <c r="P121" s="87">
        <v>0.848192</v>
      </c>
      <c r="Q121" s="87">
        <v>0.867852</v>
      </c>
      <c r="T121" s="84" t="s">
        <v>799</v>
      </c>
      <c r="U121" s="87">
        <v>0.226190476</v>
      </c>
    </row>
    <row r="122">
      <c r="A122" s="84" t="s">
        <v>393</v>
      </c>
      <c r="B122" s="194" t="s">
        <v>3831</v>
      </c>
      <c r="C122" s="84" t="s">
        <v>418</v>
      </c>
      <c r="D122" s="88" t="s">
        <v>1396</v>
      </c>
      <c r="E122" s="84" t="s">
        <v>3687</v>
      </c>
      <c r="F122" s="84" t="s">
        <v>415</v>
      </c>
      <c r="G122" s="84" t="s">
        <v>3832</v>
      </c>
      <c r="H122" s="84" t="s">
        <v>3521</v>
      </c>
      <c r="I122" s="84" t="s">
        <v>3693</v>
      </c>
      <c r="J122" s="91"/>
      <c r="K122" s="84" t="s">
        <v>111</v>
      </c>
      <c r="L122" s="87">
        <v>408.0</v>
      </c>
      <c r="M122" s="87">
        <v>0.0</v>
      </c>
      <c r="N122" s="87">
        <v>0.17152</v>
      </c>
      <c r="O122" s="87">
        <v>0.0</v>
      </c>
      <c r="P122" s="87">
        <v>0.166667</v>
      </c>
      <c r="Q122" s="87">
        <v>0.191128</v>
      </c>
      <c r="T122" s="84" t="s">
        <v>874</v>
      </c>
      <c r="U122" s="87">
        <v>0.0</v>
      </c>
    </row>
    <row r="123">
      <c r="A123" s="84" t="s">
        <v>180</v>
      </c>
      <c r="B123" s="194" t="s">
        <v>3833</v>
      </c>
      <c r="C123" s="84" t="s">
        <v>198</v>
      </c>
      <c r="D123" s="88" t="s">
        <v>1396</v>
      </c>
      <c r="E123" s="84" t="s">
        <v>3683</v>
      </c>
      <c r="F123" s="84" t="s">
        <v>190</v>
      </c>
      <c r="G123" s="84" t="s">
        <v>3708</v>
      </c>
      <c r="H123" s="84" t="s">
        <v>3521</v>
      </c>
      <c r="I123" s="84" t="s">
        <v>3709</v>
      </c>
      <c r="J123" s="91"/>
      <c r="K123" s="91"/>
      <c r="L123" s="87">
        <v>600.0</v>
      </c>
      <c r="M123" s="87">
        <v>0.0</v>
      </c>
      <c r="N123" s="87">
        <v>0.0</v>
      </c>
      <c r="O123" s="87">
        <v>0.0</v>
      </c>
      <c r="P123" s="87">
        <v>0.0</v>
      </c>
      <c r="Q123" s="87">
        <v>0.0</v>
      </c>
      <c r="T123" s="84" t="s">
        <v>571</v>
      </c>
      <c r="U123" s="87">
        <v>7.737262737</v>
      </c>
    </row>
    <row r="124">
      <c r="A124" s="84" t="s">
        <v>644</v>
      </c>
      <c r="B124" s="194" t="s">
        <v>3834</v>
      </c>
      <c r="C124" s="84" t="s">
        <v>696</v>
      </c>
      <c r="D124" s="88" t="s">
        <v>1396</v>
      </c>
      <c r="E124" s="84" t="s">
        <v>3683</v>
      </c>
      <c r="F124" s="84" t="s">
        <v>686</v>
      </c>
      <c r="G124" s="84" t="s">
        <v>3607</v>
      </c>
      <c r="H124" s="84" t="s">
        <v>3521</v>
      </c>
      <c r="I124" s="84" t="s">
        <v>3684</v>
      </c>
      <c r="J124" s="84" t="s">
        <v>215</v>
      </c>
      <c r="K124" s="84" t="s">
        <v>111</v>
      </c>
      <c r="L124" s="87">
        <v>72.0</v>
      </c>
      <c r="M124" s="87">
        <v>0.0</v>
      </c>
      <c r="N124" s="87">
        <v>0.0</v>
      </c>
      <c r="O124" s="87">
        <v>0.0</v>
      </c>
      <c r="P124" s="87">
        <v>0.0</v>
      </c>
      <c r="Q124" s="87">
        <v>0.0</v>
      </c>
      <c r="T124" s="84" t="s">
        <v>742</v>
      </c>
      <c r="U124" s="87">
        <v>0.0</v>
      </c>
    </row>
    <row r="125">
      <c r="A125" s="84" t="s">
        <v>644</v>
      </c>
      <c r="B125" s="194" t="s">
        <v>3835</v>
      </c>
      <c r="C125" s="84" t="s">
        <v>1263</v>
      </c>
      <c r="D125" s="88" t="s">
        <v>1396</v>
      </c>
      <c r="E125" s="84" t="s">
        <v>3683</v>
      </c>
      <c r="F125" s="84" t="s">
        <v>682</v>
      </c>
      <c r="G125" s="84" t="s">
        <v>3563</v>
      </c>
      <c r="H125" s="84" t="s">
        <v>3521</v>
      </c>
      <c r="I125" s="84" t="s">
        <v>3684</v>
      </c>
      <c r="J125" s="91"/>
      <c r="K125" s="84" t="s">
        <v>111</v>
      </c>
      <c r="L125" s="87">
        <v>624.0</v>
      </c>
      <c r="M125" s="87">
        <v>0.0</v>
      </c>
      <c r="N125" s="87">
        <v>0.0</v>
      </c>
      <c r="O125" s="87">
        <v>0.0</v>
      </c>
      <c r="P125" s="87">
        <v>0.0</v>
      </c>
      <c r="Q125" s="87">
        <v>0.0</v>
      </c>
      <c r="T125" s="84" t="s">
        <v>1006</v>
      </c>
      <c r="U125" s="87">
        <v>0.0</v>
      </c>
    </row>
    <row r="126">
      <c r="A126" s="84" t="s">
        <v>573</v>
      </c>
      <c r="B126" s="194" t="s">
        <v>3836</v>
      </c>
      <c r="C126" s="84" t="s">
        <v>594</v>
      </c>
      <c r="D126" s="88" t="s">
        <v>1396</v>
      </c>
      <c r="E126" s="84" t="s">
        <v>3683</v>
      </c>
      <c r="F126" s="84" t="s">
        <v>595</v>
      </c>
      <c r="G126" s="84" t="s">
        <v>3560</v>
      </c>
      <c r="H126" s="84" t="s">
        <v>3521</v>
      </c>
      <c r="I126" s="84" t="s">
        <v>3709</v>
      </c>
      <c r="J126" s="91"/>
      <c r="K126" s="85"/>
      <c r="L126" s="87">
        <v>312.0</v>
      </c>
      <c r="M126" s="87">
        <v>0.0</v>
      </c>
      <c r="N126" s="87">
        <v>0.798554</v>
      </c>
      <c r="O126" s="87">
        <v>0.0</v>
      </c>
      <c r="P126" s="87">
        <v>0.25</v>
      </c>
      <c r="Q126" s="87">
        <v>0.798554</v>
      </c>
      <c r="T126" s="84" t="s">
        <v>995</v>
      </c>
      <c r="U126" s="87">
        <v>0.142857143</v>
      </c>
    </row>
    <row r="127">
      <c r="A127" s="84" t="s">
        <v>439</v>
      </c>
      <c r="B127" s="194" t="s">
        <v>3837</v>
      </c>
      <c r="C127" s="84" t="s">
        <v>3838</v>
      </c>
      <c r="D127" s="88" t="s">
        <v>1396</v>
      </c>
      <c r="E127" s="84" t="s">
        <v>3683</v>
      </c>
      <c r="F127" s="84" t="s">
        <v>3714</v>
      </c>
      <c r="G127" s="84" t="s">
        <v>3715</v>
      </c>
      <c r="H127" s="84" t="s">
        <v>3521</v>
      </c>
      <c r="I127" s="84" t="s">
        <v>3684</v>
      </c>
      <c r="J127" s="84" t="s">
        <v>3839</v>
      </c>
      <c r="K127" s="84" t="s">
        <v>111</v>
      </c>
      <c r="L127" s="87">
        <v>72.0</v>
      </c>
      <c r="M127" s="87">
        <v>0.0</v>
      </c>
      <c r="N127" s="87">
        <v>0.0</v>
      </c>
      <c r="O127" s="87">
        <v>0.0</v>
      </c>
      <c r="P127" s="87">
        <v>0.0</v>
      </c>
      <c r="Q127" s="87">
        <v>0.0</v>
      </c>
      <c r="T127" s="84" t="s">
        <v>1001</v>
      </c>
      <c r="U127" s="87">
        <v>0.285714286</v>
      </c>
    </row>
    <row r="128">
      <c r="A128" s="84" t="s">
        <v>745</v>
      </c>
      <c r="B128" s="194" t="s">
        <v>3840</v>
      </c>
      <c r="C128" s="84" t="s">
        <v>750</v>
      </c>
      <c r="D128" s="88" t="s">
        <v>1396</v>
      </c>
      <c r="E128" s="84" t="s">
        <v>3683</v>
      </c>
      <c r="F128" s="84" t="s">
        <v>744</v>
      </c>
      <c r="G128" s="84" t="s">
        <v>3841</v>
      </c>
      <c r="H128" s="84" t="s">
        <v>3521</v>
      </c>
      <c r="I128" s="84" t="s">
        <v>3684</v>
      </c>
      <c r="J128" s="91"/>
      <c r="K128" s="85"/>
      <c r="L128" s="87">
        <v>432.0</v>
      </c>
      <c r="M128" s="87">
        <v>0.0</v>
      </c>
      <c r="N128" s="87">
        <v>0.0</v>
      </c>
      <c r="O128" s="87">
        <v>0.0</v>
      </c>
      <c r="P128" s="87">
        <v>0.0</v>
      </c>
      <c r="Q128" s="87">
        <v>0.0</v>
      </c>
      <c r="T128" s="84" t="s">
        <v>996</v>
      </c>
      <c r="U128" s="87">
        <v>0.083333333</v>
      </c>
    </row>
    <row r="129">
      <c r="A129" s="84" t="s">
        <v>472</v>
      </c>
      <c r="B129" s="194" t="s">
        <v>3842</v>
      </c>
      <c r="C129" s="84" t="s">
        <v>501</v>
      </c>
      <c r="D129" s="88" t="s">
        <v>1396</v>
      </c>
      <c r="E129" s="84" t="s">
        <v>3683</v>
      </c>
      <c r="F129" s="84" t="s">
        <v>502</v>
      </c>
      <c r="G129" s="84" t="s">
        <v>3827</v>
      </c>
      <c r="H129" s="84" t="s">
        <v>3507</v>
      </c>
      <c r="I129" s="84" t="s">
        <v>3684</v>
      </c>
      <c r="J129" s="91"/>
      <c r="K129" s="84" t="s">
        <v>111</v>
      </c>
      <c r="L129" s="87">
        <v>72.0</v>
      </c>
      <c r="M129" s="87">
        <v>0.0</v>
      </c>
      <c r="N129" s="87">
        <v>0.565591</v>
      </c>
      <c r="O129" s="87">
        <v>1.321429</v>
      </c>
      <c r="P129" s="87">
        <v>0.733333</v>
      </c>
      <c r="Q129" s="87">
        <v>0.584459</v>
      </c>
      <c r="T129" s="84" t="s">
        <v>1004</v>
      </c>
      <c r="U129" s="87">
        <v>0.166666667</v>
      </c>
    </row>
    <row r="130">
      <c r="A130" s="84" t="s">
        <v>616</v>
      </c>
      <c r="B130" s="194" t="s">
        <v>3843</v>
      </c>
      <c r="C130" s="84" t="s">
        <v>1082</v>
      </c>
      <c r="D130" s="88" t="s">
        <v>1396</v>
      </c>
      <c r="E130" s="84" t="s">
        <v>3683</v>
      </c>
      <c r="F130" s="84" t="s">
        <v>1075</v>
      </c>
      <c r="G130" s="84" t="s">
        <v>3542</v>
      </c>
      <c r="H130" s="84" t="s">
        <v>3521</v>
      </c>
      <c r="I130" s="84" t="s">
        <v>3684</v>
      </c>
      <c r="J130" s="84" t="s">
        <v>130</v>
      </c>
      <c r="K130" s="85"/>
      <c r="L130" s="87">
        <v>24.0</v>
      </c>
      <c r="M130" s="87">
        <v>0.0</v>
      </c>
      <c r="N130" s="87">
        <v>0.0</v>
      </c>
      <c r="O130" s="87">
        <v>0.0</v>
      </c>
      <c r="P130" s="87">
        <v>0.0</v>
      </c>
      <c r="Q130" s="87">
        <v>0.0</v>
      </c>
      <c r="T130" s="84" t="s">
        <v>1003</v>
      </c>
      <c r="U130" s="87">
        <v>0.333333333</v>
      </c>
    </row>
    <row r="131">
      <c r="A131" s="84" t="s">
        <v>644</v>
      </c>
      <c r="B131" s="194" t="s">
        <v>3844</v>
      </c>
      <c r="C131" s="84" t="s">
        <v>701</v>
      </c>
      <c r="D131" s="88" t="s">
        <v>1396</v>
      </c>
      <c r="E131" s="84" t="s">
        <v>3683</v>
      </c>
      <c r="F131" s="84" t="s">
        <v>686</v>
      </c>
      <c r="G131" s="84" t="s">
        <v>3607</v>
      </c>
      <c r="H131" s="84" t="s">
        <v>3521</v>
      </c>
      <c r="I131" s="84" t="s">
        <v>3684</v>
      </c>
      <c r="J131" s="84" t="s">
        <v>130</v>
      </c>
      <c r="K131" s="85"/>
      <c r="L131" s="87">
        <v>24.0</v>
      </c>
      <c r="M131" s="87">
        <v>0.0</v>
      </c>
      <c r="N131" s="87">
        <v>0.0</v>
      </c>
      <c r="O131" s="87">
        <v>0.0</v>
      </c>
      <c r="P131" s="87">
        <v>0.0</v>
      </c>
      <c r="Q131" s="87">
        <v>0.0</v>
      </c>
      <c r="T131" s="84" t="s">
        <v>988</v>
      </c>
      <c r="U131" s="87">
        <v>0.0</v>
      </c>
    </row>
    <row r="132">
      <c r="A132" s="84" t="s">
        <v>630</v>
      </c>
      <c r="B132" s="194" t="s">
        <v>3845</v>
      </c>
      <c r="C132" s="84" t="s">
        <v>1107</v>
      </c>
      <c r="D132" s="88" t="s">
        <v>1396</v>
      </c>
      <c r="E132" s="84" t="s">
        <v>3683</v>
      </c>
      <c r="F132" s="84" t="s">
        <v>1108</v>
      </c>
      <c r="G132" s="84" t="s">
        <v>3554</v>
      </c>
      <c r="H132" s="84" t="s">
        <v>3521</v>
      </c>
      <c r="I132" s="84" t="s">
        <v>3684</v>
      </c>
      <c r="J132" s="84" t="s">
        <v>130</v>
      </c>
      <c r="K132" s="85"/>
      <c r="L132" s="87">
        <v>24.0</v>
      </c>
      <c r="M132" s="87">
        <v>0.0</v>
      </c>
      <c r="N132" s="87">
        <v>0.0</v>
      </c>
      <c r="O132" s="87">
        <v>0.0</v>
      </c>
      <c r="P132" s="87">
        <v>0.0</v>
      </c>
      <c r="Q132" s="87">
        <v>0.0</v>
      </c>
      <c r="T132" s="84" t="s">
        <v>998</v>
      </c>
      <c r="U132" s="87">
        <v>0.0</v>
      </c>
    </row>
    <row r="133">
      <c r="A133" s="84" t="s">
        <v>439</v>
      </c>
      <c r="B133" s="194" t="s">
        <v>3846</v>
      </c>
      <c r="C133" s="84" t="s">
        <v>1307</v>
      </c>
      <c r="D133" s="88" t="s">
        <v>1396</v>
      </c>
      <c r="E133" s="84" t="s">
        <v>3687</v>
      </c>
      <c r="F133" s="84" t="s">
        <v>938</v>
      </c>
      <c r="G133" s="84" t="s">
        <v>3847</v>
      </c>
      <c r="H133" s="84" t="s">
        <v>3527</v>
      </c>
      <c r="I133" s="84" t="s">
        <v>3684</v>
      </c>
      <c r="J133" s="91"/>
      <c r="K133" s="91"/>
      <c r="L133" s="87">
        <v>24.0</v>
      </c>
      <c r="M133" s="87">
        <v>0.0</v>
      </c>
      <c r="N133" s="87">
        <v>0.0</v>
      </c>
      <c r="O133" s="87">
        <v>0.0</v>
      </c>
      <c r="P133" s="87">
        <v>0.0</v>
      </c>
      <c r="Q133" s="87">
        <v>0.0</v>
      </c>
      <c r="T133" s="84" t="s">
        <v>1000</v>
      </c>
      <c r="U133" s="87">
        <v>0.416666667</v>
      </c>
    </row>
    <row r="134">
      <c r="A134" s="84" t="s">
        <v>644</v>
      </c>
      <c r="B134" s="194" t="s">
        <v>3848</v>
      </c>
      <c r="C134" s="84" t="s">
        <v>1272</v>
      </c>
      <c r="D134" s="88" t="s">
        <v>1396</v>
      </c>
      <c r="E134" s="84" t="s">
        <v>3683</v>
      </c>
      <c r="F134" s="84" t="s">
        <v>1273</v>
      </c>
      <c r="G134" s="84" t="s">
        <v>3602</v>
      </c>
      <c r="H134" s="84" t="s">
        <v>3521</v>
      </c>
      <c r="I134" s="84" t="s">
        <v>3684</v>
      </c>
      <c r="J134" s="84" t="s">
        <v>130</v>
      </c>
      <c r="K134" s="84" t="s">
        <v>111</v>
      </c>
      <c r="L134" s="87">
        <v>24.0</v>
      </c>
      <c r="M134" s="87">
        <v>0.0</v>
      </c>
      <c r="N134" s="87">
        <v>0.0</v>
      </c>
      <c r="O134" s="87">
        <v>0.0</v>
      </c>
      <c r="P134" s="87">
        <v>0.0</v>
      </c>
      <c r="Q134" s="87">
        <v>0.0</v>
      </c>
      <c r="T134" s="84" t="s">
        <v>994</v>
      </c>
      <c r="U134" s="87">
        <v>0.0</v>
      </c>
    </row>
    <row r="135">
      <c r="A135" s="84" t="s">
        <v>180</v>
      </c>
      <c r="B135" s="194" t="s">
        <v>3849</v>
      </c>
      <c r="C135" s="84" t="s">
        <v>840</v>
      </c>
      <c r="D135" s="88" t="s">
        <v>1396</v>
      </c>
      <c r="E135" s="84" t="s">
        <v>3683</v>
      </c>
      <c r="F135" s="84" t="s">
        <v>841</v>
      </c>
      <c r="G135" s="84" t="s">
        <v>3550</v>
      </c>
      <c r="H135" s="84" t="s">
        <v>3507</v>
      </c>
      <c r="I135" s="84" t="s">
        <v>3684</v>
      </c>
      <c r="J135" s="84" t="s">
        <v>130</v>
      </c>
      <c r="K135" s="84" t="s">
        <v>111</v>
      </c>
      <c r="L135" s="87">
        <v>24.0</v>
      </c>
      <c r="M135" s="87">
        <v>0.0</v>
      </c>
      <c r="N135" s="87">
        <v>0.0</v>
      </c>
      <c r="O135" s="87">
        <v>0.0</v>
      </c>
      <c r="P135" s="87">
        <v>0.0</v>
      </c>
      <c r="Q135" s="87">
        <v>0.0</v>
      </c>
      <c r="T135" s="84" t="s">
        <v>997</v>
      </c>
      <c r="U135" s="87">
        <v>1.128968254</v>
      </c>
    </row>
    <row r="136">
      <c r="A136" s="84" t="s">
        <v>472</v>
      </c>
      <c r="B136" s="194" t="s">
        <v>3850</v>
      </c>
      <c r="C136" s="84" t="s">
        <v>514</v>
      </c>
      <c r="D136" s="88" t="s">
        <v>1396</v>
      </c>
      <c r="E136" s="84" t="s">
        <v>3683</v>
      </c>
      <c r="F136" s="84" t="s">
        <v>453</v>
      </c>
      <c r="G136" s="84" t="s">
        <v>3851</v>
      </c>
      <c r="H136" s="84" t="s">
        <v>3521</v>
      </c>
      <c r="I136" s="84" t="s">
        <v>3684</v>
      </c>
      <c r="J136" s="84" t="s">
        <v>130</v>
      </c>
      <c r="K136" s="91"/>
      <c r="L136" s="87">
        <v>24.0</v>
      </c>
      <c r="M136" s="87">
        <v>0.0</v>
      </c>
      <c r="N136" s="87">
        <v>0.0</v>
      </c>
      <c r="O136" s="87">
        <v>0.0</v>
      </c>
      <c r="P136" s="87">
        <v>0.0</v>
      </c>
      <c r="Q136" s="87">
        <v>0.0</v>
      </c>
      <c r="T136" s="84" t="s">
        <v>991</v>
      </c>
      <c r="U136" s="87">
        <v>0.416666667</v>
      </c>
    </row>
    <row r="137">
      <c r="A137" s="84" t="s">
        <v>601</v>
      </c>
      <c r="B137" s="194" t="s">
        <v>3852</v>
      </c>
      <c r="C137" s="84" t="s">
        <v>607</v>
      </c>
      <c r="D137" s="88" t="s">
        <v>1396</v>
      </c>
      <c r="E137" s="84" t="s">
        <v>3683</v>
      </c>
      <c r="F137" s="84" t="s">
        <v>608</v>
      </c>
      <c r="G137" s="84" t="s">
        <v>3853</v>
      </c>
      <c r="H137" s="84" t="s">
        <v>3521</v>
      </c>
      <c r="I137" s="84" t="s">
        <v>3684</v>
      </c>
      <c r="J137" s="84" t="s">
        <v>130</v>
      </c>
      <c r="K137" s="91"/>
      <c r="L137" s="87">
        <v>24.0</v>
      </c>
      <c r="M137" s="87">
        <v>0.0</v>
      </c>
      <c r="N137" s="87">
        <v>0.0</v>
      </c>
      <c r="O137" s="87">
        <v>0.0</v>
      </c>
      <c r="P137" s="87">
        <v>0.0</v>
      </c>
      <c r="Q137" s="87">
        <v>0.0</v>
      </c>
      <c r="T137" s="84" t="s">
        <v>1008</v>
      </c>
      <c r="U137" s="87">
        <v>0.0</v>
      </c>
    </row>
    <row r="138">
      <c r="A138" s="84" t="s">
        <v>630</v>
      </c>
      <c r="B138" s="194" t="s">
        <v>3854</v>
      </c>
      <c r="C138" s="84" t="s">
        <v>636</v>
      </c>
      <c r="D138" s="88" t="s">
        <v>1396</v>
      </c>
      <c r="E138" s="84" t="s">
        <v>3683</v>
      </c>
      <c r="F138" s="84" t="s">
        <v>629</v>
      </c>
      <c r="G138" s="84" t="s">
        <v>3766</v>
      </c>
      <c r="H138" s="84" t="s">
        <v>3521</v>
      </c>
      <c r="I138" s="84" t="s">
        <v>3684</v>
      </c>
      <c r="J138" s="84" t="s">
        <v>130</v>
      </c>
      <c r="K138" s="91"/>
      <c r="L138" s="87">
        <v>24.0</v>
      </c>
      <c r="M138" s="87">
        <v>0.0</v>
      </c>
      <c r="N138" s="87">
        <v>0.0</v>
      </c>
      <c r="O138" s="87">
        <v>0.0</v>
      </c>
      <c r="P138" s="87">
        <v>0.0</v>
      </c>
      <c r="Q138" s="87">
        <v>0.0</v>
      </c>
      <c r="T138" s="84" t="s">
        <v>984</v>
      </c>
      <c r="U138" s="87">
        <v>0.0</v>
      </c>
    </row>
    <row r="139">
      <c r="A139" s="84" t="s">
        <v>444</v>
      </c>
      <c r="B139" s="194" t="s">
        <v>3797</v>
      </c>
      <c r="C139" s="84" t="s">
        <v>447</v>
      </c>
      <c r="D139" s="88" t="s">
        <v>1396</v>
      </c>
      <c r="E139" s="84" t="s">
        <v>3683</v>
      </c>
      <c r="F139" s="84" t="s">
        <v>448</v>
      </c>
      <c r="G139" s="84" t="s">
        <v>3577</v>
      </c>
      <c r="H139" s="84" t="s">
        <v>3521</v>
      </c>
      <c r="I139" s="84" t="s">
        <v>3684</v>
      </c>
      <c r="J139" s="85"/>
      <c r="K139" s="91"/>
      <c r="L139" s="87">
        <v>24.0</v>
      </c>
      <c r="M139" s="87">
        <v>0.0</v>
      </c>
      <c r="N139" s="87">
        <v>0.0</v>
      </c>
      <c r="O139" s="87">
        <v>0.214286</v>
      </c>
      <c r="P139" s="87">
        <v>0.489478</v>
      </c>
      <c r="Q139" s="87">
        <v>0.388095</v>
      </c>
      <c r="T139" s="84" t="s">
        <v>990</v>
      </c>
      <c r="U139" s="87">
        <v>0.0</v>
      </c>
    </row>
    <row r="140">
      <c r="A140" s="84" t="s">
        <v>644</v>
      </c>
      <c r="B140" s="194" t="s">
        <v>3855</v>
      </c>
      <c r="C140" s="84" t="s">
        <v>731</v>
      </c>
      <c r="D140" s="88" t="s">
        <v>1396</v>
      </c>
      <c r="E140" s="84" t="s">
        <v>3683</v>
      </c>
      <c r="F140" s="84" t="s">
        <v>729</v>
      </c>
      <c r="G140" s="84" t="s">
        <v>3752</v>
      </c>
      <c r="H140" s="84" t="s">
        <v>3521</v>
      </c>
      <c r="I140" s="84" t="s">
        <v>3684</v>
      </c>
      <c r="J140" s="84" t="s">
        <v>215</v>
      </c>
      <c r="L140" s="87">
        <v>408.0</v>
      </c>
      <c r="M140" s="87">
        <v>0.0</v>
      </c>
      <c r="N140" s="87">
        <v>5.059046</v>
      </c>
      <c r="O140" s="87">
        <v>0.0</v>
      </c>
      <c r="P140" s="87">
        <v>0.035714</v>
      </c>
      <c r="Q140" s="87">
        <v>5.309621</v>
      </c>
      <c r="T140" s="84" t="s">
        <v>993</v>
      </c>
      <c r="U140" s="87">
        <v>0.0</v>
      </c>
    </row>
    <row r="141">
      <c r="A141" s="84" t="s">
        <v>644</v>
      </c>
      <c r="B141" s="194" t="s">
        <v>3686</v>
      </c>
      <c r="C141" s="84" t="s">
        <v>1175</v>
      </c>
      <c r="D141" s="88" t="s">
        <v>1396</v>
      </c>
      <c r="E141" s="84" t="s">
        <v>3683</v>
      </c>
      <c r="F141" s="84" t="s">
        <v>737</v>
      </c>
      <c r="G141" s="84" t="s">
        <v>3600</v>
      </c>
      <c r="I141" s="84" t="s">
        <v>3684</v>
      </c>
      <c r="J141" s="84" t="s">
        <v>215</v>
      </c>
      <c r="L141" s="87">
        <v>480.0</v>
      </c>
      <c r="M141" s="87">
        <v>0.0</v>
      </c>
      <c r="N141" s="87">
        <v>0.0</v>
      </c>
      <c r="O141" s="87">
        <v>0.0</v>
      </c>
      <c r="P141" s="87">
        <v>0.0</v>
      </c>
      <c r="Q141" s="87">
        <v>0.0</v>
      </c>
      <c r="T141" s="84" t="s">
        <v>992</v>
      </c>
      <c r="U141" s="87">
        <v>0.0</v>
      </c>
    </row>
    <row r="142">
      <c r="A142" s="84" t="s">
        <v>107</v>
      </c>
      <c r="B142" s="194" t="s">
        <v>3856</v>
      </c>
      <c r="C142" s="84" t="s">
        <v>135</v>
      </c>
      <c r="D142" s="88" t="s">
        <v>1396</v>
      </c>
      <c r="E142" s="84" t="s">
        <v>3683</v>
      </c>
      <c r="F142" s="84" t="s">
        <v>119</v>
      </c>
      <c r="G142" s="84" t="s">
        <v>3552</v>
      </c>
      <c r="H142" s="84" t="s">
        <v>3521</v>
      </c>
      <c r="I142" s="84" t="s">
        <v>3684</v>
      </c>
      <c r="J142" s="85"/>
      <c r="K142" s="85"/>
      <c r="L142" s="87">
        <v>144.0</v>
      </c>
      <c r="M142" s="87">
        <v>0.0</v>
      </c>
      <c r="N142" s="87">
        <v>0.376448</v>
      </c>
      <c r="O142" s="87">
        <v>0.628571</v>
      </c>
      <c r="P142" s="87">
        <v>0.842857</v>
      </c>
      <c r="Q142" s="87">
        <v>0.652609</v>
      </c>
      <c r="T142" s="84" t="s">
        <v>1005</v>
      </c>
      <c r="U142" s="87">
        <v>0.2</v>
      </c>
    </row>
    <row r="143">
      <c r="A143" s="84" t="s">
        <v>301</v>
      </c>
      <c r="B143" s="194" t="s">
        <v>3857</v>
      </c>
      <c r="C143" s="84" t="s">
        <v>329</v>
      </c>
      <c r="D143" s="88" t="s">
        <v>1396</v>
      </c>
      <c r="E143" s="84" t="s">
        <v>3683</v>
      </c>
      <c r="F143" s="84" t="s">
        <v>300</v>
      </c>
      <c r="G143" s="84" t="s">
        <v>3703</v>
      </c>
      <c r="H143" s="84" t="s">
        <v>3521</v>
      </c>
      <c r="I143" s="84" t="s">
        <v>3684</v>
      </c>
      <c r="J143" s="84" t="s">
        <v>130</v>
      </c>
      <c r="K143" s="91"/>
      <c r="L143" s="87">
        <v>312.0</v>
      </c>
      <c r="M143" s="87">
        <v>0.0</v>
      </c>
      <c r="N143" s="87">
        <v>0.75</v>
      </c>
      <c r="O143" s="87">
        <v>0.0</v>
      </c>
      <c r="P143" s="87">
        <v>0.0</v>
      </c>
      <c r="Q143" s="87">
        <v>0.947712</v>
      </c>
      <c r="T143" s="84" t="s">
        <v>999</v>
      </c>
      <c r="U143" s="87">
        <v>0.0</v>
      </c>
    </row>
    <row r="144">
      <c r="A144" s="84" t="s">
        <v>630</v>
      </c>
      <c r="B144" s="194" t="s">
        <v>3765</v>
      </c>
      <c r="C144" s="84" t="s">
        <v>637</v>
      </c>
      <c r="D144" s="88" t="s">
        <v>1396</v>
      </c>
      <c r="E144" s="84" t="s">
        <v>3683</v>
      </c>
      <c r="F144" s="84" t="s">
        <v>629</v>
      </c>
      <c r="G144" s="84" t="s">
        <v>3766</v>
      </c>
      <c r="I144" s="84" t="s">
        <v>3684</v>
      </c>
      <c r="J144" s="85"/>
      <c r="K144" s="85"/>
      <c r="L144" s="87">
        <v>552.0</v>
      </c>
      <c r="M144" s="87">
        <v>0.0</v>
      </c>
      <c r="N144" s="87">
        <v>0.0</v>
      </c>
      <c r="O144" s="87">
        <v>0.0</v>
      </c>
      <c r="P144" s="87">
        <v>0.0</v>
      </c>
      <c r="Q144" s="87">
        <v>0.0</v>
      </c>
      <c r="T144" s="84" t="s">
        <v>743</v>
      </c>
      <c r="U144" s="87">
        <v>6.593398268</v>
      </c>
    </row>
    <row r="145">
      <c r="A145" s="84" t="s">
        <v>444</v>
      </c>
      <c r="B145" s="194" t="s">
        <v>3779</v>
      </c>
      <c r="C145" s="84" t="s">
        <v>451</v>
      </c>
      <c r="D145" s="88" t="s">
        <v>1396</v>
      </c>
      <c r="E145" s="84" t="s">
        <v>3683</v>
      </c>
      <c r="F145" s="84" t="s">
        <v>448</v>
      </c>
      <c r="G145" s="84" t="s">
        <v>3577</v>
      </c>
      <c r="I145" s="84" t="s">
        <v>3684</v>
      </c>
      <c r="J145" s="85"/>
      <c r="K145" s="85"/>
      <c r="L145" s="87">
        <v>552.0</v>
      </c>
      <c r="M145" s="87">
        <v>0.0</v>
      </c>
      <c r="N145" s="87">
        <v>0.0</v>
      </c>
      <c r="O145" s="87">
        <v>0.0</v>
      </c>
      <c r="P145" s="87">
        <v>0.0</v>
      </c>
      <c r="Q145" s="87">
        <v>0.0</v>
      </c>
      <c r="T145" s="84" t="s">
        <v>194</v>
      </c>
      <c r="U145" s="87">
        <v>0.0</v>
      </c>
    </row>
    <row r="146">
      <c r="A146" s="84" t="s">
        <v>439</v>
      </c>
      <c r="B146" s="194" t="s">
        <v>3858</v>
      </c>
      <c r="C146" s="84" t="s">
        <v>1301</v>
      </c>
      <c r="D146" s="88" t="s">
        <v>1396</v>
      </c>
      <c r="E146" s="84" t="s">
        <v>3687</v>
      </c>
      <c r="F146" s="84" t="s">
        <v>938</v>
      </c>
      <c r="G146" s="84" t="s">
        <v>3859</v>
      </c>
      <c r="I146" s="84" t="s">
        <v>3709</v>
      </c>
      <c r="J146" s="84" t="s">
        <v>3839</v>
      </c>
      <c r="K146" s="91"/>
      <c r="L146" s="87">
        <v>72.0</v>
      </c>
      <c r="M146" s="87">
        <v>0.0</v>
      </c>
      <c r="N146" s="87">
        <v>0.0</v>
      </c>
      <c r="O146" s="87">
        <v>0.0</v>
      </c>
      <c r="P146" s="87">
        <v>0.0</v>
      </c>
      <c r="Q146" s="87">
        <v>0.0</v>
      </c>
      <c r="T146" s="84" t="s">
        <v>351</v>
      </c>
      <c r="U146" s="87">
        <v>94.70624376</v>
      </c>
    </row>
    <row r="147">
      <c r="A147" s="84" t="s">
        <v>139</v>
      </c>
      <c r="B147" s="194" t="s">
        <v>3860</v>
      </c>
      <c r="C147" s="84" t="s">
        <v>1318</v>
      </c>
      <c r="D147" s="88" t="s">
        <v>1396</v>
      </c>
      <c r="E147" s="84" t="s">
        <v>3683</v>
      </c>
      <c r="F147" s="84" t="s">
        <v>3861</v>
      </c>
      <c r="G147" s="84" t="s">
        <v>3861</v>
      </c>
      <c r="H147" s="84" t="s">
        <v>3521</v>
      </c>
      <c r="I147" s="84" t="s">
        <v>3684</v>
      </c>
      <c r="J147" s="84" t="s">
        <v>215</v>
      </c>
      <c r="K147" s="84" t="s">
        <v>111</v>
      </c>
      <c r="L147" s="87">
        <v>192.0</v>
      </c>
      <c r="M147" s="87">
        <v>0.0</v>
      </c>
      <c r="N147" s="87">
        <v>0.975</v>
      </c>
      <c r="O147" s="87">
        <v>0.0</v>
      </c>
      <c r="P147" s="87">
        <v>0.033333</v>
      </c>
      <c r="Q147" s="87">
        <v>1.174176</v>
      </c>
      <c r="T147" s="84" t="s">
        <v>410</v>
      </c>
      <c r="U147" s="87">
        <v>0.0</v>
      </c>
    </row>
    <row r="148">
      <c r="A148" s="84" t="s">
        <v>444</v>
      </c>
      <c r="B148" s="194" t="s">
        <v>3862</v>
      </c>
      <c r="C148" s="84" t="s">
        <v>449</v>
      </c>
      <c r="D148" s="88" t="s">
        <v>1396</v>
      </c>
      <c r="E148" s="84" t="s">
        <v>3683</v>
      </c>
      <c r="F148" s="84" t="s">
        <v>448</v>
      </c>
      <c r="G148" s="84" t="s">
        <v>3577</v>
      </c>
      <c r="H148" s="84" t="s">
        <v>3521</v>
      </c>
      <c r="I148" s="84" t="s">
        <v>3684</v>
      </c>
      <c r="J148" s="84" t="s">
        <v>130</v>
      </c>
      <c r="K148" s="85"/>
      <c r="L148" s="87">
        <v>48.0</v>
      </c>
      <c r="M148" s="87">
        <v>0.0</v>
      </c>
      <c r="N148" s="87">
        <v>0.0</v>
      </c>
      <c r="O148" s="87">
        <v>0.0</v>
      </c>
      <c r="P148" s="87">
        <v>0.0</v>
      </c>
      <c r="Q148" s="87">
        <v>0.0</v>
      </c>
      <c r="T148" s="84" t="s">
        <v>412</v>
      </c>
      <c r="U148" s="87">
        <v>0.0</v>
      </c>
    </row>
    <row r="149">
      <c r="A149" s="84" t="s">
        <v>481</v>
      </c>
      <c r="B149" s="194" t="s">
        <v>3863</v>
      </c>
      <c r="C149" s="84" t="s">
        <v>522</v>
      </c>
      <c r="D149" s="88" t="s">
        <v>1396</v>
      </c>
      <c r="E149" s="84" t="s">
        <v>3683</v>
      </c>
      <c r="F149" s="84" t="s">
        <v>516</v>
      </c>
      <c r="G149" s="84" t="s">
        <v>3593</v>
      </c>
      <c r="I149" s="84" t="s">
        <v>3684</v>
      </c>
      <c r="J149" s="91"/>
      <c r="K149" s="91"/>
      <c r="L149" s="87">
        <v>456.0</v>
      </c>
      <c r="M149" s="87">
        <v>0.0</v>
      </c>
      <c r="N149" s="87">
        <v>0.0</v>
      </c>
      <c r="O149" s="87">
        <v>0.0</v>
      </c>
      <c r="P149" s="87">
        <v>0.0</v>
      </c>
      <c r="Q149" s="87">
        <v>0.0</v>
      </c>
      <c r="T149" s="84" t="s">
        <v>413</v>
      </c>
      <c r="U149" s="87">
        <v>0.0</v>
      </c>
    </row>
    <row r="150">
      <c r="A150" s="84" t="s">
        <v>1130</v>
      </c>
      <c r="B150" s="194" t="s">
        <v>3864</v>
      </c>
      <c r="C150" s="84" t="s">
        <v>1134</v>
      </c>
      <c r="D150" s="88" t="s">
        <v>1396</v>
      </c>
      <c r="E150" s="84" t="s">
        <v>3687</v>
      </c>
      <c r="F150" s="84" t="s">
        <v>973</v>
      </c>
      <c r="G150" s="84" t="s">
        <v>3582</v>
      </c>
      <c r="I150" s="84" t="s">
        <v>3684</v>
      </c>
      <c r="J150" s="91"/>
      <c r="K150" s="91"/>
      <c r="L150" s="87">
        <v>552.0</v>
      </c>
      <c r="M150" s="87">
        <v>0.0</v>
      </c>
      <c r="N150" s="87">
        <v>0.0</v>
      </c>
      <c r="O150" s="87">
        <v>0.0</v>
      </c>
      <c r="P150" s="87">
        <v>0.0</v>
      </c>
      <c r="Q150" s="87">
        <v>0.0</v>
      </c>
      <c r="T150" s="84" t="s">
        <v>897</v>
      </c>
      <c r="U150" s="87">
        <v>2.306693307</v>
      </c>
    </row>
    <row r="151">
      <c r="A151" s="84" t="s">
        <v>537</v>
      </c>
      <c r="B151" s="194" t="s">
        <v>3865</v>
      </c>
      <c r="C151" s="84" t="s">
        <v>1311</v>
      </c>
      <c r="D151" s="88" t="s">
        <v>1396</v>
      </c>
      <c r="E151" s="84" t="s">
        <v>3683</v>
      </c>
      <c r="F151" s="84" t="s">
        <v>1041</v>
      </c>
      <c r="G151" s="84" t="s">
        <v>3590</v>
      </c>
      <c r="H151" s="84" t="s">
        <v>3521</v>
      </c>
      <c r="I151" s="84" t="s">
        <v>3693</v>
      </c>
      <c r="J151" s="91"/>
      <c r="K151" s="85"/>
      <c r="L151" s="87">
        <v>38.0</v>
      </c>
      <c r="M151" s="87">
        <v>2.0</v>
      </c>
      <c r="N151" s="87">
        <v>0.521978</v>
      </c>
      <c r="O151" s="87">
        <v>1.532967</v>
      </c>
      <c r="P151" s="87">
        <v>1.380186</v>
      </c>
      <c r="Q151" s="87">
        <v>1.214145</v>
      </c>
      <c r="T151" s="84" t="s">
        <v>902</v>
      </c>
      <c r="U151" s="87">
        <v>3.009110334</v>
      </c>
    </row>
    <row r="152">
      <c r="A152" s="84" t="s">
        <v>537</v>
      </c>
      <c r="B152" s="194" t="s">
        <v>3865</v>
      </c>
      <c r="C152" s="84" t="s">
        <v>1311</v>
      </c>
      <c r="D152" s="88" t="s">
        <v>1396</v>
      </c>
      <c r="E152" s="84" t="s">
        <v>3683</v>
      </c>
      <c r="F152" s="84" t="s">
        <v>1041</v>
      </c>
      <c r="G152" s="84" t="s">
        <v>3590</v>
      </c>
      <c r="H152" s="84" t="s">
        <v>3521</v>
      </c>
      <c r="I152" s="84" t="s">
        <v>3693</v>
      </c>
      <c r="J152" s="91"/>
      <c r="K152" s="84" t="s">
        <v>111</v>
      </c>
      <c r="L152" s="87">
        <v>456.0</v>
      </c>
      <c r="M152" s="87">
        <v>0.0</v>
      </c>
      <c r="N152" s="87">
        <v>0.0</v>
      </c>
      <c r="O152" s="87">
        <v>0.0</v>
      </c>
      <c r="P152" s="87">
        <v>0.0</v>
      </c>
      <c r="Q152" s="87">
        <v>0.0</v>
      </c>
      <c r="T152" s="84" t="s">
        <v>901</v>
      </c>
      <c r="U152" s="87">
        <v>2.669069819</v>
      </c>
    </row>
    <row r="153">
      <c r="A153" s="84" t="s">
        <v>616</v>
      </c>
      <c r="B153" s="194" t="s">
        <v>3866</v>
      </c>
      <c r="C153" s="84" t="s">
        <v>1074</v>
      </c>
      <c r="D153" s="88" t="s">
        <v>1396</v>
      </c>
      <c r="E153" s="84" t="s">
        <v>3683</v>
      </c>
      <c r="F153" s="84" t="s">
        <v>1075</v>
      </c>
      <c r="G153" s="84" t="s">
        <v>3542</v>
      </c>
      <c r="H153" s="84" t="s">
        <v>3521</v>
      </c>
      <c r="I153" s="84" t="s">
        <v>3684</v>
      </c>
      <c r="J153" s="84" t="s">
        <v>130</v>
      </c>
      <c r="K153" s="85"/>
      <c r="L153" s="87">
        <v>24.0</v>
      </c>
      <c r="M153" s="87">
        <v>0.0</v>
      </c>
      <c r="N153" s="87">
        <v>0.0</v>
      </c>
      <c r="O153" s="87">
        <v>0.0</v>
      </c>
      <c r="P153" s="87">
        <v>0.0</v>
      </c>
      <c r="Q153" s="87">
        <v>0.0</v>
      </c>
      <c r="T153" s="84" t="s">
        <v>1061</v>
      </c>
      <c r="U153" s="87">
        <v>0.0</v>
      </c>
    </row>
    <row r="154">
      <c r="A154" s="84" t="s">
        <v>601</v>
      </c>
      <c r="B154" s="194" t="s">
        <v>3852</v>
      </c>
      <c r="C154" s="84" t="s">
        <v>607</v>
      </c>
      <c r="D154" s="88" t="s">
        <v>1396</v>
      </c>
      <c r="E154" s="84" t="s">
        <v>3683</v>
      </c>
      <c r="F154" s="84" t="s">
        <v>608</v>
      </c>
      <c r="G154" s="84" t="s">
        <v>3853</v>
      </c>
      <c r="H154" s="84" t="s">
        <v>3521</v>
      </c>
      <c r="I154" s="84" t="s">
        <v>3684</v>
      </c>
      <c r="J154" s="91"/>
      <c r="K154" s="85"/>
      <c r="L154" s="87">
        <v>0.0</v>
      </c>
      <c r="M154" s="87">
        <v>0.0</v>
      </c>
      <c r="N154" s="87">
        <v>0.0</v>
      </c>
      <c r="O154" s="87">
        <v>0.214286</v>
      </c>
      <c r="P154" s="87">
        <v>0.172751</v>
      </c>
      <c r="Q154" s="87">
        <v>0.151452</v>
      </c>
      <c r="T154" s="84" t="s">
        <v>1059</v>
      </c>
      <c r="U154" s="87">
        <v>0.0</v>
      </c>
    </row>
    <row r="155">
      <c r="A155" s="84" t="s">
        <v>630</v>
      </c>
      <c r="B155" s="194" t="s">
        <v>3867</v>
      </c>
      <c r="C155" s="84" t="s">
        <v>634</v>
      </c>
      <c r="D155" s="88" t="s">
        <v>1396</v>
      </c>
      <c r="E155" s="84" t="s">
        <v>3683</v>
      </c>
      <c r="F155" s="84" t="s">
        <v>629</v>
      </c>
      <c r="G155" s="84" t="s">
        <v>3766</v>
      </c>
      <c r="H155" s="84" t="s">
        <v>3521</v>
      </c>
      <c r="I155" s="84" t="s">
        <v>3684</v>
      </c>
      <c r="J155" s="84" t="s">
        <v>130</v>
      </c>
      <c r="K155" s="85"/>
      <c r="L155" s="87">
        <v>48.0</v>
      </c>
      <c r="M155" s="87">
        <v>0.0</v>
      </c>
      <c r="N155" s="87">
        <v>0.111111</v>
      </c>
      <c r="O155" s="87">
        <v>0.0</v>
      </c>
      <c r="P155" s="87">
        <v>0.0</v>
      </c>
      <c r="Q155" s="87">
        <v>0.111111</v>
      </c>
      <c r="T155" s="84" t="s">
        <v>662</v>
      </c>
      <c r="U155" s="87">
        <v>0.0</v>
      </c>
    </row>
    <row r="156">
      <c r="A156" s="84" t="s">
        <v>481</v>
      </c>
      <c r="B156" s="194" t="s">
        <v>3868</v>
      </c>
      <c r="C156" s="84" t="s">
        <v>500</v>
      </c>
      <c r="D156" s="88" t="s">
        <v>1396</v>
      </c>
      <c r="E156" s="84" t="s">
        <v>3683</v>
      </c>
      <c r="F156" s="84" t="s">
        <v>491</v>
      </c>
      <c r="G156" s="84" t="s">
        <v>3560</v>
      </c>
      <c r="H156" s="84" t="s">
        <v>3521</v>
      </c>
      <c r="I156" s="84" t="s">
        <v>3684</v>
      </c>
      <c r="J156" s="84" t="s">
        <v>130</v>
      </c>
      <c r="K156" s="91"/>
      <c r="L156" s="87">
        <v>24.0</v>
      </c>
      <c r="M156" s="87">
        <v>0.0</v>
      </c>
      <c r="N156" s="87">
        <v>0.0</v>
      </c>
      <c r="O156" s="87">
        <v>0.0</v>
      </c>
      <c r="P156" s="87">
        <v>0.0</v>
      </c>
      <c r="Q156" s="87">
        <v>0.0</v>
      </c>
      <c r="T156" s="84" t="s">
        <v>667</v>
      </c>
      <c r="U156" s="87">
        <v>0.0</v>
      </c>
    </row>
    <row r="157">
      <c r="A157" s="84" t="s">
        <v>537</v>
      </c>
      <c r="B157" s="194" t="s">
        <v>3767</v>
      </c>
      <c r="C157" s="84" t="s">
        <v>1053</v>
      </c>
      <c r="D157" s="88" t="s">
        <v>1396</v>
      </c>
      <c r="E157" s="84" t="s">
        <v>3683</v>
      </c>
      <c r="F157" s="84" t="s">
        <v>1047</v>
      </c>
      <c r="G157" s="84" t="s">
        <v>3592</v>
      </c>
      <c r="I157" s="84" t="s">
        <v>3693</v>
      </c>
      <c r="J157" s="91"/>
      <c r="K157" s="85"/>
      <c r="L157" s="87">
        <v>0.0</v>
      </c>
      <c r="M157" s="87">
        <v>0.0</v>
      </c>
      <c r="N157" s="87">
        <v>0.0</v>
      </c>
      <c r="O157" s="87">
        <v>0.0</v>
      </c>
      <c r="P157" s="87">
        <v>0.0</v>
      </c>
      <c r="Q157" s="87">
        <v>0.0</v>
      </c>
      <c r="T157" s="84" t="s">
        <v>665</v>
      </c>
      <c r="U157" s="87">
        <v>0.0</v>
      </c>
    </row>
    <row r="158">
      <c r="A158" s="84" t="s">
        <v>472</v>
      </c>
      <c r="B158" s="194" t="s">
        <v>3869</v>
      </c>
      <c r="C158" s="84" t="s">
        <v>1343</v>
      </c>
      <c r="D158" s="88" t="s">
        <v>1396</v>
      </c>
      <c r="E158" s="84" t="s">
        <v>3683</v>
      </c>
      <c r="F158" s="84" t="s">
        <v>3870</v>
      </c>
      <c r="G158" s="84" t="s">
        <v>3586</v>
      </c>
      <c r="H158" s="84" t="s">
        <v>3521</v>
      </c>
      <c r="I158" s="84" t="s">
        <v>3684</v>
      </c>
      <c r="J158" s="84" t="s">
        <v>130</v>
      </c>
      <c r="K158" s="85"/>
      <c r="L158" s="87">
        <v>24.0</v>
      </c>
      <c r="M158" s="87">
        <v>0.0</v>
      </c>
      <c r="N158" s="87">
        <v>0.0</v>
      </c>
      <c r="O158" s="87">
        <v>0.0</v>
      </c>
      <c r="P158" s="87">
        <v>0.0</v>
      </c>
      <c r="Q158" s="87">
        <v>0.0</v>
      </c>
      <c r="T158" s="84" t="s">
        <v>666</v>
      </c>
      <c r="U158" s="87">
        <v>0.0</v>
      </c>
    </row>
    <row r="159">
      <c r="A159" s="84" t="s">
        <v>180</v>
      </c>
      <c r="B159" s="194" t="s">
        <v>3833</v>
      </c>
      <c r="C159" s="84" t="s">
        <v>198</v>
      </c>
      <c r="D159" s="88" t="s">
        <v>1396</v>
      </c>
      <c r="E159" s="84" t="s">
        <v>3683</v>
      </c>
      <c r="F159" s="84" t="s">
        <v>190</v>
      </c>
      <c r="G159" s="84" t="s">
        <v>3708</v>
      </c>
      <c r="H159" s="84" t="s">
        <v>3521</v>
      </c>
      <c r="I159" s="84" t="s">
        <v>3709</v>
      </c>
      <c r="J159" s="84" t="s">
        <v>130</v>
      </c>
      <c r="K159" s="91"/>
      <c r="L159" s="87">
        <v>24.0</v>
      </c>
      <c r="M159" s="87">
        <v>0.0</v>
      </c>
      <c r="N159" s="87">
        <v>0.0</v>
      </c>
      <c r="O159" s="87">
        <v>0.0</v>
      </c>
      <c r="P159" s="87">
        <v>0.0</v>
      </c>
      <c r="Q159" s="87">
        <v>0.0</v>
      </c>
      <c r="T159" s="84" t="s">
        <v>664</v>
      </c>
      <c r="U159" s="87">
        <v>0.0</v>
      </c>
    </row>
    <row r="160">
      <c r="A160" s="84" t="s">
        <v>644</v>
      </c>
      <c r="B160" s="194" t="s">
        <v>3871</v>
      </c>
      <c r="C160" s="84" t="s">
        <v>667</v>
      </c>
      <c r="D160" s="88" t="s">
        <v>1396</v>
      </c>
      <c r="E160" s="84" t="s">
        <v>3683</v>
      </c>
      <c r="F160" s="84" t="s">
        <v>658</v>
      </c>
      <c r="G160" s="84" t="s">
        <v>3801</v>
      </c>
      <c r="H160" s="84" t="s">
        <v>3521</v>
      </c>
      <c r="I160" s="84" t="s">
        <v>3684</v>
      </c>
      <c r="J160" s="91"/>
      <c r="K160" s="91"/>
      <c r="L160" s="87">
        <v>0.0</v>
      </c>
      <c r="M160" s="87">
        <v>0.0</v>
      </c>
      <c r="N160" s="87">
        <v>0.0</v>
      </c>
      <c r="O160" s="87">
        <v>0.0</v>
      </c>
      <c r="P160" s="87">
        <v>0.0</v>
      </c>
      <c r="Q160" s="87">
        <v>0.016667</v>
      </c>
      <c r="T160" s="84" t="s">
        <v>668</v>
      </c>
      <c r="U160" s="87">
        <v>0.0</v>
      </c>
    </row>
    <row r="161">
      <c r="A161" s="84" t="s">
        <v>180</v>
      </c>
      <c r="B161" s="194" t="s">
        <v>3872</v>
      </c>
      <c r="C161" s="84" t="s">
        <v>829</v>
      </c>
      <c r="D161" s="88" t="s">
        <v>1396</v>
      </c>
      <c r="E161" s="84" t="s">
        <v>3683</v>
      </c>
      <c r="F161" s="84" t="s">
        <v>830</v>
      </c>
      <c r="G161" s="84" t="s">
        <v>3549</v>
      </c>
      <c r="H161" s="84" t="s">
        <v>3507</v>
      </c>
      <c r="I161" s="84" t="s">
        <v>3684</v>
      </c>
      <c r="J161" s="84" t="s">
        <v>130</v>
      </c>
      <c r="K161" s="84" t="s">
        <v>111</v>
      </c>
      <c r="L161" s="87">
        <v>24.0</v>
      </c>
      <c r="M161" s="87">
        <v>0.0</v>
      </c>
      <c r="N161" s="87">
        <v>0.0</v>
      </c>
      <c r="O161" s="87">
        <v>0.0</v>
      </c>
      <c r="P161" s="87">
        <v>0.0</v>
      </c>
      <c r="Q161" s="87">
        <v>0.0</v>
      </c>
      <c r="T161" s="84" t="s">
        <v>663</v>
      </c>
      <c r="U161" s="87">
        <v>0.0</v>
      </c>
    </row>
    <row r="162">
      <c r="A162" s="84" t="s">
        <v>601</v>
      </c>
      <c r="B162" s="194" t="s">
        <v>3873</v>
      </c>
      <c r="C162" s="84" t="s">
        <v>604</v>
      </c>
      <c r="D162" s="88" t="s">
        <v>1396</v>
      </c>
      <c r="E162" s="84" t="s">
        <v>3687</v>
      </c>
      <c r="F162" s="84" t="s">
        <v>605</v>
      </c>
      <c r="G162" s="84" t="s">
        <v>3874</v>
      </c>
      <c r="I162" s="84" t="s">
        <v>3684</v>
      </c>
      <c r="J162" s="84" t="s">
        <v>130</v>
      </c>
      <c r="K162" s="91"/>
      <c r="L162" s="87">
        <v>24.0</v>
      </c>
      <c r="M162" s="87">
        <v>0.0</v>
      </c>
      <c r="N162" s="87">
        <v>0.0</v>
      </c>
      <c r="O162" s="87">
        <v>0.0</v>
      </c>
      <c r="P162" s="87">
        <v>0.0</v>
      </c>
      <c r="Q162" s="87">
        <v>0.0</v>
      </c>
      <c r="T162" s="84" t="s">
        <v>661</v>
      </c>
      <c r="U162" s="87">
        <v>0.0</v>
      </c>
    </row>
    <row r="163">
      <c r="A163" s="84" t="s">
        <v>444</v>
      </c>
      <c r="B163" s="194" t="s">
        <v>3875</v>
      </c>
      <c r="C163" s="84" t="s">
        <v>3876</v>
      </c>
      <c r="D163" s="88" t="s">
        <v>1396</v>
      </c>
      <c r="E163" s="84" t="s">
        <v>3687</v>
      </c>
      <c r="F163" s="84" t="s">
        <v>3877</v>
      </c>
      <c r="G163" s="84" t="s">
        <v>3878</v>
      </c>
      <c r="H163" s="84" t="s">
        <v>3521</v>
      </c>
      <c r="I163" s="84" t="s">
        <v>3684</v>
      </c>
      <c r="J163" s="85"/>
      <c r="K163" s="84" t="s">
        <v>111</v>
      </c>
      <c r="L163" s="87">
        <v>48.0</v>
      </c>
      <c r="M163" s="87">
        <v>0.0</v>
      </c>
      <c r="N163" s="87">
        <v>0.0</v>
      </c>
      <c r="O163" s="87">
        <v>0.0</v>
      </c>
      <c r="P163" s="87">
        <v>0.0</v>
      </c>
      <c r="Q163" s="87">
        <v>0.0</v>
      </c>
      <c r="T163" s="84" t="s">
        <v>1236</v>
      </c>
      <c r="U163" s="87">
        <v>0.0</v>
      </c>
    </row>
    <row r="164">
      <c r="A164" s="84" t="s">
        <v>644</v>
      </c>
      <c r="B164" s="194" t="s">
        <v>3879</v>
      </c>
      <c r="C164" s="84" t="s">
        <v>663</v>
      </c>
      <c r="D164" s="88" t="s">
        <v>1396</v>
      </c>
      <c r="E164" s="84" t="s">
        <v>3683</v>
      </c>
      <c r="F164" s="84" t="s">
        <v>658</v>
      </c>
      <c r="G164" s="84" t="s">
        <v>3801</v>
      </c>
      <c r="H164" s="84" t="s">
        <v>3521</v>
      </c>
      <c r="I164" s="84" t="s">
        <v>3684</v>
      </c>
      <c r="J164" s="85"/>
      <c r="K164" s="84" t="s">
        <v>111</v>
      </c>
      <c r="L164" s="87">
        <v>720.0</v>
      </c>
      <c r="M164" s="87">
        <v>0.0</v>
      </c>
      <c r="N164" s="87">
        <v>0.111111</v>
      </c>
      <c r="O164" s="87">
        <v>0.111111</v>
      </c>
      <c r="P164" s="87">
        <v>0.04</v>
      </c>
      <c r="Q164" s="87">
        <v>0.019608</v>
      </c>
      <c r="T164" s="84" t="s">
        <v>283</v>
      </c>
      <c r="U164" s="87">
        <v>0.607226107</v>
      </c>
    </row>
    <row r="165">
      <c r="A165" s="84" t="s">
        <v>537</v>
      </c>
      <c r="B165" s="194" t="s">
        <v>3880</v>
      </c>
      <c r="C165" s="84" t="s">
        <v>565</v>
      </c>
      <c r="D165" s="88" t="s">
        <v>1396</v>
      </c>
      <c r="E165" s="84" t="s">
        <v>3683</v>
      </c>
      <c r="F165" s="84" t="s">
        <v>558</v>
      </c>
      <c r="G165" s="84" t="s">
        <v>3602</v>
      </c>
      <c r="H165" s="84" t="s">
        <v>3521</v>
      </c>
      <c r="I165" s="84" t="s">
        <v>3693</v>
      </c>
      <c r="J165" s="91"/>
      <c r="K165" s="91"/>
      <c r="L165" s="87">
        <v>0.0</v>
      </c>
      <c r="M165" s="87">
        <v>1.0</v>
      </c>
      <c r="N165" s="87">
        <v>0.0</v>
      </c>
      <c r="O165" s="87">
        <v>1.0</v>
      </c>
      <c r="P165" s="87">
        <v>0.967816</v>
      </c>
      <c r="Q165" s="87">
        <v>1.081831</v>
      </c>
      <c r="T165" s="84" t="s">
        <v>280</v>
      </c>
      <c r="U165" s="87">
        <v>1.286111111</v>
      </c>
    </row>
    <row r="166">
      <c r="A166" s="84" t="s">
        <v>644</v>
      </c>
      <c r="B166" s="194" t="s">
        <v>3881</v>
      </c>
      <c r="C166" s="84" t="s">
        <v>1169</v>
      </c>
      <c r="D166" s="88" t="s">
        <v>1396</v>
      </c>
      <c r="E166" s="84" t="s">
        <v>3683</v>
      </c>
      <c r="F166" s="84" t="s">
        <v>1170</v>
      </c>
      <c r="G166" s="84" t="s">
        <v>3600</v>
      </c>
      <c r="H166" s="84" t="s">
        <v>3521</v>
      </c>
      <c r="I166" s="84" t="s">
        <v>3684</v>
      </c>
      <c r="J166" s="84" t="s">
        <v>130</v>
      </c>
      <c r="K166" s="85"/>
      <c r="L166" s="87">
        <v>600.0</v>
      </c>
      <c r="M166" s="87">
        <v>1.0</v>
      </c>
      <c r="N166" s="87">
        <v>2.639075</v>
      </c>
      <c r="O166" s="87">
        <v>1.277778</v>
      </c>
      <c r="P166" s="87">
        <v>0.903102</v>
      </c>
      <c r="Q166" s="87">
        <v>2.286242</v>
      </c>
      <c r="T166" s="84" t="s">
        <v>285</v>
      </c>
      <c r="U166" s="87">
        <v>1.923543124</v>
      </c>
    </row>
    <row r="167">
      <c r="A167" s="84" t="s">
        <v>107</v>
      </c>
      <c r="B167" s="194" t="s">
        <v>3856</v>
      </c>
      <c r="C167" s="84" t="s">
        <v>135</v>
      </c>
      <c r="D167" s="88" t="s">
        <v>1396</v>
      </c>
      <c r="E167" s="84" t="s">
        <v>3683</v>
      </c>
      <c r="F167" s="84" t="s">
        <v>119</v>
      </c>
      <c r="G167" s="84" t="s">
        <v>3552</v>
      </c>
      <c r="H167" s="84" t="s">
        <v>3521</v>
      </c>
      <c r="I167" s="84" t="s">
        <v>3684</v>
      </c>
      <c r="J167" s="85"/>
      <c r="K167" s="84" t="s">
        <v>111</v>
      </c>
      <c r="L167" s="87">
        <v>816.0</v>
      </c>
      <c r="M167" s="87">
        <v>0.0</v>
      </c>
      <c r="N167" s="87">
        <v>0.0</v>
      </c>
      <c r="O167" s="87">
        <v>0.0</v>
      </c>
      <c r="P167" s="87">
        <v>0.0</v>
      </c>
      <c r="Q167" s="87">
        <v>0.0</v>
      </c>
      <c r="T167" s="84" t="s">
        <v>372</v>
      </c>
      <c r="U167" s="87">
        <v>0.0</v>
      </c>
    </row>
    <row r="168">
      <c r="A168" s="84" t="s">
        <v>363</v>
      </c>
      <c r="B168" s="194" t="s">
        <v>3882</v>
      </c>
      <c r="C168" s="84" t="s">
        <v>1325</v>
      </c>
      <c r="D168" s="88" t="s">
        <v>1396</v>
      </c>
      <c r="E168" s="84" t="s">
        <v>3687</v>
      </c>
      <c r="F168" s="84" t="s">
        <v>3883</v>
      </c>
      <c r="G168" s="84" t="s">
        <v>3566</v>
      </c>
      <c r="H168" s="84" t="s">
        <v>3513</v>
      </c>
      <c r="I168" s="84" t="s">
        <v>3709</v>
      </c>
      <c r="J168" s="91"/>
      <c r="K168" s="91"/>
      <c r="L168" s="87">
        <v>480.0</v>
      </c>
      <c r="M168" s="87">
        <v>0.0</v>
      </c>
      <c r="N168" s="87">
        <v>0.0</v>
      </c>
      <c r="O168" s="87">
        <v>0.0</v>
      </c>
      <c r="P168" s="87">
        <v>0.0</v>
      </c>
      <c r="Q168" s="87">
        <v>0.0</v>
      </c>
      <c r="T168" s="84" t="s">
        <v>178</v>
      </c>
      <c r="U168" s="87">
        <v>0.540909091</v>
      </c>
    </row>
    <row r="169">
      <c r="A169" s="84" t="s">
        <v>458</v>
      </c>
      <c r="B169" s="194" t="s">
        <v>3884</v>
      </c>
      <c r="C169" s="84" t="s">
        <v>456</v>
      </c>
      <c r="D169" s="88" t="s">
        <v>1396</v>
      </c>
      <c r="E169" s="84" t="s">
        <v>3683</v>
      </c>
      <c r="F169" s="84" t="s">
        <v>457</v>
      </c>
      <c r="G169" s="84" t="s">
        <v>3560</v>
      </c>
      <c r="I169" s="84" t="s">
        <v>3684</v>
      </c>
      <c r="J169" s="85"/>
      <c r="K169" s="85"/>
      <c r="L169" s="87">
        <v>552.0</v>
      </c>
      <c r="M169" s="87">
        <v>0.0</v>
      </c>
      <c r="N169" s="87">
        <v>0.0</v>
      </c>
      <c r="O169" s="87">
        <v>0.0</v>
      </c>
      <c r="P169" s="87">
        <v>0.034483</v>
      </c>
      <c r="Q169" s="87">
        <v>0.034483</v>
      </c>
      <c r="T169" s="84" t="s">
        <v>1289</v>
      </c>
      <c r="U169" s="87">
        <v>73.16085026</v>
      </c>
    </row>
    <row r="170">
      <c r="A170" s="84" t="s">
        <v>301</v>
      </c>
      <c r="B170" s="194" t="s">
        <v>3885</v>
      </c>
      <c r="C170" s="84" t="s">
        <v>315</v>
      </c>
      <c r="D170" s="88" t="s">
        <v>1396</v>
      </c>
      <c r="E170" s="84" t="s">
        <v>3683</v>
      </c>
      <c r="F170" s="84" t="s">
        <v>300</v>
      </c>
      <c r="G170" s="84" t="s">
        <v>3703</v>
      </c>
      <c r="H170" s="84" t="s">
        <v>3521</v>
      </c>
      <c r="I170" s="84" t="s">
        <v>3684</v>
      </c>
      <c r="J170" s="84" t="s">
        <v>130</v>
      </c>
      <c r="K170" s="85"/>
      <c r="L170" s="87">
        <v>216.0</v>
      </c>
      <c r="M170" s="87">
        <v>0.0</v>
      </c>
      <c r="N170" s="87">
        <v>0.251957</v>
      </c>
      <c r="O170" s="87">
        <v>0.0</v>
      </c>
      <c r="P170" s="87">
        <v>0.236111</v>
      </c>
      <c r="Q170" s="87">
        <v>0.301957</v>
      </c>
      <c r="T170" s="84" t="s">
        <v>1284</v>
      </c>
      <c r="U170" s="87">
        <v>0.142857143</v>
      </c>
    </row>
    <row r="171">
      <c r="A171" s="84" t="s">
        <v>537</v>
      </c>
      <c r="B171" s="194" t="s">
        <v>3886</v>
      </c>
      <c r="C171" s="84" t="s">
        <v>563</v>
      </c>
      <c r="D171" s="88" t="s">
        <v>1396</v>
      </c>
      <c r="E171" s="84" t="s">
        <v>3683</v>
      </c>
      <c r="F171" s="84" t="s">
        <v>558</v>
      </c>
      <c r="G171" s="84" t="s">
        <v>3602</v>
      </c>
      <c r="H171" s="84" t="s">
        <v>3521</v>
      </c>
      <c r="I171" s="84" t="s">
        <v>3693</v>
      </c>
      <c r="J171" s="85"/>
      <c r="K171" s="84" t="s">
        <v>111</v>
      </c>
      <c r="L171" s="87">
        <v>216.0</v>
      </c>
      <c r="M171" s="87">
        <v>0.0</v>
      </c>
      <c r="N171" s="87">
        <v>0.0</v>
      </c>
      <c r="O171" s="87">
        <v>0.0</v>
      </c>
      <c r="P171" s="87">
        <v>0.0</v>
      </c>
      <c r="Q171" s="87">
        <v>0.0</v>
      </c>
      <c r="T171" s="84" t="s">
        <v>1283</v>
      </c>
      <c r="U171" s="87">
        <v>0.267857143</v>
      </c>
    </row>
    <row r="172">
      <c r="A172" s="84" t="s">
        <v>644</v>
      </c>
      <c r="B172" s="194" t="s">
        <v>3887</v>
      </c>
      <c r="C172" s="84" t="s">
        <v>1216</v>
      </c>
      <c r="D172" s="88" t="s">
        <v>1396</v>
      </c>
      <c r="E172" s="84" t="s">
        <v>3683</v>
      </c>
      <c r="F172" s="84" t="s">
        <v>850</v>
      </c>
      <c r="G172" s="84" t="s">
        <v>3551</v>
      </c>
      <c r="H172" s="84" t="s">
        <v>3521</v>
      </c>
      <c r="I172" s="84" t="s">
        <v>3684</v>
      </c>
      <c r="J172" s="85"/>
      <c r="K172" s="84" t="s">
        <v>111</v>
      </c>
      <c r="L172" s="87">
        <v>360.0</v>
      </c>
      <c r="M172" s="87">
        <v>0.0</v>
      </c>
      <c r="N172" s="87">
        <v>0.074074</v>
      </c>
      <c r="O172" s="87">
        <v>0.0</v>
      </c>
      <c r="P172" s="87">
        <v>0.333333</v>
      </c>
      <c r="Q172" s="87">
        <v>0.074074</v>
      </c>
      <c r="T172" s="84" t="s">
        <v>722</v>
      </c>
      <c r="U172" s="87">
        <v>0.0</v>
      </c>
    </row>
    <row r="173">
      <c r="A173" s="84" t="s">
        <v>644</v>
      </c>
      <c r="B173" s="194" t="s">
        <v>3721</v>
      </c>
      <c r="C173" s="84" t="s">
        <v>721</v>
      </c>
      <c r="D173" s="88" t="s">
        <v>1396</v>
      </c>
      <c r="E173" s="84" t="s">
        <v>3687</v>
      </c>
      <c r="F173" s="84" t="s">
        <v>716</v>
      </c>
      <c r="G173" s="84" t="s">
        <v>3607</v>
      </c>
      <c r="H173" s="84" t="s">
        <v>3521</v>
      </c>
      <c r="I173" s="84" t="s">
        <v>3684</v>
      </c>
      <c r="J173" s="84" t="s">
        <v>215</v>
      </c>
      <c r="L173" s="87">
        <v>624.0</v>
      </c>
      <c r="M173" s="87">
        <v>0.0</v>
      </c>
      <c r="N173" s="87">
        <v>1.243369</v>
      </c>
      <c r="O173" s="87">
        <v>0.5</v>
      </c>
      <c r="P173" s="87">
        <v>1.717816</v>
      </c>
      <c r="Q173" s="87">
        <v>1.221553</v>
      </c>
      <c r="T173" s="84" t="s">
        <v>718</v>
      </c>
      <c r="U173" s="87">
        <v>0.291666667</v>
      </c>
    </row>
    <row r="174">
      <c r="A174" s="84" t="s">
        <v>180</v>
      </c>
      <c r="B174" s="194" t="s">
        <v>3888</v>
      </c>
      <c r="C174" s="84" t="s">
        <v>184</v>
      </c>
      <c r="D174" s="88" t="s">
        <v>1396</v>
      </c>
      <c r="E174" s="84" t="s">
        <v>3683</v>
      </c>
      <c r="F174" s="84" t="s">
        <v>185</v>
      </c>
      <c r="G174" s="84" t="s">
        <v>3550</v>
      </c>
      <c r="H174" s="84" t="s">
        <v>3507</v>
      </c>
      <c r="I174" s="84" t="s">
        <v>3684</v>
      </c>
      <c r="J174" s="85"/>
      <c r="K174" s="84" t="s">
        <v>111</v>
      </c>
      <c r="L174" s="87">
        <v>192.0</v>
      </c>
      <c r="M174" s="87">
        <v>0.0</v>
      </c>
      <c r="N174" s="87">
        <v>1.0</v>
      </c>
      <c r="O174" s="87">
        <v>0.0</v>
      </c>
      <c r="P174" s="87">
        <v>0.0</v>
      </c>
      <c r="Q174" s="87">
        <v>1.0</v>
      </c>
      <c r="T174" s="84" t="s">
        <v>1210</v>
      </c>
      <c r="U174" s="87">
        <v>0.181818182</v>
      </c>
    </row>
    <row r="175">
      <c r="A175" s="84" t="s">
        <v>630</v>
      </c>
      <c r="B175" s="194" t="s">
        <v>3889</v>
      </c>
      <c r="C175" s="84" t="s">
        <v>1119</v>
      </c>
      <c r="D175" s="88" t="s">
        <v>1396</v>
      </c>
      <c r="E175" s="84" t="s">
        <v>3683</v>
      </c>
      <c r="F175" s="84" t="s">
        <v>1117</v>
      </c>
      <c r="G175" s="84" t="s">
        <v>3554</v>
      </c>
      <c r="H175" s="84" t="s">
        <v>3521</v>
      </c>
      <c r="I175" s="84" t="s">
        <v>3684</v>
      </c>
      <c r="J175" s="91"/>
      <c r="K175" s="84" t="s">
        <v>111</v>
      </c>
      <c r="L175" s="87">
        <v>408.0</v>
      </c>
      <c r="M175" s="87">
        <v>0.0</v>
      </c>
      <c r="N175" s="87">
        <v>0.0</v>
      </c>
      <c r="O175" s="87">
        <v>0.0</v>
      </c>
      <c r="P175" s="87">
        <v>0.0</v>
      </c>
      <c r="Q175" s="87">
        <v>0.0</v>
      </c>
      <c r="T175" s="84" t="s">
        <v>1211</v>
      </c>
      <c r="U175" s="87">
        <v>0.0</v>
      </c>
    </row>
    <row r="176">
      <c r="A176" s="84" t="s">
        <v>472</v>
      </c>
      <c r="B176" s="194" t="s">
        <v>3890</v>
      </c>
      <c r="C176" s="84" t="s">
        <v>475</v>
      </c>
      <c r="D176" s="88" t="s">
        <v>1396</v>
      </c>
      <c r="E176" s="84" t="s">
        <v>3683</v>
      </c>
      <c r="F176" s="84" t="s">
        <v>476</v>
      </c>
      <c r="G176" s="84" t="s">
        <v>3827</v>
      </c>
      <c r="H176" s="84" t="s">
        <v>3507</v>
      </c>
      <c r="I176" s="84" t="s">
        <v>3684</v>
      </c>
      <c r="J176" s="85"/>
      <c r="K176" s="84" t="s">
        <v>111</v>
      </c>
      <c r="L176" s="87">
        <v>531.0</v>
      </c>
      <c r="M176" s="87">
        <v>4.0</v>
      </c>
      <c r="N176" s="87">
        <v>7.419949</v>
      </c>
      <c r="O176" s="87">
        <v>4.388131</v>
      </c>
      <c r="P176" s="87">
        <v>7.844444</v>
      </c>
      <c r="Q176" s="87">
        <v>7.626263</v>
      </c>
      <c r="T176" s="84" t="s">
        <v>1212</v>
      </c>
      <c r="U176" s="87">
        <v>0.0</v>
      </c>
    </row>
    <row r="177">
      <c r="A177" s="84" t="s">
        <v>644</v>
      </c>
      <c r="B177" s="194" t="s">
        <v>3891</v>
      </c>
      <c r="C177" s="84" t="s">
        <v>1204</v>
      </c>
      <c r="D177" s="88" t="s">
        <v>1396</v>
      </c>
      <c r="E177" s="84" t="s">
        <v>3683</v>
      </c>
      <c r="F177" s="84" t="s">
        <v>1205</v>
      </c>
      <c r="G177" s="84" t="s">
        <v>3600</v>
      </c>
      <c r="I177" s="84" t="s">
        <v>3684</v>
      </c>
      <c r="J177" s="84" t="s">
        <v>215</v>
      </c>
      <c r="L177" s="87">
        <v>480.0</v>
      </c>
      <c r="M177" s="87">
        <v>0.0</v>
      </c>
      <c r="N177" s="87">
        <v>0.0</v>
      </c>
      <c r="O177" s="87">
        <v>0.0</v>
      </c>
      <c r="P177" s="87">
        <v>0.0</v>
      </c>
      <c r="Q177" s="87">
        <v>0.0</v>
      </c>
      <c r="T177" s="84" t="s">
        <v>1213</v>
      </c>
      <c r="U177" s="87">
        <v>0.0</v>
      </c>
    </row>
    <row r="178">
      <c r="A178" s="84" t="s">
        <v>213</v>
      </c>
      <c r="B178" s="194" t="s">
        <v>3718</v>
      </c>
      <c r="C178" s="84" t="s">
        <v>872</v>
      </c>
      <c r="D178" s="88" t="s">
        <v>1396</v>
      </c>
      <c r="E178" s="84" t="s">
        <v>3683</v>
      </c>
      <c r="F178" s="84" t="s">
        <v>869</v>
      </c>
      <c r="G178" s="84" t="s">
        <v>3554</v>
      </c>
      <c r="H178" s="84" t="s">
        <v>3521</v>
      </c>
      <c r="I178" s="84" t="s">
        <v>3684</v>
      </c>
      <c r="J178" s="85"/>
      <c r="K178" s="85"/>
      <c r="L178" s="87">
        <v>14.0</v>
      </c>
      <c r="M178" s="87">
        <v>1.0</v>
      </c>
      <c r="N178" s="87">
        <v>0.142857</v>
      </c>
      <c r="O178" s="87">
        <v>1.005495</v>
      </c>
      <c r="P178" s="87">
        <v>0.712726</v>
      </c>
      <c r="Q178" s="87">
        <v>0.599441</v>
      </c>
      <c r="T178" s="84" t="s">
        <v>1207</v>
      </c>
      <c r="U178" s="87">
        <v>0.0</v>
      </c>
    </row>
    <row r="179">
      <c r="A179" s="84" t="s">
        <v>644</v>
      </c>
      <c r="B179" s="194" t="s">
        <v>3750</v>
      </c>
      <c r="C179" s="84" t="s">
        <v>735</v>
      </c>
      <c r="D179" s="88" t="s">
        <v>1396</v>
      </c>
      <c r="E179" s="84" t="s">
        <v>3683</v>
      </c>
      <c r="F179" s="84" t="s">
        <v>3751</v>
      </c>
      <c r="G179" s="84" t="s">
        <v>3752</v>
      </c>
      <c r="H179" s="84" t="s">
        <v>3521</v>
      </c>
      <c r="I179" s="84" t="s">
        <v>3684</v>
      </c>
      <c r="J179" s="84" t="s">
        <v>130</v>
      </c>
      <c r="K179" s="85"/>
      <c r="L179" s="87">
        <v>24.0</v>
      </c>
      <c r="M179" s="87">
        <v>0.0</v>
      </c>
      <c r="N179" s="87">
        <v>0.0</v>
      </c>
      <c r="O179" s="87">
        <v>0.0</v>
      </c>
      <c r="P179" s="87">
        <v>0.0</v>
      </c>
      <c r="Q179" s="87">
        <v>0.0</v>
      </c>
      <c r="T179" s="84" t="s">
        <v>132</v>
      </c>
      <c r="U179" s="87">
        <v>1.5</v>
      </c>
    </row>
    <row r="180">
      <c r="A180" s="84" t="s">
        <v>644</v>
      </c>
      <c r="B180" s="194" t="s">
        <v>3892</v>
      </c>
      <c r="C180" s="84" t="s">
        <v>1231</v>
      </c>
      <c r="D180" s="88" t="s">
        <v>1396</v>
      </c>
      <c r="E180" s="84" t="s">
        <v>3683</v>
      </c>
      <c r="F180" s="84" t="s">
        <v>1232</v>
      </c>
      <c r="G180" s="84" t="s">
        <v>3607</v>
      </c>
      <c r="H180" s="84" t="s">
        <v>3521</v>
      </c>
      <c r="I180" s="84" t="s">
        <v>3684</v>
      </c>
      <c r="J180" s="84" t="s">
        <v>130</v>
      </c>
      <c r="K180" s="91"/>
      <c r="L180" s="87">
        <v>24.0</v>
      </c>
      <c r="M180" s="87">
        <v>0.0</v>
      </c>
      <c r="N180" s="87">
        <v>0.0</v>
      </c>
      <c r="O180" s="87">
        <v>0.0</v>
      </c>
      <c r="P180" s="87">
        <v>0.0</v>
      </c>
      <c r="Q180" s="87">
        <v>0.0</v>
      </c>
      <c r="T180" s="84" t="s">
        <v>1163</v>
      </c>
      <c r="U180" s="87">
        <v>2.200865801</v>
      </c>
    </row>
    <row r="181">
      <c r="A181" s="84" t="s">
        <v>644</v>
      </c>
      <c r="B181" s="194" t="s">
        <v>3893</v>
      </c>
      <c r="C181" s="84" t="s">
        <v>692</v>
      </c>
      <c r="D181" s="88" t="s">
        <v>1396</v>
      </c>
      <c r="E181" s="84" t="s">
        <v>3683</v>
      </c>
      <c r="F181" s="84" t="s">
        <v>686</v>
      </c>
      <c r="G181" s="84" t="s">
        <v>3607</v>
      </c>
      <c r="H181" s="84" t="s">
        <v>3521</v>
      </c>
      <c r="I181" s="84" t="s">
        <v>3684</v>
      </c>
      <c r="J181" s="84" t="s">
        <v>130</v>
      </c>
      <c r="K181" s="85"/>
      <c r="L181" s="87">
        <v>24.0</v>
      </c>
      <c r="M181" s="87">
        <v>0.0</v>
      </c>
      <c r="N181" s="87">
        <v>0.0</v>
      </c>
      <c r="O181" s="87">
        <v>0.0</v>
      </c>
      <c r="P181" s="87">
        <v>0.0</v>
      </c>
      <c r="Q181" s="87">
        <v>0.0</v>
      </c>
      <c r="T181" s="84" t="s">
        <v>1164</v>
      </c>
      <c r="U181" s="87">
        <v>0.0</v>
      </c>
    </row>
    <row r="182">
      <c r="A182" s="84" t="s">
        <v>139</v>
      </c>
      <c r="B182" s="194" t="s">
        <v>3824</v>
      </c>
      <c r="C182" s="84" t="s">
        <v>156</v>
      </c>
      <c r="D182" s="88" t="s">
        <v>1396</v>
      </c>
      <c r="E182" s="84" t="s">
        <v>3683</v>
      </c>
      <c r="F182" s="84" t="s">
        <v>144</v>
      </c>
      <c r="G182" s="84" t="s">
        <v>3700</v>
      </c>
      <c r="I182" s="84" t="s">
        <v>3684</v>
      </c>
      <c r="J182" s="84" t="s">
        <v>130</v>
      </c>
      <c r="K182" s="91"/>
      <c r="L182" s="87">
        <v>48.0</v>
      </c>
      <c r="M182" s="87">
        <v>0.0</v>
      </c>
      <c r="N182" s="87">
        <v>0.0</v>
      </c>
      <c r="O182" s="87">
        <v>0.0</v>
      </c>
      <c r="P182" s="87">
        <v>0.0</v>
      </c>
      <c r="Q182" s="87">
        <v>0.0</v>
      </c>
      <c r="T182" s="84" t="s">
        <v>1161</v>
      </c>
      <c r="U182" s="87">
        <v>0.0</v>
      </c>
    </row>
    <row r="183">
      <c r="A183" s="84" t="s">
        <v>644</v>
      </c>
      <c r="B183" s="194" t="s">
        <v>3894</v>
      </c>
      <c r="C183" s="84" t="s">
        <v>703</v>
      </c>
      <c r="D183" s="88" t="s">
        <v>1396</v>
      </c>
      <c r="E183" s="84" t="s">
        <v>3683</v>
      </c>
      <c r="F183" s="84" t="s">
        <v>686</v>
      </c>
      <c r="G183" s="84" t="s">
        <v>3607</v>
      </c>
      <c r="H183" s="84" t="s">
        <v>3521</v>
      </c>
      <c r="I183" s="84" t="s">
        <v>3684</v>
      </c>
      <c r="J183" s="84" t="s">
        <v>130</v>
      </c>
      <c r="K183" s="85"/>
      <c r="L183" s="87">
        <v>24.0</v>
      </c>
      <c r="M183" s="87">
        <v>0.0</v>
      </c>
      <c r="N183" s="87">
        <v>0.0</v>
      </c>
      <c r="O183" s="87">
        <v>0.0</v>
      </c>
      <c r="P183" s="87">
        <v>0.0</v>
      </c>
      <c r="Q183" s="87">
        <v>0.0</v>
      </c>
      <c r="T183" s="84" t="s">
        <v>1162</v>
      </c>
      <c r="U183" s="87">
        <v>0.0</v>
      </c>
    </row>
    <row r="184">
      <c r="A184" s="84" t="s">
        <v>439</v>
      </c>
      <c r="B184" s="194" t="s">
        <v>3858</v>
      </c>
      <c r="C184" s="84" t="s">
        <v>1301</v>
      </c>
      <c r="D184" s="88" t="s">
        <v>1396</v>
      </c>
      <c r="E184" s="84" t="s">
        <v>3687</v>
      </c>
      <c r="F184" s="84" t="s">
        <v>938</v>
      </c>
      <c r="G184" s="84" t="s">
        <v>3859</v>
      </c>
      <c r="H184" s="84" t="s">
        <v>3513</v>
      </c>
      <c r="I184" s="84" t="s">
        <v>3709</v>
      </c>
      <c r="J184" s="84" t="s">
        <v>130</v>
      </c>
      <c r="K184" s="84" t="s">
        <v>111</v>
      </c>
      <c r="L184" s="87">
        <v>792.0</v>
      </c>
      <c r="M184" s="87">
        <v>0.0</v>
      </c>
      <c r="N184" s="87">
        <v>0.0</v>
      </c>
      <c r="O184" s="87">
        <v>0.0</v>
      </c>
      <c r="P184" s="87">
        <v>0.0</v>
      </c>
      <c r="Q184" s="87">
        <v>0.0</v>
      </c>
      <c r="T184" s="84" t="s">
        <v>1153</v>
      </c>
      <c r="U184" s="87">
        <v>0.0</v>
      </c>
    </row>
    <row r="185">
      <c r="A185" s="84" t="s">
        <v>439</v>
      </c>
      <c r="B185" s="193" t="s">
        <v>3895</v>
      </c>
      <c r="C185" s="84" t="s">
        <v>1304</v>
      </c>
      <c r="D185" s="88" t="s">
        <v>1396</v>
      </c>
      <c r="E185" s="84" t="s">
        <v>3683</v>
      </c>
      <c r="F185" s="84" t="s">
        <v>860</v>
      </c>
      <c r="G185" s="84" t="s">
        <v>3553</v>
      </c>
      <c r="H185" s="84" t="s">
        <v>3527</v>
      </c>
      <c r="I185" s="84" t="s">
        <v>3684</v>
      </c>
      <c r="J185" s="84" t="s">
        <v>130</v>
      </c>
      <c r="K185" s="84" t="s">
        <v>111</v>
      </c>
      <c r="L185" s="87">
        <v>816.0</v>
      </c>
      <c r="M185" s="87">
        <v>0.0</v>
      </c>
      <c r="N185" s="87">
        <v>0.0</v>
      </c>
      <c r="O185" s="87">
        <v>0.0</v>
      </c>
      <c r="P185" s="87">
        <v>0.0</v>
      </c>
      <c r="Q185" s="87">
        <v>0.0</v>
      </c>
      <c r="T185" s="84" t="s">
        <v>1152</v>
      </c>
      <c r="U185" s="87">
        <v>0.0</v>
      </c>
    </row>
    <row r="186">
      <c r="A186" s="84" t="s">
        <v>439</v>
      </c>
      <c r="B186" s="194" t="s">
        <v>3896</v>
      </c>
      <c r="C186" s="84" t="s">
        <v>3574</v>
      </c>
      <c r="D186" s="88" t="s">
        <v>1396</v>
      </c>
      <c r="E186" s="84" t="s">
        <v>3897</v>
      </c>
      <c r="F186" s="84" t="s">
        <v>3898</v>
      </c>
      <c r="G186" s="84" t="s">
        <v>3575</v>
      </c>
      <c r="H186" s="84" t="s">
        <v>3527</v>
      </c>
      <c r="I186" s="84" t="s">
        <v>3709</v>
      </c>
      <c r="J186" s="91"/>
      <c r="K186" s="91"/>
      <c r="L186" s="87">
        <v>131.0</v>
      </c>
      <c r="M186" s="87">
        <v>77.0</v>
      </c>
      <c r="N186" s="87">
        <v>21.90584</v>
      </c>
      <c r="O186" s="87">
        <v>97.67084</v>
      </c>
      <c r="P186" s="87">
        <v>95.32869</v>
      </c>
      <c r="Q186" s="87">
        <v>88.1481</v>
      </c>
      <c r="T186" s="84" t="s">
        <v>1238</v>
      </c>
      <c r="U186" s="87">
        <v>0.0</v>
      </c>
    </row>
    <row r="187">
      <c r="A187" s="84" t="s">
        <v>481</v>
      </c>
      <c r="B187" s="194" t="s">
        <v>3899</v>
      </c>
      <c r="C187" s="84" t="s">
        <v>1003</v>
      </c>
      <c r="D187" s="88" t="s">
        <v>1396</v>
      </c>
      <c r="E187" s="84" t="s">
        <v>3683</v>
      </c>
      <c r="F187" s="84" t="s">
        <v>989</v>
      </c>
      <c r="G187" s="84" t="s">
        <v>3585</v>
      </c>
      <c r="H187" s="84" t="s">
        <v>3521</v>
      </c>
      <c r="I187" s="84" t="s">
        <v>3684</v>
      </c>
      <c r="J187" s="91"/>
      <c r="K187" s="85"/>
      <c r="L187" s="87">
        <v>72.0</v>
      </c>
      <c r="M187" s="87">
        <v>1.0</v>
      </c>
      <c r="N187" s="87">
        <v>0.21978</v>
      </c>
      <c r="O187" s="87">
        <v>2.087912</v>
      </c>
      <c r="P187" s="87">
        <v>2.476812</v>
      </c>
      <c r="Q187" s="87">
        <v>2.835009</v>
      </c>
      <c r="T187" s="84" t="s">
        <v>1240</v>
      </c>
      <c r="U187" s="87">
        <v>0.0</v>
      </c>
    </row>
    <row r="188">
      <c r="A188" s="84" t="s">
        <v>444</v>
      </c>
      <c r="B188" s="194" t="s">
        <v>3900</v>
      </c>
      <c r="C188" s="84" t="s">
        <v>943</v>
      </c>
      <c r="D188" s="88" t="s">
        <v>1396</v>
      </c>
      <c r="E188" s="84" t="s">
        <v>3683</v>
      </c>
      <c r="F188" s="84" t="s">
        <v>448</v>
      </c>
      <c r="G188" s="84" t="s">
        <v>3577</v>
      </c>
      <c r="H188" s="84" t="s">
        <v>3521</v>
      </c>
      <c r="I188" s="84" t="s">
        <v>3684</v>
      </c>
      <c r="J188" s="85"/>
      <c r="K188" s="85"/>
      <c r="L188" s="87">
        <v>24.0</v>
      </c>
      <c r="M188" s="87">
        <v>0.0</v>
      </c>
      <c r="N188" s="87">
        <v>0.0</v>
      </c>
      <c r="O188" s="87">
        <v>0.214286</v>
      </c>
      <c r="P188" s="87">
        <v>0.366667</v>
      </c>
      <c r="Q188" s="87">
        <v>0.306061</v>
      </c>
      <c r="T188" s="84" t="s">
        <v>1241</v>
      </c>
      <c r="U188" s="87">
        <v>0.0</v>
      </c>
    </row>
    <row r="189">
      <c r="A189" s="84" t="s">
        <v>472</v>
      </c>
      <c r="B189" s="194" t="s">
        <v>3901</v>
      </c>
      <c r="C189" s="84" t="s">
        <v>1014</v>
      </c>
      <c r="D189" s="88" t="s">
        <v>1396</v>
      </c>
      <c r="E189" s="84" t="s">
        <v>3687</v>
      </c>
      <c r="F189" s="91"/>
      <c r="G189" s="84" t="s">
        <v>3587</v>
      </c>
      <c r="H189" s="84" t="s">
        <v>3521</v>
      </c>
      <c r="I189" s="84" t="s">
        <v>3684</v>
      </c>
      <c r="J189" s="84" t="s">
        <v>130</v>
      </c>
      <c r="K189" s="85"/>
      <c r="L189" s="87">
        <v>360.0</v>
      </c>
      <c r="M189" s="87">
        <v>0.0</v>
      </c>
      <c r="N189" s="87">
        <v>0.279589</v>
      </c>
      <c r="O189" s="87">
        <v>0.111111</v>
      </c>
      <c r="P189" s="87">
        <v>0.04</v>
      </c>
      <c r="Q189" s="87">
        <v>0.187709</v>
      </c>
      <c r="T189" s="84" t="s">
        <v>1242</v>
      </c>
      <c r="U189" s="87">
        <v>0.0</v>
      </c>
    </row>
    <row r="190">
      <c r="A190" s="84" t="s">
        <v>745</v>
      </c>
      <c r="B190" s="194" t="s">
        <v>3840</v>
      </c>
      <c r="C190" s="84" t="s">
        <v>750</v>
      </c>
      <c r="D190" s="88" t="s">
        <v>1396</v>
      </c>
      <c r="E190" s="84" t="s">
        <v>3683</v>
      </c>
      <c r="F190" s="84" t="s">
        <v>744</v>
      </c>
      <c r="G190" s="84" t="s">
        <v>3841</v>
      </c>
      <c r="H190" s="84" t="s">
        <v>3521</v>
      </c>
      <c r="I190" s="84" t="s">
        <v>3684</v>
      </c>
      <c r="J190" s="84" t="s">
        <v>130</v>
      </c>
      <c r="K190" s="85"/>
      <c r="L190" s="87">
        <v>384.0</v>
      </c>
      <c r="M190" s="87">
        <v>1.0</v>
      </c>
      <c r="N190" s="87">
        <v>0.638615</v>
      </c>
      <c r="O190" s="87">
        <v>0.142857</v>
      </c>
      <c r="P190" s="87">
        <v>1.765909</v>
      </c>
      <c r="Q190" s="87">
        <v>0.636606</v>
      </c>
      <c r="T190" s="84" t="s">
        <v>3642</v>
      </c>
      <c r="U190" s="87">
        <v>0.0</v>
      </c>
    </row>
    <row r="191">
      <c r="A191" s="84" t="s">
        <v>537</v>
      </c>
      <c r="B191" s="194" t="s">
        <v>3865</v>
      </c>
      <c r="C191" s="84" t="s">
        <v>1311</v>
      </c>
      <c r="D191" s="88" t="s">
        <v>1396</v>
      </c>
      <c r="E191" s="84" t="s">
        <v>3683</v>
      </c>
      <c r="F191" s="84" t="s">
        <v>1041</v>
      </c>
      <c r="G191" s="84" t="s">
        <v>3590</v>
      </c>
      <c r="H191" s="84" t="s">
        <v>3521</v>
      </c>
      <c r="I191" s="84" t="s">
        <v>3693</v>
      </c>
      <c r="J191" s="84" t="s">
        <v>130</v>
      </c>
      <c r="K191" s="84" t="s">
        <v>111</v>
      </c>
      <c r="L191" s="87">
        <v>24.0</v>
      </c>
      <c r="M191" s="87">
        <v>0.0</v>
      </c>
      <c r="N191" s="87">
        <v>0.030303</v>
      </c>
      <c r="O191" s="87">
        <v>0.0</v>
      </c>
      <c r="P191" s="87">
        <v>0.333333</v>
      </c>
      <c r="Q191" s="87">
        <v>0.030303</v>
      </c>
      <c r="T191" s="84" t="s">
        <v>3643</v>
      </c>
      <c r="U191" s="87">
        <v>0.347222222</v>
      </c>
    </row>
    <row r="192">
      <c r="A192" s="84" t="s">
        <v>644</v>
      </c>
      <c r="B192" s="194" t="s">
        <v>3902</v>
      </c>
      <c r="C192" s="84" t="s">
        <v>718</v>
      </c>
      <c r="D192" s="88" t="s">
        <v>1396</v>
      </c>
      <c r="E192" s="84" t="s">
        <v>3683</v>
      </c>
      <c r="F192" s="84" t="s">
        <v>719</v>
      </c>
      <c r="G192" s="84" t="s">
        <v>3607</v>
      </c>
      <c r="H192" s="84" t="s">
        <v>3521</v>
      </c>
      <c r="I192" s="84" t="s">
        <v>3684</v>
      </c>
      <c r="J192" s="84" t="s">
        <v>215</v>
      </c>
      <c r="L192" s="87">
        <v>360.0</v>
      </c>
      <c r="M192" s="87">
        <v>0.0</v>
      </c>
      <c r="N192" s="87">
        <v>2.718803</v>
      </c>
      <c r="O192" s="87">
        <v>0.153846</v>
      </c>
      <c r="P192" s="87">
        <v>0.168966</v>
      </c>
      <c r="Q192" s="87">
        <v>2.632471</v>
      </c>
      <c r="T192" s="84" t="s">
        <v>207</v>
      </c>
      <c r="U192" s="87">
        <v>0.848484848</v>
      </c>
    </row>
    <row r="193">
      <c r="A193" s="84" t="s">
        <v>180</v>
      </c>
      <c r="B193" s="194" t="s">
        <v>3726</v>
      </c>
      <c r="C193" s="84" t="s">
        <v>209</v>
      </c>
      <c r="D193" s="88" t="s">
        <v>1396</v>
      </c>
      <c r="E193" s="84" t="s">
        <v>3683</v>
      </c>
      <c r="F193" s="84" t="s">
        <v>201</v>
      </c>
      <c r="G193" s="84" t="s">
        <v>3727</v>
      </c>
      <c r="H193" s="84" t="s">
        <v>3521</v>
      </c>
      <c r="I193" s="84" t="s">
        <v>3684</v>
      </c>
      <c r="J193" s="91"/>
      <c r="K193" s="91"/>
      <c r="L193" s="87">
        <v>15.0</v>
      </c>
      <c r="M193" s="87">
        <v>5.0</v>
      </c>
      <c r="N193" s="87">
        <v>0.272727</v>
      </c>
      <c r="O193" s="87">
        <v>4.491841</v>
      </c>
      <c r="P193" s="87">
        <v>5.259039</v>
      </c>
      <c r="Q193" s="87">
        <v>6.722713</v>
      </c>
      <c r="T193" s="84" t="s">
        <v>205</v>
      </c>
      <c r="U193" s="87">
        <v>8.081704407</v>
      </c>
    </row>
    <row r="194">
      <c r="A194" s="84" t="s">
        <v>644</v>
      </c>
      <c r="B194" s="194" t="s">
        <v>3903</v>
      </c>
      <c r="C194" s="84" t="s">
        <v>1189</v>
      </c>
      <c r="D194" s="88" t="s">
        <v>1396</v>
      </c>
      <c r="E194" s="84" t="s">
        <v>3687</v>
      </c>
      <c r="F194" s="84" t="s">
        <v>1190</v>
      </c>
      <c r="G194" s="84" t="s">
        <v>3600</v>
      </c>
      <c r="H194" s="84" t="s">
        <v>3521</v>
      </c>
      <c r="I194" s="84" t="s">
        <v>3684</v>
      </c>
      <c r="J194" s="84" t="s">
        <v>130</v>
      </c>
      <c r="K194" s="91"/>
      <c r="L194" s="87">
        <v>720.0</v>
      </c>
      <c r="M194" s="87">
        <v>0.0</v>
      </c>
      <c r="N194" s="87">
        <v>5.626551</v>
      </c>
      <c r="O194" s="87">
        <v>0.278943</v>
      </c>
      <c r="P194" s="87">
        <v>1.643578</v>
      </c>
      <c r="Q194" s="87">
        <v>5.219864</v>
      </c>
      <c r="T194" s="84" t="s">
        <v>200</v>
      </c>
      <c r="U194" s="87">
        <v>3.226318126</v>
      </c>
    </row>
    <row r="195">
      <c r="A195" s="84" t="s">
        <v>644</v>
      </c>
      <c r="B195" s="194" t="s">
        <v>3904</v>
      </c>
      <c r="C195" s="84" t="s">
        <v>1266</v>
      </c>
      <c r="D195" s="88" t="s">
        <v>1396</v>
      </c>
      <c r="E195" s="84" t="s">
        <v>3683</v>
      </c>
      <c r="F195" s="84" t="s">
        <v>682</v>
      </c>
      <c r="G195" s="84" t="s">
        <v>3563</v>
      </c>
      <c r="H195" s="84" t="s">
        <v>3521</v>
      </c>
      <c r="I195" s="84" t="s">
        <v>3684</v>
      </c>
      <c r="J195" s="85"/>
      <c r="K195" s="91"/>
      <c r="L195" s="87">
        <v>0.0</v>
      </c>
      <c r="M195" s="87">
        <v>1.0</v>
      </c>
      <c r="N195" s="87">
        <v>0.0</v>
      </c>
      <c r="O195" s="87">
        <v>0.730769</v>
      </c>
      <c r="P195" s="87">
        <v>0.606897</v>
      </c>
      <c r="Q195" s="87">
        <v>0.426225</v>
      </c>
      <c r="T195" s="84" t="s">
        <v>209</v>
      </c>
      <c r="U195" s="87">
        <v>1.901443001</v>
      </c>
    </row>
    <row r="196">
      <c r="A196" s="84" t="s">
        <v>472</v>
      </c>
      <c r="B196" s="194" t="s">
        <v>3905</v>
      </c>
      <c r="C196" s="84" t="s">
        <v>1022</v>
      </c>
      <c r="D196" s="88" t="s">
        <v>1396</v>
      </c>
      <c r="E196" s="84" t="s">
        <v>3683</v>
      </c>
      <c r="F196" s="84" t="s">
        <v>1020</v>
      </c>
      <c r="G196" s="84" t="s">
        <v>3560</v>
      </c>
      <c r="H196" s="84" t="s">
        <v>3507</v>
      </c>
      <c r="I196" s="84" t="s">
        <v>3684</v>
      </c>
      <c r="J196" s="85"/>
      <c r="K196" s="91"/>
      <c r="L196" s="87">
        <v>118.0</v>
      </c>
      <c r="M196" s="87">
        <v>3.0</v>
      </c>
      <c r="N196" s="87">
        <v>0.564974</v>
      </c>
      <c r="O196" s="87">
        <v>1.964286</v>
      </c>
      <c r="P196" s="87">
        <v>0.731641</v>
      </c>
      <c r="Q196" s="87">
        <v>0.68928</v>
      </c>
      <c r="T196" s="84" t="s">
        <v>604</v>
      </c>
      <c r="U196" s="87">
        <v>0.0</v>
      </c>
    </row>
    <row r="197">
      <c r="A197" s="84" t="s">
        <v>439</v>
      </c>
      <c r="B197" s="194" t="s">
        <v>3837</v>
      </c>
      <c r="C197" s="84" t="s">
        <v>3838</v>
      </c>
      <c r="D197" s="88" t="s">
        <v>1396</v>
      </c>
      <c r="E197" s="84" t="s">
        <v>3683</v>
      </c>
      <c r="F197" s="84" t="s">
        <v>3714</v>
      </c>
      <c r="G197" s="84" t="s">
        <v>3715</v>
      </c>
      <c r="H197" s="84" t="s">
        <v>3521</v>
      </c>
      <c r="I197" s="84" t="s">
        <v>3684</v>
      </c>
      <c r="J197" s="91"/>
      <c r="K197" s="84" t="s">
        <v>111</v>
      </c>
      <c r="L197" s="87">
        <v>480.0</v>
      </c>
      <c r="M197" s="87">
        <v>0.0</v>
      </c>
      <c r="N197" s="87">
        <v>0.0</v>
      </c>
      <c r="O197" s="87">
        <v>0.0</v>
      </c>
      <c r="P197" s="87">
        <v>0.0</v>
      </c>
      <c r="Q197" s="87">
        <v>0.0</v>
      </c>
      <c r="T197" s="84" t="s">
        <v>3644</v>
      </c>
      <c r="U197" s="87">
        <v>2.053712954</v>
      </c>
    </row>
    <row r="198">
      <c r="A198" s="84" t="s">
        <v>264</v>
      </c>
      <c r="B198" s="194" t="s">
        <v>3906</v>
      </c>
      <c r="C198" s="84" t="s">
        <v>285</v>
      </c>
      <c r="D198" s="88" t="s">
        <v>1396</v>
      </c>
      <c r="E198" s="84" t="s">
        <v>3683</v>
      </c>
      <c r="F198" s="84" t="s">
        <v>286</v>
      </c>
      <c r="G198" s="84" t="s">
        <v>3691</v>
      </c>
      <c r="H198" s="84" t="s">
        <v>3521</v>
      </c>
      <c r="I198" s="84" t="s">
        <v>3684</v>
      </c>
      <c r="J198" s="91"/>
      <c r="K198" s="84" t="s">
        <v>111</v>
      </c>
      <c r="L198" s="87">
        <v>192.0</v>
      </c>
      <c r="M198" s="87">
        <v>0.0</v>
      </c>
      <c r="N198" s="87">
        <v>0.0</v>
      </c>
      <c r="O198" s="87">
        <v>0.0</v>
      </c>
      <c r="P198" s="87">
        <v>0.0</v>
      </c>
      <c r="Q198" s="87">
        <v>0.0</v>
      </c>
      <c r="T198" s="84" t="s">
        <v>1067</v>
      </c>
      <c r="U198" s="87">
        <v>1.607489732</v>
      </c>
    </row>
    <row r="199">
      <c r="A199" s="84" t="s">
        <v>439</v>
      </c>
      <c r="B199" s="194" t="s">
        <v>3907</v>
      </c>
      <c r="C199" s="84" t="s">
        <v>3654</v>
      </c>
      <c r="D199" s="88" t="s">
        <v>1396</v>
      </c>
      <c r="E199" s="84" t="s">
        <v>3683</v>
      </c>
      <c r="F199" s="84" t="s">
        <v>3714</v>
      </c>
      <c r="G199" s="84" t="s">
        <v>3715</v>
      </c>
      <c r="H199" s="84" t="s">
        <v>3521</v>
      </c>
      <c r="I199" s="84" t="s">
        <v>3684</v>
      </c>
      <c r="J199" s="85"/>
      <c r="K199" s="84" t="s">
        <v>111</v>
      </c>
      <c r="L199" s="87">
        <v>480.0</v>
      </c>
      <c r="M199" s="87">
        <v>0.0</v>
      </c>
      <c r="N199" s="87">
        <v>0.0</v>
      </c>
      <c r="O199" s="87">
        <v>0.0</v>
      </c>
      <c r="P199" s="87">
        <v>0.0</v>
      </c>
      <c r="Q199" s="87">
        <v>0.0</v>
      </c>
      <c r="T199" s="84" t="s">
        <v>3645</v>
      </c>
      <c r="U199" s="87">
        <v>0.747086247</v>
      </c>
    </row>
    <row r="200">
      <c r="A200" s="84" t="s">
        <v>180</v>
      </c>
      <c r="B200" s="194" t="s">
        <v>3908</v>
      </c>
      <c r="C200" s="84" t="s">
        <v>200</v>
      </c>
      <c r="D200" s="88" t="s">
        <v>1396</v>
      </c>
      <c r="E200" s="84" t="s">
        <v>3683</v>
      </c>
      <c r="F200" s="84" t="s">
        <v>201</v>
      </c>
      <c r="G200" s="84" t="s">
        <v>3727</v>
      </c>
      <c r="H200" s="84" t="s">
        <v>3521</v>
      </c>
      <c r="I200" s="84" t="s">
        <v>3684</v>
      </c>
      <c r="J200" s="84" t="s">
        <v>130</v>
      </c>
      <c r="K200" s="91"/>
      <c r="L200" s="87">
        <v>48.0</v>
      </c>
      <c r="M200" s="87">
        <v>0.0</v>
      </c>
      <c r="N200" s="87">
        <v>0.052632</v>
      </c>
      <c r="O200" s="87">
        <v>0.142857</v>
      </c>
      <c r="P200" s="87">
        <v>0.133333</v>
      </c>
      <c r="Q200" s="87">
        <v>0.152632</v>
      </c>
      <c r="T200" s="84" t="s">
        <v>3646</v>
      </c>
      <c r="U200" s="87">
        <v>17.21222111</v>
      </c>
    </row>
    <row r="201">
      <c r="A201" s="84" t="s">
        <v>644</v>
      </c>
      <c r="B201" s="194" t="s">
        <v>3909</v>
      </c>
      <c r="C201" s="84" t="s">
        <v>1274</v>
      </c>
      <c r="D201" s="88" t="s">
        <v>1396</v>
      </c>
      <c r="E201" s="84" t="s">
        <v>3683</v>
      </c>
      <c r="F201" s="84" t="s">
        <v>1273</v>
      </c>
      <c r="G201" s="84" t="s">
        <v>3602</v>
      </c>
      <c r="H201" s="84" t="s">
        <v>3521</v>
      </c>
      <c r="I201" s="84" t="s">
        <v>3684</v>
      </c>
      <c r="J201" s="91"/>
      <c r="K201" s="91"/>
      <c r="L201" s="87">
        <v>0.0</v>
      </c>
      <c r="M201" s="87">
        <v>0.0</v>
      </c>
      <c r="N201" s="87">
        <v>0.0</v>
      </c>
      <c r="O201" s="87">
        <v>0.071429</v>
      </c>
      <c r="P201" s="87">
        <v>0.052632</v>
      </c>
      <c r="Q201" s="87">
        <v>0.093448</v>
      </c>
      <c r="T201" s="84" t="s">
        <v>1066</v>
      </c>
      <c r="U201" s="87">
        <v>2.433513709</v>
      </c>
    </row>
    <row r="202">
      <c r="A202" s="84" t="s">
        <v>180</v>
      </c>
      <c r="B202" s="194" t="s">
        <v>3707</v>
      </c>
      <c r="C202" s="84" t="s">
        <v>196</v>
      </c>
      <c r="D202" s="88" t="s">
        <v>1396</v>
      </c>
      <c r="E202" s="84" t="s">
        <v>3683</v>
      </c>
      <c r="F202" s="84" t="s">
        <v>190</v>
      </c>
      <c r="G202" s="84" t="s">
        <v>3708</v>
      </c>
      <c r="H202" s="84" t="s">
        <v>3521</v>
      </c>
      <c r="I202" s="84" t="s">
        <v>3709</v>
      </c>
      <c r="J202" s="84" t="s">
        <v>130</v>
      </c>
      <c r="K202" s="91"/>
      <c r="L202" s="87">
        <v>24.0</v>
      </c>
      <c r="M202" s="87">
        <v>0.0</v>
      </c>
      <c r="N202" s="87">
        <v>0.0</v>
      </c>
      <c r="O202" s="87">
        <v>0.0</v>
      </c>
      <c r="P202" s="87">
        <v>0.0</v>
      </c>
      <c r="Q202" s="87">
        <v>0.0</v>
      </c>
      <c r="T202" s="84" t="s">
        <v>1062</v>
      </c>
      <c r="U202" s="87">
        <v>10.89596792</v>
      </c>
    </row>
    <row r="203">
      <c r="A203" s="84" t="s">
        <v>644</v>
      </c>
      <c r="B203" s="194" t="s">
        <v>3910</v>
      </c>
      <c r="C203" s="84" t="s">
        <v>666</v>
      </c>
      <c r="D203" s="88" t="s">
        <v>1396</v>
      </c>
      <c r="E203" s="84" t="s">
        <v>3683</v>
      </c>
      <c r="F203" s="84" t="s">
        <v>658</v>
      </c>
      <c r="G203" s="84" t="s">
        <v>3801</v>
      </c>
      <c r="H203" s="84" t="s">
        <v>3521</v>
      </c>
      <c r="I203" s="84" t="s">
        <v>3684</v>
      </c>
      <c r="J203" s="84" t="s">
        <v>130</v>
      </c>
      <c r="K203" s="84" t="s">
        <v>111</v>
      </c>
      <c r="L203" s="87">
        <v>24.0</v>
      </c>
      <c r="M203" s="87">
        <v>0.0</v>
      </c>
      <c r="N203" s="87">
        <v>0.0</v>
      </c>
      <c r="O203" s="87">
        <v>0.0</v>
      </c>
      <c r="P203" s="87">
        <v>0.0</v>
      </c>
      <c r="Q203" s="87">
        <v>0.0</v>
      </c>
      <c r="T203" s="84" t="s">
        <v>1065</v>
      </c>
      <c r="U203" s="87">
        <v>2.070887446</v>
      </c>
    </row>
    <row r="204">
      <c r="A204" s="84" t="s">
        <v>644</v>
      </c>
      <c r="B204" s="194" t="s">
        <v>3911</v>
      </c>
      <c r="C204" s="84" t="s">
        <v>662</v>
      </c>
      <c r="D204" s="88" t="s">
        <v>1396</v>
      </c>
      <c r="E204" s="84" t="s">
        <v>3683</v>
      </c>
      <c r="F204" s="84" t="s">
        <v>658</v>
      </c>
      <c r="G204" s="84" t="s">
        <v>3801</v>
      </c>
      <c r="H204" s="84" t="s">
        <v>3521</v>
      </c>
      <c r="I204" s="84" t="s">
        <v>3684</v>
      </c>
      <c r="J204" s="91"/>
      <c r="K204" s="85"/>
      <c r="L204" s="87">
        <v>0.0</v>
      </c>
      <c r="M204" s="87">
        <v>0.0</v>
      </c>
      <c r="N204" s="87">
        <v>0.0</v>
      </c>
      <c r="O204" s="87">
        <v>0.0</v>
      </c>
      <c r="P204" s="87">
        <v>0.0</v>
      </c>
      <c r="Q204" s="87">
        <v>0.0</v>
      </c>
      <c r="T204" s="84" t="s">
        <v>3647</v>
      </c>
      <c r="U204" s="87">
        <v>6.286163836</v>
      </c>
    </row>
    <row r="205">
      <c r="A205" s="84" t="s">
        <v>644</v>
      </c>
      <c r="B205" s="194" t="s">
        <v>3879</v>
      </c>
      <c r="C205" s="84" t="s">
        <v>663</v>
      </c>
      <c r="D205" s="88" t="s">
        <v>1396</v>
      </c>
      <c r="E205" s="84" t="s">
        <v>3683</v>
      </c>
      <c r="F205" s="84" t="s">
        <v>658</v>
      </c>
      <c r="G205" s="84" t="s">
        <v>3801</v>
      </c>
      <c r="H205" s="84" t="s">
        <v>3521</v>
      </c>
      <c r="I205" s="84" t="s">
        <v>3684</v>
      </c>
      <c r="J205" s="91"/>
      <c r="K205" s="91"/>
      <c r="L205" s="87">
        <v>0.0</v>
      </c>
      <c r="M205" s="87">
        <v>0.0</v>
      </c>
      <c r="N205" s="87">
        <v>0.0</v>
      </c>
      <c r="O205" s="87">
        <v>0.071429</v>
      </c>
      <c r="P205" s="87">
        <v>0.033333</v>
      </c>
      <c r="Q205" s="87">
        <v>0.016667</v>
      </c>
      <c r="T205" s="84" t="s">
        <v>339</v>
      </c>
      <c r="U205" s="87">
        <v>22.99884005</v>
      </c>
    </row>
    <row r="206">
      <c r="A206" s="84" t="s">
        <v>644</v>
      </c>
      <c r="B206" s="194" t="s">
        <v>3912</v>
      </c>
      <c r="C206" s="84" t="s">
        <v>1222</v>
      </c>
      <c r="D206" s="88" t="s">
        <v>1396</v>
      </c>
      <c r="E206" s="84" t="s">
        <v>3683</v>
      </c>
      <c r="F206" s="84" t="s">
        <v>850</v>
      </c>
      <c r="G206" s="84" t="s">
        <v>3551</v>
      </c>
      <c r="H206" s="84" t="s">
        <v>3521</v>
      </c>
      <c r="I206" s="84" t="s">
        <v>3684</v>
      </c>
      <c r="J206" s="84" t="s">
        <v>130</v>
      </c>
      <c r="K206" s="91"/>
      <c r="L206" s="87">
        <v>24.0</v>
      </c>
      <c r="M206" s="87">
        <v>0.0</v>
      </c>
      <c r="N206" s="87">
        <v>0.0</v>
      </c>
      <c r="O206" s="87">
        <v>0.0</v>
      </c>
      <c r="P206" s="87">
        <v>0.0</v>
      </c>
      <c r="Q206" s="87">
        <v>0.0</v>
      </c>
      <c r="T206" s="84" t="s">
        <v>344</v>
      </c>
      <c r="U206" s="87">
        <v>36.7251665</v>
      </c>
    </row>
    <row r="207">
      <c r="A207" s="84" t="s">
        <v>481</v>
      </c>
      <c r="B207" s="194" t="s">
        <v>3913</v>
      </c>
      <c r="C207" s="84" t="s">
        <v>1001</v>
      </c>
      <c r="D207" s="88" t="s">
        <v>1396</v>
      </c>
      <c r="E207" s="84" t="s">
        <v>3683</v>
      </c>
      <c r="F207" s="84" t="s">
        <v>989</v>
      </c>
      <c r="G207" s="84" t="s">
        <v>3585</v>
      </c>
      <c r="H207" s="84" t="s">
        <v>3521</v>
      </c>
      <c r="I207" s="84" t="s">
        <v>3684</v>
      </c>
      <c r="J207" s="85"/>
      <c r="K207" s="85"/>
      <c r="L207" s="87">
        <v>48.0</v>
      </c>
      <c r="M207" s="87">
        <v>1.0</v>
      </c>
      <c r="N207" s="87">
        <v>0.0</v>
      </c>
      <c r="O207" s="87">
        <v>1.0</v>
      </c>
      <c r="P207" s="87">
        <v>1.402299</v>
      </c>
      <c r="Q207" s="87">
        <v>1.255949</v>
      </c>
      <c r="T207" s="84" t="s">
        <v>1068</v>
      </c>
      <c r="U207" s="87">
        <v>10.53593074</v>
      </c>
    </row>
    <row r="208">
      <c r="A208" s="84" t="s">
        <v>644</v>
      </c>
      <c r="B208" s="194" t="s">
        <v>3914</v>
      </c>
      <c r="C208" s="84" t="s">
        <v>1221</v>
      </c>
      <c r="D208" s="88" t="s">
        <v>1396</v>
      </c>
      <c r="E208" s="84" t="s">
        <v>3683</v>
      </c>
      <c r="F208" s="84" t="s">
        <v>850</v>
      </c>
      <c r="G208" s="84" t="s">
        <v>3551</v>
      </c>
      <c r="H208" s="84" t="s">
        <v>3521</v>
      </c>
      <c r="I208" s="84" t="s">
        <v>3684</v>
      </c>
      <c r="J208" s="91"/>
      <c r="K208" s="84" t="s">
        <v>111</v>
      </c>
      <c r="L208" s="87">
        <v>360.0</v>
      </c>
      <c r="M208" s="87">
        <v>0.0</v>
      </c>
      <c r="N208" s="87">
        <v>0.117647</v>
      </c>
      <c r="O208" s="87">
        <v>2.0</v>
      </c>
      <c r="P208" s="87">
        <v>0.117647</v>
      </c>
      <c r="Q208" s="87">
        <v>0.055556</v>
      </c>
      <c r="T208" s="84" t="s">
        <v>3648</v>
      </c>
      <c r="U208" s="87">
        <v>0.0</v>
      </c>
    </row>
    <row r="209">
      <c r="A209" s="84" t="s">
        <v>644</v>
      </c>
      <c r="B209" s="194" t="s">
        <v>3790</v>
      </c>
      <c r="C209" s="84" t="s">
        <v>702</v>
      </c>
      <c r="D209" s="88" t="s">
        <v>1396</v>
      </c>
      <c r="E209" s="84" t="s">
        <v>3683</v>
      </c>
      <c r="F209" s="84" t="s">
        <v>686</v>
      </c>
      <c r="G209" s="84" t="s">
        <v>3607</v>
      </c>
      <c r="H209" s="84" t="s">
        <v>3521</v>
      </c>
      <c r="I209" s="84" t="s">
        <v>3684</v>
      </c>
      <c r="J209" s="84" t="s">
        <v>215</v>
      </c>
      <c r="L209" s="87">
        <v>409.0</v>
      </c>
      <c r="M209" s="87">
        <v>0.0</v>
      </c>
      <c r="N209" s="87">
        <v>1.340495</v>
      </c>
      <c r="O209" s="87">
        <v>0.0</v>
      </c>
      <c r="P209" s="87">
        <v>0.777778</v>
      </c>
      <c r="Q209" s="87">
        <v>1.407162</v>
      </c>
      <c r="T209" s="84" t="s">
        <v>3649</v>
      </c>
      <c r="U209" s="87">
        <v>7.818567544</v>
      </c>
    </row>
    <row r="210">
      <c r="A210" s="84" t="s">
        <v>258</v>
      </c>
      <c r="B210" s="194" t="s">
        <v>3915</v>
      </c>
      <c r="C210" s="84" t="s">
        <v>256</v>
      </c>
      <c r="D210" s="88" t="s">
        <v>1396</v>
      </c>
      <c r="E210" s="84" t="s">
        <v>3687</v>
      </c>
      <c r="F210" s="84" t="s">
        <v>257</v>
      </c>
      <c r="G210" s="84" t="s">
        <v>3916</v>
      </c>
      <c r="H210" s="84" t="s">
        <v>3521</v>
      </c>
      <c r="I210" s="84" t="s">
        <v>3684</v>
      </c>
      <c r="J210" s="85"/>
      <c r="K210" s="91"/>
      <c r="L210" s="87">
        <v>0.0</v>
      </c>
      <c r="M210" s="87">
        <v>1.0</v>
      </c>
      <c r="N210" s="87">
        <v>0.0</v>
      </c>
      <c r="O210" s="87">
        <v>2.230769</v>
      </c>
      <c r="P210" s="87">
        <v>2.157015</v>
      </c>
      <c r="Q210" s="87">
        <v>1.944945</v>
      </c>
      <c r="T210" s="84" t="s">
        <v>466</v>
      </c>
      <c r="U210" s="87">
        <v>2.518398268</v>
      </c>
    </row>
    <row r="211">
      <c r="A211" s="84" t="s">
        <v>644</v>
      </c>
      <c r="B211" s="194" t="s">
        <v>3912</v>
      </c>
      <c r="C211" s="84" t="s">
        <v>1222</v>
      </c>
      <c r="D211" s="88" t="s">
        <v>1396</v>
      </c>
      <c r="E211" s="84" t="s">
        <v>3683</v>
      </c>
      <c r="F211" s="84" t="s">
        <v>850</v>
      </c>
      <c r="G211" s="84" t="s">
        <v>3551</v>
      </c>
      <c r="H211" s="84" t="s">
        <v>3521</v>
      </c>
      <c r="I211" s="84" t="s">
        <v>3684</v>
      </c>
      <c r="J211" s="85"/>
      <c r="K211" s="85"/>
      <c r="L211" s="87">
        <v>24.0</v>
      </c>
      <c r="M211" s="87">
        <v>6.0</v>
      </c>
      <c r="N211" s="87">
        <v>0.237179</v>
      </c>
      <c r="O211" s="87">
        <v>3.139777</v>
      </c>
      <c r="P211" s="87">
        <v>2.511179</v>
      </c>
      <c r="Q211" s="87">
        <v>1.669244</v>
      </c>
      <c r="T211" s="84" t="s">
        <v>840</v>
      </c>
      <c r="U211" s="87">
        <v>5.0</v>
      </c>
    </row>
    <row r="212">
      <c r="A212" s="84" t="s">
        <v>616</v>
      </c>
      <c r="B212" s="194" t="s">
        <v>3917</v>
      </c>
      <c r="C212" s="84" t="s">
        <v>625</v>
      </c>
      <c r="D212" s="88" t="s">
        <v>1396</v>
      </c>
      <c r="E212" s="91"/>
      <c r="F212" s="84" t="s">
        <v>621</v>
      </c>
      <c r="G212" s="84" t="s">
        <v>3552</v>
      </c>
      <c r="I212" s="84" t="s">
        <v>3684</v>
      </c>
      <c r="J212" s="85"/>
      <c r="K212" s="91"/>
      <c r="L212" s="87">
        <v>456.0</v>
      </c>
      <c r="M212" s="87">
        <v>0.0</v>
      </c>
      <c r="N212" s="87">
        <v>0.0</v>
      </c>
      <c r="O212" s="87">
        <v>0.0</v>
      </c>
      <c r="P212" s="87">
        <v>0.0</v>
      </c>
      <c r="Q212" s="87">
        <v>0.0</v>
      </c>
      <c r="T212" s="84" t="s">
        <v>1323</v>
      </c>
      <c r="U212" s="87">
        <v>0.0</v>
      </c>
    </row>
    <row r="213">
      <c r="A213" s="84" t="s">
        <v>644</v>
      </c>
      <c r="B213" s="194" t="s">
        <v>3918</v>
      </c>
      <c r="C213" s="84" t="s">
        <v>1241</v>
      </c>
      <c r="D213" s="88" t="s">
        <v>1396</v>
      </c>
      <c r="E213" s="84" t="s">
        <v>3683</v>
      </c>
      <c r="F213" s="84" t="s">
        <v>1239</v>
      </c>
      <c r="G213" s="84" t="s">
        <v>3607</v>
      </c>
      <c r="H213" s="84" t="s">
        <v>3521</v>
      </c>
      <c r="I213" s="84" t="s">
        <v>3684</v>
      </c>
      <c r="J213" s="84" t="s">
        <v>215</v>
      </c>
      <c r="L213" s="87">
        <v>120.0</v>
      </c>
      <c r="M213" s="87">
        <v>0.0</v>
      </c>
      <c r="N213" s="87">
        <v>0.222222</v>
      </c>
      <c r="O213" s="87">
        <v>0.222222</v>
      </c>
      <c r="P213" s="87">
        <v>0.371199</v>
      </c>
      <c r="Q213" s="87">
        <v>0.324958</v>
      </c>
      <c r="T213" s="84" t="s">
        <v>829</v>
      </c>
      <c r="U213" s="87">
        <v>0.0</v>
      </c>
    </row>
    <row r="214">
      <c r="A214" s="84" t="s">
        <v>644</v>
      </c>
      <c r="B214" s="194" t="s">
        <v>3919</v>
      </c>
      <c r="C214" s="84" t="s">
        <v>1236</v>
      </c>
      <c r="D214" s="88" t="s">
        <v>1396</v>
      </c>
      <c r="E214" s="84" t="s">
        <v>3683</v>
      </c>
      <c r="F214" s="84" t="s">
        <v>1237</v>
      </c>
      <c r="G214" s="84" t="s">
        <v>3607</v>
      </c>
      <c r="H214" s="84" t="s">
        <v>3521</v>
      </c>
      <c r="I214" s="84" t="s">
        <v>3684</v>
      </c>
      <c r="J214" s="84" t="s">
        <v>215</v>
      </c>
      <c r="K214" s="84" t="s">
        <v>111</v>
      </c>
      <c r="L214" s="87">
        <v>456.0</v>
      </c>
      <c r="M214" s="87">
        <v>0.0</v>
      </c>
      <c r="N214" s="87">
        <v>0.0</v>
      </c>
      <c r="O214" s="87">
        <v>0.0</v>
      </c>
      <c r="P214" s="87">
        <v>0.0</v>
      </c>
      <c r="Q214" s="87">
        <v>0.0</v>
      </c>
      <c r="T214" s="84" t="s">
        <v>834</v>
      </c>
      <c r="U214" s="87">
        <v>0.166666667</v>
      </c>
    </row>
    <row r="215">
      <c r="A215" s="84" t="s">
        <v>363</v>
      </c>
      <c r="B215" s="193" t="s">
        <v>3920</v>
      </c>
      <c r="C215" s="84" t="s">
        <v>372</v>
      </c>
      <c r="D215" s="88" t="s">
        <v>1396</v>
      </c>
      <c r="E215" s="84" t="s">
        <v>3683</v>
      </c>
      <c r="F215" s="84" t="s">
        <v>370</v>
      </c>
      <c r="G215" s="84" t="s">
        <v>3770</v>
      </c>
      <c r="H215" s="84" t="s">
        <v>3527</v>
      </c>
      <c r="I215" s="84" t="s">
        <v>3709</v>
      </c>
      <c r="J215" s="91"/>
      <c r="K215" s="84" t="s">
        <v>111</v>
      </c>
      <c r="L215" s="87">
        <v>792.0</v>
      </c>
      <c r="M215" s="87">
        <v>0.0</v>
      </c>
      <c r="N215" s="87">
        <v>0.0</v>
      </c>
      <c r="O215" s="87">
        <v>0.0</v>
      </c>
      <c r="P215" s="87">
        <v>0.0</v>
      </c>
      <c r="Q215" s="87">
        <v>0.0</v>
      </c>
      <c r="T215" s="84" t="s">
        <v>831</v>
      </c>
      <c r="U215" s="87">
        <v>0.267857143</v>
      </c>
    </row>
    <row r="216">
      <c r="A216" s="84" t="s">
        <v>180</v>
      </c>
      <c r="B216" s="194" t="s">
        <v>3921</v>
      </c>
      <c r="C216" s="84" t="s">
        <v>207</v>
      </c>
      <c r="D216" s="88" t="s">
        <v>1396</v>
      </c>
      <c r="E216" s="91"/>
      <c r="F216" s="84" t="s">
        <v>201</v>
      </c>
      <c r="G216" s="84" t="s">
        <v>3727</v>
      </c>
      <c r="I216" s="84" t="s">
        <v>3684</v>
      </c>
      <c r="J216" s="91"/>
      <c r="K216" s="85"/>
      <c r="L216" s="87">
        <v>552.0</v>
      </c>
      <c r="M216" s="87">
        <v>0.0</v>
      </c>
      <c r="N216" s="87">
        <v>0.0</v>
      </c>
      <c r="O216" s="87">
        <v>0.0</v>
      </c>
      <c r="P216" s="87">
        <v>0.0</v>
      </c>
      <c r="Q216" s="87">
        <v>0.0</v>
      </c>
      <c r="T216" s="84" t="s">
        <v>833</v>
      </c>
      <c r="U216" s="87">
        <v>0.392857143</v>
      </c>
    </row>
    <row r="217">
      <c r="A217" s="84" t="s">
        <v>616</v>
      </c>
      <c r="B217" s="194" t="s">
        <v>3922</v>
      </c>
      <c r="C217" s="84" t="s">
        <v>614</v>
      </c>
      <c r="D217" s="88" t="s">
        <v>1396</v>
      </c>
      <c r="E217" s="84" t="s">
        <v>3683</v>
      </c>
      <c r="F217" s="84" t="s">
        <v>615</v>
      </c>
      <c r="G217" s="84" t="s">
        <v>3563</v>
      </c>
      <c r="I217" s="84" t="s">
        <v>3684</v>
      </c>
      <c r="J217" s="91"/>
      <c r="K217" s="85"/>
      <c r="L217" s="87">
        <v>552.0</v>
      </c>
      <c r="M217" s="87">
        <v>0.0</v>
      </c>
      <c r="N217" s="87">
        <v>0.0</v>
      </c>
      <c r="O217" s="87">
        <v>0.0</v>
      </c>
      <c r="P217" s="87">
        <v>0.0</v>
      </c>
      <c r="Q217" s="87">
        <v>0.0</v>
      </c>
      <c r="T217" s="84" t="s">
        <v>832</v>
      </c>
      <c r="U217" s="87">
        <v>0.416666667</v>
      </c>
    </row>
    <row r="218">
      <c r="A218" s="84" t="s">
        <v>644</v>
      </c>
      <c r="B218" s="194" t="s">
        <v>3835</v>
      </c>
      <c r="C218" s="84" t="s">
        <v>1263</v>
      </c>
      <c r="D218" s="88" t="s">
        <v>1396</v>
      </c>
      <c r="E218" s="84" t="s">
        <v>3683</v>
      </c>
      <c r="F218" s="84" t="s">
        <v>682</v>
      </c>
      <c r="G218" s="84" t="s">
        <v>3563</v>
      </c>
      <c r="H218" s="84" t="s">
        <v>3521</v>
      </c>
      <c r="I218" s="84" t="s">
        <v>3684</v>
      </c>
      <c r="J218" s="85"/>
      <c r="K218" s="85"/>
      <c r="L218" s="87">
        <v>0.0</v>
      </c>
      <c r="M218" s="87">
        <v>0.0</v>
      </c>
      <c r="N218" s="87">
        <v>0.0</v>
      </c>
      <c r="O218" s="87">
        <v>1.45202</v>
      </c>
      <c r="P218" s="87">
        <v>1.073849</v>
      </c>
      <c r="Q218" s="87">
        <v>0.88085</v>
      </c>
      <c r="T218" s="84" t="s">
        <v>934</v>
      </c>
      <c r="U218" s="87">
        <v>0.0</v>
      </c>
    </row>
    <row r="219">
      <c r="A219" s="84" t="s">
        <v>644</v>
      </c>
      <c r="B219" s="194" t="s">
        <v>3923</v>
      </c>
      <c r="C219" s="84" t="s">
        <v>654</v>
      </c>
      <c r="D219" s="88" t="s">
        <v>1396</v>
      </c>
      <c r="E219" s="84" t="s">
        <v>3683</v>
      </c>
      <c r="F219" s="84" t="s">
        <v>651</v>
      </c>
      <c r="G219" s="84" t="s">
        <v>3723</v>
      </c>
      <c r="H219" s="91"/>
      <c r="I219" s="84" t="s">
        <v>3684</v>
      </c>
      <c r="J219" s="91"/>
      <c r="K219" s="91"/>
      <c r="L219" s="87">
        <v>552.0</v>
      </c>
      <c r="M219" s="87">
        <v>0.0</v>
      </c>
      <c r="N219" s="87">
        <v>0.0</v>
      </c>
      <c r="O219" s="87">
        <v>0.0</v>
      </c>
      <c r="P219" s="87">
        <v>0.0</v>
      </c>
      <c r="Q219" s="87">
        <v>0.0</v>
      </c>
      <c r="T219" s="84" t="s">
        <v>501</v>
      </c>
      <c r="U219" s="87">
        <v>4.173076923</v>
      </c>
    </row>
    <row r="220">
      <c r="A220" s="84" t="s">
        <v>644</v>
      </c>
      <c r="B220" s="194" t="s">
        <v>3912</v>
      </c>
      <c r="C220" s="84" t="s">
        <v>1222</v>
      </c>
      <c r="D220" s="88" t="s">
        <v>1396</v>
      </c>
      <c r="E220" s="84" t="s">
        <v>3683</v>
      </c>
      <c r="F220" s="84" t="s">
        <v>850</v>
      </c>
      <c r="G220" s="84" t="s">
        <v>3551</v>
      </c>
      <c r="H220" s="84" t="s">
        <v>3521</v>
      </c>
      <c r="I220" s="84" t="s">
        <v>3684</v>
      </c>
      <c r="J220" s="85"/>
      <c r="K220" s="84" t="s">
        <v>111</v>
      </c>
      <c r="L220" s="87">
        <v>360.0</v>
      </c>
      <c r="M220" s="87">
        <v>0.0</v>
      </c>
      <c r="N220" s="87">
        <v>0.105263</v>
      </c>
      <c r="O220" s="87">
        <v>0.666667</v>
      </c>
      <c r="P220" s="87">
        <v>0.105263</v>
      </c>
      <c r="Q220" s="87">
        <v>0.05</v>
      </c>
      <c r="T220" s="84" t="s">
        <v>367</v>
      </c>
      <c r="U220" s="87">
        <v>20.76452714</v>
      </c>
    </row>
    <row r="221">
      <c r="A221" s="84" t="s">
        <v>644</v>
      </c>
      <c r="B221" s="194" t="s">
        <v>3924</v>
      </c>
      <c r="C221" s="84" t="s">
        <v>672</v>
      </c>
      <c r="D221" s="88" t="s">
        <v>1396</v>
      </c>
      <c r="E221" s="84" t="s">
        <v>3683</v>
      </c>
      <c r="F221" s="84" t="s">
        <v>670</v>
      </c>
      <c r="G221" s="84" t="s">
        <v>3789</v>
      </c>
      <c r="H221" s="84" t="s">
        <v>3521</v>
      </c>
      <c r="I221" s="84" t="s">
        <v>3684</v>
      </c>
      <c r="J221" s="84" t="s">
        <v>130</v>
      </c>
      <c r="K221" s="85"/>
      <c r="L221" s="87">
        <v>96.0</v>
      </c>
      <c r="M221" s="87">
        <v>0.0</v>
      </c>
      <c r="N221" s="87">
        <v>0.053343</v>
      </c>
      <c r="O221" s="87">
        <v>0.0</v>
      </c>
      <c r="P221" s="87">
        <v>0.0</v>
      </c>
      <c r="Q221" s="87">
        <v>0.053343</v>
      </c>
      <c r="T221" s="84" t="s">
        <v>1040</v>
      </c>
      <c r="U221" s="87">
        <v>0.583333333</v>
      </c>
    </row>
    <row r="222">
      <c r="A222" s="84" t="s">
        <v>537</v>
      </c>
      <c r="B222" s="194" t="s">
        <v>3692</v>
      </c>
      <c r="C222" s="84" t="s">
        <v>545</v>
      </c>
      <c r="D222" s="88" t="s">
        <v>1396</v>
      </c>
      <c r="E222" s="84" t="s">
        <v>3683</v>
      </c>
      <c r="F222" s="84" t="s">
        <v>542</v>
      </c>
      <c r="G222" s="84" t="s">
        <v>3514</v>
      </c>
      <c r="H222" s="84" t="s">
        <v>3521</v>
      </c>
      <c r="I222" s="84" t="s">
        <v>3693</v>
      </c>
      <c r="J222" s="85"/>
      <c r="K222" s="85"/>
      <c r="L222" s="87">
        <v>94.0</v>
      </c>
      <c r="M222" s="87">
        <v>4.0</v>
      </c>
      <c r="N222" s="87">
        <v>1.345738</v>
      </c>
      <c r="O222" s="87">
        <v>4.09632</v>
      </c>
      <c r="P222" s="87">
        <v>3.075959</v>
      </c>
      <c r="Q222" s="87">
        <v>2.306541</v>
      </c>
      <c r="T222" s="84" t="s">
        <v>727</v>
      </c>
      <c r="U222" s="87">
        <v>0.0</v>
      </c>
    </row>
    <row r="223">
      <c r="A223" s="84" t="s">
        <v>644</v>
      </c>
      <c r="B223" s="194" t="s">
        <v>3925</v>
      </c>
      <c r="C223" s="84" t="s">
        <v>1201</v>
      </c>
      <c r="D223" s="88" t="s">
        <v>1396</v>
      </c>
      <c r="E223" s="84" t="s">
        <v>3683</v>
      </c>
      <c r="F223" s="84" t="s">
        <v>1192</v>
      </c>
      <c r="G223" s="84" t="s">
        <v>3761</v>
      </c>
      <c r="I223" s="84" t="s">
        <v>3684</v>
      </c>
      <c r="J223" s="84" t="s">
        <v>215</v>
      </c>
      <c r="K223" s="84" t="s">
        <v>111</v>
      </c>
      <c r="L223" s="87">
        <v>456.0</v>
      </c>
      <c r="M223" s="87">
        <v>0.0</v>
      </c>
      <c r="N223" s="87">
        <v>0.0</v>
      </c>
      <c r="O223" s="87">
        <v>0.0</v>
      </c>
      <c r="P223" s="87">
        <v>0.0</v>
      </c>
      <c r="Q223" s="87">
        <v>0.0</v>
      </c>
      <c r="T223" s="84" t="s">
        <v>725</v>
      </c>
      <c r="U223" s="87">
        <v>0.090909091</v>
      </c>
    </row>
    <row r="224">
      <c r="A224" s="84" t="s">
        <v>644</v>
      </c>
      <c r="B224" s="194" t="s">
        <v>3926</v>
      </c>
      <c r="C224" s="84" t="s">
        <v>1223</v>
      </c>
      <c r="D224" s="88" t="s">
        <v>1396</v>
      </c>
      <c r="E224" s="84" t="s">
        <v>3683</v>
      </c>
      <c r="F224" s="84" t="s">
        <v>1224</v>
      </c>
      <c r="G224" s="84" t="s">
        <v>3551</v>
      </c>
      <c r="H224" s="84" t="s">
        <v>3521</v>
      </c>
      <c r="I224" s="84" t="s">
        <v>3684</v>
      </c>
      <c r="J224" s="91"/>
      <c r="K224" s="91"/>
      <c r="L224" s="87">
        <v>12.0</v>
      </c>
      <c r="M224" s="87">
        <v>6.0</v>
      </c>
      <c r="N224" s="87">
        <v>0.071429</v>
      </c>
      <c r="O224" s="87">
        <v>4.899539</v>
      </c>
      <c r="P224" s="87">
        <v>4.809308</v>
      </c>
      <c r="Q224" s="87">
        <v>2.804986</v>
      </c>
      <c r="T224" s="84" t="s">
        <v>3650</v>
      </c>
      <c r="U224" s="87">
        <v>0.226190476</v>
      </c>
    </row>
    <row r="225">
      <c r="A225" s="84" t="s">
        <v>481</v>
      </c>
      <c r="B225" s="194" t="s">
        <v>3927</v>
      </c>
      <c r="C225" s="84" t="s">
        <v>1004</v>
      </c>
      <c r="D225" s="88" t="s">
        <v>1396</v>
      </c>
      <c r="E225" s="84" t="s">
        <v>3683</v>
      </c>
      <c r="F225" s="84" t="s">
        <v>989</v>
      </c>
      <c r="G225" s="84" t="s">
        <v>3585</v>
      </c>
      <c r="H225" s="84" t="s">
        <v>3521</v>
      </c>
      <c r="I225" s="84" t="s">
        <v>3684</v>
      </c>
      <c r="J225" s="91"/>
      <c r="K225" s="91"/>
      <c r="L225" s="87">
        <v>24.0</v>
      </c>
      <c r="M225" s="87">
        <v>1.0</v>
      </c>
      <c r="N225" s="87">
        <v>0.0</v>
      </c>
      <c r="O225" s="87">
        <v>1.113803</v>
      </c>
      <c r="P225" s="87">
        <v>1.483516</v>
      </c>
      <c r="Q225" s="87">
        <v>1.632924</v>
      </c>
      <c r="T225" s="84" t="s">
        <v>733</v>
      </c>
      <c r="U225" s="87">
        <v>0.111111111</v>
      </c>
    </row>
    <row r="226">
      <c r="A226" s="84" t="s">
        <v>630</v>
      </c>
      <c r="B226" s="194" t="s">
        <v>3928</v>
      </c>
      <c r="C226" s="84" t="s">
        <v>1110</v>
      </c>
      <c r="D226" s="88" t="s">
        <v>1396</v>
      </c>
      <c r="E226" s="84" t="s">
        <v>3683</v>
      </c>
      <c r="F226" s="84" t="s">
        <v>1108</v>
      </c>
      <c r="G226" s="84" t="s">
        <v>3554</v>
      </c>
      <c r="H226" s="84" t="s">
        <v>3521</v>
      </c>
      <c r="I226" s="84" t="s">
        <v>3684</v>
      </c>
      <c r="J226" s="85"/>
      <c r="K226" s="91"/>
      <c r="L226" s="87">
        <v>48.0</v>
      </c>
      <c r="M226" s="87">
        <v>1.0</v>
      </c>
      <c r="N226" s="87">
        <v>0.391026</v>
      </c>
      <c r="O226" s="87">
        <v>2.352564</v>
      </c>
      <c r="P226" s="87">
        <v>2.888588</v>
      </c>
      <c r="Q226" s="87">
        <v>2.671994</v>
      </c>
      <c r="T226" s="84" t="s">
        <v>735</v>
      </c>
      <c r="U226" s="87">
        <v>0.0</v>
      </c>
    </row>
    <row r="227">
      <c r="A227" s="84" t="s">
        <v>180</v>
      </c>
      <c r="B227" s="194" t="s">
        <v>3849</v>
      </c>
      <c r="C227" s="84" t="s">
        <v>840</v>
      </c>
      <c r="D227" s="88" t="s">
        <v>1396</v>
      </c>
      <c r="E227" s="84" t="s">
        <v>3683</v>
      </c>
      <c r="F227" s="84" t="s">
        <v>841</v>
      </c>
      <c r="G227" s="84" t="s">
        <v>3550</v>
      </c>
      <c r="H227" s="84" t="s">
        <v>3507</v>
      </c>
      <c r="I227" s="84" t="s">
        <v>3684</v>
      </c>
      <c r="J227" s="85"/>
      <c r="K227" s="84" t="s">
        <v>111</v>
      </c>
      <c r="L227" s="87">
        <v>696.0</v>
      </c>
      <c r="M227" s="87">
        <v>0.0</v>
      </c>
      <c r="N227" s="87">
        <v>10.57437</v>
      </c>
      <c r="O227" s="87">
        <v>0.52381</v>
      </c>
      <c r="P227" s="87">
        <v>4.875268</v>
      </c>
      <c r="Q227" s="87">
        <v>10.26241</v>
      </c>
      <c r="T227" s="84" t="s">
        <v>767</v>
      </c>
      <c r="U227" s="87">
        <v>0.0</v>
      </c>
    </row>
    <row r="228">
      <c r="A228" s="84" t="s">
        <v>481</v>
      </c>
      <c r="B228" s="194" t="s">
        <v>3929</v>
      </c>
      <c r="C228" s="84" t="s">
        <v>992</v>
      </c>
      <c r="D228" s="88" t="s">
        <v>1396</v>
      </c>
      <c r="E228" s="84" t="s">
        <v>3683</v>
      </c>
      <c r="F228" s="84" t="s">
        <v>989</v>
      </c>
      <c r="G228" s="84" t="s">
        <v>3585</v>
      </c>
      <c r="H228" s="84" t="s">
        <v>3521</v>
      </c>
      <c r="I228" s="84" t="s">
        <v>3684</v>
      </c>
      <c r="J228" s="91"/>
      <c r="K228" s="91"/>
      <c r="L228" s="87">
        <v>24.0</v>
      </c>
      <c r="M228" s="87">
        <v>2.0</v>
      </c>
      <c r="N228" s="87">
        <v>0.0</v>
      </c>
      <c r="O228" s="87">
        <v>1.237179</v>
      </c>
      <c r="P228" s="87">
        <v>1.010591</v>
      </c>
      <c r="Q228" s="87">
        <v>0.995291</v>
      </c>
      <c r="T228" s="84" t="s">
        <v>771</v>
      </c>
      <c r="U228" s="87">
        <v>0.30952381</v>
      </c>
    </row>
    <row r="229">
      <c r="A229" s="84" t="s">
        <v>644</v>
      </c>
      <c r="B229" s="194" t="s">
        <v>3930</v>
      </c>
      <c r="C229" s="84" t="s">
        <v>1351</v>
      </c>
      <c r="D229" s="88" t="s">
        <v>1396</v>
      </c>
      <c r="E229" s="84" t="s">
        <v>3683</v>
      </c>
      <c r="F229" s="84" t="s">
        <v>850</v>
      </c>
      <c r="G229" s="84" t="s">
        <v>3551</v>
      </c>
      <c r="H229" s="84" t="s">
        <v>3521</v>
      </c>
      <c r="I229" s="84" t="s">
        <v>3684</v>
      </c>
      <c r="J229" s="91"/>
      <c r="K229" s="85"/>
      <c r="L229" s="87">
        <v>10.0</v>
      </c>
      <c r="M229" s="87">
        <v>5.0</v>
      </c>
      <c r="N229" s="87">
        <v>0.0</v>
      </c>
      <c r="O229" s="87">
        <v>2.737429</v>
      </c>
      <c r="P229" s="87">
        <v>3.110819</v>
      </c>
      <c r="Q229" s="87">
        <v>1.811158</v>
      </c>
      <c r="T229" s="84" t="s">
        <v>336</v>
      </c>
      <c r="U229" s="87">
        <v>2.421500722</v>
      </c>
    </row>
    <row r="230">
      <c r="A230" s="84" t="s">
        <v>537</v>
      </c>
      <c r="B230" s="194" t="s">
        <v>3931</v>
      </c>
      <c r="C230" s="84" t="s">
        <v>1052</v>
      </c>
      <c r="D230" s="88" t="s">
        <v>1396</v>
      </c>
      <c r="E230" s="84" t="s">
        <v>3683</v>
      </c>
      <c r="F230" s="84" t="s">
        <v>1047</v>
      </c>
      <c r="G230" s="84" t="s">
        <v>3592</v>
      </c>
      <c r="I230" s="84" t="s">
        <v>3693</v>
      </c>
      <c r="J230" s="91"/>
      <c r="K230" s="91"/>
      <c r="L230" s="87">
        <v>0.0</v>
      </c>
      <c r="M230" s="87">
        <v>0.0</v>
      </c>
      <c r="N230" s="87">
        <v>0.0</v>
      </c>
      <c r="O230" s="87">
        <v>0.0</v>
      </c>
      <c r="P230" s="87">
        <v>0.0</v>
      </c>
      <c r="Q230" s="87">
        <v>0.0</v>
      </c>
      <c r="T230" s="84" t="s">
        <v>1093</v>
      </c>
      <c r="U230" s="87">
        <v>2.254845155</v>
      </c>
    </row>
    <row r="231">
      <c r="A231" s="84" t="s">
        <v>180</v>
      </c>
      <c r="B231" s="194" t="s">
        <v>3932</v>
      </c>
      <c r="C231" s="84" t="s">
        <v>813</v>
      </c>
      <c r="D231" s="88" t="s">
        <v>1396</v>
      </c>
      <c r="E231" s="84" t="s">
        <v>3683</v>
      </c>
      <c r="F231" s="84" t="s">
        <v>814</v>
      </c>
      <c r="G231" s="84" t="s">
        <v>3533</v>
      </c>
      <c r="H231" s="84" t="s">
        <v>3521</v>
      </c>
      <c r="I231" s="84" t="s">
        <v>3684</v>
      </c>
      <c r="J231" s="84" t="s">
        <v>130</v>
      </c>
      <c r="K231" s="84" t="s">
        <v>112</v>
      </c>
      <c r="L231" s="87">
        <v>24.0</v>
      </c>
      <c r="M231" s="87">
        <v>0.0</v>
      </c>
      <c r="N231" s="87">
        <v>0.0</v>
      </c>
      <c r="O231" s="87">
        <v>0.0</v>
      </c>
      <c r="P231" s="87">
        <v>0.0</v>
      </c>
      <c r="Q231" s="87">
        <v>0.0</v>
      </c>
      <c r="T231" s="84" t="s">
        <v>1090</v>
      </c>
      <c r="U231" s="87">
        <v>2.023809524</v>
      </c>
    </row>
    <row r="232">
      <c r="A232" s="84" t="s">
        <v>644</v>
      </c>
      <c r="B232" s="194" t="s">
        <v>3933</v>
      </c>
      <c r="C232" s="84" t="s">
        <v>707</v>
      </c>
      <c r="D232" s="88" t="s">
        <v>1396</v>
      </c>
      <c r="E232" s="84" t="s">
        <v>3687</v>
      </c>
      <c r="F232" s="84" t="s">
        <v>708</v>
      </c>
      <c r="G232" s="84" t="s">
        <v>3607</v>
      </c>
      <c r="H232" s="84" t="s">
        <v>3521</v>
      </c>
      <c r="I232" s="84" t="s">
        <v>3684</v>
      </c>
      <c r="J232" s="84" t="s">
        <v>215</v>
      </c>
      <c r="K232" s="84" t="s">
        <v>111</v>
      </c>
      <c r="L232" s="87">
        <v>48.0</v>
      </c>
      <c r="M232" s="87">
        <v>0.0</v>
      </c>
      <c r="N232" s="87">
        <v>0.0</v>
      </c>
      <c r="O232" s="87">
        <v>0.142857</v>
      </c>
      <c r="P232" s="87">
        <v>0.066667</v>
      </c>
      <c r="Q232" s="87">
        <v>0.033333</v>
      </c>
      <c r="T232" s="84" t="s">
        <v>1092</v>
      </c>
      <c r="U232" s="87">
        <v>1.092324342</v>
      </c>
    </row>
    <row r="233">
      <c r="A233" s="84" t="s">
        <v>472</v>
      </c>
      <c r="B233" s="194" t="s">
        <v>3890</v>
      </c>
      <c r="C233" s="84" t="s">
        <v>475</v>
      </c>
      <c r="D233" s="88" t="s">
        <v>1396</v>
      </c>
      <c r="E233" s="84" t="s">
        <v>3683</v>
      </c>
      <c r="F233" s="84" t="s">
        <v>476</v>
      </c>
      <c r="G233" s="84" t="s">
        <v>3827</v>
      </c>
      <c r="H233" s="84" t="s">
        <v>3507</v>
      </c>
      <c r="I233" s="84" t="s">
        <v>3684</v>
      </c>
      <c r="J233" s="91"/>
      <c r="K233" s="85"/>
      <c r="L233" s="87">
        <v>48.0</v>
      </c>
      <c r="M233" s="87">
        <v>0.0</v>
      </c>
      <c r="N233" s="87">
        <v>0.157895</v>
      </c>
      <c r="O233" s="87">
        <v>0.666667</v>
      </c>
      <c r="P233" s="87">
        <v>0.157895</v>
      </c>
      <c r="Q233" s="87">
        <v>0.102466</v>
      </c>
      <c r="T233" s="84" t="s">
        <v>1094</v>
      </c>
      <c r="U233" s="87">
        <v>2.40959041</v>
      </c>
    </row>
    <row r="234">
      <c r="A234" s="84" t="s">
        <v>537</v>
      </c>
      <c r="B234" s="194" t="s">
        <v>3880</v>
      </c>
      <c r="C234" s="84" t="s">
        <v>565</v>
      </c>
      <c r="D234" s="88" t="s">
        <v>1396</v>
      </c>
      <c r="E234" s="84" t="s">
        <v>3683</v>
      </c>
      <c r="F234" s="84" t="s">
        <v>558</v>
      </c>
      <c r="G234" s="84" t="s">
        <v>3602</v>
      </c>
      <c r="H234" s="84" t="s">
        <v>3521</v>
      </c>
      <c r="I234" s="84" t="s">
        <v>3693</v>
      </c>
      <c r="J234" s="84" t="s">
        <v>130</v>
      </c>
      <c r="K234" s="91"/>
      <c r="L234" s="87">
        <v>9.0</v>
      </c>
      <c r="M234" s="87">
        <v>0.0</v>
      </c>
      <c r="N234" s="87">
        <v>0.0</v>
      </c>
      <c r="O234" s="87">
        <v>0.0</v>
      </c>
      <c r="P234" s="87">
        <v>0.0</v>
      </c>
      <c r="Q234" s="87">
        <v>0.016667</v>
      </c>
      <c r="T234" s="84" t="s">
        <v>979</v>
      </c>
      <c r="U234" s="87">
        <v>0.0</v>
      </c>
    </row>
    <row r="235">
      <c r="A235" s="84" t="s">
        <v>630</v>
      </c>
      <c r="B235" s="194" t="s">
        <v>3934</v>
      </c>
      <c r="C235" s="84" t="s">
        <v>1116</v>
      </c>
      <c r="D235" s="88" t="s">
        <v>1396</v>
      </c>
      <c r="E235" s="84" t="s">
        <v>3683</v>
      </c>
      <c r="F235" s="84" t="s">
        <v>1117</v>
      </c>
      <c r="G235" s="84" t="s">
        <v>3554</v>
      </c>
      <c r="H235" s="84" t="s">
        <v>3521</v>
      </c>
      <c r="I235" s="84" t="s">
        <v>3684</v>
      </c>
      <c r="J235" s="84" t="s">
        <v>130</v>
      </c>
      <c r="K235" s="91"/>
      <c r="L235" s="87">
        <v>24.0</v>
      </c>
      <c r="M235" s="87">
        <v>0.0</v>
      </c>
      <c r="N235" s="87">
        <v>0.0</v>
      </c>
      <c r="O235" s="87">
        <v>0.0</v>
      </c>
      <c r="P235" s="87">
        <v>0.0</v>
      </c>
      <c r="Q235" s="87">
        <v>0.0</v>
      </c>
      <c r="T235" s="84" t="s">
        <v>739</v>
      </c>
      <c r="U235" s="87">
        <v>0.0</v>
      </c>
    </row>
    <row r="236">
      <c r="A236" s="84" t="s">
        <v>616</v>
      </c>
      <c r="B236" s="194" t="s">
        <v>3935</v>
      </c>
      <c r="C236" s="84" t="s">
        <v>1081</v>
      </c>
      <c r="D236" s="88" t="s">
        <v>1396</v>
      </c>
      <c r="E236" s="84" t="s">
        <v>3683</v>
      </c>
      <c r="F236" s="84" t="s">
        <v>1075</v>
      </c>
      <c r="G236" s="84" t="s">
        <v>3542</v>
      </c>
      <c r="H236" s="84" t="s">
        <v>3521</v>
      </c>
      <c r="I236" s="84" t="s">
        <v>3684</v>
      </c>
      <c r="J236" s="85"/>
      <c r="K236" s="91"/>
      <c r="L236" s="87">
        <v>0.0</v>
      </c>
      <c r="M236" s="87">
        <v>1.0</v>
      </c>
      <c r="N236" s="87">
        <v>0.0</v>
      </c>
      <c r="O236" s="87">
        <v>0.285714</v>
      </c>
      <c r="P236" s="87">
        <v>0.5</v>
      </c>
      <c r="Q236" s="87">
        <v>0.6</v>
      </c>
      <c r="T236" s="84" t="s">
        <v>937</v>
      </c>
      <c r="U236" s="87">
        <v>205.9595405</v>
      </c>
    </row>
    <row r="237">
      <c r="A237" s="84" t="s">
        <v>458</v>
      </c>
      <c r="B237" s="194" t="s">
        <v>3936</v>
      </c>
      <c r="C237" s="84" t="s">
        <v>463</v>
      </c>
      <c r="D237" s="88" t="s">
        <v>1396</v>
      </c>
      <c r="E237" s="84" t="s">
        <v>3683</v>
      </c>
      <c r="F237" s="84" t="s">
        <v>457</v>
      </c>
      <c r="G237" s="84" t="s">
        <v>3560</v>
      </c>
      <c r="H237" s="84" t="s">
        <v>3521</v>
      </c>
      <c r="I237" s="84" t="s">
        <v>3684</v>
      </c>
      <c r="J237" s="91"/>
      <c r="K237" s="85"/>
      <c r="L237" s="87">
        <v>0.0</v>
      </c>
      <c r="M237" s="87">
        <v>0.0</v>
      </c>
      <c r="N237" s="87">
        <v>0.0</v>
      </c>
      <c r="O237" s="87">
        <v>0.214286</v>
      </c>
      <c r="P237" s="87">
        <v>0.133333</v>
      </c>
      <c r="Q237" s="87">
        <v>0.216667</v>
      </c>
      <c r="T237" s="84" t="s">
        <v>782</v>
      </c>
      <c r="U237" s="87">
        <v>5.69450272</v>
      </c>
    </row>
    <row r="238">
      <c r="A238" s="84" t="s">
        <v>630</v>
      </c>
      <c r="B238" s="194" t="s">
        <v>3937</v>
      </c>
      <c r="C238" s="84" t="s">
        <v>633</v>
      </c>
      <c r="D238" s="88" t="s">
        <v>1396</v>
      </c>
      <c r="E238" s="84" t="s">
        <v>3683</v>
      </c>
      <c r="F238" s="84" t="s">
        <v>629</v>
      </c>
      <c r="G238" s="84" t="s">
        <v>3766</v>
      </c>
      <c r="H238" s="84" t="s">
        <v>3521</v>
      </c>
      <c r="I238" s="84" t="s">
        <v>3684</v>
      </c>
      <c r="J238" s="85"/>
      <c r="K238" s="85"/>
      <c r="L238" s="87">
        <v>46.0</v>
      </c>
      <c r="M238" s="87">
        <v>4.0</v>
      </c>
      <c r="N238" s="87">
        <v>0.0</v>
      </c>
      <c r="O238" s="87">
        <v>5.157842</v>
      </c>
      <c r="P238" s="87">
        <v>6.060664</v>
      </c>
      <c r="Q238" s="87">
        <v>6.081364</v>
      </c>
      <c r="T238" s="84" t="s">
        <v>969</v>
      </c>
      <c r="U238" s="87">
        <v>0.0</v>
      </c>
    </row>
    <row r="239">
      <c r="A239" s="84" t="s">
        <v>444</v>
      </c>
      <c r="B239" s="194" t="s">
        <v>3938</v>
      </c>
      <c r="C239" s="84" t="s">
        <v>961</v>
      </c>
      <c r="D239" s="88" t="s">
        <v>1396</v>
      </c>
      <c r="E239" s="84" t="s">
        <v>3683</v>
      </c>
      <c r="F239" s="84" t="s">
        <v>443</v>
      </c>
      <c r="G239" s="84" t="s">
        <v>3580</v>
      </c>
      <c r="I239" s="84" t="s">
        <v>3684</v>
      </c>
      <c r="J239" s="91"/>
      <c r="K239" s="91"/>
      <c r="L239" s="87">
        <v>552.0</v>
      </c>
      <c r="M239" s="87">
        <v>0.0</v>
      </c>
      <c r="N239" s="87">
        <v>0.0</v>
      </c>
      <c r="O239" s="87">
        <v>0.0</v>
      </c>
      <c r="P239" s="87">
        <v>0.0</v>
      </c>
      <c r="Q239" s="87">
        <v>0.0</v>
      </c>
      <c r="T239" s="84" t="s">
        <v>777</v>
      </c>
      <c r="U239" s="87">
        <v>30.29456377</v>
      </c>
    </row>
    <row r="240">
      <c r="A240" s="84" t="s">
        <v>630</v>
      </c>
      <c r="B240" s="194" t="s">
        <v>3939</v>
      </c>
      <c r="C240" s="84" t="s">
        <v>1093</v>
      </c>
      <c r="D240" s="88" t="s">
        <v>1396</v>
      </c>
      <c r="E240" s="84" t="s">
        <v>3687</v>
      </c>
      <c r="F240" s="84" t="s">
        <v>1091</v>
      </c>
      <c r="G240" s="84" t="s">
        <v>3601</v>
      </c>
      <c r="H240" s="84" t="s">
        <v>3521</v>
      </c>
      <c r="I240" s="84" t="s">
        <v>3684</v>
      </c>
      <c r="J240" s="85"/>
      <c r="K240" s="91"/>
      <c r="L240" s="87">
        <v>48.0</v>
      </c>
      <c r="M240" s="87">
        <v>8.0</v>
      </c>
      <c r="N240" s="87">
        <v>1.087612</v>
      </c>
      <c r="O240" s="87">
        <v>7.887979</v>
      </c>
      <c r="P240" s="87">
        <v>7.472165</v>
      </c>
      <c r="Q240" s="87">
        <v>7.545935</v>
      </c>
      <c r="T240" s="84" t="s">
        <v>422</v>
      </c>
      <c r="U240" s="87">
        <v>0.0</v>
      </c>
    </row>
    <row r="241">
      <c r="A241" s="84" t="s">
        <v>139</v>
      </c>
      <c r="B241" s="194" t="s">
        <v>3940</v>
      </c>
      <c r="C241" s="84" t="s">
        <v>170</v>
      </c>
      <c r="D241" s="88" t="s">
        <v>1396</v>
      </c>
      <c r="E241" s="91"/>
      <c r="F241" s="84" t="s">
        <v>144</v>
      </c>
      <c r="G241" s="84" t="s">
        <v>3700</v>
      </c>
      <c r="I241" s="84" t="s">
        <v>3684</v>
      </c>
      <c r="J241" s="84" t="s">
        <v>130</v>
      </c>
      <c r="K241" s="91"/>
      <c r="L241" s="87">
        <v>480.0</v>
      </c>
      <c r="M241" s="87">
        <v>0.0</v>
      </c>
      <c r="N241" s="87">
        <v>0.0</v>
      </c>
      <c r="O241" s="87">
        <v>0.0</v>
      </c>
      <c r="P241" s="87">
        <v>0.0</v>
      </c>
      <c r="Q241" s="87">
        <v>0.0</v>
      </c>
      <c r="T241" s="84" t="s">
        <v>424</v>
      </c>
      <c r="U241" s="87">
        <v>0.0</v>
      </c>
    </row>
    <row r="242">
      <c r="A242" s="84" t="s">
        <v>213</v>
      </c>
      <c r="B242" s="194" t="s">
        <v>3941</v>
      </c>
      <c r="C242" s="84" t="s">
        <v>853</v>
      </c>
      <c r="D242" s="88" t="s">
        <v>1396</v>
      </c>
      <c r="E242" s="84" t="s">
        <v>3683</v>
      </c>
      <c r="F242" s="84" t="s">
        <v>850</v>
      </c>
      <c r="G242" s="84" t="s">
        <v>3551</v>
      </c>
      <c r="H242" s="84" t="s">
        <v>3521</v>
      </c>
      <c r="I242" s="84" t="s">
        <v>3684</v>
      </c>
      <c r="J242" s="85"/>
      <c r="K242" s="85"/>
      <c r="L242" s="87">
        <v>0.0</v>
      </c>
      <c r="M242" s="87">
        <v>1.0</v>
      </c>
      <c r="N242" s="87">
        <v>0.0</v>
      </c>
      <c r="O242" s="87">
        <v>0.714286</v>
      </c>
      <c r="P242" s="87">
        <v>0.533333</v>
      </c>
      <c r="Q242" s="87">
        <v>0.418519</v>
      </c>
      <c r="T242" s="84" t="s">
        <v>489</v>
      </c>
      <c r="U242" s="87">
        <v>0.624242424</v>
      </c>
    </row>
    <row r="243">
      <c r="A243" s="84" t="s">
        <v>180</v>
      </c>
      <c r="B243" s="194" t="s">
        <v>3833</v>
      </c>
      <c r="C243" s="84" t="s">
        <v>198</v>
      </c>
      <c r="D243" s="88" t="s">
        <v>1396</v>
      </c>
      <c r="E243" s="84" t="s">
        <v>3683</v>
      </c>
      <c r="F243" s="84" t="s">
        <v>190</v>
      </c>
      <c r="G243" s="84" t="s">
        <v>3708</v>
      </c>
      <c r="I243" s="84" t="s">
        <v>3709</v>
      </c>
      <c r="J243" s="85"/>
      <c r="K243" s="91"/>
      <c r="L243" s="87">
        <v>552.0</v>
      </c>
      <c r="M243" s="87">
        <v>0.0</v>
      </c>
      <c r="N243" s="87">
        <v>0.0</v>
      </c>
      <c r="O243" s="87">
        <v>0.0</v>
      </c>
      <c r="P243" s="87">
        <v>0.0</v>
      </c>
      <c r="Q243" s="87">
        <v>0.0</v>
      </c>
      <c r="T243" s="84" t="s">
        <v>88</v>
      </c>
      <c r="U243" s="87">
        <v>0.908008658</v>
      </c>
    </row>
    <row r="244">
      <c r="A244" s="84" t="s">
        <v>644</v>
      </c>
      <c r="B244" s="194" t="s">
        <v>3942</v>
      </c>
      <c r="C244" s="84" t="s">
        <v>1218</v>
      </c>
      <c r="D244" s="88" t="s">
        <v>1396</v>
      </c>
      <c r="E244" s="84" t="s">
        <v>3683</v>
      </c>
      <c r="F244" s="84" t="s">
        <v>850</v>
      </c>
      <c r="G244" s="84" t="s">
        <v>3551</v>
      </c>
      <c r="H244" s="84" t="s">
        <v>3521</v>
      </c>
      <c r="I244" s="84" t="s">
        <v>3684</v>
      </c>
      <c r="J244" s="85"/>
      <c r="K244" s="91"/>
      <c r="L244" s="87">
        <v>96.0</v>
      </c>
      <c r="M244" s="87">
        <v>3.0</v>
      </c>
      <c r="N244" s="87">
        <v>1.778724</v>
      </c>
      <c r="O244" s="87">
        <v>6.416162</v>
      </c>
      <c r="P244" s="87">
        <v>4.891019</v>
      </c>
      <c r="Q244" s="87">
        <v>2.893214</v>
      </c>
      <c r="T244" s="84" t="s">
        <v>82</v>
      </c>
      <c r="U244" s="87">
        <v>0.0</v>
      </c>
    </row>
    <row r="245">
      <c r="A245" s="84" t="s">
        <v>644</v>
      </c>
      <c r="B245" s="194" t="s">
        <v>3943</v>
      </c>
      <c r="C245" s="84" t="s">
        <v>679</v>
      </c>
      <c r="D245" s="88" t="s">
        <v>1396</v>
      </c>
      <c r="E245" s="84" t="s">
        <v>3683</v>
      </c>
      <c r="F245" s="84" t="s">
        <v>678</v>
      </c>
      <c r="G245" s="84" t="s">
        <v>3944</v>
      </c>
      <c r="H245" s="84" t="s">
        <v>3521</v>
      </c>
      <c r="I245" s="84" t="s">
        <v>3684</v>
      </c>
      <c r="J245" s="91"/>
      <c r="K245" s="85"/>
      <c r="L245" s="87">
        <v>528.0</v>
      </c>
      <c r="M245" s="87">
        <v>0.0</v>
      </c>
      <c r="N245" s="87">
        <v>5.01759</v>
      </c>
      <c r="O245" s="87">
        <v>2.339286</v>
      </c>
      <c r="P245" s="87">
        <v>4.504226</v>
      </c>
      <c r="Q245" s="87">
        <v>4.868957</v>
      </c>
      <c r="T245" s="84" t="s">
        <v>87</v>
      </c>
      <c r="U245" s="87">
        <v>0.0</v>
      </c>
    </row>
    <row r="246">
      <c r="A246" s="84" t="s">
        <v>439</v>
      </c>
      <c r="B246" s="194" t="s">
        <v>3945</v>
      </c>
      <c r="C246" s="84" t="s">
        <v>1288</v>
      </c>
      <c r="D246" s="88" t="s">
        <v>1396</v>
      </c>
      <c r="E246" s="84" t="s">
        <v>3687</v>
      </c>
      <c r="F246" s="84" t="s">
        <v>3946</v>
      </c>
      <c r="G246" s="84" t="s">
        <v>3947</v>
      </c>
      <c r="H246" s="84" t="s">
        <v>3527</v>
      </c>
      <c r="I246" s="84" t="s">
        <v>3684</v>
      </c>
      <c r="J246" s="84" t="s">
        <v>130</v>
      </c>
      <c r="K246" s="91"/>
      <c r="L246" s="87">
        <v>816.0</v>
      </c>
      <c r="M246" s="87">
        <v>0.0</v>
      </c>
      <c r="N246" s="87">
        <v>0.0</v>
      </c>
      <c r="O246" s="87">
        <v>0.0</v>
      </c>
      <c r="P246" s="87">
        <v>0.0</v>
      </c>
      <c r="Q246" s="87">
        <v>0.0</v>
      </c>
      <c r="T246" s="84" t="s">
        <v>79</v>
      </c>
      <c r="U246" s="87">
        <v>0.0</v>
      </c>
    </row>
    <row r="247">
      <c r="A247" s="84" t="s">
        <v>213</v>
      </c>
      <c r="B247" s="193" t="s">
        <v>3948</v>
      </c>
      <c r="C247" s="84" t="s">
        <v>218</v>
      </c>
      <c r="D247" s="88" t="s">
        <v>1396</v>
      </c>
      <c r="E247" s="84" t="s">
        <v>3683</v>
      </c>
      <c r="F247" s="84" t="s">
        <v>219</v>
      </c>
      <c r="G247" s="84" t="s">
        <v>3778</v>
      </c>
      <c r="H247" s="84" t="s">
        <v>3521</v>
      </c>
      <c r="I247" s="84" t="s">
        <v>3684</v>
      </c>
      <c r="J247" s="84" t="s">
        <v>130</v>
      </c>
      <c r="K247" s="84" t="s">
        <v>111</v>
      </c>
      <c r="L247" s="87">
        <v>816.0</v>
      </c>
      <c r="M247" s="87">
        <v>0.0</v>
      </c>
      <c r="N247" s="87">
        <v>0.0</v>
      </c>
      <c r="O247" s="87">
        <v>0.0</v>
      </c>
      <c r="P247" s="87">
        <v>0.0</v>
      </c>
      <c r="Q247" s="87">
        <v>0.0</v>
      </c>
      <c r="T247" s="84" t="s">
        <v>766</v>
      </c>
      <c r="U247" s="87">
        <v>0.0</v>
      </c>
    </row>
    <row r="248">
      <c r="A248" s="84" t="s">
        <v>1130</v>
      </c>
      <c r="B248" s="194" t="s">
        <v>3949</v>
      </c>
      <c r="C248" s="84" t="s">
        <v>1164</v>
      </c>
      <c r="D248" s="88" t="s">
        <v>1396</v>
      </c>
      <c r="E248" s="84" t="s">
        <v>3683</v>
      </c>
      <c r="F248" s="84" t="s">
        <v>973</v>
      </c>
      <c r="G248" s="84" t="s">
        <v>3582</v>
      </c>
      <c r="H248" s="84" t="s">
        <v>3521</v>
      </c>
      <c r="I248" s="84" t="s">
        <v>3684</v>
      </c>
      <c r="J248" s="91"/>
      <c r="K248" s="85"/>
      <c r="L248" s="87">
        <v>744.0</v>
      </c>
      <c r="M248" s="87">
        <v>0.0</v>
      </c>
      <c r="N248" s="87">
        <v>9.914309</v>
      </c>
      <c r="O248" s="87">
        <v>0.071429</v>
      </c>
      <c r="P248" s="87">
        <v>4.791504</v>
      </c>
      <c r="Q248" s="87">
        <v>9.985831</v>
      </c>
      <c r="T248" s="84" t="s">
        <v>72</v>
      </c>
      <c r="U248" s="87">
        <v>0.0</v>
      </c>
    </row>
    <row r="249">
      <c r="A249" s="84" t="s">
        <v>537</v>
      </c>
      <c r="B249" s="194" t="s">
        <v>3865</v>
      </c>
      <c r="C249" s="84" t="s">
        <v>1311</v>
      </c>
      <c r="D249" s="88" t="s">
        <v>1396</v>
      </c>
      <c r="E249" s="84" t="s">
        <v>3683</v>
      </c>
      <c r="F249" s="84" t="s">
        <v>1041</v>
      </c>
      <c r="G249" s="84" t="s">
        <v>3590</v>
      </c>
      <c r="I249" s="84" t="s">
        <v>3693</v>
      </c>
      <c r="J249" s="85"/>
      <c r="K249" s="85"/>
      <c r="L249" s="87">
        <v>552.0</v>
      </c>
      <c r="M249" s="87">
        <v>0.0</v>
      </c>
      <c r="N249" s="87">
        <v>0.0</v>
      </c>
      <c r="O249" s="87">
        <v>0.0</v>
      </c>
      <c r="P249" s="87">
        <v>0.0</v>
      </c>
      <c r="Q249" s="87">
        <v>0.0</v>
      </c>
      <c r="T249" s="84" t="s">
        <v>91</v>
      </c>
      <c r="U249" s="87">
        <v>0.0</v>
      </c>
    </row>
    <row r="250">
      <c r="A250" s="84" t="s">
        <v>630</v>
      </c>
      <c r="B250" s="194" t="s">
        <v>3889</v>
      </c>
      <c r="C250" s="84" t="s">
        <v>1119</v>
      </c>
      <c r="D250" s="88" t="s">
        <v>1396</v>
      </c>
      <c r="E250" s="84" t="s">
        <v>3683</v>
      </c>
      <c r="F250" s="84" t="s">
        <v>1117</v>
      </c>
      <c r="G250" s="84" t="s">
        <v>3554</v>
      </c>
      <c r="H250" s="84" t="s">
        <v>3521</v>
      </c>
      <c r="I250" s="84" t="s">
        <v>3684</v>
      </c>
      <c r="J250" s="84" t="s">
        <v>130</v>
      </c>
      <c r="K250" s="91"/>
      <c r="L250" s="87">
        <v>24.0</v>
      </c>
      <c r="M250" s="87">
        <v>0.0</v>
      </c>
      <c r="N250" s="87">
        <v>0.0</v>
      </c>
      <c r="O250" s="87">
        <v>0.0</v>
      </c>
      <c r="P250" s="87">
        <v>0.0</v>
      </c>
      <c r="Q250" s="87">
        <v>0.0</v>
      </c>
      <c r="T250" s="84" t="s">
        <v>100</v>
      </c>
      <c r="U250" s="87">
        <v>0.0</v>
      </c>
    </row>
    <row r="251">
      <c r="A251" s="84" t="s">
        <v>213</v>
      </c>
      <c r="B251" s="194" t="s">
        <v>3950</v>
      </c>
      <c r="C251" s="84" t="s">
        <v>863</v>
      </c>
      <c r="D251" s="88" t="s">
        <v>1396</v>
      </c>
      <c r="E251" s="84" t="s">
        <v>3683</v>
      </c>
      <c r="F251" s="84" t="s">
        <v>864</v>
      </c>
      <c r="G251" s="84" t="s">
        <v>3552</v>
      </c>
      <c r="H251" s="84" t="s">
        <v>3521</v>
      </c>
      <c r="I251" s="84" t="s">
        <v>3684</v>
      </c>
      <c r="J251" s="85"/>
      <c r="K251" s="84" t="s">
        <v>111</v>
      </c>
      <c r="L251" s="87">
        <v>336.0</v>
      </c>
      <c r="M251" s="87">
        <v>0.0</v>
      </c>
      <c r="N251" s="87">
        <v>0.0</v>
      </c>
      <c r="O251" s="87">
        <v>0.0</v>
      </c>
      <c r="P251" s="87">
        <v>0.0</v>
      </c>
      <c r="Q251" s="87">
        <v>0.0</v>
      </c>
      <c r="T251" s="84" t="s">
        <v>83</v>
      </c>
      <c r="U251" s="87">
        <v>0.0</v>
      </c>
    </row>
    <row r="252">
      <c r="A252" s="84" t="s">
        <v>644</v>
      </c>
      <c r="B252" s="194" t="s">
        <v>3951</v>
      </c>
      <c r="C252" s="84" t="s">
        <v>1264</v>
      </c>
      <c r="D252" s="88" t="s">
        <v>1396</v>
      </c>
      <c r="E252" s="84" t="s">
        <v>3683</v>
      </c>
      <c r="F252" s="84" t="s">
        <v>682</v>
      </c>
      <c r="G252" s="84" t="s">
        <v>3563</v>
      </c>
      <c r="H252" s="84" t="s">
        <v>3521</v>
      </c>
      <c r="I252" s="84" t="s">
        <v>3684</v>
      </c>
      <c r="J252" s="91"/>
      <c r="K252" s="85"/>
      <c r="L252" s="87">
        <v>0.0</v>
      </c>
      <c r="M252" s="87">
        <v>0.0</v>
      </c>
      <c r="N252" s="87">
        <v>0.0</v>
      </c>
      <c r="O252" s="87">
        <v>0.640293</v>
      </c>
      <c r="P252" s="87">
        <v>0.634099</v>
      </c>
      <c r="Q252" s="87">
        <v>0.71502</v>
      </c>
      <c r="T252" s="84" t="s">
        <v>85</v>
      </c>
      <c r="U252" s="87">
        <v>0.0</v>
      </c>
    </row>
    <row r="253">
      <c r="A253" s="84" t="s">
        <v>458</v>
      </c>
      <c r="B253" s="194" t="s">
        <v>3952</v>
      </c>
      <c r="C253" s="84" t="s">
        <v>966</v>
      </c>
      <c r="D253" s="88" t="s">
        <v>1396</v>
      </c>
      <c r="E253" s="84" t="s">
        <v>3683</v>
      </c>
      <c r="F253" s="84" t="s">
        <v>967</v>
      </c>
      <c r="G253" s="84" t="s">
        <v>3581</v>
      </c>
      <c r="H253" s="84" t="s">
        <v>3521</v>
      </c>
      <c r="I253" s="84" t="s">
        <v>3684</v>
      </c>
      <c r="J253" s="91"/>
      <c r="K253" s="84" t="s">
        <v>111</v>
      </c>
      <c r="L253" s="87">
        <v>792.0</v>
      </c>
      <c r="M253" s="87">
        <v>0.0</v>
      </c>
      <c r="N253" s="87">
        <v>0.0</v>
      </c>
      <c r="O253" s="87">
        <v>0.0</v>
      </c>
      <c r="P253" s="87">
        <v>0.0</v>
      </c>
      <c r="Q253" s="87">
        <v>0.0</v>
      </c>
      <c r="T253" s="84" t="s">
        <v>189</v>
      </c>
      <c r="U253" s="87">
        <v>0.0</v>
      </c>
    </row>
    <row r="254">
      <c r="A254" s="84" t="s">
        <v>616</v>
      </c>
      <c r="B254" s="194" t="s">
        <v>3774</v>
      </c>
      <c r="C254" s="84" t="s">
        <v>627</v>
      </c>
      <c r="D254" s="88" t="s">
        <v>1396</v>
      </c>
      <c r="E254" s="91"/>
      <c r="F254" s="84" t="s">
        <v>621</v>
      </c>
      <c r="G254" s="84" t="s">
        <v>3552</v>
      </c>
      <c r="I254" s="84" t="s">
        <v>3684</v>
      </c>
      <c r="J254" s="91"/>
      <c r="K254" s="91"/>
      <c r="L254" s="87">
        <v>456.0</v>
      </c>
      <c r="M254" s="87">
        <v>0.0</v>
      </c>
      <c r="N254" s="87">
        <v>0.0</v>
      </c>
      <c r="O254" s="87">
        <v>0.0</v>
      </c>
      <c r="P254" s="87">
        <v>0.0</v>
      </c>
      <c r="Q254" s="87">
        <v>0.0</v>
      </c>
      <c r="T254" s="84" t="s">
        <v>1275</v>
      </c>
      <c r="U254" s="87">
        <v>0.0</v>
      </c>
    </row>
    <row r="255">
      <c r="A255" s="84" t="s">
        <v>644</v>
      </c>
      <c r="B255" s="194" t="s">
        <v>3953</v>
      </c>
      <c r="C255" s="84" t="s">
        <v>1235</v>
      </c>
      <c r="D255" s="88" t="s">
        <v>1396</v>
      </c>
      <c r="E255" s="84" t="s">
        <v>3683</v>
      </c>
      <c r="F255" s="84" t="s">
        <v>1232</v>
      </c>
      <c r="G255" s="84" t="s">
        <v>3607</v>
      </c>
      <c r="H255" s="84" t="s">
        <v>3521</v>
      </c>
      <c r="I255" s="84" t="s">
        <v>3684</v>
      </c>
      <c r="J255" s="84" t="s">
        <v>130</v>
      </c>
      <c r="K255" s="91"/>
      <c r="L255" s="87">
        <v>24.0</v>
      </c>
      <c r="M255" s="87">
        <v>0.0</v>
      </c>
      <c r="N255" s="87">
        <v>0.0</v>
      </c>
      <c r="O255" s="87">
        <v>0.0</v>
      </c>
      <c r="P255" s="87">
        <v>0.0</v>
      </c>
      <c r="Q255" s="87">
        <v>0.0</v>
      </c>
      <c r="T255" s="84" t="s">
        <v>1274</v>
      </c>
      <c r="U255" s="87">
        <v>0.0</v>
      </c>
    </row>
    <row r="256">
      <c r="A256" s="84" t="s">
        <v>481</v>
      </c>
      <c r="B256" s="194" t="s">
        <v>3954</v>
      </c>
      <c r="C256" s="84" t="s">
        <v>534</v>
      </c>
      <c r="D256" s="88" t="s">
        <v>1396</v>
      </c>
      <c r="E256" s="84" t="s">
        <v>3683</v>
      </c>
      <c r="F256" s="84" t="s">
        <v>526</v>
      </c>
      <c r="G256" s="84" t="s">
        <v>3593</v>
      </c>
      <c r="H256" s="84" t="s">
        <v>3521</v>
      </c>
      <c r="I256" s="84" t="s">
        <v>3684</v>
      </c>
      <c r="J256" s="84" t="s">
        <v>130</v>
      </c>
      <c r="K256" s="91"/>
      <c r="L256" s="87">
        <v>24.0</v>
      </c>
      <c r="M256" s="87">
        <v>0.0</v>
      </c>
      <c r="N256" s="87">
        <v>0.0</v>
      </c>
      <c r="O256" s="87">
        <v>0.0</v>
      </c>
      <c r="P256" s="87">
        <v>0.0</v>
      </c>
      <c r="Q256" s="87">
        <v>0.0</v>
      </c>
      <c r="T256" s="84" t="s">
        <v>1272</v>
      </c>
      <c r="U256" s="87">
        <v>0.0</v>
      </c>
    </row>
    <row r="257">
      <c r="A257" s="84" t="s">
        <v>573</v>
      </c>
      <c r="B257" s="194" t="s">
        <v>3955</v>
      </c>
      <c r="C257" s="84" t="s">
        <v>3637</v>
      </c>
      <c r="D257" s="88" t="s">
        <v>1396</v>
      </c>
      <c r="E257" s="84" t="s">
        <v>3683</v>
      </c>
      <c r="F257" s="84" t="s">
        <v>581</v>
      </c>
      <c r="G257" s="84" t="s">
        <v>3594</v>
      </c>
      <c r="H257" s="84" t="s">
        <v>3527</v>
      </c>
      <c r="I257" s="84" t="s">
        <v>3709</v>
      </c>
      <c r="J257" s="84" t="s">
        <v>130</v>
      </c>
      <c r="K257" s="91"/>
      <c r="L257" s="87">
        <v>216.0</v>
      </c>
      <c r="M257" s="87">
        <v>0.0</v>
      </c>
      <c r="N257" s="87">
        <v>1.445353</v>
      </c>
      <c r="O257" s="87">
        <v>0.0</v>
      </c>
      <c r="P257" s="87">
        <v>2.039286</v>
      </c>
      <c r="Q257" s="87">
        <v>1.566307</v>
      </c>
      <c r="T257" s="84" t="s">
        <v>1115</v>
      </c>
      <c r="U257" s="87">
        <v>0.166666667</v>
      </c>
    </row>
    <row r="258">
      <c r="A258" s="84" t="s">
        <v>472</v>
      </c>
      <c r="B258" s="194" t="s">
        <v>3956</v>
      </c>
      <c r="C258" s="84" t="s">
        <v>1024</v>
      </c>
      <c r="D258" s="88" t="s">
        <v>1396</v>
      </c>
      <c r="E258" s="84" t="s">
        <v>3683</v>
      </c>
      <c r="F258" s="84" t="s">
        <v>1020</v>
      </c>
      <c r="G258" s="84" t="s">
        <v>3560</v>
      </c>
      <c r="H258" s="84" t="s">
        <v>3507</v>
      </c>
      <c r="I258" s="84" t="s">
        <v>3684</v>
      </c>
      <c r="J258" s="84" t="s">
        <v>130</v>
      </c>
      <c r="K258" s="91"/>
      <c r="L258" s="87">
        <v>24.0</v>
      </c>
      <c r="M258" s="87">
        <v>0.0</v>
      </c>
      <c r="N258" s="87">
        <v>0.0</v>
      </c>
      <c r="O258" s="87">
        <v>0.0</v>
      </c>
      <c r="P258" s="87">
        <v>0.0</v>
      </c>
      <c r="Q258" s="87">
        <v>0.0</v>
      </c>
      <c r="T258" s="84" t="s">
        <v>1112</v>
      </c>
      <c r="U258" s="87">
        <v>0.1</v>
      </c>
    </row>
    <row r="259">
      <c r="A259" s="84" t="s">
        <v>393</v>
      </c>
      <c r="B259" s="194" t="s">
        <v>3831</v>
      </c>
      <c r="C259" s="84" t="s">
        <v>418</v>
      </c>
      <c r="D259" s="88" t="s">
        <v>1396</v>
      </c>
      <c r="E259" s="84" t="s">
        <v>3687</v>
      </c>
      <c r="F259" s="84" t="s">
        <v>415</v>
      </c>
      <c r="G259" s="84" t="s">
        <v>3832</v>
      </c>
      <c r="H259" s="84" t="s">
        <v>3521</v>
      </c>
      <c r="I259" s="84" t="s">
        <v>3693</v>
      </c>
      <c r="J259" s="84" t="s">
        <v>130</v>
      </c>
      <c r="K259" s="85"/>
      <c r="L259" s="87">
        <v>48.0</v>
      </c>
      <c r="M259" s="87">
        <v>0.0</v>
      </c>
      <c r="N259" s="87">
        <v>0.285714</v>
      </c>
      <c r="O259" s="87">
        <v>0.285714</v>
      </c>
      <c r="P259" s="87">
        <v>0.130435</v>
      </c>
      <c r="Q259" s="87">
        <v>0.056604</v>
      </c>
      <c r="T259" s="84" t="s">
        <v>736</v>
      </c>
      <c r="U259" s="87">
        <v>0.0</v>
      </c>
    </row>
    <row r="260">
      <c r="A260" s="84" t="s">
        <v>644</v>
      </c>
      <c r="B260" s="194" t="s">
        <v>3957</v>
      </c>
      <c r="C260" s="84" t="s">
        <v>712</v>
      </c>
      <c r="D260" s="88" t="s">
        <v>1396</v>
      </c>
      <c r="E260" s="84" t="s">
        <v>3683</v>
      </c>
      <c r="F260" s="84" t="s">
        <v>708</v>
      </c>
      <c r="G260" s="84" t="s">
        <v>3607</v>
      </c>
      <c r="H260" s="84" t="s">
        <v>3521</v>
      </c>
      <c r="I260" s="84" t="s">
        <v>3684</v>
      </c>
      <c r="J260" s="84" t="s">
        <v>130</v>
      </c>
      <c r="K260" s="85"/>
      <c r="L260" s="87">
        <v>24.0</v>
      </c>
      <c r="M260" s="87">
        <v>0.0</v>
      </c>
      <c r="N260" s="87">
        <v>0.0</v>
      </c>
      <c r="O260" s="87">
        <v>0.0</v>
      </c>
      <c r="P260" s="87">
        <v>0.0</v>
      </c>
      <c r="Q260" s="87">
        <v>0.0</v>
      </c>
      <c r="T260" s="84" t="s">
        <v>738</v>
      </c>
      <c r="U260" s="87">
        <v>0.0</v>
      </c>
    </row>
    <row r="261">
      <c r="A261" s="84" t="s">
        <v>301</v>
      </c>
      <c r="B261" s="194" t="s">
        <v>3958</v>
      </c>
      <c r="C261" s="84" t="s">
        <v>1283</v>
      </c>
      <c r="D261" s="88" t="s">
        <v>1396</v>
      </c>
      <c r="E261" s="84" t="s">
        <v>3683</v>
      </c>
      <c r="F261" s="84" t="s">
        <v>3959</v>
      </c>
      <c r="G261" s="84" t="s">
        <v>3960</v>
      </c>
      <c r="H261" s="84" t="s">
        <v>3521</v>
      </c>
      <c r="I261" s="84" t="s">
        <v>3684</v>
      </c>
      <c r="J261" s="84" t="s">
        <v>130</v>
      </c>
      <c r="K261" s="84" t="s">
        <v>111</v>
      </c>
      <c r="L261" s="87">
        <v>24.0</v>
      </c>
      <c r="M261" s="87">
        <v>0.0</v>
      </c>
      <c r="N261" s="87">
        <v>0.0</v>
      </c>
      <c r="O261" s="87">
        <v>0.0</v>
      </c>
      <c r="P261" s="87">
        <v>0.0</v>
      </c>
      <c r="Q261" s="87">
        <v>0.0</v>
      </c>
      <c r="T261" s="84" t="s">
        <v>591</v>
      </c>
      <c r="U261" s="87">
        <v>1.870066045</v>
      </c>
    </row>
    <row r="262">
      <c r="A262" s="84" t="s">
        <v>341</v>
      </c>
      <c r="B262" s="194" t="s">
        <v>3961</v>
      </c>
      <c r="C262" s="84" t="s">
        <v>351</v>
      </c>
      <c r="D262" s="88" t="s">
        <v>1396</v>
      </c>
      <c r="E262" s="84" t="s">
        <v>3683</v>
      </c>
      <c r="F262" s="84" t="s">
        <v>352</v>
      </c>
      <c r="G262" s="84" t="s">
        <v>3754</v>
      </c>
      <c r="H262" s="84" t="s">
        <v>3521</v>
      </c>
      <c r="I262" s="84" t="s">
        <v>3962</v>
      </c>
      <c r="J262" s="91"/>
      <c r="K262" s="84" t="s">
        <v>111</v>
      </c>
      <c r="L262" s="87">
        <v>24.0</v>
      </c>
      <c r="M262" s="87">
        <v>0.0</v>
      </c>
      <c r="N262" s="87">
        <v>0.0</v>
      </c>
      <c r="O262" s="87">
        <v>0.0</v>
      </c>
      <c r="P262" s="87">
        <v>0.0</v>
      </c>
      <c r="Q262" s="87">
        <v>0.0</v>
      </c>
      <c r="T262" s="84" t="s">
        <v>593</v>
      </c>
      <c r="U262" s="87">
        <v>0.41025641</v>
      </c>
    </row>
    <row r="263">
      <c r="A263" s="84" t="s">
        <v>180</v>
      </c>
      <c r="B263" s="194" t="s">
        <v>3963</v>
      </c>
      <c r="C263" s="84" t="s">
        <v>1319</v>
      </c>
      <c r="D263" s="88" t="s">
        <v>1396</v>
      </c>
      <c r="E263" s="91"/>
      <c r="F263" s="84" t="s">
        <v>814</v>
      </c>
      <c r="G263" s="84" t="s">
        <v>3533</v>
      </c>
      <c r="I263" s="84" t="s">
        <v>3684</v>
      </c>
      <c r="J263" s="85"/>
      <c r="K263" s="85"/>
      <c r="L263" s="87">
        <v>456.0</v>
      </c>
      <c r="M263" s="87">
        <v>0.0</v>
      </c>
      <c r="N263" s="87">
        <v>0.0</v>
      </c>
      <c r="O263" s="87">
        <v>0.0</v>
      </c>
      <c r="P263" s="87">
        <v>0.0</v>
      </c>
      <c r="Q263" s="87">
        <v>0.0</v>
      </c>
      <c r="T263" s="84" t="s">
        <v>556</v>
      </c>
      <c r="U263" s="87">
        <v>0.666666667</v>
      </c>
    </row>
    <row r="264">
      <c r="A264" s="84" t="s">
        <v>393</v>
      </c>
      <c r="B264" s="194" t="s">
        <v>3964</v>
      </c>
      <c r="C264" s="84" t="s">
        <v>424</v>
      </c>
      <c r="D264" s="88" t="s">
        <v>1396</v>
      </c>
      <c r="E264" s="84" t="s">
        <v>3683</v>
      </c>
      <c r="F264" s="84" t="s">
        <v>423</v>
      </c>
      <c r="G264" s="84" t="s">
        <v>3568</v>
      </c>
      <c r="I264" s="84" t="s">
        <v>3693</v>
      </c>
      <c r="J264" s="91"/>
      <c r="K264" s="84" t="s">
        <v>111</v>
      </c>
      <c r="L264" s="87">
        <v>552.0</v>
      </c>
      <c r="M264" s="87">
        <v>0.0</v>
      </c>
      <c r="N264" s="87">
        <v>0.0</v>
      </c>
      <c r="O264" s="87">
        <v>0.0</v>
      </c>
      <c r="P264" s="87">
        <v>0.0</v>
      </c>
      <c r="Q264" s="87">
        <v>0.0</v>
      </c>
      <c r="T264" s="84" t="s">
        <v>554</v>
      </c>
      <c r="U264" s="87">
        <v>0.166666667</v>
      </c>
    </row>
    <row r="265">
      <c r="A265" s="84" t="s">
        <v>472</v>
      </c>
      <c r="B265" s="194" t="s">
        <v>3965</v>
      </c>
      <c r="C265" s="84" t="s">
        <v>470</v>
      </c>
      <c r="D265" s="88" t="s">
        <v>1396</v>
      </c>
      <c r="E265" s="84" t="s">
        <v>3683</v>
      </c>
      <c r="F265" s="84" t="s">
        <v>471</v>
      </c>
      <c r="G265" s="84" t="s">
        <v>3827</v>
      </c>
      <c r="H265" s="84" t="s">
        <v>3507</v>
      </c>
      <c r="I265" s="84" t="s">
        <v>3684</v>
      </c>
      <c r="J265" s="85"/>
      <c r="K265" s="84" t="s">
        <v>111</v>
      </c>
      <c r="L265" s="87">
        <v>696.0</v>
      </c>
      <c r="M265" s="87">
        <v>0.0</v>
      </c>
      <c r="N265" s="87">
        <v>0.0</v>
      </c>
      <c r="O265" s="87">
        <v>0.0</v>
      </c>
      <c r="P265" s="87">
        <v>0.0</v>
      </c>
      <c r="Q265" s="87">
        <v>0.0</v>
      </c>
      <c r="T265" s="84" t="s">
        <v>550</v>
      </c>
      <c r="U265" s="87">
        <v>0.0</v>
      </c>
    </row>
    <row r="266">
      <c r="A266" s="84" t="s">
        <v>180</v>
      </c>
      <c r="B266" s="194" t="s">
        <v>3966</v>
      </c>
      <c r="C266" s="84" t="s">
        <v>833</v>
      </c>
      <c r="D266" s="88" t="s">
        <v>1396</v>
      </c>
      <c r="E266" s="91"/>
      <c r="F266" s="84" t="s">
        <v>830</v>
      </c>
      <c r="G266" s="84" t="s">
        <v>3549</v>
      </c>
      <c r="I266" s="84" t="s">
        <v>3684</v>
      </c>
      <c r="J266" s="85"/>
      <c r="K266" s="85"/>
      <c r="L266" s="87">
        <v>432.0</v>
      </c>
      <c r="M266" s="87">
        <v>0.0</v>
      </c>
      <c r="N266" s="87">
        <v>0.0</v>
      </c>
      <c r="O266" s="87">
        <v>0.0</v>
      </c>
      <c r="P266" s="87">
        <v>0.0</v>
      </c>
      <c r="Q266" s="87">
        <v>0.0</v>
      </c>
      <c r="T266" s="84" t="s">
        <v>555</v>
      </c>
      <c r="U266" s="87">
        <v>0.30952381</v>
      </c>
    </row>
    <row r="267">
      <c r="A267" s="84" t="s">
        <v>795</v>
      </c>
      <c r="B267" s="194" t="s">
        <v>3967</v>
      </c>
      <c r="C267" s="84" t="s">
        <v>793</v>
      </c>
      <c r="D267" s="88" t="s">
        <v>1396</v>
      </c>
      <c r="E267" s="91"/>
      <c r="F267" s="84" t="s">
        <v>794</v>
      </c>
      <c r="G267" s="84" t="s">
        <v>3522</v>
      </c>
      <c r="I267" s="84" t="s">
        <v>3684</v>
      </c>
      <c r="J267" s="91"/>
      <c r="K267" s="91"/>
      <c r="L267" s="87">
        <v>456.0</v>
      </c>
      <c r="M267" s="87">
        <v>0.0</v>
      </c>
      <c r="N267" s="87">
        <v>0.0</v>
      </c>
      <c r="O267" s="87">
        <v>0.0</v>
      </c>
      <c r="P267" s="87">
        <v>0.0</v>
      </c>
      <c r="Q267" s="87">
        <v>0.0</v>
      </c>
      <c r="T267" s="84" t="s">
        <v>562</v>
      </c>
      <c r="U267" s="87">
        <v>0.0</v>
      </c>
    </row>
    <row r="268">
      <c r="A268" s="84" t="s">
        <v>258</v>
      </c>
      <c r="B268" s="194" t="s">
        <v>3968</v>
      </c>
      <c r="C268" s="84" t="s">
        <v>889</v>
      </c>
      <c r="D268" s="88" t="s">
        <v>1396</v>
      </c>
      <c r="E268" s="84" t="s">
        <v>3683</v>
      </c>
      <c r="F268" s="84" t="s">
        <v>884</v>
      </c>
      <c r="G268" s="84" t="s">
        <v>3558</v>
      </c>
      <c r="I268" s="84" t="s">
        <v>3684</v>
      </c>
      <c r="J268" s="85"/>
      <c r="K268" s="91"/>
      <c r="L268" s="87">
        <v>552.0</v>
      </c>
      <c r="M268" s="87">
        <v>0.0</v>
      </c>
      <c r="N268" s="87">
        <v>0.0</v>
      </c>
      <c r="O268" s="87">
        <v>0.0</v>
      </c>
      <c r="P268" s="87">
        <v>0.0</v>
      </c>
      <c r="Q268" s="87">
        <v>0.0</v>
      </c>
      <c r="T268" s="84" t="s">
        <v>557</v>
      </c>
      <c r="U268" s="87">
        <v>0.0</v>
      </c>
    </row>
    <row r="269">
      <c r="A269" s="84" t="s">
        <v>264</v>
      </c>
      <c r="B269" s="194" t="s">
        <v>3690</v>
      </c>
      <c r="C269" s="84" t="s">
        <v>280</v>
      </c>
      <c r="D269" s="88" t="s">
        <v>1396</v>
      </c>
      <c r="E269" s="84" t="s">
        <v>3687</v>
      </c>
      <c r="F269" s="84" t="s">
        <v>281</v>
      </c>
      <c r="G269" s="84" t="s">
        <v>3691</v>
      </c>
      <c r="H269" s="84" t="s">
        <v>3521</v>
      </c>
      <c r="I269" s="84" t="s">
        <v>3684</v>
      </c>
      <c r="J269" s="91"/>
      <c r="K269" s="91"/>
      <c r="L269" s="87">
        <v>36.0</v>
      </c>
      <c r="M269" s="87">
        <v>7.0</v>
      </c>
      <c r="N269" s="87">
        <v>0.071429</v>
      </c>
      <c r="O269" s="87">
        <v>2.107143</v>
      </c>
      <c r="P269" s="87">
        <v>2.090157</v>
      </c>
      <c r="Q269" s="87">
        <v>1.614663</v>
      </c>
      <c r="T269" s="84" t="s">
        <v>563</v>
      </c>
      <c r="U269" s="87">
        <v>0.333333333</v>
      </c>
    </row>
    <row r="270">
      <c r="A270" s="84" t="s">
        <v>213</v>
      </c>
      <c r="B270" s="194" t="s">
        <v>3969</v>
      </c>
      <c r="C270" s="84" t="s">
        <v>865</v>
      </c>
      <c r="D270" s="88" t="s">
        <v>1396</v>
      </c>
      <c r="E270" s="84" t="s">
        <v>3683</v>
      </c>
      <c r="F270" s="84" t="s">
        <v>866</v>
      </c>
      <c r="G270" s="84" t="s">
        <v>3552</v>
      </c>
      <c r="H270" s="84" t="s">
        <v>3521</v>
      </c>
      <c r="I270" s="84" t="s">
        <v>3684</v>
      </c>
      <c r="J270" s="85"/>
      <c r="K270" s="85"/>
      <c r="L270" s="87">
        <v>18.0</v>
      </c>
      <c r="M270" s="87">
        <v>3.0</v>
      </c>
      <c r="N270" s="87">
        <v>0.0</v>
      </c>
      <c r="O270" s="87">
        <v>2.519358</v>
      </c>
      <c r="P270" s="87">
        <v>2.52535</v>
      </c>
      <c r="Q270" s="87">
        <v>1.946876</v>
      </c>
      <c r="T270" s="84" t="s">
        <v>564</v>
      </c>
      <c r="U270" s="87">
        <v>0.125</v>
      </c>
    </row>
    <row r="271">
      <c r="A271" s="84" t="s">
        <v>644</v>
      </c>
      <c r="B271" s="194" t="s">
        <v>3970</v>
      </c>
      <c r="C271" s="84" t="s">
        <v>1184</v>
      </c>
      <c r="D271" s="88" t="s">
        <v>1396</v>
      </c>
      <c r="E271" s="84" t="s">
        <v>3683</v>
      </c>
      <c r="F271" s="84" t="s">
        <v>1185</v>
      </c>
      <c r="G271" s="84" t="s">
        <v>3600</v>
      </c>
      <c r="H271" s="84" t="s">
        <v>3521</v>
      </c>
      <c r="I271" s="84" t="s">
        <v>3684</v>
      </c>
      <c r="J271" s="84" t="s">
        <v>130</v>
      </c>
      <c r="K271" s="91"/>
      <c r="L271" s="87">
        <v>576.0</v>
      </c>
      <c r="M271" s="87">
        <v>0.0</v>
      </c>
      <c r="N271" s="87">
        <v>1.589662</v>
      </c>
      <c r="O271" s="87">
        <v>0.333333</v>
      </c>
      <c r="P271" s="87">
        <v>0.724459</v>
      </c>
      <c r="Q271" s="87">
        <v>1.293602</v>
      </c>
      <c r="T271" s="84" t="s">
        <v>565</v>
      </c>
      <c r="U271" s="87">
        <v>0.142857143</v>
      </c>
    </row>
    <row r="272">
      <c r="A272" s="84" t="s">
        <v>139</v>
      </c>
      <c r="B272" s="194" t="s">
        <v>3971</v>
      </c>
      <c r="C272" s="84" t="s">
        <v>160</v>
      </c>
      <c r="D272" s="88" t="s">
        <v>1396</v>
      </c>
      <c r="E272" s="84" t="s">
        <v>3683</v>
      </c>
      <c r="F272" s="84" t="s">
        <v>144</v>
      </c>
      <c r="G272" s="84" t="s">
        <v>3700</v>
      </c>
      <c r="H272" s="84" t="s">
        <v>3521</v>
      </c>
      <c r="I272" s="84" t="s">
        <v>3684</v>
      </c>
      <c r="J272" s="84" t="s">
        <v>130</v>
      </c>
      <c r="K272" s="84" t="s">
        <v>111</v>
      </c>
      <c r="L272" s="87">
        <v>816.0</v>
      </c>
      <c r="M272" s="87">
        <v>0.0</v>
      </c>
      <c r="N272" s="87">
        <v>0.0</v>
      </c>
      <c r="O272" s="87">
        <v>0.0</v>
      </c>
      <c r="P272" s="87">
        <v>0.0</v>
      </c>
      <c r="Q272" s="87">
        <v>0.0</v>
      </c>
      <c r="T272" s="84" t="s">
        <v>561</v>
      </c>
      <c r="U272" s="87">
        <v>0.0</v>
      </c>
    </row>
    <row r="273">
      <c r="A273" s="84" t="s">
        <v>363</v>
      </c>
      <c r="B273" s="194" t="s">
        <v>3972</v>
      </c>
      <c r="C273" s="84" t="s">
        <v>1285</v>
      </c>
      <c r="D273" s="88" t="s">
        <v>1396</v>
      </c>
      <c r="E273" s="84" t="s">
        <v>3687</v>
      </c>
      <c r="F273" s="84" t="s">
        <v>3973</v>
      </c>
      <c r="G273" s="84" t="s">
        <v>3974</v>
      </c>
      <c r="H273" s="84" t="s">
        <v>3513</v>
      </c>
      <c r="I273" s="84" t="s">
        <v>3709</v>
      </c>
      <c r="J273" s="85"/>
      <c r="K273" s="91"/>
      <c r="L273" s="87">
        <v>133.0</v>
      </c>
      <c r="M273" s="87">
        <v>5.0</v>
      </c>
      <c r="N273" s="87">
        <v>1.331086</v>
      </c>
      <c r="O273" s="87">
        <v>7.562771</v>
      </c>
      <c r="P273" s="87">
        <v>9.337069</v>
      </c>
      <c r="Q273" s="87">
        <v>9.347965</v>
      </c>
      <c r="T273" s="84" t="s">
        <v>560</v>
      </c>
      <c r="U273" s="87">
        <v>0.0</v>
      </c>
    </row>
    <row r="274">
      <c r="A274" s="84" t="s">
        <v>644</v>
      </c>
      <c r="B274" s="194" t="s">
        <v>3975</v>
      </c>
      <c r="C274" s="84" t="s">
        <v>711</v>
      </c>
      <c r="D274" s="88" t="s">
        <v>1396</v>
      </c>
      <c r="E274" s="84" t="s">
        <v>3683</v>
      </c>
      <c r="F274" s="84" t="s">
        <v>708</v>
      </c>
      <c r="G274" s="84" t="s">
        <v>3607</v>
      </c>
      <c r="H274" s="84" t="s">
        <v>3521</v>
      </c>
      <c r="I274" s="84" t="s">
        <v>3684</v>
      </c>
      <c r="J274" s="84" t="s">
        <v>215</v>
      </c>
      <c r="L274" s="87">
        <v>600.0</v>
      </c>
      <c r="M274" s="87">
        <v>0.0</v>
      </c>
      <c r="N274" s="87">
        <v>2.317161</v>
      </c>
      <c r="O274" s="87">
        <v>0.3171</v>
      </c>
      <c r="P274" s="87">
        <v>0.319312</v>
      </c>
      <c r="Q274" s="87">
        <v>2.245247</v>
      </c>
      <c r="T274" s="84" t="s">
        <v>941</v>
      </c>
      <c r="U274" s="87">
        <v>75.8044511</v>
      </c>
    </row>
    <row r="275">
      <c r="A275" s="84" t="s">
        <v>644</v>
      </c>
      <c r="B275" s="194" t="s">
        <v>3976</v>
      </c>
      <c r="C275" s="84" t="s">
        <v>3641</v>
      </c>
      <c r="D275" s="88" t="s">
        <v>1396</v>
      </c>
      <c r="E275" s="84" t="s">
        <v>3683</v>
      </c>
      <c r="F275" s="84" t="s">
        <v>670</v>
      </c>
      <c r="G275" s="84" t="s">
        <v>3789</v>
      </c>
      <c r="H275" s="84" t="s">
        <v>3521</v>
      </c>
      <c r="I275" s="84" t="s">
        <v>3684</v>
      </c>
      <c r="J275" s="91"/>
      <c r="K275" s="91"/>
      <c r="L275" s="87">
        <v>90.0</v>
      </c>
      <c r="M275" s="87">
        <v>10.0</v>
      </c>
      <c r="N275" s="87">
        <v>2.555759</v>
      </c>
      <c r="O275" s="87">
        <v>13.57579</v>
      </c>
      <c r="P275" s="87">
        <v>13.25803</v>
      </c>
      <c r="Q275" s="87">
        <v>8.258883</v>
      </c>
      <c r="T275" s="84" t="s">
        <v>1263</v>
      </c>
      <c r="U275" s="87">
        <v>0.666666667</v>
      </c>
    </row>
    <row r="276">
      <c r="A276" s="84" t="s">
        <v>180</v>
      </c>
      <c r="B276" s="194" t="s">
        <v>3888</v>
      </c>
      <c r="C276" s="84" t="s">
        <v>184</v>
      </c>
      <c r="D276" s="88" t="s">
        <v>1396</v>
      </c>
      <c r="E276" s="84" t="s">
        <v>3683</v>
      </c>
      <c r="F276" s="84" t="s">
        <v>185</v>
      </c>
      <c r="G276" s="84" t="s">
        <v>3550</v>
      </c>
      <c r="H276" s="84" t="s">
        <v>3507</v>
      </c>
      <c r="I276" s="84" t="s">
        <v>3684</v>
      </c>
      <c r="J276" s="85"/>
      <c r="K276" s="91"/>
      <c r="L276" s="87">
        <v>84.0</v>
      </c>
      <c r="M276" s="87">
        <v>26.0</v>
      </c>
      <c r="N276" s="87">
        <v>3.512897</v>
      </c>
      <c r="O276" s="87">
        <v>14.3356</v>
      </c>
      <c r="P276" s="87">
        <v>15.55008</v>
      </c>
      <c r="Q276" s="87">
        <v>12.92052</v>
      </c>
      <c r="T276" s="84" t="s">
        <v>1265</v>
      </c>
      <c r="U276" s="87">
        <v>0.0</v>
      </c>
    </row>
    <row r="277">
      <c r="A277" s="84" t="s">
        <v>644</v>
      </c>
      <c r="B277" s="194" t="s">
        <v>3977</v>
      </c>
      <c r="C277" s="84" t="s">
        <v>687</v>
      </c>
      <c r="D277" s="88" t="s">
        <v>1396</v>
      </c>
      <c r="E277" s="84" t="s">
        <v>3687</v>
      </c>
      <c r="F277" s="84" t="s">
        <v>686</v>
      </c>
      <c r="G277" s="84" t="s">
        <v>3607</v>
      </c>
      <c r="H277" s="84" t="s">
        <v>3521</v>
      </c>
      <c r="I277" s="84" t="s">
        <v>3684</v>
      </c>
      <c r="J277" s="84" t="s">
        <v>215</v>
      </c>
      <c r="K277" s="84" t="s">
        <v>111</v>
      </c>
      <c r="L277" s="87">
        <v>72.0</v>
      </c>
      <c r="M277" s="87">
        <v>0.0</v>
      </c>
      <c r="N277" s="87">
        <v>0.25</v>
      </c>
      <c r="O277" s="87">
        <v>0.0</v>
      </c>
      <c r="P277" s="87">
        <v>0.033333</v>
      </c>
      <c r="Q277" s="87">
        <v>0.266667</v>
      </c>
      <c r="T277" s="84" t="s">
        <v>1268</v>
      </c>
      <c r="U277" s="87">
        <v>0.416666667</v>
      </c>
    </row>
    <row r="278">
      <c r="A278" s="84" t="s">
        <v>616</v>
      </c>
      <c r="B278" s="194" t="s">
        <v>3978</v>
      </c>
      <c r="C278" s="84" t="s">
        <v>1080</v>
      </c>
      <c r="D278" s="88" t="s">
        <v>1396</v>
      </c>
      <c r="E278" s="84" t="s">
        <v>3683</v>
      </c>
      <c r="F278" s="84" t="s">
        <v>1075</v>
      </c>
      <c r="G278" s="84" t="s">
        <v>3542</v>
      </c>
      <c r="H278" s="84" t="s">
        <v>3521</v>
      </c>
      <c r="I278" s="84" t="s">
        <v>3684</v>
      </c>
      <c r="J278" s="84" t="s">
        <v>130</v>
      </c>
      <c r="K278" s="91"/>
      <c r="L278" s="87">
        <v>24.0</v>
      </c>
      <c r="M278" s="87">
        <v>0.0</v>
      </c>
      <c r="N278" s="87">
        <v>0.0</v>
      </c>
      <c r="O278" s="87">
        <v>0.0</v>
      </c>
      <c r="P278" s="87">
        <v>0.0</v>
      </c>
      <c r="Q278" s="87">
        <v>0.0</v>
      </c>
      <c r="T278" s="84" t="s">
        <v>1264</v>
      </c>
      <c r="U278" s="87">
        <v>1.346464646</v>
      </c>
    </row>
    <row r="279">
      <c r="A279" s="84" t="s">
        <v>644</v>
      </c>
      <c r="B279" s="194" t="s">
        <v>3979</v>
      </c>
      <c r="C279" s="84" t="s">
        <v>1268</v>
      </c>
      <c r="D279" s="88" t="s">
        <v>1396</v>
      </c>
      <c r="E279" s="84" t="s">
        <v>3683</v>
      </c>
      <c r="F279" s="84" t="s">
        <v>682</v>
      </c>
      <c r="G279" s="84" t="s">
        <v>3563</v>
      </c>
      <c r="H279" s="84" t="s">
        <v>3521</v>
      </c>
      <c r="I279" s="84" t="s">
        <v>3684</v>
      </c>
      <c r="J279" s="91"/>
      <c r="K279" s="85"/>
      <c r="L279" s="87">
        <v>0.0</v>
      </c>
      <c r="M279" s="87">
        <v>1.0</v>
      </c>
      <c r="N279" s="87">
        <v>0.0</v>
      </c>
      <c r="O279" s="87">
        <v>0.464286</v>
      </c>
      <c r="P279" s="87">
        <v>0.755277</v>
      </c>
      <c r="Q279" s="87">
        <v>0.712847</v>
      </c>
      <c r="T279" s="84" t="s">
        <v>1267</v>
      </c>
      <c r="U279" s="87">
        <v>0.0</v>
      </c>
    </row>
    <row r="280">
      <c r="A280" s="84" t="s">
        <v>180</v>
      </c>
      <c r="B280" s="194" t="s">
        <v>3888</v>
      </c>
      <c r="C280" s="84" t="s">
        <v>184</v>
      </c>
      <c r="D280" s="88" t="s">
        <v>1396</v>
      </c>
      <c r="E280" s="84" t="s">
        <v>3683</v>
      </c>
      <c r="F280" s="84" t="s">
        <v>185</v>
      </c>
      <c r="G280" s="84" t="s">
        <v>3550</v>
      </c>
      <c r="H280" s="84" t="s">
        <v>3507</v>
      </c>
      <c r="I280" s="84" t="s">
        <v>3684</v>
      </c>
      <c r="J280" s="84" t="s">
        <v>130</v>
      </c>
      <c r="K280" s="91"/>
      <c r="L280" s="87">
        <v>24.0</v>
      </c>
      <c r="M280" s="87">
        <v>0.0</v>
      </c>
      <c r="N280" s="87">
        <v>0.0</v>
      </c>
      <c r="O280" s="87">
        <v>0.0</v>
      </c>
      <c r="P280" s="87">
        <v>0.0</v>
      </c>
      <c r="Q280" s="87">
        <v>0.0</v>
      </c>
      <c r="T280" s="84" t="s">
        <v>1266</v>
      </c>
      <c r="U280" s="87">
        <v>0.507575758</v>
      </c>
    </row>
    <row r="281">
      <c r="A281" s="84" t="s">
        <v>644</v>
      </c>
      <c r="B281" s="194" t="s">
        <v>3980</v>
      </c>
      <c r="C281" s="84" t="s">
        <v>647</v>
      </c>
      <c r="D281" s="88" t="s">
        <v>1396</v>
      </c>
      <c r="E281" s="84" t="s">
        <v>3683</v>
      </c>
      <c r="F281" s="84" t="s">
        <v>643</v>
      </c>
      <c r="G281" s="84" t="s">
        <v>3734</v>
      </c>
      <c r="H281" s="84" t="s">
        <v>3521</v>
      </c>
      <c r="I281" s="84" t="s">
        <v>3684</v>
      </c>
      <c r="J281" s="84" t="s">
        <v>130</v>
      </c>
      <c r="K281" s="85"/>
      <c r="L281" s="87">
        <v>24.0</v>
      </c>
      <c r="M281" s="87">
        <v>0.0</v>
      </c>
      <c r="N281" s="87">
        <v>0.0</v>
      </c>
      <c r="O281" s="87">
        <v>0.0</v>
      </c>
      <c r="P281" s="87">
        <v>0.0</v>
      </c>
      <c r="Q281" s="87">
        <v>0.0</v>
      </c>
      <c r="T281" s="84" t="s">
        <v>681</v>
      </c>
      <c r="U281" s="87">
        <v>2.125</v>
      </c>
    </row>
    <row r="282">
      <c r="A282" s="84" t="s">
        <v>180</v>
      </c>
      <c r="B282" s="194" t="s">
        <v>3981</v>
      </c>
      <c r="C282" s="84" t="s">
        <v>822</v>
      </c>
      <c r="D282" s="88" t="s">
        <v>1396</v>
      </c>
      <c r="E282" s="84" t="s">
        <v>3683</v>
      </c>
      <c r="F282" s="84" t="s">
        <v>814</v>
      </c>
      <c r="G282" s="84" t="s">
        <v>3533</v>
      </c>
      <c r="H282" s="84" t="s">
        <v>3521</v>
      </c>
      <c r="I282" s="84" t="s">
        <v>3684</v>
      </c>
      <c r="J282" s="84" t="s">
        <v>130</v>
      </c>
      <c r="K282" s="91"/>
      <c r="L282" s="87">
        <v>0.0</v>
      </c>
      <c r="M282" s="87">
        <v>0.0</v>
      </c>
      <c r="N282" s="87">
        <v>0.0</v>
      </c>
      <c r="O282" s="87">
        <v>0.0</v>
      </c>
      <c r="P282" s="87">
        <v>0.168966</v>
      </c>
      <c r="Q282" s="87">
        <v>0.177942</v>
      </c>
      <c r="T282" s="84" t="s">
        <v>684</v>
      </c>
      <c r="U282" s="87">
        <v>0.0</v>
      </c>
    </row>
    <row r="283">
      <c r="A283" s="84" t="s">
        <v>180</v>
      </c>
      <c r="B283" s="194" t="s">
        <v>3982</v>
      </c>
      <c r="C283" s="84" t="s">
        <v>811</v>
      </c>
      <c r="D283" s="88" t="s">
        <v>1396</v>
      </c>
      <c r="E283" s="84" t="s">
        <v>3683</v>
      </c>
      <c r="F283" s="84" t="s">
        <v>542</v>
      </c>
      <c r="G283" s="84" t="s">
        <v>3514</v>
      </c>
      <c r="H283" s="84" t="s">
        <v>3513</v>
      </c>
      <c r="I283" s="84" t="s">
        <v>3709</v>
      </c>
      <c r="J283" s="84" t="s">
        <v>130</v>
      </c>
      <c r="K283" s="91"/>
      <c r="L283" s="87">
        <v>0.0</v>
      </c>
      <c r="M283" s="87">
        <v>0.0</v>
      </c>
      <c r="N283" s="87">
        <v>0.0</v>
      </c>
      <c r="O283" s="87">
        <v>0.0</v>
      </c>
      <c r="P283" s="87">
        <v>0.0</v>
      </c>
      <c r="Q283" s="87">
        <v>0.0</v>
      </c>
      <c r="T283" s="84" t="s">
        <v>854</v>
      </c>
      <c r="U283" s="87">
        <v>0.0</v>
      </c>
    </row>
    <row r="284">
      <c r="A284" s="84" t="s">
        <v>139</v>
      </c>
      <c r="B284" s="194" t="s">
        <v>3983</v>
      </c>
      <c r="C284" s="84" t="s">
        <v>152</v>
      </c>
      <c r="D284" s="88" t="s">
        <v>1396</v>
      </c>
      <c r="E284" s="84" t="s">
        <v>3683</v>
      </c>
      <c r="F284" s="84" t="s">
        <v>144</v>
      </c>
      <c r="G284" s="84" t="s">
        <v>3700</v>
      </c>
      <c r="I284" s="84" t="s">
        <v>3684</v>
      </c>
      <c r="J284" s="84" t="s">
        <v>130</v>
      </c>
      <c r="K284" s="85"/>
      <c r="L284" s="87">
        <v>48.0</v>
      </c>
      <c r="M284" s="87">
        <v>0.0</v>
      </c>
      <c r="N284" s="87">
        <v>0.0</v>
      </c>
      <c r="O284" s="87">
        <v>0.0</v>
      </c>
      <c r="P284" s="87">
        <v>0.0</v>
      </c>
      <c r="Q284" s="87">
        <v>0.0</v>
      </c>
      <c r="T284" s="84" t="s">
        <v>853</v>
      </c>
      <c r="U284" s="87">
        <v>0.5</v>
      </c>
    </row>
    <row r="285">
      <c r="A285" s="84" t="s">
        <v>644</v>
      </c>
      <c r="B285" s="194" t="s">
        <v>3984</v>
      </c>
      <c r="C285" s="84" t="s">
        <v>1213</v>
      </c>
      <c r="D285" s="88" t="s">
        <v>1396</v>
      </c>
      <c r="E285" s="84" t="s">
        <v>3683</v>
      </c>
      <c r="F285" s="84" t="s">
        <v>1208</v>
      </c>
      <c r="G285" s="84" t="s">
        <v>3606</v>
      </c>
      <c r="H285" s="84" t="s">
        <v>3521</v>
      </c>
      <c r="I285" s="84" t="s">
        <v>3684</v>
      </c>
      <c r="J285" s="84" t="s">
        <v>130</v>
      </c>
      <c r="K285" s="85"/>
      <c r="L285" s="87">
        <v>24.0</v>
      </c>
      <c r="M285" s="87">
        <v>0.0</v>
      </c>
      <c r="N285" s="87">
        <v>0.0</v>
      </c>
      <c r="O285" s="87">
        <v>0.0</v>
      </c>
      <c r="P285" s="87">
        <v>0.0</v>
      </c>
      <c r="Q285" s="87">
        <v>0.0</v>
      </c>
      <c r="T285" s="84" t="s">
        <v>849</v>
      </c>
      <c r="U285" s="87">
        <v>0.0</v>
      </c>
    </row>
    <row r="286">
      <c r="A286" s="84" t="s">
        <v>264</v>
      </c>
      <c r="B286" s="194" t="s">
        <v>3985</v>
      </c>
      <c r="C286" s="84" t="s">
        <v>283</v>
      </c>
      <c r="D286" s="88" t="s">
        <v>1396</v>
      </c>
      <c r="E286" s="84" t="s">
        <v>3687</v>
      </c>
      <c r="F286" s="84" t="s">
        <v>281</v>
      </c>
      <c r="G286" s="84" t="s">
        <v>3691</v>
      </c>
      <c r="H286" s="84" t="s">
        <v>3521</v>
      </c>
      <c r="I286" s="84" t="s">
        <v>3684</v>
      </c>
      <c r="J286" s="84" t="s">
        <v>130</v>
      </c>
      <c r="K286" s="85"/>
      <c r="L286" s="87">
        <v>48.0</v>
      </c>
      <c r="M286" s="87">
        <v>0.0</v>
      </c>
      <c r="N286" s="87">
        <v>0.0</v>
      </c>
      <c r="O286" s="87">
        <v>0.0</v>
      </c>
      <c r="P286" s="87">
        <v>0.033333</v>
      </c>
      <c r="Q286" s="87">
        <v>0.033333</v>
      </c>
      <c r="T286" s="84" t="s">
        <v>1218</v>
      </c>
      <c r="U286" s="87">
        <v>2.34025974</v>
      </c>
    </row>
    <row r="287">
      <c r="A287" s="84" t="s">
        <v>107</v>
      </c>
      <c r="B287" s="194" t="s">
        <v>3786</v>
      </c>
      <c r="C287" s="84" t="s">
        <v>118</v>
      </c>
      <c r="D287" s="88" t="s">
        <v>1396</v>
      </c>
      <c r="E287" s="84" t="s">
        <v>3683</v>
      </c>
      <c r="F287" s="84" t="s">
        <v>119</v>
      </c>
      <c r="G287" s="84" t="s">
        <v>3552</v>
      </c>
      <c r="H287" s="84" t="s">
        <v>3521</v>
      </c>
      <c r="I287" s="84" t="s">
        <v>3684</v>
      </c>
      <c r="J287" s="84" t="s">
        <v>130</v>
      </c>
      <c r="K287" s="91"/>
      <c r="L287" s="87">
        <v>24.0</v>
      </c>
      <c r="M287" s="87">
        <v>0.0</v>
      </c>
      <c r="N287" s="87">
        <v>0.0</v>
      </c>
      <c r="O287" s="87">
        <v>0.0</v>
      </c>
      <c r="P287" s="87">
        <v>0.0</v>
      </c>
      <c r="Q287" s="87">
        <v>0.0</v>
      </c>
      <c r="T287" s="84" t="s">
        <v>1219</v>
      </c>
      <c r="U287" s="87">
        <v>0.340909091</v>
      </c>
    </row>
    <row r="288">
      <c r="A288" s="84" t="s">
        <v>644</v>
      </c>
      <c r="B288" s="194" t="s">
        <v>3802</v>
      </c>
      <c r="C288" s="84" t="s">
        <v>1352</v>
      </c>
      <c r="D288" s="88" t="s">
        <v>1396</v>
      </c>
      <c r="E288" s="84" t="s">
        <v>3683</v>
      </c>
      <c r="F288" s="84" t="s">
        <v>706</v>
      </c>
      <c r="G288" s="84" t="s">
        <v>3547</v>
      </c>
      <c r="H288" s="84" t="s">
        <v>3521</v>
      </c>
      <c r="I288" s="84" t="s">
        <v>3684</v>
      </c>
      <c r="J288" s="84" t="s">
        <v>130</v>
      </c>
      <c r="K288" s="91"/>
      <c r="L288" s="87">
        <v>24.0</v>
      </c>
      <c r="M288" s="87">
        <v>0.0</v>
      </c>
      <c r="N288" s="87">
        <v>0.0</v>
      </c>
      <c r="O288" s="87">
        <v>0.0</v>
      </c>
      <c r="P288" s="87">
        <v>0.0</v>
      </c>
      <c r="Q288" s="87">
        <v>0.0</v>
      </c>
      <c r="T288" s="84" t="s">
        <v>1216</v>
      </c>
      <c r="U288" s="87">
        <v>0.515151515</v>
      </c>
    </row>
    <row r="289">
      <c r="A289" s="84" t="s">
        <v>258</v>
      </c>
      <c r="B289" s="194" t="s">
        <v>3986</v>
      </c>
      <c r="C289" s="84" t="s">
        <v>887</v>
      </c>
      <c r="D289" s="88" t="s">
        <v>1396</v>
      </c>
      <c r="E289" s="84" t="s">
        <v>3687</v>
      </c>
      <c r="F289" s="84" t="s">
        <v>884</v>
      </c>
      <c r="G289" s="84" t="s">
        <v>3558</v>
      </c>
      <c r="H289" s="84" t="s">
        <v>3521</v>
      </c>
      <c r="I289" s="84" t="s">
        <v>3684</v>
      </c>
      <c r="J289" s="84" t="s">
        <v>130</v>
      </c>
      <c r="K289" s="91"/>
      <c r="L289" s="87">
        <v>24.0</v>
      </c>
      <c r="M289" s="87">
        <v>0.0</v>
      </c>
      <c r="N289" s="87">
        <v>0.0</v>
      </c>
      <c r="O289" s="87">
        <v>0.0</v>
      </c>
      <c r="P289" s="87">
        <v>0.0</v>
      </c>
      <c r="Q289" s="87">
        <v>0.0</v>
      </c>
      <c r="T289" s="84" t="s">
        <v>1351</v>
      </c>
      <c r="U289" s="87">
        <v>1.176573427</v>
      </c>
    </row>
    <row r="290">
      <c r="A290" s="84" t="s">
        <v>107</v>
      </c>
      <c r="B290" s="194" t="s">
        <v>3737</v>
      </c>
      <c r="C290" s="84" t="s">
        <v>132</v>
      </c>
      <c r="D290" s="88" t="s">
        <v>1396</v>
      </c>
      <c r="E290" s="84" t="s">
        <v>3683</v>
      </c>
      <c r="F290" s="84" t="s">
        <v>133</v>
      </c>
      <c r="G290" s="84" t="s">
        <v>3552</v>
      </c>
      <c r="H290" s="84" t="s">
        <v>3521</v>
      </c>
      <c r="I290" s="84" t="s">
        <v>3684</v>
      </c>
      <c r="J290" s="84" t="s">
        <v>130</v>
      </c>
      <c r="K290" s="85"/>
      <c r="L290" s="87">
        <v>24.0</v>
      </c>
      <c r="M290" s="87">
        <v>0.0</v>
      </c>
      <c r="N290" s="87">
        <v>0.0</v>
      </c>
      <c r="O290" s="87">
        <v>0.0</v>
      </c>
      <c r="P290" s="87">
        <v>0.0</v>
      </c>
      <c r="Q290" s="87">
        <v>0.0</v>
      </c>
      <c r="T290" s="84" t="s">
        <v>1217</v>
      </c>
      <c r="U290" s="87">
        <v>1.947868798</v>
      </c>
    </row>
    <row r="291">
      <c r="A291" s="84" t="s">
        <v>213</v>
      </c>
      <c r="B291" s="194" t="s">
        <v>3987</v>
      </c>
      <c r="C291" s="84" t="s">
        <v>3988</v>
      </c>
      <c r="D291" s="88" t="s">
        <v>1396</v>
      </c>
      <c r="E291" s="84" t="s">
        <v>3683</v>
      </c>
      <c r="F291" s="84" t="s">
        <v>856</v>
      </c>
      <c r="G291" s="84" t="s">
        <v>3552</v>
      </c>
      <c r="H291" s="84" t="s">
        <v>3521</v>
      </c>
      <c r="I291" s="84" t="s">
        <v>3684</v>
      </c>
      <c r="J291" s="85"/>
      <c r="K291" s="85"/>
      <c r="L291" s="87">
        <v>0.0</v>
      </c>
      <c r="M291" s="87">
        <v>0.0</v>
      </c>
      <c r="N291" s="87">
        <v>0.0</v>
      </c>
      <c r="O291" s="87">
        <v>0.0</v>
      </c>
      <c r="P291" s="87">
        <v>0.0</v>
      </c>
      <c r="Q291" s="87">
        <v>0.0</v>
      </c>
      <c r="T291" s="84" t="s">
        <v>1220</v>
      </c>
      <c r="U291" s="87">
        <v>3.316400266</v>
      </c>
    </row>
    <row r="292">
      <c r="A292" s="84" t="s">
        <v>601</v>
      </c>
      <c r="B292" s="194" t="s">
        <v>3989</v>
      </c>
      <c r="C292" s="84" t="s">
        <v>1067</v>
      </c>
      <c r="D292" s="88" t="s">
        <v>1396</v>
      </c>
      <c r="E292" s="84" t="s">
        <v>3745</v>
      </c>
      <c r="F292" s="84" t="s">
        <v>340</v>
      </c>
      <c r="G292" s="84" t="s">
        <v>3595</v>
      </c>
      <c r="H292" s="84" t="s">
        <v>3521</v>
      </c>
      <c r="I292" s="84" t="s">
        <v>3684</v>
      </c>
      <c r="J292" s="84" t="s">
        <v>130</v>
      </c>
      <c r="K292" s="85"/>
      <c r="L292" s="87">
        <v>48.0</v>
      </c>
      <c r="M292" s="87">
        <v>0.0</v>
      </c>
      <c r="N292" s="87">
        <v>0.130909</v>
      </c>
      <c r="O292" s="87">
        <v>0.0</v>
      </c>
      <c r="P292" s="87">
        <v>0.190909</v>
      </c>
      <c r="Q292" s="87">
        <v>0.102222</v>
      </c>
      <c r="T292" s="84" t="s">
        <v>1222</v>
      </c>
      <c r="U292" s="87">
        <v>0.153846154</v>
      </c>
    </row>
    <row r="293">
      <c r="A293" s="84" t="s">
        <v>363</v>
      </c>
      <c r="B293" s="194" t="s">
        <v>3990</v>
      </c>
      <c r="C293" s="84" t="s">
        <v>390</v>
      </c>
      <c r="D293" s="88" t="s">
        <v>1396</v>
      </c>
      <c r="E293" s="84" t="s">
        <v>3683</v>
      </c>
      <c r="F293" s="84" t="s">
        <v>382</v>
      </c>
      <c r="G293" s="84" t="s">
        <v>3991</v>
      </c>
      <c r="H293" s="84" t="s">
        <v>3527</v>
      </c>
      <c r="I293" s="84" t="s">
        <v>3709</v>
      </c>
      <c r="J293" s="85"/>
      <c r="K293" s="91"/>
      <c r="L293" s="87">
        <v>245.0</v>
      </c>
      <c r="M293" s="87">
        <v>3.0</v>
      </c>
      <c r="N293" s="87">
        <v>3.863299</v>
      </c>
      <c r="O293" s="87">
        <v>8.206874</v>
      </c>
      <c r="P293" s="87">
        <v>7.953249</v>
      </c>
      <c r="Q293" s="87">
        <v>6.82906</v>
      </c>
      <c r="T293" s="84" t="s">
        <v>1214</v>
      </c>
      <c r="U293" s="87">
        <v>2.191724942</v>
      </c>
    </row>
    <row r="294">
      <c r="A294" s="84" t="s">
        <v>630</v>
      </c>
      <c r="B294" s="194" t="s">
        <v>3992</v>
      </c>
      <c r="C294" s="84" t="s">
        <v>1103</v>
      </c>
      <c r="D294" s="88" t="s">
        <v>1396</v>
      </c>
      <c r="E294" s="84" t="s">
        <v>3683</v>
      </c>
      <c r="F294" s="84" t="s">
        <v>1104</v>
      </c>
      <c r="G294" s="84" t="s">
        <v>3602</v>
      </c>
      <c r="H294" s="84" t="s">
        <v>3521</v>
      </c>
      <c r="I294" s="84" t="s">
        <v>3684</v>
      </c>
      <c r="J294" s="91"/>
      <c r="K294" s="85"/>
      <c r="L294" s="87">
        <v>696.0</v>
      </c>
      <c r="M294" s="87">
        <v>0.0</v>
      </c>
      <c r="N294" s="87">
        <v>6.467462</v>
      </c>
      <c r="O294" s="87">
        <v>3.490873</v>
      </c>
      <c r="P294" s="87">
        <v>5.654003</v>
      </c>
      <c r="Q294" s="87">
        <v>6.429151</v>
      </c>
      <c r="T294" s="84" t="s">
        <v>1221</v>
      </c>
      <c r="U294" s="87">
        <v>1.66969697</v>
      </c>
    </row>
    <row r="295">
      <c r="A295" s="84" t="s">
        <v>537</v>
      </c>
      <c r="B295" s="194" t="s">
        <v>3993</v>
      </c>
      <c r="C295" s="84" t="s">
        <v>555</v>
      </c>
      <c r="D295" s="88" t="s">
        <v>1396</v>
      </c>
      <c r="E295" s="84" t="s">
        <v>3683</v>
      </c>
      <c r="F295" s="84" t="s">
        <v>551</v>
      </c>
      <c r="G295" s="84" t="s">
        <v>3590</v>
      </c>
      <c r="H295" s="84" t="s">
        <v>3521</v>
      </c>
      <c r="I295" s="84" t="s">
        <v>3693</v>
      </c>
      <c r="J295" s="85"/>
      <c r="K295" s="91"/>
      <c r="L295" s="87">
        <v>0.0</v>
      </c>
      <c r="M295" s="87">
        <v>3.0</v>
      </c>
      <c r="N295" s="87">
        <v>0.0</v>
      </c>
      <c r="O295" s="87">
        <v>2.403435</v>
      </c>
      <c r="P295" s="87">
        <v>2.046859</v>
      </c>
      <c r="Q295" s="87">
        <v>1.514606</v>
      </c>
      <c r="T295" s="84" t="s">
        <v>717</v>
      </c>
      <c r="U295" s="87">
        <v>0.0</v>
      </c>
    </row>
    <row r="296">
      <c r="A296" s="84" t="s">
        <v>644</v>
      </c>
      <c r="B296" s="194" t="s">
        <v>3994</v>
      </c>
      <c r="C296" s="84" t="s">
        <v>1220</v>
      </c>
      <c r="D296" s="88" t="s">
        <v>1396</v>
      </c>
      <c r="E296" s="84" t="s">
        <v>3683</v>
      </c>
      <c r="F296" s="84" t="s">
        <v>850</v>
      </c>
      <c r="G296" s="84" t="s">
        <v>3551</v>
      </c>
      <c r="H296" s="84" t="s">
        <v>3521</v>
      </c>
      <c r="I296" s="84" t="s">
        <v>3684</v>
      </c>
      <c r="J296" s="85"/>
      <c r="K296" s="84" t="s">
        <v>111</v>
      </c>
      <c r="L296" s="87">
        <v>360.0</v>
      </c>
      <c r="M296" s="87">
        <v>0.0</v>
      </c>
      <c r="N296" s="87">
        <v>0.066667</v>
      </c>
      <c r="O296" s="87">
        <v>0.0</v>
      </c>
      <c r="P296" s="87">
        <v>0.222222</v>
      </c>
      <c r="Q296" s="87">
        <v>0.066667</v>
      </c>
      <c r="T296" s="84" t="s">
        <v>713</v>
      </c>
      <c r="U296" s="87">
        <v>0.0</v>
      </c>
    </row>
    <row r="297">
      <c r="A297" s="84" t="s">
        <v>472</v>
      </c>
      <c r="B297" s="194" t="s">
        <v>3995</v>
      </c>
      <c r="C297" s="84" t="s">
        <v>479</v>
      </c>
      <c r="D297" s="88" t="s">
        <v>1396</v>
      </c>
      <c r="E297" s="84" t="s">
        <v>3687</v>
      </c>
      <c r="F297" s="84" t="s">
        <v>480</v>
      </c>
      <c r="G297" s="84" t="s">
        <v>3587</v>
      </c>
      <c r="I297" s="84" t="s">
        <v>3684</v>
      </c>
      <c r="J297" s="91"/>
      <c r="K297" s="91"/>
      <c r="L297" s="87">
        <v>552.0</v>
      </c>
      <c r="M297" s="87">
        <v>0.0</v>
      </c>
      <c r="N297" s="87">
        <v>0.0</v>
      </c>
      <c r="O297" s="87">
        <v>0.0</v>
      </c>
      <c r="P297" s="87">
        <v>0.0</v>
      </c>
      <c r="Q297" s="87">
        <v>0.0</v>
      </c>
      <c r="T297" s="84" t="s">
        <v>627</v>
      </c>
      <c r="U297" s="87">
        <v>6.851701077</v>
      </c>
    </row>
    <row r="298">
      <c r="A298" s="84" t="s">
        <v>393</v>
      </c>
      <c r="B298" s="194" t="s">
        <v>3996</v>
      </c>
      <c r="C298" s="84" t="s">
        <v>406</v>
      </c>
      <c r="D298" s="88" t="s">
        <v>1396</v>
      </c>
      <c r="E298" s="84" t="s">
        <v>3683</v>
      </c>
      <c r="F298" s="84" t="s">
        <v>407</v>
      </c>
      <c r="G298" s="84" t="s">
        <v>3698</v>
      </c>
      <c r="H298" s="84" t="s">
        <v>3521</v>
      </c>
      <c r="I298" s="84" t="s">
        <v>3693</v>
      </c>
      <c r="J298" s="91"/>
      <c r="K298" s="84" t="s">
        <v>111</v>
      </c>
      <c r="L298" s="87">
        <v>744.0</v>
      </c>
      <c r="M298" s="87">
        <v>0.0</v>
      </c>
      <c r="N298" s="87">
        <v>0.0</v>
      </c>
      <c r="O298" s="87">
        <v>0.071429</v>
      </c>
      <c r="P298" s="87">
        <v>0.033333</v>
      </c>
      <c r="Q298" s="87">
        <v>0.093682</v>
      </c>
      <c r="T298" s="84" t="s">
        <v>625</v>
      </c>
      <c r="U298" s="87">
        <v>1.689393939</v>
      </c>
    </row>
    <row r="299">
      <c r="A299" s="84" t="s">
        <v>630</v>
      </c>
      <c r="B299" s="194" t="s">
        <v>3867</v>
      </c>
      <c r="C299" s="84" t="s">
        <v>634</v>
      </c>
      <c r="D299" s="88" t="s">
        <v>1396</v>
      </c>
      <c r="E299" s="84" t="s">
        <v>3683</v>
      </c>
      <c r="F299" s="84" t="s">
        <v>629</v>
      </c>
      <c r="G299" s="84" t="s">
        <v>3766</v>
      </c>
      <c r="I299" s="84" t="s">
        <v>3684</v>
      </c>
      <c r="J299" s="85"/>
      <c r="K299" s="91"/>
      <c r="L299" s="87">
        <v>552.0</v>
      </c>
      <c r="M299" s="87">
        <v>0.0</v>
      </c>
      <c r="N299" s="87">
        <v>0.0</v>
      </c>
      <c r="O299" s="87">
        <v>0.0</v>
      </c>
      <c r="P299" s="87">
        <v>0.0</v>
      </c>
      <c r="Q299" s="87">
        <v>0.0</v>
      </c>
      <c r="T299" s="84" t="s">
        <v>624</v>
      </c>
      <c r="U299" s="87">
        <v>2.336111111</v>
      </c>
    </row>
    <row r="300">
      <c r="A300" s="84" t="s">
        <v>745</v>
      </c>
      <c r="B300" s="194" t="s">
        <v>3997</v>
      </c>
      <c r="C300" s="84" t="s">
        <v>757</v>
      </c>
      <c r="D300" s="88" t="s">
        <v>1396</v>
      </c>
      <c r="E300" s="84" t="s">
        <v>3687</v>
      </c>
      <c r="F300" s="91"/>
      <c r="G300" s="84" t="s">
        <v>3604</v>
      </c>
      <c r="H300" s="84" t="s">
        <v>3521</v>
      </c>
      <c r="I300" s="84" t="s">
        <v>3684</v>
      </c>
      <c r="J300" s="91"/>
      <c r="K300" s="91"/>
      <c r="L300" s="87">
        <v>0.0</v>
      </c>
      <c r="M300" s="87">
        <v>0.0</v>
      </c>
      <c r="N300" s="87">
        <v>0.0</v>
      </c>
      <c r="O300" s="87">
        <v>1.412338</v>
      </c>
      <c r="P300" s="87">
        <v>1.2053</v>
      </c>
      <c r="Q300" s="87">
        <v>0.954732</v>
      </c>
      <c r="T300" s="84" t="s">
        <v>626</v>
      </c>
      <c r="U300" s="87">
        <v>7.968342768</v>
      </c>
    </row>
    <row r="301">
      <c r="A301" s="84" t="s">
        <v>745</v>
      </c>
      <c r="B301" s="194" t="s">
        <v>3840</v>
      </c>
      <c r="C301" s="84" t="s">
        <v>750</v>
      </c>
      <c r="D301" s="88" t="s">
        <v>1396</v>
      </c>
      <c r="E301" s="84" t="s">
        <v>3683</v>
      </c>
      <c r="F301" s="84" t="s">
        <v>744</v>
      </c>
      <c r="G301" s="84" t="s">
        <v>3841</v>
      </c>
      <c r="I301" s="84" t="s">
        <v>3684</v>
      </c>
      <c r="J301" s="85"/>
      <c r="K301" s="91"/>
      <c r="L301" s="87">
        <v>120.0</v>
      </c>
      <c r="M301" s="87">
        <v>0.0</v>
      </c>
      <c r="N301" s="87">
        <v>0.0</v>
      </c>
      <c r="O301" s="87">
        <v>0.0</v>
      </c>
      <c r="P301" s="87">
        <v>0.0</v>
      </c>
      <c r="Q301" s="87">
        <v>0.0</v>
      </c>
      <c r="T301" s="84" t="s">
        <v>620</v>
      </c>
      <c r="U301" s="87">
        <v>11.36233766</v>
      </c>
    </row>
    <row r="302">
      <c r="A302" s="84" t="s">
        <v>644</v>
      </c>
      <c r="B302" s="194" t="s">
        <v>3998</v>
      </c>
      <c r="C302" s="84" t="s">
        <v>1271</v>
      </c>
      <c r="D302" s="88" t="s">
        <v>1396</v>
      </c>
      <c r="E302" s="84" t="s">
        <v>3683</v>
      </c>
      <c r="F302" s="84" t="s">
        <v>1229</v>
      </c>
      <c r="G302" s="84" t="s">
        <v>3551</v>
      </c>
      <c r="H302" s="84" t="s">
        <v>3521</v>
      </c>
      <c r="I302" s="84" t="s">
        <v>3684</v>
      </c>
      <c r="J302" s="84" t="s">
        <v>130</v>
      </c>
      <c r="K302" s="85"/>
      <c r="L302" s="87">
        <v>0.0</v>
      </c>
      <c r="M302" s="87">
        <v>0.0</v>
      </c>
      <c r="N302" s="87">
        <v>0.0</v>
      </c>
      <c r="O302" s="87">
        <v>0.0</v>
      </c>
      <c r="P302" s="87">
        <v>0.033333</v>
      </c>
      <c r="Q302" s="87">
        <v>0.019608</v>
      </c>
      <c r="T302" s="84" t="s">
        <v>712</v>
      </c>
      <c r="U302" s="87">
        <v>0.0</v>
      </c>
    </row>
    <row r="303">
      <c r="A303" s="84" t="s">
        <v>644</v>
      </c>
      <c r="B303" s="194" t="s">
        <v>3999</v>
      </c>
      <c r="C303" s="84" t="s">
        <v>713</v>
      </c>
      <c r="D303" s="88" t="s">
        <v>1396</v>
      </c>
      <c r="E303" s="84" t="s">
        <v>3683</v>
      </c>
      <c r="F303" s="84" t="s">
        <v>714</v>
      </c>
      <c r="G303" s="84" t="s">
        <v>3607</v>
      </c>
      <c r="H303" s="84" t="s">
        <v>3521</v>
      </c>
      <c r="I303" s="84" t="s">
        <v>3684</v>
      </c>
      <c r="J303" s="84" t="s">
        <v>215</v>
      </c>
      <c r="K303" s="84" t="s">
        <v>111</v>
      </c>
      <c r="L303" s="87">
        <v>96.0</v>
      </c>
      <c r="M303" s="87">
        <v>0.0</v>
      </c>
      <c r="N303" s="87">
        <v>0.0</v>
      </c>
      <c r="O303" s="87">
        <v>0.0</v>
      </c>
      <c r="P303" s="87">
        <v>0.0</v>
      </c>
      <c r="Q303" s="87">
        <v>0.0</v>
      </c>
      <c r="T303" s="84" t="s">
        <v>724</v>
      </c>
      <c r="U303" s="87">
        <v>0.0</v>
      </c>
    </row>
    <row r="304">
      <c r="A304" s="84" t="s">
        <v>472</v>
      </c>
      <c r="B304" s="194" t="s">
        <v>4000</v>
      </c>
      <c r="C304" s="84" t="s">
        <v>1308</v>
      </c>
      <c r="D304" s="88" t="s">
        <v>1396</v>
      </c>
      <c r="E304" s="84" t="s">
        <v>3683</v>
      </c>
      <c r="F304" s="84" t="s">
        <v>4001</v>
      </c>
      <c r="G304" s="84" t="s">
        <v>3578</v>
      </c>
      <c r="H304" s="84" t="s">
        <v>3521</v>
      </c>
      <c r="I304" s="84" t="s">
        <v>3684</v>
      </c>
      <c r="J304" s="84" t="s">
        <v>130</v>
      </c>
      <c r="K304" s="91"/>
      <c r="L304" s="87">
        <v>24.0</v>
      </c>
      <c r="M304" s="87">
        <v>0.0</v>
      </c>
      <c r="N304" s="87">
        <v>0.0</v>
      </c>
      <c r="O304" s="87">
        <v>0.162338</v>
      </c>
      <c r="P304" s="87">
        <v>0.144444</v>
      </c>
      <c r="Q304" s="87">
        <v>0.121053</v>
      </c>
      <c r="T304" s="84" t="s">
        <v>1257</v>
      </c>
      <c r="U304" s="87">
        <v>0.0</v>
      </c>
    </row>
    <row r="305">
      <c r="A305" s="84" t="s">
        <v>644</v>
      </c>
      <c r="B305" s="194" t="s">
        <v>4002</v>
      </c>
      <c r="C305" s="84" t="s">
        <v>694</v>
      </c>
      <c r="D305" s="88" t="s">
        <v>1396</v>
      </c>
      <c r="E305" s="84" t="s">
        <v>3683</v>
      </c>
      <c r="F305" s="84" t="s">
        <v>686</v>
      </c>
      <c r="G305" s="84" t="s">
        <v>3607</v>
      </c>
      <c r="H305" s="84" t="s">
        <v>3521</v>
      </c>
      <c r="I305" s="84" t="s">
        <v>3684</v>
      </c>
      <c r="J305" s="84" t="s">
        <v>130</v>
      </c>
      <c r="K305" s="85"/>
      <c r="L305" s="87">
        <v>24.0</v>
      </c>
      <c r="M305" s="87">
        <v>0.0</v>
      </c>
      <c r="N305" s="87">
        <v>0.0</v>
      </c>
      <c r="O305" s="87">
        <v>0.0</v>
      </c>
      <c r="P305" s="87">
        <v>0.0</v>
      </c>
      <c r="Q305" s="87">
        <v>0.0</v>
      </c>
      <c r="T305" s="84" t="s">
        <v>1252</v>
      </c>
      <c r="U305" s="87">
        <v>0.824675325</v>
      </c>
    </row>
    <row r="306">
      <c r="A306" s="84" t="s">
        <v>139</v>
      </c>
      <c r="B306" s="194" t="s">
        <v>4003</v>
      </c>
      <c r="C306" s="84" t="s">
        <v>172</v>
      </c>
      <c r="D306" s="88" t="s">
        <v>1396</v>
      </c>
      <c r="E306" s="84" t="s">
        <v>3687</v>
      </c>
      <c r="F306" s="84" t="s">
        <v>144</v>
      </c>
      <c r="G306" s="84" t="s">
        <v>3700</v>
      </c>
      <c r="I306" s="84" t="s">
        <v>3684</v>
      </c>
      <c r="J306" s="84" t="s">
        <v>130</v>
      </c>
      <c r="K306" s="85"/>
      <c r="L306" s="87">
        <v>48.0</v>
      </c>
      <c r="M306" s="87">
        <v>0.0</v>
      </c>
      <c r="N306" s="87">
        <v>0.0</v>
      </c>
      <c r="O306" s="87">
        <v>0.0</v>
      </c>
      <c r="P306" s="87">
        <v>0.0</v>
      </c>
      <c r="Q306" s="87">
        <v>0.0</v>
      </c>
      <c r="T306" s="84" t="s">
        <v>711</v>
      </c>
      <c r="U306" s="87">
        <v>0.0</v>
      </c>
    </row>
    <row r="307">
      <c r="A307" s="84" t="s">
        <v>630</v>
      </c>
      <c r="B307" s="194" t="s">
        <v>4004</v>
      </c>
      <c r="C307" s="84" t="s">
        <v>1092</v>
      </c>
      <c r="D307" s="88" t="s">
        <v>1396</v>
      </c>
      <c r="E307" s="84" t="s">
        <v>3683</v>
      </c>
      <c r="F307" s="84" t="s">
        <v>1091</v>
      </c>
      <c r="G307" s="84" t="s">
        <v>3601</v>
      </c>
      <c r="H307" s="84" t="s">
        <v>3521</v>
      </c>
      <c r="I307" s="84" t="s">
        <v>3684</v>
      </c>
      <c r="J307" s="84" t="s">
        <v>130</v>
      </c>
      <c r="K307" s="91"/>
      <c r="L307" s="87">
        <v>24.0</v>
      </c>
      <c r="M307" s="87">
        <v>0.0</v>
      </c>
      <c r="N307" s="87">
        <v>0.0</v>
      </c>
      <c r="O307" s="87">
        <v>0.0</v>
      </c>
      <c r="P307" s="87">
        <v>0.0</v>
      </c>
      <c r="Q307" s="87">
        <v>0.0</v>
      </c>
      <c r="T307" s="84" t="s">
        <v>720</v>
      </c>
      <c r="U307" s="87">
        <v>0.0</v>
      </c>
    </row>
    <row r="308">
      <c r="A308" s="84" t="s">
        <v>393</v>
      </c>
      <c r="B308" s="194" t="s">
        <v>4005</v>
      </c>
      <c r="C308" s="84" t="s">
        <v>401</v>
      </c>
      <c r="D308" s="88" t="s">
        <v>1396</v>
      </c>
      <c r="E308" s="84" t="s">
        <v>3683</v>
      </c>
      <c r="F308" s="84" t="s">
        <v>402</v>
      </c>
      <c r="G308" s="84" t="s">
        <v>3698</v>
      </c>
      <c r="H308" s="84" t="s">
        <v>3521</v>
      </c>
      <c r="I308" s="84" t="s">
        <v>3693</v>
      </c>
      <c r="J308" s="84" t="s">
        <v>130</v>
      </c>
      <c r="K308" s="84" t="s">
        <v>111</v>
      </c>
      <c r="L308" s="87">
        <v>24.0</v>
      </c>
      <c r="M308" s="87">
        <v>0.0</v>
      </c>
      <c r="N308" s="87">
        <v>0.0</v>
      </c>
      <c r="O308" s="87">
        <v>0.0</v>
      </c>
      <c r="P308" s="87">
        <v>0.0</v>
      </c>
      <c r="Q308" s="87">
        <v>0.0</v>
      </c>
      <c r="T308" s="84" t="s">
        <v>723</v>
      </c>
      <c r="U308" s="87">
        <v>0.0</v>
      </c>
    </row>
    <row r="309">
      <c r="A309" s="84" t="s">
        <v>180</v>
      </c>
      <c r="B309" s="194" t="s">
        <v>3963</v>
      </c>
      <c r="C309" s="84" t="s">
        <v>1319</v>
      </c>
      <c r="D309" s="88" t="s">
        <v>1396</v>
      </c>
      <c r="E309" s="84" t="s">
        <v>3683</v>
      </c>
      <c r="F309" s="84" t="s">
        <v>814</v>
      </c>
      <c r="G309" s="84" t="s">
        <v>3533</v>
      </c>
      <c r="H309" s="84" t="s">
        <v>3521</v>
      </c>
      <c r="I309" s="84" t="s">
        <v>3684</v>
      </c>
      <c r="J309" s="84" t="s">
        <v>130</v>
      </c>
      <c r="K309" s="91"/>
      <c r="L309" s="87">
        <v>24.0</v>
      </c>
      <c r="M309" s="87">
        <v>0.0</v>
      </c>
      <c r="N309" s="87">
        <v>0.0</v>
      </c>
      <c r="O309" s="87">
        <v>0.0</v>
      </c>
      <c r="P309" s="87">
        <v>0.0</v>
      </c>
      <c r="Q309" s="87">
        <v>0.0</v>
      </c>
      <c r="T309" s="84" t="s">
        <v>707</v>
      </c>
      <c r="U309" s="87">
        <v>0.0</v>
      </c>
    </row>
    <row r="310">
      <c r="A310" s="84" t="s">
        <v>341</v>
      </c>
      <c r="B310" s="194" t="s">
        <v>4006</v>
      </c>
      <c r="C310" s="84" t="s">
        <v>339</v>
      </c>
      <c r="D310" s="88" t="s">
        <v>1396</v>
      </c>
      <c r="E310" s="84" t="s">
        <v>3745</v>
      </c>
      <c r="F310" s="84" t="s">
        <v>340</v>
      </c>
      <c r="G310" s="84" t="s">
        <v>4007</v>
      </c>
      <c r="H310" s="84" t="s">
        <v>3521</v>
      </c>
      <c r="I310" s="84" t="s">
        <v>3962</v>
      </c>
      <c r="J310" s="84" t="s">
        <v>89</v>
      </c>
      <c r="K310" s="91"/>
      <c r="L310" s="87">
        <v>851.0</v>
      </c>
      <c r="M310" s="87">
        <v>1.0</v>
      </c>
      <c r="N310" s="87">
        <v>40.22459</v>
      </c>
      <c r="O310" s="87">
        <v>45.55119</v>
      </c>
      <c r="P310" s="87">
        <v>43.95381</v>
      </c>
      <c r="Q310" s="87">
        <v>37.97435</v>
      </c>
      <c r="T310" s="84" t="s">
        <v>1107</v>
      </c>
      <c r="U310" s="87">
        <v>0.681818182</v>
      </c>
    </row>
    <row r="311">
      <c r="A311" s="84" t="s">
        <v>630</v>
      </c>
      <c r="B311" s="194" t="s">
        <v>4008</v>
      </c>
      <c r="C311" s="84" t="s">
        <v>1112</v>
      </c>
      <c r="D311" s="88" t="s">
        <v>1396</v>
      </c>
      <c r="E311" s="84" t="s">
        <v>3683</v>
      </c>
      <c r="F311" s="84" t="s">
        <v>1113</v>
      </c>
      <c r="G311" s="84" t="s">
        <v>3554</v>
      </c>
      <c r="H311" s="84" t="s">
        <v>3521</v>
      </c>
      <c r="I311" s="84" t="s">
        <v>3684</v>
      </c>
      <c r="J311" s="91"/>
      <c r="K311" s="84" t="s">
        <v>111</v>
      </c>
      <c r="L311" s="87">
        <v>528.0</v>
      </c>
      <c r="M311" s="87">
        <v>0.0</v>
      </c>
      <c r="N311" s="87">
        <v>0.0</v>
      </c>
      <c r="O311" s="87">
        <v>0.0</v>
      </c>
      <c r="P311" s="87">
        <v>0.0</v>
      </c>
      <c r="Q311" s="87">
        <v>0.0</v>
      </c>
      <c r="T311" s="84" t="s">
        <v>1110</v>
      </c>
      <c r="U311" s="87">
        <v>0.0</v>
      </c>
    </row>
    <row r="312">
      <c r="A312" s="84" t="s">
        <v>444</v>
      </c>
      <c r="B312" s="194" t="s">
        <v>3797</v>
      </c>
      <c r="C312" s="84" t="s">
        <v>447</v>
      </c>
      <c r="D312" s="88" t="s">
        <v>1396</v>
      </c>
      <c r="E312" s="84" t="s">
        <v>3683</v>
      </c>
      <c r="F312" s="84" t="s">
        <v>448</v>
      </c>
      <c r="G312" s="84" t="s">
        <v>3577</v>
      </c>
      <c r="I312" s="84" t="s">
        <v>3684</v>
      </c>
      <c r="J312" s="91"/>
      <c r="K312" s="91"/>
      <c r="L312" s="87">
        <v>552.0</v>
      </c>
      <c r="M312" s="87">
        <v>0.0</v>
      </c>
      <c r="N312" s="87">
        <v>0.0</v>
      </c>
      <c r="O312" s="87">
        <v>0.0</v>
      </c>
      <c r="P312" s="87">
        <v>0.0</v>
      </c>
      <c r="Q312" s="87">
        <v>0.0</v>
      </c>
      <c r="T312" s="84" t="s">
        <v>1111</v>
      </c>
      <c r="U312" s="87">
        <v>0.25</v>
      </c>
    </row>
    <row r="313">
      <c r="A313" s="84" t="s">
        <v>139</v>
      </c>
      <c r="B313" s="194" t="s">
        <v>4009</v>
      </c>
      <c r="C313" s="84" t="s">
        <v>150</v>
      </c>
      <c r="D313" s="88" t="s">
        <v>1396</v>
      </c>
      <c r="E313" s="84" t="s">
        <v>3683</v>
      </c>
      <c r="F313" s="84" t="s">
        <v>144</v>
      </c>
      <c r="G313" s="84" t="s">
        <v>3700</v>
      </c>
      <c r="I313" s="84" t="s">
        <v>3684</v>
      </c>
      <c r="J313" s="84" t="s">
        <v>130</v>
      </c>
      <c r="K313" s="85"/>
      <c r="L313" s="87">
        <v>48.0</v>
      </c>
      <c r="M313" s="87">
        <v>0.0</v>
      </c>
      <c r="N313" s="87">
        <v>0.375</v>
      </c>
      <c r="O313" s="87">
        <v>0.0</v>
      </c>
      <c r="P313" s="87">
        <v>0.0</v>
      </c>
      <c r="Q313" s="87">
        <v>0.375</v>
      </c>
      <c r="T313" s="84" t="s">
        <v>1276</v>
      </c>
      <c r="U313" s="87">
        <v>0.166666667</v>
      </c>
    </row>
    <row r="314">
      <c r="A314" s="84" t="s">
        <v>481</v>
      </c>
      <c r="B314" s="194" t="s">
        <v>4010</v>
      </c>
      <c r="C314" s="84" t="s">
        <v>999</v>
      </c>
      <c r="D314" s="88" t="s">
        <v>1396</v>
      </c>
      <c r="E314" s="84" t="s">
        <v>3683</v>
      </c>
      <c r="F314" s="84" t="s">
        <v>989</v>
      </c>
      <c r="G314" s="84" t="s">
        <v>3585</v>
      </c>
      <c r="H314" s="84" t="s">
        <v>3521</v>
      </c>
      <c r="I314" s="84" t="s">
        <v>3684</v>
      </c>
      <c r="J314" s="91"/>
      <c r="K314" s="91"/>
      <c r="L314" s="87">
        <v>24.0</v>
      </c>
      <c r="M314" s="87">
        <v>2.0</v>
      </c>
      <c r="N314" s="87">
        <v>0.0</v>
      </c>
      <c r="O314" s="87">
        <v>2.915751</v>
      </c>
      <c r="P314" s="87">
        <v>3.149936</v>
      </c>
      <c r="Q314" s="87">
        <v>3.326519</v>
      </c>
      <c r="T314" s="84" t="s">
        <v>1278</v>
      </c>
      <c r="U314" s="87">
        <v>0.340909091</v>
      </c>
    </row>
    <row r="315">
      <c r="A315" s="84" t="s">
        <v>74</v>
      </c>
      <c r="B315" s="194" t="s">
        <v>4011</v>
      </c>
      <c r="C315" s="84" t="s">
        <v>83</v>
      </c>
      <c r="D315" s="88" t="s">
        <v>1396</v>
      </c>
      <c r="E315" s="84" t="s">
        <v>3683</v>
      </c>
      <c r="F315" s="84" t="s">
        <v>73</v>
      </c>
      <c r="G315" s="84" t="s">
        <v>3712</v>
      </c>
      <c r="H315" s="84" t="s">
        <v>3521</v>
      </c>
      <c r="I315" s="84" t="s">
        <v>3684</v>
      </c>
      <c r="J315" s="84" t="s">
        <v>130</v>
      </c>
      <c r="K315" s="84" t="s">
        <v>111</v>
      </c>
      <c r="L315" s="87">
        <v>24.0</v>
      </c>
      <c r="M315" s="87">
        <v>0.0</v>
      </c>
      <c r="N315" s="87">
        <v>0.0</v>
      </c>
      <c r="O315" s="87">
        <v>0.0</v>
      </c>
      <c r="P315" s="87">
        <v>0.0</v>
      </c>
      <c r="Q315" s="87">
        <v>0.0</v>
      </c>
      <c r="T315" s="84" t="s">
        <v>1277</v>
      </c>
      <c r="U315" s="87">
        <v>2.043867244</v>
      </c>
    </row>
    <row r="316">
      <c r="A316" s="84" t="s">
        <v>393</v>
      </c>
      <c r="B316" s="194" t="s">
        <v>4012</v>
      </c>
      <c r="C316" s="84" t="s">
        <v>414</v>
      </c>
      <c r="D316" s="88" t="s">
        <v>1396</v>
      </c>
      <c r="E316" s="84" t="s">
        <v>3683</v>
      </c>
      <c r="F316" s="84" t="s">
        <v>415</v>
      </c>
      <c r="G316" s="84" t="s">
        <v>3832</v>
      </c>
      <c r="H316" s="84" t="s">
        <v>3521</v>
      </c>
      <c r="I316" s="84" t="s">
        <v>3693</v>
      </c>
      <c r="J316" s="85"/>
      <c r="K316" s="84" t="s">
        <v>111</v>
      </c>
      <c r="L316" s="87">
        <v>504.0</v>
      </c>
      <c r="M316" s="87">
        <v>0.0</v>
      </c>
      <c r="N316" s="87">
        <v>0.699767</v>
      </c>
      <c r="O316" s="87">
        <v>0.0</v>
      </c>
      <c r="P316" s="87">
        <v>0.517857</v>
      </c>
      <c r="Q316" s="87">
        <v>0.699767</v>
      </c>
      <c r="T316" s="84" t="s">
        <v>1165</v>
      </c>
      <c r="U316" s="87">
        <v>0.277777778</v>
      </c>
    </row>
    <row r="317">
      <c r="A317" s="84" t="s">
        <v>213</v>
      </c>
      <c r="B317" s="194" t="s">
        <v>4013</v>
      </c>
      <c r="C317" s="84" t="s">
        <v>854</v>
      </c>
      <c r="D317" s="88" t="s">
        <v>1396</v>
      </c>
      <c r="E317" s="84" t="s">
        <v>3683</v>
      </c>
      <c r="F317" s="84" t="s">
        <v>850</v>
      </c>
      <c r="G317" s="84" t="s">
        <v>3551</v>
      </c>
      <c r="H317" s="84" t="s">
        <v>3521</v>
      </c>
      <c r="I317" s="84" t="s">
        <v>3684</v>
      </c>
      <c r="J317" s="85"/>
      <c r="K317" s="84" t="s">
        <v>111</v>
      </c>
      <c r="L317" s="87">
        <v>288.0</v>
      </c>
      <c r="M317" s="87">
        <v>0.0</v>
      </c>
      <c r="N317" s="87">
        <v>0.0</v>
      </c>
      <c r="O317" s="87">
        <v>0.0</v>
      </c>
      <c r="P317" s="87">
        <v>0.033333</v>
      </c>
      <c r="Q317" s="87">
        <v>0.018868</v>
      </c>
      <c r="T317" s="84" t="s">
        <v>1250</v>
      </c>
      <c r="U317" s="87">
        <v>0.0</v>
      </c>
    </row>
    <row r="318">
      <c r="A318" s="84" t="s">
        <v>761</v>
      </c>
      <c r="B318" s="194" t="s">
        <v>4014</v>
      </c>
      <c r="C318" s="84" t="s">
        <v>764</v>
      </c>
      <c r="D318" s="88" t="s">
        <v>1396</v>
      </c>
      <c r="E318" s="84" t="s">
        <v>3683</v>
      </c>
      <c r="F318" s="84" t="s">
        <v>760</v>
      </c>
      <c r="G318" s="84" t="s">
        <v>4015</v>
      </c>
      <c r="H318" s="84" t="s">
        <v>3507</v>
      </c>
      <c r="I318" s="84" t="s">
        <v>3684</v>
      </c>
      <c r="J318" s="84" t="s">
        <v>130</v>
      </c>
      <c r="K318" s="91"/>
      <c r="L318" s="87">
        <v>24.0</v>
      </c>
      <c r="M318" s="87">
        <v>0.0</v>
      </c>
      <c r="N318" s="87">
        <v>0.25</v>
      </c>
      <c r="O318" s="87">
        <v>0.0</v>
      </c>
      <c r="P318" s="87">
        <v>0.0</v>
      </c>
      <c r="Q318" s="87">
        <v>0.25</v>
      </c>
      <c r="T318" s="84" t="s">
        <v>404</v>
      </c>
      <c r="U318" s="87">
        <v>0.0</v>
      </c>
    </row>
    <row r="319">
      <c r="A319" s="84" t="s">
        <v>481</v>
      </c>
      <c r="B319" s="194" t="s">
        <v>4016</v>
      </c>
      <c r="C319" s="84" t="s">
        <v>1002</v>
      </c>
      <c r="D319" s="88" t="s">
        <v>1396</v>
      </c>
      <c r="E319" s="84" t="s">
        <v>3683</v>
      </c>
      <c r="F319" s="84" t="s">
        <v>989</v>
      </c>
      <c r="G319" s="84" t="s">
        <v>3585</v>
      </c>
      <c r="H319" s="84" t="s">
        <v>3521</v>
      </c>
      <c r="I319" s="84" t="s">
        <v>3684</v>
      </c>
      <c r="J319" s="85"/>
      <c r="K319" s="85"/>
      <c r="L319" s="87">
        <v>24.0</v>
      </c>
      <c r="M319" s="87">
        <v>0.0</v>
      </c>
      <c r="N319" s="87">
        <v>0.0</v>
      </c>
      <c r="O319" s="87">
        <v>1.285714</v>
      </c>
      <c r="P319" s="87">
        <v>1.166667</v>
      </c>
      <c r="Q319" s="87">
        <v>1.093027</v>
      </c>
      <c r="T319" s="84" t="s">
        <v>780</v>
      </c>
      <c r="U319" s="87">
        <v>48.0482684</v>
      </c>
    </row>
    <row r="320">
      <c r="A320" s="84" t="s">
        <v>644</v>
      </c>
      <c r="B320" s="194" t="s">
        <v>4017</v>
      </c>
      <c r="C320" s="84" t="s">
        <v>1165</v>
      </c>
      <c r="D320" s="88" t="s">
        <v>1396</v>
      </c>
      <c r="E320" s="84" t="s">
        <v>3683</v>
      </c>
      <c r="F320" s="84" t="s">
        <v>1166</v>
      </c>
      <c r="G320" s="84" t="s">
        <v>3564</v>
      </c>
      <c r="H320" s="84" t="s">
        <v>3521</v>
      </c>
      <c r="I320" s="84" t="s">
        <v>3684</v>
      </c>
      <c r="J320" s="85"/>
      <c r="K320" s="91"/>
      <c r="L320" s="87">
        <v>87.0</v>
      </c>
      <c r="M320" s="87">
        <v>1.0</v>
      </c>
      <c r="N320" s="87">
        <v>1.360714</v>
      </c>
      <c r="O320" s="87">
        <v>1.807143</v>
      </c>
      <c r="P320" s="87">
        <v>1.769048</v>
      </c>
      <c r="Q320" s="87">
        <v>1.852656</v>
      </c>
      <c r="T320" s="84" t="s">
        <v>781</v>
      </c>
      <c r="U320" s="87">
        <v>29.75761738</v>
      </c>
    </row>
    <row r="321">
      <c r="A321" s="84" t="s">
        <v>180</v>
      </c>
      <c r="B321" s="194" t="s">
        <v>4018</v>
      </c>
      <c r="C321" s="84" t="s">
        <v>848</v>
      </c>
      <c r="D321" s="88" t="s">
        <v>1396</v>
      </c>
      <c r="E321" s="84" t="s">
        <v>3683</v>
      </c>
      <c r="F321" s="84" t="s">
        <v>843</v>
      </c>
      <c r="G321" s="84" t="s">
        <v>3599</v>
      </c>
      <c r="H321" s="84" t="s">
        <v>3507</v>
      </c>
      <c r="I321" s="84" t="s">
        <v>3684</v>
      </c>
      <c r="J321" s="85"/>
      <c r="K321" s="85"/>
      <c r="L321" s="87">
        <v>456.0</v>
      </c>
      <c r="M321" s="87">
        <v>0.0</v>
      </c>
      <c r="N321" s="87">
        <v>1.574708</v>
      </c>
      <c r="O321" s="87">
        <v>0.416667</v>
      </c>
      <c r="P321" s="87">
        <v>1.564625</v>
      </c>
      <c r="Q321" s="87">
        <v>1.797411</v>
      </c>
      <c r="T321" s="84" t="s">
        <v>196</v>
      </c>
      <c r="U321" s="87">
        <v>0.0</v>
      </c>
    </row>
    <row r="322">
      <c r="A322" s="84" t="s">
        <v>644</v>
      </c>
      <c r="B322" s="194" t="s">
        <v>4019</v>
      </c>
      <c r="C322" s="84" t="s">
        <v>724</v>
      </c>
      <c r="D322" s="88" t="s">
        <v>1396</v>
      </c>
      <c r="E322" s="84" t="s">
        <v>3687</v>
      </c>
      <c r="F322" s="84" t="s">
        <v>708</v>
      </c>
      <c r="G322" s="84" t="s">
        <v>3607</v>
      </c>
      <c r="H322" s="84" t="s">
        <v>3521</v>
      </c>
      <c r="I322" s="84" t="s">
        <v>3684</v>
      </c>
      <c r="J322" s="84" t="s">
        <v>130</v>
      </c>
      <c r="K322" s="85"/>
      <c r="L322" s="87">
        <v>72.0</v>
      </c>
      <c r="M322" s="87">
        <v>0.0</v>
      </c>
      <c r="N322" s="87">
        <v>0.0</v>
      </c>
      <c r="O322" s="87">
        <v>0.0</v>
      </c>
      <c r="P322" s="87">
        <v>0.0</v>
      </c>
      <c r="Q322" s="87">
        <v>0.0</v>
      </c>
      <c r="T322" s="84" t="s">
        <v>496</v>
      </c>
      <c r="U322" s="87">
        <v>0.515151515</v>
      </c>
    </row>
    <row r="323">
      <c r="A323" s="84" t="s">
        <v>439</v>
      </c>
      <c r="B323" s="194" t="s">
        <v>3907</v>
      </c>
      <c r="C323" s="84" t="s">
        <v>3654</v>
      </c>
      <c r="D323" s="88" t="s">
        <v>1396</v>
      </c>
      <c r="E323" s="84" t="s">
        <v>3683</v>
      </c>
      <c r="F323" s="84" t="s">
        <v>3714</v>
      </c>
      <c r="G323" s="84" t="s">
        <v>3715</v>
      </c>
      <c r="H323" s="84" t="s">
        <v>3527</v>
      </c>
      <c r="I323" s="84" t="s">
        <v>3684</v>
      </c>
      <c r="J323" s="85"/>
      <c r="K323" s="84" t="s">
        <v>111</v>
      </c>
      <c r="L323" s="87">
        <v>96.0</v>
      </c>
      <c r="M323" s="87">
        <v>0.0</v>
      </c>
      <c r="N323" s="87">
        <v>0.0</v>
      </c>
      <c r="O323" s="87">
        <v>0.0</v>
      </c>
      <c r="P323" s="87">
        <v>0.0</v>
      </c>
      <c r="Q323" s="87">
        <v>0.0</v>
      </c>
      <c r="T323" s="84" t="s">
        <v>499</v>
      </c>
      <c r="U323" s="87">
        <v>0.0</v>
      </c>
    </row>
    <row r="324">
      <c r="A324" s="84" t="s">
        <v>264</v>
      </c>
      <c r="B324" s="194" t="s">
        <v>3690</v>
      </c>
      <c r="C324" s="84" t="s">
        <v>280</v>
      </c>
      <c r="D324" s="88" t="s">
        <v>1396</v>
      </c>
      <c r="E324" s="84" t="s">
        <v>3687</v>
      </c>
      <c r="F324" s="84" t="s">
        <v>281</v>
      </c>
      <c r="G324" s="84" t="s">
        <v>3691</v>
      </c>
      <c r="H324" s="84" t="s">
        <v>3521</v>
      </c>
      <c r="I324" s="84" t="s">
        <v>3684</v>
      </c>
      <c r="J324" s="84" t="s">
        <v>130</v>
      </c>
      <c r="K324" s="91"/>
      <c r="L324" s="87">
        <v>48.0</v>
      </c>
      <c r="M324" s="87">
        <v>0.0</v>
      </c>
      <c r="N324" s="87">
        <v>0.0</v>
      </c>
      <c r="O324" s="87">
        <v>0.0</v>
      </c>
      <c r="P324" s="87">
        <v>0.0</v>
      </c>
      <c r="Q324" s="87">
        <v>0.0</v>
      </c>
      <c r="T324" s="84" t="s">
        <v>497</v>
      </c>
      <c r="U324" s="87">
        <v>0.333333333</v>
      </c>
    </row>
    <row r="325">
      <c r="A325" s="84" t="s">
        <v>537</v>
      </c>
      <c r="B325" s="194" t="s">
        <v>3993</v>
      </c>
      <c r="C325" s="84" t="s">
        <v>555</v>
      </c>
      <c r="D325" s="88" t="s">
        <v>1396</v>
      </c>
      <c r="E325" s="84" t="s">
        <v>3683</v>
      </c>
      <c r="F325" s="84" t="s">
        <v>551</v>
      </c>
      <c r="G325" s="84" t="s">
        <v>3590</v>
      </c>
      <c r="H325" s="84" t="s">
        <v>3521</v>
      </c>
      <c r="I325" s="84" t="s">
        <v>3693</v>
      </c>
      <c r="J325" s="84" t="s">
        <v>130</v>
      </c>
      <c r="K325" s="91"/>
      <c r="L325" s="87">
        <v>24.0</v>
      </c>
      <c r="M325" s="87">
        <v>0.0</v>
      </c>
      <c r="N325" s="87">
        <v>0.0</v>
      </c>
      <c r="O325" s="87">
        <v>0.0</v>
      </c>
      <c r="P325" s="87">
        <v>0.0</v>
      </c>
      <c r="Q325" s="87">
        <v>0.0</v>
      </c>
      <c r="T325" s="84" t="s">
        <v>500</v>
      </c>
      <c r="U325" s="87">
        <v>0.0</v>
      </c>
    </row>
    <row r="326">
      <c r="A326" s="84" t="s">
        <v>393</v>
      </c>
      <c r="B326" s="194" t="s">
        <v>3996</v>
      </c>
      <c r="C326" s="84" t="s">
        <v>406</v>
      </c>
      <c r="D326" s="88" t="s">
        <v>1396</v>
      </c>
      <c r="E326" s="84" t="s">
        <v>3683</v>
      </c>
      <c r="F326" s="84" t="s">
        <v>407</v>
      </c>
      <c r="G326" s="84" t="s">
        <v>3698</v>
      </c>
      <c r="H326" s="84" t="s">
        <v>3521</v>
      </c>
      <c r="I326" s="84" t="s">
        <v>3693</v>
      </c>
      <c r="J326" s="84" t="s">
        <v>130</v>
      </c>
      <c r="K326" s="84" t="s">
        <v>111</v>
      </c>
      <c r="L326" s="87">
        <v>24.0</v>
      </c>
      <c r="M326" s="87">
        <v>0.0</v>
      </c>
      <c r="N326" s="87">
        <v>0.0</v>
      </c>
      <c r="O326" s="87">
        <v>0.0</v>
      </c>
      <c r="P326" s="87">
        <v>0.0</v>
      </c>
      <c r="Q326" s="87">
        <v>0.0</v>
      </c>
      <c r="T326" s="84" t="s">
        <v>495</v>
      </c>
      <c r="U326" s="87">
        <v>0.0</v>
      </c>
    </row>
    <row r="327">
      <c r="A327" s="84" t="s">
        <v>180</v>
      </c>
      <c r="B327" s="194" t="s">
        <v>4020</v>
      </c>
      <c r="C327" s="84" t="s">
        <v>818</v>
      </c>
      <c r="D327" s="88" t="s">
        <v>1396</v>
      </c>
      <c r="E327" s="84" t="s">
        <v>3683</v>
      </c>
      <c r="F327" s="84" t="s">
        <v>814</v>
      </c>
      <c r="G327" s="84" t="s">
        <v>3533</v>
      </c>
      <c r="H327" s="84" t="s">
        <v>3521</v>
      </c>
      <c r="I327" s="84" t="s">
        <v>3684</v>
      </c>
      <c r="J327" s="85"/>
      <c r="K327" s="84" t="s">
        <v>112</v>
      </c>
      <c r="L327" s="87">
        <v>288.0</v>
      </c>
      <c r="M327" s="87">
        <v>0.0</v>
      </c>
      <c r="N327" s="87">
        <v>0.0</v>
      </c>
      <c r="O327" s="87">
        <v>0.0</v>
      </c>
      <c r="P327" s="87">
        <v>0.0</v>
      </c>
      <c r="Q327" s="87">
        <v>0.0</v>
      </c>
      <c r="T327" s="84" t="s">
        <v>498</v>
      </c>
      <c r="U327" s="87">
        <v>0.226190476</v>
      </c>
    </row>
    <row r="328">
      <c r="A328" s="84" t="s">
        <v>537</v>
      </c>
      <c r="B328" s="194" t="s">
        <v>4021</v>
      </c>
      <c r="C328" s="84" t="s">
        <v>1046</v>
      </c>
      <c r="D328" s="88" t="s">
        <v>1396</v>
      </c>
      <c r="E328" s="84" t="s">
        <v>3683</v>
      </c>
      <c r="F328" s="84" t="s">
        <v>1047</v>
      </c>
      <c r="G328" s="84" t="s">
        <v>3592</v>
      </c>
      <c r="H328" s="84" t="s">
        <v>3521</v>
      </c>
      <c r="I328" s="84" t="s">
        <v>3693</v>
      </c>
      <c r="J328" s="91"/>
      <c r="K328" s="84" t="s">
        <v>111</v>
      </c>
      <c r="L328" s="87">
        <v>816.0</v>
      </c>
      <c r="M328" s="87">
        <v>0.0</v>
      </c>
      <c r="N328" s="87">
        <v>0.0</v>
      </c>
      <c r="O328" s="87">
        <v>0.0</v>
      </c>
      <c r="P328" s="87">
        <v>0.0</v>
      </c>
      <c r="Q328" s="87">
        <v>0.0</v>
      </c>
      <c r="T328" s="84" t="s">
        <v>912</v>
      </c>
      <c r="U328" s="87">
        <v>0.424242424</v>
      </c>
    </row>
    <row r="329">
      <c r="A329" s="84" t="s">
        <v>180</v>
      </c>
      <c r="B329" s="194" t="s">
        <v>4022</v>
      </c>
      <c r="C329" s="84" t="s">
        <v>194</v>
      </c>
      <c r="D329" s="88" t="s">
        <v>1396</v>
      </c>
      <c r="E329" s="84" t="s">
        <v>3683</v>
      </c>
      <c r="F329" s="84" t="s">
        <v>190</v>
      </c>
      <c r="G329" s="84" t="s">
        <v>3708</v>
      </c>
      <c r="I329" s="84" t="s">
        <v>3709</v>
      </c>
      <c r="J329" s="85"/>
      <c r="K329" s="85"/>
      <c r="L329" s="87">
        <v>552.0</v>
      </c>
      <c r="M329" s="87">
        <v>0.0</v>
      </c>
      <c r="N329" s="87">
        <v>0.0</v>
      </c>
      <c r="O329" s="87">
        <v>0.0</v>
      </c>
      <c r="P329" s="87">
        <v>0.0</v>
      </c>
      <c r="Q329" s="87">
        <v>0.0</v>
      </c>
      <c r="T329" s="84" t="s">
        <v>294</v>
      </c>
      <c r="U329" s="87">
        <v>0.348484848</v>
      </c>
    </row>
    <row r="330">
      <c r="A330" s="84" t="s">
        <v>472</v>
      </c>
      <c r="B330" s="194" t="s">
        <v>3828</v>
      </c>
      <c r="C330" s="84" t="s">
        <v>1038</v>
      </c>
      <c r="D330" s="88" t="s">
        <v>1396</v>
      </c>
      <c r="E330" s="84" t="s">
        <v>3683</v>
      </c>
      <c r="F330" s="84" t="s">
        <v>1035</v>
      </c>
      <c r="G330" s="84" t="s">
        <v>3588</v>
      </c>
      <c r="H330" s="84" t="s">
        <v>3521</v>
      </c>
      <c r="I330" s="84" t="s">
        <v>3684</v>
      </c>
      <c r="J330" s="91"/>
      <c r="K330" s="84" t="s">
        <v>111</v>
      </c>
      <c r="L330" s="87">
        <v>96.0</v>
      </c>
      <c r="M330" s="87">
        <v>0.0</v>
      </c>
      <c r="N330" s="87">
        <v>0.0</v>
      </c>
      <c r="O330" s="87">
        <v>0.0</v>
      </c>
      <c r="P330" s="87">
        <v>0.0</v>
      </c>
      <c r="Q330" s="87">
        <v>0.0</v>
      </c>
      <c r="T330" s="84" t="s">
        <v>297</v>
      </c>
      <c r="U330" s="87">
        <v>4.708189033</v>
      </c>
    </row>
    <row r="331">
      <c r="A331" s="84" t="s">
        <v>444</v>
      </c>
      <c r="B331" s="194" t="s">
        <v>3900</v>
      </c>
      <c r="C331" s="84" t="s">
        <v>943</v>
      </c>
      <c r="D331" s="88" t="s">
        <v>1396</v>
      </c>
      <c r="E331" s="84" t="s">
        <v>3683</v>
      </c>
      <c r="F331" s="84" t="s">
        <v>448</v>
      </c>
      <c r="G331" s="84" t="s">
        <v>3577</v>
      </c>
      <c r="I331" s="84" t="s">
        <v>3684</v>
      </c>
      <c r="J331" s="85"/>
      <c r="K331" s="85"/>
      <c r="L331" s="87">
        <v>552.0</v>
      </c>
      <c r="M331" s="87">
        <v>0.0</v>
      </c>
      <c r="N331" s="87">
        <v>0.0</v>
      </c>
      <c r="O331" s="87">
        <v>0.0</v>
      </c>
      <c r="P331" s="87">
        <v>0.0</v>
      </c>
      <c r="Q331" s="87">
        <v>0.0</v>
      </c>
      <c r="T331" s="84" t="s">
        <v>677</v>
      </c>
      <c r="U331" s="87">
        <v>0.0</v>
      </c>
    </row>
    <row r="332">
      <c r="A332" s="84" t="s">
        <v>1122</v>
      </c>
      <c r="B332" s="194" t="s">
        <v>4023</v>
      </c>
      <c r="C332" s="84" t="s">
        <v>1125</v>
      </c>
      <c r="D332" s="88" t="s">
        <v>1396</v>
      </c>
      <c r="E332" s="84" t="s">
        <v>3683</v>
      </c>
      <c r="F332" s="91"/>
      <c r="G332" s="84" t="s">
        <v>3603</v>
      </c>
      <c r="I332" s="84" t="s">
        <v>3684</v>
      </c>
      <c r="J332" s="91"/>
      <c r="K332" s="91"/>
      <c r="L332" s="87">
        <v>552.0</v>
      </c>
      <c r="M332" s="87">
        <v>0.0</v>
      </c>
      <c r="N332" s="87">
        <v>0.0</v>
      </c>
      <c r="O332" s="87">
        <v>0.0</v>
      </c>
      <c r="P332" s="87">
        <v>0.0</v>
      </c>
      <c r="Q332" s="87">
        <v>0.0</v>
      </c>
      <c r="T332" s="84" t="s">
        <v>680</v>
      </c>
      <c r="U332" s="87">
        <v>0.25</v>
      </c>
    </row>
    <row r="333">
      <c r="A333" s="84" t="s">
        <v>644</v>
      </c>
      <c r="B333" s="194" t="s">
        <v>4024</v>
      </c>
      <c r="C333" s="84" t="s">
        <v>1207</v>
      </c>
      <c r="D333" s="88" t="s">
        <v>1396</v>
      </c>
      <c r="E333" s="84" t="s">
        <v>3683</v>
      </c>
      <c r="F333" s="84" t="s">
        <v>1208</v>
      </c>
      <c r="G333" s="84" t="s">
        <v>3606</v>
      </c>
      <c r="H333" s="84" t="s">
        <v>3521</v>
      </c>
      <c r="I333" s="84" t="s">
        <v>3684</v>
      </c>
      <c r="J333" s="91"/>
      <c r="K333" s="84" t="s">
        <v>111</v>
      </c>
      <c r="L333" s="87">
        <v>264.0</v>
      </c>
      <c r="M333" s="87">
        <v>0.0</v>
      </c>
      <c r="N333" s="87">
        <v>0.0</v>
      </c>
      <c r="O333" s="87">
        <v>0.0</v>
      </c>
      <c r="P333" s="87">
        <v>0.0</v>
      </c>
      <c r="Q333" s="87">
        <v>0.0</v>
      </c>
      <c r="T333" s="84" t="s">
        <v>679</v>
      </c>
      <c r="U333" s="87">
        <v>0.5</v>
      </c>
    </row>
    <row r="334">
      <c r="A334" s="84" t="s">
        <v>439</v>
      </c>
      <c r="B334" s="193" t="s">
        <v>4025</v>
      </c>
      <c r="C334" s="84" t="s">
        <v>1289</v>
      </c>
      <c r="D334" s="88" t="s">
        <v>1396</v>
      </c>
      <c r="E334" s="91"/>
      <c r="F334" s="84" t="s">
        <v>938</v>
      </c>
      <c r="G334" s="84" t="s">
        <v>3576</v>
      </c>
      <c r="H334" s="84" t="s">
        <v>3513</v>
      </c>
      <c r="I334" s="84" t="s">
        <v>3709</v>
      </c>
      <c r="J334" s="84" t="s">
        <v>130</v>
      </c>
      <c r="K334" s="91"/>
      <c r="L334" s="87">
        <v>552.0</v>
      </c>
      <c r="M334" s="87">
        <v>0.0</v>
      </c>
      <c r="N334" s="87">
        <v>0.0</v>
      </c>
      <c r="O334" s="87">
        <v>0.0</v>
      </c>
      <c r="P334" s="87">
        <v>0.0</v>
      </c>
      <c r="Q334" s="87">
        <v>0.0</v>
      </c>
      <c r="T334" s="84" t="s">
        <v>3651</v>
      </c>
      <c r="U334" s="87">
        <v>0.0</v>
      </c>
    </row>
    <row r="335">
      <c r="A335" s="84" t="s">
        <v>180</v>
      </c>
      <c r="B335" s="194" t="s">
        <v>4026</v>
      </c>
      <c r="C335" s="84" t="s">
        <v>831</v>
      </c>
      <c r="D335" s="88" t="s">
        <v>1396</v>
      </c>
      <c r="E335" s="84" t="s">
        <v>3683</v>
      </c>
      <c r="F335" s="84" t="s">
        <v>830</v>
      </c>
      <c r="G335" s="84" t="s">
        <v>3549</v>
      </c>
      <c r="H335" s="84" t="s">
        <v>3507</v>
      </c>
      <c r="I335" s="84" t="s">
        <v>3684</v>
      </c>
      <c r="J335" s="85"/>
      <c r="K335" s="84" t="s">
        <v>111</v>
      </c>
      <c r="L335" s="87">
        <v>456.0</v>
      </c>
      <c r="M335" s="87">
        <v>1.0</v>
      </c>
      <c r="N335" s="87">
        <v>1.798303</v>
      </c>
      <c r="O335" s="87">
        <v>0.208333</v>
      </c>
      <c r="P335" s="87">
        <v>1.559127</v>
      </c>
      <c r="Q335" s="87">
        <v>1.625684</v>
      </c>
      <c r="T335" s="84" t="s">
        <v>1318</v>
      </c>
      <c r="U335" s="87">
        <v>0.142857143</v>
      </c>
    </row>
    <row r="336">
      <c r="A336" s="84" t="s">
        <v>537</v>
      </c>
      <c r="B336" s="194" t="s">
        <v>3767</v>
      </c>
      <c r="C336" s="84" t="s">
        <v>1053</v>
      </c>
      <c r="D336" s="88" t="s">
        <v>1396</v>
      </c>
      <c r="E336" s="84" t="s">
        <v>3683</v>
      </c>
      <c r="F336" s="84" t="s">
        <v>1047</v>
      </c>
      <c r="G336" s="84" t="s">
        <v>3592</v>
      </c>
      <c r="H336" s="84" t="s">
        <v>3521</v>
      </c>
      <c r="I336" s="84" t="s">
        <v>3693</v>
      </c>
      <c r="J336" s="85"/>
      <c r="K336" s="85"/>
      <c r="L336" s="87">
        <v>48.0</v>
      </c>
      <c r="M336" s="87">
        <v>0.0</v>
      </c>
      <c r="N336" s="87">
        <v>0.432895</v>
      </c>
      <c r="O336" s="87">
        <v>0.467857</v>
      </c>
      <c r="P336" s="87">
        <v>0.636518</v>
      </c>
      <c r="Q336" s="87">
        <v>0.384091</v>
      </c>
      <c r="T336" s="84" t="s">
        <v>863</v>
      </c>
      <c r="U336" s="87">
        <v>0.0</v>
      </c>
    </row>
    <row r="337">
      <c r="A337" s="84" t="s">
        <v>1130</v>
      </c>
      <c r="B337" s="194" t="s">
        <v>4027</v>
      </c>
      <c r="C337" s="84" t="s">
        <v>1145</v>
      </c>
      <c r="D337" s="88" t="s">
        <v>1396</v>
      </c>
      <c r="E337" s="84" t="s">
        <v>3683</v>
      </c>
      <c r="F337" s="84" t="s">
        <v>1142</v>
      </c>
      <c r="G337" s="84" t="s">
        <v>3605</v>
      </c>
      <c r="H337" s="84" t="s">
        <v>3521</v>
      </c>
      <c r="I337" s="84" t="s">
        <v>3684</v>
      </c>
      <c r="J337" s="84" t="s">
        <v>130</v>
      </c>
      <c r="K337" s="91"/>
      <c r="L337" s="87">
        <v>360.0</v>
      </c>
      <c r="M337" s="87">
        <v>0.0</v>
      </c>
      <c r="N337" s="87">
        <v>5.354762</v>
      </c>
      <c r="O337" s="87">
        <v>0.0</v>
      </c>
      <c r="P337" s="87">
        <v>0.0</v>
      </c>
      <c r="Q337" s="87">
        <v>5.496098</v>
      </c>
      <c r="T337" s="84" t="s">
        <v>855</v>
      </c>
      <c r="U337" s="87">
        <v>18.37936508</v>
      </c>
    </row>
    <row r="338">
      <c r="A338" s="84" t="s">
        <v>180</v>
      </c>
      <c r="B338" s="194" t="s">
        <v>3707</v>
      </c>
      <c r="C338" s="84" t="s">
        <v>196</v>
      </c>
      <c r="D338" s="88" t="s">
        <v>1396</v>
      </c>
      <c r="E338" s="84" t="s">
        <v>3683</v>
      </c>
      <c r="F338" s="84" t="s">
        <v>190</v>
      </c>
      <c r="G338" s="84" t="s">
        <v>3708</v>
      </c>
      <c r="H338" s="84" t="s">
        <v>3521</v>
      </c>
      <c r="I338" s="84" t="s">
        <v>3709</v>
      </c>
      <c r="J338" s="91"/>
      <c r="K338" s="84" t="s">
        <v>111</v>
      </c>
      <c r="L338" s="87">
        <v>192.0</v>
      </c>
      <c r="M338" s="87">
        <v>0.0</v>
      </c>
      <c r="N338" s="87">
        <v>0.4</v>
      </c>
      <c r="O338" s="87">
        <v>0.0</v>
      </c>
      <c r="P338" s="87">
        <v>0.0</v>
      </c>
      <c r="Q338" s="87">
        <v>0.4</v>
      </c>
      <c r="T338" s="84" t="s">
        <v>1021</v>
      </c>
      <c r="U338" s="87">
        <v>1.333333333</v>
      </c>
    </row>
    <row r="339">
      <c r="A339" s="84" t="s">
        <v>630</v>
      </c>
      <c r="B339" s="194" t="s">
        <v>4028</v>
      </c>
      <c r="C339" s="84" t="s">
        <v>1087</v>
      </c>
      <c r="D339" s="88" t="s">
        <v>1396</v>
      </c>
      <c r="E339" s="84" t="s">
        <v>3683</v>
      </c>
      <c r="F339" s="84" t="s">
        <v>1088</v>
      </c>
      <c r="G339" s="84" t="s">
        <v>3600</v>
      </c>
      <c r="H339" s="84" t="s">
        <v>3521</v>
      </c>
      <c r="I339" s="84" t="s">
        <v>3684</v>
      </c>
      <c r="J339" s="84" t="s">
        <v>130</v>
      </c>
      <c r="K339" s="91"/>
      <c r="L339" s="87">
        <v>480.0</v>
      </c>
      <c r="M339" s="87">
        <v>1.0</v>
      </c>
      <c r="N339" s="87">
        <v>1.93043</v>
      </c>
      <c r="O339" s="87">
        <v>0.779004</v>
      </c>
      <c r="P339" s="87">
        <v>1.821889</v>
      </c>
      <c r="Q339" s="87">
        <v>1.612983</v>
      </c>
      <c r="T339" s="84" t="s">
        <v>1019</v>
      </c>
      <c r="U339" s="87">
        <v>1.0</v>
      </c>
    </row>
    <row r="340">
      <c r="A340" s="84" t="s">
        <v>180</v>
      </c>
      <c r="B340" s="194" t="s">
        <v>4029</v>
      </c>
      <c r="C340" s="84" t="s">
        <v>821</v>
      </c>
      <c r="D340" s="88" t="s">
        <v>1396</v>
      </c>
      <c r="E340" s="84" t="s">
        <v>3683</v>
      </c>
      <c r="F340" s="84" t="s">
        <v>814</v>
      </c>
      <c r="G340" s="84" t="s">
        <v>3533</v>
      </c>
      <c r="I340" s="84" t="s">
        <v>3684</v>
      </c>
      <c r="J340" s="91"/>
      <c r="K340" s="91"/>
      <c r="L340" s="87">
        <v>96.0</v>
      </c>
      <c r="M340" s="87">
        <v>0.0</v>
      </c>
      <c r="N340" s="87">
        <v>0.090909</v>
      </c>
      <c r="O340" s="87">
        <v>0.090909</v>
      </c>
      <c r="P340" s="87">
        <v>0.074074</v>
      </c>
      <c r="Q340" s="87">
        <v>0.043478</v>
      </c>
      <c r="T340" s="84" t="s">
        <v>1023</v>
      </c>
      <c r="U340" s="87">
        <v>0.0</v>
      </c>
    </row>
    <row r="341">
      <c r="A341" s="84" t="s">
        <v>745</v>
      </c>
      <c r="B341" s="194" t="s">
        <v>3997</v>
      </c>
      <c r="C341" s="84" t="s">
        <v>757</v>
      </c>
      <c r="D341" s="88" t="s">
        <v>1396</v>
      </c>
      <c r="E341" s="84" t="s">
        <v>3683</v>
      </c>
      <c r="F341" s="91"/>
      <c r="G341" s="84" t="s">
        <v>3604</v>
      </c>
      <c r="H341" s="84" t="s">
        <v>3521</v>
      </c>
      <c r="I341" s="84" t="s">
        <v>3684</v>
      </c>
      <c r="J341" s="85"/>
      <c r="K341" s="85"/>
      <c r="L341" s="87">
        <v>432.0</v>
      </c>
      <c r="M341" s="87">
        <v>0.0</v>
      </c>
      <c r="N341" s="87">
        <v>0.0</v>
      </c>
      <c r="O341" s="87">
        <v>0.0</v>
      </c>
      <c r="P341" s="87">
        <v>0.0</v>
      </c>
      <c r="Q341" s="87">
        <v>0.0</v>
      </c>
      <c r="T341" s="84" t="s">
        <v>1025</v>
      </c>
      <c r="U341" s="87">
        <v>0.5</v>
      </c>
    </row>
    <row r="342">
      <c r="A342" s="84" t="s">
        <v>213</v>
      </c>
      <c r="B342" s="194" t="s">
        <v>3969</v>
      </c>
      <c r="C342" s="84" t="s">
        <v>865</v>
      </c>
      <c r="D342" s="88" t="s">
        <v>1396</v>
      </c>
      <c r="E342" s="84" t="s">
        <v>3683</v>
      </c>
      <c r="F342" s="84" t="s">
        <v>866</v>
      </c>
      <c r="G342" s="84" t="s">
        <v>3552</v>
      </c>
      <c r="H342" s="84" t="s">
        <v>3521</v>
      </c>
      <c r="I342" s="84" t="s">
        <v>3684</v>
      </c>
      <c r="J342" s="84" t="s">
        <v>130</v>
      </c>
      <c r="K342" s="91"/>
      <c r="L342" s="87">
        <v>24.0</v>
      </c>
      <c r="M342" s="87">
        <v>0.0</v>
      </c>
      <c r="N342" s="87">
        <v>0.0</v>
      </c>
      <c r="O342" s="87">
        <v>0.071429</v>
      </c>
      <c r="P342" s="87">
        <v>0.033333</v>
      </c>
      <c r="Q342" s="87">
        <v>0.018182</v>
      </c>
      <c r="T342" s="84" t="s">
        <v>1024</v>
      </c>
      <c r="U342" s="87">
        <v>0.0</v>
      </c>
    </row>
    <row r="343">
      <c r="A343" s="84" t="s">
        <v>644</v>
      </c>
      <c r="B343" s="194" t="s">
        <v>4030</v>
      </c>
      <c r="C343" s="84" t="s">
        <v>648</v>
      </c>
      <c r="D343" s="88" t="s">
        <v>1396</v>
      </c>
      <c r="E343" s="84" t="s">
        <v>3683</v>
      </c>
      <c r="F343" s="84" t="s">
        <v>643</v>
      </c>
      <c r="G343" s="84" t="s">
        <v>3734</v>
      </c>
      <c r="I343" s="84" t="s">
        <v>3684</v>
      </c>
      <c r="J343" s="91"/>
      <c r="K343" s="91"/>
      <c r="L343" s="87">
        <v>120.0</v>
      </c>
      <c r="M343" s="87">
        <v>0.0</v>
      </c>
      <c r="N343" s="87">
        <v>0.0</v>
      </c>
      <c r="O343" s="87">
        <v>0.0</v>
      </c>
      <c r="P343" s="87">
        <v>0.0</v>
      </c>
      <c r="Q343" s="87">
        <v>0.0</v>
      </c>
      <c r="T343" s="84" t="s">
        <v>1026</v>
      </c>
      <c r="U343" s="87">
        <v>1.0</v>
      </c>
    </row>
    <row r="344">
      <c r="A344" s="84" t="s">
        <v>481</v>
      </c>
      <c r="B344" s="194" t="s">
        <v>4031</v>
      </c>
      <c r="C344" s="84" t="s">
        <v>994</v>
      </c>
      <c r="D344" s="88" t="s">
        <v>1396</v>
      </c>
      <c r="E344" s="84" t="s">
        <v>3683</v>
      </c>
      <c r="F344" s="84" t="s">
        <v>989</v>
      </c>
      <c r="G344" s="84" t="s">
        <v>3585</v>
      </c>
      <c r="H344" s="84" t="s">
        <v>3521</v>
      </c>
      <c r="I344" s="84" t="s">
        <v>3684</v>
      </c>
      <c r="J344" s="84" t="s">
        <v>130</v>
      </c>
      <c r="K344" s="85"/>
      <c r="L344" s="87">
        <v>24.0</v>
      </c>
      <c r="M344" s="87">
        <v>0.0</v>
      </c>
      <c r="N344" s="87">
        <v>0.0</v>
      </c>
      <c r="O344" s="87">
        <v>0.071429</v>
      </c>
      <c r="P344" s="87">
        <v>0.033333</v>
      </c>
      <c r="Q344" s="87">
        <v>0.084756</v>
      </c>
      <c r="T344" s="84" t="s">
        <v>1022</v>
      </c>
      <c r="U344" s="87">
        <v>0.0</v>
      </c>
    </row>
    <row r="345">
      <c r="A345" s="84" t="s">
        <v>180</v>
      </c>
      <c r="B345" s="194" t="s">
        <v>4032</v>
      </c>
      <c r="C345" s="84" t="s">
        <v>178</v>
      </c>
      <c r="D345" s="88" t="s">
        <v>1396</v>
      </c>
      <c r="E345" s="84" t="s">
        <v>3683</v>
      </c>
      <c r="F345" s="84" t="s">
        <v>179</v>
      </c>
      <c r="G345" s="84" t="s">
        <v>4033</v>
      </c>
      <c r="H345" s="84" t="s">
        <v>3521</v>
      </c>
      <c r="I345" s="84" t="s">
        <v>3684</v>
      </c>
      <c r="J345" s="84" t="s">
        <v>130</v>
      </c>
      <c r="K345" s="84" t="s">
        <v>111</v>
      </c>
      <c r="L345" s="87">
        <v>24.0</v>
      </c>
      <c r="M345" s="87">
        <v>0.0</v>
      </c>
      <c r="N345" s="87">
        <v>0.0</v>
      </c>
      <c r="O345" s="87">
        <v>0.0</v>
      </c>
      <c r="P345" s="87">
        <v>0.0</v>
      </c>
      <c r="Q345" s="87">
        <v>0.0</v>
      </c>
      <c r="T345" s="84" t="s">
        <v>942</v>
      </c>
      <c r="U345" s="87">
        <v>0.0</v>
      </c>
    </row>
    <row r="346">
      <c r="A346" s="84" t="s">
        <v>644</v>
      </c>
      <c r="B346" s="194" t="s">
        <v>4034</v>
      </c>
      <c r="C346" s="84" t="s">
        <v>715</v>
      </c>
      <c r="D346" s="88" t="s">
        <v>1396</v>
      </c>
      <c r="E346" s="84" t="s">
        <v>3683</v>
      </c>
      <c r="F346" s="84" t="s">
        <v>716</v>
      </c>
      <c r="G346" s="84" t="s">
        <v>3607</v>
      </c>
      <c r="H346" s="84" t="s">
        <v>3521</v>
      </c>
      <c r="I346" s="84" t="s">
        <v>3684</v>
      </c>
      <c r="J346" s="84" t="s">
        <v>130</v>
      </c>
      <c r="K346" s="91"/>
      <c r="L346" s="87">
        <v>24.0</v>
      </c>
      <c r="M346" s="87">
        <v>0.0</v>
      </c>
      <c r="N346" s="87">
        <v>0.0</v>
      </c>
      <c r="O346" s="87">
        <v>0.0</v>
      </c>
      <c r="P346" s="87">
        <v>0.0</v>
      </c>
      <c r="Q346" s="87">
        <v>0.0</v>
      </c>
      <c r="T346" s="84" t="s">
        <v>451</v>
      </c>
      <c r="U346" s="87">
        <v>1.113564214</v>
      </c>
    </row>
    <row r="347">
      <c r="A347" s="84" t="s">
        <v>481</v>
      </c>
      <c r="B347" s="194" t="s">
        <v>4010</v>
      </c>
      <c r="C347" s="84" t="s">
        <v>999</v>
      </c>
      <c r="D347" s="88" t="s">
        <v>1396</v>
      </c>
      <c r="E347" s="84" t="s">
        <v>3683</v>
      </c>
      <c r="F347" s="84" t="s">
        <v>989</v>
      </c>
      <c r="G347" s="84" t="s">
        <v>3585</v>
      </c>
      <c r="H347" s="84" t="s">
        <v>3521</v>
      </c>
      <c r="I347" s="84" t="s">
        <v>3684</v>
      </c>
      <c r="J347" s="84" t="s">
        <v>130</v>
      </c>
      <c r="K347" s="91"/>
      <c r="L347" s="87">
        <v>24.0</v>
      </c>
      <c r="M347" s="87">
        <v>0.0</v>
      </c>
      <c r="N347" s="87">
        <v>0.348485</v>
      </c>
      <c r="O347" s="87">
        <v>0.419913</v>
      </c>
      <c r="P347" s="87">
        <v>0.391005</v>
      </c>
      <c r="Q347" s="87">
        <v>0.467265</v>
      </c>
      <c r="T347" s="84" t="s">
        <v>447</v>
      </c>
      <c r="U347" s="87">
        <v>0.333333333</v>
      </c>
    </row>
    <row r="348">
      <c r="A348" s="84" t="s">
        <v>393</v>
      </c>
      <c r="B348" s="194" t="s">
        <v>4035</v>
      </c>
      <c r="C348" s="84" t="s">
        <v>427</v>
      </c>
      <c r="D348" s="88" t="s">
        <v>1396</v>
      </c>
      <c r="E348" s="84" t="s">
        <v>3687</v>
      </c>
      <c r="F348" s="84" t="s">
        <v>428</v>
      </c>
      <c r="G348" s="84" t="s">
        <v>3568</v>
      </c>
      <c r="I348" s="84" t="s">
        <v>3693</v>
      </c>
      <c r="J348" s="84" t="s">
        <v>130</v>
      </c>
      <c r="K348" s="85"/>
      <c r="L348" s="87">
        <v>0.0</v>
      </c>
      <c r="M348" s="87">
        <v>0.0</v>
      </c>
      <c r="N348" s="87">
        <v>0.0</v>
      </c>
      <c r="O348" s="87">
        <v>0.0</v>
      </c>
      <c r="P348" s="87">
        <v>0.0</v>
      </c>
      <c r="Q348" s="87">
        <v>0.0</v>
      </c>
      <c r="T348" s="84" t="s">
        <v>449</v>
      </c>
      <c r="U348" s="87">
        <v>0.5</v>
      </c>
    </row>
    <row r="349">
      <c r="A349" s="84" t="s">
        <v>180</v>
      </c>
      <c r="B349" s="194" t="s">
        <v>4036</v>
      </c>
      <c r="C349" s="84" t="s">
        <v>847</v>
      </c>
      <c r="D349" s="88" t="s">
        <v>1396</v>
      </c>
      <c r="E349" s="84" t="s">
        <v>3683</v>
      </c>
      <c r="F349" s="84" t="s">
        <v>843</v>
      </c>
      <c r="G349" s="84" t="s">
        <v>3599</v>
      </c>
      <c r="H349" s="84" t="s">
        <v>3507</v>
      </c>
      <c r="I349" s="84" t="s">
        <v>3684</v>
      </c>
      <c r="J349" s="84" t="s">
        <v>130</v>
      </c>
      <c r="K349" s="84" t="s">
        <v>111</v>
      </c>
      <c r="L349" s="87">
        <v>24.0</v>
      </c>
      <c r="M349" s="87">
        <v>0.0</v>
      </c>
      <c r="N349" s="87">
        <v>0.0</v>
      </c>
      <c r="O349" s="87">
        <v>0.0</v>
      </c>
      <c r="P349" s="87">
        <v>0.0</v>
      </c>
      <c r="Q349" s="87">
        <v>0.0</v>
      </c>
      <c r="T349" s="84" t="s">
        <v>943</v>
      </c>
      <c r="U349" s="87">
        <v>0.0</v>
      </c>
    </row>
    <row r="350">
      <c r="A350" s="84" t="s">
        <v>644</v>
      </c>
      <c r="B350" s="194" t="s">
        <v>4037</v>
      </c>
      <c r="C350" s="84" t="s">
        <v>665</v>
      </c>
      <c r="D350" s="88" t="s">
        <v>1396</v>
      </c>
      <c r="E350" s="84" t="s">
        <v>3683</v>
      </c>
      <c r="F350" s="84" t="s">
        <v>658</v>
      </c>
      <c r="G350" s="84" t="s">
        <v>3801</v>
      </c>
      <c r="I350" s="84" t="s">
        <v>3684</v>
      </c>
      <c r="J350" s="85"/>
      <c r="K350" s="85"/>
      <c r="L350" s="87">
        <v>552.0</v>
      </c>
      <c r="M350" s="87">
        <v>0.0</v>
      </c>
      <c r="N350" s="87">
        <v>0.0</v>
      </c>
      <c r="O350" s="87">
        <v>0.0</v>
      </c>
      <c r="P350" s="87">
        <v>0.0</v>
      </c>
      <c r="Q350" s="87">
        <v>0.0</v>
      </c>
      <c r="T350" s="84" t="s">
        <v>450</v>
      </c>
      <c r="U350" s="87">
        <v>0.0</v>
      </c>
    </row>
    <row r="351">
      <c r="A351" s="84" t="s">
        <v>745</v>
      </c>
      <c r="B351" s="194" t="s">
        <v>4038</v>
      </c>
      <c r="C351" s="84" t="s">
        <v>752</v>
      </c>
      <c r="D351" s="88" t="s">
        <v>1396</v>
      </c>
      <c r="E351" s="84" t="s">
        <v>3687</v>
      </c>
      <c r="F351" s="84" t="s">
        <v>753</v>
      </c>
      <c r="G351" s="84" t="s">
        <v>4039</v>
      </c>
      <c r="H351" s="84" t="s">
        <v>3521</v>
      </c>
      <c r="I351" s="84" t="s">
        <v>3684</v>
      </c>
      <c r="J351" s="91"/>
      <c r="K351" s="91"/>
      <c r="L351" s="87">
        <v>640.0</v>
      </c>
      <c r="M351" s="87">
        <v>0.0</v>
      </c>
      <c r="N351" s="87">
        <v>3.063698</v>
      </c>
      <c r="O351" s="87">
        <v>0.0</v>
      </c>
      <c r="P351" s="87">
        <v>1.533333</v>
      </c>
      <c r="Q351" s="87">
        <v>3.622572</v>
      </c>
      <c r="T351" s="84" t="s">
        <v>751</v>
      </c>
      <c r="U351" s="87">
        <v>1.662937063</v>
      </c>
    </row>
    <row r="352">
      <c r="A352" s="84" t="s">
        <v>439</v>
      </c>
      <c r="B352" s="194" t="s">
        <v>4040</v>
      </c>
      <c r="C352" s="84" t="s">
        <v>1336</v>
      </c>
      <c r="D352" s="88" t="s">
        <v>1396</v>
      </c>
      <c r="E352" s="84" t="s">
        <v>3687</v>
      </c>
      <c r="F352" s="84" t="s">
        <v>4041</v>
      </c>
      <c r="G352" s="84" t="s">
        <v>3575</v>
      </c>
      <c r="I352" s="84" t="s">
        <v>3684</v>
      </c>
      <c r="J352" s="84" t="s">
        <v>130</v>
      </c>
      <c r="K352" s="85"/>
      <c r="L352" s="87">
        <v>504.0</v>
      </c>
      <c r="M352" s="87">
        <v>0.0</v>
      </c>
      <c r="N352" s="87">
        <v>46.8632</v>
      </c>
      <c r="O352" s="87">
        <v>0.0</v>
      </c>
      <c r="P352" s="87">
        <v>0.0</v>
      </c>
      <c r="Q352" s="87">
        <v>46.8632</v>
      </c>
      <c r="T352" s="84" t="s">
        <v>656</v>
      </c>
      <c r="U352" s="87">
        <v>0.713636364</v>
      </c>
    </row>
    <row r="353">
      <c r="A353" s="84" t="s">
        <v>644</v>
      </c>
      <c r="B353" s="194" t="s">
        <v>4042</v>
      </c>
      <c r="C353" s="84" t="s">
        <v>693</v>
      </c>
      <c r="D353" s="88" t="s">
        <v>1396</v>
      </c>
      <c r="E353" s="84" t="s">
        <v>3683</v>
      </c>
      <c r="F353" s="84" t="s">
        <v>686</v>
      </c>
      <c r="G353" s="84" t="s">
        <v>3607</v>
      </c>
      <c r="I353" s="84" t="s">
        <v>3684</v>
      </c>
      <c r="J353" s="85"/>
      <c r="K353" s="85"/>
      <c r="L353" s="87">
        <v>552.0</v>
      </c>
      <c r="M353" s="87">
        <v>0.0</v>
      </c>
      <c r="N353" s="87">
        <v>0.0</v>
      </c>
      <c r="O353" s="87">
        <v>0.0</v>
      </c>
      <c r="P353" s="87">
        <v>0.0</v>
      </c>
      <c r="Q353" s="87">
        <v>0.0</v>
      </c>
      <c r="T353" s="84" t="s">
        <v>650</v>
      </c>
      <c r="U353" s="87">
        <v>1.859271284</v>
      </c>
    </row>
    <row r="354">
      <c r="A354" s="84" t="s">
        <v>644</v>
      </c>
      <c r="B354" s="194" t="s">
        <v>4043</v>
      </c>
      <c r="C354" s="84" t="s">
        <v>1259</v>
      </c>
      <c r="D354" s="88" t="s">
        <v>1396</v>
      </c>
      <c r="E354" s="91"/>
      <c r="F354" s="84" t="s">
        <v>1260</v>
      </c>
      <c r="G354" s="84" t="s">
        <v>3608</v>
      </c>
      <c r="I354" s="84" t="s">
        <v>3684</v>
      </c>
      <c r="J354" s="91"/>
      <c r="K354" s="91"/>
      <c r="L354" s="87">
        <v>456.0</v>
      </c>
      <c r="M354" s="87">
        <v>0.0</v>
      </c>
      <c r="N354" s="87">
        <v>0.0</v>
      </c>
      <c r="O354" s="87">
        <v>0.0</v>
      </c>
      <c r="P354" s="87">
        <v>0.0</v>
      </c>
      <c r="Q354" s="87">
        <v>0.0</v>
      </c>
      <c r="T354" s="84" t="s">
        <v>654</v>
      </c>
      <c r="U354" s="87">
        <v>0.824242424</v>
      </c>
    </row>
    <row r="355">
      <c r="A355" s="84" t="s">
        <v>363</v>
      </c>
      <c r="B355" s="194" t="s">
        <v>4044</v>
      </c>
      <c r="C355" s="84" t="s">
        <v>387</v>
      </c>
      <c r="D355" s="88" t="s">
        <v>1396</v>
      </c>
      <c r="E355" s="84" t="s">
        <v>3683</v>
      </c>
      <c r="F355" s="84" t="s">
        <v>382</v>
      </c>
      <c r="G355" s="84" t="s">
        <v>3991</v>
      </c>
      <c r="H355" s="84" t="s">
        <v>3527</v>
      </c>
      <c r="I355" s="84" t="s">
        <v>3709</v>
      </c>
      <c r="J355" s="85"/>
      <c r="K355" s="91"/>
      <c r="L355" s="87">
        <v>226.0</v>
      </c>
      <c r="M355" s="87">
        <v>4.0</v>
      </c>
      <c r="N355" s="87">
        <v>1.780963</v>
      </c>
      <c r="O355" s="87">
        <v>5.151582</v>
      </c>
      <c r="P355" s="87">
        <v>4.173818</v>
      </c>
      <c r="Q355" s="87">
        <v>3.547544</v>
      </c>
      <c r="T355" s="84" t="s">
        <v>655</v>
      </c>
      <c r="U355" s="87">
        <v>0.0</v>
      </c>
    </row>
    <row r="356">
      <c r="A356" s="84" t="s">
        <v>630</v>
      </c>
      <c r="B356" s="194" t="s">
        <v>4045</v>
      </c>
      <c r="C356" s="84" t="s">
        <v>635</v>
      </c>
      <c r="D356" s="88" t="s">
        <v>1396</v>
      </c>
      <c r="E356" s="84" t="s">
        <v>3683</v>
      </c>
      <c r="F356" s="84" t="s">
        <v>629</v>
      </c>
      <c r="G356" s="84" t="s">
        <v>3766</v>
      </c>
      <c r="I356" s="84" t="s">
        <v>3684</v>
      </c>
      <c r="J356" s="91"/>
      <c r="K356" s="91"/>
      <c r="L356" s="87">
        <v>552.0</v>
      </c>
      <c r="M356" s="87">
        <v>0.0</v>
      </c>
      <c r="N356" s="87">
        <v>0.0</v>
      </c>
      <c r="O356" s="87">
        <v>0.0</v>
      </c>
      <c r="P356" s="87">
        <v>0.0</v>
      </c>
      <c r="Q356" s="87">
        <v>0.0</v>
      </c>
      <c r="T356" s="84" t="s">
        <v>594</v>
      </c>
      <c r="U356" s="87">
        <v>0.0</v>
      </c>
    </row>
    <row r="357">
      <c r="A357" s="84" t="s">
        <v>616</v>
      </c>
      <c r="B357" s="194" t="s">
        <v>3866</v>
      </c>
      <c r="C357" s="84" t="s">
        <v>1074</v>
      </c>
      <c r="D357" s="88" t="s">
        <v>1396</v>
      </c>
      <c r="E357" s="84" t="s">
        <v>3683</v>
      </c>
      <c r="F357" s="84" t="s">
        <v>1075</v>
      </c>
      <c r="G357" s="84" t="s">
        <v>3542</v>
      </c>
      <c r="H357" s="84" t="s">
        <v>3521</v>
      </c>
      <c r="I357" s="84" t="s">
        <v>3684</v>
      </c>
      <c r="J357" s="91"/>
      <c r="K357" s="84" t="s">
        <v>111</v>
      </c>
      <c r="L357" s="87">
        <v>504.0</v>
      </c>
      <c r="M357" s="87">
        <v>0.0</v>
      </c>
      <c r="N357" s="87">
        <v>0.142857</v>
      </c>
      <c r="O357" s="87">
        <v>0.0</v>
      </c>
      <c r="P357" s="87">
        <v>0.142857</v>
      </c>
      <c r="Q357" s="87">
        <v>0.142857</v>
      </c>
      <c r="T357" s="84" t="s">
        <v>596</v>
      </c>
      <c r="U357" s="87">
        <v>0.0</v>
      </c>
    </row>
    <row r="358">
      <c r="A358" s="84" t="s">
        <v>644</v>
      </c>
      <c r="B358" s="194" t="s">
        <v>3871</v>
      </c>
      <c r="C358" s="84" t="s">
        <v>667</v>
      </c>
      <c r="D358" s="88" t="s">
        <v>1396</v>
      </c>
      <c r="E358" s="84" t="s">
        <v>3683</v>
      </c>
      <c r="F358" s="84" t="s">
        <v>658</v>
      </c>
      <c r="G358" s="84" t="s">
        <v>3801</v>
      </c>
      <c r="H358" s="84" t="s">
        <v>3521</v>
      </c>
      <c r="I358" s="84" t="s">
        <v>3684</v>
      </c>
      <c r="J358" s="85"/>
      <c r="K358" s="84" t="s">
        <v>111</v>
      </c>
      <c r="L358" s="87">
        <v>720.0</v>
      </c>
      <c r="M358" s="87">
        <v>0.0</v>
      </c>
      <c r="N358" s="87">
        <v>0.0</v>
      </c>
      <c r="O358" s="87">
        <v>0.0</v>
      </c>
      <c r="P358" s="87">
        <v>0.0</v>
      </c>
      <c r="Q358" s="87">
        <v>0.019231</v>
      </c>
      <c r="T358" s="84" t="s">
        <v>4046</v>
      </c>
      <c r="U358" s="87">
        <v>0.0</v>
      </c>
    </row>
    <row r="359">
      <c r="A359" s="84" t="s">
        <v>1130</v>
      </c>
      <c r="B359" s="194" t="s">
        <v>4047</v>
      </c>
      <c r="C359" s="84" t="s">
        <v>1146</v>
      </c>
      <c r="D359" s="88" t="s">
        <v>1396</v>
      </c>
      <c r="E359" s="84" t="s">
        <v>3683</v>
      </c>
      <c r="F359" s="84" t="s">
        <v>1142</v>
      </c>
      <c r="G359" s="84" t="s">
        <v>3605</v>
      </c>
      <c r="H359" s="84" t="s">
        <v>3521</v>
      </c>
      <c r="I359" s="84" t="s">
        <v>3684</v>
      </c>
      <c r="J359" s="84" t="s">
        <v>130</v>
      </c>
      <c r="K359" s="84" t="s">
        <v>111</v>
      </c>
      <c r="L359" s="87">
        <v>336.0</v>
      </c>
      <c r="M359" s="87">
        <v>0.0</v>
      </c>
      <c r="N359" s="87">
        <v>4.357143</v>
      </c>
      <c r="O359" s="87">
        <v>0.0</v>
      </c>
      <c r="P359" s="87">
        <v>0.0</v>
      </c>
      <c r="Q359" s="87">
        <v>4.357143</v>
      </c>
      <c r="T359" s="84" t="s">
        <v>961</v>
      </c>
      <c r="U359" s="87">
        <v>0.767857143</v>
      </c>
    </row>
    <row r="360">
      <c r="A360" s="84" t="s">
        <v>573</v>
      </c>
      <c r="B360" s="194" t="s">
        <v>4048</v>
      </c>
      <c r="C360" s="84" t="s">
        <v>576</v>
      </c>
      <c r="D360" s="88" t="s">
        <v>1396</v>
      </c>
      <c r="E360" s="84" t="s">
        <v>3683</v>
      </c>
      <c r="F360" s="84" t="s">
        <v>577</v>
      </c>
      <c r="G360" s="84" t="s">
        <v>4049</v>
      </c>
      <c r="H360" s="84" t="s">
        <v>3521</v>
      </c>
      <c r="I360" s="84" t="s">
        <v>3962</v>
      </c>
      <c r="J360" s="84" t="s">
        <v>89</v>
      </c>
      <c r="K360" s="85"/>
      <c r="L360" s="87">
        <v>96.0</v>
      </c>
      <c r="M360" s="87">
        <v>0.0</v>
      </c>
      <c r="N360" s="87">
        <v>0.0</v>
      </c>
      <c r="O360" s="87">
        <v>0.0</v>
      </c>
      <c r="P360" s="87">
        <v>0.0</v>
      </c>
      <c r="Q360" s="87">
        <v>0.0</v>
      </c>
      <c r="T360" s="84" t="s">
        <v>442</v>
      </c>
      <c r="U360" s="87">
        <v>0.0</v>
      </c>
    </row>
    <row r="361">
      <c r="A361" s="84" t="s">
        <v>444</v>
      </c>
      <c r="B361" s="194" t="s">
        <v>4050</v>
      </c>
      <c r="C361" s="84" t="s">
        <v>951</v>
      </c>
      <c r="D361" s="88" t="s">
        <v>1396</v>
      </c>
      <c r="E361" s="84" t="s">
        <v>3683</v>
      </c>
      <c r="F361" s="84" t="s">
        <v>948</v>
      </c>
      <c r="G361" s="84" t="s">
        <v>3578</v>
      </c>
      <c r="H361" s="84" t="s">
        <v>3521</v>
      </c>
      <c r="I361" s="84" t="s">
        <v>3684</v>
      </c>
      <c r="J361" s="91"/>
      <c r="K361" s="84" t="s">
        <v>111</v>
      </c>
      <c r="L361" s="87">
        <v>288.0</v>
      </c>
      <c r="M361" s="87">
        <v>0.0</v>
      </c>
      <c r="N361" s="87">
        <v>0.0</v>
      </c>
      <c r="O361" s="87">
        <v>0.0</v>
      </c>
      <c r="P361" s="87">
        <v>0.0</v>
      </c>
      <c r="Q361" s="87">
        <v>0.0</v>
      </c>
      <c r="T361" s="84" t="s">
        <v>3652</v>
      </c>
      <c r="U361" s="87">
        <v>10.91473526</v>
      </c>
    </row>
    <row r="362">
      <c r="A362" s="84" t="s">
        <v>644</v>
      </c>
      <c r="B362" s="194" t="s">
        <v>3925</v>
      </c>
      <c r="C362" s="84" t="s">
        <v>1201</v>
      </c>
      <c r="D362" s="88" t="s">
        <v>1396</v>
      </c>
      <c r="E362" s="84" t="s">
        <v>3683</v>
      </c>
      <c r="F362" s="84" t="s">
        <v>1192</v>
      </c>
      <c r="G362" s="84" t="s">
        <v>3761</v>
      </c>
      <c r="I362" s="84" t="s">
        <v>3684</v>
      </c>
      <c r="J362" s="84" t="s">
        <v>215</v>
      </c>
      <c r="L362" s="87">
        <v>24.0</v>
      </c>
      <c r="M362" s="87">
        <v>0.0</v>
      </c>
      <c r="N362" s="87">
        <v>0.0</v>
      </c>
      <c r="O362" s="87">
        <v>0.0</v>
      </c>
      <c r="P362" s="87">
        <v>0.0</v>
      </c>
      <c r="Q362" s="87">
        <v>0.0</v>
      </c>
      <c r="T362" s="84" t="s">
        <v>475</v>
      </c>
      <c r="U362" s="87">
        <v>1.0</v>
      </c>
    </row>
    <row r="363">
      <c r="A363" s="84" t="s">
        <v>444</v>
      </c>
      <c r="B363" s="194" t="s">
        <v>4051</v>
      </c>
      <c r="C363" s="84" t="s">
        <v>1342</v>
      </c>
      <c r="D363" s="88" t="s">
        <v>1396</v>
      </c>
      <c r="E363" s="84" t="s">
        <v>3683</v>
      </c>
      <c r="F363" s="84" t="s">
        <v>953</v>
      </c>
      <c r="G363" s="84" t="s">
        <v>3578</v>
      </c>
      <c r="H363" s="84" t="s">
        <v>3521</v>
      </c>
      <c r="I363" s="84" t="s">
        <v>3684</v>
      </c>
      <c r="J363" s="85"/>
      <c r="K363" s="84" t="s">
        <v>111</v>
      </c>
      <c r="L363" s="87">
        <v>288.0</v>
      </c>
      <c r="M363" s="87">
        <v>0.0</v>
      </c>
      <c r="N363" s="87">
        <v>0.0</v>
      </c>
      <c r="O363" s="87">
        <v>0.0</v>
      </c>
      <c r="P363" s="87">
        <v>0.0</v>
      </c>
      <c r="Q363" s="87">
        <v>0.0</v>
      </c>
      <c r="T363" s="84" t="s">
        <v>3653</v>
      </c>
      <c r="U363" s="87">
        <v>50.08389111</v>
      </c>
    </row>
    <row r="364">
      <c r="A364" s="84" t="s">
        <v>444</v>
      </c>
      <c r="B364" s="194" t="s">
        <v>4052</v>
      </c>
      <c r="C364" s="84" t="s">
        <v>952</v>
      </c>
      <c r="D364" s="88" t="s">
        <v>1396</v>
      </c>
      <c r="E364" s="84" t="s">
        <v>3683</v>
      </c>
      <c r="F364" s="84" t="s">
        <v>953</v>
      </c>
      <c r="G364" s="84" t="s">
        <v>3578</v>
      </c>
      <c r="H364" s="84" t="s">
        <v>3521</v>
      </c>
      <c r="I364" s="84" t="s">
        <v>3684</v>
      </c>
      <c r="J364" s="84" t="s">
        <v>130</v>
      </c>
      <c r="K364" s="91"/>
      <c r="L364" s="87">
        <v>24.0</v>
      </c>
      <c r="M364" s="87">
        <v>0.0</v>
      </c>
      <c r="N364" s="87">
        <v>0.0</v>
      </c>
      <c r="O364" s="87">
        <v>0.0</v>
      </c>
      <c r="P364" s="87">
        <v>0.0</v>
      </c>
      <c r="Q364" s="87">
        <v>0.0</v>
      </c>
      <c r="T364" s="84" t="s">
        <v>3654</v>
      </c>
      <c r="U364" s="87">
        <v>4.234471084</v>
      </c>
    </row>
    <row r="365">
      <c r="A365" s="84" t="s">
        <v>481</v>
      </c>
      <c r="B365" s="194" t="s">
        <v>3756</v>
      </c>
      <c r="C365" s="84" t="s">
        <v>1309</v>
      </c>
      <c r="D365" s="88" t="s">
        <v>1396</v>
      </c>
      <c r="E365" s="84" t="s">
        <v>3683</v>
      </c>
      <c r="F365" s="84" t="s">
        <v>3757</v>
      </c>
      <c r="G365" s="84" t="s">
        <v>3593</v>
      </c>
      <c r="H365" s="84" t="s">
        <v>3521</v>
      </c>
      <c r="I365" s="84" t="s">
        <v>3684</v>
      </c>
      <c r="J365" s="84" t="s">
        <v>130</v>
      </c>
      <c r="K365" s="91"/>
      <c r="L365" s="87">
        <v>24.0</v>
      </c>
      <c r="M365" s="87">
        <v>0.0</v>
      </c>
      <c r="N365" s="87">
        <v>0.0</v>
      </c>
      <c r="O365" s="87">
        <v>0.0</v>
      </c>
      <c r="P365" s="87">
        <v>0.0</v>
      </c>
      <c r="Q365" s="87">
        <v>0.0</v>
      </c>
      <c r="T365" s="84" t="s">
        <v>3655</v>
      </c>
      <c r="U365" s="87">
        <v>4.963875014</v>
      </c>
    </row>
    <row r="366">
      <c r="A366" s="84" t="s">
        <v>393</v>
      </c>
      <c r="B366" s="194" t="s">
        <v>4053</v>
      </c>
      <c r="C366" s="84" t="s">
        <v>404</v>
      </c>
      <c r="D366" s="88" t="s">
        <v>1396</v>
      </c>
      <c r="E366" s="84" t="s">
        <v>3683</v>
      </c>
      <c r="F366" s="84" t="s">
        <v>405</v>
      </c>
      <c r="G366" s="84" t="s">
        <v>3698</v>
      </c>
      <c r="H366" s="84" t="s">
        <v>3521</v>
      </c>
      <c r="I366" s="84" t="s">
        <v>3693</v>
      </c>
      <c r="J366" s="84" t="s">
        <v>130</v>
      </c>
      <c r="K366" s="84" t="s">
        <v>111</v>
      </c>
      <c r="L366" s="87">
        <v>24.0</v>
      </c>
      <c r="M366" s="87">
        <v>0.0</v>
      </c>
      <c r="N366" s="87">
        <v>0.0</v>
      </c>
      <c r="O366" s="87">
        <v>0.0</v>
      </c>
      <c r="P366" s="87">
        <v>0.0</v>
      </c>
      <c r="Q366" s="87">
        <v>0.0</v>
      </c>
      <c r="T366" s="84" t="s">
        <v>1301</v>
      </c>
      <c r="U366" s="87">
        <v>0.0</v>
      </c>
    </row>
    <row r="367">
      <c r="A367" s="84" t="s">
        <v>458</v>
      </c>
      <c r="B367" s="194" t="s">
        <v>4054</v>
      </c>
      <c r="C367" s="84" t="s">
        <v>972</v>
      </c>
      <c r="D367" s="88" t="s">
        <v>1396</v>
      </c>
      <c r="E367" s="84" t="s">
        <v>3683</v>
      </c>
      <c r="F367" s="84" t="s">
        <v>973</v>
      </c>
      <c r="G367" s="84" t="s">
        <v>3582</v>
      </c>
      <c r="H367" s="84" t="s">
        <v>3521</v>
      </c>
      <c r="I367" s="84" t="s">
        <v>3684</v>
      </c>
      <c r="J367" s="84" t="s">
        <v>130</v>
      </c>
      <c r="K367" s="84" t="s">
        <v>111</v>
      </c>
      <c r="L367" s="87">
        <v>24.0</v>
      </c>
      <c r="M367" s="87">
        <v>0.0</v>
      </c>
      <c r="N367" s="87">
        <v>0.0</v>
      </c>
      <c r="O367" s="87">
        <v>0.0</v>
      </c>
      <c r="P367" s="87">
        <v>0.0</v>
      </c>
      <c r="Q367" s="87">
        <v>0.0</v>
      </c>
      <c r="T367" s="84" t="s">
        <v>3656</v>
      </c>
      <c r="U367" s="87">
        <v>0.833333333</v>
      </c>
    </row>
    <row r="368">
      <c r="A368" s="84" t="s">
        <v>393</v>
      </c>
      <c r="B368" s="194" t="s">
        <v>4055</v>
      </c>
      <c r="C368" s="84" t="s">
        <v>412</v>
      </c>
      <c r="D368" s="88" t="s">
        <v>1396</v>
      </c>
      <c r="E368" s="84" t="s">
        <v>3683</v>
      </c>
      <c r="F368" s="84" t="s">
        <v>352</v>
      </c>
      <c r="G368" s="84" t="s">
        <v>3754</v>
      </c>
      <c r="H368" s="84" t="s">
        <v>3521</v>
      </c>
      <c r="I368" s="84" t="s">
        <v>3693</v>
      </c>
      <c r="J368" s="84" t="s">
        <v>130</v>
      </c>
      <c r="K368" s="84" t="s">
        <v>111</v>
      </c>
      <c r="L368" s="87">
        <v>24.0</v>
      </c>
      <c r="M368" s="87">
        <v>0.0</v>
      </c>
      <c r="N368" s="87">
        <v>0.0</v>
      </c>
      <c r="O368" s="87">
        <v>0.0</v>
      </c>
      <c r="P368" s="87">
        <v>0.0</v>
      </c>
      <c r="Q368" s="87">
        <v>0.0</v>
      </c>
      <c r="T368" s="84" t="s">
        <v>3657</v>
      </c>
      <c r="U368" s="87">
        <v>0.142857143</v>
      </c>
    </row>
    <row r="369">
      <c r="A369" s="84" t="s">
        <v>74</v>
      </c>
      <c r="B369" s="194" t="s">
        <v>4056</v>
      </c>
      <c r="C369" s="84" t="s">
        <v>79</v>
      </c>
      <c r="D369" s="88" t="s">
        <v>1396</v>
      </c>
      <c r="E369" s="84" t="s">
        <v>3683</v>
      </c>
      <c r="F369" s="84" t="s">
        <v>73</v>
      </c>
      <c r="G369" s="84" t="s">
        <v>3712</v>
      </c>
      <c r="H369" s="84" t="s">
        <v>3521</v>
      </c>
      <c r="I369" s="84" t="s">
        <v>3684</v>
      </c>
      <c r="J369" s="84" t="s">
        <v>130</v>
      </c>
      <c r="K369" s="84" t="s">
        <v>111</v>
      </c>
      <c r="L369" s="87">
        <v>24.0</v>
      </c>
      <c r="M369" s="87">
        <v>0.0</v>
      </c>
      <c r="N369" s="87">
        <v>0.0</v>
      </c>
      <c r="O369" s="87">
        <v>0.0</v>
      </c>
      <c r="P369" s="87">
        <v>0.0</v>
      </c>
      <c r="Q369" s="87">
        <v>0.016667</v>
      </c>
      <c r="T369" s="84" t="s">
        <v>3658</v>
      </c>
      <c r="U369" s="87">
        <v>0.0</v>
      </c>
    </row>
    <row r="370">
      <c r="A370" s="84" t="s">
        <v>616</v>
      </c>
      <c r="B370" s="194" t="s">
        <v>3922</v>
      </c>
      <c r="C370" s="84" t="s">
        <v>614</v>
      </c>
      <c r="D370" s="88" t="s">
        <v>1396</v>
      </c>
      <c r="E370" s="84" t="s">
        <v>3683</v>
      </c>
      <c r="F370" s="84" t="s">
        <v>615</v>
      </c>
      <c r="G370" s="84" t="s">
        <v>3563</v>
      </c>
      <c r="H370" s="84" t="s">
        <v>3521</v>
      </c>
      <c r="I370" s="84" t="s">
        <v>3684</v>
      </c>
      <c r="J370" s="85"/>
      <c r="K370" s="85"/>
      <c r="L370" s="87">
        <v>0.0</v>
      </c>
      <c r="M370" s="87">
        <v>0.0</v>
      </c>
      <c r="N370" s="87">
        <v>0.0</v>
      </c>
      <c r="O370" s="87">
        <v>0.0</v>
      </c>
      <c r="P370" s="87">
        <v>0.0</v>
      </c>
      <c r="Q370" s="87">
        <v>0.0</v>
      </c>
      <c r="T370" s="84" t="s">
        <v>3659</v>
      </c>
      <c r="U370" s="87">
        <v>0.090909091</v>
      </c>
    </row>
    <row r="371">
      <c r="A371" s="84" t="s">
        <v>644</v>
      </c>
      <c r="B371" s="194" t="s">
        <v>4057</v>
      </c>
      <c r="C371" s="84" t="s">
        <v>733</v>
      </c>
      <c r="D371" s="88" t="s">
        <v>1396</v>
      </c>
      <c r="E371" s="84" t="s">
        <v>3683</v>
      </c>
      <c r="F371" s="84" t="s">
        <v>3751</v>
      </c>
      <c r="G371" s="84" t="s">
        <v>3752</v>
      </c>
      <c r="I371" s="84" t="s">
        <v>3684</v>
      </c>
      <c r="J371" s="85"/>
      <c r="K371" s="85"/>
      <c r="L371" s="87">
        <v>24.0</v>
      </c>
      <c r="M371" s="87">
        <v>0.0</v>
      </c>
      <c r="N371" s="87">
        <v>0.0</v>
      </c>
      <c r="O371" s="87">
        <v>0.0</v>
      </c>
      <c r="P371" s="87">
        <v>0.0</v>
      </c>
      <c r="Q371" s="87">
        <v>0.0</v>
      </c>
      <c r="T371" s="84" t="s">
        <v>465</v>
      </c>
      <c r="U371" s="87">
        <v>0.257575758</v>
      </c>
    </row>
    <row r="372">
      <c r="A372" s="84" t="s">
        <v>644</v>
      </c>
      <c r="B372" s="194" t="s">
        <v>4057</v>
      </c>
      <c r="C372" s="84" t="s">
        <v>733</v>
      </c>
      <c r="D372" s="88" t="s">
        <v>1396</v>
      </c>
      <c r="E372" s="84" t="s">
        <v>3683</v>
      </c>
      <c r="F372" s="84" t="s">
        <v>3751</v>
      </c>
      <c r="G372" s="84" t="s">
        <v>3752</v>
      </c>
      <c r="H372" s="84" t="s">
        <v>3521</v>
      </c>
      <c r="I372" s="84" t="s">
        <v>3684</v>
      </c>
      <c r="J372" s="84" t="s">
        <v>130</v>
      </c>
      <c r="K372" s="84" t="s">
        <v>111</v>
      </c>
      <c r="L372" s="87">
        <v>24.0</v>
      </c>
      <c r="M372" s="87">
        <v>0.0</v>
      </c>
      <c r="N372" s="87">
        <v>0.0</v>
      </c>
      <c r="O372" s="87">
        <v>0.0</v>
      </c>
      <c r="P372" s="87">
        <v>0.0</v>
      </c>
      <c r="Q372" s="87">
        <v>0.0</v>
      </c>
      <c r="T372" s="84" t="s">
        <v>456</v>
      </c>
      <c r="U372" s="87">
        <v>0.0</v>
      </c>
    </row>
    <row r="373">
      <c r="A373" s="84" t="s">
        <v>301</v>
      </c>
      <c r="B373" s="194" t="s">
        <v>4058</v>
      </c>
      <c r="C373" s="84" t="s">
        <v>332</v>
      </c>
      <c r="D373" s="88" t="s">
        <v>1396</v>
      </c>
      <c r="E373" s="84" t="s">
        <v>3683</v>
      </c>
      <c r="F373" s="84" t="s">
        <v>300</v>
      </c>
      <c r="G373" s="84" t="s">
        <v>3703</v>
      </c>
      <c r="H373" s="84" t="s">
        <v>3521</v>
      </c>
      <c r="I373" s="84" t="s">
        <v>3684</v>
      </c>
      <c r="J373" s="84" t="s">
        <v>130</v>
      </c>
      <c r="K373" s="85"/>
      <c r="L373" s="87">
        <v>144.0</v>
      </c>
      <c r="M373" s="87">
        <v>0.0</v>
      </c>
      <c r="N373" s="87">
        <v>0.0</v>
      </c>
      <c r="O373" s="87">
        <v>0.0</v>
      </c>
      <c r="P373" s="87">
        <v>0.0</v>
      </c>
      <c r="Q373" s="87">
        <v>0.0</v>
      </c>
      <c r="T373" s="84" t="s">
        <v>461</v>
      </c>
      <c r="U373" s="87">
        <v>0.0</v>
      </c>
    </row>
    <row r="374">
      <c r="A374" s="84" t="s">
        <v>1130</v>
      </c>
      <c r="B374" s="194" t="s">
        <v>4059</v>
      </c>
      <c r="C374" s="84" t="s">
        <v>1147</v>
      </c>
      <c r="D374" s="88" t="s">
        <v>1396</v>
      </c>
      <c r="E374" s="84" t="s">
        <v>3683</v>
      </c>
      <c r="F374" s="84" t="s">
        <v>1142</v>
      </c>
      <c r="G374" s="84" t="s">
        <v>3605</v>
      </c>
      <c r="H374" s="84" t="s">
        <v>3521</v>
      </c>
      <c r="I374" s="84" t="s">
        <v>3684</v>
      </c>
      <c r="J374" s="84" t="s">
        <v>130</v>
      </c>
      <c r="K374" s="84" t="s">
        <v>111</v>
      </c>
      <c r="L374" s="87">
        <v>288.0</v>
      </c>
      <c r="M374" s="87">
        <v>0.0</v>
      </c>
      <c r="N374" s="87">
        <v>2.141457</v>
      </c>
      <c r="O374" s="87">
        <v>0.071429</v>
      </c>
      <c r="P374" s="87">
        <v>0.033333</v>
      </c>
      <c r="Q374" s="87">
        <v>2.108867</v>
      </c>
      <c r="T374" s="84" t="s">
        <v>462</v>
      </c>
      <c r="U374" s="87">
        <v>0.0</v>
      </c>
    </row>
    <row r="375">
      <c r="A375" s="84" t="s">
        <v>537</v>
      </c>
      <c r="B375" s="194" t="s">
        <v>4060</v>
      </c>
      <c r="C375" s="84" t="s">
        <v>1050</v>
      </c>
      <c r="D375" s="88" t="s">
        <v>1396</v>
      </c>
      <c r="E375" s="84" t="s">
        <v>3683</v>
      </c>
      <c r="F375" s="84" t="s">
        <v>1047</v>
      </c>
      <c r="G375" s="84" t="s">
        <v>3592</v>
      </c>
      <c r="H375" s="84" t="s">
        <v>3521</v>
      </c>
      <c r="I375" s="84" t="s">
        <v>3693</v>
      </c>
      <c r="J375" s="91"/>
      <c r="K375" s="84" t="s">
        <v>111</v>
      </c>
      <c r="L375" s="87">
        <v>432.0</v>
      </c>
      <c r="M375" s="87">
        <v>0.0</v>
      </c>
      <c r="N375" s="87">
        <v>0.0</v>
      </c>
      <c r="O375" s="87">
        <v>0.0</v>
      </c>
      <c r="P375" s="87">
        <v>0.0</v>
      </c>
      <c r="Q375" s="87">
        <v>0.0</v>
      </c>
      <c r="T375" s="84" t="s">
        <v>464</v>
      </c>
      <c r="U375" s="87">
        <v>0.0</v>
      </c>
    </row>
    <row r="376">
      <c r="A376" s="84" t="s">
        <v>139</v>
      </c>
      <c r="B376" s="194" t="s">
        <v>4061</v>
      </c>
      <c r="C376" s="84" t="s">
        <v>174</v>
      </c>
      <c r="D376" s="88" t="s">
        <v>1396</v>
      </c>
      <c r="E376" s="84" t="s">
        <v>3687</v>
      </c>
      <c r="F376" s="84" t="s">
        <v>144</v>
      </c>
      <c r="G376" s="84" t="s">
        <v>3700</v>
      </c>
      <c r="H376" s="84" t="s">
        <v>3521</v>
      </c>
      <c r="I376" s="84" t="s">
        <v>3684</v>
      </c>
      <c r="J376" s="84" t="s">
        <v>130</v>
      </c>
      <c r="K376" s="84" t="s">
        <v>111</v>
      </c>
      <c r="L376" s="87">
        <v>792.0</v>
      </c>
      <c r="M376" s="87">
        <v>0.0</v>
      </c>
      <c r="N376" s="87">
        <v>5.605556</v>
      </c>
      <c r="O376" s="87">
        <v>0.1</v>
      </c>
      <c r="P376" s="87">
        <v>0.076923</v>
      </c>
      <c r="Q376" s="87">
        <v>5.66627</v>
      </c>
      <c r="T376" s="84" t="s">
        <v>463</v>
      </c>
      <c r="U376" s="87">
        <v>0.0</v>
      </c>
    </row>
    <row r="377">
      <c r="A377" s="84" t="s">
        <v>481</v>
      </c>
      <c r="B377" s="194" t="s">
        <v>4062</v>
      </c>
      <c r="C377" s="84" t="s">
        <v>517</v>
      </c>
      <c r="D377" s="88" t="s">
        <v>1396</v>
      </c>
      <c r="E377" s="84" t="s">
        <v>3683</v>
      </c>
      <c r="F377" s="84" t="s">
        <v>516</v>
      </c>
      <c r="G377" s="84" t="s">
        <v>3593</v>
      </c>
      <c r="I377" s="84" t="s">
        <v>3684</v>
      </c>
      <c r="J377" s="85"/>
      <c r="K377" s="91"/>
      <c r="L377" s="87">
        <v>456.0</v>
      </c>
      <c r="M377" s="87">
        <v>0.0</v>
      </c>
      <c r="N377" s="87">
        <v>0.0</v>
      </c>
      <c r="O377" s="87">
        <v>0.0</v>
      </c>
      <c r="P377" s="87">
        <v>0.0</v>
      </c>
      <c r="Q377" s="87">
        <v>0.0</v>
      </c>
      <c r="T377" s="84" t="s">
        <v>879</v>
      </c>
      <c r="U377" s="87">
        <v>0.153846154</v>
      </c>
    </row>
    <row r="378">
      <c r="A378" s="84" t="s">
        <v>213</v>
      </c>
      <c r="B378" s="194" t="s">
        <v>3736</v>
      </c>
      <c r="C378" s="84" t="s">
        <v>859</v>
      </c>
      <c r="D378" s="88" t="s">
        <v>1396</v>
      </c>
      <c r="E378" s="91"/>
      <c r="F378" s="84" t="s">
        <v>860</v>
      </c>
      <c r="G378" s="84" t="s">
        <v>3553</v>
      </c>
      <c r="I378" s="84" t="s">
        <v>3684</v>
      </c>
      <c r="J378" s="84" t="s">
        <v>130</v>
      </c>
      <c r="K378" s="85"/>
      <c r="L378" s="87">
        <v>456.0</v>
      </c>
      <c r="M378" s="87">
        <v>0.0</v>
      </c>
      <c r="N378" s="87">
        <v>0.0</v>
      </c>
      <c r="O378" s="87">
        <v>0.0</v>
      </c>
      <c r="P378" s="87">
        <v>0.0</v>
      </c>
      <c r="Q378" s="87">
        <v>0.0</v>
      </c>
      <c r="T378" s="84" t="s">
        <v>184</v>
      </c>
      <c r="U378" s="87">
        <v>15.4475469</v>
      </c>
    </row>
    <row r="379">
      <c r="A379" s="84" t="s">
        <v>644</v>
      </c>
      <c r="B379" s="194" t="s">
        <v>4063</v>
      </c>
      <c r="C379" s="84" t="s">
        <v>675</v>
      </c>
      <c r="D379" s="88" t="s">
        <v>1396</v>
      </c>
      <c r="E379" s="84" t="s">
        <v>3683</v>
      </c>
      <c r="F379" s="84" t="s">
        <v>670</v>
      </c>
      <c r="G379" s="84" t="s">
        <v>3789</v>
      </c>
      <c r="H379" s="84" t="s">
        <v>3521</v>
      </c>
      <c r="I379" s="84" t="s">
        <v>3684</v>
      </c>
      <c r="J379" s="85"/>
      <c r="K379" s="85"/>
      <c r="L379" s="87">
        <v>0.0</v>
      </c>
      <c r="M379" s="87">
        <v>7.0</v>
      </c>
      <c r="N379" s="87">
        <v>0.0</v>
      </c>
      <c r="O379" s="87">
        <v>11.31441</v>
      </c>
      <c r="P379" s="87">
        <v>11.59062</v>
      </c>
      <c r="Q379" s="87">
        <v>9.181147</v>
      </c>
      <c r="T379" s="84" t="s">
        <v>432</v>
      </c>
      <c r="U379" s="87">
        <v>2.479978355</v>
      </c>
    </row>
    <row r="380">
      <c r="A380" s="84" t="s">
        <v>180</v>
      </c>
      <c r="B380" s="194" t="s">
        <v>3805</v>
      </c>
      <c r="C380" s="84" t="s">
        <v>189</v>
      </c>
      <c r="D380" s="88" t="s">
        <v>1396</v>
      </c>
      <c r="E380" s="84" t="s">
        <v>3683</v>
      </c>
      <c r="F380" s="84" t="s">
        <v>190</v>
      </c>
      <c r="G380" s="84" t="s">
        <v>3708</v>
      </c>
      <c r="I380" s="84" t="s">
        <v>3709</v>
      </c>
      <c r="J380" s="85"/>
      <c r="K380" s="85"/>
      <c r="L380" s="87">
        <v>552.0</v>
      </c>
      <c r="M380" s="87">
        <v>0.0</v>
      </c>
      <c r="N380" s="87">
        <v>0.0</v>
      </c>
      <c r="O380" s="87">
        <v>0.0</v>
      </c>
      <c r="P380" s="87">
        <v>0.0</v>
      </c>
      <c r="Q380" s="87">
        <v>0.0</v>
      </c>
      <c r="T380" s="84" t="s">
        <v>430</v>
      </c>
      <c r="U380" s="87">
        <v>2.946103896</v>
      </c>
    </row>
    <row r="381">
      <c r="A381" s="84" t="s">
        <v>644</v>
      </c>
      <c r="B381" s="194" t="s">
        <v>3844</v>
      </c>
      <c r="C381" s="84" t="s">
        <v>701</v>
      </c>
      <c r="D381" s="88" t="s">
        <v>1396</v>
      </c>
      <c r="E381" s="84" t="s">
        <v>3683</v>
      </c>
      <c r="F381" s="84" t="s">
        <v>686</v>
      </c>
      <c r="G381" s="84" t="s">
        <v>3607</v>
      </c>
      <c r="H381" s="84" t="s">
        <v>3521</v>
      </c>
      <c r="I381" s="84" t="s">
        <v>3684</v>
      </c>
      <c r="J381" s="84" t="s">
        <v>215</v>
      </c>
      <c r="L381" s="87">
        <v>240.0</v>
      </c>
      <c r="M381" s="87">
        <v>1.0</v>
      </c>
      <c r="N381" s="87">
        <v>1.126223</v>
      </c>
      <c r="O381" s="87">
        <v>1.428571</v>
      </c>
      <c r="P381" s="87">
        <v>0.616588</v>
      </c>
      <c r="Q381" s="87">
        <v>1.149123</v>
      </c>
      <c r="T381" s="84" t="s">
        <v>642</v>
      </c>
      <c r="U381" s="87">
        <v>17.81300921</v>
      </c>
    </row>
    <row r="382">
      <c r="A382" s="84" t="s">
        <v>107</v>
      </c>
      <c r="B382" s="194" t="s">
        <v>3786</v>
      </c>
      <c r="C382" s="84" t="s">
        <v>118</v>
      </c>
      <c r="D382" s="88" t="s">
        <v>1396</v>
      </c>
      <c r="E382" s="84" t="s">
        <v>3683</v>
      </c>
      <c r="F382" s="84" t="s">
        <v>119</v>
      </c>
      <c r="G382" s="84" t="s">
        <v>3552</v>
      </c>
      <c r="H382" s="84" t="s">
        <v>3521</v>
      </c>
      <c r="I382" s="84" t="s">
        <v>3684</v>
      </c>
      <c r="J382" s="85"/>
      <c r="K382" s="85"/>
      <c r="L382" s="87">
        <v>216.0</v>
      </c>
      <c r="M382" s="87">
        <v>0.0</v>
      </c>
      <c r="N382" s="87">
        <v>0.908333</v>
      </c>
      <c r="O382" s="87">
        <v>0.559524</v>
      </c>
      <c r="P382" s="87">
        <v>0.571429</v>
      </c>
      <c r="Q382" s="87">
        <v>0.690106</v>
      </c>
      <c r="T382" s="84" t="s">
        <v>649</v>
      </c>
      <c r="U382" s="87">
        <v>8.14983905</v>
      </c>
    </row>
    <row r="383">
      <c r="A383" s="84" t="s">
        <v>393</v>
      </c>
      <c r="B383" s="194" t="s">
        <v>4005</v>
      </c>
      <c r="C383" s="84" t="s">
        <v>401</v>
      </c>
      <c r="D383" s="88" t="s">
        <v>1396</v>
      </c>
      <c r="E383" s="84" t="s">
        <v>3683</v>
      </c>
      <c r="F383" s="84" t="s">
        <v>402</v>
      </c>
      <c r="G383" s="84" t="s">
        <v>3698</v>
      </c>
      <c r="H383" s="84" t="s">
        <v>3521</v>
      </c>
      <c r="I383" s="84" t="s">
        <v>3693</v>
      </c>
      <c r="J383" s="91"/>
      <c r="K383" s="84" t="s">
        <v>111</v>
      </c>
      <c r="L383" s="87">
        <v>677.0</v>
      </c>
      <c r="M383" s="87">
        <v>1.0</v>
      </c>
      <c r="N383" s="87">
        <v>0.0</v>
      </c>
      <c r="O383" s="87">
        <v>0.0</v>
      </c>
      <c r="P383" s="87">
        <v>0.066667</v>
      </c>
      <c r="Q383" s="87">
        <v>0.055556</v>
      </c>
      <c r="T383" s="84" t="s">
        <v>647</v>
      </c>
      <c r="U383" s="87">
        <v>13.58058608</v>
      </c>
    </row>
    <row r="384">
      <c r="A384" s="84" t="s">
        <v>444</v>
      </c>
      <c r="B384" s="194" t="s">
        <v>4064</v>
      </c>
      <c r="C384" s="84" t="s">
        <v>956</v>
      </c>
      <c r="D384" s="88" t="s">
        <v>1396</v>
      </c>
      <c r="E384" s="84" t="s">
        <v>3683</v>
      </c>
      <c r="F384" s="84" t="s">
        <v>957</v>
      </c>
      <c r="G384" s="84" t="s">
        <v>3579</v>
      </c>
      <c r="H384" s="84" t="s">
        <v>3521</v>
      </c>
      <c r="I384" s="84" t="s">
        <v>3684</v>
      </c>
      <c r="J384" s="91"/>
      <c r="K384" s="91"/>
      <c r="L384" s="87">
        <v>0.0</v>
      </c>
      <c r="M384" s="87">
        <v>0.0</v>
      </c>
      <c r="N384" s="87">
        <v>0.0</v>
      </c>
      <c r="O384" s="87">
        <v>0.357143</v>
      </c>
      <c r="P384" s="87">
        <v>0.2</v>
      </c>
      <c r="Q384" s="87">
        <v>0.219608</v>
      </c>
      <c r="T384" s="84" t="s">
        <v>648</v>
      </c>
      <c r="U384" s="87">
        <v>2.671661672</v>
      </c>
    </row>
    <row r="385">
      <c r="A385" s="84" t="s">
        <v>644</v>
      </c>
      <c r="B385" s="194" t="s">
        <v>4065</v>
      </c>
      <c r="C385" s="84" t="s">
        <v>1238</v>
      </c>
      <c r="D385" s="88" t="s">
        <v>1396</v>
      </c>
      <c r="E385" s="84" t="s">
        <v>3683</v>
      </c>
      <c r="F385" s="84" t="s">
        <v>1239</v>
      </c>
      <c r="G385" s="84" t="s">
        <v>3607</v>
      </c>
      <c r="H385" s="84" t="s">
        <v>3521</v>
      </c>
      <c r="I385" s="84" t="s">
        <v>3684</v>
      </c>
      <c r="J385" s="84" t="s">
        <v>215</v>
      </c>
      <c r="L385" s="87">
        <v>264.0</v>
      </c>
      <c r="M385" s="87">
        <v>0.0</v>
      </c>
      <c r="N385" s="87">
        <v>2.372024</v>
      </c>
      <c r="O385" s="87">
        <v>0.0</v>
      </c>
      <c r="P385" s="87">
        <v>0.316667</v>
      </c>
      <c r="Q385" s="87">
        <v>2.354435</v>
      </c>
      <c r="T385" s="84" t="s">
        <v>421</v>
      </c>
      <c r="U385" s="87">
        <v>1.620310245</v>
      </c>
    </row>
    <row r="386">
      <c r="A386" s="84" t="s">
        <v>357</v>
      </c>
      <c r="B386" s="194" t="s">
        <v>3738</v>
      </c>
      <c r="C386" s="84" t="s">
        <v>925</v>
      </c>
      <c r="D386" s="88" t="s">
        <v>1396</v>
      </c>
      <c r="E386" s="84" t="s">
        <v>3683</v>
      </c>
      <c r="F386" s="84" t="s">
        <v>919</v>
      </c>
      <c r="G386" s="84" t="s">
        <v>3739</v>
      </c>
      <c r="H386" s="84" t="s">
        <v>3740</v>
      </c>
      <c r="I386" s="84" t="s">
        <v>3709</v>
      </c>
      <c r="J386" s="84" t="s">
        <v>130</v>
      </c>
      <c r="K386" s="84" t="s">
        <v>111</v>
      </c>
      <c r="L386" s="87">
        <v>24.0</v>
      </c>
      <c r="M386" s="87">
        <v>0.0</v>
      </c>
      <c r="N386" s="87">
        <v>0.0</v>
      </c>
      <c r="O386" s="87">
        <v>0.0</v>
      </c>
      <c r="P386" s="87">
        <v>0.0</v>
      </c>
      <c r="Q386" s="87">
        <v>0.0</v>
      </c>
      <c r="T386" s="84" t="s">
        <v>418</v>
      </c>
      <c r="U386" s="87">
        <v>0.285714286</v>
      </c>
    </row>
    <row r="387">
      <c r="A387" s="84" t="s">
        <v>481</v>
      </c>
      <c r="B387" s="194" t="s">
        <v>3863</v>
      </c>
      <c r="C387" s="84" t="s">
        <v>522</v>
      </c>
      <c r="D387" s="88" t="s">
        <v>1396</v>
      </c>
      <c r="E387" s="84" t="s">
        <v>3683</v>
      </c>
      <c r="F387" s="84" t="s">
        <v>516</v>
      </c>
      <c r="G387" s="84" t="s">
        <v>3593</v>
      </c>
      <c r="H387" s="84" t="s">
        <v>3521</v>
      </c>
      <c r="I387" s="84" t="s">
        <v>3684</v>
      </c>
      <c r="J387" s="84" t="s">
        <v>130</v>
      </c>
      <c r="K387" s="91"/>
      <c r="L387" s="87">
        <v>24.0</v>
      </c>
      <c r="M387" s="87">
        <v>0.0</v>
      </c>
      <c r="N387" s="87">
        <v>0.0</v>
      </c>
      <c r="O387" s="87">
        <v>0.0</v>
      </c>
      <c r="P387" s="87">
        <v>0.0</v>
      </c>
      <c r="Q387" s="87">
        <v>0.0</v>
      </c>
      <c r="T387" s="84" t="s">
        <v>414</v>
      </c>
      <c r="U387" s="87">
        <v>0.891941392</v>
      </c>
    </row>
    <row r="388">
      <c r="A388" s="84" t="s">
        <v>363</v>
      </c>
      <c r="B388" s="194" t="s">
        <v>4066</v>
      </c>
      <c r="C388" s="84" t="s">
        <v>366</v>
      </c>
      <c r="D388" s="88" t="s">
        <v>1396</v>
      </c>
      <c r="E388" s="84" t="s">
        <v>3683</v>
      </c>
      <c r="F388" s="84" t="s">
        <v>362</v>
      </c>
      <c r="G388" s="84" t="s">
        <v>4067</v>
      </c>
      <c r="H388" s="84" t="s">
        <v>3513</v>
      </c>
      <c r="I388" s="84" t="s">
        <v>3709</v>
      </c>
      <c r="J388" s="84" t="s">
        <v>130</v>
      </c>
      <c r="K388" s="91"/>
      <c r="L388" s="87">
        <v>120.0</v>
      </c>
      <c r="M388" s="87">
        <v>0.0</v>
      </c>
      <c r="N388" s="87">
        <v>0.0</v>
      </c>
      <c r="O388" s="87">
        <v>0.0</v>
      </c>
      <c r="P388" s="87">
        <v>0.0</v>
      </c>
      <c r="Q388" s="87">
        <v>0.0</v>
      </c>
      <c r="T388" s="84" t="s">
        <v>433</v>
      </c>
      <c r="U388" s="87">
        <v>0.0</v>
      </c>
    </row>
    <row r="389">
      <c r="A389" s="84" t="s">
        <v>472</v>
      </c>
      <c r="B389" s="194" t="s">
        <v>4068</v>
      </c>
      <c r="C389" s="84" t="s">
        <v>1023</v>
      </c>
      <c r="D389" s="88" t="s">
        <v>1396</v>
      </c>
      <c r="E389" s="84" t="s">
        <v>3683</v>
      </c>
      <c r="F389" s="84" t="s">
        <v>1020</v>
      </c>
      <c r="G389" s="84" t="s">
        <v>3560</v>
      </c>
      <c r="H389" s="84" t="s">
        <v>3507</v>
      </c>
      <c r="I389" s="84" t="s">
        <v>3684</v>
      </c>
      <c r="J389" s="84" t="s">
        <v>130</v>
      </c>
      <c r="K389" s="91"/>
      <c r="L389" s="87">
        <v>24.0</v>
      </c>
      <c r="M389" s="87">
        <v>0.0</v>
      </c>
      <c r="N389" s="87">
        <v>0.0</v>
      </c>
      <c r="O389" s="87">
        <v>0.0</v>
      </c>
      <c r="P389" s="87">
        <v>0.0</v>
      </c>
      <c r="Q389" s="87">
        <v>0.0</v>
      </c>
      <c r="T389" s="84" t="s">
        <v>1259</v>
      </c>
      <c r="U389" s="87">
        <v>0.2</v>
      </c>
    </row>
    <row r="390">
      <c r="A390" s="84" t="s">
        <v>481</v>
      </c>
      <c r="B390" s="194" t="s">
        <v>3954</v>
      </c>
      <c r="C390" s="84" t="s">
        <v>534</v>
      </c>
      <c r="D390" s="88" t="s">
        <v>1396</v>
      </c>
      <c r="E390" s="84" t="s">
        <v>3683</v>
      </c>
      <c r="F390" s="84" t="s">
        <v>526</v>
      </c>
      <c r="G390" s="84" t="s">
        <v>3593</v>
      </c>
      <c r="I390" s="84" t="s">
        <v>3684</v>
      </c>
      <c r="J390" s="91"/>
      <c r="K390" s="91"/>
      <c r="L390" s="87">
        <v>24.0</v>
      </c>
      <c r="M390" s="87">
        <v>0.0</v>
      </c>
      <c r="N390" s="87">
        <v>0.0</v>
      </c>
      <c r="O390" s="87">
        <v>0.0</v>
      </c>
      <c r="P390" s="87">
        <v>0.0</v>
      </c>
      <c r="Q390" s="87">
        <v>0.0</v>
      </c>
      <c r="T390" s="84" t="s">
        <v>1309</v>
      </c>
      <c r="U390" s="87">
        <v>0.0</v>
      </c>
    </row>
    <row r="391">
      <c r="A391" s="84" t="s">
        <v>644</v>
      </c>
      <c r="B391" s="194" t="s">
        <v>4069</v>
      </c>
      <c r="C391" s="84" t="s">
        <v>1233</v>
      </c>
      <c r="D391" s="88" t="s">
        <v>1396</v>
      </c>
      <c r="E391" s="84" t="s">
        <v>3683</v>
      </c>
      <c r="F391" s="84" t="s">
        <v>1232</v>
      </c>
      <c r="G391" s="84" t="s">
        <v>3607</v>
      </c>
      <c r="H391" s="84" t="s">
        <v>3521</v>
      </c>
      <c r="I391" s="84" t="s">
        <v>3684</v>
      </c>
      <c r="J391" s="84" t="s">
        <v>130</v>
      </c>
      <c r="K391" s="85"/>
      <c r="L391" s="87">
        <v>24.0</v>
      </c>
      <c r="M391" s="87">
        <v>0.0</v>
      </c>
      <c r="N391" s="87">
        <v>0.0</v>
      </c>
      <c r="O391" s="87">
        <v>0.0</v>
      </c>
      <c r="P391" s="87">
        <v>0.0</v>
      </c>
      <c r="Q391" s="87">
        <v>0.0</v>
      </c>
      <c r="T391" s="84" t="s">
        <v>965</v>
      </c>
      <c r="U391" s="87">
        <v>0.0</v>
      </c>
    </row>
    <row r="392">
      <c r="A392" s="84" t="s">
        <v>444</v>
      </c>
      <c r="B392" s="194" t="s">
        <v>4070</v>
      </c>
      <c r="C392" s="84" t="s">
        <v>958</v>
      </c>
      <c r="D392" s="88" t="s">
        <v>1396</v>
      </c>
      <c r="E392" s="84" t="s">
        <v>3683</v>
      </c>
      <c r="F392" s="84" t="s">
        <v>959</v>
      </c>
      <c r="G392" s="84" t="s">
        <v>3579</v>
      </c>
      <c r="H392" s="84" t="s">
        <v>3521</v>
      </c>
      <c r="I392" s="84" t="s">
        <v>3684</v>
      </c>
      <c r="J392" s="84" t="s">
        <v>130</v>
      </c>
      <c r="K392" s="85"/>
      <c r="L392" s="87">
        <v>24.0</v>
      </c>
      <c r="M392" s="87">
        <v>0.0</v>
      </c>
      <c r="N392" s="87">
        <v>0.0</v>
      </c>
      <c r="O392" s="87">
        <v>0.0</v>
      </c>
      <c r="P392" s="87">
        <v>0.0</v>
      </c>
      <c r="Q392" s="87">
        <v>0.0</v>
      </c>
      <c r="T392" s="84" t="s">
        <v>968</v>
      </c>
      <c r="U392" s="87">
        <v>0.0</v>
      </c>
    </row>
    <row r="393">
      <c r="A393" s="84" t="s">
        <v>363</v>
      </c>
      <c r="B393" s="193" t="s">
        <v>4071</v>
      </c>
      <c r="C393" s="84" t="s">
        <v>367</v>
      </c>
      <c r="D393" s="88" t="s">
        <v>1396</v>
      </c>
      <c r="E393" s="84" t="s">
        <v>3897</v>
      </c>
      <c r="F393" s="84" t="s">
        <v>368</v>
      </c>
      <c r="G393" s="84" t="s">
        <v>3770</v>
      </c>
      <c r="H393" s="84" t="s">
        <v>3513</v>
      </c>
      <c r="I393" s="84" t="s">
        <v>3709</v>
      </c>
      <c r="J393" s="84" t="s">
        <v>130</v>
      </c>
      <c r="K393" s="85"/>
      <c r="L393" s="87">
        <v>48.0</v>
      </c>
      <c r="M393" s="87">
        <v>0.0</v>
      </c>
      <c r="N393" s="87">
        <v>0.0</v>
      </c>
      <c r="O393" s="87">
        <v>0.0</v>
      </c>
      <c r="P393" s="87">
        <v>0.0</v>
      </c>
      <c r="Q393" s="87">
        <v>0.0</v>
      </c>
      <c r="T393" s="84" t="s">
        <v>966</v>
      </c>
      <c r="U393" s="87">
        <v>0.0</v>
      </c>
    </row>
    <row r="394">
      <c r="A394" s="84" t="s">
        <v>573</v>
      </c>
      <c r="B394" s="194" t="s">
        <v>4072</v>
      </c>
      <c r="C394" s="84" t="s">
        <v>596</v>
      </c>
      <c r="D394" s="88" t="s">
        <v>1396</v>
      </c>
      <c r="E394" s="84" t="s">
        <v>3683</v>
      </c>
      <c r="F394" s="84" t="s">
        <v>595</v>
      </c>
      <c r="G394" s="84" t="s">
        <v>3560</v>
      </c>
      <c r="H394" s="84" t="s">
        <v>3521</v>
      </c>
      <c r="I394" s="84" t="s">
        <v>3709</v>
      </c>
      <c r="J394" s="84" t="s">
        <v>130</v>
      </c>
      <c r="K394" s="85"/>
      <c r="L394" s="87">
        <v>24.0</v>
      </c>
      <c r="M394" s="87">
        <v>0.0</v>
      </c>
      <c r="N394" s="87">
        <v>0.0</v>
      </c>
      <c r="O394" s="87">
        <v>0.0</v>
      </c>
      <c r="P394" s="87">
        <v>0.0</v>
      </c>
      <c r="Q394" s="87">
        <v>0.0</v>
      </c>
      <c r="T394" s="84" t="s">
        <v>3660</v>
      </c>
      <c r="U394" s="87">
        <v>12.41405816</v>
      </c>
    </row>
    <row r="395">
      <c r="A395" s="84" t="s">
        <v>644</v>
      </c>
      <c r="B395" s="194" t="s">
        <v>4073</v>
      </c>
      <c r="C395" s="84" t="s">
        <v>689</v>
      </c>
      <c r="D395" s="88" t="s">
        <v>1396</v>
      </c>
      <c r="E395" s="84" t="s">
        <v>3683</v>
      </c>
      <c r="F395" s="84" t="s">
        <v>686</v>
      </c>
      <c r="G395" s="84" t="s">
        <v>3607</v>
      </c>
      <c r="H395" s="84" t="s">
        <v>3521</v>
      </c>
      <c r="I395" s="84" t="s">
        <v>3684</v>
      </c>
      <c r="J395" s="84" t="s">
        <v>130</v>
      </c>
      <c r="K395" s="91"/>
      <c r="L395" s="87">
        <v>24.0</v>
      </c>
      <c r="M395" s="87">
        <v>0.0</v>
      </c>
      <c r="N395" s="87">
        <v>0.0</v>
      </c>
      <c r="O395" s="87">
        <v>0.0</v>
      </c>
      <c r="P395" s="87">
        <v>0.0</v>
      </c>
      <c r="Q395" s="87">
        <v>0.0</v>
      </c>
      <c r="T395" s="84" t="s">
        <v>3661</v>
      </c>
      <c r="U395" s="87">
        <v>0.0</v>
      </c>
    </row>
    <row r="396">
      <c r="A396" s="84" t="s">
        <v>644</v>
      </c>
      <c r="B396" s="194" t="s">
        <v>4074</v>
      </c>
      <c r="C396" s="84" t="s">
        <v>700</v>
      </c>
      <c r="D396" s="88" t="s">
        <v>1396</v>
      </c>
      <c r="E396" s="84" t="s">
        <v>3683</v>
      </c>
      <c r="F396" s="84" t="s">
        <v>686</v>
      </c>
      <c r="G396" s="84" t="s">
        <v>3607</v>
      </c>
      <c r="H396" s="84" t="s">
        <v>3521</v>
      </c>
      <c r="I396" s="84" t="s">
        <v>3684</v>
      </c>
      <c r="J396" s="84" t="s">
        <v>215</v>
      </c>
      <c r="L396" s="87">
        <v>336.0</v>
      </c>
      <c r="M396" s="87">
        <v>1.0</v>
      </c>
      <c r="N396" s="87">
        <v>1.577918</v>
      </c>
      <c r="O396" s="87">
        <v>0.388528</v>
      </c>
      <c r="P396" s="87">
        <v>0.172751</v>
      </c>
      <c r="Q396" s="87">
        <v>1.606318</v>
      </c>
      <c r="T396" s="84" t="s">
        <v>4075</v>
      </c>
      <c r="U396" s="87">
        <v>0.0</v>
      </c>
    </row>
    <row r="397">
      <c r="A397" s="84" t="s">
        <v>363</v>
      </c>
      <c r="B397" s="194" t="s">
        <v>4076</v>
      </c>
      <c r="C397" s="84" t="s">
        <v>931</v>
      </c>
      <c r="D397" s="88" t="s">
        <v>1396</v>
      </c>
      <c r="E397" s="84" t="s">
        <v>3687</v>
      </c>
      <c r="F397" s="84" t="s">
        <v>927</v>
      </c>
      <c r="G397" s="84" t="s">
        <v>3565</v>
      </c>
      <c r="H397" s="84" t="s">
        <v>4077</v>
      </c>
      <c r="I397" s="84" t="s">
        <v>3709</v>
      </c>
      <c r="J397" s="84" t="s">
        <v>130</v>
      </c>
      <c r="K397" s="91"/>
      <c r="L397" s="87">
        <v>624.0</v>
      </c>
      <c r="M397" s="87">
        <v>0.0</v>
      </c>
      <c r="N397" s="87">
        <v>0.0</v>
      </c>
      <c r="O397" s="87">
        <v>0.0</v>
      </c>
      <c r="P397" s="87">
        <v>0.0</v>
      </c>
      <c r="Q397" s="87">
        <v>0.0</v>
      </c>
      <c r="T397" s="84" t="s">
        <v>1206</v>
      </c>
      <c r="U397" s="87">
        <v>0.0</v>
      </c>
    </row>
    <row r="398">
      <c r="A398" s="84" t="s">
        <v>745</v>
      </c>
      <c r="B398" s="194" t="s">
        <v>4078</v>
      </c>
      <c r="C398" s="84" t="s">
        <v>748</v>
      </c>
      <c r="D398" s="88" t="s">
        <v>1396</v>
      </c>
      <c r="E398" s="84" t="s">
        <v>3683</v>
      </c>
      <c r="F398" s="84" t="s">
        <v>744</v>
      </c>
      <c r="G398" s="84" t="s">
        <v>3841</v>
      </c>
      <c r="H398" s="84" t="s">
        <v>3521</v>
      </c>
      <c r="I398" s="84" t="s">
        <v>3684</v>
      </c>
      <c r="J398" s="91"/>
      <c r="K398" s="91"/>
      <c r="L398" s="87">
        <v>432.0</v>
      </c>
      <c r="M398" s="87">
        <v>0.0</v>
      </c>
      <c r="N398" s="87">
        <v>0.0</v>
      </c>
      <c r="O398" s="87">
        <v>0.0</v>
      </c>
      <c r="P398" s="87">
        <v>0.0</v>
      </c>
      <c r="Q398" s="87">
        <v>0.0</v>
      </c>
      <c r="T398" s="84" t="s">
        <v>638</v>
      </c>
      <c r="U398" s="87">
        <v>0.522222222</v>
      </c>
    </row>
    <row r="399">
      <c r="A399" s="84" t="s">
        <v>393</v>
      </c>
      <c r="B399" s="194" t="s">
        <v>4079</v>
      </c>
      <c r="C399" s="84" t="s">
        <v>410</v>
      </c>
      <c r="D399" s="88" t="s">
        <v>1396</v>
      </c>
      <c r="E399" s="84" t="s">
        <v>3683</v>
      </c>
      <c r="F399" s="84" t="s">
        <v>352</v>
      </c>
      <c r="G399" s="84" t="s">
        <v>3754</v>
      </c>
      <c r="H399" s="84" t="s">
        <v>3521</v>
      </c>
      <c r="I399" s="84" t="s">
        <v>3693</v>
      </c>
      <c r="J399" s="85"/>
      <c r="K399" s="91"/>
      <c r="L399" s="87">
        <v>0.0</v>
      </c>
      <c r="M399" s="87">
        <v>0.0</v>
      </c>
      <c r="N399" s="87">
        <v>0.0</v>
      </c>
      <c r="O399" s="87">
        <v>0.285714</v>
      </c>
      <c r="P399" s="87">
        <v>0.2</v>
      </c>
      <c r="Q399" s="87">
        <v>0.302201</v>
      </c>
      <c r="T399" s="84" t="s">
        <v>848</v>
      </c>
      <c r="U399" s="87">
        <v>0.0</v>
      </c>
    </row>
    <row r="400">
      <c r="A400" s="84" t="s">
        <v>472</v>
      </c>
      <c r="B400" s="194" t="s">
        <v>4080</v>
      </c>
      <c r="C400" s="84" t="s">
        <v>1033</v>
      </c>
      <c r="D400" s="88" t="s">
        <v>1396</v>
      </c>
      <c r="E400" s="84" t="s">
        <v>3687</v>
      </c>
      <c r="F400" s="91"/>
      <c r="G400" s="84" t="s">
        <v>3587</v>
      </c>
      <c r="H400" s="84" t="s">
        <v>3521</v>
      </c>
      <c r="I400" s="84" t="s">
        <v>3684</v>
      </c>
      <c r="J400" s="84" t="s">
        <v>130</v>
      </c>
      <c r="K400" s="85"/>
      <c r="L400" s="87">
        <v>408.0</v>
      </c>
      <c r="M400" s="87">
        <v>0.0</v>
      </c>
      <c r="N400" s="87">
        <v>0.310256</v>
      </c>
      <c r="O400" s="87">
        <v>0.148352</v>
      </c>
      <c r="P400" s="87">
        <v>0.067816</v>
      </c>
      <c r="Q400" s="87">
        <v>0.268734</v>
      </c>
      <c r="T400" s="84" t="s">
        <v>847</v>
      </c>
      <c r="U400" s="87">
        <v>0.416666667</v>
      </c>
    </row>
    <row r="401">
      <c r="A401" s="84" t="s">
        <v>644</v>
      </c>
      <c r="B401" s="194" t="s">
        <v>3788</v>
      </c>
      <c r="C401" s="84" t="s">
        <v>674</v>
      </c>
      <c r="D401" s="88" t="s">
        <v>1396</v>
      </c>
      <c r="E401" s="84" t="s">
        <v>3683</v>
      </c>
      <c r="F401" s="84" t="s">
        <v>670</v>
      </c>
      <c r="G401" s="84" t="s">
        <v>3789</v>
      </c>
      <c r="I401" s="84" t="s">
        <v>3684</v>
      </c>
      <c r="J401" s="91"/>
      <c r="K401" s="84" t="s">
        <v>111</v>
      </c>
      <c r="L401" s="87">
        <v>552.0</v>
      </c>
      <c r="M401" s="87">
        <v>0.0</v>
      </c>
      <c r="N401" s="87">
        <v>0.0</v>
      </c>
      <c r="O401" s="87">
        <v>0.0</v>
      </c>
      <c r="P401" s="87">
        <v>0.0</v>
      </c>
      <c r="Q401" s="87">
        <v>0.0</v>
      </c>
      <c r="T401" s="84" t="s">
        <v>846</v>
      </c>
      <c r="U401" s="87">
        <v>0.333333333</v>
      </c>
    </row>
    <row r="402">
      <c r="A402" s="84" t="s">
        <v>481</v>
      </c>
      <c r="B402" s="194" t="s">
        <v>4031</v>
      </c>
      <c r="C402" s="84" t="s">
        <v>994</v>
      </c>
      <c r="D402" s="88" t="s">
        <v>1396</v>
      </c>
      <c r="E402" s="84" t="s">
        <v>3683</v>
      </c>
      <c r="F402" s="84" t="s">
        <v>989</v>
      </c>
      <c r="G402" s="84" t="s">
        <v>3585</v>
      </c>
      <c r="H402" s="84" t="s">
        <v>3521</v>
      </c>
      <c r="I402" s="84" t="s">
        <v>3684</v>
      </c>
      <c r="J402" s="91"/>
      <c r="K402" s="91"/>
      <c r="L402" s="87">
        <v>48.0</v>
      </c>
      <c r="M402" s="87">
        <v>4.0</v>
      </c>
      <c r="N402" s="87">
        <v>0.281818</v>
      </c>
      <c r="O402" s="87">
        <v>1.234199</v>
      </c>
      <c r="P402" s="87">
        <v>1.032906</v>
      </c>
      <c r="Q402" s="87">
        <v>0.848784</v>
      </c>
      <c r="T402" s="84" t="s">
        <v>842</v>
      </c>
      <c r="U402" s="87">
        <v>1.083333333</v>
      </c>
    </row>
    <row r="403">
      <c r="A403" s="84" t="s">
        <v>761</v>
      </c>
      <c r="B403" s="194" t="s">
        <v>4014</v>
      </c>
      <c r="C403" s="84" t="s">
        <v>764</v>
      </c>
      <c r="D403" s="88" t="s">
        <v>1396</v>
      </c>
      <c r="E403" s="84" t="s">
        <v>3683</v>
      </c>
      <c r="F403" s="84" t="s">
        <v>760</v>
      </c>
      <c r="G403" s="84" t="s">
        <v>4015</v>
      </c>
      <c r="H403" s="84" t="s">
        <v>3507</v>
      </c>
      <c r="I403" s="84" t="s">
        <v>3684</v>
      </c>
      <c r="J403" s="91"/>
      <c r="K403" s="85"/>
      <c r="L403" s="87">
        <v>572.0</v>
      </c>
      <c r="M403" s="87">
        <v>1.0</v>
      </c>
      <c r="N403" s="87">
        <v>10.71168</v>
      </c>
      <c r="O403" s="87">
        <v>11.54048</v>
      </c>
      <c r="P403" s="87">
        <v>15.06025</v>
      </c>
      <c r="Q403" s="87">
        <v>11.10334</v>
      </c>
      <c r="T403" s="84" t="s">
        <v>728</v>
      </c>
      <c r="U403" s="87">
        <v>0.333333333</v>
      </c>
    </row>
    <row r="404">
      <c r="A404" s="84" t="s">
        <v>644</v>
      </c>
      <c r="B404" s="194" t="s">
        <v>4081</v>
      </c>
      <c r="C404" s="84" t="s">
        <v>720</v>
      </c>
      <c r="D404" s="88" t="s">
        <v>1396</v>
      </c>
      <c r="E404" s="84" t="s">
        <v>3683</v>
      </c>
      <c r="F404" s="84" t="s">
        <v>708</v>
      </c>
      <c r="G404" s="84" t="s">
        <v>3607</v>
      </c>
      <c r="H404" s="84" t="s">
        <v>3521</v>
      </c>
      <c r="I404" s="84" t="s">
        <v>3684</v>
      </c>
      <c r="J404" s="84" t="s">
        <v>215</v>
      </c>
      <c r="L404" s="87">
        <v>192.0</v>
      </c>
      <c r="M404" s="87">
        <v>0.0</v>
      </c>
      <c r="N404" s="87">
        <v>0.781778</v>
      </c>
      <c r="O404" s="87">
        <v>0.595238</v>
      </c>
      <c r="P404" s="87">
        <v>2.369697</v>
      </c>
      <c r="Q404" s="87">
        <v>0.915844</v>
      </c>
      <c r="T404" s="84" t="s">
        <v>731</v>
      </c>
      <c r="U404" s="87">
        <v>0.0</v>
      </c>
    </row>
    <row r="405">
      <c r="A405" s="84" t="s">
        <v>472</v>
      </c>
      <c r="B405" s="194" t="s">
        <v>4082</v>
      </c>
      <c r="C405" s="84" t="s">
        <v>1031</v>
      </c>
      <c r="D405" s="88" t="s">
        <v>1396</v>
      </c>
      <c r="E405" s="84" t="s">
        <v>3683</v>
      </c>
      <c r="F405" s="91"/>
      <c r="G405" s="84" t="s">
        <v>3587</v>
      </c>
      <c r="H405" s="84" t="s">
        <v>3521</v>
      </c>
      <c r="I405" s="84" t="s">
        <v>3684</v>
      </c>
      <c r="J405" s="91"/>
      <c r="K405" s="85"/>
      <c r="L405" s="87">
        <v>432.0</v>
      </c>
      <c r="M405" s="87">
        <v>0.0</v>
      </c>
      <c r="N405" s="87">
        <v>0.0</v>
      </c>
      <c r="O405" s="87">
        <v>0.0</v>
      </c>
      <c r="P405" s="87">
        <v>0.0</v>
      </c>
      <c r="Q405" s="87">
        <v>0.0</v>
      </c>
      <c r="T405" s="84" t="s">
        <v>730</v>
      </c>
      <c r="U405" s="87">
        <v>0.0</v>
      </c>
    </row>
    <row r="406">
      <c r="A406" s="84" t="s">
        <v>231</v>
      </c>
      <c r="B406" s="194" t="s">
        <v>4083</v>
      </c>
      <c r="C406" s="84" t="s">
        <v>254</v>
      </c>
      <c r="D406" s="88" t="s">
        <v>1396</v>
      </c>
      <c r="E406" s="84" t="s">
        <v>3687</v>
      </c>
      <c r="F406" s="84" t="s">
        <v>250</v>
      </c>
      <c r="G406" s="84" t="s">
        <v>3566</v>
      </c>
      <c r="H406" s="84" t="s">
        <v>3521</v>
      </c>
      <c r="I406" s="84" t="s">
        <v>3962</v>
      </c>
      <c r="J406" s="84" t="s">
        <v>89</v>
      </c>
      <c r="K406" s="85"/>
      <c r="L406" s="87">
        <v>0.0</v>
      </c>
      <c r="M406" s="87">
        <v>2.0</v>
      </c>
      <c r="N406" s="87">
        <v>0.0</v>
      </c>
      <c r="O406" s="87">
        <v>1.142374</v>
      </c>
      <c r="P406" s="87">
        <v>1.573546</v>
      </c>
      <c r="Q406" s="87">
        <v>2.017897</v>
      </c>
      <c r="T406" s="84" t="s">
        <v>732</v>
      </c>
      <c r="U406" s="87">
        <v>0.583333333</v>
      </c>
    </row>
    <row r="407">
      <c r="A407" s="84" t="s">
        <v>139</v>
      </c>
      <c r="B407" s="194" t="s">
        <v>4084</v>
      </c>
      <c r="C407" s="84" t="s">
        <v>792</v>
      </c>
      <c r="D407" s="88" t="s">
        <v>1396</v>
      </c>
      <c r="E407" s="84" t="s">
        <v>3683</v>
      </c>
      <c r="F407" s="84" t="s">
        <v>787</v>
      </c>
      <c r="G407" s="84" t="s">
        <v>4085</v>
      </c>
      <c r="H407" s="84" t="s">
        <v>3521</v>
      </c>
      <c r="I407" s="84" t="s">
        <v>3684</v>
      </c>
      <c r="J407" s="84" t="s">
        <v>130</v>
      </c>
      <c r="K407" s="91"/>
      <c r="L407" s="87">
        <v>672.0</v>
      </c>
      <c r="M407" s="87">
        <v>0.0</v>
      </c>
      <c r="N407" s="87">
        <v>12.04148</v>
      </c>
      <c r="O407" s="87">
        <v>0.453968</v>
      </c>
      <c r="P407" s="87">
        <v>0.485238</v>
      </c>
      <c r="Q407" s="87">
        <v>12.3583</v>
      </c>
      <c r="T407" s="84" t="s">
        <v>4086</v>
      </c>
      <c r="U407" s="87">
        <v>0.0</v>
      </c>
    </row>
    <row r="408">
      <c r="A408" s="84" t="s">
        <v>644</v>
      </c>
      <c r="B408" s="194" t="s">
        <v>4087</v>
      </c>
      <c r="C408" s="84" t="s">
        <v>1252</v>
      </c>
      <c r="D408" s="88" t="s">
        <v>1396</v>
      </c>
      <c r="E408" s="91"/>
      <c r="F408" s="84" t="s">
        <v>708</v>
      </c>
      <c r="G408" s="84" t="s">
        <v>3607</v>
      </c>
      <c r="I408" s="84" t="s">
        <v>3684</v>
      </c>
      <c r="J408" s="91"/>
      <c r="K408" s="84" t="s">
        <v>111</v>
      </c>
      <c r="L408" s="87">
        <v>552.0</v>
      </c>
      <c r="M408" s="87">
        <v>0.0</v>
      </c>
      <c r="N408" s="87">
        <v>0.0</v>
      </c>
      <c r="O408" s="87">
        <v>0.0</v>
      </c>
      <c r="P408" s="87">
        <v>0.0</v>
      </c>
      <c r="Q408" s="87">
        <v>0.0</v>
      </c>
      <c r="T408" s="84" t="s">
        <v>223</v>
      </c>
      <c r="U408" s="87">
        <v>1.354351204</v>
      </c>
    </row>
    <row r="409">
      <c r="A409" s="84" t="s">
        <v>301</v>
      </c>
      <c r="B409" s="194" t="s">
        <v>4088</v>
      </c>
      <c r="C409" s="84" t="s">
        <v>313</v>
      </c>
      <c r="D409" s="88" t="s">
        <v>1396</v>
      </c>
      <c r="E409" s="84" t="s">
        <v>3683</v>
      </c>
      <c r="F409" s="84" t="s">
        <v>300</v>
      </c>
      <c r="G409" s="84" t="s">
        <v>3703</v>
      </c>
      <c r="H409" s="84" t="s">
        <v>3521</v>
      </c>
      <c r="I409" s="84" t="s">
        <v>3684</v>
      </c>
      <c r="J409" s="84" t="s">
        <v>130</v>
      </c>
      <c r="K409" s="91"/>
      <c r="L409" s="87">
        <v>144.0</v>
      </c>
      <c r="M409" s="87">
        <v>0.0</v>
      </c>
      <c r="N409" s="87">
        <v>0.0</v>
      </c>
      <c r="O409" s="87">
        <v>0.0</v>
      </c>
      <c r="P409" s="87">
        <v>0.0</v>
      </c>
      <c r="Q409" s="87">
        <v>0.0</v>
      </c>
      <c r="T409" s="84" t="s">
        <v>116</v>
      </c>
      <c r="U409" s="87">
        <v>0.324675325</v>
      </c>
    </row>
    <row r="410">
      <c r="A410" s="84" t="s">
        <v>1130</v>
      </c>
      <c r="B410" s="194" t="s">
        <v>4089</v>
      </c>
      <c r="C410" s="84" t="s">
        <v>1144</v>
      </c>
      <c r="D410" s="88" t="s">
        <v>1396</v>
      </c>
      <c r="E410" s="84" t="s">
        <v>3683</v>
      </c>
      <c r="F410" s="84" t="s">
        <v>1142</v>
      </c>
      <c r="G410" s="84" t="s">
        <v>3605</v>
      </c>
      <c r="H410" s="84" t="s">
        <v>3521</v>
      </c>
      <c r="I410" s="84" t="s">
        <v>3684</v>
      </c>
      <c r="J410" s="84" t="s">
        <v>130</v>
      </c>
      <c r="K410" s="91"/>
      <c r="L410" s="87">
        <v>240.0</v>
      </c>
      <c r="M410" s="87">
        <v>0.0</v>
      </c>
      <c r="N410" s="87">
        <v>2.785673</v>
      </c>
      <c r="O410" s="87">
        <v>0.0</v>
      </c>
      <c r="P410" s="87">
        <v>0.1</v>
      </c>
      <c r="Q410" s="87">
        <v>3.085123</v>
      </c>
      <c r="T410" s="84" t="s">
        <v>113</v>
      </c>
      <c r="U410" s="87">
        <v>0.4</v>
      </c>
    </row>
    <row r="411">
      <c r="A411" s="84" t="s">
        <v>481</v>
      </c>
      <c r="B411" s="194" t="s">
        <v>4090</v>
      </c>
      <c r="C411" s="84" t="s">
        <v>998</v>
      </c>
      <c r="D411" s="88" t="s">
        <v>1396</v>
      </c>
      <c r="E411" s="84" t="s">
        <v>3683</v>
      </c>
      <c r="F411" s="84" t="s">
        <v>989</v>
      </c>
      <c r="G411" s="84" t="s">
        <v>3585</v>
      </c>
      <c r="H411" s="84" t="s">
        <v>3521</v>
      </c>
      <c r="I411" s="84" t="s">
        <v>3684</v>
      </c>
      <c r="J411" s="85"/>
      <c r="K411" s="85"/>
      <c r="L411" s="87">
        <v>31.0</v>
      </c>
      <c r="M411" s="87">
        <v>0.0</v>
      </c>
      <c r="N411" s="87">
        <v>0.142857</v>
      </c>
      <c r="O411" s="87">
        <v>1.142857</v>
      </c>
      <c r="P411" s="87">
        <v>0.903448</v>
      </c>
      <c r="Q411" s="87">
        <v>0.772854</v>
      </c>
      <c r="T411" s="84" t="s">
        <v>105</v>
      </c>
      <c r="U411" s="87">
        <v>0.0</v>
      </c>
    </row>
    <row r="412">
      <c r="A412" s="84" t="s">
        <v>573</v>
      </c>
      <c r="B412" s="194" t="s">
        <v>4091</v>
      </c>
      <c r="C412" s="84" t="s">
        <v>593</v>
      </c>
      <c r="D412" s="88" t="s">
        <v>1396</v>
      </c>
      <c r="E412" s="84" t="s">
        <v>3687</v>
      </c>
      <c r="F412" s="84" t="s">
        <v>592</v>
      </c>
      <c r="G412" s="84" t="s">
        <v>4092</v>
      </c>
      <c r="H412" s="84" t="s">
        <v>3521</v>
      </c>
      <c r="I412" s="84" t="s">
        <v>3709</v>
      </c>
      <c r="J412" s="91"/>
      <c r="K412" s="85"/>
      <c r="L412" s="87">
        <v>0.0</v>
      </c>
      <c r="M412" s="87">
        <v>0.0</v>
      </c>
      <c r="N412" s="87">
        <v>0.0</v>
      </c>
      <c r="O412" s="87">
        <v>1.119048</v>
      </c>
      <c r="P412" s="87">
        <v>1.73609</v>
      </c>
      <c r="Q412" s="87">
        <v>1.400283</v>
      </c>
      <c r="T412" s="84" t="s">
        <v>933</v>
      </c>
      <c r="U412" s="87">
        <v>0.125</v>
      </c>
    </row>
    <row r="413">
      <c r="A413" s="84" t="s">
        <v>139</v>
      </c>
      <c r="B413" s="194" t="s">
        <v>4093</v>
      </c>
      <c r="C413" s="84" t="s">
        <v>790</v>
      </c>
      <c r="D413" s="88" t="s">
        <v>1396</v>
      </c>
      <c r="E413" s="84" t="s">
        <v>3683</v>
      </c>
      <c r="F413" s="84" t="s">
        <v>787</v>
      </c>
      <c r="G413" s="84" t="s">
        <v>4085</v>
      </c>
      <c r="H413" s="84" t="s">
        <v>3521</v>
      </c>
      <c r="I413" s="84" t="s">
        <v>3684</v>
      </c>
      <c r="J413" s="84" t="s">
        <v>130</v>
      </c>
      <c r="K413" s="91"/>
      <c r="L413" s="87">
        <v>672.0</v>
      </c>
      <c r="M413" s="87">
        <v>0.0</v>
      </c>
      <c r="N413" s="87">
        <v>13.28188</v>
      </c>
      <c r="O413" s="87">
        <v>0.071429</v>
      </c>
      <c r="P413" s="87">
        <v>0.37619</v>
      </c>
      <c r="Q413" s="87">
        <v>13.33995</v>
      </c>
      <c r="T413" s="84" t="s">
        <v>958</v>
      </c>
      <c r="U413" s="87">
        <v>0.0</v>
      </c>
    </row>
    <row r="414">
      <c r="A414" s="84" t="s">
        <v>444</v>
      </c>
      <c r="B414" s="194" t="s">
        <v>4094</v>
      </c>
      <c r="C414" s="84" t="s">
        <v>947</v>
      </c>
      <c r="D414" s="88" t="s">
        <v>1396</v>
      </c>
      <c r="E414" s="84" t="s">
        <v>3683</v>
      </c>
      <c r="F414" s="84" t="s">
        <v>948</v>
      </c>
      <c r="G414" s="84" t="s">
        <v>3578</v>
      </c>
      <c r="H414" s="84" t="s">
        <v>3521</v>
      </c>
      <c r="I414" s="84" t="s">
        <v>3684</v>
      </c>
      <c r="J414" s="85"/>
      <c r="K414" s="91"/>
      <c r="L414" s="87">
        <v>26.0</v>
      </c>
      <c r="M414" s="87">
        <v>7.0</v>
      </c>
      <c r="N414" s="87">
        <v>0.539683</v>
      </c>
      <c r="O414" s="87">
        <v>4.237118</v>
      </c>
      <c r="P414" s="87">
        <v>6.694899</v>
      </c>
      <c r="Q414" s="87">
        <v>6.632134</v>
      </c>
      <c r="T414" s="84" t="s">
        <v>960</v>
      </c>
      <c r="U414" s="87">
        <v>0.0</v>
      </c>
    </row>
    <row r="415">
      <c r="A415" s="84" t="s">
        <v>795</v>
      </c>
      <c r="B415" s="194" t="s">
        <v>3967</v>
      </c>
      <c r="C415" s="84" t="s">
        <v>793</v>
      </c>
      <c r="D415" s="88" t="s">
        <v>1396</v>
      </c>
      <c r="E415" s="84" t="s">
        <v>3683</v>
      </c>
      <c r="F415" s="84" t="s">
        <v>794</v>
      </c>
      <c r="G415" s="84" t="s">
        <v>3522</v>
      </c>
      <c r="H415" s="84" t="s">
        <v>3521</v>
      </c>
      <c r="I415" s="84" t="s">
        <v>3684</v>
      </c>
      <c r="J415" s="91"/>
      <c r="K415" s="91"/>
      <c r="L415" s="87">
        <v>0.0</v>
      </c>
      <c r="M415" s="87">
        <v>2.0</v>
      </c>
      <c r="N415" s="87">
        <v>0.0</v>
      </c>
      <c r="O415" s="87">
        <v>1.0</v>
      </c>
      <c r="P415" s="87">
        <v>1.030769</v>
      </c>
      <c r="Q415" s="87">
        <v>0.734412</v>
      </c>
      <c r="T415" s="84" t="s">
        <v>607</v>
      </c>
      <c r="U415" s="87">
        <v>0.0</v>
      </c>
    </row>
    <row r="416">
      <c r="A416" s="84" t="s">
        <v>481</v>
      </c>
      <c r="B416" s="194" t="s">
        <v>3863</v>
      </c>
      <c r="C416" s="84" t="s">
        <v>522</v>
      </c>
      <c r="D416" s="88" t="s">
        <v>1396</v>
      </c>
      <c r="E416" s="84" t="s">
        <v>3683</v>
      </c>
      <c r="F416" s="84" t="s">
        <v>516</v>
      </c>
      <c r="G416" s="84" t="s">
        <v>3593</v>
      </c>
      <c r="H416" s="84" t="s">
        <v>3521</v>
      </c>
      <c r="I416" s="84" t="s">
        <v>3684</v>
      </c>
      <c r="J416" s="91"/>
      <c r="K416" s="85"/>
      <c r="L416" s="87">
        <v>0.0</v>
      </c>
      <c r="M416" s="87">
        <v>2.0</v>
      </c>
      <c r="N416" s="87">
        <v>0.0</v>
      </c>
      <c r="O416" s="87">
        <v>1.058442</v>
      </c>
      <c r="P416" s="87">
        <v>0.612261</v>
      </c>
      <c r="Q416" s="87">
        <v>0.627059</v>
      </c>
      <c r="T416" s="84" t="s">
        <v>520</v>
      </c>
      <c r="U416" s="87">
        <v>0.0</v>
      </c>
    </row>
    <row r="417">
      <c r="A417" s="84" t="s">
        <v>472</v>
      </c>
      <c r="B417" s="194" t="s">
        <v>4095</v>
      </c>
      <c r="C417" s="84" t="s">
        <v>489</v>
      </c>
      <c r="D417" s="88" t="s">
        <v>1396</v>
      </c>
      <c r="E417" s="84" t="s">
        <v>3683</v>
      </c>
      <c r="F417" s="84" t="s">
        <v>453</v>
      </c>
      <c r="G417" s="84" t="s">
        <v>3851</v>
      </c>
      <c r="H417" s="84" t="s">
        <v>3521</v>
      </c>
      <c r="I417" s="84" t="s">
        <v>3684</v>
      </c>
      <c r="J417" s="85"/>
      <c r="K417" s="85"/>
      <c r="L417" s="87">
        <v>0.0</v>
      </c>
      <c r="M417" s="87">
        <v>2.0</v>
      </c>
      <c r="N417" s="87">
        <v>0.0</v>
      </c>
      <c r="O417" s="87">
        <v>2.594322</v>
      </c>
      <c r="P417" s="87">
        <v>2.532313</v>
      </c>
      <c r="Q417" s="87">
        <v>2.060775</v>
      </c>
      <c r="T417" s="84" t="s">
        <v>515</v>
      </c>
      <c r="U417" s="87">
        <v>0.0</v>
      </c>
    </row>
    <row r="418">
      <c r="A418" s="84" t="s">
        <v>458</v>
      </c>
      <c r="B418" s="194" t="s">
        <v>4054</v>
      </c>
      <c r="C418" s="84" t="s">
        <v>972</v>
      </c>
      <c r="D418" s="88" t="s">
        <v>1396</v>
      </c>
      <c r="E418" s="84" t="s">
        <v>3683</v>
      </c>
      <c r="F418" s="84" t="s">
        <v>973</v>
      </c>
      <c r="G418" s="84" t="s">
        <v>3582</v>
      </c>
      <c r="H418" s="84" t="s">
        <v>3521</v>
      </c>
      <c r="I418" s="84" t="s">
        <v>3684</v>
      </c>
      <c r="J418" s="91"/>
      <c r="K418" s="84" t="s">
        <v>111</v>
      </c>
      <c r="L418" s="87">
        <v>792.0</v>
      </c>
      <c r="M418" s="87">
        <v>0.0</v>
      </c>
      <c r="N418" s="87">
        <v>0.222222</v>
      </c>
      <c r="O418" s="87">
        <v>0.0</v>
      </c>
      <c r="P418" s="87">
        <v>0.0</v>
      </c>
      <c r="Q418" s="87">
        <v>0.222222</v>
      </c>
      <c r="T418" s="84" t="s">
        <v>524</v>
      </c>
      <c r="U418" s="87">
        <v>0.0</v>
      </c>
    </row>
    <row r="419">
      <c r="A419" s="84" t="s">
        <v>644</v>
      </c>
      <c r="B419" s="194" t="s">
        <v>4019</v>
      </c>
      <c r="C419" s="84" t="s">
        <v>724</v>
      </c>
      <c r="D419" s="88" t="s">
        <v>1396</v>
      </c>
      <c r="E419" s="84" t="s">
        <v>3687</v>
      </c>
      <c r="F419" s="84" t="s">
        <v>708</v>
      </c>
      <c r="G419" s="84" t="s">
        <v>3607</v>
      </c>
      <c r="H419" s="84" t="s">
        <v>3521</v>
      </c>
      <c r="I419" s="84" t="s">
        <v>3684</v>
      </c>
      <c r="J419" s="84" t="s">
        <v>215</v>
      </c>
      <c r="K419" s="84" t="s">
        <v>111</v>
      </c>
      <c r="L419" s="87">
        <v>96.0</v>
      </c>
      <c r="M419" s="87">
        <v>0.0</v>
      </c>
      <c r="N419" s="87">
        <v>0.0</v>
      </c>
      <c r="O419" s="87">
        <v>0.0</v>
      </c>
      <c r="P419" s="87">
        <v>0.0</v>
      </c>
      <c r="Q419" s="87">
        <v>0.0</v>
      </c>
      <c r="T419" s="84" t="s">
        <v>518</v>
      </c>
      <c r="U419" s="87">
        <v>0.0</v>
      </c>
    </row>
    <row r="420">
      <c r="A420" s="84" t="s">
        <v>537</v>
      </c>
      <c r="B420" s="194" t="s">
        <v>4096</v>
      </c>
      <c r="C420" s="84" t="s">
        <v>541</v>
      </c>
      <c r="D420" s="88" t="s">
        <v>1396</v>
      </c>
      <c r="E420" s="84" t="s">
        <v>3683</v>
      </c>
      <c r="F420" s="84" t="s">
        <v>542</v>
      </c>
      <c r="G420" s="84" t="s">
        <v>3514</v>
      </c>
      <c r="I420" s="84" t="s">
        <v>3693</v>
      </c>
      <c r="J420" s="91"/>
      <c r="K420" s="85"/>
      <c r="L420" s="87">
        <v>552.0</v>
      </c>
      <c r="M420" s="87">
        <v>0.0</v>
      </c>
      <c r="N420" s="87">
        <v>0.0</v>
      </c>
      <c r="O420" s="87">
        <v>0.0</v>
      </c>
      <c r="P420" s="87">
        <v>0.0</v>
      </c>
      <c r="Q420" s="87">
        <v>0.0</v>
      </c>
      <c r="T420" s="84" t="s">
        <v>517</v>
      </c>
      <c r="U420" s="87">
        <v>0.0</v>
      </c>
    </row>
    <row r="421">
      <c r="A421" s="84" t="s">
        <v>644</v>
      </c>
      <c r="B421" s="194" t="s">
        <v>4063</v>
      </c>
      <c r="C421" s="84" t="s">
        <v>675</v>
      </c>
      <c r="D421" s="88" t="s">
        <v>1396</v>
      </c>
      <c r="E421" s="84" t="s">
        <v>3683</v>
      </c>
      <c r="F421" s="84" t="s">
        <v>670</v>
      </c>
      <c r="G421" s="84" t="s">
        <v>3789</v>
      </c>
      <c r="H421" s="84" t="s">
        <v>3521</v>
      </c>
      <c r="I421" s="84" t="s">
        <v>3684</v>
      </c>
      <c r="J421" s="84" t="s">
        <v>130</v>
      </c>
      <c r="K421" s="91"/>
      <c r="L421" s="87">
        <v>72.0</v>
      </c>
      <c r="M421" s="87">
        <v>0.0</v>
      </c>
      <c r="N421" s="87">
        <v>0.026316</v>
      </c>
      <c r="O421" s="87">
        <v>0.0</v>
      </c>
      <c r="P421" s="87">
        <v>0.0</v>
      </c>
      <c r="Q421" s="87">
        <v>0.026316</v>
      </c>
      <c r="T421" s="84" t="s">
        <v>522</v>
      </c>
      <c r="U421" s="87">
        <v>0.0</v>
      </c>
    </row>
    <row r="422">
      <c r="A422" s="84" t="s">
        <v>213</v>
      </c>
      <c r="B422" s="194" t="s">
        <v>3941</v>
      </c>
      <c r="C422" s="84" t="s">
        <v>853</v>
      </c>
      <c r="D422" s="88" t="s">
        <v>1396</v>
      </c>
      <c r="E422" s="84" t="s">
        <v>3683</v>
      </c>
      <c r="F422" s="84" t="s">
        <v>850</v>
      </c>
      <c r="G422" s="84" t="s">
        <v>3551</v>
      </c>
      <c r="H422" s="84" t="s">
        <v>3521</v>
      </c>
      <c r="I422" s="84" t="s">
        <v>3684</v>
      </c>
      <c r="J422" s="91"/>
      <c r="K422" s="84" t="s">
        <v>111</v>
      </c>
      <c r="L422" s="87">
        <v>288.0</v>
      </c>
      <c r="M422" s="87">
        <v>0.0</v>
      </c>
      <c r="N422" s="87">
        <v>0.0</v>
      </c>
      <c r="O422" s="87">
        <v>0.0</v>
      </c>
      <c r="P422" s="87">
        <v>0.0</v>
      </c>
      <c r="Q422" s="87">
        <v>0.0</v>
      </c>
      <c r="T422" s="84" t="s">
        <v>519</v>
      </c>
      <c r="U422" s="87">
        <v>0.0</v>
      </c>
    </row>
    <row r="423">
      <c r="A423" s="84" t="s">
        <v>644</v>
      </c>
      <c r="B423" s="194" t="s">
        <v>4097</v>
      </c>
      <c r="C423" s="84" t="s">
        <v>1249</v>
      </c>
      <c r="D423" s="88" t="s">
        <v>1396</v>
      </c>
      <c r="E423" s="84" t="s">
        <v>3683</v>
      </c>
      <c r="F423" s="84" t="s">
        <v>706</v>
      </c>
      <c r="G423" s="84" t="s">
        <v>3547</v>
      </c>
      <c r="H423" s="84" t="s">
        <v>3521</v>
      </c>
      <c r="I423" s="84" t="s">
        <v>3684</v>
      </c>
      <c r="J423" s="91"/>
      <c r="K423" s="84" t="s">
        <v>111</v>
      </c>
      <c r="L423" s="87">
        <v>624.0</v>
      </c>
      <c r="M423" s="87">
        <v>0.0</v>
      </c>
      <c r="N423" s="87">
        <v>1.0</v>
      </c>
      <c r="O423" s="87">
        <v>0.0</v>
      </c>
      <c r="P423" s="87">
        <v>0.0</v>
      </c>
      <c r="Q423" s="87">
        <v>1.0</v>
      </c>
      <c r="T423" s="84" t="s">
        <v>521</v>
      </c>
      <c r="U423" s="87">
        <v>0.0</v>
      </c>
    </row>
    <row r="424">
      <c r="A424" s="84" t="s">
        <v>472</v>
      </c>
      <c r="B424" s="194" t="s">
        <v>3807</v>
      </c>
      <c r="C424" s="84" t="s">
        <v>1016</v>
      </c>
      <c r="D424" s="88" t="s">
        <v>1396</v>
      </c>
      <c r="E424" s="84" t="s">
        <v>3683</v>
      </c>
      <c r="F424" s="91"/>
      <c r="G424" s="84" t="s">
        <v>3587</v>
      </c>
      <c r="I424" s="84" t="s">
        <v>3684</v>
      </c>
      <c r="J424" s="91"/>
      <c r="K424" s="91"/>
      <c r="L424" s="87">
        <v>552.0</v>
      </c>
      <c r="M424" s="87">
        <v>0.0</v>
      </c>
      <c r="N424" s="87">
        <v>0.0</v>
      </c>
      <c r="O424" s="87">
        <v>0.0</v>
      </c>
      <c r="P424" s="87">
        <v>0.0</v>
      </c>
      <c r="Q424" s="87">
        <v>0.0</v>
      </c>
      <c r="T424" s="84" t="s">
        <v>523</v>
      </c>
      <c r="U424" s="87">
        <v>0.181818182</v>
      </c>
    </row>
    <row r="425">
      <c r="A425" s="84" t="s">
        <v>213</v>
      </c>
      <c r="B425" s="194" t="s">
        <v>4098</v>
      </c>
      <c r="C425" s="84" t="s">
        <v>849</v>
      </c>
      <c r="D425" s="88" t="s">
        <v>1396</v>
      </c>
      <c r="E425" s="84" t="s">
        <v>3683</v>
      </c>
      <c r="F425" s="84" t="s">
        <v>850</v>
      </c>
      <c r="G425" s="84" t="s">
        <v>3551</v>
      </c>
      <c r="H425" s="84" t="s">
        <v>3521</v>
      </c>
      <c r="I425" s="84" t="s">
        <v>3684</v>
      </c>
      <c r="J425" s="85"/>
      <c r="K425" s="85"/>
      <c r="L425" s="87">
        <v>0.0</v>
      </c>
      <c r="M425" s="87">
        <v>1.0</v>
      </c>
      <c r="N425" s="87">
        <v>0.0</v>
      </c>
      <c r="O425" s="87">
        <v>0.571429</v>
      </c>
      <c r="P425" s="87">
        <v>0.633333</v>
      </c>
      <c r="Q425" s="87">
        <v>0.439238</v>
      </c>
      <c r="T425" s="84" t="s">
        <v>614</v>
      </c>
      <c r="U425" s="87">
        <v>0.0</v>
      </c>
    </row>
    <row r="426">
      <c r="A426" s="84" t="s">
        <v>258</v>
      </c>
      <c r="B426" s="194" t="s">
        <v>4099</v>
      </c>
      <c r="C426" s="84" t="s">
        <v>879</v>
      </c>
      <c r="D426" s="88" t="s">
        <v>1396</v>
      </c>
      <c r="E426" s="84" t="s">
        <v>3683</v>
      </c>
      <c r="F426" s="84" t="s">
        <v>880</v>
      </c>
      <c r="G426" s="84" t="s">
        <v>3557</v>
      </c>
      <c r="H426" s="84" t="s">
        <v>3521</v>
      </c>
      <c r="I426" s="84" t="s">
        <v>3684</v>
      </c>
      <c r="J426" s="91"/>
      <c r="K426" s="84" t="s">
        <v>111</v>
      </c>
      <c r="L426" s="87">
        <v>192.0</v>
      </c>
      <c r="M426" s="87">
        <v>0.0</v>
      </c>
      <c r="N426" s="87">
        <v>0.0</v>
      </c>
      <c r="O426" s="87">
        <v>0.0</v>
      </c>
      <c r="P426" s="87">
        <v>0.0</v>
      </c>
      <c r="Q426" s="87">
        <v>0.0</v>
      </c>
      <c r="T426" s="84" t="s">
        <v>486</v>
      </c>
      <c r="U426" s="87">
        <v>3.630555556</v>
      </c>
    </row>
    <row r="427">
      <c r="A427" s="84" t="s">
        <v>213</v>
      </c>
      <c r="B427" s="194" t="s">
        <v>3987</v>
      </c>
      <c r="C427" s="84" t="s">
        <v>3988</v>
      </c>
      <c r="D427" s="88" t="s">
        <v>1396</v>
      </c>
      <c r="E427" s="84" t="s">
        <v>3683</v>
      </c>
      <c r="F427" s="84" t="s">
        <v>856</v>
      </c>
      <c r="G427" s="84" t="s">
        <v>3552</v>
      </c>
      <c r="H427" s="84" t="s">
        <v>3521</v>
      </c>
      <c r="I427" s="84" t="s">
        <v>3684</v>
      </c>
      <c r="J427" s="84" t="s">
        <v>130</v>
      </c>
      <c r="K427" s="91"/>
      <c r="L427" s="87">
        <v>504.0</v>
      </c>
      <c r="M427" s="87">
        <v>0.0</v>
      </c>
      <c r="N427" s="87">
        <v>0.068966</v>
      </c>
      <c r="O427" s="87">
        <v>0.428571</v>
      </c>
      <c r="P427" s="87">
        <v>0.82</v>
      </c>
      <c r="Q427" s="87">
        <v>0.498225</v>
      </c>
      <c r="T427" s="84" t="s">
        <v>514</v>
      </c>
      <c r="U427" s="87">
        <v>0.0</v>
      </c>
    </row>
    <row r="428">
      <c r="A428" s="84" t="s">
        <v>213</v>
      </c>
      <c r="B428" s="194" t="s">
        <v>3950</v>
      </c>
      <c r="C428" s="84" t="s">
        <v>863</v>
      </c>
      <c r="D428" s="88" t="s">
        <v>1396</v>
      </c>
      <c r="E428" s="84" t="s">
        <v>3683</v>
      </c>
      <c r="F428" s="84" t="s">
        <v>864</v>
      </c>
      <c r="G428" s="84" t="s">
        <v>3552</v>
      </c>
      <c r="H428" s="84" t="s">
        <v>3521</v>
      </c>
      <c r="I428" s="84" t="s">
        <v>3684</v>
      </c>
      <c r="J428" s="85"/>
      <c r="K428" s="85"/>
      <c r="L428" s="87">
        <v>0.0</v>
      </c>
      <c r="M428" s="87">
        <v>2.0</v>
      </c>
      <c r="N428" s="87">
        <v>0.0</v>
      </c>
      <c r="O428" s="87">
        <v>2.132973</v>
      </c>
      <c r="P428" s="87">
        <v>1.703045</v>
      </c>
      <c r="Q428" s="87">
        <v>1.962261</v>
      </c>
      <c r="T428" s="84" t="s">
        <v>452</v>
      </c>
      <c r="U428" s="87">
        <v>0.0</v>
      </c>
    </row>
    <row r="429">
      <c r="A429" s="84" t="s">
        <v>393</v>
      </c>
      <c r="B429" s="194" t="s">
        <v>4055</v>
      </c>
      <c r="C429" s="84" t="s">
        <v>412</v>
      </c>
      <c r="D429" s="88" t="s">
        <v>1396</v>
      </c>
      <c r="E429" s="84" t="s">
        <v>3683</v>
      </c>
      <c r="F429" s="84" t="s">
        <v>352</v>
      </c>
      <c r="G429" s="84" t="s">
        <v>3754</v>
      </c>
      <c r="H429" s="84" t="s">
        <v>3521</v>
      </c>
      <c r="I429" s="84" t="s">
        <v>3693</v>
      </c>
      <c r="J429" s="85"/>
      <c r="K429" s="85"/>
      <c r="L429" s="87">
        <v>0.0</v>
      </c>
      <c r="M429" s="87">
        <v>0.0</v>
      </c>
      <c r="N429" s="87">
        <v>0.0</v>
      </c>
      <c r="O429" s="87">
        <v>0.142857</v>
      </c>
      <c r="P429" s="87">
        <v>0.1</v>
      </c>
      <c r="Q429" s="87">
        <v>0.216949</v>
      </c>
      <c r="T429" s="84" t="s">
        <v>484</v>
      </c>
      <c r="U429" s="87">
        <v>0.0</v>
      </c>
    </row>
    <row r="430">
      <c r="A430" s="84" t="s">
        <v>139</v>
      </c>
      <c r="B430" s="194" t="s">
        <v>4003</v>
      </c>
      <c r="C430" s="84" t="s">
        <v>172</v>
      </c>
      <c r="D430" s="88" t="s">
        <v>1396</v>
      </c>
      <c r="E430" s="84" t="s">
        <v>3687</v>
      </c>
      <c r="F430" s="84" t="s">
        <v>144</v>
      </c>
      <c r="G430" s="84" t="s">
        <v>3700</v>
      </c>
      <c r="H430" s="84" t="s">
        <v>3521</v>
      </c>
      <c r="I430" s="84" t="s">
        <v>3684</v>
      </c>
      <c r="J430" s="84" t="s">
        <v>130</v>
      </c>
      <c r="K430" s="84" t="s">
        <v>111</v>
      </c>
      <c r="L430" s="87">
        <v>696.0</v>
      </c>
      <c r="M430" s="87">
        <v>0.0</v>
      </c>
      <c r="N430" s="87">
        <v>5.097849</v>
      </c>
      <c r="O430" s="87">
        <v>0.0</v>
      </c>
      <c r="P430" s="87">
        <v>1.0</v>
      </c>
      <c r="Q430" s="87">
        <v>5.097849</v>
      </c>
      <c r="T430" s="84" t="s">
        <v>1254</v>
      </c>
      <c r="U430" s="87">
        <v>0.0</v>
      </c>
    </row>
    <row r="431">
      <c r="A431" s="84" t="s">
        <v>180</v>
      </c>
      <c r="B431" s="194" t="s">
        <v>3908</v>
      </c>
      <c r="C431" s="84" t="s">
        <v>200</v>
      </c>
      <c r="D431" s="88" t="s">
        <v>1396</v>
      </c>
      <c r="E431" s="91"/>
      <c r="F431" s="84" t="s">
        <v>201</v>
      </c>
      <c r="G431" s="84" t="s">
        <v>3727</v>
      </c>
      <c r="I431" s="84" t="s">
        <v>3684</v>
      </c>
      <c r="J431" s="91"/>
      <c r="K431" s="85"/>
      <c r="L431" s="87">
        <v>552.0</v>
      </c>
      <c r="M431" s="87">
        <v>0.0</v>
      </c>
      <c r="N431" s="87">
        <v>0.0</v>
      </c>
      <c r="O431" s="87">
        <v>0.0</v>
      </c>
      <c r="P431" s="87">
        <v>0.0</v>
      </c>
      <c r="Q431" s="87">
        <v>0.0</v>
      </c>
      <c r="T431" s="84" t="s">
        <v>1258</v>
      </c>
      <c r="U431" s="87">
        <v>1.166666667</v>
      </c>
    </row>
    <row r="432">
      <c r="A432" s="84" t="s">
        <v>537</v>
      </c>
      <c r="B432" s="194" t="s">
        <v>4100</v>
      </c>
      <c r="C432" s="84" t="s">
        <v>1042</v>
      </c>
      <c r="D432" s="88" t="s">
        <v>1396</v>
      </c>
      <c r="E432" s="84" t="s">
        <v>3683</v>
      </c>
      <c r="F432" s="84" t="s">
        <v>1043</v>
      </c>
      <c r="G432" s="84" t="s">
        <v>3591</v>
      </c>
      <c r="H432" s="84" t="s">
        <v>3521</v>
      </c>
      <c r="I432" s="84" t="s">
        <v>3693</v>
      </c>
      <c r="J432" s="85"/>
      <c r="K432" s="91"/>
      <c r="L432" s="87">
        <v>0.0</v>
      </c>
      <c r="M432" s="87">
        <v>0.0</v>
      </c>
      <c r="N432" s="87">
        <v>0.0</v>
      </c>
      <c r="O432" s="87">
        <v>0.0</v>
      </c>
      <c r="P432" s="87">
        <v>0.0</v>
      </c>
      <c r="Q432" s="87">
        <v>0.0</v>
      </c>
      <c r="T432" s="84" t="s">
        <v>798</v>
      </c>
      <c r="U432" s="87">
        <v>0.0</v>
      </c>
    </row>
    <row r="433">
      <c r="A433" s="84" t="s">
        <v>258</v>
      </c>
      <c r="B433" s="194" t="s">
        <v>4101</v>
      </c>
      <c r="C433" s="84" t="s">
        <v>890</v>
      </c>
      <c r="D433" s="88" t="s">
        <v>1396</v>
      </c>
      <c r="E433" s="84" t="s">
        <v>3687</v>
      </c>
      <c r="F433" s="84" t="s">
        <v>884</v>
      </c>
      <c r="G433" s="84" t="s">
        <v>3558</v>
      </c>
      <c r="H433" s="84" t="s">
        <v>3521</v>
      </c>
      <c r="I433" s="84" t="s">
        <v>3684</v>
      </c>
      <c r="J433" s="84" t="s">
        <v>130</v>
      </c>
      <c r="K433" s="91"/>
      <c r="L433" s="87">
        <v>24.0</v>
      </c>
      <c r="M433" s="87">
        <v>0.0</v>
      </c>
      <c r="N433" s="87">
        <v>0.0</v>
      </c>
      <c r="O433" s="87">
        <v>0.0</v>
      </c>
      <c r="P433" s="87">
        <v>0.0</v>
      </c>
      <c r="Q433" s="87">
        <v>0.0</v>
      </c>
      <c r="T433" s="84" t="s">
        <v>1084</v>
      </c>
      <c r="U433" s="87">
        <v>1.591269841</v>
      </c>
    </row>
    <row r="434">
      <c r="A434" s="84" t="s">
        <v>601</v>
      </c>
      <c r="B434" s="194" t="s">
        <v>4102</v>
      </c>
      <c r="C434" s="84" t="s">
        <v>1066</v>
      </c>
      <c r="D434" s="88" t="s">
        <v>1396</v>
      </c>
      <c r="E434" s="84" t="s">
        <v>3745</v>
      </c>
      <c r="F434" s="84" t="s">
        <v>340</v>
      </c>
      <c r="G434" s="84" t="s">
        <v>3595</v>
      </c>
      <c r="H434" s="84" t="s">
        <v>3521</v>
      </c>
      <c r="I434" s="84" t="s">
        <v>3684</v>
      </c>
      <c r="J434" s="85"/>
      <c r="K434" s="91"/>
      <c r="L434" s="87">
        <v>109.0</v>
      </c>
      <c r="M434" s="87">
        <v>2.0</v>
      </c>
      <c r="N434" s="87">
        <v>0.411034</v>
      </c>
      <c r="O434" s="87">
        <v>6.502381</v>
      </c>
      <c r="P434" s="87">
        <v>5.218994</v>
      </c>
      <c r="Q434" s="87">
        <v>5.569439</v>
      </c>
      <c r="T434" s="84" t="s">
        <v>793</v>
      </c>
      <c r="U434" s="87">
        <v>0.25</v>
      </c>
    </row>
    <row r="435">
      <c r="A435" s="84" t="s">
        <v>472</v>
      </c>
      <c r="B435" s="194" t="s">
        <v>3730</v>
      </c>
      <c r="C435" s="84" t="s">
        <v>1025</v>
      </c>
      <c r="D435" s="88" t="s">
        <v>1396</v>
      </c>
      <c r="E435" s="84" t="s">
        <v>3683</v>
      </c>
      <c r="F435" s="84" t="s">
        <v>1020</v>
      </c>
      <c r="G435" s="84" t="s">
        <v>3560</v>
      </c>
      <c r="H435" s="84" t="s">
        <v>3507</v>
      </c>
      <c r="I435" s="84" t="s">
        <v>3684</v>
      </c>
      <c r="J435" s="85"/>
      <c r="K435" s="91"/>
      <c r="L435" s="87">
        <v>106.0</v>
      </c>
      <c r="M435" s="87">
        <v>3.0</v>
      </c>
      <c r="N435" s="87">
        <v>0.608126</v>
      </c>
      <c r="O435" s="87">
        <v>1.783333</v>
      </c>
      <c r="P435" s="87">
        <v>0.873479</v>
      </c>
      <c r="Q435" s="87">
        <v>0.707123</v>
      </c>
      <c r="T435" s="84" t="s">
        <v>611</v>
      </c>
      <c r="U435" s="87">
        <v>3.6504329</v>
      </c>
    </row>
    <row r="436">
      <c r="A436" s="84" t="s">
        <v>630</v>
      </c>
      <c r="B436" s="194" t="s">
        <v>3845</v>
      </c>
      <c r="C436" s="84" t="s">
        <v>1107</v>
      </c>
      <c r="D436" s="88" t="s">
        <v>1396</v>
      </c>
      <c r="E436" s="84" t="s">
        <v>3683</v>
      </c>
      <c r="F436" s="84" t="s">
        <v>1108</v>
      </c>
      <c r="G436" s="84" t="s">
        <v>3554</v>
      </c>
      <c r="H436" s="84" t="s">
        <v>3521</v>
      </c>
      <c r="I436" s="84" t="s">
        <v>3684</v>
      </c>
      <c r="J436" s="91"/>
      <c r="K436" s="91"/>
      <c r="L436" s="87">
        <v>24.0</v>
      </c>
      <c r="M436" s="87">
        <v>1.0</v>
      </c>
      <c r="N436" s="87">
        <v>0.0</v>
      </c>
      <c r="O436" s="87">
        <v>1.729829</v>
      </c>
      <c r="P436" s="87">
        <v>3.404338</v>
      </c>
      <c r="Q436" s="87">
        <v>3.066062</v>
      </c>
      <c r="T436" s="84" t="s">
        <v>944</v>
      </c>
      <c r="U436" s="87">
        <v>0.0</v>
      </c>
    </row>
    <row r="437">
      <c r="A437" s="84" t="s">
        <v>472</v>
      </c>
      <c r="B437" s="194" t="s">
        <v>4103</v>
      </c>
      <c r="C437" s="84" t="s">
        <v>1029</v>
      </c>
      <c r="D437" s="88" t="s">
        <v>1396</v>
      </c>
      <c r="E437" s="84" t="s">
        <v>3683</v>
      </c>
      <c r="F437" s="91"/>
      <c r="G437" s="84" t="s">
        <v>3587</v>
      </c>
      <c r="H437" s="84" t="s">
        <v>3521</v>
      </c>
      <c r="I437" s="84" t="s">
        <v>3684</v>
      </c>
      <c r="J437" s="91"/>
      <c r="K437" s="91"/>
      <c r="L437" s="87">
        <v>432.0</v>
      </c>
      <c r="M437" s="87">
        <v>0.0</v>
      </c>
      <c r="N437" s="87">
        <v>0.0</v>
      </c>
      <c r="O437" s="87">
        <v>0.0</v>
      </c>
      <c r="P437" s="87">
        <v>0.0</v>
      </c>
      <c r="Q437" s="87">
        <v>0.0</v>
      </c>
      <c r="T437" s="84" t="s">
        <v>529</v>
      </c>
      <c r="U437" s="87">
        <v>0.0</v>
      </c>
    </row>
    <row r="438">
      <c r="A438" s="84" t="s">
        <v>363</v>
      </c>
      <c r="B438" s="194" t="s">
        <v>4076</v>
      </c>
      <c r="C438" s="84" t="s">
        <v>931</v>
      </c>
      <c r="D438" s="88" t="s">
        <v>1396</v>
      </c>
      <c r="E438" s="84" t="s">
        <v>3687</v>
      </c>
      <c r="F438" s="84" t="s">
        <v>927</v>
      </c>
      <c r="G438" s="84" t="s">
        <v>3565</v>
      </c>
      <c r="I438" s="84" t="s">
        <v>3709</v>
      </c>
      <c r="J438" s="84" t="s">
        <v>130</v>
      </c>
      <c r="K438" s="91"/>
      <c r="L438" s="87">
        <v>144.0</v>
      </c>
      <c r="M438" s="87">
        <v>0.0</v>
      </c>
      <c r="N438" s="87">
        <v>0.0</v>
      </c>
      <c r="O438" s="87">
        <v>0.0</v>
      </c>
      <c r="P438" s="87">
        <v>0.0</v>
      </c>
      <c r="Q438" s="87">
        <v>0.0</v>
      </c>
      <c r="T438" s="84" t="s">
        <v>534</v>
      </c>
      <c r="U438" s="87">
        <v>0.0</v>
      </c>
    </row>
    <row r="439">
      <c r="A439" s="84" t="s">
        <v>139</v>
      </c>
      <c r="B439" s="194" t="s">
        <v>4003</v>
      </c>
      <c r="C439" s="84" t="s">
        <v>172</v>
      </c>
      <c r="D439" s="88" t="s">
        <v>1396</v>
      </c>
      <c r="E439" s="84" t="s">
        <v>3687</v>
      </c>
      <c r="F439" s="84" t="s">
        <v>144</v>
      </c>
      <c r="G439" s="84" t="s">
        <v>3700</v>
      </c>
      <c r="H439" s="84" t="s">
        <v>3521</v>
      </c>
      <c r="I439" s="84" t="s">
        <v>3684</v>
      </c>
      <c r="J439" s="84" t="s">
        <v>130</v>
      </c>
      <c r="K439" s="91"/>
      <c r="L439" s="87">
        <v>48.0</v>
      </c>
      <c r="M439" s="87">
        <v>0.0</v>
      </c>
      <c r="N439" s="87">
        <v>0.666667</v>
      </c>
      <c r="O439" s="87">
        <v>0.0</v>
      </c>
      <c r="P439" s="87">
        <v>0.0</v>
      </c>
      <c r="Q439" s="87">
        <v>0.666667</v>
      </c>
      <c r="T439" s="84" t="s">
        <v>533</v>
      </c>
      <c r="U439" s="87">
        <v>0.2</v>
      </c>
    </row>
    <row r="440">
      <c r="A440" s="84" t="s">
        <v>363</v>
      </c>
      <c r="B440" s="194" t="s">
        <v>4076</v>
      </c>
      <c r="C440" s="84" t="s">
        <v>931</v>
      </c>
      <c r="D440" s="88" t="s">
        <v>1396</v>
      </c>
      <c r="E440" s="84" t="s">
        <v>3687</v>
      </c>
      <c r="F440" s="84" t="s">
        <v>927</v>
      </c>
      <c r="G440" s="84" t="s">
        <v>3565</v>
      </c>
      <c r="H440" s="84" t="s">
        <v>4077</v>
      </c>
      <c r="I440" s="84" t="s">
        <v>3709</v>
      </c>
      <c r="J440" s="91"/>
      <c r="K440" s="91"/>
      <c r="L440" s="87">
        <v>24.0</v>
      </c>
      <c r="M440" s="87">
        <v>0.0</v>
      </c>
      <c r="N440" s="87">
        <v>0.033333</v>
      </c>
      <c r="O440" s="87">
        <v>0.0</v>
      </c>
      <c r="P440" s="87">
        <v>0.0</v>
      </c>
      <c r="Q440" s="87">
        <v>0.033333</v>
      </c>
      <c r="T440" s="84" t="s">
        <v>532</v>
      </c>
      <c r="U440" s="87">
        <v>0.0</v>
      </c>
    </row>
    <row r="441">
      <c r="A441" s="84" t="s">
        <v>537</v>
      </c>
      <c r="B441" s="194" t="s">
        <v>3808</v>
      </c>
      <c r="C441" s="84" t="s">
        <v>557</v>
      </c>
      <c r="D441" s="88" t="s">
        <v>1396</v>
      </c>
      <c r="E441" s="84" t="s">
        <v>3683</v>
      </c>
      <c r="F441" s="84" t="s">
        <v>558</v>
      </c>
      <c r="G441" s="84" t="s">
        <v>3602</v>
      </c>
      <c r="H441" s="84" t="s">
        <v>3521</v>
      </c>
      <c r="I441" s="84" t="s">
        <v>3693</v>
      </c>
      <c r="J441" s="84" t="s">
        <v>130</v>
      </c>
      <c r="K441" s="85"/>
      <c r="L441" s="87">
        <v>0.0</v>
      </c>
      <c r="M441" s="87">
        <v>0.0</v>
      </c>
      <c r="N441" s="87">
        <v>0.0</v>
      </c>
      <c r="O441" s="87">
        <v>0.0</v>
      </c>
      <c r="P441" s="87">
        <v>0.0</v>
      </c>
      <c r="Q441" s="87">
        <v>0.0</v>
      </c>
      <c r="T441" s="84" t="s">
        <v>531</v>
      </c>
      <c r="U441" s="87">
        <v>0.0</v>
      </c>
    </row>
    <row r="442">
      <c r="A442" s="84" t="s">
        <v>458</v>
      </c>
      <c r="B442" s="194" t="s">
        <v>3717</v>
      </c>
      <c r="C442" s="84" t="s">
        <v>464</v>
      </c>
      <c r="D442" s="88" t="s">
        <v>1396</v>
      </c>
      <c r="E442" s="84" t="s">
        <v>3683</v>
      </c>
      <c r="F442" s="84" t="s">
        <v>457</v>
      </c>
      <c r="G442" s="84" t="s">
        <v>3560</v>
      </c>
      <c r="H442" s="84" t="s">
        <v>3521</v>
      </c>
      <c r="I442" s="84" t="s">
        <v>3684</v>
      </c>
      <c r="J442" s="85"/>
      <c r="K442" s="85"/>
      <c r="L442" s="87">
        <v>0.0</v>
      </c>
      <c r="M442" s="87">
        <v>0.0</v>
      </c>
      <c r="N442" s="87">
        <v>0.0</v>
      </c>
      <c r="O442" s="87">
        <v>0.071429</v>
      </c>
      <c r="P442" s="87">
        <v>0.2</v>
      </c>
      <c r="Q442" s="87">
        <v>0.233333</v>
      </c>
      <c r="T442" s="84" t="s">
        <v>525</v>
      </c>
      <c r="U442" s="87">
        <v>0.142857143</v>
      </c>
    </row>
    <row r="443">
      <c r="A443" s="84" t="s">
        <v>644</v>
      </c>
      <c r="B443" s="194" t="s">
        <v>4104</v>
      </c>
      <c r="C443" s="84" t="s">
        <v>725</v>
      </c>
      <c r="D443" s="88" t="s">
        <v>1396</v>
      </c>
      <c r="E443" s="84" t="s">
        <v>3683</v>
      </c>
      <c r="F443" s="84" t="s">
        <v>3751</v>
      </c>
      <c r="G443" s="84" t="s">
        <v>3752</v>
      </c>
      <c r="H443" s="84" t="s">
        <v>3521</v>
      </c>
      <c r="I443" s="84" t="s">
        <v>3684</v>
      </c>
      <c r="J443" s="84" t="s">
        <v>215</v>
      </c>
      <c r="K443" s="84" t="s">
        <v>111</v>
      </c>
      <c r="L443" s="87">
        <v>288.0</v>
      </c>
      <c r="M443" s="87">
        <v>0.0</v>
      </c>
      <c r="N443" s="87">
        <v>1.26369</v>
      </c>
      <c r="O443" s="87">
        <v>1.5</v>
      </c>
      <c r="P443" s="87">
        <v>1.443546</v>
      </c>
      <c r="Q443" s="87">
        <v>1.339066</v>
      </c>
      <c r="T443" s="84" t="s">
        <v>528</v>
      </c>
      <c r="U443" s="87">
        <v>0.0</v>
      </c>
    </row>
    <row r="444">
      <c r="A444" s="84" t="s">
        <v>481</v>
      </c>
      <c r="B444" s="194" t="s">
        <v>4105</v>
      </c>
      <c r="C444" s="84" t="s">
        <v>515</v>
      </c>
      <c r="D444" s="88" t="s">
        <v>1396</v>
      </c>
      <c r="E444" s="84" t="s">
        <v>3683</v>
      </c>
      <c r="F444" s="84" t="s">
        <v>516</v>
      </c>
      <c r="G444" s="84" t="s">
        <v>3593</v>
      </c>
      <c r="H444" s="84" t="s">
        <v>3521</v>
      </c>
      <c r="I444" s="84" t="s">
        <v>3684</v>
      </c>
      <c r="J444" s="85"/>
      <c r="K444" s="85"/>
      <c r="L444" s="87">
        <v>0.0</v>
      </c>
      <c r="M444" s="87">
        <v>1.0</v>
      </c>
      <c r="N444" s="87">
        <v>0.0</v>
      </c>
      <c r="O444" s="87">
        <v>0.571429</v>
      </c>
      <c r="P444" s="87">
        <v>0.781169</v>
      </c>
      <c r="Q444" s="87">
        <v>0.637934</v>
      </c>
      <c r="T444" s="84" t="s">
        <v>530</v>
      </c>
      <c r="U444" s="87">
        <v>0.214285714</v>
      </c>
    </row>
    <row r="445">
      <c r="A445" s="84" t="s">
        <v>439</v>
      </c>
      <c r="B445" s="193" t="s">
        <v>4106</v>
      </c>
      <c r="C445" s="84" t="s">
        <v>438</v>
      </c>
      <c r="D445" s="88" t="s">
        <v>1396</v>
      </c>
      <c r="E445" s="84" t="s">
        <v>3687</v>
      </c>
      <c r="F445" s="84" t="s">
        <v>938</v>
      </c>
      <c r="G445" s="84" t="s">
        <v>4107</v>
      </c>
      <c r="I445" s="84" t="s">
        <v>3709</v>
      </c>
      <c r="J445" s="91"/>
      <c r="K445" s="85"/>
      <c r="L445" s="87">
        <v>552.0</v>
      </c>
      <c r="M445" s="87">
        <v>0.0</v>
      </c>
      <c r="N445" s="87">
        <v>0.0</v>
      </c>
      <c r="O445" s="87">
        <v>0.0</v>
      </c>
      <c r="P445" s="87">
        <v>0.0</v>
      </c>
      <c r="Q445" s="87">
        <v>0.0</v>
      </c>
      <c r="T445" s="84" t="s">
        <v>877</v>
      </c>
      <c r="U445" s="87">
        <v>0.0</v>
      </c>
    </row>
    <row r="446">
      <c r="A446" s="84" t="s">
        <v>258</v>
      </c>
      <c r="B446" s="194" t="s">
        <v>4108</v>
      </c>
      <c r="C446" s="84" t="s">
        <v>907</v>
      </c>
      <c r="D446" s="88" t="s">
        <v>1396</v>
      </c>
      <c r="E446" s="84" t="s">
        <v>3683</v>
      </c>
      <c r="F446" s="84" t="s">
        <v>904</v>
      </c>
      <c r="G446" s="84" t="s">
        <v>3561</v>
      </c>
      <c r="H446" s="84" t="s">
        <v>3521</v>
      </c>
      <c r="I446" s="84" t="s">
        <v>3684</v>
      </c>
      <c r="J446" s="84" t="s">
        <v>130</v>
      </c>
      <c r="K446" s="85"/>
      <c r="L446" s="87">
        <v>0.0</v>
      </c>
      <c r="M446" s="87">
        <v>0.0</v>
      </c>
      <c r="N446" s="87">
        <v>0.0</v>
      </c>
      <c r="O446" s="87">
        <v>0.0</v>
      </c>
      <c r="P446" s="87">
        <v>0.0</v>
      </c>
      <c r="Q446" s="87">
        <v>0.016667</v>
      </c>
      <c r="T446" s="84" t="s">
        <v>894</v>
      </c>
      <c r="U446" s="87">
        <v>0.0</v>
      </c>
    </row>
    <row r="447">
      <c r="A447" s="84" t="s">
        <v>439</v>
      </c>
      <c r="B447" s="194" t="s">
        <v>3945</v>
      </c>
      <c r="C447" s="84" t="s">
        <v>1288</v>
      </c>
      <c r="D447" s="88" t="s">
        <v>1396</v>
      </c>
      <c r="E447" s="84" t="s">
        <v>3687</v>
      </c>
      <c r="F447" s="84" t="s">
        <v>3946</v>
      </c>
      <c r="G447" s="84" t="s">
        <v>3947</v>
      </c>
      <c r="I447" s="84" t="s">
        <v>3684</v>
      </c>
      <c r="J447" s="85"/>
      <c r="K447" s="91"/>
      <c r="L447" s="87">
        <v>528.0</v>
      </c>
      <c r="M447" s="87">
        <v>0.0</v>
      </c>
      <c r="N447" s="87">
        <v>0.0</v>
      </c>
      <c r="O447" s="87">
        <v>0.0</v>
      </c>
      <c r="P447" s="87">
        <v>0.0</v>
      </c>
      <c r="Q447" s="87">
        <v>0.0</v>
      </c>
      <c r="T447" s="84" t="s">
        <v>893</v>
      </c>
      <c r="U447" s="87">
        <v>0.0</v>
      </c>
    </row>
    <row r="448">
      <c r="A448" s="84" t="s">
        <v>180</v>
      </c>
      <c r="B448" s="194" t="s">
        <v>4109</v>
      </c>
      <c r="C448" s="84" t="s">
        <v>810</v>
      </c>
      <c r="D448" s="88" t="s">
        <v>1396</v>
      </c>
      <c r="E448" s="84" t="s">
        <v>3683</v>
      </c>
      <c r="F448" s="84" t="s">
        <v>542</v>
      </c>
      <c r="G448" s="84" t="s">
        <v>3514</v>
      </c>
      <c r="H448" s="84" t="s">
        <v>3513</v>
      </c>
      <c r="I448" s="84" t="s">
        <v>3709</v>
      </c>
      <c r="J448" s="85"/>
      <c r="K448" s="91"/>
      <c r="L448" s="87">
        <v>144.0</v>
      </c>
      <c r="M448" s="87">
        <v>1.0</v>
      </c>
      <c r="N448" s="87">
        <v>2.074908</v>
      </c>
      <c r="O448" s="87">
        <v>2.779004</v>
      </c>
      <c r="P448" s="87">
        <v>3.4284</v>
      </c>
      <c r="Q448" s="87">
        <v>2.545159</v>
      </c>
      <c r="T448" s="84" t="s">
        <v>895</v>
      </c>
      <c r="U448" s="87">
        <v>0.0</v>
      </c>
    </row>
    <row r="449">
      <c r="A449" s="84" t="s">
        <v>180</v>
      </c>
      <c r="B449" s="194" t="s">
        <v>4109</v>
      </c>
      <c r="C449" s="84" t="s">
        <v>810</v>
      </c>
      <c r="D449" s="88" t="s">
        <v>1396</v>
      </c>
      <c r="E449" s="84" t="s">
        <v>3683</v>
      </c>
      <c r="F449" s="84" t="s">
        <v>542</v>
      </c>
      <c r="G449" s="84" t="s">
        <v>3514</v>
      </c>
      <c r="H449" s="84" t="s">
        <v>3513</v>
      </c>
      <c r="I449" s="84" t="s">
        <v>3709</v>
      </c>
      <c r="J449" s="91"/>
      <c r="K449" s="84" t="s">
        <v>111</v>
      </c>
      <c r="L449" s="87">
        <v>432.0</v>
      </c>
      <c r="M449" s="87">
        <v>0.0</v>
      </c>
      <c r="N449" s="87">
        <v>0.142857</v>
      </c>
      <c r="O449" s="87">
        <v>0.0</v>
      </c>
      <c r="P449" s="87">
        <v>0.0</v>
      </c>
      <c r="Q449" s="87">
        <v>0.142857</v>
      </c>
      <c r="T449" s="84" t="s">
        <v>635</v>
      </c>
      <c r="U449" s="87">
        <v>0.166666667</v>
      </c>
    </row>
    <row r="450">
      <c r="A450" s="84" t="s">
        <v>644</v>
      </c>
      <c r="B450" s="194" t="s">
        <v>3980</v>
      </c>
      <c r="C450" s="84" t="s">
        <v>647</v>
      </c>
      <c r="D450" s="88" t="s">
        <v>1396</v>
      </c>
      <c r="E450" s="84" t="s">
        <v>3683</v>
      </c>
      <c r="F450" s="84" t="s">
        <v>643</v>
      </c>
      <c r="G450" s="84" t="s">
        <v>3734</v>
      </c>
      <c r="H450" s="84" t="s">
        <v>3521</v>
      </c>
      <c r="I450" s="84" t="s">
        <v>3684</v>
      </c>
      <c r="J450" s="91"/>
      <c r="K450" s="91"/>
      <c r="L450" s="87">
        <v>496.0</v>
      </c>
      <c r="M450" s="87">
        <v>9.0</v>
      </c>
      <c r="N450" s="87">
        <v>1.623876</v>
      </c>
      <c r="O450" s="87">
        <v>22.65981</v>
      </c>
      <c r="P450" s="87">
        <v>21.84611</v>
      </c>
      <c r="Q450" s="87">
        <v>16.84686</v>
      </c>
      <c r="T450" s="84" t="s">
        <v>634</v>
      </c>
      <c r="U450" s="87">
        <v>0.416666667</v>
      </c>
    </row>
    <row r="451">
      <c r="A451" s="84" t="s">
        <v>393</v>
      </c>
      <c r="B451" s="194" t="s">
        <v>4110</v>
      </c>
      <c r="C451" s="84" t="s">
        <v>396</v>
      </c>
      <c r="D451" s="88" t="s">
        <v>1396</v>
      </c>
      <c r="E451" s="84" t="s">
        <v>3683</v>
      </c>
      <c r="F451" s="84" t="s">
        <v>397</v>
      </c>
      <c r="G451" s="84" t="s">
        <v>3698</v>
      </c>
      <c r="H451" s="84" t="s">
        <v>3521</v>
      </c>
      <c r="I451" s="84" t="s">
        <v>3693</v>
      </c>
      <c r="J451" s="85"/>
      <c r="K451" s="84" t="s">
        <v>111</v>
      </c>
      <c r="L451" s="87">
        <v>24.0</v>
      </c>
      <c r="M451" s="87">
        <v>0.0</v>
      </c>
      <c r="N451" s="87">
        <v>0.0</v>
      </c>
      <c r="O451" s="87">
        <v>0.0</v>
      </c>
      <c r="P451" s="87">
        <v>0.0</v>
      </c>
      <c r="Q451" s="87">
        <v>0.0</v>
      </c>
      <c r="T451" s="84" t="s">
        <v>636</v>
      </c>
      <c r="U451" s="87">
        <v>1.352813853</v>
      </c>
    </row>
    <row r="452">
      <c r="A452" s="84" t="s">
        <v>537</v>
      </c>
      <c r="B452" s="194" t="s">
        <v>4096</v>
      </c>
      <c r="C452" s="84" t="s">
        <v>541</v>
      </c>
      <c r="D452" s="88" t="s">
        <v>1396</v>
      </c>
      <c r="E452" s="84" t="s">
        <v>3683</v>
      </c>
      <c r="F452" s="84" t="s">
        <v>542</v>
      </c>
      <c r="G452" s="84" t="s">
        <v>3514</v>
      </c>
      <c r="H452" s="84" t="s">
        <v>3521</v>
      </c>
      <c r="I452" s="84" t="s">
        <v>3693</v>
      </c>
      <c r="J452" s="91"/>
      <c r="K452" s="91"/>
      <c r="L452" s="87">
        <v>95.0</v>
      </c>
      <c r="M452" s="87">
        <v>22.0</v>
      </c>
      <c r="N452" s="87">
        <v>4.434077</v>
      </c>
      <c r="O452" s="87">
        <v>16.01884</v>
      </c>
      <c r="P452" s="87">
        <v>12.09467</v>
      </c>
      <c r="Q452" s="87">
        <v>10.49213</v>
      </c>
      <c r="T452" s="84" t="s">
        <v>633</v>
      </c>
      <c r="U452" s="87">
        <v>1.198301698</v>
      </c>
    </row>
    <row r="453">
      <c r="A453" s="84" t="s">
        <v>258</v>
      </c>
      <c r="B453" s="194" t="s">
        <v>4111</v>
      </c>
      <c r="C453" s="84" t="s">
        <v>901</v>
      </c>
      <c r="D453" s="88" t="s">
        <v>1396</v>
      </c>
      <c r="E453" s="84" t="s">
        <v>3683</v>
      </c>
      <c r="F453" s="84" t="s">
        <v>898</v>
      </c>
      <c r="G453" s="84" t="s">
        <v>3560</v>
      </c>
      <c r="H453" s="84" t="s">
        <v>3521</v>
      </c>
      <c r="I453" s="84" t="s">
        <v>3684</v>
      </c>
      <c r="J453" s="91"/>
      <c r="K453" s="85"/>
      <c r="L453" s="87">
        <v>114.0</v>
      </c>
      <c r="M453" s="87">
        <v>5.0</v>
      </c>
      <c r="N453" s="87">
        <v>3.754257</v>
      </c>
      <c r="O453" s="87">
        <v>8.431063</v>
      </c>
      <c r="P453" s="87">
        <v>9.109444</v>
      </c>
      <c r="Q453" s="87">
        <v>8.606786</v>
      </c>
      <c r="T453" s="84" t="s">
        <v>637</v>
      </c>
      <c r="U453" s="87">
        <v>0.0</v>
      </c>
    </row>
    <row r="454">
      <c r="A454" s="84" t="s">
        <v>745</v>
      </c>
      <c r="B454" s="194" t="s">
        <v>4112</v>
      </c>
      <c r="C454" s="84" t="s">
        <v>749</v>
      </c>
      <c r="D454" s="88" t="s">
        <v>1396</v>
      </c>
      <c r="E454" s="84" t="s">
        <v>3683</v>
      </c>
      <c r="F454" s="84" t="s">
        <v>744</v>
      </c>
      <c r="G454" s="84" t="s">
        <v>3841</v>
      </c>
      <c r="I454" s="84" t="s">
        <v>3684</v>
      </c>
      <c r="J454" s="91"/>
      <c r="K454" s="91"/>
      <c r="L454" s="87">
        <v>120.0</v>
      </c>
      <c r="M454" s="87">
        <v>0.0</v>
      </c>
      <c r="N454" s="87">
        <v>0.0</v>
      </c>
      <c r="O454" s="87">
        <v>0.0</v>
      </c>
      <c r="P454" s="87">
        <v>0.0</v>
      </c>
      <c r="Q454" s="87">
        <v>0.0</v>
      </c>
      <c r="T454" s="84" t="s">
        <v>628</v>
      </c>
      <c r="U454" s="87">
        <v>0.0</v>
      </c>
    </row>
    <row r="455">
      <c r="A455" s="84" t="s">
        <v>393</v>
      </c>
      <c r="B455" s="194" t="s">
        <v>4113</v>
      </c>
      <c r="C455" s="84" t="s">
        <v>432</v>
      </c>
      <c r="D455" s="88" t="s">
        <v>1396</v>
      </c>
      <c r="E455" s="84" t="s">
        <v>3687</v>
      </c>
      <c r="F455" s="84" t="s">
        <v>431</v>
      </c>
      <c r="G455" s="84" t="s">
        <v>4114</v>
      </c>
      <c r="H455" s="84" t="s">
        <v>3521</v>
      </c>
      <c r="I455" s="84" t="s">
        <v>3693</v>
      </c>
      <c r="J455" s="84" t="s">
        <v>130</v>
      </c>
      <c r="K455" s="91"/>
      <c r="L455" s="87">
        <v>48.0</v>
      </c>
      <c r="M455" s="87">
        <v>0.0</v>
      </c>
      <c r="N455" s="87">
        <v>0.5</v>
      </c>
      <c r="O455" s="87">
        <v>0.0</v>
      </c>
      <c r="P455" s="87">
        <v>0.5</v>
      </c>
      <c r="Q455" s="87">
        <v>0.5</v>
      </c>
      <c r="T455" s="84" t="s">
        <v>1285</v>
      </c>
      <c r="U455" s="87">
        <v>5.551515152</v>
      </c>
    </row>
    <row r="456">
      <c r="A456" s="84" t="s">
        <v>644</v>
      </c>
      <c r="B456" s="194" t="s">
        <v>4115</v>
      </c>
      <c r="C456" s="84" t="s">
        <v>1176</v>
      </c>
      <c r="D456" s="88" t="s">
        <v>1396</v>
      </c>
      <c r="E456" s="84" t="s">
        <v>3683</v>
      </c>
      <c r="F456" s="84" t="s">
        <v>686</v>
      </c>
      <c r="G456" s="84" t="s">
        <v>3600</v>
      </c>
      <c r="I456" s="84" t="s">
        <v>3684</v>
      </c>
      <c r="J456" s="84" t="s">
        <v>215</v>
      </c>
      <c r="L456" s="87">
        <v>480.0</v>
      </c>
      <c r="M456" s="87">
        <v>0.0</v>
      </c>
      <c r="N456" s="87">
        <v>0.0</v>
      </c>
      <c r="O456" s="87">
        <v>0.0</v>
      </c>
      <c r="P456" s="87">
        <v>0.0</v>
      </c>
      <c r="Q456" s="87">
        <v>0.0</v>
      </c>
      <c r="T456" s="84" t="s">
        <v>1042</v>
      </c>
      <c r="U456" s="87">
        <v>0.0</v>
      </c>
    </row>
    <row r="457">
      <c r="A457" s="84" t="s">
        <v>537</v>
      </c>
      <c r="B457" s="194" t="s">
        <v>4116</v>
      </c>
      <c r="C457" s="84" t="s">
        <v>550</v>
      </c>
      <c r="D457" s="88" t="s">
        <v>1396</v>
      </c>
      <c r="E457" s="84" t="s">
        <v>3683</v>
      </c>
      <c r="F457" s="84" t="s">
        <v>551</v>
      </c>
      <c r="G457" s="84" t="s">
        <v>3590</v>
      </c>
      <c r="I457" s="84" t="s">
        <v>3693</v>
      </c>
      <c r="J457" s="85"/>
      <c r="K457" s="91"/>
      <c r="L457" s="87">
        <v>552.0</v>
      </c>
      <c r="M457" s="87">
        <v>0.0</v>
      </c>
      <c r="N457" s="87">
        <v>0.0</v>
      </c>
      <c r="O457" s="87">
        <v>0.0</v>
      </c>
      <c r="P457" s="87">
        <v>0.0</v>
      </c>
      <c r="Q457" s="87">
        <v>0.0</v>
      </c>
      <c r="T457" s="84" t="s">
        <v>824</v>
      </c>
      <c r="U457" s="87">
        <v>1.696969697</v>
      </c>
    </row>
    <row r="458">
      <c r="A458" s="84" t="s">
        <v>139</v>
      </c>
      <c r="B458" s="194" t="s">
        <v>4117</v>
      </c>
      <c r="C458" s="84" t="s">
        <v>164</v>
      </c>
      <c r="D458" s="88" t="s">
        <v>1396</v>
      </c>
      <c r="E458" s="84" t="s">
        <v>3683</v>
      </c>
      <c r="F458" s="84" t="s">
        <v>144</v>
      </c>
      <c r="G458" s="84" t="s">
        <v>3700</v>
      </c>
      <c r="I458" s="84" t="s">
        <v>3684</v>
      </c>
      <c r="J458" s="84" t="s">
        <v>130</v>
      </c>
      <c r="K458" s="85"/>
      <c r="L458" s="87">
        <v>48.0</v>
      </c>
      <c r="M458" s="87">
        <v>0.0</v>
      </c>
      <c r="N458" s="87">
        <v>0.0</v>
      </c>
      <c r="O458" s="87">
        <v>0.0</v>
      </c>
      <c r="P458" s="87">
        <v>0.0</v>
      </c>
      <c r="Q458" s="87">
        <v>0.0</v>
      </c>
      <c r="T458" s="84" t="s">
        <v>823</v>
      </c>
      <c r="U458" s="87">
        <v>0.0</v>
      </c>
    </row>
    <row r="459">
      <c r="A459" s="84" t="s">
        <v>761</v>
      </c>
      <c r="B459" s="194" t="s">
        <v>4118</v>
      </c>
      <c r="C459" s="84" t="s">
        <v>759</v>
      </c>
      <c r="D459" s="88" t="s">
        <v>1396</v>
      </c>
      <c r="E459" s="84" t="s">
        <v>3683</v>
      </c>
      <c r="F459" s="84" t="s">
        <v>760</v>
      </c>
      <c r="G459" s="84" t="s">
        <v>4015</v>
      </c>
      <c r="H459" s="84" t="s">
        <v>3507</v>
      </c>
      <c r="I459" s="84" t="s">
        <v>3684</v>
      </c>
      <c r="J459" s="85"/>
      <c r="K459" s="84" t="s">
        <v>111</v>
      </c>
      <c r="L459" s="87">
        <v>96.0</v>
      </c>
      <c r="M459" s="87">
        <v>0.0</v>
      </c>
      <c r="N459" s="87">
        <v>0.0</v>
      </c>
      <c r="O459" s="87">
        <v>0.0</v>
      </c>
      <c r="P459" s="87">
        <v>0.0</v>
      </c>
      <c r="Q459" s="87">
        <v>0.0</v>
      </c>
      <c r="T459" s="84" t="s">
        <v>822</v>
      </c>
      <c r="U459" s="87">
        <v>10.99239094</v>
      </c>
    </row>
    <row r="460">
      <c r="A460" s="84" t="s">
        <v>363</v>
      </c>
      <c r="B460" s="194" t="s">
        <v>4119</v>
      </c>
      <c r="C460" s="84" t="s">
        <v>926</v>
      </c>
      <c r="D460" s="88" t="s">
        <v>1396</v>
      </c>
      <c r="E460" s="84" t="s">
        <v>3687</v>
      </c>
      <c r="F460" s="84" t="s">
        <v>927</v>
      </c>
      <c r="G460" s="84" t="s">
        <v>3565</v>
      </c>
      <c r="H460" s="87">
        <v>0.0</v>
      </c>
      <c r="I460" s="84" t="s">
        <v>3709</v>
      </c>
      <c r="J460" s="84" t="s">
        <v>130</v>
      </c>
      <c r="K460" s="91"/>
      <c r="L460" s="87">
        <v>24.0</v>
      </c>
      <c r="M460" s="87">
        <v>0.0</v>
      </c>
      <c r="N460" s="87">
        <v>0.0</v>
      </c>
      <c r="O460" s="87">
        <v>0.0</v>
      </c>
      <c r="P460" s="87">
        <v>0.0</v>
      </c>
      <c r="Q460" s="87">
        <v>0.0</v>
      </c>
      <c r="T460" s="84" t="s">
        <v>828</v>
      </c>
      <c r="U460" s="87">
        <v>1.342857143</v>
      </c>
    </row>
    <row r="461">
      <c r="A461" s="84" t="s">
        <v>357</v>
      </c>
      <c r="B461" s="194" t="s">
        <v>4120</v>
      </c>
      <c r="C461" s="84" t="s">
        <v>355</v>
      </c>
      <c r="D461" s="88" t="s">
        <v>1396</v>
      </c>
      <c r="E461" s="84" t="s">
        <v>3687</v>
      </c>
      <c r="F461" s="84" t="s">
        <v>356</v>
      </c>
      <c r="G461" s="84" t="s">
        <v>3851</v>
      </c>
      <c r="H461" s="84" t="s">
        <v>3527</v>
      </c>
      <c r="I461" s="84" t="s">
        <v>3684</v>
      </c>
      <c r="J461" s="84" t="s">
        <v>130</v>
      </c>
      <c r="K461" s="84" t="s">
        <v>111</v>
      </c>
      <c r="L461" s="87">
        <v>48.0</v>
      </c>
      <c r="M461" s="87">
        <v>0.0</v>
      </c>
      <c r="N461" s="87">
        <v>0.0</v>
      </c>
      <c r="O461" s="87">
        <v>0.0</v>
      </c>
      <c r="P461" s="87">
        <v>0.0</v>
      </c>
      <c r="Q461" s="87">
        <v>0.0</v>
      </c>
      <c r="T461" s="84" t="s">
        <v>821</v>
      </c>
      <c r="U461" s="87">
        <v>1.636363636</v>
      </c>
    </row>
    <row r="462">
      <c r="A462" s="84" t="s">
        <v>258</v>
      </c>
      <c r="B462" s="194" t="s">
        <v>3710</v>
      </c>
      <c r="C462" s="84" t="s">
        <v>893</v>
      </c>
      <c r="D462" s="88" t="s">
        <v>1396</v>
      </c>
      <c r="E462" s="91"/>
      <c r="F462" s="84" t="s">
        <v>892</v>
      </c>
      <c r="G462" s="84" t="s">
        <v>3559</v>
      </c>
      <c r="I462" s="84" t="s">
        <v>3684</v>
      </c>
      <c r="J462" s="85"/>
      <c r="K462" s="85"/>
      <c r="L462" s="87">
        <v>528.0</v>
      </c>
      <c r="M462" s="87">
        <v>0.0</v>
      </c>
      <c r="N462" s="87">
        <v>0.0</v>
      </c>
      <c r="O462" s="87">
        <v>0.0</v>
      </c>
      <c r="P462" s="87">
        <v>0.0</v>
      </c>
      <c r="Q462" s="87">
        <v>0.0</v>
      </c>
      <c r="T462" s="84" t="s">
        <v>1319</v>
      </c>
      <c r="U462" s="87">
        <v>0.0</v>
      </c>
    </row>
    <row r="463">
      <c r="A463" s="84" t="s">
        <v>537</v>
      </c>
      <c r="B463" s="194" t="s">
        <v>4121</v>
      </c>
      <c r="C463" s="84" t="s">
        <v>562</v>
      </c>
      <c r="D463" s="88" t="s">
        <v>1396</v>
      </c>
      <c r="E463" s="84" t="s">
        <v>3683</v>
      </c>
      <c r="F463" s="84" t="s">
        <v>558</v>
      </c>
      <c r="G463" s="84" t="s">
        <v>3602</v>
      </c>
      <c r="H463" s="84" t="s">
        <v>3521</v>
      </c>
      <c r="I463" s="84" t="s">
        <v>3693</v>
      </c>
      <c r="J463" s="85"/>
      <c r="K463" s="85"/>
      <c r="L463" s="87">
        <v>0.0</v>
      </c>
      <c r="M463" s="87">
        <v>3.0</v>
      </c>
      <c r="N463" s="87">
        <v>0.0</v>
      </c>
      <c r="O463" s="87">
        <v>0.5</v>
      </c>
      <c r="P463" s="87">
        <v>0.566667</v>
      </c>
      <c r="Q463" s="87">
        <v>0.891915</v>
      </c>
      <c r="T463" s="84" t="s">
        <v>820</v>
      </c>
      <c r="U463" s="87">
        <v>4.335714286</v>
      </c>
    </row>
    <row r="464">
      <c r="A464" s="84" t="s">
        <v>458</v>
      </c>
      <c r="B464" s="194" t="s">
        <v>4122</v>
      </c>
      <c r="C464" s="84" t="s">
        <v>461</v>
      </c>
      <c r="D464" s="88" t="s">
        <v>1396</v>
      </c>
      <c r="E464" s="84" t="s">
        <v>3683</v>
      </c>
      <c r="F464" s="84" t="s">
        <v>457</v>
      </c>
      <c r="G464" s="84" t="s">
        <v>3560</v>
      </c>
      <c r="I464" s="84" t="s">
        <v>3684</v>
      </c>
      <c r="J464" s="85"/>
      <c r="K464" s="85"/>
      <c r="L464" s="87">
        <v>552.0</v>
      </c>
      <c r="M464" s="87">
        <v>0.0</v>
      </c>
      <c r="N464" s="87">
        <v>0.0</v>
      </c>
      <c r="O464" s="87">
        <v>0.0</v>
      </c>
      <c r="P464" s="87">
        <v>0.0</v>
      </c>
      <c r="Q464" s="87">
        <v>0.0</v>
      </c>
      <c r="T464" s="84" t="s">
        <v>819</v>
      </c>
      <c r="U464" s="87">
        <v>0.0</v>
      </c>
    </row>
    <row r="465">
      <c r="A465" s="84" t="s">
        <v>481</v>
      </c>
      <c r="B465" s="194" t="s">
        <v>4123</v>
      </c>
      <c r="C465" s="84" t="s">
        <v>524</v>
      </c>
      <c r="D465" s="88" t="s">
        <v>1396</v>
      </c>
      <c r="E465" s="84" t="s">
        <v>3683</v>
      </c>
      <c r="F465" s="84" t="s">
        <v>516</v>
      </c>
      <c r="G465" s="84" t="s">
        <v>3593</v>
      </c>
      <c r="I465" s="84" t="s">
        <v>3684</v>
      </c>
      <c r="J465" s="85"/>
      <c r="K465" s="91"/>
      <c r="L465" s="87">
        <v>456.0</v>
      </c>
      <c r="M465" s="87">
        <v>0.0</v>
      </c>
      <c r="N465" s="87">
        <v>0.0</v>
      </c>
      <c r="O465" s="87">
        <v>0.0</v>
      </c>
      <c r="P465" s="87">
        <v>0.0</v>
      </c>
      <c r="Q465" s="87">
        <v>0.0</v>
      </c>
      <c r="T465" s="84" t="s">
        <v>198</v>
      </c>
      <c r="U465" s="87">
        <v>0.0</v>
      </c>
    </row>
    <row r="466">
      <c r="A466" s="84" t="s">
        <v>258</v>
      </c>
      <c r="B466" s="194" t="s">
        <v>4124</v>
      </c>
      <c r="C466" s="84" t="s">
        <v>896</v>
      </c>
      <c r="D466" s="88" t="s">
        <v>1396</v>
      </c>
      <c r="E466" s="84" t="s">
        <v>3683</v>
      </c>
      <c r="F466" s="84" t="s">
        <v>884</v>
      </c>
      <c r="G466" s="84" t="s">
        <v>3558</v>
      </c>
      <c r="I466" s="84" t="s">
        <v>3684</v>
      </c>
      <c r="J466" s="85"/>
      <c r="K466" s="85"/>
      <c r="L466" s="87">
        <v>552.0</v>
      </c>
      <c r="M466" s="87">
        <v>0.0</v>
      </c>
      <c r="N466" s="87">
        <v>0.0</v>
      </c>
      <c r="O466" s="87">
        <v>0.0</v>
      </c>
      <c r="P466" s="87">
        <v>0.0</v>
      </c>
      <c r="Q466" s="87">
        <v>0.0</v>
      </c>
      <c r="T466" s="84" t="s">
        <v>3662</v>
      </c>
      <c r="U466" s="87">
        <v>8.176190476</v>
      </c>
    </row>
    <row r="467">
      <c r="A467" s="84" t="s">
        <v>630</v>
      </c>
      <c r="B467" s="194" t="s">
        <v>3854</v>
      </c>
      <c r="C467" s="84" t="s">
        <v>636</v>
      </c>
      <c r="D467" s="88" t="s">
        <v>1396</v>
      </c>
      <c r="E467" s="84" t="s">
        <v>3683</v>
      </c>
      <c r="F467" s="84" t="s">
        <v>629</v>
      </c>
      <c r="G467" s="84" t="s">
        <v>3766</v>
      </c>
      <c r="I467" s="84" t="s">
        <v>3684</v>
      </c>
      <c r="J467" s="85"/>
      <c r="K467" s="85"/>
      <c r="L467" s="87">
        <v>552.0</v>
      </c>
      <c r="M467" s="87">
        <v>0.0</v>
      </c>
      <c r="N467" s="87">
        <v>0.0</v>
      </c>
      <c r="O467" s="87">
        <v>0.0</v>
      </c>
      <c r="P467" s="87">
        <v>0.0</v>
      </c>
      <c r="Q467" s="87">
        <v>0.0</v>
      </c>
      <c r="T467" s="84" t="s">
        <v>401</v>
      </c>
      <c r="U467" s="87">
        <v>0.0</v>
      </c>
    </row>
    <row r="468">
      <c r="A468" s="84" t="s">
        <v>444</v>
      </c>
      <c r="B468" s="194" t="s">
        <v>4125</v>
      </c>
      <c r="C468" s="84" t="s">
        <v>3810</v>
      </c>
      <c r="D468" s="88" t="s">
        <v>1396</v>
      </c>
      <c r="E468" s="84" t="s">
        <v>3687</v>
      </c>
      <c r="F468" s="84" t="s">
        <v>3877</v>
      </c>
      <c r="G468" s="84" t="s">
        <v>3878</v>
      </c>
      <c r="H468" s="84" t="s">
        <v>3521</v>
      </c>
      <c r="I468" s="84" t="s">
        <v>3684</v>
      </c>
      <c r="J468" s="91"/>
      <c r="K468" s="84" t="s">
        <v>111</v>
      </c>
      <c r="L468" s="87">
        <v>72.0</v>
      </c>
      <c r="M468" s="87">
        <v>0.0</v>
      </c>
      <c r="N468" s="87">
        <v>0.0</v>
      </c>
      <c r="O468" s="87">
        <v>0.071429</v>
      </c>
      <c r="P468" s="87">
        <v>0.104762</v>
      </c>
      <c r="Q468" s="87">
        <v>0.068391</v>
      </c>
      <c r="T468" s="84" t="s">
        <v>1247</v>
      </c>
      <c r="U468" s="87">
        <v>0.0</v>
      </c>
    </row>
    <row r="469">
      <c r="A469" s="84" t="s">
        <v>761</v>
      </c>
      <c r="B469" s="194" t="s">
        <v>4014</v>
      </c>
      <c r="C469" s="84" t="s">
        <v>764</v>
      </c>
      <c r="D469" s="88" t="s">
        <v>1396</v>
      </c>
      <c r="E469" s="84" t="s">
        <v>3683</v>
      </c>
      <c r="F469" s="84" t="s">
        <v>760</v>
      </c>
      <c r="G469" s="84" t="s">
        <v>4015</v>
      </c>
      <c r="I469" s="84" t="s">
        <v>3684</v>
      </c>
      <c r="J469" s="91"/>
      <c r="K469" s="91"/>
      <c r="L469" s="87">
        <v>552.0</v>
      </c>
      <c r="M469" s="87">
        <v>0.0</v>
      </c>
      <c r="N469" s="87">
        <v>0.0</v>
      </c>
      <c r="O469" s="87">
        <v>0.0</v>
      </c>
      <c r="P469" s="87">
        <v>0.0</v>
      </c>
      <c r="Q469" s="87">
        <v>0.0</v>
      </c>
      <c r="T469" s="84" t="s">
        <v>3876</v>
      </c>
      <c r="U469" s="87">
        <v>0.0</v>
      </c>
    </row>
    <row r="470">
      <c r="A470" s="84" t="s">
        <v>439</v>
      </c>
      <c r="B470" s="193" t="s">
        <v>4025</v>
      </c>
      <c r="C470" s="84" t="s">
        <v>1289</v>
      </c>
      <c r="D470" s="88" t="s">
        <v>1396</v>
      </c>
      <c r="E470" s="84" t="s">
        <v>3683</v>
      </c>
      <c r="F470" s="84" t="s">
        <v>938</v>
      </c>
      <c r="G470" s="84" t="s">
        <v>3576</v>
      </c>
      <c r="H470" s="84" t="s">
        <v>3513</v>
      </c>
      <c r="I470" s="84" t="s">
        <v>3709</v>
      </c>
      <c r="J470" s="84" t="s">
        <v>130</v>
      </c>
      <c r="K470" s="85"/>
      <c r="L470" s="87">
        <v>690.0</v>
      </c>
      <c r="M470" s="87">
        <v>16.0</v>
      </c>
      <c r="N470" s="87">
        <v>186.9913</v>
      </c>
      <c r="O470" s="87">
        <v>212.6929</v>
      </c>
      <c r="P470" s="87">
        <v>192.1679</v>
      </c>
      <c r="Q470" s="87">
        <v>176.6743</v>
      </c>
      <c r="T470" s="84" t="s">
        <v>952</v>
      </c>
      <c r="U470" s="87">
        <v>0.0</v>
      </c>
    </row>
    <row r="471">
      <c r="A471" s="84" t="s">
        <v>301</v>
      </c>
      <c r="B471" s="194" t="s">
        <v>4126</v>
      </c>
      <c r="C471" s="84" t="s">
        <v>333</v>
      </c>
      <c r="D471" s="88" t="s">
        <v>1396</v>
      </c>
      <c r="E471" s="84" t="s">
        <v>3683</v>
      </c>
      <c r="F471" s="84" t="s">
        <v>300</v>
      </c>
      <c r="G471" s="84" t="s">
        <v>3703</v>
      </c>
      <c r="H471" s="84" t="s">
        <v>3521</v>
      </c>
      <c r="I471" s="84" t="s">
        <v>3684</v>
      </c>
      <c r="J471" s="84" t="s">
        <v>130</v>
      </c>
      <c r="K471" s="85"/>
      <c r="L471" s="87">
        <v>312.0</v>
      </c>
      <c r="M471" s="87">
        <v>0.0</v>
      </c>
      <c r="N471" s="87">
        <v>0.351815</v>
      </c>
      <c r="O471" s="87">
        <v>0.0</v>
      </c>
      <c r="P471" s="87">
        <v>0.666667</v>
      </c>
      <c r="Q471" s="87">
        <v>0.456943</v>
      </c>
      <c r="T471" s="84" t="s">
        <v>1342</v>
      </c>
      <c r="U471" s="87">
        <v>0.142857143</v>
      </c>
    </row>
    <row r="472">
      <c r="A472" s="84" t="s">
        <v>393</v>
      </c>
      <c r="B472" s="194" t="s">
        <v>3964</v>
      </c>
      <c r="C472" s="84" t="s">
        <v>424</v>
      </c>
      <c r="D472" s="88" t="s">
        <v>1396</v>
      </c>
      <c r="E472" s="84" t="s">
        <v>3683</v>
      </c>
      <c r="F472" s="84" t="s">
        <v>423</v>
      </c>
      <c r="G472" s="84" t="s">
        <v>3568</v>
      </c>
      <c r="H472" s="84" t="s">
        <v>3521</v>
      </c>
      <c r="I472" s="84" t="s">
        <v>3693</v>
      </c>
      <c r="J472" s="85"/>
      <c r="K472" s="84" t="s">
        <v>111</v>
      </c>
      <c r="L472" s="87">
        <v>96.0</v>
      </c>
      <c r="M472" s="87">
        <v>0.0</v>
      </c>
      <c r="N472" s="87">
        <v>0.0</v>
      </c>
      <c r="O472" s="87">
        <v>0.0</v>
      </c>
      <c r="P472" s="87">
        <v>0.0</v>
      </c>
      <c r="Q472" s="87">
        <v>0.0</v>
      </c>
      <c r="T472" s="84" t="s">
        <v>4127</v>
      </c>
      <c r="U472" s="87">
        <v>2.0</v>
      </c>
    </row>
    <row r="473">
      <c r="A473" s="84" t="s">
        <v>458</v>
      </c>
      <c r="B473" s="194" t="s">
        <v>3717</v>
      </c>
      <c r="C473" s="84" t="s">
        <v>464</v>
      </c>
      <c r="D473" s="88" t="s">
        <v>1396</v>
      </c>
      <c r="E473" s="84" t="s">
        <v>3683</v>
      </c>
      <c r="F473" s="84" t="s">
        <v>457</v>
      </c>
      <c r="G473" s="84" t="s">
        <v>3560</v>
      </c>
      <c r="I473" s="84" t="s">
        <v>3684</v>
      </c>
      <c r="J473" s="85"/>
      <c r="K473" s="91"/>
      <c r="L473" s="87">
        <v>552.0</v>
      </c>
      <c r="M473" s="87">
        <v>0.0</v>
      </c>
      <c r="N473" s="87">
        <v>0.0</v>
      </c>
      <c r="O473" s="87">
        <v>0.0</v>
      </c>
      <c r="P473" s="87">
        <v>0.0</v>
      </c>
      <c r="Q473" s="87">
        <v>0.0</v>
      </c>
      <c r="T473" s="84" t="s">
        <v>871</v>
      </c>
      <c r="U473" s="87">
        <v>0.0</v>
      </c>
    </row>
    <row r="474">
      <c r="A474" s="84" t="s">
        <v>393</v>
      </c>
      <c r="B474" s="194" t="s">
        <v>4128</v>
      </c>
      <c r="C474" s="84" t="s">
        <v>933</v>
      </c>
      <c r="D474" s="88" t="s">
        <v>1396</v>
      </c>
      <c r="E474" s="84" t="s">
        <v>3683</v>
      </c>
      <c r="F474" s="84" t="s">
        <v>428</v>
      </c>
      <c r="G474" s="84" t="s">
        <v>3568</v>
      </c>
      <c r="H474" s="84" t="s">
        <v>3521</v>
      </c>
      <c r="I474" s="84" t="s">
        <v>3693</v>
      </c>
      <c r="J474" s="91"/>
      <c r="K474" s="84" t="s">
        <v>111</v>
      </c>
      <c r="L474" s="87">
        <v>312.0</v>
      </c>
      <c r="M474" s="87">
        <v>0.0</v>
      </c>
      <c r="N474" s="87">
        <v>0.0</v>
      </c>
      <c r="O474" s="87">
        <v>0.0</v>
      </c>
      <c r="P474" s="87">
        <v>0.0</v>
      </c>
      <c r="Q474" s="87">
        <v>0.0</v>
      </c>
      <c r="T474" s="84" t="s">
        <v>868</v>
      </c>
      <c r="U474" s="87">
        <v>0.0</v>
      </c>
    </row>
    <row r="475">
      <c r="A475" s="84" t="s">
        <v>180</v>
      </c>
      <c r="B475" s="194" t="s">
        <v>4020</v>
      </c>
      <c r="C475" s="84" t="s">
        <v>818</v>
      </c>
      <c r="D475" s="88" t="s">
        <v>1396</v>
      </c>
      <c r="E475" s="84" t="s">
        <v>3683</v>
      </c>
      <c r="F475" s="84" t="s">
        <v>814</v>
      </c>
      <c r="G475" s="84" t="s">
        <v>3533</v>
      </c>
      <c r="H475" s="84" t="s">
        <v>3521</v>
      </c>
      <c r="I475" s="84" t="s">
        <v>3684</v>
      </c>
      <c r="J475" s="91"/>
      <c r="K475" s="84" t="s">
        <v>111</v>
      </c>
      <c r="L475" s="87">
        <v>408.0</v>
      </c>
      <c r="M475" s="87">
        <v>0.0</v>
      </c>
      <c r="N475" s="87">
        <v>0.138095</v>
      </c>
      <c r="O475" s="87">
        <v>0.0</v>
      </c>
      <c r="P475" s="87">
        <v>0.0</v>
      </c>
      <c r="Q475" s="87">
        <v>0.138095</v>
      </c>
      <c r="T475" s="84" t="s">
        <v>873</v>
      </c>
      <c r="U475" s="87">
        <v>0.0</v>
      </c>
    </row>
    <row r="476">
      <c r="A476" s="84" t="s">
        <v>761</v>
      </c>
      <c r="B476" s="194" t="s">
        <v>4118</v>
      </c>
      <c r="C476" s="84" t="s">
        <v>759</v>
      </c>
      <c r="D476" s="88" t="s">
        <v>1396</v>
      </c>
      <c r="E476" s="84" t="s">
        <v>3683</v>
      </c>
      <c r="F476" s="84" t="s">
        <v>760</v>
      </c>
      <c r="G476" s="84" t="s">
        <v>4015</v>
      </c>
      <c r="H476" s="84" t="s">
        <v>3507</v>
      </c>
      <c r="I476" s="84" t="s">
        <v>3684</v>
      </c>
      <c r="J476" s="91"/>
      <c r="K476" s="85"/>
      <c r="L476" s="87">
        <v>93.0</v>
      </c>
      <c r="M476" s="87">
        <v>10.0</v>
      </c>
      <c r="N476" s="87">
        <v>3.60868</v>
      </c>
      <c r="O476" s="87">
        <v>12.76593</v>
      </c>
      <c r="P476" s="87">
        <v>10.14058</v>
      </c>
      <c r="Q476" s="87">
        <v>9.273191</v>
      </c>
      <c r="T476" s="84" t="s">
        <v>872</v>
      </c>
      <c r="U476" s="87">
        <v>0.0</v>
      </c>
    </row>
    <row r="477">
      <c r="A477" s="84" t="s">
        <v>213</v>
      </c>
      <c r="B477" s="194" t="s">
        <v>4129</v>
      </c>
      <c r="C477" s="84" t="s">
        <v>871</v>
      </c>
      <c r="D477" s="88" t="s">
        <v>1396</v>
      </c>
      <c r="E477" s="84" t="s">
        <v>3683</v>
      </c>
      <c r="F477" s="84" t="s">
        <v>869</v>
      </c>
      <c r="G477" s="84" t="s">
        <v>3554</v>
      </c>
      <c r="H477" s="84" t="s">
        <v>3521</v>
      </c>
      <c r="I477" s="84" t="s">
        <v>3684</v>
      </c>
      <c r="J477" s="85"/>
      <c r="K477" s="84" t="s">
        <v>111</v>
      </c>
      <c r="L477" s="87">
        <v>552.0</v>
      </c>
      <c r="M477" s="87">
        <v>0.0</v>
      </c>
      <c r="N477" s="87">
        <v>0.0</v>
      </c>
      <c r="O477" s="87">
        <v>0.0</v>
      </c>
      <c r="P477" s="87">
        <v>0.0</v>
      </c>
      <c r="Q477" s="87">
        <v>0.0</v>
      </c>
      <c r="T477" s="84" t="s">
        <v>741</v>
      </c>
      <c r="U477" s="87">
        <v>0.0</v>
      </c>
    </row>
    <row r="478">
      <c r="A478" s="84" t="s">
        <v>1130</v>
      </c>
      <c r="B478" s="194" t="s">
        <v>4130</v>
      </c>
      <c r="C478" s="84" t="s">
        <v>1150</v>
      </c>
      <c r="D478" s="88" t="s">
        <v>1396</v>
      </c>
      <c r="E478" s="84" t="s">
        <v>3683</v>
      </c>
      <c r="F478" s="84" t="s">
        <v>1142</v>
      </c>
      <c r="G478" s="84" t="s">
        <v>3605</v>
      </c>
      <c r="H478" s="84" t="s">
        <v>3521</v>
      </c>
      <c r="I478" s="84" t="s">
        <v>3684</v>
      </c>
      <c r="J478" s="84" t="s">
        <v>130</v>
      </c>
      <c r="K478" s="84" t="s">
        <v>111</v>
      </c>
      <c r="L478" s="87">
        <v>144.0</v>
      </c>
      <c r="M478" s="87">
        <v>0.0</v>
      </c>
      <c r="N478" s="87">
        <v>0.696429</v>
      </c>
      <c r="O478" s="87">
        <v>0.0</v>
      </c>
      <c r="P478" s="87">
        <v>0.0</v>
      </c>
      <c r="Q478" s="87">
        <v>0.721429</v>
      </c>
      <c r="T478" s="84" t="s">
        <v>599</v>
      </c>
      <c r="U478" s="87">
        <v>0.0</v>
      </c>
    </row>
    <row r="479">
      <c r="A479" s="84" t="s">
        <v>481</v>
      </c>
      <c r="B479" s="194" t="s">
        <v>4131</v>
      </c>
      <c r="C479" s="84" t="s">
        <v>1005</v>
      </c>
      <c r="D479" s="88" t="s">
        <v>1396</v>
      </c>
      <c r="E479" s="84" t="s">
        <v>3683</v>
      </c>
      <c r="F479" s="84" t="s">
        <v>989</v>
      </c>
      <c r="G479" s="84" t="s">
        <v>3585</v>
      </c>
      <c r="H479" s="84" t="s">
        <v>3521</v>
      </c>
      <c r="I479" s="84" t="s">
        <v>3684</v>
      </c>
      <c r="J479" s="84" t="s">
        <v>130</v>
      </c>
      <c r="K479" s="91"/>
      <c r="L479" s="87">
        <v>0.0</v>
      </c>
      <c r="M479" s="87">
        <v>0.0</v>
      </c>
      <c r="N479" s="87">
        <v>0.0</v>
      </c>
      <c r="O479" s="87">
        <v>0.0</v>
      </c>
      <c r="P479" s="87">
        <v>0.0</v>
      </c>
      <c r="Q479" s="87">
        <v>0.033333</v>
      </c>
      <c r="T479" s="84" t="s">
        <v>752</v>
      </c>
      <c r="U479" s="87">
        <v>3.13027528</v>
      </c>
    </row>
    <row r="480">
      <c r="A480" s="84" t="s">
        <v>458</v>
      </c>
      <c r="B480" s="194" t="s">
        <v>4132</v>
      </c>
      <c r="C480" s="84" t="s">
        <v>3583</v>
      </c>
      <c r="D480" s="88" t="s">
        <v>1396</v>
      </c>
      <c r="E480" s="84" t="s">
        <v>3683</v>
      </c>
      <c r="F480" s="84" t="s">
        <v>973</v>
      </c>
      <c r="G480" s="84" t="s">
        <v>3582</v>
      </c>
      <c r="H480" s="84" t="s">
        <v>3521</v>
      </c>
      <c r="I480" s="84" t="s">
        <v>3684</v>
      </c>
      <c r="J480" s="84" t="s">
        <v>130</v>
      </c>
      <c r="K480" s="84" t="s">
        <v>111</v>
      </c>
      <c r="L480" s="87">
        <v>24.0</v>
      </c>
      <c r="M480" s="87">
        <v>0.0</v>
      </c>
      <c r="N480" s="87">
        <v>0.0</v>
      </c>
      <c r="O480" s="87">
        <v>0.0</v>
      </c>
      <c r="P480" s="87">
        <v>0.0</v>
      </c>
      <c r="Q480" s="87">
        <v>0.0</v>
      </c>
      <c r="T480" s="84" t="s">
        <v>756</v>
      </c>
      <c r="U480" s="87">
        <v>0.0</v>
      </c>
    </row>
    <row r="481">
      <c r="A481" s="84" t="s">
        <v>644</v>
      </c>
      <c r="B481" s="194" t="s">
        <v>4133</v>
      </c>
      <c r="C481" s="84" t="s">
        <v>1250</v>
      </c>
      <c r="D481" s="88" t="s">
        <v>1396</v>
      </c>
      <c r="E481" s="84" t="s">
        <v>3683</v>
      </c>
      <c r="F481" s="84" t="s">
        <v>1251</v>
      </c>
      <c r="G481" s="84" t="s">
        <v>3607</v>
      </c>
      <c r="H481" s="84" t="s">
        <v>3521</v>
      </c>
      <c r="I481" s="84" t="s">
        <v>3684</v>
      </c>
      <c r="J481" s="84" t="s">
        <v>130</v>
      </c>
      <c r="K481" s="91"/>
      <c r="L481" s="87">
        <v>24.0</v>
      </c>
      <c r="M481" s="87">
        <v>0.0</v>
      </c>
      <c r="N481" s="87">
        <v>0.0</v>
      </c>
      <c r="O481" s="87">
        <v>0.0</v>
      </c>
      <c r="P481" s="87">
        <v>0.0</v>
      </c>
      <c r="Q481" s="87">
        <v>0.0</v>
      </c>
      <c r="T481" s="84" t="s">
        <v>779</v>
      </c>
      <c r="U481" s="87">
        <v>4.422064047</v>
      </c>
    </row>
    <row r="482">
      <c r="A482" s="84" t="s">
        <v>393</v>
      </c>
      <c r="B482" s="194" t="s">
        <v>4134</v>
      </c>
      <c r="C482" s="84" t="s">
        <v>934</v>
      </c>
      <c r="D482" s="88" t="s">
        <v>1396</v>
      </c>
      <c r="E482" s="84" t="s">
        <v>3687</v>
      </c>
      <c r="F482" s="91"/>
      <c r="G482" s="84" t="s">
        <v>3569</v>
      </c>
      <c r="I482" s="84" t="s">
        <v>3693</v>
      </c>
      <c r="J482" s="85"/>
      <c r="K482" s="91"/>
      <c r="L482" s="87">
        <v>24.0</v>
      </c>
      <c r="M482" s="87">
        <v>0.0</v>
      </c>
      <c r="N482" s="87">
        <v>0.0</v>
      </c>
      <c r="O482" s="87">
        <v>0.0</v>
      </c>
      <c r="P482" s="87">
        <v>0.0</v>
      </c>
      <c r="Q482" s="87">
        <v>0.0</v>
      </c>
      <c r="T482" s="84" t="s">
        <v>3663</v>
      </c>
      <c r="U482" s="87">
        <v>0.076923077</v>
      </c>
    </row>
    <row r="483">
      <c r="A483" s="84" t="s">
        <v>644</v>
      </c>
      <c r="B483" s="194" t="s">
        <v>4135</v>
      </c>
      <c r="C483" s="84" t="s">
        <v>1210</v>
      </c>
      <c r="D483" s="88" t="s">
        <v>1396</v>
      </c>
      <c r="E483" s="84" t="s">
        <v>3683</v>
      </c>
      <c r="F483" s="84" t="s">
        <v>1208</v>
      </c>
      <c r="G483" s="84" t="s">
        <v>3606</v>
      </c>
      <c r="H483" s="84" t="s">
        <v>3521</v>
      </c>
      <c r="I483" s="84" t="s">
        <v>3684</v>
      </c>
      <c r="J483" s="84" t="s">
        <v>130</v>
      </c>
      <c r="K483" s="85"/>
      <c r="L483" s="87">
        <v>24.0</v>
      </c>
      <c r="M483" s="87">
        <v>0.0</v>
      </c>
      <c r="N483" s="87">
        <v>0.0</v>
      </c>
      <c r="O483" s="87">
        <v>0.0</v>
      </c>
      <c r="P483" s="87">
        <v>0.0</v>
      </c>
      <c r="Q483" s="87">
        <v>0.0</v>
      </c>
      <c r="T483" s="84" t="s">
        <v>1307</v>
      </c>
      <c r="U483" s="87">
        <v>0.0</v>
      </c>
    </row>
    <row r="484">
      <c r="A484" s="84" t="s">
        <v>616</v>
      </c>
      <c r="B484" s="194" t="s">
        <v>4136</v>
      </c>
      <c r="C484" s="84" t="s">
        <v>626</v>
      </c>
      <c r="D484" s="88" t="s">
        <v>1396</v>
      </c>
      <c r="E484" s="84" t="s">
        <v>3683</v>
      </c>
      <c r="F484" s="84" t="s">
        <v>621</v>
      </c>
      <c r="G484" s="84" t="s">
        <v>3552</v>
      </c>
      <c r="H484" s="84" t="s">
        <v>3521</v>
      </c>
      <c r="I484" s="84" t="s">
        <v>3684</v>
      </c>
      <c r="J484" s="84" t="s">
        <v>130</v>
      </c>
      <c r="K484" s="91"/>
      <c r="L484" s="87">
        <v>24.0</v>
      </c>
      <c r="M484" s="87">
        <v>0.0</v>
      </c>
      <c r="N484" s="87">
        <v>0.0</v>
      </c>
      <c r="O484" s="87">
        <v>0.071429</v>
      </c>
      <c r="P484" s="87">
        <v>0.066667</v>
      </c>
      <c r="Q484" s="87">
        <v>0.05</v>
      </c>
      <c r="T484" s="84" t="s">
        <v>774</v>
      </c>
      <c r="U484" s="87">
        <v>11.88427128</v>
      </c>
    </row>
    <row r="485">
      <c r="A485" s="84" t="s">
        <v>537</v>
      </c>
      <c r="B485" s="194" t="s">
        <v>3931</v>
      </c>
      <c r="C485" s="84" t="s">
        <v>1052</v>
      </c>
      <c r="D485" s="88" t="s">
        <v>1396</v>
      </c>
      <c r="E485" s="84" t="s">
        <v>3683</v>
      </c>
      <c r="F485" s="84" t="s">
        <v>1047</v>
      </c>
      <c r="G485" s="84" t="s">
        <v>3592</v>
      </c>
      <c r="H485" s="84" t="s">
        <v>3521</v>
      </c>
      <c r="I485" s="84" t="s">
        <v>3693</v>
      </c>
      <c r="J485" s="84" t="s">
        <v>130</v>
      </c>
      <c r="K485" s="85"/>
      <c r="L485" s="87">
        <v>24.0</v>
      </c>
      <c r="M485" s="87">
        <v>0.0</v>
      </c>
      <c r="N485" s="87">
        <v>0.0</v>
      </c>
      <c r="O485" s="87">
        <v>0.0</v>
      </c>
      <c r="P485" s="87">
        <v>0.0</v>
      </c>
      <c r="Q485" s="87">
        <v>0.0</v>
      </c>
      <c r="T485" s="84" t="s">
        <v>1074</v>
      </c>
      <c r="U485" s="87">
        <v>0.5</v>
      </c>
    </row>
    <row r="486">
      <c r="A486" s="84" t="s">
        <v>472</v>
      </c>
      <c r="B486" s="194" t="s">
        <v>3905</v>
      </c>
      <c r="C486" s="84" t="s">
        <v>1022</v>
      </c>
      <c r="D486" s="88" t="s">
        <v>1396</v>
      </c>
      <c r="E486" s="84" t="s">
        <v>3683</v>
      </c>
      <c r="F486" s="84" t="s">
        <v>1020</v>
      </c>
      <c r="G486" s="84" t="s">
        <v>3560</v>
      </c>
      <c r="H486" s="84" t="s">
        <v>3507</v>
      </c>
      <c r="I486" s="84" t="s">
        <v>3684</v>
      </c>
      <c r="J486" s="84" t="s">
        <v>130</v>
      </c>
      <c r="K486" s="91"/>
      <c r="L486" s="87">
        <v>24.0</v>
      </c>
      <c r="M486" s="87">
        <v>0.0</v>
      </c>
      <c r="N486" s="87">
        <v>0.0</v>
      </c>
      <c r="O486" s="87">
        <v>0.0</v>
      </c>
      <c r="P486" s="87">
        <v>0.0</v>
      </c>
      <c r="Q486" s="87">
        <v>0.0</v>
      </c>
      <c r="T486" s="84" t="s">
        <v>1079</v>
      </c>
      <c r="U486" s="87">
        <v>0.803571429</v>
      </c>
    </row>
    <row r="487">
      <c r="A487" s="84" t="s">
        <v>393</v>
      </c>
      <c r="B487" s="194" t="s">
        <v>4137</v>
      </c>
      <c r="C487" s="84" t="s">
        <v>400</v>
      </c>
      <c r="D487" s="88" t="s">
        <v>1396</v>
      </c>
      <c r="E487" s="84" t="s">
        <v>3683</v>
      </c>
      <c r="F487" s="84" t="s">
        <v>397</v>
      </c>
      <c r="G487" s="84" t="s">
        <v>3698</v>
      </c>
      <c r="H487" s="84" t="s">
        <v>3521</v>
      </c>
      <c r="I487" s="84" t="s">
        <v>3693</v>
      </c>
      <c r="J487" s="85"/>
      <c r="K487" s="84" t="s">
        <v>111</v>
      </c>
      <c r="L487" s="87">
        <v>24.0</v>
      </c>
      <c r="M487" s="87">
        <v>0.0</v>
      </c>
      <c r="N487" s="87">
        <v>0.0</v>
      </c>
      <c r="O487" s="87">
        <v>0.071429</v>
      </c>
      <c r="P487" s="87">
        <v>0.033333</v>
      </c>
      <c r="Q487" s="87">
        <v>0.019608</v>
      </c>
      <c r="T487" s="84" t="s">
        <v>1081</v>
      </c>
      <c r="U487" s="87">
        <v>2.0</v>
      </c>
    </row>
    <row r="488">
      <c r="A488" s="84" t="s">
        <v>107</v>
      </c>
      <c r="B488" s="194" t="s">
        <v>3773</v>
      </c>
      <c r="C488" s="84" t="s">
        <v>113</v>
      </c>
      <c r="D488" s="88" t="s">
        <v>1396</v>
      </c>
      <c r="E488" s="84" t="s">
        <v>3683</v>
      </c>
      <c r="F488" s="84" t="s">
        <v>106</v>
      </c>
      <c r="G488" s="84" t="s">
        <v>3552</v>
      </c>
      <c r="H488" s="84" t="s">
        <v>3521</v>
      </c>
      <c r="I488" s="84" t="s">
        <v>3684</v>
      </c>
      <c r="J488" s="84" t="s">
        <v>130</v>
      </c>
      <c r="K488" s="91"/>
      <c r="L488" s="87">
        <v>24.0</v>
      </c>
      <c r="M488" s="87">
        <v>0.0</v>
      </c>
      <c r="N488" s="87">
        <v>0.0</v>
      </c>
      <c r="O488" s="87">
        <v>0.0</v>
      </c>
      <c r="P488" s="87">
        <v>0.0</v>
      </c>
      <c r="Q488" s="87">
        <v>0.0</v>
      </c>
      <c r="T488" s="84" t="s">
        <v>1086</v>
      </c>
      <c r="U488" s="87">
        <v>0.281818182</v>
      </c>
    </row>
    <row r="489">
      <c r="A489" s="84" t="s">
        <v>644</v>
      </c>
      <c r="B489" s="194" t="s">
        <v>4138</v>
      </c>
      <c r="C489" s="84" t="s">
        <v>1197</v>
      </c>
      <c r="D489" s="88" t="s">
        <v>1396</v>
      </c>
      <c r="E489" s="84" t="s">
        <v>3683</v>
      </c>
      <c r="F489" s="84" t="s">
        <v>1192</v>
      </c>
      <c r="G489" s="84" t="s">
        <v>3761</v>
      </c>
      <c r="I489" s="84" t="s">
        <v>3684</v>
      </c>
      <c r="J489" s="84" t="s">
        <v>215</v>
      </c>
      <c r="L489" s="87">
        <v>24.0</v>
      </c>
      <c r="M489" s="87">
        <v>0.0</v>
      </c>
      <c r="N489" s="87">
        <v>0.0</v>
      </c>
      <c r="O489" s="87">
        <v>0.0</v>
      </c>
      <c r="P489" s="87">
        <v>0.0</v>
      </c>
      <c r="Q489" s="87">
        <v>0.0</v>
      </c>
      <c r="T489" s="84" t="s">
        <v>1083</v>
      </c>
      <c r="U489" s="87">
        <v>0.972222222</v>
      </c>
    </row>
    <row r="490">
      <c r="A490" s="84" t="s">
        <v>213</v>
      </c>
      <c r="B490" s="194" t="s">
        <v>4139</v>
      </c>
      <c r="C490" s="84" t="s">
        <v>873</v>
      </c>
      <c r="D490" s="88" t="s">
        <v>1396</v>
      </c>
      <c r="E490" s="84" t="s">
        <v>3683</v>
      </c>
      <c r="F490" s="84" t="s">
        <v>869</v>
      </c>
      <c r="G490" s="84" t="s">
        <v>3554</v>
      </c>
      <c r="H490" s="84" t="s">
        <v>3521</v>
      </c>
      <c r="I490" s="84" t="s">
        <v>3684</v>
      </c>
      <c r="J490" s="91"/>
      <c r="K490" s="84" t="s">
        <v>111</v>
      </c>
      <c r="L490" s="87">
        <v>528.0</v>
      </c>
      <c r="M490" s="87">
        <v>0.0</v>
      </c>
      <c r="N490" s="87">
        <v>0.0</v>
      </c>
      <c r="O490" s="87">
        <v>0.0</v>
      </c>
      <c r="P490" s="87">
        <v>0.0</v>
      </c>
      <c r="Q490" s="87">
        <v>0.0</v>
      </c>
      <c r="T490" s="84" t="s">
        <v>1082</v>
      </c>
      <c r="U490" s="87">
        <v>0.666666667</v>
      </c>
    </row>
    <row r="491">
      <c r="A491" s="84" t="s">
        <v>301</v>
      </c>
      <c r="B491" s="194" t="s">
        <v>4140</v>
      </c>
      <c r="C491" s="84" t="s">
        <v>299</v>
      </c>
      <c r="D491" s="88" t="s">
        <v>1396</v>
      </c>
      <c r="E491" s="84" t="s">
        <v>3683</v>
      </c>
      <c r="F491" s="84" t="s">
        <v>300</v>
      </c>
      <c r="G491" s="84" t="s">
        <v>3703</v>
      </c>
      <c r="H491" s="84" t="s">
        <v>3521</v>
      </c>
      <c r="I491" s="84" t="s">
        <v>3684</v>
      </c>
      <c r="J491" s="84" t="s">
        <v>130</v>
      </c>
      <c r="K491" s="91"/>
      <c r="L491" s="87">
        <v>216.0</v>
      </c>
      <c r="M491" s="87">
        <v>0.0</v>
      </c>
      <c r="N491" s="87">
        <v>0.0</v>
      </c>
      <c r="O491" s="87">
        <v>0.0</v>
      </c>
      <c r="P491" s="87">
        <v>0.0</v>
      </c>
      <c r="Q491" s="87">
        <v>0.033333</v>
      </c>
      <c r="T491" s="84" t="s">
        <v>1077</v>
      </c>
      <c r="U491" s="87">
        <v>0.166666667</v>
      </c>
    </row>
    <row r="492">
      <c r="A492" s="84" t="s">
        <v>458</v>
      </c>
      <c r="B492" s="194" t="s">
        <v>4141</v>
      </c>
      <c r="C492" s="84" t="s">
        <v>968</v>
      </c>
      <c r="D492" s="88" t="s">
        <v>1396</v>
      </c>
      <c r="E492" s="84" t="s">
        <v>3683</v>
      </c>
      <c r="F492" s="84" t="s">
        <v>967</v>
      </c>
      <c r="G492" s="84" t="s">
        <v>3581</v>
      </c>
      <c r="H492" s="84" t="s">
        <v>3521</v>
      </c>
      <c r="I492" s="84" t="s">
        <v>3684</v>
      </c>
      <c r="J492" s="85"/>
      <c r="K492" s="84" t="s">
        <v>111</v>
      </c>
      <c r="L492" s="87">
        <v>720.0</v>
      </c>
      <c r="M492" s="87">
        <v>0.0</v>
      </c>
      <c r="N492" s="87">
        <v>0.0</v>
      </c>
      <c r="O492" s="87">
        <v>0.0</v>
      </c>
      <c r="P492" s="87">
        <v>0.0</v>
      </c>
      <c r="Q492" s="87">
        <v>0.0</v>
      </c>
      <c r="T492" s="84" t="s">
        <v>1080</v>
      </c>
      <c r="U492" s="87">
        <v>0.0</v>
      </c>
    </row>
    <row r="493">
      <c r="A493" s="84" t="s">
        <v>180</v>
      </c>
      <c r="B493" s="194" t="s">
        <v>4036</v>
      </c>
      <c r="C493" s="84" t="s">
        <v>847</v>
      </c>
      <c r="D493" s="88" t="s">
        <v>1396</v>
      </c>
      <c r="E493" s="84" t="s">
        <v>3683</v>
      </c>
      <c r="F493" s="84" t="s">
        <v>843</v>
      </c>
      <c r="G493" s="84" t="s">
        <v>3599</v>
      </c>
      <c r="H493" s="84" t="s">
        <v>3507</v>
      </c>
      <c r="I493" s="84" t="s">
        <v>3684</v>
      </c>
      <c r="J493" s="91"/>
      <c r="K493" s="91"/>
      <c r="L493" s="87">
        <v>24.0</v>
      </c>
      <c r="M493" s="87">
        <v>0.0</v>
      </c>
      <c r="N493" s="87">
        <v>0.0</v>
      </c>
      <c r="O493" s="87">
        <v>1.047619</v>
      </c>
      <c r="P493" s="87">
        <v>2.11946</v>
      </c>
      <c r="Q493" s="87">
        <v>3.557925</v>
      </c>
      <c r="T493" s="84" t="s">
        <v>1076</v>
      </c>
      <c r="U493" s="87">
        <v>0.0</v>
      </c>
    </row>
    <row r="494">
      <c r="A494" s="84" t="s">
        <v>1130</v>
      </c>
      <c r="B494" s="194" t="s">
        <v>4142</v>
      </c>
      <c r="C494" s="84" t="s">
        <v>1128</v>
      </c>
      <c r="D494" s="88" t="s">
        <v>1396</v>
      </c>
      <c r="E494" s="84" t="s">
        <v>3687</v>
      </c>
      <c r="F494" s="84" t="s">
        <v>1129</v>
      </c>
      <c r="G494" s="84" t="s">
        <v>3604</v>
      </c>
      <c r="H494" s="84" t="s">
        <v>3521</v>
      </c>
      <c r="I494" s="84" t="s">
        <v>3684</v>
      </c>
      <c r="J494" s="84" t="s">
        <v>130</v>
      </c>
      <c r="K494" s="85"/>
      <c r="L494" s="87">
        <v>0.0</v>
      </c>
      <c r="M494" s="87">
        <v>0.0</v>
      </c>
      <c r="N494" s="87">
        <v>0.0</v>
      </c>
      <c r="O494" s="87">
        <v>0.0</v>
      </c>
      <c r="P494" s="87">
        <v>0.0</v>
      </c>
      <c r="Q494" s="87">
        <v>0.016667</v>
      </c>
      <c r="T494" s="84" t="s">
        <v>1078</v>
      </c>
      <c r="U494" s="87">
        <v>0.0</v>
      </c>
    </row>
    <row r="495">
      <c r="A495" s="84" t="s">
        <v>1130</v>
      </c>
      <c r="B495" s="194" t="s">
        <v>4143</v>
      </c>
      <c r="C495" s="84" t="s">
        <v>1137</v>
      </c>
      <c r="D495" s="88" t="s">
        <v>1396</v>
      </c>
      <c r="E495" s="84" t="s">
        <v>3687</v>
      </c>
      <c r="F495" s="84" t="s">
        <v>973</v>
      </c>
      <c r="G495" s="84" t="s">
        <v>3582</v>
      </c>
      <c r="I495" s="84" t="s">
        <v>3684</v>
      </c>
      <c r="J495" s="85"/>
      <c r="K495" s="91"/>
      <c r="L495" s="87">
        <v>552.0</v>
      </c>
      <c r="M495" s="87">
        <v>0.0</v>
      </c>
      <c r="N495" s="87">
        <v>0.0</v>
      </c>
      <c r="O495" s="87">
        <v>0.0</v>
      </c>
      <c r="P495" s="87">
        <v>0.0</v>
      </c>
      <c r="Q495" s="87">
        <v>0.0</v>
      </c>
      <c r="T495" s="84" t="s">
        <v>1034</v>
      </c>
      <c r="U495" s="87">
        <v>2.108441558</v>
      </c>
    </row>
    <row r="496">
      <c r="A496" s="84" t="s">
        <v>644</v>
      </c>
      <c r="B496" s="194" t="s">
        <v>4144</v>
      </c>
      <c r="C496" s="84" t="s">
        <v>1182</v>
      </c>
      <c r="D496" s="88" t="s">
        <v>1396</v>
      </c>
      <c r="E496" s="84" t="s">
        <v>3683</v>
      </c>
      <c r="F496" s="84" t="s">
        <v>1174</v>
      </c>
      <c r="G496" s="84" t="s">
        <v>3600</v>
      </c>
      <c r="I496" s="84" t="s">
        <v>3684</v>
      </c>
      <c r="J496" s="84" t="s">
        <v>215</v>
      </c>
      <c r="L496" s="87">
        <v>480.0</v>
      </c>
      <c r="M496" s="87">
        <v>0.0</v>
      </c>
      <c r="N496" s="87">
        <v>0.0</v>
      </c>
      <c r="O496" s="87">
        <v>0.0</v>
      </c>
      <c r="P496" s="87">
        <v>0.0</v>
      </c>
      <c r="Q496" s="87">
        <v>0.0</v>
      </c>
      <c r="T496" s="84" t="s">
        <v>1038</v>
      </c>
      <c r="U496" s="87">
        <v>2.22039627</v>
      </c>
    </row>
    <row r="497">
      <c r="A497" s="84" t="s">
        <v>644</v>
      </c>
      <c r="B497" s="194" t="s">
        <v>3792</v>
      </c>
      <c r="C497" s="84" t="s">
        <v>655</v>
      </c>
      <c r="D497" s="88" t="s">
        <v>1396</v>
      </c>
      <c r="E497" s="84" t="s">
        <v>3683</v>
      </c>
      <c r="F497" s="84" t="s">
        <v>651</v>
      </c>
      <c r="G497" s="84" t="s">
        <v>3723</v>
      </c>
      <c r="H497" s="84" t="s">
        <v>3521</v>
      </c>
      <c r="I497" s="84" t="s">
        <v>3684</v>
      </c>
      <c r="J497" s="91"/>
      <c r="K497" s="91"/>
      <c r="L497" s="87">
        <v>47.0</v>
      </c>
      <c r="M497" s="87">
        <v>1.0</v>
      </c>
      <c r="N497" s="87">
        <v>0.230769</v>
      </c>
      <c r="O497" s="87">
        <v>1.307692</v>
      </c>
      <c r="P497" s="87">
        <v>1.553038</v>
      </c>
      <c r="Q497" s="87">
        <v>1.618904</v>
      </c>
      <c r="T497" s="84" t="s">
        <v>1039</v>
      </c>
      <c r="U497" s="87">
        <v>1.646547897</v>
      </c>
    </row>
    <row r="498">
      <c r="A498" s="84" t="s">
        <v>180</v>
      </c>
      <c r="B498" s="194" t="s">
        <v>4145</v>
      </c>
      <c r="C498" s="84" t="s">
        <v>205</v>
      </c>
      <c r="D498" s="88" t="s">
        <v>1396</v>
      </c>
      <c r="E498" s="84" t="s">
        <v>3683</v>
      </c>
      <c r="F498" s="84" t="s">
        <v>201</v>
      </c>
      <c r="G498" s="84" t="s">
        <v>3727</v>
      </c>
      <c r="H498" s="84" t="s">
        <v>3521</v>
      </c>
      <c r="I498" s="84" t="s">
        <v>3684</v>
      </c>
      <c r="J498" s="85"/>
      <c r="K498" s="91"/>
      <c r="L498" s="87">
        <v>66.0</v>
      </c>
      <c r="M498" s="87">
        <v>21.0</v>
      </c>
      <c r="N498" s="87">
        <v>1.42291</v>
      </c>
      <c r="O498" s="87">
        <v>14.93666</v>
      </c>
      <c r="P498" s="87">
        <v>14.1276</v>
      </c>
      <c r="Q498" s="87">
        <v>15.28608</v>
      </c>
      <c r="T498" s="195" t="s">
        <v>4146</v>
      </c>
      <c r="U498" s="196">
        <v>1384.231002</v>
      </c>
    </row>
    <row r="499">
      <c r="A499" s="84" t="s">
        <v>341</v>
      </c>
      <c r="B499" s="194" t="s">
        <v>4147</v>
      </c>
      <c r="C499" s="84" t="s">
        <v>348</v>
      </c>
      <c r="D499" s="88" t="s">
        <v>1396</v>
      </c>
      <c r="E499" s="91"/>
      <c r="F499" s="84" t="s">
        <v>340</v>
      </c>
      <c r="G499" s="84" t="s">
        <v>4148</v>
      </c>
      <c r="I499" s="84" t="s">
        <v>3962</v>
      </c>
      <c r="J499" s="84" t="s">
        <v>130</v>
      </c>
      <c r="K499" s="91"/>
      <c r="L499" s="87">
        <v>456.0</v>
      </c>
      <c r="M499" s="87">
        <v>0.0</v>
      </c>
      <c r="N499" s="87">
        <v>0.0</v>
      </c>
      <c r="O499" s="87">
        <v>0.0</v>
      </c>
      <c r="P499" s="87">
        <v>0.0</v>
      </c>
      <c r="Q499" s="87">
        <v>0.0</v>
      </c>
    </row>
    <row r="500">
      <c r="A500" s="84" t="s">
        <v>180</v>
      </c>
      <c r="B500" s="194" t="s">
        <v>4029</v>
      </c>
      <c r="C500" s="84" t="s">
        <v>821</v>
      </c>
      <c r="D500" s="88" t="s">
        <v>1396</v>
      </c>
      <c r="E500" s="84" t="s">
        <v>3683</v>
      </c>
      <c r="F500" s="84" t="s">
        <v>814</v>
      </c>
      <c r="G500" s="84" t="s">
        <v>3533</v>
      </c>
      <c r="H500" s="84" t="s">
        <v>3521</v>
      </c>
      <c r="I500" s="84" t="s">
        <v>3684</v>
      </c>
      <c r="J500" s="91"/>
      <c r="K500" s="91"/>
      <c r="L500" s="87">
        <v>111.0</v>
      </c>
      <c r="M500" s="87">
        <v>7.0</v>
      </c>
      <c r="N500" s="87">
        <v>1.81978</v>
      </c>
      <c r="O500" s="87">
        <v>12.83054</v>
      </c>
      <c r="P500" s="87">
        <v>11.09017</v>
      </c>
      <c r="Q500" s="87">
        <v>9.523648</v>
      </c>
    </row>
    <row r="501">
      <c r="A501" s="84" t="s">
        <v>363</v>
      </c>
      <c r="B501" s="194" t="s">
        <v>4149</v>
      </c>
      <c r="C501" s="84" t="s">
        <v>380</v>
      </c>
      <c r="D501" s="88" t="s">
        <v>1396</v>
      </c>
      <c r="E501" s="84" t="s">
        <v>3683</v>
      </c>
      <c r="F501" s="84" t="s">
        <v>376</v>
      </c>
      <c r="G501" s="84" t="s">
        <v>3568</v>
      </c>
      <c r="H501" s="84" t="s">
        <v>3527</v>
      </c>
      <c r="I501" s="84" t="s">
        <v>3709</v>
      </c>
      <c r="J501" s="84" t="s">
        <v>130</v>
      </c>
      <c r="K501" s="84" t="s">
        <v>111</v>
      </c>
      <c r="L501" s="87">
        <v>720.0</v>
      </c>
      <c r="M501" s="87">
        <v>0.0</v>
      </c>
      <c r="N501" s="87">
        <v>0.0</v>
      </c>
      <c r="O501" s="87">
        <v>0.0</v>
      </c>
      <c r="P501" s="87">
        <v>0.0</v>
      </c>
      <c r="Q501" s="87">
        <v>0.0</v>
      </c>
    </row>
    <row r="502">
      <c r="A502" s="84" t="s">
        <v>573</v>
      </c>
      <c r="B502" s="194" t="s">
        <v>4150</v>
      </c>
      <c r="C502" s="84" t="s">
        <v>591</v>
      </c>
      <c r="D502" s="88" t="s">
        <v>1396</v>
      </c>
      <c r="E502" s="84" t="s">
        <v>3687</v>
      </c>
      <c r="F502" s="84" t="s">
        <v>592</v>
      </c>
      <c r="G502" s="84" t="s">
        <v>4092</v>
      </c>
      <c r="H502" s="84" t="s">
        <v>3521</v>
      </c>
      <c r="I502" s="84" t="s">
        <v>3709</v>
      </c>
      <c r="J502" s="85"/>
      <c r="K502" s="91"/>
      <c r="L502" s="87">
        <v>29.0</v>
      </c>
      <c r="M502" s="87">
        <v>3.0</v>
      </c>
      <c r="N502" s="87">
        <v>0.517857</v>
      </c>
      <c r="O502" s="87">
        <v>2.87381</v>
      </c>
      <c r="P502" s="87">
        <v>4.055181</v>
      </c>
      <c r="Q502" s="87">
        <v>2.584761</v>
      </c>
    </row>
    <row r="503">
      <c r="A503" s="84" t="s">
        <v>630</v>
      </c>
      <c r="B503" s="194" t="s">
        <v>4151</v>
      </c>
      <c r="C503" s="84" t="s">
        <v>1118</v>
      </c>
      <c r="D503" s="88" t="s">
        <v>1396</v>
      </c>
      <c r="E503" s="84" t="s">
        <v>3683</v>
      </c>
      <c r="F503" s="84" t="s">
        <v>1117</v>
      </c>
      <c r="G503" s="84" t="s">
        <v>3554</v>
      </c>
      <c r="H503" s="84" t="s">
        <v>3521</v>
      </c>
      <c r="I503" s="84" t="s">
        <v>3684</v>
      </c>
      <c r="J503" s="91"/>
      <c r="K503" s="84" t="s">
        <v>111</v>
      </c>
      <c r="L503" s="87">
        <v>408.0</v>
      </c>
      <c r="M503" s="87">
        <v>0.0</v>
      </c>
      <c r="N503" s="87">
        <v>0.0</v>
      </c>
      <c r="O503" s="87">
        <v>0.0</v>
      </c>
      <c r="P503" s="87">
        <v>0.0</v>
      </c>
      <c r="Q503" s="87">
        <v>0.0</v>
      </c>
    </row>
    <row r="504">
      <c r="A504" s="84" t="s">
        <v>795</v>
      </c>
      <c r="B504" s="194" t="s">
        <v>4152</v>
      </c>
      <c r="C504" s="84" t="s">
        <v>799</v>
      </c>
      <c r="D504" s="88" t="s">
        <v>1396</v>
      </c>
      <c r="E504" s="84" t="s">
        <v>3683</v>
      </c>
      <c r="F504" s="84" t="s">
        <v>800</v>
      </c>
      <c r="G504" s="84" t="s">
        <v>3525</v>
      </c>
      <c r="H504" s="84" t="s">
        <v>3521</v>
      </c>
      <c r="I504" s="84" t="s">
        <v>3684</v>
      </c>
      <c r="J504" s="91"/>
      <c r="K504" s="85"/>
      <c r="L504" s="87">
        <v>0.0</v>
      </c>
      <c r="M504" s="87">
        <v>2.0</v>
      </c>
      <c r="N504" s="87">
        <v>0.0</v>
      </c>
      <c r="O504" s="87">
        <v>1.141941</v>
      </c>
      <c r="P504" s="87">
        <v>1.251264</v>
      </c>
      <c r="Q504" s="87">
        <v>1.288663</v>
      </c>
    </row>
    <row r="505">
      <c r="A505" s="84" t="s">
        <v>139</v>
      </c>
      <c r="B505" s="194" t="s">
        <v>4153</v>
      </c>
      <c r="C505" s="84" t="s">
        <v>168</v>
      </c>
      <c r="D505" s="88" t="s">
        <v>1396</v>
      </c>
      <c r="E505" s="91"/>
      <c r="F505" s="84" t="s">
        <v>144</v>
      </c>
      <c r="G505" s="84" t="s">
        <v>3700</v>
      </c>
      <c r="I505" s="84" t="s">
        <v>3684</v>
      </c>
      <c r="J505" s="84" t="s">
        <v>130</v>
      </c>
      <c r="K505" s="85"/>
      <c r="L505" s="87">
        <v>480.0</v>
      </c>
      <c r="M505" s="87">
        <v>0.0</v>
      </c>
      <c r="N505" s="87">
        <v>0.0</v>
      </c>
      <c r="O505" s="87">
        <v>0.0</v>
      </c>
      <c r="P505" s="87">
        <v>0.0</v>
      </c>
      <c r="Q505" s="87">
        <v>0.0</v>
      </c>
    </row>
    <row r="506">
      <c r="A506" s="84" t="s">
        <v>644</v>
      </c>
      <c r="B506" s="194" t="s">
        <v>3970</v>
      </c>
      <c r="C506" s="84" t="s">
        <v>1184</v>
      </c>
      <c r="D506" s="88" t="s">
        <v>1396</v>
      </c>
      <c r="E506" s="84" t="s">
        <v>3683</v>
      </c>
      <c r="F506" s="84" t="s">
        <v>1185</v>
      </c>
      <c r="G506" s="84" t="s">
        <v>3600</v>
      </c>
      <c r="I506" s="84" t="s">
        <v>3684</v>
      </c>
      <c r="J506" s="84" t="s">
        <v>215</v>
      </c>
      <c r="L506" s="87">
        <v>480.0</v>
      </c>
      <c r="M506" s="87">
        <v>0.0</v>
      </c>
      <c r="N506" s="87">
        <v>0.0</v>
      </c>
      <c r="O506" s="87">
        <v>0.0</v>
      </c>
      <c r="P506" s="87">
        <v>0.0</v>
      </c>
      <c r="Q506" s="87">
        <v>0.0</v>
      </c>
    </row>
    <row r="507">
      <c r="A507" s="84" t="s">
        <v>573</v>
      </c>
      <c r="B507" s="194" t="s">
        <v>4150</v>
      </c>
      <c r="C507" s="84" t="s">
        <v>591</v>
      </c>
      <c r="D507" s="88" t="s">
        <v>1396</v>
      </c>
      <c r="E507" s="84" t="s">
        <v>3687</v>
      </c>
      <c r="F507" s="84" t="s">
        <v>592</v>
      </c>
      <c r="G507" s="84" t="s">
        <v>4092</v>
      </c>
      <c r="H507" s="84" t="s">
        <v>3521</v>
      </c>
      <c r="I507" s="84" t="s">
        <v>3709</v>
      </c>
      <c r="J507" s="91"/>
      <c r="K507" s="84" t="s">
        <v>111</v>
      </c>
      <c r="L507" s="87">
        <v>504.0</v>
      </c>
      <c r="M507" s="87">
        <v>0.0</v>
      </c>
      <c r="N507" s="87">
        <v>0.5671</v>
      </c>
      <c r="O507" s="87">
        <v>0.0</v>
      </c>
      <c r="P507" s="87">
        <v>0.0</v>
      </c>
      <c r="Q507" s="87">
        <v>0.5671</v>
      </c>
    </row>
    <row r="508">
      <c r="A508" s="84" t="s">
        <v>481</v>
      </c>
      <c r="B508" s="194" t="s">
        <v>4154</v>
      </c>
      <c r="C508" s="84" t="s">
        <v>495</v>
      </c>
      <c r="D508" s="88" t="s">
        <v>1396</v>
      </c>
      <c r="E508" s="84" t="s">
        <v>3683</v>
      </c>
      <c r="F508" s="84" t="s">
        <v>491</v>
      </c>
      <c r="G508" s="84" t="s">
        <v>3560</v>
      </c>
      <c r="H508" s="84" t="s">
        <v>3521</v>
      </c>
      <c r="I508" s="84" t="s">
        <v>3684</v>
      </c>
      <c r="J508" s="84" t="s">
        <v>130</v>
      </c>
      <c r="K508" s="91"/>
      <c r="L508" s="87">
        <v>24.0</v>
      </c>
      <c r="M508" s="87">
        <v>0.0</v>
      </c>
      <c r="N508" s="87">
        <v>0.0</v>
      </c>
      <c r="O508" s="87">
        <v>0.0</v>
      </c>
      <c r="P508" s="87">
        <v>0.0</v>
      </c>
      <c r="Q508" s="87">
        <v>0.016667</v>
      </c>
    </row>
    <row r="509">
      <c r="A509" s="84" t="s">
        <v>439</v>
      </c>
      <c r="B509" s="194" t="s">
        <v>3837</v>
      </c>
      <c r="C509" s="84" t="s">
        <v>3838</v>
      </c>
      <c r="D509" s="88" t="s">
        <v>1396</v>
      </c>
      <c r="E509" s="84" t="s">
        <v>3683</v>
      </c>
      <c r="F509" s="84" t="s">
        <v>3714</v>
      </c>
      <c r="G509" s="84" t="s">
        <v>3715</v>
      </c>
      <c r="H509" s="84" t="s">
        <v>3527</v>
      </c>
      <c r="I509" s="84" t="s">
        <v>3684</v>
      </c>
      <c r="J509" s="84" t="s">
        <v>130</v>
      </c>
      <c r="K509" s="84" t="s">
        <v>111</v>
      </c>
      <c r="L509" s="87">
        <v>144.0</v>
      </c>
      <c r="M509" s="87">
        <v>0.0</v>
      </c>
      <c r="N509" s="87">
        <v>0.0</v>
      </c>
      <c r="O509" s="87">
        <v>0.0</v>
      </c>
      <c r="P509" s="87">
        <v>0.0</v>
      </c>
      <c r="Q509" s="87">
        <v>0.0</v>
      </c>
    </row>
    <row r="510">
      <c r="A510" s="84" t="s">
        <v>458</v>
      </c>
      <c r="B510" s="194" t="s">
        <v>4155</v>
      </c>
      <c r="C510" s="84" t="s">
        <v>976</v>
      </c>
      <c r="D510" s="88" t="s">
        <v>1396</v>
      </c>
      <c r="E510" s="84" t="s">
        <v>3683</v>
      </c>
      <c r="F510" s="84" t="s">
        <v>973</v>
      </c>
      <c r="G510" s="84" t="s">
        <v>3582</v>
      </c>
      <c r="H510" s="84" t="s">
        <v>3521</v>
      </c>
      <c r="I510" s="84" t="s">
        <v>3684</v>
      </c>
      <c r="J510" s="84" t="s">
        <v>130</v>
      </c>
      <c r="K510" s="84" t="s">
        <v>111</v>
      </c>
      <c r="L510" s="87">
        <v>24.0</v>
      </c>
      <c r="M510" s="87">
        <v>0.0</v>
      </c>
      <c r="N510" s="87">
        <v>0.0</v>
      </c>
      <c r="O510" s="87">
        <v>0.0</v>
      </c>
      <c r="P510" s="87">
        <v>0.0</v>
      </c>
      <c r="Q510" s="87">
        <v>0.0</v>
      </c>
    </row>
    <row r="511">
      <c r="A511" s="84" t="s">
        <v>795</v>
      </c>
      <c r="B511" s="194" t="s">
        <v>4152</v>
      </c>
      <c r="C511" s="84" t="s">
        <v>799</v>
      </c>
      <c r="D511" s="88" t="s">
        <v>1396</v>
      </c>
      <c r="E511" s="84" t="s">
        <v>3683</v>
      </c>
      <c r="F511" s="84" t="s">
        <v>800</v>
      </c>
      <c r="G511" s="84" t="s">
        <v>3525</v>
      </c>
      <c r="I511" s="84" t="s">
        <v>3684</v>
      </c>
      <c r="J511" s="91"/>
      <c r="K511" s="85"/>
      <c r="L511" s="87">
        <v>0.0</v>
      </c>
      <c r="M511" s="87">
        <v>0.0</v>
      </c>
      <c r="N511" s="87">
        <v>0.0</v>
      </c>
      <c r="O511" s="87">
        <v>0.0</v>
      </c>
      <c r="P511" s="87">
        <v>0.0</v>
      </c>
      <c r="Q511" s="87">
        <v>0.0</v>
      </c>
    </row>
    <row r="512">
      <c r="A512" s="84" t="s">
        <v>644</v>
      </c>
      <c r="B512" s="194" t="s">
        <v>4156</v>
      </c>
      <c r="C512" s="84" t="s">
        <v>642</v>
      </c>
      <c r="D512" s="88" t="s">
        <v>1396</v>
      </c>
      <c r="E512" s="84" t="s">
        <v>3683</v>
      </c>
      <c r="F512" s="84" t="s">
        <v>643</v>
      </c>
      <c r="G512" s="84" t="s">
        <v>3734</v>
      </c>
      <c r="H512" s="84" t="s">
        <v>3521</v>
      </c>
      <c r="I512" s="84" t="s">
        <v>3684</v>
      </c>
      <c r="J512" s="84" t="s">
        <v>130</v>
      </c>
      <c r="K512" s="91"/>
      <c r="L512" s="87">
        <v>48.0</v>
      </c>
      <c r="M512" s="87">
        <v>0.0</v>
      </c>
      <c r="N512" s="87">
        <v>1.0</v>
      </c>
      <c r="O512" s="87">
        <v>0.0</v>
      </c>
      <c r="P512" s="87">
        <v>0.0</v>
      </c>
      <c r="Q512" s="87">
        <v>1.0</v>
      </c>
    </row>
    <row r="513">
      <c r="A513" s="84" t="s">
        <v>644</v>
      </c>
      <c r="B513" s="194" t="s">
        <v>3930</v>
      </c>
      <c r="C513" s="84" t="s">
        <v>1351</v>
      </c>
      <c r="D513" s="88" t="s">
        <v>1396</v>
      </c>
      <c r="E513" s="84" t="s">
        <v>3683</v>
      </c>
      <c r="F513" s="84" t="s">
        <v>850</v>
      </c>
      <c r="G513" s="84" t="s">
        <v>3551</v>
      </c>
      <c r="H513" s="84" t="s">
        <v>3521</v>
      </c>
      <c r="I513" s="84" t="s">
        <v>3684</v>
      </c>
      <c r="J513" s="84" t="s">
        <v>130</v>
      </c>
      <c r="K513" s="85"/>
      <c r="L513" s="87">
        <v>24.0</v>
      </c>
      <c r="M513" s="87">
        <v>0.0</v>
      </c>
      <c r="N513" s="87">
        <v>0.0</v>
      </c>
      <c r="O513" s="87">
        <v>0.0</v>
      </c>
      <c r="P513" s="87">
        <v>0.0</v>
      </c>
      <c r="Q513" s="87">
        <v>0.0</v>
      </c>
    </row>
    <row r="514">
      <c r="A514" s="84" t="s">
        <v>616</v>
      </c>
      <c r="B514" s="194" t="s">
        <v>4157</v>
      </c>
      <c r="C514" s="84" t="s">
        <v>1079</v>
      </c>
      <c r="D514" s="88" t="s">
        <v>1396</v>
      </c>
      <c r="E514" s="84" t="s">
        <v>3683</v>
      </c>
      <c r="F514" s="84" t="s">
        <v>1075</v>
      </c>
      <c r="G514" s="84" t="s">
        <v>3542</v>
      </c>
      <c r="H514" s="84" t="s">
        <v>3521</v>
      </c>
      <c r="I514" s="84" t="s">
        <v>3684</v>
      </c>
      <c r="J514" s="84" t="s">
        <v>130</v>
      </c>
      <c r="K514" s="91"/>
      <c r="L514" s="87">
        <v>24.0</v>
      </c>
      <c r="M514" s="87">
        <v>0.0</v>
      </c>
      <c r="N514" s="87">
        <v>0.0</v>
      </c>
      <c r="O514" s="87">
        <v>0.0</v>
      </c>
      <c r="P514" s="87">
        <v>0.0</v>
      </c>
      <c r="Q514" s="87">
        <v>0.0</v>
      </c>
    </row>
    <row r="515">
      <c r="A515" s="84" t="s">
        <v>644</v>
      </c>
      <c r="B515" s="194" t="s">
        <v>4158</v>
      </c>
      <c r="C515" s="84" t="s">
        <v>680</v>
      </c>
      <c r="D515" s="88" t="s">
        <v>1396</v>
      </c>
      <c r="E515" s="84" t="s">
        <v>3683</v>
      </c>
      <c r="F515" s="84" t="s">
        <v>678</v>
      </c>
      <c r="G515" s="84" t="s">
        <v>3944</v>
      </c>
      <c r="H515" s="84" t="s">
        <v>3521</v>
      </c>
      <c r="I515" s="84" t="s">
        <v>3684</v>
      </c>
      <c r="J515" s="84" t="s">
        <v>130</v>
      </c>
      <c r="K515" s="85"/>
      <c r="L515" s="87">
        <v>24.0</v>
      </c>
      <c r="M515" s="87">
        <v>0.0</v>
      </c>
      <c r="N515" s="87">
        <v>0.0</v>
      </c>
      <c r="O515" s="87">
        <v>0.0</v>
      </c>
      <c r="P515" s="87">
        <v>0.0</v>
      </c>
      <c r="Q515" s="87">
        <v>0.0</v>
      </c>
    </row>
    <row r="516">
      <c r="A516" s="84" t="s">
        <v>458</v>
      </c>
      <c r="B516" s="194" t="s">
        <v>4159</v>
      </c>
      <c r="C516" s="84" t="s">
        <v>466</v>
      </c>
      <c r="D516" s="88" t="s">
        <v>1396</v>
      </c>
      <c r="E516" s="84" t="s">
        <v>3683</v>
      </c>
      <c r="F516" s="84" t="s">
        <v>467</v>
      </c>
      <c r="G516" s="84" t="s">
        <v>3582</v>
      </c>
      <c r="H516" s="84" t="s">
        <v>3521</v>
      </c>
      <c r="I516" s="84" t="s">
        <v>3684</v>
      </c>
      <c r="J516" s="84" t="s">
        <v>130</v>
      </c>
      <c r="K516" s="85"/>
      <c r="L516" s="87">
        <v>24.0</v>
      </c>
      <c r="M516" s="87">
        <v>0.0</v>
      </c>
      <c r="N516" s="87">
        <v>0.0</v>
      </c>
      <c r="O516" s="87">
        <v>0.0</v>
      </c>
      <c r="P516" s="87">
        <v>0.0</v>
      </c>
      <c r="Q516" s="87">
        <v>0.0</v>
      </c>
    </row>
    <row r="517">
      <c r="A517" s="84" t="s">
        <v>481</v>
      </c>
      <c r="B517" s="194" t="s">
        <v>3868</v>
      </c>
      <c r="C517" s="84" t="s">
        <v>500</v>
      </c>
      <c r="D517" s="88" t="s">
        <v>1396</v>
      </c>
      <c r="E517" s="84" t="s">
        <v>3683</v>
      </c>
      <c r="F517" s="84" t="s">
        <v>491</v>
      </c>
      <c r="G517" s="84" t="s">
        <v>3560</v>
      </c>
      <c r="H517" s="84" t="s">
        <v>3521</v>
      </c>
      <c r="I517" s="84" t="s">
        <v>3684</v>
      </c>
      <c r="J517" s="85"/>
      <c r="K517" s="85"/>
      <c r="L517" s="87">
        <v>0.0</v>
      </c>
      <c r="M517" s="87">
        <v>3.0</v>
      </c>
      <c r="N517" s="87">
        <v>0.0</v>
      </c>
      <c r="O517" s="87">
        <v>1.357143</v>
      </c>
      <c r="P517" s="87">
        <v>1.333333</v>
      </c>
      <c r="Q517" s="87">
        <v>1.734101</v>
      </c>
    </row>
    <row r="518">
      <c r="A518" s="84" t="s">
        <v>644</v>
      </c>
      <c r="B518" s="194" t="s">
        <v>4138</v>
      </c>
      <c r="C518" s="84" t="s">
        <v>1197</v>
      </c>
      <c r="D518" s="88" t="s">
        <v>1396</v>
      </c>
      <c r="E518" s="84" t="s">
        <v>3683</v>
      </c>
      <c r="F518" s="84" t="s">
        <v>1192</v>
      </c>
      <c r="G518" s="84" t="s">
        <v>3761</v>
      </c>
      <c r="I518" s="84" t="s">
        <v>3684</v>
      </c>
      <c r="J518" s="84" t="s">
        <v>215</v>
      </c>
      <c r="K518" s="84" t="s">
        <v>111</v>
      </c>
      <c r="L518" s="87">
        <v>456.0</v>
      </c>
      <c r="M518" s="87">
        <v>0.0</v>
      </c>
      <c r="N518" s="87">
        <v>0.0</v>
      </c>
      <c r="O518" s="87">
        <v>0.0</v>
      </c>
      <c r="P518" s="87">
        <v>0.0</v>
      </c>
      <c r="Q518" s="87">
        <v>0.0</v>
      </c>
    </row>
    <row r="519">
      <c r="A519" s="84" t="s">
        <v>439</v>
      </c>
      <c r="B519" s="194" t="s">
        <v>3896</v>
      </c>
      <c r="C519" s="84" t="s">
        <v>3574</v>
      </c>
      <c r="D519" s="88" t="s">
        <v>1396</v>
      </c>
      <c r="E519" s="84" t="s">
        <v>3687</v>
      </c>
      <c r="F519" s="84" t="s">
        <v>3898</v>
      </c>
      <c r="G519" s="84" t="s">
        <v>3575</v>
      </c>
      <c r="I519" s="84" t="s">
        <v>3709</v>
      </c>
      <c r="J519" s="85"/>
      <c r="K519" s="85"/>
      <c r="L519" s="87">
        <v>528.0</v>
      </c>
      <c r="M519" s="87">
        <v>0.0</v>
      </c>
      <c r="N519" s="87">
        <v>0.0</v>
      </c>
      <c r="O519" s="87">
        <v>0.0</v>
      </c>
      <c r="P519" s="87">
        <v>0.0</v>
      </c>
      <c r="Q519" s="87">
        <v>0.0</v>
      </c>
    </row>
    <row r="520">
      <c r="A520" s="84" t="s">
        <v>630</v>
      </c>
      <c r="B520" s="194" t="s">
        <v>3939</v>
      </c>
      <c r="C520" s="84" t="s">
        <v>1093</v>
      </c>
      <c r="D520" s="88" t="s">
        <v>1396</v>
      </c>
      <c r="E520" s="84" t="s">
        <v>3687</v>
      </c>
      <c r="F520" s="84" t="s">
        <v>1091</v>
      </c>
      <c r="G520" s="84" t="s">
        <v>3601</v>
      </c>
      <c r="H520" s="84" t="s">
        <v>3521</v>
      </c>
      <c r="I520" s="84" t="s">
        <v>3684</v>
      </c>
      <c r="J520" s="85"/>
      <c r="K520" s="84" t="s">
        <v>111</v>
      </c>
      <c r="L520" s="87">
        <v>456.0</v>
      </c>
      <c r="M520" s="87">
        <v>0.0</v>
      </c>
      <c r="N520" s="87">
        <v>0.952381</v>
      </c>
      <c r="O520" s="87">
        <v>1.0</v>
      </c>
      <c r="P520" s="87">
        <v>0.285714</v>
      </c>
      <c r="Q520" s="87">
        <v>0.952381</v>
      </c>
    </row>
    <row r="521">
      <c r="A521" s="84" t="s">
        <v>264</v>
      </c>
      <c r="B521" s="193" t="s">
        <v>4160</v>
      </c>
      <c r="C521" s="84" t="s">
        <v>262</v>
      </c>
      <c r="D521" s="88" t="s">
        <v>1396</v>
      </c>
      <c r="E521" s="84" t="s">
        <v>3683</v>
      </c>
      <c r="F521" s="84" t="s">
        <v>263</v>
      </c>
      <c r="G521" s="84" t="s">
        <v>3560</v>
      </c>
      <c r="H521" s="84" t="s">
        <v>3521</v>
      </c>
      <c r="I521" s="84" t="s">
        <v>3684</v>
      </c>
      <c r="J521" s="84" t="s">
        <v>130</v>
      </c>
      <c r="K521" s="84" t="s">
        <v>111</v>
      </c>
      <c r="L521" s="87">
        <v>816.0</v>
      </c>
      <c r="M521" s="87">
        <v>0.0</v>
      </c>
      <c r="N521" s="87">
        <v>0.0</v>
      </c>
      <c r="O521" s="87">
        <v>0.0</v>
      </c>
      <c r="P521" s="87">
        <v>0.0</v>
      </c>
      <c r="Q521" s="87">
        <v>0.0</v>
      </c>
    </row>
    <row r="522">
      <c r="A522" s="84" t="s">
        <v>264</v>
      </c>
      <c r="B522" s="194" t="s">
        <v>3688</v>
      </c>
      <c r="C522" s="84" t="s">
        <v>290</v>
      </c>
      <c r="D522" s="88" t="s">
        <v>1396</v>
      </c>
      <c r="E522" s="84" t="s">
        <v>3683</v>
      </c>
      <c r="F522" s="84" t="s">
        <v>291</v>
      </c>
      <c r="G522" s="84" t="s">
        <v>3560</v>
      </c>
      <c r="I522" s="84" t="s">
        <v>3684</v>
      </c>
      <c r="J522" s="91"/>
      <c r="K522" s="91"/>
      <c r="L522" s="87">
        <v>120.0</v>
      </c>
      <c r="M522" s="87">
        <v>0.0</v>
      </c>
      <c r="N522" s="87">
        <v>0.0</v>
      </c>
      <c r="O522" s="87">
        <v>0.0</v>
      </c>
      <c r="P522" s="87">
        <v>0.0</v>
      </c>
      <c r="Q522" s="87">
        <v>0.0</v>
      </c>
    </row>
    <row r="523">
      <c r="A523" s="84" t="s">
        <v>573</v>
      </c>
      <c r="B523" s="193" t="s">
        <v>4161</v>
      </c>
      <c r="C523" s="84" t="s">
        <v>586</v>
      </c>
      <c r="D523" s="88" t="s">
        <v>1396</v>
      </c>
      <c r="E523" s="84" t="s">
        <v>3683</v>
      </c>
      <c r="F523" s="84" t="s">
        <v>587</v>
      </c>
      <c r="G523" s="84" t="s">
        <v>3752</v>
      </c>
      <c r="H523" s="84" t="s">
        <v>3521</v>
      </c>
      <c r="I523" s="84" t="s">
        <v>3684</v>
      </c>
      <c r="J523" s="84" t="s">
        <v>130</v>
      </c>
      <c r="K523" s="84" t="s">
        <v>111</v>
      </c>
      <c r="L523" s="87">
        <v>816.0</v>
      </c>
      <c r="M523" s="87">
        <v>0.0</v>
      </c>
      <c r="N523" s="87">
        <v>0.0</v>
      </c>
      <c r="O523" s="87">
        <v>0.0</v>
      </c>
      <c r="P523" s="87">
        <v>0.0</v>
      </c>
      <c r="Q523" s="87">
        <v>0.0</v>
      </c>
    </row>
    <row r="524">
      <c r="A524" s="84" t="s">
        <v>616</v>
      </c>
      <c r="B524" s="194" t="s">
        <v>4162</v>
      </c>
      <c r="C524" s="84" t="s">
        <v>624</v>
      </c>
      <c r="D524" s="88" t="s">
        <v>1396</v>
      </c>
      <c r="E524" s="84" t="s">
        <v>3683</v>
      </c>
      <c r="F524" s="84" t="s">
        <v>621</v>
      </c>
      <c r="G524" s="84" t="s">
        <v>3552</v>
      </c>
      <c r="H524" s="84" t="s">
        <v>3521</v>
      </c>
      <c r="I524" s="84" t="s">
        <v>3684</v>
      </c>
      <c r="J524" s="85"/>
      <c r="K524" s="85"/>
      <c r="L524" s="87">
        <v>3.0</v>
      </c>
      <c r="M524" s="87">
        <v>10.0</v>
      </c>
      <c r="N524" s="87">
        <v>0.083333</v>
      </c>
      <c r="O524" s="87">
        <v>5.455841</v>
      </c>
      <c r="P524" s="87">
        <v>4.611862</v>
      </c>
      <c r="Q524" s="87">
        <v>2.942102</v>
      </c>
    </row>
    <row r="525">
      <c r="A525" s="84" t="s">
        <v>393</v>
      </c>
      <c r="B525" s="194" t="s">
        <v>3964</v>
      </c>
      <c r="C525" s="84" t="s">
        <v>424</v>
      </c>
      <c r="D525" s="88" t="s">
        <v>1396</v>
      </c>
      <c r="E525" s="84" t="s">
        <v>3683</v>
      </c>
      <c r="F525" s="84" t="s">
        <v>423</v>
      </c>
      <c r="G525" s="84" t="s">
        <v>3568</v>
      </c>
      <c r="H525" s="84" t="s">
        <v>3521</v>
      </c>
      <c r="I525" s="84" t="s">
        <v>3693</v>
      </c>
      <c r="J525" s="91"/>
      <c r="K525" s="85"/>
      <c r="L525" s="87">
        <v>552.0</v>
      </c>
      <c r="M525" s="87">
        <v>0.0</v>
      </c>
      <c r="N525" s="87">
        <v>1.659086</v>
      </c>
      <c r="O525" s="87">
        <v>1.458333</v>
      </c>
      <c r="P525" s="87">
        <v>0.718253</v>
      </c>
      <c r="Q525" s="87">
        <v>1.55051</v>
      </c>
    </row>
    <row r="526">
      <c r="A526" s="84" t="s">
        <v>258</v>
      </c>
      <c r="B526" s="194" t="s">
        <v>4163</v>
      </c>
      <c r="C526" s="84" t="s">
        <v>894</v>
      </c>
      <c r="D526" s="88" t="s">
        <v>1396</v>
      </c>
      <c r="E526" s="91"/>
      <c r="F526" s="84" t="s">
        <v>892</v>
      </c>
      <c r="G526" s="84" t="s">
        <v>3559</v>
      </c>
      <c r="I526" s="84" t="s">
        <v>3684</v>
      </c>
      <c r="J526" s="91"/>
      <c r="K526" s="85"/>
      <c r="L526" s="87">
        <v>528.0</v>
      </c>
      <c r="M526" s="87">
        <v>0.0</v>
      </c>
      <c r="N526" s="87">
        <v>0.0</v>
      </c>
      <c r="O526" s="87">
        <v>0.0</v>
      </c>
      <c r="P526" s="87">
        <v>0.0</v>
      </c>
      <c r="Q526" s="87">
        <v>0.0</v>
      </c>
    </row>
    <row r="527">
      <c r="A527" s="84" t="s">
        <v>444</v>
      </c>
      <c r="B527" s="194" t="s">
        <v>4164</v>
      </c>
      <c r="C527" s="84" t="s">
        <v>442</v>
      </c>
      <c r="D527" s="88" t="s">
        <v>1396</v>
      </c>
      <c r="E527" s="84" t="s">
        <v>3683</v>
      </c>
      <c r="F527" s="84" t="s">
        <v>443</v>
      </c>
      <c r="G527" s="84" t="s">
        <v>3580</v>
      </c>
      <c r="I527" s="84" t="s">
        <v>3684</v>
      </c>
      <c r="J527" s="91"/>
      <c r="K527" s="91"/>
      <c r="L527" s="87">
        <v>552.0</v>
      </c>
      <c r="M527" s="87">
        <v>0.0</v>
      </c>
      <c r="N527" s="87">
        <v>0.0</v>
      </c>
      <c r="O527" s="87">
        <v>0.0</v>
      </c>
      <c r="P527" s="87">
        <v>0.0</v>
      </c>
      <c r="Q527" s="87">
        <v>0.0</v>
      </c>
    </row>
    <row r="528">
      <c r="A528" s="84" t="s">
        <v>630</v>
      </c>
      <c r="B528" s="194" t="s">
        <v>4151</v>
      </c>
      <c r="C528" s="84" t="s">
        <v>1118</v>
      </c>
      <c r="D528" s="88" t="s">
        <v>1396</v>
      </c>
      <c r="E528" s="84" t="s">
        <v>3683</v>
      </c>
      <c r="F528" s="84" t="s">
        <v>1117</v>
      </c>
      <c r="G528" s="84" t="s">
        <v>3554</v>
      </c>
      <c r="H528" s="84" t="s">
        <v>3521</v>
      </c>
      <c r="I528" s="84" t="s">
        <v>3684</v>
      </c>
      <c r="J528" s="91"/>
      <c r="K528" s="91"/>
      <c r="L528" s="87">
        <v>0.0</v>
      </c>
      <c r="M528" s="87">
        <v>1.0</v>
      </c>
      <c r="N528" s="87">
        <v>0.0</v>
      </c>
      <c r="O528" s="87">
        <v>0.404762</v>
      </c>
      <c r="P528" s="87">
        <v>0.513333</v>
      </c>
      <c r="Q528" s="87">
        <v>0.504754</v>
      </c>
    </row>
    <row r="529">
      <c r="A529" s="84" t="s">
        <v>644</v>
      </c>
      <c r="B529" s="194" t="s">
        <v>4165</v>
      </c>
      <c r="C529" s="84" t="s">
        <v>1178</v>
      </c>
      <c r="D529" s="88" t="s">
        <v>1396</v>
      </c>
      <c r="E529" s="84" t="s">
        <v>3683</v>
      </c>
      <c r="F529" s="84" t="s">
        <v>1170</v>
      </c>
      <c r="G529" s="84" t="s">
        <v>3600</v>
      </c>
      <c r="I529" s="84" t="s">
        <v>3684</v>
      </c>
      <c r="J529" s="84" t="s">
        <v>215</v>
      </c>
      <c r="L529" s="87">
        <v>480.0</v>
      </c>
      <c r="M529" s="87">
        <v>0.0</v>
      </c>
      <c r="N529" s="87">
        <v>0.0</v>
      </c>
      <c r="O529" s="87">
        <v>0.0</v>
      </c>
      <c r="P529" s="87">
        <v>0.0</v>
      </c>
      <c r="Q529" s="87">
        <v>0.0</v>
      </c>
    </row>
    <row r="530">
      <c r="A530" s="84" t="s">
        <v>644</v>
      </c>
      <c r="B530" s="194" t="s">
        <v>3918</v>
      </c>
      <c r="C530" s="84" t="s">
        <v>1241</v>
      </c>
      <c r="D530" s="88" t="s">
        <v>1396</v>
      </c>
      <c r="E530" s="84" t="s">
        <v>3683</v>
      </c>
      <c r="F530" s="84" t="s">
        <v>1239</v>
      </c>
      <c r="G530" s="84" t="s">
        <v>3607</v>
      </c>
      <c r="H530" s="84" t="s">
        <v>3521</v>
      </c>
      <c r="I530" s="84" t="s">
        <v>3684</v>
      </c>
      <c r="J530" s="84" t="s">
        <v>130</v>
      </c>
      <c r="K530" s="85"/>
      <c r="L530" s="87">
        <v>24.0</v>
      </c>
      <c r="M530" s="87">
        <v>0.0</v>
      </c>
      <c r="N530" s="87">
        <v>0.0</v>
      </c>
      <c r="O530" s="87">
        <v>0.0</v>
      </c>
      <c r="P530" s="87">
        <v>0.0</v>
      </c>
      <c r="Q530" s="87">
        <v>0.0</v>
      </c>
    </row>
    <row r="531">
      <c r="A531" s="84" t="s">
        <v>439</v>
      </c>
      <c r="B531" s="194" t="s">
        <v>3713</v>
      </c>
      <c r="C531" s="84" t="s">
        <v>3653</v>
      </c>
      <c r="D531" s="88" t="s">
        <v>1396</v>
      </c>
      <c r="E531" s="84" t="s">
        <v>3683</v>
      </c>
      <c r="F531" s="84" t="s">
        <v>3714</v>
      </c>
      <c r="G531" s="84" t="s">
        <v>3715</v>
      </c>
      <c r="H531" s="84" t="s">
        <v>3521</v>
      </c>
      <c r="I531" s="84" t="s">
        <v>3684</v>
      </c>
      <c r="J531" s="84" t="s">
        <v>3839</v>
      </c>
      <c r="K531" s="84" t="s">
        <v>111</v>
      </c>
      <c r="L531" s="87">
        <v>72.0</v>
      </c>
      <c r="M531" s="87">
        <v>0.0</v>
      </c>
      <c r="N531" s="87">
        <v>0.0</v>
      </c>
      <c r="O531" s="87">
        <v>0.0</v>
      </c>
      <c r="P531" s="87">
        <v>0.0</v>
      </c>
      <c r="Q531" s="87">
        <v>0.0</v>
      </c>
    </row>
    <row r="532">
      <c r="A532" s="84" t="s">
        <v>107</v>
      </c>
      <c r="B532" s="194" t="s">
        <v>3823</v>
      </c>
      <c r="C532" s="84" t="s">
        <v>771</v>
      </c>
      <c r="D532" s="88" t="s">
        <v>1396</v>
      </c>
      <c r="E532" s="84" t="s">
        <v>3683</v>
      </c>
      <c r="F532" s="84" t="s">
        <v>768</v>
      </c>
      <c r="G532" s="84" t="s">
        <v>3508</v>
      </c>
      <c r="H532" s="84" t="s">
        <v>3521</v>
      </c>
      <c r="I532" s="84" t="s">
        <v>3684</v>
      </c>
      <c r="J532" s="84" t="s">
        <v>130</v>
      </c>
      <c r="K532" s="91"/>
      <c r="L532" s="87">
        <v>24.0</v>
      </c>
      <c r="M532" s="87">
        <v>0.0</v>
      </c>
      <c r="N532" s="87">
        <v>0.0</v>
      </c>
      <c r="O532" s="87">
        <v>0.0</v>
      </c>
      <c r="P532" s="87">
        <v>0.0</v>
      </c>
      <c r="Q532" s="87">
        <v>0.0</v>
      </c>
    </row>
    <row r="533">
      <c r="A533" s="84" t="s">
        <v>107</v>
      </c>
      <c r="B533" s="194" t="s">
        <v>4166</v>
      </c>
      <c r="C533" s="84" t="s">
        <v>116</v>
      </c>
      <c r="D533" s="88" t="s">
        <v>1396</v>
      </c>
      <c r="E533" s="84" t="s">
        <v>3687</v>
      </c>
      <c r="F533" s="84" t="s">
        <v>106</v>
      </c>
      <c r="G533" s="84" t="s">
        <v>3552</v>
      </c>
      <c r="H533" s="84" t="s">
        <v>3521</v>
      </c>
      <c r="I533" s="84" t="s">
        <v>3684</v>
      </c>
      <c r="J533" s="84" t="s">
        <v>130</v>
      </c>
      <c r="K533" s="85"/>
      <c r="L533" s="87">
        <v>24.0</v>
      </c>
      <c r="M533" s="87">
        <v>0.0</v>
      </c>
      <c r="N533" s="87">
        <v>0.0</v>
      </c>
      <c r="O533" s="87">
        <v>0.0</v>
      </c>
      <c r="P533" s="87">
        <v>0.0</v>
      </c>
      <c r="Q533" s="87">
        <v>0.0</v>
      </c>
    </row>
    <row r="534">
      <c r="A534" s="84" t="s">
        <v>1130</v>
      </c>
      <c r="B534" s="194" t="s">
        <v>3864</v>
      </c>
      <c r="C534" s="84" t="s">
        <v>1134</v>
      </c>
      <c r="D534" s="88" t="s">
        <v>1396</v>
      </c>
      <c r="E534" s="84" t="s">
        <v>3683</v>
      </c>
      <c r="F534" s="84" t="s">
        <v>973</v>
      </c>
      <c r="G534" s="84" t="s">
        <v>3582</v>
      </c>
      <c r="H534" s="84" t="s">
        <v>3521</v>
      </c>
      <c r="I534" s="84" t="s">
        <v>3684</v>
      </c>
      <c r="J534" s="84" t="s">
        <v>130</v>
      </c>
      <c r="K534" s="85"/>
      <c r="L534" s="87">
        <v>696.0</v>
      </c>
      <c r="M534" s="87">
        <v>0.0</v>
      </c>
      <c r="N534" s="87">
        <v>0.44561</v>
      </c>
      <c r="O534" s="87">
        <v>0.0</v>
      </c>
      <c r="P534" s="87">
        <v>0.0</v>
      </c>
      <c r="Q534" s="87">
        <v>0.44561</v>
      </c>
    </row>
    <row r="535">
      <c r="A535" s="84" t="s">
        <v>180</v>
      </c>
      <c r="B535" s="194" t="s">
        <v>4167</v>
      </c>
      <c r="C535" s="84" t="s">
        <v>846</v>
      </c>
      <c r="D535" s="88" t="s">
        <v>1396</v>
      </c>
      <c r="E535" s="84" t="s">
        <v>3683</v>
      </c>
      <c r="F535" s="84" t="s">
        <v>843</v>
      </c>
      <c r="G535" s="84" t="s">
        <v>3599</v>
      </c>
      <c r="H535" s="84" t="s">
        <v>3507</v>
      </c>
      <c r="I535" s="84" t="s">
        <v>3684</v>
      </c>
      <c r="J535" s="85"/>
      <c r="K535" s="91"/>
      <c r="L535" s="87">
        <v>48.0</v>
      </c>
      <c r="M535" s="87">
        <v>0.0</v>
      </c>
      <c r="N535" s="87">
        <v>0.066667</v>
      </c>
      <c r="O535" s="87">
        <v>1.341575</v>
      </c>
      <c r="P535" s="87">
        <v>2.135934</v>
      </c>
      <c r="Q535" s="87">
        <v>2.986107</v>
      </c>
    </row>
    <row r="536">
      <c r="A536" s="84" t="s">
        <v>393</v>
      </c>
      <c r="B536" s="194" t="s">
        <v>4110</v>
      </c>
      <c r="C536" s="84" t="s">
        <v>396</v>
      </c>
      <c r="D536" s="88" t="s">
        <v>1396</v>
      </c>
      <c r="E536" s="84" t="s">
        <v>3683</v>
      </c>
      <c r="F536" s="84" t="s">
        <v>397</v>
      </c>
      <c r="G536" s="84" t="s">
        <v>3698</v>
      </c>
      <c r="H536" s="84" t="s">
        <v>3521</v>
      </c>
      <c r="I536" s="84" t="s">
        <v>3693</v>
      </c>
      <c r="J536" s="91"/>
      <c r="K536" s="91"/>
      <c r="L536" s="87">
        <v>0.0</v>
      </c>
      <c r="M536" s="87">
        <v>1.0</v>
      </c>
      <c r="N536" s="87">
        <v>0.0</v>
      </c>
      <c r="O536" s="87">
        <v>0.582418</v>
      </c>
      <c r="P536" s="87">
        <v>0.468966</v>
      </c>
      <c r="Q536" s="87">
        <v>0.652982</v>
      </c>
    </row>
    <row r="537">
      <c r="A537" s="84" t="s">
        <v>644</v>
      </c>
      <c r="B537" s="194" t="s">
        <v>4168</v>
      </c>
      <c r="C537" s="84" t="s">
        <v>742</v>
      </c>
      <c r="D537" s="88" t="s">
        <v>1396</v>
      </c>
      <c r="E537" s="84" t="s">
        <v>3683</v>
      </c>
      <c r="F537" s="84" t="s">
        <v>144</v>
      </c>
      <c r="G537" s="84" t="s">
        <v>3700</v>
      </c>
      <c r="H537" s="84" t="s">
        <v>3521</v>
      </c>
      <c r="I537" s="84" t="s">
        <v>3684</v>
      </c>
      <c r="J537" s="91"/>
      <c r="K537" s="84" t="s">
        <v>111</v>
      </c>
      <c r="L537" s="87">
        <v>792.0</v>
      </c>
      <c r="M537" s="87">
        <v>0.0</v>
      </c>
      <c r="N537" s="87">
        <v>0.0</v>
      </c>
      <c r="O537" s="87">
        <v>0.0</v>
      </c>
      <c r="P537" s="87">
        <v>0.0</v>
      </c>
      <c r="Q537" s="87">
        <v>0.0</v>
      </c>
    </row>
    <row r="538">
      <c r="A538" s="84" t="s">
        <v>644</v>
      </c>
      <c r="B538" s="194" t="s">
        <v>4097</v>
      </c>
      <c r="C538" s="84" t="s">
        <v>1249</v>
      </c>
      <c r="D538" s="88" t="s">
        <v>1396</v>
      </c>
      <c r="E538" s="84" t="s">
        <v>3683</v>
      </c>
      <c r="F538" s="84" t="s">
        <v>706</v>
      </c>
      <c r="G538" s="84" t="s">
        <v>3547</v>
      </c>
      <c r="H538" s="84" t="s">
        <v>3521</v>
      </c>
      <c r="I538" s="84" t="s">
        <v>3684</v>
      </c>
      <c r="J538" s="85"/>
      <c r="K538" s="91"/>
      <c r="L538" s="87">
        <v>24.0</v>
      </c>
      <c r="M538" s="87">
        <v>10.0</v>
      </c>
      <c r="N538" s="87">
        <v>0.569444</v>
      </c>
      <c r="O538" s="87">
        <v>6.43297</v>
      </c>
      <c r="P538" s="87">
        <v>5.742824</v>
      </c>
      <c r="Q538" s="87">
        <v>3.947461</v>
      </c>
    </row>
    <row r="539">
      <c r="A539" s="84" t="s">
        <v>537</v>
      </c>
      <c r="B539" s="194" t="s">
        <v>4121</v>
      </c>
      <c r="C539" s="84" t="s">
        <v>562</v>
      </c>
      <c r="D539" s="88" t="s">
        <v>1396</v>
      </c>
      <c r="E539" s="84" t="s">
        <v>3683</v>
      </c>
      <c r="F539" s="84" t="s">
        <v>558</v>
      </c>
      <c r="G539" s="84" t="s">
        <v>3602</v>
      </c>
      <c r="H539" s="84" t="s">
        <v>3521</v>
      </c>
      <c r="I539" s="84" t="s">
        <v>3693</v>
      </c>
      <c r="J539" s="91"/>
      <c r="K539" s="84" t="s">
        <v>111</v>
      </c>
      <c r="L539" s="87">
        <v>192.0</v>
      </c>
      <c r="M539" s="87">
        <v>0.0</v>
      </c>
      <c r="N539" s="87">
        <v>0.0</v>
      </c>
      <c r="O539" s="87">
        <v>0.0</v>
      </c>
      <c r="P539" s="87">
        <v>0.0</v>
      </c>
      <c r="Q539" s="87">
        <v>0.0</v>
      </c>
    </row>
    <row r="540">
      <c r="A540" s="84" t="s">
        <v>616</v>
      </c>
      <c r="B540" s="194" t="s">
        <v>4169</v>
      </c>
      <c r="C540" s="84" t="s">
        <v>1086</v>
      </c>
      <c r="D540" s="88" t="s">
        <v>1396</v>
      </c>
      <c r="E540" s="84" t="s">
        <v>3683</v>
      </c>
      <c r="F540" s="84" t="s">
        <v>1075</v>
      </c>
      <c r="G540" s="84" t="s">
        <v>3542</v>
      </c>
      <c r="H540" s="84" t="s">
        <v>3521</v>
      </c>
      <c r="I540" s="84" t="s">
        <v>3684</v>
      </c>
      <c r="J540" s="91"/>
      <c r="K540" s="91"/>
      <c r="L540" s="87">
        <v>0.0</v>
      </c>
      <c r="M540" s="87">
        <v>1.0</v>
      </c>
      <c r="N540" s="87">
        <v>0.0</v>
      </c>
      <c r="O540" s="87">
        <v>0.75</v>
      </c>
      <c r="P540" s="87">
        <v>0.615435</v>
      </c>
      <c r="Q540" s="87">
        <v>0.531418</v>
      </c>
    </row>
    <row r="541">
      <c r="A541" s="84" t="s">
        <v>644</v>
      </c>
      <c r="B541" s="194" t="s">
        <v>4170</v>
      </c>
      <c r="C541" s="84" t="s">
        <v>1257</v>
      </c>
      <c r="D541" s="88" t="s">
        <v>1396</v>
      </c>
      <c r="E541" s="84" t="s">
        <v>3683</v>
      </c>
      <c r="F541" s="84" t="s">
        <v>708</v>
      </c>
      <c r="G541" s="84" t="s">
        <v>3607</v>
      </c>
      <c r="H541" s="84" t="s">
        <v>3521</v>
      </c>
      <c r="I541" s="84" t="s">
        <v>3684</v>
      </c>
      <c r="J541" s="84" t="s">
        <v>215</v>
      </c>
      <c r="K541" s="84" t="s">
        <v>111</v>
      </c>
      <c r="L541" s="87">
        <v>792.0</v>
      </c>
      <c r="M541" s="87">
        <v>0.0</v>
      </c>
      <c r="N541" s="87">
        <v>0.333333</v>
      </c>
      <c r="O541" s="87">
        <v>0.0</v>
      </c>
      <c r="P541" s="87">
        <v>0.0</v>
      </c>
      <c r="Q541" s="87">
        <v>0.333333</v>
      </c>
    </row>
    <row r="542">
      <c r="A542" s="84" t="s">
        <v>363</v>
      </c>
      <c r="B542" s="194" t="s">
        <v>3972</v>
      </c>
      <c r="C542" s="84" t="s">
        <v>1285</v>
      </c>
      <c r="D542" s="88" t="s">
        <v>1396</v>
      </c>
      <c r="E542" s="91"/>
      <c r="F542" s="84" t="s">
        <v>3973</v>
      </c>
      <c r="G542" s="84" t="s">
        <v>3974</v>
      </c>
      <c r="H542" s="84" t="s">
        <v>3513</v>
      </c>
      <c r="I542" s="84" t="s">
        <v>3709</v>
      </c>
      <c r="J542" s="85"/>
      <c r="K542" s="85"/>
      <c r="L542" s="87">
        <v>480.0</v>
      </c>
      <c r="M542" s="87">
        <v>0.0</v>
      </c>
      <c r="N542" s="87">
        <v>0.0</v>
      </c>
      <c r="O542" s="87">
        <v>0.0</v>
      </c>
      <c r="P542" s="87">
        <v>0.0</v>
      </c>
      <c r="Q542" s="87">
        <v>0.0</v>
      </c>
    </row>
    <row r="543">
      <c r="A543" s="84" t="s">
        <v>472</v>
      </c>
      <c r="B543" s="194" t="s">
        <v>3725</v>
      </c>
      <c r="C543" s="84" t="s">
        <v>1021</v>
      </c>
      <c r="D543" s="88" t="s">
        <v>1396</v>
      </c>
      <c r="E543" s="84" t="s">
        <v>3683</v>
      </c>
      <c r="F543" s="84" t="s">
        <v>1020</v>
      </c>
      <c r="G543" s="84" t="s">
        <v>3560</v>
      </c>
      <c r="H543" s="84" t="s">
        <v>3507</v>
      </c>
      <c r="I543" s="84" t="s">
        <v>3684</v>
      </c>
      <c r="J543" s="85"/>
      <c r="K543" s="84" t="s">
        <v>111</v>
      </c>
      <c r="L543" s="87">
        <v>456.0</v>
      </c>
      <c r="M543" s="87">
        <v>0.0</v>
      </c>
      <c r="N543" s="87">
        <v>0.068966</v>
      </c>
      <c r="O543" s="87">
        <v>0.0</v>
      </c>
      <c r="P543" s="87">
        <v>0.285714</v>
      </c>
      <c r="Q543" s="87">
        <v>0.068966</v>
      </c>
    </row>
    <row r="544">
      <c r="A544" s="84" t="s">
        <v>393</v>
      </c>
      <c r="B544" s="194" t="s">
        <v>4171</v>
      </c>
      <c r="C544" s="84" t="s">
        <v>3643</v>
      </c>
      <c r="D544" s="88" t="s">
        <v>1396</v>
      </c>
      <c r="E544" s="84" t="s">
        <v>3897</v>
      </c>
      <c r="F544" s="84" t="s">
        <v>3814</v>
      </c>
      <c r="G544" s="84" t="s">
        <v>3815</v>
      </c>
      <c r="H544" s="84" t="s">
        <v>3521</v>
      </c>
      <c r="I544" s="84" t="s">
        <v>3693</v>
      </c>
      <c r="J544" s="85"/>
      <c r="K544" s="84" t="s">
        <v>111</v>
      </c>
      <c r="L544" s="87">
        <v>383.0</v>
      </c>
      <c r="M544" s="87">
        <v>0.0</v>
      </c>
      <c r="N544" s="87">
        <v>0.333333</v>
      </c>
      <c r="O544" s="87">
        <v>0.0</v>
      </c>
      <c r="P544" s="87">
        <v>0.0</v>
      </c>
      <c r="Q544" s="87">
        <v>0.352941</v>
      </c>
    </row>
    <row r="545">
      <c r="A545" s="84" t="s">
        <v>357</v>
      </c>
      <c r="B545" s="194" t="s">
        <v>4172</v>
      </c>
      <c r="C545" s="84" t="s">
        <v>922</v>
      </c>
      <c r="D545" s="88" t="s">
        <v>1396</v>
      </c>
      <c r="E545" s="84" t="s">
        <v>3683</v>
      </c>
      <c r="F545" s="84" t="s">
        <v>919</v>
      </c>
      <c r="G545" s="84" t="s">
        <v>3739</v>
      </c>
      <c r="H545" s="84" t="s">
        <v>3740</v>
      </c>
      <c r="I545" s="84" t="s">
        <v>3709</v>
      </c>
      <c r="J545" s="84" t="s">
        <v>130</v>
      </c>
      <c r="K545" s="84" t="s">
        <v>111</v>
      </c>
      <c r="L545" s="87">
        <v>24.0</v>
      </c>
      <c r="M545" s="87">
        <v>0.0</v>
      </c>
      <c r="N545" s="87">
        <v>0.0</v>
      </c>
      <c r="O545" s="87">
        <v>0.0</v>
      </c>
      <c r="P545" s="87">
        <v>0.0</v>
      </c>
      <c r="Q545" s="87">
        <v>0.0</v>
      </c>
    </row>
    <row r="546">
      <c r="A546" s="84" t="s">
        <v>573</v>
      </c>
      <c r="B546" s="194" t="s">
        <v>4173</v>
      </c>
      <c r="C546" s="84" t="s">
        <v>584</v>
      </c>
      <c r="D546" s="88" t="s">
        <v>1396</v>
      </c>
      <c r="E546" s="84" t="s">
        <v>3683</v>
      </c>
      <c r="F546" s="84" t="s">
        <v>581</v>
      </c>
      <c r="G546" s="84" t="s">
        <v>3594</v>
      </c>
      <c r="H546" s="84" t="s">
        <v>3527</v>
      </c>
      <c r="I546" s="84" t="s">
        <v>3709</v>
      </c>
      <c r="J546" s="84" t="s">
        <v>130</v>
      </c>
      <c r="K546" s="91"/>
      <c r="L546" s="87">
        <v>192.0</v>
      </c>
      <c r="M546" s="87">
        <v>0.0</v>
      </c>
      <c r="N546" s="87">
        <v>0.87735</v>
      </c>
      <c r="O546" s="87">
        <v>0.0</v>
      </c>
      <c r="P546" s="87">
        <v>0.815909</v>
      </c>
      <c r="Q546" s="87">
        <v>0.720416</v>
      </c>
    </row>
    <row r="547">
      <c r="A547" s="84" t="s">
        <v>1130</v>
      </c>
      <c r="B547" s="194" t="s">
        <v>4142</v>
      </c>
      <c r="C547" s="84" t="s">
        <v>1128</v>
      </c>
      <c r="D547" s="88" t="s">
        <v>1396</v>
      </c>
      <c r="E547" s="84" t="s">
        <v>3687</v>
      </c>
      <c r="F547" s="84" t="s">
        <v>1129</v>
      </c>
      <c r="G547" s="84" t="s">
        <v>3604</v>
      </c>
      <c r="H547" s="84" t="s">
        <v>3521</v>
      </c>
      <c r="I547" s="84" t="s">
        <v>3684</v>
      </c>
      <c r="J547" s="84" t="s">
        <v>130</v>
      </c>
      <c r="K547" s="84" t="s">
        <v>111</v>
      </c>
      <c r="L547" s="87">
        <v>48.0</v>
      </c>
      <c r="M547" s="87">
        <v>0.0</v>
      </c>
      <c r="N547" s="87">
        <v>0.0</v>
      </c>
      <c r="O547" s="87">
        <v>0.0</v>
      </c>
      <c r="P547" s="87">
        <v>0.0</v>
      </c>
      <c r="Q547" s="87">
        <v>0.0</v>
      </c>
    </row>
    <row r="548">
      <c r="A548" s="84" t="s">
        <v>444</v>
      </c>
      <c r="B548" s="194" t="s">
        <v>4174</v>
      </c>
      <c r="C548" s="84" t="s">
        <v>452</v>
      </c>
      <c r="D548" s="88" t="s">
        <v>1396</v>
      </c>
      <c r="E548" s="84" t="s">
        <v>3683</v>
      </c>
      <c r="F548" s="84" t="s">
        <v>453</v>
      </c>
      <c r="G548" s="84" t="s">
        <v>3851</v>
      </c>
      <c r="H548" s="84" t="s">
        <v>3521</v>
      </c>
      <c r="I548" s="84" t="s">
        <v>3684</v>
      </c>
      <c r="J548" s="84" t="s">
        <v>130</v>
      </c>
      <c r="K548" s="91"/>
      <c r="L548" s="87">
        <v>24.0</v>
      </c>
      <c r="M548" s="87">
        <v>0.0</v>
      </c>
      <c r="N548" s="87">
        <v>0.0</v>
      </c>
      <c r="O548" s="87">
        <v>0.0</v>
      </c>
      <c r="P548" s="87">
        <v>0.0</v>
      </c>
      <c r="Q548" s="87">
        <v>0.0</v>
      </c>
    </row>
    <row r="549">
      <c r="A549" s="84" t="s">
        <v>180</v>
      </c>
      <c r="B549" s="194" t="s">
        <v>4175</v>
      </c>
      <c r="C549" s="84" t="s">
        <v>834</v>
      </c>
      <c r="D549" s="88" t="s">
        <v>1396</v>
      </c>
      <c r="E549" s="84" t="s">
        <v>3683</v>
      </c>
      <c r="F549" s="84" t="s">
        <v>830</v>
      </c>
      <c r="G549" s="84" t="s">
        <v>3549</v>
      </c>
      <c r="H549" s="84" t="s">
        <v>3507</v>
      </c>
      <c r="I549" s="84" t="s">
        <v>3684</v>
      </c>
      <c r="J549" s="84" t="s">
        <v>130</v>
      </c>
      <c r="K549" s="84" t="s">
        <v>111</v>
      </c>
      <c r="L549" s="87">
        <v>24.0</v>
      </c>
      <c r="M549" s="87">
        <v>0.0</v>
      </c>
      <c r="N549" s="87">
        <v>0.0</v>
      </c>
      <c r="O549" s="87">
        <v>0.0</v>
      </c>
      <c r="P549" s="87">
        <v>0.0</v>
      </c>
      <c r="Q549" s="87">
        <v>0.0</v>
      </c>
    </row>
    <row r="550">
      <c r="A550" s="84" t="s">
        <v>180</v>
      </c>
      <c r="B550" s="194" t="s">
        <v>3966</v>
      </c>
      <c r="C550" s="84" t="s">
        <v>833</v>
      </c>
      <c r="D550" s="88" t="s">
        <v>1396</v>
      </c>
      <c r="E550" s="84" t="s">
        <v>3683</v>
      </c>
      <c r="F550" s="84" t="s">
        <v>830</v>
      </c>
      <c r="G550" s="84" t="s">
        <v>3549</v>
      </c>
      <c r="H550" s="84" t="s">
        <v>3507</v>
      </c>
      <c r="I550" s="84" t="s">
        <v>3684</v>
      </c>
      <c r="J550" s="91"/>
      <c r="K550" s="84" t="s">
        <v>111</v>
      </c>
      <c r="L550" s="87">
        <v>480.0</v>
      </c>
      <c r="M550" s="87">
        <v>1.0</v>
      </c>
      <c r="N550" s="87">
        <v>3.182912</v>
      </c>
      <c r="O550" s="87">
        <v>0.111111</v>
      </c>
      <c r="P550" s="87">
        <v>1.463611</v>
      </c>
      <c r="Q550" s="87">
        <v>3.072042</v>
      </c>
    </row>
    <row r="551">
      <c r="A551" s="84" t="s">
        <v>393</v>
      </c>
      <c r="B551" s="194" t="s">
        <v>4176</v>
      </c>
      <c r="C551" s="84" t="s">
        <v>3647</v>
      </c>
      <c r="D551" s="88" t="s">
        <v>1396</v>
      </c>
      <c r="E551" s="84" t="s">
        <v>3745</v>
      </c>
      <c r="F551" s="84" t="s">
        <v>340</v>
      </c>
      <c r="G551" s="84" t="s">
        <v>3567</v>
      </c>
      <c r="H551" s="84" t="s">
        <v>3521</v>
      </c>
      <c r="I551" s="84" t="s">
        <v>3693</v>
      </c>
      <c r="J551" s="91"/>
      <c r="K551" s="91"/>
      <c r="L551" s="87">
        <v>187.0</v>
      </c>
      <c r="M551" s="87">
        <v>5.0</v>
      </c>
      <c r="N551" s="87">
        <v>3.002281</v>
      </c>
      <c r="O551" s="87">
        <v>12.70238</v>
      </c>
      <c r="P551" s="87">
        <v>11.75405</v>
      </c>
      <c r="Q551" s="87">
        <v>9.203423</v>
      </c>
    </row>
    <row r="552">
      <c r="A552" s="84" t="s">
        <v>481</v>
      </c>
      <c r="B552" s="194" t="s">
        <v>4177</v>
      </c>
      <c r="C552" s="84" t="s">
        <v>518</v>
      </c>
      <c r="D552" s="88" t="s">
        <v>1396</v>
      </c>
      <c r="E552" s="84" t="s">
        <v>3683</v>
      </c>
      <c r="F552" s="84" t="s">
        <v>516</v>
      </c>
      <c r="G552" s="84" t="s">
        <v>3593</v>
      </c>
      <c r="H552" s="84" t="s">
        <v>3521</v>
      </c>
      <c r="I552" s="84" t="s">
        <v>3684</v>
      </c>
      <c r="J552" s="91"/>
      <c r="K552" s="85"/>
      <c r="L552" s="87">
        <v>0.0</v>
      </c>
      <c r="M552" s="87">
        <v>1.0</v>
      </c>
      <c r="N552" s="87">
        <v>0.0</v>
      </c>
      <c r="O552" s="87">
        <v>0.714286</v>
      </c>
      <c r="P552" s="87">
        <v>0.766667</v>
      </c>
      <c r="Q552" s="87">
        <v>0.620034</v>
      </c>
    </row>
    <row r="553">
      <c r="A553" s="84" t="s">
        <v>213</v>
      </c>
      <c r="B553" s="194" t="s">
        <v>4129</v>
      </c>
      <c r="C553" s="84" t="s">
        <v>871</v>
      </c>
      <c r="D553" s="88" t="s">
        <v>1396</v>
      </c>
      <c r="E553" s="84" t="s">
        <v>3683</v>
      </c>
      <c r="F553" s="84" t="s">
        <v>869</v>
      </c>
      <c r="G553" s="84" t="s">
        <v>3554</v>
      </c>
      <c r="H553" s="84" t="s">
        <v>3521</v>
      </c>
      <c r="I553" s="84" t="s">
        <v>3684</v>
      </c>
      <c r="J553" s="91"/>
      <c r="K553" s="85"/>
      <c r="L553" s="87">
        <v>240.0</v>
      </c>
      <c r="M553" s="87">
        <v>0.0</v>
      </c>
      <c r="N553" s="87">
        <v>0.281818</v>
      </c>
      <c r="O553" s="87">
        <v>0.496104</v>
      </c>
      <c r="P553" s="87">
        <v>0.28433</v>
      </c>
      <c r="Q553" s="87">
        <v>0.21347</v>
      </c>
    </row>
    <row r="554">
      <c r="A554" s="84" t="s">
        <v>139</v>
      </c>
      <c r="B554" s="194" t="s">
        <v>4009</v>
      </c>
      <c r="C554" s="84" t="s">
        <v>150</v>
      </c>
      <c r="D554" s="88" t="s">
        <v>1396</v>
      </c>
      <c r="E554" s="84" t="s">
        <v>3683</v>
      </c>
      <c r="F554" s="84" t="s">
        <v>144</v>
      </c>
      <c r="G554" s="84" t="s">
        <v>3700</v>
      </c>
      <c r="H554" s="84" t="s">
        <v>3521</v>
      </c>
      <c r="I554" s="84" t="s">
        <v>3684</v>
      </c>
      <c r="J554" s="84" t="s">
        <v>130</v>
      </c>
      <c r="K554" s="84" t="s">
        <v>111</v>
      </c>
      <c r="L554" s="87">
        <v>744.0</v>
      </c>
      <c r="M554" s="87">
        <v>0.0</v>
      </c>
      <c r="N554" s="87">
        <v>21.35007</v>
      </c>
      <c r="O554" s="87">
        <v>0.0</v>
      </c>
      <c r="P554" s="87">
        <v>0.333333</v>
      </c>
      <c r="Q554" s="87">
        <v>21.35007</v>
      </c>
    </row>
    <row r="555">
      <c r="A555" s="84" t="s">
        <v>601</v>
      </c>
      <c r="B555" s="194" t="s">
        <v>3821</v>
      </c>
      <c r="C555" s="84" t="s">
        <v>1061</v>
      </c>
      <c r="D555" s="88" t="s">
        <v>1396</v>
      </c>
      <c r="E555" s="84" t="s">
        <v>3683</v>
      </c>
      <c r="F555" s="84" t="s">
        <v>898</v>
      </c>
      <c r="G555" s="84" t="s">
        <v>3560</v>
      </c>
      <c r="H555" s="84" t="s">
        <v>3521</v>
      </c>
      <c r="I555" s="84" t="s">
        <v>3684</v>
      </c>
      <c r="J555" s="85"/>
      <c r="K555" s="84" t="s">
        <v>111</v>
      </c>
      <c r="L555" s="87">
        <v>264.0</v>
      </c>
      <c r="M555" s="87">
        <v>0.0</v>
      </c>
      <c r="N555" s="87">
        <v>0.0</v>
      </c>
      <c r="O555" s="87">
        <v>0.0</v>
      </c>
      <c r="P555" s="87">
        <v>0.0</v>
      </c>
      <c r="Q555" s="87">
        <v>0.017857</v>
      </c>
    </row>
    <row r="556">
      <c r="A556" s="84" t="s">
        <v>644</v>
      </c>
      <c r="B556" s="194" t="s">
        <v>3893</v>
      </c>
      <c r="C556" s="84" t="s">
        <v>692</v>
      </c>
      <c r="D556" s="88" t="s">
        <v>1396</v>
      </c>
      <c r="E556" s="84" t="s">
        <v>3683</v>
      </c>
      <c r="F556" s="84" t="s">
        <v>686</v>
      </c>
      <c r="G556" s="84" t="s">
        <v>3607</v>
      </c>
      <c r="H556" s="84" t="s">
        <v>3521</v>
      </c>
      <c r="I556" s="84" t="s">
        <v>3684</v>
      </c>
      <c r="J556" s="84" t="s">
        <v>215</v>
      </c>
      <c r="L556" s="87">
        <v>360.0</v>
      </c>
      <c r="M556" s="87">
        <v>0.0</v>
      </c>
      <c r="N556" s="87">
        <v>1.911401</v>
      </c>
      <c r="O556" s="87">
        <v>1.027417</v>
      </c>
      <c r="P556" s="87">
        <v>1.985677</v>
      </c>
      <c r="Q556" s="87">
        <v>1.928598</v>
      </c>
    </row>
    <row r="557">
      <c r="A557" s="84" t="s">
        <v>568</v>
      </c>
      <c r="B557" s="193" t="s">
        <v>4178</v>
      </c>
      <c r="C557" s="84" t="s">
        <v>1054</v>
      </c>
      <c r="D557" s="88" t="s">
        <v>1396</v>
      </c>
      <c r="E557" s="84" t="s">
        <v>3683</v>
      </c>
      <c r="F557" s="91"/>
      <c r="G557" s="84" t="s">
        <v>3558</v>
      </c>
      <c r="I557" s="84" t="s">
        <v>3684</v>
      </c>
      <c r="J557" s="85"/>
      <c r="K557" s="85"/>
      <c r="L557" s="87">
        <v>552.0</v>
      </c>
      <c r="M557" s="87">
        <v>0.0</v>
      </c>
      <c r="N557" s="87">
        <v>0.0</v>
      </c>
      <c r="O557" s="87">
        <v>0.0</v>
      </c>
      <c r="P557" s="87">
        <v>0.0</v>
      </c>
      <c r="Q557" s="87">
        <v>0.0</v>
      </c>
    </row>
    <row r="558">
      <c r="A558" s="84" t="s">
        <v>1130</v>
      </c>
      <c r="B558" s="194" t="s">
        <v>4130</v>
      </c>
      <c r="C558" s="84" t="s">
        <v>1150</v>
      </c>
      <c r="D558" s="88" t="s">
        <v>1396</v>
      </c>
      <c r="E558" s="84" t="s">
        <v>3683</v>
      </c>
      <c r="F558" s="84" t="s">
        <v>1142</v>
      </c>
      <c r="G558" s="84" t="s">
        <v>3605</v>
      </c>
      <c r="H558" s="84" t="s">
        <v>3521</v>
      </c>
      <c r="I558" s="84" t="s">
        <v>3684</v>
      </c>
      <c r="J558" s="84" t="s">
        <v>130</v>
      </c>
      <c r="K558" s="85"/>
      <c r="L558" s="87">
        <v>24.0</v>
      </c>
      <c r="M558" s="87">
        <v>0.0</v>
      </c>
      <c r="N558" s="87">
        <v>0.0</v>
      </c>
      <c r="O558" s="87">
        <v>0.0</v>
      </c>
      <c r="P558" s="87">
        <v>0.0</v>
      </c>
      <c r="Q558" s="87">
        <v>0.15312</v>
      </c>
    </row>
    <row r="559">
      <c r="A559" s="84" t="s">
        <v>644</v>
      </c>
      <c r="B559" s="194" t="s">
        <v>3924</v>
      </c>
      <c r="C559" s="84" t="s">
        <v>672</v>
      </c>
      <c r="D559" s="88" t="s">
        <v>1396</v>
      </c>
      <c r="E559" s="84" t="s">
        <v>3683</v>
      </c>
      <c r="F559" s="84" t="s">
        <v>670</v>
      </c>
      <c r="G559" s="84" t="s">
        <v>3789</v>
      </c>
      <c r="I559" s="84" t="s">
        <v>3684</v>
      </c>
      <c r="J559" s="91"/>
      <c r="K559" s="84" t="s">
        <v>111</v>
      </c>
      <c r="L559" s="87">
        <v>552.0</v>
      </c>
      <c r="M559" s="87">
        <v>0.0</v>
      </c>
      <c r="N559" s="87">
        <v>0.0</v>
      </c>
      <c r="O559" s="87">
        <v>0.0</v>
      </c>
      <c r="P559" s="87">
        <v>0.0</v>
      </c>
      <c r="Q559" s="87">
        <v>0.0</v>
      </c>
    </row>
    <row r="560">
      <c r="A560" s="84" t="s">
        <v>301</v>
      </c>
      <c r="B560" s="194" t="s">
        <v>4179</v>
      </c>
      <c r="C560" s="84" t="s">
        <v>305</v>
      </c>
      <c r="D560" s="88" t="s">
        <v>1396</v>
      </c>
      <c r="E560" s="84" t="s">
        <v>3683</v>
      </c>
      <c r="F560" s="84" t="s">
        <v>300</v>
      </c>
      <c r="G560" s="84" t="s">
        <v>3703</v>
      </c>
      <c r="H560" s="84" t="s">
        <v>3521</v>
      </c>
      <c r="I560" s="84" t="s">
        <v>3684</v>
      </c>
      <c r="J560" s="84" t="s">
        <v>130</v>
      </c>
      <c r="K560" s="85"/>
      <c r="L560" s="87">
        <v>456.0</v>
      </c>
      <c r="M560" s="87">
        <v>0.0</v>
      </c>
      <c r="N560" s="87">
        <v>2.265909</v>
      </c>
      <c r="O560" s="87">
        <v>0.090909</v>
      </c>
      <c r="P560" s="87">
        <v>0.295455</v>
      </c>
      <c r="Q560" s="87">
        <v>2.320455</v>
      </c>
    </row>
    <row r="561">
      <c r="A561" s="84" t="s">
        <v>180</v>
      </c>
      <c r="B561" s="194" t="s">
        <v>3816</v>
      </c>
      <c r="C561" s="84" t="s">
        <v>820</v>
      </c>
      <c r="D561" s="88" t="s">
        <v>1396</v>
      </c>
      <c r="E561" s="84" t="s">
        <v>3683</v>
      </c>
      <c r="F561" s="84" t="s">
        <v>814</v>
      </c>
      <c r="G561" s="84" t="s">
        <v>3533</v>
      </c>
      <c r="H561" s="84" t="s">
        <v>3521</v>
      </c>
      <c r="I561" s="84" t="s">
        <v>3684</v>
      </c>
      <c r="J561" s="85"/>
      <c r="K561" s="91"/>
      <c r="L561" s="87">
        <v>82.0</v>
      </c>
      <c r="M561" s="87">
        <v>14.0</v>
      </c>
      <c r="N561" s="87">
        <v>1.72702</v>
      </c>
      <c r="O561" s="87">
        <v>14.59435</v>
      </c>
      <c r="P561" s="87">
        <v>11.97461</v>
      </c>
      <c r="Q561" s="87">
        <v>10.46131</v>
      </c>
    </row>
    <row r="562">
      <c r="A562" s="84" t="s">
        <v>393</v>
      </c>
      <c r="B562" s="194" t="s">
        <v>3813</v>
      </c>
      <c r="C562" s="84" t="s">
        <v>3642</v>
      </c>
      <c r="D562" s="88" t="s">
        <v>1396</v>
      </c>
      <c r="E562" s="84" t="s">
        <v>3687</v>
      </c>
      <c r="F562" s="84" t="s">
        <v>3814</v>
      </c>
      <c r="G562" s="84" t="s">
        <v>3815</v>
      </c>
      <c r="H562" s="84" t="s">
        <v>3521</v>
      </c>
      <c r="I562" s="84" t="s">
        <v>3693</v>
      </c>
      <c r="J562" s="85"/>
      <c r="K562" s="84" t="s">
        <v>111</v>
      </c>
      <c r="L562" s="87">
        <v>408.0</v>
      </c>
      <c r="M562" s="87">
        <v>0.0</v>
      </c>
      <c r="N562" s="87">
        <v>0.0</v>
      </c>
      <c r="O562" s="87">
        <v>0.071429</v>
      </c>
      <c r="P562" s="87">
        <v>0.033333</v>
      </c>
      <c r="Q562" s="87">
        <v>0.019608</v>
      </c>
    </row>
    <row r="563">
      <c r="A563" s="84" t="s">
        <v>568</v>
      </c>
      <c r="B563" s="193" t="s">
        <v>4180</v>
      </c>
      <c r="C563" s="84" t="s">
        <v>1057</v>
      </c>
      <c r="D563" s="88" t="s">
        <v>1396</v>
      </c>
      <c r="E563" s="84" t="s">
        <v>3687</v>
      </c>
      <c r="F563" s="91"/>
      <c r="G563" s="84" t="s">
        <v>3558</v>
      </c>
      <c r="H563" s="84" t="s">
        <v>3521</v>
      </c>
      <c r="I563" s="84" t="s">
        <v>3684</v>
      </c>
      <c r="J563" s="84" t="s">
        <v>89</v>
      </c>
      <c r="K563" s="91"/>
      <c r="L563" s="87">
        <v>72.0</v>
      </c>
      <c r="M563" s="87">
        <v>0.0</v>
      </c>
      <c r="N563" s="87">
        <v>0.0</v>
      </c>
      <c r="O563" s="87">
        <v>0.214286</v>
      </c>
      <c r="P563" s="87">
        <v>0.1</v>
      </c>
      <c r="Q563" s="87">
        <v>0.083333</v>
      </c>
    </row>
    <row r="564">
      <c r="A564" s="84" t="s">
        <v>180</v>
      </c>
      <c r="B564" s="194" t="s">
        <v>4181</v>
      </c>
      <c r="C564" s="84" t="s">
        <v>838</v>
      </c>
      <c r="D564" s="88" t="s">
        <v>1396</v>
      </c>
      <c r="E564" s="84" t="s">
        <v>3683</v>
      </c>
      <c r="F564" s="84" t="s">
        <v>839</v>
      </c>
      <c r="G564" s="84" t="s">
        <v>3550</v>
      </c>
      <c r="H564" s="84" t="s">
        <v>3507</v>
      </c>
      <c r="I564" s="84" t="s">
        <v>3684</v>
      </c>
      <c r="J564" s="85"/>
      <c r="K564" s="91"/>
      <c r="L564" s="87">
        <v>144.0</v>
      </c>
      <c r="M564" s="87">
        <v>1.0</v>
      </c>
      <c r="N564" s="87">
        <v>0.090909</v>
      </c>
      <c r="O564" s="87">
        <v>0.090909</v>
      </c>
      <c r="P564" s="87">
        <v>0.182733</v>
      </c>
      <c r="Q564" s="87">
        <v>0.566449</v>
      </c>
    </row>
    <row r="565">
      <c r="A565" s="84" t="s">
        <v>630</v>
      </c>
      <c r="B565" s="194" t="s">
        <v>4182</v>
      </c>
      <c r="C565" s="84" t="s">
        <v>1277</v>
      </c>
      <c r="D565" s="88" t="s">
        <v>1396</v>
      </c>
      <c r="E565" s="84" t="s">
        <v>3683</v>
      </c>
      <c r="F565" s="84" t="s">
        <v>1108</v>
      </c>
      <c r="G565" s="84" t="s">
        <v>3554</v>
      </c>
      <c r="H565" s="84" t="s">
        <v>3521</v>
      </c>
      <c r="I565" s="84" t="s">
        <v>3684</v>
      </c>
      <c r="J565" s="85"/>
      <c r="K565" s="85"/>
      <c r="L565" s="87">
        <v>27.0</v>
      </c>
      <c r="M565" s="87">
        <v>4.0</v>
      </c>
      <c r="N565" s="87">
        <v>0.0</v>
      </c>
      <c r="O565" s="87">
        <v>2.095238</v>
      </c>
      <c r="P565" s="87">
        <v>2.403704</v>
      </c>
      <c r="Q565" s="87">
        <v>2.037962</v>
      </c>
    </row>
    <row r="566">
      <c r="A566" s="84" t="s">
        <v>481</v>
      </c>
      <c r="B566" s="194" t="s">
        <v>4183</v>
      </c>
      <c r="C566" s="84" t="s">
        <v>499</v>
      </c>
      <c r="D566" s="88" t="s">
        <v>1396</v>
      </c>
      <c r="E566" s="84" t="s">
        <v>3683</v>
      </c>
      <c r="F566" s="84" t="s">
        <v>491</v>
      </c>
      <c r="G566" s="84" t="s">
        <v>3560</v>
      </c>
      <c r="H566" s="84" t="s">
        <v>3521</v>
      </c>
      <c r="I566" s="84" t="s">
        <v>3684</v>
      </c>
      <c r="J566" s="84" t="s">
        <v>130</v>
      </c>
      <c r="K566" s="85"/>
      <c r="L566" s="87">
        <v>24.0</v>
      </c>
      <c r="M566" s="87">
        <v>0.0</v>
      </c>
      <c r="N566" s="87">
        <v>0.0</v>
      </c>
      <c r="O566" s="87">
        <v>0.0</v>
      </c>
      <c r="P566" s="87">
        <v>0.033333</v>
      </c>
      <c r="Q566" s="87">
        <v>0.016667</v>
      </c>
    </row>
    <row r="567">
      <c r="A567" s="84" t="s">
        <v>472</v>
      </c>
      <c r="B567" s="194" t="s">
        <v>4184</v>
      </c>
      <c r="C567" s="84" t="s">
        <v>1034</v>
      </c>
      <c r="D567" s="88" t="s">
        <v>1396</v>
      </c>
      <c r="E567" s="84" t="s">
        <v>3683</v>
      </c>
      <c r="F567" s="84" t="s">
        <v>1035</v>
      </c>
      <c r="G567" s="84" t="s">
        <v>3588</v>
      </c>
      <c r="H567" s="84" t="s">
        <v>3521</v>
      </c>
      <c r="I567" s="84" t="s">
        <v>3684</v>
      </c>
      <c r="J567" s="84" t="s">
        <v>130</v>
      </c>
      <c r="K567" s="85"/>
      <c r="L567" s="87">
        <v>24.0</v>
      </c>
      <c r="M567" s="87">
        <v>0.0</v>
      </c>
      <c r="N567" s="87">
        <v>0.0</v>
      </c>
      <c r="O567" s="87">
        <v>0.0</v>
      </c>
      <c r="P567" s="87">
        <v>0.0</v>
      </c>
      <c r="Q567" s="87">
        <v>0.041241</v>
      </c>
    </row>
    <row r="568">
      <c r="A568" s="84" t="s">
        <v>644</v>
      </c>
      <c r="B568" s="194" t="s">
        <v>3911</v>
      </c>
      <c r="C568" s="84" t="s">
        <v>662</v>
      </c>
      <c r="D568" s="88" t="s">
        <v>1396</v>
      </c>
      <c r="E568" s="84" t="s">
        <v>3683</v>
      </c>
      <c r="F568" s="84" t="s">
        <v>658</v>
      </c>
      <c r="G568" s="84" t="s">
        <v>3801</v>
      </c>
      <c r="H568" s="84" t="s">
        <v>3521</v>
      </c>
      <c r="I568" s="84" t="s">
        <v>3684</v>
      </c>
      <c r="J568" s="84" t="s">
        <v>130</v>
      </c>
      <c r="K568" s="84" t="s">
        <v>111</v>
      </c>
      <c r="L568" s="87">
        <v>24.0</v>
      </c>
      <c r="M568" s="87">
        <v>0.0</v>
      </c>
      <c r="N568" s="87">
        <v>0.0</v>
      </c>
      <c r="O568" s="87">
        <v>0.0</v>
      </c>
      <c r="P568" s="87">
        <v>0.0</v>
      </c>
      <c r="Q568" s="87">
        <v>0.046512</v>
      </c>
    </row>
    <row r="569">
      <c r="A569" s="84" t="s">
        <v>139</v>
      </c>
      <c r="B569" s="194" t="s">
        <v>4185</v>
      </c>
      <c r="C569" s="84" t="s">
        <v>148</v>
      </c>
      <c r="D569" s="88" t="s">
        <v>1396</v>
      </c>
      <c r="E569" s="84" t="s">
        <v>3683</v>
      </c>
      <c r="F569" s="84" t="s">
        <v>144</v>
      </c>
      <c r="G569" s="84" t="s">
        <v>3700</v>
      </c>
      <c r="H569" s="84" t="s">
        <v>3521</v>
      </c>
      <c r="I569" s="84" t="s">
        <v>3684</v>
      </c>
      <c r="J569" s="84" t="s">
        <v>130</v>
      </c>
      <c r="K569" s="85"/>
      <c r="L569" s="87">
        <v>48.0</v>
      </c>
      <c r="M569" s="87">
        <v>0.0</v>
      </c>
      <c r="N569" s="87">
        <v>0.0</v>
      </c>
      <c r="O569" s="87">
        <v>0.0</v>
      </c>
      <c r="P569" s="87">
        <v>0.0</v>
      </c>
      <c r="Q569" s="87">
        <v>0.0</v>
      </c>
    </row>
    <row r="570">
      <c r="A570" s="84" t="s">
        <v>616</v>
      </c>
      <c r="B570" s="194" t="s">
        <v>3917</v>
      </c>
      <c r="C570" s="84" t="s">
        <v>625</v>
      </c>
      <c r="D570" s="88" t="s">
        <v>1396</v>
      </c>
      <c r="E570" s="84" t="s">
        <v>3683</v>
      </c>
      <c r="F570" s="84" t="s">
        <v>621</v>
      </c>
      <c r="G570" s="84" t="s">
        <v>3552</v>
      </c>
      <c r="H570" s="84" t="s">
        <v>3521</v>
      </c>
      <c r="I570" s="84" t="s">
        <v>3684</v>
      </c>
      <c r="J570" s="84" t="s">
        <v>130</v>
      </c>
      <c r="K570" s="91"/>
      <c r="L570" s="87">
        <v>24.0</v>
      </c>
      <c r="M570" s="87">
        <v>0.0</v>
      </c>
      <c r="N570" s="87">
        <v>0.0</v>
      </c>
      <c r="O570" s="87">
        <v>0.0</v>
      </c>
      <c r="P570" s="87">
        <v>0.0</v>
      </c>
      <c r="Q570" s="87">
        <v>0.016667</v>
      </c>
    </row>
    <row r="571">
      <c r="A571" s="84" t="s">
        <v>616</v>
      </c>
      <c r="B571" s="194" t="s">
        <v>3804</v>
      </c>
      <c r="C571" s="84" t="s">
        <v>1078</v>
      </c>
      <c r="D571" s="88" t="s">
        <v>1396</v>
      </c>
      <c r="E571" s="84" t="s">
        <v>3683</v>
      </c>
      <c r="F571" s="84" t="s">
        <v>1075</v>
      </c>
      <c r="G571" s="84" t="s">
        <v>3542</v>
      </c>
      <c r="H571" s="84" t="s">
        <v>3521</v>
      </c>
      <c r="I571" s="84" t="s">
        <v>3684</v>
      </c>
      <c r="J571" s="84" t="s">
        <v>130</v>
      </c>
      <c r="K571" s="85"/>
      <c r="L571" s="87">
        <v>24.0</v>
      </c>
      <c r="M571" s="87">
        <v>0.0</v>
      </c>
      <c r="N571" s="87">
        <v>0.0</v>
      </c>
      <c r="O571" s="87">
        <v>0.0</v>
      </c>
      <c r="P571" s="87">
        <v>0.0</v>
      </c>
      <c r="Q571" s="87">
        <v>0.0</v>
      </c>
    </row>
    <row r="572">
      <c r="A572" s="84" t="s">
        <v>458</v>
      </c>
      <c r="B572" s="194" t="s">
        <v>3884</v>
      </c>
      <c r="C572" s="84" t="s">
        <v>456</v>
      </c>
      <c r="D572" s="88" t="s">
        <v>1396</v>
      </c>
      <c r="E572" s="84" t="s">
        <v>3683</v>
      </c>
      <c r="F572" s="84" t="s">
        <v>457</v>
      </c>
      <c r="G572" s="84" t="s">
        <v>3560</v>
      </c>
      <c r="H572" s="84" t="s">
        <v>3521</v>
      </c>
      <c r="I572" s="84" t="s">
        <v>3684</v>
      </c>
      <c r="J572" s="84" t="s">
        <v>130</v>
      </c>
      <c r="K572" s="91"/>
      <c r="L572" s="87">
        <v>24.0</v>
      </c>
      <c r="M572" s="87">
        <v>0.0</v>
      </c>
      <c r="N572" s="87">
        <v>0.0</v>
      </c>
      <c r="O572" s="87">
        <v>0.0</v>
      </c>
      <c r="P572" s="87">
        <v>0.0</v>
      </c>
      <c r="Q572" s="87">
        <v>0.0</v>
      </c>
    </row>
    <row r="573">
      <c r="A573" s="84" t="s">
        <v>472</v>
      </c>
      <c r="B573" s="194" t="s">
        <v>3956</v>
      </c>
      <c r="C573" s="84" t="s">
        <v>1024</v>
      </c>
      <c r="D573" s="88" t="s">
        <v>1396</v>
      </c>
      <c r="E573" s="84" t="s">
        <v>3683</v>
      </c>
      <c r="F573" s="84" t="s">
        <v>1020</v>
      </c>
      <c r="G573" s="84" t="s">
        <v>3560</v>
      </c>
      <c r="H573" s="84" t="s">
        <v>3507</v>
      </c>
      <c r="I573" s="84" t="s">
        <v>3684</v>
      </c>
      <c r="J573" s="85"/>
      <c r="K573" s="85"/>
      <c r="L573" s="87">
        <v>72.0</v>
      </c>
      <c r="M573" s="87">
        <v>0.0</v>
      </c>
      <c r="N573" s="87">
        <v>0.94772</v>
      </c>
      <c r="O573" s="87">
        <v>1.880952</v>
      </c>
      <c r="P573" s="87">
        <v>1.214386</v>
      </c>
      <c r="Q573" s="87">
        <v>0.697557</v>
      </c>
    </row>
    <row r="574">
      <c r="A574" s="84" t="s">
        <v>139</v>
      </c>
      <c r="B574" s="194" t="s">
        <v>4186</v>
      </c>
      <c r="C574" s="84" t="s">
        <v>779</v>
      </c>
      <c r="D574" s="88" t="s">
        <v>1396</v>
      </c>
      <c r="E574" s="84" t="s">
        <v>3687</v>
      </c>
      <c r="F574" s="84" t="s">
        <v>542</v>
      </c>
      <c r="G574" s="84" t="s">
        <v>3514</v>
      </c>
      <c r="H574" s="84" t="s">
        <v>3513</v>
      </c>
      <c r="I574" s="84" t="s">
        <v>3684</v>
      </c>
      <c r="J574" s="85"/>
      <c r="K574" s="85"/>
      <c r="L574" s="87">
        <v>463.0</v>
      </c>
      <c r="M574" s="87">
        <v>4.0</v>
      </c>
      <c r="N574" s="87">
        <v>4.025955</v>
      </c>
      <c r="O574" s="87">
        <v>9.462596</v>
      </c>
      <c r="P574" s="87">
        <v>8.942624</v>
      </c>
      <c r="Q574" s="87">
        <v>8.307997</v>
      </c>
    </row>
    <row r="575">
      <c r="A575" s="84" t="s">
        <v>795</v>
      </c>
      <c r="B575" s="194" t="s">
        <v>4187</v>
      </c>
      <c r="C575" s="84" t="s">
        <v>798</v>
      </c>
      <c r="D575" s="88" t="s">
        <v>1396</v>
      </c>
      <c r="E575" s="91"/>
      <c r="F575" s="84" t="s">
        <v>794</v>
      </c>
      <c r="G575" s="84" t="s">
        <v>3522</v>
      </c>
      <c r="I575" s="84" t="s">
        <v>3684</v>
      </c>
      <c r="J575" s="91"/>
      <c r="K575" s="91"/>
      <c r="L575" s="87">
        <v>456.0</v>
      </c>
      <c r="M575" s="87">
        <v>0.0</v>
      </c>
      <c r="N575" s="87">
        <v>0.0</v>
      </c>
      <c r="O575" s="87">
        <v>0.0</v>
      </c>
      <c r="P575" s="87">
        <v>0.0</v>
      </c>
      <c r="Q575" s="87">
        <v>0.0</v>
      </c>
    </row>
    <row r="576">
      <c r="A576" s="84" t="s">
        <v>458</v>
      </c>
      <c r="B576" s="194" t="s">
        <v>4159</v>
      </c>
      <c r="C576" s="84" t="s">
        <v>466</v>
      </c>
      <c r="D576" s="88" t="s">
        <v>1396</v>
      </c>
      <c r="E576" s="84" t="s">
        <v>3683</v>
      </c>
      <c r="F576" s="84" t="s">
        <v>467</v>
      </c>
      <c r="G576" s="84" t="s">
        <v>3582</v>
      </c>
      <c r="I576" s="84" t="s">
        <v>3684</v>
      </c>
      <c r="J576" s="91"/>
      <c r="K576" s="91"/>
      <c r="L576" s="87">
        <v>552.0</v>
      </c>
      <c r="M576" s="87">
        <v>0.0</v>
      </c>
      <c r="N576" s="87">
        <v>0.0</v>
      </c>
      <c r="O576" s="87">
        <v>0.0</v>
      </c>
      <c r="P576" s="87">
        <v>0.0</v>
      </c>
      <c r="Q576" s="87">
        <v>0.0</v>
      </c>
    </row>
    <row r="577">
      <c r="A577" s="84" t="s">
        <v>139</v>
      </c>
      <c r="B577" s="194" t="s">
        <v>4186</v>
      </c>
      <c r="C577" s="84" t="s">
        <v>779</v>
      </c>
      <c r="D577" s="88" t="s">
        <v>1396</v>
      </c>
      <c r="E577" s="84" t="s">
        <v>3683</v>
      </c>
      <c r="F577" s="84" t="s">
        <v>542</v>
      </c>
      <c r="G577" s="84" t="s">
        <v>3514</v>
      </c>
      <c r="I577" s="84" t="s">
        <v>3684</v>
      </c>
      <c r="J577" s="85"/>
      <c r="K577" s="85"/>
      <c r="L577" s="87">
        <v>552.0</v>
      </c>
      <c r="M577" s="87">
        <v>0.0</v>
      </c>
      <c r="N577" s="87">
        <v>0.0</v>
      </c>
      <c r="O577" s="87">
        <v>0.0</v>
      </c>
      <c r="P577" s="87">
        <v>0.0</v>
      </c>
      <c r="Q577" s="87">
        <v>0.0</v>
      </c>
    </row>
    <row r="578">
      <c r="A578" s="84" t="s">
        <v>795</v>
      </c>
      <c r="B578" s="194" t="s">
        <v>3967</v>
      </c>
      <c r="C578" s="84" t="s">
        <v>793</v>
      </c>
      <c r="D578" s="88" t="s">
        <v>1396</v>
      </c>
      <c r="E578" s="84" t="s">
        <v>3683</v>
      </c>
      <c r="F578" s="84" t="s">
        <v>794</v>
      </c>
      <c r="G578" s="84" t="s">
        <v>3522</v>
      </c>
      <c r="H578" s="84" t="s">
        <v>3521</v>
      </c>
      <c r="I578" s="84" t="s">
        <v>3684</v>
      </c>
      <c r="J578" s="84" t="s">
        <v>130</v>
      </c>
      <c r="K578" s="91"/>
      <c r="L578" s="87">
        <v>24.0</v>
      </c>
      <c r="M578" s="87">
        <v>0.0</v>
      </c>
      <c r="N578" s="87">
        <v>0.0</v>
      </c>
      <c r="O578" s="87">
        <v>0.0</v>
      </c>
      <c r="P578" s="87">
        <v>0.0</v>
      </c>
      <c r="Q578" s="87">
        <v>0.0</v>
      </c>
    </row>
    <row r="579">
      <c r="A579" s="84" t="s">
        <v>439</v>
      </c>
      <c r="B579" s="193" t="s">
        <v>4188</v>
      </c>
      <c r="C579" s="84" t="s">
        <v>1305</v>
      </c>
      <c r="D579" s="88" t="s">
        <v>1396</v>
      </c>
      <c r="E579" s="84" t="s">
        <v>3683</v>
      </c>
      <c r="F579" s="84" t="s">
        <v>4189</v>
      </c>
      <c r="G579" s="84" t="s">
        <v>3514</v>
      </c>
      <c r="H579" s="84" t="s">
        <v>3527</v>
      </c>
      <c r="I579" s="84" t="s">
        <v>3684</v>
      </c>
      <c r="J579" s="84" t="s">
        <v>130</v>
      </c>
      <c r="K579" s="84" t="s">
        <v>111</v>
      </c>
      <c r="L579" s="87">
        <v>816.0</v>
      </c>
      <c r="M579" s="87">
        <v>0.0</v>
      </c>
      <c r="N579" s="87">
        <v>0.0</v>
      </c>
      <c r="O579" s="87">
        <v>0.0</v>
      </c>
      <c r="P579" s="87">
        <v>0.0</v>
      </c>
      <c r="Q579" s="87">
        <v>0.0</v>
      </c>
    </row>
    <row r="580">
      <c r="A580" s="84" t="s">
        <v>644</v>
      </c>
      <c r="B580" s="194" t="s">
        <v>4133</v>
      </c>
      <c r="C580" s="84" t="s">
        <v>1250</v>
      </c>
      <c r="D580" s="88" t="s">
        <v>1396</v>
      </c>
      <c r="E580" s="84" t="s">
        <v>3683</v>
      </c>
      <c r="F580" s="84" t="s">
        <v>1251</v>
      </c>
      <c r="G580" s="84" t="s">
        <v>3607</v>
      </c>
      <c r="H580" s="84" t="s">
        <v>3521</v>
      </c>
      <c r="I580" s="84" t="s">
        <v>3684</v>
      </c>
      <c r="J580" s="84" t="s">
        <v>215</v>
      </c>
      <c r="L580" s="87">
        <v>264.0</v>
      </c>
      <c r="M580" s="87">
        <v>0.0</v>
      </c>
      <c r="N580" s="87">
        <v>1.845447</v>
      </c>
      <c r="O580" s="87">
        <v>0.166667</v>
      </c>
      <c r="P580" s="87">
        <v>0.456566</v>
      </c>
      <c r="Q580" s="87">
        <v>1.809805</v>
      </c>
    </row>
    <row r="581">
      <c r="A581" s="84" t="s">
        <v>393</v>
      </c>
      <c r="B581" s="194" t="s">
        <v>4190</v>
      </c>
      <c r="C581" s="84" t="s">
        <v>421</v>
      </c>
      <c r="D581" s="88" t="s">
        <v>1396</v>
      </c>
      <c r="E581" s="84" t="s">
        <v>3683</v>
      </c>
      <c r="F581" s="84" t="s">
        <v>415</v>
      </c>
      <c r="G581" s="84" t="s">
        <v>3832</v>
      </c>
      <c r="H581" s="84" t="s">
        <v>3521</v>
      </c>
      <c r="I581" s="84" t="s">
        <v>3693</v>
      </c>
      <c r="J581" s="91"/>
      <c r="K581" s="84" t="s">
        <v>111</v>
      </c>
      <c r="L581" s="87">
        <v>408.0</v>
      </c>
      <c r="M581" s="87">
        <v>0.0</v>
      </c>
      <c r="N581" s="87">
        <v>0.266917</v>
      </c>
      <c r="O581" s="87">
        <v>0.238095</v>
      </c>
      <c r="P581" s="87">
        <v>0.18523</v>
      </c>
      <c r="Q581" s="87">
        <v>0.195557</v>
      </c>
    </row>
    <row r="582">
      <c r="A582" s="84"/>
      <c r="B582" s="197"/>
      <c r="C582" s="84"/>
      <c r="D582" s="88"/>
      <c r="E582" s="84"/>
      <c r="F582" s="84"/>
      <c r="G582" s="84"/>
      <c r="H582" s="84"/>
      <c r="I582" s="84"/>
      <c r="J582" s="91"/>
      <c r="K582" s="84"/>
      <c r="L582" s="87"/>
      <c r="M582" s="87"/>
      <c r="N582" s="87"/>
      <c r="O582" s="87"/>
      <c r="P582" s="87"/>
      <c r="Q582" s="87"/>
    </row>
    <row r="583">
      <c r="A583" s="84"/>
      <c r="B583" s="194"/>
      <c r="C583" s="84"/>
      <c r="D583" s="88"/>
      <c r="E583" s="84"/>
      <c r="F583" s="84"/>
      <c r="G583" s="84"/>
      <c r="H583" s="84"/>
      <c r="I583" s="84"/>
      <c r="J583" s="91"/>
      <c r="K583" s="91"/>
      <c r="L583" s="87"/>
      <c r="M583" s="87"/>
      <c r="N583" s="87"/>
      <c r="O583" s="87"/>
      <c r="P583" s="87"/>
      <c r="Q583" s="87"/>
    </row>
    <row r="584">
      <c r="A584" s="84"/>
      <c r="B584" s="194"/>
      <c r="C584" s="84"/>
      <c r="D584" s="88"/>
      <c r="E584" s="84"/>
      <c r="F584" s="84"/>
      <c r="G584" s="84"/>
      <c r="H584" s="84"/>
      <c r="I584" s="84"/>
      <c r="J584" s="84"/>
      <c r="K584" s="84"/>
      <c r="L584" s="87"/>
      <c r="M584" s="87"/>
      <c r="N584" s="87"/>
      <c r="O584" s="87"/>
      <c r="P584" s="87"/>
      <c r="Q584" s="87"/>
    </row>
    <row r="585">
      <c r="A585" s="84"/>
      <c r="B585" s="194"/>
      <c r="C585" s="84"/>
      <c r="D585" s="88"/>
      <c r="E585" s="84"/>
      <c r="F585" s="84"/>
      <c r="G585" s="84"/>
      <c r="I585" s="84"/>
      <c r="J585" s="84"/>
      <c r="K585" s="91"/>
      <c r="L585" s="87"/>
      <c r="M585" s="87"/>
      <c r="N585" s="87"/>
      <c r="O585" s="87"/>
      <c r="P585" s="87"/>
      <c r="Q585" s="87"/>
    </row>
    <row r="586">
      <c r="A586" s="84"/>
      <c r="B586" s="194"/>
      <c r="C586" s="84"/>
      <c r="D586" s="88"/>
      <c r="E586" s="84"/>
      <c r="F586" s="84"/>
      <c r="G586" s="84"/>
      <c r="H586" s="84"/>
      <c r="I586" s="84"/>
      <c r="J586" s="84"/>
      <c r="K586" s="84"/>
      <c r="L586" s="87"/>
      <c r="M586" s="87"/>
      <c r="N586" s="87"/>
      <c r="O586" s="87"/>
      <c r="P586" s="87"/>
      <c r="Q586" s="87"/>
    </row>
    <row r="587">
      <c r="A587" s="84"/>
      <c r="B587" s="194"/>
      <c r="C587" s="84"/>
      <c r="D587" s="88"/>
      <c r="E587" s="84"/>
      <c r="F587" s="84"/>
      <c r="G587" s="84"/>
      <c r="H587" s="84"/>
      <c r="I587" s="84"/>
      <c r="J587" s="91"/>
      <c r="K587" s="84"/>
      <c r="L587" s="87"/>
      <c r="M587" s="87"/>
      <c r="N587" s="87"/>
      <c r="O587" s="87"/>
      <c r="P587" s="87"/>
      <c r="Q587" s="87"/>
    </row>
    <row r="588">
      <c r="A588" s="84"/>
      <c r="B588" s="194"/>
      <c r="C588" s="84"/>
      <c r="D588" s="88"/>
      <c r="E588" s="84"/>
      <c r="F588" s="84"/>
      <c r="G588" s="84"/>
      <c r="H588" s="84"/>
      <c r="I588" s="84"/>
      <c r="J588" s="85"/>
      <c r="K588" s="91"/>
      <c r="L588" s="87"/>
      <c r="M588" s="87"/>
      <c r="N588" s="87"/>
      <c r="O588" s="87"/>
      <c r="P588" s="87"/>
      <c r="Q588" s="87"/>
    </row>
    <row r="589">
      <c r="A589" s="84"/>
      <c r="B589" s="194"/>
      <c r="C589" s="84"/>
      <c r="D589" s="88"/>
      <c r="E589" s="84"/>
      <c r="F589" s="84"/>
      <c r="G589" s="84"/>
      <c r="H589" s="84"/>
      <c r="I589" s="84"/>
      <c r="J589" s="85"/>
      <c r="K589" s="91"/>
      <c r="L589" s="87"/>
      <c r="M589" s="87"/>
      <c r="N589" s="87"/>
      <c r="O589" s="87"/>
      <c r="P589" s="87"/>
      <c r="Q589" s="87"/>
    </row>
    <row r="590">
      <c r="A590" s="84"/>
      <c r="B590" s="194"/>
      <c r="C590" s="84"/>
      <c r="D590" s="88"/>
      <c r="E590" s="84"/>
      <c r="F590" s="84"/>
      <c r="G590" s="84"/>
      <c r="H590" s="84"/>
      <c r="I590" s="84"/>
      <c r="J590" s="91"/>
      <c r="K590" s="85"/>
      <c r="L590" s="87"/>
      <c r="M590" s="87"/>
      <c r="N590" s="87"/>
      <c r="O590" s="87"/>
      <c r="P590" s="87"/>
      <c r="Q590" s="87"/>
    </row>
    <row r="591">
      <c r="A591" s="84"/>
      <c r="B591" s="194"/>
      <c r="C591" s="84"/>
      <c r="D591" s="88"/>
      <c r="E591" s="84"/>
      <c r="F591" s="84"/>
      <c r="G591" s="84"/>
      <c r="H591" s="84"/>
      <c r="I591" s="84"/>
      <c r="J591" s="85"/>
      <c r="K591" s="85"/>
      <c r="L591" s="87"/>
      <c r="M591" s="87"/>
      <c r="N591" s="87"/>
      <c r="O591" s="87"/>
      <c r="P591" s="87"/>
      <c r="Q591" s="87"/>
    </row>
    <row r="592">
      <c r="A592" s="84"/>
      <c r="B592" s="194"/>
      <c r="C592" s="84"/>
      <c r="D592" s="88"/>
      <c r="E592" s="84"/>
      <c r="F592" s="84"/>
      <c r="G592" s="84"/>
      <c r="H592" s="84"/>
      <c r="I592" s="84"/>
      <c r="J592" s="84"/>
      <c r="K592" s="85"/>
      <c r="L592" s="87"/>
      <c r="M592" s="87"/>
      <c r="N592" s="87"/>
      <c r="O592" s="87"/>
      <c r="P592" s="87"/>
      <c r="Q592" s="87"/>
    </row>
    <row r="593">
      <c r="A593" s="84"/>
      <c r="B593" s="194"/>
      <c r="C593" s="84"/>
      <c r="D593" s="88"/>
      <c r="E593" s="84"/>
      <c r="F593" s="84"/>
      <c r="G593" s="84"/>
      <c r="I593" s="84"/>
      <c r="J593" s="91"/>
      <c r="K593" s="85"/>
      <c r="L593" s="87"/>
      <c r="M593" s="87"/>
      <c r="N593" s="87"/>
      <c r="O593" s="87"/>
      <c r="P593" s="87"/>
      <c r="Q593" s="87"/>
    </row>
    <row r="594">
      <c r="A594" s="84"/>
      <c r="B594" s="194"/>
      <c r="C594" s="84"/>
      <c r="D594" s="88"/>
      <c r="E594" s="84"/>
      <c r="F594" s="84"/>
      <c r="G594" s="84"/>
      <c r="H594" s="84"/>
      <c r="I594" s="84"/>
      <c r="J594" s="84"/>
      <c r="K594" s="91"/>
      <c r="L594" s="87"/>
      <c r="M594" s="87"/>
      <c r="N594" s="87"/>
      <c r="O594" s="87"/>
      <c r="P594" s="87"/>
      <c r="Q594" s="87"/>
    </row>
    <row r="595">
      <c r="A595" s="84"/>
      <c r="B595" s="194"/>
      <c r="C595" s="84"/>
      <c r="D595" s="88"/>
      <c r="E595" s="84"/>
      <c r="F595" s="84"/>
      <c r="G595" s="84"/>
      <c r="H595" s="84"/>
      <c r="I595" s="84"/>
      <c r="J595" s="84"/>
      <c r="K595" s="91"/>
      <c r="L595" s="87"/>
      <c r="M595" s="87"/>
      <c r="N595" s="87"/>
      <c r="O595" s="87"/>
      <c r="P595" s="87"/>
      <c r="Q595" s="87"/>
    </row>
    <row r="596">
      <c r="A596" s="84"/>
      <c r="B596" s="194"/>
      <c r="C596" s="84"/>
      <c r="D596" s="88"/>
      <c r="E596" s="84"/>
      <c r="F596" s="84"/>
      <c r="G596" s="84"/>
      <c r="H596" s="84"/>
      <c r="I596" s="84"/>
      <c r="J596" s="85"/>
      <c r="K596" s="85"/>
      <c r="L596" s="87"/>
      <c r="M596" s="87"/>
      <c r="N596" s="87"/>
      <c r="O596" s="87"/>
      <c r="P596" s="87"/>
      <c r="Q596" s="87"/>
    </row>
    <row r="597">
      <c r="A597" s="84"/>
      <c r="B597" s="194"/>
      <c r="C597" s="84"/>
      <c r="D597" s="88"/>
      <c r="E597" s="84"/>
      <c r="F597" s="84"/>
      <c r="G597" s="84"/>
      <c r="H597" s="84"/>
      <c r="I597" s="84"/>
      <c r="J597" s="85"/>
      <c r="K597" s="91"/>
      <c r="L597" s="87"/>
      <c r="M597" s="87"/>
      <c r="N597" s="87"/>
      <c r="O597" s="87"/>
      <c r="P597" s="87"/>
      <c r="Q597" s="87"/>
    </row>
    <row r="598">
      <c r="A598" s="84"/>
      <c r="B598" s="194"/>
      <c r="C598" s="84"/>
      <c r="D598" s="88"/>
      <c r="E598" s="91"/>
      <c r="F598" s="84"/>
      <c r="G598" s="84"/>
      <c r="I598" s="84"/>
      <c r="J598" s="85"/>
      <c r="K598" s="91"/>
      <c r="L598" s="87"/>
      <c r="M598" s="87"/>
      <c r="N598" s="87"/>
      <c r="O598" s="87"/>
      <c r="P598" s="87"/>
      <c r="Q598" s="87"/>
    </row>
    <row r="599">
      <c r="A599" s="84"/>
      <c r="B599" s="194"/>
      <c r="C599" s="84"/>
      <c r="D599" s="88"/>
      <c r="E599" s="84"/>
      <c r="F599" s="84"/>
      <c r="G599" s="84"/>
      <c r="H599" s="84"/>
      <c r="I599" s="84"/>
      <c r="J599" s="85"/>
      <c r="K599" s="85"/>
      <c r="L599" s="87"/>
      <c r="M599" s="87"/>
      <c r="N599" s="87"/>
      <c r="O599" s="87"/>
      <c r="P599" s="87"/>
      <c r="Q599" s="87"/>
    </row>
    <row r="600">
      <c r="A600" s="84"/>
      <c r="B600" s="194"/>
      <c r="C600" s="84"/>
      <c r="D600" s="88"/>
      <c r="E600" s="84"/>
      <c r="F600" s="84"/>
      <c r="G600" s="84"/>
      <c r="H600" s="84"/>
      <c r="I600" s="84"/>
      <c r="J600" s="84"/>
      <c r="K600" s="91"/>
      <c r="L600" s="87"/>
      <c r="M600" s="87"/>
      <c r="N600" s="87"/>
      <c r="O600" s="87"/>
      <c r="P600" s="87"/>
      <c r="Q600" s="87"/>
    </row>
    <row r="601">
      <c r="A601" s="84"/>
      <c r="B601" s="194"/>
      <c r="C601" s="84"/>
      <c r="D601" s="88"/>
      <c r="E601" s="84"/>
      <c r="F601" s="84"/>
      <c r="G601" s="84"/>
      <c r="H601" s="84"/>
      <c r="I601" s="84"/>
      <c r="J601" s="85"/>
      <c r="K601" s="84"/>
      <c r="L601" s="87"/>
      <c r="M601" s="87"/>
      <c r="N601" s="87"/>
      <c r="O601" s="87"/>
      <c r="P601" s="87"/>
      <c r="Q601" s="87"/>
    </row>
    <row r="602">
      <c r="A602" s="84"/>
      <c r="B602" s="193"/>
      <c r="C602" s="84"/>
      <c r="D602" s="88"/>
      <c r="E602" s="84"/>
      <c r="F602" s="84"/>
      <c r="G602" s="84"/>
      <c r="H602" s="84"/>
      <c r="I602" s="84"/>
      <c r="J602" s="84"/>
      <c r="K602" s="84"/>
      <c r="L602" s="87"/>
      <c r="M602" s="87"/>
      <c r="N602" s="87"/>
      <c r="O602" s="87"/>
      <c r="P602" s="87"/>
      <c r="Q602" s="87"/>
    </row>
    <row r="603">
      <c r="A603" s="84"/>
      <c r="B603" s="194"/>
      <c r="C603" s="84"/>
      <c r="D603" s="88"/>
      <c r="E603" s="84"/>
      <c r="F603" s="84"/>
      <c r="G603" s="84"/>
      <c r="H603" s="84"/>
      <c r="I603" s="84"/>
      <c r="J603" s="85"/>
      <c r="K603" s="84"/>
      <c r="L603" s="87"/>
      <c r="M603" s="87"/>
      <c r="N603" s="87"/>
      <c r="O603" s="87"/>
      <c r="P603" s="87"/>
      <c r="Q603" s="87"/>
    </row>
    <row r="604">
      <c r="A604" s="84"/>
      <c r="B604" s="194"/>
      <c r="C604" s="84"/>
      <c r="D604" s="88"/>
      <c r="E604" s="84"/>
      <c r="F604" s="84"/>
      <c r="G604" s="84"/>
      <c r="H604" s="84"/>
      <c r="I604" s="84"/>
      <c r="J604" s="84"/>
      <c r="K604" s="84"/>
      <c r="L604" s="87"/>
      <c r="M604" s="87"/>
      <c r="N604" s="87"/>
      <c r="O604" s="87"/>
      <c r="P604" s="87"/>
      <c r="Q604" s="87"/>
    </row>
    <row r="605">
      <c r="A605" s="84"/>
      <c r="B605" s="194"/>
      <c r="C605" s="84"/>
      <c r="D605" s="88"/>
      <c r="E605" s="84"/>
      <c r="F605" s="84"/>
      <c r="G605" s="84"/>
      <c r="H605" s="84"/>
      <c r="I605" s="84"/>
      <c r="J605" s="84"/>
      <c r="L605" s="87"/>
      <c r="M605" s="87"/>
      <c r="N605" s="87"/>
      <c r="O605" s="87"/>
      <c r="P605" s="87"/>
      <c r="Q605" s="87"/>
    </row>
    <row r="606">
      <c r="A606" s="84"/>
      <c r="B606" s="194"/>
      <c r="C606" s="84"/>
      <c r="D606" s="88"/>
      <c r="E606" s="84"/>
      <c r="F606" s="84"/>
      <c r="G606" s="84"/>
      <c r="H606" s="84"/>
      <c r="I606" s="84"/>
      <c r="J606" s="91"/>
      <c r="K606" s="91"/>
      <c r="L606" s="87"/>
      <c r="M606" s="87"/>
      <c r="N606" s="87"/>
      <c r="O606" s="87"/>
      <c r="P606" s="87"/>
      <c r="Q606" s="87"/>
    </row>
    <row r="607">
      <c r="A607" s="84"/>
      <c r="B607" s="194"/>
      <c r="C607" s="84"/>
      <c r="D607" s="88"/>
      <c r="E607" s="84"/>
      <c r="F607" s="84"/>
      <c r="G607" s="84"/>
      <c r="H607" s="84"/>
      <c r="I607" s="84"/>
      <c r="J607" s="85"/>
      <c r="K607" s="91"/>
      <c r="L607" s="87"/>
      <c r="M607" s="87"/>
      <c r="N607" s="87"/>
      <c r="O607" s="87"/>
      <c r="P607" s="87"/>
      <c r="Q607" s="87"/>
    </row>
    <row r="608">
      <c r="A608" s="84"/>
      <c r="B608" s="194"/>
      <c r="C608" s="84"/>
      <c r="D608" s="88"/>
      <c r="E608" s="84"/>
      <c r="F608" s="84"/>
      <c r="G608" s="84"/>
      <c r="H608" s="84"/>
      <c r="I608" s="84"/>
      <c r="J608" s="84"/>
      <c r="K608" s="84"/>
      <c r="L608" s="87"/>
      <c r="M608" s="87"/>
      <c r="N608" s="87"/>
      <c r="O608" s="87"/>
      <c r="P608" s="87"/>
      <c r="Q608" s="87"/>
    </row>
    <row r="609">
      <c r="A609" s="84"/>
      <c r="B609" s="194"/>
      <c r="C609" s="84"/>
      <c r="D609" s="88"/>
      <c r="E609" s="84"/>
      <c r="F609" s="84"/>
      <c r="G609" s="84"/>
      <c r="H609" s="84"/>
      <c r="I609" s="84"/>
      <c r="J609" s="85"/>
      <c r="K609" s="91"/>
      <c r="L609" s="87"/>
      <c r="M609" s="87"/>
      <c r="N609" s="87"/>
      <c r="O609" s="87"/>
      <c r="P609" s="87"/>
      <c r="Q609" s="87"/>
    </row>
    <row r="610">
      <c r="A610" s="84"/>
      <c r="B610" s="194"/>
      <c r="C610" s="84"/>
      <c r="D610" s="88"/>
      <c r="E610" s="84"/>
      <c r="F610" s="84"/>
      <c r="G610" s="84"/>
      <c r="H610" s="84"/>
      <c r="I610" s="84"/>
      <c r="J610" s="84"/>
      <c r="K610" s="85"/>
      <c r="L610" s="87"/>
      <c r="M610" s="87"/>
      <c r="N610" s="87"/>
      <c r="O610" s="87"/>
      <c r="P610" s="87"/>
      <c r="Q610" s="87"/>
    </row>
    <row r="611">
      <c r="A611" s="84"/>
      <c r="B611" s="194"/>
      <c r="C611" s="84"/>
      <c r="D611" s="88"/>
      <c r="E611" s="84"/>
      <c r="F611" s="84"/>
      <c r="G611" s="84"/>
      <c r="I611" s="84"/>
      <c r="J611" s="84"/>
      <c r="K611" s="85"/>
      <c r="L611" s="87"/>
      <c r="M611" s="87"/>
      <c r="N611" s="87"/>
      <c r="O611" s="87"/>
      <c r="P611" s="87"/>
      <c r="Q611" s="87"/>
    </row>
    <row r="612">
      <c r="A612" s="84"/>
      <c r="B612" s="194"/>
      <c r="C612" s="84"/>
      <c r="D612" s="88"/>
      <c r="E612" s="84"/>
      <c r="F612" s="84"/>
      <c r="G612" s="84"/>
      <c r="H612" s="84"/>
      <c r="I612" s="84"/>
      <c r="J612" s="84"/>
      <c r="K612" s="84"/>
      <c r="L612" s="87"/>
      <c r="M612" s="87"/>
      <c r="N612" s="87"/>
      <c r="O612" s="87"/>
      <c r="P612" s="87"/>
      <c r="Q612" s="87"/>
    </row>
    <row r="613">
      <c r="A613" s="84"/>
      <c r="B613" s="194"/>
      <c r="C613" s="84"/>
      <c r="D613" s="88"/>
      <c r="E613" s="84"/>
      <c r="F613" s="84"/>
      <c r="G613" s="84"/>
      <c r="H613" s="84"/>
      <c r="I613" s="84"/>
      <c r="J613" s="84"/>
      <c r="K613" s="84"/>
      <c r="L613" s="87"/>
      <c r="M613" s="87"/>
      <c r="N613" s="87"/>
      <c r="O613" s="87"/>
      <c r="P613" s="87"/>
      <c r="Q613" s="87"/>
    </row>
    <row r="614">
      <c r="A614" s="84"/>
      <c r="B614" s="194"/>
      <c r="C614" s="84"/>
      <c r="D614" s="88"/>
      <c r="E614" s="84"/>
      <c r="F614" s="84"/>
      <c r="G614" s="84"/>
      <c r="H614" s="84"/>
      <c r="I614" s="84"/>
      <c r="J614" s="85"/>
      <c r="K614" s="84"/>
      <c r="L614" s="87"/>
      <c r="M614" s="87"/>
      <c r="N614" s="87"/>
      <c r="O614" s="87"/>
      <c r="P614" s="87"/>
      <c r="Q614" s="87"/>
    </row>
    <row r="615">
      <c r="A615" s="84"/>
      <c r="B615" s="194"/>
      <c r="C615" s="84"/>
      <c r="D615" s="88"/>
      <c r="E615" s="84"/>
      <c r="F615" s="84"/>
      <c r="G615" s="84"/>
      <c r="H615" s="84"/>
      <c r="I615" s="84"/>
      <c r="J615" s="84"/>
      <c r="K615" s="84"/>
      <c r="L615" s="87"/>
      <c r="M615" s="87"/>
      <c r="N615" s="87"/>
      <c r="O615" s="87"/>
      <c r="P615" s="87"/>
      <c r="Q615" s="87"/>
    </row>
    <row r="616">
      <c r="A616" s="84"/>
      <c r="B616" s="194"/>
      <c r="C616" s="84"/>
      <c r="D616" s="88"/>
      <c r="E616" s="91"/>
      <c r="F616" s="84"/>
      <c r="G616" s="84"/>
      <c r="I616" s="84"/>
      <c r="J616" s="84"/>
      <c r="K616" s="91"/>
      <c r="L616" s="87"/>
      <c r="M616" s="87"/>
      <c r="N616" s="87"/>
      <c r="O616" s="87"/>
      <c r="P616" s="87"/>
      <c r="Q616" s="87"/>
    </row>
    <row r="617">
      <c r="A617" s="84"/>
      <c r="B617" s="194"/>
      <c r="C617" s="84"/>
      <c r="D617" s="88"/>
      <c r="E617" s="84"/>
      <c r="F617" s="84"/>
      <c r="G617" s="84"/>
      <c r="H617" s="84"/>
      <c r="I617" s="84"/>
      <c r="J617" s="91"/>
      <c r="K617" s="84"/>
      <c r="L617" s="87"/>
      <c r="M617" s="87"/>
      <c r="N617" s="87"/>
      <c r="O617" s="87"/>
      <c r="P617" s="87"/>
      <c r="Q617" s="87"/>
    </row>
    <row r="618">
      <c r="A618" s="84"/>
      <c r="B618" s="194"/>
      <c r="C618" s="84"/>
      <c r="D618" s="88"/>
      <c r="E618" s="84"/>
      <c r="F618" s="84"/>
      <c r="G618" s="84"/>
      <c r="H618" s="84"/>
      <c r="I618" s="84"/>
      <c r="J618" s="91"/>
      <c r="K618" s="85"/>
      <c r="L618" s="87"/>
      <c r="M618" s="87"/>
      <c r="N618" s="87"/>
      <c r="O618" s="87"/>
      <c r="P618" s="87"/>
      <c r="Q618" s="87"/>
    </row>
    <row r="619">
      <c r="A619" s="84"/>
      <c r="B619" s="194"/>
      <c r="C619" s="84"/>
      <c r="D619" s="88"/>
      <c r="E619" s="84"/>
      <c r="F619" s="84"/>
      <c r="G619" s="84"/>
      <c r="H619" s="84"/>
      <c r="I619" s="84"/>
      <c r="J619" s="91"/>
      <c r="K619" s="84"/>
      <c r="L619" s="87"/>
      <c r="M619" s="87"/>
      <c r="N619" s="87"/>
      <c r="O619" s="87"/>
      <c r="P619" s="87"/>
      <c r="Q619" s="87"/>
    </row>
    <row r="620">
      <c r="A620" s="84"/>
      <c r="B620" s="194"/>
      <c r="C620" s="84"/>
      <c r="D620" s="88"/>
      <c r="E620" s="84"/>
      <c r="F620" s="84"/>
      <c r="G620" s="84"/>
      <c r="H620" s="84"/>
      <c r="I620" s="84"/>
      <c r="J620" s="84"/>
      <c r="K620" s="91"/>
      <c r="L620" s="87"/>
      <c r="M620" s="87"/>
      <c r="N620" s="87"/>
      <c r="O620" s="87"/>
      <c r="P620" s="87"/>
      <c r="Q620" s="87"/>
    </row>
    <row r="621">
      <c r="A621" s="84"/>
      <c r="B621" s="194"/>
      <c r="C621" s="84"/>
      <c r="D621" s="88"/>
      <c r="E621" s="84"/>
      <c r="F621" s="84"/>
      <c r="G621" s="84"/>
      <c r="H621" s="84"/>
      <c r="I621" s="84"/>
      <c r="J621" s="85"/>
      <c r="K621" s="91"/>
      <c r="L621" s="87"/>
      <c r="M621" s="87"/>
      <c r="N621" s="87"/>
      <c r="O621" s="87"/>
      <c r="P621" s="87"/>
      <c r="Q621" s="87"/>
    </row>
    <row r="622">
      <c r="A622" s="84"/>
      <c r="B622" s="194"/>
      <c r="C622" s="84"/>
      <c r="D622" s="88"/>
      <c r="E622" s="84"/>
      <c r="F622" s="84"/>
      <c r="G622" s="84"/>
      <c r="H622" s="84"/>
      <c r="I622" s="84"/>
      <c r="J622" s="91"/>
      <c r="K622" s="91"/>
      <c r="L622" s="87"/>
      <c r="M622" s="87"/>
      <c r="N622" s="87"/>
      <c r="O622" s="87"/>
      <c r="P622" s="87"/>
      <c r="Q622" s="87"/>
    </row>
    <row r="623">
      <c r="A623" s="84"/>
      <c r="B623" s="194"/>
      <c r="C623" s="84"/>
      <c r="D623" s="88"/>
      <c r="E623" s="84"/>
      <c r="F623" s="84"/>
      <c r="G623" s="84"/>
      <c r="H623" s="84"/>
      <c r="I623" s="84"/>
      <c r="J623" s="85"/>
      <c r="K623" s="85"/>
      <c r="L623" s="87"/>
      <c r="M623" s="87"/>
      <c r="N623" s="87"/>
      <c r="O623" s="87"/>
      <c r="P623" s="87"/>
      <c r="Q623" s="87"/>
    </row>
    <row r="624">
      <c r="A624" s="84"/>
      <c r="B624" s="194"/>
      <c r="C624" s="84"/>
      <c r="D624" s="88"/>
      <c r="E624" s="84"/>
      <c r="F624" s="84"/>
      <c r="G624" s="84"/>
      <c r="H624" s="84"/>
      <c r="I624" s="84"/>
      <c r="J624" s="91"/>
      <c r="K624" s="85"/>
      <c r="L624" s="87"/>
      <c r="M624" s="87"/>
      <c r="N624" s="87"/>
      <c r="O624" s="87"/>
      <c r="P624" s="87"/>
      <c r="Q624" s="87"/>
    </row>
    <row r="625">
      <c r="A625" s="84"/>
      <c r="B625" s="194"/>
      <c r="C625" s="84"/>
      <c r="D625" s="88"/>
      <c r="E625" s="84"/>
      <c r="F625" s="84"/>
      <c r="G625" s="84"/>
      <c r="H625" s="84"/>
      <c r="I625" s="84"/>
      <c r="J625" s="84"/>
      <c r="K625" s="91"/>
      <c r="L625" s="87"/>
      <c r="M625" s="87"/>
      <c r="N625" s="87"/>
      <c r="O625" s="87"/>
      <c r="P625" s="87"/>
      <c r="Q625" s="87"/>
    </row>
    <row r="626">
      <c r="A626" s="84"/>
      <c r="B626" s="194"/>
      <c r="C626" s="84"/>
      <c r="D626" s="88"/>
      <c r="E626" s="84"/>
      <c r="F626" s="84"/>
      <c r="G626" s="84"/>
      <c r="H626" s="84"/>
      <c r="I626" s="84"/>
      <c r="J626" s="91"/>
      <c r="K626" s="84"/>
      <c r="L626" s="87"/>
      <c r="M626" s="87"/>
      <c r="N626" s="87"/>
      <c r="O626" s="87"/>
      <c r="P626" s="87"/>
      <c r="Q626" s="87"/>
    </row>
    <row r="627">
      <c r="A627" s="84"/>
      <c r="B627" s="194"/>
      <c r="C627" s="84"/>
      <c r="D627" s="88"/>
      <c r="E627" s="84"/>
      <c r="F627" s="84"/>
      <c r="G627" s="84"/>
      <c r="H627" s="84"/>
      <c r="I627" s="84"/>
      <c r="J627" s="84"/>
      <c r="K627" s="85"/>
      <c r="L627" s="87"/>
      <c r="M627" s="87"/>
      <c r="N627" s="87"/>
      <c r="O627" s="87"/>
      <c r="P627" s="87"/>
      <c r="Q627" s="87"/>
    </row>
    <row r="628">
      <c r="A628" s="84"/>
      <c r="B628" s="194"/>
      <c r="C628" s="84"/>
      <c r="D628" s="88"/>
      <c r="E628" s="84"/>
      <c r="F628" s="84"/>
      <c r="G628" s="84"/>
      <c r="H628" s="84"/>
      <c r="I628" s="84"/>
      <c r="J628" s="84"/>
      <c r="K628" s="85"/>
      <c r="L628" s="87"/>
      <c r="M628" s="87"/>
      <c r="N628" s="87"/>
      <c r="O628" s="87"/>
      <c r="P628" s="87"/>
      <c r="Q628" s="87"/>
    </row>
    <row r="629">
      <c r="A629" s="84"/>
      <c r="B629" s="194"/>
      <c r="C629" s="84"/>
      <c r="D629" s="88"/>
      <c r="E629" s="84"/>
      <c r="F629" s="84"/>
      <c r="G629" s="84"/>
      <c r="H629" s="84"/>
      <c r="I629" s="84"/>
      <c r="J629" s="91"/>
      <c r="K629" s="91"/>
      <c r="L629" s="87"/>
      <c r="M629" s="87"/>
      <c r="N629" s="87"/>
      <c r="O629" s="87"/>
      <c r="P629" s="87"/>
      <c r="Q629" s="87"/>
    </row>
    <row r="630">
      <c r="A630" s="84"/>
      <c r="B630" s="194"/>
      <c r="C630" s="84"/>
      <c r="D630" s="88"/>
      <c r="E630" s="84"/>
      <c r="F630" s="84"/>
      <c r="G630" s="84"/>
      <c r="H630" s="84"/>
      <c r="I630" s="84"/>
      <c r="J630" s="84"/>
      <c r="K630" s="91"/>
      <c r="L630" s="87"/>
      <c r="M630" s="87"/>
      <c r="N630" s="87"/>
      <c r="O630" s="87"/>
      <c r="P630" s="87"/>
      <c r="Q630" s="87"/>
    </row>
    <row r="631">
      <c r="A631" s="84"/>
      <c r="B631" s="194"/>
      <c r="C631" s="84"/>
      <c r="D631" s="88"/>
      <c r="E631" s="84"/>
      <c r="F631" s="84"/>
      <c r="G631" s="84"/>
      <c r="H631" s="84"/>
      <c r="I631" s="84"/>
      <c r="J631" s="91"/>
      <c r="K631" s="85"/>
      <c r="L631" s="87"/>
      <c r="M631" s="87"/>
      <c r="N631" s="87"/>
      <c r="O631" s="87"/>
      <c r="P631" s="87"/>
      <c r="Q631" s="87"/>
    </row>
    <row r="632">
      <c r="A632" s="84"/>
      <c r="B632" s="194"/>
      <c r="C632" s="84"/>
      <c r="D632" s="88"/>
      <c r="E632" s="84"/>
      <c r="F632" s="84"/>
      <c r="G632" s="84"/>
      <c r="H632" s="84"/>
      <c r="I632" s="84"/>
      <c r="J632" s="91"/>
      <c r="K632" s="84"/>
      <c r="L632" s="87"/>
      <c r="M632" s="87"/>
      <c r="N632" s="87"/>
      <c r="O632" s="87"/>
      <c r="P632" s="87"/>
      <c r="Q632" s="87"/>
    </row>
    <row r="633">
      <c r="A633" s="84"/>
      <c r="B633" s="194"/>
      <c r="C633" s="84"/>
      <c r="D633" s="88"/>
      <c r="E633" s="84"/>
      <c r="F633" s="84"/>
      <c r="G633" s="84"/>
      <c r="H633" s="84"/>
      <c r="I633" s="84"/>
      <c r="J633" s="91"/>
      <c r="K633" s="91"/>
      <c r="L633" s="87"/>
      <c r="M633" s="87"/>
      <c r="N633" s="87"/>
      <c r="O633" s="87"/>
      <c r="P633" s="87"/>
      <c r="Q633" s="87"/>
    </row>
    <row r="634">
      <c r="A634" s="84"/>
      <c r="B634" s="194"/>
      <c r="C634" s="84"/>
      <c r="D634" s="88"/>
      <c r="E634" s="84"/>
      <c r="F634" s="84"/>
      <c r="G634" s="84"/>
      <c r="H634" s="84"/>
      <c r="I634" s="84"/>
      <c r="J634" s="84"/>
      <c r="K634" s="85"/>
      <c r="L634" s="87"/>
      <c r="M634" s="87"/>
      <c r="N634" s="87"/>
      <c r="O634" s="87"/>
      <c r="P634" s="87"/>
      <c r="Q634" s="87"/>
    </row>
    <row r="635">
      <c r="A635" s="84"/>
      <c r="B635" s="194"/>
      <c r="C635" s="84"/>
      <c r="D635" s="88"/>
      <c r="E635" s="84"/>
      <c r="F635" s="84"/>
      <c r="G635" s="84"/>
      <c r="H635" s="84"/>
      <c r="I635" s="84"/>
      <c r="J635" s="85"/>
      <c r="K635" s="91"/>
      <c r="L635" s="87"/>
      <c r="M635" s="87"/>
      <c r="N635" s="87"/>
      <c r="O635" s="87"/>
      <c r="P635" s="87"/>
      <c r="Q635" s="87"/>
    </row>
    <row r="636">
      <c r="A636" s="84"/>
      <c r="B636" s="194"/>
      <c r="C636" s="84"/>
      <c r="D636" s="88"/>
      <c r="E636" s="84"/>
      <c r="F636" s="84"/>
      <c r="G636" s="84"/>
      <c r="H636" s="84"/>
      <c r="I636" s="84"/>
      <c r="J636" s="85"/>
      <c r="K636" s="84"/>
      <c r="L636" s="87"/>
      <c r="M636" s="87"/>
      <c r="N636" s="87"/>
      <c r="O636" s="87"/>
      <c r="P636" s="87"/>
      <c r="Q636" s="87"/>
    </row>
    <row r="637">
      <c r="A637" s="84"/>
      <c r="B637" s="194"/>
      <c r="C637" s="84"/>
      <c r="D637" s="88"/>
      <c r="E637" s="84"/>
      <c r="F637" s="84"/>
      <c r="G637" s="84"/>
      <c r="H637" s="84"/>
      <c r="I637" s="84"/>
      <c r="J637" s="91"/>
      <c r="K637" s="85"/>
      <c r="L637" s="87"/>
      <c r="M637" s="87"/>
      <c r="N637" s="87"/>
      <c r="O637" s="87"/>
      <c r="P637" s="87"/>
      <c r="Q637" s="87"/>
    </row>
    <row r="638">
      <c r="A638" s="84"/>
      <c r="B638" s="194"/>
      <c r="C638" s="84"/>
      <c r="D638" s="88"/>
      <c r="E638" s="91"/>
      <c r="F638" s="84"/>
      <c r="G638" s="84"/>
      <c r="I638" s="84"/>
      <c r="J638" s="84"/>
      <c r="K638" s="85"/>
      <c r="L638" s="87"/>
      <c r="M638" s="87"/>
      <c r="N638" s="87"/>
      <c r="O638" s="87"/>
      <c r="P638" s="87"/>
      <c r="Q638" s="87"/>
    </row>
    <row r="639">
      <c r="A639" s="84"/>
      <c r="B639" s="194"/>
      <c r="C639" s="84"/>
      <c r="D639" s="88"/>
      <c r="E639" s="84"/>
      <c r="F639" s="84"/>
      <c r="G639" s="84"/>
      <c r="I639" s="84"/>
      <c r="J639" s="84"/>
      <c r="L639" s="87"/>
      <c r="M639" s="87"/>
      <c r="N639" s="87"/>
      <c r="O639" s="87"/>
      <c r="P639" s="87"/>
      <c r="Q639" s="87"/>
    </row>
    <row r="640">
      <c r="A640" s="84"/>
      <c r="B640" s="194"/>
      <c r="C640" s="84"/>
      <c r="D640" s="88"/>
      <c r="E640" s="84"/>
      <c r="F640" s="84"/>
      <c r="G640" s="84"/>
      <c r="H640" s="84"/>
      <c r="I640" s="84"/>
      <c r="J640" s="85"/>
      <c r="K640" s="84"/>
      <c r="L640" s="87"/>
      <c r="M640" s="87"/>
      <c r="N640" s="87"/>
      <c r="O640" s="87"/>
      <c r="P640" s="87"/>
      <c r="Q640" s="87"/>
    </row>
    <row r="641">
      <c r="A641" s="84"/>
      <c r="B641" s="194"/>
      <c r="C641" s="84"/>
      <c r="D641" s="88"/>
      <c r="E641" s="84"/>
      <c r="F641" s="84"/>
      <c r="G641" s="84"/>
      <c r="H641" s="84"/>
      <c r="I641" s="84"/>
      <c r="J641" s="84"/>
      <c r="L641" s="87"/>
      <c r="M641" s="87"/>
      <c r="N641" s="87"/>
      <c r="O641" s="87"/>
      <c r="P641" s="87"/>
      <c r="Q641" s="87"/>
    </row>
    <row r="642">
      <c r="A642" s="84"/>
      <c r="B642" s="194"/>
      <c r="C642" s="84"/>
      <c r="D642" s="88"/>
      <c r="E642" s="84"/>
      <c r="F642" s="84"/>
      <c r="G642" s="84"/>
      <c r="H642" s="84"/>
      <c r="I642" s="84"/>
      <c r="J642" s="91"/>
      <c r="K642" s="84"/>
      <c r="L642" s="87"/>
      <c r="M642" s="87"/>
      <c r="N642" s="87"/>
      <c r="O642" s="87"/>
      <c r="P642" s="87"/>
      <c r="Q642" s="87"/>
    </row>
    <row r="643">
      <c r="A643" s="84"/>
      <c r="B643" s="194"/>
      <c r="C643" s="84"/>
      <c r="D643" s="88"/>
      <c r="E643" s="84"/>
      <c r="F643" s="84"/>
      <c r="G643" s="84"/>
      <c r="H643" s="84"/>
      <c r="I643" s="84"/>
      <c r="J643" s="85"/>
      <c r="K643" s="85"/>
      <c r="L643" s="87"/>
      <c r="M643" s="87"/>
      <c r="N643" s="87"/>
      <c r="O643" s="87"/>
      <c r="P643" s="87"/>
      <c r="Q643" s="87"/>
    </row>
    <row r="644">
      <c r="A644" s="84"/>
      <c r="B644" s="194"/>
      <c r="C644" s="84"/>
      <c r="D644" s="88"/>
      <c r="E644" s="84"/>
      <c r="F644" s="84"/>
      <c r="G644" s="84"/>
      <c r="H644" s="87"/>
      <c r="I644" s="84"/>
      <c r="J644" s="84"/>
      <c r="K644" s="91"/>
      <c r="L644" s="87"/>
      <c r="M644" s="87"/>
      <c r="N644" s="87"/>
      <c r="O644" s="87"/>
      <c r="P644" s="87"/>
      <c r="Q644" s="87"/>
    </row>
    <row r="645">
      <c r="A645" s="84"/>
      <c r="B645" s="194"/>
      <c r="C645" s="84"/>
      <c r="D645" s="88"/>
      <c r="E645" s="84"/>
      <c r="F645" s="84"/>
      <c r="G645" s="84"/>
      <c r="H645" s="84"/>
      <c r="I645" s="84"/>
      <c r="J645" s="85"/>
      <c r="K645" s="91"/>
      <c r="L645" s="87"/>
      <c r="M645" s="87"/>
      <c r="N645" s="87"/>
      <c r="O645" s="87"/>
      <c r="P645" s="87"/>
      <c r="Q645" s="87"/>
    </row>
    <row r="646">
      <c r="A646" s="84"/>
      <c r="B646" s="194"/>
      <c r="C646" s="84"/>
      <c r="D646" s="88"/>
      <c r="E646" s="84"/>
      <c r="F646" s="84"/>
      <c r="G646" s="84"/>
      <c r="H646" s="84"/>
      <c r="I646" s="84"/>
      <c r="J646" s="91"/>
      <c r="K646" s="85"/>
      <c r="L646" s="87"/>
      <c r="M646" s="87"/>
      <c r="N646" s="87"/>
      <c r="O646" s="87"/>
      <c r="P646" s="87"/>
      <c r="Q646" s="87"/>
    </row>
    <row r="647">
      <c r="A647" s="84"/>
      <c r="B647" s="194"/>
      <c r="C647" s="84"/>
      <c r="D647" s="88"/>
      <c r="E647" s="84"/>
      <c r="F647" s="84"/>
      <c r="G647" s="84"/>
      <c r="I647" s="84"/>
      <c r="J647" s="91"/>
      <c r="K647" s="91"/>
      <c r="L647" s="87"/>
      <c r="M647" s="87"/>
      <c r="N647" s="87"/>
      <c r="O647" s="87"/>
      <c r="P647" s="87"/>
      <c r="Q647" s="87"/>
    </row>
    <row r="648">
      <c r="A648" s="84"/>
      <c r="B648" s="194"/>
      <c r="C648" s="84"/>
      <c r="D648" s="88"/>
      <c r="E648" s="84"/>
      <c r="F648" s="84"/>
      <c r="G648" s="84"/>
      <c r="I648" s="84"/>
      <c r="J648" s="91"/>
      <c r="K648" s="91"/>
      <c r="L648" s="87"/>
      <c r="M648" s="87"/>
      <c r="N648" s="87"/>
      <c r="O648" s="87"/>
      <c r="P648" s="87"/>
      <c r="Q648" s="87"/>
    </row>
    <row r="649">
      <c r="A649" s="84"/>
      <c r="B649" s="194"/>
      <c r="C649" s="84"/>
      <c r="D649" s="88"/>
      <c r="E649" s="84"/>
      <c r="F649" s="84"/>
      <c r="G649" s="84"/>
      <c r="H649" s="84"/>
      <c r="I649" s="84"/>
      <c r="J649" s="91"/>
      <c r="K649" s="91"/>
      <c r="L649" s="87"/>
      <c r="M649" s="87"/>
      <c r="N649" s="87"/>
      <c r="O649" s="87"/>
      <c r="P649" s="87"/>
      <c r="Q649" s="87"/>
    </row>
    <row r="650">
      <c r="A650" s="84"/>
      <c r="B650" s="194"/>
      <c r="C650" s="84"/>
      <c r="D650" s="88"/>
      <c r="E650" s="84"/>
      <c r="F650" s="84"/>
      <c r="G650" s="84"/>
      <c r="H650" s="84"/>
      <c r="I650" s="84"/>
      <c r="J650" s="84"/>
      <c r="K650" s="91"/>
      <c r="L650" s="87"/>
      <c r="M650" s="87"/>
      <c r="N650" s="87"/>
      <c r="O650" s="87"/>
      <c r="P650" s="87"/>
      <c r="Q650" s="87"/>
    </row>
    <row r="651">
      <c r="A651" s="84"/>
      <c r="B651" s="194"/>
      <c r="C651" s="84"/>
      <c r="D651" s="88"/>
      <c r="E651" s="84"/>
      <c r="F651" s="84"/>
      <c r="G651" s="84"/>
      <c r="H651" s="84"/>
      <c r="I651" s="84"/>
      <c r="J651" s="85"/>
      <c r="K651" s="85"/>
      <c r="L651" s="87"/>
      <c r="M651" s="87"/>
      <c r="N651" s="87"/>
      <c r="O651" s="87"/>
      <c r="P651" s="87"/>
      <c r="Q651" s="87"/>
    </row>
    <row r="652">
      <c r="A652" s="84"/>
      <c r="B652" s="194"/>
      <c r="C652" s="84"/>
      <c r="D652" s="88"/>
      <c r="E652" s="84"/>
      <c r="F652" s="84"/>
      <c r="G652" s="84"/>
      <c r="H652" s="84"/>
      <c r="I652" s="84"/>
      <c r="J652" s="84"/>
      <c r="K652" s="91"/>
      <c r="L652" s="87"/>
      <c r="M652" s="87"/>
      <c r="N652" s="87"/>
      <c r="O652" s="87"/>
      <c r="P652" s="87"/>
      <c r="Q652" s="87"/>
    </row>
    <row r="653">
      <c r="A653" s="84"/>
      <c r="B653" s="194"/>
      <c r="C653" s="84"/>
      <c r="D653" s="88"/>
      <c r="E653" s="84"/>
      <c r="F653" s="84"/>
      <c r="G653" s="84"/>
      <c r="H653" s="84"/>
      <c r="I653" s="84"/>
      <c r="J653" s="84"/>
      <c r="K653" s="85"/>
      <c r="L653" s="87"/>
      <c r="M653" s="87"/>
      <c r="N653" s="87"/>
      <c r="O653" s="87"/>
      <c r="P653" s="87"/>
      <c r="Q653" s="87"/>
    </row>
    <row r="654">
      <c r="A654" s="84"/>
      <c r="B654" s="194"/>
      <c r="C654" s="84"/>
      <c r="D654" s="88"/>
      <c r="E654" s="84"/>
      <c r="F654" s="84"/>
      <c r="G654" s="84"/>
      <c r="H654" s="84"/>
      <c r="I654" s="84"/>
      <c r="J654" s="84"/>
      <c r="K654" s="85"/>
      <c r="L654" s="87"/>
      <c r="M654" s="87"/>
      <c r="N654" s="87"/>
      <c r="O654" s="87"/>
      <c r="P654" s="87"/>
      <c r="Q654" s="87"/>
    </row>
    <row r="655">
      <c r="A655" s="84"/>
      <c r="B655" s="194"/>
      <c r="C655" s="84"/>
      <c r="D655" s="88"/>
      <c r="E655" s="84"/>
      <c r="F655" s="84"/>
      <c r="G655" s="84"/>
      <c r="H655" s="84"/>
      <c r="I655" s="84"/>
      <c r="J655" s="84"/>
      <c r="K655" s="85"/>
      <c r="L655" s="87"/>
      <c r="M655" s="87"/>
      <c r="N655" s="87"/>
      <c r="O655" s="87"/>
      <c r="P655" s="87"/>
      <c r="Q655" s="87"/>
    </row>
    <row r="656">
      <c r="A656" s="84"/>
      <c r="B656" s="194"/>
      <c r="C656" s="84"/>
      <c r="D656" s="88"/>
      <c r="E656" s="84"/>
      <c r="F656" s="84"/>
      <c r="G656" s="84"/>
      <c r="H656" s="84"/>
      <c r="I656" s="84"/>
      <c r="J656" s="84"/>
      <c r="K656" s="91"/>
      <c r="L656" s="87"/>
      <c r="M656" s="87"/>
      <c r="N656" s="87"/>
      <c r="O656" s="87"/>
      <c r="P656" s="87"/>
      <c r="Q656" s="87"/>
    </row>
    <row r="657">
      <c r="A657" s="84"/>
      <c r="B657" s="194"/>
      <c r="C657" s="84"/>
      <c r="D657" s="88"/>
      <c r="E657" s="84"/>
      <c r="F657" s="84"/>
      <c r="G657" s="84"/>
      <c r="H657" s="84"/>
      <c r="I657" s="84"/>
      <c r="J657" s="84"/>
      <c r="K657" s="85"/>
      <c r="L657" s="87"/>
      <c r="M657" s="87"/>
      <c r="N657" s="87"/>
      <c r="O657" s="87"/>
      <c r="P657" s="87"/>
      <c r="Q657" s="87"/>
    </row>
    <row r="658">
      <c r="A658" s="84"/>
      <c r="B658" s="194"/>
      <c r="C658" s="84"/>
      <c r="D658" s="88"/>
      <c r="E658" s="84"/>
      <c r="F658" s="84"/>
      <c r="G658" s="84"/>
      <c r="H658" s="84"/>
      <c r="I658" s="84"/>
      <c r="J658" s="84"/>
      <c r="K658" s="91"/>
      <c r="L658" s="87"/>
      <c r="M658" s="87"/>
      <c r="N658" s="87"/>
      <c r="O658" s="87"/>
      <c r="P658" s="87"/>
      <c r="Q658" s="87"/>
    </row>
    <row r="659">
      <c r="A659" s="84"/>
      <c r="B659" s="194"/>
      <c r="C659" s="84"/>
      <c r="D659" s="88"/>
      <c r="E659" s="84"/>
      <c r="F659" s="84"/>
      <c r="G659" s="84"/>
      <c r="H659" s="84"/>
      <c r="I659" s="84"/>
      <c r="J659" s="91"/>
      <c r="K659" s="84"/>
      <c r="L659" s="87"/>
      <c r="M659" s="87"/>
      <c r="N659" s="87"/>
      <c r="O659" s="87"/>
      <c r="P659" s="87"/>
      <c r="Q659" s="87"/>
    </row>
    <row r="660">
      <c r="A660" s="84"/>
      <c r="B660" s="194"/>
      <c r="C660" s="84"/>
      <c r="D660" s="88"/>
      <c r="E660" s="84"/>
      <c r="F660" s="91"/>
      <c r="G660" s="84"/>
      <c r="H660" s="84"/>
      <c r="I660" s="84"/>
      <c r="J660" s="84"/>
      <c r="K660" s="85"/>
      <c r="L660" s="87"/>
      <c r="M660" s="87"/>
      <c r="N660" s="87"/>
      <c r="O660" s="87"/>
      <c r="P660" s="87"/>
      <c r="Q660" s="87"/>
    </row>
    <row r="661">
      <c r="A661" s="84"/>
      <c r="B661" s="194"/>
      <c r="C661" s="84"/>
      <c r="D661" s="88"/>
      <c r="E661" s="84"/>
      <c r="F661" s="84"/>
      <c r="G661" s="84"/>
      <c r="H661" s="84"/>
      <c r="I661" s="84"/>
      <c r="J661" s="85"/>
      <c r="K661" s="91"/>
      <c r="L661" s="87"/>
      <c r="M661" s="87"/>
      <c r="N661" s="87"/>
      <c r="O661" s="87"/>
      <c r="P661" s="87"/>
      <c r="Q661" s="87"/>
    </row>
    <row r="662">
      <c r="A662" s="84"/>
      <c r="B662" s="194"/>
      <c r="C662" s="84"/>
      <c r="D662" s="88"/>
      <c r="E662" s="84"/>
      <c r="F662" s="84"/>
      <c r="G662" s="84"/>
      <c r="H662" s="84"/>
      <c r="I662" s="84"/>
      <c r="J662" s="91"/>
      <c r="K662" s="84"/>
      <c r="L662" s="87"/>
      <c r="M662" s="87"/>
      <c r="N662" s="87"/>
      <c r="O662" s="87"/>
      <c r="P662" s="87"/>
      <c r="Q662" s="87"/>
    </row>
    <row r="663">
      <c r="A663" s="84"/>
      <c r="B663" s="194"/>
      <c r="C663" s="84"/>
      <c r="D663" s="88"/>
      <c r="E663" s="84"/>
      <c r="F663" s="84"/>
      <c r="G663" s="84"/>
      <c r="H663" s="84"/>
      <c r="I663" s="84"/>
      <c r="J663" s="84"/>
      <c r="K663" s="91"/>
      <c r="L663" s="87"/>
      <c r="M663" s="87"/>
      <c r="N663" s="87"/>
      <c r="O663" s="87"/>
      <c r="P663" s="87"/>
      <c r="Q663" s="87"/>
    </row>
    <row r="664">
      <c r="A664" s="84"/>
      <c r="B664" s="194"/>
      <c r="C664" s="84"/>
      <c r="D664" s="88"/>
      <c r="E664" s="84"/>
      <c r="F664" s="84"/>
      <c r="G664" s="84"/>
      <c r="I664" s="84"/>
      <c r="J664" s="91"/>
      <c r="K664" s="91"/>
      <c r="L664" s="87"/>
      <c r="M664" s="87"/>
      <c r="N664" s="87"/>
      <c r="O664" s="87"/>
      <c r="P664" s="87"/>
      <c r="Q664" s="87"/>
    </row>
    <row r="665">
      <c r="A665" s="84"/>
      <c r="B665" s="194"/>
      <c r="C665" s="84"/>
      <c r="D665" s="88"/>
      <c r="E665" s="84"/>
      <c r="F665" s="84"/>
      <c r="G665" s="84"/>
      <c r="H665" s="84"/>
      <c r="I665" s="84"/>
      <c r="J665" s="85"/>
      <c r="K665" s="84"/>
      <c r="L665" s="87"/>
      <c r="M665" s="87"/>
      <c r="N665" s="87"/>
      <c r="O665" s="87"/>
      <c r="P665" s="87"/>
      <c r="Q665" s="87"/>
    </row>
    <row r="666">
      <c r="A666" s="84"/>
      <c r="B666" s="194"/>
      <c r="C666" s="84"/>
      <c r="D666" s="88"/>
      <c r="E666" s="84"/>
      <c r="F666" s="84"/>
      <c r="G666" s="84"/>
      <c r="I666" s="84"/>
      <c r="J666" s="91"/>
      <c r="K666" s="91"/>
      <c r="L666" s="87"/>
      <c r="M666" s="87"/>
      <c r="N666" s="87"/>
      <c r="O666" s="87"/>
      <c r="P666" s="87"/>
      <c r="Q666" s="87"/>
    </row>
    <row r="667">
      <c r="A667" s="84"/>
      <c r="B667" s="194"/>
      <c r="C667" s="84"/>
      <c r="D667" s="88"/>
      <c r="E667" s="91"/>
      <c r="F667" s="84"/>
      <c r="G667" s="84"/>
      <c r="I667" s="84"/>
      <c r="J667" s="91"/>
      <c r="K667" s="91"/>
      <c r="L667" s="87"/>
      <c r="M667" s="87"/>
      <c r="N667" s="87"/>
      <c r="O667" s="87"/>
      <c r="P667" s="87"/>
      <c r="Q667" s="87"/>
    </row>
    <row r="668">
      <c r="A668" s="84"/>
      <c r="B668" s="194"/>
      <c r="C668" s="84"/>
      <c r="D668" s="88"/>
      <c r="E668" s="84"/>
      <c r="F668" s="91"/>
      <c r="G668" s="84"/>
      <c r="I668" s="84"/>
      <c r="J668" s="85"/>
      <c r="K668" s="85"/>
      <c r="L668" s="87"/>
      <c r="M668" s="87"/>
      <c r="N668" s="87"/>
      <c r="O668" s="87"/>
      <c r="P668" s="87"/>
      <c r="Q668" s="87"/>
    </row>
    <row r="669">
      <c r="A669" s="84"/>
      <c r="B669" s="194"/>
      <c r="C669" s="84"/>
      <c r="D669" s="88"/>
      <c r="E669" s="84"/>
      <c r="F669" s="84"/>
      <c r="G669" s="84"/>
      <c r="I669" s="84"/>
      <c r="J669" s="91"/>
      <c r="K669" s="85"/>
      <c r="L669" s="87"/>
      <c r="M669" s="87"/>
      <c r="N669" s="87"/>
      <c r="O669" s="87"/>
      <c r="P669" s="87"/>
      <c r="Q669" s="87"/>
    </row>
    <row r="670">
      <c r="A670" s="84"/>
      <c r="B670" s="194"/>
      <c r="C670" s="84"/>
      <c r="D670" s="88"/>
      <c r="E670" s="91"/>
      <c r="F670" s="84"/>
      <c r="G670" s="84"/>
      <c r="I670" s="84"/>
      <c r="J670" s="85"/>
      <c r="K670" s="91"/>
      <c r="L670" s="87"/>
      <c r="M670" s="87"/>
      <c r="N670" s="87"/>
      <c r="O670" s="87"/>
      <c r="P670" s="87"/>
      <c r="Q670" s="87"/>
    </row>
    <row r="671">
      <c r="A671" s="84"/>
      <c r="B671" s="194"/>
      <c r="C671" s="84"/>
      <c r="D671" s="88"/>
      <c r="E671" s="84"/>
      <c r="F671" s="84"/>
      <c r="G671" s="84"/>
      <c r="I671" s="84"/>
      <c r="J671" s="91"/>
      <c r="K671" s="91"/>
      <c r="L671" s="87"/>
      <c r="M671" s="87"/>
      <c r="N671" s="87"/>
      <c r="O671" s="87"/>
      <c r="P671" s="87"/>
      <c r="Q671" s="87"/>
    </row>
    <row r="672">
      <c r="A672" s="84"/>
      <c r="B672" s="194"/>
      <c r="C672" s="84"/>
      <c r="D672" s="88"/>
      <c r="E672" s="84"/>
      <c r="F672" s="84"/>
      <c r="G672" s="84"/>
      <c r="H672" s="84"/>
      <c r="I672" s="84"/>
      <c r="J672" s="84"/>
      <c r="K672" s="91"/>
      <c r="L672" s="87"/>
      <c r="M672" s="87"/>
      <c r="N672" s="87"/>
      <c r="O672" s="87"/>
      <c r="P672" s="87"/>
      <c r="Q672" s="87"/>
    </row>
    <row r="673">
      <c r="A673" s="84"/>
      <c r="B673" s="194"/>
      <c r="C673" s="84"/>
      <c r="D673" s="88"/>
      <c r="E673" s="84"/>
      <c r="F673" s="84"/>
      <c r="G673" s="84"/>
      <c r="H673" s="84"/>
      <c r="I673" s="84"/>
      <c r="J673" s="84"/>
      <c r="K673" s="91"/>
      <c r="L673" s="87"/>
      <c r="M673" s="87"/>
      <c r="N673" s="87"/>
      <c r="O673" s="87"/>
      <c r="P673" s="87"/>
      <c r="Q673" s="87"/>
    </row>
    <row r="674">
      <c r="A674" s="84"/>
      <c r="B674" s="194"/>
      <c r="C674" s="84"/>
      <c r="D674" s="88"/>
      <c r="E674" s="84"/>
      <c r="F674" s="84"/>
      <c r="G674" s="84"/>
      <c r="H674" s="84"/>
      <c r="I674" s="84"/>
      <c r="J674" s="91"/>
      <c r="K674" s="85"/>
      <c r="L674" s="87"/>
      <c r="M674" s="87"/>
      <c r="N674" s="87"/>
      <c r="O674" s="87"/>
      <c r="P674" s="87"/>
      <c r="Q674" s="87"/>
    </row>
    <row r="675">
      <c r="A675" s="84"/>
      <c r="B675" s="194"/>
      <c r="C675" s="84"/>
      <c r="D675" s="88"/>
      <c r="E675" s="84"/>
      <c r="F675" s="84"/>
      <c r="G675" s="84"/>
      <c r="H675" s="84"/>
      <c r="I675" s="84"/>
      <c r="J675" s="91"/>
      <c r="K675" s="85"/>
      <c r="L675" s="87"/>
      <c r="M675" s="87"/>
      <c r="N675" s="87"/>
      <c r="O675" s="87"/>
      <c r="P675" s="87"/>
      <c r="Q675" s="87"/>
    </row>
    <row r="676">
      <c r="A676" s="84"/>
      <c r="B676" s="194"/>
      <c r="C676" s="84"/>
      <c r="D676" s="88"/>
      <c r="E676" s="84"/>
      <c r="F676" s="84"/>
      <c r="G676" s="84"/>
      <c r="H676" s="84"/>
      <c r="I676" s="84"/>
      <c r="J676" s="85"/>
      <c r="K676" s="91"/>
      <c r="L676" s="87"/>
      <c r="M676" s="87"/>
      <c r="N676" s="87"/>
      <c r="O676" s="87"/>
      <c r="P676" s="87"/>
      <c r="Q676" s="87"/>
    </row>
    <row r="677">
      <c r="A677" s="84"/>
      <c r="B677" s="194"/>
      <c r="C677" s="84"/>
      <c r="D677" s="88"/>
      <c r="E677" s="84"/>
      <c r="F677" s="84"/>
      <c r="G677" s="84"/>
      <c r="I677" s="84"/>
      <c r="J677" s="85"/>
      <c r="K677" s="91"/>
      <c r="L677" s="87"/>
      <c r="M677" s="87"/>
      <c r="N677" s="87"/>
      <c r="O677" s="87"/>
      <c r="P677" s="87"/>
      <c r="Q677" s="87"/>
    </row>
    <row r="678">
      <c r="A678" s="84"/>
      <c r="B678" s="194"/>
      <c r="C678" s="84"/>
      <c r="D678" s="88"/>
      <c r="E678" s="84"/>
      <c r="F678" s="84"/>
      <c r="G678" s="84"/>
      <c r="H678" s="84"/>
      <c r="I678" s="84"/>
      <c r="J678" s="91"/>
      <c r="K678" s="84"/>
      <c r="L678" s="87"/>
      <c r="M678" s="87"/>
      <c r="N678" s="87"/>
      <c r="O678" s="87"/>
      <c r="P678" s="87"/>
      <c r="Q678" s="87"/>
    </row>
    <row r="679">
      <c r="A679" s="84"/>
      <c r="B679" s="194"/>
      <c r="C679" s="84"/>
      <c r="D679" s="88"/>
      <c r="E679" s="84"/>
      <c r="F679" s="84"/>
      <c r="G679" s="84"/>
      <c r="I679" s="84"/>
      <c r="J679" s="91"/>
      <c r="K679" s="91"/>
      <c r="L679" s="87"/>
      <c r="M679" s="87"/>
      <c r="N679" s="87"/>
      <c r="O679" s="87"/>
      <c r="P679" s="87"/>
      <c r="Q679" s="87"/>
    </row>
    <row r="680">
      <c r="A680" s="84"/>
      <c r="B680" s="194"/>
      <c r="C680" s="84"/>
      <c r="D680" s="88"/>
      <c r="E680" s="84"/>
      <c r="F680" s="84"/>
      <c r="G680" s="84"/>
      <c r="H680" s="84"/>
      <c r="I680" s="84"/>
      <c r="J680" s="91"/>
      <c r="K680" s="91"/>
      <c r="L680" s="87"/>
      <c r="M680" s="87"/>
      <c r="N680" s="87"/>
      <c r="O680" s="87"/>
      <c r="P680" s="87"/>
      <c r="Q680" s="87"/>
    </row>
    <row r="681">
      <c r="A681" s="84"/>
      <c r="B681" s="194"/>
      <c r="C681" s="84"/>
      <c r="D681" s="88"/>
      <c r="E681" s="84"/>
      <c r="F681" s="84"/>
      <c r="G681" s="84"/>
      <c r="H681" s="84"/>
      <c r="I681" s="84"/>
      <c r="J681" s="91"/>
      <c r="K681" s="84"/>
      <c r="L681" s="87"/>
      <c r="M681" s="87"/>
      <c r="N681" s="87"/>
      <c r="O681" s="87"/>
      <c r="P681" s="87"/>
      <c r="Q681" s="87"/>
    </row>
    <row r="682">
      <c r="A682" s="84"/>
      <c r="B682" s="194"/>
      <c r="C682" s="84"/>
      <c r="D682" s="88"/>
      <c r="E682" s="84"/>
      <c r="F682" s="84"/>
      <c r="G682" s="84"/>
      <c r="I682" s="84"/>
      <c r="J682" s="84"/>
      <c r="K682" s="85"/>
      <c r="L682" s="87"/>
      <c r="M682" s="87"/>
      <c r="N682" s="87"/>
      <c r="O682" s="87"/>
      <c r="P682" s="87"/>
      <c r="Q682" s="87"/>
    </row>
    <row r="683">
      <c r="A683" s="84"/>
      <c r="B683" s="194"/>
      <c r="C683" s="84"/>
      <c r="D683" s="88"/>
      <c r="E683" s="84"/>
      <c r="F683" s="84"/>
      <c r="G683" s="84"/>
      <c r="H683" s="84"/>
      <c r="I683" s="84"/>
      <c r="J683" s="85"/>
      <c r="K683" s="84"/>
      <c r="L683" s="87"/>
      <c r="M683" s="87"/>
      <c r="N683" s="87"/>
      <c r="O683" s="87"/>
      <c r="P683" s="87"/>
      <c r="Q683" s="87"/>
    </row>
    <row r="684">
      <c r="A684" s="84"/>
      <c r="B684" s="194"/>
      <c r="C684" s="84"/>
      <c r="D684" s="88"/>
      <c r="E684" s="84"/>
      <c r="F684" s="84"/>
      <c r="G684" s="84"/>
      <c r="H684" s="84"/>
      <c r="I684" s="84"/>
      <c r="J684" s="84"/>
      <c r="K684" s="85"/>
      <c r="L684" s="87"/>
      <c r="M684" s="87"/>
      <c r="N684" s="87"/>
      <c r="O684" s="87"/>
      <c r="P684" s="87"/>
      <c r="Q684" s="87"/>
    </row>
    <row r="685">
      <c r="A685" s="84"/>
      <c r="B685" s="194"/>
      <c r="C685" s="84"/>
      <c r="D685" s="88"/>
      <c r="E685" s="84"/>
      <c r="F685" s="84"/>
      <c r="G685" s="84"/>
      <c r="H685" s="84"/>
      <c r="I685" s="84"/>
      <c r="J685" s="84"/>
      <c r="K685" s="84"/>
      <c r="L685" s="87"/>
      <c r="M685" s="87"/>
      <c r="N685" s="87"/>
      <c r="O685" s="87"/>
      <c r="P685" s="87"/>
      <c r="Q685" s="87"/>
    </row>
    <row r="686">
      <c r="A686" s="84"/>
      <c r="B686" s="194"/>
      <c r="C686" s="84"/>
      <c r="D686" s="88"/>
      <c r="E686" s="84"/>
      <c r="F686" s="84"/>
      <c r="G686" s="84"/>
      <c r="H686" s="84"/>
      <c r="I686" s="84"/>
      <c r="J686" s="84"/>
      <c r="K686" s="91"/>
      <c r="L686" s="87"/>
      <c r="M686" s="87"/>
      <c r="N686" s="87"/>
      <c r="O686" s="87"/>
      <c r="P686" s="87"/>
      <c r="Q686" s="87"/>
    </row>
    <row r="687">
      <c r="A687" s="84"/>
      <c r="B687" s="194"/>
      <c r="C687" s="84"/>
      <c r="D687" s="88"/>
      <c r="E687" s="84"/>
      <c r="F687" s="84"/>
      <c r="G687" s="84"/>
      <c r="H687" s="84"/>
      <c r="I687" s="84"/>
      <c r="J687" s="91"/>
      <c r="K687" s="91"/>
      <c r="L687" s="87"/>
      <c r="M687" s="87"/>
      <c r="N687" s="87"/>
      <c r="O687" s="87"/>
      <c r="P687" s="87"/>
      <c r="Q687" s="87"/>
    </row>
    <row r="688">
      <c r="A688" s="84"/>
      <c r="B688" s="194"/>
      <c r="C688" s="84"/>
      <c r="D688" s="88"/>
      <c r="E688" s="84"/>
      <c r="F688" s="84"/>
      <c r="G688" s="84"/>
      <c r="H688" s="84"/>
      <c r="I688" s="84"/>
      <c r="J688" s="85"/>
      <c r="K688" s="85"/>
      <c r="L688" s="87"/>
      <c r="M688" s="87"/>
      <c r="N688" s="87"/>
      <c r="O688" s="87"/>
      <c r="P688" s="87"/>
      <c r="Q688" s="87"/>
    </row>
    <row r="689">
      <c r="A689" s="84"/>
      <c r="B689" s="194"/>
      <c r="C689" s="84"/>
      <c r="D689" s="88"/>
      <c r="E689" s="91"/>
      <c r="F689" s="84"/>
      <c r="G689" s="84"/>
      <c r="I689" s="84"/>
      <c r="J689" s="91"/>
      <c r="K689" s="91"/>
      <c r="L689" s="87"/>
      <c r="M689" s="87"/>
      <c r="N689" s="87"/>
      <c r="O689" s="87"/>
      <c r="P689" s="87"/>
      <c r="Q689" s="87"/>
    </row>
    <row r="690">
      <c r="A690" s="84"/>
      <c r="B690" s="194"/>
      <c r="C690" s="84"/>
      <c r="D690" s="88"/>
      <c r="E690" s="84"/>
      <c r="F690" s="84"/>
      <c r="G690" s="84"/>
      <c r="I690" s="84"/>
      <c r="J690" s="85"/>
      <c r="K690" s="85"/>
      <c r="L690" s="87"/>
      <c r="M690" s="87"/>
      <c r="N690" s="87"/>
      <c r="O690" s="87"/>
      <c r="P690" s="87"/>
      <c r="Q690" s="87"/>
    </row>
    <row r="691">
      <c r="A691" s="84"/>
      <c r="B691" s="194"/>
      <c r="C691" s="84"/>
      <c r="D691" s="88"/>
      <c r="E691" s="84"/>
      <c r="F691" s="84"/>
      <c r="G691" s="84"/>
      <c r="I691" s="84"/>
      <c r="J691" s="84"/>
      <c r="L691" s="87"/>
      <c r="M691" s="87"/>
      <c r="N691" s="87"/>
      <c r="O691" s="87"/>
      <c r="P691" s="87"/>
      <c r="Q691" s="87"/>
    </row>
    <row r="692">
      <c r="A692" s="84"/>
      <c r="B692" s="194"/>
      <c r="C692" s="84"/>
      <c r="D692" s="88"/>
      <c r="E692" s="84"/>
      <c r="F692" s="84"/>
      <c r="G692" s="84"/>
      <c r="H692" s="84"/>
      <c r="I692" s="84"/>
      <c r="J692" s="85"/>
      <c r="K692" s="84"/>
      <c r="L692" s="87"/>
      <c r="M692" s="87"/>
      <c r="N692" s="87"/>
      <c r="O692" s="87"/>
      <c r="P692" s="87"/>
      <c r="Q692" s="87"/>
    </row>
    <row r="693">
      <c r="A693" s="84"/>
      <c r="B693" s="194"/>
      <c r="C693" s="84"/>
      <c r="D693" s="88"/>
      <c r="E693" s="84"/>
      <c r="F693" s="84"/>
      <c r="G693" s="84"/>
      <c r="H693" s="84"/>
      <c r="I693" s="84"/>
      <c r="J693" s="85"/>
      <c r="K693" s="84"/>
      <c r="L693" s="87"/>
      <c r="M693" s="87"/>
      <c r="N693" s="87"/>
      <c r="O693" s="87"/>
      <c r="P693" s="87"/>
      <c r="Q693" s="87"/>
    </row>
    <row r="694">
      <c r="A694" s="84"/>
      <c r="B694" s="194"/>
      <c r="C694" s="84"/>
      <c r="D694" s="88"/>
      <c r="E694" s="84"/>
      <c r="F694" s="84"/>
      <c r="G694" s="84"/>
      <c r="H694" s="84"/>
      <c r="I694" s="84"/>
      <c r="J694" s="91"/>
      <c r="K694" s="91"/>
      <c r="L694" s="87"/>
      <c r="M694" s="87"/>
      <c r="N694" s="87"/>
      <c r="O694" s="87"/>
      <c r="P694" s="87"/>
      <c r="Q694" s="87"/>
    </row>
    <row r="695">
      <c r="A695" s="84"/>
      <c r="B695" s="194"/>
      <c r="C695" s="84"/>
      <c r="D695" s="88"/>
      <c r="E695" s="84"/>
      <c r="F695" s="84"/>
      <c r="G695" s="84"/>
      <c r="H695" s="84"/>
      <c r="I695" s="84"/>
      <c r="J695" s="85"/>
      <c r="K695" s="84"/>
      <c r="L695" s="87"/>
      <c r="M695" s="87"/>
      <c r="N695" s="87"/>
      <c r="O695" s="87"/>
      <c r="P695" s="87"/>
      <c r="Q695" s="87"/>
    </row>
    <row r="696">
      <c r="A696" s="84"/>
      <c r="B696" s="194"/>
      <c r="C696" s="84"/>
      <c r="D696" s="88"/>
      <c r="E696" s="84"/>
      <c r="F696" s="84"/>
      <c r="G696" s="84"/>
      <c r="H696" s="84"/>
      <c r="I696" s="84"/>
      <c r="J696" s="85"/>
      <c r="K696" s="91"/>
      <c r="L696" s="87"/>
      <c r="M696" s="87"/>
      <c r="N696" s="87"/>
      <c r="O696" s="87"/>
      <c r="P696" s="87"/>
      <c r="Q696" s="87"/>
    </row>
    <row r="697">
      <c r="A697" s="84"/>
      <c r="B697" s="194"/>
      <c r="C697" s="84"/>
      <c r="D697" s="88"/>
      <c r="E697" s="84"/>
      <c r="F697" s="84"/>
      <c r="G697" s="84"/>
      <c r="H697" s="84"/>
      <c r="I697" s="84"/>
      <c r="J697" s="84"/>
      <c r="K697" s="91"/>
      <c r="L697" s="87"/>
      <c r="M697" s="87"/>
      <c r="N697" s="87"/>
      <c r="O697" s="87"/>
      <c r="P697" s="87"/>
      <c r="Q697" s="87"/>
    </row>
    <row r="698">
      <c r="A698" s="84"/>
      <c r="B698" s="194"/>
      <c r="C698" s="84"/>
      <c r="D698" s="88"/>
      <c r="E698" s="84"/>
      <c r="F698" s="84"/>
      <c r="G698" s="84"/>
      <c r="H698" s="84"/>
      <c r="I698" s="84"/>
      <c r="J698" s="84"/>
      <c r="K698" s="85"/>
      <c r="L698" s="87"/>
      <c r="M698" s="87"/>
      <c r="N698" s="87"/>
      <c r="O698" s="87"/>
      <c r="P698" s="87"/>
      <c r="Q698" s="87"/>
    </row>
    <row r="699">
      <c r="A699" s="84"/>
      <c r="B699" s="194"/>
      <c r="C699" s="84"/>
      <c r="D699" s="88"/>
      <c r="E699" s="84"/>
      <c r="F699" s="84"/>
      <c r="G699" s="84"/>
      <c r="I699" s="84"/>
      <c r="J699" s="91"/>
      <c r="K699" s="85"/>
      <c r="L699" s="87"/>
      <c r="M699" s="87"/>
      <c r="N699" s="87"/>
      <c r="O699" s="87"/>
      <c r="P699" s="87"/>
      <c r="Q699" s="87"/>
    </row>
    <row r="700">
      <c r="A700" s="84"/>
      <c r="B700" s="194"/>
      <c r="C700" s="84"/>
      <c r="D700" s="88"/>
      <c r="E700" s="84"/>
      <c r="F700" s="84"/>
      <c r="G700" s="84"/>
      <c r="H700" s="84"/>
      <c r="I700" s="84"/>
      <c r="J700" s="84"/>
      <c r="K700" s="85"/>
      <c r="L700" s="87"/>
      <c r="M700" s="87"/>
      <c r="N700" s="87"/>
      <c r="O700" s="87"/>
      <c r="P700" s="87"/>
      <c r="Q700" s="87"/>
    </row>
    <row r="701">
      <c r="A701" s="84"/>
      <c r="B701" s="194"/>
      <c r="C701" s="84"/>
      <c r="D701" s="88"/>
      <c r="E701" s="84"/>
      <c r="F701" s="84"/>
      <c r="G701" s="84"/>
      <c r="H701" s="84"/>
      <c r="I701" s="84"/>
      <c r="J701" s="85"/>
      <c r="K701" s="84"/>
      <c r="L701" s="87"/>
      <c r="M701" s="87"/>
      <c r="N701" s="87"/>
      <c r="O701" s="87"/>
      <c r="P701" s="87"/>
      <c r="Q701" s="87"/>
    </row>
    <row r="702">
      <c r="A702" s="84"/>
      <c r="B702" s="194"/>
      <c r="C702" s="84"/>
      <c r="D702" s="88"/>
      <c r="E702" s="84"/>
      <c r="F702" s="84"/>
      <c r="G702" s="84"/>
      <c r="I702" s="84"/>
      <c r="J702" s="85"/>
      <c r="K702" s="91"/>
      <c r="L702" s="87"/>
      <c r="M702" s="87"/>
      <c r="N702" s="87"/>
      <c r="O702" s="87"/>
      <c r="P702" s="87"/>
      <c r="Q702" s="87"/>
    </row>
    <row r="703">
      <c r="A703" s="84"/>
      <c r="B703" s="194"/>
      <c r="C703" s="84"/>
      <c r="D703" s="88"/>
      <c r="E703" s="84"/>
      <c r="F703" s="84"/>
      <c r="G703" s="84"/>
      <c r="H703" s="84"/>
      <c r="I703" s="84"/>
      <c r="J703" s="84"/>
      <c r="K703" s="91"/>
      <c r="L703" s="87"/>
      <c r="M703" s="87"/>
      <c r="N703" s="87"/>
      <c r="O703" s="87"/>
      <c r="P703" s="87"/>
      <c r="Q703" s="87"/>
    </row>
    <row r="704">
      <c r="A704" s="84"/>
      <c r="B704" s="194"/>
      <c r="C704" s="84"/>
      <c r="D704" s="88"/>
      <c r="E704" s="84"/>
      <c r="F704" s="84"/>
      <c r="G704" s="84"/>
      <c r="H704" s="84"/>
      <c r="I704" s="84"/>
      <c r="J704" s="85"/>
      <c r="K704" s="85"/>
      <c r="L704" s="87"/>
      <c r="M704" s="87"/>
      <c r="N704" s="87"/>
      <c r="O704" s="87"/>
      <c r="P704" s="87"/>
      <c r="Q704" s="87"/>
    </row>
    <row r="705">
      <c r="A705" s="84"/>
      <c r="B705" s="194"/>
      <c r="C705" s="84"/>
      <c r="D705" s="88"/>
      <c r="E705" s="84"/>
      <c r="F705" s="84"/>
      <c r="G705" s="84"/>
      <c r="H705" s="84"/>
      <c r="I705" s="84"/>
      <c r="J705" s="84"/>
      <c r="K705" s="85"/>
      <c r="L705" s="87"/>
      <c r="M705" s="87"/>
      <c r="N705" s="87"/>
      <c r="O705" s="87"/>
      <c r="P705" s="87"/>
      <c r="Q705" s="87"/>
    </row>
    <row r="706">
      <c r="A706" s="84"/>
      <c r="B706" s="194"/>
      <c r="C706" s="84"/>
      <c r="D706" s="88"/>
      <c r="E706" s="84"/>
      <c r="F706" s="84"/>
      <c r="G706" s="84"/>
      <c r="H706" s="84"/>
      <c r="I706" s="84"/>
      <c r="J706" s="84"/>
      <c r="K706" s="91"/>
      <c r="L706" s="87"/>
      <c r="M706" s="87"/>
      <c r="N706" s="87"/>
      <c r="O706" s="87"/>
      <c r="P706" s="87"/>
      <c r="Q706" s="87"/>
    </row>
    <row r="707">
      <c r="A707" s="84"/>
      <c r="B707" s="194"/>
      <c r="C707" s="84"/>
      <c r="D707" s="88"/>
      <c r="E707" s="84"/>
      <c r="F707" s="84"/>
      <c r="G707" s="84"/>
      <c r="H707" s="84"/>
      <c r="I707" s="84"/>
      <c r="J707" s="84"/>
      <c r="K707" s="91"/>
      <c r="L707" s="87"/>
      <c r="M707" s="87"/>
      <c r="N707" s="87"/>
      <c r="O707" s="87"/>
      <c r="P707" s="87"/>
      <c r="Q707" s="87"/>
    </row>
    <row r="708">
      <c r="A708" s="84"/>
      <c r="B708" s="194"/>
      <c r="C708" s="84"/>
      <c r="D708" s="88"/>
      <c r="E708" s="84"/>
      <c r="F708" s="84"/>
      <c r="G708" s="84"/>
      <c r="H708" s="84"/>
      <c r="I708" s="84"/>
      <c r="J708" s="91"/>
      <c r="K708" s="91"/>
      <c r="L708" s="87"/>
      <c r="M708" s="87"/>
      <c r="N708" s="87"/>
      <c r="O708" s="87"/>
      <c r="P708" s="87"/>
      <c r="Q708" s="87"/>
    </row>
    <row r="709">
      <c r="A709" s="84"/>
      <c r="B709" s="194"/>
      <c r="C709" s="84"/>
      <c r="D709" s="88"/>
      <c r="E709" s="84"/>
      <c r="F709" s="84"/>
      <c r="G709" s="84"/>
      <c r="H709" s="84"/>
      <c r="I709" s="84"/>
      <c r="J709" s="91"/>
      <c r="K709" s="91"/>
      <c r="L709" s="87"/>
      <c r="M709" s="87"/>
      <c r="N709" s="87"/>
      <c r="O709" s="87"/>
      <c r="P709" s="87"/>
      <c r="Q709" s="87"/>
    </row>
    <row r="710">
      <c r="A710" s="84"/>
      <c r="B710" s="194"/>
      <c r="C710" s="84"/>
      <c r="D710" s="88"/>
      <c r="E710" s="91"/>
      <c r="F710" s="84"/>
      <c r="G710" s="84"/>
      <c r="I710" s="84"/>
      <c r="J710" s="91"/>
      <c r="K710" s="91"/>
      <c r="L710" s="87"/>
      <c r="M710" s="87"/>
      <c r="N710" s="87"/>
      <c r="O710" s="87"/>
      <c r="P710" s="87"/>
      <c r="Q710" s="87"/>
    </row>
    <row r="711">
      <c r="A711" s="84"/>
      <c r="B711" s="194"/>
      <c r="C711" s="84"/>
      <c r="D711" s="88"/>
      <c r="E711" s="84"/>
      <c r="F711" s="84"/>
      <c r="G711" s="84"/>
      <c r="I711" s="84"/>
      <c r="J711" s="84"/>
      <c r="K711" s="85"/>
      <c r="L711" s="87"/>
      <c r="M711" s="87"/>
      <c r="N711" s="87"/>
      <c r="O711" s="87"/>
      <c r="P711" s="87"/>
      <c r="Q711" s="87"/>
    </row>
    <row r="712">
      <c r="A712" s="84"/>
      <c r="B712" s="194"/>
      <c r="C712" s="84"/>
      <c r="D712" s="88"/>
      <c r="E712" s="84"/>
      <c r="F712" s="91"/>
      <c r="G712" s="84"/>
      <c r="H712" s="84"/>
      <c r="I712" s="84"/>
      <c r="J712" s="84"/>
      <c r="K712" s="85"/>
      <c r="L712" s="87"/>
      <c r="M712" s="87"/>
      <c r="N712" s="87"/>
      <c r="O712" s="87"/>
      <c r="P712" s="87"/>
      <c r="Q712" s="87"/>
    </row>
    <row r="713">
      <c r="A713" s="84"/>
      <c r="B713" s="194"/>
      <c r="C713" s="84"/>
      <c r="D713" s="88"/>
      <c r="E713" s="84"/>
      <c r="F713" s="84"/>
      <c r="G713" s="84"/>
      <c r="H713" s="84"/>
      <c r="I713" s="84"/>
      <c r="J713" s="91"/>
      <c r="K713" s="84"/>
      <c r="L713" s="87"/>
      <c r="M713" s="87"/>
      <c r="N713" s="87"/>
      <c r="O713" s="87"/>
      <c r="P713" s="87"/>
      <c r="Q713" s="87"/>
    </row>
    <row r="714">
      <c r="A714" s="84"/>
      <c r="B714" s="194"/>
      <c r="C714" s="84"/>
      <c r="D714" s="88"/>
      <c r="E714" s="91"/>
      <c r="F714" s="84"/>
      <c r="G714" s="84"/>
      <c r="I714" s="84"/>
      <c r="J714" s="91"/>
      <c r="K714" s="91"/>
      <c r="L714" s="87"/>
      <c r="M714" s="87"/>
      <c r="N714" s="87"/>
      <c r="O714" s="87"/>
      <c r="P714" s="87"/>
      <c r="Q714" s="87"/>
    </row>
    <row r="715">
      <c r="A715" s="84"/>
      <c r="B715" s="194"/>
      <c r="C715" s="84"/>
      <c r="D715" s="88"/>
      <c r="E715" s="84"/>
      <c r="F715" s="84"/>
      <c r="G715" s="84"/>
      <c r="H715" s="84"/>
      <c r="I715" s="84"/>
      <c r="J715" s="85"/>
      <c r="K715" s="85"/>
      <c r="L715" s="87"/>
      <c r="M715" s="87"/>
      <c r="N715" s="87"/>
      <c r="O715" s="87"/>
      <c r="P715" s="87"/>
      <c r="Q715" s="87"/>
    </row>
    <row r="716">
      <c r="A716" s="84"/>
      <c r="B716" s="194"/>
      <c r="C716" s="84"/>
      <c r="D716" s="88"/>
      <c r="E716" s="84"/>
      <c r="F716" s="84"/>
      <c r="G716" s="84"/>
      <c r="H716" s="84"/>
      <c r="I716" s="84"/>
      <c r="J716" s="91"/>
      <c r="K716" s="84"/>
      <c r="L716" s="87"/>
      <c r="M716" s="87"/>
      <c r="N716" s="87"/>
      <c r="O716" s="87"/>
      <c r="P716" s="87"/>
      <c r="Q716" s="87"/>
    </row>
    <row r="717">
      <c r="A717" s="84"/>
      <c r="B717" s="194"/>
      <c r="C717" s="84"/>
      <c r="D717" s="88"/>
      <c r="E717" s="84"/>
      <c r="F717" s="84"/>
      <c r="G717" s="84"/>
      <c r="H717" s="84"/>
      <c r="I717" s="84"/>
      <c r="J717" s="84"/>
      <c r="K717" s="85"/>
      <c r="L717" s="87"/>
      <c r="M717" s="87"/>
      <c r="N717" s="87"/>
      <c r="O717" s="87"/>
      <c r="P717" s="87"/>
      <c r="Q717" s="87"/>
    </row>
    <row r="718">
      <c r="A718" s="84"/>
      <c r="B718" s="193"/>
      <c r="C718" s="84"/>
      <c r="D718" s="88"/>
      <c r="E718" s="84"/>
      <c r="F718" s="84"/>
      <c r="G718" s="84"/>
      <c r="H718" s="84"/>
      <c r="I718" s="84"/>
      <c r="J718" s="84"/>
      <c r="K718" s="84"/>
      <c r="L718" s="87"/>
      <c r="M718" s="87"/>
      <c r="N718" s="87"/>
      <c r="O718" s="87"/>
      <c r="P718" s="87"/>
      <c r="Q718" s="87"/>
    </row>
    <row r="719">
      <c r="A719" s="84"/>
      <c r="B719" s="194"/>
      <c r="C719" s="84"/>
      <c r="D719" s="88"/>
      <c r="E719" s="84"/>
      <c r="F719" s="84"/>
      <c r="G719" s="84"/>
      <c r="H719" s="84"/>
      <c r="I719" s="84"/>
      <c r="J719" s="84"/>
      <c r="K719" s="84"/>
      <c r="L719" s="87"/>
      <c r="M719" s="87"/>
      <c r="N719" s="87"/>
      <c r="O719" s="87"/>
      <c r="P719" s="87"/>
      <c r="Q719" s="87"/>
    </row>
    <row r="720">
      <c r="A720" s="84"/>
      <c r="B720" s="194"/>
      <c r="C720" s="84"/>
      <c r="D720" s="88"/>
      <c r="E720" s="84"/>
      <c r="F720" s="84"/>
      <c r="G720" s="84"/>
      <c r="H720" s="84"/>
      <c r="I720" s="84"/>
      <c r="J720" s="84"/>
      <c r="K720" s="91"/>
      <c r="L720" s="87"/>
      <c r="M720" s="87"/>
      <c r="N720" s="87"/>
      <c r="O720" s="87"/>
      <c r="P720" s="87"/>
      <c r="Q720" s="87"/>
    </row>
    <row r="721">
      <c r="A721" s="91"/>
      <c r="B721" s="194"/>
      <c r="C721" s="84" t="s">
        <v>547</v>
      </c>
      <c r="D721" s="88" t="s">
        <v>1396</v>
      </c>
      <c r="E721" s="84" t="s">
        <v>3683</v>
      </c>
      <c r="F721" s="84" t="s">
        <v>548</v>
      </c>
      <c r="G721" s="84" t="s">
        <v>3556</v>
      </c>
      <c r="H721" s="84" t="s">
        <v>3521</v>
      </c>
      <c r="I721" s="84" t="s">
        <v>3693</v>
      </c>
      <c r="J721" s="84" t="s">
        <v>130</v>
      </c>
      <c r="K721" s="84" t="s">
        <v>111</v>
      </c>
      <c r="L721" s="87">
        <v>768.0</v>
      </c>
      <c r="M721" s="87">
        <v>0.0</v>
      </c>
      <c r="N721" s="87">
        <v>0.0</v>
      </c>
      <c r="O721" s="87">
        <v>0.0</v>
      </c>
      <c r="P721" s="87">
        <v>0.0</v>
      </c>
      <c r="Q721" s="87">
        <v>0.0</v>
      </c>
    </row>
    <row r="722">
      <c r="A722" s="84" t="s">
        <v>644</v>
      </c>
      <c r="B722" s="194"/>
      <c r="C722" s="84" t="s">
        <v>718</v>
      </c>
      <c r="D722" s="88" t="s">
        <v>1396</v>
      </c>
      <c r="E722" s="84" t="s">
        <v>3683</v>
      </c>
      <c r="F722" s="84" t="s">
        <v>719</v>
      </c>
      <c r="G722" s="84" t="s">
        <v>3607</v>
      </c>
      <c r="H722" s="84" t="s">
        <v>3521</v>
      </c>
      <c r="I722" s="84" t="s">
        <v>3684</v>
      </c>
      <c r="J722" s="84" t="s">
        <v>215</v>
      </c>
      <c r="K722" s="84" t="s">
        <v>111</v>
      </c>
      <c r="L722" s="87">
        <v>72.0</v>
      </c>
      <c r="M722" s="87">
        <v>0.0</v>
      </c>
      <c r="N722" s="87">
        <v>0.392857</v>
      </c>
      <c r="O722" s="87">
        <v>0.0</v>
      </c>
      <c r="P722" s="87">
        <v>0.066667</v>
      </c>
      <c r="Q722" s="87">
        <v>0.42619</v>
      </c>
    </row>
    <row r="723">
      <c r="A723" s="84" t="s">
        <v>439</v>
      </c>
      <c r="B723" s="194"/>
      <c r="C723" s="84" t="s">
        <v>3660</v>
      </c>
      <c r="D723" s="88" t="s">
        <v>1396</v>
      </c>
      <c r="E723" s="84" t="s">
        <v>3683</v>
      </c>
      <c r="F723" s="84" t="s">
        <v>860</v>
      </c>
      <c r="G723" s="84" t="s">
        <v>3553</v>
      </c>
      <c r="I723" s="84" t="s">
        <v>3709</v>
      </c>
      <c r="J723" s="91"/>
      <c r="K723" s="85"/>
      <c r="L723" s="87">
        <v>10.0</v>
      </c>
      <c r="M723" s="87">
        <v>2.0</v>
      </c>
      <c r="N723" s="87">
        <v>0.775225</v>
      </c>
      <c r="O723" s="87">
        <v>1.627373</v>
      </c>
      <c r="P723" s="87">
        <v>2.137216</v>
      </c>
      <c r="Q723" s="87">
        <v>1.70992</v>
      </c>
    </row>
    <row r="724">
      <c r="A724" s="84" t="s">
        <v>630</v>
      </c>
      <c r="B724" s="194"/>
      <c r="C724" s="84" t="s">
        <v>1277</v>
      </c>
      <c r="D724" s="88" t="s">
        <v>1396</v>
      </c>
      <c r="E724" s="91"/>
      <c r="F724" s="84" t="s">
        <v>1108</v>
      </c>
      <c r="G724" s="84" t="s">
        <v>3554</v>
      </c>
      <c r="I724" s="84" t="s">
        <v>3684</v>
      </c>
      <c r="J724" s="91"/>
      <c r="K724" s="85"/>
      <c r="L724" s="87">
        <v>432.0</v>
      </c>
      <c r="M724" s="87">
        <v>0.0</v>
      </c>
      <c r="N724" s="87">
        <v>0.0</v>
      </c>
      <c r="O724" s="87">
        <v>0.0</v>
      </c>
      <c r="P724" s="87">
        <v>0.0</v>
      </c>
      <c r="Q724" s="87">
        <v>0.0</v>
      </c>
    </row>
    <row r="725">
      <c r="A725" s="84" t="s">
        <v>481</v>
      </c>
      <c r="B725" s="194"/>
      <c r="C725" s="84" t="s">
        <v>523</v>
      </c>
      <c r="D725" s="88" t="s">
        <v>1396</v>
      </c>
      <c r="E725" s="84" t="s">
        <v>3683</v>
      </c>
      <c r="F725" s="84" t="s">
        <v>516</v>
      </c>
      <c r="G725" s="84" t="s">
        <v>3593</v>
      </c>
      <c r="H725" s="84" t="s">
        <v>3521</v>
      </c>
      <c r="I725" s="84" t="s">
        <v>3684</v>
      </c>
      <c r="J725" s="84" t="s">
        <v>130</v>
      </c>
      <c r="K725" s="91"/>
      <c r="L725" s="87">
        <v>24.0</v>
      </c>
      <c r="M725" s="87">
        <v>0.0</v>
      </c>
      <c r="N725" s="87">
        <v>0.0</v>
      </c>
      <c r="O725" s="87">
        <v>0.0</v>
      </c>
      <c r="P725" s="87">
        <v>0.0</v>
      </c>
      <c r="Q725" s="87">
        <v>0.0</v>
      </c>
    </row>
    <row r="726">
      <c r="A726" s="84" t="s">
        <v>439</v>
      </c>
      <c r="B726" s="194"/>
      <c r="C726" s="84" t="s">
        <v>3655</v>
      </c>
      <c r="D726" s="88" t="s">
        <v>1396</v>
      </c>
      <c r="E726" s="84" t="s">
        <v>3683</v>
      </c>
      <c r="F726" s="84" t="s">
        <v>3714</v>
      </c>
      <c r="G726" s="84" t="s">
        <v>3715</v>
      </c>
      <c r="H726" s="84" t="s">
        <v>3527</v>
      </c>
      <c r="I726" s="84" t="s">
        <v>3684</v>
      </c>
      <c r="J726" s="91"/>
      <c r="K726" s="84" t="s">
        <v>111</v>
      </c>
      <c r="L726" s="87">
        <v>96.0</v>
      </c>
      <c r="M726" s="87">
        <v>0.0</v>
      </c>
      <c r="N726" s="87">
        <v>0.0</v>
      </c>
      <c r="O726" s="87">
        <v>0.0</v>
      </c>
      <c r="P726" s="87">
        <v>0.0</v>
      </c>
      <c r="Q726" s="87">
        <v>0.0</v>
      </c>
    </row>
    <row r="727">
      <c r="A727" s="84" t="s">
        <v>644</v>
      </c>
      <c r="B727" s="194"/>
      <c r="C727" s="84" t="s">
        <v>693</v>
      </c>
      <c r="D727" s="88" t="s">
        <v>1396</v>
      </c>
      <c r="E727" s="84" t="s">
        <v>3683</v>
      </c>
      <c r="F727" s="84" t="s">
        <v>686</v>
      </c>
      <c r="G727" s="84" t="s">
        <v>3607</v>
      </c>
      <c r="H727" s="84" t="s">
        <v>3521</v>
      </c>
      <c r="I727" s="84" t="s">
        <v>3684</v>
      </c>
      <c r="J727" s="84" t="s">
        <v>130</v>
      </c>
      <c r="K727" s="85"/>
      <c r="L727" s="87">
        <v>24.0</v>
      </c>
      <c r="M727" s="87">
        <v>0.0</v>
      </c>
      <c r="N727" s="87">
        <v>0.0</v>
      </c>
      <c r="O727" s="87">
        <v>0.0</v>
      </c>
      <c r="P727" s="87">
        <v>0.0</v>
      </c>
      <c r="Q727" s="87">
        <v>0.0</v>
      </c>
    </row>
    <row r="728">
      <c r="A728" s="84" t="s">
        <v>481</v>
      </c>
      <c r="B728" s="194"/>
      <c r="C728" s="84" t="s">
        <v>1002</v>
      </c>
      <c r="D728" s="88" t="s">
        <v>1396</v>
      </c>
      <c r="E728" s="84" t="s">
        <v>3683</v>
      </c>
      <c r="F728" s="84" t="s">
        <v>989</v>
      </c>
      <c r="G728" s="84" t="s">
        <v>3585</v>
      </c>
      <c r="H728" s="84" t="s">
        <v>3521</v>
      </c>
      <c r="I728" s="84" t="s">
        <v>3684</v>
      </c>
      <c r="J728" s="84" t="s">
        <v>130</v>
      </c>
      <c r="K728" s="91"/>
      <c r="L728" s="87">
        <v>24.0</v>
      </c>
      <c r="M728" s="87">
        <v>0.0</v>
      </c>
      <c r="N728" s="87">
        <v>0.0</v>
      </c>
      <c r="O728" s="87">
        <v>0.0</v>
      </c>
      <c r="P728" s="87">
        <v>0.0</v>
      </c>
      <c r="Q728" s="87">
        <v>0.0</v>
      </c>
    </row>
    <row r="729">
      <c r="A729" s="84" t="s">
        <v>481</v>
      </c>
      <c r="B729" s="194"/>
      <c r="C729" s="84" t="s">
        <v>984</v>
      </c>
      <c r="D729" s="88" t="s">
        <v>1396</v>
      </c>
      <c r="E729" s="84" t="s">
        <v>3687</v>
      </c>
      <c r="F729" s="84" t="s">
        <v>985</v>
      </c>
      <c r="G729" s="84" t="s">
        <v>3585</v>
      </c>
      <c r="H729" s="84" t="s">
        <v>3521</v>
      </c>
      <c r="I729" s="84" t="s">
        <v>3684</v>
      </c>
      <c r="J729" s="91"/>
      <c r="K729" s="85"/>
      <c r="L729" s="87">
        <v>31.0</v>
      </c>
      <c r="M729" s="87">
        <v>2.0</v>
      </c>
      <c r="N729" s="87">
        <v>0.0</v>
      </c>
      <c r="O729" s="87">
        <v>1.791209</v>
      </c>
      <c r="P729" s="87">
        <v>1.945889</v>
      </c>
      <c r="Q729" s="87">
        <v>2.024609</v>
      </c>
    </row>
    <row r="730">
      <c r="A730" s="84" t="s">
        <v>745</v>
      </c>
      <c r="B730" s="194"/>
      <c r="C730" s="84" t="s">
        <v>743</v>
      </c>
      <c r="D730" s="88" t="s">
        <v>1396</v>
      </c>
      <c r="E730" s="84" t="s">
        <v>3683</v>
      </c>
      <c r="F730" s="84" t="s">
        <v>744</v>
      </c>
      <c r="G730" s="84" t="s">
        <v>3841</v>
      </c>
      <c r="I730" s="84" t="s">
        <v>3684</v>
      </c>
      <c r="J730" s="85"/>
      <c r="K730" s="91"/>
      <c r="L730" s="87">
        <v>120.0</v>
      </c>
      <c r="M730" s="87">
        <v>0.0</v>
      </c>
      <c r="N730" s="87">
        <v>0.0</v>
      </c>
      <c r="O730" s="87">
        <v>0.0</v>
      </c>
      <c r="P730" s="87">
        <v>0.0</v>
      </c>
      <c r="Q730" s="87">
        <v>0.0</v>
      </c>
    </row>
    <row r="731">
      <c r="A731" s="84" t="s">
        <v>258</v>
      </c>
      <c r="B731" s="194"/>
      <c r="C731" s="84" t="s">
        <v>887</v>
      </c>
      <c r="D731" s="88" t="s">
        <v>1396</v>
      </c>
      <c r="E731" s="84" t="s">
        <v>3687</v>
      </c>
      <c r="F731" s="84" t="s">
        <v>884</v>
      </c>
      <c r="G731" s="84" t="s">
        <v>3558</v>
      </c>
      <c r="H731" s="84" t="s">
        <v>3521</v>
      </c>
      <c r="I731" s="84" t="s">
        <v>3684</v>
      </c>
      <c r="J731" s="84" t="s">
        <v>89</v>
      </c>
      <c r="K731" s="85"/>
      <c r="L731" s="87">
        <v>96.0</v>
      </c>
      <c r="M731" s="87">
        <v>0.0</v>
      </c>
      <c r="N731" s="87">
        <v>0.114379</v>
      </c>
      <c r="O731" s="87">
        <v>0.928571</v>
      </c>
      <c r="P731" s="87">
        <v>0.517827</v>
      </c>
      <c r="Q731" s="87">
        <v>0.433074</v>
      </c>
    </row>
    <row r="732">
      <c r="A732" s="84" t="s">
        <v>363</v>
      </c>
      <c r="B732" s="194"/>
      <c r="C732" s="84" t="s">
        <v>380</v>
      </c>
      <c r="D732" s="88" t="s">
        <v>1396</v>
      </c>
      <c r="E732" s="84" t="s">
        <v>3683</v>
      </c>
      <c r="F732" s="84" t="s">
        <v>376</v>
      </c>
      <c r="G732" s="84" t="s">
        <v>3568</v>
      </c>
      <c r="H732" s="84" t="s">
        <v>3527</v>
      </c>
      <c r="I732" s="84" t="s">
        <v>3709</v>
      </c>
      <c r="J732" s="85"/>
      <c r="K732" s="91"/>
      <c r="L732" s="87">
        <v>552.0</v>
      </c>
      <c r="M732" s="87">
        <v>0.0</v>
      </c>
      <c r="N732" s="87">
        <v>0.0</v>
      </c>
      <c r="O732" s="87">
        <v>0.0</v>
      </c>
      <c r="P732" s="87">
        <v>0.0</v>
      </c>
      <c r="Q732" s="87">
        <v>0.0</v>
      </c>
    </row>
    <row r="733">
      <c r="A733" s="84" t="s">
        <v>393</v>
      </c>
      <c r="B733" s="194"/>
      <c r="C733" s="84" t="s">
        <v>432</v>
      </c>
      <c r="D733" s="88" t="s">
        <v>1396</v>
      </c>
      <c r="E733" s="84" t="s">
        <v>3687</v>
      </c>
      <c r="F733" s="84" t="s">
        <v>431</v>
      </c>
      <c r="G733" s="84" t="s">
        <v>4114</v>
      </c>
      <c r="H733" s="84" t="s">
        <v>3521</v>
      </c>
      <c r="I733" s="84" t="s">
        <v>3693</v>
      </c>
      <c r="J733" s="85"/>
      <c r="K733" s="84" t="s">
        <v>111</v>
      </c>
      <c r="L733" s="87">
        <v>48.0</v>
      </c>
      <c r="M733" s="87">
        <v>0.0</v>
      </c>
      <c r="N733" s="87">
        <v>0.0</v>
      </c>
      <c r="O733" s="87">
        <v>0.071429</v>
      </c>
      <c r="P733" s="87">
        <v>0.033333</v>
      </c>
      <c r="Q733" s="87">
        <v>0.016667</v>
      </c>
    </row>
    <row r="734">
      <c r="A734" s="84" t="s">
        <v>568</v>
      </c>
      <c r="B734" s="193"/>
      <c r="C734" s="84" t="s">
        <v>1054</v>
      </c>
      <c r="D734" s="88" t="s">
        <v>1396</v>
      </c>
      <c r="E734" s="84" t="s">
        <v>3687</v>
      </c>
      <c r="F734" s="91"/>
      <c r="G734" s="84" t="s">
        <v>3558</v>
      </c>
      <c r="H734" s="84" t="s">
        <v>3521</v>
      </c>
      <c r="I734" s="84" t="s">
        <v>3684</v>
      </c>
      <c r="J734" s="84" t="s">
        <v>89</v>
      </c>
      <c r="K734" s="85"/>
      <c r="L734" s="87">
        <v>24.0</v>
      </c>
      <c r="M734" s="87">
        <v>1.0</v>
      </c>
      <c r="N734" s="87">
        <v>0.0</v>
      </c>
      <c r="O734" s="87">
        <v>0.714286</v>
      </c>
      <c r="P734" s="87">
        <v>0.606979</v>
      </c>
      <c r="Q734" s="87">
        <v>0.453439</v>
      </c>
    </row>
    <row r="735">
      <c r="A735" s="84" t="s">
        <v>444</v>
      </c>
      <c r="B735" s="194"/>
      <c r="C735" s="84" t="s">
        <v>952</v>
      </c>
      <c r="D735" s="88" t="s">
        <v>1396</v>
      </c>
      <c r="E735" s="84" t="s">
        <v>3683</v>
      </c>
      <c r="F735" s="84" t="s">
        <v>953</v>
      </c>
      <c r="G735" s="84" t="s">
        <v>3578</v>
      </c>
      <c r="H735" s="84" t="s">
        <v>3521</v>
      </c>
      <c r="I735" s="84" t="s">
        <v>3684</v>
      </c>
      <c r="J735" s="91"/>
      <c r="K735" s="84" t="s">
        <v>111</v>
      </c>
      <c r="L735" s="87">
        <v>264.0</v>
      </c>
      <c r="M735" s="87">
        <v>0.0</v>
      </c>
      <c r="N735" s="87">
        <v>0.0</v>
      </c>
      <c r="O735" s="87">
        <v>0.0</v>
      </c>
      <c r="P735" s="87">
        <v>0.0</v>
      </c>
      <c r="Q735" s="87">
        <v>0.0</v>
      </c>
    </row>
    <row r="736">
      <c r="A736" s="84" t="s">
        <v>1130</v>
      </c>
      <c r="B736" s="194"/>
      <c r="C736" s="84" t="s">
        <v>1157</v>
      </c>
      <c r="D736" s="88" t="s">
        <v>1396</v>
      </c>
      <c r="E736" s="84" t="s">
        <v>3683</v>
      </c>
      <c r="F736" s="84" t="s">
        <v>1142</v>
      </c>
      <c r="G736" s="84" t="s">
        <v>3605</v>
      </c>
      <c r="H736" s="84" t="s">
        <v>3521</v>
      </c>
      <c r="I736" s="84" t="s">
        <v>3684</v>
      </c>
      <c r="J736" s="84" t="s">
        <v>130</v>
      </c>
      <c r="K736" s="84" t="s">
        <v>111</v>
      </c>
      <c r="L736" s="87">
        <v>336.0</v>
      </c>
      <c r="M736" s="87">
        <v>0.0</v>
      </c>
      <c r="N736" s="87">
        <v>0.0</v>
      </c>
      <c r="O736" s="87">
        <v>0.0</v>
      </c>
      <c r="P736" s="87">
        <v>0.0</v>
      </c>
      <c r="Q736" s="87">
        <v>0.0</v>
      </c>
    </row>
    <row r="737">
      <c r="A737" s="84" t="s">
        <v>601</v>
      </c>
      <c r="B737" s="194"/>
      <c r="C737" s="84" t="s">
        <v>1066</v>
      </c>
      <c r="D737" s="88" t="s">
        <v>1396</v>
      </c>
      <c r="E737" s="84" t="s">
        <v>3745</v>
      </c>
      <c r="F737" s="84" t="s">
        <v>340</v>
      </c>
      <c r="G737" s="84" t="s">
        <v>3595</v>
      </c>
      <c r="H737" s="84" t="s">
        <v>3521</v>
      </c>
      <c r="I737" s="84" t="s">
        <v>3684</v>
      </c>
      <c r="J737" s="84" t="s">
        <v>130</v>
      </c>
      <c r="K737" s="91"/>
      <c r="L737" s="87">
        <v>48.0</v>
      </c>
      <c r="M737" s="87">
        <v>0.0</v>
      </c>
      <c r="N737" s="87">
        <v>0.3</v>
      </c>
      <c r="O737" s="87">
        <v>0.0</v>
      </c>
      <c r="P737" s="87">
        <v>0.033333</v>
      </c>
      <c r="Q737" s="87">
        <v>0.322727</v>
      </c>
    </row>
    <row r="738">
      <c r="A738" s="84" t="s">
        <v>644</v>
      </c>
      <c r="B738" s="194"/>
      <c r="C738" s="84" t="s">
        <v>680</v>
      </c>
      <c r="D738" s="88" t="s">
        <v>1396</v>
      </c>
      <c r="E738" s="84" t="s">
        <v>3683</v>
      </c>
      <c r="F738" s="84" t="s">
        <v>678</v>
      </c>
      <c r="G738" s="84" t="s">
        <v>3944</v>
      </c>
      <c r="H738" s="84" t="s">
        <v>3521</v>
      </c>
      <c r="I738" s="84" t="s">
        <v>3684</v>
      </c>
      <c r="J738" s="85"/>
      <c r="K738" s="91"/>
      <c r="L738" s="87">
        <v>384.0</v>
      </c>
      <c r="M738" s="87">
        <v>0.0</v>
      </c>
      <c r="N738" s="87">
        <v>2.799809</v>
      </c>
      <c r="O738" s="87">
        <v>1.785714</v>
      </c>
      <c r="P738" s="87">
        <v>3.389692</v>
      </c>
      <c r="Q738" s="87">
        <v>2.829272</v>
      </c>
    </row>
    <row r="739">
      <c r="A739" s="84" t="s">
        <v>644</v>
      </c>
      <c r="B739" s="194"/>
      <c r="C739" s="84" t="s">
        <v>1183</v>
      </c>
      <c r="D739" s="88" t="s">
        <v>1396</v>
      </c>
      <c r="E739" s="84" t="s">
        <v>3683</v>
      </c>
      <c r="F739" s="84" t="s">
        <v>686</v>
      </c>
      <c r="G739" s="84" t="s">
        <v>3600</v>
      </c>
      <c r="H739" s="84" t="s">
        <v>3521</v>
      </c>
      <c r="I739" s="84" t="s">
        <v>3684</v>
      </c>
      <c r="J739" s="84" t="s">
        <v>130</v>
      </c>
      <c r="K739" s="91"/>
      <c r="L739" s="87">
        <v>672.0</v>
      </c>
      <c r="M739" s="87">
        <v>0.0</v>
      </c>
      <c r="N739" s="87">
        <v>8.673851</v>
      </c>
      <c r="O739" s="87">
        <v>1.838828</v>
      </c>
      <c r="P739" s="87">
        <v>7.094276</v>
      </c>
      <c r="Q739" s="87">
        <v>8.810932</v>
      </c>
    </row>
    <row r="740">
      <c r="A740" s="84" t="s">
        <v>644</v>
      </c>
      <c r="B740" s="194"/>
      <c r="C740" s="84" t="s">
        <v>728</v>
      </c>
      <c r="D740" s="88" t="s">
        <v>1396</v>
      </c>
      <c r="E740" s="84" t="s">
        <v>3683</v>
      </c>
      <c r="F740" s="84" t="s">
        <v>729</v>
      </c>
      <c r="G740" s="84" t="s">
        <v>3752</v>
      </c>
      <c r="H740" s="84" t="s">
        <v>3521</v>
      </c>
      <c r="I740" s="84" t="s">
        <v>3684</v>
      </c>
      <c r="J740" s="84" t="s">
        <v>130</v>
      </c>
      <c r="K740" s="91"/>
      <c r="L740" s="87">
        <v>24.0</v>
      </c>
      <c r="M740" s="87">
        <v>0.0</v>
      </c>
      <c r="N740" s="87">
        <v>0.0</v>
      </c>
      <c r="O740" s="87">
        <v>0.0</v>
      </c>
      <c r="P740" s="87">
        <v>0.0</v>
      </c>
      <c r="Q740" s="87">
        <v>0.0</v>
      </c>
    </row>
    <row r="741">
      <c r="A741" s="84" t="s">
        <v>481</v>
      </c>
      <c r="B741" s="194"/>
      <c r="C741" s="84" t="s">
        <v>1000</v>
      </c>
      <c r="D741" s="88" t="s">
        <v>1396</v>
      </c>
      <c r="E741" s="84" t="s">
        <v>3683</v>
      </c>
      <c r="F741" s="84" t="s">
        <v>989</v>
      </c>
      <c r="G741" s="84" t="s">
        <v>3585</v>
      </c>
      <c r="H741" s="84" t="s">
        <v>3521</v>
      </c>
      <c r="I741" s="84" t="s">
        <v>3684</v>
      </c>
      <c r="J741" s="84" t="s">
        <v>130</v>
      </c>
      <c r="K741" s="91"/>
      <c r="L741" s="87">
        <v>24.0</v>
      </c>
      <c r="M741" s="87">
        <v>0.0</v>
      </c>
      <c r="N741" s="87">
        <v>0.0</v>
      </c>
      <c r="O741" s="87">
        <v>0.0</v>
      </c>
      <c r="P741" s="87">
        <v>0.0</v>
      </c>
      <c r="Q741" s="87">
        <v>0.0</v>
      </c>
    </row>
    <row r="742">
      <c r="A742" s="84" t="s">
        <v>472</v>
      </c>
      <c r="B742" s="194"/>
      <c r="C742" s="84" t="s">
        <v>501</v>
      </c>
      <c r="D742" s="88" t="s">
        <v>1396</v>
      </c>
      <c r="E742" s="84" t="s">
        <v>3683</v>
      </c>
      <c r="F742" s="84" t="s">
        <v>502</v>
      </c>
      <c r="G742" s="84" t="s">
        <v>3827</v>
      </c>
      <c r="H742" s="84" t="s">
        <v>3507</v>
      </c>
      <c r="I742" s="84" t="s">
        <v>3684</v>
      </c>
      <c r="J742" s="85"/>
      <c r="K742" s="85"/>
      <c r="L742" s="87">
        <v>30.0</v>
      </c>
      <c r="M742" s="87">
        <v>12.0</v>
      </c>
      <c r="N742" s="87">
        <v>0.503247</v>
      </c>
      <c r="O742" s="87">
        <v>17.60357</v>
      </c>
      <c r="P742" s="87">
        <v>16.4826</v>
      </c>
      <c r="Q742" s="87">
        <v>14.38554</v>
      </c>
    </row>
    <row r="743">
      <c r="A743" s="84" t="s">
        <v>481</v>
      </c>
      <c r="B743" s="194"/>
      <c r="C743" s="84" t="s">
        <v>497</v>
      </c>
      <c r="D743" s="88" t="s">
        <v>1396</v>
      </c>
      <c r="E743" s="84" t="s">
        <v>3683</v>
      </c>
      <c r="F743" s="84" t="s">
        <v>491</v>
      </c>
      <c r="G743" s="84" t="s">
        <v>3560</v>
      </c>
      <c r="H743" s="84" t="s">
        <v>3521</v>
      </c>
      <c r="I743" s="84" t="s">
        <v>3684</v>
      </c>
      <c r="J743" s="85"/>
      <c r="K743" s="85"/>
      <c r="L743" s="87">
        <v>17.0</v>
      </c>
      <c r="M743" s="87">
        <v>3.0</v>
      </c>
      <c r="N743" s="87">
        <v>0.071429</v>
      </c>
      <c r="O743" s="87">
        <v>2.0</v>
      </c>
      <c r="P743" s="87">
        <v>2.183374</v>
      </c>
      <c r="Q743" s="87">
        <v>1.978548</v>
      </c>
    </row>
    <row r="744">
      <c r="A744" s="84" t="s">
        <v>644</v>
      </c>
      <c r="B744" s="194"/>
      <c r="C744" s="84" t="s">
        <v>1249</v>
      </c>
      <c r="D744" s="88" t="s">
        <v>1396</v>
      </c>
      <c r="E744" s="84" t="s">
        <v>3683</v>
      </c>
      <c r="F744" s="84" t="s">
        <v>706</v>
      </c>
      <c r="G744" s="84" t="s">
        <v>3547</v>
      </c>
      <c r="H744" s="84" t="s">
        <v>3521</v>
      </c>
      <c r="I744" s="84" t="s">
        <v>3684</v>
      </c>
      <c r="J744" s="84" t="s">
        <v>130</v>
      </c>
      <c r="K744" s="91"/>
      <c r="L744" s="87">
        <v>24.0</v>
      </c>
      <c r="M744" s="87">
        <v>0.0</v>
      </c>
      <c r="N744" s="87">
        <v>0.0</v>
      </c>
      <c r="O744" s="87">
        <v>0.0</v>
      </c>
      <c r="P744" s="87">
        <v>0.0</v>
      </c>
      <c r="Q744" s="87">
        <v>0.0</v>
      </c>
    </row>
    <row r="745">
      <c r="A745" s="84" t="s">
        <v>481</v>
      </c>
      <c r="B745" s="194"/>
      <c r="C745" s="84" t="s">
        <v>490</v>
      </c>
      <c r="D745" s="88" t="s">
        <v>1396</v>
      </c>
      <c r="E745" s="84" t="s">
        <v>3683</v>
      </c>
      <c r="F745" s="84" t="s">
        <v>491</v>
      </c>
      <c r="G745" s="84" t="s">
        <v>3560</v>
      </c>
      <c r="H745" s="84" t="s">
        <v>3521</v>
      </c>
      <c r="I745" s="84" t="s">
        <v>3684</v>
      </c>
      <c r="J745" s="91"/>
      <c r="K745" s="85"/>
      <c r="L745" s="87">
        <v>456.0</v>
      </c>
      <c r="M745" s="87">
        <v>0.0</v>
      </c>
      <c r="N745" s="87">
        <v>0.847806</v>
      </c>
      <c r="O745" s="87">
        <v>1.166667</v>
      </c>
      <c r="P745" s="87">
        <v>0.975707</v>
      </c>
      <c r="Q745" s="87">
        <v>0.697233</v>
      </c>
    </row>
    <row r="746">
      <c r="A746" s="84" t="s">
        <v>439</v>
      </c>
      <c r="B746" s="194"/>
      <c r="C746" s="84" t="s">
        <v>1301</v>
      </c>
      <c r="D746" s="88" t="s">
        <v>1396</v>
      </c>
      <c r="E746" s="84" t="s">
        <v>3687</v>
      </c>
      <c r="F746" s="84" t="s">
        <v>938</v>
      </c>
      <c r="G746" s="84" t="s">
        <v>3859</v>
      </c>
      <c r="I746" s="84" t="s">
        <v>3709</v>
      </c>
      <c r="J746" s="84" t="s">
        <v>130</v>
      </c>
      <c r="K746" s="91"/>
      <c r="L746" s="87">
        <v>48.0</v>
      </c>
      <c r="M746" s="87">
        <v>0.0</v>
      </c>
      <c r="N746" s="87">
        <v>0.0</v>
      </c>
      <c r="O746" s="87">
        <v>0.0</v>
      </c>
      <c r="P746" s="87">
        <v>0.0</v>
      </c>
      <c r="Q746" s="87">
        <v>0.0</v>
      </c>
    </row>
    <row r="747">
      <c r="A747" s="84" t="s">
        <v>644</v>
      </c>
      <c r="B747" s="194"/>
      <c r="C747" s="84" t="s">
        <v>727</v>
      </c>
      <c r="D747" s="88" t="s">
        <v>1396</v>
      </c>
      <c r="E747" s="84" t="s">
        <v>3687</v>
      </c>
      <c r="F747" s="84" t="s">
        <v>3751</v>
      </c>
      <c r="G747" s="84" t="s">
        <v>3752</v>
      </c>
      <c r="I747" s="84" t="s">
        <v>3684</v>
      </c>
      <c r="J747" s="91"/>
      <c r="K747" s="91"/>
      <c r="L747" s="87">
        <v>24.0</v>
      </c>
      <c r="M747" s="87">
        <v>0.0</v>
      </c>
      <c r="N747" s="87">
        <v>0.0</v>
      </c>
      <c r="O747" s="87">
        <v>0.0</v>
      </c>
      <c r="P747" s="87">
        <v>0.0</v>
      </c>
      <c r="Q747" s="87">
        <v>0.0</v>
      </c>
    </row>
    <row r="748">
      <c r="A748" s="84" t="s">
        <v>444</v>
      </c>
      <c r="B748" s="194"/>
      <c r="C748" s="84" t="s">
        <v>442</v>
      </c>
      <c r="D748" s="88" t="s">
        <v>1396</v>
      </c>
      <c r="E748" s="84" t="s">
        <v>3683</v>
      </c>
      <c r="F748" s="84" t="s">
        <v>443</v>
      </c>
      <c r="G748" s="84" t="s">
        <v>3580</v>
      </c>
      <c r="H748" s="84" t="s">
        <v>3521</v>
      </c>
      <c r="I748" s="84" t="s">
        <v>3684</v>
      </c>
      <c r="J748" s="84" t="s">
        <v>130</v>
      </c>
      <c r="K748" s="85"/>
      <c r="L748" s="87">
        <v>48.0</v>
      </c>
      <c r="M748" s="87">
        <v>0.0</v>
      </c>
      <c r="N748" s="87">
        <v>0.05</v>
      </c>
      <c r="O748" s="87">
        <v>0.0</v>
      </c>
      <c r="P748" s="87">
        <v>0.0</v>
      </c>
      <c r="Q748" s="87">
        <v>0.05</v>
      </c>
    </row>
    <row r="749">
      <c r="A749" s="84" t="s">
        <v>139</v>
      </c>
      <c r="B749" s="194"/>
      <c r="C749" s="84" t="s">
        <v>782</v>
      </c>
      <c r="D749" s="88" t="s">
        <v>1396</v>
      </c>
      <c r="E749" s="84" t="s">
        <v>3687</v>
      </c>
      <c r="F749" s="84" t="s">
        <v>783</v>
      </c>
      <c r="G749" s="84" t="s">
        <v>4191</v>
      </c>
      <c r="H749" s="84" t="s">
        <v>3513</v>
      </c>
      <c r="I749" s="84" t="s">
        <v>3709</v>
      </c>
      <c r="J749" s="85"/>
      <c r="K749" s="91"/>
      <c r="L749" s="87">
        <v>90.0</v>
      </c>
      <c r="M749" s="87">
        <v>3.0</v>
      </c>
      <c r="N749" s="87">
        <v>0.410819</v>
      </c>
      <c r="O749" s="87">
        <v>1.166667</v>
      </c>
      <c r="P749" s="87">
        <v>0.617296</v>
      </c>
      <c r="Q749" s="87">
        <v>0.541106</v>
      </c>
    </row>
    <row r="750">
      <c r="A750" s="84" t="s">
        <v>481</v>
      </c>
      <c r="B750" s="194"/>
      <c r="C750" s="84" t="s">
        <v>995</v>
      </c>
      <c r="D750" s="88" t="s">
        <v>1396</v>
      </c>
      <c r="E750" s="84" t="s">
        <v>3683</v>
      </c>
      <c r="F750" s="84" t="s">
        <v>989</v>
      </c>
      <c r="G750" s="84" t="s">
        <v>3585</v>
      </c>
      <c r="H750" s="84" t="s">
        <v>3521</v>
      </c>
      <c r="I750" s="84" t="s">
        <v>3684</v>
      </c>
      <c r="J750" s="84" t="s">
        <v>130</v>
      </c>
      <c r="K750" s="85"/>
      <c r="L750" s="87">
        <v>24.0</v>
      </c>
      <c r="M750" s="87">
        <v>0.0</v>
      </c>
      <c r="N750" s="87">
        <v>0.0</v>
      </c>
      <c r="O750" s="87">
        <v>0.071429</v>
      </c>
      <c r="P750" s="87">
        <v>0.033333</v>
      </c>
      <c r="Q750" s="87">
        <v>0.116667</v>
      </c>
    </row>
    <row r="751">
      <c r="A751" s="84" t="s">
        <v>139</v>
      </c>
      <c r="B751" s="194"/>
      <c r="C751" s="84" t="s">
        <v>148</v>
      </c>
      <c r="D751" s="88" t="s">
        <v>1396</v>
      </c>
      <c r="E751" s="84" t="s">
        <v>3683</v>
      </c>
      <c r="F751" s="84" t="s">
        <v>144</v>
      </c>
      <c r="G751" s="84" t="s">
        <v>3700</v>
      </c>
      <c r="H751" s="84" t="s">
        <v>3521</v>
      </c>
      <c r="I751" s="84" t="s">
        <v>3684</v>
      </c>
      <c r="J751" s="85"/>
      <c r="K751" s="85"/>
      <c r="L751" s="87">
        <v>24.0</v>
      </c>
      <c r="M751" s="87">
        <v>0.0</v>
      </c>
      <c r="N751" s="87">
        <v>0.0</v>
      </c>
      <c r="O751" s="87">
        <v>0.0</v>
      </c>
      <c r="P751" s="87">
        <v>0.0</v>
      </c>
      <c r="Q751" s="87">
        <v>0.0</v>
      </c>
    </row>
    <row r="752">
      <c r="A752" s="84" t="s">
        <v>393</v>
      </c>
      <c r="B752" s="194"/>
      <c r="C752" s="84" t="s">
        <v>933</v>
      </c>
      <c r="D752" s="88" t="s">
        <v>1396</v>
      </c>
      <c r="E752" s="84" t="s">
        <v>3683</v>
      </c>
      <c r="F752" s="84" t="s">
        <v>428</v>
      </c>
      <c r="G752" s="84" t="s">
        <v>3568</v>
      </c>
      <c r="H752" s="84" t="s">
        <v>3521</v>
      </c>
      <c r="I752" s="84" t="s">
        <v>3693</v>
      </c>
      <c r="J752" s="84" t="s">
        <v>130</v>
      </c>
      <c r="K752" s="84" t="s">
        <v>111</v>
      </c>
      <c r="L752" s="87">
        <v>24.0</v>
      </c>
      <c r="M752" s="87">
        <v>0.0</v>
      </c>
      <c r="N752" s="87">
        <v>0.0</v>
      </c>
      <c r="O752" s="87">
        <v>0.0</v>
      </c>
      <c r="P752" s="87">
        <v>0.0</v>
      </c>
      <c r="Q752" s="87">
        <v>0.0</v>
      </c>
    </row>
    <row r="753">
      <c r="A753" s="84" t="s">
        <v>644</v>
      </c>
      <c r="B753" s="194"/>
      <c r="C753" s="84" t="s">
        <v>1264</v>
      </c>
      <c r="D753" s="88" t="s">
        <v>1396</v>
      </c>
      <c r="E753" s="84" t="s">
        <v>3683</v>
      </c>
      <c r="F753" s="84" t="s">
        <v>682</v>
      </c>
      <c r="G753" s="84" t="s">
        <v>3563</v>
      </c>
      <c r="H753" s="84" t="s">
        <v>3521</v>
      </c>
      <c r="I753" s="84" t="s">
        <v>3684</v>
      </c>
      <c r="J753" s="84" t="s">
        <v>130</v>
      </c>
      <c r="K753" s="85"/>
      <c r="L753" s="87">
        <v>24.0</v>
      </c>
      <c r="M753" s="87">
        <v>0.0</v>
      </c>
      <c r="N753" s="87">
        <v>0.0</v>
      </c>
      <c r="O753" s="87">
        <v>0.0</v>
      </c>
      <c r="P753" s="87">
        <v>0.0</v>
      </c>
      <c r="Q753" s="87">
        <v>0.0</v>
      </c>
    </row>
    <row r="754">
      <c r="A754" s="84" t="s">
        <v>481</v>
      </c>
      <c r="B754" s="194"/>
      <c r="C754" s="84" t="s">
        <v>1006</v>
      </c>
      <c r="D754" s="88" t="s">
        <v>1396</v>
      </c>
      <c r="E754" s="84" t="s">
        <v>3683</v>
      </c>
      <c r="F754" s="84" t="s">
        <v>989</v>
      </c>
      <c r="G754" s="84" t="s">
        <v>3585</v>
      </c>
      <c r="H754" s="84" t="s">
        <v>3521</v>
      </c>
      <c r="I754" s="84" t="s">
        <v>3684</v>
      </c>
      <c r="J754" s="84" t="s">
        <v>130</v>
      </c>
      <c r="K754" s="85"/>
      <c r="L754" s="87">
        <v>24.0</v>
      </c>
      <c r="M754" s="87">
        <v>0.0</v>
      </c>
      <c r="N754" s="87">
        <v>0.0</v>
      </c>
      <c r="O754" s="87">
        <v>0.0</v>
      </c>
      <c r="P754" s="87">
        <v>0.0</v>
      </c>
      <c r="Q754" s="87">
        <v>0.0</v>
      </c>
    </row>
    <row r="755">
      <c r="A755" s="84" t="s">
        <v>393</v>
      </c>
      <c r="B755" s="194"/>
      <c r="C755" s="84" t="s">
        <v>934</v>
      </c>
      <c r="D755" s="88" t="s">
        <v>1396</v>
      </c>
      <c r="E755" s="84" t="s">
        <v>3687</v>
      </c>
      <c r="F755" s="91"/>
      <c r="G755" s="84" t="s">
        <v>3569</v>
      </c>
      <c r="H755" s="84" t="s">
        <v>3521</v>
      </c>
      <c r="I755" s="84" t="s">
        <v>3693</v>
      </c>
      <c r="J755" s="84" t="s">
        <v>130</v>
      </c>
      <c r="K755" s="91"/>
      <c r="L755" s="87">
        <v>24.0</v>
      </c>
      <c r="M755" s="87">
        <v>0.0</v>
      </c>
      <c r="N755" s="87">
        <v>0.0</v>
      </c>
      <c r="O755" s="87">
        <v>0.0</v>
      </c>
      <c r="P755" s="87">
        <v>0.0</v>
      </c>
      <c r="Q755" s="87">
        <v>0.0</v>
      </c>
    </row>
    <row r="756">
      <c r="A756" s="84" t="s">
        <v>180</v>
      </c>
      <c r="B756" s="194"/>
      <c r="C756" s="84" t="s">
        <v>205</v>
      </c>
      <c r="D756" s="88" t="s">
        <v>1396</v>
      </c>
      <c r="E756" s="84" t="s">
        <v>3683</v>
      </c>
      <c r="F756" s="84" t="s">
        <v>201</v>
      </c>
      <c r="G756" s="84" t="s">
        <v>3727</v>
      </c>
      <c r="H756" s="84" t="s">
        <v>3521</v>
      </c>
      <c r="I756" s="84" t="s">
        <v>3684</v>
      </c>
      <c r="J756" s="84" t="s">
        <v>130</v>
      </c>
      <c r="K756" s="91"/>
      <c r="L756" s="87">
        <v>0.0</v>
      </c>
      <c r="M756" s="87">
        <v>0.0</v>
      </c>
      <c r="N756" s="87">
        <v>0.0</v>
      </c>
      <c r="O756" s="87">
        <v>0.0</v>
      </c>
      <c r="P756" s="87">
        <v>0.0</v>
      </c>
      <c r="Q756" s="87">
        <v>0.05</v>
      </c>
    </row>
    <row r="757">
      <c r="A757" s="84" t="s">
        <v>537</v>
      </c>
      <c r="B757" s="194"/>
      <c r="C757" s="84" t="s">
        <v>550</v>
      </c>
      <c r="D757" s="88" t="s">
        <v>1396</v>
      </c>
      <c r="E757" s="84" t="s">
        <v>3683</v>
      </c>
      <c r="F757" s="84" t="s">
        <v>551</v>
      </c>
      <c r="G757" s="84" t="s">
        <v>3590</v>
      </c>
      <c r="H757" s="84" t="s">
        <v>3521</v>
      </c>
      <c r="I757" s="84" t="s">
        <v>3693</v>
      </c>
      <c r="J757" s="84" t="s">
        <v>130</v>
      </c>
      <c r="K757" s="91"/>
      <c r="L757" s="87">
        <v>24.0</v>
      </c>
      <c r="M757" s="87">
        <v>0.0</v>
      </c>
      <c r="N757" s="87">
        <v>0.0</v>
      </c>
      <c r="O757" s="87">
        <v>0.0</v>
      </c>
      <c r="P757" s="87">
        <v>0.0</v>
      </c>
      <c r="Q757" s="87">
        <v>0.0</v>
      </c>
    </row>
    <row r="758">
      <c r="A758" s="84" t="s">
        <v>644</v>
      </c>
      <c r="B758" s="194"/>
      <c r="C758" s="84" t="s">
        <v>717</v>
      </c>
      <c r="D758" s="88" t="s">
        <v>1396</v>
      </c>
      <c r="E758" s="84" t="s">
        <v>3683</v>
      </c>
      <c r="F758" s="84" t="s">
        <v>714</v>
      </c>
      <c r="G758" s="84" t="s">
        <v>3607</v>
      </c>
      <c r="H758" s="84" t="s">
        <v>3521</v>
      </c>
      <c r="I758" s="84" t="s">
        <v>3684</v>
      </c>
      <c r="J758" s="84" t="s">
        <v>130</v>
      </c>
      <c r="K758" s="91"/>
      <c r="L758" s="87">
        <v>24.0</v>
      </c>
      <c r="M758" s="87">
        <v>0.0</v>
      </c>
      <c r="N758" s="87">
        <v>0.0</v>
      </c>
      <c r="O758" s="87">
        <v>0.0</v>
      </c>
      <c r="P758" s="87">
        <v>0.0</v>
      </c>
      <c r="Q758" s="87">
        <v>0.0</v>
      </c>
    </row>
    <row r="759">
      <c r="A759" s="84" t="s">
        <v>258</v>
      </c>
      <c r="B759" s="194"/>
      <c r="C759" s="84" t="s">
        <v>886</v>
      </c>
      <c r="D759" s="88" t="s">
        <v>1396</v>
      </c>
      <c r="E759" s="84" t="s">
        <v>3687</v>
      </c>
      <c r="F759" s="84" t="s">
        <v>884</v>
      </c>
      <c r="G759" s="84" t="s">
        <v>3558</v>
      </c>
      <c r="H759" s="84" t="s">
        <v>3521</v>
      </c>
      <c r="I759" s="84" t="s">
        <v>3684</v>
      </c>
      <c r="J759" s="84" t="s">
        <v>89</v>
      </c>
      <c r="K759" s="91"/>
      <c r="L759" s="87">
        <v>24.0</v>
      </c>
      <c r="M759" s="87">
        <v>0.0</v>
      </c>
      <c r="N759" s="87">
        <v>0.0</v>
      </c>
      <c r="O759" s="87">
        <v>0.214286</v>
      </c>
      <c r="P759" s="87">
        <v>0.101149</v>
      </c>
      <c r="Q759" s="87">
        <v>0.154492</v>
      </c>
    </row>
    <row r="760">
      <c r="A760" s="84" t="s">
        <v>393</v>
      </c>
      <c r="B760" s="194"/>
      <c r="C760" s="84" t="s">
        <v>409</v>
      </c>
      <c r="D760" s="88" t="s">
        <v>1396</v>
      </c>
      <c r="E760" s="84" t="s">
        <v>3683</v>
      </c>
      <c r="F760" s="84" t="s">
        <v>407</v>
      </c>
      <c r="G760" s="84" t="s">
        <v>3698</v>
      </c>
      <c r="H760" s="84" t="s">
        <v>3521</v>
      </c>
      <c r="I760" s="84" t="s">
        <v>3693</v>
      </c>
      <c r="J760" s="85"/>
      <c r="K760" s="84" t="s">
        <v>111</v>
      </c>
      <c r="L760" s="87">
        <v>648.0</v>
      </c>
      <c r="M760" s="87">
        <v>0.0</v>
      </c>
      <c r="N760" s="87">
        <v>0.0</v>
      </c>
      <c r="O760" s="87">
        <v>0.0</v>
      </c>
      <c r="P760" s="87">
        <v>0.0</v>
      </c>
      <c r="Q760" s="87">
        <v>0.0</v>
      </c>
    </row>
    <row r="761">
      <c r="A761" s="84" t="s">
        <v>258</v>
      </c>
      <c r="B761" s="194"/>
      <c r="C761" s="84" t="s">
        <v>911</v>
      </c>
      <c r="D761" s="88" t="s">
        <v>1396</v>
      </c>
      <c r="E761" s="91"/>
      <c r="F761" s="84" t="s">
        <v>909</v>
      </c>
      <c r="G761" s="84" t="s">
        <v>3562</v>
      </c>
      <c r="I761" s="84" t="s">
        <v>3684</v>
      </c>
      <c r="J761" s="91"/>
      <c r="K761" s="91"/>
      <c r="L761" s="87">
        <v>480.0</v>
      </c>
      <c r="M761" s="87">
        <v>0.0</v>
      </c>
      <c r="N761" s="87">
        <v>0.0</v>
      </c>
      <c r="O761" s="87">
        <v>0.0</v>
      </c>
      <c r="P761" s="87">
        <v>0.0</v>
      </c>
      <c r="Q761" s="87">
        <v>0.0</v>
      </c>
    </row>
    <row r="762">
      <c r="A762" s="84" t="s">
        <v>180</v>
      </c>
      <c r="B762" s="194"/>
      <c r="C762" s="84" t="s">
        <v>829</v>
      </c>
      <c r="D762" s="88" t="s">
        <v>1396</v>
      </c>
      <c r="E762" s="84" t="s">
        <v>3683</v>
      </c>
      <c r="F762" s="84" t="s">
        <v>830</v>
      </c>
      <c r="G762" s="84" t="s">
        <v>3549</v>
      </c>
      <c r="H762" s="84" t="s">
        <v>3507</v>
      </c>
      <c r="I762" s="84" t="s">
        <v>3684</v>
      </c>
      <c r="J762" s="91"/>
      <c r="K762" s="84" t="s">
        <v>111</v>
      </c>
      <c r="L762" s="87">
        <v>384.0</v>
      </c>
      <c r="M762" s="87">
        <v>0.0</v>
      </c>
      <c r="N762" s="87">
        <v>1.743289</v>
      </c>
      <c r="O762" s="87">
        <v>0.076923</v>
      </c>
      <c r="P762" s="87">
        <v>1.713054</v>
      </c>
      <c r="Q762" s="87">
        <v>1.690756</v>
      </c>
    </row>
    <row r="763">
      <c r="A763" s="84" t="s">
        <v>644</v>
      </c>
      <c r="B763" s="194"/>
      <c r="C763" s="84" t="s">
        <v>681</v>
      </c>
      <c r="D763" s="88" t="s">
        <v>1396</v>
      </c>
      <c r="E763" s="91"/>
      <c r="F763" s="84" t="s">
        <v>682</v>
      </c>
      <c r="G763" s="84" t="s">
        <v>3563</v>
      </c>
      <c r="I763" s="84" t="s">
        <v>3684</v>
      </c>
      <c r="J763" s="85"/>
      <c r="K763" s="85"/>
      <c r="L763" s="87">
        <v>480.0</v>
      </c>
      <c r="M763" s="87">
        <v>0.0</v>
      </c>
      <c r="N763" s="87">
        <v>0.0</v>
      </c>
      <c r="O763" s="87">
        <v>0.0</v>
      </c>
      <c r="P763" s="87">
        <v>0.0</v>
      </c>
      <c r="Q763" s="87">
        <v>0.0</v>
      </c>
    </row>
    <row r="764">
      <c r="A764" s="84" t="s">
        <v>1130</v>
      </c>
      <c r="B764" s="194"/>
      <c r="C764" s="84" t="s">
        <v>1151</v>
      </c>
      <c r="D764" s="88" t="s">
        <v>1396</v>
      </c>
      <c r="E764" s="84" t="s">
        <v>3683</v>
      </c>
      <c r="F764" s="84" t="s">
        <v>1142</v>
      </c>
      <c r="G764" s="84" t="s">
        <v>3605</v>
      </c>
      <c r="H764" s="84" t="s">
        <v>3521</v>
      </c>
      <c r="I764" s="84" t="s">
        <v>3684</v>
      </c>
      <c r="J764" s="84" t="s">
        <v>130</v>
      </c>
      <c r="K764" s="84" t="s">
        <v>111</v>
      </c>
      <c r="L764" s="87">
        <v>264.0</v>
      </c>
      <c r="M764" s="87">
        <v>0.0</v>
      </c>
      <c r="N764" s="87">
        <v>2.390476</v>
      </c>
      <c r="O764" s="87">
        <v>0.0</v>
      </c>
      <c r="P764" s="87">
        <v>0.0</v>
      </c>
      <c r="Q764" s="87">
        <v>2.448168</v>
      </c>
    </row>
    <row r="765">
      <c r="A765" s="84" t="s">
        <v>458</v>
      </c>
      <c r="B765" s="194"/>
      <c r="C765" s="84" t="s">
        <v>462</v>
      </c>
      <c r="D765" s="88" t="s">
        <v>1396</v>
      </c>
      <c r="E765" s="84" t="s">
        <v>3683</v>
      </c>
      <c r="F765" s="84" t="s">
        <v>457</v>
      </c>
      <c r="G765" s="84" t="s">
        <v>3560</v>
      </c>
      <c r="H765" s="84" t="s">
        <v>3521</v>
      </c>
      <c r="I765" s="84" t="s">
        <v>3684</v>
      </c>
      <c r="J765" s="85"/>
      <c r="K765" s="91"/>
      <c r="L765" s="87">
        <v>0.0</v>
      </c>
      <c r="M765" s="87">
        <v>0.0</v>
      </c>
      <c r="N765" s="87">
        <v>0.0</v>
      </c>
      <c r="O765" s="87">
        <v>0.0</v>
      </c>
      <c r="P765" s="87">
        <v>0.1</v>
      </c>
      <c r="Q765" s="87">
        <v>0.066667</v>
      </c>
    </row>
    <row r="766">
      <c r="A766" s="84" t="s">
        <v>258</v>
      </c>
      <c r="B766" s="194"/>
      <c r="C766" s="84" t="s">
        <v>902</v>
      </c>
      <c r="D766" s="88" t="s">
        <v>1396</v>
      </c>
      <c r="E766" s="84" t="s">
        <v>3683</v>
      </c>
      <c r="F766" s="84" t="s">
        <v>898</v>
      </c>
      <c r="G766" s="84" t="s">
        <v>3560</v>
      </c>
      <c r="H766" s="84" t="s">
        <v>3521</v>
      </c>
      <c r="I766" s="84" t="s">
        <v>3684</v>
      </c>
      <c r="J766" s="85"/>
      <c r="K766" s="84" t="s">
        <v>111</v>
      </c>
      <c r="L766" s="87">
        <v>312.0</v>
      </c>
      <c r="M766" s="87">
        <v>0.0</v>
      </c>
      <c r="N766" s="87">
        <v>0.517647</v>
      </c>
      <c r="O766" s="87">
        <v>0.0</v>
      </c>
      <c r="P766" s="87">
        <v>0.0</v>
      </c>
      <c r="Q766" s="87">
        <v>0.517647</v>
      </c>
    </row>
    <row r="767">
      <c r="A767" s="84" t="s">
        <v>180</v>
      </c>
      <c r="B767" s="194"/>
      <c r="C767" s="84" t="s">
        <v>1321</v>
      </c>
      <c r="D767" s="88" t="s">
        <v>1396</v>
      </c>
      <c r="E767" s="84" t="s">
        <v>3683</v>
      </c>
      <c r="F767" s="84" t="s">
        <v>4192</v>
      </c>
      <c r="G767" s="84" t="s">
        <v>3547</v>
      </c>
      <c r="H767" s="84" t="s">
        <v>3507</v>
      </c>
      <c r="I767" s="84" t="s">
        <v>3684</v>
      </c>
      <c r="J767" s="91"/>
      <c r="K767" s="84" t="s">
        <v>111</v>
      </c>
      <c r="L767" s="87">
        <v>744.0</v>
      </c>
      <c r="M767" s="87">
        <v>0.0</v>
      </c>
      <c r="N767" s="87">
        <v>0.55</v>
      </c>
      <c r="O767" s="87">
        <v>0.0</v>
      </c>
      <c r="P767" s="87">
        <v>0.458333</v>
      </c>
      <c r="Q767" s="87">
        <v>0.55</v>
      </c>
    </row>
    <row r="768">
      <c r="A768" s="84" t="s">
        <v>644</v>
      </c>
      <c r="B768" s="194"/>
      <c r="C768" s="84" t="s">
        <v>688</v>
      </c>
      <c r="D768" s="88" t="s">
        <v>1396</v>
      </c>
      <c r="E768" s="84" t="s">
        <v>3687</v>
      </c>
      <c r="F768" s="84" t="s">
        <v>686</v>
      </c>
      <c r="G768" s="84" t="s">
        <v>3607</v>
      </c>
      <c r="I768" s="84" t="s">
        <v>3684</v>
      </c>
      <c r="J768" s="91"/>
      <c r="K768" s="85"/>
      <c r="L768" s="87">
        <v>552.0</v>
      </c>
      <c r="M768" s="87">
        <v>0.0</v>
      </c>
      <c r="N768" s="87">
        <v>0.0</v>
      </c>
      <c r="O768" s="87">
        <v>0.0</v>
      </c>
      <c r="P768" s="87">
        <v>0.0</v>
      </c>
      <c r="Q768" s="87">
        <v>0.0</v>
      </c>
    </row>
    <row r="769">
      <c r="A769" s="84" t="s">
        <v>644</v>
      </c>
      <c r="B769" s="194"/>
      <c r="C769" s="84" t="s">
        <v>1243</v>
      </c>
      <c r="D769" s="88" t="s">
        <v>1396</v>
      </c>
      <c r="E769" s="84" t="s">
        <v>3683</v>
      </c>
      <c r="F769" s="84" t="s">
        <v>1244</v>
      </c>
      <c r="G769" s="84" t="s">
        <v>3607</v>
      </c>
      <c r="H769" s="84" t="s">
        <v>3521</v>
      </c>
      <c r="I769" s="84" t="s">
        <v>3684</v>
      </c>
      <c r="J769" s="84" t="s">
        <v>215</v>
      </c>
      <c r="L769" s="87">
        <v>96.0</v>
      </c>
      <c r="M769" s="87">
        <v>1.0</v>
      </c>
      <c r="N769" s="87">
        <v>0.0</v>
      </c>
      <c r="O769" s="87">
        <v>0.142857</v>
      </c>
      <c r="P769" s="87">
        <v>0.1</v>
      </c>
      <c r="Q769" s="87">
        <v>0.162686</v>
      </c>
    </row>
    <row r="770">
      <c r="A770" s="84" t="s">
        <v>644</v>
      </c>
      <c r="B770" s="194"/>
      <c r="C770" s="84" t="s">
        <v>1207</v>
      </c>
      <c r="D770" s="88" t="s">
        <v>1396</v>
      </c>
      <c r="E770" s="84" t="s">
        <v>3683</v>
      </c>
      <c r="F770" s="84" t="s">
        <v>1208</v>
      </c>
      <c r="G770" s="84" t="s">
        <v>3606</v>
      </c>
      <c r="H770" s="84" t="s">
        <v>3521</v>
      </c>
      <c r="I770" s="84" t="s">
        <v>3684</v>
      </c>
      <c r="J770" s="91"/>
      <c r="K770" s="91"/>
      <c r="L770" s="87">
        <v>0.0</v>
      </c>
      <c r="M770" s="87">
        <v>0.0</v>
      </c>
      <c r="N770" s="87">
        <v>0.0</v>
      </c>
      <c r="O770" s="87">
        <v>0.071429</v>
      </c>
      <c r="P770" s="87">
        <v>0.033333</v>
      </c>
      <c r="Q770" s="87">
        <v>0.016667</v>
      </c>
    </row>
    <row r="771">
      <c r="A771" s="84" t="s">
        <v>180</v>
      </c>
      <c r="B771" s="194"/>
      <c r="C771" s="84" t="s">
        <v>207</v>
      </c>
      <c r="D771" s="88" t="s">
        <v>1396</v>
      </c>
      <c r="E771" s="84" t="s">
        <v>3683</v>
      </c>
      <c r="F771" s="84" t="s">
        <v>201</v>
      </c>
      <c r="G771" s="84" t="s">
        <v>3727</v>
      </c>
      <c r="H771" s="84" t="s">
        <v>3521</v>
      </c>
      <c r="I771" s="84" t="s">
        <v>3684</v>
      </c>
      <c r="J771" s="84" t="s">
        <v>130</v>
      </c>
      <c r="K771" s="85"/>
      <c r="L771" s="87">
        <v>48.0</v>
      </c>
      <c r="M771" s="87">
        <v>0.0</v>
      </c>
      <c r="N771" s="87">
        <v>0.050641</v>
      </c>
      <c r="O771" s="87">
        <v>0.142857</v>
      </c>
      <c r="P771" s="87">
        <v>0.066667</v>
      </c>
      <c r="Q771" s="87">
        <v>0.150641</v>
      </c>
    </row>
    <row r="772">
      <c r="A772" s="84" t="s">
        <v>601</v>
      </c>
      <c r="B772" s="194"/>
      <c r="C772" s="84" t="s">
        <v>3662</v>
      </c>
      <c r="D772" s="88" t="s">
        <v>1396</v>
      </c>
      <c r="E772" s="84" t="s">
        <v>3683</v>
      </c>
      <c r="F772" s="84" t="s">
        <v>4193</v>
      </c>
      <c r="G772" s="84" t="s">
        <v>4194</v>
      </c>
      <c r="H772" s="84" t="s">
        <v>3521</v>
      </c>
      <c r="I772" s="84" t="s">
        <v>3684</v>
      </c>
      <c r="J772" s="84" t="s">
        <v>130</v>
      </c>
      <c r="K772" s="91"/>
      <c r="L772" s="87">
        <v>24.0</v>
      </c>
      <c r="M772" s="87">
        <v>0.0</v>
      </c>
      <c r="N772" s="87">
        <v>0.0</v>
      </c>
      <c r="O772" s="87">
        <v>0.0</v>
      </c>
      <c r="P772" s="87">
        <v>0.0</v>
      </c>
      <c r="Q772" s="87">
        <v>0.0</v>
      </c>
    </row>
    <row r="773">
      <c r="A773" s="84" t="s">
        <v>472</v>
      </c>
      <c r="B773" s="194"/>
      <c r="C773" s="84" t="s">
        <v>1038</v>
      </c>
      <c r="D773" s="88" t="s">
        <v>1396</v>
      </c>
      <c r="E773" s="84" t="s">
        <v>3683</v>
      </c>
      <c r="F773" s="84" t="s">
        <v>1035</v>
      </c>
      <c r="G773" s="84" t="s">
        <v>3588</v>
      </c>
      <c r="H773" s="84" t="s">
        <v>3521</v>
      </c>
      <c r="I773" s="84" t="s">
        <v>3684</v>
      </c>
      <c r="J773" s="84" t="s">
        <v>130</v>
      </c>
      <c r="K773" s="91"/>
      <c r="L773" s="87">
        <v>0.0</v>
      </c>
      <c r="M773" s="87">
        <v>0.0</v>
      </c>
      <c r="N773" s="87">
        <v>0.0</v>
      </c>
      <c r="O773" s="87">
        <v>0.071429</v>
      </c>
      <c r="P773" s="87">
        <v>0.066667</v>
      </c>
      <c r="Q773" s="87">
        <v>0.08961</v>
      </c>
    </row>
    <row r="774">
      <c r="A774" s="84" t="s">
        <v>537</v>
      </c>
      <c r="B774" s="194"/>
      <c r="C774" s="84" t="s">
        <v>561</v>
      </c>
      <c r="D774" s="88" t="s">
        <v>1396</v>
      </c>
      <c r="E774" s="84" t="s">
        <v>3683</v>
      </c>
      <c r="F774" s="84" t="s">
        <v>558</v>
      </c>
      <c r="G774" s="84" t="s">
        <v>3602</v>
      </c>
      <c r="H774" s="84" t="s">
        <v>3521</v>
      </c>
      <c r="I774" s="84" t="s">
        <v>3693</v>
      </c>
      <c r="J774" s="84" t="s">
        <v>130</v>
      </c>
      <c r="K774" s="85"/>
      <c r="L774" s="87">
        <v>0.0</v>
      </c>
      <c r="M774" s="87">
        <v>0.0</v>
      </c>
      <c r="N774" s="87">
        <v>0.0</v>
      </c>
      <c r="O774" s="87">
        <v>0.0</v>
      </c>
      <c r="P774" s="87">
        <v>0.0</v>
      </c>
      <c r="Q774" s="87">
        <v>0.0</v>
      </c>
    </row>
    <row r="775">
      <c r="A775" s="84" t="s">
        <v>644</v>
      </c>
      <c r="B775" s="194"/>
      <c r="C775" s="84" t="s">
        <v>1213</v>
      </c>
      <c r="D775" s="88" t="s">
        <v>1396</v>
      </c>
      <c r="E775" s="84" t="s">
        <v>3683</v>
      </c>
      <c r="F775" s="84" t="s">
        <v>1208</v>
      </c>
      <c r="G775" s="84" t="s">
        <v>3606</v>
      </c>
      <c r="H775" s="84" t="s">
        <v>3521</v>
      </c>
      <c r="I775" s="84" t="s">
        <v>3684</v>
      </c>
      <c r="J775" s="85"/>
      <c r="K775" s="84" t="s">
        <v>111</v>
      </c>
      <c r="L775" s="87">
        <v>264.0</v>
      </c>
      <c r="M775" s="87">
        <v>0.0</v>
      </c>
      <c r="N775" s="87">
        <v>0.0</v>
      </c>
      <c r="O775" s="87">
        <v>0.0</v>
      </c>
      <c r="P775" s="87">
        <v>0.0</v>
      </c>
      <c r="Q775" s="87">
        <v>0.0</v>
      </c>
    </row>
    <row r="776">
      <c r="A776" s="84" t="s">
        <v>180</v>
      </c>
      <c r="B776" s="194"/>
      <c r="C776" s="84" t="s">
        <v>822</v>
      </c>
      <c r="D776" s="88" t="s">
        <v>1396</v>
      </c>
      <c r="E776" s="84" t="s">
        <v>3683</v>
      </c>
      <c r="F776" s="84" t="s">
        <v>814</v>
      </c>
      <c r="G776" s="84" t="s">
        <v>3533</v>
      </c>
      <c r="I776" s="84" t="s">
        <v>3684</v>
      </c>
      <c r="J776" s="91"/>
      <c r="K776" s="91"/>
      <c r="L776" s="87">
        <v>96.0</v>
      </c>
      <c r="M776" s="87">
        <v>0.0</v>
      </c>
      <c r="N776" s="87">
        <v>0.0</v>
      </c>
      <c r="O776" s="87">
        <v>0.0</v>
      </c>
      <c r="P776" s="87">
        <v>0.0</v>
      </c>
      <c r="Q776" s="87">
        <v>0.0</v>
      </c>
    </row>
    <row r="777">
      <c r="A777" s="84" t="s">
        <v>1122</v>
      </c>
      <c r="B777" s="194"/>
      <c r="C777" s="84" t="s">
        <v>1125</v>
      </c>
      <c r="D777" s="88" t="s">
        <v>1396</v>
      </c>
      <c r="E777" s="84" t="s">
        <v>3687</v>
      </c>
      <c r="F777" s="91"/>
      <c r="G777" s="84" t="s">
        <v>3603</v>
      </c>
      <c r="H777" s="84" t="s">
        <v>3521</v>
      </c>
      <c r="I777" s="84" t="s">
        <v>3684</v>
      </c>
      <c r="J777" s="84" t="s">
        <v>130</v>
      </c>
      <c r="K777" s="91"/>
      <c r="L777" s="87">
        <v>24.0</v>
      </c>
      <c r="M777" s="87">
        <v>0.0</v>
      </c>
      <c r="N777" s="87">
        <v>0.0</v>
      </c>
      <c r="O777" s="87">
        <v>0.0</v>
      </c>
      <c r="P777" s="87">
        <v>0.0</v>
      </c>
      <c r="Q777" s="87">
        <v>0.0</v>
      </c>
    </row>
    <row r="778">
      <c r="A778" s="84" t="s">
        <v>761</v>
      </c>
      <c r="B778" s="194"/>
      <c r="C778" s="84" t="s">
        <v>764</v>
      </c>
      <c r="D778" s="88" t="s">
        <v>1396</v>
      </c>
      <c r="E778" s="84" t="s">
        <v>3683</v>
      </c>
      <c r="F778" s="84" t="s">
        <v>760</v>
      </c>
      <c r="G778" s="84" t="s">
        <v>4015</v>
      </c>
      <c r="H778" s="84" t="s">
        <v>3507</v>
      </c>
      <c r="I778" s="84" t="s">
        <v>3684</v>
      </c>
      <c r="J778" s="85"/>
      <c r="K778" s="84" t="s">
        <v>111</v>
      </c>
      <c r="L778" s="87">
        <v>96.0</v>
      </c>
      <c r="M778" s="87">
        <v>0.0</v>
      </c>
      <c r="N778" s="87">
        <v>0.0</v>
      </c>
      <c r="O778" s="87">
        <v>0.0</v>
      </c>
      <c r="P778" s="87">
        <v>0.0</v>
      </c>
      <c r="Q778" s="87">
        <v>0.0</v>
      </c>
    </row>
    <row r="779">
      <c r="A779" s="84" t="s">
        <v>444</v>
      </c>
      <c r="B779" s="194"/>
      <c r="C779" s="84" t="s">
        <v>951</v>
      </c>
      <c r="D779" s="88" t="s">
        <v>1396</v>
      </c>
      <c r="E779" s="84" t="s">
        <v>3683</v>
      </c>
      <c r="F779" s="84" t="s">
        <v>948</v>
      </c>
      <c r="G779" s="84" t="s">
        <v>3578</v>
      </c>
      <c r="H779" s="84" t="s">
        <v>3521</v>
      </c>
      <c r="I779" s="84" t="s">
        <v>3684</v>
      </c>
      <c r="J779" s="84" t="s">
        <v>130</v>
      </c>
      <c r="K779" s="91"/>
      <c r="L779" s="87">
        <v>48.0</v>
      </c>
      <c r="M779" s="87">
        <v>0.0</v>
      </c>
      <c r="N779" s="87">
        <v>0.348352</v>
      </c>
      <c r="O779" s="87">
        <v>1.333333</v>
      </c>
      <c r="P779" s="87">
        <v>0.348352</v>
      </c>
      <c r="Q779" s="87">
        <v>0.401864</v>
      </c>
    </row>
    <row r="780">
      <c r="A780" s="84" t="s">
        <v>573</v>
      </c>
      <c r="B780" s="194"/>
      <c r="C780" s="84" t="s">
        <v>576</v>
      </c>
      <c r="D780" s="88" t="s">
        <v>1396</v>
      </c>
      <c r="E780" s="84" t="s">
        <v>3683</v>
      </c>
      <c r="F780" s="84" t="s">
        <v>577</v>
      </c>
      <c r="G780" s="84" t="s">
        <v>4049</v>
      </c>
      <c r="H780" s="84" t="s">
        <v>3521</v>
      </c>
      <c r="I780" s="84" t="s">
        <v>3962</v>
      </c>
      <c r="J780" s="84" t="s">
        <v>89</v>
      </c>
      <c r="K780" s="84" t="s">
        <v>111</v>
      </c>
      <c r="L780" s="87">
        <v>720.0</v>
      </c>
      <c r="M780" s="87">
        <v>0.0</v>
      </c>
      <c r="N780" s="87">
        <v>0.0</v>
      </c>
      <c r="O780" s="87">
        <v>0.0</v>
      </c>
      <c r="P780" s="87">
        <v>0.0</v>
      </c>
      <c r="Q780" s="87">
        <v>0.0</v>
      </c>
    </row>
    <row r="781">
      <c r="A781" s="84" t="s">
        <v>537</v>
      </c>
      <c r="B781" s="194"/>
      <c r="C781" s="84" t="s">
        <v>561</v>
      </c>
      <c r="D781" s="88" t="s">
        <v>1396</v>
      </c>
      <c r="E781" s="84" t="s">
        <v>3683</v>
      </c>
      <c r="F781" s="84" t="s">
        <v>558</v>
      </c>
      <c r="G781" s="84" t="s">
        <v>3602</v>
      </c>
      <c r="H781" s="84" t="s">
        <v>3521</v>
      </c>
      <c r="I781" s="84" t="s">
        <v>3693</v>
      </c>
      <c r="J781" s="91"/>
      <c r="K781" s="85"/>
      <c r="L781" s="87">
        <v>10.0</v>
      </c>
      <c r="M781" s="87">
        <v>0.0</v>
      </c>
      <c r="N781" s="87">
        <v>0.0</v>
      </c>
      <c r="O781" s="87">
        <v>0.5</v>
      </c>
      <c r="P781" s="87">
        <v>0.6</v>
      </c>
      <c r="Q781" s="87">
        <v>0.901852</v>
      </c>
    </row>
    <row r="782">
      <c r="A782" s="84" t="s">
        <v>573</v>
      </c>
      <c r="B782" s="194"/>
      <c r="C782" s="84" t="s">
        <v>593</v>
      </c>
      <c r="D782" s="88" t="s">
        <v>1396</v>
      </c>
      <c r="E782" s="84" t="s">
        <v>3687</v>
      </c>
      <c r="F782" s="84" t="s">
        <v>592</v>
      </c>
      <c r="G782" s="84" t="s">
        <v>4092</v>
      </c>
      <c r="H782" s="84" t="s">
        <v>3521</v>
      </c>
      <c r="I782" s="84" t="s">
        <v>3709</v>
      </c>
      <c r="J782" s="91"/>
      <c r="K782" s="84" t="s">
        <v>111</v>
      </c>
      <c r="L782" s="87">
        <v>504.0</v>
      </c>
      <c r="M782" s="87">
        <v>0.0</v>
      </c>
      <c r="N782" s="87">
        <v>0.316239</v>
      </c>
      <c r="O782" s="87">
        <v>0.0</v>
      </c>
      <c r="P782" s="87">
        <v>0.583333</v>
      </c>
      <c r="Q782" s="87">
        <v>0.316239</v>
      </c>
    </row>
    <row r="783">
      <c r="A783" s="84" t="s">
        <v>644</v>
      </c>
      <c r="B783" s="194"/>
      <c r="C783" s="84" t="s">
        <v>722</v>
      </c>
      <c r="D783" s="88" t="s">
        <v>1396</v>
      </c>
      <c r="E783" s="84" t="s">
        <v>3687</v>
      </c>
      <c r="F783" s="84" t="s">
        <v>719</v>
      </c>
      <c r="G783" s="84" t="s">
        <v>3607</v>
      </c>
      <c r="H783" s="84" t="s">
        <v>3521</v>
      </c>
      <c r="I783" s="84" t="s">
        <v>3684</v>
      </c>
      <c r="J783" s="84" t="s">
        <v>215</v>
      </c>
      <c r="L783" s="87">
        <v>624.0</v>
      </c>
      <c r="M783" s="87">
        <v>0.0</v>
      </c>
      <c r="N783" s="87">
        <v>0.209524</v>
      </c>
      <c r="O783" s="87">
        <v>0.0</v>
      </c>
      <c r="P783" s="87">
        <v>0.0</v>
      </c>
      <c r="Q783" s="87">
        <v>0.242857</v>
      </c>
    </row>
    <row r="784">
      <c r="A784" s="84" t="s">
        <v>481</v>
      </c>
      <c r="B784" s="194"/>
      <c r="C784" s="84" t="s">
        <v>993</v>
      </c>
      <c r="D784" s="88" t="s">
        <v>1396</v>
      </c>
      <c r="E784" s="84" t="s">
        <v>3683</v>
      </c>
      <c r="F784" s="84" t="s">
        <v>989</v>
      </c>
      <c r="G784" s="84" t="s">
        <v>3585</v>
      </c>
      <c r="H784" s="84" t="s">
        <v>3521</v>
      </c>
      <c r="I784" s="84" t="s">
        <v>3684</v>
      </c>
      <c r="J784" s="84" t="s">
        <v>130</v>
      </c>
      <c r="K784" s="91"/>
      <c r="L784" s="87">
        <v>24.0</v>
      </c>
      <c r="M784" s="87">
        <v>0.0</v>
      </c>
      <c r="N784" s="87">
        <v>0.0</v>
      </c>
      <c r="O784" s="87">
        <v>0.0</v>
      </c>
      <c r="P784" s="87">
        <v>0.0</v>
      </c>
      <c r="Q784" s="87">
        <v>0.016667</v>
      </c>
    </row>
    <row r="785">
      <c r="A785" s="84" t="s">
        <v>537</v>
      </c>
      <c r="B785" s="194"/>
      <c r="C785" s="84" t="s">
        <v>1052</v>
      </c>
      <c r="D785" s="88" t="s">
        <v>1396</v>
      </c>
      <c r="E785" s="84" t="s">
        <v>3683</v>
      </c>
      <c r="F785" s="84" t="s">
        <v>1047</v>
      </c>
      <c r="G785" s="84" t="s">
        <v>3592</v>
      </c>
      <c r="H785" s="84" t="s">
        <v>3521</v>
      </c>
      <c r="I785" s="84" t="s">
        <v>3693</v>
      </c>
      <c r="J785" s="91"/>
      <c r="K785" s="91"/>
      <c r="L785" s="87">
        <v>0.0</v>
      </c>
      <c r="M785" s="87">
        <v>0.0</v>
      </c>
      <c r="N785" s="87">
        <v>0.0</v>
      </c>
      <c r="O785" s="87">
        <v>0.142857</v>
      </c>
      <c r="P785" s="87">
        <v>0.1</v>
      </c>
      <c r="Q785" s="87">
        <v>0.084181</v>
      </c>
    </row>
    <row r="786">
      <c r="A786" s="84" t="s">
        <v>139</v>
      </c>
      <c r="B786" s="194"/>
      <c r="C786" s="84" t="s">
        <v>160</v>
      </c>
      <c r="D786" s="88" t="s">
        <v>1396</v>
      </c>
      <c r="E786" s="91"/>
      <c r="F786" s="84" t="s">
        <v>144</v>
      </c>
      <c r="G786" s="84" t="s">
        <v>3700</v>
      </c>
      <c r="I786" s="84" t="s">
        <v>3684</v>
      </c>
      <c r="J786" s="84" t="s">
        <v>130</v>
      </c>
      <c r="K786" s="85"/>
      <c r="L786" s="87">
        <v>480.0</v>
      </c>
      <c r="M786" s="87">
        <v>0.0</v>
      </c>
      <c r="N786" s="87">
        <v>0.0</v>
      </c>
      <c r="O786" s="87">
        <v>0.0</v>
      </c>
      <c r="P786" s="87">
        <v>0.0</v>
      </c>
      <c r="Q786" s="87">
        <v>0.0</v>
      </c>
    </row>
    <row r="787">
      <c r="A787" s="84" t="s">
        <v>644</v>
      </c>
      <c r="B787" s="194"/>
      <c r="C787" s="84" t="s">
        <v>1242</v>
      </c>
      <c r="D787" s="88" t="s">
        <v>1396</v>
      </c>
      <c r="E787" s="84" t="s">
        <v>3683</v>
      </c>
      <c r="F787" s="84" t="s">
        <v>1239</v>
      </c>
      <c r="G787" s="84" t="s">
        <v>3607</v>
      </c>
      <c r="H787" s="84" t="s">
        <v>3521</v>
      </c>
      <c r="I787" s="84" t="s">
        <v>3684</v>
      </c>
      <c r="J787" s="84" t="s">
        <v>130</v>
      </c>
      <c r="K787" s="85"/>
      <c r="L787" s="87">
        <v>24.0</v>
      </c>
      <c r="M787" s="87">
        <v>0.0</v>
      </c>
      <c r="N787" s="87">
        <v>0.0</v>
      </c>
      <c r="O787" s="87">
        <v>0.0</v>
      </c>
      <c r="P787" s="87">
        <v>0.0</v>
      </c>
      <c r="Q787" s="87">
        <v>0.0</v>
      </c>
    </row>
    <row r="788">
      <c r="A788" s="84" t="s">
        <v>472</v>
      </c>
      <c r="B788" s="194"/>
      <c r="C788" s="84" t="s">
        <v>514</v>
      </c>
      <c r="D788" s="88" t="s">
        <v>1396</v>
      </c>
      <c r="E788" s="84" t="s">
        <v>3683</v>
      </c>
      <c r="F788" s="84" t="s">
        <v>453</v>
      </c>
      <c r="G788" s="84" t="s">
        <v>3851</v>
      </c>
      <c r="H788" s="84" t="s">
        <v>3521</v>
      </c>
      <c r="I788" s="84" t="s">
        <v>3684</v>
      </c>
      <c r="J788" s="85"/>
      <c r="K788" s="85"/>
      <c r="L788" s="87">
        <v>24.0</v>
      </c>
      <c r="M788" s="87">
        <v>1.0</v>
      </c>
      <c r="N788" s="87">
        <v>0.0</v>
      </c>
      <c r="O788" s="87">
        <v>0.357143</v>
      </c>
      <c r="P788" s="87">
        <v>0.3</v>
      </c>
      <c r="Q788" s="87">
        <v>0.333333</v>
      </c>
    </row>
    <row r="789">
      <c r="A789" s="84" t="s">
        <v>644</v>
      </c>
      <c r="B789" s="194"/>
      <c r="C789" s="84" t="s">
        <v>1214</v>
      </c>
      <c r="D789" s="88" t="s">
        <v>1396</v>
      </c>
      <c r="E789" s="84" t="s">
        <v>3683</v>
      </c>
      <c r="F789" s="84" t="s">
        <v>850</v>
      </c>
      <c r="G789" s="84" t="s">
        <v>3551</v>
      </c>
      <c r="H789" s="84" t="s">
        <v>3521</v>
      </c>
      <c r="I789" s="84" t="s">
        <v>3684</v>
      </c>
      <c r="J789" s="91"/>
      <c r="K789" s="91"/>
      <c r="L789" s="87">
        <v>30.0</v>
      </c>
      <c r="M789" s="87">
        <v>5.0</v>
      </c>
      <c r="N789" s="87">
        <v>0.417832</v>
      </c>
      <c r="O789" s="87">
        <v>3.866384</v>
      </c>
      <c r="P789" s="87">
        <v>3.163834</v>
      </c>
      <c r="Q789" s="87">
        <v>1.950929</v>
      </c>
    </row>
    <row r="790">
      <c r="A790" s="84" t="s">
        <v>213</v>
      </c>
      <c r="B790" s="194"/>
      <c r="C790" s="84" t="s">
        <v>865</v>
      </c>
      <c r="D790" s="88" t="s">
        <v>1396</v>
      </c>
      <c r="E790" s="84" t="s">
        <v>3683</v>
      </c>
      <c r="F790" s="84" t="s">
        <v>866</v>
      </c>
      <c r="G790" s="84" t="s">
        <v>3552</v>
      </c>
      <c r="H790" s="84" t="s">
        <v>3521</v>
      </c>
      <c r="I790" s="84" t="s">
        <v>3684</v>
      </c>
      <c r="J790" s="85"/>
      <c r="K790" s="84" t="s">
        <v>111</v>
      </c>
      <c r="L790" s="87">
        <v>336.0</v>
      </c>
      <c r="M790" s="87">
        <v>0.0</v>
      </c>
      <c r="N790" s="87">
        <v>0.160256</v>
      </c>
      <c r="O790" s="87">
        <v>0.0</v>
      </c>
      <c r="P790" s="87">
        <v>0.0</v>
      </c>
      <c r="Q790" s="87">
        <v>0.160256</v>
      </c>
    </row>
    <row r="791">
      <c r="A791" s="84" t="s">
        <v>180</v>
      </c>
      <c r="B791" s="194"/>
      <c r="C791" s="84" t="s">
        <v>825</v>
      </c>
      <c r="D791" s="88" t="s">
        <v>1396</v>
      </c>
      <c r="E791" s="84" t="s">
        <v>3683</v>
      </c>
      <c r="F791" s="84" t="s">
        <v>4195</v>
      </c>
      <c r="G791" s="84" t="s">
        <v>3545</v>
      </c>
      <c r="I791" s="84" t="s">
        <v>3709</v>
      </c>
      <c r="J791" s="85"/>
      <c r="K791" s="85"/>
      <c r="L791" s="87">
        <v>552.0</v>
      </c>
      <c r="M791" s="87">
        <v>0.0</v>
      </c>
      <c r="N791" s="87">
        <v>0.0</v>
      </c>
      <c r="O791" s="87">
        <v>0.0</v>
      </c>
      <c r="P791" s="87">
        <v>0.0</v>
      </c>
      <c r="Q791" s="87">
        <v>0.0</v>
      </c>
    </row>
    <row r="792">
      <c r="A792" s="84" t="s">
        <v>180</v>
      </c>
      <c r="B792" s="194"/>
      <c r="C792" s="84" t="s">
        <v>194</v>
      </c>
      <c r="D792" s="88" t="s">
        <v>1396</v>
      </c>
      <c r="E792" s="84" t="s">
        <v>3683</v>
      </c>
      <c r="F792" s="84" t="s">
        <v>190</v>
      </c>
      <c r="G792" s="84" t="s">
        <v>3708</v>
      </c>
      <c r="H792" s="84" t="s">
        <v>3521</v>
      </c>
      <c r="I792" s="84" t="s">
        <v>3709</v>
      </c>
      <c r="J792" s="84" t="s">
        <v>130</v>
      </c>
      <c r="K792" s="91"/>
      <c r="L792" s="87">
        <v>24.0</v>
      </c>
      <c r="M792" s="87">
        <v>0.0</v>
      </c>
      <c r="N792" s="87">
        <v>0.0</v>
      </c>
      <c r="O792" s="87">
        <v>0.0</v>
      </c>
      <c r="P792" s="87">
        <v>0.0</v>
      </c>
      <c r="Q792" s="87">
        <v>0.0</v>
      </c>
    </row>
    <row r="793">
      <c r="A793" s="84" t="s">
        <v>341</v>
      </c>
      <c r="B793" s="194"/>
      <c r="C793" s="84" t="s">
        <v>349</v>
      </c>
      <c r="D793" s="88" t="s">
        <v>1396</v>
      </c>
      <c r="E793" s="84" t="s">
        <v>3683</v>
      </c>
      <c r="F793" s="84" t="s">
        <v>350</v>
      </c>
      <c r="G793" s="84" t="s">
        <v>4196</v>
      </c>
      <c r="H793" s="84" t="s">
        <v>3513</v>
      </c>
      <c r="I793" s="84" t="s">
        <v>3962</v>
      </c>
      <c r="J793" s="84" t="s">
        <v>130</v>
      </c>
      <c r="K793" s="91"/>
      <c r="L793" s="87">
        <v>0.0</v>
      </c>
      <c r="M793" s="87">
        <v>0.0</v>
      </c>
      <c r="N793" s="87">
        <v>0.0</v>
      </c>
      <c r="O793" s="87">
        <v>0.0</v>
      </c>
      <c r="P793" s="87">
        <v>0.0</v>
      </c>
      <c r="Q793" s="87">
        <v>0.0</v>
      </c>
    </row>
    <row r="794">
      <c r="A794" s="84" t="s">
        <v>644</v>
      </c>
      <c r="B794" s="194"/>
      <c r="C794" s="84" t="s">
        <v>696</v>
      </c>
      <c r="D794" s="88" t="s">
        <v>1396</v>
      </c>
      <c r="E794" s="84" t="s">
        <v>3683</v>
      </c>
      <c r="F794" s="84" t="s">
        <v>686</v>
      </c>
      <c r="G794" s="84" t="s">
        <v>3607</v>
      </c>
      <c r="H794" s="84" t="s">
        <v>3521</v>
      </c>
      <c r="I794" s="84" t="s">
        <v>3684</v>
      </c>
      <c r="J794" s="84" t="s">
        <v>130</v>
      </c>
      <c r="K794" s="91"/>
      <c r="L794" s="87">
        <v>24.0</v>
      </c>
      <c r="M794" s="87">
        <v>0.0</v>
      </c>
      <c r="N794" s="87">
        <v>0.0</v>
      </c>
      <c r="O794" s="87">
        <v>0.0</v>
      </c>
      <c r="P794" s="87">
        <v>0.0</v>
      </c>
      <c r="Q794" s="87">
        <v>0.0</v>
      </c>
    </row>
    <row r="795">
      <c r="A795" s="84" t="s">
        <v>644</v>
      </c>
      <c r="B795" s="194"/>
      <c r="C795" s="84" t="s">
        <v>720</v>
      </c>
      <c r="D795" s="88" t="s">
        <v>1396</v>
      </c>
      <c r="E795" s="84" t="s">
        <v>3683</v>
      </c>
      <c r="F795" s="84" t="s">
        <v>708</v>
      </c>
      <c r="G795" s="84" t="s">
        <v>3607</v>
      </c>
      <c r="H795" s="84" t="s">
        <v>3521</v>
      </c>
      <c r="I795" s="84" t="s">
        <v>3684</v>
      </c>
      <c r="J795" s="84" t="s">
        <v>130</v>
      </c>
      <c r="K795" s="91"/>
      <c r="L795" s="87">
        <v>24.0</v>
      </c>
      <c r="M795" s="87">
        <v>0.0</v>
      </c>
      <c r="N795" s="87">
        <v>0.0</v>
      </c>
      <c r="O795" s="87">
        <v>0.0</v>
      </c>
      <c r="P795" s="87">
        <v>0.0</v>
      </c>
      <c r="Q795" s="87">
        <v>0.0</v>
      </c>
    </row>
    <row r="796">
      <c r="A796" s="84" t="s">
        <v>180</v>
      </c>
      <c r="B796" s="194"/>
      <c r="C796" s="84" t="s">
        <v>832</v>
      </c>
      <c r="D796" s="88" t="s">
        <v>1396</v>
      </c>
      <c r="E796" s="84" t="s">
        <v>3683</v>
      </c>
      <c r="F796" s="84" t="s">
        <v>830</v>
      </c>
      <c r="G796" s="84" t="s">
        <v>3549</v>
      </c>
      <c r="H796" s="84" t="s">
        <v>3507</v>
      </c>
      <c r="I796" s="84" t="s">
        <v>3684</v>
      </c>
      <c r="J796" s="85"/>
      <c r="K796" s="84" t="s">
        <v>111</v>
      </c>
      <c r="L796" s="87">
        <v>536.0</v>
      </c>
      <c r="M796" s="87">
        <v>1.0</v>
      </c>
      <c r="N796" s="87">
        <v>2.385211</v>
      </c>
      <c r="O796" s="87">
        <v>0.36859</v>
      </c>
      <c r="P796" s="87">
        <v>4.897578</v>
      </c>
      <c r="Q796" s="87">
        <v>2.119583</v>
      </c>
    </row>
    <row r="797">
      <c r="A797" s="84" t="s">
        <v>601</v>
      </c>
      <c r="B797" s="194"/>
      <c r="C797" s="84" t="s">
        <v>1062</v>
      </c>
      <c r="D797" s="88" t="s">
        <v>1396</v>
      </c>
      <c r="E797" s="84" t="s">
        <v>3745</v>
      </c>
      <c r="F797" s="84" t="s">
        <v>340</v>
      </c>
      <c r="G797" s="84" t="s">
        <v>3595</v>
      </c>
      <c r="H797" s="84" t="s">
        <v>3521</v>
      </c>
      <c r="I797" s="84" t="s">
        <v>3684</v>
      </c>
      <c r="J797" s="91"/>
      <c r="K797" s="91"/>
      <c r="L797" s="87">
        <v>324.0</v>
      </c>
      <c r="M797" s="87">
        <v>8.0</v>
      </c>
      <c r="N797" s="87">
        <v>7.130306</v>
      </c>
      <c r="O797" s="87">
        <v>11.33333</v>
      </c>
      <c r="P797" s="87">
        <v>11.59127</v>
      </c>
      <c r="Q797" s="87">
        <v>12.22555</v>
      </c>
    </row>
    <row r="798">
      <c r="A798" s="84" t="s">
        <v>139</v>
      </c>
      <c r="B798" s="194"/>
      <c r="C798" s="84" t="s">
        <v>786</v>
      </c>
      <c r="D798" s="88" t="s">
        <v>1396</v>
      </c>
      <c r="E798" s="84" t="s">
        <v>3683</v>
      </c>
      <c r="F798" s="84" t="s">
        <v>787</v>
      </c>
      <c r="G798" s="84" t="s">
        <v>4085</v>
      </c>
      <c r="H798" s="84" t="s">
        <v>3521</v>
      </c>
      <c r="I798" s="84" t="s">
        <v>3684</v>
      </c>
      <c r="J798" s="84" t="s">
        <v>130</v>
      </c>
      <c r="K798" s="91"/>
      <c r="L798" s="87">
        <v>744.0</v>
      </c>
      <c r="M798" s="87">
        <v>0.0</v>
      </c>
      <c r="N798" s="87">
        <v>32.90648</v>
      </c>
      <c r="O798" s="87">
        <v>0.071429</v>
      </c>
      <c r="P798" s="87">
        <v>0.47037</v>
      </c>
      <c r="Q798" s="87">
        <v>33.00922</v>
      </c>
    </row>
    <row r="799">
      <c r="A799" s="84" t="s">
        <v>644</v>
      </c>
      <c r="B799" s="194"/>
      <c r="C799" s="84" t="s">
        <v>712</v>
      </c>
      <c r="D799" s="88" t="s">
        <v>1396</v>
      </c>
      <c r="E799" s="84" t="s">
        <v>3683</v>
      </c>
      <c r="F799" s="84" t="s">
        <v>708</v>
      </c>
      <c r="G799" s="84" t="s">
        <v>3607</v>
      </c>
      <c r="H799" s="84" t="s">
        <v>3521</v>
      </c>
      <c r="I799" s="84" t="s">
        <v>3684</v>
      </c>
      <c r="J799" s="84" t="s">
        <v>215</v>
      </c>
      <c r="L799" s="87">
        <v>264.0</v>
      </c>
      <c r="M799" s="87">
        <v>0.0</v>
      </c>
      <c r="N799" s="87">
        <v>2.050887</v>
      </c>
      <c r="O799" s="87">
        <v>1.652381</v>
      </c>
      <c r="P799" s="87">
        <v>0.344538</v>
      </c>
      <c r="Q799" s="87">
        <v>2.011551</v>
      </c>
    </row>
    <row r="800">
      <c r="A800" s="84" t="s">
        <v>644</v>
      </c>
      <c r="B800" s="194"/>
      <c r="C800" s="84" t="s">
        <v>1233</v>
      </c>
      <c r="D800" s="88" t="s">
        <v>1396</v>
      </c>
      <c r="E800" s="84" t="s">
        <v>3683</v>
      </c>
      <c r="F800" s="84" t="s">
        <v>1232</v>
      </c>
      <c r="G800" s="84" t="s">
        <v>3607</v>
      </c>
      <c r="H800" s="84" t="s">
        <v>3521</v>
      </c>
      <c r="I800" s="84" t="s">
        <v>3684</v>
      </c>
      <c r="J800" s="84" t="s">
        <v>215</v>
      </c>
      <c r="L800" s="87">
        <v>120.0</v>
      </c>
      <c r="M800" s="87">
        <v>0.0</v>
      </c>
      <c r="N800" s="87">
        <v>0.0</v>
      </c>
      <c r="O800" s="87">
        <v>0.0</v>
      </c>
      <c r="P800" s="87">
        <v>0.1</v>
      </c>
      <c r="Q800" s="87">
        <v>0.08</v>
      </c>
    </row>
    <row r="801">
      <c r="A801" s="84" t="s">
        <v>439</v>
      </c>
      <c r="B801" s="193"/>
      <c r="C801" s="84" t="s">
        <v>937</v>
      </c>
      <c r="D801" s="88" t="s">
        <v>1396</v>
      </c>
      <c r="E801" s="84" t="s">
        <v>3683</v>
      </c>
      <c r="F801" s="84" t="s">
        <v>938</v>
      </c>
      <c r="G801" s="84" t="s">
        <v>3571</v>
      </c>
      <c r="H801" s="84" t="s">
        <v>3527</v>
      </c>
      <c r="I801" s="84" t="s">
        <v>3709</v>
      </c>
      <c r="J801" s="91"/>
      <c r="K801" s="91"/>
      <c r="L801" s="87">
        <v>108.0</v>
      </c>
      <c r="M801" s="87">
        <v>199.0</v>
      </c>
      <c r="N801" s="87">
        <v>8.349018</v>
      </c>
      <c r="O801" s="87">
        <v>171.9474</v>
      </c>
      <c r="P801" s="87">
        <v>166.2376</v>
      </c>
      <c r="Q801" s="87">
        <v>155.5824</v>
      </c>
    </row>
    <row r="802">
      <c r="A802" s="84" t="s">
        <v>458</v>
      </c>
      <c r="B802" s="194"/>
      <c r="C802" s="84" t="s">
        <v>466</v>
      </c>
      <c r="D802" s="88" t="s">
        <v>1396</v>
      </c>
      <c r="E802" s="84" t="s">
        <v>3683</v>
      </c>
      <c r="F802" s="84" t="s">
        <v>467</v>
      </c>
      <c r="G802" s="84" t="s">
        <v>3582</v>
      </c>
      <c r="H802" s="84" t="s">
        <v>3521</v>
      </c>
      <c r="I802" s="84" t="s">
        <v>3684</v>
      </c>
      <c r="J802" s="91"/>
      <c r="K802" s="91"/>
      <c r="L802" s="87">
        <v>79.0</v>
      </c>
      <c r="M802" s="87">
        <v>7.0</v>
      </c>
      <c r="N802" s="87">
        <v>0.744589</v>
      </c>
      <c r="O802" s="87">
        <v>5.176823</v>
      </c>
      <c r="P802" s="87">
        <v>5.321217</v>
      </c>
      <c r="Q802" s="87">
        <v>4.88817</v>
      </c>
    </row>
    <row r="803">
      <c r="A803" s="84" t="s">
        <v>472</v>
      </c>
      <c r="B803" s="194"/>
      <c r="C803" s="84" t="s">
        <v>1023</v>
      </c>
      <c r="D803" s="88" t="s">
        <v>1396</v>
      </c>
      <c r="E803" s="84" t="s">
        <v>3683</v>
      </c>
      <c r="F803" s="84" t="s">
        <v>1020</v>
      </c>
      <c r="G803" s="84" t="s">
        <v>3560</v>
      </c>
      <c r="H803" s="84" t="s">
        <v>3507</v>
      </c>
      <c r="I803" s="84" t="s">
        <v>3684</v>
      </c>
      <c r="J803" s="91"/>
      <c r="K803" s="84" t="s">
        <v>111</v>
      </c>
      <c r="L803" s="87">
        <v>456.0</v>
      </c>
      <c r="M803" s="87">
        <v>0.0</v>
      </c>
      <c r="N803" s="87">
        <v>0.08</v>
      </c>
      <c r="O803" s="87">
        <v>0.0</v>
      </c>
      <c r="P803" s="87">
        <v>0.666667</v>
      </c>
      <c r="Q803" s="87">
        <v>0.08</v>
      </c>
    </row>
    <row r="804">
      <c r="A804" s="84" t="s">
        <v>644</v>
      </c>
      <c r="B804" s="194"/>
      <c r="C804" s="84" t="s">
        <v>751</v>
      </c>
      <c r="D804" s="88" t="s">
        <v>1396</v>
      </c>
      <c r="E804" s="84" t="s">
        <v>3683</v>
      </c>
      <c r="F804" s="84" t="s">
        <v>651</v>
      </c>
      <c r="G804" s="84" t="s">
        <v>3723</v>
      </c>
      <c r="H804" s="91"/>
      <c r="I804" s="84" t="s">
        <v>3684</v>
      </c>
      <c r="J804" s="91"/>
      <c r="K804" s="91"/>
      <c r="L804" s="87">
        <v>552.0</v>
      </c>
      <c r="M804" s="87">
        <v>0.0</v>
      </c>
      <c r="N804" s="87">
        <v>0.0</v>
      </c>
      <c r="O804" s="87">
        <v>0.0</v>
      </c>
      <c r="P804" s="87">
        <v>0.0</v>
      </c>
      <c r="Q804" s="87">
        <v>0.0</v>
      </c>
    </row>
    <row r="805">
      <c r="A805" s="84" t="s">
        <v>180</v>
      </c>
      <c r="B805" s="194"/>
      <c r="C805" s="84" t="s">
        <v>812</v>
      </c>
      <c r="D805" s="88" t="s">
        <v>1396</v>
      </c>
      <c r="E805" s="84" t="s">
        <v>3683</v>
      </c>
      <c r="F805" s="84" t="s">
        <v>542</v>
      </c>
      <c r="G805" s="84" t="s">
        <v>3514</v>
      </c>
      <c r="H805" s="84" t="s">
        <v>3513</v>
      </c>
      <c r="I805" s="84" t="s">
        <v>3684</v>
      </c>
      <c r="J805" s="85"/>
      <c r="K805" s="84" t="s">
        <v>111</v>
      </c>
      <c r="L805" s="87">
        <v>672.0</v>
      </c>
      <c r="M805" s="87">
        <v>0.0</v>
      </c>
      <c r="N805" s="87">
        <v>3.607544</v>
      </c>
      <c r="O805" s="87">
        <v>2.843254</v>
      </c>
      <c r="P805" s="87">
        <v>4.87684</v>
      </c>
      <c r="Q805" s="87">
        <v>3.85894</v>
      </c>
    </row>
    <row r="806">
      <c r="A806" s="84" t="s">
        <v>439</v>
      </c>
      <c r="B806" s="194"/>
      <c r="C806" s="84" t="s">
        <v>1307</v>
      </c>
      <c r="D806" s="88" t="s">
        <v>1396</v>
      </c>
      <c r="E806" s="84" t="s">
        <v>3687</v>
      </c>
      <c r="F806" s="84" t="s">
        <v>938</v>
      </c>
      <c r="G806" s="84" t="s">
        <v>3847</v>
      </c>
      <c r="I806" s="84" t="s">
        <v>3684</v>
      </c>
      <c r="J806" s="84" t="s">
        <v>130</v>
      </c>
      <c r="K806" s="91"/>
      <c r="L806" s="87">
        <v>48.0</v>
      </c>
      <c r="M806" s="87">
        <v>0.0</v>
      </c>
      <c r="N806" s="87">
        <v>2.5</v>
      </c>
      <c r="O806" s="87">
        <v>0.0</v>
      </c>
      <c r="P806" s="87">
        <v>0.5</v>
      </c>
      <c r="Q806" s="87">
        <v>2.5</v>
      </c>
    </row>
    <row r="807">
      <c r="A807" s="84" t="s">
        <v>481</v>
      </c>
      <c r="B807" s="194"/>
      <c r="C807" s="84" t="s">
        <v>525</v>
      </c>
      <c r="D807" s="88" t="s">
        <v>1396</v>
      </c>
      <c r="E807" s="84" t="s">
        <v>3683</v>
      </c>
      <c r="F807" s="84" t="s">
        <v>526</v>
      </c>
      <c r="G807" s="84" t="s">
        <v>3593</v>
      </c>
      <c r="H807" s="84" t="s">
        <v>3521</v>
      </c>
      <c r="I807" s="84" t="s">
        <v>3684</v>
      </c>
      <c r="J807" s="85"/>
      <c r="K807" s="85"/>
      <c r="L807" s="87">
        <v>0.0</v>
      </c>
      <c r="M807" s="87">
        <v>1.0</v>
      </c>
      <c r="N807" s="87">
        <v>0.0</v>
      </c>
      <c r="O807" s="87">
        <v>0.285714</v>
      </c>
      <c r="P807" s="87">
        <v>0.401149</v>
      </c>
      <c r="Q807" s="87">
        <v>0.451852</v>
      </c>
    </row>
    <row r="808">
      <c r="A808" s="84" t="s">
        <v>644</v>
      </c>
      <c r="B808" s="194"/>
      <c r="C808" s="84" t="s">
        <v>694</v>
      </c>
      <c r="D808" s="88" t="s">
        <v>1396</v>
      </c>
      <c r="E808" s="84" t="s">
        <v>3683</v>
      </c>
      <c r="F808" s="84" t="s">
        <v>686</v>
      </c>
      <c r="G808" s="84" t="s">
        <v>3607</v>
      </c>
      <c r="H808" s="84" t="s">
        <v>3521</v>
      </c>
      <c r="I808" s="84" t="s">
        <v>3684</v>
      </c>
      <c r="J808" s="84" t="s">
        <v>215</v>
      </c>
      <c r="L808" s="87">
        <v>48.0</v>
      </c>
      <c r="M808" s="87">
        <v>0.0</v>
      </c>
      <c r="N808" s="87">
        <v>0.2</v>
      </c>
      <c r="O808" s="87">
        <v>0.414286</v>
      </c>
      <c r="P808" s="87">
        <v>0.333333</v>
      </c>
      <c r="Q808" s="87">
        <v>0.322727</v>
      </c>
    </row>
    <row r="809">
      <c r="A809" s="84" t="s">
        <v>481</v>
      </c>
      <c r="B809" s="194"/>
      <c r="C809" s="84" t="s">
        <v>990</v>
      </c>
      <c r="D809" s="88" t="s">
        <v>1396</v>
      </c>
      <c r="E809" s="84" t="s">
        <v>3683</v>
      </c>
      <c r="F809" s="84" t="s">
        <v>989</v>
      </c>
      <c r="G809" s="84" t="s">
        <v>3585</v>
      </c>
      <c r="H809" s="84" t="s">
        <v>3521</v>
      </c>
      <c r="I809" s="84" t="s">
        <v>3684</v>
      </c>
      <c r="J809" s="85"/>
      <c r="K809" s="85"/>
      <c r="L809" s="87">
        <v>24.0</v>
      </c>
      <c r="M809" s="87">
        <v>1.0</v>
      </c>
      <c r="N809" s="87">
        <v>0.0</v>
      </c>
      <c r="O809" s="87">
        <v>0.5</v>
      </c>
      <c r="P809" s="87">
        <v>0.438095</v>
      </c>
      <c r="Q809" s="87">
        <v>0.525122</v>
      </c>
    </row>
    <row r="810">
      <c r="A810" s="84" t="s">
        <v>601</v>
      </c>
      <c r="B810" s="194"/>
      <c r="C810" s="84" t="s">
        <v>604</v>
      </c>
      <c r="D810" s="88" t="s">
        <v>1396</v>
      </c>
      <c r="E810" s="84" t="s">
        <v>3687</v>
      </c>
      <c r="F810" s="84" t="s">
        <v>605</v>
      </c>
      <c r="G810" s="84" t="s">
        <v>3874</v>
      </c>
      <c r="H810" s="84" t="s">
        <v>3521</v>
      </c>
      <c r="I810" s="84" t="s">
        <v>3684</v>
      </c>
      <c r="J810" s="85"/>
      <c r="K810" s="91"/>
      <c r="L810" s="87">
        <v>0.0</v>
      </c>
      <c r="M810" s="87">
        <v>0.0</v>
      </c>
      <c r="N810" s="87">
        <v>0.0</v>
      </c>
      <c r="O810" s="87">
        <v>0.153846</v>
      </c>
      <c r="P810" s="87">
        <v>0.243842</v>
      </c>
      <c r="Q810" s="87">
        <v>0.17066</v>
      </c>
    </row>
    <row r="811">
      <c r="A811" s="84" t="s">
        <v>180</v>
      </c>
      <c r="B811" s="194"/>
      <c r="C811" s="84" t="s">
        <v>818</v>
      </c>
      <c r="D811" s="88" t="s">
        <v>1396</v>
      </c>
      <c r="E811" s="84" t="s">
        <v>3683</v>
      </c>
      <c r="F811" s="84" t="s">
        <v>814</v>
      </c>
      <c r="G811" s="84" t="s">
        <v>3533</v>
      </c>
      <c r="I811" s="84" t="s">
        <v>3684</v>
      </c>
      <c r="J811" s="91"/>
      <c r="K811" s="91"/>
      <c r="L811" s="87">
        <v>72.0</v>
      </c>
      <c r="M811" s="87">
        <v>0.0</v>
      </c>
      <c r="N811" s="87">
        <v>0.0</v>
      </c>
      <c r="O811" s="87">
        <v>0.071429</v>
      </c>
      <c r="P811" s="87">
        <v>0.033333</v>
      </c>
      <c r="Q811" s="87">
        <v>0.019231</v>
      </c>
    </row>
    <row r="812">
      <c r="A812" s="84" t="s">
        <v>644</v>
      </c>
      <c r="B812" s="194"/>
      <c r="C812" s="84" t="s">
        <v>672</v>
      </c>
      <c r="D812" s="88" t="s">
        <v>1396</v>
      </c>
      <c r="E812" s="84" t="s">
        <v>3683</v>
      </c>
      <c r="F812" s="84" t="s">
        <v>670</v>
      </c>
      <c r="G812" s="84" t="s">
        <v>3789</v>
      </c>
      <c r="H812" s="84" t="s">
        <v>3521</v>
      </c>
      <c r="I812" s="84" t="s">
        <v>3684</v>
      </c>
      <c r="J812" s="91"/>
      <c r="K812" s="85"/>
      <c r="L812" s="87">
        <v>8.0</v>
      </c>
      <c r="M812" s="87">
        <v>8.0</v>
      </c>
      <c r="N812" s="87">
        <v>0.142857</v>
      </c>
      <c r="O812" s="87">
        <v>8.78971</v>
      </c>
      <c r="P812" s="87">
        <v>8.47394</v>
      </c>
      <c r="Q812" s="87">
        <v>7.011279</v>
      </c>
    </row>
    <row r="813">
      <c r="A813" s="84" t="s">
        <v>264</v>
      </c>
      <c r="B813" s="194"/>
      <c r="C813" s="84" t="s">
        <v>294</v>
      </c>
      <c r="D813" s="88" t="s">
        <v>1396</v>
      </c>
      <c r="E813" s="84" t="s">
        <v>3683</v>
      </c>
      <c r="F813" s="84" t="s">
        <v>295</v>
      </c>
      <c r="G813" s="84" t="s">
        <v>3564</v>
      </c>
      <c r="I813" s="84" t="s">
        <v>3684</v>
      </c>
      <c r="J813" s="85"/>
      <c r="K813" s="91"/>
      <c r="L813" s="87">
        <v>552.0</v>
      </c>
      <c r="M813" s="87">
        <v>0.0</v>
      </c>
      <c r="N813" s="87">
        <v>0.0</v>
      </c>
      <c r="O813" s="87">
        <v>0.0</v>
      </c>
      <c r="P813" s="87">
        <v>0.0</v>
      </c>
      <c r="Q813" s="87">
        <v>0.0</v>
      </c>
    </row>
    <row r="814">
      <c r="A814" s="84" t="s">
        <v>644</v>
      </c>
      <c r="B814" s="194"/>
      <c r="C814" s="84" t="s">
        <v>701</v>
      </c>
      <c r="D814" s="88" t="s">
        <v>1396</v>
      </c>
      <c r="E814" s="84" t="s">
        <v>3683</v>
      </c>
      <c r="F814" s="84" t="s">
        <v>686</v>
      </c>
      <c r="G814" s="84" t="s">
        <v>3607</v>
      </c>
      <c r="H814" s="84" t="s">
        <v>3521</v>
      </c>
      <c r="I814" s="84" t="s">
        <v>3684</v>
      </c>
      <c r="J814" s="84" t="s">
        <v>215</v>
      </c>
      <c r="K814" s="84" t="s">
        <v>111</v>
      </c>
      <c r="L814" s="87">
        <v>72.0</v>
      </c>
      <c r="M814" s="87">
        <v>0.0</v>
      </c>
      <c r="N814" s="87">
        <v>1.0</v>
      </c>
      <c r="O814" s="87">
        <v>0.0</v>
      </c>
      <c r="P814" s="87">
        <v>0.066667</v>
      </c>
      <c r="Q814" s="87">
        <v>1.033333</v>
      </c>
    </row>
    <row r="815">
      <c r="A815" s="84" t="s">
        <v>537</v>
      </c>
      <c r="B815" s="194"/>
      <c r="C815" s="84" t="s">
        <v>1053</v>
      </c>
      <c r="D815" s="88" t="s">
        <v>1396</v>
      </c>
      <c r="E815" s="84" t="s">
        <v>3683</v>
      </c>
      <c r="F815" s="84" t="s">
        <v>1047</v>
      </c>
      <c r="G815" s="84" t="s">
        <v>3592</v>
      </c>
      <c r="H815" s="84" t="s">
        <v>3521</v>
      </c>
      <c r="I815" s="84" t="s">
        <v>3693</v>
      </c>
      <c r="J815" s="91"/>
      <c r="K815" s="84" t="s">
        <v>111</v>
      </c>
      <c r="L815" s="87">
        <v>456.0</v>
      </c>
      <c r="M815" s="87">
        <v>0.0</v>
      </c>
      <c r="N815" s="87">
        <v>0.083333</v>
      </c>
      <c r="O815" s="87">
        <v>0.0</v>
      </c>
      <c r="P815" s="87">
        <v>0.083333</v>
      </c>
      <c r="Q815" s="87">
        <v>0.056349</v>
      </c>
    </row>
    <row r="816">
      <c r="A816" s="84" t="s">
        <v>180</v>
      </c>
      <c r="B816" s="194"/>
      <c r="C816" s="84" t="s">
        <v>834</v>
      </c>
      <c r="D816" s="88" t="s">
        <v>1396</v>
      </c>
      <c r="E816" s="84" t="s">
        <v>3683</v>
      </c>
      <c r="F816" s="84" t="s">
        <v>830</v>
      </c>
      <c r="G816" s="84" t="s">
        <v>3549</v>
      </c>
      <c r="H816" s="84" t="s">
        <v>3507</v>
      </c>
      <c r="I816" s="84" t="s">
        <v>3684</v>
      </c>
      <c r="J816" s="91"/>
      <c r="K816" s="91"/>
      <c r="L816" s="87">
        <v>0.0</v>
      </c>
      <c r="M816" s="87">
        <v>0.0</v>
      </c>
      <c r="N816" s="87">
        <v>0.0</v>
      </c>
      <c r="O816" s="87">
        <v>0.0</v>
      </c>
      <c r="P816" s="87">
        <v>0.0</v>
      </c>
      <c r="Q816" s="87">
        <v>0.0</v>
      </c>
    </row>
    <row r="817">
      <c r="A817" s="84" t="s">
        <v>301</v>
      </c>
      <c r="B817" s="194"/>
      <c r="C817" s="84" t="s">
        <v>1284</v>
      </c>
      <c r="D817" s="88" t="s">
        <v>1396</v>
      </c>
      <c r="E817" s="84" t="s">
        <v>3683</v>
      </c>
      <c r="F817" s="84" t="s">
        <v>3959</v>
      </c>
      <c r="G817" s="84" t="s">
        <v>3960</v>
      </c>
      <c r="H817" s="84" t="s">
        <v>3521</v>
      </c>
      <c r="I817" s="84" t="s">
        <v>3684</v>
      </c>
      <c r="J817" s="91"/>
      <c r="K817" s="91"/>
      <c r="L817" s="87">
        <v>0.0</v>
      </c>
      <c r="M817" s="87">
        <v>0.0</v>
      </c>
      <c r="N817" s="87">
        <v>0.0</v>
      </c>
      <c r="O817" s="87">
        <v>0.071429</v>
      </c>
      <c r="P817" s="87">
        <v>0.033333</v>
      </c>
      <c r="Q817" s="87">
        <v>0.035535</v>
      </c>
    </row>
    <row r="818">
      <c r="A818" s="84" t="s">
        <v>107</v>
      </c>
      <c r="B818" s="194"/>
      <c r="C818" s="84" t="s">
        <v>132</v>
      </c>
      <c r="D818" s="88" t="s">
        <v>1396</v>
      </c>
      <c r="E818" s="84" t="s">
        <v>3683</v>
      </c>
      <c r="F818" s="84" t="s">
        <v>133</v>
      </c>
      <c r="G818" s="84" t="s">
        <v>3552</v>
      </c>
      <c r="H818" s="84" t="s">
        <v>3521</v>
      </c>
      <c r="I818" s="84" t="s">
        <v>3684</v>
      </c>
      <c r="J818" s="84" t="s">
        <v>130</v>
      </c>
      <c r="K818" s="84" t="s">
        <v>111</v>
      </c>
      <c r="L818" s="87">
        <v>24.0</v>
      </c>
      <c r="M818" s="87">
        <v>0.0</v>
      </c>
      <c r="N818" s="87">
        <v>0.026316</v>
      </c>
      <c r="O818" s="87">
        <v>0.0</v>
      </c>
      <c r="P818" s="87">
        <v>0.125</v>
      </c>
      <c r="Q818" s="87">
        <v>0.026316</v>
      </c>
    </row>
    <row r="819">
      <c r="A819" s="84" t="s">
        <v>601</v>
      </c>
      <c r="B819" s="194"/>
      <c r="C819" s="84" t="s">
        <v>1059</v>
      </c>
      <c r="D819" s="88" t="s">
        <v>1396</v>
      </c>
      <c r="E819" s="84" t="s">
        <v>3683</v>
      </c>
      <c r="F819" s="84" t="s">
        <v>898</v>
      </c>
      <c r="G819" s="84" t="s">
        <v>3560</v>
      </c>
      <c r="H819" s="84" t="s">
        <v>3521</v>
      </c>
      <c r="I819" s="84" t="s">
        <v>3684</v>
      </c>
      <c r="J819" s="84" t="s">
        <v>130</v>
      </c>
      <c r="K819" s="85"/>
      <c r="L819" s="87">
        <v>24.0</v>
      </c>
      <c r="M819" s="87">
        <v>0.0</v>
      </c>
      <c r="N819" s="87">
        <v>0.0</v>
      </c>
      <c r="O819" s="87">
        <v>0.0</v>
      </c>
      <c r="P819" s="87">
        <v>0.0</v>
      </c>
      <c r="Q819" s="87">
        <v>0.0</v>
      </c>
    </row>
    <row r="820">
      <c r="A820" s="84" t="s">
        <v>644</v>
      </c>
      <c r="B820" s="194"/>
      <c r="C820" s="84" t="s">
        <v>1207</v>
      </c>
      <c r="D820" s="88" t="s">
        <v>1396</v>
      </c>
      <c r="E820" s="84" t="s">
        <v>3683</v>
      </c>
      <c r="F820" s="84" t="s">
        <v>1208</v>
      </c>
      <c r="G820" s="84" t="s">
        <v>3606</v>
      </c>
      <c r="H820" s="84" t="s">
        <v>3521</v>
      </c>
      <c r="I820" s="84" t="s">
        <v>3684</v>
      </c>
      <c r="J820" s="84" t="s">
        <v>130</v>
      </c>
      <c r="K820" s="91"/>
      <c r="L820" s="87">
        <v>24.0</v>
      </c>
      <c r="M820" s="87">
        <v>0.0</v>
      </c>
      <c r="N820" s="87">
        <v>0.0</v>
      </c>
      <c r="O820" s="87">
        <v>0.0</v>
      </c>
      <c r="P820" s="87">
        <v>0.0</v>
      </c>
      <c r="Q820" s="87">
        <v>0.0</v>
      </c>
    </row>
    <row r="821">
      <c r="A821" s="84" t="s">
        <v>481</v>
      </c>
      <c r="B821" s="194"/>
      <c r="C821" s="84" t="s">
        <v>1309</v>
      </c>
      <c r="D821" s="88" t="s">
        <v>1396</v>
      </c>
      <c r="E821" s="84" t="s">
        <v>3683</v>
      </c>
      <c r="F821" s="84" t="s">
        <v>3757</v>
      </c>
      <c r="G821" s="84" t="s">
        <v>3593</v>
      </c>
      <c r="I821" s="84" t="s">
        <v>3684</v>
      </c>
      <c r="J821" s="91"/>
      <c r="K821" s="91"/>
      <c r="L821" s="87">
        <v>24.0</v>
      </c>
      <c r="M821" s="87">
        <v>0.0</v>
      </c>
      <c r="N821" s="87">
        <v>0.0</v>
      </c>
      <c r="O821" s="87">
        <v>0.0</v>
      </c>
      <c r="P821" s="87">
        <v>0.0</v>
      </c>
      <c r="Q821" s="87">
        <v>0.0</v>
      </c>
    </row>
    <row r="822">
      <c r="A822" s="84" t="s">
        <v>537</v>
      </c>
      <c r="B822" s="194"/>
      <c r="C822" s="84" t="s">
        <v>1049</v>
      </c>
      <c r="D822" s="88" t="s">
        <v>1396</v>
      </c>
      <c r="E822" s="84" t="s">
        <v>3683</v>
      </c>
      <c r="F822" s="84" t="s">
        <v>1047</v>
      </c>
      <c r="G822" s="84" t="s">
        <v>3592</v>
      </c>
      <c r="I822" s="84" t="s">
        <v>3693</v>
      </c>
      <c r="J822" s="91"/>
      <c r="K822" s="91"/>
      <c r="L822" s="87">
        <v>0.0</v>
      </c>
      <c r="M822" s="87">
        <v>0.0</v>
      </c>
      <c r="N822" s="87">
        <v>0.0</v>
      </c>
      <c r="O822" s="87">
        <v>0.0</v>
      </c>
      <c r="P822" s="87">
        <v>0.0</v>
      </c>
      <c r="Q822" s="87">
        <v>0.0</v>
      </c>
    </row>
    <row r="823">
      <c r="A823" s="84" t="s">
        <v>393</v>
      </c>
      <c r="B823" s="194"/>
      <c r="C823" s="84" t="s">
        <v>433</v>
      </c>
      <c r="D823" s="88" t="s">
        <v>1396</v>
      </c>
      <c r="E823" s="84" t="s">
        <v>3687</v>
      </c>
      <c r="F823" s="84" t="s">
        <v>434</v>
      </c>
      <c r="G823" s="84" t="s">
        <v>3832</v>
      </c>
      <c r="I823" s="84" t="s">
        <v>3693</v>
      </c>
      <c r="J823" s="91"/>
      <c r="K823" s="91"/>
      <c r="L823" s="87">
        <v>48.0</v>
      </c>
      <c r="M823" s="87">
        <v>0.0</v>
      </c>
      <c r="N823" s="87">
        <v>0.142857</v>
      </c>
      <c r="O823" s="87">
        <v>0.0</v>
      </c>
      <c r="P823" s="87">
        <v>0.0</v>
      </c>
      <c r="Q823" s="87">
        <v>0.142857</v>
      </c>
    </row>
    <row r="824">
      <c r="A824" s="84" t="s">
        <v>644</v>
      </c>
      <c r="B824" s="194"/>
      <c r="C824" s="84" t="s">
        <v>1220</v>
      </c>
      <c r="D824" s="88" t="s">
        <v>1396</v>
      </c>
      <c r="E824" s="84" t="s">
        <v>3683</v>
      </c>
      <c r="F824" s="84" t="s">
        <v>850</v>
      </c>
      <c r="G824" s="84" t="s">
        <v>3551</v>
      </c>
      <c r="H824" s="84" t="s">
        <v>3521</v>
      </c>
      <c r="I824" s="84" t="s">
        <v>3684</v>
      </c>
      <c r="J824" s="84" t="s">
        <v>130</v>
      </c>
      <c r="K824" s="85"/>
      <c r="L824" s="87">
        <v>24.0</v>
      </c>
      <c r="M824" s="87">
        <v>0.0</v>
      </c>
      <c r="N824" s="87">
        <v>0.0</v>
      </c>
      <c r="O824" s="87">
        <v>0.0</v>
      </c>
      <c r="P824" s="87">
        <v>0.0</v>
      </c>
      <c r="Q824" s="87">
        <v>0.0</v>
      </c>
    </row>
    <row r="825">
      <c r="A825" s="84" t="s">
        <v>537</v>
      </c>
      <c r="B825" s="194"/>
      <c r="C825" s="84" t="s">
        <v>546</v>
      </c>
      <c r="D825" s="88" t="s">
        <v>1396</v>
      </c>
      <c r="E825" s="84" t="s">
        <v>3683</v>
      </c>
      <c r="F825" s="84" t="s">
        <v>542</v>
      </c>
      <c r="G825" s="84" t="s">
        <v>3514</v>
      </c>
      <c r="H825" s="84" t="s">
        <v>3521</v>
      </c>
      <c r="I825" s="84" t="s">
        <v>3693</v>
      </c>
      <c r="J825" s="84" t="s">
        <v>130</v>
      </c>
      <c r="K825" s="84" t="s">
        <v>111</v>
      </c>
      <c r="L825" s="87">
        <v>24.0</v>
      </c>
      <c r="M825" s="87">
        <v>0.0</v>
      </c>
      <c r="N825" s="87">
        <v>0.034483</v>
      </c>
      <c r="O825" s="87">
        <v>0.0</v>
      </c>
      <c r="P825" s="87">
        <v>0.0</v>
      </c>
      <c r="Q825" s="87">
        <v>0.034483</v>
      </c>
    </row>
    <row r="826">
      <c r="A826" s="84" t="s">
        <v>363</v>
      </c>
      <c r="B826" s="194"/>
      <c r="C826" s="84" t="s">
        <v>375</v>
      </c>
      <c r="D826" s="88" t="s">
        <v>1396</v>
      </c>
      <c r="E826" s="84" t="s">
        <v>3683</v>
      </c>
      <c r="F826" s="84" t="s">
        <v>376</v>
      </c>
      <c r="G826" s="84" t="s">
        <v>3568</v>
      </c>
      <c r="H826" s="84" t="s">
        <v>3527</v>
      </c>
      <c r="I826" s="84" t="s">
        <v>3709</v>
      </c>
      <c r="J826" s="84" t="s">
        <v>130</v>
      </c>
      <c r="K826" s="84" t="s">
        <v>111</v>
      </c>
      <c r="L826" s="87">
        <v>720.0</v>
      </c>
      <c r="M826" s="87">
        <v>0.0</v>
      </c>
      <c r="N826" s="87">
        <v>0.0</v>
      </c>
      <c r="O826" s="87">
        <v>0.0</v>
      </c>
      <c r="P826" s="87">
        <v>0.0</v>
      </c>
      <c r="Q826" s="87">
        <v>0.0</v>
      </c>
    </row>
    <row r="827">
      <c r="A827" s="84" t="s">
        <v>1122</v>
      </c>
      <c r="B827" s="194"/>
      <c r="C827" s="84" t="s">
        <v>1125</v>
      </c>
      <c r="D827" s="88" t="s">
        <v>1396</v>
      </c>
      <c r="E827" s="84" t="s">
        <v>3687</v>
      </c>
      <c r="F827" s="91"/>
      <c r="G827" s="84" t="s">
        <v>3603</v>
      </c>
      <c r="H827" s="84" t="s">
        <v>3521</v>
      </c>
      <c r="I827" s="84" t="s">
        <v>3684</v>
      </c>
      <c r="J827" s="84" t="s">
        <v>89</v>
      </c>
      <c r="K827" s="85"/>
      <c r="L827" s="87">
        <v>0.0</v>
      </c>
      <c r="M827" s="87">
        <v>0.0</v>
      </c>
      <c r="N827" s="87">
        <v>0.0</v>
      </c>
      <c r="O827" s="87">
        <v>0.071429</v>
      </c>
      <c r="P827" s="87">
        <v>0.266667</v>
      </c>
      <c r="Q827" s="87">
        <v>0.264143</v>
      </c>
    </row>
    <row r="828">
      <c r="A828" s="84" t="s">
        <v>444</v>
      </c>
      <c r="B828" s="194"/>
      <c r="C828" s="84" t="s">
        <v>1342</v>
      </c>
      <c r="D828" s="88" t="s">
        <v>1396</v>
      </c>
      <c r="E828" s="84" t="s">
        <v>3683</v>
      </c>
      <c r="F828" s="84" t="s">
        <v>953</v>
      </c>
      <c r="G828" s="84" t="s">
        <v>3578</v>
      </c>
      <c r="H828" s="84" t="s">
        <v>3521</v>
      </c>
      <c r="I828" s="84" t="s">
        <v>3684</v>
      </c>
      <c r="J828" s="85"/>
      <c r="K828" s="91"/>
      <c r="L828" s="87">
        <v>37.0</v>
      </c>
      <c r="M828" s="87">
        <v>4.0</v>
      </c>
      <c r="N828" s="87">
        <v>1.446429</v>
      </c>
      <c r="O828" s="87">
        <v>4.080952</v>
      </c>
      <c r="P828" s="87">
        <v>5.157324</v>
      </c>
      <c r="Q828" s="87">
        <v>4.498192</v>
      </c>
    </row>
    <row r="829">
      <c r="A829" s="84" t="s">
        <v>644</v>
      </c>
      <c r="B829" s="194"/>
      <c r="C829" s="84" t="s">
        <v>668</v>
      </c>
      <c r="D829" s="88" t="s">
        <v>1396</v>
      </c>
      <c r="E829" s="84" t="s">
        <v>3683</v>
      </c>
      <c r="F829" s="84" t="s">
        <v>658</v>
      </c>
      <c r="G829" s="84" t="s">
        <v>3801</v>
      </c>
      <c r="H829" s="84" t="s">
        <v>3521</v>
      </c>
      <c r="I829" s="84" t="s">
        <v>3684</v>
      </c>
      <c r="J829" s="85"/>
      <c r="K829" s="84" t="s">
        <v>111</v>
      </c>
      <c r="L829" s="87">
        <v>720.0</v>
      </c>
      <c r="M829" s="87">
        <v>0.0</v>
      </c>
      <c r="N829" s="87">
        <v>0.0</v>
      </c>
      <c r="O829" s="87">
        <v>0.0</v>
      </c>
      <c r="P829" s="87">
        <v>0.038462</v>
      </c>
      <c r="Q829" s="87">
        <v>0.019231</v>
      </c>
    </row>
    <row r="830">
      <c r="A830" s="84" t="s">
        <v>644</v>
      </c>
      <c r="B830" s="194"/>
      <c r="C830" s="84" t="s">
        <v>690</v>
      </c>
      <c r="D830" s="88" t="s">
        <v>1396</v>
      </c>
      <c r="E830" s="84" t="s">
        <v>3683</v>
      </c>
      <c r="F830" s="84" t="s">
        <v>686</v>
      </c>
      <c r="G830" s="84" t="s">
        <v>3607</v>
      </c>
      <c r="H830" s="84" t="s">
        <v>3521</v>
      </c>
      <c r="I830" s="84" t="s">
        <v>3684</v>
      </c>
      <c r="J830" s="84" t="s">
        <v>215</v>
      </c>
      <c r="L830" s="87">
        <v>192.0</v>
      </c>
      <c r="M830" s="87">
        <v>0.0</v>
      </c>
      <c r="N830" s="87">
        <v>0.419655</v>
      </c>
      <c r="O830" s="87">
        <v>0.214286</v>
      </c>
      <c r="P830" s="87">
        <v>0.77619</v>
      </c>
      <c r="Q830" s="87">
        <v>0.519655</v>
      </c>
    </row>
    <row r="831">
      <c r="A831" s="84" t="s">
        <v>644</v>
      </c>
      <c r="B831" s="194"/>
      <c r="C831" s="84" t="s">
        <v>1268</v>
      </c>
      <c r="D831" s="88" t="s">
        <v>1396</v>
      </c>
      <c r="E831" s="84" t="s">
        <v>3683</v>
      </c>
      <c r="F831" s="84" t="s">
        <v>682</v>
      </c>
      <c r="G831" s="84" t="s">
        <v>3563</v>
      </c>
      <c r="H831" s="84" t="s">
        <v>3521</v>
      </c>
      <c r="I831" s="84" t="s">
        <v>3684</v>
      </c>
      <c r="J831" s="91"/>
      <c r="K831" s="84" t="s">
        <v>111</v>
      </c>
      <c r="L831" s="87">
        <v>648.0</v>
      </c>
      <c r="M831" s="87">
        <v>0.0</v>
      </c>
      <c r="N831" s="87">
        <v>0.0</v>
      </c>
      <c r="O831" s="87">
        <v>0.0</v>
      </c>
      <c r="P831" s="87">
        <v>0.0</v>
      </c>
      <c r="Q831" s="87">
        <v>0.0</v>
      </c>
    </row>
    <row r="832">
      <c r="A832" s="84" t="s">
        <v>258</v>
      </c>
      <c r="B832" s="194"/>
      <c r="C832" s="84" t="s">
        <v>887</v>
      </c>
      <c r="D832" s="88" t="s">
        <v>1396</v>
      </c>
      <c r="E832" s="84" t="s">
        <v>3683</v>
      </c>
      <c r="F832" s="84" t="s">
        <v>884</v>
      </c>
      <c r="G832" s="84" t="s">
        <v>3558</v>
      </c>
      <c r="I832" s="84" t="s">
        <v>3684</v>
      </c>
      <c r="J832" s="91"/>
      <c r="K832" s="91"/>
      <c r="L832" s="87">
        <v>552.0</v>
      </c>
      <c r="M832" s="87">
        <v>0.0</v>
      </c>
      <c r="N832" s="87">
        <v>0.0</v>
      </c>
      <c r="O832" s="87">
        <v>0.0</v>
      </c>
      <c r="P832" s="87">
        <v>0.0</v>
      </c>
      <c r="Q832" s="87">
        <v>0.0</v>
      </c>
    </row>
    <row r="833">
      <c r="A833" s="84" t="s">
        <v>644</v>
      </c>
      <c r="B833" s="194"/>
      <c r="C833" s="84" t="s">
        <v>687</v>
      </c>
      <c r="D833" s="88" t="s">
        <v>1396</v>
      </c>
      <c r="E833" s="84" t="s">
        <v>3687</v>
      </c>
      <c r="F833" s="84" t="s">
        <v>686</v>
      </c>
      <c r="G833" s="84" t="s">
        <v>3607</v>
      </c>
      <c r="I833" s="84" t="s">
        <v>3684</v>
      </c>
      <c r="J833" s="91"/>
      <c r="K833" s="85"/>
      <c r="L833" s="87">
        <v>552.0</v>
      </c>
      <c r="M833" s="87">
        <v>0.0</v>
      </c>
      <c r="N833" s="87">
        <v>0.0</v>
      </c>
      <c r="O833" s="87">
        <v>0.0</v>
      </c>
      <c r="P833" s="87">
        <v>0.0</v>
      </c>
      <c r="Q833" s="87">
        <v>0.0</v>
      </c>
    </row>
    <row r="834">
      <c r="A834" s="84" t="s">
        <v>107</v>
      </c>
      <c r="B834" s="194"/>
      <c r="C834" s="84" t="s">
        <v>132</v>
      </c>
      <c r="D834" s="88" t="s">
        <v>1396</v>
      </c>
      <c r="E834" s="84" t="s">
        <v>3683</v>
      </c>
      <c r="F834" s="84" t="s">
        <v>133</v>
      </c>
      <c r="G834" s="84" t="s">
        <v>3552</v>
      </c>
      <c r="H834" s="84" t="s">
        <v>3521</v>
      </c>
      <c r="I834" s="84" t="s">
        <v>3684</v>
      </c>
      <c r="J834" s="85"/>
      <c r="K834" s="84" t="s">
        <v>111</v>
      </c>
      <c r="L834" s="87">
        <v>864.0</v>
      </c>
      <c r="M834" s="87">
        <v>0.0</v>
      </c>
      <c r="N834" s="87">
        <v>0.333333</v>
      </c>
      <c r="O834" s="87">
        <v>0.0</v>
      </c>
      <c r="P834" s="87">
        <v>0.333333</v>
      </c>
      <c r="Q834" s="87">
        <v>0.333333</v>
      </c>
    </row>
    <row r="835">
      <c r="A835" s="84" t="s">
        <v>393</v>
      </c>
      <c r="B835" s="194"/>
      <c r="C835" s="84" t="s">
        <v>421</v>
      </c>
      <c r="D835" s="88" t="s">
        <v>1396</v>
      </c>
      <c r="E835" s="84" t="s">
        <v>3683</v>
      </c>
      <c r="F835" s="84" t="s">
        <v>415</v>
      </c>
      <c r="G835" s="84" t="s">
        <v>3832</v>
      </c>
      <c r="I835" s="84" t="s">
        <v>3693</v>
      </c>
      <c r="J835" s="91"/>
      <c r="K835" s="85"/>
      <c r="L835" s="87">
        <v>552.0</v>
      </c>
      <c r="M835" s="87">
        <v>0.0</v>
      </c>
      <c r="N835" s="87">
        <v>0.0</v>
      </c>
      <c r="O835" s="87">
        <v>0.0</v>
      </c>
      <c r="P835" s="87">
        <v>0.0</v>
      </c>
      <c r="Q835" s="87">
        <v>0.0</v>
      </c>
    </row>
    <row r="836">
      <c r="A836" s="84" t="s">
        <v>341</v>
      </c>
      <c r="B836" s="194"/>
      <c r="C836" s="84" t="s">
        <v>349</v>
      </c>
      <c r="D836" s="88" t="s">
        <v>1396</v>
      </c>
      <c r="E836" s="84" t="s">
        <v>3683</v>
      </c>
      <c r="F836" s="84" t="s">
        <v>350</v>
      </c>
      <c r="G836" s="84" t="s">
        <v>4196</v>
      </c>
      <c r="H836" s="84" t="s">
        <v>3513</v>
      </c>
      <c r="I836" s="84" t="s">
        <v>3962</v>
      </c>
      <c r="J836" s="85"/>
      <c r="K836" s="91"/>
      <c r="L836" s="87">
        <v>552.0</v>
      </c>
      <c r="M836" s="87">
        <v>0.0</v>
      </c>
      <c r="N836" s="87">
        <v>0.0</v>
      </c>
      <c r="O836" s="87">
        <v>0.0</v>
      </c>
      <c r="P836" s="87">
        <v>0.0</v>
      </c>
      <c r="Q836" s="87">
        <v>0.0</v>
      </c>
    </row>
    <row r="837">
      <c r="A837" s="84" t="s">
        <v>444</v>
      </c>
      <c r="B837" s="194"/>
      <c r="C837" s="84" t="s">
        <v>442</v>
      </c>
      <c r="D837" s="88" t="s">
        <v>1396</v>
      </c>
      <c r="E837" s="84" t="s">
        <v>3683</v>
      </c>
      <c r="F837" s="84" t="s">
        <v>443</v>
      </c>
      <c r="G837" s="84" t="s">
        <v>3580</v>
      </c>
      <c r="H837" s="84" t="s">
        <v>3521</v>
      </c>
      <c r="I837" s="84" t="s">
        <v>3684</v>
      </c>
      <c r="J837" s="91"/>
      <c r="K837" s="85"/>
      <c r="L837" s="87">
        <v>0.0</v>
      </c>
      <c r="M837" s="87">
        <v>0.0</v>
      </c>
      <c r="N837" s="87">
        <v>0.0</v>
      </c>
      <c r="O837" s="87">
        <v>0.896404</v>
      </c>
      <c r="P837" s="87">
        <v>0.794637</v>
      </c>
      <c r="Q837" s="87">
        <v>0.536147</v>
      </c>
    </row>
    <row r="838">
      <c r="A838" s="84" t="s">
        <v>258</v>
      </c>
      <c r="B838" s="194"/>
      <c r="C838" s="84" t="s">
        <v>889</v>
      </c>
      <c r="D838" s="88" t="s">
        <v>1396</v>
      </c>
      <c r="E838" s="84" t="s">
        <v>3687</v>
      </c>
      <c r="F838" s="84" t="s">
        <v>884</v>
      </c>
      <c r="G838" s="84" t="s">
        <v>3558</v>
      </c>
      <c r="H838" s="84" t="s">
        <v>3521</v>
      </c>
      <c r="I838" s="84" t="s">
        <v>3684</v>
      </c>
      <c r="J838" s="84" t="s">
        <v>89</v>
      </c>
      <c r="K838" s="91"/>
      <c r="L838" s="87">
        <v>455.0</v>
      </c>
      <c r="M838" s="87">
        <v>3.0</v>
      </c>
      <c r="N838" s="87">
        <v>4.51279</v>
      </c>
      <c r="O838" s="87">
        <v>10.51209</v>
      </c>
      <c r="P838" s="87">
        <v>5.552085</v>
      </c>
      <c r="Q838" s="87">
        <v>4.562341</v>
      </c>
    </row>
    <row r="839">
      <c r="A839" s="84" t="s">
        <v>341</v>
      </c>
      <c r="B839" s="194"/>
      <c r="C839" s="84" t="s">
        <v>917</v>
      </c>
      <c r="D839" s="88" t="s">
        <v>1396</v>
      </c>
      <c r="E839" s="84" t="s">
        <v>3745</v>
      </c>
      <c r="F839" s="84" t="s">
        <v>340</v>
      </c>
      <c r="G839" s="84" t="s">
        <v>4148</v>
      </c>
      <c r="H839" s="84" t="s">
        <v>3521</v>
      </c>
      <c r="I839" s="84" t="s">
        <v>3962</v>
      </c>
      <c r="J839" s="84" t="s">
        <v>89</v>
      </c>
      <c r="K839" s="91"/>
      <c r="L839" s="87">
        <v>840.0</v>
      </c>
      <c r="M839" s="87">
        <v>0.0</v>
      </c>
      <c r="N839" s="87">
        <v>127.8354</v>
      </c>
      <c r="O839" s="87">
        <v>32.0</v>
      </c>
      <c r="P839" s="87">
        <v>138.8318</v>
      </c>
      <c r="Q839" s="87">
        <v>128.0335</v>
      </c>
    </row>
    <row r="840">
      <c r="A840" s="84" t="s">
        <v>439</v>
      </c>
      <c r="B840" s="194"/>
      <c r="C840" s="84" t="s">
        <v>1332</v>
      </c>
      <c r="D840" s="88" t="s">
        <v>1396</v>
      </c>
      <c r="E840" s="84" t="s">
        <v>3687</v>
      </c>
      <c r="F840" s="84" t="s">
        <v>4197</v>
      </c>
      <c r="G840" s="84" t="s">
        <v>3947</v>
      </c>
      <c r="H840" s="84" t="s">
        <v>3527</v>
      </c>
      <c r="I840" s="84" t="s">
        <v>3709</v>
      </c>
      <c r="J840" s="84" t="s">
        <v>130</v>
      </c>
      <c r="K840" s="91"/>
      <c r="L840" s="87">
        <v>816.0</v>
      </c>
      <c r="M840" s="87">
        <v>0.0</v>
      </c>
      <c r="N840" s="87">
        <v>0.0</v>
      </c>
      <c r="O840" s="87">
        <v>0.0</v>
      </c>
      <c r="P840" s="87">
        <v>0.0</v>
      </c>
      <c r="Q840" s="87">
        <v>0.0</v>
      </c>
    </row>
    <row r="841">
      <c r="A841" s="84" t="s">
        <v>231</v>
      </c>
      <c r="B841" s="194"/>
      <c r="C841" s="84" t="s">
        <v>877</v>
      </c>
      <c r="D841" s="88" t="s">
        <v>1396</v>
      </c>
      <c r="E841" s="84" t="s">
        <v>3687</v>
      </c>
      <c r="F841" s="84" t="s">
        <v>878</v>
      </c>
      <c r="G841" s="84" t="s">
        <v>3555</v>
      </c>
      <c r="H841" s="84" t="s">
        <v>3521</v>
      </c>
      <c r="I841" s="84" t="s">
        <v>3693</v>
      </c>
      <c r="J841" s="84" t="s">
        <v>130</v>
      </c>
      <c r="K841" s="85"/>
      <c r="L841" s="87">
        <v>720.0</v>
      </c>
      <c r="M841" s="87">
        <v>0.0</v>
      </c>
      <c r="N841" s="87">
        <v>0.0</v>
      </c>
      <c r="O841" s="87">
        <v>0.0</v>
      </c>
      <c r="P841" s="87">
        <v>0.0</v>
      </c>
      <c r="Q841" s="87">
        <v>0.0</v>
      </c>
    </row>
    <row r="842">
      <c r="A842" s="84" t="s">
        <v>301</v>
      </c>
      <c r="B842" s="194"/>
      <c r="C842" s="84" t="s">
        <v>327</v>
      </c>
      <c r="D842" s="88" t="s">
        <v>1396</v>
      </c>
      <c r="E842" s="84" t="s">
        <v>3683</v>
      </c>
      <c r="F842" s="84" t="s">
        <v>300</v>
      </c>
      <c r="G842" s="84" t="s">
        <v>3703</v>
      </c>
      <c r="H842" s="84" t="s">
        <v>3521</v>
      </c>
      <c r="I842" s="84" t="s">
        <v>3684</v>
      </c>
      <c r="J842" s="84" t="s">
        <v>130</v>
      </c>
      <c r="K842" s="91"/>
      <c r="L842" s="87">
        <v>288.0</v>
      </c>
      <c r="M842" s="87">
        <v>0.0</v>
      </c>
      <c r="N842" s="87">
        <v>1.136905</v>
      </c>
      <c r="O842" s="87">
        <v>0.0</v>
      </c>
      <c r="P842" s="87">
        <v>0.0</v>
      </c>
      <c r="Q842" s="87">
        <v>1.203571</v>
      </c>
    </row>
    <row r="843">
      <c r="A843" s="84" t="s">
        <v>644</v>
      </c>
      <c r="B843" s="194"/>
      <c r="C843" s="84" t="s">
        <v>1240</v>
      </c>
      <c r="D843" s="88" t="s">
        <v>1396</v>
      </c>
      <c r="E843" s="84" t="s">
        <v>3683</v>
      </c>
      <c r="F843" s="84" t="s">
        <v>1239</v>
      </c>
      <c r="G843" s="84" t="s">
        <v>3607</v>
      </c>
      <c r="H843" s="84" t="s">
        <v>3521</v>
      </c>
      <c r="I843" s="84" t="s">
        <v>3684</v>
      </c>
      <c r="J843" s="84" t="s">
        <v>215</v>
      </c>
      <c r="L843" s="87">
        <v>72.0</v>
      </c>
      <c r="M843" s="87">
        <v>0.0</v>
      </c>
      <c r="N843" s="87">
        <v>0.0</v>
      </c>
      <c r="O843" s="87">
        <v>0.0</v>
      </c>
      <c r="P843" s="87">
        <v>0.0</v>
      </c>
      <c r="Q843" s="87">
        <v>0.059639</v>
      </c>
    </row>
    <row r="844">
      <c r="A844" s="84" t="s">
        <v>180</v>
      </c>
      <c r="B844" s="194"/>
      <c r="C844" s="84" t="s">
        <v>1320</v>
      </c>
      <c r="D844" s="88" t="s">
        <v>1396</v>
      </c>
      <c r="E844" s="84" t="s">
        <v>3683</v>
      </c>
      <c r="F844" s="84" t="s">
        <v>4192</v>
      </c>
      <c r="G844" s="84" t="s">
        <v>3547</v>
      </c>
      <c r="H844" s="84" t="s">
        <v>3507</v>
      </c>
      <c r="I844" s="84" t="s">
        <v>3684</v>
      </c>
      <c r="J844" s="85"/>
      <c r="K844" s="84" t="s">
        <v>111</v>
      </c>
      <c r="L844" s="87">
        <v>816.0</v>
      </c>
      <c r="M844" s="87">
        <v>0.0</v>
      </c>
      <c r="N844" s="87">
        <v>0.519048</v>
      </c>
      <c r="O844" s="87">
        <v>0.0</v>
      </c>
      <c r="P844" s="87">
        <v>0.944444</v>
      </c>
      <c r="Q844" s="87">
        <v>0.519048</v>
      </c>
    </row>
    <row r="845">
      <c r="A845" s="84" t="s">
        <v>472</v>
      </c>
      <c r="B845" s="194"/>
      <c r="C845" s="84" t="s">
        <v>979</v>
      </c>
      <c r="D845" s="88" t="s">
        <v>1396</v>
      </c>
      <c r="E845" s="84" t="s">
        <v>3683</v>
      </c>
      <c r="F845" s="84" t="s">
        <v>980</v>
      </c>
      <c r="G845" s="84" t="s">
        <v>3556</v>
      </c>
      <c r="I845" s="84" t="s">
        <v>3684</v>
      </c>
      <c r="J845" s="85"/>
      <c r="K845" s="85"/>
      <c r="L845" s="87">
        <v>48.0</v>
      </c>
      <c r="M845" s="87">
        <v>0.0</v>
      </c>
      <c r="N845" s="87">
        <v>0.0</v>
      </c>
      <c r="O845" s="87">
        <v>0.0</v>
      </c>
      <c r="P845" s="87">
        <v>0.0</v>
      </c>
      <c r="Q845" s="87">
        <v>0.0</v>
      </c>
    </row>
    <row r="846">
      <c r="A846" s="84" t="s">
        <v>264</v>
      </c>
      <c r="B846" s="194"/>
      <c r="C846" s="84" t="s">
        <v>283</v>
      </c>
      <c r="D846" s="88" t="s">
        <v>1396</v>
      </c>
      <c r="E846" s="84" t="s">
        <v>3687</v>
      </c>
      <c r="F846" s="84" t="s">
        <v>281</v>
      </c>
      <c r="G846" s="84" t="s">
        <v>3691</v>
      </c>
      <c r="I846" s="84" t="s">
        <v>3684</v>
      </c>
      <c r="J846" s="85"/>
      <c r="K846" s="91"/>
      <c r="L846" s="87">
        <v>552.0</v>
      </c>
      <c r="M846" s="87">
        <v>0.0</v>
      </c>
      <c r="N846" s="87">
        <v>0.0</v>
      </c>
      <c r="O846" s="87">
        <v>0.0</v>
      </c>
      <c r="P846" s="87">
        <v>0.0</v>
      </c>
      <c r="Q846" s="87">
        <v>0.0</v>
      </c>
    </row>
    <row r="847">
      <c r="A847" s="84" t="s">
        <v>180</v>
      </c>
      <c r="B847" s="194"/>
      <c r="C847" s="84" t="s">
        <v>838</v>
      </c>
      <c r="D847" s="88" t="s">
        <v>1396</v>
      </c>
      <c r="E847" s="84" t="s">
        <v>3683</v>
      </c>
      <c r="F847" s="84" t="s">
        <v>839</v>
      </c>
      <c r="G847" s="84" t="s">
        <v>3550</v>
      </c>
      <c r="H847" s="84" t="s">
        <v>3507</v>
      </c>
      <c r="I847" s="84" t="s">
        <v>3684</v>
      </c>
      <c r="J847" s="84" t="s">
        <v>130</v>
      </c>
      <c r="K847" s="91"/>
      <c r="L847" s="87">
        <v>24.0</v>
      </c>
      <c r="M847" s="87">
        <v>0.0</v>
      </c>
      <c r="N847" s="87">
        <v>0.0</v>
      </c>
      <c r="O847" s="87">
        <v>0.0</v>
      </c>
      <c r="P847" s="87">
        <v>0.0</v>
      </c>
      <c r="Q847" s="87">
        <v>0.0</v>
      </c>
    </row>
    <row r="848">
      <c r="A848" s="84" t="s">
        <v>481</v>
      </c>
      <c r="B848" s="194"/>
      <c r="C848" s="84" t="s">
        <v>521</v>
      </c>
      <c r="D848" s="88" t="s">
        <v>1396</v>
      </c>
      <c r="E848" s="84" t="s">
        <v>3683</v>
      </c>
      <c r="F848" s="84" t="s">
        <v>516</v>
      </c>
      <c r="G848" s="84" t="s">
        <v>3593</v>
      </c>
      <c r="H848" s="84" t="s">
        <v>3521</v>
      </c>
      <c r="I848" s="84" t="s">
        <v>3684</v>
      </c>
      <c r="J848" s="84" t="s">
        <v>130</v>
      </c>
      <c r="K848" s="91"/>
      <c r="L848" s="87">
        <v>24.0</v>
      </c>
      <c r="M848" s="87">
        <v>0.0</v>
      </c>
      <c r="N848" s="87">
        <v>0.0</v>
      </c>
      <c r="O848" s="87">
        <v>0.0</v>
      </c>
      <c r="P848" s="87">
        <v>0.033333</v>
      </c>
      <c r="Q848" s="87">
        <v>0.016667</v>
      </c>
    </row>
    <row r="849">
      <c r="A849" s="84" t="s">
        <v>341</v>
      </c>
      <c r="B849" s="194"/>
      <c r="C849" s="84" t="s">
        <v>351</v>
      </c>
      <c r="D849" s="88" t="s">
        <v>1396</v>
      </c>
      <c r="E849" s="84" t="s">
        <v>3745</v>
      </c>
      <c r="F849" s="84" t="s">
        <v>352</v>
      </c>
      <c r="G849" s="84" t="s">
        <v>3754</v>
      </c>
      <c r="H849" s="84" t="s">
        <v>3521</v>
      </c>
      <c r="I849" s="84" t="s">
        <v>3962</v>
      </c>
      <c r="J849" s="84" t="s">
        <v>130</v>
      </c>
      <c r="K849" s="91"/>
      <c r="L849" s="87">
        <v>0.0</v>
      </c>
      <c r="M849" s="87">
        <v>0.0</v>
      </c>
      <c r="N849" s="87">
        <v>0.0</v>
      </c>
      <c r="O849" s="87">
        <v>1.183333</v>
      </c>
      <c r="P849" s="87">
        <v>1.15404</v>
      </c>
      <c r="Q849" s="87">
        <v>1.15404</v>
      </c>
    </row>
    <row r="850">
      <c r="A850" s="84" t="s">
        <v>644</v>
      </c>
      <c r="B850" s="194"/>
      <c r="C850" s="84" t="s">
        <v>1214</v>
      </c>
      <c r="D850" s="88" t="s">
        <v>1396</v>
      </c>
      <c r="E850" s="84" t="s">
        <v>3683</v>
      </c>
      <c r="F850" s="84" t="s">
        <v>850</v>
      </c>
      <c r="G850" s="84" t="s">
        <v>3551</v>
      </c>
      <c r="H850" s="84" t="s">
        <v>3521</v>
      </c>
      <c r="I850" s="84" t="s">
        <v>3684</v>
      </c>
      <c r="J850" s="84" t="s">
        <v>130</v>
      </c>
      <c r="K850" s="85"/>
      <c r="L850" s="87">
        <v>24.0</v>
      </c>
      <c r="M850" s="87">
        <v>0.0</v>
      </c>
      <c r="N850" s="87">
        <v>0.0</v>
      </c>
      <c r="O850" s="87">
        <v>0.0</v>
      </c>
      <c r="P850" s="87">
        <v>0.0</v>
      </c>
      <c r="Q850" s="87">
        <v>0.0</v>
      </c>
    </row>
    <row r="851">
      <c r="A851" s="84" t="s">
        <v>258</v>
      </c>
      <c r="B851" s="194"/>
      <c r="C851" s="84" t="s">
        <v>889</v>
      </c>
      <c r="D851" s="88" t="s">
        <v>1396</v>
      </c>
      <c r="E851" s="84" t="s">
        <v>3687</v>
      </c>
      <c r="F851" s="84" t="s">
        <v>884</v>
      </c>
      <c r="G851" s="84" t="s">
        <v>3558</v>
      </c>
      <c r="H851" s="84" t="s">
        <v>3521</v>
      </c>
      <c r="I851" s="84" t="s">
        <v>3684</v>
      </c>
      <c r="J851" s="84" t="s">
        <v>130</v>
      </c>
      <c r="K851" s="85"/>
      <c r="L851" s="87">
        <v>24.0</v>
      </c>
      <c r="M851" s="87">
        <v>0.0</v>
      </c>
      <c r="N851" s="87">
        <v>0.0</v>
      </c>
      <c r="O851" s="87">
        <v>0.0</v>
      </c>
      <c r="P851" s="87">
        <v>0.0</v>
      </c>
      <c r="Q851" s="87">
        <v>0.0</v>
      </c>
    </row>
    <row r="852">
      <c r="A852" s="84" t="s">
        <v>180</v>
      </c>
      <c r="B852" s="194"/>
      <c r="C852" s="84" t="s">
        <v>1320</v>
      </c>
      <c r="D852" s="88" t="s">
        <v>1396</v>
      </c>
      <c r="E852" s="84" t="s">
        <v>3683</v>
      </c>
      <c r="F852" s="84" t="s">
        <v>4192</v>
      </c>
      <c r="G852" s="84" t="s">
        <v>3547</v>
      </c>
      <c r="H852" s="84" t="s">
        <v>3507</v>
      </c>
      <c r="I852" s="84" t="s">
        <v>3684</v>
      </c>
      <c r="J852" s="84" t="s">
        <v>130</v>
      </c>
      <c r="K852" s="84" t="s">
        <v>111</v>
      </c>
      <c r="L852" s="87">
        <v>24.0</v>
      </c>
      <c r="M852" s="87">
        <v>0.0</v>
      </c>
      <c r="N852" s="87">
        <v>0.0</v>
      </c>
      <c r="O852" s="87">
        <v>0.0</v>
      </c>
      <c r="P852" s="87">
        <v>0.0</v>
      </c>
      <c r="Q852" s="87">
        <v>0.0</v>
      </c>
    </row>
    <row r="853">
      <c r="A853" s="84" t="s">
        <v>481</v>
      </c>
      <c r="B853" s="194"/>
      <c r="C853" s="84" t="s">
        <v>521</v>
      </c>
      <c r="D853" s="88" t="s">
        <v>1396</v>
      </c>
      <c r="E853" s="84" t="s">
        <v>3683</v>
      </c>
      <c r="F853" s="84" t="s">
        <v>516</v>
      </c>
      <c r="G853" s="84" t="s">
        <v>3593</v>
      </c>
      <c r="H853" s="84" t="s">
        <v>3521</v>
      </c>
      <c r="I853" s="84" t="s">
        <v>3684</v>
      </c>
      <c r="J853" s="91"/>
      <c r="K853" s="91"/>
      <c r="L853" s="87">
        <v>0.0</v>
      </c>
      <c r="M853" s="87">
        <v>2.0</v>
      </c>
      <c r="N853" s="87">
        <v>0.0</v>
      </c>
      <c r="O853" s="87">
        <v>1.153846</v>
      </c>
      <c r="P853" s="87">
        <v>0.903448</v>
      </c>
      <c r="Q853" s="87">
        <v>0.757667</v>
      </c>
    </row>
    <row r="854">
      <c r="A854" s="84" t="s">
        <v>393</v>
      </c>
      <c r="B854" s="194"/>
      <c r="C854" s="84" t="s">
        <v>430</v>
      </c>
      <c r="D854" s="88" t="s">
        <v>1396</v>
      </c>
      <c r="E854" s="84" t="s">
        <v>3683</v>
      </c>
      <c r="F854" s="84" t="s">
        <v>431</v>
      </c>
      <c r="G854" s="84" t="s">
        <v>4114</v>
      </c>
      <c r="H854" s="84" t="s">
        <v>3521</v>
      </c>
      <c r="I854" s="84" t="s">
        <v>3693</v>
      </c>
      <c r="J854" s="91"/>
      <c r="K854" s="91"/>
      <c r="L854" s="87">
        <v>56.0</v>
      </c>
      <c r="M854" s="87">
        <v>3.0</v>
      </c>
      <c r="N854" s="87">
        <v>0.695971</v>
      </c>
      <c r="O854" s="87">
        <v>4.243124</v>
      </c>
      <c r="P854" s="87">
        <v>4.586103</v>
      </c>
      <c r="Q854" s="87">
        <v>3.907675</v>
      </c>
    </row>
    <row r="855">
      <c r="A855" s="84" t="s">
        <v>616</v>
      </c>
      <c r="B855" s="194"/>
      <c r="C855" s="84" t="s">
        <v>1076</v>
      </c>
      <c r="D855" s="88" t="s">
        <v>1396</v>
      </c>
      <c r="E855" s="84" t="s">
        <v>3683</v>
      </c>
      <c r="F855" s="84" t="s">
        <v>1075</v>
      </c>
      <c r="G855" s="84" t="s">
        <v>3542</v>
      </c>
      <c r="H855" s="84" t="s">
        <v>3521</v>
      </c>
      <c r="I855" s="84" t="s">
        <v>3684</v>
      </c>
      <c r="J855" s="91"/>
      <c r="K855" s="84" t="s">
        <v>111</v>
      </c>
      <c r="L855" s="87">
        <v>432.0</v>
      </c>
      <c r="M855" s="87">
        <v>0.0</v>
      </c>
      <c r="N855" s="87">
        <v>0.0</v>
      </c>
      <c r="O855" s="87">
        <v>0.0</v>
      </c>
      <c r="P855" s="87">
        <v>0.0</v>
      </c>
      <c r="Q855" s="87">
        <v>0.0</v>
      </c>
    </row>
    <row r="856">
      <c r="A856" s="84" t="s">
        <v>1848</v>
      </c>
      <c r="B856" s="194"/>
      <c r="C856" s="84" t="s">
        <v>1324</v>
      </c>
      <c r="D856" s="88" t="s">
        <v>1396</v>
      </c>
      <c r="E856" s="84" t="s">
        <v>3683</v>
      </c>
      <c r="F856" s="84" t="s">
        <v>4198</v>
      </c>
      <c r="G856" s="84" t="s">
        <v>3556</v>
      </c>
      <c r="H856" s="84" t="s">
        <v>3507</v>
      </c>
      <c r="I856" s="84" t="s">
        <v>3684</v>
      </c>
      <c r="J856" s="84" t="s">
        <v>130</v>
      </c>
      <c r="K856" s="85"/>
      <c r="L856" s="87">
        <v>64.0</v>
      </c>
      <c r="M856" s="87">
        <v>2.0</v>
      </c>
      <c r="N856" s="87">
        <v>1.117094</v>
      </c>
      <c r="O856" s="87">
        <v>5.000794</v>
      </c>
      <c r="P856" s="87">
        <v>5.683216</v>
      </c>
      <c r="Q856" s="87">
        <v>5.581343</v>
      </c>
    </row>
    <row r="857">
      <c r="A857" s="84" t="s">
        <v>1130</v>
      </c>
      <c r="B857" s="194"/>
      <c r="C857" s="84" t="s">
        <v>1145</v>
      </c>
      <c r="D857" s="88" t="s">
        <v>1396</v>
      </c>
      <c r="E857" s="84" t="s">
        <v>3683</v>
      </c>
      <c r="F857" s="84" t="s">
        <v>1142</v>
      </c>
      <c r="G857" s="84" t="s">
        <v>3605</v>
      </c>
      <c r="H857" s="84" t="s">
        <v>3521</v>
      </c>
      <c r="I857" s="84" t="s">
        <v>3684</v>
      </c>
      <c r="J857" s="84" t="s">
        <v>130</v>
      </c>
      <c r="K857" s="84" t="s">
        <v>111</v>
      </c>
      <c r="L857" s="87">
        <v>288.0</v>
      </c>
      <c r="M857" s="87">
        <v>0.0</v>
      </c>
      <c r="N857" s="87">
        <v>2.738095</v>
      </c>
      <c r="O857" s="87">
        <v>0.0</v>
      </c>
      <c r="P857" s="87">
        <v>0.0</v>
      </c>
      <c r="Q857" s="87">
        <v>2.796165</v>
      </c>
    </row>
    <row r="858">
      <c r="A858" s="84" t="s">
        <v>472</v>
      </c>
      <c r="B858" s="194"/>
      <c r="C858" s="84" t="s">
        <v>1308</v>
      </c>
      <c r="D858" s="88" t="s">
        <v>1396</v>
      </c>
      <c r="E858" s="84" t="s">
        <v>3683</v>
      </c>
      <c r="F858" s="84" t="s">
        <v>4001</v>
      </c>
      <c r="G858" s="84" t="s">
        <v>3578</v>
      </c>
      <c r="I858" s="84" t="s">
        <v>3684</v>
      </c>
      <c r="J858" s="91"/>
      <c r="K858" s="91"/>
      <c r="L858" s="87">
        <v>456.0</v>
      </c>
      <c r="M858" s="87">
        <v>0.0</v>
      </c>
      <c r="N858" s="87">
        <v>0.0</v>
      </c>
      <c r="O858" s="87">
        <v>0.0</v>
      </c>
      <c r="P858" s="87">
        <v>0.0</v>
      </c>
      <c r="Q858" s="87">
        <v>0.0</v>
      </c>
    </row>
    <row r="859">
      <c r="A859" s="84" t="s">
        <v>472</v>
      </c>
      <c r="B859" s="194"/>
      <c r="C859" s="84" t="s">
        <v>1019</v>
      </c>
      <c r="D859" s="88" t="s">
        <v>1396</v>
      </c>
      <c r="E859" s="84" t="s">
        <v>3683</v>
      </c>
      <c r="F859" s="84" t="s">
        <v>1020</v>
      </c>
      <c r="G859" s="84" t="s">
        <v>3560</v>
      </c>
      <c r="H859" s="84" t="s">
        <v>3507</v>
      </c>
      <c r="I859" s="84" t="s">
        <v>3684</v>
      </c>
      <c r="J859" s="85"/>
      <c r="K859" s="84" t="s">
        <v>111</v>
      </c>
      <c r="L859" s="87">
        <v>456.0</v>
      </c>
      <c r="M859" s="87">
        <v>0.0</v>
      </c>
      <c r="N859" s="87">
        <v>0.085145</v>
      </c>
      <c r="O859" s="87">
        <v>0.0</v>
      </c>
      <c r="P859" s="87">
        <v>0.5</v>
      </c>
      <c r="Q859" s="87">
        <v>0.085145</v>
      </c>
    </row>
    <row r="860">
      <c r="A860" s="84" t="s">
        <v>630</v>
      </c>
      <c r="B860" s="194"/>
      <c r="C860" s="84" t="s">
        <v>1112</v>
      </c>
      <c r="D860" s="88" t="s">
        <v>1396</v>
      </c>
      <c r="E860" s="84" t="s">
        <v>3683</v>
      </c>
      <c r="F860" s="84" t="s">
        <v>1113</v>
      </c>
      <c r="G860" s="84" t="s">
        <v>3554</v>
      </c>
      <c r="H860" s="84" t="s">
        <v>3521</v>
      </c>
      <c r="I860" s="84" t="s">
        <v>3684</v>
      </c>
      <c r="J860" s="91"/>
      <c r="K860" s="85"/>
      <c r="L860" s="87">
        <v>0.0</v>
      </c>
      <c r="M860" s="87">
        <v>0.0</v>
      </c>
      <c r="N860" s="87">
        <v>0.0</v>
      </c>
      <c r="O860" s="87">
        <v>0.0</v>
      </c>
      <c r="P860" s="87">
        <v>0.0</v>
      </c>
      <c r="Q860" s="87">
        <v>0.16075</v>
      </c>
    </row>
    <row r="861">
      <c r="A861" s="84" t="s">
        <v>74</v>
      </c>
      <c r="B861" s="194"/>
      <c r="C861" s="84" t="s">
        <v>766</v>
      </c>
      <c r="D861" s="88" t="s">
        <v>1396</v>
      </c>
      <c r="E861" s="84" t="s">
        <v>3683</v>
      </c>
      <c r="F861" s="84" t="s">
        <v>73</v>
      </c>
      <c r="G861" s="84" t="s">
        <v>3712</v>
      </c>
      <c r="H861" s="84" t="s">
        <v>3521</v>
      </c>
      <c r="I861" s="84" t="s">
        <v>3684</v>
      </c>
      <c r="J861" s="85"/>
      <c r="K861" s="91"/>
      <c r="L861" s="87">
        <v>299.0</v>
      </c>
      <c r="M861" s="87">
        <v>1.0</v>
      </c>
      <c r="N861" s="87">
        <v>2.211266</v>
      </c>
      <c r="O861" s="87">
        <v>3.375541</v>
      </c>
      <c r="P861" s="87">
        <v>2.790567</v>
      </c>
      <c r="Q861" s="87">
        <v>2.115003</v>
      </c>
    </row>
    <row r="862">
      <c r="A862" s="84" t="s">
        <v>444</v>
      </c>
      <c r="B862" s="194"/>
      <c r="C862" s="84" t="s">
        <v>951</v>
      </c>
      <c r="D862" s="88" t="s">
        <v>1396</v>
      </c>
      <c r="E862" s="84" t="s">
        <v>3683</v>
      </c>
      <c r="F862" s="84" t="s">
        <v>948</v>
      </c>
      <c r="G862" s="84" t="s">
        <v>3578</v>
      </c>
      <c r="H862" s="84" t="s">
        <v>3521</v>
      </c>
      <c r="I862" s="84" t="s">
        <v>3684</v>
      </c>
      <c r="J862" s="85"/>
      <c r="K862" s="91"/>
      <c r="L862" s="87">
        <v>47.0</v>
      </c>
      <c r="M862" s="87">
        <v>8.0</v>
      </c>
      <c r="N862" s="87">
        <v>1.446429</v>
      </c>
      <c r="O862" s="87">
        <v>12.58968</v>
      </c>
      <c r="P862" s="87">
        <v>13.98262</v>
      </c>
      <c r="Q862" s="87">
        <v>12.83776</v>
      </c>
    </row>
    <row r="863">
      <c r="A863" s="84" t="s">
        <v>795</v>
      </c>
      <c r="B863" s="194"/>
      <c r="C863" s="84" t="s">
        <v>798</v>
      </c>
      <c r="D863" s="88" t="s">
        <v>1396</v>
      </c>
      <c r="E863" s="84" t="s">
        <v>3683</v>
      </c>
      <c r="F863" s="84" t="s">
        <v>794</v>
      </c>
      <c r="G863" s="84" t="s">
        <v>3522</v>
      </c>
      <c r="H863" s="84" t="s">
        <v>3521</v>
      </c>
      <c r="I863" s="84" t="s">
        <v>3684</v>
      </c>
      <c r="J863" s="91"/>
      <c r="K863" s="85"/>
      <c r="L863" s="87">
        <v>20.0</v>
      </c>
      <c r="M863" s="87">
        <v>1.0</v>
      </c>
      <c r="N863" s="87">
        <v>0.142857</v>
      </c>
      <c r="O863" s="87">
        <v>1.857143</v>
      </c>
      <c r="P863" s="87">
        <v>1.608571</v>
      </c>
      <c r="Q863" s="87">
        <v>1.347223</v>
      </c>
    </row>
    <row r="864">
      <c r="A864" s="84" t="s">
        <v>264</v>
      </c>
      <c r="B864" s="194"/>
      <c r="C864" s="84" t="s">
        <v>283</v>
      </c>
      <c r="D864" s="88" t="s">
        <v>1396</v>
      </c>
      <c r="E864" s="84" t="s">
        <v>3687</v>
      </c>
      <c r="F864" s="84" t="s">
        <v>281</v>
      </c>
      <c r="G864" s="84" t="s">
        <v>3691</v>
      </c>
      <c r="H864" s="84" t="s">
        <v>3521</v>
      </c>
      <c r="I864" s="84" t="s">
        <v>3684</v>
      </c>
      <c r="J864" s="85"/>
      <c r="K864" s="84" t="s">
        <v>111</v>
      </c>
      <c r="L864" s="87">
        <v>192.0</v>
      </c>
      <c r="M864" s="87">
        <v>0.0</v>
      </c>
      <c r="N864" s="87">
        <v>0.0</v>
      </c>
      <c r="O864" s="87">
        <v>0.0</v>
      </c>
      <c r="P864" s="87">
        <v>0.0</v>
      </c>
      <c r="Q864" s="87">
        <v>0.0</v>
      </c>
    </row>
    <row r="865">
      <c r="A865" s="84" t="s">
        <v>264</v>
      </c>
      <c r="B865" s="194"/>
      <c r="C865" s="84" t="s">
        <v>913</v>
      </c>
      <c r="D865" s="88" t="s">
        <v>1396</v>
      </c>
      <c r="E865" s="84" t="s">
        <v>3687</v>
      </c>
      <c r="F865" s="84" t="s">
        <v>914</v>
      </c>
      <c r="G865" s="84" t="s">
        <v>3564</v>
      </c>
      <c r="H865" s="84" t="s">
        <v>3521</v>
      </c>
      <c r="I865" s="84" t="s">
        <v>3684</v>
      </c>
      <c r="J865" s="84" t="s">
        <v>89</v>
      </c>
      <c r="K865" s="91"/>
      <c r="L865" s="87">
        <v>120.0</v>
      </c>
      <c r="M865" s="87">
        <v>0.0</v>
      </c>
      <c r="N865" s="87">
        <v>0.907479</v>
      </c>
      <c r="O865" s="87">
        <v>2.728907</v>
      </c>
      <c r="P865" s="87">
        <v>2.206089</v>
      </c>
      <c r="Q865" s="87">
        <v>1.675141</v>
      </c>
    </row>
    <row r="866">
      <c r="A866" s="84" t="s">
        <v>180</v>
      </c>
      <c r="B866" s="194"/>
      <c r="C866" s="84" t="s">
        <v>3528</v>
      </c>
      <c r="D866" s="88" t="s">
        <v>1396</v>
      </c>
      <c r="E866" s="84" t="s">
        <v>3683</v>
      </c>
      <c r="F866" s="84" t="s">
        <v>542</v>
      </c>
      <c r="G866" s="84" t="s">
        <v>3514</v>
      </c>
      <c r="H866" s="84" t="s">
        <v>3513</v>
      </c>
      <c r="I866" s="84" t="s">
        <v>3709</v>
      </c>
      <c r="J866" s="85"/>
      <c r="K866" s="85"/>
      <c r="L866" s="87">
        <v>151.0</v>
      </c>
      <c r="M866" s="87">
        <v>12.0</v>
      </c>
      <c r="N866" s="87">
        <v>3.694092</v>
      </c>
      <c r="O866" s="87">
        <v>19.03393</v>
      </c>
      <c r="P866" s="87">
        <v>14.62382</v>
      </c>
      <c r="Q866" s="87">
        <v>11.26142</v>
      </c>
    </row>
    <row r="867">
      <c r="A867" s="84" t="s">
        <v>301</v>
      </c>
      <c r="B867" s="194"/>
      <c r="C867" s="84" t="s">
        <v>332</v>
      </c>
      <c r="D867" s="88" t="s">
        <v>1396</v>
      </c>
      <c r="E867" s="84" t="s">
        <v>3683</v>
      </c>
      <c r="F867" s="84" t="s">
        <v>300</v>
      </c>
      <c r="G867" s="84" t="s">
        <v>3703</v>
      </c>
      <c r="I867" s="84" t="s">
        <v>3684</v>
      </c>
      <c r="J867" s="85"/>
      <c r="K867" s="85"/>
      <c r="L867" s="87">
        <v>552.0</v>
      </c>
      <c r="M867" s="87">
        <v>0.0</v>
      </c>
      <c r="N867" s="87">
        <v>0.0</v>
      </c>
      <c r="O867" s="87">
        <v>0.0</v>
      </c>
      <c r="P867" s="87">
        <v>0.0</v>
      </c>
      <c r="Q867" s="87">
        <v>0.0</v>
      </c>
    </row>
    <row r="868">
      <c r="A868" s="84" t="s">
        <v>180</v>
      </c>
      <c r="B868" s="194"/>
      <c r="C868" s="84" t="s">
        <v>1321</v>
      </c>
      <c r="D868" s="88" t="s">
        <v>1396</v>
      </c>
      <c r="E868" s="84" t="s">
        <v>3683</v>
      </c>
      <c r="F868" s="84" t="s">
        <v>4192</v>
      </c>
      <c r="G868" s="84" t="s">
        <v>3547</v>
      </c>
      <c r="H868" s="84" t="s">
        <v>3507</v>
      </c>
      <c r="I868" s="84" t="s">
        <v>3684</v>
      </c>
      <c r="J868" s="84" t="s">
        <v>130</v>
      </c>
      <c r="K868" s="84" t="s">
        <v>111</v>
      </c>
      <c r="L868" s="87">
        <v>24.0</v>
      </c>
      <c r="M868" s="87">
        <v>0.0</v>
      </c>
      <c r="N868" s="87">
        <v>0.0</v>
      </c>
      <c r="O868" s="87">
        <v>0.0</v>
      </c>
      <c r="P868" s="87">
        <v>0.0</v>
      </c>
      <c r="Q868" s="87">
        <v>0.0</v>
      </c>
    </row>
    <row r="869">
      <c r="A869" s="84" t="s">
        <v>481</v>
      </c>
      <c r="B869" s="194"/>
      <c r="C869" s="84" t="s">
        <v>496</v>
      </c>
      <c r="D869" s="88" t="s">
        <v>1396</v>
      </c>
      <c r="E869" s="84" t="s">
        <v>3683</v>
      </c>
      <c r="F869" s="84" t="s">
        <v>491</v>
      </c>
      <c r="G869" s="84" t="s">
        <v>3560</v>
      </c>
      <c r="H869" s="84" t="s">
        <v>3521</v>
      </c>
      <c r="I869" s="84" t="s">
        <v>3684</v>
      </c>
      <c r="J869" s="84" t="s">
        <v>130</v>
      </c>
      <c r="K869" s="91"/>
      <c r="L869" s="87">
        <v>24.0</v>
      </c>
      <c r="M869" s="87">
        <v>0.0</v>
      </c>
      <c r="N869" s="87">
        <v>0.0</v>
      </c>
      <c r="O869" s="87">
        <v>0.0</v>
      </c>
      <c r="P869" s="87">
        <v>0.0</v>
      </c>
      <c r="Q869" s="87">
        <v>0.016667</v>
      </c>
    </row>
    <row r="870">
      <c r="A870" s="84" t="s">
        <v>180</v>
      </c>
      <c r="B870" s="194"/>
      <c r="C870" s="84" t="s">
        <v>207</v>
      </c>
      <c r="D870" s="88" t="s">
        <v>1396</v>
      </c>
      <c r="E870" s="84" t="s">
        <v>3683</v>
      </c>
      <c r="F870" s="84" t="s">
        <v>201</v>
      </c>
      <c r="G870" s="84" t="s">
        <v>3727</v>
      </c>
      <c r="H870" s="84" t="s">
        <v>3521</v>
      </c>
      <c r="I870" s="84" t="s">
        <v>3684</v>
      </c>
      <c r="J870" s="91"/>
      <c r="K870" s="91"/>
      <c r="L870" s="87">
        <v>96.0</v>
      </c>
      <c r="M870" s="87">
        <v>3.0</v>
      </c>
      <c r="N870" s="87">
        <v>1.626657</v>
      </c>
      <c r="O870" s="87">
        <v>5.500283</v>
      </c>
      <c r="P870" s="87">
        <v>5.113376</v>
      </c>
      <c r="Q870" s="87">
        <v>5.395973</v>
      </c>
    </row>
    <row r="871">
      <c r="A871" s="84" t="s">
        <v>444</v>
      </c>
      <c r="B871" s="194"/>
      <c r="C871" s="84" t="s">
        <v>944</v>
      </c>
      <c r="D871" s="88" t="s">
        <v>1396</v>
      </c>
      <c r="E871" s="84" t="s">
        <v>3683</v>
      </c>
      <c r="F871" s="84" t="s">
        <v>945</v>
      </c>
      <c r="G871" s="84" t="s">
        <v>3578</v>
      </c>
      <c r="H871" s="84" t="s">
        <v>3521</v>
      </c>
      <c r="I871" s="84" t="s">
        <v>3684</v>
      </c>
      <c r="J871" s="91"/>
      <c r="K871" s="91"/>
      <c r="L871" s="87">
        <v>0.0</v>
      </c>
      <c r="M871" s="87">
        <v>0.0</v>
      </c>
      <c r="N871" s="87">
        <v>0.0</v>
      </c>
      <c r="O871" s="87">
        <v>0.571429</v>
      </c>
      <c r="P871" s="87">
        <v>1.449772</v>
      </c>
      <c r="Q871" s="87">
        <v>0.899161</v>
      </c>
    </row>
    <row r="872">
      <c r="A872" s="84" t="s">
        <v>644</v>
      </c>
      <c r="B872" s="194"/>
      <c r="C872" s="84" t="s">
        <v>715</v>
      </c>
      <c r="D872" s="88" t="s">
        <v>1396</v>
      </c>
      <c r="E872" s="84" t="s">
        <v>3683</v>
      </c>
      <c r="F872" s="84" t="s">
        <v>716</v>
      </c>
      <c r="G872" s="84" t="s">
        <v>3607</v>
      </c>
      <c r="H872" s="84" t="s">
        <v>3521</v>
      </c>
      <c r="I872" s="84" t="s">
        <v>3684</v>
      </c>
      <c r="J872" s="84" t="s">
        <v>215</v>
      </c>
      <c r="L872" s="87">
        <v>624.0</v>
      </c>
      <c r="M872" s="87">
        <v>0.0</v>
      </c>
      <c r="N872" s="87">
        <v>0.958333</v>
      </c>
      <c r="O872" s="87">
        <v>0.0</v>
      </c>
      <c r="P872" s="87">
        <v>0.0</v>
      </c>
      <c r="Q872" s="87">
        <v>0.958333</v>
      </c>
    </row>
    <row r="873">
      <c r="A873" s="84" t="s">
        <v>630</v>
      </c>
      <c r="B873" s="194"/>
      <c r="C873" s="84" t="s">
        <v>1276</v>
      </c>
      <c r="D873" s="88" t="s">
        <v>1396</v>
      </c>
      <c r="E873" s="91"/>
      <c r="F873" s="84" t="s">
        <v>1108</v>
      </c>
      <c r="G873" s="84" t="s">
        <v>3554</v>
      </c>
      <c r="I873" s="84" t="s">
        <v>3684</v>
      </c>
      <c r="J873" s="91"/>
      <c r="K873" s="85"/>
      <c r="L873" s="87">
        <v>432.0</v>
      </c>
      <c r="M873" s="87">
        <v>0.0</v>
      </c>
      <c r="N873" s="87">
        <v>0.0</v>
      </c>
      <c r="O873" s="87">
        <v>0.0</v>
      </c>
      <c r="P873" s="87">
        <v>0.0</v>
      </c>
      <c r="Q873" s="87">
        <v>0.0</v>
      </c>
    </row>
    <row r="874">
      <c r="A874" s="84" t="s">
        <v>616</v>
      </c>
      <c r="B874" s="194"/>
      <c r="C874" s="84" t="s">
        <v>1082</v>
      </c>
      <c r="D874" s="88" t="s">
        <v>1396</v>
      </c>
      <c r="E874" s="84" t="s">
        <v>3683</v>
      </c>
      <c r="F874" s="84" t="s">
        <v>1075</v>
      </c>
      <c r="G874" s="84" t="s">
        <v>3542</v>
      </c>
      <c r="H874" s="84" t="s">
        <v>3521</v>
      </c>
      <c r="I874" s="84" t="s">
        <v>3684</v>
      </c>
      <c r="J874" s="85"/>
      <c r="K874" s="91"/>
      <c r="L874" s="87">
        <v>8.0</v>
      </c>
      <c r="M874" s="87">
        <v>0.0</v>
      </c>
      <c r="N874" s="87">
        <v>0.0</v>
      </c>
      <c r="O874" s="87">
        <v>1.087912</v>
      </c>
      <c r="P874" s="87">
        <v>1.023769</v>
      </c>
      <c r="Q874" s="87">
        <v>1.045339</v>
      </c>
    </row>
    <row r="875">
      <c r="A875" s="84" t="s">
        <v>644</v>
      </c>
      <c r="B875" s="194"/>
      <c r="C875" s="84" t="s">
        <v>671</v>
      </c>
      <c r="D875" s="88" t="s">
        <v>1396</v>
      </c>
      <c r="E875" s="84" t="s">
        <v>3683</v>
      </c>
      <c r="F875" s="84" t="s">
        <v>670</v>
      </c>
      <c r="G875" s="84" t="s">
        <v>3789</v>
      </c>
      <c r="I875" s="84" t="s">
        <v>3684</v>
      </c>
      <c r="J875" s="85"/>
      <c r="K875" s="84" t="s">
        <v>111</v>
      </c>
      <c r="L875" s="87">
        <v>552.0</v>
      </c>
      <c r="M875" s="87">
        <v>0.0</v>
      </c>
      <c r="N875" s="87">
        <v>0.0</v>
      </c>
      <c r="O875" s="87">
        <v>0.0</v>
      </c>
      <c r="P875" s="87">
        <v>0.0</v>
      </c>
      <c r="Q875" s="87">
        <v>0.0</v>
      </c>
    </row>
    <row r="876">
      <c r="A876" s="84" t="s">
        <v>107</v>
      </c>
      <c r="B876" s="194"/>
      <c r="C876" s="84" t="s">
        <v>116</v>
      </c>
      <c r="D876" s="88" t="s">
        <v>1396</v>
      </c>
      <c r="E876" s="84" t="s">
        <v>3683</v>
      </c>
      <c r="F876" s="84" t="s">
        <v>106</v>
      </c>
      <c r="G876" s="84" t="s">
        <v>3552</v>
      </c>
      <c r="H876" s="84" t="s">
        <v>3521</v>
      </c>
      <c r="I876" s="84" t="s">
        <v>3684</v>
      </c>
      <c r="J876" s="85"/>
      <c r="K876" s="84" t="s">
        <v>111</v>
      </c>
      <c r="L876" s="87">
        <v>552.0</v>
      </c>
      <c r="M876" s="87">
        <v>0.0</v>
      </c>
      <c r="N876" s="87">
        <v>0.0</v>
      </c>
      <c r="O876" s="87">
        <v>0.0</v>
      </c>
      <c r="P876" s="87">
        <v>0.0</v>
      </c>
      <c r="Q876" s="87">
        <v>0.0</v>
      </c>
    </row>
    <row r="877">
      <c r="A877" s="84" t="s">
        <v>481</v>
      </c>
      <c r="B877" s="194"/>
      <c r="C877" s="84" t="s">
        <v>1005</v>
      </c>
      <c r="D877" s="88" t="s">
        <v>1396</v>
      </c>
      <c r="E877" s="84" t="s">
        <v>3683</v>
      </c>
      <c r="F877" s="84" t="s">
        <v>989</v>
      </c>
      <c r="G877" s="84" t="s">
        <v>3585</v>
      </c>
      <c r="H877" s="84" t="s">
        <v>3521</v>
      </c>
      <c r="I877" s="84" t="s">
        <v>3684</v>
      </c>
      <c r="J877" s="91"/>
      <c r="K877" s="91"/>
      <c r="L877" s="87">
        <v>24.0</v>
      </c>
      <c r="M877" s="87">
        <v>0.0</v>
      </c>
      <c r="N877" s="87">
        <v>0.0</v>
      </c>
      <c r="O877" s="87">
        <v>1.0</v>
      </c>
      <c r="P877" s="87">
        <v>1.033333</v>
      </c>
      <c r="Q877" s="87">
        <v>1.211168</v>
      </c>
    </row>
    <row r="878">
      <c r="A878" s="84" t="s">
        <v>301</v>
      </c>
      <c r="B878" s="194"/>
      <c r="C878" s="84" t="s">
        <v>336</v>
      </c>
      <c r="D878" s="88" t="s">
        <v>1396</v>
      </c>
      <c r="E878" s="84" t="s">
        <v>3683</v>
      </c>
      <c r="F878" s="91"/>
      <c r="G878" s="84" t="s">
        <v>4199</v>
      </c>
      <c r="H878" s="84" t="s">
        <v>3521</v>
      </c>
      <c r="I878" s="84" t="s">
        <v>3684</v>
      </c>
      <c r="J878" s="91"/>
      <c r="K878" s="91"/>
      <c r="L878" s="87">
        <v>432.0</v>
      </c>
      <c r="M878" s="87">
        <v>0.0</v>
      </c>
      <c r="N878" s="87">
        <v>0.0</v>
      </c>
      <c r="O878" s="87">
        <v>0.0</v>
      </c>
      <c r="P878" s="87">
        <v>0.0</v>
      </c>
      <c r="Q878" s="87">
        <v>0.0</v>
      </c>
    </row>
    <row r="879">
      <c r="A879" s="84" t="s">
        <v>481</v>
      </c>
      <c r="B879" s="194"/>
      <c r="C879" s="84" t="s">
        <v>525</v>
      </c>
      <c r="D879" s="88" t="s">
        <v>1396</v>
      </c>
      <c r="E879" s="84" t="s">
        <v>3683</v>
      </c>
      <c r="F879" s="84" t="s">
        <v>526</v>
      </c>
      <c r="G879" s="84" t="s">
        <v>3593</v>
      </c>
      <c r="H879" s="84" t="s">
        <v>3521</v>
      </c>
      <c r="I879" s="84" t="s">
        <v>3684</v>
      </c>
      <c r="J879" s="84" t="s">
        <v>130</v>
      </c>
      <c r="K879" s="91"/>
      <c r="L879" s="87">
        <v>48.0</v>
      </c>
      <c r="M879" s="87">
        <v>0.0</v>
      </c>
      <c r="N879" s="87">
        <v>0.0</v>
      </c>
      <c r="O879" s="87">
        <v>0.0</v>
      </c>
      <c r="P879" s="87">
        <v>0.0</v>
      </c>
      <c r="Q879" s="87">
        <v>0.033333</v>
      </c>
    </row>
    <row r="880">
      <c r="A880" s="84" t="s">
        <v>1130</v>
      </c>
      <c r="B880" s="194"/>
      <c r="C880" s="84" t="s">
        <v>1161</v>
      </c>
      <c r="D880" s="88" t="s">
        <v>1396</v>
      </c>
      <c r="E880" s="84" t="s">
        <v>3683</v>
      </c>
      <c r="F880" s="84" t="s">
        <v>973</v>
      </c>
      <c r="G880" s="84" t="s">
        <v>3582</v>
      </c>
      <c r="H880" s="84" t="s">
        <v>3521</v>
      </c>
      <c r="I880" s="84" t="s">
        <v>3684</v>
      </c>
      <c r="J880" s="91"/>
      <c r="K880" s="91"/>
      <c r="L880" s="87">
        <v>672.0</v>
      </c>
      <c r="M880" s="87">
        <v>0.0</v>
      </c>
      <c r="N880" s="87">
        <v>6.503134</v>
      </c>
      <c r="O880" s="87">
        <v>1.142857</v>
      </c>
      <c r="P880" s="87">
        <v>6.831959</v>
      </c>
      <c r="Q880" s="87">
        <v>6.320051</v>
      </c>
    </row>
    <row r="881">
      <c r="A881" s="84" t="s">
        <v>472</v>
      </c>
      <c r="B881" s="194"/>
      <c r="C881" s="84" t="s">
        <v>1027</v>
      </c>
      <c r="D881" s="88" t="s">
        <v>1396</v>
      </c>
      <c r="E881" s="84" t="s">
        <v>3687</v>
      </c>
      <c r="F881" s="91"/>
      <c r="G881" s="84" t="s">
        <v>3587</v>
      </c>
      <c r="H881" s="84" t="s">
        <v>3521</v>
      </c>
      <c r="I881" s="84" t="s">
        <v>3684</v>
      </c>
      <c r="J881" s="84" t="s">
        <v>130</v>
      </c>
      <c r="K881" s="91"/>
      <c r="L881" s="87">
        <v>168.0</v>
      </c>
      <c r="M881" s="87">
        <v>0.0</v>
      </c>
      <c r="N881" s="87">
        <v>0.0</v>
      </c>
      <c r="O881" s="87">
        <v>0.0</v>
      </c>
      <c r="P881" s="87">
        <v>0.0</v>
      </c>
      <c r="Q881" s="87">
        <v>0.0</v>
      </c>
    </row>
    <row r="882">
      <c r="A882" s="84" t="s">
        <v>213</v>
      </c>
      <c r="B882" s="194"/>
      <c r="C882" s="84" t="s">
        <v>854</v>
      </c>
      <c r="D882" s="88" t="s">
        <v>1396</v>
      </c>
      <c r="E882" s="84" t="s">
        <v>3683</v>
      </c>
      <c r="F882" s="84" t="s">
        <v>850</v>
      </c>
      <c r="G882" s="84" t="s">
        <v>3551</v>
      </c>
      <c r="H882" s="84" t="s">
        <v>3521</v>
      </c>
      <c r="I882" s="84" t="s">
        <v>3684</v>
      </c>
      <c r="J882" s="91"/>
      <c r="K882" s="91"/>
      <c r="L882" s="87">
        <v>0.0</v>
      </c>
      <c r="M882" s="87">
        <v>0.0</v>
      </c>
      <c r="N882" s="87">
        <v>0.0</v>
      </c>
      <c r="O882" s="87">
        <v>0.571429</v>
      </c>
      <c r="P882" s="87">
        <v>0.733333</v>
      </c>
      <c r="Q882" s="87">
        <v>0.655165</v>
      </c>
    </row>
    <row r="883">
      <c r="A883" s="84" t="s">
        <v>1130</v>
      </c>
      <c r="B883" s="194"/>
      <c r="C883" s="84" t="s">
        <v>1146</v>
      </c>
      <c r="D883" s="88" t="s">
        <v>1396</v>
      </c>
      <c r="E883" s="84" t="s">
        <v>3683</v>
      </c>
      <c r="F883" s="84" t="s">
        <v>1142</v>
      </c>
      <c r="G883" s="84" t="s">
        <v>3605</v>
      </c>
      <c r="H883" s="84" t="s">
        <v>3521</v>
      </c>
      <c r="I883" s="84" t="s">
        <v>3684</v>
      </c>
      <c r="J883" s="84" t="s">
        <v>130</v>
      </c>
      <c r="K883" s="85"/>
      <c r="L883" s="87">
        <v>192.0</v>
      </c>
      <c r="M883" s="87">
        <v>0.0</v>
      </c>
      <c r="N883" s="87">
        <v>3.429762</v>
      </c>
      <c r="O883" s="87">
        <v>0.0</v>
      </c>
      <c r="P883" s="87">
        <v>0.0</v>
      </c>
      <c r="Q883" s="87">
        <v>3.842096</v>
      </c>
    </row>
    <row r="884">
      <c r="A884" s="84" t="s">
        <v>616</v>
      </c>
      <c r="B884" s="194"/>
      <c r="C884" s="84" t="s">
        <v>1079</v>
      </c>
      <c r="D884" s="88" t="s">
        <v>1396</v>
      </c>
      <c r="E884" s="84" t="s">
        <v>3683</v>
      </c>
      <c r="F884" s="84" t="s">
        <v>1075</v>
      </c>
      <c r="G884" s="84" t="s">
        <v>3542</v>
      </c>
      <c r="H884" s="84" t="s">
        <v>3521</v>
      </c>
      <c r="I884" s="84" t="s">
        <v>3684</v>
      </c>
      <c r="J884" s="91"/>
      <c r="K884" s="91"/>
      <c r="L884" s="87">
        <v>0.0</v>
      </c>
      <c r="M884" s="87">
        <v>0.0</v>
      </c>
      <c r="N884" s="87">
        <v>0.0</v>
      </c>
      <c r="O884" s="87">
        <v>0.791209</v>
      </c>
      <c r="P884" s="87">
        <v>0.811211</v>
      </c>
      <c r="Q884" s="87">
        <v>0.648979</v>
      </c>
    </row>
    <row r="885">
      <c r="A885" s="84" t="s">
        <v>644</v>
      </c>
      <c r="B885" s="194"/>
      <c r="C885" s="84" t="s">
        <v>1269</v>
      </c>
      <c r="D885" s="88" t="s">
        <v>1396</v>
      </c>
      <c r="E885" s="84" t="s">
        <v>3683</v>
      </c>
      <c r="F885" s="84" t="s">
        <v>1229</v>
      </c>
      <c r="G885" s="84" t="s">
        <v>3551</v>
      </c>
      <c r="H885" s="84" t="s">
        <v>3521</v>
      </c>
      <c r="I885" s="84" t="s">
        <v>3684</v>
      </c>
      <c r="J885" s="84" t="s">
        <v>130</v>
      </c>
      <c r="K885" s="85"/>
      <c r="L885" s="87">
        <v>0.0</v>
      </c>
      <c r="M885" s="87">
        <v>0.0</v>
      </c>
      <c r="N885" s="87">
        <v>0.0</v>
      </c>
      <c r="O885" s="87">
        <v>0.142857</v>
      </c>
      <c r="P885" s="87">
        <v>0.134483</v>
      </c>
      <c r="Q885" s="87">
        <v>0.081551</v>
      </c>
    </row>
    <row r="886">
      <c r="A886" s="84" t="s">
        <v>439</v>
      </c>
      <c r="B886" s="194"/>
      <c r="C886" s="84" t="s">
        <v>3654</v>
      </c>
      <c r="D886" s="88" t="s">
        <v>1396</v>
      </c>
      <c r="E886" s="84" t="s">
        <v>3683</v>
      </c>
      <c r="F886" s="84" t="s">
        <v>3714</v>
      </c>
      <c r="G886" s="84" t="s">
        <v>3715</v>
      </c>
      <c r="H886" s="84" t="s">
        <v>3521</v>
      </c>
      <c r="I886" s="84" t="s">
        <v>3684</v>
      </c>
      <c r="J886" s="84" t="s">
        <v>3839</v>
      </c>
      <c r="K886" s="84" t="s">
        <v>111</v>
      </c>
      <c r="L886" s="87">
        <v>72.0</v>
      </c>
      <c r="M886" s="87">
        <v>0.0</v>
      </c>
      <c r="N886" s="87">
        <v>0.0</v>
      </c>
      <c r="O886" s="87">
        <v>0.0</v>
      </c>
      <c r="P886" s="87">
        <v>0.0</v>
      </c>
      <c r="Q886" s="87">
        <v>0.0</v>
      </c>
    </row>
    <row r="887">
      <c r="A887" s="84" t="s">
        <v>573</v>
      </c>
      <c r="B887" s="194"/>
      <c r="C887" s="84" t="s">
        <v>584</v>
      </c>
      <c r="D887" s="88" t="s">
        <v>1396</v>
      </c>
      <c r="E887" s="84" t="s">
        <v>3683</v>
      </c>
      <c r="F887" s="84" t="s">
        <v>581</v>
      </c>
      <c r="G887" s="84" t="s">
        <v>3594</v>
      </c>
      <c r="H887" s="84" t="s">
        <v>3527</v>
      </c>
      <c r="I887" s="84" t="s">
        <v>3709</v>
      </c>
      <c r="J887" s="85"/>
      <c r="K887" s="85"/>
      <c r="L887" s="87">
        <v>111.0</v>
      </c>
      <c r="M887" s="87">
        <v>0.0</v>
      </c>
      <c r="N887" s="87">
        <v>0.679004</v>
      </c>
      <c r="O887" s="87">
        <v>3.736253</v>
      </c>
      <c r="P887" s="87">
        <v>3.962005</v>
      </c>
      <c r="Q887" s="87">
        <v>3.688307</v>
      </c>
    </row>
    <row r="888">
      <c r="A888" s="84" t="s">
        <v>439</v>
      </c>
      <c r="B888" s="194"/>
      <c r="C888" s="84" t="s">
        <v>1332</v>
      </c>
      <c r="D888" s="88" t="s">
        <v>1396</v>
      </c>
      <c r="E888" s="84" t="s">
        <v>3687</v>
      </c>
      <c r="F888" s="84" t="s">
        <v>4197</v>
      </c>
      <c r="G888" s="84" t="s">
        <v>3947</v>
      </c>
      <c r="I888" s="84" t="s">
        <v>3709</v>
      </c>
      <c r="J888" s="91"/>
      <c r="K888" s="91"/>
      <c r="L888" s="87">
        <v>528.0</v>
      </c>
      <c r="M888" s="87">
        <v>0.0</v>
      </c>
      <c r="N888" s="87">
        <v>0.0</v>
      </c>
      <c r="O888" s="87">
        <v>0.0</v>
      </c>
      <c r="P888" s="87">
        <v>0.0</v>
      </c>
      <c r="Q888" s="87">
        <v>0.0</v>
      </c>
    </row>
    <row r="889">
      <c r="A889" s="84" t="s">
        <v>393</v>
      </c>
      <c r="B889" s="194"/>
      <c r="C889" s="84" t="s">
        <v>414</v>
      </c>
      <c r="D889" s="88" t="s">
        <v>1396</v>
      </c>
      <c r="E889" s="84" t="s">
        <v>3683</v>
      </c>
      <c r="F889" s="84" t="s">
        <v>415</v>
      </c>
      <c r="G889" s="84" t="s">
        <v>3832</v>
      </c>
      <c r="H889" s="84" t="s">
        <v>3521</v>
      </c>
      <c r="I889" s="84" t="s">
        <v>3693</v>
      </c>
      <c r="J889" s="84" t="s">
        <v>130</v>
      </c>
      <c r="K889" s="91"/>
      <c r="L889" s="87">
        <v>24.0</v>
      </c>
      <c r="M889" s="87">
        <v>0.0</v>
      </c>
      <c r="N889" s="87">
        <v>0.0</v>
      </c>
      <c r="O889" s="87">
        <v>0.0</v>
      </c>
      <c r="P889" s="87">
        <v>0.0</v>
      </c>
      <c r="Q889" s="87">
        <v>0.0</v>
      </c>
    </row>
    <row r="890">
      <c r="A890" s="84" t="s">
        <v>630</v>
      </c>
      <c r="B890" s="194"/>
      <c r="C890" s="84" t="s">
        <v>635</v>
      </c>
      <c r="D890" s="88" t="s">
        <v>1396</v>
      </c>
      <c r="E890" s="84" t="s">
        <v>3683</v>
      </c>
      <c r="F890" s="84" t="s">
        <v>629</v>
      </c>
      <c r="G890" s="84" t="s">
        <v>3766</v>
      </c>
      <c r="H890" s="84" t="s">
        <v>3521</v>
      </c>
      <c r="I890" s="84" t="s">
        <v>3684</v>
      </c>
      <c r="J890" s="84" t="s">
        <v>130</v>
      </c>
      <c r="K890" s="91"/>
      <c r="L890" s="87">
        <v>48.0</v>
      </c>
      <c r="M890" s="87">
        <v>0.0</v>
      </c>
      <c r="N890" s="87">
        <v>0.027027</v>
      </c>
      <c r="O890" s="87">
        <v>0.0</v>
      </c>
      <c r="P890" s="87">
        <v>0.142857</v>
      </c>
      <c r="Q890" s="87">
        <v>0.027027</v>
      </c>
    </row>
    <row r="891">
      <c r="A891" s="84" t="s">
        <v>601</v>
      </c>
      <c r="B891" s="194"/>
      <c r="C891" s="84" t="s">
        <v>599</v>
      </c>
      <c r="D891" s="88" t="s">
        <v>1396</v>
      </c>
      <c r="E891" s="84" t="s">
        <v>3687</v>
      </c>
      <c r="F891" s="84" t="s">
        <v>600</v>
      </c>
      <c r="G891" s="84" t="s">
        <v>4200</v>
      </c>
      <c r="H891" s="84" t="s">
        <v>3521</v>
      </c>
      <c r="I891" s="84" t="s">
        <v>3684</v>
      </c>
      <c r="J891" s="84" t="s">
        <v>130</v>
      </c>
      <c r="K891" s="85"/>
      <c r="L891" s="87">
        <v>24.0</v>
      </c>
      <c r="M891" s="87">
        <v>0.0</v>
      </c>
      <c r="N891" s="87">
        <v>0.0</v>
      </c>
      <c r="O891" s="87">
        <v>0.0</v>
      </c>
      <c r="P891" s="87">
        <v>0.0</v>
      </c>
      <c r="Q891" s="87">
        <v>0.0</v>
      </c>
    </row>
    <row r="892">
      <c r="A892" s="84" t="s">
        <v>644</v>
      </c>
      <c r="B892" s="194"/>
      <c r="C892" s="84" t="s">
        <v>1200</v>
      </c>
      <c r="D892" s="88" t="s">
        <v>1396</v>
      </c>
      <c r="E892" s="84" t="s">
        <v>3683</v>
      </c>
      <c r="F892" s="84" t="s">
        <v>1192</v>
      </c>
      <c r="G892" s="84" t="s">
        <v>3761</v>
      </c>
      <c r="H892" s="84" t="s">
        <v>3521</v>
      </c>
      <c r="I892" s="84" t="s">
        <v>3684</v>
      </c>
      <c r="J892" s="85"/>
      <c r="K892" s="91"/>
      <c r="L892" s="87">
        <v>24.0</v>
      </c>
      <c r="M892" s="87">
        <v>0.0</v>
      </c>
      <c r="N892" s="87">
        <v>0.038462</v>
      </c>
      <c r="O892" s="87">
        <v>0.0</v>
      </c>
      <c r="P892" s="87">
        <v>0.0</v>
      </c>
      <c r="Q892" s="87">
        <v>0.038462</v>
      </c>
    </row>
    <row r="893">
      <c r="A893" s="84" t="s">
        <v>472</v>
      </c>
      <c r="B893" s="194"/>
      <c r="C893" s="84" t="s">
        <v>1011</v>
      </c>
      <c r="D893" s="88" t="s">
        <v>1396</v>
      </c>
      <c r="E893" s="84" t="s">
        <v>3687</v>
      </c>
      <c r="F893" s="91"/>
      <c r="G893" s="84" t="s">
        <v>3587</v>
      </c>
      <c r="H893" s="84" t="s">
        <v>3521</v>
      </c>
      <c r="I893" s="84" t="s">
        <v>3684</v>
      </c>
      <c r="J893" s="84" t="s">
        <v>130</v>
      </c>
      <c r="K893" s="91"/>
      <c r="L893" s="87">
        <v>552.0</v>
      </c>
      <c r="M893" s="87">
        <v>0.0</v>
      </c>
      <c r="N893" s="87">
        <v>0.1625</v>
      </c>
      <c r="O893" s="87">
        <v>0.0</v>
      </c>
      <c r="P893" s="87">
        <v>0.0</v>
      </c>
      <c r="Q893" s="87">
        <v>0.1625</v>
      </c>
    </row>
    <row r="894">
      <c r="A894" s="84" t="s">
        <v>644</v>
      </c>
      <c r="B894" s="194"/>
      <c r="C894" s="84" t="s">
        <v>1219</v>
      </c>
      <c r="D894" s="88" t="s">
        <v>1396</v>
      </c>
      <c r="E894" s="84" t="s">
        <v>3683</v>
      </c>
      <c r="F894" s="84" t="s">
        <v>850</v>
      </c>
      <c r="G894" s="84" t="s">
        <v>3551</v>
      </c>
      <c r="H894" s="84" t="s">
        <v>3521</v>
      </c>
      <c r="I894" s="84" t="s">
        <v>3684</v>
      </c>
      <c r="J894" s="91"/>
      <c r="K894" s="85"/>
      <c r="L894" s="87">
        <v>0.0</v>
      </c>
      <c r="M894" s="87">
        <v>0.0</v>
      </c>
      <c r="N894" s="87">
        <v>0.0</v>
      </c>
      <c r="O894" s="87">
        <v>2.011239</v>
      </c>
      <c r="P894" s="87">
        <v>1.581865</v>
      </c>
      <c r="Q894" s="87">
        <v>1.24177</v>
      </c>
    </row>
    <row r="895">
      <c r="A895" s="84" t="s">
        <v>139</v>
      </c>
      <c r="B895" s="194"/>
      <c r="C895" s="84" t="s">
        <v>164</v>
      </c>
      <c r="D895" s="88" t="s">
        <v>1396</v>
      </c>
      <c r="E895" s="84" t="s">
        <v>3683</v>
      </c>
      <c r="F895" s="84" t="s">
        <v>144</v>
      </c>
      <c r="G895" s="84" t="s">
        <v>3700</v>
      </c>
      <c r="H895" s="84" t="s">
        <v>3521</v>
      </c>
      <c r="I895" s="84" t="s">
        <v>3684</v>
      </c>
      <c r="J895" s="84" t="s">
        <v>130</v>
      </c>
      <c r="K895" s="84" t="s">
        <v>111</v>
      </c>
      <c r="L895" s="87">
        <v>816.0</v>
      </c>
      <c r="M895" s="87">
        <v>0.0</v>
      </c>
      <c r="N895" s="87">
        <v>0.0</v>
      </c>
      <c r="O895" s="87">
        <v>0.0</v>
      </c>
      <c r="P895" s="87">
        <v>0.0</v>
      </c>
      <c r="Q895" s="87">
        <v>0.0</v>
      </c>
    </row>
    <row r="896">
      <c r="A896" s="84" t="s">
        <v>644</v>
      </c>
      <c r="B896" s="194"/>
      <c r="C896" s="84" t="s">
        <v>4201</v>
      </c>
      <c r="D896" s="88" t="s">
        <v>1396</v>
      </c>
      <c r="E896" s="84" t="s">
        <v>3897</v>
      </c>
      <c r="F896" s="91"/>
      <c r="G896" s="84" t="s">
        <v>4202</v>
      </c>
      <c r="H896" s="84" t="s">
        <v>3521</v>
      </c>
      <c r="I896" s="84" t="s">
        <v>3684</v>
      </c>
      <c r="J896" s="84" t="s">
        <v>89</v>
      </c>
      <c r="K896" s="85"/>
      <c r="L896" s="87">
        <v>624.0</v>
      </c>
      <c r="M896" s="87">
        <v>0.0</v>
      </c>
      <c r="N896" s="87">
        <v>25.69523</v>
      </c>
      <c r="O896" s="87">
        <v>30.30523</v>
      </c>
      <c r="P896" s="87">
        <v>24.8704</v>
      </c>
      <c r="Q896" s="87">
        <v>24.30346</v>
      </c>
    </row>
    <row r="897">
      <c r="A897" s="84" t="s">
        <v>616</v>
      </c>
      <c r="B897" s="194"/>
      <c r="C897" s="84" t="s">
        <v>614</v>
      </c>
      <c r="D897" s="88" t="s">
        <v>1396</v>
      </c>
      <c r="E897" s="84" t="s">
        <v>3683</v>
      </c>
      <c r="F897" s="84" t="s">
        <v>615</v>
      </c>
      <c r="G897" s="84" t="s">
        <v>3563</v>
      </c>
      <c r="H897" s="84" t="s">
        <v>3521</v>
      </c>
      <c r="I897" s="84" t="s">
        <v>3684</v>
      </c>
      <c r="J897" s="84" t="s">
        <v>618</v>
      </c>
      <c r="L897" s="87">
        <v>0.0</v>
      </c>
      <c r="M897" s="87">
        <v>0.0</v>
      </c>
      <c r="N897" s="87">
        <v>0.0</v>
      </c>
      <c r="O897" s="87">
        <v>0.071429</v>
      </c>
      <c r="P897" s="87">
        <v>0.066667</v>
      </c>
      <c r="Q897" s="87">
        <v>0.133333</v>
      </c>
    </row>
    <row r="898">
      <c r="A898" s="84" t="s">
        <v>301</v>
      </c>
      <c r="B898" s="194"/>
      <c r="C898" s="84" t="s">
        <v>330</v>
      </c>
      <c r="D898" s="88" t="s">
        <v>1396</v>
      </c>
      <c r="E898" s="84" t="s">
        <v>3683</v>
      </c>
      <c r="F898" s="84" t="s">
        <v>300</v>
      </c>
      <c r="G898" s="84" t="s">
        <v>3703</v>
      </c>
      <c r="H898" s="84" t="s">
        <v>3521</v>
      </c>
      <c r="I898" s="84" t="s">
        <v>3684</v>
      </c>
      <c r="J898" s="84" t="s">
        <v>130</v>
      </c>
      <c r="K898" s="91"/>
      <c r="L898" s="87">
        <v>192.0</v>
      </c>
      <c r="M898" s="87">
        <v>0.0</v>
      </c>
      <c r="N898" s="87">
        <v>0.166667</v>
      </c>
      <c r="O898" s="87">
        <v>0.0</v>
      </c>
      <c r="P898" s="87">
        <v>0.0</v>
      </c>
      <c r="Q898" s="87">
        <v>0.2</v>
      </c>
    </row>
    <row r="899">
      <c r="A899" s="84" t="s">
        <v>481</v>
      </c>
      <c r="B899" s="194"/>
      <c r="C899" s="84" t="s">
        <v>498</v>
      </c>
      <c r="D899" s="88" t="s">
        <v>1396</v>
      </c>
      <c r="E899" s="84" t="s">
        <v>3683</v>
      </c>
      <c r="F899" s="84" t="s">
        <v>491</v>
      </c>
      <c r="G899" s="84" t="s">
        <v>3560</v>
      </c>
      <c r="H899" s="84" t="s">
        <v>3521</v>
      </c>
      <c r="I899" s="84" t="s">
        <v>3684</v>
      </c>
      <c r="J899" s="85"/>
      <c r="K899" s="91"/>
      <c r="L899" s="87">
        <v>288.0</v>
      </c>
      <c r="M899" s="87">
        <v>0.0</v>
      </c>
      <c r="N899" s="87">
        <v>3.537539</v>
      </c>
      <c r="O899" s="87">
        <v>5.526335</v>
      </c>
      <c r="P899" s="87">
        <v>4.676028</v>
      </c>
      <c r="Q899" s="87">
        <v>4.672459</v>
      </c>
    </row>
    <row r="900">
      <c r="A900" s="84" t="s">
        <v>644</v>
      </c>
      <c r="B900" s="194"/>
      <c r="C900" s="84" t="s">
        <v>1195</v>
      </c>
      <c r="D900" s="88" t="s">
        <v>1396</v>
      </c>
      <c r="E900" s="84" t="s">
        <v>3683</v>
      </c>
      <c r="F900" s="84" t="s">
        <v>1180</v>
      </c>
      <c r="G900" s="84" t="s">
        <v>3600</v>
      </c>
      <c r="I900" s="84" t="s">
        <v>3684</v>
      </c>
      <c r="J900" s="84" t="s">
        <v>215</v>
      </c>
      <c r="L900" s="87">
        <v>480.0</v>
      </c>
      <c r="M900" s="87">
        <v>0.0</v>
      </c>
      <c r="N900" s="87">
        <v>0.0</v>
      </c>
      <c r="O900" s="87">
        <v>0.0</v>
      </c>
      <c r="P900" s="87">
        <v>0.0</v>
      </c>
      <c r="Q900" s="87">
        <v>0.0</v>
      </c>
    </row>
    <row r="901">
      <c r="A901" s="84" t="s">
        <v>630</v>
      </c>
      <c r="B901" s="194"/>
      <c r="C901" s="84" t="s">
        <v>1106</v>
      </c>
      <c r="D901" s="88" t="s">
        <v>1396</v>
      </c>
      <c r="E901" s="84" t="s">
        <v>3683</v>
      </c>
      <c r="F901" s="84" t="s">
        <v>1104</v>
      </c>
      <c r="G901" s="84" t="s">
        <v>3602</v>
      </c>
      <c r="H901" s="84" t="s">
        <v>3521</v>
      </c>
      <c r="I901" s="84" t="s">
        <v>3684</v>
      </c>
      <c r="J901" s="91"/>
      <c r="K901" s="85"/>
      <c r="L901" s="87">
        <v>71.0</v>
      </c>
      <c r="M901" s="87">
        <v>4.0</v>
      </c>
      <c r="N901" s="87">
        <v>0.604396</v>
      </c>
      <c r="O901" s="87">
        <v>6.406172</v>
      </c>
      <c r="P901" s="87">
        <v>5.533567</v>
      </c>
      <c r="Q901" s="87">
        <v>5.53313</v>
      </c>
    </row>
    <row r="902">
      <c r="A902" s="84" t="s">
        <v>363</v>
      </c>
      <c r="B902" s="194"/>
      <c r="C902" s="84" t="s">
        <v>387</v>
      </c>
      <c r="D902" s="88" t="s">
        <v>1396</v>
      </c>
      <c r="E902" s="91"/>
      <c r="F902" s="84" t="s">
        <v>382</v>
      </c>
      <c r="G902" s="84" t="s">
        <v>3991</v>
      </c>
      <c r="I902" s="84" t="s">
        <v>3709</v>
      </c>
      <c r="J902" s="91"/>
      <c r="K902" s="85"/>
      <c r="L902" s="87">
        <v>456.0</v>
      </c>
      <c r="M902" s="87">
        <v>0.0</v>
      </c>
      <c r="N902" s="87">
        <v>0.0</v>
      </c>
      <c r="O902" s="87">
        <v>0.0</v>
      </c>
      <c r="P902" s="87">
        <v>0.0</v>
      </c>
      <c r="Q902" s="87">
        <v>0.0</v>
      </c>
    </row>
    <row r="903">
      <c r="A903" s="84" t="s">
        <v>630</v>
      </c>
      <c r="B903" s="194"/>
      <c r="C903" s="84" t="s">
        <v>1106</v>
      </c>
      <c r="D903" s="88" t="s">
        <v>1396</v>
      </c>
      <c r="E903" s="91"/>
      <c r="F903" s="84" t="s">
        <v>1104</v>
      </c>
      <c r="G903" s="84" t="s">
        <v>3602</v>
      </c>
      <c r="I903" s="84" t="s">
        <v>3684</v>
      </c>
      <c r="J903" s="85"/>
      <c r="K903" s="91"/>
      <c r="L903" s="87">
        <v>456.0</v>
      </c>
      <c r="M903" s="87">
        <v>0.0</v>
      </c>
      <c r="N903" s="87">
        <v>0.0</v>
      </c>
      <c r="O903" s="87">
        <v>0.0</v>
      </c>
      <c r="P903" s="87">
        <v>0.0</v>
      </c>
      <c r="Q903" s="87">
        <v>0.0</v>
      </c>
    </row>
    <row r="904">
      <c r="A904" s="84" t="s">
        <v>258</v>
      </c>
      <c r="B904" s="194"/>
      <c r="C904" s="84" t="s">
        <v>883</v>
      </c>
      <c r="D904" s="88" t="s">
        <v>1396</v>
      </c>
      <c r="E904" s="84" t="s">
        <v>3687</v>
      </c>
      <c r="F904" s="84" t="s">
        <v>884</v>
      </c>
      <c r="G904" s="84" t="s">
        <v>3558</v>
      </c>
      <c r="H904" s="84" t="s">
        <v>3521</v>
      </c>
      <c r="I904" s="84" t="s">
        <v>3684</v>
      </c>
      <c r="J904" s="84" t="s">
        <v>89</v>
      </c>
      <c r="K904" s="85"/>
      <c r="L904" s="87">
        <v>144.0</v>
      </c>
      <c r="M904" s="87">
        <v>0.0</v>
      </c>
      <c r="N904" s="87">
        <v>0.215061</v>
      </c>
      <c r="O904" s="87">
        <v>0.111111</v>
      </c>
      <c r="P904" s="87">
        <v>0.25619</v>
      </c>
      <c r="Q904" s="87">
        <v>0.190314</v>
      </c>
    </row>
    <row r="905">
      <c r="A905" s="84" t="s">
        <v>537</v>
      </c>
      <c r="B905" s="194"/>
      <c r="C905" s="84" t="s">
        <v>545</v>
      </c>
      <c r="D905" s="88" t="s">
        <v>1396</v>
      </c>
      <c r="E905" s="84" t="s">
        <v>3683</v>
      </c>
      <c r="F905" s="84" t="s">
        <v>542</v>
      </c>
      <c r="G905" s="84" t="s">
        <v>3514</v>
      </c>
      <c r="I905" s="84" t="s">
        <v>3693</v>
      </c>
      <c r="J905" s="85"/>
      <c r="K905" s="85"/>
      <c r="L905" s="87">
        <v>552.0</v>
      </c>
      <c r="M905" s="87">
        <v>0.0</v>
      </c>
      <c r="N905" s="87">
        <v>0.0</v>
      </c>
      <c r="O905" s="87">
        <v>0.0</v>
      </c>
      <c r="P905" s="87">
        <v>0.0</v>
      </c>
      <c r="Q905" s="87">
        <v>0.0</v>
      </c>
    </row>
    <row r="906">
      <c r="A906" s="84" t="s">
        <v>472</v>
      </c>
      <c r="B906" s="194"/>
      <c r="C906" s="84" t="s">
        <v>470</v>
      </c>
      <c r="D906" s="88" t="s">
        <v>1396</v>
      </c>
      <c r="E906" s="84" t="s">
        <v>3683</v>
      </c>
      <c r="F906" s="84" t="s">
        <v>471</v>
      </c>
      <c r="G906" s="84" t="s">
        <v>3827</v>
      </c>
      <c r="H906" s="84" t="s">
        <v>3507</v>
      </c>
      <c r="I906" s="84" t="s">
        <v>3684</v>
      </c>
      <c r="J906" s="91"/>
      <c r="K906" s="91"/>
      <c r="L906" s="87">
        <v>96.0</v>
      </c>
      <c r="M906" s="87">
        <v>0.0</v>
      </c>
      <c r="N906" s="87">
        <v>0.076923</v>
      </c>
      <c r="O906" s="87">
        <v>0.076923</v>
      </c>
      <c r="P906" s="87">
        <v>0.070197</v>
      </c>
      <c r="Q906" s="87">
        <v>0.034191</v>
      </c>
    </row>
    <row r="907">
      <c r="A907" s="84" t="s">
        <v>537</v>
      </c>
      <c r="B907" s="194"/>
      <c r="C907" s="84" t="s">
        <v>546</v>
      </c>
      <c r="D907" s="88" t="s">
        <v>1396</v>
      </c>
      <c r="E907" s="84" t="s">
        <v>3683</v>
      </c>
      <c r="F907" s="84" t="s">
        <v>542</v>
      </c>
      <c r="G907" s="84" t="s">
        <v>3514</v>
      </c>
      <c r="I907" s="84" t="s">
        <v>3693</v>
      </c>
      <c r="J907" s="91"/>
      <c r="K907" s="91"/>
      <c r="L907" s="87">
        <v>552.0</v>
      </c>
      <c r="M907" s="87">
        <v>0.0</v>
      </c>
      <c r="N907" s="87">
        <v>0.0</v>
      </c>
      <c r="O907" s="87">
        <v>0.0</v>
      </c>
      <c r="P907" s="87">
        <v>0.0</v>
      </c>
      <c r="Q907" s="87">
        <v>0.0</v>
      </c>
    </row>
    <row r="908">
      <c r="A908" s="84" t="s">
        <v>644</v>
      </c>
      <c r="B908" s="194"/>
      <c r="C908" s="84" t="s">
        <v>664</v>
      </c>
      <c r="D908" s="88" t="s">
        <v>1396</v>
      </c>
      <c r="E908" s="84" t="s">
        <v>3683</v>
      </c>
      <c r="F908" s="84" t="s">
        <v>658</v>
      </c>
      <c r="G908" s="84" t="s">
        <v>3801</v>
      </c>
      <c r="H908" s="84" t="s">
        <v>3521</v>
      </c>
      <c r="I908" s="84" t="s">
        <v>3684</v>
      </c>
      <c r="J908" s="91"/>
      <c r="K908" s="84" t="s">
        <v>111</v>
      </c>
      <c r="L908" s="87">
        <v>720.0</v>
      </c>
      <c r="M908" s="87">
        <v>0.0</v>
      </c>
      <c r="N908" s="87">
        <v>0.166667</v>
      </c>
      <c r="O908" s="87">
        <v>0.071429</v>
      </c>
      <c r="P908" s="87">
        <v>0.058824</v>
      </c>
      <c r="Q908" s="87">
        <v>0.22549</v>
      </c>
    </row>
    <row r="909">
      <c r="A909" s="84" t="s">
        <v>180</v>
      </c>
      <c r="B909" s="194"/>
      <c r="C909" s="84" t="s">
        <v>811</v>
      </c>
      <c r="D909" s="88" t="s">
        <v>1396</v>
      </c>
      <c r="E909" s="84" t="s">
        <v>3683</v>
      </c>
      <c r="F909" s="84" t="s">
        <v>542</v>
      </c>
      <c r="G909" s="84" t="s">
        <v>3514</v>
      </c>
      <c r="H909" s="84" t="s">
        <v>3513</v>
      </c>
      <c r="I909" s="84" t="s">
        <v>3709</v>
      </c>
      <c r="J909" s="91"/>
      <c r="K909" s="84" t="s">
        <v>111</v>
      </c>
      <c r="L909" s="87">
        <v>432.0</v>
      </c>
      <c r="M909" s="87">
        <v>0.0</v>
      </c>
      <c r="N909" s="87">
        <v>0.166667</v>
      </c>
      <c r="O909" s="87">
        <v>0.0</v>
      </c>
      <c r="P909" s="87">
        <v>0.0</v>
      </c>
      <c r="Q909" s="87">
        <v>0.166667</v>
      </c>
    </row>
    <row r="910">
      <c r="A910" s="84" t="s">
        <v>264</v>
      </c>
      <c r="B910" s="194"/>
      <c r="C910" s="84" t="s">
        <v>280</v>
      </c>
      <c r="D910" s="88" t="s">
        <v>1396</v>
      </c>
      <c r="E910" s="84" t="s">
        <v>3687</v>
      </c>
      <c r="F910" s="84" t="s">
        <v>281</v>
      </c>
      <c r="G910" s="84" t="s">
        <v>3691</v>
      </c>
      <c r="H910" s="84" t="s">
        <v>3521</v>
      </c>
      <c r="I910" s="84" t="s">
        <v>3684</v>
      </c>
      <c r="J910" s="91"/>
      <c r="K910" s="84" t="s">
        <v>111</v>
      </c>
      <c r="L910" s="87">
        <v>192.0</v>
      </c>
      <c r="M910" s="87">
        <v>0.0</v>
      </c>
      <c r="N910" s="87">
        <v>0.083333</v>
      </c>
      <c r="O910" s="87">
        <v>0.0</v>
      </c>
      <c r="P910" s="87">
        <v>0.083333</v>
      </c>
      <c r="Q910" s="87">
        <v>0.029412</v>
      </c>
    </row>
    <row r="911">
      <c r="A911" s="84" t="s">
        <v>644</v>
      </c>
      <c r="B911" s="194"/>
      <c r="C911" s="84" t="s">
        <v>689</v>
      </c>
      <c r="D911" s="88" t="s">
        <v>1396</v>
      </c>
      <c r="E911" s="84" t="s">
        <v>3683</v>
      </c>
      <c r="F911" s="84" t="s">
        <v>686</v>
      </c>
      <c r="G911" s="84" t="s">
        <v>3607</v>
      </c>
      <c r="H911" s="84" t="s">
        <v>3521</v>
      </c>
      <c r="I911" s="84" t="s">
        <v>3684</v>
      </c>
      <c r="J911" s="84" t="s">
        <v>215</v>
      </c>
      <c r="L911" s="87">
        <v>312.0</v>
      </c>
      <c r="M911" s="87">
        <v>0.0</v>
      </c>
      <c r="N911" s="87">
        <v>1.882367</v>
      </c>
      <c r="O911" s="87">
        <v>0.0</v>
      </c>
      <c r="P911" s="87">
        <v>0.0</v>
      </c>
      <c r="Q911" s="87">
        <v>1.932367</v>
      </c>
    </row>
    <row r="912">
      <c r="A912" s="84" t="s">
        <v>258</v>
      </c>
      <c r="B912" s="194"/>
      <c r="C912" s="84" t="s">
        <v>879</v>
      </c>
      <c r="D912" s="88" t="s">
        <v>1396</v>
      </c>
      <c r="E912" s="84" t="s">
        <v>3683</v>
      </c>
      <c r="F912" s="84" t="s">
        <v>880</v>
      </c>
      <c r="G912" s="84" t="s">
        <v>3557</v>
      </c>
      <c r="H912" s="84" t="s">
        <v>3521</v>
      </c>
      <c r="I912" s="84" t="s">
        <v>3684</v>
      </c>
      <c r="J912" s="91"/>
      <c r="K912" s="91"/>
      <c r="L912" s="87">
        <v>9.0</v>
      </c>
      <c r="M912" s="87">
        <v>6.0</v>
      </c>
      <c r="N912" s="87">
        <v>0.0</v>
      </c>
      <c r="O912" s="87">
        <v>2.21978</v>
      </c>
      <c r="P912" s="87">
        <v>2.011658</v>
      </c>
      <c r="Q912" s="87">
        <v>1.884564</v>
      </c>
    </row>
    <row r="913">
      <c r="A913" s="84" t="s">
        <v>180</v>
      </c>
      <c r="B913" s="194"/>
      <c r="C913" s="84" t="s">
        <v>831</v>
      </c>
      <c r="D913" s="88" t="s">
        <v>1396</v>
      </c>
      <c r="E913" s="84" t="s">
        <v>3683</v>
      </c>
      <c r="F913" s="84" t="s">
        <v>830</v>
      </c>
      <c r="G913" s="84" t="s">
        <v>3549</v>
      </c>
      <c r="H913" s="84" t="s">
        <v>3507</v>
      </c>
      <c r="I913" s="84" t="s">
        <v>3684</v>
      </c>
      <c r="J913" s="85"/>
      <c r="K913" s="91"/>
      <c r="L913" s="87">
        <v>0.0</v>
      </c>
      <c r="M913" s="87">
        <v>1.0</v>
      </c>
      <c r="N913" s="87">
        <v>0.0</v>
      </c>
      <c r="O913" s="87">
        <v>0.0</v>
      </c>
      <c r="P913" s="87">
        <v>0.0</v>
      </c>
      <c r="Q913" s="87">
        <v>0.0</v>
      </c>
    </row>
    <row r="914">
      <c r="A914" s="84" t="s">
        <v>363</v>
      </c>
      <c r="B914" s="193"/>
      <c r="C914" s="84" t="s">
        <v>372</v>
      </c>
      <c r="D914" s="88" t="s">
        <v>1396</v>
      </c>
      <c r="E914" s="84" t="s">
        <v>3683</v>
      </c>
      <c r="F914" s="84" t="s">
        <v>370</v>
      </c>
      <c r="G914" s="84" t="s">
        <v>3770</v>
      </c>
      <c r="H914" s="84" t="s">
        <v>3527</v>
      </c>
      <c r="I914" s="84" t="s">
        <v>3709</v>
      </c>
      <c r="J914" s="84" t="s">
        <v>130</v>
      </c>
      <c r="K914" s="84" t="s">
        <v>111</v>
      </c>
      <c r="L914" s="87">
        <v>24.0</v>
      </c>
      <c r="M914" s="87">
        <v>0.0</v>
      </c>
      <c r="N914" s="87">
        <v>0.0</v>
      </c>
      <c r="O914" s="87">
        <v>0.0</v>
      </c>
      <c r="P914" s="87">
        <v>0.0</v>
      </c>
      <c r="Q914" s="87">
        <v>0.0</v>
      </c>
    </row>
    <row r="915">
      <c r="A915" s="84" t="s">
        <v>264</v>
      </c>
      <c r="B915" s="194"/>
      <c r="C915" s="84" t="s">
        <v>290</v>
      </c>
      <c r="D915" s="88" t="s">
        <v>1396</v>
      </c>
      <c r="E915" s="84" t="s">
        <v>3683</v>
      </c>
      <c r="F915" s="84" t="s">
        <v>291</v>
      </c>
      <c r="G915" s="84" t="s">
        <v>3560</v>
      </c>
      <c r="H915" s="84" t="s">
        <v>3521</v>
      </c>
      <c r="I915" s="84" t="s">
        <v>3684</v>
      </c>
      <c r="J915" s="84" t="s">
        <v>89</v>
      </c>
      <c r="K915" s="91"/>
      <c r="L915" s="87">
        <v>432.0</v>
      </c>
      <c r="M915" s="87">
        <v>0.0</v>
      </c>
      <c r="N915" s="87">
        <v>0.0</v>
      </c>
      <c r="O915" s="87">
        <v>0.0</v>
      </c>
      <c r="P915" s="87">
        <v>0.0</v>
      </c>
      <c r="Q915" s="87">
        <v>0.0</v>
      </c>
    </row>
    <row r="916">
      <c r="A916" s="84" t="s">
        <v>537</v>
      </c>
      <c r="B916" s="194"/>
      <c r="C916" s="84" t="s">
        <v>540</v>
      </c>
      <c r="D916" s="88" t="s">
        <v>1396</v>
      </c>
      <c r="E916" s="84" t="s">
        <v>3683</v>
      </c>
      <c r="F916" s="84" t="s">
        <v>536</v>
      </c>
      <c r="G916" s="84" t="s">
        <v>3782</v>
      </c>
      <c r="I916" s="84" t="s">
        <v>3693</v>
      </c>
      <c r="J916" s="84" t="s">
        <v>130</v>
      </c>
      <c r="K916" s="91"/>
      <c r="L916" s="87">
        <v>552.0</v>
      </c>
      <c r="M916" s="87">
        <v>0.0</v>
      </c>
      <c r="N916" s="87">
        <v>0.0</v>
      </c>
      <c r="O916" s="87">
        <v>0.0</v>
      </c>
      <c r="P916" s="87">
        <v>0.0</v>
      </c>
      <c r="Q916" s="87">
        <v>0.0</v>
      </c>
    </row>
    <row r="917">
      <c r="A917" s="84" t="s">
        <v>644</v>
      </c>
      <c r="B917" s="194"/>
      <c r="C917" s="84" t="s">
        <v>1271</v>
      </c>
      <c r="D917" s="88" t="s">
        <v>1396</v>
      </c>
      <c r="E917" s="84" t="s">
        <v>3683</v>
      </c>
      <c r="F917" s="84" t="s">
        <v>1229</v>
      </c>
      <c r="G917" s="84" t="s">
        <v>3551</v>
      </c>
      <c r="I917" s="84" t="s">
        <v>3684</v>
      </c>
      <c r="J917" s="85"/>
      <c r="K917" s="91"/>
      <c r="L917" s="87">
        <v>0.0</v>
      </c>
      <c r="M917" s="87">
        <v>0.0</v>
      </c>
      <c r="N917" s="87">
        <v>0.0</v>
      </c>
      <c r="O917" s="87">
        <v>0.0</v>
      </c>
      <c r="P917" s="87">
        <v>0.0</v>
      </c>
      <c r="Q917" s="87">
        <v>0.0</v>
      </c>
    </row>
    <row r="918">
      <c r="A918" s="84" t="s">
        <v>630</v>
      </c>
      <c r="B918" s="194"/>
      <c r="C918" s="84" t="s">
        <v>1106</v>
      </c>
      <c r="D918" s="88" t="s">
        <v>1396</v>
      </c>
      <c r="E918" s="84" t="s">
        <v>3683</v>
      </c>
      <c r="F918" s="84" t="s">
        <v>1104</v>
      </c>
      <c r="G918" s="84" t="s">
        <v>3602</v>
      </c>
      <c r="H918" s="84" t="s">
        <v>3521</v>
      </c>
      <c r="I918" s="84" t="s">
        <v>3684</v>
      </c>
      <c r="J918" s="84" t="s">
        <v>130</v>
      </c>
      <c r="K918" s="85"/>
      <c r="L918" s="87">
        <v>24.0</v>
      </c>
      <c r="M918" s="87">
        <v>0.0</v>
      </c>
      <c r="N918" s="87">
        <v>0.0</v>
      </c>
      <c r="O918" s="87">
        <v>0.0</v>
      </c>
      <c r="P918" s="87">
        <v>0.0</v>
      </c>
      <c r="Q918" s="87">
        <v>0.0</v>
      </c>
    </row>
    <row r="919">
      <c r="A919" s="84" t="s">
        <v>139</v>
      </c>
      <c r="B919" s="194"/>
      <c r="C919" s="84" t="s">
        <v>782</v>
      </c>
      <c r="D919" s="88" t="s">
        <v>1396</v>
      </c>
      <c r="E919" s="84" t="s">
        <v>3687</v>
      </c>
      <c r="F919" s="84" t="s">
        <v>783</v>
      </c>
      <c r="G919" s="84" t="s">
        <v>4191</v>
      </c>
      <c r="H919" s="84" t="s">
        <v>3513</v>
      </c>
      <c r="I919" s="84" t="s">
        <v>3709</v>
      </c>
      <c r="J919" s="84" t="s">
        <v>130</v>
      </c>
      <c r="K919" s="91"/>
      <c r="L919" s="87">
        <v>48.0</v>
      </c>
      <c r="M919" s="87">
        <v>0.0</v>
      </c>
      <c r="N919" s="87">
        <v>0.0</v>
      </c>
      <c r="O919" s="87">
        <v>0.0</v>
      </c>
      <c r="P919" s="87">
        <v>0.0</v>
      </c>
      <c r="Q919" s="87">
        <v>0.0</v>
      </c>
    </row>
    <row r="920">
      <c r="A920" s="84" t="s">
        <v>745</v>
      </c>
      <c r="B920" s="194"/>
      <c r="C920" s="84" t="s">
        <v>743</v>
      </c>
      <c r="D920" s="88" t="s">
        <v>1396</v>
      </c>
      <c r="E920" s="84" t="s">
        <v>3683</v>
      </c>
      <c r="F920" s="84" t="s">
        <v>744</v>
      </c>
      <c r="G920" s="84" t="s">
        <v>3841</v>
      </c>
      <c r="H920" s="84" t="s">
        <v>3521</v>
      </c>
      <c r="I920" s="84" t="s">
        <v>3684</v>
      </c>
      <c r="J920" s="84" t="s">
        <v>130</v>
      </c>
      <c r="K920" s="91"/>
      <c r="L920" s="87">
        <v>24.0</v>
      </c>
      <c r="M920" s="87">
        <v>0.0</v>
      </c>
      <c r="N920" s="87">
        <v>0.0</v>
      </c>
      <c r="O920" s="87">
        <v>0.0</v>
      </c>
      <c r="P920" s="87">
        <v>0.0</v>
      </c>
      <c r="Q920" s="87">
        <v>0.0</v>
      </c>
    </row>
    <row r="921">
      <c r="A921" s="84" t="s">
        <v>616</v>
      </c>
      <c r="B921" s="194"/>
      <c r="C921" s="84" t="s">
        <v>624</v>
      </c>
      <c r="D921" s="88" t="s">
        <v>1396</v>
      </c>
      <c r="E921" s="84" t="s">
        <v>3683</v>
      </c>
      <c r="F921" s="84" t="s">
        <v>621</v>
      </c>
      <c r="G921" s="84" t="s">
        <v>3552</v>
      </c>
      <c r="H921" s="84" t="s">
        <v>3521</v>
      </c>
      <c r="I921" s="84" t="s">
        <v>3684</v>
      </c>
      <c r="J921" s="84" t="s">
        <v>130</v>
      </c>
      <c r="K921" s="85"/>
      <c r="L921" s="87">
        <v>24.0</v>
      </c>
      <c r="M921" s="87">
        <v>0.0</v>
      </c>
      <c r="N921" s="87">
        <v>0.0</v>
      </c>
      <c r="O921" s="87">
        <v>0.0</v>
      </c>
      <c r="P921" s="87">
        <v>0.0</v>
      </c>
      <c r="Q921" s="87">
        <v>0.033333</v>
      </c>
    </row>
    <row r="922">
      <c r="A922" s="84" t="s">
        <v>601</v>
      </c>
      <c r="B922" s="194"/>
      <c r="C922" s="84" t="s">
        <v>3662</v>
      </c>
      <c r="D922" s="88" t="s">
        <v>1396</v>
      </c>
      <c r="E922" s="91"/>
      <c r="F922" s="84" t="s">
        <v>4193</v>
      </c>
      <c r="G922" s="84" t="s">
        <v>4194</v>
      </c>
      <c r="I922" s="84" t="s">
        <v>3684</v>
      </c>
      <c r="J922" s="91"/>
      <c r="K922" s="91"/>
      <c r="L922" s="87">
        <v>24.0</v>
      </c>
      <c r="M922" s="87">
        <v>0.0</v>
      </c>
      <c r="N922" s="87">
        <v>0.0</v>
      </c>
      <c r="O922" s="87">
        <v>0.0</v>
      </c>
      <c r="P922" s="87">
        <v>0.0</v>
      </c>
      <c r="Q922" s="87">
        <v>0.0</v>
      </c>
    </row>
    <row r="923">
      <c r="A923" s="84" t="s">
        <v>213</v>
      </c>
      <c r="B923" s="194"/>
      <c r="C923" s="84" t="s">
        <v>855</v>
      </c>
      <c r="D923" s="88" t="s">
        <v>1396</v>
      </c>
      <c r="E923" s="84" t="s">
        <v>3683</v>
      </c>
      <c r="F923" s="84" t="s">
        <v>856</v>
      </c>
      <c r="G923" s="84" t="s">
        <v>3552</v>
      </c>
      <c r="H923" s="84" t="s">
        <v>3521</v>
      </c>
      <c r="I923" s="84" t="s">
        <v>3684</v>
      </c>
      <c r="J923" s="91"/>
      <c r="K923" s="84" t="s">
        <v>111</v>
      </c>
      <c r="L923" s="87">
        <v>473.0</v>
      </c>
      <c r="M923" s="87">
        <v>5.0</v>
      </c>
      <c r="N923" s="87">
        <v>11.45794</v>
      </c>
      <c r="O923" s="87">
        <v>14.12785</v>
      </c>
      <c r="P923" s="87">
        <v>13.23342</v>
      </c>
      <c r="Q923" s="87">
        <v>13.19976</v>
      </c>
    </row>
    <row r="924">
      <c r="A924" s="84" t="s">
        <v>601</v>
      </c>
      <c r="B924" s="194"/>
      <c r="C924" s="84" t="s">
        <v>3662</v>
      </c>
      <c r="D924" s="88" t="s">
        <v>1396</v>
      </c>
      <c r="E924" s="84" t="s">
        <v>3683</v>
      </c>
      <c r="F924" s="84" t="s">
        <v>4193</v>
      </c>
      <c r="G924" s="84" t="s">
        <v>4194</v>
      </c>
      <c r="H924" s="84" t="s">
        <v>3521</v>
      </c>
      <c r="I924" s="84" t="s">
        <v>3684</v>
      </c>
      <c r="J924" s="91"/>
      <c r="K924" s="85"/>
      <c r="L924" s="87">
        <v>107.0</v>
      </c>
      <c r="M924" s="87">
        <v>10.0</v>
      </c>
      <c r="N924" s="87">
        <v>2.950719</v>
      </c>
      <c r="O924" s="87">
        <v>13.58351</v>
      </c>
      <c r="P924" s="87">
        <v>7.435277</v>
      </c>
      <c r="Q924" s="87">
        <v>4.245833</v>
      </c>
    </row>
    <row r="925">
      <c r="A925" s="84" t="s">
        <v>616</v>
      </c>
      <c r="B925" s="194"/>
      <c r="C925" s="84" t="s">
        <v>1080</v>
      </c>
      <c r="D925" s="88" t="s">
        <v>1396</v>
      </c>
      <c r="E925" s="84" t="s">
        <v>3683</v>
      </c>
      <c r="F925" s="84" t="s">
        <v>1075</v>
      </c>
      <c r="G925" s="84" t="s">
        <v>3542</v>
      </c>
      <c r="H925" s="84" t="s">
        <v>3521</v>
      </c>
      <c r="I925" s="84" t="s">
        <v>3684</v>
      </c>
      <c r="J925" s="91"/>
      <c r="K925" s="84" t="s">
        <v>111</v>
      </c>
      <c r="L925" s="87">
        <v>480.0</v>
      </c>
      <c r="M925" s="87">
        <v>0.0</v>
      </c>
      <c r="N925" s="87">
        <v>0.258741</v>
      </c>
      <c r="O925" s="87">
        <v>0.0</v>
      </c>
      <c r="P925" s="87">
        <v>0.181818</v>
      </c>
      <c r="Q925" s="87">
        <v>0.135747</v>
      </c>
    </row>
    <row r="926">
      <c r="A926" s="84" t="s">
        <v>264</v>
      </c>
      <c r="B926" s="194"/>
      <c r="C926" s="84" t="s">
        <v>3638</v>
      </c>
      <c r="D926" s="88" t="s">
        <v>1396</v>
      </c>
      <c r="E926" s="84" t="s">
        <v>3683</v>
      </c>
      <c r="F926" s="84" t="s">
        <v>274</v>
      </c>
      <c r="G926" s="84" t="s">
        <v>3691</v>
      </c>
      <c r="H926" s="84" t="s">
        <v>3521</v>
      </c>
      <c r="I926" s="84" t="s">
        <v>3684</v>
      </c>
      <c r="J926" s="85"/>
      <c r="K926" s="85"/>
      <c r="L926" s="87">
        <v>13.0</v>
      </c>
      <c r="M926" s="87">
        <v>2.0</v>
      </c>
      <c r="N926" s="87">
        <v>0.25</v>
      </c>
      <c r="O926" s="87">
        <v>1.041667</v>
      </c>
      <c r="P926" s="87">
        <v>1.141667</v>
      </c>
      <c r="Q926" s="87">
        <v>1.123032</v>
      </c>
    </row>
    <row r="927">
      <c r="A927" s="84" t="s">
        <v>644</v>
      </c>
      <c r="B927" s="194"/>
      <c r="C927" s="84" t="s">
        <v>733</v>
      </c>
      <c r="D927" s="88" t="s">
        <v>1396</v>
      </c>
      <c r="E927" s="84" t="s">
        <v>3683</v>
      </c>
      <c r="F927" s="84" t="s">
        <v>3751</v>
      </c>
      <c r="G927" s="84" t="s">
        <v>3752</v>
      </c>
      <c r="H927" s="84" t="s">
        <v>3521</v>
      </c>
      <c r="I927" s="84" t="s">
        <v>3684</v>
      </c>
      <c r="J927" s="84" t="s">
        <v>215</v>
      </c>
      <c r="K927" s="84" t="s">
        <v>111</v>
      </c>
      <c r="L927" s="87">
        <v>264.0</v>
      </c>
      <c r="M927" s="87">
        <v>0.0</v>
      </c>
      <c r="N927" s="87">
        <v>2.922065</v>
      </c>
      <c r="O927" s="87">
        <v>0.305195</v>
      </c>
      <c r="P927" s="87">
        <v>0.37037</v>
      </c>
      <c r="Q927" s="87">
        <v>3.077355</v>
      </c>
    </row>
    <row r="928">
      <c r="A928" s="84" t="s">
        <v>745</v>
      </c>
      <c r="B928" s="194"/>
      <c r="C928" s="84" t="s">
        <v>756</v>
      </c>
      <c r="D928" s="88" t="s">
        <v>1396</v>
      </c>
      <c r="E928" s="84" t="s">
        <v>3687</v>
      </c>
      <c r="F928" s="84" t="s">
        <v>753</v>
      </c>
      <c r="G928" s="84" t="s">
        <v>4039</v>
      </c>
      <c r="H928" s="84" t="s">
        <v>3521</v>
      </c>
      <c r="I928" s="84" t="s">
        <v>3684</v>
      </c>
      <c r="J928" s="91"/>
      <c r="K928" s="91"/>
      <c r="L928" s="87">
        <v>610.0</v>
      </c>
      <c r="M928" s="87">
        <v>0.0</v>
      </c>
      <c r="N928" s="87">
        <v>2.811699</v>
      </c>
      <c r="O928" s="87">
        <v>0.5</v>
      </c>
      <c r="P928" s="87">
        <v>2.166667</v>
      </c>
      <c r="Q928" s="87">
        <v>3.010941</v>
      </c>
    </row>
    <row r="929">
      <c r="A929" s="84" t="s">
        <v>644</v>
      </c>
      <c r="B929" s="194"/>
      <c r="C929" s="84" t="s">
        <v>1189</v>
      </c>
      <c r="D929" s="88" t="s">
        <v>1396</v>
      </c>
      <c r="E929" s="84" t="s">
        <v>3683</v>
      </c>
      <c r="F929" s="84" t="s">
        <v>1190</v>
      </c>
      <c r="G929" s="84" t="s">
        <v>3600</v>
      </c>
      <c r="I929" s="84" t="s">
        <v>3684</v>
      </c>
      <c r="J929" s="84" t="s">
        <v>215</v>
      </c>
      <c r="L929" s="87">
        <v>480.0</v>
      </c>
      <c r="M929" s="87">
        <v>0.0</v>
      </c>
      <c r="N929" s="87">
        <v>0.0</v>
      </c>
      <c r="O929" s="87">
        <v>0.0</v>
      </c>
      <c r="P929" s="87">
        <v>0.0</v>
      </c>
      <c r="Q929" s="87">
        <v>0.0</v>
      </c>
    </row>
    <row r="930">
      <c r="A930" s="84" t="s">
        <v>363</v>
      </c>
      <c r="B930" s="194"/>
      <c r="C930" s="84" t="s">
        <v>926</v>
      </c>
      <c r="D930" s="88" t="s">
        <v>1396</v>
      </c>
      <c r="E930" s="84" t="s">
        <v>3687</v>
      </c>
      <c r="F930" s="84" t="s">
        <v>927</v>
      </c>
      <c r="G930" s="84" t="s">
        <v>3565</v>
      </c>
      <c r="H930" s="84" t="s">
        <v>4077</v>
      </c>
      <c r="I930" s="84" t="s">
        <v>3709</v>
      </c>
      <c r="J930" s="84" t="s">
        <v>130</v>
      </c>
      <c r="K930" s="85"/>
      <c r="L930" s="87">
        <v>600.0</v>
      </c>
      <c r="M930" s="87">
        <v>0.0</v>
      </c>
      <c r="N930" s="87">
        <v>0.0</v>
      </c>
      <c r="O930" s="87">
        <v>0.0</v>
      </c>
      <c r="P930" s="87">
        <v>0.0</v>
      </c>
      <c r="Q930" s="87">
        <v>0.0</v>
      </c>
    </row>
    <row r="931">
      <c r="A931" s="84" t="s">
        <v>363</v>
      </c>
      <c r="B931" s="194"/>
      <c r="C931" s="84" t="s">
        <v>1325</v>
      </c>
      <c r="D931" s="88" t="s">
        <v>1396</v>
      </c>
      <c r="E931" s="84" t="s">
        <v>3687</v>
      </c>
      <c r="F931" s="84" t="s">
        <v>3883</v>
      </c>
      <c r="G931" s="84" t="s">
        <v>3566</v>
      </c>
      <c r="H931" s="84" t="s">
        <v>3513</v>
      </c>
      <c r="I931" s="84" t="s">
        <v>3709</v>
      </c>
      <c r="J931" s="84" t="s">
        <v>130</v>
      </c>
      <c r="K931" s="85"/>
      <c r="L931" s="87">
        <v>816.0</v>
      </c>
      <c r="M931" s="87">
        <v>0.0</v>
      </c>
      <c r="N931" s="87">
        <v>1.409524</v>
      </c>
      <c r="O931" s="87">
        <v>0.0</v>
      </c>
      <c r="P931" s="87">
        <v>0.0</v>
      </c>
      <c r="Q931" s="87">
        <v>1.409524</v>
      </c>
    </row>
    <row r="932">
      <c r="A932" s="84" t="s">
        <v>439</v>
      </c>
      <c r="B932" s="193"/>
      <c r="C932" s="84" t="s">
        <v>1303</v>
      </c>
      <c r="D932" s="88" t="s">
        <v>1396</v>
      </c>
      <c r="E932" s="84" t="s">
        <v>3683</v>
      </c>
      <c r="F932" s="84" t="s">
        <v>860</v>
      </c>
      <c r="G932" s="84" t="s">
        <v>3553</v>
      </c>
      <c r="H932" s="84" t="s">
        <v>3527</v>
      </c>
      <c r="I932" s="84" t="s">
        <v>3709</v>
      </c>
      <c r="J932" s="84" t="s">
        <v>130</v>
      </c>
      <c r="K932" s="84" t="s">
        <v>111</v>
      </c>
      <c r="L932" s="87">
        <v>816.0</v>
      </c>
      <c r="M932" s="87">
        <v>0.0</v>
      </c>
      <c r="N932" s="87">
        <v>0.0</v>
      </c>
      <c r="O932" s="87">
        <v>0.0</v>
      </c>
      <c r="P932" s="87">
        <v>0.0</v>
      </c>
      <c r="Q932" s="87">
        <v>0.0</v>
      </c>
    </row>
    <row r="933">
      <c r="A933" s="84" t="s">
        <v>180</v>
      </c>
      <c r="B933" s="194"/>
      <c r="C933" s="84" t="s">
        <v>209</v>
      </c>
      <c r="D933" s="88" t="s">
        <v>1396</v>
      </c>
      <c r="E933" s="91"/>
      <c r="F933" s="84" t="s">
        <v>201</v>
      </c>
      <c r="G933" s="84" t="s">
        <v>3727</v>
      </c>
      <c r="I933" s="84" t="s">
        <v>3684</v>
      </c>
      <c r="J933" s="85"/>
      <c r="K933" s="91"/>
      <c r="L933" s="87">
        <v>552.0</v>
      </c>
      <c r="M933" s="87">
        <v>0.0</v>
      </c>
      <c r="N933" s="87">
        <v>0.0</v>
      </c>
      <c r="O933" s="87">
        <v>0.0</v>
      </c>
      <c r="P933" s="87">
        <v>0.0</v>
      </c>
      <c r="Q933" s="87">
        <v>0.0</v>
      </c>
    </row>
    <row r="934">
      <c r="A934" s="84" t="s">
        <v>180</v>
      </c>
      <c r="B934" s="194"/>
      <c r="C934" s="84" t="s">
        <v>813</v>
      </c>
      <c r="D934" s="88" t="s">
        <v>1396</v>
      </c>
      <c r="E934" s="84" t="s">
        <v>3683</v>
      </c>
      <c r="F934" s="84" t="s">
        <v>814</v>
      </c>
      <c r="G934" s="84" t="s">
        <v>3533</v>
      </c>
      <c r="H934" s="84" t="s">
        <v>3521</v>
      </c>
      <c r="I934" s="84" t="s">
        <v>3684</v>
      </c>
      <c r="J934" s="91"/>
      <c r="K934" s="84" t="s">
        <v>111</v>
      </c>
      <c r="L934" s="87">
        <v>456.0</v>
      </c>
      <c r="M934" s="87">
        <v>0.0</v>
      </c>
      <c r="N934" s="87">
        <v>0.121324</v>
      </c>
      <c r="O934" s="87">
        <v>0.0</v>
      </c>
      <c r="P934" s="87">
        <v>0.0</v>
      </c>
      <c r="Q934" s="87">
        <v>0.121324</v>
      </c>
    </row>
    <row r="935">
      <c r="A935" s="84" t="s">
        <v>644</v>
      </c>
      <c r="B935" s="194"/>
      <c r="C935" s="84" t="s">
        <v>1179</v>
      </c>
      <c r="D935" s="88" t="s">
        <v>1396</v>
      </c>
      <c r="E935" s="84" t="s">
        <v>3683</v>
      </c>
      <c r="F935" s="84" t="s">
        <v>1180</v>
      </c>
      <c r="G935" s="84" t="s">
        <v>3600</v>
      </c>
      <c r="H935" s="84" t="s">
        <v>3521</v>
      </c>
      <c r="I935" s="84" t="s">
        <v>3684</v>
      </c>
      <c r="J935" s="84" t="s">
        <v>130</v>
      </c>
      <c r="K935" s="91"/>
      <c r="L935" s="87">
        <v>624.0</v>
      </c>
      <c r="M935" s="87">
        <v>0.0</v>
      </c>
      <c r="N935" s="87">
        <v>1.627329</v>
      </c>
      <c r="O935" s="87">
        <v>0.271429</v>
      </c>
      <c r="P935" s="87">
        <v>1.87123</v>
      </c>
      <c r="Q935" s="87">
        <v>1.76189</v>
      </c>
    </row>
    <row r="936">
      <c r="A936" s="84" t="s">
        <v>258</v>
      </c>
      <c r="B936" s="193"/>
      <c r="C936" s="84" t="s">
        <v>4203</v>
      </c>
      <c r="D936" s="88" t="s">
        <v>1396</v>
      </c>
      <c r="E936" s="84" t="s">
        <v>3683</v>
      </c>
      <c r="F936" s="84" t="s">
        <v>4204</v>
      </c>
      <c r="G936" s="84" t="s">
        <v>3560</v>
      </c>
      <c r="H936" s="84" t="s">
        <v>3521</v>
      </c>
      <c r="I936" s="84" t="s">
        <v>3684</v>
      </c>
      <c r="J936" s="84" t="s">
        <v>130</v>
      </c>
      <c r="K936" s="84" t="s">
        <v>111</v>
      </c>
      <c r="L936" s="87">
        <v>816.0</v>
      </c>
      <c r="M936" s="87">
        <v>0.0</v>
      </c>
      <c r="N936" s="87">
        <v>0.0</v>
      </c>
      <c r="O936" s="87">
        <v>0.0</v>
      </c>
      <c r="P936" s="87">
        <v>0.0</v>
      </c>
      <c r="Q936" s="87">
        <v>0.0</v>
      </c>
    </row>
    <row r="937">
      <c r="A937" s="84" t="s">
        <v>139</v>
      </c>
      <c r="B937" s="194"/>
      <c r="C937" s="84" t="s">
        <v>791</v>
      </c>
      <c r="D937" s="88" t="s">
        <v>1396</v>
      </c>
      <c r="E937" s="84" t="s">
        <v>3683</v>
      </c>
      <c r="F937" s="84" t="s">
        <v>787</v>
      </c>
      <c r="G937" s="84" t="s">
        <v>4085</v>
      </c>
      <c r="H937" s="84" t="s">
        <v>3521</v>
      </c>
      <c r="I937" s="84" t="s">
        <v>3684</v>
      </c>
      <c r="J937" s="84" t="s">
        <v>130</v>
      </c>
      <c r="K937" s="91"/>
      <c r="L937" s="87">
        <v>768.0</v>
      </c>
      <c r="M937" s="87">
        <v>0.0</v>
      </c>
      <c r="N937" s="87">
        <v>23.65679</v>
      </c>
      <c r="O937" s="87">
        <v>0.071429</v>
      </c>
      <c r="P937" s="87">
        <v>0.1</v>
      </c>
      <c r="Q937" s="87">
        <v>23.89324</v>
      </c>
    </row>
    <row r="938">
      <c r="A938" s="84" t="s">
        <v>1130</v>
      </c>
      <c r="B938" s="194"/>
      <c r="C938" s="84" t="s">
        <v>1134</v>
      </c>
      <c r="D938" s="88" t="s">
        <v>1396</v>
      </c>
      <c r="E938" s="84" t="s">
        <v>3683</v>
      </c>
      <c r="F938" s="84" t="s">
        <v>973</v>
      </c>
      <c r="G938" s="84" t="s">
        <v>3582</v>
      </c>
      <c r="H938" s="84" t="s">
        <v>3521</v>
      </c>
      <c r="I938" s="84" t="s">
        <v>3684</v>
      </c>
      <c r="J938" s="84" t="s">
        <v>130</v>
      </c>
      <c r="K938" s="84" t="s">
        <v>111</v>
      </c>
      <c r="L938" s="87">
        <v>96.0</v>
      </c>
      <c r="M938" s="87">
        <v>0.0</v>
      </c>
      <c r="N938" s="87">
        <v>0.0</v>
      </c>
      <c r="O938" s="87">
        <v>0.0</v>
      </c>
      <c r="P938" s="87">
        <v>0.0</v>
      </c>
      <c r="Q938" s="87">
        <v>0.0</v>
      </c>
    </row>
    <row r="939">
      <c r="A939" s="84" t="s">
        <v>616</v>
      </c>
      <c r="B939" s="194"/>
      <c r="C939" s="84" t="s">
        <v>1083</v>
      </c>
      <c r="D939" s="88" t="s">
        <v>1396</v>
      </c>
      <c r="E939" s="84" t="s">
        <v>3683</v>
      </c>
      <c r="F939" s="84" t="s">
        <v>1075</v>
      </c>
      <c r="G939" s="84" t="s">
        <v>3542</v>
      </c>
      <c r="H939" s="84" t="s">
        <v>3521</v>
      </c>
      <c r="I939" s="84" t="s">
        <v>3684</v>
      </c>
      <c r="J939" s="91"/>
      <c r="K939" s="85"/>
      <c r="L939" s="87">
        <v>1.0</v>
      </c>
      <c r="M939" s="87">
        <v>1.0</v>
      </c>
      <c r="N939" s="87">
        <v>0.0</v>
      </c>
      <c r="O939" s="87">
        <v>1.180952</v>
      </c>
      <c r="P939" s="87">
        <v>0.958718</v>
      </c>
      <c r="Q939" s="87">
        <v>0.668911</v>
      </c>
    </row>
    <row r="940">
      <c r="A940" s="84" t="s">
        <v>258</v>
      </c>
      <c r="B940" s="194"/>
      <c r="C940" s="84" t="s">
        <v>911</v>
      </c>
      <c r="D940" s="88" t="s">
        <v>1396</v>
      </c>
      <c r="E940" s="84" t="s">
        <v>3683</v>
      </c>
      <c r="F940" s="84" t="s">
        <v>909</v>
      </c>
      <c r="G940" s="84" t="s">
        <v>3562</v>
      </c>
      <c r="H940" s="84" t="s">
        <v>3521</v>
      </c>
      <c r="I940" s="84" t="s">
        <v>3684</v>
      </c>
      <c r="J940" s="91"/>
      <c r="K940" s="91"/>
      <c r="L940" s="87">
        <v>0.0</v>
      </c>
      <c r="M940" s="87">
        <v>0.0</v>
      </c>
      <c r="N940" s="87">
        <v>0.0</v>
      </c>
      <c r="O940" s="87">
        <v>0.285714</v>
      </c>
      <c r="P940" s="87">
        <v>0.347884</v>
      </c>
      <c r="Q940" s="87">
        <v>0.271549</v>
      </c>
    </row>
    <row r="941">
      <c r="A941" s="84" t="s">
        <v>644</v>
      </c>
      <c r="B941" s="194"/>
      <c r="C941" s="84" t="s">
        <v>725</v>
      </c>
      <c r="D941" s="88" t="s">
        <v>1396</v>
      </c>
      <c r="E941" s="84" t="s">
        <v>3683</v>
      </c>
      <c r="F941" s="84" t="s">
        <v>3751</v>
      </c>
      <c r="G941" s="84" t="s">
        <v>3752</v>
      </c>
      <c r="H941" s="84" t="s">
        <v>3521</v>
      </c>
      <c r="I941" s="84" t="s">
        <v>3684</v>
      </c>
      <c r="J941" s="84" t="s">
        <v>215</v>
      </c>
      <c r="L941" s="87">
        <v>72.0</v>
      </c>
      <c r="M941" s="87">
        <v>0.0</v>
      </c>
      <c r="N941" s="87">
        <v>0.0</v>
      </c>
      <c r="O941" s="87">
        <v>0.0</v>
      </c>
      <c r="P941" s="87">
        <v>0.0</v>
      </c>
      <c r="Q941" s="87">
        <v>0.0</v>
      </c>
    </row>
    <row r="942">
      <c r="A942" s="84" t="s">
        <v>472</v>
      </c>
      <c r="B942" s="194"/>
      <c r="C942" s="84" t="s">
        <v>1033</v>
      </c>
      <c r="D942" s="88" t="s">
        <v>1396</v>
      </c>
      <c r="E942" s="84" t="s">
        <v>3683</v>
      </c>
      <c r="F942" s="91"/>
      <c r="G942" s="84" t="s">
        <v>3587</v>
      </c>
      <c r="I942" s="84" t="s">
        <v>3684</v>
      </c>
      <c r="J942" s="85"/>
      <c r="K942" s="91"/>
      <c r="L942" s="87">
        <v>120.0</v>
      </c>
      <c r="M942" s="87">
        <v>0.0</v>
      </c>
      <c r="N942" s="87">
        <v>0.0</v>
      </c>
      <c r="O942" s="87">
        <v>0.0</v>
      </c>
      <c r="P942" s="87">
        <v>0.0</v>
      </c>
      <c r="Q942" s="87">
        <v>0.0</v>
      </c>
    </row>
    <row r="943">
      <c r="A943" s="84" t="s">
        <v>644</v>
      </c>
      <c r="B943" s="194"/>
      <c r="C943" s="84" t="s">
        <v>647</v>
      </c>
      <c r="D943" s="88" t="s">
        <v>1396</v>
      </c>
      <c r="E943" s="84" t="s">
        <v>3683</v>
      </c>
      <c r="F943" s="84" t="s">
        <v>643</v>
      </c>
      <c r="G943" s="84" t="s">
        <v>3734</v>
      </c>
      <c r="I943" s="84" t="s">
        <v>3684</v>
      </c>
      <c r="J943" s="91"/>
      <c r="K943" s="91"/>
      <c r="L943" s="87">
        <v>144.0</v>
      </c>
      <c r="M943" s="87">
        <v>0.0</v>
      </c>
      <c r="N943" s="87">
        <v>0.0</v>
      </c>
      <c r="O943" s="87">
        <v>0.0</v>
      </c>
      <c r="P943" s="87">
        <v>0.0</v>
      </c>
      <c r="Q943" s="87">
        <v>0.0</v>
      </c>
    </row>
    <row r="944">
      <c r="A944" s="84" t="s">
        <v>644</v>
      </c>
      <c r="B944" s="194"/>
      <c r="C944" s="84" t="s">
        <v>704</v>
      </c>
      <c r="D944" s="88" t="s">
        <v>1396</v>
      </c>
      <c r="E944" s="84" t="s">
        <v>3683</v>
      </c>
      <c r="F944" s="84" t="s">
        <v>686</v>
      </c>
      <c r="G944" s="84" t="s">
        <v>3607</v>
      </c>
      <c r="H944" s="84" t="s">
        <v>3521</v>
      </c>
      <c r="I944" s="84" t="s">
        <v>3684</v>
      </c>
      <c r="J944" s="84" t="s">
        <v>215</v>
      </c>
      <c r="K944" s="84" t="s">
        <v>111</v>
      </c>
      <c r="L944" s="87">
        <v>48.0</v>
      </c>
      <c r="M944" s="87">
        <v>0.0</v>
      </c>
      <c r="N944" s="87">
        <v>0.0</v>
      </c>
      <c r="O944" s="87">
        <v>0.0</v>
      </c>
      <c r="P944" s="87">
        <v>0.0</v>
      </c>
      <c r="Q944" s="87">
        <v>0.0</v>
      </c>
    </row>
    <row r="945">
      <c r="A945" s="84" t="s">
        <v>644</v>
      </c>
      <c r="B945" s="194"/>
      <c r="C945" s="84" t="s">
        <v>1253</v>
      </c>
      <c r="D945" s="88" t="s">
        <v>1396</v>
      </c>
      <c r="E945" s="84" t="s">
        <v>3687</v>
      </c>
      <c r="F945" s="84" t="s">
        <v>716</v>
      </c>
      <c r="G945" s="84" t="s">
        <v>3607</v>
      </c>
      <c r="H945" s="84" t="s">
        <v>3521</v>
      </c>
      <c r="I945" s="84" t="s">
        <v>3684</v>
      </c>
      <c r="J945" s="84" t="s">
        <v>130</v>
      </c>
      <c r="K945" s="91"/>
      <c r="L945" s="87">
        <v>72.0</v>
      </c>
      <c r="M945" s="87">
        <v>0.0</v>
      </c>
      <c r="N945" s="87">
        <v>0.238095</v>
      </c>
      <c r="O945" s="87">
        <v>0.071429</v>
      </c>
      <c r="P945" s="87">
        <v>0.066667</v>
      </c>
      <c r="Q945" s="87">
        <v>0.206275</v>
      </c>
    </row>
    <row r="946">
      <c r="A946" s="84" t="s">
        <v>439</v>
      </c>
      <c r="B946" s="194"/>
      <c r="C946" s="84" t="s">
        <v>1298</v>
      </c>
      <c r="D946" s="88" t="s">
        <v>1396</v>
      </c>
      <c r="E946" s="84" t="s">
        <v>3683</v>
      </c>
      <c r="F946" s="84" t="s">
        <v>4205</v>
      </c>
      <c r="G946" s="84" t="s">
        <v>3715</v>
      </c>
      <c r="H946" s="84" t="s">
        <v>3527</v>
      </c>
      <c r="I946" s="84" t="s">
        <v>3684</v>
      </c>
      <c r="J946" s="84" t="s">
        <v>130</v>
      </c>
      <c r="K946" s="84" t="s">
        <v>111</v>
      </c>
      <c r="L946" s="87">
        <v>96.0</v>
      </c>
      <c r="M946" s="87">
        <v>0.0</v>
      </c>
      <c r="N946" s="87">
        <v>0.0</v>
      </c>
      <c r="O946" s="87">
        <v>0.0</v>
      </c>
      <c r="P946" s="87">
        <v>0.0</v>
      </c>
      <c r="Q946" s="87">
        <v>0.0</v>
      </c>
    </row>
    <row r="947">
      <c r="A947" s="84" t="s">
        <v>439</v>
      </c>
      <c r="B947" s="193"/>
      <c r="C947" s="84" t="s">
        <v>1289</v>
      </c>
      <c r="D947" s="88" t="s">
        <v>1396</v>
      </c>
      <c r="E947" s="84" t="s">
        <v>3683</v>
      </c>
      <c r="F947" s="84" t="s">
        <v>938</v>
      </c>
      <c r="G947" s="84" t="s">
        <v>3576</v>
      </c>
      <c r="H947" s="84" t="s">
        <v>3527</v>
      </c>
      <c r="I947" s="84" t="s">
        <v>3709</v>
      </c>
      <c r="J947" s="84" t="s">
        <v>130</v>
      </c>
      <c r="K947" s="85"/>
      <c r="L947" s="87">
        <v>96.0</v>
      </c>
      <c r="M947" s="87">
        <v>0.0</v>
      </c>
      <c r="N947" s="87">
        <v>6.153383</v>
      </c>
      <c r="O947" s="87">
        <v>5.87619</v>
      </c>
      <c r="P947" s="87">
        <v>6.574071</v>
      </c>
      <c r="Q947" s="87">
        <v>5.116154</v>
      </c>
    </row>
    <row r="948">
      <c r="A948" s="84" t="s">
        <v>644</v>
      </c>
      <c r="B948" s="194"/>
      <c r="C948" s="84" t="s">
        <v>673</v>
      </c>
      <c r="D948" s="88" t="s">
        <v>1396</v>
      </c>
      <c r="E948" s="84" t="s">
        <v>3683</v>
      </c>
      <c r="F948" s="84" t="s">
        <v>670</v>
      </c>
      <c r="G948" s="84" t="s">
        <v>3789</v>
      </c>
      <c r="H948" s="84" t="s">
        <v>3521</v>
      </c>
      <c r="I948" s="84" t="s">
        <v>3684</v>
      </c>
      <c r="J948" s="84" t="s">
        <v>130</v>
      </c>
      <c r="K948" s="91"/>
      <c r="L948" s="87">
        <v>48.0</v>
      </c>
      <c r="M948" s="87">
        <v>0.0</v>
      </c>
      <c r="N948" s="87">
        <v>0.052632</v>
      </c>
      <c r="O948" s="87">
        <v>0.0</v>
      </c>
      <c r="P948" s="87">
        <v>0.125</v>
      </c>
      <c r="Q948" s="87">
        <v>0.052632</v>
      </c>
    </row>
    <row r="949">
      <c r="A949" s="84" t="s">
        <v>363</v>
      </c>
      <c r="B949" s="194"/>
      <c r="C949" s="84" t="s">
        <v>926</v>
      </c>
      <c r="D949" s="88" t="s">
        <v>1396</v>
      </c>
      <c r="E949" s="84" t="s">
        <v>3687</v>
      </c>
      <c r="F949" s="84" t="s">
        <v>927</v>
      </c>
      <c r="G949" s="84" t="s">
        <v>3565</v>
      </c>
      <c r="H949" s="84" t="s">
        <v>4077</v>
      </c>
      <c r="I949" s="84" t="s">
        <v>3709</v>
      </c>
      <c r="J949" s="91"/>
      <c r="K949" s="85"/>
      <c r="L949" s="87">
        <v>24.0</v>
      </c>
      <c r="M949" s="87">
        <v>0.0</v>
      </c>
      <c r="N949" s="87">
        <v>0.0</v>
      </c>
      <c r="O949" s="87">
        <v>0.083333</v>
      </c>
      <c r="P949" s="87">
        <v>0.105263</v>
      </c>
      <c r="Q949" s="87">
        <v>0.085304</v>
      </c>
    </row>
    <row r="950">
      <c r="A950" s="84" t="s">
        <v>472</v>
      </c>
      <c r="B950" s="194"/>
      <c r="C950" s="84" t="s">
        <v>1018</v>
      </c>
      <c r="D950" s="88" t="s">
        <v>1396</v>
      </c>
      <c r="E950" s="84" t="s">
        <v>3683</v>
      </c>
      <c r="F950" s="91"/>
      <c r="G950" s="84" t="s">
        <v>3587</v>
      </c>
      <c r="I950" s="84" t="s">
        <v>3684</v>
      </c>
      <c r="J950" s="85"/>
      <c r="K950" s="85"/>
      <c r="L950" s="87">
        <v>552.0</v>
      </c>
      <c r="M950" s="87">
        <v>0.0</v>
      </c>
      <c r="N950" s="87">
        <v>0.0</v>
      </c>
      <c r="O950" s="87">
        <v>0.0</v>
      </c>
      <c r="P950" s="87">
        <v>0.0</v>
      </c>
      <c r="Q950" s="87">
        <v>0.0</v>
      </c>
    </row>
    <row r="951">
      <c r="A951" s="84" t="s">
        <v>258</v>
      </c>
      <c r="B951" s="194"/>
      <c r="C951" s="84" t="s">
        <v>895</v>
      </c>
      <c r="D951" s="88" t="s">
        <v>1396</v>
      </c>
      <c r="E951" s="84" t="s">
        <v>3683</v>
      </c>
      <c r="F951" s="84" t="s">
        <v>892</v>
      </c>
      <c r="G951" s="84" t="s">
        <v>3559</v>
      </c>
      <c r="H951" s="84" t="s">
        <v>3521</v>
      </c>
      <c r="I951" s="84" t="s">
        <v>3684</v>
      </c>
      <c r="J951" s="85"/>
      <c r="K951" s="91"/>
      <c r="L951" s="87">
        <v>336.0</v>
      </c>
      <c r="M951" s="87">
        <v>0.0</v>
      </c>
      <c r="N951" s="87">
        <v>0.0</v>
      </c>
      <c r="O951" s="87">
        <v>0.0</v>
      </c>
      <c r="P951" s="87">
        <v>0.0</v>
      </c>
      <c r="Q951" s="87">
        <v>0.0</v>
      </c>
    </row>
    <row r="952">
      <c r="A952" s="84" t="s">
        <v>1130</v>
      </c>
      <c r="B952" s="194"/>
      <c r="C952" s="84" t="s">
        <v>1160</v>
      </c>
      <c r="D952" s="88" t="s">
        <v>1396</v>
      </c>
      <c r="E952" s="84" t="s">
        <v>3683</v>
      </c>
      <c r="F952" s="84" t="s">
        <v>1142</v>
      </c>
      <c r="G952" s="84" t="s">
        <v>3605</v>
      </c>
      <c r="H952" s="84" t="s">
        <v>3521</v>
      </c>
      <c r="I952" s="84" t="s">
        <v>3684</v>
      </c>
      <c r="J952" s="84" t="s">
        <v>130</v>
      </c>
      <c r="K952" s="84" t="s">
        <v>111</v>
      </c>
      <c r="L952" s="87">
        <v>336.0</v>
      </c>
      <c r="M952" s="87">
        <v>0.0</v>
      </c>
      <c r="N952" s="87">
        <v>0.0</v>
      </c>
      <c r="O952" s="87">
        <v>0.0</v>
      </c>
      <c r="P952" s="87">
        <v>0.0</v>
      </c>
      <c r="Q952" s="87">
        <v>0.0</v>
      </c>
    </row>
    <row r="953">
      <c r="A953" s="84" t="s">
        <v>231</v>
      </c>
      <c r="B953" s="193"/>
      <c r="C953" s="84" t="s">
        <v>246</v>
      </c>
      <c r="D953" s="88" t="s">
        <v>1396</v>
      </c>
      <c r="E953" s="84" t="s">
        <v>3683</v>
      </c>
      <c r="F953" s="84" t="s">
        <v>247</v>
      </c>
      <c r="G953" s="84" t="s">
        <v>3560</v>
      </c>
      <c r="H953" s="84" t="s">
        <v>3521</v>
      </c>
      <c r="I953" s="84" t="s">
        <v>3709</v>
      </c>
      <c r="J953" s="84" t="s">
        <v>130</v>
      </c>
      <c r="K953" s="84" t="s">
        <v>111</v>
      </c>
      <c r="L953" s="87">
        <v>816.0</v>
      </c>
      <c r="M953" s="87">
        <v>0.0</v>
      </c>
      <c r="N953" s="87">
        <v>0.0</v>
      </c>
      <c r="O953" s="87">
        <v>0.0</v>
      </c>
      <c r="P953" s="87">
        <v>0.0</v>
      </c>
      <c r="Q953" s="87">
        <v>0.0</v>
      </c>
    </row>
    <row r="954">
      <c r="A954" s="84" t="s">
        <v>231</v>
      </c>
      <c r="B954" s="194"/>
      <c r="C954" s="84" t="s">
        <v>877</v>
      </c>
      <c r="D954" s="88" t="s">
        <v>1396</v>
      </c>
      <c r="E954" s="84" t="s">
        <v>3687</v>
      </c>
      <c r="F954" s="84" t="s">
        <v>878</v>
      </c>
      <c r="G954" s="84" t="s">
        <v>3555</v>
      </c>
      <c r="H954" s="84" t="s">
        <v>3521</v>
      </c>
      <c r="I954" s="84" t="s">
        <v>3693</v>
      </c>
      <c r="J954" s="91"/>
      <c r="K954" s="91"/>
      <c r="L954" s="87">
        <v>576.0</v>
      </c>
      <c r="M954" s="87">
        <v>0.0</v>
      </c>
      <c r="N954" s="87">
        <v>0.0</v>
      </c>
      <c r="O954" s="87">
        <v>0.0</v>
      </c>
      <c r="P954" s="87">
        <v>0.0</v>
      </c>
      <c r="Q954" s="87">
        <v>0.0</v>
      </c>
    </row>
    <row r="955">
      <c r="A955" s="84" t="s">
        <v>444</v>
      </c>
      <c r="B955" s="194"/>
      <c r="C955" s="84" t="s">
        <v>947</v>
      </c>
      <c r="D955" s="88" t="s">
        <v>1396</v>
      </c>
      <c r="E955" s="84" t="s">
        <v>3683</v>
      </c>
      <c r="F955" s="84" t="s">
        <v>948</v>
      </c>
      <c r="G955" s="84" t="s">
        <v>3578</v>
      </c>
      <c r="H955" s="84" t="s">
        <v>3521</v>
      </c>
      <c r="I955" s="84" t="s">
        <v>3684</v>
      </c>
      <c r="J955" s="85"/>
      <c r="K955" s="84" t="s">
        <v>111</v>
      </c>
      <c r="L955" s="87">
        <v>312.0</v>
      </c>
      <c r="M955" s="87">
        <v>0.0</v>
      </c>
      <c r="N955" s="87">
        <v>0.0</v>
      </c>
      <c r="O955" s="87">
        <v>0.0</v>
      </c>
      <c r="P955" s="87">
        <v>0.0</v>
      </c>
      <c r="Q955" s="87">
        <v>0.0</v>
      </c>
    </row>
    <row r="956">
      <c r="A956" s="84" t="s">
        <v>481</v>
      </c>
      <c r="B956" s="194"/>
      <c r="C956" s="84" t="s">
        <v>532</v>
      </c>
      <c r="D956" s="88" t="s">
        <v>1396</v>
      </c>
      <c r="E956" s="84" t="s">
        <v>3683</v>
      </c>
      <c r="F956" s="84" t="s">
        <v>526</v>
      </c>
      <c r="G956" s="84" t="s">
        <v>3593</v>
      </c>
      <c r="H956" s="84" t="s">
        <v>3521</v>
      </c>
      <c r="I956" s="84" t="s">
        <v>3684</v>
      </c>
      <c r="J956" s="84" t="s">
        <v>130</v>
      </c>
      <c r="K956" s="85"/>
      <c r="L956" s="87">
        <v>24.0</v>
      </c>
      <c r="M956" s="87">
        <v>0.0</v>
      </c>
      <c r="N956" s="87">
        <v>0.0</v>
      </c>
      <c r="O956" s="87">
        <v>0.0</v>
      </c>
      <c r="P956" s="87">
        <v>0.0</v>
      </c>
      <c r="Q956" s="87">
        <v>0.0</v>
      </c>
    </row>
    <row r="957">
      <c r="A957" s="84" t="s">
        <v>139</v>
      </c>
      <c r="B957" s="194"/>
      <c r="C957" s="84" t="s">
        <v>781</v>
      </c>
      <c r="D957" s="88" t="s">
        <v>1396</v>
      </c>
      <c r="E957" s="84" t="s">
        <v>3687</v>
      </c>
      <c r="F957" s="84" t="s">
        <v>542</v>
      </c>
      <c r="G957" s="84" t="s">
        <v>3514</v>
      </c>
      <c r="H957" s="84" t="s">
        <v>3513</v>
      </c>
      <c r="I957" s="84" t="s">
        <v>3684</v>
      </c>
      <c r="J957" s="85"/>
      <c r="K957" s="91"/>
      <c r="L957" s="87">
        <v>211.0</v>
      </c>
      <c r="M957" s="87">
        <v>24.0</v>
      </c>
      <c r="N957" s="87">
        <v>5.545857</v>
      </c>
      <c r="O957" s="87">
        <v>24.44589</v>
      </c>
      <c r="P957" s="87">
        <v>20.46513</v>
      </c>
      <c r="Q957" s="87">
        <v>19.48892</v>
      </c>
    </row>
    <row r="958">
      <c r="A958" s="84" t="s">
        <v>1130</v>
      </c>
      <c r="B958" s="194"/>
      <c r="C958" s="84" t="s">
        <v>1147</v>
      </c>
      <c r="D958" s="88" t="s">
        <v>1396</v>
      </c>
      <c r="E958" s="84" t="s">
        <v>3683</v>
      </c>
      <c r="F958" s="84" t="s">
        <v>1142</v>
      </c>
      <c r="G958" s="84" t="s">
        <v>3605</v>
      </c>
      <c r="H958" s="84" t="s">
        <v>3521</v>
      </c>
      <c r="I958" s="84" t="s">
        <v>3684</v>
      </c>
      <c r="J958" s="84" t="s">
        <v>130</v>
      </c>
      <c r="K958" s="91"/>
      <c r="L958" s="87">
        <v>264.0</v>
      </c>
      <c r="M958" s="87">
        <v>0.0</v>
      </c>
      <c r="N958" s="87">
        <v>1.667791</v>
      </c>
      <c r="O958" s="87">
        <v>1.70754</v>
      </c>
      <c r="P958" s="87">
        <v>0.388016</v>
      </c>
      <c r="Q958" s="87">
        <v>1.505371</v>
      </c>
    </row>
    <row r="959">
      <c r="A959" s="84" t="s">
        <v>180</v>
      </c>
      <c r="B959" s="194"/>
      <c r="C959" s="84" t="s">
        <v>823</v>
      </c>
      <c r="D959" s="88" t="s">
        <v>1396</v>
      </c>
      <c r="E959" s="84" t="s">
        <v>3683</v>
      </c>
      <c r="F959" s="84" t="s">
        <v>814</v>
      </c>
      <c r="G959" s="84" t="s">
        <v>3533</v>
      </c>
      <c r="H959" s="84" t="s">
        <v>3521</v>
      </c>
      <c r="I959" s="84" t="s">
        <v>3684</v>
      </c>
      <c r="J959" s="84" t="s">
        <v>130</v>
      </c>
      <c r="K959" s="91"/>
      <c r="L959" s="87">
        <v>24.0</v>
      </c>
      <c r="M959" s="87">
        <v>0.0</v>
      </c>
      <c r="N959" s="87">
        <v>0.0</v>
      </c>
      <c r="O959" s="87">
        <v>0.0</v>
      </c>
      <c r="P959" s="87">
        <v>0.0</v>
      </c>
      <c r="Q959" s="87">
        <v>0.0</v>
      </c>
    </row>
    <row r="960">
      <c r="A960" s="84" t="s">
        <v>644</v>
      </c>
      <c r="B960" s="194"/>
      <c r="C960" s="84" t="s">
        <v>668</v>
      </c>
      <c r="D960" s="88" t="s">
        <v>1396</v>
      </c>
      <c r="E960" s="84" t="s">
        <v>3683</v>
      </c>
      <c r="F960" s="84" t="s">
        <v>658</v>
      </c>
      <c r="G960" s="84" t="s">
        <v>3801</v>
      </c>
      <c r="I960" s="84" t="s">
        <v>3684</v>
      </c>
      <c r="J960" s="85"/>
      <c r="K960" s="85"/>
      <c r="L960" s="87">
        <v>552.0</v>
      </c>
      <c r="M960" s="87">
        <v>0.0</v>
      </c>
      <c r="N960" s="87">
        <v>0.0</v>
      </c>
      <c r="O960" s="87">
        <v>0.0</v>
      </c>
      <c r="P960" s="87">
        <v>0.0</v>
      </c>
      <c r="Q960" s="87">
        <v>0.0</v>
      </c>
    </row>
    <row r="961">
      <c r="A961" s="84" t="s">
        <v>213</v>
      </c>
      <c r="B961" s="194"/>
      <c r="C961" s="84" t="s">
        <v>874</v>
      </c>
      <c r="D961" s="88" t="s">
        <v>1396</v>
      </c>
      <c r="E961" s="84" t="s">
        <v>3683</v>
      </c>
      <c r="F961" s="84" t="s">
        <v>800</v>
      </c>
      <c r="G961" s="84" t="s">
        <v>3525</v>
      </c>
      <c r="H961" s="84" t="s">
        <v>3521</v>
      </c>
      <c r="I961" s="84" t="s">
        <v>3684</v>
      </c>
      <c r="J961" s="84" t="s">
        <v>130</v>
      </c>
      <c r="K961" s="91"/>
      <c r="L961" s="87">
        <v>24.0</v>
      </c>
      <c r="M961" s="87">
        <v>0.0</v>
      </c>
      <c r="N961" s="87">
        <v>0.0</v>
      </c>
      <c r="O961" s="87">
        <v>0.0</v>
      </c>
      <c r="P961" s="87">
        <v>0.0</v>
      </c>
      <c r="Q961" s="87">
        <v>0.0</v>
      </c>
    </row>
    <row r="962">
      <c r="A962" s="84" t="s">
        <v>393</v>
      </c>
      <c r="B962" s="194"/>
      <c r="C962" s="84" t="s">
        <v>400</v>
      </c>
      <c r="D962" s="88" t="s">
        <v>1396</v>
      </c>
      <c r="E962" s="84" t="s">
        <v>3683</v>
      </c>
      <c r="F962" s="84" t="s">
        <v>397</v>
      </c>
      <c r="G962" s="84" t="s">
        <v>3698</v>
      </c>
      <c r="H962" s="84" t="s">
        <v>3521</v>
      </c>
      <c r="I962" s="84" t="s">
        <v>3693</v>
      </c>
      <c r="J962" s="91"/>
      <c r="K962" s="85"/>
      <c r="L962" s="87">
        <v>0.0</v>
      </c>
      <c r="M962" s="87">
        <v>1.0</v>
      </c>
      <c r="N962" s="87">
        <v>0.0</v>
      </c>
      <c r="O962" s="87">
        <v>0.642857</v>
      </c>
      <c r="P962" s="87">
        <v>0.633333</v>
      </c>
      <c r="Q962" s="87">
        <v>0.537728</v>
      </c>
    </row>
    <row r="963">
      <c r="A963" s="84" t="s">
        <v>630</v>
      </c>
      <c r="B963" s="194"/>
      <c r="C963" s="84" t="s">
        <v>1276</v>
      </c>
      <c r="D963" s="88" t="s">
        <v>1396</v>
      </c>
      <c r="E963" s="84" t="s">
        <v>3683</v>
      </c>
      <c r="F963" s="84" t="s">
        <v>1108</v>
      </c>
      <c r="G963" s="84" t="s">
        <v>3554</v>
      </c>
      <c r="H963" s="84" t="s">
        <v>3521</v>
      </c>
      <c r="I963" s="84" t="s">
        <v>3684</v>
      </c>
      <c r="J963" s="85"/>
      <c r="K963" s="85"/>
      <c r="L963" s="87">
        <v>24.0</v>
      </c>
      <c r="M963" s="87">
        <v>3.0</v>
      </c>
      <c r="N963" s="87">
        <v>0.0</v>
      </c>
      <c r="O963" s="87">
        <v>2.454365</v>
      </c>
      <c r="P963" s="87">
        <v>3.240363</v>
      </c>
      <c r="Q963" s="87">
        <v>2.9379</v>
      </c>
    </row>
    <row r="964">
      <c r="A964" s="84" t="s">
        <v>644</v>
      </c>
      <c r="B964" s="194"/>
      <c r="C964" s="84" t="s">
        <v>723</v>
      </c>
      <c r="D964" s="88" t="s">
        <v>1396</v>
      </c>
      <c r="E964" s="84" t="s">
        <v>3683</v>
      </c>
      <c r="F964" s="84" t="s">
        <v>708</v>
      </c>
      <c r="G964" s="84" t="s">
        <v>3607</v>
      </c>
      <c r="H964" s="84" t="s">
        <v>3521</v>
      </c>
      <c r="I964" s="84" t="s">
        <v>3684</v>
      </c>
      <c r="J964" s="84" t="s">
        <v>130</v>
      </c>
      <c r="K964" s="85"/>
      <c r="L964" s="87">
        <v>24.0</v>
      </c>
      <c r="M964" s="87">
        <v>0.0</v>
      </c>
      <c r="N964" s="87">
        <v>0.0</v>
      </c>
      <c r="O964" s="87">
        <v>0.0</v>
      </c>
      <c r="P964" s="87">
        <v>0.0</v>
      </c>
      <c r="Q964" s="87">
        <v>0.0</v>
      </c>
    </row>
    <row r="965">
      <c r="A965" s="84" t="s">
        <v>258</v>
      </c>
      <c r="B965" s="194"/>
      <c r="C965" s="84" t="s">
        <v>894</v>
      </c>
      <c r="D965" s="88" t="s">
        <v>1396</v>
      </c>
      <c r="E965" s="84" t="s">
        <v>3683</v>
      </c>
      <c r="F965" s="84" t="s">
        <v>892</v>
      </c>
      <c r="G965" s="84" t="s">
        <v>3559</v>
      </c>
      <c r="H965" s="84" t="s">
        <v>3521</v>
      </c>
      <c r="I965" s="84" t="s">
        <v>3684</v>
      </c>
      <c r="J965" s="85"/>
      <c r="K965" s="84" t="s">
        <v>111</v>
      </c>
      <c r="L965" s="87">
        <v>480.0</v>
      </c>
      <c r="M965" s="87">
        <v>0.0</v>
      </c>
      <c r="N965" s="87">
        <v>0.0</v>
      </c>
      <c r="O965" s="87">
        <v>0.0</v>
      </c>
      <c r="P965" s="87">
        <v>0.0</v>
      </c>
      <c r="Q965" s="87">
        <v>0.0</v>
      </c>
    </row>
    <row r="966">
      <c r="A966" s="84" t="s">
        <v>2609</v>
      </c>
      <c r="B966" s="194"/>
      <c r="C966" s="84" t="s">
        <v>1348</v>
      </c>
      <c r="D966" s="88" t="s">
        <v>1396</v>
      </c>
      <c r="E966" s="84" t="s">
        <v>3683</v>
      </c>
      <c r="F966" s="84" t="s">
        <v>3720</v>
      </c>
      <c r="G966" s="84" t="s">
        <v>3593</v>
      </c>
      <c r="H966" s="84" t="s">
        <v>3507</v>
      </c>
      <c r="I966" s="84" t="s">
        <v>3684</v>
      </c>
      <c r="J966" s="91"/>
      <c r="K966" s="91"/>
      <c r="L966" s="87">
        <v>408.0</v>
      </c>
      <c r="M966" s="87">
        <v>0.0</v>
      </c>
      <c r="N966" s="87">
        <v>2.522669</v>
      </c>
      <c r="O966" s="87">
        <v>1.005952</v>
      </c>
      <c r="P966" s="87">
        <v>1.429671</v>
      </c>
      <c r="Q966" s="87">
        <v>2.763739</v>
      </c>
    </row>
    <row r="967">
      <c r="A967" s="84" t="s">
        <v>616</v>
      </c>
      <c r="B967" s="194"/>
      <c r="C967" s="84" t="s">
        <v>620</v>
      </c>
      <c r="D967" s="88" t="s">
        <v>1396</v>
      </c>
      <c r="E967" s="91"/>
      <c r="F967" s="84" t="s">
        <v>621</v>
      </c>
      <c r="G967" s="84" t="s">
        <v>3552</v>
      </c>
      <c r="I967" s="84" t="s">
        <v>3684</v>
      </c>
      <c r="J967" s="91"/>
      <c r="K967" s="85"/>
      <c r="L967" s="87">
        <v>456.0</v>
      </c>
      <c r="M967" s="87">
        <v>0.0</v>
      </c>
      <c r="N967" s="87">
        <v>0.0</v>
      </c>
      <c r="O967" s="87">
        <v>0.0</v>
      </c>
      <c r="P967" s="87">
        <v>0.0</v>
      </c>
      <c r="Q967" s="87">
        <v>0.0</v>
      </c>
    </row>
    <row r="968">
      <c r="A968" s="84" t="s">
        <v>258</v>
      </c>
      <c r="B968" s="194"/>
      <c r="C968" s="84" t="s">
        <v>883</v>
      </c>
      <c r="D968" s="88" t="s">
        <v>1396</v>
      </c>
      <c r="E968" s="84" t="s">
        <v>3687</v>
      </c>
      <c r="F968" s="84" t="s">
        <v>884</v>
      </c>
      <c r="G968" s="84" t="s">
        <v>3558</v>
      </c>
      <c r="H968" s="84" t="s">
        <v>3521</v>
      </c>
      <c r="I968" s="84" t="s">
        <v>3684</v>
      </c>
      <c r="J968" s="84" t="s">
        <v>130</v>
      </c>
      <c r="K968" s="85"/>
      <c r="L968" s="87">
        <v>96.0</v>
      </c>
      <c r="M968" s="87">
        <v>0.0</v>
      </c>
      <c r="N968" s="87">
        <v>0.138095</v>
      </c>
      <c r="O968" s="87">
        <v>0.0</v>
      </c>
      <c r="P968" s="87">
        <v>0.0</v>
      </c>
      <c r="Q968" s="87">
        <v>0.138095</v>
      </c>
    </row>
    <row r="969">
      <c r="A969" s="84" t="s">
        <v>139</v>
      </c>
      <c r="B969" s="194"/>
      <c r="C969" s="84" t="s">
        <v>782</v>
      </c>
      <c r="D969" s="88" t="s">
        <v>1396</v>
      </c>
      <c r="E969" s="84" t="s">
        <v>4206</v>
      </c>
      <c r="F969" s="84" t="s">
        <v>783</v>
      </c>
      <c r="G969" s="84" t="s">
        <v>4191</v>
      </c>
      <c r="I969" s="84" t="s">
        <v>3709</v>
      </c>
      <c r="J969" s="85"/>
      <c r="K969" s="91"/>
      <c r="L969" s="87">
        <v>552.0</v>
      </c>
      <c r="M969" s="87">
        <v>0.0</v>
      </c>
      <c r="N969" s="87">
        <v>0.0</v>
      </c>
      <c r="O969" s="87">
        <v>0.0</v>
      </c>
      <c r="P969" s="87">
        <v>0.0</v>
      </c>
      <c r="Q969" s="87">
        <v>0.0</v>
      </c>
    </row>
    <row r="970">
      <c r="A970" s="84" t="s">
        <v>537</v>
      </c>
      <c r="B970" s="194"/>
      <c r="C970" s="84" t="s">
        <v>560</v>
      </c>
      <c r="D970" s="88" t="s">
        <v>1396</v>
      </c>
      <c r="E970" s="84" t="s">
        <v>3683</v>
      </c>
      <c r="F970" s="84" t="s">
        <v>558</v>
      </c>
      <c r="G970" s="84" t="s">
        <v>3602</v>
      </c>
      <c r="H970" s="84" t="s">
        <v>3521</v>
      </c>
      <c r="I970" s="84" t="s">
        <v>3693</v>
      </c>
      <c r="J970" s="85"/>
      <c r="K970" s="84" t="s">
        <v>111</v>
      </c>
      <c r="L970" s="87">
        <v>192.0</v>
      </c>
      <c r="M970" s="87">
        <v>0.0</v>
      </c>
      <c r="N970" s="87">
        <v>0.0</v>
      </c>
      <c r="O970" s="87">
        <v>0.0</v>
      </c>
      <c r="P970" s="87">
        <v>0.0</v>
      </c>
      <c r="Q970" s="87">
        <v>0.0</v>
      </c>
    </row>
    <row r="971">
      <c r="A971" s="84" t="s">
        <v>745</v>
      </c>
      <c r="B971" s="194"/>
      <c r="C971" s="84" t="s">
        <v>757</v>
      </c>
      <c r="D971" s="88" t="s">
        <v>1396</v>
      </c>
      <c r="E971" s="84" t="s">
        <v>3683</v>
      </c>
      <c r="F971" s="91"/>
      <c r="G971" s="84" t="s">
        <v>3604</v>
      </c>
      <c r="I971" s="84" t="s">
        <v>3684</v>
      </c>
      <c r="J971" s="85"/>
      <c r="K971" s="91"/>
      <c r="L971" s="87">
        <v>120.0</v>
      </c>
      <c r="M971" s="87">
        <v>0.0</v>
      </c>
      <c r="N971" s="87">
        <v>0.0</v>
      </c>
      <c r="O971" s="87">
        <v>0.0</v>
      </c>
      <c r="P971" s="87">
        <v>0.0</v>
      </c>
      <c r="Q971" s="87">
        <v>0.0</v>
      </c>
    </row>
    <row r="972">
      <c r="A972" s="84" t="s">
        <v>1130</v>
      </c>
      <c r="B972" s="194"/>
      <c r="C972" s="84" t="s">
        <v>1161</v>
      </c>
      <c r="D972" s="88" t="s">
        <v>1396</v>
      </c>
      <c r="E972" s="84" t="s">
        <v>3683</v>
      </c>
      <c r="F972" s="84" t="s">
        <v>973</v>
      </c>
      <c r="G972" s="84" t="s">
        <v>3582</v>
      </c>
      <c r="H972" s="84" t="s">
        <v>3521</v>
      </c>
      <c r="I972" s="84" t="s">
        <v>3684</v>
      </c>
      <c r="J972" s="84" t="s">
        <v>130</v>
      </c>
      <c r="K972" s="91"/>
      <c r="L972" s="87">
        <v>48.0</v>
      </c>
      <c r="M972" s="87">
        <v>0.0</v>
      </c>
      <c r="N972" s="87">
        <v>0.111111</v>
      </c>
      <c r="O972" s="87">
        <v>0.0</v>
      </c>
      <c r="P972" s="87">
        <v>0.666667</v>
      </c>
      <c r="Q972" s="87">
        <v>0.111111</v>
      </c>
    </row>
    <row r="973">
      <c r="A973" s="84" t="s">
        <v>761</v>
      </c>
      <c r="B973" s="194"/>
      <c r="C973" s="84" t="s">
        <v>765</v>
      </c>
      <c r="D973" s="88" t="s">
        <v>1396</v>
      </c>
      <c r="E973" s="84" t="s">
        <v>3683</v>
      </c>
      <c r="F973" s="84" t="s">
        <v>760</v>
      </c>
      <c r="G973" s="84" t="s">
        <v>4015</v>
      </c>
      <c r="H973" s="84" t="s">
        <v>3507</v>
      </c>
      <c r="I973" s="84" t="s">
        <v>3684</v>
      </c>
      <c r="J973" s="84" t="s">
        <v>130</v>
      </c>
      <c r="K973" s="91"/>
      <c r="L973" s="87">
        <v>24.0</v>
      </c>
      <c r="M973" s="87">
        <v>0.0</v>
      </c>
      <c r="N973" s="87">
        <v>0.222222</v>
      </c>
      <c r="O973" s="87">
        <v>0.0</v>
      </c>
      <c r="P973" s="87">
        <v>0.0</v>
      </c>
      <c r="Q973" s="87">
        <v>0.222222</v>
      </c>
    </row>
    <row r="974">
      <c r="A974" s="84" t="s">
        <v>573</v>
      </c>
      <c r="B974" s="194"/>
      <c r="C974" s="84" t="s">
        <v>3637</v>
      </c>
      <c r="D974" s="88" t="s">
        <v>1396</v>
      </c>
      <c r="E974" s="84" t="s">
        <v>3683</v>
      </c>
      <c r="F974" s="84" t="s">
        <v>581</v>
      </c>
      <c r="G974" s="84" t="s">
        <v>3594</v>
      </c>
      <c r="H974" s="84" t="s">
        <v>3527</v>
      </c>
      <c r="I974" s="84" t="s">
        <v>3709</v>
      </c>
      <c r="J974" s="85"/>
      <c r="K974" s="85"/>
      <c r="L974" s="87">
        <v>203.0</v>
      </c>
      <c r="M974" s="87">
        <v>9.0</v>
      </c>
      <c r="N974" s="87">
        <v>1.687993</v>
      </c>
      <c r="O974" s="87">
        <v>8.361344</v>
      </c>
      <c r="P974" s="87">
        <v>9.461116</v>
      </c>
      <c r="Q974" s="87">
        <v>9.907739</v>
      </c>
    </row>
    <row r="975">
      <c r="A975" s="84" t="s">
        <v>573</v>
      </c>
      <c r="B975" s="194"/>
      <c r="C975" s="84" t="s">
        <v>580</v>
      </c>
      <c r="D975" s="88" t="s">
        <v>1396</v>
      </c>
      <c r="E975" s="84" t="s">
        <v>3683</v>
      </c>
      <c r="F975" s="84" t="s">
        <v>581</v>
      </c>
      <c r="G975" s="84" t="s">
        <v>3594</v>
      </c>
      <c r="H975" s="84" t="s">
        <v>3527</v>
      </c>
      <c r="I975" s="84" t="s">
        <v>3709</v>
      </c>
      <c r="J975" s="91"/>
      <c r="K975" s="84" t="s">
        <v>111</v>
      </c>
      <c r="L975" s="87">
        <v>456.0</v>
      </c>
      <c r="M975" s="87">
        <v>0.0</v>
      </c>
      <c r="N975" s="87">
        <v>0.0</v>
      </c>
      <c r="O975" s="87">
        <v>0.0</v>
      </c>
      <c r="P975" s="87">
        <v>0.0</v>
      </c>
      <c r="Q975" s="87">
        <v>0.0</v>
      </c>
    </row>
    <row r="976">
      <c r="A976" s="84" t="s">
        <v>180</v>
      </c>
      <c r="B976" s="194"/>
      <c r="C976" s="84" t="s">
        <v>823</v>
      </c>
      <c r="D976" s="88" t="s">
        <v>1396</v>
      </c>
      <c r="E976" s="84" t="s">
        <v>3683</v>
      </c>
      <c r="F976" s="84" t="s">
        <v>814</v>
      </c>
      <c r="G976" s="84" t="s">
        <v>3533</v>
      </c>
      <c r="H976" s="84" t="s">
        <v>3521</v>
      </c>
      <c r="I976" s="84" t="s">
        <v>3684</v>
      </c>
      <c r="J976" s="85"/>
      <c r="K976" s="91"/>
      <c r="L976" s="87">
        <v>48.0</v>
      </c>
      <c r="M976" s="87">
        <v>2.0</v>
      </c>
      <c r="N976" s="87">
        <v>0.0</v>
      </c>
      <c r="O976" s="87">
        <v>1.258802</v>
      </c>
      <c r="P976" s="87">
        <v>0.940786</v>
      </c>
      <c r="Q976" s="87">
        <v>0.745797</v>
      </c>
    </row>
    <row r="977">
      <c r="A977" s="84" t="s">
        <v>537</v>
      </c>
      <c r="B977" s="194"/>
      <c r="C977" s="84" t="s">
        <v>556</v>
      </c>
      <c r="D977" s="88" t="s">
        <v>1396</v>
      </c>
      <c r="E977" s="84" t="s">
        <v>3683</v>
      </c>
      <c r="F977" s="84" t="s">
        <v>551</v>
      </c>
      <c r="G977" s="84" t="s">
        <v>3590</v>
      </c>
      <c r="H977" s="84" t="s">
        <v>3521</v>
      </c>
      <c r="I977" s="84" t="s">
        <v>3693</v>
      </c>
      <c r="J977" s="85"/>
      <c r="K977" s="84" t="s">
        <v>111</v>
      </c>
      <c r="L977" s="87">
        <v>456.0</v>
      </c>
      <c r="M977" s="87">
        <v>0.0</v>
      </c>
      <c r="N977" s="87">
        <v>0.0</v>
      </c>
      <c r="O977" s="87">
        <v>0.0</v>
      </c>
      <c r="P977" s="87">
        <v>0.0</v>
      </c>
      <c r="Q977" s="87">
        <v>0.0</v>
      </c>
    </row>
    <row r="978">
      <c r="A978" s="84" t="s">
        <v>630</v>
      </c>
      <c r="B978" s="194"/>
      <c r="C978" s="84" t="s">
        <v>1116</v>
      </c>
      <c r="D978" s="88" t="s">
        <v>1396</v>
      </c>
      <c r="E978" s="84" t="s">
        <v>3683</v>
      </c>
      <c r="F978" s="84" t="s">
        <v>1117</v>
      </c>
      <c r="G978" s="84" t="s">
        <v>3554</v>
      </c>
      <c r="H978" s="84" t="s">
        <v>3521</v>
      </c>
      <c r="I978" s="84" t="s">
        <v>3684</v>
      </c>
      <c r="J978" s="91"/>
      <c r="K978" s="91"/>
      <c r="L978" s="87">
        <v>0.0</v>
      </c>
      <c r="M978" s="87">
        <v>1.0</v>
      </c>
      <c r="N978" s="87">
        <v>0.0</v>
      </c>
      <c r="O978" s="87">
        <v>0.0</v>
      </c>
      <c r="P978" s="87">
        <v>0.033333</v>
      </c>
      <c r="Q978" s="87">
        <v>0.022727</v>
      </c>
    </row>
    <row r="979">
      <c r="A979" s="84" t="s">
        <v>301</v>
      </c>
      <c r="B979" s="194"/>
      <c r="C979" s="84" t="s">
        <v>336</v>
      </c>
      <c r="D979" s="88" t="s">
        <v>1396</v>
      </c>
      <c r="E979" s="84" t="s">
        <v>3687</v>
      </c>
      <c r="F979" s="91"/>
      <c r="G979" s="84" t="s">
        <v>4199</v>
      </c>
      <c r="H979" s="84" t="s">
        <v>3521</v>
      </c>
      <c r="I979" s="84" t="s">
        <v>3684</v>
      </c>
      <c r="J979" s="91"/>
      <c r="K979" s="91"/>
      <c r="L979" s="87">
        <v>143.0</v>
      </c>
      <c r="M979" s="87">
        <v>3.0</v>
      </c>
      <c r="N979" s="87">
        <v>2.892705</v>
      </c>
      <c r="O979" s="87">
        <v>6.89079</v>
      </c>
      <c r="P979" s="87">
        <v>6.716304</v>
      </c>
      <c r="Q979" s="87">
        <v>6.668052</v>
      </c>
    </row>
    <row r="980">
      <c r="A980" s="84" t="s">
        <v>439</v>
      </c>
      <c r="B980" s="194"/>
      <c r="C980" s="84" t="s">
        <v>4207</v>
      </c>
      <c r="D980" s="88" t="s">
        <v>1396</v>
      </c>
      <c r="E980" s="84" t="s">
        <v>3683</v>
      </c>
      <c r="F980" s="84" t="s">
        <v>3714</v>
      </c>
      <c r="G980" s="84" t="s">
        <v>3715</v>
      </c>
      <c r="H980" s="84" t="s">
        <v>3527</v>
      </c>
      <c r="I980" s="84" t="s">
        <v>3684</v>
      </c>
      <c r="J980" s="84" t="s">
        <v>130</v>
      </c>
      <c r="K980" s="84" t="s">
        <v>111</v>
      </c>
      <c r="L980" s="87">
        <v>96.0</v>
      </c>
      <c r="M980" s="87">
        <v>0.0</v>
      </c>
      <c r="N980" s="87">
        <v>0.0</v>
      </c>
      <c r="O980" s="87">
        <v>0.0</v>
      </c>
      <c r="P980" s="87">
        <v>0.0</v>
      </c>
      <c r="Q980" s="87">
        <v>0.0</v>
      </c>
    </row>
    <row r="981">
      <c r="A981" s="84" t="s">
        <v>213</v>
      </c>
      <c r="B981" s="194"/>
      <c r="C981" s="84" t="s">
        <v>874</v>
      </c>
      <c r="D981" s="88" t="s">
        <v>1396</v>
      </c>
      <c r="E981" s="84" t="s">
        <v>3683</v>
      </c>
      <c r="F981" s="84" t="s">
        <v>800</v>
      </c>
      <c r="G981" s="84" t="s">
        <v>3525</v>
      </c>
      <c r="H981" s="84" t="s">
        <v>3521</v>
      </c>
      <c r="I981" s="84" t="s">
        <v>3684</v>
      </c>
      <c r="J981" s="85"/>
      <c r="K981" s="85"/>
      <c r="L981" s="87">
        <v>0.0</v>
      </c>
      <c r="M981" s="87">
        <v>1.0</v>
      </c>
      <c r="N981" s="87">
        <v>0.0</v>
      </c>
      <c r="O981" s="87">
        <v>0.807692</v>
      </c>
      <c r="P981" s="87">
        <v>0.679557</v>
      </c>
      <c r="Q981" s="87">
        <v>0.602289</v>
      </c>
    </row>
    <row r="982">
      <c r="A982" s="84" t="s">
        <v>439</v>
      </c>
      <c r="B982" s="194"/>
      <c r="C982" s="84" t="s">
        <v>1307</v>
      </c>
      <c r="D982" s="88" t="s">
        <v>1396</v>
      </c>
      <c r="E982" s="91"/>
      <c r="F982" s="84" t="s">
        <v>938</v>
      </c>
      <c r="G982" s="84" t="s">
        <v>3847</v>
      </c>
      <c r="I982" s="84" t="s">
        <v>3684</v>
      </c>
      <c r="J982" s="91"/>
      <c r="K982" s="85"/>
      <c r="L982" s="87">
        <v>480.0</v>
      </c>
      <c r="M982" s="87">
        <v>0.0</v>
      </c>
      <c r="N982" s="87">
        <v>0.0</v>
      </c>
      <c r="O982" s="87">
        <v>0.0</v>
      </c>
      <c r="P982" s="87">
        <v>0.0</v>
      </c>
      <c r="Q982" s="87">
        <v>0.0</v>
      </c>
    </row>
    <row r="983">
      <c r="A983" s="84" t="s">
        <v>180</v>
      </c>
      <c r="B983" s="194"/>
      <c r="C983" s="84" t="s">
        <v>842</v>
      </c>
      <c r="D983" s="88" t="s">
        <v>1396</v>
      </c>
      <c r="E983" s="84" t="s">
        <v>3683</v>
      </c>
      <c r="F983" s="84" t="s">
        <v>843</v>
      </c>
      <c r="G983" s="84" t="s">
        <v>3599</v>
      </c>
      <c r="H983" s="84" t="s">
        <v>3507</v>
      </c>
      <c r="I983" s="84" t="s">
        <v>3684</v>
      </c>
      <c r="J983" s="91"/>
      <c r="K983" s="85"/>
      <c r="L983" s="87">
        <v>744.0</v>
      </c>
      <c r="M983" s="87">
        <v>0.0</v>
      </c>
      <c r="N983" s="87">
        <v>1.395264</v>
      </c>
      <c r="O983" s="87">
        <v>1.0</v>
      </c>
      <c r="P983" s="87">
        <v>1.560723</v>
      </c>
      <c r="Q983" s="87">
        <v>3.497081</v>
      </c>
    </row>
    <row r="984">
      <c r="A984" s="84" t="s">
        <v>644</v>
      </c>
      <c r="B984" s="194"/>
      <c r="C984" s="84" t="s">
        <v>1220</v>
      </c>
      <c r="D984" s="88" t="s">
        <v>1396</v>
      </c>
      <c r="E984" s="84" t="s">
        <v>3683</v>
      </c>
      <c r="F984" s="84" t="s">
        <v>850</v>
      </c>
      <c r="G984" s="84" t="s">
        <v>3551</v>
      </c>
      <c r="H984" s="84" t="s">
        <v>3521</v>
      </c>
      <c r="I984" s="84" t="s">
        <v>3684</v>
      </c>
      <c r="J984" s="85"/>
      <c r="K984" s="91"/>
      <c r="L984" s="87">
        <v>0.0</v>
      </c>
      <c r="M984" s="87">
        <v>7.0</v>
      </c>
      <c r="N984" s="87">
        <v>0.0</v>
      </c>
      <c r="O984" s="87">
        <v>5.502264</v>
      </c>
      <c r="P984" s="87">
        <v>6.344505</v>
      </c>
      <c r="Q984" s="87">
        <v>3.923617</v>
      </c>
    </row>
    <row r="985">
      <c r="A985" s="84" t="s">
        <v>458</v>
      </c>
      <c r="B985" s="194"/>
      <c r="C985" s="84" t="s">
        <v>976</v>
      </c>
      <c r="D985" s="88" t="s">
        <v>1396</v>
      </c>
      <c r="E985" s="84" t="s">
        <v>3683</v>
      </c>
      <c r="F985" s="84" t="s">
        <v>973</v>
      </c>
      <c r="G985" s="84" t="s">
        <v>3582</v>
      </c>
      <c r="H985" s="84" t="s">
        <v>3521</v>
      </c>
      <c r="I985" s="84" t="s">
        <v>3684</v>
      </c>
      <c r="J985" s="91"/>
      <c r="K985" s="84" t="s">
        <v>111</v>
      </c>
      <c r="L985" s="87">
        <v>792.0</v>
      </c>
      <c r="M985" s="87">
        <v>0.0</v>
      </c>
      <c r="N985" s="87">
        <v>0.061553</v>
      </c>
      <c r="O985" s="87">
        <v>0.0</v>
      </c>
      <c r="P985" s="87">
        <v>0.111111</v>
      </c>
      <c r="Q985" s="87">
        <v>0.061553</v>
      </c>
    </row>
    <row r="986">
      <c r="A986" s="84" t="s">
        <v>481</v>
      </c>
      <c r="B986" s="194"/>
      <c r="C986" s="84" t="s">
        <v>524</v>
      </c>
      <c r="D986" s="88" t="s">
        <v>1396</v>
      </c>
      <c r="E986" s="84" t="s">
        <v>3683</v>
      </c>
      <c r="F986" s="84" t="s">
        <v>516</v>
      </c>
      <c r="G986" s="84" t="s">
        <v>3593</v>
      </c>
      <c r="H986" s="84" t="s">
        <v>3521</v>
      </c>
      <c r="I986" s="84" t="s">
        <v>3684</v>
      </c>
      <c r="J986" s="91"/>
      <c r="K986" s="85"/>
      <c r="L986" s="87">
        <v>0.0</v>
      </c>
      <c r="M986" s="87">
        <v>0.0</v>
      </c>
      <c r="N986" s="87">
        <v>0.0</v>
      </c>
      <c r="O986" s="87">
        <v>0.357143</v>
      </c>
      <c r="P986" s="87">
        <v>0.468966</v>
      </c>
      <c r="Q986" s="87">
        <v>0.404269</v>
      </c>
    </row>
    <row r="987">
      <c r="A987" s="84" t="s">
        <v>630</v>
      </c>
      <c r="B987" s="194"/>
      <c r="C987" s="84" t="s">
        <v>633</v>
      </c>
      <c r="D987" s="88" t="s">
        <v>1396</v>
      </c>
      <c r="E987" s="84" t="s">
        <v>3683</v>
      </c>
      <c r="F987" s="84" t="s">
        <v>629</v>
      </c>
      <c r="G987" s="84" t="s">
        <v>3766</v>
      </c>
      <c r="H987" s="84" t="s">
        <v>3521</v>
      </c>
      <c r="I987" s="84" t="s">
        <v>3684</v>
      </c>
      <c r="J987" s="84" t="s">
        <v>130</v>
      </c>
      <c r="K987" s="91"/>
      <c r="L987" s="87">
        <v>72.0</v>
      </c>
      <c r="M987" s="87">
        <v>0.0</v>
      </c>
      <c r="N987" s="87">
        <v>0.295635</v>
      </c>
      <c r="O987" s="87">
        <v>0.0</v>
      </c>
      <c r="P987" s="87">
        <v>0.0</v>
      </c>
      <c r="Q987" s="87">
        <v>0.295635</v>
      </c>
    </row>
    <row r="988">
      <c r="A988" s="84" t="s">
        <v>537</v>
      </c>
      <c r="B988" s="194"/>
      <c r="C988" s="84" t="s">
        <v>555</v>
      </c>
      <c r="D988" s="88" t="s">
        <v>1396</v>
      </c>
      <c r="E988" s="84" t="s">
        <v>3683</v>
      </c>
      <c r="F988" s="84" t="s">
        <v>551</v>
      </c>
      <c r="G988" s="84" t="s">
        <v>3590</v>
      </c>
      <c r="H988" s="84" t="s">
        <v>3521</v>
      </c>
      <c r="I988" s="84" t="s">
        <v>3693</v>
      </c>
      <c r="J988" s="85"/>
      <c r="K988" s="84" t="s">
        <v>111</v>
      </c>
      <c r="L988" s="87">
        <v>480.0</v>
      </c>
      <c r="M988" s="87">
        <v>0.0</v>
      </c>
      <c r="N988" s="87">
        <v>0.309524</v>
      </c>
      <c r="O988" s="87">
        <v>0.380952</v>
      </c>
      <c r="P988" s="87">
        <v>0.244444</v>
      </c>
      <c r="Q988" s="87">
        <v>0.230719</v>
      </c>
    </row>
    <row r="989">
      <c r="A989" s="84" t="s">
        <v>258</v>
      </c>
      <c r="B989" s="194"/>
      <c r="C989" s="84" t="s">
        <v>888</v>
      </c>
      <c r="D989" s="88" t="s">
        <v>1396</v>
      </c>
      <c r="E989" s="84" t="s">
        <v>3683</v>
      </c>
      <c r="F989" s="84" t="s">
        <v>884</v>
      </c>
      <c r="G989" s="84" t="s">
        <v>3558</v>
      </c>
      <c r="I989" s="84" t="s">
        <v>3684</v>
      </c>
      <c r="J989" s="91"/>
      <c r="K989" s="85"/>
      <c r="L989" s="87">
        <v>552.0</v>
      </c>
      <c r="M989" s="87">
        <v>0.0</v>
      </c>
      <c r="N989" s="87">
        <v>0.0</v>
      </c>
      <c r="O989" s="87">
        <v>0.0</v>
      </c>
      <c r="P989" s="87">
        <v>0.0</v>
      </c>
      <c r="Q989" s="87">
        <v>0.0</v>
      </c>
    </row>
    <row r="990">
      <c r="A990" s="84" t="s">
        <v>644</v>
      </c>
      <c r="B990" s="194"/>
      <c r="C990" s="84" t="s">
        <v>1238</v>
      </c>
      <c r="D990" s="88" t="s">
        <v>1396</v>
      </c>
      <c r="E990" s="84" t="s">
        <v>3683</v>
      </c>
      <c r="F990" s="84" t="s">
        <v>1239</v>
      </c>
      <c r="G990" s="84" t="s">
        <v>3607</v>
      </c>
      <c r="H990" s="84" t="s">
        <v>3521</v>
      </c>
      <c r="I990" s="84" t="s">
        <v>3684</v>
      </c>
      <c r="J990" s="84" t="s">
        <v>130</v>
      </c>
      <c r="K990" s="91"/>
      <c r="L990" s="87">
        <v>24.0</v>
      </c>
      <c r="M990" s="87">
        <v>0.0</v>
      </c>
      <c r="N990" s="87">
        <v>0.0</v>
      </c>
      <c r="O990" s="87">
        <v>0.0</v>
      </c>
      <c r="P990" s="87">
        <v>0.0</v>
      </c>
      <c r="Q990" s="87">
        <v>0.0</v>
      </c>
    </row>
    <row r="991">
      <c r="A991" s="84" t="s">
        <v>444</v>
      </c>
      <c r="B991" s="194"/>
      <c r="C991" s="84" t="s">
        <v>450</v>
      </c>
      <c r="D991" s="88" t="s">
        <v>1396</v>
      </c>
      <c r="E991" s="84" t="s">
        <v>3683</v>
      </c>
      <c r="F991" s="84" t="s">
        <v>448</v>
      </c>
      <c r="G991" s="84" t="s">
        <v>3577</v>
      </c>
      <c r="H991" s="84" t="s">
        <v>3521</v>
      </c>
      <c r="I991" s="84" t="s">
        <v>3684</v>
      </c>
      <c r="J991" s="85"/>
      <c r="K991" s="91"/>
      <c r="L991" s="87">
        <v>24.0</v>
      </c>
      <c r="M991" s="87">
        <v>1.0</v>
      </c>
      <c r="N991" s="87">
        <v>0.0</v>
      </c>
      <c r="O991" s="87">
        <v>0.5</v>
      </c>
      <c r="P991" s="87">
        <v>0.930236</v>
      </c>
      <c r="Q991" s="87">
        <v>0.658739</v>
      </c>
    </row>
    <row r="992">
      <c r="A992" s="84" t="s">
        <v>444</v>
      </c>
      <c r="B992" s="194"/>
      <c r="C992" s="84" t="s">
        <v>961</v>
      </c>
      <c r="D992" s="88" t="s">
        <v>1396</v>
      </c>
      <c r="E992" s="84" t="s">
        <v>3683</v>
      </c>
      <c r="F992" s="84" t="s">
        <v>443</v>
      </c>
      <c r="G992" s="84" t="s">
        <v>3580</v>
      </c>
      <c r="H992" s="84" t="s">
        <v>3521</v>
      </c>
      <c r="I992" s="84" t="s">
        <v>3684</v>
      </c>
      <c r="J992" s="91"/>
      <c r="K992" s="91"/>
      <c r="L992" s="87">
        <v>408.0</v>
      </c>
      <c r="M992" s="87">
        <v>0.0</v>
      </c>
      <c r="N992" s="87">
        <v>2.003271</v>
      </c>
      <c r="O992" s="87">
        <v>1.6221</v>
      </c>
      <c r="P992" s="87">
        <v>2.085016</v>
      </c>
      <c r="Q992" s="87">
        <v>1.975247</v>
      </c>
    </row>
    <row r="993">
      <c r="A993" s="84" t="s">
        <v>458</v>
      </c>
      <c r="B993" s="194"/>
      <c r="C993" s="84" t="s">
        <v>968</v>
      </c>
      <c r="D993" s="88" t="s">
        <v>1396</v>
      </c>
      <c r="E993" s="84" t="s">
        <v>3683</v>
      </c>
      <c r="F993" s="84" t="s">
        <v>967</v>
      </c>
      <c r="G993" s="84" t="s">
        <v>3581</v>
      </c>
      <c r="H993" s="84" t="s">
        <v>3521</v>
      </c>
      <c r="I993" s="84" t="s">
        <v>3684</v>
      </c>
      <c r="J993" s="85"/>
      <c r="K993" s="85"/>
      <c r="L993" s="87">
        <v>45.0</v>
      </c>
      <c r="M993" s="87">
        <v>0.0</v>
      </c>
      <c r="N993" s="87">
        <v>0.0</v>
      </c>
      <c r="O993" s="87">
        <v>0.0</v>
      </c>
      <c r="P993" s="87">
        <v>0.0</v>
      </c>
      <c r="Q993" s="87">
        <v>0.0</v>
      </c>
    </row>
    <row r="994">
      <c r="A994" s="84" t="s">
        <v>444</v>
      </c>
      <c r="B994" s="194"/>
      <c r="C994" s="84" t="s">
        <v>943</v>
      </c>
      <c r="D994" s="88" t="s">
        <v>1396</v>
      </c>
      <c r="E994" s="84" t="s">
        <v>3683</v>
      </c>
      <c r="F994" s="84" t="s">
        <v>448</v>
      </c>
      <c r="G994" s="84" t="s">
        <v>3577</v>
      </c>
      <c r="H994" s="84" t="s">
        <v>3521</v>
      </c>
      <c r="I994" s="84" t="s">
        <v>3684</v>
      </c>
      <c r="J994" s="84" t="s">
        <v>130</v>
      </c>
      <c r="K994" s="91"/>
      <c r="L994" s="87">
        <v>24.0</v>
      </c>
      <c r="M994" s="87">
        <v>0.0</v>
      </c>
      <c r="N994" s="87">
        <v>0.0</v>
      </c>
      <c r="O994" s="87">
        <v>0.0</v>
      </c>
      <c r="P994" s="87">
        <v>0.0</v>
      </c>
      <c r="Q994" s="87">
        <v>0.016667</v>
      </c>
    </row>
    <row r="995">
      <c r="A995" s="84" t="s">
        <v>745</v>
      </c>
      <c r="B995" s="194"/>
      <c r="C995" s="84" t="s">
        <v>756</v>
      </c>
      <c r="D995" s="88" t="s">
        <v>1396</v>
      </c>
      <c r="E995" s="84" t="s">
        <v>3687</v>
      </c>
      <c r="F995" s="84" t="s">
        <v>753</v>
      </c>
      <c r="G995" s="84" t="s">
        <v>4039</v>
      </c>
      <c r="H995" s="84" t="s">
        <v>3521</v>
      </c>
      <c r="I995" s="84" t="s">
        <v>3684</v>
      </c>
      <c r="J995" s="84" t="s">
        <v>130</v>
      </c>
      <c r="K995" s="85"/>
      <c r="L995" s="87">
        <v>24.0</v>
      </c>
      <c r="M995" s="87">
        <v>0.0</v>
      </c>
      <c r="N995" s="87">
        <v>0.0</v>
      </c>
      <c r="O995" s="87">
        <v>0.0</v>
      </c>
      <c r="P995" s="87">
        <v>0.0</v>
      </c>
      <c r="Q995" s="87">
        <v>0.0</v>
      </c>
    </row>
    <row r="996">
      <c r="A996" s="84" t="s">
        <v>573</v>
      </c>
      <c r="B996" s="194"/>
      <c r="C996" s="84" t="s">
        <v>591</v>
      </c>
      <c r="D996" s="88" t="s">
        <v>1396</v>
      </c>
      <c r="E996" s="84" t="s">
        <v>3687</v>
      </c>
      <c r="F996" s="84" t="s">
        <v>592</v>
      </c>
      <c r="G996" s="84" t="s">
        <v>4092</v>
      </c>
      <c r="H996" s="84" t="s">
        <v>3521</v>
      </c>
      <c r="I996" s="84" t="s">
        <v>3709</v>
      </c>
      <c r="J996" s="84" t="s">
        <v>130</v>
      </c>
      <c r="K996" s="91"/>
      <c r="L996" s="87">
        <v>24.0</v>
      </c>
      <c r="M996" s="87">
        <v>0.0</v>
      </c>
      <c r="N996" s="87">
        <v>0.0</v>
      </c>
      <c r="O996" s="87">
        <v>0.0</v>
      </c>
      <c r="P996" s="87">
        <v>0.0</v>
      </c>
      <c r="Q996" s="87">
        <v>0.0</v>
      </c>
    </row>
    <row r="997">
      <c r="A997" s="84" t="s">
        <v>180</v>
      </c>
      <c r="B997" s="194"/>
      <c r="C997" s="84" t="s">
        <v>1323</v>
      </c>
      <c r="D997" s="88" t="s">
        <v>1396</v>
      </c>
      <c r="E997" s="84" t="s">
        <v>3683</v>
      </c>
      <c r="F997" s="84" t="s">
        <v>830</v>
      </c>
      <c r="G997" s="84" t="s">
        <v>3549</v>
      </c>
      <c r="H997" s="84" t="s">
        <v>3507</v>
      </c>
      <c r="I997" s="84" t="s">
        <v>3684</v>
      </c>
      <c r="J997" s="84" t="s">
        <v>130</v>
      </c>
      <c r="K997" s="84" t="s">
        <v>111</v>
      </c>
      <c r="L997" s="87">
        <v>24.0</v>
      </c>
      <c r="M997" s="87">
        <v>0.0</v>
      </c>
      <c r="N997" s="87">
        <v>0.0</v>
      </c>
      <c r="O997" s="87">
        <v>0.0</v>
      </c>
      <c r="P997" s="87">
        <v>0.0</v>
      </c>
      <c r="Q997" s="87">
        <v>0.0</v>
      </c>
    </row>
    <row r="998">
      <c r="A998" s="84" t="s">
        <v>644</v>
      </c>
      <c r="B998" s="194"/>
      <c r="C998" s="84" t="s">
        <v>1270</v>
      </c>
      <c r="D998" s="88" t="s">
        <v>1396</v>
      </c>
      <c r="E998" s="84" t="s">
        <v>3683</v>
      </c>
      <c r="F998" s="84" t="s">
        <v>1229</v>
      </c>
      <c r="G998" s="84" t="s">
        <v>3551</v>
      </c>
      <c r="I998" s="84" t="s">
        <v>3684</v>
      </c>
      <c r="J998" s="91"/>
      <c r="K998" s="91"/>
      <c r="L998" s="87">
        <v>0.0</v>
      </c>
      <c r="M998" s="87">
        <v>0.0</v>
      </c>
      <c r="N998" s="87">
        <v>0.0</v>
      </c>
      <c r="O998" s="87">
        <v>0.0</v>
      </c>
      <c r="P998" s="87">
        <v>0.0</v>
      </c>
      <c r="Q998" s="87">
        <v>0.0</v>
      </c>
    </row>
    <row r="999">
      <c r="A999" s="84" t="s">
        <v>2609</v>
      </c>
      <c r="B999" s="194"/>
      <c r="C999" s="84" t="s">
        <v>1313</v>
      </c>
      <c r="D999" s="88" t="s">
        <v>1396</v>
      </c>
      <c r="E999" s="84" t="s">
        <v>3683</v>
      </c>
      <c r="F999" s="84" t="s">
        <v>3720</v>
      </c>
      <c r="G999" s="84" t="s">
        <v>3593</v>
      </c>
      <c r="H999" s="84" t="s">
        <v>3507</v>
      </c>
      <c r="I999" s="84" t="s">
        <v>3684</v>
      </c>
      <c r="J999" s="84" t="s">
        <v>130</v>
      </c>
      <c r="K999" s="85"/>
      <c r="L999" s="87">
        <v>0.0</v>
      </c>
      <c r="M999" s="87">
        <v>0.0</v>
      </c>
      <c r="N999" s="87">
        <v>0.0</v>
      </c>
      <c r="O999" s="87">
        <v>0.0</v>
      </c>
      <c r="P999" s="87">
        <v>0.0</v>
      </c>
      <c r="Q999" s="87">
        <v>0.0</v>
      </c>
    </row>
    <row r="1000">
      <c r="A1000" s="84" t="s">
        <v>439</v>
      </c>
      <c r="B1000" s="193"/>
      <c r="C1000" s="84" t="s">
        <v>937</v>
      </c>
      <c r="D1000" s="88" t="s">
        <v>1396</v>
      </c>
      <c r="E1000" s="84" t="s">
        <v>3683</v>
      </c>
      <c r="F1000" s="84" t="s">
        <v>938</v>
      </c>
      <c r="G1000" s="84" t="s">
        <v>3571</v>
      </c>
      <c r="H1000" s="84" t="s">
        <v>3527</v>
      </c>
      <c r="I1000" s="84" t="s">
        <v>3709</v>
      </c>
      <c r="J1000" s="84" t="s">
        <v>130</v>
      </c>
      <c r="K1000" s="85"/>
      <c r="L1000" s="87">
        <v>24.0</v>
      </c>
      <c r="M1000" s="87">
        <v>0.0</v>
      </c>
      <c r="N1000" s="87">
        <v>0.0</v>
      </c>
      <c r="O1000" s="87">
        <v>0.0</v>
      </c>
      <c r="P1000" s="87">
        <v>0.0</v>
      </c>
      <c r="Q1000" s="87">
        <v>0.0</v>
      </c>
    </row>
    <row r="1001">
      <c r="A1001" s="84" t="s">
        <v>644</v>
      </c>
      <c r="B1001" s="194"/>
      <c r="C1001" s="84" t="s">
        <v>731</v>
      </c>
      <c r="D1001" s="88" t="s">
        <v>1396</v>
      </c>
      <c r="E1001" s="84" t="s">
        <v>3683</v>
      </c>
      <c r="F1001" s="84" t="s">
        <v>729</v>
      </c>
      <c r="G1001" s="84" t="s">
        <v>3752</v>
      </c>
      <c r="I1001" s="84" t="s">
        <v>3684</v>
      </c>
      <c r="J1001" s="91"/>
      <c r="K1001" s="91"/>
      <c r="L1001" s="87">
        <v>24.0</v>
      </c>
      <c r="M1001" s="87">
        <v>0.0</v>
      </c>
      <c r="N1001" s="87">
        <v>0.5</v>
      </c>
      <c r="O1001" s="87">
        <v>0.0</v>
      </c>
      <c r="P1001" s="87">
        <v>0.0</v>
      </c>
      <c r="Q1001" s="87">
        <v>0.5</v>
      </c>
    </row>
    <row r="1002">
      <c r="A1002" s="84" t="s">
        <v>481</v>
      </c>
      <c r="B1002" s="194"/>
      <c r="C1002" s="84" t="s">
        <v>529</v>
      </c>
      <c r="D1002" s="88" t="s">
        <v>1396</v>
      </c>
      <c r="E1002" s="84" t="s">
        <v>3683</v>
      </c>
      <c r="F1002" s="84" t="s">
        <v>526</v>
      </c>
      <c r="G1002" s="84" t="s">
        <v>3593</v>
      </c>
      <c r="H1002" s="84" t="s">
        <v>3521</v>
      </c>
      <c r="I1002" s="84" t="s">
        <v>3684</v>
      </c>
      <c r="J1002" s="91"/>
      <c r="K1002" s="85"/>
      <c r="L1002" s="87">
        <v>24.0</v>
      </c>
      <c r="M1002" s="87">
        <v>0.0</v>
      </c>
      <c r="N1002" s="87">
        <v>0.257576</v>
      </c>
      <c r="O1002" s="87">
        <v>0.829004</v>
      </c>
      <c r="P1002" s="87">
        <v>0.612169</v>
      </c>
      <c r="Q1002" s="87">
        <v>0.59029</v>
      </c>
    </row>
    <row r="1003">
      <c r="A1003" s="84" t="s">
        <v>74</v>
      </c>
      <c r="B1003" s="194"/>
      <c r="C1003" s="84" t="s">
        <v>1346</v>
      </c>
      <c r="D1003" s="88" t="s">
        <v>1396</v>
      </c>
      <c r="E1003" s="84" t="s">
        <v>3683</v>
      </c>
      <c r="F1003" s="84" t="s">
        <v>3796</v>
      </c>
      <c r="G1003" s="91"/>
      <c r="H1003" s="84" t="s">
        <v>3521</v>
      </c>
      <c r="I1003" s="84" t="s">
        <v>3684</v>
      </c>
      <c r="J1003" s="85"/>
      <c r="K1003" s="84" t="s">
        <v>111</v>
      </c>
      <c r="L1003" s="87">
        <v>456.0</v>
      </c>
      <c r="M1003" s="87">
        <v>0.0</v>
      </c>
      <c r="N1003" s="87">
        <v>0.0</v>
      </c>
      <c r="O1003" s="87">
        <v>0.0</v>
      </c>
      <c r="P1003" s="87">
        <v>0.0</v>
      </c>
      <c r="Q1003" s="87">
        <v>0.0</v>
      </c>
    </row>
    <row r="1004">
      <c r="A1004" s="84" t="s">
        <v>258</v>
      </c>
      <c r="B1004" s="194"/>
      <c r="C1004" s="84" t="s">
        <v>890</v>
      </c>
      <c r="D1004" s="88" t="s">
        <v>1396</v>
      </c>
      <c r="E1004" s="84" t="s">
        <v>3687</v>
      </c>
      <c r="F1004" s="84" t="s">
        <v>884</v>
      </c>
      <c r="G1004" s="84" t="s">
        <v>3558</v>
      </c>
      <c r="H1004" s="84" t="s">
        <v>3521</v>
      </c>
      <c r="I1004" s="84" t="s">
        <v>3684</v>
      </c>
      <c r="J1004" s="84" t="s">
        <v>89</v>
      </c>
      <c r="K1004" s="85"/>
      <c r="L1004" s="87">
        <v>151.0</v>
      </c>
      <c r="M1004" s="87">
        <v>3.0</v>
      </c>
      <c r="N1004" s="87">
        <v>0.76973</v>
      </c>
      <c r="O1004" s="87">
        <v>1.412587</v>
      </c>
      <c r="P1004" s="87">
        <v>1.1124</v>
      </c>
      <c r="Q1004" s="87">
        <v>1.100206</v>
      </c>
    </row>
    <row r="1005">
      <c r="A1005" s="84" t="s">
        <v>1130</v>
      </c>
      <c r="B1005" s="194"/>
      <c r="C1005" s="84" t="s">
        <v>1148</v>
      </c>
      <c r="D1005" s="88" t="s">
        <v>1396</v>
      </c>
      <c r="E1005" s="84" t="s">
        <v>3683</v>
      </c>
      <c r="F1005" s="84" t="s">
        <v>1142</v>
      </c>
      <c r="G1005" s="84" t="s">
        <v>3605</v>
      </c>
      <c r="H1005" s="84" t="s">
        <v>3521</v>
      </c>
      <c r="I1005" s="84" t="s">
        <v>3684</v>
      </c>
      <c r="J1005" s="84" t="s">
        <v>130</v>
      </c>
      <c r="K1005" s="85"/>
      <c r="L1005" s="87">
        <v>288.0</v>
      </c>
      <c r="M1005" s="87">
        <v>0.0</v>
      </c>
      <c r="N1005" s="87">
        <v>3.261968</v>
      </c>
      <c r="O1005" s="87">
        <v>0.071429</v>
      </c>
      <c r="P1005" s="87">
        <v>0.358333</v>
      </c>
      <c r="Q1005" s="87">
        <v>3.390106</v>
      </c>
    </row>
    <row r="1006">
      <c r="A1006" s="84" t="s">
        <v>630</v>
      </c>
      <c r="B1006" s="194"/>
      <c r="C1006" s="84" t="s">
        <v>1090</v>
      </c>
      <c r="D1006" s="88" t="s">
        <v>1396</v>
      </c>
      <c r="E1006" s="84" t="s">
        <v>3683</v>
      </c>
      <c r="F1006" s="84" t="s">
        <v>1091</v>
      </c>
      <c r="G1006" s="84" t="s">
        <v>3601</v>
      </c>
      <c r="H1006" s="84" t="s">
        <v>3521</v>
      </c>
      <c r="I1006" s="84" t="s">
        <v>3684</v>
      </c>
      <c r="J1006" s="91"/>
      <c r="K1006" s="84" t="s">
        <v>111</v>
      </c>
      <c r="L1006" s="87">
        <v>480.0</v>
      </c>
      <c r="M1006" s="87">
        <v>1.0</v>
      </c>
      <c r="N1006" s="87">
        <v>0.190909</v>
      </c>
      <c r="O1006" s="87">
        <v>0.0</v>
      </c>
      <c r="P1006" s="87">
        <v>0.0</v>
      </c>
      <c r="Q1006" s="87">
        <v>0.267832</v>
      </c>
    </row>
    <row r="1007">
      <c r="A1007" s="84" t="s">
        <v>644</v>
      </c>
      <c r="B1007" s="194"/>
      <c r="C1007" s="84" t="s">
        <v>650</v>
      </c>
      <c r="D1007" s="88" t="s">
        <v>1396</v>
      </c>
      <c r="E1007" s="84" t="s">
        <v>3683</v>
      </c>
      <c r="F1007" s="84" t="s">
        <v>651</v>
      </c>
      <c r="G1007" s="84" t="s">
        <v>3723</v>
      </c>
      <c r="H1007" s="84" t="s">
        <v>3521</v>
      </c>
      <c r="I1007" s="84" t="s">
        <v>3684</v>
      </c>
      <c r="J1007" s="91"/>
      <c r="K1007" s="91"/>
      <c r="L1007" s="87">
        <v>30.0</v>
      </c>
      <c r="M1007" s="87">
        <v>2.0</v>
      </c>
      <c r="N1007" s="87">
        <v>0.25</v>
      </c>
      <c r="O1007" s="87">
        <v>2.262587</v>
      </c>
      <c r="P1007" s="87">
        <v>1.366248</v>
      </c>
      <c r="Q1007" s="87">
        <v>1.493212</v>
      </c>
    </row>
    <row r="1008">
      <c r="A1008" s="84" t="s">
        <v>644</v>
      </c>
      <c r="B1008" s="194"/>
      <c r="C1008" s="84" t="s">
        <v>669</v>
      </c>
      <c r="D1008" s="88" t="s">
        <v>1396</v>
      </c>
      <c r="E1008" s="84" t="s">
        <v>3683</v>
      </c>
      <c r="F1008" s="84" t="s">
        <v>670</v>
      </c>
      <c r="G1008" s="84" t="s">
        <v>3789</v>
      </c>
      <c r="H1008" s="84" t="s">
        <v>3521</v>
      </c>
      <c r="I1008" s="84" t="s">
        <v>3684</v>
      </c>
      <c r="J1008" s="85"/>
      <c r="K1008" s="91"/>
      <c r="L1008" s="87">
        <v>30.0</v>
      </c>
      <c r="M1008" s="87">
        <v>11.0</v>
      </c>
      <c r="N1008" s="87">
        <v>1.226984</v>
      </c>
      <c r="O1008" s="87">
        <v>13.38894</v>
      </c>
      <c r="P1008" s="87">
        <v>16.06909</v>
      </c>
      <c r="Q1008" s="87">
        <v>14.09887</v>
      </c>
    </row>
    <row r="1009">
      <c r="A1009" s="84" t="s">
        <v>393</v>
      </c>
      <c r="B1009" s="194"/>
      <c r="C1009" s="84" t="s">
        <v>413</v>
      </c>
      <c r="D1009" s="88" t="s">
        <v>1396</v>
      </c>
      <c r="E1009" s="84" t="s">
        <v>3683</v>
      </c>
      <c r="F1009" s="84" t="s">
        <v>352</v>
      </c>
      <c r="G1009" s="84" t="s">
        <v>3754</v>
      </c>
      <c r="H1009" s="84" t="s">
        <v>3521</v>
      </c>
      <c r="I1009" s="84" t="s">
        <v>3693</v>
      </c>
      <c r="J1009" s="85"/>
      <c r="K1009" s="91"/>
      <c r="L1009" s="87">
        <v>3.0</v>
      </c>
      <c r="M1009" s="87">
        <v>4.0</v>
      </c>
      <c r="N1009" s="87">
        <v>0.0</v>
      </c>
      <c r="O1009" s="87">
        <v>0.885531</v>
      </c>
      <c r="P1009" s="87">
        <v>0.781938</v>
      </c>
      <c r="Q1009" s="87">
        <v>0.874702</v>
      </c>
    </row>
    <row r="1010">
      <c r="A1010" s="84" t="s">
        <v>644</v>
      </c>
      <c r="B1010" s="194"/>
      <c r="C1010" s="84" t="s">
        <v>1165</v>
      </c>
      <c r="D1010" s="88" t="s">
        <v>1396</v>
      </c>
      <c r="E1010" s="84" t="s">
        <v>3683</v>
      </c>
      <c r="F1010" s="84" t="s">
        <v>1166</v>
      </c>
      <c r="G1010" s="84" t="s">
        <v>3564</v>
      </c>
      <c r="H1010" s="84" t="s">
        <v>3521</v>
      </c>
      <c r="I1010" s="84" t="s">
        <v>3684</v>
      </c>
      <c r="J1010" s="85"/>
      <c r="K1010" s="84" t="s">
        <v>111</v>
      </c>
      <c r="L1010" s="87">
        <v>864.0</v>
      </c>
      <c r="M1010" s="87">
        <v>0.0</v>
      </c>
      <c r="N1010" s="87">
        <v>0.314379</v>
      </c>
      <c r="O1010" s="87">
        <v>0.2</v>
      </c>
      <c r="P1010" s="87">
        <v>0.114379</v>
      </c>
      <c r="Q1010" s="87">
        <v>0.228758</v>
      </c>
    </row>
    <row r="1011">
      <c r="A1011" s="84" t="s">
        <v>644</v>
      </c>
      <c r="B1011" s="194"/>
      <c r="C1011" s="84" t="s">
        <v>1230</v>
      </c>
      <c r="D1011" s="88" t="s">
        <v>1396</v>
      </c>
      <c r="E1011" s="84" t="s">
        <v>3683</v>
      </c>
      <c r="F1011" s="84" t="s">
        <v>1224</v>
      </c>
      <c r="G1011" s="84" t="s">
        <v>3551</v>
      </c>
      <c r="H1011" s="84" t="s">
        <v>3521</v>
      </c>
      <c r="I1011" s="84" t="s">
        <v>3684</v>
      </c>
      <c r="J1011" s="91"/>
      <c r="K1011" s="84" t="s">
        <v>111</v>
      </c>
      <c r="L1011" s="87">
        <v>336.0</v>
      </c>
      <c r="M1011" s="87">
        <v>0.0</v>
      </c>
      <c r="N1011" s="87">
        <v>0.083333</v>
      </c>
      <c r="O1011" s="87">
        <v>0.0</v>
      </c>
      <c r="P1011" s="87">
        <v>0.083333</v>
      </c>
      <c r="Q1011" s="87">
        <v>0.060606</v>
      </c>
    </row>
    <row r="1012">
      <c r="A1012" s="84" t="s">
        <v>301</v>
      </c>
      <c r="B1012" s="194"/>
      <c r="C1012" s="84" t="s">
        <v>311</v>
      </c>
      <c r="D1012" s="88" t="s">
        <v>1396</v>
      </c>
      <c r="E1012" s="84" t="s">
        <v>3683</v>
      </c>
      <c r="F1012" s="84" t="s">
        <v>300</v>
      </c>
      <c r="G1012" s="84" t="s">
        <v>3703</v>
      </c>
      <c r="H1012" s="84" t="s">
        <v>3521</v>
      </c>
      <c r="I1012" s="84" t="s">
        <v>3684</v>
      </c>
      <c r="J1012" s="84" t="s">
        <v>130</v>
      </c>
      <c r="K1012" s="91"/>
      <c r="L1012" s="87">
        <v>192.0</v>
      </c>
      <c r="M1012" s="87">
        <v>0.0</v>
      </c>
      <c r="N1012" s="87">
        <v>0.5</v>
      </c>
      <c r="O1012" s="87">
        <v>0.071429</v>
      </c>
      <c r="P1012" s="87">
        <v>0.033333</v>
      </c>
      <c r="Q1012" s="87">
        <v>0.533333</v>
      </c>
    </row>
    <row r="1013">
      <c r="A1013" s="84" t="s">
        <v>139</v>
      </c>
      <c r="B1013" s="194"/>
      <c r="C1013" s="84" t="s">
        <v>154</v>
      </c>
      <c r="D1013" s="88" t="s">
        <v>1396</v>
      </c>
      <c r="E1013" s="91"/>
      <c r="F1013" s="84" t="s">
        <v>144</v>
      </c>
      <c r="G1013" s="84" t="s">
        <v>3700</v>
      </c>
      <c r="I1013" s="84" t="s">
        <v>3684</v>
      </c>
      <c r="J1013" s="84" t="s">
        <v>130</v>
      </c>
      <c r="K1013" s="91"/>
      <c r="L1013" s="87">
        <v>480.0</v>
      </c>
      <c r="M1013" s="87">
        <v>0.0</v>
      </c>
      <c r="N1013" s="87">
        <v>0.0</v>
      </c>
      <c r="O1013" s="87">
        <v>0.0</v>
      </c>
      <c r="P1013" s="87">
        <v>0.0</v>
      </c>
      <c r="Q1013" s="87">
        <v>0.0</v>
      </c>
    </row>
    <row r="1014">
      <c r="A1014" s="84" t="s">
        <v>439</v>
      </c>
      <c r="B1014" s="194"/>
      <c r="C1014" s="84" t="s">
        <v>1335</v>
      </c>
      <c r="D1014" s="88" t="s">
        <v>1396</v>
      </c>
      <c r="E1014" s="84" t="s">
        <v>3687</v>
      </c>
      <c r="F1014" s="84" t="s">
        <v>4208</v>
      </c>
      <c r="G1014" s="84" t="s">
        <v>3576</v>
      </c>
      <c r="I1014" s="84" t="s">
        <v>3684</v>
      </c>
      <c r="J1014" s="85"/>
      <c r="K1014" s="91"/>
      <c r="L1014" s="87">
        <v>480.0</v>
      </c>
      <c r="M1014" s="87">
        <v>0.0</v>
      </c>
      <c r="N1014" s="87">
        <v>0.0</v>
      </c>
      <c r="O1014" s="87">
        <v>0.0</v>
      </c>
      <c r="P1014" s="87">
        <v>0.0</v>
      </c>
      <c r="Q1014" s="87">
        <v>0.0</v>
      </c>
    </row>
    <row r="1015">
      <c r="A1015" s="84" t="s">
        <v>616</v>
      </c>
      <c r="B1015" s="194"/>
      <c r="C1015" s="84" t="s">
        <v>1074</v>
      </c>
      <c r="D1015" s="88" t="s">
        <v>1396</v>
      </c>
      <c r="E1015" s="84" t="s">
        <v>3683</v>
      </c>
      <c r="F1015" s="84" t="s">
        <v>1075</v>
      </c>
      <c r="G1015" s="84" t="s">
        <v>3542</v>
      </c>
      <c r="H1015" s="84" t="s">
        <v>3521</v>
      </c>
      <c r="I1015" s="84" t="s">
        <v>3684</v>
      </c>
      <c r="J1015" s="85"/>
      <c r="K1015" s="85"/>
      <c r="L1015" s="87">
        <v>48.0</v>
      </c>
      <c r="M1015" s="87">
        <v>0.0</v>
      </c>
      <c r="N1015" s="87">
        <v>0.0</v>
      </c>
      <c r="O1015" s="87">
        <v>0.214286</v>
      </c>
      <c r="P1015" s="87">
        <v>0.41694</v>
      </c>
      <c r="Q1015" s="87">
        <v>0.368737</v>
      </c>
    </row>
    <row r="1016">
      <c r="A1016" s="84" t="s">
        <v>444</v>
      </c>
      <c r="B1016" s="194"/>
      <c r="C1016" s="84" t="s">
        <v>4127</v>
      </c>
      <c r="D1016" s="88" t="s">
        <v>1396</v>
      </c>
      <c r="E1016" s="84" t="s">
        <v>3687</v>
      </c>
      <c r="F1016" s="84" t="s">
        <v>3877</v>
      </c>
      <c r="G1016" s="84" t="s">
        <v>3878</v>
      </c>
      <c r="H1016" s="84" t="s">
        <v>3521</v>
      </c>
      <c r="I1016" s="84" t="s">
        <v>3684</v>
      </c>
      <c r="J1016" s="85"/>
      <c r="K1016" s="84" t="s">
        <v>111</v>
      </c>
      <c r="L1016" s="87">
        <v>96.0</v>
      </c>
      <c r="M1016" s="87">
        <v>0.0</v>
      </c>
      <c r="N1016" s="87">
        <v>0.142857</v>
      </c>
      <c r="O1016" s="87">
        <v>0.0</v>
      </c>
      <c r="P1016" s="87">
        <v>1.110256</v>
      </c>
      <c r="Q1016" s="87">
        <v>0.34243</v>
      </c>
    </row>
    <row r="1017">
      <c r="A1017" s="84" t="s">
        <v>180</v>
      </c>
      <c r="B1017" s="194"/>
      <c r="C1017" s="84" t="s">
        <v>1323</v>
      </c>
      <c r="D1017" s="88" t="s">
        <v>1396</v>
      </c>
      <c r="E1017" s="84" t="s">
        <v>3683</v>
      </c>
      <c r="F1017" s="84" t="s">
        <v>830</v>
      </c>
      <c r="G1017" s="84" t="s">
        <v>3549</v>
      </c>
      <c r="H1017" s="84" t="s">
        <v>3507</v>
      </c>
      <c r="I1017" s="84" t="s">
        <v>3684</v>
      </c>
      <c r="J1017" s="85"/>
      <c r="K1017" s="84" t="s">
        <v>111</v>
      </c>
      <c r="L1017" s="87">
        <v>384.0</v>
      </c>
      <c r="M1017" s="87">
        <v>0.0</v>
      </c>
      <c r="N1017" s="87">
        <v>1.587127</v>
      </c>
      <c r="O1017" s="87">
        <v>1.326923</v>
      </c>
      <c r="P1017" s="87">
        <v>1.35283</v>
      </c>
      <c r="Q1017" s="87">
        <v>1.539122</v>
      </c>
    </row>
    <row r="1018">
      <c r="A1018" s="84" t="s">
        <v>616</v>
      </c>
      <c r="B1018" s="194"/>
      <c r="C1018" s="84" t="s">
        <v>1086</v>
      </c>
      <c r="D1018" s="88" t="s">
        <v>1396</v>
      </c>
      <c r="E1018" s="84" t="s">
        <v>3683</v>
      </c>
      <c r="F1018" s="84" t="s">
        <v>1075</v>
      </c>
      <c r="G1018" s="84" t="s">
        <v>3542</v>
      </c>
      <c r="H1018" s="84" t="s">
        <v>3521</v>
      </c>
      <c r="I1018" s="84" t="s">
        <v>3684</v>
      </c>
      <c r="J1018" s="85"/>
      <c r="K1018" s="84" t="s">
        <v>111</v>
      </c>
      <c r="L1018" s="87">
        <v>480.0</v>
      </c>
      <c r="M1018" s="87">
        <v>0.0</v>
      </c>
      <c r="N1018" s="87">
        <v>0.0</v>
      </c>
      <c r="O1018" s="87">
        <v>0.0</v>
      </c>
      <c r="P1018" s="87">
        <v>0.0</v>
      </c>
      <c r="Q1018" s="87">
        <v>0.0</v>
      </c>
    </row>
    <row r="1019">
      <c r="A1019" s="84" t="s">
        <v>363</v>
      </c>
      <c r="B1019" s="194"/>
      <c r="C1019" s="84" t="s">
        <v>388</v>
      </c>
      <c r="D1019" s="88" t="s">
        <v>1396</v>
      </c>
      <c r="E1019" s="84" t="s">
        <v>3683</v>
      </c>
      <c r="F1019" s="84" t="s">
        <v>382</v>
      </c>
      <c r="G1019" s="84" t="s">
        <v>3991</v>
      </c>
      <c r="H1019" s="84" t="s">
        <v>3527</v>
      </c>
      <c r="I1019" s="84" t="s">
        <v>3709</v>
      </c>
      <c r="J1019" s="84" t="s">
        <v>130</v>
      </c>
      <c r="K1019" s="91"/>
      <c r="L1019" s="87">
        <v>768.0</v>
      </c>
      <c r="M1019" s="87">
        <v>0.0</v>
      </c>
      <c r="N1019" s="87">
        <v>6.545639</v>
      </c>
      <c r="O1019" s="87">
        <v>0.0</v>
      </c>
      <c r="P1019" s="87">
        <v>8.770102</v>
      </c>
      <c r="Q1019" s="87">
        <v>6.465789</v>
      </c>
    </row>
    <row r="1020">
      <c r="A1020" s="84" t="s">
        <v>231</v>
      </c>
      <c r="B1020" s="193"/>
      <c r="C1020" s="84" t="s">
        <v>242</v>
      </c>
      <c r="D1020" s="88" t="s">
        <v>1396</v>
      </c>
      <c r="E1020" s="91"/>
      <c r="F1020" s="84" t="s">
        <v>238</v>
      </c>
      <c r="G1020" s="84" t="s">
        <v>4209</v>
      </c>
      <c r="I1020" s="84" t="s">
        <v>3709</v>
      </c>
      <c r="J1020" s="91"/>
      <c r="K1020" s="85"/>
      <c r="L1020" s="87">
        <v>456.0</v>
      </c>
      <c r="M1020" s="87">
        <v>0.0</v>
      </c>
      <c r="N1020" s="87">
        <v>0.0</v>
      </c>
      <c r="O1020" s="87">
        <v>0.0</v>
      </c>
      <c r="P1020" s="87">
        <v>0.0</v>
      </c>
      <c r="Q1020" s="87">
        <v>0.0</v>
      </c>
    </row>
    <row r="1021">
      <c r="A1021" s="84" t="s">
        <v>180</v>
      </c>
      <c r="B1021" s="194"/>
      <c r="C1021" s="84" t="s">
        <v>819</v>
      </c>
      <c r="D1021" s="88" t="s">
        <v>1396</v>
      </c>
      <c r="E1021" s="84" t="s">
        <v>3683</v>
      </c>
      <c r="F1021" s="84" t="s">
        <v>814</v>
      </c>
      <c r="G1021" s="84" t="s">
        <v>3533</v>
      </c>
      <c r="H1021" s="84" t="s">
        <v>3521</v>
      </c>
      <c r="I1021" s="84" t="s">
        <v>3684</v>
      </c>
      <c r="J1021" s="85"/>
      <c r="K1021" s="91"/>
      <c r="L1021" s="87">
        <v>48.0</v>
      </c>
      <c r="M1021" s="87">
        <v>0.0</v>
      </c>
      <c r="N1021" s="87">
        <v>0.0</v>
      </c>
      <c r="O1021" s="87">
        <v>0.959041</v>
      </c>
      <c r="P1021" s="87">
        <v>0.95644</v>
      </c>
      <c r="Q1021" s="87">
        <v>0.719727</v>
      </c>
    </row>
    <row r="1022">
      <c r="A1022" s="84" t="s">
        <v>472</v>
      </c>
      <c r="B1022" s="194"/>
      <c r="C1022" s="84" t="s">
        <v>1030</v>
      </c>
      <c r="D1022" s="88" t="s">
        <v>1396</v>
      </c>
      <c r="E1022" s="84" t="s">
        <v>3683</v>
      </c>
      <c r="F1022" s="91"/>
      <c r="G1022" s="84" t="s">
        <v>3587</v>
      </c>
      <c r="I1022" s="84" t="s">
        <v>3684</v>
      </c>
      <c r="J1022" s="91"/>
      <c r="K1022" s="91"/>
      <c r="L1022" s="87">
        <v>120.0</v>
      </c>
      <c r="M1022" s="87">
        <v>0.0</v>
      </c>
      <c r="N1022" s="87">
        <v>0.0</v>
      </c>
      <c r="O1022" s="87">
        <v>0.0</v>
      </c>
      <c r="P1022" s="87">
        <v>0.0</v>
      </c>
      <c r="Q1022" s="87">
        <v>0.0</v>
      </c>
    </row>
    <row r="1023">
      <c r="A1023" s="84" t="s">
        <v>472</v>
      </c>
      <c r="B1023" s="194"/>
      <c r="C1023" s="84" t="s">
        <v>979</v>
      </c>
      <c r="D1023" s="88" t="s">
        <v>1396</v>
      </c>
      <c r="E1023" s="84" t="s">
        <v>3683</v>
      </c>
      <c r="F1023" s="84" t="s">
        <v>980</v>
      </c>
      <c r="G1023" s="84" t="s">
        <v>3556</v>
      </c>
      <c r="H1023" s="84" t="s">
        <v>3521</v>
      </c>
      <c r="I1023" s="84" t="s">
        <v>3684</v>
      </c>
      <c r="J1023" s="85"/>
      <c r="K1023" s="84" t="s">
        <v>111</v>
      </c>
      <c r="L1023" s="87">
        <v>432.0</v>
      </c>
      <c r="M1023" s="87">
        <v>0.0</v>
      </c>
      <c r="N1023" s="87">
        <v>0.0</v>
      </c>
      <c r="O1023" s="87">
        <v>0.0</v>
      </c>
      <c r="P1023" s="87">
        <v>0.0</v>
      </c>
      <c r="Q1023" s="87">
        <v>0.0</v>
      </c>
    </row>
    <row r="1024">
      <c r="A1024" s="84" t="s">
        <v>573</v>
      </c>
      <c r="B1024" s="194"/>
      <c r="C1024" s="84" t="s">
        <v>1058</v>
      </c>
      <c r="D1024" s="88" t="s">
        <v>1396</v>
      </c>
      <c r="E1024" s="84" t="s">
        <v>3683</v>
      </c>
      <c r="F1024" s="84" t="s">
        <v>581</v>
      </c>
      <c r="G1024" s="84" t="s">
        <v>3594</v>
      </c>
      <c r="H1024" s="84" t="s">
        <v>3527</v>
      </c>
      <c r="I1024" s="84" t="s">
        <v>3709</v>
      </c>
      <c r="J1024" s="84" t="s">
        <v>130</v>
      </c>
      <c r="K1024" s="91"/>
      <c r="L1024" s="87">
        <v>96.0</v>
      </c>
      <c r="M1024" s="87">
        <v>0.0</v>
      </c>
      <c r="N1024" s="87">
        <v>0.284799</v>
      </c>
      <c r="O1024" s="87">
        <v>0.2</v>
      </c>
      <c r="P1024" s="87">
        <v>0.328277</v>
      </c>
      <c r="Q1024" s="87">
        <v>0.209359</v>
      </c>
    </row>
    <row r="1025">
      <c r="A1025" s="84" t="s">
        <v>481</v>
      </c>
      <c r="B1025" s="194"/>
      <c r="C1025" s="84" t="s">
        <v>519</v>
      </c>
      <c r="D1025" s="88" t="s">
        <v>1396</v>
      </c>
      <c r="E1025" s="84" t="s">
        <v>3683</v>
      </c>
      <c r="F1025" s="84" t="s">
        <v>516</v>
      </c>
      <c r="G1025" s="84" t="s">
        <v>3593</v>
      </c>
      <c r="H1025" s="84" t="s">
        <v>3521</v>
      </c>
      <c r="I1025" s="84" t="s">
        <v>3684</v>
      </c>
      <c r="J1025" s="91"/>
      <c r="K1025" s="85"/>
      <c r="L1025" s="87">
        <v>48.0</v>
      </c>
      <c r="M1025" s="87">
        <v>0.0</v>
      </c>
      <c r="N1025" s="87">
        <v>0.430769</v>
      </c>
      <c r="O1025" s="87">
        <v>0.930769</v>
      </c>
      <c r="P1025" s="87">
        <v>0.536782</v>
      </c>
      <c r="Q1025" s="87">
        <v>0.484971</v>
      </c>
    </row>
    <row r="1026">
      <c r="A1026" s="84" t="s">
        <v>644</v>
      </c>
      <c r="B1026" s="194"/>
      <c r="C1026" s="84" t="s">
        <v>685</v>
      </c>
      <c r="D1026" s="88" t="s">
        <v>1396</v>
      </c>
      <c r="E1026" s="84" t="s">
        <v>3687</v>
      </c>
      <c r="F1026" s="84" t="s">
        <v>686</v>
      </c>
      <c r="G1026" s="84" t="s">
        <v>3607</v>
      </c>
      <c r="I1026" s="84" t="s">
        <v>3684</v>
      </c>
      <c r="J1026" s="91"/>
      <c r="K1026" s="91"/>
      <c r="L1026" s="87">
        <v>552.0</v>
      </c>
      <c r="M1026" s="87">
        <v>0.0</v>
      </c>
      <c r="N1026" s="87">
        <v>0.0</v>
      </c>
      <c r="O1026" s="87">
        <v>0.0</v>
      </c>
      <c r="P1026" s="87">
        <v>0.0</v>
      </c>
      <c r="Q1026" s="87">
        <v>0.0</v>
      </c>
    </row>
    <row r="1027">
      <c r="A1027" s="84" t="s">
        <v>616</v>
      </c>
      <c r="B1027" s="194"/>
      <c r="C1027" s="84" t="s">
        <v>1084</v>
      </c>
      <c r="D1027" s="88" t="s">
        <v>1396</v>
      </c>
      <c r="E1027" s="84" t="s">
        <v>3683</v>
      </c>
      <c r="F1027" s="84" t="s">
        <v>794</v>
      </c>
      <c r="G1027" s="84" t="s">
        <v>3522</v>
      </c>
      <c r="H1027" s="84" t="s">
        <v>3521</v>
      </c>
      <c r="I1027" s="84" t="s">
        <v>3684</v>
      </c>
      <c r="J1027" s="84" t="s">
        <v>130</v>
      </c>
      <c r="K1027" s="91"/>
      <c r="L1027" s="87">
        <v>24.0</v>
      </c>
      <c r="M1027" s="87">
        <v>0.0</v>
      </c>
      <c r="N1027" s="87">
        <v>0.0</v>
      </c>
      <c r="O1027" s="87">
        <v>0.0</v>
      </c>
      <c r="P1027" s="87">
        <v>0.0</v>
      </c>
      <c r="Q1027" s="87">
        <v>0.0</v>
      </c>
    </row>
    <row r="1028">
      <c r="A1028" s="84" t="s">
        <v>601</v>
      </c>
      <c r="B1028" s="194"/>
      <c r="C1028" s="84" t="s">
        <v>1059</v>
      </c>
      <c r="D1028" s="88" t="s">
        <v>1396</v>
      </c>
      <c r="E1028" s="91"/>
      <c r="F1028" s="84" t="s">
        <v>898</v>
      </c>
      <c r="G1028" s="84" t="s">
        <v>3560</v>
      </c>
      <c r="I1028" s="84" t="s">
        <v>3684</v>
      </c>
      <c r="J1028" s="91"/>
      <c r="K1028" s="85"/>
      <c r="L1028" s="87">
        <v>24.0</v>
      </c>
      <c r="M1028" s="87">
        <v>0.0</v>
      </c>
      <c r="N1028" s="87">
        <v>0.0</v>
      </c>
      <c r="O1028" s="87">
        <v>0.0</v>
      </c>
      <c r="P1028" s="87">
        <v>0.0</v>
      </c>
      <c r="Q1028" s="87">
        <v>0.0</v>
      </c>
    </row>
    <row r="1029">
      <c r="A1029" s="84" t="s">
        <v>258</v>
      </c>
      <c r="B1029" s="194"/>
      <c r="C1029" s="84" t="s">
        <v>256</v>
      </c>
      <c r="D1029" s="88" t="s">
        <v>1396</v>
      </c>
      <c r="E1029" s="84" t="s">
        <v>3687</v>
      </c>
      <c r="F1029" s="84" t="s">
        <v>257</v>
      </c>
      <c r="G1029" s="84" t="s">
        <v>3916</v>
      </c>
      <c r="H1029" s="84" t="s">
        <v>3521</v>
      </c>
      <c r="I1029" s="84" t="s">
        <v>3684</v>
      </c>
      <c r="J1029" s="84" t="s">
        <v>130</v>
      </c>
      <c r="K1029" s="91"/>
      <c r="L1029" s="87">
        <v>48.0</v>
      </c>
      <c r="M1029" s="87">
        <v>0.0</v>
      </c>
      <c r="N1029" s="87">
        <v>0.0</v>
      </c>
      <c r="O1029" s="87">
        <v>0.0</v>
      </c>
      <c r="P1029" s="87">
        <v>0.0</v>
      </c>
      <c r="Q1029" s="87">
        <v>0.0</v>
      </c>
    </row>
    <row r="1030">
      <c r="A1030" s="84" t="s">
        <v>644</v>
      </c>
      <c r="B1030" s="194"/>
      <c r="C1030" s="84" t="s">
        <v>668</v>
      </c>
      <c r="D1030" s="88" t="s">
        <v>1396</v>
      </c>
      <c r="E1030" s="84" t="s">
        <v>3683</v>
      </c>
      <c r="F1030" s="84" t="s">
        <v>658</v>
      </c>
      <c r="G1030" s="84" t="s">
        <v>3801</v>
      </c>
      <c r="H1030" s="84" t="s">
        <v>3521</v>
      </c>
      <c r="I1030" s="84" t="s">
        <v>3684</v>
      </c>
      <c r="J1030" s="84" t="s">
        <v>130</v>
      </c>
      <c r="K1030" s="84" t="s">
        <v>111</v>
      </c>
      <c r="L1030" s="87">
        <v>24.0</v>
      </c>
      <c r="M1030" s="87">
        <v>0.0</v>
      </c>
      <c r="N1030" s="87">
        <v>0.0</v>
      </c>
      <c r="O1030" s="87">
        <v>0.0</v>
      </c>
      <c r="P1030" s="87">
        <v>0.0</v>
      </c>
      <c r="Q1030" s="87">
        <v>0.0</v>
      </c>
    </row>
    <row r="1031">
      <c r="A1031" s="84" t="s">
        <v>644</v>
      </c>
      <c r="B1031" s="194"/>
      <c r="C1031" s="84" t="s">
        <v>1218</v>
      </c>
      <c r="D1031" s="88" t="s">
        <v>1396</v>
      </c>
      <c r="E1031" s="84" t="s">
        <v>3683</v>
      </c>
      <c r="F1031" s="84" t="s">
        <v>850</v>
      </c>
      <c r="G1031" s="84" t="s">
        <v>3551</v>
      </c>
      <c r="H1031" s="84" t="s">
        <v>3521</v>
      </c>
      <c r="I1031" s="84" t="s">
        <v>3684</v>
      </c>
      <c r="J1031" s="84" t="s">
        <v>130</v>
      </c>
      <c r="K1031" s="91"/>
      <c r="L1031" s="87">
        <v>24.0</v>
      </c>
      <c r="M1031" s="87">
        <v>0.0</v>
      </c>
      <c r="N1031" s="87">
        <v>0.0</v>
      </c>
      <c r="O1031" s="87">
        <v>0.0</v>
      </c>
      <c r="P1031" s="87">
        <v>0.0</v>
      </c>
      <c r="Q1031" s="87">
        <v>0.0</v>
      </c>
    </row>
    <row r="1032">
      <c r="A1032" s="84" t="s">
        <v>630</v>
      </c>
      <c r="B1032" s="194"/>
      <c r="C1032" s="84" t="s">
        <v>1276</v>
      </c>
      <c r="D1032" s="88" t="s">
        <v>1396</v>
      </c>
      <c r="E1032" s="84" t="s">
        <v>3683</v>
      </c>
      <c r="F1032" s="84" t="s">
        <v>1108</v>
      </c>
      <c r="G1032" s="84" t="s">
        <v>3554</v>
      </c>
      <c r="H1032" s="84" t="s">
        <v>3521</v>
      </c>
      <c r="I1032" s="84" t="s">
        <v>3684</v>
      </c>
      <c r="J1032" s="84" t="s">
        <v>130</v>
      </c>
      <c r="K1032" s="91"/>
      <c r="L1032" s="87">
        <v>24.0</v>
      </c>
      <c r="M1032" s="87">
        <v>0.0</v>
      </c>
      <c r="N1032" s="87">
        <v>0.0</v>
      </c>
      <c r="O1032" s="87">
        <v>0.0</v>
      </c>
      <c r="P1032" s="87">
        <v>0.0</v>
      </c>
      <c r="Q1032" s="87">
        <v>0.0</v>
      </c>
    </row>
    <row r="1033">
      <c r="A1033" s="84" t="s">
        <v>644</v>
      </c>
      <c r="B1033" s="194"/>
      <c r="C1033" s="84" t="s">
        <v>688</v>
      </c>
      <c r="D1033" s="88" t="s">
        <v>1396</v>
      </c>
      <c r="E1033" s="84" t="s">
        <v>3687</v>
      </c>
      <c r="F1033" s="84" t="s">
        <v>686</v>
      </c>
      <c r="G1033" s="84" t="s">
        <v>3607</v>
      </c>
      <c r="H1033" s="84" t="s">
        <v>3521</v>
      </c>
      <c r="I1033" s="84" t="s">
        <v>3684</v>
      </c>
      <c r="J1033" s="84" t="s">
        <v>215</v>
      </c>
      <c r="L1033" s="87">
        <v>144.0</v>
      </c>
      <c r="M1033" s="87">
        <v>2.0</v>
      </c>
      <c r="N1033" s="87">
        <v>0.288961</v>
      </c>
      <c r="O1033" s="87">
        <v>0.646104</v>
      </c>
      <c r="P1033" s="87">
        <v>0.527778</v>
      </c>
      <c r="Q1033" s="87">
        <v>0.316849</v>
      </c>
    </row>
    <row r="1034">
      <c r="A1034" s="84" t="s">
        <v>745</v>
      </c>
      <c r="B1034" s="194"/>
      <c r="C1034" s="84" t="s">
        <v>743</v>
      </c>
      <c r="D1034" s="88" t="s">
        <v>1396</v>
      </c>
      <c r="E1034" s="84" t="s">
        <v>3683</v>
      </c>
      <c r="F1034" s="84" t="s">
        <v>744</v>
      </c>
      <c r="G1034" s="84" t="s">
        <v>3841</v>
      </c>
      <c r="H1034" s="84" t="s">
        <v>3521</v>
      </c>
      <c r="I1034" s="84" t="s">
        <v>3684</v>
      </c>
      <c r="J1034" s="85"/>
      <c r="K1034" s="85"/>
      <c r="L1034" s="87">
        <v>464.0</v>
      </c>
      <c r="M1034" s="87">
        <v>2.0</v>
      </c>
      <c r="N1034" s="87">
        <v>0.0</v>
      </c>
      <c r="O1034" s="87">
        <v>5.591209</v>
      </c>
      <c r="P1034" s="87">
        <v>5.230008</v>
      </c>
      <c r="Q1034" s="87">
        <v>5.549906</v>
      </c>
    </row>
    <row r="1035">
      <c r="A1035" s="84" t="s">
        <v>444</v>
      </c>
      <c r="B1035" s="194"/>
      <c r="C1035" s="84" t="s">
        <v>958</v>
      </c>
      <c r="D1035" s="88" t="s">
        <v>1396</v>
      </c>
      <c r="E1035" s="84" t="s">
        <v>3683</v>
      </c>
      <c r="F1035" s="84" t="s">
        <v>959</v>
      </c>
      <c r="G1035" s="84" t="s">
        <v>3579</v>
      </c>
      <c r="I1035" s="84" t="s">
        <v>3684</v>
      </c>
      <c r="J1035" s="85"/>
      <c r="K1035" s="91"/>
      <c r="L1035" s="87">
        <v>552.0</v>
      </c>
      <c r="M1035" s="87">
        <v>0.0</v>
      </c>
      <c r="N1035" s="87">
        <v>0.0</v>
      </c>
      <c r="O1035" s="87">
        <v>0.0</v>
      </c>
      <c r="P1035" s="87">
        <v>0.0</v>
      </c>
      <c r="Q1035" s="87">
        <v>0.0</v>
      </c>
    </row>
    <row r="1036">
      <c r="A1036" s="84" t="s">
        <v>644</v>
      </c>
      <c r="B1036" s="194"/>
      <c r="C1036" s="84" t="s">
        <v>1234</v>
      </c>
      <c r="D1036" s="88" t="s">
        <v>1396</v>
      </c>
      <c r="E1036" s="84" t="s">
        <v>3683</v>
      </c>
      <c r="F1036" s="84" t="s">
        <v>1232</v>
      </c>
      <c r="G1036" s="84" t="s">
        <v>3607</v>
      </c>
      <c r="H1036" s="84" t="s">
        <v>3521</v>
      </c>
      <c r="I1036" s="84" t="s">
        <v>3684</v>
      </c>
      <c r="J1036" s="84" t="s">
        <v>215</v>
      </c>
      <c r="L1036" s="87">
        <v>96.0</v>
      </c>
      <c r="M1036" s="87">
        <v>0.0</v>
      </c>
      <c r="N1036" s="87">
        <v>0.25</v>
      </c>
      <c r="O1036" s="87">
        <v>0.25</v>
      </c>
      <c r="P1036" s="87">
        <v>0.116667</v>
      </c>
      <c r="Q1036" s="87">
        <v>0.083411</v>
      </c>
    </row>
    <row r="1037">
      <c r="A1037" s="84" t="s">
        <v>644</v>
      </c>
      <c r="B1037" s="194"/>
      <c r="C1037" s="84" t="s">
        <v>681</v>
      </c>
      <c r="D1037" s="88" t="s">
        <v>1396</v>
      </c>
      <c r="E1037" s="84" t="s">
        <v>3683</v>
      </c>
      <c r="F1037" s="84" t="s">
        <v>682</v>
      </c>
      <c r="G1037" s="84" t="s">
        <v>3563</v>
      </c>
      <c r="H1037" s="84" t="s">
        <v>3521</v>
      </c>
      <c r="I1037" s="84" t="s">
        <v>3684</v>
      </c>
      <c r="J1037" s="84" t="s">
        <v>215</v>
      </c>
      <c r="K1037" s="84" t="s">
        <v>111</v>
      </c>
      <c r="L1037" s="87">
        <v>48.0</v>
      </c>
      <c r="M1037" s="87">
        <v>0.0</v>
      </c>
      <c r="N1037" s="87">
        <v>0.088933</v>
      </c>
      <c r="O1037" s="87">
        <v>0.0</v>
      </c>
      <c r="P1037" s="87">
        <v>0.0</v>
      </c>
      <c r="Q1037" s="87">
        <v>0.088933</v>
      </c>
    </row>
    <row r="1038">
      <c r="A1038" s="84" t="s">
        <v>357</v>
      </c>
      <c r="B1038" s="194"/>
      <c r="C1038" s="84" t="s">
        <v>918</v>
      </c>
      <c r="D1038" s="88" t="s">
        <v>1396</v>
      </c>
      <c r="E1038" s="84" t="s">
        <v>3683</v>
      </c>
      <c r="F1038" s="84" t="s">
        <v>919</v>
      </c>
      <c r="G1038" s="84" t="s">
        <v>3739</v>
      </c>
      <c r="H1038" s="84" t="s">
        <v>3740</v>
      </c>
      <c r="I1038" s="84" t="s">
        <v>3709</v>
      </c>
      <c r="J1038" s="84" t="s">
        <v>130</v>
      </c>
      <c r="K1038" s="84" t="s">
        <v>111</v>
      </c>
      <c r="L1038" s="87">
        <v>864.0</v>
      </c>
      <c r="M1038" s="87">
        <v>0.0</v>
      </c>
      <c r="N1038" s="87">
        <v>0.0</v>
      </c>
      <c r="O1038" s="87">
        <v>0.0</v>
      </c>
      <c r="P1038" s="87">
        <v>0.0</v>
      </c>
      <c r="Q1038" s="87">
        <v>0.0</v>
      </c>
    </row>
    <row r="1039">
      <c r="A1039" s="84" t="s">
        <v>439</v>
      </c>
      <c r="B1039" s="193"/>
      <c r="C1039" s="84" t="s">
        <v>1290</v>
      </c>
      <c r="D1039" s="88" t="s">
        <v>1396</v>
      </c>
      <c r="E1039" s="84" t="s">
        <v>3683</v>
      </c>
      <c r="F1039" s="84" t="s">
        <v>4210</v>
      </c>
      <c r="G1039" s="84" t="s">
        <v>4211</v>
      </c>
      <c r="H1039" s="84" t="s">
        <v>3527</v>
      </c>
      <c r="I1039" s="84" t="s">
        <v>3709</v>
      </c>
      <c r="J1039" s="84" t="s">
        <v>130</v>
      </c>
      <c r="K1039" s="84" t="s">
        <v>111</v>
      </c>
      <c r="L1039" s="87">
        <v>816.0</v>
      </c>
      <c r="M1039" s="87">
        <v>0.0</v>
      </c>
      <c r="N1039" s="87">
        <v>0.0</v>
      </c>
      <c r="O1039" s="87">
        <v>0.0</v>
      </c>
      <c r="P1039" s="87">
        <v>0.0</v>
      </c>
      <c r="Q1039" s="87">
        <v>0.0</v>
      </c>
    </row>
    <row r="1040">
      <c r="A1040" s="84" t="s">
        <v>630</v>
      </c>
      <c r="B1040" s="194"/>
      <c r="C1040" s="84" t="s">
        <v>1110</v>
      </c>
      <c r="D1040" s="88" t="s">
        <v>1396</v>
      </c>
      <c r="E1040" s="84" t="s">
        <v>3683</v>
      </c>
      <c r="F1040" s="84" t="s">
        <v>1108</v>
      </c>
      <c r="G1040" s="84" t="s">
        <v>3554</v>
      </c>
      <c r="H1040" s="84" t="s">
        <v>3521</v>
      </c>
      <c r="I1040" s="84" t="s">
        <v>3684</v>
      </c>
      <c r="J1040" s="84" t="s">
        <v>130</v>
      </c>
      <c r="K1040" s="85"/>
      <c r="L1040" s="87">
        <v>24.0</v>
      </c>
      <c r="M1040" s="87">
        <v>0.0</v>
      </c>
      <c r="N1040" s="87">
        <v>0.0</v>
      </c>
      <c r="O1040" s="87">
        <v>0.0</v>
      </c>
      <c r="P1040" s="87">
        <v>0.0</v>
      </c>
      <c r="Q1040" s="87">
        <v>0.0</v>
      </c>
    </row>
    <row r="1041">
      <c r="A1041" s="84" t="s">
        <v>616</v>
      </c>
      <c r="B1041" s="194"/>
      <c r="C1041" s="84" t="s">
        <v>1083</v>
      </c>
      <c r="D1041" s="88" t="s">
        <v>1396</v>
      </c>
      <c r="E1041" s="84" t="s">
        <v>3683</v>
      </c>
      <c r="F1041" s="84" t="s">
        <v>1075</v>
      </c>
      <c r="G1041" s="84" t="s">
        <v>3542</v>
      </c>
      <c r="H1041" s="84" t="s">
        <v>3521</v>
      </c>
      <c r="I1041" s="84" t="s">
        <v>3684</v>
      </c>
      <c r="J1041" s="84" t="s">
        <v>130</v>
      </c>
      <c r="K1041" s="85"/>
      <c r="L1041" s="87">
        <v>24.0</v>
      </c>
      <c r="M1041" s="87">
        <v>0.0</v>
      </c>
      <c r="N1041" s="87">
        <v>0.0</v>
      </c>
      <c r="O1041" s="87">
        <v>0.0</v>
      </c>
      <c r="P1041" s="87">
        <v>0.0</v>
      </c>
      <c r="Q1041" s="87">
        <v>0.0</v>
      </c>
    </row>
    <row r="1042">
      <c r="A1042" s="84" t="s">
        <v>458</v>
      </c>
      <c r="B1042" s="194"/>
      <c r="C1042" s="84" t="s">
        <v>978</v>
      </c>
      <c r="D1042" s="88" t="s">
        <v>1396</v>
      </c>
      <c r="E1042" s="84" t="s">
        <v>3683</v>
      </c>
      <c r="F1042" s="84" t="s">
        <v>973</v>
      </c>
      <c r="G1042" s="84" t="s">
        <v>3582</v>
      </c>
      <c r="H1042" s="84" t="s">
        <v>3521</v>
      </c>
      <c r="I1042" s="84" t="s">
        <v>3684</v>
      </c>
      <c r="J1042" s="91"/>
      <c r="K1042" s="84" t="s">
        <v>111</v>
      </c>
      <c r="L1042" s="87">
        <v>816.0</v>
      </c>
      <c r="M1042" s="87">
        <v>0.0</v>
      </c>
      <c r="N1042" s="87">
        <v>0.444444</v>
      </c>
      <c r="O1042" s="87">
        <v>0.222222</v>
      </c>
      <c r="P1042" s="87">
        <v>0.08</v>
      </c>
      <c r="Q1042" s="87">
        <v>0.263889</v>
      </c>
    </row>
    <row r="1043">
      <c r="A1043" s="84" t="s">
        <v>1130</v>
      </c>
      <c r="B1043" s="194"/>
      <c r="C1043" s="84" t="s">
        <v>1144</v>
      </c>
      <c r="D1043" s="88" t="s">
        <v>1396</v>
      </c>
      <c r="E1043" s="84" t="s">
        <v>3683</v>
      </c>
      <c r="F1043" s="84" t="s">
        <v>1142</v>
      </c>
      <c r="G1043" s="84" t="s">
        <v>3605</v>
      </c>
      <c r="H1043" s="84" t="s">
        <v>3521</v>
      </c>
      <c r="I1043" s="84" t="s">
        <v>3684</v>
      </c>
      <c r="J1043" s="84" t="s">
        <v>130</v>
      </c>
      <c r="K1043" s="84" t="s">
        <v>111</v>
      </c>
      <c r="L1043" s="87">
        <v>312.0</v>
      </c>
      <c r="M1043" s="87">
        <v>0.0</v>
      </c>
      <c r="N1043" s="87">
        <v>3.161905</v>
      </c>
      <c r="O1043" s="87">
        <v>0.0</v>
      </c>
      <c r="P1043" s="87">
        <v>0.0</v>
      </c>
      <c r="Q1043" s="87">
        <v>3.161905</v>
      </c>
    </row>
    <row r="1044">
      <c r="A1044" s="84" t="s">
        <v>644</v>
      </c>
      <c r="B1044" s="194"/>
      <c r="C1044" s="84" t="s">
        <v>1266</v>
      </c>
      <c r="D1044" s="88" t="s">
        <v>1396</v>
      </c>
      <c r="E1044" s="84" t="s">
        <v>3683</v>
      </c>
      <c r="F1044" s="84" t="s">
        <v>682</v>
      </c>
      <c r="G1044" s="84" t="s">
        <v>3563</v>
      </c>
      <c r="H1044" s="84" t="s">
        <v>3521</v>
      </c>
      <c r="I1044" s="84" t="s">
        <v>3684</v>
      </c>
      <c r="J1044" s="84" t="s">
        <v>130</v>
      </c>
      <c r="K1044" s="91"/>
      <c r="L1044" s="87">
        <v>24.0</v>
      </c>
      <c r="M1044" s="87">
        <v>0.0</v>
      </c>
      <c r="N1044" s="87">
        <v>0.0</v>
      </c>
      <c r="O1044" s="87">
        <v>0.0</v>
      </c>
      <c r="P1044" s="87">
        <v>0.0</v>
      </c>
      <c r="Q1044" s="87">
        <v>0.0</v>
      </c>
    </row>
    <row r="1045">
      <c r="A1045" s="84" t="s">
        <v>644</v>
      </c>
      <c r="B1045" s="194"/>
      <c r="C1045" s="84" t="s">
        <v>711</v>
      </c>
      <c r="D1045" s="88" t="s">
        <v>1396</v>
      </c>
      <c r="E1045" s="84" t="s">
        <v>3683</v>
      </c>
      <c r="F1045" s="84" t="s">
        <v>708</v>
      </c>
      <c r="G1045" s="84" t="s">
        <v>3607</v>
      </c>
      <c r="H1045" s="84" t="s">
        <v>3521</v>
      </c>
      <c r="I1045" s="84" t="s">
        <v>3684</v>
      </c>
      <c r="J1045" s="84" t="s">
        <v>130</v>
      </c>
      <c r="K1045" s="85"/>
      <c r="L1045" s="87">
        <v>24.0</v>
      </c>
      <c r="M1045" s="87">
        <v>0.0</v>
      </c>
      <c r="N1045" s="87">
        <v>0.0</v>
      </c>
      <c r="O1045" s="87">
        <v>0.0</v>
      </c>
      <c r="P1045" s="87">
        <v>0.0</v>
      </c>
      <c r="Q1045" s="87">
        <v>0.0</v>
      </c>
    </row>
    <row r="1046">
      <c r="A1046" s="84" t="s">
        <v>213</v>
      </c>
      <c r="B1046" s="194"/>
      <c r="C1046" s="84" t="s">
        <v>849</v>
      </c>
      <c r="D1046" s="88" t="s">
        <v>1396</v>
      </c>
      <c r="E1046" s="84" t="s">
        <v>3683</v>
      </c>
      <c r="F1046" s="84" t="s">
        <v>850</v>
      </c>
      <c r="G1046" s="84" t="s">
        <v>3551</v>
      </c>
      <c r="H1046" s="84" t="s">
        <v>3521</v>
      </c>
      <c r="I1046" s="84" t="s">
        <v>3684</v>
      </c>
      <c r="J1046" s="84" t="s">
        <v>130</v>
      </c>
      <c r="K1046" s="85"/>
      <c r="L1046" s="87">
        <v>24.0</v>
      </c>
      <c r="M1046" s="87">
        <v>0.0</v>
      </c>
      <c r="N1046" s="87">
        <v>0.0</v>
      </c>
      <c r="O1046" s="87">
        <v>0.0</v>
      </c>
      <c r="P1046" s="87">
        <v>0.0</v>
      </c>
      <c r="Q1046" s="87">
        <v>0.0</v>
      </c>
    </row>
    <row r="1047">
      <c r="A1047" s="84" t="s">
        <v>630</v>
      </c>
      <c r="B1047" s="194"/>
      <c r="C1047" s="84" t="s">
        <v>1112</v>
      </c>
      <c r="D1047" s="88" t="s">
        <v>1396</v>
      </c>
      <c r="E1047" s="84" t="s">
        <v>3683</v>
      </c>
      <c r="F1047" s="84" t="s">
        <v>1113</v>
      </c>
      <c r="G1047" s="84" t="s">
        <v>3554</v>
      </c>
      <c r="H1047" s="84" t="s">
        <v>3521</v>
      </c>
      <c r="I1047" s="84" t="s">
        <v>3684</v>
      </c>
      <c r="J1047" s="84" t="s">
        <v>130</v>
      </c>
      <c r="K1047" s="91"/>
      <c r="L1047" s="87">
        <v>24.0</v>
      </c>
      <c r="M1047" s="87">
        <v>0.0</v>
      </c>
      <c r="N1047" s="87">
        <v>0.0</v>
      </c>
      <c r="O1047" s="87">
        <v>0.0</v>
      </c>
      <c r="P1047" s="87">
        <v>0.0</v>
      </c>
      <c r="Q1047" s="87">
        <v>0.0</v>
      </c>
    </row>
    <row r="1048">
      <c r="A1048" s="84" t="s">
        <v>458</v>
      </c>
      <c r="B1048" s="194"/>
      <c r="C1048" s="84" t="s">
        <v>978</v>
      </c>
      <c r="D1048" s="88" t="s">
        <v>1396</v>
      </c>
      <c r="E1048" s="84" t="s">
        <v>3683</v>
      </c>
      <c r="F1048" s="84" t="s">
        <v>973</v>
      </c>
      <c r="G1048" s="84" t="s">
        <v>3582</v>
      </c>
      <c r="H1048" s="84" t="s">
        <v>3521</v>
      </c>
      <c r="I1048" s="84" t="s">
        <v>3684</v>
      </c>
      <c r="J1048" s="84" t="s">
        <v>130</v>
      </c>
      <c r="K1048" s="84" t="s">
        <v>111</v>
      </c>
      <c r="L1048" s="87">
        <v>24.0</v>
      </c>
      <c r="M1048" s="87">
        <v>0.0</v>
      </c>
      <c r="N1048" s="87">
        <v>0.0</v>
      </c>
      <c r="O1048" s="87">
        <v>0.0</v>
      </c>
      <c r="P1048" s="87">
        <v>0.0</v>
      </c>
      <c r="Q1048" s="87">
        <v>0.0</v>
      </c>
    </row>
    <row r="1049">
      <c r="A1049" s="84" t="s">
        <v>644</v>
      </c>
      <c r="B1049" s="194"/>
      <c r="C1049" s="84" t="s">
        <v>669</v>
      </c>
      <c r="D1049" s="88" t="s">
        <v>1396</v>
      </c>
      <c r="E1049" s="84" t="s">
        <v>3683</v>
      </c>
      <c r="F1049" s="84" t="s">
        <v>670</v>
      </c>
      <c r="G1049" s="84" t="s">
        <v>3789</v>
      </c>
      <c r="H1049" s="84" t="s">
        <v>3521</v>
      </c>
      <c r="I1049" s="84" t="s">
        <v>3684</v>
      </c>
      <c r="J1049" s="84" t="s">
        <v>130</v>
      </c>
      <c r="K1049" s="91"/>
      <c r="L1049" s="87">
        <v>24.0</v>
      </c>
      <c r="M1049" s="87">
        <v>0.0</v>
      </c>
      <c r="N1049" s="87">
        <v>0.0</v>
      </c>
      <c r="O1049" s="87">
        <v>0.0</v>
      </c>
      <c r="P1049" s="87">
        <v>0.0</v>
      </c>
      <c r="Q1049" s="87">
        <v>0.0</v>
      </c>
    </row>
    <row r="1050">
      <c r="A1050" s="84" t="s">
        <v>601</v>
      </c>
      <c r="B1050" s="194"/>
      <c r="C1050" s="84" t="s">
        <v>607</v>
      </c>
      <c r="D1050" s="88" t="s">
        <v>1396</v>
      </c>
      <c r="E1050" s="91"/>
      <c r="F1050" s="84" t="s">
        <v>608</v>
      </c>
      <c r="G1050" s="84" t="s">
        <v>3853</v>
      </c>
      <c r="I1050" s="84" t="s">
        <v>3684</v>
      </c>
      <c r="J1050" s="91"/>
      <c r="K1050" s="91"/>
      <c r="L1050" s="87">
        <v>480.0</v>
      </c>
      <c r="M1050" s="87">
        <v>0.0</v>
      </c>
      <c r="N1050" s="87">
        <v>0.0</v>
      </c>
      <c r="O1050" s="87">
        <v>0.0</v>
      </c>
      <c r="P1050" s="87">
        <v>0.0</v>
      </c>
      <c r="Q1050" s="87">
        <v>0.0</v>
      </c>
    </row>
    <row r="1051">
      <c r="A1051" s="84" t="s">
        <v>573</v>
      </c>
      <c r="B1051" s="194"/>
      <c r="C1051" s="84" t="s">
        <v>596</v>
      </c>
      <c r="D1051" s="88" t="s">
        <v>1396</v>
      </c>
      <c r="E1051" s="84" t="s">
        <v>3683</v>
      </c>
      <c r="F1051" s="84" t="s">
        <v>595</v>
      </c>
      <c r="G1051" s="84" t="s">
        <v>3560</v>
      </c>
      <c r="H1051" s="84" t="s">
        <v>3521</v>
      </c>
      <c r="I1051" s="84" t="s">
        <v>3709</v>
      </c>
      <c r="J1051" s="91"/>
      <c r="K1051" s="84" t="s">
        <v>111</v>
      </c>
      <c r="L1051" s="87">
        <v>504.0</v>
      </c>
      <c r="M1051" s="87">
        <v>0.0</v>
      </c>
      <c r="N1051" s="87">
        <v>0.0</v>
      </c>
      <c r="O1051" s="87">
        <v>0.0</v>
      </c>
      <c r="P1051" s="87">
        <v>0.0</v>
      </c>
      <c r="Q1051" s="87">
        <v>0.0</v>
      </c>
    </row>
    <row r="1052">
      <c r="A1052" s="84" t="s">
        <v>644</v>
      </c>
      <c r="B1052" s="194"/>
      <c r="C1052" s="84" t="s">
        <v>1353</v>
      </c>
      <c r="D1052" s="88" t="s">
        <v>1396</v>
      </c>
      <c r="E1052" s="84" t="s">
        <v>3683</v>
      </c>
      <c r="F1052" s="84" t="s">
        <v>706</v>
      </c>
      <c r="G1052" s="84" t="s">
        <v>3547</v>
      </c>
      <c r="H1052" s="84" t="s">
        <v>3521</v>
      </c>
      <c r="I1052" s="84" t="s">
        <v>3684</v>
      </c>
      <c r="J1052" s="91"/>
      <c r="K1052" s="84" t="s">
        <v>111</v>
      </c>
      <c r="L1052" s="87">
        <v>552.0</v>
      </c>
      <c r="M1052" s="87">
        <v>0.0</v>
      </c>
      <c r="N1052" s="87">
        <v>2.190909</v>
      </c>
      <c r="O1052" s="87">
        <v>0.583333</v>
      </c>
      <c r="P1052" s="87">
        <v>0.190909</v>
      </c>
      <c r="Q1052" s="87">
        <v>2.190909</v>
      </c>
    </row>
    <row r="1053">
      <c r="A1053" s="84" t="s">
        <v>644</v>
      </c>
      <c r="B1053" s="194"/>
      <c r="C1053" s="84" t="s">
        <v>673</v>
      </c>
      <c r="D1053" s="88" t="s">
        <v>1396</v>
      </c>
      <c r="E1053" s="84" t="s">
        <v>3683</v>
      </c>
      <c r="F1053" s="84" t="s">
        <v>670</v>
      </c>
      <c r="G1053" s="84" t="s">
        <v>3789</v>
      </c>
      <c r="I1053" s="84" t="s">
        <v>3684</v>
      </c>
      <c r="J1053" s="91"/>
      <c r="K1053" s="84" t="s">
        <v>111</v>
      </c>
      <c r="L1053" s="87">
        <v>552.0</v>
      </c>
      <c r="M1053" s="87">
        <v>0.0</v>
      </c>
      <c r="N1053" s="87">
        <v>0.0</v>
      </c>
      <c r="O1053" s="87">
        <v>0.0</v>
      </c>
      <c r="P1053" s="87">
        <v>0.0</v>
      </c>
      <c r="Q1053" s="87">
        <v>0.0</v>
      </c>
    </row>
    <row r="1054">
      <c r="A1054" s="84" t="s">
        <v>644</v>
      </c>
      <c r="B1054" s="194"/>
      <c r="C1054" s="84" t="s">
        <v>684</v>
      </c>
      <c r="D1054" s="88" t="s">
        <v>1396</v>
      </c>
      <c r="E1054" s="91"/>
      <c r="F1054" s="84" t="s">
        <v>682</v>
      </c>
      <c r="G1054" s="84" t="s">
        <v>3563</v>
      </c>
      <c r="I1054" s="84" t="s">
        <v>3684</v>
      </c>
      <c r="J1054" s="84" t="s">
        <v>130</v>
      </c>
      <c r="K1054" s="84" t="s">
        <v>111</v>
      </c>
      <c r="L1054" s="87">
        <v>480.0</v>
      </c>
      <c r="M1054" s="87">
        <v>0.0</v>
      </c>
      <c r="N1054" s="87">
        <v>0.0</v>
      </c>
      <c r="O1054" s="87">
        <v>0.0</v>
      </c>
      <c r="P1054" s="87">
        <v>0.0</v>
      </c>
      <c r="Q1054" s="87">
        <v>0.0</v>
      </c>
    </row>
    <row r="1055">
      <c r="A1055" s="84" t="s">
        <v>180</v>
      </c>
      <c r="B1055" s="194"/>
      <c r="C1055" s="84" t="s">
        <v>819</v>
      </c>
      <c r="D1055" s="88" t="s">
        <v>1396</v>
      </c>
      <c r="E1055" s="91"/>
      <c r="F1055" s="84" t="s">
        <v>814</v>
      </c>
      <c r="G1055" s="84" t="s">
        <v>3533</v>
      </c>
      <c r="I1055" s="84" t="s">
        <v>3684</v>
      </c>
      <c r="J1055" s="91"/>
      <c r="K1055" s="85"/>
      <c r="L1055" s="87">
        <v>456.0</v>
      </c>
      <c r="M1055" s="87">
        <v>0.0</v>
      </c>
      <c r="N1055" s="87">
        <v>0.0</v>
      </c>
      <c r="O1055" s="87">
        <v>0.0</v>
      </c>
      <c r="P1055" s="87">
        <v>0.0</v>
      </c>
      <c r="Q1055" s="87">
        <v>0.0</v>
      </c>
    </row>
    <row r="1056">
      <c r="A1056" s="84" t="s">
        <v>795</v>
      </c>
      <c r="B1056" s="194"/>
      <c r="C1056" s="84" t="s">
        <v>798</v>
      </c>
      <c r="D1056" s="88" t="s">
        <v>1396</v>
      </c>
      <c r="E1056" s="84" t="s">
        <v>3683</v>
      </c>
      <c r="F1056" s="84" t="s">
        <v>794</v>
      </c>
      <c r="G1056" s="84" t="s">
        <v>3522</v>
      </c>
      <c r="H1056" s="84" t="s">
        <v>3521</v>
      </c>
      <c r="I1056" s="84" t="s">
        <v>3684</v>
      </c>
      <c r="J1056" s="84" t="s">
        <v>130</v>
      </c>
      <c r="K1056" s="91"/>
      <c r="L1056" s="87">
        <v>24.0</v>
      </c>
      <c r="M1056" s="87">
        <v>0.0</v>
      </c>
      <c r="N1056" s="87">
        <v>0.0</v>
      </c>
      <c r="O1056" s="87">
        <v>0.0</v>
      </c>
      <c r="P1056" s="87">
        <v>0.0</v>
      </c>
      <c r="Q1056" s="87">
        <v>0.0</v>
      </c>
    </row>
    <row r="1057">
      <c r="A1057" s="84" t="s">
        <v>644</v>
      </c>
      <c r="B1057" s="194"/>
      <c r="C1057" s="84" t="s">
        <v>712</v>
      </c>
      <c r="D1057" s="88" t="s">
        <v>1396</v>
      </c>
      <c r="E1057" s="91"/>
      <c r="F1057" s="84" t="s">
        <v>708</v>
      </c>
      <c r="G1057" s="84" t="s">
        <v>3607</v>
      </c>
      <c r="I1057" s="84" t="s">
        <v>3684</v>
      </c>
      <c r="J1057" s="91"/>
      <c r="K1057" s="84" t="s">
        <v>111</v>
      </c>
      <c r="L1057" s="87">
        <v>552.0</v>
      </c>
      <c r="M1057" s="87">
        <v>0.0</v>
      </c>
      <c r="N1057" s="87">
        <v>0.0</v>
      </c>
      <c r="O1057" s="87">
        <v>0.0</v>
      </c>
      <c r="P1057" s="87">
        <v>0.0</v>
      </c>
      <c r="Q1057" s="87">
        <v>0.0</v>
      </c>
    </row>
    <row r="1058">
      <c r="A1058" s="84" t="s">
        <v>630</v>
      </c>
      <c r="B1058" s="194"/>
      <c r="C1058" s="84" t="s">
        <v>636</v>
      </c>
      <c r="D1058" s="88" t="s">
        <v>1396</v>
      </c>
      <c r="E1058" s="84" t="s">
        <v>3683</v>
      </c>
      <c r="F1058" s="84" t="s">
        <v>629</v>
      </c>
      <c r="G1058" s="84" t="s">
        <v>3766</v>
      </c>
      <c r="H1058" s="84" t="s">
        <v>3521</v>
      </c>
      <c r="I1058" s="84" t="s">
        <v>3684</v>
      </c>
      <c r="J1058" s="91"/>
      <c r="K1058" s="85"/>
      <c r="L1058" s="87">
        <v>24.0</v>
      </c>
      <c r="M1058" s="87">
        <v>2.0</v>
      </c>
      <c r="N1058" s="87">
        <v>0.0</v>
      </c>
      <c r="O1058" s="87">
        <v>2.928571</v>
      </c>
      <c r="P1058" s="87">
        <v>3.529657</v>
      </c>
      <c r="Q1058" s="87">
        <v>3.056424</v>
      </c>
    </row>
    <row r="1059">
      <c r="A1059" s="84" t="s">
        <v>644</v>
      </c>
      <c r="B1059" s="194"/>
      <c r="C1059" s="84" t="s">
        <v>724</v>
      </c>
      <c r="D1059" s="88" t="s">
        <v>1396</v>
      </c>
      <c r="E1059" s="84" t="s">
        <v>3687</v>
      </c>
      <c r="F1059" s="84" t="s">
        <v>708</v>
      </c>
      <c r="G1059" s="84" t="s">
        <v>3607</v>
      </c>
      <c r="H1059" s="84" t="s">
        <v>3521</v>
      </c>
      <c r="I1059" s="84" t="s">
        <v>3684</v>
      </c>
      <c r="J1059" s="84" t="s">
        <v>215</v>
      </c>
      <c r="L1059" s="87">
        <v>648.0</v>
      </c>
      <c r="M1059" s="87">
        <v>0.0</v>
      </c>
      <c r="N1059" s="87">
        <v>0.788141</v>
      </c>
      <c r="O1059" s="87">
        <v>0.0</v>
      </c>
      <c r="P1059" s="87">
        <v>0.142857</v>
      </c>
      <c r="Q1059" s="87">
        <v>0.788141</v>
      </c>
    </row>
    <row r="1060">
      <c r="A1060" s="84" t="s">
        <v>644</v>
      </c>
      <c r="B1060" s="194"/>
      <c r="C1060" s="84" t="s">
        <v>1272</v>
      </c>
      <c r="D1060" s="88" t="s">
        <v>1396</v>
      </c>
      <c r="E1060" s="84" t="s">
        <v>3683</v>
      </c>
      <c r="F1060" s="84" t="s">
        <v>1273</v>
      </c>
      <c r="G1060" s="84" t="s">
        <v>3602</v>
      </c>
      <c r="H1060" s="84" t="s">
        <v>3521</v>
      </c>
      <c r="I1060" s="84" t="s">
        <v>3684</v>
      </c>
      <c r="J1060" s="91"/>
      <c r="K1060" s="84" t="s">
        <v>111</v>
      </c>
      <c r="L1060" s="87">
        <v>648.0</v>
      </c>
      <c r="M1060" s="87">
        <v>0.0</v>
      </c>
      <c r="N1060" s="87">
        <v>0.0</v>
      </c>
      <c r="O1060" s="87">
        <v>0.0</v>
      </c>
      <c r="P1060" s="87">
        <v>0.0</v>
      </c>
      <c r="Q1060" s="87">
        <v>0.0</v>
      </c>
    </row>
    <row r="1061">
      <c r="A1061" s="84" t="s">
        <v>139</v>
      </c>
      <c r="B1061" s="194"/>
      <c r="C1061" s="84" t="s">
        <v>780</v>
      </c>
      <c r="D1061" s="88" t="s">
        <v>1396</v>
      </c>
      <c r="E1061" s="84" t="s">
        <v>3687</v>
      </c>
      <c r="F1061" s="84" t="s">
        <v>542</v>
      </c>
      <c r="G1061" s="84" t="s">
        <v>3514</v>
      </c>
      <c r="H1061" s="84" t="s">
        <v>3513</v>
      </c>
      <c r="I1061" s="84" t="s">
        <v>3684</v>
      </c>
      <c r="J1061" s="91"/>
      <c r="K1061" s="91"/>
      <c r="L1061" s="87">
        <v>202.0</v>
      </c>
      <c r="M1061" s="87">
        <v>71.0</v>
      </c>
      <c r="N1061" s="87">
        <v>8.937507</v>
      </c>
      <c r="O1061" s="87">
        <v>50.03894</v>
      </c>
      <c r="P1061" s="87">
        <v>43.50008</v>
      </c>
      <c r="Q1061" s="87">
        <v>41.58471</v>
      </c>
    </row>
    <row r="1062">
      <c r="A1062" s="84" t="s">
        <v>644</v>
      </c>
      <c r="B1062" s="194"/>
      <c r="C1062" s="84" t="s">
        <v>1193</v>
      </c>
      <c r="D1062" s="88" t="s">
        <v>1396</v>
      </c>
      <c r="E1062" s="84" t="s">
        <v>3683</v>
      </c>
      <c r="F1062" s="84" t="s">
        <v>1194</v>
      </c>
      <c r="G1062" s="84" t="s">
        <v>3600</v>
      </c>
      <c r="I1062" s="84" t="s">
        <v>3684</v>
      </c>
      <c r="J1062" s="84" t="s">
        <v>215</v>
      </c>
      <c r="L1062" s="87">
        <v>480.0</v>
      </c>
      <c r="M1062" s="87">
        <v>0.0</v>
      </c>
      <c r="N1062" s="87">
        <v>0.0</v>
      </c>
      <c r="O1062" s="87">
        <v>0.0</v>
      </c>
      <c r="P1062" s="87">
        <v>0.0</v>
      </c>
      <c r="Q1062" s="87">
        <v>0.0</v>
      </c>
    </row>
    <row r="1063">
      <c r="A1063" s="84" t="s">
        <v>439</v>
      </c>
      <c r="B1063" s="193"/>
      <c r="C1063" s="84" t="s">
        <v>438</v>
      </c>
      <c r="D1063" s="88" t="s">
        <v>1396</v>
      </c>
      <c r="E1063" s="84" t="s">
        <v>3687</v>
      </c>
      <c r="F1063" s="84" t="s">
        <v>938</v>
      </c>
      <c r="G1063" s="84" t="s">
        <v>4107</v>
      </c>
      <c r="H1063" s="84" t="s">
        <v>3527</v>
      </c>
      <c r="I1063" s="84" t="s">
        <v>3709</v>
      </c>
      <c r="J1063" s="84" t="s">
        <v>130</v>
      </c>
      <c r="K1063" s="85"/>
      <c r="L1063" s="87">
        <v>96.0</v>
      </c>
      <c r="M1063" s="87">
        <v>0.0</v>
      </c>
      <c r="N1063" s="87">
        <v>0.0</v>
      </c>
      <c r="O1063" s="87">
        <v>0.0</v>
      </c>
      <c r="P1063" s="87">
        <v>0.0</v>
      </c>
      <c r="Q1063" s="87">
        <v>0.0</v>
      </c>
    </row>
    <row r="1064">
      <c r="A1064" s="84" t="s">
        <v>180</v>
      </c>
      <c r="B1064" s="194"/>
      <c r="C1064" s="84" t="s">
        <v>821</v>
      </c>
      <c r="D1064" s="88" t="s">
        <v>1396</v>
      </c>
      <c r="E1064" s="84" t="s">
        <v>3683</v>
      </c>
      <c r="F1064" s="84" t="s">
        <v>814</v>
      </c>
      <c r="G1064" s="84" t="s">
        <v>3533</v>
      </c>
      <c r="H1064" s="84" t="s">
        <v>3521</v>
      </c>
      <c r="I1064" s="84" t="s">
        <v>3684</v>
      </c>
      <c r="J1064" s="84" t="s">
        <v>130</v>
      </c>
      <c r="K1064" s="91"/>
      <c r="L1064" s="87">
        <v>24.0</v>
      </c>
      <c r="M1064" s="87">
        <v>0.0</v>
      </c>
      <c r="N1064" s="87">
        <v>0.0</v>
      </c>
      <c r="O1064" s="87">
        <v>0.0</v>
      </c>
      <c r="P1064" s="87">
        <v>0.066667</v>
      </c>
      <c r="Q1064" s="87">
        <v>0.050847</v>
      </c>
    </row>
    <row r="1065">
      <c r="A1065" s="84" t="s">
        <v>180</v>
      </c>
      <c r="B1065" s="194"/>
      <c r="C1065" s="84" t="s">
        <v>833</v>
      </c>
      <c r="D1065" s="88" t="s">
        <v>1396</v>
      </c>
      <c r="E1065" s="84" t="s">
        <v>3683</v>
      </c>
      <c r="F1065" s="84" t="s">
        <v>830</v>
      </c>
      <c r="G1065" s="84" t="s">
        <v>3549</v>
      </c>
      <c r="H1065" s="84" t="s">
        <v>3507</v>
      </c>
      <c r="I1065" s="84" t="s">
        <v>3684</v>
      </c>
      <c r="J1065" s="84" t="s">
        <v>130</v>
      </c>
      <c r="K1065" s="84" t="s">
        <v>111</v>
      </c>
      <c r="L1065" s="87">
        <v>24.0</v>
      </c>
      <c r="M1065" s="87">
        <v>0.0</v>
      </c>
      <c r="N1065" s="87">
        <v>0.0</v>
      </c>
      <c r="O1065" s="87">
        <v>0.0</v>
      </c>
      <c r="P1065" s="87">
        <v>0.0</v>
      </c>
      <c r="Q1065" s="87">
        <v>0.0</v>
      </c>
    </row>
    <row r="1066">
      <c r="A1066" s="84" t="s">
        <v>393</v>
      </c>
      <c r="B1066" s="194"/>
      <c r="C1066" s="84" t="s">
        <v>401</v>
      </c>
      <c r="D1066" s="88" t="s">
        <v>1396</v>
      </c>
      <c r="E1066" s="84" t="s">
        <v>3683</v>
      </c>
      <c r="F1066" s="84" t="s">
        <v>402</v>
      </c>
      <c r="G1066" s="84" t="s">
        <v>3698</v>
      </c>
      <c r="H1066" s="84" t="s">
        <v>3521</v>
      </c>
      <c r="I1066" s="84" t="s">
        <v>3693</v>
      </c>
      <c r="J1066" s="91"/>
      <c r="K1066" s="91"/>
      <c r="L1066" s="87">
        <v>8.0</v>
      </c>
      <c r="M1066" s="87">
        <v>0.0</v>
      </c>
      <c r="N1066" s="87">
        <v>0.0</v>
      </c>
      <c r="O1066" s="87">
        <v>0.0</v>
      </c>
      <c r="P1066" s="87">
        <v>0.0</v>
      </c>
      <c r="Q1066" s="87">
        <v>0.0</v>
      </c>
    </row>
    <row r="1067">
      <c r="A1067" s="84" t="s">
        <v>213</v>
      </c>
      <c r="B1067" s="194"/>
      <c r="C1067" s="84" t="s">
        <v>854</v>
      </c>
      <c r="D1067" s="88" t="s">
        <v>1396</v>
      </c>
      <c r="E1067" s="84" t="s">
        <v>3683</v>
      </c>
      <c r="F1067" s="84" t="s">
        <v>850</v>
      </c>
      <c r="G1067" s="84" t="s">
        <v>3551</v>
      </c>
      <c r="H1067" s="84" t="s">
        <v>3521</v>
      </c>
      <c r="I1067" s="84" t="s">
        <v>3684</v>
      </c>
      <c r="J1067" s="84" t="s">
        <v>130</v>
      </c>
      <c r="K1067" s="91"/>
      <c r="L1067" s="87">
        <v>24.0</v>
      </c>
      <c r="M1067" s="87">
        <v>0.0</v>
      </c>
      <c r="N1067" s="87">
        <v>0.0</v>
      </c>
      <c r="O1067" s="87">
        <v>0.0</v>
      </c>
      <c r="P1067" s="87">
        <v>0.0</v>
      </c>
      <c r="Q1067" s="87">
        <v>0.0</v>
      </c>
    </row>
    <row r="1068">
      <c r="A1068" s="84" t="s">
        <v>139</v>
      </c>
      <c r="B1068" s="194"/>
      <c r="C1068" s="84" t="s">
        <v>176</v>
      </c>
      <c r="D1068" s="88" t="s">
        <v>1396</v>
      </c>
      <c r="E1068" s="84" t="s">
        <v>3683</v>
      </c>
      <c r="F1068" s="84" t="s">
        <v>144</v>
      </c>
      <c r="G1068" s="84" t="s">
        <v>3700</v>
      </c>
      <c r="I1068" s="84" t="s">
        <v>3684</v>
      </c>
      <c r="J1068" s="84" t="s">
        <v>130</v>
      </c>
      <c r="K1068" s="85"/>
      <c r="L1068" s="87">
        <v>48.0</v>
      </c>
      <c r="M1068" s="87">
        <v>0.0</v>
      </c>
      <c r="N1068" s="87">
        <v>0.333333</v>
      </c>
      <c r="O1068" s="87">
        <v>0.0</v>
      </c>
      <c r="P1068" s="87">
        <v>0.0</v>
      </c>
      <c r="Q1068" s="87">
        <v>0.333333</v>
      </c>
    </row>
    <row r="1069">
      <c r="A1069" s="84" t="s">
        <v>644</v>
      </c>
      <c r="B1069" s="194"/>
      <c r="C1069" s="84" t="s">
        <v>666</v>
      </c>
      <c r="D1069" s="88" t="s">
        <v>1396</v>
      </c>
      <c r="E1069" s="84" t="s">
        <v>3683</v>
      </c>
      <c r="F1069" s="84" t="s">
        <v>658</v>
      </c>
      <c r="G1069" s="84" t="s">
        <v>3801</v>
      </c>
      <c r="H1069" s="84" t="s">
        <v>3521</v>
      </c>
      <c r="I1069" s="84" t="s">
        <v>3684</v>
      </c>
      <c r="J1069" s="91"/>
      <c r="K1069" s="84" t="s">
        <v>111</v>
      </c>
      <c r="L1069" s="87">
        <v>720.0</v>
      </c>
      <c r="M1069" s="87">
        <v>0.0</v>
      </c>
      <c r="N1069" s="87">
        <v>0.0</v>
      </c>
      <c r="O1069" s="87">
        <v>0.0</v>
      </c>
      <c r="P1069" s="87">
        <v>0.04</v>
      </c>
      <c r="Q1069" s="87">
        <v>0.019608</v>
      </c>
    </row>
    <row r="1070">
      <c r="A1070" s="84" t="s">
        <v>644</v>
      </c>
      <c r="B1070" s="194"/>
      <c r="C1070" s="84" t="s">
        <v>1248</v>
      </c>
      <c r="D1070" s="88" t="s">
        <v>1396</v>
      </c>
      <c r="E1070" s="84" t="s">
        <v>3683</v>
      </c>
      <c r="F1070" s="84" t="s">
        <v>686</v>
      </c>
      <c r="G1070" s="84" t="s">
        <v>3607</v>
      </c>
      <c r="H1070" s="84" t="s">
        <v>3521</v>
      </c>
      <c r="I1070" s="84" t="s">
        <v>3684</v>
      </c>
      <c r="J1070" s="84" t="s">
        <v>215</v>
      </c>
      <c r="L1070" s="87">
        <v>216.0</v>
      </c>
      <c r="M1070" s="87">
        <v>1.0</v>
      </c>
      <c r="N1070" s="87">
        <v>0.566699</v>
      </c>
      <c r="O1070" s="87">
        <v>1.485714</v>
      </c>
      <c r="P1070" s="87">
        <v>0.750032</v>
      </c>
      <c r="Q1070" s="87">
        <v>0.526974</v>
      </c>
    </row>
    <row r="1071">
      <c r="A1071" s="84" t="s">
        <v>601</v>
      </c>
      <c r="B1071" s="194"/>
      <c r="C1071" s="84" t="s">
        <v>604</v>
      </c>
      <c r="D1071" s="88" t="s">
        <v>1396</v>
      </c>
      <c r="E1071" s="84" t="s">
        <v>3687</v>
      </c>
      <c r="F1071" s="84" t="s">
        <v>605</v>
      </c>
      <c r="G1071" s="84" t="s">
        <v>3874</v>
      </c>
      <c r="H1071" s="84" t="s">
        <v>3521</v>
      </c>
      <c r="I1071" s="84" t="s">
        <v>3684</v>
      </c>
      <c r="J1071" s="84" t="s">
        <v>130</v>
      </c>
      <c r="K1071" s="85"/>
      <c r="L1071" s="87">
        <v>600.0</v>
      </c>
      <c r="M1071" s="87">
        <v>0.0</v>
      </c>
      <c r="N1071" s="87">
        <v>1.669687</v>
      </c>
      <c r="O1071" s="87">
        <v>0.619048</v>
      </c>
      <c r="P1071" s="87">
        <v>2.184115</v>
      </c>
      <c r="Q1071" s="87">
        <v>1.823903</v>
      </c>
    </row>
    <row r="1072">
      <c r="A1072" s="84" t="s">
        <v>393</v>
      </c>
      <c r="B1072" s="194"/>
      <c r="C1072" s="84" t="s">
        <v>429</v>
      </c>
      <c r="D1072" s="88" t="s">
        <v>1396</v>
      </c>
      <c r="E1072" s="84" t="s">
        <v>3687</v>
      </c>
      <c r="F1072" s="84" t="s">
        <v>428</v>
      </c>
      <c r="G1072" s="84" t="s">
        <v>3568</v>
      </c>
      <c r="H1072" s="84" t="s">
        <v>3521</v>
      </c>
      <c r="I1072" s="84" t="s">
        <v>3693</v>
      </c>
      <c r="J1072" s="84" t="s">
        <v>130</v>
      </c>
      <c r="K1072" s="85"/>
      <c r="L1072" s="87">
        <v>632.0</v>
      </c>
      <c r="M1072" s="87">
        <v>0.0</v>
      </c>
      <c r="N1072" s="87">
        <v>3.208138</v>
      </c>
      <c r="O1072" s="87">
        <v>0.071429</v>
      </c>
      <c r="P1072" s="87">
        <v>0.2</v>
      </c>
      <c r="Q1072" s="87">
        <v>3.393771</v>
      </c>
    </row>
    <row r="1073">
      <c r="A1073" s="84" t="s">
        <v>644</v>
      </c>
      <c r="B1073" s="194"/>
      <c r="C1073" s="84" t="s">
        <v>664</v>
      </c>
      <c r="D1073" s="88" t="s">
        <v>1396</v>
      </c>
      <c r="E1073" s="84" t="s">
        <v>3683</v>
      </c>
      <c r="F1073" s="84" t="s">
        <v>658</v>
      </c>
      <c r="G1073" s="84" t="s">
        <v>3801</v>
      </c>
      <c r="I1073" s="84" t="s">
        <v>3684</v>
      </c>
      <c r="J1073" s="91"/>
      <c r="K1073" s="85"/>
      <c r="L1073" s="87">
        <v>552.0</v>
      </c>
      <c r="M1073" s="87">
        <v>0.0</v>
      </c>
      <c r="N1073" s="87">
        <v>0.0</v>
      </c>
      <c r="O1073" s="87">
        <v>0.0</v>
      </c>
      <c r="P1073" s="87">
        <v>0.0</v>
      </c>
      <c r="Q1073" s="87">
        <v>0.0</v>
      </c>
    </row>
    <row r="1074">
      <c r="A1074" s="84" t="s">
        <v>2609</v>
      </c>
      <c r="B1074" s="194"/>
      <c r="C1074" s="84" t="s">
        <v>1348</v>
      </c>
      <c r="D1074" s="88" t="s">
        <v>1396</v>
      </c>
      <c r="E1074" s="84" t="s">
        <v>3683</v>
      </c>
      <c r="F1074" s="84" t="s">
        <v>3720</v>
      </c>
      <c r="G1074" s="84" t="s">
        <v>3593</v>
      </c>
      <c r="I1074" s="84" t="s">
        <v>3684</v>
      </c>
      <c r="J1074" s="91"/>
      <c r="K1074" s="85"/>
      <c r="L1074" s="87">
        <v>552.0</v>
      </c>
      <c r="M1074" s="87">
        <v>0.0</v>
      </c>
      <c r="N1074" s="87">
        <v>0.0</v>
      </c>
      <c r="O1074" s="87">
        <v>0.0</v>
      </c>
      <c r="P1074" s="87">
        <v>0.0</v>
      </c>
      <c r="Q1074" s="87">
        <v>0.0</v>
      </c>
    </row>
    <row r="1075">
      <c r="A1075" s="84" t="s">
        <v>180</v>
      </c>
      <c r="B1075" s="194"/>
      <c r="C1075" s="84" t="s">
        <v>813</v>
      </c>
      <c r="D1075" s="88" t="s">
        <v>1396</v>
      </c>
      <c r="E1075" s="84" t="s">
        <v>3683</v>
      </c>
      <c r="F1075" s="84" t="s">
        <v>814</v>
      </c>
      <c r="G1075" s="84" t="s">
        <v>3533</v>
      </c>
      <c r="I1075" s="84" t="s">
        <v>3684</v>
      </c>
      <c r="J1075" s="91"/>
      <c r="K1075" s="85"/>
      <c r="L1075" s="87">
        <v>72.0</v>
      </c>
      <c r="M1075" s="87">
        <v>0.0</v>
      </c>
      <c r="N1075" s="87">
        <v>0.0</v>
      </c>
      <c r="O1075" s="87">
        <v>0.0</v>
      </c>
      <c r="P1075" s="87">
        <v>0.0</v>
      </c>
      <c r="Q1075" s="87">
        <v>0.0</v>
      </c>
    </row>
    <row r="1076">
      <c r="A1076" s="84" t="s">
        <v>1130</v>
      </c>
      <c r="B1076" s="194"/>
      <c r="C1076" s="84" t="s">
        <v>1156</v>
      </c>
      <c r="D1076" s="88" t="s">
        <v>1396</v>
      </c>
      <c r="E1076" s="84" t="s">
        <v>3683</v>
      </c>
      <c r="F1076" s="84" t="s">
        <v>1142</v>
      </c>
      <c r="G1076" s="84" t="s">
        <v>3605</v>
      </c>
      <c r="H1076" s="84" t="s">
        <v>3521</v>
      </c>
      <c r="I1076" s="84" t="s">
        <v>3684</v>
      </c>
      <c r="J1076" s="84" t="s">
        <v>130</v>
      </c>
      <c r="K1076" s="91"/>
      <c r="L1076" s="87">
        <v>72.0</v>
      </c>
      <c r="M1076" s="87">
        <v>0.0</v>
      </c>
      <c r="N1076" s="87">
        <v>1.316667</v>
      </c>
      <c r="O1076" s="87">
        <v>0.0</v>
      </c>
      <c r="P1076" s="87">
        <v>0.0</v>
      </c>
      <c r="Q1076" s="87">
        <v>1.905685</v>
      </c>
    </row>
    <row r="1077">
      <c r="A1077" s="84" t="s">
        <v>573</v>
      </c>
      <c r="B1077" s="194"/>
      <c r="C1077" s="84" t="s">
        <v>597</v>
      </c>
      <c r="D1077" s="88" t="s">
        <v>1396</v>
      </c>
      <c r="E1077" s="84" t="s">
        <v>3687</v>
      </c>
      <c r="F1077" s="84" t="s">
        <v>598</v>
      </c>
      <c r="G1077" s="84" t="s">
        <v>3606</v>
      </c>
      <c r="H1077" s="84" t="s">
        <v>3521</v>
      </c>
      <c r="I1077" s="84" t="s">
        <v>3709</v>
      </c>
      <c r="J1077" s="84" t="s">
        <v>130</v>
      </c>
      <c r="K1077" s="84" t="s">
        <v>111</v>
      </c>
      <c r="L1077" s="87">
        <v>768.0</v>
      </c>
      <c r="M1077" s="87">
        <v>0.0</v>
      </c>
      <c r="N1077" s="87">
        <v>0.519481</v>
      </c>
      <c r="O1077" s="87">
        <v>0.0</v>
      </c>
      <c r="P1077" s="87">
        <v>0.0</v>
      </c>
      <c r="Q1077" s="87">
        <v>0.519481</v>
      </c>
    </row>
    <row r="1078">
      <c r="A1078" s="84" t="s">
        <v>363</v>
      </c>
      <c r="B1078" s="194"/>
      <c r="C1078" s="84" t="s">
        <v>389</v>
      </c>
      <c r="D1078" s="88" t="s">
        <v>1396</v>
      </c>
      <c r="E1078" s="91"/>
      <c r="F1078" s="84" t="s">
        <v>382</v>
      </c>
      <c r="G1078" s="84" t="s">
        <v>3991</v>
      </c>
      <c r="I1078" s="84" t="s">
        <v>3709</v>
      </c>
      <c r="J1078" s="91"/>
      <c r="K1078" s="91"/>
      <c r="L1078" s="87">
        <v>456.0</v>
      </c>
      <c r="M1078" s="87">
        <v>0.0</v>
      </c>
      <c r="N1078" s="87">
        <v>0.0</v>
      </c>
      <c r="O1078" s="87">
        <v>0.0</v>
      </c>
      <c r="P1078" s="87">
        <v>0.0</v>
      </c>
      <c r="Q1078" s="87">
        <v>0.0</v>
      </c>
    </row>
    <row r="1079">
      <c r="A1079" s="84" t="s">
        <v>537</v>
      </c>
      <c r="B1079" s="194"/>
      <c r="C1079" s="84" t="s">
        <v>1049</v>
      </c>
      <c r="D1079" s="88" t="s">
        <v>1396</v>
      </c>
      <c r="E1079" s="84" t="s">
        <v>3683</v>
      </c>
      <c r="F1079" s="84" t="s">
        <v>1047</v>
      </c>
      <c r="G1079" s="84" t="s">
        <v>3592</v>
      </c>
      <c r="H1079" s="84" t="s">
        <v>3521</v>
      </c>
      <c r="I1079" s="84" t="s">
        <v>3693</v>
      </c>
      <c r="J1079" s="91"/>
      <c r="K1079" s="84" t="s">
        <v>111</v>
      </c>
      <c r="L1079" s="87">
        <v>432.0</v>
      </c>
      <c r="M1079" s="87">
        <v>0.0</v>
      </c>
      <c r="N1079" s="87">
        <v>0.0</v>
      </c>
      <c r="O1079" s="87">
        <v>0.0</v>
      </c>
      <c r="P1079" s="87">
        <v>0.033333</v>
      </c>
      <c r="Q1079" s="87">
        <v>0.037736</v>
      </c>
    </row>
    <row r="1080">
      <c r="A1080" s="84" t="s">
        <v>644</v>
      </c>
      <c r="B1080" s="194"/>
      <c r="C1080" s="84" t="s">
        <v>673</v>
      </c>
      <c r="D1080" s="88" t="s">
        <v>1396</v>
      </c>
      <c r="E1080" s="84" t="s">
        <v>3683</v>
      </c>
      <c r="F1080" s="84" t="s">
        <v>670</v>
      </c>
      <c r="G1080" s="84" t="s">
        <v>3789</v>
      </c>
      <c r="H1080" s="84" t="s">
        <v>3521</v>
      </c>
      <c r="I1080" s="84" t="s">
        <v>3684</v>
      </c>
      <c r="J1080" s="91"/>
      <c r="K1080" s="91"/>
      <c r="L1080" s="87">
        <v>10.0</v>
      </c>
      <c r="M1080" s="87">
        <v>10.0</v>
      </c>
      <c r="N1080" s="87">
        <v>0.071429</v>
      </c>
      <c r="O1080" s="87">
        <v>12.11999</v>
      </c>
      <c r="P1080" s="87">
        <v>11.18163</v>
      </c>
      <c r="Q1080" s="87">
        <v>8.955161</v>
      </c>
    </row>
    <row r="1081">
      <c r="A1081" s="84" t="s">
        <v>1130</v>
      </c>
      <c r="B1081" s="194"/>
      <c r="C1081" s="84" t="s">
        <v>1163</v>
      </c>
      <c r="D1081" s="88" t="s">
        <v>1396</v>
      </c>
      <c r="E1081" s="84" t="s">
        <v>3683</v>
      </c>
      <c r="F1081" s="84" t="s">
        <v>973</v>
      </c>
      <c r="G1081" s="84" t="s">
        <v>3582</v>
      </c>
      <c r="H1081" s="84" t="s">
        <v>3521</v>
      </c>
      <c r="I1081" s="84" t="s">
        <v>3684</v>
      </c>
      <c r="J1081" s="84" t="s">
        <v>130</v>
      </c>
      <c r="K1081" s="85"/>
      <c r="L1081" s="87">
        <v>24.0</v>
      </c>
      <c r="M1081" s="87">
        <v>0.0</v>
      </c>
      <c r="N1081" s="87">
        <v>0.0</v>
      </c>
      <c r="O1081" s="87">
        <v>0.0</v>
      </c>
      <c r="P1081" s="87">
        <v>0.0</v>
      </c>
      <c r="Q1081" s="87">
        <v>0.0</v>
      </c>
    </row>
    <row r="1082">
      <c r="A1082" s="84" t="s">
        <v>472</v>
      </c>
      <c r="B1082" s="194"/>
      <c r="C1082" s="84" t="s">
        <v>1031</v>
      </c>
      <c r="D1082" s="88" t="s">
        <v>1396</v>
      </c>
      <c r="E1082" s="84" t="s">
        <v>3683</v>
      </c>
      <c r="F1082" s="91"/>
      <c r="G1082" s="84" t="s">
        <v>3587</v>
      </c>
      <c r="I1082" s="84" t="s">
        <v>3684</v>
      </c>
      <c r="J1082" s="91"/>
      <c r="K1082" s="91"/>
      <c r="L1082" s="87">
        <v>120.0</v>
      </c>
      <c r="M1082" s="87">
        <v>0.0</v>
      </c>
      <c r="N1082" s="87">
        <v>0.0</v>
      </c>
      <c r="O1082" s="87">
        <v>0.0</v>
      </c>
      <c r="P1082" s="87">
        <v>0.0</v>
      </c>
      <c r="Q1082" s="87">
        <v>0.0</v>
      </c>
    </row>
    <row r="1083">
      <c r="A1083" s="84" t="s">
        <v>439</v>
      </c>
      <c r="B1083" s="194"/>
      <c r="C1083" s="84" t="s">
        <v>4207</v>
      </c>
      <c r="D1083" s="88" t="s">
        <v>1396</v>
      </c>
      <c r="E1083" s="84" t="s">
        <v>3683</v>
      </c>
      <c r="F1083" s="84" t="s">
        <v>3714</v>
      </c>
      <c r="G1083" s="84" t="s">
        <v>3715</v>
      </c>
      <c r="H1083" s="84" t="s">
        <v>3521</v>
      </c>
      <c r="I1083" s="84" t="s">
        <v>3684</v>
      </c>
      <c r="J1083" s="84" t="s">
        <v>3839</v>
      </c>
      <c r="K1083" s="85"/>
      <c r="L1083" s="87">
        <v>72.0</v>
      </c>
      <c r="M1083" s="87">
        <v>0.0</v>
      </c>
      <c r="N1083" s="87">
        <v>0.0</v>
      </c>
      <c r="O1083" s="87">
        <v>0.0</v>
      </c>
      <c r="P1083" s="87">
        <v>0.0</v>
      </c>
      <c r="Q1083" s="87">
        <v>0.0</v>
      </c>
    </row>
    <row r="1084">
      <c r="A1084" s="84" t="s">
        <v>213</v>
      </c>
      <c r="B1084" s="194"/>
      <c r="C1084" s="84" t="s">
        <v>876</v>
      </c>
      <c r="D1084" s="88" t="s">
        <v>1396</v>
      </c>
      <c r="E1084" s="84" t="s">
        <v>3683</v>
      </c>
      <c r="F1084" s="84" t="s">
        <v>800</v>
      </c>
      <c r="G1084" s="84" t="s">
        <v>3525</v>
      </c>
      <c r="H1084" s="84" t="s">
        <v>3521</v>
      </c>
      <c r="I1084" s="84" t="s">
        <v>3684</v>
      </c>
      <c r="J1084" s="84" t="s">
        <v>130</v>
      </c>
      <c r="K1084" s="85"/>
      <c r="L1084" s="87">
        <v>24.0</v>
      </c>
      <c r="M1084" s="87">
        <v>0.0</v>
      </c>
      <c r="N1084" s="87">
        <v>0.0</v>
      </c>
      <c r="O1084" s="87">
        <v>0.0</v>
      </c>
      <c r="P1084" s="87">
        <v>0.0</v>
      </c>
      <c r="Q1084" s="87">
        <v>0.022222</v>
      </c>
    </row>
    <row r="1085">
      <c r="A1085" s="84" t="s">
        <v>301</v>
      </c>
      <c r="B1085" s="194"/>
      <c r="C1085" s="84" t="s">
        <v>336</v>
      </c>
      <c r="D1085" s="88" t="s">
        <v>1396</v>
      </c>
      <c r="E1085" s="84" t="s">
        <v>3687</v>
      </c>
      <c r="F1085" s="91"/>
      <c r="G1085" s="84" t="s">
        <v>4199</v>
      </c>
      <c r="H1085" s="84" t="s">
        <v>3521</v>
      </c>
      <c r="I1085" s="84" t="s">
        <v>3684</v>
      </c>
      <c r="J1085" s="84" t="s">
        <v>130</v>
      </c>
      <c r="K1085" s="85"/>
      <c r="L1085" s="87">
        <v>24.0</v>
      </c>
      <c r="M1085" s="87">
        <v>0.0</v>
      </c>
      <c r="N1085" s="87">
        <v>0.0</v>
      </c>
      <c r="O1085" s="87">
        <v>0.0</v>
      </c>
      <c r="P1085" s="87">
        <v>0.0</v>
      </c>
      <c r="Q1085" s="87">
        <v>0.0</v>
      </c>
    </row>
    <row r="1086">
      <c r="A1086" s="84" t="s">
        <v>481</v>
      </c>
      <c r="B1086" s="194"/>
      <c r="C1086" s="84" t="s">
        <v>529</v>
      </c>
      <c r="D1086" s="88" t="s">
        <v>1396</v>
      </c>
      <c r="E1086" s="84" t="s">
        <v>3683</v>
      </c>
      <c r="F1086" s="84" t="s">
        <v>526</v>
      </c>
      <c r="G1086" s="84" t="s">
        <v>3593</v>
      </c>
      <c r="H1086" s="84" t="s">
        <v>3521</v>
      </c>
      <c r="I1086" s="84" t="s">
        <v>3684</v>
      </c>
      <c r="J1086" s="84" t="s">
        <v>130</v>
      </c>
      <c r="K1086" s="85"/>
      <c r="L1086" s="87">
        <v>24.0</v>
      </c>
      <c r="M1086" s="87">
        <v>0.0</v>
      </c>
      <c r="N1086" s="87">
        <v>0.0</v>
      </c>
      <c r="O1086" s="87">
        <v>0.0</v>
      </c>
      <c r="P1086" s="87">
        <v>0.0</v>
      </c>
      <c r="Q1086" s="87">
        <v>0.0</v>
      </c>
    </row>
    <row r="1087">
      <c r="A1087" s="84" t="s">
        <v>264</v>
      </c>
      <c r="B1087" s="193"/>
      <c r="C1087" s="84" t="s">
        <v>268</v>
      </c>
      <c r="D1087" s="88" t="s">
        <v>1396</v>
      </c>
      <c r="E1087" s="84" t="s">
        <v>3683</v>
      </c>
      <c r="F1087" s="84" t="s">
        <v>269</v>
      </c>
      <c r="G1087" s="84" t="s">
        <v>3560</v>
      </c>
      <c r="H1087" s="84" t="s">
        <v>3521</v>
      </c>
      <c r="I1087" s="84" t="s">
        <v>3684</v>
      </c>
      <c r="J1087" s="84" t="s">
        <v>130</v>
      </c>
      <c r="K1087" s="84" t="s">
        <v>111</v>
      </c>
      <c r="L1087" s="87">
        <v>816.0</v>
      </c>
      <c r="M1087" s="87">
        <v>0.0</v>
      </c>
      <c r="N1087" s="87">
        <v>0.0</v>
      </c>
      <c r="O1087" s="87">
        <v>0.0</v>
      </c>
      <c r="P1087" s="87">
        <v>0.0</v>
      </c>
      <c r="Q1087" s="87">
        <v>0.0</v>
      </c>
    </row>
    <row r="1088">
      <c r="A1088" s="84" t="s">
        <v>458</v>
      </c>
      <c r="B1088" s="194"/>
      <c r="C1088" s="84" t="s">
        <v>456</v>
      </c>
      <c r="D1088" s="88" t="s">
        <v>1396</v>
      </c>
      <c r="E1088" s="84" t="s">
        <v>3683</v>
      </c>
      <c r="F1088" s="84" t="s">
        <v>457</v>
      </c>
      <c r="G1088" s="84" t="s">
        <v>3560</v>
      </c>
      <c r="H1088" s="84" t="s">
        <v>3521</v>
      </c>
      <c r="I1088" s="84" t="s">
        <v>3684</v>
      </c>
      <c r="J1088" s="91"/>
      <c r="K1088" s="91"/>
      <c r="L1088" s="87">
        <v>0.0</v>
      </c>
      <c r="M1088" s="87">
        <v>1.0</v>
      </c>
      <c r="N1088" s="87">
        <v>0.0</v>
      </c>
      <c r="O1088" s="87">
        <v>2.694139</v>
      </c>
      <c r="P1088" s="87">
        <v>3.003658</v>
      </c>
      <c r="Q1088" s="87">
        <v>2.590674</v>
      </c>
    </row>
    <row r="1089">
      <c r="A1089" s="84" t="s">
        <v>644</v>
      </c>
      <c r="B1089" s="194"/>
      <c r="C1089" s="84" t="s">
        <v>681</v>
      </c>
      <c r="D1089" s="88" t="s">
        <v>1396</v>
      </c>
      <c r="E1089" s="84" t="s">
        <v>3683</v>
      </c>
      <c r="F1089" s="84" t="s">
        <v>682</v>
      </c>
      <c r="G1089" s="84" t="s">
        <v>3563</v>
      </c>
      <c r="H1089" s="84" t="s">
        <v>3521</v>
      </c>
      <c r="I1089" s="84" t="s">
        <v>3684</v>
      </c>
      <c r="J1089" s="84" t="s">
        <v>130</v>
      </c>
      <c r="K1089" s="85"/>
      <c r="L1089" s="87">
        <v>24.0</v>
      </c>
      <c r="M1089" s="87">
        <v>0.0</v>
      </c>
      <c r="N1089" s="87">
        <v>0.0</v>
      </c>
      <c r="O1089" s="87">
        <v>0.0</v>
      </c>
      <c r="P1089" s="87">
        <v>0.0</v>
      </c>
      <c r="Q1089" s="87">
        <v>0.016667</v>
      </c>
    </row>
    <row r="1090">
      <c r="A1090" s="84" t="s">
        <v>745</v>
      </c>
      <c r="B1090" s="194"/>
      <c r="C1090" s="84" t="s">
        <v>748</v>
      </c>
      <c r="D1090" s="88" t="s">
        <v>1396</v>
      </c>
      <c r="E1090" s="84" t="s">
        <v>3683</v>
      </c>
      <c r="F1090" s="84" t="s">
        <v>744</v>
      </c>
      <c r="G1090" s="84" t="s">
        <v>3841</v>
      </c>
      <c r="I1090" s="84" t="s">
        <v>3684</v>
      </c>
      <c r="J1090" s="91"/>
      <c r="K1090" s="85"/>
      <c r="L1090" s="87">
        <v>120.0</v>
      </c>
      <c r="M1090" s="87">
        <v>0.0</v>
      </c>
      <c r="N1090" s="87">
        <v>0.0</v>
      </c>
      <c r="O1090" s="87">
        <v>0.0</v>
      </c>
      <c r="P1090" s="87">
        <v>0.0</v>
      </c>
      <c r="Q1090" s="87">
        <v>0.0</v>
      </c>
    </row>
    <row r="1091">
      <c r="A1091" s="84" t="s">
        <v>537</v>
      </c>
      <c r="B1091" s="194"/>
      <c r="C1091" s="84" t="s">
        <v>555</v>
      </c>
      <c r="D1091" s="88" t="s">
        <v>1396</v>
      </c>
      <c r="E1091" s="84" t="s">
        <v>3683</v>
      </c>
      <c r="F1091" s="84" t="s">
        <v>551</v>
      </c>
      <c r="G1091" s="84" t="s">
        <v>3590</v>
      </c>
      <c r="I1091" s="84" t="s">
        <v>3693</v>
      </c>
      <c r="J1091" s="91"/>
      <c r="K1091" s="85"/>
      <c r="L1091" s="87">
        <v>552.0</v>
      </c>
      <c r="M1091" s="87">
        <v>0.0</v>
      </c>
      <c r="N1091" s="87">
        <v>0.0</v>
      </c>
      <c r="O1091" s="87">
        <v>0.0</v>
      </c>
      <c r="P1091" s="87">
        <v>0.0</v>
      </c>
      <c r="Q1091" s="87">
        <v>0.0</v>
      </c>
    </row>
    <row r="1092">
      <c r="A1092" s="84" t="s">
        <v>1130</v>
      </c>
      <c r="B1092" s="194"/>
      <c r="C1092" s="84" t="s">
        <v>1159</v>
      </c>
      <c r="D1092" s="88" t="s">
        <v>1396</v>
      </c>
      <c r="E1092" s="84" t="s">
        <v>3683</v>
      </c>
      <c r="F1092" s="84" t="s">
        <v>1142</v>
      </c>
      <c r="G1092" s="84" t="s">
        <v>3605</v>
      </c>
      <c r="H1092" s="84" t="s">
        <v>3521</v>
      </c>
      <c r="I1092" s="84" t="s">
        <v>3684</v>
      </c>
      <c r="J1092" s="84" t="s">
        <v>130</v>
      </c>
      <c r="K1092" s="84" t="s">
        <v>111</v>
      </c>
      <c r="L1092" s="87">
        <v>336.0</v>
      </c>
      <c r="M1092" s="87">
        <v>0.0</v>
      </c>
      <c r="N1092" s="87">
        <v>0.0</v>
      </c>
      <c r="O1092" s="87">
        <v>0.0</v>
      </c>
      <c r="P1092" s="87">
        <v>0.0</v>
      </c>
      <c r="Q1092" s="87">
        <v>0.0</v>
      </c>
    </row>
    <row r="1093">
      <c r="A1093" s="84" t="s">
        <v>644</v>
      </c>
      <c r="B1093" s="194"/>
      <c r="C1093" s="84" t="s">
        <v>1269</v>
      </c>
      <c r="D1093" s="88" t="s">
        <v>1396</v>
      </c>
      <c r="E1093" s="91"/>
      <c r="F1093" s="84" t="s">
        <v>1229</v>
      </c>
      <c r="G1093" s="84" t="s">
        <v>3551</v>
      </c>
      <c r="I1093" s="84" t="s">
        <v>3684</v>
      </c>
      <c r="J1093" s="91"/>
      <c r="K1093" s="85"/>
      <c r="L1093" s="87">
        <v>456.0</v>
      </c>
      <c r="M1093" s="87">
        <v>0.0</v>
      </c>
      <c r="N1093" s="87">
        <v>0.0</v>
      </c>
      <c r="O1093" s="87">
        <v>0.0</v>
      </c>
      <c r="P1093" s="87">
        <v>0.0</v>
      </c>
      <c r="Q1093" s="87">
        <v>0.0</v>
      </c>
    </row>
    <row r="1094">
      <c r="A1094" s="84" t="s">
        <v>472</v>
      </c>
      <c r="B1094" s="194"/>
      <c r="C1094" s="84" t="s">
        <v>1017</v>
      </c>
      <c r="D1094" s="88" t="s">
        <v>1396</v>
      </c>
      <c r="E1094" s="84" t="s">
        <v>3683</v>
      </c>
      <c r="F1094" s="91"/>
      <c r="G1094" s="84" t="s">
        <v>3587</v>
      </c>
      <c r="I1094" s="84" t="s">
        <v>3684</v>
      </c>
      <c r="J1094" s="91"/>
      <c r="K1094" s="91"/>
      <c r="L1094" s="87">
        <v>552.0</v>
      </c>
      <c r="M1094" s="87">
        <v>0.0</v>
      </c>
      <c r="N1094" s="87">
        <v>0.0</v>
      </c>
      <c r="O1094" s="87">
        <v>0.0</v>
      </c>
      <c r="P1094" s="87">
        <v>0.0</v>
      </c>
      <c r="Q1094" s="87">
        <v>0.0</v>
      </c>
    </row>
    <row r="1095">
      <c r="A1095" s="84" t="s">
        <v>481</v>
      </c>
      <c r="B1095" s="194"/>
      <c r="C1095" s="84" t="s">
        <v>520</v>
      </c>
      <c r="D1095" s="88" t="s">
        <v>1396</v>
      </c>
      <c r="E1095" s="84" t="s">
        <v>3683</v>
      </c>
      <c r="F1095" s="84" t="s">
        <v>516</v>
      </c>
      <c r="G1095" s="84" t="s">
        <v>3593</v>
      </c>
      <c r="H1095" s="84" t="s">
        <v>3521</v>
      </c>
      <c r="I1095" s="84" t="s">
        <v>3684</v>
      </c>
      <c r="J1095" s="91"/>
      <c r="K1095" s="91"/>
      <c r="L1095" s="87">
        <v>0.0</v>
      </c>
      <c r="M1095" s="87">
        <v>1.0</v>
      </c>
      <c r="N1095" s="87">
        <v>0.0</v>
      </c>
      <c r="O1095" s="87">
        <v>1.10873</v>
      </c>
      <c r="P1095" s="87">
        <v>0.826447</v>
      </c>
      <c r="Q1095" s="87">
        <v>0.725726</v>
      </c>
    </row>
    <row r="1096">
      <c r="A1096" s="84" t="s">
        <v>601</v>
      </c>
      <c r="B1096" s="194"/>
      <c r="C1096" s="84" t="s">
        <v>1062</v>
      </c>
      <c r="D1096" s="88" t="s">
        <v>1396</v>
      </c>
      <c r="E1096" s="91"/>
      <c r="F1096" s="84" t="s">
        <v>340</v>
      </c>
      <c r="G1096" s="84" t="s">
        <v>3595</v>
      </c>
      <c r="I1096" s="84" t="s">
        <v>3684</v>
      </c>
      <c r="J1096" s="91"/>
      <c r="K1096" s="91"/>
      <c r="L1096" s="87">
        <v>456.0</v>
      </c>
      <c r="M1096" s="87">
        <v>0.0</v>
      </c>
      <c r="N1096" s="87">
        <v>0.0</v>
      </c>
      <c r="O1096" s="87">
        <v>0.0</v>
      </c>
      <c r="P1096" s="87">
        <v>0.0</v>
      </c>
      <c r="Q1096" s="87">
        <v>0.0</v>
      </c>
    </row>
    <row r="1097">
      <c r="A1097" s="84" t="s">
        <v>393</v>
      </c>
      <c r="B1097" s="194"/>
      <c r="C1097" s="84" t="s">
        <v>391</v>
      </c>
      <c r="D1097" s="88" t="s">
        <v>1396</v>
      </c>
      <c r="E1097" s="84" t="s">
        <v>3687</v>
      </c>
      <c r="F1097" s="84" t="s">
        <v>392</v>
      </c>
      <c r="G1097" s="84" t="s">
        <v>3761</v>
      </c>
      <c r="H1097" s="84" t="s">
        <v>3521</v>
      </c>
      <c r="I1097" s="84" t="s">
        <v>3693</v>
      </c>
      <c r="J1097" s="84" t="s">
        <v>130</v>
      </c>
      <c r="K1097" s="84" t="s">
        <v>111</v>
      </c>
      <c r="L1097" s="87">
        <v>480.0</v>
      </c>
      <c r="M1097" s="87">
        <v>0.0</v>
      </c>
      <c r="N1097" s="87">
        <v>0.166667</v>
      </c>
      <c r="O1097" s="87">
        <v>0.0</v>
      </c>
      <c r="P1097" s="87">
        <v>0.166667</v>
      </c>
      <c r="Q1097" s="87">
        <v>0.060606</v>
      </c>
    </row>
    <row r="1098">
      <c r="A1098" s="84" t="s">
        <v>1130</v>
      </c>
      <c r="B1098" s="194"/>
      <c r="C1098" s="84" t="s">
        <v>1153</v>
      </c>
      <c r="D1098" s="88" t="s">
        <v>1396</v>
      </c>
      <c r="E1098" s="84" t="s">
        <v>3683</v>
      </c>
      <c r="F1098" s="84" t="s">
        <v>973</v>
      </c>
      <c r="G1098" s="84" t="s">
        <v>3582</v>
      </c>
      <c r="H1098" s="84" t="s">
        <v>3521</v>
      </c>
      <c r="I1098" s="84" t="s">
        <v>3684</v>
      </c>
      <c r="J1098" s="84" t="s">
        <v>130</v>
      </c>
      <c r="K1098" s="84" t="s">
        <v>111</v>
      </c>
      <c r="L1098" s="87">
        <v>24.0</v>
      </c>
      <c r="M1098" s="87">
        <v>0.0</v>
      </c>
      <c r="N1098" s="87">
        <v>0.0</v>
      </c>
      <c r="O1098" s="87">
        <v>0.0</v>
      </c>
      <c r="P1098" s="87">
        <v>0.0</v>
      </c>
      <c r="Q1098" s="87">
        <v>0.0</v>
      </c>
    </row>
    <row r="1099">
      <c r="A1099" s="84" t="s">
        <v>439</v>
      </c>
      <c r="B1099" s="194"/>
      <c r="C1099" s="84" t="s">
        <v>3574</v>
      </c>
      <c r="D1099" s="88" t="s">
        <v>1396</v>
      </c>
      <c r="E1099" s="84" t="s">
        <v>3897</v>
      </c>
      <c r="F1099" s="84" t="s">
        <v>3898</v>
      </c>
      <c r="G1099" s="84" t="s">
        <v>3575</v>
      </c>
      <c r="H1099" s="84" t="s">
        <v>3527</v>
      </c>
      <c r="I1099" s="84" t="s">
        <v>3709</v>
      </c>
      <c r="J1099" s="84" t="s">
        <v>130</v>
      </c>
      <c r="K1099" s="85"/>
      <c r="L1099" s="87">
        <v>120.0</v>
      </c>
      <c r="M1099" s="87">
        <v>0.0</v>
      </c>
      <c r="N1099" s="87">
        <v>0.792489</v>
      </c>
      <c r="O1099" s="87">
        <v>0.0</v>
      </c>
      <c r="P1099" s="87">
        <v>1.046703</v>
      </c>
      <c r="Q1099" s="87">
        <v>0.878394</v>
      </c>
    </row>
    <row r="1100">
      <c r="A1100" s="84" t="s">
        <v>481</v>
      </c>
      <c r="B1100" s="194"/>
      <c r="C1100" s="84" t="s">
        <v>990</v>
      </c>
      <c r="D1100" s="88" t="s">
        <v>1396</v>
      </c>
      <c r="E1100" s="84" t="s">
        <v>3683</v>
      </c>
      <c r="F1100" s="84" t="s">
        <v>989</v>
      </c>
      <c r="G1100" s="84" t="s">
        <v>3585</v>
      </c>
      <c r="H1100" s="84" t="s">
        <v>3521</v>
      </c>
      <c r="I1100" s="84" t="s">
        <v>3684</v>
      </c>
      <c r="J1100" s="84" t="s">
        <v>130</v>
      </c>
      <c r="K1100" s="85"/>
      <c r="L1100" s="87">
        <v>24.0</v>
      </c>
      <c r="M1100" s="87">
        <v>0.0</v>
      </c>
      <c r="N1100" s="87">
        <v>0.0</v>
      </c>
      <c r="O1100" s="87">
        <v>0.0</v>
      </c>
      <c r="P1100" s="87">
        <v>0.033333</v>
      </c>
      <c r="Q1100" s="87">
        <v>0.016667</v>
      </c>
    </row>
    <row r="1101">
      <c r="A1101" s="84" t="s">
        <v>231</v>
      </c>
      <c r="B1101" s="194"/>
      <c r="C1101" s="84" t="s">
        <v>3651</v>
      </c>
      <c r="D1101" s="88" t="s">
        <v>1396</v>
      </c>
      <c r="E1101" s="84" t="s">
        <v>3687</v>
      </c>
      <c r="F1101" s="84" t="s">
        <v>4212</v>
      </c>
      <c r="G1101" s="84" t="s">
        <v>4213</v>
      </c>
      <c r="H1101" s="84" t="s">
        <v>3521</v>
      </c>
      <c r="I1101" s="84" t="s">
        <v>3709</v>
      </c>
      <c r="J1101" s="91"/>
      <c r="K1101" s="85"/>
      <c r="L1101" s="87">
        <v>0.0</v>
      </c>
      <c r="M1101" s="87">
        <v>3.0</v>
      </c>
      <c r="N1101" s="87">
        <v>0.0</v>
      </c>
      <c r="O1101" s="87">
        <v>0.357143</v>
      </c>
      <c r="P1101" s="87">
        <v>0.417381</v>
      </c>
      <c r="Q1101" s="87">
        <v>0.390082</v>
      </c>
    </row>
    <row r="1102">
      <c r="A1102" s="84" t="s">
        <v>213</v>
      </c>
      <c r="B1102" s="194"/>
      <c r="C1102" s="84" t="s">
        <v>871</v>
      </c>
      <c r="D1102" s="88" t="s">
        <v>1396</v>
      </c>
      <c r="E1102" s="84" t="s">
        <v>3683</v>
      </c>
      <c r="F1102" s="84" t="s">
        <v>869</v>
      </c>
      <c r="G1102" s="84" t="s">
        <v>3554</v>
      </c>
      <c r="H1102" s="84" t="s">
        <v>3521</v>
      </c>
      <c r="I1102" s="84" t="s">
        <v>3684</v>
      </c>
      <c r="J1102" s="84" t="s">
        <v>130</v>
      </c>
      <c r="K1102" s="85"/>
      <c r="L1102" s="87">
        <v>24.0</v>
      </c>
      <c r="M1102" s="87">
        <v>0.0</v>
      </c>
      <c r="N1102" s="87">
        <v>0.0</v>
      </c>
      <c r="O1102" s="87">
        <v>0.0</v>
      </c>
      <c r="P1102" s="87">
        <v>0.0</v>
      </c>
      <c r="Q1102" s="87">
        <v>0.0</v>
      </c>
    </row>
    <row r="1103">
      <c r="A1103" s="84" t="s">
        <v>481</v>
      </c>
      <c r="B1103" s="194"/>
      <c r="C1103" s="84" t="s">
        <v>528</v>
      </c>
      <c r="D1103" s="88" t="s">
        <v>1396</v>
      </c>
      <c r="E1103" s="84" t="s">
        <v>3683</v>
      </c>
      <c r="F1103" s="84" t="s">
        <v>526</v>
      </c>
      <c r="G1103" s="84" t="s">
        <v>3593</v>
      </c>
      <c r="H1103" s="84" t="s">
        <v>3521</v>
      </c>
      <c r="I1103" s="84" t="s">
        <v>3684</v>
      </c>
      <c r="J1103" s="91"/>
      <c r="K1103" s="85"/>
      <c r="L1103" s="87">
        <v>0.0</v>
      </c>
      <c r="M1103" s="87">
        <v>0.0</v>
      </c>
      <c r="N1103" s="87">
        <v>0.0</v>
      </c>
      <c r="O1103" s="87">
        <v>1.550866</v>
      </c>
      <c r="P1103" s="87">
        <v>1.346825</v>
      </c>
      <c r="Q1103" s="87">
        <v>1.252032</v>
      </c>
    </row>
    <row r="1104">
      <c r="A1104" s="84" t="s">
        <v>1130</v>
      </c>
      <c r="B1104" s="194"/>
      <c r="C1104" s="84" t="s">
        <v>1155</v>
      </c>
      <c r="D1104" s="88" t="s">
        <v>1396</v>
      </c>
      <c r="E1104" s="84" t="s">
        <v>3683</v>
      </c>
      <c r="F1104" s="84" t="s">
        <v>1142</v>
      </c>
      <c r="G1104" s="84" t="s">
        <v>3605</v>
      </c>
      <c r="H1104" s="84" t="s">
        <v>3521</v>
      </c>
      <c r="I1104" s="84" t="s">
        <v>3684</v>
      </c>
      <c r="J1104" s="84" t="s">
        <v>130</v>
      </c>
      <c r="K1104" s="84" t="s">
        <v>111</v>
      </c>
      <c r="L1104" s="87">
        <v>336.0</v>
      </c>
      <c r="M1104" s="87">
        <v>0.0</v>
      </c>
      <c r="N1104" s="87">
        <v>0.0</v>
      </c>
      <c r="O1104" s="87">
        <v>0.0</v>
      </c>
      <c r="P1104" s="87">
        <v>0.0</v>
      </c>
      <c r="Q1104" s="87">
        <v>0.0</v>
      </c>
    </row>
    <row r="1105">
      <c r="A1105" s="84" t="s">
        <v>439</v>
      </c>
      <c r="B1105" s="193"/>
      <c r="C1105" s="84" t="s">
        <v>941</v>
      </c>
      <c r="D1105" s="88" t="s">
        <v>1396</v>
      </c>
      <c r="E1105" s="84" t="s">
        <v>3683</v>
      </c>
      <c r="F1105" s="84" t="s">
        <v>938</v>
      </c>
      <c r="G1105" s="84" t="s">
        <v>3514</v>
      </c>
      <c r="H1105" s="84" t="s">
        <v>3527</v>
      </c>
      <c r="I1105" s="84" t="s">
        <v>3709</v>
      </c>
      <c r="J1105" s="91"/>
      <c r="K1105" s="91"/>
      <c r="L1105" s="87">
        <v>156.0</v>
      </c>
      <c r="M1105" s="87">
        <v>234.0</v>
      </c>
      <c r="N1105" s="87">
        <v>29.28272</v>
      </c>
      <c r="O1105" s="87">
        <v>231.3158</v>
      </c>
      <c r="P1105" s="87">
        <v>229.5404</v>
      </c>
      <c r="Q1105" s="87">
        <v>223.4371</v>
      </c>
    </row>
    <row r="1106">
      <c r="A1106" s="84" t="s">
        <v>644</v>
      </c>
      <c r="B1106" s="194"/>
      <c r="C1106" s="84" t="s">
        <v>736</v>
      </c>
      <c r="D1106" s="88" t="s">
        <v>1396</v>
      </c>
      <c r="E1106" s="84" t="s">
        <v>3683</v>
      </c>
      <c r="F1106" s="84" t="s">
        <v>737</v>
      </c>
      <c r="G1106" s="84" t="s">
        <v>3696</v>
      </c>
      <c r="H1106" s="84" t="s">
        <v>3521</v>
      </c>
      <c r="I1106" s="84" t="s">
        <v>3684</v>
      </c>
      <c r="J1106" s="84" t="s">
        <v>215</v>
      </c>
      <c r="L1106" s="87">
        <v>720.0</v>
      </c>
      <c r="M1106" s="87">
        <v>0.0</v>
      </c>
      <c r="N1106" s="87">
        <v>54.39987</v>
      </c>
      <c r="O1106" s="87">
        <v>0.0</v>
      </c>
      <c r="P1106" s="87">
        <v>0.833333</v>
      </c>
      <c r="Q1106" s="87">
        <v>54.49511</v>
      </c>
    </row>
    <row r="1107">
      <c r="A1107" s="84" t="s">
        <v>264</v>
      </c>
      <c r="B1107" s="194"/>
      <c r="C1107" s="84" t="s">
        <v>297</v>
      </c>
      <c r="D1107" s="88" t="s">
        <v>1396</v>
      </c>
      <c r="E1107" s="84" t="s">
        <v>3683</v>
      </c>
      <c r="F1107" s="84" t="s">
        <v>295</v>
      </c>
      <c r="G1107" s="84" t="s">
        <v>3564</v>
      </c>
      <c r="I1107" s="84" t="s">
        <v>3684</v>
      </c>
      <c r="J1107" s="91"/>
      <c r="K1107" s="91"/>
      <c r="L1107" s="87">
        <v>552.0</v>
      </c>
      <c r="M1107" s="87">
        <v>0.0</v>
      </c>
      <c r="N1107" s="87">
        <v>0.0</v>
      </c>
      <c r="O1107" s="87">
        <v>0.0</v>
      </c>
      <c r="P1107" s="87">
        <v>0.0</v>
      </c>
      <c r="Q1107" s="87">
        <v>0.0</v>
      </c>
    </row>
    <row r="1108">
      <c r="A1108" s="84" t="s">
        <v>363</v>
      </c>
      <c r="B1108" s="194"/>
      <c r="C1108" s="84" t="s">
        <v>361</v>
      </c>
      <c r="D1108" s="88" t="s">
        <v>1396</v>
      </c>
      <c r="E1108" s="84" t="s">
        <v>3683</v>
      </c>
      <c r="F1108" s="84" t="s">
        <v>362</v>
      </c>
      <c r="G1108" s="84" t="s">
        <v>4067</v>
      </c>
      <c r="H1108" s="84" t="s">
        <v>3513</v>
      </c>
      <c r="I1108" s="84" t="s">
        <v>3709</v>
      </c>
      <c r="J1108" s="91"/>
      <c r="K1108" s="85"/>
      <c r="L1108" s="87">
        <v>1272.0</v>
      </c>
      <c r="M1108" s="87">
        <v>0.0</v>
      </c>
      <c r="N1108" s="87">
        <v>0.0</v>
      </c>
      <c r="O1108" s="87">
        <v>0.0</v>
      </c>
      <c r="P1108" s="87">
        <v>0.0</v>
      </c>
      <c r="Q1108" s="87">
        <v>0.0</v>
      </c>
    </row>
    <row r="1109">
      <c r="A1109" s="84" t="s">
        <v>1130</v>
      </c>
      <c r="B1109" s="194"/>
      <c r="C1109" s="84" t="s">
        <v>1149</v>
      </c>
      <c r="D1109" s="88" t="s">
        <v>1396</v>
      </c>
      <c r="E1109" s="84" t="s">
        <v>3683</v>
      </c>
      <c r="F1109" s="84" t="s">
        <v>1142</v>
      </c>
      <c r="G1109" s="84" t="s">
        <v>3605</v>
      </c>
      <c r="H1109" s="84" t="s">
        <v>3521</v>
      </c>
      <c r="I1109" s="84" t="s">
        <v>3684</v>
      </c>
      <c r="J1109" s="84" t="s">
        <v>130</v>
      </c>
      <c r="K1109" s="85"/>
      <c r="L1109" s="87">
        <v>192.0</v>
      </c>
      <c r="M1109" s="87">
        <v>0.0</v>
      </c>
      <c r="N1109" s="87">
        <v>2.113095</v>
      </c>
      <c r="O1109" s="87">
        <v>0.2</v>
      </c>
      <c r="P1109" s="87">
        <v>0.047619</v>
      </c>
      <c r="Q1109" s="87">
        <v>2.57974</v>
      </c>
    </row>
    <row r="1110">
      <c r="A1110" s="84" t="s">
        <v>439</v>
      </c>
      <c r="B1110" s="194"/>
      <c r="C1110" s="84" t="s">
        <v>1335</v>
      </c>
      <c r="D1110" s="88" t="s">
        <v>1396</v>
      </c>
      <c r="E1110" s="84" t="s">
        <v>3687</v>
      </c>
      <c r="F1110" s="84" t="s">
        <v>4208</v>
      </c>
      <c r="G1110" s="84" t="s">
        <v>3576</v>
      </c>
      <c r="H1110" s="84" t="s">
        <v>3527</v>
      </c>
      <c r="I1110" s="84" t="s">
        <v>3684</v>
      </c>
      <c r="J1110" s="84" t="s">
        <v>130</v>
      </c>
      <c r="K1110" s="91"/>
      <c r="L1110" s="87">
        <v>864.0</v>
      </c>
      <c r="M1110" s="87">
        <v>0.0</v>
      </c>
      <c r="N1110" s="87">
        <v>7.82718</v>
      </c>
      <c r="O1110" s="87">
        <v>0.0</v>
      </c>
      <c r="P1110" s="87">
        <v>5.496032</v>
      </c>
      <c r="Q1110" s="87">
        <v>7.82718</v>
      </c>
    </row>
    <row r="1111">
      <c r="A1111" s="84" t="s">
        <v>74</v>
      </c>
      <c r="B1111" s="194"/>
      <c r="C1111" s="84" t="s">
        <v>88</v>
      </c>
      <c r="D1111" s="88" t="s">
        <v>1396</v>
      </c>
      <c r="E1111" s="84" t="s">
        <v>3683</v>
      </c>
      <c r="F1111" s="84" t="s">
        <v>73</v>
      </c>
      <c r="G1111" s="84" t="s">
        <v>3712</v>
      </c>
      <c r="H1111" s="84" t="s">
        <v>3521</v>
      </c>
      <c r="I1111" s="84" t="s">
        <v>3684</v>
      </c>
      <c r="J1111" s="91"/>
      <c r="K1111" s="85"/>
      <c r="L1111" s="87">
        <v>58.0</v>
      </c>
      <c r="M1111" s="87">
        <v>11.0</v>
      </c>
      <c r="N1111" s="87">
        <v>0.571429</v>
      </c>
      <c r="O1111" s="87">
        <v>4.444272</v>
      </c>
      <c r="P1111" s="87">
        <v>3.778283</v>
      </c>
      <c r="Q1111" s="87">
        <v>3.436491</v>
      </c>
    </row>
    <row r="1112">
      <c r="A1112" s="84" t="s">
        <v>444</v>
      </c>
      <c r="B1112" s="194"/>
      <c r="C1112" s="84" t="s">
        <v>944</v>
      </c>
      <c r="D1112" s="88" t="s">
        <v>1396</v>
      </c>
      <c r="E1112" s="84" t="s">
        <v>3683</v>
      </c>
      <c r="F1112" s="84" t="s">
        <v>945</v>
      </c>
      <c r="G1112" s="84" t="s">
        <v>3578</v>
      </c>
      <c r="H1112" s="84" t="s">
        <v>3521</v>
      </c>
      <c r="I1112" s="84" t="s">
        <v>3684</v>
      </c>
      <c r="J1112" s="84" t="s">
        <v>130</v>
      </c>
      <c r="K1112" s="91"/>
      <c r="L1112" s="87">
        <v>24.0</v>
      </c>
      <c r="M1112" s="87">
        <v>0.0</v>
      </c>
      <c r="N1112" s="87">
        <v>0.0</v>
      </c>
      <c r="O1112" s="87">
        <v>0.0</v>
      </c>
      <c r="P1112" s="87">
        <v>0.0</v>
      </c>
      <c r="Q1112" s="87">
        <v>0.0</v>
      </c>
    </row>
    <row r="1113">
      <c r="A1113" s="84" t="s">
        <v>472</v>
      </c>
      <c r="B1113" s="194"/>
      <c r="C1113" s="84" t="s">
        <v>533</v>
      </c>
      <c r="D1113" s="88" t="s">
        <v>1396</v>
      </c>
      <c r="E1113" s="84" t="s">
        <v>3683</v>
      </c>
      <c r="F1113" s="84" t="s">
        <v>526</v>
      </c>
      <c r="G1113" s="84" t="s">
        <v>3593</v>
      </c>
      <c r="H1113" s="84" t="s">
        <v>3507</v>
      </c>
      <c r="I1113" s="84" t="s">
        <v>3684</v>
      </c>
      <c r="J1113" s="84" t="s">
        <v>130</v>
      </c>
      <c r="K1113" s="91"/>
      <c r="L1113" s="87">
        <v>0.0</v>
      </c>
      <c r="M1113" s="87">
        <v>0.0</v>
      </c>
      <c r="N1113" s="87">
        <v>0.0</v>
      </c>
      <c r="O1113" s="87">
        <v>0.0</v>
      </c>
      <c r="P1113" s="87">
        <v>0.0</v>
      </c>
      <c r="Q1113" s="87">
        <v>0.016667</v>
      </c>
    </row>
    <row r="1114">
      <c r="A1114" s="84" t="s">
        <v>644</v>
      </c>
      <c r="B1114" s="194"/>
      <c r="C1114" s="84" t="s">
        <v>720</v>
      </c>
      <c r="D1114" s="88" t="s">
        <v>1396</v>
      </c>
      <c r="E1114" s="84" t="s">
        <v>3683</v>
      </c>
      <c r="F1114" s="84" t="s">
        <v>708</v>
      </c>
      <c r="G1114" s="84" t="s">
        <v>3607</v>
      </c>
      <c r="H1114" s="84" t="s">
        <v>3521</v>
      </c>
      <c r="I1114" s="84" t="s">
        <v>3684</v>
      </c>
      <c r="J1114" s="84" t="s">
        <v>215</v>
      </c>
      <c r="K1114" s="84" t="s">
        <v>111</v>
      </c>
      <c r="L1114" s="87">
        <v>96.0</v>
      </c>
      <c r="M1114" s="87">
        <v>0.0</v>
      </c>
      <c r="N1114" s="87">
        <v>0.316923</v>
      </c>
      <c r="O1114" s="87">
        <v>0.0</v>
      </c>
      <c r="P1114" s="87">
        <v>0.0</v>
      </c>
      <c r="Q1114" s="87">
        <v>0.316923</v>
      </c>
    </row>
    <row r="1115">
      <c r="A1115" s="84" t="s">
        <v>481</v>
      </c>
      <c r="B1115" s="194"/>
      <c r="C1115" s="84" t="s">
        <v>528</v>
      </c>
      <c r="D1115" s="88" t="s">
        <v>1396</v>
      </c>
      <c r="E1115" s="84" t="s">
        <v>3683</v>
      </c>
      <c r="F1115" s="84" t="s">
        <v>526</v>
      </c>
      <c r="G1115" s="84" t="s">
        <v>3593</v>
      </c>
      <c r="H1115" s="84" t="s">
        <v>3521</v>
      </c>
      <c r="I1115" s="84" t="s">
        <v>3684</v>
      </c>
      <c r="J1115" s="84" t="s">
        <v>130</v>
      </c>
      <c r="K1115" s="85"/>
      <c r="L1115" s="87">
        <v>48.0</v>
      </c>
      <c r="M1115" s="87">
        <v>0.0</v>
      </c>
      <c r="N1115" s="87">
        <v>0.027027</v>
      </c>
      <c r="O1115" s="87">
        <v>0.0</v>
      </c>
      <c r="P1115" s="87">
        <v>0.0</v>
      </c>
      <c r="Q1115" s="87">
        <v>0.027027</v>
      </c>
    </row>
    <row r="1116">
      <c r="A1116" s="84" t="s">
        <v>644</v>
      </c>
      <c r="B1116" s="194"/>
      <c r="C1116" s="84" t="s">
        <v>711</v>
      </c>
      <c r="D1116" s="88" t="s">
        <v>1396</v>
      </c>
      <c r="E1116" s="84" t="s">
        <v>3683</v>
      </c>
      <c r="F1116" s="84" t="s">
        <v>708</v>
      </c>
      <c r="G1116" s="84" t="s">
        <v>3607</v>
      </c>
      <c r="H1116" s="84" t="s">
        <v>3521</v>
      </c>
      <c r="I1116" s="84" t="s">
        <v>3684</v>
      </c>
      <c r="J1116" s="84" t="s">
        <v>215</v>
      </c>
      <c r="K1116" s="84" t="s">
        <v>111</v>
      </c>
      <c r="L1116" s="87">
        <v>96.0</v>
      </c>
      <c r="M1116" s="87">
        <v>0.0</v>
      </c>
      <c r="N1116" s="87">
        <v>0.0</v>
      </c>
      <c r="O1116" s="87">
        <v>0.0</v>
      </c>
      <c r="P1116" s="87">
        <v>0.0</v>
      </c>
      <c r="Q1116" s="87">
        <v>0.0</v>
      </c>
    </row>
    <row r="1117">
      <c r="A1117" s="84" t="s">
        <v>444</v>
      </c>
      <c r="B1117" s="194"/>
      <c r="C1117" s="84" t="s">
        <v>961</v>
      </c>
      <c r="D1117" s="88" t="s">
        <v>1396</v>
      </c>
      <c r="E1117" s="84" t="s">
        <v>3683</v>
      </c>
      <c r="F1117" s="84" t="s">
        <v>443</v>
      </c>
      <c r="G1117" s="84" t="s">
        <v>3580</v>
      </c>
      <c r="H1117" s="84" t="s">
        <v>3521</v>
      </c>
      <c r="I1117" s="84" t="s">
        <v>3684</v>
      </c>
      <c r="J1117" s="84" t="s">
        <v>130</v>
      </c>
      <c r="K1117" s="85"/>
      <c r="L1117" s="87">
        <v>24.0</v>
      </c>
      <c r="M1117" s="87">
        <v>0.0</v>
      </c>
      <c r="N1117" s="87">
        <v>0.0</v>
      </c>
      <c r="O1117" s="87">
        <v>0.0</v>
      </c>
      <c r="P1117" s="87">
        <v>0.0</v>
      </c>
      <c r="Q1117" s="87">
        <v>0.0</v>
      </c>
    </row>
    <row r="1118">
      <c r="A1118" s="84" t="s">
        <v>644</v>
      </c>
      <c r="B1118" s="194"/>
      <c r="C1118" s="84" t="s">
        <v>751</v>
      </c>
      <c r="D1118" s="88" t="s">
        <v>1396</v>
      </c>
      <c r="E1118" s="84" t="s">
        <v>3683</v>
      </c>
      <c r="F1118" s="84" t="s">
        <v>651</v>
      </c>
      <c r="G1118" s="84" t="s">
        <v>3723</v>
      </c>
      <c r="H1118" s="84" t="s">
        <v>3521</v>
      </c>
      <c r="I1118" s="84" t="s">
        <v>3684</v>
      </c>
      <c r="J1118" s="91"/>
      <c r="K1118" s="85"/>
      <c r="L1118" s="87">
        <v>146.0</v>
      </c>
      <c r="M1118" s="87">
        <v>0.0</v>
      </c>
      <c r="N1118" s="87">
        <v>2.680963</v>
      </c>
      <c r="O1118" s="87">
        <v>7.617388</v>
      </c>
      <c r="P1118" s="87">
        <v>4.96809</v>
      </c>
      <c r="Q1118" s="87">
        <v>3.623841</v>
      </c>
    </row>
    <row r="1119">
      <c r="A1119" s="84" t="s">
        <v>107</v>
      </c>
      <c r="B1119" s="194"/>
      <c r="C1119" s="84" t="s">
        <v>767</v>
      </c>
      <c r="D1119" s="88" t="s">
        <v>1396</v>
      </c>
      <c r="E1119" s="84" t="s">
        <v>3683</v>
      </c>
      <c r="F1119" s="84" t="s">
        <v>768</v>
      </c>
      <c r="G1119" s="84" t="s">
        <v>3508</v>
      </c>
      <c r="H1119" s="84" t="s">
        <v>3521</v>
      </c>
      <c r="I1119" s="84" t="s">
        <v>3684</v>
      </c>
      <c r="J1119" s="91"/>
      <c r="K1119" s="84" t="s">
        <v>111</v>
      </c>
      <c r="L1119" s="87">
        <v>456.0</v>
      </c>
      <c r="M1119" s="87">
        <v>0.0</v>
      </c>
      <c r="N1119" s="87">
        <v>0.222222</v>
      </c>
      <c r="O1119" s="87">
        <v>0.0</v>
      </c>
      <c r="P1119" s="87">
        <v>0.0</v>
      </c>
      <c r="Q1119" s="87">
        <v>0.222222</v>
      </c>
    </row>
    <row r="1120">
      <c r="A1120" s="84" t="s">
        <v>231</v>
      </c>
      <c r="B1120" s="194"/>
      <c r="C1120" s="84" t="s">
        <v>3651</v>
      </c>
      <c r="D1120" s="88" t="s">
        <v>1396</v>
      </c>
      <c r="E1120" s="84" t="s">
        <v>3683</v>
      </c>
      <c r="F1120" s="84" t="s">
        <v>4212</v>
      </c>
      <c r="G1120" s="84" t="s">
        <v>4213</v>
      </c>
      <c r="H1120" s="84" t="s">
        <v>3513</v>
      </c>
      <c r="I1120" s="84" t="s">
        <v>3709</v>
      </c>
      <c r="J1120" s="91"/>
      <c r="K1120" s="85"/>
      <c r="L1120" s="87">
        <v>480.0</v>
      </c>
      <c r="M1120" s="87">
        <v>0.0</v>
      </c>
      <c r="N1120" s="87">
        <v>0.0</v>
      </c>
      <c r="O1120" s="87">
        <v>0.0</v>
      </c>
      <c r="P1120" s="87">
        <v>0.0</v>
      </c>
      <c r="Q1120" s="87">
        <v>0.0</v>
      </c>
    </row>
    <row r="1121">
      <c r="A1121" s="84" t="s">
        <v>472</v>
      </c>
      <c r="B1121" s="194"/>
      <c r="C1121" s="84" t="s">
        <v>1025</v>
      </c>
      <c r="D1121" s="88" t="s">
        <v>1396</v>
      </c>
      <c r="E1121" s="84" t="s">
        <v>3683</v>
      </c>
      <c r="F1121" s="84" t="s">
        <v>1020</v>
      </c>
      <c r="G1121" s="84" t="s">
        <v>3560</v>
      </c>
      <c r="H1121" s="84" t="s">
        <v>3507</v>
      </c>
      <c r="I1121" s="84" t="s">
        <v>3684</v>
      </c>
      <c r="J1121" s="91"/>
      <c r="K1121" s="84" t="s">
        <v>111</v>
      </c>
      <c r="L1121" s="87">
        <v>456.0</v>
      </c>
      <c r="M1121" s="87">
        <v>0.0</v>
      </c>
      <c r="N1121" s="87">
        <v>0.108187</v>
      </c>
      <c r="O1121" s="87">
        <v>0.333333</v>
      </c>
      <c r="P1121" s="87">
        <v>0.108187</v>
      </c>
      <c r="Q1121" s="87">
        <v>0.04939</v>
      </c>
    </row>
    <row r="1122">
      <c r="A1122" s="84" t="s">
        <v>537</v>
      </c>
      <c r="B1122" s="194"/>
      <c r="C1122" s="84" t="s">
        <v>556</v>
      </c>
      <c r="D1122" s="88" t="s">
        <v>1396</v>
      </c>
      <c r="E1122" s="84" t="s">
        <v>3683</v>
      </c>
      <c r="F1122" s="84" t="s">
        <v>551</v>
      </c>
      <c r="G1122" s="84" t="s">
        <v>3590</v>
      </c>
      <c r="I1122" s="84" t="s">
        <v>3693</v>
      </c>
      <c r="J1122" s="91"/>
      <c r="K1122" s="85"/>
      <c r="L1122" s="87">
        <v>552.0</v>
      </c>
      <c r="M1122" s="87">
        <v>0.0</v>
      </c>
      <c r="N1122" s="87">
        <v>0.0</v>
      </c>
      <c r="O1122" s="87">
        <v>0.0</v>
      </c>
      <c r="P1122" s="87">
        <v>0.0</v>
      </c>
      <c r="Q1122" s="87">
        <v>0.0</v>
      </c>
    </row>
    <row r="1123">
      <c r="A1123" s="84" t="s">
        <v>393</v>
      </c>
      <c r="B1123" s="194"/>
      <c r="C1123" s="84" t="s">
        <v>404</v>
      </c>
      <c r="D1123" s="88" t="s">
        <v>1396</v>
      </c>
      <c r="E1123" s="84" t="s">
        <v>3683</v>
      </c>
      <c r="F1123" s="84" t="s">
        <v>405</v>
      </c>
      <c r="G1123" s="84" t="s">
        <v>3698</v>
      </c>
      <c r="H1123" s="84" t="s">
        <v>3521</v>
      </c>
      <c r="I1123" s="84" t="s">
        <v>3693</v>
      </c>
      <c r="J1123" s="91"/>
      <c r="K1123" s="84" t="s">
        <v>111</v>
      </c>
      <c r="L1123" s="87">
        <v>768.0</v>
      </c>
      <c r="M1123" s="87">
        <v>0.0</v>
      </c>
      <c r="N1123" s="87">
        <v>0.142857</v>
      </c>
      <c r="O1123" s="87">
        <v>0.0</v>
      </c>
      <c r="P1123" s="87">
        <v>0.75</v>
      </c>
      <c r="Q1123" s="87">
        <v>0.142857</v>
      </c>
    </row>
    <row r="1124">
      <c r="A1124" s="84" t="s">
        <v>213</v>
      </c>
      <c r="B1124" s="194"/>
      <c r="C1124" s="84" t="s">
        <v>873</v>
      </c>
      <c r="D1124" s="88" t="s">
        <v>1396</v>
      </c>
      <c r="E1124" s="84" t="s">
        <v>3683</v>
      </c>
      <c r="F1124" s="84" t="s">
        <v>869</v>
      </c>
      <c r="G1124" s="84" t="s">
        <v>3554</v>
      </c>
      <c r="H1124" s="84" t="s">
        <v>3521</v>
      </c>
      <c r="I1124" s="84" t="s">
        <v>3684</v>
      </c>
      <c r="J1124" s="91"/>
      <c r="K1124" s="85"/>
      <c r="L1124" s="87">
        <v>0.0</v>
      </c>
      <c r="M1124" s="87">
        <v>1.0</v>
      </c>
      <c r="N1124" s="87">
        <v>0.0</v>
      </c>
      <c r="O1124" s="87">
        <v>0.214286</v>
      </c>
      <c r="P1124" s="87">
        <v>0.27037</v>
      </c>
      <c r="Q1124" s="87">
        <v>0.459657</v>
      </c>
    </row>
    <row r="1125">
      <c r="A1125" s="84" t="s">
        <v>180</v>
      </c>
      <c r="B1125" s="194"/>
      <c r="C1125" s="84" t="s">
        <v>198</v>
      </c>
      <c r="D1125" s="88" t="s">
        <v>1396</v>
      </c>
      <c r="E1125" s="84" t="s">
        <v>3683</v>
      </c>
      <c r="F1125" s="84" t="s">
        <v>190</v>
      </c>
      <c r="G1125" s="84" t="s">
        <v>3708</v>
      </c>
      <c r="H1125" s="84" t="s">
        <v>3521</v>
      </c>
      <c r="I1125" s="84" t="s">
        <v>3709</v>
      </c>
      <c r="J1125" s="91"/>
      <c r="K1125" s="84" t="s">
        <v>111</v>
      </c>
      <c r="L1125" s="87">
        <v>192.0</v>
      </c>
      <c r="M1125" s="87">
        <v>0.0</v>
      </c>
      <c r="N1125" s="87">
        <v>0.0</v>
      </c>
      <c r="O1125" s="87">
        <v>0.0</v>
      </c>
      <c r="P1125" s="87">
        <v>0.0</v>
      </c>
      <c r="Q1125" s="87">
        <v>0.0</v>
      </c>
    </row>
    <row r="1126">
      <c r="A1126" s="84" t="s">
        <v>225</v>
      </c>
      <c r="B1126" s="194"/>
      <c r="C1126" s="84" t="s">
        <v>223</v>
      </c>
      <c r="D1126" s="88" t="s">
        <v>1396</v>
      </c>
      <c r="E1126" s="84" t="s">
        <v>3687</v>
      </c>
      <c r="F1126" s="84" t="s">
        <v>224</v>
      </c>
      <c r="G1126" s="84" t="s">
        <v>3556</v>
      </c>
      <c r="H1126" s="84" t="s">
        <v>3521</v>
      </c>
      <c r="I1126" s="84" t="s">
        <v>3684</v>
      </c>
      <c r="J1126" s="91"/>
      <c r="K1126" s="85"/>
      <c r="L1126" s="87">
        <v>46.0</v>
      </c>
      <c r="M1126" s="87">
        <v>0.0</v>
      </c>
      <c r="N1126" s="87">
        <v>1.0</v>
      </c>
      <c r="O1126" s="87">
        <v>0.624675</v>
      </c>
      <c r="P1126" s="87">
        <v>0.532749</v>
      </c>
      <c r="Q1126" s="87">
        <v>1.327434</v>
      </c>
    </row>
    <row r="1127">
      <c r="A1127" s="84" t="s">
        <v>644</v>
      </c>
      <c r="B1127" s="194"/>
      <c r="C1127" s="84" t="s">
        <v>685</v>
      </c>
      <c r="D1127" s="88" t="s">
        <v>1396</v>
      </c>
      <c r="E1127" s="84" t="s">
        <v>3687</v>
      </c>
      <c r="F1127" s="84" t="s">
        <v>686</v>
      </c>
      <c r="G1127" s="84" t="s">
        <v>3607</v>
      </c>
      <c r="H1127" s="84" t="s">
        <v>3521</v>
      </c>
      <c r="I1127" s="84" t="s">
        <v>3684</v>
      </c>
      <c r="J1127" s="84" t="s">
        <v>130</v>
      </c>
      <c r="K1127" s="91"/>
      <c r="L1127" s="87">
        <v>24.0</v>
      </c>
      <c r="M1127" s="87">
        <v>0.0</v>
      </c>
      <c r="N1127" s="87">
        <v>0.0</v>
      </c>
      <c r="O1127" s="87">
        <v>0.0</v>
      </c>
      <c r="P1127" s="87">
        <v>0.0</v>
      </c>
      <c r="Q1127" s="87">
        <v>0.0</v>
      </c>
    </row>
    <row r="1128">
      <c r="A1128" s="84" t="s">
        <v>363</v>
      </c>
      <c r="B1128" s="194"/>
      <c r="C1128" s="84" t="s">
        <v>390</v>
      </c>
      <c r="D1128" s="88" t="s">
        <v>1396</v>
      </c>
      <c r="E1128" s="84" t="s">
        <v>3683</v>
      </c>
      <c r="F1128" s="84" t="s">
        <v>382</v>
      </c>
      <c r="G1128" s="84" t="s">
        <v>3991</v>
      </c>
      <c r="H1128" s="84" t="s">
        <v>3527</v>
      </c>
      <c r="I1128" s="84" t="s">
        <v>3709</v>
      </c>
      <c r="J1128" s="84" t="s">
        <v>130</v>
      </c>
      <c r="K1128" s="85"/>
      <c r="L1128" s="87">
        <v>360.0</v>
      </c>
      <c r="M1128" s="87">
        <v>0.0</v>
      </c>
      <c r="N1128" s="87">
        <v>2.916909</v>
      </c>
      <c r="O1128" s="87">
        <v>0.0</v>
      </c>
      <c r="P1128" s="87">
        <v>5.484737</v>
      </c>
      <c r="Q1128" s="87">
        <v>2.843433</v>
      </c>
    </row>
    <row r="1129">
      <c r="A1129" s="84" t="s">
        <v>472</v>
      </c>
      <c r="B1129" s="194"/>
      <c r="C1129" s="84" t="s">
        <v>1021</v>
      </c>
      <c r="D1129" s="88" t="s">
        <v>1396</v>
      </c>
      <c r="E1129" s="84" t="s">
        <v>3683</v>
      </c>
      <c r="F1129" s="84" t="s">
        <v>1020</v>
      </c>
      <c r="G1129" s="84" t="s">
        <v>3560</v>
      </c>
      <c r="H1129" s="84" t="s">
        <v>3507</v>
      </c>
      <c r="I1129" s="84" t="s">
        <v>3684</v>
      </c>
      <c r="J1129" s="91"/>
      <c r="K1129" s="85"/>
      <c r="L1129" s="87">
        <v>120.0</v>
      </c>
      <c r="M1129" s="87">
        <v>1.0</v>
      </c>
      <c r="N1129" s="87">
        <v>1.007826</v>
      </c>
      <c r="O1129" s="87">
        <v>1.279004</v>
      </c>
      <c r="P1129" s="87">
        <v>0.786446</v>
      </c>
      <c r="Q1129" s="87">
        <v>0.689067</v>
      </c>
    </row>
    <row r="1130">
      <c r="A1130" s="84" t="s">
        <v>630</v>
      </c>
      <c r="B1130" s="194"/>
      <c r="C1130" s="84" t="s">
        <v>638</v>
      </c>
      <c r="D1130" s="88" t="s">
        <v>1396</v>
      </c>
      <c r="E1130" s="84" t="s">
        <v>3683</v>
      </c>
      <c r="F1130" s="84" t="s">
        <v>639</v>
      </c>
      <c r="G1130" s="84" t="s">
        <v>3712</v>
      </c>
      <c r="I1130" s="84" t="s">
        <v>3684</v>
      </c>
      <c r="J1130" s="91"/>
      <c r="K1130" s="85"/>
      <c r="L1130" s="87">
        <v>552.0</v>
      </c>
      <c r="M1130" s="87">
        <v>0.0</v>
      </c>
      <c r="N1130" s="87">
        <v>0.0</v>
      </c>
      <c r="O1130" s="87">
        <v>0.0</v>
      </c>
      <c r="P1130" s="87">
        <v>0.0</v>
      </c>
      <c r="Q1130" s="87">
        <v>0.0</v>
      </c>
    </row>
    <row r="1131">
      <c r="A1131" s="84" t="s">
        <v>644</v>
      </c>
      <c r="B1131" s="194"/>
      <c r="C1131" s="84" t="s">
        <v>649</v>
      </c>
      <c r="D1131" s="88" t="s">
        <v>1396</v>
      </c>
      <c r="E1131" s="84" t="s">
        <v>3683</v>
      </c>
      <c r="F1131" s="84" t="s">
        <v>643</v>
      </c>
      <c r="G1131" s="84" t="s">
        <v>3734</v>
      </c>
      <c r="H1131" s="84" t="s">
        <v>3521</v>
      </c>
      <c r="I1131" s="84" t="s">
        <v>3684</v>
      </c>
      <c r="J1131" s="84" t="s">
        <v>130</v>
      </c>
      <c r="K1131" s="85"/>
      <c r="L1131" s="87">
        <v>48.0</v>
      </c>
      <c r="M1131" s="87">
        <v>0.0</v>
      </c>
      <c r="N1131" s="87">
        <v>0.056349</v>
      </c>
      <c r="O1131" s="87">
        <v>0.0</v>
      </c>
      <c r="P1131" s="87">
        <v>0.0</v>
      </c>
      <c r="Q1131" s="87">
        <v>0.056349</v>
      </c>
    </row>
    <row r="1132">
      <c r="A1132" s="84" t="s">
        <v>537</v>
      </c>
      <c r="B1132" s="194"/>
      <c r="C1132" s="84" t="s">
        <v>554</v>
      </c>
      <c r="D1132" s="88" t="s">
        <v>1396</v>
      </c>
      <c r="E1132" s="84" t="s">
        <v>3683</v>
      </c>
      <c r="F1132" s="84" t="s">
        <v>551</v>
      </c>
      <c r="G1132" s="84" t="s">
        <v>3590</v>
      </c>
      <c r="H1132" s="84" t="s">
        <v>3521</v>
      </c>
      <c r="I1132" s="84" t="s">
        <v>3693</v>
      </c>
      <c r="J1132" s="91"/>
      <c r="K1132" s="84" t="s">
        <v>111</v>
      </c>
      <c r="L1132" s="87">
        <v>456.0</v>
      </c>
      <c r="M1132" s="87">
        <v>0.0</v>
      </c>
      <c r="N1132" s="87">
        <v>0.121324</v>
      </c>
      <c r="O1132" s="87">
        <v>0.0</v>
      </c>
      <c r="P1132" s="87">
        <v>0.0</v>
      </c>
      <c r="Q1132" s="87">
        <v>0.121324</v>
      </c>
    </row>
    <row r="1133">
      <c r="A1133" s="84" t="s">
        <v>2609</v>
      </c>
      <c r="B1133" s="194"/>
      <c r="C1133" s="84" t="s">
        <v>1313</v>
      </c>
      <c r="D1133" s="88" t="s">
        <v>1396</v>
      </c>
      <c r="E1133" s="84" t="s">
        <v>3683</v>
      </c>
      <c r="F1133" s="84" t="s">
        <v>3720</v>
      </c>
      <c r="G1133" s="84" t="s">
        <v>3593</v>
      </c>
      <c r="I1133" s="84" t="s">
        <v>3684</v>
      </c>
      <c r="J1133" s="91"/>
      <c r="K1133" s="85"/>
      <c r="L1133" s="87">
        <v>552.0</v>
      </c>
      <c r="M1133" s="87">
        <v>0.0</v>
      </c>
      <c r="N1133" s="87">
        <v>0.0</v>
      </c>
      <c r="O1133" s="87">
        <v>0.0</v>
      </c>
      <c r="P1133" s="87">
        <v>0.0</v>
      </c>
      <c r="Q1133" s="87">
        <v>0.0</v>
      </c>
    </row>
    <row r="1134">
      <c r="A1134" s="84" t="s">
        <v>481</v>
      </c>
      <c r="B1134" s="194"/>
      <c r="C1134" s="84" t="s">
        <v>524</v>
      </c>
      <c r="D1134" s="88" t="s">
        <v>1396</v>
      </c>
      <c r="E1134" s="84" t="s">
        <v>3683</v>
      </c>
      <c r="F1134" s="84" t="s">
        <v>516</v>
      </c>
      <c r="G1134" s="84" t="s">
        <v>3593</v>
      </c>
      <c r="H1134" s="84" t="s">
        <v>3521</v>
      </c>
      <c r="I1134" s="84" t="s">
        <v>3684</v>
      </c>
      <c r="J1134" s="84" t="s">
        <v>130</v>
      </c>
      <c r="K1134" s="85"/>
      <c r="L1134" s="87">
        <v>24.0</v>
      </c>
      <c r="M1134" s="87">
        <v>0.0</v>
      </c>
      <c r="N1134" s="87">
        <v>0.0</v>
      </c>
      <c r="O1134" s="87">
        <v>0.0</v>
      </c>
      <c r="P1134" s="87">
        <v>0.0</v>
      </c>
      <c r="Q1134" s="87">
        <v>0.0</v>
      </c>
    </row>
    <row r="1135">
      <c r="A1135" s="84" t="s">
        <v>74</v>
      </c>
      <c r="B1135" s="194"/>
      <c r="C1135" s="84" t="s">
        <v>72</v>
      </c>
      <c r="D1135" s="88" t="s">
        <v>1396</v>
      </c>
      <c r="E1135" s="84" t="s">
        <v>3683</v>
      </c>
      <c r="F1135" s="84" t="s">
        <v>73</v>
      </c>
      <c r="G1135" s="84" t="s">
        <v>3712</v>
      </c>
      <c r="H1135" s="84" t="s">
        <v>3521</v>
      </c>
      <c r="I1135" s="84" t="s">
        <v>3684</v>
      </c>
      <c r="J1135" s="84" t="s">
        <v>130</v>
      </c>
      <c r="K1135" s="84" t="s">
        <v>111</v>
      </c>
      <c r="L1135" s="87">
        <v>24.0</v>
      </c>
      <c r="M1135" s="87">
        <v>0.0</v>
      </c>
      <c r="N1135" s="87">
        <v>0.0</v>
      </c>
      <c r="O1135" s="87">
        <v>0.0</v>
      </c>
      <c r="P1135" s="87">
        <v>0.0</v>
      </c>
      <c r="Q1135" s="87">
        <v>0.0</v>
      </c>
    </row>
    <row r="1136">
      <c r="A1136" s="84" t="s">
        <v>568</v>
      </c>
      <c r="B1136" s="193"/>
      <c r="C1136" s="84" t="s">
        <v>1057</v>
      </c>
      <c r="D1136" s="88" t="s">
        <v>1396</v>
      </c>
      <c r="E1136" s="84" t="s">
        <v>3687</v>
      </c>
      <c r="F1136" s="91"/>
      <c r="G1136" s="84" t="s">
        <v>3558</v>
      </c>
      <c r="H1136" s="84" t="s">
        <v>3521</v>
      </c>
      <c r="I1136" s="84" t="s">
        <v>3684</v>
      </c>
      <c r="J1136" s="84" t="s">
        <v>130</v>
      </c>
      <c r="K1136" s="85"/>
      <c r="L1136" s="87">
        <v>24.0</v>
      </c>
      <c r="M1136" s="87">
        <v>0.0</v>
      </c>
      <c r="N1136" s="87">
        <v>0.0</v>
      </c>
      <c r="O1136" s="87">
        <v>0.0</v>
      </c>
      <c r="P1136" s="87">
        <v>0.0</v>
      </c>
      <c r="Q1136" s="87">
        <v>0.0</v>
      </c>
    </row>
    <row r="1137">
      <c r="A1137" s="84" t="s">
        <v>439</v>
      </c>
      <c r="B1137" s="194"/>
      <c r="C1137" s="84" t="s">
        <v>3838</v>
      </c>
      <c r="D1137" s="88" t="s">
        <v>1396</v>
      </c>
      <c r="E1137" s="84" t="s">
        <v>3683</v>
      </c>
      <c r="F1137" s="84" t="s">
        <v>3714</v>
      </c>
      <c r="G1137" s="84" t="s">
        <v>3715</v>
      </c>
      <c r="H1137" s="84" t="s">
        <v>3527</v>
      </c>
      <c r="I1137" s="84" t="s">
        <v>3684</v>
      </c>
      <c r="J1137" s="84" t="s">
        <v>130</v>
      </c>
      <c r="K1137" s="85"/>
      <c r="L1137" s="87">
        <v>720.0</v>
      </c>
      <c r="M1137" s="87">
        <v>0.0</v>
      </c>
      <c r="N1137" s="87">
        <v>2.042857</v>
      </c>
      <c r="O1137" s="87">
        <v>0.0</v>
      </c>
      <c r="P1137" s="87">
        <v>0.0</v>
      </c>
      <c r="Q1137" s="87">
        <v>2.042857</v>
      </c>
    </row>
    <row r="1138">
      <c r="A1138" s="84" t="s">
        <v>481</v>
      </c>
      <c r="B1138" s="194"/>
      <c r="C1138" s="84" t="s">
        <v>1000</v>
      </c>
      <c r="D1138" s="88" t="s">
        <v>1396</v>
      </c>
      <c r="E1138" s="84" t="s">
        <v>3683</v>
      </c>
      <c r="F1138" s="84" t="s">
        <v>989</v>
      </c>
      <c r="G1138" s="84" t="s">
        <v>3585</v>
      </c>
      <c r="H1138" s="84" t="s">
        <v>3521</v>
      </c>
      <c r="I1138" s="84" t="s">
        <v>3684</v>
      </c>
      <c r="J1138" s="91"/>
      <c r="K1138" s="85"/>
      <c r="L1138" s="87">
        <v>47.0</v>
      </c>
      <c r="M1138" s="87">
        <v>2.0</v>
      </c>
      <c r="N1138" s="87">
        <v>0.0</v>
      </c>
      <c r="O1138" s="87">
        <v>1.0</v>
      </c>
      <c r="P1138" s="87">
        <v>1.066667</v>
      </c>
      <c r="Q1138" s="87">
        <v>1.038264</v>
      </c>
    </row>
    <row r="1139">
      <c r="A1139" s="84" t="s">
        <v>472</v>
      </c>
      <c r="B1139" s="194"/>
      <c r="C1139" s="84" t="s">
        <v>1026</v>
      </c>
      <c r="D1139" s="88" t="s">
        <v>1396</v>
      </c>
      <c r="E1139" s="84" t="s">
        <v>3683</v>
      </c>
      <c r="F1139" s="84" t="s">
        <v>1020</v>
      </c>
      <c r="G1139" s="84" t="s">
        <v>3560</v>
      </c>
      <c r="H1139" s="84" t="s">
        <v>3507</v>
      </c>
      <c r="I1139" s="84" t="s">
        <v>3684</v>
      </c>
      <c r="J1139" s="91"/>
      <c r="K1139" s="85"/>
      <c r="L1139" s="87">
        <v>153.0</v>
      </c>
      <c r="M1139" s="87">
        <v>1.0</v>
      </c>
      <c r="N1139" s="87">
        <v>0.985391</v>
      </c>
      <c r="O1139" s="87">
        <v>0.271429</v>
      </c>
      <c r="P1139" s="87">
        <v>1.300042</v>
      </c>
      <c r="Q1139" s="87">
        <v>0.922744</v>
      </c>
    </row>
    <row r="1140">
      <c r="A1140" s="84" t="s">
        <v>439</v>
      </c>
      <c r="B1140" s="194"/>
      <c r="C1140" s="84" t="s">
        <v>4214</v>
      </c>
      <c r="D1140" s="88" t="s">
        <v>1396</v>
      </c>
      <c r="E1140" s="84" t="s">
        <v>3683</v>
      </c>
      <c r="F1140" s="84" t="s">
        <v>3714</v>
      </c>
      <c r="G1140" s="84" t="s">
        <v>3715</v>
      </c>
      <c r="H1140" s="84" t="s">
        <v>3521</v>
      </c>
      <c r="I1140" s="84" t="s">
        <v>3684</v>
      </c>
      <c r="J1140" s="91"/>
      <c r="K1140" s="91"/>
      <c r="L1140" s="87">
        <v>480.0</v>
      </c>
      <c r="M1140" s="87">
        <v>0.0</v>
      </c>
      <c r="N1140" s="87">
        <v>0.0</v>
      </c>
      <c r="O1140" s="87">
        <v>0.0</v>
      </c>
      <c r="P1140" s="87">
        <v>0.0</v>
      </c>
      <c r="Q1140" s="87">
        <v>0.0</v>
      </c>
    </row>
    <row r="1141">
      <c r="A1141" s="84" t="s">
        <v>444</v>
      </c>
      <c r="B1141" s="194"/>
      <c r="C1141" s="84" t="s">
        <v>956</v>
      </c>
      <c r="D1141" s="88" t="s">
        <v>1396</v>
      </c>
      <c r="E1141" s="84" t="s">
        <v>3683</v>
      </c>
      <c r="F1141" s="84" t="s">
        <v>957</v>
      </c>
      <c r="G1141" s="84" t="s">
        <v>3579</v>
      </c>
      <c r="I1141" s="84" t="s">
        <v>3684</v>
      </c>
      <c r="J1141" s="91"/>
      <c r="K1141" s="91"/>
      <c r="L1141" s="87">
        <v>552.0</v>
      </c>
      <c r="M1141" s="87">
        <v>0.0</v>
      </c>
      <c r="N1141" s="87">
        <v>0.0</v>
      </c>
      <c r="O1141" s="87">
        <v>0.0</v>
      </c>
      <c r="P1141" s="87">
        <v>0.0</v>
      </c>
      <c r="Q1141" s="87">
        <v>0.0</v>
      </c>
    </row>
    <row r="1142">
      <c r="A1142" s="84" t="s">
        <v>644</v>
      </c>
      <c r="B1142" s="194"/>
      <c r="C1142" s="84" t="s">
        <v>696</v>
      </c>
      <c r="D1142" s="88" t="s">
        <v>1396</v>
      </c>
      <c r="E1142" s="84" t="s">
        <v>3683</v>
      </c>
      <c r="F1142" s="84" t="s">
        <v>686</v>
      </c>
      <c r="G1142" s="84" t="s">
        <v>3607</v>
      </c>
      <c r="H1142" s="84" t="s">
        <v>3521</v>
      </c>
      <c r="I1142" s="84" t="s">
        <v>3684</v>
      </c>
      <c r="J1142" s="84" t="s">
        <v>215</v>
      </c>
      <c r="L1142" s="87">
        <v>408.0</v>
      </c>
      <c r="M1142" s="87">
        <v>0.0</v>
      </c>
      <c r="N1142" s="87">
        <v>0.791667</v>
      </c>
      <c r="O1142" s="87">
        <v>0.0</v>
      </c>
      <c r="P1142" s="87">
        <v>0.0</v>
      </c>
      <c r="Q1142" s="87">
        <v>0.841667</v>
      </c>
    </row>
    <row r="1143">
      <c r="A1143" s="84" t="s">
        <v>481</v>
      </c>
      <c r="B1143" s="194"/>
      <c r="C1143" s="84" t="s">
        <v>992</v>
      </c>
      <c r="D1143" s="88" t="s">
        <v>1396</v>
      </c>
      <c r="E1143" s="84" t="s">
        <v>3683</v>
      </c>
      <c r="F1143" s="84" t="s">
        <v>989</v>
      </c>
      <c r="G1143" s="84" t="s">
        <v>3585</v>
      </c>
      <c r="H1143" s="84" t="s">
        <v>3521</v>
      </c>
      <c r="I1143" s="84" t="s">
        <v>3684</v>
      </c>
      <c r="J1143" s="84" t="s">
        <v>130</v>
      </c>
      <c r="K1143" s="85"/>
      <c r="L1143" s="87">
        <v>0.0</v>
      </c>
      <c r="M1143" s="87">
        <v>0.0</v>
      </c>
      <c r="N1143" s="87">
        <v>0.0</v>
      </c>
      <c r="O1143" s="87">
        <v>0.071429</v>
      </c>
      <c r="P1143" s="87">
        <v>0.033333</v>
      </c>
      <c r="Q1143" s="87">
        <v>0.066667</v>
      </c>
    </row>
    <row r="1144">
      <c r="A1144" s="84" t="s">
        <v>573</v>
      </c>
      <c r="B1144" s="194"/>
      <c r="C1144" s="84" t="s">
        <v>594</v>
      </c>
      <c r="D1144" s="88" t="s">
        <v>1396</v>
      </c>
      <c r="E1144" s="91"/>
      <c r="F1144" s="84" t="s">
        <v>595</v>
      </c>
      <c r="G1144" s="84" t="s">
        <v>3560</v>
      </c>
      <c r="I1144" s="84" t="s">
        <v>3709</v>
      </c>
      <c r="J1144" s="91"/>
      <c r="K1144" s="85"/>
      <c r="L1144" s="87">
        <v>432.0</v>
      </c>
      <c r="M1144" s="87">
        <v>0.0</v>
      </c>
      <c r="N1144" s="87">
        <v>0.0</v>
      </c>
      <c r="O1144" s="87">
        <v>0.0</v>
      </c>
      <c r="P1144" s="87">
        <v>0.0</v>
      </c>
      <c r="Q1144" s="87">
        <v>0.0</v>
      </c>
    </row>
    <row r="1145">
      <c r="A1145" s="84" t="s">
        <v>180</v>
      </c>
      <c r="B1145" s="194"/>
      <c r="C1145" s="84" t="s">
        <v>831</v>
      </c>
      <c r="D1145" s="88" t="s">
        <v>1396</v>
      </c>
      <c r="E1145" s="91"/>
      <c r="F1145" s="84" t="s">
        <v>830</v>
      </c>
      <c r="G1145" s="84" t="s">
        <v>3549</v>
      </c>
      <c r="I1145" s="84" t="s">
        <v>3684</v>
      </c>
      <c r="J1145" s="91"/>
      <c r="K1145" s="85"/>
      <c r="L1145" s="87">
        <v>432.0</v>
      </c>
      <c r="M1145" s="87">
        <v>0.0</v>
      </c>
      <c r="N1145" s="87">
        <v>0.0</v>
      </c>
      <c r="O1145" s="87">
        <v>0.0</v>
      </c>
      <c r="P1145" s="87">
        <v>0.0</v>
      </c>
      <c r="Q1145" s="87">
        <v>0.0</v>
      </c>
    </row>
    <row r="1146">
      <c r="A1146" s="84" t="s">
        <v>472</v>
      </c>
      <c r="B1146" s="194"/>
      <c r="C1146" s="84" t="s">
        <v>533</v>
      </c>
      <c r="D1146" s="88" t="s">
        <v>1396</v>
      </c>
      <c r="E1146" s="84" t="s">
        <v>3683</v>
      </c>
      <c r="F1146" s="84" t="s">
        <v>526</v>
      </c>
      <c r="G1146" s="84" t="s">
        <v>3593</v>
      </c>
      <c r="H1146" s="84" t="s">
        <v>3507</v>
      </c>
      <c r="I1146" s="84" t="s">
        <v>3684</v>
      </c>
      <c r="J1146" s="91"/>
      <c r="K1146" s="84" t="s">
        <v>111</v>
      </c>
      <c r="L1146" s="87">
        <v>24.0</v>
      </c>
      <c r="M1146" s="87">
        <v>0.0</v>
      </c>
      <c r="N1146" s="87">
        <v>0.0</v>
      </c>
      <c r="O1146" s="87">
        <v>0.0</v>
      </c>
      <c r="P1146" s="87">
        <v>0.0</v>
      </c>
      <c r="Q1146" s="87">
        <v>0.0</v>
      </c>
    </row>
    <row r="1147">
      <c r="A1147" s="84" t="s">
        <v>139</v>
      </c>
      <c r="B1147" s="194"/>
      <c r="C1147" s="84" t="s">
        <v>166</v>
      </c>
      <c r="D1147" s="88" t="s">
        <v>1396</v>
      </c>
      <c r="E1147" s="84" t="s">
        <v>3683</v>
      </c>
      <c r="F1147" s="84" t="s">
        <v>144</v>
      </c>
      <c r="G1147" s="84" t="s">
        <v>3700</v>
      </c>
      <c r="H1147" s="84" t="s">
        <v>3521</v>
      </c>
      <c r="I1147" s="84" t="s">
        <v>3684</v>
      </c>
      <c r="J1147" s="84" t="s">
        <v>130</v>
      </c>
      <c r="K1147" s="84" t="s">
        <v>111</v>
      </c>
      <c r="L1147" s="87">
        <v>816.0</v>
      </c>
      <c r="M1147" s="87">
        <v>0.0</v>
      </c>
      <c r="N1147" s="87">
        <v>0.0</v>
      </c>
      <c r="O1147" s="87">
        <v>0.0</v>
      </c>
      <c r="P1147" s="87">
        <v>0.0</v>
      </c>
      <c r="Q1147" s="87">
        <v>0.0</v>
      </c>
    </row>
    <row r="1148">
      <c r="A1148" s="84" t="s">
        <v>139</v>
      </c>
      <c r="B1148" s="194"/>
      <c r="C1148" s="84" t="s">
        <v>176</v>
      </c>
      <c r="D1148" s="88" t="s">
        <v>1396</v>
      </c>
      <c r="E1148" s="84" t="s">
        <v>3683</v>
      </c>
      <c r="F1148" s="84" t="s">
        <v>144</v>
      </c>
      <c r="G1148" s="84" t="s">
        <v>3700</v>
      </c>
      <c r="H1148" s="84" t="s">
        <v>3521</v>
      </c>
      <c r="I1148" s="84" t="s">
        <v>3684</v>
      </c>
      <c r="J1148" s="84" t="s">
        <v>130</v>
      </c>
      <c r="K1148" s="84" t="s">
        <v>111</v>
      </c>
      <c r="L1148" s="87">
        <v>768.0</v>
      </c>
      <c r="M1148" s="87">
        <v>0.0</v>
      </c>
      <c r="N1148" s="87">
        <v>25.63672</v>
      </c>
      <c r="O1148" s="87">
        <v>0.0</v>
      </c>
      <c r="P1148" s="87">
        <v>0.0</v>
      </c>
      <c r="Q1148" s="87">
        <v>25.63672</v>
      </c>
    </row>
    <row r="1149">
      <c r="A1149" s="84" t="s">
        <v>472</v>
      </c>
      <c r="B1149" s="194"/>
      <c r="C1149" s="84" t="s">
        <v>533</v>
      </c>
      <c r="D1149" s="88" t="s">
        <v>1396</v>
      </c>
      <c r="E1149" s="84" t="s">
        <v>3683</v>
      </c>
      <c r="F1149" s="84" t="s">
        <v>526</v>
      </c>
      <c r="G1149" s="84" t="s">
        <v>3593</v>
      </c>
      <c r="H1149" s="84" t="s">
        <v>3507</v>
      </c>
      <c r="I1149" s="84" t="s">
        <v>3684</v>
      </c>
      <c r="J1149" s="91"/>
      <c r="K1149" s="91"/>
      <c r="L1149" s="87">
        <v>24.0</v>
      </c>
      <c r="M1149" s="87">
        <v>0.0</v>
      </c>
      <c r="N1149" s="87">
        <v>0.125</v>
      </c>
      <c r="O1149" s="87">
        <v>0.196429</v>
      </c>
      <c r="P1149" s="87">
        <v>0.183333</v>
      </c>
      <c r="Q1149" s="87">
        <v>0.191667</v>
      </c>
    </row>
    <row r="1150">
      <c r="A1150" s="84" t="s">
        <v>537</v>
      </c>
      <c r="B1150" s="194"/>
      <c r="C1150" s="84" t="s">
        <v>1051</v>
      </c>
      <c r="D1150" s="88" t="s">
        <v>1396</v>
      </c>
      <c r="E1150" s="84" t="s">
        <v>3683</v>
      </c>
      <c r="F1150" s="84" t="s">
        <v>1047</v>
      </c>
      <c r="G1150" s="84" t="s">
        <v>3592</v>
      </c>
      <c r="H1150" s="84" t="s">
        <v>3521</v>
      </c>
      <c r="I1150" s="84" t="s">
        <v>3693</v>
      </c>
      <c r="J1150" s="91"/>
      <c r="K1150" s="84" t="s">
        <v>111</v>
      </c>
      <c r="L1150" s="87">
        <v>456.0</v>
      </c>
      <c r="M1150" s="87">
        <v>0.0</v>
      </c>
      <c r="N1150" s="87">
        <v>0.066667</v>
      </c>
      <c r="O1150" s="87">
        <v>0.0</v>
      </c>
      <c r="P1150" s="87">
        <v>0.166667</v>
      </c>
      <c r="Q1150" s="87">
        <v>0.066667</v>
      </c>
    </row>
    <row r="1151">
      <c r="A1151" s="84" t="s">
        <v>458</v>
      </c>
      <c r="B1151" s="194"/>
      <c r="C1151" s="84" t="s">
        <v>965</v>
      </c>
      <c r="D1151" s="88" t="s">
        <v>1396</v>
      </c>
      <c r="E1151" s="84" t="s">
        <v>3683</v>
      </c>
      <c r="F1151" s="84" t="s">
        <v>963</v>
      </c>
      <c r="G1151" s="84" t="s">
        <v>3581</v>
      </c>
      <c r="H1151" s="84" t="s">
        <v>3521</v>
      </c>
      <c r="I1151" s="84" t="s">
        <v>3684</v>
      </c>
      <c r="J1151" s="91"/>
      <c r="K1151" s="84" t="s">
        <v>111</v>
      </c>
      <c r="L1151" s="87">
        <v>792.0</v>
      </c>
      <c r="M1151" s="87">
        <v>0.0</v>
      </c>
      <c r="N1151" s="87">
        <v>0.173079</v>
      </c>
      <c r="O1151" s="87">
        <v>0.0</v>
      </c>
      <c r="P1151" s="87">
        <v>0.285714</v>
      </c>
      <c r="Q1151" s="87">
        <v>0.173079</v>
      </c>
    </row>
    <row r="1152">
      <c r="A1152" s="84" t="s">
        <v>644</v>
      </c>
      <c r="B1152" s="194"/>
      <c r="C1152" s="84" t="s">
        <v>699</v>
      </c>
      <c r="D1152" s="88" t="s">
        <v>1396</v>
      </c>
      <c r="E1152" s="84" t="s">
        <v>3683</v>
      </c>
      <c r="F1152" s="84" t="s">
        <v>686</v>
      </c>
      <c r="G1152" s="84" t="s">
        <v>3607</v>
      </c>
      <c r="H1152" s="84" t="s">
        <v>3521</v>
      </c>
      <c r="I1152" s="84" t="s">
        <v>3684</v>
      </c>
      <c r="J1152" s="84" t="s">
        <v>130</v>
      </c>
      <c r="K1152" s="85"/>
      <c r="L1152" s="87">
        <v>24.0</v>
      </c>
      <c r="M1152" s="87">
        <v>0.0</v>
      </c>
      <c r="N1152" s="87">
        <v>0.0</v>
      </c>
      <c r="O1152" s="87">
        <v>0.0</v>
      </c>
      <c r="P1152" s="87">
        <v>0.0</v>
      </c>
      <c r="Q1152" s="87">
        <v>0.0</v>
      </c>
    </row>
    <row r="1153">
      <c r="A1153" s="84" t="s">
        <v>139</v>
      </c>
      <c r="B1153" s="194"/>
      <c r="C1153" s="84" t="s">
        <v>170</v>
      </c>
      <c r="D1153" s="88" t="s">
        <v>1396</v>
      </c>
      <c r="E1153" s="84" t="s">
        <v>3683</v>
      </c>
      <c r="F1153" s="84" t="s">
        <v>144</v>
      </c>
      <c r="G1153" s="84" t="s">
        <v>3700</v>
      </c>
      <c r="I1153" s="84" t="s">
        <v>3684</v>
      </c>
      <c r="J1153" s="84" t="s">
        <v>130</v>
      </c>
      <c r="K1153" s="91"/>
      <c r="L1153" s="87">
        <v>48.0</v>
      </c>
      <c r="M1153" s="87">
        <v>0.0</v>
      </c>
      <c r="N1153" s="87">
        <v>0.0</v>
      </c>
      <c r="O1153" s="87">
        <v>0.0</v>
      </c>
      <c r="P1153" s="87">
        <v>0.0</v>
      </c>
      <c r="Q1153" s="87">
        <v>0.0</v>
      </c>
    </row>
    <row r="1154">
      <c r="A1154" s="84" t="s">
        <v>363</v>
      </c>
      <c r="B1154" s="194"/>
      <c r="C1154" s="84" t="s">
        <v>389</v>
      </c>
      <c r="D1154" s="88" t="s">
        <v>1396</v>
      </c>
      <c r="E1154" s="84" t="s">
        <v>3683</v>
      </c>
      <c r="F1154" s="84" t="s">
        <v>382</v>
      </c>
      <c r="G1154" s="84" t="s">
        <v>3991</v>
      </c>
      <c r="H1154" s="84" t="s">
        <v>3527</v>
      </c>
      <c r="I1154" s="84" t="s">
        <v>3709</v>
      </c>
      <c r="J1154" s="91"/>
      <c r="K1154" s="85"/>
      <c r="L1154" s="87">
        <v>96.0</v>
      </c>
      <c r="M1154" s="87">
        <v>0.0</v>
      </c>
      <c r="N1154" s="87">
        <v>0.25</v>
      </c>
      <c r="O1154" s="87">
        <v>0.0</v>
      </c>
      <c r="P1154" s="87">
        <v>0.25</v>
      </c>
      <c r="Q1154" s="87">
        <v>0.25</v>
      </c>
    </row>
    <row r="1155">
      <c r="A1155" s="84" t="s">
        <v>472</v>
      </c>
      <c r="B1155" s="194"/>
      <c r="C1155" s="84" t="s">
        <v>501</v>
      </c>
      <c r="D1155" s="88" t="s">
        <v>1396</v>
      </c>
      <c r="E1155" s="84" t="s">
        <v>3683</v>
      </c>
      <c r="F1155" s="84" t="s">
        <v>502</v>
      </c>
      <c r="G1155" s="84" t="s">
        <v>3827</v>
      </c>
      <c r="H1155" s="84" t="s">
        <v>3507</v>
      </c>
      <c r="I1155" s="84" t="s">
        <v>3684</v>
      </c>
      <c r="J1155" s="84" t="s">
        <v>130</v>
      </c>
      <c r="K1155" s="85"/>
      <c r="L1155" s="87">
        <v>0.0</v>
      </c>
      <c r="M1155" s="87">
        <v>0.0</v>
      </c>
      <c r="N1155" s="87">
        <v>0.0</v>
      </c>
      <c r="O1155" s="87">
        <v>0.071429</v>
      </c>
      <c r="P1155" s="87">
        <v>0.033333</v>
      </c>
      <c r="Q1155" s="87">
        <v>0.016667</v>
      </c>
    </row>
    <row r="1156">
      <c r="A1156" s="84" t="s">
        <v>258</v>
      </c>
      <c r="B1156" s="194"/>
      <c r="C1156" s="84" t="s">
        <v>902</v>
      </c>
      <c r="D1156" s="88" t="s">
        <v>1396</v>
      </c>
      <c r="E1156" s="91"/>
      <c r="F1156" s="84" t="s">
        <v>898</v>
      </c>
      <c r="G1156" s="84" t="s">
        <v>3560</v>
      </c>
      <c r="I1156" s="84" t="s">
        <v>3684</v>
      </c>
      <c r="J1156" s="91"/>
      <c r="K1156" s="85"/>
      <c r="L1156" s="87">
        <v>24.0</v>
      </c>
      <c r="M1156" s="87">
        <v>0.0</v>
      </c>
      <c r="N1156" s="87">
        <v>0.0</v>
      </c>
      <c r="O1156" s="87">
        <v>0.0</v>
      </c>
      <c r="P1156" s="87">
        <v>0.0</v>
      </c>
      <c r="Q1156" s="87">
        <v>0.0</v>
      </c>
    </row>
    <row r="1157">
      <c r="A1157" s="84" t="s">
        <v>795</v>
      </c>
      <c r="B1157" s="194"/>
      <c r="C1157" s="84" t="s">
        <v>803</v>
      </c>
      <c r="D1157" s="88" t="s">
        <v>1396</v>
      </c>
      <c r="E1157" s="84" t="s">
        <v>3683</v>
      </c>
      <c r="F1157" s="84" t="s">
        <v>804</v>
      </c>
      <c r="G1157" s="84" t="s">
        <v>3827</v>
      </c>
      <c r="H1157" s="84" t="s">
        <v>3521</v>
      </c>
      <c r="I1157" s="84" t="s">
        <v>3684</v>
      </c>
      <c r="J1157" s="84" t="s">
        <v>130</v>
      </c>
      <c r="K1157" s="85"/>
      <c r="L1157" s="87">
        <v>24.0</v>
      </c>
      <c r="M1157" s="87">
        <v>0.0</v>
      </c>
      <c r="N1157" s="87">
        <v>0.0</v>
      </c>
      <c r="O1157" s="87">
        <v>0.0</v>
      </c>
      <c r="P1157" s="87">
        <v>0.0</v>
      </c>
      <c r="Q1157" s="87">
        <v>0.0</v>
      </c>
    </row>
    <row r="1158">
      <c r="A1158" s="84" t="s">
        <v>231</v>
      </c>
      <c r="B1158" s="194"/>
      <c r="C1158" s="84" t="s">
        <v>3651</v>
      </c>
      <c r="D1158" s="88" t="s">
        <v>1396</v>
      </c>
      <c r="E1158" s="84" t="s">
        <v>3687</v>
      </c>
      <c r="F1158" s="84" t="s">
        <v>4212</v>
      </c>
      <c r="G1158" s="84" t="s">
        <v>4213</v>
      </c>
      <c r="H1158" s="84" t="s">
        <v>3521</v>
      </c>
      <c r="I1158" s="84" t="s">
        <v>3709</v>
      </c>
      <c r="J1158" s="84" t="s">
        <v>130</v>
      </c>
      <c r="K1158" s="84" t="s">
        <v>111</v>
      </c>
      <c r="L1158" s="87">
        <v>24.0</v>
      </c>
      <c r="M1158" s="87">
        <v>0.0</v>
      </c>
      <c r="N1158" s="87">
        <v>0.0</v>
      </c>
      <c r="O1158" s="87">
        <v>0.0</v>
      </c>
      <c r="P1158" s="87">
        <v>0.0</v>
      </c>
      <c r="Q1158" s="87">
        <v>0.0</v>
      </c>
    </row>
    <row r="1159">
      <c r="A1159" s="84" t="s">
        <v>458</v>
      </c>
      <c r="B1159" s="194"/>
      <c r="C1159" s="84" t="s">
        <v>461</v>
      </c>
      <c r="D1159" s="88" t="s">
        <v>1396</v>
      </c>
      <c r="E1159" s="84" t="s">
        <v>3683</v>
      </c>
      <c r="F1159" s="84" t="s">
        <v>457</v>
      </c>
      <c r="G1159" s="84" t="s">
        <v>3560</v>
      </c>
      <c r="H1159" s="84" t="s">
        <v>3521</v>
      </c>
      <c r="I1159" s="84" t="s">
        <v>3684</v>
      </c>
      <c r="J1159" s="84" t="s">
        <v>130</v>
      </c>
      <c r="K1159" s="85"/>
      <c r="L1159" s="87">
        <v>24.0</v>
      </c>
      <c r="M1159" s="87">
        <v>0.0</v>
      </c>
      <c r="N1159" s="87">
        <v>0.0</v>
      </c>
      <c r="O1159" s="87">
        <v>0.0</v>
      </c>
      <c r="P1159" s="87">
        <v>0.0</v>
      </c>
      <c r="Q1159" s="87">
        <v>0.0</v>
      </c>
    </row>
    <row r="1160">
      <c r="A1160" s="84" t="s">
        <v>458</v>
      </c>
      <c r="B1160" s="194"/>
      <c r="C1160" s="84" t="s">
        <v>969</v>
      </c>
      <c r="D1160" s="88" t="s">
        <v>1396</v>
      </c>
      <c r="E1160" s="84" t="s">
        <v>3683</v>
      </c>
      <c r="F1160" s="84" t="s">
        <v>970</v>
      </c>
      <c r="G1160" s="84" t="s">
        <v>3581</v>
      </c>
      <c r="H1160" s="84" t="s">
        <v>3521</v>
      </c>
      <c r="I1160" s="84" t="s">
        <v>3684</v>
      </c>
      <c r="J1160" s="84" t="s">
        <v>130</v>
      </c>
      <c r="K1160" s="84" t="s">
        <v>111</v>
      </c>
      <c r="L1160" s="87">
        <v>24.0</v>
      </c>
      <c r="M1160" s="87">
        <v>0.0</v>
      </c>
      <c r="N1160" s="87">
        <v>0.0</v>
      </c>
      <c r="O1160" s="87">
        <v>0.0</v>
      </c>
      <c r="P1160" s="87">
        <v>0.0</v>
      </c>
      <c r="Q1160" s="87">
        <v>0.0</v>
      </c>
    </row>
    <row r="1161">
      <c r="A1161" s="84" t="s">
        <v>644</v>
      </c>
      <c r="B1161" s="194"/>
      <c r="C1161" s="84" t="s">
        <v>1246</v>
      </c>
      <c r="D1161" s="88" t="s">
        <v>1396</v>
      </c>
      <c r="E1161" s="84" t="s">
        <v>3683</v>
      </c>
      <c r="F1161" s="84" t="s">
        <v>1244</v>
      </c>
      <c r="G1161" s="84" t="s">
        <v>3607</v>
      </c>
      <c r="H1161" s="84" t="s">
        <v>3521</v>
      </c>
      <c r="I1161" s="84" t="s">
        <v>3684</v>
      </c>
      <c r="J1161" s="84" t="s">
        <v>130</v>
      </c>
      <c r="K1161" s="85"/>
      <c r="L1161" s="87">
        <v>24.0</v>
      </c>
      <c r="M1161" s="87">
        <v>0.0</v>
      </c>
      <c r="N1161" s="87">
        <v>0.0</v>
      </c>
      <c r="O1161" s="87">
        <v>0.0</v>
      </c>
      <c r="P1161" s="87">
        <v>0.0</v>
      </c>
      <c r="Q1161" s="87">
        <v>0.0</v>
      </c>
    </row>
    <row r="1162">
      <c r="A1162" s="84" t="s">
        <v>644</v>
      </c>
      <c r="B1162" s="194"/>
      <c r="C1162" s="84" t="s">
        <v>1212</v>
      </c>
      <c r="D1162" s="88" t="s">
        <v>1396</v>
      </c>
      <c r="E1162" s="84" t="s">
        <v>3683</v>
      </c>
      <c r="F1162" s="84" t="s">
        <v>1208</v>
      </c>
      <c r="G1162" s="84" t="s">
        <v>3606</v>
      </c>
      <c r="H1162" s="84" t="s">
        <v>3521</v>
      </c>
      <c r="I1162" s="84" t="s">
        <v>3684</v>
      </c>
      <c r="J1162" s="84" t="s">
        <v>130</v>
      </c>
      <c r="K1162" s="91"/>
      <c r="L1162" s="87">
        <v>24.0</v>
      </c>
      <c r="M1162" s="87">
        <v>0.0</v>
      </c>
      <c r="N1162" s="87">
        <v>0.0</v>
      </c>
      <c r="O1162" s="87">
        <v>0.0</v>
      </c>
      <c r="P1162" s="87">
        <v>0.0</v>
      </c>
      <c r="Q1162" s="87">
        <v>0.0</v>
      </c>
    </row>
    <row r="1163">
      <c r="A1163" s="84" t="s">
        <v>481</v>
      </c>
      <c r="B1163" s="194"/>
      <c r="C1163" s="84" t="s">
        <v>532</v>
      </c>
      <c r="D1163" s="88" t="s">
        <v>1396</v>
      </c>
      <c r="E1163" s="84" t="s">
        <v>3683</v>
      </c>
      <c r="F1163" s="84" t="s">
        <v>526</v>
      </c>
      <c r="G1163" s="84" t="s">
        <v>3593</v>
      </c>
      <c r="I1163" s="84" t="s">
        <v>3684</v>
      </c>
      <c r="J1163" s="91"/>
      <c r="K1163" s="91"/>
      <c r="L1163" s="87">
        <v>24.0</v>
      </c>
      <c r="M1163" s="87">
        <v>0.0</v>
      </c>
      <c r="N1163" s="87">
        <v>0.0</v>
      </c>
      <c r="O1163" s="87">
        <v>0.0</v>
      </c>
      <c r="P1163" s="87">
        <v>0.0</v>
      </c>
      <c r="Q1163" s="87">
        <v>0.0</v>
      </c>
    </row>
    <row r="1164">
      <c r="A1164" s="84" t="s">
        <v>393</v>
      </c>
      <c r="B1164" s="194"/>
      <c r="C1164" s="84" t="s">
        <v>3646</v>
      </c>
      <c r="D1164" s="88" t="s">
        <v>1396</v>
      </c>
      <c r="E1164" s="84" t="s">
        <v>3745</v>
      </c>
      <c r="F1164" s="84" t="s">
        <v>340</v>
      </c>
      <c r="G1164" s="84" t="s">
        <v>3567</v>
      </c>
      <c r="H1164" s="84" t="s">
        <v>3521</v>
      </c>
      <c r="I1164" s="84" t="s">
        <v>3693</v>
      </c>
      <c r="J1164" s="91"/>
      <c r="K1164" s="85"/>
      <c r="L1164" s="87">
        <v>163.0</v>
      </c>
      <c r="M1164" s="87">
        <v>27.0</v>
      </c>
      <c r="N1164" s="87">
        <v>4.505225</v>
      </c>
      <c r="O1164" s="87">
        <v>18.6236</v>
      </c>
      <c r="P1164" s="87">
        <v>20.50657</v>
      </c>
      <c r="Q1164" s="87">
        <v>17.56019</v>
      </c>
    </row>
    <row r="1165">
      <c r="A1165" s="84" t="s">
        <v>74</v>
      </c>
      <c r="B1165" s="194"/>
      <c r="C1165" s="84" t="s">
        <v>1344</v>
      </c>
      <c r="D1165" s="88" t="s">
        <v>1396</v>
      </c>
      <c r="E1165" s="84" t="s">
        <v>3683</v>
      </c>
      <c r="F1165" s="84" t="s">
        <v>3796</v>
      </c>
      <c r="G1165" s="91"/>
      <c r="H1165" s="84" t="s">
        <v>3521</v>
      </c>
      <c r="I1165" s="84" t="s">
        <v>3684</v>
      </c>
      <c r="J1165" s="91"/>
      <c r="K1165" s="84" t="s">
        <v>111</v>
      </c>
      <c r="L1165" s="87">
        <v>456.0</v>
      </c>
      <c r="M1165" s="87">
        <v>0.0</v>
      </c>
      <c r="N1165" s="87">
        <v>0.0</v>
      </c>
      <c r="O1165" s="87">
        <v>0.0</v>
      </c>
      <c r="P1165" s="87">
        <v>0.0</v>
      </c>
      <c r="Q1165" s="87">
        <v>0.0</v>
      </c>
    </row>
    <row r="1166">
      <c r="A1166" s="84" t="s">
        <v>481</v>
      </c>
      <c r="B1166" s="194"/>
      <c r="C1166" s="84" t="s">
        <v>988</v>
      </c>
      <c r="D1166" s="88" t="s">
        <v>1396</v>
      </c>
      <c r="E1166" s="84" t="s">
        <v>3683</v>
      </c>
      <c r="F1166" s="84" t="s">
        <v>989</v>
      </c>
      <c r="G1166" s="84" t="s">
        <v>3585</v>
      </c>
      <c r="H1166" s="84" t="s">
        <v>3521</v>
      </c>
      <c r="I1166" s="84" t="s">
        <v>3684</v>
      </c>
      <c r="J1166" s="91"/>
      <c r="K1166" s="91"/>
      <c r="L1166" s="87">
        <v>24.0</v>
      </c>
      <c r="M1166" s="87">
        <v>1.0</v>
      </c>
      <c r="N1166" s="87">
        <v>0.0</v>
      </c>
      <c r="O1166" s="87">
        <v>1.21978</v>
      </c>
      <c r="P1166" s="87">
        <v>1.349501</v>
      </c>
      <c r="Q1166" s="87">
        <v>1.57977</v>
      </c>
    </row>
    <row r="1167">
      <c r="A1167" s="84" t="s">
        <v>393</v>
      </c>
      <c r="B1167" s="194"/>
      <c r="C1167" s="84" t="s">
        <v>437</v>
      </c>
      <c r="D1167" s="88" t="s">
        <v>1396</v>
      </c>
      <c r="E1167" s="84" t="s">
        <v>3683</v>
      </c>
      <c r="F1167" s="84" t="s">
        <v>397</v>
      </c>
      <c r="G1167" s="84" t="s">
        <v>3698</v>
      </c>
      <c r="H1167" s="84" t="s">
        <v>3521</v>
      </c>
      <c r="I1167" s="84" t="s">
        <v>3693</v>
      </c>
      <c r="J1167" s="91"/>
      <c r="K1167" s="84" t="s">
        <v>111</v>
      </c>
      <c r="L1167" s="87">
        <v>744.0</v>
      </c>
      <c r="M1167" s="87">
        <v>1.0</v>
      </c>
      <c r="N1167" s="87">
        <v>0.0</v>
      </c>
      <c r="O1167" s="87">
        <v>0.142857</v>
      </c>
      <c r="P1167" s="87">
        <v>0.1</v>
      </c>
      <c r="Q1167" s="87">
        <v>0.075513</v>
      </c>
    </row>
    <row r="1168">
      <c r="A1168" s="84" t="s">
        <v>139</v>
      </c>
      <c r="B1168" s="194"/>
      <c r="C1168" s="84" t="s">
        <v>148</v>
      </c>
      <c r="D1168" s="88" t="s">
        <v>1396</v>
      </c>
      <c r="E1168" s="84" t="s">
        <v>3683</v>
      </c>
      <c r="F1168" s="84" t="s">
        <v>144</v>
      </c>
      <c r="G1168" s="84" t="s">
        <v>3700</v>
      </c>
      <c r="H1168" s="84" t="s">
        <v>3521</v>
      </c>
      <c r="I1168" s="84" t="s">
        <v>3684</v>
      </c>
      <c r="J1168" s="84" t="s">
        <v>130</v>
      </c>
      <c r="K1168" s="84" t="s">
        <v>111</v>
      </c>
      <c r="L1168" s="87">
        <v>696.0</v>
      </c>
      <c r="M1168" s="87">
        <v>0.0</v>
      </c>
      <c r="N1168" s="87">
        <v>2.116667</v>
      </c>
      <c r="O1168" s="87">
        <v>0.0</v>
      </c>
      <c r="P1168" s="87">
        <v>0.0</v>
      </c>
      <c r="Q1168" s="87">
        <v>2.116667</v>
      </c>
    </row>
    <row r="1169">
      <c r="A1169" s="84" t="s">
        <v>630</v>
      </c>
      <c r="B1169" s="194"/>
      <c r="C1169" s="84" t="s">
        <v>628</v>
      </c>
      <c r="D1169" s="88" t="s">
        <v>1396</v>
      </c>
      <c r="E1169" s="84" t="s">
        <v>3683</v>
      </c>
      <c r="F1169" s="84" t="s">
        <v>629</v>
      </c>
      <c r="G1169" s="84" t="s">
        <v>3766</v>
      </c>
      <c r="H1169" s="84" t="s">
        <v>3521</v>
      </c>
      <c r="I1169" s="84" t="s">
        <v>3684</v>
      </c>
      <c r="J1169" s="91"/>
      <c r="K1169" s="91"/>
      <c r="L1169" s="87">
        <v>25.0</v>
      </c>
      <c r="M1169" s="87">
        <v>3.0</v>
      </c>
      <c r="N1169" s="87">
        <v>0.0</v>
      </c>
      <c r="O1169" s="87">
        <v>0.428571</v>
      </c>
      <c r="P1169" s="87">
        <v>0.333333</v>
      </c>
      <c r="Q1169" s="87">
        <v>0.485696</v>
      </c>
    </row>
    <row r="1170">
      <c r="A1170" s="84" t="s">
        <v>74</v>
      </c>
      <c r="B1170" s="194"/>
      <c r="C1170" s="84" t="s">
        <v>85</v>
      </c>
      <c r="D1170" s="88" t="s">
        <v>1396</v>
      </c>
      <c r="E1170" s="84" t="s">
        <v>3683</v>
      </c>
      <c r="F1170" s="84" t="s">
        <v>73</v>
      </c>
      <c r="G1170" s="84" t="s">
        <v>3712</v>
      </c>
      <c r="H1170" s="84" t="s">
        <v>3521</v>
      </c>
      <c r="I1170" s="84" t="s">
        <v>3684</v>
      </c>
      <c r="J1170" s="91"/>
      <c r="K1170" s="84" t="s">
        <v>111</v>
      </c>
      <c r="L1170" s="87">
        <v>672.0</v>
      </c>
      <c r="M1170" s="87">
        <v>0.0</v>
      </c>
      <c r="N1170" s="87">
        <v>0.0</v>
      </c>
      <c r="O1170" s="87">
        <v>0.0</v>
      </c>
      <c r="P1170" s="87">
        <v>0.0</v>
      </c>
      <c r="Q1170" s="87">
        <v>0.0</v>
      </c>
    </row>
    <row r="1171">
      <c r="A1171" s="84" t="s">
        <v>472</v>
      </c>
      <c r="B1171" s="194"/>
      <c r="C1171" s="84" t="s">
        <v>479</v>
      </c>
      <c r="D1171" s="88" t="s">
        <v>1396</v>
      </c>
      <c r="E1171" s="84" t="s">
        <v>3683</v>
      </c>
      <c r="F1171" s="84" t="s">
        <v>480</v>
      </c>
      <c r="G1171" s="84" t="s">
        <v>3587</v>
      </c>
      <c r="H1171" s="84" t="s">
        <v>3521</v>
      </c>
      <c r="I1171" s="84" t="s">
        <v>3684</v>
      </c>
      <c r="J1171" s="84" t="s">
        <v>130</v>
      </c>
      <c r="K1171" s="84" t="s">
        <v>111</v>
      </c>
      <c r="L1171" s="87">
        <v>792.0</v>
      </c>
      <c r="M1171" s="87">
        <v>0.0</v>
      </c>
      <c r="N1171" s="87">
        <v>0.77299</v>
      </c>
      <c r="O1171" s="87">
        <v>0.5</v>
      </c>
      <c r="P1171" s="87">
        <v>1.198413</v>
      </c>
      <c r="Q1171" s="87">
        <v>0.738268</v>
      </c>
    </row>
    <row r="1172">
      <c r="A1172" s="84" t="s">
        <v>180</v>
      </c>
      <c r="B1172" s="194"/>
      <c r="C1172" s="84" t="s">
        <v>200</v>
      </c>
      <c r="D1172" s="88" t="s">
        <v>1396</v>
      </c>
      <c r="E1172" s="84" t="s">
        <v>3683</v>
      </c>
      <c r="F1172" s="84" t="s">
        <v>201</v>
      </c>
      <c r="G1172" s="84" t="s">
        <v>3727</v>
      </c>
      <c r="H1172" s="84" t="s">
        <v>3521</v>
      </c>
      <c r="I1172" s="84" t="s">
        <v>3684</v>
      </c>
      <c r="J1172" s="91"/>
      <c r="K1172" s="85"/>
      <c r="L1172" s="87">
        <v>40.0</v>
      </c>
      <c r="M1172" s="87">
        <v>8.0</v>
      </c>
      <c r="N1172" s="87">
        <v>0.67033</v>
      </c>
      <c r="O1172" s="87">
        <v>10.30084</v>
      </c>
      <c r="P1172" s="87">
        <v>11.03775</v>
      </c>
      <c r="Q1172" s="87">
        <v>8.850897</v>
      </c>
    </row>
    <row r="1173">
      <c r="A1173" s="84" t="s">
        <v>363</v>
      </c>
      <c r="B1173" s="194"/>
      <c r="C1173" s="84" t="s">
        <v>932</v>
      </c>
      <c r="D1173" s="88" t="s">
        <v>1396</v>
      </c>
      <c r="E1173" s="84" t="s">
        <v>3687</v>
      </c>
      <c r="F1173" s="84" t="s">
        <v>927</v>
      </c>
      <c r="G1173" s="84" t="s">
        <v>3565</v>
      </c>
      <c r="H1173" s="84" t="s">
        <v>4077</v>
      </c>
      <c r="I1173" s="84" t="s">
        <v>3709</v>
      </c>
      <c r="J1173" s="84" t="s">
        <v>130</v>
      </c>
      <c r="K1173" s="85"/>
      <c r="L1173" s="87">
        <v>648.0</v>
      </c>
      <c r="M1173" s="87">
        <v>0.0</v>
      </c>
      <c r="N1173" s="87">
        <v>1.090909</v>
      </c>
      <c r="O1173" s="87">
        <v>0.0</v>
      </c>
      <c r="P1173" s="87">
        <v>0.090909</v>
      </c>
      <c r="Q1173" s="87">
        <v>1.098925</v>
      </c>
    </row>
    <row r="1174">
      <c r="A1174" s="84" t="s">
        <v>481</v>
      </c>
      <c r="B1174" s="194"/>
      <c r="C1174" s="84" t="s">
        <v>523</v>
      </c>
      <c r="D1174" s="88" t="s">
        <v>1396</v>
      </c>
      <c r="E1174" s="84" t="s">
        <v>3683</v>
      </c>
      <c r="F1174" s="84" t="s">
        <v>516</v>
      </c>
      <c r="G1174" s="84" t="s">
        <v>3593</v>
      </c>
      <c r="I1174" s="84" t="s">
        <v>3684</v>
      </c>
      <c r="J1174" s="91"/>
      <c r="K1174" s="85"/>
      <c r="L1174" s="87">
        <v>456.0</v>
      </c>
      <c r="M1174" s="87">
        <v>0.0</v>
      </c>
      <c r="N1174" s="87">
        <v>0.0</v>
      </c>
      <c r="O1174" s="87">
        <v>0.0</v>
      </c>
      <c r="P1174" s="87">
        <v>0.0</v>
      </c>
      <c r="Q1174" s="87">
        <v>0.0</v>
      </c>
    </row>
    <row r="1175">
      <c r="A1175" s="84" t="s">
        <v>213</v>
      </c>
      <c r="B1175" s="194"/>
      <c r="C1175" s="84" t="s">
        <v>876</v>
      </c>
      <c r="D1175" s="88" t="s">
        <v>1396</v>
      </c>
      <c r="E1175" s="84" t="s">
        <v>3683</v>
      </c>
      <c r="F1175" s="84" t="s">
        <v>800</v>
      </c>
      <c r="G1175" s="84" t="s">
        <v>3525</v>
      </c>
      <c r="H1175" s="84" t="s">
        <v>3521</v>
      </c>
      <c r="I1175" s="84" t="s">
        <v>3684</v>
      </c>
      <c r="J1175" s="91"/>
      <c r="K1175" s="85"/>
      <c r="L1175" s="87">
        <v>39.0</v>
      </c>
      <c r="M1175" s="87">
        <v>4.0</v>
      </c>
      <c r="N1175" s="87">
        <v>0.21978</v>
      </c>
      <c r="O1175" s="87">
        <v>1.869131</v>
      </c>
      <c r="P1175" s="87">
        <v>1.348212</v>
      </c>
      <c r="Q1175" s="87">
        <v>1.644332</v>
      </c>
    </row>
    <row r="1176">
      <c r="A1176" s="84" t="s">
        <v>301</v>
      </c>
      <c r="B1176" s="194"/>
      <c r="C1176" s="84" t="s">
        <v>1284</v>
      </c>
      <c r="D1176" s="88" t="s">
        <v>1396</v>
      </c>
      <c r="E1176" s="84" t="s">
        <v>3683</v>
      </c>
      <c r="F1176" s="84" t="s">
        <v>3959</v>
      </c>
      <c r="G1176" s="84" t="s">
        <v>3960</v>
      </c>
      <c r="H1176" s="84" t="s">
        <v>3521</v>
      </c>
      <c r="I1176" s="84" t="s">
        <v>3684</v>
      </c>
      <c r="J1176" s="84" t="s">
        <v>130</v>
      </c>
      <c r="K1176" s="84" t="s">
        <v>111</v>
      </c>
      <c r="L1176" s="87">
        <v>48.0</v>
      </c>
      <c r="M1176" s="87">
        <v>0.0</v>
      </c>
      <c r="N1176" s="87">
        <v>0.0</v>
      </c>
      <c r="O1176" s="87">
        <v>0.0</v>
      </c>
      <c r="P1176" s="87">
        <v>0.0</v>
      </c>
      <c r="Q1176" s="87">
        <v>0.0</v>
      </c>
    </row>
    <row r="1177">
      <c r="A1177" s="84" t="s">
        <v>644</v>
      </c>
      <c r="B1177" s="194"/>
      <c r="C1177" s="84" t="s">
        <v>1242</v>
      </c>
      <c r="D1177" s="88" t="s">
        <v>1396</v>
      </c>
      <c r="E1177" s="84" t="s">
        <v>3683</v>
      </c>
      <c r="F1177" s="84" t="s">
        <v>1239</v>
      </c>
      <c r="G1177" s="84" t="s">
        <v>3607</v>
      </c>
      <c r="H1177" s="84" t="s">
        <v>3521</v>
      </c>
      <c r="I1177" s="84" t="s">
        <v>3684</v>
      </c>
      <c r="J1177" s="84" t="s">
        <v>215</v>
      </c>
      <c r="L1177" s="87">
        <v>216.0</v>
      </c>
      <c r="M1177" s="87">
        <v>0.0</v>
      </c>
      <c r="N1177" s="87">
        <v>0.6709</v>
      </c>
      <c r="O1177" s="87">
        <v>0.380952</v>
      </c>
      <c r="P1177" s="87">
        <v>3.671429</v>
      </c>
      <c r="Q1177" s="87">
        <v>0.873645</v>
      </c>
    </row>
    <row r="1178">
      <c r="A1178" s="84" t="s">
        <v>537</v>
      </c>
      <c r="B1178" s="194"/>
      <c r="C1178" s="84" t="s">
        <v>564</v>
      </c>
      <c r="D1178" s="88" t="s">
        <v>1396</v>
      </c>
      <c r="E1178" s="84" t="s">
        <v>3683</v>
      </c>
      <c r="F1178" s="84" t="s">
        <v>558</v>
      </c>
      <c r="G1178" s="84" t="s">
        <v>3602</v>
      </c>
      <c r="H1178" s="84" t="s">
        <v>3521</v>
      </c>
      <c r="I1178" s="84" t="s">
        <v>3693</v>
      </c>
      <c r="J1178" s="91"/>
      <c r="K1178" s="91"/>
      <c r="L1178" s="87">
        <v>0.0</v>
      </c>
      <c r="M1178" s="87">
        <v>1.0</v>
      </c>
      <c r="N1178" s="87">
        <v>0.0</v>
      </c>
      <c r="O1178" s="87">
        <v>0.642857</v>
      </c>
      <c r="P1178" s="87">
        <v>0.566667</v>
      </c>
      <c r="Q1178" s="87">
        <v>1.154269</v>
      </c>
    </row>
    <row r="1179">
      <c r="A1179" s="84" t="s">
        <v>481</v>
      </c>
      <c r="B1179" s="194"/>
      <c r="C1179" s="84" t="s">
        <v>518</v>
      </c>
      <c r="D1179" s="88" t="s">
        <v>1396</v>
      </c>
      <c r="E1179" s="84" t="s">
        <v>3683</v>
      </c>
      <c r="F1179" s="84" t="s">
        <v>516</v>
      </c>
      <c r="G1179" s="84" t="s">
        <v>3593</v>
      </c>
      <c r="I1179" s="84" t="s">
        <v>3684</v>
      </c>
      <c r="J1179" s="91"/>
      <c r="K1179" s="85"/>
      <c r="L1179" s="87">
        <v>456.0</v>
      </c>
      <c r="M1179" s="87">
        <v>0.0</v>
      </c>
      <c r="N1179" s="87">
        <v>0.0</v>
      </c>
      <c r="O1179" s="87">
        <v>0.0</v>
      </c>
      <c r="P1179" s="87">
        <v>0.0</v>
      </c>
      <c r="Q1179" s="87">
        <v>0.0</v>
      </c>
    </row>
    <row r="1180">
      <c r="A1180" s="84" t="s">
        <v>139</v>
      </c>
      <c r="B1180" s="194"/>
      <c r="C1180" s="84" t="s">
        <v>148</v>
      </c>
      <c r="D1180" s="88" t="s">
        <v>1396</v>
      </c>
      <c r="E1180" s="91"/>
      <c r="F1180" s="84" t="s">
        <v>144</v>
      </c>
      <c r="G1180" s="84" t="s">
        <v>3700</v>
      </c>
      <c r="I1180" s="84" t="s">
        <v>3684</v>
      </c>
      <c r="J1180" s="84" t="s">
        <v>130</v>
      </c>
      <c r="K1180" s="91"/>
      <c r="L1180" s="87">
        <v>480.0</v>
      </c>
      <c r="M1180" s="87">
        <v>0.0</v>
      </c>
      <c r="N1180" s="87">
        <v>0.0</v>
      </c>
      <c r="O1180" s="87">
        <v>0.0</v>
      </c>
      <c r="P1180" s="87">
        <v>0.0</v>
      </c>
      <c r="Q1180" s="87">
        <v>0.0</v>
      </c>
    </row>
    <row r="1181">
      <c r="A1181" s="84" t="s">
        <v>180</v>
      </c>
      <c r="B1181" s="194"/>
      <c r="C1181" s="84" t="s">
        <v>812</v>
      </c>
      <c r="D1181" s="88" t="s">
        <v>1396</v>
      </c>
      <c r="E1181" s="84" t="s">
        <v>3683</v>
      </c>
      <c r="F1181" s="84" t="s">
        <v>542</v>
      </c>
      <c r="G1181" s="84" t="s">
        <v>3514</v>
      </c>
      <c r="H1181" s="84" t="s">
        <v>3513</v>
      </c>
      <c r="I1181" s="84" t="s">
        <v>3684</v>
      </c>
      <c r="J1181" s="91"/>
      <c r="K1181" s="85"/>
      <c r="L1181" s="87">
        <v>5.0</v>
      </c>
      <c r="M1181" s="87">
        <v>0.0</v>
      </c>
      <c r="N1181" s="87">
        <v>0.0</v>
      </c>
      <c r="O1181" s="87">
        <v>0.0</v>
      </c>
      <c r="P1181" s="87">
        <v>0.0</v>
      </c>
      <c r="Q1181" s="87">
        <v>0.211914</v>
      </c>
    </row>
    <row r="1182">
      <c r="A1182" s="84" t="s">
        <v>644</v>
      </c>
      <c r="B1182" s="194"/>
      <c r="C1182" s="84" t="s">
        <v>1274</v>
      </c>
      <c r="D1182" s="88" t="s">
        <v>1396</v>
      </c>
      <c r="E1182" s="84" t="s">
        <v>3683</v>
      </c>
      <c r="F1182" s="84" t="s">
        <v>1273</v>
      </c>
      <c r="G1182" s="84" t="s">
        <v>3602</v>
      </c>
      <c r="H1182" s="84" t="s">
        <v>3521</v>
      </c>
      <c r="I1182" s="84" t="s">
        <v>3684</v>
      </c>
      <c r="J1182" s="84" t="s">
        <v>130</v>
      </c>
      <c r="K1182" s="84" t="s">
        <v>111</v>
      </c>
      <c r="L1182" s="87">
        <v>24.0</v>
      </c>
      <c r="M1182" s="87">
        <v>0.0</v>
      </c>
      <c r="N1182" s="87">
        <v>0.0</v>
      </c>
      <c r="O1182" s="87">
        <v>0.0</v>
      </c>
      <c r="P1182" s="87">
        <v>0.0</v>
      </c>
      <c r="Q1182" s="87">
        <v>0.0</v>
      </c>
    </row>
    <row r="1183">
      <c r="A1183" s="84" t="s">
        <v>644</v>
      </c>
      <c r="B1183" s="194"/>
      <c r="C1183" s="84" t="s">
        <v>667</v>
      </c>
      <c r="D1183" s="88" t="s">
        <v>1396</v>
      </c>
      <c r="E1183" s="84" t="s">
        <v>3683</v>
      </c>
      <c r="F1183" s="84" t="s">
        <v>658</v>
      </c>
      <c r="G1183" s="84" t="s">
        <v>3801</v>
      </c>
      <c r="H1183" s="84" t="s">
        <v>3521</v>
      </c>
      <c r="I1183" s="84" t="s">
        <v>3684</v>
      </c>
      <c r="J1183" s="84" t="s">
        <v>130</v>
      </c>
      <c r="K1183" s="84" t="s">
        <v>111</v>
      </c>
      <c r="L1183" s="87">
        <v>24.0</v>
      </c>
      <c r="M1183" s="87">
        <v>0.0</v>
      </c>
      <c r="N1183" s="87">
        <v>0.0</v>
      </c>
      <c r="O1183" s="87">
        <v>0.0</v>
      </c>
      <c r="P1183" s="87">
        <v>0.0</v>
      </c>
      <c r="Q1183" s="87">
        <v>0.0</v>
      </c>
    </row>
    <row r="1184">
      <c r="A1184" s="84" t="s">
        <v>74</v>
      </c>
      <c r="B1184" s="194"/>
      <c r="C1184" s="84" t="s">
        <v>100</v>
      </c>
      <c r="D1184" s="88" t="s">
        <v>1396</v>
      </c>
      <c r="E1184" s="84" t="s">
        <v>3683</v>
      </c>
      <c r="F1184" s="84" t="s">
        <v>73</v>
      </c>
      <c r="G1184" s="84" t="s">
        <v>3712</v>
      </c>
      <c r="H1184" s="84" t="s">
        <v>3521</v>
      </c>
      <c r="I1184" s="84" t="s">
        <v>3684</v>
      </c>
      <c r="J1184" s="84" t="s">
        <v>130</v>
      </c>
      <c r="K1184" s="85"/>
      <c r="L1184" s="87">
        <v>72.0</v>
      </c>
      <c r="M1184" s="87">
        <v>0.0</v>
      </c>
      <c r="N1184" s="87">
        <v>0.346465</v>
      </c>
      <c r="O1184" s="87">
        <v>0.0</v>
      </c>
      <c r="P1184" s="87">
        <v>0.333333</v>
      </c>
      <c r="Q1184" s="87">
        <v>0.346465</v>
      </c>
    </row>
    <row r="1185">
      <c r="A1185" s="84" t="s">
        <v>258</v>
      </c>
      <c r="B1185" s="194"/>
      <c r="C1185" s="84" t="s">
        <v>897</v>
      </c>
      <c r="D1185" s="88" t="s">
        <v>1396</v>
      </c>
      <c r="E1185" s="91"/>
      <c r="F1185" s="84" t="s">
        <v>898</v>
      </c>
      <c r="G1185" s="84" t="s">
        <v>3560</v>
      </c>
      <c r="I1185" s="84" t="s">
        <v>3684</v>
      </c>
      <c r="J1185" s="91"/>
      <c r="K1185" s="85"/>
      <c r="L1185" s="87">
        <v>24.0</v>
      </c>
      <c r="M1185" s="87">
        <v>0.0</v>
      </c>
      <c r="N1185" s="87">
        <v>0.0</v>
      </c>
      <c r="O1185" s="87">
        <v>0.0</v>
      </c>
      <c r="P1185" s="87">
        <v>0.0</v>
      </c>
      <c r="Q1185" s="87">
        <v>0.0</v>
      </c>
    </row>
    <row r="1186">
      <c r="A1186" s="84" t="s">
        <v>644</v>
      </c>
      <c r="B1186" s="194"/>
      <c r="C1186" s="84" t="s">
        <v>721</v>
      </c>
      <c r="D1186" s="88" t="s">
        <v>1396</v>
      </c>
      <c r="E1186" s="84" t="s">
        <v>3687</v>
      </c>
      <c r="F1186" s="84" t="s">
        <v>716</v>
      </c>
      <c r="G1186" s="84" t="s">
        <v>3607</v>
      </c>
      <c r="H1186" s="84" t="s">
        <v>3521</v>
      </c>
      <c r="I1186" s="84" t="s">
        <v>3684</v>
      </c>
      <c r="J1186" s="84" t="s">
        <v>215</v>
      </c>
      <c r="K1186" s="84" t="s">
        <v>111</v>
      </c>
      <c r="L1186" s="87">
        <v>96.0</v>
      </c>
      <c r="M1186" s="87">
        <v>0.0</v>
      </c>
      <c r="N1186" s="87">
        <v>0.0</v>
      </c>
      <c r="O1186" s="87">
        <v>0.0</v>
      </c>
      <c r="P1186" s="87">
        <v>0.0</v>
      </c>
      <c r="Q1186" s="87">
        <v>0.0</v>
      </c>
    </row>
    <row r="1187">
      <c r="A1187" s="84" t="s">
        <v>644</v>
      </c>
      <c r="B1187" s="194"/>
      <c r="C1187" s="84" t="s">
        <v>732</v>
      </c>
      <c r="D1187" s="88" t="s">
        <v>1396</v>
      </c>
      <c r="E1187" s="84" t="s">
        <v>3683</v>
      </c>
      <c r="F1187" s="84" t="s">
        <v>729</v>
      </c>
      <c r="G1187" s="84" t="s">
        <v>3752</v>
      </c>
      <c r="H1187" s="84" t="s">
        <v>3521</v>
      </c>
      <c r="I1187" s="84" t="s">
        <v>3684</v>
      </c>
      <c r="J1187" s="84" t="s">
        <v>130</v>
      </c>
      <c r="K1187" s="84" t="s">
        <v>111</v>
      </c>
      <c r="L1187" s="87">
        <v>24.0</v>
      </c>
      <c r="M1187" s="87">
        <v>0.0</v>
      </c>
      <c r="N1187" s="87">
        <v>0.0</v>
      </c>
      <c r="O1187" s="87">
        <v>0.0</v>
      </c>
      <c r="P1187" s="87">
        <v>0.0</v>
      </c>
      <c r="Q1187" s="87">
        <v>0.0</v>
      </c>
    </row>
    <row r="1188">
      <c r="A1188" s="84" t="s">
        <v>644</v>
      </c>
      <c r="B1188" s="194"/>
      <c r="C1188" s="84" t="s">
        <v>1275</v>
      </c>
      <c r="D1188" s="88" t="s">
        <v>1396</v>
      </c>
      <c r="E1188" s="84" t="s">
        <v>3683</v>
      </c>
      <c r="F1188" s="84" t="s">
        <v>1273</v>
      </c>
      <c r="G1188" s="84" t="s">
        <v>3602</v>
      </c>
      <c r="H1188" s="84" t="s">
        <v>3521</v>
      </c>
      <c r="I1188" s="84" t="s">
        <v>3684</v>
      </c>
      <c r="J1188" s="84" t="s">
        <v>130</v>
      </c>
      <c r="K1188" s="84" t="s">
        <v>111</v>
      </c>
      <c r="L1188" s="87">
        <v>24.0</v>
      </c>
      <c r="M1188" s="87">
        <v>0.0</v>
      </c>
      <c r="N1188" s="87">
        <v>0.0</v>
      </c>
      <c r="O1188" s="87">
        <v>0.0</v>
      </c>
      <c r="P1188" s="87">
        <v>0.0</v>
      </c>
      <c r="Q1188" s="87">
        <v>0.0</v>
      </c>
    </row>
    <row r="1189">
      <c r="A1189" s="84" t="s">
        <v>139</v>
      </c>
      <c r="B1189" s="194"/>
      <c r="C1189" s="84" t="s">
        <v>148</v>
      </c>
      <c r="D1189" s="88" t="s">
        <v>1396</v>
      </c>
      <c r="E1189" s="84" t="s">
        <v>3683</v>
      </c>
      <c r="F1189" s="84" t="s">
        <v>144</v>
      </c>
      <c r="G1189" s="84" t="s">
        <v>3700</v>
      </c>
      <c r="I1189" s="84" t="s">
        <v>3684</v>
      </c>
      <c r="J1189" s="84" t="s">
        <v>130</v>
      </c>
      <c r="K1189" s="85"/>
      <c r="L1189" s="87">
        <v>48.0</v>
      </c>
      <c r="M1189" s="87">
        <v>0.0</v>
      </c>
      <c r="N1189" s="87">
        <v>0.4</v>
      </c>
      <c r="O1189" s="87">
        <v>0.0</v>
      </c>
      <c r="P1189" s="87">
        <v>0.0</v>
      </c>
      <c r="Q1189" s="87">
        <v>0.4</v>
      </c>
    </row>
    <row r="1190">
      <c r="A1190" s="84" t="s">
        <v>74</v>
      </c>
      <c r="B1190" s="194"/>
      <c r="C1190" s="84" t="s">
        <v>91</v>
      </c>
      <c r="D1190" s="88" t="s">
        <v>1396</v>
      </c>
      <c r="E1190" s="84" t="s">
        <v>3683</v>
      </c>
      <c r="F1190" s="84" t="s">
        <v>73</v>
      </c>
      <c r="G1190" s="84" t="s">
        <v>3712</v>
      </c>
      <c r="H1190" s="84" t="s">
        <v>3521</v>
      </c>
      <c r="I1190" s="84" t="s">
        <v>3684</v>
      </c>
      <c r="J1190" s="84" t="s">
        <v>130</v>
      </c>
      <c r="K1190" s="85"/>
      <c r="L1190" s="87">
        <v>24.0</v>
      </c>
      <c r="M1190" s="87">
        <v>0.0</v>
      </c>
      <c r="N1190" s="87">
        <v>0.0</v>
      </c>
      <c r="O1190" s="87">
        <v>0.0</v>
      </c>
      <c r="P1190" s="87">
        <v>0.0</v>
      </c>
      <c r="Q1190" s="87">
        <v>0.0</v>
      </c>
    </row>
    <row r="1191">
      <c r="A1191" s="84" t="s">
        <v>458</v>
      </c>
      <c r="B1191" s="194"/>
      <c r="C1191" s="84" t="s">
        <v>463</v>
      </c>
      <c r="D1191" s="88" t="s">
        <v>1396</v>
      </c>
      <c r="E1191" s="84" t="s">
        <v>3683</v>
      </c>
      <c r="F1191" s="84" t="s">
        <v>457</v>
      </c>
      <c r="G1191" s="84" t="s">
        <v>3560</v>
      </c>
      <c r="H1191" s="84" t="s">
        <v>3521</v>
      </c>
      <c r="I1191" s="84" t="s">
        <v>3684</v>
      </c>
      <c r="J1191" s="91"/>
      <c r="K1191" s="84" t="s">
        <v>111</v>
      </c>
      <c r="L1191" s="87">
        <v>0.0</v>
      </c>
      <c r="M1191" s="87">
        <v>0.0</v>
      </c>
      <c r="N1191" s="87">
        <v>0.0</v>
      </c>
      <c r="O1191" s="87">
        <v>0.0</v>
      </c>
      <c r="P1191" s="87">
        <v>0.0</v>
      </c>
      <c r="Q1191" s="87">
        <v>0.0</v>
      </c>
    </row>
    <row r="1192">
      <c r="A1192" s="84" t="s">
        <v>1130</v>
      </c>
      <c r="B1192" s="194"/>
      <c r="C1192" s="84" t="s">
        <v>1152</v>
      </c>
      <c r="D1192" s="88" t="s">
        <v>1396</v>
      </c>
      <c r="E1192" s="84" t="s">
        <v>3683</v>
      </c>
      <c r="F1192" s="84" t="s">
        <v>973</v>
      </c>
      <c r="G1192" s="84" t="s">
        <v>3582</v>
      </c>
      <c r="H1192" s="84" t="s">
        <v>3521</v>
      </c>
      <c r="I1192" s="84" t="s">
        <v>3684</v>
      </c>
      <c r="J1192" s="91"/>
      <c r="K1192" s="84" t="s">
        <v>111</v>
      </c>
      <c r="L1192" s="87">
        <v>696.0</v>
      </c>
      <c r="M1192" s="87">
        <v>0.0</v>
      </c>
      <c r="N1192" s="87">
        <v>50.4409</v>
      </c>
      <c r="O1192" s="87">
        <v>0.2</v>
      </c>
      <c r="P1192" s="87">
        <v>0.651465</v>
      </c>
      <c r="Q1192" s="87">
        <v>50.6091</v>
      </c>
    </row>
    <row r="1193">
      <c r="A1193" s="84" t="s">
        <v>644</v>
      </c>
      <c r="B1193" s="194"/>
      <c r="C1193" s="84" t="s">
        <v>1197</v>
      </c>
      <c r="D1193" s="88" t="s">
        <v>1396</v>
      </c>
      <c r="E1193" s="84" t="s">
        <v>3683</v>
      </c>
      <c r="F1193" s="84" t="s">
        <v>1192</v>
      </c>
      <c r="G1193" s="84" t="s">
        <v>3761</v>
      </c>
      <c r="H1193" s="84" t="s">
        <v>3521</v>
      </c>
      <c r="I1193" s="84" t="s">
        <v>3684</v>
      </c>
      <c r="J1193" s="84" t="s">
        <v>130</v>
      </c>
      <c r="K1193" s="85"/>
      <c r="L1193" s="87">
        <v>864.0</v>
      </c>
      <c r="M1193" s="87">
        <v>0.0</v>
      </c>
      <c r="N1193" s="87">
        <v>1.569444</v>
      </c>
      <c r="O1193" s="87">
        <v>0.0</v>
      </c>
      <c r="P1193" s="87">
        <v>0.0</v>
      </c>
      <c r="Q1193" s="87">
        <v>1.569444</v>
      </c>
    </row>
    <row r="1194">
      <c r="A1194" s="84" t="s">
        <v>139</v>
      </c>
      <c r="B1194" s="194"/>
      <c r="C1194" s="84" t="s">
        <v>150</v>
      </c>
      <c r="D1194" s="88" t="s">
        <v>1396</v>
      </c>
      <c r="E1194" s="91"/>
      <c r="F1194" s="84" t="s">
        <v>144</v>
      </c>
      <c r="G1194" s="84" t="s">
        <v>3700</v>
      </c>
      <c r="I1194" s="84" t="s">
        <v>3684</v>
      </c>
      <c r="J1194" s="84" t="s">
        <v>130</v>
      </c>
      <c r="K1194" s="91"/>
      <c r="L1194" s="87">
        <v>480.0</v>
      </c>
      <c r="M1194" s="87">
        <v>0.0</v>
      </c>
      <c r="N1194" s="87">
        <v>0.0</v>
      </c>
      <c r="O1194" s="87">
        <v>0.0</v>
      </c>
      <c r="P1194" s="87">
        <v>0.0</v>
      </c>
      <c r="Q1194" s="87">
        <v>0.0</v>
      </c>
    </row>
    <row r="1195">
      <c r="A1195" s="84" t="s">
        <v>472</v>
      </c>
      <c r="B1195" s="194"/>
      <c r="C1195" s="84" t="s">
        <v>1033</v>
      </c>
      <c r="D1195" s="88" t="s">
        <v>1396</v>
      </c>
      <c r="E1195" s="84" t="s">
        <v>3683</v>
      </c>
      <c r="F1195" s="91"/>
      <c r="G1195" s="84" t="s">
        <v>3587</v>
      </c>
      <c r="H1195" s="84" t="s">
        <v>3521</v>
      </c>
      <c r="I1195" s="84" t="s">
        <v>3684</v>
      </c>
      <c r="J1195" s="91"/>
      <c r="K1195" s="85"/>
      <c r="L1195" s="87">
        <v>432.0</v>
      </c>
      <c r="M1195" s="87">
        <v>0.0</v>
      </c>
      <c r="N1195" s="87">
        <v>0.0</v>
      </c>
      <c r="O1195" s="87">
        <v>0.0</v>
      </c>
      <c r="P1195" s="87">
        <v>0.0</v>
      </c>
      <c r="Q1195" s="87">
        <v>0.0</v>
      </c>
    </row>
    <row r="1196">
      <c r="A1196" s="84" t="s">
        <v>644</v>
      </c>
      <c r="B1196" s="194"/>
      <c r="C1196" s="84" t="s">
        <v>1187</v>
      </c>
      <c r="D1196" s="88" t="s">
        <v>1396</v>
      </c>
      <c r="E1196" s="84" t="s">
        <v>3683</v>
      </c>
      <c r="F1196" s="84" t="s">
        <v>1188</v>
      </c>
      <c r="G1196" s="84" t="s">
        <v>3600</v>
      </c>
      <c r="I1196" s="84" t="s">
        <v>3684</v>
      </c>
      <c r="J1196" s="84" t="s">
        <v>215</v>
      </c>
      <c r="L1196" s="87">
        <v>480.0</v>
      </c>
      <c r="M1196" s="87">
        <v>0.0</v>
      </c>
      <c r="N1196" s="87">
        <v>0.0</v>
      </c>
      <c r="O1196" s="87">
        <v>0.0</v>
      </c>
      <c r="P1196" s="87">
        <v>0.0</v>
      </c>
      <c r="Q1196" s="87">
        <v>0.0</v>
      </c>
    </row>
    <row r="1197">
      <c r="A1197" s="84" t="s">
        <v>630</v>
      </c>
      <c r="B1197" s="194"/>
      <c r="C1197" s="84" t="s">
        <v>1103</v>
      </c>
      <c r="D1197" s="88" t="s">
        <v>1396</v>
      </c>
      <c r="E1197" s="91"/>
      <c r="F1197" s="84" t="s">
        <v>1104</v>
      </c>
      <c r="G1197" s="84" t="s">
        <v>3602</v>
      </c>
      <c r="I1197" s="84" t="s">
        <v>3684</v>
      </c>
      <c r="J1197" s="91"/>
      <c r="K1197" s="85"/>
      <c r="L1197" s="87">
        <v>456.0</v>
      </c>
      <c r="M1197" s="87">
        <v>0.0</v>
      </c>
      <c r="N1197" s="87">
        <v>0.0</v>
      </c>
      <c r="O1197" s="87">
        <v>0.0</v>
      </c>
      <c r="P1197" s="87">
        <v>0.0</v>
      </c>
      <c r="Q1197" s="87">
        <v>0.0</v>
      </c>
    </row>
    <row r="1198">
      <c r="A1198" s="84" t="s">
        <v>644</v>
      </c>
      <c r="B1198" s="194"/>
      <c r="C1198" s="84" t="s">
        <v>1270</v>
      </c>
      <c r="D1198" s="88" t="s">
        <v>1396</v>
      </c>
      <c r="E1198" s="91"/>
      <c r="F1198" s="84" t="s">
        <v>1229</v>
      </c>
      <c r="G1198" s="84" t="s">
        <v>3551</v>
      </c>
      <c r="I1198" s="84" t="s">
        <v>3684</v>
      </c>
      <c r="J1198" s="91"/>
      <c r="K1198" s="85"/>
      <c r="L1198" s="87">
        <v>456.0</v>
      </c>
      <c r="M1198" s="87">
        <v>0.0</v>
      </c>
      <c r="N1198" s="87">
        <v>0.0</v>
      </c>
      <c r="O1198" s="87">
        <v>0.0</v>
      </c>
      <c r="P1198" s="87">
        <v>0.0</v>
      </c>
      <c r="Q1198" s="87">
        <v>0.0</v>
      </c>
    </row>
    <row r="1199">
      <c r="A1199" s="84" t="s">
        <v>644</v>
      </c>
      <c r="B1199" s="194"/>
      <c r="C1199" s="84" t="s">
        <v>685</v>
      </c>
      <c r="D1199" s="88" t="s">
        <v>1396</v>
      </c>
      <c r="E1199" s="84" t="s">
        <v>3687</v>
      </c>
      <c r="F1199" s="84" t="s">
        <v>686</v>
      </c>
      <c r="G1199" s="84" t="s">
        <v>3607</v>
      </c>
      <c r="H1199" s="84" t="s">
        <v>3521</v>
      </c>
      <c r="I1199" s="84" t="s">
        <v>3684</v>
      </c>
      <c r="J1199" s="84" t="s">
        <v>215</v>
      </c>
      <c r="K1199" s="84" t="s">
        <v>111</v>
      </c>
      <c r="L1199" s="87">
        <v>72.0</v>
      </c>
      <c r="M1199" s="87">
        <v>0.0</v>
      </c>
      <c r="N1199" s="87">
        <v>0.0</v>
      </c>
      <c r="O1199" s="87">
        <v>0.0</v>
      </c>
      <c r="P1199" s="87">
        <v>0.0</v>
      </c>
      <c r="Q1199" s="87">
        <v>0.016667</v>
      </c>
    </row>
    <row r="1200">
      <c r="A1200" s="84" t="s">
        <v>264</v>
      </c>
      <c r="B1200" s="194"/>
      <c r="C1200" s="84" t="s">
        <v>297</v>
      </c>
      <c r="D1200" s="88" t="s">
        <v>1396</v>
      </c>
      <c r="E1200" s="84" t="s">
        <v>3687</v>
      </c>
      <c r="F1200" s="84" t="s">
        <v>295</v>
      </c>
      <c r="G1200" s="84" t="s">
        <v>3564</v>
      </c>
      <c r="H1200" s="84" t="s">
        <v>3521</v>
      </c>
      <c r="I1200" s="84" t="s">
        <v>3684</v>
      </c>
      <c r="J1200" s="91"/>
      <c r="K1200" s="85"/>
      <c r="L1200" s="87">
        <v>0.0</v>
      </c>
      <c r="M1200" s="87">
        <v>5.0</v>
      </c>
      <c r="N1200" s="87">
        <v>0.0</v>
      </c>
      <c r="O1200" s="87">
        <v>2.582418</v>
      </c>
      <c r="P1200" s="87">
        <v>2.79969</v>
      </c>
      <c r="Q1200" s="87">
        <v>2.471965</v>
      </c>
    </row>
    <row r="1201">
      <c r="A1201" s="84" t="s">
        <v>444</v>
      </c>
      <c r="B1201" s="194"/>
      <c r="C1201" s="84" t="s">
        <v>960</v>
      </c>
      <c r="D1201" s="88" t="s">
        <v>1396</v>
      </c>
      <c r="E1201" s="84" t="s">
        <v>3683</v>
      </c>
      <c r="F1201" s="84" t="s">
        <v>959</v>
      </c>
      <c r="G1201" s="84" t="s">
        <v>3579</v>
      </c>
      <c r="H1201" s="84" t="s">
        <v>3521</v>
      </c>
      <c r="I1201" s="84" t="s">
        <v>3684</v>
      </c>
      <c r="J1201" s="91"/>
      <c r="K1201" s="91"/>
      <c r="L1201" s="87">
        <v>0.0</v>
      </c>
      <c r="M1201" s="87">
        <v>0.0</v>
      </c>
      <c r="N1201" s="87">
        <v>0.0</v>
      </c>
      <c r="O1201" s="87">
        <v>0.071429</v>
      </c>
      <c r="P1201" s="87">
        <v>0.233333</v>
      </c>
      <c r="Q1201" s="87">
        <v>0.2</v>
      </c>
    </row>
    <row r="1202">
      <c r="A1202" s="84" t="s">
        <v>439</v>
      </c>
      <c r="B1202" s="194"/>
      <c r="C1202" s="84" t="s">
        <v>3653</v>
      </c>
      <c r="D1202" s="88" t="s">
        <v>1396</v>
      </c>
      <c r="E1202" s="84" t="s">
        <v>3683</v>
      </c>
      <c r="F1202" s="84" t="s">
        <v>3714</v>
      </c>
      <c r="G1202" s="84" t="s">
        <v>3715</v>
      </c>
      <c r="H1202" s="84" t="s">
        <v>3527</v>
      </c>
      <c r="I1202" s="84" t="s">
        <v>3684</v>
      </c>
      <c r="J1202" s="91"/>
      <c r="K1202" s="84" t="s">
        <v>111</v>
      </c>
      <c r="L1202" s="87">
        <v>96.0</v>
      </c>
      <c r="M1202" s="87">
        <v>0.0</v>
      </c>
      <c r="N1202" s="87">
        <v>1.333333</v>
      </c>
      <c r="O1202" s="87">
        <v>0.0</v>
      </c>
      <c r="P1202" s="87">
        <v>0.0</v>
      </c>
      <c r="Q1202" s="87">
        <v>1.333333</v>
      </c>
    </row>
    <row r="1203">
      <c r="A1203" s="84" t="s">
        <v>616</v>
      </c>
      <c r="B1203" s="194"/>
      <c r="C1203" s="84" t="s">
        <v>1084</v>
      </c>
      <c r="D1203" s="88" t="s">
        <v>1396</v>
      </c>
      <c r="E1203" s="84" t="s">
        <v>3683</v>
      </c>
      <c r="F1203" s="84" t="s">
        <v>794</v>
      </c>
      <c r="G1203" s="84" t="s">
        <v>3522</v>
      </c>
      <c r="H1203" s="84" t="s">
        <v>3521</v>
      </c>
      <c r="I1203" s="84" t="s">
        <v>3684</v>
      </c>
      <c r="J1203" s="91"/>
      <c r="K1203" s="84" t="s">
        <v>111</v>
      </c>
      <c r="L1203" s="87">
        <v>384.0</v>
      </c>
      <c r="M1203" s="87">
        <v>0.0</v>
      </c>
      <c r="N1203" s="87">
        <v>0.528139</v>
      </c>
      <c r="O1203" s="87">
        <v>0.0</v>
      </c>
      <c r="P1203" s="87">
        <v>0.428571</v>
      </c>
      <c r="Q1203" s="87">
        <v>0.528139</v>
      </c>
    </row>
    <row r="1204">
      <c r="A1204" s="84" t="s">
        <v>225</v>
      </c>
      <c r="B1204" s="194"/>
      <c r="C1204" s="84" t="s">
        <v>223</v>
      </c>
      <c r="D1204" s="88" t="s">
        <v>1396</v>
      </c>
      <c r="E1204" s="84" t="s">
        <v>3687</v>
      </c>
      <c r="F1204" s="84" t="s">
        <v>224</v>
      </c>
      <c r="G1204" s="84" t="s">
        <v>3556</v>
      </c>
      <c r="H1204" s="84" t="s">
        <v>3521</v>
      </c>
      <c r="I1204" s="84" t="s">
        <v>3684</v>
      </c>
      <c r="J1204" s="91"/>
      <c r="K1204" s="84" t="s">
        <v>111</v>
      </c>
      <c r="L1204" s="87">
        <v>624.0</v>
      </c>
      <c r="M1204" s="87">
        <v>0.0</v>
      </c>
      <c r="N1204" s="87">
        <v>2.946435</v>
      </c>
      <c r="O1204" s="87">
        <v>1.0</v>
      </c>
      <c r="P1204" s="87">
        <v>0.15098</v>
      </c>
      <c r="Q1204" s="87">
        <v>2.921341</v>
      </c>
    </row>
    <row r="1205">
      <c r="A1205" s="84" t="s">
        <v>363</v>
      </c>
      <c r="B1205" s="194"/>
      <c r="C1205" s="84" t="s">
        <v>381</v>
      </c>
      <c r="D1205" s="88" t="s">
        <v>1396</v>
      </c>
      <c r="E1205" s="84" t="s">
        <v>3683</v>
      </c>
      <c r="F1205" s="84" t="s">
        <v>382</v>
      </c>
      <c r="G1205" s="84" t="s">
        <v>3991</v>
      </c>
      <c r="H1205" s="84" t="s">
        <v>3527</v>
      </c>
      <c r="I1205" s="84" t="s">
        <v>3709</v>
      </c>
      <c r="J1205" s="84" t="s">
        <v>130</v>
      </c>
      <c r="K1205" s="85"/>
      <c r="L1205" s="87">
        <v>48.0</v>
      </c>
      <c r="M1205" s="87">
        <v>0.0</v>
      </c>
      <c r="N1205" s="87">
        <v>0.0</v>
      </c>
      <c r="O1205" s="87">
        <v>0.0</v>
      </c>
      <c r="P1205" s="87">
        <v>0.0</v>
      </c>
      <c r="Q1205" s="87">
        <v>0.03125</v>
      </c>
    </row>
    <row r="1206">
      <c r="A1206" s="84" t="s">
        <v>481</v>
      </c>
      <c r="B1206" s="194"/>
      <c r="C1206" s="84" t="s">
        <v>490</v>
      </c>
      <c r="D1206" s="88" t="s">
        <v>1396</v>
      </c>
      <c r="E1206" s="84" t="s">
        <v>3683</v>
      </c>
      <c r="F1206" s="84" t="s">
        <v>491</v>
      </c>
      <c r="G1206" s="84" t="s">
        <v>3560</v>
      </c>
      <c r="H1206" s="84" t="s">
        <v>3521</v>
      </c>
      <c r="I1206" s="84" t="s">
        <v>3684</v>
      </c>
      <c r="J1206" s="84" t="s">
        <v>130</v>
      </c>
      <c r="K1206" s="85"/>
      <c r="L1206" s="87">
        <v>72.0</v>
      </c>
      <c r="M1206" s="87">
        <v>0.0</v>
      </c>
      <c r="N1206" s="87">
        <v>0.0</v>
      </c>
      <c r="O1206" s="87">
        <v>0.0</v>
      </c>
      <c r="P1206" s="87">
        <v>0.0</v>
      </c>
      <c r="Q1206" s="87">
        <v>0.0</v>
      </c>
    </row>
    <row r="1207">
      <c r="A1207" s="84" t="s">
        <v>481</v>
      </c>
      <c r="B1207" s="194"/>
      <c r="C1207" s="84" t="s">
        <v>988</v>
      </c>
      <c r="D1207" s="88" t="s">
        <v>1396</v>
      </c>
      <c r="E1207" s="84" t="s">
        <v>3683</v>
      </c>
      <c r="F1207" s="84" t="s">
        <v>989</v>
      </c>
      <c r="G1207" s="84" t="s">
        <v>3585</v>
      </c>
      <c r="H1207" s="84" t="s">
        <v>3521</v>
      </c>
      <c r="I1207" s="84" t="s">
        <v>3684</v>
      </c>
      <c r="J1207" s="84" t="s">
        <v>130</v>
      </c>
      <c r="K1207" s="85"/>
      <c r="L1207" s="87">
        <v>0.0</v>
      </c>
      <c r="M1207" s="87">
        <v>1.0</v>
      </c>
      <c r="N1207" s="87">
        <v>0.0</v>
      </c>
      <c r="O1207" s="87">
        <v>0.0</v>
      </c>
      <c r="P1207" s="87">
        <v>0.033333</v>
      </c>
      <c r="Q1207" s="87">
        <v>0.120175</v>
      </c>
    </row>
    <row r="1208">
      <c r="A1208" s="84" t="s">
        <v>258</v>
      </c>
      <c r="B1208" s="194"/>
      <c r="C1208" s="84" t="s">
        <v>908</v>
      </c>
      <c r="D1208" s="88" t="s">
        <v>1396</v>
      </c>
      <c r="E1208" s="84" t="s">
        <v>3683</v>
      </c>
      <c r="F1208" s="84" t="s">
        <v>909</v>
      </c>
      <c r="G1208" s="84" t="s">
        <v>3562</v>
      </c>
      <c r="H1208" s="84" t="s">
        <v>3521</v>
      </c>
      <c r="I1208" s="84" t="s">
        <v>3684</v>
      </c>
      <c r="J1208" s="84" t="s">
        <v>130</v>
      </c>
      <c r="K1208" s="85"/>
      <c r="L1208" s="87">
        <v>24.0</v>
      </c>
      <c r="M1208" s="87">
        <v>0.0</v>
      </c>
      <c r="N1208" s="87">
        <v>0.0</v>
      </c>
      <c r="O1208" s="87">
        <v>0.0</v>
      </c>
      <c r="P1208" s="87">
        <v>0.0</v>
      </c>
      <c r="Q1208" s="87">
        <v>0.0</v>
      </c>
    </row>
    <row r="1209">
      <c r="A1209" s="84" t="s">
        <v>213</v>
      </c>
      <c r="B1209" s="194"/>
      <c r="C1209" s="84" t="s">
        <v>872</v>
      </c>
      <c r="D1209" s="88" t="s">
        <v>1396</v>
      </c>
      <c r="E1209" s="84" t="s">
        <v>3683</v>
      </c>
      <c r="F1209" s="84" t="s">
        <v>869</v>
      </c>
      <c r="G1209" s="84" t="s">
        <v>3554</v>
      </c>
      <c r="H1209" s="84" t="s">
        <v>3521</v>
      </c>
      <c r="I1209" s="84" t="s">
        <v>3684</v>
      </c>
      <c r="J1209" s="84" t="s">
        <v>130</v>
      </c>
      <c r="K1209" s="91"/>
      <c r="L1209" s="87">
        <v>24.0</v>
      </c>
      <c r="M1209" s="87">
        <v>0.0</v>
      </c>
      <c r="N1209" s="87">
        <v>0.0</v>
      </c>
      <c r="O1209" s="87">
        <v>0.0</v>
      </c>
      <c r="P1209" s="87">
        <v>0.0</v>
      </c>
      <c r="Q1209" s="87">
        <v>0.0</v>
      </c>
    </row>
    <row r="1210">
      <c r="A1210" s="84" t="s">
        <v>258</v>
      </c>
      <c r="B1210" s="194"/>
      <c r="C1210" s="84" t="s">
        <v>888</v>
      </c>
      <c r="D1210" s="88" t="s">
        <v>1396</v>
      </c>
      <c r="E1210" s="84" t="s">
        <v>3687</v>
      </c>
      <c r="F1210" s="84" t="s">
        <v>884</v>
      </c>
      <c r="G1210" s="84" t="s">
        <v>3558</v>
      </c>
      <c r="H1210" s="84" t="s">
        <v>3521</v>
      </c>
      <c r="I1210" s="84" t="s">
        <v>3684</v>
      </c>
      <c r="J1210" s="84" t="s">
        <v>130</v>
      </c>
      <c r="K1210" s="85"/>
      <c r="L1210" s="87">
        <v>48.0</v>
      </c>
      <c r="M1210" s="87">
        <v>0.0</v>
      </c>
      <c r="N1210" s="87">
        <v>0.163743</v>
      </c>
      <c r="O1210" s="87">
        <v>0.0</v>
      </c>
      <c r="P1210" s="87">
        <v>0.0</v>
      </c>
      <c r="Q1210" s="87">
        <v>0.163743</v>
      </c>
    </row>
    <row r="1211">
      <c r="A1211" s="84" t="s">
        <v>644</v>
      </c>
      <c r="B1211" s="194"/>
      <c r="C1211" s="84" t="s">
        <v>1247</v>
      </c>
      <c r="D1211" s="88" t="s">
        <v>1396</v>
      </c>
      <c r="E1211" s="84" t="s">
        <v>3683</v>
      </c>
      <c r="F1211" s="84" t="s">
        <v>402</v>
      </c>
      <c r="G1211" s="84" t="s">
        <v>3607</v>
      </c>
      <c r="H1211" s="84" t="s">
        <v>3521</v>
      </c>
      <c r="I1211" s="84" t="s">
        <v>3684</v>
      </c>
      <c r="J1211" s="84" t="s">
        <v>130</v>
      </c>
      <c r="K1211" s="91"/>
      <c r="L1211" s="87">
        <v>24.0</v>
      </c>
      <c r="M1211" s="87">
        <v>0.0</v>
      </c>
      <c r="N1211" s="87">
        <v>0.0</v>
      </c>
      <c r="O1211" s="87">
        <v>0.0</v>
      </c>
      <c r="P1211" s="87">
        <v>0.0</v>
      </c>
      <c r="Q1211" s="87">
        <v>0.0</v>
      </c>
    </row>
    <row r="1212">
      <c r="A1212" s="84" t="s">
        <v>630</v>
      </c>
      <c r="B1212" s="194"/>
      <c r="C1212" s="84" t="s">
        <v>634</v>
      </c>
      <c r="D1212" s="88" t="s">
        <v>1396</v>
      </c>
      <c r="E1212" s="84" t="s">
        <v>3683</v>
      </c>
      <c r="F1212" s="84" t="s">
        <v>629</v>
      </c>
      <c r="G1212" s="84" t="s">
        <v>3766</v>
      </c>
      <c r="H1212" s="84" t="s">
        <v>3521</v>
      </c>
      <c r="I1212" s="84" t="s">
        <v>3684</v>
      </c>
      <c r="J1212" s="91"/>
      <c r="K1212" s="85"/>
      <c r="L1212" s="87">
        <v>24.0</v>
      </c>
      <c r="M1212" s="87">
        <v>4.0</v>
      </c>
      <c r="N1212" s="87">
        <v>0.0</v>
      </c>
      <c r="O1212" s="87">
        <v>2.769231</v>
      </c>
      <c r="P1212" s="87">
        <v>3.0922</v>
      </c>
      <c r="Q1212" s="87">
        <v>3.036083</v>
      </c>
    </row>
    <row r="1213">
      <c r="A1213" s="84" t="s">
        <v>439</v>
      </c>
      <c r="B1213" s="194"/>
      <c r="C1213" s="84" t="s">
        <v>1297</v>
      </c>
      <c r="D1213" s="88" t="s">
        <v>1396</v>
      </c>
      <c r="E1213" s="84" t="s">
        <v>3683</v>
      </c>
      <c r="F1213" s="84" t="s">
        <v>4205</v>
      </c>
      <c r="G1213" s="84" t="s">
        <v>3715</v>
      </c>
      <c r="H1213" s="84" t="s">
        <v>3513</v>
      </c>
      <c r="I1213" s="84" t="s">
        <v>3684</v>
      </c>
      <c r="J1213" s="84" t="s">
        <v>130</v>
      </c>
      <c r="K1213" s="85"/>
      <c r="L1213" s="87">
        <v>720.0</v>
      </c>
      <c r="M1213" s="87">
        <v>0.0</v>
      </c>
      <c r="N1213" s="87">
        <v>3.744593</v>
      </c>
      <c r="O1213" s="87">
        <v>0.0</v>
      </c>
      <c r="P1213" s="87">
        <v>0.866667</v>
      </c>
      <c r="Q1213" s="87">
        <v>3.744593</v>
      </c>
    </row>
    <row r="1214">
      <c r="A1214" s="84" t="s">
        <v>644</v>
      </c>
      <c r="B1214" s="194"/>
      <c r="C1214" s="84" t="s">
        <v>1272</v>
      </c>
      <c r="D1214" s="88" t="s">
        <v>1396</v>
      </c>
      <c r="E1214" s="84" t="s">
        <v>3683</v>
      </c>
      <c r="F1214" s="84" t="s">
        <v>1273</v>
      </c>
      <c r="G1214" s="84" t="s">
        <v>3602</v>
      </c>
      <c r="H1214" s="84" t="s">
        <v>3521</v>
      </c>
      <c r="I1214" s="84" t="s">
        <v>3684</v>
      </c>
      <c r="J1214" s="91"/>
      <c r="K1214" s="85"/>
      <c r="L1214" s="87">
        <v>0.0</v>
      </c>
      <c r="M1214" s="87">
        <v>0.0</v>
      </c>
      <c r="N1214" s="87">
        <v>0.0</v>
      </c>
      <c r="O1214" s="87">
        <v>0.285714</v>
      </c>
      <c r="P1214" s="87">
        <v>0.321637</v>
      </c>
      <c r="Q1214" s="87">
        <v>0.321637</v>
      </c>
    </row>
    <row r="1215">
      <c r="A1215" s="84" t="s">
        <v>630</v>
      </c>
      <c r="B1215" s="194"/>
      <c r="C1215" s="84" t="s">
        <v>628</v>
      </c>
      <c r="D1215" s="88" t="s">
        <v>1396</v>
      </c>
      <c r="E1215" s="84" t="s">
        <v>3683</v>
      </c>
      <c r="F1215" s="84" t="s">
        <v>629</v>
      </c>
      <c r="G1215" s="84" t="s">
        <v>3766</v>
      </c>
      <c r="I1215" s="84" t="s">
        <v>3684</v>
      </c>
      <c r="J1215" s="91"/>
      <c r="K1215" s="85"/>
      <c r="L1215" s="87">
        <v>552.0</v>
      </c>
      <c r="M1215" s="87">
        <v>0.0</v>
      </c>
      <c r="N1215" s="87">
        <v>0.0</v>
      </c>
      <c r="O1215" s="87">
        <v>0.0</v>
      </c>
      <c r="P1215" s="87">
        <v>0.0</v>
      </c>
      <c r="Q1215" s="87">
        <v>0.0</v>
      </c>
    </row>
    <row r="1216">
      <c r="A1216" s="84" t="s">
        <v>1130</v>
      </c>
      <c r="B1216" s="194"/>
      <c r="C1216" s="84" t="s">
        <v>1133</v>
      </c>
      <c r="D1216" s="88" t="s">
        <v>1396</v>
      </c>
      <c r="E1216" s="84" t="s">
        <v>3687</v>
      </c>
      <c r="F1216" s="84" t="s">
        <v>1129</v>
      </c>
      <c r="G1216" s="84" t="s">
        <v>3604</v>
      </c>
      <c r="I1216" s="84" t="s">
        <v>3684</v>
      </c>
      <c r="J1216" s="91"/>
      <c r="K1216" s="85"/>
      <c r="L1216" s="87">
        <v>552.0</v>
      </c>
      <c r="M1216" s="87">
        <v>0.0</v>
      </c>
      <c r="N1216" s="87">
        <v>0.0</v>
      </c>
      <c r="O1216" s="87">
        <v>0.0</v>
      </c>
      <c r="P1216" s="87">
        <v>0.0</v>
      </c>
      <c r="Q1216" s="87">
        <v>0.0</v>
      </c>
    </row>
    <row r="1217">
      <c r="A1217" s="84" t="s">
        <v>139</v>
      </c>
      <c r="B1217" s="194"/>
      <c r="C1217" s="84" t="s">
        <v>152</v>
      </c>
      <c r="D1217" s="88" t="s">
        <v>1396</v>
      </c>
      <c r="E1217" s="84" t="s">
        <v>3683</v>
      </c>
      <c r="F1217" s="84" t="s">
        <v>144</v>
      </c>
      <c r="G1217" s="84" t="s">
        <v>3700</v>
      </c>
      <c r="H1217" s="84" t="s">
        <v>3521</v>
      </c>
      <c r="I1217" s="84" t="s">
        <v>3684</v>
      </c>
      <c r="J1217" s="84" t="s">
        <v>130</v>
      </c>
      <c r="K1217" s="84" t="s">
        <v>111</v>
      </c>
      <c r="L1217" s="87">
        <v>816.0</v>
      </c>
      <c r="M1217" s="87">
        <v>0.0</v>
      </c>
      <c r="N1217" s="87">
        <v>0.0</v>
      </c>
      <c r="O1217" s="87">
        <v>0.0</v>
      </c>
      <c r="P1217" s="87">
        <v>0.0</v>
      </c>
      <c r="Q1217" s="87">
        <v>0.0</v>
      </c>
    </row>
    <row r="1218">
      <c r="A1218" s="84" t="s">
        <v>601</v>
      </c>
      <c r="B1218" s="194"/>
      <c r="C1218" s="84" t="s">
        <v>1067</v>
      </c>
      <c r="D1218" s="88" t="s">
        <v>1396</v>
      </c>
      <c r="E1218" s="91"/>
      <c r="F1218" s="84" t="s">
        <v>340</v>
      </c>
      <c r="G1218" s="84" t="s">
        <v>3595</v>
      </c>
      <c r="I1218" s="84" t="s">
        <v>3684</v>
      </c>
      <c r="J1218" s="91"/>
      <c r="K1218" s="85"/>
      <c r="L1218" s="87">
        <v>456.0</v>
      </c>
      <c r="M1218" s="87">
        <v>0.0</v>
      </c>
      <c r="N1218" s="87">
        <v>0.0</v>
      </c>
      <c r="O1218" s="87">
        <v>0.0</v>
      </c>
      <c r="P1218" s="87">
        <v>0.0</v>
      </c>
      <c r="Q1218" s="87">
        <v>0.0</v>
      </c>
    </row>
    <row r="1219">
      <c r="A1219" s="84" t="s">
        <v>616</v>
      </c>
      <c r="B1219" s="194"/>
      <c r="C1219" s="84" t="s">
        <v>626</v>
      </c>
      <c r="D1219" s="88" t="s">
        <v>1396</v>
      </c>
      <c r="E1219" s="91"/>
      <c r="F1219" s="84" t="s">
        <v>621</v>
      </c>
      <c r="G1219" s="84" t="s">
        <v>3552</v>
      </c>
      <c r="I1219" s="84" t="s">
        <v>3684</v>
      </c>
      <c r="J1219" s="91"/>
      <c r="K1219" s="85"/>
      <c r="L1219" s="87">
        <v>456.0</v>
      </c>
      <c r="M1219" s="87">
        <v>0.0</v>
      </c>
      <c r="N1219" s="87">
        <v>0.0</v>
      </c>
      <c r="O1219" s="87">
        <v>0.0</v>
      </c>
      <c r="P1219" s="87">
        <v>0.0</v>
      </c>
      <c r="Q1219" s="87">
        <v>0.0</v>
      </c>
    </row>
    <row r="1220">
      <c r="A1220" s="84" t="s">
        <v>258</v>
      </c>
      <c r="B1220" s="194"/>
      <c r="C1220" s="84" t="s">
        <v>894</v>
      </c>
      <c r="D1220" s="88" t="s">
        <v>1396</v>
      </c>
      <c r="E1220" s="84" t="s">
        <v>3683</v>
      </c>
      <c r="F1220" s="84" t="s">
        <v>892</v>
      </c>
      <c r="G1220" s="84" t="s">
        <v>3559</v>
      </c>
      <c r="H1220" s="84" t="s">
        <v>3521</v>
      </c>
      <c r="I1220" s="84" t="s">
        <v>3684</v>
      </c>
      <c r="J1220" s="91"/>
      <c r="K1220" s="91"/>
      <c r="L1220" s="87">
        <v>336.0</v>
      </c>
      <c r="M1220" s="87">
        <v>0.0</v>
      </c>
      <c r="N1220" s="87">
        <v>0.0</v>
      </c>
      <c r="O1220" s="87">
        <v>0.0</v>
      </c>
      <c r="P1220" s="87">
        <v>0.0</v>
      </c>
      <c r="Q1220" s="87">
        <v>0.0</v>
      </c>
    </row>
    <row r="1221">
      <c r="A1221" s="84" t="s">
        <v>537</v>
      </c>
      <c r="B1221" s="194"/>
      <c r="C1221" s="84" t="s">
        <v>565</v>
      </c>
      <c r="D1221" s="88" t="s">
        <v>1396</v>
      </c>
      <c r="E1221" s="84" t="s">
        <v>3683</v>
      </c>
      <c r="F1221" s="84" t="s">
        <v>558</v>
      </c>
      <c r="G1221" s="84" t="s">
        <v>3602</v>
      </c>
      <c r="H1221" s="84" t="s">
        <v>3521</v>
      </c>
      <c r="I1221" s="84" t="s">
        <v>3693</v>
      </c>
      <c r="J1221" s="91"/>
      <c r="K1221" s="84" t="s">
        <v>111</v>
      </c>
      <c r="L1221" s="87">
        <v>216.0</v>
      </c>
      <c r="M1221" s="87">
        <v>0.0</v>
      </c>
      <c r="N1221" s="87">
        <v>0.0</v>
      </c>
      <c r="O1221" s="87">
        <v>0.071429</v>
      </c>
      <c r="P1221" s="87">
        <v>0.033333</v>
      </c>
      <c r="Q1221" s="87">
        <v>0.019608</v>
      </c>
    </row>
    <row r="1222">
      <c r="A1222" s="84" t="s">
        <v>601</v>
      </c>
      <c r="B1222" s="194"/>
      <c r="C1222" s="84" t="s">
        <v>1061</v>
      </c>
      <c r="D1222" s="88" t="s">
        <v>1396</v>
      </c>
      <c r="E1222" s="84" t="s">
        <v>3683</v>
      </c>
      <c r="F1222" s="84" t="s">
        <v>898</v>
      </c>
      <c r="G1222" s="84" t="s">
        <v>3560</v>
      </c>
      <c r="H1222" s="84" t="s">
        <v>3521</v>
      </c>
      <c r="I1222" s="84" t="s">
        <v>3684</v>
      </c>
      <c r="J1222" s="91"/>
      <c r="K1222" s="85"/>
      <c r="L1222" s="87">
        <v>0.0</v>
      </c>
      <c r="M1222" s="87">
        <v>0.0</v>
      </c>
      <c r="N1222" s="87">
        <v>0.0</v>
      </c>
      <c r="O1222" s="87">
        <v>0.0</v>
      </c>
      <c r="P1222" s="87">
        <v>0.0</v>
      </c>
      <c r="Q1222" s="87">
        <v>0.033333</v>
      </c>
    </row>
    <row r="1223">
      <c r="A1223" s="84" t="s">
        <v>644</v>
      </c>
      <c r="B1223" s="194"/>
      <c r="C1223" s="84" t="s">
        <v>1257</v>
      </c>
      <c r="D1223" s="88" t="s">
        <v>1396</v>
      </c>
      <c r="E1223" s="91"/>
      <c r="F1223" s="84" t="s">
        <v>708</v>
      </c>
      <c r="G1223" s="84" t="s">
        <v>3607</v>
      </c>
      <c r="I1223" s="84" t="s">
        <v>3684</v>
      </c>
      <c r="J1223" s="84" t="s">
        <v>215</v>
      </c>
      <c r="L1223" s="87">
        <v>480.0</v>
      </c>
      <c r="M1223" s="87">
        <v>0.0</v>
      </c>
      <c r="N1223" s="87">
        <v>0.0</v>
      </c>
      <c r="O1223" s="87">
        <v>0.0</v>
      </c>
      <c r="P1223" s="87">
        <v>0.0</v>
      </c>
      <c r="Q1223" s="87">
        <v>0.0</v>
      </c>
    </row>
    <row r="1224">
      <c r="A1224" s="84" t="s">
        <v>644</v>
      </c>
      <c r="B1224" s="194"/>
      <c r="C1224" s="84" t="s">
        <v>1266</v>
      </c>
      <c r="D1224" s="88" t="s">
        <v>1396</v>
      </c>
      <c r="E1224" s="84" t="s">
        <v>3683</v>
      </c>
      <c r="F1224" s="84" t="s">
        <v>682</v>
      </c>
      <c r="G1224" s="84" t="s">
        <v>3563</v>
      </c>
      <c r="H1224" s="84" t="s">
        <v>3521</v>
      </c>
      <c r="I1224" s="84" t="s">
        <v>3684</v>
      </c>
      <c r="J1224" s="91"/>
      <c r="K1224" s="84" t="s">
        <v>111</v>
      </c>
      <c r="L1224" s="87">
        <v>624.0</v>
      </c>
      <c r="M1224" s="87">
        <v>0.0</v>
      </c>
      <c r="N1224" s="87">
        <v>0.0</v>
      </c>
      <c r="O1224" s="87">
        <v>0.0</v>
      </c>
      <c r="P1224" s="87">
        <v>0.0</v>
      </c>
      <c r="Q1224" s="87">
        <v>0.0</v>
      </c>
    </row>
    <row r="1225">
      <c r="A1225" s="84" t="s">
        <v>644</v>
      </c>
      <c r="B1225" s="194"/>
      <c r="C1225" s="84" t="s">
        <v>692</v>
      </c>
      <c r="D1225" s="88" t="s">
        <v>1396</v>
      </c>
      <c r="E1225" s="84" t="s">
        <v>3683</v>
      </c>
      <c r="F1225" s="84" t="s">
        <v>686</v>
      </c>
      <c r="G1225" s="84" t="s">
        <v>3607</v>
      </c>
      <c r="H1225" s="84" t="s">
        <v>3521</v>
      </c>
      <c r="I1225" s="84" t="s">
        <v>3684</v>
      </c>
      <c r="J1225" s="84" t="s">
        <v>215</v>
      </c>
      <c r="K1225" s="84" t="s">
        <v>111</v>
      </c>
      <c r="L1225" s="87">
        <v>72.0</v>
      </c>
      <c r="M1225" s="87">
        <v>0.0</v>
      </c>
      <c r="N1225" s="87">
        <v>0.0</v>
      </c>
      <c r="O1225" s="87">
        <v>0.0</v>
      </c>
      <c r="P1225" s="87">
        <v>0.0</v>
      </c>
      <c r="Q1225" s="87">
        <v>0.0</v>
      </c>
    </row>
    <row r="1226">
      <c r="A1226" s="84" t="s">
        <v>644</v>
      </c>
      <c r="B1226" s="194"/>
      <c r="C1226" s="84" t="s">
        <v>1248</v>
      </c>
      <c r="D1226" s="88" t="s">
        <v>1396</v>
      </c>
      <c r="E1226" s="84" t="s">
        <v>3683</v>
      </c>
      <c r="F1226" s="84" t="s">
        <v>686</v>
      </c>
      <c r="G1226" s="84" t="s">
        <v>3607</v>
      </c>
      <c r="H1226" s="84" t="s">
        <v>3521</v>
      </c>
      <c r="I1226" s="84" t="s">
        <v>3684</v>
      </c>
      <c r="J1226" s="84" t="s">
        <v>130</v>
      </c>
      <c r="K1226" s="91"/>
      <c r="L1226" s="87">
        <v>24.0</v>
      </c>
      <c r="M1226" s="87">
        <v>0.0</v>
      </c>
      <c r="N1226" s="87">
        <v>0.0</v>
      </c>
      <c r="O1226" s="87">
        <v>0.0</v>
      </c>
      <c r="P1226" s="87">
        <v>0.0</v>
      </c>
      <c r="Q1226" s="87">
        <v>0.0</v>
      </c>
    </row>
    <row r="1227">
      <c r="A1227" s="84" t="s">
        <v>180</v>
      </c>
      <c r="B1227" s="194"/>
      <c r="C1227" s="84" t="s">
        <v>818</v>
      </c>
      <c r="D1227" s="88" t="s">
        <v>1396</v>
      </c>
      <c r="E1227" s="84" t="s">
        <v>3683</v>
      </c>
      <c r="F1227" s="84" t="s">
        <v>814</v>
      </c>
      <c r="G1227" s="84" t="s">
        <v>3533</v>
      </c>
      <c r="H1227" s="84" t="s">
        <v>3521</v>
      </c>
      <c r="I1227" s="84" t="s">
        <v>3684</v>
      </c>
      <c r="J1227" s="91"/>
      <c r="K1227" s="91"/>
      <c r="L1227" s="87">
        <v>24.0</v>
      </c>
      <c r="M1227" s="87">
        <v>0.0</v>
      </c>
      <c r="N1227" s="87">
        <v>0.0</v>
      </c>
      <c r="O1227" s="87">
        <v>0.0</v>
      </c>
      <c r="P1227" s="87">
        <v>0.0</v>
      </c>
      <c r="Q1227" s="87">
        <v>0.0</v>
      </c>
    </row>
    <row r="1228">
      <c r="A1228" s="84" t="s">
        <v>213</v>
      </c>
      <c r="B1228" s="194"/>
      <c r="C1228" s="84" t="s">
        <v>868</v>
      </c>
      <c r="D1228" s="88" t="s">
        <v>1396</v>
      </c>
      <c r="E1228" s="84" t="s">
        <v>3683</v>
      </c>
      <c r="F1228" s="84" t="s">
        <v>869</v>
      </c>
      <c r="G1228" s="84" t="s">
        <v>3554</v>
      </c>
      <c r="H1228" s="84" t="s">
        <v>3521</v>
      </c>
      <c r="I1228" s="84" t="s">
        <v>3684</v>
      </c>
      <c r="J1228" s="84" t="s">
        <v>130</v>
      </c>
      <c r="K1228" s="91"/>
      <c r="L1228" s="87">
        <v>24.0</v>
      </c>
      <c r="M1228" s="87">
        <v>0.0</v>
      </c>
      <c r="N1228" s="87">
        <v>0.0</v>
      </c>
      <c r="O1228" s="87">
        <v>0.0</v>
      </c>
      <c r="P1228" s="87">
        <v>0.0</v>
      </c>
      <c r="Q1228" s="87">
        <v>0.0</v>
      </c>
    </row>
    <row r="1229">
      <c r="A1229" s="84" t="s">
        <v>644</v>
      </c>
      <c r="B1229" s="194"/>
      <c r="C1229" s="84" t="s">
        <v>707</v>
      </c>
      <c r="D1229" s="88" t="s">
        <v>1396</v>
      </c>
      <c r="E1229" s="84" t="s">
        <v>3687</v>
      </c>
      <c r="F1229" s="84" t="s">
        <v>708</v>
      </c>
      <c r="G1229" s="84" t="s">
        <v>3607</v>
      </c>
      <c r="H1229" s="84" t="s">
        <v>3521</v>
      </c>
      <c r="I1229" s="84" t="s">
        <v>3684</v>
      </c>
      <c r="J1229" s="84" t="s">
        <v>130</v>
      </c>
      <c r="K1229" s="85"/>
      <c r="L1229" s="87">
        <v>24.0</v>
      </c>
      <c r="M1229" s="87">
        <v>0.0</v>
      </c>
      <c r="N1229" s="87">
        <v>0.0</v>
      </c>
      <c r="O1229" s="87">
        <v>0.0</v>
      </c>
      <c r="P1229" s="87">
        <v>0.0</v>
      </c>
      <c r="Q1229" s="87">
        <v>0.0</v>
      </c>
    </row>
    <row r="1230">
      <c r="A1230" s="84" t="s">
        <v>537</v>
      </c>
      <c r="B1230" s="194"/>
      <c r="C1230" s="84" t="s">
        <v>1311</v>
      </c>
      <c r="D1230" s="88" t="s">
        <v>1396</v>
      </c>
      <c r="E1230" s="84" t="s">
        <v>3683</v>
      </c>
      <c r="F1230" s="84" t="s">
        <v>1041</v>
      </c>
      <c r="G1230" s="84" t="s">
        <v>3590</v>
      </c>
      <c r="H1230" s="84" t="s">
        <v>3521</v>
      </c>
      <c r="I1230" s="84" t="s">
        <v>3693</v>
      </c>
      <c r="J1230" s="84" t="s">
        <v>130</v>
      </c>
      <c r="K1230" s="85"/>
      <c r="L1230" s="87">
        <v>24.0</v>
      </c>
      <c r="M1230" s="87">
        <v>0.0</v>
      </c>
      <c r="N1230" s="87">
        <v>0.0</v>
      </c>
      <c r="O1230" s="87">
        <v>0.0</v>
      </c>
      <c r="P1230" s="87">
        <v>0.0</v>
      </c>
      <c r="Q1230" s="87">
        <v>0.0</v>
      </c>
    </row>
    <row r="1231">
      <c r="A1231" s="84" t="s">
        <v>644</v>
      </c>
      <c r="B1231" s="194"/>
      <c r="C1231" s="84" t="s">
        <v>1246</v>
      </c>
      <c r="D1231" s="88" t="s">
        <v>1396</v>
      </c>
      <c r="E1231" s="84" t="s">
        <v>3683</v>
      </c>
      <c r="F1231" s="84" t="s">
        <v>1244</v>
      </c>
      <c r="G1231" s="84" t="s">
        <v>3607</v>
      </c>
      <c r="H1231" s="84" t="s">
        <v>3521</v>
      </c>
      <c r="I1231" s="84" t="s">
        <v>3684</v>
      </c>
      <c r="J1231" s="84" t="s">
        <v>215</v>
      </c>
      <c r="L1231" s="87">
        <v>72.0</v>
      </c>
      <c r="M1231" s="87">
        <v>0.0</v>
      </c>
      <c r="N1231" s="87">
        <v>0.0</v>
      </c>
      <c r="O1231" s="87">
        <v>0.0</v>
      </c>
      <c r="P1231" s="87">
        <v>0.066667</v>
      </c>
      <c r="Q1231" s="87">
        <v>0.038462</v>
      </c>
    </row>
    <row r="1232">
      <c r="A1232" s="84" t="s">
        <v>644</v>
      </c>
      <c r="B1232" s="194"/>
      <c r="C1232" s="84" t="s">
        <v>697</v>
      </c>
      <c r="D1232" s="88" t="s">
        <v>1396</v>
      </c>
      <c r="E1232" s="84" t="s">
        <v>3683</v>
      </c>
      <c r="F1232" s="84" t="s">
        <v>686</v>
      </c>
      <c r="G1232" s="84" t="s">
        <v>3607</v>
      </c>
      <c r="H1232" s="84" t="s">
        <v>3521</v>
      </c>
      <c r="I1232" s="84" t="s">
        <v>3684</v>
      </c>
      <c r="J1232" s="84" t="s">
        <v>215</v>
      </c>
      <c r="L1232" s="87">
        <v>273.0</v>
      </c>
      <c r="M1232" s="87">
        <v>2.0</v>
      </c>
      <c r="N1232" s="87">
        <v>1.519168</v>
      </c>
      <c r="O1232" s="87">
        <v>0.5</v>
      </c>
      <c r="P1232" s="87">
        <v>1.083333</v>
      </c>
      <c r="Q1232" s="87">
        <v>1.697739</v>
      </c>
    </row>
    <row r="1233">
      <c r="A1233" s="84" t="s">
        <v>439</v>
      </c>
      <c r="B1233" s="194"/>
      <c r="C1233" s="84" t="s">
        <v>1336</v>
      </c>
      <c r="D1233" s="88" t="s">
        <v>1396</v>
      </c>
      <c r="E1233" s="91"/>
      <c r="F1233" s="84" t="s">
        <v>4041</v>
      </c>
      <c r="G1233" s="84" t="s">
        <v>3575</v>
      </c>
      <c r="I1233" s="84" t="s">
        <v>3684</v>
      </c>
      <c r="J1233" s="91"/>
      <c r="K1233" s="91"/>
      <c r="L1233" s="87">
        <v>456.0</v>
      </c>
      <c r="M1233" s="87">
        <v>0.0</v>
      </c>
      <c r="N1233" s="87">
        <v>0.0</v>
      </c>
      <c r="O1233" s="87">
        <v>0.0</v>
      </c>
      <c r="P1233" s="87">
        <v>0.0</v>
      </c>
      <c r="Q1233" s="87">
        <v>0.0</v>
      </c>
    </row>
    <row r="1234">
      <c r="A1234" s="84" t="s">
        <v>1130</v>
      </c>
      <c r="B1234" s="194"/>
      <c r="C1234" s="84" t="s">
        <v>1160</v>
      </c>
      <c r="D1234" s="88" t="s">
        <v>1396</v>
      </c>
      <c r="E1234" s="84" t="s">
        <v>3683</v>
      </c>
      <c r="F1234" s="84" t="s">
        <v>1142</v>
      </c>
      <c r="G1234" s="84" t="s">
        <v>3605</v>
      </c>
      <c r="H1234" s="84" t="s">
        <v>3521</v>
      </c>
      <c r="I1234" s="84" t="s">
        <v>3684</v>
      </c>
      <c r="J1234" s="84" t="s">
        <v>130</v>
      </c>
      <c r="K1234" s="85"/>
      <c r="L1234" s="87">
        <v>120.0</v>
      </c>
      <c r="M1234" s="87">
        <v>0.0</v>
      </c>
      <c r="N1234" s="87">
        <v>1.783333</v>
      </c>
      <c r="O1234" s="87">
        <v>0.0</v>
      </c>
      <c r="P1234" s="87">
        <v>0.0</v>
      </c>
      <c r="Q1234" s="87">
        <v>2.267249</v>
      </c>
    </row>
    <row r="1235">
      <c r="A1235" s="84" t="s">
        <v>393</v>
      </c>
      <c r="B1235" s="194"/>
      <c r="C1235" s="84" t="s">
        <v>430</v>
      </c>
      <c r="D1235" s="88" t="s">
        <v>1396</v>
      </c>
      <c r="E1235" s="84" t="s">
        <v>3683</v>
      </c>
      <c r="F1235" s="84" t="s">
        <v>431</v>
      </c>
      <c r="G1235" s="84" t="s">
        <v>4114</v>
      </c>
      <c r="I1235" s="84" t="s">
        <v>3693</v>
      </c>
      <c r="J1235" s="91"/>
      <c r="K1235" s="85"/>
      <c r="L1235" s="87">
        <v>552.0</v>
      </c>
      <c r="M1235" s="87">
        <v>0.0</v>
      </c>
      <c r="N1235" s="87">
        <v>0.0</v>
      </c>
      <c r="O1235" s="87">
        <v>0.0</v>
      </c>
      <c r="P1235" s="87">
        <v>0.0</v>
      </c>
      <c r="Q1235" s="87">
        <v>0.0</v>
      </c>
    </row>
    <row r="1236">
      <c r="A1236" s="84" t="s">
        <v>630</v>
      </c>
      <c r="B1236" s="194"/>
      <c r="C1236" s="84" t="s">
        <v>1116</v>
      </c>
      <c r="D1236" s="88" t="s">
        <v>1396</v>
      </c>
      <c r="E1236" s="84" t="s">
        <v>3683</v>
      </c>
      <c r="F1236" s="84" t="s">
        <v>1117</v>
      </c>
      <c r="G1236" s="84" t="s">
        <v>3554</v>
      </c>
      <c r="H1236" s="84" t="s">
        <v>3521</v>
      </c>
      <c r="I1236" s="84" t="s">
        <v>3684</v>
      </c>
      <c r="J1236" s="91"/>
      <c r="K1236" s="84" t="s">
        <v>111</v>
      </c>
      <c r="L1236" s="87">
        <v>408.0</v>
      </c>
      <c r="M1236" s="87">
        <v>0.0</v>
      </c>
      <c r="N1236" s="87">
        <v>0.0</v>
      </c>
      <c r="O1236" s="87">
        <v>0.0</v>
      </c>
      <c r="P1236" s="87">
        <v>0.0</v>
      </c>
      <c r="Q1236" s="87">
        <v>0.0</v>
      </c>
    </row>
    <row r="1237">
      <c r="A1237" s="84" t="s">
        <v>745</v>
      </c>
      <c r="B1237" s="194"/>
      <c r="C1237" s="84" t="s">
        <v>749</v>
      </c>
      <c r="D1237" s="88" t="s">
        <v>1396</v>
      </c>
      <c r="E1237" s="84" t="s">
        <v>3683</v>
      </c>
      <c r="F1237" s="84" t="s">
        <v>744</v>
      </c>
      <c r="G1237" s="84" t="s">
        <v>3841</v>
      </c>
      <c r="H1237" s="84" t="s">
        <v>3521</v>
      </c>
      <c r="I1237" s="84" t="s">
        <v>3684</v>
      </c>
      <c r="J1237" s="84" t="s">
        <v>130</v>
      </c>
      <c r="K1237" s="85"/>
      <c r="L1237" s="87">
        <v>240.0</v>
      </c>
      <c r="M1237" s="87">
        <v>0.0</v>
      </c>
      <c r="N1237" s="87">
        <v>0.051957</v>
      </c>
      <c r="O1237" s="87">
        <v>0.0</v>
      </c>
      <c r="P1237" s="87">
        <v>0.144444</v>
      </c>
      <c r="Q1237" s="87">
        <v>0.118623</v>
      </c>
    </row>
    <row r="1238">
      <c r="A1238" s="84" t="s">
        <v>444</v>
      </c>
      <c r="B1238" s="194"/>
      <c r="C1238" s="84" t="s">
        <v>942</v>
      </c>
      <c r="D1238" s="88" t="s">
        <v>1396</v>
      </c>
      <c r="E1238" s="84" t="s">
        <v>3683</v>
      </c>
      <c r="F1238" s="84" t="s">
        <v>448</v>
      </c>
      <c r="G1238" s="84" t="s">
        <v>3577</v>
      </c>
      <c r="I1238" s="84" t="s">
        <v>3684</v>
      </c>
      <c r="J1238" s="91"/>
      <c r="K1238" s="91"/>
      <c r="L1238" s="87">
        <v>552.0</v>
      </c>
      <c r="M1238" s="87">
        <v>0.0</v>
      </c>
      <c r="N1238" s="87">
        <v>0.0</v>
      </c>
      <c r="O1238" s="87">
        <v>0.0</v>
      </c>
      <c r="P1238" s="87">
        <v>0.0</v>
      </c>
      <c r="Q1238" s="87">
        <v>0.0</v>
      </c>
    </row>
    <row r="1239">
      <c r="A1239" s="84" t="s">
        <v>341</v>
      </c>
      <c r="B1239" s="194"/>
      <c r="C1239" s="84" t="s">
        <v>347</v>
      </c>
      <c r="D1239" s="88" t="s">
        <v>1396</v>
      </c>
      <c r="E1239" s="84" t="s">
        <v>3745</v>
      </c>
      <c r="F1239" s="84" t="s">
        <v>340</v>
      </c>
      <c r="G1239" s="84" t="s">
        <v>4148</v>
      </c>
      <c r="H1239" s="84" t="s">
        <v>3521</v>
      </c>
      <c r="I1239" s="84" t="s">
        <v>3962</v>
      </c>
      <c r="J1239" s="84" t="s">
        <v>130</v>
      </c>
      <c r="K1239" s="84" t="s">
        <v>112</v>
      </c>
      <c r="L1239" s="87">
        <v>864.0</v>
      </c>
      <c r="M1239" s="87">
        <v>0.0</v>
      </c>
      <c r="N1239" s="87">
        <v>198.3643</v>
      </c>
      <c r="O1239" s="87">
        <v>0.0</v>
      </c>
      <c r="P1239" s="87">
        <v>8.0</v>
      </c>
      <c r="Q1239" s="87">
        <v>198.3643</v>
      </c>
    </row>
    <row r="1240">
      <c r="A1240" s="84" t="s">
        <v>616</v>
      </c>
      <c r="B1240" s="194"/>
      <c r="C1240" s="84" t="s">
        <v>1076</v>
      </c>
      <c r="D1240" s="88" t="s">
        <v>1396</v>
      </c>
      <c r="E1240" s="84" t="s">
        <v>3683</v>
      </c>
      <c r="F1240" s="84" t="s">
        <v>1075</v>
      </c>
      <c r="G1240" s="84" t="s">
        <v>3542</v>
      </c>
      <c r="H1240" s="84" t="s">
        <v>3521</v>
      </c>
      <c r="I1240" s="84" t="s">
        <v>3684</v>
      </c>
      <c r="J1240" s="91"/>
      <c r="K1240" s="91"/>
      <c r="L1240" s="87">
        <v>0.0</v>
      </c>
      <c r="M1240" s="87">
        <v>0.0</v>
      </c>
      <c r="N1240" s="87">
        <v>0.0</v>
      </c>
      <c r="O1240" s="87">
        <v>0.214286</v>
      </c>
      <c r="P1240" s="87">
        <v>0.270115</v>
      </c>
      <c r="Q1240" s="87">
        <v>0.23648</v>
      </c>
    </row>
    <row r="1241">
      <c r="A1241" s="84" t="s">
        <v>630</v>
      </c>
      <c r="B1241" s="194"/>
      <c r="C1241" s="84" t="s">
        <v>638</v>
      </c>
      <c r="D1241" s="88" t="s">
        <v>1396</v>
      </c>
      <c r="E1241" s="84" t="s">
        <v>3683</v>
      </c>
      <c r="F1241" s="84" t="s">
        <v>639</v>
      </c>
      <c r="G1241" s="84" t="s">
        <v>3712</v>
      </c>
      <c r="H1241" s="84" t="s">
        <v>3521</v>
      </c>
      <c r="I1241" s="84" t="s">
        <v>3684</v>
      </c>
      <c r="J1241" s="91"/>
      <c r="K1241" s="85"/>
      <c r="L1241" s="87">
        <v>24.0</v>
      </c>
      <c r="M1241" s="87">
        <v>2.0</v>
      </c>
      <c r="N1241" s="87">
        <v>0.450549</v>
      </c>
      <c r="O1241" s="87">
        <v>3.369963</v>
      </c>
      <c r="P1241" s="87">
        <v>3.245484</v>
      </c>
      <c r="Q1241" s="87">
        <v>3.016183</v>
      </c>
    </row>
    <row r="1242">
      <c r="A1242" s="84" t="s">
        <v>644</v>
      </c>
      <c r="B1242" s="194"/>
      <c r="C1242" s="84" t="s">
        <v>739</v>
      </c>
      <c r="D1242" s="88" t="s">
        <v>1396</v>
      </c>
      <c r="E1242" s="84" t="s">
        <v>3683</v>
      </c>
      <c r="F1242" s="84" t="s">
        <v>144</v>
      </c>
      <c r="G1242" s="84" t="s">
        <v>3700</v>
      </c>
      <c r="H1242" s="84" t="s">
        <v>3521</v>
      </c>
      <c r="I1242" s="84" t="s">
        <v>3684</v>
      </c>
      <c r="J1242" s="91"/>
      <c r="K1242" s="84" t="s">
        <v>111</v>
      </c>
      <c r="L1242" s="87">
        <v>792.0</v>
      </c>
      <c r="M1242" s="87">
        <v>0.0</v>
      </c>
      <c r="N1242" s="87">
        <v>0.0</v>
      </c>
      <c r="O1242" s="87">
        <v>0.0</v>
      </c>
      <c r="P1242" s="87">
        <v>0.0</v>
      </c>
      <c r="Q1242" s="87">
        <v>0.0</v>
      </c>
    </row>
    <row r="1243">
      <c r="A1243" s="84" t="s">
        <v>393</v>
      </c>
      <c r="B1243" s="194"/>
      <c r="C1243" s="84" t="s">
        <v>422</v>
      </c>
      <c r="D1243" s="88" t="s">
        <v>1396</v>
      </c>
      <c r="E1243" s="84" t="s">
        <v>3687</v>
      </c>
      <c r="F1243" s="84" t="s">
        <v>423</v>
      </c>
      <c r="G1243" s="84" t="s">
        <v>3568</v>
      </c>
      <c r="H1243" s="84" t="s">
        <v>3521</v>
      </c>
      <c r="I1243" s="84" t="s">
        <v>3693</v>
      </c>
      <c r="J1243" s="91"/>
      <c r="K1243" s="85"/>
      <c r="L1243" s="87">
        <v>528.0</v>
      </c>
      <c r="M1243" s="87">
        <v>0.0</v>
      </c>
      <c r="N1243" s="87">
        <v>0.7</v>
      </c>
      <c r="O1243" s="87">
        <v>0.0</v>
      </c>
      <c r="P1243" s="87">
        <v>0.033333</v>
      </c>
      <c r="Q1243" s="87">
        <v>0.733333</v>
      </c>
    </row>
    <row r="1244">
      <c r="A1244" s="84" t="s">
        <v>630</v>
      </c>
      <c r="B1244" s="194"/>
      <c r="C1244" s="84" t="s">
        <v>1278</v>
      </c>
      <c r="D1244" s="88" t="s">
        <v>1396</v>
      </c>
      <c r="E1244" s="84" t="s">
        <v>3683</v>
      </c>
      <c r="F1244" s="84" t="s">
        <v>1108</v>
      </c>
      <c r="G1244" s="84" t="s">
        <v>3554</v>
      </c>
      <c r="H1244" s="84" t="s">
        <v>3521</v>
      </c>
      <c r="I1244" s="84" t="s">
        <v>3684</v>
      </c>
      <c r="J1244" s="84" t="s">
        <v>130</v>
      </c>
      <c r="K1244" s="91"/>
      <c r="L1244" s="87">
        <v>24.0</v>
      </c>
      <c r="M1244" s="87">
        <v>0.0</v>
      </c>
      <c r="N1244" s="87">
        <v>0.0</v>
      </c>
      <c r="O1244" s="87">
        <v>0.0</v>
      </c>
      <c r="P1244" s="87">
        <v>0.0</v>
      </c>
      <c r="Q1244" s="87">
        <v>0.022222</v>
      </c>
    </row>
    <row r="1245">
      <c r="A1245" s="84" t="s">
        <v>139</v>
      </c>
      <c r="B1245" s="194"/>
      <c r="C1245" s="84" t="s">
        <v>154</v>
      </c>
      <c r="D1245" s="88" t="s">
        <v>1396</v>
      </c>
      <c r="E1245" s="84" t="s">
        <v>3683</v>
      </c>
      <c r="F1245" s="84" t="s">
        <v>144</v>
      </c>
      <c r="G1245" s="84" t="s">
        <v>3700</v>
      </c>
      <c r="I1245" s="84" t="s">
        <v>3684</v>
      </c>
      <c r="J1245" s="84" t="s">
        <v>130</v>
      </c>
      <c r="K1245" s="85"/>
      <c r="L1245" s="87">
        <v>48.0</v>
      </c>
      <c r="M1245" s="87">
        <v>0.0</v>
      </c>
      <c r="N1245" s="87">
        <v>0.0</v>
      </c>
      <c r="O1245" s="87">
        <v>0.0</v>
      </c>
      <c r="P1245" s="87">
        <v>0.0</v>
      </c>
      <c r="Q1245" s="87">
        <v>0.0</v>
      </c>
    </row>
    <row r="1246">
      <c r="A1246" s="84" t="s">
        <v>644</v>
      </c>
      <c r="B1246" s="194"/>
      <c r="C1246" s="84" t="s">
        <v>1183</v>
      </c>
      <c r="D1246" s="88" t="s">
        <v>1396</v>
      </c>
      <c r="E1246" s="84" t="s">
        <v>3683</v>
      </c>
      <c r="F1246" s="84" t="s">
        <v>686</v>
      </c>
      <c r="G1246" s="84" t="s">
        <v>3600</v>
      </c>
      <c r="I1246" s="84" t="s">
        <v>3684</v>
      </c>
      <c r="J1246" s="84" t="s">
        <v>215</v>
      </c>
      <c r="L1246" s="87">
        <v>480.0</v>
      </c>
      <c r="M1246" s="87">
        <v>0.0</v>
      </c>
      <c r="N1246" s="87">
        <v>0.0</v>
      </c>
      <c r="O1246" s="87">
        <v>0.0</v>
      </c>
      <c r="P1246" s="87">
        <v>0.0</v>
      </c>
      <c r="Q1246" s="87">
        <v>0.0</v>
      </c>
    </row>
    <row r="1247">
      <c r="A1247" s="84" t="s">
        <v>644</v>
      </c>
      <c r="B1247" s="194"/>
      <c r="C1247" s="84" t="s">
        <v>1221</v>
      </c>
      <c r="D1247" s="88" t="s">
        <v>1396</v>
      </c>
      <c r="E1247" s="84" t="s">
        <v>3683</v>
      </c>
      <c r="F1247" s="84" t="s">
        <v>850</v>
      </c>
      <c r="G1247" s="84" t="s">
        <v>3551</v>
      </c>
      <c r="H1247" s="84" t="s">
        <v>3521</v>
      </c>
      <c r="I1247" s="84" t="s">
        <v>3684</v>
      </c>
      <c r="J1247" s="91"/>
      <c r="K1247" s="85"/>
      <c r="L1247" s="87">
        <v>29.0</v>
      </c>
      <c r="M1247" s="87">
        <v>6.0</v>
      </c>
      <c r="N1247" s="87">
        <v>1.173993</v>
      </c>
      <c r="O1247" s="87">
        <v>2.664252</v>
      </c>
      <c r="P1247" s="87">
        <v>2.938799</v>
      </c>
      <c r="Q1247" s="87">
        <v>2.298102</v>
      </c>
    </row>
    <row r="1248">
      <c r="A1248" s="84" t="s">
        <v>481</v>
      </c>
      <c r="B1248" s="194"/>
      <c r="C1248" s="84" t="s">
        <v>519</v>
      </c>
      <c r="D1248" s="88" t="s">
        <v>1396</v>
      </c>
      <c r="E1248" s="84" t="s">
        <v>3683</v>
      </c>
      <c r="F1248" s="84" t="s">
        <v>516</v>
      </c>
      <c r="G1248" s="84" t="s">
        <v>3593</v>
      </c>
      <c r="H1248" s="84" t="s">
        <v>3521</v>
      </c>
      <c r="I1248" s="84" t="s">
        <v>3684</v>
      </c>
      <c r="J1248" s="84" t="s">
        <v>130</v>
      </c>
      <c r="K1248" s="91"/>
      <c r="L1248" s="87">
        <v>48.0</v>
      </c>
      <c r="M1248" s="87">
        <v>0.0</v>
      </c>
      <c r="N1248" s="87">
        <v>0.0</v>
      </c>
      <c r="O1248" s="87">
        <v>0.0</v>
      </c>
      <c r="P1248" s="87">
        <v>0.0</v>
      </c>
      <c r="Q1248" s="87">
        <v>0.0</v>
      </c>
    </row>
    <row r="1249">
      <c r="A1249" s="84" t="s">
        <v>1130</v>
      </c>
      <c r="B1249" s="194"/>
      <c r="C1249" s="84" t="s">
        <v>1133</v>
      </c>
      <c r="D1249" s="88" t="s">
        <v>1396</v>
      </c>
      <c r="E1249" s="84" t="s">
        <v>3687</v>
      </c>
      <c r="F1249" s="84" t="s">
        <v>1129</v>
      </c>
      <c r="G1249" s="84" t="s">
        <v>3604</v>
      </c>
      <c r="I1249" s="84" t="s">
        <v>3684</v>
      </c>
      <c r="J1249" s="84" t="s">
        <v>130</v>
      </c>
      <c r="K1249" s="85"/>
      <c r="L1249" s="87">
        <v>24.0</v>
      </c>
      <c r="M1249" s="87">
        <v>0.0</v>
      </c>
      <c r="N1249" s="87">
        <v>0.0</v>
      </c>
      <c r="O1249" s="87">
        <v>0.0</v>
      </c>
      <c r="P1249" s="87">
        <v>0.0</v>
      </c>
      <c r="Q1249" s="87">
        <v>0.0</v>
      </c>
    </row>
    <row r="1250">
      <c r="A1250" s="84" t="s">
        <v>644</v>
      </c>
      <c r="B1250" s="194"/>
      <c r="C1250" s="84" t="s">
        <v>1182</v>
      </c>
      <c r="D1250" s="88" t="s">
        <v>1396</v>
      </c>
      <c r="E1250" s="84" t="s">
        <v>3687</v>
      </c>
      <c r="F1250" s="84" t="s">
        <v>1174</v>
      </c>
      <c r="G1250" s="84" t="s">
        <v>3600</v>
      </c>
      <c r="H1250" s="84" t="s">
        <v>3521</v>
      </c>
      <c r="I1250" s="84" t="s">
        <v>3684</v>
      </c>
      <c r="J1250" s="91"/>
      <c r="K1250" s="91"/>
      <c r="L1250" s="87">
        <v>0.0</v>
      </c>
      <c r="M1250" s="87">
        <v>0.0</v>
      </c>
      <c r="N1250" s="87">
        <v>0.0</v>
      </c>
      <c r="O1250" s="87">
        <v>0.0</v>
      </c>
      <c r="P1250" s="87">
        <v>0.033333</v>
      </c>
      <c r="Q1250" s="87">
        <v>0.016667</v>
      </c>
    </row>
    <row r="1251">
      <c r="A1251" s="84" t="s">
        <v>180</v>
      </c>
      <c r="B1251" s="194"/>
      <c r="C1251" s="84" t="s">
        <v>817</v>
      </c>
      <c r="D1251" s="88" t="s">
        <v>1396</v>
      </c>
      <c r="E1251" s="84" t="s">
        <v>3683</v>
      </c>
      <c r="F1251" s="84" t="s">
        <v>814</v>
      </c>
      <c r="G1251" s="84" t="s">
        <v>3533</v>
      </c>
      <c r="H1251" s="84" t="s">
        <v>3521</v>
      </c>
      <c r="I1251" s="84" t="s">
        <v>3684</v>
      </c>
      <c r="J1251" s="84" t="s">
        <v>130</v>
      </c>
      <c r="K1251" s="84" t="s">
        <v>112</v>
      </c>
      <c r="L1251" s="87">
        <v>24.0</v>
      </c>
      <c r="M1251" s="87">
        <v>0.0</v>
      </c>
      <c r="N1251" s="87">
        <v>0.0</v>
      </c>
      <c r="O1251" s="87">
        <v>0.0</v>
      </c>
      <c r="P1251" s="87">
        <v>0.0</v>
      </c>
      <c r="Q1251" s="87">
        <v>0.0</v>
      </c>
    </row>
    <row r="1252">
      <c r="A1252" s="84" t="s">
        <v>231</v>
      </c>
      <c r="B1252" s="194"/>
      <c r="C1252" s="84" t="s">
        <v>877</v>
      </c>
      <c r="D1252" s="88" t="s">
        <v>1396</v>
      </c>
      <c r="E1252" s="84" t="s">
        <v>3687</v>
      </c>
      <c r="F1252" s="84" t="s">
        <v>878</v>
      </c>
      <c r="G1252" s="84" t="s">
        <v>3555</v>
      </c>
      <c r="H1252" s="84" t="s">
        <v>3513</v>
      </c>
      <c r="I1252" s="84" t="s">
        <v>3693</v>
      </c>
      <c r="J1252" s="91"/>
      <c r="K1252" s="85"/>
      <c r="L1252" s="87">
        <v>24.0</v>
      </c>
      <c r="M1252" s="87">
        <v>0.0</v>
      </c>
      <c r="N1252" s="87">
        <v>0.0</v>
      </c>
      <c r="O1252" s="87">
        <v>0.0</v>
      </c>
      <c r="P1252" s="87">
        <v>0.0</v>
      </c>
      <c r="Q1252" s="87">
        <v>0.0</v>
      </c>
    </row>
    <row r="1253">
      <c r="A1253" s="84" t="s">
        <v>139</v>
      </c>
      <c r="B1253" s="194"/>
      <c r="C1253" s="84" t="s">
        <v>143</v>
      </c>
      <c r="D1253" s="88" t="s">
        <v>1396</v>
      </c>
      <c r="E1253" s="84" t="s">
        <v>3683</v>
      </c>
      <c r="F1253" s="84" t="s">
        <v>144</v>
      </c>
      <c r="G1253" s="84" t="s">
        <v>3700</v>
      </c>
      <c r="I1253" s="84" t="s">
        <v>3684</v>
      </c>
      <c r="J1253" s="84" t="s">
        <v>130</v>
      </c>
      <c r="K1253" s="91"/>
      <c r="L1253" s="87">
        <v>48.0</v>
      </c>
      <c r="M1253" s="87">
        <v>0.0</v>
      </c>
      <c r="N1253" s="87">
        <v>0.2</v>
      </c>
      <c r="O1253" s="87">
        <v>0.0</v>
      </c>
      <c r="P1253" s="87">
        <v>0.0</v>
      </c>
      <c r="Q1253" s="87">
        <v>0.2</v>
      </c>
    </row>
    <row r="1254">
      <c r="A1254" s="84" t="s">
        <v>537</v>
      </c>
      <c r="B1254" s="194"/>
      <c r="C1254" s="84" t="s">
        <v>563</v>
      </c>
      <c r="D1254" s="88" t="s">
        <v>1396</v>
      </c>
      <c r="E1254" s="84" t="s">
        <v>3683</v>
      </c>
      <c r="F1254" s="84" t="s">
        <v>558</v>
      </c>
      <c r="G1254" s="84" t="s">
        <v>3602</v>
      </c>
      <c r="H1254" s="84" t="s">
        <v>3521</v>
      </c>
      <c r="I1254" s="84" t="s">
        <v>3693</v>
      </c>
      <c r="J1254" s="84" t="s">
        <v>130</v>
      </c>
      <c r="K1254" s="85"/>
      <c r="L1254" s="87">
        <v>9.0</v>
      </c>
      <c r="M1254" s="87">
        <v>0.0</v>
      </c>
      <c r="N1254" s="87">
        <v>0.0</v>
      </c>
      <c r="O1254" s="87">
        <v>0.0</v>
      </c>
      <c r="P1254" s="87">
        <v>0.0</v>
      </c>
      <c r="Q1254" s="87">
        <v>0.0</v>
      </c>
    </row>
    <row r="1255">
      <c r="A1255" s="84" t="s">
        <v>644</v>
      </c>
      <c r="B1255" s="194"/>
      <c r="C1255" s="84" t="s">
        <v>1269</v>
      </c>
      <c r="D1255" s="88" t="s">
        <v>1396</v>
      </c>
      <c r="E1255" s="84" t="s">
        <v>3683</v>
      </c>
      <c r="F1255" s="84" t="s">
        <v>1229</v>
      </c>
      <c r="G1255" s="84" t="s">
        <v>3551</v>
      </c>
      <c r="I1255" s="84" t="s">
        <v>3684</v>
      </c>
      <c r="J1255" s="91"/>
      <c r="K1255" s="91"/>
      <c r="L1255" s="87">
        <v>0.0</v>
      </c>
      <c r="M1255" s="87">
        <v>0.0</v>
      </c>
      <c r="N1255" s="87">
        <v>0.0</v>
      </c>
      <c r="O1255" s="87">
        <v>0.0</v>
      </c>
      <c r="P1255" s="87">
        <v>0.0</v>
      </c>
      <c r="Q1255" s="87">
        <v>0.0</v>
      </c>
    </row>
    <row r="1256">
      <c r="A1256" s="84" t="s">
        <v>644</v>
      </c>
      <c r="B1256" s="194"/>
      <c r="C1256" s="84" t="s">
        <v>739</v>
      </c>
      <c r="D1256" s="88" t="s">
        <v>1396</v>
      </c>
      <c r="E1256" s="84" t="s">
        <v>3683</v>
      </c>
      <c r="F1256" s="84" t="s">
        <v>144</v>
      </c>
      <c r="G1256" s="84" t="s">
        <v>3700</v>
      </c>
      <c r="H1256" s="84" t="s">
        <v>3521</v>
      </c>
      <c r="I1256" s="84" t="s">
        <v>3684</v>
      </c>
      <c r="J1256" s="84" t="s">
        <v>130</v>
      </c>
      <c r="K1256" s="84" t="s">
        <v>111</v>
      </c>
      <c r="L1256" s="87">
        <v>24.0</v>
      </c>
      <c r="M1256" s="87">
        <v>0.0</v>
      </c>
      <c r="N1256" s="87">
        <v>0.0</v>
      </c>
      <c r="O1256" s="87">
        <v>0.0</v>
      </c>
      <c r="P1256" s="87">
        <v>0.0</v>
      </c>
      <c r="Q1256" s="87">
        <v>0.0</v>
      </c>
    </row>
    <row r="1257">
      <c r="A1257" s="84" t="s">
        <v>644</v>
      </c>
      <c r="B1257" s="194"/>
      <c r="C1257" s="84" t="s">
        <v>707</v>
      </c>
      <c r="D1257" s="88" t="s">
        <v>1396</v>
      </c>
      <c r="E1257" s="84" t="s">
        <v>3687</v>
      </c>
      <c r="F1257" s="84" t="s">
        <v>708</v>
      </c>
      <c r="G1257" s="84" t="s">
        <v>3607</v>
      </c>
      <c r="H1257" s="84" t="s">
        <v>3521</v>
      </c>
      <c r="I1257" s="84" t="s">
        <v>3684</v>
      </c>
      <c r="J1257" s="84" t="s">
        <v>215</v>
      </c>
      <c r="L1257" s="87">
        <v>384.0</v>
      </c>
      <c r="M1257" s="87">
        <v>0.0</v>
      </c>
      <c r="N1257" s="87">
        <v>1.89986</v>
      </c>
      <c r="O1257" s="87">
        <v>1.119228</v>
      </c>
      <c r="P1257" s="87">
        <v>0.793343</v>
      </c>
      <c r="Q1257" s="87">
        <v>1.224077</v>
      </c>
    </row>
    <row r="1258">
      <c r="A1258" s="84" t="s">
        <v>644</v>
      </c>
      <c r="B1258" s="194"/>
      <c r="C1258" s="84" t="s">
        <v>656</v>
      </c>
      <c r="D1258" s="88" t="s">
        <v>1396</v>
      </c>
      <c r="E1258" s="84" t="s">
        <v>3683</v>
      </c>
      <c r="F1258" s="84" t="s">
        <v>651</v>
      </c>
      <c r="G1258" s="84" t="s">
        <v>3723</v>
      </c>
      <c r="H1258" s="84" t="s">
        <v>3521</v>
      </c>
      <c r="I1258" s="84" t="s">
        <v>3684</v>
      </c>
      <c r="J1258" s="91"/>
      <c r="K1258" s="85"/>
      <c r="L1258" s="87">
        <v>71.0</v>
      </c>
      <c r="M1258" s="87">
        <v>2.0</v>
      </c>
      <c r="N1258" s="87">
        <v>0.762155</v>
      </c>
      <c r="O1258" s="87">
        <v>5.061688</v>
      </c>
      <c r="P1258" s="87">
        <v>3.378289</v>
      </c>
      <c r="Q1258" s="87">
        <v>3.200444</v>
      </c>
    </row>
    <row r="1259">
      <c r="A1259" s="84" t="s">
        <v>180</v>
      </c>
      <c r="B1259" s="194"/>
      <c r="C1259" s="84" t="s">
        <v>1322</v>
      </c>
      <c r="D1259" s="88" t="s">
        <v>1396</v>
      </c>
      <c r="E1259" s="84" t="s">
        <v>3683</v>
      </c>
      <c r="F1259" s="84" t="s">
        <v>706</v>
      </c>
      <c r="G1259" s="84" t="s">
        <v>3547</v>
      </c>
      <c r="H1259" s="84" t="s">
        <v>3507</v>
      </c>
      <c r="I1259" s="84" t="s">
        <v>3684</v>
      </c>
      <c r="J1259" s="91"/>
      <c r="K1259" s="84" t="s">
        <v>111</v>
      </c>
      <c r="L1259" s="87">
        <v>735.0</v>
      </c>
      <c r="M1259" s="87">
        <v>1.0</v>
      </c>
      <c r="N1259" s="87">
        <v>5.113738</v>
      </c>
      <c r="O1259" s="87">
        <v>0.125</v>
      </c>
      <c r="P1259" s="87">
        <v>3.32061</v>
      </c>
      <c r="Q1259" s="87">
        <v>4.933973</v>
      </c>
    </row>
    <row r="1260">
      <c r="A1260" s="84" t="s">
        <v>439</v>
      </c>
      <c r="B1260" s="193"/>
      <c r="C1260" s="84" t="s">
        <v>438</v>
      </c>
      <c r="D1260" s="88" t="s">
        <v>1396</v>
      </c>
      <c r="E1260" s="84" t="s">
        <v>3687</v>
      </c>
      <c r="F1260" s="84" t="s">
        <v>938</v>
      </c>
      <c r="G1260" s="84" t="s">
        <v>4107</v>
      </c>
      <c r="H1260" s="84" t="s">
        <v>3527</v>
      </c>
      <c r="I1260" s="84" t="s">
        <v>3709</v>
      </c>
      <c r="J1260" s="84" t="s">
        <v>130</v>
      </c>
      <c r="K1260" s="84" t="s">
        <v>111</v>
      </c>
      <c r="L1260" s="87">
        <v>768.0</v>
      </c>
      <c r="M1260" s="87">
        <v>0.0</v>
      </c>
      <c r="N1260" s="87">
        <v>0.0</v>
      </c>
      <c r="O1260" s="87">
        <v>0.0</v>
      </c>
      <c r="P1260" s="87">
        <v>0.0</v>
      </c>
      <c r="Q1260" s="87">
        <v>0.0</v>
      </c>
    </row>
    <row r="1261">
      <c r="A1261" s="84" t="s">
        <v>393</v>
      </c>
      <c r="B1261" s="194"/>
      <c r="C1261" s="84" t="s">
        <v>414</v>
      </c>
      <c r="D1261" s="88" t="s">
        <v>1396</v>
      </c>
      <c r="E1261" s="84" t="s">
        <v>3683</v>
      </c>
      <c r="F1261" s="84" t="s">
        <v>415</v>
      </c>
      <c r="G1261" s="84" t="s">
        <v>3832</v>
      </c>
      <c r="I1261" s="84" t="s">
        <v>3693</v>
      </c>
      <c r="J1261" s="91"/>
      <c r="K1261" s="85"/>
      <c r="L1261" s="87">
        <v>552.0</v>
      </c>
      <c r="M1261" s="87">
        <v>0.0</v>
      </c>
      <c r="N1261" s="87">
        <v>0.0</v>
      </c>
      <c r="O1261" s="87">
        <v>0.0</v>
      </c>
      <c r="P1261" s="87">
        <v>0.0</v>
      </c>
      <c r="Q1261" s="87">
        <v>0.0</v>
      </c>
    </row>
    <row r="1262">
      <c r="A1262" s="84" t="s">
        <v>644</v>
      </c>
      <c r="B1262" s="194"/>
      <c r="C1262" s="84" t="s">
        <v>669</v>
      </c>
      <c r="D1262" s="88" t="s">
        <v>1396</v>
      </c>
      <c r="E1262" s="84" t="s">
        <v>3683</v>
      </c>
      <c r="F1262" s="84" t="s">
        <v>670</v>
      </c>
      <c r="G1262" s="84" t="s">
        <v>3789</v>
      </c>
      <c r="I1262" s="84" t="s">
        <v>3684</v>
      </c>
      <c r="J1262" s="91"/>
      <c r="K1262" s="84" t="s">
        <v>111</v>
      </c>
      <c r="L1262" s="87">
        <v>552.0</v>
      </c>
      <c r="M1262" s="87">
        <v>0.0</v>
      </c>
      <c r="N1262" s="87">
        <v>0.0</v>
      </c>
      <c r="O1262" s="87">
        <v>0.0</v>
      </c>
      <c r="P1262" s="87">
        <v>0.0</v>
      </c>
      <c r="Q1262" s="87">
        <v>0.0</v>
      </c>
    </row>
    <row r="1263">
      <c r="A1263" s="84" t="s">
        <v>644</v>
      </c>
      <c r="B1263" s="194"/>
      <c r="C1263" s="84" t="s">
        <v>722</v>
      </c>
      <c r="D1263" s="88" t="s">
        <v>1396</v>
      </c>
      <c r="E1263" s="84" t="s">
        <v>3687</v>
      </c>
      <c r="F1263" s="84" t="s">
        <v>719</v>
      </c>
      <c r="G1263" s="84" t="s">
        <v>3607</v>
      </c>
      <c r="I1263" s="84" t="s">
        <v>3684</v>
      </c>
      <c r="J1263" s="91"/>
      <c r="K1263" s="85"/>
      <c r="L1263" s="87">
        <v>552.0</v>
      </c>
      <c r="M1263" s="87">
        <v>0.0</v>
      </c>
      <c r="N1263" s="87">
        <v>0.0</v>
      </c>
      <c r="O1263" s="87">
        <v>0.0</v>
      </c>
      <c r="P1263" s="87">
        <v>0.0</v>
      </c>
      <c r="Q1263" s="87">
        <v>0.0</v>
      </c>
    </row>
    <row r="1264">
      <c r="A1264" s="84" t="s">
        <v>644</v>
      </c>
      <c r="B1264" s="194"/>
      <c r="C1264" s="84" t="s">
        <v>666</v>
      </c>
      <c r="D1264" s="88" t="s">
        <v>1396</v>
      </c>
      <c r="E1264" s="84" t="s">
        <v>3683</v>
      </c>
      <c r="F1264" s="84" t="s">
        <v>658</v>
      </c>
      <c r="G1264" s="84" t="s">
        <v>3801</v>
      </c>
      <c r="I1264" s="84" t="s">
        <v>3684</v>
      </c>
      <c r="J1264" s="91"/>
      <c r="K1264" s="85"/>
      <c r="L1264" s="87">
        <v>552.0</v>
      </c>
      <c r="M1264" s="87">
        <v>0.0</v>
      </c>
      <c r="N1264" s="87">
        <v>0.0</v>
      </c>
      <c r="O1264" s="87">
        <v>0.0</v>
      </c>
      <c r="P1264" s="87">
        <v>0.0</v>
      </c>
      <c r="Q1264" s="87">
        <v>0.0</v>
      </c>
    </row>
    <row r="1265">
      <c r="A1265" s="84" t="s">
        <v>630</v>
      </c>
      <c r="B1265" s="194"/>
      <c r="C1265" s="84" t="s">
        <v>1087</v>
      </c>
      <c r="D1265" s="88" t="s">
        <v>1396</v>
      </c>
      <c r="E1265" s="84" t="s">
        <v>3683</v>
      </c>
      <c r="F1265" s="84" t="s">
        <v>1088</v>
      </c>
      <c r="G1265" s="84" t="s">
        <v>3600</v>
      </c>
      <c r="I1265" s="84" t="s">
        <v>3684</v>
      </c>
      <c r="J1265" s="84" t="s">
        <v>215</v>
      </c>
      <c r="L1265" s="87">
        <v>480.0</v>
      </c>
      <c r="M1265" s="87">
        <v>0.0</v>
      </c>
      <c r="N1265" s="87">
        <v>0.0</v>
      </c>
      <c r="O1265" s="87">
        <v>0.0</v>
      </c>
      <c r="P1265" s="87">
        <v>0.0</v>
      </c>
      <c r="Q1265" s="87">
        <v>0.0</v>
      </c>
    </row>
    <row r="1266">
      <c r="A1266" s="84" t="s">
        <v>472</v>
      </c>
      <c r="B1266" s="194"/>
      <c r="C1266" s="84" t="s">
        <v>1014</v>
      </c>
      <c r="D1266" s="88" t="s">
        <v>1396</v>
      </c>
      <c r="E1266" s="84" t="s">
        <v>3683</v>
      </c>
      <c r="F1266" s="91"/>
      <c r="G1266" s="84" t="s">
        <v>3587</v>
      </c>
      <c r="I1266" s="84" t="s">
        <v>3684</v>
      </c>
      <c r="J1266" s="91"/>
      <c r="K1266" s="85"/>
      <c r="L1266" s="87">
        <v>552.0</v>
      </c>
      <c r="M1266" s="87">
        <v>0.0</v>
      </c>
      <c r="N1266" s="87">
        <v>0.0</v>
      </c>
      <c r="O1266" s="87">
        <v>0.0</v>
      </c>
      <c r="P1266" s="87">
        <v>0.0</v>
      </c>
      <c r="Q1266" s="87">
        <v>0.0</v>
      </c>
    </row>
    <row r="1267">
      <c r="A1267" s="84" t="s">
        <v>644</v>
      </c>
      <c r="B1267" s="194"/>
      <c r="C1267" s="84" t="s">
        <v>1223</v>
      </c>
      <c r="D1267" s="88" t="s">
        <v>1396</v>
      </c>
      <c r="E1267" s="84" t="s">
        <v>3683</v>
      </c>
      <c r="F1267" s="84" t="s">
        <v>1224</v>
      </c>
      <c r="G1267" s="84" t="s">
        <v>3551</v>
      </c>
      <c r="H1267" s="84" t="s">
        <v>3521</v>
      </c>
      <c r="I1267" s="84" t="s">
        <v>3684</v>
      </c>
      <c r="J1267" s="91"/>
      <c r="K1267" s="84" t="s">
        <v>111</v>
      </c>
      <c r="L1267" s="87">
        <v>312.0</v>
      </c>
      <c r="M1267" s="87">
        <v>1.0</v>
      </c>
      <c r="N1267" s="87">
        <v>0.0</v>
      </c>
      <c r="O1267" s="87">
        <v>0.0</v>
      </c>
      <c r="P1267" s="87">
        <v>0.0</v>
      </c>
      <c r="Q1267" s="87">
        <v>0.0</v>
      </c>
    </row>
    <row r="1268">
      <c r="A1268" s="84" t="s">
        <v>537</v>
      </c>
      <c r="B1268" s="194"/>
      <c r="C1268" s="84" t="s">
        <v>560</v>
      </c>
      <c r="D1268" s="88" t="s">
        <v>1396</v>
      </c>
      <c r="E1268" s="84" t="s">
        <v>3683</v>
      </c>
      <c r="F1268" s="84" t="s">
        <v>558</v>
      </c>
      <c r="G1268" s="84" t="s">
        <v>3602</v>
      </c>
      <c r="H1268" s="84" t="s">
        <v>3521</v>
      </c>
      <c r="I1268" s="84" t="s">
        <v>3693</v>
      </c>
      <c r="J1268" s="84" t="s">
        <v>130</v>
      </c>
      <c r="K1268" s="91"/>
      <c r="L1268" s="87">
        <v>10.0</v>
      </c>
      <c r="M1268" s="87">
        <v>0.0</v>
      </c>
      <c r="N1268" s="87">
        <v>0.0</v>
      </c>
      <c r="O1268" s="87">
        <v>0.0</v>
      </c>
      <c r="P1268" s="87">
        <v>0.0</v>
      </c>
      <c r="Q1268" s="87">
        <v>0.0</v>
      </c>
    </row>
    <row r="1269">
      <c r="A1269" s="84" t="s">
        <v>393</v>
      </c>
      <c r="B1269" s="194"/>
      <c r="C1269" s="84" t="s">
        <v>3644</v>
      </c>
      <c r="D1269" s="88" t="s">
        <v>1396</v>
      </c>
      <c r="E1269" s="91"/>
      <c r="F1269" s="84" t="s">
        <v>340</v>
      </c>
      <c r="G1269" s="84" t="s">
        <v>3567</v>
      </c>
      <c r="I1269" s="84" t="s">
        <v>3693</v>
      </c>
      <c r="J1269" s="91"/>
      <c r="K1269" s="85"/>
      <c r="L1269" s="87">
        <v>480.0</v>
      </c>
      <c r="M1269" s="87">
        <v>0.0</v>
      </c>
      <c r="N1269" s="87">
        <v>0.0</v>
      </c>
      <c r="O1269" s="87">
        <v>0.0</v>
      </c>
      <c r="P1269" s="87">
        <v>0.0</v>
      </c>
      <c r="Q1269" s="87">
        <v>0.0</v>
      </c>
    </row>
    <row r="1270">
      <c r="A1270" s="84" t="s">
        <v>644</v>
      </c>
      <c r="B1270" s="194"/>
      <c r="C1270" s="84" t="s">
        <v>654</v>
      </c>
      <c r="D1270" s="88" t="s">
        <v>1396</v>
      </c>
      <c r="E1270" s="84" t="s">
        <v>3683</v>
      </c>
      <c r="F1270" s="84" t="s">
        <v>651</v>
      </c>
      <c r="G1270" s="84" t="s">
        <v>3723</v>
      </c>
      <c r="H1270" s="84" t="s">
        <v>3521</v>
      </c>
      <c r="I1270" s="84" t="s">
        <v>3684</v>
      </c>
      <c r="J1270" s="91"/>
      <c r="K1270" s="85"/>
      <c r="L1270" s="87">
        <v>48.0</v>
      </c>
      <c r="M1270" s="87">
        <v>3.0</v>
      </c>
      <c r="N1270" s="87">
        <v>0.0</v>
      </c>
      <c r="O1270" s="87">
        <v>4.076007</v>
      </c>
      <c r="P1270" s="87">
        <v>3.292567</v>
      </c>
      <c r="Q1270" s="87">
        <v>3.300818</v>
      </c>
    </row>
    <row r="1271">
      <c r="A1271" s="84" t="s">
        <v>644</v>
      </c>
      <c r="B1271" s="194"/>
      <c r="C1271" s="84" t="s">
        <v>723</v>
      </c>
      <c r="D1271" s="88" t="s">
        <v>1396</v>
      </c>
      <c r="E1271" s="84" t="s">
        <v>3683</v>
      </c>
      <c r="F1271" s="84" t="s">
        <v>708</v>
      </c>
      <c r="G1271" s="84" t="s">
        <v>3607</v>
      </c>
      <c r="H1271" s="84" t="s">
        <v>3521</v>
      </c>
      <c r="I1271" s="84" t="s">
        <v>3684</v>
      </c>
      <c r="J1271" s="84" t="s">
        <v>215</v>
      </c>
      <c r="L1271" s="87">
        <v>384.0</v>
      </c>
      <c r="M1271" s="87">
        <v>0.0</v>
      </c>
      <c r="N1271" s="87">
        <v>1.515406</v>
      </c>
      <c r="O1271" s="87">
        <v>0.434066</v>
      </c>
      <c r="P1271" s="87">
        <v>1.301149</v>
      </c>
      <c r="Q1271" s="87">
        <v>1.480391</v>
      </c>
    </row>
    <row r="1272">
      <c r="A1272" s="84" t="s">
        <v>363</v>
      </c>
      <c r="B1272" s="193"/>
      <c r="C1272" s="84" t="s">
        <v>373</v>
      </c>
      <c r="D1272" s="88" t="s">
        <v>1396</v>
      </c>
      <c r="E1272" s="84" t="s">
        <v>3683</v>
      </c>
      <c r="F1272" s="84" t="s">
        <v>370</v>
      </c>
      <c r="G1272" s="84" t="s">
        <v>3770</v>
      </c>
      <c r="H1272" s="84" t="s">
        <v>3527</v>
      </c>
      <c r="I1272" s="84" t="s">
        <v>3709</v>
      </c>
      <c r="J1272" s="84" t="s">
        <v>130</v>
      </c>
      <c r="K1272" s="84" t="s">
        <v>111</v>
      </c>
      <c r="L1272" s="87">
        <v>792.0</v>
      </c>
      <c r="M1272" s="87">
        <v>0.0</v>
      </c>
      <c r="N1272" s="87">
        <v>0.0</v>
      </c>
      <c r="O1272" s="87">
        <v>0.0</v>
      </c>
      <c r="P1272" s="87">
        <v>0.0</v>
      </c>
      <c r="Q1272" s="87">
        <v>0.0</v>
      </c>
    </row>
    <row r="1273">
      <c r="A1273" s="84" t="s">
        <v>444</v>
      </c>
      <c r="B1273" s="194"/>
      <c r="C1273" s="84" t="s">
        <v>450</v>
      </c>
      <c r="D1273" s="88" t="s">
        <v>1396</v>
      </c>
      <c r="E1273" s="84" t="s">
        <v>3683</v>
      </c>
      <c r="F1273" s="84" t="s">
        <v>448</v>
      </c>
      <c r="G1273" s="84" t="s">
        <v>3577</v>
      </c>
      <c r="I1273" s="84" t="s">
        <v>3684</v>
      </c>
      <c r="J1273" s="91"/>
      <c r="K1273" s="85"/>
      <c r="L1273" s="87">
        <v>552.0</v>
      </c>
      <c r="M1273" s="87">
        <v>0.0</v>
      </c>
      <c r="N1273" s="87">
        <v>0.0</v>
      </c>
      <c r="O1273" s="87">
        <v>0.0</v>
      </c>
      <c r="P1273" s="87">
        <v>0.0</v>
      </c>
      <c r="Q1273" s="87">
        <v>0.0</v>
      </c>
    </row>
    <row r="1274">
      <c r="A1274" s="84" t="s">
        <v>537</v>
      </c>
      <c r="B1274" s="194"/>
      <c r="C1274" s="84" t="s">
        <v>556</v>
      </c>
      <c r="D1274" s="88" t="s">
        <v>1396</v>
      </c>
      <c r="E1274" s="84" t="s">
        <v>3683</v>
      </c>
      <c r="F1274" s="84" t="s">
        <v>551</v>
      </c>
      <c r="G1274" s="84" t="s">
        <v>3590</v>
      </c>
      <c r="H1274" s="84" t="s">
        <v>3521</v>
      </c>
      <c r="I1274" s="84" t="s">
        <v>3693</v>
      </c>
      <c r="J1274" s="91"/>
      <c r="K1274" s="85"/>
      <c r="L1274" s="87">
        <v>0.0</v>
      </c>
      <c r="M1274" s="87">
        <v>2.0</v>
      </c>
      <c r="N1274" s="87">
        <v>0.0</v>
      </c>
      <c r="O1274" s="87">
        <v>0.071429</v>
      </c>
      <c r="P1274" s="87">
        <v>0.441067</v>
      </c>
      <c r="Q1274" s="87">
        <v>0.326544</v>
      </c>
    </row>
    <row r="1275">
      <c r="A1275" s="84" t="s">
        <v>180</v>
      </c>
      <c r="B1275" s="194"/>
      <c r="C1275" s="84" t="s">
        <v>834</v>
      </c>
      <c r="D1275" s="88" t="s">
        <v>1396</v>
      </c>
      <c r="E1275" s="91"/>
      <c r="F1275" s="84" t="s">
        <v>830</v>
      </c>
      <c r="G1275" s="84" t="s">
        <v>3549</v>
      </c>
      <c r="I1275" s="84" t="s">
        <v>3684</v>
      </c>
      <c r="J1275" s="91"/>
      <c r="K1275" s="85"/>
      <c r="L1275" s="87">
        <v>432.0</v>
      </c>
      <c r="M1275" s="87">
        <v>0.0</v>
      </c>
      <c r="N1275" s="87">
        <v>0.0</v>
      </c>
      <c r="O1275" s="87">
        <v>0.0</v>
      </c>
      <c r="P1275" s="87">
        <v>0.0</v>
      </c>
      <c r="Q1275" s="87">
        <v>0.0</v>
      </c>
    </row>
    <row r="1276">
      <c r="A1276" s="84" t="s">
        <v>601</v>
      </c>
      <c r="B1276" s="194"/>
      <c r="C1276" s="84" t="s">
        <v>1065</v>
      </c>
      <c r="D1276" s="88" t="s">
        <v>1396</v>
      </c>
      <c r="E1276" s="84" t="s">
        <v>3745</v>
      </c>
      <c r="F1276" s="84" t="s">
        <v>340</v>
      </c>
      <c r="G1276" s="84" t="s">
        <v>3595</v>
      </c>
      <c r="H1276" s="84" t="s">
        <v>3521</v>
      </c>
      <c r="I1276" s="84" t="s">
        <v>3684</v>
      </c>
      <c r="J1276" s="84" t="s">
        <v>130</v>
      </c>
      <c r="K1276" s="85"/>
      <c r="L1276" s="87">
        <v>48.0</v>
      </c>
      <c r="M1276" s="87">
        <v>0.0</v>
      </c>
      <c r="N1276" s="87">
        <v>0.257576</v>
      </c>
      <c r="O1276" s="87">
        <v>0.0</v>
      </c>
      <c r="P1276" s="87">
        <v>0.324242</v>
      </c>
      <c r="Q1276" s="87">
        <v>0.15698</v>
      </c>
    </row>
    <row r="1277">
      <c r="A1277" s="84" t="s">
        <v>601</v>
      </c>
      <c r="B1277" s="194"/>
      <c r="C1277" s="84" t="s">
        <v>3636</v>
      </c>
      <c r="D1277" s="88" t="s">
        <v>1396</v>
      </c>
      <c r="E1277" s="84" t="s">
        <v>3683</v>
      </c>
      <c r="F1277" s="84" t="s">
        <v>3794</v>
      </c>
      <c r="G1277" s="84" t="s">
        <v>3562</v>
      </c>
      <c r="H1277" s="84" t="s">
        <v>3521</v>
      </c>
      <c r="I1277" s="84" t="s">
        <v>3684</v>
      </c>
      <c r="J1277" s="91"/>
      <c r="K1277" s="84" t="s">
        <v>111</v>
      </c>
      <c r="L1277" s="87">
        <v>312.0</v>
      </c>
      <c r="M1277" s="87">
        <v>0.0</v>
      </c>
      <c r="N1277" s="87">
        <v>0.072751</v>
      </c>
      <c r="O1277" s="87">
        <v>0.0</v>
      </c>
      <c r="P1277" s="87">
        <v>0.166667</v>
      </c>
      <c r="Q1277" s="87">
        <v>0.072751</v>
      </c>
    </row>
    <row r="1278">
      <c r="A1278" s="84" t="s">
        <v>393</v>
      </c>
      <c r="B1278" s="194"/>
      <c r="C1278" s="84" t="s">
        <v>404</v>
      </c>
      <c r="D1278" s="88" t="s">
        <v>1396</v>
      </c>
      <c r="E1278" s="84" t="s">
        <v>3687</v>
      </c>
      <c r="F1278" s="84" t="s">
        <v>405</v>
      </c>
      <c r="G1278" s="84" t="s">
        <v>3698</v>
      </c>
      <c r="I1278" s="84" t="s">
        <v>3693</v>
      </c>
      <c r="J1278" s="91"/>
      <c r="K1278" s="91"/>
      <c r="L1278" s="87">
        <v>552.0</v>
      </c>
      <c r="M1278" s="87">
        <v>0.0</v>
      </c>
      <c r="N1278" s="87">
        <v>0.0</v>
      </c>
      <c r="O1278" s="87">
        <v>0.0</v>
      </c>
      <c r="P1278" s="87">
        <v>0.0</v>
      </c>
      <c r="Q1278" s="87">
        <v>0.0</v>
      </c>
    </row>
    <row r="1279">
      <c r="A1279" s="84" t="s">
        <v>139</v>
      </c>
      <c r="B1279" s="194"/>
      <c r="C1279" s="84" t="s">
        <v>774</v>
      </c>
      <c r="D1279" s="88" t="s">
        <v>1396</v>
      </c>
      <c r="E1279" s="84" t="s">
        <v>3683</v>
      </c>
      <c r="F1279" s="84" t="s">
        <v>542</v>
      </c>
      <c r="G1279" s="84" t="s">
        <v>3514</v>
      </c>
      <c r="I1279" s="84" t="s">
        <v>3684</v>
      </c>
      <c r="J1279" s="91"/>
      <c r="K1279" s="91"/>
      <c r="L1279" s="87">
        <v>552.0</v>
      </c>
      <c r="M1279" s="87">
        <v>0.0</v>
      </c>
      <c r="N1279" s="87">
        <v>0.0</v>
      </c>
      <c r="O1279" s="87">
        <v>0.0</v>
      </c>
      <c r="P1279" s="87">
        <v>0.0</v>
      </c>
      <c r="Q1279" s="87">
        <v>0.0</v>
      </c>
    </row>
    <row r="1280">
      <c r="A1280" s="84" t="s">
        <v>644</v>
      </c>
      <c r="B1280" s="194"/>
      <c r="C1280" s="84" t="s">
        <v>688</v>
      </c>
      <c r="D1280" s="88" t="s">
        <v>1396</v>
      </c>
      <c r="E1280" s="84" t="s">
        <v>3687</v>
      </c>
      <c r="F1280" s="84" t="s">
        <v>686</v>
      </c>
      <c r="G1280" s="84" t="s">
        <v>3607</v>
      </c>
      <c r="H1280" s="84" t="s">
        <v>3521</v>
      </c>
      <c r="I1280" s="84" t="s">
        <v>3684</v>
      </c>
      <c r="J1280" s="84" t="s">
        <v>130</v>
      </c>
      <c r="K1280" s="85"/>
      <c r="L1280" s="87">
        <v>24.0</v>
      </c>
      <c r="M1280" s="87">
        <v>0.0</v>
      </c>
      <c r="N1280" s="87">
        <v>0.0</v>
      </c>
      <c r="O1280" s="87">
        <v>0.0</v>
      </c>
      <c r="P1280" s="87">
        <v>0.0</v>
      </c>
      <c r="Q1280" s="87">
        <v>0.0</v>
      </c>
    </row>
    <row r="1281">
      <c r="A1281" s="84" t="s">
        <v>1130</v>
      </c>
      <c r="B1281" s="194"/>
      <c r="C1281" s="84" t="s">
        <v>1158</v>
      </c>
      <c r="D1281" s="88" t="s">
        <v>1396</v>
      </c>
      <c r="E1281" s="84" t="s">
        <v>3683</v>
      </c>
      <c r="F1281" s="84" t="s">
        <v>1142</v>
      </c>
      <c r="G1281" s="84" t="s">
        <v>3605</v>
      </c>
      <c r="H1281" s="84" t="s">
        <v>3521</v>
      </c>
      <c r="I1281" s="84" t="s">
        <v>3684</v>
      </c>
      <c r="J1281" s="84" t="s">
        <v>130</v>
      </c>
      <c r="K1281" s="84" t="s">
        <v>111</v>
      </c>
      <c r="L1281" s="87">
        <v>336.0</v>
      </c>
      <c r="M1281" s="87">
        <v>0.0</v>
      </c>
      <c r="N1281" s="87">
        <v>0.0</v>
      </c>
      <c r="O1281" s="87">
        <v>0.0</v>
      </c>
      <c r="P1281" s="87">
        <v>0.0</v>
      </c>
      <c r="Q1281" s="87">
        <v>0.0</v>
      </c>
    </row>
    <row r="1282">
      <c r="A1282" s="84" t="s">
        <v>180</v>
      </c>
      <c r="B1282" s="194"/>
      <c r="C1282" s="84" t="s">
        <v>833</v>
      </c>
      <c r="D1282" s="88" t="s">
        <v>1396</v>
      </c>
      <c r="E1282" s="84" t="s">
        <v>3683</v>
      </c>
      <c r="F1282" s="84" t="s">
        <v>830</v>
      </c>
      <c r="G1282" s="84" t="s">
        <v>3549</v>
      </c>
      <c r="H1282" s="84" t="s">
        <v>3507</v>
      </c>
      <c r="I1282" s="84" t="s">
        <v>3684</v>
      </c>
      <c r="J1282" s="91"/>
      <c r="K1282" s="85"/>
      <c r="L1282" s="87">
        <v>0.0</v>
      </c>
      <c r="M1282" s="87">
        <v>0.0</v>
      </c>
      <c r="N1282" s="87">
        <v>0.0</v>
      </c>
      <c r="O1282" s="87">
        <v>0.0</v>
      </c>
      <c r="P1282" s="87">
        <v>0.0</v>
      </c>
      <c r="Q1282" s="87">
        <v>0.0</v>
      </c>
    </row>
    <row r="1283">
      <c r="A1283" s="84" t="s">
        <v>1130</v>
      </c>
      <c r="B1283" s="194"/>
      <c r="C1283" s="84" t="s">
        <v>1148</v>
      </c>
      <c r="D1283" s="88" t="s">
        <v>1396</v>
      </c>
      <c r="E1283" s="84" t="s">
        <v>3683</v>
      </c>
      <c r="F1283" s="84" t="s">
        <v>1142</v>
      </c>
      <c r="G1283" s="84" t="s">
        <v>3605</v>
      </c>
      <c r="H1283" s="84" t="s">
        <v>3521</v>
      </c>
      <c r="I1283" s="84" t="s">
        <v>3684</v>
      </c>
      <c r="J1283" s="91"/>
      <c r="K1283" s="85"/>
      <c r="L1283" s="87">
        <v>0.0</v>
      </c>
      <c r="M1283" s="87">
        <v>0.0</v>
      </c>
      <c r="N1283" s="87">
        <v>0.0</v>
      </c>
      <c r="O1283" s="87">
        <v>0.0</v>
      </c>
      <c r="P1283" s="87">
        <v>0.0</v>
      </c>
      <c r="Q1283" s="87">
        <v>0.0</v>
      </c>
    </row>
    <row r="1284">
      <c r="A1284" s="84" t="s">
        <v>616</v>
      </c>
      <c r="B1284" s="194"/>
      <c r="C1284" s="84" t="s">
        <v>1076</v>
      </c>
      <c r="D1284" s="88" t="s">
        <v>1396</v>
      </c>
      <c r="E1284" s="84" t="s">
        <v>3683</v>
      </c>
      <c r="F1284" s="84" t="s">
        <v>1075</v>
      </c>
      <c r="G1284" s="84" t="s">
        <v>3542</v>
      </c>
      <c r="H1284" s="84" t="s">
        <v>3521</v>
      </c>
      <c r="I1284" s="84" t="s">
        <v>3684</v>
      </c>
      <c r="J1284" s="84" t="s">
        <v>130</v>
      </c>
      <c r="K1284" s="85"/>
      <c r="L1284" s="87">
        <v>24.0</v>
      </c>
      <c r="M1284" s="87">
        <v>0.0</v>
      </c>
      <c r="N1284" s="87">
        <v>0.0</v>
      </c>
      <c r="O1284" s="87">
        <v>0.0</v>
      </c>
      <c r="P1284" s="87">
        <v>0.0</v>
      </c>
      <c r="Q1284" s="87">
        <v>0.0</v>
      </c>
    </row>
    <row r="1285">
      <c r="A1285" s="84" t="s">
        <v>213</v>
      </c>
      <c r="B1285" s="194"/>
      <c r="C1285" s="84" t="s">
        <v>874</v>
      </c>
      <c r="D1285" s="88" t="s">
        <v>1396</v>
      </c>
      <c r="E1285" s="84" t="s">
        <v>3683</v>
      </c>
      <c r="F1285" s="84" t="s">
        <v>800</v>
      </c>
      <c r="G1285" s="84" t="s">
        <v>3525</v>
      </c>
      <c r="I1285" s="84" t="s">
        <v>3684</v>
      </c>
      <c r="J1285" s="91"/>
      <c r="K1285" s="85"/>
      <c r="L1285" s="87">
        <v>0.0</v>
      </c>
      <c r="M1285" s="87">
        <v>0.0</v>
      </c>
      <c r="N1285" s="87">
        <v>0.0</v>
      </c>
      <c r="O1285" s="87">
        <v>0.0</v>
      </c>
      <c r="P1285" s="87">
        <v>0.0</v>
      </c>
      <c r="Q1285" s="87">
        <v>0.0</v>
      </c>
    </row>
    <row r="1286">
      <c r="A1286" s="84" t="s">
        <v>573</v>
      </c>
      <c r="B1286" s="194"/>
      <c r="C1286" s="84" t="s">
        <v>597</v>
      </c>
      <c r="D1286" s="88" t="s">
        <v>1396</v>
      </c>
      <c r="E1286" s="84" t="s">
        <v>3687</v>
      </c>
      <c r="F1286" s="84" t="s">
        <v>598</v>
      </c>
      <c r="G1286" s="84" t="s">
        <v>3606</v>
      </c>
      <c r="H1286" s="84" t="s">
        <v>3521</v>
      </c>
      <c r="I1286" s="84" t="s">
        <v>3709</v>
      </c>
      <c r="J1286" s="84" t="s">
        <v>130</v>
      </c>
      <c r="K1286" s="85"/>
      <c r="L1286" s="87">
        <v>24.0</v>
      </c>
      <c r="M1286" s="87">
        <v>0.0</v>
      </c>
      <c r="N1286" s="87">
        <v>0.0</v>
      </c>
      <c r="O1286" s="87">
        <v>0.0</v>
      </c>
      <c r="P1286" s="87">
        <v>0.0</v>
      </c>
      <c r="Q1286" s="87">
        <v>0.0</v>
      </c>
    </row>
    <row r="1287">
      <c r="A1287" s="84" t="s">
        <v>644</v>
      </c>
      <c r="B1287" s="194"/>
      <c r="C1287" s="84" t="s">
        <v>717</v>
      </c>
      <c r="D1287" s="88" t="s">
        <v>1396</v>
      </c>
      <c r="E1287" s="84" t="s">
        <v>3683</v>
      </c>
      <c r="F1287" s="84" t="s">
        <v>714</v>
      </c>
      <c r="G1287" s="84" t="s">
        <v>3607</v>
      </c>
      <c r="H1287" s="84" t="s">
        <v>3521</v>
      </c>
      <c r="I1287" s="84" t="s">
        <v>3684</v>
      </c>
      <c r="J1287" s="84" t="s">
        <v>215</v>
      </c>
      <c r="L1287" s="87">
        <v>408.0</v>
      </c>
      <c r="M1287" s="87">
        <v>0.0</v>
      </c>
      <c r="N1287" s="87">
        <v>0.918605</v>
      </c>
      <c r="O1287" s="87">
        <v>0.142857</v>
      </c>
      <c r="P1287" s="87">
        <v>0.190909</v>
      </c>
      <c r="Q1287" s="87">
        <v>0.976477</v>
      </c>
    </row>
    <row r="1288">
      <c r="A1288" s="84" t="s">
        <v>573</v>
      </c>
      <c r="B1288" s="194"/>
      <c r="C1288" s="84" t="s">
        <v>596</v>
      </c>
      <c r="D1288" s="88" t="s">
        <v>1396</v>
      </c>
      <c r="E1288" s="91"/>
      <c r="F1288" s="84" t="s">
        <v>595</v>
      </c>
      <c r="G1288" s="84" t="s">
        <v>3560</v>
      </c>
      <c r="I1288" s="84" t="s">
        <v>3709</v>
      </c>
      <c r="J1288" s="91"/>
      <c r="K1288" s="85"/>
      <c r="L1288" s="87">
        <v>456.0</v>
      </c>
      <c r="M1288" s="87">
        <v>0.0</v>
      </c>
      <c r="N1288" s="87">
        <v>0.0</v>
      </c>
      <c r="O1288" s="87">
        <v>0.0</v>
      </c>
      <c r="P1288" s="87">
        <v>0.0</v>
      </c>
      <c r="Q1288" s="87">
        <v>0.0</v>
      </c>
    </row>
    <row r="1289">
      <c r="A1289" s="84" t="s">
        <v>1130</v>
      </c>
      <c r="B1289" s="194"/>
      <c r="C1289" s="84" t="s">
        <v>1162</v>
      </c>
      <c r="D1289" s="88" t="s">
        <v>1396</v>
      </c>
      <c r="E1289" s="84" t="s">
        <v>3683</v>
      </c>
      <c r="F1289" s="84" t="s">
        <v>973</v>
      </c>
      <c r="G1289" s="84" t="s">
        <v>3582</v>
      </c>
      <c r="H1289" s="84" t="s">
        <v>3521</v>
      </c>
      <c r="I1289" s="84" t="s">
        <v>3684</v>
      </c>
      <c r="J1289" s="91"/>
      <c r="K1289" s="91"/>
      <c r="L1289" s="87">
        <v>665.0</v>
      </c>
      <c r="M1289" s="87">
        <v>1.0</v>
      </c>
      <c r="N1289" s="87">
        <v>4.984179</v>
      </c>
      <c r="O1289" s="87">
        <v>0.450397</v>
      </c>
      <c r="P1289" s="87">
        <v>4.623555</v>
      </c>
      <c r="Q1289" s="87">
        <v>4.90151</v>
      </c>
    </row>
    <row r="1290">
      <c r="A1290" s="84" t="s">
        <v>537</v>
      </c>
      <c r="B1290" s="194"/>
      <c r="C1290" s="84" t="s">
        <v>564</v>
      </c>
      <c r="D1290" s="88" t="s">
        <v>1396</v>
      </c>
      <c r="E1290" s="84" t="s">
        <v>3683</v>
      </c>
      <c r="F1290" s="84" t="s">
        <v>558</v>
      </c>
      <c r="G1290" s="84" t="s">
        <v>3602</v>
      </c>
      <c r="H1290" s="84" t="s">
        <v>3521</v>
      </c>
      <c r="I1290" s="84" t="s">
        <v>3693</v>
      </c>
      <c r="J1290" s="91"/>
      <c r="K1290" s="84" t="s">
        <v>111</v>
      </c>
      <c r="L1290" s="87">
        <v>216.0</v>
      </c>
      <c r="M1290" s="87">
        <v>0.0</v>
      </c>
      <c r="N1290" s="87">
        <v>0.25</v>
      </c>
      <c r="O1290" s="87">
        <v>0.0</v>
      </c>
      <c r="P1290" s="87">
        <v>0.0</v>
      </c>
      <c r="Q1290" s="87">
        <v>0.25</v>
      </c>
    </row>
    <row r="1291">
      <c r="A1291" s="84" t="s">
        <v>644</v>
      </c>
      <c r="B1291" s="194"/>
      <c r="C1291" s="84" t="s">
        <v>685</v>
      </c>
      <c r="D1291" s="88" t="s">
        <v>1396</v>
      </c>
      <c r="E1291" s="84" t="s">
        <v>3687</v>
      </c>
      <c r="F1291" s="84" t="s">
        <v>686</v>
      </c>
      <c r="G1291" s="84" t="s">
        <v>3607</v>
      </c>
      <c r="H1291" s="84" t="s">
        <v>3521</v>
      </c>
      <c r="I1291" s="84" t="s">
        <v>3684</v>
      </c>
      <c r="J1291" s="84" t="s">
        <v>215</v>
      </c>
      <c r="L1291" s="87">
        <v>168.0</v>
      </c>
      <c r="M1291" s="87">
        <v>0.0</v>
      </c>
      <c r="N1291" s="87">
        <v>0.545375</v>
      </c>
      <c r="O1291" s="87">
        <v>0.376923</v>
      </c>
      <c r="P1291" s="87">
        <v>0.120563</v>
      </c>
      <c r="Q1291" s="87">
        <v>0.442251</v>
      </c>
    </row>
    <row r="1292">
      <c r="A1292" s="84" t="s">
        <v>139</v>
      </c>
      <c r="B1292" s="194"/>
      <c r="C1292" s="84" t="s">
        <v>176</v>
      </c>
      <c r="D1292" s="88" t="s">
        <v>1396</v>
      </c>
      <c r="E1292" s="91"/>
      <c r="F1292" s="84" t="s">
        <v>144</v>
      </c>
      <c r="G1292" s="84" t="s">
        <v>3700</v>
      </c>
      <c r="I1292" s="84" t="s">
        <v>3684</v>
      </c>
      <c r="J1292" s="84" t="s">
        <v>130</v>
      </c>
      <c r="K1292" s="91"/>
      <c r="L1292" s="87">
        <v>480.0</v>
      </c>
      <c r="M1292" s="87">
        <v>0.0</v>
      </c>
      <c r="N1292" s="87">
        <v>0.0</v>
      </c>
      <c r="O1292" s="87">
        <v>0.0</v>
      </c>
      <c r="P1292" s="87">
        <v>0.0</v>
      </c>
      <c r="Q1292" s="87">
        <v>0.0</v>
      </c>
    </row>
    <row r="1293">
      <c r="A1293" s="84" t="s">
        <v>258</v>
      </c>
      <c r="B1293" s="194"/>
      <c r="C1293" s="84" t="s">
        <v>893</v>
      </c>
      <c r="D1293" s="88" t="s">
        <v>1396</v>
      </c>
      <c r="E1293" s="84" t="s">
        <v>3683</v>
      </c>
      <c r="F1293" s="84" t="s">
        <v>892</v>
      </c>
      <c r="G1293" s="84" t="s">
        <v>3559</v>
      </c>
      <c r="H1293" s="84" t="s">
        <v>3521</v>
      </c>
      <c r="I1293" s="84" t="s">
        <v>3684</v>
      </c>
      <c r="J1293" s="91"/>
      <c r="K1293" s="84" t="s">
        <v>111</v>
      </c>
      <c r="L1293" s="87">
        <v>480.0</v>
      </c>
      <c r="M1293" s="87">
        <v>0.0</v>
      </c>
      <c r="N1293" s="87">
        <v>0.0</v>
      </c>
      <c r="O1293" s="87">
        <v>0.0</v>
      </c>
      <c r="P1293" s="87">
        <v>0.0</v>
      </c>
      <c r="Q1293" s="87">
        <v>0.0</v>
      </c>
    </row>
    <row r="1294">
      <c r="A1294" s="84" t="s">
        <v>107</v>
      </c>
      <c r="B1294" s="194"/>
      <c r="C1294" s="84" t="s">
        <v>105</v>
      </c>
      <c r="D1294" s="88" t="s">
        <v>1396</v>
      </c>
      <c r="E1294" s="84" t="s">
        <v>3687</v>
      </c>
      <c r="F1294" s="84" t="s">
        <v>106</v>
      </c>
      <c r="G1294" s="84" t="s">
        <v>3552</v>
      </c>
      <c r="H1294" s="84" t="s">
        <v>3521</v>
      </c>
      <c r="I1294" s="84" t="s">
        <v>3684</v>
      </c>
      <c r="J1294" s="91"/>
      <c r="K1294" s="84" t="s">
        <v>111</v>
      </c>
      <c r="L1294" s="87">
        <v>360.0</v>
      </c>
      <c r="M1294" s="87">
        <v>0.0</v>
      </c>
      <c r="N1294" s="87">
        <v>0.0</v>
      </c>
      <c r="O1294" s="87">
        <v>0.0</v>
      </c>
      <c r="P1294" s="87">
        <v>0.0</v>
      </c>
      <c r="Q1294" s="87">
        <v>0.0</v>
      </c>
    </row>
    <row r="1295">
      <c r="A1295" s="84" t="s">
        <v>139</v>
      </c>
      <c r="B1295" s="194"/>
      <c r="C1295" s="84" t="s">
        <v>150</v>
      </c>
      <c r="D1295" s="88" t="s">
        <v>1396</v>
      </c>
      <c r="E1295" s="84" t="s">
        <v>3683</v>
      </c>
      <c r="F1295" s="84" t="s">
        <v>144</v>
      </c>
      <c r="G1295" s="84" t="s">
        <v>3700</v>
      </c>
      <c r="H1295" s="84" t="s">
        <v>3521</v>
      </c>
      <c r="I1295" s="84" t="s">
        <v>3684</v>
      </c>
      <c r="J1295" s="84" t="s">
        <v>130</v>
      </c>
      <c r="K1295" s="85"/>
      <c r="L1295" s="87">
        <v>48.0</v>
      </c>
      <c r="M1295" s="87">
        <v>0.0</v>
      </c>
      <c r="N1295" s="87">
        <v>3.0</v>
      </c>
      <c r="O1295" s="87">
        <v>0.0</v>
      </c>
      <c r="P1295" s="87">
        <v>0.0</v>
      </c>
      <c r="Q1295" s="87">
        <v>3.0</v>
      </c>
    </row>
    <row r="1296">
      <c r="A1296" s="84" t="s">
        <v>264</v>
      </c>
      <c r="B1296" s="194"/>
      <c r="C1296" s="84" t="s">
        <v>285</v>
      </c>
      <c r="D1296" s="88" t="s">
        <v>1396</v>
      </c>
      <c r="E1296" s="84" t="s">
        <v>3683</v>
      </c>
      <c r="F1296" s="84" t="s">
        <v>286</v>
      </c>
      <c r="G1296" s="84" t="s">
        <v>3691</v>
      </c>
      <c r="H1296" s="84" t="s">
        <v>3521</v>
      </c>
      <c r="I1296" s="84" t="s">
        <v>3684</v>
      </c>
      <c r="J1296" s="91"/>
      <c r="K1296" s="85"/>
      <c r="L1296" s="87">
        <v>0.0</v>
      </c>
      <c r="M1296" s="87">
        <v>1.0</v>
      </c>
      <c r="N1296" s="87">
        <v>0.0</v>
      </c>
      <c r="O1296" s="87">
        <v>1.913919</v>
      </c>
      <c r="P1296" s="87">
        <v>1.660263</v>
      </c>
      <c r="Q1296" s="87">
        <v>1.68564</v>
      </c>
    </row>
    <row r="1297">
      <c r="A1297" s="84" t="s">
        <v>644</v>
      </c>
      <c r="B1297" s="194"/>
      <c r="C1297" s="84" t="s">
        <v>1216</v>
      </c>
      <c r="D1297" s="88" t="s">
        <v>1396</v>
      </c>
      <c r="E1297" s="84" t="s">
        <v>3683</v>
      </c>
      <c r="F1297" s="84" t="s">
        <v>850</v>
      </c>
      <c r="G1297" s="84" t="s">
        <v>3551</v>
      </c>
      <c r="H1297" s="84" t="s">
        <v>3521</v>
      </c>
      <c r="I1297" s="84" t="s">
        <v>3684</v>
      </c>
      <c r="J1297" s="84" t="s">
        <v>130</v>
      </c>
      <c r="K1297" s="91"/>
      <c r="L1297" s="87">
        <v>24.0</v>
      </c>
      <c r="M1297" s="87">
        <v>0.0</v>
      </c>
      <c r="N1297" s="87">
        <v>0.0</v>
      </c>
      <c r="O1297" s="87">
        <v>0.0</v>
      </c>
      <c r="P1297" s="87">
        <v>0.0</v>
      </c>
      <c r="Q1297" s="87">
        <v>0.0</v>
      </c>
    </row>
    <row r="1298">
      <c r="A1298" s="84" t="s">
        <v>458</v>
      </c>
      <c r="B1298" s="194"/>
      <c r="C1298" s="84" t="s">
        <v>464</v>
      </c>
      <c r="D1298" s="88" t="s">
        <v>1396</v>
      </c>
      <c r="E1298" s="84" t="s">
        <v>3683</v>
      </c>
      <c r="F1298" s="84" t="s">
        <v>457</v>
      </c>
      <c r="G1298" s="84" t="s">
        <v>3560</v>
      </c>
      <c r="H1298" s="84" t="s">
        <v>3521</v>
      </c>
      <c r="I1298" s="84" t="s">
        <v>3684</v>
      </c>
      <c r="J1298" s="91"/>
      <c r="K1298" s="84" t="s">
        <v>111</v>
      </c>
      <c r="L1298" s="87">
        <v>0.0</v>
      </c>
      <c r="M1298" s="87">
        <v>0.0</v>
      </c>
      <c r="N1298" s="87">
        <v>0.0</v>
      </c>
      <c r="O1298" s="87">
        <v>0.0</v>
      </c>
      <c r="P1298" s="87">
        <v>0.0</v>
      </c>
      <c r="Q1298" s="87">
        <v>0.0</v>
      </c>
    </row>
    <row r="1299">
      <c r="A1299" s="84" t="s">
        <v>644</v>
      </c>
      <c r="B1299" s="194"/>
      <c r="C1299" s="84" t="s">
        <v>1211</v>
      </c>
      <c r="D1299" s="88" t="s">
        <v>1396</v>
      </c>
      <c r="E1299" s="84" t="s">
        <v>3683</v>
      </c>
      <c r="F1299" s="84" t="s">
        <v>1208</v>
      </c>
      <c r="G1299" s="84" t="s">
        <v>3606</v>
      </c>
      <c r="H1299" s="84" t="s">
        <v>3521</v>
      </c>
      <c r="I1299" s="84" t="s">
        <v>3684</v>
      </c>
      <c r="J1299" s="91"/>
      <c r="K1299" s="84" t="s">
        <v>111</v>
      </c>
      <c r="L1299" s="87">
        <v>264.0</v>
      </c>
      <c r="M1299" s="87">
        <v>0.0</v>
      </c>
      <c r="N1299" s="87">
        <v>0.0</v>
      </c>
      <c r="O1299" s="87">
        <v>0.0</v>
      </c>
      <c r="P1299" s="87">
        <v>0.0</v>
      </c>
      <c r="Q1299" s="87">
        <v>0.0</v>
      </c>
    </row>
    <row r="1300">
      <c r="A1300" s="84" t="s">
        <v>264</v>
      </c>
      <c r="B1300" s="194"/>
      <c r="C1300" s="84" t="s">
        <v>278</v>
      </c>
      <c r="D1300" s="88" t="s">
        <v>1396</v>
      </c>
      <c r="E1300" s="84" t="s">
        <v>3683</v>
      </c>
      <c r="F1300" s="84" t="s">
        <v>274</v>
      </c>
      <c r="G1300" s="84" t="s">
        <v>3691</v>
      </c>
      <c r="H1300" s="84" t="s">
        <v>3521</v>
      </c>
      <c r="I1300" s="84" t="s">
        <v>3684</v>
      </c>
      <c r="J1300" s="84" t="s">
        <v>130</v>
      </c>
      <c r="K1300" s="85"/>
      <c r="L1300" s="87">
        <v>24.0</v>
      </c>
      <c r="M1300" s="87">
        <v>0.0</v>
      </c>
      <c r="N1300" s="87">
        <v>0.0</v>
      </c>
      <c r="O1300" s="87">
        <v>0.0</v>
      </c>
      <c r="P1300" s="87">
        <v>0.0</v>
      </c>
      <c r="Q1300" s="87">
        <v>0.0</v>
      </c>
    </row>
    <row r="1301">
      <c r="A1301" s="84" t="s">
        <v>644</v>
      </c>
      <c r="B1301" s="194"/>
      <c r="C1301" s="84" t="s">
        <v>728</v>
      </c>
      <c r="D1301" s="88" t="s">
        <v>1396</v>
      </c>
      <c r="E1301" s="84" t="s">
        <v>3683</v>
      </c>
      <c r="F1301" s="84" t="s">
        <v>729</v>
      </c>
      <c r="G1301" s="84" t="s">
        <v>3752</v>
      </c>
      <c r="I1301" s="84" t="s">
        <v>3684</v>
      </c>
      <c r="J1301" s="91"/>
      <c r="K1301" s="85"/>
      <c r="L1301" s="87">
        <v>24.0</v>
      </c>
      <c r="M1301" s="87">
        <v>0.0</v>
      </c>
      <c r="N1301" s="87">
        <v>0.0</v>
      </c>
      <c r="O1301" s="87">
        <v>0.0</v>
      </c>
      <c r="P1301" s="87">
        <v>0.0</v>
      </c>
      <c r="Q1301" s="87">
        <v>0.0</v>
      </c>
    </row>
    <row r="1302">
      <c r="A1302" s="84" t="s">
        <v>1130</v>
      </c>
      <c r="B1302" s="194"/>
      <c r="C1302" s="84" t="s">
        <v>1162</v>
      </c>
      <c r="D1302" s="88" t="s">
        <v>1396</v>
      </c>
      <c r="E1302" s="84" t="s">
        <v>3683</v>
      </c>
      <c r="F1302" s="84" t="s">
        <v>973</v>
      </c>
      <c r="G1302" s="84" t="s">
        <v>3582</v>
      </c>
      <c r="H1302" s="84" t="s">
        <v>3521</v>
      </c>
      <c r="I1302" s="84" t="s">
        <v>3684</v>
      </c>
      <c r="J1302" s="84" t="s">
        <v>130</v>
      </c>
      <c r="K1302" s="85"/>
      <c r="L1302" s="87">
        <v>24.0</v>
      </c>
      <c r="M1302" s="87">
        <v>0.0</v>
      </c>
      <c r="N1302" s="87">
        <v>0.0</v>
      </c>
      <c r="O1302" s="87">
        <v>0.0</v>
      </c>
      <c r="P1302" s="87">
        <v>0.0</v>
      </c>
      <c r="Q1302" s="87">
        <v>0.0</v>
      </c>
    </row>
    <row r="1303">
      <c r="A1303" s="84" t="s">
        <v>644</v>
      </c>
      <c r="B1303" s="194"/>
      <c r="C1303" s="84" t="s">
        <v>738</v>
      </c>
      <c r="D1303" s="88" t="s">
        <v>1396</v>
      </c>
      <c r="E1303" s="84" t="s">
        <v>3683</v>
      </c>
      <c r="F1303" s="84" t="s">
        <v>737</v>
      </c>
      <c r="G1303" s="84" t="s">
        <v>3696</v>
      </c>
      <c r="H1303" s="84" t="s">
        <v>3521</v>
      </c>
      <c r="I1303" s="84" t="s">
        <v>3684</v>
      </c>
      <c r="J1303" s="84" t="s">
        <v>130</v>
      </c>
      <c r="K1303" s="85"/>
      <c r="L1303" s="87">
        <v>72.0</v>
      </c>
      <c r="M1303" s="87">
        <v>0.0</v>
      </c>
      <c r="N1303" s="87">
        <v>7.166667</v>
      </c>
      <c r="O1303" s="87">
        <v>0.0</v>
      </c>
      <c r="P1303" s="87">
        <v>0.0</v>
      </c>
      <c r="Q1303" s="87">
        <v>7.166667</v>
      </c>
    </row>
    <row r="1304">
      <c r="A1304" s="84" t="s">
        <v>644</v>
      </c>
      <c r="B1304" s="194"/>
      <c r="C1304" s="84" t="s">
        <v>1206</v>
      </c>
      <c r="D1304" s="88" t="s">
        <v>1396</v>
      </c>
      <c r="E1304" s="84" t="s">
        <v>3683</v>
      </c>
      <c r="F1304" s="84" t="s">
        <v>1180</v>
      </c>
      <c r="G1304" s="84" t="s">
        <v>3600</v>
      </c>
      <c r="H1304" s="84" t="s">
        <v>3521</v>
      </c>
      <c r="I1304" s="84" t="s">
        <v>3684</v>
      </c>
      <c r="J1304" s="84" t="s">
        <v>130</v>
      </c>
      <c r="K1304" s="84" t="s">
        <v>111</v>
      </c>
      <c r="L1304" s="87">
        <v>24.0</v>
      </c>
      <c r="M1304" s="87">
        <v>0.0</v>
      </c>
      <c r="N1304" s="87">
        <v>0.0</v>
      </c>
      <c r="O1304" s="87">
        <v>0.0</v>
      </c>
      <c r="P1304" s="87">
        <v>0.0</v>
      </c>
      <c r="Q1304" s="87">
        <v>0.0</v>
      </c>
    </row>
    <row r="1305">
      <c r="A1305" s="84" t="s">
        <v>74</v>
      </c>
      <c r="B1305" s="194"/>
      <c r="C1305" s="84" t="s">
        <v>1345</v>
      </c>
      <c r="D1305" s="88" t="s">
        <v>1396</v>
      </c>
      <c r="E1305" s="84" t="s">
        <v>3683</v>
      </c>
      <c r="F1305" s="84" t="s">
        <v>3796</v>
      </c>
      <c r="G1305" s="91"/>
      <c r="H1305" s="84" t="s">
        <v>3521</v>
      </c>
      <c r="I1305" s="84" t="s">
        <v>3684</v>
      </c>
      <c r="J1305" s="84" t="s">
        <v>130</v>
      </c>
      <c r="K1305" s="85"/>
      <c r="L1305" s="87">
        <v>24.0</v>
      </c>
      <c r="M1305" s="87">
        <v>0.0</v>
      </c>
      <c r="N1305" s="87">
        <v>0.0</v>
      </c>
      <c r="O1305" s="87">
        <v>0.0</v>
      </c>
      <c r="P1305" s="87">
        <v>0.0</v>
      </c>
      <c r="Q1305" s="87">
        <v>0.0</v>
      </c>
    </row>
    <row r="1306">
      <c r="A1306" s="84" t="s">
        <v>481</v>
      </c>
      <c r="B1306" s="194"/>
      <c r="C1306" s="84" t="s">
        <v>494</v>
      </c>
      <c r="D1306" s="88" t="s">
        <v>1396</v>
      </c>
      <c r="E1306" s="84" t="s">
        <v>3683</v>
      </c>
      <c r="F1306" s="84" t="s">
        <v>491</v>
      </c>
      <c r="G1306" s="84" t="s">
        <v>3560</v>
      </c>
      <c r="H1306" s="84" t="s">
        <v>3521</v>
      </c>
      <c r="I1306" s="84" t="s">
        <v>3684</v>
      </c>
      <c r="J1306" s="84" t="s">
        <v>130</v>
      </c>
      <c r="K1306" s="91"/>
      <c r="L1306" s="87">
        <v>24.0</v>
      </c>
      <c r="M1306" s="87">
        <v>0.0</v>
      </c>
      <c r="N1306" s="87">
        <v>0.0</v>
      </c>
      <c r="O1306" s="87">
        <v>0.0</v>
      </c>
      <c r="P1306" s="87">
        <v>0.0</v>
      </c>
      <c r="Q1306" s="87">
        <v>0.0</v>
      </c>
    </row>
    <row r="1307">
      <c r="A1307" s="84" t="s">
        <v>644</v>
      </c>
      <c r="B1307" s="194"/>
      <c r="C1307" s="84" t="s">
        <v>654</v>
      </c>
      <c r="D1307" s="88" t="s">
        <v>1396</v>
      </c>
      <c r="E1307" s="84" t="s">
        <v>3683</v>
      </c>
      <c r="F1307" s="84" t="s">
        <v>651</v>
      </c>
      <c r="G1307" s="84" t="s">
        <v>3723</v>
      </c>
      <c r="H1307" s="84" t="s">
        <v>3521</v>
      </c>
      <c r="I1307" s="84" t="s">
        <v>3684</v>
      </c>
      <c r="J1307" s="84" t="s">
        <v>130</v>
      </c>
      <c r="K1307" s="85"/>
      <c r="L1307" s="87">
        <v>24.0</v>
      </c>
      <c r="M1307" s="87">
        <v>0.0</v>
      </c>
      <c r="N1307" s="87">
        <v>0.0</v>
      </c>
      <c r="O1307" s="87">
        <v>0.0</v>
      </c>
      <c r="P1307" s="87">
        <v>0.0</v>
      </c>
      <c r="Q1307" s="87">
        <v>0.0</v>
      </c>
    </row>
    <row r="1308">
      <c r="A1308" s="84" t="s">
        <v>363</v>
      </c>
      <c r="B1308" s="193"/>
      <c r="C1308" s="84" t="s">
        <v>373</v>
      </c>
      <c r="D1308" s="88" t="s">
        <v>1396</v>
      </c>
      <c r="E1308" s="84" t="s">
        <v>3683</v>
      </c>
      <c r="F1308" s="84" t="s">
        <v>370</v>
      </c>
      <c r="G1308" s="84" t="s">
        <v>3770</v>
      </c>
      <c r="H1308" s="84" t="s">
        <v>3527</v>
      </c>
      <c r="I1308" s="84" t="s">
        <v>3709</v>
      </c>
      <c r="J1308" s="84" t="s">
        <v>130</v>
      </c>
      <c r="K1308" s="85"/>
      <c r="L1308" s="87">
        <v>24.0</v>
      </c>
      <c r="M1308" s="87">
        <v>0.0</v>
      </c>
      <c r="N1308" s="87">
        <v>0.0</v>
      </c>
      <c r="O1308" s="87">
        <v>0.0</v>
      </c>
      <c r="P1308" s="87">
        <v>0.0</v>
      </c>
      <c r="Q1308" s="87">
        <v>0.0</v>
      </c>
    </row>
    <row r="1309">
      <c r="A1309" s="84" t="s">
        <v>644</v>
      </c>
      <c r="B1309" s="194"/>
      <c r="C1309" s="84" t="s">
        <v>1236</v>
      </c>
      <c r="D1309" s="88" t="s">
        <v>1396</v>
      </c>
      <c r="E1309" s="84" t="s">
        <v>3683</v>
      </c>
      <c r="F1309" s="84" t="s">
        <v>1237</v>
      </c>
      <c r="G1309" s="84" t="s">
        <v>3607</v>
      </c>
      <c r="H1309" s="84" t="s">
        <v>3521</v>
      </c>
      <c r="I1309" s="84" t="s">
        <v>3684</v>
      </c>
      <c r="J1309" s="84" t="s">
        <v>130</v>
      </c>
      <c r="K1309" s="85"/>
      <c r="L1309" s="87">
        <v>24.0</v>
      </c>
      <c r="M1309" s="87">
        <v>0.0</v>
      </c>
      <c r="N1309" s="87">
        <v>0.0</v>
      </c>
      <c r="O1309" s="87">
        <v>0.0</v>
      </c>
      <c r="P1309" s="87">
        <v>0.0</v>
      </c>
      <c r="Q1309" s="87">
        <v>0.0</v>
      </c>
    </row>
    <row r="1310">
      <c r="A1310" s="84" t="s">
        <v>644</v>
      </c>
      <c r="B1310" s="194"/>
      <c r="C1310" s="84" t="s">
        <v>1227</v>
      </c>
      <c r="D1310" s="88" t="s">
        <v>1396</v>
      </c>
      <c r="E1310" s="84" t="s">
        <v>3683</v>
      </c>
      <c r="F1310" s="84" t="s">
        <v>1224</v>
      </c>
      <c r="G1310" s="84" t="s">
        <v>3551</v>
      </c>
      <c r="H1310" s="84" t="s">
        <v>3521</v>
      </c>
      <c r="I1310" s="84" t="s">
        <v>3684</v>
      </c>
      <c r="J1310" s="91"/>
      <c r="K1310" s="84" t="s">
        <v>111</v>
      </c>
      <c r="L1310" s="87">
        <v>312.0</v>
      </c>
      <c r="M1310" s="87">
        <v>0.0</v>
      </c>
      <c r="N1310" s="87">
        <v>0.0</v>
      </c>
      <c r="O1310" s="87">
        <v>0.071429</v>
      </c>
      <c r="P1310" s="87">
        <v>0.033333</v>
      </c>
      <c r="Q1310" s="87">
        <v>0.019608</v>
      </c>
    </row>
    <row r="1311">
      <c r="A1311" s="84" t="s">
        <v>472</v>
      </c>
      <c r="B1311" s="194"/>
      <c r="C1311" s="84" t="s">
        <v>1017</v>
      </c>
      <c r="D1311" s="88" t="s">
        <v>1396</v>
      </c>
      <c r="E1311" s="84" t="s">
        <v>3687</v>
      </c>
      <c r="F1311" s="91"/>
      <c r="G1311" s="84" t="s">
        <v>3587</v>
      </c>
      <c r="H1311" s="84" t="s">
        <v>3521</v>
      </c>
      <c r="I1311" s="84" t="s">
        <v>3684</v>
      </c>
      <c r="J1311" s="84" t="s">
        <v>130</v>
      </c>
      <c r="K1311" s="91"/>
      <c r="L1311" s="87">
        <v>456.0</v>
      </c>
      <c r="M1311" s="87">
        <v>0.0</v>
      </c>
      <c r="N1311" s="87">
        <v>0.177778</v>
      </c>
      <c r="O1311" s="87">
        <v>0.0</v>
      </c>
      <c r="P1311" s="87">
        <v>0.0</v>
      </c>
      <c r="Q1311" s="87">
        <v>0.177778</v>
      </c>
    </row>
    <row r="1312">
      <c r="A1312" s="84" t="s">
        <v>1130</v>
      </c>
      <c r="B1312" s="194"/>
      <c r="C1312" s="84" t="s">
        <v>1140</v>
      </c>
      <c r="D1312" s="88" t="s">
        <v>1396</v>
      </c>
      <c r="E1312" s="84" t="s">
        <v>3683</v>
      </c>
      <c r="F1312" s="84" t="s">
        <v>1139</v>
      </c>
      <c r="G1312" s="84" t="s">
        <v>3582</v>
      </c>
      <c r="H1312" s="84" t="s">
        <v>3521</v>
      </c>
      <c r="I1312" s="84" t="s">
        <v>3684</v>
      </c>
      <c r="J1312" s="84" t="s">
        <v>130</v>
      </c>
      <c r="K1312" s="84" t="s">
        <v>111</v>
      </c>
      <c r="L1312" s="87">
        <v>864.0</v>
      </c>
      <c r="M1312" s="87">
        <v>0.0</v>
      </c>
      <c r="N1312" s="87">
        <v>39.93413</v>
      </c>
      <c r="O1312" s="87">
        <v>0.0</v>
      </c>
      <c r="P1312" s="87">
        <v>0.0</v>
      </c>
      <c r="Q1312" s="87">
        <v>39.95738</v>
      </c>
    </row>
    <row r="1313">
      <c r="A1313" s="84" t="s">
        <v>472</v>
      </c>
      <c r="B1313" s="194"/>
      <c r="C1313" s="84" t="s">
        <v>484</v>
      </c>
      <c r="D1313" s="88" t="s">
        <v>1396</v>
      </c>
      <c r="E1313" s="84" t="s">
        <v>3683</v>
      </c>
      <c r="F1313" s="84" t="s">
        <v>453</v>
      </c>
      <c r="G1313" s="84" t="s">
        <v>3851</v>
      </c>
      <c r="H1313" s="84" t="s">
        <v>3521</v>
      </c>
      <c r="I1313" s="84" t="s">
        <v>3684</v>
      </c>
      <c r="J1313" s="91"/>
      <c r="K1313" s="85"/>
      <c r="L1313" s="87">
        <v>0.0</v>
      </c>
      <c r="M1313" s="87">
        <v>0.0</v>
      </c>
      <c r="N1313" s="87">
        <v>0.0</v>
      </c>
      <c r="O1313" s="87">
        <v>0.548052</v>
      </c>
      <c r="P1313" s="87">
        <v>0.375499</v>
      </c>
      <c r="Q1313" s="87">
        <v>0.305435</v>
      </c>
    </row>
    <row r="1314">
      <c r="A1314" s="84" t="s">
        <v>357</v>
      </c>
      <c r="B1314" s="194"/>
      <c r="C1314" s="84" t="s">
        <v>922</v>
      </c>
      <c r="D1314" s="88" t="s">
        <v>1396</v>
      </c>
      <c r="E1314" s="84" t="s">
        <v>3683</v>
      </c>
      <c r="F1314" s="84" t="s">
        <v>919</v>
      </c>
      <c r="G1314" s="84" t="s">
        <v>3739</v>
      </c>
      <c r="H1314" s="84" t="s">
        <v>3740</v>
      </c>
      <c r="I1314" s="84" t="s">
        <v>3709</v>
      </c>
      <c r="J1314" s="91"/>
      <c r="K1314" s="84" t="s">
        <v>111</v>
      </c>
      <c r="L1314" s="87">
        <v>840.0</v>
      </c>
      <c r="M1314" s="87">
        <v>0.0</v>
      </c>
      <c r="N1314" s="87">
        <v>10.5</v>
      </c>
      <c r="O1314" s="87">
        <v>0.0</v>
      </c>
      <c r="P1314" s="87">
        <v>0.0</v>
      </c>
      <c r="Q1314" s="87">
        <v>10.5</v>
      </c>
    </row>
    <row r="1315">
      <c r="A1315" s="84" t="s">
        <v>258</v>
      </c>
      <c r="B1315" s="194"/>
      <c r="C1315" s="84" t="s">
        <v>890</v>
      </c>
      <c r="D1315" s="88" t="s">
        <v>1396</v>
      </c>
      <c r="E1315" s="84" t="s">
        <v>3683</v>
      </c>
      <c r="F1315" s="84" t="s">
        <v>884</v>
      </c>
      <c r="G1315" s="84" t="s">
        <v>3558</v>
      </c>
      <c r="I1315" s="84" t="s">
        <v>3684</v>
      </c>
      <c r="J1315" s="91"/>
      <c r="K1315" s="91"/>
      <c r="L1315" s="87">
        <v>552.0</v>
      </c>
      <c r="M1315" s="87">
        <v>0.0</v>
      </c>
      <c r="N1315" s="87">
        <v>0.0</v>
      </c>
      <c r="O1315" s="87">
        <v>0.0</v>
      </c>
      <c r="P1315" s="87">
        <v>0.0</v>
      </c>
      <c r="Q1315" s="87">
        <v>0.0</v>
      </c>
    </row>
    <row r="1316">
      <c r="A1316" s="84" t="s">
        <v>644</v>
      </c>
      <c r="B1316" s="194"/>
      <c r="C1316" s="84" t="s">
        <v>1258</v>
      </c>
      <c r="D1316" s="88" t="s">
        <v>1396</v>
      </c>
      <c r="E1316" s="84" t="s">
        <v>3683</v>
      </c>
      <c r="F1316" s="84" t="s">
        <v>1255</v>
      </c>
      <c r="G1316" s="84" t="s">
        <v>3607</v>
      </c>
      <c r="H1316" s="84" t="s">
        <v>3521</v>
      </c>
      <c r="I1316" s="84" t="s">
        <v>3684</v>
      </c>
      <c r="J1316" s="84" t="s">
        <v>215</v>
      </c>
      <c r="L1316" s="87">
        <v>336.0</v>
      </c>
      <c r="M1316" s="87">
        <v>0.0</v>
      </c>
      <c r="N1316" s="87">
        <v>1.072502</v>
      </c>
      <c r="O1316" s="87">
        <v>0.596825</v>
      </c>
      <c r="P1316" s="87">
        <v>1.160647</v>
      </c>
      <c r="Q1316" s="87">
        <v>0.835276</v>
      </c>
    </row>
    <row r="1317">
      <c r="A1317" s="84" t="s">
        <v>341</v>
      </c>
      <c r="B1317" s="194"/>
      <c r="C1317" s="84" t="s">
        <v>344</v>
      </c>
      <c r="D1317" s="88" t="s">
        <v>1396</v>
      </c>
      <c r="E1317" s="84" t="s">
        <v>3745</v>
      </c>
      <c r="F1317" s="84" t="s">
        <v>340</v>
      </c>
      <c r="G1317" s="84" t="s">
        <v>4007</v>
      </c>
      <c r="H1317" s="84" t="s">
        <v>3521</v>
      </c>
      <c r="I1317" s="84" t="s">
        <v>3962</v>
      </c>
      <c r="J1317" s="84" t="s">
        <v>89</v>
      </c>
      <c r="K1317" s="85"/>
      <c r="L1317" s="87">
        <v>815.0</v>
      </c>
      <c r="M1317" s="87">
        <v>0.0</v>
      </c>
      <c r="N1317" s="87">
        <v>124.6119</v>
      </c>
      <c r="O1317" s="87">
        <v>162.3791</v>
      </c>
      <c r="P1317" s="87">
        <v>123.441</v>
      </c>
      <c r="Q1317" s="87">
        <v>112.3303</v>
      </c>
    </row>
    <row r="1318">
      <c r="A1318" s="84" t="s">
        <v>444</v>
      </c>
      <c r="B1318" s="194"/>
      <c r="C1318" s="84" t="s">
        <v>947</v>
      </c>
      <c r="D1318" s="88" t="s">
        <v>1396</v>
      </c>
      <c r="E1318" s="84" t="s">
        <v>3683</v>
      </c>
      <c r="F1318" s="84" t="s">
        <v>948</v>
      </c>
      <c r="G1318" s="84" t="s">
        <v>3578</v>
      </c>
      <c r="H1318" s="84" t="s">
        <v>3521</v>
      </c>
      <c r="I1318" s="84" t="s">
        <v>3684</v>
      </c>
      <c r="J1318" s="84" t="s">
        <v>130</v>
      </c>
      <c r="K1318" s="91"/>
      <c r="L1318" s="87">
        <v>0.0</v>
      </c>
      <c r="M1318" s="87">
        <v>1.0</v>
      </c>
      <c r="N1318" s="87">
        <v>0.0</v>
      </c>
      <c r="O1318" s="87">
        <v>0.071429</v>
      </c>
      <c r="P1318" s="87">
        <v>0.07037</v>
      </c>
      <c r="Q1318" s="87">
        <v>0.121813</v>
      </c>
    </row>
    <row r="1319">
      <c r="A1319" s="84" t="s">
        <v>481</v>
      </c>
      <c r="B1319" s="194"/>
      <c r="C1319" s="84" t="s">
        <v>515</v>
      </c>
      <c r="D1319" s="88" t="s">
        <v>1396</v>
      </c>
      <c r="E1319" s="84" t="s">
        <v>3683</v>
      </c>
      <c r="F1319" s="84" t="s">
        <v>516</v>
      </c>
      <c r="G1319" s="84" t="s">
        <v>3593</v>
      </c>
      <c r="I1319" s="84" t="s">
        <v>3684</v>
      </c>
      <c r="J1319" s="91"/>
      <c r="K1319" s="91"/>
      <c r="L1319" s="87">
        <v>456.0</v>
      </c>
      <c r="M1319" s="87">
        <v>0.0</v>
      </c>
      <c r="N1319" s="87">
        <v>0.0</v>
      </c>
      <c r="O1319" s="87">
        <v>0.0</v>
      </c>
      <c r="P1319" s="87">
        <v>0.0</v>
      </c>
      <c r="Q1319" s="87">
        <v>0.0</v>
      </c>
    </row>
    <row r="1320">
      <c r="A1320" s="84" t="s">
        <v>213</v>
      </c>
      <c r="B1320" s="194"/>
      <c r="C1320" s="84" t="s">
        <v>849</v>
      </c>
      <c r="D1320" s="88" t="s">
        <v>1396</v>
      </c>
      <c r="E1320" s="84" t="s">
        <v>3683</v>
      </c>
      <c r="F1320" s="84" t="s">
        <v>850</v>
      </c>
      <c r="G1320" s="84" t="s">
        <v>3551</v>
      </c>
      <c r="H1320" s="84" t="s">
        <v>3521</v>
      </c>
      <c r="I1320" s="84" t="s">
        <v>3684</v>
      </c>
      <c r="J1320" s="91"/>
      <c r="K1320" s="84" t="s">
        <v>111</v>
      </c>
      <c r="L1320" s="87">
        <v>288.0</v>
      </c>
      <c r="M1320" s="87">
        <v>0.0</v>
      </c>
      <c r="N1320" s="87">
        <v>0.0</v>
      </c>
      <c r="O1320" s="87">
        <v>0.071429</v>
      </c>
      <c r="P1320" s="87">
        <v>0.033333</v>
      </c>
      <c r="Q1320" s="87">
        <v>0.018868</v>
      </c>
    </row>
    <row r="1321">
      <c r="A1321" s="84" t="s">
        <v>644</v>
      </c>
      <c r="B1321" s="194"/>
      <c r="C1321" s="84" t="s">
        <v>1353</v>
      </c>
      <c r="D1321" s="88" t="s">
        <v>1396</v>
      </c>
      <c r="E1321" s="84" t="s">
        <v>3683</v>
      </c>
      <c r="F1321" s="84" t="s">
        <v>706</v>
      </c>
      <c r="G1321" s="84" t="s">
        <v>3547</v>
      </c>
      <c r="H1321" s="84" t="s">
        <v>3521</v>
      </c>
      <c r="I1321" s="84" t="s">
        <v>3684</v>
      </c>
      <c r="J1321" s="91"/>
      <c r="K1321" s="85"/>
      <c r="L1321" s="87">
        <v>96.0</v>
      </c>
      <c r="M1321" s="87">
        <v>2.0</v>
      </c>
      <c r="N1321" s="87">
        <v>4.281061</v>
      </c>
      <c r="O1321" s="87">
        <v>6.107068</v>
      </c>
      <c r="P1321" s="87">
        <v>6.644212</v>
      </c>
      <c r="Q1321" s="87">
        <v>6.546054</v>
      </c>
    </row>
    <row r="1322">
      <c r="A1322" s="84" t="s">
        <v>301</v>
      </c>
      <c r="B1322" s="194"/>
      <c r="C1322" s="84" t="s">
        <v>323</v>
      </c>
      <c r="D1322" s="88" t="s">
        <v>1396</v>
      </c>
      <c r="E1322" s="84" t="s">
        <v>3683</v>
      </c>
      <c r="F1322" s="84" t="s">
        <v>300</v>
      </c>
      <c r="G1322" s="84" t="s">
        <v>3703</v>
      </c>
      <c r="H1322" s="84" t="s">
        <v>3521</v>
      </c>
      <c r="I1322" s="84" t="s">
        <v>3684</v>
      </c>
      <c r="J1322" s="84" t="s">
        <v>130</v>
      </c>
      <c r="K1322" s="85"/>
      <c r="L1322" s="87">
        <v>360.0</v>
      </c>
      <c r="M1322" s="87">
        <v>0.0</v>
      </c>
      <c r="N1322" s="87">
        <v>1.51348</v>
      </c>
      <c r="O1322" s="87">
        <v>0.0</v>
      </c>
      <c r="P1322" s="87">
        <v>0.0</v>
      </c>
      <c r="Q1322" s="87">
        <v>1.630147</v>
      </c>
    </row>
    <row r="1323">
      <c r="A1323" s="84" t="s">
        <v>644</v>
      </c>
      <c r="B1323" s="194"/>
      <c r="C1323" s="84" t="s">
        <v>730</v>
      </c>
      <c r="D1323" s="88" t="s">
        <v>1396</v>
      </c>
      <c r="E1323" s="84" t="s">
        <v>3687</v>
      </c>
      <c r="F1323" s="84" t="s">
        <v>729</v>
      </c>
      <c r="G1323" s="84" t="s">
        <v>3752</v>
      </c>
      <c r="H1323" s="84" t="s">
        <v>3521</v>
      </c>
      <c r="I1323" s="84" t="s">
        <v>3684</v>
      </c>
      <c r="J1323" s="84" t="s">
        <v>215</v>
      </c>
      <c r="L1323" s="87">
        <v>504.0</v>
      </c>
      <c r="M1323" s="87">
        <v>0.0</v>
      </c>
      <c r="N1323" s="87">
        <v>14.60956</v>
      </c>
      <c r="O1323" s="87">
        <v>0.571429</v>
      </c>
      <c r="P1323" s="87">
        <v>0.188889</v>
      </c>
      <c r="Q1323" s="87">
        <v>14.76739</v>
      </c>
    </row>
    <row r="1324">
      <c r="A1324" s="84" t="s">
        <v>264</v>
      </c>
      <c r="B1324" s="194"/>
      <c r="C1324" s="84" t="s">
        <v>283</v>
      </c>
      <c r="D1324" s="88" t="s">
        <v>1396</v>
      </c>
      <c r="E1324" s="84" t="s">
        <v>3687</v>
      </c>
      <c r="F1324" s="84" t="s">
        <v>281</v>
      </c>
      <c r="G1324" s="84" t="s">
        <v>3691</v>
      </c>
      <c r="H1324" s="84" t="s">
        <v>3521</v>
      </c>
      <c r="I1324" s="84" t="s">
        <v>3684</v>
      </c>
      <c r="J1324" s="91"/>
      <c r="K1324" s="91"/>
      <c r="L1324" s="87">
        <v>27.0</v>
      </c>
      <c r="M1324" s="87">
        <v>4.0</v>
      </c>
      <c r="N1324" s="87">
        <v>0.071429</v>
      </c>
      <c r="O1324" s="87">
        <v>2.029304</v>
      </c>
      <c r="P1324" s="87">
        <v>1.872578</v>
      </c>
      <c r="Q1324" s="87">
        <v>1.575048</v>
      </c>
    </row>
    <row r="1325">
      <c r="A1325" s="84" t="s">
        <v>139</v>
      </c>
      <c r="B1325" s="194"/>
      <c r="C1325" s="84" t="s">
        <v>774</v>
      </c>
      <c r="D1325" s="88" t="s">
        <v>1396</v>
      </c>
      <c r="E1325" s="84" t="s">
        <v>3687</v>
      </c>
      <c r="F1325" s="84" t="s">
        <v>542</v>
      </c>
      <c r="G1325" s="84" t="s">
        <v>3514</v>
      </c>
      <c r="H1325" s="84" t="s">
        <v>3513</v>
      </c>
      <c r="I1325" s="84" t="s">
        <v>3684</v>
      </c>
      <c r="J1325" s="91"/>
      <c r="K1325" s="91"/>
      <c r="L1325" s="87">
        <v>319.0</v>
      </c>
      <c r="M1325" s="87">
        <v>8.0</v>
      </c>
      <c r="N1325" s="87">
        <v>2.076789</v>
      </c>
      <c r="O1325" s="87">
        <v>8.705458</v>
      </c>
      <c r="P1325" s="87">
        <v>8.63094</v>
      </c>
      <c r="Q1325" s="87">
        <v>8.465037</v>
      </c>
    </row>
    <row r="1326">
      <c r="A1326" s="84" t="s">
        <v>472</v>
      </c>
      <c r="B1326" s="194"/>
      <c r="C1326" s="84" t="s">
        <v>1023</v>
      </c>
      <c r="D1326" s="88" t="s">
        <v>1396</v>
      </c>
      <c r="E1326" s="84" t="s">
        <v>3683</v>
      </c>
      <c r="F1326" s="84" t="s">
        <v>1020</v>
      </c>
      <c r="G1326" s="84" t="s">
        <v>3560</v>
      </c>
      <c r="H1326" s="84" t="s">
        <v>3507</v>
      </c>
      <c r="I1326" s="84" t="s">
        <v>3684</v>
      </c>
      <c r="J1326" s="91"/>
      <c r="K1326" s="91"/>
      <c r="L1326" s="87">
        <v>48.0</v>
      </c>
      <c r="M1326" s="87">
        <v>1.0</v>
      </c>
      <c r="N1326" s="87">
        <v>0.342075</v>
      </c>
      <c r="O1326" s="87">
        <v>0.55636</v>
      </c>
      <c r="P1326" s="87">
        <v>0.444271</v>
      </c>
      <c r="Q1326" s="87">
        <v>0.424071</v>
      </c>
    </row>
    <row r="1327">
      <c r="A1327" s="84" t="s">
        <v>1130</v>
      </c>
      <c r="B1327" s="194"/>
      <c r="C1327" s="84" t="s">
        <v>1151</v>
      </c>
      <c r="D1327" s="88" t="s">
        <v>1396</v>
      </c>
      <c r="E1327" s="84" t="s">
        <v>3683</v>
      </c>
      <c r="F1327" s="84" t="s">
        <v>1142</v>
      </c>
      <c r="G1327" s="84" t="s">
        <v>3605</v>
      </c>
      <c r="H1327" s="84" t="s">
        <v>3521</v>
      </c>
      <c r="I1327" s="84" t="s">
        <v>3684</v>
      </c>
      <c r="J1327" s="84" t="s">
        <v>130</v>
      </c>
      <c r="K1327" s="91"/>
      <c r="L1327" s="87">
        <v>168.0</v>
      </c>
      <c r="M1327" s="87">
        <v>0.0</v>
      </c>
      <c r="N1327" s="87">
        <v>1.869048</v>
      </c>
      <c r="O1327" s="87">
        <v>0.0</v>
      </c>
      <c r="P1327" s="87">
        <v>0.0</v>
      </c>
      <c r="Q1327" s="87">
        <v>2.264662</v>
      </c>
    </row>
    <row r="1328">
      <c r="A1328" s="84" t="s">
        <v>644</v>
      </c>
      <c r="B1328" s="194"/>
      <c r="C1328" s="84" t="s">
        <v>675</v>
      </c>
      <c r="D1328" s="88" t="s">
        <v>1396</v>
      </c>
      <c r="E1328" s="84" t="s">
        <v>3683</v>
      </c>
      <c r="F1328" s="84" t="s">
        <v>670</v>
      </c>
      <c r="G1328" s="84" t="s">
        <v>3789</v>
      </c>
      <c r="I1328" s="84" t="s">
        <v>3684</v>
      </c>
      <c r="J1328" s="91"/>
      <c r="K1328" s="84" t="s">
        <v>111</v>
      </c>
      <c r="L1328" s="87">
        <v>552.0</v>
      </c>
      <c r="M1328" s="87">
        <v>0.0</v>
      </c>
      <c r="N1328" s="87">
        <v>0.0</v>
      </c>
      <c r="O1328" s="87">
        <v>0.0</v>
      </c>
      <c r="P1328" s="87">
        <v>0.0</v>
      </c>
      <c r="Q1328" s="87">
        <v>0.0</v>
      </c>
    </row>
    <row r="1329">
      <c r="A1329" s="84" t="s">
        <v>472</v>
      </c>
      <c r="B1329" s="194"/>
      <c r="C1329" s="84" t="s">
        <v>1030</v>
      </c>
      <c r="D1329" s="88" t="s">
        <v>1396</v>
      </c>
      <c r="E1329" s="84" t="s">
        <v>3683</v>
      </c>
      <c r="F1329" s="91"/>
      <c r="G1329" s="84" t="s">
        <v>3587</v>
      </c>
      <c r="H1329" s="84" t="s">
        <v>3521</v>
      </c>
      <c r="I1329" s="84" t="s">
        <v>3684</v>
      </c>
      <c r="J1329" s="91"/>
      <c r="K1329" s="85"/>
      <c r="L1329" s="87">
        <v>432.0</v>
      </c>
      <c r="M1329" s="87">
        <v>0.0</v>
      </c>
      <c r="N1329" s="87">
        <v>0.0</v>
      </c>
      <c r="O1329" s="87">
        <v>0.0</v>
      </c>
      <c r="P1329" s="87">
        <v>0.0</v>
      </c>
      <c r="Q1329" s="87">
        <v>0.0</v>
      </c>
    </row>
    <row r="1330">
      <c r="A1330" s="84" t="s">
        <v>573</v>
      </c>
      <c r="B1330" s="194"/>
      <c r="C1330" s="84" t="s">
        <v>596</v>
      </c>
      <c r="D1330" s="88" t="s">
        <v>1396</v>
      </c>
      <c r="E1330" s="84" t="s">
        <v>3683</v>
      </c>
      <c r="F1330" s="84" t="s">
        <v>595</v>
      </c>
      <c r="G1330" s="84" t="s">
        <v>3560</v>
      </c>
      <c r="H1330" s="84" t="s">
        <v>3521</v>
      </c>
      <c r="I1330" s="84" t="s">
        <v>3709</v>
      </c>
      <c r="J1330" s="91"/>
      <c r="K1330" s="85"/>
      <c r="L1330" s="87">
        <v>288.0</v>
      </c>
      <c r="M1330" s="87">
        <v>0.0</v>
      </c>
      <c r="N1330" s="87">
        <v>0.533333</v>
      </c>
      <c r="O1330" s="87">
        <v>0.0</v>
      </c>
      <c r="P1330" s="87">
        <v>0.0</v>
      </c>
      <c r="Q1330" s="87">
        <v>0.533333</v>
      </c>
    </row>
    <row r="1331">
      <c r="A1331" s="84" t="s">
        <v>74</v>
      </c>
      <c r="B1331" s="194"/>
      <c r="C1331" s="84" t="s">
        <v>1346</v>
      </c>
      <c r="D1331" s="88" t="s">
        <v>1396</v>
      </c>
      <c r="E1331" s="84" t="s">
        <v>3683</v>
      </c>
      <c r="F1331" s="84" t="s">
        <v>3796</v>
      </c>
      <c r="G1331" s="91"/>
      <c r="H1331" s="84" t="s">
        <v>3521</v>
      </c>
      <c r="I1331" s="84" t="s">
        <v>3684</v>
      </c>
      <c r="J1331" s="91"/>
      <c r="K1331" s="85"/>
      <c r="L1331" s="87">
        <v>2.0</v>
      </c>
      <c r="M1331" s="87">
        <v>1.0</v>
      </c>
      <c r="N1331" s="87">
        <v>0.0</v>
      </c>
      <c r="O1331" s="87">
        <v>0.357143</v>
      </c>
      <c r="P1331" s="87">
        <v>0.166667</v>
      </c>
      <c r="Q1331" s="87">
        <v>0.184594</v>
      </c>
    </row>
    <row r="1332">
      <c r="A1332" s="84" t="s">
        <v>616</v>
      </c>
      <c r="B1332" s="194"/>
      <c r="C1332" s="84" t="s">
        <v>1086</v>
      </c>
      <c r="D1332" s="88" t="s">
        <v>1396</v>
      </c>
      <c r="E1332" s="84" t="s">
        <v>3683</v>
      </c>
      <c r="F1332" s="84" t="s">
        <v>1075</v>
      </c>
      <c r="G1332" s="84" t="s">
        <v>3542</v>
      </c>
      <c r="H1332" s="84" t="s">
        <v>3521</v>
      </c>
      <c r="I1332" s="84" t="s">
        <v>3684</v>
      </c>
      <c r="J1332" s="84" t="s">
        <v>130</v>
      </c>
      <c r="K1332" s="85"/>
      <c r="L1332" s="87">
        <v>24.0</v>
      </c>
      <c r="M1332" s="87">
        <v>0.0</v>
      </c>
      <c r="N1332" s="87">
        <v>0.0</v>
      </c>
      <c r="O1332" s="87">
        <v>0.0</v>
      </c>
      <c r="P1332" s="87">
        <v>0.0</v>
      </c>
      <c r="Q1332" s="87">
        <v>0.0</v>
      </c>
    </row>
    <row r="1333">
      <c r="A1333" s="84" t="s">
        <v>644</v>
      </c>
      <c r="B1333" s="194"/>
      <c r="C1333" s="84" t="s">
        <v>1254</v>
      </c>
      <c r="D1333" s="88" t="s">
        <v>1396</v>
      </c>
      <c r="E1333" s="84" t="s">
        <v>3683</v>
      </c>
      <c r="F1333" s="84" t="s">
        <v>1255</v>
      </c>
      <c r="G1333" s="84" t="s">
        <v>3607</v>
      </c>
      <c r="H1333" s="84" t="s">
        <v>3521</v>
      </c>
      <c r="I1333" s="84" t="s">
        <v>3684</v>
      </c>
      <c r="J1333" s="84" t="s">
        <v>130</v>
      </c>
      <c r="K1333" s="91"/>
      <c r="L1333" s="87">
        <v>72.0</v>
      </c>
      <c r="M1333" s="87">
        <v>0.0</v>
      </c>
      <c r="N1333" s="87">
        <v>0.0</v>
      </c>
      <c r="O1333" s="87">
        <v>0.0</v>
      </c>
      <c r="P1333" s="87">
        <v>0.0</v>
      </c>
      <c r="Q1333" s="87">
        <v>0.0</v>
      </c>
    </row>
    <row r="1334">
      <c r="A1334" s="84" t="s">
        <v>1130</v>
      </c>
      <c r="B1334" s="194"/>
      <c r="C1334" s="84" t="s">
        <v>1152</v>
      </c>
      <c r="D1334" s="88" t="s">
        <v>1396</v>
      </c>
      <c r="E1334" s="84" t="s">
        <v>3683</v>
      </c>
      <c r="F1334" s="84" t="s">
        <v>973</v>
      </c>
      <c r="G1334" s="84" t="s">
        <v>3582</v>
      </c>
      <c r="H1334" s="84" t="s">
        <v>3521</v>
      </c>
      <c r="I1334" s="84" t="s">
        <v>3684</v>
      </c>
      <c r="J1334" s="84" t="s">
        <v>130</v>
      </c>
      <c r="K1334" s="84" t="s">
        <v>111</v>
      </c>
      <c r="L1334" s="87">
        <v>24.0</v>
      </c>
      <c r="M1334" s="87">
        <v>0.0</v>
      </c>
      <c r="N1334" s="87">
        <v>0.0</v>
      </c>
      <c r="O1334" s="87">
        <v>0.0</v>
      </c>
      <c r="P1334" s="87">
        <v>0.0</v>
      </c>
      <c r="Q1334" s="87">
        <v>0.0</v>
      </c>
    </row>
    <row r="1335">
      <c r="A1335" s="84" t="s">
        <v>644</v>
      </c>
      <c r="B1335" s="194"/>
      <c r="C1335" s="84" t="s">
        <v>733</v>
      </c>
      <c r="D1335" s="88" t="s">
        <v>1396</v>
      </c>
      <c r="E1335" s="84" t="s">
        <v>3683</v>
      </c>
      <c r="F1335" s="84" t="s">
        <v>3751</v>
      </c>
      <c r="G1335" s="84" t="s">
        <v>3752</v>
      </c>
      <c r="H1335" s="84" t="s">
        <v>3521</v>
      </c>
      <c r="I1335" s="84" t="s">
        <v>3684</v>
      </c>
      <c r="J1335" s="84" t="s">
        <v>215</v>
      </c>
      <c r="L1335" s="87">
        <v>72.0</v>
      </c>
      <c r="M1335" s="87">
        <v>0.0</v>
      </c>
      <c r="N1335" s="87">
        <v>0.0</v>
      </c>
      <c r="O1335" s="87">
        <v>0.0</v>
      </c>
      <c r="P1335" s="87">
        <v>0.0</v>
      </c>
      <c r="Q1335" s="87">
        <v>0.0</v>
      </c>
    </row>
    <row r="1336">
      <c r="A1336" s="84" t="s">
        <v>393</v>
      </c>
      <c r="B1336" s="194"/>
      <c r="C1336" s="84" t="s">
        <v>421</v>
      </c>
      <c r="D1336" s="88" t="s">
        <v>1396</v>
      </c>
      <c r="E1336" s="84" t="s">
        <v>3683</v>
      </c>
      <c r="F1336" s="84" t="s">
        <v>415</v>
      </c>
      <c r="G1336" s="84" t="s">
        <v>3832</v>
      </c>
      <c r="H1336" s="84" t="s">
        <v>3521</v>
      </c>
      <c r="I1336" s="84" t="s">
        <v>3693</v>
      </c>
      <c r="J1336" s="84" t="s">
        <v>130</v>
      </c>
      <c r="K1336" s="91"/>
      <c r="L1336" s="87">
        <v>24.0</v>
      </c>
      <c r="M1336" s="87">
        <v>0.0</v>
      </c>
      <c r="N1336" s="87">
        <v>0.0</v>
      </c>
      <c r="O1336" s="87">
        <v>0.0</v>
      </c>
      <c r="P1336" s="87">
        <v>0.0</v>
      </c>
      <c r="Q1336" s="87">
        <v>0.0</v>
      </c>
    </row>
    <row r="1337">
      <c r="A1337" s="84" t="s">
        <v>481</v>
      </c>
      <c r="B1337" s="194"/>
      <c r="C1337" s="84" t="s">
        <v>525</v>
      </c>
      <c r="D1337" s="88" t="s">
        <v>1396</v>
      </c>
      <c r="E1337" s="84" t="s">
        <v>3683</v>
      </c>
      <c r="F1337" s="84" t="s">
        <v>526</v>
      </c>
      <c r="G1337" s="84" t="s">
        <v>3593</v>
      </c>
      <c r="I1337" s="84" t="s">
        <v>3684</v>
      </c>
      <c r="J1337" s="91"/>
      <c r="K1337" s="85"/>
      <c r="L1337" s="87">
        <v>24.0</v>
      </c>
      <c r="M1337" s="87">
        <v>0.0</v>
      </c>
      <c r="N1337" s="87">
        <v>0.0</v>
      </c>
      <c r="O1337" s="87">
        <v>0.0</v>
      </c>
      <c r="P1337" s="87">
        <v>0.0</v>
      </c>
      <c r="Q1337" s="87">
        <v>0.0</v>
      </c>
    </row>
    <row r="1338">
      <c r="A1338" s="84" t="s">
        <v>393</v>
      </c>
      <c r="B1338" s="194"/>
      <c r="C1338" s="84" t="s">
        <v>409</v>
      </c>
      <c r="D1338" s="88" t="s">
        <v>1396</v>
      </c>
      <c r="E1338" s="84" t="s">
        <v>3683</v>
      </c>
      <c r="F1338" s="84" t="s">
        <v>407</v>
      </c>
      <c r="G1338" s="84" t="s">
        <v>3698</v>
      </c>
      <c r="H1338" s="84" t="s">
        <v>3521</v>
      </c>
      <c r="I1338" s="84" t="s">
        <v>3693</v>
      </c>
      <c r="J1338" s="91"/>
      <c r="K1338" s="85"/>
      <c r="L1338" s="87">
        <v>8.0</v>
      </c>
      <c r="M1338" s="87">
        <v>0.0</v>
      </c>
      <c r="N1338" s="87">
        <v>0.0</v>
      </c>
      <c r="O1338" s="87">
        <v>0.0</v>
      </c>
      <c r="P1338" s="87">
        <v>0.0</v>
      </c>
      <c r="Q1338" s="87">
        <v>0.0</v>
      </c>
    </row>
    <row r="1339">
      <c r="A1339" s="84" t="s">
        <v>630</v>
      </c>
      <c r="B1339" s="194"/>
      <c r="C1339" s="84" t="s">
        <v>1118</v>
      </c>
      <c r="D1339" s="88" t="s">
        <v>1396</v>
      </c>
      <c r="E1339" s="84" t="s">
        <v>3683</v>
      </c>
      <c r="F1339" s="84" t="s">
        <v>1117</v>
      </c>
      <c r="G1339" s="84" t="s">
        <v>3554</v>
      </c>
      <c r="H1339" s="84" t="s">
        <v>3521</v>
      </c>
      <c r="I1339" s="84" t="s">
        <v>3684</v>
      </c>
      <c r="J1339" s="84" t="s">
        <v>130</v>
      </c>
      <c r="K1339" s="85"/>
      <c r="L1339" s="87">
        <v>24.0</v>
      </c>
      <c r="M1339" s="87">
        <v>0.0</v>
      </c>
      <c r="N1339" s="87">
        <v>0.0</v>
      </c>
      <c r="O1339" s="87">
        <v>0.0</v>
      </c>
      <c r="P1339" s="87">
        <v>0.0</v>
      </c>
      <c r="Q1339" s="87">
        <v>0.0</v>
      </c>
    </row>
    <row r="1340">
      <c r="A1340" s="84" t="s">
        <v>458</v>
      </c>
      <c r="B1340" s="194"/>
      <c r="C1340" s="84" t="s">
        <v>456</v>
      </c>
      <c r="D1340" s="88" t="s">
        <v>1396</v>
      </c>
      <c r="E1340" s="84" t="s">
        <v>3683</v>
      </c>
      <c r="F1340" s="84" t="s">
        <v>457</v>
      </c>
      <c r="G1340" s="84" t="s">
        <v>3560</v>
      </c>
      <c r="H1340" s="84" t="s">
        <v>3521</v>
      </c>
      <c r="I1340" s="84" t="s">
        <v>3684</v>
      </c>
      <c r="J1340" s="91"/>
      <c r="K1340" s="84" t="s">
        <v>111</v>
      </c>
      <c r="L1340" s="87">
        <v>24.0</v>
      </c>
      <c r="M1340" s="87">
        <v>0.0</v>
      </c>
      <c r="N1340" s="87">
        <v>0.056349</v>
      </c>
      <c r="O1340" s="87">
        <v>0.0</v>
      </c>
      <c r="P1340" s="87">
        <v>0.2</v>
      </c>
      <c r="Q1340" s="87">
        <v>0.056349</v>
      </c>
    </row>
    <row r="1341">
      <c r="A1341" s="84" t="s">
        <v>393</v>
      </c>
      <c r="B1341" s="194"/>
      <c r="C1341" s="84" t="s">
        <v>413</v>
      </c>
      <c r="D1341" s="88" t="s">
        <v>1396</v>
      </c>
      <c r="E1341" s="84" t="s">
        <v>3683</v>
      </c>
      <c r="F1341" s="84" t="s">
        <v>352</v>
      </c>
      <c r="G1341" s="84" t="s">
        <v>3754</v>
      </c>
      <c r="H1341" s="84" t="s">
        <v>3521</v>
      </c>
      <c r="I1341" s="84" t="s">
        <v>3693</v>
      </c>
      <c r="J1341" s="91"/>
      <c r="K1341" s="84" t="s">
        <v>111</v>
      </c>
      <c r="L1341" s="87">
        <v>384.0</v>
      </c>
      <c r="M1341" s="87">
        <v>0.0</v>
      </c>
      <c r="N1341" s="87">
        <v>0.0</v>
      </c>
      <c r="O1341" s="87">
        <v>0.0</v>
      </c>
      <c r="P1341" s="87">
        <v>0.0</v>
      </c>
      <c r="Q1341" s="87">
        <v>0.0</v>
      </c>
    </row>
    <row r="1342">
      <c r="A1342" s="84" t="s">
        <v>537</v>
      </c>
      <c r="B1342" s="194"/>
      <c r="C1342" s="84" t="s">
        <v>560</v>
      </c>
      <c r="D1342" s="88" t="s">
        <v>1396</v>
      </c>
      <c r="E1342" s="84" t="s">
        <v>3683</v>
      </c>
      <c r="F1342" s="84" t="s">
        <v>558</v>
      </c>
      <c r="G1342" s="84" t="s">
        <v>3602</v>
      </c>
      <c r="H1342" s="84" t="s">
        <v>3521</v>
      </c>
      <c r="I1342" s="84" t="s">
        <v>3693</v>
      </c>
      <c r="J1342" s="91"/>
      <c r="K1342" s="85"/>
      <c r="L1342" s="87">
        <v>0.0</v>
      </c>
      <c r="M1342" s="87">
        <v>1.0</v>
      </c>
      <c r="N1342" s="87">
        <v>0.0</v>
      </c>
      <c r="O1342" s="87">
        <v>0.857143</v>
      </c>
      <c r="P1342" s="87">
        <v>0.833333</v>
      </c>
      <c r="Q1342" s="87">
        <v>1.091714</v>
      </c>
    </row>
    <row r="1343">
      <c r="A1343" s="84" t="s">
        <v>481</v>
      </c>
      <c r="B1343" s="194"/>
      <c r="C1343" s="84" t="s">
        <v>530</v>
      </c>
      <c r="D1343" s="88" t="s">
        <v>1396</v>
      </c>
      <c r="E1343" s="84" t="s">
        <v>3683</v>
      </c>
      <c r="F1343" s="84" t="s">
        <v>526</v>
      </c>
      <c r="G1343" s="84" t="s">
        <v>3593</v>
      </c>
      <c r="H1343" s="84" t="s">
        <v>3521</v>
      </c>
      <c r="I1343" s="84" t="s">
        <v>3684</v>
      </c>
      <c r="J1343" s="91"/>
      <c r="K1343" s="85"/>
      <c r="L1343" s="87">
        <v>0.0</v>
      </c>
      <c r="M1343" s="87">
        <v>0.0</v>
      </c>
      <c r="N1343" s="87">
        <v>0.0</v>
      </c>
      <c r="O1343" s="87">
        <v>0.785714</v>
      </c>
      <c r="P1343" s="87">
        <v>0.807061</v>
      </c>
      <c r="Q1343" s="87">
        <v>0.661108</v>
      </c>
    </row>
    <row r="1344">
      <c r="A1344" s="84" t="s">
        <v>444</v>
      </c>
      <c r="B1344" s="194"/>
      <c r="C1344" s="84" t="s">
        <v>958</v>
      </c>
      <c r="D1344" s="88" t="s">
        <v>1396</v>
      </c>
      <c r="E1344" s="84" t="s">
        <v>3683</v>
      </c>
      <c r="F1344" s="84" t="s">
        <v>959</v>
      </c>
      <c r="G1344" s="84" t="s">
        <v>3579</v>
      </c>
      <c r="H1344" s="84" t="s">
        <v>3521</v>
      </c>
      <c r="I1344" s="84" t="s">
        <v>3684</v>
      </c>
      <c r="J1344" s="91"/>
      <c r="K1344" s="91"/>
      <c r="L1344" s="87">
        <v>0.0</v>
      </c>
      <c r="M1344" s="87">
        <v>0.0</v>
      </c>
      <c r="N1344" s="87">
        <v>0.0</v>
      </c>
      <c r="O1344" s="87">
        <v>0.214286</v>
      </c>
      <c r="P1344" s="87">
        <v>0.266667</v>
      </c>
      <c r="Q1344" s="87">
        <v>0.305062</v>
      </c>
    </row>
    <row r="1345">
      <c r="A1345" s="84" t="s">
        <v>439</v>
      </c>
      <c r="B1345" s="194"/>
      <c r="C1345" s="84" t="s">
        <v>4207</v>
      </c>
      <c r="D1345" s="88" t="s">
        <v>1396</v>
      </c>
      <c r="E1345" s="84" t="s">
        <v>3683</v>
      </c>
      <c r="F1345" s="84" t="s">
        <v>3714</v>
      </c>
      <c r="G1345" s="84" t="s">
        <v>3715</v>
      </c>
      <c r="H1345" s="84" t="s">
        <v>3527</v>
      </c>
      <c r="I1345" s="84" t="s">
        <v>3684</v>
      </c>
      <c r="J1345" s="84" t="s">
        <v>130</v>
      </c>
      <c r="K1345" s="91"/>
      <c r="L1345" s="87">
        <v>720.0</v>
      </c>
      <c r="M1345" s="87">
        <v>0.0</v>
      </c>
      <c r="N1345" s="87">
        <v>5.747619</v>
      </c>
      <c r="O1345" s="87">
        <v>0.0</v>
      </c>
      <c r="P1345" s="87">
        <v>0.0</v>
      </c>
      <c r="Q1345" s="87">
        <v>5.747619</v>
      </c>
    </row>
    <row r="1346">
      <c r="A1346" s="84" t="s">
        <v>264</v>
      </c>
      <c r="B1346" s="194"/>
      <c r="C1346" s="84" t="s">
        <v>278</v>
      </c>
      <c r="D1346" s="88" t="s">
        <v>1396</v>
      </c>
      <c r="E1346" s="84" t="s">
        <v>3683</v>
      </c>
      <c r="F1346" s="84" t="s">
        <v>274</v>
      </c>
      <c r="G1346" s="84" t="s">
        <v>3691</v>
      </c>
      <c r="H1346" s="84" t="s">
        <v>3521</v>
      </c>
      <c r="I1346" s="84" t="s">
        <v>3684</v>
      </c>
      <c r="J1346" s="91"/>
      <c r="K1346" s="85"/>
      <c r="L1346" s="87">
        <v>54.0</v>
      </c>
      <c r="M1346" s="87">
        <v>2.0</v>
      </c>
      <c r="N1346" s="87">
        <v>0.467857</v>
      </c>
      <c r="O1346" s="87">
        <v>2.003571</v>
      </c>
      <c r="P1346" s="87">
        <v>2.003571</v>
      </c>
      <c r="Q1346" s="87">
        <v>2.068088</v>
      </c>
    </row>
    <row r="1347">
      <c r="A1347" s="84" t="s">
        <v>537</v>
      </c>
      <c r="B1347" s="194"/>
      <c r="C1347" s="84" t="s">
        <v>1050</v>
      </c>
      <c r="D1347" s="88" t="s">
        <v>1396</v>
      </c>
      <c r="E1347" s="84" t="s">
        <v>3683</v>
      </c>
      <c r="F1347" s="84" t="s">
        <v>1047</v>
      </c>
      <c r="G1347" s="84" t="s">
        <v>3592</v>
      </c>
      <c r="I1347" s="84" t="s">
        <v>3693</v>
      </c>
      <c r="J1347" s="91"/>
      <c r="K1347" s="85"/>
      <c r="L1347" s="87">
        <v>0.0</v>
      </c>
      <c r="M1347" s="87">
        <v>0.0</v>
      </c>
      <c r="N1347" s="87">
        <v>0.0</v>
      </c>
      <c r="O1347" s="87">
        <v>0.0</v>
      </c>
      <c r="P1347" s="87">
        <v>0.0</v>
      </c>
      <c r="Q1347" s="87">
        <v>0.0</v>
      </c>
    </row>
    <row r="1348">
      <c r="A1348" s="84" t="s">
        <v>644</v>
      </c>
      <c r="B1348" s="194"/>
      <c r="C1348" s="84" t="s">
        <v>1253</v>
      </c>
      <c r="D1348" s="88" t="s">
        <v>1396</v>
      </c>
      <c r="E1348" s="84" t="s">
        <v>3687</v>
      </c>
      <c r="F1348" s="84" t="s">
        <v>716</v>
      </c>
      <c r="G1348" s="84" t="s">
        <v>3607</v>
      </c>
      <c r="H1348" s="84" t="s">
        <v>3521</v>
      </c>
      <c r="I1348" s="84" t="s">
        <v>3684</v>
      </c>
      <c r="J1348" s="84" t="s">
        <v>215</v>
      </c>
      <c r="L1348" s="87">
        <v>576.0</v>
      </c>
      <c r="M1348" s="87">
        <v>0.0</v>
      </c>
      <c r="N1348" s="87">
        <v>4.535971</v>
      </c>
      <c r="O1348" s="87">
        <v>0.21978</v>
      </c>
      <c r="P1348" s="87">
        <v>3.459483</v>
      </c>
      <c r="Q1348" s="87">
        <v>4.599864</v>
      </c>
    </row>
    <row r="1349">
      <c r="A1349" s="84" t="s">
        <v>537</v>
      </c>
      <c r="B1349" s="194"/>
      <c r="C1349" s="84" t="s">
        <v>1049</v>
      </c>
      <c r="D1349" s="88" t="s">
        <v>1396</v>
      </c>
      <c r="E1349" s="84" t="s">
        <v>3683</v>
      </c>
      <c r="F1349" s="84" t="s">
        <v>1047</v>
      </c>
      <c r="G1349" s="84" t="s">
        <v>3592</v>
      </c>
      <c r="H1349" s="84" t="s">
        <v>3521</v>
      </c>
      <c r="I1349" s="84" t="s">
        <v>3693</v>
      </c>
      <c r="J1349" s="91"/>
      <c r="K1349" s="85"/>
      <c r="L1349" s="87">
        <v>0.0</v>
      </c>
      <c r="M1349" s="87">
        <v>0.0</v>
      </c>
      <c r="N1349" s="87">
        <v>0.0</v>
      </c>
      <c r="O1349" s="87">
        <v>0.0</v>
      </c>
      <c r="P1349" s="87">
        <v>0.0</v>
      </c>
      <c r="Q1349" s="87">
        <v>0.0</v>
      </c>
    </row>
    <row r="1350">
      <c r="A1350" s="84" t="s">
        <v>74</v>
      </c>
      <c r="B1350" s="194"/>
      <c r="C1350" s="84" t="s">
        <v>82</v>
      </c>
      <c r="D1350" s="88" t="s">
        <v>1396</v>
      </c>
      <c r="E1350" s="84" t="s">
        <v>3683</v>
      </c>
      <c r="F1350" s="84" t="s">
        <v>73</v>
      </c>
      <c r="G1350" s="84" t="s">
        <v>3712</v>
      </c>
      <c r="H1350" s="84" t="s">
        <v>3521</v>
      </c>
      <c r="I1350" s="84" t="s">
        <v>3684</v>
      </c>
      <c r="J1350" s="91"/>
      <c r="K1350" s="84" t="s">
        <v>111</v>
      </c>
      <c r="L1350" s="87">
        <v>744.0</v>
      </c>
      <c r="M1350" s="87">
        <v>1.0</v>
      </c>
      <c r="N1350" s="87">
        <v>0.0</v>
      </c>
      <c r="O1350" s="87">
        <v>0.0</v>
      </c>
      <c r="P1350" s="87">
        <v>0.0</v>
      </c>
      <c r="Q1350" s="87">
        <v>0.0</v>
      </c>
    </row>
    <row r="1351">
      <c r="A1351" s="84" t="s">
        <v>644</v>
      </c>
      <c r="B1351" s="194"/>
      <c r="C1351" s="84" t="s">
        <v>727</v>
      </c>
      <c r="D1351" s="88" t="s">
        <v>1396</v>
      </c>
      <c r="E1351" s="84" t="s">
        <v>3687</v>
      </c>
      <c r="F1351" s="84" t="s">
        <v>3751</v>
      </c>
      <c r="G1351" s="84" t="s">
        <v>3752</v>
      </c>
      <c r="H1351" s="84" t="s">
        <v>3521</v>
      </c>
      <c r="I1351" s="84" t="s">
        <v>3684</v>
      </c>
      <c r="J1351" s="84" t="s">
        <v>130</v>
      </c>
      <c r="K1351" s="84" t="s">
        <v>111</v>
      </c>
      <c r="L1351" s="87">
        <v>24.0</v>
      </c>
      <c r="M1351" s="87">
        <v>0.0</v>
      </c>
      <c r="N1351" s="87">
        <v>0.0</v>
      </c>
      <c r="O1351" s="87">
        <v>0.0</v>
      </c>
      <c r="P1351" s="87">
        <v>0.0</v>
      </c>
      <c r="Q1351" s="87">
        <v>0.0</v>
      </c>
    </row>
    <row r="1352">
      <c r="A1352" s="84" t="s">
        <v>1130</v>
      </c>
      <c r="B1352" s="194"/>
      <c r="C1352" s="84" t="s">
        <v>1148</v>
      </c>
      <c r="D1352" s="88" t="s">
        <v>1396</v>
      </c>
      <c r="E1352" s="84" t="s">
        <v>3683</v>
      </c>
      <c r="F1352" s="84" t="s">
        <v>1142</v>
      </c>
      <c r="G1352" s="84" t="s">
        <v>3605</v>
      </c>
      <c r="H1352" s="84" t="s">
        <v>3521</v>
      </c>
      <c r="I1352" s="84" t="s">
        <v>3684</v>
      </c>
      <c r="J1352" s="84" t="s">
        <v>130</v>
      </c>
      <c r="K1352" s="84" t="s">
        <v>111</v>
      </c>
      <c r="L1352" s="87">
        <v>312.0</v>
      </c>
      <c r="M1352" s="87">
        <v>0.0</v>
      </c>
      <c r="N1352" s="87">
        <v>2.185606</v>
      </c>
      <c r="O1352" s="87">
        <v>0.0</v>
      </c>
      <c r="P1352" s="87">
        <v>0.0</v>
      </c>
      <c r="Q1352" s="87">
        <v>2.185606</v>
      </c>
    </row>
    <row r="1353">
      <c r="A1353" s="84" t="s">
        <v>472</v>
      </c>
      <c r="B1353" s="194"/>
      <c r="C1353" s="84" t="s">
        <v>489</v>
      </c>
      <c r="D1353" s="88" t="s">
        <v>1396</v>
      </c>
      <c r="E1353" s="84" t="s">
        <v>3683</v>
      </c>
      <c r="F1353" s="84" t="s">
        <v>453</v>
      </c>
      <c r="G1353" s="84" t="s">
        <v>3851</v>
      </c>
      <c r="H1353" s="84" t="s">
        <v>3521</v>
      </c>
      <c r="I1353" s="84" t="s">
        <v>3684</v>
      </c>
      <c r="J1353" s="84" t="s">
        <v>130</v>
      </c>
      <c r="K1353" s="85"/>
      <c r="L1353" s="87">
        <v>48.0</v>
      </c>
      <c r="M1353" s="87">
        <v>0.0</v>
      </c>
      <c r="N1353" s="87">
        <v>0.25</v>
      </c>
      <c r="O1353" s="87">
        <v>0.0</v>
      </c>
      <c r="P1353" s="87">
        <v>0.0</v>
      </c>
      <c r="Q1353" s="87">
        <v>0.25</v>
      </c>
    </row>
    <row r="1354">
      <c r="A1354" s="84" t="s">
        <v>1130</v>
      </c>
      <c r="B1354" s="194"/>
      <c r="C1354" s="84" t="s">
        <v>1149</v>
      </c>
      <c r="D1354" s="88" t="s">
        <v>1396</v>
      </c>
      <c r="E1354" s="84" t="s">
        <v>3683</v>
      </c>
      <c r="F1354" s="84" t="s">
        <v>1142</v>
      </c>
      <c r="G1354" s="84" t="s">
        <v>3605</v>
      </c>
      <c r="H1354" s="84" t="s">
        <v>3521</v>
      </c>
      <c r="I1354" s="84" t="s">
        <v>3684</v>
      </c>
      <c r="J1354" s="84" t="s">
        <v>130</v>
      </c>
      <c r="K1354" s="84" t="s">
        <v>111</v>
      </c>
      <c r="L1354" s="87">
        <v>336.0</v>
      </c>
      <c r="M1354" s="87">
        <v>0.0</v>
      </c>
      <c r="N1354" s="87">
        <v>3.480952</v>
      </c>
      <c r="O1354" s="87">
        <v>0.0</v>
      </c>
      <c r="P1354" s="87">
        <v>0.0</v>
      </c>
      <c r="Q1354" s="87">
        <v>3.480952</v>
      </c>
    </row>
    <row r="1355">
      <c r="A1355" s="84" t="s">
        <v>644</v>
      </c>
      <c r="B1355" s="194"/>
      <c r="C1355" s="84" t="s">
        <v>1211</v>
      </c>
      <c r="D1355" s="88" t="s">
        <v>1396</v>
      </c>
      <c r="E1355" s="84" t="s">
        <v>3683</v>
      </c>
      <c r="F1355" s="84" t="s">
        <v>1208</v>
      </c>
      <c r="G1355" s="84" t="s">
        <v>3606</v>
      </c>
      <c r="H1355" s="84" t="s">
        <v>3521</v>
      </c>
      <c r="I1355" s="84" t="s">
        <v>3684</v>
      </c>
      <c r="J1355" s="91"/>
      <c r="K1355" s="91"/>
      <c r="L1355" s="87">
        <v>24.0</v>
      </c>
      <c r="M1355" s="87">
        <v>1.0</v>
      </c>
      <c r="N1355" s="87">
        <v>0.373626</v>
      </c>
      <c r="O1355" s="87">
        <v>1.266484</v>
      </c>
      <c r="P1355" s="87">
        <v>0.746223</v>
      </c>
      <c r="Q1355" s="87">
        <v>0.50725</v>
      </c>
    </row>
    <row r="1356">
      <c r="A1356" s="84" t="s">
        <v>630</v>
      </c>
      <c r="B1356" s="194"/>
      <c r="C1356" s="84" t="s">
        <v>1090</v>
      </c>
      <c r="D1356" s="88" t="s">
        <v>1396</v>
      </c>
      <c r="E1356" s="84" t="s">
        <v>3683</v>
      </c>
      <c r="F1356" s="84" t="s">
        <v>1091</v>
      </c>
      <c r="G1356" s="84" t="s">
        <v>3601</v>
      </c>
      <c r="H1356" s="84" t="s">
        <v>3521</v>
      </c>
      <c r="I1356" s="84" t="s">
        <v>3684</v>
      </c>
      <c r="J1356" s="84" t="s">
        <v>130</v>
      </c>
      <c r="K1356" s="91"/>
      <c r="L1356" s="87">
        <v>24.0</v>
      </c>
      <c r="M1356" s="87">
        <v>0.0</v>
      </c>
      <c r="N1356" s="87">
        <v>0.0</v>
      </c>
      <c r="O1356" s="87">
        <v>0.0</v>
      </c>
      <c r="P1356" s="87">
        <v>0.0</v>
      </c>
      <c r="Q1356" s="87">
        <v>0.0</v>
      </c>
    </row>
    <row r="1357">
      <c r="A1357" s="84" t="s">
        <v>644</v>
      </c>
      <c r="B1357" s="194"/>
      <c r="C1357" s="84" t="s">
        <v>1221</v>
      </c>
      <c r="D1357" s="88" t="s">
        <v>1396</v>
      </c>
      <c r="E1357" s="84" t="s">
        <v>3683</v>
      </c>
      <c r="F1357" s="84" t="s">
        <v>850</v>
      </c>
      <c r="G1357" s="84" t="s">
        <v>3551</v>
      </c>
      <c r="H1357" s="84" t="s">
        <v>3521</v>
      </c>
      <c r="I1357" s="84" t="s">
        <v>3684</v>
      </c>
      <c r="J1357" s="84" t="s">
        <v>130</v>
      </c>
      <c r="K1357" s="85"/>
      <c r="L1357" s="87">
        <v>24.0</v>
      </c>
      <c r="M1357" s="87">
        <v>0.0</v>
      </c>
      <c r="N1357" s="87">
        <v>0.0</v>
      </c>
      <c r="O1357" s="87">
        <v>0.0</v>
      </c>
      <c r="P1357" s="87">
        <v>0.0</v>
      </c>
      <c r="Q1357" s="87">
        <v>0.0</v>
      </c>
    </row>
    <row r="1358">
      <c r="A1358" s="84" t="s">
        <v>644</v>
      </c>
      <c r="B1358" s="194"/>
      <c r="C1358" s="84" t="s">
        <v>668</v>
      </c>
      <c r="D1358" s="88" t="s">
        <v>1396</v>
      </c>
      <c r="E1358" s="84" t="s">
        <v>3683</v>
      </c>
      <c r="F1358" s="84" t="s">
        <v>658</v>
      </c>
      <c r="G1358" s="84" t="s">
        <v>3801</v>
      </c>
      <c r="H1358" s="84" t="s">
        <v>3521</v>
      </c>
      <c r="I1358" s="84" t="s">
        <v>3684</v>
      </c>
      <c r="J1358" s="91"/>
      <c r="K1358" s="85"/>
      <c r="L1358" s="87">
        <v>0.0</v>
      </c>
      <c r="M1358" s="87">
        <v>0.0</v>
      </c>
      <c r="N1358" s="87">
        <v>0.0</v>
      </c>
      <c r="O1358" s="87">
        <v>0.071429</v>
      </c>
      <c r="P1358" s="87">
        <v>0.033333</v>
      </c>
      <c r="Q1358" s="87">
        <v>0.016667</v>
      </c>
    </row>
    <row r="1359">
      <c r="A1359" s="84" t="s">
        <v>537</v>
      </c>
      <c r="B1359" s="194"/>
      <c r="C1359" s="84" t="s">
        <v>556</v>
      </c>
      <c r="D1359" s="88" t="s">
        <v>1396</v>
      </c>
      <c r="E1359" s="84" t="s">
        <v>3683</v>
      </c>
      <c r="F1359" s="84" t="s">
        <v>551</v>
      </c>
      <c r="G1359" s="84" t="s">
        <v>3590</v>
      </c>
      <c r="H1359" s="84" t="s">
        <v>3521</v>
      </c>
      <c r="I1359" s="84" t="s">
        <v>3693</v>
      </c>
      <c r="J1359" s="84" t="s">
        <v>130</v>
      </c>
      <c r="K1359" s="91"/>
      <c r="L1359" s="87">
        <v>24.0</v>
      </c>
      <c r="M1359" s="87">
        <v>0.0</v>
      </c>
      <c r="N1359" s="87">
        <v>0.0</v>
      </c>
      <c r="O1359" s="87">
        <v>0.0</v>
      </c>
      <c r="P1359" s="87">
        <v>0.0</v>
      </c>
      <c r="Q1359" s="87">
        <v>0.0</v>
      </c>
    </row>
    <row r="1360">
      <c r="A1360" s="84" t="s">
        <v>139</v>
      </c>
      <c r="B1360" s="194"/>
      <c r="C1360" s="84" t="s">
        <v>778</v>
      </c>
      <c r="D1360" s="88" t="s">
        <v>1396</v>
      </c>
      <c r="E1360" s="84" t="s">
        <v>3687</v>
      </c>
      <c r="F1360" s="84" t="s">
        <v>542</v>
      </c>
      <c r="G1360" s="84" t="s">
        <v>3514</v>
      </c>
      <c r="H1360" s="84" t="s">
        <v>3513</v>
      </c>
      <c r="I1360" s="84" t="s">
        <v>3684</v>
      </c>
      <c r="J1360" s="91"/>
      <c r="K1360" s="91"/>
      <c r="L1360" s="87">
        <v>446.0</v>
      </c>
      <c r="M1360" s="87">
        <v>11.0</v>
      </c>
      <c r="N1360" s="87">
        <v>6.663789</v>
      </c>
      <c r="O1360" s="87">
        <v>13.84851</v>
      </c>
      <c r="P1360" s="87">
        <v>14.15977</v>
      </c>
      <c r="Q1360" s="87">
        <v>12.53293</v>
      </c>
    </row>
    <row r="1361">
      <c r="A1361" s="84" t="s">
        <v>537</v>
      </c>
      <c r="B1361" s="194"/>
      <c r="C1361" s="84" t="s">
        <v>561</v>
      </c>
      <c r="D1361" s="88" t="s">
        <v>1396</v>
      </c>
      <c r="E1361" s="84" t="s">
        <v>3683</v>
      </c>
      <c r="F1361" s="84" t="s">
        <v>558</v>
      </c>
      <c r="G1361" s="84" t="s">
        <v>3602</v>
      </c>
      <c r="H1361" s="84" t="s">
        <v>3521</v>
      </c>
      <c r="I1361" s="84" t="s">
        <v>3693</v>
      </c>
      <c r="J1361" s="91"/>
      <c r="K1361" s="84" t="s">
        <v>111</v>
      </c>
      <c r="L1361" s="87">
        <v>216.0</v>
      </c>
      <c r="M1361" s="87">
        <v>0.0</v>
      </c>
      <c r="N1361" s="87">
        <v>0.0</v>
      </c>
      <c r="O1361" s="87">
        <v>0.0</v>
      </c>
      <c r="P1361" s="87">
        <v>0.0</v>
      </c>
      <c r="Q1361" s="87">
        <v>0.0</v>
      </c>
    </row>
    <row r="1362">
      <c r="A1362" s="84" t="s">
        <v>630</v>
      </c>
      <c r="B1362" s="194"/>
      <c r="C1362" s="84" t="s">
        <v>633</v>
      </c>
      <c r="D1362" s="88" t="s">
        <v>1396</v>
      </c>
      <c r="E1362" s="84" t="s">
        <v>3683</v>
      </c>
      <c r="F1362" s="84" t="s">
        <v>629</v>
      </c>
      <c r="G1362" s="84" t="s">
        <v>3766</v>
      </c>
      <c r="I1362" s="84" t="s">
        <v>3684</v>
      </c>
      <c r="J1362" s="91"/>
      <c r="K1362" s="85"/>
      <c r="L1362" s="87">
        <v>552.0</v>
      </c>
      <c r="M1362" s="87">
        <v>0.0</v>
      </c>
      <c r="N1362" s="87">
        <v>0.0</v>
      </c>
      <c r="O1362" s="87">
        <v>0.0</v>
      </c>
      <c r="P1362" s="87">
        <v>0.0</v>
      </c>
      <c r="Q1362" s="87">
        <v>0.0</v>
      </c>
    </row>
    <row r="1363">
      <c r="A1363" s="84" t="s">
        <v>644</v>
      </c>
      <c r="B1363" s="194"/>
      <c r="C1363" s="84" t="s">
        <v>711</v>
      </c>
      <c r="D1363" s="88" t="s">
        <v>1396</v>
      </c>
      <c r="E1363" s="91"/>
      <c r="F1363" s="84" t="s">
        <v>708</v>
      </c>
      <c r="G1363" s="84" t="s">
        <v>3607</v>
      </c>
      <c r="I1363" s="84" t="s">
        <v>3684</v>
      </c>
      <c r="J1363" s="91"/>
      <c r="K1363" s="84" t="s">
        <v>111</v>
      </c>
      <c r="L1363" s="87">
        <v>552.0</v>
      </c>
      <c r="M1363" s="87">
        <v>0.0</v>
      </c>
      <c r="N1363" s="87">
        <v>0.0</v>
      </c>
      <c r="O1363" s="87">
        <v>0.0</v>
      </c>
      <c r="P1363" s="87">
        <v>0.0</v>
      </c>
      <c r="Q1363" s="87">
        <v>0.0</v>
      </c>
    </row>
    <row r="1364">
      <c r="A1364" s="84" t="s">
        <v>537</v>
      </c>
      <c r="B1364" s="194"/>
      <c r="C1364" s="84" t="s">
        <v>1042</v>
      </c>
      <c r="D1364" s="88" t="s">
        <v>1396</v>
      </c>
      <c r="E1364" s="84" t="s">
        <v>3683</v>
      </c>
      <c r="F1364" s="84" t="s">
        <v>1043</v>
      </c>
      <c r="G1364" s="84" t="s">
        <v>3591</v>
      </c>
      <c r="H1364" s="84" t="s">
        <v>3521</v>
      </c>
      <c r="I1364" s="84" t="s">
        <v>3693</v>
      </c>
      <c r="J1364" s="91"/>
      <c r="K1364" s="84" t="s">
        <v>111</v>
      </c>
      <c r="L1364" s="87">
        <v>792.0</v>
      </c>
      <c r="M1364" s="87">
        <v>0.0</v>
      </c>
      <c r="N1364" s="87">
        <v>0.209402</v>
      </c>
      <c r="O1364" s="87">
        <v>0.5</v>
      </c>
      <c r="P1364" s="87">
        <v>0.209402</v>
      </c>
      <c r="Q1364" s="87">
        <v>0.107023</v>
      </c>
    </row>
    <row r="1365">
      <c r="A1365" s="84" t="s">
        <v>258</v>
      </c>
      <c r="B1365" s="194"/>
      <c r="C1365" s="84" t="s">
        <v>256</v>
      </c>
      <c r="D1365" s="88" t="s">
        <v>1396</v>
      </c>
      <c r="E1365" s="84" t="s">
        <v>3683</v>
      </c>
      <c r="F1365" s="84" t="s">
        <v>257</v>
      </c>
      <c r="G1365" s="84" t="s">
        <v>3916</v>
      </c>
      <c r="I1365" s="84" t="s">
        <v>3684</v>
      </c>
      <c r="J1365" s="91"/>
      <c r="K1365" s="85"/>
      <c r="L1365" s="87">
        <v>552.0</v>
      </c>
      <c r="M1365" s="87">
        <v>0.0</v>
      </c>
      <c r="N1365" s="87">
        <v>0.0</v>
      </c>
      <c r="O1365" s="87">
        <v>0.0</v>
      </c>
      <c r="P1365" s="87">
        <v>0.0</v>
      </c>
      <c r="Q1365" s="87">
        <v>0.0</v>
      </c>
    </row>
    <row r="1366">
      <c r="A1366" s="84" t="s">
        <v>795</v>
      </c>
      <c r="B1366" s="194"/>
      <c r="C1366" s="84" t="s">
        <v>798</v>
      </c>
      <c r="D1366" s="88" t="s">
        <v>1396</v>
      </c>
      <c r="E1366" s="84" t="s">
        <v>3683</v>
      </c>
      <c r="F1366" s="84" t="s">
        <v>794</v>
      </c>
      <c r="G1366" s="84" t="s">
        <v>3522</v>
      </c>
      <c r="H1366" s="84" t="s">
        <v>3521</v>
      </c>
      <c r="I1366" s="84" t="s">
        <v>3684</v>
      </c>
      <c r="J1366" s="91"/>
      <c r="K1366" s="84" t="s">
        <v>111</v>
      </c>
      <c r="L1366" s="87">
        <v>336.0</v>
      </c>
      <c r="M1366" s="87">
        <v>0.0</v>
      </c>
      <c r="N1366" s="87">
        <v>0.28799</v>
      </c>
      <c r="O1366" s="87">
        <v>0.0</v>
      </c>
      <c r="P1366" s="87">
        <v>0.055556</v>
      </c>
      <c r="Q1366" s="87">
        <v>0.343546</v>
      </c>
    </row>
    <row r="1367">
      <c r="A1367" s="84" t="s">
        <v>644</v>
      </c>
      <c r="B1367" s="194"/>
      <c r="C1367" s="84" t="s">
        <v>707</v>
      </c>
      <c r="D1367" s="88" t="s">
        <v>1396</v>
      </c>
      <c r="E1367" s="84" t="s">
        <v>3687</v>
      </c>
      <c r="F1367" s="84" t="s">
        <v>708</v>
      </c>
      <c r="G1367" s="84" t="s">
        <v>3607</v>
      </c>
      <c r="I1367" s="84" t="s">
        <v>3684</v>
      </c>
      <c r="J1367" s="91"/>
      <c r="K1367" s="84" t="s">
        <v>111</v>
      </c>
      <c r="L1367" s="87">
        <v>552.0</v>
      </c>
      <c r="M1367" s="87">
        <v>0.0</v>
      </c>
      <c r="N1367" s="87">
        <v>0.0</v>
      </c>
      <c r="O1367" s="87">
        <v>0.0</v>
      </c>
      <c r="P1367" s="87">
        <v>0.0</v>
      </c>
      <c r="Q1367" s="87">
        <v>0.0</v>
      </c>
    </row>
    <row r="1368">
      <c r="A1368" s="84" t="s">
        <v>472</v>
      </c>
      <c r="B1368" s="194"/>
      <c r="C1368" s="84" t="s">
        <v>1343</v>
      </c>
      <c r="D1368" s="88" t="s">
        <v>1396</v>
      </c>
      <c r="E1368" s="84" t="s">
        <v>3683</v>
      </c>
      <c r="F1368" s="84" t="s">
        <v>3870</v>
      </c>
      <c r="G1368" s="84" t="s">
        <v>3586</v>
      </c>
      <c r="H1368" s="84" t="s">
        <v>3521</v>
      </c>
      <c r="I1368" s="84" t="s">
        <v>3684</v>
      </c>
      <c r="J1368" s="91"/>
      <c r="K1368" s="85"/>
      <c r="L1368" s="87">
        <v>95.0</v>
      </c>
      <c r="M1368" s="87">
        <v>3.0</v>
      </c>
      <c r="N1368" s="87">
        <v>0.464286</v>
      </c>
      <c r="O1368" s="87">
        <v>2.238095</v>
      </c>
      <c r="P1368" s="87">
        <v>1.547181</v>
      </c>
      <c r="Q1368" s="87">
        <v>1.262517</v>
      </c>
    </row>
    <row r="1369">
      <c r="A1369" s="84" t="s">
        <v>458</v>
      </c>
      <c r="B1369" s="194"/>
      <c r="C1369" s="84" t="s">
        <v>969</v>
      </c>
      <c r="D1369" s="88" t="s">
        <v>1396</v>
      </c>
      <c r="E1369" s="84" t="s">
        <v>3683</v>
      </c>
      <c r="F1369" s="84" t="s">
        <v>970</v>
      </c>
      <c r="G1369" s="84" t="s">
        <v>3581</v>
      </c>
      <c r="H1369" s="84" t="s">
        <v>3521</v>
      </c>
      <c r="I1369" s="84" t="s">
        <v>3684</v>
      </c>
      <c r="J1369" s="91"/>
      <c r="K1369" s="84" t="s">
        <v>111</v>
      </c>
      <c r="L1369" s="87">
        <v>744.0</v>
      </c>
      <c r="M1369" s="87">
        <v>0.0</v>
      </c>
      <c r="N1369" s="87">
        <v>0.0</v>
      </c>
      <c r="O1369" s="87">
        <v>0.0</v>
      </c>
      <c r="P1369" s="87">
        <v>0.0</v>
      </c>
      <c r="Q1369" s="87">
        <v>0.0</v>
      </c>
    </row>
    <row r="1370">
      <c r="A1370" s="84" t="s">
        <v>357</v>
      </c>
      <c r="B1370" s="194"/>
      <c r="C1370" s="84" t="s">
        <v>923</v>
      </c>
      <c r="D1370" s="88" t="s">
        <v>1396</v>
      </c>
      <c r="E1370" s="84" t="s">
        <v>3683</v>
      </c>
      <c r="F1370" s="84" t="s">
        <v>919</v>
      </c>
      <c r="G1370" s="84" t="s">
        <v>3739</v>
      </c>
      <c r="H1370" s="84" t="s">
        <v>3740</v>
      </c>
      <c r="I1370" s="84" t="s">
        <v>3709</v>
      </c>
      <c r="J1370" s="84" t="s">
        <v>130</v>
      </c>
      <c r="K1370" s="84" t="s">
        <v>111</v>
      </c>
      <c r="L1370" s="87">
        <v>864.0</v>
      </c>
      <c r="M1370" s="87">
        <v>0.0</v>
      </c>
      <c r="N1370" s="87">
        <v>0.0</v>
      </c>
      <c r="O1370" s="87">
        <v>0.0</v>
      </c>
      <c r="P1370" s="87">
        <v>0.0</v>
      </c>
      <c r="Q1370" s="87">
        <v>0.0</v>
      </c>
    </row>
    <row r="1371">
      <c r="A1371" s="84" t="s">
        <v>1130</v>
      </c>
      <c r="B1371" s="194"/>
      <c r="C1371" s="84" t="s">
        <v>1155</v>
      </c>
      <c r="D1371" s="88" t="s">
        <v>1396</v>
      </c>
      <c r="E1371" s="84" t="s">
        <v>3683</v>
      </c>
      <c r="F1371" s="84" t="s">
        <v>1142</v>
      </c>
      <c r="G1371" s="84" t="s">
        <v>3605</v>
      </c>
      <c r="H1371" s="84" t="s">
        <v>3521</v>
      </c>
      <c r="I1371" s="84" t="s">
        <v>3684</v>
      </c>
      <c r="J1371" s="84" t="s">
        <v>130</v>
      </c>
      <c r="K1371" s="91"/>
      <c r="L1371" s="87">
        <v>96.0</v>
      </c>
      <c r="M1371" s="87">
        <v>0.0</v>
      </c>
      <c r="N1371" s="87">
        <v>0.833333</v>
      </c>
      <c r="O1371" s="87">
        <v>0.0</v>
      </c>
      <c r="P1371" s="87">
        <v>0.0</v>
      </c>
      <c r="Q1371" s="87">
        <v>1.154507</v>
      </c>
    </row>
    <row r="1372">
      <c r="A1372" s="84" t="s">
        <v>573</v>
      </c>
      <c r="B1372" s="194"/>
      <c r="C1372" s="84" t="s">
        <v>580</v>
      </c>
      <c r="D1372" s="88" t="s">
        <v>1396</v>
      </c>
      <c r="E1372" s="84" t="s">
        <v>3683</v>
      </c>
      <c r="F1372" s="84" t="s">
        <v>581</v>
      </c>
      <c r="G1372" s="84" t="s">
        <v>3594</v>
      </c>
      <c r="H1372" s="84" t="s">
        <v>3527</v>
      </c>
      <c r="I1372" s="84" t="s">
        <v>3709</v>
      </c>
      <c r="J1372" s="91"/>
      <c r="K1372" s="91"/>
      <c r="L1372" s="87">
        <v>244.0</v>
      </c>
      <c r="M1372" s="87">
        <v>4.0</v>
      </c>
      <c r="N1372" s="87">
        <v>1.377141</v>
      </c>
      <c r="O1372" s="87">
        <v>4.461663</v>
      </c>
      <c r="P1372" s="87">
        <v>2.870301</v>
      </c>
      <c r="Q1372" s="87">
        <v>2.738649</v>
      </c>
    </row>
    <row r="1373">
      <c r="A1373" s="84" t="s">
        <v>458</v>
      </c>
      <c r="B1373" s="194"/>
      <c r="C1373" s="84" t="s">
        <v>465</v>
      </c>
      <c r="D1373" s="88" t="s">
        <v>1396</v>
      </c>
      <c r="E1373" s="84" t="s">
        <v>3683</v>
      </c>
      <c r="F1373" s="84" t="s">
        <v>457</v>
      </c>
      <c r="G1373" s="84" t="s">
        <v>3560</v>
      </c>
      <c r="I1373" s="84" t="s">
        <v>3684</v>
      </c>
      <c r="J1373" s="91"/>
      <c r="K1373" s="85"/>
      <c r="L1373" s="87">
        <v>552.0</v>
      </c>
      <c r="M1373" s="87">
        <v>0.0</v>
      </c>
      <c r="N1373" s="87">
        <v>0.0</v>
      </c>
      <c r="O1373" s="87">
        <v>0.0</v>
      </c>
      <c r="P1373" s="87">
        <v>0.0</v>
      </c>
      <c r="Q1373" s="87">
        <v>0.0</v>
      </c>
    </row>
    <row r="1374">
      <c r="A1374" s="84" t="s">
        <v>601</v>
      </c>
      <c r="B1374" s="194"/>
      <c r="C1374" s="84" t="s">
        <v>3662</v>
      </c>
      <c r="D1374" s="88" t="s">
        <v>1396</v>
      </c>
      <c r="E1374" s="84" t="s">
        <v>3683</v>
      </c>
      <c r="F1374" s="84" t="s">
        <v>4193</v>
      </c>
      <c r="G1374" s="84" t="s">
        <v>4194</v>
      </c>
      <c r="H1374" s="84" t="s">
        <v>3521</v>
      </c>
      <c r="I1374" s="84" t="s">
        <v>3684</v>
      </c>
      <c r="J1374" s="91"/>
      <c r="K1374" s="84" t="s">
        <v>111</v>
      </c>
      <c r="L1374" s="87">
        <v>312.0</v>
      </c>
      <c r="M1374" s="87">
        <v>0.0</v>
      </c>
      <c r="N1374" s="87">
        <v>0.181818</v>
      </c>
      <c r="O1374" s="87">
        <v>0.0</v>
      </c>
      <c r="P1374" s="87">
        <v>0.181818</v>
      </c>
      <c r="Q1374" s="87">
        <v>0.066667</v>
      </c>
    </row>
    <row r="1375">
      <c r="A1375" s="84" t="s">
        <v>644</v>
      </c>
      <c r="B1375" s="194"/>
      <c r="C1375" s="84" t="s">
        <v>1231</v>
      </c>
      <c r="D1375" s="88" t="s">
        <v>1396</v>
      </c>
      <c r="E1375" s="84" t="s">
        <v>3683</v>
      </c>
      <c r="F1375" s="84" t="s">
        <v>1232</v>
      </c>
      <c r="G1375" s="84" t="s">
        <v>3607</v>
      </c>
      <c r="H1375" s="84" t="s">
        <v>3521</v>
      </c>
      <c r="I1375" s="84" t="s">
        <v>3684</v>
      </c>
      <c r="J1375" s="84" t="s">
        <v>215</v>
      </c>
      <c r="L1375" s="87">
        <v>72.0</v>
      </c>
      <c r="M1375" s="87">
        <v>0.0</v>
      </c>
      <c r="N1375" s="87">
        <v>0.0</v>
      </c>
      <c r="O1375" s="87">
        <v>0.071429</v>
      </c>
      <c r="P1375" s="87">
        <v>0.066667</v>
      </c>
      <c r="Q1375" s="87">
        <v>0.059608</v>
      </c>
    </row>
    <row r="1376">
      <c r="A1376" s="84" t="s">
        <v>1130</v>
      </c>
      <c r="B1376" s="194"/>
      <c r="C1376" s="84" t="s">
        <v>1156</v>
      </c>
      <c r="D1376" s="88" t="s">
        <v>1396</v>
      </c>
      <c r="E1376" s="84" t="s">
        <v>3683</v>
      </c>
      <c r="F1376" s="84" t="s">
        <v>1142</v>
      </c>
      <c r="G1376" s="84" t="s">
        <v>3605</v>
      </c>
      <c r="H1376" s="84" t="s">
        <v>3521</v>
      </c>
      <c r="I1376" s="84" t="s">
        <v>3684</v>
      </c>
      <c r="J1376" s="84" t="s">
        <v>130</v>
      </c>
      <c r="K1376" s="84" t="s">
        <v>111</v>
      </c>
      <c r="L1376" s="87">
        <v>336.0</v>
      </c>
      <c r="M1376" s="87">
        <v>0.0</v>
      </c>
      <c r="N1376" s="87">
        <v>0.0</v>
      </c>
      <c r="O1376" s="87">
        <v>0.0</v>
      </c>
      <c r="P1376" s="87">
        <v>0.0</v>
      </c>
      <c r="Q1376" s="87">
        <v>0.0</v>
      </c>
    </row>
    <row r="1377">
      <c r="A1377" s="84" t="s">
        <v>74</v>
      </c>
      <c r="B1377" s="194"/>
      <c r="C1377" s="84" t="s">
        <v>1346</v>
      </c>
      <c r="D1377" s="88" t="s">
        <v>1396</v>
      </c>
      <c r="E1377" s="84" t="s">
        <v>3683</v>
      </c>
      <c r="F1377" s="84" t="s">
        <v>3796</v>
      </c>
      <c r="G1377" s="91"/>
      <c r="H1377" s="84" t="s">
        <v>3521</v>
      </c>
      <c r="I1377" s="84" t="s">
        <v>3684</v>
      </c>
      <c r="J1377" s="84" t="s">
        <v>130</v>
      </c>
      <c r="K1377" s="91"/>
      <c r="L1377" s="87">
        <v>24.0</v>
      </c>
      <c r="M1377" s="87">
        <v>0.0</v>
      </c>
      <c r="N1377" s="87">
        <v>0.0</v>
      </c>
      <c r="O1377" s="87">
        <v>0.0</v>
      </c>
      <c r="P1377" s="87">
        <v>0.0</v>
      </c>
      <c r="Q1377" s="87">
        <v>0.0</v>
      </c>
    </row>
    <row r="1378">
      <c r="A1378" s="84" t="s">
        <v>393</v>
      </c>
      <c r="B1378" s="194"/>
      <c r="C1378" s="84" t="s">
        <v>437</v>
      </c>
      <c r="D1378" s="88" t="s">
        <v>1396</v>
      </c>
      <c r="E1378" s="84" t="s">
        <v>3683</v>
      </c>
      <c r="F1378" s="84" t="s">
        <v>397</v>
      </c>
      <c r="G1378" s="84" t="s">
        <v>3698</v>
      </c>
      <c r="H1378" s="84" t="s">
        <v>3521</v>
      </c>
      <c r="I1378" s="84" t="s">
        <v>3693</v>
      </c>
      <c r="J1378" s="84" t="s">
        <v>130</v>
      </c>
      <c r="K1378" s="84" t="s">
        <v>111</v>
      </c>
      <c r="L1378" s="87">
        <v>24.0</v>
      </c>
      <c r="M1378" s="87">
        <v>0.0</v>
      </c>
      <c r="N1378" s="87">
        <v>0.0</v>
      </c>
      <c r="O1378" s="87">
        <v>0.0</v>
      </c>
      <c r="P1378" s="87">
        <v>0.0</v>
      </c>
      <c r="Q1378" s="87">
        <v>0.0</v>
      </c>
    </row>
    <row r="1379">
      <c r="A1379" s="84" t="s">
        <v>264</v>
      </c>
      <c r="B1379" s="194"/>
      <c r="C1379" s="84" t="s">
        <v>294</v>
      </c>
      <c r="D1379" s="88" t="s">
        <v>1396</v>
      </c>
      <c r="E1379" s="84" t="s">
        <v>3687</v>
      </c>
      <c r="F1379" s="84" t="s">
        <v>295</v>
      </c>
      <c r="G1379" s="84" t="s">
        <v>3564</v>
      </c>
      <c r="H1379" s="84" t="s">
        <v>3521</v>
      </c>
      <c r="I1379" s="84" t="s">
        <v>3684</v>
      </c>
      <c r="J1379" s="84" t="s">
        <v>130</v>
      </c>
      <c r="K1379" s="91"/>
      <c r="L1379" s="87">
        <v>24.0</v>
      </c>
      <c r="M1379" s="87">
        <v>0.0</v>
      </c>
      <c r="N1379" s="87">
        <v>0.0</v>
      </c>
      <c r="O1379" s="87">
        <v>0.071429</v>
      </c>
      <c r="P1379" s="87">
        <v>0.033333</v>
      </c>
      <c r="Q1379" s="87">
        <v>0.016667</v>
      </c>
    </row>
    <row r="1380">
      <c r="A1380" s="84" t="s">
        <v>231</v>
      </c>
      <c r="B1380" s="194"/>
      <c r="C1380" s="84" t="s">
        <v>877</v>
      </c>
      <c r="D1380" s="88" t="s">
        <v>1396</v>
      </c>
      <c r="E1380" s="84" t="s">
        <v>3687</v>
      </c>
      <c r="F1380" s="84" t="s">
        <v>878</v>
      </c>
      <c r="G1380" s="84" t="s">
        <v>3555</v>
      </c>
      <c r="H1380" s="84" t="s">
        <v>3521</v>
      </c>
      <c r="I1380" s="84" t="s">
        <v>3693</v>
      </c>
      <c r="J1380" s="91"/>
      <c r="K1380" s="84" t="s">
        <v>111</v>
      </c>
      <c r="L1380" s="87">
        <v>48.0</v>
      </c>
      <c r="M1380" s="87">
        <v>0.0</v>
      </c>
      <c r="N1380" s="87">
        <v>0.0</v>
      </c>
      <c r="O1380" s="87">
        <v>0.0</v>
      </c>
      <c r="P1380" s="87">
        <v>0.0</v>
      </c>
      <c r="Q1380" s="87">
        <v>0.0</v>
      </c>
    </row>
    <row r="1381">
      <c r="A1381" s="84" t="s">
        <v>630</v>
      </c>
      <c r="B1381" s="194"/>
      <c r="C1381" s="84" t="s">
        <v>1090</v>
      </c>
      <c r="D1381" s="88" t="s">
        <v>1396</v>
      </c>
      <c r="E1381" s="84" t="s">
        <v>3683</v>
      </c>
      <c r="F1381" s="84" t="s">
        <v>1091</v>
      </c>
      <c r="G1381" s="84" t="s">
        <v>3601</v>
      </c>
      <c r="H1381" s="84" t="s">
        <v>3521</v>
      </c>
      <c r="I1381" s="84" t="s">
        <v>3684</v>
      </c>
      <c r="J1381" s="91"/>
      <c r="K1381" s="85"/>
      <c r="L1381" s="87">
        <v>43.0</v>
      </c>
      <c r="M1381" s="87">
        <v>4.0</v>
      </c>
      <c r="N1381" s="87">
        <v>1.158009</v>
      </c>
      <c r="O1381" s="87">
        <v>6.784083</v>
      </c>
      <c r="P1381" s="87">
        <v>5.194739</v>
      </c>
      <c r="Q1381" s="87">
        <v>5.060929</v>
      </c>
    </row>
    <row r="1382">
      <c r="A1382" s="84" t="s">
        <v>180</v>
      </c>
      <c r="B1382" s="194"/>
      <c r="C1382" s="84" t="s">
        <v>189</v>
      </c>
      <c r="D1382" s="88" t="s">
        <v>1396</v>
      </c>
      <c r="E1382" s="84" t="s">
        <v>3683</v>
      </c>
      <c r="F1382" s="84" t="s">
        <v>190</v>
      </c>
      <c r="G1382" s="84" t="s">
        <v>3708</v>
      </c>
      <c r="H1382" s="84" t="s">
        <v>3521</v>
      </c>
      <c r="I1382" s="84" t="s">
        <v>3709</v>
      </c>
      <c r="J1382" s="91"/>
      <c r="K1382" s="84" t="s">
        <v>111</v>
      </c>
      <c r="L1382" s="87">
        <v>192.0</v>
      </c>
      <c r="M1382" s="87">
        <v>0.0</v>
      </c>
      <c r="N1382" s="87">
        <v>0.433766</v>
      </c>
      <c r="O1382" s="87">
        <v>0.0</v>
      </c>
      <c r="P1382" s="87">
        <v>0.0</v>
      </c>
      <c r="Q1382" s="87">
        <v>0.433766</v>
      </c>
    </row>
    <row r="1383">
      <c r="A1383" s="84" t="s">
        <v>644</v>
      </c>
      <c r="B1383" s="194"/>
      <c r="C1383" s="84" t="s">
        <v>690</v>
      </c>
      <c r="D1383" s="88" t="s">
        <v>1396</v>
      </c>
      <c r="E1383" s="84" t="s">
        <v>3683</v>
      </c>
      <c r="F1383" s="84" t="s">
        <v>686</v>
      </c>
      <c r="G1383" s="84" t="s">
        <v>3607</v>
      </c>
      <c r="H1383" s="84" t="s">
        <v>3521</v>
      </c>
      <c r="I1383" s="84" t="s">
        <v>3684</v>
      </c>
      <c r="J1383" s="84" t="s">
        <v>215</v>
      </c>
      <c r="K1383" s="84" t="s">
        <v>111</v>
      </c>
      <c r="L1383" s="87">
        <v>72.0</v>
      </c>
      <c r="M1383" s="87">
        <v>0.0</v>
      </c>
      <c r="N1383" s="87">
        <v>0.125</v>
      </c>
      <c r="O1383" s="87">
        <v>0.125</v>
      </c>
      <c r="P1383" s="87">
        <v>0.085145</v>
      </c>
      <c r="Q1383" s="87">
        <v>0.056254</v>
      </c>
    </row>
    <row r="1384">
      <c r="A1384" s="84" t="s">
        <v>644</v>
      </c>
      <c r="B1384" s="194"/>
      <c r="C1384" s="84" t="s">
        <v>731</v>
      </c>
      <c r="D1384" s="88" t="s">
        <v>1396</v>
      </c>
      <c r="E1384" s="84" t="s">
        <v>3683</v>
      </c>
      <c r="F1384" s="84" t="s">
        <v>729</v>
      </c>
      <c r="G1384" s="84" t="s">
        <v>3752</v>
      </c>
      <c r="H1384" s="84" t="s">
        <v>3521</v>
      </c>
      <c r="I1384" s="84" t="s">
        <v>3684</v>
      </c>
      <c r="J1384" s="84" t="s">
        <v>130</v>
      </c>
      <c r="K1384" s="85"/>
      <c r="L1384" s="87">
        <v>24.0</v>
      </c>
      <c r="M1384" s="87">
        <v>0.0</v>
      </c>
      <c r="N1384" s="87">
        <v>0.0</v>
      </c>
      <c r="O1384" s="87">
        <v>0.0</v>
      </c>
      <c r="P1384" s="87">
        <v>0.0</v>
      </c>
      <c r="Q1384" s="87">
        <v>0.0</v>
      </c>
    </row>
    <row r="1385">
      <c r="A1385" s="84" t="s">
        <v>573</v>
      </c>
      <c r="B1385" s="194"/>
      <c r="C1385" s="84" t="s">
        <v>571</v>
      </c>
      <c r="D1385" s="88" t="s">
        <v>1396</v>
      </c>
      <c r="E1385" s="84" t="s">
        <v>3683</v>
      </c>
      <c r="F1385" s="84" t="s">
        <v>572</v>
      </c>
      <c r="G1385" s="84" t="s">
        <v>3778</v>
      </c>
      <c r="H1385" s="84" t="s">
        <v>3521</v>
      </c>
      <c r="I1385" s="84" t="s">
        <v>3709</v>
      </c>
      <c r="J1385" s="84" t="s">
        <v>130</v>
      </c>
      <c r="K1385" s="85"/>
      <c r="L1385" s="87">
        <v>48.0</v>
      </c>
      <c r="M1385" s="87">
        <v>0.0</v>
      </c>
      <c r="N1385" s="87">
        <v>0.0</v>
      </c>
      <c r="O1385" s="87">
        <v>0.0</v>
      </c>
      <c r="P1385" s="87">
        <v>0.0</v>
      </c>
      <c r="Q1385" s="87">
        <v>0.0</v>
      </c>
    </row>
    <row r="1386">
      <c r="A1386" s="84" t="s">
        <v>644</v>
      </c>
      <c r="B1386" s="194"/>
      <c r="C1386" s="84" t="s">
        <v>736</v>
      </c>
      <c r="D1386" s="88" t="s">
        <v>1396</v>
      </c>
      <c r="E1386" s="84" t="s">
        <v>3683</v>
      </c>
      <c r="F1386" s="84" t="s">
        <v>737</v>
      </c>
      <c r="G1386" s="84" t="s">
        <v>3696</v>
      </c>
      <c r="H1386" s="84" t="s">
        <v>3521</v>
      </c>
      <c r="I1386" s="84" t="s">
        <v>3684</v>
      </c>
      <c r="J1386" s="84" t="s">
        <v>130</v>
      </c>
      <c r="K1386" s="85"/>
      <c r="L1386" s="87">
        <v>72.0</v>
      </c>
      <c r="M1386" s="87">
        <v>0.0</v>
      </c>
      <c r="N1386" s="87">
        <v>7.333333</v>
      </c>
      <c r="O1386" s="87">
        <v>0.0</v>
      </c>
      <c r="P1386" s="87">
        <v>0.0</v>
      </c>
      <c r="Q1386" s="87">
        <v>7.333333</v>
      </c>
    </row>
    <row r="1387">
      <c r="A1387" s="84" t="s">
        <v>180</v>
      </c>
      <c r="B1387" s="194"/>
      <c r="C1387" s="84" t="s">
        <v>829</v>
      </c>
      <c r="D1387" s="88" t="s">
        <v>1396</v>
      </c>
      <c r="E1387" s="84" t="s">
        <v>3683</v>
      </c>
      <c r="F1387" s="84" t="s">
        <v>830</v>
      </c>
      <c r="G1387" s="84" t="s">
        <v>3549</v>
      </c>
      <c r="H1387" s="84" t="s">
        <v>3507</v>
      </c>
      <c r="I1387" s="84" t="s">
        <v>3684</v>
      </c>
      <c r="J1387" s="91"/>
      <c r="K1387" s="85"/>
      <c r="L1387" s="87">
        <v>24.0</v>
      </c>
      <c r="M1387" s="87">
        <v>0.0</v>
      </c>
      <c r="N1387" s="87">
        <v>0.0</v>
      </c>
      <c r="O1387" s="87">
        <v>0.333333</v>
      </c>
      <c r="P1387" s="87">
        <v>0.333333</v>
      </c>
      <c r="Q1387" s="87">
        <v>0.333333</v>
      </c>
    </row>
    <row r="1388">
      <c r="A1388" s="84" t="s">
        <v>761</v>
      </c>
      <c r="B1388" s="194"/>
      <c r="C1388" s="84" t="s">
        <v>759</v>
      </c>
      <c r="D1388" s="88" t="s">
        <v>1396</v>
      </c>
      <c r="E1388" s="84" t="s">
        <v>3683</v>
      </c>
      <c r="F1388" s="84" t="s">
        <v>760</v>
      </c>
      <c r="G1388" s="84" t="s">
        <v>4015</v>
      </c>
      <c r="H1388" s="84" t="s">
        <v>3507</v>
      </c>
      <c r="I1388" s="84" t="s">
        <v>3684</v>
      </c>
      <c r="J1388" s="84" t="s">
        <v>130</v>
      </c>
      <c r="K1388" s="84" t="s">
        <v>111</v>
      </c>
      <c r="L1388" s="87">
        <v>24.0</v>
      </c>
      <c r="M1388" s="87">
        <v>0.0</v>
      </c>
      <c r="N1388" s="87">
        <v>0.070197</v>
      </c>
      <c r="O1388" s="87">
        <v>0.0</v>
      </c>
      <c r="P1388" s="87">
        <v>0.0</v>
      </c>
      <c r="Q1388" s="87">
        <v>0.070197</v>
      </c>
    </row>
    <row r="1389">
      <c r="A1389" s="84" t="s">
        <v>537</v>
      </c>
      <c r="B1389" s="194"/>
      <c r="C1389" s="84" t="s">
        <v>1049</v>
      </c>
      <c r="D1389" s="88" t="s">
        <v>1396</v>
      </c>
      <c r="E1389" s="84" t="s">
        <v>3683</v>
      </c>
      <c r="F1389" s="84" t="s">
        <v>1047</v>
      </c>
      <c r="G1389" s="84" t="s">
        <v>3592</v>
      </c>
      <c r="H1389" s="84" t="s">
        <v>3521</v>
      </c>
      <c r="I1389" s="84" t="s">
        <v>3693</v>
      </c>
      <c r="J1389" s="84" t="s">
        <v>130</v>
      </c>
      <c r="K1389" s="85"/>
      <c r="L1389" s="87">
        <v>24.0</v>
      </c>
      <c r="M1389" s="87">
        <v>0.0</v>
      </c>
      <c r="N1389" s="87">
        <v>0.0</v>
      </c>
      <c r="O1389" s="87">
        <v>0.0</v>
      </c>
      <c r="P1389" s="87">
        <v>0.0</v>
      </c>
      <c r="Q1389" s="87">
        <v>0.0</v>
      </c>
    </row>
    <row r="1390">
      <c r="A1390" s="84" t="s">
        <v>616</v>
      </c>
      <c r="B1390" s="194"/>
      <c r="C1390" s="84" t="s">
        <v>614</v>
      </c>
      <c r="D1390" s="88" t="s">
        <v>1396</v>
      </c>
      <c r="E1390" s="84" t="s">
        <v>3683</v>
      </c>
      <c r="F1390" s="84" t="s">
        <v>615</v>
      </c>
      <c r="G1390" s="84" t="s">
        <v>3563</v>
      </c>
      <c r="H1390" s="84" t="s">
        <v>3521</v>
      </c>
      <c r="I1390" s="84" t="s">
        <v>3684</v>
      </c>
      <c r="J1390" s="84" t="s">
        <v>130</v>
      </c>
      <c r="K1390" s="91"/>
      <c r="L1390" s="87">
        <v>24.0</v>
      </c>
      <c r="M1390" s="87">
        <v>0.0</v>
      </c>
      <c r="N1390" s="87">
        <v>0.0</v>
      </c>
      <c r="O1390" s="87">
        <v>0.0</v>
      </c>
      <c r="P1390" s="87">
        <v>0.0</v>
      </c>
      <c r="Q1390" s="87">
        <v>0.0</v>
      </c>
    </row>
    <row r="1391">
      <c r="A1391" s="84" t="s">
        <v>644</v>
      </c>
      <c r="B1391" s="194"/>
      <c r="C1391" s="84" t="s">
        <v>1165</v>
      </c>
      <c r="D1391" s="88" t="s">
        <v>1396</v>
      </c>
      <c r="E1391" s="84" t="s">
        <v>3683</v>
      </c>
      <c r="F1391" s="84" t="s">
        <v>1166</v>
      </c>
      <c r="G1391" s="84" t="s">
        <v>3564</v>
      </c>
      <c r="H1391" s="84" t="s">
        <v>3521</v>
      </c>
      <c r="I1391" s="84" t="s">
        <v>3684</v>
      </c>
      <c r="J1391" s="84" t="s">
        <v>130</v>
      </c>
      <c r="K1391" s="91"/>
      <c r="L1391" s="87">
        <v>24.0</v>
      </c>
      <c r="M1391" s="87">
        <v>0.0</v>
      </c>
      <c r="N1391" s="87">
        <v>0.0</v>
      </c>
      <c r="O1391" s="87">
        <v>0.0</v>
      </c>
      <c r="P1391" s="87">
        <v>0.0</v>
      </c>
      <c r="Q1391" s="87">
        <v>0.0</v>
      </c>
    </row>
    <row r="1392">
      <c r="A1392" s="84" t="s">
        <v>444</v>
      </c>
      <c r="B1392" s="194"/>
      <c r="C1392" s="84" t="s">
        <v>956</v>
      </c>
      <c r="D1392" s="88" t="s">
        <v>1396</v>
      </c>
      <c r="E1392" s="84" t="s">
        <v>3683</v>
      </c>
      <c r="F1392" s="84" t="s">
        <v>957</v>
      </c>
      <c r="G1392" s="84" t="s">
        <v>3579</v>
      </c>
      <c r="H1392" s="84" t="s">
        <v>3521</v>
      </c>
      <c r="I1392" s="84" t="s">
        <v>3684</v>
      </c>
      <c r="J1392" s="84" t="s">
        <v>130</v>
      </c>
      <c r="K1392" s="91"/>
      <c r="L1392" s="87">
        <v>24.0</v>
      </c>
      <c r="M1392" s="87">
        <v>0.0</v>
      </c>
      <c r="N1392" s="87">
        <v>0.0</v>
      </c>
      <c r="O1392" s="87">
        <v>0.0</v>
      </c>
      <c r="P1392" s="87">
        <v>0.0</v>
      </c>
      <c r="Q1392" s="87">
        <v>0.0</v>
      </c>
    </row>
    <row r="1393">
      <c r="A1393" s="84" t="s">
        <v>644</v>
      </c>
      <c r="B1393" s="194"/>
      <c r="C1393" s="84" t="s">
        <v>681</v>
      </c>
      <c r="D1393" s="88" t="s">
        <v>1396</v>
      </c>
      <c r="E1393" s="84" t="s">
        <v>3683</v>
      </c>
      <c r="F1393" s="84" t="s">
        <v>682</v>
      </c>
      <c r="G1393" s="84" t="s">
        <v>3563</v>
      </c>
      <c r="H1393" s="84" t="s">
        <v>3521</v>
      </c>
      <c r="I1393" s="84" t="s">
        <v>3684</v>
      </c>
      <c r="J1393" s="84" t="s">
        <v>215</v>
      </c>
      <c r="L1393" s="87">
        <v>576.0</v>
      </c>
      <c r="M1393" s="87">
        <v>0.0</v>
      </c>
      <c r="N1393" s="87">
        <v>3.768787</v>
      </c>
      <c r="O1393" s="87">
        <v>0.321429</v>
      </c>
      <c r="P1393" s="87">
        <v>2.458333</v>
      </c>
      <c r="Q1393" s="87">
        <v>3.845676</v>
      </c>
    </row>
    <row r="1394">
      <c r="A1394" s="84" t="s">
        <v>644</v>
      </c>
      <c r="B1394" s="194"/>
      <c r="C1394" s="84" t="s">
        <v>704</v>
      </c>
      <c r="D1394" s="88" t="s">
        <v>1396</v>
      </c>
      <c r="E1394" s="84" t="s">
        <v>3683</v>
      </c>
      <c r="F1394" s="84" t="s">
        <v>686</v>
      </c>
      <c r="G1394" s="84" t="s">
        <v>3607</v>
      </c>
      <c r="H1394" s="84" t="s">
        <v>3521</v>
      </c>
      <c r="I1394" s="84" t="s">
        <v>3684</v>
      </c>
      <c r="J1394" s="84" t="s">
        <v>215</v>
      </c>
      <c r="L1394" s="87">
        <v>144.0</v>
      </c>
      <c r="M1394" s="87">
        <v>0.0</v>
      </c>
      <c r="N1394" s="87">
        <v>0.214286</v>
      </c>
      <c r="O1394" s="87">
        <v>0.214286</v>
      </c>
      <c r="P1394" s="87">
        <v>0.347619</v>
      </c>
      <c r="Q1394" s="87">
        <v>0.213636</v>
      </c>
    </row>
    <row r="1395">
      <c r="A1395" s="84" t="s">
        <v>616</v>
      </c>
      <c r="B1395" s="194"/>
      <c r="C1395" s="84" t="s">
        <v>1083</v>
      </c>
      <c r="D1395" s="88" t="s">
        <v>1396</v>
      </c>
      <c r="E1395" s="84" t="s">
        <v>3683</v>
      </c>
      <c r="F1395" s="84" t="s">
        <v>1075</v>
      </c>
      <c r="G1395" s="84" t="s">
        <v>3542</v>
      </c>
      <c r="H1395" s="84" t="s">
        <v>3521</v>
      </c>
      <c r="I1395" s="84" t="s">
        <v>3684</v>
      </c>
      <c r="J1395" s="91"/>
      <c r="K1395" s="84" t="s">
        <v>111</v>
      </c>
      <c r="L1395" s="87">
        <v>456.0</v>
      </c>
      <c r="M1395" s="87">
        <v>0.0</v>
      </c>
      <c r="N1395" s="87">
        <v>0.333333</v>
      </c>
      <c r="O1395" s="87">
        <v>0.071429</v>
      </c>
      <c r="P1395" s="87">
        <v>0.047619</v>
      </c>
      <c r="Q1395" s="87">
        <v>0.380952</v>
      </c>
    </row>
    <row r="1396">
      <c r="A1396" s="84" t="s">
        <v>481</v>
      </c>
      <c r="B1396" s="194"/>
      <c r="C1396" s="84" t="s">
        <v>531</v>
      </c>
      <c r="D1396" s="88" t="s">
        <v>1396</v>
      </c>
      <c r="E1396" s="84" t="s">
        <v>3683</v>
      </c>
      <c r="F1396" s="84" t="s">
        <v>526</v>
      </c>
      <c r="G1396" s="84" t="s">
        <v>3593</v>
      </c>
      <c r="H1396" s="84" t="s">
        <v>3521</v>
      </c>
      <c r="I1396" s="84" t="s">
        <v>3684</v>
      </c>
      <c r="J1396" s="84" t="s">
        <v>130</v>
      </c>
      <c r="K1396" s="85"/>
      <c r="L1396" s="87">
        <v>24.0</v>
      </c>
      <c r="M1396" s="87">
        <v>0.0</v>
      </c>
      <c r="N1396" s="87">
        <v>0.0</v>
      </c>
      <c r="O1396" s="87">
        <v>0.0</v>
      </c>
      <c r="P1396" s="87">
        <v>0.033333</v>
      </c>
      <c r="Q1396" s="87">
        <v>0.016667</v>
      </c>
    </row>
    <row r="1397">
      <c r="A1397" s="84" t="s">
        <v>439</v>
      </c>
      <c r="B1397" s="194"/>
      <c r="C1397" s="84" t="s">
        <v>1297</v>
      </c>
      <c r="D1397" s="88" t="s">
        <v>1396</v>
      </c>
      <c r="E1397" s="84" t="s">
        <v>3683</v>
      </c>
      <c r="F1397" s="84" t="s">
        <v>4205</v>
      </c>
      <c r="G1397" s="84" t="s">
        <v>3715</v>
      </c>
      <c r="H1397" s="84" t="s">
        <v>3521</v>
      </c>
      <c r="I1397" s="84" t="s">
        <v>3684</v>
      </c>
      <c r="J1397" s="91"/>
      <c r="K1397" s="84" t="s">
        <v>111</v>
      </c>
      <c r="L1397" s="87">
        <v>552.0</v>
      </c>
      <c r="M1397" s="87">
        <v>0.0</v>
      </c>
      <c r="N1397" s="87">
        <v>0.0</v>
      </c>
      <c r="O1397" s="87">
        <v>0.0</v>
      </c>
      <c r="P1397" s="87">
        <v>0.0</v>
      </c>
      <c r="Q1397" s="87">
        <v>0.0</v>
      </c>
    </row>
    <row r="1398">
      <c r="A1398" s="84" t="s">
        <v>644</v>
      </c>
      <c r="B1398" s="194"/>
      <c r="C1398" s="84" t="s">
        <v>722</v>
      </c>
      <c r="D1398" s="88" t="s">
        <v>1396</v>
      </c>
      <c r="E1398" s="84" t="s">
        <v>3687</v>
      </c>
      <c r="F1398" s="84" t="s">
        <v>719</v>
      </c>
      <c r="G1398" s="84" t="s">
        <v>3607</v>
      </c>
      <c r="H1398" s="84" t="s">
        <v>3521</v>
      </c>
      <c r="I1398" s="84" t="s">
        <v>3684</v>
      </c>
      <c r="J1398" s="84" t="s">
        <v>215</v>
      </c>
      <c r="K1398" s="84" t="s">
        <v>111</v>
      </c>
      <c r="L1398" s="87">
        <v>96.0</v>
      </c>
      <c r="M1398" s="87">
        <v>0.0</v>
      </c>
      <c r="N1398" s="87">
        <v>0.026316</v>
      </c>
      <c r="O1398" s="87">
        <v>0.0</v>
      </c>
      <c r="P1398" s="87">
        <v>0.0</v>
      </c>
      <c r="Q1398" s="87">
        <v>0.026316</v>
      </c>
    </row>
    <row r="1399">
      <c r="A1399" s="84" t="s">
        <v>644</v>
      </c>
      <c r="B1399" s="194"/>
      <c r="C1399" s="84" t="s">
        <v>642</v>
      </c>
      <c r="D1399" s="88" t="s">
        <v>1396</v>
      </c>
      <c r="E1399" s="84" t="s">
        <v>3683</v>
      </c>
      <c r="F1399" s="84" t="s">
        <v>643</v>
      </c>
      <c r="G1399" s="84" t="s">
        <v>3734</v>
      </c>
      <c r="I1399" s="84" t="s">
        <v>3684</v>
      </c>
      <c r="J1399" s="91"/>
      <c r="K1399" s="91"/>
      <c r="L1399" s="87">
        <v>144.0</v>
      </c>
      <c r="M1399" s="87">
        <v>0.0</v>
      </c>
      <c r="N1399" s="87">
        <v>0.0</v>
      </c>
      <c r="O1399" s="87">
        <v>0.0</v>
      </c>
      <c r="P1399" s="87">
        <v>0.0</v>
      </c>
      <c r="Q1399" s="87">
        <v>0.0</v>
      </c>
    </row>
    <row r="1400">
      <c r="A1400" s="84" t="s">
        <v>644</v>
      </c>
      <c r="B1400" s="194"/>
      <c r="C1400" s="84" t="s">
        <v>722</v>
      </c>
      <c r="D1400" s="88" t="s">
        <v>1396</v>
      </c>
      <c r="E1400" s="84" t="s">
        <v>3687</v>
      </c>
      <c r="F1400" s="84" t="s">
        <v>719</v>
      </c>
      <c r="G1400" s="84" t="s">
        <v>3607</v>
      </c>
      <c r="H1400" s="84" t="s">
        <v>3521</v>
      </c>
      <c r="I1400" s="84" t="s">
        <v>3684</v>
      </c>
      <c r="J1400" s="84" t="s">
        <v>130</v>
      </c>
      <c r="K1400" s="85"/>
      <c r="L1400" s="87">
        <v>72.0</v>
      </c>
      <c r="M1400" s="87">
        <v>0.0</v>
      </c>
      <c r="N1400" s="87">
        <v>0.0</v>
      </c>
      <c r="O1400" s="87">
        <v>0.0</v>
      </c>
      <c r="P1400" s="87">
        <v>0.0</v>
      </c>
      <c r="Q1400" s="87">
        <v>0.0</v>
      </c>
    </row>
    <row r="1401">
      <c r="A1401" s="84" t="s">
        <v>180</v>
      </c>
      <c r="B1401" s="194"/>
      <c r="C1401" s="84" t="s">
        <v>205</v>
      </c>
      <c r="D1401" s="88" t="s">
        <v>1396</v>
      </c>
      <c r="E1401" s="91"/>
      <c r="F1401" s="84" t="s">
        <v>201</v>
      </c>
      <c r="G1401" s="84" t="s">
        <v>3727</v>
      </c>
      <c r="I1401" s="84" t="s">
        <v>3684</v>
      </c>
      <c r="J1401" s="91"/>
      <c r="K1401" s="85"/>
      <c r="L1401" s="87">
        <v>552.0</v>
      </c>
      <c r="M1401" s="87">
        <v>0.0</v>
      </c>
      <c r="N1401" s="87">
        <v>0.0</v>
      </c>
      <c r="O1401" s="87">
        <v>0.0</v>
      </c>
      <c r="P1401" s="87">
        <v>0.0</v>
      </c>
      <c r="Q1401" s="87">
        <v>0.0</v>
      </c>
    </row>
    <row r="1402">
      <c r="A1402" s="84" t="s">
        <v>644</v>
      </c>
      <c r="B1402" s="194"/>
      <c r="C1402" s="84" t="s">
        <v>1187</v>
      </c>
      <c r="D1402" s="88" t="s">
        <v>1396</v>
      </c>
      <c r="E1402" s="84" t="s">
        <v>3683</v>
      </c>
      <c r="F1402" s="84" t="s">
        <v>1188</v>
      </c>
      <c r="G1402" s="84" t="s">
        <v>3600</v>
      </c>
      <c r="H1402" s="84" t="s">
        <v>3521</v>
      </c>
      <c r="I1402" s="84" t="s">
        <v>3684</v>
      </c>
      <c r="J1402" s="84" t="s">
        <v>130</v>
      </c>
      <c r="K1402" s="85"/>
      <c r="L1402" s="87">
        <v>192.0</v>
      </c>
      <c r="M1402" s="87">
        <v>0.0</v>
      </c>
      <c r="N1402" s="87">
        <v>2.283362</v>
      </c>
      <c r="O1402" s="87">
        <v>0.303114</v>
      </c>
      <c r="P1402" s="87">
        <v>1.108292</v>
      </c>
      <c r="Q1402" s="87">
        <v>2.475113</v>
      </c>
    </row>
    <row r="1403">
      <c r="A1403" s="84" t="s">
        <v>573</v>
      </c>
      <c r="B1403" s="194"/>
      <c r="C1403" s="84" t="s">
        <v>580</v>
      </c>
      <c r="D1403" s="88" t="s">
        <v>1396</v>
      </c>
      <c r="E1403" s="84" t="s">
        <v>3683</v>
      </c>
      <c r="F1403" s="84" t="s">
        <v>581</v>
      </c>
      <c r="G1403" s="84" t="s">
        <v>3594</v>
      </c>
      <c r="H1403" s="84" t="s">
        <v>3527</v>
      </c>
      <c r="I1403" s="84" t="s">
        <v>3709</v>
      </c>
      <c r="J1403" s="84" t="s">
        <v>130</v>
      </c>
      <c r="K1403" s="85"/>
      <c r="L1403" s="87">
        <v>192.0</v>
      </c>
      <c r="M1403" s="87">
        <v>0.0</v>
      </c>
      <c r="N1403" s="87">
        <v>1.06567</v>
      </c>
      <c r="O1403" s="87">
        <v>0.0</v>
      </c>
      <c r="P1403" s="87">
        <v>0.932251</v>
      </c>
      <c r="Q1403" s="87">
        <v>0.947558</v>
      </c>
    </row>
    <row r="1404">
      <c r="A1404" s="84" t="s">
        <v>481</v>
      </c>
      <c r="B1404" s="194"/>
      <c r="C1404" s="84" t="s">
        <v>997</v>
      </c>
      <c r="D1404" s="88" t="s">
        <v>1396</v>
      </c>
      <c r="E1404" s="84" t="s">
        <v>3683</v>
      </c>
      <c r="F1404" s="84" t="s">
        <v>989</v>
      </c>
      <c r="G1404" s="84" t="s">
        <v>3585</v>
      </c>
      <c r="H1404" s="84" t="s">
        <v>3521</v>
      </c>
      <c r="I1404" s="84" t="s">
        <v>3684</v>
      </c>
      <c r="J1404" s="91"/>
      <c r="K1404" s="91"/>
      <c r="L1404" s="87">
        <v>184.0</v>
      </c>
      <c r="M1404" s="87">
        <v>4.0</v>
      </c>
      <c r="N1404" s="87">
        <v>1.877173</v>
      </c>
      <c r="O1404" s="87">
        <v>3.813137</v>
      </c>
      <c r="P1404" s="87">
        <v>3.613874</v>
      </c>
      <c r="Q1404" s="87">
        <v>3.131129</v>
      </c>
    </row>
    <row r="1405">
      <c r="A1405" s="84" t="s">
        <v>439</v>
      </c>
      <c r="B1405" s="194"/>
      <c r="C1405" s="84" t="s">
        <v>1298</v>
      </c>
      <c r="D1405" s="88" t="s">
        <v>1396</v>
      </c>
      <c r="E1405" s="84" t="s">
        <v>3683</v>
      </c>
      <c r="F1405" s="84" t="s">
        <v>4205</v>
      </c>
      <c r="G1405" s="84" t="s">
        <v>3715</v>
      </c>
      <c r="H1405" s="84" t="s">
        <v>3521</v>
      </c>
      <c r="I1405" s="84" t="s">
        <v>3684</v>
      </c>
      <c r="J1405" s="91"/>
      <c r="K1405" s="84" t="s">
        <v>111</v>
      </c>
      <c r="L1405" s="87">
        <v>552.0</v>
      </c>
      <c r="M1405" s="87">
        <v>0.0</v>
      </c>
      <c r="N1405" s="87">
        <v>0.0</v>
      </c>
      <c r="O1405" s="87">
        <v>0.0</v>
      </c>
      <c r="P1405" s="87">
        <v>0.0</v>
      </c>
      <c r="Q1405" s="87">
        <v>0.0</v>
      </c>
    </row>
    <row r="1406">
      <c r="A1406" s="84" t="s">
        <v>644</v>
      </c>
      <c r="B1406" s="194"/>
      <c r="C1406" s="84" t="s">
        <v>689</v>
      </c>
      <c r="D1406" s="88" t="s">
        <v>1396</v>
      </c>
      <c r="E1406" s="84" t="s">
        <v>3683</v>
      </c>
      <c r="F1406" s="84" t="s">
        <v>686</v>
      </c>
      <c r="G1406" s="84" t="s">
        <v>3607</v>
      </c>
      <c r="H1406" s="84" t="s">
        <v>3521</v>
      </c>
      <c r="I1406" s="84" t="s">
        <v>3684</v>
      </c>
      <c r="J1406" s="84" t="s">
        <v>215</v>
      </c>
      <c r="K1406" s="84" t="s">
        <v>111</v>
      </c>
      <c r="L1406" s="87">
        <v>72.0</v>
      </c>
      <c r="M1406" s="87">
        <v>0.0</v>
      </c>
      <c r="N1406" s="87">
        <v>0.0</v>
      </c>
      <c r="O1406" s="87">
        <v>0.0</v>
      </c>
      <c r="P1406" s="87">
        <v>0.0</v>
      </c>
      <c r="Q1406" s="87">
        <v>0.0</v>
      </c>
    </row>
    <row r="1407">
      <c r="A1407" s="84" t="s">
        <v>180</v>
      </c>
      <c r="B1407" s="194"/>
      <c r="C1407" s="84" t="s">
        <v>811</v>
      </c>
      <c r="D1407" s="88" t="s">
        <v>1396</v>
      </c>
      <c r="E1407" s="84" t="s">
        <v>3683</v>
      </c>
      <c r="F1407" s="84" t="s">
        <v>542</v>
      </c>
      <c r="G1407" s="84" t="s">
        <v>3514</v>
      </c>
      <c r="H1407" s="84" t="s">
        <v>3513</v>
      </c>
      <c r="I1407" s="84" t="s">
        <v>3709</v>
      </c>
      <c r="J1407" s="91"/>
      <c r="K1407" s="85"/>
      <c r="L1407" s="87">
        <v>261.0</v>
      </c>
      <c r="M1407" s="87">
        <v>1.0</v>
      </c>
      <c r="N1407" s="87">
        <v>2.817271</v>
      </c>
      <c r="O1407" s="87">
        <v>5.707143</v>
      </c>
      <c r="P1407" s="87">
        <v>5.395663</v>
      </c>
      <c r="Q1407" s="87">
        <v>3.94642</v>
      </c>
    </row>
    <row r="1408">
      <c r="A1408" s="84" t="s">
        <v>393</v>
      </c>
      <c r="B1408" s="194"/>
      <c r="C1408" s="84" t="s">
        <v>3644</v>
      </c>
      <c r="D1408" s="88" t="s">
        <v>1396</v>
      </c>
      <c r="E1408" s="84" t="s">
        <v>3745</v>
      </c>
      <c r="F1408" s="84" t="s">
        <v>340</v>
      </c>
      <c r="G1408" s="84" t="s">
        <v>3567</v>
      </c>
      <c r="H1408" s="84" t="s">
        <v>3521</v>
      </c>
      <c r="I1408" s="84" t="s">
        <v>3693</v>
      </c>
      <c r="J1408" s="91"/>
      <c r="K1408" s="91"/>
      <c r="L1408" s="87">
        <v>34.0</v>
      </c>
      <c r="M1408" s="87">
        <v>3.0</v>
      </c>
      <c r="N1408" s="87">
        <v>0.071429</v>
      </c>
      <c r="O1408" s="87">
        <v>3.154762</v>
      </c>
      <c r="P1408" s="87">
        <v>4.078018</v>
      </c>
      <c r="Q1408" s="87">
        <v>3.8891</v>
      </c>
    </row>
    <row r="1409">
      <c r="A1409" s="84" t="s">
        <v>301</v>
      </c>
      <c r="B1409" s="194"/>
      <c r="C1409" s="84" t="s">
        <v>317</v>
      </c>
      <c r="D1409" s="88" t="s">
        <v>1396</v>
      </c>
      <c r="E1409" s="84" t="s">
        <v>3683</v>
      </c>
      <c r="F1409" s="84" t="s">
        <v>300</v>
      </c>
      <c r="G1409" s="84" t="s">
        <v>3703</v>
      </c>
      <c r="H1409" s="84" t="s">
        <v>3521</v>
      </c>
      <c r="I1409" s="84" t="s">
        <v>3684</v>
      </c>
      <c r="J1409" s="84" t="s">
        <v>130</v>
      </c>
      <c r="K1409" s="91"/>
      <c r="L1409" s="87">
        <v>144.0</v>
      </c>
      <c r="M1409" s="87">
        <v>0.0</v>
      </c>
      <c r="N1409" s="87">
        <v>0.122711</v>
      </c>
      <c r="O1409" s="87">
        <v>0.0</v>
      </c>
      <c r="P1409" s="87">
        <v>0.222222</v>
      </c>
      <c r="Q1409" s="87">
        <v>0.139377</v>
      </c>
    </row>
    <row r="1410">
      <c r="A1410" s="84" t="s">
        <v>74</v>
      </c>
      <c r="B1410" s="194"/>
      <c r="C1410" s="84" t="s">
        <v>1345</v>
      </c>
      <c r="D1410" s="88" t="s">
        <v>1396</v>
      </c>
      <c r="E1410" s="84" t="s">
        <v>3683</v>
      </c>
      <c r="F1410" s="84" t="s">
        <v>3796</v>
      </c>
      <c r="G1410" s="91"/>
      <c r="H1410" s="84" t="s">
        <v>3521</v>
      </c>
      <c r="I1410" s="84" t="s">
        <v>3684</v>
      </c>
      <c r="J1410" s="91"/>
      <c r="K1410" s="91"/>
      <c r="L1410" s="87">
        <v>24.0</v>
      </c>
      <c r="M1410" s="87">
        <v>2.0</v>
      </c>
      <c r="N1410" s="87">
        <v>0.24359</v>
      </c>
      <c r="O1410" s="87">
        <v>0.457875</v>
      </c>
      <c r="P1410" s="87">
        <v>0.239245</v>
      </c>
      <c r="Q1410" s="87">
        <v>0.209909</v>
      </c>
    </row>
    <row r="1411">
      <c r="A1411" s="84" t="s">
        <v>644</v>
      </c>
      <c r="B1411" s="194"/>
      <c r="C1411" s="84" t="s">
        <v>663</v>
      </c>
      <c r="D1411" s="88" t="s">
        <v>1396</v>
      </c>
      <c r="E1411" s="84" t="s">
        <v>3683</v>
      </c>
      <c r="F1411" s="84" t="s">
        <v>658</v>
      </c>
      <c r="G1411" s="84" t="s">
        <v>3801</v>
      </c>
      <c r="I1411" s="84" t="s">
        <v>3684</v>
      </c>
      <c r="J1411" s="91"/>
      <c r="K1411" s="85"/>
      <c r="L1411" s="87">
        <v>552.0</v>
      </c>
      <c r="M1411" s="87">
        <v>0.0</v>
      </c>
      <c r="N1411" s="87">
        <v>0.0</v>
      </c>
      <c r="O1411" s="87">
        <v>0.0</v>
      </c>
      <c r="P1411" s="87">
        <v>0.0</v>
      </c>
      <c r="Q1411" s="87">
        <v>0.0</v>
      </c>
    </row>
    <row r="1412">
      <c r="A1412" s="84" t="s">
        <v>472</v>
      </c>
      <c r="B1412" s="194"/>
      <c r="C1412" s="84" t="s">
        <v>1011</v>
      </c>
      <c r="D1412" s="88" t="s">
        <v>1396</v>
      </c>
      <c r="E1412" s="84" t="s">
        <v>3683</v>
      </c>
      <c r="F1412" s="91"/>
      <c r="G1412" s="84" t="s">
        <v>3587</v>
      </c>
      <c r="I1412" s="84" t="s">
        <v>3684</v>
      </c>
      <c r="J1412" s="91"/>
      <c r="K1412" s="91"/>
      <c r="L1412" s="87">
        <v>552.0</v>
      </c>
      <c r="M1412" s="87">
        <v>0.0</v>
      </c>
      <c r="N1412" s="87">
        <v>0.0</v>
      </c>
      <c r="O1412" s="87">
        <v>0.0</v>
      </c>
      <c r="P1412" s="87">
        <v>0.0</v>
      </c>
      <c r="Q1412" s="87">
        <v>0.0</v>
      </c>
    </row>
    <row r="1413">
      <c r="A1413" s="84" t="s">
        <v>644</v>
      </c>
      <c r="B1413" s="194"/>
      <c r="C1413" s="84" t="s">
        <v>1191</v>
      </c>
      <c r="D1413" s="88" t="s">
        <v>1396</v>
      </c>
      <c r="E1413" s="84" t="s">
        <v>3683</v>
      </c>
      <c r="F1413" s="84" t="s">
        <v>1192</v>
      </c>
      <c r="G1413" s="84" t="s">
        <v>3600</v>
      </c>
      <c r="I1413" s="84" t="s">
        <v>3684</v>
      </c>
      <c r="J1413" s="84" t="s">
        <v>215</v>
      </c>
      <c r="L1413" s="87">
        <v>480.0</v>
      </c>
      <c r="M1413" s="87">
        <v>0.0</v>
      </c>
      <c r="N1413" s="87">
        <v>0.0</v>
      </c>
      <c r="O1413" s="87">
        <v>0.0</v>
      </c>
      <c r="P1413" s="87">
        <v>0.0</v>
      </c>
      <c r="Q1413" s="87">
        <v>0.0</v>
      </c>
    </row>
    <row r="1414">
      <c r="A1414" s="84" t="s">
        <v>644</v>
      </c>
      <c r="B1414" s="194"/>
      <c r="C1414" s="84" t="s">
        <v>688</v>
      </c>
      <c r="D1414" s="88" t="s">
        <v>1396</v>
      </c>
      <c r="E1414" s="84" t="s">
        <v>3687</v>
      </c>
      <c r="F1414" s="84" t="s">
        <v>686</v>
      </c>
      <c r="G1414" s="84" t="s">
        <v>3607</v>
      </c>
      <c r="H1414" s="84" t="s">
        <v>3521</v>
      </c>
      <c r="I1414" s="84" t="s">
        <v>3684</v>
      </c>
      <c r="J1414" s="84" t="s">
        <v>215</v>
      </c>
      <c r="K1414" s="84" t="s">
        <v>111</v>
      </c>
      <c r="L1414" s="87">
        <v>48.0</v>
      </c>
      <c r="M1414" s="87">
        <v>0.0</v>
      </c>
      <c r="N1414" s="87">
        <v>0.0</v>
      </c>
      <c r="O1414" s="87">
        <v>0.0</v>
      </c>
      <c r="P1414" s="87">
        <v>0.033333</v>
      </c>
      <c r="Q1414" s="87">
        <v>0.033333</v>
      </c>
    </row>
    <row r="1415">
      <c r="A1415" s="84" t="s">
        <v>363</v>
      </c>
      <c r="B1415" s="194"/>
      <c r="C1415" s="84" t="s">
        <v>387</v>
      </c>
      <c r="D1415" s="88" t="s">
        <v>1396</v>
      </c>
      <c r="E1415" s="84" t="s">
        <v>3683</v>
      </c>
      <c r="F1415" s="84" t="s">
        <v>382</v>
      </c>
      <c r="G1415" s="84" t="s">
        <v>3991</v>
      </c>
      <c r="H1415" s="84" t="s">
        <v>3527</v>
      </c>
      <c r="I1415" s="84" t="s">
        <v>3709</v>
      </c>
      <c r="J1415" s="84" t="s">
        <v>130</v>
      </c>
      <c r="K1415" s="91"/>
      <c r="L1415" s="87">
        <v>72.0</v>
      </c>
      <c r="M1415" s="87">
        <v>0.0</v>
      </c>
      <c r="N1415" s="87">
        <v>0.105495</v>
      </c>
      <c r="O1415" s="87">
        <v>0.0</v>
      </c>
      <c r="P1415" s="87">
        <v>0.2</v>
      </c>
      <c r="Q1415" s="87">
        <v>0.135798</v>
      </c>
    </row>
    <row r="1416">
      <c r="A1416" s="84" t="s">
        <v>180</v>
      </c>
      <c r="B1416" s="194"/>
      <c r="C1416" s="84" t="s">
        <v>1323</v>
      </c>
      <c r="D1416" s="88" t="s">
        <v>1396</v>
      </c>
      <c r="E1416" s="84" t="s">
        <v>3683</v>
      </c>
      <c r="F1416" s="84" t="s">
        <v>830</v>
      </c>
      <c r="G1416" s="84" t="s">
        <v>3549</v>
      </c>
      <c r="H1416" s="84" t="s">
        <v>3507</v>
      </c>
      <c r="I1416" s="84" t="s">
        <v>3684</v>
      </c>
      <c r="J1416" s="91"/>
      <c r="K1416" s="85"/>
      <c r="L1416" s="87">
        <v>0.0</v>
      </c>
      <c r="M1416" s="87">
        <v>0.0</v>
      </c>
      <c r="N1416" s="87">
        <v>0.0</v>
      </c>
      <c r="O1416" s="87">
        <v>0.0</v>
      </c>
      <c r="P1416" s="87">
        <v>0.0</v>
      </c>
      <c r="Q1416" s="87">
        <v>0.0</v>
      </c>
    </row>
    <row r="1417">
      <c r="A1417" s="84" t="s">
        <v>444</v>
      </c>
      <c r="B1417" s="194"/>
      <c r="C1417" s="84" t="s">
        <v>944</v>
      </c>
      <c r="D1417" s="88" t="s">
        <v>1396</v>
      </c>
      <c r="E1417" s="84" t="s">
        <v>3683</v>
      </c>
      <c r="F1417" s="84" t="s">
        <v>945</v>
      </c>
      <c r="G1417" s="84" t="s">
        <v>3578</v>
      </c>
      <c r="H1417" s="84" t="s">
        <v>3521</v>
      </c>
      <c r="I1417" s="84" t="s">
        <v>3684</v>
      </c>
      <c r="J1417" s="91"/>
      <c r="K1417" s="84" t="s">
        <v>111</v>
      </c>
      <c r="L1417" s="87">
        <v>312.0</v>
      </c>
      <c r="M1417" s="87">
        <v>0.0</v>
      </c>
      <c r="N1417" s="87">
        <v>0.0</v>
      </c>
      <c r="O1417" s="87">
        <v>0.0</v>
      </c>
      <c r="P1417" s="87">
        <v>0.0</v>
      </c>
      <c r="Q1417" s="87">
        <v>0.0</v>
      </c>
    </row>
    <row r="1418">
      <c r="A1418" s="84" t="s">
        <v>630</v>
      </c>
      <c r="B1418" s="194"/>
      <c r="C1418" s="84" t="s">
        <v>1105</v>
      </c>
      <c r="D1418" s="88" t="s">
        <v>1396</v>
      </c>
      <c r="E1418" s="84" t="s">
        <v>3683</v>
      </c>
      <c r="F1418" s="84" t="s">
        <v>1104</v>
      </c>
      <c r="G1418" s="84" t="s">
        <v>3602</v>
      </c>
      <c r="H1418" s="84" t="s">
        <v>3521</v>
      </c>
      <c r="I1418" s="84" t="s">
        <v>3684</v>
      </c>
      <c r="J1418" s="84" t="s">
        <v>130</v>
      </c>
      <c r="K1418" s="85"/>
      <c r="L1418" s="87">
        <v>24.0</v>
      </c>
      <c r="M1418" s="87">
        <v>0.0</v>
      </c>
      <c r="N1418" s="87">
        <v>0.0</v>
      </c>
      <c r="O1418" s="87">
        <v>0.0</v>
      </c>
      <c r="P1418" s="87">
        <v>0.0</v>
      </c>
      <c r="Q1418" s="87">
        <v>0.016667</v>
      </c>
    </row>
    <row r="1419">
      <c r="A1419" s="84" t="s">
        <v>481</v>
      </c>
      <c r="B1419" s="194"/>
      <c r="C1419" s="84" t="s">
        <v>1001</v>
      </c>
      <c r="D1419" s="88" t="s">
        <v>1396</v>
      </c>
      <c r="E1419" s="84" t="s">
        <v>3683</v>
      </c>
      <c r="F1419" s="84" t="s">
        <v>989</v>
      </c>
      <c r="G1419" s="84" t="s">
        <v>3585</v>
      </c>
      <c r="H1419" s="84" t="s">
        <v>3521</v>
      </c>
      <c r="I1419" s="84" t="s">
        <v>3684</v>
      </c>
      <c r="J1419" s="84" t="s">
        <v>130</v>
      </c>
      <c r="K1419" s="85"/>
      <c r="L1419" s="87">
        <v>0.0</v>
      </c>
      <c r="M1419" s="87">
        <v>0.0</v>
      </c>
      <c r="N1419" s="87">
        <v>0.0</v>
      </c>
      <c r="O1419" s="87">
        <v>0.0</v>
      </c>
      <c r="P1419" s="87">
        <v>0.1</v>
      </c>
      <c r="Q1419" s="87">
        <v>0.066667</v>
      </c>
    </row>
    <row r="1420">
      <c r="A1420" s="84" t="s">
        <v>264</v>
      </c>
      <c r="B1420" s="194"/>
      <c r="C1420" s="84" t="s">
        <v>297</v>
      </c>
      <c r="D1420" s="88" t="s">
        <v>1396</v>
      </c>
      <c r="E1420" s="84" t="s">
        <v>3687</v>
      </c>
      <c r="F1420" s="84" t="s">
        <v>295</v>
      </c>
      <c r="G1420" s="84" t="s">
        <v>3564</v>
      </c>
      <c r="H1420" s="84" t="s">
        <v>3521</v>
      </c>
      <c r="I1420" s="84" t="s">
        <v>3684</v>
      </c>
      <c r="J1420" s="84" t="s">
        <v>130</v>
      </c>
      <c r="K1420" s="85"/>
      <c r="L1420" s="87">
        <v>24.0</v>
      </c>
      <c r="M1420" s="87">
        <v>0.0</v>
      </c>
      <c r="N1420" s="87">
        <v>0.0</v>
      </c>
      <c r="O1420" s="87">
        <v>0.0</v>
      </c>
      <c r="P1420" s="87">
        <v>0.0</v>
      </c>
      <c r="Q1420" s="87">
        <v>0.0</v>
      </c>
    </row>
    <row r="1421">
      <c r="A1421" s="84" t="s">
        <v>644</v>
      </c>
      <c r="B1421" s="194"/>
      <c r="C1421" s="84" t="s">
        <v>666</v>
      </c>
      <c r="D1421" s="88" t="s">
        <v>1396</v>
      </c>
      <c r="E1421" s="84" t="s">
        <v>3683</v>
      </c>
      <c r="F1421" s="84" t="s">
        <v>658</v>
      </c>
      <c r="G1421" s="84" t="s">
        <v>3801</v>
      </c>
      <c r="H1421" s="84" t="s">
        <v>3521</v>
      </c>
      <c r="I1421" s="84" t="s">
        <v>3684</v>
      </c>
      <c r="J1421" s="91"/>
      <c r="K1421" s="85"/>
      <c r="L1421" s="87">
        <v>0.0</v>
      </c>
      <c r="M1421" s="87">
        <v>0.0</v>
      </c>
      <c r="N1421" s="87">
        <v>0.0</v>
      </c>
      <c r="O1421" s="87">
        <v>0.0</v>
      </c>
      <c r="P1421" s="87">
        <v>0.0</v>
      </c>
      <c r="Q1421" s="87">
        <v>0.0</v>
      </c>
    </row>
    <row r="1422">
      <c r="A1422" s="84" t="s">
        <v>644</v>
      </c>
      <c r="B1422" s="194"/>
      <c r="C1422" s="84" t="s">
        <v>663</v>
      </c>
      <c r="D1422" s="88" t="s">
        <v>1396</v>
      </c>
      <c r="E1422" s="84" t="s">
        <v>3683</v>
      </c>
      <c r="F1422" s="84" t="s">
        <v>658</v>
      </c>
      <c r="G1422" s="84" t="s">
        <v>3801</v>
      </c>
      <c r="H1422" s="84" t="s">
        <v>3521</v>
      </c>
      <c r="I1422" s="84" t="s">
        <v>3684</v>
      </c>
      <c r="J1422" s="84" t="s">
        <v>130</v>
      </c>
      <c r="K1422" s="84" t="s">
        <v>111</v>
      </c>
      <c r="L1422" s="87">
        <v>24.0</v>
      </c>
      <c r="M1422" s="87">
        <v>0.0</v>
      </c>
      <c r="N1422" s="87">
        <v>0.0</v>
      </c>
      <c r="O1422" s="87">
        <v>0.0</v>
      </c>
      <c r="P1422" s="87">
        <v>0.0</v>
      </c>
      <c r="Q1422" s="87">
        <v>0.046512</v>
      </c>
    </row>
    <row r="1423">
      <c r="A1423" s="84" t="s">
        <v>258</v>
      </c>
      <c r="B1423" s="194"/>
      <c r="C1423" s="84" t="s">
        <v>896</v>
      </c>
      <c r="D1423" s="88" t="s">
        <v>1396</v>
      </c>
      <c r="E1423" s="84" t="s">
        <v>3687</v>
      </c>
      <c r="F1423" s="84" t="s">
        <v>884</v>
      </c>
      <c r="G1423" s="84" t="s">
        <v>3558</v>
      </c>
      <c r="H1423" s="84" t="s">
        <v>3521</v>
      </c>
      <c r="I1423" s="84" t="s">
        <v>3684</v>
      </c>
      <c r="J1423" s="84" t="s">
        <v>130</v>
      </c>
      <c r="K1423" s="91"/>
      <c r="L1423" s="87">
        <v>48.0</v>
      </c>
      <c r="M1423" s="87">
        <v>0.0</v>
      </c>
      <c r="N1423" s="87">
        <v>0.0</v>
      </c>
      <c r="O1423" s="87">
        <v>0.0</v>
      </c>
      <c r="P1423" s="87">
        <v>0.0</v>
      </c>
      <c r="Q1423" s="87">
        <v>0.0</v>
      </c>
    </row>
    <row r="1424">
      <c r="A1424" s="84" t="s">
        <v>644</v>
      </c>
      <c r="B1424" s="194"/>
      <c r="C1424" s="84" t="s">
        <v>751</v>
      </c>
      <c r="D1424" s="88" t="s">
        <v>1396</v>
      </c>
      <c r="E1424" s="84" t="s">
        <v>3683</v>
      </c>
      <c r="F1424" s="84" t="s">
        <v>651</v>
      </c>
      <c r="G1424" s="84" t="s">
        <v>3723</v>
      </c>
      <c r="H1424" s="84" t="s">
        <v>3521</v>
      </c>
      <c r="I1424" s="84" t="s">
        <v>3684</v>
      </c>
      <c r="J1424" s="84" t="s">
        <v>130</v>
      </c>
      <c r="K1424" s="85"/>
      <c r="L1424" s="87">
        <v>24.0</v>
      </c>
      <c r="M1424" s="87">
        <v>0.0</v>
      </c>
      <c r="N1424" s="87">
        <v>0.0</v>
      </c>
      <c r="O1424" s="87">
        <v>0.0</v>
      </c>
      <c r="P1424" s="87">
        <v>0.0</v>
      </c>
      <c r="Q1424" s="87">
        <v>0.0</v>
      </c>
    </row>
    <row r="1425">
      <c r="A1425" s="84" t="s">
        <v>644</v>
      </c>
      <c r="B1425" s="194"/>
      <c r="C1425" s="84" t="s">
        <v>1226</v>
      </c>
      <c r="D1425" s="88" t="s">
        <v>1396</v>
      </c>
      <c r="E1425" s="84" t="s">
        <v>3683</v>
      </c>
      <c r="F1425" s="84" t="s">
        <v>1224</v>
      </c>
      <c r="G1425" s="84" t="s">
        <v>3551</v>
      </c>
      <c r="H1425" s="84" t="s">
        <v>3521</v>
      </c>
      <c r="I1425" s="84" t="s">
        <v>3684</v>
      </c>
      <c r="J1425" s="91"/>
      <c r="K1425" s="91"/>
      <c r="L1425" s="87">
        <v>19.0</v>
      </c>
      <c r="M1425" s="87">
        <v>5.0</v>
      </c>
      <c r="N1425" s="87">
        <v>0.142857</v>
      </c>
      <c r="O1425" s="87">
        <v>3.934158</v>
      </c>
      <c r="P1425" s="87">
        <v>3.542608</v>
      </c>
      <c r="Q1425" s="87">
        <v>3.057919</v>
      </c>
    </row>
    <row r="1426">
      <c r="A1426" s="84" t="s">
        <v>630</v>
      </c>
      <c r="B1426" s="194"/>
      <c r="C1426" s="84" t="s">
        <v>1111</v>
      </c>
      <c r="D1426" s="88" t="s">
        <v>1396</v>
      </c>
      <c r="E1426" s="84" t="s">
        <v>3683</v>
      </c>
      <c r="F1426" s="84" t="s">
        <v>1108</v>
      </c>
      <c r="G1426" s="84" t="s">
        <v>3554</v>
      </c>
      <c r="H1426" s="84" t="s">
        <v>3521</v>
      </c>
      <c r="I1426" s="84" t="s">
        <v>3684</v>
      </c>
      <c r="J1426" s="91"/>
      <c r="K1426" s="91"/>
      <c r="L1426" s="87">
        <v>24.0</v>
      </c>
      <c r="M1426" s="87">
        <v>0.0</v>
      </c>
      <c r="N1426" s="87">
        <v>0.0</v>
      </c>
      <c r="O1426" s="87">
        <v>3.149573</v>
      </c>
      <c r="P1426" s="87">
        <v>4.009987</v>
      </c>
      <c r="Q1426" s="87">
        <v>3.555911</v>
      </c>
    </row>
    <row r="1427">
      <c r="A1427" s="84" t="s">
        <v>481</v>
      </c>
      <c r="B1427" s="194"/>
      <c r="C1427" s="84" t="s">
        <v>531</v>
      </c>
      <c r="D1427" s="88" t="s">
        <v>1396</v>
      </c>
      <c r="E1427" s="84" t="s">
        <v>3683</v>
      </c>
      <c r="F1427" s="84" t="s">
        <v>526</v>
      </c>
      <c r="G1427" s="84" t="s">
        <v>3593</v>
      </c>
      <c r="H1427" s="84" t="s">
        <v>3521</v>
      </c>
      <c r="I1427" s="84" t="s">
        <v>3684</v>
      </c>
      <c r="J1427" s="91"/>
      <c r="K1427" s="85"/>
      <c r="L1427" s="87">
        <v>0.0</v>
      </c>
      <c r="M1427" s="87">
        <v>0.0</v>
      </c>
      <c r="N1427" s="87">
        <v>0.0</v>
      </c>
      <c r="O1427" s="87">
        <v>0.0</v>
      </c>
      <c r="P1427" s="87">
        <v>0.2</v>
      </c>
      <c r="Q1427" s="87">
        <v>0.25</v>
      </c>
    </row>
    <row r="1428">
      <c r="A1428" s="84" t="s">
        <v>537</v>
      </c>
      <c r="B1428" s="194"/>
      <c r="C1428" s="84" t="s">
        <v>1052</v>
      </c>
      <c r="D1428" s="88" t="s">
        <v>1396</v>
      </c>
      <c r="E1428" s="84" t="s">
        <v>3683</v>
      </c>
      <c r="F1428" s="84" t="s">
        <v>1047</v>
      </c>
      <c r="G1428" s="84" t="s">
        <v>3592</v>
      </c>
      <c r="H1428" s="84" t="s">
        <v>3521</v>
      </c>
      <c r="I1428" s="84" t="s">
        <v>3693</v>
      </c>
      <c r="J1428" s="91"/>
      <c r="K1428" s="84" t="s">
        <v>111</v>
      </c>
      <c r="L1428" s="87">
        <v>432.0</v>
      </c>
      <c r="M1428" s="87">
        <v>0.0</v>
      </c>
      <c r="N1428" s="87">
        <v>0.0</v>
      </c>
      <c r="O1428" s="87">
        <v>0.0</v>
      </c>
      <c r="P1428" s="87">
        <v>0.0</v>
      </c>
      <c r="Q1428" s="87">
        <v>0.0</v>
      </c>
    </row>
    <row r="1429">
      <c r="A1429" s="84" t="s">
        <v>74</v>
      </c>
      <c r="B1429" s="194"/>
      <c r="C1429" s="84" t="s">
        <v>87</v>
      </c>
      <c r="D1429" s="88" t="s">
        <v>1396</v>
      </c>
      <c r="E1429" s="84" t="s">
        <v>3683</v>
      </c>
      <c r="F1429" s="84" t="s">
        <v>73</v>
      </c>
      <c r="G1429" s="84" t="s">
        <v>3712</v>
      </c>
      <c r="H1429" s="84" t="s">
        <v>3521</v>
      </c>
      <c r="I1429" s="84" t="s">
        <v>3684</v>
      </c>
      <c r="J1429" s="91"/>
      <c r="K1429" s="84" t="s">
        <v>111</v>
      </c>
      <c r="L1429" s="87">
        <v>744.0</v>
      </c>
      <c r="M1429" s="87">
        <v>0.0</v>
      </c>
      <c r="N1429" s="87">
        <v>0.0</v>
      </c>
      <c r="O1429" s="87">
        <v>0.071429</v>
      </c>
      <c r="P1429" s="87">
        <v>0.033333</v>
      </c>
      <c r="Q1429" s="87">
        <v>0.018182</v>
      </c>
    </row>
    <row r="1430">
      <c r="A1430" s="84" t="s">
        <v>644</v>
      </c>
      <c r="B1430" s="194"/>
      <c r="C1430" s="84" t="s">
        <v>1230</v>
      </c>
      <c r="D1430" s="88" t="s">
        <v>1396</v>
      </c>
      <c r="E1430" s="84" t="s">
        <v>3683</v>
      </c>
      <c r="F1430" s="84" t="s">
        <v>1224</v>
      </c>
      <c r="G1430" s="84" t="s">
        <v>3551</v>
      </c>
      <c r="H1430" s="84" t="s">
        <v>3521</v>
      </c>
      <c r="I1430" s="84" t="s">
        <v>3684</v>
      </c>
      <c r="J1430" s="91"/>
      <c r="K1430" s="85"/>
      <c r="L1430" s="87">
        <v>0.0</v>
      </c>
      <c r="M1430" s="87">
        <v>6.0</v>
      </c>
      <c r="N1430" s="87">
        <v>0.0</v>
      </c>
      <c r="O1430" s="87">
        <v>5.725108</v>
      </c>
      <c r="P1430" s="87">
        <v>5.661224</v>
      </c>
      <c r="Q1430" s="87">
        <v>4.487554</v>
      </c>
    </row>
    <row r="1431">
      <c r="A1431" s="84" t="s">
        <v>472</v>
      </c>
      <c r="B1431" s="194"/>
      <c r="C1431" s="84" t="s">
        <v>1029</v>
      </c>
      <c r="D1431" s="88" t="s">
        <v>1396</v>
      </c>
      <c r="E1431" s="84" t="s">
        <v>3683</v>
      </c>
      <c r="F1431" s="91"/>
      <c r="G1431" s="84" t="s">
        <v>3587</v>
      </c>
      <c r="I1431" s="84" t="s">
        <v>3684</v>
      </c>
      <c r="J1431" s="91"/>
      <c r="K1431" s="85"/>
      <c r="L1431" s="87">
        <v>120.0</v>
      </c>
      <c r="M1431" s="87">
        <v>0.0</v>
      </c>
      <c r="N1431" s="87">
        <v>0.0</v>
      </c>
      <c r="O1431" s="87">
        <v>0.0</v>
      </c>
      <c r="P1431" s="87">
        <v>0.0</v>
      </c>
      <c r="Q1431" s="87">
        <v>0.0</v>
      </c>
    </row>
    <row r="1432">
      <c r="A1432" s="84" t="s">
        <v>644</v>
      </c>
      <c r="B1432" s="194"/>
      <c r="C1432" s="84" t="s">
        <v>691</v>
      </c>
      <c r="D1432" s="88" t="s">
        <v>1396</v>
      </c>
      <c r="E1432" s="84" t="s">
        <v>3683</v>
      </c>
      <c r="F1432" s="84" t="s">
        <v>686</v>
      </c>
      <c r="G1432" s="84" t="s">
        <v>3607</v>
      </c>
      <c r="H1432" s="84" t="s">
        <v>3521</v>
      </c>
      <c r="I1432" s="84" t="s">
        <v>3684</v>
      </c>
      <c r="J1432" s="84" t="s">
        <v>215</v>
      </c>
      <c r="L1432" s="87">
        <v>456.0</v>
      </c>
      <c r="M1432" s="87">
        <v>1.0</v>
      </c>
      <c r="N1432" s="87">
        <v>1.643201</v>
      </c>
      <c r="O1432" s="87">
        <v>0.485714</v>
      </c>
      <c r="P1432" s="87">
        <v>0.636552</v>
      </c>
      <c r="Q1432" s="87">
        <v>1.462995</v>
      </c>
    </row>
    <row r="1433">
      <c r="A1433" s="84" t="s">
        <v>180</v>
      </c>
      <c r="B1433" s="194"/>
      <c r="C1433" s="84" t="s">
        <v>822</v>
      </c>
      <c r="D1433" s="88" t="s">
        <v>1396</v>
      </c>
      <c r="E1433" s="84" t="s">
        <v>3683</v>
      </c>
      <c r="F1433" s="84" t="s">
        <v>814</v>
      </c>
      <c r="G1433" s="84" t="s">
        <v>3533</v>
      </c>
      <c r="H1433" s="84" t="s">
        <v>3521</v>
      </c>
      <c r="I1433" s="84" t="s">
        <v>3684</v>
      </c>
      <c r="J1433" s="91"/>
      <c r="K1433" s="91"/>
      <c r="L1433" s="87">
        <v>182.0</v>
      </c>
      <c r="M1433" s="87">
        <v>36.0</v>
      </c>
      <c r="N1433" s="87">
        <v>10.89233</v>
      </c>
      <c r="O1433" s="87">
        <v>46.34635</v>
      </c>
      <c r="P1433" s="87">
        <v>35.23119</v>
      </c>
      <c r="Q1433" s="87">
        <v>29.09011</v>
      </c>
    </row>
    <row r="1434">
      <c r="A1434" s="84" t="s">
        <v>472</v>
      </c>
      <c r="B1434" s="194"/>
      <c r="C1434" s="84" t="s">
        <v>1026</v>
      </c>
      <c r="D1434" s="88" t="s">
        <v>1396</v>
      </c>
      <c r="E1434" s="84" t="s">
        <v>3683</v>
      </c>
      <c r="F1434" s="84" t="s">
        <v>1020</v>
      </c>
      <c r="G1434" s="84" t="s">
        <v>3560</v>
      </c>
      <c r="H1434" s="84" t="s">
        <v>3507</v>
      </c>
      <c r="I1434" s="84" t="s">
        <v>3684</v>
      </c>
      <c r="J1434" s="91"/>
      <c r="K1434" s="84" t="s">
        <v>111</v>
      </c>
      <c r="L1434" s="87">
        <v>456.0</v>
      </c>
      <c r="M1434" s="87">
        <v>0.0</v>
      </c>
      <c r="N1434" s="87">
        <v>0.102632</v>
      </c>
      <c r="O1434" s="87">
        <v>0.0</v>
      </c>
      <c r="P1434" s="87">
        <v>0.0</v>
      </c>
      <c r="Q1434" s="87">
        <v>0.102632</v>
      </c>
    </row>
    <row r="1435">
      <c r="A1435" s="84" t="s">
        <v>537</v>
      </c>
      <c r="B1435" s="194"/>
      <c r="C1435" s="84" t="s">
        <v>563</v>
      </c>
      <c r="D1435" s="88" t="s">
        <v>1396</v>
      </c>
      <c r="E1435" s="84" t="s">
        <v>3683</v>
      </c>
      <c r="F1435" s="84" t="s">
        <v>558</v>
      </c>
      <c r="G1435" s="84" t="s">
        <v>3602</v>
      </c>
      <c r="H1435" s="84" t="s">
        <v>3521</v>
      </c>
      <c r="I1435" s="84" t="s">
        <v>3693</v>
      </c>
      <c r="J1435" s="91"/>
      <c r="K1435" s="85"/>
      <c r="L1435" s="87">
        <v>192.0</v>
      </c>
      <c r="M1435" s="87">
        <v>0.0</v>
      </c>
      <c r="N1435" s="87">
        <v>1.010199</v>
      </c>
      <c r="O1435" s="87">
        <v>0.773352</v>
      </c>
      <c r="P1435" s="87">
        <v>0.930911</v>
      </c>
      <c r="Q1435" s="87">
        <v>1.287702</v>
      </c>
    </row>
    <row r="1436">
      <c r="A1436" s="84" t="s">
        <v>231</v>
      </c>
      <c r="B1436" s="193"/>
      <c r="C1436" s="84" t="s">
        <v>237</v>
      </c>
      <c r="D1436" s="88" t="s">
        <v>1396</v>
      </c>
      <c r="E1436" s="84" t="s">
        <v>3683</v>
      </c>
      <c r="F1436" s="84" t="s">
        <v>238</v>
      </c>
      <c r="G1436" s="84" t="s">
        <v>4209</v>
      </c>
      <c r="H1436" s="84" t="s">
        <v>3521</v>
      </c>
      <c r="I1436" s="84" t="s">
        <v>3709</v>
      </c>
      <c r="J1436" s="84" t="s">
        <v>130</v>
      </c>
      <c r="K1436" s="84" t="s">
        <v>111</v>
      </c>
      <c r="L1436" s="87">
        <v>816.0</v>
      </c>
      <c r="M1436" s="87">
        <v>0.0</v>
      </c>
      <c r="N1436" s="87">
        <v>0.0</v>
      </c>
      <c r="O1436" s="87">
        <v>0.0</v>
      </c>
      <c r="P1436" s="87">
        <v>0.0</v>
      </c>
      <c r="Q1436" s="87">
        <v>0.0</v>
      </c>
    </row>
    <row r="1437">
      <c r="A1437" s="84" t="s">
        <v>444</v>
      </c>
      <c r="B1437" s="194"/>
      <c r="C1437" s="84" t="s">
        <v>4086</v>
      </c>
      <c r="D1437" s="88" t="s">
        <v>1396</v>
      </c>
      <c r="E1437" s="84" t="s">
        <v>3687</v>
      </c>
      <c r="F1437" s="84" t="s">
        <v>3877</v>
      </c>
      <c r="G1437" s="84" t="s">
        <v>3878</v>
      </c>
      <c r="H1437" s="84" t="s">
        <v>3521</v>
      </c>
      <c r="I1437" s="84" t="s">
        <v>3684</v>
      </c>
      <c r="J1437" s="91"/>
      <c r="K1437" s="84" t="s">
        <v>111</v>
      </c>
      <c r="L1437" s="87">
        <v>48.0</v>
      </c>
      <c r="M1437" s="87">
        <v>0.0</v>
      </c>
      <c r="N1437" s="87">
        <v>0.0</v>
      </c>
      <c r="O1437" s="87">
        <v>0.0</v>
      </c>
      <c r="P1437" s="87">
        <v>0.0</v>
      </c>
      <c r="Q1437" s="87">
        <v>0.0</v>
      </c>
    </row>
    <row r="1438">
      <c r="A1438" s="84" t="s">
        <v>1130</v>
      </c>
      <c r="B1438" s="194"/>
      <c r="C1438" s="84" t="s">
        <v>1154</v>
      </c>
      <c r="D1438" s="88" t="s">
        <v>1396</v>
      </c>
      <c r="E1438" s="84" t="s">
        <v>3683</v>
      </c>
      <c r="F1438" s="84" t="s">
        <v>1142</v>
      </c>
      <c r="G1438" s="84" t="s">
        <v>3605</v>
      </c>
      <c r="H1438" s="84" t="s">
        <v>3521</v>
      </c>
      <c r="I1438" s="84" t="s">
        <v>3684</v>
      </c>
      <c r="J1438" s="84" t="s">
        <v>130</v>
      </c>
      <c r="K1438" s="84" t="s">
        <v>111</v>
      </c>
      <c r="L1438" s="87">
        <v>336.0</v>
      </c>
      <c r="M1438" s="87">
        <v>0.0</v>
      </c>
      <c r="N1438" s="87">
        <v>0.0</v>
      </c>
      <c r="O1438" s="87">
        <v>0.0</v>
      </c>
      <c r="P1438" s="87">
        <v>0.0</v>
      </c>
      <c r="Q1438" s="87">
        <v>0.0</v>
      </c>
    </row>
    <row r="1439">
      <c r="A1439" s="84" t="s">
        <v>393</v>
      </c>
      <c r="B1439" s="194"/>
      <c r="C1439" s="84" t="s">
        <v>422</v>
      </c>
      <c r="D1439" s="88" t="s">
        <v>1396</v>
      </c>
      <c r="E1439" s="84" t="s">
        <v>3687</v>
      </c>
      <c r="F1439" s="84" t="s">
        <v>423</v>
      </c>
      <c r="G1439" s="84" t="s">
        <v>3568</v>
      </c>
      <c r="I1439" s="84" t="s">
        <v>3693</v>
      </c>
      <c r="J1439" s="91"/>
      <c r="K1439" s="84" t="s">
        <v>111</v>
      </c>
      <c r="L1439" s="87">
        <v>552.0</v>
      </c>
      <c r="M1439" s="87">
        <v>0.0</v>
      </c>
      <c r="N1439" s="87">
        <v>0.0</v>
      </c>
      <c r="O1439" s="87">
        <v>0.0</v>
      </c>
      <c r="P1439" s="87">
        <v>0.0</v>
      </c>
      <c r="Q1439" s="87">
        <v>0.0</v>
      </c>
    </row>
    <row r="1440">
      <c r="A1440" s="84" t="s">
        <v>393</v>
      </c>
      <c r="B1440" s="194"/>
      <c r="C1440" s="84" t="s">
        <v>412</v>
      </c>
      <c r="D1440" s="88" t="s">
        <v>1396</v>
      </c>
      <c r="E1440" s="84" t="s">
        <v>3683</v>
      </c>
      <c r="F1440" s="84" t="s">
        <v>352</v>
      </c>
      <c r="G1440" s="84" t="s">
        <v>3754</v>
      </c>
      <c r="H1440" s="84" t="s">
        <v>3521</v>
      </c>
      <c r="I1440" s="84" t="s">
        <v>3693</v>
      </c>
      <c r="J1440" s="91"/>
      <c r="K1440" s="84" t="s">
        <v>111</v>
      </c>
      <c r="L1440" s="87">
        <v>384.0</v>
      </c>
      <c r="M1440" s="87">
        <v>0.0</v>
      </c>
      <c r="N1440" s="87">
        <v>0.0</v>
      </c>
      <c r="O1440" s="87">
        <v>0.0</v>
      </c>
      <c r="P1440" s="87">
        <v>0.0</v>
      </c>
      <c r="Q1440" s="87">
        <v>0.0</v>
      </c>
    </row>
    <row r="1441">
      <c r="A1441" s="84" t="s">
        <v>644</v>
      </c>
      <c r="B1441" s="194"/>
      <c r="C1441" s="84" t="s">
        <v>1352</v>
      </c>
      <c r="D1441" s="88" t="s">
        <v>1396</v>
      </c>
      <c r="E1441" s="84" t="s">
        <v>3683</v>
      </c>
      <c r="F1441" s="84" t="s">
        <v>706</v>
      </c>
      <c r="G1441" s="84" t="s">
        <v>3547</v>
      </c>
      <c r="H1441" s="84" t="s">
        <v>3521</v>
      </c>
      <c r="I1441" s="84" t="s">
        <v>3684</v>
      </c>
      <c r="J1441" s="91"/>
      <c r="K1441" s="91"/>
      <c r="L1441" s="87">
        <v>24.0</v>
      </c>
      <c r="M1441" s="87">
        <v>3.0</v>
      </c>
      <c r="N1441" s="87">
        <v>1.2</v>
      </c>
      <c r="O1441" s="87">
        <v>7.344689</v>
      </c>
      <c r="P1441" s="87">
        <v>7.087041</v>
      </c>
      <c r="Q1441" s="87">
        <v>5.358955</v>
      </c>
    </row>
    <row r="1442">
      <c r="A1442" s="84" t="s">
        <v>180</v>
      </c>
      <c r="B1442" s="194"/>
      <c r="C1442" s="84" t="s">
        <v>178</v>
      </c>
      <c r="D1442" s="88" t="s">
        <v>1396</v>
      </c>
      <c r="E1442" s="84" t="s">
        <v>3683</v>
      </c>
      <c r="F1442" s="84" t="s">
        <v>179</v>
      </c>
      <c r="G1442" s="84" t="s">
        <v>4033</v>
      </c>
      <c r="I1442" s="84" t="s">
        <v>3684</v>
      </c>
      <c r="J1442" s="91"/>
      <c r="K1442" s="91"/>
      <c r="L1442" s="87">
        <v>48.0</v>
      </c>
      <c r="M1442" s="87">
        <v>0.0</v>
      </c>
      <c r="N1442" s="87">
        <v>0.0</v>
      </c>
      <c r="O1442" s="87">
        <v>0.0</v>
      </c>
      <c r="P1442" s="87">
        <v>0.0</v>
      </c>
      <c r="Q1442" s="87">
        <v>0.0</v>
      </c>
    </row>
    <row r="1443">
      <c r="A1443" s="84" t="s">
        <v>644</v>
      </c>
      <c r="B1443" s="194"/>
      <c r="C1443" s="84" t="s">
        <v>1234</v>
      </c>
      <c r="D1443" s="88" t="s">
        <v>1396</v>
      </c>
      <c r="E1443" s="84" t="s">
        <v>3683</v>
      </c>
      <c r="F1443" s="84" t="s">
        <v>1232</v>
      </c>
      <c r="G1443" s="84" t="s">
        <v>3607</v>
      </c>
      <c r="H1443" s="84" t="s">
        <v>3521</v>
      </c>
      <c r="I1443" s="84" t="s">
        <v>3684</v>
      </c>
      <c r="J1443" s="84" t="s">
        <v>130</v>
      </c>
      <c r="K1443" s="85"/>
      <c r="L1443" s="87">
        <v>24.0</v>
      </c>
      <c r="M1443" s="87">
        <v>0.0</v>
      </c>
      <c r="N1443" s="87">
        <v>0.0</v>
      </c>
      <c r="O1443" s="87">
        <v>0.0</v>
      </c>
      <c r="P1443" s="87">
        <v>0.0</v>
      </c>
      <c r="Q1443" s="87">
        <v>0.0</v>
      </c>
    </row>
    <row r="1444">
      <c r="A1444" s="84" t="s">
        <v>644</v>
      </c>
      <c r="B1444" s="194"/>
      <c r="C1444" s="84" t="s">
        <v>690</v>
      </c>
      <c r="D1444" s="88" t="s">
        <v>1396</v>
      </c>
      <c r="E1444" s="84" t="s">
        <v>3683</v>
      </c>
      <c r="F1444" s="84" t="s">
        <v>686</v>
      </c>
      <c r="G1444" s="84" t="s">
        <v>3607</v>
      </c>
      <c r="H1444" s="84" t="s">
        <v>3521</v>
      </c>
      <c r="I1444" s="84" t="s">
        <v>3684</v>
      </c>
      <c r="J1444" s="84" t="s">
        <v>130</v>
      </c>
      <c r="K1444" s="91"/>
      <c r="L1444" s="87">
        <v>24.0</v>
      </c>
      <c r="M1444" s="87">
        <v>0.0</v>
      </c>
      <c r="N1444" s="87">
        <v>0.0</v>
      </c>
      <c r="O1444" s="87">
        <v>0.0</v>
      </c>
      <c r="P1444" s="87">
        <v>0.0</v>
      </c>
      <c r="Q1444" s="87">
        <v>0.0</v>
      </c>
    </row>
    <row r="1445">
      <c r="A1445" s="84" t="s">
        <v>644</v>
      </c>
      <c r="B1445" s="194"/>
      <c r="C1445" s="84" t="s">
        <v>1240</v>
      </c>
      <c r="D1445" s="88" t="s">
        <v>1396</v>
      </c>
      <c r="E1445" s="84" t="s">
        <v>3683</v>
      </c>
      <c r="F1445" s="84" t="s">
        <v>1239</v>
      </c>
      <c r="G1445" s="84" t="s">
        <v>3607</v>
      </c>
      <c r="H1445" s="84" t="s">
        <v>3521</v>
      </c>
      <c r="I1445" s="84" t="s">
        <v>3684</v>
      </c>
      <c r="J1445" s="84" t="s">
        <v>130</v>
      </c>
      <c r="K1445" s="85"/>
      <c r="L1445" s="87">
        <v>24.0</v>
      </c>
      <c r="M1445" s="87">
        <v>0.0</v>
      </c>
      <c r="N1445" s="87">
        <v>0.0</v>
      </c>
      <c r="O1445" s="87">
        <v>0.0</v>
      </c>
      <c r="P1445" s="87">
        <v>0.0</v>
      </c>
      <c r="Q1445" s="87">
        <v>0.0</v>
      </c>
    </row>
    <row r="1446">
      <c r="A1446" s="84" t="s">
        <v>472</v>
      </c>
      <c r="B1446" s="194"/>
      <c r="C1446" s="84" t="s">
        <v>484</v>
      </c>
      <c r="D1446" s="88" t="s">
        <v>1396</v>
      </c>
      <c r="E1446" s="84" t="s">
        <v>3683</v>
      </c>
      <c r="F1446" s="84" t="s">
        <v>453</v>
      </c>
      <c r="G1446" s="84" t="s">
        <v>3851</v>
      </c>
      <c r="H1446" s="84" t="s">
        <v>3521</v>
      </c>
      <c r="I1446" s="84" t="s">
        <v>3684</v>
      </c>
      <c r="J1446" s="84" t="s">
        <v>130</v>
      </c>
      <c r="K1446" s="85"/>
      <c r="L1446" s="87">
        <v>24.0</v>
      </c>
      <c r="M1446" s="87">
        <v>0.0</v>
      </c>
      <c r="N1446" s="87">
        <v>0.0</v>
      </c>
      <c r="O1446" s="87">
        <v>0.0</v>
      </c>
      <c r="P1446" s="87">
        <v>0.0</v>
      </c>
      <c r="Q1446" s="87">
        <v>0.0</v>
      </c>
    </row>
    <row r="1447">
      <c r="A1447" s="84" t="s">
        <v>601</v>
      </c>
      <c r="B1447" s="194"/>
      <c r="C1447" s="84" t="s">
        <v>1068</v>
      </c>
      <c r="D1447" s="88" t="s">
        <v>1396</v>
      </c>
      <c r="E1447" s="84" t="s">
        <v>3745</v>
      </c>
      <c r="F1447" s="84" t="s">
        <v>340</v>
      </c>
      <c r="G1447" s="84" t="s">
        <v>3595</v>
      </c>
      <c r="H1447" s="84" t="s">
        <v>3521</v>
      </c>
      <c r="I1447" s="84" t="s">
        <v>3684</v>
      </c>
      <c r="J1447" s="91"/>
      <c r="K1447" s="85"/>
      <c r="L1447" s="87">
        <v>280.0</v>
      </c>
      <c r="M1447" s="87">
        <v>9.0</v>
      </c>
      <c r="N1447" s="87">
        <v>4.146557</v>
      </c>
      <c r="O1447" s="87">
        <v>13.7</v>
      </c>
      <c r="P1447" s="87">
        <v>13.56652</v>
      </c>
      <c r="Q1447" s="87">
        <v>9.055521</v>
      </c>
    </row>
    <row r="1448">
      <c r="A1448" s="84" t="s">
        <v>180</v>
      </c>
      <c r="B1448" s="194"/>
      <c r="C1448" s="84" t="s">
        <v>1321</v>
      </c>
      <c r="D1448" s="88" t="s">
        <v>1396</v>
      </c>
      <c r="E1448" s="84" t="s">
        <v>3683</v>
      </c>
      <c r="F1448" s="84" t="s">
        <v>4192</v>
      </c>
      <c r="G1448" s="84" t="s">
        <v>3547</v>
      </c>
      <c r="H1448" s="84" t="s">
        <v>3507</v>
      </c>
      <c r="I1448" s="84" t="s">
        <v>3684</v>
      </c>
      <c r="J1448" s="91"/>
      <c r="K1448" s="91"/>
      <c r="L1448" s="87">
        <v>6.0</v>
      </c>
      <c r="M1448" s="87">
        <v>0.0</v>
      </c>
      <c r="N1448" s="87">
        <v>0.0</v>
      </c>
      <c r="O1448" s="87">
        <v>0.0</v>
      </c>
      <c r="P1448" s="87">
        <v>0.0</v>
      </c>
      <c r="Q1448" s="87">
        <v>0.0</v>
      </c>
    </row>
    <row r="1449">
      <c r="A1449" s="84" t="s">
        <v>74</v>
      </c>
      <c r="B1449" s="194"/>
      <c r="C1449" s="84" t="s">
        <v>83</v>
      </c>
      <c r="D1449" s="88" t="s">
        <v>1396</v>
      </c>
      <c r="E1449" s="84" t="s">
        <v>3683</v>
      </c>
      <c r="F1449" s="84" t="s">
        <v>73</v>
      </c>
      <c r="G1449" s="84" t="s">
        <v>3712</v>
      </c>
      <c r="H1449" s="84" t="s">
        <v>3521</v>
      </c>
      <c r="I1449" s="84" t="s">
        <v>3684</v>
      </c>
      <c r="J1449" s="91"/>
      <c r="K1449" s="84" t="s">
        <v>111</v>
      </c>
      <c r="L1449" s="87">
        <v>744.0</v>
      </c>
      <c r="M1449" s="87">
        <v>0.0</v>
      </c>
      <c r="N1449" s="87">
        <v>0.0</v>
      </c>
      <c r="O1449" s="87">
        <v>0.0</v>
      </c>
      <c r="P1449" s="87">
        <v>0.0</v>
      </c>
      <c r="Q1449" s="87">
        <v>0.0</v>
      </c>
    </row>
    <row r="1450">
      <c r="A1450" s="84" t="s">
        <v>301</v>
      </c>
      <c r="B1450" s="194"/>
      <c r="C1450" s="84" t="s">
        <v>321</v>
      </c>
      <c r="D1450" s="88" t="s">
        <v>1396</v>
      </c>
      <c r="E1450" s="84" t="s">
        <v>3683</v>
      </c>
      <c r="F1450" s="84" t="s">
        <v>300</v>
      </c>
      <c r="G1450" s="84" t="s">
        <v>3703</v>
      </c>
      <c r="H1450" s="84" t="s">
        <v>3521</v>
      </c>
      <c r="I1450" s="84" t="s">
        <v>3684</v>
      </c>
      <c r="J1450" s="84" t="s">
        <v>130</v>
      </c>
      <c r="K1450" s="91"/>
      <c r="L1450" s="87">
        <v>384.0</v>
      </c>
      <c r="M1450" s="87">
        <v>0.0</v>
      </c>
      <c r="N1450" s="87">
        <v>2.137344</v>
      </c>
      <c r="O1450" s="87">
        <v>0.142857</v>
      </c>
      <c r="P1450" s="87">
        <v>0.466667</v>
      </c>
      <c r="Q1450" s="87">
        <v>2.446057</v>
      </c>
    </row>
    <row r="1451">
      <c r="A1451" s="84" t="s">
        <v>472</v>
      </c>
      <c r="B1451" s="194"/>
      <c r="C1451" s="84" t="s">
        <v>1039</v>
      </c>
      <c r="D1451" s="88" t="s">
        <v>1396</v>
      </c>
      <c r="E1451" s="84" t="s">
        <v>3683</v>
      </c>
      <c r="F1451" s="84" t="s">
        <v>1035</v>
      </c>
      <c r="G1451" s="84" t="s">
        <v>3588</v>
      </c>
      <c r="H1451" s="84" t="s">
        <v>3521</v>
      </c>
      <c r="I1451" s="84" t="s">
        <v>3684</v>
      </c>
      <c r="J1451" s="91"/>
      <c r="K1451" s="85"/>
      <c r="L1451" s="87">
        <v>0.0</v>
      </c>
      <c r="M1451" s="87">
        <v>1.0</v>
      </c>
      <c r="N1451" s="87">
        <v>0.0</v>
      </c>
      <c r="O1451" s="87">
        <v>4.70631</v>
      </c>
      <c r="P1451" s="87">
        <v>5.443013</v>
      </c>
      <c r="Q1451" s="87">
        <v>6.360378</v>
      </c>
    </row>
    <row r="1452">
      <c r="A1452" s="84" t="s">
        <v>644</v>
      </c>
      <c r="B1452" s="194"/>
      <c r="C1452" s="84" t="s">
        <v>713</v>
      </c>
      <c r="D1452" s="88" t="s">
        <v>1396</v>
      </c>
      <c r="E1452" s="84" t="s">
        <v>3683</v>
      </c>
      <c r="F1452" s="84" t="s">
        <v>714</v>
      </c>
      <c r="G1452" s="84" t="s">
        <v>3607</v>
      </c>
      <c r="I1452" s="84" t="s">
        <v>3684</v>
      </c>
      <c r="J1452" s="91"/>
      <c r="K1452" s="84" t="s">
        <v>111</v>
      </c>
      <c r="L1452" s="87">
        <v>552.0</v>
      </c>
      <c r="M1452" s="87">
        <v>0.0</v>
      </c>
      <c r="N1452" s="87">
        <v>0.0</v>
      </c>
      <c r="O1452" s="87">
        <v>0.0</v>
      </c>
      <c r="P1452" s="87">
        <v>0.0</v>
      </c>
      <c r="Q1452" s="87">
        <v>0.0</v>
      </c>
    </row>
    <row r="1453">
      <c r="A1453" s="84" t="s">
        <v>439</v>
      </c>
      <c r="B1453" s="194"/>
      <c r="C1453" s="84" t="s">
        <v>3655</v>
      </c>
      <c r="D1453" s="88" t="s">
        <v>1396</v>
      </c>
      <c r="E1453" s="84" t="s">
        <v>3683</v>
      </c>
      <c r="F1453" s="84" t="s">
        <v>3714</v>
      </c>
      <c r="G1453" s="84" t="s">
        <v>3715</v>
      </c>
      <c r="H1453" s="84" t="s">
        <v>3521</v>
      </c>
      <c r="I1453" s="84" t="s">
        <v>3684</v>
      </c>
      <c r="J1453" s="91"/>
      <c r="K1453" s="84" t="s">
        <v>111</v>
      </c>
      <c r="L1453" s="87">
        <v>480.0</v>
      </c>
      <c r="M1453" s="87">
        <v>0.0</v>
      </c>
      <c r="N1453" s="87">
        <v>0.0</v>
      </c>
      <c r="O1453" s="87">
        <v>0.0</v>
      </c>
      <c r="P1453" s="87">
        <v>0.0</v>
      </c>
      <c r="Q1453" s="87">
        <v>0.0</v>
      </c>
    </row>
    <row r="1454">
      <c r="A1454" s="84" t="s">
        <v>74</v>
      </c>
      <c r="B1454" s="194"/>
      <c r="C1454" s="84" t="s">
        <v>83</v>
      </c>
      <c r="D1454" s="88" t="s">
        <v>1396</v>
      </c>
      <c r="E1454" s="84" t="s">
        <v>3683</v>
      </c>
      <c r="F1454" s="84" t="s">
        <v>73</v>
      </c>
      <c r="G1454" s="84" t="s">
        <v>3712</v>
      </c>
      <c r="I1454" s="84" t="s">
        <v>3684</v>
      </c>
      <c r="J1454" s="91"/>
      <c r="K1454" s="85"/>
      <c r="L1454" s="87">
        <v>552.0</v>
      </c>
      <c r="M1454" s="87">
        <v>0.0</v>
      </c>
      <c r="N1454" s="87">
        <v>0.0</v>
      </c>
      <c r="O1454" s="87">
        <v>0.0</v>
      </c>
      <c r="P1454" s="87">
        <v>0.0</v>
      </c>
      <c r="Q1454" s="87">
        <v>0.0</v>
      </c>
    </row>
    <row r="1455">
      <c r="A1455" s="84" t="s">
        <v>644</v>
      </c>
      <c r="B1455" s="194"/>
      <c r="C1455" s="84" t="s">
        <v>1181</v>
      </c>
      <c r="D1455" s="88" t="s">
        <v>1396</v>
      </c>
      <c r="E1455" s="84" t="s">
        <v>3683</v>
      </c>
      <c r="F1455" s="84" t="s">
        <v>1180</v>
      </c>
      <c r="G1455" s="84" t="s">
        <v>3600</v>
      </c>
      <c r="I1455" s="84" t="s">
        <v>3684</v>
      </c>
      <c r="J1455" s="84" t="s">
        <v>215</v>
      </c>
      <c r="L1455" s="87">
        <v>480.0</v>
      </c>
      <c r="M1455" s="87">
        <v>0.0</v>
      </c>
      <c r="N1455" s="87">
        <v>0.0</v>
      </c>
      <c r="O1455" s="87">
        <v>0.0</v>
      </c>
      <c r="P1455" s="87">
        <v>0.0</v>
      </c>
      <c r="Q1455" s="87">
        <v>0.0</v>
      </c>
    </row>
    <row r="1456">
      <c r="A1456" s="84" t="s">
        <v>630</v>
      </c>
      <c r="B1456" s="194"/>
      <c r="C1456" s="84" t="s">
        <v>1105</v>
      </c>
      <c r="D1456" s="88" t="s">
        <v>1396</v>
      </c>
      <c r="E1456" s="91"/>
      <c r="F1456" s="84" t="s">
        <v>1104</v>
      </c>
      <c r="G1456" s="84" t="s">
        <v>3602</v>
      </c>
      <c r="I1456" s="84" t="s">
        <v>3684</v>
      </c>
      <c r="J1456" s="91"/>
      <c r="K1456" s="85"/>
      <c r="L1456" s="87">
        <v>456.0</v>
      </c>
      <c r="M1456" s="87">
        <v>0.0</v>
      </c>
      <c r="N1456" s="87">
        <v>0.0</v>
      </c>
      <c r="O1456" s="87">
        <v>0.0</v>
      </c>
      <c r="P1456" s="87">
        <v>0.0</v>
      </c>
      <c r="Q1456" s="87">
        <v>0.0</v>
      </c>
    </row>
    <row r="1457">
      <c r="A1457" s="84" t="s">
        <v>644</v>
      </c>
      <c r="B1457" s="194"/>
      <c r="C1457" s="84" t="s">
        <v>1213</v>
      </c>
      <c r="D1457" s="88" t="s">
        <v>1396</v>
      </c>
      <c r="E1457" s="84" t="s">
        <v>3683</v>
      </c>
      <c r="F1457" s="84" t="s">
        <v>1208</v>
      </c>
      <c r="G1457" s="84" t="s">
        <v>3606</v>
      </c>
      <c r="H1457" s="84" t="s">
        <v>3521</v>
      </c>
      <c r="I1457" s="84" t="s">
        <v>3684</v>
      </c>
      <c r="J1457" s="91"/>
      <c r="K1457" s="85"/>
      <c r="L1457" s="87">
        <v>0.0</v>
      </c>
      <c r="M1457" s="87">
        <v>3.0</v>
      </c>
      <c r="N1457" s="87">
        <v>0.0</v>
      </c>
      <c r="O1457" s="87">
        <v>1.321429</v>
      </c>
      <c r="P1457" s="87">
        <v>1.042857</v>
      </c>
      <c r="Q1457" s="87">
        <v>0.65468</v>
      </c>
    </row>
    <row r="1458">
      <c r="A1458" s="84" t="s">
        <v>74</v>
      </c>
      <c r="B1458" s="194"/>
      <c r="C1458" s="84" t="s">
        <v>79</v>
      </c>
      <c r="D1458" s="88" t="s">
        <v>1396</v>
      </c>
      <c r="E1458" s="84" t="s">
        <v>3683</v>
      </c>
      <c r="F1458" s="84" t="s">
        <v>73</v>
      </c>
      <c r="G1458" s="84" t="s">
        <v>3712</v>
      </c>
      <c r="I1458" s="84" t="s">
        <v>3684</v>
      </c>
      <c r="J1458" s="91"/>
      <c r="K1458" s="85"/>
      <c r="L1458" s="87">
        <v>552.0</v>
      </c>
      <c r="M1458" s="87">
        <v>0.0</v>
      </c>
      <c r="N1458" s="87">
        <v>0.0</v>
      </c>
      <c r="O1458" s="87">
        <v>0.0</v>
      </c>
      <c r="P1458" s="87">
        <v>0.0</v>
      </c>
      <c r="Q1458" s="87">
        <v>0.0</v>
      </c>
    </row>
    <row r="1459">
      <c r="A1459" s="84" t="s">
        <v>644</v>
      </c>
      <c r="B1459" s="194"/>
      <c r="C1459" s="84" t="s">
        <v>4201</v>
      </c>
      <c r="D1459" s="88" t="s">
        <v>1396</v>
      </c>
      <c r="E1459" s="84" t="s">
        <v>3683</v>
      </c>
      <c r="F1459" s="91"/>
      <c r="G1459" s="84" t="s">
        <v>4202</v>
      </c>
      <c r="I1459" s="84" t="s">
        <v>3684</v>
      </c>
      <c r="J1459" s="91"/>
      <c r="K1459" s="91"/>
      <c r="L1459" s="87">
        <v>552.0</v>
      </c>
      <c r="M1459" s="87">
        <v>0.0</v>
      </c>
      <c r="N1459" s="87">
        <v>0.0</v>
      </c>
      <c r="O1459" s="87">
        <v>0.0</v>
      </c>
      <c r="P1459" s="87">
        <v>0.0</v>
      </c>
      <c r="Q1459" s="87">
        <v>0.0</v>
      </c>
    </row>
    <row r="1460">
      <c r="A1460" s="84" t="s">
        <v>258</v>
      </c>
      <c r="B1460" s="194"/>
      <c r="C1460" s="84" t="s">
        <v>895</v>
      </c>
      <c r="D1460" s="88" t="s">
        <v>1396</v>
      </c>
      <c r="E1460" s="84" t="s">
        <v>3683</v>
      </c>
      <c r="F1460" s="84" t="s">
        <v>892</v>
      </c>
      <c r="G1460" s="84" t="s">
        <v>3559</v>
      </c>
      <c r="H1460" s="84" t="s">
        <v>3521</v>
      </c>
      <c r="I1460" s="84" t="s">
        <v>3684</v>
      </c>
      <c r="J1460" s="91"/>
      <c r="K1460" s="84" t="s">
        <v>111</v>
      </c>
      <c r="L1460" s="87">
        <v>480.0</v>
      </c>
      <c r="M1460" s="87">
        <v>0.0</v>
      </c>
      <c r="N1460" s="87">
        <v>0.0</v>
      </c>
      <c r="O1460" s="87">
        <v>0.0</v>
      </c>
      <c r="P1460" s="87">
        <v>0.0</v>
      </c>
      <c r="Q1460" s="87">
        <v>0.0</v>
      </c>
    </row>
    <row r="1461">
      <c r="A1461" s="84" t="s">
        <v>439</v>
      </c>
      <c r="B1461" s="194"/>
      <c r="C1461" s="84" t="s">
        <v>1307</v>
      </c>
      <c r="D1461" s="88" t="s">
        <v>1396</v>
      </c>
      <c r="E1461" s="84" t="s">
        <v>3687</v>
      </c>
      <c r="F1461" s="84" t="s">
        <v>938</v>
      </c>
      <c r="G1461" s="84" t="s">
        <v>3847</v>
      </c>
      <c r="H1461" s="84" t="s">
        <v>3527</v>
      </c>
      <c r="I1461" s="84" t="s">
        <v>3684</v>
      </c>
      <c r="J1461" s="84" t="s">
        <v>130</v>
      </c>
      <c r="K1461" s="84" t="s">
        <v>111</v>
      </c>
      <c r="L1461" s="87">
        <v>792.0</v>
      </c>
      <c r="M1461" s="87">
        <v>0.0</v>
      </c>
      <c r="N1461" s="87">
        <v>11.86667</v>
      </c>
      <c r="O1461" s="87">
        <v>0.0</v>
      </c>
      <c r="P1461" s="87">
        <v>11.0</v>
      </c>
      <c r="Q1461" s="87">
        <v>11.86667</v>
      </c>
    </row>
    <row r="1462">
      <c r="A1462" s="84" t="s">
        <v>458</v>
      </c>
      <c r="B1462" s="194"/>
      <c r="C1462" s="84" t="s">
        <v>461</v>
      </c>
      <c r="D1462" s="88" t="s">
        <v>1396</v>
      </c>
      <c r="E1462" s="84" t="s">
        <v>3683</v>
      </c>
      <c r="F1462" s="84" t="s">
        <v>457</v>
      </c>
      <c r="G1462" s="84" t="s">
        <v>3560</v>
      </c>
      <c r="H1462" s="84" t="s">
        <v>3521</v>
      </c>
      <c r="I1462" s="84" t="s">
        <v>3684</v>
      </c>
      <c r="J1462" s="91"/>
      <c r="K1462" s="85"/>
      <c r="L1462" s="87">
        <v>0.0</v>
      </c>
      <c r="M1462" s="87">
        <v>2.0</v>
      </c>
      <c r="N1462" s="87">
        <v>0.0</v>
      </c>
      <c r="O1462" s="87">
        <v>1.157143</v>
      </c>
      <c r="P1462" s="87">
        <v>1.959272</v>
      </c>
      <c r="Q1462" s="87">
        <v>0.958917</v>
      </c>
    </row>
    <row r="1463">
      <c r="A1463" s="84" t="s">
        <v>444</v>
      </c>
      <c r="B1463" s="194"/>
      <c r="C1463" s="84" t="s">
        <v>449</v>
      </c>
      <c r="D1463" s="88" t="s">
        <v>1396</v>
      </c>
      <c r="E1463" s="84" t="s">
        <v>3683</v>
      </c>
      <c r="F1463" s="84" t="s">
        <v>448</v>
      </c>
      <c r="G1463" s="84" t="s">
        <v>3577</v>
      </c>
      <c r="H1463" s="84" t="s">
        <v>3521</v>
      </c>
      <c r="I1463" s="84" t="s">
        <v>3684</v>
      </c>
      <c r="J1463" s="91"/>
      <c r="K1463" s="91"/>
      <c r="L1463" s="87">
        <v>72.0</v>
      </c>
      <c r="M1463" s="87">
        <v>0.0</v>
      </c>
      <c r="N1463" s="87">
        <v>0.153846</v>
      </c>
      <c r="O1463" s="87">
        <v>0.796703</v>
      </c>
      <c r="P1463" s="87">
        <v>0.671264</v>
      </c>
      <c r="Q1463" s="87">
        <v>0.524175</v>
      </c>
    </row>
    <row r="1464">
      <c r="A1464" s="84" t="s">
        <v>180</v>
      </c>
      <c r="B1464" s="194"/>
      <c r="C1464" s="84" t="s">
        <v>1319</v>
      </c>
      <c r="D1464" s="88" t="s">
        <v>1396</v>
      </c>
      <c r="E1464" s="84" t="s">
        <v>3683</v>
      </c>
      <c r="F1464" s="84" t="s">
        <v>814</v>
      </c>
      <c r="G1464" s="84" t="s">
        <v>3533</v>
      </c>
      <c r="H1464" s="84" t="s">
        <v>3521</v>
      </c>
      <c r="I1464" s="84" t="s">
        <v>3684</v>
      </c>
      <c r="J1464" s="91"/>
      <c r="K1464" s="85"/>
      <c r="L1464" s="87">
        <v>360.0</v>
      </c>
      <c r="M1464" s="87">
        <v>0.0</v>
      </c>
      <c r="N1464" s="87">
        <v>0.148333</v>
      </c>
      <c r="O1464" s="87">
        <v>0.071429</v>
      </c>
      <c r="P1464" s="87">
        <v>0.133333</v>
      </c>
      <c r="Q1464" s="87">
        <v>0.235737</v>
      </c>
    </row>
    <row r="1465">
      <c r="A1465" s="84" t="s">
        <v>258</v>
      </c>
      <c r="B1465" s="194"/>
      <c r="C1465" s="84" t="s">
        <v>888</v>
      </c>
      <c r="D1465" s="88" t="s">
        <v>1396</v>
      </c>
      <c r="E1465" s="84" t="s">
        <v>3687</v>
      </c>
      <c r="F1465" s="84" t="s">
        <v>884</v>
      </c>
      <c r="G1465" s="84" t="s">
        <v>3558</v>
      </c>
      <c r="H1465" s="84" t="s">
        <v>3521</v>
      </c>
      <c r="I1465" s="84" t="s">
        <v>3684</v>
      </c>
      <c r="J1465" s="84" t="s">
        <v>89</v>
      </c>
      <c r="K1465" s="91"/>
      <c r="L1465" s="87">
        <v>24.0</v>
      </c>
      <c r="M1465" s="87">
        <v>2.0</v>
      </c>
      <c r="N1465" s="87">
        <v>0.0</v>
      </c>
      <c r="O1465" s="87">
        <v>0.714286</v>
      </c>
      <c r="P1465" s="87">
        <v>0.950575</v>
      </c>
      <c r="Q1465" s="87">
        <v>1.068788</v>
      </c>
    </row>
    <row r="1466">
      <c r="A1466" s="84" t="s">
        <v>1848</v>
      </c>
      <c r="B1466" s="194"/>
      <c r="C1466" s="84" t="s">
        <v>1324</v>
      </c>
      <c r="D1466" s="88" t="s">
        <v>1396</v>
      </c>
      <c r="E1466" s="84" t="s">
        <v>3683</v>
      </c>
      <c r="F1466" s="84" t="s">
        <v>4198</v>
      </c>
      <c r="G1466" s="84" t="s">
        <v>3556</v>
      </c>
      <c r="H1466" s="84" t="s">
        <v>3507</v>
      </c>
      <c r="I1466" s="84" t="s">
        <v>3684</v>
      </c>
      <c r="J1466" s="84" t="s">
        <v>130</v>
      </c>
      <c r="K1466" s="84" t="s">
        <v>111</v>
      </c>
      <c r="L1466" s="87">
        <v>312.0</v>
      </c>
      <c r="M1466" s="87">
        <v>0.0</v>
      </c>
      <c r="N1466" s="87">
        <v>1.0</v>
      </c>
      <c r="O1466" s="87">
        <v>0.0</v>
      </c>
      <c r="P1466" s="87">
        <v>0.0</v>
      </c>
      <c r="Q1466" s="87">
        <v>1.0</v>
      </c>
    </row>
    <row r="1467">
      <c r="A1467" s="84" t="s">
        <v>573</v>
      </c>
      <c r="B1467" s="194"/>
      <c r="C1467" s="84" t="s">
        <v>1058</v>
      </c>
      <c r="D1467" s="88" t="s">
        <v>1396</v>
      </c>
      <c r="E1467" s="84" t="s">
        <v>3683</v>
      </c>
      <c r="F1467" s="84" t="s">
        <v>581</v>
      </c>
      <c r="G1467" s="84" t="s">
        <v>3594</v>
      </c>
      <c r="H1467" s="84" t="s">
        <v>3527</v>
      </c>
      <c r="I1467" s="84" t="s">
        <v>3709</v>
      </c>
      <c r="J1467" s="91"/>
      <c r="K1467" s="84" t="s">
        <v>111</v>
      </c>
      <c r="L1467" s="87">
        <v>456.0</v>
      </c>
      <c r="M1467" s="87">
        <v>0.0</v>
      </c>
      <c r="N1467" s="87">
        <v>0.0</v>
      </c>
      <c r="O1467" s="87">
        <v>0.0</v>
      </c>
      <c r="P1467" s="87">
        <v>0.0</v>
      </c>
      <c r="Q1467" s="87">
        <v>0.0</v>
      </c>
    </row>
    <row r="1468">
      <c r="A1468" s="84" t="s">
        <v>393</v>
      </c>
      <c r="B1468" s="194"/>
      <c r="C1468" s="84" t="s">
        <v>3643</v>
      </c>
      <c r="D1468" s="88" t="s">
        <v>1396</v>
      </c>
      <c r="E1468" s="84" t="s">
        <v>3897</v>
      </c>
      <c r="F1468" s="84" t="s">
        <v>3814</v>
      </c>
      <c r="G1468" s="84" t="s">
        <v>3815</v>
      </c>
      <c r="H1468" s="84" t="s">
        <v>3521</v>
      </c>
      <c r="I1468" s="84" t="s">
        <v>3693</v>
      </c>
      <c r="J1468" s="91"/>
      <c r="K1468" s="91"/>
      <c r="L1468" s="87">
        <v>23.0</v>
      </c>
      <c r="M1468" s="87">
        <v>0.0</v>
      </c>
      <c r="N1468" s="87">
        <v>0.0</v>
      </c>
      <c r="O1468" s="87">
        <v>0.808608</v>
      </c>
      <c r="P1468" s="87">
        <v>1.001669</v>
      </c>
      <c r="Q1468" s="87">
        <v>1.068328</v>
      </c>
    </row>
    <row r="1469">
      <c r="A1469" s="84" t="s">
        <v>537</v>
      </c>
      <c r="B1469" s="194"/>
      <c r="C1469" s="84" t="s">
        <v>1040</v>
      </c>
      <c r="D1469" s="88" t="s">
        <v>1396</v>
      </c>
      <c r="E1469" s="84" t="s">
        <v>3683</v>
      </c>
      <c r="F1469" s="84" t="s">
        <v>1041</v>
      </c>
      <c r="G1469" s="84" t="s">
        <v>3590</v>
      </c>
      <c r="H1469" s="84" t="s">
        <v>3521</v>
      </c>
      <c r="I1469" s="84" t="s">
        <v>3693</v>
      </c>
      <c r="J1469" s="91"/>
      <c r="K1469" s="84" t="s">
        <v>111</v>
      </c>
      <c r="L1469" s="87">
        <v>504.0</v>
      </c>
      <c r="M1469" s="87">
        <v>0.0</v>
      </c>
      <c r="N1469" s="87">
        <v>0.833333</v>
      </c>
      <c r="O1469" s="87">
        <v>0.0</v>
      </c>
      <c r="P1469" s="87">
        <v>0.0</v>
      </c>
      <c r="Q1469" s="87">
        <v>0.833333</v>
      </c>
    </row>
    <row r="1470">
      <c r="A1470" s="84" t="s">
        <v>74</v>
      </c>
      <c r="B1470" s="194"/>
      <c r="C1470" s="84" t="s">
        <v>85</v>
      </c>
      <c r="D1470" s="88" t="s">
        <v>1396</v>
      </c>
      <c r="E1470" s="84" t="s">
        <v>3683</v>
      </c>
      <c r="F1470" s="84" t="s">
        <v>73</v>
      </c>
      <c r="G1470" s="84" t="s">
        <v>3712</v>
      </c>
      <c r="H1470" s="84" t="s">
        <v>3521</v>
      </c>
      <c r="I1470" s="84" t="s">
        <v>3684</v>
      </c>
      <c r="J1470" s="84" t="s">
        <v>130</v>
      </c>
      <c r="K1470" s="84" t="s">
        <v>111</v>
      </c>
      <c r="L1470" s="87">
        <v>24.0</v>
      </c>
      <c r="M1470" s="87">
        <v>0.0</v>
      </c>
      <c r="N1470" s="87">
        <v>0.0</v>
      </c>
      <c r="O1470" s="87">
        <v>0.0</v>
      </c>
      <c r="P1470" s="87">
        <v>0.0</v>
      </c>
      <c r="Q1470" s="87">
        <v>0.0</v>
      </c>
    </row>
    <row r="1471">
      <c r="A1471" s="84" t="s">
        <v>264</v>
      </c>
      <c r="B1471" s="194"/>
      <c r="C1471" s="84" t="s">
        <v>285</v>
      </c>
      <c r="D1471" s="88" t="s">
        <v>1396</v>
      </c>
      <c r="E1471" s="84" t="s">
        <v>3683</v>
      </c>
      <c r="F1471" s="84" t="s">
        <v>286</v>
      </c>
      <c r="G1471" s="84" t="s">
        <v>3691</v>
      </c>
      <c r="H1471" s="84" t="s">
        <v>3521</v>
      </c>
      <c r="I1471" s="84" t="s">
        <v>3684</v>
      </c>
      <c r="J1471" s="84" t="s">
        <v>130</v>
      </c>
      <c r="K1471" s="91"/>
      <c r="L1471" s="87">
        <v>24.0</v>
      </c>
      <c r="M1471" s="87">
        <v>0.0</v>
      </c>
      <c r="N1471" s="87">
        <v>0.0</v>
      </c>
      <c r="O1471" s="87">
        <v>0.0</v>
      </c>
      <c r="P1471" s="87">
        <v>0.0</v>
      </c>
      <c r="Q1471" s="87">
        <v>0.0</v>
      </c>
    </row>
    <row r="1472">
      <c r="A1472" s="84" t="s">
        <v>644</v>
      </c>
      <c r="B1472" s="194"/>
      <c r="C1472" s="84" t="s">
        <v>730</v>
      </c>
      <c r="D1472" s="88" t="s">
        <v>1396</v>
      </c>
      <c r="E1472" s="84" t="s">
        <v>3687</v>
      </c>
      <c r="F1472" s="84" t="s">
        <v>729</v>
      </c>
      <c r="G1472" s="84" t="s">
        <v>3752</v>
      </c>
      <c r="I1472" s="84" t="s">
        <v>3684</v>
      </c>
      <c r="J1472" s="91"/>
      <c r="K1472" s="91"/>
      <c r="L1472" s="87">
        <v>24.0</v>
      </c>
      <c r="M1472" s="87">
        <v>0.0</v>
      </c>
      <c r="N1472" s="87">
        <v>1.0</v>
      </c>
      <c r="O1472" s="87">
        <v>0.0</v>
      </c>
      <c r="P1472" s="87">
        <v>0.0</v>
      </c>
      <c r="Q1472" s="87">
        <v>1.0</v>
      </c>
    </row>
    <row r="1473">
      <c r="A1473" s="84" t="s">
        <v>644</v>
      </c>
      <c r="B1473" s="194"/>
      <c r="C1473" s="84" t="s">
        <v>1178</v>
      </c>
      <c r="D1473" s="88" t="s">
        <v>1396</v>
      </c>
      <c r="E1473" s="84" t="s">
        <v>3683</v>
      </c>
      <c r="F1473" s="84" t="s">
        <v>1170</v>
      </c>
      <c r="G1473" s="84" t="s">
        <v>3600</v>
      </c>
      <c r="H1473" s="84" t="s">
        <v>3521</v>
      </c>
      <c r="I1473" s="84" t="s">
        <v>3684</v>
      </c>
      <c r="J1473" s="84" t="s">
        <v>130</v>
      </c>
      <c r="K1473" s="85"/>
      <c r="L1473" s="87">
        <v>648.0</v>
      </c>
      <c r="M1473" s="87">
        <v>0.0</v>
      </c>
      <c r="N1473" s="87">
        <v>4.321516</v>
      </c>
      <c r="O1473" s="87">
        <v>1.242857</v>
      </c>
      <c r="P1473" s="87">
        <v>1.786174</v>
      </c>
      <c r="Q1473" s="87">
        <v>4.272216</v>
      </c>
    </row>
    <row r="1474">
      <c r="A1474" s="84" t="s">
        <v>601</v>
      </c>
      <c r="B1474" s="194"/>
      <c r="C1474" s="84" t="s">
        <v>1067</v>
      </c>
      <c r="D1474" s="88" t="s">
        <v>1396</v>
      </c>
      <c r="E1474" s="84" t="s">
        <v>3745</v>
      </c>
      <c r="F1474" s="84" t="s">
        <v>340</v>
      </c>
      <c r="G1474" s="84" t="s">
        <v>3595</v>
      </c>
      <c r="H1474" s="84" t="s">
        <v>3521</v>
      </c>
      <c r="I1474" s="84" t="s">
        <v>3684</v>
      </c>
      <c r="J1474" s="91"/>
      <c r="K1474" s="85"/>
      <c r="L1474" s="87">
        <v>660.0</v>
      </c>
      <c r="M1474" s="87">
        <v>1.0</v>
      </c>
      <c r="N1474" s="87">
        <v>5.180365</v>
      </c>
      <c r="O1474" s="87">
        <v>1.380952</v>
      </c>
      <c r="P1474" s="87">
        <v>2.338709</v>
      </c>
      <c r="Q1474" s="87">
        <v>5.359543</v>
      </c>
    </row>
    <row r="1475">
      <c r="A1475" s="84" t="s">
        <v>573</v>
      </c>
      <c r="B1475" s="194"/>
      <c r="C1475" s="84" t="s">
        <v>3637</v>
      </c>
      <c r="D1475" s="88" t="s">
        <v>1396</v>
      </c>
      <c r="E1475" s="84" t="s">
        <v>3683</v>
      </c>
      <c r="F1475" s="84" t="s">
        <v>581</v>
      </c>
      <c r="G1475" s="84" t="s">
        <v>3594</v>
      </c>
      <c r="H1475" s="84" t="s">
        <v>3527</v>
      </c>
      <c r="I1475" s="84" t="s">
        <v>3709</v>
      </c>
      <c r="J1475" s="91"/>
      <c r="K1475" s="84" t="s">
        <v>111</v>
      </c>
      <c r="L1475" s="87">
        <v>456.0</v>
      </c>
      <c r="M1475" s="87">
        <v>0.0</v>
      </c>
      <c r="N1475" s="87">
        <v>0.0</v>
      </c>
      <c r="O1475" s="87">
        <v>0.0</v>
      </c>
      <c r="P1475" s="87">
        <v>0.0</v>
      </c>
      <c r="Q1475" s="87">
        <v>0.0</v>
      </c>
    </row>
    <row r="1476">
      <c r="A1476" s="84" t="s">
        <v>341</v>
      </c>
      <c r="B1476" s="194"/>
      <c r="C1476" s="84" t="s">
        <v>351</v>
      </c>
      <c r="D1476" s="88" t="s">
        <v>1396</v>
      </c>
      <c r="E1476" s="84" t="s">
        <v>3687</v>
      </c>
      <c r="F1476" s="84" t="s">
        <v>352</v>
      </c>
      <c r="G1476" s="84" t="s">
        <v>3754</v>
      </c>
      <c r="H1476" s="84" t="s">
        <v>3521</v>
      </c>
      <c r="I1476" s="84" t="s">
        <v>3962</v>
      </c>
      <c r="J1476" s="91"/>
      <c r="K1476" s="84" t="s">
        <v>111</v>
      </c>
      <c r="L1476" s="87">
        <v>528.0</v>
      </c>
      <c r="M1476" s="87">
        <v>0.0</v>
      </c>
      <c r="N1476" s="87">
        <v>0.0</v>
      </c>
      <c r="O1476" s="87">
        <v>0.0</v>
      </c>
      <c r="P1476" s="87">
        <v>0.0</v>
      </c>
      <c r="Q1476" s="87">
        <v>0.0</v>
      </c>
    </row>
    <row r="1477">
      <c r="A1477" s="84" t="s">
        <v>630</v>
      </c>
      <c r="B1477" s="194"/>
      <c r="C1477" s="84" t="s">
        <v>1277</v>
      </c>
      <c r="D1477" s="88" t="s">
        <v>1396</v>
      </c>
      <c r="E1477" s="84" t="s">
        <v>3683</v>
      </c>
      <c r="F1477" s="84" t="s">
        <v>1108</v>
      </c>
      <c r="G1477" s="84" t="s">
        <v>3554</v>
      </c>
      <c r="H1477" s="84" t="s">
        <v>3521</v>
      </c>
      <c r="I1477" s="84" t="s">
        <v>3684</v>
      </c>
      <c r="J1477" s="84" t="s">
        <v>130</v>
      </c>
      <c r="K1477" s="85"/>
      <c r="L1477" s="87">
        <v>24.0</v>
      </c>
      <c r="M1477" s="87">
        <v>0.0</v>
      </c>
      <c r="N1477" s="87">
        <v>0.0</v>
      </c>
      <c r="O1477" s="87">
        <v>0.0</v>
      </c>
      <c r="P1477" s="87">
        <v>0.0</v>
      </c>
      <c r="Q1477" s="87">
        <v>0.0</v>
      </c>
    </row>
    <row r="1478">
      <c r="A1478" s="84" t="s">
        <v>444</v>
      </c>
      <c r="B1478" s="194"/>
      <c r="C1478" s="84" t="s">
        <v>960</v>
      </c>
      <c r="D1478" s="88" t="s">
        <v>1396</v>
      </c>
      <c r="E1478" s="84" t="s">
        <v>3683</v>
      </c>
      <c r="F1478" s="84" t="s">
        <v>959</v>
      </c>
      <c r="G1478" s="84" t="s">
        <v>3579</v>
      </c>
      <c r="I1478" s="84" t="s">
        <v>3684</v>
      </c>
      <c r="J1478" s="91"/>
      <c r="K1478" s="85"/>
      <c r="L1478" s="87">
        <v>552.0</v>
      </c>
      <c r="M1478" s="87">
        <v>0.0</v>
      </c>
      <c r="N1478" s="87">
        <v>0.0</v>
      </c>
      <c r="O1478" s="87">
        <v>0.0</v>
      </c>
      <c r="P1478" s="87">
        <v>0.0</v>
      </c>
      <c r="Q1478" s="87">
        <v>0.0</v>
      </c>
    </row>
    <row r="1479">
      <c r="A1479" s="84" t="s">
        <v>644</v>
      </c>
      <c r="B1479" s="194"/>
      <c r="C1479" s="84" t="s">
        <v>3641</v>
      </c>
      <c r="D1479" s="88" t="s">
        <v>1396</v>
      </c>
      <c r="E1479" s="84" t="s">
        <v>3683</v>
      </c>
      <c r="F1479" s="84" t="s">
        <v>670</v>
      </c>
      <c r="G1479" s="84" t="s">
        <v>3789</v>
      </c>
      <c r="I1479" s="84" t="s">
        <v>3684</v>
      </c>
      <c r="J1479" s="91"/>
      <c r="K1479" s="84" t="s">
        <v>111</v>
      </c>
      <c r="L1479" s="87">
        <v>552.0</v>
      </c>
      <c r="M1479" s="87">
        <v>0.0</v>
      </c>
      <c r="N1479" s="87">
        <v>0.0</v>
      </c>
      <c r="O1479" s="87">
        <v>0.0</v>
      </c>
      <c r="P1479" s="87">
        <v>0.0</v>
      </c>
      <c r="Q1479" s="87">
        <v>0.0</v>
      </c>
    </row>
    <row r="1480">
      <c r="A1480" s="84" t="s">
        <v>644</v>
      </c>
      <c r="B1480" s="194"/>
      <c r="C1480" s="84" t="s">
        <v>1274</v>
      </c>
      <c r="D1480" s="88" t="s">
        <v>1396</v>
      </c>
      <c r="E1480" s="84" t="s">
        <v>3683</v>
      </c>
      <c r="F1480" s="84" t="s">
        <v>1273</v>
      </c>
      <c r="G1480" s="84" t="s">
        <v>3602</v>
      </c>
      <c r="H1480" s="84" t="s">
        <v>3521</v>
      </c>
      <c r="I1480" s="84" t="s">
        <v>3684</v>
      </c>
      <c r="J1480" s="91"/>
      <c r="K1480" s="84" t="s">
        <v>111</v>
      </c>
      <c r="L1480" s="87">
        <v>648.0</v>
      </c>
      <c r="M1480" s="87">
        <v>0.0</v>
      </c>
      <c r="N1480" s="87">
        <v>0.0</v>
      </c>
      <c r="O1480" s="87">
        <v>0.0</v>
      </c>
      <c r="P1480" s="87">
        <v>0.0</v>
      </c>
      <c r="Q1480" s="87">
        <v>0.0</v>
      </c>
    </row>
    <row r="1481">
      <c r="A1481" s="84" t="s">
        <v>644</v>
      </c>
      <c r="B1481" s="194"/>
      <c r="C1481" s="84" t="s">
        <v>1271</v>
      </c>
      <c r="D1481" s="88" t="s">
        <v>1396</v>
      </c>
      <c r="E1481" s="84" t="s">
        <v>3683</v>
      </c>
      <c r="F1481" s="84" t="s">
        <v>1229</v>
      </c>
      <c r="G1481" s="84" t="s">
        <v>3551</v>
      </c>
      <c r="H1481" s="84" t="s">
        <v>3521</v>
      </c>
      <c r="I1481" s="84" t="s">
        <v>3684</v>
      </c>
      <c r="J1481" s="91"/>
      <c r="K1481" s="85"/>
      <c r="L1481" s="87">
        <v>44.0</v>
      </c>
      <c r="M1481" s="87">
        <v>2.0</v>
      </c>
      <c r="N1481" s="87">
        <v>1.228846</v>
      </c>
      <c r="O1481" s="87">
        <v>5.950402</v>
      </c>
      <c r="P1481" s="87">
        <v>5.238847</v>
      </c>
      <c r="Q1481" s="87">
        <v>4.565538</v>
      </c>
    </row>
    <row r="1482">
      <c r="A1482" s="84" t="s">
        <v>644</v>
      </c>
      <c r="B1482" s="194"/>
      <c r="C1482" s="84" t="s">
        <v>1351</v>
      </c>
      <c r="D1482" s="88" t="s">
        <v>1396</v>
      </c>
      <c r="E1482" s="84" t="s">
        <v>3683</v>
      </c>
      <c r="F1482" s="84" t="s">
        <v>850</v>
      </c>
      <c r="G1482" s="84" t="s">
        <v>3551</v>
      </c>
      <c r="H1482" s="84" t="s">
        <v>3521</v>
      </c>
      <c r="I1482" s="84" t="s">
        <v>3684</v>
      </c>
      <c r="J1482" s="91"/>
      <c r="K1482" s="84" t="s">
        <v>111</v>
      </c>
      <c r="L1482" s="87">
        <v>336.0</v>
      </c>
      <c r="M1482" s="87">
        <v>0.0</v>
      </c>
      <c r="N1482" s="87">
        <v>0.081667</v>
      </c>
      <c r="O1482" s="87">
        <v>0.0</v>
      </c>
      <c r="P1482" s="87">
        <v>0.583333</v>
      </c>
      <c r="Q1482" s="87">
        <v>0.081667</v>
      </c>
    </row>
    <row r="1483">
      <c r="A1483" s="84" t="s">
        <v>341</v>
      </c>
      <c r="B1483" s="194"/>
      <c r="C1483" s="84" t="s">
        <v>349</v>
      </c>
      <c r="D1483" s="88" t="s">
        <v>1396</v>
      </c>
      <c r="E1483" s="84" t="s">
        <v>3683</v>
      </c>
      <c r="F1483" s="84" t="s">
        <v>350</v>
      </c>
      <c r="G1483" s="84" t="s">
        <v>4196</v>
      </c>
      <c r="H1483" s="84" t="s">
        <v>3513</v>
      </c>
      <c r="I1483" s="84" t="s">
        <v>3962</v>
      </c>
      <c r="J1483" s="84" t="s">
        <v>130</v>
      </c>
      <c r="K1483" s="84" t="s">
        <v>111</v>
      </c>
      <c r="L1483" s="87">
        <v>418.0</v>
      </c>
      <c r="M1483" s="87">
        <v>19.0</v>
      </c>
      <c r="N1483" s="87">
        <v>20.91002</v>
      </c>
      <c r="O1483" s="87">
        <v>51.53019</v>
      </c>
      <c r="P1483" s="87">
        <v>33.35471</v>
      </c>
      <c r="Q1483" s="87">
        <v>24.80411</v>
      </c>
    </row>
    <row r="1484">
      <c r="A1484" s="84" t="s">
        <v>439</v>
      </c>
      <c r="B1484" s="194"/>
      <c r="C1484" s="84" t="s">
        <v>1336</v>
      </c>
      <c r="D1484" s="88" t="s">
        <v>1396</v>
      </c>
      <c r="E1484" s="84" t="s">
        <v>3687</v>
      </c>
      <c r="F1484" s="84" t="s">
        <v>4041</v>
      </c>
      <c r="G1484" s="84" t="s">
        <v>3575</v>
      </c>
      <c r="H1484" s="84" t="s">
        <v>3513</v>
      </c>
      <c r="I1484" s="84" t="s">
        <v>3684</v>
      </c>
      <c r="J1484" s="84" t="s">
        <v>130</v>
      </c>
      <c r="K1484" s="91"/>
      <c r="L1484" s="87">
        <v>312.0</v>
      </c>
      <c r="M1484" s="87">
        <v>0.0</v>
      </c>
      <c r="N1484" s="87">
        <v>18.28832</v>
      </c>
      <c r="O1484" s="87">
        <v>0.0</v>
      </c>
      <c r="P1484" s="87">
        <v>0.0</v>
      </c>
      <c r="Q1484" s="87">
        <v>18.28832</v>
      </c>
    </row>
    <row r="1485">
      <c r="A1485" s="84" t="s">
        <v>630</v>
      </c>
      <c r="B1485" s="194"/>
      <c r="C1485" s="84" t="s">
        <v>1278</v>
      </c>
      <c r="D1485" s="88" t="s">
        <v>1396</v>
      </c>
      <c r="E1485" s="91"/>
      <c r="F1485" s="84" t="s">
        <v>1108</v>
      </c>
      <c r="G1485" s="84" t="s">
        <v>3554</v>
      </c>
      <c r="I1485" s="84" t="s">
        <v>3684</v>
      </c>
      <c r="J1485" s="91"/>
      <c r="K1485" s="91"/>
      <c r="L1485" s="87">
        <v>432.0</v>
      </c>
      <c r="M1485" s="87">
        <v>0.0</v>
      </c>
      <c r="N1485" s="87">
        <v>0.0</v>
      </c>
      <c r="O1485" s="87">
        <v>0.0</v>
      </c>
      <c r="P1485" s="87">
        <v>0.0</v>
      </c>
      <c r="Q1485" s="87">
        <v>0.0</v>
      </c>
    </row>
    <row r="1486">
      <c r="A1486" s="84" t="s">
        <v>644</v>
      </c>
      <c r="B1486" s="194"/>
      <c r="C1486" s="84" t="s">
        <v>1245</v>
      </c>
      <c r="D1486" s="88" t="s">
        <v>1396</v>
      </c>
      <c r="E1486" s="84" t="s">
        <v>3683</v>
      </c>
      <c r="F1486" s="84" t="s">
        <v>1244</v>
      </c>
      <c r="G1486" s="84" t="s">
        <v>3607</v>
      </c>
      <c r="H1486" s="84" t="s">
        <v>3521</v>
      </c>
      <c r="I1486" s="84" t="s">
        <v>3684</v>
      </c>
      <c r="J1486" s="84" t="s">
        <v>215</v>
      </c>
      <c r="L1486" s="87">
        <v>144.0</v>
      </c>
      <c r="M1486" s="87">
        <v>0.0</v>
      </c>
      <c r="N1486" s="87">
        <v>0.357576</v>
      </c>
      <c r="O1486" s="87">
        <v>0.0</v>
      </c>
      <c r="P1486" s="87">
        <v>0.233333</v>
      </c>
      <c r="Q1486" s="87">
        <v>0.44658</v>
      </c>
    </row>
    <row r="1487">
      <c r="A1487" s="84" t="s">
        <v>616</v>
      </c>
      <c r="B1487" s="194"/>
      <c r="C1487" s="84" t="s">
        <v>1082</v>
      </c>
      <c r="D1487" s="88" t="s">
        <v>1396</v>
      </c>
      <c r="E1487" s="84" t="s">
        <v>3683</v>
      </c>
      <c r="F1487" s="84" t="s">
        <v>1075</v>
      </c>
      <c r="G1487" s="84" t="s">
        <v>3542</v>
      </c>
      <c r="H1487" s="84" t="s">
        <v>3521</v>
      </c>
      <c r="I1487" s="84" t="s">
        <v>3684</v>
      </c>
      <c r="J1487" s="91"/>
      <c r="K1487" s="84" t="s">
        <v>111</v>
      </c>
      <c r="L1487" s="87">
        <v>432.0</v>
      </c>
      <c r="M1487" s="87">
        <v>0.0</v>
      </c>
      <c r="N1487" s="87">
        <v>0.0</v>
      </c>
      <c r="O1487" s="87">
        <v>0.0</v>
      </c>
      <c r="P1487" s="87">
        <v>0.0</v>
      </c>
      <c r="Q1487" s="87">
        <v>0.0</v>
      </c>
    </row>
    <row r="1488">
      <c r="A1488" s="84" t="s">
        <v>258</v>
      </c>
      <c r="B1488" s="194"/>
      <c r="C1488" s="84" t="s">
        <v>896</v>
      </c>
      <c r="D1488" s="88" t="s">
        <v>1396</v>
      </c>
      <c r="E1488" s="84" t="s">
        <v>3687</v>
      </c>
      <c r="F1488" s="84" t="s">
        <v>884</v>
      </c>
      <c r="G1488" s="84" t="s">
        <v>3558</v>
      </c>
      <c r="H1488" s="84" t="s">
        <v>3521</v>
      </c>
      <c r="I1488" s="84" t="s">
        <v>3684</v>
      </c>
      <c r="J1488" s="84" t="s">
        <v>89</v>
      </c>
      <c r="K1488" s="85"/>
      <c r="L1488" s="87">
        <v>96.0</v>
      </c>
      <c r="M1488" s="87">
        <v>0.0</v>
      </c>
      <c r="N1488" s="87">
        <v>0.055556</v>
      </c>
      <c r="O1488" s="87">
        <v>0.642857</v>
      </c>
      <c r="P1488" s="87">
        <v>0.222222</v>
      </c>
      <c r="Q1488" s="87">
        <v>0.104167</v>
      </c>
    </row>
    <row r="1489">
      <c r="A1489" s="84" t="s">
        <v>341</v>
      </c>
      <c r="B1489" s="194"/>
      <c r="C1489" s="84" t="s">
        <v>349</v>
      </c>
      <c r="D1489" s="88" t="s">
        <v>1396</v>
      </c>
      <c r="E1489" s="84" t="s">
        <v>3683</v>
      </c>
      <c r="F1489" s="84" t="s">
        <v>350</v>
      </c>
      <c r="G1489" s="84" t="s">
        <v>4196</v>
      </c>
      <c r="H1489" s="84" t="s">
        <v>3513</v>
      </c>
      <c r="I1489" s="84" t="s">
        <v>3962</v>
      </c>
      <c r="J1489" s="91"/>
      <c r="K1489" s="84" t="s">
        <v>111</v>
      </c>
      <c r="L1489" s="87">
        <v>24.0</v>
      </c>
      <c r="M1489" s="87">
        <v>0.0</v>
      </c>
      <c r="N1489" s="87">
        <v>1.609037</v>
      </c>
      <c r="O1489" s="87">
        <v>2.144048</v>
      </c>
      <c r="P1489" s="87">
        <v>1.55785</v>
      </c>
      <c r="Q1489" s="87">
        <v>1.405267</v>
      </c>
    </row>
    <row r="1490">
      <c r="A1490" s="84" t="s">
        <v>601</v>
      </c>
      <c r="B1490" s="194"/>
      <c r="C1490" s="84" t="s">
        <v>607</v>
      </c>
      <c r="D1490" s="88" t="s">
        <v>1396</v>
      </c>
      <c r="E1490" s="84" t="s">
        <v>3683</v>
      </c>
      <c r="F1490" s="84" t="s">
        <v>608</v>
      </c>
      <c r="G1490" s="84" t="s">
        <v>3853</v>
      </c>
      <c r="H1490" s="84" t="s">
        <v>3521</v>
      </c>
      <c r="I1490" s="84" t="s">
        <v>3684</v>
      </c>
      <c r="J1490" s="91"/>
      <c r="K1490" s="84" t="s">
        <v>111</v>
      </c>
      <c r="L1490" s="87">
        <v>432.0</v>
      </c>
      <c r="M1490" s="87">
        <v>0.0</v>
      </c>
      <c r="N1490" s="87">
        <v>0.055556</v>
      </c>
      <c r="O1490" s="87">
        <v>0.5</v>
      </c>
      <c r="P1490" s="87">
        <v>0.055556</v>
      </c>
      <c r="Q1490" s="87">
        <v>0.045983</v>
      </c>
    </row>
    <row r="1491">
      <c r="A1491" s="84" t="s">
        <v>537</v>
      </c>
      <c r="B1491" s="194"/>
      <c r="C1491" s="84" t="s">
        <v>1046</v>
      </c>
      <c r="D1491" s="88" t="s">
        <v>1396</v>
      </c>
      <c r="E1491" s="84" t="s">
        <v>3683</v>
      </c>
      <c r="F1491" s="84" t="s">
        <v>1047</v>
      </c>
      <c r="G1491" s="84" t="s">
        <v>3592</v>
      </c>
      <c r="H1491" s="84" t="s">
        <v>3521</v>
      </c>
      <c r="I1491" s="84" t="s">
        <v>3693</v>
      </c>
      <c r="J1491" s="84" t="s">
        <v>130</v>
      </c>
      <c r="K1491" s="84" t="s">
        <v>111</v>
      </c>
      <c r="L1491" s="87">
        <v>24.0</v>
      </c>
      <c r="M1491" s="87">
        <v>0.0</v>
      </c>
      <c r="N1491" s="87">
        <v>0.0</v>
      </c>
      <c r="O1491" s="87">
        <v>0.0</v>
      </c>
      <c r="P1491" s="87">
        <v>0.0</v>
      </c>
      <c r="Q1491" s="87">
        <v>0.0</v>
      </c>
    </row>
    <row r="1492">
      <c r="A1492" s="84" t="s">
        <v>180</v>
      </c>
      <c r="B1492" s="194"/>
      <c r="C1492" s="84" t="s">
        <v>194</v>
      </c>
      <c r="D1492" s="88" t="s">
        <v>1396</v>
      </c>
      <c r="E1492" s="84" t="s">
        <v>3683</v>
      </c>
      <c r="F1492" s="84" t="s">
        <v>190</v>
      </c>
      <c r="G1492" s="84" t="s">
        <v>3708</v>
      </c>
      <c r="H1492" s="84" t="s">
        <v>3521</v>
      </c>
      <c r="I1492" s="84" t="s">
        <v>3709</v>
      </c>
      <c r="J1492" s="91"/>
      <c r="K1492" s="84" t="s">
        <v>111</v>
      </c>
      <c r="L1492" s="87">
        <v>192.0</v>
      </c>
      <c r="M1492" s="87">
        <v>0.0</v>
      </c>
      <c r="N1492" s="87">
        <v>0.666667</v>
      </c>
      <c r="O1492" s="87">
        <v>0.0</v>
      </c>
      <c r="P1492" s="87">
        <v>0.0</v>
      </c>
      <c r="Q1492" s="87">
        <v>0.666667</v>
      </c>
    </row>
    <row r="1493">
      <c r="A1493" s="84" t="s">
        <v>745</v>
      </c>
      <c r="B1493" s="194"/>
      <c r="C1493" s="84" t="s">
        <v>749</v>
      </c>
      <c r="D1493" s="88" t="s">
        <v>1396</v>
      </c>
      <c r="E1493" s="84" t="s">
        <v>3683</v>
      </c>
      <c r="F1493" s="84" t="s">
        <v>744</v>
      </c>
      <c r="G1493" s="84" t="s">
        <v>3841</v>
      </c>
      <c r="H1493" s="84" t="s">
        <v>3521</v>
      </c>
      <c r="I1493" s="84" t="s">
        <v>3684</v>
      </c>
      <c r="J1493" s="84" t="s">
        <v>130</v>
      </c>
      <c r="K1493" s="84" t="s">
        <v>111</v>
      </c>
      <c r="L1493" s="87">
        <v>24.0</v>
      </c>
      <c r="M1493" s="87">
        <v>0.0</v>
      </c>
      <c r="N1493" s="87">
        <v>0.125</v>
      </c>
      <c r="O1493" s="87">
        <v>0.125</v>
      </c>
      <c r="P1493" s="87">
        <v>0.041667</v>
      </c>
      <c r="Q1493" s="87">
        <v>0.018519</v>
      </c>
    </row>
    <row r="1494">
      <c r="A1494" s="84" t="s">
        <v>180</v>
      </c>
      <c r="B1494" s="194"/>
      <c r="C1494" s="84" t="s">
        <v>842</v>
      </c>
      <c r="D1494" s="88" t="s">
        <v>1396</v>
      </c>
      <c r="E1494" s="84" t="s">
        <v>3683</v>
      </c>
      <c r="F1494" s="84" t="s">
        <v>843</v>
      </c>
      <c r="G1494" s="84" t="s">
        <v>3599</v>
      </c>
      <c r="H1494" s="84" t="s">
        <v>3507</v>
      </c>
      <c r="I1494" s="84" t="s">
        <v>3684</v>
      </c>
      <c r="J1494" s="84" t="s">
        <v>130</v>
      </c>
      <c r="K1494" s="84" t="s">
        <v>111</v>
      </c>
      <c r="L1494" s="87">
        <v>24.0</v>
      </c>
      <c r="M1494" s="87">
        <v>0.0</v>
      </c>
      <c r="N1494" s="87">
        <v>0.0</v>
      </c>
      <c r="O1494" s="87">
        <v>0.0</v>
      </c>
      <c r="P1494" s="87">
        <v>0.0</v>
      </c>
      <c r="Q1494" s="87">
        <v>0.0</v>
      </c>
    </row>
    <row r="1495">
      <c r="A1495" s="84" t="s">
        <v>74</v>
      </c>
      <c r="B1495" s="194"/>
      <c r="C1495" s="84" t="s">
        <v>91</v>
      </c>
      <c r="D1495" s="88" t="s">
        <v>1396</v>
      </c>
      <c r="E1495" s="84" t="s">
        <v>3683</v>
      </c>
      <c r="F1495" s="84" t="s">
        <v>73</v>
      </c>
      <c r="G1495" s="84" t="s">
        <v>3712</v>
      </c>
      <c r="H1495" s="84" t="s">
        <v>3521</v>
      </c>
      <c r="I1495" s="84" t="s">
        <v>3684</v>
      </c>
      <c r="J1495" s="91"/>
      <c r="K1495" s="91"/>
      <c r="L1495" s="87">
        <v>43.0</v>
      </c>
      <c r="M1495" s="87">
        <v>3.0</v>
      </c>
      <c r="N1495" s="87">
        <v>0.230769</v>
      </c>
      <c r="O1495" s="87">
        <v>0.945055</v>
      </c>
      <c r="P1495" s="87">
        <v>1.388695</v>
      </c>
      <c r="Q1495" s="87">
        <v>1.318475</v>
      </c>
    </row>
    <row r="1496">
      <c r="A1496" s="84" t="s">
        <v>363</v>
      </c>
      <c r="B1496" s="193"/>
      <c r="C1496" s="84" t="s">
        <v>367</v>
      </c>
      <c r="D1496" s="88" t="s">
        <v>1396</v>
      </c>
      <c r="E1496" s="84" t="s">
        <v>3897</v>
      </c>
      <c r="F1496" s="84" t="s">
        <v>368</v>
      </c>
      <c r="G1496" s="84" t="s">
        <v>3770</v>
      </c>
      <c r="H1496" s="84" t="s">
        <v>3513</v>
      </c>
      <c r="I1496" s="84" t="s">
        <v>3709</v>
      </c>
      <c r="J1496" s="91"/>
      <c r="K1496" s="91"/>
      <c r="L1496" s="87">
        <v>82.0</v>
      </c>
      <c r="M1496" s="87">
        <v>26.0</v>
      </c>
      <c r="N1496" s="87">
        <v>1.301732</v>
      </c>
      <c r="O1496" s="87">
        <v>28.11074</v>
      </c>
      <c r="P1496" s="87">
        <v>28.98717</v>
      </c>
      <c r="Q1496" s="87">
        <v>27.05762</v>
      </c>
    </row>
    <row r="1497">
      <c r="A1497" s="84" t="s">
        <v>363</v>
      </c>
      <c r="B1497" s="194"/>
      <c r="C1497" s="84" t="s">
        <v>389</v>
      </c>
      <c r="D1497" s="88" t="s">
        <v>1396</v>
      </c>
      <c r="E1497" s="84" t="s">
        <v>3683</v>
      </c>
      <c r="F1497" s="84" t="s">
        <v>382</v>
      </c>
      <c r="G1497" s="84" t="s">
        <v>3991</v>
      </c>
      <c r="H1497" s="84" t="s">
        <v>3527</v>
      </c>
      <c r="I1497" s="84" t="s">
        <v>3709</v>
      </c>
      <c r="J1497" s="84" t="s">
        <v>130</v>
      </c>
      <c r="K1497" s="91"/>
      <c r="L1497" s="87">
        <v>768.0</v>
      </c>
      <c r="M1497" s="87">
        <v>0.0</v>
      </c>
      <c r="N1497" s="87">
        <v>6.764451</v>
      </c>
      <c r="O1497" s="87">
        <v>0.0</v>
      </c>
      <c r="P1497" s="87">
        <v>8.375491</v>
      </c>
      <c r="Q1497" s="87">
        <v>6.758891</v>
      </c>
    </row>
    <row r="1498">
      <c r="A1498" s="84" t="s">
        <v>258</v>
      </c>
      <c r="B1498" s="194"/>
      <c r="C1498" s="84" t="s">
        <v>908</v>
      </c>
      <c r="D1498" s="88" t="s">
        <v>1396</v>
      </c>
      <c r="E1498" s="91"/>
      <c r="F1498" s="84" t="s">
        <v>909</v>
      </c>
      <c r="G1498" s="84" t="s">
        <v>3562</v>
      </c>
      <c r="I1498" s="84" t="s">
        <v>3684</v>
      </c>
      <c r="J1498" s="91"/>
      <c r="K1498" s="91"/>
      <c r="L1498" s="87">
        <v>480.0</v>
      </c>
      <c r="M1498" s="87">
        <v>0.0</v>
      </c>
      <c r="N1498" s="87">
        <v>0.0</v>
      </c>
      <c r="O1498" s="87">
        <v>0.0</v>
      </c>
      <c r="P1498" s="87">
        <v>0.0</v>
      </c>
      <c r="Q1498" s="87">
        <v>0.0</v>
      </c>
    </row>
    <row r="1499">
      <c r="A1499" s="84" t="s">
        <v>537</v>
      </c>
      <c r="B1499" s="194"/>
      <c r="C1499" s="84" t="s">
        <v>554</v>
      </c>
      <c r="D1499" s="88" t="s">
        <v>1396</v>
      </c>
      <c r="E1499" s="84" t="s">
        <v>3683</v>
      </c>
      <c r="F1499" s="84" t="s">
        <v>551</v>
      </c>
      <c r="G1499" s="84" t="s">
        <v>3590</v>
      </c>
      <c r="I1499" s="84" t="s">
        <v>3693</v>
      </c>
      <c r="J1499" s="91"/>
      <c r="K1499" s="91"/>
      <c r="L1499" s="87">
        <v>552.0</v>
      </c>
      <c r="M1499" s="87">
        <v>0.0</v>
      </c>
      <c r="N1499" s="87">
        <v>0.0</v>
      </c>
      <c r="O1499" s="87">
        <v>0.0</v>
      </c>
      <c r="P1499" s="87">
        <v>0.0</v>
      </c>
      <c r="Q1499" s="87">
        <v>0.0</v>
      </c>
    </row>
    <row r="1500">
      <c r="A1500" s="84" t="s">
        <v>180</v>
      </c>
      <c r="B1500" s="194"/>
      <c r="C1500" s="84" t="s">
        <v>824</v>
      </c>
      <c r="D1500" s="88" t="s">
        <v>1396</v>
      </c>
      <c r="E1500" s="84" t="s">
        <v>3683</v>
      </c>
      <c r="F1500" s="84" t="s">
        <v>814</v>
      </c>
      <c r="G1500" s="84" t="s">
        <v>3533</v>
      </c>
      <c r="H1500" s="84" t="s">
        <v>3521</v>
      </c>
      <c r="I1500" s="84" t="s">
        <v>3684</v>
      </c>
      <c r="J1500" s="91"/>
      <c r="K1500" s="91"/>
      <c r="L1500" s="87">
        <v>51.0</v>
      </c>
      <c r="M1500" s="87">
        <v>1.0</v>
      </c>
      <c r="N1500" s="87">
        <v>0.0</v>
      </c>
      <c r="O1500" s="87">
        <v>5.533608</v>
      </c>
      <c r="P1500" s="87">
        <v>3.899878</v>
      </c>
      <c r="Q1500" s="87">
        <v>3.308371</v>
      </c>
    </row>
    <row r="1501">
      <c r="A1501" s="84" t="s">
        <v>301</v>
      </c>
      <c r="B1501" s="194"/>
      <c r="C1501" s="84" t="s">
        <v>334</v>
      </c>
      <c r="D1501" s="88" t="s">
        <v>1396</v>
      </c>
      <c r="E1501" s="84" t="s">
        <v>3683</v>
      </c>
      <c r="F1501" s="84" t="s">
        <v>335</v>
      </c>
      <c r="G1501" s="84" t="s">
        <v>3703</v>
      </c>
      <c r="H1501" s="84" t="s">
        <v>3521</v>
      </c>
      <c r="I1501" s="84" t="s">
        <v>3684</v>
      </c>
      <c r="J1501" s="84" t="s">
        <v>130</v>
      </c>
      <c r="K1501" s="91"/>
      <c r="L1501" s="87">
        <v>168.0</v>
      </c>
      <c r="M1501" s="87">
        <v>0.0</v>
      </c>
      <c r="N1501" s="87">
        <v>0.348352</v>
      </c>
      <c r="O1501" s="87">
        <v>0.0</v>
      </c>
      <c r="P1501" s="87">
        <v>0.0</v>
      </c>
      <c r="Q1501" s="87">
        <v>0.584286</v>
      </c>
    </row>
    <row r="1502">
      <c r="A1502" s="84" t="s">
        <v>537</v>
      </c>
      <c r="B1502" s="194"/>
      <c r="C1502" s="84" t="s">
        <v>541</v>
      </c>
      <c r="D1502" s="88" t="s">
        <v>1396</v>
      </c>
      <c r="E1502" s="84" t="s">
        <v>3683</v>
      </c>
      <c r="F1502" s="84" t="s">
        <v>542</v>
      </c>
      <c r="G1502" s="84" t="s">
        <v>3514</v>
      </c>
      <c r="H1502" s="84" t="s">
        <v>3521</v>
      </c>
      <c r="I1502" s="84" t="s">
        <v>3693</v>
      </c>
      <c r="J1502" s="91"/>
      <c r="K1502" s="84" t="s">
        <v>111</v>
      </c>
      <c r="L1502" s="87">
        <v>408.0</v>
      </c>
      <c r="M1502" s="87">
        <v>0.0</v>
      </c>
      <c r="N1502" s="87">
        <v>1.233333</v>
      </c>
      <c r="O1502" s="87">
        <v>1.0</v>
      </c>
      <c r="P1502" s="87">
        <v>0.9</v>
      </c>
      <c r="Q1502" s="87">
        <v>1.733333</v>
      </c>
    </row>
    <row r="1503">
      <c r="A1503" s="84" t="s">
        <v>439</v>
      </c>
      <c r="B1503" s="194"/>
      <c r="C1503" s="84" t="s">
        <v>1298</v>
      </c>
      <c r="D1503" s="88" t="s">
        <v>1396</v>
      </c>
      <c r="E1503" s="84" t="s">
        <v>3683</v>
      </c>
      <c r="F1503" s="84" t="s">
        <v>4205</v>
      </c>
      <c r="G1503" s="84" t="s">
        <v>3715</v>
      </c>
      <c r="H1503" s="84" t="s">
        <v>3513</v>
      </c>
      <c r="I1503" s="84" t="s">
        <v>3684</v>
      </c>
      <c r="J1503" s="84" t="s">
        <v>130</v>
      </c>
      <c r="K1503" s="91"/>
      <c r="L1503" s="87">
        <v>720.0</v>
      </c>
      <c r="M1503" s="87">
        <v>0.0</v>
      </c>
      <c r="N1503" s="87">
        <v>4.499675</v>
      </c>
      <c r="O1503" s="87">
        <v>0.0</v>
      </c>
      <c r="P1503" s="87">
        <v>6.166667</v>
      </c>
      <c r="Q1503" s="87">
        <v>4.499675</v>
      </c>
    </row>
    <row r="1504">
      <c r="A1504" s="84" t="s">
        <v>258</v>
      </c>
      <c r="B1504" s="194"/>
      <c r="C1504" s="84" t="s">
        <v>907</v>
      </c>
      <c r="D1504" s="88" t="s">
        <v>1396</v>
      </c>
      <c r="E1504" s="84" t="s">
        <v>3683</v>
      </c>
      <c r="F1504" s="84" t="s">
        <v>904</v>
      </c>
      <c r="G1504" s="84" t="s">
        <v>3561</v>
      </c>
      <c r="H1504" s="84" t="s">
        <v>3521</v>
      </c>
      <c r="I1504" s="84" t="s">
        <v>3684</v>
      </c>
      <c r="J1504" s="91"/>
      <c r="K1504" s="91"/>
      <c r="L1504" s="87">
        <v>0.0</v>
      </c>
      <c r="M1504" s="87">
        <v>0.0</v>
      </c>
      <c r="N1504" s="87">
        <v>0.0</v>
      </c>
      <c r="O1504" s="87">
        <v>0.448052</v>
      </c>
      <c r="P1504" s="87">
        <v>0.375499</v>
      </c>
      <c r="Q1504" s="87">
        <v>0.269925</v>
      </c>
    </row>
    <row r="1505">
      <c r="A1505" s="84" t="s">
        <v>601</v>
      </c>
      <c r="B1505" s="194"/>
      <c r="C1505" s="84" t="s">
        <v>611</v>
      </c>
      <c r="D1505" s="88" t="s">
        <v>1396</v>
      </c>
      <c r="E1505" s="84" t="s">
        <v>3897</v>
      </c>
      <c r="F1505" s="84" t="s">
        <v>612</v>
      </c>
      <c r="G1505" s="84" t="s">
        <v>4215</v>
      </c>
      <c r="H1505" s="84" t="s">
        <v>3521</v>
      </c>
      <c r="I1505" s="84" t="s">
        <v>3684</v>
      </c>
      <c r="J1505" s="91"/>
      <c r="K1505" s="91"/>
      <c r="L1505" s="87">
        <v>135.0</v>
      </c>
      <c r="M1505" s="87">
        <v>16.0</v>
      </c>
      <c r="N1505" s="87">
        <v>3.139849</v>
      </c>
      <c r="O1505" s="87">
        <v>19.58468</v>
      </c>
      <c r="P1505" s="87">
        <v>13.53576</v>
      </c>
      <c r="Q1505" s="87">
        <v>12.04251</v>
      </c>
    </row>
    <row r="1506">
      <c r="A1506" s="84" t="s">
        <v>180</v>
      </c>
      <c r="B1506" s="194"/>
      <c r="C1506" s="84" t="s">
        <v>813</v>
      </c>
      <c r="D1506" s="88" t="s">
        <v>1396</v>
      </c>
      <c r="E1506" s="84" t="s">
        <v>3683</v>
      </c>
      <c r="F1506" s="84" t="s">
        <v>814</v>
      </c>
      <c r="G1506" s="84" t="s">
        <v>3533</v>
      </c>
      <c r="H1506" s="84" t="s">
        <v>3521</v>
      </c>
      <c r="I1506" s="84" t="s">
        <v>3684</v>
      </c>
      <c r="J1506" s="91"/>
      <c r="K1506" s="84" t="s">
        <v>112</v>
      </c>
      <c r="L1506" s="87">
        <v>288.0</v>
      </c>
      <c r="M1506" s="87">
        <v>0.0</v>
      </c>
      <c r="N1506" s="87">
        <v>0.0</v>
      </c>
      <c r="O1506" s="87">
        <v>0.0</v>
      </c>
      <c r="P1506" s="87">
        <v>0.0</v>
      </c>
      <c r="Q1506" s="87">
        <v>0.0</v>
      </c>
    </row>
    <row r="1507">
      <c r="A1507" s="84" t="s">
        <v>107</v>
      </c>
      <c r="B1507" s="194"/>
      <c r="C1507" s="84" t="s">
        <v>116</v>
      </c>
      <c r="D1507" s="88" t="s">
        <v>1396</v>
      </c>
      <c r="E1507" s="84" t="s">
        <v>3687</v>
      </c>
      <c r="F1507" s="84" t="s">
        <v>106</v>
      </c>
      <c r="G1507" s="84" t="s">
        <v>3552</v>
      </c>
      <c r="H1507" s="84" t="s">
        <v>3521</v>
      </c>
      <c r="I1507" s="84" t="s">
        <v>3684</v>
      </c>
      <c r="J1507" s="91"/>
      <c r="K1507" s="91"/>
      <c r="L1507" s="87">
        <v>192.0</v>
      </c>
      <c r="M1507" s="87">
        <v>0.0</v>
      </c>
      <c r="N1507" s="87">
        <v>0.67963</v>
      </c>
      <c r="O1507" s="87">
        <v>0.166667</v>
      </c>
      <c r="P1507" s="87">
        <v>3.310412</v>
      </c>
      <c r="Q1507" s="87">
        <v>0.516742</v>
      </c>
    </row>
    <row r="1508">
      <c r="A1508" s="84" t="s">
        <v>644</v>
      </c>
      <c r="B1508" s="194"/>
      <c r="C1508" s="84" t="s">
        <v>699</v>
      </c>
      <c r="D1508" s="88" t="s">
        <v>1396</v>
      </c>
      <c r="E1508" s="84" t="s">
        <v>3683</v>
      </c>
      <c r="F1508" s="84" t="s">
        <v>686</v>
      </c>
      <c r="G1508" s="84" t="s">
        <v>3607</v>
      </c>
      <c r="H1508" s="84" t="s">
        <v>3521</v>
      </c>
      <c r="I1508" s="84" t="s">
        <v>3684</v>
      </c>
      <c r="J1508" s="84" t="s">
        <v>215</v>
      </c>
      <c r="K1508" s="84" t="s">
        <v>111</v>
      </c>
      <c r="L1508" s="87">
        <v>96.0</v>
      </c>
      <c r="M1508" s="87">
        <v>0.0</v>
      </c>
      <c r="N1508" s="87">
        <v>0.0</v>
      </c>
      <c r="O1508" s="87">
        <v>0.0</v>
      </c>
      <c r="P1508" s="87">
        <v>0.0</v>
      </c>
      <c r="Q1508" s="87">
        <v>0.0</v>
      </c>
    </row>
    <row r="1509">
      <c r="A1509" s="84" t="s">
        <v>644</v>
      </c>
      <c r="B1509" s="194"/>
      <c r="C1509" s="84" t="s">
        <v>715</v>
      </c>
      <c r="D1509" s="88" t="s">
        <v>1396</v>
      </c>
      <c r="E1509" s="84" t="s">
        <v>3683</v>
      </c>
      <c r="F1509" s="84" t="s">
        <v>716</v>
      </c>
      <c r="G1509" s="84" t="s">
        <v>3607</v>
      </c>
      <c r="H1509" s="84" t="s">
        <v>3521</v>
      </c>
      <c r="I1509" s="84" t="s">
        <v>3684</v>
      </c>
      <c r="J1509" s="84" t="s">
        <v>215</v>
      </c>
      <c r="K1509" s="84" t="s">
        <v>111</v>
      </c>
      <c r="L1509" s="87">
        <v>72.0</v>
      </c>
      <c r="M1509" s="87">
        <v>0.0</v>
      </c>
      <c r="N1509" s="87">
        <v>0.0</v>
      </c>
      <c r="O1509" s="87">
        <v>0.0</v>
      </c>
      <c r="P1509" s="87">
        <v>0.0</v>
      </c>
      <c r="Q1509" s="87">
        <v>0.033616</v>
      </c>
    </row>
    <row r="1510">
      <c r="A1510" s="84" t="s">
        <v>74</v>
      </c>
      <c r="B1510" s="194"/>
      <c r="C1510" s="84" t="s">
        <v>87</v>
      </c>
      <c r="D1510" s="88" t="s">
        <v>1396</v>
      </c>
      <c r="E1510" s="84" t="s">
        <v>3683</v>
      </c>
      <c r="F1510" s="84" t="s">
        <v>73</v>
      </c>
      <c r="G1510" s="84" t="s">
        <v>3712</v>
      </c>
      <c r="H1510" s="84" t="s">
        <v>3521</v>
      </c>
      <c r="I1510" s="84" t="s">
        <v>3684</v>
      </c>
      <c r="J1510" s="84" t="s">
        <v>130</v>
      </c>
      <c r="K1510" s="84" t="s">
        <v>111</v>
      </c>
      <c r="L1510" s="87">
        <v>24.0</v>
      </c>
      <c r="M1510" s="87">
        <v>0.0</v>
      </c>
      <c r="N1510" s="87">
        <v>0.0</v>
      </c>
      <c r="O1510" s="87">
        <v>0.0</v>
      </c>
      <c r="P1510" s="87">
        <v>0.0</v>
      </c>
      <c r="Q1510" s="87">
        <v>0.044949</v>
      </c>
    </row>
    <row r="1511">
      <c r="A1511" s="84" t="s">
        <v>363</v>
      </c>
      <c r="B1511" s="194"/>
      <c r="C1511" s="84" t="s">
        <v>375</v>
      </c>
      <c r="D1511" s="88" t="s">
        <v>1396</v>
      </c>
      <c r="E1511" s="84" t="s">
        <v>3683</v>
      </c>
      <c r="F1511" s="84" t="s">
        <v>376</v>
      </c>
      <c r="G1511" s="84" t="s">
        <v>3568</v>
      </c>
      <c r="H1511" s="84" t="s">
        <v>3527</v>
      </c>
      <c r="I1511" s="84" t="s">
        <v>3709</v>
      </c>
      <c r="J1511" s="84" t="s">
        <v>130</v>
      </c>
      <c r="K1511" s="91"/>
      <c r="L1511" s="87">
        <v>96.0</v>
      </c>
      <c r="M1511" s="87">
        <v>0.0</v>
      </c>
      <c r="N1511" s="87">
        <v>0.0</v>
      </c>
      <c r="O1511" s="87">
        <v>0.0</v>
      </c>
      <c r="P1511" s="87">
        <v>0.0</v>
      </c>
      <c r="Q1511" s="87">
        <v>0.0</v>
      </c>
    </row>
    <row r="1512">
      <c r="A1512" s="84" t="s">
        <v>644</v>
      </c>
      <c r="B1512" s="194"/>
      <c r="C1512" s="84" t="s">
        <v>3641</v>
      </c>
      <c r="D1512" s="88" t="s">
        <v>1396</v>
      </c>
      <c r="E1512" s="84" t="s">
        <v>3683</v>
      </c>
      <c r="F1512" s="84" t="s">
        <v>670</v>
      </c>
      <c r="G1512" s="84" t="s">
        <v>3789</v>
      </c>
      <c r="H1512" s="84" t="s">
        <v>3521</v>
      </c>
      <c r="I1512" s="84" t="s">
        <v>3684</v>
      </c>
      <c r="J1512" s="84" t="s">
        <v>130</v>
      </c>
      <c r="K1512" s="91"/>
      <c r="L1512" s="87">
        <v>48.0</v>
      </c>
      <c r="M1512" s="87">
        <v>0.0</v>
      </c>
      <c r="N1512" s="87">
        <v>0.026316</v>
      </c>
      <c r="O1512" s="87">
        <v>0.0</v>
      </c>
      <c r="P1512" s="87">
        <v>0.0</v>
      </c>
      <c r="Q1512" s="87">
        <v>0.026316</v>
      </c>
    </row>
    <row r="1513">
      <c r="A1513" s="84" t="s">
        <v>472</v>
      </c>
      <c r="B1513" s="194"/>
      <c r="C1513" s="84" t="s">
        <v>475</v>
      </c>
      <c r="D1513" s="88" t="s">
        <v>1396</v>
      </c>
      <c r="E1513" s="84" t="s">
        <v>3683</v>
      </c>
      <c r="F1513" s="84" t="s">
        <v>476</v>
      </c>
      <c r="G1513" s="84" t="s">
        <v>3827</v>
      </c>
      <c r="H1513" s="84" t="s">
        <v>3507</v>
      </c>
      <c r="I1513" s="84" t="s">
        <v>3684</v>
      </c>
      <c r="J1513" s="84" t="s">
        <v>130</v>
      </c>
      <c r="K1513" s="84" t="s">
        <v>111</v>
      </c>
      <c r="L1513" s="87">
        <v>24.0</v>
      </c>
      <c r="M1513" s="87">
        <v>0.0</v>
      </c>
      <c r="N1513" s="87">
        <v>0.0</v>
      </c>
      <c r="O1513" s="87">
        <v>0.0</v>
      </c>
      <c r="P1513" s="87">
        <v>0.0</v>
      </c>
      <c r="Q1513" s="87">
        <v>0.0</v>
      </c>
    </row>
    <row r="1514">
      <c r="A1514" s="84" t="s">
        <v>258</v>
      </c>
      <c r="B1514" s="194"/>
      <c r="C1514" s="84" t="s">
        <v>902</v>
      </c>
      <c r="D1514" s="88" t="s">
        <v>1396</v>
      </c>
      <c r="E1514" s="84" t="s">
        <v>3683</v>
      </c>
      <c r="F1514" s="84" t="s">
        <v>898</v>
      </c>
      <c r="G1514" s="84" t="s">
        <v>3560</v>
      </c>
      <c r="H1514" s="84" t="s">
        <v>3521</v>
      </c>
      <c r="I1514" s="84" t="s">
        <v>3684</v>
      </c>
      <c r="J1514" s="84" t="s">
        <v>130</v>
      </c>
      <c r="K1514" s="91"/>
      <c r="L1514" s="87">
        <v>0.0</v>
      </c>
      <c r="M1514" s="87">
        <v>0.0</v>
      </c>
      <c r="N1514" s="87">
        <v>0.0</v>
      </c>
      <c r="O1514" s="87">
        <v>0.0</v>
      </c>
      <c r="P1514" s="87">
        <v>0.0</v>
      </c>
      <c r="Q1514" s="87">
        <v>0.0</v>
      </c>
    </row>
    <row r="1515">
      <c r="A1515" s="84" t="s">
        <v>644</v>
      </c>
      <c r="B1515" s="194"/>
      <c r="C1515" s="84" t="s">
        <v>741</v>
      </c>
      <c r="D1515" s="88" t="s">
        <v>1396</v>
      </c>
      <c r="E1515" s="84" t="s">
        <v>3683</v>
      </c>
      <c r="F1515" s="84" t="s">
        <v>144</v>
      </c>
      <c r="G1515" s="84" t="s">
        <v>3700</v>
      </c>
      <c r="H1515" s="84" t="s">
        <v>3521</v>
      </c>
      <c r="I1515" s="84" t="s">
        <v>3684</v>
      </c>
      <c r="J1515" s="84" t="s">
        <v>130</v>
      </c>
      <c r="K1515" s="84" t="s">
        <v>111</v>
      </c>
      <c r="L1515" s="87">
        <v>24.0</v>
      </c>
      <c r="M1515" s="87">
        <v>0.0</v>
      </c>
      <c r="N1515" s="87">
        <v>0.0</v>
      </c>
      <c r="O1515" s="87">
        <v>0.0</v>
      </c>
      <c r="P1515" s="87">
        <v>0.0</v>
      </c>
      <c r="Q1515" s="87">
        <v>0.0</v>
      </c>
    </row>
    <row r="1516">
      <c r="A1516" s="84" t="s">
        <v>225</v>
      </c>
      <c r="B1516" s="194"/>
      <c r="C1516" s="84" t="s">
        <v>223</v>
      </c>
      <c r="D1516" s="88" t="s">
        <v>1396</v>
      </c>
      <c r="E1516" s="84" t="s">
        <v>3687</v>
      </c>
      <c r="F1516" s="84" t="s">
        <v>224</v>
      </c>
      <c r="G1516" s="84" t="s">
        <v>3556</v>
      </c>
      <c r="H1516" s="84" t="s">
        <v>3521</v>
      </c>
      <c r="I1516" s="84" t="s">
        <v>3684</v>
      </c>
      <c r="J1516" s="84" t="s">
        <v>130</v>
      </c>
      <c r="K1516" s="84" t="s">
        <v>111</v>
      </c>
      <c r="L1516" s="87">
        <v>24.0</v>
      </c>
      <c r="M1516" s="87">
        <v>0.0</v>
      </c>
      <c r="N1516" s="87">
        <v>0.0</v>
      </c>
      <c r="O1516" s="87">
        <v>0.0</v>
      </c>
      <c r="P1516" s="87">
        <v>0.0</v>
      </c>
      <c r="Q1516" s="87">
        <v>0.0</v>
      </c>
    </row>
    <row r="1517">
      <c r="A1517" s="84" t="s">
        <v>644</v>
      </c>
      <c r="B1517" s="194"/>
      <c r="C1517" s="84" t="s">
        <v>1193</v>
      </c>
      <c r="D1517" s="88" t="s">
        <v>1396</v>
      </c>
      <c r="E1517" s="84" t="s">
        <v>3683</v>
      </c>
      <c r="F1517" s="84" t="s">
        <v>1194</v>
      </c>
      <c r="G1517" s="84" t="s">
        <v>3600</v>
      </c>
      <c r="H1517" s="84" t="s">
        <v>3521</v>
      </c>
      <c r="I1517" s="84" t="s">
        <v>3684</v>
      </c>
      <c r="J1517" s="84" t="s">
        <v>130</v>
      </c>
      <c r="K1517" s="91"/>
      <c r="L1517" s="87">
        <v>336.0</v>
      </c>
      <c r="M1517" s="87">
        <v>0.0</v>
      </c>
      <c r="N1517" s="87">
        <v>0.655049</v>
      </c>
      <c r="O1517" s="87">
        <v>0.0</v>
      </c>
      <c r="P1517" s="87">
        <v>0.0</v>
      </c>
      <c r="Q1517" s="87">
        <v>0.705049</v>
      </c>
    </row>
    <row r="1518">
      <c r="A1518" s="84" t="s">
        <v>644</v>
      </c>
      <c r="B1518" s="194"/>
      <c r="C1518" s="84" t="s">
        <v>642</v>
      </c>
      <c r="D1518" s="88" t="s">
        <v>1396</v>
      </c>
      <c r="E1518" s="84" t="s">
        <v>3683</v>
      </c>
      <c r="F1518" s="84" t="s">
        <v>643</v>
      </c>
      <c r="G1518" s="84" t="s">
        <v>3734</v>
      </c>
      <c r="H1518" s="84" t="s">
        <v>3521</v>
      </c>
      <c r="I1518" s="84" t="s">
        <v>3684</v>
      </c>
      <c r="J1518" s="91"/>
      <c r="K1518" s="91"/>
      <c r="L1518" s="87">
        <v>456.0</v>
      </c>
      <c r="M1518" s="87">
        <v>33.0</v>
      </c>
      <c r="N1518" s="87">
        <v>0.0</v>
      </c>
      <c r="O1518" s="87">
        <v>31.75584</v>
      </c>
      <c r="P1518" s="87">
        <v>29.60262</v>
      </c>
      <c r="Q1518" s="87">
        <v>21.56186</v>
      </c>
    </row>
    <row r="1519">
      <c r="A1519" s="84" t="s">
        <v>644</v>
      </c>
      <c r="B1519" s="194"/>
      <c r="C1519" s="84" t="s">
        <v>1252</v>
      </c>
      <c r="D1519" s="88" t="s">
        <v>1396</v>
      </c>
      <c r="E1519" s="84" t="s">
        <v>3683</v>
      </c>
      <c r="F1519" s="84" t="s">
        <v>708</v>
      </c>
      <c r="G1519" s="84" t="s">
        <v>3607</v>
      </c>
      <c r="H1519" s="84" t="s">
        <v>3521</v>
      </c>
      <c r="I1519" s="84" t="s">
        <v>3684</v>
      </c>
      <c r="J1519" s="84" t="s">
        <v>215</v>
      </c>
      <c r="L1519" s="87">
        <v>288.0</v>
      </c>
      <c r="M1519" s="87">
        <v>0.0</v>
      </c>
      <c r="N1519" s="87">
        <v>3.017438</v>
      </c>
      <c r="O1519" s="87">
        <v>4.392063</v>
      </c>
      <c r="P1519" s="87">
        <v>3.319201</v>
      </c>
      <c r="Q1519" s="87">
        <v>2.643937</v>
      </c>
    </row>
    <row r="1520">
      <c r="A1520" s="84" t="s">
        <v>616</v>
      </c>
      <c r="B1520" s="194"/>
      <c r="C1520" s="84" t="s">
        <v>1084</v>
      </c>
      <c r="D1520" s="88" t="s">
        <v>1396</v>
      </c>
      <c r="E1520" s="91"/>
      <c r="F1520" s="84" t="s">
        <v>794</v>
      </c>
      <c r="G1520" s="84" t="s">
        <v>3522</v>
      </c>
      <c r="I1520" s="84" t="s">
        <v>3684</v>
      </c>
      <c r="J1520" s="91"/>
      <c r="K1520" s="91"/>
      <c r="L1520" s="87">
        <v>456.0</v>
      </c>
      <c r="M1520" s="87">
        <v>0.0</v>
      </c>
      <c r="N1520" s="87">
        <v>0.0</v>
      </c>
      <c r="O1520" s="87">
        <v>0.0</v>
      </c>
      <c r="P1520" s="87">
        <v>0.0</v>
      </c>
      <c r="Q1520" s="87">
        <v>0.0</v>
      </c>
    </row>
    <row r="1521">
      <c r="A1521" s="84" t="s">
        <v>264</v>
      </c>
      <c r="B1521" s="194"/>
      <c r="C1521" s="84" t="s">
        <v>912</v>
      </c>
      <c r="D1521" s="88" t="s">
        <v>1396</v>
      </c>
      <c r="E1521" s="84" t="s">
        <v>3687</v>
      </c>
      <c r="F1521" s="84" t="s">
        <v>295</v>
      </c>
      <c r="G1521" s="84" t="s">
        <v>3564</v>
      </c>
      <c r="H1521" s="84" t="s">
        <v>3521</v>
      </c>
      <c r="I1521" s="84" t="s">
        <v>3684</v>
      </c>
      <c r="J1521" s="91"/>
      <c r="K1521" s="91"/>
      <c r="L1521" s="87">
        <v>0.0</v>
      </c>
      <c r="M1521" s="87">
        <v>0.0</v>
      </c>
      <c r="N1521" s="87">
        <v>0.0</v>
      </c>
      <c r="O1521" s="87">
        <v>0.857143</v>
      </c>
      <c r="P1521" s="87">
        <v>0.9</v>
      </c>
      <c r="Q1521" s="87">
        <v>0.639935</v>
      </c>
    </row>
    <row r="1522">
      <c r="A1522" s="84" t="s">
        <v>139</v>
      </c>
      <c r="B1522" s="193"/>
      <c r="C1522" s="84" t="s">
        <v>137</v>
      </c>
      <c r="D1522" s="88" t="s">
        <v>1396</v>
      </c>
      <c r="E1522" s="84" t="s">
        <v>3683</v>
      </c>
      <c r="F1522" s="84" t="s">
        <v>138</v>
      </c>
      <c r="G1522" s="84" t="s">
        <v>3801</v>
      </c>
      <c r="H1522" s="84" t="s">
        <v>3521</v>
      </c>
      <c r="I1522" s="84" t="s">
        <v>3684</v>
      </c>
      <c r="J1522" s="84" t="s">
        <v>130</v>
      </c>
      <c r="K1522" s="91"/>
      <c r="L1522" s="87">
        <v>864.0</v>
      </c>
      <c r="M1522" s="87">
        <v>0.0</v>
      </c>
      <c r="N1522" s="87">
        <v>0.0</v>
      </c>
      <c r="O1522" s="87">
        <v>0.0</v>
      </c>
      <c r="P1522" s="87">
        <v>0.0</v>
      </c>
      <c r="Q1522" s="87">
        <v>0.0</v>
      </c>
    </row>
    <row r="1523">
      <c r="A1523" s="84" t="s">
        <v>644</v>
      </c>
      <c r="B1523" s="194"/>
      <c r="C1523" s="84" t="s">
        <v>1206</v>
      </c>
      <c r="D1523" s="88" t="s">
        <v>1396</v>
      </c>
      <c r="E1523" s="84" t="s">
        <v>3683</v>
      </c>
      <c r="F1523" s="84" t="s">
        <v>1180</v>
      </c>
      <c r="G1523" s="84" t="s">
        <v>3600</v>
      </c>
      <c r="H1523" s="84" t="s">
        <v>3521</v>
      </c>
      <c r="I1523" s="84" t="s">
        <v>3684</v>
      </c>
      <c r="J1523" s="84" t="s">
        <v>215</v>
      </c>
      <c r="K1523" s="84" t="s">
        <v>111</v>
      </c>
      <c r="L1523" s="87">
        <v>792.0</v>
      </c>
      <c r="M1523" s="87">
        <v>0.0</v>
      </c>
      <c r="N1523" s="87">
        <v>0.25</v>
      </c>
      <c r="O1523" s="87">
        <v>0.0</v>
      </c>
      <c r="P1523" s="87">
        <v>0.0</v>
      </c>
      <c r="Q1523" s="87">
        <v>0.25</v>
      </c>
    </row>
    <row r="1524">
      <c r="A1524" s="84" t="s">
        <v>139</v>
      </c>
      <c r="B1524" s="194"/>
      <c r="C1524" s="84" t="s">
        <v>174</v>
      </c>
      <c r="D1524" s="88" t="s">
        <v>1396</v>
      </c>
      <c r="E1524" s="91"/>
      <c r="F1524" s="84" t="s">
        <v>144</v>
      </c>
      <c r="G1524" s="84" t="s">
        <v>3700</v>
      </c>
      <c r="I1524" s="84" t="s">
        <v>3684</v>
      </c>
      <c r="J1524" s="84" t="s">
        <v>130</v>
      </c>
      <c r="K1524" s="91"/>
      <c r="L1524" s="87">
        <v>480.0</v>
      </c>
      <c r="M1524" s="87">
        <v>0.0</v>
      </c>
      <c r="N1524" s="87">
        <v>0.0</v>
      </c>
      <c r="O1524" s="87">
        <v>0.0</v>
      </c>
      <c r="P1524" s="87">
        <v>0.0</v>
      </c>
      <c r="Q1524" s="87">
        <v>0.0</v>
      </c>
    </row>
    <row r="1525">
      <c r="A1525" s="84" t="s">
        <v>472</v>
      </c>
      <c r="B1525" s="194"/>
      <c r="C1525" s="84" t="s">
        <v>1032</v>
      </c>
      <c r="D1525" s="88" t="s">
        <v>1396</v>
      </c>
      <c r="E1525" s="84" t="s">
        <v>3687</v>
      </c>
      <c r="F1525" s="91"/>
      <c r="G1525" s="84" t="s">
        <v>3587</v>
      </c>
      <c r="H1525" s="84" t="s">
        <v>3521</v>
      </c>
      <c r="I1525" s="84" t="s">
        <v>3684</v>
      </c>
      <c r="J1525" s="84" t="s">
        <v>130</v>
      </c>
      <c r="K1525" s="91"/>
      <c r="L1525" s="87">
        <v>240.0</v>
      </c>
      <c r="M1525" s="87">
        <v>0.0</v>
      </c>
      <c r="N1525" s="87">
        <v>0.0625</v>
      </c>
      <c r="O1525" s="87">
        <v>0.0</v>
      </c>
      <c r="P1525" s="87">
        <v>0.0</v>
      </c>
      <c r="Q1525" s="87">
        <v>0.0625</v>
      </c>
    </row>
    <row r="1526">
      <c r="A1526" s="84" t="s">
        <v>1130</v>
      </c>
      <c r="B1526" s="194"/>
      <c r="C1526" s="84" t="s">
        <v>1133</v>
      </c>
      <c r="D1526" s="88" t="s">
        <v>1396</v>
      </c>
      <c r="E1526" s="84" t="s">
        <v>3687</v>
      </c>
      <c r="F1526" s="84" t="s">
        <v>1129</v>
      </c>
      <c r="G1526" s="84" t="s">
        <v>3604</v>
      </c>
      <c r="H1526" s="84" t="s">
        <v>3521</v>
      </c>
      <c r="I1526" s="84" t="s">
        <v>3684</v>
      </c>
      <c r="J1526" s="84" t="s">
        <v>130</v>
      </c>
      <c r="K1526" s="91"/>
      <c r="L1526" s="87">
        <v>216.0</v>
      </c>
      <c r="M1526" s="87">
        <v>0.0</v>
      </c>
      <c r="N1526" s="87">
        <v>0.46345</v>
      </c>
      <c r="O1526" s="87">
        <v>0.214286</v>
      </c>
      <c r="P1526" s="87">
        <v>0.2</v>
      </c>
      <c r="Q1526" s="87">
        <v>0.71345</v>
      </c>
    </row>
    <row r="1527">
      <c r="A1527" s="84" t="s">
        <v>644</v>
      </c>
      <c r="B1527" s="194"/>
      <c r="C1527" s="84" t="s">
        <v>1265</v>
      </c>
      <c r="D1527" s="88" t="s">
        <v>1396</v>
      </c>
      <c r="E1527" s="84" t="s">
        <v>3683</v>
      </c>
      <c r="F1527" s="84" t="s">
        <v>682</v>
      </c>
      <c r="G1527" s="84" t="s">
        <v>3563</v>
      </c>
      <c r="H1527" s="84" t="s">
        <v>3521</v>
      </c>
      <c r="I1527" s="84" t="s">
        <v>3684</v>
      </c>
      <c r="J1527" s="91"/>
      <c r="K1527" s="84" t="s">
        <v>111</v>
      </c>
      <c r="L1527" s="87">
        <v>624.0</v>
      </c>
      <c r="M1527" s="87">
        <v>0.0</v>
      </c>
      <c r="N1527" s="87">
        <v>0.0</v>
      </c>
      <c r="O1527" s="87">
        <v>0.0</v>
      </c>
      <c r="P1527" s="87">
        <v>0.0</v>
      </c>
      <c r="Q1527" s="87">
        <v>0.0</v>
      </c>
    </row>
    <row r="1528">
      <c r="A1528" s="84" t="s">
        <v>258</v>
      </c>
      <c r="B1528" s="194"/>
      <c r="C1528" s="84" t="s">
        <v>897</v>
      </c>
      <c r="D1528" s="88" t="s">
        <v>1396</v>
      </c>
      <c r="E1528" s="84" t="s">
        <v>3683</v>
      </c>
      <c r="F1528" s="84" t="s">
        <v>898</v>
      </c>
      <c r="G1528" s="84" t="s">
        <v>3560</v>
      </c>
      <c r="H1528" s="84" t="s">
        <v>3521</v>
      </c>
      <c r="I1528" s="84" t="s">
        <v>3684</v>
      </c>
      <c r="J1528" s="91"/>
      <c r="K1528" s="91"/>
      <c r="L1528" s="87">
        <v>73.0</v>
      </c>
      <c r="M1528" s="87">
        <v>12.0</v>
      </c>
      <c r="N1528" s="87">
        <v>1.729798</v>
      </c>
      <c r="O1528" s="87">
        <v>5.807037</v>
      </c>
      <c r="P1528" s="87">
        <v>5.490463</v>
      </c>
      <c r="Q1528" s="87">
        <v>4.454821</v>
      </c>
    </row>
    <row r="1529">
      <c r="A1529" s="84" t="s">
        <v>644</v>
      </c>
      <c r="B1529" s="194"/>
      <c r="C1529" s="84" t="s">
        <v>1226</v>
      </c>
      <c r="D1529" s="88" t="s">
        <v>1396</v>
      </c>
      <c r="E1529" s="84" t="s">
        <v>3683</v>
      </c>
      <c r="F1529" s="84" t="s">
        <v>1224</v>
      </c>
      <c r="G1529" s="84" t="s">
        <v>3551</v>
      </c>
      <c r="H1529" s="84" t="s">
        <v>3521</v>
      </c>
      <c r="I1529" s="84" t="s">
        <v>3684</v>
      </c>
      <c r="J1529" s="91"/>
      <c r="K1529" s="84" t="s">
        <v>111</v>
      </c>
      <c r="L1529" s="87">
        <v>312.0</v>
      </c>
      <c r="M1529" s="87">
        <v>0.0</v>
      </c>
      <c r="N1529" s="87">
        <v>0.0</v>
      </c>
      <c r="O1529" s="87">
        <v>0.0</v>
      </c>
      <c r="P1529" s="87">
        <v>0.0</v>
      </c>
      <c r="Q1529" s="87">
        <v>0.0</v>
      </c>
    </row>
    <row r="1530">
      <c r="A1530" s="84" t="s">
        <v>180</v>
      </c>
      <c r="B1530" s="194"/>
      <c r="C1530" s="84" t="s">
        <v>829</v>
      </c>
      <c r="D1530" s="88" t="s">
        <v>1396</v>
      </c>
      <c r="E1530" s="91"/>
      <c r="F1530" s="84" t="s">
        <v>830</v>
      </c>
      <c r="G1530" s="84" t="s">
        <v>3549</v>
      </c>
      <c r="I1530" s="84" t="s">
        <v>3684</v>
      </c>
      <c r="J1530" s="91"/>
      <c r="K1530" s="91"/>
      <c r="L1530" s="87">
        <v>432.0</v>
      </c>
      <c r="M1530" s="87">
        <v>0.0</v>
      </c>
      <c r="N1530" s="87">
        <v>0.0</v>
      </c>
      <c r="O1530" s="87">
        <v>0.0</v>
      </c>
      <c r="P1530" s="87">
        <v>0.0</v>
      </c>
      <c r="Q1530" s="87">
        <v>0.0</v>
      </c>
    </row>
    <row r="1531">
      <c r="A1531" s="84" t="s">
        <v>601</v>
      </c>
      <c r="B1531" s="194"/>
      <c r="C1531" s="84" t="s">
        <v>607</v>
      </c>
      <c r="D1531" s="88" t="s">
        <v>1396</v>
      </c>
      <c r="E1531" s="84" t="s">
        <v>3683</v>
      </c>
      <c r="F1531" s="84" t="s">
        <v>608</v>
      </c>
      <c r="G1531" s="84" t="s">
        <v>3853</v>
      </c>
      <c r="I1531" s="84" t="s">
        <v>3684</v>
      </c>
      <c r="J1531" s="91"/>
      <c r="K1531" s="91"/>
      <c r="L1531" s="87">
        <v>24.0</v>
      </c>
      <c r="M1531" s="87">
        <v>0.0</v>
      </c>
      <c r="N1531" s="87">
        <v>0.0</v>
      </c>
      <c r="O1531" s="87">
        <v>0.0</v>
      </c>
      <c r="P1531" s="87">
        <v>0.0</v>
      </c>
      <c r="Q1531" s="87">
        <v>0.0</v>
      </c>
    </row>
    <row r="1532">
      <c r="A1532" s="84" t="s">
        <v>180</v>
      </c>
      <c r="B1532" s="194"/>
      <c r="C1532" s="84" t="s">
        <v>846</v>
      </c>
      <c r="D1532" s="88" t="s">
        <v>1396</v>
      </c>
      <c r="E1532" s="84" t="s">
        <v>3683</v>
      </c>
      <c r="F1532" s="84" t="s">
        <v>843</v>
      </c>
      <c r="G1532" s="84" t="s">
        <v>3599</v>
      </c>
      <c r="H1532" s="84" t="s">
        <v>3507</v>
      </c>
      <c r="I1532" s="84" t="s">
        <v>3684</v>
      </c>
      <c r="J1532" s="84" t="s">
        <v>130</v>
      </c>
      <c r="K1532" s="84" t="s">
        <v>111</v>
      </c>
      <c r="L1532" s="87">
        <v>24.0</v>
      </c>
      <c r="M1532" s="87">
        <v>0.0</v>
      </c>
      <c r="N1532" s="87">
        <v>0.0</v>
      </c>
      <c r="O1532" s="87">
        <v>0.0</v>
      </c>
      <c r="P1532" s="87">
        <v>0.0</v>
      </c>
      <c r="Q1532" s="87">
        <v>0.0</v>
      </c>
    </row>
    <row r="1533">
      <c r="A1533" s="84" t="s">
        <v>630</v>
      </c>
      <c r="B1533" s="194"/>
      <c r="C1533" s="84" t="s">
        <v>628</v>
      </c>
      <c r="D1533" s="88" t="s">
        <v>1396</v>
      </c>
      <c r="E1533" s="84" t="s">
        <v>3683</v>
      </c>
      <c r="F1533" s="84" t="s">
        <v>629</v>
      </c>
      <c r="G1533" s="84" t="s">
        <v>3766</v>
      </c>
      <c r="H1533" s="84" t="s">
        <v>3521</v>
      </c>
      <c r="I1533" s="84" t="s">
        <v>3684</v>
      </c>
      <c r="J1533" s="84" t="s">
        <v>130</v>
      </c>
      <c r="K1533" s="91"/>
      <c r="L1533" s="87">
        <v>24.0</v>
      </c>
      <c r="M1533" s="87">
        <v>0.0</v>
      </c>
      <c r="N1533" s="87">
        <v>0.0</v>
      </c>
      <c r="O1533" s="87">
        <v>0.0</v>
      </c>
      <c r="P1533" s="87">
        <v>0.0</v>
      </c>
      <c r="Q1533" s="87">
        <v>0.0</v>
      </c>
    </row>
    <row r="1534">
      <c r="A1534" s="84" t="s">
        <v>301</v>
      </c>
      <c r="B1534" s="194"/>
      <c r="C1534" s="84" t="s">
        <v>1283</v>
      </c>
      <c r="D1534" s="88" t="s">
        <v>1396</v>
      </c>
      <c r="E1534" s="84" t="s">
        <v>3683</v>
      </c>
      <c r="F1534" s="84" t="s">
        <v>3959</v>
      </c>
      <c r="G1534" s="84" t="s">
        <v>3960</v>
      </c>
      <c r="H1534" s="84" t="s">
        <v>3521</v>
      </c>
      <c r="I1534" s="84" t="s">
        <v>3684</v>
      </c>
      <c r="J1534" s="91"/>
      <c r="K1534" s="91"/>
      <c r="L1534" s="87">
        <v>0.0</v>
      </c>
      <c r="M1534" s="87">
        <v>0.0</v>
      </c>
      <c r="N1534" s="87">
        <v>0.0</v>
      </c>
      <c r="O1534" s="87">
        <v>0.071429</v>
      </c>
      <c r="P1534" s="87">
        <v>0.033333</v>
      </c>
      <c r="Q1534" s="87">
        <v>0.068868</v>
      </c>
    </row>
    <row r="1535">
      <c r="A1535" s="84" t="s">
        <v>644</v>
      </c>
      <c r="B1535" s="194"/>
      <c r="C1535" s="84" t="s">
        <v>665</v>
      </c>
      <c r="D1535" s="88" t="s">
        <v>1396</v>
      </c>
      <c r="E1535" s="84" t="s">
        <v>3683</v>
      </c>
      <c r="F1535" s="84" t="s">
        <v>658</v>
      </c>
      <c r="G1535" s="84" t="s">
        <v>3801</v>
      </c>
      <c r="H1535" s="84" t="s">
        <v>3521</v>
      </c>
      <c r="I1535" s="84" t="s">
        <v>3684</v>
      </c>
      <c r="J1535" s="91"/>
      <c r="K1535" s="91"/>
      <c r="L1535" s="87">
        <v>0.0</v>
      </c>
      <c r="M1535" s="87">
        <v>0.0</v>
      </c>
      <c r="N1535" s="87">
        <v>0.0</v>
      </c>
      <c r="O1535" s="87">
        <v>0.071429</v>
      </c>
      <c r="P1535" s="87">
        <v>0.066667</v>
      </c>
      <c r="Q1535" s="87">
        <v>0.033333</v>
      </c>
    </row>
    <row r="1536">
      <c r="A1536" s="84" t="s">
        <v>644</v>
      </c>
      <c r="B1536" s="194"/>
      <c r="C1536" s="84" t="s">
        <v>697</v>
      </c>
      <c r="D1536" s="88" t="s">
        <v>1396</v>
      </c>
      <c r="E1536" s="84" t="s">
        <v>3683</v>
      </c>
      <c r="F1536" s="84" t="s">
        <v>686</v>
      </c>
      <c r="G1536" s="84" t="s">
        <v>3607</v>
      </c>
      <c r="H1536" s="84" t="s">
        <v>3521</v>
      </c>
      <c r="I1536" s="84" t="s">
        <v>3684</v>
      </c>
      <c r="J1536" s="84" t="s">
        <v>130</v>
      </c>
      <c r="K1536" s="91"/>
      <c r="L1536" s="87">
        <v>24.0</v>
      </c>
      <c r="M1536" s="87">
        <v>0.0</v>
      </c>
      <c r="N1536" s="87">
        <v>0.0</v>
      </c>
      <c r="O1536" s="87">
        <v>0.0</v>
      </c>
      <c r="P1536" s="87">
        <v>0.0</v>
      </c>
      <c r="Q1536" s="87">
        <v>0.0</v>
      </c>
    </row>
    <row r="1537">
      <c r="A1537" s="84" t="s">
        <v>393</v>
      </c>
      <c r="B1537" s="194"/>
      <c r="C1537" s="84" t="s">
        <v>421</v>
      </c>
      <c r="D1537" s="88" t="s">
        <v>1396</v>
      </c>
      <c r="E1537" s="84" t="s">
        <v>3683</v>
      </c>
      <c r="F1537" s="84" t="s">
        <v>415</v>
      </c>
      <c r="G1537" s="84" t="s">
        <v>3832</v>
      </c>
      <c r="H1537" s="84" t="s">
        <v>3521</v>
      </c>
      <c r="I1537" s="84" t="s">
        <v>3693</v>
      </c>
      <c r="J1537" s="91"/>
      <c r="K1537" s="91"/>
      <c r="L1537" s="87">
        <v>15.0</v>
      </c>
      <c r="M1537" s="87">
        <v>3.0</v>
      </c>
      <c r="N1537" s="87">
        <v>0.071429</v>
      </c>
      <c r="O1537" s="87">
        <v>1.956793</v>
      </c>
      <c r="P1537" s="87">
        <v>1.425955</v>
      </c>
      <c r="Q1537" s="87">
        <v>1.099702</v>
      </c>
    </row>
    <row r="1538">
      <c r="A1538" s="84" t="s">
        <v>458</v>
      </c>
      <c r="B1538" s="194"/>
      <c r="C1538" s="84" t="s">
        <v>462</v>
      </c>
      <c r="D1538" s="88" t="s">
        <v>1396</v>
      </c>
      <c r="E1538" s="84" t="s">
        <v>3683</v>
      </c>
      <c r="F1538" s="84" t="s">
        <v>457</v>
      </c>
      <c r="G1538" s="84" t="s">
        <v>3560</v>
      </c>
      <c r="I1538" s="84" t="s">
        <v>3684</v>
      </c>
      <c r="J1538" s="91"/>
      <c r="K1538" s="91"/>
      <c r="L1538" s="87">
        <v>552.0</v>
      </c>
      <c r="M1538" s="87">
        <v>0.0</v>
      </c>
      <c r="N1538" s="87">
        <v>0.0</v>
      </c>
      <c r="O1538" s="87">
        <v>0.0</v>
      </c>
      <c r="P1538" s="87">
        <v>0.0</v>
      </c>
      <c r="Q1538" s="87">
        <v>0.0</v>
      </c>
    </row>
    <row r="1539">
      <c r="A1539" s="84" t="s">
        <v>363</v>
      </c>
      <c r="B1539" s="194"/>
      <c r="C1539" s="84" t="s">
        <v>388</v>
      </c>
      <c r="D1539" s="88" t="s">
        <v>1396</v>
      </c>
      <c r="E1539" s="91"/>
      <c r="F1539" s="84" t="s">
        <v>382</v>
      </c>
      <c r="G1539" s="84" t="s">
        <v>3991</v>
      </c>
      <c r="I1539" s="84" t="s">
        <v>3709</v>
      </c>
      <c r="J1539" s="91"/>
      <c r="K1539" s="91"/>
      <c r="L1539" s="87">
        <v>456.0</v>
      </c>
      <c r="M1539" s="87">
        <v>0.0</v>
      </c>
      <c r="N1539" s="87">
        <v>0.0</v>
      </c>
      <c r="O1539" s="87">
        <v>0.0</v>
      </c>
      <c r="P1539" s="87">
        <v>0.0</v>
      </c>
      <c r="Q1539" s="87">
        <v>0.0</v>
      </c>
    </row>
    <row r="1540">
      <c r="A1540" s="84" t="s">
        <v>644</v>
      </c>
      <c r="B1540" s="194"/>
      <c r="C1540" s="84" t="s">
        <v>1202</v>
      </c>
      <c r="D1540" s="88" t="s">
        <v>1396</v>
      </c>
      <c r="E1540" s="84" t="s">
        <v>3683</v>
      </c>
      <c r="F1540" s="84" t="s">
        <v>1203</v>
      </c>
      <c r="G1540" s="84" t="s">
        <v>3600</v>
      </c>
      <c r="I1540" s="84" t="s">
        <v>3684</v>
      </c>
      <c r="J1540" s="84" t="s">
        <v>215</v>
      </c>
      <c r="L1540" s="87">
        <v>480.0</v>
      </c>
      <c r="M1540" s="87">
        <v>0.0</v>
      </c>
      <c r="N1540" s="87">
        <v>0.0</v>
      </c>
      <c r="O1540" s="87">
        <v>0.0</v>
      </c>
      <c r="P1540" s="87">
        <v>0.0</v>
      </c>
      <c r="Q1540" s="87">
        <v>0.0</v>
      </c>
    </row>
    <row r="1541">
      <c r="A1541" s="84" t="s">
        <v>393</v>
      </c>
      <c r="B1541" s="194"/>
      <c r="C1541" s="84" t="s">
        <v>433</v>
      </c>
      <c r="D1541" s="88" t="s">
        <v>1396</v>
      </c>
      <c r="E1541" s="84" t="s">
        <v>3687</v>
      </c>
      <c r="F1541" s="84" t="s">
        <v>434</v>
      </c>
      <c r="G1541" s="84" t="s">
        <v>3832</v>
      </c>
      <c r="H1541" s="84" t="s">
        <v>3521</v>
      </c>
      <c r="I1541" s="84" t="s">
        <v>3693</v>
      </c>
      <c r="J1541" s="91"/>
      <c r="K1541" s="84" t="s">
        <v>111</v>
      </c>
      <c r="L1541" s="87">
        <v>744.0</v>
      </c>
      <c r="M1541" s="87">
        <v>0.0</v>
      </c>
      <c r="N1541" s="87">
        <v>0.211957</v>
      </c>
      <c r="O1541" s="87">
        <v>0.0</v>
      </c>
      <c r="P1541" s="87">
        <v>0.333333</v>
      </c>
      <c r="Q1541" s="87">
        <v>0.211957</v>
      </c>
    </row>
    <row r="1542">
      <c r="A1542" s="84" t="s">
        <v>180</v>
      </c>
      <c r="B1542" s="194"/>
      <c r="C1542" s="84" t="s">
        <v>194</v>
      </c>
      <c r="D1542" s="88" t="s">
        <v>1396</v>
      </c>
      <c r="E1542" s="84" t="s">
        <v>3683</v>
      </c>
      <c r="F1542" s="84" t="s">
        <v>190</v>
      </c>
      <c r="G1542" s="84" t="s">
        <v>3708</v>
      </c>
      <c r="H1542" s="84" t="s">
        <v>3521</v>
      </c>
      <c r="I1542" s="84" t="s">
        <v>3709</v>
      </c>
      <c r="J1542" s="91"/>
      <c r="K1542" s="91"/>
      <c r="L1542" s="87">
        <v>600.0</v>
      </c>
      <c r="M1542" s="87">
        <v>0.0</v>
      </c>
      <c r="N1542" s="87">
        <v>0.142857</v>
      </c>
      <c r="O1542" s="87">
        <v>0.0</v>
      </c>
      <c r="P1542" s="87">
        <v>0.0</v>
      </c>
      <c r="Q1542" s="87">
        <v>0.142857</v>
      </c>
    </row>
    <row r="1543">
      <c r="A1543" s="84" t="s">
        <v>616</v>
      </c>
      <c r="B1543" s="194"/>
      <c r="C1543" s="84" t="s">
        <v>1079</v>
      </c>
      <c r="D1543" s="88" t="s">
        <v>1396</v>
      </c>
      <c r="E1543" s="84" t="s">
        <v>3683</v>
      </c>
      <c r="F1543" s="84" t="s">
        <v>1075</v>
      </c>
      <c r="G1543" s="84" t="s">
        <v>3542</v>
      </c>
      <c r="H1543" s="84" t="s">
        <v>3521</v>
      </c>
      <c r="I1543" s="84" t="s">
        <v>3684</v>
      </c>
      <c r="J1543" s="91"/>
      <c r="K1543" s="84" t="s">
        <v>111</v>
      </c>
      <c r="L1543" s="87">
        <v>432.0</v>
      </c>
      <c r="M1543" s="87">
        <v>0.0</v>
      </c>
      <c r="N1543" s="87">
        <v>0.0</v>
      </c>
      <c r="O1543" s="87">
        <v>0.0</v>
      </c>
      <c r="P1543" s="87">
        <v>0.0</v>
      </c>
      <c r="Q1543" s="87">
        <v>0.0</v>
      </c>
    </row>
    <row r="1544">
      <c r="A1544" s="84" t="s">
        <v>481</v>
      </c>
      <c r="B1544" s="194"/>
      <c r="C1544" s="84" t="s">
        <v>520</v>
      </c>
      <c r="D1544" s="88" t="s">
        <v>1396</v>
      </c>
      <c r="E1544" s="84" t="s">
        <v>3683</v>
      </c>
      <c r="F1544" s="84" t="s">
        <v>516</v>
      </c>
      <c r="G1544" s="84" t="s">
        <v>3593</v>
      </c>
      <c r="I1544" s="84" t="s">
        <v>3684</v>
      </c>
      <c r="J1544" s="91"/>
      <c r="K1544" s="91"/>
      <c r="L1544" s="87">
        <v>456.0</v>
      </c>
      <c r="M1544" s="87">
        <v>0.0</v>
      </c>
      <c r="N1544" s="87">
        <v>0.0</v>
      </c>
      <c r="O1544" s="87">
        <v>0.0</v>
      </c>
      <c r="P1544" s="87">
        <v>0.0</v>
      </c>
      <c r="Q1544" s="87">
        <v>0.0</v>
      </c>
    </row>
    <row r="1545">
      <c r="A1545" s="84" t="s">
        <v>630</v>
      </c>
      <c r="B1545" s="194"/>
      <c r="C1545" s="84" t="s">
        <v>1111</v>
      </c>
      <c r="D1545" s="88" t="s">
        <v>1396</v>
      </c>
      <c r="E1545" s="84" t="s">
        <v>3683</v>
      </c>
      <c r="F1545" s="84" t="s">
        <v>1108</v>
      </c>
      <c r="G1545" s="84" t="s">
        <v>3554</v>
      </c>
      <c r="H1545" s="84" t="s">
        <v>3521</v>
      </c>
      <c r="I1545" s="84" t="s">
        <v>3684</v>
      </c>
      <c r="J1545" s="84" t="s">
        <v>130</v>
      </c>
      <c r="K1545" s="91"/>
      <c r="L1545" s="87">
        <v>24.0</v>
      </c>
      <c r="M1545" s="87">
        <v>0.0</v>
      </c>
      <c r="N1545" s="87">
        <v>0.0</v>
      </c>
      <c r="O1545" s="87">
        <v>0.0</v>
      </c>
      <c r="P1545" s="87">
        <v>0.0</v>
      </c>
      <c r="Q1545" s="87">
        <v>0.0</v>
      </c>
    </row>
    <row r="1546">
      <c r="A1546" s="84" t="s">
        <v>537</v>
      </c>
      <c r="B1546" s="194"/>
      <c r="C1546" s="84" t="s">
        <v>1050</v>
      </c>
      <c r="D1546" s="88" t="s">
        <v>1396</v>
      </c>
      <c r="E1546" s="84" t="s">
        <v>3683</v>
      </c>
      <c r="F1546" s="84" t="s">
        <v>1047</v>
      </c>
      <c r="G1546" s="84" t="s">
        <v>3592</v>
      </c>
      <c r="H1546" s="84" t="s">
        <v>3521</v>
      </c>
      <c r="I1546" s="84" t="s">
        <v>3693</v>
      </c>
      <c r="J1546" s="91"/>
      <c r="K1546" s="91"/>
      <c r="L1546" s="87">
        <v>0.0</v>
      </c>
      <c r="M1546" s="87">
        <v>0.0</v>
      </c>
      <c r="N1546" s="87">
        <v>0.0</v>
      </c>
      <c r="O1546" s="87">
        <v>0.142857</v>
      </c>
      <c r="P1546" s="87">
        <v>0.57396</v>
      </c>
      <c r="Q1546" s="87">
        <v>0.600903</v>
      </c>
    </row>
    <row r="1547">
      <c r="A1547" s="84" t="s">
        <v>795</v>
      </c>
      <c r="B1547" s="194"/>
      <c r="C1547" s="84" t="s">
        <v>803</v>
      </c>
      <c r="D1547" s="88" t="s">
        <v>1396</v>
      </c>
      <c r="E1547" s="84" t="s">
        <v>3683</v>
      </c>
      <c r="F1547" s="84" t="s">
        <v>804</v>
      </c>
      <c r="G1547" s="84" t="s">
        <v>3827</v>
      </c>
      <c r="H1547" s="84" t="s">
        <v>3521</v>
      </c>
      <c r="I1547" s="84" t="s">
        <v>3684</v>
      </c>
      <c r="J1547" s="91"/>
      <c r="K1547" s="84" t="s">
        <v>111</v>
      </c>
      <c r="L1547" s="87">
        <v>360.0</v>
      </c>
      <c r="M1547" s="87">
        <v>0.0</v>
      </c>
      <c r="N1547" s="87">
        <v>0.0</v>
      </c>
      <c r="O1547" s="87">
        <v>0.0</v>
      </c>
      <c r="P1547" s="87">
        <v>0.0</v>
      </c>
      <c r="Q1547" s="87">
        <v>0.0</v>
      </c>
    </row>
    <row r="1548">
      <c r="A1548" s="84" t="s">
        <v>644</v>
      </c>
      <c r="B1548" s="194"/>
      <c r="C1548" s="84" t="s">
        <v>679</v>
      </c>
      <c r="D1548" s="88" t="s">
        <v>1396</v>
      </c>
      <c r="E1548" s="84" t="s">
        <v>3683</v>
      </c>
      <c r="F1548" s="84" t="s">
        <v>678</v>
      </c>
      <c r="G1548" s="84" t="s">
        <v>3944</v>
      </c>
      <c r="H1548" s="84" t="s">
        <v>3521</v>
      </c>
      <c r="I1548" s="84" t="s">
        <v>3684</v>
      </c>
      <c r="J1548" s="84" t="s">
        <v>130</v>
      </c>
      <c r="K1548" s="91"/>
      <c r="L1548" s="87">
        <v>48.0</v>
      </c>
      <c r="M1548" s="87">
        <v>0.0</v>
      </c>
      <c r="N1548" s="87">
        <v>0.025641</v>
      </c>
      <c r="O1548" s="87">
        <v>0.0</v>
      </c>
      <c r="P1548" s="87">
        <v>0.111111</v>
      </c>
      <c r="Q1548" s="87">
        <v>0.025641</v>
      </c>
    </row>
    <row r="1549">
      <c r="A1549" s="84" t="s">
        <v>472</v>
      </c>
      <c r="B1549" s="194"/>
      <c r="C1549" s="84" t="s">
        <v>1026</v>
      </c>
      <c r="D1549" s="88" t="s">
        <v>1396</v>
      </c>
      <c r="E1549" s="84" t="s">
        <v>3683</v>
      </c>
      <c r="F1549" s="84" t="s">
        <v>1020</v>
      </c>
      <c r="G1549" s="84" t="s">
        <v>3560</v>
      </c>
      <c r="H1549" s="84" t="s">
        <v>3507</v>
      </c>
      <c r="I1549" s="84" t="s">
        <v>3684</v>
      </c>
      <c r="J1549" s="84" t="s">
        <v>130</v>
      </c>
      <c r="K1549" s="91"/>
      <c r="L1549" s="87">
        <v>24.0</v>
      </c>
      <c r="M1549" s="87">
        <v>0.0</v>
      </c>
      <c r="N1549" s="87">
        <v>0.0</v>
      </c>
      <c r="O1549" s="87">
        <v>0.0</v>
      </c>
      <c r="P1549" s="87">
        <v>0.0</v>
      </c>
      <c r="Q1549" s="87">
        <v>0.0</v>
      </c>
    </row>
    <row r="1550">
      <c r="A1550" s="84" t="s">
        <v>644</v>
      </c>
      <c r="B1550" s="194"/>
      <c r="C1550" s="84" t="s">
        <v>725</v>
      </c>
      <c r="D1550" s="88" t="s">
        <v>1396</v>
      </c>
      <c r="E1550" s="84" t="s">
        <v>3683</v>
      </c>
      <c r="F1550" s="84" t="s">
        <v>3751</v>
      </c>
      <c r="G1550" s="84" t="s">
        <v>3752</v>
      </c>
      <c r="H1550" s="84" t="s">
        <v>3521</v>
      </c>
      <c r="I1550" s="84" t="s">
        <v>3684</v>
      </c>
      <c r="J1550" s="84" t="s">
        <v>130</v>
      </c>
      <c r="K1550" s="84" t="s">
        <v>111</v>
      </c>
      <c r="L1550" s="87">
        <v>24.0</v>
      </c>
      <c r="M1550" s="87">
        <v>0.0</v>
      </c>
      <c r="N1550" s="87">
        <v>0.0</v>
      </c>
      <c r="O1550" s="87">
        <v>0.0</v>
      </c>
      <c r="P1550" s="87">
        <v>0.0</v>
      </c>
      <c r="Q1550" s="87">
        <v>0.0</v>
      </c>
    </row>
    <row r="1551">
      <c r="A1551" s="84" t="s">
        <v>439</v>
      </c>
      <c r="B1551" s="194"/>
      <c r="C1551" s="84" t="s">
        <v>1301</v>
      </c>
      <c r="D1551" s="88" t="s">
        <v>1396</v>
      </c>
      <c r="E1551" s="84" t="s">
        <v>3687</v>
      </c>
      <c r="F1551" s="84" t="s">
        <v>938</v>
      </c>
      <c r="G1551" s="84" t="s">
        <v>3859</v>
      </c>
      <c r="H1551" s="84" t="s">
        <v>3513</v>
      </c>
      <c r="I1551" s="84" t="s">
        <v>3709</v>
      </c>
      <c r="J1551" s="91"/>
      <c r="K1551" s="84" t="s">
        <v>111</v>
      </c>
      <c r="L1551" s="87">
        <v>24.0</v>
      </c>
      <c r="M1551" s="87">
        <v>0.0</v>
      </c>
      <c r="N1551" s="87">
        <v>0.0</v>
      </c>
      <c r="O1551" s="87">
        <v>0.0</v>
      </c>
      <c r="P1551" s="87">
        <v>0.0</v>
      </c>
      <c r="Q1551" s="87">
        <v>0.0</v>
      </c>
    </row>
    <row r="1552">
      <c r="A1552" s="84" t="s">
        <v>139</v>
      </c>
      <c r="B1552" s="194"/>
      <c r="C1552" s="84" t="s">
        <v>150</v>
      </c>
      <c r="D1552" s="88" t="s">
        <v>1396</v>
      </c>
      <c r="E1552" s="84" t="s">
        <v>3683</v>
      </c>
      <c r="F1552" s="84" t="s">
        <v>144</v>
      </c>
      <c r="G1552" s="84" t="s">
        <v>3700</v>
      </c>
      <c r="H1552" s="84" t="s">
        <v>3521</v>
      </c>
      <c r="I1552" s="84" t="s">
        <v>3684</v>
      </c>
      <c r="J1552" s="91"/>
      <c r="K1552" s="91"/>
      <c r="L1552" s="87">
        <v>24.0</v>
      </c>
      <c r="M1552" s="87">
        <v>0.0</v>
      </c>
      <c r="N1552" s="87">
        <v>0.285714</v>
      </c>
      <c r="O1552" s="87">
        <v>0.0</v>
      </c>
      <c r="P1552" s="87">
        <v>0.0</v>
      </c>
      <c r="Q1552" s="87">
        <v>0.285714</v>
      </c>
    </row>
    <row r="1553">
      <c r="A1553" s="84" t="s">
        <v>795</v>
      </c>
      <c r="B1553" s="194"/>
      <c r="C1553" s="84" t="s">
        <v>803</v>
      </c>
      <c r="D1553" s="88" t="s">
        <v>1396</v>
      </c>
      <c r="E1553" s="84" t="s">
        <v>3683</v>
      </c>
      <c r="F1553" s="84" t="s">
        <v>804</v>
      </c>
      <c r="G1553" s="84" t="s">
        <v>3827</v>
      </c>
      <c r="H1553" s="84" t="s">
        <v>3521</v>
      </c>
      <c r="I1553" s="84" t="s">
        <v>3684</v>
      </c>
      <c r="J1553" s="91"/>
      <c r="K1553" s="91"/>
      <c r="L1553" s="87">
        <v>15.0</v>
      </c>
      <c r="M1553" s="87">
        <v>5.0</v>
      </c>
      <c r="N1553" s="87">
        <v>0.230769</v>
      </c>
      <c r="O1553" s="87">
        <v>4.26307</v>
      </c>
      <c r="P1553" s="87">
        <v>4.096679</v>
      </c>
      <c r="Q1553" s="87">
        <v>4.08097</v>
      </c>
    </row>
    <row r="1554">
      <c r="A1554" s="84" t="s">
        <v>444</v>
      </c>
      <c r="B1554" s="194"/>
      <c r="C1554" s="84" t="s">
        <v>449</v>
      </c>
      <c r="D1554" s="88" t="s">
        <v>1396</v>
      </c>
      <c r="E1554" s="84" t="s">
        <v>3683</v>
      </c>
      <c r="F1554" s="84" t="s">
        <v>448</v>
      </c>
      <c r="G1554" s="84" t="s">
        <v>3577</v>
      </c>
      <c r="I1554" s="84" t="s">
        <v>3684</v>
      </c>
      <c r="J1554" s="91"/>
      <c r="K1554" s="91"/>
      <c r="L1554" s="87">
        <v>552.0</v>
      </c>
      <c r="M1554" s="87">
        <v>0.0</v>
      </c>
      <c r="N1554" s="87">
        <v>0.0</v>
      </c>
      <c r="O1554" s="87">
        <v>0.0</v>
      </c>
      <c r="P1554" s="87">
        <v>0.0</v>
      </c>
      <c r="Q1554" s="87">
        <v>0.0</v>
      </c>
    </row>
    <row r="1555">
      <c r="A1555" s="84" t="s">
        <v>644</v>
      </c>
      <c r="B1555" s="194"/>
      <c r="C1555" s="84" t="s">
        <v>1259</v>
      </c>
      <c r="D1555" s="88" t="s">
        <v>1396</v>
      </c>
      <c r="E1555" s="84" t="s">
        <v>3683</v>
      </c>
      <c r="F1555" s="84" t="s">
        <v>1260</v>
      </c>
      <c r="G1555" s="84" t="s">
        <v>3608</v>
      </c>
      <c r="H1555" s="84" t="s">
        <v>3521</v>
      </c>
      <c r="I1555" s="84" t="s">
        <v>3684</v>
      </c>
      <c r="J1555" s="91"/>
      <c r="K1555" s="84" t="s">
        <v>111</v>
      </c>
      <c r="L1555" s="87">
        <v>792.0</v>
      </c>
      <c r="M1555" s="87">
        <v>0.0</v>
      </c>
      <c r="N1555" s="87">
        <v>0.0</v>
      </c>
      <c r="O1555" s="87">
        <v>0.071429</v>
      </c>
      <c r="P1555" s="87">
        <v>0.033333</v>
      </c>
      <c r="Q1555" s="87">
        <v>0.019608</v>
      </c>
    </row>
    <row r="1556">
      <c r="A1556" s="84" t="s">
        <v>644</v>
      </c>
      <c r="B1556" s="194"/>
      <c r="C1556" s="84" t="s">
        <v>662</v>
      </c>
      <c r="D1556" s="88" t="s">
        <v>1396</v>
      </c>
      <c r="E1556" s="84" t="s">
        <v>3683</v>
      </c>
      <c r="F1556" s="84" t="s">
        <v>658</v>
      </c>
      <c r="G1556" s="84" t="s">
        <v>3801</v>
      </c>
      <c r="I1556" s="84" t="s">
        <v>3684</v>
      </c>
      <c r="J1556" s="91"/>
      <c r="K1556" s="91"/>
      <c r="L1556" s="87">
        <v>552.0</v>
      </c>
      <c r="M1556" s="87">
        <v>0.0</v>
      </c>
      <c r="N1556" s="87">
        <v>0.0</v>
      </c>
      <c r="O1556" s="87">
        <v>0.0</v>
      </c>
      <c r="P1556" s="87">
        <v>0.0</v>
      </c>
      <c r="Q1556" s="87">
        <v>0.0</v>
      </c>
    </row>
    <row r="1557">
      <c r="A1557" s="84" t="s">
        <v>644</v>
      </c>
      <c r="B1557" s="194"/>
      <c r="C1557" s="84" t="s">
        <v>1210</v>
      </c>
      <c r="D1557" s="88" t="s">
        <v>1396</v>
      </c>
      <c r="E1557" s="84" t="s">
        <v>3683</v>
      </c>
      <c r="F1557" s="84" t="s">
        <v>1208</v>
      </c>
      <c r="G1557" s="84" t="s">
        <v>3606</v>
      </c>
      <c r="H1557" s="84" t="s">
        <v>3521</v>
      </c>
      <c r="I1557" s="84" t="s">
        <v>3684</v>
      </c>
      <c r="J1557" s="91"/>
      <c r="K1557" s="84" t="s">
        <v>111</v>
      </c>
      <c r="L1557" s="87">
        <v>264.0</v>
      </c>
      <c r="M1557" s="87">
        <v>0.0</v>
      </c>
      <c r="N1557" s="87">
        <v>0.0</v>
      </c>
      <c r="O1557" s="87">
        <v>0.0</v>
      </c>
      <c r="P1557" s="87">
        <v>0.0</v>
      </c>
      <c r="Q1557" s="87">
        <v>0.0</v>
      </c>
    </row>
    <row r="1558">
      <c r="A1558" s="84" t="s">
        <v>258</v>
      </c>
      <c r="B1558" s="193"/>
      <c r="C1558" s="84" t="s">
        <v>4203</v>
      </c>
      <c r="D1558" s="88" t="s">
        <v>1396</v>
      </c>
      <c r="E1558" s="91"/>
      <c r="F1558" s="84" t="s">
        <v>4204</v>
      </c>
      <c r="G1558" s="84" t="s">
        <v>3560</v>
      </c>
      <c r="H1558" s="84" t="s">
        <v>3521</v>
      </c>
      <c r="I1558" s="84" t="s">
        <v>3684</v>
      </c>
      <c r="J1558" s="91"/>
      <c r="K1558" s="91"/>
      <c r="L1558" s="87">
        <v>0.0</v>
      </c>
      <c r="M1558" s="87">
        <v>0.0</v>
      </c>
      <c r="N1558" s="87">
        <v>0.0</v>
      </c>
      <c r="O1558" s="87">
        <v>0.0</v>
      </c>
      <c r="P1558" s="87">
        <v>0.0</v>
      </c>
      <c r="Q1558" s="87">
        <v>0.0</v>
      </c>
    </row>
    <row r="1559">
      <c r="A1559" s="84" t="s">
        <v>139</v>
      </c>
      <c r="B1559" s="194"/>
      <c r="C1559" s="84" t="s">
        <v>170</v>
      </c>
      <c r="D1559" s="88" t="s">
        <v>1396</v>
      </c>
      <c r="E1559" s="84" t="s">
        <v>3683</v>
      </c>
      <c r="F1559" s="84" t="s">
        <v>144</v>
      </c>
      <c r="G1559" s="84" t="s">
        <v>3700</v>
      </c>
      <c r="H1559" s="84" t="s">
        <v>3521</v>
      </c>
      <c r="I1559" s="84" t="s">
        <v>3684</v>
      </c>
      <c r="J1559" s="84" t="s">
        <v>130</v>
      </c>
      <c r="K1559" s="84" t="s">
        <v>111</v>
      </c>
      <c r="L1559" s="87">
        <v>768.0</v>
      </c>
      <c r="M1559" s="87">
        <v>0.0</v>
      </c>
      <c r="N1559" s="87">
        <v>0.0</v>
      </c>
      <c r="O1559" s="87">
        <v>0.0</v>
      </c>
      <c r="P1559" s="87">
        <v>0.0</v>
      </c>
      <c r="Q1559" s="87">
        <v>0.0</v>
      </c>
    </row>
    <row r="1560">
      <c r="A1560" s="84" t="s">
        <v>180</v>
      </c>
      <c r="B1560" s="194"/>
      <c r="C1560" s="84" t="s">
        <v>810</v>
      </c>
      <c r="D1560" s="88" t="s">
        <v>1396</v>
      </c>
      <c r="E1560" s="84" t="s">
        <v>3683</v>
      </c>
      <c r="F1560" s="84" t="s">
        <v>542</v>
      </c>
      <c r="G1560" s="84" t="s">
        <v>3514</v>
      </c>
      <c r="H1560" s="84" t="s">
        <v>3513</v>
      </c>
      <c r="I1560" s="84" t="s">
        <v>3709</v>
      </c>
      <c r="J1560" s="84" t="s">
        <v>130</v>
      </c>
      <c r="K1560" s="91"/>
      <c r="L1560" s="87">
        <v>0.0</v>
      </c>
      <c r="M1560" s="87">
        <v>0.0</v>
      </c>
      <c r="N1560" s="87">
        <v>0.0</v>
      </c>
      <c r="O1560" s="87">
        <v>0.0</v>
      </c>
      <c r="P1560" s="87">
        <v>0.0</v>
      </c>
      <c r="Q1560" s="87">
        <v>0.0</v>
      </c>
    </row>
    <row r="1561">
      <c r="A1561" s="84" t="s">
        <v>363</v>
      </c>
      <c r="B1561" s="194"/>
      <c r="C1561" s="84" t="s">
        <v>375</v>
      </c>
      <c r="D1561" s="88" t="s">
        <v>1396</v>
      </c>
      <c r="E1561" s="84" t="s">
        <v>3683</v>
      </c>
      <c r="F1561" s="84" t="s">
        <v>376</v>
      </c>
      <c r="G1561" s="84" t="s">
        <v>3568</v>
      </c>
      <c r="H1561" s="84" t="s">
        <v>3527</v>
      </c>
      <c r="I1561" s="84" t="s">
        <v>3709</v>
      </c>
      <c r="J1561" s="91"/>
      <c r="K1561" s="91"/>
      <c r="L1561" s="87">
        <v>552.0</v>
      </c>
      <c r="M1561" s="87">
        <v>0.0</v>
      </c>
      <c r="N1561" s="87">
        <v>0.0</v>
      </c>
      <c r="O1561" s="87">
        <v>0.0</v>
      </c>
      <c r="P1561" s="87">
        <v>0.0</v>
      </c>
      <c r="Q1561" s="87">
        <v>0.0</v>
      </c>
    </row>
    <row r="1562">
      <c r="A1562" s="84" t="s">
        <v>644</v>
      </c>
      <c r="B1562" s="194"/>
      <c r="C1562" s="84" t="s">
        <v>732</v>
      </c>
      <c r="D1562" s="88" t="s">
        <v>1396</v>
      </c>
      <c r="E1562" s="84" t="s">
        <v>3683</v>
      </c>
      <c r="F1562" s="84" t="s">
        <v>729</v>
      </c>
      <c r="G1562" s="84" t="s">
        <v>3752</v>
      </c>
      <c r="H1562" s="84" t="s">
        <v>3521</v>
      </c>
      <c r="I1562" s="84" t="s">
        <v>3684</v>
      </c>
      <c r="J1562" s="84" t="s">
        <v>215</v>
      </c>
      <c r="K1562" s="84" t="s">
        <v>111</v>
      </c>
      <c r="L1562" s="87">
        <v>384.0</v>
      </c>
      <c r="M1562" s="87">
        <v>0.0</v>
      </c>
      <c r="N1562" s="87">
        <v>1.733704</v>
      </c>
      <c r="O1562" s="87">
        <v>0.329004</v>
      </c>
      <c r="P1562" s="87">
        <v>0.292015</v>
      </c>
      <c r="Q1562" s="87">
        <v>1.646704</v>
      </c>
    </row>
    <row r="1563">
      <c r="A1563" s="84" t="s">
        <v>74</v>
      </c>
      <c r="B1563" s="194"/>
      <c r="C1563" s="84" t="s">
        <v>1345</v>
      </c>
      <c r="D1563" s="88" t="s">
        <v>1396</v>
      </c>
      <c r="E1563" s="84" t="s">
        <v>3683</v>
      </c>
      <c r="F1563" s="84" t="s">
        <v>3796</v>
      </c>
      <c r="G1563" s="91"/>
      <c r="H1563" s="84" t="s">
        <v>3521</v>
      </c>
      <c r="I1563" s="84" t="s">
        <v>3684</v>
      </c>
      <c r="J1563" s="91"/>
      <c r="K1563" s="84" t="s">
        <v>111</v>
      </c>
      <c r="L1563" s="87">
        <v>456.0</v>
      </c>
      <c r="M1563" s="87">
        <v>0.0</v>
      </c>
      <c r="N1563" s="87">
        <v>0.0</v>
      </c>
      <c r="O1563" s="87">
        <v>0.0</v>
      </c>
      <c r="P1563" s="87">
        <v>0.0</v>
      </c>
      <c r="Q1563" s="87">
        <v>0.0</v>
      </c>
    </row>
    <row r="1564">
      <c r="A1564" s="84" t="s">
        <v>644</v>
      </c>
      <c r="B1564" s="194"/>
      <c r="C1564" s="84" t="s">
        <v>1254</v>
      </c>
      <c r="D1564" s="88" t="s">
        <v>1396</v>
      </c>
      <c r="E1564" s="84" t="s">
        <v>3683</v>
      </c>
      <c r="F1564" s="84" t="s">
        <v>1255</v>
      </c>
      <c r="G1564" s="84" t="s">
        <v>3607</v>
      </c>
      <c r="H1564" s="84" t="s">
        <v>3521</v>
      </c>
      <c r="I1564" s="84" t="s">
        <v>3684</v>
      </c>
      <c r="J1564" s="84" t="s">
        <v>215</v>
      </c>
      <c r="L1564" s="87">
        <v>757.0</v>
      </c>
      <c r="M1564" s="87">
        <v>0.0</v>
      </c>
      <c r="N1564" s="87">
        <v>1.518348</v>
      </c>
      <c r="O1564" s="87">
        <v>0.0</v>
      </c>
      <c r="P1564" s="87">
        <v>1.0</v>
      </c>
      <c r="Q1564" s="87">
        <v>1.564664</v>
      </c>
    </row>
    <row r="1565">
      <c r="A1565" s="84" t="s">
        <v>444</v>
      </c>
      <c r="B1565" s="194"/>
      <c r="C1565" s="84" t="s">
        <v>452</v>
      </c>
      <c r="D1565" s="88" t="s">
        <v>1396</v>
      </c>
      <c r="E1565" s="84" t="s">
        <v>3683</v>
      </c>
      <c r="F1565" s="84" t="s">
        <v>453</v>
      </c>
      <c r="G1565" s="84" t="s">
        <v>3851</v>
      </c>
      <c r="H1565" s="84" t="s">
        <v>3521</v>
      </c>
      <c r="I1565" s="84" t="s">
        <v>3684</v>
      </c>
      <c r="J1565" s="91"/>
      <c r="K1565" s="91"/>
      <c r="L1565" s="87">
        <v>24.0</v>
      </c>
      <c r="M1565" s="87">
        <v>0.0</v>
      </c>
      <c r="N1565" s="87">
        <v>0.265152</v>
      </c>
      <c r="O1565" s="87">
        <v>1.408009</v>
      </c>
      <c r="P1565" s="87">
        <v>1.280664</v>
      </c>
      <c r="Q1565" s="87">
        <v>0.910274</v>
      </c>
    </row>
    <row r="1566">
      <c r="A1566" s="84" t="s">
        <v>644</v>
      </c>
      <c r="B1566" s="194"/>
      <c r="C1566" s="84" t="s">
        <v>661</v>
      </c>
      <c r="D1566" s="88" t="s">
        <v>1396</v>
      </c>
      <c r="E1566" s="84" t="s">
        <v>3683</v>
      </c>
      <c r="F1566" s="84" t="s">
        <v>658</v>
      </c>
      <c r="G1566" s="84" t="s">
        <v>3801</v>
      </c>
      <c r="I1566" s="84" t="s">
        <v>3684</v>
      </c>
      <c r="J1566" s="91"/>
      <c r="K1566" s="91"/>
      <c r="L1566" s="87">
        <v>552.0</v>
      </c>
      <c r="M1566" s="87">
        <v>0.0</v>
      </c>
      <c r="N1566" s="87">
        <v>0.0</v>
      </c>
      <c r="O1566" s="87">
        <v>0.0</v>
      </c>
      <c r="P1566" s="87">
        <v>0.0</v>
      </c>
      <c r="Q1566" s="87">
        <v>0.0</v>
      </c>
    </row>
    <row r="1567">
      <c r="A1567" s="84" t="s">
        <v>180</v>
      </c>
      <c r="B1567" s="194"/>
      <c r="C1567" s="84" t="s">
        <v>820</v>
      </c>
      <c r="D1567" s="88" t="s">
        <v>1396</v>
      </c>
      <c r="E1567" s="84" t="s">
        <v>3683</v>
      </c>
      <c r="F1567" s="84" t="s">
        <v>814</v>
      </c>
      <c r="G1567" s="84" t="s">
        <v>3533</v>
      </c>
      <c r="H1567" s="84" t="s">
        <v>3521</v>
      </c>
      <c r="I1567" s="84" t="s">
        <v>3684</v>
      </c>
      <c r="J1567" s="84" t="s">
        <v>130</v>
      </c>
      <c r="K1567" s="91"/>
      <c r="L1567" s="87">
        <v>24.0</v>
      </c>
      <c r="M1567" s="87">
        <v>0.0</v>
      </c>
      <c r="N1567" s="87">
        <v>0.0</v>
      </c>
      <c r="O1567" s="87">
        <v>0.0</v>
      </c>
      <c r="P1567" s="87">
        <v>0.0</v>
      </c>
      <c r="Q1567" s="87">
        <v>0.033898</v>
      </c>
    </row>
    <row r="1568">
      <c r="A1568" s="84" t="s">
        <v>444</v>
      </c>
      <c r="B1568" s="194"/>
      <c r="C1568" s="84" t="s">
        <v>450</v>
      </c>
      <c r="D1568" s="88" t="s">
        <v>1396</v>
      </c>
      <c r="E1568" s="84" t="s">
        <v>3683</v>
      </c>
      <c r="F1568" s="84" t="s">
        <v>448</v>
      </c>
      <c r="G1568" s="84" t="s">
        <v>3577</v>
      </c>
      <c r="H1568" s="84" t="s">
        <v>3521</v>
      </c>
      <c r="I1568" s="84" t="s">
        <v>3684</v>
      </c>
      <c r="J1568" s="84" t="s">
        <v>130</v>
      </c>
      <c r="K1568" s="91"/>
      <c r="L1568" s="87">
        <v>24.0</v>
      </c>
      <c r="M1568" s="87">
        <v>0.0</v>
      </c>
      <c r="N1568" s="87">
        <v>0.0</v>
      </c>
      <c r="O1568" s="87">
        <v>0.0</v>
      </c>
      <c r="P1568" s="87">
        <v>0.0</v>
      </c>
      <c r="Q1568" s="87">
        <v>0.0</v>
      </c>
    </row>
    <row r="1569">
      <c r="A1569" s="84" t="s">
        <v>180</v>
      </c>
      <c r="B1569" s="194"/>
      <c r="C1569" s="84" t="s">
        <v>824</v>
      </c>
      <c r="D1569" s="88" t="s">
        <v>1396</v>
      </c>
      <c r="E1569" s="84" t="s">
        <v>3683</v>
      </c>
      <c r="F1569" s="84" t="s">
        <v>814</v>
      </c>
      <c r="G1569" s="84" t="s">
        <v>3533</v>
      </c>
      <c r="H1569" s="84" t="s">
        <v>3521</v>
      </c>
      <c r="I1569" s="84" t="s">
        <v>3684</v>
      </c>
      <c r="J1569" s="84" t="s">
        <v>130</v>
      </c>
      <c r="K1569" s="91"/>
      <c r="L1569" s="87">
        <v>24.0</v>
      </c>
      <c r="M1569" s="87">
        <v>0.0</v>
      </c>
      <c r="N1569" s="87">
        <v>0.0</v>
      </c>
      <c r="O1569" s="87">
        <v>0.0</v>
      </c>
      <c r="P1569" s="87">
        <v>0.0</v>
      </c>
      <c r="Q1569" s="87">
        <v>0.0</v>
      </c>
    </row>
    <row r="1570">
      <c r="A1570" s="84" t="s">
        <v>393</v>
      </c>
      <c r="B1570" s="194"/>
      <c r="C1570" s="84" t="s">
        <v>396</v>
      </c>
      <c r="D1570" s="88" t="s">
        <v>1396</v>
      </c>
      <c r="E1570" s="84" t="s">
        <v>3683</v>
      </c>
      <c r="F1570" s="84" t="s">
        <v>397</v>
      </c>
      <c r="G1570" s="84" t="s">
        <v>3698</v>
      </c>
      <c r="H1570" s="84" t="s">
        <v>3521</v>
      </c>
      <c r="I1570" s="84" t="s">
        <v>3693</v>
      </c>
      <c r="J1570" s="84" t="s">
        <v>130</v>
      </c>
      <c r="K1570" s="91"/>
      <c r="L1570" s="87">
        <v>58.0</v>
      </c>
      <c r="M1570" s="87">
        <v>0.0</v>
      </c>
      <c r="N1570" s="87">
        <v>0.0</v>
      </c>
      <c r="O1570" s="87">
        <v>0.0</v>
      </c>
      <c r="P1570" s="87">
        <v>0.0</v>
      </c>
      <c r="Q1570" s="87">
        <v>0.016667</v>
      </c>
    </row>
    <row r="1571">
      <c r="A1571" s="84" t="s">
        <v>644</v>
      </c>
      <c r="B1571" s="194"/>
      <c r="C1571" s="84" t="s">
        <v>698</v>
      </c>
      <c r="D1571" s="88" t="s">
        <v>1396</v>
      </c>
      <c r="E1571" s="84" t="s">
        <v>3683</v>
      </c>
      <c r="F1571" s="84" t="s">
        <v>686</v>
      </c>
      <c r="G1571" s="84" t="s">
        <v>3607</v>
      </c>
      <c r="H1571" s="84" t="s">
        <v>3521</v>
      </c>
      <c r="I1571" s="84" t="s">
        <v>3684</v>
      </c>
      <c r="J1571" s="84" t="s">
        <v>130</v>
      </c>
      <c r="K1571" s="91"/>
      <c r="L1571" s="87">
        <v>24.0</v>
      </c>
      <c r="M1571" s="87">
        <v>0.0</v>
      </c>
      <c r="N1571" s="87">
        <v>0.0</v>
      </c>
      <c r="O1571" s="87">
        <v>0.0</v>
      </c>
      <c r="P1571" s="87">
        <v>0.0</v>
      </c>
      <c r="Q1571" s="87">
        <v>0.0</v>
      </c>
    </row>
    <row r="1572">
      <c r="A1572" s="84" t="s">
        <v>139</v>
      </c>
      <c r="B1572" s="194"/>
      <c r="C1572" s="84" t="s">
        <v>160</v>
      </c>
      <c r="D1572" s="88" t="s">
        <v>1396</v>
      </c>
      <c r="E1572" s="84" t="s">
        <v>3683</v>
      </c>
      <c r="F1572" s="84" t="s">
        <v>144</v>
      </c>
      <c r="G1572" s="84" t="s">
        <v>3700</v>
      </c>
      <c r="I1572" s="84" t="s">
        <v>3684</v>
      </c>
      <c r="J1572" s="84" t="s">
        <v>130</v>
      </c>
      <c r="K1572" s="91"/>
      <c r="L1572" s="87">
        <v>48.0</v>
      </c>
      <c r="M1572" s="87">
        <v>0.0</v>
      </c>
      <c r="N1572" s="87">
        <v>0.0</v>
      </c>
      <c r="O1572" s="87">
        <v>0.0</v>
      </c>
      <c r="P1572" s="87">
        <v>0.0</v>
      </c>
      <c r="Q1572" s="87">
        <v>0.0</v>
      </c>
    </row>
    <row r="1573">
      <c r="A1573" s="84" t="s">
        <v>258</v>
      </c>
      <c r="B1573" s="194"/>
      <c r="C1573" s="84" t="s">
        <v>902</v>
      </c>
      <c r="D1573" s="88" t="s">
        <v>1396</v>
      </c>
      <c r="E1573" s="84" t="s">
        <v>3683</v>
      </c>
      <c r="F1573" s="84" t="s">
        <v>898</v>
      </c>
      <c r="G1573" s="84" t="s">
        <v>3560</v>
      </c>
      <c r="H1573" s="84" t="s">
        <v>3521</v>
      </c>
      <c r="I1573" s="84" t="s">
        <v>3684</v>
      </c>
      <c r="J1573" s="91"/>
      <c r="K1573" s="91"/>
      <c r="L1573" s="87">
        <v>193.0</v>
      </c>
      <c r="M1573" s="87">
        <v>2.0</v>
      </c>
      <c r="N1573" s="87">
        <v>6.273399</v>
      </c>
      <c r="O1573" s="87">
        <v>9.403649</v>
      </c>
      <c r="P1573" s="87">
        <v>10.29969</v>
      </c>
      <c r="Q1573" s="87">
        <v>7.022518</v>
      </c>
    </row>
    <row r="1574">
      <c r="A1574" s="84" t="s">
        <v>644</v>
      </c>
      <c r="B1574" s="194"/>
      <c r="C1574" s="84" t="s">
        <v>727</v>
      </c>
      <c r="D1574" s="88" t="s">
        <v>1396</v>
      </c>
      <c r="E1574" s="84" t="s">
        <v>3687</v>
      </c>
      <c r="F1574" s="84" t="s">
        <v>3751</v>
      </c>
      <c r="G1574" s="84" t="s">
        <v>3752</v>
      </c>
      <c r="H1574" s="84" t="s">
        <v>3521</v>
      </c>
      <c r="I1574" s="84" t="s">
        <v>3684</v>
      </c>
      <c r="J1574" s="84" t="s">
        <v>215</v>
      </c>
      <c r="K1574" s="84" t="s">
        <v>111</v>
      </c>
      <c r="L1574" s="87">
        <v>432.0</v>
      </c>
      <c r="M1574" s="87">
        <v>0.0</v>
      </c>
      <c r="N1574" s="87">
        <v>1.235852</v>
      </c>
      <c r="O1574" s="87">
        <v>0.0</v>
      </c>
      <c r="P1574" s="87">
        <v>0.139423</v>
      </c>
      <c r="Q1574" s="87">
        <v>1.2819</v>
      </c>
    </row>
    <row r="1575">
      <c r="A1575" s="84" t="s">
        <v>644</v>
      </c>
      <c r="B1575" s="194"/>
      <c r="C1575" s="84" t="s">
        <v>662</v>
      </c>
      <c r="D1575" s="88" t="s">
        <v>1396</v>
      </c>
      <c r="E1575" s="84" t="s">
        <v>3683</v>
      </c>
      <c r="F1575" s="84" t="s">
        <v>658</v>
      </c>
      <c r="G1575" s="84" t="s">
        <v>3801</v>
      </c>
      <c r="H1575" s="84" t="s">
        <v>3521</v>
      </c>
      <c r="I1575" s="84" t="s">
        <v>3684</v>
      </c>
      <c r="J1575" s="91"/>
      <c r="K1575" s="84" t="s">
        <v>111</v>
      </c>
      <c r="L1575" s="87">
        <v>720.0</v>
      </c>
      <c r="M1575" s="87">
        <v>0.0</v>
      </c>
      <c r="N1575" s="87">
        <v>0.174242</v>
      </c>
      <c r="O1575" s="87">
        <v>0.0</v>
      </c>
      <c r="P1575" s="87">
        <v>0.174242</v>
      </c>
      <c r="Q1575" s="87">
        <v>0.072951</v>
      </c>
    </row>
    <row r="1576">
      <c r="A1576" s="84" t="s">
        <v>74</v>
      </c>
      <c r="B1576" s="194"/>
      <c r="C1576" s="84" t="s">
        <v>82</v>
      </c>
      <c r="D1576" s="88" t="s">
        <v>1396</v>
      </c>
      <c r="E1576" s="84" t="s">
        <v>3683</v>
      </c>
      <c r="F1576" s="84" t="s">
        <v>73</v>
      </c>
      <c r="G1576" s="84" t="s">
        <v>3712</v>
      </c>
      <c r="I1576" s="84" t="s">
        <v>3684</v>
      </c>
      <c r="J1576" s="91"/>
      <c r="K1576" s="91"/>
      <c r="L1576" s="87">
        <v>552.0</v>
      </c>
      <c r="M1576" s="87">
        <v>0.0</v>
      </c>
      <c r="N1576" s="87">
        <v>0.0</v>
      </c>
      <c r="O1576" s="87">
        <v>0.0</v>
      </c>
      <c r="P1576" s="87">
        <v>0.0</v>
      </c>
      <c r="Q1576" s="87">
        <v>0.0</v>
      </c>
    </row>
    <row r="1577">
      <c r="A1577" s="84" t="s">
        <v>537</v>
      </c>
      <c r="B1577" s="194"/>
      <c r="C1577" s="84" t="s">
        <v>535</v>
      </c>
      <c r="D1577" s="88" t="s">
        <v>1396</v>
      </c>
      <c r="E1577" s="84" t="s">
        <v>3683</v>
      </c>
      <c r="F1577" s="84" t="s">
        <v>536</v>
      </c>
      <c r="G1577" s="84" t="s">
        <v>3782</v>
      </c>
      <c r="H1577" s="84" t="s">
        <v>3521</v>
      </c>
      <c r="I1577" s="84" t="s">
        <v>3693</v>
      </c>
      <c r="J1577" s="84" t="s">
        <v>130</v>
      </c>
      <c r="K1577" s="91"/>
      <c r="L1577" s="87">
        <v>200.0</v>
      </c>
      <c r="M1577" s="87">
        <v>0.0</v>
      </c>
      <c r="N1577" s="87">
        <v>2.183133</v>
      </c>
      <c r="O1577" s="87">
        <v>4.987013</v>
      </c>
      <c r="P1577" s="87">
        <v>4.710822</v>
      </c>
      <c r="Q1577" s="87">
        <v>2.602599</v>
      </c>
    </row>
    <row r="1578">
      <c r="A1578" s="84" t="s">
        <v>213</v>
      </c>
      <c r="B1578" s="194"/>
      <c r="C1578" s="84" t="s">
        <v>855</v>
      </c>
      <c r="D1578" s="88" t="s">
        <v>1396</v>
      </c>
      <c r="E1578" s="84" t="s">
        <v>3687</v>
      </c>
      <c r="F1578" s="84" t="s">
        <v>856</v>
      </c>
      <c r="G1578" s="84" t="s">
        <v>3552</v>
      </c>
      <c r="I1578" s="84" t="s">
        <v>3684</v>
      </c>
      <c r="J1578" s="91"/>
      <c r="K1578" s="91"/>
      <c r="L1578" s="87">
        <v>552.0</v>
      </c>
      <c r="M1578" s="87">
        <v>0.0</v>
      </c>
      <c r="N1578" s="87">
        <v>0.0</v>
      </c>
      <c r="O1578" s="87">
        <v>0.0</v>
      </c>
      <c r="P1578" s="87">
        <v>0.0</v>
      </c>
      <c r="Q1578" s="87">
        <v>0.0</v>
      </c>
    </row>
    <row r="1579">
      <c r="A1579" s="84" t="s">
        <v>231</v>
      </c>
      <c r="B1579" s="194"/>
      <c r="C1579" s="84" t="s">
        <v>3651</v>
      </c>
      <c r="D1579" s="88" t="s">
        <v>1396</v>
      </c>
      <c r="E1579" s="84" t="s">
        <v>3687</v>
      </c>
      <c r="F1579" s="84" t="s">
        <v>4212</v>
      </c>
      <c r="G1579" s="84" t="s">
        <v>4213</v>
      </c>
      <c r="H1579" s="84" t="s">
        <v>3521</v>
      </c>
      <c r="I1579" s="84" t="s">
        <v>3709</v>
      </c>
      <c r="J1579" s="91"/>
      <c r="K1579" s="84" t="s">
        <v>111</v>
      </c>
      <c r="L1579" s="87">
        <v>528.0</v>
      </c>
      <c r="M1579" s="87">
        <v>0.0</v>
      </c>
      <c r="N1579" s="87">
        <v>0.0</v>
      </c>
      <c r="O1579" s="87">
        <v>0.0</v>
      </c>
      <c r="P1579" s="87">
        <v>0.0</v>
      </c>
      <c r="Q1579" s="87">
        <v>0.0</v>
      </c>
    </row>
    <row r="1580">
      <c r="A1580" s="84" t="s">
        <v>630</v>
      </c>
      <c r="B1580" s="194"/>
      <c r="C1580" s="84" t="s">
        <v>1115</v>
      </c>
      <c r="D1580" s="88" t="s">
        <v>1396</v>
      </c>
      <c r="E1580" s="84" t="s">
        <v>3683</v>
      </c>
      <c r="F1580" s="84" t="s">
        <v>1113</v>
      </c>
      <c r="G1580" s="84" t="s">
        <v>3554</v>
      </c>
      <c r="H1580" s="84" t="s">
        <v>3521</v>
      </c>
      <c r="I1580" s="84" t="s">
        <v>3684</v>
      </c>
      <c r="J1580" s="91"/>
      <c r="K1580" s="84" t="s">
        <v>111</v>
      </c>
      <c r="L1580" s="87">
        <v>528.0</v>
      </c>
      <c r="M1580" s="87">
        <v>0.0</v>
      </c>
      <c r="N1580" s="87">
        <v>0.0</v>
      </c>
      <c r="O1580" s="87">
        <v>0.0</v>
      </c>
      <c r="P1580" s="87">
        <v>0.0</v>
      </c>
      <c r="Q1580" s="87">
        <v>0.0</v>
      </c>
    </row>
    <row r="1581">
      <c r="A1581" s="84" t="s">
        <v>644</v>
      </c>
      <c r="B1581" s="194"/>
      <c r="C1581" s="84" t="s">
        <v>721</v>
      </c>
      <c r="D1581" s="88" t="s">
        <v>1396</v>
      </c>
      <c r="E1581" s="84" t="s">
        <v>3687</v>
      </c>
      <c r="F1581" s="84" t="s">
        <v>716</v>
      </c>
      <c r="G1581" s="84" t="s">
        <v>3607</v>
      </c>
      <c r="I1581" s="84" t="s">
        <v>3684</v>
      </c>
      <c r="J1581" s="91"/>
      <c r="K1581" s="91"/>
      <c r="L1581" s="87">
        <v>552.0</v>
      </c>
      <c r="M1581" s="87">
        <v>0.0</v>
      </c>
      <c r="N1581" s="87">
        <v>0.0</v>
      </c>
      <c r="O1581" s="87">
        <v>0.0</v>
      </c>
      <c r="P1581" s="87">
        <v>0.0</v>
      </c>
      <c r="Q1581" s="87">
        <v>0.0</v>
      </c>
    </row>
    <row r="1582">
      <c r="A1582" s="84" t="s">
        <v>393</v>
      </c>
      <c r="B1582" s="194"/>
      <c r="C1582" s="84" t="s">
        <v>432</v>
      </c>
      <c r="D1582" s="88" t="s">
        <v>1396</v>
      </c>
      <c r="E1582" s="84" t="s">
        <v>3687</v>
      </c>
      <c r="F1582" s="84" t="s">
        <v>431</v>
      </c>
      <c r="G1582" s="84" t="s">
        <v>4114</v>
      </c>
      <c r="H1582" s="84" t="s">
        <v>3521</v>
      </c>
      <c r="I1582" s="84" t="s">
        <v>3693</v>
      </c>
      <c r="J1582" s="91"/>
      <c r="K1582" s="91"/>
      <c r="L1582" s="87">
        <v>53.0</v>
      </c>
      <c r="M1582" s="87">
        <v>4.0</v>
      </c>
      <c r="N1582" s="87">
        <v>0.142857</v>
      </c>
      <c r="O1582" s="87">
        <v>3.040293</v>
      </c>
      <c r="P1582" s="87">
        <v>3.350493</v>
      </c>
      <c r="Q1582" s="87">
        <v>3.494093</v>
      </c>
    </row>
    <row r="1583">
      <c r="A1583" s="84" t="s">
        <v>1130</v>
      </c>
      <c r="B1583" s="194"/>
      <c r="C1583" s="84" t="s">
        <v>1157</v>
      </c>
      <c r="D1583" s="88" t="s">
        <v>1396</v>
      </c>
      <c r="E1583" s="84" t="s">
        <v>3683</v>
      </c>
      <c r="F1583" s="84" t="s">
        <v>1142</v>
      </c>
      <c r="G1583" s="84" t="s">
        <v>3605</v>
      </c>
      <c r="H1583" s="84" t="s">
        <v>3521</v>
      </c>
      <c r="I1583" s="84" t="s">
        <v>3684</v>
      </c>
      <c r="J1583" s="84" t="s">
        <v>130</v>
      </c>
      <c r="K1583" s="91"/>
      <c r="L1583" s="87">
        <v>24.0</v>
      </c>
      <c r="M1583" s="87">
        <v>0.0</v>
      </c>
      <c r="N1583" s="87">
        <v>0.0</v>
      </c>
      <c r="O1583" s="87">
        <v>0.0</v>
      </c>
      <c r="P1583" s="87">
        <v>0.0</v>
      </c>
      <c r="Q1583" s="87">
        <v>0.628771</v>
      </c>
    </row>
    <row r="1584">
      <c r="A1584" s="84" t="s">
        <v>1130</v>
      </c>
      <c r="B1584" s="194"/>
      <c r="C1584" s="84" t="s">
        <v>1128</v>
      </c>
      <c r="D1584" s="88" t="s">
        <v>1396</v>
      </c>
      <c r="E1584" s="84" t="s">
        <v>3687</v>
      </c>
      <c r="F1584" s="84" t="s">
        <v>1129</v>
      </c>
      <c r="G1584" s="84" t="s">
        <v>3604</v>
      </c>
      <c r="I1584" s="84" t="s">
        <v>3684</v>
      </c>
      <c r="J1584" s="91"/>
      <c r="K1584" s="91"/>
      <c r="L1584" s="87">
        <v>552.0</v>
      </c>
      <c r="M1584" s="87">
        <v>0.0</v>
      </c>
      <c r="N1584" s="87">
        <v>0.0</v>
      </c>
      <c r="O1584" s="87">
        <v>0.0</v>
      </c>
      <c r="P1584" s="87">
        <v>0.0</v>
      </c>
      <c r="Q1584" s="87">
        <v>0.0</v>
      </c>
    </row>
    <row r="1585">
      <c r="A1585" s="84" t="s">
        <v>644</v>
      </c>
      <c r="B1585" s="194"/>
      <c r="C1585" s="84" t="s">
        <v>1176</v>
      </c>
      <c r="D1585" s="88" t="s">
        <v>1396</v>
      </c>
      <c r="E1585" s="84" t="s">
        <v>3687</v>
      </c>
      <c r="F1585" s="84" t="s">
        <v>686</v>
      </c>
      <c r="G1585" s="84" t="s">
        <v>3600</v>
      </c>
      <c r="H1585" s="84" t="s">
        <v>3521</v>
      </c>
      <c r="I1585" s="84" t="s">
        <v>3684</v>
      </c>
      <c r="J1585" s="84" t="s">
        <v>130</v>
      </c>
      <c r="K1585" s="91"/>
      <c r="L1585" s="87">
        <v>672.0</v>
      </c>
      <c r="M1585" s="87">
        <v>0.0</v>
      </c>
      <c r="N1585" s="87">
        <v>1.814929</v>
      </c>
      <c r="O1585" s="87">
        <v>0.5</v>
      </c>
      <c r="P1585" s="87">
        <v>0.505556</v>
      </c>
      <c r="Q1585" s="87">
        <v>1.817707</v>
      </c>
    </row>
    <row r="1586">
      <c r="A1586" s="84" t="s">
        <v>644</v>
      </c>
      <c r="B1586" s="194"/>
      <c r="C1586" s="84" t="s">
        <v>1265</v>
      </c>
      <c r="D1586" s="88" t="s">
        <v>1396</v>
      </c>
      <c r="E1586" s="84" t="s">
        <v>3683</v>
      </c>
      <c r="F1586" s="84" t="s">
        <v>682</v>
      </c>
      <c r="G1586" s="84" t="s">
        <v>3563</v>
      </c>
      <c r="H1586" s="84" t="s">
        <v>3521</v>
      </c>
      <c r="I1586" s="84" t="s">
        <v>3684</v>
      </c>
      <c r="J1586" s="91"/>
      <c r="K1586" s="91"/>
      <c r="L1586" s="87">
        <v>0.0</v>
      </c>
      <c r="M1586" s="87">
        <v>0.0</v>
      </c>
      <c r="N1586" s="87">
        <v>0.0</v>
      </c>
      <c r="O1586" s="87">
        <v>0.428571</v>
      </c>
      <c r="P1586" s="87">
        <v>0.533333</v>
      </c>
      <c r="Q1586" s="87">
        <v>0.409502</v>
      </c>
    </row>
    <row r="1587">
      <c r="A1587" s="84" t="s">
        <v>472</v>
      </c>
      <c r="B1587" s="194"/>
      <c r="C1587" s="84" t="s">
        <v>1031</v>
      </c>
      <c r="D1587" s="88" t="s">
        <v>1396</v>
      </c>
      <c r="E1587" s="84" t="s">
        <v>3687</v>
      </c>
      <c r="F1587" s="91"/>
      <c r="G1587" s="84" t="s">
        <v>3587</v>
      </c>
      <c r="H1587" s="84" t="s">
        <v>3521</v>
      </c>
      <c r="I1587" s="84" t="s">
        <v>3684</v>
      </c>
      <c r="J1587" s="84" t="s">
        <v>130</v>
      </c>
      <c r="K1587" s="91"/>
      <c r="L1587" s="87">
        <v>240.0</v>
      </c>
      <c r="M1587" s="87">
        <v>0.0</v>
      </c>
      <c r="N1587" s="87">
        <v>0.288462</v>
      </c>
      <c r="O1587" s="87">
        <v>0.25</v>
      </c>
      <c r="P1587" s="87">
        <v>0.083333</v>
      </c>
      <c r="Q1587" s="87">
        <v>0.078069</v>
      </c>
    </row>
    <row r="1588">
      <c r="A1588" s="84" t="s">
        <v>139</v>
      </c>
      <c r="B1588" s="194"/>
      <c r="C1588" s="84" t="s">
        <v>154</v>
      </c>
      <c r="D1588" s="88" t="s">
        <v>1396</v>
      </c>
      <c r="E1588" s="84" t="s">
        <v>3683</v>
      </c>
      <c r="F1588" s="84" t="s">
        <v>144</v>
      </c>
      <c r="G1588" s="84" t="s">
        <v>3700</v>
      </c>
      <c r="H1588" s="84" t="s">
        <v>3521</v>
      </c>
      <c r="I1588" s="84" t="s">
        <v>3684</v>
      </c>
      <c r="J1588" s="84" t="s">
        <v>130</v>
      </c>
      <c r="K1588" s="84" t="s">
        <v>111</v>
      </c>
      <c r="L1588" s="87">
        <v>768.0</v>
      </c>
      <c r="M1588" s="87">
        <v>0.0</v>
      </c>
      <c r="N1588" s="87">
        <v>0.0</v>
      </c>
      <c r="O1588" s="87">
        <v>0.0</v>
      </c>
      <c r="P1588" s="87">
        <v>0.0</v>
      </c>
      <c r="Q1588" s="87">
        <v>0.0</v>
      </c>
    </row>
    <row r="1589">
      <c r="A1589" s="84" t="s">
        <v>139</v>
      </c>
      <c r="B1589" s="194"/>
      <c r="C1589" s="84" t="s">
        <v>143</v>
      </c>
      <c r="D1589" s="88" t="s">
        <v>1396</v>
      </c>
      <c r="E1589" s="84" t="s">
        <v>3683</v>
      </c>
      <c r="F1589" s="84" t="s">
        <v>144</v>
      </c>
      <c r="G1589" s="84" t="s">
        <v>3700</v>
      </c>
      <c r="H1589" s="84" t="s">
        <v>3521</v>
      </c>
      <c r="I1589" s="84" t="s">
        <v>3684</v>
      </c>
      <c r="J1589" s="84" t="s">
        <v>130</v>
      </c>
      <c r="K1589" s="84" t="s">
        <v>111</v>
      </c>
      <c r="L1589" s="87">
        <v>816.0</v>
      </c>
      <c r="M1589" s="87">
        <v>0.0</v>
      </c>
      <c r="N1589" s="87">
        <v>5.298199</v>
      </c>
      <c r="O1589" s="87">
        <v>0.0</v>
      </c>
      <c r="P1589" s="87">
        <v>0.0</v>
      </c>
      <c r="Q1589" s="87">
        <v>5.298199</v>
      </c>
    </row>
    <row r="1590">
      <c r="A1590" s="84" t="s">
        <v>139</v>
      </c>
      <c r="B1590" s="194"/>
      <c r="C1590" s="84" t="s">
        <v>168</v>
      </c>
      <c r="D1590" s="88" t="s">
        <v>1396</v>
      </c>
      <c r="E1590" s="84" t="s">
        <v>3683</v>
      </c>
      <c r="F1590" s="84" t="s">
        <v>144</v>
      </c>
      <c r="G1590" s="84" t="s">
        <v>3700</v>
      </c>
      <c r="H1590" s="84" t="s">
        <v>3521</v>
      </c>
      <c r="I1590" s="84" t="s">
        <v>3684</v>
      </c>
      <c r="J1590" s="84" t="s">
        <v>130</v>
      </c>
      <c r="K1590" s="84" t="s">
        <v>111</v>
      </c>
      <c r="L1590" s="87">
        <v>768.0</v>
      </c>
      <c r="M1590" s="87">
        <v>0.0</v>
      </c>
      <c r="N1590" s="87">
        <v>0.0</v>
      </c>
      <c r="O1590" s="87">
        <v>0.0</v>
      </c>
      <c r="P1590" s="87">
        <v>0.0</v>
      </c>
      <c r="Q1590" s="87">
        <v>0.0</v>
      </c>
    </row>
    <row r="1591">
      <c r="A1591" s="84" t="s">
        <v>258</v>
      </c>
      <c r="B1591" s="194"/>
      <c r="C1591" s="84" t="s">
        <v>907</v>
      </c>
      <c r="D1591" s="88" t="s">
        <v>1396</v>
      </c>
      <c r="E1591" s="84" t="s">
        <v>3683</v>
      </c>
      <c r="F1591" s="84" t="s">
        <v>904</v>
      </c>
      <c r="G1591" s="84" t="s">
        <v>3561</v>
      </c>
      <c r="H1591" s="84" t="s">
        <v>3521</v>
      </c>
      <c r="I1591" s="84" t="s">
        <v>3684</v>
      </c>
      <c r="J1591" s="91"/>
      <c r="K1591" s="84" t="s">
        <v>111</v>
      </c>
      <c r="L1591" s="87">
        <v>336.0</v>
      </c>
      <c r="M1591" s="87">
        <v>0.0</v>
      </c>
      <c r="N1591" s="87">
        <v>0.0</v>
      </c>
      <c r="O1591" s="87">
        <v>0.0</v>
      </c>
      <c r="P1591" s="87">
        <v>0.0</v>
      </c>
      <c r="Q1591" s="87">
        <v>0.0</v>
      </c>
    </row>
    <row r="1592">
      <c r="A1592" s="84" t="s">
        <v>644</v>
      </c>
      <c r="B1592" s="194"/>
      <c r="C1592" s="84" t="s">
        <v>738</v>
      </c>
      <c r="D1592" s="88" t="s">
        <v>1396</v>
      </c>
      <c r="E1592" s="84" t="s">
        <v>3683</v>
      </c>
      <c r="F1592" s="84" t="s">
        <v>737</v>
      </c>
      <c r="G1592" s="84" t="s">
        <v>3696</v>
      </c>
      <c r="H1592" s="84" t="s">
        <v>3521</v>
      </c>
      <c r="I1592" s="84" t="s">
        <v>3684</v>
      </c>
      <c r="J1592" s="84" t="s">
        <v>215</v>
      </c>
      <c r="L1592" s="87">
        <v>744.0</v>
      </c>
      <c r="M1592" s="87">
        <v>0.0</v>
      </c>
      <c r="N1592" s="87">
        <v>53.73394</v>
      </c>
      <c r="O1592" s="87">
        <v>1.0</v>
      </c>
      <c r="P1592" s="87">
        <v>0.444328</v>
      </c>
      <c r="Q1592" s="87">
        <v>53.73641</v>
      </c>
    </row>
    <row r="1593">
      <c r="A1593" s="84" t="s">
        <v>644</v>
      </c>
      <c r="B1593" s="194"/>
      <c r="C1593" s="84" t="s">
        <v>1200</v>
      </c>
      <c r="D1593" s="88" t="s">
        <v>1396</v>
      </c>
      <c r="E1593" s="84" t="s">
        <v>3683</v>
      </c>
      <c r="F1593" s="84" t="s">
        <v>1192</v>
      </c>
      <c r="G1593" s="84" t="s">
        <v>3761</v>
      </c>
      <c r="H1593" s="84" t="s">
        <v>3521</v>
      </c>
      <c r="I1593" s="84" t="s">
        <v>3684</v>
      </c>
      <c r="J1593" s="84" t="s">
        <v>130</v>
      </c>
      <c r="K1593" s="91"/>
      <c r="L1593" s="87">
        <v>720.0</v>
      </c>
      <c r="M1593" s="87">
        <v>0.0</v>
      </c>
      <c r="N1593" s="87">
        <v>6.380384</v>
      </c>
      <c r="O1593" s="87">
        <v>0.142857</v>
      </c>
      <c r="P1593" s="87">
        <v>0.330769</v>
      </c>
      <c r="Q1593" s="87">
        <v>6.269382</v>
      </c>
    </row>
    <row r="1594">
      <c r="A1594" s="84" t="s">
        <v>439</v>
      </c>
      <c r="B1594" s="193"/>
      <c r="C1594" s="84" t="s">
        <v>941</v>
      </c>
      <c r="D1594" s="88" t="s">
        <v>1396</v>
      </c>
      <c r="E1594" s="84" t="s">
        <v>3683</v>
      </c>
      <c r="F1594" s="84" t="s">
        <v>938</v>
      </c>
      <c r="G1594" s="84" t="s">
        <v>3514</v>
      </c>
      <c r="H1594" s="84" t="s">
        <v>3527</v>
      </c>
      <c r="I1594" s="84" t="s">
        <v>3709</v>
      </c>
      <c r="J1594" s="84" t="s">
        <v>130</v>
      </c>
      <c r="K1594" s="91"/>
      <c r="L1594" s="87">
        <v>24.0</v>
      </c>
      <c r="M1594" s="87">
        <v>0.0</v>
      </c>
      <c r="N1594" s="87">
        <v>0.0</v>
      </c>
      <c r="O1594" s="87">
        <v>0.0</v>
      </c>
      <c r="P1594" s="87">
        <v>0.0</v>
      </c>
      <c r="Q1594" s="87">
        <v>0.0</v>
      </c>
    </row>
    <row r="1595">
      <c r="A1595" s="84" t="s">
        <v>472</v>
      </c>
      <c r="B1595" s="194"/>
      <c r="C1595" s="84" t="s">
        <v>1039</v>
      </c>
      <c r="D1595" s="88" t="s">
        <v>1396</v>
      </c>
      <c r="E1595" s="84" t="s">
        <v>3683</v>
      </c>
      <c r="F1595" s="84" t="s">
        <v>1035</v>
      </c>
      <c r="G1595" s="84" t="s">
        <v>3588</v>
      </c>
      <c r="H1595" s="84" t="s">
        <v>3521</v>
      </c>
      <c r="I1595" s="84" t="s">
        <v>3684</v>
      </c>
      <c r="J1595" s="84" t="s">
        <v>130</v>
      </c>
      <c r="K1595" s="91"/>
      <c r="L1595" s="87">
        <v>0.0</v>
      </c>
      <c r="M1595" s="87">
        <v>0.0</v>
      </c>
      <c r="N1595" s="87">
        <v>0.0</v>
      </c>
      <c r="O1595" s="87">
        <v>0.0</v>
      </c>
      <c r="P1595" s="87">
        <v>0.172414</v>
      </c>
      <c r="Q1595" s="87">
        <v>0.186973</v>
      </c>
    </row>
    <row r="1596">
      <c r="A1596" s="84" t="s">
        <v>341</v>
      </c>
      <c r="B1596" s="194"/>
      <c r="C1596" s="84" t="s">
        <v>339</v>
      </c>
      <c r="D1596" s="88" t="s">
        <v>1396</v>
      </c>
      <c r="E1596" s="91"/>
      <c r="F1596" s="84" t="s">
        <v>340</v>
      </c>
      <c r="G1596" s="84" t="s">
        <v>4007</v>
      </c>
      <c r="H1596" s="84" t="s">
        <v>3521</v>
      </c>
      <c r="I1596" s="84" t="s">
        <v>3962</v>
      </c>
      <c r="J1596" s="91"/>
      <c r="K1596" s="84" t="s">
        <v>111</v>
      </c>
      <c r="L1596" s="87">
        <v>552.0</v>
      </c>
      <c r="M1596" s="87">
        <v>0.0</v>
      </c>
      <c r="N1596" s="87">
        <v>0.0</v>
      </c>
      <c r="O1596" s="87">
        <v>0.0</v>
      </c>
      <c r="P1596" s="87">
        <v>0.0</v>
      </c>
      <c r="Q1596" s="87">
        <v>0.0</v>
      </c>
    </row>
    <row r="1597">
      <c r="A1597" s="84" t="s">
        <v>393</v>
      </c>
      <c r="B1597" s="194"/>
      <c r="C1597" s="84" t="s">
        <v>418</v>
      </c>
      <c r="D1597" s="88" t="s">
        <v>1396</v>
      </c>
      <c r="E1597" s="84" t="s">
        <v>3687</v>
      </c>
      <c r="F1597" s="84" t="s">
        <v>415</v>
      </c>
      <c r="G1597" s="84" t="s">
        <v>3832</v>
      </c>
      <c r="H1597" s="84" t="s">
        <v>3521</v>
      </c>
      <c r="I1597" s="84" t="s">
        <v>3693</v>
      </c>
      <c r="J1597" s="91"/>
      <c r="K1597" s="91"/>
      <c r="L1597" s="87">
        <v>11.0</v>
      </c>
      <c r="M1597" s="87">
        <v>3.0</v>
      </c>
      <c r="N1597" s="87">
        <v>0.083333</v>
      </c>
      <c r="O1597" s="87">
        <v>1.705128</v>
      </c>
      <c r="P1597" s="87">
        <v>1.597209</v>
      </c>
      <c r="Q1597" s="87">
        <v>1.683562</v>
      </c>
    </row>
    <row r="1598">
      <c r="A1598" s="84" t="s">
        <v>180</v>
      </c>
      <c r="B1598" s="194"/>
      <c r="C1598" s="84" t="s">
        <v>178</v>
      </c>
      <c r="D1598" s="88" t="s">
        <v>1396</v>
      </c>
      <c r="E1598" s="84" t="s">
        <v>3683</v>
      </c>
      <c r="F1598" s="84" t="s">
        <v>179</v>
      </c>
      <c r="G1598" s="84" t="s">
        <v>4033</v>
      </c>
      <c r="H1598" s="84" t="s">
        <v>3521</v>
      </c>
      <c r="I1598" s="84" t="s">
        <v>3684</v>
      </c>
      <c r="J1598" s="91"/>
      <c r="K1598" s="91"/>
      <c r="L1598" s="87">
        <v>72.0</v>
      </c>
      <c r="M1598" s="87">
        <v>0.0</v>
      </c>
      <c r="N1598" s="87">
        <v>0.0</v>
      </c>
      <c r="O1598" s="87">
        <v>0.0</v>
      </c>
      <c r="P1598" s="87">
        <v>0.0</v>
      </c>
      <c r="Q1598" s="87">
        <v>0.0</v>
      </c>
    </row>
    <row r="1599">
      <c r="A1599" s="84" t="s">
        <v>393</v>
      </c>
      <c r="B1599" s="194"/>
      <c r="C1599" s="84" t="s">
        <v>409</v>
      </c>
      <c r="D1599" s="88" t="s">
        <v>1396</v>
      </c>
      <c r="E1599" s="84" t="s">
        <v>3683</v>
      </c>
      <c r="F1599" s="84" t="s">
        <v>407</v>
      </c>
      <c r="G1599" s="84" t="s">
        <v>3698</v>
      </c>
      <c r="H1599" s="84" t="s">
        <v>3521</v>
      </c>
      <c r="I1599" s="84" t="s">
        <v>3693</v>
      </c>
      <c r="J1599" s="84" t="s">
        <v>130</v>
      </c>
      <c r="K1599" s="84" t="s">
        <v>111</v>
      </c>
      <c r="L1599" s="87">
        <v>24.0</v>
      </c>
      <c r="M1599" s="87">
        <v>0.0</v>
      </c>
      <c r="N1599" s="87">
        <v>0.0</v>
      </c>
      <c r="O1599" s="87">
        <v>0.0</v>
      </c>
      <c r="P1599" s="87">
        <v>0.0</v>
      </c>
      <c r="Q1599" s="87">
        <v>0.0</v>
      </c>
    </row>
    <row r="1600">
      <c r="A1600" s="84" t="s">
        <v>2609</v>
      </c>
      <c r="B1600" s="194"/>
      <c r="C1600" s="84" t="s">
        <v>1348</v>
      </c>
      <c r="D1600" s="88" t="s">
        <v>1396</v>
      </c>
      <c r="E1600" s="84" t="s">
        <v>3683</v>
      </c>
      <c r="F1600" s="84" t="s">
        <v>3720</v>
      </c>
      <c r="G1600" s="84" t="s">
        <v>3593</v>
      </c>
      <c r="H1600" s="84" t="s">
        <v>3507</v>
      </c>
      <c r="I1600" s="84" t="s">
        <v>3684</v>
      </c>
      <c r="J1600" s="84" t="s">
        <v>130</v>
      </c>
      <c r="K1600" s="91"/>
      <c r="L1600" s="87">
        <v>24.0</v>
      </c>
      <c r="M1600" s="87">
        <v>0.0</v>
      </c>
      <c r="N1600" s="87">
        <v>0.0</v>
      </c>
      <c r="O1600" s="87">
        <v>0.0</v>
      </c>
      <c r="P1600" s="87">
        <v>0.0</v>
      </c>
      <c r="Q1600" s="87">
        <v>0.0</v>
      </c>
    </row>
    <row r="1601">
      <c r="A1601" s="84" t="s">
        <v>568</v>
      </c>
      <c r="B1601" s="193"/>
      <c r="C1601" s="84" t="s">
        <v>1054</v>
      </c>
      <c r="D1601" s="88" t="s">
        <v>1396</v>
      </c>
      <c r="E1601" s="84" t="s">
        <v>3687</v>
      </c>
      <c r="F1601" s="91"/>
      <c r="G1601" s="84" t="s">
        <v>3558</v>
      </c>
      <c r="H1601" s="84" t="s">
        <v>3521</v>
      </c>
      <c r="I1601" s="84" t="s">
        <v>3684</v>
      </c>
      <c r="J1601" s="84" t="s">
        <v>130</v>
      </c>
      <c r="K1601" s="91"/>
      <c r="L1601" s="87">
        <v>24.0</v>
      </c>
      <c r="M1601" s="87">
        <v>0.0</v>
      </c>
      <c r="N1601" s="87">
        <v>0.0</v>
      </c>
      <c r="O1601" s="87">
        <v>0.0</v>
      </c>
      <c r="P1601" s="87">
        <v>0.0</v>
      </c>
      <c r="Q1601" s="87">
        <v>0.0</v>
      </c>
    </row>
    <row r="1602">
      <c r="A1602" s="84" t="s">
        <v>1130</v>
      </c>
      <c r="B1602" s="194"/>
      <c r="C1602" s="84" t="s">
        <v>1133</v>
      </c>
      <c r="D1602" s="88" t="s">
        <v>1396</v>
      </c>
      <c r="E1602" s="84" t="s">
        <v>3687</v>
      </c>
      <c r="F1602" s="84" t="s">
        <v>1129</v>
      </c>
      <c r="G1602" s="84" t="s">
        <v>3604</v>
      </c>
      <c r="H1602" s="84" t="s">
        <v>3521</v>
      </c>
      <c r="I1602" s="84" t="s">
        <v>3684</v>
      </c>
      <c r="J1602" s="84" t="s">
        <v>130</v>
      </c>
      <c r="K1602" s="84" t="s">
        <v>111</v>
      </c>
      <c r="L1602" s="87">
        <v>24.0</v>
      </c>
      <c r="M1602" s="87">
        <v>0.0</v>
      </c>
      <c r="N1602" s="87">
        <v>0.0</v>
      </c>
      <c r="O1602" s="87">
        <v>0.0</v>
      </c>
      <c r="P1602" s="87">
        <v>0.0</v>
      </c>
      <c r="Q1602" s="87">
        <v>0.0</v>
      </c>
    </row>
    <row r="1603">
      <c r="A1603" s="84" t="s">
        <v>180</v>
      </c>
      <c r="B1603" s="194"/>
      <c r="C1603" s="84" t="s">
        <v>1322</v>
      </c>
      <c r="D1603" s="88" t="s">
        <v>1396</v>
      </c>
      <c r="E1603" s="84" t="s">
        <v>3683</v>
      </c>
      <c r="F1603" s="84" t="s">
        <v>706</v>
      </c>
      <c r="G1603" s="84" t="s">
        <v>3547</v>
      </c>
      <c r="H1603" s="84" t="s">
        <v>3507</v>
      </c>
      <c r="I1603" s="84" t="s">
        <v>3684</v>
      </c>
      <c r="J1603" s="84" t="s">
        <v>130</v>
      </c>
      <c r="K1603" s="84" t="s">
        <v>111</v>
      </c>
      <c r="L1603" s="87">
        <v>24.0</v>
      </c>
      <c r="M1603" s="87">
        <v>0.0</v>
      </c>
      <c r="N1603" s="87">
        <v>0.0</v>
      </c>
      <c r="O1603" s="87">
        <v>0.0</v>
      </c>
      <c r="P1603" s="87">
        <v>0.0</v>
      </c>
      <c r="Q1603" s="87">
        <v>0.0</v>
      </c>
    </row>
    <row r="1604">
      <c r="A1604" s="84" t="s">
        <v>644</v>
      </c>
      <c r="B1604" s="194"/>
      <c r="C1604" s="84" t="s">
        <v>1247</v>
      </c>
      <c r="D1604" s="88" t="s">
        <v>1396</v>
      </c>
      <c r="E1604" s="84" t="s">
        <v>3683</v>
      </c>
      <c r="F1604" s="84" t="s">
        <v>402</v>
      </c>
      <c r="G1604" s="84" t="s">
        <v>3607</v>
      </c>
      <c r="H1604" s="84" t="s">
        <v>3521</v>
      </c>
      <c r="I1604" s="84" t="s">
        <v>3684</v>
      </c>
      <c r="J1604" s="84" t="s">
        <v>215</v>
      </c>
      <c r="L1604" s="87">
        <v>240.0</v>
      </c>
      <c r="M1604" s="87">
        <v>0.0</v>
      </c>
      <c r="N1604" s="87">
        <v>0.972634</v>
      </c>
      <c r="O1604" s="87">
        <v>1.409341</v>
      </c>
      <c r="P1604" s="87">
        <v>2.705046</v>
      </c>
      <c r="Q1604" s="87">
        <v>0.601058</v>
      </c>
    </row>
    <row r="1605">
      <c r="A1605" s="84" t="s">
        <v>1130</v>
      </c>
      <c r="B1605" s="194"/>
      <c r="C1605" s="84" t="s">
        <v>1163</v>
      </c>
      <c r="D1605" s="88" t="s">
        <v>1396</v>
      </c>
      <c r="E1605" s="84" t="s">
        <v>3683</v>
      </c>
      <c r="F1605" s="84" t="s">
        <v>973</v>
      </c>
      <c r="G1605" s="84" t="s">
        <v>3582</v>
      </c>
      <c r="H1605" s="84" t="s">
        <v>3521</v>
      </c>
      <c r="I1605" s="84" t="s">
        <v>3684</v>
      </c>
      <c r="J1605" s="91"/>
      <c r="K1605" s="91"/>
      <c r="L1605" s="87">
        <v>142.0</v>
      </c>
      <c r="M1605" s="87">
        <v>6.0</v>
      </c>
      <c r="N1605" s="87">
        <v>2.117771</v>
      </c>
      <c r="O1605" s="87">
        <v>9.172569</v>
      </c>
      <c r="P1605" s="87">
        <v>8.570046</v>
      </c>
      <c r="Q1605" s="87">
        <v>7.26898</v>
      </c>
    </row>
    <row r="1606">
      <c r="A1606" s="84" t="s">
        <v>537</v>
      </c>
      <c r="B1606" s="194"/>
      <c r="C1606" s="84" t="s">
        <v>546</v>
      </c>
      <c r="D1606" s="88" t="s">
        <v>1396</v>
      </c>
      <c r="E1606" s="84" t="s">
        <v>3683</v>
      </c>
      <c r="F1606" s="84" t="s">
        <v>542</v>
      </c>
      <c r="G1606" s="84" t="s">
        <v>3514</v>
      </c>
      <c r="H1606" s="84" t="s">
        <v>3521</v>
      </c>
      <c r="I1606" s="84" t="s">
        <v>3693</v>
      </c>
      <c r="J1606" s="91"/>
      <c r="K1606" s="84" t="s">
        <v>111</v>
      </c>
      <c r="L1606" s="87">
        <v>408.0</v>
      </c>
      <c r="M1606" s="87">
        <v>0.0</v>
      </c>
      <c r="N1606" s="87">
        <v>0.291667</v>
      </c>
      <c r="O1606" s="87">
        <v>0.166667</v>
      </c>
      <c r="P1606" s="87">
        <v>0.236111</v>
      </c>
      <c r="Q1606" s="87">
        <v>0.236111</v>
      </c>
    </row>
    <row r="1607">
      <c r="A1607" s="84" t="s">
        <v>139</v>
      </c>
      <c r="B1607" s="194"/>
      <c r="C1607" s="84" t="s">
        <v>172</v>
      </c>
      <c r="D1607" s="88" t="s">
        <v>1396</v>
      </c>
      <c r="E1607" s="84" t="s">
        <v>3687</v>
      </c>
      <c r="F1607" s="84" t="s">
        <v>144</v>
      </c>
      <c r="G1607" s="84" t="s">
        <v>3700</v>
      </c>
      <c r="H1607" s="84" t="s">
        <v>3521</v>
      </c>
      <c r="I1607" s="84" t="s">
        <v>3684</v>
      </c>
      <c r="J1607" s="91"/>
      <c r="K1607" s="91"/>
      <c r="L1607" s="87">
        <v>0.0</v>
      </c>
      <c r="M1607" s="87">
        <v>0.0</v>
      </c>
      <c r="N1607" s="87">
        <v>0.0</v>
      </c>
      <c r="O1607" s="87">
        <v>0.0</v>
      </c>
      <c r="P1607" s="87">
        <v>0.0</v>
      </c>
      <c r="Q1607" s="87">
        <v>0.0</v>
      </c>
    </row>
    <row r="1608">
      <c r="A1608" s="84" t="s">
        <v>630</v>
      </c>
      <c r="B1608" s="194"/>
      <c r="C1608" s="84" t="s">
        <v>1119</v>
      </c>
      <c r="D1608" s="88" t="s">
        <v>1396</v>
      </c>
      <c r="E1608" s="84" t="s">
        <v>3683</v>
      </c>
      <c r="F1608" s="84" t="s">
        <v>1117</v>
      </c>
      <c r="G1608" s="84" t="s">
        <v>3554</v>
      </c>
      <c r="H1608" s="84" t="s">
        <v>3521</v>
      </c>
      <c r="I1608" s="84" t="s">
        <v>3684</v>
      </c>
      <c r="J1608" s="91"/>
      <c r="K1608" s="91"/>
      <c r="L1608" s="87">
        <v>0.0</v>
      </c>
      <c r="M1608" s="87">
        <v>0.0</v>
      </c>
      <c r="N1608" s="87">
        <v>0.0</v>
      </c>
      <c r="O1608" s="87">
        <v>0.0</v>
      </c>
      <c r="P1608" s="87">
        <v>0.066667</v>
      </c>
      <c r="Q1608" s="87">
        <v>0.047118</v>
      </c>
    </row>
    <row r="1609">
      <c r="A1609" s="84" t="s">
        <v>644</v>
      </c>
      <c r="B1609" s="194"/>
      <c r="C1609" s="84" t="s">
        <v>676</v>
      </c>
      <c r="D1609" s="88" t="s">
        <v>1396</v>
      </c>
      <c r="E1609" s="84" t="s">
        <v>3683</v>
      </c>
      <c r="F1609" s="84" t="s">
        <v>670</v>
      </c>
      <c r="G1609" s="84" t="s">
        <v>3789</v>
      </c>
      <c r="I1609" s="84" t="s">
        <v>3684</v>
      </c>
      <c r="J1609" s="84" t="s">
        <v>130</v>
      </c>
      <c r="K1609" s="84" t="s">
        <v>111</v>
      </c>
      <c r="L1609" s="87">
        <v>552.0</v>
      </c>
      <c r="M1609" s="87">
        <v>0.0</v>
      </c>
      <c r="N1609" s="87">
        <v>0.0</v>
      </c>
      <c r="O1609" s="87">
        <v>0.0</v>
      </c>
      <c r="P1609" s="87">
        <v>0.0</v>
      </c>
      <c r="Q1609" s="87">
        <v>0.0</v>
      </c>
    </row>
    <row r="1610">
      <c r="A1610" s="84" t="s">
        <v>745</v>
      </c>
      <c r="B1610" s="194"/>
      <c r="C1610" s="84" t="s">
        <v>749</v>
      </c>
      <c r="D1610" s="88" t="s">
        <v>1396</v>
      </c>
      <c r="E1610" s="84" t="s">
        <v>3683</v>
      </c>
      <c r="F1610" s="84" t="s">
        <v>744</v>
      </c>
      <c r="G1610" s="84" t="s">
        <v>3841</v>
      </c>
      <c r="H1610" s="84" t="s">
        <v>3521</v>
      </c>
      <c r="I1610" s="84" t="s">
        <v>3684</v>
      </c>
      <c r="J1610" s="91"/>
      <c r="K1610" s="91"/>
      <c r="L1610" s="87">
        <v>432.0</v>
      </c>
      <c r="M1610" s="87">
        <v>0.0</v>
      </c>
      <c r="N1610" s="87">
        <v>0.0</v>
      </c>
      <c r="O1610" s="87">
        <v>0.0</v>
      </c>
      <c r="P1610" s="87">
        <v>0.0</v>
      </c>
      <c r="Q1610" s="87">
        <v>0.0</v>
      </c>
    </row>
    <row r="1611">
      <c r="A1611" s="84" t="s">
        <v>644</v>
      </c>
      <c r="B1611" s="194"/>
      <c r="C1611" s="84" t="s">
        <v>1191</v>
      </c>
      <c r="D1611" s="88" t="s">
        <v>1396</v>
      </c>
      <c r="E1611" s="84" t="s">
        <v>3683</v>
      </c>
      <c r="F1611" s="84" t="s">
        <v>1192</v>
      </c>
      <c r="G1611" s="84" t="s">
        <v>3600</v>
      </c>
      <c r="H1611" s="84" t="s">
        <v>3521</v>
      </c>
      <c r="I1611" s="84" t="s">
        <v>3684</v>
      </c>
      <c r="J1611" s="84" t="s">
        <v>130</v>
      </c>
      <c r="K1611" s="91"/>
      <c r="L1611" s="87">
        <v>720.0</v>
      </c>
      <c r="M1611" s="87">
        <v>0.0</v>
      </c>
      <c r="N1611" s="87">
        <v>2.686157</v>
      </c>
      <c r="O1611" s="87">
        <v>0.111111</v>
      </c>
      <c r="P1611" s="87">
        <v>0.405278</v>
      </c>
      <c r="Q1611" s="87">
        <v>2.443167</v>
      </c>
    </row>
    <row r="1612">
      <c r="A1612" s="84" t="s">
        <v>264</v>
      </c>
      <c r="B1612" s="194"/>
      <c r="C1612" s="84" t="s">
        <v>912</v>
      </c>
      <c r="D1612" s="88" t="s">
        <v>1396</v>
      </c>
      <c r="E1612" s="84" t="s">
        <v>3683</v>
      </c>
      <c r="F1612" s="84" t="s">
        <v>295</v>
      </c>
      <c r="G1612" s="84" t="s">
        <v>3564</v>
      </c>
      <c r="I1612" s="84" t="s">
        <v>3684</v>
      </c>
      <c r="J1612" s="91"/>
      <c r="K1612" s="91"/>
      <c r="L1612" s="87">
        <v>552.0</v>
      </c>
      <c r="M1612" s="87">
        <v>0.0</v>
      </c>
      <c r="N1612" s="87">
        <v>0.0</v>
      </c>
      <c r="O1612" s="87">
        <v>0.0</v>
      </c>
      <c r="P1612" s="87">
        <v>0.0</v>
      </c>
      <c r="Q1612" s="87">
        <v>0.0</v>
      </c>
    </row>
    <row r="1613">
      <c r="A1613" s="84" t="s">
        <v>601</v>
      </c>
      <c r="B1613" s="194"/>
      <c r="C1613" s="84" t="s">
        <v>1065</v>
      </c>
      <c r="D1613" s="88" t="s">
        <v>1396</v>
      </c>
      <c r="E1613" s="84" t="s">
        <v>3745</v>
      </c>
      <c r="F1613" s="84" t="s">
        <v>340</v>
      </c>
      <c r="G1613" s="84" t="s">
        <v>3595</v>
      </c>
      <c r="H1613" s="84" t="s">
        <v>3521</v>
      </c>
      <c r="I1613" s="84" t="s">
        <v>3684</v>
      </c>
      <c r="J1613" s="91"/>
      <c r="K1613" s="91"/>
      <c r="L1613" s="87">
        <v>81.0</v>
      </c>
      <c r="M1613" s="87">
        <v>6.0</v>
      </c>
      <c r="N1613" s="87">
        <v>0.702381</v>
      </c>
      <c r="O1613" s="87">
        <v>5.016667</v>
      </c>
      <c r="P1613" s="87">
        <v>3.927712</v>
      </c>
      <c r="Q1613" s="87">
        <v>5.354038</v>
      </c>
    </row>
    <row r="1614">
      <c r="A1614" s="84" t="s">
        <v>644</v>
      </c>
      <c r="B1614" s="194"/>
      <c r="C1614" s="84" t="s">
        <v>1210</v>
      </c>
      <c r="D1614" s="88" t="s">
        <v>1396</v>
      </c>
      <c r="E1614" s="84" t="s">
        <v>3683</v>
      </c>
      <c r="F1614" s="84" t="s">
        <v>1208</v>
      </c>
      <c r="G1614" s="84" t="s">
        <v>3606</v>
      </c>
      <c r="H1614" s="84" t="s">
        <v>3521</v>
      </c>
      <c r="I1614" s="84" t="s">
        <v>3684</v>
      </c>
      <c r="J1614" s="91"/>
      <c r="K1614" s="91"/>
      <c r="L1614" s="87">
        <v>0.0</v>
      </c>
      <c r="M1614" s="87">
        <v>0.0</v>
      </c>
      <c r="N1614" s="87">
        <v>0.0</v>
      </c>
      <c r="O1614" s="87">
        <v>0.642857</v>
      </c>
      <c r="P1614" s="87">
        <v>0.366667</v>
      </c>
      <c r="Q1614" s="87">
        <v>0.253755</v>
      </c>
    </row>
    <row r="1615">
      <c r="A1615" s="84" t="s">
        <v>761</v>
      </c>
      <c r="B1615" s="194"/>
      <c r="C1615" s="84" t="s">
        <v>765</v>
      </c>
      <c r="D1615" s="88" t="s">
        <v>1396</v>
      </c>
      <c r="E1615" s="84" t="s">
        <v>3683</v>
      </c>
      <c r="F1615" s="84" t="s">
        <v>760</v>
      </c>
      <c r="G1615" s="84" t="s">
        <v>4015</v>
      </c>
      <c r="H1615" s="84" t="s">
        <v>3507</v>
      </c>
      <c r="I1615" s="84" t="s">
        <v>3684</v>
      </c>
      <c r="J1615" s="91"/>
      <c r="K1615" s="91"/>
      <c r="L1615" s="87">
        <v>85.0</v>
      </c>
      <c r="M1615" s="87">
        <v>9.0</v>
      </c>
      <c r="N1615" s="87">
        <v>2.658083</v>
      </c>
      <c r="O1615" s="87">
        <v>14.49912</v>
      </c>
      <c r="P1615" s="87">
        <v>12.73127</v>
      </c>
      <c r="Q1615" s="87">
        <v>11.19084</v>
      </c>
    </row>
    <row r="1616">
      <c r="A1616" s="84" t="s">
        <v>630</v>
      </c>
      <c r="B1616" s="194"/>
      <c r="C1616" s="84" t="s">
        <v>638</v>
      </c>
      <c r="D1616" s="88" t="s">
        <v>1396</v>
      </c>
      <c r="E1616" s="84" t="s">
        <v>3683</v>
      </c>
      <c r="F1616" s="84" t="s">
        <v>639</v>
      </c>
      <c r="G1616" s="84" t="s">
        <v>3712</v>
      </c>
      <c r="H1616" s="84" t="s">
        <v>3521</v>
      </c>
      <c r="I1616" s="84" t="s">
        <v>3684</v>
      </c>
      <c r="J1616" s="84" t="s">
        <v>130</v>
      </c>
      <c r="K1616" s="91"/>
      <c r="L1616" s="87">
        <v>72.0</v>
      </c>
      <c r="M1616" s="87">
        <v>0.0</v>
      </c>
      <c r="N1616" s="87">
        <v>0.347619</v>
      </c>
      <c r="O1616" s="87">
        <v>0.0</v>
      </c>
      <c r="P1616" s="87">
        <v>0.0</v>
      </c>
      <c r="Q1616" s="87">
        <v>0.347619</v>
      </c>
    </row>
    <row r="1617">
      <c r="A1617" s="84" t="s">
        <v>213</v>
      </c>
      <c r="B1617" s="194"/>
      <c r="C1617" s="84" t="s">
        <v>853</v>
      </c>
      <c r="D1617" s="88" t="s">
        <v>1396</v>
      </c>
      <c r="E1617" s="84" t="s">
        <v>3683</v>
      </c>
      <c r="F1617" s="84" t="s">
        <v>850</v>
      </c>
      <c r="G1617" s="84" t="s">
        <v>3551</v>
      </c>
      <c r="H1617" s="84" t="s">
        <v>3521</v>
      </c>
      <c r="I1617" s="84" t="s">
        <v>3684</v>
      </c>
      <c r="J1617" s="84" t="s">
        <v>130</v>
      </c>
      <c r="K1617" s="91"/>
      <c r="L1617" s="87">
        <v>24.0</v>
      </c>
      <c r="M1617" s="87">
        <v>0.0</v>
      </c>
      <c r="N1617" s="87">
        <v>0.0</v>
      </c>
      <c r="O1617" s="87">
        <v>0.0</v>
      </c>
      <c r="P1617" s="87">
        <v>0.0</v>
      </c>
      <c r="Q1617" s="87">
        <v>0.0</v>
      </c>
    </row>
    <row r="1618">
      <c r="A1618" s="84" t="s">
        <v>644</v>
      </c>
      <c r="B1618" s="194"/>
      <c r="C1618" s="84" t="s">
        <v>727</v>
      </c>
      <c r="D1618" s="88" t="s">
        <v>1396</v>
      </c>
      <c r="E1618" s="84" t="s">
        <v>3687</v>
      </c>
      <c r="F1618" s="84" t="s">
        <v>3751</v>
      </c>
      <c r="G1618" s="84" t="s">
        <v>3752</v>
      </c>
      <c r="H1618" s="84" t="s">
        <v>3521</v>
      </c>
      <c r="I1618" s="84" t="s">
        <v>3684</v>
      </c>
      <c r="J1618" s="84" t="s">
        <v>215</v>
      </c>
      <c r="L1618" s="87">
        <v>72.0</v>
      </c>
      <c r="M1618" s="87">
        <v>0.0</v>
      </c>
      <c r="N1618" s="87">
        <v>0.166667</v>
      </c>
      <c r="O1618" s="87">
        <v>0.166667</v>
      </c>
      <c r="P1618" s="87">
        <v>0.045455</v>
      </c>
      <c r="Q1618" s="87">
        <v>0.053343</v>
      </c>
    </row>
    <row r="1619">
      <c r="A1619" s="84" t="s">
        <v>301</v>
      </c>
      <c r="B1619" s="194"/>
      <c r="C1619" s="84" t="s">
        <v>1283</v>
      </c>
      <c r="D1619" s="88" t="s">
        <v>1396</v>
      </c>
      <c r="E1619" s="84" t="s">
        <v>3683</v>
      </c>
      <c r="F1619" s="84" t="s">
        <v>3959</v>
      </c>
      <c r="G1619" s="84" t="s">
        <v>3960</v>
      </c>
      <c r="H1619" s="84" t="s">
        <v>3521</v>
      </c>
      <c r="I1619" s="84" t="s">
        <v>3684</v>
      </c>
      <c r="J1619" s="91"/>
      <c r="K1619" s="84" t="s">
        <v>111</v>
      </c>
      <c r="L1619" s="87">
        <v>528.0</v>
      </c>
      <c r="M1619" s="87">
        <v>1.0</v>
      </c>
      <c r="N1619" s="87">
        <v>2.64456</v>
      </c>
      <c r="O1619" s="87">
        <v>0.083333</v>
      </c>
      <c r="P1619" s="87">
        <v>1.069048</v>
      </c>
      <c r="Q1619" s="87">
        <v>2.680494</v>
      </c>
    </row>
    <row r="1620">
      <c r="A1620" s="84" t="s">
        <v>481</v>
      </c>
      <c r="B1620" s="194"/>
      <c r="C1620" s="84" t="s">
        <v>515</v>
      </c>
      <c r="D1620" s="88" t="s">
        <v>1396</v>
      </c>
      <c r="E1620" s="84" t="s">
        <v>3683</v>
      </c>
      <c r="F1620" s="84" t="s">
        <v>516</v>
      </c>
      <c r="G1620" s="84" t="s">
        <v>3593</v>
      </c>
      <c r="H1620" s="84" t="s">
        <v>3521</v>
      </c>
      <c r="I1620" s="84" t="s">
        <v>3684</v>
      </c>
      <c r="J1620" s="84" t="s">
        <v>130</v>
      </c>
      <c r="K1620" s="91"/>
      <c r="L1620" s="87">
        <v>24.0</v>
      </c>
      <c r="M1620" s="87">
        <v>0.0</v>
      </c>
      <c r="N1620" s="87">
        <v>0.0</v>
      </c>
      <c r="O1620" s="87">
        <v>0.071429</v>
      </c>
      <c r="P1620" s="87">
        <v>0.033333</v>
      </c>
      <c r="Q1620" s="87">
        <v>0.016667</v>
      </c>
    </row>
    <row r="1621">
      <c r="A1621" s="84" t="s">
        <v>363</v>
      </c>
      <c r="B1621" s="194"/>
      <c r="C1621" s="84" t="s">
        <v>361</v>
      </c>
      <c r="D1621" s="88" t="s">
        <v>1396</v>
      </c>
      <c r="E1621" s="84" t="s">
        <v>3683</v>
      </c>
      <c r="F1621" s="84" t="s">
        <v>362</v>
      </c>
      <c r="G1621" s="84" t="s">
        <v>4067</v>
      </c>
      <c r="H1621" s="84" t="s">
        <v>3513</v>
      </c>
      <c r="I1621" s="84" t="s">
        <v>3709</v>
      </c>
      <c r="J1621" s="84" t="s">
        <v>130</v>
      </c>
      <c r="K1621" s="91"/>
      <c r="L1621" s="87">
        <v>96.0</v>
      </c>
      <c r="M1621" s="87">
        <v>0.0</v>
      </c>
      <c r="N1621" s="87">
        <v>0.0</v>
      </c>
      <c r="O1621" s="87">
        <v>0.0</v>
      </c>
      <c r="P1621" s="87">
        <v>0.0</v>
      </c>
      <c r="Q1621" s="87">
        <v>0.0</v>
      </c>
    </row>
    <row r="1622">
      <c r="A1622" s="84" t="s">
        <v>601</v>
      </c>
      <c r="B1622" s="194"/>
      <c r="C1622" s="84" t="s">
        <v>1061</v>
      </c>
      <c r="D1622" s="88" t="s">
        <v>1396</v>
      </c>
      <c r="E1622" s="84" t="s">
        <v>3683</v>
      </c>
      <c r="F1622" s="84" t="s">
        <v>898</v>
      </c>
      <c r="G1622" s="84" t="s">
        <v>3560</v>
      </c>
      <c r="H1622" s="84" t="s">
        <v>3521</v>
      </c>
      <c r="I1622" s="84" t="s">
        <v>3684</v>
      </c>
      <c r="J1622" s="84" t="s">
        <v>130</v>
      </c>
      <c r="K1622" s="91"/>
      <c r="L1622" s="87">
        <v>24.0</v>
      </c>
      <c r="M1622" s="87">
        <v>0.0</v>
      </c>
      <c r="N1622" s="87">
        <v>0.0</v>
      </c>
      <c r="O1622" s="87">
        <v>0.0</v>
      </c>
      <c r="P1622" s="87">
        <v>0.0</v>
      </c>
      <c r="Q1622" s="87">
        <v>0.0</v>
      </c>
    </row>
    <row r="1623">
      <c r="A1623" s="84" t="s">
        <v>258</v>
      </c>
      <c r="B1623" s="194"/>
      <c r="C1623" s="84" t="s">
        <v>879</v>
      </c>
      <c r="D1623" s="88" t="s">
        <v>1396</v>
      </c>
      <c r="E1623" s="84" t="s">
        <v>3683</v>
      </c>
      <c r="F1623" s="84" t="s">
        <v>880</v>
      </c>
      <c r="G1623" s="84" t="s">
        <v>3557</v>
      </c>
      <c r="H1623" s="84" t="s">
        <v>3521</v>
      </c>
      <c r="I1623" s="84" t="s">
        <v>3684</v>
      </c>
      <c r="J1623" s="84" t="s">
        <v>130</v>
      </c>
      <c r="K1623" s="91"/>
      <c r="L1623" s="87">
        <v>24.0</v>
      </c>
      <c r="M1623" s="87">
        <v>0.0</v>
      </c>
      <c r="N1623" s="87">
        <v>0.0</v>
      </c>
      <c r="O1623" s="87">
        <v>0.0</v>
      </c>
      <c r="P1623" s="87">
        <v>0.0</v>
      </c>
      <c r="Q1623" s="87">
        <v>0.0</v>
      </c>
    </row>
    <row r="1624">
      <c r="A1624" s="84" t="s">
        <v>393</v>
      </c>
      <c r="B1624" s="194"/>
      <c r="C1624" s="84" t="s">
        <v>3643</v>
      </c>
      <c r="D1624" s="88" t="s">
        <v>1396</v>
      </c>
      <c r="E1624" s="84" t="s">
        <v>3897</v>
      </c>
      <c r="F1624" s="84" t="s">
        <v>3814</v>
      </c>
      <c r="G1624" s="84" t="s">
        <v>3815</v>
      </c>
      <c r="H1624" s="84" t="s">
        <v>3521</v>
      </c>
      <c r="I1624" s="84" t="s">
        <v>3693</v>
      </c>
      <c r="J1624" s="84" t="s">
        <v>130</v>
      </c>
      <c r="K1624" s="91"/>
      <c r="L1624" s="87">
        <v>176.0</v>
      </c>
      <c r="M1624" s="87">
        <v>0.0</v>
      </c>
      <c r="N1624" s="87">
        <v>0.209181</v>
      </c>
      <c r="O1624" s="87">
        <v>0.071429</v>
      </c>
      <c r="P1624" s="87">
        <v>0.195489</v>
      </c>
      <c r="Q1624" s="87">
        <v>0.278147</v>
      </c>
    </row>
    <row r="1625">
      <c r="A1625" s="84" t="s">
        <v>1130</v>
      </c>
      <c r="B1625" s="194"/>
      <c r="C1625" s="84" t="s">
        <v>1159</v>
      </c>
      <c r="D1625" s="88" t="s">
        <v>1396</v>
      </c>
      <c r="E1625" s="84" t="s">
        <v>3683</v>
      </c>
      <c r="F1625" s="84" t="s">
        <v>1142</v>
      </c>
      <c r="G1625" s="84" t="s">
        <v>3605</v>
      </c>
      <c r="H1625" s="84" t="s">
        <v>3521</v>
      </c>
      <c r="I1625" s="84" t="s">
        <v>3684</v>
      </c>
      <c r="J1625" s="84" t="s">
        <v>130</v>
      </c>
      <c r="K1625" s="91"/>
      <c r="L1625" s="87">
        <v>24.0</v>
      </c>
      <c r="M1625" s="87">
        <v>0.0</v>
      </c>
      <c r="N1625" s="87">
        <v>0.0</v>
      </c>
      <c r="O1625" s="87">
        <v>0.0</v>
      </c>
      <c r="P1625" s="87">
        <v>0.0</v>
      </c>
      <c r="Q1625" s="87">
        <v>0.061667</v>
      </c>
    </row>
    <row r="1626">
      <c r="A1626" s="84" t="s">
        <v>107</v>
      </c>
      <c r="B1626" s="194"/>
      <c r="C1626" s="84" t="s">
        <v>123</v>
      </c>
      <c r="D1626" s="88" t="s">
        <v>1396</v>
      </c>
      <c r="E1626" s="84" t="s">
        <v>3683</v>
      </c>
      <c r="F1626" s="84" t="s">
        <v>119</v>
      </c>
      <c r="G1626" s="84" t="s">
        <v>3552</v>
      </c>
      <c r="H1626" s="84" t="s">
        <v>3521</v>
      </c>
      <c r="I1626" s="84" t="s">
        <v>3684</v>
      </c>
      <c r="J1626" s="91"/>
      <c r="K1626" s="84" t="s">
        <v>111</v>
      </c>
      <c r="L1626" s="87">
        <v>888.0</v>
      </c>
      <c r="M1626" s="87">
        <v>0.0</v>
      </c>
      <c r="N1626" s="87">
        <v>0.0</v>
      </c>
      <c r="O1626" s="87">
        <v>0.0</v>
      </c>
      <c r="P1626" s="87">
        <v>0.0</v>
      </c>
      <c r="Q1626" s="87">
        <v>0.0</v>
      </c>
    </row>
    <row r="1627">
      <c r="A1627" s="84" t="s">
        <v>180</v>
      </c>
      <c r="B1627" s="194"/>
      <c r="C1627" s="84" t="s">
        <v>835</v>
      </c>
      <c r="D1627" s="88" t="s">
        <v>1396</v>
      </c>
      <c r="E1627" s="84" t="s">
        <v>3683</v>
      </c>
      <c r="F1627" s="84" t="s">
        <v>836</v>
      </c>
      <c r="G1627" s="84" t="s">
        <v>3550</v>
      </c>
      <c r="H1627" s="84" t="s">
        <v>3507</v>
      </c>
      <c r="I1627" s="84" t="s">
        <v>3684</v>
      </c>
      <c r="J1627" s="84" t="s">
        <v>130</v>
      </c>
      <c r="K1627" s="91"/>
      <c r="L1627" s="87">
        <v>72.0</v>
      </c>
      <c r="M1627" s="87">
        <v>0.0</v>
      </c>
      <c r="N1627" s="87">
        <v>0.0</v>
      </c>
      <c r="O1627" s="87">
        <v>0.0</v>
      </c>
      <c r="P1627" s="87">
        <v>0.0</v>
      </c>
      <c r="Q1627" s="87">
        <v>0.0</v>
      </c>
    </row>
    <row r="1628">
      <c r="A1628" s="84" t="s">
        <v>139</v>
      </c>
      <c r="B1628" s="194"/>
      <c r="C1628" s="84" t="s">
        <v>781</v>
      </c>
      <c r="D1628" s="88" t="s">
        <v>1396</v>
      </c>
      <c r="E1628" s="84" t="s">
        <v>3683</v>
      </c>
      <c r="F1628" s="84" t="s">
        <v>542</v>
      </c>
      <c r="G1628" s="84" t="s">
        <v>3514</v>
      </c>
      <c r="I1628" s="84" t="s">
        <v>3684</v>
      </c>
      <c r="J1628" s="91"/>
      <c r="K1628" s="91"/>
      <c r="L1628" s="87">
        <v>552.0</v>
      </c>
      <c r="M1628" s="87">
        <v>0.0</v>
      </c>
      <c r="N1628" s="87">
        <v>0.0</v>
      </c>
      <c r="O1628" s="87">
        <v>0.0</v>
      </c>
      <c r="P1628" s="87">
        <v>0.0</v>
      </c>
      <c r="Q1628" s="87">
        <v>0.0</v>
      </c>
    </row>
    <row r="1629">
      <c r="A1629" s="84" t="s">
        <v>644</v>
      </c>
      <c r="B1629" s="194"/>
      <c r="C1629" s="84" t="s">
        <v>736</v>
      </c>
      <c r="D1629" s="88" t="s">
        <v>1396</v>
      </c>
      <c r="E1629" s="91"/>
      <c r="F1629" s="84" t="s">
        <v>737</v>
      </c>
      <c r="G1629" s="84" t="s">
        <v>3696</v>
      </c>
      <c r="I1629" s="84" t="s">
        <v>3684</v>
      </c>
      <c r="J1629" s="84" t="s">
        <v>215</v>
      </c>
      <c r="L1629" s="87">
        <v>480.0</v>
      </c>
      <c r="M1629" s="87">
        <v>0.0</v>
      </c>
      <c r="N1629" s="87">
        <v>0.0</v>
      </c>
      <c r="O1629" s="87">
        <v>0.0</v>
      </c>
      <c r="P1629" s="87">
        <v>0.0</v>
      </c>
      <c r="Q1629" s="87">
        <v>0.0</v>
      </c>
    </row>
    <row r="1630">
      <c r="A1630" s="84" t="s">
        <v>644</v>
      </c>
      <c r="B1630" s="194"/>
      <c r="C1630" s="84" t="s">
        <v>671</v>
      </c>
      <c r="D1630" s="88" t="s">
        <v>1396</v>
      </c>
      <c r="E1630" s="84" t="s">
        <v>3683</v>
      </c>
      <c r="F1630" s="84" t="s">
        <v>670</v>
      </c>
      <c r="G1630" s="84" t="s">
        <v>3789</v>
      </c>
      <c r="H1630" s="84" t="s">
        <v>3521</v>
      </c>
      <c r="I1630" s="84" t="s">
        <v>3684</v>
      </c>
      <c r="J1630" s="91"/>
      <c r="K1630" s="91"/>
      <c r="L1630" s="87">
        <v>28.0</v>
      </c>
      <c r="M1630" s="87">
        <v>9.0</v>
      </c>
      <c r="N1630" s="87">
        <v>0.291209</v>
      </c>
      <c r="O1630" s="87">
        <v>9.03451</v>
      </c>
      <c r="P1630" s="87">
        <v>9.575182</v>
      </c>
      <c r="Q1630" s="87">
        <v>7.570593</v>
      </c>
    </row>
    <row r="1631">
      <c r="A1631" s="84" t="s">
        <v>363</v>
      </c>
      <c r="B1631" s="194"/>
      <c r="C1631" s="84" t="s">
        <v>930</v>
      </c>
      <c r="D1631" s="88" t="s">
        <v>1396</v>
      </c>
      <c r="E1631" s="84" t="s">
        <v>3687</v>
      </c>
      <c r="F1631" s="84" t="s">
        <v>927</v>
      </c>
      <c r="G1631" s="84" t="s">
        <v>3565</v>
      </c>
      <c r="I1631" s="84" t="s">
        <v>3709</v>
      </c>
      <c r="J1631" s="84" t="s">
        <v>130</v>
      </c>
      <c r="K1631" s="91"/>
      <c r="L1631" s="87">
        <v>144.0</v>
      </c>
      <c r="M1631" s="87">
        <v>0.0</v>
      </c>
      <c r="N1631" s="87">
        <v>0.0</v>
      </c>
      <c r="O1631" s="87">
        <v>0.0</v>
      </c>
      <c r="P1631" s="87">
        <v>0.0</v>
      </c>
      <c r="Q1631" s="87">
        <v>0.0</v>
      </c>
    </row>
    <row r="1632">
      <c r="A1632" s="84" t="s">
        <v>363</v>
      </c>
      <c r="B1632" s="194"/>
      <c r="C1632" s="84" t="s">
        <v>366</v>
      </c>
      <c r="D1632" s="88" t="s">
        <v>1396</v>
      </c>
      <c r="E1632" s="84" t="s">
        <v>3683</v>
      </c>
      <c r="F1632" s="84" t="s">
        <v>362</v>
      </c>
      <c r="G1632" s="84" t="s">
        <v>4067</v>
      </c>
      <c r="H1632" s="84" t="s">
        <v>3513</v>
      </c>
      <c r="I1632" s="84" t="s">
        <v>3709</v>
      </c>
      <c r="J1632" s="91"/>
      <c r="K1632" s="91"/>
      <c r="L1632" s="87">
        <v>1248.0</v>
      </c>
      <c r="M1632" s="87">
        <v>0.0</v>
      </c>
      <c r="N1632" s="87">
        <v>0.0</v>
      </c>
      <c r="O1632" s="87">
        <v>0.0</v>
      </c>
      <c r="P1632" s="87">
        <v>0.0</v>
      </c>
      <c r="Q1632" s="87">
        <v>0.0</v>
      </c>
    </row>
    <row r="1633">
      <c r="A1633" s="84" t="s">
        <v>795</v>
      </c>
      <c r="B1633" s="194"/>
      <c r="C1633" s="84" t="s">
        <v>799</v>
      </c>
      <c r="D1633" s="88" t="s">
        <v>1396</v>
      </c>
      <c r="E1633" s="84" t="s">
        <v>3683</v>
      </c>
      <c r="F1633" s="84" t="s">
        <v>800</v>
      </c>
      <c r="G1633" s="84" t="s">
        <v>3525</v>
      </c>
      <c r="H1633" s="84" t="s">
        <v>3521</v>
      </c>
      <c r="I1633" s="84" t="s">
        <v>3684</v>
      </c>
      <c r="J1633" s="84" t="s">
        <v>130</v>
      </c>
      <c r="K1633" s="91"/>
      <c r="L1633" s="87">
        <v>24.0</v>
      </c>
      <c r="M1633" s="87">
        <v>0.0</v>
      </c>
      <c r="N1633" s="87">
        <v>0.0</v>
      </c>
      <c r="O1633" s="87">
        <v>0.0</v>
      </c>
      <c r="P1633" s="87">
        <v>0.0</v>
      </c>
      <c r="Q1633" s="87">
        <v>0.022222</v>
      </c>
    </row>
    <row r="1634">
      <c r="A1634" s="84" t="s">
        <v>481</v>
      </c>
      <c r="B1634" s="194"/>
      <c r="C1634" s="84" t="s">
        <v>534</v>
      </c>
      <c r="D1634" s="88" t="s">
        <v>1396</v>
      </c>
      <c r="E1634" s="84" t="s">
        <v>3683</v>
      </c>
      <c r="F1634" s="84" t="s">
        <v>526</v>
      </c>
      <c r="G1634" s="84" t="s">
        <v>3593</v>
      </c>
      <c r="H1634" s="84" t="s">
        <v>3521</v>
      </c>
      <c r="I1634" s="84" t="s">
        <v>3684</v>
      </c>
      <c r="J1634" s="91"/>
      <c r="K1634" s="91"/>
      <c r="L1634" s="87">
        <v>0.0</v>
      </c>
      <c r="M1634" s="87">
        <v>0.0</v>
      </c>
      <c r="N1634" s="87">
        <v>0.0</v>
      </c>
      <c r="O1634" s="87">
        <v>0.214286</v>
      </c>
      <c r="P1634" s="87">
        <v>0.166667</v>
      </c>
      <c r="Q1634" s="87">
        <v>0.133333</v>
      </c>
    </row>
    <row r="1635">
      <c r="A1635" s="84" t="s">
        <v>301</v>
      </c>
      <c r="B1635" s="194"/>
      <c r="C1635" s="84" t="s">
        <v>325</v>
      </c>
      <c r="D1635" s="88" t="s">
        <v>1396</v>
      </c>
      <c r="E1635" s="84" t="s">
        <v>3683</v>
      </c>
      <c r="F1635" s="84" t="s">
        <v>300</v>
      </c>
      <c r="G1635" s="84" t="s">
        <v>3703</v>
      </c>
      <c r="I1635" s="84" t="s">
        <v>3684</v>
      </c>
      <c r="J1635" s="91"/>
      <c r="K1635" s="91"/>
      <c r="L1635" s="87">
        <v>552.0</v>
      </c>
      <c r="M1635" s="87">
        <v>0.0</v>
      </c>
      <c r="N1635" s="87">
        <v>0.0</v>
      </c>
      <c r="O1635" s="87">
        <v>0.0</v>
      </c>
      <c r="P1635" s="87">
        <v>0.0</v>
      </c>
      <c r="Q1635" s="87">
        <v>0.0</v>
      </c>
    </row>
    <row r="1636">
      <c r="A1636" s="84" t="s">
        <v>231</v>
      </c>
      <c r="B1636" s="194"/>
      <c r="C1636" s="84" t="s">
        <v>249</v>
      </c>
      <c r="D1636" s="88" t="s">
        <v>1396</v>
      </c>
      <c r="E1636" s="84" t="s">
        <v>3687</v>
      </c>
      <c r="F1636" s="84" t="s">
        <v>250</v>
      </c>
      <c r="G1636" s="84" t="s">
        <v>3566</v>
      </c>
      <c r="H1636" s="84" t="s">
        <v>3521</v>
      </c>
      <c r="I1636" s="84" t="s">
        <v>3962</v>
      </c>
      <c r="J1636" s="84" t="s">
        <v>89</v>
      </c>
      <c r="K1636" s="91"/>
      <c r="L1636" s="87">
        <v>24.0</v>
      </c>
      <c r="M1636" s="87">
        <v>3.0</v>
      </c>
      <c r="N1636" s="87">
        <v>0.21978</v>
      </c>
      <c r="O1636" s="87">
        <v>4.453197</v>
      </c>
      <c r="P1636" s="87">
        <v>3.896825</v>
      </c>
      <c r="Q1636" s="87">
        <v>4.282498</v>
      </c>
    </row>
    <row r="1637">
      <c r="A1637" s="84" t="s">
        <v>630</v>
      </c>
      <c r="B1637" s="194"/>
      <c r="C1637" s="84" t="s">
        <v>1103</v>
      </c>
      <c r="D1637" s="88" t="s">
        <v>1396</v>
      </c>
      <c r="E1637" s="84" t="s">
        <v>3683</v>
      </c>
      <c r="F1637" s="84" t="s">
        <v>1104</v>
      </c>
      <c r="G1637" s="84" t="s">
        <v>3602</v>
      </c>
      <c r="H1637" s="84" t="s">
        <v>3521</v>
      </c>
      <c r="I1637" s="84" t="s">
        <v>3684</v>
      </c>
      <c r="J1637" s="84" t="s">
        <v>130</v>
      </c>
      <c r="K1637" s="91"/>
      <c r="L1637" s="87">
        <v>24.0</v>
      </c>
      <c r="M1637" s="87">
        <v>0.0</v>
      </c>
      <c r="N1637" s="87">
        <v>0.0</v>
      </c>
      <c r="O1637" s="87">
        <v>0.0</v>
      </c>
      <c r="P1637" s="87">
        <v>0.0</v>
      </c>
      <c r="Q1637" s="87">
        <v>0.0</v>
      </c>
    </row>
    <row r="1638">
      <c r="A1638" s="84" t="s">
        <v>444</v>
      </c>
      <c r="B1638" s="194"/>
      <c r="C1638" s="84" t="s">
        <v>952</v>
      </c>
      <c r="D1638" s="88" t="s">
        <v>1396</v>
      </c>
      <c r="E1638" s="84" t="s">
        <v>3683</v>
      </c>
      <c r="F1638" s="84" t="s">
        <v>953</v>
      </c>
      <c r="G1638" s="84" t="s">
        <v>3578</v>
      </c>
      <c r="H1638" s="84" t="s">
        <v>3521</v>
      </c>
      <c r="I1638" s="84" t="s">
        <v>3684</v>
      </c>
      <c r="J1638" s="91"/>
      <c r="K1638" s="91"/>
      <c r="L1638" s="87">
        <v>0.0</v>
      </c>
      <c r="M1638" s="87">
        <v>3.0</v>
      </c>
      <c r="N1638" s="87">
        <v>0.0</v>
      </c>
      <c r="O1638" s="87">
        <v>0.285714</v>
      </c>
      <c r="P1638" s="87">
        <v>0.238095</v>
      </c>
      <c r="Q1638" s="87">
        <v>0.157709</v>
      </c>
    </row>
    <row r="1639">
      <c r="A1639" s="84" t="s">
        <v>458</v>
      </c>
      <c r="B1639" s="194"/>
      <c r="C1639" s="84" t="s">
        <v>463</v>
      </c>
      <c r="D1639" s="88" t="s">
        <v>1396</v>
      </c>
      <c r="E1639" s="84" t="s">
        <v>3683</v>
      </c>
      <c r="F1639" s="84" t="s">
        <v>457</v>
      </c>
      <c r="G1639" s="84" t="s">
        <v>3560</v>
      </c>
      <c r="H1639" s="84" t="s">
        <v>3521</v>
      </c>
      <c r="I1639" s="84" t="s">
        <v>3684</v>
      </c>
      <c r="J1639" s="84" t="s">
        <v>130</v>
      </c>
      <c r="K1639" s="91"/>
      <c r="L1639" s="87">
        <v>24.0</v>
      </c>
      <c r="M1639" s="87">
        <v>0.0</v>
      </c>
      <c r="N1639" s="87">
        <v>0.0</v>
      </c>
      <c r="O1639" s="87">
        <v>0.0</v>
      </c>
      <c r="P1639" s="87">
        <v>0.0</v>
      </c>
      <c r="Q1639" s="87">
        <v>0.0</v>
      </c>
    </row>
    <row r="1640">
      <c r="A1640" s="84" t="s">
        <v>458</v>
      </c>
      <c r="B1640" s="194"/>
      <c r="C1640" s="84" t="s">
        <v>462</v>
      </c>
      <c r="D1640" s="88" t="s">
        <v>1396</v>
      </c>
      <c r="E1640" s="84" t="s">
        <v>3683</v>
      </c>
      <c r="F1640" s="84" t="s">
        <v>457</v>
      </c>
      <c r="G1640" s="84" t="s">
        <v>3560</v>
      </c>
      <c r="H1640" s="84" t="s">
        <v>3521</v>
      </c>
      <c r="I1640" s="84" t="s">
        <v>3684</v>
      </c>
      <c r="J1640" s="91"/>
      <c r="K1640" s="84" t="s">
        <v>111</v>
      </c>
      <c r="L1640" s="87">
        <v>0.0</v>
      </c>
      <c r="M1640" s="87">
        <v>0.0</v>
      </c>
      <c r="N1640" s="87">
        <v>0.0</v>
      </c>
      <c r="O1640" s="87">
        <v>0.0</v>
      </c>
      <c r="P1640" s="87">
        <v>0.0</v>
      </c>
      <c r="Q1640" s="87">
        <v>0.0</v>
      </c>
    </row>
    <row r="1641">
      <c r="A1641" s="84" t="s">
        <v>644</v>
      </c>
      <c r="B1641" s="194"/>
      <c r="C1641" s="84" t="s">
        <v>732</v>
      </c>
      <c r="D1641" s="88" t="s">
        <v>1396</v>
      </c>
      <c r="E1641" s="84" t="s">
        <v>3683</v>
      </c>
      <c r="F1641" s="84" t="s">
        <v>729</v>
      </c>
      <c r="G1641" s="84" t="s">
        <v>3752</v>
      </c>
      <c r="H1641" s="84" t="s">
        <v>3521</v>
      </c>
      <c r="I1641" s="84" t="s">
        <v>3684</v>
      </c>
      <c r="J1641" s="84" t="s">
        <v>215</v>
      </c>
      <c r="L1641" s="87">
        <v>48.0</v>
      </c>
      <c r="M1641" s="87">
        <v>0.0</v>
      </c>
      <c r="N1641" s="87">
        <v>0.0</v>
      </c>
      <c r="O1641" s="87">
        <v>0.0</v>
      </c>
      <c r="P1641" s="87">
        <v>0.033333</v>
      </c>
      <c r="Q1641" s="87">
        <v>0.033333</v>
      </c>
    </row>
    <row r="1642">
      <c r="A1642" s="84" t="s">
        <v>644</v>
      </c>
      <c r="B1642" s="194"/>
      <c r="C1642" s="84" t="s">
        <v>1228</v>
      </c>
      <c r="D1642" s="88" t="s">
        <v>1396</v>
      </c>
      <c r="E1642" s="84" t="s">
        <v>3683</v>
      </c>
      <c r="F1642" s="84" t="s">
        <v>1229</v>
      </c>
      <c r="G1642" s="84" t="s">
        <v>3551</v>
      </c>
      <c r="H1642" s="84" t="s">
        <v>3521</v>
      </c>
      <c r="I1642" s="84" t="s">
        <v>3684</v>
      </c>
      <c r="J1642" s="91"/>
      <c r="K1642" s="84" t="s">
        <v>111</v>
      </c>
      <c r="L1642" s="87">
        <v>312.0</v>
      </c>
      <c r="M1642" s="87">
        <v>0.0</v>
      </c>
      <c r="N1642" s="87">
        <v>0.0</v>
      </c>
      <c r="O1642" s="87">
        <v>0.0</v>
      </c>
      <c r="P1642" s="87">
        <v>0.0</v>
      </c>
      <c r="Q1642" s="87">
        <v>0.0</v>
      </c>
    </row>
    <row r="1643">
      <c r="A1643" s="84" t="s">
        <v>644</v>
      </c>
      <c r="B1643" s="194"/>
      <c r="C1643" s="84" t="s">
        <v>648</v>
      </c>
      <c r="D1643" s="88" t="s">
        <v>1396</v>
      </c>
      <c r="E1643" s="84" t="s">
        <v>3683</v>
      </c>
      <c r="F1643" s="84" t="s">
        <v>643</v>
      </c>
      <c r="G1643" s="84" t="s">
        <v>3734</v>
      </c>
      <c r="H1643" s="84" t="s">
        <v>3521</v>
      </c>
      <c r="I1643" s="84" t="s">
        <v>3684</v>
      </c>
      <c r="J1643" s="84" t="s">
        <v>130</v>
      </c>
      <c r="K1643" s="91"/>
      <c r="L1643" s="87">
        <v>48.0</v>
      </c>
      <c r="M1643" s="87">
        <v>0.0</v>
      </c>
      <c r="N1643" s="87">
        <v>0.142857</v>
      </c>
      <c r="O1643" s="87">
        <v>0.0</v>
      </c>
      <c r="P1643" s="87">
        <v>0.0</v>
      </c>
      <c r="Q1643" s="87">
        <v>0.142857</v>
      </c>
    </row>
    <row r="1644">
      <c r="A1644" s="84" t="s">
        <v>363</v>
      </c>
      <c r="B1644" s="194"/>
      <c r="C1644" s="84" t="s">
        <v>388</v>
      </c>
      <c r="D1644" s="88" t="s">
        <v>1396</v>
      </c>
      <c r="E1644" s="84" t="s">
        <v>3683</v>
      </c>
      <c r="F1644" s="84" t="s">
        <v>382</v>
      </c>
      <c r="G1644" s="84" t="s">
        <v>3991</v>
      </c>
      <c r="H1644" s="84" t="s">
        <v>3527</v>
      </c>
      <c r="I1644" s="84" t="s">
        <v>3709</v>
      </c>
      <c r="J1644" s="91"/>
      <c r="K1644" s="91"/>
      <c r="L1644" s="87">
        <v>96.0</v>
      </c>
      <c r="M1644" s="87">
        <v>0.0</v>
      </c>
      <c r="N1644" s="87">
        <v>0.2</v>
      </c>
      <c r="O1644" s="87">
        <v>0.2</v>
      </c>
      <c r="P1644" s="87">
        <v>0.2</v>
      </c>
      <c r="Q1644" s="87">
        <v>0.2</v>
      </c>
    </row>
    <row r="1645">
      <c r="A1645" s="84" t="s">
        <v>213</v>
      </c>
      <c r="B1645" s="194"/>
      <c r="C1645" s="84" t="s">
        <v>863</v>
      </c>
      <c r="D1645" s="88" t="s">
        <v>1396</v>
      </c>
      <c r="E1645" s="84" t="s">
        <v>3683</v>
      </c>
      <c r="F1645" s="84" t="s">
        <v>864</v>
      </c>
      <c r="G1645" s="84" t="s">
        <v>3552</v>
      </c>
      <c r="H1645" s="84" t="s">
        <v>3521</v>
      </c>
      <c r="I1645" s="84" t="s">
        <v>3684</v>
      </c>
      <c r="J1645" s="84" t="s">
        <v>130</v>
      </c>
      <c r="K1645" s="91"/>
      <c r="L1645" s="87">
        <v>24.0</v>
      </c>
      <c r="M1645" s="87">
        <v>0.0</v>
      </c>
      <c r="N1645" s="87">
        <v>0.0</v>
      </c>
      <c r="O1645" s="87">
        <v>0.0</v>
      </c>
      <c r="P1645" s="87">
        <v>0.0</v>
      </c>
      <c r="Q1645" s="87">
        <v>0.0</v>
      </c>
    </row>
    <row r="1646">
      <c r="A1646" s="84" t="s">
        <v>458</v>
      </c>
      <c r="B1646" s="194"/>
      <c r="C1646" s="84" t="s">
        <v>966</v>
      </c>
      <c r="D1646" s="88" t="s">
        <v>1396</v>
      </c>
      <c r="E1646" s="84" t="s">
        <v>3683</v>
      </c>
      <c r="F1646" s="84" t="s">
        <v>967</v>
      </c>
      <c r="G1646" s="84" t="s">
        <v>3581</v>
      </c>
      <c r="H1646" s="84" t="s">
        <v>3521</v>
      </c>
      <c r="I1646" s="84" t="s">
        <v>3684</v>
      </c>
      <c r="J1646" s="84" t="s">
        <v>130</v>
      </c>
      <c r="K1646" s="84" t="s">
        <v>111</v>
      </c>
      <c r="L1646" s="87">
        <v>24.0</v>
      </c>
      <c r="M1646" s="87">
        <v>0.0</v>
      </c>
      <c r="N1646" s="87">
        <v>0.0</v>
      </c>
      <c r="O1646" s="87">
        <v>0.0</v>
      </c>
      <c r="P1646" s="87">
        <v>0.0</v>
      </c>
      <c r="Q1646" s="87">
        <v>0.0</v>
      </c>
    </row>
    <row r="1647">
      <c r="A1647" s="84" t="s">
        <v>644</v>
      </c>
      <c r="B1647" s="194"/>
      <c r="C1647" s="84" t="s">
        <v>742</v>
      </c>
      <c r="D1647" s="88" t="s">
        <v>1396</v>
      </c>
      <c r="E1647" s="84" t="s">
        <v>3683</v>
      </c>
      <c r="F1647" s="84" t="s">
        <v>144</v>
      </c>
      <c r="G1647" s="84" t="s">
        <v>3700</v>
      </c>
      <c r="H1647" s="84" t="s">
        <v>3521</v>
      </c>
      <c r="I1647" s="84" t="s">
        <v>3684</v>
      </c>
      <c r="J1647" s="84" t="s">
        <v>130</v>
      </c>
      <c r="K1647" s="84" t="s">
        <v>111</v>
      </c>
      <c r="L1647" s="87">
        <v>24.0</v>
      </c>
      <c r="M1647" s="87">
        <v>0.0</v>
      </c>
      <c r="N1647" s="87">
        <v>0.0</v>
      </c>
      <c r="O1647" s="87">
        <v>0.0</v>
      </c>
      <c r="P1647" s="87">
        <v>0.0</v>
      </c>
      <c r="Q1647" s="87">
        <v>0.0</v>
      </c>
    </row>
    <row r="1648">
      <c r="A1648" s="84" t="s">
        <v>393</v>
      </c>
      <c r="B1648" s="194"/>
      <c r="C1648" s="84" t="s">
        <v>433</v>
      </c>
      <c r="D1648" s="88" t="s">
        <v>1396</v>
      </c>
      <c r="E1648" s="84" t="s">
        <v>3687</v>
      </c>
      <c r="F1648" s="84" t="s">
        <v>434</v>
      </c>
      <c r="G1648" s="84" t="s">
        <v>3832</v>
      </c>
      <c r="H1648" s="84" t="s">
        <v>3521</v>
      </c>
      <c r="I1648" s="84" t="s">
        <v>3693</v>
      </c>
      <c r="J1648" s="91"/>
      <c r="K1648" s="91"/>
      <c r="L1648" s="87">
        <v>0.0</v>
      </c>
      <c r="M1648" s="87">
        <v>0.0</v>
      </c>
      <c r="N1648" s="87">
        <v>0.0</v>
      </c>
      <c r="O1648" s="87">
        <v>0.0</v>
      </c>
      <c r="P1648" s="87">
        <v>0.0</v>
      </c>
      <c r="Q1648" s="87">
        <v>0.0</v>
      </c>
    </row>
    <row r="1649">
      <c r="A1649" s="84" t="s">
        <v>644</v>
      </c>
      <c r="B1649" s="194"/>
      <c r="C1649" s="84" t="s">
        <v>650</v>
      </c>
      <c r="D1649" s="88" t="s">
        <v>1396</v>
      </c>
      <c r="E1649" s="84" t="s">
        <v>3683</v>
      </c>
      <c r="F1649" s="84" t="s">
        <v>651</v>
      </c>
      <c r="G1649" s="84" t="s">
        <v>3723</v>
      </c>
      <c r="H1649" s="84" t="s">
        <v>3521</v>
      </c>
      <c r="I1649" s="84" t="s">
        <v>3684</v>
      </c>
      <c r="J1649" s="84" t="s">
        <v>130</v>
      </c>
      <c r="K1649" s="91"/>
      <c r="L1649" s="87">
        <v>72.0</v>
      </c>
      <c r="M1649" s="87">
        <v>0.0</v>
      </c>
      <c r="N1649" s="87">
        <v>0.701149</v>
      </c>
      <c r="O1649" s="87">
        <v>0.0</v>
      </c>
      <c r="P1649" s="87">
        <v>0.0</v>
      </c>
      <c r="Q1649" s="87">
        <v>0.701149</v>
      </c>
    </row>
    <row r="1650">
      <c r="A1650" s="84" t="s">
        <v>393</v>
      </c>
      <c r="B1650" s="194"/>
      <c r="C1650" s="84" t="s">
        <v>410</v>
      </c>
      <c r="D1650" s="88" t="s">
        <v>1396</v>
      </c>
      <c r="E1650" s="84" t="s">
        <v>3683</v>
      </c>
      <c r="F1650" s="84" t="s">
        <v>352</v>
      </c>
      <c r="G1650" s="84" t="s">
        <v>3754</v>
      </c>
      <c r="H1650" s="84" t="s">
        <v>3521</v>
      </c>
      <c r="I1650" s="84" t="s">
        <v>3693</v>
      </c>
      <c r="J1650" s="84" t="s">
        <v>130</v>
      </c>
      <c r="K1650" s="84" t="s">
        <v>111</v>
      </c>
      <c r="L1650" s="87">
        <v>24.0</v>
      </c>
      <c r="M1650" s="87">
        <v>0.0</v>
      </c>
      <c r="N1650" s="87">
        <v>0.0</v>
      </c>
      <c r="O1650" s="87">
        <v>0.0</v>
      </c>
      <c r="P1650" s="87">
        <v>0.0</v>
      </c>
      <c r="Q1650" s="87">
        <v>0.0</v>
      </c>
    </row>
    <row r="1651">
      <c r="A1651" s="84" t="s">
        <v>458</v>
      </c>
      <c r="B1651" s="194"/>
      <c r="C1651" s="84" t="s">
        <v>461</v>
      </c>
      <c r="D1651" s="88" t="s">
        <v>1396</v>
      </c>
      <c r="E1651" s="84" t="s">
        <v>3683</v>
      </c>
      <c r="F1651" s="84" t="s">
        <v>457</v>
      </c>
      <c r="G1651" s="84" t="s">
        <v>3560</v>
      </c>
      <c r="H1651" s="84" t="s">
        <v>3521</v>
      </c>
      <c r="I1651" s="84" t="s">
        <v>3684</v>
      </c>
      <c r="J1651" s="91"/>
      <c r="K1651" s="84" t="s">
        <v>111</v>
      </c>
      <c r="L1651" s="87">
        <v>24.0</v>
      </c>
      <c r="M1651" s="87">
        <v>0.0</v>
      </c>
      <c r="N1651" s="87">
        <v>0.061553</v>
      </c>
      <c r="O1651" s="87">
        <v>0.0</v>
      </c>
      <c r="P1651" s="87">
        <v>0.285714</v>
      </c>
      <c r="Q1651" s="87">
        <v>0.061553</v>
      </c>
    </row>
    <row r="1652">
      <c r="A1652" s="84" t="s">
        <v>74</v>
      </c>
      <c r="B1652" s="194"/>
      <c r="C1652" s="84" t="s">
        <v>3589</v>
      </c>
      <c r="D1652" s="88" t="s">
        <v>1396</v>
      </c>
      <c r="E1652" s="84" t="s">
        <v>3683</v>
      </c>
      <c r="F1652" s="84" t="s">
        <v>3796</v>
      </c>
      <c r="G1652" s="91"/>
      <c r="H1652" s="84" t="s">
        <v>3521</v>
      </c>
      <c r="I1652" s="84" t="s">
        <v>3684</v>
      </c>
      <c r="J1652" s="84" t="s">
        <v>130</v>
      </c>
      <c r="K1652" s="91"/>
      <c r="L1652" s="87">
        <v>24.0</v>
      </c>
      <c r="M1652" s="87">
        <v>0.0</v>
      </c>
      <c r="N1652" s="87">
        <v>0.0</v>
      </c>
      <c r="O1652" s="87">
        <v>0.0</v>
      </c>
      <c r="P1652" s="87">
        <v>0.0</v>
      </c>
      <c r="Q1652" s="87">
        <v>0.0</v>
      </c>
    </row>
    <row r="1653">
      <c r="A1653" s="84" t="s">
        <v>644</v>
      </c>
      <c r="B1653" s="194"/>
      <c r="C1653" s="84" t="s">
        <v>699</v>
      </c>
      <c r="D1653" s="88" t="s">
        <v>1396</v>
      </c>
      <c r="E1653" s="84" t="s">
        <v>3683</v>
      </c>
      <c r="F1653" s="84" t="s">
        <v>686</v>
      </c>
      <c r="G1653" s="84" t="s">
        <v>3607</v>
      </c>
      <c r="H1653" s="84" t="s">
        <v>3521</v>
      </c>
      <c r="I1653" s="84" t="s">
        <v>3684</v>
      </c>
      <c r="J1653" s="84" t="s">
        <v>215</v>
      </c>
      <c r="L1653" s="87">
        <v>696.0</v>
      </c>
      <c r="M1653" s="87">
        <v>0.0</v>
      </c>
      <c r="N1653" s="87">
        <v>1.077778</v>
      </c>
      <c r="O1653" s="87">
        <v>0.0</v>
      </c>
      <c r="P1653" s="87">
        <v>0.1</v>
      </c>
      <c r="Q1653" s="87">
        <v>1.099517</v>
      </c>
    </row>
    <row r="1654">
      <c r="A1654" s="84" t="s">
        <v>107</v>
      </c>
      <c r="B1654" s="194"/>
      <c r="C1654" s="84" t="s">
        <v>771</v>
      </c>
      <c r="D1654" s="88" t="s">
        <v>1396</v>
      </c>
      <c r="E1654" s="84" t="s">
        <v>3683</v>
      </c>
      <c r="F1654" s="84" t="s">
        <v>768</v>
      </c>
      <c r="G1654" s="84" t="s">
        <v>3508</v>
      </c>
      <c r="H1654" s="84" t="s">
        <v>3521</v>
      </c>
      <c r="I1654" s="84" t="s">
        <v>3684</v>
      </c>
      <c r="J1654" s="91"/>
      <c r="K1654" s="91"/>
      <c r="L1654" s="87">
        <v>216.0</v>
      </c>
      <c r="M1654" s="87">
        <v>0.0</v>
      </c>
      <c r="N1654" s="87">
        <v>1.981746</v>
      </c>
      <c r="O1654" s="87">
        <v>1.380952</v>
      </c>
      <c r="P1654" s="87">
        <v>2.662302</v>
      </c>
      <c r="Q1654" s="87">
        <v>1.457763</v>
      </c>
    </row>
    <row r="1655">
      <c r="A1655" s="84" t="s">
        <v>458</v>
      </c>
      <c r="B1655" s="194"/>
      <c r="C1655" s="84" t="s">
        <v>3583</v>
      </c>
      <c r="D1655" s="88" t="s">
        <v>1396</v>
      </c>
      <c r="E1655" s="84" t="s">
        <v>3683</v>
      </c>
      <c r="F1655" s="84" t="s">
        <v>973</v>
      </c>
      <c r="G1655" s="84" t="s">
        <v>3582</v>
      </c>
      <c r="H1655" s="84" t="s">
        <v>3521</v>
      </c>
      <c r="I1655" s="84" t="s">
        <v>3684</v>
      </c>
      <c r="J1655" s="91"/>
      <c r="K1655" s="84" t="s">
        <v>111</v>
      </c>
      <c r="L1655" s="87">
        <v>792.0</v>
      </c>
      <c r="M1655" s="87">
        <v>0.0</v>
      </c>
      <c r="N1655" s="87">
        <v>0.138095</v>
      </c>
      <c r="O1655" s="87">
        <v>0.0</v>
      </c>
      <c r="P1655" s="87">
        <v>0.0</v>
      </c>
      <c r="Q1655" s="87">
        <v>0.138095</v>
      </c>
    </row>
    <row r="1656">
      <c r="A1656" s="84" t="s">
        <v>1130</v>
      </c>
      <c r="B1656" s="194"/>
      <c r="C1656" s="84" t="s">
        <v>1153</v>
      </c>
      <c r="D1656" s="88" t="s">
        <v>1396</v>
      </c>
      <c r="E1656" s="84" t="s">
        <v>3683</v>
      </c>
      <c r="F1656" s="84" t="s">
        <v>973</v>
      </c>
      <c r="G1656" s="84" t="s">
        <v>3582</v>
      </c>
      <c r="H1656" s="84" t="s">
        <v>3521</v>
      </c>
      <c r="I1656" s="84" t="s">
        <v>3684</v>
      </c>
      <c r="J1656" s="91"/>
      <c r="K1656" s="84" t="s">
        <v>111</v>
      </c>
      <c r="L1656" s="87">
        <v>456.0</v>
      </c>
      <c r="M1656" s="87">
        <v>1.0</v>
      </c>
      <c r="N1656" s="87">
        <v>44.40359</v>
      </c>
      <c r="O1656" s="87">
        <v>1.797619</v>
      </c>
      <c r="P1656" s="87">
        <v>2.565294</v>
      </c>
      <c r="Q1656" s="87">
        <v>46.8232</v>
      </c>
    </row>
    <row r="1657">
      <c r="A1657" s="84" t="s">
        <v>568</v>
      </c>
      <c r="B1657" s="193"/>
      <c r="C1657" s="84" t="s">
        <v>1057</v>
      </c>
      <c r="D1657" s="88" t="s">
        <v>1396</v>
      </c>
      <c r="E1657" s="84" t="s">
        <v>3683</v>
      </c>
      <c r="F1657" s="91"/>
      <c r="G1657" s="84" t="s">
        <v>3558</v>
      </c>
      <c r="I1657" s="84" t="s">
        <v>3684</v>
      </c>
      <c r="J1657" s="91"/>
      <c r="K1657" s="91"/>
      <c r="L1657" s="87">
        <v>552.0</v>
      </c>
      <c r="M1657" s="87">
        <v>0.0</v>
      </c>
      <c r="N1657" s="87">
        <v>0.0</v>
      </c>
      <c r="O1657" s="87">
        <v>0.0</v>
      </c>
      <c r="P1657" s="87">
        <v>0.0</v>
      </c>
      <c r="Q1657" s="87">
        <v>0.0</v>
      </c>
    </row>
    <row r="1658">
      <c r="A1658" s="84" t="s">
        <v>341</v>
      </c>
      <c r="B1658" s="194"/>
      <c r="C1658" s="84" t="s">
        <v>348</v>
      </c>
      <c r="D1658" s="88" t="s">
        <v>1396</v>
      </c>
      <c r="E1658" s="84" t="s">
        <v>3745</v>
      </c>
      <c r="F1658" s="84" t="s">
        <v>340</v>
      </c>
      <c r="G1658" s="84" t="s">
        <v>4148</v>
      </c>
      <c r="H1658" s="84" t="s">
        <v>3521</v>
      </c>
      <c r="I1658" s="84" t="s">
        <v>3962</v>
      </c>
      <c r="J1658" s="84" t="s">
        <v>130</v>
      </c>
      <c r="K1658" s="84" t="s">
        <v>112</v>
      </c>
      <c r="L1658" s="87">
        <v>864.0</v>
      </c>
      <c r="M1658" s="87">
        <v>0.0</v>
      </c>
      <c r="N1658" s="87">
        <v>64.60714</v>
      </c>
      <c r="O1658" s="87">
        <v>0.0</v>
      </c>
      <c r="P1658" s="87">
        <v>0.0</v>
      </c>
      <c r="Q1658" s="87">
        <v>64.60714</v>
      </c>
    </row>
    <row r="1659">
      <c r="A1659" s="84" t="s">
        <v>363</v>
      </c>
      <c r="B1659" s="194"/>
      <c r="C1659" s="84" t="s">
        <v>932</v>
      </c>
      <c r="D1659" s="88" t="s">
        <v>1396</v>
      </c>
      <c r="E1659" s="84" t="s">
        <v>3687</v>
      </c>
      <c r="F1659" s="84" t="s">
        <v>927</v>
      </c>
      <c r="G1659" s="84" t="s">
        <v>3565</v>
      </c>
      <c r="I1659" s="84" t="s">
        <v>3709</v>
      </c>
      <c r="J1659" s="84" t="s">
        <v>130</v>
      </c>
      <c r="K1659" s="91"/>
      <c r="L1659" s="87">
        <v>144.0</v>
      </c>
      <c r="M1659" s="87">
        <v>0.0</v>
      </c>
      <c r="N1659" s="87">
        <v>0.0</v>
      </c>
      <c r="O1659" s="87">
        <v>0.0</v>
      </c>
      <c r="P1659" s="87">
        <v>0.0</v>
      </c>
      <c r="Q1659" s="87">
        <v>0.0</v>
      </c>
    </row>
    <row r="1660">
      <c r="A1660" s="84" t="s">
        <v>644</v>
      </c>
      <c r="B1660" s="194"/>
      <c r="C1660" s="84" t="s">
        <v>1235</v>
      </c>
      <c r="D1660" s="88" t="s">
        <v>1396</v>
      </c>
      <c r="E1660" s="84" t="s">
        <v>3683</v>
      </c>
      <c r="F1660" s="84" t="s">
        <v>1232</v>
      </c>
      <c r="G1660" s="84" t="s">
        <v>3607</v>
      </c>
      <c r="H1660" s="84" t="s">
        <v>3521</v>
      </c>
      <c r="I1660" s="84" t="s">
        <v>3684</v>
      </c>
      <c r="J1660" s="84" t="s">
        <v>215</v>
      </c>
      <c r="L1660" s="87">
        <v>96.0</v>
      </c>
      <c r="M1660" s="87">
        <v>0.0</v>
      </c>
      <c r="N1660" s="87">
        <v>0.114379</v>
      </c>
      <c r="O1660" s="87">
        <v>0.142857</v>
      </c>
      <c r="P1660" s="87">
        <v>0.367857</v>
      </c>
      <c r="Q1660" s="87">
        <v>0.199379</v>
      </c>
    </row>
    <row r="1661">
      <c r="A1661" s="84" t="s">
        <v>439</v>
      </c>
      <c r="B1661" s="193"/>
      <c r="C1661" s="84" t="s">
        <v>1300</v>
      </c>
      <c r="D1661" s="88" t="s">
        <v>1396</v>
      </c>
      <c r="E1661" s="84" t="s">
        <v>3683</v>
      </c>
      <c r="F1661" s="84" t="s">
        <v>860</v>
      </c>
      <c r="G1661" s="84" t="s">
        <v>3553</v>
      </c>
      <c r="H1661" s="84" t="s">
        <v>3527</v>
      </c>
      <c r="I1661" s="84" t="s">
        <v>3709</v>
      </c>
      <c r="J1661" s="84" t="s">
        <v>130</v>
      </c>
      <c r="K1661" s="84" t="s">
        <v>111</v>
      </c>
      <c r="L1661" s="87">
        <v>816.0</v>
      </c>
      <c r="M1661" s="87">
        <v>0.0</v>
      </c>
      <c r="N1661" s="87">
        <v>0.0</v>
      </c>
      <c r="O1661" s="87">
        <v>0.0</v>
      </c>
      <c r="P1661" s="87">
        <v>0.0</v>
      </c>
      <c r="Q1661" s="87">
        <v>0.0</v>
      </c>
    </row>
    <row r="1662">
      <c r="A1662" s="84" t="s">
        <v>301</v>
      </c>
      <c r="B1662" s="194"/>
      <c r="C1662" s="84" t="s">
        <v>331</v>
      </c>
      <c r="D1662" s="88" t="s">
        <v>1396</v>
      </c>
      <c r="E1662" s="84" t="s">
        <v>3683</v>
      </c>
      <c r="F1662" s="84" t="s">
        <v>300</v>
      </c>
      <c r="G1662" s="84" t="s">
        <v>3703</v>
      </c>
      <c r="H1662" s="84" t="s">
        <v>3521</v>
      </c>
      <c r="I1662" s="84" t="s">
        <v>3684</v>
      </c>
      <c r="J1662" s="84" t="s">
        <v>130</v>
      </c>
      <c r="K1662" s="91"/>
      <c r="L1662" s="87">
        <v>456.0</v>
      </c>
      <c r="M1662" s="87">
        <v>0.0</v>
      </c>
      <c r="N1662" s="87">
        <v>1.823413</v>
      </c>
      <c r="O1662" s="87">
        <v>0.0</v>
      </c>
      <c r="P1662" s="87">
        <v>0.0</v>
      </c>
      <c r="Q1662" s="87">
        <v>1.973413</v>
      </c>
    </row>
    <row r="1663">
      <c r="A1663" s="84" t="s">
        <v>616</v>
      </c>
      <c r="B1663" s="194"/>
      <c r="C1663" s="84" t="s">
        <v>1078</v>
      </c>
      <c r="D1663" s="88" t="s">
        <v>1396</v>
      </c>
      <c r="E1663" s="84" t="s">
        <v>3683</v>
      </c>
      <c r="F1663" s="84" t="s">
        <v>1075</v>
      </c>
      <c r="G1663" s="84" t="s">
        <v>3542</v>
      </c>
      <c r="H1663" s="84" t="s">
        <v>3521</v>
      </c>
      <c r="I1663" s="84" t="s">
        <v>3684</v>
      </c>
      <c r="J1663" s="91"/>
      <c r="K1663" s="91"/>
      <c r="L1663" s="87">
        <v>8.0</v>
      </c>
      <c r="M1663" s="87">
        <v>0.0</v>
      </c>
      <c r="N1663" s="87">
        <v>0.0</v>
      </c>
      <c r="O1663" s="87">
        <v>0.606227</v>
      </c>
      <c r="P1663" s="87">
        <v>0.742079</v>
      </c>
      <c r="Q1663" s="87">
        <v>0.647595</v>
      </c>
    </row>
    <row r="1664">
      <c r="A1664" s="84" t="s">
        <v>393</v>
      </c>
      <c r="B1664" s="194"/>
      <c r="C1664" s="84" t="s">
        <v>427</v>
      </c>
      <c r="D1664" s="88" t="s">
        <v>1396</v>
      </c>
      <c r="E1664" s="84" t="s">
        <v>3687</v>
      </c>
      <c r="F1664" s="84" t="s">
        <v>428</v>
      </c>
      <c r="G1664" s="84" t="s">
        <v>3568</v>
      </c>
      <c r="H1664" s="84" t="s">
        <v>3521</v>
      </c>
      <c r="I1664" s="84" t="s">
        <v>3693</v>
      </c>
      <c r="J1664" s="84" t="s">
        <v>130</v>
      </c>
      <c r="K1664" s="91"/>
      <c r="L1664" s="87">
        <v>464.0</v>
      </c>
      <c r="M1664" s="87">
        <v>0.0</v>
      </c>
      <c r="N1664" s="87">
        <v>2.927547</v>
      </c>
      <c r="O1664" s="87">
        <v>0.25</v>
      </c>
      <c r="P1664" s="87">
        <v>0.616667</v>
      </c>
      <c r="Q1664" s="87">
        <v>2.816941</v>
      </c>
    </row>
    <row r="1665">
      <c r="A1665" s="84" t="s">
        <v>573</v>
      </c>
      <c r="B1665" s="194"/>
      <c r="C1665" s="84" t="s">
        <v>576</v>
      </c>
      <c r="D1665" s="88" t="s">
        <v>1396</v>
      </c>
      <c r="E1665" s="84" t="s">
        <v>3683</v>
      </c>
      <c r="F1665" s="84" t="s">
        <v>577</v>
      </c>
      <c r="G1665" s="84" t="s">
        <v>4049</v>
      </c>
      <c r="I1665" s="84" t="s">
        <v>3962</v>
      </c>
      <c r="J1665" s="91"/>
      <c r="K1665" s="84" t="s">
        <v>111</v>
      </c>
      <c r="L1665" s="87">
        <v>552.0</v>
      </c>
      <c r="M1665" s="87">
        <v>0.0</v>
      </c>
      <c r="N1665" s="87">
        <v>0.0</v>
      </c>
      <c r="O1665" s="87">
        <v>0.0</v>
      </c>
      <c r="P1665" s="87">
        <v>0.0</v>
      </c>
      <c r="Q1665" s="87">
        <v>0.0</v>
      </c>
    </row>
    <row r="1666">
      <c r="A1666" s="84" t="s">
        <v>481</v>
      </c>
      <c r="B1666" s="194"/>
      <c r="C1666" s="84" t="s">
        <v>499</v>
      </c>
      <c r="D1666" s="88" t="s">
        <v>1396</v>
      </c>
      <c r="E1666" s="84" t="s">
        <v>3683</v>
      </c>
      <c r="F1666" s="84" t="s">
        <v>491</v>
      </c>
      <c r="G1666" s="84" t="s">
        <v>3560</v>
      </c>
      <c r="H1666" s="84" t="s">
        <v>3521</v>
      </c>
      <c r="I1666" s="84" t="s">
        <v>3684</v>
      </c>
      <c r="J1666" s="91"/>
      <c r="K1666" s="91"/>
      <c r="L1666" s="87">
        <v>9.0</v>
      </c>
      <c r="M1666" s="87">
        <v>7.0</v>
      </c>
      <c r="N1666" s="87">
        <v>0.0</v>
      </c>
      <c r="O1666" s="87">
        <v>3.664003</v>
      </c>
      <c r="P1666" s="87">
        <v>2.914486</v>
      </c>
      <c r="Q1666" s="87">
        <v>3.040661</v>
      </c>
    </row>
    <row r="1667">
      <c r="A1667" s="84" t="s">
        <v>537</v>
      </c>
      <c r="B1667" s="194"/>
      <c r="C1667" s="84" t="s">
        <v>546</v>
      </c>
      <c r="D1667" s="88" t="s">
        <v>1396</v>
      </c>
      <c r="E1667" s="84" t="s">
        <v>3683</v>
      </c>
      <c r="F1667" s="84" t="s">
        <v>542</v>
      </c>
      <c r="G1667" s="84" t="s">
        <v>3514</v>
      </c>
      <c r="H1667" s="84" t="s">
        <v>3521</v>
      </c>
      <c r="I1667" s="84" t="s">
        <v>3693</v>
      </c>
      <c r="J1667" s="91"/>
      <c r="K1667" s="91"/>
      <c r="L1667" s="87">
        <v>104.0</v>
      </c>
      <c r="M1667" s="87">
        <v>16.0</v>
      </c>
      <c r="N1667" s="87">
        <v>3.141375</v>
      </c>
      <c r="O1667" s="87">
        <v>9.336913</v>
      </c>
      <c r="P1667" s="87">
        <v>7.939202</v>
      </c>
      <c r="Q1667" s="87">
        <v>7.295999</v>
      </c>
    </row>
    <row r="1668">
      <c r="A1668" s="84" t="s">
        <v>180</v>
      </c>
      <c r="B1668" s="194"/>
      <c r="C1668" s="84" t="s">
        <v>817</v>
      </c>
      <c r="D1668" s="88" t="s">
        <v>1396</v>
      </c>
      <c r="E1668" s="84" t="s">
        <v>3683</v>
      </c>
      <c r="F1668" s="84" t="s">
        <v>814</v>
      </c>
      <c r="G1668" s="84" t="s">
        <v>3533</v>
      </c>
      <c r="H1668" s="84" t="s">
        <v>3521</v>
      </c>
      <c r="I1668" s="84" t="s">
        <v>3684</v>
      </c>
      <c r="J1668" s="91"/>
      <c r="K1668" s="84" t="s">
        <v>112</v>
      </c>
      <c r="L1668" s="87">
        <v>288.0</v>
      </c>
      <c r="M1668" s="87">
        <v>0.0</v>
      </c>
      <c r="N1668" s="87">
        <v>0.0</v>
      </c>
      <c r="O1668" s="87">
        <v>0.0</v>
      </c>
      <c r="P1668" s="87">
        <v>0.0</v>
      </c>
      <c r="Q1668" s="87">
        <v>0.0</v>
      </c>
    </row>
    <row r="1669">
      <c r="A1669" s="84" t="s">
        <v>139</v>
      </c>
      <c r="B1669" s="194"/>
      <c r="C1669" s="84" t="s">
        <v>152</v>
      </c>
      <c r="D1669" s="88" t="s">
        <v>1396</v>
      </c>
      <c r="E1669" s="91"/>
      <c r="F1669" s="84" t="s">
        <v>144</v>
      </c>
      <c r="G1669" s="84" t="s">
        <v>3700</v>
      </c>
      <c r="I1669" s="84" t="s">
        <v>3684</v>
      </c>
      <c r="J1669" s="84" t="s">
        <v>130</v>
      </c>
      <c r="K1669" s="91"/>
      <c r="L1669" s="87">
        <v>480.0</v>
      </c>
      <c r="M1669" s="87">
        <v>0.0</v>
      </c>
      <c r="N1669" s="87">
        <v>0.0</v>
      </c>
      <c r="O1669" s="87">
        <v>0.0</v>
      </c>
      <c r="P1669" s="87">
        <v>0.0</v>
      </c>
      <c r="Q1669" s="87">
        <v>0.0</v>
      </c>
    </row>
    <row r="1670">
      <c r="A1670" s="84" t="s">
        <v>616</v>
      </c>
      <c r="B1670" s="194"/>
      <c r="C1670" s="84" t="s">
        <v>624</v>
      </c>
      <c r="D1670" s="88" t="s">
        <v>1396</v>
      </c>
      <c r="E1670" s="91"/>
      <c r="F1670" s="84" t="s">
        <v>621</v>
      </c>
      <c r="G1670" s="84" t="s">
        <v>3552</v>
      </c>
      <c r="I1670" s="84" t="s">
        <v>3684</v>
      </c>
      <c r="J1670" s="91"/>
      <c r="K1670" s="91"/>
      <c r="L1670" s="87">
        <v>456.0</v>
      </c>
      <c r="M1670" s="87">
        <v>0.0</v>
      </c>
      <c r="N1670" s="87">
        <v>0.0</v>
      </c>
      <c r="O1670" s="87">
        <v>0.0</v>
      </c>
      <c r="P1670" s="87">
        <v>0.0</v>
      </c>
      <c r="Q1670" s="87">
        <v>0.0</v>
      </c>
    </row>
    <row r="1671">
      <c r="A1671" s="84" t="s">
        <v>393</v>
      </c>
      <c r="B1671" s="194"/>
      <c r="C1671" s="84" t="s">
        <v>406</v>
      </c>
      <c r="D1671" s="88" t="s">
        <v>1396</v>
      </c>
      <c r="E1671" s="84" t="s">
        <v>3687</v>
      </c>
      <c r="F1671" s="84" t="s">
        <v>407</v>
      </c>
      <c r="G1671" s="84" t="s">
        <v>3698</v>
      </c>
      <c r="I1671" s="84" t="s">
        <v>3693</v>
      </c>
      <c r="J1671" s="91"/>
      <c r="K1671" s="91"/>
      <c r="L1671" s="87">
        <v>552.0</v>
      </c>
      <c r="M1671" s="87">
        <v>0.0</v>
      </c>
      <c r="N1671" s="87">
        <v>0.0</v>
      </c>
      <c r="O1671" s="87">
        <v>0.0</v>
      </c>
      <c r="P1671" s="87">
        <v>0.0</v>
      </c>
      <c r="Q1671" s="87">
        <v>0.0</v>
      </c>
    </row>
    <row r="1672">
      <c r="A1672" s="84" t="s">
        <v>537</v>
      </c>
      <c r="B1672" s="194"/>
      <c r="C1672" s="84" t="s">
        <v>562</v>
      </c>
      <c r="D1672" s="88" t="s">
        <v>1396</v>
      </c>
      <c r="E1672" s="84" t="s">
        <v>3683</v>
      </c>
      <c r="F1672" s="84" t="s">
        <v>558</v>
      </c>
      <c r="G1672" s="84" t="s">
        <v>3602</v>
      </c>
      <c r="H1672" s="84" t="s">
        <v>3521</v>
      </c>
      <c r="I1672" s="84" t="s">
        <v>3693</v>
      </c>
      <c r="J1672" s="84" t="s">
        <v>130</v>
      </c>
      <c r="K1672" s="91"/>
      <c r="L1672" s="87">
        <v>10.0</v>
      </c>
      <c r="M1672" s="87">
        <v>0.0</v>
      </c>
      <c r="N1672" s="87">
        <v>0.0</v>
      </c>
      <c r="O1672" s="87">
        <v>0.0</v>
      </c>
      <c r="P1672" s="87">
        <v>0.0</v>
      </c>
      <c r="Q1672" s="87">
        <v>0.0</v>
      </c>
    </row>
    <row r="1673">
      <c r="A1673" s="84" t="s">
        <v>393</v>
      </c>
      <c r="B1673" s="194"/>
      <c r="C1673" s="84" t="s">
        <v>400</v>
      </c>
      <c r="D1673" s="88" t="s">
        <v>1396</v>
      </c>
      <c r="E1673" s="84" t="s">
        <v>3683</v>
      </c>
      <c r="F1673" s="84" t="s">
        <v>397</v>
      </c>
      <c r="G1673" s="84" t="s">
        <v>3698</v>
      </c>
      <c r="H1673" s="84" t="s">
        <v>3521</v>
      </c>
      <c r="I1673" s="84" t="s">
        <v>3693</v>
      </c>
      <c r="J1673" s="84" t="s">
        <v>130</v>
      </c>
      <c r="K1673" s="91"/>
      <c r="L1673" s="87">
        <v>34.0</v>
      </c>
      <c r="M1673" s="87">
        <v>0.0</v>
      </c>
      <c r="N1673" s="87">
        <v>0.0</v>
      </c>
      <c r="O1673" s="87">
        <v>0.0</v>
      </c>
      <c r="P1673" s="87">
        <v>0.0</v>
      </c>
      <c r="Q1673" s="87">
        <v>0.0</v>
      </c>
    </row>
    <row r="1674">
      <c r="A1674" s="84" t="s">
        <v>393</v>
      </c>
      <c r="B1674" s="194"/>
      <c r="C1674" s="84" t="s">
        <v>422</v>
      </c>
      <c r="D1674" s="88" t="s">
        <v>1396</v>
      </c>
      <c r="E1674" s="84" t="s">
        <v>3687</v>
      </c>
      <c r="F1674" s="84" t="s">
        <v>423</v>
      </c>
      <c r="G1674" s="84" t="s">
        <v>3568</v>
      </c>
      <c r="H1674" s="84" t="s">
        <v>3521</v>
      </c>
      <c r="I1674" s="84" t="s">
        <v>3693</v>
      </c>
      <c r="J1674" s="84" t="s">
        <v>130</v>
      </c>
      <c r="K1674" s="91"/>
      <c r="L1674" s="87">
        <v>48.0</v>
      </c>
      <c r="M1674" s="87">
        <v>0.0</v>
      </c>
      <c r="N1674" s="87">
        <v>0.0</v>
      </c>
      <c r="O1674" s="87">
        <v>0.0</v>
      </c>
      <c r="P1674" s="87">
        <v>0.0</v>
      </c>
      <c r="Q1674" s="87">
        <v>0.0</v>
      </c>
    </row>
    <row r="1675">
      <c r="A1675" s="84" t="s">
        <v>481</v>
      </c>
      <c r="B1675" s="194"/>
      <c r="C1675" s="84" t="s">
        <v>991</v>
      </c>
      <c r="D1675" s="88" t="s">
        <v>1396</v>
      </c>
      <c r="E1675" s="84" t="s">
        <v>3683</v>
      </c>
      <c r="F1675" s="84" t="s">
        <v>989</v>
      </c>
      <c r="G1675" s="84" t="s">
        <v>3585</v>
      </c>
      <c r="H1675" s="84" t="s">
        <v>3521</v>
      </c>
      <c r="I1675" s="84" t="s">
        <v>3684</v>
      </c>
      <c r="J1675" s="91"/>
      <c r="K1675" s="91"/>
      <c r="L1675" s="87">
        <v>24.0</v>
      </c>
      <c r="M1675" s="87">
        <v>2.0</v>
      </c>
      <c r="N1675" s="87">
        <v>0.0</v>
      </c>
      <c r="O1675" s="87">
        <v>1.857143</v>
      </c>
      <c r="P1675" s="87">
        <v>2.146305</v>
      </c>
      <c r="Q1675" s="87">
        <v>2.418612</v>
      </c>
    </row>
    <row r="1676">
      <c r="A1676" s="84" t="s">
        <v>630</v>
      </c>
      <c r="B1676" s="194"/>
      <c r="C1676" s="84" t="s">
        <v>1094</v>
      </c>
      <c r="D1676" s="88" t="s">
        <v>1396</v>
      </c>
      <c r="E1676" s="84" t="s">
        <v>3687</v>
      </c>
      <c r="F1676" s="84" t="s">
        <v>1091</v>
      </c>
      <c r="G1676" s="84" t="s">
        <v>3601</v>
      </c>
      <c r="H1676" s="84" t="s">
        <v>3521</v>
      </c>
      <c r="I1676" s="84" t="s">
        <v>3684</v>
      </c>
      <c r="J1676" s="91"/>
      <c r="K1676" s="91"/>
      <c r="L1676" s="87">
        <v>89.0</v>
      </c>
      <c r="M1676" s="87">
        <v>9.0</v>
      </c>
      <c r="N1676" s="87">
        <v>3.574759</v>
      </c>
      <c r="O1676" s="87">
        <v>11.77413</v>
      </c>
      <c r="P1676" s="87">
        <v>8.840805</v>
      </c>
      <c r="Q1676" s="87">
        <v>7.812134</v>
      </c>
    </row>
    <row r="1677">
      <c r="A1677" s="84" t="s">
        <v>644</v>
      </c>
      <c r="B1677" s="194"/>
      <c r="C1677" s="84" t="s">
        <v>691</v>
      </c>
      <c r="D1677" s="88" t="s">
        <v>1396</v>
      </c>
      <c r="E1677" s="84" t="s">
        <v>3683</v>
      </c>
      <c r="F1677" s="84" t="s">
        <v>686</v>
      </c>
      <c r="G1677" s="84" t="s">
        <v>3607</v>
      </c>
      <c r="I1677" s="84" t="s">
        <v>3684</v>
      </c>
      <c r="J1677" s="91"/>
      <c r="K1677" s="91"/>
      <c r="L1677" s="87">
        <v>552.0</v>
      </c>
      <c r="M1677" s="87">
        <v>0.0</v>
      </c>
      <c r="N1677" s="87">
        <v>0.0</v>
      </c>
      <c r="O1677" s="87">
        <v>0.0</v>
      </c>
      <c r="P1677" s="87">
        <v>0.0</v>
      </c>
      <c r="Q1677" s="87">
        <v>0.0</v>
      </c>
    </row>
    <row r="1678">
      <c r="A1678" s="84" t="s">
        <v>180</v>
      </c>
      <c r="B1678" s="194"/>
      <c r="C1678" s="84" t="s">
        <v>825</v>
      </c>
      <c r="D1678" s="88" t="s">
        <v>1396</v>
      </c>
      <c r="E1678" s="84" t="s">
        <v>3683</v>
      </c>
      <c r="F1678" s="84" t="s">
        <v>4195</v>
      </c>
      <c r="G1678" s="84" t="s">
        <v>3545</v>
      </c>
      <c r="H1678" s="84" t="s">
        <v>3507</v>
      </c>
      <c r="I1678" s="84" t="s">
        <v>3709</v>
      </c>
      <c r="J1678" s="91"/>
      <c r="K1678" s="91"/>
      <c r="L1678" s="87">
        <v>189.0</v>
      </c>
      <c r="M1678" s="87">
        <v>30.0</v>
      </c>
      <c r="N1678" s="87">
        <v>6.610735</v>
      </c>
      <c r="O1678" s="87">
        <v>25.75611</v>
      </c>
      <c r="P1678" s="87">
        <v>22.10936</v>
      </c>
      <c r="Q1678" s="87">
        <v>15.34295</v>
      </c>
    </row>
    <row r="1679">
      <c r="A1679" s="84" t="s">
        <v>139</v>
      </c>
      <c r="B1679" s="194"/>
      <c r="C1679" s="84" t="s">
        <v>780</v>
      </c>
      <c r="D1679" s="88" t="s">
        <v>1396</v>
      </c>
      <c r="E1679" s="84" t="s">
        <v>3683</v>
      </c>
      <c r="F1679" s="84" t="s">
        <v>542</v>
      </c>
      <c r="G1679" s="84" t="s">
        <v>3514</v>
      </c>
      <c r="I1679" s="84" t="s">
        <v>3684</v>
      </c>
      <c r="J1679" s="91"/>
      <c r="K1679" s="91"/>
      <c r="L1679" s="87">
        <v>552.0</v>
      </c>
      <c r="M1679" s="87">
        <v>0.0</v>
      </c>
      <c r="N1679" s="87">
        <v>0.0</v>
      </c>
      <c r="O1679" s="87">
        <v>0.0</v>
      </c>
      <c r="P1679" s="87">
        <v>0.0</v>
      </c>
      <c r="Q1679" s="87">
        <v>0.0</v>
      </c>
    </row>
    <row r="1680">
      <c r="A1680" s="84" t="s">
        <v>74</v>
      </c>
      <c r="B1680" s="194"/>
      <c r="C1680" s="84" t="s">
        <v>72</v>
      </c>
      <c r="D1680" s="88" t="s">
        <v>1396</v>
      </c>
      <c r="E1680" s="84" t="s">
        <v>3683</v>
      </c>
      <c r="F1680" s="84" t="s">
        <v>73</v>
      </c>
      <c r="G1680" s="84" t="s">
        <v>3712</v>
      </c>
      <c r="H1680" s="84" t="s">
        <v>3521</v>
      </c>
      <c r="I1680" s="84" t="s">
        <v>3684</v>
      </c>
      <c r="J1680" s="91"/>
      <c r="K1680" s="84" t="s">
        <v>111</v>
      </c>
      <c r="L1680" s="87">
        <v>696.0</v>
      </c>
      <c r="M1680" s="87">
        <v>0.0</v>
      </c>
      <c r="N1680" s="87">
        <v>0.5</v>
      </c>
      <c r="O1680" s="87">
        <v>0.0</v>
      </c>
      <c r="P1680" s="87">
        <v>0.0</v>
      </c>
      <c r="Q1680" s="87">
        <v>0.5</v>
      </c>
    </row>
    <row r="1681">
      <c r="A1681" s="84" t="s">
        <v>180</v>
      </c>
      <c r="B1681" s="194"/>
      <c r="C1681" s="84" t="s">
        <v>196</v>
      </c>
      <c r="D1681" s="88" t="s">
        <v>1396</v>
      </c>
      <c r="E1681" s="84" t="s">
        <v>3683</v>
      </c>
      <c r="F1681" s="84" t="s">
        <v>190</v>
      </c>
      <c r="G1681" s="84" t="s">
        <v>3708</v>
      </c>
      <c r="I1681" s="84" t="s">
        <v>3709</v>
      </c>
      <c r="J1681" s="91"/>
      <c r="K1681" s="91"/>
      <c r="L1681" s="87">
        <v>552.0</v>
      </c>
      <c r="M1681" s="87">
        <v>0.0</v>
      </c>
      <c r="N1681" s="87">
        <v>0.0</v>
      </c>
      <c r="O1681" s="87">
        <v>0.0</v>
      </c>
      <c r="P1681" s="87">
        <v>0.0</v>
      </c>
      <c r="Q1681" s="87">
        <v>0.0</v>
      </c>
    </row>
    <row r="1682">
      <c r="A1682" s="84" t="s">
        <v>107</v>
      </c>
      <c r="B1682" s="194"/>
      <c r="C1682" s="84" t="s">
        <v>116</v>
      </c>
      <c r="D1682" s="88" t="s">
        <v>1396</v>
      </c>
      <c r="E1682" s="84" t="s">
        <v>3687</v>
      </c>
      <c r="F1682" s="84" t="s">
        <v>106</v>
      </c>
      <c r="G1682" s="84" t="s">
        <v>3552</v>
      </c>
      <c r="H1682" s="84" t="s">
        <v>3521</v>
      </c>
      <c r="I1682" s="84" t="s">
        <v>3684</v>
      </c>
      <c r="J1682" s="91"/>
      <c r="K1682" s="84" t="s">
        <v>111</v>
      </c>
      <c r="L1682" s="87">
        <v>336.0</v>
      </c>
      <c r="M1682" s="87">
        <v>0.0</v>
      </c>
      <c r="N1682" s="87">
        <v>0.125</v>
      </c>
      <c r="O1682" s="87">
        <v>0.0</v>
      </c>
      <c r="P1682" s="87">
        <v>0.0</v>
      </c>
      <c r="Q1682" s="87">
        <v>0.125</v>
      </c>
    </row>
    <row r="1683">
      <c r="A1683" s="84" t="s">
        <v>644</v>
      </c>
      <c r="B1683" s="194"/>
      <c r="C1683" s="84" t="s">
        <v>1236</v>
      </c>
      <c r="D1683" s="88" t="s">
        <v>1396</v>
      </c>
      <c r="E1683" s="84" t="s">
        <v>3683</v>
      </c>
      <c r="F1683" s="84" t="s">
        <v>1237</v>
      </c>
      <c r="G1683" s="84" t="s">
        <v>3607</v>
      </c>
      <c r="H1683" s="84" t="s">
        <v>3521</v>
      </c>
      <c r="I1683" s="84" t="s">
        <v>3684</v>
      </c>
      <c r="J1683" s="84" t="s">
        <v>215</v>
      </c>
      <c r="L1683" s="87">
        <v>0.0</v>
      </c>
      <c r="M1683" s="87">
        <v>0.0</v>
      </c>
      <c r="N1683" s="87">
        <v>0.0</v>
      </c>
      <c r="O1683" s="87">
        <v>0.5</v>
      </c>
      <c r="P1683" s="87">
        <v>0.374701</v>
      </c>
      <c r="Q1683" s="87">
        <v>0.717591</v>
      </c>
    </row>
    <row r="1684">
      <c r="A1684" s="84" t="s">
        <v>630</v>
      </c>
      <c r="B1684" s="194"/>
      <c r="C1684" s="84" t="s">
        <v>635</v>
      </c>
      <c r="D1684" s="88" t="s">
        <v>1396</v>
      </c>
      <c r="E1684" s="84" t="s">
        <v>3683</v>
      </c>
      <c r="F1684" s="84" t="s">
        <v>629</v>
      </c>
      <c r="G1684" s="84" t="s">
        <v>3766</v>
      </c>
      <c r="H1684" s="84" t="s">
        <v>3521</v>
      </c>
      <c r="I1684" s="84" t="s">
        <v>3684</v>
      </c>
      <c r="J1684" s="91"/>
      <c r="K1684" s="91"/>
      <c r="L1684" s="87">
        <v>74.0</v>
      </c>
      <c r="M1684" s="87">
        <v>6.0</v>
      </c>
      <c r="N1684" s="87">
        <v>0.237179</v>
      </c>
      <c r="O1684" s="87">
        <v>2.491758</v>
      </c>
      <c r="P1684" s="87">
        <v>2.365107</v>
      </c>
      <c r="Q1684" s="87">
        <v>2.415403</v>
      </c>
    </row>
    <row r="1685">
      <c r="A1685" s="84" t="s">
        <v>761</v>
      </c>
      <c r="B1685" s="194"/>
      <c r="C1685" s="84" t="s">
        <v>765</v>
      </c>
      <c r="D1685" s="88" t="s">
        <v>1396</v>
      </c>
      <c r="E1685" s="84" t="s">
        <v>3683</v>
      </c>
      <c r="F1685" s="84" t="s">
        <v>760</v>
      </c>
      <c r="G1685" s="84" t="s">
        <v>4015</v>
      </c>
      <c r="I1685" s="84" t="s">
        <v>3684</v>
      </c>
      <c r="J1685" s="91"/>
      <c r="K1685" s="91"/>
      <c r="L1685" s="87">
        <v>552.0</v>
      </c>
      <c r="M1685" s="87">
        <v>0.0</v>
      </c>
      <c r="N1685" s="87">
        <v>0.0</v>
      </c>
      <c r="O1685" s="87">
        <v>0.0</v>
      </c>
      <c r="P1685" s="87">
        <v>0.0</v>
      </c>
      <c r="Q1685" s="87">
        <v>0.0</v>
      </c>
    </row>
    <row r="1686">
      <c r="A1686" s="84" t="s">
        <v>107</v>
      </c>
      <c r="B1686" s="194"/>
      <c r="C1686" s="84" t="s">
        <v>123</v>
      </c>
      <c r="D1686" s="88" t="s">
        <v>1396</v>
      </c>
      <c r="E1686" s="84" t="s">
        <v>3683</v>
      </c>
      <c r="F1686" s="84" t="s">
        <v>119</v>
      </c>
      <c r="G1686" s="84" t="s">
        <v>3552</v>
      </c>
      <c r="H1686" s="84" t="s">
        <v>3521</v>
      </c>
      <c r="I1686" s="84" t="s">
        <v>3684</v>
      </c>
      <c r="J1686" s="91"/>
      <c r="K1686" s="91"/>
      <c r="L1686" s="87">
        <v>216.0</v>
      </c>
      <c r="M1686" s="87">
        <v>0.0</v>
      </c>
      <c r="N1686" s="87">
        <v>1.335256</v>
      </c>
      <c r="O1686" s="87">
        <v>0.148352</v>
      </c>
      <c r="P1686" s="87">
        <v>0.392816</v>
      </c>
      <c r="Q1686" s="87">
        <v>1.216265</v>
      </c>
    </row>
    <row r="1687">
      <c r="A1687" s="84" t="s">
        <v>301</v>
      </c>
      <c r="B1687" s="194"/>
      <c r="C1687" s="84" t="s">
        <v>1284</v>
      </c>
      <c r="D1687" s="88" t="s">
        <v>1396</v>
      </c>
      <c r="E1687" s="84" t="s">
        <v>3683</v>
      </c>
      <c r="F1687" s="84" t="s">
        <v>3959</v>
      </c>
      <c r="G1687" s="84" t="s">
        <v>3960</v>
      </c>
      <c r="H1687" s="84" t="s">
        <v>3521</v>
      </c>
      <c r="I1687" s="84" t="s">
        <v>3684</v>
      </c>
      <c r="J1687" s="91"/>
      <c r="K1687" s="84" t="s">
        <v>111</v>
      </c>
      <c r="L1687" s="87">
        <v>600.0</v>
      </c>
      <c r="M1687" s="87">
        <v>0.0</v>
      </c>
      <c r="N1687" s="87">
        <v>1.716956</v>
      </c>
      <c r="O1687" s="87">
        <v>0.719048</v>
      </c>
      <c r="P1687" s="87">
        <v>0.469095</v>
      </c>
      <c r="Q1687" s="87">
        <v>1.461043</v>
      </c>
    </row>
    <row r="1688">
      <c r="A1688" s="84" t="s">
        <v>481</v>
      </c>
      <c r="B1688" s="194"/>
      <c r="C1688" s="84" t="s">
        <v>997</v>
      </c>
      <c r="D1688" s="88" t="s">
        <v>1396</v>
      </c>
      <c r="E1688" s="84" t="s">
        <v>3683</v>
      </c>
      <c r="F1688" s="84" t="s">
        <v>989</v>
      </c>
      <c r="G1688" s="84" t="s">
        <v>3585</v>
      </c>
      <c r="H1688" s="84" t="s">
        <v>3521</v>
      </c>
      <c r="I1688" s="84" t="s">
        <v>3684</v>
      </c>
      <c r="J1688" s="84" t="s">
        <v>130</v>
      </c>
      <c r="K1688" s="91"/>
      <c r="L1688" s="87">
        <v>24.0</v>
      </c>
      <c r="M1688" s="87">
        <v>0.0</v>
      </c>
      <c r="N1688" s="87">
        <v>0.0</v>
      </c>
      <c r="O1688" s="87">
        <v>0.357143</v>
      </c>
      <c r="P1688" s="87">
        <v>0.366667</v>
      </c>
      <c r="Q1688" s="87">
        <v>0.403145</v>
      </c>
    </row>
    <row r="1689">
      <c r="A1689" s="84" t="s">
        <v>139</v>
      </c>
      <c r="B1689" s="194"/>
      <c r="C1689" s="84" t="s">
        <v>174</v>
      </c>
      <c r="D1689" s="88" t="s">
        <v>1396</v>
      </c>
      <c r="E1689" s="84" t="s">
        <v>3687</v>
      </c>
      <c r="F1689" s="84" t="s">
        <v>144</v>
      </c>
      <c r="G1689" s="84" t="s">
        <v>3700</v>
      </c>
      <c r="I1689" s="84" t="s">
        <v>3684</v>
      </c>
      <c r="J1689" s="84" t="s">
        <v>130</v>
      </c>
      <c r="K1689" s="91"/>
      <c r="L1689" s="87">
        <v>48.0</v>
      </c>
      <c r="M1689" s="87">
        <v>0.0</v>
      </c>
      <c r="N1689" s="87">
        <v>0.0</v>
      </c>
      <c r="O1689" s="87">
        <v>0.0</v>
      </c>
      <c r="P1689" s="87">
        <v>0.0</v>
      </c>
      <c r="Q1689" s="87">
        <v>0.0</v>
      </c>
    </row>
    <row r="1690">
      <c r="A1690" s="84" t="s">
        <v>1130</v>
      </c>
      <c r="B1690" s="194"/>
      <c r="C1690" s="84" t="s">
        <v>1164</v>
      </c>
      <c r="D1690" s="88" t="s">
        <v>1396</v>
      </c>
      <c r="E1690" s="84" t="s">
        <v>3683</v>
      </c>
      <c r="F1690" s="84" t="s">
        <v>973</v>
      </c>
      <c r="G1690" s="84" t="s">
        <v>3582</v>
      </c>
      <c r="H1690" s="84" t="s">
        <v>3521</v>
      </c>
      <c r="I1690" s="84" t="s">
        <v>3684</v>
      </c>
      <c r="J1690" s="84" t="s">
        <v>130</v>
      </c>
      <c r="K1690" s="91"/>
      <c r="L1690" s="87">
        <v>48.0</v>
      </c>
      <c r="M1690" s="87">
        <v>0.0</v>
      </c>
      <c r="N1690" s="87">
        <v>0.181818</v>
      </c>
      <c r="O1690" s="87">
        <v>0.0</v>
      </c>
      <c r="P1690" s="87">
        <v>0.0</v>
      </c>
      <c r="Q1690" s="87">
        <v>0.181818</v>
      </c>
    </row>
    <row r="1691">
      <c r="A1691" s="84" t="s">
        <v>180</v>
      </c>
      <c r="B1691" s="194"/>
      <c r="C1691" s="84" t="s">
        <v>819</v>
      </c>
      <c r="D1691" s="88" t="s">
        <v>1396</v>
      </c>
      <c r="E1691" s="84" t="s">
        <v>3683</v>
      </c>
      <c r="F1691" s="84" t="s">
        <v>814</v>
      </c>
      <c r="G1691" s="84" t="s">
        <v>3533</v>
      </c>
      <c r="H1691" s="84" t="s">
        <v>3521</v>
      </c>
      <c r="I1691" s="84" t="s">
        <v>3684</v>
      </c>
      <c r="J1691" s="84" t="s">
        <v>130</v>
      </c>
      <c r="K1691" s="91"/>
      <c r="L1691" s="87">
        <v>24.0</v>
      </c>
      <c r="M1691" s="87">
        <v>0.0</v>
      </c>
      <c r="N1691" s="87">
        <v>0.0</v>
      </c>
      <c r="O1691" s="87">
        <v>0.0</v>
      </c>
      <c r="P1691" s="87">
        <v>0.0</v>
      </c>
      <c r="Q1691" s="87">
        <v>0.0</v>
      </c>
    </row>
    <row r="1692">
      <c r="A1692" s="84" t="s">
        <v>644</v>
      </c>
      <c r="B1692" s="194"/>
      <c r="C1692" s="84" t="s">
        <v>661</v>
      </c>
      <c r="D1692" s="88" t="s">
        <v>1396</v>
      </c>
      <c r="E1692" s="84" t="s">
        <v>3683</v>
      </c>
      <c r="F1692" s="84" t="s">
        <v>658</v>
      </c>
      <c r="G1692" s="84" t="s">
        <v>3801</v>
      </c>
      <c r="H1692" s="84" t="s">
        <v>3521</v>
      </c>
      <c r="I1692" s="84" t="s">
        <v>3684</v>
      </c>
      <c r="J1692" s="91"/>
      <c r="K1692" s="91"/>
      <c r="L1692" s="87">
        <v>0.0</v>
      </c>
      <c r="M1692" s="87">
        <v>0.0</v>
      </c>
      <c r="N1692" s="87">
        <v>0.0</v>
      </c>
      <c r="O1692" s="87">
        <v>0.0</v>
      </c>
      <c r="P1692" s="87">
        <v>0.0</v>
      </c>
      <c r="Q1692" s="87">
        <v>0.033333</v>
      </c>
    </row>
    <row r="1693">
      <c r="A1693" s="84" t="s">
        <v>393</v>
      </c>
      <c r="B1693" s="194"/>
      <c r="C1693" s="84" t="s">
        <v>424</v>
      </c>
      <c r="D1693" s="88" t="s">
        <v>1396</v>
      </c>
      <c r="E1693" s="84" t="s">
        <v>3683</v>
      </c>
      <c r="F1693" s="84" t="s">
        <v>423</v>
      </c>
      <c r="G1693" s="84" t="s">
        <v>3568</v>
      </c>
      <c r="H1693" s="84" t="s">
        <v>3521</v>
      </c>
      <c r="I1693" s="84" t="s">
        <v>3693</v>
      </c>
      <c r="J1693" s="84" t="s">
        <v>130</v>
      </c>
      <c r="K1693" s="91"/>
      <c r="L1693" s="87">
        <v>48.0</v>
      </c>
      <c r="M1693" s="87">
        <v>0.0</v>
      </c>
      <c r="N1693" s="87">
        <v>0.072751</v>
      </c>
      <c r="O1693" s="87">
        <v>0.0</v>
      </c>
      <c r="P1693" s="87">
        <v>0.0</v>
      </c>
      <c r="Q1693" s="87">
        <v>0.072751</v>
      </c>
    </row>
    <row r="1694">
      <c r="A1694" s="84" t="s">
        <v>481</v>
      </c>
      <c r="B1694" s="194"/>
      <c r="C1694" s="84" t="s">
        <v>518</v>
      </c>
      <c r="D1694" s="88" t="s">
        <v>1396</v>
      </c>
      <c r="E1694" s="84" t="s">
        <v>3683</v>
      </c>
      <c r="F1694" s="84" t="s">
        <v>516</v>
      </c>
      <c r="G1694" s="84" t="s">
        <v>3593</v>
      </c>
      <c r="H1694" s="84" t="s">
        <v>3521</v>
      </c>
      <c r="I1694" s="84" t="s">
        <v>3684</v>
      </c>
      <c r="J1694" s="84" t="s">
        <v>130</v>
      </c>
      <c r="K1694" s="91"/>
      <c r="L1694" s="87">
        <v>24.0</v>
      </c>
      <c r="M1694" s="87">
        <v>0.0</v>
      </c>
      <c r="N1694" s="87">
        <v>0.0</v>
      </c>
      <c r="O1694" s="87">
        <v>0.0</v>
      </c>
      <c r="P1694" s="87">
        <v>0.0</v>
      </c>
      <c r="Q1694" s="87">
        <v>0.0</v>
      </c>
    </row>
    <row r="1695">
      <c r="A1695" s="84" t="s">
        <v>644</v>
      </c>
      <c r="B1695" s="194"/>
      <c r="C1695" s="84" t="s">
        <v>1257</v>
      </c>
      <c r="D1695" s="88" t="s">
        <v>1396</v>
      </c>
      <c r="E1695" s="84" t="s">
        <v>3683</v>
      </c>
      <c r="F1695" s="84" t="s">
        <v>708</v>
      </c>
      <c r="G1695" s="84" t="s">
        <v>3607</v>
      </c>
      <c r="H1695" s="84" t="s">
        <v>3521</v>
      </c>
      <c r="I1695" s="84" t="s">
        <v>3684</v>
      </c>
      <c r="J1695" s="84" t="s">
        <v>130</v>
      </c>
      <c r="K1695" s="84" t="s">
        <v>111</v>
      </c>
      <c r="L1695" s="87">
        <v>24.0</v>
      </c>
      <c r="M1695" s="87">
        <v>0.0</v>
      </c>
      <c r="N1695" s="87">
        <v>0.0</v>
      </c>
      <c r="O1695" s="87">
        <v>0.0</v>
      </c>
      <c r="P1695" s="87">
        <v>0.0</v>
      </c>
      <c r="Q1695" s="87">
        <v>0.0</v>
      </c>
    </row>
    <row r="1696">
      <c r="A1696" s="84" t="s">
        <v>458</v>
      </c>
      <c r="B1696" s="194"/>
      <c r="C1696" s="84" t="s">
        <v>968</v>
      </c>
      <c r="D1696" s="88" t="s">
        <v>1396</v>
      </c>
      <c r="E1696" s="84" t="s">
        <v>3683</v>
      </c>
      <c r="F1696" s="84" t="s">
        <v>967</v>
      </c>
      <c r="G1696" s="84" t="s">
        <v>3581</v>
      </c>
      <c r="H1696" s="84" t="s">
        <v>3521</v>
      </c>
      <c r="I1696" s="84" t="s">
        <v>3684</v>
      </c>
      <c r="J1696" s="84" t="s">
        <v>130</v>
      </c>
      <c r="K1696" s="84" t="s">
        <v>111</v>
      </c>
      <c r="L1696" s="87">
        <v>24.0</v>
      </c>
      <c r="M1696" s="87">
        <v>0.0</v>
      </c>
      <c r="N1696" s="87">
        <v>0.0</v>
      </c>
      <c r="O1696" s="87">
        <v>0.0</v>
      </c>
      <c r="P1696" s="87">
        <v>0.0</v>
      </c>
      <c r="Q1696" s="87">
        <v>0.0</v>
      </c>
    </row>
    <row r="1697">
      <c r="A1697" s="84" t="s">
        <v>74</v>
      </c>
      <c r="B1697" s="194"/>
      <c r="C1697" s="84" t="s">
        <v>82</v>
      </c>
      <c r="D1697" s="88" t="s">
        <v>1396</v>
      </c>
      <c r="E1697" s="84" t="s">
        <v>3683</v>
      </c>
      <c r="F1697" s="84" t="s">
        <v>73</v>
      </c>
      <c r="G1697" s="84" t="s">
        <v>3712</v>
      </c>
      <c r="H1697" s="84" t="s">
        <v>3521</v>
      </c>
      <c r="I1697" s="84" t="s">
        <v>3684</v>
      </c>
      <c r="J1697" s="84" t="s">
        <v>130</v>
      </c>
      <c r="K1697" s="84" t="s">
        <v>111</v>
      </c>
      <c r="L1697" s="87">
        <v>48.0</v>
      </c>
      <c r="M1697" s="87">
        <v>0.0</v>
      </c>
      <c r="N1697" s="87">
        <v>0.148352</v>
      </c>
      <c r="O1697" s="87">
        <v>0.148352</v>
      </c>
      <c r="P1697" s="87">
        <v>0.101149</v>
      </c>
      <c r="Q1697" s="87">
        <v>0.066949</v>
      </c>
    </row>
    <row r="1698">
      <c r="A1698" s="84" t="s">
        <v>644</v>
      </c>
      <c r="B1698" s="194"/>
      <c r="C1698" s="84" t="s">
        <v>735</v>
      </c>
      <c r="D1698" s="88" t="s">
        <v>1396</v>
      </c>
      <c r="E1698" s="84" t="s">
        <v>3683</v>
      </c>
      <c r="F1698" s="84" t="s">
        <v>3751</v>
      </c>
      <c r="G1698" s="84" t="s">
        <v>3752</v>
      </c>
      <c r="I1698" s="84" t="s">
        <v>3684</v>
      </c>
      <c r="J1698" s="91"/>
      <c r="K1698" s="91"/>
      <c r="L1698" s="87">
        <v>24.0</v>
      </c>
      <c r="M1698" s="87">
        <v>0.0</v>
      </c>
      <c r="N1698" s="87">
        <v>0.0</v>
      </c>
      <c r="O1698" s="87">
        <v>0.0</v>
      </c>
      <c r="P1698" s="87">
        <v>0.0</v>
      </c>
      <c r="Q1698" s="87">
        <v>0.0</v>
      </c>
    </row>
    <row r="1699">
      <c r="A1699" s="84" t="s">
        <v>258</v>
      </c>
      <c r="B1699" s="194"/>
      <c r="C1699" s="84" t="s">
        <v>901</v>
      </c>
      <c r="D1699" s="88" t="s">
        <v>1396</v>
      </c>
      <c r="E1699" s="91"/>
      <c r="F1699" s="84" t="s">
        <v>898</v>
      </c>
      <c r="G1699" s="84" t="s">
        <v>3560</v>
      </c>
      <c r="I1699" s="84" t="s">
        <v>3684</v>
      </c>
      <c r="J1699" s="91"/>
      <c r="K1699" s="91"/>
      <c r="L1699" s="87">
        <v>24.0</v>
      </c>
      <c r="M1699" s="87">
        <v>0.0</v>
      </c>
      <c r="N1699" s="87">
        <v>0.0</v>
      </c>
      <c r="O1699" s="87">
        <v>0.0</v>
      </c>
      <c r="P1699" s="87">
        <v>0.0</v>
      </c>
      <c r="Q1699" s="87">
        <v>0.0</v>
      </c>
    </row>
    <row r="1700">
      <c r="A1700" s="84" t="s">
        <v>444</v>
      </c>
      <c r="B1700" s="194"/>
      <c r="C1700" s="84" t="s">
        <v>942</v>
      </c>
      <c r="D1700" s="88" t="s">
        <v>1396</v>
      </c>
      <c r="E1700" s="84" t="s">
        <v>3683</v>
      </c>
      <c r="F1700" s="84" t="s">
        <v>448</v>
      </c>
      <c r="G1700" s="84" t="s">
        <v>3577</v>
      </c>
      <c r="H1700" s="84" t="s">
        <v>3521</v>
      </c>
      <c r="I1700" s="84" t="s">
        <v>3684</v>
      </c>
      <c r="J1700" s="91"/>
      <c r="K1700" s="91"/>
      <c r="L1700" s="87">
        <v>24.0</v>
      </c>
      <c r="M1700" s="87">
        <v>0.0</v>
      </c>
      <c r="N1700" s="87">
        <v>0.0</v>
      </c>
      <c r="O1700" s="87">
        <v>0.214286</v>
      </c>
      <c r="P1700" s="87">
        <v>0.6</v>
      </c>
      <c r="Q1700" s="87">
        <v>0.436855</v>
      </c>
    </row>
    <row r="1701">
      <c r="A1701" s="84" t="s">
        <v>644</v>
      </c>
      <c r="B1701" s="194"/>
      <c r="C1701" s="84" t="s">
        <v>693</v>
      </c>
      <c r="D1701" s="88" t="s">
        <v>1396</v>
      </c>
      <c r="E1701" s="84" t="s">
        <v>3683</v>
      </c>
      <c r="F1701" s="84" t="s">
        <v>686</v>
      </c>
      <c r="G1701" s="84" t="s">
        <v>3607</v>
      </c>
      <c r="H1701" s="84" t="s">
        <v>3521</v>
      </c>
      <c r="I1701" s="84" t="s">
        <v>3684</v>
      </c>
      <c r="J1701" s="84" t="s">
        <v>215</v>
      </c>
      <c r="L1701" s="87">
        <v>792.0</v>
      </c>
      <c r="M1701" s="87">
        <v>0.0</v>
      </c>
      <c r="N1701" s="87">
        <v>0.238095</v>
      </c>
      <c r="O1701" s="87">
        <v>0.0</v>
      </c>
      <c r="P1701" s="87">
        <v>0.0</v>
      </c>
      <c r="Q1701" s="87">
        <v>0.238095</v>
      </c>
    </row>
    <row r="1702">
      <c r="A1702" s="84" t="s">
        <v>644</v>
      </c>
      <c r="B1702" s="194"/>
      <c r="C1702" s="84" t="s">
        <v>713</v>
      </c>
      <c r="D1702" s="88" t="s">
        <v>1396</v>
      </c>
      <c r="E1702" s="84" t="s">
        <v>3683</v>
      </c>
      <c r="F1702" s="84" t="s">
        <v>714</v>
      </c>
      <c r="G1702" s="84" t="s">
        <v>3607</v>
      </c>
      <c r="H1702" s="84" t="s">
        <v>3521</v>
      </c>
      <c r="I1702" s="84" t="s">
        <v>3684</v>
      </c>
      <c r="J1702" s="84" t="s">
        <v>215</v>
      </c>
      <c r="L1702" s="87">
        <v>576.0</v>
      </c>
      <c r="M1702" s="87">
        <v>0.0</v>
      </c>
      <c r="N1702" s="87">
        <v>1.645772</v>
      </c>
      <c r="O1702" s="87">
        <v>0.0</v>
      </c>
      <c r="P1702" s="87">
        <v>0.0</v>
      </c>
      <c r="Q1702" s="87">
        <v>1.695772</v>
      </c>
    </row>
    <row r="1703">
      <c r="A1703" s="84" t="s">
        <v>258</v>
      </c>
      <c r="B1703" s="194"/>
      <c r="C1703" s="84" t="s">
        <v>895</v>
      </c>
      <c r="D1703" s="88" t="s">
        <v>1396</v>
      </c>
      <c r="E1703" s="91"/>
      <c r="F1703" s="84" t="s">
        <v>892</v>
      </c>
      <c r="G1703" s="84" t="s">
        <v>3559</v>
      </c>
      <c r="I1703" s="84" t="s">
        <v>3684</v>
      </c>
      <c r="J1703" s="91"/>
      <c r="K1703" s="91"/>
      <c r="L1703" s="87">
        <v>528.0</v>
      </c>
      <c r="M1703" s="87">
        <v>0.0</v>
      </c>
      <c r="N1703" s="87">
        <v>0.0</v>
      </c>
      <c r="O1703" s="87">
        <v>0.0</v>
      </c>
      <c r="P1703" s="87">
        <v>0.0</v>
      </c>
      <c r="Q1703" s="87">
        <v>0.0</v>
      </c>
    </row>
    <row r="1704">
      <c r="A1704" s="84" t="s">
        <v>363</v>
      </c>
      <c r="B1704" s="193"/>
      <c r="C1704" s="84" t="s">
        <v>367</v>
      </c>
      <c r="D1704" s="88" t="s">
        <v>1396</v>
      </c>
      <c r="E1704" s="84" t="s">
        <v>3687</v>
      </c>
      <c r="F1704" s="84" t="s">
        <v>368</v>
      </c>
      <c r="G1704" s="84" t="s">
        <v>3770</v>
      </c>
      <c r="H1704" s="84" t="s">
        <v>3513</v>
      </c>
      <c r="I1704" s="84" t="s">
        <v>3709</v>
      </c>
      <c r="J1704" s="91"/>
      <c r="K1704" s="91"/>
      <c r="L1704" s="87">
        <v>552.0</v>
      </c>
      <c r="M1704" s="87">
        <v>0.0</v>
      </c>
      <c r="N1704" s="87">
        <v>0.0</v>
      </c>
      <c r="O1704" s="87">
        <v>0.0</v>
      </c>
      <c r="P1704" s="87">
        <v>0.0</v>
      </c>
      <c r="Q1704" s="87">
        <v>0.0</v>
      </c>
    </row>
    <row r="1705">
      <c r="A1705" s="84" t="s">
        <v>481</v>
      </c>
      <c r="B1705" s="194"/>
      <c r="C1705" s="84" t="s">
        <v>995</v>
      </c>
      <c r="D1705" s="88" t="s">
        <v>1396</v>
      </c>
      <c r="E1705" s="84" t="s">
        <v>3683</v>
      </c>
      <c r="F1705" s="84" t="s">
        <v>989</v>
      </c>
      <c r="G1705" s="84" t="s">
        <v>3585</v>
      </c>
      <c r="H1705" s="84" t="s">
        <v>3521</v>
      </c>
      <c r="I1705" s="84" t="s">
        <v>3684</v>
      </c>
      <c r="J1705" s="91"/>
      <c r="K1705" s="91"/>
      <c r="L1705" s="87">
        <v>48.0</v>
      </c>
      <c r="M1705" s="87">
        <v>3.0</v>
      </c>
      <c r="N1705" s="87">
        <v>0.214286</v>
      </c>
      <c r="O1705" s="87">
        <v>1.071429</v>
      </c>
      <c r="P1705" s="87">
        <v>0.733333</v>
      </c>
      <c r="Q1705" s="87">
        <v>0.852706</v>
      </c>
    </row>
    <row r="1706">
      <c r="A1706" s="84" t="s">
        <v>258</v>
      </c>
      <c r="B1706" s="194"/>
      <c r="C1706" s="84" t="s">
        <v>903</v>
      </c>
      <c r="D1706" s="88" t="s">
        <v>1396</v>
      </c>
      <c r="E1706" s="84" t="s">
        <v>3683</v>
      </c>
      <c r="F1706" s="84" t="s">
        <v>904</v>
      </c>
      <c r="G1706" s="84" t="s">
        <v>3561</v>
      </c>
      <c r="H1706" s="84" t="s">
        <v>3521</v>
      </c>
      <c r="I1706" s="84" t="s">
        <v>3684</v>
      </c>
      <c r="J1706" s="91"/>
      <c r="K1706" s="84" t="s">
        <v>111</v>
      </c>
      <c r="L1706" s="87">
        <v>336.0</v>
      </c>
      <c r="M1706" s="87">
        <v>0.0</v>
      </c>
      <c r="N1706" s="87">
        <v>0.0</v>
      </c>
      <c r="O1706" s="87">
        <v>0.0</v>
      </c>
      <c r="P1706" s="87">
        <v>0.0</v>
      </c>
      <c r="Q1706" s="87">
        <v>0.0</v>
      </c>
    </row>
    <row r="1707">
      <c r="A1707" s="84" t="s">
        <v>761</v>
      </c>
      <c r="B1707" s="194"/>
      <c r="C1707" s="84" t="s">
        <v>759</v>
      </c>
      <c r="D1707" s="88" t="s">
        <v>1396</v>
      </c>
      <c r="E1707" s="84" t="s">
        <v>3683</v>
      </c>
      <c r="F1707" s="84" t="s">
        <v>760</v>
      </c>
      <c r="G1707" s="84" t="s">
        <v>4015</v>
      </c>
      <c r="I1707" s="84" t="s">
        <v>3684</v>
      </c>
      <c r="J1707" s="91"/>
      <c r="K1707" s="91"/>
      <c r="L1707" s="87">
        <v>552.0</v>
      </c>
      <c r="M1707" s="87">
        <v>0.0</v>
      </c>
      <c r="N1707" s="87">
        <v>0.0</v>
      </c>
      <c r="O1707" s="87">
        <v>0.0</v>
      </c>
      <c r="P1707" s="87">
        <v>0.0</v>
      </c>
      <c r="Q1707" s="87">
        <v>0.0</v>
      </c>
    </row>
    <row r="1708">
      <c r="A1708" s="84" t="s">
        <v>644</v>
      </c>
      <c r="B1708" s="194"/>
      <c r="C1708" s="84" t="s">
        <v>656</v>
      </c>
      <c r="D1708" s="88" t="s">
        <v>1396</v>
      </c>
      <c r="E1708" s="84" t="s">
        <v>3683</v>
      </c>
      <c r="F1708" s="84" t="s">
        <v>651</v>
      </c>
      <c r="G1708" s="84" t="s">
        <v>3723</v>
      </c>
      <c r="H1708" s="91"/>
      <c r="I1708" s="84" t="s">
        <v>3684</v>
      </c>
      <c r="J1708" s="91"/>
      <c r="K1708" s="91"/>
      <c r="L1708" s="87">
        <v>552.0</v>
      </c>
      <c r="M1708" s="87">
        <v>0.0</v>
      </c>
      <c r="N1708" s="87">
        <v>0.0</v>
      </c>
      <c r="O1708" s="87">
        <v>0.0</v>
      </c>
      <c r="P1708" s="87">
        <v>0.0</v>
      </c>
      <c r="Q1708" s="87">
        <v>0.0</v>
      </c>
    </row>
    <row r="1709">
      <c r="A1709" s="84" t="s">
        <v>644</v>
      </c>
      <c r="B1709" s="194"/>
      <c r="C1709" s="84" t="s">
        <v>1204</v>
      </c>
      <c r="D1709" s="88" t="s">
        <v>1396</v>
      </c>
      <c r="E1709" s="84" t="s">
        <v>3683</v>
      </c>
      <c r="F1709" s="84" t="s">
        <v>1205</v>
      </c>
      <c r="G1709" s="84" t="s">
        <v>3600</v>
      </c>
      <c r="H1709" s="84" t="s">
        <v>3521</v>
      </c>
      <c r="I1709" s="84" t="s">
        <v>3684</v>
      </c>
      <c r="J1709" s="84" t="s">
        <v>130</v>
      </c>
      <c r="K1709" s="91"/>
      <c r="L1709" s="87">
        <v>672.0</v>
      </c>
      <c r="M1709" s="87">
        <v>0.0</v>
      </c>
      <c r="N1709" s="87">
        <v>6.19716</v>
      </c>
      <c r="O1709" s="87">
        <v>1.071429</v>
      </c>
      <c r="P1709" s="87">
        <v>0.756443</v>
      </c>
      <c r="Q1709" s="87">
        <v>5.975839</v>
      </c>
    </row>
    <row r="1710">
      <c r="A1710" s="84" t="s">
        <v>393</v>
      </c>
      <c r="B1710" s="194"/>
      <c r="C1710" s="84" t="s">
        <v>933</v>
      </c>
      <c r="D1710" s="88" t="s">
        <v>1396</v>
      </c>
      <c r="E1710" s="84" t="s">
        <v>3683</v>
      </c>
      <c r="F1710" s="84" t="s">
        <v>428</v>
      </c>
      <c r="G1710" s="84" t="s">
        <v>3568</v>
      </c>
      <c r="H1710" s="84" t="s">
        <v>3521</v>
      </c>
      <c r="I1710" s="84" t="s">
        <v>3693</v>
      </c>
      <c r="J1710" s="91"/>
      <c r="K1710" s="91"/>
      <c r="L1710" s="87">
        <v>336.0</v>
      </c>
      <c r="M1710" s="87">
        <v>0.0</v>
      </c>
      <c r="N1710" s="87">
        <v>3.968254</v>
      </c>
      <c r="O1710" s="87">
        <v>0.416667</v>
      </c>
      <c r="P1710" s="87">
        <v>0.207143</v>
      </c>
      <c r="Q1710" s="87">
        <v>3.927758</v>
      </c>
    </row>
    <row r="1711">
      <c r="A1711" s="84" t="s">
        <v>180</v>
      </c>
      <c r="B1711" s="194"/>
      <c r="C1711" s="84" t="s">
        <v>3528</v>
      </c>
      <c r="D1711" s="88" t="s">
        <v>1396</v>
      </c>
      <c r="E1711" s="84" t="s">
        <v>3683</v>
      </c>
      <c r="F1711" s="84" t="s">
        <v>542</v>
      </c>
      <c r="G1711" s="84" t="s">
        <v>3514</v>
      </c>
      <c r="H1711" s="84" t="s">
        <v>3513</v>
      </c>
      <c r="I1711" s="84" t="s">
        <v>3709</v>
      </c>
      <c r="J1711" s="84" t="s">
        <v>130</v>
      </c>
      <c r="K1711" s="91"/>
      <c r="L1711" s="87">
        <v>288.0</v>
      </c>
      <c r="M1711" s="87">
        <v>0.0</v>
      </c>
      <c r="N1711" s="87">
        <v>1.302632</v>
      </c>
      <c r="O1711" s="87">
        <v>0.0</v>
      </c>
      <c r="P1711" s="87">
        <v>0.0</v>
      </c>
      <c r="Q1711" s="87">
        <v>1.302632</v>
      </c>
    </row>
    <row r="1712">
      <c r="A1712" s="84" t="s">
        <v>472</v>
      </c>
      <c r="B1712" s="194"/>
      <c r="C1712" s="84" t="s">
        <v>1032</v>
      </c>
      <c r="D1712" s="88" t="s">
        <v>1396</v>
      </c>
      <c r="E1712" s="84" t="s">
        <v>3683</v>
      </c>
      <c r="F1712" s="91"/>
      <c r="G1712" s="84" t="s">
        <v>3587</v>
      </c>
      <c r="I1712" s="84" t="s">
        <v>3684</v>
      </c>
      <c r="J1712" s="91"/>
      <c r="K1712" s="91"/>
      <c r="L1712" s="87">
        <v>120.0</v>
      </c>
      <c r="M1712" s="87">
        <v>0.0</v>
      </c>
      <c r="N1712" s="87">
        <v>0.0</v>
      </c>
      <c r="O1712" s="87">
        <v>0.0</v>
      </c>
      <c r="P1712" s="87">
        <v>0.0</v>
      </c>
      <c r="Q1712" s="87">
        <v>0.0</v>
      </c>
    </row>
    <row r="1713">
      <c r="A1713" s="84" t="s">
        <v>107</v>
      </c>
      <c r="B1713" s="194"/>
      <c r="C1713" s="84" t="s">
        <v>123</v>
      </c>
      <c r="D1713" s="88" t="s">
        <v>1396</v>
      </c>
      <c r="E1713" s="84" t="s">
        <v>3683</v>
      </c>
      <c r="F1713" s="84" t="s">
        <v>119</v>
      </c>
      <c r="G1713" s="84" t="s">
        <v>3552</v>
      </c>
      <c r="H1713" s="84" t="s">
        <v>3521</v>
      </c>
      <c r="I1713" s="84" t="s">
        <v>3684</v>
      </c>
      <c r="J1713" s="84" t="s">
        <v>130</v>
      </c>
      <c r="K1713" s="91"/>
      <c r="L1713" s="87">
        <v>24.0</v>
      </c>
      <c r="M1713" s="87">
        <v>0.0</v>
      </c>
      <c r="N1713" s="87">
        <v>0.0</v>
      </c>
      <c r="O1713" s="87">
        <v>0.0</v>
      </c>
      <c r="P1713" s="87">
        <v>0.0</v>
      </c>
      <c r="Q1713" s="87">
        <v>0.0</v>
      </c>
    </row>
    <row r="1714">
      <c r="A1714" s="84" t="s">
        <v>458</v>
      </c>
      <c r="B1714" s="194"/>
      <c r="C1714" s="84" t="s">
        <v>462</v>
      </c>
      <c r="D1714" s="88" t="s">
        <v>1396</v>
      </c>
      <c r="E1714" s="84" t="s">
        <v>3683</v>
      </c>
      <c r="F1714" s="84" t="s">
        <v>457</v>
      </c>
      <c r="G1714" s="84" t="s">
        <v>3560</v>
      </c>
      <c r="H1714" s="84" t="s">
        <v>3521</v>
      </c>
      <c r="I1714" s="84" t="s">
        <v>3684</v>
      </c>
      <c r="J1714" s="84" t="s">
        <v>130</v>
      </c>
      <c r="K1714" s="91"/>
      <c r="L1714" s="87">
        <v>24.0</v>
      </c>
      <c r="M1714" s="87">
        <v>0.0</v>
      </c>
      <c r="N1714" s="87">
        <v>0.0</v>
      </c>
      <c r="O1714" s="87">
        <v>0.0</v>
      </c>
      <c r="P1714" s="87">
        <v>0.0</v>
      </c>
      <c r="Q1714" s="87">
        <v>0.0</v>
      </c>
    </row>
    <row r="1715">
      <c r="A1715" s="84" t="s">
        <v>481</v>
      </c>
      <c r="B1715" s="194"/>
      <c r="C1715" s="84" t="s">
        <v>532</v>
      </c>
      <c r="D1715" s="88" t="s">
        <v>1396</v>
      </c>
      <c r="E1715" s="84" t="s">
        <v>3683</v>
      </c>
      <c r="F1715" s="84" t="s">
        <v>526</v>
      </c>
      <c r="G1715" s="84" t="s">
        <v>3593</v>
      </c>
      <c r="H1715" s="84" t="s">
        <v>3521</v>
      </c>
      <c r="I1715" s="84" t="s">
        <v>3684</v>
      </c>
      <c r="J1715" s="91"/>
      <c r="K1715" s="91"/>
      <c r="L1715" s="87">
        <v>0.0</v>
      </c>
      <c r="M1715" s="87">
        <v>0.0</v>
      </c>
      <c r="N1715" s="87">
        <v>0.0</v>
      </c>
      <c r="O1715" s="87">
        <v>0.571429</v>
      </c>
      <c r="P1715" s="87">
        <v>0.6</v>
      </c>
      <c r="Q1715" s="87">
        <v>0.693098</v>
      </c>
    </row>
    <row r="1716">
      <c r="A1716" s="84" t="s">
        <v>601</v>
      </c>
      <c r="B1716" s="194"/>
      <c r="C1716" s="84" t="s">
        <v>1059</v>
      </c>
      <c r="D1716" s="88" t="s">
        <v>1396</v>
      </c>
      <c r="E1716" s="84" t="s">
        <v>3683</v>
      </c>
      <c r="F1716" s="84" t="s">
        <v>898</v>
      </c>
      <c r="G1716" s="84" t="s">
        <v>3560</v>
      </c>
      <c r="H1716" s="84" t="s">
        <v>3521</v>
      </c>
      <c r="I1716" s="84" t="s">
        <v>3684</v>
      </c>
      <c r="J1716" s="91"/>
      <c r="K1716" s="84" t="s">
        <v>111</v>
      </c>
      <c r="L1716" s="87">
        <v>288.0</v>
      </c>
      <c r="M1716" s="87">
        <v>0.0</v>
      </c>
      <c r="N1716" s="87">
        <v>0.076923</v>
      </c>
      <c r="O1716" s="87">
        <v>0.0</v>
      </c>
      <c r="P1716" s="87">
        <v>0.0</v>
      </c>
      <c r="Q1716" s="87">
        <v>0.076923</v>
      </c>
    </row>
    <row r="1717">
      <c r="A1717" s="84" t="s">
        <v>745</v>
      </c>
      <c r="B1717" s="194"/>
      <c r="C1717" s="84" t="s">
        <v>757</v>
      </c>
      <c r="D1717" s="88" t="s">
        <v>1396</v>
      </c>
      <c r="E1717" s="84" t="s">
        <v>3687</v>
      </c>
      <c r="F1717" s="91"/>
      <c r="G1717" s="84" t="s">
        <v>3604</v>
      </c>
      <c r="H1717" s="84" t="s">
        <v>3521</v>
      </c>
      <c r="I1717" s="84" t="s">
        <v>3684</v>
      </c>
      <c r="J1717" s="84" t="s">
        <v>130</v>
      </c>
      <c r="K1717" s="91"/>
      <c r="L1717" s="87">
        <v>48.0</v>
      </c>
      <c r="M1717" s="87">
        <v>0.0</v>
      </c>
      <c r="N1717" s="87">
        <v>0.0</v>
      </c>
      <c r="O1717" s="87">
        <v>0.0</v>
      </c>
      <c r="P1717" s="87">
        <v>0.0</v>
      </c>
      <c r="Q1717" s="87">
        <v>0.033333</v>
      </c>
    </row>
    <row r="1718">
      <c r="A1718" s="84" t="s">
        <v>393</v>
      </c>
      <c r="B1718" s="194"/>
      <c r="C1718" s="84" t="s">
        <v>422</v>
      </c>
      <c r="D1718" s="88" t="s">
        <v>1396</v>
      </c>
      <c r="E1718" s="84" t="s">
        <v>3687</v>
      </c>
      <c r="F1718" s="84" t="s">
        <v>423</v>
      </c>
      <c r="G1718" s="84" t="s">
        <v>3568</v>
      </c>
      <c r="H1718" s="84" t="s">
        <v>3521</v>
      </c>
      <c r="I1718" s="84" t="s">
        <v>3693</v>
      </c>
      <c r="J1718" s="91"/>
      <c r="K1718" s="84" t="s">
        <v>111</v>
      </c>
      <c r="L1718" s="87">
        <v>96.0</v>
      </c>
      <c r="M1718" s="87">
        <v>0.0</v>
      </c>
      <c r="N1718" s="87">
        <v>0.0</v>
      </c>
      <c r="O1718" s="87">
        <v>0.0</v>
      </c>
      <c r="P1718" s="87">
        <v>0.0</v>
      </c>
      <c r="Q1718" s="87">
        <v>0.0</v>
      </c>
    </row>
    <row r="1719">
      <c r="A1719" s="84" t="s">
        <v>393</v>
      </c>
      <c r="B1719" s="194"/>
      <c r="C1719" s="84" t="s">
        <v>430</v>
      </c>
      <c r="D1719" s="88" t="s">
        <v>1396</v>
      </c>
      <c r="E1719" s="84" t="s">
        <v>3683</v>
      </c>
      <c r="F1719" s="84" t="s">
        <v>431</v>
      </c>
      <c r="G1719" s="84" t="s">
        <v>4114</v>
      </c>
      <c r="H1719" s="84" t="s">
        <v>3521</v>
      </c>
      <c r="I1719" s="84" t="s">
        <v>3693</v>
      </c>
      <c r="J1719" s="84" t="s">
        <v>130</v>
      </c>
      <c r="K1719" s="91"/>
      <c r="L1719" s="87">
        <v>24.0</v>
      </c>
      <c r="M1719" s="87">
        <v>0.0</v>
      </c>
      <c r="N1719" s="87">
        <v>0.0</v>
      </c>
      <c r="O1719" s="87">
        <v>0.0</v>
      </c>
      <c r="P1719" s="87">
        <v>0.0</v>
      </c>
      <c r="Q1719" s="87">
        <v>0.0</v>
      </c>
    </row>
    <row r="1720">
      <c r="A1720" s="84" t="s">
        <v>644</v>
      </c>
      <c r="B1720" s="194"/>
      <c r="C1720" s="84" t="s">
        <v>717</v>
      </c>
      <c r="D1720" s="88" t="s">
        <v>1396</v>
      </c>
      <c r="E1720" s="84" t="s">
        <v>3683</v>
      </c>
      <c r="F1720" s="84" t="s">
        <v>714</v>
      </c>
      <c r="G1720" s="84" t="s">
        <v>3607</v>
      </c>
      <c r="H1720" s="84" t="s">
        <v>3521</v>
      </c>
      <c r="I1720" s="84" t="s">
        <v>3684</v>
      </c>
      <c r="J1720" s="84" t="s">
        <v>215</v>
      </c>
      <c r="K1720" s="84" t="s">
        <v>111</v>
      </c>
      <c r="L1720" s="87">
        <v>48.0</v>
      </c>
      <c r="M1720" s="87">
        <v>0.0</v>
      </c>
      <c r="N1720" s="87">
        <v>0.0</v>
      </c>
      <c r="O1720" s="87">
        <v>0.071429</v>
      </c>
      <c r="P1720" s="87">
        <v>0.033333</v>
      </c>
      <c r="Q1720" s="87">
        <v>0.016667</v>
      </c>
    </row>
    <row r="1721">
      <c r="A1721" s="84" t="s">
        <v>481</v>
      </c>
      <c r="B1721" s="194"/>
      <c r="C1721" s="84" t="s">
        <v>1007</v>
      </c>
      <c r="D1721" s="88" t="s">
        <v>1396</v>
      </c>
      <c r="E1721" s="84" t="s">
        <v>3683</v>
      </c>
      <c r="F1721" s="84" t="s">
        <v>989</v>
      </c>
      <c r="G1721" s="84" t="s">
        <v>3585</v>
      </c>
      <c r="H1721" s="84" t="s">
        <v>3521</v>
      </c>
      <c r="I1721" s="84" t="s">
        <v>3684</v>
      </c>
      <c r="J1721" s="84" t="s">
        <v>130</v>
      </c>
      <c r="K1721" s="91"/>
      <c r="L1721" s="87">
        <v>24.0</v>
      </c>
      <c r="M1721" s="87">
        <v>0.0</v>
      </c>
      <c r="N1721" s="87">
        <v>0.0</v>
      </c>
      <c r="O1721" s="87">
        <v>0.0</v>
      </c>
      <c r="P1721" s="87">
        <v>0.0</v>
      </c>
      <c r="Q1721" s="87">
        <v>0.0</v>
      </c>
    </row>
    <row r="1722">
      <c r="A1722" s="84" t="s">
        <v>180</v>
      </c>
      <c r="B1722" s="194"/>
      <c r="C1722" s="84" t="s">
        <v>831</v>
      </c>
      <c r="D1722" s="88" t="s">
        <v>1396</v>
      </c>
      <c r="E1722" s="84" t="s">
        <v>3683</v>
      </c>
      <c r="F1722" s="84" t="s">
        <v>830</v>
      </c>
      <c r="G1722" s="84" t="s">
        <v>3549</v>
      </c>
      <c r="H1722" s="84" t="s">
        <v>3507</v>
      </c>
      <c r="I1722" s="84" t="s">
        <v>3684</v>
      </c>
      <c r="J1722" s="84" t="s">
        <v>130</v>
      </c>
      <c r="K1722" s="84" t="s">
        <v>111</v>
      </c>
      <c r="L1722" s="87">
        <v>24.0</v>
      </c>
      <c r="M1722" s="87">
        <v>0.0</v>
      </c>
      <c r="N1722" s="87">
        <v>0.0</v>
      </c>
      <c r="O1722" s="87">
        <v>0.0</v>
      </c>
      <c r="P1722" s="87">
        <v>0.0</v>
      </c>
      <c r="Q1722" s="87">
        <v>0.0</v>
      </c>
    </row>
    <row r="1723">
      <c r="A1723" s="84" t="s">
        <v>644</v>
      </c>
      <c r="B1723" s="194"/>
      <c r="C1723" s="84" t="s">
        <v>664</v>
      </c>
      <c r="D1723" s="88" t="s">
        <v>1396</v>
      </c>
      <c r="E1723" s="84" t="s">
        <v>3683</v>
      </c>
      <c r="F1723" s="84" t="s">
        <v>658</v>
      </c>
      <c r="G1723" s="84" t="s">
        <v>3801</v>
      </c>
      <c r="H1723" s="84" t="s">
        <v>3521</v>
      </c>
      <c r="I1723" s="84" t="s">
        <v>3684</v>
      </c>
      <c r="J1723" s="84" t="s">
        <v>130</v>
      </c>
      <c r="K1723" s="84" t="s">
        <v>111</v>
      </c>
      <c r="L1723" s="87">
        <v>24.0</v>
      </c>
      <c r="M1723" s="87">
        <v>0.0</v>
      </c>
      <c r="N1723" s="87">
        <v>0.0</v>
      </c>
      <c r="O1723" s="87">
        <v>0.0</v>
      </c>
      <c r="P1723" s="87">
        <v>0.0</v>
      </c>
      <c r="Q1723" s="87">
        <v>0.0</v>
      </c>
    </row>
    <row r="1724">
      <c r="A1724" s="84" t="s">
        <v>644</v>
      </c>
      <c r="B1724" s="194"/>
      <c r="C1724" s="84" t="s">
        <v>665</v>
      </c>
      <c r="D1724" s="88" t="s">
        <v>1396</v>
      </c>
      <c r="E1724" s="84" t="s">
        <v>3683</v>
      </c>
      <c r="F1724" s="84" t="s">
        <v>658</v>
      </c>
      <c r="G1724" s="84" t="s">
        <v>3801</v>
      </c>
      <c r="H1724" s="84" t="s">
        <v>3521</v>
      </c>
      <c r="I1724" s="84" t="s">
        <v>3684</v>
      </c>
      <c r="J1724" s="84" t="s">
        <v>130</v>
      </c>
      <c r="K1724" s="84" t="s">
        <v>111</v>
      </c>
      <c r="L1724" s="87">
        <v>24.0</v>
      </c>
      <c r="M1724" s="87">
        <v>0.0</v>
      </c>
      <c r="N1724" s="87">
        <v>0.0</v>
      </c>
      <c r="O1724" s="87">
        <v>0.0</v>
      </c>
      <c r="P1724" s="87">
        <v>0.0</v>
      </c>
      <c r="Q1724" s="87">
        <v>0.0</v>
      </c>
    </row>
    <row r="1725">
      <c r="A1725" s="84" t="s">
        <v>1122</v>
      </c>
      <c r="B1725" s="194"/>
      <c r="C1725" s="84" t="s">
        <v>1120</v>
      </c>
      <c r="D1725" s="88" t="s">
        <v>1396</v>
      </c>
      <c r="E1725" s="84" t="s">
        <v>3687</v>
      </c>
      <c r="F1725" s="91"/>
      <c r="G1725" s="84" t="s">
        <v>3603</v>
      </c>
      <c r="H1725" s="84" t="s">
        <v>3521</v>
      </c>
      <c r="I1725" s="84" t="s">
        <v>3684</v>
      </c>
      <c r="J1725" s="84" t="s">
        <v>130</v>
      </c>
      <c r="K1725" s="91"/>
      <c r="L1725" s="87">
        <v>72.0</v>
      </c>
      <c r="M1725" s="87">
        <v>0.0</v>
      </c>
      <c r="N1725" s="87">
        <v>0.0</v>
      </c>
      <c r="O1725" s="87">
        <v>0.0</v>
      </c>
      <c r="P1725" s="87">
        <v>0.0</v>
      </c>
      <c r="Q1725" s="87">
        <v>0.0</v>
      </c>
    </row>
    <row r="1726">
      <c r="A1726" s="84" t="s">
        <v>644</v>
      </c>
      <c r="B1726" s="194"/>
      <c r="C1726" s="84" t="s">
        <v>1183</v>
      </c>
      <c r="D1726" s="88" t="s">
        <v>1396</v>
      </c>
      <c r="E1726" s="84" t="s">
        <v>3683</v>
      </c>
      <c r="F1726" s="84" t="s">
        <v>686</v>
      </c>
      <c r="G1726" s="84" t="s">
        <v>3600</v>
      </c>
      <c r="H1726" s="84" t="s">
        <v>3521</v>
      </c>
      <c r="I1726" s="84" t="s">
        <v>3684</v>
      </c>
      <c r="J1726" s="91"/>
      <c r="K1726" s="91"/>
      <c r="L1726" s="87">
        <v>0.0</v>
      </c>
      <c r="M1726" s="87">
        <v>0.0</v>
      </c>
      <c r="N1726" s="87">
        <v>0.0</v>
      </c>
      <c r="O1726" s="87">
        <v>0.214286</v>
      </c>
      <c r="P1726" s="87">
        <v>0.1</v>
      </c>
      <c r="Q1726" s="87">
        <v>0.05</v>
      </c>
    </row>
    <row r="1727">
      <c r="A1727" s="84" t="s">
        <v>644</v>
      </c>
      <c r="B1727" s="194"/>
      <c r="C1727" s="84" t="s">
        <v>1259</v>
      </c>
      <c r="D1727" s="88" t="s">
        <v>1396</v>
      </c>
      <c r="E1727" s="84" t="s">
        <v>3683</v>
      </c>
      <c r="F1727" s="84" t="s">
        <v>1260</v>
      </c>
      <c r="G1727" s="84" t="s">
        <v>3608</v>
      </c>
      <c r="H1727" s="84" t="s">
        <v>3521</v>
      </c>
      <c r="I1727" s="84" t="s">
        <v>3684</v>
      </c>
      <c r="J1727" s="84" t="s">
        <v>130</v>
      </c>
      <c r="K1727" s="84" t="s">
        <v>111</v>
      </c>
      <c r="L1727" s="87">
        <v>24.0</v>
      </c>
      <c r="M1727" s="87">
        <v>0.0</v>
      </c>
      <c r="N1727" s="87">
        <v>0.0</v>
      </c>
      <c r="O1727" s="87">
        <v>0.0</v>
      </c>
      <c r="P1727" s="87">
        <v>0.0</v>
      </c>
      <c r="Q1727" s="87">
        <v>0.0</v>
      </c>
    </row>
    <row r="1728">
      <c r="A1728" s="84" t="s">
        <v>393</v>
      </c>
      <c r="B1728" s="194"/>
      <c r="C1728" s="84" t="s">
        <v>429</v>
      </c>
      <c r="D1728" s="88" t="s">
        <v>1396</v>
      </c>
      <c r="E1728" s="84" t="s">
        <v>3687</v>
      </c>
      <c r="F1728" s="84" t="s">
        <v>428</v>
      </c>
      <c r="G1728" s="84" t="s">
        <v>3568</v>
      </c>
      <c r="I1728" s="84" t="s">
        <v>3693</v>
      </c>
      <c r="J1728" s="84" t="s">
        <v>130</v>
      </c>
      <c r="K1728" s="91"/>
      <c r="L1728" s="87">
        <v>0.0</v>
      </c>
      <c r="M1728" s="87">
        <v>0.0</v>
      </c>
      <c r="N1728" s="87">
        <v>0.0</v>
      </c>
      <c r="O1728" s="87">
        <v>0.0</v>
      </c>
      <c r="P1728" s="87">
        <v>0.0</v>
      </c>
      <c r="Q1728" s="87">
        <v>0.0</v>
      </c>
    </row>
    <row r="1729">
      <c r="A1729" s="84" t="s">
        <v>180</v>
      </c>
      <c r="B1729" s="194"/>
      <c r="C1729" s="84" t="s">
        <v>835</v>
      </c>
      <c r="D1729" s="88" t="s">
        <v>1396</v>
      </c>
      <c r="E1729" s="84" t="s">
        <v>3683</v>
      </c>
      <c r="F1729" s="84" t="s">
        <v>836</v>
      </c>
      <c r="G1729" s="84" t="s">
        <v>3550</v>
      </c>
      <c r="H1729" s="84" t="s">
        <v>3507</v>
      </c>
      <c r="I1729" s="84" t="s">
        <v>3684</v>
      </c>
      <c r="J1729" s="91"/>
      <c r="K1729" s="91"/>
      <c r="L1729" s="87">
        <v>240.0</v>
      </c>
      <c r="M1729" s="87">
        <v>0.0</v>
      </c>
      <c r="N1729" s="87">
        <v>0.397222</v>
      </c>
      <c r="O1729" s="87">
        <v>0.811508</v>
      </c>
      <c r="P1729" s="87">
        <v>0.310911</v>
      </c>
      <c r="Q1729" s="87">
        <v>0.696678</v>
      </c>
    </row>
    <row r="1730">
      <c r="A1730" s="84" t="s">
        <v>481</v>
      </c>
      <c r="B1730" s="194"/>
      <c r="C1730" s="84" t="s">
        <v>523</v>
      </c>
      <c r="D1730" s="88" t="s">
        <v>1396</v>
      </c>
      <c r="E1730" s="84" t="s">
        <v>3683</v>
      </c>
      <c r="F1730" s="84" t="s">
        <v>516</v>
      </c>
      <c r="G1730" s="84" t="s">
        <v>3593</v>
      </c>
      <c r="H1730" s="84" t="s">
        <v>3521</v>
      </c>
      <c r="I1730" s="84" t="s">
        <v>3684</v>
      </c>
      <c r="J1730" s="91"/>
      <c r="K1730" s="91"/>
      <c r="L1730" s="87">
        <v>24.0</v>
      </c>
      <c r="M1730" s="87">
        <v>0.0</v>
      </c>
      <c r="N1730" s="87">
        <v>0.372727</v>
      </c>
      <c r="O1730" s="87">
        <v>0.944156</v>
      </c>
      <c r="P1730" s="87">
        <v>0.649573</v>
      </c>
      <c r="Q1730" s="87">
        <v>0.526822</v>
      </c>
    </row>
    <row r="1731">
      <c r="A1731" s="84" t="s">
        <v>458</v>
      </c>
      <c r="B1731" s="194"/>
      <c r="C1731" s="84" t="s">
        <v>463</v>
      </c>
      <c r="D1731" s="88" t="s">
        <v>1396</v>
      </c>
      <c r="E1731" s="84" t="s">
        <v>3683</v>
      </c>
      <c r="F1731" s="84" t="s">
        <v>457</v>
      </c>
      <c r="G1731" s="84" t="s">
        <v>3560</v>
      </c>
      <c r="I1731" s="84" t="s">
        <v>3684</v>
      </c>
      <c r="J1731" s="91"/>
      <c r="K1731" s="91"/>
      <c r="L1731" s="87">
        <v>552.0</v>
      </c>
      <c r="M1731" s="87">
        <v>0.0</v>
      </c>
      <c r="N1731" s="87">
        <v>0.0</v>
      </c>
      <c r="O1731" s="87">
        <v>0.0</v>
      </c>
      <c r="P1731" s="87">
        <v>0.0</v>
      </c>
      <c r="Q1731" s="87">
        <v>0.0</v>
      </c>
    </row>
    <row r="1732">
      <c r="A1732" s="84" t="s">
        <v>616</v>
      </c>
      <c r="B1732" s="194"/>
      <c r="C1732" s="84" t="s">
        <v>1081</v>
      </c>
      <c r="D1732" s="88" t="s">
        <v>1396</v>
      </c>
      <c r="E1732" s="84" t="s">
        <v>3683</v>
      </c>
      <c r="F1732" s="84" t="s">
        <v>1075</v>
      </c>
      <c r="G1732" s="84" t="s">
        <v>3542</v>
      </c>
      <c r="H1732" s="84" t="s">
        <v>3521</v>
      </c>
      <c r="I1732" s="84" t="s">
        <v>3684</v>
      </c>
      <c r="J1732" s="91"/>
      <c r="K1732" s="84" t="s">
        <v>111</v>
      </c>
      <c r="L1732" s="87">
        <v>480.0</v>
      </c>
      <c r="M1732" s="87">
        <v>0.0</v>
      </c>
      <c r="N1732" s="87">
        <v>0.324675</v>
      </c>
      <c r="O1732" s="87">
        <v>0.142857</v>
      </c>
      <c r="P1732" s="87">
        <v>0.31039</v>
      </c>
      <c r="Q1732" s="87">
        <v>0.171919</v>
      </c>
    </row>
    <row r="1733">
      <c r="A1733" s="84" t="s">
        <v>139</v>
      </c>
      <c r="B1733" s="194"/>
      <c r="C1733" s="84" t="s">
        <v>789</v>
      </c>
      <c r="D1733" s="88" t="s">
        <v>1396</v>
      </c>
      <c r="E1733" s="84" t="s">
        <v>3683</v>
      </c>
      <c r="F1733" s="84" t="s">
        <v>787</v>
      </c>
      <c r="G1733" s="84" t="s">
        <v>4085</v>
      </c>
      <c r="H1733" s="84" t="s">
        <v>3521</v>
      </c>
      <c r="I1733" s="84" t="s">
        <v>3684</v>
      </c>
      <c r="J1733" s="84" t="s">
        <v>130</v>
      </c>
      <c r="K1733" s="91"/>
      <c r="L1733" s="87">
        <v>576.0</v>
      </c>
      <c r="M1733" s="87">
        <v>0.0</v>
      </c>
      <c r="N1733" s="87">
        <v>10.87972</v>
      </c>
      <c r="O1733" s="87">
        <v>0.0</v>
      </c>
      <c r="P1733" s="87">
        <v>0.166667</v>
      </c>
      <c r="Q1733" s="87">
        <v>10.93599</v>
      </c>
    </row>
    <row r="1734">
      <c r="A1734" s="84" t="s">
        <v>439</v>
      </c>
      <c r="B1734" s="194"/>
      <c r="C1734" s="84" t="s">
        <v>1301</v>
      </c>
      <c r="D1734" s="88" t="s">
        <v>1396</v>
      </c>
      <c r="E1734" s="84" t="s">
        <v>3687</v>
      </c>
      <c r="F1734" s="84" t="s">
        <v>938</v>
      </c>
      <c r="G1734" s="84" t="s">
        <v>3859</v>
      </c>
      <c r="I1734" s="84" t="s">
        <v>3709</v>
      </c>
      <c r="J1734" s="91"/>
      <c r="K1734" s="91"/>
      <c r="L1734" s="87">
        <v>480.0</v>
      </c>
      <c r="M1734" s="87">
        <v>0.0</v>
      </c>
      <c r="N1734" s="87">
        <v>0.0</v>
      </c>
      <c r="O1734" s="87">
        <v>0.0</v>
      </c>
      <c r="P1734" s="87">
        <v>0.0</v>
      </c>
      <c r="Q1734" s="87">
        <v>0.0</v>
      </c>
    </row>
    <row r="1735">
      <c r="A1735" s="84" t="s">
        <v>644</v>
      </c>
      <c r="B1735" s="194"/>
      <c r="C1735" s="84" t="s">
        <v>650</v>
      </c>
      <c r="D1735" s="88" t="s">
        <v>1396</v>
      </c>
      <c r="E1735" s="84" t="s">
        <v>3683</v>
      </c>
      <c r="F1735" s="84" t="s">
        <v>651</v>
      </c>
      <c r="G1735" s="84" t="s">
        <v>3723</v>
      </c>
      <c r="H1735" s="91"/>
      <c r="I1735" s="84" t="s">
        <v>3684</v>
      </c>
      <c r="J1735" s="91"/>
      <c r="K1735" s="91"/>
      <c r="L1735" s="87">
        <v>552.0</v>
      </c>
      <c r="M1735" s="87">
        <v>0.0</v>
      </c>
      <c r="N1735" s="87">
        <v>0.0</v>
      </c>
      <c r="O1735" s="87">
        <v>0.0</v>
      </c>
      <c r="P1735" s="87">
        <v>0.0</v>
      </c>
      <c r="Q1735" s="87">
        <v>0.0</v>
      </c>
    </row>
    <row r="1736">
      <c r="A1736" s="84" t="s">
        <v>393</v>
      </c>
      <c r="B1736" s="194"/>
      <c r="C1736" s="84" t="s">
        <v>3642</v>
      </c>
      <c r="D1736" s="88" t="s">
        <v>1396</v>
      </c>
      <c r="E1736" s="84" t="s">
        <v>3687</v>
      </c>
      <c r="F1736" s="84" t="s">
        <v>3814</v>
      </c>
      <c r="G1736" s="84" t="s">
        <v>3815</v>
      </c>
      <c r="H1736" s="84" t="s">
        <v>3521</v>
      </c>
      <c r="I1736" s="84" t="s">
        <v>3693</v>
      </c>
      <c r="J1736" s="91"/>
      <c r="K1736" s="91"/>
      <c r="L1736" s="87">
        <v>24.0</v>
      </c>
      <c r="M1736" s="87">
        <v>1.0</v>
      </c>
      <c r="N1736" s="87">
        <v>0.21978</v>
      </c>
      <c r="O1736" s="87">
        <v>1.098901</v>
      </c>
      <c r="P1736" s="87">
        <v>1.082923</v>
      </c>
      <c r="Q1736" s="87">
        <v>0.975161</v>
      </c>
    </row>
    <row r="1737">
      <c r="A1737" s="84" t="s">
        <v>644</v>
      </c>
      <c r="B1737" s="194"/>
      <c r="C1737" s="84" t="s">
        <v>1271</v>
      </c>
      <c r="D1737" s="88" t="s">
        <v>1396</v>
      </c>
      <c r="E1737" s="91"/>
      <c r="F1737" s="84" t="s">
        <v>1229</v>
      </c>
      <c r="G1737" s="84" t="s">
        <v>3551</v>
      </c>
      <c r="I1737" s="84" t="s">
        <v>3684</v>
      </c>
      <c r="J1737" s="91"/>
      <c r="K1737" s="91"/>
      <c r="L1737" s="87">
        <v>456.0</v>
      </c>
      <c r="M1737" s="87">
        <v>0.0</v>
      </c>
      <c r="N1737" s="87">
        <v>0.0</v>
      </c>
      <c r="O1737" s="87">
        <v>0.0</v>
      </c>
      <c r="P1737" s="87">
        <v>0.0</v>
      </c>
      <c r="Q1737" s="87">
        <v>0.0</v>
      </c>
    </row>
    <row r="1738">
      <c r="A1738" s="84" t="s">
        <v>258</v>
      </c>
      <c r="B1738" s="194"/>
      <c r="C1738" s="84" t="s">
        <v>901</v>
      </c>
      <c r="D1738" s="88" t="s">
        <v>1396</v>
      </c>
      <c r="E1738" s="84" t="s">
        <v>3683</v>
      </c>
      <c r="F1738" s="84" t="s">
        <v>898</v>
      </c>
      <c r="G1738" s="84" t="s">
        <v>3560</v>
      </c>
      <c r="H1738" s="84" t="s">
        <v>3521</v>
      </c>
      <c r="I1738" s="84" t="s">
        <v>3684</v>
      </c>
      <c r="J1738" s="91"/>
      <c r="K1738" s="84" t="s">
        <v>111</v>
      </c>
      <c r="L1738" s="87">
        <v>312.0</v>
      </c>
      <c r="M1738" s="87">
        <v>0.0</v>
      </c>
      <c r="N1738" s="87">
        <v>0.583333</v>
      </c>
      <c r="O1738" s="87">
        <v>0.0</v>
      </c>
      <c r="P1738" s="87">
        <v>0.0</v>
      </c>
      <c r="Q1738" s="87">
        <v>0.583333</v>
      </c>
    </row>
    <row r="1739">
      <c r="A1739" s="84" t="s">
        <v>644</v>
      </c>
      <c r="B1739" s="194"/>
      <c r="C1739" s="84" t="s">
        <v>730</v>
      </c>
      <c r="D1739" s="88" t="s">
        <v>1396</v>
      </c>
      <c r="E1739" s="84" t="s">
        <v>3687</v>
      </c>
      <c r="F1739" s="84" t="s">
        <v>729</v>
      </c>
      <c r="G1739" s="84" t="s">
        <v>3752</v>
      </c>
      <c r="H1739" s="84" t="s">
        <v>3521</v>
      </c>
      <c r="I1739" s="84" t="s">
        <v>3684</v>
      </c>
      <c r="J1739" s="84" t="s">
        <v>130</v>
      </c>
      <c r="K1739" s="91"/>
      <c r="L1739" s="87">
        <v>24.0</v>
      </c>
      <c r="M1739" s="87">
        <v>0.0</v>
      </c>
      <c r="N1739" s="87">
        <v>0.0</v>
      </c>
      <c r="O1739" s="87">
        <v>0.0</v>
      </c>
      <c r="P1739" s="87">
        <v>0.0</v>
      </c>
      <c r="Q1739" s="87">
        <v>0.033333</v>
      </c>
    </row>
    <row r="1740">
      <c r="A1740" s="84" t="s">
        <v>107</v>
      </c>
      <c r="B1740" s="194"/>
      <c r="C1740" s="84" t="s">
        <v>125</v>
      </c>
      <c r="D1740" s="88" t="s">
        <v>1396</v>
      </c>
      <c r="E1740" s="84" t="s">
        <v>3683</v>
      </c>
      <c r="F1740" s="84" t="s">
        <v>119</v>
      </c>
      <c r="G1740" s="84" t="s">
        <v>3552</v>
      </c>
      <c r="H1740" s="84" t="s">
        <v>3521</v>
      </c>
      <c r="I1740" s="84" t="s">
        <v>3684</v>
      </c>
      <c r="J1740" s="84" t="s">
        <v>130</v>
      </c>
      <c r="K1740" s="91"/>
      <c r="L1740" s="87">
        <v>24.0</v>
      </c>
      <c r="M1740" s="87">
        <v>0.0</v>
      </c>
      <c r="N1740" s="87">
        <v>0.0</v>
      </c>
      <c r="O1740" s="87">
        <v>0.0</v>
      </c>
      <c r="P1740" s="87">
        <v>0.0</v>
      </c>
      <c r="Q1740" s="87">
        <v>0.0</v>
      </c>
    </row>
    <row r="1741">
      <c r="A1741" s="84" t="s">
        <v>1122</v>
      </c>
      <c r="B1741" s="194"/>
      <c r="C1741" s="84" t="s">
        <v>1120</v>
      </c>
      <c r="D1741" s="88" t="s">
        <v>1396</v>
      </c>
      <c r="E1741" s="84" t="s">
        <v>3687</v>
      </c>
      <c r="F1741" s="91"/>
      <c r="G1741" s="84" t="s">
        <v>3603</v>
      </c>
      <c r="H1741" s="84" t="s">
        <v>3521</v>
      </c>
      <c r="I1741" s="84" t="s">
        <v>3684</v>
      </c>
      <c r="J1741" s="84" t="s">
        <v>89</v>
      </c>
      <c r="K1741" s="91"/>
      <c r="L1741" s="87">
        <v>0.0</v>
      </c>
      <c r="M1741" s="87">
        <v>1.0</v>
      </c>
      <c r="N1741" s="87">
        <v>0.0</v>
      </c>
      <c r="O1741" s="87">
        <v>0.214286</v>
      </c>
      <c r="P1741" s="87">
        <v>0.233333</v>
      </c>
      <c r="Q1741" s="87">
        <v>0.152785</v>
      </c>
    </row>
    <row r="1742">
      <c r="A1742" s="84" t="s">
        <v>341</v>
      </c>
      <c r="B1742" s="194"/>
      <c r="C1742" s="84" t="s">
        <v>344</v>
      </c>
      <c r="D1742" s="88" t="s">
        <v>1396</v>
      </c>
      <c r="E1742" s="91"/>
      <c r="F1742" s="84" t="s">
        <v>340</v>
      </c>
      <c r="G1742" s="84" t="s">
        <v>4007</v>
      </c>
      <c r="H1742" s="84" t="s">
        <v>3521</v>
      </c>
      <c r="I1742" s="84" t="s">
        <v>3962</v>
      </c>
      <c r="J1742" s="91"/>
      <c r="K1742" s="84" t="s">
        <v>111</v>
      </c>
      <c r="L1742" s="87">
        <v>552.0</v>
      </c>
      <c r="M1742" s="87">
        <v>0.0</v>
      </c>
      <c r="N1742" s="87">
        <v>0.0</v>
      </c>
      <c r="O1742" s="87">
        <v>0.0</v>
      </c>
      <c r="P1742" s="87">
        <v>0.0</v>
      </c>
      <c r="Q1742" s="87">
        <v>0.0</v>
      </c>
    </row>
    <row r="1743">
      <c r="A1743" s="84" t="s">
        <v>644</v>
      </c>
      <c r="B1743" s="194"/>
      <c r="C1743" s="84" t="s">
        <v>739</v>
      </c>
      <c r="D1743" s="88" t="s">
        <v>1396</v>
      </c>
      <c r="E1743" s="91"/>
      <c r="F1743" s="84" t="s">
        <v>144</v>
      </c>
      <c r="G1743" s="84" t="s">
        <v>3700</v>
      </c>
      <c r="I1743" s="84" t="s">
        <v>3684</v>
      </c>
      <c r="J1743" s="91"/>
      <c r="K1743" s="91"/>
      <c r="L1743" s="87">
        <v>480.0</v>
      </c>
      <c r="M1743" s="87">
        <v>0.0</v>
      </c>
      <c r="N1743" s="87">
        <v>0.0</v>
      </c>
      <c r="O1743" s="87">
        <v>0.0</v>
      </c>
      <c r="P1743" s="87">
        <v>0.0</v>
      </c>
      <c r="Q1743" s="87">
        <v>0.0</v>
      </c>
    </row>
    <row r="1744">
      <c r="A1744" s="84" t="s">
        <v>439</v>
      </c>
      <c r="B1744" s="194"/>
      <c r="C1744" s="84" t="s">
        <v>4214</v>
      </c>
      <c r="D1744" s="88" t="s">
        <v>1396</v>
      </c>
      <c r="E1744" s="84" t="s">
        <v>3683</v>
      </c>
      <c r="F1744" s="84" t="s">
        <v>3714</v>
      </c>
      <c r="G1744" s="84" t="s">
        <v>3715</v>
      </c>
      <c r="H1744" s="84" t="s">
        <v>3527</v>
      </c>
      <c r="I1744" s="84" t="s">
        <v>3684</v>
      </c>
      <c r="J1744" s="84" t="s">
        <v>130</v>
      </c>
      <c r="K1744" s="91"/>
      <c r="L1744" s="87">
        <v>720.0</v>
      </c>
      <c r="M1744" s="87">
        <v>0.0</v>
      </c>
      <c r="N1744" s="87">
        <v>4.129229</v>
      </c>
      <c r="O1744" s="87">
        <v>0.0</v>
      </c>
      <c r="P1744" s="87">
        <v>0.0</v>
      </c>
      <c r="Q1744" s="87">
        <v>4.129229</v>
      </c>
    </row>
    <row r="1745">
      <c r="A1745" s="84" t="s">
        <v>107</v>
      </c>
      <c r="B1745" s="194"/>
      <c r="C1745" s="84" t="s">
        <v>105</v>
      </c>
      <c r="D1745" s="88" t="s">
        <v>1396</v>
      </c>
      <c r="E1745" s="84" t="s">
        <v>3683</v>
      </c>
      <c r="F1745" s="84" t="s">
        <v>106</v>
      </c>
      <c r="G1745" s="84" t="s">
        <v>3552</v>
      </c>
      <c r="H1745" s="84" t="s">
        <v>3521</v>
      </c>
      <c r="I1745" s="84" t="s">
        <v>3684</v>
      </c>
      <c r="J1745" s="91"/>
      <c r="K1745" s="84" t="s">
        <v>111</v>
      </c>
      <c r="L1745" s="87">
        <v>552.0</v>
      </c>
      <c r="M1745" s="87">
        <v>0.0</v>
      </c>
      <c r="N1745" s="87">
        <v>0.0</v>
      </c>
      <c r="O1745" s="87">
        <v>0.0</v>
      </c>
      <c r="P1745" s="87">
        <v>0.0</v>
      </c>
      <c r="Q1745" s="87">
        <v>0.0</v>
      </c>
    </row>
    <row r="1746">
      <c r="A1746" s="84" t="s">
        <v>258</v>
      </c>
      <c r="B1746" s="194"/>
      <c r="C1746" s="84" t="s">
        <v>911</v>
      </c>
      <c r="D1746" s="88" t="s">
        <v>1396</v>
      </c>
      <c r="E1746" s="84" t="s">
        <v>3683</v>
      </c>
      <c r="F1746" s="84" t="s">
        <v>909</v>
      </c>
      <c r="G1746" s="84" t="s">
        <v>3562</v>
      </c>
      <c r="H1746" s="84" t="s">
        <v>3521</v>
      </c>
      <c r="I1746" s="84" t="s">
        <v>3684</v>
      </c>
      <c r="J1746" s="84" t="s">
        <v>130</v>
      </c>
      <c r="K1746" s="91"/>
      <c r="L1746" s="87">
        <v>24.0</v>
      </c>
      <c r="M1746" s="87">
        <v>0.0</v>
      </c>
      <c r="N1746" s="87">
        <v>0.0</v>
      </c>
      <c r="O1746" s="87">
        <v>0.0</v>
      </c>
      <c r="P1746" s="87">
        <v>0.0</v>
      </c>
      <c r="Q1746" s="87">
        <v>0.0</v>
      </c>
    </row>
    <row r="1747">
      <c r="A1747" s="84" t="s">
        <v>393</v>
      </c>
      <c r="B1747" s="194"/>
      <c r="C1747" s="84" t="s">
        <v>401</v>
      </c>
      <c r="D1747" s="88" t="s">
        <v>1396</v>
      </c>
      <c r="E1747" s="84" t="s">
        <v>3687</v>
      </c>
      <c r="F1747" s="84" t="s">
        <v>402</v>
      </c>
      <c r="G1747" s="84" t="s">
        <v>3698</v>
      </c>
      <c r="I1747" s="84" t="s">
        <v>3693</v>
      </c>
      <c r="J1747" s="91"/>
      <c r="K1747" s="91"/>
      <c r="L1747" s="87">
        <v>552.0</v>
      </c>
      <c r="M1747" s="87">
        <v>0.0</v>
      </c>
      <c r="N1747" s="87">
        <v>0.0</v>
      </c>
      <c r="O1747" s="87">
        <v>0.0</v>
      </c>
      <c r="P1747" s="87">
        <v>0.0</v>
      </c>
      <c r="Q1747" s="87">
        <v>0.0</v>
      </c>
    </row>
    <row r="1748">
      <c r="A1748" s="84" t="s">
        <v>472</v>
      </c>
      <c r="B1748" s="194"/>
      <c r="C1748" s="84" t="s">
        <v>1030</v>
      </c>
      <c r="D1748" s="88" t="s">
        <v>1396</v>
      </c>
      <c r="E1748" s="84" t="s">
        <v>3687</v>
      </c>
      <c r="F1748" s="91"/>
      <c r="G1748" s="84" t="s">
        <v>3587</v>
      </c>
      <c r="H1748" s="84" t="s">
        <v>3521</v>
      </c>
      <c r="I1748" s="84" t="s">
        <v>3684</v>
      </c>
      <c r="J1748" s="84" t="s">
        <v>130</v>
      </c>
      <c r="K1748" s="91"/>
      <c r="L1748" s="87">
        <v>264.0</v>
      </c>
      <c r="M1748" s="87">
        <v>0.0</v>
      </c>
      <c r="N1748" s="87">
        <v>0.283333</v>
      </c>
      <c r="O1748" s="87">
        <v>0.0</v>
      </c>
      <c r="P1748" s="87">
        <v>0.0</v>
      </c>
      <c r="Q1748" s="87">
        <v>0.300877</v>
      </c>
    </row>
    <row r="1749">
      <c r="A1749" s="84" t="s">
        <v>472</v>
      </c>
      <c r="B1749" s="194"/>
      <c r="C1749" s="84" t="s">
        <v>979</v>
      </c>
      <c r="D1749" s="88" t="s">
        <v>1396</v>
      </c>
      <c r="E1749" s="84" t="s">
        <v>3897</v>
      </c>
      <c r="F1749" s="84" t="s">
        <v>980</v>
      </c>
      <c r="G1749" s="84" t="s">
        <v>3556</v>
      </c>
      <c r="H1749" s="84" t="s">
        <v>3507</v>
      </c>
      <c r="I1749" s="84" t="s">
        <v>3684</v>
      </c>
      <c r="J1749" s="91"/>
      <c r="K1749" s="91"/>
      <c r="L1749" s="87">
        <v>768.0</v>
      </c>
      <c r="M1749" s="87">
        <v>0.0</v>
      </c>
      <c r="N1749" s="87">
        <v>0.0</v>
      </c>
      <c r="O1749" s="87">
        <v>0.0</v>
      </c>
      <c r="P1749" s="87">
        <v>0.0</v>
      </c>
      <c r="Q1749" s="87">
        <v>0.029412</v>
      </c>
    </row>
    <row r="1750">
      <c r="A1750" s="84" t="s">
        <v>644</v>
      </c>
      <c r="B1750" s="194"/>
      <c r="C1750" s="84" t="s">
        <v>655</v>
      </c>
      <c r="D1750" s="88" t="s">
        <v>1396</v>
      </c>
      <c r="E1750" s="84" t="s">
        <v>3683</v>
      </c>
      <c r="F1750" s="84" t="s">
        <v>651</v>
      </c>
      <c r="G1750" s="84" t="s">
        <v>3723</v>
      </c>
      <c r="H1750" s="91"/>
      <c r="I1750" s="84" t="s">
        <v>3684</v>
      </c>
      <c r="J1750" s="91"/>
      <c r="K1750" s="91"/>
      <c r="L1750" s="87">
        <v>552.0</v>
      </c>
      <c r="M1750" s="87">
        <v>0.0</v>
      </c>
      <c r="N1750" s="87">
        <v>0.0</v>
      </c>
      <c r="O1750" s="87">
        <v>0.0</v>
      </c>
      <c r="P1750" s="87">
        <v>0.0</v>
      </c>
      <c r="Q1750" s="87">
        <v>0.0</v>
      </c>
    </row>
    <row r="1751">
      <c r="A1751" s="84" t="s">
        <v>644</v>
      </c>
      <c r="B1751" s="194"/>
      <c r="C1751" s="84" t="s">
        <v>1264</v>
      </c>
      <c r="D1751" s="88" t="s">
        <v>1396</v>
      </c>
      <c r="E1751" s="84" t="s">
        <v>3683</v>
      </c>
      <c r="F1751" s="84" t="s">
        <v>682</v>
      </c>
      <c r="G1751" s="84" t="s">
        <v>3563</v>
      </c>
      <c r="H1751" s="84" t="s">
        <v>3521</v>
      </c>
      <c r="I1751" s="84" t="s">
        <v>3684</v>
      </c>
      <c r="J1751" s="91"/>
      <c r="K1751" s="84" t="s">
        <v>111</v>
      </c>
      <c r="L1751" s="87">
        <v>624.0</v>
      </c>
      <c r="M1751" s="87">
        <v>0.0</v>
      </c>
      <c r="N1751" s="87">
        <v>0.0</v>
      </c>
      <c r="O1751" s="87">
        <v>0.0</v>
      </c>
      <c r="P1751" s="87">
        <v>0.0</v>
      </c>
      <c r="Q1751" s="87">
        <v>0.0</v>
      </c>
    </row>
    <row r="1752">
      <c r="A1752" s="84" t="s">
        <v>644</v>
      </c>
      <c r="B1752" s="194"/>
      <c r="C1752" s="84" t="s">
        <v>649</v>
      </c>
      <c r="D1752" s="88" t="s">
        <v>1396</v>
      </c>
      <c r="E1752" s="84" t="s">
        <v>3683</v>
      </c>
      <c r="F1752" s="84" t="s">
        <v>643</v>
      </c>
      <c r="G1752" s="84" t="s">
        <v>3734</v>
      </c>
      <c r="I1752" s="84" t="s">
        <v>3684</v>
      </c>
      <c r="J1752" s="91"/>
      <c r="K1752" s="91"/>
      <c r="L1752" s="87">
        <v>144.0</v>
      </c>
      <c r="M1752" s="87">
        <v>0.0</v>
      </c>
      <c r="N1752" s="87">
        <v>0.0</v>
      </c>
      <c r="O1752" s="87">
        <v>0.0</v>
      </c>
      <c r="P1752" s="87">
        <v>0.0</v>
      </c>
      <c r="Q1752" s="87">
        <v>0.0</v>
      </c>
    </row>
    <row r="1753">
      <c r="A1753" s="84" t="s">
        <v>644</v>
      </c>
      <c r="B1753" s="194"/>
      <c r="C1753" s="84" t="s">
        <v>1165</v>
      </c>
      <c r="D1753" s="88" t="s">
        <v>1396</v>
      </c>
      <c r="E1753" s="84" t="s">
        <v>3683</v>
      </c>
      <c r="F1753" s="84" t="s">
        <v>1166</v>
      </c>
      <c r="G1753" s="84" t="s">
        <v>3564</v>
      </c>
      <c r="I1753" s="84" t="s">
        <v>3684</v>
      </c>
      <c r="J1753" s="91"/>
      <c r="K1753" s="91"/>
      <c r="L1753" s="87">
        <v>0.0</v>
      </c>
      <c r="M1753" s="87">
        <v>0.0</v>
      </c>
      <c r="N1753" s="87">
        <v>0.0</v>
      </c>
      <c r="O1753" s="87">
        <v>0.0</v>
      </c>
      <c r="P1753" s="87">
        <v>0.0</v>
      </c>
      <c r="Q1753" s="87">
        <v>0.0</v>
      </c>
    </row>
    <row r="1754">
      <c r="A1754" s="84" t="s">
        <v>644</v>
      </c>
      <c r="B1754" s="194"/>
      <c r="C1754" s="84" t="s">
        <v>687</v>
      </c>
      <c r="D1754" s="88" t="s">
        <v>1396</v>
      </c>
      <c r="E1754" s="84" t="s">
        <v>3687</v>
      </c>
      <c r="F1754" s="84" t="s">
        <v>686</v>
      </c>
      <c r="G1754" s="84" t="s">
        <v>3607</v>
      </c>
      <c r="H1754" s="84" t="s">
        <v>3521</v>
      </c>
      <c r="I1754" s="84" t="s">
        <v>3684</v>
      </c>
      <c r="J1754" s="84" t="s">
        <v>130</v>
      </c>
      <c r="K1754" s="91"/>
      <c r="L1754" s="87">
        <v>24.0</v>
      </c>
      <c r="M1754" s="87">
        <v>0.0</v>
      </c>
      <c r="N1754" s="87">
        <v>0.0</v>
      </c>
      <c r="O1754" s="87">
        <v>0.0</v>
      </c>
      <c r="P1754" s="87">
        <v>0.0</v>
      </c>
      <c r="Q1754" s="87">
        <v>0.0</v>
      </c>
    </row>
    <row r="1755">
      <c r="A1755" s="84" t="s">
        <v>439</v>
      </c>
      <c r="B1755" s="194"/>
      <c r="C1755" s="84" t="s">
        <v>1297</v>
      </c>
      <c r="D1755" s="88" t="s">
        <v>1396</v>
      </c>
      <c r="E1755" s="84" t="s">
        <v>3683</v>
      </c>
      <c r="F1755" s="84" t="s">
        <v>4205</v>
      </c>
      <c r="G1755" s="84" t="s">
        <v>3715</v>
      </c>
      <c r="H1755" s="84" t="s">
        <v>3527</v>
      </c>
      <c r="I1755" s="84" t="s">
        <v>3684</v>
      </c>
      <c r="J1755" s="84" t="s">
        <v>130</v>
      </c>
      <c r="K1755" s="84" t="s">
        <v>111</v>
      </c>
      <c r="L1755" s="87">
        <v>96.0</v>
      </c>
      <c r="M1755" s="87">
        <v>0.0</v>
      </c>
      <c r="N1755" s="87">
        <v>0.0</v>
      </c>
      <c r="O1755" s="87">
        <v>0.0</v>
      </c>
      <c r="P1755" s="87">
        <v>0.0</v>
      </c>
      <c r="Q1755" s="87">
        <v>0.0</v>
      </c>
    </row>
    <row r="1756">
      <c r="A1756" s="84" t="s">
        <v>213</v>
      </c>
      <c r="B1756" s="194"/>
      <c r="C1756" s="84" t="s">
        <v>876</v>
      </c>
      <c r="D1756" s="88" t="s">
        <v>1396</v>
      </c>
      <c r="E1756" s="84" t="s">
        <v>3683</v>
      </c>
      <c r="F1756" s="84" t="s">
        <v>800</v>
      </c>
      <c r="G1756" s="84" t="s">
        <v>3525</v>
      </c>
      <c r="I1756" s="84" t="s">
        <v>3684</v>
      </c>
      <c r="J1756" s="91"/>
      <c r="K1756" s="91"/>
      <c r="L1756" s="87">
        <v>0.0</v>
      </c>
      <c r="M1756" s="87">
        <v>0.0</v>
      </c>
      <c r="N1756" s="87">
        <v>0.0</v>
      </c>
      <c r="O1756" s="87">
        <v>0.0</v>
      </c>
      <c r="P1756" s="87">
        <v>0.0</v>
      </c>
      <c r="Q1756" s="87">
        <v>0.0</v>
      </c>
    </row>
    <row r="1757">
      <c r="A1757" s="84" t="s">
        <v>630</v>
      </c>
      <c r="B1757" s="194"/>
      <c r="C1757" s="84" t="s">
        <v>1115</v>
      </c>
      <c r="D1757" s="88" t="s">
        <v>1396</v>
      </c>
      <c r="E1757" s="84" t="s">
        <v>3683</v>
      </c>
      <c r="F1757" s="84" t="s">
        <v>1113</v>
      </c>
      <c r="G1757" s="84" t="s">
        <v>3554</v>
      </c>
      <c r="H1757" s="84" t="s">
        <v>3521</v>
      </c>
      <c r="I1757" s="84" t="s">
        <v>3684</v>
      </c>
      <c r="J1757" s="84" t="s">
        <v>130</v>
      </c>
      <c r="K1757" s="91"/>
      <c r="L1757" s="87">
        <v>24.0</v>
      </c>
      <c r="M1757" s="87">
        <v>0.0</v>
      </c>
      <c r="N1757" s="87">
        <v>0.0</v>
      </c>
      <c r="O1757" s="87">
        <v>0.0</v>
      </c>
      <c r="P1757" s="87">
        <v>0.0</v>
      </c>
      <c r="Q1757" s="87">
        <v>0.0</v>
      </c>
    </row>
    <row r="1758">
      <c r="A1758" s="84" t="s">
        <v>644</v>
      </c>
      <c r="B1758" s="194"/>
      <c r="C1758" s="84" t="s">
        <v>1269</v>
      </c>
      <c r="D1758" s="88" t="s">
        <v>1396</v>
      </c>
      <c r="E1758" s="84" t="s">
        <v>3683</v>
      </c>
      <c r="F1758" s="84" t="s">
        <v>1229</v>
      </c>
      <c r="G1758" s="84" t="s">
        <v>3551</v>
      </c>
      <c r="H1758" s="84" t="s">
        <v>3521</v>
      </c>
      <c r="I1758" s="84" t="s">
        <v>3684</v>
      </c>
      <c r="J1758" s="91"/>
      <c r="K1758" s="91"/>
      <c r="L1758" s="87">
        <v>67.0</v>
      </c>
      <c r="M1758" s="87">
        <v>6.0</v>
      </c>
      <c r="N1758" s="87">
        <v>3.126185</v>
      </c>
      <c r="O1758" s="87">
        <v>12.9073</v>
      </c>
      <c r="P1758" s="87">
        <v>12.02946</v>
      </c>
      <c r="Q1758" s="87">
        <v>9.99394</v>
      </c>
    </row>
    <row r="1759">
      <c r="A1759" s="84" t="s">
        <v>363</v>
      </c>
      <c r="B1759" s="194"/>
      <c r="C1759" s="84" t="s">
        <v>385</v>
      </c>
      <c r="D1759" s="88" t="s">
        <v>1396</v>
      </c>
      <c r="E1759" s="84" t="s">
        <v>3683</v>
      </c>
      <c r="F1759" s="84" t="s">
        <v>382</v>
      </c>
      <c r="G1759" s="84" t="s">
        <v>3991</v>
      </c>
      <c r="H1759" s="84" t="s">
        <v>3527</v>
      </c>
      <c r="I1759" s="84" t="s">
        <v>3709</v>
      </c>
      <c r="J1759" s="91"/>
      <c r="K1759" s="91"/>
      <c r="L1759" s="87">
        <v>226.0</v>
      </c>
      <c r="M1759" s="87">
        <v>5.0</v>
      </c>
      <c r="N1759" s="87">
        <v>1.926415</v>
      </c>
      <c r="O1759" s="87">
        <v>7.791092</v>
      </c>
      <c r="P1759" s="87">
        <v>6.538181</v>
      </c>
      <c r="Q1759" s="87">
        <v>6.223043</v>
      </c>
    </row>
    <row r="1760">
      <c r="A1760" s="84" t="s">
        <v>357</v>
      </c>
      <c r="B1760" s="194"/>
      <c r="C1760" s="84" t="s">
        <v>924</v>
      </c>
      <c r="D1760" s="88" t="s">
        <v>1396</v>
      </c>
      <c r="E1760" s="84" t="s">
        <v>3683</v>
      </c>
      <c r="F1760" s="84" t="s">
        <v>919</v>
      </c>
      <c r="G1760" s="84" t="s">
        <v>3739</v>
      </c>
      <c r="H1760" s="84" t="s">
        <v>3740</v>
      </c>
      <c r="I1760" s="84" t="s">
        <v>3709</v>
      </c>
      <c r="J1760" s="84" t="s">
        <v>130</v>
      </c>
      <c r="K1760" s="84" t="s">
        <v>111</v>
      </c>
      <c r="L1760" s="87">
        <v>864.0</v>
      </c>
      <c r="M1760" s="87">
        <v>0.0</v>
      </c>
      <c r="N1760" s="87">
        <v>0.0</v>
      </c>
      <c r="O1760" s="87">
        <v>0.0</v>
      </c>
      <c r="P1760" s="87">
        <v>0.0</v>
      </c>
      <c r="Q1760" s="87">
        <v>0.0</v>
      </c>
    </row>
    <row r="1761">
      <c r="A1761" s="84" t="s">
        <v>139</v>
      </c>
      <c r="B1761" s="194"/>
      <c r="C1761" s="84" t="s">
        <v>166</v>
      </c>
      <c r="D1761" s="88" t="s">
        <v>1396</v>
      </c>
      <c r="E1761" s="91"/>
      <c r="F1761" s="84" t="s">
        <v>144</v>
      </c>
      <c r="G1761" s="84" t="s">
        <v>3700</v>
      </c>
      <c r="I1761" s="84" t="s">
        <v>3684</v>
      </c>
      <c r="J1761" s="84" t="s">
        <v>130</v>
      </c>
      <c r="K1761" s="91"/>
      <c r="L1761" s="87">
        <v>480.0</v>
      </c>
      <c r="M1761" s="87">
        <v>0.0</v>
      </c>
      <c r="N1761" s="87">
        <v>0.0</v>
      </c>
      <c r="O1761" s="87">
        <v>0.0</v>
      </c>
      <c r="P1761" s="87">
        <v>0.0</v>
      </c>
      <c r="Q1761" s="87">
        <v>0.0</v>
      </c>
    </row>
    <row r="1762">
      <c r="A1762" s="84" t="s">
        <v>644</v>
      </c>
      <c r="B1762" s="194"/>
      <c r="C1762" s="84" t="s">
        <v>1219</v>
      </c>
      <c r="D1762" s="88" t="s">
        <v>1396</v>
      </c>
      <c r="E1762" s="84" t="s">
        <v>3683</v>
      </c>
      <c r="F1762" s="84" t="s">
        <v>850</v>
      </c>
      <c r="G1762" s="84" t="s">
        <v>3551</v>
      </c>
      <c r="H1762" s="84" t="s">
        <v>3521</v>
      </c>
      <c r="I1762" s="84" t="s">
        <v>3684</v>
      </c>
      <c r="J1762" s="91"/>
      <c r="K1762" s="84" t="s">
        <v>111</v>
      </c>
      <c r="L1762" s="87">
        <v>336.0</v>
      </c>
      <c r="M1762" s="87">
        <v>0.0</v>
      </c>
      <c r="N1762" s="87">
        <v>0.0</v>
      </c>
      <c r="O1762" s="87">
        <v>0.0</v>
      </c>
      <c r="P1762" s="87">
        <v>0.0</v>
      </c>
      <c r="Q1762" s="87">
        <v>0.019608</v>
      </c>
    </row>
    <row r="1763">
      <c r="A1763" s="84" t="s">
        <v>264</v>
      </c>
      <c r="B1763" s="194"/>
      <c r="C1763" s="84" t="s">
        <v>913</v>
      </c>
      <c r="D1763" s="88" t="s">
        <v>1396</v>
      </c>
      <c r="E1763" s="84" t="s">
        <v>3687</v>
      </c>
      <c r="F1763" s="84" t="s">
        <v>914</v>
      </c>
      <c r="G1763" s="84" t="s">
        <v>3564</v>
      </c>
      <c r="H1763" s="84" t="s">
        <v>3521</v>
      </c>
      <c r="I1763" s="84" t="s">
        <v>3684</v>
      </c>
      <c r="J1763" s="84" t="s">
        <v>130</v>
      </c>
      <c r="K1763" s="91"/>
      <c r="L1763" s="87">
        <v>24.0</v>
      </c>
      <c r="M1763" s="87">
        <v>0.0</v>
      </c>
      <c r="N1763" s="87">
        <v>0.0</v>
      </c>
      <c r="O1763" s="87">
        <v>0.0</v>
      </c>
      <c r="P1763" s="87">
        <v>0.0</v>
      </c>
      <c r="Q1763" s="87">
        <v>0.0</v>
      </c>
    </row>
    <row r="1764">
      <c r="A1764" s="84" t="s">
        <v>439</v>
      </c>
      <c r="B1764" s="193"/>
      <c r="C1764" s="84" t="s">
        <v>1302</v>
      </c>
      <c r="D1764" s="88" t="s">
        <v>1396</v>
      </c>
      <c r="E1764" s="84" t="s">
        <v>3683</v>
      </c>
      <c r="F1764" s="84" t="s">
        <v>860</v>
      </c>
      <c r="G1764" s="84" t="s">
        <v>3553</v>
      </c>
      <c r="H1764" s="84" t="s">
        <v>3527</v>
      </c>
      <c r="I1764" s="84" t="s">
        <v>3684</v>
      </c>
      <c r="J1764" s="84" t="s">
        <v>130</v>
      </c>
      <c r="K1764" s="84" t="s">
        <v>111</v>
      </c>
      <c r="L1764" s="87">
        <v>816.0</v>
      </c>
      <c r="M1764" s="87">
        <v>0.0</v>
      </c>
      <c r="N1764" s="87">
        <v>0.0</v>
      </c>
      <c r="O1764" s="87">
        <v>0.0</v>
      </c>
      <c r="P1764" s="87">
        <v>0.0</v>
      </c>
      <c r="Q1764" s="87">
        <v>0.0</v>
      </c>
    </row>
    <row r="1765">
      <c r="A1765" s="84" t="s">
        <v>795</v>
      </c>
      <c r="B1765" s="194"/>
      <c r="C1765" s="84" t="s">
        <v>793</v>
      </c>
      <c r="D1765" s="88" t="s">
        <v>1396</v>
      </c>
      <c r="E1765" s="84" t="s">
        <v>3683</v>
      </c>
      <c r="F1765" s="84" t="s">
        <v>794</v>
      </c>
      <c r="G1765" s="84" t="s">
        <v>3522</v>
      </c>
      <c r="H1765" s="84" t="s">
        <v>3521</v>
      </c>
      <c r="I1765" s="84" t="s">
        <v>3684</v>
      </c>
      <c r="J1765" s="91"/>
      <c r="K1765" s="84" t="s">
        <v>111</v>
      </c>
      <c r="L1765" s="87">
        <v>336.0</v>
      </c>
      <c r="M1765" s="87">
        <v>0.0</v>
      </c>
      <c r="N1765" s="87">
        <v>0.106443</v>
      </c>
      <c r="O1765" s="87">
        <v>0.2</v>
      </c>
      <c r="P1765" s="87">
        <v>0.356443</v>
      </c>
      <c r="Q1765" s="87">
        <v>0.16363</v>
      </c>
    </row>
    <row r="1766">
      <c r="A1766" s="84" t="s">
        <v>481</v>
      </c>
      <c r="B1766" s="194"/>
      <c r="C1766" s="84" t="s">
        <v>996</v>
      </c>
      <c r="D1766" s="88" t="s">
        <v>1396</v>
      </c>
      <c r="E1766" s="84" t="s">
        <v>3683</v>
      </c>
      <c r="F1766" s="84" t="s">
        <v>989</v>
      </c>
      <c r="G1766" s="84" t="s">
        <v>3585</v>
      </c>
      <c r="H1766" s="84" t="s">
        <v>3521</v>
      </c>
      <c r="I1766" s="84" t="s">
        <v>3684</v>
      </c>
      <c r="J1766" s="84" t="s">
        <v>130</v>
      </c>
      <c r="K1766" s="91"/>
      <c r="L1766" s="87">
        <v>24.0</v>
      </c>
      <c r="M1766" s="87">
        <v>0.0</v>
      </c>
      <c r="N1766" s="87">
        <v>0.0</v>
      </c>
      <c r="O1766" s="87">
        <v>0.0</v>
      </c>
      <c r="P1766" s="87">
        <v>0.066667</v>
      </c>
      <c r="Q1766" s="87">
        <v>0.066667</v>
      </c>
    </row>
    <row r="1767">
      <c r="A1767" s="84" t="s">
        <v>481</v>
      </c>
      <c r="B1767" s="194"/>
      <c r="C1767" s="84" t="s">
        <v>517</v>
      </c>
      <c r="D1767" s="88" t="s">
        <v>1396</v>
      </c>
      <c r="E1767" s="84" t="s">
        <v>3683</v>
      </c>
      <c r="F1767" s="84" t="s">
        <v>516</v>
      </c>
      <c r="G1767" s="84" t="s">
        <v>3593</v>
      </c>
      <c r="H1767" s="84" t="s">
        <v>3521</v>
      </c>
      <c r="I1767" s="84" t="s">
        <v>3684</v>
      </c>
      <c r="J1767" s="91"/>
      <c r="K1767" s="91"/>
      <c r="L1767" s="87">
        <v>0.0</v>
      </c>
      <c r="M1767" s="87">
        <v>1.0</v>
      </c>
      <c r="N1767" s="87">
        <v>0.0</v>
      </c>
      <c r="O1767" s="87">
        <v>0.660256</v>
      </c>
      <c r="P1767" s="87">
        <v>0.574959</v>
      </c>
      <c r="Q1767" s="87">
        <v>0.571449</v>
      </c>
    </row>
    <row r="1768">
      <c r="A1768" s="84" t="s">
        <v>630</v>
      </c>
      <c r="B1768" s="194"/>
      <c r="C1768" s="84" t="s">
        <v>1092</v>
      </c>
      <c r="D1768" s="88" t="s">
        <v>1396</v>
      </c>
      <c r="E1768" s="84" t="s">
        <v>3683</v>
      </c>
      <c r="F1768" s="84" t="s">
        <v>1091</v>
      </c>
      <c r="G1768" s="84" t="s">
        <v>3601</v>
      </c>
      <c r="H1768" s="84" t="s">
        <v>3521</v>
      </c>
      <c r="I1768" s="84" t="s">
        <v>3684</v>
      </c>
      <c r="J1768" s="91"/>
      <c r="K1768" s="84" t="s">
        <v>111</v>
      </c>
      <c r="L1768" s="87">
        <v>504.0</v>
      </c>
      <c r="M1768" s="87">
        <v>0.0</v>
      </c>
      <c r="N1768" s="87">
        <v>0.217317</v>
      </c>
      <c r="O1768" s="87">
        <v>0.0</v>
      </c>
      <c r="P1768" s="87">
        <v>0.142857</v>
      </c>
      <c r="Q1768" s="87">
        <v>0.217317</v>
      </c>
    </row>
    <row r="1769">
      <c r="A1769" s="84" t="s">
        <v>481</v>
      </c>
      <c r="B1769" s="194"/>
      <c r="C1769" s="84" t="s">
        <v>519</v>
      </c>
      <c r="D1769" s="88" t="s">
        <v>1396</v>
      </c>
      <c r="E1769" s="84" t="s">
        <v>3683</v>
      </c>
      <c r="F1769" s="84" t="s">
        <v>516</v>
      </c>
      <c r="G1769" s="84" t="s">
        <v>3593</v>
      </c>
      <c r="I1769" s="84" t="s">
        <v>3684</v>
      </c>
      <c r="J1769" s="91"/>
      <c r="K1769" s="91"/>
      <c r="L1769" s="87">
        <v>456.0</v>
      </c>
      <c r="M1769" s="87">
        <v>0.0</v>
      </c>
      <c r="N1769" s="87">
        <v>0.0</v>
      </c>
      <c r="O1769" s="87">
        <v>0.0</v>
      </c>
      <c r="P1769" s="87">
        <v>0.0</v>
      </c>
      <c r="Q1769" s="87">
        <v>0.0</v>
      </c>
    </row>
    <row r="1770">
      <c r="A1770" s="84" t="s">
        <v>644</v>
      </c>
      <c r="B1770" s="194"/>
      <c r="C1770" s="84" t="s">
        <v>698</v>
      </c>
      <c r="D1770" s="88" t="s">
        <v>1396</v>
      </c>
      <c r="E1770" s="84" t="s">
        <v>3683</v>
      </c>
      <c r="F1770" s="84" t="s">
        <v>686</v>
      </c>
      <c r="G1770" s="84" t="s">
        <v>3607</v>
      </c>
      <c r="H1770" s="84" t="s">
        <v>3521</v>
      </c>
      <c r="I1770" s="84" t="s">
        <v>3684</v>
      </c>
      <c r="J1770" s="84" t="s">
        <v>215</v>
      </c>
      <c r="K1770" s="84" t="s">
        <v>111</v>
      </c>
      <c r="L1770" s="87">
        <v>96.0</v>
      </c>
      <c r="M1770" s="87">
        <v>0.0</v>
      </c>
      <c r="N1770" s="87">
        <v>0.0</v>
      </c>
      <c r="O1770" s="87">
        <v>0.0</v>
      </c>
      <c r="P1770" s="87">
        <v>0.0</v>
      </c>
      <c r="Q1770" s="87">
        <v>0.0</v>
      </c>
    </row>
    <row r="1771">
      <c r="A1771" s="84" t="s">
        <v>601</v>
      </c>
      <c r="B1771" s="194"/>
      <c r="C1771" s="84" t="s">
        <v>1059</v>
      </c>
      <c r="D1771" s="88" t="s">
        <v>1396</v>
      </c>
      <c r="E1771" s="84" t="s">
        <v>3683</v>
      </c>
      <c r="F1771" s="84" t="s">
        <v>898</v>
      </c>
      <c r="G1771" s="84" t="s">
        <v>3560</v>
      </c>
      <c r="H1771" s="84" t="s">
        <v>3521</v>
      </c>
      <c r="I1771" s="84" t="s">
        <v>3684</v>
      </c>
      <c r="J1771" s="91"/>
      <c r="K1771" s="91"/>
      <c r="L1771" s="87">
        <v>0.0</v>
      </c>
      <c r="M1771" s="87">
        <v>2.0</v>
      </c>
      <c r="N1771" s="87">
        <v>0.0</v>
      </c>
      <c r="O1771" s="87">
        <v>0.5</v>
      </c>
      <c r="P1771" s="87">
        <v>0.366667</v>
      </c>
      <c r="Q1771" s="87">
        <v>0.333333</v>
      </c>
    </row>
    <row r="1772">
      <c r="A1772" s="84" t="s">
        <v>363</v>
      </c>
      <c r="B1772" s="194"/>
      <c r="C1772" s="84" t="s">
        <v>380</v>
      </c>
      <c r="D1772" s="88" t="s">
        <v>1396</v>
      </c>
      <c r="E1772" s="84" t="s">
        <v>3683</v>
      </c>
      <c r="F1772" s="84" t="s">
        <v>376</v>
      </c>
      <c r="G1772" s="84" t="s">
        <v>3568</v>
      </c>
      <c r="H1772" s="84" t="s">
        <v>3527</v>
      </c>
      <c r="I1772" s="84" t="s">
        <v>3709</v>
      </c>
      <c r="J1772" s="84" t="s">
        <v>130</v>
      </c>
      <c r="K1772" s="91"/>
      <c r="L1772" s="87">
        <v>96.0</v>
      </c>
      <c r="M1772" s="87">
        <v>0.0</v>
      </c>
      <c r="N1772" s="87">
        <v>0.0</v>
      </c>
      <c r="O1772" s="87">
        <v>0.0</v>
      </c>
      <c r="P1772" s="87">
        <v>0.0</v>
      </c>
      <c r="Q1772" s="87">
        <v>0.0</v>
      </c>
    </row>
    <row r="1773">
      <c r="A1773" s="84" t="s">
        <v>537</v>
      </c>
      <c r="B1773" s="194"/>
      <c r="C1773" s="84" t="s">
        <v>1051</v>
      </c>
      <c r="D1773" s="88" t="s">
        <v>1396</v>
      </c>
      <c r="E1773" s="84" t="s">
        <v>3683</v>
      </c>
      <c r="F1773" s="84" t="s">
        <v>1047</v>
      </c>
      <c r="G1773" s="84" t="s">
        <v>3592</v>
      </c>
      <c r="H1773" s="84" t="s">
        <v>3521</v>
      </c>
      <c r="I1773" s="84" t="s">
        <v>3693</v>
      </c>
      <c r="J1773" s="91"/>
      <c r="K1773" s="91"/>
      <c r="L1773" s="87">
        <v>0.0</v>
      </c>
      <c r="M1773" s="87">
        <v>0.0</v>
      </c>
      <c r="N1773" s="87">
        <v>0.0</v>
      </c>
      <c r="O1773" s="87">
        <v>0.0</v>
      </c>
      <c r="P1773" s="87">
        <v>0.1</v>
      </c>
      <c r="Q1773" s="87">
        <v>0.067797</v>
      </c>
    </row>
    <row r="1774">
      <c r="A1774" s="84" t="s">
        <v>74</v>
      </c>
      <c r="B1774" s="194"/>
      <c r="C1774" s="84" t="s">
        <v>1344</v>
      </c>
      <c r="D1774" s="88" t="s">
        <v>1396</v>
      </c>
      <c r="E1774" s="84" t="s">
        <v>3683</v>
      </c>
      <c r="F1774" s="84" t="s">
        <v>3796</v>
      </c>
      <c r="G1774" s="91"/>
      <c r="H1774" s="84" t="s">
        <v>3521</v>
      </c>
      <c r="I1774" s="84" t="s">
        <v>3684</v>
      </c>
      <c r="J1774" s="91"/>
      <c r="K1774" s="91"/>
      <c r="L1774" s="87">
        <v>24.0</v>
      </c>
      <c r="M1774" s="87">
        <v>2.0</v>
      </c>
      <c r="N1774" s="87">
        <v>0.160256</v>
      </c>
      <c r="O1774" s="87">
        <v>0.374542</v>
      </c>
      <c r="P1774" s="87">
        <v>0.336864</v>
      </c>
      <c r="Q1774" s="87">
        <v>0.297026</v>
      </c>
    </row>
    <row r="1775">
      <c r="A1775" s="84" t="s">
        <v>393</v>
      </c>
      <c r="B1775" s="194"/>
      <c r="C1775" s="84" t="s">
        <v>410</v>
      </c>
      <c r="D1775" s="88" t="s">
        <v>1396</v>
      </c>
      <c r="E1775" s="84" t="s">
        <v>3683</v>
      </c>
      <c r="F1775" s="84" t="s">
        <v>352</v>
      </c>
      <c r="G1775" s="84" t="s">
        <v>3754</v>
      </c>
      <c r="H1775" s="84" t="s">
        <v>3521</v>
      </c>
      <c r="I1775" s="84" t="s">
        <v>3693</v>
      </c>
      <c r="J1775" s="91"/>
      <c r="K1775" s="84" t="s">
        <v>111</v>
      </c>
      <c r="L1775" s="87">
        <v>384.0</v>
      </c>
      <c r="M1775" s="87">
        <v>0.0</v>
      </c>
      <c r="N1775" s="87">
        <v>0.0</v>
      </c>
      <c r="O1775" s="87">
        <v>0.0</v>
      </c>
      <c r="P1775" s="87">
        <v>0.0</v>
      </c>
      <c r="Q1775" s="87">
        <v>0.0</v>
      </c>
    </row>
    <row r="1776">
      <c r="A1776" s="84" t="s">
        <v>301</v>
      </c>
      <c r="B1776" s="194"/>
      <c r="C1776" s="84" t="s">
        <v>336</v>
      </c>
      <c r="D1776" s="88" t="s">
        <v>1396</v>
      </c>
      <c r="E1776" s="84" t="s">
        <v>3683</v>
      </c>
      <c r="F1776" s="91"/>
      <c r="G1776" s="84" t="s">
        <v>4199</v>
      </c>
      <c r="I1776" s="84" t="s">
        <v>3684</v>
      </c>
      <c r="J1776" s="91"/>
      <c r="K1776" s="91"/>
      <c r="L1776" s="87">
        <v>120.0</v>
      </c>
      <c r="M1776" s="87">
        <v>0.0</v>
      </c>
      <c r="N1776" s="87">
        <v>0.0</v>
      </c>
      <c r="O1776" s="87">
        <v>0.0</v>
      </c>
      <c r="P1776" s="87">
        <v>0.0</v>
      </c>
      <c r="Q1776" s="87">
        <v>0.0</v>
      </c>
    </row>
    <row r="1777">
      <c r="A1777" s="84" t="s">
        <v>644</v>
      </c>
      <c r="B1777" s="194"/>
      <c r="C1777" s="84" t="s">
        <v>1270</v>
      </c>
      <c r="D1777" s="88" t="s">
        <v>1396</v>
      </c>
      <c r="E1777" s="84" t="s">
        <v>3683</v>
      </c>
      <c r="F1777" s="84" t="s">
        <v>1229</v>
      </c>
      <c r="G1777" s="84" t="s">
        <v>3551</v>
      </c>
      <c r="H1777" s="84" t="s">
        <v>3521</v>
      </c>
      <c r="I1777" s="84" t="s">
        <v>3684</v>
      </c>
      <c r="J1777" s="84" t="s">
        <v>130</v>
      </c>
      <c r="K1777" s="91"/>
      <c r="L1777" s="87">
        <v>0.0</v>
      </c>
      <c r="M1777" s="87">
        <v>0.0</v>
      </c>
      <c r="N1777" s="87">
        <v>0.0</v>
      </c>
      <c r="O1777" s="87">
        <v>0.0</v>
      </c>
      <c r="P1777" s="87">
        <v>0.071429</v>
      </c>
      <c r="Q1777" s="87">
        <v>0.070321</v>
      </c>
    </row>
    <row r="1778">
      <c r="A1778" s="84" t="s">
        <v>644</v>
      </c>
      <c r="B1778" s="194"/>
      <c r="C1778" s="84" t="s">
        <v>1217</v>
      </c>
      <c r="D1778" s="88" t="s">
        <v>1396</v>
      </c>
      <c r="E1778" s="84" t="s">
        <v>3683</v>
      </c>
      <c r="F1778" s="84" t="s">
        <v>850</v>
      </c>
      <c r="G1778" s="84" t="s">
        <v>3551</v>
      </c>
      <c r="H1778" s="84" t="s">
        <v>3521</v>
      </c>
      <c r="I1778" s="84" t="s">
        <v>3684</v>
      </c>
      <c r="J1778" s="84" t="s">
        <v>130</v>
      </c>
      <c r="K1778" s="91"/>
      <c r="L1778" s="87">
        <v>24.0</v>
      </c>
      <c r="M1778" s="87">
        <v>0.0</v>
      </c>
      <c r="N1778" s="87">
        <v>0.0</v>
      </c>
      <c r="O1778" s="87">
        <v>0.0</v>
      </c>
      <c r="P1778" s="87">
        <v>0.0</v>
      </c>
      <c r="Q1778" s="87">
        <v>0.0</v>
      </c>
    </row>
    <row r="1779">
      <c r="A1779" s="84" t="s">
        <v>644</v>
      </c>
      <c r="B1779" s="194"/>
      <c r="C1779" s="84" t="s">
        <v>661</v>
      </c>
      <c r="D1779" s="88" t="s">
        <v>1396</v>
      </c>
      <c r="E1779" s="84" t="s">
        <v>3683</v>
      </c>
      <c r="F1779" s="84" t="s">
        <v>658</v>
      </c>
      <c r="G1779" s="84" t="s">
        <v>3801</v>
      </c>
      <c r="H1779" s="84" t="s">
        <v>3521</v>
      </c>
      <c r="I1779" s="84" t="s">
        <v>3684</v>
      </c>
      <c r="J1779" s="84" t="s">
        <v>130</v>
      </c>
      <c r="K1779" s="84" t="s">
        <v>111</v>
      </c>
      <c r="L1779" s="87">
        <v>24.0</v>
      </c>
      <c r="M1779" s="87">
        <v>0.0</v>
      </c>
      <c r="N1779" s="87">
        <v>0.0</v>
      </c>
      <c r="O1779" s="87">
        <v>0.0</v>
      </c>
      <c r="P1779" s="87">
        <v>0.0</v>
      </c>
      <c r="Q1779" s="87">
        <v>0.0</v>
      </c>
    </row>
    <row r="1780">
      <c r="A1780" s="84" t="s">
        <v>264</v>
      </c>
      <c r="B1780" s="194"/>
      <c r="C1780" s="84" t="s">
        <v>912</v>
      </c>
      <c r="D1780" s="88" t="s">
        <v>1396</v>
      </c>
      <c r="E1780" s="84" t="s">
        <v>3687</v>
      </c>
      <c r="F1780" s="84" t="s">
        <v>295</v>
      </c>
      <c r="G1780" s="84" t="s">
        <v>3564</v>
      </c>
      <c r="H1780" s="84" t="s">
        <v>3521</v>
      </c>
      <c r="I1780" s="84" t="s">
        <v>3684</v>
      </c>
      <c r="J1780" s="84" t="s">
        <v>130</v>
      </c>
      <c r="K1780" s="91"/>
      <c r="L1780" s="87">
        <v>24.0</v>
      </c>
      <c r="M1780" s="87">
        <v>0.0</v>
      </c>
      <c r="N1780" s="87">
        <v>0.0</v>
      </c>
      <c r="O1780" s="87">
        <v>0.0</v>
      </c>
      <c r="P1780" s="87">
        <v>0.0</v>
      </c>
      <c r="Q1780" s="87">
        <v>0.0</v>
      </c>
    </row>
    <row r="1781">
      <c r="A1781" s="84" t="s">
        <v>644</v>
      </c>
      <c r="B1781" s="194"/>
      <c r="C1781" s="84" t="s">
        <v>702</v>
      </c>
      <c r="D1781" s="88" t="s">
        <v>1396</v>
      </c>
      <c r="E1781" s="84" t="s">
        <v>3683</v>
      </c>
      <c r="F1781" s="84" t="s">
        <v>686</v>
      </c>
      <c r="G1781" s="84" t="s">
        <v>3607</v>
      </c>
      <c r="H1781" s="84" t="s">
        <v>3521</v>
      </c>
      <c r="I1781" s="84" t="s">
        <v>3684</v>
      </c>
      <c r="J1781" s="84" t="s">
        <v>130</v>
      </c>
      <c r="K1781" s="91"/>
      <c r="L1781" s="87">
        <v>24.0</v>
      </c>
      <c r="M1781" s="87">
        <v>0.0</v>
      </c>
      <c r="N1781" s="87">
        <v>0.0</v>
      </c>
      <c r="O1781" s="87">
        <v>0.0</v>
      </c>
      <c r="P1781" s="87">
        <v>0.0</v>
      </c>
      <c r="Q1781" s="87">
        <v>0.0</v>
      </c>
    </row>
    <row r="1782">
      <c r="A1782" s="84" t="s">
        <v>573</v>
      </c>
      <c r="B1782" s="194"/>
      <c r="C1782" s="84" t="s">
        <v>594</v>
      </c>
      <c r="D1782" s="88" t="s">
        <v>1396</v>
      </c>
      <c r="E1782" s="84" t="s">
        <v>3683</v>
      </c>
      <c r="F1782" s="84" t="s">
        <v>595</v>
      </c>
      <c r="G1782" s="84" t="s">
        <v>3560</v>
      </c>
      <c r="H1782" s="84" t="s">
        <v>3521</v>
      </c>
      <c r="I1782" s="84" t="s">
        <v>3709</v>
      </c>
      <c r="J1782" s="84" t="s">
        <v>130</v>
      </c>
      <c r="K1782" s="91"/>
      <c r="L1782" s="87">
        <v>24.0</v>
      </c>
      <c r="M1782" s="87">
        <v>0.0</v>
      </c>
      <c r="N1782" s="87">
        <v>0.0</v>
      </c>
      <c r="O1782" s="87">
        <v>0.0</v>
      </c>
      <c r="P1782" s="87">
        <v>0.0</v>
      </c>
      <c r="Q1782" s="87">
        <v>0.0</v>
      </c>
    </row>
    <row r="1783">
      <c r="A1783" s="84" t="s">
        <v>472</v>
      </c>
      <c r="B1783" s="194"/>
      <c r="C1783" s="84" t="s">
        <v>1029</v>
      </c>
      <c r="D1783" s="88" t="s">
        <v>1396</v>
      </c>
      <c r="E1783" s="84" t="s">
        <v>3687</v>
      </c>
      <c r="F1783" s="91"/>
      <c r="G1783" s="84" t="s">
        <v>3587</v>
      </c>
      <c r="H1783" s="84" t="s">
        <v>3521</v>
      </c>
      <c r="I1783" s="84" t="s">
        <v>3684</v>
      </c>
      <c r="J1783" s="84" t="s">
        <v>130</v>
      </c>
      <c r="K1783" s="91"/>
      <c r="L1783" s="87">
        <v>192.0</v>
      </c>
      <c r="M1783" s="87">
        <v>0.0</v>
      </c>
      <c r="N1783" s="87">
        <v>0.0</v>
      </c>
      <c r="O1783" s="87">
        <v>0.0</v>
      </c>
      <c r="P1783" s="87">
        <v>0.0</v>
      </c>
      <c r="Q1783" s="87">
        <v>0.0</v>
      </c>
    </row>
    <row r="1784">
      <c r="A1784" s="84" t="s">
        <v>644</v>
      </c>
      <c r="B1784" s="194"/>
      <c r="C1784" s="84" t="s">
        <v>1177</v>
      </c>
      <c r="D1784" s="88" t="s">
        <v>1396</v>
      </c>
      <c r="E1784" s="84" t="s">
        <v>3687</v>
      </c>
      <c r="F1784" s="84" t="s">
        <v>686</v>
      </c>
      <c r="G1784" s="84" t="s">
        <v>3600</v>
      </c>
      <c r="H1784" s="84" t="s">
        <v>3521</v>
      </c>
      <c r="I1784" s="84" t="s">
        <v>3684</v>
      </c>
      <c r="J1784" s="84" t="s">
        <v>130</v>
      </c>
      <c r="K1784" s="91"/>
      <c r="L1784" s="87">
        <v>720.0</v>
      </c>
      <c r="M1784" s="87">
        <v>1.0</v>
      </c>
      <c r="N1784" s="87">
        <v>30.61095</v>
      </c>
      <c r="O1784" s="87">
        <v>0.285714</v>
      </c>
      <c r="P1784" s="87">
        <v>0.633333</v>
      </c>
      <c r="Q1784" s="87">
        <v>31.16802</v>
      </c>
    </row>
    <row r="1785">
      <c r="A1785" s="84" t="s">
        <v>439</v>
      </c>
      <c r="B1785" s="193"/>
      <c r="C1785" s="84" t="s">
        <v>1299</v>
      </c>
      <c r="D1785" s="88" t="s">
        <v>1396</v>
      </c>
      <c r="E1785" s="84" t="s">
        <v>3683</v>
      </c>
      <c r="F1785" s="84" t="s">
        <v>4216</v>
      </c>
      <c r="G1785" s="84" t="s">
        <v>3576</v>
      </c>
      <c r="H1785" s="84" t="s">
        <v>3527</v>
      </c>
      <c r="I1785" s="84" t="s">
        <v>3684</v>
      </c>
      <c r="J1785" s="84" t="s">
        <v>130</v>
      </c>
      <c r="K1785" s="84" t="s">
        <v>111</v>
      </c>
      <c r="L1785" s="87">
        <v>816.0</v>
      </c>
      <c r="M1785" s="87">
        <v>0.0</v>
      </c>
      <c r="N1785" s="87">
        <v>0.0</v>
      </c>
      <c r="O1785" s="87">
        <v>0.0</v>
      </c>
      <c r="P1785" s="87">
        <v>0.0</v>
      </c>
      <c r="Q1785" s="87">
        <v>0.0</v>
      </c>
    </row>
    <row r="1786">
      <c r="A1786" s="84" t="s">
        <v>644</v>
      </c>
      <c r="B1786" s="194"/>
      <c r="C1786" s="84" t="s">
        <v>1169</v>
      </c>
      <c r="D1786" s="88" t="s">
        <v>1396</v>
      </c>
      <c r="E1786" s="84" t="s">
        <v>3683</v>
      </c>
      <c r="F1786" s="84" t="s">
        <v>1170</v>
      </c>
      <c r="G1786" s="84" t="s">
        <v>3600</v>
      </c>
      <c r="I1786" s="84" t="s">
        <v>3684</v>
      </c>
      <c r="J1786" s="84" t="s">
        <v>215</v>
      </c>
      <c r="L1786" s="87">
        <v>480.0</v>
      </c>
      <c r="M1786" s="87">
        <v>0.0</v>
      </c>
      <c r="N1786" s="87">
        <v>0.0</v>
      </c>
      <c r="O1786" s="87">
        <v>0.0</v>
      </c>
      <c r="P1786" s="87">
        <v>0.0</v>
      </c>
      <c r="Q1786" s="87">
        <v>0.0</v>
      </c>
    </row>
    <row r="1787">
      <c r="A1787" s="84" t="s">
        <v>393</v>
      </c>
      <c r="B1787" s="194"/>
      <c r="C1787" s="84" t="s">
        <v>934</v>
      </c>
      <c r="D1787" s="88" t="s">
        <v>1396</v>
      </c>
      <c r="E1787" s="84" t="s">
        <v>3683</v>
      </c>
      <c r="F1787" s="91"/>
      <c r="G1787" s="84" t="s">
        <v>3569</v>
      </c>
      <c r="I1787" s="84" t="s">
        <v>3693</v>
      </c>
      <c r="J1787" s="91"/>
      <c r="K1787" s="91"/>
      <c r="L1787" s="87">
        <v>552.0</v>
      </c>
      <c r="M1787" s="87">
        <v>0.0</v>
      </c>
      <c r="N1787" s="87">
        <v>0.0</v>
      </c>
      <c r="O1787" s="87">
        <v>0.0</v>
      </c>
      <c r="P1787" s="87">
        <v>0.0</v>
      </c>
      <c r="Q1787" s="87">
        <v>0.0</v>
      </c>
    </row>
    <row r="1788">
      <c r="A1788" s="84" t="s">
        <v>139</v>
      </c>
      <c r="B1788" s="194"/>
      <c r="C1788" s="84" t="s">
        <v>156</v>
      </c>
      <c r="D1788" s="88" t="s">
        <v>1396</v>
      </c>
      <c r="E1788" s="84" t="s">
        <v>3683</v>
      </c>
      <c r="F1788" s="84" t="s">
        <v>144</v>
      </c>
      <c r="G1788" s="84" t="s">
        <v>3700</v>
      </c>
      <c r="H1788" s="84" t="s">
        <v>3521</v>
      </c>
      <c r="I1788" s="84" t="s">
        <v>3684</v>
      </c>
      <c r="J1788" s="84" t="s">
        <v>130</v>
      </c>
      <c r="K1788" s="84" t="s">
        <v>111</v>
      </c>
      <c r="L1788" s="87">
        <v>768.0</v>
      </c>
      <c r="M1788" s="87">
        <v>0.0</v>
      </c>
      <c r="N1788" s="87">
        <v>0.0</v>
      </c>
      <c r="O1788" s="87">
        <v>0.0</v>
      </c>
      <c r="P1788" s="87">
        <v>0.0</v>
      </c>
      <c r="Q1788" s="87">
        <v>0.0</v>
      </c>
    </row>
    <row r="1789">
      <c r="A1789" s="84" t="s">
        <v>439</v>
      </c>
      <c r="B1789" s="194"/>
      <c r="C1789" s="84" t="s">
        <v>3660</v>
      </c>
      <c r="D1789" s="88" t="s">
        <v>1396</v>
      </c>
      <c r="E1789" s="84" t="s">
        <v>3683</v>
      </c>
      <c r="F1789" s="84" t="s">
        <v>860</v>
      </c>
      <c r="G1789" s="84" t="s">
        <v>3553</v>
      </c>
      <c r="H1789" s="84" t="s">
        <v>3527</v>
      </c>
      <c r="I1789" s="84" t="s">
        <v>3709</v>
      </c>
      <c r="J1789" s="91"/>
      <c r="K1789" s="91"/>
      <c r="L1789" s="87">
        <v>81.0</v>
      </c>
      <c r="M1789" s="87">
        <v>35.0</v>
      </c>
      <c r="N1789" s="87">
        <v>2.135889</v>
      </c>
      <c r="O1789" s="87">
        <v>29.42951</v>
      </c>
      <c r="P1789" s="87">
        <v>28.83643</v>
      </c>
      <c r="Q1789" s="87">
        <v>22.05534</v>
      </c>
    </row>
    <row r="1790">
      <c r="A1790" s="84" t="s">
        <v>745</v>
      </c>
      <c r="B1790" s="194"/>
      <c r="C1790" s="84" t="s">
        <v>748</v>
      </c>
      <c r="D1790" s="88" t="s">
        <v>1396</v>
      </c>
      <c r="E1790" s="84" t="s">
        <v>3683</v>
      </c>
      <c r="F1790" s="84" t="s">
        <v>744</v>
      </c>
      <c r="G1790" s="84" t="s">
        <v>3841</v>
      </c>
      <c r="H1790" s="84" t="s">
        <v>3521</v>
      </c>
      <c r="I1790" s="84" t="s">
        <v>3684</v>
      </c>
      <c r="J1790" s="84" t="s">
        <v>130</v>
      </c>
      <c r="K1790" s="91"/>
      <c r="L1790" s="87">
        <v>360.0</v>
      </c>
      <c r="M1790" s="87">
        <v>1.0</v>
      </c>
      <c r="N1790" s="87">
        <v>0.958968</v>
      </c>
      <c r="O1790" s="87">
        <v>0.521825</v>
      </c>
      <c r="P1790" s="87">
        <v>0.225145</v>
      </c>
      <c r="Q1790" s="87">
        <v>0.755265</v>
      </c>
    </row>
    <row r="1791">
      <c r="A1791" s="84" t="s">
        <v>481</v>
      </c>
      <c r="B1791" s="194"/>
      <c r="C1791" s="84" t="s">
        <v>520</v>
      </c>
      <c r="D1791" s="88" t="s">
        <v>1396</v>
      </c>
      <c r="E1791" s="84" t="s">
        <v>3683</v>
      </c>
      <c r="F1791" s="84" t="s">
        <v>516</v>
      </c>
      <c r="G1791" s="84" t="s">
        <v>3593</v>
      </c>
      <c r="H1791" s="84" t="s">
        <v>3521</v>
      </c>
      <c r="I1791" s="84" t="s">
        <v>3684</v>
      </c>
      <c r="J1791" s="84" t="s">
        <v>130</v>
      </c>
      <c r="K1791" s="91"/>
      <c r="L1791" s="87">
        <v>24.0</v>
      </c>
      <c r="M1791" s="87">
        <v>0.0</v>
      </c>
      <c r="N1791" s="87">
        <v>0.0</v>
      </c>
      <c r="O1791" s="87">
        <v>0.0</v>
      </c>
      <c r="P1791" s="87">
        <v>0.0</v>
      </c>
      <c r="Q1791" s="87">
        <v>0.0</v>
      </c>
    </row>
    <row r="1792">
      <c r="A1792" s="84" t="s">
        <v>644</v>
      </c>
      <c r="B1792" s="194"/>
      <c r="C1792" s="84" t="s">
        <v>728</v>
      </c>
      <c r="D1792" s="88" t="s">
        <v>1396</v>
      </c>
      <c r="E1792" s="84" t="s">
        <v>3683</v>
      </c>
      <c r="F1792" s="84" t="s">
        <v>729</v>
      </c>
      <c r="G1792" s="84" t="s">
        <v>3752</v>
      </c>
      <c r="H1792" s="84" t="s">
        <v>3521</v>
      </c>
      <c r="I1792" s="84" t="s">
        <v>3684</v>
      </c>
      <c r="J1792" s="84" t="s">
        <v>215</v>
      </c>
      <c r="L1792" s="87">
        <v>288.0</v>
      </c>
      <c r="M1792" s="87">
        <v>0.0</v>
      </c>
      <c r="N1792" s="87">
        <v>1.419816</v>
      </c>
      <c r="O1792" s="87">
        <v>0.174242</v>
      </c>
      <c r="P1792" s="87">
        <v>0.46366</v>
      </c>
      <c r="Q1792" s="87">
        <v>1.750502</v>
      </c>
    </row>
    <row r="1793">
      <c r="A1793" s="84" t="s">
        <v>439</v>
      </c>
      <c r="B1793" s="194"/>
      <c r="C1793" s="84" t="s">
        <v>4214</v>
      </c>
      <c r="D1793" s="88" t="s">
        <v>1396</v>
      </c>
      <c r="E1793" s="84" t="s">
        <v>3683</v>
      </c>
      <c r="F1793" s="84" t="s">
        <v>3714</v>
      </c>
      <c r="G1793" s="84" t="s">
        <v>3715</v>
      </c>
      <c r="H1793" s="84" t="s">
        <v>3527</v>
      </c>
      <c r="I1793" s="84" t="s">
        <v>3684</v>
      </c>
      <c r="J1793" s="84" t="s">
        <v>130</v>
      </c>
      <c r="K1793" s="84" t="s">
        <v>111</v>
      </c>
      <c r="L1793" s="87">
        <v>144.0</v>
      </c>
      <c r="M1793" s="87">
        <v>0.0</v>
      </c>
      <c r="N1793" s="87">
        <v>0.0</v>
      </c>
      <c r="O1793" s="87">
        <v>0.0</v>
      </c>
      <c r="P1793" s="87">
        <v>0.0</v>
      </c>
      <c r="Q1793" s="87">
        <v>0.0</v>
      </c>
    </row>
    <row r="1794">
      <c r="A1794" s="84" t="s">
        <v>74</v>
      </c>
      <c r="B1794" s="194"/>
      <c r="C1794" s="84" t="s">
        <v>3589</v>
      </c>
      <c r="D1794" s="88" t="s">
        <v>1396</v>
      </c>
      <c r="E1794" s="84" t="s">
        <v>3683</v>
      </c>
      <c r="F1794" s="84" t="s">
        <v>3796</v>
      </c>
      <c r="G1794" s="91"/>
      <c r="H1794" s="84" t="s">
        <v>3521</v>
      </c>
      <c r="I1794" s="84" t="s">
        <v>3684</v>
      </c>
      <c r="J1794" s="91"/>
      <c r="K1794" s="84" t="s">
        <v>111</v>
      </c>
      <c r="L1794" s="87">
        <v>456.0</v>
      </c>
      <c r="M1794" s="87">
        <v>0.0</v>
      </c>
      <c r="N1794" s="87">
        <v>0.0</v>
      </c>
      <c r="O1794" s="87">
        <v>0.0</v>
      </c>
      <c r="P1794" s="87">
        <v>0.0</v>
      </c>
      <c r="Q1794" s="87">
        <v>0.0</v>
      </c>
    </row>
    <row r="1795">
      <c r="A1795" s="84" t="s">
        <v>1130</v>
      </c>
      <c r="B1795" s="194"/>
      <c r="C1795" s="84" t="s">
        <v>1141</v>
      </c>
      <c r="D1795" s="88" t="s">
        <v>1396</v>
      </c>
      <c r="E1795" s="84" t="s">
        <v>3687</v>
      </c>
      <c r="F1795" s="84" t="s">
        <v>1142</v>
      </c>
      <c r="G1795" s="84" t="s">
        <v>3605</v>
      </c>
      <c r="H1795" s="84" t="s">
        <v>3521</v>
      </c>
      <c r="I1795" s="84" t="s">
        <v>3684</v>
      </c>
      <c r="J1795" s="84" t="s">
        <v>130</v>
      </c>
      <c r="K1795" s="84" t="s">
        <v>111</v>
      </c>
      <c r="L1795" s="87">
        <v>336.0</v>
      </c>
      <c r="M1795" s="87">
        <v>0.0</v>
      </c>
      <c r="N1795" s="87">
        <v>4.414286</v>
      </c>
      <c r="O1795" s="87">
        <v>0.0</v>
      </c>
      <c r="P1795" s="87">
        <v>0.0</v>
      </c>
      <c r="Q1795" s="87">
        <v>4.414286</v>
      </c>
    </row>
    <row r="1796">
      <c r="A1796" s="84" t="s">
        <v>644</v>
      </c>
      <c r="B1796" s="194"/>
      <c r="C1796" s="84" t="s">
        <v>1218</v>
      </c>
      <c r="D1796" s="88" t="s">
        <v>1396</v>
      </c>
      <c r="E1796" s="84" t="s">
        <v>3683</v>
      </c>
      <c r="F1796" s="84" t="s">
        <v>850</v>
      </c>
      <c r="G1796" s="84" t="s">
        <v>3551</v>
      </c>
      <c r="H1796" s="84" t="s">
        <v>3521</v>
      </c>
      <c r="I1796" s="84" t="s">
        <v>3684</v>
      </c>
      <c r="J1796" s="91"/>
      <c r="K1796" s="84" t="s">
        <v>111</v>
      </c>
      <c r="L1796" s="87">
        <v>312.0</v>
      </c>
      <c r="M1796" s="87">
        <v>0.0</v>
      </c>
      <c r="N1796" s="87">
        <v>0.203462</v>
      </c>
      <c r="O1796" s="87">
        <v>0.125</v>
      </c>
      <c r="P1796" s="87">
        <v>0.266667</v>
      </c>
      <c r="Q1796" s="87">
        <v>0.145128</v>
      </c>
    </row>
    <row r="1797">
      <c r="A1797" s="84" t="s">
        <v>644</v>
      </c>
      <c r="B1797" s="194"/>
      <c r="C1797" s="84" t="s">
        <v>697</v>
      </c>
      <c r="D1797" s="88" t="s">
        <v>1396</v>
      </c>
      <c r="E1797" s="84" t="s">
        <v>3683</v>
      </c>
      <c r="F1797" s="84" t="s">
        <v>686</v>
      </c>
      <c r="G1797" s="84" t="s">
        <v>3607</v>
      </c>
      <c r="H1797" s="84" t="s">
        <v>3521</v>
      </c>
      <c r="I1797" s="84" t="s">
        <v>3684</v>
      </c>
      <c r="J1797" s="84" t="s">
        <v>215</v>
      </c>
      <c r="K1797" s="84" t="s">
        <v>111</v>
      </c>
      <c r="L1797" s="87">
        <v>72.0</v>
      </c>
      <c r="M1797" s="87">
        <v>0.0</v>
      </c>
      <c r="N1797" s="87">
        <v>0.035714</v>
      </c>
      <c r="O1797" s="87">
        <v>0.0</v>
      </c>
      <c r="P1797" s="87">
        <v>0.0</v>
      </c>
      <c r="Q1797" s="87">
        <v>0.035714</v>
      </c>
    </row>
    <row r="1798">
      <c r="A1798" s="84" t="s">
        <v>644</v>
      </c>
      <c r="B1798" s="194"/>
      <c r="C1798" s="84" t="s">
        <v>1267</v>
      </c>
      <c r="D1798" s="88" t="s">
        <v>1396</v>
      </c>
      <c r="E1798" s="84" t="s">
        <v>3683</v>
      </c>
      <c r="F1798" s="84" t="s">
        <v>682</v>
      </c>
      <c r="G1798" s="84" t="s">
        <v>3563</v>
      </c>
      <c r="H1798" s="84" t="s">
        <v>3521</v>
      </c>
      <c r="I1798" s="84" t="s">
        <v>3684</v>
      </c>
      <c r="J1798" s="91"/>
      <c r="K1798" s="91"/>
      <c r="L1798" s="87">
        <v>0.0</v>
      </c>
      <c r="M1798" s="87">
        <v>1.0</v>
      </c>
      <c r="N1798" s="87">
        <v>0.0</v>
      </c>
      <c r="O1798" s="87">
        <v>0.571429</v>
      </c>
      <c r="P1798" s="87">
        <v>0.504598</v>
      </c>
      <c r="Q1798" s="87">
        <v>0.443105</v>
      </c>
    </row>
    <row r="1799">
      <c r="A1799" s="84" t="s">
        <v>481</v>
      </c>
      <c r="B1799" s="194"/>
      <c r="C1799" s="84" t="s">
        <v>1004</v>
      </c>
      <c r="D1799" s="88" t="s">
        <v>1396</v>
      </c>
      <c r="E1799" s="84" t="s">
        <v>3683</v>
      </c>
      <c r="F1799" s="84" t="s">
        <v>989</v>
      </c>
      <c r="G1799" s="84" t="s">
        <v>3585</v>
      </c>
      <c r="H1799" s="84" t="s">
        <v>3521</v>
      </c>
      <c r="I1799" s="84" t="s">
        <v>3684</v>
      </c>
      <c r="J1799" s="84" t="s">
        <v>130</v>
      </c>
      <c r="K1799" s="91"/>
      <c r="L1799" s="87">
        <v>24.0</v>
      </c>
      <c r="M1799" s="87">
        <v>0.0</v>
      </c>
      <c r="N1799" s="87">
        <v>0.0</v>
      </c>
      <c r="O1799" s="87">
        <v>0.071429</v>
      </c>
      <c r="P1799" s="87">
        <v>0.133333</v>
      </c>
      <c r="Q1799" s="87">
        <v>0.166667</v>
      </c>
    </row>
    <row r="1800">
      <c r="A1800" s="84" t="s">
        <v>644</v>
      </c>
      <c r="B1800" s="194"/>
      <c r="C1800" s="84" t="s">
        <v>677</v>
      </c>
      <c r="D1800" s="88" t="s">
        <v>1396</v>
      </c>
      <c r="E1800" s="84" t="s">
        <v>3683</v>
      </c>
      <c r="F1800" s="84" t="s">
        <v>678</v>
      </c>
      <c r="G1800" s="84" t="s">
        <v>3944</v>
      </c>
      <c r="H1800" s="84" t="s">
        <v>3521</v>
      </c>
      <c r="I1800" s="84" t="s">
        <v>3684</v>
      </c>
      <c r="J1800" s="84" t="s">
        <v>130</v>
      </c>
      <c r="K1800" s="91"/>
      <c r="L1800" s="87">
        <v>72.0</v>
      </c>
      <c r="M1800" s="87">
        <v>0.0</v>
      </c>
      <c r="N1800" s="87">
        <v>0.5</v>
      </c>
      <c r="O1800" s="87">
        <v>0.0</v>
      </c>
      <c r="P1800" s="87">
        <v>0.0</v>
      </c>
      <c r="Q1800" s="87">
        <v>0.5</v>
      </c>
    </row>
    <row r="1801">
      <c r="A1801" s="84" t="s">
        <v>644</v>
      </c>
      <c r="B1801" s="194"/>
      <c r="C1801" s="84" t="s">
        <v>1263</v>
      </c>
      <c r="D1801" s="88" t="s">
        <v>1396</v>
      </c>
      <c r="E1801" s="84" t="s">
        <v>3683</v>
      </c>
      <c r="F1801" s="84" t="s">
        <v>682</v>
      </c>
      <c r="G1801" s="84" t="s">
        <v>3563</v>
      </c>
      <c r="H1801" s="84" t="s">
        <v>3521</v>
      </c>
      <c r="I1801" s="84" t="s">
        <v>3684</v>
      </c>
      <c r="J1801" s="84" t="s">
        <v>130</v>
      </c>
      <c r="K1801" s="91"/>
      <c r="L1801" s="87">
        <v>24.0</v>
      </c>
      <c r="M1801" s="87">
        <v>0.0</v>
      </c>
      <c r="N1801" s="87">
        <v>0.0</v>
      </c>
      <c r="O1801" s="87">
        <v>0.0</v>
      </c>
      <c r="P1801" s="87">
        <v>0.0</v>
      </c>
      <c r="Q1801" s="87">
        <v>0.0</v>
      </c>
    </row>
    <row r="1802">
      <c r="A1802" s="84" t="s">
        <v>644</v>
      </c>
      <c r="B1802" s="194"/>
      <c r="C1802" s="84" t="s">
        <v>725</v>
      </c>
      <c r="D1802" s="88" t="s">
        <v>1396</v>
      </c>
      <c r="E1802" s="84" t="s">
        <v>3683</v>
      </c>
      <c r="F1802" s="84" t="s">
        <v>3751</v>
      </c>
      <c r="G1802" s="84" t="s">
        <v>3752</v>
      </c>
      <c r="I1802" s="84" t="s">
        <v>3684</v>
      </c>
      <c r="J1802" s="91"/>
      <c r="K1802" s="91"/>
      <c r="L1802" s="87">
        <v>24.0</v>
      </c>
      <c r="M1802" s="87">
        <v>0.0</v>
      </c>
      <c r="N1802" s="87">
        <v>0.0</v>
      </c>
      <c r="O1802" s="87">
        <v>0.0</v>
      </c>
      <c r="P1802" s="87">
        <v>0.0</v>
      </c>
      <c r="Q1802" s="87">
        <v>0.0</v>
      </c>
    </row>
    <row r="1803">
      <c r="A1803" s="84" t="s">
        <v>644</v>
      </c>
      <c r="B1803" s="194"/>
      <c r="C1803" s="84" t="s">
        <v>1267</v>
      </c>
      <c r="D1803" s="88" t="s">
        <v>1396</v>
      </c>
      <c r="E1803" s="84" t="s">
        <v>3683</v>
      </c>
      <c r="F1803" s="84" t="s">
        <v>682</v>
      </c>
      <c r="G1803" s="84" t="s">
        <v>3563</v>
      </c>
      <c r="H1803" s="84" t="s">
        <v>3521</v>
      </c>
      <c r="I1803" s="84" t="s">
        <v>3684</v>
      </c>
      <c r="J1803" s="91"/>
      <c r="K1803" s="84" t="s">
        <v>111</v>
      </c>
      <c r="L1803" s="87">
        <v>624.0</v>
      </c>
      <c r="M1803" s="87">
        <v>0.0</v>
      </c>
      <c r="N1803" s="87">
        <v>0.0</v>
      </c>
      <c r="O1803" s="87">
        <v>0.0</v>
      </c>
      <c r="P1803" s="87">
        <v>0.0</v>
      </c>
      <c r="Q1803" s="87">
        <v>0.0</v>
      </c>
    </row>
    <row r="1804">
      <c r="A1804" s="84" t="s">
        <v>537</v>
      </c>
      <c r="B1804" s="194"/>
      <c r="C1804" s="84" t="s">
        <v>550</v>
      </c>
      <c r="D1804" s="88" t="s">
        <v>1396</v>
      </c>
      <c r="E1804" s="84" t="s">
        <v>3683</v>
      </c>
      <c r="F1804" s="84" t="s">
        <v>551</v>
      </c>
      <c r="G1804" s="84" t="s">
        <v>3590</v>
      </c>
      <c r="H1804" s="84" t="s">
        <v>3521</v>
      </c>
      <c r="I1804" s="84" t="s">
        <v>3693</v>
      </c>
      <c r="J1804" s="91"/>
      <c r="K1804" s="84" t="s">
        <v>111</v>
      </c>
      <c r="L1804" s="87">
        <v>456.0</v>
      </c>
      <c r="M1804" s="87">
        <v>0.0</v>
      </c>
      <c r="N1804" s="87">
        <v>0.0</v>
      </c>
      <c r="O1804" s="87">
        <v>0.0</v>
      </c>
      <c r="P1804" s="87">
        <v>0.033333</v>
      </c>
      <c r="Q1804" s="87">
        <v>0.019608</v>
      </c>
    </row>
    <row r="1805">
      <c r="A1805" s="84" t="s">
        <v>393</v>
      </c>
      <c r="B1805" s="194"/>
      <c r="C1805" s="84" t="s">
        <v>3645</v>
      </c>
      <c r="D1805" s="88" t="s">
        <v>1396</v>
      </c>
      <c r="E1805" s="91"/>
      <c r="F1805" s="84" t="s">
        <v>340</v>
      </c>
      <c r="G1805" s="84" t="s">
        <v>3567</v>
      </c>
      <c r="I1805" s="84" t="s">
        <v>3693</v>
      </c>
      <c r="J1805" s="91"/>
      <c r="K1805" s="91"/>
      <c r="L1805" s="87">
        <v>480.0</v>
      </c>
      <c r="M1805" s="87">
        <v>0.0</v>
      </c>
      <c r="N1805" s="87">
        <v>0.0</v>
      </c>
      <c r="O1805" s="87">
        <v>0.0</v>
      </c>
      <c r="P1805" s="87">
        <v>0.0</v>
      </c>
      <c r="Q1805" s="87">
        <v>0.0</v>
      </c>
    </row>
    <row r="1806">
      <c r="A1806" s="84" t="s">
        <v>213</v>
      </c>
      <c r="B1806" s="194"/>
      <c r="C1806" s="84" t="s">
        <v>3988</v>
      </c>
      <c r="D1806" s="88" t="s">
        <v>1396</v>
      </c>
      <c r="E1806" s="84" t="s">
        <v>3687</v>
      </c>
      <c r="F1806" s="84" t="s">
        <v>856</v>
      </c>
      <c r="G1806" s="84" t="s">
        <v>3552</v>
      </c>
      <c r="I1806" s="84" t="s">
        <v>3684</v>
      </c>
      <c r="J1806" s="91"/>
      <c r="K1806" s="91"/>
      <c r="L1806" s="87">
        <v>552.0</v>
      </c>
      <c r="M1806" s="87">
        <v>0.0</v>
      </c>
      <c r="N1806" s="87">
        <v>0.0</v>
      </c>
      <c r="O1806" s="87">
        <v>0.0</v>
      </c>
      <c r="P1806" s="87">
        <v>0.0</v>
      </c>
      <c r="Q1806" s="87">
        <v>0.0</v>
      </c>
    </row>
    <row r="1807">
      <c r="A1807" s="84" t="s">
        <v>363</v>
      </c>
      <c r="B1807" s="194"/>
      <c r="C1807" s="84" t="s">
        <v>930</v>
      </c>
      <c r="D1807" s="88" t="s">
        <v>1396</v>
      </c>
      <c r="E1807" s="84" t="s">
        <v>3687</v>
      </c>
      <c r="F1807" s="84" t="s">
        <v>927</v>
      </c>
      <c r="G1807" s="84" t="s">
        <v>3565</v>
      </c>
      <c r="H1807" s="87">
        <v>0.0</v>
      </c>
      <c r="I1807" s="84" t="s">
        <v>3709</v>
      </c>
      <c r="J1807" s="84" t="s">
        <v>130</v>
      </c>
      <c r="K1807" s="91"/>
      <c r="L1807" s="87">
        <v>24.0</v>
      </c>
      <c r="M1807" s="87">
        <v>0.0</v>
      </c>
      <c r="N1807" s="87">
        <v>0.0</v>
      </c>
      <c r="O1807" s="87">
        <v>0.0</v>
      </c>
      <c r="P1807" s="87">
        <v>0.0</v>
      </c>
      <c r="Q1807" s="87">
        <v>0.0</v>
      </c>
    </row>
    <row r="1808">
      <c r="A1808" s="84" t="s">
        <v>439</v>
      </c>
      <c r="B1808" s="194"/>
      <c r="C1808" s="84" t="s">
        <v>3653</v>
      </c>
      <c r="D1808" s="88" t="s">
        <v>1396</v>
      </c>
      <c r="E1808" s="84" t="s">
        <v>3683</v>
      </c>
      <c r="F1808" s="84" t="s">
        <v>3714</v>
      </c>
      <c r="G1808" s="84" t="s">
        <v>3715</v>
      </c>
      <c r="H1808" s="84" t="s">
        <v>3527</v>
      </c>
      <c r="I1808" s="84" t="s">
        <v>3684</v>
      </c>
      <c r="J1808" s="91"/>
      <c r="K1808" s="91"/>
      <c r="L1808" s="87">
        <v>185.0</v>
      </c>
      <c r="M1808" s="87">
        <v>42.0</v>
      </c>
      <c r="N1808" s="87">
        <v>15.69586</v>
      </c>
      <c r="O1808" s="87">
        <v>44.05811</v>
      </c>
      <c r="P1808" s="87">
        <v>44.05811</v>
      </c>
      <c r="Q1808" s="87">
        <v>47.41449</v>
      </c>
    </row>
    <row r="1809">
      <c r="A1809" s="84" t="s">
        <v>472</v>
      </c>
      <c r="B1809" s="194"/>
      <c r="C1809" s="84" t="s">
        <v>1019</v>
      </c>
      <c r="D1809" s="88" t="s">
        <v>1396</v>
      </c>
      <c r="E1809" s="84" t="s">
        <v>3683</v>
      </c>
      <c r="F1809" s="84" t="s">
        <v>1020</v>
      </c>
      <c r="G1809" s="84" t="s">
        <v>3560</v>
      </c>
      <c r="H1809" s="84" t="s">
        <v>3507</v>
      </c>
      <c r="I1809" s="84" t="s">
        <v>3684</v>
      </c>
      <c r="J1809" s="91"/>
      <c r="K1809" s="91"/>
      <c r="L1809" s="87">
        <v>120.0</v>
      </c>
      <c r="M1809" s="87">
        <v>0.0</v>
      </c>
      <c r="N1809" s="87">
        <v>0.786758</v>
      </c>
      <c r="O1809" s="87">
        <v>0.54329</v>
      </c>
      <c r="P1809" s="87">
        <v>0.934954</v>
      </c>
      <c r="Q1809" s="87">
        <v>0.564118</v>
      </c>
    </row>
    <row r="1810">
      <c r="A1810" s="84" t="s">
        <v>472</v>
      </c>
      <c r="B1810" s="194"/>
      <c r="C1810" s="84" t="s">
        <v>982</v>
      </c>
      <c r="D1810" s="88" t="s">
        <v>1396</v>
      </c>
      <c r="E1810" s="84" t="s">
        <v>3683</v>
      </c>
      <c r="F1810" s="84" t="s">
        <v>983</v>
      </c>
      <c r="G1810" s="84" t="s">
        <v>3584</v>
      </c>
      <c r="H1810" s="84" t="s">
        <v>3507</v>
      </c>
      <c r="I1810" s="84" t="s">
        <v>3684</v>
      </c>
      <c r="J1810" s="91"/>
      <c r="K1810" s="91"/>
      <c r="L1810" s="87">
        <v>298.0</v>
      </c>
      <c r="M1810" s="87">
        <v>4.0</v>
      </c>
      <c r="N1810" s="87">
        <v>3.667816</v>
      </c>
      <c r="O1810" s="87">
        <v>8.084099</v>
      </c>
      <c r="P1810" s="87">
        <v>6.424252</v>
      </c>
      <c r="Q1810" s="87">
        <v>4.597289</v>
      </c>
    </row>
    <row r="1811">
      <c r="A1811" s="84" t="s">
        <v>213</v>
      </c>
      <c r="B1811" s="194"/>
      <c r="C1811" s="84" t="s">
        <v>857</v>
      </c>
      <c r="D1811" s="88" t="s">
        <v>1396</v>
      </c>
      <c r="E1811" s="84" t="s">
        <v>3683</v>
      </c>
      <c r="F1811" s="84" t="s">
        <v>858</v>
      </c>
      <c r="G1811" s="84" t="s">
        <v>3552</v>
      </c>
      <c r="H1811" s="84" t="s">
        <v>3521</v>
      </c>
      <c r="I1811" s="84" t="s">
        <v>3684</v>
      </c>
      <c r="J1811" s="84" t="s">
        <v>130</v>
      </c>
      <c r="K1811" s="84" t="s">
        <v>111</v>
      </c>
      <c r="L1811" s="87">
        <v>24.0</v>
      </c>
      <c r="M1811" s="87">
        <v>0.0</v>
      </c>
      <c r="N1811" s="87">
        <v>0.0</v>
      </c>
      <c r="O1811" s="87">
        <v>0.0</v>
      </c>
      <c r="P1811" s="87">
        <v>0.0</v>
      </c>
      <c r="Q1811" s="87">
        <v>0.0</v>
      </c>
    </row>
    <row r="1812">
      <c r="A1812" s="84" t="s">
        <v>537</v>
      </c>
      <c r="B1812" s="194"/>
      <c r="C1812" s="84" t="s">
        <v>1050</v>
      </c>
      <c r="D1812" s="88" t="s">
        <v>1396</v>
      </c>
      <c r="E1812" s="84" t="s">
        <v>3683</v>
      </c>
      <c r="F1812" s="84" t="s">
        <v>1047</v>
      </c>
      <c r="G1812" s="84" t="s">
        <v>3592</v>
      </c>
      <c r="H1812" s="84" t="s">
        <v>3521</v>
      </c>
      <c r="I1812" s="84" t="s">
        <v>3693</v>
      </c>
      <c r="J1812" s="84" t="s">
        <v>130</v>
      </c>
      <c r="K1812" s="91"/>
      <c r="L1812" s="87">
        <v>24.0</v>
      </c>
      <c r="M1812" s="87">
        <v>0.0</v>
      </c>
      <c r="N1812" s="87">
        <v>0.0</v>
      </c>
      <c r="O1812" s="87">
        <v>0.0</v>
      </c>
      <c r="P1812" s="87">
        <v>0.0</v>
      </c>
      <c r="Q1812" s="87">
        <v>0.0</v>
      </c>
    </row>
    <row r="1813">
      <c r="A1813" s="84" t="s">
        <v>644</v>
      </c>
      <c r="B1813" s="194"/>
      <c r="C1813" s="84" t="s">
        <v>1245</v>
      </c>
      <c r="D1813" s="88" t="s">
        <v>1396</v>
      </c>
      <c r="E1813" s="84" t="s">
        <v>3683</v>
      </c>
      <c r="F1813" s="84" t="s">
        <v>1244</v>
      </c>
      <c r="G1813" s="84" t="s">
        <v>3607</v>
      </c>
      <c r="H1813" s="84" t="s">
        <v>3521</v>
      </c>
      <c r="I1813" s="84" t="s">
        <v>3684</v>
      </c>
      <c r="J1813" s="84" t="s">
        <v>130</v>
      </c>
      <c r="K1813" s="91"/>
      <c r="L1813" s="87">
        <v>24.0</v>
      </c>
      <c r="M1813" s="87">
        <v>0.0</v>
      </c>
      <c r="N1813" s="87">
        <v>0.0</v>
      </c>
      <c r="O1813" s="87">
        <v>0.0</v>
      </c>
      <c r="P1813" s="87">
        <v>0.0</v>
      </c>
      <c r="Q1813" s="87">
        <v>0.019608</v>
      </c>
    </row>
    <row r="1814">
      <c r="A1814" s="84" t="s">
        <v>481</v>
      </c>
      <c r="B1814" s="194"/>
      <c r="C1814" s="84" t="s">
        <v>498</v>
      </c>
      <c r="D1814" s="88" t="s">
        <v>1396</v>
      </c>
      <c r="E1814" s="84" t="s">
        <v>3683</v>
      </c>
      <c r="F1814" s="84" t="s">
        <v>491</v>
      </c>
      <c r="G1814" s="84" t="s">
        <v>3560</v>
      </c>
      <c r="H1814" s="84" t="s">
        <v>3521</v>
      </c>
      <c r="I1814" s="84" t="s">
        <v>3684</v>
      </c>
      <c r="J1814" s="84" t="s">
        <v>130</v>
      </c>
      <c r="K1814" s="91"/>
      <c r="L1814" s="87">
        <v>24.0</v>
      </c>
      <c r="M1814" s="87">
        <v>0.0</v>
      </c>
      <c r="N1814" s="87">
        <v>0.0</v>
      </c>
      <c r="O1814" s="87">
        <v>0.0</v>
      </c>
      <c r="P1814" s="87">
        <v>0.033333</v>
      </c>
      <c r="Q1814" s="87">
        <v>0.05</v>
      </c>
    </row>
    <row r="1815">
      <c r="A1815" s="84" t="s">
        <v>644</v>
      </c>
      <c r="B1815" s="194"/>
      <c r="C1815" s="84" t="s">
        <v>684</v>
      </c>
      <c r="D1815" s="88" t="s">
        <v>1396</v>
      </c>
      <c r="E1815" s="84" t="s">
        <v>3687</v>
      </c>
      <c r="F1815" s="84" t="s">
        <v>682</v>
      </c>
      <c r="G1815" s="84" t="s">
        <v>3563</v>
      </c>
      <c r="H1815" s="84" t="s">
        <v>3521</v>
      </c>
      <c r="I1815" s="84" t="s">
        <v>3684</v>
      </c>
      <c r="J1815" s="84" t="s">
        <v>130</v>
      </c>
      <c r="K1815" s="91"/>
      <c r="L1815" s="87">
        <v>72.0</v>
      </c>
      <c r="M1815" s="87">
        <v>0.0</v>
      </c>
      <c r="N1815" s="87">
        <v>2.5</v>
      </c>
      <c r="O1815" s="87">
        <v>0.0</v>
      </c>
      <c r="P1815" s="87">
        <v>0.033333</v>
      </c>
      <c r="Q1815" s="87">
        <v>2.566667</v>
      </c>
    </row>
    <row r="1816">
      <c r="A1816" s="84" t="s">
        <v>139</v>
      </c>
      <c r="B1816" s="194"/>
      <c r="C1816" s="84" t="s">
        <v>1318</v>
      </c>
      <c r="D1816" s="88" t="s">
        <v>1396</v>
      </c>
      <c r="E1816" s="84" t="s">
        <v>3683</v>
      </c>
      <c r="F1816" s="84" t="s">
        <v>3861</v>
      </c>
      <c r="G1816" s="84" t="s">
        <v>3861</v>
      </c>
      <c r="H1816" s="84" t="s">
        <v>3521</v>
      </c>
      <c r="I1816" s="84" t="s">
        <v>3684</v>
      </c>
      <c r="J1816" s="84" t="s">
        <v>130</v>
      </c>
      <c r="K1816" s="84" t="s">
        <v>111</v>
      </c>
      <c r="L1816" s="87">
        <v>24.0</v>
      </c>
      <c r="M1816" s="87">
        <v>0.0</v>
      </c>
      <c r="N1816" s="87">
        <v>0.0</v>
      </c>
      <c r="O1816" s="87">
        <v>0.0</v>
      </c>
      <c r="P1816" s="87">
        <v>0.0</v>
      </c>
      <c r="Q1816" s="87">
        <v>0.0</v>
      </c>
    </row>
    <row r="1817">
      <c r="A1817" s="84" t="s">
        <v>258</v>
      </c>
      <c r="B1817" s="194"/>
      <c r="C1817" s="84" t="s">
        <v>897</v>
      </c>
      <c r="D1817" s="88" t="s">
        <v>1396</v>
      </c>
      <c r="E1817" s="84" t="s">
        <v>3683</v>
      </c>
      <c r="F1817" s="84" t="s">
        <v>898</v>
      </c>
      <c r="G1817" s="84" t="s">
        <v>3560</v>
      </c>
      <c r="H1817" s="84" t="s">
        <v>3521</v>
      </c>
      <c r="I1817" s="84" t="s">
        <v>3684</v>
      </c>
      <c r="J1817" s="84" t="s">
        <v>130</v>
      </c>
      <c r="K1817" s="91"/>
      <c r="L1817" s="87">
        <v>0.0</v>
      </c>
      <c r="M1817" s="87">
        <v>0.0</v>
      </c>
      <c r="N1817" s="87">
        <v>0.0</v>
      </c>
      <c r="O1817" s="87">
        <v>0.0</v>
      </c>
      <c r="P1817" s="87">
        <v>0.0</v>
      </c>
      <c r="Q1817" s="87">
        <v>0.0</v>
      </c>
    </row>
    <row r="1818">
      <c r="A1818" s="84" t="s">
        <v>481</v>
      </c>
      <c r="B1818" s="194"/>
      <c r="C1818" s="84" t="s">
        <v>1003</v>
      </c>
      <c r="D1818" s="88" t="s">
        <v>1396</v>
      </c>
      <c r="E1818" s="84" t="s">
        <v>3683</v>
      </c>
      <c r="F1818" s="84" t="s">
        <v>989</v>
      </c>
      <c r="G1818" s="84" t="s">
        <v>3585</v>
      </c>
      <c r="H1818" s="84" t="s">
        <v>3521</v>
      </c>
      <c r="I1818" s="84" t="s">
        <v>3684</v>
      </c>
      <c r="J1818" s="84" t="s">
        <v>130</v>
      </c>
      <c r="K1818" s="91"/>
      <c r="L1818" s="87">
        <v>24.0</v>
      </c>
      <c r="M1818" s="87">
        <v>0.0</v>
      </c>
      <c r="N1818" s="87">
        <v>0.0</v>
      </c>
      <c r="O1818" s="87">
        <v>0.0</v>
      </c>
      <c r="P1818" s="87">
        <v>0.066667</v>
      </c>
      <c r="Q1818" s="87">
        <v>0.116667</v>
      </c>
    </row>
    <row r="1819">
      <c r="A1819" s="84" t="s">
        <v>644</v>
      </c>
      <c r="B1819" s="194"/>
      <c r="C1819" s="84" t="s">
        <v>671</v>
      </c>
      <c r="D1819" s="88" t="s">
        <v>1396</v>
      </c>
      <c r="E1819" s="84" t="s">
        <v>3683</v>
      </c>
      <c r="F1819" s="84" t="s">
        <v>670</v>
      </c>
      <c r="G1819" s="84" t="s">
        <v>3789</v>
      </c>
      <c r="H1819" s="84" t="s">
        <v>3521</v>
      </c>
      <c r="I1819" s="84" t="s">
        <v>3684</v>
      </c>
      <c r="J1819" s="84" t="s">
        <v>130</v>
      </c>
      <c r="K1819" s="91"/>
      <c r="L1819" s="87">
        <v>24.0</v>
      </c>
      <c r="M1819" s="87">
        <v>0.0</v>
      </c>
      <c r="N1819" s="87">
        <v>0.0</v>
      </c>
      <c r="O1819" s="87">
        <v>0.0</v>
      </c>
      <c r="P1819" s="87">
        <v>0.0</v>
      </c>
      <c r="Q1819" s="87">
        <v>0.0</v>
      </c>
    </row>
    <row r="1820">
      <c r="A1820" s="84" t="s">
        <v>644</v>
      </c>
      <c r="B1820" s="194"/>
      <c r="C1820" s="84" t="s">
        <v>1252</v>
      </c>
      <c r="D1820" s="88" t="s">
        <v>1396</v>
      </c>
      <c r="E1820" s="84" t="s">
        <v>3683</v>
      </c>
      <c r="F1820" s="84" t="s">
        <v>708</v>
      </c>
      <c r="G1820" s="84" t="s">
        <v>3607</v>
      </c>
      <c r="H1820" s="84" t="s">
        <v>3521</v>
      </c>
      <c r="I1820" s="84" t="s">
        <v>3684</v>
      </c>
      <c r="J1820" s="84" t="s">
        <v>130</v>
      </c>
      <c r="K1820" s="91"/>
      <c r="L1820" s="87">
        <v>24.0</v>
      </c>
      <c r="M1820" s="87">
        <v>0.0</v>
      </c>
      <c r="N1820" s="87">
        <v>0.0</v>
      </c>
      <c r="O1820" s="87">
        <v>0.0</v>
      </c>
      <c r="P1820" s="87">
        <v>0.0</v>
      </c>
      <c r="Q1820" s="87">
        <v>0.0</v>
      </c>
    </row>
    <row r="1821">
      <c r="A1821" s="84" t="s">
        <v>472</v>
      </c>
      <c r="B1821" s="194"/>
      <c r="C1821" s="84" t="s">
        <v>486</v>
      </c>
      <c r="D1821" s="88" t="s">
        <v>1396</v>
      </c>
      <c r="E1821" s="84" t="s">
        <v>3683</v>
      </c>
      <c r="F1821" s="84" t="s">
        <v>453</v>
      </c>
      <c r="G1821" s="84" t="s">
        <v>3851</v>
      </c>
      <c r="H1821" s="84" t="s">
        <v>3521</v>
      </c>
      <c r="I1821" s="84" t="s">
        <v>3684</v>
      </c>
      <c r="J1821" s="84" t="s">
        <v>130</v>
      </c>
      <c r="K1821" s="91"/>
      <c r="L1821" s="87">
        <v>24.0</v>
      </c>
      <c r="M1821" s="87">
        <v>0.0</v>
      </c>
      <c r="N1821" s="87">
        <v>0.0</v>
      </c>
      <c r="O1821" s="87">
        <v>0.0</v>
      </c>
      <c r="P1821" s="87">
        <v>0.0</v>
      </c>
      <c r="Q1821" s="87">
        <v>0.0</v>
      </c>
    </row>
    <row r="1822">
      <c r="A1822" s="84" t="s">
        <v>745</v>
      </c>
      <c r="B1822" s="194"/>
      <c r="C1822" s="84" t="s">
        <v>752</v>
      </c>
      <c r="D1822" s="88" t="s">
        <v>1396</v>
      </c>
      <c r="E1822" s="84" t="s">
        <v>3687</v>
      </c>
      <c r="F1822" s="84" t="s">
        <v>753</v>
      </c>
      <c r="G1822" s="84" t="s">
        <v>4039</v>
      </c>
      <c r="H1822" s="84" t="s">
        <v>3521</v>
      </c>
      <c r="I1822" s="84" t="s">
        <v>3684</v>
      </c>
      <c r="J1822" s="84" t="s">
        <v>130</v>
      </c>
      <c r="K1822" s="91"/>
      <c r="L1822" s="87">
        <v>0.0</v>
      </c>
      <c r="M1822" s="87">
        <v>0.0</v>
      </c>
      <c r="N1822" s="87">
        <v>0.0</v>
      </c>
      <c r="O1822" s="87">
        <v>0.0</v>
      </c>
      <c r="P1822" s="87">
        <v>0.033333</v>
      </c>
      <c r="Q1822" s="87">
        <v>0.016667</v>
      </c>
    </row>
    <row r="1823">
      <c r="A1823" s="84" t="s">
        <v>537</v>
      </c>
      <c r="B1823" s="194"/>
      <c r="C1823" s="84" t="s">
        <v>554</v>
      </c>
      <c r="D1823" s="88" t="s">
        <v>1396</v>
      </c>
      <c r="E1823" s="84" t="s">
        <v>3683</v>
      </c>
      <c r="F1823" s="84" t="s">
        <v>551</v>
      </c>
      <c r="G1823" s="84" t="s">
        <v>3590</v>
      </c>
      <c r="H1823" s="84" t="s">
        <v>3521</v>
      </c>
      <c r="I1823" s="84" t="s">
        <v>3693</v>
      </c>
      <c r="J1823" s="91"/>
      <c r="K1823" s="91"/>
      <c r="L1823" s="87">
        <v>0.0</v>
      </c>
      <c r="M1823" s="87">
        <v>0.0</v>
      </c>
      <c r="N1823" s="87">
        <v>0.0</v>
      </c>
      <c r="O1823" s="87">
        <v>0.0</v>
      </c>
      <c r="P1823" s="87">
        <v>0.172578</v>
      </c>
      <c r="Q1823" s="87">
        <v>0.23533</v>
      </c>
    </row>
    <row r="1824">
      <c r="A1824" s="84" t="s">
        <v>481</v>
      </c>
      <c r="B1824" s="194"/>
      <c r="C1824" s="84" t="s">
        <v>521</v>
      </c>
      <c r="D1824" s="88" t="s">
        <v>1396</v>
      </c>
      <c r="E1824" s="84" t="s">
        <v>3683</v>
      </c>
      <c r="F1824" s="84" t="s">
        <v>516</v>
      </c>
      <c r="G1824" s="84" t="s">
        <v>3593</v>
      </c>
      <c r="I1824" s="84" t="s">
        <v>3684</v>
      </c>
      <c r="J1824" s="91"/>
      <c r="K1824" s="91"/>
      <c r="L1824" s="87">
        <v>456.0</v>
      </c>
      <c r="M1824" s="87">
        <v>0.0</v>
      </c>
      <c r="N1824" s="87">
        <v>0.0</v>
      </c>
      <c r="O1824" s="87">
        <v>0.0</v>
      </c>
      <c r="P1824" s="87">
        <v>0.0</v>
      </c>
      <c r="Q1824" s="87">
        <v>0.0</v>
      </c>
    </row>
    <row r="1825">
      <c r="A1825" s="84" t="s">
        <v>537</v>
      </c>
      <c r="B1825" s="194"/>
      <c r="C1825" s="84" t="s">
        <v>540</v>
      </c>
      <c r="D1825" s="88" t="s">
        <v>1396</v>
      </c>
      <c r="E1825" s="84" t="s">
        <v>3683</v>
      </c>
      <c r="F1825" s="84" t="s">
        <v>536</v>
      </c>
      <c r="G1825" s="84" t="s">
        <v>3782</v>
      </c>
      <c r="H1825" s="84" t="s">
        <v>3521</v>
      </c>
      <c r="I1825" s="84" t="s">
        <v>3693</v>
      </c>
      <c r="J1825" s="84" t="s">
        <v>130</v>
      </c>
      <c r="K1825" s="91"/>
      <c r="L1825" s="87">
        <v>248.0</v>
      </c>
      <c r="M1825" s="87">
        <v>2.0</v>
      </c>
      <c r="N1825" s="87">
        <v>1.054972</v>
      </c>
      <c r="O1825" s="87">
        <v>6.72619</v>
      </c>
      <c r="P1825" s="87">
        <v>3.483544</v>
      </c>
      <c r="Q1825" s="87">
        <v>2.025677</v>
      </c>
    </row>
    <row r="1826">
      <c r="A1826" s="84" t="s">
        <v>644</v>
      </c>
      <c r="B1826" s="194"/>
      <c r="C1826" s="84" t="s">
        <v>648</v>
      </c>
      <c r="D1826" s="88" t="s">
        <v>1396</v>
      </c>
      <c r="E1826" s="84" t="s">
        <v>3683</v>
      </c>
      <c r="F1826" s="84" t="s">
        <v>643</v>
      </c>
      <c r="G1826" s="84" t="s">
        <v>3734</v>
      </c>
      <c r="H1826" s="84" t="s">
        <v>3521</v>
      </c>
      <c r="I1826" s="84" t="s">
        <v>3684</v>
      </c>
      <c r="J1826" s="91"/>
      <c r="K1826" s="91"/>
      <c r="L1826" s="87">
        <v>515.0</v>
      </c>
      <c r="M1826" s="87">
        <v>8.0</v>
      </c>
      <c r="N1826" s="87">
        <v>2.554246</v>
      </c>
      <c r="O1826" s="87">
        <v>16.00462</v>
      </c>
      <c r="P1826" s="87">
        <v>15.87081</v>
      </c>
      <c r="Q1826" s="87">
        <v>12.39369</v>
      </c>
    </row>
    <row r="1827">
      <c r="A1827" s="84" t="s">
        <v>74</v>
      </c>
      <c r="B1827" s="194"/>
      <c r="C1827" s="84" t="s">
        <v>3589</v>
      </c>
      <c r="D1827" s="88" t="s">
        <v>1396</v>
      </c>
      <c r="E1827" s="84" t="s">
        <v>3683</v>
      </c>
      <c r="F1827" s="84" t="s">
        <v>3796</v>
      </c>
      <c r="G1827" s="91"/>
      <c r="H1827" s="84" t="s">
        <v>3521</v>
      </c>
      <c r="I1827" s="84" t="s">
        <v>3684</v>
      </c>
      <c r="J1827" s="91"/>
      <c r="K1827" s="91"/>
      <c r="L1827" s="87">
        <v>0.0</v>
      </c>
      <c r="M1827" s="87">
        <v>0.0</v>
      </c>
      <c r="N1827" s="87">
        <v>0.0</v>
      </c>
      <c r="O1827" s="87">
        <v>0.285714</v>
      </c>
      <c r="P1827" s="87">
        <v>0.166667</v>
      </c>
      <c r="Q1827" s="87">
        <v>0.126967</v>
      </c>
    </row>
    <row r="1828">
      <c r="A1828" s="84" t="s">
        <v>630</v>
      </c>
      <c r="B1828" s="194"/>
      <c r="C1828" s="84" t="s">
        <v>1092</v>
      </c>
      <c r="D1828" s="88" t="s">
        <v>1396</v>
      </c>
      <c r="E1828" s="84" t="s">
        <v>3683</v>
      </c>
      <c r="F1828" s="84" t="s">
        <v>1091</v>
      </c>
      <c r="G1828" s="84" t="s">
        <v>3601</v>
      </c>
      <c r="H1828" s="84" t="s">
        <v>3521</v>
      </c>
      <c r="I1828" s="84" t="s">
        <v>3684</v>
      </c>
      <c r="J1828" s="91"/>
      <c r="K1828" s="91"/>
      <c r="L1828" s="87">
        <v>44.0</v>
      </c>
      <c r="M1828" s="87">
        <v>5.0</v>
      </c>
      <c r="N1828" s="87">
        <v>0.694139</v>
      </c>
      <c r="O1828" s="87">
        <v>4.004512</v>
      </c>
      <c r="P1828" s="87">
        <v>2.913446</v>
      </c>
      <c r="Q1828" s="87">
        <v>2.561182</v>
      </c>
    </row>
    <row r="1829">
      <c r="A1829" s="84" t="s">
        <v>363</v>
      </c>
      <c r="B1829" s="194"/>
      <c r="C1829" s="84" t="s">
        <v>930</v>
      </c>
      <c r="D1829" s="88" t="s">
        <v>1396</v>
      </c>
      <c r="E1829" s="84" t="s">
        <v>3687</v>
      </c>
      <c r="F1829" s="84" t="s">
        <v>927</v>
      </c>
      <c r="G1829" s="84" t="s">
        <v>3565</v>
      </c>
      <c r="H1829" s="84" t="s">
        <v>4077</v>
      </c>
      <c r="I1829" s="84" t="s">
        <v>3709</v>
      </c>
      <c r="J1829" s="84" t="s">
        <v>130</v>
      </c>
      <c r="K1829" s="91"/>
      <c r="L1829" s="87">
        <v>624.0</v>
      </c>
      <c r="M1829" s="87">
        <v>0.0</v>
      </c>
      <c r="N1829" s="87">
        <v>0.145696</v>
      </c>
      <c r="O1829" s="87">
        <v>0.0</v>
      </c>
      <c r="P1829" s="87">
        <v>0.833333</v>
      </c>
      <c r="Q1829" s="87">
        <v>0.145696</v>
      </c>
    </row>
    <row r="1830">
      <c r="A1830" s="84" t="s">
        <v>1130</v>
      </c>
      <c r="B1830" s="194"/>
      <c r="C1830" s="84" t="s">
        <v>1137</v>
      </c>
      <c r="D1830" s="88" t="s">
        <v>1396</v>
      </c>
      <c r="E1830" s="84" t="s">
        <v>3683</v>
      </c>
      <c r="F1830" s="84" t="s">
        <v>973</v>
      </c>
      <c r="G1830" s="84" t="s">
        <v>3582</v>
      </c>
      <c r="H1830" s="84" t="s">
        <v>3521</v>
      </c>
      <c r="I1830" s="84" t="s">
        <v>3684</v>
      </c>
      <c r="J1830" s="84" t="s">
        <v>130</v>
      </c>
      <c r="K1830" s="84" t="s">
        <v>111</v>
      </c>
      <c r="L1830" s="87">
        <v>96.0</v>
      </c>
      <c r="M1830" s="87">
        <v>0.0</v>
      </c>
      <c r="N1830" s="87">
        <v>0.0</v>
      </c>
      <c r="O1830" s="87">
        <v>0.0</v>
      </c>
      <c r="P1830" s="87">
        <v>0.0</v>
      </c>
      <c r="Q1830" s="87">
        <v>0.0</v>
      </c>
    </row>
    <row r="1831">
      <c r="A1831" s="84" t="s">
        <v>616</v>
      </c>
      <c r="B1831" s="194"/>
      <c r="C1831" s="84" t="s">
        <v>627</v>
      </c>
      <c r="D1831" s="88" t="s">
        <v>1396</v>
      </c>
      <c r="E1831" s="84" t="s">
        <v>3683</v>
      </c>
      <c r="F1831" s="84" t="s">
        <v>621</v>
      </c>
      <c r="G1831" s="84" t="s">
        <v>3552</v>
      </c>
      <c r="H1831" s="84" t="s">
        <v>3521</v>
      </c>
      <c r="I1831" s="84" t="s">
        <v>3684</v>
      </c>
      <c r="J1831" s="84" t="s">
        <v>130</v>
      </c>
      <c r="K1831" s="91"/>
      <c r="L1831" s="87">
        <v>24.0</v>
      </c>
      <c r="M1831" s="87">
        <v>0.0</v>
      </c>
      <c r="N1831" s="87">
        <v>0.0</v>
      </c>
      <c r="O1831" s="87">
        <v>0.0</v>
      </c>
      <c r="P1831" s="87">
        <v>0.0</v>
      </c>
      <c r="Q1831" s="87">
        <v>0.016667</v>
      </c>
    </row>
    <row r="1832">
      <c r="A1832" s="84" t="s">
        <v>258</v>
      </c>
      <c r="B1832" s="194"/>
      <c r="C1832" s="84" t="s">
        <v>903</v>
      </c>
      <c r="D1832" s="88" t="s">
        <v>1396</v>
      </c>
      <c r="E1832" s="84" t="s">
        <v>3683</v>
      </c>
      <c r="F1832" s="84" t="s">
        <v>904</v>
      </c>
      <c r="G1832" s="84" t="s">
        <v>3561</v>
      </c>
      <c r="H1832" s="84" t="s">
        <v>3521</v>
      </c>
      <c r="I1832" s="84" t="s">
        <v>3684</v>
      </c>
      <c r="J1832" s="91"/>
      <c r="K1832" s="91"/>
      <c r="L1832" s="87">
        <v>0.0</v>
      </c>
      <c r="M1832" s="87">
        <v>0.0</v>
      </c>
      <c r="N1832" s="87">
        <v>0.0</v>
      </c>
      <c r="O1832" s="87">
        <v>0.071429</v>
      </c>
      <c r="P1832" s="87">
        <v>0.313333</v>
      </c>
      <c r="Q1832" s="87">
        <v>0.394697</v>
      </c>
    </row>
    <row r="1833">
      <c r="A1833" s="84" t="s">
        <v>644</v>
      </c>
      <c r="B1833" s="194"/>
      <c r="C1833" s="84" t="s">
        <v>705</v>
      </c>
      <c r="D1833" s="88" t="s">
        <v>1396</v>
      </c>
      <c r="E1833" s="84" t="s">
        <v>3683</v>
      </c>
      <c r="F1833" s="84" t="s">
        <v>706</v>
      </c>
      <c r="G1833" s="84" t="s">
        <v>3547</v>
      </c>
      <c r="H1833" s="84" t="s">
        <v>3521</v>
      </c>
      <c r="I1833" s="84" t="s">
        <v>3684</v>
      </c>
      <c r="J1833" s="84" t="s">
        <v>130</v>
      </c>
      <c r="K1833" s="91"/>
      <c r="L1833" s="87">
        <v>48.0</v>
      </c>
      <c r="M1833" s="87">
        <v>0.0</v>
      </c>
      <c r="N1833" s="87">
        <v>0.63222</v>
      </c>
      <c r="O1833" s="87">
        <v>1.5</v>
      </c>
      <c r="P1833" s="87">
        <v>0.783333</v>
      </c>
      <c r="Q1833" s="87">
        <v>0.665553</v>
      </c>
    </row>
    <row r="1834">
      <c r="A1834" s="84" t="s">
        <v>458</v>
      </c>
      <c r="B1834" s="194"/>
      <c r="C1834" s="84" t="s">
        <v>465</v>
      </c>
      <c r="D1834" s="88" t="s">
        <v>1396</v>
      </c>
      <c r="E1834" s="84" t="s">
        <v>3683</v>
      </c>
      <c r="F1834" s="84" t="s">
        <v>457</v>
      </c>
      <c r="G1834" s="84" t="s">
        <v>3560</v>
      </c>
      <c r="H1834" s="84" t="s">
        <v>3521</v>
      </c>
      <c r="I1834" s="84" t="s">
        <v>3684</v>
      </c>
      <c r="J1834" s="84" t="s">
        <v>130</v>
      </c>
      <c r="K1834" s="91"/>
      <c r="L1834" s="87">
        <v>24.0</v>
      </c>
      <c r="M1834" s="87">
        <v>0.0</v>
      </c>
      <c r="N1834" s="87">
        <v>0.0</v>
      </c>
      <c r="O1834" s="87">
        <v>0.0</v>
      </c>
      <c r="P1834" s="87">
        <v>0.0</v>
      </c>
      <c r="Q1834" s="87">
        <v>0.0</v>
      </c>
    </row>
    <row r="1835">
      <c r="A1835" s="84" t="s">
        <v>573</v>
      </c>
      <c r="B1835" s="194"/>
      <c r="C1835" s="84" t="s">
        <v>585</v>
      </c>
      <c r="D1835" s="88" t="s">
        <v>1396</v>
      </c>
      <c r="E1835" s="84" t="s">
        <v>3683</v>
      </c>
      <c r="F1835" s="84" t="s">
        <v>581</v>
      </c>
      <c r="G1835" s="84" t="s">
        <v>3594</v>
      </c>
      <c r="H1835" s="84" t="s">
        <v>3527</v>
      </c>
      <c r="I1835" s="84" t="s">
        <v>3709</v>
      </c>
      <c r="J1835" s="91"/>
      <c r="K1835" s="91"/>
      <c r="L1835" s="87">
        <v>5.0</v>
      </c>
      <c r="M1835" s="87">
        <v>0.0</v>
      </c>
      <c r="N1835" s="87">
        <v>0.0</v>
      </c>
      <c r="O1835" s="87">
        <v>0.0</v>
      </c>
      <c r="P1835" s="87">
        <v>0.0</v>
      </c>
      <c r="Q1835" s="87">
        <v>0.0</v>
      </c>
    </row>
    <row r="1836">
      <c r="A1836" s="84" t="s">
        <v>444</v>
      </c>
      <c r="B1836" s="194"/>
      <c r="C1836" s="84" t="s">
        <v>451</v>
      </c>
      <c r="D1836" s="88" t="s">
        <v>1396</v>
      </c>
      <c r="E1836" s="84" t="s">
        <v>3683</v>
      </c>
      <c r="F1836" s="84" t="s">
        <v>448</v>
      </c>
      <c r="G1836" s="84" t="s">
        <v>3577</v>
      </c>
      <c r="H1836" s="84" t="s">
        <v>3521</v>
      </c>
      <c r="I1836" s="84" t="s">
        <v>3684</v>
      </c>
      <c r="J1836" s="84" t="s">
        <v>130</v>
      </c>
      <c r="K1836" s="91"/>
      <c r="L1836" s="87">
        <v>24.0</v>
      </c>
      <c r="M1836" s="87">
        <v>0.0</v>
      </c>
      <c r="N1836" s="87">
        <v>0.0</v>
      </c>
      <c r="O1836" s="87">
        <v>0.0</v>
      </c>
      <c r="P1836" s="87">
        <v>0.0</v>
      </c>
      <c r="Q1836" s="87">
        <v>0.0</v>
      </c>
    </row>
    <row r="1837">
      <c r="A1837" s="84" t="s">
        <v>644</v>
      </c>
      <c r="B1837" s="194"/>
      <c r="C1837" s="84" t="s">
        <v>1265</v>
      </c>
      <c r="D1837" s="88" t="s">
        <v>1396</v>
      </c>
      <c r="E1837" s="84" t="s">
        <v>3683</v>
      </c>
      <c r="F1837" s="84" t="s">
        <v>682</v>
      </c>
      <c r="G1837" s="84" t="s">
        <v>3563</v>
      </c>
      <c r="H1837" s="84" t="s">
        <v>3521</v>
      </c>
      <c r="I1837" s="84" t="s">
        <v>3684</v>
      </c>
      <c r="J1837" s="84" t="s">
        <v>130</v>
      </c>
      <c r="K1837" s="91"/>
      <c r="L1837" s="87">
        <v>24.0</v>
      </c>
      <c r="M1837" s="87">
        <v>0.0</v>
      </c>
      <c r="N1837" s="87">
        <v>0.0</v>
      </c>
      <c r="O1837" s="87">
        <v>0.0</v>
      </c>
      <c r="P1837" s="87">
        <v>0.0</v>
      </c>
      <c r="Q1837" s="87">
        <v>0.0</v>
      </c>
    </row>
    <row r="1838">
      <c r="A1838" s="84" t="s">
        <v>644</v>
      </c>
      <c r="B1838" s="194"/>
      <c r="C1838" s="84" t="s">
        <v>698</v>
      </c>
      <c r="D1838" s="88" t="s">
        <v>1396</v>
      </c>
      <c r="E1838" s="84" t="s">
        <v>3683</v>
      </c>
      <c r="F1838" s="84" t="s">
        <v>686</v>
      </c>
      <c r="G1838" s="84" t="s">
        <v>3607</v>
      </c>
      <c r="H1838" s="84" t="s">
        <v>3521</v>
      </c>
      <c r="I1838" s="84" t="s">
        <v>3684</v>
      </c>
      <c r="J1838" s="84" t="s">
        <v>215</v>
      </c>
      <c r="L1838" s="87">
        <v>456.0</v>
      </c>
      <c r="M1838" s="87">
        <v>0.0</v>
      </c>
      <c r="N1838" s="87">
        <v>0.853405</v>
      </c>
      <c r="O1838" s="87">
        <v>0.111111</v>
      </c>
      <c r="P1838" s="87">
        <v>1.04</v>
      </c>
      <c r="Q1838" s="87">
        <v>0.778994</v>
      </c>
    </row>
    <row r="1839">
      <c r="A1839" s="84" t="s">
        <v>601</v>
      </c>
      <c r="B1839" s="194"/>
      <c r="C1839" s="84" t="s">
        <v>3636</v>
      </c>
      <c r="D1839" s="88" t="s">
        <v>1396</v>
      </c>
      <c r="E1839" s="84" t="s">
        <v>3683</v>
      </c>
      <c r="F1839" s="84" t="s">
        <v>3794</v>
      </c>
      <c r="G1839" s="84" t="s">
        <v>3562</v>
      </c>
      <c r="H1839" s="84" t="s">
        <v>3521</v>
      </c>
      <c r="I1839" s="84" t="s">
        <v>3684</v>
      </c>
      <c r="J1839" s="91"/>
      <c r="K1839" s="91"/>
      <c r="L1839" s="87">
        <v>18.0</v>
      </c>
      <c r="M1839" s="87">
        <v>5.0</v>
      </c>
      <c r="N1839" s="87">
        <v>0.379121</v>
      </c>
      <c r="O1839" s="87">
        <v>5.937962</v>
      </c>
      <c r="P1839" s="87">
        <v>4.217537</v>
      </c>
      <c r="Q1839" s="87">
        <v>2.802059</v>
      </c>
    </row>
    <row r="1840">
      <c r="A1840" s="84" t="s">
        <v>213</v>
      </c>
      <c r="B1840" s="194"/>
      <c r="C1840" s="84" t="s">
        <v>857</v>
      </c>
      <c r="D1840" s="88" t="s">
        <v>1396</v>
      </c>
      <c r="E1840" s="84" t="s">
        <v>3683</v>
      </c>
      <c r="F1840" s="84" t="s">
        <v>858</v>
      </c>
      <c r="G1840" s="84" t="s">
        <v>3552</v>
      </c>
      <c r="H1840" s="84" t="s">
        <v>3521</v>
      </c>
      <c r="I1840" s="84" t="s">
        <v>3684</v>
      </c>
      <c r="J1840" s="84" t="s">
        <v>130</v>
      </c>
      <c r="K1840" s="91"/>
      <c r="L1840" s="87">
        <v>708.0</v>
      </c>
      <c r="M1840" s="87">
        <v>1.0</v>
      </c>
      <c r="N1840" s="87">
        <v>1.215152</v>
      </c>
      <c r="O1840" s="87">
        <v>0.512338</v>
      </c>
      <c r="P1840" s="87">
        <v>1.153896</v>
      </c>
      <c r="Q1840" s="87">
        <v>1.166886</v>
      </c>
    </row>
    <row r="1841">
      <c r="A1841" s="84" t="s">
        <v>644</v>
      </c>
      <c r="B1841" s="194"/>
      <c r="C1841" s="84" t="s">
        <v>724</v>
      </c>
      <c r="D1841" s="88" t="s">
        <v>1396</v>
      </c>
      <c r="E1841" s="84" t="s">
        <v>3687</v>
      </c>
      <c r="F1841" s="84" t="s">
        <v>708</v>
      </c>
      <c r="G1841" s="84" t="s">
        <v>3607</v>
      </c>
      <c r="I1841" s="84" t="s">
        <v>3684</v>
      </c>
      <c r="J1841" s="91"/>
      <c r="K1841" s="91"/>
      <c r="L1841" s="87">
        <v>552.0</v>
      </c>
      <c r="M1841" s="87">
        <v>0.0</v>
      </c>
      <c r="N1841" s="87">
        <v>0.0</v>
      </c>
      <c r="O1841" s="87">
        <v>0.0</v>
      </c>
      <c r="P1841" s="87">
        <v>0.0</v>
      </c>
      <c r="Q1841" s="87">
        <v>0.0</v>
      </c>
    </row>
    <row r="1842">
      <c r="A1842" s="84" t="s">
        <v>213</v>
      </c>
      <c r="B1842" s="194"/>
      <c r="C1842" s="84" t="s">
        <v>857</v>
      </c>
      <c r="D1842" s="88" t="s">
        <v>1396</v>
      </c>
      <c r="E1842" s="84" t="s">
        <v>3687</v>
      </c>
      <c r="F1842" s="84" t="s">
        <v>858</v>
      </c>
      <c r="G1842" s="84" t="s">
        <v>3552</v>
      </c>
      <c r="I1842" s="84" t="s">
        <v>3684</v>
      </c>
      <c r="J1842" s="91"/>
      <c r="K1842" s="91"/>
      <c r="L1842" s="87">
        <v>552.0</v>
      </c>
      <c r="M1842" s="87">
        <v>0.0</v>
      </c>
      <c r="N1842" s="87">
        <v>0.0</v>
      </c>
      <c r="O1842" s="87">
        <v>0.0</v>
      </c>
      <c r="P1842" s="87">
        <v>0.0</v>
      </c>
      <c r="Q1842" s="87">
        <v>0.0</v>
      </c>
    </row>
    <row r="1843">
      <c r="A1843" s="84" t="s">
        <v>601</v>
      </c>
      <c r="B1843" s="194"/>
      <c r="C1843" s="84" t="s">
        <v>1065</v>
      </c>
      <c r="D1843" s="88" t="s">
        <v>1396</v>
      </c>
      <c r="E1843" s="91"/>
      <c r="F1843" s="84" t="s">
        <v>340</v>
      </c>
      <c r="G1843" s="84" t="s">
        <v>3595</v>
      </c>
      <c r="I1843" s="84" t="s">
        <v>3684</v>
      </c>
      <c r="J1843" s="91"/>
      <c r="K1843" s="91"/>
      <c r="L1843" s="87">
        <v>456.0</v>
      </c>
      <c r="M1843" s="87">
        <v>0.0</v>
      </c>
      <c r="N1843" s="87">
        <v>0.0</v>
      </c>
      <c r="O1843" s="87">
        <v>0.0</v>
      </c>
      <c r="P1843" s="87">
        <v>0.0</v>
      </c>
      <c r="Q1843" s="87">
        <v>0.0</v>
      </c>
    </row>
    <row r="1844">
      <c r="A1844" s="84" t="s">
        <v>537</v>
      </c>
      <c r="B1844" s="194"/>
      <c r="C1844" s="84" t="s">
        <v>550</v>
      </c>
      <c r="D1844" s="88" t="s">
        <v>1396</v>
      </c>
      <c r="E1844" s="84" t="s">
        <v>3683</v>
      </c>
      <c r="F1844" s="84" t="s">
        <v>551</v>
      </c>
      <c r="G1844" s="84" t="s">
        <v>3590</v>
      </c>
      <c r="H1844" s="84" t="s">
        <v>3521</v>
      </c>
      <c r="I1844" s="84" t="s">
        <v>3693</v>
      </c>
      <c r="J1844" s="91"/>
      <c r="K1844" s="91"/>
      <c r="L1844" s="87">
        <v>22.0</v>
      </c>
      <c r="M1844" s="87">
        <v>0.0</v>
      </c>
      <c r="N1844" s="87">
        <v>0.357143</v>
      </c>
      <c r="O1844" s="87">
        <v>0.785714</v>
      </c>
      <c r="P1844" s="87">
        <v>0.836782</v>
      </c>
      <c r="Q1844" s="87">
        <v>0.786158</v>
      </c>
    </row>
    <row r="1845">
      <c r="A1845" s="84" t="s">
        <v>481</v>
      </c>
      <c r="B1845" s="194"/>
      <c r="C1845" s="84" t="s">
        <v>1006</v>
      </c>
      <c r="D1845" s="88" t="s">
        <v>1396</v>
      </c>
      <c r="E1845" s="84" t="s">
        <v>3683</v>
      </c>
      <c r="F1845" s="84" t="s">
        <v>989</v>
      </c>
      <c r="G1845" s="84" t="s">
        <v>3585</v>
      </c>
      <c r="H1845" s="84" t="s">
        <v>3521</v>
      </c>
      <c r="I1845" s="84" t="s">
        <v>3684</v>
      </c>
      <c r="J1845" s="91"/>
      <c r="K1845" s="91"/>
      <c r="L1845" s="87">
        <v>24.0</v>
      </c>
      <c r="M1845" s="87">
        <v>0.0</v>
      </c>
      <c r="N1845" s="87">
        <v>0.0</v>
      </c>
      <c r="O1845" s="87">
        <v>0.214286</v>
      </c>
      <c r="P1845" s="87">
        <v>0.3</v>
      </c>
      <c r="Q1845" s="87">
        <v>0.185185</v>
      </c>
    </row>
    <row r="1846">
      <c r="A1846" s="84" t="s">
        <v>393</v>
      </c>
      <c r="B1846" s="194"/>
      <c r="C1846" s="84" t="s">
        <v>3648</v>
      </c>
      <c r="D1846" s="88" t="s">
        <v>1396</v>
      </c>
      <c r="E1846" s="84" t="s">
        <v>3745</v>
      </c>
      <c r="F1846" s="84" t="s">
        <v>340</v>
      </c>
      <c r="G1846" s="84" t="s">
        <v>3567</v>
      </c>
      <c r="H1846" s="84" t="s">
        <v>3521</v>
      </c>
      <c r="I1846" s="84" t="s">
        <v>3693</v>
      </c>
      <c r="J1846" s="91"/>
      <c r="K1846" s="91"/>
      <c r="L1846" s="87">
        <v>50.0</v>
      </c>
      <c r="M1846" s="87">
        <v>2.0</v>
      </c>
      <c r="N1846" s="87">
        <v>0.142857</v>
      </c>
      <c r="O1846" s="87">
        <v>1.214286</v>
      </c>
      <c r="P1846" s="87">
        <v>1.860723</v>
      </c>
      <c r="Q1846" s="87">
        <v>2.120699</v>
      </c>
    </row>
    <row r="1847">
      <c r="A1847" s="84" t="s">
        <v>644</v>
      </c>
      <c r="B1847" s="194"/>
      <c r="C1847" s="84" t="s">
        <v>1173</v>
      </c>
      <c r="D1847" s="88" t="s">
        <v>1396</v>
      </c>
      <c r="E1847" s="84" t="s">
        <v>3683</v>
      </c>
      <c r="F1847" s="84" t="s">
        <v>1174</v>
      </c>
      <c r="G1847" s="84" t="s">
        <v>3600</v>
      </c>
      <c r="H1847" s="84" t="s">
        <v>3521</v>
      </c>
      <c r="I1847" s="84" t="s">
        <v>3684</v>
      </c>
      <c r="J1847" s="84" t="s">
        <v>130</v>
      </c>
      <c r="K1847" s="91"/>
      <c r="L1847" s="87">
        <v>744.0</v>
      </c>
      <c r="M1847" s="87">
        <v>0.0</v>
      </c>
      <c r="N1847" s="87">
        <v>4.455092</v>
      </c>
      <c r="O1847" s="87">
        <v>1.392857</v>
      </c>
      <c r="P1847" s="87">
        <v>0.817647</v>
      </c>
      <c r="Q1847" s="87">
        <v>4.406665</v>
      </c>
    </row>
    <row r="1848">
      <c r="A1848" s="84" t="s">
        <v>1130</v>
      </c>
      <c r="B1848" s="194"/>
      <c r="C1848" s="84" t="s">
        <v>1137</v>
      </c>
      <c r="D1848" s="88" t="s">
        <v>1396</v>
      </c>
      <c r="E1848" s="84" t="s">
        <v>3683</v>
      </c>
      <c r="F1848" s="84" t="s">
        <v>973</v>
      </c>
      <c r="G1848" s="84" t="s">
        <v>3582</v>
      </c>
      <c r="H1848" s="84" t="s">
        <v>3521</v>
      </c>
      <c r="I1848" s="84" t="s">
        <v>3684</v>
      </c>
      <c r="J1848" s="84" t="s">
        <v>130</v>
      </c>
      <c r="K1848" s="91"/>
      <c r="L1848" s="87">
        <v>696.0</v>
      </c>
      <c r="M1848" s="87">
        <v>0.0</v>
      </c>
      <c r="N1848" s="87">
        <v>1.567514</v>
      </c>
      <c r="O1848" s="87">
        <v>0.0</v>
      </c>
      <c r="P1848" s="87">
        <v>1.0</v>
      </c>
      <c r="Q1848" s="87">
        <v>1.567514</v>
      </c>
    </row>
    <row r="1849">
      <c r="A1849" s="84" t="s">
        <v>573</v>
      </c>
      <c r="B1849" s="194"/>
      <c r="C1849" s="84" t="s">
        <v>585</v>
      </c>
      <c r="D1849" s="88" t="s">
        <v>1396</v>
      </c>
      <c r="E1849" s="84" t="s">
        <v>3683</v>
      </c>
      <c r="F1849" s="84" t="s">
        <v>581</v>
      </c>
      <c r="G1849" s="84" t="s">
        <v>3594</v>
      </c>
      <c r="H1849" s="84" t="s">
        <v>3527</v>
      </c>
      <c r="I1849" s="84" t="s">
        <v>3709</v>
      </c>
      <c r="J1849" s="91"/>
      <c r="K1849" s="84" t="s">
        <v>111</v>
      </c>
      <c r="L1849" s="87">
        <v>1248.0</v>
      </c>
      <c r="M1849" s="87">
        <v>0.0</v>
      </c>
      <c r="N1849" s="87">
        <v>0.0</v>
      </c>
      <c r="O1849" s="87">
        <v>0.0</v>
      </c>
      <c r="P1849" s="87">
        <v>0.0</v>
      </c>
      <c r="Q1849" s="87">
        <v>0.0</v>
      </c>
    </row>
    <row r="1850">
      <c r="A1850" s="84" t="s">
        <v>1130</v>
      </c>
      <c r="B1850" s="194"/>
      <c r="C1850" s="84" t="s">
        <v>1141</v>
      </c>
      <c r="D1850" s="88" t="s">
        <v>1396</v>
      </c>
      <c r="E1850" s="84" t="s">
        <v>3687</v>
      </c>
      <c r="F1850" s="84" t="s">
        <v>1142</v>
      </c>
      <c r="G1850" s="84" t="s">
        <v>3605</v>
      </c>
      <c r="H1850" s="84" t="s">
        <v>3521</v>
      </c>
      <c r="I1850" s="84" t="s">
        <v>3684</v>
      </c>
      <c r="J1850" s="84" t="s">
        <v>130</v>
      </c>
      <c r="K1850" s="91"/>
      <c r="L1850" s="87">
        <v>244.0</v>
      </c>
      <c r="M1850" s="87">
        <v>0.0</v>
      </c>
      <c r="N1850" s="87">
        <v>3.441071</v>
      </c>
      <c r="O1850" s="87">
        <v>0.0</v>
      </c>
      <c r="P1850" s="87">
        <v>0.0625</v>
      </c>
      <c r="Q1850" s="87">
        <v>3.876605</v>
      </c>
    </row>
    <row r="1851">
      <c r="A1851" s="84" t="s">
        <v>644</v>
      </c>
      <c r="B1851" s="194"/>
      <c r="C1851" s="84" t="s">
        <v>674</v>
      </c>
      <c r="D1851" s="88" t="s">
        <v>1396</v>
      </c>
      <c r="E1851" s="84" t="s">
        <v>3683</v>
      </c>
      <c r="F1851" s="84" t="s">
        <v>670</v>
      </c>
      <c r="G1851" s="84" t="s">
        <v>3789</v>
      </c>
      <c r="H1851" s="84" t="s">
        <v>3521</v>
      </c>
      <c r="I1851" s="84" t="s">
        <v>3684</v>
      </c>
      <c r="J1851" s="84" t="s">
        <v>130</v>
      </c>
      <c r="K1851" s="91"/>
      <c r="L1851" s="87">
        <v>48.0</v>
      </c>
      <c r="M1851" s="87">
        <v>0.0</v>
      </c>
      <c r="N1851" s="87">
        <v>0.133713</v>
      </c>
      <c r="O1851" s="87">
        <v>0.0</v>
      </c>
      <c r="P1851" s="87">
        <v>0.25</v>
      </c>
      <c r="Q1851" s="87">
        <v>0.133713</v>
      </c>
    </row>
    <row r="1852">
      <c r="A1852" s="84" t="s">
        <v>644</v>
      </c>
      <c r="B1852" s="194"/>
      <c r="C1852" s="84" t="s">
        <v>703</v>
      </c>
      <c r="D1852" s="88" t="s">
        <v>1396</v>
      </c>
      <c r="E1852" s="84" t="s">
        <v>3683</v>
      </c>
      <c r="F1852" s="84" t="s">
        <v>686</v>
      </c>
      <c r="G1852" s="84" t="s">
        <v>3607</v>
      </c>
      <c r="H1852" s="84" t="s">
        <v>3521</v>
      </c>
      <c r="I1852" s="84" t="s">
        <v>3684</v>
      </c>
      <c r="J1852" s="84" t="s">
        <v>215</v>
      </c>
      <c r="L1852" s="87">
        <v>432.0</v>
      </c>
      <c r="M1852" s="87">
        <v>0.0</v>
      </c>
      <c r="N1852" s="87">
        <v>1.325447</v>
      </c>
      <c r="O1852" s="87">
        <v>0.214286</v>
      </c>
      <c r="P1852" s="87">
        <v>1.2625</v>
      </c>
      <c r="Q1852" s="87">
        <v>1.444831</v>
      </c>
    </row>
    <row r="1853">
      <c r="A1853" s="84" t="s">
        <v>644</v>
      </c>
      <c r="B1853" s="194"/>
      <c r="C1853" s="84" t="s">
        <v>697</v>
      </c>
      <c r="D1853" s="88" t="s">
        <v>1396</v>
      </c>
      <c r="E1853" s="84" t="s">
        <v>3683</v>
      </c>
      <c r="F1853" s="84" t="s">
        <v>686</v>
      </c>
      <c r="G1853" s="84" t="s">
        <v>3607</v>
      </c>
      <c r="I1853" s="84" t="s">
        <v>3684</v>
      </c>
      <c r="J1853" s="91"/>
      <c r="K1853" s="91"/>
      <c r="L1853" s="87">
        <v>552.0</v>
      </c>
      <c r="M1853" s="87">
        <v>0.0</v>
      </c>
      <c r="N1853" s="87">
        <v>0.0</v>
      </c>
      <c r="O1853" s="87">
        <v>0.0</v>
      </c>
      <c r="P1853" s="87">
        <v>0.0</v>
      </c>
      <c r="Q1853" s="87">
        <v>0.0</v>
      </c>
    </row>
    <row r="1854">
      <c r="A1854" s="84" t="s">
        <v>481</v>
      </c>
      <c r="B1854" s="194"/>
      <c r="C1854" s="84" t="s">
        <v>497</v>
      </c>
      <c r="D1854" s="88" t="s">
        <v>1396</v>
      </c>
      <c r="E1854" s="84" t="s">
        <v>3683</v>
      </c>
      <c r="F1854" s="84" t="s">
        <v>491</v>
      </c>
      <c r="G1854" s="84" t="s">
        <v>3560</v>
      </c>
      <c r="H1854" s="84" t="s">
        <v>3521</v>
      </c>
      <c r="I1854" s="84" t="s">
        <v>3684</v>
      </c>
      <c r="J1854" s="84" t="s">
        <v>130</v>
      </c>
      <c r="K1854" s="91"/>
      <c r="L1854" s="87">
        <v>48.0</v>
      </c>
      <c r="M1854" s="87">
        <v>0.0</v>
      </c>
      <c r="N1854" s="87">
        <v>0.025641</v>
      </c>
      <c r="O1854" s="87">
        <v>0.0</v>
      </c>
      <c r="P1854" s="87">
        <v>0.111111</v>
      </c>
      <c r="Q1854" s="87">
        <v>0.025641</v>
      </c>
    </row>
    <row r="1855">
      <c r="A1855" s="84" t="s">
        <v>472</v>
      </c>
      <c r="B1855" s="194"/>
      <c r="C1855" s="84" t="s">
        <v>1039</v>
      </c>
      <c r="D1855" s="88" t="s">
        <v>1396</v>
      </c>
      <c r="E1855" s="84" t="s">
        <v>3683</v>
      </c>
      <c r="F1855" s="84" t="s">
        <v>1035</v>
      </c>
      <c r="G1855" s="84" t="s">
        <v>3588</v>
      </c>
      <c r="H1855" s="84" t="s">
        <v>3521</v>
      </c>
      <c r="I1855" s="84" t="s">
        <v>3684</v>
      </c>
      <c r="J1855" s="91"/>
      <c r="K1855" s="84" t="s">
        <v>111</v>
      </c>
      <c r="L1855" s="87">
        <v>96.0</v>
      </c>
      <c r="M1855" s="87">
        <v>0.0</v>
      </c>
      <c r="N1855" s="87">
        <v>0.0</v>
      </c>
      <c r="O1855" s="87">
        <v>0.0</v>
      </c>
      <c r="P1855" s="87">
        <v>0.0</v>
      </c>
      <c r="Q1855" s="87">
        <v>0.0</v>
      </c>
    </row>
    <row r="1856">
      <c r="A1856" s="84" t="s">
        <v>481</v>
      </c>
      <c r="B1856" s="194"/>
      <c r="C1856" s="84" t="s">
        <v>991</v>
      </c>
      <c r="D1856" s="88" t="s">
        <v>1396</v>
      </c>
      <c r="E1856" s="84" t="s">
        <v>3683</v>
      </c>
      <c r="F1856" s="84" t="s">
        <v>989</v>
      </c>
      <c r="G1856" s="84" t="s">
        <v>3585</v>
      </c>
      <c r="H1856" s="84" t="s">
        <v>3521</v>
      </c>
      <c r="I1856" s="84" t="s">
        <v>3684</v>
      </c>
      <c r="J1856" s="84" t="s">
        <v>130</v>
      </c>
      <c r="K1856" s="91"/>
      <c r="L1856" s="87">
        <v>24.0</v>
      </c>
      <c r="M1856" s="87">
        <v>0.0</v>
      </c>
      <c r="N1856" s="87">
        <v>0.0</v>
      </c>
      <c r="O1856" s="87">
        <v>0.0</v>
      </c>
      <c r="P1856" s="87">
        <v>0.066667</v>
      </c>
      <c r="Q1856" s="87">
        <v>0.153448</v>
      </c>
    </row>
    <row r="1857">
      <c r="A1857" s="84" t="s">
        <v>644</v>
      </c>
      <c r="B1857" s="194"/>
      <c r="C1857" s="84" t="s">
        <v>718</v>
      </c>
      <c r="D1857" s="88" t="s">
        <v>1396</v>
      </c>
      <c r="E1857" s="84" t="s">
        <v>3683</v>
      </c>
      <c r="F1857" s="84" t="s">
        <v>719</v>
      </c>
      <c r="G1857" s="84" t="s">
        <v>3607</v>
      </c>
      <c r="H1857" s="84" t="s">
        <v>3521</v>
      </c>
      <c r="I1857" s="84" t="s">
        <v>3684</v>
      </c>
      <c r="J1857" s="84" t="s">
        <v>130</v>
      </c>
      <c r="K1857" s="91"/>
      <c r="L1857" s="87">
        <v>24.0</v>
      </c>
      <c r="M1857" s="87">
        <v>0.0</v>
      </c>
      <c r="N1857" s="87">
        <v>0.0</v>
      </c>
      <c r="O1857" s="87">
        <v>0.0</v>
      </c>
      <c r="P1857" s="87">
        <v>0.0</v>
      </c>
      <c r="Q1857" s="87">
        <v>0.0</v>
      </c>
    </row>
    <row r="1858">
      <c r="A1858" s="84" t="s">
        <v>644</v>
      </c>
      <c r="B1858" s="194"/>
      <c r="C1858" s="84" t="s">
        <v>1243</v>
      </c>
      <c r="D1858" s="88" t="s">
        <v>1396</v>
      </c>
      <c r="E1858" s="84" t="s">
        <v>3683</v>
      </c>
      <c r="F1858" s="84" t="s">
        <v>1244</v>
      </c>
      <c r="G1858" s="84" t="s">
        <v>3607</v>
      </c>
      <c r="H1858" s="84" t="s">
        <v>3521</v>
      </c>
      <c r="I1858" s="84" t="s">
        <v>3684</v>
      </c>
      <c r="J1858" s="84" t="s">
        <v>130</v>
      </c>
      <c r="K1858" s="91"/>
      <c r="L1858" s="87">
        <v>24.0</v>
      </c>
      <c r="M1858" s="87">
        <v>0.0</v>
      </c>
      <c r="N1858" s="87">
        <v>0.0</v>
      </c>
      <c r="O1858" s="87">
        <v>0.0</v>
      </c>
      <c r="P1858" s="87">
        <v>0.0</v>
      </c>
      <c r="Q1858" s="87">
        <v>0.0</v>
      </c>
    </row>
    <row r="1859">
      <c r="A1859" s="84" t="s">
        <v>616</v>
      </c>
      <c r="B1859" s="194"/>
      <c r="C1859" s="84" t="s">
        <v>620</v>
      </c>
      <c r="D1859" s="88" t="s">
        <v>1396</v>
      </c>
      <c r="E1859" s="84" t="s">
        <v>3683</v>
      </c>
      <c r="F1859" s="84" t="s">
        <v>621</v>
      </c>
      <c r="G1859" s="84" t="s">
        <v>3552</v>
      </c>
      <c r="H1859" s="84" t="s">
        <v>3521</v>
      </c>
      <c r="I1859" s="84" t="s">
        <v>3684</v>
      </c>
      <c r="J1859" s="84" t="s">
        <v>130</v>
      </c>
      <c r="K1859" s="91"/>
      <c r="L1859" s="87">
        <v>48.0</v>
      </c>
      <c r="M1859" s="87">
        <v>0.0</v>
      </c>
      <c r="N1859" s="87">
        <v>0.0</v>
      </c>
      <c r="O1859" s="87">
        <v>0.214286</v>
      </c>
      <c r="P1859" s="87">
        <v>0.133333</v>
      </c>
      <c r="Q1859" s="87">
        <v>0.191231</v>
      </c>
    </row>
    <row r="1860">
      <c r="A1860" s="84" t="s">
        <v>481</v>
      </c>
      <c r="B1860" s="194"/>
      <c r="C1860" s="84" t="s">
        <v>984</v>
      </c>
      <c r="D1860" s="88" t="s">
        <v>1396</v>
      </c>
      <c r="E1860" s="84" t="s">
        <v>3687</v>
      </c>
      <c r="F1860" s="84" t="s">
        <v>985</v>
      </c>
      <c r="G1860" s="84" t="s">
        <v>3585</v>
      </c>
      <c r="H1860" s="84" t="s">
        <v>3521</v>
      </c>
      <c r="I1860" s="84" t="s">
        <v>3684</v>
      </c>
      <c r="J1860" s="84" t="s">
        <v>130</v>
      </c>
      <c r="K1860" s="91"/>
      <c r="L1860" s="87">
        <v>0.0</v>
      </c>
      <c r="M1860" s="87">
        <v>0.0</v>
      </c>
      <c r="N1860" s="87">
        <v>0.0</v>
      </c>
      <c r="O1860" s="87">
        <v>0.142857</v>
      </c>
      <c r="P1860" s="87">
        <v>0.066667</v>
      </c>
      <c r="Q1860" s="87">
        <v>0.1</v>
      </c>
    </row>
    <row r="1861">
      <c r="A1861" s="84" t="s">
        <v>644</v>
      </c>
      <c r="B1861" s="194"/>
      <c r="C1861" s="84" t="s">
        <v>700</v>
      </c>
      <c r="D1861" s="88" t="s">
        <v>1396</v>
      </c>
      <c r="E1861" s="84" t="s">
        <v>3683</v>
      </c>
      <c r="F1861" s="84" t="s">
        <v>686</v>
      </c>
      <c r="G1861" s="84" t="s">
        <v>3607</v>
      </c>
      <c r="H1861" s="84" t="s">
        <v>3521</v>
      </c>
      <c r="I1861" s="84" t="s">
        <v>3684</v>
      </c>
      <c r="J1861" s="84" t="s">
        <v>130</v>
      </c>
      <c r="K1861" s="91"/>
      <c r="L1861" s="87">
        <v>24.0</v>
      </c>
      <c r="M1861" s="87">
        <v>0.0</v>
      </c>
      <c r="N1861" s="87">
        <v>0.0</v>
      </c>
      <c r="O1861" s="87">
        <v>0.0</v>
      </c>
      <c r="P1861" s="87">
        <v>0.0</v>
      </c>
      <c r="Q1861" s="87">
        <v>0.0</v>
      </c>
    </row>
    <row r="1862">
      <c r="A1862" s="84" t="s">
        <v>616</v>
      </c>
      <c r="B1862" s="194"/>
      <c r="C1862" s="84" t="s">
        <v>1077</v>
      </c>
      <c r="D1862" s="88" t="s">
        <v>1396</v>
      </c>
      <c r="E1862" s="84" t="s">
        <v>3683</v>
      </c>
      <c r="F1862" s="84" t="s">
        <v>1075</v>
      </c>
      <c r="G1862" s="84" t="s">
        <v>3542</v>
      </c>
      <c r="H1862" s="84" t="s">
        <v>3521</v>
      </c>
      <c r="I1862" s="84" t="s">
        <v>3684</v>
      </c>
      <c r="J1862" s="84" t="s">
        <v>130</v>
      </c>
      <c r="K1862" s="91"/>
      <c r="L1862" s="87">
        <v>24.0</v>
      </c>
      <c r="M1862" s="87">
        <v>0.0</v>
      </c>
      <c r="N1862" s="87">
        <v>0.0</v>
      </c>
      <c r="O1862" s="87">
        <v>0.0</v>
      </c>
      <c r="P1862" s="87">
        <v>0.0</v>
      </c>
      <c r="Q1862" s="87">
        <v>0.0</v>
      </c>
    </row>
  </sheetData>
  <mergeCells count="436">
    <mergeCell ref="G1145:H1145"/>
    <mergeCell ref="G1153:H1153"/>
    <mergeCell ref="G1156:H1156"/>
    <mergeCell ref="G1163:H1163"/>
    <mergeCell ref="G1174:H1174"/>
    <mergeCell ref="J1177:K1177"/>
    <mergeCell ref="G1179:H1179"/>
    <mergeCell ref="G1180:H1180"/>
    <mergeCell ref="G1185:H1185"/>
    <mergeCell ref="G1189:H1189"/>
    <mergeCell ref="G1194:H1194"/>
    <mergeCell ref="G1196:H1196"/>
    <mergeCell ref="J1196:K1196"/>
    <mergeCell ref="G1197:H1197"/>
    <mergeCell ref="G1022:H1022"/>
    <mergeCell ref="G1026:H1026"/>
    <mergeCell ref="G1028:H1028"/>
    <mergeCell ref="J1033:K1033"/>
    <mergeCell ref="G1035:H1035"/>
    <mergeCell ref="J1036:K1036"/>
    <mergeCell ref="G982:H982"/>
    <mergeCell ref="G989:H989"/>
    <mergeCell ref="G998:H998"/>
    <mergeCell ref="G1001:H1001"/>
    <mergeCell ref="G1013:H1013"/>
    <mergeCell ref="G1014:H1014"/>
    <mergeCell ref="G1020:H1020"/>
    <mergeCell ref="G1050:H1050"/>
    <mergeCell ref="G1053:H1053"/>
    <mergeCell ref="G1054:H1054"/>
    <mergeCell ref="G1055:H1055"/>
    <mergeCell ref="G1057:H1057"/>
    <mergeCell ref="J1059:K1059"/>
    <mergeCell ref="J1062:K1062"/>
    <mergeCell ref="G1062:H1062"/>
    <mergeCell ref="G1068:H1068"/>
    <mergeCell ref="J1070:K1070"/>
    <mergeCell ref="G1073:H1073"/>
    <mergeCell ref="G1074:H1074"/>
    <mergeCell ref="G1075:H1075"/>
    <mergeCell ref="G1078:H1078"/>
    <mergeCell ref="G1082:H1082"/>
    <mergeCell ref="G1090:H1090"/>
    <mergeCell ref="G1091:H1091"/>
    <mergeCell ref="G1093:H1093"/>
    <mergeCell ref="G1094:H1094"/>
    <mergeCell ref="G1096:H1096"/>
    <mergeCell ref="J1106:K1106"/>
    <mergeCell ref="G1107:H1107"/>
    <mergeCell ref="G1122:H1122"/>
    <mergeCell ref="G1130:H1130"/>
    <mergeCell ref="G1133:H1133"/>
    <mergeCell ref="G1141:H1141"/>
    <mergeCell ref="J1142:K1142"/>
    <mergeCell ref="G1144:H1144"/>
    <mergeCell ref="G1198:H1198"/>
    <mergeCell ref="G1215:H1215"/>
    <mergeCell ref="G1216:H1216"/>
    <mergeCell ref="G1218:H1218"/>
    <mergeCell ref="G1219:H1219"/>
    <mergeCell ref="G1223:H1223"/>
    <mergeCell ref="J1223:K1223"/>
    <mergeCell ref="G1399:H1399"/>
    <mergeCell ref="G1401:H1401"/>
    <mergeCell ref="G1411:H1411"/>
    <mergeCell ref="G1412:H1412"/>
    <mergeCell ref="G1413:H1413"/>
    <mergeCell ref="G1431:H1431"/>
    <mergeCell ref="G1439:H1439"/>
    <mergeCell ref="G1472:H1472"/>
    <mergeCell ref="G1478:H1478"/>
    <mergeCell ref="G1479:H1479"/>
    <mergeCell ref="G1485:H1485"/>
    <mergeCell ref="G1498:H1498"/>
    <mergeCell ref="G1499:H1499"/>
    <mergeCell ref="G1442:H1442"/>
    <mergeCell ref="G1452:H1452"/>
    <mergeCell ref="G1454:H1454"/>
    <mergeCell ref="G1455:H1455"/>
    <mergeCell ref="G1456:H1456"/>
    <mergeCell ref="G1458:H1458"/>
    <mergeCell ref="G1459:H1459"/>
    <mergeCell ref="J1231:K1231"/>
    <mergeCell ref="J1232:K1232"/>
    <mergeCell ref="G1233:H1233"/>
    <mergeCell ref="G1235:H1235"/>
    <mergeCell ref="G1238:H1238"/>
    <mergeCell ref="G1245:H1245"/>
    <mergeCell ref="J1246:K1246"/>
    <mergeCell ref="G1246:H1246"/>
    <mergeCell ref="G1249:H1249"/>
    <mergeCell ref="G1253:H1253"/>
    <mergeCell ref="G1255:H1255"/>
    <mergeCell ref="J1257:K1257"/>
    <mergeCell ref="G1261:H1261"/>
    <mergeCell ref="G1262:H1262"/>
    <mergeCell ref="G1263:H1263"/>
    <mergeCell ref="G1264:H1264"/>
    <mergeCell ref="G1265:H1265"/>
    <mergeCell ref="J1265:K1265"/>
    <mergeCell ref="G1266:H1266"/>
    <mergeCell ref="G1269:H1269"/>
    <mergeCell ref="J1271:K1271"/>
    <mergeCell ref="G1273:H1273"/>
    <mergeCell ref="G1275:H1275"/>
    <mergeCell ref="G1278:H1278"/>
    <mergeCell ref="G1279:H1279"/>
    <mergeCell ref="G1285:H1285"/>
    <mergeCell ref="J1287:K1287"/>
    <mergeCell ref="G1288:H1288"/>
    <mergeCell ref="J1291:K1291"/>
    <mergeCell ref="G1292:H1292"/>
    <mergeCell ref="G1301:H1301"/>
    <mergeCell ref="G1315:H1315"/>
    <mergeCell ref="J1316:K1316"/>
    <mergeCell ref="G1319:H1319"/>
    <mergeCell ref="G1328:H1328"/>
    <mergeCell ref="G1337:H1337"/>
    <mergeCell ref="G1347:H1347"/>
    <mergeCell ref="G1362:H1362"/>
    <mergeCell ref="G1363:H1363"/>
    <mergeCell ref="G1365:H1365"/>
    <mergeCell ref="G1367:H1367"/>
    <mergeCell ref="G1373:H1373"/>
    <mergeCell ref="J1323:K1323"/>
    <mergeCell ref="J1335:K1335"/>
    <mergeCell ref="J1348:K1348"/>
    <mergeCell ref="J1375:K1375"/>
    <mergeCell ref="J1393:K1393"/>
    <mergeCell ref="J1394:K1394"/>
    <mergeCell ref="J1413:K1413"/>
    <mergeCell ref="G1679:H1679"/>
    <mergeCell ref="G1681:H1681"/>
    <mergeCell ref="J1683:K1683"/>
    <mergeCell ref="G1685:H1685"/>
    <mergeCell ref="G1689:H1689"/>
    <mergeCell ref="G1698:H1698"/>
    <mergeCell ref="G1699:H1699"/>
    <mergeCell ref="J1701:K1701"/>
    <mergeCell ref="J1702:K1702"/>
    <mergeCell ref="G1703:H1703"/>
    <mergeCell ref="G1707:H1707"/>
    <mergeCell ref="G1712:H1712"/>
    <mergeCell ref="G1728:H1728"/>
    <mergeCell ref="G1731:H1731"/>
    <mergeCell ref="G1761:H1761"/>
    <mergeCell ref="G1769:H1769"/>
    <mergeCell ref="G1776:H1776"/>
    <mergeCell ref="G1786:H1786"/>
    <mergeCell ref="J1786:K1786"/>
    <mergeCell ref="G1787:H1787"/>
    <mergeCell ref="J1792:K1792"/>
    <mergeCell ref="J1838:K1838"/>
    <mergeCell ref="J1852:K1852"/>
    <mergeCell ref="G1802:H1802"/>
    <mergeCell ref="G1805:H1805"/>
    <mergeCell ref="G1806:H1806"/>
    <mergeCell ref="G1824:H1824"/>
    <mergeCell ref="G1841:H1841"/>
    <mergeCell ref="G1842:H1842"/>
    <mergeCell ref="G1843:H1843"/>
    <mergeCell ref="G1853:H1853"/>
    <mergeCell ref="J1432:K1432"/>
    <mergeCell ref="J1455:K1455"/>
    <mergeCell ref="J1486:K1486"/>
    <mergeCell ref="J1519:K1519"/>
    <mergeCell ref="G1520:H1520"/>
    <mergeCell ref="G1524:H1524"/>
    <mergeCell ref="G1530:H1530"/>
    <mergeCell ref="G1531:H1531"/>
    <mergeCell ref="G1538:H1538"/>
    <mergeCell ref="G1539:H1539"/>
    <mergeCell ref="G1540:H1540"/>
    <mergeCell ref="J1540:K1540"/>
    <mergeCell ref="G1544:H1544"/>
    <mergeCell ref="G1554:H1554"/>
    <mergeCell ref="G1556:H1556"/>
    <mergeCell ref="J1564:K1564"/>
    <mergeCell ref="G1566:H1566"/>
    <mergeCell ref="G1572:H1572"/>
    <mergeCell ref="G1576:H1576"/>
    <mergeCell ref="G1578:H1578"/>
    <mergeCell ref="G1581:H1581"/>
    <mergeCell ref="G1584:H1584"/>
    <mergeCell ref="J1592:K1592"/>
    <mergeCell ref="J1604:K1604"/>
    <mergeCell ref="G1609:H1609"/>
    <mergeCell ref="G1612:H1612"/>
    <mergeCell ref="J1618:K1618"/>
    <mergeCell ref="G1628:H1628"/>
    <mergeCell ref="G1629:H1629"/>
    <mergeCell ref="J1629:K1629"/>
    <mergeCell ref="G1631:H1631"/>
    <mergeCell ref="G1635:H1635"/>
    <mergeCell ref="J1641:K1641"/>
    <mergeCell ref="J1653:K1653"/>
    <mergeCell ref="G1657:H1657"/>
    <mergeCell ref="G1659:H1659"/>
    <mergeCell ref="J1660:K1660"/>
    <mergeCell ref="G1665:H1665"/>
    <mergeCell ref="G1669:H1669"/>
    <mergeCell ref="G1670:H1670"/>
    <mergeCell ref="G1671:H1671"/>
    <mergeCell ref="G1677:H1677"/>
    <mergeCell ref="G1734:H1734"/>
    <mergeCell ref="G1737:H1737"/>
    <mergeCell ref="G1743:H1743"/>
    <mergeCell ref="G1747:H1747"/>
    <mergeCell ref="G1752:H1752"/>
    <mergeCell ref="G1753:H1753"/>
    <mergeCell ref="G1756:H1756"/>
    <mergeCell ref="J6:K6"/>
    <mergeCell ref="G8:H8"/>
    <mergeCell ref="G10:H10"/>
    <mergeCell ref="G11:H11"/>
    <mergeCell ref="J11:K11"/>
    <mergeCell ref="G12:H12"/>
    <mergeCell ref="G14:H14"/>
    <mergeCell ref="G15:H15"/>
    <mergeCell ref="J15:K15"/>
    <mergeCell ref="J19:K19"/>
    <mergeCell ref="G22:H22"/>
    <mergeCell ref="G44:H44"/>
    <mergeCell ref="J51:K51"/>
    <mergeCell ref="J55:K55"/>
    <mergeCell ref="G50:H50"/>
    <mergeCell ref="G59:H59"/>
    <mergeCell ref="G72:H72"/>
    <mergeCell ref="G73:H73"/>
    <mergeCell ref="G88:H88"/>
    <mergeCell ref="G96:H96"/>
    <mergeCell ref="G101:H101"/>
    <mergeCell ref="J119:K119"/>
    <mergeCell ref="J140:K140"/>
    <mergeCell ref="J141:K141"/>
    <mergeCell ref="G105:H105"/>
    <mergeCell ref="G107:H107"/>
    <mergeCell ref="G110:H110"/>
    <mergeCell ref="G113:H113"/>
    <mergeCell ref="G115:H115"/>
    <mergeCell ref="G117:H117"/>
    <mergeCell ref="G119:H119"/>
    <mergeCell ref="G141:H141"/>
    <mergeCell ref="G144:H144"/>
    <mergeCell ref="G145:H145"/>
    <mergeCell ref="G146:H146"/>
    <mergeCell ref="G149:H149"/>
    <mergeCell ref="G150:H150"/>
    <mergeCell ref="G157:H157"/>
    <mergeCell ref="G162:H162"/>
    <mergeCell ref="G169:H169"/>
    <mergeCell ref="J173:K173"/>
    <mergeCell ref="G177:H177"/>
    <mergeCell ref="J177:K177"/>
    <mergeCell ref="G182:H182"/>
    <mergeCell ref="J192:K192"/>
    <mergeCell ref="J209:K209"/>
    <mergeCell ref="G212:H212"/>
    <mergeCell ref="J213:K213"/>
    <mergeCell ref="G216:H216"/>
    <mergeCell ref="G217:H217"/>
    <mergeCell ref="G223:H223"/>
    <mergeCell ref="G230:H230"/>
    <mergeCell ref="G266:H266"/>
    <mergeCell ref="G267:H267"/>
    <mergeCell ref="G268:H268"/>
    <mergeCell ref="J274:K274"/>
    <mergeCell ref="G239:H239"/>
    <mergeCell ref="G241:H241"/>
    <mergeCell ref="G243:H243"/>
    <mergeCell ref="G249:H249"/>
    <mergeCell ref="G254:H254"/>
    <mergeCell ref="G263:H263"/>
    <mergeCell ref="G264:H264"/>
    <mergeCell ref="G284:H284"/>
    <mergeCell ref="G297:H297"/>
    <mergeCell ref="G299:H299"/>
    <mergeCell ref="G301:H301"/>
    <mergeCell ref="G306:H306"/>
    <mergeCell ref="G312:H312"/>
    <mergeCell ref="G313:H313"/>
    <mergeCell ref="G352:H352"/>
    <mergeCell ref="G353:H353"/>
    <mergeCell ref="G354:H354"/>
    <mergeCell ref="G356:H356"/>
    <mergeCell ref="G362:H362"/>
    <mergeCell ref="J362:K362"/>
    <mergeCell ref="G329:H329"/>
    <mergeCell ref="G331:H331"/>
    <mergeCell ref="G332:H332"/>
    <mergeCell ref="G340:H340"/>
    <mergeCell ref="G343:H343"/>
    <mergeCell ref="G348:H348"/>
    <mergeCell ref="G350:H350"/>
    <mergeCell ref="G371:H371"/>
    <mergeCell ref="G377:H377"/>
    <mergeCell ref="G378:H378"/>
    <mergeCell ref="G380:H380"/>
    <mergeCell ref="J381:K381"/>
    <mergeCell ref="J385:K385"/>
    <mergeCell ref="J396:K396"/>
    <mergeCell ref="J404:K404"/>
    <mergeCell ref="G575:H575"/>
    <mergeCell ref="G576:H576"/>
    <mergeCell ref="G577:H577"/>
    <mergeCell ref="J580:K580"/>
    <mergeCell ref="G585:H585"/>
    <mergeCell ref="G593:H593"/>
    <mergeCell ref="J605:K605"/>
    <mergeCell ref="G598:H598"/>
    <mergeCell ref="G611:H611"/>
    <mergeCell ref="G616:H616"/>
    <mergeCell ref="G638:H638"/>
    <mergeCell ref="G639:H639"/>
    <mergeCell ref="J639:K639"/>
    <mergeCell ref="J641:K641"/>
    <mergeCell ref="G390:H390"/>
    <mergeCell ref="G401:H401"/>
    <mergeCell ref="G408:H408"/>
    <mergeCell ref="G420:H420"/>
    <mergeCell ref="G424:H424"/>
    <mergeCell ref="G431:H431"/>
    <mergeCell ref="G438:H438"/>
    <mergeCell ref="G445:H445"/>
    <mergeCell ref="G447:H447"/>
    <mergeCell ref="G454:H454"/>
    <mergeCell ref="G456:H456"/>
    <mergeCell ref="J456:K456"/>
    <mergeCell ref="G457:H457"/>
    <mergeCell ref="G458:H458"/>
    <mergeCell ref="G462:H462"/>
    <mergeCell ref="G464:H464"/>
    <mergeCell ref="G465:H465"/>
    <mergeCell ref="G466:H466"/>
    <mergeCell ref="G467:H467"/>
    <mergeCell ref="G469:H469"/>
    <mergeCell ref="G473:H473"/>
    <mergeCell ref="G482:H482"/>
    <mergeCell ref="G489:H489"/>
    <mergeCell ref="J489:K489"/>
    <mergeCell ref="G495:H495"/>
    <mergeCell ref="G496:H496"/>
    <mergeCell ref="J496:K496"/>
    <mergeCell ref="G499:H499"/>
    <mergeCell ref="G505:H505"/>
    <mergeCell ref="G506:H506"/>
    <mergeCell ref="J506:K506"/>
    <mergeCell ref="G511:H511"/>
    <mergeCell ref="G518:H518"/>
    <mergeCell ref="G519:H519"/>
    <mergeCell ref="G522:H522"/>
    <mergeCell ref="G526:H526"/>
    <mergeCell ref="G527:H527"/>
    <mergeCell ref="G529:H529"/>
    <mergeCell ref="J529:K529"/>
    <mergeCell ref="J556:K556"/>
    <mergeCell ref="G557:H557"/>
    <mergeCell ref="G559:H559"/>
    <mergeCell ref="G691:H691"/>
    <mergeCell ref="J691:K691"/>
    <mergeCell ref="J872:K872"/>
    <mergeCell ref="J897:K897"/>
    <mergeCell ref="J900:K900"/>
    <mergeCell ref="J911:K911"/>
    <mergeCell ref="J929:K929"/>
    <mergeCell ref="J941:K941"/>
    <mergeCell ref="J769:K769"/>
    <mergeCell ref="J783:K783"/>
    <mergeCell ref="J799:K799"/>
    <mergeCell ref="J800:K800"/>
    <mergeCell ref="J808:K808"/>
    <mergeCell ref="J830:K830"/>
    <mergeCell ref="J843:K843"/>
    <mergeCell ref="G867:H867"/>
    <mergeCell ref="G873:H873"/>
    <mergeCell ref="G875:H875"/>
    <mergeCell ref="G888:H888"/>
    <mergeCell ref="G900:H900"/>
    <mergeCell ref="G902:H902"/>
    <mergeCell ref="G903:H903"/>
    <mergeCell ref="G905:H905"/>
    <mergeCell ref="G907:H907"/>
    <mergeCell ref="G916:H916"/>
    <mergeCell ref="G917:H917"/>
    <mergeCell ref="G922:H922"/>
    <mergeCell ref="G929:H929"/>
    <mergeCell ref="G933:H933"/>
    <mergeCell ref="G647:H647"/>
    <mergeCell ref="G648:H648"/>
    <mergeCell ref="G664:H664"/>
    <mergeCell ref="G666:H666"/>
    <mergeCell ref="G667:H667"/>
    <mergeCell ref="G668:H668"/>
    <mergeCell ref="G669:H669"/>
    <mergeCell ref="G670:H670"/>
    <mergeCell ref="G671:H671"/>
    <mergeCell ref="G677:H677"/>
    <mergeCell ref="G679:H679"/>
    <mergeCell ref="G682:H682"/>
    <mergeCell ref="G689:H689"/>
    <mergeCell ref="G690:H690"/>
    <mergeCell ref="G699:H699"/>
    <mergeCell ref="G702:H702"/>
    <mergeCell ref="G710:H710"/>
    <mergeCell ref="G711:H711"/>
    <mergeCell ref="G714:H714"/>
    <mergeCell ref="G723:H723"/>
    <mergeCell ref="G724:H724"/>
    <mergeCell ref="G730:H730"/>
    <mergeCell ref="G746:H746"/>
    <mergeCell ref="G747:H747"/>
    <mergeCell ref="G761:H761"/>
    <mergeCell ref="G763:H763"/>
    <mergeCell ref="G768:H768"/>
    <mergeCell ref="G776:H776"/>
    <mergeCell ref="G786:H786"/>
    <mergeCell ref="G791:H791"/>
    <mergeCell ref="G806:H806"/>
    <mergeCell ref="G811:H811"/>
    <mergeCell ref="G813:H813"/>
    <mergeCell ref="G821:H821"/>
    <mergeCell ref="G822:H822"/>
    <mergeCell ref="G823:H823"/>
    <mergeCell ref="G832:H832"/>
    <mergeCell ref="G833:H833"/>
    <mergeCell ref="G835:H835"/>
    <mergeCell ref="G845:H845"/>
    <mergeCell ref="G846:H846"/>
    <mergeCell ref="G858:H858"/>
    <mergeCell ref="G942:H942"/>
    <mergeCell ref="G943:H943"/>
    <mergeCell ref="G950:H950"/>
    <mergeCell ref="G960:H960"/>
    <mergeCell ref="G967:H967"/>
    <mergeCell ref="G969:H969"/>
    <mergeCell ref="G971:H97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3" max="3" width="27.0"/>
    <col customWidth="1" min="7" max="7" width="16.75"/>
    <col customWidth="1" min="9" max="9" width="16.63"/>
    <col customWidth="1" min="10" max="10" width="19.75"/>
  </cols>
  <sheetData>
    <row r="1">
      <c r="A1" s="198" t="s">
        <v>4217</v>
      </c>
      <c r="B1" s="199" t="s">
        <v>4218</v>
      </c>
      <c r="C1" s="200" t="s">
        <v>4219</v>
      </c>
      <c r="D1" s="198" t="s">
        <v>4220</v>
      </c>
      <c r="E1" s="198" t="s">
        <v>4221</v>
      </c>
      <c r="F1" s="198" t="s">
        <v>4222</v>
      </c>
      <c r="G1" s="198" t="s">
        <v>4223</v>
      </c>
      <c r="H1" s="198" t="s">
        <v>4224</v>
      </c>
      <c r="I1" s="198" t="s">
        <v>4225</v>
      </c>
      <c r="J1" s="198"/>
    </row>
    <row r="2">
      <c r="A2" s="5" t="s">
        <v>1406</v>
      </c>
      <c r="B2" s="201" t="s">
        <v>4226</v>
      </c>
      <c r="C2" s="200" t="str">
        <f t="shared" ref="C2:C1198" si="1">A2&amp;"_"&amp;B2</f>
        <v>Accessories_10-15</v>
      </c>
      <c r="D2" s="18">
        <v>1.0</v>
      </c>
      <c r="E2" s="18">
        <v>1.0</v>
      </c>
      <c r="F2" s="5">
        <v>100.0</v>
      </c>
      <c r="G2" s="5">
        <v>1.0</v>
      </c>
      <c r="H2" s="5">
        <v>1.0</v>
      </c>
      <c r="I2" s="5">
        <v>100.0</v>
      </c>
      <c r="J2" s="5"/>
    </row>
    <row r="3">
      <c r="A3" s="5" t="s">
        <v>1406</v>
      </c>
      <c r="B3" s="201" t="s">
        <v>1413</v>
      </c>
      <c r="C3" s="200" t="str">
        <f t="shared" si="1"/>
        <v>Accessories_15-20</v>
      </c>
      <c r="D3" s="18">
        <v>1.0</v>
      </c>
      <c r="E3" s="18">
        <v>1.0</v>
      </c>
      <c r="F3" s="5">
        <v>100.0</v>
      </c>
      <c r="G3" s="5">
        <v>1.0</v>
      </c>
      <c r="H3" s="5">
        <v>1.0</v>
      </c>
      <c r="I3" s="5">
        <v>100.0</v>
      </c>
      <c r="J3" s="5"/>
    </row>
    <row r="4">
      <c r="A4" s="5" t="s">
        <v>1406</v>
      </c>
      <c r="B4" s="201" t="s">
        <v>1400</v>
      </c>
      <c r="C4" s="200" t="str">
        <f t="shared" si="1"/>
        <v>Accessories_25+</v>
      </c>
      <c r="D4" s="18">
        <v>24.0</v>
      </c>
      <c r="E4" s="18">
        <v>23.0</v>
      </c>
      <c r="F4" s="5">
        <v>95.8</v>
      </c>
      <c r="G4" s="5">
        <v>58.0</v>
      </c>
      <c r="H4" s="5">
        <v>57.0</v>
      </c>
      <c r="I4" s="5">
        <v>98.3</v>
      </c>
      <c r="J4" s="5"/>
    </row>
    <row r="5">
      <c r="A5" s="5" t="s">
        <v>1406</v>
      </c>
      <c r="B5" s="201" t="s">
        <v>4227</v>
      </c>
      <c r="C5" s="200" t="str">
        <f t="shared" si="1"/>
        <v>Accessories_No Sales</v>
      </c>
      <c r="D5" s="18">
        <v>18.0</v>
      </c>
      <c r="E5" s="18">
        <v>18.0</v>
      </c>
      <c r="F5" s="5">
        <v>100.0</v>
      </c>
      <c r="G5" s="5">
        <v>38.0</v>
      </c>
      <c r="H5" s="5">
        <v>38.0</v>
      </c>
      <c r="I5" s="5">
        <v>100.0</v>
      </c>
      <c r="J5" s="5"/>
    </row>
    <row r="6">
      <c r="A6" s="5" t="s">
        <v>3205</v>
      </c>
      <c r="B6" s="201" t="s">
        <v>1426</v>
      </c>
      <c r="C6" s="200" t="str">
        <f t="shared" si="1"/>
        <v>Activity Books_0-5</v>
      </c>
      <c r="D6" s="18">
        <v>17.0</v>
      </c>
      <c r="E6" s="18">
        <v>17.0</v>
      </c>
      <c r="F6" s="5">
        <v>100.0</v>
      </c>
      <c r="G6" s="5">
        <v>19.0</v>
      </c>
      <c r="H6" s="5">
        <v>19.0</v>
      </c>
      <c r="I6" s="5">
        <v>100.0</v>
      </c>
      <c r="J6" s="5"/>
    </row>
    <row r="7">
      <c r="A7" s="5" t="s">
        <v>3205</v>
      </c>
      <c r="B7" s="201" t="s">
        <v>4226</v>
      </c>
      <c r="C7" s="200" t="str">
        <f t="shared" si="1"/>
        <v>Activity Books_10-15</v>
      </c>
      <c r="D7" s="18">
        <v>33.0</v>
      </c>
      <c r="E7" s="18">
        <v>31.0</v>
      </c>
      <c r="F7" s="5">
        <v>93.9</v>
      </c>
      <c r="G7" s="5">
        <v>34.0</v>
      </c>
      <c r="H7" s="5">
        <v>32.0</v>
      </c>
      <c r="I7" s="5">
        <v>94.1</v>
      </c>
      <c r="J7" s="5"/>
    </row>
    <row r="8">
      <c r="A8" s="5" t="s">
        <v>3205</v>
      </c>
      <c r="B8" s="201" t="s">
        <v>1413</v>
      </c>
      <c r="C8" s="200" t="str">
        <f t="shared" si="1"/>
        <v>Activity Books_15-20</v>
      </c>
      <c r="D8" s="18">
        <v>18.0</v>
      </c>
      <c r="E8" s="18">
        <v>10.0</v>
      </c>
      <c r="F8" s="5">
        <v>55.6</v>
      </c>
      <c r="G8" s="5">
        <v>44.0</v>
      </c>
      <c r="H8" s="5">
        <v>30.0</v>
      </c>
      <c r="I8" s="5">
        <v>68.2</v>
      </c>
      <c r="J8" s="5"/>
    </row>
    <row r="9">
      <c r="A9" s="5" t="s">
        <v>3205</v>
      </c>
      <c r="B9" s="201" t="s">
        <v>1398</v>
      </c>
      <c r="C9" s="200" t="str">
        <f t="shared" si="1"/>
        <v>Activity Books_20-25</v>
      </c>
      <c r="D9" s="18">
        <v>25.0</v>
      </c>
      <c r="E9" s="18">
        <v>25.0</v>
      </c>
      <c r="F9" s="5">
        <v>100.0</v>
      </c>
      <c r="G9" s="5">
        <v>27.0</v>
      </c>
      <c r="H9" s="5">
        <v>27.0</v>
      </c>
      <c r="I9" s="5">
        <v>100.0</v>
      </c>
      <c r="J9" s="5"/>
    </row>
    <row r="10">
      <c r="A10" s="5" t="s">
        <v>3205</v>
      </c>
      <c r="B10" s="201" t="s">
        <v>1400</v>
      </c>
      <c r="C10" s="200" t="str">
        <f t="shared" si="1"/>
        <v>Activity Books_25+</v>
      </c>
      <c r="D10" s="18">
        <v>128.0</v>
      </c>
      <c r="E10" s="18">
        <v>119.0</v>
      </c>
      <c r="F10" s="5">
        <v>93.0</v>
      </c>
      <c r="G10" s="5">
        <v>323.0</v>
      </c>
      <c r="H10" s="5">
        <v>304.0</v>
      </c>
      <c r="I10" s="5">
        <v>94.1</v>
      </c>
      <c r="J10" s="5"/>
    </row>
    <row r="11">
      <c r="A11" s="5" t="s">
        <v>3205</v>
      </c>
      <c r="B11" s="201" t="s">
        <v>4227</v>
      </c>
      <c r="C11" s="200" t="str">
        <f t="shared" si="1"/>
        <v>Activity Books_No Sales</v>
      </c>
      <c r="D11" s="18">
        <v>34.0</v>
      </c>
      <c r="E11" s="18">
        <v>34.0</v>
      </c>
      <c r="F11" s="5">
        <v>100.0</v>
      </c>
      <c r="G11" s="5">
        <v>41.0</v>
      </c>
      <c r="H11" s="5">
        <v>41.0</v>
      </c>
      <c r="I11" s="5">
        <v>100.0</v>
      </c>
      <c r="J11" s="5"/>
    </row>
    <row r="12">
      <c r="A12" s="5" t="s">
        <v>2720</v>
      </c>
      <c r="B12" s="201" t="s">
        <v>4227</v>
      </c>
      <c r="C12" s="200" t="str">
        <f t="shared" si="1"/>
        <v>Adapters_No Sales</v>
      </c>
      <c r="D12" s="18">
        <v>2.0</v>
      </c>
      <c r="E12" s="18">
        <v>2.0</v>
      </c>
      <c r="F12" s="5">
        <v>100.0</v>
      </c>
      <c r="G12" s="5">
        <v>3.0</v>
      </c>
      <c r="H12" s="5">
        <v>3.0</v>
      </c>
      <c r="I12" s="5">
        <v>100.0</v>
      </c>
      <c r="J12" s="5"/>
    </row>
    <row r="13">
      <c r="A13" s="5" t="s">
        <v>2329</v>
      </c>
      <c r="B13" s="201" t="s">
        <v>1413</v>
      </c>
      <c r="C13" s="200" t="str">
        <f t="shared" si="1"/>
        <v>Adult Diapers_15-20</v>
      </c>
      <c r="D13" s="18">
        <v>1.0</v>
      </c>
      <c r="E13" s="18">
        <v>0.0</v>
      </c>
      <c r="F13" s="5">
        <v>0.0</v>
      </c>
      <c r="G13" s="5">
        <v>3.0</v>
      </c>
      <c r="H13" s="5">
        <v>0.0</v>
      </c>
      <c r="I13" s="5">
        <v>0.0</v>
      </c>
      <c r="J13" s="5"/>
    </row>
    <row r="14">
      <c r="A14" s="5" t="s">
        <v>2329</v>
      </c>
      <c r="B14" s="201" t="s">
        <v>1400</v>
      </c>
      <c r="C14" s="200" t="str">
        <f t="shared" si="1"/>
        <v>Adult Diapers_25+</v>
      </c>
      <c r="D14" s="18">
        <v>163.0</v>
      </c>
      <c r="E14" s="18">
        <v>90.0</v>
      </c>
      <c r="F14" s="5">
        <v>55.2</v>
      </c>
      <c r="G14" s="5">
        <v>540.0</v>
      </c>
      <c r="H14" s="5">
        <v>290.0</v>
      </c>
      <c r="I14" s="5">
        <v>53.7</v>
      </c>
      <c r="J14" s="5"/>
    </row>
    <row r="15">
      <c r="A15" s="5" t="s">
        <v>2329</v>
      </c>
      <c r="B15" s="201" t="s">
        <v>4227</v>
      </c>
      <c r="C15" s="200" t="str">
        <f t="shared" si="1"/>
        <v>Adult Diapers_No Sales</v>
      </c>
      <c r="D15" s="18">
        <v>6.0</v>
      </c>
      <c r="E15" s="18">
        <v>6.0</v>
      </c>
      <c r="F15" s="5">
        <v>100.0</v>
      </c>
      <c r="G15" s="5">
        <v>11.0</v>
      </c>
      <c r="H15" s="5">
        <v>11.0</v>
      </c>
      <c r="I15" s="5">
        <v>100.0</v>
      </c>
      <c r="J15" s="5"/>
    </row>
    <row r="16">
      <c r="A16" s="5" t="s">
        <v>2383</v>
      </c>
      <c r="B16" s="201" t="s">
        <v>1400</v>
      </c>
      <c r="C16" s="200" t="str">
        <f t="shared" si="1"/>
        <v>Air Fryer_25+</v>
      </c>
      <c r="D16" s="18">
        <v>22.0</v>
      </c>
      <c r="E16" s="18">
        <v>0.0</v>
      </c>
      <c r="F16" s="5">
        <v>0.0</v>
      </c>
      <c r="G16" s="5">
        <v>24.0</v>
      </c>
      <c r="H16" s="5">
        <v>0.0</v>
      </c>
      <c r="I16" s="5">
        <v>0.0</v>
      </c>
      <c r="J16" s="5"/>
    </row>
    <row r="17">
      <c r="A17" s="5" t="s">
        <v>1849</v>
      </c>
      <c r="B17" s="201" t="s">
        <v>4228</v>
      </c>
      <c r="C17" s="200" t="str">
        <f t="shared" si="1"/>
        <v>Air fresheners &amp; Candles_5-10</v>
      </c>
      <c r="D17" s="18">
        <v>139.0</v>
      </c>
      <c r="E17" s="18">
        <v>7.0</v>
      </c>
      <c r="F17" s="5">
        <v>5.0</v>
      </c>
      <c r="G17" s="5">
        <v>1598.0</v>
      </c>
      <c r="H17" s="5">
        <v>22.0</v>
      </c>
      <c r="I17" s="5">
        <v>1.4</v>
      </c>
      <c r="J17" s="5"/>
    </row>
    <row r="18">
      <c r="A18" s="5" t="s">
        <v>1849</v>
      </c>
      <c r="B18" s="201" t="s">
        <v>4226</v>
      </c>
      <c r="C18" s="200" t="str">
        <f t="shared" si="1"/>
        <v>Air fresheners &amp; Candles_10-15</v>
      </c>
      <c r="D18" s="18">
        <v>92.0</v>
      </c>
      <c r="E18" s="18">
        <v>5.0</v>
      </c>
      <c r="F18" s="5">
        <v>5.4</v>
      </c>
      <c r="G18" s="5">
        <v>1745.0</v>
      </c>
      <c r="H18" s="5">
        <v>15.0</v>
      </c>
      <c r="I18" s="5">
        <v>0.9</v>
      </c>
      <c r="J18" s="5"/>
    </row>
    <row r="19">
      <c r="A19" s="5" t="s">
        <v>1849</v>
      </c>
      <c r="B19" s="201" t="s">
        <v>1413</v>
      </c>
      <c r="C19" s="200" t="str">
        <f t="shared" si="1"/>
        <v>Air fresheners &amp; Candles_15-20</v>
      </c>
      <c r="D19" s="18">
        <v>30.0</v>
      </c>
      <c r="E19" s="18">
        <v>3.0</v>
      </c>
      <c r="F19" s="5">
        <v>10.0</v>
      </c>
      <c r="G19" s="5">
        <v>288.0</v>
      </c>
      <c r="H19" s="5">
        <v>9.0</v>
      </c>
      <c r="I19" s="5">
        <v>3.1</v>
      </c>
      <c r="J19" s="5"/>
    </row>
    <row r="20">
      <c r="A20" s="5" t="s">
        <v>1849</v>
      </c>
      <c r="B20" s="201" t="s">
        <v>1398</v>
      </c>
      <c r="C20" s="200" t="str">
        <f t="shared" si="1"/>
        <v>Air fresheners &amp; Candles_20-25</v>
      </c>
      <c r="D20" s="18">
        <v>60.0</v>
      </c>
      <c r="E20" s="18">
        <v>4.0</v>
      </c>
      <c r="F20" s="5">
        <v>6.7</v>
      </c>
      <c r="G20" s="5">
        <v>1075.0</v>
      </c>
      <c r="H20" s="5">
        <v>11.0</v>
      </c>
      <c r="I20" s="5">
        <v>1.0</v>
      </c>
      <c r="J20" s="5"/>
    </row>
    <row r="21">
      <c r="A21" s="5" t="s">
        <v>1849</v>
      </c>
      <c r="B21" s="201" t="s">
        <v>1400</v>
      </c>
      <c r="C21" s="200" t="str">
        <f t="shared" si="1"/>
        <v>Air fresheners &amp; Candles_25+</v>
      </c>
      <c r="D21" s="18">
        <v>410.0</v>
      </c>
      <c r="E21" s="18">
        <v>117.0</v>
      </c>
      <c r="F21" s="5">
        <v>28.5</v>
      </c>
      <c r="G21" s="5">
        <v>2613.0</v>
      </c>
      <c r="H21" s="5">
        <v>328.0</v>
      </c>
      <c r="I21" s="5">
        <v>12.6</v>
      </c>
      <c r="J21" s="5"/>
    </row>
    <row r="22">
      <c r="A22" s="5" t="s">
        <v>1849</v>
      </c>
      <c r="B22" s="201" t="s">
        <v>4227</v>
      </c>
      <c r="C22" s="200" t="str">
        <f t="shared" si="1"/>
        <v>Air fresheners &amp; Candles_No Sales</v>
      </c>
      <c r="D22" s="18">
        <v>29.0</v>
      </c>
      <c r="E22" s="18">
        <v>27.0</v>
      </c>
      <c r="F22" s="5">
        <v>93.1</v>
      </c>
      <c r="G22" s="5">
        <v>89.0</v>
      </c>
      <c r="H22" s="5">
        <v>87.0</v>
      </c>
      <c r="I22" s="5">
        <v>97.8</v>
      </c>
      <c r="J22" s="5"/>
    </row>
    <row r="23">
      <c r="A23" s="5" t="s">
        <v>2583</v>
      </c>
      <c r="B23" s="201" t="s">
        <v>1413</v>
      </c>
      <c r="C23" s="200" t="str">
        <f t="shared" si="1"/>
        <v>Appliances_15-20</v>
      </c>
      <c r="D23" s="18">
        <v>30.0</v>
      </c>
      <c r="E23" s="18">
        <v>3.0</v>
      </c>
      <c r="F23" s="5">
        <v>10.0</v>
      </c>
      <c r="G23" s="5">
        <v>266.0</v>
      </c>
      <c r="H23" s="5">
        <v>11.0</v>
      </c>
      <c r="I23" s="5">
        <v>4.1</v>
      </c>
      <c r="J23" s="5"/>
    </row>
    <row r="24">
      <c r="A24" s="5" t="s">
        <v>2583</v>
      </c>
      <c r="B24" s="201" t="s">
        <v>1398</v>
      </c>
      <c r="C24" s="200" t="str">
        <f t="shared" si="1"/>
        <v>Appliances_20-25</v>
      </c>
      <c r="D24" s="18">
        <v>29.0</v>
      </c>
      <c r="E24" s="18">
        <v>2.0</v>
      </c>
      <c r="F24" s="5">
        <v>6.9</v>
      </c>
      <c r="G24" s="5">
        <v>108.0</v>
      </c>
      <c r="H24" s="5">
        <v>6.0</v>
      </c>
      <c r="I24" s="5">
        <v>5.6</v>
      </c>
      <c r="J24" s="5"/>
    </row>
    <row r="25">
      <c r="A25" s="5" t="s">
        <v>2583</v>
      </c>
      <c r="B25" s="201" t="s">
        <v>1400</v>
      </c>
      <c r="C25" s="200" t="str">
        <f t="shared" si="1"/>
        <v>Appliances_25+</v>
      </c>
      <c r="D25" s="18">
        <v>16.0</v>
      </c>
      <c r="E25" s="18">
        <v>11.0</v>
      </c>
      <c r="F25" s="5">
        <v>68.8</v>
      </c>
      <c r="G25" s="5">
        <v>36.0</v>
      </c>
      <c r="H25" s="5">
        <v>26.0</v>
      </c>
      <c r="I25" s="5">
        <v>72.2</v>
      </c>
      <c r="J25" s="5"/>
    </row>
    <row r="26">
      <c r="A26" s="5" t="s">
        <v>2583</v>
      </c>
      <c r="B26" s="201" t="s">
        <v>4227</v>
      </c>
      <c r="C26" s="200" t="str">
        <f t="shared" si="1"/>
        <v>Appliances_No Sales</v>
      </c>
      <c r="D26" s="18">
        <v>17.0</v>
      </c>
      <c r="E26" s="18">
        <v>17.0</v>
      </c>
      <c r="F26" s="5">
        <v>100.0</v>
      </c>
      <c r="G26" s="5">
        <v>37.0</v>
      </c>
      <c r="H26" s="5">
        <v>37.0</v>
      </c>
      <c r="I26" s="5">
        <v>100.0</v>
      </c>
      <c r="J26" s="5"/>
    </row>
    <row r="27">
      <c r="A27" s="5" t="s">
        <v>1476</v>
      </c>
      <c r="B27" s="201" t="s">
        <v>1426</v>
      </c>
      <c r="C27" s="200" t="str">
        <f t="shared" si="1"/>
        <v>Arabic &amp; Flat Bread_0-5</v>
      </c>
      <c r="D27" s="18">
        <v>214.0</v>
      </c>
      <c r="E27" s="18">
        <v>12.0</v>
      </c>
      <c r="F27" s="5">
        <v>5.6</v>
      </c>
      <c r="G27" s="5">
        <v>910.0</v>
      </c>
      <c r="H27" s="5">
        <v>29.0</v>
      </c>
      <c r="I27" s="5">
        <v>3.2</v>
      </c>
      <c r="J27" s="5"/>
    </row>
    <row r="28">
      <c r="A28" s="5" t="s">
        <v>1476</v>
      </c>
      <c r="B28" s="201" t="s">
        <v>4228</v>
      </c>
      <c r="C28" s="200" t="str">
        <f t="shared" si="1"/>
        <v>Arabic &amp; Flat Bread_5-10</v>
      </c>
      <c r="D28" s="18">
        <v>46.0</v>
      </c>
      <c r="E28" s="18">
        <v>0.0</v>
      </c>
      <c r="F28" s="5">
        <v>0.0</v>
      </c>
      <c r="G28" s="5">
        <v>192.0</v>
      </c>
      <c r="H28" s="5">
        <v>0.0</v>
      </c>
      <c r="I28" s="5">
        <v>0.0</v>
      </c>
      <c r="J28" s="5"/>
    </row>
    <row r="29">
      <c r="A29" s="5" t="s">
        <v>1476</v>
      </c>
      <c r="B29" s="201" t="s">
        <v>4226</v>
      </c>
      <c r="C29" s="200" t="str">
        <f t="shared" si="1"/>
        <v>Arabic &amp; Flat Bread_10-15</v>
      </c>
      <c r="D29" s="18">
        <v>42.0</v>
      </c>
      <c r="E29" s="18">
        <v>0.0</v>
      </c>
      <c r="F29" s="5">
        <v>0.0</v>
      </c>
      <c r="G29" s="5">
        <v>77.0</v>
      </c>
      <c r="H29" s="5">
        <v>0.0</v>
      </c>
      <c r="I29" s="5">
        <v>0.0</v>
      </c>
      <c r="J29" s="5"/>
    </row>
    <row r="30">
      <c r="A30" s="5" t="s">
        <v>1476</v>
      </c>
      <c r="B30" s="201" t="s">
        <v>1413</v>
      </c>
      <c r="C30" s="200" t="str">
        <f t="shared" si="1"/>
        <v>Arabic &amp; Flat Bread_15-20</v>
      </c>
      <c r="D30" s="18">
        <v>41.0</v>
      </c>
      <c r="E30" s="18">
        <v>1.0</v>
      </c>
      <c r="F30" s="5">
        <v>2.4</v>
      </c>
      <c r="G30" s="5">
        <v>79.0</v>
      </c>
      <c r="H30" s="5">
        <v>1.0</v>
      </c>
      <c r="I30" s="5">
        <v>1.3</v>
      </c>
      <c r="J30" s="5"/>
    </row>
    <row r="31">
      <c r="A31" s="5" t="s">
        <v>1476</v>
      </c>
      <c r="B31" s="201" t="s">
        <v>1398</v>
      </c>
      <c r="C31" s="200" t="str">
        <f t="shared" si="1"/>
        <v>Arabic &amp; Flat Bread_20-25</v>
      </c>
      <c r="D31" s="18">
        <v>21.0</v>
      </c>
      <c r="E31" s="18">
        <v>0.0</v>
      </c>
      <c r="F31" s="5">
        <v>0.0</v>
      </c>
      <c r="G31" s="5">
        <v>26.0</v>
      </c>
      <c r="H31" s="5">
        <v>0.0</v>
      </c>
      <c r="I31" s="5">
        <v>0.0</v>
      </c>
      <c r="J31" s="5"/>
    </row>
    <row r="32">
      <c r="A32" s="5" t="s">
        <v>1488</v>
      </c>
      <c r="B32" s="201" t="s">
        <v>1400</v>
      </c>
      <c r="C32" s="200" t="str">
        <f t="shared" si="1"/>
        <v>Arabic Sweets_25+</v>
      </c>
      <c r="D32" s="18">
        <v>145.0</v>
      </c>
      <c r="E32" s="18">
        <v>31.0</v>
      </c>
      <c r="F32" s="5">
        <v>21.4</v>
      </c>
      <c r="G32" s="5">
        <v>1127.0</v>
      </c>
      <c r="H32" s="5">
        <v>96.0</v>
      </c>
      <c r="I32" s="5">
        <v>8.5</v>
      </c>
      <c r="J32" s="5"/>
    </row>
    <row r="33">
      <c r="A33" s="5" t="s">
        <v>1488</v>
      </c>
      <c r="B33" s="201" t="s">
        <v>4227</v>
      </c>
      <c r="C33" s="200" t="str">
        <f t="shared" si="1"/>
        <v>Arabic Sweets_No Sales</v>
      </c>
      <c r="D33" s="18">
        <v>1.0</v>
      </c>
      <c r="E33" s="18">
        <v>1.0</v>
      </c>
      <c r="F33" s="5">
        <v>100.0</v>
      </c>
      <c r="G33" s="5">
        <v>22.0</v>
      </c>
      <c r="H33" s="5">
        <v>22.0</v>
      </c>
      <c r="I33" s="5">
        <v>100.0</v>
      </c>
      <c r="J33" s="5"/>
    </row>
    <row r="34">
      <c r="A34" s="5" t="s">
        <v>468</v>
      </c>
      <c r="B34" s="201" t="s">
        <v>1426</v>
      </c>
      <c r="C34" s="200" t="str">
        <f t="shared" si="1"/>
        <v>BBQ_0-5</v>
      </c>
      <c r="D34" s="18">
        <v>30.0</v>
      </c>
      <c r="E34" s="18">
        <v>7.0</v>
      </c>
      <c r="F34" s="5">
        <v>23.3</v>
      </c>
      <c r="G34" s="5">
        <v>95.0</v>
      </c>
      <c r="H34" s="5">
        <v>21.0</v>
      </c>
      <c r="I34" s="5">
        <v>22.1</v>
      </c>
      <c r="J34" s="5"/>
    </row>
    <row r="35">
      <c r="A35" s="5" t="s">
        <v>468</v>
      </c>
      <c r="B35" s="201" t="s">
        <v>4228</v>
      </c>
      <c r="C35" s="200" t="str">
        <f t="shared" si="1"/>
        <v>BBQ_5-10</v>
      </c>
      <c r="D35" s="18">
        <v>122.0</v>
      </c>
      <c r="E35" s="18">
        <v>35.0</v>
      </c>
      <c r="F35" s="5">
        <v>28.7</v>
      </c>
      <c r="G35" s="5">
        <v>856.0</v>
      </c>
      <c r="H35" s="5">
        <v>113.0</v>
      </c>
      <c r="I35" s="5">
        <v>13.2</v>
      </c>
      <c r="J35" s="5"/>
    </row>
    <row r="36">
      <c r="A36" s="5" t="s">
        <v>468</v>
      </c>
      <c r="B36" s="201" t="s">
        <v>4226</v>
      </c>
      <c r="C36" s="200" t="str">
        <f t="shared" si="1"/>
        <v>BBQ_10-15</v>
      </c>
      <c r="D36" s="18">
        <v>116.0</v>
      </c>
      <c r="E36" s="18">
        <v>57.0</v>
      </c>
      <c r="F36" s="5">
        <v>49.1</v>
      </c>
      <c r="G36" s="5">
        <v>892.0</v>
      </c>
      <c r="H36" s="5">
        <v>195.0</v>
      </c>
      <c r="I36" s="5">
        <v>21.9</v>
      </c>
      <c r="J36" s="5"/>
    </row>
    <row r="37">
      <c r="A37" s="5" t="s">
        <v>468</v>
      </c>
      <c r="B37" s="201" t="s">
        <v>1413</v>
      </c>
      <c r="C37" s="200" t="str">
        <f t="shared" si="1"/>
        <v>BBQ_15-20</v>
      </c>
      <c r="D37" s="18">
        <v>74.0</v>
      </c>
      <c r="E37" s="18">
        <v>17.0</v>
      </c>
      <c r="F37" s="5">
        <v>23.0</v>
      </c>
      <c r="G37" s="5">
        <v>276.0</v>
      </c>
      <c r="H37" s="5">
        <v>55.0</v>
      </c>
      <c r="I37" s="5">
        <v>19.9</v>
      </c>
      <c r="J37" s="5"/>
    </row>
    <row r="38">
      <c r="A38" s="5" t="s">
        <v>468</v>
      </c>
      <c r="B38" s="201" t="s">
        <v>1398</v>
      </c>
      <c r="C38" s="200" t="str">
        <f t="shared" si="1"/>
        <v>BBQ_20-25</v>
      </c>
      <c r="D38" s="18">
        <v>135.0</v>
      </c>
      <c r="E38" s="18">
        <v>56.0</v>
      </c>
      <c r="F38" s="5">
        <v>41.5</v>
      </c>
      <c r="G38" s="5">
        <v>1353.0</v>
      </c>
      <c r="H38" s="5">
        <v>188.0</v>
      </c>
      <c r="I38" s="5">
        <v>13.9</v>
      </c>
      <c r="J38" s="5"/>
    </row>
    <row r="39">
      <c r="A39" s="5" t="s">
        <v>468</v>
      </c>
      <c r="B39" s="201" t="s">
        <v>1400</v>
      </c>
      <c r="C39" s="200" t="str">
        <f t="shared" si="1"/>
        <v>BBQ_25+</v>
      </c>
      <c r="D39" s="18">
        <v>133.0</v>
      </c>
      <c r="E39" s="18">
        <v>80.0</v>
      </c>
      <c r="F39" s="5">
        <v>60.2</v>
      </c>
      <c r="G39" s="5">
        <v>387.0</v>
      </c>
      <c r="H39" s="5">
        <v>216.0</v>
      </c>
      <c r="I39" s="5">
        <v>55.8</v>
      </c>
      <c r="J39" s="5"/>
    </row>
    <row r="40">
      <c r="A40" s="5" t="s">
        <v>468</v>
      </c>
      <c r="B40" s="201" t="s">
        <v>4227</v>
      </c>
      <c r="C40" s="200" t="str">
        <f t="shared" si="1"/>
        <v>BBQ_No Sales</v>
      </c>
      <c r="D40" s="18">
        <v>33.0</v>
      </c>
      <c r="E40" s="18">
        <v>28.0</v>
      </c>
      <c r="F40" s="5">
        <v>84.8</v>
      </c>
      <c r="G40" s="5">
        <v>46.0</v>
      </c>
      <c r="H40" s="5">
        <v>41.0</v>
      </c>
      <c r="I40" s="5">
        <v>89.1</v>
      </c>
      <c r="J40" s="5"/>
    </row>
    <row r="41">
      <c r="A41" s="5" t="s">
        <v>377</v>
      </c>
      <c r="B41" s="201" t="s">
        <v>1400</v>
      </c>
      <c r="C41" s="200" t="str">
        <f t="shared" si="1"/>
        <v>BBQ &amp; Grills_25+</v>
      </c>
      <c r="D41" s="18">
        <v>4.0</v>
      </c>
      <c r="E41" s="18">
        <v>4.0</v>
      </c>
      <c r="F41" s="5">
        <v>100.0</v>
      </c>
      <c r="G41" s="5">
        <v>4.0</v>
      </c>
      <c r="H41" s="5">
        <v>4.0</v>
      </c>
      <c r="I41" s="5">
        <v>100.0</v>
      </c>
      <c r="J41" s="5"/>
    </row>
    <row r="42">
      <c r="A42" s="5" t="s">
        <v>377</v>
      </c>
      <c r="B42" s="201" t="s">
        <v>4227</v>
      </c>
      <c r="C42" s="200" t="str">
        <f t="shared" si="1"/>
        <v>BBQ &amp; Grills_No Sales</v>
      </c>
      <c r="D42" s="18">
        <v>3.0</v>
      </c>
      <c r="E42" s="18">
        <v>3.0</v>
      </c>
      <c r="F42" s="5">
        <v>100.0</v>
      </c>
      <c r="G42" s="5">
        <v>3.0</v>
      </c>
      <c r="H42" s="5">
        <v>3.0</v>
      </c>
      <c r="I42" s="5">
        <v>100.0</v>
      </c>
      <c r="J42" s="5"/>
    </row>
    <row r="43">
      <c r="A43" s="5" t="s">
        <v>1425</v>
      </c>
      <c r="B43" s="201" t="s">
        <v>1426</v>
      </c>
      <c r="C43" s="200" t="str">
        <f t="shared" si="1"/>
        <v>Baby Bath &amp; Shower_0-5</v>
      </c>
      <c r="D43" s="18">
        <v>29.0</v>
      </c>
      <c r="E43" s="18">
        <v>0.0</v>
      </c>
      <c r="F43" s="5">
        <v>0.0</v>
      </c>
      <c r="G43" s="5">
        <v>509.0</v>
      </c>
      <c r="H43" s="5">
        <v>0.0</v>
      </c>
      <c r="I43" s="5">
        <v>0.0</v>
      </c>
      <c r="J43" s="5"/>
    </row>
    <row r="44">
      <c r="A44" s="5" t="s">
        <v>1425</v>
      </c>
      <c r="B44" s="201" t="s">
        <v>4226</v>
      </c>
      <c r="C44" s="200" t="str">
        <f t="shared" si="1"/>
        <v>Baby Bath &amp; Shower_10-15</v>
      </c>
      <c r="D44" s="18">
        <v>28.0</v>
      </c>
      <c r="E44" s="18">
        <v>17.0</v>
      </c>
      <c r="F44" s="5">
        <v>60.7</v>
      </c>
      <c r="G44" s="5">
        <v>56.0</v>
      </c>
      <c r="H44" s="5">
        <v>27.0</v>
      </c>
      <c r="I44" s="5">
        <v>48.2</v>
      </c>
      <c r="J44" s="5"/>
    </row>
    <row r="45">
      <c r="A45" s="5" t="s">
        <v>1425</v>
      </c>
      <c r="B45" s="201" t="s">
        <v>1413</v>
      </c>
      <c r="C45" s="200" t="str">
        <f t="shared" si="1"/>
        <v>Baby Bath &amp; Shower_15-20</v>
      </c>
      <c r="D45" s="18">
        <v>57.0</v>
      </c>
      <c r="E45" s="18">
        <v>23.0</v>
      </c>
      <c r="F45" s="5">
        <v>40.4</v>
      </c>
      <c r="G45" s="5">
        <v>219.0</v>
      </c>
      <c r="H45" s="5">
        <v>65.0</v>
      </c>
      <c r="I45" s="5">
        <v>29.7</v>
      </c>
      <c r="J45" s="5"/>
    </row>
    <row r="46">
      <c r="A46" s="5" t="s">
        <v>1425</v>
      </c>
      <c r="B46" s="201" t="s">
        <v>1398</v>
      </c>
      <c r="C46" s="200" t="str">
        <f t="shared" si="1"/>
        <v>Baby Bath &amp; Shower_20-25</v>
      </c>
      <c r="D46" s="18">
        <v>61.0</v>
      </c>
      <c r="E46" s="18">
        <v>37.0</v>
      </c>
      <c r="F46" s="5">
        <v>60.7</v>
      </c>
      <c r="G46" s="5">
        <v>124.0</v>
      </c>
      <c r="H46" s="5">
        <v>84.0</v>
      </c>
      <c r="I46" s="5">
        <v>67.7</v>
      </c>
      <c r="J46" s="5"/>
    </row>
    <row r="47">
      <c r="A47" s="5" t="s">
        <v>1425</v>
      </c>
      <c r="B47" s="201" t="s">
        <v>1400</v>
      </c>
      <c r="C47" s="200" t="str">
        <f t="shared" si="1"/>
        <v>Baby Bath &amp; Shower_25+</v>
      </c>
      <c r="D47" s="18">
        <v>133.0</v>
      </c>
      <c r="E47" s="18">
        <v>66.0</v>
      </c>
      <c r="F47" s="5">
        <v>49.6</v>
      </c>
      <c r="G47" s="5">
        <v>652.0</v>
      </c>
      <c r="H47" s="5">
        <v>158.0</v>
      </c>
      <c r="I47" s="5">
        <v>24.2</v>
      </c>
      <c r="J47" s="5"/>
    </row>
    <row r="48">
      <c r="A48" s="5" t="s">
        <v>1425</v>
      </c>
      <c r="B48" s="201" t="s">
        <v>4227</v>
      </c>
      <c r="C48" s="200" t="str">
        <f t="shared" si="1"/>
        <v>Baby Bath &amp; Shower_No Sales</v>
      </c>
      <c r="D48" s="18">
        <v>54.0</v>
      </c>
      <c r="E48" s="18">
        <v>26.0</v>
      </c>
      <c r="F48" s="5">
        <v>48.1</v>
      </c>
      <c r="G48" s="5">
        <v>125.0</v>
      </c>
      <c r="H48" s="5">
        <v>44.0</v>
      </c>
      <c r="I48" s="5">
        <v>35.2</v>
      </c>
      <c r="J48" s="5"/>
    </row>
    <row r="49">
      <c r="A49" s="5" t="s">
        <v>1437</v>
      </c>
      <c r="B49" s="201" t="s">
        <v>4228</v>
      </c>
      <c r="C49" s="200" t="str">
        <f t="shared" si="1"/>
        <v>Baby Care_5-10</v>
      </c>
      <c r="D49" s="18">
        <v>2.0</v>
      </c>
      <c r="E49" s="18">
        <v>1.0</v>
      </c>
      <c r="F49" s="5">
        <v>50.0</v>
      </c>
      <c r="G49" s="5">
        <v>6.0</v>
      </c>
      <c r="H49" s="5">
        <v>3.0</v>
      </c>
      <c r="I49" s="5">
        <v>50.0</v>
      </c>
      <c r="J49" s="5"/>
    </row>
    <row r="50">
      <c r="A50" s="5" t="s">
        <v>1437</v>
      </c>
      <c r="B50" s="201" t="s">
        <v>4226</v>
      </c>
      <c r="C50" s="200" t="str">
        <f t="shared" si="1"/>
        <v>Baby Care_10-15</v>
      </c>
      <c r="D50" s="18">
        <v>38.0</v>
      </c>
      <c r="E50" s="18">
        <v>22.0</v>
      </c>
      <c r="F50" s="5">
        <v>57.9</v>
      </c>
      <c r="G50" s="5">
        <v>119.0</v>
      </c>
      <c r="H50" s="5">
        <v>62.0</v>
      </c>
      <c r="I50" s="5">
        <v>52.1</v>
      </c>
      <c r="J50" s="5"/>
    </row>
    <row r="51">
      <c r="A51" s="5" t="s">
        <v>1437</v>
      </c>
      <c r="B51" s="201" t="s">
        <v>1413</v>
      </c>
      <c r="C51" s="200" t="str">
        <f t="shared" si="1"/>
        <v>Baby Care_15-20</v>
      </c>
      <c r="D51" s="18">
        <v>52.0</v>
      </c>
      <c r="E51" s="18">
        <v>11.0</v>
      </c>
      <c r="F51" s="5">
        <v>21.2</v>
      </c>
      <c r="G51" s="5">
        <v>131.0</v>
      </c>
      <c r="H51" s="5">
        <v>30.0</v>
      </c>
      <c r="I51" s="5">
        <v>22.9</v>
      </c>
      <c r="J51" s="5"/>
    </row>
    <row r="52">
      <c r="A52" s="5" t="s">
        <v>1437</v>
      </c>
      <c r="B52" s="201" t="s">
        <v>1398</v>
      </c>
      <c r="C52" s="200" t="str">
        <f t="shared" si="1"/>
        <v>Baby Care_20-25</v>
      </c>
      <c r="D52" s="18">
        <v>58.0</v>
      </c>
      <c r="E52" s="18">
        <v>36.0</v>
      </c>
      <c r="F52" s="5">
        <v>62.1</v>
      </c>
      <c r="G52" s="5">
        <v>162.0</v>
      </c>
      <c r="H52" s="5">
        <v>103.0</v>
      </c>
      <c r="I52" s="5">
        <v>63.6</v>
      </c>
      <c r="J52" s="5"/>
    </row>
    <row r="53">
      <c r="A53" s="5" t="s">
        <v>1437</v>
      </c>
      <c r="B53" s="201" t="s">
        <v>1400</v>
      </c>
      <c r="C53" s="200" t="str">
        <f t="shared" si="1"/>
        <v>Baby Care_25+</v>
      </c>
      <c r="D53" s="18">
        <v>273.0</v>
      </c>
      <c r="E53" s="18">
        <v>123.0</v>
      </c>
      <c r="F53" s="5">
        <v>45.1</v>
      </c>
      <c r="G53" s="5">
        <v>1053.0</v>
      </c>
      <c r="H53" s="5">
        <v>281.0</v>
      </c>
      <c r="I53" s="5">
        <v>26.7</v>
      </c>
      <c r="J53" s="5"/>
    </row>
    <row r="54">
      <c r="A54" s="5" t="s">
        <v>1437</v>
      </c>
      <c r="B54" s="201" t="s">
        <v>4227</v>
      </c>
      <c r="C54" s="200" t="str">
        <f t="shared" si="1"/>
        <v>Baby Care_No Sales</v>
      </c>
      <c r="D54" s="18">
        <v>20.0</v>
      </c>
      <c r="E54" s="18">
        <v>19.0</v>
      </c>
      <c r="F54" s="5">
        <v>95.0</v>
      </c>
      <c r="G54" s="5">
        <v>46.0</v>
      </c>
      <c r="H54" s="5">
        <v>44.0</v>
      </c>
      <c r="I54" s="5">
        <v>95.7</v>
      </c>
      <c r="J54" s="5"/>
    </row>
    <row r="55">
      <c r="A55" s="5" t="s">
        <v>120</v>
      </c>
      <c r="B55" s="201" t="s">
        <v>1426</v>
      </c>
      <c r="C55" s="200" t="str">
        <f t="shared" si="1"/>
        <v>Baby Food_0-5</v>
      </c>
      <c r="D55" s="18">
        <v>56.0</v>
      </c>
      <c r="E55" s="18">
        <v>3.0</v>
      </c>
      <c r="F55" s="5">
        <v>5.4</v>
      </c>
      <c r="G55" s="5">
        <v>1580.0</v>
      </c>
      <c r="H55" s="5">
        <v>16.0</v>
      </c>
      <c r="I55" s="5">
        <v>1.0</v>
      </c>
      <c r="J55" s="5"/>
    </row>
    <row r="56">
      <c r="A56" s="5" t="s">
        <v>120</v>
      </c>
      <c r="B56" s="201" t="s">
        <v>4228</v>
      </c>
      <c r="C56" s="200" t="str">
        <f t="shared" si="1"/>
        <v>Baby Food_5-10</v>
      </c>
      <c r="D56" s="18">
        <v>653.0</v>
      </c>
      <c r="E56" s="18">
        <v>86.0</v>
      </c>
      <c r="F56" s="5">
        <v>13.2</v>
      </c>
      <c r="G56" s="5">
        <v>8402.0</v>
      </c>
      <c r="H56" s="5">
        <v>259.0</v>
      </c>
      <c r="I56" s="5">
        <v>3.1</v>
      </c>
      <c r="J56" s="5"/>
    </row>
    <row r="57">
      <c r="A57" s="5" t="s">
        <v>120</v>
      </c>
      <c r="B57" s="201" t="s">
        <v>4226</v>
      </c>
      <c r="C57" s="200" t="str">
        <f t="shared" si="1"/>
        <v>Baby Food_10-15</v>
      </c>
      <c r="D57" s="18">
        <v>529.0</v>
      </c>
      <c r="E57" s="18">
        <v>71.0</v>
      </c>
      <c r="F57" s="5">
        <v>13.4</v>
      </c>
      <c r="G57" s="5">
        <v>5469.0</v>
      </c>
      <c r="H57" s="5">
        <v>224.0</v>
      </c>
      <c r="I57" s="5">
        <v>4.1</v>
      </c>
      <c r="J57" s="5"/>
    </row>
    <row r="58">
      <c r="A58" s="5" t="s">
        <v>120</v>
      </c>
      <c r="B58" s="201" t="s">
        <v>1413</v>
      </c>
      <c r="C58" s="200" t="str">
        <f t="shared" si="1"/>
        <v>Baby Food_15-20</v>
      </c>
      <c r="D58" s="18">
        <v>82.0</v>
      </c>
      <c r="E58" s="18">
        <v>17.0</v>
      </c>
      <c r="F58" s="5">
        <v>20.7</v>
      </c>
      <c r="G58" s="5">
        <v>606.0</v>
      </c>
      <c r="H58" s="5">
        <v>56.0</v>
      </c>
      <c r="I58" s="5">
        <v>9.2</v>
      </c>
      <c r="J58" s="5"/>
    </row>
    <row r="59">
      <c r="A59" s="5" t="s">
        <v>120</v>
      </c>
      <c r="B59" s="201" t="s">
        <v>1398</v>
      </c>
      <c r="C59" s="200" t="str">
        <f t="shared" si="1"/>
        <v>Baby Food_20-25</v>
      </c>
      <c r="D59" s="18">
        <v>50.0</v>
      </c>
      <c r="E59" s="18">
        <v>22.0</v>
      </c>
      <c r="F59" s="5">
        <v>44.0</v>
      </c>
      <c r="G59" s="5">
        <v>148.0</v>
      </c>
      <c r="H59" s="5">
        <v>64.0</v>
      </c>
      <c r="I59" s="5">
        <v>43.2</v>
      </c>
      <c r="J59" s="5"/>
    </row>
    <row r="60">
      <c r="A60" s="5" t="s">
        <v>120</v>
      </c>
      <c r="B60" s="201" t="s">
        <v>1400</v>
      </c>
      <c r="C60" s="200" t="str">
        <f t="shared" si="1"/>
        <v>Baby Food_25+</v>
      </c>
      <c r="D60" s="18">
        <v>558.0</v>
      </c>
      <c r="E60" s="18">
        <v>184.0</v>
      </c>
      <c r="F60" s="5">
        <v>33.0</v>
      </c>
      <c r="G60" s="5">
        <v>3032.0</v>
      </c>
      <c r="H60" s="5">
        <v>581.0</v>
      </c>
      <c r="I60" s="5">
        <v>19.2</v>
      </c>
      <c r="J60" s="5"/>
    </row>
    <row r="61">
      <c r="A61" s="5" t="s">
        <v>120</v>
      </c>
      <c r="B61" s="201" t="s">
        <v>4227</v>
      </c>
      <c r="C61" s="200" t="str">
        <f t="shared" si="1"/>
        <v>Baby Food_No Sales</v>
      </c>
      <c r="D61" s="18">
        <v>69.0</v>
      </c>
      <c r="E61" s="18">
        <v>16.0</v>
      </c>
      <c r="F61" s="5">
        <v>23.2</v>
      </c>
      <c r="G61" s="5">
        <v>481.0</v>
      </c>
      <c r="H61" s="5">
        <v>56.0</v>
      </c>
      <c r="I61" s="5">
        <v>11.6</v>
      </c>
      <c r="J61" s="5"/>
    </row>
    <row r="62">
      <c r="A62" s="5" t="s">
        <v>139</v>
      </c>
      <c r="B62" s="201" t="s">
        <v>4227</v>
      </c>
      <c r="C62" s="200" t="str">
        <f t="shared" si="1"/>
        <v>Bakery_No Sales</v>
      </c>
      <c r="D62" s="18">
        <v>9.0</v>
      </c>
      <c r="E62" s="18">
        <v>6.0</v>
      </c>
      <c r="F62" s="5">
        <v>66.7</v>
      </c>
      <c r="G62" s="5">
        <v>33.0</v>
      </c>
      <c r="H62" s="5">
        <v>24.0</v>
      </c>
      <c r="I62" s="5">
        <v>72.7</v>
      </c>
      <c r="J62" s="5"/>
    </row>
    <row r="63">
      <c r="A63" s="5" t="s">
        <v>1552</v>
      </c>
      <c r="B63" s="201" t="s">
        <v>1426</v>
      </c>
      <c r="C63" s="200" t="str">
        <f t="shared" si="1"/>
        <v>Baking Agents_0-5</v>
      </c>
      <c r="D63" s="18">
        <v>37.0</v>
      </c>
      <c r="E63" s="18">
        <v>3.0</v>
      </c>
      <c r="F63" s="5">
        <v>8.1</v>
      </c>
      <c r="G63" s="5">
        <v>911.0</v>
      </c>
      <c r="H63" s="5">
        <v>12.0</v>
      </c>
      <c r="I63" s="5">
        <v>1.3</v>
      </c>
      <c r="J63" s="5"/>
    </row>
    <row r="64">
      <c r="A64" s="5" t="s">
        <v>1552</v>
      </c>
      <c r="B64" s="201" t="s">
        <v>4228</v>
      </c>
      <c r="C64" s="200" t="str">
        <f t="shared" si="1"/>
        <v>Baking Agents_5-10</v>
      </c>
      <c r="D64" s="18">
        <v>132.0</v>
      </c>
      <c r="E64" s="18">
        <v>26.0</v>
      </c>
      <c r="F64" s="5">
        <v>19.7</v>
      </c>
      <c r="G64" s="5">
        <v>1326.0</v>
      </c>
      <c r="H64" s="5">
        <v>73.0</v>
      </c>
      <c r="I64" s="5">
        <v>5.5</v>
      </c>
      <c r="J64" s="5"/>
    </row>
    <row r="65">
      <c r="A65" s="5" t="s">
        <v>1552</v>
      </c>
      <c r="B65" s="201" t="s">
        <v>4226</v>
      </c>
      <c r="C65" s="200" t="str">
        <f t="shared" si="1"/>
        <v>Baking Agents_10-15</v>
      </c>
      <c r="D65" s="18">
        <v>56.0</v>
      </c>
      <c r="E65" s="18">
        <v>13.0</v>
      </c>
      <c r="F65" s="5">
        <v>23.2</v>
      </c>
      <c r="G65" s="5">
        <v>685.0</v>
      </c>
      <c r="H65" s="5">
        <v>32.0</v>
      </c>
      <c r="I65" s="5">
        <v>4.7</v>
      </c>
      <c r="J65" s="5"/>
    </row>
    <row r="66">
      <c r="A66" s="5" t="s">
        <v>1552</v>
      </c>
      <c r="B66" s="201" t="s">
        <v>1413</v>
      </c>
      <c r="C66" s="200" t="str">
        <f t="shared" si="1"/>
        <v>Baking Agents_15-20</v>
      </c>
      <c r="D66" s="18">
        <v>37.0</v>
      </c>
      <c r="E66" s="18">
        <v>5.0</v>
      </c>
      <c r="F66" s="5">
        <v>13.5</v>
      </c>
      <c r="G66" s="5">
        <v>97.0</v>
      </c>
      <c r="H66" s="5">
        <v>12.0</v>
      </c>
      <c r="I66" s="5">
        <v>12.4</v>
      </c>
      <c r="J66" s="5"/>
    </row>
    <row r="67">
      <c r="A67" s="5" t="s">
        <v>1552</v>
      </c>
      <c r="B67" s="201" t="s">
        <v>1398</v>
      </c>
      <c r="C67" s="200" t="str">
        <f t="shared" si="1"/>
        <v>Baking Agents_20-25</v>
      </c>
      <c r="D67" s="18">
        <v>14.0</v>
      </c>
      <c r="E67" s="18">
        <v>5.0</v>
      </c>
      <c r="F67" s="5">
        <v>35.7</v>
      </c>
      <c r="G67" s="5">
        <v>23.0</v>
      </c>
      <c r="H67" s="5">
        <v>11.0</v>
      </c>
      <c r="I67" s="5">
        <v>47.8</v>
      </c>
      <c r="J67" s="5"/>
    </row>
    <row r="68">
      <c r="A68" s="5" t="s">
        <v>1552</v>
      </c>
      <c r="B68" s="201" t="s">
        <v>1400</v>
      </c>
      <c r="C68" s="200" t="str">
        <f t="shared" si="1"/>
        <v>Baking Agents_25+</v>
      </c>
      <c r="D68" s="18">
        <v>6.0</v>
      </c>
      <c r="E68" s="18">
        <v>4.0</v>
      </c>
      <c r="F68" s="5">
        <v>66.7</v>
      </c>
      <c r="G68" s="5">
        <v>11.0</v>
      </c>
      <c r="H68" s="5">
        <v>6.0</v>
      </c>
      <c r="I68" s="5">
        <v>54.5</v>
      </c>
      <c r="J68" s="5"/>
    </row>
    <row r="69">
      <c r="A69" s="5" t="s">
        <v>1552</v>
      </c>
      <c r="B69" s="201" t="s">
        <v>4227</v>
      </c>
      <c r="C69" s="200" t="str">
        <f t="shared" si="1"/>
        <v>Baking Agents_No Sales</v>
      </c>
      <c r="D69" s="18">
        <v>2.0</v>
      </c>
      <c r="E69" s="18">
        <v>2.0</v>
      </c>
      <c r="F69" s="5">
        <v>100.0</v>
      </c>
      <c r="G69" s="5">
        <v>2.0</v>
      </c>
      <c r="H69" s="5">
        <v>2.0</v>
      </c>
      <c r="I69" s="5">
        <v>100.0</v>
      </c>
      <c r="J69" s="5"/>
    </row>
    <row r="70">
      <c r="A70" s="5" t="s">
        <v>796</v>
      </c>
      <c r="B70" s="201" t="s">
        <v>1426</v>
      </c>
      <c r="C70" s="200" t="str">
        <f t="shared" si="1"/>
        <v>Baking Mixes_0-5</v>
      </c>
      <c r="D70" s="18">
        <v>6.0</v>
      </c>
      <c r="E70" s="18">
        <v>0.0</v>
      </c>
      <c r="F70" s="5">
        <v>0.0</v>
      </c>
      <c r="G70" s="5">
        <v>10.0</v>
      </c>
      <c r="H70" s="5">
        <v>0.0</v>
      </c>
      <c r="I70" s="5">
        <v>0.0</v>
      </c>
      <c r="J70" s="5"/>
    </row>
    <row r="71">
      <c r="A71" s="5" t="s">
        <v>796</v>
      </c>
      <c r="B71" s="201" t="s">
        <v>4228</v>
      </c>
      <c r="C71" s="200" t="str">
        <f t="shared" si="1"/>
        <v>Baking Mixes_5-10</v>
      </c>
      <c r="D71" s="18">
        <v>230.0</v>
      </c>
      <c r="E71" s="18">
        <v>61.0</v>
      </c>
      <c r="F71" s="5">
        <v>26.5</v>
      </c>
      <c r="G71" s="5">
        <v>2057.0</v>
      </c>
      <c r="H71" s="5">
        <v>167.0</v>
      </c>
      <c r="I71" s="5">
        <v>8.1</v>
      </c>
      <c r="J71" s="5"/>
    </row>
    <row r="72">
      <c r="A72" s="5" t="s">
        <v>796</v>
      </c>
      <c r="B72" s="201" t="s">
        <v>4226</v>
      </c>
      <c r="C72" s="200" t="str">
        <f t="shared" si="1"/>
        <v>Baking Mixes_10-15</v>
      </c>
      <c r="D72" s="18">
        <v>235.0</v>
      </c>
      <c r="E72" s="18">
        <v>106.0</v>
      </c>
      <c r="F72" s="5">
        <v>45.1</v>
      </c>
      <c r="G72" s="5">
        <v>1184.0</v>
      </c>
      <c r="H72" s="5">
        <v>284.0</v>
      </c>
      <c r="I72" s="5">
        <v>24.0</v>
      </c>
      <c r="J72" s="5"/>
    </row>
    <row r="73">
      <c r="A73" s="5" t="s">
        <v>796</v>
      </c>
      <c r="B73" s="201" t="s">
        <v>1413</v>
      </c>
      <c r="C73" s="200" t="str">
        <f t="shared" si="1"/>
        <v>Baking Mixes_15-20</v>
      </c>
      <c r="D73" s="18">
        <v>316.0</v>
      </c>
      <c r="E73" s="18">
        <v>114.0</v>
      </c>
      <c r="F73" s="5">
        <v>36.1</v>
      </c>
      <c r="G73" s="5">
        <v>2275.0</v>
      </c>
      <c r="H73" s="5">
        <v>332.0</v>
      </c>
      <c r="I73" s="5">
        <v>14.6</v>
      </c>
      <c r="J73" s="5"/>
    </row>
    <row r="74">
      <c r="A74" s="5" t="s">
        <v>796</v>
      </c>
      <c r="B74" s="201" t="s">
        <v>1398</v>
      </c>
      <c r="C74" s="200" t="str">
        <f t="shared" si="1"/>
        <v>Baking Mixes_20-25</v>
      </c>
      <c r="D74" s="18">
        <v>41.0</v>
      </c>
      <c r="E74" s="18">
        <v>22.0</v>
      </c>
      <c r="F74" s="5">
        <v>53.7</v>
      </c>
      <c r="G74" s="5">
        <v>113.0</v>
      </c>
      <c r="H74" s="5">
        <v>60.0</v>
      </c>
      <c r="I74" s="5">
        <v>53.1</v>
      </c>
      <c r="J74" s="5"/>
    </row>
    <row r="75">
      <c r="A75" s="5" t="s">
        <v>796</v>
      </c>
      <c r="B75" s="201" t="s">
        <v>1400</v>
      </c>
      <c r="C75" s="200" t="str">
        <f t="shared" si="1"/>
        <v>Baking Mixes_25+</v>
      </c>
      <c r="D75" s="18">
        <v>179.0</v>
      </c>
      <c r="E75" s="18">
        <v>105.0</v>
      </c>
      <c r="F75" s="5">
        <v>58.7</v>
      </c>
      <c r="G75" s="5">
        <v>520.0</v>
      </c>
      <c r="H75" s="5">
        <v>271.0</v>
      </c>
      <c r="I75" s="5">
        <v>52.1</v>
      </c>
      <c r="J75" s="5"/>
    </row>
    <row r="76">
      <c r="A76" s="5" t="s">
        <v>796</v>
      </c>
      <c r="B76" s="201" t="s">
        <v>4227</v>
      </c>
      <c r="C76" s="200" t="str">
        <f t="shared" si="1"/>
        <v>Baking Mixes_No Sales</v>
      </c>
      <c r="D76" s="18">
        <v>23.0</v>
      </c>
      <c r="E76" s="18">
        <v>21.0</v>
      </c>
      <c r="F76" s="5">
        <v>91.3</v>
      </c>
      <c r="G76" s="5">
        <v>47.0</v>
      </c>
      <c r="H76" s="5">
        <v>38.0</v>
      </c>
      <c r="I76" s="5">
        <v>80.9</v>
      </c>
      <c r="J76" s="5"/>
    </row>
    <row r="77">
      <c r="A77" s="5" t="s">
        <v>2539</v>
      </c>
      <c r="B77" s="201" t="s">
        <v>1426</v>
      </c>
      <c r="C77" s="200" t="str">
        <f t="shared" si="1"/>
        <v>Bars &amp; Sandwiches_0-5</v>
      </c>
      <c r="D77" s="18">
        <v>54.0</v>
      </c>
      <c r="E77" s="18">
        <v>0.0</v>
      </c>
      <c r="F77" s="5">
        <v>0.0</v>
      </c>
      <c r="G77" s="5">
        <v>14455.0</v>
      </c>
      <c r="H77" s="5">
        <v>0.0</v>
      </c>
      <c r="I77" s="5">
        <v>0.0</v>
      </c>
      <c r="J77" s="5"/>
    </row>
    <row r="78">
      <c r="A78" s="5" t="s">
        <v>2539</v>
      </c>
      <c r="B78" s="201" t="s">
        <v>4228</v>
      </c>
      <c r="C78" s="200" t="str">
        <f t="shared" si="1"/>
        <v>Bars &amp; Sandwiches_5-10</v>
      </c>
      <c r="D78" s="18">
        <v>172.0</v>
      </c>
      <c r="E78" s="18">
        <v>4.0</v>
      </c>
      <c r="F78" s="5">
        <v>2.3</v>
      </c>
      <c r="G78" s="5">
        <v>5688.0</v>
      </c>
      <c r="H78" s="5">
        <v>241.0</v>
      </c>
      <c r="I78" s="5">
        <v>4.2</v>
      </c>
      <c r="J78" s="5"/>
    </row>
    <row r="79">
      <c r="A79" s="5" t="s">
        <v>2539</v>
      </c>
      <c r="B79" s="201" t="s">
        <v>4226</v>
      </c>
      <c r="C79" s="200" t="str">
        <f t="shared" si="1"/>
        <v>Bars &amp; Sandwiches_10-15</v>
      </c>
      <c r="D79" s="18">
        <v>141.0</v>
      </c>
      <c r="E79" s="18">
        <v>13.0</v>
      </c>
      <c r="F79" s="5">
        <v>9.2</v>
      </c>
      <c r="G79" s="5">
        <v>2819.0</v>
      </c>
      <c r="H79" s="5">
        <v>38.0</v>
      </c>
      <c r="I79" s="5">
        <v>1.3</v>
      </c>
      <c r="J79" s="5"/>
    </row>
    <row r="80">
      <c r="A80" s="5" t="s">
        <v>2539</v>
      </c>
      <c r="B80" s="201" t="s">
        <v>1413</v>
      </c>
      <c r="C80" s="200" t="str">
        <f t="shared" si="1"/>
        <v>Bars &amp; Sandwiches_15-20</v>
      </c>
      <c r="D80" s="18">
        <v>1.0</v>
      </c>
      <c r="E80" s="18">
        <v>1.0</v>
      </c>
      <c r="F80" s="5">
        <v>100.0</v>
      </c>
      <c r="G80" s="5">
        <v>1.0</v>
      </c>
      <c r="H80" s="5">
        <v>1.0</v>
      </c>
      <c r="I80" s="5">
        <v>100.0</v>
      </c>
      <c r="J80" s="5"/>
    </row>
    <row r="81">
      <c r="A81" s="5" t="s">
        <v>2539</v>
      </c>
      <c r="B81" s="201" t="s">
        <v>1400</v>
      </c>
      <c r="C81" s="200" t="str">
        <f t="shared" si="1"/>
        <v>Bars &amp; Sandwiches_25+</v>
      </c>
      <c r="D81" s="18">
        <v>36.0</v>
      </c>
      <c r="E81" s="18">
        <v>3.0</v>
      </c>
      <c r="F81" s="5">
        <v>8.3</v>
      </c>
      <c r="G81" s="5">
        <v>218.0</v>
      </c>
      <c r="H81" s="5">
        <v>17.0</v>
      </c>
      <c r="I81" s="5">
        <v>7.8</v>
      </c>
      <c r="J81" s="5"/>
    </row>
    <row r="82">
      <c r="A82" s="5" t="s">
        <v>2539</v>
      </c>
      <c r="B82" s="201" t="s">
        <v>4227</v>
      </c>
      <c r="C82" s="200" t="str">
        <f t="shared" si="1"/>
        <v>Bars &amp; Sandwiches_No Sales</v>
      </c>
      <c r="D82" s="18">
        <v>1.0</v>
      </c>
      <c r="E82" s="18">
        <v>1.0</v>
      </c>
      <c r="F82" s="5">
        <v>100.0</v>
      </c>
      <c r="G82" s="5">
        <v>90.0</v>
      </c>
      <c r="H82" s="5">
        <v>90.0</v>
      </c>
      <c r="I82" s="5">
        <v>100.0</v>
      </c>
      <c r="J82" s="5"/>
    </row>
    <row r="83">
      <c r="A83" s="5" t="s">
        <v>2468</v>
      </c>
      <c r="B83" s="201" t="s">
        <v>1426</v>
      </c>
      <c r="C83" s="200" t="str">
        <f t="shared" si="1"/>
        <v>Bath &amp; Shower_0-5</v>
      </c>
      <c r="D83" s="18">
        <v>30.0</v>
      </c>
      <c r="E83" s="18">
        <v>0.0</v>
      </c>
      <c r="F83" s="5">
        <v>0.0</v>
      </c>
      <c r="G83" s="5">
        <v>1111.0</v>
      </c>
      <c r="H83" s="5">
        <v>0.0</v>
      </c>
      <c r="I83" s="5">
        <v>0.0</v>
      </c>
      <c r="J83" s="5"/>
    </row>
    <row r="84">
      <c r="A84" s="5" t="s">
        <v>2468</v>
      </c>
      <c r="B84" s="201" t="s">
        <v>4228</v>
      </c>
      <c r="C84" s="200" t="str">
        <f t="shared" si="1"/>
        <v>Bath &amp; Shower_5-10</v>
      </c>
      <c r="D84" s="18">
        <v>136.0</v>
      </c>
      <c r="E84" s="18">
        <v>24.0</v>
      </c>
      <c r="F84" s="5">
        <v>17.6</v>
      </c>
      <c r="G84" s="5">
        <v>2510.0</v>
      </c>
      <c r="H84" s="5">
        <v>60.0</v>
      </c>
      <c r="I84" s="5">
        <v>2.4</v>
      </c>
      <c r="J84" s="5"/>
    </row>
    <row r="85">
      <c r="A85" s="5" t="s">
        <v>2468</v>
      </c>
      <c r="B85" s="201" t="s">
        <v>4226</v>
      </c>
      <c r="C85" s="200" t="str">
        <f t="shared" si="1"/>
        <v>Bath &amp; Shower_10-15</v>
      </c>
      <c r="D85" s="18">
        <v>122.0</v>
      </c>
      <c r="E85" s="18">
        <v>12.0</v>
      </c>
      <c r="F85" s="5">
        <v>9.8</v>
      </c>
      <c r="G85" s="5">
        <v>2259.0</v>
      </c>
      <c r="H85" s="5">
        <v>31.0</v>
      </c>
      <c r="I85" s="5">
        <v>1.4</v>
      </c>
      <c r="J85" s="5"/>
    </row>
    <row r="86">
      <c r="A86" s="5" t="s">
        <v>2468</v>
      </c>
      <c r="B86" s="201" t="s">
        <v>1413</v>
      </c>
      <c r="C86" s="200" t="str">
        <f t="shared" si="1"/>
        <v>Bath &amp; Shower_15-20</v>
      </c>
      <c r="D86" s="18">
        <v>463.0</v>
      </c>
      <c r="E86" s="18">
        <v>50.0</v>
      </c>
      <c r="F86" s="5">
        <v>10.8</v>
      </c>
      <c r="G86" s="5">
        <v>5358.0</v>
      </c>
      <c r="H86" s="5">
        <v>131.0</v>
      </c>
      <c r="I86" s="5">
        <v>2.4</v>
      </c>
      <c r="J86" s="5"/>
    </row>
    <row r="87">
      <c r="A87" s="5" t="s">
        <v>2468</v>
      </c>
      <c r="B87" s="201" t="s">
        <v>1398</v>
      </c>
      <c r="C87" s="200" t="str">
        <f t="shared" si="1"/>
        <v>Bath &amp; Shower_20-25</v>
      </c>
      <c r="D87" s="18">
        <v>177.0</v>
      </c>
      <c r="E87" s="18">
        <v>42.0</v>
      </c>
      <c r="F87" s="5">
        <v>23.7</v>
      </c>
      <c r="G87" s="5">
        <v>1174.0</v>
      </c>
      <c r="H87" s="5">
        <v>123.0</v>
      </c>
      <c r="I87" s="5">
        <v>10.5</v>
      </c>
      <c r="J87" s="5"/>
    </row>
    <row r="88">
      <c r="A88" s="5" t="s">
        <v>2468</v>
      </c>
      <c r="B88" s="201" t="s">
        <v>1400</v>
      </c>
      <c r="C88" s="200" t="str">
        <f t="shared" si="1"/>
        <v>Bath &amp; Shower_25+</v>
      </c>
      <c r="D88" s="18">
        <v>883.0</v>
      </c>
      <c r="E88" s="18">
        <v>221.0</v>
      </c>
      <c r="F88" s="5">
        <v>25.0</v>
      </c>
      <c r="G88" s="5">
        <v>6601.0</v>
      </c>
      <c r="H88" s="5">
        <v>637.0</v>
      </c>
      <c r="I88" s="5">
        <v>9.7</v>
      </c>
      <c r="J88" s="5"/>
    </row>
    <row r="89">
      <c r="A89" s="5" t="s">
        <v>2468</v>
      </c>
      <c r="B89" s="201" t="s">
        <v>4227</v>
      </c>
      <c r="C89" s="200" t="str">
        <f t="shared" si="1"/>
        <v>Bath &amp; Shower_No Sales</v>
      </c>
      <c r="D89" s="18">
        <v>59.0</v>
      </c>
      <c r="E89" s="18">
        <v>25.0</v>
      </c>
      <c r="F89" s="5">
        <v>42.4</v>
      </c>
      <c r="G89" s="5">
        <v>149.0</v>
      </c>
      <c r="H89" s="5">
        <v>115.0</v>
      </c>
      <c r="I89" s="5">
        <v>77.2</v>
      </c>
      <c r="J89" s="5"/>
    </row>
    <row r="90">
      <c r="A90" s="5" t="s">
        <v>1862</v>
      </c>
      <c r="B90" s="201" t="s">
        <v>4228</v>
      </c>
      <c r="C90" s="200" t="str">
        <f t="shared" si="1"/>
        <v>Bathroom Cleaners_5-10</v>
      </c>
      <c r="D90" s="18">
        <v>23.0</v>
      </c>
      <c r="E90" s="18">
        <v>0.0</v>
      </c>
      <c r="F90" s="5">
        <v>0.0</v>
      </c>
      <c r="G90" s="5">
        <v>525.0</v>
      </c>
      <c r="H90" s="5">
        <v>0.0</v>
      </c>
      <c r="I90" s="5">
        <v>0.0</v>
      </c>
      <c r="J90" s="5"/>
    </row>
    <row r="91">
      <c r="A91" s="5" t="s">
        <v>1862</v>
      </c>
      <c r="B91" s="201" t="s">
        <v>4226</v>
      </c>
      <c r="C91" s="200" t="str">
        <f t="shared" si="1"/>
        <v>Bathroom Cleaners_10-15</v>
      </c>
      <c r="D91" s="18">
        <v>151.0</v>
      </c>
      <c r="E91" s="18">
        <v>25.0</v>
      </c>
      <c r="F91" s="5">
        <v>16.6</v>
      </c>
      <c r="G91" s="5">
        <v>1416.0</v>
      </c>
      <c r="H91" s="5">
        <v>59.0</v>
      </c>
      <c r="I91" s="5">
        <v>4.2</v>
      </c>
      <c r="J91" s="5"/>
    </row>
    <row r="92">
      <c r="A92" s="5" t="s">
        <v>1862</v>
      </c>
      <c r="B92" s="201" t="s">
        <v>1413</v>
      </c>
      <c r="C92" s="200" t="str">
        <f t="shared" si="1"/>
        <v>Bathroom Cleaners_15-20</v>
      </c>
      <c r="D92" s="18">
        <v>425.0</v>
      </c>
      <c r="E92" s="18">
        <v>64.0</v>
      </c>
      <c r="F92" s="5">
        <v>15.1</v>
      </c>
      <c r="G92" s="5">
        <v>5584.0</v>
      </c>
      <c r="H92" s="5">
        <v>181.0</v>
      </c>
      <c r="I92" s="5">
        <v>3.2</v>
      </c>
      <c r="J92" s="5"/>
    </row>
    <row r="93">
      <c r="A93" s="5" t="s">
        <v>1862</v>
      </c>
      <c r="B93" s="201" t="s">
        <v>1398</v>
      </c>
      <c r="C93" s="200" t="str">
        <f t="shared" si="1"/>
        <v>Bathroom Cleaners_20-25</v>
      </c>
      <c r="D93" s="18">
        <v>198.0</v>
      </c>
      <c r="E93" s="18">
        <v>27.0</v>
      </c>
      <c r="F93" s="5">
        <v>13.6</v>
      </c>
      <c r="G93" s="5">
        <v>2473.0</v>
      </c>
      <c r="H93" s="5">
        <v>87.0</v>
      </c>
      <c r="I93" s="5">
        <v>3.5</v>
      </c>
      <c r="J93" s="5"/>
    </row>
    <row r="94">
      <c r="A94" s="5" t="s">
        <v>1862</v>
      </c>
      <c r="B94" s="201" t="s">
        <v>1400</v>
      </c>
      <c r="C94" s="200" t="str">
        <f t="shared" si="1"/>
        <v>Bathroom Cleaners_25+</v>
      </c>
      <c r="D94" s="18">
        <v>98.0</v>
      </c>
      <c r="E94" s="18">
        <v>29.0</v>
      </c>
      <c r="F94" s="5">
        <v>29.6</v>
      </c>
      <c r="G94" s="5">
        <v>626.0</v>
      </c>
      <c r="H94" s="5">
        <v>89.0</v>
      </c>
      <c r="I94" s="5">
        <v>14.2</v>
      </c>
      <c r="J94" s="5"/>
    </row>
    <row r="95">
      <c r="A95" s="5" t="s">
        <v>1862</v>
      </c>
      <c r="B95" s="201" t="s">
        <v>4227</v>
      </c>
      <c r="C95" s="200" t="str">
        <f t="shared" si="1"/>
        <v>Bathroom Cleaners_No Sales</v>
      </c>
      <c r="D95" s="18">
        <v>11.0</v>
      </c>
      <c r="E95" s="18">
        <v>11.0</v>
      </c>
      <c r="F95" s="5">
        <v>100.0</v>
      </c>
      <c r="G95" s="5">
        <v>26.0</v>
      </c>
      <c r="H95" s="5">
        <v>26.0</v>
      </c>
      <c r="I95" s="5">
        <v>100.0</v>
      </c>
      <c r="J95" s="5"/>
    </row>
    <row r="96">
      <c r="A96" s="5" t="s">
        <v>2402</v>
      </c>
      <c r="B96" s="201" t="s">
        <v>4228</v>
      </c>
      <c r="C96" s="200" t="str">
        <f t="shared" si="1"/>
        <v>Batteries_5-10</v>
      </c>
      <c r="D96" s="18">
        <v>129.0</v>
      </c>
      <c r="E96" s="18">
        <v>15.0</v>
      </c>
      <c r="F96" s="5">
        <v>11.6</v>
      </c>
      <c r="G96" s="5">
        <v>1305.0</v>
      </c>
      <c r="H96" s="5">
        <v>50.0</v>
      </c>
      <c r="I96" s="5">
        <v>3.8</v>
      </c>
      <c r="J96" s="5"/>
    </row>
    <row r="97">
      <c r="A97" s="5" t="s">
        <v>2402</v>
      </c>
      <c r="B97" s="201" t="s">
        <v>4226</v>
      </c>
      <c r="C97" s="200" t="str">
        <f t="shared" si="1"/>
        <v>Batteries_10-15</v>
      </c>
      <c r="D97" s="18">
        <v>195.0</v>
      </c>
      <c r="E97" s="18">
        <v>51.0</v>
      </c>
      <c r="F97" s="5">
        <v>26.2</v>
      </c>
      <c r="G97" s="5">
        <v>1243.0</v>
      </c>
      <c r="H97" s="5">
        <v>158.0</v>
      </c>
      <c r="I97" s="5">
        <v>12.7</v>
      </c>
      <c r="J97" s="5"/>
    </row>
    <row r="98">
      <c r="A98" s="5" t="s">
        <v>2402</v>
      </c>
      <c r="B98" s="201" t="s">
        <v>1413</v>
      </c>
      <c r="C98" s="200" t="str">
        <f t="shared" si="1"/>
        <v>Batteries_15-20</v>
      </c>
      <c r="D98" s="18">
        <v>276.0</v>
      </c>
      <c r="E98" s="18">
        <v>78.0</v>
      </c>
      <c r="F98" s="5">
        <v>28.3</v>
      </c>
      <c r="G98" s="5">
        <v>1067.0</v>
      </c>
      <c r="H98" s="5">
        <v>238.0</v>
      </c>
      <c r="I98" s="5">
        <v>22.3</v>
      </c>
      <c r="J98" s="5"/>
    </row>
    <row r="99">
      <c r="A99" s="5" t="s">
        <v>2402</v>
      </c>
      <c r="B99" s="201" t="s">
        <v>1398</v>
      </c>
      <c r="C99" s="200" t="str">
        <f t="shared" si="1"/>
        <v>Batteries_20-25</v>
      </c>
      <c r="D99" s="18">
        <v>53.0</v>
      </c>
      <c r="E99" s="18">
        <v>12.0</v>
      </c>
      <c r="F99" s="5">
        <v>22.6</v>
      </c>
      <c r="G99" s="5">
        <v>275.0</v>
      </c>
      <c r="H99" s="5">
        <v>39.0</v>
      </c>
      <c r="I99" s="5">
        <v>14.2</v>
      </c>
      <c r="J99" s="5"/>
    </row>
    <row r="100">
      <c r="A100" s="5" t="s">
        <v>2402</v>
      </c>
      <c r="B100" s="201" t="s">
        <v>1400</v>
      </c>
      <c r="C100" s="200" t="str">
        <f t="shared" si="1"/>
        <v>Batteries_25+</v>
      </c>
      <c r="D100" s="18">
        <v>484.0</v>
      </c>
      <c r="E100" s="18">
        <v>168.0</v>
      </c>
      <c r="F100" s="5">
        <v>34.7</v>
      </c>
      <c r="G100" s="5">
        <v>2075.0</v>
      </c>
      <c r="H100" s="5">
        <v>535.0</v>
      </c>
      <c r="I100" s="5">
        <v>25.8</v>
      </c>
      <c r="J100" s="5"/>
    </row>
    <row r="101">
      <c r="A101" s="5" t="s">
        <v>2402</v>
      </c>
      <c r="B101" s="201" t="s">
        <v>4227</v>
      </c>
      <c r="C101" s="200" t="str">
        <f t="shared" si="1"/>
        <v>Batteries_No Sales</v>
      </c>
      <c r="D101" s="18">
        <v>12.0</v>
      </c>
      <c r="E101" s="18">
        <v>12.0</v>
      </c>
      <c r="F101" s="5">
        <v>100.0</v>
      </c>
      <c r="G101" s="5">
        <v>21.0</v>
      </c>
      <c r="H101" s="5">
        <v>21.0</v>
      </c>
      <c r="I101" s="5">
        <v>100.0</v>
      </c>
      <c r="J101" s="5"/>
    </row>
    <row r="102">
      <c r="A102" s="5" t="s">
        <v>974</v>
      </c>
      <c r="B102" s="201" t="s">
        <v>4228</v>
      </c>
      <c r="C102" s="200" t="str">
        <f t="shared" si="1"/>
        <v>Beach_5-10</v>
      </c>
      <c r="D102" s="18">
        <v>14.0</v>
      </c>
      <c r="E102" s="18">
        <v>9.0</v>
      </c>
      <c r="F102" s="5">
        <v>64.3</v>
      </c>
      <c r="G102" s="5">
        <v>51.0</v>
      </c>
      <c r="H102" s="5">
        <v>23.0</v>
      </c>
      <c r="I102" s="5">
        <v>45.1</v>
      </c>
      <c r="J102" s="5"/>
    </row>
    <row r="103">
      <c r="A103" s="5" t="s">
        <v>974</v>
      </c>
      <c r="B103" s="201" t="s">
        <v>4226</v>
      </c>
      <c r="C103" s="200" t="str">
        <f t="shared" si="1"/>
        <v>Beach_10-15</v>
      </c>
      <c r="D103" s="18">
        <v>74.0</v>
      </c>
      <c r="E103" s="18">
        <v>53.0</v>
      </c>
      <c r="F103" s="5">
        <v>71.6</v>
      </c>
      <c r="G103" s="5">
        <v>276.0</v>
      </c>
      <c r="H103" s="5">
        <v>152.0</v>
      </c>
      <c r="I103" s="5">
        <v>55.1</v>
      </c>
      <c r="J103" s="5"/>
    </row>
    <row r="104">
      <c r="A104" s="5" t="s">
        <v>974</v>
      </c>
      <c r="B104" s="201" t="s">
        <v>1398</v>
      </c>
      <c r="C104" s="200" t="str">
        <f t="shared" si="1"/>
        <v>Beach_20-25</v>
      </c>
      <c r="D104" s="18">
        <v>9.0</v>
      </c>
      <c r="E104" s="18">
        <v>9.0</v>
      </c>
      <c r="F104" s="5">
        <v>100.0</v>
      </c>
      <c r="G104" s="5">
        <v>21.0</v>
      </c>
      <c r="H104" s="5">
        <v>21.0</v>
      </c>
      <c r="I104" s="5">
        <v>100.0</v>
      </c>
      <c r="J104" s="5"/>
    </row>
    <row r="105">
      <c r="A105" s="5" t="s">
        <v>974</v>
      </c>
      <c r="B105" s="201" t="s">
        <v>1400</v>
      </c>
      <c r="C105" s="200" t="str">
        <f t="shared" si="1"/>
        <v>Beach_25+</v>
      </c>
      <c r="D105" s="18">
        <v>93.0</v>
      </c>
      <c r="E105" s="18">
        <v>60.0</v>
      </c>
      <c r="F105" s="5">
        <v>64.5</v>
      </c>
      <c r="G105" s="5">
        <v>317.0</v>
      </c>
      <c r="H105" s="5">
        <v>163.0</v>
      </c>
      <c r="I105" s="5">
        <v>51.4</v>
      </c>
      <c r="J105" s="5"/>
    </row>
    <row r="106">
      <c r="A106" s="5" t="s">
        <v>974</v>
      </c>
      <c r="B106" s="201" t="s">
        <v>4227</v>
      </c>
      <c r="C106" s="200" t="str">
        <f t="shared" si="1"/>
        <v>Beach_No Sales</v>
      </c>
      <c r="D106" s="18">
        <v>37.0</v>
      </c>
      <c r="E106" s="18">
        <v>36.0</v>
      </c>
      <c r="F106" s="5">
        <v>97.3</v>
      </c>
      <c r="G106" s="5">
        <v>151.0</v>
      </c>
      <c r="H106" s="5">
        <v>145.0</v>
      </c>
      <c r="I106" s="5">
        <v>96.0</v>
      </c>
      <c r="J106" s="5"/>
    </row>
    <row r="107">
      <c r="A107" s="5" t="s">
        <v>2030</v>
      </c>
      <c r="B107" s="201" t="s">
        <v>4228</v>
      </c>
      <c r="C107" s="200" t="str">
        <f t="shared" si="1"/>
        <v>Beef_5-10</v>
      </c>
      <c r="D107" s="18">
        <v>19.0</v>
      </c>
      <c r="E107" s="18">
        <v>6.0</v>
      </c>
      <c r="F107" s="5">
        <v>31.6</v>
      </c>
      <c r="G107" s="5">
        <v>78.0</v>
      </c>
      <c r="H107" s="5">
        <v>15.0</v>
      </c>
      <c r="I107" s="5">
        <v>19.2</v>
      </c>
      <c r="J107" s="5"/>
    </row>
    <row r="108">
      <c r="A108" s="5" t="s">
        <v>2030</v>
      </c>
      <c r="B108" s="201" t="s">
        <v>4226</v>
      </c>
      <c r="C108" s="200" t="str">
        <f t="shared" si="1"/>
        <v>Beef_10-15</v>
      </c>
      <c r="D108" s="18">
        <v>196.0</v>
      </c>
      <c r="E108" s="18">
        <v>1.0</v>
      </c>
      <c r="F108" s="5">
        <v>0.5</v>
      </c>
      <c r="G108" s="5">
        <v>2986.0</v>
      </c>
      <c r="H108" s="5">
        <v>3.0</v>
      </c>
      <c r="I108" s="5">
        <v>0.1</v>
      </c>
      <c r="J108" s="5"/>
    </row>
    <row r="109">
      <c r="A109" s="5" t="s">
        <v>2030</v>
      </c>
      <c r="B109" s="201" t="s">
        <v>1413</v>
      </c>
      <c r="C109" s="200" t="str">
        <f t="shared" si="1"/>
        <v>Beef_15-20</v>
      </c>
      <c r="D109" s="18">
        <v>59.0</v>
      </c>
      <c r="E109" s="18">
        <v>2.0</v>
      </c>
      <c r="F109" s="5">
        <v>3.4</v>
      </c>
      <c r="G109" s="5">
        <v>912.0</v>
      </c>
      <c r="H109" s="5">
        <v>2.0</v>
      </c>
      <c r="I109" s="5">
        <v>0.2</v>
      </c>
      <c r="J109" s="5"/>
    </row>
    <row r="110">
      <c r="A110" s="5" t="s">
        <v>2030</v>
      </c>
      <c r="B110" s="201" t="s">
        <v>1398</v>
      </c>
      <c r="C110" s="200" t="str">
        <f t="shared" si="1"/>
        <v>Beef_20-25</v>
      </c>
      <c r="D110" s="18">
        <v>150.0</v>
      </c>
      <c r="E110" s="18">
        <v>26.0</v>
      </c>
      <c r="F110" s="5">
        <v>17.3</v>
      </c>
      <c r="G110" s="5">
        <v>707.0</v>
      </c>
      <c r="H110" s="5">
        <v>27.0</v>
      </c>
      <c r="I110" s="5">
        <v>3.8</v>
      </c>
      <c r="J110" s="5"/>
    </row>
    <row r="111">
      <c r="A111" s="5" t="s">
        <v>2030</v>
      </c>
      <c r="B111" s="201" t="s">
        <v>1400</v>
      </c>
      <c r="C111" s="200" t="str">
        <f t="shared" si="1"/>
        <v>Beef_25+</v>
      </c>
      <c r="D111" s="18">
        <v>251.0</v>
      </c>
      <c r="E111" s="18">
        <v>19.0</v>
      </c>
      <c r="F111" s="5">
        <v>7.6</v>
      </c>
      <c r="G111" s="5">
        <v>921.0</v>
      </c>
      <c r="H111" s="5">
        <v>54.0</v>
      </c>
      <c r="I111" s="5">
        <v>5.9</v>
      </c>
      <c r="J111" s="5"/>
    </row>
    <row r="112">
      <c r="A112" s="5" t="s">
        <v>652</v>
      </c>
      <c r="B112" s="201" t="s">
        <v>1426</v>
      </c>
      <c r="C112" s="200" t="str">
        <f t="shared" si="1"/>
        <v>Biscuits &amp; Cookies_0-5</v>
      </c>
      <c r="D112" s="18">
        <v>836.0</v>
      </c>
      <c r="E112" s="18">
        <v>55.0</v>
      </c>
      <c r="F112" s="5">
        <v>6.6</v>
      </c>
      <c r="G112" s="5">
        <v>39310.0</v>
      </c>
      <c r="H112" s="5">
        <v>314.0</v>
      </c>
      <c r="I112" s="5">
        <v>0.8</v>
      </c>
      <c r="J112" s="5"/>
    </row>
    <row r="113">
      <c r="A113" s="5" t="s">
        <v>652</v>
      </c>
      <c r="B113" s="201" t="s">
        <v>4228</v>
      </c>
      <c r="C113" s="200" t="str">
        <f t="shared" si="1"/>
        <v>Biscuits &amp; Cookies_5-10</v>
      </c>
      <c r="D113" s="18">
        <v>668.0</v>
      </c>
      <c r="E113" s="18">
        <v>64.0</v>
      </c>
      <c r="F113" s="5">
        <v>9.6</v>
      </c>
      <c r="G113" s="5">
        <v>13391.0</v>
      </c>
      <c r="H113" s="5">
        <v>262.0</v>
      </c>
      <c r="I113" s="5">
        <v>2.0</v>
      </c>
      <c r="J113" s="5"/>
    </row>
    <row r="114">
      <c r="A114" s="5" t="s">
        <v>652</v>
      </c>
      <c r="B114" s="201" t="s">
        <v>4226</v>
      </c>
      <c r="C114" s="200" t="str">
        <f t="shared" si="1"/>
        <v>Biscuits &amp; Cookies_10-15</v>
      </c>
      <c r="D114" s="18">
        <v>969.0</v>
      </c>
      <c r="E114" s="18">
        <v>110.0</v>
      </c>
      <c r="F114" s="5">
        <v>11.4</v>
      </c>
      <c r="G114" s="5">
        <v>16016.0</v>
      </c>
      <c r="H114" s="5">
        <v>495.0</v>
      </c>
      <c r="I114" s="5">
        <v>3.1</v>
      </c>
      <c r="J114" s="5"/>
    </row>
    <row r="115">
      <c r="A115" s="5" t="s">
        <v>652</v>
      </c>
      <c r="B115" s="201" t="s">
        <v>1413</v>
      </c>
      <c r="C115" s="200" t="str">
        <f t="shared" si="1"/>
        <v>Biscuits &amp; Cookies_15-20</v>
      </c>
      <c r="D115" s="18">
        <v>762.0</v>
      </c>
      <c r="E115" s="18">
        <v>138.0</v>
      </c>
      <c r="F115" s="5">
        <v>18.1</v>
      </c>
      <c r="G115" s="5">
        <v>7253.0</v>
      </c>
      <c r="H115" s="5">
        <v>513.0</v>
      </c>
      <c r="I115" s="5">
        <v>7.1</v>
      </c>
      <c r="J115" s="5"/>
    </row>
    <row r="116">
      <c r="A116" s="5" t="s">
        <v>652</v>
      </c>
      <c r="B116" s="201" t="s">
        <v>1398</v>
      </c>
      <c r="C116" s="200" t="str">
        <f t="shared" si="1"/>
        <v>Biscuits &amp; Cookies_20-25</v>
      </c>
      <c r="D116" s="18">
        <v>124.0</v>
      </c>
      <c r="E116" s="18">
        <v>20.0</v>
      </c>
      <c r="F116" s="5">
        <v>16.1</v>
      </c>
      <c r="G116" s="5">
        <v>1098.0</v>
      </c>
      <c r="H116" s="5">
        <v>71.0</v>
      </c>
      <c r="I116" s="5">
        <v>6.5</v>
      </c>
      <c r="J116" s="5"/>
    </row>
    <row r="117">
      <c r="A117" s="5" t="s">
        <v>652</v>
      </c>
      <c r="B117" s="201" t="s">
        <v>1400</v>
      </c>
      <c r="C117" s="200" t="str">
        <f t="shared" si="1"/>
        <v>Biscuits &amp; Cookies_25+</v>
      </c>
      <c r="D117" s="18">
        <v>261.0</v>
      </c>
      <c r="E117" s="18">
        <v>68.0</v>
      </c>
      <c r="F117" s="5">
        <v>26.1</v>
      </c>
      <c r="G117" s="5">
        <v>1359.0</v>
      </c>
      <c r="H117" s="5">
        <v>239.0</v>
      </c>
      <c r="I117" s="5">
        <v>17.6</v>
      </c>
      <c r="J117" s="5"/>
    </row>
    <row r="118">
      <c r="A118" s="5" t="s">
        <v>652</v>
      </c>
      <c r="B118" s="201" t="s">
        <v>4227</v>
      </c>
      <c r="C118" s="200" t="str">
        <f t="shared" si="1"/>
        <v>Biscuits &amp; Cookies_No Sales</v>
      </c>
      <c r="D118" s="18">
        <v>20.0</v>
      </c>
      <c r="E118" s="18">
        <v>8.0</v>
      </c>
      <c r="F118" s="5">
        <v>40.0</v>
      </c>
      <c r="G118" s="5">
        <v>180.0</v>
      </c>
      <c r="H118" s="5">
        <v>89.0</v>
      </c>
      <c r="I118" s="5">
        <v>49.4</v>
      </c>
      <c r="J118" s="5"/>
    </row>
    <row r="119">
      <c r="A119" s="5" t="s">
        <v>2610</v>
      </c>
      <c r="B119" s="201" t="s">
        <v>4228</v>
      </c>
      <c r="C119" s="200" t="str">
        <f t="shared" si="1"/>
        <v>Bleach &amp; Starch_5-10</v>
      </c>
      <c r="D119" s="18">
        <v>1.0</v>
      </c>
      <c r="E119" s="18">
        <v>1.0</v>
      </c>
      <c r="F119" s="5">
        <v>100.0</v>
      </c>
      <c r="G119" s="5">
        <v>1.0</v>
      </c>
      <c r="H119" s="5">
        <v>1.0</v>
      </c>
      <c r="I119" s="5">
        <v>100.0</v>
      </c>
      <c r="J119" s="5"/>
    </row>
    <row r="120">
      <c r="A120" s="5" t="s">
        <v>2610</v>
      </c>
      <c r="B120" s="201" t="s">
        <v>4226</v>
      </c>
      <c r="C120" s="200" t="str">
        <f t="shared" si="1"/>
        <v>Bleach &amp; Starch_10-15</v>
      </c>
      <c r="D120" s="18">
        <v>72.0</v>
      </c>
      <c r="E120" s="18">
        <v>10.0</v>
      </c>
      <c r="F120" s="5">
        <v>13.9</v>
      </c>
      <c r="G120" s="5">
        <v>1438.0</v>
      </c>
      <c r="H120" s="5">
        <v>25.0</v>
      </c>
      <c r="I120" s="5">
        <v>1.7</v>
      </c>
      <c r="J120" s="5"/>
    </row>
    <row r="121">
      <c r="A121" s="5" t="s">
        <v>2610</v>
      </c>
      <c r="B121" s="201" t="s">
        <v>1413</v>
      </c>
      <c r="C121" s="200" t="str">
        <f t="shared" si="1"/>
        <v>Bleach &amp; Starch_15-20</v>
      </c>
      <c r="D121" s="18">
        <v>7.0</v>
      </c>
      <c r="E121" s="18">
        <v>6.0</v>
      </c>
      <c r="F121" s="5">
        <v>85.7</v>
      </c>
      <c r="G121" s="5">
        <v>48.0</v>
      </c>
      <c r="H121" s="5">
        <v>10.0</v>
      </c>
      <c r="I121" s="5">
        <v>20.8</v>
      </c>
      <c r="J121" s="5"/>
    </row>
    <row r="122">
      <c r="A122" s="5" t="s">
        <v>2610</v>
      </c>
      <c r="B122" s="201" t="s">
        <v>4227</v>
      </c>
      <c r="C122" s="200" t="str">
        <f t="shared" si="1"/>
        <v>Bleach &amp; Starch_No Sales</v>
      </c>
      <c r="D122" s="18">
        <v>4.0</v>
      </c>
      <c r="E122" s="18">
        <v>3.0</v>
      </c>
      <c r="F122" s="5">
        <v>75.0</v>
      </c>
      <c r="G122" s="5">
        <v>7.0</v>
      </c>
      <c r="H122" s="5">
        <v>6.0</v>
      </c>
      <c r="I122" s="5">
        <v>85.7</v>
      </c>
      <c r="J122" s="5"/>
    </row>
    <row r="123">
      <c r="A123" s="5" t="s">
        <v>232</v>
      </c>
      <c r="B123" s="201" t="s">
        <v>1426</v>
      </c>
      <c r="C123" s="200" t="str">
        <f t="shared" si="1"/>
        <v>Block Cheese_0-5</v>
      </c>
      <c r="D123" s="18">
        <v>67.0</v>
      </c>
      <c r="E123" s="18">
        <v>22.0</v>
      </c>
      <c r="F123" s="5">
        <v>32.8</v>
      </c>
      <c r="G123" s="5">
        <v>910.0</v>
      </c>
      <c r="H123" s="5">
        <v>167.0</v>
      </c>
      <c r="I123" s="5">
        <v>18.4</v>
      </c>
      <c r="J123" s="5"/>
    </row>
    <row r="124">
      <c r="A124" s="5" t="s">
        <v>232</v>
      </c>
      <c r="B124" s="201" t="s">
        <v>4228</v>
      </c>
      <c r="C124" s="200" t="str">
        <f t="shared" si="1"/>
        <v>Block Cheese_5-10</v>
      </c>
      <c r="D124" s="18">
        <v>461.0</v>
      </c>
      <c r="E124" s="18">
        <v>47.0</v>
      </c>
      <c r="F124" s="5">
        <v>10.2</v>
      </c>
      <c r="G124" s="5">
        <v>10359.0</v>
      </c>
      <c r="H124" s="5">
        <v>175.0</v>
      </c>
      <c r="I124" s="5">
        <v>1.7</v>
      </c>
      <c r="J124" s="5"/>
    </row>
    <row r="125">
      <c r="A125" s="5" t="s">
        <v>232</v>
      </c>
      <c r="B125" s="201" t="s">
        <v>4226</v>
      </c>
      <c r="C125" s="200" t="str">
        <f t="shared" si="1"/>
        <v>Block Cheese_10-15</v>
      </c>
      <c r="D125" s="18">
        <v>403.0</v>
      </c>
      <c r="E125" s="18">
        <v>30.0</v>
      </c>
      <c r="F125" s="5">
        <v>7.4</v>
      </c>
      <c r="G125" s="5">
        <v>6301.0</v>
      </c>
      <c r="H125" s="5">
        <v>114.0</v>
      </c>
      <c r="I125" s="5">
        <v>1.8</v>
      </c>
      <c r="J125" s="5"/>
    </row>
    <row r="126">
      <c r="A126" s="5" t="s">
        <v>232</v>
      </c>
      <c r="B126" s="201" t="s">
        <v>1413</v>
      </c>
      <c r="C126" s="200" t="str">
        <f t="shared" si="1"/>
        <v>Block Cheese_15-20</v>
      </c>
      <c r="D126" s="18">
        <v>320.0</v>
      </c>
      <c r="E126" s="18">
        <v>28.0</v>
      </c>
      <c r="F126" s="5">
        <v>8.8</v>
      </c>
      <c r="G126" s="5">
        <v>7548.0</v>
      </c>
      <c r="H126" s="5">
        <v>76.0</v>
      </c>
      <c r="I126" s="5">
        <v>1.0</v>
      </c>
      <c r="J126" s="5"/>
    </row>
    <row r="127">
      <c r="A127" s="5" t="s">
        <v>232</v>
      </c>
      <c r="B127" s="201" t="s">
        <v>1398</v>
      </c>
      <c r="C127" s="200" t="str">
        <f t="shared" si="1"/>
        <v>Block Cheese_20-25</v>
      </c>
      <c r="D127" s="18">
        <v>77.0</v>
      </c>
      <c r="E127" s="18">
        <v>23.0</v>
      </c>
      <c r="F127" s="5">
        <v>29.9</v>
      </c>
      <c r="G127" s="5">
        <v>497.0</v>
      </c>
      <c r="H127" s="5">
        <v>73.0</v>
      </c>
      <c r="I127" s="5">
        <v>14.7</v>
      </c>
      <c r="J127" s="5"/>
    </row>
    <row r="128">
      <c r="A128" s="5" t="s">
        <v>232</v>
      </c>
      <c r="B128" s="201" t="s">
        <v>1400</v>
      </c>
      <c r="C128" s="200" t="str">
        <f t="shared" si="1"/>
        <v>Block Cheese_25+</v>
      </c>
      <c r="D128" s="18">
        <v>61.0</v>
      </c>
      <c r="E128" s="18">
        <v>19.0</v>
      </c>
      <c r="F128" s="5">
        <v>31.1</v>
      </c>
      <c r="G128" s="5">
        <v>755.0</v>
      </c>
      <c r="H128" s="5">
        <v>45.0</v>
      </c>
      <c r="I128" s="5">
        <v>6.0</v>
      </c>
      <c r="J128" s="5"/>
    </row>
    <row r="129">
      <c r="A129" s="5" t="s">
        <v>232</v>
      </c>
      <c r="B129" s="201" t="s">
        <v>4227</v>
      </c>
      <c r="C129" s="200" t="str">
        <f t="shared" si="1"/>
        <v>Block Cheese_No Sales</v>
      </c>
      <c r="D129" s="18">
        <v>39.0</v>
      </c>
      <c r="E129" s="18">
        <v>7.0</v>
      </c>
      <c r="F129" s="5">
        <v>17.9</v>
      </c>
      <c r="G129" s="5">
        <v>218.0</v>
      </c>
      <c r="H129" s="5">
        <v>124.0</v>
      </c>
      <c r="I129" s="5">
        <v>56.9</v>
      </c>
      <c r="J129" s="5"/>
    </row>
    <row r="130">
      <c r="A130" s="5" t="s">
        <v>3217</v>
      </c>
      <c r="B130" s="201" t="s">
        <v>1413</v>
      </c>
      <c r="C130" s="200" t="str">
        <f t="shared" si="1"/>
        <v>Board Games_15-20</v>
      </c>
      <c r="D130" s="18">
        <v>29.0</v>
      </c>
      <c r="E130" s="18">
        <v>5.0</v>
      </c>
      <c r="F130" s="5">
        <v>17.2</v>
      </c>
      <c r="G130" s="5">
        <v>72.0</v>
      </c>
      <c r="H130" s="5">
        <v>11.0</v>
      </c>
      <c r="I130" s="5">
        <v>15.3</v>
      </c>
      <c r="J130" s="5"/>
    </row>
    <row r="131">
      <c r="A131" s="5" t="s">
        <v>3217</v>
      </c>
      <c r="B131" s="201" t="s">
        <v>1400</v>
      </c>
      <c r="C131" s="200" t="str">
        <f t="shared" si="1"/>
        <v>Board Games_25+</v>
      </c>
      <c r="D131" s="18">
        <v>218.0</v>
      </c>
      <c r="E131" s="18">
        <v>151.0</v>
      </c>
      <c r="F131" s="5">
        <v>69.3</v>
      </c>
      <c r="G131" s="5">
        <v>662.0</v>
      </c>
      <c r="H131" s="5">
        <v>445.0</v>
      </c>
      <c r="I131" s="5">
        <v>67.2</v>
      </c>
      <c r="J131" s="5"/>
    </row>
    <row r="132">
      <c r="A132" s="5" t="s">
        <v>507</v>
      </c>
      <c r="B132" s="201" t="s">
        <v>4228</v>
      </c>
      <c r="C132" s="200" t="str">
        <f t="shared" si="1"/>
        <v>Body &amp; Skin Care_5-10</v>
      </c>
      <c r="D132" s="18">
        <v>68.0</v>
      </c>
      <c r="E132" s="18">
        <v>1.0</v>
      </c>
      <c r="F132" s="5">
        <v>1.5</v>
      </c>
      <c r="G132" s="5">
        <v>1242.0</v>
      </c>
      <c r="H132" s="5">
        <v>1.0</v>
      </c>
      <c r="I132" s="5">
        <v>0.1</v>
      </c>
      <c r="J132" s="5"/>
    </row>
    <row r="133">
      <c r="A133" s="5" t="s">
        <v>507</v>
      </c>
      <c r="B133" s="201" t="s">
        <v>4226</v>
      </c>
      <c r="C133" s="200" t="str">
        <f t="shared" si="1"/>
        <v>Body &amp; Skin Care_10-15</v>
      </c>
      <c r="D133" s="18">
        <v>195.0</v>
      </c>
      <c r="E133" s="18">
        <v>69.0</v>
      </c>
      <c r="F133" s="5">
        <v>35.4</v>
      </c>
      <c r="G133" s="5">
        <v>846.0</v>
      </c>
      <c r="H133" s="5">
        <v>202.0</v>
      </c>
      <c r="I133" s="5">
        <v>23.9</v>
      </c>
      <c r="J133" s="5"/>
    </row>
    <row r="134">
      <c r="A134" s="5" t="s">
        <v>507</v>
      </c>
      <c r="B134" s="201" t="s">
        <v>1413</v>
      </c>
      <c r="C134" s="200" t="str">
        <f t="shared" si="1"/>
        <v>Body &amp; Skin Care_15-20</v>
      </c>
      <c r="D134" s="18">
        <v>547.0</v>
      </c>
      <c r="E134" s="18">
        <v>162.0</v>
      </c>
      <c r="F134" s="5">
        <v>29.6</v>
      </c>
      <c r="G134" s="5">
        <v>2579.0</v>
      </c>
      <c r="H134" s="5">
        <v>495.0</v>
      </c>
      <c r="I134" s="5">
        <v>19.2</v>
      </c>
      <c r="J134" s="5"/>
    </row>
    <row r="135">
      <c r="A135" s="5" t="s">
        <v>507</v>
      </c>
      <c r="B135" s="201" t="s">
        <v>1398</v>
      </c>
      <c r="C135" s="200" t="str">
        <f t="shared" si="1"/>
        <v>Body &amp; Skin Care_20-25</v>
      </c>
      <c r="D135" s="18">
        <v>300.0</v>
      </c>
      <c r="E135" s="18">
        <v>111.0</v>
      </c>
      <c r="F135" s="5">
        <v>37.0</v>
      </c>
      <c r="G135" s="5">
        <v>1504.0</v>
      </c>
      <c r="H135" s="5">
        <v>343.0</v>
      </c>
      <c r="I135" s="5">
        <v>22.8</v>
      </c>
      <c r="J135" s="5"/>
    </row>
    <row r="136">
      <c r="A136" s="5" t="s">
        <v>507</v>
      </c>
      <c r="B136" s="201" t="s">
        <v>1400</v>
      </c>
      <c r="C136" s="200" t="str">
        <f t="shared" si="1"/>
        <v>Body &amp; Skin Care_25+</v>
      </c>
      <c r="D136" s="18">
        <v>1839.0</v>
      </c>
      <c r="E136" s="18">
        <v>1030.0</v>
      </c>
      <c r="F136" s="5">
        <v>56.0</v>
      </c>
      <c r="G136" s="5">
        <v>7089.0</v>
      </c>
      <c r="H136" s="5">
        <v>2970.0</v>
      </c>
      <c r="I136" s="5">
        <v>41.9</v>
      </c>
      <c r="J136" s="5"/>
    </row>
    <row r="137">
      <c r="A137" s="5" t="s">
        <v>507</v>
      </c>
      <c r="B137" s="201" t="s">
        <v>4227</v>
      </c>
      <c r="C137" s="200" t="str">
        <f t="shared" si="1"/>
        <v>Body &amp; Skin Care_No Sales</v>
      </c>
      <c r="D137" s="18">
        <v>155.0</v>
      </c>
      <c r="E137" s="18">
        <v>109.0</v>
      </c>
      <c r="F137" s="5">
        <v>70.3</v>
      </c>
      <c r="G137" s="5">
        <v>999.0</v>
      </c>
      <c r="H137" s="5">
        <v>228.0</v>
      </c>
      <c r="I137" s="5">
        <v>22.8</v>
      </c>
      <c r="J137" s="5"/>
    </row>
    <row r="138">
      <c r="A138" s="5" t="s">
        <v>920</v>
      </c>
      <c r="B138" s="201" t="s">
        <v>1398</v>
      </c>
      <c r="C138" s="200" t="str">
        <f t="shared" si="1"/>
        <v>Bouquets &amp; Gifts_20-25</v>
      </c>
      <c r="D138" s="18">
        <v>13.0</v>
      </c>
      <c r="E138" s="18">
        <v>0.0</v>
      </c>
      <c r="F138" s="5">
        <v>0.0</v>
      </c>
      <c r="G138" s="5">
        <v>17.0</v>
      </c>
      <c r="H138" s="5">
        <v>0.0</v>
      </c>
      <c r="I138" s="5">
        <v>0.0</v>
      </c>
      <c r="J138" s="5"/>
    </row>
    <row r="139">
      <c r="A139" s="5" t="s">
        <v>920</v>
      </c>
      <c r="B139" s="201" t="s">
        <v>1400</v>
      </c>
      <c r="C139" s="200" t="str">
        <f t="shared" si="1"/>
        <v>Bouquets &amp; Gifts_25+</v>
      </c>
      <c r="D139" s="18">
        <v>60.0</v>
      </c>
      <c r="E139" s="18">
        <v>5.0</v>
      </c>
      <c r="F139" s="5">
        <v>8.3</v>
      </c>
      <c r="G139" s="5">
        <v>158.0</v>
      </c>
      <c r="H139" s="5">
        <v>7.0</v>
      </c>
      <c r="I139" s="5">
        <v>4.4</v>
      </c>
      <c r="J139" s="5"/>
    </row>
    <row r="140">
      <c r="A140" s="5" t="s">
        <v>920</v>
      </c>
      <c r="B140" s="201" t="s">
        <v>4227</v>
      </c>
      <c r="C140" s="200" t="str">
        <f t="shared" si="1"/>
        <v>Bouquets &amp; Gifts_No Sales</v>
      </c>
      <c r="D140" s="18">
        <v>1.0</v>
      </c>
      <c r="E140" s="18">
        <v>1.0</v>
      </c>
      <c r="F140" s="5">
        <v>100.0</v>
      </c>
      <c r="G140" s="5">
        <v>3.0</v>
      </c>
      <c r="H140" s="5">
        <v>3.0</v>
      </c>
      <c r="I140" s="5">
        <v>100.0</v>
      </c>
      <c r="J140" s="5"/>
    </row>
    <row r="141">
      <c r="A141" s="5" t="s">
        <v>2176</v>
      </c>
      <c r="B141" s="201" t="s">
        <v>4226</v>
      </c>
      <c r="C141" s="200" t="str">
        <f t="shared" si="1"/>
        <v>Breaded_10-15</v>
      </c>
      <c r="D141" s="18">
        <v>28.0</v>
      </c>
      <c r="E141" s="18">
        <v>2.0</v>
      </c>
      <c r="F141" s="5">
        <v>7.1</v>
      </c>
      <c r="G141" s="5">
        <v>1071.0</v>
      </c>
      <c r="H141" s="5">
        <v>2.0</v>
      </c>
      <c r="I141" s="5">
        <v>0.2</v>
      </c>
      <c r="J141" s="5"/>
    </row>
    <row r="142">
      <c r="A142" s="5" t="s">
        <v>2176</v>
      </c>
      <c r="B142" s="201" t="s">
        <v>1413</v>
      </c>
      <c r="C142" s="200" t="str">
        <f t="shared" si="1"/>
        <v>Breaded_15-20</v>
      </c>
      <c r="D142" s="18">
        <v>184.0</v>
      </c>
      <c r="E142" s="18">
        <v>12.0</v>
      </c>
      <c r="F142" s="5">
        <v>6.5</v>
      </c>
      <c r="G142" s="5">
        <v>2324.0</v>
      </c>
      <c r="H142" s="5">
        <v>29.0</v>
      </c>
      <c r="I142" s="5">
        <v>1.2</v>
      </c>
      <c r="J142" s="5"/>
    </row>
    <row r="143">
      <c r="A143" s="5" t="s">
        <v>2176</v>
      </c>
      <c r="B143" s="201" t="s">
        <v>1398</v>
      </c>
      <c r="C143" s="200" t="str">
        <f t="shared" si="1"/>
        <v>Breaded_20-25</v>
      </c>
      <c r="D143" s="18">
        <v>284.0</v>
      </c>
      <c r="E143" s="18">
        <v>26.0</v>
      </c>
      <c r="F143" s="5">
        <v>9.2</v>
      </c>
      <c r="G143" s="5">
        <v>4068.0</v>
      </c>
      <c r="H143" s="5">
        <v>71.0</v>
      </c>
      <c r="I143" s="5">
        <v>1.7</v>
      </c>
      <c r="J143" s="5"/>
    </row>
    <row r="144">
      <c r="A144" s="5" t="s">
        <v>2176</v>
      </c>
      <c r="B144" s="201" t="s">
        <v>1400</v>
      </c>
      <c r="C144" s="200" t="str">
        <f t="shared" si="1"/>
        <v>Breaded_25+</v>
      </c>
      <c r="D144" s="18">
        <v>408.0</v>
      </c>
      <c r="E144" s="18">
        <v>76.0</v>
      </c>
      <c r="F144" s="5">
        <v>18.6</v>
      </c>
      <c r="G144" s="5">
        <v>3020.0</v>
      </c>
      <c r="H144" s="5">
        <v>209.0</v>
      </c>
      <c r="I144" s="5">
        <v>6.9</v>
      </c>
      <c r="J144" s="5"/>
    </row>
    <row r="145">
      <c r="A145" s="5" t="s">
        <v>2176</v>
      </c>
      <c r="B145" s="201" t="s">
        <v>4227</v>
      </c>
      <c r="C145" s="200" t="str">
        <f t="shared" si="1"/>
        <v>Breaded_No Sales</v>
      </c>
      <c r="D145" s="18">
        <v>8.0</v>
      </c>
      <c r="E145" s="18">
        <v>7.0</v>
      </c>
      <c r="F145" s="5">
        <v>87.5</v>
      </c>
      <c r="G145" s="5">
        <v>20.0</v>
      </c>
      <c r="H145" s="5">
        <v>19.0</v>
      </c>
      <c r="I145" s="5">
        <v>95.0</v>
      </c>
      <c r="J145" s="5"/>
    </row>
    <row r="146">
      <c r="A146" s="5" t="s">
        <v>435</v>
      </c>
      <c r="B146" s="201" t="s">
        <v>4228</v>
      </c>
      <c r="C146" s="200" t="str">
        <f t="shared" si="1"/>
        <v>Breads &amp; Bakes_5-10</v>
      </c>
      <c r="D146" s="18">
        <v>55.0</v>
      </c>
      <c r="E146" s="18">
        <v>0.0</v>
      </c>
      <c r="F146" s="5">
        <v>0.0</v>
      </c>
      <c r="G146" s="5">
        <v>2530.0</v>
      </c>
      <c r="H146" s="5">
        <v>0.0</v>
      </c>
      <c r="I146" s="5">
        <v>0.0</v>
      </c>
      <c r="J146" s="5"/>
    </row>
    <row r="147">
      <c r="A147" s="5" t="s">
        <v>435</v>
      </c>
      <c r="B147" s="201" t="s">
        <v>4226</v>
      </c>
      <c r="C147" s="200" t="str">
        <f t="shared" si="1"/>
        <v>Breads &amp; Bakes_10-15</v>
      </c>
      <c r="D147" s="18">
        <v>109.0</v>
      </c>
      <c r="E147" s="18">
        <v>13.0</v>
      </c>
      <c r="F147" s="5">
        <v>11.9</v>
      </c>
      <c r="G147" s="5">
        <v>875.0</v>
      </c>
      <c r="H147" s="5">
        <v>37.0</v>
      </c>
      <c r="I147" s="5">
        <v>4.2</v>
      </c>
      <c r="J147" s="5"/>
    </row>
    <row r="148">
      <c r="A148" s="5" t="s">
        <v>435</v>
      </c>
      <c r="B148" s="201" t="s">
        <v>1413</v>
      </c>
      <c r="C148" s="200" t="str">
        <f t="shared" si="1"/>
        <v>Breads &amp; Bakes_15-20</v>
      </c>
      <c r="D148" s="18">
        <v>39.0</v>
      </c>
      <c r="E148" s="18">
        <v>13.0</v>
      </c>
      <c r="F148" s="5">
        <v>33.3</v>
      </c>
      <c r="G148" s="5">
        <v>218.0</v>
      </c>
      <c r="H148" s="5">
        <v>31.0</v>
      </c>
      <c r="I148" s="5">
        <v>14.2</v>
      </c>
      <c r="J148" s="5"/>
    </row>
    <row r="149">
      <c r="A149" s="5" t="s">
        <v>435</v>
      </c>
      <c r="B149" s="201" t="s">
        <v>1398</v>
      </c>
      <c r="C149" s="200" t="str">
        <f t="shared" si="1"/>
        <v>Breads &amp; Bakes_20-25</v>
      </c>
      <c r="D149" s="18">
        <v>1.0</v>
      </c>
      <c r="E149" s="18">
        <v>1.0</v>
      </c>
      <c r="F149" s="5">
        <v>100.0</v>
      </c>
      <c r="G149" s="5">
        <v>1.0</v>
      </c>
      <c r="H149" s="5">
        <v>1.0</v>
      </c>
      <c r="I149" s="5">
        <v>100.0</v>
      </c>
      <c r="J149" s="5"/>
    </row>
    <row r="150">
      <c r="A150" s="5" t="s">
        <v>435</v>
      </c>
      <c r="B150" s="201" t="s">
        <v>4227</v>
      </c>
      <c r="C150" s="200" t="str">
        <f t="shared" si="1"/>
        <v>Breads &amp; Bakes_No Sales</v>
      </c>
      <c r="D150" s="18">
        <v>3.0</v>
      </c>
      <c r="E150" s="18">
        <v>2.0</v>
      </c>
      <c r="F150" s="5">
        <v>66.7</v>
      </c>
      <c r="G150" s="5">
        <v>71.0</v>
      </c>
      <c r="H150" s="5">
        <v>11.0</v>
      </c>
      <c r="I150" s="5">
        <v>15.5</v>
      </c>
      <c r="J150" s="5"/>
    </row>
    <row r="151">
      <c r="A151" s="5" t="s">
        <v>342</v>
      </c>
      <c r="B151" s="201" t="s">
        <v>1426</v>
      </c>
      <c r="C151" s="200" t="str">
        <f t="shared" si="1"/>
        <v>Brown_0-5</v>
      </c>
      <c r="D151" s="18">
        <v>9.0</v>
      </c>
      <c r="E151" s="18">
        <v>0.0</v>
      </c>
      <c r="F151" s="5">
        <v>0.0</v>
      </c>
      <c r="G151" s="5">
        <v>205.0</v>
      </c>
      <c r="H151" s="5">
        <v>0.0</v>
      </c>
      <c r="I151" s="5">
        <v>0.0</v>
      </c>
      <c r="J151" s="5"/>
    </row>
    <row r="152">
      <c r="A152" s="5" t="s">
        <v>342</v>
      </c>
      <c r="B152" s="201" t="s">
        <v>4228</v>
      </c>
      <c r="C152" s="200" t="str">
        <f t="shared" si="1"/>
        <v>Brown_5-10</v>
      </c>
      <c r="D152" s="18">
        <v>25.0</v>
      </c>
      <c r="E152" s="18">
        <v>0.0</v>
      </c>
      <c r="F152" s="5">
        <v>0.0</v>
      </c>
      <c r="G152" s="5">
        <v>1740.0</v>
      </c>
      <c r="H152" s="5">
        <v>0.0</v>
      </c>
      <c r="I152" s="5">
        <v>0.0</v>
      </c>
      <c r="J152" s="5"/>
    </row>
    <row r="153">
      <c r="A153" s="5" t="s">
        <v>342</v>
      </c>
      <c r="B153" s="201" t="s">
        <v>4226</v>
      </c>
      <c r="C153" s="200" t="str">
        <f t="shared" si="1"/>
        <v>Brown_10-15</v>
      </c>
      <c r="D153" s="18">
        <v>26.0</v>
      </c>
      <c r="E153" s="18">
        <v>0.0</v>
      </c>
      <c r="F153" s="5">
        <v>0.0</v>
      </c>
      <c r="G153" s="5">
        <v>511.0</v>
      </c>
      <c r="H153" s="5">
        <v>0.0</v>
      </c>
      <c r="I153" s="5">
        <v>0.0</v>
      </c>
      <c r="J153" s="5"/>
    </row>
    <row r="154">
      <c r="A154" s="5" t="s">
        <v>342</v>
      </c>
      <c r="B154" s="201" t="s">
        <v>1413</v>
      </c>
      <c r="C154" s="200" t="str">
        <f t="shared" si="1"/>
        <v>Brown_15-20</v>
      </c>
      <c r="D154" s="18">
        <v>5.0</v>
      </c>
      <c r="E154" s="18">
        <v>0.0</v>
      </c>
      <c r="F154" s="5">
        <v>0.0</v>
      </c>
      <c r="G154" s="5">
        <v>50.0</v>
      </c>
      <c r="H154" s="5">
        <v>0.0</v>
      </c>
      <c r="I154" s="5">
        <v>0.0</v>
      </c>
      <c r="J154" s="5"/>
    </row>
    <row r="155">
      <c r="A155" s="5" t="s">
        <v>342</v>
      </c>
      <c r="B155" s="201" t="s">
        <v>1398</v>
      </c>
      <c r="C155" s="200" t="str">
        <f t="shared" si="1"/>
        <v>Brown_20-25</v>
      </c>
      <c r="D155" s="18">
        <v>1.0</v>
      </c>
      <c r="E155" s="18">
        <v>0.0</v>
      </c>
      <c r="F155" s="5">
        <v>0.0</v>
      </c>
      <c r="G155" s="5">
        <v>28.0</v>
      </c>
      <c r="H155" s="5">
        <v>0.0</v>
      </c>
      <c r="I155" s="5">
        <v>0.0</v>
      </c>
      <c r="J155" s="5"/>
    </row>
    <row r="156">
      <c r="A156" s="5" t="s">
        <v>342</v>
      </c>
      <c r="B156" s="201" t="s">
        <v>1400</v>
      </c>
      <c r="C156" s="200" t="str">
        <f t="shared" si="1"/>
        <v>Brown_25+</v>
      </c>
      <c r="D156" s="18">
        <v>85.0</v>
      </c>
      <c r="E156" s="18">
        <v>12.0</v>
      </c>
      <c r="F156" s="5">
        <v>14.1</v>
      </c>
      <c r="G156" s="5">
        <v>3660.0</v>
      </c>
      <c r="H156" s="5">
        <v>61.0</v>
      </c>
      <c r="I156" s="5">
        <v>1.7</v>
      </c>
      <c r="J156" s="5"/>
    </row>
    <row r="157">
      <c r="A157" s="5" t="s">
        <v>1494</v>
      </c>
      <c r="B157" s="201" t="s">
        <v>1426</v>
      </c>
      <c r="C157" s="200" t="str">
        <f t="shared" si="1"/>
        <v>Buns &amp; Rolls_0-5</v>
      </c>
      <c r="D157" s="18">
        <v>220.0</v>
      </c>
      <c r="E157" s="18">
        <v>16.0</v>
      </c>
      <c r="F157" s="5">
        <v>7.3</v>
      </c>
      <c r="G157" s="5">
        <v>938.0</v>
      </c>
      <c r="H157" s="5">
        <v>24.0</v>
      </c>
      <c r="I157" s="5">
        <v>2.6</v>
      </c>
      <c r="J157" s="5"/>
    </row>
    <row r="158">
      <c r="A158" s="5" t="s">
        <v>1494</v>
      </c>
      <c r="B158" s="201" t="s">
        <v>4228</v>
      </c>
      <c r="C158" s="200" t="str">
        <f t="shared" si="1"/>
        <v>Buns &amp; Rolls_5-10</v>
      </c>
      <c r="D158" s="18">
        <v>90.0</v>
      </c>
      <c r="E158" s="18">
        <v>1.0</v>
      </c>
      <c r="F158" s="5">
        <v>1.1</v>
      </c>
      <c r="G158" s="5">
        <v>234.0</v>
      </c>
      <c r="H158" s="5">
        <v>1.0</v>
      </c>
      <c r="I158" s="5">
        <v>0.4</v>
      </c>
      <c r="J158" s="5"/>
    </row>
    <row r="159">
      <c r="A159" s="5" t="s">
        <v>1494</v>
      </c>
      <c r="B159" s="201" t="s">
        <v>4226</v>
      </c>
      <c r="C159" s="200" t="str">
        <f t="shared" si="1"/>
        <v>Buns &amp; Rolls_10-15</v>
      </c>
      <c r="D159" s="18">
        <v>30.0</v>
      </c>
      <c r="E159" s="18">
        <v>17.0</v>
      </c>
      <c r="F159" s="5">
        <v>56.7</v>
      </c>
      <c r="G159" s="5">
        <v>65.0</v>
      </c>
      <c r="H159" s="5">
        <v>37.0</v>
      </c>
      <c r="I159" s="5">
        <v>56.9</v>
      </c>
      <c r="J159" s="5"/>
    </row>
    <row r="160">
      <c r="A160" s="5" t="s">
        <v>1494</v>
      </c>
      <c r="B160" s="201" t="s">
        <v>1413</v>
      </c>
      <c r="C160" s="200" t="str">
        <f t="shared" si="1"/>
        <v>Buns &amp; Rolls_15-20</v>
      </c>
      <c r="D160" s="18">
        <v>92.0</v>
      </c>
      <c r="E160" s="18">
        <v>23.0</v>
      </c>
      <c r="F160" s="5">
        <v>25.0</v>
      </c>
      <c r="G160" s="5">
        <v>745.0</v>
      </c>
      <c r="H160" s="5">
        <v>80.0</v>
      </c>
      <c r="I160" s="5">
        <v>10.7</v>
      </c>
      <c r="J160" s="5"/>
    </row>
    <row r="161">
      <c r="A161" s="5" t="s">
        <v>1494</v>
      </c>
      <c r="B161" s="201" t="s">
        <v>1400</v>
      </c>
      <c r="C161" s="200" t="str">
        <f t="shared" si="1"/>
        <v>Buns &amp; Rolls_25+</v>
      </c>
      <c r="D161" s="18">
        <v>14.0</v>
      </c>
      <c r="E161" s="18">
        <v>1.0</v>
      </c>
      <c r="F161" s="5">
        <v>7.1</v>
      </c>
      <c r="G161" s="5">
        <v>233.0</v>
      </c>
      <c r="H161" s="5">
        <v>3.0</v>
      </c>
      <c r="I161" s="5">
        <v>1.3</v>
      </c>
      <c r="J161" s="5"/>
    </row>
    <row r="162">
      <c r="A162" s="5" t="s">
        <v>425</v>
      </c>
      <c r="B162" s="201" t="s">
        <v>1426</v>
      </c>
      <c r="C162" s="200" t="str">
        <f t="shared" si="1"/>
        <v>Burgers &amp; Sausage_0-5</v>
      </c>
      <c r="D162" s="18">
        <v>29.0</v>
      </c>
      <c r="E162" s="18">
        <v>0.0</v>
      </c>
      <c r="F162" s="5">
        <v>0.0</v>
      </c>
      <c r="G162" s="5">
        <v>2202.0</v>
      </c>
      <c r="H162" s="5">
        <v>0.0</v>
      </c>
      <c r="I162" s="5">
        <v>0.0</v>
      </c>
      <c r="J162" s="5"/>
    </row>
    <row r="163">
      <c r="A163" s="5" t="s">
        <v>425</v>
      </c>
      <c r="B163" s="201" t="s">
        <v>4228</v>
      </c>
      <c r="C163" s="200" t="str">
        <f t="shared" si="1"/>
        <v>Burgers &amp; Sausage_5-10</v>
      </c>
      <c r="D163" s="18">
        <v>29.0</v>
      </c>
      <c r="E163" s="18">
        <v>0.0</v>
      </c>
      <c r="F163" s="5">
        <v>0.0</v>
      </c>
      <c r="G163" s="5">
        <v>215.0</v>
      </c>
      <c r="H163" s="5">
        <v>0.0</v>
      </c>
      <c r="I163" s="5">
        <v>0.0</v>
      </c>
      <c r="J163" s="5"/>
    </row>
    <row r="164">
      <c r="A164" s="5" t="s">
        <v>425</v>
      </c>
      <c r="B164" s="201" t="s">
        <v>4226</v>
      </c>
      <c r="C164" s="200" t="str">
        <f t="shared" si="1"/>
        <v>Burgers &amp; Sausage_10-15</v>
      </c>
      <c r="D164" s="18">
        <v>56.0</v>
      </c>
      <c r="E164" s="18">
        <v>5.0</v>
      </c>
      <c r="F164" s="5">
        <v>8.9</v>
      </c>
      <c r="G164" s="5">
        <v>666.0</v>
      </c>
      <c r="H164" s="5">
        <v>11.0</v>
      </c>
      <c r="I164" s="5">
        <v>1.7</v>
      </c>
      <c r="J164" s="5"/>
    </row>
    <row r="165">
      <c r="A165" s="5" t="s">
        <v>425</v>
      </c>
      <c r="B165" s="201" t="s">
        <v>1413</v>
      </c>
      <c r="C165" s="200" t="str">
        <f t="shared" si="1"/>
        <v>Burgers &amp; Sausage_15-20</v>
      </c>
      <c r="D165" s="18">
        <v>80.0</v>
      </c>
      <c r="E165" s="18">
        <v>6.0</v>
      </c>
      <c r="F165" s="5">
        <v>7.5</v>
      </c>
      <c r="G165" s="5">
        <v>1438.0</v>
      </c>
      <c r="H165" s="5">
        <v>14.0</v>
      </c>
      <c r="I165" s="5">
        <v>1.0</v>
      </c>
      <c r="J165" s="5"/>
    </row>
    <row r="166">
      <c r="A166" s="5" t="s">
        <v>425</v>
      </c>
      <c r="B166" s="201" t="s">
        <v>1398</v>
      </c>
      <c r="C166" s="200" t="str">
        <f t="shared" si="1"/>
        <v>Burgers &amp; Sausage_20-25</v>
      </c>
      <c r="D166" s="18">
        <v>7.0</v>
      </c>
      <c r="E166" s="18">
        <v>4.0</v>
      </c>
      <c r="F166" s="5">
        <v>57.1</v>
      </c>
      <c r="G166" s="5">
        <v>16.0</v>
      </c>
      <c r="H166" s="5">
        <v>12.0</v>
      </c>
      <c r="I166" s="5">
        <v>75.0</v>
      </c>
      <c r="J166" s="5"/>
    </row>
    <row r="167">
      <c r="A167" s="5" t="s">
        <v>425</v>
      </c>
      <c r="B167" s="201" t="s">
        <v>1400</v>
      </c>
      <c r="C167" s="200" t="str">
        <f t="shared" si="1"/>
        <v>Burgers &amp; Sausage_25+</v>
      </c>
      <c r="D167" s="18">
        <v>75.0</v>
      </c>
      <c r="E167" s="18">
        <v>29.0</v>
      </c>
      <c r="F167" s="5">
        <v>38.7</v>
      </c>
      <c r="G167" s="5">
        <v>450.0</v>
      </c>
      <c r="H167" s="5">
        <v>64.0</v>
      </c>
      <c r="I167" s="5">
        <v>14.2</v>
      </c>
      <c r="J167" s="5"/>
    </row>
    <row r="168">
      <c r="A168" s="5" t="s">
        <v>425</v>
      </c>
      <c r="B168" s="201" t="s">
        <v>4227</v>
      </c>
      <c r="C168" s="200" t="str">
        <f t="shared" si="1"/>
        <v>Burgers &amp; Sausage_No Sales</v>
      </c>
      <c r="D168" s="18">
        <v>1.0</v>
      </c>
      <c r="E168" s="18">
        <v>1.0</v>
      </c>
      <c r="F168" s="5">
        <v>100.0</v>
      </c>
      <c r="G168" s="5">
        <v>1.0</v>
      </c>
      <c r="H168" s="5">
        <v>1.0</v>
      </c>
      <c r="I168" s="5">
        <v>100.0</v>
      </c>
      <c r="J168" s="5"/>
    </row>
    <row r="169">
      <c r="A169" s="5" t="s">
        <v>1802</v>
      </c>
      <c r="B169" s="201" t="s">
        <v>1426</v>
      </c>
      <c r="C169" s="200" t="str">
        <f t="shared" si="1"/>
        <v>Butter_0-5</v>
      </c>
      <c r="D169" s="18">
        <v>59.0</v>
      </c>
      <c r="E169" s="18">
        <v>0.0</v>
      </c>
      <c r="F169" s="5">
        <v>0.0</v>
      </c>
      <c r="G169" s="5">
        <v>6243.0</v>
      </c>
      <c r="H169" s="5">
        <v>0.0</v>
      </c>
      <c r="I169" s="5">
        <v>0.0</v>
      </c>
      <c r="J169" s="5"/>
    </row>
    <row r="170">
      <c r="A170" s="5" t="s">
        <v>1802</v>
      </c>
      <c r="B170" s="201" t="s">
        <v>4228</v>
      </c>
      <c r="C170" s="200" t="str">
        <f t="shared" si="1"/>
        <v>Butter_5-10</v>
      </c>
      <c r="D170" s="18">
        <v>111.0</v>
      </c>
      <c r="E170" s="18">
        <v>1.0</v>
      </c>
      <c r="F170" s="5">
        <v>0.9</v>
      </c>
      <c r="G170" s="5">
        <v>5387.0</v>
      </c>
      <c r="H170" s="5">
        <v>4.0</v>
      </c>
      <c r="I170" s="5">
        <v>0.1</v>
      </c>
      <c r="J170" s="5"/>
    </row>
    <row r="171">
      <c r="A171" s="5" t="s">
        <v>1802</v>
      </c>
      <c r="B171" s="201" t="s">
        <v>4226</v>
      </c>
      <c r="C171" s="200" t="str">
        <f t="shared" si="1"/>
        <v>Butter_10-15</v>
      </c>
      <c r="D171" s="18">
        <v>136.0</v>
      </c>
      <c r="E171" s="18">
        <v>2.0</v>
      </c>
      <c r="F171" s="5">
        <v>1.5</v>
      </c>
      <c r="G171" s="5">
        <v>11499.0</v>
      </c>
      <c r="H171" s="5">
        <v>5.0</v>
      </c>
      <c r="I171" s="5">
        <v>0.0</v>
      </c>
      <c r="J171" s="5"/>
    </row>
    <row r="172">
      <c r="A172" s="5" t="s">
        <v>1802</v>
      </c>
      <c r="B172" s="201" t="s">
        <v>1413</v>
      </c>
      <c r="C172" s="200" t="str">
        <f t="shared" si="1"/>
        <v>Butter_15-20</v>
      </c>
      <c r="D172" s="18">
        <v>65.0</v>
      </c>
      <c r="E172" s="18">
        <v>1.0</v>
      </c>
      <c r="F172" s="5">
        <v>1.5</v>
      </c>
      <c r="G172" s="5">
        <v>3017.0</v>
      </c>
      <c r="H172" s="5">
        <v>4.0</v>
      </c>
      <c r="I172" s="5">
        <v>0.1</v>
      </c>
      <c r="J172" s="5"/>
    </row>
    <row r="173">
      <c r="A173" s="5" t="s">
        <v>1802</v>
      </c>
      <c r="B173" s="201" t="s">
        <v>1398</v>
      </c>
      <c r="C173" s="200" t="str">
        <f t="shared" si="1"/>
        <v>Butter_20-25</v>
      </c>
      <c r="D173" s="18">
        <v>129.0</v>
      </c>
      <c r="E173" s="18">
        <v>3.0</v>
      </c>
      <c r="F173" s="5">
        <v>2.3</v>
      </c>
      <c r="G173" s="5">
        <v>3393.0</v>
      </c>
      <c r="H173" s="5">
        <v>10.0</v>
      </c>
      <c r="I173" s="5">
        <v>0.3</v>
      </c>
      <c r="J173" s="5"/>
    </row>
    <row r="174">
      <c r="A174" s="5" t="s">
        <v>1802</v>
      </c>
      <c r="B174" s="201" t="s">
        <v>1400</v>
      </c>
      <c r="C174" s="200" t="str">
        <f t="shared" si="1"/>
        <v>Butter_25+</v>
      </c>
      <c r="D174" s="18">
        <v>72.0</v>
      </c>
      <c r="E174" s="18">
        <v>9.0</v>
      </c>
      <c r="F174" s="5">
        <v>12.5</v>
      </c>
      <c r="G174" s="5">
        <v>1143.0</v>
      </c>
      <c r="H174" s="5">
        <v>26.0</v>
      </c>
      <c r="I174" s="5">
        <v>2.3</v>
      </c>
      <c r="J174" s="5"/>
    </row>
    <row r="175">
      <c r="A175" s="5" t="s">
        <v>1802</v>
      </c>
      <c r="B175" s="201" t="s">
        <v>4227</v>
      </c>
      <c r="C175" s="200" t="str">
        <f t="shared" si="1"/>
        <v>Butter_No Sales</v>
      </c>
      <c r="D175" s="18">
        <v>29.0</v>
      </c>
      <c r="E175" s="18">
        <v>27.0</v>
      </c>
      <c r="F175" s="5">
        <v>93.1</v>
      </c>
      <c r="G175" s="5">
        <v>205.0</v>
      </c>
      <c r="H175" s="5">
        <v>202.0</v>
      </c>
      <c r="I175" s="5">
        <v>98.5</v>
      </c>
      <c r="J175" s="5"/>
    </row>
    <row r="176">
      <c r="A176" s="5" t="s">
        <v>226</v>
      </c>
      <c r="B176" s="201" t="s">
        <v>1426</v>
      </c>
      <c r="C176" s="200" t="str">
        <f t="shared" si="1"/>
        <v>Canned Fish &amp; Seafood_0-5</v>
      </c>
      <c r="D176" s="18">
        <v>32.0</v>
      </c>
      <c r="E176" s="18">
        <v>0.0</v>
      </c>
      <c r="F176" s="5">
        <v>0.0</v>
      </c>
      <c r="G176" s="5">
        <v>1099.0</v>
      </c>
      <c r="H176" s="5">
        <v>0.0</v>
      </c>
      <c r="I176" s="5">
        <v>0.0</v>
      </c>
      <c r="J176" s="5"/>
    </row>
    <row r="177">
      <c r="A177" s="5" t="s">
        <v>226</v>
      </c>
      <c r="B177" s="201" t="s">
        <v>4228</v>
      </c>
      <c r="C177" s="200" t="str">
        <f t="shared" si="1"/>
        <v>Canned Fish &amp; Seafood_5-10</v>
      </c>
      <c r="D177" s="18">
        <v>266.0</v>
      </c>
      <c r="E177" s="18">
        <v>97.0</v>
      </c>
      <c r="F177" s="5">
        <v>36.5</v>
      </c>
      <c r="G177" s="5">
        <v>2861.0</v>
      </c>
      <c r="H177" s="5">
        <v>281.0</v>
      </c>
      <c r="I177" s="5">
        <v>9.8</v>
      </c>
      <c r="J177" s="5"/>
    </row>
    <row r="178">
      <c r="A178" s="5" t="s">
        <v>226</v>
      </c>
      <c r="B178" s="201" t="s">
        <v>4226</v>
      </c>
      <c r="C178" s="200" t="str">
        <f t="shared" si="1"/>
        <v>Canned Fish &amp; Seafood_10-15</v>
      </c>
      <c r="D178" s="18">
        <v>235.0</v>
      </c>
      <c r="E178" s="18">
        <v>33.0</v>
      </c>
      <c r="F178" s="5">
        <v>14.0</v>
      </c>
      <c r="G178" s="5">
        <v>3832.0</v>
      </c>
      <c r="H178" s="5">
        <v>81.0</v>
      </c>
      <c r="I178" s="5">
        <v>2.1</v>
      </c>
      <c r="J178" s="5"/>
    </row>
    <row r="179">
      <c r="A179" s="5" t="s">
        <v>226</v>
      </c>
      <c r="B179" s="201" t="s">
        <v>1413</v>
      </c>
      <c r="C179" s="200" t="str">
        <f t="shared" si="1"/>
        <v>Canned Fish &amp; Seafood_15-20</v>
      </c>
      <c r="D179" s="18">
        <v>196.0</v>
      </c>
      <c r="E179" s="18">
        <v>48.0</v>
      </c>
      <c r="F179" s="5">
        <v>24.5</v>
      </c>
      <c r="G179" s="5">
        <v>3227.0</v>
      </c>
      <c r="H179" s="5">
        <v>130.0</v>
      </c>
      <c r="I179" s="5">
        <v>4.0</v>
      </c>
      <c r="J179" s="5"/>
    </row>
    <row r="180">
      <c r="A180" s="5" t="s">
        <v>226</v>
      </c>
      <c r="B180" s="201" t="s">
        <v>1398</v>
      </c>
      <c r="C180" s="200" t="str">
        <f t="shared" si="1"/>
        <v>Canned Fish &amp; Seafood_20-25</v>
      </c>
      <c r="D180" s="18">
        <v>192.0</v>
      </c>
      <c r="E180" s="18">
        <v>34.0</v>
      </c>
      <c r="F180" s="5">
        <v>17.7</v>
      </c>
      <c r="G180" s="5">
        <v>2510.0</v>
      </c>
      <c r="H180" s="5">
        <v>91.0</v>
      </c>
      <c r="I180" s="5">
        <v>3.6</v>
      </c>
      <c r="J180" s="5"/>
    </row>
    <row r="181">
      <c r="A181" s="5" t="s">
        <v>226</v>
      </c>
      <c r="B181" s="201" t="s">
        <v>1400</v>
      </c>
      <c r="C181" s="200" t="str">
        <f t="shared" si="1"/>
        <v>Canned Fish &amp; Seafood_25+</v>
      </c>
      <c r="D181" s="18">
        <v>442.0</v>
      </c>
      <c r="E181" s="18">
        <v>144.0</v>
      </c>
      <c r="F181" s="5">
        <v>32.6</v>
      </c>
      <c r="G181" s="5">
        <v>7647.0</v>
      </c>
      <c r="H181" s="5">
        <v>482.0</v>
      </c>
      <c r="I181" s="5">
        <v>6.3</v>
      </c>
      <c r="J181" s="5"/>
    </row>
    <row r="182">
      <c r="A182" s="5" t="s">
        <v>226</v>
      </c>
      <c r="B182" s="201" t="s">
        <v>4227</v>
      </c>
      <c r="C182" s="200" t="str">
        <f t="shared" si="1"/>
        <v>Canned Fish &amp; Seafood_No Sales</v>
      </c>
      <c r="D182" s="18">
        <v>32.0</v>
      </c>
      <c r="E182" s="18">
        <v>11.0</v>
      </c>
      <c r="F182" s="5">
        <v>34.4</v>
      </c>
      <c r="G182" s="5">
        <v>318.0</v>
      </c>
      <c r="H182" s="5">
        <v>25.0</v>
      </c>
      <c r="I182" s="5">
        <v>7.9</v>
      </c>
      <c r="J182" s="5"/>
    </row>
    <row r="183">
      <c r="A183" s="5" t="s">
        <v>1754</v>
      </c>
      <c r="B183" s="201" t="s">
        <v>1426</v>
      </c>
      <c r="C183" s="200" t="str">
        <f t="shared" si="1"/>
        <v>Canned Fruits_0-5</v>
      </c>
      <c r="D183" s="18">
        <v>27.0</v>
      </c>
      <c r="E183" s="18">
        <v>4.0</v>
      </c>
      <c r="F183" s="5">
        <v>14.8</v>
      </c>
      <c r="G183" s="5">
        <v>185.0</v>
      </c>
      <c r="H183" s="5">
        <v>12.0</v>
      </c>
      <c r="I183" s="5">
        <v>6.5</v>
      </c>
      <c r="J183" s="5"/>
    </row>
    <row r="184">
      <c r="A184" s="5" t="s">
        <v>1754</v>
      </c>
      <c r="B184" s="201" t="s">
        <v>4228</v>
      </c>
      <c r="C184" s="200" t="str">
        <f t="shared" si="1"/>
        <v>Canned Fruits_5-10</v>
      </c>
      <c r="D184" s="18">
        <v>113.0</v>
      </c>
      <c r="E184" s="18">
        <v>21.0</v>
      </c>
      <c r="F184" s="5">
        <v>18.6</v>
      </c>
      <c r="G184" s="5">
        <v>1451.0</v>
      </c>
      <c r="H184" s="5">
        <v>66.0</v>
      </c>
      <c r="I184" s="5">
        <v>4.5</v>
      </c>
      <c r="J184" s="5"/>
    </row>
    <row r="185">
      <c r="A185" s="5" t="s">
        <v>1754</v>
      </c>
      <c r="B185" s="201" t="s">
        <v>4226</v>
      </c>
      <c r="C185" s="200" t="str">
        <f t="shared" si="1"/>
        <v>Canned Fruits_10-15</v>
      </c>
      <c r="D185" s="18">
        <v>57.0</v>
      </c>
      <c r="E185" s="18">
        <v>26.0</v>
      </c>
      <c r="F185" s="5">
        <v>45.6</v>
      </c>
      <c r="G185" s="5">
        <v>230.0</v>
      </c>
      <c r="H185" s="5">
        <v>79.0</v>
      </c>
      <c r="I185" s="5">
        <v>34.3</v>
      </c>
      <c r="J185" s="5"/>
    </row>
    <row r="186">
      <c r="A186" s="5" t="s">
        <v>1754</v>
      </c>
      <c r="B186" s="201" t="s">
        <v>1398</v>
      </c>
      <c r="C186" s="200" t="str">
        <f t="shared" si="1"/>
        <v>Canned Fruits_20-25</v>
      </c>
      <c r="D186" s="18">
        <v>14.0</v>
      </c>
      <c r="E186" s="18">
        <v>12.0</v>
      </c>
      <c r="F186" s="5">
        <v>85.7</v>
      </c>
      <c r="G186" s="5">
        <v>34.0</v>
      </c>
      <c r="H186" s="5">
        <v>29.0</v>
      </c>
      <c r="I186" s="5">
        <v>85.3</v>
      </c>
      <c r="J186" s="5"/>
    </row>
    <row r="187">
      <c r="A187" s="5" t="s">
        <v>1754</v>
      </c>
      <c r="B187" s="201" t="s">
        <v>4227</v>
      </c>
      <c r="C187" s="200" t="str">
        <f t="shared" si="1"/>
        <v>Canned Fruits_No Sales</v>
      </c>
      <c r="D187" s="18">
        <v>8.0</v>
      </c>
      <c r="E187" s="18">
        <v>5.0</v>
      </c>
      <c r="F187" s="5">
        <v>62.5</v>
      </c>
      <c r="G187" s="5">
        <v>12.0</v>
      </c>
      <c r="H187" s="5">
        <v>9.0</v>
      </c>
      <c r="I187" s="5">
        <v>75.0</v>
      </c>
      <c r="J187" s="5"/>
    </row>
    <row r="188">
      <c r="A188" s="5" t="s">
        <v>1760</v>
      </c>
      <c r="B188" s="201" t="s">
        <v>1426</v>
      </c>
      <c r="C188" s="200" t="str">
        <f t="shared" si="1"/>
        <v>Canned Meats_0-5</v>
      </c>
      <c r="D188" s="18">
        <v>2.0</v>
      </c>
      <c r="E188" s="18">
        <v>0.0</v>
      </c>
      <c r="F188" s="5">
        <v>0.0</v>
      </c>
      <c r="G188" s="5">
        <v>2.0</v>
      </c>
      <c r="H188" s="5">
        <v>0.0</v>
      </c>
      <c r="I188" s="5">
        <v>0.0</v>
      </c>
      <c r="J188" s="5"/>
    </row>
    <row r="189">
      <c r="A189" s="5" t="s">
        <v>1760</v>
      </c>
      <c r="B189" s="201" t="s">
        <v>4228</v>
      </c>
      <c r="C189" s="200" t="str">
        <f t="shared" si="1"/>
        <v>Canned Meats_5-10</v>
      </c>
      <c r="D189" s="18">
        <v>75.0</v>
      </c>
      <c r="E189" s="18">
        <v>20.0</v>
      </c>
      <c r="F189" s="5">
        <v>26.7</v>
      </c>
      <c r="G189" s="5">
        <v>1108.0</v>
      </c>
      <c r="H189" s="5">
        <v>69.0</v>
      </c>
      <c r="I189" s="5">
        <v>6.2</v>
      </c>
      <c r="J189" s="5"/>
    </row>
    <row r="190">
      <c r="A190" s="5" t="s">
        <v>1760</v>
      </c>
      <c r="B190" s="201" t="s">
        <v>4226</v>
      </c>
      <c r="C190" s="200" t="str">
        <f t="shared" si="1"/>
        <v>Canned Meats_10-15</v>
      </c>
      <c r="D190" s="18">
        <v>27.0</v>
      </c>
      <c r="E190" s="18">
        <v>5.0</v>
      </c>
      <c r="F190" s="5">
        <v>18.5</v>
      </c>
      <c r="G190" s="5">
        <v>251.0</v>
      </c>
      <c r="H190" s="5">
        <v>16.0</v>
      </c>
      <c r="I190" s="5">
        <v>6.4</v>
      </c>
      <c r="J190" s="5"/>
    </row>
    <row r="191">
      <c r="A191" s="5" t="s">
        <v>1760</v>
      </c>
      <c r="B191" s="201" t="s">
        <v>1413</v>
      </c>
      <c r="C191" s="200" t="str">
        <f t="shared" si="1"/>
        <v>Canned Meats_15-20</v>
      </c>
      <c r="D191" s="18">
        <v>200.0</v>
      </c>
      <c r="E191" s="18">
        <v>45.0</v>
      </c>
      <c r="F191" s="5">
        <v>22.5</v>
      </c>
      <c r="G191" s="5">
        <v>3689.0</v>
      </c>
      <c r="H191" s="5">
        <v>135.0</v>
      </c>
      <c r="I191" s="5">
        <v>3.7</v>
      </c>
      <c r="J191" s="5"/>
    </row>
    <row r="192">
      <c r="A192" s="5" t="s">
        <v>1760</v>
      </c>
      <c r="B192" s="201" t="s">
        <v>1398</v>
      </c>
      <c r="C192" s="200" t="str">
        <f t="shared" si="1"/>
        <v>Canned Meats_20-25</v>
      </c>
      <c r="D192" s="18">
        <v>76.0</v>
      </c>
      <c r="E192" s="18">
        <v>56.0</v>
      </c>
      <c r="F192" s="5">
        <v>73.7</v>
      </c>
      <c r="G192" s="5">
        <v>317.0</v>
      </c>
      <c r="H192" s="5">
        <v>166.0</v>
      </c>
      <c r="I192" s="5">
        <v>52.4</v>
      </c>
      <c r="J192" s="5"/>
    </row>
    <row r="193">
      <c r="A193" s="5" t="s">
        <v>1760</v>
      </c>
      <c r="B193" s="201" t="s">
        <v>4227</v>
      </c>
      <c r="C193" s="200" t="str">
        <f t="shared" si="1"/>
        <v>Canned Meats_No Sales</v>
      </c>
      <c r="D193" s="18">
        <v>6.0</v>
      </c>
      <c r="E193" s="18">
        <v>6.0</v>
      </c>
      <c r="F193" s="5">
        <v>100.0</v>
      </c>
      <c r="G193" s="5">
        <v>108.0</v>
      </c>
      <c r="H193" s="5">
        <v>108.0</v>
      </c>
      <c r="I193" s="5">
        <v>100.0</v>
      </c>
      <c r="J193" s="5"/>
    </row>
    <row r="194">
      <c r="A194" s="5" t="s">
        <v>1767</v>
      </c>
      <c r="B194" s="201" t="s">
        <v>1426</v>
      </c>
      <c r="C194" s="200" t="str">
        <f t="shared" si="1"/>
        <v>Canned Vegetables_0-5</v>
      </c>
      <c r="D194" s="18">
        <v>407.0</v>
      </c>
      <c r="E194" s="18">
        <v>39.0</v>
      </c>
      <c r="F194" s="5">
        <v>9.6</v>
      </c>
      <c r="G194" s="5">
        <v>21000.0</v>
      </c>
      <c r="H194" s="5">
        <v>105.0</v>
      </c>
      <c r="I194" s="5">
        <v>0.5</v>
      </c>
      <c r="J194" s="5"/>
    </row>
    <row r="195">
      <c r="A195" s="5" t="s">
        <v>1767</v>
      </c>
      <c r="B195" s="201" t="s">
        <v>4228</v>
      </c>
      <c r="C195" s="200" t="str">
        <f t="shared" si="1"/>
        <v>Canned Vegetables_5-10</v>
      </c>
      <c r="D195" s="18">
        <v>434.0</v>
      </c>
      <c r="E195" s="18">
        <v>90.0</v>
      </c>
      <c r="F195" s="5">
        <v>20.7</v>
      </c>
      <c r="G195" s="5">
        <v>9881.0</v>
      </c>
      <c r="H195" s="5">
        <v>230.0</v>
      </c>
      <c r="I195" s="5">
        <v>2.3</v>
      </c>
      <c r="J195" s="5"/>
    </row>
    <row r="196">
      <c r="A196" s="5" t="s">
        <v>1767</v>
      </c>
      <c r="B196" s="201" t="s">
        <v>4226</v>
      </c>
      <c r="C196" s="200" t="str">
        <f t="shared" si="1"/>
        <v>Canned Vegetables_10-15</v>
      </c>
      <c r="D196" s="18">
        <v>205.0</v>
      </c>
      <c r="E196" s="18">
        <v>77.0</v>
      </c>
      <c r="F196" s="5">
        <v>37.6</v>
      </c>
      <c r="G196" s="5">
        <v>1068.0</v>
      </c>
      <c r="H196" s="5">
        <v>215.0</v>
      </c>
      <c r="I196" s="5">
        <v>20.1</v>
      </c>
      <c r="J196" s="5"/>
    </row>
    <row r="197">
      <c r="A197" s="5" t="s">
        <v>1767</v>
      </c>
      <c r="B197" s="201" t="s">
        <v>1413</v>
      </c>
      <c r="C197" s="200" t="str">
        <f t="shared" si="1"/>
        <v>Canned Vegetables_15-20</v>
      </c>
      <c r="D197" s="18">
        <v>162.0</v>
      </c>
      <c r="E197" s="18">
        <v>81.0</v>
      </c>
      <c r="F197" s="5">
        <v>50.0</v>
      </c>
      <c r="G197" s="5">
        <v>1119.0</v>
      </c>
      <c r="H197" s="5">
        <v>218.0</v>
      </c>
      <c r="I197" s="5">
        <v>19.5</v>
      </c>
      <c r="J197" s="5"/>
    </row>
    <row r="198">
      <c r="A198" s="5" t="s">
        <v>1767</v>
      </c>
      <c r="B198" s="201" t="s">
        <v>1398</v>
      </c>
      <c r="C198" s="200" t="str">
        <f t="shared" si="1"/>
        <v>Canned Vegetables_20-25</v>
      </c>
      <c r="D198" s="18">
        <v>78.0</v>
      </c>
      <c r="E198" s="18">
        <v>25.0</v>
      </c>
      <c r="F198" s="5">
        <v>32.1</v>
      </c>
      <c r="G198" s="5">
        <v>1129.0</v>
      </c>
      <c r="H198" s="5">
        <v>72.0</v>
      </c>
      <c r="I198" s="5">
        <v>6.4</v>
      </c>
      <c r="J198" s="5"/>
    </row>
    <row r="199">
      <c r="A199" s="5" t="s">
        <v>1767</v>
      </c>
      <c r="B199" s="201" t="s">
        <v>4227</v>
      </c>
      <c r="C199" s="200" t="str">
        <f t="shared" si="1"/>
        <v>Canned Vegetables_No Sales</v>
      </c>
      <c r="D199" s="18">
        <v>43.0</v>
      </c>
      <c r="E199" s="18">
        <v>43.0</v>
      </c>
      <c r="F199" s="5">
        <v>100.0</v>
      </c>
      <c r="G199" s="5">
        <v>144.0</v>
      </c>
      <c r="H199" s="5">
        <v>144.0</v>
      </c>
      <c r="I199" s="5">
        <v>100.0</v>
      </c>
      <c r="J199" s="5"/>
    </row>
    <row r="200">
      <c r="A200" s="5" t="s">
        <v>2417</v>
      </c>
      <c r="B200" s="201" t="s">
        <v>1426</v>
      </c>
      <c r="C200" s="200" t="str">
        <f t="shared" si="1"/>
        <v>Car Care_0-5</v>
      </c>
      <c r="D200" s="18">
        <v>30.0</v>
      </c>
      <c r="E200" s="18">
        <v>11.0</v>
      </c>
      <c r="F200" s="5">
        <v>36.7</v>
      </c>
      <c r="G200" s="5">
        <v>120.0</v>
      </c>
      <c r="H200" s="5">
        <v>35.0</v>
      </c>
      <c r="I200" s="5">
        <v>29.2</v>
      </c>
      <c r="J200" s="5"/>
    </row>
    <row r="201">
      <c r="A201" s="5" t="s">
        <v>2417</v>
      </c>
      <c r="B201" s="201" t="s">
        <v>4228</v>
      </c>
      <c r="C201" s="200" t="str">
        <f t="shared" si="1"/>
        <v>Car Care_5-10</v>
      </c>
      <c r="D201" s="18">
        <v>30.0</v>
      </c>
      <c r="E201" s="18">
        <v>15.0</v>
      </c>
      <c r="F201" s="5">
        <v>50.0</v>
      </c>
      <c r="G201" s="5">
        <v>119.0</v>
      </c>
      <c r="H201" s="5">
        <v>48.0</v>
      </c>
      <c r="I201" s="5">
        <v>40.3</v>
      </c>
      <c r="J201" s="5"/>
    </row>
    <row r="202">
      <c r="A202" s="5" t="s">
        <v>2417</v>
      </c>
      <c r="B202" s="201" t="s">
        <v>4226</v>
      </c>
      <c r="C202" s="200" t="str">
        <f t="shared" si="1"/>
        <v>Car Care_10-15</v>
      </c>
      <c r="D202" s="18">
        <v>77.0</v>
      </c>
      <c r="E202" s="18">
        <v>28.0</v>
      </c>
      <c r="F202" s="5">
        <v>36.4</v>
      </c>
      <c r="G202" s="5">
        <v>224.0</v>
      </c>
      <c r="H202" s="5">
        <v>80.0</v>
      </c>
      <c r="I202" s="5">
        <v>35.7</v>
      </c>
      <c r="J202" s="5"/>
    </row>
    <row r="203">
      <c r="A203" s="5" t="s">
        <v>2417</v>
      </c>
      <c r="B203" s="201" t="s">
        <v>1413</v>
      </c>
      <c r="C203" s="200" t="str">
        <f t="shared" si="1"/>
        <v>Car Care_15-20</v>
      </c>
      <c r="D203" s="18">
        <v>226.0</v>
      </c>
      <c r="E203" s="18">
        <v>174.0</v>
      </c>
      <c r="F203" s="5">
        <v>77.0</v>
      </c>
      <c r="G203" s="5">
        <v>938.0</v>
      </c>
      <c r="H203" s="5">
        <v>523.0</v>
      </c>
      <c r="I203" s="5">
        <v>55.8</v>
      </c>
      <c r="J203" s="5"/>
    </row>
    <row r="204">
      <c r="A204" s="5" t="s">
        <v>2417</v>
      </c>
      <c r="B204" s="201" t="s">
        <v>1398</v>
      </c>
      <c r="C204" s="200" t="str">
        <f t="shared" si="1"/>
        <v>Car Care_20-25</v>
      </c>
      <c r="D204" s="18">
        <v>49.0</v>
      </c>
      <c r="E204" s="18">
        <v>39.0</v>
      </c>
      <c r="F204" s="5">
        <v>79.6</v>
      </c>
      <c r="G204" s="5">
        <v>154.0</v>
      </c>
      <c r="H204" s="5">
        <v>114.0</v>
      </c>
      <c r="I204" s="5">
        <v>74.0</v>
      </c>
      <c r="J204" s="5"/>
    </row>
    <row r="205">
      <c r="A205" s="5" t="s">
        <v>2417</v>
      </c>
      <c r="B205" s="201" t="s">
        <v>1400</v>
      </c>
      <c r="C205" s="200" t="str">
        <f t="shared" si="1"/>
        <v>Car Care_25+</v>
      </c>
      <c r="D205" s="18">
        <v>168.0</v>
      </c>
      <c r="E205" s="18">
        <v>131.0</v>
      </c>
      <c r="F205" s="5">
        <v>78.0</v>
      </c>
      <c r="G205" s="5">
        <v>600.0</v>
      </c>
      <c r="H205" s="5">
        <v>402.0</v>
      </c>
      <c r="I205" s="5">
        <v>67.0</v>
      </c>
      <c r="J205" s="5"/>
    </row>
    <row r="206">
      <c r="A206" s="5" t="s">
        <v>2417</v>
      </c>
      <c r="B206" s="201" t="s">
        <v>4227</v>
      </c>
      <c r="C206" s="200" t="str">
        <f t="shared" si="1"/>
        <v>Car Care_No Sales</v>
      </c>
      <c r="D206" s="18">
        <v>181.0</v>
      </c>
      <c r="E206" s="18">
        <v>179.0</v>
      </c>
      <c r="F206" s="5">
        <v>98.9</v>
      </c>
      <c r="G206" s="5">
        <v>661.0</v>
      </c>
      <c r="H206" s="5">
        <v>649.0</v>
      </c>
      <c r="I206" s="5">
        <v>98.2</v>
      </c>
      <c r="J206" s="5"/>
    </row>
    <row r="207">
      <c r="A207" s="5" t="s">
        <v>754</v>
      </c>
      <c r="B207" s="201" t="s">
        <v>1413</v>
      </c>
      <c r="C207" s="200" t="str">
        <f t="shared" si="1"/>
        <v>Card Games_15-20</v>
      </c>
      <c r="D207" s="18">
        <v>30.0</v>
      </c>
      <c r="E207" s="18">
        <v>4.0</v>
      </c>
      <c r="F207" s="5">
        <v>13.3</v>
      </c>
      <c r="G207" s="5">
        <v>185.0</v>
      </c>
      <c r="H207" s="5">
        <v>11.0</v>
      </c>
      <c r="I207" s="5">
        <v>5.9</v>
      </c>
      <c r="J207" s="5"/>
    </row>
    <row r="208">
      <c r="A208" s="5" t="s">
        <v>754</v>
      </c>
      <c r="B208" s="201" t="s">
        <v>1400</v>
      </c>
      <c r="C208" s="200" t="str">
        <f t="shared" si="1"/>
        <v>Card Games_25+</v>
      </c>
      <c r="D208" s="18">
        <v>43.0</v>
      </c>
      <c r="E208" s="18">
        <v>22.0</v>
      </c>
      <c r="F208" s="5">
        <v>51.2</v>
      </c>
      <c r="G208" s="5">
        <v>100.0</v>
      </c>
      <c r="H208" s="5">
        <v>27.0</v>
      </c>
      <c r="I208" s="5">
        <v>27.0</v>
      </c>
      <c r="J208" s="5"/>
    </row>
    <row r="209">
      <c r="A209" s="5" t="s">
        <v>754</v>
      </c>
      <c r="B209" s="201" t="s">
        <v>4227</v>
      </c>
      <c r="C209" s="200" t="str">
        <f t="shared" si="1"/>
        <v>Card Games_No Sales</v>
      </c>
      <c r="D209" s="18">
        <v>22.0</v>
      </c>
      <c r="E209" s="18">
        <v>5.0</v>
      </c>
      <c r="F209" s="5">
        <v>22.7</v>
      </c>
      <c r="G209" s="5">
        <v>64.0</v>
      </c>
      <c r="H209" s="5">
        <v>5.0</v>
      </c>
      <c r="I209" s="5">
        <v>7.8</v>
      </c>
      <c r="J209" s="5"/>
    </row>
    <row r="210">
      <c r="A210" s="5" t="s">
        <v>2837</v>
      </c>
      <c r="B210" s="201" t="s">
        <v>1400</v>
      </c>
      <c r="C210" s="200" t="str">
        <f t="shared" si="1"/>
        <v>Cat Accessories_25+</v>
      </c>
      <c r="D210" s="18">
        <v>22.0</v>
      </c>
      <c r="E210" s="18">
        <v>19.0</v>
      </c>
      <c r="F210" s="5">
        <v>86.4</v>
      </c>
      <c r="G210" s="5">
        <v>55.0</v>
      </c>
      <c r="H210" s="5">
        <v>52.0</v>
      </c>
      <c r="I210" s="5">
        <v>94.5</v>
      </c>
      <c r="J210" s="5"/>
    </row>
    <row r="211">
      <c r="A211" s="5" t="s">
        <v>2840</v>
      </c>
      <c r="B211" s="201" t="s">
        <v>4226</v>
      </c>
      <c r="C211" s="200" t="str">
        <f t="shared" si="1"/>
        <v>Cat Care_10-15</v>
      </c>
      <c r="D211" s="18">
        <v>36.0</v>
      </c>
      <c r="E211" s="18">
        <v>12.0</v>
      </c>
      <c r="F211" s="5">
        <v>33.3</v>
      </c>
      <c r="G211" s="5">
        <v>146.0</v>
      </c>
      <c r="H211" s="5">
        <v>32.0</v>
      </c>
      <c r="I211" s="5">
        <v>21.9</v>
      </c>
      <c r="J211" s="5"/>
    </row>
    <row r="212">
      <c r="A212" s="5" t="s">
        <v>2840</v>
      </c>
      <c r="B212" s="201" t="s">
        <v>1413</v>
      </c>
      <c r="C212" s="200" t="str">
        <f t="shared" si="1"/>
        <v>Cat Care_15-20</v>
      </c>
      <c r="D212" s="18">
        <v>5.0</v>
      </c>
      <c r="E212" s="18">
        <v>4.0</v>
      </c>
      <c r="F212" s="5">
        <v>80.0</v>
      </c>
      <c r="G212" s="5">
        <v>11.0</v>
      </c>
      <c r="H212" s="5">
        <v>9.0</v>
      </c>
      <c r="I212" s="5">
        <v>81.8</v>
      </c>
      <c r="J212" s="5"/>
    </row>
    <row r="213">
      <c r="A213" s="5" t="s">
        <v>2840</v>
      </c>
      <c r="B213" s="201" t="s">
        <v>1398</v>
      </c>
      <c r="C213" s="200" t="str">
        <f t="shared" si="1"/>
        <v>Cat Care_20-25</v>
      </c>
      <c r="D213" s="18">
        <v>155.0</v>
      </c>
      <c r="E213" s="18">
        <v>59.0</v>
      </c>
      <c r="F213" s="5">
        <v>38.1</v>
      </c>
      <c r="G213" s="5">
        <v>1963.0</v>
      </c>
      <c r="H213" s="5">
        <v>188.0</v>
      </c>
      <c r="I213" s="5">
        <v>9.6</v>
      </c>
      <c r="J213" s="5"/>
    </row>
    <row r="214">
      <c r="A214" s="5" t="s">
        <v>2840</v>
      </c>
      <c r="B214" s="201" t="s">
        <v>1400</v>
      </c>
      <c r="C214" s="200" t="str">
        <f t="shared" si="1"/>
        <v>Cat Care_25+</v>
      </c>
      <c r="D214" s="18">
        <v>176.0</v>
      </c>
      <c r="E214" s="18">
        <v>52.0</v>
      </c>
      <c r="F214" s="5">
        <v>29.5</v>
      </c>
      <c r="G214" s="5">
        <v>2108.0</v>
      </c>
      <c r="H214" s="5">
        <v>162.0</v>
      </c>
      <c r="I214" s="5">
        <v>7.7</v>
      </c>
      <c r="J214" s="5"/>
    </row>
    <row r="215">
      <c r="A215" s="5" t="s">
        <v>2840</v>
      </c>
      <c r="B215" s="201" t="s">
        <v>4227</v>
      </c>
      <c r="C215" s="200" t="str">
        <f t="shared" si="1"/>
        <v>Cat Care_No Sales</v>
      </c>
      <c r="D215" s="18">
        <v>2.0</v>
      </c>
      <c r="E215" s="18">
        <v>2.0</v>
      </c>
      <c r="F215" s="5">
        <v>100.0</v>
      </c>
      <c r="G215" s="5">
        <v>2.0</v>
      </c>
      <c r="H215" s="5">
        <v>2.0</v>
      </c>
      <c r="I215" s="5">
        <v>100.0</v>
      </c>
      <c r="J215" s="5"/>
    </row>
    <row r="216">
      <c r="A216" s="5" t="s">
        <v>2849</v>
      </c>
      <c r="B216" s="201" t="s">
        <v>1426</v>
      </c>
      <c r="C216" s="200" t="str">
        <f t="shared" si="1"/>
        <v>Cat Food_0-5</v>
      </c>
      <c r="D216" s="18">
        <v>708.0</v>
      </c>
      <c r="E216" s="18">
        <v>104.0</v>
      </c>
      <c r="F216" s="5">
        <v>14.7</v>
      </c>
      <c r="G216" s="5">
        <v>15179.0</v>
      </c>
      <c r="H216" s="5">
        <v>352.0</v>
      </c>
      <c r="I216" s="5">
        <v>2.3</v>
      </c>
      <c r="J216" s="5"/>
    </row>
    <row r="217">
      <c r="A217" s="5" t="s">
        <v>2849</v>
      </c>
      <c r="B217" s="201" t="s">
        <v>4228</v>
      </c>
      <c r="C217" s="200" t="str">
        <f t="shared" si="1"/>
        <v>Cat Food_5-10</v>
      </c>
      <c r="D217" s="18">
        <v>498.0</v>
      </c>
      <c r="E217" s="18">
        <v>104.0</v>
      </c>
      <c r="F217" s="5">
        <v>20.9</v>
      </c>
      <c r="G217" s="5">
        <v>9715.0</v>
      </c>
      <c r="H217" s="5">
        <v>301.0</v>
      </c>
      <c r="I217" s="5">
        <v>3.1</v>
      </c>
      <c r="J217" s="5"/>
    </row>
    <row r="218">
      <c r="A218" s="5" t="s">
        <v>2849</v>
      </c>
      <c r="B218" s="201" t="s">
        <v>4226</v>
      </c>
      <c r="C218" s="200" t="str">
        <f t="shared" si="1"/>
        <v>Cat Food_10-15</v>
      </c>
      <c r="D218" s="18">
        <v>310.0</v>
      </c>
      <c r="E218" s="18">
        <v>40.0</v>
      </c>
      <c r="F218" s="5">
        <v>12.9</v>
      </c>
      <c r="G218" s="5">
        <v>3790.0</v>
      </c>
      <c r="H218" s="5">
        <v>122.0</v>
      </c>
      <c r="I218" s="5">
        <v>3.2</v>
      </c>
      <c r="J218" s="5"/>
    </row>
    <row r="219">
      <c r="A219" s="5" t="s">
        <v>2849</v>
      </c>
      <c r="B219" s="201" t="s">
        <v>1413</v>
      </c>
      <c r="C219" s="200" t="str">
        <f t="shared" si="1"/>
        <v>Cat Food_15-20</v>
      </c>
      <c r="D219" s="18">
        <v>108.0</v>
      </c>
      <c r="E219" s="18">
        <v>23.0</v>
      </c>
      <c r="F219" s="5">
        <v>21.3</v>
      </c>
      <c r="G219" s="5">
        <v>739.0</v>
      </c>
      <c r="H219" s="5">
        <v>54.0</v>
      </c>
      <c r="I219" s="5">
        <v>7.3</v>
      </c>
      <c r="J219" s="5"/>
    </row>
    <row r="220">
      <c r="A220" s="5" t="s">
        <v>2849</v>
      </c>
      <c r="B220" s="201" t="s">
        <v>1398</v>
      </c>
      <c r="C220" s="200" t="str">
        <f t="shared" si="1"/>
        <v>Cat Food_20-25</v>
      </c>
      <c r="D220" s="18">
        <v>211.0</v>
      </c>
      <c r="E220" s="18">
        <v>60.0</v>
      </c>
      <c r="F220" s="5">
        <v>28.4</v>
      </c>
      <c r="G220" s="5">
        <v>2055.0</v>
      </c>
      <c r="H220" s="5">
        <v>146.0</v>
      </c>
      <c r="I220" s="5">
        <v>7.1</v>
      </c>
      <c r="J220" s="5"/>
    </row>
    <row r="221">
      <c r="A221" s="5" t="s">
        <v>2849</v>
      </c>
      <c r="B221" s="201" t="s">
        <v>1400</v>
      </c>
      <c r="C221" s="200" t="str">
        <f t="shared" si="1"/>
        <v>Cat Food_25+</v>
      </c>
      <c r="D221" s="18">
        <v>1157.0</v>
      </c>
      <c r="E221" s="18">
        <v>360.0</v>
      </c>
      <c r="F221" s="5">
        <v>31.1</v>
      </c>
      <c r="G221" s="5">
        <v>7815.0</v>
      </c>
      <c r="H221" s="5">
        <v>974.0</v>
      </c>
      <c r="I221" s="5">
        <v>12.5</v>
      </c>
      <c r="J221" s="5"/>
    </row>
    <row r="222">
      <c r="A222" s="5" t="s">
        <v>2849</v>
      </c>
      <c r="B222" s="201" t="s">
        <v>4227</v>
      </c>
      <c r="C222" s="200" t="str">
        <f t="shared" si="1"/>
        <v>Cat Food_No Sales</v>
      </c>
      <c r="D222" s="18">
        <v>73.0</v>
      </c>
      <c r="E222" s="18">
        <v>56.0</v>
      </c>
      <c r="F222" s="5">
        <v>76.7</v>
      </c>
      <c r="G222" s="5">
        <v>822.0</v>
      </c>
      <c r="H222" s="5">
        <v>805.0</v>
      </c>
      <c r="I222" s="5">
        <v>97.9</v>
      </c>
      <c r="J222" s="5"/>
    </row>
    <row r="223">
      <c r="A223" s="5" t="s">
        <v>220</v>
      </c>
      <c r="B223" s="201" t="s">
        <v>1426</v>
      </c>
      <c r="C223" s="200" t="str">
        <f t="shared" si="1"/>
        <v>Cereal &amp; Granola_0-5</v>
      </c>
      <c r="D223" s="18">
        <v>61.0</v>
      </c>
      <c r="E223" s="18">
        <v>2.0</v>
      </c>
      <c r="F223" s="5">
        <v>3.3</v>
      </c>
      <c r="G223" s="5">
        <v>1651.0</v>
      </c>
      <c r="H223" s="5">
        <v>5.0</v>
      </c>
      <c r="I223" s="5">
        <v>0.3</v>
      </c>
      <c r="J223" s="5"/>
    </row>
    <row r="224">
      <c r="A224" s="5" t="s">
        <v>220</v>
      </c>
      <c r="B224" s="201" t="s">
        <v>4228</v>
      </c>
      <c r="C224" s="200" t="str">
        <f t="shared" si="1"/>
        <v>Cereal &amp; Granola_5-10</v>
      </c>
      <c r="D224" s="18">
        <v>29.0</v>
      </c>
      <c r="E224" s="18">
        <v>1.0</v>
      </c>
      <c r="F224" s="5">
        <v>3.4</v>
      </c>
      <c r="G224" s="5">
        <v>578.0</v>
      </c>
      <c r="H224" s="5">
        <v>3.0</v>
      </c>
      <c r="I224" s="5">
        <v>0.5</v>
      </c>
      <c r="J224" s="5"/>
    </row>
    <row r="225">
      <c r="A225" s="5" t="s">
        <v>220</v>
      </c>
      <c r="B225" s="201" t="s">
        <v>4226</v>
      </c>
      <c r="C225" s="200" t="str">
        <f t="shared" si="1"/>
        <v>Cereal &amp; Granola_10-15</v>
      </c>
      <c r="D225" s="18">
        <v>43.0</v>
      </c>
      <c r="E225" s="18">
        <v>6.0</v>
      </c>
      <c r="F225" s="5">
        <v>14.0</v>
      </c>
      <c r="G225" s="5">
        <v>360.0</v>
      </c>
      <c r="H225" s="5">
        <v>11.0</v>
      </c>
      <c r="I225" s="5">
        <v>3.1</v>
      </c>
      <c r="J225" s="5"/>
    </row>
    <row r="226">
      <c r="A226" s="5" t="s">
        <v>220</v>
      </c>
      <c r="B226" s="201" t="s">
        <v>1413</v>
      </c>
      <c r="C226" s="200" t="str">
        <f t="shared" si="1"/>
        <v>Cereal &amp; Granola_15-20</v>
      </c>
      <c r="D226" s="18">
        <v>702.0</v>
      </c>
      <c r="E226" s="18">
        <v>76.0</v>
      </c>
      <c r="F226" s="5">
        <v>10.8</v>
      </c>
      <c r="G226" s="5">
        <v>11072.0</v>
      </c>
      <c r="H226" s="5">
        <v>211.0</v>
      </c>
      <c r="I226" s="5">
        <v>1.9</v>
      </c>
      <c r="J226" s="5"/>
    </row>
    <row r="227">
      <c r="A227" s="5" t="s">
        <v>220</v>
      </c>
      <c r="B227" s="201" t="s">
        <v>1398</v>
      </c>
      <c r="C227" s="200" t="str">
        <f t="shared" si="1"/>
        <v>Cereal &amp; Granola_20-25</v>
      </c>
      <c r="D227" s="18">
        <v>413.0</v>
      </c>
      <c r="E227" s="18">
        <v>52.0</v>
      </c>
      <c r="F227" s="5">
        <v>12.6</v>
      </c>
      <c r="G227" s="5">
        <v>5184.0</v>
      </c>
      <c r="H227" s="5">
        <v>166.0</v>
      </c>
      <c r="I227" s="5">
        <v>3.2</v>
      </c>
      <c r="J227" s="5"/>
    </row>
    <row r="228">
      <c r="A228" s="5" t="s">
        <v>220</v>
      </c>
      <c r="B228" s="201" t="s">
        <v>1400</v>
      </c>
      <c r="C228" s="200" t="str">
        <f t="shared" si="1"/>
        <v>Cereal &amp; Granola_25+</v>
      </c>
      <c r="D228" s="18">
        <v>969.0</v>
      </c>
      <c r="E228" s="18">
        <v>263.0</v>
      </c>
      <c r="F228" s="5">
        <v>27.1</v>
      </c>
      <c r="G228" s="5">
        <v>8546.0</v>
      </c>
      <c r="H228" s="5">
        <v>791.0</v>
      </c>
      <c r="I228" s="5">
        <v>9.3</v>
      </c>
      <c r="J228" s="5"/>
    </row>
    <row r="229">
      <c r="A229" s="5" t="s">
        <v>220</v>
      </c>
      <c r="B229" s="201" t="s">
        <v>4227</v>
      </c>
      <c r="C229" s="200" t="str">
        <f t="shared" si="1"/>
        <v>Cereal &amp; Granola_No Sales</v>
      </c>
      <c r="D229" s="18">
        <v>41.0</v>
      </c>
      <c r="E229" s="18">
        <v>11.0</v>
      </c>
      <c r="F229" s="5">
        <v>26.8</v>
      </c>
      <c r="G229" s="5">
        <v>3586.0</v>
      </c>
      <c r="H229" s="5">
        <v>42.0</v>
      </c>
      <c r="I229" s="5">
        <v>1.2</v>
      </c>
      <c r="J229" s="5"/>
    </row>
    <row r="230">
      <c r="A230" s="5" t="s">
        <v>214</v>
      </c>
      <c r="B230" s="201" t="s">
        <v>1426</v>
      </c>
      <c r="C230" s="200" t="str">
        <f t="shared" si="1"/>
        <v>Cereal Bars_0-5</v>
      </c>
      <c r="D230" s="18">
        <v>6.0</v>
      </c>
      <c r="E230" s="18">
        <v>3.0</v>
      </c>
      <c r="F230" s="5">
        <v>50.0</v>
      </c>
      <c r="G230" s="5">
        <v>34.0</v>
      </c>
      <c r="H230" s="5">
        <v>6.0</v>
      </c>
      <c r="I230" s="5">
        <v>17.6</v>
      </c>
      <c r="J230" s="5"/>
    </row>
    <row r="231">
      <c r="A231" s="5" t="s">
        <v>214</v>
      </c>
      <c r="B231" s="201" t="s">
        <v>4228</v>
      </c>
      <c r="C231" s="200" t="str">
        <f t="shared" si="1"/>
        <v>Cereal Bars_5-10</v>
      </c>
      <c r="D231" s="18">
        <v>29.0</v>
      </c>
      <c r="E231" s="18">
        <v>0.0</v>
      </c>
      <c r="F231" s="5">
        <v>0.0</v>
      </c>
      <c r="G231" s="5">
        <v>494.0</v>
      </c>
      <c r="H231" s="5">
        <v>0.0</v>
      </c>
      <c r="I231" s="5">
        <v>0.0</v>
      </c>
      <c r="J231" s="5"/>
    </row>
    <row r="232">
      <c r="A232" s="5" t="s">
        <v>214</v>
      </c>
      <c r="B232" s="201" t="s">
        <v>4226</v>
      </c>
      <c r="C232" s="200" t="str">
        <f t="shared" si="1"/>
        <v>Cereal Bars_10-15</v>
      </c>
      <c r="D232" s="18">
        <v>8.0</v>
      </c>
      <c r="E232" s="18">
        <v>3.0</v>
      </c>
      <c r="F232" s="5">
        <v>37.5</v>
      </c>
      <c r="G232" s="5">
        <v>39.0</v>
      </c>
      <c r="H232" s="5">
        <v>9.0</v>
      </c>
      <c r="I232" s="5">
        <v>23.1</v>
      </c>
      <c r="J232" s="5"/>
    </row>
    <row r="233">
      <c r="A233" s="5" t="s">
        <v>214</v>
      </c>
      <c r="B233" s="201" t="s">
        <v>1413</v>
      </c>
      <c r="C233" s="200" t="str">
        <f t="shared" si="1"/>
        <v>Cereal Bars_15-20</v>
      </c>
      <c r="D233" s="18">
        <v>291.0</v>
      </c>
      <c r="E233" s="18">
        <v>34.0</v>
      </c>
      <c r="F233" s="5">
        <v>11.7</v>
      </c>
      <c r="G233" s="5">
        <v>3993.0</v>
      </c>
      <c r="H233" s="5">
        <v>104.0</v>
      </c>
      <c r="I233" s="5">
        <v>2.6</v>
      </c>
      <c r="J233" s="5"/>
    </row>
    <row r="234">
      <c r="A234" s="5" t="s">
        <v>214</v>
      </c>
      <c r="B234" s="201" t="s">
        <v>1398</v>
      </c>
      <c r="C234" s="200" t="str">
        <f t="shared" si="1"/>
        <v>Cereal Bars_20-25</v>
      </c>
      <c r="D234" s="18">
        <v>60.0</v>
      </c>
      <c r="E234" s="18">
        <v>7.0</v>
      </c>
      <c r="F234" s="5">
        <v>11.7</v>
      </c>
      <c r="G234" s="5">
        <v>1945.0</v>
      </c>
      <c r="H234" s="5">
        <v>20.0</v>
      </c>
      <c r="I234" s="5">
        <v>1.0</v>
      </c>
      <c r="J234" s="5"/>
    </row>
    <row r="235">
      <c r="A235" s="5" t="s">
        <v>214</v>
      </c>
      <c r="B235" s="201" t="s">
        <v>1400</v>
      </c>
      <c r="C235" s="200" t="str">
        <f t="shared" si="1"/>
        <v>Cereal Bars_25+</v>
      </c>
      <c r="D235" s="18">
        <v>60.0</v>
      </c>
      <c r="E235" s="18">
        <v>5.0</v>
      </c>
      <c r="F235" s="5">
        <v>8.3</v>
      </c>
      <c r="G235" s="5">
        <v>604.0</v>
      </c>
      <c r="H235" s="5">
        <v>17.0</v>
      </c>
      <c r="I235" s="5">
        <v>2.8</v>
      </c>
      <c r="J235" s="5"/>
    </row>
    <row r="236">
      <c r="A236" s="5" t="s">
        <v>214</v>
      </c>
      <c r="B236" s="201" t="s">
        <v>4227</v>
      </c>
      <c r="C236" s="200" t="str">
        <f t="shared" si="1"/>
        <v>Cereal Bars_No Sales</v>
      </c>
      <c r="D236" s="18">
        <v>5.0</v>
      </c>
      <c r="E236" s="18">
        <v>2.0</v>
      </c>
      <c r="F236" s="5">
        <v>40.0</v>
      </c>
      <c r="G236" s="5">
        <v>29.0</v>
      </c>
      <c r="H236" s="5">
        <v>7.0</v>
      </c>
      <c r="I236" s="5">
        <v>24.1</v>
      </c>
      <c r="J236" s="5"/>
    </row>
    <row r="237">
      <c r="A237" s="5" t="s">
        <v>2368</v>
      </c>
      <c r="B237" s="201" t="s">
        <v>4228</v>
      </c>
      <c r="C237" s="200" t="str">
        <f t="shared" si="1"/>
        <v>Cereals, Oats &amp; Muesli_5-10</v>
      </c>
      <c r="D237" s="18">
        <v>1.0</v>
      </c>
      <c r="E237" s="18">
        <v>0.0</v>
      </c>
      <c r="F237" s="5">
        <v>0.0</v>
      </c>
      <c r="G237" s="5">
        <v>1.0</v>
      </c>
      <c r="H237" s="5">
        <v>0.0</v>
      </c>
      <c r="I237" s="5">
        <v>0.0</v>
      </c>
      <c r="J237" s="5"/>
    </row>
    <row r="238">
      <c r="A238" s="5" t="s">
        <v>2368</v>
      </c>
      <c r="B238" s="201" t="s">
        <v>4226</v>
      </c>
      <c r="C238" s="200" t="str">
        <f t="shared" si="1"/>
        <v>Cereals, Oats &amp; Muesli_10-15</v>
      </c>
      <c r="D238" s="18">
        <v>1.0</v>
      </c>
      <c r="E238" s="18">
        <v>1.0</v>
      </c>
      <c r="F238" s="5">
        <v>100.0</v>
      </c>
      <c r="G238" s="5">
        <v>2.0</v>
      </c>
      <c r="H238" s="5">
        <v>2.0</v>
      </c>
      <c r="I238" s="5">
        <v>100.0</v>
      </c>
      <c r="J238" s="5"/>
    </row>
    <row r="239">
      <c r="A239" s="5" t="s">
        <v>2724</v>
      </c>
      <c r="B239" s="201" t="s">
        <v>4227</v>
      </c>
      <c r="C239" s="200" t="str">
        <f t="shared" si="1"/>
        <v>Chargers_No Sales</v>
      </c>
      <c r="D239" s="18">
        <v>2.0</v>
      </c>
      <c r="E239" s="18">
        <v>2.0</v>
      </c>
      <c r="F239" s="5">
        <v>100.0</v>
      </c>
      <c r="G239" s="5">
        <v>3.0</v>
      </c>
      <c r="H239" s="5">
        <v>3.0</v>
      </c>
      <c r="I239" s="5">
        <v>100.0</v>
      </c>
      <c r="J239" s="5"/>
    </row>
    <row r="240">
      <c r="A240" s="5" t="s">
        <v>2034</v>
      </c>
      <c r="B240" s="201" t="s">
        <v>4228</v>
      </c>
      <c r="C240" s="200" t="str">
        <f t="shared" si="1"/>
        <v>Cheese_5-10</v>
      </c>
      <c r="D240" s="18">
        <v>2.0</v>
      </c>
      <c r="E240" s="18">
        <v>2.0</v>
      </c>
      <c r="F240" s="5">
        <v>100.0</v>
      </c>
      <c r="G240" s="5">
        <v>6.0</v>
      </c>
      <c r="H240" s="5">
        <v>6.0</v>
      </c>
      <c r="I240" s="5">
        <v>100.0</v>
      </c>
      <c r="J240" s="5"/>
    </row>
    <row r="241">
      <c r="A241" s="5" t="s">
        <v>2034</v>
      </c>
      <c r="B241" s="201" t="s">
        <v>4226</v>
      </c>
      <c r="C241" s="200" t="str">
        <f t="shared" si="1"/>
        <v>Cheese_10-15</v>
      </c>
      <c r="D241" s="18">
        <v>109.0</v>
      </c>
      <c r="E241" s="18">
        <v>3.0</v>
      </c>
      <c r="F241" s="5">
        <v>2.8</v>
      </c>
      <c r="G241" s="5">
        <v>2222.0</v>
      </c>
      <c r="H241" s="5">
        <v>5.0</v>
      </c>
      <c r="I241" s="5">
        <v>0.2</v>
      </c>
      <c r="J241" s="5"/>
    </row>
    <row r="242">
      <c r="A242" s="5" t="s">
        <v>2034</v>
      </c>
      <c r="B242" s="201" t="s">
        <v>1413</v>
      </c>
      <c r="C242" s="200" t="str">
        <f t="shared" si="1"/>
        <v>Cheese_15-20</v>
      </c>
      <c r="D242" s="18">
        <v>110.0</v>
      </c>
      <c r="E242" s="18">
        <v>9.0</v>
      </c>
      <c r="F242" s="5">
        <v>8.2</v>
      </c>
      <c r="G242" s="5">
        <v>894.0</v>
      </c>
      <c r="H242" s="5">
        <v>29.0</v>
      </c>
      <c r="I242" s="5">
        <v>3.2</v>
      </c>
      <c r="J242" s="5"/>
    </row>
    <row r="243">
      <c r="A243" s="5" t="s">
        <v>2034</v>
      </c>
      <c r="B243" s="201" t="s">
        <v>1398</v>
      </c>
      <c r="C243" s="200" t="str">
        <f t="shared" si="1"/>
        <v>Cheese_20-25</v>
      </c>
      <c r="D243" s="18">
        <v>8.0</v>
      </c>
      <c r="E243" s="18">
        <v>1.0</v>
      </c>
      <c r="F243" s="5">
        <v>12.5</v>
      </c>
      <c r="G243" s="5">
        <v>8.0</v>
      </c>
      <c r="H243" s="5">
        <v>1.0</v>
      </c>
      <c r="I243" s="5">
        <v>12.5</v>
      </c>
      <c r="J243" s="5"/>
    </row>
    <row r="244">
      <c r="A244" s="5" t="s">
        <v>2034</v>
      </c>
      <c r="B244" s="201" t="s">
        <v>1400</v>
      </c>
      <c r="C244" s="200" t="str">
        <f t="shared" si="1"/>
        <v>Cheese_25+</v>
      </c>
      <c r="D244" s="18">
        <v>187.0</v>
      </c>
      <c r="E244" s="18">
        <v>38.0</v>
      </c>
      <c r="F244" s="5">
        <v>20.3</v>
      </c>
      <c r="G244" s="5">
        <v>1006.0</v>
      </c>
      <c r="H244" s="5">
        <v>122.0</v>
      </c>
      <c r="I244" s="5">
        <v>12.1</v>
      </c>
      <c r="J244" s="5"/>
    </row>
    <row r="245">
      <c r="A245" s="5" t="s">
        <v>364</v>
      </c>
      <c r="B245" s="201" t="s">
        <v>4228</v>
      </c>
      <c r="C245" s="200" t="str">
        <f t="shared" si="1"/>
        <v>Chicken_5-10</v>
      </c>
      <c r="D245" s="18">
        <v>28.0</v>
      </c>
      <c r="E245" s="18">
        <v>1.0</v>
      </c>
      <c r="F245" s="5">
        <v>3.6</v>
      </c>
      <c r="G245" s="5">
        <v>184.0</v>
      </c>
      <c r="H245" s="5">
        <v>2.0</v>
      </c>
      <c r="I245" s="5">
        <v>1.1</v>
      </c>
      <c r="J245" s="5"/>
    </row>
    <row r="246">
      <c r="A246" s="5" t="s">
        <v>364</v>
      </c>
      <c r="B246" s="201" t="s">
        <v>4226</v>
      </c>
      <c r="C246" s="200" t="str">
        <f t="shared" si="1"/>
        <v>Chicken_10-15</v>
      </c>
      <c r="D246" s="18">
        <v>92.0</v>
      </c>
      <c r="E246" s="18">
        <v>26.0</v>
      </c>
      <c r="F246" s="5">
        <v>28.3</v>
      </c>
      <c r="G246" s="5">
        <v>497.0</v>
      </c>
      <c r="H246" s="5">
        <v>104.0</v>
      </c>
      <c r="I246" s="5">
        <v>20.9</v>
      </c>
      <c r="J246" s="5"/>
    </row>
    <row r="247">
      <c r="A247" s="5" t="s">
        <v>364</v>
      </c>
      <c r="B247" s="201" t="s">
        <v>1413</v>
      </c>
      <c r="C247" s="200" t="str">
        <f t="shared" si="1"/>
        <v>Chicken_15-20</v>
      </c>
      <c r="D247" s="18">
        <v>227.0</v>
      </c>
      <c r="E247" s="18">
        <v>12.0</v>
      </c>
      <c r="F247" s="5">
        <v>5.3</v>
      </c>
      <c r="G247" s="5">
        <v>2792.0</v>
      </c>
      <c r="H247" s="5">
        <v>20.0</v>
      </c>
      <c r="I247" s="5">
        <v>0.7</v>
      </c>
      <c r="J247" s="5"/>
    </row>
    <row r="248">
      <c r="A248" s="5" t="s">
        <v>364</v>
      </c>
      <c r="B248" s="201" t="s">
        <v>1398</v>
      </c>
      <c r="C248" s="200" t="str">
        <f t="shared" si="1"/>
        <v>Chicken_20-25</v>
      </c>
      <c r="D248" s="18">
        <v>156.0</v>
      </c>
      <c r="E248" s="18">
        <v>5.0</v>
      </c>
      <c r="F248" s="5">
        <v>3.2</v>
      </c>
      <c r="G248" s="5">
        <v>1273.0</v>
      </c>
      <c r="H248" s="5">
        <v>8.0</v>
      </c>
      <c r="I248" s="5">
        <v>0.6</v>
      </c>
      <c r="J248" s="5"/>
    </row>
    <row r="249">
      <c r="A249" s="5" t="s">
        <v>364</v>
      </c>
      <c r="B249" s="201" t="s">
        <v>1400</v>
      </c>
      <c r="C249" s="200" t="str">
        <f t="shared" si="1"/>
        <v>Chicken_25+</v>
      </c>
      <c r="D249" s="18">
        <v>157.0</v>
      </c>
      <c r="E249" s="18">
        <v>26.0</v>
      </c>
      <c r="F249" s="5">
        <v>16.6</v>
      </c>
      <c r="G249" s="5">
        <v>948.0</v>
      </c>
      <c r="H249" s="5">
        <v>32.0</v>
      </c>
      <c r="I249" s="5">
        <v>3.4</v>
      </c>
      <c r="J249" s="5"/>
    </row>
    <row r="250">
      <c r="A250" s="5" t="s">
        <v>364</v>
      </c>
      <c r="B250" s="201" t="s">
        <v>4227</v>
      </c>
      <c r="C250" s="200" t="str">
        <f t="shared" si="1"/>
        <v>Chicken_No Sales</v>
      </c>
      <c r="D250" s="18">
        <v>240.0</v>
      </c>
      <c r="E250" s="18">
        <v>0.0</v>
      </c>
      <c r="F250" s="5">
        <v>0.0</v>
      </c>
      <c r="G250" s="5">
        <v>240.0</v>
      </c>
      <c r="H250" s="5">
        <v>0.0</v>
      </c>
      <c r="I250" s="5">
        <v>0.0</v>
      </c>
      <c r="J250" s="5"/>
    </row>
    <row r="251">
      <c r="A251" s="5" t="s">
        <v>394</v>
      </c>
      <c r="B251" s="201" t="s">
        <v>4226</v>
      </c>
      <c r="C251" s="200" t="str">
        <f t="shared" si="1"/>
        <v>Chicken &amp; Meat_10-15</v>
      </c>
      <c r="D251" s="18">
        <v>151.0</v>
      </c>
      <c r="E251" s="18">
        <v>5.0</v>
      </c>
      <c r="F251" s="5">
        <v>3.3</v>
      </c>
      <c r="G251" s="5">
        <v>2046.0</v>
      </c>
      <c r="H251" s="5">
        <v>12.0</v>
      </c>
      <c r="I251" s="5">
        <v>0.6</v>
      </c>
      <c r="J251" s="5"/>
    </row>
    <row r="252">
      <c r="A252" s="5" t="s">
        <v>394</v>
      </c>
      <c r="B252" s="201" t="s">
        <v>1413</v>
      </c>
      <c r="C252" s="200" t="str">
        <f t="shared" si="1"/>
        <v>Chicken &amp; Meat_15-20</v>
      </c>
      <c r="D252" s="18">
        <v>72.0</v>
      </c>
      <c r="E252" s="18">
        <v>11.0</v>
      </c>
      <c r="F252" s="5">
        <v>15.3</v>
      </c>
      <c r="G252" s="5">
        <v>505.0</v>
      </c>
      <c r="H252" s="5">
        <v>28.0</v>
      </c>
      <c r="I252" s="5">
        <v>5.5</v>
      </c>
      <c r="J252" s="5"/>
    </row>
    <row r="253">
      <c r="A253" s="5" t="s">
        <v>394</v>
      </c>
      <c r="B253" s="201" t="s">
        <v>1398</v>
      </c>
      <c r="C253" s="200" t="str">
        <f t="shared" si="1"/>
        <v>Chicken &amp; Meat_20-25</v>
      </c>
      <c r="D253" s="18">
        <v>146.0</v>
      </c>
      <c r="E253" s="18">
        <v>8.0</v>
      </c>
      <c r="F253" s="5">
        <v>5.5</v>
      </c>
      <c r="G253" s="5">
        <v>2955.0</v>
      </c>
      <c r="H253" s="5">
        <v>35.0</v>
      </c>
      <c r="I253" s="5">
        <v>1.2</v>
      </c>
      <c r="J253" s="5"/>
    </row>
    <row r="254">
      <c r="A254" s="5" t="s">
        <v>394</v>
      </c>
      <c r="B254" s="201" t="s">
        <v>1400</v>
      </c>
      <c r="C254" s="200" t="str">
        <f t="shared" si="1"/>
        <v>Chicken &amp; Meat_25+</v>
      </c>
      <c r="D254" s="18">
        <v>282.0</v>
      </c>
      <c r="E254" s="18">
        <v>81.0</v>
      </c>
      <c r="F254" s="5">
        <v>28.7</v>
      </c>
      <c r="G254" s="5">
        <v>1885.0</v>
      </c>
      <c r="H254" s="5">
        <v>219.0</v>
      </c>
      <c r="I254" s="5">
        <v>11.6</v>
      </c>
      <c r="J254" s="5"/>
    </row>
    <row r="255">
      <c r="A255" s="5" t="s">
        <v>394</v>
      </c>
      <c r="B255" s="201" t="s">
        <v>4227</v>
      </c>
      <c r="C255" s="200" t="str">
        <f t="shared" si="1"/>
        <v>Chicken &amp; Meat_No Sales</v>
      </c>
      <c r="D255" s="18">
        <v>68.0</v>
      </c>
      <c r="E255" s="18">
        <v>4.0</v>
      </c>
      <c r="F255" s="5">
        <v>5.9</v>
      </c>
      <c r="G255" s="5">
        <v>1137.0</v>
      </c>
      <c r="H255" s="5">
        <v>5.0</v>
      </c>
      <c r="I255" s="5">
        <v>0.4</v>
      </c>
      <c r="J255" s="5"/>
    </row>
    <row r="256">
      <c r="A256" s="5" t="s">
        <v>640</v>
      </c>
      <c r="B256" s="201" t="s">
        <v>1426</v>
      </c>
      <c r="C256" s="200" t="str">
        <f t="shared" si="1"/>
        <v>Chips &amp; Dips_0-5</v>
      </c>
      <c r="D256" s="18">
        <v>1802.0</v>
      </c>
      <c r="E256" s="18">
        <v>66.0</v>
      </c>
      <c r="F256" s="5">
        <v>3.7</v>
      </c>
      <c r="G256" s="5">
        <v>111561.0</v>
      </c>
      <c r="H256" s="5">
        <v>525.0</v>
      </c>
      <c r="I256" s="5">
        <v>0.5</v>
      </c>
      <c r="J256" s="5"/>
    </row>
    <row r="257">
      <c r="A257" s="5" t="s">
        <v>640</v>
      </c>
      <c r="B257" s="201" t="s">
        <v>4228</v>
      </c>
      <c r="C257" s="200" t="str">
        <f t="shared" si="1"/>
        <v>Chips &amp; Dips_5-10</v>
      </c>
      <c r="D257" s="18">
        <v>1184.0</v>
      </c>
      <c r="E257" s="18">
        <v>53.0</v>
      </c>
      <c r="F257" s="5">
        <v>4.5</v>
      </c>
      <c r="G257" s="5">
        <v>31403.0</v>
      </c>
      <c r="H257" s="5">
        <v>274.0</v>
      </c>
      <c r="I257" s="5">
        <v>0.9</v>
      </c>
      <c r="J257" s="5"/>
    </row>
    <row r="258">
      <c r="A258" s="5" t="s">
        <v>640</v>
      </c>
      <c r="B258" s="201" t="s">
        <v>4226</v>
      </c>
      <c r="C258" s="200" t="str">
        <f t="shared" si="1"/>
        <v>Chips &amp; Dips_10-15</v>
      </c>
      <c r="D258" s="18">
        <v>1107.0</v>
      </c>
      <c r="E258" s="18">
        <v>130.0</v>
      </c>
      <c r="F258" s="5">
        <v>11.7</v>
      </c>
      <c r="G258" s="5">
        <v>19787.0</v>
      </c>
      <c r="H258" s="5">
        <v>862.0</v>
      </c>
      <c r="I258" s="5">
        <v>4.4</v>
      </c>
      <c r="J258" s="5"/>
    </row>
    <row r="259">
      <c r="A259" s="5" t="s">
        <v>640</v>
      </c>
      <c r="B259" s="201" t="s">
        <v>1413</v>
      </c>
      <c r="C259" s="200" t="str">
        <f t="shared" si="1"/>
        <v>Chips &amp; Dips_15-20</v>
      </c>
      <c r="D259" s="18">
        <v>782.0</v>
      </c>
      <c r="E259" s="18">
        <v>97.0</v>
      </c>
      <c r="F259" s="5">
        <v>12.4</v>
      </c>
      <c r="G259" s="5">
        <v>10637.0</v>
      </c>
      <c r="H259" s="5">
        <v>296.0</v>
      </c>
      <c r="I259" s="5">
        <v>2.8</v>
      </c>
      <c r="J259" s="5"/>
    </row>
    <row r="260">
      <c r="A260" s="5" t="s">
        <v>640</v>
      </c>
      <c r="B260" s="201" t="s">
        <v>1398</v>
      </c>
      <c r="C260" s="200" t="str">
        <f t="shared" si="1"/>
        <v>Chips &amp; Dips_20-25</v>
      </c>
      <c r="D260" s="18">
        <v>395.0</v>
      </c>
      <c r="E260" s="18">
        <v>47.0</v>
      </c>
      <c r="F260" s="5">
        <v>11.9</v>
      </c>
      <c r="G260" s="5">
        <v>6788.0</v>
      </c>
      <c r="H260" s="5">
        <v>133.0</v>
      </c>
      <c r="I260" s="5">
        <v>2.0</v>
      </c>
      <c r="J260" s="5"/>
    </row>
    <row r="261">
      <c r="A261" s="5" t="s">
        <v>640</v>
      </c>
      <c r="B261" s="201" t="s">
        <v>1400</v>
      </c>
      <c r="C261" s="200" t="str">
        <f t="shared" si="1"/>
        <v>Chips &amp; Dips_25+</v>
      </c>
      <c r="D261" s="18">
        <v>389.0</v>
      </c>
      <c r="E261" s="18">
        <v>97.0</v>
      </c>
      <c r="F261" s="5">
        <v>24.9</v>
      </c>
      <c r="G261" s="5">
        <v>2263.0</v>
      </c>
      <c r="H261" s="5">
        <v>278.0</v>
      </c>
      <c r="I261" s="5">
        <v>12.3</v>
      </c>
      <c r="J261" s="5"/>
    </row>
    <row r="262">
      <c r="A262" s="5" t="s">
        <v>640</v>
      </c>
      <c r="B262" s="201" t="s">
        <v>4227</v>
      </c>
      <c r="C262" s="200" t="str">
        <f t="shared" si="1"/>
        <v>Chips &amp; Dips_No Sales</v>
      </c>
      <c r="D262" s="18">
        <v>8.0</v>
      </c>
      <c r="E262" s="18">
        <v>3.0</v>
      </c>
      <c r="F262" s="5">
        <v>37.5</v>
      </c>
      <c r="G262" s="5">
        <v>321.0</v>
      </c>
      <c r="H262" s="5">
        <v>5.0</v>
      </c>
      <c r="I262" s="5">
        <v>1.6</v>
      </c>
      <c r="J262" s="5"/>
    </row>
    <row r="263">
      <c r="A263" s="5" t="s">
        <v>659</v>
      </c>
      <c r="B263" s="201" t="s">
        <v>1426</v>
      </c>
      <c r="C263" s="200" t="str">
        <f t="shared" si="1"/>
        <v>Chocolate Bars &amp; Bags_0-5</v>
      </c>
      <c r="D263" s="18">
        <v>1193.0</v>
      </c>
      <c r="E263" s="18">
        <v>21.0</v>
      </c>
      <c r="F263" s="5">
        <v>1.8</v>
      </c>
      <c r="G263" s="5">
        <v>66908.0</v>
      </c>
      <c r="H263" s="5">
        <v>774.0</v>
      </c>
      <c r="I263" s="5">
        <v>1.2</v>
      </c>
      <c r="J263" s="5"/>
    </row>
    <row r="264">
      <c r="A264" s="5" t="s">
        <v>659</v>
      </c>
      <c r="B264" s="201" t="s">
        <v>4228</v>
      </c>
      <c r="C264" s="200" t="str">
        <f t="shared" si="1"/>
        <v>Chocolate Bars &amp; Bags_5-10</v>
      </c>
      <c r="D264" s="18">
        <v>767.0</v>
      </c>
      <c r="E264" s="18">
        <v>62.0</v>
      </c>
      <c r="F264" s="5">
        <v>8.1</v>
      </c>
      <c r="G264" s="5">
        <v>21061.0</v>
      </c>
      <c r="H264" s="5">
        <v>432.0</v>
      </c>
      <c r="I264" s="5">
        <v>2.1</v>
      </c>
      <c r="J264" s="5"/>
    </row>
    <row r="265">
      <c r="A265" s="5" t="s">
        <v>659</v>
      </c>
      <c r="B265" s="201" t="s">
        <v>4226</v>
      </c>
      <c r="C265" s="200" t="str">
        <f t="shared" si="1"/>
        <v>Chocolate Bars &amp; Bags_10-15</v>
      </c>
      <c r="D265" s="18">
        <v>709.0</v>
      </c>
      <c r="E265" s="18">
        <v>94.0</v>
      </c>
      <c r="F265" s="5">
        <v>13.3</v>
      </c>
      <c r="G265" s="5">
        <v>7570.0</v>
      </c>
      <c r="H265" s="5">
        <v>330.0</v>
      </c>
      <c r="I265" s="5">
        <v>4.4</v>
      </c>
      <c r="J265" s="5"/>
    </row>
    <row r="266">
      <c r="A266" s="5" t="s">
        <v>659</v>
      </c>
      <c r="B266" s="201" t="s">
        <v>1413</v>
      </c>
      <c r="C266" s="200" t="str">
        <f t="shared" si="1"/>
        <v>Chocolate Bars &amp; Bags_15-20</v>
      </c>
      <c r="D266" s="18">
        <v>834.0</v>
      </c>
      <c r="E266" s="18">
        <v>98.0</v>
      </c>
      <c r="F266" s="5">
        <v>11.8</v>
      </c>
      <c r="G266" s="5">
        <v>22939.0</v>
      </c>
      <c r="H266" s="5">
        <v>331.0</v>
      </c>
      <c r="I266" s="5">
        <v>1.4</v>
      </c>
      <c r="J266" s="5"/>
    </row>
    <row r="267">
      <c r="A267" s="5" t="s">
        <v>659</v>
      </c>
      <c r="B267" s="201" t="s">
        <v>1398</v>
      </c>
      <c r="C267" s="200" t="str">
        <f t="shared" si="1"/>
        <v>Chocolate Bars &amp; Bags_20-25</v>
      </c>
      <c r="D267" s="18">
        <v>411.0</v>
      </c>
      <c r="E267" s="18">
        <v>97.0</v>
      </c>
      <c r="F267" s="5">
        <v>23.6</v>
      </c>
      <c r="G267" s="5">
        <v>3163.0</v>
      </c>
      <c r="H267" s="5">
        <v>609.0</v>
      </c>
      <c r="I267" s="5">
        <v>19.3</v>
      </c>
      <c r="J267" s="5"/>
    </row>
    <row r="268">
      <c r="A268" s="5" t="s">
        <v>659</v>
      </c>
      <c r="B268" s="201" t="s">
        <v>1400</v>
      </c>
      <c r="C268" s="200" t="str">
        <f t="shared" si="1"/>
        <v>Chocolate Bars &amp; Bags_25+</v>
      </c>
      <c r="D268" s="18">
        <v>765.0</v>
      </c>
      <c r="E268" s="18">
        <v>369.0</v>
      </c>
      <c r="F268" s="5">
        <v>48.2</v>
      </c>
      <c r="G268" s="5">
        <v>4875.0</v>
      </c>
      <c r="H268" s="5">
        <v>1108.0</v>
      </c>
      <c r="I268" s="5">
        <v>22.7</v>
      </c>
      <c r="J268" s="5"/>
    </row>
    <row r="269">
      <c r="A269" s="5" t="s">
        <v>659</v>
      </c>
      <c r="B269" s="201" t="s">
        <v>4227</v>
      </c>
      <c r="C269" s="200" t="str">
        <f t="shared" si="1"/>
        <v>Chocolate Bars &amp; Bags_No Sales</v>
      </c>
      <c r="D269" s="18">
        <v>982.0</v>
      </c>
      <c r="E269" s="18">
        <v>743.0</v>
      </c>
      <c r="F269" s="5">
        <v>75.7</v>
      </c>
      <c r="G269" s="5">
        <v>3454.0</v>
      </c>
      <c r="H269" s="5">
        <v>1905.0</v>
      </c>
      <c r="I269" s="5">
        <v>55.2</v>
      </c>
      <c r="J269" s="5"/>
    </row>
    <row r="270">
      <c r="A270" s="5" t="s">
        <v>1501</v>
      </c>
      <c r="B270" s="201" t="s">
        <v>4228</v>
      </c>
      <c r="C270" s="200" t="str">
        <f t="shared" si="1"/>
        <v>Christmas_5-10</v>
      </c>
      <c r="D270" s="18">
        <v>116.0</v>
      </c>
      <c r="E270" s="18">
        <v>0.0</v>
      </c>
      <c r="F270" s="5">
        <v>0.0</v>
      </c>
      <c r="G270" s="5">
        <v>340.0</v>
      </c>
      <c r="H270" s="5">
        <v>0.0</v>
      </c>
      <c r="I270" s="5">
        <v>0.0</v>
      </c>
      <c r="J270" s="5"/>
    </row>
    <row r="271">
      <c r="A271" s="5" t="s">
        <v>1501</v>
      </c>
      <c r="B271" s="201" t="s">
        <v>4226</v>
      </c>
      <c r="C271" s="200" t="str">
        <f t="shared" si="1"/>
        <v>Christmas_10-15</v>
      </c>
      <c r="D271" s="18">
        <v>151.0</v>
      </c>
      <c r="E271" s="18">
        <v>0.0</v>
      </c>
      <c r="F271" s="5">
        <v>0.0</v>
      </c>
      <c r="G271" s="5">
        <v>358.0</v>
      </c>
      <c r="H271" s="5">
        <v>0.0</v>
      </c>
      <c r="I271" s="5">
        <v>0.0</v>
      </c>
      <c r="J271" s="5"/>
    </row>
    <row r="272">
      <c r="A272" s="5" t="s">
        <v>1501</v>
      </c>
      <c r="B272" s="201" t="s">
        <v>1398</v>
      </c>
      <c r="C272" s="200" t="str">
        <f t="shared" si="1"/>
        <v>Christmas_20-25</v>
      </c>
      <c r="D272" s="18">
        <v>26.0</v>
      </c>
      <c r="E272" s="18">
        <v>0.0</v>
      </c>
      <c r="F272" s="5">
        <v>0.0</v>
      </c>
      <c r="G272" s="5">
        <v>89.0</v>
      </c>
      <c r="H272" s="5">
        <v>0.0</v>
      </c>
      <c r="I272" s="5">
        <v>0.0</v>
      </c>
      <c r="J272" s="5"/>
    </row>
    <row r="273">
      <c r="A273" s="5" t="s">
        <v>1501</v>
      </c>
      <c r="B273" s="201" t="s">
        <v>1400</v>
      </c>
      <c r="C273" s="200" t="str">
        <f t="shared" si="1"/>
        <v>Christmas_25+</v>
      </c>
      <c r="D273" s="18">
        <v>185.0</v>
      </c>
      <c r="E273" s="18">
        <v>0.0</v>
      </c>
      <c r="F273" s="5">
        <v>0.0</v>
      </c>
      <c r="G273" s="5">
        <v>522.0</v>
      </c>
      <c r="H273" s="5">
        <v>0.0</v>
      </c>
      <c r="I273" s="5">
        <v>0.0</v>
      </c>
      <c r="J273" s="5"/>
    </row>
    <row r="274">
      <c r="A274" s="5" t="s">
        <v>1501</v>
      </c>
      <c r="B274" s="201" t="s">
        <v>4227</v>
      </c>
      <c r="C274" s="200" t="str">
        <f t="shared" si="1"/>
        <v>Christmas_No Sales</v>
      </c>
      <c r="D274" s="18">
        <v>26.0</v>
      </c>
      <c r="E274" s="18">
        <v>0.0</v>
      </c>
      <c r="F274" s="5">
        <v>0.0</v>
      </c>
      <c r="G274" s="5">
        <v>78.0</v>
      </c>
      <c r="H274" s="5">
        <v>0.0</v>
      </c>
      <c r="I274" s="5">
        <v>0.0</v>
      </c>
      <c r="J274" s="5"/>
    </row>
    <row r="275">
      <c r="A275" s="5" t="s">
        <v>1870</v>
      </c>
      <c r="B275" s="201" t="s">
        <v>1426</v>
      </c>
      <c r="C275" s="200" t="str">
        <f t="shared" si="1"/>
        <v>Cleaning Materials_0-5</v>
      </c>
      <c r="D275" s="18">
        <v>59.0</v>
      </c>
      <c r="E275" s="18">
        <v>3.0</v>
      </c>
      <c r="F275" s="5">
        <v>5.1</v>
      </c>
      <c r="G275" s="5">
        <v>411.0</v>
      </c>
      <c r="H275" s="5">
        <v>9.0</v>
      </c>
      <c r="I275" s="5">
        <v>2.2</v>
      </c>
      <c r="J275" s="5"/>
    </row>
    <row r="276">
      <c r="A276" s="5" t="s">
        <v>1870</v>
      </c>
      <c r="B276" s="201" t="s">
        <v>4228</v>
      </c>
      <c r="C276" s="200" t="str">
        <f t="shared" si="1"/>
        <v>Cleaning Materials_5-10</v>
      </c>
      <c r="D276" s="18">
        <v>324.0</v>
      </c>
      <c r="E276" s="18">
        <v>53.0</v>
      </c>
      <c r="F276" s="5">
        <v>16.4</v>
      </c>
      <c r="G276" s="5">
        <v>2230.0</v>
      </c>
      <c r="H276" s="5">
        <v>164.0</v>
      </c>
      <c r="I276" s="5">
        <v>7.4</v>
      </c>
      <c r="J276" s="5"/>
    </row>
    <row r="277">
      <c r="A277" s="5" t="s">
        <v>1870</v>
      </c>
      <c r="B277" s="201" t="s">
        <v>4226</v>
      </c>
      <c r="C277" s="200" t="str">
        <f t="shared" si="1"/>
        <v>Cleaning Materials_10-15</v>
      </c>
      <c r="D277" s="18">
        <v>304.0</v>
      </c>
      <c r="E277" s="18">
        <v>74.0</v>
      </c>
      <c r="F277" s="5">
        <v>24.3</v>
      </c>
      <c r="G277" s="5">
        <v>3158.0</v>
      </c>
      <c r="H277" s="5">
        <v>226.0</v>
      </c>
      <c r="I277" s="5">
        <v>7.2</v>
      </c>
      <c r="J277" s="5"/>
    </row>
    <row r="278">
      <c r="A278" s="5" t="s">
        <v>1870</v>
      </c>
      <c r="B278" s="201" t="s">
        <v>1413</v>
      </c>
      <c r="C278" s="200" t="str">
        <f t="shared" si="1"/>
        <v>Cleaning Materials_15-20</v>
      </c>
      <c r="D278" s="18">
        <v>260.0</v>
      </c>
      <c r="E278" s="18">
        <v>81.0</v>
      </c>
      <c r="F278" s="5">
        <v>31.2</v>
      </c>
      <c r="G278" s="5">
        <v>1966.0</v>
      </c>
      <c r="H278" s="5">
        <v>240.0</v>
      </c>
      <c r="I278" s="5">
        <v>12.2</v>
      </c>
      <c r="J278" s="5"/>
    </row>
    <row r="279">
      <c r="A279" s="5" t="s">
        <v>1870</v>
      </c>
      <c r="B279" s="201" t="s">
        <v>1398</v>
      </c>
      <c r="C279" s="200" t="str">
        <f t="shared" si="1"/>
        <v>Cleaning Materials_20-25</v>
      </c>
      <c r="D279" s="18">
        <v>105.0</v>
      </c>
      <c r="E279" s="18">
        <v>36.0</v>
      </c>
      <c r="F279" s="5">
        <v>34.3</v>
      </c>
      <c r="G279" s="5">
        <v>421.0</v>
      </c>
      <c r="H279" s="5">
        <v>96.0</v>
      </c>
      <c r="I279" s="5">
        <v>22.8</v>
      </c>
      <c r="J279" s="5"/>
    </row>
    <row r="280">
      <c r="A280" s="5" t="s">
        <v>1870</v>
      </c>
      <c r="B280" s="201" t="s">
        <v>1400</v>
      </c>
      <c r="C280" s="200" t="str">
        <f t="shared" si="1"/>
        <v>Cleaning Materials_25+</v>
      </c>
      <c r="D280" s="18">
        <v>545.0</v>
      </c>
      <c r="E280" s="18">
        <v>149.0</v>
      </c>
      <c r="F280" s="5">
        <v>27.3</v>
      </c>
      <c r="G280" s="5">
        <v>2890.0</v>
      </c>
      <c r="H280" s="5">
        <v>423.0</v>
      </c>
      <c r="I280" s="5">
        <v>14.6</v>
      </c>
      <c r="J280" s="5"/>
    </row>
    <row r="281">
      <c r="A281" s="5" t="s">
        <v>1870</v>
      </c>
      <c r="B281" s="201" t="s">
        <v>4227</v>
      </c>
      <c r="C281" s="200" t="str">
        <f t="shared" si="1"/>
        <v>Cleaning Materials_No Sales</v>
      </c>
      <c r="D281" s="18">
        <v>11.0</v>
      </c>
      <c r="E281" s="18">
        <v>11.0</v>
      </c>
      <c r="F281" s="5">
        <v>100.0</v>
      </c>
      <c r="G281" s="5">
        <v>55.0</v>
      </c>
      <c r="H281" s="5">
        <v>55.0</v>
      </c>
      <c r="I281" s="5">
        <v>100.0</v>
      </c>
      <c r="J281" s="5"/>
    </row>
    <row r="282">
      <c r="A282" s="5" t="s">
        <v>2046</v>
      </c>
      <c r="B282" s="201" t="s">
        <v>4228</v>
      </c>
      <c r="C282" s="200" t="str">
        <f t="shared" si="1"/>
        <v>Cold Cuts_5-10</v>
      </c>
      <c r="D282" s="18">
        <v>75.0</v>
      </c>
      <c r="E282" s="18">
        <v>0.0</v>
      </c>
      <c r="F282" s="5">
        <v>0.0</v>
      </c>
      <c r="G282" s="5">
        <v>1862.0</v>
      </c>
      <c r="H282" s="5">
        <v>0.0</v>
      </c>
      <c r="I282" s="5">
        <v>0.0</v>
      </c>
      <c r="J282" s="5"/>
    </row>
    <row r="283">
      <c r="A283" s="5" t="s">
        <v>2046</v>
      </c>
      <c r="B283" s="201" t="s">
        <v>4226</v>
      </c>
      <c r="C283" s="200" t="str">
        <f t="shared" si="1"/>
        <v>Cold Cuts_10-15</v>
      </c>
      <c r="D283" s="18">
        <v>233.0</v>
      </c>
      <c r="E283" s="18">
        <v>11.0</v>
      </c>
      <c r="F283" s="5">
        <v>4.7</v>
      </c>
      <c r="G283" s="5">
        <v>10904.0</v>
      </c>
      <c r="H283" s="5">
        <v>28.0</v>
      </c>
      <c r="I283" s="5">
        <v>0.3</v>
      </c>
      <c r="J283" s="5"/>
    </row>
    <row r="284">
      <c r="A284" s="5" t="s">
        <v>2046</v>
      </c>
      <c r="B284" s="201" t="s">
        <v>1413</v>
      </c>
      <c r="C284" s="200" t="str">
        <f t="shared" si="1"/>
        <v>Cold Cuts_15-20</v>
      </c>
      <c r="D284" s="18">
        <v>242.0</v>
      </c>
      <c r="E284" s="18">
        <v>23.0</v>
      </c>
      <c r="F284" s="5">
        <v>9.5</v>
      </c>
      <c r="G284" s="5">
        <v>5318.0</v>
      </c>
      <c r="H284" s="5">
        <v>71.0</v>
      </c>
      <c r="I284" s="5">
        <v>1.3</v>
      </c>
      <c r="J284" s="5"/>
    </row>
    <row r="285">
      <c r="A285" s="5" t="s">
        <v>2046</v>
      </c>
      <c r="B285" s="201" t="s">
        <v>1398</v>
      </c>
      <c r="C285" s="200" t="str">
        <f t="shared" si="1"/>
        <v>Cold Cuts_20-25</v>
      </c>
      <c r="D285" s="18">
        <v>329.0</v>
      </c>
      <c r="E285" s="18">
        <v>36.0</v>
      </c>
      <c r="F285" s="5">
        <v>10.9</v>
      </c>
      <c r="G285" s="5">
        <v>4600.0</v>
      </c>
      <c r="H285" s="5">
        <v>134.0</v>
      </c>
      <c r="I285" s="5">
        <v>2.9</v>
      </c>
      <c r="J285" s="5"/>
    </row>
    <row r="286">
      <c r="A286" s="5" t="s">
        <v>2046</v>
      </c>
      <c r="B286" s="201" t="s">
        <v>1400</v>
      </c>
      <c r="C286" s="200" t="str">
        <f t="shared" si="1"/>
        <v>Cold Cuts_25+</v>
      </c>
      <c r="D286" s="18">
        <v>118.0</v>
      </c>
      <c r="E286" s="18">
        <v>15.0</v>
      </c>
      <c r="F286" s="5">
        <v>12.7</v>
      </c>
      <c r="G286" s="5">
        <v>884.0</v>
      </c>
      <c r="H286" s="5">
        <v>51.0</v>
      </c>
      <c r="I286" s="5">
        <v>5.8</v>
      </c>
      <c r="J286" s="5"/>
    </row>
    <row r="287">
      <c r="A287" s="5" t="s">
        <v>2159</v>
      </c>
      <c r="B287" s="201" t="s">
        <v>1413</v>
      </c>
      <c r="C287" s="200" t="str">
        <f t="shared" si="1"/>
        <v>Cold Cuts &amp; Meat Snacks_15-20</v>
      </c>
      <c r="D287" s="18">
        <v>3.0</v>
      </c>
      <c r="E287" s="18">
        <v>1.0</v>
      </c>
      <c r="F287" s="5">
        <v>33.3</v>
      </c>
      <c r="G287" s="5">
        <v>9.0</v>
      </c>
      <c r="H287" s="5">
        <v>3.0</v>
      </c>
      <c r="I287" s="5">
        <v>33.3</v>
      </c>
      <c r="J287" s="5"/>
    </row>
    <row r="288">
      <c r="A288" s="5" t="s">
        <v>75</v>
      </c>
      <c r="B288" s="201" t="s">
        <v>4228</v>
      </c>
      <c r="C288" s="200" t="str">
        <f t="shared" si="1"/>
        <v>Condoms_5-10</v>
      </c>
      <c r="D288" s="18">
        <v>62.0</v>
      </c>
      <c r="E288" s="18">
        <v>25.0</v>
      </c>
      <c r="F288" s="5">
        <v>40.3</v>
      </c>
      <c r="G288" s="5">
        <v>367.0</v>
      </c>
      <c r="H288" s="5">
        <v>74.0</v>
      </c>
      <c r="I288" s="5">
        <v>20.2</v>
      </c>
      <c r="J288" s="5"/>
    </row>
    <row r="289">
      <c r="A289" s="5" t="s">
        <v>75</v>
      </c>
      <c r="B289" s="201" t="s">
        <v>4226</v>
      </c>
      <c r="C289" s="200" t="str">
        <f t="shared" si="1"/>
        <v>Condoms_10-15</v>
      </c>
      <c r="D289" s="18">
        <v>30.0</v>
      </c>
      <c r="E289" s="18">
        <v>1.0</v>
      </c>
      <c r="F289" s="5">
        <v>3.3</v>
      </c>
      <c r="G289" s="5">
        <v>163.0</v>
      </c>
      <c r="H289" s="5">
        <v>3.0</v>
      </c>
      <c r="I289" s="5">
        <v>1.8</v>
      </c>
      <c r="J289" s="5"/>
    </row>
    <row r="290">
      <c r="A290" s="5" t="s">
        <v>75</v>
      </c>
      <c r="B290" s="201" t="s">
        <v>1413</v>
      </c>
      <c r="C290" s="200" t="str">
        <f t="shared" si="1"/>
        <v>Condoms_15-20</v>
      </c>
      <c r="D290" s="18">
        <v>82.0</v>
      </c>
      <c r="E290" s="18">
        <v>21.0</v>
      </c>
      <c r="F290" s="5">
        <v>25.6</v>
      </c>
      <c r="G290" s="5">
        <v>960.0</v>
      </c>
      <c r="H290" s="5">
        <v>96.0</v>
      </c>
      <c r="I290" s="5">
        <v>10.0</v>
      </c>
      <c r="J290" s="5"/>
    </row>
    <row r="291">
      <c r="A291" s="5" t="s">
        <v>75</v>
      </c>
      <c r="B291" s="201" t="s">
        <v>1398</v>
      </c>
      <c r="C291" s="200" t="str">
        <f t="shared" si="1"/>
        <v>Condoms_20-25</v>
      </c>
      <c r="D291" s="18">
        <v>20.0</v>
      </c>
      <c r="E291" s="18">
        <v>8.0</v>
      </c>
      <c r="F291" s="5">
        <v>40.0</v>
      </c>
      <c r="G291" s="5">
        <v>59.0</v>
      </c>
      <c r="H291" s="5">
        <v>27.0</v>
      </c>
      <c r="I291" s="5">
        <v>45.8</v>
      </c>
      <c r="J291" s="5"/>
    </row>
    <row r="292">
      <c r="A292" s="5" t="s">
        <v>75</v>
      </c>
      <c r="B292" s="201" t="s">
        <v>1400</v>
      </c>
      <c r="C292" s="200" t="str">
        <f t="shared" si="1"/>
        <v>Condoms_25+</v>
      </c>
      <c r="D292" s="18">
        <v>428.0</v>
      </c>
      <c r="E292" s="18">
        <v>56.0</v>
      </c>
      <c r="F292" s="5">
        <v>13.1</v>
      </c>
      <c r="G292" s="5">
        <v>3767.0</v>
      </c>
      <c r="H292" s="5">
        <v>192.0</v>
      </c>
      <c r="I292" s="5">
        <v>5.1</v>
      </c>
      <c r="J292" s="5"/>
    </row>
    <row r="293">
      <c r="A293" s="5" t="s">
        <v>75</v>
      </c>
      <c r="B293" s="201" t="s">
        <v>4227</v>
      </c>
      <c r="C293" s="200" t="str">
        <f t="shared" si="1"/>
        <v>Condoms_No Sales</v>
      </c>
      <c r="D293" s="18">
        <v>13.0</v>
      </c>
      <c r="E293" s="18">
        <v>1.0</v>
      </c>
      <c r="F293" s="5">
        <v>7.7</v>
      </c>
      <c r="G293" s="5">
        <v>521.0</v>
      </c>
      <c r="H293" s="5">
        <v>1.0</v>
      </c>
      <c r="I293" s="5">
        <v>0.2</v>
      </c>
      <c r="J293" s="5"/>
    </row>
    <row r="294">
      <c r="A294" s="5" t="s">
        <v>2297</v>
      </c>
      <c r="B294" s="201" t="s">
        <v>4227</v>
      </c>
      <c r="C294" s="200" t="str">
        <f t="shared" si="1"/>
        <v>Consoles_No Sales</v>
      </c>
      <c r="D294" s="18">
        <v>1.0</v>
      </c>
      <c r="E294" s="18">
        <v>1.0</v>
      </c>
      <c r="F294" s="5">
        <v>100.0</v>
      </c>
      <c r="G294" s="5">
        <v>2.0</v>
      </c>
      <c r="H294" s="5">
        <v>2.0</v>
      </c>
      <c r="I294" s="5">
        <v>100.0</v>
      </c>
      <c r="J294" s="5"/>
    </row>
    <row r="295">
      <c r="A295" s="5" t="s">
        <v>2300</v>
      </c>
      <c r="B295" s="201" t="s">
        <v>4227</v>
      </c>
      <c r="C295" s="200" t="str">
        <f t="shared" si="1"/>
        <v>Controllers_No Sales</v>
      </c>
      <c r="D295" s="18">
        <v>13.0</v>
      </c>
      <c r="E295" s="18">
        <v>13.0</v>
      </c>
      <c r="F295" s="5">
        <v>100.0</v>
      </c>
      <c r="G295" s="5">
        <v>31.0</v>
      </c>
      <c r="H295" s="5">
        <v>31.0</v>
      </c>
      <c r="I295" s="5">
        <v>100.0</v>
      </c>
      <c r="J295" s="5"/>
    </row>
    <row r="296">
      <c r="A296" s="5" t="s">
        <v>915</v>
      </c>
      <c r="B296" s="201" t="s">
        <v>1426</v>
      </c>
      <c r="C296" s="200" t="str">
        <f t="shared" si="1"/>
        <v>Cooking Mixes_0-5</v>
      </c>
      <c r="D296" s="18">
        <v>90.0</v>
      </c>
      <c r="E296" s="18">
        <v>45.0</v>
      </c>
      <c r="F296" s="5">
        <v>50.0</v>
      </c>
      <c r="G296" s="5">
        <v>688.0</v>
      </c>
      <c r="H296" s="5">
        <v>175.0</v>
      </c>
      <c r="I296" s="5">
        <v>25.4</v>
      </c>
      <c r="J296" s="5"/>
    </row>
    <row r="297">
      <c r="A297" s="5" t="s">
        <v>915</v>
      </c>
      <c r="B297" s="201" t="s">
        <v>4228</v>
      </c>
      <c r="C297" s="200" t="str">
        <f t="shared" si="1"/>
        <v>Cooking Mixes_5-10</v>
      </c>
      <c r="D297" s="18">
        <v>357.0</v>
      </c>
      <c r="E297" s="18">
        <v>169.0</v>
      </c>
      <c r="F297" s="5">
        <v>47.3</v>
      </c>
      <c r="G297" s="5">
        <v>2531.0</v>
      </c>
      <c r="H297" s="5">
        <v>596.0</v>
      </c>
      <c r="I297" s="5">
        <v>23.5</v>
      </c>
      <c r="J297" s="5"/>
    </row>
    <row r="298">
      <c r="A298" s="5" t="s">
        <v>915</v>
      </c>
      <c r="B298" s="201" t="s">
        <v>4226</v>
      </c>
      <c r="C298" s="200" t="str">
        <f t="shared" si="1"/>
        <v>Cooking Mixes_10-15</v>
      </c>
      <c r="D298" s="18">
        <v>30.0</v>
      </c>
      <c r="E298" s="18">
        <v>4.0</v>
      </c>
      <c r="F298" s="5">
        <v>13.3</v>
      </c>
      <c r="G298" s="5">
        <v>271.0</v>
      </c>
      <c r="H298" s="5">
        <v>21.0</v>
      </c>
      <c r="I298" s="5">
        <v>7.7</v>
      </c>
      <c r="J298" s="5"/>
    </row>
    <row r="299">
      <c r="A299" s="5" t="s">
        <v>915</v>
      </c>
      <c r="B299" s="201" t="s">
        <v>1398</v>
      </c>
      <c r="C299" s="200" t="str">
        <f t="shared" si="1"/>
        <v>Cooking Mixes_20-25</v>
      </c>
      <c r="D299" s="18">
        <v>57.0</v>
      </c>
      <c r="E299" s="18">
        <v>27.0</v>
      </c>
      <c r="F299" s="5">
        <v>47.4</v>
      </c>
      <c r="G299" s="5">
        <v>255.0</v>
      </c>
      <c r="H299" s="5">
        <v>101.0</v>
      </c>
      <c r="I299" s="5">
        <v>39.6</v>
      </c>
      <c r="J299" s="5"/>
    </row>
    <row r="300">
      <c r="A300" s="5" t="s">
        <v>915</v>
      </c>
      <c r="B300" s="201" t="s">
        <v>1400</v>
      </c>
      <c r="C300" s="200" t="str">
        <f t="shared" si="1"/>
        <v>Cooking Mixes_25+</v>
      </c>
      <c r="D300" s="18">
        <v>42.0</v>
      </c>
      <c r="E300" s="18">
        <v>30.0</v>
      </c>
      <c r="F300" s="5">
        <v>71.4</v>
      </c>
      <c r="G300" s="5">
        <v>162.0</v>
      </c>
      <c r="H300" s="5">
        <v>94.0</v>
      </c>
      <c r="I300" s="5">
        <v>58.0</v>
      </c>
      <c r="J300" s="5"/>
    </row>
    <row r="301">
      <c r="A301" s="5" t="s">
        <v>915</v>
      </c>
      <c r="B301" s="201" t="s">
        <v>4227</v>
      </c>
      <c r="C301" s="200" t="str">
        <f t="shared" si="1"/>
        <v>Cooking Mixes_No Sales</v>
      </c>
      <c r="D301" s="18">
        <v>43.0</v>
      </c>
      <c r="E301" s="18">
        <v>41.0</v>
      </c>
      <c r="F301" s="5">
        <v>95.3</v>
      </c>
      <c r="G301" s="5">
        <v>173.0</v>
      </c>
      <c r="H301" s="5">
        <v>168.0</v>
      </c>
      <c r="I301" s="5">
        <v>97.1</v>
      </c>
      <c r="J301" s="5"/>
    </row>
    <row r="302">
      <c r="A302" s="5" t="s">
        <v>569</v>
      </c>
      <c r="B302" s="201" t="s">
        <v>1426</v>
      </c>
      <c r="C302" s="200" t="str">
        <f t="shared" si="1"/>
        <v>Cookware_0-5</v>
      </c>
      <c r="D302" s="18">
        <v>3.0</v>
      </c>
      <c r="E302" s="18">
        <v>2.0</v>
      </c>
      <c r="F302" s="5">
        <v>66.7</v>
      </c>
      <c r="G302" s="5">
        <v>56.0</v>
      </c>
      <c r="H302" s="5">
        <v>15.0</v>
      </c>
      <c r="I302" s="5">
        <v>26.8</v>
      </c>
      <c r="J302" s="5"/>
    </row>
    <row r="303">
      <c r="A303" s="5" t="s">
        <v>569</v>
      </c>
      <c r="B303" s="201" t="s">
        <v>4228</v>
      </c>
      <c r="C303" s="200" t="str">
        <f t="shared" si="1"/>
        <v>Cookware_5-10</v>
      </c>
      <c r="D303" s="18">
        <v>130.0</v>
      </c>
      <c r="E303" s="18">
        <v>48.0</v>
      </c>
      <c r="F303" s="5">
        <v>36.9</v>
      </c>
      <c r="G303" s="5">
        <v>638.0</v>
      </c>
      <c r="H303" s="5">
        <v>157.0</v>
      </c>
      <c r="I303" s="5">
        <v>24.6</v>
      </c>
      <c r="J303" s="5"/>
    </row>
    <row r="304">
      <c r="A304" s="5" t="s">
        <v>569</v>
      </c>
      <c r="B304" s="201" t="s">
        <v>4226</v>
      </c>
      <c r="C304" s="200" t="str">
        <f t="shared" si="1"/>
        <v>Cookware_10-15</v>
      </c>
      <c r="D304" s="18">
        <v>112.0</v>
      </c>
      <c r="E304" s="18">
        <v>24.0</v>
      </c>
      <c r="F304" s="5">
        <v>21.4</v>
      </c>
      <c r="G304" s="5">
        <v>472.0</v>
      </c>
      <c r="H304" s="5">
        <v>86.0</v>
      </c>
      <c r="I304" s="5">
        <v>18.2</v>
      </c>
      <c r="J304" s="5"/>
    </row>
    <row r="305">
      <c r="A305" s="5" t="s">
        <v>569</v>
      </c>
      <c r="B305" s="201" t="s">
        <v>1413</v>
      </c>
      <c r="C305" s="200" t="str">
        <f t="shared" si="1"/>
        <v>Cookware_15-20</v>
      </c>
      <c r="D305" s="18">
        <v>72.0</v>
      </c>
      <c r="E305" s="18">
        <v>18.0</v>
      </c>
      <c r="F305" s="5">
        <v>25.0</v>
      </c>
      <c r="G305" s="5">
        <v>483.0</v>
      </c>
      <c r="H305" s="5">
        <v>57.0</v>
      </c>
      <c r="I305" s="5">
        <v>11.8</v>
      </c>
      <c r="J305" s="5"/>
    </row>
    <row r="306">
      <c r="A306" s="5" t="s">
        <v>569</v>
      </c>
      <c r="B306" s="201" t="s">
        <v>1398</v>
      </c>
      <c r="C306" s="200" t="str">
        <f t="shared" si="1"/>
        <v>Cookware_20-25</v>
      </c>
      <c r="D306" s="18">
        <v>30.0</v>
      </c>
      <c r="E306" s="18">
        <v>13.0</v>
      </c>
      <c r="F306" s="5">
        <v>43.3</v>
      </c>
      <c r="G306" s="5">
        <v>113.0</v>
      </c>
      <c r="H306" s="5">
        <v>41.0</v>
      </c>
      <c r="I306" s="5">
        <v>36.3</v>
      </c>
      <c r="J306" s="5"/>
    </row>
    <row r="307">
      <c r="A307" s="5" t="s">
        <v>569</v>
      </c>
      <c r="B307" s="201" t="s">
        <v>1400</v>
      </c>
      <c r="C307" s="200" t="str">
        <f t="shared" si="1"/>
        <v>Cookware_25+</v>
      </c>
      <c r="D307" s="18">
        <v>6.0</v>
      </c>
      <c r="E307" s="18">
        <v>6.0</v>
      </c>
      <c r="F307" s="5">
        <v>100.0</v>
      </c>
      <c r="G307" s="5">
        <v>15.0</v>
      </c>
      <c r="H307" s="5">
        <v>15.0</v>
      </c>
      <c r="I307" s="5">
        <v>100.0</v>
      </c>
      <c r="J307" s="5"/>
    </row>
    <row r="308">
      <c r="A308" s="5" t="s">
        <v>569</v>
      </c>
      <c r="B308" s="201" t="s">
        <v>4227</v>
      </c>
      <c r="C308" s="200" t="str">
        <f t="shared" si="1"/>
        <v>Cookware_No Sales</v>
      </c>
      <c r="D308" s="18">
        <v>14.0</v>
      </c>
      <c r="E308" s="18">
        <v>14.0</v>
      </c>
      <c r="F308" s="5">
        <v>100.0</v>
      </c>
      <c r="G308" s="5">
        <v>18.0</v>
      </c>
      <c r="H308" s="5">
        <v>18.0</v>
      </c>
      <c r="I308" s="5">
        <v>100.0</v>
      </c>
      <c r="J308" s="5"/>
    </row>
    <row r="309">
      <c r="A309" s="5" t="s">
        <v>1036</v>
      </c>
      <c r="B309" s="201" t="s">
        <v>4228</v>
      </c>
      <c r="C309" s="200" t="str">
        <f t="shared" si="1"/>
        <v>Cosmetics_5-10</v>
      </c>
      <c r="D309" s="18">
        <v>35.0</v>
      </c>
      <c r="E309" s="18">
        <v>2.0</v>
      </c>
      <c r="F309" s="5">
        <v>5.7</v>
      </c>
      <c r="G309" s="5">
        <v>1912.0</v>
      </c>
      <c r="H309" s="5">
        <v>4.0</v>
      </c>
      <c r="I309" s="5">
        <v>0.2</v>
      </c>
      <c r="J309" s="5"/>
    </row>
    <row r="310">
      <c r="A310" s="5" t="s">
        <v>1036</v>
      </c>
      <c r="B310" s="201" t="s">
        <v>4226</v>
      </c>
      <c r="C310" s="200" t="str">
        <f t="shared" si="1"/>
        <v>Cosmetics_10-15</v>
      </c>
      <c r="D310" s="18">
        <v>74.0</v>
      </c>
      <c r="E310" s="18">
        <v>11.0</v>
      </c>
      <c r="F310" s="5">
        <v>14.9</v>
      </c>
      <c r="G310" s="5">
        <v>3652.0</v>
      </c>
      <c r="H310" s="5">
        <v>20.0</v>
      </c>
      <c r="I310" s="5">
        <v>0.5</v>
      </c>
      <c r="J310" s="5"/>
    </row>
    <row r="311">
      <c r="A311" s="5" t="s">
        <v>1036</v>
      </c>
      <c r="B311" s="201" t="s">
        <v>1413</v>
      </c>
      <c r="C311" s="200" t="str">
        <f t="shared" si="1"/>
        <v>Cosmetics_15-20</v>
      </c>
      <c r="D311" s="18">
        <v>86.0</v>
      </c>
      <c r="E311" s="18">
        <v>4.0</v>
      </c>
      <c r="F311" s="5">
        <v>4.7</v>
      </c>
      <c r="G311" s="5">
        <v>847.0</v>
      </c>
      <c r="H311" s="5">
        <v>13.0</v>
      </c>
      <c r="I311" s="5">
        <v>1.5</v>
      </c>
      <c r="J311" s="5"/>
    </row>
    <row r="312">
      <c r="A312" s="5" t="s">
        <v>1036</v>
      </c>
      <c r="B312" s="201" t="s">
        <v>1398</v>
      </c>
      <c r="C312" s="200" t="str">
        <f t="shared" si="1"/>
        <v>Cosmetics_20-25</v>
      </c>
      <c r="D312" s="18">
        <v>69.0</v>
      </c>
      <c r="E312" s="18">
        <v>9.0</v>
      </c>
      <c r="F312" s="5">
        <v>13.0</v>
      </c>
      <c r="G312" s="5">
        <v>935.0</v>
      </c>
      <c r="H312" s="5">
        <v>21.0</v>
      </c>
      <c r="I312" s="5">
        <v>2.2</v>
      </c>
      <c r="J312" s="5"/>
    </row>
    <row r="313">
      <c r="A313" s="5" t="s">
        <v>1036</v>
      </c>
      <c r="B313" s="201" t="s">
        <v>1400</v>
      </c>
      <c r="C313" s="200" t="str">
        <f t="shared" si="1"/>
        <v>Cosmetics_25+</v>
      </c>
      <c r="D313" s="18">
        <v>72.0</v>
      </c>
      <c r="E313" s="18">
        <v>32.0</v>
      </c>
      <c r="F313" s="5">
        <v>44.4</v>
      </c>
      <c r="G313" s="5">
        <v>299.0</v>
      </c>
      <c r="H313" s="5">
        <v>93.0</v>
      </c>
      <c r="I313" s="5">
        <v>31.1</v>
      </c>
      <c r="J313" s="5"/>
    </row>
    <row r="314">
      <c r="A314" s="5" t="s">
        <v>1036</v>
      </c>
      <c r="B314" s="201" t="s">
        <v>4227</v>
      </c>
      <c r="C314" s="200" t="str">
        <f t="shared" si="1"/>
        <v>Cosmetics_No Sales</v>
      </c>
      <c r="D314" s="18">
        <v>7.0</v>
      </c>
      <c r="E314" s="18">
        <v>6.0</v>
      </c>
      <c r="F314" s="5">
        <v>85.7</v>
      </c>
      <c r="G314" s="5">
        <v>9.0</v>
      </c>
      <c r="H314" s="5">
        <v>8.0</v>
      </c>
      <c r="I314" s="5">
        <v>88.9</v>
      </c>
      <c r="J314" s="5"/>
    </row>
    <row r="315">
      <c r="A315" s="5" t="s">
        <v>2727</v>
      </c>
      <c r="B315" s="201" t="s">
        <v>1400</v>
      </c>
      <c r="C315" s="200" t="str">
        <f t="shared" si="1"/>
        <v>Covers &amp; Screen Protectors_25+</v>
      </c>
      <c r="D315" s="18">
        <v>28.0</v>
      </c>
      <c r="E315" s="18">
        <v>26.0</v>
      </c>
      <c r="F315" s="5">
        <v>92.9</v>
      </c>
      <c r="G315" s="5">
        <v>75.0</v>
      </c>
      <c r="H315" s="5">
        <v>70.0</v>
      </c>
      <c r="I315" s="5">
        <v>93.3</v>
      </c>
      <c r="J315" s="5"/>
    </row>
    <row r="316">
      <c r="A316" s="5" t="s">
        <v>2727</v>
      </c>
      <c r="B316" s="201" t="s">
        <v>4227</v>
      </c>
      <c r="C316" s="200" t="str">
        <f t="shared" si="1"/>
        <v>Covers &amp; Screen Protectors_No Sales</v>
      </c>
      <c r="D316" s="18">
        <v>112.0</v>
      </c>
      <c r="E316" s="18">
        <v>112.0</v>
      </c>
      <c r="F316" s="5">
        <v>100.0</v>
      </c>
      <c r="G316" s="5">
        <v>305.0</v>
      </c>
      <c r="H316" s="5">
        <v>305.0</v>
      </c>
      <c r="I316" s="5">
        <v>100.0</v>
      </c>
      <c r="J316" s="5"/>
    </row>
    <row r="317">
      <c r="A317" s="5" t="s">
        <v>2989</v>
      </c>
      <c r="B317" s="201" t="s">
        <v>1426</v>
      </c>
      <c r="C317" s="200" t="str">
        <f t="shared" si="1"/>
        <v>Crackers &amp; Pretzels_0-5</v>
      </c>
      <c r="D317" s="18">
        <v>125.0</v>
      </c>
      <c r="E317" s="18">
        <v>2.0</v>
      </c>
      <c r="F317" s="5">
        <v>1.6</v>
      </c>
      <c r="G317" s="5">
        <v>11726.0</v>
      </c>
      <c r="H317" s="5">
        <v>5.0</v>
      </c>
      <c r="I317" s="5">
        <v>0.0</v>
      </c>
      <c r="J317" s="5"/>
    </row>
    <row r="318">
      <c r="A318" s="5" t="s">
        <v>2989</v>
      </c>
      <c r="B318" s="201" t="s">
        <v>4228</v>
      </c>
      <c r="C318" s="200" t="str">
        <f t="shared" si="1"/>
        <v>Crackers &amp; Pretzels_5-10</v>
      </c>
      <c r="D318" s="18">
        <v>150.0</v>
      </c>
      <c r="E318" s="18">
        <v>12.0</v>
      </c>
      <c r="F318" s="5">
        <v>8.0</v>
      </c>
      <c r="G318" s="5">
        <v>3438.0</v>
      </c>
      <c r="H318" s="5">
        <v>29.0</v>
      </c>
      <c r="I318" s="5">
        <v>0.8</v>
      </c>
      <c r="J318" s="5"/>
    </row>
    <row r="319">
      <c r="A319" s="5" t="s">
        <v>2989</v>
      </c>
      <c r="B319" s="201" t="s">
        <v>4226</v>
      </c>
      <c r="C319" s="200" t="str">
        <f t="shared" si="1"/>
        <v>Crackers &amp; Pretzels_10-15</v>
      </c>
      <c r="D319" s="18">
        <v>243.0</v>
      </c>
      <c r="E319" s="18">
        <v>26.0</v>
      </c>
      <c r="F319" s="5">
        <v>10.7</v>
      </c>
      <c r="G319" s="5">
        <v>2605.0</v>
      </c>
      <c r="H319" s="5">
        <v>76.0</v>
      </c>
      <c r="I319" s="5">
        <v>2.9</v>
      </c>
      <c r="J319" s="5"/>
    </row>
    <row r="320">
      <c r="A320" s="5" t="s">
        <v>2989</v>
      </c>
      <c r="B320" s="201" t="s">
        <v>1413</v>
      </c>
      <c r="C320" s="200" t="str">
        <f t="shared" si="1"/>
        <v>Crackers &amp; Pretzels_15-20</v>
      </c>
      <c r="D320" s="18">
        <v>132.0</v>
      </c>
      <c r="E320" s="18">
        <v>18.0</v>
      </c>
      <c r="F320" s="5">
        <v>13.6</v>
      </c>
      <c r="G320" s="5">
        <v>575.0</v>
      </c>
      <c r="H320" s="5">
        <v>54.0</v>
      </c>
      <c r="I320" s="5">
        <v>9.4</v>
      </c>
      <c r="J320" s="5"/>
    </row>
    <row r="321">
      <c r="A321" s="5" t="s">
        <v>2989</v>
      </c>
      <c r="B321" s="201" t="s">
        <v>1398</v>
      </c>
      <c r="C321" s="200" t="str">
        <f t="shared" si="1"/>
        <v>Crackers &amp; Pretzels_20-25</v>
      </c>
      <c r="D321" s="18">
        <v>78.0</v>
      </c>
      <c r="E321" s="18">
        <v>6.0</v>
      </c>
      <c r="F321" s="5">
        <v>7.7</v>
      </c>
      <c r="G321" s="5">
        <v>1126.0</v>
      </c>
      <c r="H321" s="5">
        <v>17.0</v>
      </c>
      <c r="I321" s="5">
        <v>1.5</v>
      </c>
      <c r="J321" s="5"/>
    </row>
    <row r="322">
      <c r="A322" s="5" t="s">
        <v>2989</v>
      </c>
      <c r="B322" s="201" t="s">
        <v>1400</v>
      </c>
      <c r="C322" s="200" t="str">
        <f t="shared" si="1"/>
        <v>Crackers &amp; Pretzels_25+</v>
      </c>
      <c r="D322" s="18">
        <v>23.0</v>
      </c>
      <c r="E322" s="18">
        <v>3.0</v>
      </c>
      <c r="F322" s="5">
        <v>13.0</v>
      </c>
      <c r="G322" s="5">
        <v>67.0</v>
      </c>
      <c r="H322" s="5">
        <v>8.0</v>
      </c>
      <c r="I322" s="5">
        <v>11.9</v>
      </c>
      <c r="J322" s="5"/>
    </row>
    <row r="323">
      <c r="A323" s="5" t="s">
        <v>2989</v>
      </c>
      <c r="B323" s="201" t="s">
        <v>4227</v>
      </c>
      <c r="C323" s="200" t="str">
        <f t="shared" si="1"/>
        <v>Crackers &amp; Pretzels_No Sales</v>
      </c>
      <c r="D323" s="18">
        <v>2.0</v>
      </c>
      <c r="E323" s="18">
        <v>0.0</v>
      </c>
      <c r="F323" s="5">
        <v>0.0</v>
      </c>
      <c r="G323" s="5">
        <v>2.0</v>
      </c>
      <c r="H323" s="5">
        <v>0.0</v>
      </c>
      <c r="I323" s="5">
        <v>0.0</v>
      </c>
      <c r="J323" s="5"/>
    </row>
    <row r="324">
      <c r="A324" s="5" t="s">
        <v>239</v>
      </c>
      <c r="B324" s="201" t="s">
        <v>1426</v>
      </c>
      <c r="C324" s="200" t="str">
        <f t="shared" si="1"/>
        <v>Cream_0-5</v>
      </c>
      <c r="D324" s="18">
        <v>85.0</v>
      </c>
      <c r="E324" s="18">
        <v>20.0</v>
      </c>
      <c r="F324" s="5">
        <v>23.5</v>
      </c>
      <c r="G324" s="5">
        <v>526.0</v>
      </c>
      <c r="H324" s="5">
        <v>236.0</v>
      </c>
      <c r="I324" s="5">
        <v>44.9</v>
      </c>
      <c r="J324" s="5"/>
    </row>
    <row r="325">
      <c r="A325" s="5" t="s">
        <v>239</v>
      </c>
      <c r="B325" s="201" t="s">
        <v>4228</v>
      </c>
      <c r="C325" s="200" t="str">
        <f t="shared" si="1"/>
        <v>Cream_5-10</v>
      </c>
      <c r="D325" s="18">
        <v>139.0</v>
      </c>
      <c r="E325" s="18">
        <v>8.0</v>
      </c>
      <c r="F325" s="5">
        <v>5.8</v>
      </c>
      <c r="G325" s="5">
        <v>9457.0</v>
      </c>
      <c r="H325" s="5">
        <v>25.0</v>
      </c>
      <c r="I325" s="5">
        <v>0.3</v>
      </c>
      <c r="J325" s="5"/>
    </row>
    <row r="326">
      <c r="A326" s="5" t="s">
        <v>239</v>
      </c>
      <c r="B326" s="201" t="s">
        <v>4226</v>
      </c>
      <c r="C326" s="200" t="str">
        <f t="shared" si="1"/>
        <v>Cream_10-15</v>
      </c>
      <c r="D326" s="18">
        <v>155.0</v>
      </c>
      <c r="E326" s="18">
        <v>7.0</v>
      </c>
      <c r="F326" s="5">
        <v>4.5</v>
      </c>
      <c r="G326" s="5">
        <v>6534.0</v>
      </c>
      <c r="H326" s="5">
        <v>18.0</v>
      </c>
      <c r="I326" s="5">
        <v>0.3</v>
      </c>
      <c r="J326" s="5"/>
    </row>
    <row r="327">
      <c r="A327" s="5" t="s">
        <v>239</v>
      </c>
      <c r="B327" s="201" t="s">
        <v>1398</v>
      </c>
      <c r="C327" s="200" t="str">
        <f t="shared" si="1"/>
        <v>Cream_20-25</v>
      </c>
      <c r="D327" s="18">
        <v>12.0</v>
      </c>
      <c r="E327" s="18">
        <v>1.0</v>
      </c>
      <c r="F327" s="5">
        <v>8.3</v>
      </c>
      <c r="G327" s="5">
        <v>164.0</v>
      </c>
      <c r="H327" s="5">
        <v>1.0</v>
      </c>
      <c r="I327" s="5">
        <v>0.6</v>
      </c>
      <c r="J327" s="5"/>
    </row>
    <row r="328">
      <c r="A328" s="5" t="s">
        <v>239</v>
      </c>
      <c r="B328" s="201" t="s">
        <v>1400</v>
      </c>
      <c r="C328" s="200" t="str">
        <f t="shared" si="1"/>
        <v>Cream_25+</v>
      </c>
      <c r="D328" s="18">
        <v>31.0</v>
      </c>
      <c r="E328" s="18">
        <v>2.0</v>
      </c>
      <c r="F328" s="5">
        <v>6.5</v>
      </c>
      <c r="G328" s="5">
        <v>375.0</v>
      </c>
      <c r="H328" s="5">
        <v>3.0</v>
      </c>
      <c r="I328" s="5">
        <v>0.8</v>
      </c>
      <c r="J328" s="5"/>
    </row>
    <row r="329">
      <c r="A329" s="5" t="s">
        <v>239</v>
      </c>
      <c r="B329" s="201" t="s">
        <v>4227</v>
      </c>
      <c r="C329" s="200" t="str">
        <f t="shared" si="1"/>
        <v>Cream_No Sales</v>
      </c>
      <c r="D329" s="18">
        <v>56.0</v>
      </c>
      <c r="E329" s="18">
        <v>1.0</v>
      </c>
      <c r="F329" s="5">
        <v>1.8</v>
      </c>
      <c r="G329" s="5">
        <v>6127.0</v>
      </c>
      <c r="H329" s="5">
        <v>282.0</v>
      </c>
      <c r="I329" s="5">
        <v>4.6</v>
      </c>
      <c r="J329" s="5"/>
    </row>
    <row r="330">
      <c r="A330" s="5" t="s">
        <v>899</v>
      </c>
      <c r="B330" s="201" t="s">
        <v>4228</v>
      </c>
      <c r="C330" s="200" t="str">
        <f t="shared" si="1"/>
        <v>Creamers &amp; Milk_5-10</v>
      </c>
      <c r="D330" s="18">
        <v>28.0</v>
      </c>
      <c r="E330" s="18">
        <v>0.0</v>
      </c>
      <c r="F330" s="5">
        <v>0.0</v>
      </c>
      <c r="G330" s="5">
        <v>404.0</v>
      </c>
      <c r="H330" s="5">
        <v>0.0</v>
      </c>
      <c r="I330" s="5">
        <v>0.0</v>
      </c>
      <c r="J330" s="5"/>
    </row>
    <row r="331">
      <c r="A331" s="5" t="s">
        <v>899</v>
      </c>
      <c r="B331" s="201" t="s">
        <v>4226</v>
      </c>
      <c r="C331" s="200" t="str">
        <f t="shared" si="1"/>
        <v>Creamers &amp; Milk_10-15</v>
      </c>
      <c r="D331" s="18">
        <v>5.0</v>
      </c>
      <c r="E331" s="18">
        <v>0.0</v>
      </c>
      <c r="F331" s="5">
        <v>0.0</v>
      </c>
      <c r="G331" s="5">
        <v>8.0</v>
      </c>
      <c r="H331" s="5">
        <v>0.0</v>
      </c>
      <c r="I331" s="5">
        <v>0.0</v>
      </c>
      <c r="J331" s="5"/>
    </row>
    <row r="332">
      <c r="A332" s="5" t="s">
        <v>899</v>
      </c>
      <c r="B332" s="201" t="s">
        <v>1413</v>
      </c>
      <c r="C332" s="200" t="str">
        <f t="shared" si="1"/>
        <v>Creamers &amp; Milk_15-20</v>
      </c>
      <c r="D332" s="18">
        <v>90.0</v>
      </c>
      <c r="E332" s="18">
        <v>2.0</v>
      </c>
      <c r="F332" s="5">
        <v>2.2</v>
      </c>
      <c r="G332" s="5">
        <v>927.0</v>
      </c>
      <c r="H332" s="5">
        <v>7.0</v>
      </c>
      <c r="I332" s="5">
        <v>0.8</v>
      </c>
      <c r="J332" s="5"/>
    </row>
    <row r="333">
      <c r="A333" s="5" t="s">
        <v>899</v>
      </c>
      <c r="B333" s="201" t="s">
        <v>1398</v>
      </c>
      <c r="C333" s="200" t="str">
        <f t="shared" si="1"/>
        <v>Creamers &amp; Milk_20-25</v>
      </c>
      <c r="D333" s="18">
        <v>60.0</v>
      </c>
      <c r="E333" s="18">
        <v>19.0</v>
      </c>
      <c r="F333" s="5">
        <v>31.7</v>
      </c>
      <c r="G333" s="5">
        <v>489.0</v>
      </c>
      <c r="H333" s="5">
        <v>64.0</v>
      </c>
      <c r="I333" s="5">
        <v>13.1</v>
      </c>
      <c r="J333" s="5"/>
    </row>
    <row r="334">
      <c r="A334" s="5" t="s">
        <v>899</v>
      </c>
      <c r="B334" s="201" t="s">
        <v>1400</v>
      </c>
      <c r="C334" s="200" t="str">
        <f t="shared" si="1"/>
        <v>Creamers &amp; Milk_25+</v>
      </c>
      <c r="D334" s="18">
        <v>104.0</v>
      </c>
      <c r="E334" s="18">
        <v>84.0</v>
      </c>
      <c r="F334" s="5">
        <v>80.8</v>
      </c>
      <c r="G334" s="5">
        <v>233.0</v>
      </c>
      <c r="H334" s="5">
        <v>193.0</v>
      </c>
      <c r="I334" s="5">
        <v>82.8</v>
      </c>
      <c r="J334" s="5"/>
    </row>
    <row r="335">
      <c r="A335" s="5" t="s">
        <v>899</v>
      </c>
      <c r="B335" s="201" t="s">
        <v>4227</v>
      </c>
      <c r="C335" s="200" t="str">
        <f t="shared" si="1"/>
        <v>Creamers &amp; Milk_No Sales</v>
      </c>
      <c r="D335" s="18">
        <v>6.0</v>
      </c>
      <c r="E335" s="18">
        <v>6.0</v>
      </c>
      <c r="F335" s="5">
        <v>100.0</v>
      </c>
      <c r="G335" s="5">
        <v>8.0</v>
      </c>
      <c r="H335" s="5">
        <v>8.0</v>
      </c>
      <c r="I335" s="5">
        <v>100.0</v>
      </c>
      <c r="J335" s="5"/>
    </row>
    <row r="336">
      <c r="A336" s="5" t="s">
        <v>1507</v>
      </c>
      <c r="B336" s="201" t="s">
        <v>1426</v>
      </c>
      <c r="C336" s="200" t="str">
        <f t="shared" si="1"/>
        <v>Croissants &amp; Cakes_0-5</v>
      </c>
      <c r="D336" s="18">
        <v>632.0</v>
      </c>
      <c r="E336" s="18">
        <v>7.0</v>
      </c>
      <c r="F336" s="5">
        <v>1.1</v>
      </c>
      <c r="G336" s="5">
        <v>15502.0</v>
      </c>
      <c r="H336" s="5">
        <v>19.0</v>
      </c>
      <c r="I336" s="5">
        <v>0.1</v>
      </c>
      <c r="J336" s="5"/>
    </row>
    <row r="337">
      <c r="A337" s="5" t="s">
        <v>1507</v>
      </c>
      <c r="B337" s="201" t="s">
        <v>4228</v>
      </c>
      <c r="C337" s="200" t="str">
        <f t="shared" si="1"/>
        <v>Croissants &amp; Cakes_5-10</v>
      </c>
      <c r="D337" s="18">
        <v>136.0</v>
      </c>
      <c r="E337" s="18">
        <v>7.0</v>
      </c>
      <c r="F337" s="5">
        <v>5.1</v>
      </c>
      <c r="G337" s="5">
        <v>4328.0</v>
      </c>
      <c r="H337" s="5">
        <v>15.0</v>
      </c>
      <c r="I337" s="5">
        <v>0.3</v>
      </c>
      <c r="J337" s="5"/>
    </row>
    <row r="338">
      <c r="A338" s="5" t="s">
        <v>1507</v>
      </c>
      <c r="B338" s="201" t="s">
        <v>4226</v>
      </c>
      <c r="C338" s="200" t="str">
        <f t="shared" si="1"/>
        <v>Croissants &amp; Cakes_10-15</v>
      </c>
      <c r="D338" s="18">
        <v>212.0</v>
      </c>
      <c r="E338" s="18">
        <v>19.0</v>
      </c>
      <c r="F338" s="5">
        <v>9.0</v>
      </c>
      <c r="G338" s="5">
        <v>1827.0</v>
      </c>
      <c r="H338" s="5">
        <v>47.0</v>
      </c>
      <c r="I338" s="5">
        <v>2.6</v>
      </c>
      <c r="J338" s="5"/>
    </row>
    <row r="339">
      <c r="A339" s="5" t="s">
        <v>1507</v>
      </c>
      <c r="B339" s="201" t="s">
        <v>1413</v>
      </c>
      <c r="C339" s="200" t="str">
        <f t="shared" si="1"/>
        <v>Croissants &amp; Cakes_15-20</v>
      </c>
      <c r="D339" s="18">
        <v>308.0</v>
      </c>
      <c r="E339" s="18">
        <v>45.0</v>
      </c>
      <c r="F339" s="5">
        <v>14.6</v>
      </c>
      <c r="G339" s="5">
        <v>2430.0</v>
      </c>
      <c r="H339" s="5">
        <v>153.0</v>
      </c>
      <c r="I339" s="5">
        <v>6.3</v>
      </c>
      <c r="J339" s="5"/>
    </row>
    <row r="340">
      <c r="A340" s="5" t="s">
        <v>1507</v>
      </c>
      <c r="B340" s="201" t="s">
        <v>1398</v>
      </c>
      <c r="C340" s="200" t="str">
        <f t="shared" si="1"/>
        <v>Croissants &amp; Cakes_20-25</v>
      </c>
      <c r="D340" s="18">
        <v>44.0</v>
      </c>
      <c r="E340" s="18">
        <v>18.0</v>
      </c>
      <c r="F340" s="5">
        <v>40.9</v>
      </c>
      <c r="G340" s="5">
        <v>196.0</v>
      </c>
      <c r="H340" s="5">
        <v>53.0</v>
      </c>
      <c r="I340" s="5">
        <v>27.0</v>
      </c>
      <c r="J340" s="5"/>
    </row>
    <row r="341">
      <c r="A341" s="5" t="s">
        <v>1507</v>
      </c>
      <c r="B341" s="201" t="s">
        <v>1400</v>
      </c>
      <c r="C341" s="200" t="str">
        <f t="shared" si="1"/>
        <v>Croissants &amp; Cakes_25+</v>
      </c>
      <c r="D341" s="18">
        <v>98.0</v>
      </c>
      <c r="E341" s="18">
        <v>8.0</v>
      </c>
      <c r="F341" s="5">
        <v>8.2</v>
      </c>
      <c r="G341" s="5">
        <v>439.0</v>
      </c>
      <c r="H341" s="5">
        <v>18.0</v>
      </c>
      <c r="I341" s="5">
        <v>4.1</v>
      </c>
      <c r="J341" s="5"/>
    </row>
    <row r="342">
      <c r="A342" s="5" t="s">
        <v>1507</v>
      </c>
      <c r="B342" s="201" t="s">
        <v>4227</v>
      </c>
      <c r="C342" s="200" t="str">
        <f t="shared" si="1"/>
        <v>Croissants &amp; Cakes_No Sales</v>
      </c>
      <c r="D342" s="18">
        <v>6.0</v>
      </c>
      <c r="E342" s="18">
        <v>3.0</v>
      </c>
      <c r="F342" s="5">
        <v>50.0</v>
      </c>
      <c r="G342" s="5">
        <v>132.0</v>
      </c>
      <c r="H342" s="5">
        <v>63.0</v>
      </c>
      <c r="I342" s="5">
        <v>47.7</v>
      </c>
      <c r="J342" s="5"/>
    </row>
    <row r="343">
      <c r="A343" s="5" t="s">
        <v>552</v>
      </c>
      <c r="B343" s="201" t="s">
        <v>1426</v>
      </c>
      <c r="C343" s="200" t="str">
        <f t="shared" si="1"/>
        <v>Cups &amp; Tubs_0-5</v>
      </c>
      <c r="D343" s="18">
        <v>84.0</v>
      </c>
      <c r="E343" s="18">
        <v>7.0</v>
      </c>
      <c r="F343" s="5">
        <v>8.3</v>
      </c>
      <c r="G343" s="5">
        <v>923.0</v>
      </c>
      <c r="H343" s="5">
        <v>20.0</v>
      </c>
      <c r="I343" s="5">
        <v>2.2</v>
      </c>
      <c r="J343" s="5"/>
    </row>
    <row r="344">
      <c r="A344" s="5" t="s">
        <v>552</v>
      </c>
      <c r="B344" s="201" t="s">
        <v>4228</v>
      </c>
      <c r="C344" s="200" t="str">
        <f t="shared" si="1"/>
        <v>Cups &amp; Tubs_5-10</v>
      </c>
      <c r="D344" s="18">
        <v>211.0</v>
      </c>
      <c r="E344" s="18">
        <v>7.0</v>
      </c>
      <c r="F344" s="5">
        <v>3.3</v>
      </c>
      <c r="G344" s="5">
        <v>7629.0</v>
      </c>
      <c r="H344" s="5">
        <v>22.0</v>
      </c>
      <c r="I344" s="5">
        <v>0.3</v>
      </c>
      <c r="J344" s="5"/>
    </row>
    <row r="345">
      <c r="A345" s="5" t="s">
        <v>552</v>
      </c>
      <c r="B345" s="201" t="s">
        <v>4226</v>
      </c>
      <c r="C345" s="200" t="str">
        <f t="shared" si="1"/>
        <v>Cups &amp; Tubs_10-15</v>
      </c>
      <c r="D345" s="18">
        <v>134.0</v>
      </c>
      <c r="E345" s="18">
        <v>0.0</v>
      </c>
      <c r="F345" s="5">
        <v>0.0</v>
      </c>
      <c r="G345" s="5">
        <v>3836.0</v>
      </c>
      <c r="H345" s="5">
        <v>0.0</v>
      </c>
      <c r="I345" s="5">
        <v>0.0</v>
      </c>
      <c r="J345" s="5"/>
    </row>
    <row r="346">
      <c r="A346" s="5" t="s">
        <v>552</v>
      </c>
      <c r="B346" s="201" t="s">
        <v>1413</v>
      </c>
      <c r="C346" s="200" t="str">
        <f t="shared" si="1"/>
        <v>Cups &amp; Tubs_15-20</v>
      </c>
      <c r="D346" s="18">
        <v>499.0</v>
      </c>
      <c r="E346" s="18">
        <v>46.0</v>
      </c>
      <c r="F346" s="5">
        <v>9.2</v>
      </c>
      <c r="G346" s="5">
        <v>9651.0</v>
      </c>
      <c r="H346" s="5">
        <v>178.0</v>
      </c>
      <c r="I346" s="5">
        <v>1.8</v>
      </c>
      <c r="J346" s="5"/>
    </row>
    <row r="347">
      <c r="A347" s="5" t="s">
        <v>552</v>
      </c>
      <c r="B347" s="201" t="s">
        <v>1398</v>
      </c>
      <c r="C347" s="200" t="str">
        <f t="shared" si="1"/>
        <v>Cups &amp; Tubs_20-25</v>
      </c>
      <c r="D347" s="18">
        <v>177.0</v>
      </c>
      <c r="E347" s="18">
        <v>33.0</v>
      </c>
      <c r="F347" s="5">
        <v>18.6</v>
      </c>
      <c r="G347" s="5">
        <v>4079.0</v>
      </c>
      <c r="H347" s="5">
        <v>107.0</v>
      </c>
      <c r="I347" s="5">
        <v>2.6</v>
      </c>
      <c r="J347" s="5"/>
    </row>
    <row r="348">
      <c r="A348" s="5" t="s">
        <v>552</v>
      </c>
      <c r="B348" s="201" t="s">
        <v>1400</v>
      </c>
      <c r="C348" s="200" t="str">
        <f t="shared" si="1"/>
        <v>Cups &amp; Tubs_25+</v>
      </c>
      <c r="D348" s="18">
        <v>1566.0</v>
      </c>
      <c r="E348" s="18">
        <v>233.0</v>
      </c>
      <c r="F348" s="5">
        <v>14.9</v>
      </c>
      <c r="G348" s="5">
        <v>30557.0</v>
      </c>
      <c r="H348" s="5">
        <v>882.0</v>
      </c>
      <c r="I348" s="5">
        <v>2.9</v>
      </c>
      <c r="J348" s="5"/>
    </row>
    <row r="349">
      <c r="A349" s="5" t="s">
        <v>552</v>
      </c>
      <c r="B349" s="201" t="s">
        <v>4227</v>
      </c>
      <c r="C349" s="200" t="str">
        <f t="shared" si="1"/>
        <v>Cups &amp; Tubs_No Sales</v>
      </c>
      <c r="D349" s="18">
        <v>38.0</v>
      </c>
      <c r="E349" s="18">
        <v>16.0</v>
      </c>
      <c r="F349" s="5">
        <v>42.1</v>
      </c>
      <c r="G349" s="5">
        <v>6661.0</v>
      </c>
      <c r="H349" s="5">
        <v>47.0</v>
      </c>
      <c r="I349" s="5">
        <v>0.7</v>
      </c>
      <c r="J349" s="5"/>
    </row>
    <row r="350">
      <c r="A350" s="5" t="s">
        <v>2253</v>
      </c>
      <c r="B350" s="201" t="s">
        <v>1426</v>
      </c>
      <c r="C350" s="200" t="str">
        <f t="shared" si="1"/>
        <v>Cut Fruits &amp; Vegetables_0-5</v>
      </c>
      <c r="D350" s="18">
        <v>133.0</v>
      </c>
      <c r="E350" s="18">
        <v>0.0</v>
      </c>
      <c r="F350" s="5">
        <v>0.0</v>
      </c>
      <c r="G350" s="5">
        <v>874.0</v>
      </c>
      <c r="H350" s="5">
        <v>0.0</v>
      </c>
      <c r="I350" s="5">
        <v>0.0</v>
      </c>
      <c r="J350" s="5"/>
    </row>
    <row r="351">
      <c r="A351" s="5" t="s">
        <v>2253</v>
      </c>
      <c r="B351" s="201" t="s">
        <v>4228</v>
      </c>
      <c r="C351" s="200" t="str">
        <f t="shared" si="1"/>
        <v>Cut Fruits &amp; Vegetables_5-10</v>
      </c>
      <c r="D351" s="18">
        <v>293.0</v>
      </c>
      <c r="E351" s="18">
        <v>3.0</v>
      </c>
      <c r="F351" s="5">
        <v>1.0</v>
      </c>
      <c r="G351" s="5">
        <v>1756.0</v>
      </c>
      <c r="H351" s="5">
        <v>6.0</v>
      </c>
      <c r="I351" s="5">
        <v>0.3</v>
      </c>
      <c r="J351" s="5"/>
    </row>
    <row r="352">
      <c r="A352" s="5" t="s">
        <v>2253</v>
      </c>
      <c r="B352" s="201" t="s">
        <v>4226</v>
      </c>
      <c r="C352" s="200" t="str">
        <f t="shared" si="1"/>
        <v>Cut Fruits &amp; Vegetables_10-15</v>
      </c>
      <c r="D352" s="18">
        <v>84.0</v>
      </c>
      <c r="E352" s="18">
        <v>0.0</v>
      </c>
      <c r="F352" s="5">
        <v>0.0</v>
      </c>
      <c r="G352" s="5">
        <v>564.0</v>
      </c>
      <c r="H352" s="5">
        <v>0.0</v>
      </c>
      <c r="I352" s="5">
        <v>0.0</v>
      </c>
      <c r="J352" s="5"/>
    </row>
    <row r="353">
      <c r="A353" s="5" t="s">
        <v>2253</v>
      </c>
      <c r="B353" s="201" t="s">
        <v>1413</v>
      </c>
      <c r="C353" s="200" t="str">
        <f t="shared" si="1"/>
        <v>Cut Fruits &amp; Vegetables_15-20</v>
      </c>
      <c r="D353" s="18">
        <v>36.0</v>
      </c>
      <c r="E353" s="18">
        <v>1.0</v>
      </c>
      <c r="F353" s="5">
        <v>2.8</v>
      </c>
      <c r="G353" s="5">
        <v>387.0</v>
      </c>
      <c r="H353" s="5">
        <v>1.0</v>
      </c>
      <c r="I353" s="5">
        <v>0.3</v>
      </c>
      <c r="J353" s="5"/>
    </row>
    <row r="354">
      <c r="A354" s="5" t="s">
        <v>2253</v>
      </c>
      <c r="B354" s="201" t="s">
        <v>1398</v>
      </c>
      <c r="C354" s="200" t="str">
        <f t="shared" si="1"/>
        <v>Cut Fruits &amp; Vegetables_20-25</v>
      </c>
      <c r="D354" s="18">
        <v>6.0</v>
      </c>
      <c r="E354" s="18">
        <v>0.0</v>
      </c>
      <c r="F354" s="5">
        <v>0.0</v>
      </c>
      <c r="G354" s="5">
        <v>16.0</v>
      </c>
      <c r="H354" s="5">
        <v>0.0</v>
      </c>
      <c r="I354" s="5">
        <v>0.0</v>
      </c>
      <c r="J354" s="5"/>
    </row>
    <row r="355">
      <c r="A355" s="5" t="s">
        <v>588</v>
      </c>
      <c r="B355" s="201" t="s">
        <v>1426</v>
      </c>
      <c r="C355" s="200" t="str">
        <f t="shared" si="1"/>
        <v>Dairy Free &amp; Organic Milk_0-5</v>
      </c>
      <c r="D355" s="18">
        <v>29.0</v>
      </c>
      <c r="E355" s="18">
        <v>1.0</v>
      </c>
      <c r="F355" s="5">
        <v>3.4</v>
      </c>
      <c r="G355" s="5">
        <v>1367.0</v>
      </c>
      <c r="H355" s="5">
        <v>7.0</v>
      </c>
      <c r="I355" s="5">
        <v>0.5</v>
      </c>
      <c r="J355" s="5"/>
    </row>
    <row r="356">
      <c r="A356" s="5" t="s">
        <v>588</v>
      </c>
      <c r="B356" s="201" t="s">
        <v>4228</v>
      </c>
      <c r="C356" s="200" t="str">
        <f t="shared" si="1"/>
        <v>Dairy Free &amp; Organic Milk_5-10</v>
      </c>
      <c r="D356" s="18">
        <v>188.0</v>
      </c>
      <c r="E356" s="18">
        <v>22.0</v>
      </c>
      <c r="F356" s="5">
        <v>11.7</v>
      </c>
      <c r="G356" s="5">
        <v>5654.0</v>
      </c>
      <c r="H356" s="5">
        <v>101.0</v>
      </c>
      <c r="I356" s="5">
        <v>1.8</v>
      </c>
      <c r="J356" s="5"/>
    </row>
    <row r="357">
      <c r="A357" s="5" t="s">
        <v>588</v>
      </c>
      <c r="B357" s="201" t="s">
        <v>4226</v>
      </c>
      <c r="C357" s="200" t="str">
        <f t="shared" si="1"/>
        <v>Dairy Free &amp; Organic Milk_10-15</v>
      </c>
      <c r="D357" s="18">
        <v>349.0</v>
      </c>
      <c r="E357" s="18">
        <v>47.0</v>
      </c>
      <c r="F357" s="5">
        <v>13.5</v>
      </c>
      <c r="G357" s="5">
        <v>16347.0</v>
      </c>
      <c r="H357" s="5">
        <v>175.0</v>
      </c>
      <c r="I357" s="5">
        <v>1.1</v>
      </c>
      <c r="J357" s="5"/>
    </row>
    <row r="358">
      <c r="A358" s="5" t="s">
        <v>588</v>
      </c>
      <c r="B358" s="201" t="s">
        <v>1413</v>
      </c>
      <c r="C358" s="200" t="str">
        <f t="shared" si="1"/>
        <v>Dairy Free &amp; Organic Milk_15-20</v>
      </c>
      <c r="D358" s="18">
        <v>444.0</v>
      </c>
      <c r="E358" s="18">
        <v>48.0</v>
      </c>
      <c r="F358" s="5">
        <v>10.8</v>
      </c>
      <c r="G358" s="5">
        <v>11256.0</v>
      </c>
      <c r="H358" s="5">
        <v>145.0</v>
      </c>
      <c r="I358" s="5">
        <v>1.3</v>
      </c>
      <c r="J358" s="5"/>
    </row>
    <row r="359">
      <c r="A359" s="5" t="s">
        <v>588</v>
      </c>
      <c r="B359" s="201" t="s">
        <v>1398</v>
      </c>
      <c r="C359" s="200" t="str">
        <f t="shared" si="1"/>
        <v>Dairy Free &amp; Organic Milk_20-25</v>
      </c>
      <c r="D359" s="18">
        <v>44.0</v>
      </c>
      <c r="E359" s="18">
        <v>11.0</v>
      </c>
      <c r="F359" s="5">
        <v>25.0</v>
      </c>
      <c r="G359" s="5">
        <v>1938.0</v>
      </c>
      <c r="H359" s="5">
        <v>25.0</v>
      </c>
      <c r="I359" s="5">
        <v>1.3</v>
      </c>
      <c r="J359" s="5"/>
    </row>
    <row r="360">
      <c r="A360" s="5" t="s">
        <v>588</v>
      </c>
      <c r="B360" s="201" t="s">
        <v>1400</v>
      </c>
      <c r="C360" s="200" t="str">
        <f t="shared" si="1"/>
        <v>Dairy Free &amp; Organic Milk_25+</v>
      </c>
      <c r="D360" s="18">
        <v>255.0</v>
      </c>
      <c r="E360" s="18">
        <v>34.0</v>
      </c>
      <c r="F360" s="5">
        <v>13.3</v>
      </c>
      <c r="G360" s="5">
        <v>9658.0</v>
      </c>
      <c r="H360" s="5">
        <v>120.0</v>
      </c>
      <c r="I360" s="5">
        <v>1.2</v>
      </c>
      <c r="J360" s="5"/>
    </row>
    <row r="361">
      <c r="A361" s="5" t="s">
        <v>588</v>
      </c>
      <c r="B361" s="201" t="s">
        <v>4227</v>
      </c>
      <c r="C361" s="200" t="str">
        <f t="shared" si="1"/>
        <v>Dairy Free &amp; Organic Milk_No Sales</v>
      </c>
      <c r="D361" s="18">
        <v>118.0</v>
      </c>
      <c r="E361" s="18">
        <v>4.0</v>
      </c>
      <c r="F361" s="5">
        <v>3.4</v>
      </c>
      <c r="G361" s="5">
        <v>3413.0</v>
      </c>
      <c r="H361" s="5">
        <v>56.0</v>
      </c>
      <c r="I361" s="5">
        <v>1.6</v>
      </c>
      <c r="J361" s="5"/>
    </row>
    <row r="362">
      <c r="A362" s="5" t="s">
        <v>1962</v>
      </c>
      <c r="B362" s="201" t="s">
        <v>1400</v>
      </c>
      <c r="C362" s="200" t="str">
        <f t="shared" si="1"/>
        <v>Data Cables_25+</v>
      </c>
      <c r="D362" s="18">
        <v>7.0</v>
      </c>
      <c r="E362" s="18">
        <v>5.0</v>
      </c>
      <c r="F362" s="5">
        <v>71.4</v>
      </c>
      <c r="G362" s="5">
        <v>11.0</v>
      </c>
      <c r="H362" s="5">
        <v>9.0</v>
      </c>
      <c r="I362" s="5">
        <v>81.8</v>
      </c>
      <c r="J362" s="5"/>
    </row>
    <row r="363">
      <c r="A363" s="5" t="s">
        <v>1261</v>
      </c>
      <c r="B363" s="201" t="s">
        <v>1426</v>
      </c>
      <c r="C363" s="200" t="str">
        <f t="shared" si="1"/>
        <v>Dates &amp; Dried Fruits_0-5</v>
      </c>
      <c r="D363" s="18">
        <v>80.0</v>
      </c>
      <c r="E363" s="18">
        <v>21.0</v>
      </c>
      <c r="F363" s="5">
        <v>26.3</v>
      </c>
      <c r="G363" s="5">
        <v>989.0</v>
      </c>
      <c r="H363" s="5">
        <v>74.0</v>
      </c>
      <c r="I363" s="5">
        <v>7.5</v>
      </c>
      <c r="J363" s="5"/>
    </row>
    <row r="364">
      <c r="A364" s="5" t="s">
        <v>1261</v>
      </c>
      <c r="B364" s="201" t="s">
        <v>4228</v>
      </c>
      <c r="C364" s="200" t="str">
        <f t="shared" si="1"/>
        <v>Dates &amp; Dried Fruits_5-10</v>
      </c>
      <c r="D364" s="18">
        <v>77.0</v>
      </c>
      <c r="E364" s="18">
        <v>11.0</v>
      </c>
      <c r="F364" s="5">
        <v>14.3</v>
      </c>
      <c r="G364" s="5">
        <v>757.0</v>
      </c>
      <c r="H364" s="5">
        <v>39.0</v>
      </c>
      <c r="I364" s="5">
        <v>5.2</v>
      </c>
      <c r="J364" s="5"/>
    </row>
    <row r="365">
      <c r="A365" s="5" t="s">
        <v>1261</v>
      </c>
      <c r="B365" s="201" t="s">
        <v>4226</v>
      </c>
      <c r="C365" s="200" t="str">
        <f t="shared" si="1"/>
        <v>Dates &amp; Dried Fruits_10-15</v>
      </c>
      <c r="D365" s="18">
        <v>230.0</v>
      </c>
      <c r="E365" s="18">
        <v>12.0</v>
      </c>
      <c r="F365" s="5">
        <v>5.2</v>
      </c>
      <c r="G365" s="5">
        <v>4684.0</v>
      </c>
      <c r="H365" s="5">
        <v>33.0</v>
      </c>
      <c r="I365" s="5">
        <v>0.7</v>
      </c>
      <c r="J365" s="5"/>
    </row>
    <row r="366">
      <c r="A366" s="5" t="s">
        <v>1261</v>
      </c>
      <c r="B366" s="201" t="s">
        <v>1413</v>
      </c>
      <c r="C366" s="200" t="str">
        <f t="shared" si="1"/>
        <v>Dates &amp; Dried Fruits_15-20</v>
      </c>
      <c r="D366" s="18">
        <v>216.0</v>
      </c>
      <c r="E366" s="18">
        <v>13.0</v>
      </c>
      <c r="F366" s="5">
        <v>6.0</v>
      </c>
      <c r="G366" s="5">
        <v>3826.0</v>
      </c>
      <c r="H366" s="5">
        <v>46.0</v>
      </c>
      <c r="I366" s="5">
        <v>1.2</v>
      </c>
      <c r="J366" s="5"/>
    </row>
    <row r="367">
      <c r="A367" s="5" t="s">
        <v>1261</v>
      </c>
      <c r="B367" s="201" t="s">
        <v>1398</v>
      </c>
      <c r="C367" s="200" t="str">
        <f t="shared" si="1"/>
        <v>Dates &amp; Dried Fruits_20-25</v>
      </c>
      <c r="D367" s="18">
        <v>218.0</v>
      </c>
      <c r="E367" s="18">
        <v>45.0</v>
      </c>
      <c r="F367" s="5">
        <v>20.6</v>
      </c>
      <c r="G367" s="5">
        <v>1299.0</v>
      </c>
      <c r="H367" s="5">
        <v>118.0</v>
      </c>
      <c r="I367" s="5">
        <v>9.1</v>
      </c>
      <c r="J367" s="5"/>
    </row>
    <row r="368">
      <c r="A368" s="5" t="s">
        <v>1261</v>
      </c>
      <c r="B368" s="201" t="s">
        <v>1400</v>
      </c>
      <c r="C368" s="200" t="str">
        <f t="shared" si="1"/>
        <v>Dates &amp; Dried Fruits_25+</v>
      </c>
      <c r="D368" s="18">
        <v>429.0</v>
      </c>
      <c r="E368" s="18">
        <v>122.0</v>
      </c>
      <c r="F368" s="5">
        <v>28.4</v>
      </c>
      <c r="G368" s="5">
        <v>3171.0</v>
      </c>
      <c r="H368" s="5">
        <v>331.0</v>
      </c>
      <c r="I368" s="5">
        <v>10.4</v>
      </c>
      <c r="J368" s="5"/>
    </row>
    <row r="369">
      <c r="A369" s="5" t="s">
        <v>1261</v>
      </c>
      <c r="B369" s="201" t="s">
        <v>4227</v>
      </c>
      <c r="C369" s="200" t="str">
        <f t="shared" si="1"/>
        <v>Dates &amp; Dried Fruits_No Sales</v>
      </c>
      <c r="D369" s="18">
        <v>8.0</v>
      </c>
      <c r="E369" s="18">
        <v>4.0</v>
      </c>
      <c r="F369" s="5">
        <v>50.0</v>
      </c>
      <c r="G369" s="5">
        <v>37.0</v>
      </c>
      <c r="H369" s="5">
        <v>22.0</v>
      </c>
      <c r="I369" s="5">
        <v>59.5</v>
      </c>
      <c r="J369" s="5"/>
    </row>
    <row r="370">
      <c r="A370" s="5" t="s">
        <v>2496</v>
      </c>
      <c r="B370" s="201" t="s">
        <v>1426</v>
      </c>
      <c r="C370" s="200" t="str">
        <f t="shared" si="1"/>
        <v>Deodorants &amp; Fragrances_0-5</v>
      </c>
      <c r="D370" s="18">
        <v>30.0</v>
      </c>
      <c r="E370" s="18">
        <v>21.0</v>
      </c>
      <c r="F370" s="5">
        <v>70.0</v>
      </c>
      <c r="G370" s="5">
        <v>99.0</v>
      </c>
      <c r="H370" s="5">
        <v>66.0</v>
      </c>
      <c r="I370" s="5">
        <v>66.7</v>
      </c>
      <c r="J370" s="5"/>
    </row>
    <row r="371">
      <c r="A371" s="5" t="s">
        <v>2496</v>
      </c>
      <c r="B371" s="201" t="s">
        <v>4228</v>
      </c>
      <c r="C371" s="200" t="str">
        <f t="shared" si="1"/>
        <v>Deodorants &amp; Fragrances_5-10</v>
      </c>
      <c r="D371" s="18">
        <v>72.0</v>
      </c>
      <c r="E371" s="18">
        <v>31.0</v>
      </c>
      <c r="F371" s="5">
        <v>43.1</v>
      </c>
      <c r="G371" s="5">
        <v>2141.0</v>
      </c>
      <c r="H371" s="5">
        <v>76.0</v>
      </c>
      <c r="I371" s="5">
        <v>3.5</v>
      </c>
      <c r="J371" s="5"/>
    </row>
    <row r="372">
      <c r="A372" s="5" t="s">
        <v>2496</v>
      </c>
      <c r="B372" s="201" t="s">
        <v>4226</v>
      </c>
      <c r="C372" s="200" t="str">
        <f t="shared" si="1"/>
        <v>Deodorants &amp; Fragrances_10-15</v>
      </c>
      <c r="D372" s="18">
        <v>217.0</v>
      </c>
      <c r="E372" s="18">
        <v>9.0</v>
      </c>
      <c r="F372" s="5">
        <v>4.1</v>
      </c>
      <c r="G372" s="5">
        <v>3302.0</v>
      </c>
      <c r="H372" s="5">
        <v>35.0</v>
      </c>
      <c r="I372" s="5">
        <v>1.1</v>
      </c>
      <c r="J372" s="5"/>
    </row>
    <row r="373">
      <c r="A373" s="5" t="s">
        <v>2496</v>
      </c>
      <c r="B373" s="201" t="s">
        <v>1413</v>
      </c>
      <c r="C373" s="200" t="str">
        <f t="shared" si="1"/>
        <v>Deodorants &amp; Fragrances_15-20</v>
      </c>
      <c r="D373" s="18">
        <v>795.0</v>
      </c>
      <c r="E373" s="18">
        <v>115.0</v>
      </c>
      <c r="F373" s="5">
        <v>14.5</v>
      </c>
      <c r="G373" s="5">
        <v>6494.0</v>
      </c>
      <c r="H373" s="5">
        <v>301.0</v>
      </c>
      <c r="I373" s="5">
        <v>4.6</v>
      </c>
      <c r="J373" s="5"/>
    </row>
    <row r="374">
      <c r="A374" s="5" t="s">
        <v>2496</v>
      </c>
      <c r="B374" s="201" t="s">
        <v>1398</v>
      </c>
      <c r="C374" s="200" t="str">
        <f t="shared" si="1"/>
        <v>Deodorants &amp; Fragrances_20-25</v>
      </c>
      <c r="D374" s="18">
        <v>373.0</v>
      </c>
      <c r="E374" s="18">
        <v>138.0</v>
      </c>
      <c r="F374" s="5">
        <v>37.0</v>
      </c>
      <c r="G374" s="5">
        <v>2501.0</v>
      </c>
      <c r="H374" s="5">
        <v>406.0</v>
      </c>
      <c r="I374" s="5">
        <v>16.2</v>
      </c>
      <c r="J374" s="5"/>
    </row>
    <row r="375">
      <c r="A375" s="5" t="s">
        <v>2496</v>
      </c>
      <c r="B375" s="201" t="s">
        <v>1400</v>
      </c>
      <c r="C375" s="200" t="str">
        <f t="shared" si="1"/>
        <v>Deodorants &amp; Fragrances_25+</v>
      </c>
      <c r="D375" s="18">
        <v>132.0</v>
      </c>
      <c r="E375" s="18">
        <v>64.0</v>
      </c>
      <c r="F375" s="5">
        <v>48.5</v>
      </c>
      <c r="G375" s="5">
        <v>384.0</v>
      </c>
      <c r="H375" s="5">
        <v>145.0</v>
      </c>
      <c r="I375" s="5">
        <v>37.8</v>
      </c>
      <c r="J375" s="5"/>
    </row>
    <row r="376">
      <c r="A376" s="5" t="s">
        <v>2496</v>
      </c>
      <c r="B376" s="201" t="s">
        <v>4227</v>
      </c>
      <c r="C376" s="200" t="str">
        <f t="shared" si="1"/>
        <v>Deodorants &amp; Fragrances_No Sales</v>
      </c>
      <c r="D376" s="18">
        <v>75.0</v>
      </c>
      <c r="E376" s="18">
        <v>48.0</v>
      </c>
      <c r="F376" s="5">
        <v>64.0</v>
      </c>
      <c r="G376" s="5">
        <v>200.0</v>
      </c>
      <c r="H376" s="5">
        <v>172.0</v>
      </c>
      <c r="I376" s="5">
        <v>86.0</v>
      </c>
      <c r="J376" s="5"/>
    </row>
    <row r="377">
      <c r="A377" s="5" t="s">
        <v>574</v>
      </c>
      <c r="B377" s="201" t="s">
        <v>1426</v>
      </c>
      <c r="C377" s="200" t="str">
        <f t="shared" si="1"/>
        <v>Desserts_0-5</v>
      </c>
      <c r="D377" s="18">
        <v>103.0</v>
      </c>
      <c r="E377" s="18">
        <v>0.0</v>
      </c>
      <c r="F377" s="5">
        <v>0.0</v>
      </c>
      <c r="G377" s="5">
        <v>2372.0</v>
      </c>
      <c r="H377" s="5">
        <v>0.0</v>
      </c>
      <c r="I377" s="5">
        <v>0.0</v>
      </c>
      <c r="J377" s="5"/>
    </row>
    <row r="378">
      <c r="A378" s="5" t="s">
        <v>574</v>
      </c>
      <c r="B378" s="201" t="s">
        <v>4228</v>
      </c>
      <c r="C378" s="200" t="str">
        <f t="shared" si="1"/>
        <v>Desserts_5-10</v>
      </c>
      <c r="D378" s="18">
        <v>99.0</v>
      </c>
      <c r="E378" s="18">
        <v>1.0</v>
      </c>
      <c r="F378" s="5">
        <v>1.0</v>
      </c>
      <c r="G378" s="5">
        <v>7041.0</v>
      </c>
      <c r="H378" s="5">
        <v>5.0</v>
      </c>
      <c r="I378" s="5">
        <v>0.1</v>
      </c>
      <c r="J378" s="5"/>
    </row>
    <row r="379">
      <c r="A379" s="5" t="s">
        <v>574</v>
      </c>
      <c r="B379" s="201" t="s">
        <v>4226</v>
      </c>
      <c r="C379" s="200" t="str">
        <f t="shared" si="1"/>
        <v>Desserts_10-15</v>
      </c>
      <c r="D379" s="18">
        <v>30.0</v>
      </c>
      <c r="E379" s="18">
        <v>2.0</v>
      </c>
      <c r="F379" s="5">
        <v>6.7</v>
      </c>
      <c r="G379" s="5">
        <v>4011.0</v>
      </c>
      <c r="H379" s="5">
        <v>2.0</v>
      </c>
      <c r="I379" s="5">
        <v>0.0</v>
      </c>
      <c r="J379" s="5"/>
    </row>
    <row r="380">
      <c r="A380" s="5" t="s">
        <v>574</v>
      </c>
      <c r="B380" s="201" t="s">
        <v>1413</v>
      </c>
      <c r="C380" s="200" t="str">
        <f t="shared" si="1"/>
        <v>Desserts_15-20</v>
      </c>
      <c r="D380" s="18">
        <v>50.0</v>
      </c>
      <c r="E380" s="18">
        <v>15.0</v>
      </c>
      <c r="F380" s="5">
        <v>30.0</v>
      </c>
      <c r="G380" s="5">
        <v>340.0</v>
      </c>
      <c r="H380" s="5">
        <v>54.0</v>
      </c>
      <c r="I380" s="5">
        <v>15.9</v>
      </c>
      <c r="J380" s="5"/>
    </row>
    <row r="381">
      <c r="A381" s="5" t="s">
        <v>398</v>
      </c>
      <c r="B381" s="201" t="s">
        <v>1413</v>
      </c>
      <c r="C381" s="200" t="str">
        <f t="shared" si="1"/>
        <v>Desserts Corner_15-20</v>
      </c>
      <c r="D381" s="18">
        <v>9.0</v>
      </c>
      <c r="E381" s="18">
        <v>6.0</v>
      </c>
      <c r="F381" s="5">
        <v>66.7</v>
      </c>
      <c r="G381" s="5">
        <v>20.0</v>
      </c>
      <c r="H381" s="5">
        <v>16.0</v>
      </c>
      <c r="I381" s="5">
        <v>80.0</v>
      </c>
      <c r="J381" s="5"/>
    </row>
    <row r="382">
      <c r="A382" s="5" t="s">
        <v>398</v>
      </c>
      <c r="B382" s="201" t="s">
        <v>1398</v>
      </c>
      <c r="C382" s="200" t="str">
        <f t="shared" si="1"/>
        <v>Desserts Corner_20-25</v>
      </c>
      <c r="D382" s="18">
        <v>36.0</v>
      </c>
      <c r="E382" s="18">
        <v>15.0</v>
      </c>
      <c r="F382" s="5">
        <v>41.7</v>
      </c>
      <c r="G382" s="5">
        <v>261.0</v>
      </c>
      <c r="H382" s="5">
        <v>31.0</v>
      </c>
      <c r="I382" s="5">
        <v>11.9</v>
      </c>
      <c r="J382" s="5"/>
    </row>
    <row r="383">
      <c r="A383" s="5" t="s">
        <v>398</v>
      </c>
      <c r="B383" s="201" t="s">
        <v>1400</v>
      </c>
      <c r="C383" s="200" t="str">
        <f t="shared" si="1"/>
        <v>Desserts Corner_25+</v>
      </c>
      <c r="D383" s="18">
        <v>235.0</v>
      </c>
      <c r="E383" s="18">
        <v>48.0</v>
      </c>
      <c r="F383" s="5">
        <v>20.4</v>
      </c>
      <c r="G383" s="5">
        <v>2188.0</v>
      </c>
      <c r="H383" s="5">
        <v>139.0</v>
      </c>
      <c r="I383" s="5">
        <v>6.4</v>
      </c>
      <c r="J383" s="5"/>
    </row>
    <row r="384">
      <c r="A384" s="5" t="s">
        <v>398</v>
      </c>
      <c r="B384" s="201" t="s">
        <v>4227</v>
      </c>
      <c r="C384" s="200" t="str">
        <f t="shared" si="1"/>
        <v>Desserts Corner_No Sales</v>
      </c>
      <c r="D384" s="18">
        <v>5.0</v>
      </c>
      <c r="E384" s="18">
        <v>0.0</v>
      </c>
      <c r="F384" s="5">
        <v>0.0</v>
      </c>
      <c r="G384" s="5">
        <v>495.0</v>
      </c>
      <c r="H384" s="5">
        <v>0.0</v>
      </c>
      <c r="I384" s="5">
        <v>0.0</v>
      </c>
      <c r="J384" s="5"/>
    </row>
    <row r="385">
      <c r="A385" s="5" t="s">
        <v>2614</v>
      </c>
      <c r="B385" s="201" t="s">
        <v>4226</v>
      </c>
      <c r="C385" s="200" t="str">
        <f t="shared" si="1"/>
        <v>Detergent Liquid_10-15</v>
      </c>
      <c r="D385" s="18">
        <v>60.0</v>
      </c>
      <c r="E385" s="18">
        <v>12.0</v>
      </c>
      <c r="F385" s="5">
        <v>20.0</v>
      </c>
      <c r="G385" s="5">
        <v>1182.0</v>
      </c>
      <c r="H385" s="5">
        <v>51.0</v>
      </c>
      <c r="I385" s="5">
        <v>4.3</v>
      </c>
      <c r="J385" s="5"/>
    </row>
    <row r="386">
      <c r="A386" s="5" t="s">
        <v>2614</v>
      </c>
      <c r="B386" s="201" t="s">
        <v>1413</v>
      </c>
      <c r="C386" s="200" t="str">
        <f t="shared" si="1"/>
        <v>Detergent Liquid_15-20</v>
      </c>
      <c r="D386" s="18">
        <v>42.0</v>
      </c>
      <c r="E386" s="18">
        <v>2.0</v>
      </c>
      <c r="F386" s="5">
        <v>4.8</v>
      </c>
      <c r="G386" s="5">
        <v>929.0</v>
      </c>
      <c r="H386" s="5">
        <v>4.0</v>
      </c>
      <c r="I386" s="5">
        <v>0.4</v>
      </c>
      <c r="J386" s="5"/>
    </row>
    <row r="387">
      <c r="A387" s="5" t="s">
        <v>2614</v>
      </c>
      <c r="B387" s="201" t="s">
        <v>1398</v>
      </c>
      <c r="C387" s="200" t="str">
        <f t="shared" si="1"/>
        <v>Detergent Liquid_20-25</v>
      </c>
      <c r="D387" s="18">
        <v>88.0</v>
      </c>
      <c r="E387" s="18">
        <v>3.0</v>
      </c>
      <c r="F387" s="5">
        <v>3.4</v>
      </c>
      <c r="G387" s="5">
        <v>4659.0</v>
      </c>
      <c r="H387" s="5">
        <v>9.0</v>
      </c>
      <c r="I387" s="5">
        <v>0.2</v>
      </c>
      <c r="J387" s="5"/>
    </row>
    <row r="388">
      <c r="A388" s="5" t="s">
        <v>2614</v>
      </c>
      <c r="B388" s="201" t="s">
        <v>1400</v>
      </c>
      <c r="C388" s="200" t="str">
        <f t="shared" si="1"/>
        <v>Detergent Liquid_25+</v>
      </c>
      <c r="D388" s="18">
        <v>801.0</v>
      </c>
      <c r="E388" s="18">
        <v>142.0</v>
      </c>
      <c r="F388" s="5">
        <v>17.7</v>
      </c>
      <c r="G388" s="5">
        <v>11057.0</v>
      </c>
      <c r="H388" s="5">
        <v>398.0</v>
      </c>
      <c r="I388" s="5">
        <v>3.6</v>
      </c>
      <c r="J388" s="5"/>
    </row>
    <row r="389">
      <c r="A389" s="5" t="s">
        <v>2614</v>
      </c>
      <c r="B389" s="201" t="s">
        <v>4227</v>
      </c>
      <c r="C389" s="200" t="str">
        <f t="shared" si="1"/>
        <v>Detergent Liquid_No Sales</v>
      </c>
      <c r="D389" s="18">
        <v>43.0</v>
      </c>
      <c r="E389" s="18">
        <v>17.0</v>
      </c>
      <c r="F389" s="5">
        <v>39.5</v>
      </c>
      <c r="G389" s="5">
        <v>822.0</v>
      </c>
      <c r="H389" s="5">
        <v>25.0</v>
      </c>
      <c r="I389" s="5">
        <v>3.0</v>
      </c>
      <c r="J389" s="5"/>
    </row>
    <row r="390">
      <c r="A390" s="5" t="s">
        <v>2623</v>
      </c>
      <c r="B390" s="201" t="s">
        <v>1426</v>
      </c>
      <c r="C390" s="200" t="str">
        <f t="shared" si="1"/>
        <v>Detergent Powder_0-5</v>
      </c>
      <c r="D390" s="18">
        <v>29.0</v>
      </c>
      <c r="E390" s="18">
        <v>0.0</v>
      </c>
      <c r="F390" s="5">
        <v>0.0</v>
      </c>
      <c r="G390" s="5">
        <v>555.0</v>
      </c>
      <c r="H390" s="5">
        <v>0.0</v>
      </c>
      <c r="I390" s="5">
        <v>0.0</v>
      </c>
      <c r="J390" s="5"/>
    </row>
    <row r="391">
      <c r="A391" s="5" t="s">
        <v>2623</v>
      </c>
      <c r="B391" s="201" t="s">
        <v>4226</v>
      </c>
      <c r="C391" s="200" t="str">
        <f t="shared" si="1"/>
        <v>Detergent Powder_10-15</v>
      </c>
      <c r="D391" s="18">
        <v>1.0</v>
      </c>
      <c r="E391" s="18">
        <v>1.0</v>
      </c>
      <c r="F391" s="5">
        <v>100.0</v>
      </c>
      <c r="G391" s="5">
        <v>1.0</v>
      </c>
      <c r="H391" s="5">
        <v>1.0</v>
      </c>
      <c r="I391" s="5">
        <v>100.0</v>
      </c>
      <c r="J391" s="5"/>
    </row>
    <row r="392">
      <c r="A392" s="5" t="s">
        <v>2623</v>
      </c>
      <c r="B392" s="201" t="s">
        <v>1413</v>
      </c>
      <c r="C392" s="200" t="str">
        <f t="shared" si="1"/>
        <v>Detergent Powder_15-20</v>
      </c>
      <c r="D392" s="18">
        <v>111.0</v>
      </c>
      <c r="E392" s="18">
        <v>4.0</v>
      </c>
      <c r="F392" s="5">
        <v>3.6</v>
      </c>
      <c r="G392" s="5">
        <v>3851.0</v>
      </c>
      <c r="H392" s="5">
        <v>12.0</v>
      </c>
      <c r="I392" s="5">
        <v>0.3</v>
      </c>
      <c r="J392" s="5"/>
    </row>
    <row r="393">
      <c r="A393" s="5" t="s">
        <v>2623</v>
      </c>
      <c r="B393" s="201" t="s">
        <v>1398</v>
      </c>
      <c r="C393" s="200" t="str">
        <f t="shared" si="1"/>
        <v>Detergent Powder_20-25</v>
      </c>
      <c r="D393" s="18">
        <v>101.0</v>
      </c>
      <c r="E393" s="18">
        <v>28.0</v>
      </c>
      <c r="F393" s="5">
        <v>27.7</v>
      </c>
      <c r="G393" s="5">
        <v>1370.0</v>
      </c>
      <c r="H393" s="5">
        <v>81.0</v>
      </c>
      <c r="I393" s="5">
        <v>5.9</v>
      </c>
      <c r="J393" s="5"/>
    </row>
    <row r="394">
      <c r="A394" s="5" t="s">
        <v>2623</v>
      </c>
      <c r="B394" s="201" t="s">
        <v>1400</v>
      </c>
      <c r="C394" s="200" t="str">
        <f t="shared" si="1"/>
        <v>Detergent Powder_25+</v>
      </c>
      <c r="D394" s="18">
        <v>522.0</v>
      </c>
      <c r="E394" s="18">
        <v>205.0</v>
      </c>
      <c r="F394" s="5">
        <v>39.3</v>
      </c>
      <c r="G394" s="5">
        <v>3607.0</v>
      </c>
      <c r="H394" s="5">
        <v>563.0</v>
      </c>
      <c r="I394" s="5">
        <v>15.6</v>
      </c>
      <c r="J394" s="5"/>
    </row>
    <row r="395">
      <c r="A395" s="5" t="s">
        <v>2623</v>
      </c>
      <c r="B395" s="201" t="s">
        <v>4227</v>
      </c>
      <c r="C395" s="200" t="str">
        <f t="shared" si="1"/>
        <v>Detergent Powder_No Sales</v>
      </c>
      <c r="D395" s="18">
        <v>6.0</v>
      </c>
      <c r="E395" s="18">
        <v>5.0</v>
      </c>
      <c r="F395" s="5">
        <v>83.3</v>
      </c>
      <c r="G395" s="5">
        <v>34.0</v>
      </c>
      <c r="H395" s="5">
        <v>33.0</v>
      </c>
      <c r="I395" s="5">
        <v>97.1</v>
      </c>
      <c r="J395" s="5"/>
    </row>
    <row r="396">
      <c r="A396" s="5" t="s">
        <v>2631</v>
      </c>
      <c r="B396" s="201" t="s">
        <v>4226</v>
      </c>
      <c r="C396" s="200" t="str">
        <f t="shared" si="1"/>
        <v>Detergent Tabs_10-15</v>
      </c>
      <c r="D396" s="18">
        <v>52.0</v>
      </c>
      <c r="E396" s="18">
        <v>0.0</v>
      </c>
      <c r="F396" s="5">
        <v>0.0</v>
      </c>
      <c r="G396" s="5">
        <v>7337.0</v>
      </c>
      <c r="H396" s="5">
        <v>0.0</v>
      </c>
      <c r="I396" s="5">
        <v>0.0</v>
      </c>
      <c r="J396" s="5"/>
    </row>
    <row r="397">
      <c r="A397" s="5" t="s">
        <v>2631</v>
      </c>
      <c r="B397" s="201" t="s">
        <v>1400</v>
      </c>
      <c r="C397" s="200" t="str">
        <f t="shared" si="1"/>
        <v>Detergent Tabs_25+</v>
      </c>
      <c r="D397" s="18">
        <v>177.0</v>
      </c>
      <c r="E397" s="18">
        <v>23.0</v>
      </c>
      <c r="F397" s="5">
        <v>13.0</v>
      </c>
      <c r="G397" s="5">
        <v>3260.0</v>
      </c>
      <c r="H397" s="5">
        <v>79.0</v>
      </c>
      <c r="I397" s="5">
        <v>2.4</v>
      </c>
      <c r="J397" s="5"/>
    </row>
    <row r="398">
      <c r="A398" s="5" t="s">
        <v>2631</v>
      </c>
      <c r="B398" s="201" t="s">
        <v>4227</v>
      </c>
      <c r="C398" s="200" t="str">
        <f t="shared" si="1"/>
        <v>Detergent Tabs_No Sales</v>
      </c>
      <c r="D398" s="18">
        <v>15.0</v>
      </c>
      <c r="E398" s="18">
        <v>12.0</v>
      </c>
      <c r="F398" s="5">
        <v>80.0</v>
      </c>
      <c r="G398" s="5">
        <v>43.0</v>
      </c>
      <c r="H398" s="5">
        <v>35.0</v>
      </c>
      <c r="I398" s="5">
        <v>81.4</v>
      </c>
      <c r="J398" s="5"/>
    </row>
    <row r="399">
      <c r="A399" s="5" t="s">
        <v>1451</v>
      </c>
      <c r="B399" s="201" t="s">
        <v>4226</v>
      </c>
      <c r="C399" s="200" t="str">
        <f t="shared" si="1"/>
        <v>Diapers_10-15</v>
      </c>
      <c r="D399" s="18">
        <v>2.0</v>
      </c>
      <c r="E399" s="18">
        <v>1.0</v>
      </c>
      <c r="F399" s="5">
        <v>50.0</v>
      </c>
      <c r="G399" s="5">
        <v>2.0</v>
      </c>
      <c r="H399" s="5">
        <v>1.0</v>
      </c>
      <c r="I399" s="5">
        <v>50.0</v>
      </c>
      <c r="J399" s="5"/>
    </row>
    <row r="400">
      <c r="A400" s="5" t="s">
        <v>1451</v>
      </c>
      <c r="B400" s="201" t="s">
        <v>1413</v>
      </c>
      <c r="C400" s="200" t="str">
        <f t="shared" si="1"/>
        <v>Diapers_15-20</v>
      </c>
      <c r="D400" s="18">
        <v>2.0</v>
      </c>
      <c r="E400" s="18">
        <v>0.0</v>
      </c>
      <c r="F400" s="5">
        <v>0.0</v>
      </c>
      <c r="G400" s="5">
        <v>3.0</v>
      </c>
      <c r="H400" s="5">
        <v>0.0</v>
      </c>
      <c r="I400" s="5">
        <v>0.0</v>
      </c>
      <c r="J400" s="5"/>
    </row>
    <row r="401">
      <c r="A401" s="5" t="s">
        <v>1451</v>
      </c>
      <c r="B401" s="201" t="s">
        <v>1400</v>
      </c>
      <c r="C401" s="200" t="str">
        <f t="shared" si="1"/>
        <v>Diapers_25+</v>
      </c>
      <c r="D401" s="18">
        <v>1059.0</v>
      </c>
      <c r="E401" s="18">
        <v>326.0</v>
      </c>
      <c r="F401" s="5">
        <v>30.8</v>
      </c>
      <c r="G401" s="5">
        <v>6905.0</v>
      </c>
      <c r="H401" s="5">
        <v>861.0</v>
      </c>
      <c r="I401" s="5">
        <v>12.5</v>
      </c>
      <c r="J401" s="5"/>
    </row>
    <row r="402">
      <c r="A402" s="5" t="s">
        <v>1451</v>
      </c>
      <c r="B402" s="201" t="s">
        <v>4227</v>
      </c>
      <c r="C402" s="200" t="str">
        <f t="shared" si="1"/>
        <v>Diapers_No Sales</v>
      </c>
      <c r="D402" s="18">
        <v>36.0</v>
      </c>
      <c r="E402" s="18">
        <v>34.0</v>
      </c>
      <c r="F402" s="5">
        <v>94.4</v>
      </c>
      <c r="G402" s="5">
        <v>59.0</v>
      </c>
      <c r="H402" s="5">
        <v>55.0</v>
      </c>
      <c r="I402" s="5">
        <v>93.2</v>
      </c>
      <c r="J402" s="5"/>
    </row>
    <row r="403">
      <c r="A403" s="5" t="s">
        <v>2425</v>
      </c>
      <c r="B403" s="201" t="s">
        <v>1426</v>
      </c>
      <c r="C403" s="200" t="str">
        <f t="shared" si="1"/>
        <v>Diaries &amp; Notebooks_0-5</v>
      </c>
      <c r="D403" s="18">
        <v>30.0</v>
      </c>
      <c r="E403" s="18">
        <v>9.0</v>
      </c>
      <c r="F403" s="5">
        <v>30.0</v>
      </c>
      <c r="G403" s="5">
        <v>166.0</v>
      </c>
      <c r="H403" s="5">
        <v>29.0</v>
      </c>
      <c r="I403" s="5">
        <v>17.5</v>
      </c>
      <c r="J403" s="5"/>
    </row>
    <row r="404">
      <c r="A404" s="5" t="s">
        <v>2425</v>
      </c>
      <c r="B404" s="201" t="s">
        <v>4228</v>
      </c>
      <c r="C404" s="200" t="str">
        <f t="shared" si="1"/>
        <v>Diaries &amp; Notebooks_5-10</v>
      </c>
      <c r="D404" s="18">
        <v>11.0</v>
      </c>
      <c r="E404" s="18">
        <v>8.0</v>
      </c>
      <c r="F404" s="5">
        <v>72.7</v>
      </c>
      <c r="G404" s="5">
        <v>27.0</v>
      </c>
      <c r="H404" s="5">
        <v>21.0</v>
      </c>
      <c r="I404" s="5">
        <v>77.8</v>
      </c>
      <c r="J404" s="5"/>
    </row>
    <row r="405">
      <c r="A405" s="5" t="s">
        <v>2425</v>
      </c>
      <c r="B405" s="201" t="s">
        <v>1413</v>
      </c>
      <c r="C405" s="200" t="str">
        <f t="shared" si="1"/>
        <v>Diaries &amp; Notebooks_15-20</v>
      </c>
      <c r="D405" s="18">
        <v>25.0</v>
      </c>
      <c r="E405" s="18">
        <v>15.0</v>
      </c>
      <c r="F405" s="5">
        <v>60.0</v>
      </c>
      <c r="G405" s="5">
        <v>71.0</v>
      </c>
      <c r="H405" s="5">
        <v>51.0</v>
      </c>
      <c r="I405" s="5">
        <v>71.8</v>
      </c>
      <c r="J405" s="5"/>
    </row>
    <row r="406">
      <c r="A406" s="5" t="s">
        <v>2425</v>
      </c>
      <c r="B406" s="201" t="s">
        <v>4227</v>
      </c>
      <c r="C406" s="200" t="str">
        <f t="shared" si="1"/>
        <v>Diaries &amp; Notebooks_No Sales</v>
      </c>
      <c r="D406" s="18">
        <v>1.0</v>
      </c>
      <c r="E406" s="18">
        <v>1.0</v>
      </c>
      <c r="F406" s="5">
        <v>100.0</v>
      </c>
      <c r="G406" s="5">
        <v>1.0</v>
      </c>
      <c r="H406" s="5">
        <v>1.0</v>
      </c>
      <c r="I406" s="5">
        <v>100.0</v>
      </c>
      <c r="J406" s="5"/>
    </row>
    <row r="407">
      <c r="A407" s="5" t="s">
        <v>1878</v>
      </c>
      <c r="B407" s="201" t="s">
        <v>1426</v>
      </c>
      <c r="C407" s="200" t="str">
        <f t="shared" si="1"/>
        <v>Dish Cleaners_0-5</v>
      </c>
      <c r="D407" s="18">
        <v>28.0</v>
      </c>
      <c r="E407" s="18">
        <v>1.0</v>
      </c>
      <c r="F407" s="5">
        <v>3.6</v>
      </c>
      <c r="G407" s="5">
        <v>199.0</v>
      </c>
      <c r="H407" s="5">
        <v>5.0</v>
      </c>
      <c r="I407" s="5">
        <v>2.5</v>
      </c>
      <c r="J407" s="5"/>
    </row>
    <row r="408">
      <c r="A408" s="5" t="s">
        <v>1878</v>
      </c>
      <c r="B408" s="201" t="s">
        <v>4228</v>
      </c>
      <c r="C408" s="200" t="str">
        <f t="shared" si="1"/>
        <v>Dish Cleaners_5-10</v>
      </c>
      <c r="D408" s="18">
        <v>215.0</v>
      </c>
      <c r="E408" s="18">
        <v>22.0</v>
      </c>
      <c r="F408" s="5">
        <v>10.2</v>
      </c>
      <c r="G408" s="5">
        <v>7822.0</v>
      </c>
      <c r="H408" s="5">
        <v>59.0</v>
      </c>
      <c r="I408" s="5">
        <v>0.8</v>
      </c>
      <c r="J408" s="5"/>
    </row>
    <row r="409">
      <c r="A409" s="5" t="s">
        <v>1878</v>
      </c>
      <c r="B409" s="201" t="s">
        <v>4226</v>
      </c>
      <c r="C409" s="200" t="str">
        <f t="shared" si="1"/>
        <v>Dish Cleaners_10-15</v>
      </c>
      <c r="D409" s="18">
        <v>218.0</v>
      </c>
      <c r="E409" s="18">
        <v>22.0</v>
      </c>
      <c r="F409" s="5">
        <v>10.1</v>
      </c>
      <c r="G409" s="5">
        <v>4137.0</v>
      </c>
      <c r="H409" s="5">
        <v>64.0</v>
      </c>
      <c r="I409" s="5">
        <v>1.5</v>
      </c>
      <c r="J409" s="5"/>
    </row>
    <row r="410">
      <c r="A410" s="5" t="s">
        <v>1878</v>
      </c>
      <c r="B410" s="201" t="s">
        <v>1413</v>
      </c>
      <c r="C410" s="200" t="str">
        <f t="shared" si="1"/>
        <v>Dish Cleaners_15-20</v>
      </c>
      <c r="D410" s="18">
        <v>264.0</v>
      </c>
      <c r="E410" s="18">
        <v>42.0</v>
      </c>
      <c r="F410" s="5">
        <v>15.9</v>
      </c>
      <c r="G410" s="5">
        <v>5079.0</v>
      </c>
      <c r="H410" s="5">
        <v>118.0</v>
      </c>
      <c r="I410" s="5">
        <v>2.3</v>
      </c>
      <c r="J410" s="5"/>
    </row>
    <row r="411">
      <c r="A411" s="5" t="s">
        <v>1878</v>
      </c>
      <c r="B411" s="201" t="s">
        <v>1398</v>
      </c>
      <c r="C411" s="200" t="str">
        <f t="shared" si="1"/>
        <v>Dish Cleaners_20-25</v>
      </c>
      <c r="D411" s="18">
        <v>145.0</v>
      </c>
      <c r="E411" s="18">
        <v>30.0</v>
      </c>
      <c r="F411" s="5">
        <v>20.7</v>
      </c>
      <c r="G411" s="5">
        <v>1499.0</v>
      </c>
      <c r="H411" s="5">
        <v>88.0</v>
      </c>
      <c r="I411" s="5">
        <v>5.9</v>
      </c>
      <c r="J411" s="5"/>
    </row>
    <row r="412">
      <c r="A412" s="5" t="s">
        <v>1878</v>
      </c>
      <c r="B412" s="201" t="s">
        <v>1400</v>
      </c>
      <c r="C412" s="200" t="str">
        <f t="shared" si="1"/>
        <v>Dish Cleaners_25+</v>
      </c>
      <c r="D412" s="18">
        <v>457.0</v>
      </c>
      <c r="E412" s="18">
        <v>92.0</v>
      </c>
      <c r="F412" s="5">
        <v>20.1</v>
      </c>
      <c r="G412" s="5">
        <v>6103.0</v>
      </c>
      <c r="H412" s="5">
        <v>256.0</v>
      </c>
      <c r="I412" s="5">
        <v>4.2</v>
      </c>
      <c r="J412" s="5"/>
    </row>
    <row r="413">
      <c r="A413" s="5" t="s">
        <v>1878</v>
      </c>
      <c r="B413" s="201" t="s">
        <v>4227</v>
      </c>
      <c r="C413" s="200" t="str">
        <f t="shared" si="1"/>
        <v>Dish Cleaners_No Sales</v>
      </c>
      <c r="D413" s="18">
        <v>7.0</v>
      </c>
      <c r="E413" s="18">
        <v>6.0</v>
      </c>
      <c r="F413" s="5">
        <v>85.7</v>
      </c>
      <c r="G413" s="5">
        <v>10.0</v>
      </c>
      <c r="H413" s="5">
        <v>8.0</v>
      </c>
      <c r="I413" s="5">
        <v>80.0</v>
      </c>
      <c r="J413" s="5"/>
    </row>
    <row r="414">
      <c r="A414" s="5" t="s">
        <v>2859</v>
      </c>
      <c r="B414" s="201" t="s">
        <v>1426</v>
      </c>
      <c r="C414" s="200" t="str">
        <f t="shared" si="1"/>
        <v>Dog Accessories_0-5</v>
      </c>
      <c r="D414" s="18">
        <v>29.0</v>
      </c>
      <c r="E414" s="18">
        <v>14.0</v>
      </c>
      <c r="F414" s="5">
        <v>48.3</v>
      </c>
      <c r="G414" s="5">
        <v>87.0</v>
      </c>
      <c r="H414" s="5">
        <v>43.0</v>
      </c>
      <c r="I414" s="5">
        <v>49.4</v>
      </c>
      <c r="J414" s="5"/>
    </row>
    <row r="415">
      <c r="A415" s="5" t="s">
        <v>2859</v>
      </c>
      <c r="B415" s="201" t="s">
        <v>4228</v>
      </c>
      <c r="C415" s="200" t="str">
        <f t="shared" si="1"/>
        <v>Dog Accessories_5-10</v>
      </c>
      <c r="D415" s="18">
        <v>115.0</v>
      </c>
      <c r="E415" s="18">
        <v>43.0</v>
      </c>
      <c r="F415" s="5">
        <v>37.4</v>
      </c>
      <c r="G415" s="5">
        <v>526.0</v>
      </c>
      <c r="H415" s="5">
        <v>141.0</v>
      </c>
      <c r="I415" s="5">
        <v>26.8</v>
      </c>
      <c r="J415" s="5"/>
    </row>
    <row r="416">
      <c r="A416" s="5" t="s">
        <v>2859</v>
      </c>
      <c r="B416" s="201" t="s">
        <v>4226</v>
      </c>
      <c r="C416" s="200" t="str">
        <f t="shared" si="1"/>
        <v>Dog Accessories_10-15</v>
      </c>
      <c r="D416" s="18">
        <v>34.0</v>
      </c>
      <c r="E416" s="18">
        <v>24.0</v>
      </c>
      <c r="F416" s="5">
        <v>70.6</v>
      </c>
      <c r="G416" s="5">
        <v>111.0</v>
      </c>
      <c r="H416" s="5">
        <v>71.0</v>
      </c>
      <c r="I416" s="5">
        <v>64.0</v>
      </c>
      <c r="J416" s="5"/>
    </row>
    <row r="417">
      <c r="A417" s="5" t="s">
        <v>2859</v>
      </c>
      <c r="B417" s="201" t="s">
        <v>1413</v>
      </c>
      <c r="C417" s="200" t="str">
        <f t="shared" si="1"/>
        <v>Dog Accessories_15-20</v>
      </c>
      <c r="D417" s="18">
        <v>101.0</v>
      </c>
      <c r="E417" s="18">
        <v>66.0</v>
      </c>
      <c r="F417" s="5">
        <v>65.3</v>
      </c>
      <c r="G417" s="5">
        <v>338.0</v>
      </c>
      <c r="H417" s="5">
        <v>198.0</v>
      </c>
      <c r="I417" s="5">
        <v>58.6</v>
      </c>
      <c r="J417" s="5"/>
    </row>
    <row r="418">
      <c r="A418" s="5" t="s">
        <v>2859</v>
      </c>
      <c r="B418" s="201" t="s">
        <v>1398</v>
      </c>
      <c r="C418" s="200" t="str">
        <f t="shared" si="1"/>
        <v>Dog Accessories_20-25</v>
      </c>
      <c r="D418" s="18">
        <v>76.0</v>
      </c>
      <c r="E418" s="18">
        <v>41.0</v>
      </c>
      <c r="F418" s="5">
        <v>53.9</v>
      </c>
      <c r="G418" s="5">
        <v>321.0</v>
      </c>
      <c r="H418" s="5">
        <v>129.0</v>
      </c>
      <c r="I418" s="5">
        <v>40.2</v>
      </c>
      <c r="J418" s="5"/>
    </row>
    <row r="419">
      <c r="A419" s="5" t="s">
        <v>2859</v>
      </c>
      <c r="B419" s="201" t="s">
        <v>1400</v>
      </c>
      <c r="C419" s="200" t="str">
        <f t="shared" si="1"/>
        <v>Dog Accessories_25+</v>
      </c>
      <c r="D419" s="18">
        <v>245.0</v>
      </c>
      <c r="E419" s="18">
        <v>187.0</v>
      </c>
      <c r="F419" s="5">
        <v>76.3</v>
      </c>
      <c r="G419" s="5">
        <v>796.0</v>
      </c>
      <c r="H419" s="5">
        <v>570.0</v>
      </c>
      <c r="I419" s="5">
        <v>71.6</v>
      </c>
      <c r="J419" s="5"/>
    </row>
    <row r="420">
      <c r="A420" s="5" t="s">
        <v>2859</v>
      </c>
      <c r="B420" s="201" t="s">
        <v>4227</v>
      </c>
      <c r="C420" s="200" t="str">
        <f t="shared" si="1"/>
        <v>Dog Accessories_No Sales</v>
      </c>
      <c r="D420" s="18">
        <v>57.0</v>
      </c>
      <c r="E420" s="18">
        <v>54.0</v>
      </c>
      <c r="F420" s="5">
        <v>94.7</v>
      </c>
      <c r="G420" s="5">
        <v>190.0</v>
      </c>
      <c r="H420" s="5">
        <v>182.0</v>
      </c>
      <c r="I420" s="5">
        <v>95.8</v>
      </c>
      <c r="J420" s="5"/>
    </row>
    <row r="421">
      <c r="A421" s="5" t="s">
        <v>2867</v>
      </c>
      <c r="B421" s="201" t="s">
        <v>1398</v>
      </c>
      <c r="C421" s="200" t="str">
        <f t="shared" si="1"/>
        <v>Dog Care_20-25</v>
      </c>
      <c r="D421" s="18">
        <v>29.0</v>
      </c>
      <c r="E421" s="18">
        <v>14.0</v>
      </c>
      <c r="F421" s="5">
        <v>48.3</v>
      </c>
      <c r="G421" s="5">
        <v>86.0</v>
      </c>
      <c r="H421" s="5">
        <v>43.0</v>
      </c>
      <c r="I421" s="5">
        <v>50.0</v>
      </c>
      <c r="J421" s="5"/>
    </row>
    <row r="422">
      <c r="A422" s="5" t="s">
        <v>2867</v>
      </c>
      <c r="B422" s="201" t="s">
        <v>1400</v>
      </c>
      <c r="C422" s="200" t="str">
        <f t="shared" si="1"/>
        <v>Dog Care_25+</v>
      </c>
      <c r="D422" s="18">
        <v>19.0</v>
      </c>
      <c r="E422" s="18">
        <v>18.0</v>
      </c>
      <c r="F422" s="5">
        <v>94.7</v>
      </c>
      <c r="G422" s="5">
        <v>57.0</v>
      </c>
      <c r="H422" s="5">
        <v>56.0</v>
      </c>
      <c r="I422" s="5">
        <v>98.2</v>
      </c>
      <c r="J422" s="5"/>
    </row>
    <row r="423">
      <c r="A423" s="5" t="s">
        <v>2867</v>
      </c>
      <c r="B423" s="201" t="s">
        <v>4227</v>
      </c>
      <c r="C423" s="200" t="str">
        <f t="shared" si="1"/>
        <v>Dog Care_No Sales</v>
      </c>
      <c r="D423" s="18">
        <v>21.0</v>
      </c>
      <c r="E423" s="18">
        <v>21.0</v>
      </c>
      <c r="F423" s="5">
        <v>100.0</v>
      </c>
      <c r="G423" s="5">
        <v>60.0</v>
      </c>
      <c r="H423" s="5">
        <v>60.0</v>
      </c>
      <c r="I423" s="5">
        <v>100.0</v>
      </c>
      <c r="J423" s="5"/>
    </row>
    <row r="424">
      <c r="A424" s="5" t="s">
        <v>2872</v>
      </c>
      <c r="B424" s="201" t="s">
        <v>1426</v>
      </c>
      <c r="C424" s="200" t="str">
        <f t="shared" si="1"/>
        <v>Dog Food_0-5</v>
      </c>
      <c r="D424" s="18">
        <v>65.0</v>
      </c>
      <c r="E424" s="18">
        <v>14.0</v>
      </c>
      <c r="F424" s="5">
        <v>21.5</v>
      </c>
      <c r="G424" s="5">
        <v>1019.0</v>
      </c>
      <c r="H424" s="5">
        <v>37.0</v>
      </c>
      <c r="I424" s="5">
        <v>3.6</v>
      </c>
      <c r="J424" s="5"/>
    </row>
    <row r="425">
      <c r="A425" s="5" t="s">
        <v>2872</v>
      </c>
      <c r="B425" s="201" t="s">
        <v>4228</v>
      </c>
      <c r="C425" s="200" t="str">
        <f t="shared" si="1"/>
        <v>Dog Food_5-10</v>
      </c>
      <c r="D425" s="18">
        <v>229.0</v>
      </c>
      <c r="E425" s="18">
        <v>72.0</v>
      </c>
      <c r="F425" s="5">
        <v>31.4</v>
      </c>
      <c r="G425" s="5">
        <v>2246.0</v>
      </c>
      <c r="H425" s="5">
        <v>260.0</v>
      </c>
      <c r="I425" s="5">
        <v>11.6</v>
      </c>
      <c r="J425" s="5"/>
    </row>
    <row r="426">
      <c r="A426" s="5" t="s">
        <v>2872</v>
      </c>
      <c r="B426" s="201" t="s">
        <v>4226</v>
      </c>
      <c r="C426" s="200" t="str">
        <f t="shared" si="1"/>
        <v>Dog Food_10-15</v>
      </c>
      <c r="D426" s="18">
        <v>115.0</v>
      </c>
      <c r="E426" s="18">
        <v>35.0</v>
      </c>
      <c r="F426" s="5">
        <v>30.4</v>
      </c>
      <c r="G426" s="5">
        <v>745.0</v>
      </c>
      <c r="H426" s="5">
        <v>116.0</v>
      </c>
      <c r="I426" s="5">
        <v>15.6</v>
      </c>
      <c r="J426" s="5"/>
    </row>
    <row r="427">
      <c r="A427" s="5" t="s">
        <v>2872</v>
      </c>
      <c r="B427" s="201" t="s">
        <v>1413</v>
      </c>
      <c r="C427" s="200" t="str">
        <f t="shared" si="1"/>
        <v>Dog Food_15-20</v>
      </c>
      <c r="D427" s="18">
        <v>125.0</v>
      </c>
      <c r="E427" s="18">
        <v>43.0</v>
      </c>
      <c r="F427" s="5">
        <v>34.4</v>
      </c>
      <c r="G427" s="5">
        <v>972.0</v>
      </c>
      <c r="H427" s="5">
        <v>123.0</v>
      </c>
      <c r="I427" s="5">
        <v>12.7</v>
      </c>
      <c r="J427" s="5"/>
    </row>
    <row r="428">
      <c r="A428" s="5" t="s">
        <v>2872</v>
      </c>
      <c r="B428" s="201" t="s">
        <v>1398</v>
      </c>
      <c r="C428" s="200" t="str">
        <f t="shared" si="1"/>
        <v>Dog Food_20-25</v>
      </c>
      <c r="D428" s="18">
        <v>30.0</v>
      </c>
      <c r="E428" s="18">
        <v>11.0</v>
      </c>
      <c r="F428" s="5">
        <v>36.7</v>
      </c>
      <c r="G428" s="5">
        <v>122.0</v>
      </c>
      <c r="H428" s="5">
        <v>35.0</v>
      </c>
      <c r="I428" s="5">
        <v>28.7</v>
      </c>
      <c r="J428" s="5"/>
    </row>
    <row r="429">
      <c r="A429" s="5" t="s">
        <v>2872</v>
      </c>
      <c r="B429" s="201" t="s">
        <v>1400</v>
      </c>
      <c r="C429" s="200" t="str">
        <f t="shared" si="1"/>
        <v>Dog Food_25+</v>
      </c>
      <c r="D429" s="18">
        <v>283.0</v>
      </c>
      <c r="E429" s="18">
        <v>128.0</v>
      </c>
      <c r="F429" s="5">
        <v>45.2</v>
      </c>
      <c r="G429" s="5">
        <v>1443.0</v>
      </c>
      <c r="H429" s="5">
        <v>276.0</v>
      </c>
      <c r="I429" s="5">
        <v>19.1</v>
      </c>
      <c r="J429" s="5"/>
    </row>
    <row r="430">
      <c r="A430" s="5" t="s">
        <v>2872</v>
      </c>
      <c r="B430" s="201" t="s">
        <v>4227</v>
      </c>
      <c r="C430" s="200" t="str">
        <f t="shared" si="1"/>
        <v>Dog Food_No Sales</v>
      </c>
      <c r="D430" s="18">
        <v>8.0</v>
      </c>
      <c r="E430" s="18">
        <v>6.0</v>
      </c>
      <c r="F430" s="5">
        <v>75.0</v>
      </c>
      <c r="G430" s="5">
        <v>132.0</v>
      </c>
      <c r="H430" s="5">
        <v>125.0</v>
      </c>
      <c r="I430" s="5">
        <v>94.7</v>
      </c>
      <c r="J430" s="5"/>
    </row>
    <row r="431">
      <c r="A431" s="5" t="s">
        <v>265</v>
      </c>
      <c r="B431" s="201" t="s">
        <v>1426</v>
      </c>
      <c r="C431" s="200" t="str">
        <f t="shared" si="1"/>
        <v>Dressings_0-5</v>
      </c>
      <c r="D431" s="18">
        <v>30.0</v>
      </c>
      <c r="E431" s="18">
        <v>0.0</v>
      </c>
      <c r="F431" s="5">
        <v>0.0</v>
      </c>
      <c r="G431" s="5">
        <v>1152.0</v>
      </c>
      <c r="H431" s="5">
        <v>0.0</v>
      </c>
      <c r="I431" s="5">
        <v>0.0</v>
      </c>
      <c r="J431" s="5"/>
    </row>
    <row r="432">
      <c r="A432" s="5" t="s">
        <v>265</v>
      </c>
      <c r="B432" s="201" t="s">
        <v>4228</v>
      </c>
      <c r="C432" s="200" t="str">
        <f t="shared" si="1"/>
        <v>Dressings_5-10</v>
      </c>
      <c r="D432" s="18">
        <v>155.0</v>
      </c>
      <c r="E432" s="18">
        <v>10.0</v>
      </c>
      <c r="F432" s="5">
        <v>6.5</v>
      </c>
      <c r="G432" s="5">
        <v>2189.0</v>
      </c>
      <c r="H432" s="5">
        <v>24.0</v>
      </c>
      <c r="I432" s="5">
        <v>1.1</v>
      </c>
      <c r="J432" s="5"/>
    </row>
    <row r="433">
      <c r="A433" s="5" t="s">
        <v>265</v>
      </c>
      <c r="B433" s="201" t="s">
        <v>4226</v>
      </c>
      <c r="C433" s="200" t="str">
        <f t="shared" si="1"/>
        <v>Dressings_10-15</v>
      </c>
      <c r="D433" s="18">
        <v>63.0</v>
      </c>
      <c r="E433" s="18">
        <v>23.0</v>
      </c>
      <c r="F433" s="5">
        <v>36.5</v>
      </c>
      <c r="G433" s="5">
        <v>871.0</v>
      </c>
      <c r="H433" s="5">
        <v>50.0</v>
      </c>
      <c r="I433" s="5">
        <v>5.7</v>
      </c>
      <c r="J433" s="5"/>
    </row>
    <row r="434">
      <c r="A434" s="5" t="s">
        <v>265</v>
      </c>
      <c r="B434" s="201" t="s">
        <v>1413</v>
      </c>
      <c r="C434" s="200" t="str">
        <f t="shared" si="1"/>
        <v>Dressings_15-20</v>
      </c>
      <c r="D434" s="18">
        <v>140.0</v>
      </c>
      <c r="E434" s="18">
        <v>36.0</v>
      </c>
      <c r="F434" s="5">
        <v>25.7</v>
      </c>
      <c r="G434" s="5">
        <v>525.0</v>
      </c>
      <c r="H434" s="5">
        <v>94.0</v>
      </c>
      <c r="I434" s="5">
        <v>17.9</v>
      </c>
      <c r="J434" s="5"/>
    </row>
    <row r="435">
      <c r="A435" s="5" t="s">
        <v>265</v>
      </c>
      <c r="B435" s="201" t="s">
        <v>1398</v>
      </c>
      <c r="C435" s="200" t="str">
        <f t="shared" si="1"/>
        <v>Dressings_20-25</v>
      </c>
      <c r="D435" s="18">
        <v>57.0</v>
      </c>
      <c r="E435" s="18">
        <v>46.0</v>
      </c>
      <c r="F435" s="5">
        <v>80.7</v>
      </c>
      <c r="G435" s="5">
        <v>142.0</v>
      </c>
      <c r="H435" s="5">
        <v>112.0</v>
      </c>
      <c r="I435" s="5">
        <v>78.9</v>
      </c>
      <c r="J435" s="5"/>
    </row>
    <row r="436">
      <c r="A436" s="5" t="s">
        <v>265</v>
      </c>
      <c r="B436" s="201" t="s">
        <v>1400</v>
      </c>
      <c r="C436" s="200" t="str">
        <f t="shared" si="1"/>
        <v>Dressings_25+</v>
      </c>
      <c r="D436" s="18">
        <v>1.0</v>
      </c>
      <c r="E436" s="18">
        <v>0.0</v>
      </c>
      <c r="F436" s="5">
        <v>0.0</v>
      </c>
      <c r="G436" s="5">
        <v>3.0</v>
      </c>
      <c r="H436" s="5">
        <v>0.0</v>
      </c>
      <c r="I436" s="5">
        <v>0.0</v>
      </c>
      <c r="J436" s="5"/>
    </row>
    <row r="437">
      <c r="A437" s="5" t="s">
        <v>265</v>
      </c>
      <c r="B437" s="201" t="s">
        <v>4227</v>
      </c>
      <c r="C437" s="200" t="str">
        <f t="shared" si="1"/>
        <v>Dressings_No Sales</v>
      </c>
      <c r="D437" s="18">
        <v>36.0</v>
      </c>
      <c r="E437" s="18">
        <v>12.0</v>
      </c>
      <c r="F437" s="5">
        <v>33.3</v>
      </c>
      <c r="G437" s="5">
        <v>1074.0</v>
      </c>
      <c r="H437" s="5">
        <v>23.0</v>
      </c>
      <c r="I437" s="5">
        <v>2.1</v>
      </c>
      <c r="J437" s="5"/>
    </row>
    <row r="438">
      <c r="A438" s="5" t="s">
        <v>2773</v>
      </c>
      <c r="B438" s="201" t="s">
        <v>1426</v>
      </c>
      <c r="C438" s="200" t="str">
        <f t="shared" si="1"/>
        <v>Dried Herbs_0-5</v>
      </c>
      <c r="D438" s="18">
        <v>133.0</v>
      </c>
      <c r="E438" s="18">
        <v>32.0</v>
      </c>
      <c r="F438" s="5">
        <v>24.1</v>
      </c>
      <c r="G438" s="5">
        <v>2393.0</v>
      </c>
      <c r="H438" s="5">
        <v>91.0</v>
      </c>
      <c r="I438" s="5">
        <v>3.8</v>
      </c>
      <c r="J438" s="5"/>
    </row>
    <row r="439">
      <c r="A439" s="5" t="s">
        <v>2773</v>
      </c>
      <c r="B439" s="201" t="s">
        <v>4228</v>
      </c>
      <c r="C439" s="200" t="str">
        <f t="shared" si="1"/>
        <v>Dried Herbs_5-10</v>
      </c>
      <c r="D439" s="18">
        <v>145.0</v>
      </c>
      <c r="E439" s="18">
        <v>21.0</v>
      </c>
      <c r="F439" s="5">
        <v>14.5</v>
      </c>
      <c r="G439" s="5">
        <v>2651.0</v>
      </c>
      <c r="H439" s="5">
        <v>60.0</v>
      </c>
      <c r="I439" s="5">
        <v>2.3</v>
      </c>
      <c r="J439" s="5"/>
    </row>
    <row r="440">
      <c r="A440" s="5" t="s">
        <v>2773</v>
      </c>
      <c r="B440" s="201" t="s">
        <v>4226</v>
      </c>
      <c r="C440" s="200" t="str">
        <f t="shared" si="1"/>
        <v>Dried Herbs_10-15</v>
      </c>
      <c r="D440" s="18">
        <v>139.0</v>
      </c>
      <c r="E440" s="18">
        <v>28.0</v>
      </c>
      <c r="F440" s="5">
        <v>20.1</v>
      </c>
      <c r="G440" s="5">
        <v>1280.0</v>
      </c>
      <c r="H440" s="5">
        <v>84.0</v>
      </c>
      <c r="I440" s="5">
        <v>6.6</v>
      </c>
      <c r="J440" s="5"/>
    </row>
    <row r="441">
      <c r="A441" s="5" t="s">
        <v>2773</v>
      </c>
      <c r="B441" s="201" t="s">
        <v>1413</v>
      </c>
      <c r="C441" s="200" t="str">
        <f t="shared" si="1"/>
        <v>Dried Herbs_15-20</v>
      </c>
      <c r="D441" s="18">
        <v>110.0</v>
      </c>
      <c r="E441" s="18">
        <v>31.0</v>
      </c>
      <c r="F441" s="5">
        <v>28.2</v>
      </c>
      <c r="G441" s="5">
        <v>632.0</v>
      </c>
      <c r="H441" s="5">
        <v>103.0</v>
      </c>
      <c r="I441" s="5">
        <v>16.3</v>
      </c>
      <c r="J441" s="5"/>
    </row>
    <row r="442">
      <c r="A442" s="5" t="s">
        <v>2773</v>
      </c>
      <c r="B442" s="201" t="s">
        <v>1400</v>
      </c>
      <c r="C442" s="200" t="str">
        <f t="shared" si="1"/>
        <v>Dried Herbs_25+</v>
      </c>
      <c r="D442" s="18">
        <v>99.0</v>
      </c>
      <c r="E442" s="18">
        <v>67.0</v>
      </c>
      <c r="F442" s="5">
        <v>67.7</v>
      </c>
      <c r="G442" s="5">
        <v>332.0</v>
      </c>
      <c r="H442" s="5">
        <v>213.0</v>
      </c>
      <c r="I442" s="5">
        <v>64.2</v>
      </c>
      <c r="J442" s="5"/>
    </row>
    <row r="443">
      <c r="A443" s="5" t="s">
        <v>2773</v>
      </c>
      <c r="B443" s="201" t="s">
        <v>4227</v>
      </c>
      <c r="C443" s="200" t="str">
        <f t="shared" si="1"/>
        <v>Dried Herbs_No Sales</v>
      </c>
      <c r="D443" s="18">
        <v>6.0</v>
      </c>
      <c r="E443" s="18">
        <v>4.0</v>
      </c>
      <c r="F443" s="5">
        <v>66.7</v>
      </c>
      <c r="G443" s="5">
        <v>24.0</v>
      </c>
      <c r="H443" s="5">
        <v>21.0</v>
      </c>
      <c r="I443" s="5">
        <v>87.5</v>
      </c>
      <c r="J443" s="5"/>
    </row>
    <row r="444">
      <c r="A444" s="5" t="s">
        <v>4229</v>
      </c>
      <c r="B444" s="201" t="s">
        <v>4227</v>
      </c>
      <c r="C444" s="200" t="str">
        <f t="shared" si="1"/>
        <v>Earphones_No Sales</v>
      </c>
      <c r="D444" s="18">
        <v>3.0</v>
      </c>
      <c r="E444" s="18">
        <v>3.0</v>
      </c>
      <c r="F444" s="5">
        <v>100.0</v>
      </c>
      <c r="G444" s="5">
        <v>5.0</v>
      </c>
      <c r="H444" s="5">
        <v>5.0</v>
      </c>
      <c r="I444" s="5">
        <v>100.0</v>
      </c>
      <c r="J444" s="5"/>
    </row>
    <row r="445">
      <c r="A445" s="5" t="s">
        <v>2635</v>
      </c>
      <c r="B445" s="201" t="s">
        <v>4228</v>
      </c>
      <c r="C445" s="200" t="str">
        <f t="shared" si="1"/>
        <v>Fabric Softeners_5-10</v>
      </c>
      <c r="D445" s="18">
        <v>30.0</v>
      </c>
      <c r="E445" s="18">
        <v>0.0</v>
      </c>
      <c r="F445" s="5">
        <v>0.0</v>
      </c>
      <c r="G445" s="5">
        <v>336.0</v>
      </c>
      <c r="H445" s="5">
        <v>0.0</v>
      </c>
      <c r="I445" s="5">
        <v>0.0</v>
      </c>
      <c r="J445" s="5"/>
    </row>
    <row r="446">
      <c r="A446" s="5" t="s">
        <v>2635</v>
      </c>
      <c r="B446" s="201" t="s">
        <v>4226</v>
      </c>
      <c r="C446" s="200" t="str">
        <f t="shared" si="1"/>
        <v>Fabric Softeners_10-15</v>
      </c>
      <c r="D446" s="18">
        <v>60.0</v>
      </c>
      <c r="E446" s="18">
        <v>3.0</v>
      </c>
      <c r="F446" s="5">
        <v>5.0</v>
      </c>
      <c r="G446" s="5">
        <v>1476.0</v>
      </c>
      <c r="H446" s="5">
        <v>10.0</v>
      </c>
      <c r="I446" s="5">
        <v>0.7</v>
      </c>
      <c r="J446" s="5"/>
    </row>
    <row r="447">
      <c r="A447" s="5" t="s">
        <v>2635</v>
      </c>
      <c r="B447" s="201" t="s">
        <v>1413</v>
      </c>
      <c r="C447" s="200" t="str">
        <f t="shared" si="1"/>
        <v>Fabric Softeners_15-20</v>
      </c>
      <c r="D447" s="18">
        <v>160.0</v>
      </c>
      <c r="E447" s="18">
        <v>31.0</v>
      </c>
      <c r="F447" s="5">
        <v>19.4</v>
      </c>
      <c r="G447" s="5">
        <v>860.0</v>
      </c>
      <c r="H447" s="5">
        <v>89.0</v>
      </c>
      <c r="I447" s="5">
        <v>10.3</v>
      </c>
      <c r="J447" s="5"/>
    </row>
    <row r="448">
      <c r="A448" s="5" t="s">
        <v>2635</v>
      </c>
      <c r="B448" s="201" t="s">
        <v>1398</v>
      </c>
      <c r="C448" s="200" t="str">
        <f t="shared" si="1"/>
        <v>Fabric Softeners_20-25</v>
      </c>
      <c r="D448" s="18">
        <v>377.0</v>
      </c>
      <c r="E448" s="18">
        <v>32.0</v>
      </c>
      <c r="F448" s="5">
        <v>8.5</v>
      </c>
      <c r="G448" s="5">
        <v>10518.0</v>
      </c>
      <c r="H448" s="5">
        <v>94.0</v>
      </c>
      <c r="I448" s="5">
        <v>0.9</v>
      </c>
      <c r="J448" s="5"/>
    </row>
    <row r="449">
      <c r="A449" s="5" t="s">
        <v>2635</v>
      </c>
      <c r="B449" s="201" t="s">
        <v>1400</v>
      </c>
      <c r="C449" s="200" t="str">
        <f t="shared" si="1"/>
        <v>Fabric Softeners_25+</v>
      </c>
      <c r="D449" s="18">
        <v>243.0</v>
      </c>
      <c r="E449" s="18">
        <v>77.0</v>
      </c>
      <c r="F449" s="5">
        <v>31.7</v>
      </c>
      <c r="G449" s="5">
        <v>1989.0</v>
      </c>
      <c r="H449" s="5">
        <v>201.0</v>
      </c>
      <c r="I449" s="5">
        <v>10.1</v>
      </c>
      <c r="J449" s="5"/>
    </row>
    <row r="450">
      <c r="A450" s="5" t="s">
        <v>2635</v>
      </c>
      <c r="B450" s="201" t="s">
        <v>4227</v>
      </c>
      <c r="C450" s="200" t="str">
        <f t="shared" si="1"/>
        <v>Fabric Softeners_No Sales</v>
      </c>
      <c r="D450" s="18">
        <v>11.0</v>
      </c>
      <c r="E450" s="18">
        <v>9.0</v>
      </c>
      <c r="F450" s="5">
        <v>81.8</v>
      </c>
      <c r="G450" s="5">
        <v>60.0</v>
      </c>
      <c r="H450" s="5">
        <v>57.0</v>
      </c>
      <c r="I450" s="5">
        <v>95.0</v>
      </c>
      <c r="J450" s="5"/>
    </row>
    <row r="451">
      <c r="A451" s="5" t="s">
        <v>3175</v>
      </c>
      <c r="B451" s="201" t="s">
        <v>1426</v>
      </c>
      <c r="C451" s="200" t="str">
        <f t="shared" si="1"/>
        <v>Facial Tissues_0-5</v>
      </c>
      <c r="D451" s="18">
        <v>117.0</v>
      </c>
      <c r="E451" s="18">
        <v>1.0</v>
      </c>
      <c r="F451" s="5">
        <v>0.9</v>
      </c>
      <c r="G451" s="5">
        <v>3667.0</v>
      </c>
      <c r="H451" s="5">
        <v>6.0</v>
      </c>
      <c r="I451" s="5">
        <v>0.2</v>
      </c>
      <c r="J451" s="5"/>
    </row>
    <row r="452">
      <c r="A452" s="5" t="s">
        <v>3175</v>
      </c>
      <c r="B452" s="201" t="s">
        <v>4228</v>
      </c>
      <c r="C452" s="200" t="str">
        <f t="shared" si="1"/>
        <v>Facial Tissues_5-10</v>
      </c>
      <c r="D452" s="18">
        <v>31.0</v>
      </c>
      <c r="E452" s="18">
        <v>0.0</v>
      </c>
      <c r="F452" s="5">
        <v>0.0</v>
      </c>
      <c r="G452" s="5">
        <v>3962.0</v>
      </c>
      <c r="H452" s="5">
        <v>0.0</v>
      </c>
      <c r="I452" s="5">
        <v>0.0</v>
      </c>
      <c r="J452" s="5"/>
    </row>
    <row r="453">
      <c r="A453" s="5" t="s">
        <v>3175</v>
      </c>
      <c r="B453" s="201" t="s">
        <v>4226</v>
      </c>
      <c r="C453" s="200" t="str">
        <f t="shared" si="1"/>
        <v>Facial Tissues_10-15</v>
      </c>
      <c r="D453" s="18">
        <v>132.0</v>
      </c>
      <c r="E453" s="18">
        <v>4.0</v>
      </c>
      <c r="F453" s="5">
        <v>3.0</v>
      </c>
      <c r="G453" s="5">
        <v>8238.0</v>
      </c>
      <c r="H453" s="5">
        <v>12.0</v>
      </c>
      <c r="I453" s="5">
        <v>0.1</v>
      </c>
      <c r="J453" s="5"/>
    </row>
    <row r="454">
      <c r="A454" s="5" t="s">
        <v>3175</v>
      </c>
      <c r="B454" s="201" t="s">
        <v>1413</v>
      </c>
      <c r="C454" s="200" t="str">
        <f t="shared" si="1"/>
        <v>Facial Tissues_15-20</v>
      </c>
      <c r="D454" s="18">
        <v>104.0</v>
      </c>
      <c r="E454" s="18">
        <v>31.0</v>
      </c>
      <c r="F454" s="5">
        <v>29.8</v>
      </c>
      <c r="G454" s="5">
        <v>979.0</v>
      </c>
      <c r="H454" s="5">
        <v>98.0</v>
      </c>
      <c r="I454" s="5">
        <v>10.0</v>
      </c>
      <c r="J454" s="5"/>
    </row>
    <row r="455">
      <c r="A455" s="5" t="s">
        <v>3175</v>
      </c>
      <c r="B455" s="201" t="s">
        <v>1398</v>
      </c>
      <c r="C455" s="200" t="str">
        <f t="shared" si="1"/>
        <v>Facial Tissues_20-25</v>
      </c>
      <c r="D455" s="18">
        <v>50.0</v>
      </c>
      <c r="E455" s="18">
        <v>9.0</v>
      </c>
      <c r="F455" s="5">
        <v>18.0</v>
      </c>
      <c r="G455" s="5">
        <v>792.0</v>
      </c>
      <c r="H455" s="5">
        <v>29.0</v>
      </c>
      <c r="I455" s="5">
        <v>3.7</v>
      </c>
      <c r="J455" s="5"/>
    </row>
    <row r="456">
      <c r="A456" s="5" t="s">
        <v>3175</v>
      </c>
      <c r="B456" s="201" t="s">
        <v>1400</v>
      </c>
      <c r="C456" s="200" t="str">
        <f t="shared" si="1"/>
        <v>Facial Tissues_25+</v>
      </c>
      <c r="D456" s="18">
        <v>97.0</v>
      </c>
      <c r="E456" s="18">
        <v>23.0</v>
      </c>
      <c r="F456" s="5">
        <v>23.7</v>
      </c>
      <c r="G456" s="5">
        <v>513.0</v>
      </c>
      <c r="H456" s="5">
        <v>71.0</v>
      </c>
      <c r="I456" s="5">
        <v>13.8</v>
      </c>
      <c r="J456" s="5"/>
    </row>
    <row r="457">
      <c r="A457" s="5" t="s">
        <v>3175</v>
      </c>
      <c r="B457" s="201" t="s">
        <v>4227</v>
      </c>
      <c r="C457" s="200" t="str">
        <f t="shared" si="1"/>
        <v>Facial Tissues_No Sales</v>
      </c>
      <c r="D457" s="18">
        <v>4.0</v>
      </c>
      <c r="E457" s="18">
        <v>3.0</v>
      </c>
      <c r="F457" s="5">
        <v>75.0</v>
      </c>
      <c r="G457" s="5">
        <v>5.0</v>
      </c>
      <c r="H457" s="5">
        <v>4.0</v>
      </c>
      <c r="I457" s="5">
        <v>80.0</v>
      </c>
      <c r="J457" s="5"/>
    </row>
    <row r="458">
      <c r="A458" s="5" t="s">
        <v>473</v>
      </c>
      <c r="B458" s="201" t="s">
        <v>1426</v>
      </c>
      <c r="C458" s="200" t="str">
        <f t="shared" si="1"/>
        <v>Feminine Care_0-5</v>
      </c>
      <c r="D458" s="18">
        <v>32.0</v>
      </c>
      <c r="E458" s="18">
        <v>9.0</v>
      </c>
      <c r="F458" s="5">
        <v>28.1</v>
      </c>
      <c r="G458" s="5">
        <v>193.0</v>
      </c>
      <c r="H458" s="5">
        <v>33.0</v>
      </c>
      <c r="I458" s="5">
        <v>17.1</v>
      </c>
      <c r="J458" s="5"/>
    </row>
    <row r="459">
      <c r="A459" s="5" t="s">
        <v>473</v>
      </c>
      <c r="B459" s="201" t="s">
        <v>4228</v>
      </c>
      <c r="C459" s="200" t="str">
        <f t="shared" si="1"/>
        <v>Feminine Care_5-10</v>
      </c>
      <c r="D459" s="18">
        <v>188.0</v>
      </c>
      <c r="E459" s="18">
        <v>5.0</v>
      </c>
      <c r="F459" s="5">
        <v>2.7</v>
      </c>
      <c r="G459" s="5">
        <v>3796.0</v>
      </c>
      <c r="H459" s="5">
        <v>11.0</v>
      </c>
      <c r="I459" s="5">
        <v>0.3</v>
      </c>
      <c r="J459" s="5"/>
    </row>
    <row r="460">
      <c r="A460" s="5" t="s">
        <v>473</v>
      </c>
      <c r="B460" s="201" t="s">
        <v>4226</v>
      </c>
      <c r="C460" s="200" t="str">
        <f t="shared" si="1"/>
        <v>Feminine Care_10-15</v>
      </c>
      <c r="D460" s="18">
        <v>576.0</v>
      </c>
      <c r="E460" s="18">
        <v>47.0</v>
      </c>
      <c r="F460" s="5">
        <v>8.2</v>
      </c>
      <c r="G460" s="5">
        <v>16031.0</v>
      </c>
      <c r="H460" s="5">
        <v>177.0</v>
      </c>
      <c r="I460" s="5">
        <v>1.1</v>
      </c>
      <c r="J460" s="5"/>
    </row>
    <row r="461">
      <c r="A461" s="5" t="s">
        <v>473</v>
      </c>
      <c r="B461" s="201" t="s">
        <v>1413</v>
      </c>
      <c r="C461" s="200" t="str">
        <f t="shared" si="1"/>
        <v>Feminine Care_15-20</v>
      </c>
      <c r="D461" s="18">
        <v>366.0</v>
      </c>
      <c r="E461" s="18">
        <v>44.0</v>
      </c>
      <c r="F461" s="5">
        <v>12.0</v>
      </c>
      <c r="G461" s="5">
        <v>8051.0</v>
      </c>
      <c r="H461" s="5">
        <v>157.0</v>
      </c>
      <c r="I461" s="5">
        <v>2.0</v>
      </c>
      <c r="J461" s="5"/>
    </row>
    <row r="462">
      <c r="A462" s="5" t="s">
        <v>473</v>
      </c>
      <c r="B462" s="201" t="s">
        <v>1398</v>
      </c>
      <c r="C462" s="200" t="str">
        <f t="shared" si="1"/>
        <v>Feminine Care_20-25</v>
      </c>
      <c r="D462" s="18">
        <v>338.0</v>
      </c>
      <c r="E462" s="18">
        <v>31.0</v>
      </c>
      <c r="F462" s="5">
        <v>9.2</v>
      </c>
      <c r="G462" s="5">
        <v>4655.0</v>
      </c>
      <c r="H462" s="5">
        <v>82.0</v>
      </c>
      <c r="I462" s="5">
        <v>1.8</v>
      </c>
      <c r="J462" s="5"/>
    </row>
    <row r="463">
      <c r="A463" s="5" t="s">
        <v>473</v>
      </c>
      <c r="B463" s="201" t="s">
        <v>1400</v>
      </c>
      <c r="C463" s="200" t="str">
        <f t="shared" si="1"/>
        <v>Feminine Care_25+</v>
      </c>
      <c r="D463" s="18">
        <v>744.0</v>
      </c>
      <c r="E463" s="18">
        <v>213.0</v>
      </c>
      <c r="F463" s="5">
        <v>28.6</v>
      </c>
      <c r="G463" s="5">
        <v>6278.0</v>
      </c>
      <c r="H463" s="5">
        <v>637.0</v>
      </c>
      <c r="I463" s="5">
        <v>10.1</v>
      </c>
      <c r="J463" s="5"/>
    </row>
    <row r="464">
      <c r="A464" s="5" t="s">
        <v>473</v>
      </c>
      <c r="B464" s="201" t="s">
        <v>4227</v>
      </c>
      <c r="C464" s="200" t="str">
        <f t="shared" si="1"/>
        <v>Feminine Care_No Sales</v>
      </c>
      <c r="D464" s="18">
        <v>6.0</v>
      </c>
      <c r="E464" s="18">
        <v>3.0</v>
      </c>
      <c r="F464" s="5">
        <v>50.0</v>
      </c>
      <c r="G464" s="5">
        <v>98.0</v>
      </c>
      <c r="H464" s="5">
        <v>6.0</v>
      </c>
      <c r="I464" s="5">
        <v>6.1</v>
      </c>
      <c r="J464" s="5"/>
    </row>
    <row r="465">
      <c r="A465" s="5" t="s">
        <v>358</v>
      </c>
      <c r="B465" s="201" t="s">
        <v>1426</v>
      </c>
      <c r="C465" s="200" t="str">
        <f t="shared" si="1"/>
        <v>Festive &amp; Religious_0-5</v>
      </c>
      <c r="D465" s="18">
        <v>29.0</v>
      </c>
      <c r="E465" s="18">
        <v>4.0</v>
      </c>
      <c r="F465" s="5">
        <v>13.8</v>
      </c>
      <c r="G465" s="5">
        <v>226.0</v>
      </c>
      <c r="H465" s="5">
        <v>20.0</v>
      </c>
      <c r="I465" s="5">
        <v>8.8</v>
      </c>
      <c r="J465" s="5"/>
    </row>
    <row r="466">
      <c r="A466" s="5" t="s">
        <v>358</v>
      </c>
      <c r="B466" s="201" t="s">
        <v>4228</v>
      </c>
      <c r="C466" s="200" t="str">
        <f t="shared" si="1"/>
        <v>Festive &amp; Religious_5-10</v>
      </c>
      <c r="D466" s="18">
        <v>103.0</v>
      </c>
      <c r="E466" s="18">
        <v>6.0</v>
      </c>
      <c r="F466" s="5">
        <v>5.8</v>
      </c>
      <c r="G466" s="5">
        <v>848.0</v>
      </c>
      <c r="H466" s="5">
        <v>24.0</v>
      </c>
      <c r="I466" s="5">
        <v>2.8</v>
      </c>
      <c r="J466" s="5"/>
    </row>
    <row r="467">
      <c r="A467" s="5" t="s">
        <v>358</v>
      </c>
      <c r="B467" s="201" t="s">
        <v>4226</v>
      </c>
      <c r="C467" s="200" t="str">
        <f t="shared" si="1"/>
        <v>Festive &amp; Religious_10-15</v>
      </c>
      <c r="D467" s="18">
        <v>36.0</v>
      </c>
      <c r="E467" s="18">
        <v>17.0</v>
      </c>
      <c r="F467" s="5">
        <v>47.2</v>
      </c>
      <c r="G467" s="5">
        <v>75.0</v>
      </c>
      <c r="H467" s="5">
        <v>19.0</v>
      </c>
      <c r="I467" s="5">
        <v>25.3</v>
      </c>
      <c r="J467" s="5"/>
    </row>
    <row r="468">
      <c r="A468" s="5" t="s">
        <v>358</v>
      </c>
      <c r="B468" s="201" t="s">
        <v>4227</v>
      </c>
      <c r="C468" s="200" t="str">
        <f t="shared" si="1"/>
        <v>Festive &amp; Religious_No Sales</v>
      </c>
      <c r="D468" s="18">
        <v>19.0</v>
      </c>
      <c r="E468" s="18">
        <v>17.0</v>
      </c>
      <c r="F468" s="5">
        <v>89.5</v>
      </c>
      <c r="G468" s="5">
        <v>19.0</v>
      </c>
      <c r="H468" s="5">
        <v>17.0</v>
      </c>
      <c r="I468" s="5">
        <v>89.5</v>
      </c>
      <c r="J468" s="5"/>
    </row>
    <row r="469">
      <c r="A469" s="5" t="s">
        <v>1628</v>
      </c>
      <c r="B469" s="201" t="s">
        <v>1400</v>
      </c>
      <c r="C469" s="200" t="str">
        <f t="shared" si="1"/>
        <v>Festive Drinks_25+</v>
      </c>
      <c r="D469" s="18">
        <v>392.0</v>
      </c>
      <c r="E469" s="18">
        <v>110.0</v>
      </c>
      <c r="F469" s="5">
        <v>28.1</v>
      </c>
      <c r="G469" s="5">
        <v>2341.0</v>
      </c>
      <c r="H469" s="5">
        <v>339.0</v>
      </c>
      <c r="I469" s="5">
        <v>14.5</v>
      </c>
      <c r="J469" s="5"/>
    </row>
    <row r="470">
      <c r="A470" s="5" t="s">
        <v>2334</v>
      </c>
      <c r="B470" s="201" t="s">
        <v>4228</v>
      </c>
      <c r="C470" s="200" t="str">
        <f t="shared" si="1"/>
        <v>First Aid Kits_5-10</v>
      </c>
      <c r="D470" s="18">
        <v>67.0</v>
      </c>
      <c r="E470" s="18">
        <v>12.0</v>
      </c>
      <c r="F470" s="5">
        <v>17.9</v>
      </c>
      <c r="G470" s="5">
        <v>487.0</v>
      </c>
      <c r="H470" s="5">
        <v>33.0</v>
      </c>
      <c r="I470" s="5">
        <v>6.8</v>
      </c>
      <c r="J470" s="5"/>
    </row>
    <row r="471">
      <c r="A471" s="5" t="s">
        <v>2334</v>
      </c>
      <c r="B471" s="201" t="s">
        <v>4226</v>
      </c>
      <c r="C471" s="200" t="str">
        <f t="shared" si="1"/>
        <v>First Aid Kits_10-15</v>
      </c>
      <c r="D471" s="18">
        <v>59.0</v>
      </c>
      <c r="E471" s="18">
        <v>4.0</v>
      </c>
      <c r="F471" s="5">
        <v>6.8</v>
      </c>
      <c r="G471" s="5">
        <v>452.0</v>
      </c>
      <c r="H471" s="5">
        <v>27.0</v>
      </c>
      <c r="I471" s="5">
        <v>6.0</v>
      </c>
      <c r="J471" s="5"/>
    </row>
    <row r="472">
      <c r="A472" s="5" t="s">
        <v>2334</v>
      </c>
      <c r="B472" s="201" t="s">
        <v>1413</v>
      </c>
      <c r="C472" s="200" t="str">
        <f t="shared" si="1"/>
        <v>First Aid Kits_15-20</v>
      </c>
      <c r="D472" s="18">
        <v>86.0</v>
      </c>
      <c r="E472" s="18">
        <v>19.0</v>
      </c>
      <c r="F472" s="5">
        <v>22.1</v>
      </c>
      <c r="G472" s="5">
        <v>601.0</v>
      </c>
      <c r="H472" s="5">
        <v>51.0</v>
      </c>
      <c r="I472" s="5">
        <v>8.5</v>
      </c>
      <c r="J472" s="5"/>
    </row>
    <row r="473">
      <c r="A473" s="5" t="s">
        <v>2334</v>
      </c>
      <c r="B473" s="201" t="s">
        <v>1398</v>
      </c>
      <c r="C473" s="200" t="str">
        <f t="shared" si="1"/>
        <v>First Aid Kits_20-25</v>
      </c>
      <c r="D473" s="18">
        <v>50.0</v>
      </c>
      <c r="E473" s="18">
        <v>32.0</v>
      </c>
      <c r="F473" s="5">
        <v>64.0</v>
      </c>
      <c r="G473" s="5">
        <v>145.0</v>
      </c>
      <c r="H473" s="5">
        <v>92.0</v>
      </c>
      <c r="I473" s="5">
        <v>63.4</v>
      </c>
      <c r="J473" s="5"/>
    </row>
    <row r="474">
      <c r="A474" s="5" t="s">
        <v>2334</v>
      </c>
      <c r="B474" s="201" t="s">
        <v>1400</v>
      </c>
      <c r="C474" s="200" t="str">
        <f t="shared" si="1"/>
        <v>First Aid Kits_25+</v>
      </c>
      <c r="D474" s="18">
        <v>86.0</v>
      </c>
      <c r="E474" s="18">
        <v>31.0</v>
      </c>
      <c r="F474" s="5">
        <v>36.0</v>
      </c>
      <c r="G474" s="5">
        <v>356.0</v>
      </c>
      <c r="H474" s="5">
        <v>80.0</v>
      </c>
      <c r="I474" s="5">
        <v>22.5</v>
      </c>
      <c r="J474" s="5"/>
    </row>
    <row r="475">
      <c r="A475" s="5" t="s">
        <v>2666</v>
      </c>
      <c r="B475" s="201" t="s">
        <v>1426</v>
      </c>
      <c r="C475" s="200" t="str">
        <f t="shared" si="1"/>
        <v>Flavoured Milk_0-5</v>
      </c>
      <c r="D475" s="18">
        <v>234.0</v>
      </c>
      <c r="E475" s="18">
        <v>29.0</v>
      </c>
      <c r="F475" s="5">
        <v>12.4</v>
      </c>
      <c r="G475" s="5">
        <v>3700.0</v>
      </c>
      <c r="H475" s="5">
        <v>111.0</v>
      </c>
      <c r="I475" s="5">
        <v>3.0</v>
      </c>
      <c r="J475" s="5"/>
    </row>
    <row r="476">
      <c r="A476" s="5" t="s">
        <v>2666</v>
      </c>
      <c r="B476" s="201" t="s">
        <v>4228</v>
      </c>
      <c r="C476" s="200" t="str">
        <f t="shared" si="1"/>
        <v>Flavoured Milk_5-10</v>
      </c>
      <c r="D476" s="18">
        <v>305.0</v>
      </c>
      <c r="E476" s="18">
        <v>31.0</v>
      </c>
      <c r="F476" s="5">
        <v>10.2</v>
      </c>
      <c r="G476" s="5">
        <v>10722.0</v>
      </c>
      <c r="H476" s="5">
        <v>74.0</v>
      </c>
      <c r="I476" s="5">
        <v>0.7</v>
      </c>
      <c r="J476" s="5"/>
    </row>
    <row r="477">
      <c r="A477" s="5" t="s">
        <v>2666</v>
      </c>
      <c r="B477" s="201" t="s">
        <v>4226</v>
      </c>
      <c r="C477" s="200" t="str">
        <f t="shared" si="1"/>
        <v>Flavoured Milk_10-15</v>
      </c>
      <c r="D477" s="18">
        <v>9.0</v>
      </c>
      <c r="E477" s="18">
        <v>0.0</v>
      </c>
      <c r="F477" s="5">
        <v>0.0</v>
      </c>
      <c r="G477" s="5">
        <v>11.0</v>
      </c>
      <c r="H477" s="5">
        <v>0.0</v>
      </c>
      <c r="I477" s="5">
        <v>0.0</v>
      </c>
      <c r="J477" s="5"/>
    </row>
    <row r="478">
      <c r="A478" s="5" t="s">
        <v>2666</v>
      </c>
      <c r="B478" s="201" t="s">
        <v>1413</v>
      </c>
      <c r="C478" s="200" t="str">
        <f t="shared" si="1"/>
        <v>Flavoured Milk_15-20</v>
      </c>
      <c r="D478" s="18">
        <v>31.0</v>
      </c>
      <c r="E478" s="18">
        <v>14.0</v>
      </c>
      <c r="F478" s="5">
        <v>45.2</v>
      </c>
      <c r="G478" s="5">
        <v>98.0</v>
      </c>
      <c r="H478" s="5">
        <v>39.0</v>
      </c>
      <c r="I478" s="5">
        <v>39.8</v>
      </c>
      <c r="J478" s="5"/>
    </row>
    <row r="479">
      <c r="A479" s="5" t="s">
        <v>2666</v>
      </c>
      <c r="B479" s="201" t="s">
        <v>4227</v>
      </c>
      <c r="C479" s="200" t="str">
        <f t="shared" si="1"/>
        <v>Flavoured Milk_No Sales</v>
      </c>
      <c r="D479" s="18">
        <v>9.0</v>
      </c>
      <c r="E479" s="18">
        <v>1.0</v>
      </c>
      <c r="F479" s="5">
        <v>11.1</v>
      </c>
      <c r="G479" s="5">
        <v>14.0</v>
      </c>
      <c r="H479" s="5">
        <v>6.0</v>
      </c>
      <c r="I479" s="5">
        <v>42.9</v>
      </c>
      <c r="J479" s="5"/>
    </row>
    <row r="480">
      <c r="A480" s="5" t="s">
        <v>3232</v>
      </c>
      <c r="B480" s="201" t="s">
        <v>1426</v>
      </c>
      <c r="C480" s="200" t="str">
        <f t="shared" si="1"/>
        <v>Flavoured Water_0-5</v>
      </c>
      <c r="D480" s="18">
        <v>28.0</v>
      </c>
      <c r="E480" s="18">
        <v>1.0</v>
      </c>
      <c r="F480" s="5">
        <v>3.6</v>
      </c>
      <c r="G480" s="5">
        <v>967.0</v>
      </c>
      <c r="H480" s="5">
        <v>3.0</v>
      </c>
      <c r="I480" s="5">
        <v>0.3</v>
      </c>
      <c r="J480" s="5"/>
    </row>
    <row r="481">
      <c r="A481" s="5" t="s">
        <v>3232</v>
      </c>
      <c r="B481" s="201" t="s">
        <v>4228</v>
      </c>
      <c r="C481" s="200" t="str">
        <f t="shared" si="1"/>
        <v>Flavoured Water_5-10</v>
      </c>
      <c r="D481" s="18">
        <v>110.0</v>
      </c>
      <c r="E481" s="18">
        <v>11.0</v>
      </c>
      <c r="F481" s="5">
        <v>10.0</v>
      </c>
      <c r="G481" s="5">
        <v>2802.0</v>
      </c>
      <c r="H481" s="5">
        <v>37.0</v>
      </c>
      <c r="I481" s="5">
        <v>1.3</v>
      </c>
      <c r="J481" s="5"/>
    </row>
    <row r="482">
      <c r="A482" s="5" t="s">
        <v>3232</v>
      </c>
      <c r="B482" s="201" t="s">
        <v>4226</v>
      </c>
      <c r="C482" s="200" t="str">
        <f t="shared" si="1"/>
        <v>Flavoured Water_10-15</v>
      </c>
      <c r="D482" s="18">
        <v>58.0</v>
      </c>
      <c r="E482" s="18">
        <v>1.0</v>
      </c>
      <c r="F482" s="5">
        <v>1.7</v>
      </c>
      <c r="G482" s="5">
        <v>8829.0</v>
      </c>
      <c r="H482" s="5">
        <v>5.0</v>
      </c>
      <c r="I482" s="5">
        <v>0.1</v>
      </c>
      <c r="J482" s="5"/>
    </row>
    <row r="483">
      <c r="A483" s="5" t="s">
        <v>3232</v>
      </c>
      <c r="B483" s="201" t="s">
        <v>1413</v>
      </c>
      <c r="C483" s="200" t="str">
        <f t="shared" si="1"/>
        <v>Flavoured Water_15-20</v>
      </c>
      <c r="D483" s="18">
        <v>47.0</v>
      </c>
      <c r="E483" s="18">
        <v>1.0</v>
      </c>
      <c r="F483" s="5">
        <v>2.1</v>
      </c>
      <c r="G483" s="5">
        <v>4514.0</v>
      </c>
      <c r="H483" s="5">
        <v>3.0</v>
      </c>
      <c r="I483" s="5">
        <v>0.1</v>
      </c>
      <c r="J483" s="5"/>
    </row>
    <row r="484">
      <c r="A484" s="5" t="s">
        <v>3232</v>
      </c>
      <c r="B484" s="201" t="s">
        <v>1400</v>
      </c>
      <c r="C484" s="200" t="str">
        <f t="shared" si="1"/>
        <v>Flavoured Water_25+</v>
      </c>
      <c r="D484" s="18">
        <v>18.0</v>
      </c>
      <c r="E484" s="18">
        <v>12.0</v>
      </c>
      <c r="F484" s="5">
        <v>66.7</v>
      </c>
      <c r="G484" s="5">
        <v>47.0</v>
      </c>
      <c r="H484" s="5">
        <v>37.0</v>
      </c>
      <c r="I484" s="5">
        <v>78.7</v>
      </c>
      <c r="J484" s="5"/>
    </row>
    <row r="485">
      <c r="A485" s="5" t="s">
        <v>582</v>
      </c>
      <c r="B485" s="201" t="s">
        <v>1426</v>
      </c>
      <c r="C485" s="200" t="str">
        <f t="shared" si="1"/>
        <v>Flavoured Yoghurt_0-5</v>
      </c>
      <c r="D485" s="18">
        <v>299.0</v>
      </c>
      <c r="E485" s="18">
        <v>1.0</v>
      </c>
      <c r="F485" s="5">
        <v>0.3</v>
      </c>
      <c r="G485" s="5">
        <v>16433.0</v>
      </c>
      <c r="H485" s="5">
        <v>6.0</v>
      </c>
      <c r="I485" s="5">
        <v>0.0</v>
      </c>
      <c r="J485" s="5"/>
    </row>
    <row r="486">
      <c r="A486" s="5" t="s">
        <v>582</v>
      </c>
      <c r="B486" s="201" t="s">
        <v>4228</v>
      </c>
      <c r="C486" s="200" t="str">
        <f t="shared" si="1"/>
        <v>Flavoured Yoghurt_5-10</v>
      </c>
      <c r="D486" s="18">
        <v>832.0</v>
      </c>
      <c r="E486" s="18">
        <v>57.0</v>
      </c>
      <c r="F486" s="5">
        <v>6.9</v>
      </c>
      <c r="G486" s="5">
        <v>30851.0</v>
      </c>
      <c r="H486" s="5">
        <v>237.0</v>
      </c>
      <c r="I486" s="5">
        <v>0.8</v>
      </c>
      <c r="J486" s="5"/>
    </row>
    <row r="487">
      <c r="A487" s="5" t="s">
        <v>582</v>
      </c>
      <c r="B487" s="201" t="s">
        <v>4226</v>
      </c>
      <c r="C487" s="200" t="str">
        <f t="shared" si="1"/>
        <v>Flavoured Yoghurt_10-15</v>
      </c>
      <c r="D487" s="18">
        <v>382.0</v>
      </c>
      <c r="E487" s="18">
        <v>51.0</v>
      </c>
      <c r="F487" s="5">
        <v>13.4</v>
      </c>
      <c r="G487" s="5">
        <v>5940.0</v>
      </c>
      <c r="H487" s="5">
        <v>169.0</v>
      </c>
      <c r="I487" s="5">
        <v>2.8</v>
      </c>
      <c r="J487" s="5"/>
    </row>
    <row r="488">
      <c r="A488" s="5" t="s">
        <v>582</v>
      </c>
      <c r="B488" s="201" t="s">
        <v>1413</v>
      </c>
      <c r="C488" s="200" t="str">
        <f t="shared" si="1"/>
        <v>Flavoured Yoghurt_15-20</v>
      </c>
      <c r="D488" s="18">
        <v>127.0</v>
      </c>
      <c r="E488" s="18">
        <v>29.0</v>
      </c>
      <c r="F488" s="5">
        <v>22.8</v>
      </c>
      <c r="G488" s="5">
        <v>1352.0</v>
      </c>
      <c r="H488" s="5">
        <v>101.0</v>
      </c>
      <c r="I488" s="5">
        <v>7.5</v>
      </c>
      <c r="J488" s="5"/>
    </row>
    <row r="489">
      <c r="A489" s="5" t="s">
        <v>582</v>
      </c>
      <c r="B489" s="201" t="s">
        <v>4227</v>
      </c>
      <c r="C489" s="200" t="str">
        <f t="shared" si="1"/>
        <v>Flavoured Yoghurt_No Sales</v>
      </c>
      <c r="D489" s="18">
        <v>8.0</v>
      </c>
      <c r="E489" s="18">
        <v>1.0</v>
      </c>
      <c r="F489" s="5">
        <v>12.5</v>
      </c>
      <c r="G489" s="5">
        <v>363.0</v>
      </c>
      <c r="H489" s="5">
        <v>3.0</v>
      </c>
      <c r="I489" s="5">
        <v>0.8</v>
      </c>
      <c r="J489" s="5"/>
    </row>
    <row r="490">
      <c r="A490" s="5" t="s">
        <v>805</v>
      </c>
      <c r="B490" s="201" t="s">
        <v>1426</v>
      </c>
      <c r="C490" s="200" t="str">
        <f t="shared" si="1"/>
        <v>Flavouring &amp; Food Coloring_0-5</v>
      </c>
      <c r="D490" s="18">
        <v>148.0</v>
      </c>
      <c r="E490" s="18">
        <v>15.0</v>
      </c>
      <c r="F490" s="5">
        <v>10.1</v>
      </c>
      <c r="G490" s="5">
        <v>3601.0</v>
      </c>
      <c r="H490" s="5">
        <v>58.0</v>
      </c>
      <c r="I490" s="5">
        <v>1.6</v>
      </c>
      <c r="J490" s="5"/>
    </row>
    <row r="491">
      <c r="A491" s="5" t="s">
        <v>805</v>
      </c>
      <c r="B491" s="201" t="s">
        <v>4228</v>
      </c>
      <c r="C491" s="200" t="str">
        <f t="shared" si="1"/>
        <v>Flavouring &amp; Food Coloring_5-10</v>
      </c>
      <c r="D491" s="18">
        <v>10.0</v>
      </c>
      <c r="E491" s="18">
        <v>4.0</v>
      </c>
      <c r="F491" s="5">
        <v>40.0</v>
      </c>
      <c r="G491" s="5">
        <v>19.0</v>
      </c>
      <c r="H491" s="5">
        <v>9.0</v>
      </c>
      <c r="I491" s="5">
        <v>47.4</v>
      </c>
      <c r="J491" s="5"/>
    </row>
    <row r="492">
      <c r="A492" s="5" t="s">
        <v>805</v>
      </c>
      <c r="B492" s="201" t="s">
        <v>4227</v>
      </c>
      <c r="C492" s="200" t="str">
        <f t="shared" si="1"/>
        <v>Flavouring &amp; Food Coloring_No Sales</v>
      </c>
      <c r="D492" s="18">
        <v>4.0</v>
      </c>
      <c r="E492" s="18">
        <v>4.0</v>
      </c>
      <c r="F492" s="5">
        <v>100.0</v>
      </c>
      <c r="G492" s="5">
        <v>7.0</v>
      </c>
      <c r="H492" s="5">
        <v>7.0</v>
      </c>
      <c r="I492" s="5">
        <v>100.0</v>
      </c>
      <c r="J492" s="5"/>
    </row>
    <row r="493">
      <c r="A493" s="5" t="s">
        <v>1577</v>
      </c>
      <c r="B493" s="201" t="s">
        <v>1426</v>
      </c>
      <c r="C493" s="200" t="str">
        <f t="shared" si="1"/>
        <v>Flour_0-5</v>
      </c>
      <c r="D493" s="18">
        <v>491.0</v>
      </c>
      <c r="E493" s="18">
        <v>79.0</v>
      </c>
      <c r="F493" s="5">
        <v>16.1</v>
      </c>
      <c r="G493" s="5">
        <v>7634.0</v>
      </c>
      <c r="H493" s="5">
        <v>328.0</v>
      </c>
      <c r="I493" s="5">
        <v>4.3</v>
      </c>
      <c r="J493" s="5"/>
    </row>
    <row r="494">
      <c r="A494" s="5" t="s">
        <v>1577</v>
      </c>
      <c r="B494" s="201" t="s">
        <v>4228</v>
      </c>
      <c r="C494" s="200" t="str">
        <f t="shared" si="1"/>
        <v>Flour_5-10</v>
      </c>
      <c r="D494" s="18">
        <v>631.0</v>
      </c>
      <c r="E494" s="18">
        <v>98.0</v>
      </c>
      <c r="F494" s="5">
        <v>15.5</v>
      </c>
      <c r="G494" s="5">
        <v>9535.0</v>
      </c>
      <c r="H494" s="5">
        <v>326.0</v>
      </c>
      <c r="I494" s="5">
        <v>3.4</v>
      </c>
      <c r="J494" s="5"/>
    </row>
    <row r="495">
      <c r="A495" s="5" t="s">
        <v>1577</v>
      </c>
      <c r="B495" s="201" t="s">
        <v>4226</v>
      </c>
      <c r="C495" s="200" t="str">
        <f t="shared" si="1"/>
        <v>Flour_10-15</v>
      </c>
      <c r="D495" s="18">
        <v>338.0</v>
      </c>
      <c r="E495" s="18">
        <v>70.0</v>
      </c>
      <c r="F495" s="5">
        <v>20.7</v>
      </c>
      <c r="G495" s="5">
        <v>5760.0</v>
      </c>
      <c r="H495" s="5">
        <v>223.0</v>
      </c>
      <c r="I495" s="5">
        <v>3.9</v>
      </c>
      <c r="J495" s="5"/>
    </row>
    <row r="496">
      <c r="A496" s="5" t="s">
        <v>1577</v>
      </c>
      <c r="B496" s="201" t="s">
        <v>1413</v>
      </c>
      <c r="C496" s="200" t="str">
        <f t="shared" si="1"/>
        <v>Flour_15-20</v>
      </c>
      <c r="D496" s="18">
        <v>56.0</v>
      </c>
      <c r="E496" s="18">
        <v>41.0</v>
      </c>
      <c r="F496" s="5">
        <v>73.2</v>
      </c>
      <c r="G496" s="5">
        <v>187.0</v>
      </c>
      <c r="H496" s="5">
        <v>132.0</v>
      </c>
      <c r="I496" s="5">
        <v>70.6</v>
      </c>
      <c r="J496" s="5"/>
    </row>
    <row r="497">
      <c r="A497" s="5" t="s">
        <v>1577</v>
      </c>
      <c r="B497" s="201" t="s">
        <v>1398</v>
      </c>
      <c r="C497" s="200" t="str">
        <f t="shared" si="1"/>
        <v>Flour_20-25</v>
      </c>
      <c r="D497" s="18">
        <v>129.0</v>
      </c>
      <c r="E497" s="18">
        <v>25.0</v>
      </c>
      <c r="F497" s="5">
        <v>19.4</v>
      </c>
      <c r="G497" s="5">
        <v>2668.0</v>
      </c>
      <c r="H497" s="5">
        <v>92.0</v>
      </c>
      <c r="I497" s="5">
        <v>3.4</v>
      </c>
      <c r="J497" s="5"/>
    </row>
    <row r="498">
      <c r="A498" s="5" t="s">
        <v>1577</v>
      </c>
      <c r="B498" s="201" t="s">
        <v>1400</v>
      </c>
      <c r="C498" s="200" t="str">
        <f t="shared" si="1"/>
        <v>Flour_25+</v>
      </c>
      <c r="D498" s="18">
        <v>241.0</v>
      </c>
      <c r="E498" s="18">
        <v>78.0</v>
      </c>
      <c r="F498" s="5">
        <v>32.4</v>
      </c>
      <c r="G498" s="5">
        <v>1750.0</v>
      </c>
      <c r="H498" s="5">
        <v>283.0</v>
      </c>
      <c r="I498" s="5">
        <v>16.2</v>
      </c>
      <c r="J498" s="5"/>
    </row>
    <row r="499">
      <c r="A499" s="5" t="s">
        <v>1577</v>
      </c>
      <c r="B499" s="201" t="s">
        <v>4227</v>
      </c>
      <c r="C499" s="200" t="str">
        <f t="shared" si="1"/>
        <v>Flour_No Sales</v>
      </c>
      <c r="D499" s="18">
        <v>5.0</v>
      </c>
      <c r="E499" s="18">
        <v>4.0</v>
      </c>
      <c r="F499" s="5">
        <v>80.0</v>
      </c>
      <c r="G499" s="5">
        <v>13.0</v>
      </c>
      <c r="H499" s="5">
        <v>9.0</v>
      </c>
      <c r="I499" s="5">
        <v>69.2</v>
      </c>
      <c r="J499" s="5"/>
    </row>
    <row r="500">
      <c r="A500" s="5" t="s">
        <v>2064</v>
      </c>
      <c r="B500" s="201" t="s">
        <v>4228</v>
      </c>
      <c r="C500" s="200" t="str">
        <f t="shared" si="1"/>
        <v>Foils &amp; Wraps_5-10</v>
      </c>
      <c r="D500" s="18">
        <v>208.0</v>
      </c>
      <c r="E500" s="18">
        <v>8.0</v>
      </c>
      <c r="F500" s="5">
        <v>3.8</v>
      </c>
      <c r="G500" s="5">
        <v>4824.0</v>
      </c>
      <c r="H500" s="5">
        <v>25.0</v>
      </c>
      <c r="I500" s="5">
        <v>0.5</v>
      </c>
      <c r="J500" s="5"/>
    </row>
    <row r="501">
      <c r="A501" s="5" t="s">
        <v>2064</v>
      </c>
      <c r="B501" s="201" t="s">
        <v>4226</v>
      </c>
      <c r="C501" s="200" t="str">
        <f t="shared" si="1"/>
        <v>Foils &amp; Wraps_10-15</v>
      </c>
      <c r="D501" s="18">
        <v>200.0</v>
      </c>
      <c r="E501" s="18">
        <v>56.0</v>
      </c>
      <c r="F501" s="5">
        <v>28.0</v>
      </c>
      <c r="G501" s="5">
        <v>1797.0</v>
      </c>
      <c r="H501" s="5">
        <v>165.0</v>
      </c>
      <c r="I501" s="5">
        <v>9.2</v>
      </c>
      <c r="J501" s="5"/>
    </row>
    <row r="502">
      <c r="A502" s="5" t="s">
        <v>2064</v>
      </c>
      <c r="B502" s="201" t="s">
        <v>1413</v>
      </c>
      <c r="C502" s="200" t="str">
        <f t="shared" si="1"/>
        <v>Foils &amp; Wraps_15-20</v>
      </c>
      <c r="D502" s="18">
        <v>63.0</v>
      </c>
      <c r="E502" s="18">
        <v>8.0</v>
      </c>
      <c r="F502" s="5">
        <v>12.7</v>
      </c>
      <c r="G502" s="5">
        <v>396.0</v>
      </c>
      <c r="H502" s="5">
        <v>17.0</v>
      </c>
      <c r="I502" s="5">
        <v>4.3</v>
      </c>
      <c r="J502" s="5"/>
    </row>
    <row r="503">
      <c r="A503" s="5" t="s">
        <v>2064</v>
      </c>
      <c r="B503" s="201" t="s">
        <v>1398</v>
      </c>
      <c r="C503" s="200" t="str">
        <f t="shared" si="1"/>
        <v>Foils &amp; Wraps_20-25</v>
      </c>
      <c r="D503" s="18">
        <v>5.0</v>
      </c>
      <c r="E503" s="18">
        <v>3.0</v>
      </c>
      <c r="F503" s="5">
        <v>60.0</v>
      </c>
      <c r="G503" s="5">
        <v>6.0</v>
      </c>
      <c r="H503" s="5">
        <v>3.0</v>
      </c>
      <c r="I503" s="5">
        <v>50.0</v>
      </c>
      <c r="J503" s="5"/>
    </row>
    <row r="504">
      <c r="A504" s="5" t="s">
        <v>2064</v>
      </c>
      <c r="B504" s="201" t="s">
        <v>1400</v>
      </c>
      <c r="C504" s="200" t="str">
        <f t="shared" si="1"/>
        <v>Foils &amp; Wraps_25+</v>
      </c>
      <c r="D504" s="18">
        <v>145.0</v>
      </c>
      <c r="E504" s="18">
        <v>78.0</v>
      </c>
      <c r="F504" s="5">
        <v>53.8</v>
      </c>
      <c r="G504" s="5">
        <v>580.0</v>
      </c>
      <c r="H504" s="5">
        <v>205.0</v>
      </c>
      <c r="I504" s="5">
        <v>35.3</v>
      </c>
      <c r="J504" s="5"/>
    </row>
    <row r="505">
      <c r="A505" s="5" t="s">
        <v>2064</v>
      </c>
      <c r="B505" s="201" t="s">
        <v>4227</v>
      </c>
      <c r="C505" s="200" t="str">
        <f t="shared" si="1"/>
        <v>Foils &amp; Wraps_No Sales</v>
      </c>
      <c r="D505" s="18">
        <v>11.0</v>
      </c>
      <c r="E505" s="18">
        <v>11.0</v>
      </c>
      <c r="F505" s="5">
        <v>100.0</v>
      </c>
      <c r="G505" s="5">
        <v>16.0</v>
      </c>
      <c r="H505" s="5">
        <v>16.0</v>
      </c>
      <c r="I505" s="5">
        <v>100.0</v>
      </c>
      <c r="J505" s="5"/>
    </row>
    <row r="506">
      <c r="A506" s="5" t="s">
        <v>1601</v>
      </c>
      <c r="B506" s="201" t="s">
        <v>4226</v>
      </c>
      <c r="C506" s="200" t="str">
        <f t="shared" si="1"/>
        <v>Fragrances_10-15</v>
      </c>
      <c r="D506" s="18">
        <v>24.0</v>
      </c>
      <c r="E506" s="18">
        <v>3.0</v>
      </c>
      <c r="F506" s="5">
        <v>12.5</v>
      </c>
      <c r="G506" s="5">
        <v>267.0</v>
      </c>
      <c r="H506" s="5">
        <v>9.0</v>
      </c>
      <c r="I506" s="5">
        <v>3.4</v>
      </c>
      <c r="J506" s="5"/>
    </row>
    <row r="507">
      <c r="A507" s="5" t="s">
        <v>1601</v>
      </c>
      <c r="B507" s="201" t="s">
        <v>1398</v>
      </c>
      <c r="C507" s="200" t="str">
        <f t="shared" si="1"/>
        <v>Fragrances_20-25</v>
      </c>
      <c r="D507" s="18">
        <v>64.0</v>
      </c>
      <c r="E507" s="18">
        <v>26.0</v>
      </c>
      <c r="F507" s="5">
        <v>40.6</v>
      </c>
      <c r="G507" s="5">
        <v>402.0</v>
      </c>
      <c r="H507" s="5">
        <v>113.0</v>
      </c>
      <c r="I507" s="5">
        <v>28.1</v>
      </c>
      <c r="J507" s="5"/>
    </row>
    <row r="508">
      <c r="A508" s="5" t="s">
        <v>1601</v>
      </c>
      <c r="B508" s="201" t="s">
        <v>1400</v>
      </c>
      <c r="C508" s="200" t="str">
        <f t="shared" si="1"/>
        <v>Fragrances_25+</v>
      </c>
      <c r="D508" s="18">
        <v>2651.0</v>
      </c>
      <c r="E508" s="18">
        <v>1835.0</v>
      </c>
      <c r="F508" s="5">
        <v>69.2</v>
      </c>
      <c r="G508" s="5">
        <v>7159.0</v>
      </c>
      <c r="H508" s="5">
        <v>2867.0</v>
      </c>
      <c r="I508" s="5">
        <v>40.0</v>
      </c>
      <c r="J508" s="5"/>
    </row>
    <row r="509">
      <c r="A509" s="5" t="s">
        <v>1601</v>
      </c>
      <c r="B509" s="201" t="s">
        <v>4227</v>
      </c>
      <c r="C509" s="200" t="str">
        <f t="shared" si="1"/>
        <v>Fragrances_No Sales</v>
      </c>
      <c r="D509" s="18">
        <v>1033.0</v>
      </c>
      <c r="E509" s="18">
        <v>921.0</v>
      </c>
      <c r="F509" s="5">
        <v>89.2</v>
      </c>
      <c r="G509" s="5">
        <v>3215.0</v>
      </c>
      <c r="H509" s="5">
        <v>2508.0</v>
      </c>
      <c r="I509" s="5">
        <v>78.0</v>
      </c>
      <c r="J509" s="5"/>
    </row>
    <row r="510">
      <c r="A510" s="5" t="s">
        <v>775</v>
      </c>
      <c r="B510" s="201" t="s">
        <v>1426</v>
      </c>
      <c r="C510" s="200" t="str">
        <f t="shared" si="1"/>
        <v>Fresh Bakery_0-5</v>
      </c>
      <c r="D510" s="18">
        <v>198.0</v>
      </c>
      <c r="E510" s="18">
        <v>12.0</v>
      </c>
      <c r="F510" s="5">
        <v>6.1</v>
      </c>
      <c r="G510" s="5">
        <v>967.0</v>
      </c>
      <c r="H510" s="5">
        <v>22.0</v>
      </c>
      <c r="I510" s="5">
        <v>2.3</v>
      </c>
      <c r="J510" s="5"/>
    </row>
    <row r="511">
      <c r="A511" s="5" t="s">
        <v>775</v>
      </c>
      <c r="B511" s="201" t="s">
        <v>4228</v>
      </c>
      <c r="C511" s="200" t="str">
        <f t="shared" si="1"/>
        <v>Fresh Bakery_5-10</v>
      </c>
      <c r="D511" s="18">
        <v>251.0</v>
      </c>
      <c r="E511" s="18">
        <v>4.0</v>
      </c>
      <c r="F511" s="5">
        <v>1.6</v>
      </c>
      <c r="G511" s="5">
        <v>750.0</v>
      </c>
      <c r="H511" s="5">
        <v>5.0</v>
      </c>
      <c r="I511" s="5">
        <v>0.7</v>
      </c>
      <c r="J511" s="5"/>
    </row>
    <row r="512">
      <c r="A512" s="5" t="s">
        <v>775</v>
      </c>
      <c r="B512" s="201" t="s">
        <v>4226</v>
      </c>
      <c r="C512" s="200" t="str">
        <f t="shared" si="1"/>
        <v>Fresh Bakery_10-15</v>
      </c>
      <c r="D512" s="18">
        <v>320.0</v>
      </c>
      <c r="E512" s="18">
        <v>2.0</v>
      </c>
      <c r="F512" s="5">
        <v>0.6</v>
      </c>
      <c r="G512" s="5">
        <v>770.0</v>
      </c>
      <c r="H512" s="5">
        <v>4.0</v>
      </c>
      <c r="I512" s="5">
        <v>0.5</v>
      </c>
      <c r="J512" s="5"/>
    </row>
    <row r="513">
      <c r="A513" s="5" t="s">
        <v>775</v>
      </c>
      <c r="B513" s="201" t="s">
        <v>1413</v>
      </c>
      <c r="C513" s="200" t="str">
        <f t="shared" si="1"/>
        <v>Fresh Bakery_15-20</v>
      </c>
      <c r="D513" s="18">
        <v>141.0</v>
      </c>
      <c r="E513" s="18">
        <v>5.0</v>
      </c>
      <c r="F513" s="5">
        <v>3.5</v>
      </c>
      <c r="G513" s="5">
        <v>427.0</v>
      </c>
      <c r="H513" s="5">
        <v>6.0</v>
      </c>
      <c r="I513" s="5">
        <v>1.4</v>
      </c>
      <c r="J513" s="5"/>
    </row>
    <row r="514">
      <c r="A514" s="5" t="s">
        <v>775</v>
      </c>
      <c r="B514" s="201" t="s">
        <v>1398</v>
      </c>
      <c r="C514" s="200" t="str">
        <f t="shared" si="1"/>
        <v>Fresh Bakery_20-25</v>
      </c>
      <c r="D514" s="18">
        <v>63.0</v>
      </c>
      <c r="E514" s="18">
        <v>18.0</v>
      </c>
      <c r="F514" s="5">
        <v>28.6</v>
      </c>
      <c r="G514" s="5">
        <v>108.0</v>
      </c>
      <c r="H514" s="5">
        <v>30.0</v>
      </c>
      <c r="I514" s="5">
        <v>27.8</v>
      </c>
      <c r="J514" s="5"/>
    </row>
    <row r="515">
      <c r="A515" s="5" t="s">
        <v>775</v>
      </c>
      <c r="B515" s="201" t="s">
        <v>1400</v>
      </c>
      <c r="C515" s="200" t="str">
        <f t="shared" si="1"/>
        <v>Fresh Bakery_25+</v>
      </c>
      <c r="D515" s="18">
        <v>92.0</v>
      </c>
      <c r="E515" s="18">
        <v>3.0</v>
      </c>
      <c r="F515" s="5">
        <v>3.3</v>
      </c>
      <c r="G515" s="5">
        <v>261.0</v>
      </c>
      <c r="H515" s="5">
        <v>5.0</v>
      </c>
      <c r="I515" s="5">
        <v>1.9</v>
      </c>
      <c r="J515" s="5"/>
    </row>
    <row r="516">
      <c r="A516" s="5" t="s">
        <v>808</v>
      </c>
      <c r="B516" s="201" t="s">
        <v>1426</v>
      </c>
      <c r="C516" s="200" t="str">
        <f t="shared" si="1"/>
        <v>Fresh Juices &amp; Smoothies_0-5</v>
      </c>
      <c r="D516" s="18">
        <v>44.0</v>
      </c>
      <c r="E516" s="18">
        <v>13.0</v>
      </c>
      <c r="F516" s="5">
        <v>29.5</v>
      </c>
      <c r="G516" s="5">
        <v>112.0</v>
      </c>
      <c r="H516" s="5">
        <v>28.0</v>
      </c>
      <c r="I516" s="5">
        <v>25.0</v>
      </c>
      <c r="J516" s="5"/>
    </row>
    <row r="517">
      <c r="A517" s="5" t="s">
        <v>808</v>
      </c>
      <c r="B517" s="201" t="s">
        <v>4228</v>
      </c>
      <c r="C517" s="200" t="str">
        <f t="shared" si="1"/>
        <v>Fresh Juices &amp; Smoothies_5-10</v>
      </c>
      <c r="D517" s="18">
        <v>259.0</v>
      </c>
      <c r="E517" s="18">
        <v>12.0</v>
      </c>
      <c r="F517" s="5">
        <v>4.6</v>
      </c>
      <c r="G517" s="5">
        <v>2692.0</v>
      </c>
      <c r="H517" s="5">
        <v>24.0</v>
      </c>
      <c r="I517" s="5">
        <v>0.9</v>
      </c>
      <c r="J517" s="5"/>
    </row>
    <row r="518">
      <c r="A518" s="5" t="s">
        <v>808</v>
      </c>
      <c r="B518" s="201" t="s">
        <v>4226</v>
      </c>
      <c r="C518" s="200" t="str">
        <f t="shared" si="1"/>
        <v>Fresh Juices &amp; Smoothies_10-15</v>
      </c>
      <c r="D518" s="18">
        <v>177.0</v>
      </c>
      <c r="E518" s="18">
        <v>10.0</v>
      </c>
      <c r="F518" s="5">
        <v>5.6</v>
      </c>
      <c r="G518" s="5">
        <v>904.0</v>
      </c>
      <c r="H518" s="5">
        <v>26.0</v>
      </c>
      <c r="I518" s="5">
        <v>2.9</v>
      </c>
      <c r="J518" s="5"/>
    </row>
    <row r="519">
      <c r="A519" s="5" t="s">
        <v>808</v>
      </c>
      <c r="B519" s="201" t="s">
        <v>1413</v>
      </c>
      <c r="C519" s="200" t="str">
        <f t="shared" si="1"/>
        <v>Fresh Juices &amp; Smoothies_15-20</v>
      </c>
      <c r="D519" s="18">
        <v>55.0</v>
      </c>
      <c r="E519" s="18">
        <v>3.0</v>
      </c>
      <c r="F519" s="5">
        <v>5.5</v>
      </c>
      <c r="G519" s="5">
        <v>233.0</v>
      </c>
      <c r="H519" s="5">
        <v>5.0</v>
      </c>
      <c r="I519" s="5">
        <v>2.1</v>
      </c>
      <c r="J519" s="5"/>
    </row>
    <row r="520">
      <c r="A520" s="5" t="s">
        <v>808</v>
      </c>
      <c r="B520" s="201" t="s">
        <v>1400</v>
      </c>
      <c r="C520" s="200" t="str">
        <f t="shared" si="1"/>
        <v>Fresh Juices &amp; Smoothies_25+</v>
      </c>
      <c r="D520" s="18">
        <v>10.0</v>
      </c>
      <c r="E520" s="18">
        <v>0.0</v>
      </c>
      <c r="F520" s="5">
        <v>0.0</v>
      </c>
      <c r="G520" s="5">
        <v>14.0</v>
      </c>
      <c r="H520" s="5">
        <v>0.0</v>
      </c>
      <c r="I520" s="5">
        <v>0.0</v>
      </c>
      <c r="J520" s="5"/>
    </row>
    <row r="521">
      <c r="A521" s="5" t="s">
        <v>2678</v>
      </c>
      <c r="B521" s="201" t="s">
        <v>1426</v>
      </c>
      <c r="C521" s="200" t="str">
        <f t="shared" si="1"/>
        <v>Fresh Milk_0-5</v>
      </c>
      <c r="D521" s="18">
        <v>75.0</v>
      </c>
      <c r="E521" s="18">
        <v>6.0</v>
      </c>
      <c r="F521" s="5">
        <v>8.0</v>
      </c>
      <c r="G521" s="5">
        <v>580.0</v>
      </c>
      <c r="H521" s="5">
        <v>11.0</v>
      </c>
      <c r="I521" s="5">
        <v>1.9</v>
      </c>
      <c r="J521" s="5"/>
    </row>
    <row r="522">
      <c r="A522" s="5" t="s">
        <v>2678</v>
      </c>
      <c r="B522" s="201" t="s">
        <v>4228</v>
      </c>
      <c r="C522" s="200" t="str">
        <f t="shared" si="1"/>
        <v>Fresh Milk_5-10</v>
      </c>
      <c r="D522" s="18">
        <v>187.0</v>
      </c>
      <c r="E522" s="18">
        <v>23.0</v>
      </c>
      <c r="F522" s="5">
        <v>12.3</v>
      </c>
      <c r="G522" s="5">
        <v>1140.0</v>
      </c>
      <c r="H522" s="5">
        <v>95.0</v>
      </c>
      <c r="I522" s="5">
        <v>8.3</v>
      </c>
      <c r="J522" s="5"/>
    </row>
    <row r="523">
      <c r="A523" s="5" t="s">
        <v>2678</v>
      </c>
      <c r="B523" s="201" t="s">
        <v>4226</v>
      </c>
      <c r="C523" s="200" t="str">
        <f t="shared" si="1"/>
        <v>Fresh Milk_10-15</v>
      </c>
      <c r="D523" s="18">
        <v>186.0</v>
      </c>
      <c r="E523" s="18">
        <v>0.0</v>
      </c>
      <c r="F523" s="5">
        <v>0.0</v>
      </c>
      <c r="G523" s="5">
        <v>1704.0</v>
      </c>
      <c r="H523" s="5">
        <v>0.0</v>
      </c>
      <c r="I523" s="5">
        <v>0.0</v>
      </c>
      <c r="J523" s="5"/>
    </row>
    <row r="524">
      <c r="A524" s="5" t="s">
        <v>2678</v>
      </c>
      <c r="B524" s="201" t="s">
        <v>1413</v>
      </c>
      <c r="C524" s="200" t="str">
        <f t="shared" si="1"/>
        <v>Fresh Milk_15-20</v>
      </c>
      <c r="D524" s="18">
        <v>29.0</v>
      </c>
      <c r="E524" s="18">
        <v>2.0</v>
      </c>
      <c r="F524" s="5">
        <v>6.9</v>
      </c>
      <c r="G524" s="5">
        <v>165.0</v>
      </c>
      <c r="H524" s="5">
        <v>4.0</v>
      </c>
      <c r="I524" s="5">
        <v>2.4</v>
      </c>
      <c r="J524" s="5"/>
    </row>
    <row r="525">
      <c r="A525" s="5" t="s">
        <v>2678</v>
      </c>
      <c r="B525" s="201" t="s">
        <v>1398</v>
      </c>
      <c r="C525" s="200" t="str">
        <f t="shared" si="1"/>
        <v>Fresh Milk_20-25</v>
      </c>
      <c r="D525" s="18">
        <v>19.0</v>
      </c>
      <c r="E525" s="18">
        <v>0.0</v>
      </c>
      <c r="F525" s="5">
        <v>0.0</v>
      </c>
      <c r="G525" s="5">
        <v>84.0</v>
      </c>
      <c r="H525" s="5">
        <v>0.0</v>
      </c>
      <c r="I525" s="5">
        <v>0.0</v>
      </c>
      <c r="J525" s="5"/>
    </row>
    <row r="526">
      <c r="A526" s="5" t="s">
        <v>419</v>
      </c>
      <c r="B526" s="201" t="s">
        <v>1426</v>
      </c>
      <c r="C526" s="200" t="str">
        <f t="shared" si="1"/>
        <v>Fries &amp; Sides_0-5</v>
      </c>
      <c r="D526" s="18">
        <v>1.0</v>
      </c>
      <c r="E526" s="18">
        <v>1.0</v>
      </c>
      <c r="F526" s="5">
        <v>100.0</v>
      </c>
      <c r="G526" s="5">
        <v>1.0</v>
      </c>
      <c r="H526" s="5">
        <v>1.0</v>
      </c>
      <c r="I526" s="5">
        <v>100.0</v>
      </c>
      <c r="J526" s="5"/>
    </row>
    <row r="527">
      <c r="A527" s="5" t="s">
        <v>419</v>
      </c>
      <c r="B527" s="201" t="s">
        <v>4226</v>
      </c>
      <c r="C527" s="200" t="str">
        <f t="shared" si="1"/>
        <v>Fries &amp; Sides_10-15</v>
      </c>
      <c r="D527" s="18">
        <v>180.0</v>
      </c>
      <c r="E527" s="18">
        <v>6.0</v>
      </c>
      <c r="F527" s="5">
        <v>3.3</v>
      </c>
      <c r="G527" s="5">
        <v>4003.0</v>
      </c>
      <c r="H527" s="5">
        <v>16.0</v>
      </c>
      <c r="I527" s="5">
        <v>0.4</v>
      </c>
      <c r="J527" s="5"/>
    </row>
    <row r="528">
      <c r="A528" s="5" t="s">
        <v>419</v>
      </c>
      <c r="B528" s="201" t="s">
        <v>1413</v>
      </c>
      <c r="C528" s="200" t="str">
        <f t="shared" si="1"/>
        <v>Fries &amp; Sides_15-20</v>
      </c>
      <c r="D528" s="18">
        <v>168.0</v>
      </c>
      <c r="E528" s="18">
        <v>9.0</v>
      </c>
      <c r="F528" s="5">
        <v>5.4</v>
      </c>
      <c r="G528" s="5">
        <v>2399.0</v>
      </c>
      <c r="H528" s="5">
        <v>18.0</v>
      </c>
      <c r="I528" s="5">
        <v>0.8</v>
      </c>
      <c r="J528" s="5"/>
    </row>
    <row r="529">
      <c r="A529" s="5" t="s">
        <v>419</v>
      </c>
      <c r="B529" s="201" t="s">
        <v>1398</v>
      </c>
      <c r="C529" s="200" t="str">
        <f t="shared" si="1"/>
        <v>Fries &amp; Sides_20-25</v>
      </c>
      <c r="D529" s="18">
        <v>72.0</v>
      </c>
      <c r="E529" s="18">
        <v>14.0</v>
      </c>
      <c r="F529" s="5">
        <v>19.4</v>
      </c>
      <c r="G529" s="5">
        <v>777.0</v>
      </c>
      <c r="H529" s="5">
        <v>45.0</v>
      </c>
      <c r="I529" s="5">
        <v>5.8</v>
      </c>
      <c r="J529" s="5"/>
    </row>
    <row r="530">
      <c r="A530" s="5" t="s">
        <v>419</v>
      </c>
      <c r="B530" s="201" t="s">
        <v>1400</v>
      </c>
      <c r="C530" s="200" t="str">
        <f t="shared" si="1"/>
        <v>Fries &amp; Sides_25+</v>
      </c>
      <c r="D530" s="18">
        <v>22.0</v>
      </c>
      <c r="E530" s="18">
        <v>14.0</v>
      </c>
      <c r="F530" s="5">
        <v>63.6</v>
      </c>
      <c r="G530" s="5">
        <v>59.0</v>
      </c>
      <c r="H530" s="5">
        <v>44.0</v>
      </c>
      <c r="I530" s="5">
        <v>74.6</v>
      </c>
      <c r="J530" s="5"/>
    </row>
    <row r="531">
      <c r="A531" s="5" t="s">
        <v>419</v>
      </c>
      <c r="B531" s="201" t="s">
        <v>4227</v>
      </c>
      <c r="C531" s="200" t="str">
        <f t="shared" si="1"/>
        <v>Fries &amp; Sides_No Sales</v>
      </c>
      <c r="D531" s="18">
        <v>7.0</v>
      </c>
      <c r="E531" s="18">
        <v>5.0</v>
      </c>
      <c r="F531" s="5">
        <v>71.4</v>
      </c>
      <c r="G531" s="5">
        <v>212.0</v>
      </c>
      <c r="H531" s="5">
        <v>12.0</v>
      </c>
      <c r="I531" s="5">
        <v>5.7</v>
      </c>
      <c r="J531" s="5"/>
    </row>
    <row r="532">
      <c r="A532" s="5" t="s">
        <v>2267</v>
      </c>
      <c r="B532" s="201" t="s">
        <v>1426</v>
      </c>
      <c r="C532" s="200" t="str">
        <f t="shared" si="1"/>
        <v>Fruits_0-5</v>
      </c>
      <c r="D532" s="18">
        <v>207.0</v>
      </c>
      <c r="E532" s="18">
        <v>0.0</v>
      </c>
      <c r="F532" s="5">
        <v>0.0</v>
      </c>
      <c r="G532" s="5">
        <v>17322.0</v>
      </c>
      <c r="H532" s="5">
        <v>0.0</v>
      </c>
      <c r="I532" s="5">
        <v>0.0</v>
      </c>
      <c r="J532" s="5"/>
    </row>
    <row r="533">
      <c r="A533" s="5" t="s">
        <v>2267</v>
      </c>
      <c r="B533" s="201" t="s">
        <v>4228</v>
      </c>
      <c r="C533" s="200" t="str">
        <f t="shared" si="1"/>
        <v>Fruits_5-10</v>
      </c>
      <c r="D533" s="18">
        <v>470.0</v>
      </c>
      <c r="E533" s="18">
        <v>7.0</v>
      </c>
      <c r="F533" s="5">
        <v>1.5</v>
      </c>
      <c r="G533" s="5">
        <v>21782.0</v>
      </c>
      <c r="H533" s="5">
        <v>9.0</v>
      </c>
      <c r="I533" s="5">
        <v>0.0</v>
      </c>
      <c r="J533" s="5"/>
    </row>
    <row r="534">
      <c r="A534" s="5" t="s">
        <v>2267</v>
      </c>
      <c r="B534" s="201" t="s">
        <v>4226</v>
      </c>
      <c r="C534" s="200" t="str">
        <f t="shared" si="1"/>
        <v>Fruits_10-15</v>
      </c>
      <c r="D534" s="18">
        <v>698.0</v>
      </c>
      <c r="E534" s="18">
        <v>22.0</v>
      </c>
      <c r="F534" s="5">
        <v>3.2</v>
      </c>
      <c r="G534" s="5">
        <v>9167.0</v>
      </c>
      <c r="H534" s="5">
        <v>60.0</v>
      </c>
      <c r="I534" s="5">
        <v>0.7</v>
      </c>
      <c r="J534" s="5"/>
    </row>
    <row r="535">
      <c r="A535" s="5" t="s">
        <v>2267</v>
      </c>
      <c r="B535" s="201" t="s">
        <v>1413</v>
      </c>
      <c r="C535" s="200" t="str">
        <f t="shared" si="1"/>
        <v>Fruits_15-20</v>
      </c>
      <c r="D535" s="18">
        <v>353.0</v>
      </c>
      <c r="E535" s="18">
        <v>19.0</v>
      </c>
      <c r="F535" s="5">
        <v>5.4</v>
      </c>
      <c r="G535" s="5">
        <v>2819.0</v>
      </c>
      <c r="H535" s="5">
        <v>42.0</v>
      </c>
      <c r="I535" s="5">
        <v>1.5</v>
      </c>
      <c r="J535" s="5"/>
    </row>
    <row r="536">
      <c r="A536" s="5" t="s">
        <v>2267</v>
      </c>
      <c r="B536" s="201" t="s">
        <v>1398</v>
      </c>
      <c r="C536" s="200" t="str">
        <f t="shared" si="1"/>
        <v>Fruits_20-25</v>
      </c>
      <c r="D536" s="18">
        <v>272.0</v>
      </c>
      <c r="E536" s="18">
        <v>25.0</v>
      </c>
      <c r="F536" s="5">
        <v>9.2</v>
      </c>
      <c r="G536" s="5">
        <v>946.0</v>
      </c>
      <c r="H536" s="5">
        <v>35.0</v>
      </c>
      <c r="I536" s="5">
        <v>3.7</v>
      </c>
      <c r="J536" s="5"/>
    </row>
    <row r="537">
      <c r="A537" s="5" t="s">
        <v>2267</v>
      </c>
      <c r="B537" s="201" t="s">
        <v>1400</v>
      </c>
      <c r="C537" s="200" t="str">
        <f t="shared" si="1"/>
        <v>Fruits_25+</v>
      </c>
      <c r="D537" s="18">
        <v>170.0</v>
      </c>
      <c r="E537" s="18">
        <v>48.0</v>
      </c>
      <c r="F537" s="5">
        <v>28.2</v>
      </c>
      <c r="G537" s="5">
        <v>2381.0</v>
      </c>
      <c r="H537" s="5">
        <v>86.0</v>
      </c>
      <c r="I537" s="5">
        <v>3.6</v>
      </c>
      <c r="J537" s="5"/>
    </row>
    <row r="538">
      <c r="A538" s="5" t="s">
        <v>2267</v>
      </c>
      <c r="B538" s="201" t="s">
        <v>4227</v>
      </c>
      <c r="C538" s="200" t="str">
        <f t="shared" si="1"/>
        <v>Fruits_No Sales</v>
      </c>
      <c r="D538" s="18">
        <v>4.0</v>
      </c>
      <c r="E538" s="18">
        <v>1.0</v>
      </c>
      <c r="F538" s="5">
        <v>25.0</v>
      </c>
      <c r="G538" s="5">
        <v>17.0</v>
      </c>
      <c r="H538" s="5">
        <v>10.0</v>
      </c>
      <c r="I538" s="5">
        <v>58.8</v>
      </c>
      <c r="J538" s="5"/>
    </row>
    <row r="539">
      <c r="A539" s="5" t="s">
        <v>416</v>
      </c>
      <c r="B539" s="201" t="s">
        <v>1426</v>
      </c>
      <c r="C539" s="200" t="str">
        <f t="shared" si="1"/>
        <v>Fruits &amp; Veggies_0-5</v>
      </c>
      <c r="D539" s="18">
        <v>58.0</v>
      </c>
      <c r="E539" s="18">
        <v>0.0</v>
      </c>
      <c r="F539" s="5">
        <v>0.0</v>
      </c>
      <c r="G539" s="5">
        <v>1329.0</v>
      </c>
      <c r="H539" s="5">
        <v>0.0</v>
      </c>
      <c r="I539" s="5">
        <v>0.0</v>
      </c>
      <c r="J539" s="5"/>
    </row>
    <row r="540">
      <c r="A540" s="5" t="s">
        <v>416</v>
      </c>
      <c r="B540" s="201" t="s">
        <v>4228</v>
      </c>
      <c r="C540" s="200" t="str">
        <f t="shared" si="1"/>
        <v>Fruits &amp; Veggies_5-10</v>
      </c>
      <c r="D540" s="18">
        <v>403.0</v>
      </c>
      <c r="E540" s="18">
        <v>23.0</v>
      </c>
      <c r="F540" s="5">
        <v>5.7</v>
      </c>
      <c r="G540" s="5">
        <v>12084.0</v>
      </c>
      <c r="H540" s="5">
        <v>65.0</v>
      </c>
      <c r="I540" s="5">
        <v>0.5</v>
      </c>
      <c r="J540" s="5"/>
    </row>
    <row r="541">
      <c r="A541" s="5" t="s">
        <v>416</v>
      </c>
      <c r="B541" s="201" t="s">
        <v>4226</v>
      </c>
      <c r="C541" s="200" t="str">
        <f t="shared" si="1"/>
        <v>Fruits &amp; Veggies_10-15</v>
      </c>
      <c r="D541" s="18">
        <v>379.0</v>
      </c>
      <c r="E541" s="18">
        <v>28.0</v>
      </c>
      <c r="F541" s="5">
        <v>7.4</v>
      </c>
      <c r="G541" s="5">
        <v>5658.0</v>
      </c>
      <c r="H541" s="5">
        <v>81.0</v>
      </c>
      <c r="I541" s="5">
        <v>1.4</v>
      </c>
      <c r="J541" s="5"/>
    </row>
    <row r="542">
      <c r="A542" s="5" t="s">
        <v>416</v>
      </c>
      <c r="B542" s="201" t="s">
        <v>1413</v>
      </c>
      <c r="C542" s="200" t="str">
        <f t="shared" si="1"/>
        <v>Fruits &amp; Veggies_15-20</v>
      </c>
      <c r="D542" s="18">
        <v>303.0</v>
      </c>
      <c r="E542" s="18">
        <v>57.0</v>
      </c>
      <c r="F542" s="5">
        <v>18.8</v>
      </c>
      <c r="G542" s="5">
        <v>6578.0</v>
      </c>
      <c r="H542" s="5">
        <v>199.0</v>
      </c>
      <c r="I542" s="5">
        <v>3.0</v>
      </c>
      <c r="J542" s="5"/>
    </row>
    <row r="543">
      <c r="A543" s="5" t="s">
        <v>416</v>
      </c>
      <c r="B543" s="201" t="s">
        <v>1398</v>
      </c>
      <c r="C543" s="200" t="str">
        <f t="shared" si="1"/>
        <v>Fruits &amp; Veggies_20-25</v>
      </c>
      <c r="D543" s="18">
        <v>160.0</v>
      </c>
      <c r="E543" s="18">
        <v>21.0</v>
      </c>
      <c r="F543" s="5">
        <v>13.1</v>
      </c>
      <c r="G543" s="5">
        <v>3792.0</v>
      </c>
      <c r="H543" s="5">
        <v>63.0</v>
      </c>
      <c r="I543" s="5">
        <v>1.7</v>
      </c>
      <c r="J543" s="5"/>
    </row>
    <row r="544">
      <c r="A544" s="5" t="s">
        <v>416</v>
      </c>
      <c r="B544" s="201" t="s">
        <v>1400</v>
      </c>
      <c r="C544" s="200" t="str">
        <f t="shared" si="1"/>
        <v>Fruits &amp; Veggies_25+</v>
      </c>
      <c r="D544" s="18">
        <v>43.0</v>
      </c>
      <c r="E544" s="18">
        <v>18.0</v>
      </c>
      <c r="F544" s="5">
        <v>41.9</v>
      </c>
      <c r="G544" s="5">
        <v>245.0</v>
      </c>
      <c r="H544" s="5">
        <v>49.0</v>
      </c>
      <c r="I544" s="5">
        <v>20.0</v>
      </c>
      <c r="J544" s="5"/>
    </row>
    <row r="545">
      <c r="A545" s="5" t="s">
        <v>416</v>
      </c>
      <c r="B545" s="201" t="s">
        <v>4227</v>
      </c>
      <c r="C545" s="200" t="str">
        <f t="shared" si="1"/>
        <v>Fruits &amp; Veggies_No Sales</v>
      </c>
      <c r="D545" s="18">
        <v>5.0</v>
      </c>
      <c r="E545" s="18">
        <v>5.0</v>
      </c>
      <c r="F545" s="5">
        <v>100.0</v>
      </c>
      <c r="G545" s="5">
        <v>10.0</v>
      </c>
      <c r="H545" s="5">
        <v>10.0</v>
      </c>
      <c r="I545" s="5">
        <v>100.0</v>
      </c>
      <c r="J545" s="5"/>
    </row>
    <row r="546">
      <c r="A546" s="5" t="s">
        <v>2303</v>
      </c>
      <c r="B546" s="201" t="s">
        <v>1400</v>
      </c>
      <c r="C546" s="200" t="str">
        <f t="shared" si="1"/>
        <v>Games_25+</v>
      </c>
      <c r="D546" s="18">
        <v>9.0</v>
      </c>
      <c r="E546" s="18">
        <v>9.0</v>
      </c>
      <c r="F546" s="5">
        <v>100.0</v>
      </c>
      <c r="G546" s="5">
        <v>9.0</v>
      </c>
      <c r="H546" s="5">
        <v>9.0</v>
      </c>
      <c r="I546" s="5">
        <v>100.0</v>
      </c>
      <c r="J546" s="5"/>
    </row>
    <row r="547">
      <c r="A547" s="5" t="s">
        <v>2303</v>
      </c>
      <c r="B547" s="201" t="s">
        <v>4227</v>
      </c>
      <c r="C547" s="200" t="str">
        <f t="shared" si="1"/>
        <v>Games_No Sales</v>
      </c>
      <c r="D547" s="18">
        <v>128.0</v>
      </c>
      <c r="E547" s="18">
        <v>128.0</v>
      </c>
      <c r="F547" s="5">
        <v>100.0</v>
      </c>
      <c r="G547" s="5">
        <v>128.0</v>
      </c>
      <c r="H547" s="5">
        <v>128.0</v>
      </c>
      <c r="I547" s="5">
        <v>100.0</v>
      </c>
      <c r="J547" s="5"/>
    </row>
    <row r="548">
      <c r="A548" s="5" t="s">
        <v>602</v>
      </c>
      <c r="B548" s="201" t="s">
        <v>4226</v>
      </c>
      <c r="C548" s="200" t="str">
        <f t="shared" si="1"/>
        <v>Ghees_10-15</v>
      </c>
      <c r="D548" s="18">
        <v>37.0</v>
      </c>
      <c r="E548" s="18">
        <v>20.0</v>
      </c>
      <c r="F548" s="5">
        <v>54.1</v>
      </c>
      <c r="G548" s="5">
        <v>127.0</v>
      </c>
      <c r="H548" s="5">
        <v>52.0</v>
      </c>
      <c r="I548" s="5">
        <v>40.9</v>
      </c>
      <c r="J548" s="5"/>
    </row>
    <row r="549">
      <c r="A549" s="5" t="s">
        <v>602</v>
      </c>
      <c r="B549" s="201" t="s">
        <v>1413</v>
      </c>
      <c r="C549" s="200" t="str">
        <f t="shared" si="1"/>
        <v>Ghees_15-20</v>
      </c>
      <c r="D549" s="18">
        <v>86.0</v>
      </c>
      <c r="E549" s="18">
        <v>36.0</v>
      </c>
      <c r="F549" s="5">
        <v>41.9</v>
      </c>
      <c r="G549" s="5">
        <v>1838.0</v>
      </c>
      <c r="H549" s="5">
        <v>147.0</v>
      </c>
      <c r="I549" s="5">
        <v>8.0</v>
      </c>
      <c r="J549" s="5"/>
    </row>
    <row r="550">
      <c r="A550" s="5" t="s">
        <v>602</v>
      </c>
      <c r="B550" s="201" t="s">
        <v>1398</v>
      </c>
      <c r="C550" s="200" t="str">
        <f t="shared" si="1"/>
        <v>Ghees_20-25</v>
      </c>
      <c r="D550" s="18">
        <v>184.0</v>
      </c>
      <c r="E550" s="18">
        <v>5.0</v>
      </c>
      <c r="F550" s="5">
        <v>2.7</v>
      </c>
      <c r="G550" s="5">
        <v>3176.0</v>
      </c>
      <c r="H550" s="5">
        <v>16.0</v>
      </c>
      <c r="I550" s="5">
        <v>0.5</v>
      </c>
      <c r="J550" s="5"/>
    </row>
    <row r="551">
      <c r="A551" s="5" t="s">
        <v>602</v>
      </c>
      <c r="B551" s="201" t="s">
        <v>1400</v>
      </c>
      <c r="C551" s="200" t="str">
        <f t="shared" si="1"/>
        <v>Ghees_25+</v>
      </c>
      <c r="D551" s="18">
        <v>222.0</v>
      </c>
      <c r="E551" s="18">
        <v>76.0</v>
      </c>
      <c r="F551" s="5">
        <v>34.2</v>
      </c>
      <c r="G551" s="5">
        <v>4418.0</v>
      </c>
      <c r="H551" s="5">
        <v>273.0</v>
      </c>
      <c r="I551" s="5">
        <v>6.2</v>
      </c>
      <c r="J551" s="5"/>
    </row>
    <row r="552">
      <c r="A552" s="5" t="s">
        <v>602</v>
      </c>
      <c r="B552" s="201" t="s">
        <v>4227</v>
      </c>
      <c r="C552" s="200" t="str">
        <f t="shared" si="1"/>
        <v>Ghees_No Sales</v>
      </c>
      <c r="D552" s="18">
        <v>9.0</v>
      </c>
      <c r="E552" s="18">
        <v>6.0</v>
      </c>
      <c r="F552" s="5">
        <v>66.7</v>
      </c>
      <c r="G552" s="5">
        <v>207.0</v>
      </c>
      <c r="H552" s="5">
        <v>72.0</v>
      </c>
      <c r="I552" s="5">
        <v>34.8</v>
      </c>
      <c r="J552" s="5"/>
    </row>
    <row r="553">
      <c r="A553" s="5" t="s">
        <v>2313</v>
      </c>
      <c r="B553" s="201" t="s">
        <v>1426</v>
      </c>
      <c r="C553" s="200" t="str">
        <f t="shared" si="1"/>
        <v>Gold Bars_0-5</v>
      </c>
      <c r="D553" s="18">
        <v>85.0</v>
      </c>
      <c r="E553" s="18">
        <v>0.0</v>
      </c>
      <c r="F553" s="5">
        <v>0.0</v>
      </c>
      <c r="G553" s="5">
        <v>11278.0</v>
      </c>
      <c r="H553" s="5">
        <v>0.0</v>
      </c>
      <c r="I553" s="5">
        <v>0.0</v>
      </c>
      <c r="J553" s="5"/>
    </row>
    <row r="554">
      <c r="A554" s="5" t="s">
        <v>578</v>
      </c>
      <c r="B554" s="201" t="s">
        <v>1426</v>
      </c>
      <c r="C554" s="200" t="str">
        <f t="shared" si="1"/>
        <v>Greek Yoghurt_0-5</v>
      </c>
      <c r="D554" s="18">
        <v>1.0</v>
      </c>
      <c r="E554" s="18">
        <v>1.0</v>
      </c>
      <c r="F554" s="5">
        <v>100.0</v>
      </c>
      <c r="G554" s="5">
        <v>71.0</v>
      </c>
      <c r="H554" s="5">
        <v>71.0</v>
      </c>
      <c r="I554" s="5">
        <v>100.0</v>
      </c>
      <c r="J554" s="5"/>
    </row>
    <row r="555">
      <c r="A555" s="5" t="s">
        <v>578</v>
      </c>
      <c r="B555" s="201" t="s">
        <v>1400</v>
      </c>
      <c r="C555" s="200" t="str">
        <f t="shared" si="1"/>
        <v>Greek Yoghurt_25+</v>
      </c>
      <c r="D555" s="18">
        <v>29.0</v>
      </c>
      <c r="E555" s="18">
        <v>1.0</v>
      </c>
      <c r="F555" s="5">
        <v>3.4</v>
      </c>
      <c r="G555" s="5">
        <v>367.0</v>
      </c>
      <c r="H555" s="5">
        <v>3.0</v>
      </c>
      <c r="I555" s="5">
        <v>0.8</v>
      </c>
      <c r="J555" s="5"/>
    </row>
    <row r="556">
      <c r="A556" s="5" t="s">
        <v>578</v>
      </c>
      <c r="B556" s="201" t="s">
        <v>4227</v>
      </c>
      <c r="C556" s="200" t="str">
        <f t="shared" si="1"/>
        <v>Greek Yoghurt_No Sales</v>
      </c>
      <c r="D556" s="18">
        <v>2.0</v>
      </c>
      <c r="E556" s="18">
        <v>0.0</v>
      </c>
      <c r="F556" s="5">
        <v>0.0</v>
      </c>
      <c r="G556" s="5">
        <v>132.0</v>
      </c>
      <c r="H556" s="5">
        <v>0.0</v>
      </c>
      <c r="I556" s="5">
        <v>0.0</v>
      </c>
      <c r="J556" s="5"/>
    </row>
    <row r="557">
      <c r="A557" s="5" t="s">
        <v>3070</v>
      </c>
      <c r="B557" s="201" t="s">
        <v>1398</v>
      </c>
      <c r="C557" s="200" t="str">
        <f t="shared" si="1"/>
        <v>Greeting Cards_20-25</v>
      </c>
      <c r="D557" s="18">
        <v>2.0</v>
      </c>
      <c r="E557" s="18">
        <v>1.0</v>
      </c>
      <c r="F557" s="5">
        <v>50.0</v>
      </c>
      <c r="G557" s="5">
        <v>7.0</v>
      </c>
      <c r="H557" s="5">
        <v>5.0</v>
      </c>
      <c r="I557" s="5">
        <v>71.4</v>
      </c>
      <c r="J557" s="5"/>
    </row>
    <row r="558">
      <c r="A558" s="5" t="s">
        <v>3070</v>
      </c>
      <c r="B558" s="201" t="s">
        <v>4227</v>
      </c>
      <c r="C558" s="200" t="str">
        <f t="shared" si="1"/>
        <v>Greeting Cards_No Sales</v>
      </c>
      <c r="D558" s="18">
        <v>8.0</v>
      </c>
      <c r="E558" s="18">
        <v>8.0</v>
      </c>
      <c r="F558" s="5">
        <v>100.0</v>
      </c>
      <c r="G558" s="5">
        <v>15.0</v>
      </c>
      <c r="H558" s="5">
        <v>15.0</v>
      </c>
      <c r="I558" s="5">
        <v>100.0</v>
      </c>
      <c r="J558" s="5"/>
    </row>
    <row r="559">
      <c r="A559" s="5" t="s">
        <v>1916</v>
      </c>
      <c r="B559" s="201" t="s">
        <v>4228</v>
      </c>
      <c r="C559" s="200" t="str">
        <f t="shared" si="1"/>
        <v>Grounded &amp; Roasted Beans_5-10</v>
      </c>
      <c r="D559" s="18">
        <v>1.0</v>
      </c>
      <c r="E559" s="18">
        <v>0.0</v>
      </c>
      <c r="F559" s="5">
        <v>0.0</v>
      </c>
      <c r="G559" s="5">
        <v>1.0</v>
      </c>
      <c r="H559" s="5">
        <v>0.0</v>
      </c>
      <c r="I559" s="5">
        <v>0.0</v>
      </c>
      <c r="J559" s="5"/>
    </row>
    <row r="560">
      <c r="A560" s="5" t="s">
        <v>1916</v>
      </c>
      <c r="B560" s="201" t="s">
        <v>4226</v>
      </c>
      <c r="C560" s="200" t="str">
        <f t="shared" si="1"/>
        <v>Grounded &amp; Roasted Beans_10-15</v>
      </c>
      <c r="D560" s="18">
        <v>12.0</v>
      </c>
      <c r="E560" s="18">
        <v>6.0</v>
      </c>
      <c r="F560" s="5">
        <v>50.0</v>
      </c>
      <c r="G560" s="5">
        <v>21.0</v>
      </c>
      <c r="H560" s="5">
        <v>10.0</v>
      </c>
      <c r="I560" s="5">
        <v>47.6</v>
      </c>
      <c r="J560" s="5"/>
    </row>
    <row r="561">
      <c r="A561" s="5" t="s">
        <v>1916</v>
      </c>
      <c r="B561" s="201" t="s">
        <v>1413</v>
      </c>
      <c r="C561" s="200" t="str">
        <f t="shared" si="1"/>
        <v>Grounded &amp; Roasted Beans_15-20</v>
      </c>
      <c r="D561" s="18">
        <v>8.0</v>
      </c>
      <c r="E561" s="18">
        <v>7.0</v>
      </c>
      <c r="F561" s="5">
        <v>87.5</v>
      </c>
      <c r="G561" s="5">
        <v>11.0</v>
      </c>
      <c r="H561" s="5">
        <v>10.0</v>
      </c>
      <c r="I561" s="5">
        <v>90.9</v>
      </c>
      <c r="J561" s="5"/>
    </row>
    <row r="562">
      <c r="A562" s="5" t="s">
        <v>1916</v>
      </c>
      <c r="B562" s="201" t="s">
        <v>1398</v>
      </c>
      <c r="C562" s="200" t="str">
        <f t="shared" si="1"/>
        <v>Grounded &amp; Roasted Beans_20-25</v>
      </c>
      <c r="D562" s="18">
        <v>50.0</v>
      </c>
      <c r="E562" s="18">
        <v>24.0</v>
      </c>
      <c r="F562" s="5">
        <v>48.0</v>
      </c>
      <c r="G562" s="5">
        <v>168.0</v>
      </c>
      <c r="H562" s="5">
        <v>68.0</v>
      </c>
      <c r="I562" s="5">
        <v>40.5</v>
      </c>
      <c r="J562" s="5"/>
    </row>
    <row r="563">
      <c r="A563" s="5" t="s">
        <v>1916</v>
      </c>
      <c r="B563" s="201" t="s">
        <v>1400</v>
      </c>
      <c r="C563" s="200" t="str">
        <f t="shared" si="1"/>
        <v>Grounded &amp; Roasted Beans_25+</v>
      </c>
      <c r="D563" s="18">
        <v>298.0</v>
      </c>
      <c r="E563" s="18">
        <v>68.0</v>
      </c>
      <c r="F563" s="5">
        <v>22.8</v>
      </c>
      <c r="G563" s="5">
        <v>3456.0</v>
      </c>
      <c r="H563" s="5">
        <v>192.0</v>
      </c>
      <c r="I563" s="5">
        <v>5.6</v>
      </c>
      <c r="J563" s="5"/>
    </row>
    <row r="564">
      <c r="A564" s="5" t="s">
        <v>1044</v>
      </c>
      <c r="B564" s="201" t="s">
        <v>4228</v>
      </c>
      <c r="C564" s="200" t="str">
        <f t="shared" si="1"/>
        <v>Guilt Free_5-10</v>
      </c>
      <c r="D564" s="18">
        <v>184.0</v>
      </c>
      <c r="E564" s="18">
        <v>74.0</v>
      </c>
      <c r="F564" s="5">
        <v>40.2</v>
      </c>
      <c r="G564" s="5">
        <v>2981.0</v>
      </c>
      <c r="H564" s="5">
        <v>202.0</v>
      </c>
      <c r="I564" s="5">
        <v>6.8</v>
      </c>
      <c r="J564" s="5"/>
    </row>
    <row r="565">
      <c r="A565" s="5" t="s">
        <v>1044</v>
      </c>
      <c r="B565" s="201" t="s">
        <v>1398</v>
      </c>
      <c r="C565" s="200" t="str">
        <f t="shared" si="1"/>
        <v>Guilt Free_20-25</v>
      </c>
      <c r="D565" s="18">
        <v>102.0</v>
      </c>
      <c r="E565" s="18">
        <v>8.0</v>
      </c>
      <c r="F565" s="5">
        <v>7.8</v>
      </c>
      <c r="G565" s="5">
        <v>816.0</v>
      </c>
      <c r="H565" s="5">
        <v>23.0</v>
      </c>
      <c r="I565" s="5">
        <v>2.8</v>
      </c>
      <c r="J565" s="5"/>
    </row>
    <row r="566">
      <c r="A566" s="5" t="s">
        <v>1044</v>
      </c>
      <c r="B566" s="201" t="s">
        <v>1400</v>
      </c>
      <c r="C566" s="200" t="str">
        <f t="shared" si="1"/>
        <v>Guilt Free_25+</v>
      </c>
      <c r="D566" s="18">
        <v>243.0</v>
      </c>
      <c r="E566" s="18">
        <v>30.0</v>
      </c>
      <c r="F566" s="5">
        <v>12.3</v>
      </c>
      <c r="G566" s="5">
        <v>2631.0</v>
      </c>
      <c r="H566" s="5">
        <v>94.0</v>
      </c>
      <c r="I566" s="5">
        <v>3.6</v>
      </c>
      <c r="J566" s="5"/>
    </row>
    <row r="567">
      <c r="A567" s="5" t="s">
        <v>1167</v>
      </c>
      <c r="B567" s="201" t="s">
        <v>1426</v>
      </c>
      <c r="C567" s="200" t="str">
        <f t="shared" si="1"/>
        <v>Gums &amp; Mints_0-5</v>
      </c>
      <c r="D567" s="18">
        <v>149.0</v>
      </c>
      <c r="E567" s="18">
        <v>15.0</v>
      </c>
      <c r="F567" s="5">
        <v>10.1</v>
      </c>
      <c r="G567" s="5">
        <v>3975.0</v>
      </c>
      <c r="H567" s="5">
        <v>118.0</v>
      </c>
      <c r="I567" s="5">
        <v>3.0</v>
      </c>
      <c r="J567" s="5"/>
    </row>
    <row r="568">
      <c r="A568" s="5" t="s">
        <v>1167</v>
      </c>
      <c r="B568" s="201" t="s">
        <v>4228</v>
      </c>
      <c r="C568" s="200" t="str">
        <f t="shared" si="1"/>
        <v>Gums &amp; Mints_5-10</v>
      </c>
      <c r="D568" s="18">
        <v>197.0</v>
      </c>
      <c r="E568" s="18">
        <v>22.0</v>
      </c>
      <c r="F568" s="5">
        <v>11.2</v>
      </c>
      <c r="G568" s="5">
        <v>3899.0</v>
      </c>
      <c r="H568" s="5">
        <v>312.0</v>
      </c>
      <c r="I568" s="5">
        <v>8.0</v>
      </c>
      <c r="J568" s="5"/>
    </row>
    <row r="569">
      <c r="A569" s="5" t="s">
        <v>1167</v>
      </c>
      <c r="B569" s="201" t="s">
        <v>4226</v>
      </c>
      <c r="C569" s="200" t="str">
        <f t="shared" si="1"/>
        <v>Gums &amp; Mints_10-15</v>
      </c>
      <c r="D569" s="18">
        <v>411.0</v>
      </c>
      <c r="E569" s="18">
        <v>29.0</v>
      </c>
      <c r="F569" s="5">
        <v>7.1</v>
      </c>
      <c r="G569" s="5">
        <v>5671.0</v>
      </c>
      <c r="H569" s="5">
        <v>229.0</v>
      </c>
      <c r="I569" s="5">
        <v>4.0</v>
      </c>
      <c r="J569" s="5"/>
    </row>
    <row r="570">
      <c r="A570" s="5" t="s">
        <v>1167</v>
      </c>
      <c r="B570" s="201" t="s">
        <v>1413</v>
      </c>
      <c r="C570" s="200" t="str">
        <f t="shared" si="1"/>
        <v>Gums &amp; Mints_15-20</v>
      </c>
      <c r="D570" s="18">
        <v>58.0</v>
      </c>
      <c r="E570" s="18">
        <v>23.0</v>
      </c>
      <c r="F570" s="5">
        <v>39.7</v>
      </c>
      <c r="G570" s="5">
        <v>310.0</v>
      </c>
      <c r="H570" s="5">
        <v>68.0</v>
      </c>
      <c r="I570" s="5">
        <v>21.9</v>
      </c>
      <c r="J570" s="5"/>
    </row>
    <row r="571">
      <c r="A571" s="5" t="s">
        <v>1167</v>
      </c>
      <c r="B571" s="201" t="s">
        <v>1400</v>
      </c>
      <c r="C571" s="200" t="str">
        <f t="shared" si="1"/>
        <v>Gums &amp; Mints_25+</v>
      </c>
      <c r="D571" s="18">
        <v>26.0</v>
      </c>
      <c r="E571" s="18">
        <v>22.0</v>
      </c>
      <c r="F571" s="5">
        <v>84.6</v>
      </c>
      <c r="G571" s="5">
        <v>50.0</v>
      </c>
      <c r="H571" s="5">
        <v>46.0</v>
      </c>
      <c r="I571" s="5">
        <v>92.0</v>
      </c>
      <c r="J571" s="5"/>
    </row>
    <row r="572">
      <c r="A572" s="5" t="s">
        <v>1167</v>
      </c>
      <c r="B572" s="201" t="s">
        <v>4227</v>
      </c>
      <c r="C572" s="200" t="str">
        <f t="shared" si="1"/>
        <v>Gums &amp; Mints_No Sales</v>
      </c>
      <c r="D572" s="18">
        <v>20.0</v>
      </c>
      <c r="E572" s="18">
        <v>7.0</v>
      </c>
      <c r="F572" s="5">
        <v>35.0</v>
      </c>
      <c r="G572" s="5">
        <v>61.0</v>
      </c>
      <c r="H572" s="5">
        <v>25.0</v>
      </c>
      <c r="I572" s="5">
        <v>41.0</v>
      </c>
      <c r="J572" s="5"/>
    </row>
    <row r="573">
      <c r="A573" s="5" t="s">
        <v>1123</v>
      </c>
      <c r="B573" s="201" t="s">
        <v>4226</v>
      </c>
      <c r="C573" s="200" t="str">
        <f t="shared" si="1"/>
        <v>Gym Equipment_10-15</v>
      </c>
      <c r="D573" s="18">
        <v>44.0</v>
      </c>
      <c r="E573" s="18">
        <v>23.0</v>
      </c>
      <c r="F573" s="5">
        <v>52.3</v>
      </c>
      <c r="G573" s="5">
        <v>129.0</v>
      </c>
      <c r="H573" s="5">
        <v>80.0</v>
      </c>
      <c r="I573" s="5">
        <v>62.0</v>
      </c>
      <c r="J573" s="5"/>
    </row>
    <row r="574">
      <c r="A574" s="5" t="s">
        <v>1123</v>
      </c>
      <c r="B574" s="201" t="s">
        <v>1413</v>
      </c>
      <c r="C574" s="200" t="str">
        <f t="shared" si="1"/>
        <v>Gym Equipment_15-20</v>
      </c>
      <c r="D574" s="18">
        <v>31.0</v>
      </c>
      <c r="E574" s="18">
        <v>26.0</v>
      </c>
      <c r="F574" s="5">
        <v>83.9</v>
      </c>
      <c r="G574" s="5">
        <v>90.0</v>
      </c>
      <c r="H574" s="5">
        <v>81.0</v>
      </c>
      <c r="I574" s="5">
        <v>90.0</v>
      </c>
      <c r="J574" s="5"/>
    </row>
    <row r="575">
      <c r="A575" s="5" t="s">
        <v>1123</v>
      </c>
      <c r="B575" s="201" t="s">
        <v>1398</v>
      </c>
      <c r="C575" s="200" t="str">
        <f t="shared" si="1"/>
        <v>Gym Equipment_20-25</v>
      </c>
      <c r="D575" s="18">
        <v>9.0</v>
      </c>
      <c r="E575" s="18">
        <v>8.0</v>
      </c>
      <c r="F575" s="5">
        <v>88.9</v>
      </c>
      <c r="G575" s="5">
        <v>19.0</v>
      </c>
      <c r="H575" s="5">
        <v>18.0</v>
      </c>
      <c r="I575" s="5">
        <v>94.7</v>
      </c>
      <c r="J575" s="5"/>
    </row>
    <row r="576">
      <c r="A576" s="5" t="s">
        <v>1123</v>
      </c>
      <c r="B576" s="201" t="s">
        <v>1400</v>
      </c>
      <c r="C576" s="200" t="str">
        <f t="shared" si="1"/>
        <v>Gym Equipment_25+</v>
      </c>
      <c r="D576" s="18">
        <v>454.0</v>
      </c>
      <c r="E576" s="18">
        <v>379.0</v>
      </c>
      <c r="F576" s="5">
        <v>83.5</v>
      </c>
      <c r="G576" s="5">
        <v>1935.0</v>
      </c>
      <c r="H576" s="5">
        <v>1622.0</v>
      </c>
      <c r="I576" s="5">
        <v>83.8</v>
      </c>
      <c r="J576" s="5"/>
    </row>
    <row r="577">
      <c r="A577" s="5" t="s">
        <v>1123</v>
      </c>
      <c r="B577" s="201" t="s">
        <v>4227</v>
      </c>
      <c r="C577" s="200" t="str">
        <f t="shared" si="1"/>
        <v>Gym Equipment_No Sales</v>
      </c>
      <c r="D577" s="18">
        <v>224.0</v>
      </c>
      <c r="E577" s="18">
        <v>224.0</v>
      </c>
      <c r="F577" s="5">
        <v>100.0</v>
      </c>
      <c r="G577" s="5">
        <v>656.0</v>
      </c>
      <c r="H577" s="5">
        <v>656.0</v>
      </c>
      <c r="I577" s="5">
        <v>100.0</v>
      </c>
      <c r="J577" s="5"/>
    </row>
    <row r="578">
      <c r="A578" s="5" t="s">
        <v>503</v>
      </c>
      <c r="B578" s="201" t="s">
        <v>4228</v>
      </c>
      <c r="C578" s="200" t="str">
        <f t="shared" si="1"/>
        <v>Hair Care_5-10</v>
      </c>
      <c r="D578" s="18">
        <v>20.0</v>
      </c>
      <c r="E578" s="18">
        <v>7.0</v>
      </c>
      <c r="F578" s="5">
        <v>35.0</v>
      </c>
      <c r="G578" s="5">
        <v>37.0</v>
      </c>
      <c r="H578" s="5">
        <v>13.0</v>
      </c>
      <c r="I578" s="5">
        <v>35.1</v>
      </c>
      <c r="J578" s="5"/>
    </row>
    <row r="579">
      <c r="A579" s="5" t="s">
        <v>503</v>
      </c>
      <c r="B579" s="201" t="s">
        <v>4226</v>
      </c>
      <c r="C579" s="200" t="str">
        <f t="shared" si="1"/>
        <v>Hair Care_10-15</v>
      </c>
      <c r="D579" s="18">
        <v>368.0</v>
      </c>
      <c r="E579" s="18">
        <v>131.0</v>
      </c>
      <c r="F579" s="5">
        <v>35.6</v>
      </c>
      <c r="G579" s="5">
        <v>1862.0</v>
      </c>
      <c r="H579" s="5">
        <v>369.0</v>
      </c>
      <c r="I579" s="5">
        <v>19.8</v>
      </c>
      <c r="J579" s="5"/>
    </row>
    <row r="580">
      <c r="A580" s="5" t="s">
        <v>503</v>
      </c>
      <c r="B580" s="201" t="s">
        <v>1413</v>
      </c>
      <c r="C580" s="200" t="str">
        <f t="shared" si="1"/>
        <v>Hair Care_15-20</v>
      </c>
      <c r="D580" s="18">
        <v>691.0</v>
      </c>
      <c r="E580" s="18">
        <v>230.0</v>
      </c>
      <c r="F580" s="5">
        <v>33.3</v>
      </c>
      <c r="G580" s="5">
        <v>4749.0</v>
      </c>
      <c r="H580" s="5">
        <v>709.0</v>
      </c>
      <c r="I580" s="5">
        <v>14.9</v>
      </c>
      <c r="J580" s="5"/>
    </row>
    <row r="581">
      <c r="A581" s="5" t="s">
        <v>503</v>
      </c>
      <c r="B581" s="201" t="s">
        <v>1398</v>
      </c>
      <c r="C581" s="200" t="str">
        <f t="shared" si="1"/>
        <v>Hair Care_20-25</v>
      </c>
      <c r="D581" s="18">
        <v>617.0</v>
      </c>
      <c r="E581" s="18">
        <v>160.0</v>
      </c>
      <c r="F581" s="5">
        <v>25.9</v>
      </c>
      <c r="G581" s="5">
        <v>3070.0</v>
      </c>
      <c r="H581" s="5">
        <v>405.0</v>
      </c>
      <c r="I581" s="5">
        <v>13.2</v>
      </c>
      <c r="J581" s="5"/>
    </row>
    <row r="582">
      <c r="A582" s="5" t="s">
        <v>503</v>
      </c>
      <c r="B582" s="201" t="s">
        <v>1400</v>
      </c>
      <c r="C582" s="200" t="str">
        <f t="shared" si="1"/>
        <v>Hair Care_25+</v>
      </c>
      <c r="D582" s="18">
        <v>1699.0</v>
      </c>
      <c r="E582" s="18">
        <v>659.0</v>
      </c>
      <c r="F582" s="5">
        <v>38.8</v>
      </c>
      <c r="G582" s="5">
        <v>10053.0</v>
      </c>
      <c r="H582" s="5">
        <v>1667.0</v>
      </c>
      <c r="I582" s="5">
        <v>16.6</v>
      </c>
      <c r="J582" s="5"/>
    </row>
    <row r="583">
      <c r="A583" s="5" t="s">
        <v>503</v>
      </c>
      <c r="B583" s="201" t="s">
        <v>4227</v>
      </c>
      <c r="C583" s="200" t="str">
        <f t="shared" si="1"/>
        <v>Hair Care_No Sales</v>
      </c>
      <c r="D583" s="18">
        <v>281.0</v>
      </c>
      <c r="E583" s="18">
        <v>85.0</v>
      </c>
      <c r="F583" s="5">
        <v>30.2</v>
      </c>
      <c r="G583" s="5">
        <v>2677.0</v>
      </c>
      <c r="H583" s="5">
        <v>204.0</v>
      </c>
      <c r="I583" s="5">
        <v>7.6</v>
      </c>
      <c r="J583" s="5"/>
    </row>
    <row r="584">
      <c r="A584" s="5" t="s">
        <v>492</v>
      </c>
      <c r="B584" s="201" t="s">
        <v>1413</v>
      </c>
      <c r="C584" s="200" t="str">
        <f t="shared" si="1"/>
        <v>Hair Studio_15-20</v>
      </c>
      <c r="D584" s="18">
        <v>60.0</v>
      </c>
      <c r="E584" s="18">
        <v>7.0</v>
      </c>
      <c r="F584" s="5">
        <v>11.7</v>
      </c>
      <c r="G584" s="5">
        <v>862.0</v>
      </c>
      <c r="H584" s="5">
        <v>20.0</v>
      </c>
      <c r="I584" s="5">
        <v>2.3</v>
      </c>
      <c r="J584" s="5"/>
    </row>
    <row r="585">
      <c r="A585" s="5" t="s">
        <v>492</v>
      </c>
      <c r="B585" s="201" t="s">
        <v>1398</v>
      </c>
      <c r="C585" s="200" t="str">
        <f t="shared" si="1"/>
        <v>Hair Studio_20-25</v>
      </c>
      <c r="D585" s="18">
        <v>65.0</v>
      </c>
      <c r="E585" s="18">
        <v>7.0</v>
      </c>
      <c r="F585" s="5">
        <v>10.8</v>
      </c>
      <c r="G585" s="5">
        <v>645.0</v>
      </c>
      <c r="H585" s="5">
        <v>21.0</v>
      </c>
      <c r="I585" s="5">
        <v>3.3</v>
      </c>
      <c r="J585" s="5"/>
    </row>
    <row r="586">
      <c r="A586" s="5" t="s">
        <v>492</v>
      </c>
      <c r="B586" s="201" t="s">
        <v>1400</v>
      </c>
      <c r="C586" s="200" t="str">
        <f t="shared" si="1"/>
        <v>Hair Studio_25+</v>
      </c>
      <c r="D586" s="18">
        <v>699.0</v>
      </c>
      <c r="E586" s="18">
        <v>199.0</v>
      </c>
      <c r="F586" s="5">
        <v>28.5</v>
      </c>
      <c r="G586" s="5">
        <v>3065.0</v>
      </c>
      <c r="H586" s="5">
        <v>504.0</v>
      </c>
      <c r="I586" s="5">
        <v>16.4</v>
      </c>
      <c r="J586" s="5"/>
    </row>
    <row r="587">
      <c r="A587" s="5" t="s">
        <v>492</v>
      </c>
      <c r="B587" s="201" t="s">
        <v>4227</v>
      </c>
      <c r="C587" s="200" t="str">
        <f t="shared" si="1"/>
        <v>Hair Studio_No Sales</v>
      </c>
      <c r="D587" s="18">
        <v>62.0</v>
      </c>
      <c r="E587" s="18">
        <v>54.0</v>
      </c>
      <c r="F587" s="5">
        <v>87.1</v>
      </c>
      <c r="G587" s="5">
        <v>158.0</v>
      </c>
      <c r="H587" s="5">
        <v>124.0</v>
      </c>
      <c r="I587" s="5">
        <v>78.5</v>
      </c>
      <c r="J587" s="5"/>
    </row>
    <row r="588">
      <c r="A588" s="5" t="s">
        <v>2828</v>
      </c>
      <c r="B588" s="201" t="s">
        <v>4227</v>
      </c>
      <c r="C588" s="200" t="str">
        <f t="shared" si="1"/>
        <v>Hair Stylers_No Sales</v>
      </c>
      <c r="D588" s="18">
        <v>1.0</v>
      </c>
      <c r="E588" s="18">
        <v>0.0</v>
      </c>
      <c r="F588" s="5">
        <v>0.0</v>
      </c>
      <c r="G588" s="5">
        <v>250.0</v>
      </c>
      <c r="H588" s="5">
        <v>0.0</v>
      </c>
      <c r="I588" s="5">
        <v>0.0</v>
      </c>
      <c r="J588" s="5"/>
    </row>
    <row r="589">
      <c r="A589" s="5" t="s">
        <v>2427</v>
      </c>
      <c r="B589" s="201" t="s">
        <v>1400</v>
      </c>
      <c r="C589" s="200" t="str">
        <f t="shared" si="1"/>
        <v>Hajj Essentials_25+</v>
      </c>
      <c r="D589" s="18">
        <v>3.0</v>
      </c>
      <c r="E589" s="18">
        <v>3.0</v>
      </c>
      <c r="F589" s="5">
        <v>100.0</v>
      </c>
      <c r="G589" s="5">
        <v>6.0</v>
      </c>
      <c r="H589" s="5">
        <v>6.0</v>
      </c>
      <c r="I589" s="5">
        <v>100.0</v>
      </c>
      <c r="J589" s="5"/>
    </row>
    <row r="590">
      <c r="A590" s="5" t="s">
        <v>2427</v>
      </c>
      <c r="B590" s="201" t="s">
        <v>4227</v>
      </c>
      <c r="C590" s="200" t="str">
        <f t="shared" si="1"/>
        <v>Hajj Essentials_No Sales</v>
      </c>
      <c r="D590" s="18">
        <v>36.0</v>
      </c>
      <c r="E590" s="18">
        <v>36.0</v>
      </c>
      <c r="F590" s="5">
        <v>100.0</v>
      </c>
      <c r="G590" s="5">
        <v>66.0</v>
      </c>
      <c r="H590" s="5">
        <v>66.0</v>
      </c>
      <c r="I590" s="5">
        <v>100.0</v>
      </c>
      <c r="J590" s="5"/>
    </row>
    <row r="591">
      <c r="A591" s="5" t="s">
        <v>2517</v>
      </c>
      <c r="B591" s="201" t="s">
        <v>4228</v>
      </c>
      <c r="C591" s="200" t="str">
        <f t="shared" si="1"/>
        <v>Hand Wash_5-10</v>
      </c>
      <c r="D591" s="18">
        <v>96.0</v>
      </c>
      <c r="E591" s="18">
        <v>6.0</v>
      </c>
      <c r="F591" s="5">
        <v>6.3</v>
      </c>
      <c r="G591" s="5">
        <v>5376.0</v>
      </c>
      <c r="H591" s="5">
        <v>13.0</v>
      </c>
      <c r="I591" s="5">
        <v>0.2</v>
      </c>
      <c r="J591" s="5"/>
    </row>
    <row r="592">
      <c r="A592" s="5" t="s">
        <v>2517</v>
      </c>
      <c r="B592" s="201" t="s">
        <v>4226</v>
      </c>
      <c r="C592" s="200" t="str">
        <f t="shared" si="1"/>
        <v>Hand Wash_10-15</v>
      </c>
      <c r="D592" s="18">
        <v>228.0</v>
      </c>
      <c r="E592" s="18">
        <v>20.0</v>
      </c>
      <c r="F592" s="5">
        <v>8.8</v>
      </c>
      <c r="G592" s="5">
        <v>3848.0</v>
      </c>
      <c r="H592" s="5">
        <v>58.0</v>
      </c>
      <c r="I592" s="5">
        <v>1.5</v>
      </c>
      <c r="J592" s="5"/>
    </row>
    <row r="593">
      <c r="A593" s="5" t="s">
        <v>2517</v>
      </c>
      <c r="B593" s="201" t="s">
        <v>1413</v>
      </c>
      <c r="C593" s="200" t="str">
        <f t="shared" si="1"/>
        <v>Hand Wash_15-20</v>
      </c>
      <c r="D593" s="18">
        <v>304.0</v>
      </c>
      <c r="E593" s="18">
        <v>99.0</v>
      </c>
      <c r="F593" s="5">
        <v>32.6</v>
      </c>
      <c r="G593" s="5">
        <v>2658.0</v>
      </c>
      <c r="H593" s="5">
        <v>252.0</v>
      </c>
      <c r="I593" s="5">
        <v>9.5</v>
      </c>
      <c r="J593" s="5"/>
    </row>
    <row r="594">
      <c r="A594" s="5" t="s">
        <v>2517</v>
      </c>
      <c r="B594" s="201" t="s">
        <v>1398</v>
      </c>
      <c r="C594" s="200" t="str">
        <f t="shared" si="1"/>
        <v>Hand Wash_20-25</v>
      </c>
      <c r="D594" s="18">
        <v>195.0</v>
      </c>
      <c r="E594" s="18">
        <v>41.0</v>
      </c>
      <c r="F594" s="5">
        <v>21.0</v>
      </c>
      <c r="G594" s="5">
        <v>1786.0</v>
      </c>
      <c r="H594" s="5">
        <v>148.0</v>
      </c>
      <c r="I594" s="5">
        <v>8.3</v>
      </c>
      <c r="J594" s="5"/>
    </row>
    <row r="595">
      <c r="A595" s="5" t="s">
        <v>2517</v>
      </c>
      <c r="B595" s="201" t="s">
        <v>1400</v>
      </c>
      <c r="C595" s="200" t="str">
        <f t="shared" si="1"/>
        <v>Hand Wash_25+</v>
      </c>
      <c r="D595" s="18">
        <v>51.0</v>
      </c>
      <c r="E595" s="18">
        <v>27.0</v>
      </c>
      <c r="F595" s="5">
        <v>52.9</v>
      </c>
      <c r="G595" s="5">
        <v>178.0</v>
      </c>
      <c r="H595" s="5">
        <v>57.0</v>
      </c>
      <c r="I595" s="5">
        <v>32.0</v>
      </c>
      <c r="J595" s="5"/>
    </row>
    <row r="596">
      <c r="A596" s="5" t="s">
        <v>2517</v>
      </c>
      <c r="B596" s="201" t="s">
        <v>4227</v>
      </c>
      <c r="C596" s="200" t="str">
        <f t="shared" si="1"/>
        <v>Hand Wash_No Sales</v>
      </c>
      <c r="D596" s="18">
        <v>16.0</v>
      </c>
      <c r="E596" s="18">
        <v>15.0</v>
      </c>
      <c r="F596" s="5">
        <v>93.8</v>
      </c>
      <c r="G596" s="5">
        <v>51.0</v>
      </c>
      <c r="H596" s="5">
        <v>49.0</v>
      </c>
      <c r="I596" s="5">
        <v>96.1</v>
      </c>
      <c r="J596" s="5"/>
    </row>
    <row r="597">
      <c r="A597" s="5" t="s">
        <v>645</v>
      </c>
      <c r="B597" s="201" t="s">
        <v>1426</v>
      </c>
      <c r="C597" s="200" t="str">
        <f t="shared" si="1"/>
        <v>Healthy Snacks_0-5</v>
      </c>
      <c r="D597" s="18">
        <v>173.0</v>
      </c>
      <c r="E597" s="18">
        <v>5.0</v>
      </c>
      <c r="F597" s="5">
        <v>2.9</v>
      </c>
      <c r="G597" s="5">
        <v>7180.0</v>
      </c>
      <c r="H597" s="5">
        <v>24.0</v>
      </c>
      <c r="I597" s="5">
        <v>0.3</v>
      </c>
      <c r="J597" s="5"/>
    </row>
    <row r="598">
      <c r="A598" s="5" t="s">
        <v>645</v>
      </c>
      <c r="B598" s="201" t="s">
        <v>4228</v>
      </c>
      <c r="C598" s="200" t="str">
        <f t="shared" si="1"/>
        <v>Healthy Snacks_5-10</v>
      </c>
      <c r="D598" s="18">
        <v>282.0</v>
      </c>
      <c r="E598" s="18">
        <v>26.0</v>
      </c>
      <c r="F598" s="5">
        <v>9.2</v>
      </c>
      <c r="G598" s="5">
        <v>5584.0</v>
      </c>
      <c r="H598" s="5">
        <v>76.0</v>
      </c>
      <c r="I598" s="5">
        <v>1.4</v>
      </c>
      <c r="J598" s="5"/>
    </row>
    <row r="599">
      <c r="A599" s="5" t="s">
        <v>645</v>
      </c>
      <c r="B599" s="201" t="s">
        <v>4226</v>
      </c>
      <c r="C599" s="200" t="str">
        <f t="shared" si="1"/>
        <v>Healthy Snacks_10-15</v>
      </c>
      <c r="D599" s="18">
        <v>1005.0</v>
      </c>
      <c r="E599" s="18">
        <v>153.0</v>
      </c>
      <c r="F599" s="5">
        <v>15.2</v>
      </c>
      <c r="G599" s="5">
        <v>24285.0</v>
      </c>
      <c r="H599" s="5">
        <v>574.0</v>
      </c>
      <c r="I599" s="5">
        <v>2.4</v>
      </c>
      <c r="J599" s="5"/>
    </row>
    <row r="600">
      <c r="A600" s="5" t="s">
        <v>645</v>
      </c>
      <c r="B600" s="201" t="s">
        <v>1413</v>
      </c>
      <c r="C600" s="200" t="str">
        <f t="shared" si="1"/>
        <v>Healthy Snacks_15-20</v>
      </c>
      <c r="D600" s="18">
        <v>644.0</v>
      </c>
      <c r="E600" s="18">
        <v>93.0</v>
      </c>
      <c r="F600" s="5">
        <v>14.4</v>
      </c>
      <c r="G600" s="5">
        <v>8432.0</v>
      </c>
      <c r="H600" s="5">
        <v>322.0</v>
      </c>
      <c r="I600" s="5">
        <v>3.8</v>
      </c>
      <c r="J600" s="5"/>
    </row>
    <row r="601">
      <c r="A601" s="5" t="s">
        <v>645</v>
      </c>
      <c r="B601" s="201" t="s">
        <v>1398</v>
      </c>
      <c r="C601" s="200" t="str">
        <f t="shared" si="1"/>
        <v>Healthy Snacks_20-25</v>
      </c>
      <c r="D601" s="18">
        <v>253.0</v>
      </c>
      <c r="E601" s="18">
        <v>86.0</v>
      </c>
      <c r="F601" s="5">
        <v>34.0</v>
      </c>
      <c r="G601" s="5">
        <v>987.0</v>
      </c>
      <c r="H601" s="5">
        <v>255.0</v>
      </c>
      <c r="I601" s="5">
        <v>25.8</v>
      </c>
      <c r="J601" s="5"/>
    </row>
    <row r="602">
      <c r="A602" s="5" t="s">
        <v>645</v>
      </c>
      <c r="B602" s="201" t="s">
        <v>1400</v>
      </c>
      <c r="C602" s="200" t="str">
        <f t="shared" si="1"/>
        <v>Healthy Snacks_25+</v>
      </c>
      <c r="D602" s="18">
        <v>158.0</v>
      </c>
      <c r="E602" s="18">
        <v>20.0</v>
      </c>
      <c r="F602" s="5">
        <v>12.7</v>
      </c>
      <c r="G602" s="5">
        <v>2105.0</v>
      </c>
      <c r="H602" s="5">
        <v>61.0</v>
      </c>
      <c r="I602" s="5">
        <v>2.9</v>
      </c>
      <c r="J602" s="5"/>
    </row>
    <row r="603">
      <c r="A603" s="5" t="s">
        <v>645</v>
      </c>
      <c r="B603" s="201" t="s">
        <v>4227</v>
      </c>
      <c r="C603" s="200" t="str">
        <f t="shared" si="1"/>
        <v>Healthy Snacks_No Sales</v>
      </c>
      <c r="D603" s="18">
        <v>37.0</v>
      </c>
      <c r="E603" s="18">
        <v>12.0</v>
      </c>
      <c r="F603" s="5">
        <v>32.4</v>
      </c>
      <c r="G603" s="5">
        <v>5113.0</v>
      </c>
      <c r="H603" s="5">
        <v>28.0</v>
      </c>
      <c r="I603" s="5">
        <v>0.5</v>
      </c>
      <c r="J603" s="5"/>
    </row>
    <row r="604">
      <c r="A604" s="5" t="s">
        <v>2276</v>
      </c>
      <c r="B604" s="201" t="s">
        <v>1426</v>
      </c>
      <c r="C604" s="200" t="str">
        <f t="shared" si="1"/>
        <v>Herbs_0-5</v>
      </c>
      <c r="D604" s="18">
        <v>176.0</v>
      </c>
      <c r="E604" s="18">
        <v>0.0</v>
      </c>
      <c r="F604" s="5">
        <v>0.0</v>
      </c>
      <c r="G604" s="5">
        <v>7800.0</v>
      </c>
      <c r="H604" s="5">
        <v>0.0</v>
      </c>
      <c r="I604" s="5">
        <v>0.0</v>
      </c>
      <c r="J604" s="5"/>
    </row>
    <row r="605">
      <c r="A605" s="5" t="s">
        <v>2430</v>
      </c>
      <c r="B605" s="201" t="s">
        <v>1426</v>
      </c>
      <c r="C605" s="200" t="str">
        <f t="shared" si="1"/>
        <v>Home Appliances_0-5</v>
      </c>
      <c r="D605" s="18">
        <v>28.0</v>
      </c>
      <c r="E605" s="18">
        <v>0.0</v>
      </c>
      <c r="F605" s="5">
        <v>0.0</v>
      </c>
      <c r="G605" s="5">
        <v>2183.0</v>
      </c>
      <c r="H605" s="5">
        <v>0.0</v>
      </c>
      <c r="I605" s="5">
        <v>0.0</v>
      </c>
      <c r="J605" s="5"/>
    </row>
    <row r="606">
      <c r="A606" s="5" t="s">
        <v>2430</v>
      </c>
      <c r="B606" s="201" t="s">
        <v>4226</v>
      </c>
      <c r="C606" s="200" t="str">
        <f t="shared" si="1"/>
        <v>Home Appliances_10-15</v>
      </c>
      <c r="D606" s="18">
        <v>86.0</v>
      </c>
      <c r="E606" s="18">
        <v>7.0</v>
      </c>
      <c r="F606" s="5">
        <v>8.1</v>
      </c>
      <c r="G606" s="5">
        <v>1503.0</v>
      </c>
      <c r="H606" s="5">
        <v>22.0</v>
      </c>
      <c r="I606" s="5">
        <v>1.5</v>
      </c>
      <c r="J606" s="5"/>
    </row>
    <row r="607">
      <c r="A607" s="5" t="s">
        <v>2430</v>
      </c>
      <c r="B607" s="201" t="s">
        <v>1413</v>
      </c>
      <c r="C607" s="200" t="str">
        <f t="shared" si="1"/>
        <v>Home Appliances_15-20</v>
      </c>
      <c r="D607" s="18">
        <v>88.0</v>
      </c>
      <c r="E607" s="18">
        <v>9.0</v>
      </c>
      <c r="F607" s="5">
        <v>10.2</v>
      </c>
      <c r="G607" s="5">
        <v>729.0</v>
      </c>
      <c r="H607" s="5">
        <v>28.0</v>
      </c>
      <c r="I607" s="5">
        <v>3.8</v>
      </c>
      <c r="J607" s="5"/>
    </row>
    <row r="608">
      <c r="A608" s="5" t="s">
        <v>2430</v>
      </c>
      <c r="B608" s="201" t="s">
        <v>1400</v>
      </c>
      <c r="C608" s="200" t="str">
        <f t="shared" si="1"/>
        <v>Home Appliances_25+</v>
      </c>
      <c r="D608" s="18">
        <v>89.0</v>
      </c>
      <c r="E608" s="18">
        <v>11.0</v>
      </c>
      <c r="F608" s="5">
        <v>12.4</v>
      </c>
      <c r="G608" s="5">
        <v>806.0</v>
      </c>
      <c r="H608" s="5">
        <v>34.0</v>
      </c>
      <c r="I608" s="5">
        <v>4.2</v>
      </c>
      <c r="J608" s="5"/>
    </row>
    <row r="609">
      <c r="A609" s="5" t="s">
        <v>2430</v>
      </c>
      <c r="B609" s="201" t="s">
        <v>4227</v>
      </c>
      <c r="C609" s="200" t="str">
        <f t="shared" si="1"/>
        <v>Home Appliances_No Sales</v>
      </c>
      <c r="D609" s="18">
        <v>4.0</v>
      </c>
      <c r="E609" s="18">
        <v>4.0</v>
      </c>
      <c r="F609" s="5">
        <v>100.0</v>
      </c>
      <c r="G609" s="5">
        <v>6.0</v>
      </c>
      <c r="H609" s="5">
        <v>6.0</v>
      </c>
      <c r="I609" s="5">
        <v>100.0</v>
      </c>
      <c r="J609" s="5"/>
    </row>
    <row r="610">
      <c r="A610" s="5" t="s">
        <v>459</v>
      </c>
      <c r="B610" s="201" t="s">
        <v>1426</v>
      </c>
      <c r="C610" s="200" t="str">
        <f t="shared" si="1"/>
        <v>Home Improvement_0-5</v>
      </c>
      <c r="D610" s="18">
        <v>175.0</v>
      </c>
      <c r="E610" s="18">
        <v>30.0</v>
      </c>
      <c r="F610" s="5">
        <v>17.1</v>
      </c>
      <c r="G610" s="5">
        <v>2659.0</v>
      </c>
      <c r="H610" s="5">
        <v>95.0</v>
      </c>
      <c r="I610" s="5">
        <v>3.6</v>
      </c>
      <c r="J610" s="5"/>
    </row>
    <row r="611">
      <c r="A611" s="5" t="s">
        <v>459</v>
      </c>
      <c r="B611" s="201" t="s">
        <v>4228</v>
      </c>
      <c r="C611" s="200" t="str">
        <f t="shared" si="1"/>
        <v>Home Improvement_5-10</v>
      </c>
      <c r="D611" s="18">
        <v>181.0</v>
      </c>
      <c r="E611" s="18">
        <v>82.0</v>
      </c>
      <c r="F611" s="5">
        <v>45.3</v>
      </c>
      <c r="G611" s="5">
        <v>787.0</v>
      </c>
      <c r="H611" s="5">
        <v>253.0</v>
      </c>
      <c r="I611" s="5">
        <v>32.1</v>
      </c>
      <c r="J611" s="5"/>
    </row>
    <row r="612">
      <c r="A612" s="5" t="s">
        <v>459</v>
      </c>
      <c r="B612" s="201" t="s">
        <v>4226</v>
      </c>
      <c r="C612" s="200" t="str">
        <f t="shared" si="1"/>
        <v>Home Improvement_10-15</v>
      </c>
      <c r="D612" s="18">
        <v>198.0</v>
      </c>
      <c r="E612" s="18">
        <v>113.0</v>
      </c>
      <c r="F612" s="5">
        <v>57.1</v>
      </c>
      <c r="G612" s="5">
        <v>798.0</v>
      </c>
      <c r="H612" s="5">
        <v>375.0</v>
      </c>
      <c r="I612" s="5">
        <v>47.0</v>
      </c>
      <c r="J612" s="5"/>
    </row>
    <row r="613">
      <c r="A613" s="5" t="s">
        <v>459</v>
      </c>
      <c r="B613" s="201" t="s">
        <v>1413</v>
      </c>
      <c r="C613" s="200" t="str">
        <f t="shared" si="1"/>
        <v>Home Improvement_15-20</v>
      </c>
      <c r="D613" s="18">
        <v>359.0</v>
      </c>
      <c r="E613" s="18">
        <v>175.0</v>
      </c>
      <c r="F613" s="5">
        <v>48.7</v>
      </c>
      <c r="G613" s="5">
        <v>1461.0</v>
      </c>
      <c r="H613" s="5">
        <v>539.0</v>
      </c>
      <c r="I613" s="5">
        <v>36.9</v>
      </c>
      <c r="J613" s="5"/>
    </row>
    <row r="614">
      <c r="A614" s="5" t="s">
        <v>459</v>
      </c>
      <c r="B614" s="201" t="s">
        <v>1398</v>
      </c>
      <c r="C614" s="200" t="str">
        <f t="shared" si="1"/>
        <v>Home Improvement_20-25</v>
      </c>
      <c r="D614" s="18">
        <v>219.0</v>
      </c>
      <c r="E614" s="18">
        <v>61.0</v>
      </c>
      <c r="F614" s="5">
        <v>27.9</v>
      </c>
      <c r="G614" s="5">
        <v>955.0</v>
      </c>
      <c r="H614" s="5">
        <v>197.0</v>
      </c>
      <c r="I614" s="5">
        <v>20.6</v>
      </c>
      <c r="J614" s="5"/>
    </row>
    <row r="615">
      <c r="A615" s="5" t="s">
        <v>459</v>
      </c>
      <c r="B615" s="201" t="s">
        <v>1400</v>
      </c>
      <c r="C615" s="200" t="str">
        <f t="shared" si="1"/>
        <v>Home Improvement_25+</v>
      </c>
      <c r="D615" s="18">
        <v>421.0</v>
      </c>
      <c r="E615" s="18">
        <v>263.0</v>
      </c>
      <c r="F615" s="5">
        <v>62.5</v>
      </c>
      <c r="G615" s="5">
        <v>1373.0</v>
      </c>
      <c r="H615" s="5">
        <v>730.0</v>
      </c>
      <c r="I615" s="5">
        <v>53.2</v>
      </c>
      <c r="J615" s="5"/>
    </row>
    <row r="616">
      <c r="A616" s="5" t="s">
        <v>459</v>
      </c>
      <c r="B616" s="201" t="s">
        <v>4227</v>
      </c>
      <c r="C616" s="200" t="str">
        <f t="shared" si="1"/>
        <v>Home Improvement_No Sales</v>
      </c>
      <c r="D616" s="18">
        <v>70.0</v>
      </c>
      <c r="E616" s="18">
        <v>68.0</v>
      </c>
      <c r="F616" s="5">
        <v>97.1</v>
      </c>
      <c r="G616" s="5">
        <v>225.0</v>
      </c>
      <c r="H616" s="5">
        <v>217.0</v>
      </c>
      <c r="I616" s="5">
        <v>96.4</v>
      </c>
      <c r="J616" s="5"/>
    </row>
    <row r="617">
      <c r="A617" s="5" t="s">
        <v>851</v>
      </c>
      <c r="B617" s="201" t="s">
        <v>1426</v>
      </c>
      <c r="C617" s="200" t="str">
        <f t="shared" si="1"/>
        <v>Honey &amp; Jams_0-5</v>
      </c>
      <c r="D617" s="18">
        <v>4.0</v>
      </c>
      <c r="E617" s="18">
        <v>0.0</v>
      </c>
      <c r="F617" s="5">
        <v>0.0</v>
      </c>
      <c r="G617" s="5">
        <v>57.0</v>
      </c>
      <c r="H617" s="5">
        <v>0.0</v>
      </c>
      <c r="I617" s="5">
        <v>0.0</v>
      </c>
      <c r="J617" s="5"/>
    </row>
    <row r="618">
      <c r="A618" s="5" t="s">
        <v>851</v>
      </c>
      <c r="B618" s="201" t="s">
        <v>4228</v>
      </c>
      <c r="C618" s="200" t="str">
        <f t="shared" si="1"/>
        <v>Honey &amp; Jams_5-10</v>
      </c>
      <c r="D618" s="18">
        <v>99.0</v>
      </c>
      <c r="E618" s="18">
        <v>2.0</v>
      </c>
      <c r="F618" s="5">
        <v>2.0</v>
      </c>
      <c r="G618" s="5">
        <v>2105.0</v>
      </c>
      <c r="H618" s="5">
        <v>8.0</v>
      </c>
      <c r="I618" s="5">
        <v>0.4</v>
      </c>
      <c r="J618" s="5"/>
    </row>
    <row r="619">
      <c r="A619" s="5" t="s">
        <v>851</v>
      </c>
      <c r="B619" s="201" t="s">
        <v>4226</v>
      </c>
      <c r="C619" s="200" t="str">
        <f t="shared" si="1"/>
        <v>Honey &amp; Jams_10-15</v>
      </c>
      <c r="D619" s="18">
        <v>182.0</v>
      </c>
      <c r="E619" s="18">
        <v>6.0</v>
      </c>
      <c r="F619" s="5">
        <v>3.3</v>
      </c>
      <c r="G619" s="5">
        <v>4549.0</v>
      </c>
      <c r="H619" s="5">
        <v>17.0</v>
      </c>
      <c r="I619" s="5">
        <v>0.4</v>
      </c>
      <c r="J619" s="5"/>
    </row>
    <row r="620">
      <c r="A620" s="5" t="s">
        <v>851</v>
      </c>
      <c r="B620" s="201" t="s">
        <v>1413</v>
      </c>
      <c r="C620" s="200" t="str">
        <f t="shared" si="1"/>
        <v>Honey &amp; Jams_15-20</v>
      </c>
      <c r="D620" s="18">
        <v>306.0</v>
      </c>
      <c r="E620" s="18">
        <v>99.0</v>
      </c>
      <c r="F620" s="5">
        <v>32.4</v>
      </c>
      <c r="G620" s="5">
        <v>2530.0</v>
      </c>
      <c r="H620" s="5">
        <v>303.0</v>
      </c>
      <c r="I620" s="5">
        <v>12.0</v>
      </c>
      <c r="J620" s="5"/>
    </row>
    <row r="621">
      <c r="A621" s="5" t="s">
        <v>851</v>
      </c>
      <c r="B621" s="201" t="s">
        <v>1398</v>
      </c>
      <c r="C621" s="200" t="str">
        <f t="shared" si="1"/>
        <v>Honey &amp; Jams_20-25</v>
      </c>
      <c r="D621" s="18">
        <v>198.0</v>
      </c>
      <c r="E621" s="18">
        <v>78.0</v>
      </c>
      <c r="F621" s="5">
        <v>39.4</v>
      </c>
      <c r="G621" s="5">
        <v>1526.0</v>
      </c>
      <c r="H621" s="5">
        <v>203.0</v>
      </c>
      <c r="I621" s="5">
        <v>13.3</v>
      </c>
      <c r="J621" s="5"/>
    </row>
    <row r="622">
      <c r="A622" s="5" t="s">
        <v>851</v>
      </c>
      <c r="B622" s="201" t="s">
        <v>1400</v>
      </c>
      <c r="C622" s="200" t="str">
        <f t="shared" si="1"/>
        <v>Honey &amp; Jams_25+</v>
      </c>
      <c r="D622" s="18">
        <v>533.0</v>
      </c>
      <c r="E622" s="18">
        <v>181.0</v>
      </c>
      <c r="F622" s="5">
        <v>34.0</v>
      </c>
      <c r="G622" s="5">
        <v>2662.0</v>
      </c>
      <c r="H622" s="5">
        <v>550.0</v>
      </c>
      <c r="I622" s="5">
        <v>20.7</v>
      </c>
      <c r="J622" s="5"/>
    </row>
    <row r="623">
      <c r="A623" s="5" t="s">
        <v>851</v>
      </c>
      <c r="B623" s="201" t="s">
        <v>4227</v>
      </c>
      <c r="C623" s="200" t="str">
        <f t="shared" si="1"/>
        <v>Honey &amp; Jams_No Sales</v>
      </c>
      <c r="D623" s="18">
        <v>45.0</v>
      </c>
      <c r="E623" s="18">
        <v>35.0</v>
      </c>
      <c r="F623" s="5">
        <v>77.8</v>
      </c>
      <c r="G623" s="5">
        <v>92.0</v>
      </c>
      <c r="H623" s="5">
        <v>55.0</v>
      </c>
      <c r="I623" s="5">
        <v>59.8</v>
      </c>
      <c r="J623" s="5"/>
    </row>
    <row r="624">
      <c r="A624" s="5" t="s">
        <v>2758</v>
      </c>
      <c r="B624" s="201" t="s">
        <v>4226</v>
      </c>
      <c r="C624" s="200" t="str">
        <f t="shared" si="1"/>
        <v>Hot Beverages_10-15</v>
      </c>
      <c r="D624" s="18">
        <v>2.0</v>
      </c>
      <c r="E624" s="18">
        <v>0.0</v>
      </c>
      <c r="F624" s="5">
        <v>0.0</v>
      </c>
      <c r="G624" s="5">
        <v>35.0</v>
      </c>
      <c r="H624" s="5">
        <v>0.0</v>
      </c>
      <c r="I624" s="5">
        <v>0.0</v>
      </c>
      <c r="J624" s="5"/>
    </row>
    <row r="625">
      <c r="A625" s="5" t="s">
        <v>275</v>
      </c>
      <c r="B625" s="201" t="s">
        <v>1426</v>
      </c>
      <c r="C625" s="200" t="str">
        <f t="shared" si="1"/>
        <v>Hot Sauce_0-5</v>
      </c>
      <c r="D625" s="18">
        <v>32.0</v>
      </c>
      <c r="E625" s="18">
        <v>2.0</v>
      </c>
      <c r="F625" s="5">
        <v>6.3</v>
      </c>
      <c r="G625" s="5">
        <v>272.0</v>
      </c>
      <c r="H625" s="5">
        <v>6.0</v>
      </c>
      <c r="I625" s="5">
        <v>2.2</v>
      </c>
      <c r="J625" s="5"/>
    </row>
    <row r="626">
      <c r="A626" s="5" t="s">
        <v>275</v>
      </c>
      <c r="B626" s="201" t="s">
        <v>4228</v>
      </c>
      <c r="C626" s="200" t="str">
        <f t="shared" si="1"/>
        <v>Hot Sauce_5-10</v>
      </c>
      <c r="D626" s="18">
        <v>92.0</v>
      </c>
      <c r="E626" s="18">
        <v>38.0</v>
      </c>
      <c r="F626" s="5">
        <v>41.3</v>
      </c>
      <c r="G626" s="5">
        <v>362.0</v>
      </c>
      <c r="H626" s="5">
        <v>135.0</v>
      </c>
      <c r="I626" s="5">
        <v>37.3</v>
      </c>
      <c r="J626" s="5"/>
    </row>
    <row r="627">
      <c r="A627" s="5" t="s">
        <v>275</v>
      </c>
      <c r="B627" s="201" t="s">
        <v>4226</v>
      </c>
      <c r="C627" s="200" t="str">
        <f t="shared" si="1"/>
        <v>Hot Sauce_10-15</v>
      </c>
      <c r="D627" s="18">
        <v>251.0</v>
      </c>
      <c r="E627" s="18">
        <v>56.0</v>
      </c>
      <c r="F627" s="5">
        <v>22.3</v>
      </c>
      <c r="G627" s="5">
        <v>1733.0</v>
      </c>
      <c r="H627" s="5">
        <v>164.0</v>
      </c>
      <c r="I627" s="5">
        <v>9.5</v>
      </c>
      <c r="J627" s="5"/>
    </row>
    <row r="628">
      <c r="A628" s="5" t="s">
        <v>275</v>
      </c>
      <c r="B628" s="201" t="s">
        <v>1413</v>
      </c>
      <c r="C628" s="200" t="str">
        <f t="shared" si="1"/>
        <v>Hot Sauce_15-20</v>
      </c>
      <c r="D628" s="18">
        <v>141.0</v>
      </c>
      <c r="E628" s="18">
        <v>62.0</v>
      </c>
      <c r="F628" s="5">
        <v>44.0</v>
      </c>
      <c r="G628" s="5">
        <v>601.0</v>
      </c>
      <c r="H628" s="5">
        <v>204.0</v>
      </c>
      <c r="I628" s="5">
        <v>33.9</v>
      </c>
      <c r="J628" s="5"/>
    </row>
    <row r="629">
      <c r="A629" s="5" t="s">
        <v>275</v>
      </c>
      <c r="B629" s="201" t="s">
        <v>1398</v>
      </c>
      <c r="C629" s="200" t="str">
        <f t="shared" si="1"/>
        <v>Hot Sauce_20-25</v>
      </c>
      <c r="D629" s="18">
        <v>97.0</v>
      </c>
      <c r="E629" s="18">
        <v>46.0</v>
      </c>
      <c r="F629" s="5">
        <v>47.4</v>
      </c>
      <c r="G629" s="5">
        <v>394.0</v>
      </c>
      <c r="H629" s="5">
        <v>137.0</v>
      </c>
      <c r="I629" s="5">
        <v>34.8</v>
      </c>
      <c r="J629" s="5"/>
    </row>
    <row r="630">
      <c r="A630" s="5" t="s">
        <v>275</v>
      </c>
      <c r="B630" s="201" t="s">
        <v>1400</v>
      </c>
      <c r="C630" s="200" t="str">
        <f t="shared" si="1"/>
        <v>Hot Sauce_25+</v>
      </c>
      <c r="D630" s="18">
        <v>24.0</v>
      </c>
      <c r="E630" s="18">
        <v>14.0</v>
      </c>
      <c r="F630" s="5">
        <v>58.3</v>
      </c>
      <c r="G630" s="5">
        <v>63.0</v>
      </c>
      <c r="H630" s="5">
        <v>39.0</v>
      </c>
      <c r="I630" s="5">
        <v>61.9</v>
      </c>
      <c r="J630" s="5"/>
    </row>
    <row r="631">
      <c r="A631" s="5" t="s">
        <v>275</v>
      </c>
      <c r="B631" s="201" t="s">
        <v>4227</v>
      </c>
      <c r="C631" s="200" t="str">
        <f t="shared" si="1"/>
        <v>Hot Sauce_No Sales</v>
      </c>
      <c r="D631" s="18">
        <v>34.0</v>
      </c>
      <c r="E631" s="18">
        <v>27.0</v>
      </c>
      <c r="F631" s="5">
        <v>79.4</v>
      </c>
      <c r="G631" s="5">
        <v>298.0</v>
      </c>
      <c r="H631" s="5">
        <v>91.0</v>
      </c>
      <c r="I631" s="5">
        <v>30.5</v>
      </c>
      <c r="J631" s="5"/>
    </row>
    <row r="632">
      <c r="A632" s="5" t="s">
        <v>3244</v>
      </c>
      <c r="B632" s="201" t="s">
        <v>1426</v>
      </c>
      <c r="C632" s="200" t="str">
        <f t="shared" si="1"/>
        <v>Ice_0-5</v>
      </c>
      <c r="D632" s="18">
        <v>40.0</v>
      </c>
      <c r="E632" s="18">
        <v>0.0</v>
      </c>
      <c r="F632" s="5">
        <v>0.0</v>
      </c>
      <c r="G632" s="5">
        <v>23627.0</v>
      </c>
      <c r="H632" s="5">
        <v>0.0</v>
      </c>
      <c r="I632" s="5">
        <v>0.0</v>
      </c>
      <c r="J632" s="5"/>
    </row>
    <row r="633">
      <c r="A633" s="5" t="s">
        <v>3244</v>
      </c>
      <c r="B633" s="201" t="s">
        <v>4228</v>
      </c>
      <c r="C633" s="200" t="str">
        <f t="shared" si="1"/>
        <v>Ice_5-10</v>
      </c>
      <c r="D633" s="18">
        <v>25.0</v>
      </c>
      <c r="E633" s="18">
        <v>0.0</v>
      </c>
      <c r="F633" s="5">
        <v>0.0</v>
      </c>
      <c r="G633" s="5">
        <v>2467.0</v>
      </c>
      <c r="H633" s="5">
        <v>0.0</v>
      </c>
      <c r="I633" s="5">
        <v>0.0</v>
      </c>
      <c r="J633" s="5"/>
    </row>
    <row r="634">
      <c r="A634" s="5" t="s">
        <v>2762</v>
      </c>
      <c r="B634" s="201" t="s">
        <v>4226</v>
      </c>
      <c r="C634" s="200" t="str">
        <f t="shared" si="1"/>
        <v>Iced Beverages_10-15</v>
      </c>
      <c r="D634" s="18">
        <v>1.0</v>
      </c>
      <c r="E634" s="18">
        <v>0.0</v>
      </c>
      <c r="F634" s="5">
        <v>0.0</v>
      </c>
      <c r="G634" s="5">
        <v>18.0</v>
      </c>
      <c r="H634" s="5">
        <v>0.0</v>
      </c>
      <c r="I634" s="5">
        <v>0.0</v>
      </c>
      <c r="J634" s="5"/>
    </row>
    <row r="635">
      <c r="A635" s="5" t="s">
        <v>191</v>
      </c>
      <c r="B635" s="201" t="s">
        <v>1426</v>
      </c>
      <c r="C635" s="200" t="str">
        <f t="shared" si="1"/>
        <v>Iced Teas &amp; Coffees_0-5</v>
      </c>
      <c r="D635" s="18">
        <v>552.0</v>
      </c>
      <c r="E635" s="18">
        <v>39.0</v>
      </c>
      <c r="F635" s="5">
        <v>7.1</v>
      </c>
      <c r="G635" s="5">
        <v>22910.0</v>
      </c>
      <c r="H635" s="5">
        <v>97.0</v>
      </c>
      <c r="I635" s="5">
        <v>0.4</v>
      </c>
      <c r="J635" s="5"/>
    </row>
    <row r="636">
      <c r="A636" s="5" t="s">
        <v>191</v>
      </c>
      <c r="B636" s="201" t="s">
        <v>4228</v>
      </c>
      <c r="C636" s="200" t="str">
        <f t="shared" si="1"/>
        <v>Iced Teas &amp; Coffees_5-10</v>
      </c>
      <c r="D636" s="18">
        <v>138.0</v>
      </c>
      <c r="E636" s="18">
        <v>78.0</v>
      </c>
      <c r="F636" s="5">
        <v>56.5</v>
      </c>
      <c r="G636" s="5">
        <v>968.0</v>
      </c>
      <c r="H636" s="5">
        <v>199.0</v>
      </c>
      <c r="I636" s="5">
        <v>20.6</v>
      </c>
      <c r="J636" s="5"/>
    </row>
    <row r="637">
      <c r="A637" s="5" t="s">
        <v>191</v>
      </c>
      <c r="B637" s="201" t="s">
        <v>4226</v>
      </c>
      <c r="C637" s="200" t="str">
        <f t="shared" si="1"/>
        <v>Iced Teas &amp; Coffees_10-15</v>
      </c>
      <c r="D637" s="18">
        <v>216.0</v>
      </c>
      <c r="E637" s="18">
        <v>20.0</v>
      </c>
      <c r="F637" s="5">
        <v>9.3</v>
      </c>
      <c r="G637" s="5">
        <v>3403.0</v>
      </c>
      <c r="H637" s="5">
        <v>75.0</v>
      </c>
      <c r="I637" s="5">
        <v>2.2</v>
      </c>
      <c r="J637" s="5"/>
    </row>
    <row r="638">
      <c r="A638" s="5" t="s">
        <v>191</v>
      </c>
      <c r="B638" s="201" t="s">
        <v>1413</v>
      </c>
      <c r="C638" s="200" t="str">
        <f t="shared" si="1"/>
        <v>Iced Teas &amp; Coffees_15-20</v>
      </c>
      <c r="D638" s="18">
        <v>59.0</v>
      </c>
      <c r="E638" s="18">
        <v>7.0</v>
      </c>
      <c r="F638" s="5">
        <v>11.9</v>
      </c>
      <c r="G638" s="5">
        <v>737.0</v>
      </c>
      <c r="H638" s="5">
        <v>17.0</v>
      </c>
      <c r="I638" s="5">
        <v>2.3</v>
      </c>
      <c r="J638" s="5"/>
    </row>
    <row r="639">
      <c r="A639" s="5" t="s">
        <v>191</v>
      </c>
      <c r="B639" s="201" t="s">
        <v>1398</v>
      </c>
      <c r="C639" s="200" t="str">
        <f t="shared" si="1"/>
        <v>Iced Teas &amp; Coffees_20-25</v>
      </c>
      <c r="D639" s="18">
        <v>159.0</v>
      </c>
      <c r="E639" s="18">
        <v>26.0</v>
      </c>
      <c r="F639" s="5">
        <v>16.4</v>
      </c>
      <c r="G639" s="5">
        <v>1997.0</v>
      </c>
      <c r="H639" s="5">
        <v>97.0</v>
      </c>
      <c r="I639" s="5">
        <v>4.9</v>
      </c>
      <c r="J639" s="5"/>
    </row>
    <row r="640">
      <c r="A640" s="5" t="s">
        <v>191</v>
      </c>
      <c r="B640" s="201" t="s">
        <v>4227</v>
      </c>
      <c r="C640" s="200" t="str">
        <f t="shared" si="1"/>
        <v>Iced Teas &amp; Coffees_No Sales</v>
      </c>
      <c r="D640" s="18">
        <v>32.0</v>
      </c>
      <c r="E640" s="18">
        <v>28.0</v>
      </c>
      <c r="F640" s="5">
        <v>87.5</v>
      </c>
      <c r="G640" s="5">
        <v>111.0</v>
      </c>
      <c r="H640" s="5">
        <v>76.0</v>
      </c>
      <c r="I640" s="5">
        <v>68.5</v>
      </c>
      <c r="J640" s="5"/>
    </row>
    <row r="641">
      <c r="A641" s="5" t="s">
        <v>3124</v>
      </c>
      <c r="B641" s="201" t="s">
        <v>4228</v>
      </c>
      <c r="C641" s="200" t="str">
        <f t="shared" si="1"/>
        <v>India Sweets_5-10</v>
      </c>
      <c r="D641" s="18">
        <v>30.0</v>
      </c>
      <c r="E641" s="18">
        <v>16.0</v>
      </c>
      <c r="F641" s="5">
        <v>53.3</v>
      </c>
      <c r="G641" s="5">
        <v>204.0</v>
      </c>
      <c r="H641" s="5">
        <v>78.0</v>
      </c>
      <c r="I641" s="5">
        <v>38.2</v>
      </c>
      <c r="J641" s="5"/>
    </row>
    <row r="642">
      <c r="A642" s="5" t="s">
        <v>3124</v>
      </c>
      <c r="B642" s="201" t="s">
        <v>4227</v>
      </c>
      <c r="C642" s="200" t="str">
        <f t="shared" si="1"/>
        <v>India Sweets_No Sales</v>
      </c>
      <c r="D642" s="18">
        <v>2.0</v>
      </c>
      <c r="E642" s="18">
        <v>1.0</v>
      </c>
      <c r="F642" s="5">
        <v>50.0</v>
      </c>
      <c r="G642" s="5">
        <v>11.0</v>
      </c>
      <c r="H642" s="5">
        <v>9.0</v>
      </c>
      <c r="I642" s="5">
        <v>81.8</v>
      </c>
      <c r="J642" s="5"/>
    </row>
    <row r="643">
      <c r="A643" s="5" t="s">
        <v>1926</v>
      </c>
      <c r="B643" s="201" t="s">
        <v>4228</v>
      </c>
      <c r="C643" s="200" t="str">
        <f t="shared" si="1"/>
        <v>Infusion &amp; Herbal_5-10</v>
      </c>
      <c r="D643" s="18">
        <v>49.0</v>
      </c>
      <c r="E643" s="18">
        <v>8.0</v>
      </c>
      <c r="F643" s="5">
        <v>16.3</v>
      </c>
      <c r="G643" s="5">
        <v>128.0</v>
      </c>
      <c r="H643" s="5">
        <v>20.0</v>
      </c>
      <c r="I643" s="5">
        <v>15.6</v>
      </c>
      <c r="J643" s="5"/>
    </row>
    <row r="644">
      <c r="A644" s="5" t="s">
        <v>1926</v>
      </c>
      <c r="B644" s="201" t="s">
        <v>4226</v>
      </c>
      <c r="C644" s="200" t="str">
        <f t="shared" si="1"/>
        <v>Infusion &amp; Herbal_10-15</v>
      </c>
      <c r="D644" s="18">
        <v>192.0</v>
      </c>
      <c r="E644" s="18">
        <v>25.0</v>
      </c>
      <c r="F644" s="5">
        <v>13.0</v>
      </c>
      <c r="G644" s="5">
        <v>2404.0</v>
      </c>
      <c r="H644" s="5">
        <v>78.0</v>
      </c>
      <c r="I644" s="5">
        <v>3.2</v>
      </c>
      <c r="J644" s="5"/>
    </row>
    <row r="645">
      <c r="A645" s="5" t="s">
        <v>1926</v>
      </c>
      <c r="B645" s="201" t="s">
        <v>1413</v>
      </c>
      <c r="C645" s="200" t="str">
        <f t="shared" si="1"/>
        <v>Infusion &amp; Herbal_15-20</v>
      </c>
      <c r="D645" s="18">
        <v>178.0</v>
      </c>
      <c r="E645" s="18">
        <v>37.0</v>
      </c>
      <c r="F645" s="5">
        <v>20.8</v>
      </c>
      <c r="G645" s="5">
        <v>1222.0</v>
      </c>
      <c r="H645" s="5">
        <v>108.0</v>
      </c>
      <c r="I645" s="5">
        <v>8.8</v>
      </c>
      <c r="J645" s="5"/>
    </row>
    <row r="646">
      <c r="A646" s="5" t="s">
        <v>1926</v>
      </c>
      <c r="B646" s="201" t="s">
        <v>1398</v>
      </c>
      <c r="C646" s="200" t="str">
        <f t="shared" si="1"/>
        <v>Infusion &amp; Herbal_20-25</v>
      </c>
      <c r="D646" s="18">
        <v>306.0</v>
      </c>
      <c r="E646" s="18">
        <v>81.0</v>
      </c>
      <c r="F646" s="5">
        <v>26.5</v>
      </c>
      <c r="G646" s="5">
        <v>1554.0</v>
      </c>
      <c r="H646" s="5">
        <v>255.0</v>
      </c>
      <c r="I646" s="5">
        <v>16.4</v>
      </c>
      <c r="J646" s="5"/>
    </row>
    <row r="647">
      <c r="A647" s="5" t="s">
        <v>1926</v>
      </c>
      <c r="B647" s="201" t="s">
        <v>1400</v>
      </c>
      <c r="C647" s="200" t="str">
        <f t="shared" si="1"/>
        <v>Infusion &amp; Herbal_25+</v>
      </c>
      <c r="D647" s="18">
        <v>563.0</v>
      </c>
      <c r="E647" s="18">
        <v>218.0</v>
      </c>
      <c r="F647" s="5">
        <v>38.7</v>
      </c>
      <c r="G647" s="5">
        <v>1932.0</v>
      </c>
      <c r="H647" s="5">
        <v>622.0</v>
      </c>
      <c r="I647" s="5">
        <v>32.2</v>
      </c>
      <c r="J647" s="5"/>
    </row>
    <row r="648">
      <c r="A648" s="5" t="s">
        <v>1926</v>
      </c>
      <c r="B648" s="201" t="s">
        <v>4227</v>
      </c>
      <c r="C648" s="200" t="str">
        <f t="shared" si="1"/>
        <v>Infusion &amp; Herbal_No Sales</v>
      </c>
      <c r="D648" s="18">
        <v>3.0</v>
      </c>
      <c r="E648" s="18">
        <v>3.0</v>
      </c>
      <c r="F648" s="5">
        <v>100.0</v>
      </c>
      <c r="G648" s="5">
        <v>7.0</v>
      </c>
      <c r="H648" s="5">
        <v>7.0</v>
      </c>
      <c r="I648" s="5">
        <v>100.0</v>
      </c>
      <c r="J648" s="5"/>
    </row>
    <row r="649">
      <c r="A649" s="5" t="s">
        <v>259</v>
      </c>
      <c r="B649" s="201" t="s">
        <v>1426</v>
      </c>
      <c r="C649" s="200" t="str">
        <f t="shared" si="1"/>
        <v>Instant Coffee &amp; Sachets_0-5</v>
      </c>
      <c r="D649" s="18">
        <v>45.0</v>
      </c>
      <c r="E649" s="18">
        <v>4.0</v>
      </c>
      <c r="F649" s="5">
        <v>8.9</v>
      </c>
      <c r="G649" s="5">
        <v>2762.0</v>
      </c>
      <c r="H649" s="5">
        <v>6.0</v>
      </c>
      <c r="I649" s="5">
        <v>0.2</v>
      </c>
      <c r="J649" s="5"/>
    </row>
    <row r="650">
      <c r="A650" s="5" t="s">
        <v>259</v>
      </c>
      <c r="B650" s="201" t="s">
        <v>4228</v>
      </c>
      <c r="C650" s="200" t="str">
        <f t="shared" si="1"/>
        <v>Instant Coffee &amp; Sachets_5-10</v>
      </c>
      <c r="D650" s="18">
        <v>66.0</v>
      </c>
      <c r="E650" s="18">
        <v>7.0</v>
      </c>
      <c r="F650" s="5">
        <v>10.6</v>
      </c>
      <c r="G650" s="5">
        <v>596.0</v>
      </c>
      <c r="H650" s="5">
        <v>12.0</v>
      </c>
      <c r="I650" s="5">
        <v>2.0</v>
      </c>
      <c r="J650" s="5"/>
    </row>
    <row r="651">
      <c r="A651" s="5" t="s">
        <v>259</v>
      </c>
      <c r="B651" s="201" t="s">
        <v>4226</v>
      </c>
      <c r="C651" s="200" t="str">
        <f t="shared" si="1"/>
        <v>Instant Coffee &amp; Sachets_10-15</v>
      </c>
      <c r="D651" s="18">
        <v>245.0</v>
      </c>
      <c r="E651" s="18">
        <v>17.0</v>
      </c>
      <c r="F651" s="5">
        <v>6.9</v>
      </c>
      <c r="G651" s="5">
        <v>2481.0</v>
      </c>
      <c r="H651" s="5">
        <v>46.0</v>
      </c>
      <c r="I651" s="5">
        <v>1.9</v>
      </c>
      <c r="J651" s="5"/>
    </row>
    <row r="652">
      <c r="A652" s="5" t="s">
        <v>259</v>
      </c>
      <c r="B652" s="201" t="s">
        <v>1413</v>
      </c>
      <c r="C652" s="200" t="str">
        <f t="shared" si="1"/>
        <v>Instant Coffee &amp; Sachets_15-20</v>
      </c>
      <c r="D652" s="18">
        <v>277.0</v>
      </c>
      <c r="E652" s="18">
        <v>29.0</v>
      </c>
      <c r="F652" s="5">
        <v>10.5</v>
      </c>
      <c r="G652" s="5">
        <v>4715.0</v>
      </c>
      <c r="H652" s="5">
        <v>71.0</v>
      </c>
      <c r="I652" s="5">
        <v>1.5</v>
      </c>
      <c r="J652" s="5"/>
    </row>
    <row r="653">
      <c r="A653" s="5" t="s">
        <v>259</v>
      </c>
      <c r="B653" s="201" t="s">
        <v>1398</v>
      </c>
      <c r="C653" s="200" t="str">
        <f t="shared" si="1"/>
        <v>Instant Coffee &amp; Sachets_20-25</v>
      </c>
      <c r="D653" s="18">
        <v>494.0</v>
      </c>
      <c r="E653" s="18">
        <v>159.0</v>
      </c>
      <c r="F653" s="5">
        <v>32.2</v>
      </c>
      <c r="G653" s="5">
        <v>3826.0</v>
      </c>
      <c r="H653" s="5">
        <v>484.0</v>
      </c>
      <c r="I653" s="5">
        <v>12.7</v>
      </c>
      <c r="J653" s="5"/>
    </row>
    <row r="654">
      <c r="A654" s="5" t="s">
        <v>259</v>
      </c>
      <c r="B654" s="201" t="s">
        <v>1400</v>
      </c>
      <c r="C654" s="200" t="str">
        <f t="shared" si="1"/>
        <v>Instant Coffee &amp; Sachets_25+</v>
      </c>
      <c r="D654" s="18">
        <v>1322.0</v>
      </c>
      <c r="E654" s="18">
        <v>320.0</v>
      </c>
      <c r="F654" s="5">
        <v>24.2</v>
      </c>
      <c r="G654" s="5">
        <v>11415.0</v>
      </c>
      <c r="H654" s="5">
        <v>895.0</v>
      </c>
      <c r="I654" s="5">
        <v>7.8</v>
      </c>
      <c r="J654" s="5"/>
    </row>
    <row r="655">
      <c r="A655" s="5" t="s">
        <v>259</v>
      </c>
      <c r="B655" s="201" t="s">
        <v>4227</v>
      </c>
      <c r="C655" s="200" t="str">
        <f t="shared" si="1"/>
        <v>Instant Coffee &amp; Sachets_No Sales</v>
      </c>
      <c r="D655" s="18">
        <v>40.0</v>
      </c>
      <c r="E655" s="18">
        <v>38.0</v>
      </c>
      <c r="F655" s="5">
        <v>95.0</v>
      </c>
      <c r="G655" s="5">
        <v>170.0</v>
      </c>
      <c r="H655" s="5">
        <v>92.0</v>
      </c>
      <c r="I655" s="5">
        <v>54.1</v>
      </c>
      <c r="J655" s="5"/>
    </row>
    <row r="656">
      <c r="A656" s="5" t="s">
        <v>1171</v>
      </c>
      <c r="B656" s="201" t="s">
        <v>1426</v>
      </c>
      <c r="C656" s="200" t="str">
        <f t="shared" si="1"/>
        <v>Jellies &amp; Candies_0-5</v>
      </c>
      <c r="D656" s="18">
        <v>520.0</v>
      </c>
      <c r="E656" s="18">
        <v>7.0</v>
      </c>
      <c r="F656" s="5">
        <v>1.3</v>
      </c>
      <c r="G656" s="5">
        <v>34118.0</v>
      </c>
      <c r="H656" s="5">
        <v>434.0</v>
      </c>
      <c r="I656" s="5">
        <v>1.3</v>
      </c>
      <c r="J656" s="5"/>
    </row>
    <row r="657">
      <c r="A657" s="5" t="s">
        <v>1171</v>
      </c>
      <c r="B657" s="201" t="s">
        <v>4228</v>
      </c>
      <c r="C657" s="200" t="str">
        <f t="shared" si="1"/>
        <v>Jellies &amp; Candies_5-10</v>
      </c>
      <c r="D657" s="18">
        <v>868.0</v>
      </c>
      <c r="E657" s="18">
        <v>49.0</v>
      </c>
      <c r="F657" s="5">
        <v>5.6</v>
      </c>
      <c r="G657" s="5">
        <v>16176.0</v>
      </c>
      <c r="H657" s="5">
        <v>275.0</v>
      </c>
      <c r="I657" s="5">
        <v>1.7</v>
      </c>
      <c r="J657" s="5"/>
    </row>
    <row r="658">
      <c r="A658" s="5" t="s">
        <v>1171</v>
      </c>
      <c r="B658" s="201" t="s">
        <v>4226</v>
      </c>
      <c r="C658" s="200" t="str">
        <f t="shared" si="1"/>
        <v>Jellies &amp; Candies_10-15</v>
      </c>
      <c r="D658" s="18">
        <v>382.0</v>
      </c>
      <c r="E658" s="18">
        <v>37.0</v>
      </c>
      <c r="F658" s="5">
        <v>9.7</v>
      </c>
      <c r="G658" s="5">
        <v>4689.0</v>
      </c>
      <c r="H658" s="5">
        <v>115.0</v>
      </c>
      <c r="I658" s="5">
        <v>2.5</v>
      </c>
      <c r="J658" s="5"/>
    </row>
    <row r="659">
      <c r="A659" s="5" t="s">
        <v>1171</v>
      </c>
      <c r="B659" s="201" t="s">
        <v>1413</v>
      </c>
      <c r="C659" s="200" t="str">
        <f t="shared" si="1"/>
        <v>Jellies &amp; Candies_15-20</v>
      </c>
      <c r="D659" s="18">
        <v>120.0</v>
      </c>
      <c r="E659" s="18">
        <v>54.0</v>
      </c>
      <c r="F659" s="5">
        <v>45.0</v>
      </c>
      <c r="G659" s="5">
        <v>540.0</v>
      </c>
      <c r="H659" s="5">
        <v>145.0</v>
      </c>
      <c r="I659" s="5">
        <v>26.9</v>
      </c>
      <c r="J659" s="5"/>
    </row>
    <row r="660">
      <c r="A660" s="5" t="s">
        <v>1171</v>
      </c>
      <c r="B660" s="201" t="s">
        <v>1398</v>
      </c>
      <c r="C660" s="200" t="str">
        <f t="shared" si="1"/>
        <v>Jellies &amp; Candies_20-25</v>
      </c>
      <c r="D660" s="18">
        <v>138.0</v>
      </c>
      <c r="E660" s="18">
        <v>58.0</v>
      </c>
      <c r="F660" s="5">
        <v>42.0</v>
      </c>
      <c r="G660" s="5">
        <v>1986.0</v>
      </c>
      <c r="H660" s="5">
        <v>190.0</v>
      </c>
      <c r="I660" s="5">
        <v>9.6</v>
      </c>
      <c r="J660" s="5"/>
    </row>
    <row r="661">
      <c r="A661" s="5" t="s">
        <v>1171</v>
      </c>
      <c r="B661" s="201" t="s">
        <v>1400</v>
      </c>
      <c r="C661" s="200" t="str">
        <f t="shared" si="1"/>
        <v>Jellies &amp; Candies_25+</v>
      </c>
      <c r="D661" s="18">
        <v>350.0</v>
      </c>
      <c r="E661" s="18">
        <v>147.0</v>
      </c>
      <c r="F661" s="5">
        <v>42.0</v>
      </c>
      <c r="G661" s="5">
        <v>2142.0</v>
      </c>
      <c r="H661" s="5">
        <v>405.0</v>
      </c>
      <c r="I661" s="5">
        <v>18.9</v>
      </c>
      <c r="J661" s="5"/>
    </row>
    <row r="662">
      <c r="A662" s="5" t="s">
        <v>1171</v>
      </c>
      <c r="B662" s="201" t="s">
        <v>4227</v>
      </c>
      <c r="C662" s="200" t="str">
        <f t="shared" si="1"/>
        <v>Jellies &amp; Candies_No Sales</v>
      </c>
      <c r="D662" s="18">
        <v>92.0</v>
      </c>
      <c r="E662" s="18">
        <v>40.0</v>
      </c>
      <c r="F662" s="5">
        <v>43.5</v>
      </c>
      <c r="G662" s="5">
        <v>297.0</v>
      </c>
      <c r="H662" s="5">
        <v>148.0</v>
      </c>
      <c r="I662" s="5">
        <v>49.8</v>
      </c>
      <c r="J662" s="5"/>
    </row>
    <row r="663">
      <c r="A663" s="5" t="s">
        <v>844</v>
      </c>
      <c r="B663" s="201" t="s">
        <v>1426</v>
      </c>
      <c r="C663" s="200" t="str">
        <f t="shared" si="1"/>
        <v>Juices &amp; Cordials_0-5</v>
      </c>
      <c r="D663" s="18">
        <v>391.0</v>
      </c>
      <c r="E663" s="18">
        <v>23.0</v>
      </c>
      <c r="F663" s="5">
        <v>5.9</v>
      </c>
      <c r="G663" s="5">
        <v>3421.0</v>
      </c>
      <c r="H663" s="5">
        <v>134.0</v>
      </c>
      <c r="I663" s="5">
        <v>3.9</v>
      </c>
      <c r="J663" s="5"/>
    </row>
    <row r="664">
      <c r="A664" s="5" t="s">
        <v>844</v>
      </c>
      <c r="B664" s="201" t="s">
        <v>4228</v>
      </c>
      <c r="C664" s="200" t="str">
        <f t="shared" si="1"/>
        <v>Juices &amp; Cordials_5-10</v>
      </c>
      <c r="D664" s="18">
        <v>708.0</v>
      </c>
      <c r="E664" s="18">
        <v>74.0</v>
      </c>
      <c r="F664" s="5">
        <v>10.5</v>
      </c>
      <c r="G664" s="5">
        <v>16027.0</v>
      </c>
      <c r="H664" s="5">
        <v>1152.0</v>
      </c>
      <c r="I664" s="5">
        <v>7.2</v>
      </c>
      <c r="J664" s="5"/>
    </row>
    <row r="665">
      <c r="A665" s="5" t="s">
        <v>844</v>
      </c>
      <c r="B665" s="201" t="s">
        <v>4226</v>
      </c>
      <c r="C665" s="200" t="str">
        <f t="shared" si="1"/>
        <v>Juices &amp; Cordials_10-15</v>
      </c>
      <c r="D665" s="18">
        <v>601.0</v>
      </c>
      <c r="E665" s="18">
        <v>62.0</v>
      </c>
      <c r="F665" s="5">
        <v>10.3</v>
      </c>
      <c r="G665" s="5">
        <v>6044.0</v>
      </c>
      <c r="H665" s="5">
        <v>237.0</v>
      </c>
      <c r="I665" s="5">
        <v>3.9</v>
      </c>
      <c r="J665" s="5"/>
    </row>
    <row r="666">
      <c r="A666" s="5" t="s">
        <v>844</v>
      </c>
      <c r="B666" s="201" t="s">
        <v>1413</v>
      </c>
      <c r="C666" s="200" t="str">
        <f t="shared" si="1"/>
        <v>Juices &amp; Cordials_15-20</v>
      </c>
      <c r="D666" s="18">
        <v>434.0</v>
      </c>
      <c r="E666" s="18">
        <v>54.0</v>
      </c>
      <c r="F666" s="5">
        <v>12.4</v>
      </c>
      <c r="G666" s="5">
        <v>6365.0</v>
      </c>
      <c r="H666" s="5">
        <v>165.0</v>
      </c>
      <c r="I666" s="5">
        <v>2.6</v>
      </c>
      <c r="J666" s="5"/>
    </row>
    <row r="667">
      <c r="A667" s="5" t="s">
        <v>844</v>
      </c>
      <c r="B667" s="201" t="s">
        <v>1398</v>
      </c>
      <c r="C667" s="200" t="str">
        <f t="shared" si="1"/>
        <v>Juices &amp; Cordials_20-25</v>
      </c>
      <c r="D667" s="18">
        <v>12.0</v>
      </c>
      <c r="E667" s="18">
        <v>6.0</v>
      </c>
      <c r="F667" s="5">
        <v>50.0</v>
      </c>
      <c r="G667" s="5">
        <v>22.0</v>
      </c>
      <c r="H667" s="5">
        <v>6.0</v>
      </c>
      <c r="I667" s="5">
        <v>27.3</v>
      </c>
      <c r="J667" s="5"/>
    </row>
    <row r="668">
      <c r="A668" s="5" t="s">
        <v>844</v>
      </c>
      <c r="B668" s="201" t="s">
        <v>1400</v>
      </c>
      <c r="C668" s="200" t="str">
        <f t="shared" si="1"/>
        <v>Juices &amp; Cordials_25+</v>
      </c>
      <c r="D668" s="18">
        <v>184.0</v>
      </c>
      <c r="E668" s="18">
        <v>98.0</v>
      </c>
      <c r="F668" s="5">
        <v>53.3</v>
      </c>
      <c r="G668" s="5">
        <v>1279.0</v>
      </c>
      <c r="H668" s="5">
        <v>257.0</v>
      </c>
      <c r="I668" s="5">
        <v>20.1</v>
      </c>
      <c r="J668" s="5"/>
    </row>
    <row r="669">
      <c r="A669" s="5" t="s">
        <v>844</v>
      </c>
      <c r="B669" s="201" t="s">
        <v>4227</v>
      </c>
      <c r="C669" s="200" t="str">
        <f t="shared" si="1"/>
        <v>Juices &amp; Cordials_No Sales</v>
      </c>
      <c r="D669" s="18">
        <v>19.0</v>
      </c>
      <c r="E669" s="18">
        <v>15.0</v>
      </c>
      <c r="F669" s="5">
        <v>78.9</v>
      </c>
      <c r="G669" s="5">
        <v>55.0</v>
      </c>
      <c r="H669" s="5">
        <v>47.0</v>
      </c>
      <c r="I669" s="5">
        <v>85.5</v>
      </c>
      <c r="J669" s="5"/>
    </row>
    <row r="670">
      <c r="A670" s="5" t="s">
        <v>1998</v>
      </c>
      <c r="B670" s="201" t="s">
        <v>1426</v>
      </c>
      <c r="C670" s="200" t="str">
        <f t="shared" si="1"/>
        <v>Ketchup_0-5</v>
      </c>
      <c r="D670" s="18">
        <v>30.0</v>
      </c>
      <c r="E670" s="18">
        <v>0.0</v>
      </c>
      <c r="F670" s="5">
        <v>0.0</v>
      </c>
      <c r="G670" s="5">
        <v>1253.0</v>
      </c>
      <c r="H670" s="5">
        <v>0.0</v>
      </c>
      <c r="I670" s="5">
        <v>0.0</v>
      </c>
      <c r="J670" s="5"/>
    </row>
    <row r="671">
      <c r="A671" s="5" t="s">
        <v>1998</v>
      </c>
      <c r="B671" s="201" t="s">
        <v>4228</v>
      </c>
      <c r="C671" s="200" t="str">
        <f t="shared" si="1"/>
        <v>Ketchup_5-10</v>
      </c>
      <c r="D671" s="18">
        <v>148.0</v>
      </c>
      <c r="E671" s="18">
        <v>35.0</v>
      </c>
      <c r="F671" s="5">
        <v>23.6</v>
      </c>
      <c r="G671" s="5">
        <v>1423.0</v>
      </c>
      <c r="H671" s="5">
        <v>91.0</v>
      </c>
      <c r="I671" s="5">
        <v>6.4</v>
      </c>
      <c r="J671" s="5"/>
    </row>
    <row r="672">
      <c r="A672" s="5" t="s">
        <v>1998</v>
      </c>
      <c r="B672" s="201" t="s">
        <v>4226</v>
      </c>
      <c r="C672" s="200" t="str">
        <f t="shared" si="1"/>
        <v>Ketchup_10-15</v>
      </c>
      <c r="D672" s="18">
        <v>79.0</v>
      </c>
      <c r="E672" s="18">
        <v>13.0</v>
      </c>
      <c r="F672" s="5">
        <v>16.5</v>
      </c>
      <c r="G672" s="5">
        <v>2364.0</v>
      </c>
      <c r="H672" s="5">
        <v>35.0</v>
      </c>
      <c r="I672" s="5">
        <v>1.5</v>
      </c>
      <c r="J672" s="5"/>
    </row>
    <row r="673">
      <c r="A673" s="5" t="s">
        <v>1998</v>
      </c>
      <c r="B673" s="201" t="s">
        <v>1413</v>
      </c>
      <c r="C673" s="200" t="str">
        <f t="shared" si="1"/>
        <v>Ketchup_15-20</v>
      </c>
      <c r="D673" s="18">
        <v>160.0</v>
      </c>
      <c r="E673" s="18">
        <v>59.0</v>
      </c>
      <c r="F673" s="5">
        <v>36.9</v>
      </c>
      <c r="G673" s="5">
        <v>1399.0</v>
      </c>
      <c r="H673" s="5">
        <v>183.0</v>
      </c>
      <c r="I673" s="5">
        <v>13.1</v>
      </c>
      <c r="J673" s="5"/>
    </row>
    <row r="674">
      <c r="A674" s="5" t="s">
        <v>1998</v>
      </c>
      <c r="B674" s="201" t="s">
        <v>1398</v>
      </c>
      <c r="C674" s="200" t="str">
        <f t="shared" si="1"/>
        <v>Ketchup_20-25</v>
      </c>
      <c r="D674" s="18">
        <v>30.0</v>
      </c>
      <c r="E674" s="18">
        <v>1.0</v>
      </c>
      <c r="F674" s="5">
        <v>3.3</v>
      </c>
      <c r="G674" s="5">
        <v>320.0</v>
      </c>
      <c r="H674" s="5">
        <v>3.0</v>
      </c>
      <c r="I674" s="5">
        <v>0.9</v>
      </c>
      <c r="J674" s="5"/>
    </row>
    <row r="675">
      <c r="A675" s="5" t="s">
        <v>1998</v>
      </c>
      <c r="B675" s="201" t="s">
        <v>1400</v>
      </c>
      <c r="C675" s="200" t="str">
        <f t="shared" si="1"/>
        <v>Ketchup_25+</v>
      </c>
      <c r="D675" s="18">
        <v>58.0</v>
      </c>
      <c r="E675" s="18">
        <v>28.0</v>
      </c>
      <c r="F675" s="5">
        <v>48.3</v>
      </c>
      <c r="G675" s="5">
        <v>236.0</v>
      </c>
      <c r="H675" s="5">
        <v>81.0</v>
      </c>
      <c r="I675" s="5">
        <v>34.3</v>
      </c>
      <c r="J675" s="5"/>
    </row>
    <row r="676">
      <c r="A676" s="5" t="s">
        <v>1998</v>
      </c>
      <c r="B676" s="201" t="s">
        <v>4227</v>
      </c>
      <c r="C676" s="200" t="str">
        <f t="shared" si="1"/>
        <v>Ketchup_No Sales</v>
      </c>
      <c r="D676" s="18">
        <v>1.0</v>
      </c>
      <c r="E676" s="18">
        <v>1.0</v>
      </c>
      <c r="F676" s="5">
        <v>100.0</v>
      </c>
      <c r="G676" s="5">
        <v>1.0</v>
      </c>
      <c r="H676" s="5">
        <v>1.0</v>
      </c>
      <c r="I676" s="5">
        <v>100.0</v>
      </c>
      <c r="J676" s="5"/>
    </row>
    <row r="677">
      <c r="A677" s="5" t="s">
        <v>1055</v>
      </c>
      <c r="B677" s="201" t="s">
        <v>1413</v>
      </c>
      <c r="C677" s="200" t="str">
        <f t="shared" si="1"/>
        <v>Kitchen Accessories_15-20</v>
      </c>
      <c r="D677" s="18">
        <v>61.0</v>
      </c>
      <c r="E677" s="18">
        <v>33.0</v>
      </c>
      <c r="F677" s="5">
        <v>54.1</v>
      </c>
      <c r="G677" s="5">
        <v>177.0</v>
      </c>
      <c r="H677" s="5">
        <v>98.0</v>
      </c>
      <c r="I677" s="5">
        <v>55.4</v>
      </c>
      <c r="J677" s="5"/>
    </row>
    <row r="678">
      <c r="A678" s="5" t="s">
        <v>1055</v>
      </c>
      <c r="B678" s="201" t="s">
        <v>1398</v>
      </c>
      <c r="C678" s="200" t="str">
        <f t="shared" si="1"/>
        <v>Kitchen Accessories_20-25</v>
      </c>
      <c r="D678" s="18">
        <v>109.0</v>
      </c>
      <c r="E678" s="18">
        <v>84.0</v>
      </c>
      <c r="F678" s="5">
        <v>77.1</v>
      </c>
      <c r="G678" s="5">
        <v>458.0</v>
      </c>
      <c r="H678" s="5">
        <v>253.0</v>
      </c>
      <c r="I678" s="5">
        <v>55.2</v>
      </c>
      <c r="J678" s="5"/>
    </row>
    <row r="679">
      <c r="A679" s="5" t="s">
        <v>3189</v>
      </c>
      <c r="B679" s="201" t="s">
        <v>1426</v>
      </c>
      <c r="C679" s="200" t="str">
        <f t="shared" si="1"/>
        <v>Kitchen Rolls_0-5</v>
      </c>
      <c r="D679" s="18">
        <v>31.0</v>
      </c>
      <c r="E679" s="18">
        <v>1.0</v>
      </c>
      <c r="F679" s="5">
        <v>3.2</v>
      </c>
      <c r="G679" s="5">
        <v>557.0</v>
      </c>
      <c r="H679" s="5">
        <v>1.0</v>
      </c>
      <c r="I679" s="5">
        <v>0.2</v>
      </c>
      <c r="J679" s="5"/>
    </row>
    <row r="680">
      <c r="A680" s="5" t="s">
        <v>3189</v>
      </c>
      <c r="B680" s="201" t="s">
        <v>4228</v>
      </c>
      <c r="C680" s="200" t="str">
        <f t="shared" si="1"/>
        <v>Kitchen Rolls_5-10</v>
      </c>
      <c r="D680" s="18">
        <v>85.0</v>
      </c>
      <c r="E680" s="18">
        <v>7.0</v>
      </c>
      <c r="F680" s="5">
        <v>8.2</v>
      </c>
      <c r="G680" s="5">
        <v>10043.0</v>
      </c>
      <c r="H680" s="5">
        <v>33.0</v>
      </c>
      <c r="I680" s="5">
        <v>0.3</v>
      </c>
      <c r="J680" s="5"/>
    </row>
    <row r="681">
      <c r="A681" s="5" t="s">
        <v>3189</v>
      </c>
      <c r="B681" s="201" t="s">
        <v>4226</v>
      </c>
      <c r="C681" s="200" t="str">
        <f t="shared" si="1"/>
        <v>Kitchen Rolls_10-15</v>
      </c>
      <c r="D681" s="18">
        <v>106.0</v>
      </c>
      <c r="E681" s="18">
        <v>3.0</v>
      </c>
      <c r="F681" s="5">
        <v>2.8</v>
      </c>
      <c r="G681" s="5">
        <v>2084.0</v>
      </c>
      <c r="H681" s="5">
        <v>13.0</v>
      </c>
      <c r="I681" s="5">
        <v>0.6</v>
      </c>
      <c r="J681" s="5"/>
    </row>
    <row r="682">
      <c r="A682" s="5" t="s">
        <v>3189</v>
      </c>
      <c r="B682" s="201" t="s">
        <v>1413</v>
      </c>
      <c r="C682" s="200" t="str">
        <f t="shared" si="1"/>
        <v>Kitchen Rolls_15-20</v>
      </c>
      <c r="D682" s="18">
        <v>52.0</v>
      </c>
      <c r="E682" s="18">
        <v>10.0</v>
      </c>
      <c r="F682" s="5">
        <v>19.2</v>
      </c>
      <c r="G682" s="5">
        <v>595.0</v>
      </c>
      <c r="H682" s="5">
        <v>34.0</v>
      </c>
      <c r="I682" s="5">
        <v>5.7</v>
      </c>
      <c r="J682" s="5"/>
    </row>
    <row r="683">
      <c r="A683" s="5" t="s">
        <v>3189</v>
      </c>
      <c r="B683" s="201" t="s">
        <v>1398</v>
      </c>
      <c r="C683" s="200" t="str">
        <f t="shared" si="1"/>
        <v>Kitchen Rolls_20-25</v>
      </c>
      <c r="D683" s="18">
        <v>56.0</v>
      </c>
      <c r="E683" s="18">
        <v>5.0</v>
      </c>
      <c r="F683" s="5">
        <v>8.9</v>
      </c>
      <c r="G683" s="5">
        <v>1847.0</v>
      </c>
      <c r="H683" s="5">
        <v>18.0</v>
      </c>
      <c r="I683" s="5">
        <v>1.0</v>
      </c>
      <c r="J683" s="5"/>
    </row>
    <row r="684">
      <c r="A684" s="5" t="s">
        <v>3189</v>
      </c>
      <c r="B684" s="201" t="s">
        <v>1400</v>
      </c>
      <c r="C684" s="200" t="str">
        <f t="shared" si="1"/>
        <v>Kitchen Rolls_25+</v>
      </c>
      <c r="D684" s="18">
        <v>3.0</v>
      </c>
      <c r="E684" s="18">
        <v>2.0</v>
      </c>
      <c r="F684" s="5">
        <v>66.7</v>
      </c>
      <c r="G684" s="5">
        <v>3.0</v>
      </c>
      <c r="H684" s="5">
        <v>2.0</v>
      </c>
      <c r="I684" s="5">
        <v>66.7</v>
      </c>
      <c r="J684" s="5"/>
    </row>
    <row r="685">
      <c r="A685" s="5" t="s">
        <v>3189</v>
      </c>
      <c r="B685" s="201" t="s">
        <v>4227</v>
      </c>
      <c r="C685" s="200" t="str">
        <f t="shared" si="1"/>
        <v>Kitchen Rolls_No Sales</v>
      </c>
      <c r="D685" s="18">
        <v>3.0</v>
      </c>
      <c r="E685" s="18">
        <v>3.0</v>
      </c>
      <c r="F685" s="5">
        <v>100.0</v>
      </c>
      <c r="G685" s="5">
        <v>4.0</v>
      </c>
      <c r="H685" s="5">
        <v>4.0</v>
      </c>
      <c r="I685" s="5">
        <v>100.0</v>
      </c>
      <c r="J685" s="5"/>
    </row>
    <row r="686">
      <c r="A686" s="5" t="s">
        <v>243</v>
      </c>
      <c r="B686" s="201" t="s">
        <v>1426</v>
      </c>
      <c r="C686" s="200" t="str">
        <f t="shared" si="1"/>
        <v>Labneh_0-5</v>
      </c>
      <c r="D686" s="18">
        <v>30.0</v>
      </c>
      <c r="E686" s="18">
        <v>0.0</v>
      </c>
      <c r="F686" s="5">
        <v>0.0</v>
      </c>
      <c r="G686" s="5">
        <v>642.0</v>
      </c>
      <c r="H686" s="5">
        <v>0.0</v>
      </c>
      <c r="I686" s="5">
        <v>0.0</v>
      </c>
      <c r="J686" s="5"/>
    </row>
    <row r="687">
      <c r="A687" s="5" t="s">
        <v>243</v>
      </c>
      <c r="B687" s="201" t="s">
        <v>4228</v>
      </c>
      <c r="C687" s="200" t="str">
        <f t="shared" si="1"/>
        <v>Labneh_5-10</v>
      </c>
      <c r="D687" s="18">
        <v>90.0</v>
      </c>
      <c r="E687" s="18">
        <v>1.0</v>
      </c>
      <c r="F687" s="5">
        <v>1.1</v>
      </c>
      <c r="G687" s="5">
        <v>2103.0</v>
      </c>
      <c r="H687" s="5">
        <v>4.0</v>
      </c>
      <c r="I687" s="5">
        <v>0.2</v>
      </c>
      <c r="J687" s="5"/>
    </row>
    <row r="688">
      <c r="A688" s="5" t="s">
        <v>243</v>
      </c>
      <c r="B688" s="201" t="s">
        <v>4226</v>
      </c>
      <c r="C688" s="200" t="str">
        <f t="shared" si="1"/>
        <v>Labneh_10-15</v>
      </c>
      <c r="D688" s="18">
        <v>29.0</v>
      </c>
      <c r="E688" s="18">
        <v>2.0</v>
      </c>
      <c r="F688" s="5">
        <v>6.9</v>
      </c>
      <c r="G688" s="5">
        <v>291.0</v>
      </c>
      <c r="H688" s="5">
        <v>5.0</v>
      </c>
      <c r="I688" s="5">
        <v>1.7</v>
      </c>
      <c r="J688" s="5"/>
    </row>
    <row r="689">
      <c r="A689" s="5" t="s">
        <v>243</v>
      </c>
      <c r="B689" s="201" t="s">
        <v>1413</v>
      </c>
      <c r="C689" s="200" t="str">
        <f t="shared" si="1"/>
        <v>Labneh_15-20</v>
      </c>
      <c r="D689" s="18">
        <v>84.0</v>
      </c>
      <c r="E689" s="18">
        <v>4.0</v>
      </c>
      <c r="F689" s="5">
        <v>4.8</v>
      </c>
      <c r="G689" s="5">
        <v>1214.0</v>
      </c>
      <c r="H689" s="5">
        <v>25.0</v>
      </c>
      <c r="I689" s="5">
        <v>2.1</v>
      </c>
      <c r="J689" s="5"/>
    </row>
    <row r="690">
      <c r="A690" s="5" t="s">
        <v>243</v>
      </c>
      <c r="B690" s="201" t="s">
        <v>1398</v>
      </c>
      <c r="C690" s="200" t="str">
        <f t="shared" si="1"/>
        <v>Labneh_20-25</v>
      </c>
      <c r="D690" s="18">
        <v>40.0</v>
      </c>
      <c r="E690" s="18">
        <v>17.0</v>
      </c>
      <c r="F690" s="5">
        <v>42.5</v>
      </c>
      <c r="G690" s="5">
        <v>265.0</v>
      </c>
      <c r="H690" s="5">
        <v>37.0</v>
      </c>
      <c r="I690" s="5">
        <v>14.0</v>
      </c>
      <c r="J690" s="5"/>
    </row>
    <row r="691">
      <c r="A691" s="5" t="s">
        <v>243</v>
      </c>
      <c r="B691" s="201" t="s">
        <v>1400</v>
      </c>
      <c r="C691" s="200" t="str">
        <f t="shared" si="1"/>
        <v>Labneh_25+</v>
      </c>
      <c r="D691" s="18">
        <v>22.0</v>
      </c>
      <c r="E691" s="18">
        <v>14.0</v>
      </c>
      <c r="F691" s="5">
        <v>63.6</v>
      </c>
      <c r="G691" s="5">
        <v>48.0</v>
      </c>
      <c r="H691" s="5">
        <v>33.0</v>
      </c>
      <c r="I691" s="5">
        <v>68.8</v>
      </c>
      <c r="J691" s="5"/>
    </row>
    <row r="692">
      <c r="A692" s="5" t="s">
        <v>243</v>
      </c>
      <c r="B692" s="201" t="s">
        <v>4227</v>
      </c>
      <c r="C692" s="200" t="str">
        <f t="shared" si="1"/>
        <v>Labneh_No Sales</v>
      </c>
      <c r="D692" s="18">
        <v>26.0</v>
      </c>
      <c r="E692" s="18">
        <v>1.0</v>
      </c>
      <c r="F692" s="5">
        <v>3.8</v>
      </c>
      <c r="G692" s="5">
        <v>1817.0</v>
      </c>
      <c r="H692" s="5">
        <v>2.0</v>
      </c>
      <c r="I692" s="5">
        <v>0.1</v>
      </c>
      <c r="J692" s="5"/>
    </row>
    <row r="693">
      <c r="A693" s="5" t="s">
        <v>383</v>
      </c>
      <c r="B693" s="201" t="s">
        <v>4226</v>
      </c>
      <c r="C693" s="200" t="str">
        <f t="shared" si="1"/>
        <v>Lamb &amp; Goat_10-15</v>
      </c>
      <c r="D693" s="18">
        <v>24.0</v>
      </c>
      <c r="E693" s="18">
        <v>0.0</v>
      </c>
      <c r="F693" s="5">
        <v>0.0</v>
      </c>
      <c r="G693" s="5">
        <v>407.0</v>
      </c>
      <c r="H693" s="5">
        <v>0.0</v>
      </c>
      <c r="I693" s="5">
        <v>0.0</v>
      </c>
      <c r="J693" s="5"/>
    </row>
    <row r="694">
      <c r="A694" s="5" t="s">
        <v>383</v>
      </c>
      <c r="B694" s="201" t="s">
        <v>1398</v>
      </c>
      <c r="C694" s="200" t="str">
        <f t="shared" si="1"/>
        <v>Lamb &amp; Goat_20-25</v>
      </c>
      <c r="D694" s="18">
        <v>18.0</v>
      </c>
      <c r="E694" s="18">
        <v>3.0</v>
      </c>
      <c r="F694" s="5">
        <v>16.7</v>
      </c>
      <c r="G694" s="5">
        <v>47.0</v>
      </c>
      <c r="H694" s="5">
        <v>7.0</v>
      </c>
      <c r="I694" s="5">
        <v>14.9</v>
      </c>
      <c r="J694" s="5"/>
    </row>
    <row r="695">
      <c r="A695" s="5" t="s">
        <v>383</v>
      </c>
      <c r="B695" s="201" t="s">
        <v>1400</v>
      </c>
      <c r="C695" s="200" t="str">
        <f t="shared" si="1"/>
        <v>Lamb &amp; Goat_25+</v>
      </c>
      <c r="D695" s="18">
        <v>41.0</v>
      </c>
      <c r="E695" s="18">
        <v>0.0</v>
      </c>
      <c r="F695" s="5">
        <v>0.0</v>
      </c>
      <c r="G695" s="5">
        <v>134.0</v>
      </c>
      <c r="H695" s="5">
        <v>0.0</v>
      </c>
      <c r="I695" s="5">
        <v>0.0</v>
      </c>
      <c r="J695" s="5"/>
    </row>
    <row r="696">
      <c r="A696" s="5" t="s">
        <v>383</v>
      </c>
      <c r="B696" s="201" t="s">
        <v>4227</v>
      </c>
      <c r="C696" s="200" t="str">
        <f t="shared" si="1"/>
        <v>Lamb &amp; Goat_No Sales</v>
      </c>
      <c r="D696" s="18">
        <v>27.0</v>
      </c>
      <c r="E696" s="18">
        <v>0.0</v>
      </c>
      <c r="F696" s="5">
        <v>0.0</v>
      </c>
      <c r="G696" s="5">
        <v>27.0</v>
      </c>
      <c r="H696" s="5">
        <v>0.0</v>
      </c>
      <c r="I696" s="5">
        <v>0.0</v>
      </c>
      <c r="J696" s="5"/>
    </row>
    <row r="697">
      <c r="A697" s="5" t="s">
        <v>2689</v>
      </c>
      <c r="B697" s="201" t="s">
        <v>1426</v>
      </c>
      <c r="C697" s="200" t="str">
        <f t="shared" si="1"/>
        <v>Long Life Milk_0-5</v>
      </c>
      <c r="D697" s="18">
        <v>137.0</v>
      </c>
      <c r="E697" s="18">
        <v>1.0</v>
      </c>
      <c r="F697" s="5">
        <v>0.7</v>
      </c>
      <c r="G697" s="5">
        <v>30686.0</v>
      </c>
      <c r="H697" s="5">
        <v>8.0</v>
      </c>
      <c r="I697" s="5">
        <v>0.0</v>
      </c>
      <c r="J697" s="5"/>
    </row>
    <row r="698">
      <c r="A698" s="5" t="s">
        <v>2689</v>
      </c>
      <c r="B698" s="201" t="s">
        <v>4228</v>
      </c>
      <c r="C698" s="200" t="str">
        <f t="shared" si="1"/>
        <v>Long Life Milk_5-10</v>
      </c>
      <c r="D698" s="18">
        <v>79.0</v>
      </c>
      <c r="E698" s="18">
        <v>2.0</v>
      </c>
      <c r="F698" s="5">
        <v>2.5</v>
      </c>
      <c r="G698" s="5">
        <v>11070.0</v>
      </c>
      <c r="H698" s="5">
        <v>2.0</v>
      </c>
      <c r="I698" s="5">
        <v>0.0</v>
      </c>
      <c r="J698" s="5"/>
    </row>
    <row r="699">
      <c r="A699" s="5" t="s">
        <v>2689</v>
      </c>
      <c r="B699" s="201" t="s">
        <v>4226</v>
      </c>
      <c r="C699" s="200" t="str">
        <f t="shared" si="1"/>
        <v>Long Life Milk_10-15</v>
      </c>
      <c r="D699" s="18">
        <v>28.0</v>
      </c>
      <c r="E699" s="18">
        <v>0.0</v>
      </c>
      <c r="F699" s="5">
        <v>0.0</v>
      </c>
      <c r="G699" s="5">
        <v>903.0</v>
      </c>
      <c r="H699" s="5">
        <v>0.0</v>
      </c>
      <c r="I699" s="5">
        <v>0.0</v>
      </c>
      <c r="J699" s="5"/>
    </row>
    <row r="700">
      <c r="A700" s="5" t="s">
        <v>2689</v>
      </c>
      <c r="B700" s="201" t="s">
        <v>1413</v>
      </c>
      <c r="C700" s="200" t="str">
        <f t="shared" si="1"/>
        <v>Long Life Milk_15-20</v>
      </c>
      <c r="D700" s="18">
        <v>124.0</v>
      </c>
      <c r="E700" s="18">
        <v>7.0</v>
      </c>
      <c r="F700" s="5">
        <v>5.6</v>
      </c>
      <c r="G700" s="5">
        <v>1462.0</v>
      </c>
      <c r="H700" s="5">
        <v>12.0</v>
      </c>
      <c r="I700" s="5">
        <v>0.8</v>
      </c>
      <c r="J700" s="5"/>
    </row>
    <row r="701">
      <c r="A701" s="5" t="s">
        <v>2689</v>
      </c>
      <c r="B701" s="201" t="s">
        <v>4227</v>
      </c>
      <c r="C701" s="200" t="str">
        <f t="shared" si="1"/>
        <v>Long Life Milk_No Sales</v>
      </c>
      <c r="D701" s="18">
        <v>2.0</v>
      </c>
      <c r="E701" s="18">
        <v>2.0</v>
      </c>
      <c r="F701" s="5">
        <v>100.0</v>
      </c>
      <c r="G701" s="5">
        <v>8.0</v>
      </c>
      <c r="H701" s="5">
        <v>8.0</v>
      </c>
      <c r="I701" s="5">
        <v>100.0</v>
      </c>
      <c r="J701" s="5"/>
    </row>
    <row r="702">
      <c r="A702" s="5" t="s">
        <v>1420</v>
      </c>
      <c r="B702" s="201" t="s">
        <v>1400</v>
      </c>
      <c r="C702" s="200" t="str">
        <f t="shared" si="1"/>
        <v>Lubricants_25+</v>
      </c>
      <c r="D702" s="18">
        <v>212.0</v>
      </c>
      <c r="E702" s="18">
        <v>26.0</v>
      </c>
      <c r="F702" s="5">
        <v>12.3</v>
      </c>
      <c r="G702" s="5">
        <v>1837.0</v>
      </c>
      <c r="H702" s="5">
        <v>80.0</v>
      </c>
      <c r="I702" s="5">
        <v>4.4</v>
      </c>
      <c r="J702" s="5"/>
    </row>
    <row r="703">
      <c r="A703" s="5" t="s">
        <v>986</v>
      </c>
      <c r="B703" s="201" t="s">
        <v>4226</v>
      </c>
      <c r="C703" s="200" t="str">
        <f t="shared" si="1"/>
        <v>Makeup_10-15</v>
      </c>
      <c r="D703" s="18">
        <v>30.0</v>
      </c>
      <c r="E703" s="18">
        <v>4.0</v>
      </c>
      <c r="F703" s="5">
        <v>13.3</v>
      </c>
      <c r="G703" s="5">
        <v>105.0</v>
      </c>
      <c r="H703" s="5">
        <v>17.0</v>
      </c>
      <c r="I703" s="5">
        <v>16.2</v>
      </c>
      <c r="J703" s="5"/>
    </row>
    <row r="704">
      <c r="A704" s="5" t="s">
        <v>986</v>
      </c>
      <c r="B704" s="201" t="s">
        <v>1413</v>
      </c>
      <c r="C704" s="200" t="str">
        <f t="shared" si="1"/>
        <v>Makeup_15-20</v>
      </c>
      <c r="D704" s="18">
        <v>34.0</v>
      </c>
      <c r="E704" s="18">
        <v>25.0</v>
      </c>
      <c r="F704" s="5">
        <v>73.5</v>
      </c>
      <c r="G704" s="5">
        <v>71.0</v>
      </c>
      <c r="H704" s="5">
        <v>58.0</v>
      </c>
      <c r="I704" s="5">
        <v>81.7</v>
      </c>
      <c r="J704" s="5"/>
    </row>
    <row r="705">
      <c r="A705" s="5" t="s">
        <v>986</v>
      </c>
      <c r="B705" s="201" t="s">
        <v>1400</v>
      </c>
      <c r="C705" s="200" t="str">
        <f t="shared" si="1"/>
        <v>Makeup_25+</v>
      </c>
      <c r="D705" s="18">
        <v>650.0</v>
      </c>
      <c r="E705" s="18">
        <v>411.0</v>
      </c>
      <c r="F705" s="5">
        <v>63.2</v>
      </c>
      <c r="G705" s="5">
        <v>2550.0</v>
      </c>
      <c r="H705" s="5">
        <v>1056.0</v>
      </c>
      <c r="I705" s="5">
        <v>41.4</v>
      </c>
      <c r="J705" s="5"/>
    </row>
    <row r="706">
      <c r="A706" s="5" t="s">
        <v>986</v>
      </c>
      <c r="B706" s="201" t="s">
        <v>4227</v>
      </c>
      <c r="C706" s="200" t="str">
        <f t="shared" si="1"/>
        <v>Makeup_No Sales</v>
      </c>
      <c r="D706" s="18">
        <v>13.0</v>
      </c>
      <c r="E706" s="18">
        <v>13.0</v>
      </c>
      <c r="F706" s="5">
        <v>100.0</v>
      </c>
      <c r="G706" s="5">
        <v>24.0</v>
      </c>
      <c r="H706" s="5">
        <v>24.0</v>
      </c>
      <c r="I706" s="5">
        <v>100.0</v>
      </c>
      <c r="J706" s="5"/>
    </row>
    <row r="707">
      <c r="A707" s="5" t="s">
        <v>954</v>
      </c>
      <c r="B707" s="201" t="s">
        <v>4226</v>
      </c>
      <c r="C707" s="200" t="str">
        <f t="shared" si="1"/>
        <v>Masks &amp; Gloves_10-15</v>
      </c>
      <c r="D707" s="18">
        <v>63.0</v>
      </c>
      <c r="E707" s="18">
        <v>0.0</v>
      </c>
      <c r="F707" s="5">
        <v>0.0</v>
      </c>
      <c r="G707" s="5">
        <v>1011.0</v>
      </c>
      <c r="H707" s="5">
        <v>0.0</v>
      </c>
      <c r="I707" s="5">
        <v>0.0</v>
      </c>
      <c r="J707" s="5"/>
    </row>
    <row r="708">
      <c r="A708" s="5" t="s">
        <v>954</v>
      </c>
      <c r="B708" s="201" t="s">
        <v>1398</v>
      </c>
      <c r="C708" s="200" t="str">
        <f t="shared" si="1"/>
        <v>Masks &amp; Gloves_20-25</v>
      </c>
      <c r="D708" s="18">
        <v>26.0</v>
      </c>
      <c r="E708" s="18">
        <v>7.0</v>
      </c>
      <c r="F708" s="5">
        <v>26.9</v>
      </c>
      <c r="G708" s="5">
        <v>140.0</v>
      </c>
      <c r="H708" s="5">
        <v>19.0</v>
      </c>
      <c r="I708" s="5">
        <v>13.6</v>
      </c>
      <c r="J708" s="5"/>
    </row>
    <row r="709">
      <c r="A709" s="5" t="s">
        <v>954</v>
      </c>
      <c r="B709" s="201" t="s">
        <v>1400</v>
      </c>
      <c r="C709" s="200" t="str">
        <f t="shared" si="1"/>
        <v>Masks &amp; Gloves_25+</v>
      </c>
      <c r="D709" s="18">
        <v>6.0</v>
      </c>
      <c r="E709" s="18">
        <v>4.0</v>
      </c>
      <c r="F709" s="5">
        <v>66.7</v>
      </c>
      <c r="G709" s="5">
        <v>10.0</v>
      </c>
      <c r="H709" s="5">
        <v>7.0</v>
      </c>
      <c r="I709" s="5">
        <v>70.0</v>
      </c>
      <c r="J709" s="5"/>
    </row>
    <row r="710">
      <c r="A710" s="5" t="s">
        <v>287</v>
      </c>
      <c r="B710" s="201" t="s">
        <v>1426</v>
      </c>
      <c r="C710" s="200" t="str">
        <f t="shared" si="1"/>
        <v>Mayo &amp; Mustard_0-5</v>
      </c>
      <c r="D710" s="18">
        <v>1.0</v>
      </c>
      <c r="E710" s="18">
        <v>0.0</v>
      </c>
      <c r="F710" s="5">
        <v>0.0</v>
      </c>
      <c r="G710" s="5">
        <v>2.0</v>
      </c>
      <c r="H710" s="5">
        <v>0.0</v>
      </c>
      <c r="I710" s="5">
        <v>0.0</v>
      </c>
      <c r="J710" s="5"/>
    </row>
    <row r="711">
      <c r="A711" s="5" t="s">
        <v>287</v>
      </c>
      <c r="B711" s="201" t="s">
        <v>4228</v>
      </c>
      <c r="C711" s="200" t="str">
        <f t="shared" si="1"/>
        <v>Mayo &amp; Mustard_5-10</v>
      </c>
      <c r="D711" s="18">
        <v>178.0</v>
      </c>
      <c r="E711" s="18">
        <v>8.0</v>
      </c>
      <c r="F711" s="5">
        <v>4.5</v>
      </c>
      <c r="G711" s="5">
        <v>4135.0</v>
      </c>
      <c r="H711" s="5">
        <v>25.0</v>
      </c>
      <c r="I711" s="5">
        <v>0.6</v>
      </c>
      <c r="J711" s="5"/>
    </row>
    <row r="712">
      <c r="A712" s="5" t="s">
        <v>287</v>
      </c>
      <c r="B712" s="201" t="s">
        <v>4226</v>
      </c>
      <c r="C712" s="200" t="str">
        <f t="shared" si="1"/>
        <v>Mayo &amp; Mustard_10-15</v>
      </c>
      <c r="D712" s="18">
        <v>452.0</v>
      </c>
      <c r="E712" s="18">
        <v>45.0</v>
      </c>
      <c r="F712" s="5">
        <v>10.0</v>
      </c>
      <c r="G712" s="5">
        <v>4436.0</v>
      </c>
      <c r="H712" s="5">
        <v>120.0</v>
      </c>
      <c r="I712" s="5">
        <v>2.7</v>
      </c>
      <c r="J712" s="5"/>
    </row>
    <row r="713">
      <c r="A713" s="5" t="s">
        <v>287</v>
      </c>
      <c r="B713" s="201" t="s">
        <v>1413</v>
      </c>
      <c r="C713" s="200" t="str">
        <f t="shared" si="1"/>
        <v>Mayo &amp; Mustard_15-20</v>
      </c>
      <c r="D713" s="18">
        <v>386.0</v>
      </c>
      <c r="E713" s="18">
        <v>89.0</v>
      </c>
      <c r="F713" s="5">
        <v>23.1</v>
      </c>
      <c r="G713" s="5">
        <v>3126.0</v>
      </c>
      <c r="H713" s="5">
        <v>276.0</v>
      </c>
      <c r="I713" s="5">
        <v>8.8</v>
      </c>
      <c r="J713" s="5"/>
    </row>
    <row r="714">
      <c r="A714" s="5" t="s">
        <v>287</v>
      </c>
      <c r="B714" s="201" t="s">
        <v>1398</v>
      </c>
      <c r="C714" s="200" t="str">
        <f t="shared" si="1"/>
        <v>Mayo &amp; Mustard_20-25</v>
      </c>
      <c r="D714" s="18">
        <v>100.0</v>
      </c>
      <c r="E714" s="18">
        <v>24.0</v>
      </c>
      <c r="F714" s="5">
        <v>24.0</v>
      </c>
      <c r="G714" s="5">
        <v>555.0</v>
      </c>
      <c r="H714" s="5">
        <v>64.0</v>
      </c>
      <c r="I714" s="5">
        <v>11.5</v>
      </c>
      <c r="J714" s="5"/>
    </row>
    <row r="715">
      <c r="A715" s="5" t="s">
        <v>287</v>
      </c>
      <c r="B715" s="201" t="s">
        <v>1400</v>
      </c>
      <c r="C715" s="200" t="str">
        <f t="shared" si="1"/>
        <v>Mayo &amp; Mustard_25+</v>
      </c>
      <c r="D715" s="18">
        <v>56.0</v>
      </c>
      <c r="E715" s="18">
        <v>31.0</v>
      </c>
      <c r="F715" s="5">
        <v>55.4</v>
      </c>
      <c r="G715" s="5">
        <v>115.0</v>
      </c>
      <c r="H715" s="5">
        <v>64.0</v>
      </c>
      <c r="I715" s="5">
        <v>55.7</v>
      </c>
      <c r="J715" s="5"/>
    </row>
    <row r="716">
      <c r="A716" s="5" t="s">
        <v>287</v>
      </c>
      <c r="B716" s="201" t="s">
        <v>4227</v>
      </c>
      <c r="C716" s="200" t="str">
        <f t="shared" si="1"/>
        <v>Mayo &amp; Mustard_No Sales</v>
      </c>
      <c r="D716" s="18">
        <v>8.0</v>
      </c>
      <c r="E716" s="18">
        <v>8.0</v>
      </c>
      <c r="F716" s="5">
        <v>100.0</v>
      </c>
      <c r="G716" s="5">
        <v>10.0</v>
      </c>
      <c r="H716" s="5">
        <v>10.0</v>
      </c>
      <c r="I716" s="5">
        <v>100.0</v>
      </c>
      <c r="J716" s="5"/>
    </row>
    <row r="717">
      <c r="A717" s="5" t="s">
        <v>2916</v>
      </c>
      <c r="B717" s="201" t="s">
        <v>1426</v>
      </c>
      <c r="C717" s="200" t="str">
        <f t="shared" si="1"/>
        <v>Meals &amp; Sandwiches_0-5</v>
      </c>
      <c r="D717" s="18">
        <v>41.0</v>
      </c>
      <c r="E717" s="18">
        <v>1.0</v>
      </c>
      <c r="F717" s="5">
        <v>2.4</v>
      </c>
      <c r="G717" s="5">
        <v>603.0</v>
      </c>
      <c r="H717" s="5">
        <v>4.0</v>
      </c>
      <c r="I717" s="5">
        <v>0.7</v>
      </c>
      <c r="J717" s="5"/>
    </row>
    <row r="718">
      <c r="A718" s="5" t="s">
        <v>2916</v>
      </c>
      <c r="B718" s="201" t="s">
        <v>4228</v>
      </c>
      <c r="C718" s="200" t="str">
        <f t="shared" si="1"/>
        <v>Meals &amp; Sandwiches_5-10</v>
      </c>
      <c r="D718" s="18">
        <v>118.0</v>
      </c>
      <c r="E718" s="18">
        <v>5.0</v>
      </c>
      <c r="F718" s="5">
        <v>4.2</v>
      </c>
      <c r="G718" s="5">
        <v>1670.0</v>
      </c>
      <c r="H718" s="5">
        <v>20.0</v>
      </c>
      <c r="I718" s="5">
        <v>1.2</v>
      </c>
      <c r="J718" s="5"/>
    </row>
    <row r="719">
      <c r="A719" s="5" t="s">
        <v>2916</v>
      </c>
      <c r="B719" s="201" t="s">
        <v>1413</v>
      </c>
      <c r="C719" s="200" t="str">
        <f t="shared" si="1"/>
        <v>Meals &amp; Sandwiches_15-20</v>
      </c>
      <c r="D719" s="18">
        <v>72.0</v>
      </c>
      <c r="E719" s="18">
        <v>18.0</v>
      </c>
      <c r="F719" s="5">
        <v>25.0</v>
      </c>
      <c r="G719" s="5">
        <v>192.0</v>
      </c>
      <c r="H719" s="5">
        <v>58.0</v>
      </c>
      <c r="I719" s="5">
        <v>30.2</v>
      </c>
      <c r="J719" s="5"/>
    </row>
    <row r="720">
      <c r="A720" s="5" t="s">
        <v>108</v>
      </c>
      <c r="B720" s="201" t="s">
        <v>4226</v>
      </c>
      <c r="C720" s="200" t="str">
        <f t="shared" si="1"/>
        <v>Milk Formula_10-15</v>
      </c>
      <c r="D720" s="18">
        <v>84.0</v>
      </c>
      <c r="E720" s="18">
        <v>18.0</v>
      </c>
      <c r="F720" s="5">
        <v>21.4</v>
      </c>
      <c r="G720" s="5">
        <v>2077.0</v>
      </c>
      <c r="H720" s="5">
        <v>101.0</v>
      </c>
      <c r="I720" s="5">
        <v>4.9</v>
      </c>
      <c r="J720" s="5"/>
    </row>
    <row r="721">
      <c r="A721" s="5" t="s">
        <v>108</v>
      </c>
      <c r="B721" s="201" t="s">
        <v>1400</v>
      </c>
      <c r="C721" s="200" t="str">
        <f t="shared" si="1"/>
        <v>Milk Formula_25+</v>
      </c>
      <c r="D721" s="18">
        <v>958.0</v>
      </c>
      <c r="E721" s="18">
        <v>392.0</v>
      </c>
      <c r="F721" s="5">
        <v>40.9</v>
      </c>
      <c r="G721" s="5">
        <v>5069.0</v>
      </c>
      <c r="H721" s="5">
        <v>1027.0</v>
      </c>
      <c r="I721" s="5">
        <v>20.3</v>
      </c>
      <c r="J721" s="5"/>
    </row>
    <row r="722">
      <c r="A722" s="5" t="s">
        <v>108</v>
      </c>
      <c r="B722" s="201" t="s">
        <v>4227</v>
      </c>
      <c r="C722" s="200" t="str">
        <f t="shared" si="1"/>
        <v>Milk Formula_No Sales</v>
      </c>
      <c r="D722" s="18">
        <v>124.0</v>
      </c>
      <c r="E722" s="18">
        <v>84.0</v>
      </c>
      <c r="F722" s="5">
        <v>67.7</v>
      </c>
      <c r="G722" s="5">
        <v>349.0</v>
      </c>
      <c r="H722" s="5">
        <v>179.0</v>
      </c>
      <c r="I722" s="5">
        <v>51.3</v>
      </c>
      <c r="J722" s="5"/>
    </row>
    <row r="723">
      <c r="A723" s="5" t="s">
        <v>3252</v>
      </c>
      <c r="B723" s="201" t="s">
        <v>1426</v>
      </c>
      <c r="C723" s="200" t="str">
        <f t="shared" si="1"/>
        <v>Mineral Water_0-5</v>
      </c>
      <c r="D723" s="18">
        <v>61.0</v>
      </c>
      <c r="E723" s="18">
        <v>1.0</v>
      </c>
      <c r="F723" s="5">
        <v>1.6</v>
      </c>
      <c r="G723" s="5">
        <v>1631.0</v>
      </c>
      <c r="H723" s="5">
        <v>3.0</v>
      </c>
      <c r="I723" s="5">
        <v>0.2</v>
      </c>
      <c r="J723" s="5"/>
    </row>
    <row r="724">
      <c r="A724" s="5" t="s">
        <v>3252</v>
      </c>
      <c r="B724" s="201" t="s">
        <v>4228</v>
      </c>
      <c r="C724" s="200" t="str">
        <f t="shared" si="1"/>
        <v>Mineral Water_5-10</v>
      </c>
      <c r="D724" s="18">
        <v>108.0</v>
      </c>
      <c r="E724" s="18">
        <v>7.0</v>
      </c>
      <c r="F724" s="5">
        <v>6.5</v>
      </c>
      <c r="G724" s="5">
        <v>4887.0</v>
      </c>
      <c r="H724" s="5">
        <v>17.0</v>
      </c>
      <c r="I724" s="5">
        <v>0.3</v>
      </c>
      <c r="J724" s="5"/>
    </row>
    <row r="725">
      <c r="A725" s="5" t="s">
        <v>3252</v>
      </c>
      <c r="B725" s="201" t="s">
        <v>4226</v>
      </c>
      <c r="C725" s="200" t="str">
        <f t="shared" si="1"/>
        <v>Mineral Water_10-15</v>
      </c>
      <c r="D725" s="18">
        <v>154.0</v>
      </c>
      <c r="E725" s="18">
        <v>17.0</v>
      </c>
      <c r="F725" s="5">
        <v>11.0</v>
      </c>
      <c r="G725" s="5">
        <v>3334.0</v>
      </c>
      <c r="H725" s="5">
        <v>87.0</v>
      </c>
      <c r="I725" s="5">
        <v>2.6</v>
      </c>
      <c r="J725" s="5"/>
    </row>
    <row r="726">
      <c r="A726" s="5" t="s">
        <v>3252</v>
      </c>
      <c r="B726" s="201" t="s">
        <v>1413</v>
      </c>
      <c r="C726" s="200" t="str">
        <f t="shared" si="1"/>
        <v>Mineral Water_15-20</v>
      </c>
      <c r="D726" s="18">
        <v>28.0</v>
      </c>
      <c r="E726" s="18">
        <v>3.0</v>
      </c>
      <c r="F726" s="5">
        <v>10.7</v>
      </c>
      <c r="G726" s="5">
        <v>828.0</v>
      </c>
      <c r="H726" s="5">
        <v>12.0</v>
      </c>
      <c r="I726" s="5">
        <v>1.4</v>
      </c>
      <c r="J726" s="5"/>
    </row>
    <row r="727">
      <c r="A727" s="5" t="s">
        <v>3252</v>
      </c>
      <c r="B727" s="201" t="s">
        <v>1398</v>
      </c>
      <c r="C727" s="200" t="str">
        <f t="shared" si="1"/>
        <v>Mineral Water_20-25</v>
      </c>
      <c r="D727" s="18">
        <v>82.0</v>
      </c>
      <c r="E727" s="18">
        <v>6.0</v>
      </c>
      <c r="F727" s="5">
        <v>7.3</v>
      </c>
      <c r="G727" s="5">
        <v>3640.0</v>
      </c>
      <c r="H727" s="5">
        <v>31.0</v>
      </c>
      <c r="I727" s="5">
        <v>0.9</v>
      </c>
      <c r="J727" s="5"/>
    </row>
    <row r="728">
      <c r="A728" s="5" t="s">
        <v>3252</v>
      </c>
      <c r="B728" s="201" t="s">
        <v>1400</v>
      </c>
      <c r="C728" s="200" t="str">
        <f t="shared" si="1"/>
        <v>Mineral Water_25+</v>
      </c>
      <c r="D728" s="18">
        <v>170.0</v>
      </c>
      <c r="E728" s="18">
        <v>18.0</v>
      </c>
      <c r="F728" s="5">
        <v>10.6</v>
      </c>
      <c r="G728" s="5">
        <v>7116.0</v>
      </c>
      <c r="H728" s="5">
        <v>71.0</v>
      </c>
      <c r="I728" s="5">
        <v>1.0</v>
      </c>
      <c r="J728" s="5"/>
    </row>
    <row r="729">
      <c r="A729" s="5" t="s">
        <v>3252</v>
      </c>
      <c r="B729" s="201" t="s">
        <v>4227</v>
      </c>
      <c r="C729" s="200" t="str">
        <f t="shared" si="1"/>
        <v>Mineral Water_No Sales</v>
      </c>
      <c r="D729" s="18">
        <v>16.0</v>
      </c>
      <c r="E729" s="18">
        <v>3.0</v>
      </c>
      <c r="F729" s="5">
        <v>18.8</v>
      </c>
      <c r="G729" s="5">
        <v>726.0</v>
      </c>
      <c r="H729" s="5">
        <v>30.0</v>
      </c>
      <c r="I729" s="5">
        <v>4.1</v>
      </c>
      <c r="J729" s="5"/>
    </row>
    <row r="730">
      <c r="A730" s="5" t="s">
        <v>543</v>
      </c>
      <c r="B730" s="201" t="s">
        <v>1413</v>
      </c>
      <c r="C730" s="200" t="str">
        <f t="shared" si="1"/>
        <v>Mochis &amp; Bites_15-20</v>
      </c>
      <c r="D730" s="18">
        <v>89.0</v>
      </c>
      <c r="E730" s="18">
        <v>11.0</v>
      </c>
      <c r="F730" s="5">
        <v>12.4</v>
      </c>
      <c r="G730" s="5">
        <v>551.0</v>
      </c>
      <c r="H730" s="5">
        <v>32.0</v>
      </c>
      <c r="I730" s="5">
        <v>5.8</v>
      </c>
      <c r="J730" s="5"/>
    </row>
    <row r="731">
      <c r="A731" s="5" t="s">
        <v>543</v>
      </c>
      <c r="B731" s="201" t="s">
        <v>1400</v>
      </c>
      <c r="C731" s="200" t="str">
        <f t="shared" si="1"/>
        <v>Mochis &amp; Bites_25+</v>
      </c>
      <c r="D731" s="18">
        <v>292.0</v>
      </c>
      <c r="E731" s="18">
        <v>27.0</v>
      </c>
      <c r="F731" s="5">
        <v>9.2</v>
      </c>
      <c r="G731" s="5">
        <v>4962.0</v>
      </c>
      <c r="H731" s="5">
        <v>77.0</v>
      </c>
      <c r="I731" s="5">
        <v>1.6</v>
      </c>
      <c r="J731" s="5"/>
    </row>
    <row r="732">
      <c r="A732" s="5" t="s">
        <v>543</v>
      </c>
      <c r="B732" s="201" t="s">
        <v>4227</v>
      </c>
      <c r="C732" s="200" t="str">
        <f t="shared" si="1"/>
        <v>Mochis &amp; Bites_No Sales</v>
      </c>
      <c r="D732" s="18">
        <v>68.0</v>
      </c>
      <c r="E732" s="18">
        <v>0.0</v>
      </c>
      <c r="F732" s="5">
        <v>0.0</v>
      </c>
      <c r="G732" s="5">
        <v>201.0</v>
      </c>
      <c r="H732" s="5">
        <v>0.0</v>
      </c>
      <c r="I732" s="5">
        <v>0.0</v>
      </c>
      <c r="J732" s="5"/>
    </row>
    <row r="733">
      <c r="A733" s="5" t="s">
        <v>1971</v>
      </c>
      <c r="B733" s="201" t="s">
        <v>1400</v>
      </c>
      <c r="C733" s="200" t="str">
        <f t="shared" si="1"/>
        <v>Mounts &amp; Holders_25+</v>
      </c>
      <c r="D733" s="18">
        <v>10.0</v>
      </c>
      <c r="E733" s="18">
        <v>9.0</v>
      </c>
      <c r="F733" s="5">
        <v>90.0</v>
      </c>
      <c r="G733" s="5">
        <v>19.0</v>
      </c>
      <c r="H733" s="5">
        <v>18.0</v>
      </c>
      <c r="I733" s="5">
        <v>94.7</v>
      </c>
      <c r="J733" s="5"/>
    </row>
    <row r="734">
      <c r="A734" s="5" t="s">
        <v>1971</v>
      </c>
      <c r="B734" s="201" t="s">
        <v>4227</v>
      </c>
      <c r="C734" s="200" t="str">
        <f t="shared" si="1"/>
        <v>Mounts &amp; Holders_No Sales</v>
      </c>
      <c r="D734" s="18">
        <v>12.0</v>
      </c>
      <c r="E734" s="18">
        <v>12.0</v>
      </c>
      <c r="F734" s="5">
        <v>100.0</v>
      </c>
      <c r="G734" s="5">
        <v>41.0</v>
      </c>
      <c r="H734" s="5">
        <v>41.0</v>
      </c>
      <c r="I734" s="5">
        <v>100.0</v>
      </c>
      <c r="J734" s="5"/>
    </row>
    <row r="735">
      <c r="A735" s="5" t="s">
        <v>3135</v>
      </c>
      <c r="B735" s="201" t="s">
        <v>4228</v>
      </c>
      <c r="C735" s="200" t="str">
        <f t="shared" si="1"/>
        <v>Mouth Freshners_5-10</v>
      </c>
      <c r="D735" s="18">
        <v>30.0</v>
      </c>
      <c r="E735" s="18">
        <v>14.0</v>
      </c>
      <c r="F735" s="5">
        <v>46.7</v>
      </c>
      <c r="G735" s="5">
        <v>131.0</v>
      </c>
      <c r="H735" s="5">
        <v>60.0</v>
      </c>
      <c r="I735" s="5">
        <v>45.8</v>
      </c>
      <c r="J735" s="5"/>
    </row>
    <row r="736">
      <c r="A736" s="5" t="s">
        <v>2568</v>
      </c>
      <c r="B736" s="201" t="s">
        <v>4228</v>
      </c>
      <c r="C736" s="200" t="str">
        <f t="shared" si="1"/>
        <v>Multipacks_5-10</v>
      </c>
      <c r="D736" s="18">
        <v>31.0</v>
      </c>
      <c r="E736" s="18">
        <v>2.0</v>
      </c>
      <c r="F736" s="5">
        <v>6.5</v>
      </c>
      <c r="G736" s="5">
        <v>1082.0</v>
      </c>
      <c r="H736" s="5">
        <v>2.0</v>
      </c>
      <c r="I736" s="5">
        <v>0.2</v>
      </c>
      <c r="J736" s="5"/>
    </row>
    <row r="737">
      <c r="A737" s="5" t="s">
        <v>2568</v>
      </c>
      <c r="B737" s="201" t="s">
        <v>4226</v>
      </c>
      <c r="C737" s="200" t="str">
        <f t="shared" si="1"/>
        <v>Multipacks_10-15</v>
      </c>
      <c r="D737" s="18">
        <v>115.0</v>
      </c>
      <c r="E737" s="18">
        <v>8.0</v>
      </c>
      <c r="F737" s="5">
        <v>7.0</v>
      </c>
      <c r="G737" s="5">
        <v>2769.0</v>
      </c>
      <c r="H737" s="5">
        <v>23.0</v>
      </c>
      <c r="I737" s="5">
        <v>0.8</v>
      </c>
      <c r="J737" s="5"/>
    </row>
    <row r="738">
      <c r="A738" s="5" t="s">
        <v>2568</v>
      </c>
      <c r="B738" s="201" t="s">
        <v>1413</v>
      </c>
      <c r="C738" s="200" t="str">
        <f t="shared" si="1"/>
        <v>Multipacks_15-20</v>
      </c>
      <c r="D738" s="18">
        <v>110.0</v>
      </c>
      <c r="E738" s="18">
        <v>2.0</v>
      </c>
      <c r="F738" s="5">
        <v>1.8</v>
      </c>
      <c r="G738" s="5">
        <v>2268.0</v>
      </c>
      <c r="H738" s="5">
        <v>8.0</v>
      </c>
      <c r="I738" s="5">
        <v>0.4</v>
      </c>
      <c r="J738" s="5"/>
    </row>
    <row r="739">
      <c r="A739" s="5" t="s">
        <v>2568</v>
      </c>
      <c r="B739" s="201" t="s">
        <v>1398</v>
      </c>
      <c r="C739" s="200" t="str">
        <f t="shared" si="1"/>
        <v>Multipacks_20-25</v>
      </c>
      <c r="D739" s="18">
        <v>54.0</v>
      </c>
      <c r="E739" s="18">
        <v>3.0</v>
      </c>
      <c r="F739" s="5">
        <v>5.6</v>
      </c>
      <c r="G739" s="5">
        <v>3117.0</v>
      </c>
      <c r="H739" s="5">
        <v>8.0</v>
      </c>
      <c r="I739" s="5">
        <v>0.3</v>
      </c>
      <c r="J739" s="5"/>
    </row>
    <row r="740">
      <c r="A740" s="5" t="s">
        <v>2568</v>
      </c>
      <c r="B740" s="201" t="s">
        <v>1400</v>
      </c>
      <c r="C740" s="200" t="str">
        <f t="shared" si="1"/>
        <v>Multipacks_25+</v>
      </c>
      <c r="D740" s="18">
        <v>447.0</v>
      </c>
      <c r="E740" s="18">
        <v>47.0</v>
      </c>
      <c r="F740" s="5">
        <v>10.5</v>
      </c>
      <c r="G740" s="5">
        <v>6736.0</v>
      </c>
      <c r="H740" s="5">
        <v>140.0</v>
      </c>
      <c r="I740" s="5">
        <v>2.1</v>
      </c>
      <c r="J740" s="5"/>
    </row>
    <row r="741">
      <c r="A741" s="5" t="s">
        <v>2568</v>
      </c>
      <c r="B741" s="201" t="s">
        <v>4227</v>
      </c>
      <c r="C741" s="200" t="str">
        <f t="shared" si="1"/>
        <v>Multipacks_No Sales</v>
      </c>
      <c r="D741" s="18">
        <v>2.0</v>
      </c>
      <c r="E741" s="18">
        <v>2.0</v>
      </c>
      <c r="F741" s="5">
        <v>100.0</v>
      </c>
      <c r="G741" s="5">
        <v>3.0</v>
      </c>
      <c r="H741" s="5">
        <v>3.0</v>
      </c>
      <c r="I741" s="5">
        <v>100.0</v>
      </c>
      <c r="J741" s="5"/>
    </row>
    <row r="742">
      <c r="A742" s="5" t="s">
        <v>622</v>
      </c>
      <c r="B742" s="201" t="s">
        <v>1426</v>
      </c>
      <c r="C742" s="200" t="str">
        <f t="shared" si="1"/>
        <v>Noodles &amp; Soup_0-5</v>
      </c>
      <c r="D742" s="18">
        <v>479.0</v>
      </c>
      <c r="E742" s="18">
        <v>41.0</v>
      </c>
      <c r="F742" s="5">
        <v>8.6</v>
      </c>
      <c r="G742" s="5">
        <v>10999.0</v>
      </c>
      <c r="H742" s="5">
        <v>128.0</v>
      </c>
      <c r="I742" s="5">
        <v>1.2</v>
      </c>
      <c r="J742" s="5"/>
    </row>
    <row r="743">
      <c r="A743" s="5" t="s">
        <v>622</v>
      </c>
      <c r="B743" s="201" t="s">
        <v>4228</v>
      </c>
      <c r="C743" s="200" t="str">
        <f t="shared" si="1"/>
        <v>Noodles &amp; Soup_5-10</v>
      </c>
      <c r="D743" s="18">
        <v>1045.0</v>
      </c>
      <c r="E743" s="18">
        <v>136.0</v>
      </c>
      <c r="F743" s="5">
        <v>13.0</v>
      </c>
      <c r="G743" s="5">
        <v>15482.0</v>
      </c>
      <c r="H743" s="5">
        <v>375.0</v>
      </c>
      <c r="I743" s="5">
        <v>2.4</v>
      </c>
      <c r="J743" s="5"/>
    </row>
    <row r="744">
      <c r="A744" s="5" t="s">
        <v>622</v>
      </c>
      <c r="B744" s="201" t="s">
        <v>4226</v>
      </c>
      <c r="C744" s="200" t="str">
        <f t="shared" si="1"/>
        <v>Noodles &amp; Soup_10-15</v>
      </c>
      <c r="D744" s="18">
        <v>428.0</v>
      </c>
      <c r="E744" s="18">
        <v>110.0</v>
      </c>
      <c r="F744" s="5">
        <v>25.7</v>
      </c>
      <c r="G744" s="5">
        <v>4830.0</v>
      </c>
      <c r="H744" s="5">
        <v>298.0</v>
      </c>
      <c r="I744" s="5">
        <v>6.2</v>
      </c>
      <c r="J744" s="5"/>
    </row>
    <row r="745">
      <c r="A745" s="5" t="s">
        <v>622</v>
      </c>
      <c r="B745" s="201" t="s">
        <v>1413</v>
      </c>
      <c r="C745" s="200" t="str">
        <f t="shared" si="1"/>
        <v>Noodles &amp; Soup_15-20</v>
      </c>
      <c r="D745" s="18">
        <v>269.0</v>
      </c>
      <c r="E745" s="18">
        <v>61.0</v>
      </c>
      <c r="F745" s="5">
        <v>22.7</v>
      </c>
      <c r="G745" s="5">
        <v>2403.0</v>
      </c>
      <c r="H745" s="5">
        <v>165.0</v>
      </c>
      <c r="I745" s="5">
        <v>6.9</v>
      </c>
      <c r="J745" s="5"/>
    </row>
    <row r="746">
      <c r="A746" s="5" t="s">
        <v>622</v>
      </c>
      <c r="B746" s="201" t="s">
        <v>1398</v>
      </c>
      <c r="C746" s="200" t="str">
        <f t="shared" si="1"/>
        <v>Noodles &amp; Soup_20-25</v>
      </c>
      <c r="D746" s="18">
        <v>57.0</v>
      </c>
      <c r="E746" s="18">
        <v>18.0</v>
      </c>
      <c r="F746" s="5">
        <v>31.6</v>
      </c>
      <c r="G746" s="5">
        <v>703.0</v>
      </c>
      <c r="H746" s="5">
        <v>72.0</v>
      </c>
      <c r="I746" s="5">
        <v>10.2</v>
      </c>
      <c r="J746" s="5"/>
    </row>
    <row r="747">
      <c r="A747" s="5" t="s">
        <v>622</v>
      </c>
      <c r="B747" s="201" t="s">
        <v>1400</v>
      </c>
      <c r="C747" s="200" t="str">
        <f t="shared" si="1"/>
        <v>Noodles &amp; Soup_25+</v>
      </c>
      <c r="D747" s="18">
        <v>352.0</v>
      </c>
      <c r="E747" s="18">
        <v>128.0</v>
      </c>
      <c r="F747" s="5">
        <v>36.4</v>
      </c>
      <c r="G747" s="5">
        <v>1752.0</v>
      </c>
      <c r="H747" s="5">
        <v>344.0</v>
      </c>
      <c r="I747" s="5">
        <v>19.6</v>
      </c>
      <c r="J747" s="5"/>
    </row>
    <row r="748">
      <c r="A748" s="5" t="s">
        <v>622</v>
      </c>
      <c r="B748" s="201" t="s">
        <v>4227</v>
      </c>
      <c r="C748" s="200" t="str">
        <f t="shared" si="1"/>
        <v>Noodles &amp; Soup_No Sales</v>
      </c>
      <c r="D748" s="18">
        <v>39.0</v>
      </c>
      <c r="E748" s="18">
        <v>13.0</v>
      </c>
      <c r="F748" s="5">
        <v>33.3</v>
      </c>
      <c r="G748" s="5">
        <v>257.0</v>
      </c>
      <c r="H748" s="5">
        <v>34.0</v>
      </c>
      <c r="I748" s="5">
        <v>13.2</v>
      </c>
      <c r="J748" s="5"/>
    </row>
    <row r="749">
      <c r="A749" s="5" t="s">
        <v>631</v>
      </c>
      <c r="B749" s="201" t="s">
        <v>1426</v>
      </c>
      <c r="C749" s="200" t="str">
        <f t="shared" si="1"/>
        <v>Nuts and Seeds_0-5</v>
      </c>
      <c r="D749" s="18">
        <v>176.0</v>
      </c>
      <c r="E749" s="18">
        <v>4.0</v>
      </c>
      <c r="F749" s="5">
        <v>2.3</v>
      </c>
      <c r="G749" s="5">
        <v>8514.0</v>
      </c>
      <c r="H749" s="5">
        <v>69.0</v>
      </c>
      <c r="I749" s="5">
        <v>0.8</v>
      </c>
      <c r="J749" s="5"/>
    </row>
    <row r="750">
      <c r="A750" s="5" t="s">
        <v>631</v>
      </c>
      <c r="B750" s="201" t="s">
        <v>4228</v>
      </c>
      <c r="C750" s="200" t="str">
        <f t="shared" si="1"/>
        <v>Nuts and Seeds_5-10</v>
      </c>
      <c r="D750" s="18">
        <v>323.0</v>
      </c>
      <c r="E750" s="18">
        <v>37.0</v>
      </c>
      <c r="F750" s="5">
        <v>11.5</v>
      </c>
      <c r="G750" s="5">
        <v>13266.0</v>
      </c>
      <c r="H750" s="5">
        <v>219.0</v>
      </c>
      <c r="I750" s="5">
        <v>1.7</v>
      </c>
      <c r="J750" s="5"/>
    </row>
    <row r="751">
      <c r="A751" s="5" t="s">
        <v>631</v>
      </c>
      <c r="B751" s="201" t="s">
        <v>4226</v>
      </c>
      <c r="C751" s="200" t="str">
        <f t="shared" si="1"/>
        <v>Nuts and Seeds_10-15</v>
      </c>
      <c r="D751" s="18">
        <v>216.0</v>
      </c>
      <c r="E751" s="18">
        <v>12.0</v>
      </c>
      <c r="F751" s="5">
        <v>5.6</v>
      </c>
      <c r="G751" s="5">
        <v>7468.0</v>
      </c>
      <c r="H751" s="5">
        <v>41.0</v>
      </c>
      <c r="I751" s="5">
        <v>0.5</v>
      </c>
      <c r="J751" s="5"/>
    </row>
    <row r="752">
      <c r="A752" s="5" t="s">
        <v>631</v>
      </c>
      <c r="B752" s="201" t="s">
        <v>1413</v>
      </c>
      <c r="C752" s="200" t="str">
        <f t="shared" si="1"/>
        <v>Nuts and Seeds_15-20</v>
      </c>
      <c r="D752" s="18">
        <v>429.0</v>
      </c>
      <c r="E752" s="18">
        <v>50.0</v>
      </c>
      <c r="F752" s="5">
        <v>11.7</v>
      </c>
      <c r="G752" s="5">
        <v>9386.0</v>
      </c>
      <c r="H752" s="5">
        <v>164.0</v>
      </c>
      <c r="I752" s="5">
        <v>1.7</v>
      </c>
      <c r="J752" s="5"/>
    </row>
    <row r="753">
      <c r="A753" s="5" t="s">
        <v>631</v>
      </c>
      <c r="B753" s="201" t="s">
        <v>1398</v>
      </c>
      <c r="C753" s="200" t="str">
        <f t="shared" si="1"/>
        <v>Nuts and Seeds_20-25</v>
      </c>
      <c r="D753" s="18">
        <v>363.0</v>
      </c>
      <c r="E753" s="18">
        <v>71.0</v>
      </c>
      <c r="F753" s="5">
        <v>19.6</v>
      </c>
      <c r="G753" s="5">
        <v>6206.0</v>
      </c>
      <c r="H753" s="5">
        <v>202.0</v>
      </c>
      <c r="I753" s="5">
        <v>3.3</v>
      </c>
      <c r="J753" s="5"/>
    </row>
    <row r="754">
      <c r="A754" s="5" t="s">
        <v>631</v>
      </c>
      <c r="B754" s="201" t="s">
        <v>1400</v>
      </c>
      <c r="C754" s="200" t="str">
        <f t="shared" si="1"/>
        <v>Nuts and Seeds_25+</v>
      </c>
      <c r="D754" s="18">
        <v>669.0</v>
      </c>
      <c r="E754" s="18">
        <v>210.0</v>
      </c>
      <c r="F754" s="5">
        <v>31.4</v>
      </c>
      <c r="G754" s="5">
        <v>6318.0</v>
      </c>
      <c r="H754" s="5">
        <v>627.0</v>
      </c>
      <c r="I754" s="5">
        <v>9.9</v>
      </c>
      <c r="J754" s="5"/>
    </row>
    <row r="755">
      <c r="A755" s="5" t="s">
        <v>631</v>
      </c>
      <c r="B755" s="201" t="s">
        <v>4227</v>
      </c>
      <c r="C755" s="200" t="str">
        <f t="shared" si="1"/>
        <v>Nuts and Seeds_No Sales</v>
      </c>
      <c r="D755" s="18">
        <v>17.0</v>
      </c>
      <c r="E755" s="18">
        <v>8.0</v>
      </c>
      <c r="F755" s="5">
        <v>47.1</v>
      </c>
      <c r="G755" s="5">
        <v>104.0</v>
      </c>
      <c r="H755" s="5">
        <v>16.0</v>
      </c>
      <c r="I755" s="5">
        <v>15.4</v>
      </c>
      <c r="J755" s="5"/>
    </row>
    <row r="756">
      <c r="A756" s="5" t="s">
        <v>1719</v>
      </c>
      <c r="B756" s="201" t="s">
        <v>1426</v>
      </c>
      <c r="C756" s="200" t="str">
        <f t="shared" si="1"/>
        <v>Oats &amp; Muesli_0-5</v>
      </c>
      <c r="D756" s="18">
        <v>6.0</v>
      </c>
      <c r="E756" s="18">
        <v>1.0</v>
      </c>
      <c r="F756" s="5">
        <v>16.7</v>
      </c>
      <c r="G756" s="5">
        <v>40.0</v>
      </c>
      <c r="H756" s="5">
        <v>1.0</v>
      </c>
      <c r="I756" s="5">
        <v>2.5</v>
      </c>
      <c r="J756" s="5"/>
    </row>
    <row r="757">
      <c r="A757" s="5" t="s">
        <v>1719</v>
      </c>
      <c r="B757" s="201" t="s">
        <v>4228</v>
      </c>
      <c r="C757" s="200" t="str">
        <f t="shared" si="1"/>
        <v>Oats &amp; Muesli_5-10</v>
      </c>
      <c r="D757" s="18">
        <v>184.0</v>
      </c>
      <c r="E757" s="18">
        <v>7.0</v>
      </c>
      <c r="F757" s="5">
        <v>3.8</v>
      </c>
      <c r="G757" s="5">
        <v>7409.0</v>
      </c>
      <c r="H757" s="5">
        <v>20.0</v>
      </c>
      <c r="I757" s="5">
        <v>0.3</v>
      </c>
      <c r="J757" s="5"/>
    </row>
    <row r="758">
      <c r="A758" s="5" t="s">
        <v>1719</v>
      </c>
      <c r="B758" s="201" t="s">
        <v>4226</v>
      </c>
      <c r="C758" s="200" t="str">
        <f t="shared" si="1"/>
        <v>Oats &amp; Muesli_10-15</v>
      </c>
      <c r="D758" s="18">
        <v>137.0</v>
      </c>
      <c r="E758" s="18">
        <v>43.0</v>
      </c>
      <c r="F758" s="5">
        <v>31.4</v>
      </c>
      <c r="G758" s="5">
        <v>1260.0</v>
      </c>
      <c r="H758" s="5">
        <v>113.0</v>
      </c>
      <c r="I758" s="5">
        <v>9.0</v>
      </c>
      <c r="J758" s="5"/>
    </row>
    <row r="759">
      <c r="A759" s="5" t="s">
        <v>1719</v>
      </c>
      <c r="B759" s="201" t="s">
        <v>1413</v>
      </c>
      <c r="C759" s="200" t="str">
        <f t="shared" si="1"/>
        <v>Oats &amp; Muesli_15-20</v>
      </c>
      <c r="D759" s="18">
        <v>342.0</v>
      </c>
      <c r="E759" s="18">
        <v>63.0</v>
      </c>
      <c r="F759" s="5">
        <v>18.4</v>
      </c>
      <c r="G759" s="5">
        <v>3746.0</v>
      </c>
      <c r="H759" s="5">
        <v>195.0</v>
      </c>
      <c r="I759" s="5">
        <v>5.2</v>
      </c>
      <c r="J759" s="5"/>
    </row>
    <row r="760">
      <c r="A760" s="5" t="s">
        <v>1719</v>
      </c>
      <c r="B760" s="201" t="s">
        <v>1398</v>
      </c>
      <c r="C760" s="200" t="str">
        <f t="shared" si="1"/>
        <v>Oats &amp; Muesli_20-25</v>
      </c>
      <c r="D760" s="18">
        <v>243.0</v>
      </c>
      <c r="E760" s="18">
        <v>56.0</v>
      </c>
      <c r="F760" s="5">
        <v>23.0</v>
      </c>
      <c r="G760" s="5">
        <v>2078.0</v>
      </c>
      <c r="H760" s="5">
        <v>167.0</v>
      </c>
      <c r="I760" s="5">
        <v>8.0</v>
      </c>
      <c r="J760" s="5"/>
    </row>
    <row r="761">
      <c r="A761" s="5" t="s">
        <v>1719</v>
      </c>
      <c r="B761" s="201" t="s">
        <v>1400</v>
      </c>
      <c r="C761" s="200" t="str">
        <f t="shared" si="1"/>
        <v>Oats &amp; Muesli_25+</v>
      </c>
      <c r="D761" s="18">
        <v>80.0</v>
      </c>
      <c r="E761" s="18">
        <v>28.0</v>
      </c>
      <c r="F761" s="5">
        <v>35.0</v>
      </c>
      <c r="G761" s="5">
        <v>352.0</v>
      </c>
      <c r="H761" s="5">
        <v>68.0</v>
      </c>
      <c r="I761" s="5">
        <v>19.3</v>
      </c>
      <c r="J761" s="5"/>
    </row>
    <row r="762">
      <c r="A762" s="5" t="s">
        <v>1719</v>
      </c>
      <c r="B762" s="201" t="s">
        <v>4227</v>
      </c>
      <c r="C762" s="200" t="str">
        <f t="shared" si="1"/>
        <v>Oats &amp; Muesli_No Sales</v>
      </c>
      <c r="D762" s="18">
        <v>2.0</v>
      </c>
      <c r="E762" s="18">
        <v>1.0</v>
      </c>
      <c r="F762" s="5">
        <v>50.0</v>
      </c>
      <c r="G762" s="5">
        <v>3.0</v>
      </c>
      <c r="H762" s="5">
        <v>1.0</v>
      </c>
      <c r="I762" s="5">
        <v>33.3</v>
      </c>
      <c r="J762" s="5"/>
    </row>
    <row r="763">
      <c r="A763" s="5" t="s">
        <v>609</v>
      </c>
      <c r="B763" s="201" t="s">
        <v>4228</v>
      </c>
      <c r="C763" s="200" t="str">
        <f t="shared" si="1"/>
        <v>Oils_5-10</v>
      </c>
      <c r="D763" s="18">
        <v>93.0</v>
      </c>
      <c r="E763" s="18">
        <v>5.0</v>
      </c>
      <c r="F763" s="5">
        <v>5.4</v>
      </c>
      <c r="G763" s="5">
        <v>2051.0</v>
      </c>
      <c r="H763" s="5">
        <v>14.0</v>
      </c>
      <c r="I763" s="5">
        <v>0.7</v>
      </c>
      <c r="J763" s="5"/>
    </row>
    <row r="764">
      <c r="A764" s="5" t="s">
        <v>609</v>
      </c>
      <c r="B764" s="201" t="s">
        <v>4226</v>
      </c>
      <c r="C764" s="200" t="str">
        <f t="shared" si="1"/>
        <v>Oils_10-15</v>
      </c>
      <c r="D764" s="18">
        <v>426.0</v>
      </c>
      <c r="E764" s="18">
        <v>66.0</v>
      </c>
      <c r="F764" s="5">
        <v>15.5</v>
      </c>
      <c r="G764" s="5">
        <v>7945.0</v>
      </c>
      <c r="H764" s="5">
        <v>212.0</v>
      </c>
      <c r="I764" s="5">
        <v>2.7</v>
      </c>
      <c r="J764" s="5"/>
    </row>
    <row r="765">
      <c r="A765" s="5" t="s">
        <v>609</v>
      </c>
      <c r="B765" s="201" t="s">
        <v>1413</v>
      </c>
      <c r="C765" s="200" t="str">
        <f t="shared" si="1"/>
        <v>Oils_15-20</v>
      </c>
      <c r="D765" s="18">
        <v>470.0</v>
      </c>
      <c r="E765" s="18">
        <v>91.0</v>
      </c>
      <c r="F765" s="5">
        <v>19.4</v>
      </c>
      <c r="G765" s="5">
        <v>5689.0</v>
      </c>
      <c r="H765" s="5">
        <v>302.0</v>
      </c>
      <c r="I765" s="5">
        <v>5.3</v>
      </c>
      <c r="J765" s="5"/>
    </row>
    <row r="766">
      <c r="A766" s="5" t="s">
        <v>609</v>
      </c>
      <c r="B766" s="201" t="s">
        <v>1398</v>
      </c>
      <c r="C766" s="200" t="str">
        <f t="shared" si="1"/>
        <v>Oils_20-25</v>
      </c>
      <c r="D766" s="18">
        <v>522.0</v>
      </c>
      <c r="E766" s="18">
        <v>103.0</v>
      </c>
      <c r="F766" s="5">
        <v>19.7</v>
      </c>
      <c r="G766" s="5">
        <v>8003.0</v>
      </c>
      <c r="H766" s="5">
        <v>409.0</v>
      </c>
      <c r="I766" s="5">
        <v>5.1</v>
      </c>
      <c r="J766" s="5"/>
    </row>
    <row r="767">
      <c r="A767" s="5" t="s">
        <v>609</v>
      </c>
      <c r="B767" s="201" t="s">
        <v>1400</v>
      </c>
      <c r="C767" s="200" t="str">
        <f t="shared" si="1"/>
        <v>Oils_25+</v>
      </c>
      <c r="D767" s="18">
        <v>1609.0</v>
      </c>
      <c r="E767" s="18">
        <v>525.0</v>
      </c>
      <c r="F767" s="5">
        <v>32.6</v>
      </c>
      <c r="G767" s="5">
        <v>12300.0</v>
      </c>
      <c r="H767" s="5">
        <v>2184.0</v>
      </c>
      <c r="I767" s="5">
        <v>17.8</v>
      </c>
      <c r="J767" s="5"/>
    </row>
    <row r="768">
      <c r="A768" s="5" t="s">
        <v>609</v>
      </c>
      <c r="B768" s="201" t="s">
        <v>4227</v>
      </c>
      <c r="C768" s="200" t="str">
        <f t="shared" si="1"/>
        <v>Oils_No Sales</v>
      </c>
      <c r="D768" s="18">
        <v>45.0</v>
      </c>
      <c r="E768" s="18">
        <v>33.0</v>
      </c>
      <c r="F768" s="5">
        <v>73.3</v>
      </c>
      <c r="G768" s="5">
        <v>118.0</v>
      </c>
      <c r="H768" s="5">
        <v>74.0</v>
      </c>
      <c r="I768" s="5">
        <v>62.7</v>
      </c>
      <c r="J768" s="5"/>
    </row>
    <row r="769">
      <c r="A769" s="5" t="s">
        <v>2053</v>
      </c>
      <c r="B769" s="201" t="s">
        <v>4226</v>
      </c>
      <c r="C769" s="200" t="str">
        <f t="shared" si="1"/>
        <v>Olives &amp; Antipasti_10-15</v>
      </c>
      <c r="D769" s="18">
        <v>29.0</v>
      </c>
      <c r="E769" s="18">
        <v>3.0</v>
      </c>
      <c r="F769" s="5">
        <v>10.3</v>
      </c>
      <c r="G769" s="5">
        <v>277.0</v>
      </c>
      <c r="H769" s="5">
        <v>11.0</v>
      </c>
      <c r="I769" s="5">
        <v>4.0</v>
      </c>
      <c r="J769" s="5"/>
    </row>
    <row r="770">
      <c r="A770" s="5" t="s">
        <v>2053</v>
      </c>
      <c r="B770" s="201" t="s">
        <v>1398</v>
      </c>
      <c r="C770" s="200" t="str">
        <f t="shared" si="1"/>
        <v>Olives &amp; Antipasti_20-25</v>
      </c>
      <c r="D770" s="18">
        <v>31.0</v>
      </c>
      <c r="E770" s="18">
        <v>15.0</v>
      </c>
      <c r="F770" s="5">
        <v>48.4</v>
      </c>
      <c r="G770" s="5">
        <v>87.0</v>
      </c>
      <c r="H770" s="5">
        <v>49.0</v>
      </c>
      <c r="I770" s="5">
        <v>56.3</v>
      </c>
      <c r="J770" s="5"/>
    </row>
    <row r="771">
      <c r="A771" s="5" t="s">
        <v>2053</v>
      </c>
      <c r="B771" s="201" t="s">
        <v>1400</v>
      </c>
      <c r="C771" s="200" t="str">
        <f t="shared" si="1"/>
        <v>Olives &amp; Antipasti_25+</v>
      </c>
      <c r="D771" s="18">
        <v>15.0</v>
      </c>
      <c r="E771" s="18">
        <v>11.0</v>
      </c>
      <c r="F771" s="5">
        <v>73.3</v>
      </c>
      <c r="G771" s="5">
        <v>48.0</v>
      </c>
      <c r="H771" s="5">
        <v>40.0</v>
      </c>
      <c r="I771" s="5">
        <v>83.3</v>
      </c>
      <c r="J771" s="5"/>
    </row>
    <row r="772">
      <c r="A772" s="5" t="s">
        <v>477</v>
      </c>
      <c r="B772" s="201" t="s">
        <v>1426</v>
      </c>
      <c r="C772" s="200" t="str">
        <f t="shared" si="1"/>
        <v>Oral Care_0-5</v>
      </c>
      <c r="D772" s="18">
        <v>30.0</v>
      </c>
      <c r="E772" s="18">
        <v>0.0</v>
      </c>
      <c r="F772" s="5">
        <v>0.0</v>
      </c>
      <c r="G772" s="5">
        <v>1010.0</v>
      </c>
      <c r="H772" s="5">
        <v>0.0</v>
      </c>
      <c r="I772" s="5">
        <v>0.0</v>
      </c>
      <c r="J772" s="5"/>
    </row>
    <row r="773">
      <c r="A773" s="5" t="s">
        <v>477</v>
      </c>
      <c r="B773" s="201" t="s">
        <v>4228</v>
      </c>
      <c r="C773" s="200" t="str">
        <f t="shared" si="1"/>
        <v>Oral Care_5-10</v>
      </c>
      <c r="D773" s="18">
        <v>196.0</v>
      </c>
      <c r="E773" s="18">
        <v>17.0</v>
      </c>
      <c r="F773" s="5">
        <v>8.7</v>
      </c>
      <c r="G773" s="5">
        <v>2961.0</v>
      </c>
      <c r="H773" s="5">
        <v>45.0</v>
      </c>
      <c r="I773" s="5">
        <v>1.5</v>
      </c>
      <c r="J773" s="5"/>
    </row>
    <row r="774">
      <c r="A774" s="5" t="s">
        <v>477</v>
      </c>
      <c r="B774" s="201" t="s">
        <v>4226</v>
      </c>
      <c r="C774" s="200" t="str">
        <f t="shared" si="1"/>
        <v>Oral Care_10-15</v>
      </c>
      <c r="D774" s="18">
        <v>222.0</v>
      </c>
      <c r="E774" s="18">
        <v>42.0</v>
      </c>
      <c r="F774" s="5">
        <v>18.9</v>
      </c>
      <c r="G774" s="5">
        <v>6394.0</v>
      </c>
      <c r="H774" s="5">
        <v>86.0</v>
      </c>
      <c r="I774" s="5">
        <v>1.3</v>
      </c>
      <c r="J774" s="5"/>
    </row>
    <row r="775">
      <c r="A775" s="5" t="s">
        <v>477</v>
      </c>
      <c r="B775" s="201" t="s">
        <v>1413</v>
      </c>
      <c r="C775" s="200" t="str">
        <f t="shared" si="1"/>
        <v>Oral Care_15-20</v>
      </c>
      <c r="D775" s="18">
        <v>327.0</v>
      </c>
      <c r="E775" s="18">
        <v>80.0</v>
      </c>
      <c r="F775" s="5">
        <v>24.5</v>
      </c>
      <c r="G775" s="5">
        <v>3714.0</v>
      </c>
      <c r="H775" s="5">
        <v>230.0</v>
      </c>
      <c r="I775" s="5">
        <v>6.2</v>
      </c>
      <c r="J775" s="5"/>
    </row>
    <row r="776">
      <c r="A776" s="5" t="s">
        <v>477</v>
      </c>
      <c r="B776" s="201" t="s">
        <v>1398</v>
      </c>
      <c r="C776" s="200" t="str">
        <f t="shared" si="1"/>
        <v>Oral Care_20-25</v>
      </c>
      <c r="D776" s="18">
        <v>368.0</v>
      </c>
      <c r="E776" s="18">
        <v>90.0</v>
      </c>
      <c r="F776" s="5">
        <v>24.5</v>
      </c>
      <c r="G776" s="5">
        <v>6268.0</v>
      </c>
      <c r="H776" s="5">
        <v>253.0</v>
      </c>
      <c r="I776" s="5">
        <v>4.0</v>
      </c>
      <c r="J776" s="5"/>
    </row>
    <row r="777">
      <c r="A777" s="5" t="s">
        <v>477</v>
      </c>
      <c r="B777" s="201" t="s">
        <v>1400</v>
      </c>
      <c r="C777" s="200" t="str">
        <f t="shared" si="1"/>
        <v>Oral Care_25+</v>
      </c>
      <c r="D777" s="18">
        <v>1533.0</v>
      </c>
      <c r="E777" s="18">
        <v>419.0</v>
      </c>
      <c r="F777" s="5">
        <v>27.3</v>
      </c>
      <c r="G777" s="5">
        <v>12943.0</v>
      </c>
      <c r="H777" s="5">
        <v>1296.0</v>
      </c>
      <c r="I777" s="5">
        <v>10.0</v>
      </c>
      <c r="J777" s="5"/>
    </row>
    <row r="778">
      <c r="A778" s="5" t="s">
        <v>477</v>
      </c>
      <c r="B778" s="201" t="s">
        <v>4227</v>
      </c>
      <c r="C778" s="200" t="str">
        <f t="shared" si="1"/>
        <v>Oral Care_No Sales</v>
      </c>
      <c r="D778" s="18">
        <v>26.0</v>
      </c>
      <c r="E778" s="18">
        <v>16.0</v>
      </c>
      <c r="F778" s="5">
        <v>61.5</v>
      </c>
      <c r="G778" s="5">
        <v>229.0</v>
      </c>
      <c r="H778" s="5">
        <v>148.0</v>
      </c>
      <c r="I778" s="5">
        <v>64.6</v>
      </c>
      <c r="J778" s="5"/>
    </row>
    <row r="779">
      <c r="A779" s="5" t="s">
        <v>345</v>
      </c>
      <c r="B779" s="201" t="s">
        <v>1398</v>
      </c>
      <c r="C779" s="200" t="str">
        <f t="shared" si="1"/>
        <v>Organic_20-25</v>
      </c>
      <c r="D779" s="18">
        <v>45.0</v>
      </c>
      <c r="E779" s="18">
        <v>1.0</v>
      </c>
      <c r="F779" s="5">
        <v>2.2</v>
      </c>
      <c r="G779" s="5">
        <v>2535.0</v>
      </c>
      <c r="H779" s="5">
        <v>1.0</v>
      </c>
      <c r="I779" s="5">
        <v>0.0</v>
      </c>
      <c r="J779" s="5"/>
    </row>
    <row r="780">
      <c r="A780" s="5" t="s">
        <v>345</v>
      </c>
      <c r="B780" s="201" t="s">
        <v>1400</v>
      </c>
      <c r="C780" s="200" t="str">
        <f t="shared" si="1"/>
        <v>Organic_25+</v>
      </c>
      <c r="D780" s="18">
        <v>87.0</v>
      </c>
      <c r="E780" s="18">
        <v>3.0</v>
      </c>
      <c r="F780" s="5">
        <v>3.4</v>
      </c>
      <c r="G780" s="5">
        <v>5105.0</v>
      </c>
      <c r="H780" s="5">
        <v>15.0</v>
      </c>
      <c r="I780" s="5">
        <v>0.3</v>
      </c>
      <c r="J780" s="5"/>
    </row>
    <row r="781">
      <c r="A781" s="5" t="s">
        <v>440</v>
      </c>
      <c r="B781" s="201" t="s">
        <v>4228</v>
      </c>
      <c r="C781" s="200" t="str">
        <f t="shared" si="1"/>
        <v>Organic Fruits &amp; Vegetables_5-10</v>
      </c>
      <c r="D781" s="18">
        <v>201.0</v>
      </c>
      <c r="E781" s="18">
        <v>21.0</v>
      </c>
      <c r="F781" s="5">
        <v>10.4</v>
      </c>
      <c r="G781" s="5">
        <v>2003.0</v>
      </c>
      <c r="H781" s="5">
        <v>31.0</v>
      </c>
      <c r="I781" s="5">
        <v>1.5</v>
      </c>
      <c r="J781" s="5"/>
    </row>
    <row r="782">
      <c r="A782" s="5" t="s">
        <v>440</v>
      </c>
      <c r="B782" s="201" t="s">
        <v>4226</v>
      </c>
      <c r="C782" s="200" t="str">
        <f t="shared" si="1"/>
        <v>Organic Fruits &amp; Vegetables_10-15</v>
      </c>
      <c r="D782" s="18">
        <v>30.0</v>
      </c>
      <c r="E782" s="18">
        <v>8.0</v>
      </c>
      <c r="F782" s="5">
        <v>26.7</v>
      </c>
      <c r="G782" s="5">
        <v>162.0</v>
      </c>
      <c r="H782" s="5">
        <v>12.0</v>
      </c>
      <c r="I782" s="5">
        <v>7.4</v>
      </c>
      <c r="J782" s="5"/>
    </row>
    <row r="783">
      <c r="A783" s="5" t="s">
        <v>440</v>
      </c>
      <c r="B783" s="201" t="s">
        <v>1413</v>
      </c>
      <c r="C783" s="200" t="str">
        <f t="shared" si="1"/>
        <v>Organic Fruits &amp; Vegetables_15-20</v>
      </c>
      <c r="D783" s="18">
        <v>64.0</v>
      </c>
      <c r="E783" s="18">
        <v>12.0</v>
      </c>
      <c r="F783" s="5">
        <v>18.8</v>
      </c>
      <c r="G783" s="5">
        <v>234.0</v>
      </c>
      <c r="H783" s="5">
        <v>20.0</v>
      </c>
      <c r="I783" s="5">
        <v>8.5</v>
      </c>
      <c r="J783" s="5"/>
    </row>
    <row r="784">
      <c r="A784" s="5" t="s">
        <v>440</v>
      </c>
      <c r="B784" s="201" t="s">
        <v>4227</v>
      </c>
      <c r="C784" s="200" t="str">
        <f t="shared" si="1"/>
        <v>Organic Fruits &amp; Vegetables_No Sales</v>
      </c>
      <c r="D784" s="18">
        <v>3.0</v>
      </c>
      <c r="E784" s="18">
        <v>0.0</v>
      </c>
      <c r="F784" s="5">
        <v>0.0</v>
      </c>
      <c r="G784" s="5">
        <v>75.0</v>
      </c>
      <c r="H784" s="5">
        <v>0.0</v>
      </c>
      <c r="I784" s="5">
        <v>0.0</v>
      </c>
      <c r="J784" s="5"/>
    </row>
    <row r="785">
      <c r="A785" s="5" t="s">
        <v>1099</v>
      </c>
      <c r="B785" s="201" t="s">
        <v>1426</v>
      </c>
      <c r="C785" s="200" t="str">
        <f t="shared" si="1"/>
        <v>Other Snacks_0-5</v>
      </c>
      <c r="D785" s="18">
        <v>413.0</v>
      </c>
      <c r="E785" s="18">
        <v>127.0</v>
      </c>
      <c r="F785" s="5">
        <v>30.8</v>
      </c>
      <c r="G785" s="5">
        <v>5515.0</v>
      </c>
      <c r="H785" s="5">
        <v>553.0</v>
      </c>
      <c r="I785" s="5">
        <v>10.0</v>
      </c>
      <c r="J785" s="5"/>
    </row>
    <row r="786">
      <c r="A786" s="5" t="s">
        <v>1099</v>
      </c>
      <c r="B786" s="201" t="s">
        <v>4228</v>
      </c>
      <c r="C786" s="200" t="str">
        <f t="shared" si="1"/>
        <v>Other Snacks_5-10</v>
      </c>
      <c r="D786" s="18">
        <v>1073.0</v>
      </c>
      <c r="E786" s="18">
        <v>242.0</v>
      </c>
      <c r="F786" s="5">
        <v>22.6</v>
      </c>
      <c r="G786" s="5">
        <v>14990.0</v>
      </c>
      <c r="H786" s="5">
        <v>924.0</v>
      </c>
      <c r="I786" s="5">
        <v>6.2</v>
      </c>
      <c r="J786" s="5"/>
    </row>
    <row r="787">
      <c r="A787" s="5" t="s">
        <v>1099</v>
      </c>
      <c r="B787" s="201" t="s">
        <v>4226</v>
      </c>
      <c r="C787" s="200" t="str">
        <f t="shared" si="1"/>
        <v>Other Snacks_10-15</v>
      </c>
      <c r="D787" s="18">
        <v>333.0</v>
      </c>
      <c r="E787" s="18">
        <v>124.0</v>
      </c>
      <c r="F787" s="5">
        <v>37.2</v>
      </c>
      <c r="G787" s="5">
        <v>3117.0</v>
      </c>
      <c r="H787" s="5">
        <v>420.0</v>
      </c>
      <c r="I787" s="5">
        <v>13.5</v>
      </c>
      <c r="J787" s="5"/>
    </row>
    <row r="788">
      <c r="A788" s="5" t="s">
        <v>1099</v>
      </c>
      <c r="B788" s="201" t="s">
        <v>4227</v>
      </c>
      <c r="C788" s="200" t="str">
        <f t="shared" si="1"/>
        <v>Other Snacks_No Sales</v>
      </c>
      <c r="D788" s="18">
        <v>1.0</v>
      </c>
      <c r="E788" s="18">
        <v>1.0</v>
      </c>
      <c r="F788" s="5">
        <v>100.0</v>
      </c>
      <c r="G788" s="5">
        <v>2.0</v>
      </c>
      <c r="H788" s="5">
        <v>2.0</v>
      </c>
      <c r="I788" s="5">
        <v>100.0</v>
      </c>
      <c r="J788" s="5"/>
    </row>
    <row r="789">
      <c r="A789" s="5" t="s">
        <v>1823</v>
      </c>
      <c r="B789" s="201" t="s">
        <v>1426</v>
      </c>
      <c r="C789" s="200" t="str">
        <f t="shared" si="1"/>
        <v>Others_0-5</v>
      </c>
      <c r="D789" s="18">
        <v>9.0</v>
      </c>
      <c r="E789" s="18">
        <v>8.0</v>
      </c>
      <c r="F789" s="5">
        <v>88.9</v>
      </c>
      <c r="G789" s="5">
        <v>78.0</v>
      </c>
      <c r="H789" s="5">
        <v>73.0</v>
      </c>
      <c r="I789" s="5">
        <v>93.6</v>
      </c>
      <c r="J789" s="5"/>
    </row>
    <row r="790">
      <c r="A790" s="5" t="s">
        <v>3353</v>
      </c>
      <c r="B790" s="201" t="s">
        <v>1400</v>
      </c>
      <c r="C790" s="200" t="str">
        <f t="shared" si="1"/>
        <v>Others Pharmacy_25+</v>
      </c>
      <c r="D790" s="18">
        <v>2.0</v>
      </c>
      <c r="E790" s="18">
        <v>1.0</v>
      </c>
      <c r="F790" s="5">
        <v>50.0</v>
      </c>
      <c r="G790" s="5">
        <v>3.0</v>
      </c>
      <c r="H790" s="5">
        <v>1.0</v>
      </c>
      <c r="I790" s="5">
        <v>33.3</v>
      </c>
      <c r="J790" s="5"/>
    </row>
    <row r="791">
      <c r="A791" s="5" t="s">
        <v>4230</v>
      </c>
      <c r="B791" s="201" t="s">
        <v>1400</v>
      </c>
      <c r="C791" s="200" t="str">
        <f t="shared" si="1"/>
        <v>Padel_25+</v>
      </c>
      <c r="D791" s="18">
        <v>3.0</v>
      </c>
      <c r="E791" s="18">
        <v>3.0</v>
      </c>
      <c r="F791" s="5">
        <v>100.0</v>
      </c>
      <c r="G791" s="5">
        <v>3.0</v>
      </c>
      <c r="H791" s="5">
        <v>3.0</v>
      </c>
      <c r="I791" s="5">
        <v>100.0</v>
      </c>
      <c r="J791" s="5"/>
    </row>
    <row r="792">
      <c r="A792" s="5" t="s">
        <v>4230</v>
      </c>
      <c r="B792" s="201" t="s">
        <v>4227</v>
      </c>
      <c r="C792" s="200" t="str">
        <f t="shared" si="1"/>
        <v>Padel_No Sales</v>
      </c>
      <c r="D792" s="18">
        <v>4.0</v>
      </c>
      <c r="E792" s="18">
        <v>4.0</v>
      </c>
      <c r="F792" s="5">
        <v>100.0</v>
      </c>
      <c r="G792" s="5">
        <v>4.0</v>
      </c>
      <c r="H792" s="5">
        <v>4.0</v>
      </c>
      <c r="I792" s="5">
        <v>100.0</v>
      </c>
      <c r="J792" s="5"/>
    </row>
    <row r="793">
      <c r="A793" s="5" t="s">
        <v>454</v>
      </c>
      <c r="B793" s="201" t="s">
        <v>4228</v>
      </c>
      <c r="C793" s="200" t="str">
        <f t="shared" si="1"/>
        <v>Pain Relief_5-10</v>
      </c>
      <c r="D793" s="18">
        <v>43.0</v>
      </c>
      <c r="E793" s="18">
        <v>5.0</v>
      </c>
      <c r="F793" s="5">
        <v>11.6</v>
      </c>
      <c r="G793" s="5">
        <v>128.0</v>
      </c>
      <c r="H793" s="5">
        <v>15.0</v>
      </c>
      <c r="I793" s="5">
        <v>11.7</v>
      </c>
      <c r="J793" s="5"/>
    </row>
    <row r="794">
      <c r="A794" s="5" t="s">
        <v>454</v>
      </c>
      <c r="B794" s="201" t="s">
        <v>4226</v>
      </c>
      <c r="C794" s="200" t="str">
        <f t="shared" si="1"/>
        <v>Pain Relief_10-15</v>
      </c>
      <c r="D794" s="18">
        <v>34.0</v>
      </c>
      <c r="E794" s="18">
        <v>1.0</v>
      </c>
      <c r="F794" s="5">
        <v>2.9</v>
      </c>
      <c r="G794" s="5">
        <v>1854.0</v>
      </c>
      <c r="H794" s="5">
        <v>2.0</v>
      </c>
      <c r="I794" s="5">
        <v>0.1</v>
      </c>
      <c r="J794" s="5"/>
    </row>
    <row r="795">
      <c r="A795" s="5" t="s">
        <v>454</v>
      </c>
      <c r="B795" s="201" t="s">
        <v>1413</v>
      </c>
      <c r="C795" s="200" t="str">
        <f t="shared" si="1"/>
        <v>Pain Relief_15-20</v>
      </c>
      <c r="D795" s="18">
        <v>111.0</v>
      </c>
      <c r="E795" s="18">
        <v>2.0</v>
      </c>
      <c r="F795" s="5">
        <v>1.8</v>
      </c>
      <c r="G795" s="5">
        <v>1148.0</v>
      </c>
      <c r="H795" s="5">
        <v>5.0</v>
      </c>
      <c r="I795" s="5">
        <v>0.4</v>
      </c>
      <c r="J795" s="5"/>
    </row>
    <row r="796">
      <c r="A796" s="5" t="s">
        <v>454</v>
      </c>
      <c r="B796" s="201" t="s">
        <v>1398</v>
      </c>
      <c r="C796" s="200" t="str">
        <f t="shared" si="1"/>
        <v>Pain Relief_20-25</v>
      </c>
      <c r="D796" s="18">
        <v>194.0</v>
      </c>
      <c r="E796" s="18">
        <v>42.0</v>
      </c>
      <c r="F796" s="5">
        <v>21.6</v>
      </c>
      <c r="G796" s="5">
        <v>2064.0</v>
      </c>
      <c r="H796" s="5">
        <v>124.0</v>
      </c>
      <c r="I796" s="5">
        <v>6.0</v>
      </c>
      <c r="J796" s="5"/>
    </row>
    <row r="797">
      <c r="A797" s="5" t="s">
        <v>454</v>
      </c>
      <c r="B797" s="201" t="s">
        <v>1400</v>
      </c>
      <c r="C797" s="200" t="str">
        <f t="shared" si="1"/>
        <v>Pain Relief_25+</v>
      </c>
      <c r="D797" s="18">
        <v>482.0</v>
      </c>
      <c r="E797" s="18">
        <v>86.0</v>
      </c>
      <c r="F797" s="5">
        <v>17.8</v>
      </c>
      <c r="G797" s="5">
        <v>3713.0</v>
      </c>
      <c r="H797" s="5">
        <v>274.0</v>
      </c>
      <c r="I797" s="5">
        <v>7.4</v>
      </c>
      <c r="J797" s="5"/>
    </row>
    <row r="798">
      <c r="A798" s="5" t="s">
        <v>454</v>
      </c>
      <c r="B798" s="201" t="s">
        <v>4227</v>
      </c>
      <c r="C798" s="200" t="str">
        <f t="shared" si="1"/>
        <v>Pain Relief_No Sales</v>
      </c>
      <c r="D798" s="18">
        <v>4.0</v>
      </c>
      <c r="E798" s="18">
        <v>4.0</v>
      </c>
      <c r="F798" s="5">
        <v>100.0</v>
      </c>
      <c r="G798" s="5">
        <v>55.0</v>
      </c>
      <c r="H798" s="5">
        <v>55.0</v>
      </c>
      <c r="I798" s="5">
        <v>100.0</v>
      </c>
      <c r="J798" s="5"/>
    </row>
    <row r="799">
      <c r="A799" s="5" t="s">
        <v>1522</v>
      </c>
      <c r="B799" s="201" t="s">
        <v>4228</v>
      </c>
      <c r="C799" s="200" t="str">
        <f t="shared" si="1"/>
        <v>Parathas &amp; Dosas_5-10</v>
      </c>
      <c r="D799" s="18">
        <v>253.0</v>
      </c>
      <c r="E799" s="18">
        <v>14.0</v>
      </c>
      <c r="F799" s="5">
        <v>5.5</v>
      </c>
      <c r="G799" s="5">
        <v>2156.0</v>
      </c>
      <c r="H799" s="5">
        <v>23.0</v>
      </c>
      <c r="I799" s="5">
        <v>1.1</v>
      </c>
      <c r="J799" s="5"/>
    </row>
    <row r="800">
      <c r="A800" s="5" t="s">
        <v>2443</v>
      </c>
      <c r="B800" s="201" t="s">
        <v>1426</v>
      </c>
      <c r="C800" s="200" t="str">
        <f t="shared" si="1"/>
        <v>Party_0-5</v>
      </c>
      <c r="D800" s="18">
        <v>55.0</v>
      </c>
      <c r="E800" s="18">
        <v>12.0</v>
      </c>
      <c r="F800" s="5">
        <v>21.8</v>
      </c>
      <c r="G800" s="5">
        <v>526.0</v>
      </c>
      <c r="H800" s="5">
        <v>43.0</v>
      </c>
      <c r="I800" s="5">
        <v>8.2</v>
      </c>
      <c r="J800" s="5"/>
    </row>
    <row r="801">
      <c r="A801" s="5" t="s">
        <v>2443</v>
      </c>
      <c r="B801" s="201" t="s">
        <v>4228</v>
      </c>
      <c r="C801" s="200" t="str">
        <f t="shared" si="1"/>
        <v>Party_5-10</v>
      </c>
      <c r="D801" s="18">
        <v>1368.0</v>
      </c>
      <c r="E801" s="18">
        <v>591.0</v>
      </c>
      <c r="F801" s="5">
        <v>43.2</v>
      </c>
      <c r="G801" s="5">
        <v>5904.0</v>
      </c>
      <c r="H801" s="5">
        <v>1877.0</v>
      </c>
      <c r="I801" s="5">
        <v>31.8</v>
      </c>
      <c r="J801" s="5"/>
    </row>
    <row r="802">
      <c r="A802" s="5" t="s">
        <v>2443</v>
      </c>
      <c r="B802" s="201" t="s">
        <v>4226</v>
      </c>
      <c r="C802" s="200" t="str">
        <f t="shared" si="1"/>
        <v>Party_10-15</v>
      </c>
      <c r="D802" s="18">
        <v>10.0</v>
      </c>
      <c r="E802" s="18">
        <v>9.0</v>
      </c>
      <c r="F802" s="5">
        <v>90.0</v>
      </c>
      <c r="G802" s="5">
        <v>15.0</v>
      </c>
      <c r="H802" s="5">
        <v>14.0</v>
      </c>
      <c r="I802" s="5">
        <v>93.3</v>
      </c>
      <c r="J802" s="5"/>
    </row>
    <row r="803">
      <c r="A803" s="5" t="s">
        <v>2443</v>
      </c>
      <c r="B803" s="201" t="s">
        <v>1413</v>
      </c>
      <c r="C803" s="200" t="str">
        <f t="shared" si="1"/>
        <v>Party_15-20</v>
      </c>
      <c r="D803" s="18">
        <v>29.0</v>
      </c>
      <c r="E803" s="18">
        <v>1.0</v>
      </c>
      <c r="F803" s="5">
        <v>3.4</v>
      </c>
      <c r="G803" s="5">
        <v>262.0</v>
      </c>
      <c r="H803" s="5">
        <v>3.0</v>
      </c>
      <c r="I803" s="5">
        <v>1.1</v>
      </c>
      <c r="J803" s="5"/>
    </row>
    <row r="804">
      <c r="A804" s="5" t="s">
        <v>2443</v>
      </c>
      <c r="B804" s="201" t="s">
        <v>1398</v>
      </c>
      <c r="C804" s="200" t="str">
        <f t="shared" si="1"/>
        <v>Party_20-25</v>
      </c>
      <c r="D804" s="18">
        <v>30.0</v>
      </c>
      <c r="E804" s="18">
        <v>1.0</v>
      </c>
      <c r="F804" s="5">
        <v>3.3</v>
      </c>
      <c r="G804" s="5">
        <v>205.0</v>
      </c>
      <c r="H804" s="5">
        <v>3.0</v>
      </c>
      <c r="I804" s="5">
        <v>1.5</v>
      </c>
      <c r="J804" s="5"/>
    </row>
    <row r="805">
      <c r="A805" s="5" t="s">
        <v>2443</v>
      </c>
      <c r="B805" s="201" t="s">
        <v>1400</v>
      </c>
      <c r="C805" s="200" t="str">
        <f t="shared" si="1"/>
        <v>Party_25+</v>
      </c>
      <c r="D805" s="18">
        <v>43.0</v>
      </c>
      <c r="E805" s="18">
        <v>34.0</v>
      </c>
      <c r="F805" s="5">
        <v>79.1</v>
      </c>
      <c r="G805" s="5">
        <v>140.0</v>
      </c>
      <c r="H805" s="5">
        <v>123.0</v>
      </c>
      <c r="I805" s="5">
        <v>87.9</v>
      </c>
      <c r="J805" s="5"/>
    </row>
    <row r="806">
      <c r="A806" s="5" t="s">
        <v>2443</v>
      </c>
      <c r="B806" s="201" t="s">
        <v>4227</v>
      </c>
      <c r="C806" s="200" t="str">
        <f t="shared" si="1"/>
        <v>Party_No Sales</v>
      </c>
      <c r="D806" s="18">
        <v>15.0</v>
      </c>
      <c r="E806" s="18">
        <v>15.0</v>
      </c>
      <c r="F806" s="5">
        <v>100.0</v>
      </c>
      <c r="G806" s="5">
        <v>20.0</v>
      </c>
      <c r="H806" s="5">
        <v>20.0</v>
      </c>
      <c r="I806" s="5">
        <v>100.0</v>
      </c>
      <c r="J806" s="5"/>
    </row>
    <row r="807">
      <c r="A807" s="5" t="s">
        <v>2950</v>
      </c>
      <c r="B807" s="201" t="s">
        <v>1426</v>
      </c>
      <c r="C807" s="200" t="str">
        <f t="shared" si="1"/>
        <v>Pasta_0-5</v>
      </c>
      <c r="D807" s="18">
        <v>357.0</v>
      </c>
      <c r="E807" s="18">
        <v>36.0</v>
      </c>
      <c r="F807" s="5">
        <v>10.1</v>
      </c>
      <c r="G807" s="5">
        <v>10796.0</v>
      </c>
      <c r="H807" s="5">
        <v>205.0</v>
      </c>
      <c r="I807" s="5">
        <v>1.9</v>
      </c>
      <c r="J807" s="5"/>
    </row>
    <row r="808">
      <c r="A808" s="5" t="s">
        <v>2950</v>
      </c>
      <c r="B808" s="201" t="s">
        <v>4228</v>
      </c>
      <c r="C808" s="200" t="str">
        <f t="shared" si="1"/>
        <v>Pasta_5-10</v>
      </c>
      <c r="D808" s="18">
        <v>175.0</v>
      </c>
      <c r="E808" s="18">
        <v>41.0</v>
      </c>
      <c r="F808" s="5">
        <v>23.4</v>
      </c>
      <c r="G808" s="5">
        <v>5626.0</v>
      </c>
      <c r="H808" s="5">
        <v>102.0</v>
      </c>
      <c r="I808" s="5">
        <v>1.8</v>
      </c>
      <c r="J808" s="5"/>
    </row>
    <row r="809">
      <c r="A809" s="5" t="s">
        <v>2950</v>
      </c>
      <c r="B809" s="201" t="s">
        <v>4226</v>
      </c>
      <c r="C809" s="200" t="str">
        <f t="shared" si="1"/>
        <v>Pasta_10-15</v>
      </c>
      <c r="D809" s="18">
        <v>464.0</v>
      </c>
      <c r="E809" s="18">
        <v>51.0</v>
      </c>
      <c r="F809" s="5">
        <v>11.0</v>
      </c>
      <c r="G809" s="5">
        <v>7786.0</v>
      </c>
      <c r="H809" s="5">
        <v>133.0</v>
      </c>
      <c r="I809" s="5">
        <v>1.7</v>
      </c>
      <c r="J809" s="5"/>
    </row>
    <row r="810">
      <c r="A810" s="5" t="s">
        <v>2950</v>
      </c>
      <c r="B810" s="201" t="s">
        <v>1413</v>
      </c>
      <c r="C810" s="200" t="str">
        <f t="shared" si="1"/>
        <v>Pasta_15-20</v>
      </c>
      <c r="D810" s="18">
        <v>161.0</v>
      </c>
      <c r="E810" s="18">
        <v>42.0</v>
      </c>
      <c r="F810" s="5">
        <v>26.1</v>
      </c>
      <c r="G810" s="5">
        <v>948.0</v>
      </c>
      <c r="H810" s="5">
        <v>120.0</v>
      </c>
      <c r="I810" s="5">
        <v>12.7</v>
      </c>
      <c r="J810" s="5"/>
    </row>
    <row r="811">
      <c r="A811" s="5" t="s">
        <v>2950</v>
      </c>
      <c r="B811" s="201" t="s">
        <v>1398</v>
      </c>
      <c r="C811" s="200" t="str">
        <f t="shared" si="1"/>
        <v>Pasta_20-25</v>
      </c>
      <c r="D811" s="18">
        <v>165.0</v>
      </c>
      <c r="E811" s="18">
        <v>79.0</v>
      </c>
      <c r="F811" s="5">
        <v>47.9</v>
      </c>
      <c r="G811" s="5">
        <v>1120.0</v>
      </c>
      <c r="H811" s="5">
        <v>200.0</v>
      </c>
      <c r="I811" s="5">
        <v>17.9</v>
      </c>
      <c r="J811" s="5"/>
    </row>
    <row r="812">
      <c r="A812" s="5" t="s">
        <v>2950</v>
      </c>
      <c r="B812" s="201" t="s">
        <v>1400</v>
      </c>
      <c r="C812" s="200" t="str">
        <f t="shared" si="1"/>
        <v>Pasta_25+</v>
      </c>
      <c r="D812" s="18">
        <v>244.0</v>
      </c>
      <c r="E812" s="18">
        <v>88.0</v>
      </c>
      <c r="F812" s="5">
        <v>36.1</v>
      </c>
      <c r="G812" s="5">
        <v>2195.0</v>
      </c>
      <c r="H812" s="5">
        <v>232.0</v>
      </c>
      <c r="I812" s="5">
        <v>10.6</v>
      </c>
      <c r="J812" s="5"/>
    </row>
    <row r="813">
      <c r="A813" s="5" t="s">
        <v>2950</v>
      </c>
      <c r="B813" s="201" t="s">
        <v>4227</v>
      </c>
      <c r="C813" s="200" t="str">
        <f t="shared" si="1"/>
        <v>Pasta_No Sales</v>
      </c>
      <c r="D813" s="18">
        <v>22.0</v>
      </c>
      <c r="E813" s="18">
        <v>21.0</v>
      </c>
      <c r="F813" s="5">
        <v>95.5</v>
      </c>
      <c r="G813" s="5">
        <v>107.0</v>
      </c>
      <c r="H813" s="5">
        <v>104.0</v>
      </c>
      <c r="I813" s="5">
        <v>97.2</v>
      </c>
      <c r="J813" s="5"/>
    </row>
    <row r="814">
      <c r="A814" s="5" t="s">
        <v>270</v>
      </c>
      <c r="B814" s="201" t="s">
        <v>1426</v>
      </c>
      <c r="C814" s="200" t="str">
        <f t="shared" si="1"/>
        <v>Paste &amp; Sauces_0-5</v>
      </c>
      <c r="D814" s="18">
        <v>295.0</v>
      </c>
      <c r="E814" s="18">
        <v>41.0</v>
      </c>
      <c r="F814" s="5">
        <v>13.9</v>
      </c>
      <c r="G814" s="5">
        <v>8025.0</v>
      </c>
      <c r="H814" s="5">
        <v>164.0</v>
      </c>
      <c r="I814" s="5">
        <v>2.0</v>
      </c>
      <c r="J814" s="5"/>
    </row>
    <row r="815">
      <c r="A815" s="5" t="s">
        <v>270</v>
      </c>
      <c r="B815" s="201" t="s">
        <v>4228</v>
      </c>
      <c r="C815" s="200" t="str">
        <f t="shared" si="1"/>
        <v>Paste &amp; Sauces_5-10</v>
      </c>
      <c r="D815" s="18">
        <v>1028.0</v>
      </c>
      <c r="E815" s="18">
        <v>136.0</v>
      </c>
      <c r="F815" s="5">
        <v>13.2</v>
      </c>
      <c r="G815" s="5">
        <v>21406.0</v>
      </c>
      <c r="H815" s="5">
        <v>429.0</v>
      </c>
      <c r="I815" s="5">
        <v>2.0</v>
      </c>
      <c r="J815" s="5"/>
    </row>
    <row r="816">
      <c r="A816" s="5" t="s">
        <v>270</v>
      </c>
      <c r="B816" s="201" t="s">
        <v>4226</v>
      </c>
      <c r="C816" s="200" t="str">
        <f t="shared" si="1"/>
        <v>Paste &amp; Sauces_10-15</v>
      </c>
      <c r="D816" s="18">
        <v>1104.0</v>
      </c>
      <c r="E816" s="18">
        <v>314.0</v>
      </c>
      <c r="F816" s="5">
        <v>28.4</v>
      </c>
      <c r="G816" s="5">
        <v>7891.0</v>
      </c>
      <c r="H816" s="5">
        <v>920.0</v>
      </c>
      <c r="I816" s="5">
        <v>11.7</v>
      </c>
      <c r="J816" s="5"/>
    </row>
    <row r="817">
      <c r="A817" s="5" t="s">
        <v>270</v>
      </c>
      <c r="B817" s="201" t="s">
        <v>1413</v>
      </c>
      <c r="C817" s="200" t="str">
        <f t="shared" si="1"/>
        <v>Paste &amp; Sauces_15-20</v>
      </c>
      <c r="D817" s="18">
        <v>738.0</v>
      </c>
      <c r="E817" s="18">
        <v>264.0</v>
      </c>
      <c r="F817" s="5">
        <v>35.8</v>
      </c>
      <c r="G817" s="5">
        <v>5832.0</v>
      </c>
      <c r="H817" s="5">
        <v>847.0</v>
      </c>
      <c r="I817" s="5">
        <v>14.5</v>
      </c>
      <c r="J817" s="5"/>
    </row>
    <row r="818">
      <c r="A818" s="5" t="s">
        <v>270</v>
      </c>
      <c r="B818" s="201" t="s">
        <v>1398</v>
      </c>
      <c r="C818" s="200" t="str">
        <f t="shared" si="1"/>
        <v>Paste &amp; Sauces_20-25</v>
      </c>
      <c r="D818" s="18">
        <v>440.0</v>
      </c>
      <c r="E818" s="18">
        <v>182.0</v>
      </c>
      <c r="F818" s="5">
        <v>41.4</v>
      </c>
      <c r="G818" s="5">
        <v>5875.0</v>
      </c>
      <c r="H818" s="5">
        <v>561.0</v>
      </c>
      <c r="I818" s="5">
        <v>9.5</v>
      </c>
      <c r="J818" s="5"/>
    </row>
    <row r="819">
      <c r="A819" s="5" t="s">
        <v>270</v>
      </c>
      <c r="B819" s="201" t="s">
        <v>1400</v>
      </c>
      <c r="C819" s="200" t="str">
        <f t="shared" si="1"/>
        <v>Paste &amp; Sauces_25+</v>
      </c>
      <c r="D819" s="18">
        <v>115.0</v>
      </c>
      <c r="E819" s="18">
        <v>55.0</v>
      </c>
      <c r="F819" s="5">
        <v>47.8</v>
      </c>
      <c r="G819" s="5">
        <v>425.0</v>
      </c>
      <c r="H819" s="5">
        <v>139.0</v>
      </c>
      <c r="I819" s="5">
        <v>32.7</v>
      </c>
      <c r="J819" s="5"/>
    </row>
    <row r="820">
      <c r="A820" s="5" t="s">
        <v>270</v>
      </c>
      <c r="B820" s="201" t="s">
        <v>4227</v>
      </c>
      <c r="C820" s="200" t="str">
        <f t="shared" si="1"/>
        <v>Paste &amp; Sauces_No Sales</v>
      </c>
      <c r="D820" s="18">
        <v>166.0</v>
      </c>
      <c r="E820" s="18">
        <v>129.0</v>
      </c>
      <c r="F820" s="5">
        <v>77.7</v>
      </c>
      <c r="G820" s="5">
        <v>1336.0</v>
      </c>
      <c r="H820" s="5">
        <v>403.0</v>
      </c>
      <c r="I820" s="5">
        <v>30.2</v>
      </c>
      <c r="J820" s="5"/>
    </row>
    <row r="821">
      <c r="A821" s="5" t="s">
        <v>1886</v>
      </c>
      <c r="B821" s="201" t="s">
        <v>4228</v>
      </c>
      <c r="C821" s="200" t="str">
        <f t="shared" si="1"/>
        <v>Pesticides_5-10</v>
      </c>
      <c r="D821" s="18">
        <v>88.0</v>
      </c>
      <c r="E821" s="18">
        <v>13.0</v>
      </c>
      <c r="F821" s="5">
        <v>14.8</v>
      </c>
      <c r="G821" s="5">
        <v>650.0</v>
      </c>
      <c r="H821" s="5">
        <v>122.0</v>
      </c>
      <c r="I821" s="5">
        <v>18.8</v>
      </c>
      <c r="J821" s="5"/>
    </row>
    <row r="822">
      <c r="A822" s="5" t="s">
        <v>1886</v>
      </c>
      <c r="B822" s="201" t="s">
        <v>4226</v>
      </c>
      <c r="C822" s="200" t="str">
        <f t="shared" si="1"/>
        <v>Pesticides_10-15</v>
      </c>
      <c r="D822" s="18">
        <v>196.0</v>
      </c>
      <c r="E822" s="18">
        <v>26.0</v>
      </c>
      <c r="F822" s="5">
        <v>13.3</v>
      </c>
      <c r="G822" s="5">
        <v>3029.0</v>
      </c>
      <c r="H822" s="5">
        <v>112.0</v>
      </c>
      <c r="I822" s="5">
        <v>3.7</v>
      </c>
      <c r="J822" s="5"/>
    </row>
    <row r="823">
      <c r="A823" s="5" t="s">
        <v>1886</v>
      </c>
      <c r="B823" s="201" t="s">
        <v>1413</v>
      </c>
      <c r="C823" s="200" t="str">
        <f t="shared" si="1"/>
        <v>Pesticides_15-20</v>
      </c>
      <c r="D823" s="18">
        <v>52.0</v>
      </c>
      <c r="E823" s="18">
        <v>17.0</v>
      </c>
      <c r="F823" s="5">
        <v>32.7</v>
      </c>
      <c r="G823" s="5">
        <v>198.0</v>
      </c>
      <c r="H823" s="5">
        <v>50.0</v>
      </c>
      <c r="I823" s="5">
        <v>25.3</v>
      </c>
      <c r="J823" s="5"/>
    </row>
    <row r="824">
      <c r="A824" s="5" t="s">
        <v>1886</v>
      </c>
      <c r="B824" s="201" t="s">
        <v>1398</v>
      </c>
      <c r="C824" s="200" t="str">
        <f t="shared" si="1"/>
        <v>Pesticides_20-25</v>
      </c>
      <c r="D824" s="18">
        <v>14.0</v>
      </c>
      <c r="E824" s="18">
        <v>5.0</v>
      </c>
      <c r="F824" s="5">
        <v>35.7</v>
      </c>
      <c r="G824" s="5">
        <v>43.0</v>
      </c>
      <c r="H824" s="5">
        <v>6.0</v>
      </c>
      <c r="I824" s="5">
        <v>14.0</v>
      </c>
      <c r="J824" s="5"/>
    </row>
    <row r="825">
      <c r="A825" s="5" t="s">
        <v>1886</v>
      </c>
      <c r="B825" s="201" t="s">
        <v>1400</v>
      </c>
      <c r="C825" s="200" t="str">
        <f t="shared" si="1"/>
        <v>Pesticides_25+</v>
      </c>
      <c r="D825" s="18">
        <v>122.0</v>
      </c>
      <c r="E825" s="18">
        <v>45.0</v>
      </c>
      <c r="F825" s="5">
        <v>36.9</v>
      </c>
      <c r="G825" s="5">
        <v>1072.0</v>
      </c>
      <c r="H825" s="5">
        <v>487.0</v>
      </c>
      <c r="I825" s="5">
        <v>45.4</v>
      </c>
      <c r="J825" s="5"/>
    </row>
    <row r="826">
      <c r="A826" s="5" t="s">
        <v>1886</v>
      </c>
      <c r="B826" s="201" t="s">
        <v>4227</v>
      </c>
      <c r="C826" s="200" t="str">
        <f t="shared" si="1"/>
        <v>Pesticides_No Sales</v>
      </c>
      <c r="D826" s="18">
        <v>39.0</v>
      </c>
      <c r="E826" s="18">
        <v>14.0</v>
      </c>
      <c r="F826" s="5">
        <v>35.9</v>
      </c>
      <c r="G826" s="5">
        <v>157.0</v>
      </c>
      <c r="H826" s="5">
        <v>118.0</v>
      </c>
      <c r="I826" s="5">
        <v>75.2</v>
      </c>
      <c r="J826" s="5"/>
    </row>
    <row r="827">
      <c r="A827" s="5" t="s">
        <v>2880</v>
      </c>
      <c r="B827" s="201" t="s">
        <v>4228</v>
      </c>
      <c r="C827" s="200" t="str">
        <f t="shared" si="1"/>
        <v>Pet Treats_5-10</v>
      </c>
      <c r="D827" s="18">
        <v>40.0</v>
      </c>
      <c r="E827" s="18">
        <v>4.0</v>
      </c>
      <c r="F827" s="5">
        <v>10.0</v>
      </c>
      <c r="G827" s="5">
        <v>718.0</v>
      </c>
      <c r="H827" s="5">
        <v>12.0</v>
      </c>
      <c r="I827" s="5">
        <v>1.7</v>
      </c>
      <c r="J827" s="5"/>
    </row>
    <row r="828">
      <c r="A828" s="5" t="s">
        <v>2880</v>
      </c>
      <c r="B828" s="201" t="s">
        <v>4226</v>
      </c>
      <c r="C828" s="200" t="str">
        <f t="shared" si="1"/>
        <v>Pet Treats_10-15</v>
      </c>
      <c r="D828" s="18">
        <v>265.0</v>
      </c>
      <c r="E828" s="18">
        <v>109.0</v>
      </c>
      <c r="F828" s="5">
        <v>41.1</v>
      </c>
      <c r="G828" s="5">
        <v>1576.0</v>
      </c>
      <c r="H828" s="5">
        <v>349.0</v>
      </c>
      <c r="I828" s="5">
        <v>22.1</v>
      </c>
      <c r="J828" s="5"/>
    </row>
    <row r="829">
      <c r="A829" s="5" t="s">
        <v>2880</v>
      </c>
      <c r="B829" s="201" t="s">
        <v>1413</v>
      </c>
      <c r="C829" s="200" t="str">
        <f t="shared" si="1"/>
        <v>Pet Treats_15-20</v>
      </c>
      <c r="D829" s="18">
        <v>89.0</v>
      </c>
      <c r="E829" s="18">
        <v>20.0</v>
      </c>
      <c r="F829" s="5">
        <v>22.5</v>
      </c>
      <c r="G829" s="5">
        <v>828.0</v>
      </c>
      <c r="H829" s="5">
        <v>60.0</v>
      </c>
      <c r="I829" s="5">
        <v>7.2</v>
      </c>
      <c r="J829" s="5"/>
    </row>
    <row r="830">
      <c r="A830" s="5" t="s">
        <v>2880</v>
      </c>
      <c r="B830" s="201" t="s">
        <v>1398</v>
      </c>
      <c r="C830" s="200" t="str">
        <f t="shared" si="1"/>
        <v>Pet Treats_20-25</v>
      </c>
      <c r="D830" s="18">
        <v>50.0</v>
      </c>
      <c r="E830" s="18">
        <v>18.0</v>
      </c>
      <c r="F830" s="5">
        <v>36.0</v>
      </c>
      <c r="G830" s="5">
        <v>250.0</v>
      </c>
      <c r="H830" s="5">
        <v>63.0</v>
      </c>
      <c r="I830" s="5">
        <v>25.2</v>
      </c>
      <c r="J830" s="5"/>
    </row>
    <row r="831">
      <c r="A831" s="5" t="s">
        <v>2880</v>
      </c>
      <c r="B831" s="201" t="s">
        <v>1400</v>
      </c>
      <c r="C831" s="200" t="str">
        <f t="shared" si="1"/>
        <v>Pet Treats_25+</v>
      </c>
      <c r="D831" s="18">
        <v>60.0</v>
      </c>
      <c r="E831" s="18">
        <v>27.0</v>
      </c>
      <c r="F831" s="5">
        <v>45.0</v>
      </c>
      <c r="G831" s="5">
        <v>255.0</v>
      </c>
      <c r="H831" s="5">
        <v>87.0</v>
      </c>
      <c r="I831" s="5">
        <v>34.1</v>
      </c>
      <c r="J831" s="5"/>
    </row>
    <row r="832">
      <c r="A832" s="5" t="s">
        <v>2880</v>
      </c>
      <c r="B832" s="201" t="s">
        <v>4227</v>
      </c>
      <c r="C832" s="200" t="str">
        <f t="shared" si="1"/>
        <v>Pet Treats_No Sales</v>
      </c>
      <c r="D832" s="18">
        <v>3.0</v>
      </c>
      <c r="E832" s="18">
        <v>2.0</v>
      </c>
      <c r="F832" s="5">
        <v>66.7</v>
      </c>
      <c r="G832" s="5">
        <v>59.0</v>
      </c>
      <c r="H832" s="5">
        <v>2.0</v>
      </c>
      <c r="I832" s="5">
        <v>3.4</v>
      </c>
      <c r="J832" s="5"/>
    </row>
    <row r="833">
      <c r="A833" s="5" t="s">
        <v>1780</v>
      </c>
      <c r="B833" s="201" t="s">
        <v>4228</v>
      </c>
      <c r="C833" s="200" t="str">
        <f t="shared" si="1"/>
        <v>Pickles &amp; Olives_5-10</v>
      </c>
      <c r="D833" s="18">
        <v>564.0</v>
      </c>
      <c r="E833" s="18">
        <v>188.0</v>
      </c>
      <c r="F833" s="5">
        <v>33.3</v>
      </c>
      <c r="G833" s="5">
        <v>4644.0</v>
      </c>
      <c r="H833" s="5">
        <v>740.0</v>
      </c>
      <c r="I833" s="5">
        <v>15.9</v>
      </c>
      <c r="J833" s="5"/>
    </row>
    <row r="834">
      <c r="A834" s="5" t="s">
        <v>1780</v>
      </c>
      <c r="B834" s="201" t="s">
        <v>4226</v>
      </c>
      <c r="C834" s="200" t="str">
        <f t="shared" si="1"/>
        <v>Pickles &amp; Olives_10-15</v>
      </c>
      <c r="D834" s="18">
        <v>336.0</v>
      </c>
      <c r="E834" s="18">
        <v>79.0</v>
      </c>
      <c r="F834" s="5">
        <v>23.5</v>
      </c>
      <c r="G834" s="5">
        <v>2799.0</v>
      </c>
      <c r="H834" s="5">
        <v>216.0</v>
      </c>
      <c r="I834" s="5">
        <v>7.7</v>
      </c>
      <c r="J834" s="5"/>
    </row>
    <row r="835">
      <c r="A835" s="5" t="s">
        <v>1780</v>
      </c>
      <c r="B835" s="201" t="s">
        <v>1413</v>
      </c>
      <c r="C835" s="200" t="str">
        <f t="shared" si="1"/>
        <v>Pickles &amp; Olives_15-20</v>
      </c>
      <c r="D835" s="18">
        <v>322.0</v>
      </c>
      <c r="E835" s="18">
        <v>76.0</v>
      </c>
      <c r="F835" s="5">
        <v>23.6</v>
      </c>
      <c r="G835" s="5">
        <v>2389.0</v>
      </c>
      <c r="H835" s="5">
        <v>205.0</v>
      </c>
      <c r="I835" s="5">
        <v>8.6</v>
      </c>
      <c r="J835" s="5"/>
    </row>
    <row r="836">
      <c r="A836" s="5" t="s">
        <v>1780</v>
      </c>
      <c r="B836" s="201" t="s">
        <v>1398</v>
      </c>
      <c r="C836" s="200" t="str">
        <f t="shared" si="1"/>
        <v>Pickles &amp; Olives_20-25</v>
      </c>
      <c r="D836" s="18">
        <v>66.0</v>
      </c>
      <c r="E836" s="18">
        <v>39.0</v>
      </c>
      <c r="F836" s="5">
        <v>59.1</v>
      </c>
      <c r="G836" s="5">
        <v>151.0</v>
      </c>
      <c r="H836" s="5">
        <v>99.0</v>
      </c>
      <c r="I836" s="5">
        <v>65.6</v>
      </c>
      <c r="J836" s="5"/>
    </row>
    <row r="837">
      <c r="A837" s="5" t="s">
        <v>1780</v>
      </c>
      <c r="B837" s="201" t="s">
        <v>1400</v>
      </c>
      <c r="C837" s="200" t="str">
        <f t="shared" si="1"/>
        <v>Pickles &amp; Olives_25+</v>
      </c>
      <c r="D837" s="18">
        <v>241.0</v>
      </c>
      <c r="E837" s="18">
        <v>126.0</v>
      </c>
      <c r="F837" s="5">
        <v>52.3</v>
      </c>
      <c r="G837" s="5">
        <v>890.0</v>
      </c>
      <c r="H837" s="5">
        <v>332.0</v>
      </c>
      <c r="I837" s="5">
        <v>37.3</v>
      </c>
      <c r="J837" s="5"/>
    </row>
    <row r="838">
      <c r="A838" s="5" t="s">
        <v>1780</v>
      </c>
      <c r="B838" s="201" t="s">
        <v>4227</v>
      </c>
      <c r="C838" s="200" t="str">
        <f t="shared" si="1"/>
        <v>Pickles &amp; Olives_No Sales</v>
      </c>
      <c r="D838" s="18">
        <v>15.0</v>
      </c>
      <c r="E838" s="18">
        <v>14.0</v>
      </c>
      <c r="F838" s="5">
        <v>93.3</v>
      </c>
      <c r="G838" s="5">
        <v>66.0</v>
      </c>
      <c r="H838" s="5">
        <v>65.0</v>
      </c>
      <c r="I838" s="5">
        <v>98.5</v>
      </c>
      <c r="J838" s="5"/>
    </row>
    <row r="839">
      <c r="A839" s="5" t="s">
        <v>2696</v>
      </c>
      <c r="B839" s="201" t="s">
        <v>1426</v>
      </c>
      <c r="C839" s="200" t="str">
        <f t="shared" si="1"/>
        <v>Plain Yoghurt_0-5</v>
      </c>
      <c r="D839" s="18">
        <v>165.0</v>
      </c>
      <c r="E839" s="18">
        <v>0.0</v>
      </c>
      <c r="F839" s="5">
        <v>0.0</v>
      </c>
      <c r="G839" s="5">
        <v>5384.0</v>
      </c>
      <c r="H839" s="5">
        <v>0.0</v>
      </c>
      <c r="I839" s="5">
        <v>0.0</v>
      </c>
      <c r="J839" s="5"/>
    </row>
    <row r="840">
      <c r="A840" s="5" t="s">
        <v>2696</v>
      </c>
      <c r="B840" s="201" t="s">
        <v>4228</v>
      </c>
      <c r="C840" s="200" t="str">
        <f t="shared" si="1"/>
        <v>Plain Yoghurt_5-10</v>
      </c>
      <c r="D840" s="18">
        <v>303.0</v>
      </c>
      <c r="E840" s="18">
        <v>7.0</v>
      </c>
      <c r="F840" s="5">
        <v>2.3</v>
      </c>
      <c r="G840" s="5">
        <v>16208.0</v>
      </c>
      <c r="H840" s="5">
        <v>36.0</v>
      </c>
      <c r="I840" s="5">
        <v>0.2</v>
      </c>
      <c r="J840" s="5"/>
    </row>
    <row r="841">
      <c r="A841" s="5" t="s">
        <v>2696</v>
      </c>
      <c r="B841" s="201" t="s">
        <v>4226</v>
      </c>
      <c r="C841" s="200" t="str">
        <f t="shared" si="1"/>
        <v>Plain Yoghurt_10-15</v>
      </c>
      <c r="D841" s="18">
        <v>237.0</v>
      </c>
      <c r="E841" s="18">
        <v>9.0</v>
      </c>
      <c r="F841" s="5">
        <v>3.8</v>
      </c>
      <c r="G841" s="5">
        <v>15167.0</v>
      </c>
      <c r="H841" s="5">
        <v>39.0</v>
      </c>
      <c r="I841" s="5">
        <v>0.3</v>
      </c>
      <c r="J841" s="5"/>
    </row>
    <row r="842">
      <c r="A842" s="5" t="s">
        <v>2696</v>
      </c>
      <c r="B842" s="201" t="s">
        <v>1398</v>
      </c>
      <c r="C842" s="200" t="str">
        <f t="shared" si="1"/>
        <v>Plain Yoghurt_20-25</v>
      </c>
      <c r="D842" s="18">
        <v>7.0</v>
      </c>
      <c r="E842" s="18">
        <v>7.0</v>
      </c>
      <c r="F842" s="5">
        <v>100.0</v>
      </c>
      <c r="G842" s="5">
        <v>15.0</v>
      </c>
      <c r="H842" s="5">
        <v>15.0</v>
      </c>
      <c r="I842" s="5">
        <v>100.0</v>
      </c>
      <c r="J842" s="5"/>
    </row>
    <row r="843">
      <c r="A843" s="5" t="s">
        <v>2696</v>
      </c>
      <c r="B843" s="201" t="s">
        <v>1400</v>
      </c>
      <c r="C843" s="200" t="str">
        <f t="shared" si="1"/>
        <v>Plain Yoghurt_25+</v>
      </c>
      <c r="D843" s="18">
        <v>68.0</v>
      </c>
      <c r="E843" s="18">
        <v>5.0</v>
      </c>
      <c r="F843" s="5">
        <v>7.4</v>
      </c>
      <c r="G843" s="5">
        <v>1425.0</v>
      </c>
      <c r="H843" s="5">
        <v>7.0</v>
      </c>
      <c r="I843" s="5">
        <v>0.5</v>
      </c>
      <c r="J843" s="5"/>
    </row>
    <row r="844">
      <c r="A844" s="5" t="s">
        <v>2696</v>
      </c>
      <c r="B844" s="201" t="s">
        <v>4227</v>
      </c>
      <c r="C844" s="200" t="str">
        <f t="shared" si="1"/>
        <v>Plain Yoghurt_No Sales</v>
      </c>
      <c r="D844" s="18">
        <v>2.0</v>
      </c>
      <c r="E844" s="18">
        <v>0.0</v>
      </c>
      <c r="F844" s="5">
        <v>0.0</v>
      </c>
      <c r="G844" s="5">
        <v>90.0</v>
      </c>
      <c r="H844" s="5">
        <v>0.0</v>
      </c>
      <c r="I844" s="5">
        <v>0.0</v>
      </c>
      <c r="J844" s="5"/>
    </row>
    <row r="845">
      <c r="A845" s="5" t="s">
        <v>905</v>
      </c>
      <c r="B845" s="201" t="s">
        <v>4226</v>
      </c>
      <c r="C845" s="200" t="str">
        <f t="shared" si="1"/>
        <v>Pods &amp; Capsules_10-15</v>
      </c>
      <c r="D845" s="18">
        <v>196.0</v>
      </c>
      <c r="E845" s="18">
        <v>33.0</v>
      </c>
      <c r="F845" s="5">
        <v>16.8</v>
      </c>
      <c r="G845" s="5">
        <v>3335.0</v>
      </c>
      <c r="H845" s="5">
        <v>84.0</v>
      </c>
      <c r="I845" s="5">
        <v>2.5</v>
      </c>
      <c r="J845" s="5"/>
    </row>
    <row r="846">
      <c r="A846" s="5" t="s">
        <v>905</v>
      </c>
      <c r="B846" s="201" t="s">
        <v>1413</v>
      </c>
      <c r="C846" s="200" t="str">
        <f t="shared" si="1"/>
        <v>Pods &amp; Capsules_15-20</v>
      </c>
      <c r="D846" s="18">
        <v>261.0</v>
      </c>
      <c r="E846" s="18">
        <v>94.0</v>
      </c>
      <c r="F846" s="5">
        <v>36.0</v>
      </c>
      <c r="G846" s="5">
        <v>2691.0</v>
      </c>
      <c r="H846" s="5">
        <v>281.0</v>
      </c>
      <c r="I846" s="5">
        <v>10.4</v>
      </c>
      <c r="J846" s="5"/>
    </row>
    <row r="847">
      <c r="A847" s="5" t="s">
        <v>905</v>
      </c>
      <c r="B847" s="201" t="s">
        <v>1398</v>
      </c>
      <c r="C847" s="200" t="str">
        <f t="shared" si="1"/>
        <v>Pods &amp; Capsules_20-25</v>
      </c>
      <c r="D847" s="18">
        <v>722.0</v>
      </c>
      <c r="E847" s="18">
        <v>196.0</v>
      </c>
      <c r="F847" s="5">
        <v>27.1</v>
      </c>
      <c r="G847" s="5">
        <v>7798.0</v>
      </c>
      <c r="H847" s="5">
        <v>614.0</v>
      </c>
      <c r="I847" s="5">
        <v>7.9</v>
      </c>
      <c r="J847" s="5"/>
    </row>
    <row r="848">
      <c r="A848" s="5" t="s">
        <v>905</v>
      </c>
      <c r="B848" s="201" t="s">
        <v>1400</v>
      </c>
      <c r="C848" s="200" t="str">
        <f t="shared" si="1"/>
        <v>Pods &amp; Capsules_25+</v>
      </c>
      <c r="D848" s="18">
        <v>1695.0</v>
      </c>
      <c r="E848" s="18">
        <v>618.0</v>
      </c>
      <c r="F848" s="5">
        <v>36.5</v>
      </c>
      <c r="G848" s="5">
        <v>10283.0</v>
      </c>
      <c r="H848" s="5">
        <v>2021.0</v>
      </c>
      <c r="I848" s="5">
        <v>19.7</v>
      </c>
      <c r="J848" s="5"/>
    </row>
    <row r="849">
      <c r="A849" s="5" t="s">
        <v>905</v>
      </c>
      <c r="B849" s="201" t="s">
        <v>4227</v>
      </c>
      <c r="C849" s="200" t="str">
        <f t="shared" si="1"/>
        <v>Pods &amp; Capsules_No Sales</v>
      </c>
      <c r="D849" s="18">
        <v>75.0</v>
      </c>
      <c r="E849" s="18">
        <v>62.0</v>
      </c>
      <c r="F849" s="5">
        <v>82.7</v>
      </c>
      <c r="G849" s="5">
        <v>251.0</v>
      </c>
      <c r="H849" s="5">
        <v>207.0</v>
      </c>
      <c r="I849" s="5">
        <v>82.5</v>
      </c>
      <c r="J849" s="5"/>
    </row>
    <row r="850">
      <c r="A850" s="5" t="s">
        <v>3017</v>
      </c>
      <c r="B850" s="201" t="s">
        <v>1426</v>
      </c>
      <c r="C850" s="200" t="str">
        <f t="shared" si="1"/>
        <v>Popcorn_0-5</v>
      </c>
      <c r="D850" s="18">
        <v>227.0</v>
      </c>
      <c r="E850" s="18">
        <v>15.0</v>
      </c>
      <c r="F850" s="5">
        <v>6.6</v>
      </c>
      <c r="G850" s="5">
        <v>8147.0</v>
      </c>
      <c r="H850" s="5">
        <v>265.0</v>
      </c>
      <c r="I850" s="5">
        <v>3.3</v>
      </c>
      <c r="J850" s="5"/>
    </row>
    <row r="851">
      <c r="A851" s="5" t="s">
        <v>3017</v>
      </c>
      <c r="B851" s="201" t="s">
        <v>4228</v>
      </c>
      <c r="C851" s="200" t="str">
        <f t="shared" si="1"/>
        <v>Popcorn_5-10</v>
      </c>
      <c r="D851" s="18">
        <v>15.0</v>
      </c>
      <c r="E851" s="18">
        <v>1.0</v>
      </c>
      <c r="F851" s="5">
        <v>6.7</v>
      </c>
      <c r="G851" s="5">
        <v>25.0</v>
      </c>
      <c r="H851" s="5">
        <v>2.0</v>
      </c>
      <c r="I851" s="5">
        <v>8.0</v>
      </c>
      <c r="J851" s="5"/>
    </row>
    <row r="852">
      <c r="A852" s="5" t="s">
        <v>3017</v>
      </c>
      <c r="B852" s="201" t="s">
        <v>4226</v>
      </c>
      <c r="C852" s="200" t="str">
        <f t="shared" si="1"/>
        <v>Popcorn_10-15</v>
      </c>
      <c r="D852" s="18">
        <v>47.0</v>
      </c>
      <c r="E852" s="18">
        <v>8.0</v>
      </c>
      <c r="F852" s="5">
        <v>17.0</v>
      </c>
      <c r="G852" s="5">
        <v>716.0</v>
      </c>
      <c r="H852" s="5">
        <v>18.0</v>
      </c>
      <c r="I852" s="5">
        <v>2.5</v>
      </c>
      <c r="J852" s="5"/>
    </row>
    <row r="853">
      <c r="A853" s="5" t="s">
        <v>3017</v>
      </c>
      <c r="B853" s="201" t="s">
        <v>1413</v>
      </c>
      <c r="C853" s="200" t="str">
        <f t="shared" si="1"/>
        <v>Popcorn_15-20</v>
      </c>
      <c r="D853" s="18">
        <v>176.0</v>
      </c>
      <c r="E853" s="18">
        <v>11.0</v>
      </c>
      <c r="F853" s="5">
        <v>6.3</v>
      </c>
      <c r="G853" s="5">
        <v>3096.0</v>
      </c>
      <c r="H853" s="5">
        <v>33.0</v>
      </c>
      <c r="I853" s="5">
        <v>1.1</v>
      </c>
      <c r="J853" s="5"/>
    </row>
    <row r="854">
      <c r="A854" s="5" t="s">
        <v>3017</v>
      </c>
      <c r="B854" s="201" t="s">
        <v>1398</v>
      </c>
      <c r="C854" s="200" t="str">
        <f t="shared" si="1"/>
        <v>Popcorn_20-25</v>
      </c>
      <c r="D854" s="18">
        <v>12.0</v>
      </c>
      <c r="E854" s="18">
        <v>4.0</v>
      </c>
      <c r="F854" s="5">
        <v>33.3</v>
      </c>
      <c r="G854" s="5">
        <v>18.0</v>
      </c>
      <c r="H854" s="5">
        <v>8.0</v>
      </c>
      <c r="I854" s="5">
        <v>44.4</v>
      </c>
      <c r="J854" s="5"/>
    </row>
    <row r="855">
      <c r="A855" s="5" t="s">
        <v>3017</v>
      </c>
      <c r="B855" s="201" t="s">
        <v>4227</v>
      </c>
      <c r="C855" s="200" t="str">
        <f t="shared" si="1"/>
        <v>Popcorn_No Sales</v>
      </c>
      <c r="D855" s="18">
        <v>1.0</v>
      </c>
      <c r="E855" s="18">
        <v>1.0</v>
      </c>
      <c r="F855" s="5">
        <v>100.0</v>
      </c>
      <c r="G855" s="5">
        <v>26.0</v>
      </c>
      <c r="H855" s="5">
        <v>26.0</v>
      </c>
      <c r="I855" s="5">
        <v>100.0</v>
      </c>
      <c r="J855" s="5"/>
    </row>
    <row r="856">
      <c r="A856" s="5" t="s">
        <v>2703</v>
      </c>
      <c r="B856" s="201" t="s">
        <v>1426</v>
      </c>
      <c r="C856" s="200" t="str">
        <f t="shared" si="1"/>
        <v>Powdered &amp; Evaporated MIlk_0-5</v>
      </c>
      <c r="D856" s="18">
        <v>78.0</v>
      </c>
      <c r="E856" s="18">
        <v>1.0</v>
      </c>
      <c r="F856" s="5">
        <v>1.3</v>
      </c>
      <c r="G856" s="5">
        <v>3034.0</v>
      </c>
      <c r="H856" s="5">
        <v>3.0</v>
      </c>
      <c r="I856" s="5">
        <v>0.1</v>
      </c>
      <c r="J856" s="5"/>
    </row>
    <row r="857">
      <c r="A857" s="5" t="s">
        <v>2703</v>
      </c>
      <c r="B857" s="201" t="s">
        <v>4228</v>
      </c>
      <c r="C857" s="200" t="str">
        <f t="shared" si="1"/>
        <v>Powdered &amp; Evaporated MIlk_5-10</v>
      </c>
      <c r="D857" s="18">
        <v>137.0</v>
      </c>
      <c r="E857" s="18">
        <v>4.0</v>
      </c>
      <c r="F857" s="5">
        <v>2.9</v>
      </c>
      <c r="G857" s="5">
        <v>3499.0</v>
      </c>
      <c r="H857" s="5">
        <v>12.0</v>
      </c>
      <c r="I857" s="5">
        <v>0.3</v>
      </c>
      <c r="J857" s="5"/>
    </row>
    <row r="858">
      <c r="A858" s="5" t="s">
        <v>2703</v>
      </c>
      <c r="B858" s="201" t="s">
        <v>4226</v>
      </c>
      <c r="C858" s="200" t="str">
        <f t="shared" si="1"/>
        <v>Powdered &amp; Evaporated MIlk_10-15</v>
      </c>
      <c r="D858" s="18">
        <v>42.0</v>
      </c>
      <c r="E858" s="18">
        <v>21.0</v>
      </c>
      <c r="F858" s="5">
        <v>50.0</v>
      </c>
      <c r="G858" s="5">
        <v>256.0</v>
      </c>
      <c r="H858" s="5">
        <v>78.0</v>
      </c>
      <c r="I858" s="5">
        <v>30.5</v>
      </c>
      <c r="J858" s="5"/>
    </row>
    <row r="859">
      <c r="A859" s="5" t="s">
        <v>2703</v>
      </c>
      <c r="B859" s="201" t="s">
        <v>1413</v>
      </c>
      <c r="C859" s="200" t="str">
        <f t="shared" si="1"/>
        <v>Powdered &amp; Evaporated MIlk_15-20</v>
      </c>
      <c r="D859" s="18">
        <v>33.0</v>
      </c>
      <c r="E859" s="18">
        <v>2.0</v>
      </c>
      <c r="F859" s="5">
        <v>6.1</v>
      </c>
      <c r="G859" s="5">
        <v>441.0</v>
      </c>
      <c r="H859" s="5">
        <v>4.0</v>
      </c>
      <c r="I859" s="5">
        <v>0.9</v>
      </c>
      <c r="J859" s="5"/>
    </row>
    <row r="860">
      <c r="A860" s="5" t="s">
        <v>2703</v>
      </c>
      <c r="B860" s="201" t="s">
        <v>1398</v>
      </c>
      <c r="C860" s="200" t="str">
        <f t="shared" si="1"/>
        <v>Powdered &amp; Evaporated MIlk_20-25</v>
      </c>
      <c r="D860" s="18">
        <v>65.0</v>
      </c>
      <c r="E860" s="18">
        <v>10.0</v>
      </c>
      <c r="F860" s="5">
        <v>15.4</v>
      </c>
      <c r="G860" s="5">
        <v>534.0</v>
      </c>
      <c r="H860" s="5">
        <v>34.0</v>
      </c>
      <c r="I860" s="5">
        <v>6.4</v>
      </c>
      <c r="J860" s="5"/>
    </row>
    <row r="861">
      <c r="A861" s="5" t="s">
        <v>2703</v>
      </c>
      <c r="B861" s="201" t="s">
        <v>1400</v>
      </c>
      <c r="C861" s="200" t="str">
        <f t="shared" si="1"/>
        <v>Powdered &amp; Evaporated MIlk_25+</v>
      </c>
      <c r="D861" s="18">
        <v>71.0</v>
      </c>
      <c r="E861" s="18">
        <v>30.0</v>
      </c>
      <c r="F861" s="5">
        <v>42.3</v>
      </c>
      <c r="G861" s="5">
        <v>558.0</v>
      </c>
      <c r="H861" s="5">
        <v>93.0</v>
      </c>
      <c r="I861" s="5">
        <v>16.7</v>
      </c>
      <c r="J861" s="5"/>
    </row>
    <row r="862">
      <c r="A862" s="5" t="s">
        <v>2703</v>
      </c>
      <c r="B862" s="201" t="s">
        <v>4227</v>
      </c>
      <c r="C862" s="200" t="str">
        <f t="shared" si="1"/>
        <v>Powdered &amp; Evaporated MIlk_No Sales</v>
      </c>
      <c r="D862" s="18">
        <v>13.0</v>
      </c>
      <c r="E862" s="18">
        <v>12.0</v>
      </c>
      <c r="F862" s="5">
        <v>92.3</v>
      </c>
      <c r="G862" s="5">
        <v>18.0</v>
      </c>
      <c r="H862" s="5">
        <v>17.0</v>
      </c>
      <c r="I862" s="5">
        <v>94.4</v>
      </c>
      <c r="J862" s="5"/>
    </row>
    <row r="863">
      <c r="A863" s="5" t="s">
        <v>1946</v>
      </c>
      <c r="B863" s="201" t="s">
        <v>4226</v>
      </c>
      <c r="C863" s="200" t="str">
        <f t="shared" si="1"/>
        <v>Powdered Drinks_10-15</v>
      </c>
      <c r="D863" s="18">
        <v>51.0</v>
      </c>
      <c r="E863" s="18">
        <v>2.0</v>
      </c>
      <c r="F863" s="5">
        <v>3.9</v>
      </c>
      <c r="G863" s="5">
        <v>428.0</v>
      </c>
      <c r="H863" s="5">
        <v>7.0</v>
      </c>
      <c r="I863" s="5">
        <v>1.6</v>
      </c>
      <c r="J863" s="5"/>
    </row>
    <row r="864">
      <c r="A864" s="5" t="s">
        <v>1946</v>
      </c>
      <c r="B864" s="201" t="s">
        <v>1413</v>
      </c>
      <c r="C864" s="200" t="str">
        <f t="shared" si="1"/>
        <v>Powdered Drinks_15-20</v>
      </c>
      <c r="D864" s="18">
        <v>32.0</v>
      </c>
      <c r="E864" s="18">
        <v>10.0</v>
      </c>
      <c r="F864" s="5">
        <v>31.3</v>
      </c>
      <c r="G864" s="5">
        <v>220.0</v>
      </c>
      <c r="H864" s="5">
        <v>41.0</v>
      </c>
      <c r="I864" s="5">
        <v>18.6</v>
      </c>
      <c r="J864" s="5"/>
    </row>
    <row r="865">
      <c r="A865" s="5" t="s">
        <v>1946</v>
      </c>
      <c r="B865" s="201" t="s">
        <v>1398</v>
      </c>
      <c r="C865" s="200" t="str">
        <f t="shared" si="1"/>
        <v>Powdered Drinks_20-25</v>
      </c>
      <c r="D865" s="18">
        <v>33.0</v>
      </c>
      <c r="E865" s="18">
        <v>1.0</v>
      </c>
      <c r="F865" s="5">
        <v>3.0</v>
      </c>
      <c r="G865" s="5">
        <v>236.0</v>
      </c>
      <c r="H865" s="5">
        <v>1.0</v>
      </c>
      <c r="I865" s="5">
        <v>0.4</v>
      </c>
      <c r="J865" s="5"/>
    </row>
    <row r="866">
      <c r="A866" s="5" t="s">
        <v>1946</v>
      </c>
      <c r="B866" s="201" t="s">
        <v>1400</v>
      </c>
      <c r="C866" s="200" t="str">
        <f t="shared" si="1"/>
        <v>Powdered Drinks_25+</v>
      </c>
      <c r="D866" s="18">
        <v>65.0</v>
      </c>
      <c r="E866" s="18">
        <v>30.0</v>
      </c>
      <c r="F866" s="5">
        <v>46.2</v>
      </c>
      <c r="G866" s="5">
        <v>159.0</v>
      </c>
      <c r="H866" s="5">
        <v>85.0</v>
      </c>
      <c r="I866" s="5">
        <v>53.5</v>
      </c>
      <c r="J866" s="5"/>
    </row>
    <row r="867">
      <c r="A867" s="5" t="s">
        <v>1946</v>
      </c>
      <c r="B867" s="201" t="s">
        <v>4227</v>
      </c>
      <c r="C867" s="200" t="str">
        <f t="shared" si="1"/>
        <v>Powdered Drinks_No Sales</v>
      </c>
      <c r="D867" s="18">
        <v>2.0</v>
      </c>
      <c r="E867" s="18">
        <v>1.0</v>
      </c>
      <c r="F867" s="5">
        <v>50.0</v>
      </c>
      <c r="G867" s="5">
        <v>12.0</v>
      </c>
      <c r="H867" s="5">
        <v>9.0</v>
      </c>
      <c r="I867" s="5">
        <v>75.0</v>
      </c>
      <c r="J867" s="5"/>
    </row>
    <row r="868">
      <c r="A868" s="5" t="s">
        <v>2733</v>
      </c>
      <c r="B868" s="201" t="s">
        <v>1400</v>
      </c>
      <c r="C868" s="200" t="str">
        <f t="shared" si="1"/>
        <v>Power Banks_25+</v>
      </c>
      <c r="D868" s="18">
        <v>7.0</v>
      </c>
      <c r="E868" s="18">
        <v>6.0</v>
      </c>
      <c r="F868" s="5">
        <v>85.7</v>
      </c>
      <c r="G868" s="5">
        <v>17.0</v>
      </c>
      <c r="H868" s="5">
        <v>16.0</v>
      </c>
      <c r="I868" s="5">
        <v>94.1</v>
      </c>
      <c r="J868" s="5"/>
    </row>
    <row r="869">
      <c r="A869" s="5" t="s">
        <v>2733</v>
      </c>
      <c r="B869" s="201" t="s">
        <v>4227</v>
      </c>
      <c r="C869" s="200" t="str">
        <f t="shared" si="1"/>
        <v>Power Banks_No Sales</v>
      </c>
      <c r="D869" s="18">
        <v>4.0</v>
      </c>
      <c r="E869" s="18">
        <v>4.0</v>
      </c>
      <c r="F869" s="5">
        <v>100.0</v>
      </c>
      <c r="G869" s="5">
        <v>7.0</v>
      </c>
      <c r="H869" s="5">
        <v>7.0</v>
      </c>
      <c r="I869" s="5">
        <v>100.0</v>
      </c>
      <c r="J869" s="5"/>
    </row>
    <row r="870">
      <c r="A870" s="5" t="s">
        <v>1525</v>
      </c>
      <c r="B870" s="201" t="s">
        <v>4227</v>
      </c>
      <c r="C870" s="200" t="str">
        <f t="shared" si="1"/>
        <v>Puff Pastry, Dough &amp; Pizza Bases_No Sales</v>
      </c>
      <c r="D870" s="18">
        <v>1.0</v>
      </c>
      <c r="E870" s="18">
        <v>1.0</v>
      </c>
      <c r="F870" s="5">
        <v>100.0</v>
      </c>
      <c r="G870" s="5">
        <v>4.0</v>
      </c>
      <c r="H870" s="5">
        <v>4.0</v>
      </c>
      <c r="I870" s="5">
        <v>100.0</v>
      </c>
      <c r="J870" s="5"/>
    </row>
    <row r="871">
      <c r="A871" s="5" t="s">
        <v>1096</v>
      </c>
      <c r="B871" s="201" t="s">
        <v>1426</v>
      </c>
      <c r="C871" s="200" t="str">
        <f t="shared" si="1"/>
        <v>Puffed Chips_0-5</v>
      </c>
      <c r="D871" s="18">
        <v>98.0</v>
      </c>
      <c r="E871" s="18">
        <v>8.0</v>
      </c>
      <c r="F871" s="5">
        <v>8.2</v>
      </c>
      <c r="G871" s="5">
        <v>2265.0</v>
      </c>
      <c r="H871" s="5">
        <v>18.0</v>
      </c>
      <c r="I871" s="5">
        <v>0.8</v>
      </c>
      <c r="J871" s="5"/>
    </row>
    <row r="872">
      <c r="A872" s="5" t="s">
        <v>1096</v>
      </c>
      <c r="B872" s="201" t="s">
        <v>4228</v>
      </c>
      <c r="C872" s="200" t="str">
        <f t="shared" si="1"/>
        <v>Puffed Chips_5-10</v>
      </c>
      <c r="D872" s="18">
        <v>389.0</v>
      </c>
      <c r="E872" s="18">
        <v>52.0</v>
      </c>
      <c r="F872" s="5">
        <v>13.4</v>
      </c>
      <c r="G872" s="5">
        <v>6274.0</v>
      </c>
      <c r="H872" s="5">
        <v>204.0</v>
      </c>
      <c r="I872" s="5">
        <v>3.3</v>
      </c>
      <c r="J872" s="5"/>
    </row>
    <row r="873">
      <c r="A873" s="5" t="s">
        <v>1096</v>
      </c>
      <c r="B873" s="201" t="s">
        <v>4226</v>
      </c>
      <c r="C873" s="200" t="str">
        <f t="shared" si="1"/>
        <v>Puffed Chips_10-15</v>
      </c>
      <c r="D873" s="18">
        <v>34.0</v>
      </c>
      <c r="E873" s="18">
        <v>3.0</v>
      </c>
      <c r="F873" s="5">
        <v>8.8</v>
      </c>
      <c r="G873" s="5">
        <v>1409.0</v>
      </c>
      <c r="H873" s="5">
        <v>9.0</v>
      </c>
      <c r="I873" s="5">
        <v>0.6</v>
      </c>
      <c r="J873" s="5"/>
    </row>
    <row r="874">
      <c r="A874" s="5" t="s">
        <v>2958</v>
      </c>
      <c r="B874" s="201" t="s">
        <v>1426</v>
      </c>
      <c r="C874" s="200" t="str">
        <f t="shared" si="1"/>
        <v>Pulses, Grains &amp; Seeds_0-5</v>
      </c>
      <c r="D874" s="18">
        <v>822.0</v>
      </c>
      <c r="E874" s="18">
        <v>82.0</v>
      </c>
      <c r="F874" s="5">
        <v>10.0</v>
      </c>
      <c r="G874" s="5">
        <v>15402.0</v>
      </c>
      <c r="H874" s="5">
        <v>294.0</v>
      </c>
      <c r="I874" s="5">
        <v>1.9</v>
      </c>
      <c r="J874" s="5"/>
    </row>
    <row r="875">
      <c r="A875" s="5" t="s">
        <v>2958</v>
      </c>
      <c r="B875" s="201" t="s">
        <v>4228</v>
      </c>
      <c r="C875" s="200" t="str">
        <f t="shared" si="1"/>
        <v>Pulses, Grains &amp; Seeds_5-10</v>
      </c>
      <c r="D875" s="18">
        <v>1846.0</v>
      </c>
      <c r="E875" s="18">
        <v>349.0</v>
      </c>
      <c r="F875" s="5">
        <v>18.9</v>
      </c>
      <c r="G875" s="5">
        <v>22052.0</v>
      </c>
      <c r="H875" s="5">
        <v>1322.0</v>
      </c>
      <c r="I875" s="5">
        <v>6.0</v>
      </c>
      <c r="J875" s="5"/>
    </row>
    <row r="876">
      <c r="A876" s="5" t="s">
        <v>2958</v>
      </c>
      <c r="B876" s="201" t="s">
        <v>4226</v>
      </c>
      <c r="C876" s="200" t="str">
        <f t="shared" si="1"/>
        <v>Pulses, Grains &amp; Seeds_10-15</v>
      </c>
      <c r="D876" s="18">
        <v>725.0</v>
      </c>
      <c r="E876" s="18">
        <v>248.0</v>
      </c>
      <c r="F876" s="5">
        <v>34.2</v>
      </c>
      <c r="G876" s="5">
        <v>8192.0</v>
      </c>
      <c r="H876" s="5">
        <v>899.0</v>
      </c>
      <c r="I876" s="5">
        <v>11.0</v>
      </c>
      <c r="J876" s="5"/>
    </row>
    <row r="877">
      <c r="A877" s="5" t="s">
        <v>2958</v>
      </c>
      <c r="B877" s="201" t="s">
        <v>1413</v>
      </c>
      <c r="C877" s="200" t="str">
        <f t="shared" si="1"/>
        <v>Pulses, Grains &amp; Seeds_15-20</v>
      </c>
      <c r="D877" s="18">
        <v>474.0</v>
      </c>
      <c r="E877" s="18">
        <v>148.0</v>
      </c>
      <c r="F877" s="5">
        <v>31.2</v>
      </c>
      <c r="G877" s="5">
        <v>4801.0</v>
      </c>
      <c r="H877" s="5">
        <v>596.0</v>
      </c>
      <c r="I877" s="5">
        <v>12.4</v>
      </c>
      <c r="J877" s="5"/>
    </row>
    <row r="878">
      <c r="A878" s="5" t="s">
        <v>2958</v>
      </c>
      <c r="B878" s="201" t="s">
        <v>1398</v>
      </c>
      <c r="C878" s="200" t="str">
        <f t="shared" si="1"/>
        <v>Pulses, Grains &amp; Seeds_20-25</v>
      </c>
      <c r="D878" s="18">
        <v>282.0</v>
      </c>
      <c r="E878" s="18">
        <v>49.0</v>
      </c>
      <c r="F878" s="5">
        <v>17.4</v>
      </c>
      <c r="G878" s="5">
        <v>4185.0</v>
      </c>
      <c r="H878" s="5">
        <v>146.0</v>
      </c>
      <c r="I878" s="5">
        <v>3.5</v>
      </c>
      <c r="J878" s="5"/>
    </row>
    <row r="879">
      <c r="A879" s="5" t="s">
        <v>2958</v>
      </c>
      <c r="B879" s="201" t="s">
        <v>1400</v>
      </c>
      <c r="C879" s="200" t="str">
        <f t="shared" si="1"/>
        <v>Pulses, Grains &amp; Seeds_25+</v>
      </c>
      <c r="D879" s="18">
        <v>306.0</v>
      </c>
      <c r="E879" s="18">
        <v>128.0</v>
      </c>
      <c r="F879" s="5">
        <v>41.8</v>
      </c>
      <c r="G879" s="5">
        <v>2101.0</v>
      </c>
      <c r="H879" s="5">
        <v>414.0</v>
      </c>
      <c r="I879" s="5">
        <v>19.7</v>
      </c>
      <c r="J879" s="5"/>
    </row>
    <row r="880">
      <c r="A880" s="5" t="s">
        <v>2958</v>
      </c>
      <c r="B880" s="201" t="s">
        <v>4227</v>
      </c>
      <c r="C880" s="200" t="str">
        <f t="shared" si="1"/>
        <v>Pulses, Grains &amp; Seeds_No Sales</v>
      </c>
      <c r="D880" s="18">
        <v>93.0</v>
      </c>
      <c r="E880" s="18">
        <v>90.0</v>
      </c>
      <c r="F880" s="5">
        <v>96.8</v>
      </c>
      <c r="G880" s="5">
        <v>298.0</v>
      </c>
      <c r="H880" s="5">
        <v>293.0</v>
      </c>
      <c r="I880" s="5">
        <v>98.3</v>
      </c>
      <c r="J880" s="5"/>
    </row>
    <row r="881">
      <c r="A881" s="5" t="s">
        <v>2228</v>
      </c>
      <c r="B881" s="201" t="s">
        <v>4228</v>
      </c>
      <c r="C881" s="200" t="str">
        <f t="shared" si="1"/>
        <v>Ready Meals &amp; Pastries_5-10</v>
      </c>
      <c r="D881" s="18">
        <v>58.0</v>
      </c>
      <c r="E881" s="18">
        <v>8.0</v>
      </c>
      <c r="F881" s="5">
        <v>13.8</v>
      </c>
      <c r="G881" s="5">
        <v>1775.0</v>
      </c>
      <c r="H881" s="5">
        <v>21.0</v>
      </c>
      <c r="I881" s="5">
        <v>1.2</v>
      </c>
      <c r="J881" s="5"/>
    </row>
    <row r="882">
      <c r="A882" s="5" t="s">
        <v>2228</v>
      </c>
      <c r="B882" s="201" t="s">
        <v>4226</v>
      </c>
      <c r="C882" s="200" t="str">
        <f t="shared" si="1"/>
        <v>Ready Meals &amp; Pastries_10-15</v>
      </c>
      <c r="D882" s="18">
        <v>189.0</v>
      </c>
      <c r="E882" s="18">
        <v>60.0</v>
      </c>
      <c r="F882" s="5">
        <v>31.7</v>
      </c>
      <c r="G882" s="5">
        <v>1489.0</v>
      </c>
      <c r="H882" s="5">
        <v>192.0</v>
      </c>
      <c r="I882" s="5">
        <v>12.9</v>
      </c>
      <c r="J882" s="5"/>
    </row>
    <row r="883">
      <c r="A883" s="5" t="s">
        <v>2228</v>
      </c>
      <c r="B883" s="201" t="s">
        <v>1413</v>
      </c>
      <c r="C883" s="200" t="str">
        <f t="shared" si="1"/>
        <v>Ready Meals &amp; Pastries_15-20</v>
      </c>
      <c r="D883" s="18">
        <v>29.0</v>
      </c>
      <c r="E883" s="18">
        <v>8.0</v>
      </c>
      <c r="F883" s="5">
        <v>27.6</v>
      </c>
      <c r="G883" s="5">
        <v>166.0</v>
      </c>
      <c r="H883" s="5">
        <v>16.0</v>
      </c>
      <c r="I883" s="5">
        <v>9.6</v>
      </c>
      <c r="J883" s="5"/>
    </row>
    <row r="884">
      <c r="A884" s="5" t="s">
        <v>2228</v>
      </c>
      <c r="B884" s="201" t="s">
        <v>1398</v>
      </c>
      <c r="C884" s="200" t="str">
        <f t="shared" si="1"/>
        <v>Ready Meals &amp; Pastries_20-25</v>
      </c>
      <c r="D884" s="18">
        <v>259.0</v>
      </c>
      <c r="E884" s="18">
        <v>48.0</v>
      </c>
      <c r="F884" s="5">
        <v>18.5</v>
      </c>
      <c r="G884" s="5">
        <v>3165.0</v>
      </c>
      <c r="H884" s="5">
        <v>145.0</v>
      </c>
      <c r="I884" s="5">
        <v>4.6</v>
      </c>
      <c r="J884" s="5"/>
    </row>
    <row r="885">
      <c r="A885" s="5" t="s">
        <v>2228</v>
      </c>
      <c r="B885" s="201" t="s">
        <v>1400</v>
      </c>
      <c r="C885" s="200" t="str">
        <f t="shared" si="1"/>
        <v>Ready Meals &amp; Pastries_25+</v>
      </c>
      <c r="D885" s="18">
        <v>462.0</v>
      </c>
      <c r="E885" s="18">
        <v>101.0</v>
      </c>
      <c r="F885" s="5">
        <v>21.9</v>
      </c>
      <c r="G885" s="5">
        <v>3278.0</v>
      </c>
      <c r="H885" s="5">
        <v>273.0</v>
      </c>
      <c r="I885" s="5">
        <v>8.3</v>
      </c>
      <c r="J885" s="5"/>
    </row>
    <row r="886">
      <c r="A886" s="5" t="s">
        <v>2228</v>
      </c>
      <c r="B886" s="201" t="s">
        <v>4227</v>
      </c>
      <c r="C886" s="200" t="str">
        <f t="shared" si="1"/>
        <v>Ready Meals &amp; Pastries_No Sales</v>
      </c>
      <c r="D886" s="18">
        <v>17.0</v>
      </c>
      <c r="E886" s="18">
        <v>15.0</v>
      </c>
      <c r="F886" s="5">
        <v>88.2</v>
      </c>
      <c r="G886" s="5">
        <v>90.0</v>
      </c>
      <c r="H886" s="5">
        <v>28.0</v>
      </c>
      <c r="I886" s="5">
        <v>31.1</v>
      </c>
      <c r="J886" s="5"/>
    </row>
    <row r="887">
      <c r="A887" s="5" t="s">
        <v>2929</v>
      </c>
      <c r="B887" s="201" t="s">
        <v>4227</v>
      </c>
      <c r="C887" s="200" t="str">
        <f t="shared" si="1"/>
        <v>Ready to Cook_No Sales</v>
      </c>
      <c r="D887" s="18">
        <v>1.0</v>
      </c>
      <c r="E887" s="18">
        <v>0.0</v>
      </c>
      <c r="F887" s="5">
        <v>0.0</v>
      </c>
      <c r="G887" s="5">
        <v>4.0</v>
      </c>
      <c r="H887" s="5">
        <v>0.0</v>
      </c>
      <c r="I887" s="5">
        <v>0.0</v>
      </c>
      <c r="J887" s="5"/>
    </row>
    <row r="888">
      <c r="A888" s="5" t="s">
        <v>3381</v>
      </c>
      <c r="B888" s="201" t="s">
        <v>4227</v>
      </c>
      <c r="C888" s="200" t="str">
        <f t="shared" si="1"/>
        <v>Ready to Heat_No Sales</v>
      </c>
      <c r="D888" s="18">
        <v>1.0</v>
      </c>
      <c r="E888" s="18">
        <v>0.0</v>
      </c>
      <c r="F888" s="5">
        <v>0.0</v>
      </c>
      <c r="G888" s="5">
        <v>49.0</v>
      </c>
      <c r="H888" s="5">
        <v>0.0</v>
      </c>
      <c r="I888" s="5">
        <v>0.0</v>
      </c>
      <c r="J888" s="5"/>
    </row>
    <row r="889">
      <c r="A889" s="5" t="s">
        <v>617</v>
      </c>
      <c r="B889" s="201" t="s">
        <v>1426</v>
      </c>
      <c r="C889" s="200" t="str">
        <f t="shared" si="1"/>
        <v>Rice_0-5</v>
      </c>
      <c r="D889" s="18">
        <v>237.0</v>
      </c>
      <c r="E889" s="18">
        <v>64.0</v>
      </c>
      <c r="F889" s="5">
        <v>27.0</v>
      </c>
      <c r="G889" s="5">
        <v>3724.0</v>
      </c>
      <c r="H889" s="5">
        <v>228.0</v>
      </c>
      <c r="I889" s="5">
        <v>6.1</v>
      </c>
      <c r="J889" s="5"/>
    </row>
    <row r="890">
      <c r="A890" s="5" t="s">
        <v>617</v>
      </c>
      <c r="B890" s="201" t="s">
        <v>4228</v>
      </c>
      <c r="C890" s="200" t="str">
        <f t="shared" si="1"/>
        <v>Rice_5-10</v>
      </c>
      <c r="D890" s="18">
        <v>259.0</v>
      </c>
      <c r="E890" s="18">
        <v>41.0</v>
      </c>
      <c r="F890" s="5">
        <v>15.8</v>
      </c>
      <c r="G890" s="5">
        <v>4227.0</v>
      </c>
      <c r="H890" s="5">
        <v>151.0</v>
      </c>
      <c r="I890" s="5">
        <v>3.6</v>
      </c>
      <c r="J890" s="5"/>
    </row>
    <row r="891">
      <c r="A891" s="5" t="s">
        <v>617</v>
      </c>
      <c r="B891" s="201" t="s">
        <v>4226</v>
      </c>
      <c r="C891" s="200" t="str">
        <f t="shared" si="1"/>
        <v>Rice_10-15</v>
      </c>
      <c r="D891" s="18">
        <v>517.0</v>
      </c>
      <c r="E891" s="18">
        <v>61.0</v>
      </c>
      <c r="F891" s="5">
        <v>11.8</v>
      </c>
      <c r="G891" s="5">
        <v>9796.0</v>
      </c>
      <c r="H891" s="5">
        <v>181.0</v>
      </c>
      <c r="I891" s="5">
        <v>1.8</v>
      </c>
      <c r="J891" s="5"/>
    </row>
    <row r="892">
      <c r="A892" s="5" t="s">
        <v>617</v>
      </c>
      <c r="B892" s="201" t="s">
        <v>1413</v>
      </c>
      <c r="C892" s="200" t="str">
        <f t="shared" si="1"/>
        <v>Rice_15-20</v>
      </c>
      <c r="D892" s="18">
        <v>325.0</v>
      </c>
      <c r="E892" s="18">
        <v>81.0</v>
      </c>
      <c r="F892" s="5">
        <v>24.9</v>
      </c>
      <c r="G892" s="5">
        <v>4854.0</v>
      </c>
      <c r="H892" s="5">
        <v>211.0</v>
      </c>
      <c r="I892" s="5">
        <v>4.3</v>
      </c>
      <c r="J892" s="5"/>
    </row>
    <row r="893">
      <c r="A893" s="5" t="s">
        <v>617</v>
      </c>
      <c r="B893" s="201" t="s">
        <v>1398</v>
      </c>
      <c r="C893" s="200" t="str">
        <f t="shared" si="1"/>
        <v>Rice_20-25</v>
      </c>
      <c r="D893" s="18">
        <v>314.0</v>
      </c>
      <c r="E893" s="18">
        <v>130.0</v>
      </c>
      <c r="F893" s="5">
        <v>41.4</v>
      </c>
      <c r="G893" s="5">
        <v>2313.0</v>
      </c>
      <c r="H893" s="5">
        <v>519.0</v>
      </c>
      <c r="I893" s="5">
        <v>22.4</v>
      </c>
      <c r="J893" s="5"/>
    </row>
    <row r="894">
      <c r="A894" s="5" t="s">
        <v>617</v>
      </c>
      <c r="B894" s="201" t="s">
        <v>1400</v>
      </c>
      <c r="C894" s="200" t="str">
        <f t="shared" si="1"/>
        <v>Rice_25+</v>
      </c>
      <c r="D894" s="18">
        <v>1048.0</v>
      </c>
      <c r="E894" s="18">
        <v>434.0</v>
      </c>
      <c r="F894" s="5">
        <v>41.4</v>
      </c>
      <c r="G894" s="5">
        <v>10250.0</v>
      </c>
      <c r="H894" s="5">
        <v>1534.0</v>
      </c>
      <c r="I894" s="5">
        <v>15.0</v>
      </c>
      <c r="J894" s="5"/>
    </row>
    <row r="895">
      <c r="A895" s="5" t="s">
        <v>617</v>
      </c>
      <c r="B895" s="201" t="s">
        <v>4227</v>
      </c>
      <c r="C895" s="200" t="str">
        <f t="shared" si="1"/>
        <v>Rice_No Sales</v>
      </c>
      <c r="D895" s="18">
        <v>27.0</v>
      </c>
      <c r="E895" s="18">
        <v>25.0</v>
      </c>
      <c r="F895" s="5">
        <v>92.6</v>
      </c>
      <c r="G895" s="5">
        <v>88.0</v>
      </c>
      <c r="H895" s="5">
        <v>79.0</v>
      </c>
      <c r="I895" s="5">
        <v>89.8</v>
      </c>
      <c r="J895" s="5"/>
    </row>
    <row r="896">
      <c r="A896" s="5" t="s">
        <v>1527</v>
      </c>
      <c r="B896" s="201" t="s">
        <v>1426</v>
      </c>
      <c r="C896" s="200" t="str">
        <f t="shared" si="1"/>
        <v>Rusks, Crispbread &amp; Crackers_0-5</v>
      </c>
      <c r="D896" s="18">
        <v>173.0</v>
      </c>
      <c r="E896" s="18">
        <v>8.0</v>
      </c>
      <c r="F896" s="5">
        <v>4.6</v>
      </c>
      <c r="G896" s="5">
        <v>9144.0</v>
      </c>
      <c r="H896" s="5">
        <v>38.0</v>
      </c>
      <c r="I896" s="5">
        <v>0.4</v>
      </c>
      <c r="J896" s="5"/>
    </row>
    <row r="897">
      <c r="A897" s="5" t="s">
        <v>1527</v>
      </c>
      <c r="B897" s="201" t="s">
        <v>4228</v>
      </c>
      <c r="C897" s="200" t="str">
        <f t="shared" si="1"/>
        <v>Rusks, Crispbread &amp; Crackers_5-10</v>
      </c>
      <c r="D897" s="18">
        <v>111.0</v>
      </c>
      <c r="E897" s="18">
        <v>16.0</v>
      </c>
      <c r="F897" s="5">
        <v>14.4</v>
      </c>
      <c r="G897" s="5">
        <v>1391.0</v>
      </c>
      <c r="H897" s="5">
        <v>54.0</v>
      </c>
      <c r="I897" s="5">
        <v>3.9</v>
      </c>
      <c r="J897" s="5"/>
    </row>
    <row r="898">
      <c r="A898" s="5" t="s">
        <v>1527</v>
      </c>
      <c r="B898" s="201" t="s">
        <v>4226</v>
      </c>
      <c r="C898" s="200" t="str">
        <f t="shared" si="1"/>
        <v>Rusks, Crispbread &amp; Crackers_10-15</v>
      </c>
      <c r="D898" s="18">
        <v>205.0</v>
      </c>
      <c r="E898" s="18">
        <v>48.0</v>
      </c>
      <c r="F898" s="5">
        <v>23.4</v>
      </c>
      <c r="G898" s="5">
        <v>1588.0</v>
      </c>
      <c r="H898" s="5">
        <v>160.0</v>
      </c>
      <c r="I898" s="5">
        <v>10.1</v>
      </c>
      <c r="J898" s="5"/>
    </row>
    <row r="899">
      <c r="A899" s="5" t="s">
        <v>1527</v>
      </c>
      <c r="B899" s="201" t="s">
        <v>1413</v>
      </c>
      <c r="C899" s="200" t="str">
        <f t="shared" si="1"/>
        <v>Rusks, Crispbread &amp; Crackers_15-20</v>
      </c>
      <c r="D899" s="18">
        <v>105.0</v>
      </c>
      <c r="E899" s="18">
        <v>68.0</v>
      </c>
      <c r="F899" s="5">
        <v>64.8</v>
      </c>
      <c r="G899" s="5">
        <v>485.0</v>
      </c>
      <c r="H899" s="5">
        <v>354.0</v>
      </c>
      <c r="I899" s="5">
        <v>73.0</v>
      </c>
      <c r="J899" s="5"/>
    </row>
    <row r="900">
      <c r="A900" s="5" t="s">
        <v>1527</v>
      </c>
      <c r="B900" s="201" t="s">
        <v>1398</v>
      </c>
      <c r="C900" s="200" t="str">
        <f t="shared" si="1"/>
        <v>Rusks, Crispbread &amp; Crackers_20-25</v>
      </c>
      <c r="D900" s="18">
        <v>29.0</v>
      </c>
      <c r="E900" s="18">
        <v>10.0</v>
      </c>
      <c r="F900" s="5">
        <v>34.5</v>
      </c>
      <c r="G900" s="5">
        <v>44.0</v>
      </c>
      <c r="H900" s="5">
        <v>22.0</v>
      </c>
      <c r="I900" s="5">
        <v>50.0</v>
      </c>
      <c r="J900" s="5"/>
    </row>
    <row r="901">
      <c r="A901" s="5" t="s">
        <v>1527</v>
      </c>
      <c r="B901" s="201" t="s">
        <v>1400</v>
      </c>
      <c r="C901" s="200" t="str">
        <f t="shared" si="1"/>
        <v>Rusks, Crispbread &amp; Crackers_25+</v>
      </c>
      <c r="D901" s="18">
        <v>119.0</v>
      </c>
      <c r="E901" s="18">
        <v>38.0</v>
      </c>
      <c r="F901" s="5">
        <v>31.9</v>
      </c>
      <c r="G901" s="5">
        <v>582.0</v>
      </c>
      <c r="H901" s="5">
        <v>110.0</v>
      </c>
      <c r="I901" s="5">
        <v>18.9</v>
      </c>
      <c r="J901" s="5"/>
    </row>
    <row r="902">
      <c r="A902" s="5" t="s">
        <v>2931</v>
      </c>
      <c r="B902" s="201" t="s">
        <v>4228</v>
      </c>
      <c r="C902" s="200" t="str">
        <f t="shared" si="1"/>
        <v>Salads &amp; Starters_5-10</v>
      </c>
      <c r="D902" s="18">
        <v>10.0</v>
      </c>
      <c r="E902" s="18">
        <v>0.0</v>
      </c>
      <c r="F902" s="5">
        <v>0.0</v>
      </c>
      <c r="G902" s="5">
        <v>97.0</v>
      </c>
      <c r="H902" s="5">
        <v>0.0</v>
      </c>
      <c r="I902" s="5">
        <v>0.0</v>
      </c>
      <c r="J902" s="5"/>
    </row>
    <row r="903">
      <c r="A903" s="5" t="s">
        <v>2797</v>
      </c>
      <c r="B903" s="201" t="s">
        <v>1426</v>
      </c>
      <c r="C903" s="200" t="str">
        <f t="shared" si="1"/>
        <v>Salt &amp; Pepper_0-5</v>
      </c>
      <c r="D903" s="18">
        <v>180.0</v>
      </c>
      <c r="E903" s="18">
        <v>9.0</v>
      </c>
      <c r="F903" s="5">
        <v>5.0</v>
      </c>
      <c r="G903" s="5">
        <v>7224.0</v>
      </c>
      <c r="H903" s="5">
        <v>29.0</v>
      </c>
      <c r="I903" s="5">
        <v>0.4</v>
      </c>
      <c r="J903" s="5"/>
    </row>
    <row r="904">
      <c r="A904" s="5" t="s">
        <v>2797</v>
      </c>
      <c r="B904" s="201" t="s">
        <v>4228</v>
      </c>
      <c r="C904" s="200" t="str">
        <f t="shared" si="1"/>
        <v>Salt &amp; Pepper_5-10</v>
      </c>
      <c r="D904" s="18">
        <v>201.0</v>
      </c>
      <c r="E904" s="18">
        <v>8.0</v>
      </c>
      <c r="F904" s="5">
        <v>4.0</v>
      </c>
      <c r="G904" s="5">
        <v>4722.0</v>
      </c>
      <c r="H904" s="5">
        <v>20.0</v>
      </c>
      <c r="I904" s="5">
        <v>0.4</v>
      </c>
      <c r="J904" s="5"/>
    </row>
    <row r="905">
      <c r="A905" s="5" t="s">
        <v>2797</v>
      </c>
      <c r="B905" s="201" t="s">
        <v>4226</v>
      </c>
      <c r="C905" s="200" t="str">
        <f t="shared" si="1"/>
        <v>Salt &amp; Pepper_10-15</v>
      </c>
      <c r="D905" s="18">
        <v>179.0</v>
      </c>
      <c r="E905" s="18">
        <v>18.0</v>
      </c>
      <c r="F905" s="5">
        <v>10.1</v>
      </c>
      <c r="G905" s="5">
        <v>2322.0</v>
      </c>
      <c r="H905" s="5">
        <v>43.0</v>
      </c>
      <c r="I905" s="5">
        <v>1.9</v>
      </c>
      <c r="J905" s="5"/>
    </row>
    <row r="906">
      <c r="A906" s="5" t="s">
        <v>2797</v>
      </c>
      <c r="B906" s="201" t="s">
        <v>1413</v>
      </c>
      <c r="C906" s="200" t="str">
        <f t="shared" si="1"/>
        <v>Salt &amp; Pepper_15-20</v>
      </c>
      <c r="D906" s="18">
        <v>114.0</v>
      </c>
      <c r="E906" s="18">
        <v>23.0</v>
      </c>
      <c r="F906" s="5">
        <v>20.2</v>
      </c>
      <c r="G906" s="5">
        <v>1440.0</v>
      </c>
      <c r="H906" s="5">
        <v>55.0</v>
      </c>
      <c r="I906" s="5">
        <v>3.8</v>
      </c>
      <c r="J906" s="5"/>
    </row>
    <row r="907">
      <c r="A907" s="5" t="s">
        <v>2797</v>
      </c>
      <c r="B907" s="201" t="s">
        <v>1398</v>
      </c>
      <c r="C907" s="200" t="str">
        <f t="shared" si="1"/>
        <v>Salt &amp; Pepper_20-25</v>
      </c>
      <c r="D907" s="18">
        <v>38.0</v>
      </c>
      <c r="E907" s="18">
        <v>16.0</v>
      </c>
      <c r="F907" s="5">
        <v>42.1</v>
      </c>
      <c r="G907" s="5">
        <v>156.0</v>
      </c>
      <c r="H907" s="5">
        <v>39.0</v>
      </c>
      <c r="I907" s="5">
        <v>25.0</v>
      </c>
      <c r="J907" s="5"/>
    </row>
    <row r="908">
      <c r="A908" s="5" t="s">
        <v>2797</v>
      </c>
      <c r="B908" s="201" t="s">
        <v>1400</v>
      </c>
      <c r="C908" s="200" t="str">
        <f t="shared" si="1"/>
        <v>Salt &amp; Pepper_25+</v>
      </c>
      <c r="D908" s="18">
        <v>42.0</v>
      </c>
      <c r="E908" s="18">
        <v>24.0</v>
      </c>
      <c r="F908" s="5">
        <v>57.1</v>
      </c>
      <c r="G908" s="5">
        <v>91.0</v>
      </c>
      <c r="H908" s="5">
        <v>60.0</v>
      </c>
      <c r="I908" s="5">
        <v>65.9</v>
      </c>
      <c r="J908" s="5"/>
    </row>
    <row r="909">
      <c r="A909" s="5" t="s">
        <v>2797</v>
      </c>
      <c r="B909" s="201" t="s">
        <v>4227</v>
      </c>
      <c r="C909" s="200" t="str">
        <f t="shared" si="1"/>
        <v>Salt &amp; Pepper_No Sales</v>
      </c>
      <c r="D909" s="18">
        <v>7.0</v>
      </c>
      <c r="E909" s="18">
        <v>3.0</v>
      </c>
      <c r="F909" s="5">
        <v>42.9</v>
      </c>
      <c r="G909" s="5">
        <v>46.0</v>
      </c>
      <c r="H909" s="5">
        <v>36.0</v>
      </c>
      <c r="I909" s="5">
        <v>78.3</v>
      </c>
      <c r="J909" s="5"/>
    </row>
    <row r="910">
      <c r="A910" s="5" t="s">
        <v>2166</v>
      </c>
      <c r="B910" s="201" t="s">
        <v>4228</v>
      </c>
      <c r="C910" s="200" t="str">
        <f t="shared" si="1"/>
        <v>Sausages &amp; Burgers_5-10</v>
      </c>
      <c r="D910" s="18">
        <v>2.0</v>
      </c>
      <c r="E910" s="18">
        <v>1.0</v>
      </c>
      <c r="F910" s="5">
        <v>50.0</v>
      </c>
      <c r="G910" s="5">
        <v>2.0</v>
      </c>
      <c r="H910" s="5">
        <v>1.0</v>
      </c>
      <c r="I910" s="5">
        <v>50.0</v>
      </c>
      <c r="J910" s="5"/>
    </row>
    <row r="911">
      <c r="A911" s="5" t="s">
        <v>2166</v>
      </c>
      <c r="B911" s="201" t="s">
        <v>4226</v>
      </c>
      <c r="C911" s="200" t="str">
        <f t="shared" si="1"/>
        <v>Sausages &amp; Burgers_10-15</v>
      </c>
      <c r="D911" s="18">
        <v>6.0</v>
      </c>
      <c r="E911" s="18">
        <v>6.0</v>
      </c>
      <c r="F911" s="5">
        <v>100.0</v>
      </c>
      <c r="G911" s="5">
        <v>6.0</v>
      </c>
      <c r="H911" s="5">
        <v>6.0</v>
      </c>
      <c r="I911" s="5">
        <v>100.0</v>
      </c>
      <c r="J911" s="5"/>
    </row>
    <row r="912">
      <c r="A912" s="5" t="s">
        <v>2166</v>
      </c>
      <c r="B912" s="201" t="s">
        <v>1398</v>
      </c>
      <c r="C912" s="200" t="str">
        <f t="shared" si="1"/>
        <v>Sausages &amp; Burgers_20-25</v>
      </c>
      <c r="D912" s="18">
        <v>11.0</v>
      </c>
      <c r="E912" s="18">
        <v>3.0</v>
      </c>
      <c r="F912" s="5">
        <v>27.3</v>
      </c>
      <c r="G912" s="5">
        <v>18.0</v>
      </c>
      <c r="H912" s="5">
        <v>4.0</v>
      </c>
      <c r="I912" s="5">
        <v>22.2</v>
      </c>
      <c r="J912" s="5"/>
    </row>
    <row r="913">
      <c r="A913" s="5" t="s">
        <v>2166</v>
      </c>
      <c r="B913" s="201" t="s">
        <v>4227</v>
      </c>
      <c r="C913" s="200" t="str">
        <f t="shared" si="1"/>
        <v>Sausages &amp; Burgers_No Sales</v>
      </c>
      <c r="D913" s="18">
        <v>1.0</v>
      </c>
      <c r="E913" s="18">
        <v>1.0</v>
      </c>
      <c r="F913" s="5">
        <v>100.0</v>
      </c>
      <c r="G913" s="5">
        <v>6.0</v>
      </c>
      <c r="H913" s="5">
        <v>6.0</v>
      </c>
      <c r="I913" s="5">
        <v>100.0</v>
      </c>
      <c r="J913" s="5"/>
    </row>
    <row r="914">
      <c r="A914" s="5" t="s">
        <v>1131</v>
      </c>
      <c r="B914" s="201" t="s">
        <v>1426</v>
      </c>
      <c r="C914" s="200" t="str">
        <f t="shared" si="1"/>
        <v>School Supplies_0-5</v>
      </c>
      <c r="D914" s="18">
        <v>287.0</v>
      </c>
      <c r="E914" s="18">
        <v>66.0</v>
      </c>
      <c r="F914" s="5">
        <v>23.0</v>
      </c>
      <c r="G914" s="5">
        <v>1841.0</v>
      </c>
      <c r="H914" s="5">
        <v>223.0</v>
      </c>
      <c r="I914" s="5">
        <v>12.1</v>
      </c>
      <c r="J914" s="5"/>
    </row>
    <row r="915">
      <c r="A915" s="5" t="s">
        <v>1131</v>
      </c>
      <c r="B915" s="201" t="s">
        <v>4228</v>
      </c>
      <c r="C915" s="200" t="str">
        <f t="shared" si="1"/>
        <v>School Supplies_5-10</v>
      </c>
      <c r="D915" s="18">
        <v>758.0</v>
      </c>
      <c r="E915" s="18">
        <v>359.0</v>
      </c>
      <c r="F915" s="5">
        <v>47.4</v>
      </c>
      <c r="G915" s="5">
        <v>3367.0</v>
      </c>
      <c r="H915" s="5">
        <v>981.0</v>
      </c>
      <c r="I915" s="5">
        <v>29.1</v>
      </c>
      <c r="J915" s="5"/>
    </row>
    <row r="916">
      <c r="A916" s="5" t="s">
        <v>1131</v>
      </c>
      <c r="B916" s="201" t="s">
        <v>4226</v>
      </c>
      <c r="C916" s="200" t="str">
        <f t="shared" si="1"/>
        <v>School Supplies_10-15</v>
      </c>
      <c r="D916" s="18">
        <v>935.0</v>
      </c>
      <c r="E916" s="18">
        <v>582.0</v>
      </c>
      <c r="F916" s="5">
        <v>62.2</v>
      </c>
      <c r="G916" s="5">
        <v>3685.0</v>
      </c>
      <c r="H916" s="5">
        <v>1589.0</v>
      </c>
      <c r="I916" s="5">
        <v>43.1</v>
      </c>
      <c r="J916" s="5"/>
    </row>
    <row r="917">
      <c r="A917" s="5" t="s">
        <v>1131</v>
      </c>
      <c r="B917" s="201" t="s">
        <v>1413</v>
      </c>
      <c r="C917" s="200" t="str">
        <f t="shared" si="1"/>
        <v>School Supplies_15-20</v>
      </c>
      <c r="D917" s="18">
        <v>363.0</v>
      </c>
      <c r="E917" s="18">
        <v>215.0</v>
      </c>
      <c r="F917" s="5">
        <v>59.2</v>
      </c>
      <c r="G917" s="5">
        <v>1467.0</v>
      </c>
      <c r="H917" s="5">
        <v>581.0</v>
      </c>
      <c r="I917" s="5">
        <v>39.6</v>
      </c>
      <c r="J917" s="5"/>
    </row>
    <row r="918">
      <c r="A918" s="5" t="s">
        <v>1131</v>
      </c>
      <c r="B918" s="201" t="s">
        <v>1398</v>
      </c>
      <c r="C918" s="200" t="str">
        <f t="shared" si="1"/>
        <v>School Supplies_20-25</v>
      </c>
      <c r="D918" s="18">
        <v>395.0</v>
      </c>
      <c r="E918" s="18">
        <v>269.0</v>
      </c>
      <c r="F918" s="5">
        <v>68.1</v>
      </c>
      <c r="G918" s="5">
        <v>1567.0</v>
      </c>
      <c r="H918" s="5">
        <v>668.0</v>
      </c>
      <c r="I918" s="5">
        <v>42.6</v>
      </c>
      <c r="J918" s="5"/>
    </row>
    <row r="919">
      <c r="A919" s="5" t="s">
        <v>1131</v>
      </c>
      <c r="B919" s="201" t="s">
        <v>1400</v>
      </c>
      <c r="C919" s="200" t="str">
        <f t="shared" si="1"/>
        <v>School Supplies_25+</v>
      </c>
      <c r="D919" s="18">
        <v>1093.0</v>
      </c>
      <c r="E919" s="18">
        <v>905.0</v>
      </c>
      <c r="F919" s="5">
        <v>82.8</v>
      </c>
      <c r="G919" s="5">
        <v>3101.0</v>
      </c>
      <c r="H919" s="5">
        <v>2156.0</v>
      </c>
      <c r="I919" s="5">
        <v>69.5</v>
      </c>
      <c r="J919" s="5"/>
    </row>
    <row r="920">
      <c r="A920" s="5" t="s">
        <v>1131</v>
      </c>
      <c r="B920" s="201" t="s">
        <v>4227</v>
      </c>
      <c r="C920" s="200" t="str">
        <f t="shared" si="1"/>
        <v>School Supplies_No Sales</v>
      </c>
      <c r="D920" s="18">
        <v>836.0</v>
      </c>
      <c r="E920" s="18">
        <v>820.0</v>
      </c>
      <c r="F920" s="5">
        <v>98.1</v>
      </c>
      <c r="G920" s="5">
        <v>2178.0</v>
      </c>
      <c r="H920" s="5">
        <v>1502.0</v>
      </c>
      <c r="I920" s="5">
        <v>69.0</v>
      </c>
      <c r="J920" s="5"/>
    </row>
    <row r="921">
      <c r="A921" s="5" t="s">
        <v>928</v>
      </c>
      <c r="B921" s="201" t="s">
        <v>4228</v>
      </c>
      <c r="C921" s="200" t="str">
        <f t="shared" si="1"/>
        <v>Seafood_5-10</v>
      </c>
      <c r="D921" s="18">
        <v>28.0</v>
      </c>
      <c r="E921" s="18">
        <v>7.0</v>
      </c>
      <c r="F921" s="5">
        <v>25.0</v>
      </c>
      <c r="G921" s="5">
        <v>89.0</v>
      </c>
      <c r="H921" s="5">
        <v>22.0</v>
      </c>
      <c r="I921" s="5">
        <v>24.7</v>
      </c>
      <c r="J921" s="5"/>
    </row>
    <row r="922">
      <c r="A922" s="5" t="s">
        <v>928</v>
      </c>
      <c r="B922" s="201" t="s">
        <v>4226</v>
      </c>
      <c r="C922" s="200" t="str">
        <f t="shared" si="1"/>
        <v>Seafood_10-15</v>
      </c>
      <c r="D922" s="18">
        <v>66.0</v>
      </c>
      <c r="E922" s="18">
        <v>38.0</v>
      </c>
      <c r="F922" s="5">
        <v>57.6</v>
      </c>
      <c r="G922" s="5">
        <v>207.0</v>
      </c>
      <c r="H922" s="5">
        <v>137.0</v>
      </c>
      <c r="I922" s="5">
        <v>66.2</v>
      </c>
      <c r="J922" s="5"/>
    </row>
    <row r="923">
      <c r="A923" s="5" t="s">
        <v>928</v>
      </c>
      <c r="B923" s="201" t="s">
        <v>1413</v>
      </c>
      <c r="C923" s="200" t="str">
        <f t="shared" si="1"/>
        <v>Seafood_15-20</v>
      </c>
      <c r="D923" s="18">
        <v>89.0</v>
      </c>
      <c r="E923" s="18">
        <v>19.0</v>
      </c>
      <c r="F923" s="5">
        <v>21.3</v>
      </c>
      <c r="G923" s="5">
        <v>477.0</v>
      </c>
      <c r="H923" s="5">
        <v>37.0</v>
      </c>
      <c r="I923" s="5">
        <v>7.8</v>
      </c>
      <c r="J923" s="5"/>
    </row>
    <row r="924">
      <c r="A924" s="5" t="s">
        <v>928</v>
      </c>
      <c r="B924" s="201" t="s">
        <v>1398</v>
      </c>
      <c r="C924" s="200" t="str">
        <f t="shared" si="1"/>
        <v>Seafood_20-25</v>
      </c>
      <c r="D924" s="18">
        <v>119.0</v>
      </c>
      <c r="E924" s="18">
        <v>0.0</v>
      </c>
      <c r="F924" s="5">
        <v>0.0</v>
      </c>
      <c r="G924" s="5">
        <v>980.0</v>
      </c>
      <c r="H924" s="5">
        <v>0.0</v>
      </c>
      <c r="I924" s="5">
        <v>0.0</v>
      </c>
      <c r="J924" s="5"/>
    </row>
    <row r="925">
      <c r="A925" s="5" t="s">
        <v>928</v>
      </c>
      <c r="B925" s="201" t="s">
        <v>1400</v>
      </c>
      <c r="C925" s="200" t="str">
        <f t="shared" si="1"/>
        <v>Seafood_25+</v>
      </c>
      <c r="D925" s="18">
        <v>403.0</v>
      </c>
      <c r="E925" s="18">
        <v>10.0</v>
      </c>
      <c r="F925" s="5">
        <v>2.5</v>
      </c>
      <c r="G925" s="5">
        <v>1844.0</v>
      </c>
      <c r="H925" s="5">
        <v>18.0</v>
      </c>
      <c r="I925" s="5">
        <v>1.0</v>
      </c>
      <c r="J925" s="5"/>
    </row>
    <row r="926">
      <c r="A926" s="5" t="s">
        <v>928</v>
      </c>
      <c r="B926" s="201" t="s">
        <v>4227</v>
      </c>
      <c r="C926" s="200" t="str">
        <f t="shared" si="1"/>
        <v>Seafood_No Sales</v>
      </c>
      <c r="D926" s="18">
        <v>1.0</v>
      </c>
      <c r="E926" s="18">
        <v>0.0</v>
      </c>
      <c r="F926" s="5">
        <v>0.0</v>
      </c>
      <c r="G926" s="5">
        <v>1.0</v>
      </c>
      <c r="H926" s="5">
        <v>0.0</v>
      </c>
      <c r="I926" s="5">
        <v>0.0</v>
      </c>
      <c r="J926" s="5"/>
    </row>
    <row r="927">
      <c r="A927" s="5" t="s">
        <v>2236</v>
      </c>
      <c r="B927" s="201" t="s">
        <v>1413</v>
      </c>
      <c r="C927" s="200" t="str">
        <f t="shared" si="1"/>
        <v>Seafood &amp; Fish_15-20</v>
      </c>
      <c r="D927" s="18">
        <v>61.0</v>
      </c>
      <c r="E927" s="18">
        <v>10.0</v>
      </c>
      <c r="F927" s="5">
        <v>16.4</v>
      </c>
      <c r="G927" s="5">
        <v>1547.0</v>
      </c>
      <c r="H927" s="5">
        <v>21.0</v>
      </c>
      <c r="I927" s="5">
        <v>1.4</v>
      </c>
      <c r="J927" s="5"/>
    </row>
    <row r="928">
      <c r="A928" s="5" t="s">
        <v>2236</v>
      </c>
      <c r="B928" s="201" t="s">
        <v>1398</v>
      </c>
      <c r="C928" s="200" t="str">
        <f t="shared" si="1"/>
        <v>Seafood &amp; Fish_20-25</v>
      </c>
      <c r="D928" s="18">
        <v>58.0</v>
      </c>
      <c r="E928" s="18">
        <v>7.0</v>
      </c>
      <c r="F928" s="5">
        <v>12.1</v>
      </c>
      <c r="G928" s="5">
        <v>481.0</v>
      </c>
      <c r="H928" s="5">
        <v>18.0</v>
      </c>
      <c r="I928" s="5">
        <v>3.7</v>
      </c>
      <c r="J928" s="5"/>
    </row>
    <row r="929">
      <c r="A929" s="5" t="s">
        <v>2236</v>
      </c>
      <c r="B929" s="201" t="s">
        <v>1400</v>
      </c>
      <c r="C929" s="200" t="str">
        <f t="shared" si="1"/>
        <v>Seafood &amp; Fish_25+</v>
      </c>
      <c r="D929" s="18">
        <v>155.0</v>
      </c>
      <c r="E929" s="18">
        <v>25.0</v>
      </c>
      <c r="F929" s="5">
        <v>16.1</v>
      </c>
      <c r="G929" s="5">
        <v>1109.0</v>
      </c>
      <c r="H929" s="5">
        <v>77.0</v>
      </c>
      <c r="I929" s="5">
        <v>6.9</v>
      </c>
      <c r="J929" s="5"/>
    </row>
    <row r="930">
      <c r="A930" s="5" t="s">
        <v>1135</v>
      </c>
      <c r="B930" s="201" t="s">
        <v>1426</v>
      </c>
      <c r="C930" s="200" t="str">
        <f t="shared" si="1"/>
        <v>Seasonal Celebrations_0-5</v>
      </c>
      <c r="D930" s="18">
        <v>514.0</v>
      </c>
      <c r="E930" s="18">
        <v>226.0</v>
      </c>
      <c r="F930" s="5">
        <v>44.0</v>
      </c>
      <c r="G930" s="5">
        <v>3903.0</v>
      </c>
      <c r="H930" s="5">
        <v>858.0</v>
      </c>
      <c r="I930" s="5">
        <v>22.0</v>
      </c>
      <c r="J930" s="5"/>
    </row>
    <row r="931">
      <c r="A931" s="5" t="s">
        <v>1135</v>
      </c>
      <c r="B931" s="201" t="s">
        <v>4228</v>
      </c>
      <c r="C931" s="200" t="str">
        <f t="shared" si="1"/>
        <v>Seasonal Celebrations_5-10</v>
      </c>
      <c r="D931" s="18">
        <v>893.0</v>
      </c>
      <c r="E931" s="18">
        <v>445.0</v>
      </c>
      <c r="F931" s="5">
        <v>49.8</v>
      </c>
      <c r="G931" s="5">
        <v>3235.0</v>
      </c>
      <c r="H931" s="5">
        <v>1448.0</v>
      </c>
      <c r="I931" s="5">
        <v>44.8</v>
      </c>
      <c r="J931" s="5"/>
    </row>
    <row r="932">
      <c r="A932" s="5" t="s">
        <v>1135</v>
      </c>
      <c r="B932" s="201" t="s">
        <v>4226</v>
      </c>
      <c r="C932" s="200" t="str">
        <f t="shared" si="1"/>
        <v>Seasonal Celebrations_10-15</v>
      </c>
      <c r="D932" s="18">
        <v>560.0</v>
      </c>
      <c r="E932" s="18">
        <v>239.0</v>
      </c>
      <c r="F932" s="5">
        <v>42.7</v>
      </c>
      <c r="G932" s="5">
        <v>2166.0</v>
      </c>
      <c r="H932" s="5">
        <v>792.0</v>
      </c>
      <c r="I932" s="5">
        <v>36.6</v>
      </c>
      <c r="J932" s="5"/>
    </row>
    <row r="933">
      <c r="A933" s="5" t="s">
        <v>1135</v>
      </c>
      <c r="B933" s="201" t="s">
        <v>1413</v>
      </c>
      <c r="C933" s="200" t="str">
        <f t="shared" si="1"/>
        <v>Seasonal Celebrations_15-20</v>
      </c>
      <c r="D933" s="18">
        <v>360.0</v>
      </c>
      <c r="E933" s="18">
        <v>89.0</v>
      </c>
      <c r="F933" s="5">
        <v>24.7</v>
      </c>
      <c r="G933" s="5">
        <v>1516.0</v>
      </c>
      <c r="H933" s="5">
        <v>341.0</v>
      </c>
      <c r="I933" s="5">
        <v>22.5</v>
      </c>
      <c r="J933" s="5"/>
    </row>
    <row r="934">
      <c r="A934" s="5" t="s">
        <v>1135</v>
      </c>
      <c r="B934" s="201" t="s">
        <v>1398</v>
      </c>
      <c r="C934" s="200" t="str">
        <f t="shared" si="1"/>
        <v>Seasonal Celebrations_20-25</v>
      </c>
      <c r="D934" s="18">
        <v>241.0</v>
      </c>
      <c r="E934" s="18">
        <v>94.0</v>
      </c>
      <c r="F934" s="5">
        <v>39.0</v>
      </c>
      <c r="G934" s="5">
        <v>1031.0</v>
      </c>
      <c r="H934" s="5">
        <v>302.0</v>
      </c>
      <c r="I934" s="5">
        <v>29.3</v>
      </c>
      <c r="J934" s="5"/>
    </row>
    <row r="935">
      <c r="A935" s="5" t="s">
        <v>1135</v>
      </c>
      <c r="B935" s="201" t="s">
        <v>1400</v>
      </c>
      <c r="C935" s="200" t="str">
        <f t="shared" si="1"/>
        <v>Seasonal Celebrations_25+</v>
      </c>
      <c r="D935" s="18">
        <v>757.0</v>
      </c>
      <c r="E935" s="18">
        <v>398.0</v>
      </c>
      <c r="F935" s="5">
        <v>52.6</v>
      </c>
      <c r="G935" s="5">
        <v>1776.0</v>
      </c>
      <c r="H935" s="5">
        <v>857.0</v>
      </c>
      <c r="I935" s="5">
        <v>48.3</v>
      </c>
      <c r="J935" s="5"/>
    </row>
    <row r="936">
      <c r="A936" s="5" t="s">
        <v>1135</v>
      </c>
      <c r="B936" s="201" t="s">
        <v>4227</v>
      </c>
      <c r="C936" s="200" t="str">
        <f t="shared" si="1"/>
        <v>Seasonal Celebrations_No Sales</v>
      </c>
      <c r="D936" s="18">
        <v>2039.0</v>
      </c>
      <c r="E936" s="18">
        <v>1430.0</v>
      </c>
      <c r="F936" s="5">
        <v>70.1</v>
      </c>
      <c r="G936" s="5">
        <v>6273.0</v>
      </c>
      <c r="H936" s="5">
        <v>3015.0</v>
      </c>
      <c r="I936" s="5">
        <v>48.1</v>
      </c>
      <c r="J936" s="5"/>
    </row>
    <row r="937">
      <c r="A937" s="5" t="s">
        <v>1063</v>
      </c>
      <c r="B937" s="201" t="s">
        <v>1426</v>
      </c>
      <c r="C937" s="200" t="str">
        <f t="shared" si="1"/>
        <v>Seasoning &amp; Spices_0-5</v>
      </c>
      <c r="D937" s="18">
        <v>1571.0</v>
      </c>
      <c r="E937" s="18">
        <v>373.0</v>
      </c>
      <c r="F937" s="5">
        <v>23.7</v>
      </c>
      <c r="G937" s="5">
        <v>12994.0</v>
      </c>
      <c r="H937" s="5">
        <v>1508.0</v>
      </c>
      <c r="I937" s="5">
        <v>11.6</v>
      </c>
      <c r="J937" s="5"/>
    </row>
    <row r="938">
      <c r="A938" s="5" t="s">
        <v>1063</v>
      </c>
      <c r="B938" s="201" t="s">
        <v>4228</v>
      </c>
      <c r="C938" s="200" t="str">
        <f t="shared" si="1"/>
        <v>Seasoning &amp; Spices_5-10</v>
      </c>
      <c r="D938" s="18">
        <v>1646.0</v>
      </c>
      <c r="E938" s="18">
        <v>349.0</v>
      </c>
      <c r="F938" s="5">
        <v>21.2</v>
      </c>
      <c r="G938" s="5">
        <v>21261.0</v>
      </c>
      <c r="H938" s="5">
        <v>1426.0</v>
      </c>
      <c r="I938" s="5">
        <v>6.7</v>
      </c>
      <c r="J938" s="5"/>
    </row>
    <row r="939">
      <c r="A939" s="5" t="s">
        <v>1063</v>
      </c>
      <c r="B939" s="201" t="s">
        <v>4226</v>
      </c>
      <c r="C939" s="200" t="str">
        <f t="shared" si="1"/>
        <v>Seasoning &amp; Spices_10-15</v>
      </c>
      <c r="D939" s="18">
        <v>642.0</v>
      </c>
      <c r="E939" s="18">
        <v>217.0</v>
      </c>
      <c r="F939" s="5">
        <v>33.8</v>
      </c>
      <c r="G939" s="5">
        <v>3240.0</v>
      </c>
      <c r="H939" s="5">
        <v>704.0</v>
      </c>
      <c r="I939" s="5">
        <v>21.7</v>
      </c>
      <c r="J939" s="5"/>
    </row>
    <row r="940">
      <c r="A940" s="5" t="s">
        <v>1063</v>
      </c>
      <c r="B940" s="201" t="s">
        <v>1413</v>
      </c>
      <c r="C940" s="200" t="str">
        <f t="shared" si="1"/>
        <v>Seasoning &amp; Spices_15-20</v>
      </c>
      <c r="D940" s="18">
        <v>475.0</v>
      </c>
      <c r="E940" s="18">
        <v>128.0</v>
      </c>
      <c r="F940" s="5">
        <v>26.9</v>
      </c>
      <c r="G940" s="5">
        <v>2774.0</v>
      </c>
      <c r="H940" s="5">
        <v>344.0</v>
      </c>
      <c r="I940" s="5">
        <v>12.4</v>
      </c>
      <c r="J940" s="5"/>
    </row>
    <row r="941">
      <c r="A941" s="5" t="s">
        <v>1063</v>
      </c>
      <c r="B941" s="201" t="s">
        <v>1398</v>
      </c>
      <c r="C941" s="200" t="str">
        <f t="shared" si="1"/>
        <v>Seasoning &amp; Spices_20-25</v>
      </c>
      <c r="D941" s="18">
        <v>54.0</v>
      </c>
      <c r="E941" s="18">
        <v>28.0</v>
      </c>
      <c r="F941" s="5">
        <v>51.9</v>
      </c>
      <c r="G941" s="5">
        <v>242.0</v>
      </c>
      <c r="H941" s="5">
        <v>78.0</v>
      </c>
      <c r="I941" s="5">
        <v>32.2</v>
      </c>
      <c r="J941" s="5"/>
    </row>
    <row r="942">
      <c r="A942" s="5" t="s">
        <v>1063</v>
      </c>
      <c r="B942" s="201" t="s">
        <v>1400</v>
      </c>
      <c r="C942" s="200" t="str">
        <f t="shared" si="1"/>
        <v>Seasoning &amp; Spices_25+</v>
      </c>
      <c r="D942" s="18">
        <v>351.0</v>
      </c>
      <c r="E942" s="18">
        <v>163.0</v>
      </c>
      <c r="F942" s="5">
        <v>46.4</v>
      </c>
      <c r="G942" s="5">
        <v>1892.0</v>
      </c>
      <c r="H942" s="5">
        <v>519.0</v>
      </c>
      <c r="I942" s="5">
        <v>27.4</v>
      </c>
      <c r="J942" s="5"/>
    </row>
    <row r="943">
      <c r="A943" s="5" t="s">
        <v>1063</v>
      </c>
      <c r="B943" s="201" t="s">
        <v>4227</v>
      </c>
      <c r="C943" s="200" t="str">
        <f t="shared" si="1"/>
        <v>Seasoning &amp; Spices_No Sales</v>
      </c>
      <c r="D943" s="18">
        <v>72.0</v>
      </c>
      <c r="E943" s="18">
        <v>65.0</v>
      </c>
      <c r="F943" s="5">
        <v>90.3</v>
      </c>
      <c r="G943" s="5">
        <v>976.0</v>
      </c>
      <c r="H943" s="5">
        <v>850.0</v>
      </c>
      <c r="I943" s="5">
        <v>87.1</v>
      </c>
      <c r="J943" s="5"/>
    </row>
    <row r="944">
      <c r="A944" s="5" t="s">
        <v>709</v>
      </c>
      <c r="B944" s="201" t="s">
        <v>4228</v>
      </c>
      <c r="C944" s="200" t="str">
        <f t="shared" si="1"/>
        <v>Sharing &amp; Gifting_5-10</v>
      </c>
      <c r="D944" s="18">
        <v>42.0</v>
      </c>
      <c r="E944" s="18">
        <v>5.0</v>
      </c>
      <c r="F944" s="5">
        <v>11.9</v>
      </c>
      <c r="G944" s="5">
        <v>467.0</v>
      </c>
      <c r="H944" s="5">
        <v>19.0</v>
      </c>
      <c r="I944" s="5">
        <v>4.1</v>
      </c>
      <c r="J944" s="5"/>
    </row>
    <row r="945">
      <c r="A945" s="5" t="s">
        <v>709</v>
      </c>
      <c r="B945" s="201" t="s">
        <v>4226</v>
      </c>
      <c r="C945" s="200" t="str">
        <f t="shared" si="1"/>
        <v>Sharing &amp; Gifting_10-15</v>
      </c>
      <c r="D945" s="18">
        <v>289.0</v>
      </c>
      <c r="E945" s="18">
        <v>6.0</v>
      </c>
      <c r="F945" s="5">
        <v>2.1</v>
      </c>
      <c r="G945" s="5">
        <v>15448.0</v>
      </c>
      <c r="H945" s="5">
        <v>143.0</v>
      </c>
      <c r="I945" s="5">
        <v>0.9</v>
      </c>
      <c r="J945" s="5"/>
    </row>
    <row r="946">
      <c r="A946" s="5" t="s">
        <v>709</v>
      </c>
      <c r="B946" s="201" t="s">
        <v>1413</v>
      </c>
      <c r="C946" s="200" t="str">
        <f t="shared" si="1"/>
        <v>Sharing &amp; Gifting_15-20</v>
      </c>
      <c r="D946" s="18">
        <v>433.0</v>
      </c>
      <c r="E946" s="18">
        <v>36.0</v>
      </c>
      <c r="F946" s="5">
        <v>8.3</v>
      </c>
      <c r="G946" s="5">
        <v>8960.0</v>
      </c>
      <c r="H946" s="5">
        <v>140.0</v>
      </c>
      <c r="I946" s="5">
        <v>1.6</v>
      </c>
      <c r="J946" s="5"/>
    </row>
    <row r="947">
      <c r="A947" s="5" t="s">
        <v>709</v>
      </c>
      <c r="B947" s="201" t="s">
        <v>1398</v>
      </c>
      <c r="C947" s="200" t="str">
        <f t="shared" si="1"/>
        <v>Sharing &amp; Gifting_20-25</v>
      </c>
      <c r="D947" s="18">
        <v>325.0</v>
      </c>
      <c r="E947" s="18">
        <v>53.0</v>
      </c>
      <c r="F947" s="5">
        <v>16.3</v>
      </c>
      <c r="G947" s="5">
        <v>4594.0</v>
      </c>
      <c r="H947" s="5">
        <v>312.0</v>
      </c>
      <c r="I947" s="5">
        <v>6.8</v>
      </c>
      <c r="J947" s="5"/>
    </row>
    <row r="948">
      <c r="A948" s="5" t="s">
        <v>709</v>
      </c>
      <c r="B948" s="201" t="s">
        <v>1400</v>
      </c>
      <c r="C948" s="200" t="str">
        <f t="shared" si="1"/>
        <v>Sharing &amp; Gifting_25+</v>
      </c>
      <c r="D948" s="18">
        <v>804.0</v>
      </c>
      <c r="E948" s="18">
        <v>286.0</v>
      </c>
      <c r="F948" s="5">
        <v>35.6</v>
      </c>
      <c r="G948" s="5">
        <v>9168.0</v>
      </c>
      <c r="H948" s="5">
        <v>988.0</v>
      </c>
      <c r="I948" s="5">
        <v>10.8</v>
      </c>
      <c r="J948" s="5"/>
    </row>
    <row r="949">
      <c r="A949" s="5" t="s">
        <v>709</v>
      </c>
      <c r="B949" s="201" t="s">
        <v>4227</v>
      </c>
      <c r="C949" s="200" t="str">
        <f t="shared" si="1"/>
        <v>Sharing &amp; Gifting_No Sales</v>
      </c>
      <c r="D949" s="18">
        <v>240.0</v>
      </c>
      <c r="E949" s="18">
        <v>116.0</v>
      </c>
      <c r="F949" s="5">
        <v>48.3</v>
      </c>
      <c r="G949" s="5">
        <v>1658.0</v>
      </c>
      <c r="H949" s="5">
        <v>282.0</v>
      </c>
      <c r="I949" s="5">
        <v>17.0</v>
      </c>
      <c r="J949" s="5"/>
    </row>
    <row r="950">
      <c r="A950" s="5" t="s">
        <v>487</v>
      </c>
      <c r="B950" s="201" t="s">
        <v>4228</v>
      </c>
      <c r="C950" s="200" t="str">
        <f t="shared" si="1"/>
        <v>Shaving &amp; Hair Removal_5-10</v>
      </c>
      <c r="D950" s="18">
        <v>15.0</v>
      </c>
      <c r="E950" s="18">
        <v>1.0</v>
      </c>
      <c r="F950" s="5">
        <v>6.7</v>
      </c>
      <c r="G950" s="5">
        <v>40.0</v>
      </c>
      <c r="H950" s="5">
        <v>3.0</v>
      </c>
      <c r="I950" s="5">
        <v>7.5</v>
      </c>
      <c r="J950" s="5"/>
    </row>
    <row r="951">
      <c r="A951" s="5" t="s">
        <v>487</v>
      </c>
      <c r="B951" s="201" t="s">
        <v>4226</v>
      </c>
      <c r="C951" s="200" t="str">
        <f t="shared" si="1"/>
        <v>Shaving &amp; Hair Removal_10-15</v>
      </c>
      <c r="D951" s="18">
        <v>146.0</v>
      </c>
      <c r="E951" s="18">
        <v>24.0</v>
      </c>
      <c r="F951" s="5">
        <v>16.4</v>
      </c>
      <c r="G951" s="5">
        <v>2455.0</v>
      </c>
      <c r="H951" s="5">
        <v>60.0</v>
      </c>
      <c r="I951" s="5">
        <v>2.4</v>
      </c>
      <c r="J951" s="5"/>
    </row>
    <row r="952">
      <c r="A952" s="5" t="s">
        <v>487</v>
      </c>
      <c r="B952" s="201" t="s">
        <v>1413</v>
      </c>
      <c r="C952" s="200" t="str">
        <f t="shared" si="1"/>
        <v>Shaving &amp; Hair Removal_15-20</v>
      </c>
      <c r="D952" s="18">
        <v>263.0</v>
      </c>
      <c r="E952" s="18">
        <v>59.0</v>
      </c>
      <c r="F952" s="5">
        <v>22.4</v>
      </c>
      <c r="G952" s="5">
        <v>2732.0</v>
      </c>
      <c r="H952" s="5">
        <v>152.0</v>
      </c>
      <c r="I952" s="5">
        <v>5.6</v>
      </c>
      <c r="J952" s="5"/>
    </row>
    <row r="953">
      <c r="A953" s="5" t="s">
        <v>487</v>
      </c>
      <c r="B953" s="201" t="s">
        <v>1398</v>
      </c>
      <c r="C953" s="200" t="str">
        <f t="shared" si="1"/>
        <v>Shaving &amp; Hair Removal_20-25</v>
      </c>
      <c r="D953" s="18">
        <v>181.0</v>
      </c>
      <c r="E953" s="18">
        <v>66.0</v>
      </c>
      <c r="F953" s="5">
        <v>36.5</v>
      </c>
      <c r="G953" s="5">
        <v>1023.0</v>
      </c>
      <c r="H953" s="5">
        <v>195.0</v>
      </c>
      <c r="I953" s="5">
        <v>19.1</v>
      </c>
      <c r="J953" s="5"/>
    </row>
    <row r="954">
      <c r="A954" s="5" t="s">
        <v>487</v>
      </c>
      <c r="B954" s="201" t="s">
        <v>1400</v>
      </c>
      <c r="C954" s="200" t="str">
        <f t="shared" si="1"/>
        <v>Shaving &amp; Hair Removal_25+</v>
      </c>
      <c r="D954" s="18">
        <v>681.0</v>
      </c>
      <c r="E954" s="18">
        <v>215.0</v>
      </c>
      <c r="F954" s="5">
        <v>31.6</v>
      </c>
      <c r="G954" s="5">
        <v>4829.0</v>
      </c>
      <c r="H954" s="5">
        <v>646.0</v>
      </c>
      <c r="I954" s="5">
        <v>13.4</v>
      </c>
      <c r="J954" s="5"/>
    </row>
    <row r="955">
      <c r="A955" s="5" t="s">
        <v>487</v>
      </c>
      <c r="B955" s="201" t="s">
        <v>4227</v>
      </c>
      <c r="C955" s="200" t="str">
        <f t="shared" si="1"/>
        <v>Shaving &amp; Hair Removal_No Sales</v>
      </c>
      <c r="D955" s="18">
        <v>13.0</v>
      </c>
      <c r="E955" s="18">
        <v>13.0</v>
      </c>
      <c r="F955" s="5">
        <v>100.0</v>
      </c>
      <c r="G955" s="5">
        <v>18.0</v>
      </c>
      <c r="H955" s="5">
        <v>18.0</v>
      </c>
      <c r="I955" s="5">
        <v>100.0</v>
      </c>
      <c r="J955" s="5"/>
    </row>
    <row r="956">
      <c r="A956" s="5" t="s">
        <v>1893</v>
      </c>
      <c r="B956" s="201" t="s">
        <v>1400</v>
      </c>
      <c r="C956" s="200" t="str">
        <f t="shared" si="1"/>
        <v>Shoe Care_25+</v>
      </c>
      <c r="D956" s="18">
        <v>22.0</v>
      </c>
      <c r="E956" s="18">
        <v>7.0</v>
      </c>
      <c r="F956" s="5">
        <v>31.8</v>
      </c>
      <c r="G956" s="5">
        <v>108.0</v>
      </c>
      <c r="H956" s="5">
        <v>23.0</v>
      </c>
      <c r="I956" s="5">
        <v>21.3</v>
      </c>
      <c r="J956" s="5"/>
    </row>
    <row r="957">
      <c r="A957" s="5" t="s">
        <v>1825</v>
      </c>
      <c r="B957" s="201" t="s">
        <v>4228</v>
      </c>
      <c r="C957" s="200" t="str">
        <f t="shared" si="1"/>
        <v>Shredded &amp; Grated_5-10</v>
      </c>
      <c r="D957" s="18">
        <v>110.0</v>
      </c>
      <c r="E957" s="18">
        <v>0.0</v>
      </c>
      <c r="F957" s="5">
        <v>0.0</v>
      </c>
      <c r="G957" s="5">
        <v>6841.0</v>
      </c>
      <c r="H957" s="5">
        <v>0.0</v>
      </c>
      <c r="I957" s="5">
        <v>0.0</v>
      </c>
      <c r="J957" s="5"/>
    </row>
    <row r="958">
      <c r="A958" s="5" t="s">
        <v>1825</v>
      </c>
      <c r="B958" s="201" t="s">
        <v>4226</v>
      </c>
      <c r="C958" s="200" t="str">
        <f t="shared" si="1"/>
        <v>Shredded &amp; Grated_10-15</v>
      </c>
      <c r="D958" s="18">
        <v>221.0</v>
      </c>
      <c r="E958" s="18">
        <v>17.0</v>
      </c>
      <c r="F958" s="5">
        <v>7.7</v>
      </c>
      <c r="G958" s="5">
        <v>11401.0</v>
      </c>
      <c r="H958" s="5">
        <v>59.0</v>
      </c>
      <c r="I958" s="5">
        <v>0.5</v>
      </c>
      <c r="J958" s="5"/>
    </row>
    <row r="959">
      <c r="A959" s="5" t="s">
        <v>1825</v>
      </c>
      <c r="B959" s="201" t="s">
        <v>1413</v>
      </c>
      <c r="C959" s="200" t="str">
        <f t="shared" si="1"/>
        <v>Shredded &amp; Grated_15-20</v>
      </c>
      <c r="D959" s="18">
        <v>258.0</v>
      </c>
      <c r="E959" s="18">
        <v>39.0</v>
      </c>
      <c r="F959" s="5">
        <v>15.1</v>
      </c>
      <c r="G959" s="5">
        <v>5247.0</v>
      </c>
      <c r="H959" s="5">
        <v>150.0</v>
      </c>
      <c r="I959" s="5">
        <v>2.9</v>
      </c>
      <c r="J959" s="5"/>
    </row>
    <row r="960">
      <c r="A960" s="5" t="s">
        <v>1825</v>
      </c>
      <c r="B960" s="201" t="s">
        <v>1398</v>
      </c>
      <c r="C960" s="200" t="str">
        <f t="shared" si="1"/>
        <v>Shredded &amp; Grated_20-25</v>
      </c>
      <c r="D960" s="18">
        <v>50.0</v>
      </c>
      <c r="E960" s="18">
        <v>12.0</v>
      </c>
      <c r="F960" s="5">
        <v>24.0</v>
      </c>
      <c r="G960" s="5">
        <v>315.0</v>
      </c>
      <c r="H960" s="5">
        <v>44.0</v>
      </c>
      <c r="I960" s="5">
        <v>14.0</v>
      </c>
      <c r="J960" s="5"/>
    </row>
    <row r="961">
      <c r="A961" s="5" t="s">
        <v>1825</v>
      </c>
      <c r="B961" s="201" t="s">
        <v>1400</v>
      </c>
      <c r="C961" s="200" t="str">
        <f t="shared" si="1"/>
        <v>Shredded &amp; Grated_25+</v>
      </c>
      <c r="D961" s="18">
        <v>98.0</v>
      </c>
      <c r="E961" s="18">
        <v>16.0</v>
      </c>
      <c r="F961" s="5">
        <v>16.3</v>
      </c>
      <c r="G961" s="5">
        <v>2632.0</v>
      </c>
      <c r="H961" s="5">
        <v>65.0</v>
      </c>
      <c r="I961" s="5">
        <v>2.5</v>
      </c>
      <c r="J961" s="5"/>
    </row>
    <row r="962">
      <c r="A962" s="5" t="s">
        <v>1825</v>
      </c>
      <c r="B962" s="201" t="s">
        <v>4227</v>
      </c>
      <c r="C962" s="200" t="str">
        <f t="shared" si="1"/>
        <v>Shredded &amp; Grated_No Sales</v>
      </c>
      <c r="D962" s="18">
        <v>3.0</v>
      </c>
      <c r="E962" s="18">
        <v>2.0</v>
      </c>
      <c r="F962" s="5">
        <v>66.7</v>
      </c>
      <c r="G962" s="5">
        <v>26.0</v>
      </c>
      <c r="H962" s="5">
        <v>2.0</v>
      </c>
      <c r="I962" s="5">
        <v>7.7</v>
      </c>
      <c r="J962" s="5"/>
    </row>
    <row r="963">
      <c r="A963" s="5" t="s">
        <v>482</v>
      </c>
      <c r="B963" s="201" t="s">
        <v>4228</v>
      </c>
      <c r="C963" s="200" t="str">
        <f t="shared" si="1"/>
        <v>Skin &amp; Treatments_5-10</v>
      </c>
      <c r="D963" s="18">
        <v>28.0</v>
      </c>
      <c r="E963" s="18">
        <v>0.0</v>
      </c>
      <c r="F963" s="5">
        <v>0.0</v>
      </c>
      <c r="G963" s="5">
        <v>1154.0</v>
      </c>
      <c r="H963" s="5">
        <v>0.0</v>
      </c>
      <c r="I963" s="5">
        <v>0.0</v>
      </c>
      <c r="J963" s="5"/>
    </row>
    <row r="964">
      <c r="A964" s="5" t="s">
        <v>482</v>
      </c>
      <c r="B964" s="201" t="s">
        <v>4226</v>
      </c>
      <c r="C964" s="200" t="str">
        <f t="shared" si="1"/>
        <v>Skin &amp; Treatments_10-15</v>
      </c>
      <c r="D964" s="18">
        <v>166.0</v>
      </c>
      <c r="E964" s="18">
        <v>33.0</v>
      </c>
      <c r="F964" s="5">
        <v>19.9</v>
      </c>
      <c r="G964" s="5">
        <v>1707.0</v>
      </c>
      <c r="H964" s="5">
        <v>108.0</v>
      </c>
      <c r="I964" s="5">
        <v>6.3</v>
      </c>
      <c r="J964" s="5"/>
    </row>
    <row r="965">
      <c r="A965" s="5" t="s">
        <v>482</v>
      </c>
      <c r="B965" s="201" t="s">
        <v>1413</v>
      </c>
      <c r="C965" s="200" t="str">
        <f t="shared" si="1"/>
        <v>Skin &amp; Treatments_15-20</v>
      </c>
      <c r="D965" s="18">
        <v>112.0</v>
      </c>
      <c r="E965" s="18">
        <v>37.0</v>
      </c>
      <c r="F965" s="5">
        <v>33.0</v>
      </c>
      <c r="G965" s="5">
        <v>696.0</v>
      </c>
      <c r="H965" s="5">
        <v>96.0</v>
      </c>
      <c r="I965" s="5">
        <v>13.8</v>
      </c>
      <c r="J965" s="5"/>
    </row>
    <row r="966">
      <c r="A966" s="5" t="s">
        <v>482</v>
      </c>
      <c r="B966" s="201" t="s">
        <v>1398</v>
      </c>
      <c r="C966" s="200" t="str">
        <f t="shared" si="1"/>
        <v>Skin &amp; Treatments_20-25</v>
      </c>
      <c r="D966" s="18">
        <v>159.0</v>
      </c>
      <c r="E966" s="18">
        <v>52.0</v>
      </c>
      <c r="F966" s="5">
        <v>32.7</v>
      </c>
      <c r="G966" s="5">
        <v>517.0</v>
      </c>
      <c r="H966" s="5">
        <v>173.0</v>
      </c>
      <c r="I966" s="5">
        <v>33.5</v>
      </c>
      <c r="J966" s="5"/>
    </row>
    <row r="967">
      <c r="A967" s="5" t="s">
        <v>482</v>
      </c>
      <c r="B967" s="201" t="s">
        <v>1400</v>
      </c>
      <c r="C967" s="200" t="str">
        <f t="shared" si="1"/>
        <v>Skin &amp; Treatments_25+</v>
      </c>
      <c r="D967" s="18">
        <v>4110.0</v>
      </c>
      <c r="E967" s="18">
        <v>2415.0</v>
      </c>
      <c r="F967" s="5">
        <v>58.8</v>
      </c>
      <c r="G967" s="5">
        <v>15609.0</v>
      </c>
      <c r="H967" s="5">
        <v>7070.0</v>
      </c>
      <c r="I967" s="5">
        <v>45.3</v>
      </c>
      <c r="J967" s="5"/>
    </row>
    <row r="968">
      <c r="A968" s="5" t="s">
        <v>482</v>
      </c>
      <c r="B968" s="201" t="s">
        <v>4227</v>
      </c>
      <c r="C968" s="200" t="str">
        <f t="shared" si="1"/>
        <v>Skin &amp; Treatments_No Sales</v>
      </c>
      <c r="D968" s="18">
        <v>641.0</v>
      </c>
      <c r="E968" s="18">
        <v>287.0</v>
      </c>
      <c r="F968" s="5">
        <v>44.8</v>
      </c>
      <c r="G968" s="5">
        <v>2894.0</v>
      </c>
      <c r="H968" s="5">
        <v>685.0</v>
      </c>
      <c r="I968" s="5">
        <v>23.7</v>
      </c>
      <c r="J968" s="5"/>
    </row>
    <row r="969">
      <c r="A969" s="5" t="s">
        <v>1535</v>
      </c>
      <c r="B969" s="201" t="s">
        <v>1426</v>
      </c>
      <c r="C969" s="200" t="str">
        <f t="shared" si="1"/>
        <v>Sliced Bread_0-5</v>
      </c>
      <c r="D969" s="18">
        <v>225.0</v>
      </c>
      <c r="E969" s="18">
        <v>7.0</v>
      </c>
      <c r="F969" s="5">
        <v>3.1</v>
      </c>
      <c r="G969" s="5">
        <v>2369.0</v>
      </c>
      <c r="H969" s="5">
        <v>18.0</v>
      </c>
      <c r="I969" s="5">
        <v>0.8</v>
      </c>
      <c r="J969" s="5"/>
    </row>
    <row r="970">
      <c r="A970" s="5" t="s">
        <v>1535</v>
      </c>
      <c r="B970" s="201" t="s">
        <v>4228</v>
      </c>
      <c r="C970" s="200" t="str">
        <f t="shared" si="1"/>
        <v>Sliced Bread_5-10</v>
      </c>
      <c r="D970" s="18">
        <v>270.0</v>
      </c>
      <c r="E970" s="18">
        <v>19.0</v>
      </c>
      <c r="F970" s="5">
        <v>7.0</v>
      </c>
      <c r="G970" s="5">
        <v>1852.0</v>
      </c>
      <c r="H970" s="5">
        <v>22.0</v>
      </c>
      <c r="I970" s="5">
        <v>1.2</v>
      </c>
      <c r="J970" s="5"/>
    </row>
    <row r="971">
      <c r="A971" s="5" t="s">
        <v>1535</v>
      </c>
      <c r="B971" s="201" t="s">
        <v>4226</v>
      </c>
      <c r="C971" s="200" t="str">
        <f t="shared" si="1"/>
        <v>Sliced Bread_10-15</v>
      </c>
      <c r="D971" s="18">
        <v>86.0</v>
      </c>
      <c r="E971" s="18">
        <v>6.0</v>
      </c>
      <c r="F971" s="5">
        <v>7.0</v>
      </c>
      <c r="G971" s="5">
        <v>1314.0</v>
      </c>
      <c r="H971" s="5">
        <v>14.0</v>
      </c>
      <c r="I971" s="5">
        <v>1.1</v>
      </c>
      <c r="J971" s="5"/>
    </row>
    <row r="972">
      <c r="A972" s="5" t="s">
        <v>1535</v>
      </c>
      <c r="B972" s="201" t="s">
        <v>1413</v>
      </c>
      <c r="C972" s="200" t="str">
        <f t="shared" si="1"/>
        <v>Sliced Bread_15-20</v>
      </c>
      <c r="D972" s="18">
        <v>108.0</v>
      </c>
      <c r="E972" s="18">
        <v>18.0</v>
      </c>
      <c r="F972" s="5">
        <v>16.7</v>
      </c>
      <c r="G972" s="5">
        <v>824.0</v>
      </c>
      <c r="H972" s="5">
        <v>38.0</v>
      </c>
      <c r="I972" s="5">
        <v>4.6</v>
      </c>
      <c r="J972" s="5"/>
    </row>
    <row r="973">
      <c r="A973" s="5" t="s">
        <v>1535</v>
      </c>
      <c r="B973" s="201" t="s">
        <v>1398</v>
      </c>
      <c r="C973" s="200" t="str">
        <f t="shared" si="1"/>
        <v>Sliced Bread_20-25</v>
      </c>
      <c r="D973" s="18">
        <v>51.0</v>
      </c>
      <c r="E973" s="18">
        <v>3.0</v>
      </c>
      <c r="F973" s="5">
        <v>5.9</v>
      </c>
      <c r="G973" s="5">
        <v>556.0</v>
      </c>
      <c r="H973" s="5">
        <v>10.0</v>
      </c>
      <c r="I973" s="5">
        <v>1.8</v>
      </c>
      <c r="J973" s="5"/>
    </row>
    <row r="974">
      <c r="A974" s="5" t="s">
        <v>1535</v>
      </c>
      <c r="B974" s="201" t="s">
        <v>1400</v>
      </c>
      <c r="C974" s="200" t="str">
        <f t="shared" si="1"/>
        <v>Sliced Bread_25+</v>
      </c>
      <c r="D974" s="18">
        <v>98.0</v>
      </c>
      <c r="E974" s="18">
        <v>21.0</v>
      </c>
      <c r="F974" s="5">
        <v>21.4</v>
      </c>
      <c r="G974" s="5">
        <v>366.0</v>
      </c>
      <c r="H974" s="5">
        <v>42.0</v>
      </c>
      <c r="I974" s="5">
        <v>11.5</v>
      </c>
      <c r="J974" s="5"/>
    </row>
    <row r="975">
      <c r="A975" s="5" t="s">
        <v>1535</v>
      </c>
      <c r="B975" s="201" t="s">
        <v>4227</v>
      </c>
      <c r="C975" s="200" t="str">
        <f t="shared" si="1"/>
        <v>Sliced Bread_No Sales</v>
      </c>
      <c r="D975" s="18">
        <v>1.0</v>
      </c>
      <c r="E975" s="18">
        <v>1.0</v>
      </c>
      <c r="F975" s="5">
        <v>100.0</v>
      </c>
      <c r="G975" s="5">
        <v>1.0</v>
      </c>
      <c r="H975" s="5">
        <v>1.0</v>
      </c>
      <c r="I975" s="5">
        <v>100.0</v>
      </c>
      <c r="J975" s="5"/>
    </row>
    <row r="976">
      <c r="A976" s="5" t="s">
        <v>251</v>
      </c>
      <c r="B976" s="201" t="s">
        <v>1426</v>
      </c>
      <c r="C976" s="200" t="str">
        <f t="shared" si="1"/>
        <v>Slices &amp; Portions_0-5</v>
      </c>
      <c r="D976" s="18">
        <v>100.0</v>
      </c>
      <c r="E976" s="18">
        <v>7.0</v>
      </c>
      <c r="F976" s="5">
        <v>7.0</v>
      </c>
      <c r="G976" s="5">
        <v>5294.0</v>
      </c>
      <c r="H976" s="5">
        <v>29.0</v>
      </c>
      <c r="I976" s="5">
        <v>0.5</v>
      </c>
      <c r="J976" s="5"/>
    </row>
    <row r="977">
      <c r="A977" s="5" t="s">
        <v>251</v>
      </c>
      <c r="B977" s="201" t="s">
        <v>4228</v>
      </c>
      <c r="C977" s="200" t="str">
        <f t="shared" si="1"/>
        <v>Slices &amp; Portions_5-10</v>
      </c>
      <c r="D977" s="18">
        <v>273.0</v>
      </c>
      <c r="E977" s="18">
        <v>20.0</v>
      </c>
      <c r="F977" s="5">
        <v>7.3</v>
      </c>
      <c r="G977" s="5">
        <v>5636.0</v>
      </c>
      <c r="H977" s="5">
        <v>72.0</v>
      </c>
      <c r="I977" s="5">
        <v>1.3</v>
      </c>
      <c r="J977" s="5"/>
    </row>
    <row r="978">
      <c r="A978" s="5" t="s">
        <v>251</v>
      </c>
      <c r="B978" s="201" t="s">
        <v>4226</v>
      </c>
      <c r="C978" s="200" t="str">
        <f t="shared" si="1"/>
        <v>Slices &amp; Portions_10-15</v>
      </c>
      <c r="D978" s="18">
        <v>849.0</v>
      </c>
      <c r="E978" s="18">
        <v>96.0</v>
      </c>
      <c r="F978" s="5">
        <v>11.3</v>
      </c>
      <c r="G978" s="5">
        <v>34281.0</v>
      </c>
      <c r="H978" s="5">
        <v>298.0</v>
      </c>
      <c r="I978" s="5">
        <v>0.9</v>
      </c>
      <c r="J978" s="5"/>
    </row>
    <row r="979">
      <c r="A979" s="5" t="s">
        <v>251</v>
      </c>
      <c r="B979" s="201" t="s">
        <v>1413</v>
      </c>
      <c r="C979" s="200" t="str">
        <f t="shared" si="1"/>
        <v>Slices &amp; Portions_15-20</v>
      </c>
      <c r="D979" s="18">
        <v>240.0</v>
      </c>
      <c r="E979" s="18">
        <v>30.0</v>
      </c>
      <c r="F979" s="5">
        <v>12.5</v>
      </c>
      <c r="G979" s="5">
        <v>3430.0</v>
      </c>
      <c r="H979" s="5">
        <v>98.0</v>
      </c>
      <c r="I979" s="5">
        <v>2.9</v>
      </c>
      <c r="J979" s="5"/>
    </row>
    <row r="980">
      <c r="A980" s="5" t="s">
        <v>251</v>
      </c>
      <c r="B980" s="201" t="s">
        <v>1398</v>
      </c>
      <c r="C980" s="200" t="str">
        <f t="shared" si="1"/>
        <v>Slices &amp; Portions_20-25</v>
      </c>
      <c r="D980" s="18">
        <v>139.0</v>
      </c>
      <c r="E980" s="18">
        <v>27.0</v>
      </c>
      <c r="F980" s="5">
        <v>19.4</v>
      </c>
      <c r="G980" s="5">
        <v>1609.0</v>
      </c>
      <c r="H980" s="5">
        <v>100.0</v>
      </c>
      <c r="I980" s="5">
        <v>6.2</v>
      </c>
      <c r="J980" s="5"/>
    </row>
    <row r="981">
      <c r="A981" s="5" t="s">
        <v>251</v>
      </c>
      <c r="B981" s="201" t="s">
        <v>1400</v>
      </c>
      <c r="C981" s="200" t="str">
        <f t="shared" si="1"/>
        <v>Slices &amp; Portions_25+</v>
      </c>
      <c r="D981" s="18">
        <v>41.0</v>
      </c>
      <c r="E981" s="18">
        <v>15.0</v>
      </c>
      <c r="F981" s="5">
        <v>36.6</v>
      </c>
      <c r="G981" s="5">
        <v>153.0</v>
      </c>
      <c r="H981" s="5">
        <v>42.0</v>
      </c>
      <c r="I981" s="5">
        <v>27.5</v>
      </c>
      <c r="J981" s="5"/>
    </row>
    <row r="982">
      <c r="A982" s="5" t="s">
        <v>251</v>
      </c>
      <c r="B982" s="201" t="s">
        <v>4227</v>
      </c>
      <c r="C982" s="200" t="str">
        <f t="shared" si="1"/>
        <v>Slices &amp; Portions_No Sales</v>
      </c>
      <c r="D982" s="18">
        <v>86.0</v>
      </c>
      <c r="E982" s="18">
        <v>28.0</v>
      </c>
      <c r="F982" s="5">
        <v>32.6</v>
      </c>
      <c r="G982" s="5">
        <v>292.0</v>
      </c>
      <c r="H982" s="5">
        <v>153.0</v>
      </c>
      <c r="I982" s="5">
        <v>52.4</v>
      </c>
      <c r="J982" s="5"/>
    </row>
    <row r="983">
      <c r="A983" s="5" t="s">
        <v>2355</v>
      </c>
      <c r="B983" s="201" t="s">
        <v>1413</v>
      </c>
      <c r="C983" s="200" t="str">
        <f t="shared" si="1"/>
        <v>Smoking Alternatives_15-20</v>
      </c>
      <c r="D983" s="18">
        <v>30.0</v>
      </c>
      <c r="E983" s="18">
        <v>24.0</v>
      </c>
      <c r="F983" s="5">
        <v>80.0</v>
      </c>
      <c r="G983" s="5">
        <v>116.0</v>
      </c>
      <c r="H983" s="5">
        <v>76.0</v>
      </c>
      <c r="I983" s="5">
        <v>65.5</v>
      </c>
      <c r="J983" s="5"/>
    </row>
    <row r="984">
      <c r="A984" s="5" t="s">
        <v>2355</v>
      </c>
      <c r="B984" s="201" t="s">
        <v>1398</v>
      </c>
      <c r="C984" s="200" t="str">
        <f t="shared" si="1"/>
        <v>Smoking Alternatives_20-25</v>
      </c>
      <c r="D984" s="18">
        <v>143.0</v>
      </c>
      <c r="E984" s="18">
        <v>91.0</v>
      </c>
      <c r="F984" s="5">
        <v>63.6</v>
      </c>
      <c r="G984" s="5">
        <v>495.0</v>
      </c>
      <c r="H984" s="5">
        <v>288.0</v>
      </c>
      <c r="I984" s="5">
        <v>58.2</v>
      </c>
      <c r="J984" s="5"/>
    </row>
    <row r="985">
      <c r="A985" s="5" t="s">
        <v>2355</v>
      </c>
      <c r="B985" s="201" t="s">
        <v>1400</v>
      </c>
      <c r="C985" s="200" t="str">
        <f t="shared" si="1"/>
        <v>Smoking Alternatives_25+</v>
      </c>
      <c r="D985" s="18">
        <v>120.0</v>
      </c>
      <c r="E985" s="18">
        <v>83.0</v>
      </c>
      <c r="F985" s="5">
        <v>69.2</v>
      </c>
      <c r="G985" s="5">
        <v>350.0</v>
      </c>
      <c r="H985" s="5">
        <v>242.0</v>
      </c>
      <c r="I985" s="5">
        <v>69.1</v>
      </c>
      <c r="J985" s="5"/>
    </row>
    <row r="986">
      <c r="A986" s="5" t="s">
        <v>815</v>
      </c>
      <c r="B986" s="201" t="s">
        <v>1426</v>
      </c>
      <c r="C986" s="200" t="str">
        <f t="shared" si="1"/>
        <v>Smoothies &amp; Refreshers_0-5</v>
      </c>
      <c r="D986" s="18">
        <v>30.0</v>
      </c>
      <c r="E986" s="18">
        <v>0.0</v>
      </c>
      <c r="F986" s="5">
        <v>0.0</v>
      </c>
      <c r="G986" s="5">
        <v>1402.0</v>
      </c>
      <c r="H986" s="5">
        <v>0.0</v>
      </c>
      <c r="I986" s="5">
        <v>0.0</v>
      </c>
      <c r="J986" s="5"/>
    </row>
    <row r="987">
      <c r="A987" s="5" t="s">
        <v>815</v>
      </c>
      <c r="B987" s="201" t="s">
        <v>4228</v>
      </c>
      <c r="C987" s="200" t="str">
        <f t="shared" si="1"/>
        <v>Smoothies &amp; Refreshers_5-10</v>
      </c>
      <c r="D987" s="18">
        <v>27.0</v>
      </c>
      <c r="E987" s="18">
        <v>3.0</v>
      </c>
      <c r="F987" s="5">
        <v>11.1</v>
      </c>
      <c r="G987" s="5">
        <v>501.0</v>
      </c>
      <c r="H987" s="5">
        <v>10.0</v>
      </c>
      <c r="I987" s="5">
        <v>2.0</v>
      </c>
      <c r="J987" s="5"/>
    </row>
    <row r="988">
      <c r="A988" s="5" t="s">
        <v>815</v>
      </c>
      <c r="B988" s="201" t="s">
        <v>4226</v>
      </c>
      <c r="C988" s="200" t="str">
        <f t="shared" si="1"/>
        <v>Smoothies &amp; Refreshers_10-15</v>
      </c>
      <c r="D988" s="18">
        <v>131.0</v>
      </c>
      <c r="E988" s="18">
        <v>17.0</v>
      </c>
      <c r="F988" s="5">
        <v>13.0</v>
      </c>
      <c r="G988" s="5">
        <v>2196.0</v>
      </c>
      <c r="H988" s="5">
        <v>45.0</v>
      </c>
      <c r="I988" s="5">
        <v>2.0</v>
      </c>
      <c r="J988" s="5"/>
    </row>
    <row r="989">
      <c r="A989" s="5" t="s">
        <v>815</v>
      </c>
      <c r="B989" s="201" t="s">
        <v>1413</v>
      </c>
      <c r="C989" s="200" t="str">
        <f t="shared" si="1"/>
        <v>Smoothies &amp; Refreshers_15-20</v>
      </c>
      <c r="D989" s="18">
        <v>70.0</v>
      </c>
      <c r="E989" s="18">
        <v>32.0</v>
      </c>
      <c r="F989" s="5">
        <v>45.7</v>
      </c>
      <c r="G989" s="5">
        <v>485.0</v>
      </c>
      <c r="H989" s="5">
        <v>91.0</v>
      </c>
      <c r="I989" s="5">
        <v>18.8</v>
      </c>
      <c r="J989" s="5"/>
    </row>
    <row r="990">
      <c r="A990" s="5" t="s">
        <v>815</v>
      </c>
      <c r="B990" s="201" t="s">
        <v>1398</v>
      </c>
      <c r="C990" s="200" t="str">
        <f t="shared" si="1"/>
        <v>Smoothies &amp; Refreshers_20-25</v>
      </c>
      <c r="D990" s="18">
        <v>16.0</v>
      </c>
      <c r="E990" s="18">
        <v>5.0</v>
      </c>
      <c r="F990" s="5">
        <v>31.3</v>
      </c>
      <c r="G990" s="5">
        <v>46.0</v>
      </c>
      <c r="H990" s="5">
        <v>21.0</v>
      </c>
      <c r="I990" s="5">
        <v>45.7</v>
      </c>
      <c r="J990" s="5"/>
    </row>
    <row r="991">
      <c r="A991" s="5" t="s">
        <v>815</v>
      </c>
      <c r="B991" s="201" t="s">
        <v>1400</v>
      </c>
      <c r="C991" s="200" t="str">
        <f t="shared" si="1"/>
        <v>Smoothies &amp; Refreshers_25+</v>
      </c>
      <c r="D991" s="18">
        <v>24.0</v>
      </c>
      <c r="E991" s="18">
        <v>11.0</v>
      </c>
      <c r="F991" s="5">
        <v>45.8</v>
      </c>
      <c r="G991" s="5">
        <v>68.0</v>
      </c>
      <c r="H991" s="5">
        <v>28.0</v>
      </c>
      <c r="I991" s="5">
        <v>41.2</v>
      </c>
      <c r="J991" s="5"/>
    </row>
    <row r="992">
      <c r="A992" s="5" t="s">
        <v>815</v>
      </c>
      <c r="B992" s="201" t="s">
        <v>4227</v>
      </c>
      <c r="C992" s="200" t="str">
        <f t="shared" si="1"/>
        <v>Smoothies &amp; Refreshers_No Sales</v>
      </c>
      <c r="D992" s="18">
        <v>2.0</v>
      </c>
      <c r="E992" s="18">
        <v>2.0</v>
      </c>
      <c r="F992" s="5">
        <v>100.0</v>
      </c>
      <c r="G992" s="5">
        <v>20.0</v>
      </c>
      <c r="H992" s="5">
        <v>20.0</v>
      </c>
      <c r="I992" s="5">
        <v>100.0</v>
      </c>
      <c r="J992" s="5"/>
    </row>
    <row r="993">
      <c r="A993" s="5" t="s">
        <v>186</v>
      </c>
      <c r="B993" s="201" t="s">
        <v>1426</v>
      </c>
      <c r="C993" s="200" t="str">
        <f t="shared" si="1"/>
        <v>Sober Sips &amp; Mixers_0-5</v>
      </c>
      <c r="D993" s="18">
        <v>587.0</v>
      </c>
      <c r="E993" s="18">
        <v>32.0</v>
      </c>
      <c r="F993" s="5">
        <v>5.5</v>
      </c>
      <c r="G993" s="5">
        <v>20105.0</v>
      </c>
      <c r="H993" s="5">
        <v>111.0</v>
      </c>
      <c r="I993" s="5">
        <v>0.6</v>
      </c>
      <c r="J993" s="5"/>
    </row>
    <row r="994">
      <c r="A994" s="5" t="s">
        <v>186</v>
      </c>
      <c r="B994" s="201" t="s">
        <v>4228</v>
      </c>
      <c r="C994" s="200" t="str">
        <f t="shared" si="1"/>
        <v>Sober Sips &amp; Mixers_5-10</v>
      </c>
      <c r="D994" s="18">
        <v>212.0</v>
      </c>
      <c r="E994" s="18">
        <v>31.0</v>
      </c>
      <c r="F994" s="5">
        <v>14.6</v>
      </c>
      <c r="G994" s="5">
        <v>5772.0</v>
      </c>
      <c r="H994" s="5">
        <v>99.0</v>
      </c>
      <c r="I994" s="5">
        <v>1.7</v>
      </c>
      <c r="J994" s="5"/>
    </row>
    <row r="995">
      <c r="A995" s="5" t="s">
        <v>186</v>
      </c>
      <c r="B995" s="201" t="s">
        <v>4226</v>
      </c>
      <c r="C995" s="200" t="str">
        <f t="shared" si="1"/>
        <v>Sober Sips &amp; Mixers_10-15</v>
      </c>
      <c r="D995" s="18">
        <v>145.0</v>
      </c>
      <c r="E995" s="18">
        <v>35.0</v>
      </c>
      <c r="F995" s="5">
        <v>24.1</v>
      </c>
      <c r="G995" s="5">
        <v>6089.0</v>
      </c>
      <c r="H995" s="5">
        <v>134.0</v>
      </c>
      <c r="I995" s="5">
        <v>2.2</v>
      </c>
      <c r="J995" s="5"/>
    </row>
    <row r="996">
      <c r="A996" s="5" t="s">
        <v>186</v>
      </c>
      <c r="B996" s="201" t="s">
        <v>1413</v>
      </c>
      <c r="C996" s="200" t="str">
        <f t="shared" si="1"/>
        <v>Sober Sips &amp; Mixers_15-20</v>
      </c>
      <c r="D996" s="18">
        <v>100.0</v>
      </c>
      <c r="E996" s="18">
        <v>23.0</v>
      </c>
      <c r="F996" s="5">
        <v>23.0</v>
      </c>
      <c r="G996" s="5">
        <v>939.0</v>
      </c>
      <c r="H996" s="5">
        <v>78.0</v>
      </c>
      <c r="I996" s="5">
        <v>8.3</v>
      </c>
      <c r="J996" s="5"/>
    </row>
    <row r="997">
      <c r="A997" s="5" t="s">
        <v>186</v>
      </c>
      <c r="B997" s="201" t="s">
        <v>1398</v>
      </c>
      <c r="C997" s="200" t="str">
        <f t="shared" si="1"/>
        <v>Sober Sips &amp; Mixers_20-25</v>
      </c>
      <c r="D997" s="18">
        <v>3.0</v>
      </c>
      <c r="E997" s="18">
        <v>2.0</v>
      </c>
      <c r="F997" s="5">
        <v>66.7</v>
      </c>
      <c r="G997" s="5">
        <v>7.0</v>
      </c>
      <c r="H997" s="5">
        <v>6.0</v>
      </c>
      <c r="I997" s="5">
        <v>85.7</v>
      </c>
      <c r="J997" s="5"/>
    </row>
    <row r="998">
      <c r="A998" s="5" t="s">
        <v>186</v>
      </c>
      <c r="B998" s="201" t="s">
        <v>1400</v>
      </c>
      <c r="C998" s="200" t="str">
        <f t="shared" si="1"/>
        <v>Sober Sips &amp; Mixers_25+</v>
      </c>
      <c r="D998" s="18">
        <v>77.0</v>
      </c>
      <c r="E998" s="18">
        <v>37.0</v>
      </c>
      <c r="F998" s="5">
        <v>48.1</v>
      </c>
      <c r="G998" s="5">
        <v>448.0</v>
      </c>
      <c r="H998" s="5">
        <v>110.0</v>
      </c>
      <c r="I998" s="5">
        <v>24.6</v>
      </c>
      <c r="J998" s="5"/>
    </row>
    <row r="999">
      <c r="A999" s="5" t="s">
        <v>186</v>
      </c>
      <c r="B999" s="201" t="s">
        <v>4227</v>
      </c>
      <c r="C999" s="200" t="str">
        <f t="shared" si="1"/>
        <v>Sober Sips &amp; Mixers_No Sales</v>
      </c>
      <c r="D999" s="18">
        <v>24.0</v>
      </c>
      <c r="E999" s="18">
        <v>4.0</v>
      </c>
      <c r="F999" s="5">
        <v>16.7</v>
      </c>
      <c r="G999" s="5">
        <v>456.0</v>
      </c>
      <c r="H999" s="5">
        <v>22.0</v>
      </c>
      <c r="I999" s="5">
        <v>4.8</v>
      </c>
      <c r="J999" s="5"/>
    </row>
    <row r="1000">
      <c r="A1000" s="5" t="s">
        <v>181</v>
      </c>
      <c r="B1000" s="201" t="s">
        <v>1426</v>
      </c>
      <c r="C1000" s="200" t="str">
        <f t="shared" si="1"/>
        <v>Soft Drinks_0-5</v>
      </c>
      <c r="D1000" s="18">
        <v>2424.0</v>
      </c>
      <c r="E1000" s="18">
        <v>130.0</v>
      </c>
      <c r="F1000" s="5">
        <v>5.4</v>
      </c>
      <c r="G1000" s="5">
        <v>104579.0</v>
      </c>
      <c r="H1000" s="5">
        <v>1357.0</v>
      </c>
      <c r="I1000" s="5">
        <v>1.3</v>
      </c>
      <c r="J1000" s="5"/>
    </row>
    <row r="1001">
      <c r="A1001" s="5" t="s">
        <v>181</v>
      </c>
      <c r="B1001" s="201" t="s">
        <v>4228</v>
      </c>
      <c r="C1001" s="200" t="str">
        <f t="shared" si="1"/>
        <v>Soft Drinks_5-10</v>
      </c>
      <c r="D1001" s="18">
        <v>256.0</v>
      </c>
      <c r="E1001" s="18">
        <v>29.0</v>
      </c>
      <c r="F1001" s="5">
        <v>11.3</v>
      </c>
      <c r="G1001" s="5">
        <v>11187.0</v>
      </c>
      <c r="H1001" s="5">
        <v>245.0</v>
      </c>
      <c r="I1001" s="5">
        <v>2.2</v>
      </c>
      <c r="J1001" s="5"/>
    </row>
    <row r="1002">
      <c r="A1002" s="5" t="s">
        <v>181</v>
      </c>
      <c r="B1002" s="201" t="s">
        <v>4226</v>
      </c>
      <c r="C1002" s="200" t="str">
        <f t="shared" si="1"/>
        <v>Soft Drinks_10-15</v>
      </c>
      <c r="D1002" s="18">
        <v>280.0</v>
      </c>
      <c r="E1002" s="18">
        <v>82.0</v>
      </c>
      <c r="F1002" s="5">
        <v>29.3</v>
      </c>
      <c r="G1002" s="5">
        <v>6473.0</v>
      </c>
      <c r="H1002" s="5">
        <v>240.0</v>
      </c>
      <c r="I1002" s="5">
        <v>3.7</v>
      </c>
      <c r="J1002" s="5"/>
    </row>
    <row r="1003">
      <c r="A1003" s="5" t="s">
        <v>181</v>
      </c>
      <c r="B1003" s="201" t="s">
        <v>1413</v>
      </c>
      <c r="C1003" s="200" t="str">
        <f t="shared" si="1"/>
        <v>Soft Drinks_15-20</v>
      </c>
      <c r="D1003" s="18">
        <v>248.0</v>
      </c>
      <c r="E1003" s="18">
        <v>31.0</v>
      </c>
      <c r="F1003" s="5">
        <v>12.5</v>
      </c>
      <c r="G1003" s="5">
        <v>2545.0</v>
      </c>
      <c r="H1003" s="5">
        <v>93.0</v>
      </c>
      <c r="I1003" s="5">
        <v>3.7</v>
      </c>
      <c r="J1003" s="5"/>
    </row>
    <row r="1004">
      <c r="A1004" s="5" t="s">
        <v>181</v>
      </c>
      <c r="B1004" s="201" t="s">
        <v>1398</v>
      </c>
      <c r="C1004" s="200" t="str">
        <f t="shared" si="1"/>
        <v>Soft Drinks_20-25</v>
      </c>
      <c r="D1004" s="18">
        <v>115.0</v>
      </c>
      <c r="E1004" s="18">
        <v>28.0</v>
      </c>
      <c r="F1004" s="5">
        <v>24.3</v>
      </c>
      <c r="G1004" s="5">
        <v>1229.0</v>
      </c>
      <c r="H1004" s="5">
        <v>100.0</v>
      </c>
      <c r="I1004" s="5">
        <v>8.1</v>
      </c>
      <c r="J1004" s="5"/>
    </row>
    <row r="1005">
      <c r="A1005" s="5" t="s">
        <v>181</v>
      </c>
      <c r="B1005" s="201" t="s">
        <v>1400</v>
      </c>
      <c r="C1005" s="200" t="str">
        <f t="shared" si="1"/>
        <v>Soft Drinks_25+</v>
      </c>
      <c r="D1005" s="18">
        <v>101.0</v>
      </c>
      <c r="E1005" s="18">
        <v>28.0</v>
      </c>
      <c r="F1005" s="5">
        <v>27.7</v>
      </c>
      <c r="G1005" s="5">
        <v>987.0</v>
      </c>
      <c r="H1005" s="5">
        <v>58.0</v>
      </c>
      <c r="I1005" s="5">
        <v>5.9</v>
      </c>
      <c r="J1005" s="5"/>
    </row>
    <row r="1006">
      <c r="A1006" s="5" t="s">
        <v>181</v>
      </c>
      <c r="B1006" s="201" t="s">
        <v>4227</v>
      </c>
      <c r="C1006" s="200" t="str">
        <f t="shared" si="1"/>
        <v>Soft Drinks_No Sales</v>
      </c>
      <c r="D1006" s="18">
        <v>112.0</v>
      </c>
      <c r="E1006" s="18">
        <v>16.0</v>
      </c>
      <c r="F1006" s="5">
        <v>14.3</v>
      </c>
      <c r="G1006" s="5">
        <v>2048.0</v>
      </c>
      <c r="H1006" s="5">
        <v>259.0</v>
      </c>
      <c r="I1006" s="5">
        <v>12.6</v>
      </c>
      <c r="J1006" s="5"/>
    </row>
    <row r="1007">
      <c r="A1007" s="5" t="s">
        <v>762</v>
      </c>
      <c r="B1007" s="201" t="s">
        <v>1426</v>
      </c>
      <c r="C1007" s="200" t="str">
        <f t="shared" si="1"/>
        <v>Sparkling Water_0-5</v>
      </c>
      <c r="D1007" s="18">
        <v>73.0</v>
      </c>
      <c r="E1007" s="18">
        <v>3.0</v>
      </c>
      <c r="F1007" s="5">
        <v>4.1</v>
      </c>
      <c r="G1007" s="5">
        <v>4650.0</v>
      </c>
      <c r="H1007" s="5">
        <v>9.0</v>
      </c>
      <c r="I1007" s="5">
        <v>0.2</v>
      </c>
      <c r="J1007" s="5"/>
    </row>
    <row r="1008">
      <c r="A1008" s="5" t="s">
        <v>762</v>
      </c>
      <c r="B1008" s="201" t="s">
        <v>4228</v>
      </c>
      <c r="C1008" s="200" t="str">
        <f t="shared" si="1"/>
        <v>Sparkling Water_5-10</v>
      </c>
      <c r="D1008" s="18">
        <v>577.0</v>
      </c>
      <c r="E1008" s="18">
        <v>68.0</v>
      </c>
      <c r="F1008" s="5">
        <v>11.8</v>
      </c>
      <c r="G1008" s="5">
        <v>16957.0</v>
      </c>
      <c r="H1008" s="5">
        <v>214.0</v>
      </c>
      <c r="I1008" s="5">
        <v>1.3</v>
      </c>
      <c r="J1008" s="5"/>
    </row>
    <row r="1009">
      <c r="A1009" s="5" t="s">
        <v>762</v>
      </c>
      <c r="B1009" s="201" t="s">
        <v>4226</v>
      </c>
      <c r="C1009" s="200" t="str">
        <f t="shared" si="1"/>
        <v>Sparkling Water_10-15</v>
      </c>
      <c r="D1009" s="18">
        <v>89.0</v>
      </c>
      <c r="E1009" s="18">
        <v>8.0</v>
      </c>
      <c r="F1009" s="5">
        <v>9.0</v>
      </c>
      <c r="G1009" s="5">
        <v>2717.0</v>
      </c>
      <c r="H1009" s="5">
        <v>28.0</v>
      </c>
      <c r="I1009" s="5">
        <v>1.0</v>
      </c>
      <c r="J1009" s="5"/>
    </row>
    <row r="1010">
      <c r="A1010" s="5" t="s">
        <v>762</v>
      </c>
      <c r="B1010" s="201" t="s">
        <v>1413</v>
      </c>
      <c r="C1010" s="200" t="str">
        <f t="shared" si="1"/>
        <v>Sparkling Water_15-20</v>
      </c>
      <c r="D1010" s="18">
        <v>99.0</v>
      </c>
      <c r="E1010" s="18">
        <v>4.0</v>
      </c>
      <c r="F1010" s="5">
        <v>4.0</v>
      </c>
      <c r="G1010" s="5">
        <v>6139.0</v>
      </c>
      <c r="H1010" s="5">
        <v>13.0</v>
      </c>
      <c r="I1010" s="5">
        <v>0.2</v>
      </c>
      <c r="J1010" s="5"/>
    </row>
    <row r="1011">
      <c r="A1011" s="5" t="s">
        <v>762</v>
      </c>
      <c r="B1011" s="201" t="s">
        <v>1398</v>
      </c>
      <c r="C1011" s="200" t="str">
        <f t="shared" si="1"/>
        <v>Sparkling Water_20-25</v>
      </c>
      <c r="D1011" s="18">
        <v>114.0</v>
      </c>
      <c r="E1011" s="18">
        <v>19.0</v>
      </c>
      <c r="F1011" s="5">
        <v>16.7</v>
      </c>
      <c r="G1011" s="5">
        <v>2104.0</v>
      </c>
      <c r="H1011" s="5">
        <v>62.0</v>
      </c>
      <c r="I1011" s="5">
        <v>2.9</v>
      </c>
      <c r="J1011" s="5"/>
    </row>
    <row r="1012">
      <c r="A1012" s="5" t="s">
        <v>762</v>
      </c>
      <c r="B1012" s="201" t="s">
        <v>1400</v>
      </c>
      <c r="C1012" s="200" t="str">
        <f t="shared" si="1"/>
        <v>Sparkling Water_25+</v>
      </c>
      <c r="D1012" s="18">
        <v>86.0</v>
      </c>
      <c r="E1012" s="18">
        <v>43.0</v>
      </c>
      <c r="F1012" s="5">
        <v>50.0</v>
      </c>
      <c r="G1012" s="5">
        <v>600.0</v>
      </c>
      <c r="H1012" s="5">
        <v>143.0</v>
      </c>
      <c r="I1012" s="5">
        <v>23.8</v>
      </c>
      <c r="J1012" s="5"/>
    </row>
    <row r="1013">
      <c r="A1013" s="5" t="s">
        <v>762</v>
      </c>
      <c r="B1013" s="201" t="s">
        <v>4227</v>
      </c>
      <c r="C1013" s="200" t="str">
        <f t="shared" si="1"/>
        <v>Sparkling Water_No Sales</v>
      </c>
      <c r="D1013" s="18">
        <v>3.0</v>
      </c>
      <c r="E1013" s="18">
        <v>0.0</v>
      </c>
      <c r="F1013" s="5">
        <v>0.0</v>
      </c>
      <c r="G1013" s="5">
        <v>34.0</v>
      </c>
      <c r="H1013" s="5">
        <v>0.0</v>
      </c>
      <c r="I1013" s="5">
        <v>0.0</v>
      </c>
      <c r="J1013" s="5"/>
    </row>
    <row r="1014">
      <c r="A1014" s="5" t="s">
        <v>3046</v>
      </c>
      <c r="B1014" s="201" t="s">
        <v>1400</v>
      </c>
      <c r="C1014" s="200" t="str">
        <f t="shared" si="1"/>
        <v>Sporting Gloves_25+</v>
      </c>
      <c r="D1014" s="18">
        <v>71.0</v>
      </c>
      <c r="E1014" s="18">
        <v>66.0</v>
      </c>
      <c r="F1014" s="5">
        <v>93.0</v>
      </c>
      <c r="G1014" s="5">
        <v>158.0</v>
      </c>
      <c r="H1014" s="5">
        <v>153.0</v>
      </c>
      <c r="I1014" s="5">
        <v>96.8</v>
      </c>
      <c r="J1014" s="5"/>
    </row>
    <row r="1015">
      <c r="A1015" s="5" t="s">
        <v>3046</v>
      </c>
      <c r="B1015" s="201" t="s">
        <v>4227</v>
      </c>
      <c r="C1015" s="200" t="str">
        <f t="shared" si="1"/>
        <v>Sporting Gloves_No Sales</v>
      </c>
      <c r="D1015" s="18">
        <v>14.0</v>
      </c>
      <c r="E1015" s="18">
        <v>14.0</v>
      </c>
      <c r="F1015" s="5">
        <v>100.0</v>
      </c>
      <c r="G1015" s="5">
        <v>15.0</v>
      </c>
      <c r="H1015" s="5">
        <v>15.0</v>
      </c>
      <c r="I1015" s="5">
        <v>100.0</v>
      </c>
      <c r="J1015" s="5"/>
    </row>
    <row r="1016">
      <c r="A1016" s="5" t="s">
        <v>202</v>
      </c>
      <c r="B1016" s="201" t="s">
        <v>1426</v>
      </c>
      <c r="C1016" s="200" t="str">
        <f t="shared" si="1"/>
        <v>Sports &amp; Energy Drinks_0-5</v>
      </c>
      <c r="D1016" s="18">
        <v>193.0</v>
      </c>
      <c r="E1016" s="18">
        <v>12.0</v>
      </c>
      <c r="F1016" s="5">
        <v>6.2</v>
      </c>
      <c r="G1016" s="5">
        <v>8118.0</v>
      </c>
      <c r="H1016" s="5">
        <v>523.0</v>
      </c>
      <c r="I1016" s="5">
        <v>6.4</v>
      </c>
      <c r="J1016" s="5"/>
    </row>
    <row r="1017">
      <c r="A1017" s="5" t="s">
        <v>202</v>
      </c>
      <c r="B1017" s="201" t="s">
        <v>4228</v>
      </c>
      <c r="C1017" s="200" t="str">
        <f t="shared" si="1"/>
        <v>Sports &amp; Energy Drinks_5-10</v>
      </c>
      <c r="D1017" s="18">
        <v>671.0</v>
      </c>
      <c r="E1017" s="18">
        <v>32.0</v>
      </c>
      <c r="F1017" s="5">
        <v>4.8</v>
      </c>
      <c r="G1017" s="5">
        <v>30537.0</v>
      </c>
      <c r="H1017" s="5">
        <v>825.0</v>
      </c>
      <c r="I1017" s="5">
        <v>2.7</v>
      </c>
      <c r="J1017" s="5"/>
    </row>
    <row r="1018">
      <c r="A1018" s="5" t="s">
        <v>202</v>
      </c>
      <c r="B1018" s="201" t="s">
        <v>4226</v>
      </c>
      <c r="C1018" s="200" t="str">
        <f t="shared" si="1"/>
        <v>Sports &amp; Energy Drinks_10-15</v>
      </c>
      <c r="D1018" s="18">
        <v>476.0</v>
      </c>
      <c r="E1018" s="18">
        <v>120.0</v>
      </c>
      <c r="F1018" s="5">
        <v>25.2</v>
      </c>
      <c r="G1018" s="5">
        <v>6804.0</v>
      </c>
      <c r="H1018" s="5">
        <v>574.0</v>
      </c>
      <c r="I1018" s="5">
        <v>8.4</v>
      </c>
      <c r="J1018" s="5"/>
    </row>
    <row r="1019">
      <c r="A1019" s="5" t="s">
        <v>202</v>
      </c>
      <c r="B1019" s="201" t="s">
        <v>1413</v>
      </c>
      <c r="C1019" s="200" t="str">
        <f t="shared" si="1"/>
        <v>Sports &amp; Energy Drinks_15-20</v>
      </c>
      <c r="D1019" s="18">
        <v>40.0</v>
      </c>
      <c r="E1019" s="18">
        <v>7.0</v>
      </c>
      <c r="F1019" s="5">
        <v>17.5</v>
      </c>
      <c r="G1019" s="5">
        <v>1159.0</v>
      </c>
      <c r="H1019" s="5">
        <v>18.0</v>
      </c>
      <c r="I1019" s="5">
        <v>1.6</v>
      </c>
      <c r="J1019" s="5"/>
    </row>
    <row r="1020">
      <c r="A1020" s="5" t="s">
        <v>202</v>
      </c>
      <c r="B1020" s="201" t="s">
        <v>1398</v>
      </c>
      <c r="C1020" s="200" t="str">
        <f t="shared" si="1"/>
        <v>Sports &amp; Energy Drinks_20-25</v>
      </c>
      <c r="D1020" s="18">
        <v>15.0</v>
      </c>
      <c r="E1020" s="18">
        <v>6.0</v>
      </c>
      <c r="F1020" s="5">
        <v>40.0</v>
      </c>
      <c r="G1020" s="5">
        <v>136.0</v>
      </c>
      <c r="H1020" s="5">
        <v>21.0</v>
      </c>
      <c r="I1020" s="5">
        <v>15.4</v>
      </c>
      <c r="J1020" s="5"/>
    </row>
    <row r="1021">
      <c r="A1021" s="5" t="s">
        <v>202</v>
      </c>
      <c r="B1021" s="201" t="s">
        <v>1400</v>
      </c>
      <c r="C1021" s="200" t="str">
        <f t="shared" si="1"/>
        <v>Sports &amp; Energy Drinks_25+</v>
      </c>
      <c r="D1021" s="18">
        <v>153.0</v>
      </c>
      <c r="E1021" s="18">
        <v>50.0</v>
      </c>
      <c r="F1021" s="5">
        <v>32.7</v>
      </c>
      <c r="G1021" s="5">
        <v>998.0</v>
      </c>
      <c r="H1021" s="5">
        <v>157.0</v>
      </c>
      <c r="I1021" s="5">
        <v>15.7</v>
      </c>
      <c r="J1021" s="5"/>
    </row>
    <row r="1022">
      <c r="A1022" s="5" t="s">
        <v>202</v>
      </c>
      <c r="B1022" s="201" t="s">
        <v>4227</v>
      </c>
      <c r="C1022" s="200" t="str">
        <f t="shared" si="1"/>
        <v>Sports &amp; Energy Drinks_No Sales</v>
      </c>
      <c r="D1022" s="18">
        <v>65.0</v>
      </c>
      <c r="E1022" s="18">
        <v>7.0</v>
      </c>
      <c r="F1022" s="5">
        <v>10.8</v>
      </c>
      <c r="G1022" s="5">
        <v>2784.0</v>
      </c>
      <c r="H1022" s="5">
        <v>23.0</v>
      </c>
      <c r="I1022" s="5">
        <v>0.8</v>
      </c>
      <c r="J1022" s="5"/>
    </row>
    <row r="1023">
      <c r="A1023" s="5" t="s">
        <v>3049</v>
      </c>
      <c r="B1023" s="201" t="s">
        <v>1413</v>
      </c>
      <c r="C1023" s="200" t="str">
        <f t="shared" si="1"/>
        <v>Sports Accessories_15-20</v>
      </c>
      <c r="D1023" s="18">
        <v>24.0</v>
      </c>
      <c r="E1023" s="18">
        <v>18.0</v>
      </c>
      <c r="F1023" s="5">
        <v>75.0</v>
      </c>
      <c r="G1023" s="5">
        <v>71.0</v>
      </c>
      <c r="H1023" s="5">
        <v>61.0</v>
      </c>
      <c r="I1023" s="5">
        <v>85.9</v>
      </c>
      <c r="J1023" s="5"/>
    </row>
    <row r="1024">
      <c r="A1024" s="5" t="s">
        <v>3049</v>
      </c>
      <c r="B1024" s="201" t="s">
        <v>1398</v>
      </c>
      <c r="C1024" s="200" t="str">
        <f t="shared" si="1"/>
        <v>Sports Accessories_20-25</v>
      </c>
      <c r="D1024" s="18">
        <v>24.0</v>
      </c>
      <c r="E1024" s="18">
        <v>19.0</v>
      </c>
      <c r="F1024" s="5">
        <v>79.2</v>
      </c>
      <c r="G1024" s="5">
        <v>42.0</v>
      </c>
      <c r="H1024" s="5">
        <v>35.0</v>
      </c>
      <c r="I1024" s="5">
        <v>83.3</v>
      </c>
      <c r="J1024" s="5"/>
    </row>
    <row r="1025">
      <c r="A1025" s="5" t="s">
        <v>3049</v>
      </c>
      <c r="B1025" s="201" t="s">
        <v>1400</v>
      </c>
      <c r="C1025" s="200" t="str">
        <f t="shared" si="1"/>
        <v>Sports Accessories_25+</v>
      </c>
      <c r="D1025" s="18">
        <v>155.0</v>
      </c>
      <c r="E1025" s="18">
        <v>124.0</v>
      </c>
      <c r="F1025" s="5">
        <v>80.0</v>
      </c>
      <c r="G1025" s="5">
        <v>392.0</v>
      </c>
      <c r="H1025" s="5">
        <v>316.0</v>
      </c>
      <c r="I1025" s="5">
        <v>80.6</v>
      </c>
      <c r="J1025" s="5"/>
    </row>
    <row r="1026">
      <c r="A1026" s="5" t="s">
        <v>3049</v>
      </c>
      <c r="B1026" s="201" t="s">
        <v>4227</v>
      </c>
      <c r="C1026" s="200" t="str">
        <f t="shared" si="1"/>
        <v>Sports Accessories_No Sales</v>
      </c>
      <c r="D1026" s="18">
        <v>61.0</v>
      </c>
      <c r="E1026" s="18">
        <v>61.0</v>
      </c>
      <c r="F1026" s="5">
        <v>100.0</v>
      </c>
      <c r="G1026" s="5">
        <v>107.0</v>
      </c>
      <c r="H1026" s="5">
        <v>107.0</v>
      </c>
      <c r="I1026" s="5">
        <v>100.0</v>
      </c>
      <c r="J1026" s="5"/>
    </row>
    <row r="1027">
      <c r="A1027" s="5" t="s">
        <v>3054</v>
      </c>
      <c r="B1027" s="201" t="s">
        <v>1400</v>
      </c>
      <c r="C1027" s="200" t="str">
        <f t="shared" si="1"/>
        <v>Sports Balls_25+</v>
      </c>
      <c r="D1027" s="18">
        <v>154.0</v>
      </c>
      <c r="E1027" s="18">
        <v>117.0</v>
      </c>
      <c r="F1027" s="5">
        <v>76.0</v>
      </c>
      <c r="G1027" s="5">
        <v>390.0</v>
      </c>
      <c r="H1027" s="5">
        <v>318.0</v>
      </c>
      <c r="I1027" s="5">
        <v>81.5</v>
      </c>
      <c r="J1027" s="5"/>
    </row>
    <row r="1028">
      <c r="A1028" s="5" t="s">
        <v>3054</v>
      </c>
      <c r="B1028" s="201" t="s">
        <v>4227</v>
      </c>
      <c r="C1028" s="200" t="str">
        <f t="shared" si="1"/>
        <v>Sports Balls_No Sales</v>
      </c>
      <c r="D1028" s="18">
        <v>11.0</v>
      </c>
      <c r="E1028" s="18">
        <v>11.0</v>
      </c>
      <c r="F1028" s="5">
        <v>100.0</v>
      </c>
      <c r="G1028" s="5">
        <v>15.0</v>
      </c>
      <c r="H1028" s="5">
        <v>15.0</v>
      </c>
      <c r="I1028" s="5">
        <v>100.0</v>
      </c>
      <c r="J1028" s="5"/>
    </row>
    <row r="1029">
      <c r="A1029" s="5" t="s">
        <v>1839</v>
      </c>
      <c r="B1029" s="201" t="s">
        <v>4228</v>
      </c>
      <c r="C1029" s="200" t="str">
        <f t="shared" si="1"/>
        <v>Spreadable Cheese_5-10</v>
      </c>
      <c r="D1029" s="18">
        <v>28.0</v>
      </c>
      <c r="E1029" s="18">
        <v>1.0</v>
      </c>
      <c r="F1029" s="5">
        <v>3.6</v>
      </c>
      <c r="G1029" s="5">
        <v>88.0</v>
      </c>
      <c r="H1029" s="5">
        <v>4.0</v>
      </c>
      <c r="I1029" s="5">
        <v>4.5</v>
      </c>
      <c r="J1029" s="5"/>
    </row>
    <row r="1030">
      <c r="A1030" s="5" t="s">
        <v>1839</v>
      </c>
      <c r="B1030" s="201" t="s">
        <v>4226</v>
      </c>
      <c r="C1030" s="200" t="str">
        <f t="shared" si="1"/>
        <v>Spreadable Cheese_10-15</v>
      </c>
      <c r="D1030" s="18">
        <v>142.0</v>
      </c>
      <c r="E1030" s="18">
        <v>2.0</v>
      </c>
      <c r="F1030" s="5">
        <v>1.4</v>
      </c>
      <c r="G1030" s="5">
        <v>20170.0</v>
      </c>
      <c r="H1030" s="5">
        <v>5.0</v>
      </c>
      <c r="I1030" s="5">
        <v>0.0</v>
      </c>
      <c r="J1030" s="5"/>
    </row>
    <row r="1031">
      <c r="A1031" s="5" t="s">
        <v>1839</v>
      </c>
      <c r="B1031" s="201" t="s">
        <v>1413</v>
      </c>
      <c r="C1031" s="200" t="str">
        <f t="shared" si="1"/>
        <v>Spreadable Cheese_15-20</v>
      </c>
      <c r="D1031" s="18">
        <v>184.0</v>
      </c>
      <c r="E1031" s="18">
        <v>7.0</v>
      </c>
      <c r="F1031" s="5">
        <v>3.8</v>
      </c>
      <c r="G1031" s="5">
        <v>8608.0</v>
      </c>
      <c r="H1031" s="5">
        <v>19.0</v>
      </c>
      <c r="I1031" s="5">
        <v>0.2</v>
      </c>
      <c r="J1031" s="5"/>
    </row>
    <row r="1032">
      <c r="A1032" s="5" t="s">
        <v>1839</v>
      </c>
      <c r="B1032" s="201" t="s">
        <v>1398</v>
      </c>
      <c r="C1032" s="200" t="str">
        <f t="shared" si="1"/>
        <v>Spreadable Cheese_20-25</v>
      </c>
      <c r="D1032" s="18">
        <v>37.0</v>
      </c>
      <c r="E1032" s="18">
        <v>9.0</v>
      </c>
      <c r="F1032" s="5">
        <v>24.3</v>
      </c>
      <c r="G1032" s="5">
        <v>350.0</v>
      </c>
      <c r="H1032" s="5">
        <v>18.0</v>
      </c>
      <c r="I1032" s="5">
        <v>5.1</v>
      </c>
      <c r="J1032" s="5"/>
    </row>
    <row r="1033">
      <c r="A1033" s="5" t="s">
        <v>1839</v>
      </c>
      <c r="B1033" s="201" t="s">
        <v>1400</v>
      </c>
      <c r="C1033" s="200" t="str">
        <f t="shared" si="1"/>
        <v>Spreadable Cheese_25+</v>
      </c>
      <c r="D1033" s="18">
        <v>82.0</v>
      </c>
      <c r="E1033" s="18">
        <v>34.0</v>
      </c>
      <c r="F1033" s="5">
        <v>41.5</v>
      </c>
      <c r="G1033" s="5">
        <v>836.0</v>
      </c>
      <c r="H1033" s="5">
        <v>111.0</v>
      </c>
      <c r="I1033" s="5">
        <v>13.3</v>
      </c>
      <c r="J1033" s="5"/>
    </row>
    <row r="1034">
      <c r="A1034" s="5" t="s">
        <v>1839</v>
      </c>
      <c r="B1034" s="201" t="s">
        <v>4227</v>
      </c>
      <c r="C1034" s="200" t="str">
        <f t="shared" si="1"/>
        <v>Spreadable Cheese_No Sales</v>
      </c>
      <c r="D1034" s="18">
        <v>7.0</v>
      </c>
      <c r="E1034" s="18">
        <v>6.0</v>
      </c>
      <c r="F1034" s="5">
        <v>85.7</v>
      </c>
      <c r="G1034" s="5">
        <v>9.0</v>
      </c>
      <c r="H1034" s="5">
        <v>8.0</v>
      </c>
      <c r="I1034" s="5">
        <v>88.9</v>
      </c>
      <c r="J1034" s="5"/>
    </row>
    <row r="1035">
      <c r="A1035" s="5" t="s">
        <v>2058</v>
      </c>
      <c r="B1035" s="201" t="s">
        <v>4226</v>
      </c>
      <c r="C1035" s="200" t="str">
        <f t="shared" si="1"/>
        <v>Spreads_10-15</v>
      </c>
      <c r="D1035" s="18">
        <v>44.0</v>
      </c>
      <c r="E1035" s="18">
        <v>20.0</v>
      </c>
      <c r="F1035" s="5">
        <v>45.5</v>
      </c>
      <c r="G1035" s="5">
        <v>114.0</v>
      </c>
      <c r="H1035" s="5">
        <v>62.0</v>
      </c>
      <c r="I1035" s="5">
        <v>54.4</v>
      </c>
      <c r="J1035" s="5"/>
    </row>
    <row r="1036">
      <c r="A1036" s="5" t="s">
        <v>2058</v>
      </c>
      <c r="B1036" s="201" t="s">
        <v>1413</v>
      </c>
      <c r="C1036" s="200" t="str">
        <f t="shared" si="1"/>
        <v>Spreads_15-20</v>
      </c>
      <c r="D1036" s="18">
        <v>17.0</v>
      </c>
      <c r="E1036" s="18">
        <v>6.0</v>
      </c>
      <c r="F1036" s="5">
        <v>35.3</v>
      </c>
      <c r="G1036" s="5">
        <v>69.0</v>
      </c>
      <c r="H1036" s="5">
        <v>25.0</v>
      </c>
      <c r="I1036" s="5">
        <v>36.2</v>
      </c>
      <c r="J1036" s="5"/>
    </row>
    <row r="1037">
      <c r="A1037" s="5" t="s">
        <v>2058</v>
      </c>
      <c r="B1037" s="201" t="s">
        <v>1400</v>
      </c>
      <c r="C1037" s="200" t="str">
        <f t="shared" si="1"/>
        <v>Spreads_25+</v>
      </c>
      <c r="D1037" s="18">
        <v>40.0</v>
      </c>
      <c r="E1037" s="18">
        <v>10.0</v>
      </c>
      <c r="F1037" s="5">
        <v>25.0</v>
      </c>
      <c r="G1037" s="5">
        <v>111.0</v>
      </c>
      <c r="H1037" s="5">
        <v>22.0</v>
      </c>
      <c r="I1037" s="5">
        <v>19.8</v>
      </c>
      <c r="J1037" s="5"/>
    </row>
    <row r="1038">
      <c r="A1038" s="5" t="s">
        <v>861</v>
      </c>
      <c r="B1038" s="201" t="s">
        <v>1426</v>
      </c>
      <c r="C1038" s="200" t="str">
        <f t="shared" si="1"/>
        <v>Spreads &amp; Syrups_0-5</v>
      </c>
      <c r="D1038" s="18">
        <v>60.0</v>
      </c>
      <c r="E1038" s="18">
        <v>1.0</v>
      </c>
      <c r="F1038" s="5">
        <v>1.7</v>
      </c>
      <c r="G1038" s="5">
        <v>4343.0</v>
      </c>
      <c r="H1038" s="5">
        <v>2.0</v>
      </c>
      <c r="I1038" s="5">
        <v>0.0</v>
      </c>
      <c r="J1038" s="5"/>
    </row>
    <row r="1039">
      <c r="A1039" s="5" t="s">
        <v>861</v>
      </c>
      <c r="B1039" s="201" t="s">
        <v>4228</v>
      </c>
      <c r="C1039" s="200" t="str">
        <f t="shared" si="1"/>
        <v>Spreads &amp; Syrups_5-10</v>
      </c>
      <c r="D1039" s="18">
        <v>59.0</v>
      </c>
      <c r="E1039" s="18">
        <v>0.0</v>
      </c>
      <c r="F1039" s="5">
        <v>0.0</v>
      </c>
      <c r="G1039" s="5">
        <v>714.0</v>
      </c>
      <c r="H1039" s="5">
        <v>0.0</v>
      </c>
      <c r="I1039" s="5">
        <v>0.0</v>
      </c>
      <c r="J1039" s="5"/>
    </row>
    <row r="1040">
      <c r="A1040" s="5" t="s">
        <v>861</v>
      </c>
      <c r="B1040" s="201" t="s">
        <v>4226</v>
      </c>
      <c r="C1040" s="200" t="str">
        <f t="shared" si="1"/>
        <v>Spreads &amp; Syrups_10-15</v>
      </c>
      <c r="D1040" s="18">
        <v>186.0</v>
      </c>
      <c r="E1040" s="18">
        <v>12.0</v>
      </c>
      <c r="F1040" s="5">
        <v>6.5</v>
      </c>
      <c r="G1040" s="5">
        <v>3473.0</v>
      </c>
      <c r="H1040" s="5">
        <v>35.0</v>
      </c>
      <c r="I1040" s="5">
        <v>1.0</v>
      </c>
      <c r="J1040" s="5"/>
    </row>
    <row r="1041">
      <c r="A1041" s="5" t="s">
        <v>861</v>
      </c>
      <c r="B1041" s="201" t="s">
        <v>1413</v>
      </c>
      <c r="C1041" s="200" t="str">
        <f t="shared" si="1"/>
        <v>Spreads &amp; Syrups_15-20</v>
      </c>
      <c r="D1041" s="18">
        <v>330.0</v>
      </c>
      <c r="E1041" s="18">
        <v>46.0</v>
      </c>
      <c r="F1041" s="5">
        <v>13.9</v>
      </c>
      <c r="G1041" s="5">
        <v>3216.0</v>
      </c>
      <c r="H1041" s="5">
        <v>127.0</v>
      </c>
      <c r="I1041" s="5">
        <v>3.9</v>
      </c>
      <c r="J1041" s="5"/>
    </row>
    <row r="1042">
      <c r="A1042" s="5" t="s">
        <v>861</v>
      </c>
      <c r="B1042" s="201" t="s">
        <v>1398</v>
      </c>
      <c r="C1042" s="200" t="str">
        <f t="shared" si="1"/>
        <v>Spreads &amp; Syrups_20-25</v>
      </c>
      <c r="D1042" s="18">
        <v>327.0</v>
      </c>
      <c r="E1042" s="18">
        <v>45.0</v>
      </c>
      <c r="F1042" s="5">
        <v>13.8</v>
      </c>
      <c r="G1042" s="5">
        <v>5510.0</v>
      </c>
      <c r="H1042" s="5">
        <v>139.0</v>
      </c>
      <c r="I1042" s="5">
        <v>2.5</v>
      </c>
      <c r="J1042" s="5"/>
    </row>
    <row r="1043">
      <c r="A1043" s="5" t="s">
        <v>861</v>
      </c>
      <c r="B1043" s="201" t="s">
        <v>1400</v>
      </c>
      <c r="C1043" s="200" t="str">
        <f t="shared" si="1"/>
        <v>Spreads &amp; Syrups_25+</v>
      </c>
      <c r="D1043" s="18">
        <v>525.0</v>
      </c>
      <c r="E1043" s="18">
        <v>213.0</v>
      </c>
      <c r="F1043" s="5">
        <v>40.6</v>
      </c>
      <c r="G1043" s="5">
        <v>3081.0</v>
      </c>
      <c r="H1043" s="5">
        <v>611.0</v>
      </c>
      <c r="I1043" s="5">
        <v>19.8</v>
      </c>
      <c r="J1043" s="5"/>
    </row>
    <row r="1044">
      <c r="A1044" s="5" t="s">
        <v>861</v>
      </c>
      <c r="B1044" s="201" t="s">
        <v>4227</v>
      </c>
      <c r="C1044" s="200" t="str">
        <f t="shared" si="1"/>
        <v>Spreads &amp; Syrups_No Sales</v>
      </c>
      <c r="D1044" s="18">
        <v>23.0</v>
      </c>
      <c r="E1044" s="18">
        <v>23.0</v>
      </c>
      <c r="F1044" s="5">
        <v>100.0</v>
      </c>
      <c r="G1044" s="5">
        <v>48.0</v>
      </c>
      <c r="H1044" s="5">
        <v>48.0</v>
      </c>
      <c r="I1044" s="5">
        <v>100.0</v>
      </c>
      <c r="J1044" s="5"/>
    </row>
    <row r="1045">
      <c r="A1045" s="5" t="s">
        <v>2641</v>
      </c>
      <c r="B1045" s="201" t="s">
        <v>4226</v>
      </c>
      <c r="C1045" s="200" t="str">
        <f t="shared" si="1"/>
        <v>Stain Removers_10-15</v>
      </c>
      <c r="D1045" s="18">
        <v>49.0</v>
      </c>
      <c r="E1045" s="18">
        <v>4.0</v>
      </c>
      <c r="F1045" s="5">
        <v>8.2</v>
      </c>
      <c r="G1045" s="5">
        <v>605.0</v>
      </c>
      <c r="H1045" s="5">
        <v>10.0</v>
      </c>
      <c r="I1045" s="5">
        <v>1.7</v>
      </c>
      <c r="J1045" s="5"/>
    </row>
    <row r="1046">
      <c r="A1046" s="5" t="s">
        <v>2641</v>
      </c>
      <c r="B1046" s="201" t="s">
        <v>1413</v>
      </c>
      <c r="C1046" s="200" t="str">
        <f t="shared" si="1"/>
        <v>Stain Removers_15-20</v>
      </c>
      <c r="D1046" s="18">
        <v>60.0</v>
      </c>
      <c r="E1046" s="18">
        <v>2.0</v>
      </c>
      <c r="F1046" s="5">
        <v>3.3</v>
      </c>
      <c r="G1046" s="5">
        <v>880.0</v>
      </c>
      <c r="H1046" s="5">
        <v>5.0</v>
      </c>
      <c r="I1046" s="5">
        <v>0.6</v>
      </c>
      <c r="J1046" s="5"/>
    </row>
    <row r="1047">
      <c r="A1047" s="5" t="s">
        <v>2641</v>
      </c>
      <c r="B1047" s="201" t="s">
        <v>1398</v>
      </c>
      <c r="C1047" s="200" t="str">
        <f t="shared" si="1"/>
        <v>Stain Removers_20-25</v>
      </c>
      <c r="D1047" s="18">
        <v>27.0</v>
      </c>
      <c r="E1047" s="18">
        <v>10.0</v>
      </c>
      <c r="F1047" s="5">
        <v>37.0</v>
      </c>
      <c r="G1047" s="5">
        <v>133.0</v>
      </c>
      <c r="H1047" s="5">
        <v>30.0</v>
      </c>
      <c r="I1047" s="5">
        <v>22.6</v>
      </c>
      <c r="J1047" s="5"/>
    </row>
    <row r="1048">
      <c r="A1048" s="5" t="s">
        <v>2641</v>
      </c>
      <c r="B1048" s="201" t="s">
        <v>1400</v>
      </c>
      <c r="C1048" s="200" t="str">
        <f t="shared" si="1"/>
        <v>Stain Removers_25+</v>
      </c>
      <c r="D1048" s="18">
        <v>168.0</v>
      </c>
      <c r="E1048" s="18">
        <v>60.0</v>
      </c>
      <c r="F1048" s="5">
        <v>35.7</v>
      </c>
      <c r="G1048" s="5">
        <v>1112.0</v>
      </c>
      <c r="H1048" s="5">
        <v>167.0</v>
      </c>
      <c r="I1048" s="5">
        <v>15.0</v>
      </c>
      <c r="J1048" s="5"/>
    </row>
    <row r="1049">
      <c r="A1049" s="5" t="s">
        <v>2641</v>
      </c>
      <c r="B1049" s="201" t="s">
        <v>4227</v>
      </c>
      <c r="C1049" s="200" t="str">
        <f t="shared" si="1"/>
        <v>Stain Removers_No Sales</v>
      </c>
      <c r="D1049" s="18">
        <v>1.0</v>
      </c>
      <c r="E1049" s="18">
        <v>1.0</v>
      </c>
      <c r="F1049" s="5">
        <v>100.0</v>
      </c>
      <c r="G1049" s="5">
        <v>2.0</v>
      </c>
      <c r="H1049" s="5">
        <v>2.0</v>
      </c>
      <c r="I1049" s="5">
        <v>100.0</v>
      </c>
      <c r="J1049" s="5"/>
    </row>
    <row r="1050">
      <c r="A1050" s="5" t="s">
        <v>538</v>
      </c>
      <c r="B1050" s="201" t="s">
        <v>1426</v>
      </c>
      <c r="C1050" s="200" t="str">
        <f t="shared" si="1"/>
        <v>Sticks &amp; Cones_0-5</v>
      </c>
      <c r="D1050" s="18">
        <v>194.0</v>
      </c>
      <c r="E1050" s="18">
        <v>7.0</v>
      </c>
      <c r="F1050" s="5">
        <v>3.6</v>
      </c>
      <c r="G1050" s="5">
        <v>11969.0</v>
      </c>
      <c r="H1050" s="5">
        <v>19.0</v>
      </c>
      <c r="I1050" s="5">
        <v>0.2</v>
      </c>
      <c r="J1050" s="5"/>
    </row>
    <row r="1051">
      <c r="A1051" s="5" t="s">
        <v>538</v>
      </c>
      <c r="B1051" s="201" t="s">
        <v>4228</v>
      </c>
      <c r="C1051" s="200" t="str">
        <f t="shared" si="1"/>
        <v>Sticks &amp; Cones_5-10</v>
      </c>
      <c r="D1051" s="18">
        <v>687.0</v>
      </c>
      <c r="E1051" s="18">
        <v>56.0</v>
      </c>
      <c r="F1051" s="5">
        <v>8.2</v>
      </c>
      <c r="G1051" s="5">
        <v>41717.0</v>
      </c>
      <c r="H1051" s="5">
        <v>304.0</v>
      </c>
      <c r="I1051" s="5">
        <v>0.7</v>
      </c>
      <c r="J1051" s="5"/>
    </row>
    <row r="1052">
      <c r="A1052" s="5" t="s">
        <v>538</v>
      </c>
      <c r="B1052" s="201" t="s">
        <v>4226</v>
      </c>
      <c r="C1052" s="200" t="str">
        <f t="shared" si="1"/>
        <v>Sticks &amp; Cones_10-15</v>
      </c>
      <c r="D1052" s="18">
        <v>316.0</v>
      </c>
      <c r="E1052" s="18">
        <v>38.0</v>
      </c>
      <c r="F1052" s="5">
        <v>12.0</v>
      </c>
      <c r="G1052" s="5">
        <v>5791.0</v>
      </c>
      <c r="H1052" s="5">
        <v>95.0</v>
      </c>
      <c r="I1052" s="5">
        <v>1.6</v>
      </c>
      <c r="J1052" s="5"/>
    </row>
    <row r="1053">
      <c r="A1053" s="5" t="s">
        <v>538</v>
      </c>
      <c r="B1053" s="201" t="s">
        <v>1413</v>
      </c>
      <c r="C1053" s="200" t="str">
        <f t="shared" si="1"/>
        <v>Sticks &amp; Cones_15-20</v>
      </c>
      <c r="D1053" s="18">
        <v>183.0</v>
      </c>
      <c r="E1053" s="18">
        <v>55.0</v>
      </c>
      <c r="F1053" s="5">
        <v>30.1</v>
      </c>
      <c r="G1053" s="5">
        <v>2731.0</v>
      </c>
      <c r="H1053" s="5">
        <v>152.0</v>
      </c>
      <c r="I1053" s="5">
        <v>5.6</v>
      </c>
      <c r="J1053" s="5"/>
    </row>
    <row r="1054">
      <c r="A1054" s="5" t="s">
        <v>538</v>
      </c>
      <c r="B1054" s="201" t="s">
        <v>1398</v>
      </c>
      <c r="C1054" s="200" t="str">
        <f t="shared" si="1"/>
        <v>Sticks &amp; Cones_20-25</v>
      </c>
      <c r="D1054" s="18">
        <v>62.0</v>
      </c>
      <c r="E1054" s="18">
        <v>22.0</v>
      </c>
      <c r="F1054" s="5">
        <v>35.5</v>
      </c>
      <c r="G1054" s="5">
        <v>526.0</v>
      </c>
      <c r="H1054" s="5">
        <v>52.0</v>
      </c>
      <c r="I1054" s="5">
        <v>9.9</v>
      </c>
      <c r="J1054" s="5"/>
    </row>
    <row r="1055">
      <c r="A1055" s="5" t="s">
        <v>538</v>
      </c>
      <c r="B1055" s="201" t="s">
        <v>1400</v>
      </c>
      <c r="C1055" s="200" t="str">
        <f t="shared" si="1"/>
        <v>Sticks &amp; Cones_25+</v>
      </c>
      <c r="D1055" s="18">
        <v>503.0</v>
      </c>
      <c r="E1055" s="18">
        <v>131.0</v>
      </c>
      <c r="F1055" s="5">
        <v>26.0</v>
      </c>
      <c r="G1055" s="5">
        <v>6480.0</v>
      </c>
      <c r="H1055" s="5">
        <v>488.0</v>
      </c>
      <c r="I1055" s="5">
        <v>7.5</v>
      </c>
      <c r="J1055" s="5"/>
    </row>
    <row r="1056">
      <c r="A1056" s="5" t="s">
        <v>538</v>
      </c>
      <c r="B1056" s="201" t="s">
        <v>4227</v>
      </c>
      <c r="C1056" s="200" t="str">
        <f t="shared" si="1"/>
        <v>Sticks &amp; Cones_No Sales</v>
      </c>
      <c r="D1056" s="18">
        <v>35.0</v>
      </c>
      <c r="E1056" s="18">
        <v>31.0</v>
      </c>
      <c r="F1056" s="5">
        <v>88.6</v>
      </c>
      <c r="G1056" s="5">
        <v>126.0</v>
      </c>
      <c r="H1056" s="5">
        <v>113.0</v>
      </c>
      <c r="I1056" s="5">
        <v>89.7</v>
      </c>
      <c r="J1056" s="5"/>
    </row>
    <row r="1057">
      <c r="A1057" s="5" t="s">
        <v>3268</v>
      </c>
      <c r="B1057" s="201" t="s">
        <v>1426</v>
      </c>
      <c r="C1057" s="200" t="str">
        <f t="shared" si="1"/>
        <v>Still Water_0-5</v>
      </c>
      <c r="D1057" s="18">
        <v>174.0</v>
      </c>
      <c r="E1057" s="18">
        <v>10.0</v>
      </c>
      <c r="F1057" s="5">
        <v>5.7</v>
      </c>
      <c r="G1057" s="5">
        <v>17715.0</v>
      </c>
      <c r="H1057" s="5">
        <v>20.0</v>
      </c>
      <c r="I1057" s="5">
        <v>0.1</v>
      </c>
      <c r="J1057" s="5"/>
    </row>
    <row r="1058">
      <c r="A1058" s="5" t="s">
        <v>3268</v>
      </c>
      <c r="B1058" s="201" t="s">
        <v>4228</v>
      </c>
      <c r="C1058" s="200" t="str">
        <f t="shared" si="1"/>
        <v>Still Water_5-10</v>
      </c>
      <c r="D1058" s="18">
        <v>395.0</v>
      </c>
      <c r="E1058" s="18">
        <v>13.0</v>
      </c>
      <c r="F1058" s="5">
        <v>3.3</v>
      </c>
      <c r="G1058" s="5">
        <v>30240.0</v>
      </c>
      <c r="H1058" s="5">
        <v>80.0</v>
      </c>
      <c r="I1058" s="5">
        <v>0.3</v>
      </c>
      <c r="J1058" s="5"/>
    </row>
    <row r="1059">
      <c r="A1059" s="5" t="s">
        <v>3268</v>
      </c>
      <c r="B1059" s="201" t="s">
        <v>4226</v>
      </c>
      <c r="C1059" s="200" t="str">
        <f t="shared" si="1"/>
        <v>Still Water_10-15</v>
      </c>
      <c r="D1059" s="18">
        <v>285.0</v>
      </c>
      <c r="E1059" s="18">
        <v>16.0</v>
      </c>
      <c r="F1059" s="5">
        <v>5.6</v>
      </c>
      <c r="G1059" s="5">
        <v>9187.0</v>
      </c>
      <c r="H1059" s="5">
        <v>112.0</v>
      </c>
      <c r="I1059" s="5">
        <v>1.2</v>
      </c>
      <c r="J1059" s="5"/>
    </row>
    <row r="1060">
      <c r="A1060" s="5" t="s">
        <v>3268</v>
      </c>
      <c r="B1060" s="201" t="s">
        <v>1413</v>
      </c>
      <c r="C1060" s="200" t="str">
        <f t="shared" si="1"/>
        <v>Still Water_15-20</v>
      </c>
      <c r="D1060" s="18">
        <v>28.0</v>
      </c>
      <c r="E1060" s="18">
        <v>2.0</v>
      </c>
      <c r="F1060" s="5">
        <v>7.1</v>
      </c>
      <c r="G1060" s="5">
        <v>865.0</v>
      </c>
      <c r="H1060" s="5">
        <v>19.0</v>
      </c>
      <c r="I1060" s="5">
        <v>2.2</v>
      </c>
      <c r="J1060" s="5"/>
    </row>
    <row r="1061">
      <c r="A1061" s="5" t="s">
        <v>3268</v>
      </c>
      <c r="B1061" s="201" t="s">
        <v>1400</v>
      </c>
      <c r="C1061" s="200" t="str">
        <f t="shared" si="1"/>
        <v>Still Water_25+</v>
      </c>
      <c r="D1061" s="18">
        <v>172.0</v>
      </c>
      <c r="E1061" s="18">
        <v>27.0</v>
      </c>
      <c r="F1061" s="5">
        <v>15.7</v>
      </c>
      <c r="G1061" s="5">
        <v>4167.0</v>
      </c>
      <c r="H1061" s="5">
        <v>75.0</v>
      </c>
      <c r="I1061" s="5">
        <v>1.8</v>
      </c>
      <c r="J1061" s="5"/>
    </row>
    <row r="1062">
      <c r="A1062" s="5" t="s">
        <v>3268</v>
      </c>
      <c r="B1062" s="201" t="s">
        <v>4227</v>
      </c>
      <c r="C1062" s="200" t="str">
        <f t="shared" si="1"/>
        <v>Still Water_No Sales</v>
      </c>
      <c r="D1062" s="18">
        <v>11.0</v>
      </c>
      <c r="E1062" s="18">
        <v>10.0</v>
      </c>
      <c r="F1062" s="5">
        <v>90.9</v>
      </c>
      <c r="G1062" s="5">
        <v>991.0</v>
      </c>
      <c r="H1062" s="5">
        <v>973.0</v>
      </c>
      <c r="I1062" s="5">
        <v>98.2</v>
      </c>
      <c r="J1062" s="5"/>
    </row>
    <row r="1063">
      <c r="A1063" s="5" t="s">
        <v>2812</v>
      </c>
      <c r="B1063" s="201" t="s">
        <v>1426</v>
      </c>
      <c r="C1063" s="200" t="str">
        <f t="shared" si="1"/>
        <v>Stocks &amp; Gravies_0-5</v>
      </c>
      <c r="D1063" s="18">
        <v>113.0</v>
      </c>
      <c r="E1063" s="18">
        <v>5.0</v>
      </c>
      <c r="F1063" s="5">
        <v>4.4</v>
      </c>
      <c r="G1063" s="5">
        <v>5540.0</v>
      </c>
      <c r="H1063" s="5">
        <v>17.0</v>
      </c>
      <c r="I1063" s="5">
        <v>0.3</v>
      </c>
      <c r="J1063" s="5"/>
    </row>
    <row r="1064">
      <c r="A1064" s="5" t="s">
        <v>2812</v>
      </c>
      <c r="B1064" s="201" t="s">
        <v>4228</v>
      </c>
      <c r="C1064" s="200" t="str">
        <f t="shared" si="1"/>
        <v>Stocks &amp; Gravies_5-10</v>
      </c>
      <c r="D1064" s="18">
        <v>29.0</v>
      </c>
      <c r="E1064" s="18">
        <v>0.0</v>
      </c>
      <c r="F1064" s="5">
        <v>0.0</v>
      </c>
      <c r="G1064" s="5">
        <v>278.0</v>
      </c>
      <c r="H1064" s="5">
        <v>0.0</v>
      </c>
      <c r="I1064" s="5">
        <v>0.0</v>
      </c>
      <c r="J1064" s="5"/>
    </row>
    <row r="1065">
      <c r="A1065" s="5" t="s">
        <v>2812</v>
      </c>
      <c r="B1065" s="201" t="s">
        <v>4226</v>
      </c>
      <c r="C1065" s="200" t="str">
        <f t="shared" si="1"/>
        <v>Stocks &amp; Gravies_10-15</v>
      </c>
      <c r="D1065" s="18">
        <v>20.0</v>
      </c>
      <c r="E1065" s="18">
        <v>19.0</v>
      </c>
      <c r="F1065" s="5">
        <v>95.0</v>
      </c>
      <c r="G1065" s="5">
        <v>60.0</v>
      </c>
      <c r="H1065" s="5">
        <v>59.0</v>
      </c>
      <c r="I1065" s="5">
        <v>98.3</v>
      </c>
      <c r="J1065" s="5"/>
    </row>
    <row r="1066">
      <c r="A1066" s="5" t="s">
        <v>2812</v>
      </c>
      <c r="B1066" s="201" t="s">
        <v>1413</v>
      </c>
      <c r="C1066" s="200" t="str">
        <f t="shared" si="1"/>
        <v>Stocks &amp; Gravies_15-20</v>
      </c>
      <c r="D1066" s="18">
        <v>97.0</v>
      </c>
      <c r="E1066" s="18">
        <v>47.0</v>
      </c>
      <c r="F1066" s="5">
        <v>48.5</v>
      </c>
      <c r="G1066" s="5">
        <v>860.0</v>
      </c>
      <c r="H1066" s="5">
        <v>145.0</v>
      </c>
      <c r="I1066" s="5">
        <v>16.9</v>
      </c>
      <c r="J1066" s="5"/>
    </row>
    <row r="1067">
      <c r="A1067" s="5" t="s">
        <v>2812</v>
      </c>
      <c r="B1067" s="201" t="s">
        <v>1398</v>
      </c>
      <c r="C1067" s="200" t="str">
        <f t="shared" si="1"/>
        <v>Stocks &amp; Gravies_20-25</v>
      </c>
      <c r="D1067" s="18">
        <v>134.0</v>
      </c>
      <c r="E1067" s="18">
        <v>56.0</v>
      </c>
      <c r="F1067" s="5">
        <v>41.8</v>
      </c>
      <c r="G1067" s="5">
        <v>535.0</v>
      </c>
      <c r="H1067" s="5">
        <v>173.0</v>
      </c>
      <c r="I1067" s="5">
        <v>32.3</v>
      </c>
      <c r="J1067" s="5"/>
    </row>
    <row r="1068">
      <c r="A1068" s="5" t="s">
        <v>2812</v>
      </c>
      <c r="B1068" s="201" t="s">
        <v>1400</v>
      </c>
      <c r="C1068" s="200" t="str">
        <f t="shared" si="1"/>
        <v>Stocks &amp; Gravies_25+</v>
      </c>
      <c r="D1068" s="18">
        <v>24.0</v>
      </c>
      <c r="E1068" s="18">
        <v>11.0</v>
      </c>
      <c r="F1068" s="5">
        <v>45.8</v>
      </c>
      <c r="G1068" s="5">
        <v>52.0</v>
      </c>
      <c r="H1068" s="5">
        <v>33.0</v>
      </c>
      <c r="I1068" s="5">
        <v>63.5</v>
      </c>
      <c r="J1068" s="5"/>
    </row>
    <row r="1069">
      <c r="A1069" s="5" t="s">
        <v>2812</v>
      </c>
      <c r="B1069" s="201" t="s">
        <v>4227</v>
      </c>
      <c r="C1069" s="200" t="str">
        <f t="shared" si="1"/>
        <v>Stocks &amp; Gravies_No Sales</v>
      </c>
      <c r="D1069" s="18">
        <v>7.0</v>
      </c>
      <c r="E1069" s="18">
        <v>6.0</v>
      </c>
      <c r="F1069" s="5">
        <v>85.7</v>
      </c>
      <c r="G1069" s="5">
        <v>28.0</v>
      </c>
      <c r="H1069" s="5">
        <v>11.0</v>
      </c>
      <c r="I1069" s="5">
        <v>39.3</v>
      </c>
      <c r="J1069" s="5"/>
    </row>
    <row r="1070">
      <c r="A1070" s="5" t="s">
        <v>2077</v>
      </c>
      <c r="B1070" s="201" t="s">
        <v>1426</v>
      </c>
      <c r="C1070" s="200" t="str">
        <f t="shared" si="1"/>
        <v>Storage &amp; Containers_0-5</v>
      </c>
      <c r="D1070" s="18">
        <v>81.0</v>
      </c>
      <c r="E1070" s="18">
        <v>4.0</v>
      </c>
      <c r="F1070" s="5">
        <v>4.9</v>
      </c>
      <c r="G1070" s="5">
        <v>604.0</v>
      </c>
      <c r="H1070" s="5">
        <v>13.0</v>
      </c>
      <c r="I1070" s="5">
        <v>2.2</v>
      </c>
      <c r="J1070" s="5"/>
    </row>
    <row r="1071">
      <c r="A1071" s="5" t="s">
        <v>2077</v>
      </c>
      <c r="B1071" s="201" t="s">
        <v>4228</v>
      </c>
      <c r="C1071" s="200" t="str">
        <f t="shared" si="1"/>
        <v>Storage &amp; Containers_5-10</v>
      </c>
      <c r="D1071" s="18">
        <v>191.0</v>
      </c>
      <c r="E1071" s="18">
        <v>11.0</v>
      </c>
      <c r="F1071" s="5">
        <v>5.8</v>
      </c>
      <c r="G1071" s="5">
        <v>2681.0</v>
      </c>
      <c r="H1071" s="5">
        <v>33.0</v>
      </c>
      <c r="I1071" s="5">
        <v>1.2</v>
      </c>
      <c r="J1071" s="5"/>
    </row>
    <row r="1072">
      <c r="A1072" s="5" t="s">
        <v>2077</v>
      </c>
      <c r="B1072" s="201" t="s">
        <v>4226</v>
      </c>
      <c r="C1072" s="200" t="str">
        <f t="shared" si="1"/>
        <v>Storage &amp; Containers_10-15</v>
      </c>
      <c r="D1072" s="18">
        <v>260.0</v>
      </c>
      <c r="E1072" s="18">
        <v>33.0</v>
      </c>
      <c r="F1072" s="5">
        <v>12.7</v>
      </c>
      <c r="G1072" s="5">
        <v>2638.0</v>
      </c>
      <c r="H1072" s="5">
        <v>96.0</v>
      </c>
      <c r="I1072" s="5">
        <v>3.6</v>
      </c>
      <c r="J1072" s="5"/>
    </row>
    <row r="1073">
      <c r="A1073" s="5" t="s">
        <v>2077</v>
      </c>
      <c r="B1073" s="201" t="s">
        <v>1413</v>
      </c>
      <c r="C1073" s="200" t="str">
        <f t="shared" si="1"/>
        <v>Storage &amp; Containers_15-20</v>
      </c>
      <c r="D1073" s="18">
        <v>92.0</v>
      </c>
      <c r="E1073" s="18">
        <v>20.0</v>
      </c>
      <c r="F1073" s="5">
        <v>21.7</v>
      </c>
      <c r="G1073" s="5">
        <v>466.0</v>
      </c>
      <c r="H1073" s="5">
        <v>62.0</v>
      </c>
      <c r="I1073" s="5">
        <v>13.3</v>
      </c>
      <c r="J1073" s="5"/>
    </row>
    <row r="1074">
      <c r="A1074" s="5" t="s">
        <v>2077</v>
      </c>
      <c r="B1074" s="201" t="s">
        <v>1398</v>
      </c>
      <c r="C1074" s="200" t="str">
        <f t="shared" si="1"/>
        <v>Storage &amp; Containers_20-25</v>
      </c>
      <c r="D1074" s="18">
        <v>149.0</v>
      </c>
      <c r="E1074" s="18">
        <v>32.0</v>
      </c>
      <c r="F1074" s="5">
        <v>21.5</v>
      </c>
      <c r="G1074" s="5">
        <v>797.0</v>
      </c>
      <c r="H1074" s="5">
        <v>93.0</v>
      </c>
      <c r="I1074" s="5">
        <v>11.7</v>
      </c>
      <c r="J1074" s="5"/>
    </row>
    <row r="1075">
      <c r="A1075" s="5" t="s">
        <v>2077</v>
      </c>
      <c r="B1075" s="201" t="s">
        <v>1400</v>
      </c>
      <c r="C1075" s="200" t="str">
        <f t="shared" si="1"/>
        <v>Storage &amp; Containers_25+</v>
      </c>
      <c r="D1075" s="18">
        <v>76.0</v>
      </c>
      <c r="E1075" s="18">
        <v>40.0</v>
      </c>
      <c r="F1075" s="5">
        <v>52.6</v>
      </c>
      <c r="G1075" s="5">
        <v>285.0</v>
      </c>
      <c r="H1075" s="5">
        <v>116.0</v>
      </c>
      <c r="I1075" s="5">
        <v>40.7</v>
      </c>
      <c r="J1075" s="5"/>
    </row>
    <row r="1076">
      <c r="A1076" s="5" t="s">
        <v>2077</v>
      </c>
      <c r="B1076" s="201" t="s">
        <v>4227</v>
      </c>
      <c r="C1076" s="200" t="str">
        <f t="shared" si="1"/>
        <v>Storage &amp; Containers_No Sales</v>
      </c>
      <c r="D1076" s="18">
        <v>1.0</v>
      </c>
      <c r="E1076" s="18">
        <v>1.0</v>
      </c>
      <c r="F1076" s="5">
        <v>100.0</v>
      </c>
      <c r="G1076" s="5">
        <v>3.0</v>
      </c>
      <c r="H1076" s="5">
        <v>3.0</v>
      </c>
      <c r="I1076" s="5">
        <v>100.0</v>
      </c>
      <c r="J1076" s="5"/>
    </row>
    <row r="1077">
      <c r="A1077" s="5" t="s">
        <v>3157</v>
      </c>
      <c r="B1077" s="201" t="s">
        <v>4227</v>
      </c>
      <c r="C1077" s="200" t="str">
        <f t="shared" si="1"/>
        <v>Stylus_No Sales</v>
      </c>
      <c r="D1077" s="18">
        <v>13.0</v>
      </c>
      <c r="E1077" s="18">
        <v>13.0</v>
      </c>
      <c r="F1077" s="5">
        <v>100.0</v>
      </c>
      <c r="G1077" s="5">
        <v>15.0</v>
      </c>
      <c r="H1077" s="5">
        <v>15.0</v>
      </c>
      <c r="I1077" s="5">
        <v>100.0</v>
      </c>
      <c r="J1077" s="5"/>
    </row>
    <row r="1078">
      <c r="A1078" s="5" t="s">
        <v>1585</v>
      </c>
      <c r="B1078" s="201" t="s">
        <v>1426</v>
      </c>
      <c r="C1078" s="200" t="str">
        <f t="shared" si="1"/>
        <v>Sugar &amp; Sweeteners_0-5</v>
      </c>
      <c r="D1078" s="18">
        <v>107.0</v>
      </c>
      <c r="E1078" s="18">
        <v>1.0</v>
      </c>
      <c r="F1078" s="5">
        <v>0.9</v>
      </c>
      <c r="G1078" s="5">
        <v>6517.0</v>
      </c>
      <c r="H1078" s="5">
        <v>3.0</v>
      </c>
      <c r="I1078" s="5">
        <v>0.0</v>
      </c>
      <c r="J1078" s="5"/>
    </row>
    <row r="1079">
      <c r="A1079" s="5" t="s">
        <v>1585</v>
      </c>
      <c r="B1079" s="201" t="s">
        <v>4228</v>
      </c>
      <c r="C1079" s="200" t="str">
        <f t="shared" si="1"/>
        <v>Sugar &amp; Sweeteners_5-10</v>
      </c>
      <c r="D1079" s="18">
        <v>283.0</v>
      </c>
      <c r="E1079" s="18">
        <v>30.0</v>
      </c>
      <c r="F1079" s="5">
        <v>10.6</v>
      </c>
      <c r="G1079" s="5">
        <v>5928.0</v>
      </c>
      <c r="H1079" s="5">
        <v>116.0</v>
      </c>
      <c r="I1079" s="5">
        <v>2.0</v>
      </c>
      <c r="J1079" s="5"/>
    </row>
    <row r="1080">
      <c r="A1080" s="5" t="s">
        <v>1585</v>
      </c>
      <c r="B1080" s="201" t="s">
        <v>4226</v>
      </c>
      <c r="C1080" s="200" t="str">
        <f t="shared" si="1"/>
        <v>Sugar &amp; Sweeteners_10-15</v>
      </c>
      <c r="D1080" s="18">
        <v>321.0</v>
      </c>
      <c r="E1080" s="18">
        <v>54.0</v>
      </c>
      <c r="F1080" s="5">
        <v>16.8</v>
      </c>
      <c r="G1080" s="5">
        <v>3879.0</v>
      </c>
      <c r="H1080" s="5">
        <v>193.0</v>
      </c>
      <c r="I1080" s="5">
        <v>5.0</v>
      </c>
      <c r="J1080" s="5"/>
    </row>
    <row r="1081">
      <c r="A1081" s="5" t="s">
        <v>1585</v>
      </c>
      <c r="B1081" s="201" t="s">
        <v>1413</v>
      </c>
      <c r="C1081" s="200" t="str">
        <f t="shared" si="1"/>
        <v>Sugar &amp; Sweeteners_15-20</v>
      </c>
      <c r="D1081" s="18">
        <v>118.0</v>
      </c>
      <c r="E1081" s="18">
        <v>32.0</v>
      </c>
      <c r="F1081" s="5">
        <v>27.1</v>
      </c>
      <c r="G1081" s="5">
        <v>821.0</v>
      </c>
      <c r="H1081" s="5">
        <v>103.0</v>
      </c>
      <c r="I1081" s="5">
        <v>12.5</v>
      </c>
      <c r="J1081" s="5"/>
    </row>
    <row r="1082">
      <c r="A1082" s="5" t="s">
        <v>1585</v>
      </c>
      <c r="B1082" s="201" t="s">
        <v>1398</v>
      </c>
      <c r="C1082" s="200" t="str">
        <f t="shared" si="1"/>
        <v>Sugar &amp; Sweeteners_20-25</v>
      </c>
      <c r="D1082" s="18">
        <v>81.0</v>
      </c>
      <c r="E1082" s="18">
        <v>29.0</v>
      </c>
      <c r="F1082" s="5">
        <v>35.8</v>
      </c>
      <c r="G1082" s="5">
        <v>631.0</v>
      </c>
      <c r="H1082" s="5">
        <v>109.0</v>
      </c>
      <c r="I1082" s="5">
        <v>17.3</v>
      </c>
      <c r="J1082" s="5"/>
    </row>
    <row r="1083">
      <c r="A1083" s="5" t="s">
        <v>1585</v>
      </c>
      <c r="B1083" s="201" t="s">
        <v>1400</v>
      </c>
      <c r="C1083" s="200" t="str">
        <f t="shared" si="1"/>
        <v>Sugar &amp; Sweeteners_25+</v>
      </c>
      <c r="D1083" s="18">
        <v>272.0</v>
      </c>
      <c r="E1083" s="18">
        <v>103.0</v>
      </c>
      <c r="F1083" s="5">
        <v>37.9</v>
      </c>
      <c r="G1083" s="5">
        <v>1220.0</v>
      </c>
      <c r="H1083" s="5">
        <v>288.0</v>
      </c>
      <c r="I1083" s="5">
        <v>23.6</v>
      </c>
      <c r="J1083" s="5"/>
    </row>
    <row r="1084">
      <c r="A1084" s="5" t="s">
        <v>1585</v>
      </c>
      <c r="B1084" s="201" t="s">
        <v>4227</v>
      </c>
      <c r="C1084" s="200" t="str">
        <f t="shared" si="1"/>
        <v>Sugar &amp; Sweeteners_No Sales</v>
      </c>
      <c r="D1084" s="18">
        <v>7.0</v>
      </c>
      <c r="E1084" s="18">
        <v>7.0</v>
      </c>
      <c r="F1084" s="5">
        <v>100.0</v>
      </c>
      <c r="G1084" s="5">
        <v>26.0</v>
      </c>
      <c r="H1084" s="5">
        <v>26.0</v>
      </c>
      <c r="I1084" s="5">
        <v>100.0</v>
      </c>
      <c r="J1084" s="5"/>
    </row>
    <row r="1085">
      <c r="A1085" s="5" t="s">
        <v>1896</v>
      </c>
      <c r="B1085" s="201" t="s">
        <v>1426</v>
      </c>
      <c r="C1085" s="200" t="str">
        <f t="shared" si="1"/>
        <v>Surface Cleaners_0-5</v>
      </c>
      <c r="D1085" s="18">
        <v>29.0</v>
      </c>
      <c r="E1085" s="18">
        <v>0.0</v>
      </c>
      <c r="F1085" s="5">
        <v>0.0</v>
      </c>
      <c r="G1085" s="5">
        <v>4338.0</v>
      </c>
      <c r="H1085" s="5">
        <v>0.0</v>
      </c>
      <c r="I1085" s="5">
        <v>0.0</v>
      </c>
      <c r="J1085" s="5"/>
    </row>
    <row r="1086">
      <c r="A1086" s="5" t="s">
        <v>1896</v>
      </c>
      <c r="B1086" s="201" t="s">
        <v>4228</v>
      </c>
      <c r="C1086" s="200" t="str">
        <f t="shared" si="1"/>
        <v>Surface Cleaners_5-10</v>
      </c>
      <c r="D1086" s="18">
        <v>146.0</v>
      </c>
      <c r="E1086" s="18">
        <v>4.0</v>
      </c>
      <c r="F1086" s="5">
        <v>2.7</v>
      </c>
      <c r="G1086" s="5">
        <v>6359.0</v>
      </c>
      <c r="H1086" s="5">
        <v>10.0</v>
      </c>
      <c r="I1086" s="5">
        <v>0.2</v>
      </c>
      <c r="J1086" s="5"/>
    </row>
    <row r="1087">
      <c r="A1087" s="5" t="s">
        <v>1896</v>
      </c>
      <c r="B1087" s="201" t="s">
        <v>4226</v>
      </c>
      <c r="C1087" s="200" t="str">
        <f t="shared" si="1"/>
        <v>Surface Cleaners_10-15</v>
      </c>
      <c r="D1087" s="18">
        <v>398.0</v>
      </c>
      <c r="E1087" s="18">
        <v>40.0</v>
      </c>
      <c r="F1087" s="5">
        <v>10.1</v>
      </c>
      <c r="G1087" s="5">
        <v>5501.0</v>
      </c>
      <c r="H1087" s="5">
        <v>117.0</v>
      </c>
      <c r="I1087" s="5">
        <v>2.1</v>
      </c>
      <c r="J1087" s="5"/>
    </row>
    <row r="1088">
      <c r="A1088" s="5" t="s">
        <v>1896</v>
      </c>
      <c r="B1088" s="201" t="s">
        <v>1413</v>
      </c>
      <c r="C1088" s="200" t="str">
        <f t="shared" si="1"/>
        <v>Surface Cleaners_15-20</v>
      </c>
      <c r="D1088" s="18">
        <v>489.0</v>
      </c>
      <c r="E1088" s="18">
        <v>86.0</v>
      </c>
      <c r="F1088" s="5">
        <v>17.6</v>
      </c>
      <c r="G1088" s="5">
        <v>7001.0</v>
      </c>
      <c r="H1088" s="5">
        <v>254.0</v>
      </c>
      <c r="I1088" s="5">
        <v>3.6</v>
      </c>
      <c r="J1088" s="5"/>
    </row>
    <row r="1089">
      <c r="A1089" s="5" t="s">
        <v>1896</v>
      </c>
      <c r="B1089" s="201" t="s">
        <v>1398</v>
      </c>
      <c r="C1089" s="200" t="str">
        <f t="shared" si="1"/>
        <v>Surface Cleaners_20-25</v>
      </c>
      <c r="D1089" s="18">
        <v>381.0</v>
      </c>
      <c r="E1089" s="18">
        <v>64.0</v>
      </c>
      <c r="F1089" s="5">
        <v>16.8</v>
      </c>
      <c r="G1089" s="5">
        <v>4948.0</v>
      </c>
      <c r="H1089" s="5">
        <v>170.0</v>
      </c>
      <c r="I1089" s="5">
        <v>3.4</v>
      </c>
      <c r="J1089" s="5"/>
    </row>
    <row r="1090">
      <c r="A1090" s="5" t="s">
        <v>1896</v>
      </c>
      <c r="B1090" s="201" t="s">
        <v>1400</v>
      </c>
      <c r="C1090" s="200" t="str">
        <f t="shared" si="1"/>
        <v>Surface Cleaners_25+</v>
      </c>
      <c r="D1090" s="18">
        <v>728.0</v>
      </c>
      <c r="E1090" s="18">
        <v>189.0</v>
      </c>
      <c r="F1090" s="5">
        <v>26.0</v>
      </c>
      <c r="G1090" s="5">
        <v>7019.0</v>
      </c>
      <c r="H1090" s="5">
        <v>521.0</v>
      </c>
      <c r="I1090" s="5">
        <v>7.4</v>
      </c>
      <c r="J1090" s="5"/>
    </row>
    <row r="1091">
      <c r="A1091" s="5" t="s">
        <v>1896</v>
      </c>
      <c r="B1091" s="201" t="s">
        <v>4227</v>
      </c>
      <c r="C1091" s="200" t="str">
        <f t="shared" si="1"/>
        <v>Surface Cleaners_No Sales</v>
      </c>
      <c r="D1091" s="18">
        <v>29.0</v>
      </c>
      <c r="E1091" s="18">
        <v>18.0</v>
      </c>
      <c r="F1091" s="5">
        <v>62.1</v>
      </c>
      <c r="G1091" s="5">
        <v>86.0</v>
      </c>
      <c r="H1091" s="5">
        <v>48.0</v>
      </c>
      <c r="I1091" s="5">
        <v>55.8</v>
      </c>
      <c r="J1091" s="5"/>
    </row>
    <row r="1092">
      <c r="A1092" s="5" t="s">
        <v>3057</v>
      </c>
      <c r="B1092" s="201" t="s">
        <v>4226</v>
      </c>
      <c r="C1092" s="200" t="str">
        <f t="shared" si="1"/>
        <v>Swimming_10-15</v>
      </c>
      <c r="D1092" s="18">
        <v>18.0</v>
      </c>
      <c r="E1092" s="18">
        <v>16.0</v>
      </c>
      <c r="F1092" s="5">
        <v>88.9</v>
      </c>
      <c r="G1092" s="5">
        <v>31.0</v>
      </c>
      <c r="H1092" s="5">
        <v>28.0</v>
      </c>
      <c r="I1092" s="5">
        <v>90.3</v>
      </c>
      <c r="J1092" s="5"/>
    </row>
    <row r="1093">
      <c r="A1093" s="5" t="s">
        <v>3057</v>
      </c>
      <c r="B1093" s="201" t="s">
        <v>1398</v>
      </c>
      <c r="C1093" s="200" t="str">
        <f t="shared" si="1"/>
        <v>Swimming_20-25</v>
      </c>
      <c r="D1093" s="18">
        <v>28.0</v>
      </c>
      <c r="E1093" s="18">
        <v>25.0</v>
      </c>
      <c r="F1093" s="5">
        <v>89.3</v>
      </c>
      <c r="G1093" s="5">
        <v>56.0</v>
      </c>
      <c r="H1093" s="5">
        <v>51.0</v>
      </c>
      <c r="I1093" s="5">
        <v>91.1</v>
      </c>
      <c r="J1093" s="5"/>
    </row>
    <row r="1094">
      <c r="A1094" s="5" t="s">
        <v>3057</v>
      </c>
      <c r="B1094" s="201" t="s">
        <v>1400</v>
      </c>
      <c r="C1094" s="200" t="str">
        <f t="shared" si="1"/>
        <v>Swimming_25+</v>
      </c>
      <c r="D1094" s="18">
        <v>122.0</v>
      </c>
      <c r="E1094" s="18">
        <v>111.0</v>
      </c>
      <c r="F1094" s="5">
        <v>91.0</v>
      </c>
      <c r="G1094" s="5">
        <v>318.0</v>
      </c>
      <c r="H1094" s="5">
        <v>294.0</v>
      </c>
      <c r="I1094" s="5">
        <v>92.5</v>
      </c>
      <c r="J1094" s="5"/>
    </row>
    <row r="1095">
      <c r="A1095" s="5" t="s">
        <v>801</v>
      </c>
      <c r="B1095" s="201" t="s">
        <v>1426</v>
      </c>
      <c r="C1095" s="200" t="str">
        <f t="shared" si="1"/>
        <v>Syrups &amp; Toppings_0-5</v>
      </c>
      <c r="D1095" s="18">
        <v>14.0</v>
      </c>
      <c r="E1095" s="18">
        <v>9.0</v>
      </c>
      <c r="F1095" s="5">
        <v>64.3</v>
      </c>
      <c r="G1095" s="5">
        <v>52.0</v>
      </c>
      <c r="H1095" s="5">
        <v>12.0</v>
      </c>
      <c r="I1095" s="5">
        <v>23.1</v>
      </c>
      <c r="J1095" s="5"/>
    </row>
    <row r="1096">
      <c r="A1096" s="5" t="s">
        <v>801</v>
      </c>
      <c r="B1096" s="201" t="s">
        <v>4228</v>
      </c>
      <c r="C1096" s="200" t="str">
        <f t="shared" si="1"/>
        <v>Syrups &amp; Toppings_5-10</v>
      </c>
      <c r="D1096" s="18">
        <v>2.0</v>
      </c>
      <c r="E1096" s="18">
        <v>1.0</v>
      </c>
      <c r="F1096" s="5">
        <v>50.0</v>
      </c>
      <c r="G1096" s="5">
        <v>2.0</v>
      </c>
      <c r="H1096" s="5">
        <v>1.0</v>
      </c>
      <c r="I1096" s="5">
        <v>50.0</v>
      </c>
      <c r="J1096" s="5"/>
    </row>
    <row r="1097">
      <c r="A1097" s="5" t="s">
        <v>801</v>
      </c>
      <c r="B1097" s="201" t="s">
        <v>4226</v>
      </c>
      <c r="C1097" s="200" t="str">
        <f t="shared" si="1"/>
        <v>Syrups &amp; Toppings_10-15</v>
      </c>
      <c r="D1097" s="18">
        <v>84.0</v>
      </c>
      <c r="E1097" s="18">
        <v>9.0</v>
      </c>
      <c r="F1097" s="5">
        <v>10.7</v>
      </c>
      <c r="G1097" s="5">
        <v>492.0</v>
      </c>
      <c r="H1097" s="5">
        <v>29.0</v>
      </c>
      <c r="I1097" s="5">
        <v>5.9</v>
      </c>
      <c r="J1097" s="5"/>
    </row>
    <row r="1098">
      <c r="A1098" s="5" t="s">
        <v>801</v>
      </c>
      <c r="B1098" s="201" t="s">
        <v>1413</v>
      </c>
      <c r="C1098" s="200" t="str">
        <f t="shared" si="1"/>
        <v>Syrups &amp; Toppings_15-20</v>
      </c>
      <c r="D1098" s="18">
        <v>167.0</v>
      </c>
      <c r="E1098" s="18">
        <v>63.0</v>
      </c>
      <c r="F1098" s="5">
        <v>37.7</v>
      </c>
      <c r="G1098" s="5">
        <v>918.0</v>
      </c>
      <c r="H1098" s="5">
        <v>199.0</v>
      </c>
      <c r="I1098" s="5">
        <v>21.7</v>
      </c>
      <c r="J1098" s="5"/>
    </row>
    <row r="1099">
      <c r="A1099" s="5" t="s">
        <v>801</v>
      </c>
      <c r="B1099" s="201" t="s">
        <v>1398</v>
      </c>
      <c r="C1099" s="200" t="str">
        <f t="shared" si="1"/>
        <v>Syrups &amp; Toppings_20-25</v>
      </c>
      <c r="D1099" s="18">
        <v>113.0</v>
      </c>
      <c r="E1099" s="18">
        <v>37.0</v>
      </c>
      <c r="F1099" s="5">
        <v>32.7</v>
      </c>
      <c r="G1099" s="5">
        <v>1442.0</v>
      </c>
      <c r="H1099" s="5">
        <v>118.0</v>
      </c>
      <c r="I1099" s="5">
        <v>8.2</v>
      </c>
      <c r="J1099" s="5"/>
    </row>
    <row r="1100">
      <c r="A1100" s="5" t="s">
        <v>801</v>
      </c>
      <c r="B1100" s="201" t="s">
        <v>1400</v>
      </c>
      <c r="C1100" s="200" t="str">
        <f t="shared" si="1"/>
        <v>Syrups &amp; Toppings_25+</v>
      </c>
      <c r="D1100" s="18">
        <v>139.0</v>
      </c>
      <c r="E1100" s="18">
        <v>34.0</v>
      </c>
      <c r="F1100" s="5">
        <v>24.5</v>
      </c>
      <c r="G1100" s="5">
        <v>1287.0</v>
      </c>
      <c r="H1100" s="5">
        <v>86.0</v>
      </c>
      <c r="I1100" s="5">
        <v>6.7</v>
      </c>
      <c r="J1100" s="5"/>
    </row>
    <row r="1101">
      <c r="A1101" s="5" t="s">
        <v>801</v>
      </c>
      <c r="B1101" s="201" t="s">
        <v>4227</v>
      </c>
      <c r="C1101" s="200" t="str">
        <f t="shared" si="1"/>
        <v>Syrups &amp; Toppings_No Sales</v>
      </c>
      <c r="D1101" s="18">
        <v>3.0</v>
      </c>
      <c r="E1101" s="18">
        <v>2.0</v>
      </c>
      <c r="F1101" s="5">
        <v>66.7</v>
      </c>
      <c r="G1101" s="5">
        <v>3.0</v>
      </c>
      <c r="H1101" s="5">
        <v>2.0</v>
      </c>
      <c r="I1101" s="5">
        <v>66.7</v>
      </c>
      <c r="J1101" s="5"/>
    </row>
    <row r="1102">
      <c r="A1102" s="5" t="s">
        <v>3169</v>
      </c>
      <c r="B1102" s="201" t="s">
        <v>1400</v>
      </c>
      <c r="C1102" s="200" t="str">
        <f t="shared" si="1"/>
        <v>T-shirts_25+</v>
      </c>
      <c r="D1102" s="18">
        <v>316.0</v>
      </c>
      <c r="E1102" s="18">
        <v>268.0</v>
      </c>
      <c r="F1102" s="5">
        <v>84.8</v>
      </c>
      <c r="G1102" s="5">
        <v>906.0</v>
      </c>
      <c r="H1102" s="5">
        <v>621.0</v>
      </c>
      <c r="I1102" s="5">
        <v>68.5</v>
      </c>
      <c r="J1102" s="5"/>
    </row>
    <row r="1103">
      <c r="A1103" s="5" t="s">
        <v>3169</v>
      </c>
      <c r="B1103" s="201" t="s">
        <v>4227</v>
      </c>
      <c r="C1103" s="200" t="str">
        <f t="shared" si="1"/>
        <v>T-shirts_No Sales</v>
      </c>
      <c r="D1103" s="18">
        <v>90.0</v>
      </c>
      <c r="E1103" s="18">
        <v>90.0</v>
      </c>
      <c r="F1103" s="5">
        <v>100.0</v>
      </c>
      <c r="G1103" s="5">
        <v>158.0</v>
      </c>
      <c r="H1103" s="5">
        <v>158.0</v>
      </c>
      <c r="I1103" s="5">
        <v>100.0</v>
      </c>
      <c r="J1103" s="5"/>
    </row>
    <row r="1104">
      <c r="A1104" s="5" t="s">
        <v>302</v>
      </c>
      <c r="B1104" s="201" t="s">
        <v>1426</v>
      </c>
      <c r="C1104" s="200" t="str">
        <f t="shared" si="1"/>
        <v>Tableware_0-5</v>
      </c>
      <c r="D1104" s="18">
        <v>279.0</v>
      </c>
      <c r="E1104" s="18">
        <v>3.0</v>
      </c>
      <c r="F1104" s="5">
        <v>1.1</v>
      </c>
      <c r="G1104" s="5">
        <v>3539.0</v>
      </c>
      <c r="H1104" s="5">
        <v>39.0</v>
      </c>
      <c r="I1104" s="5">
        <v>1.1</v>
      </c>
      <c r="J1104" s="5"/>
    </row>
    <row r="1105">
      <c r="A1105" s="5" t="s">
        <v>302</v>
      </c>
      <c r="B1105" s="201" t="s">
        <v>4228</v>
      </c>
      <c r="C1105" s="200" t="str">
        <f t="shared" si="1"/>
        <v>Tableware_5-10</v>
      </c>
      <c r="D1105" s="18">
        <v>367.0</v>
      </c>
      <c r="E1105" s="18">
        <v>30.0</v>
      </c>
      <c r="F1105" s="5">
        <v>8.2</v>
      </c>
      <c r="G1105" s="5">
        <v>5367.0</v>
      </c>
      <c r="H1105" s="5">
        <v>89.0</v>
      </c>
      <c r="I1105" s="5">
        <v>1.7</v>
      </c>
      <c r="J1105" s="5"/>
    </row>
    <row r="1106">
      <c r="A1106" s="5" t="s">
        <v>302</v>
      </c>
      <c r="B1106" s="201" t="s">
        <v>4226</v>
      </c>
      <c r="C1106" s="200" t="str">
        <f t="shared" si="1"/>
        <v>Tableware_10-15</v>
      </c>
      <c r="D1106" s="18">
        <v>256.0</v>
      </c>
      <c r="E1106" s="18">
        <v>31.0</v>
      </c>
      <c r="F1106" s="5">
        <v>12.1</v>
      </c>
      <c r="G1106" s="5">
        <v>2119.0</v>
      </c>
      <c r="H1106" s="5">
        <v>90.0</v>
      </c>
      <c r="I1106" s="5">
        <v>4.2</v>
      </c>
      <c r="J1106" s="5"/>
    </row>
    <row r="1107">
      <c r="A1107" s="5" t="s">
        <v>302</v>
      </c>
      <c r="B1107" s="201" t="s">
        <v>1413</v>
      </c>
      <c r="C1107" s="200" t="str">
        <f t="shared" si="1"/>
        <v>Tableware_15-20</v>
      </c>
      <c r="D1107" s="18">
        <v>153.0</v>
      </c>
      <c r="E1107" s="18">
        <v>35.0</v>
      </c>
      <c r="F1107" s="5">
        <v>22.9</v>
      </c>
      <c r="G1107" s="5">
        <v>958.0</v>
      </c>
      <c r="H1107" s="5">
        <v>109.0</v>
      </c>
      <c r="I1107" s="5">
        <v>11.4</v>
      </c>
      <c r="J1107" s="5"/>
    </row>
    <row r="1108">
      <c r="A1108" s="5" t="s">
        <v>302</v>
      </c>
      <c r="B1108" s="201" t="s">
        <v>1398</v>
      </c>
      <c r="C1108" s="200" t="str">
        <f t="shared" si="1"/>
        <v>Tableware_20-25</v>
      </c>
      <c r="D1108" s="18">
        <v>30.0</v>
      </c>
      <c r="E1108" s="18">
        <v>1.0</v>
      </c>
      <c r="F1108" s="5">
        <v>3.3</v>
      </c>
      <c r="G1108" s="5">
        <v>94.0</v>
      </c>
      <c r="H1108" s="5">
        <v>3.0</v>
      </c>
      <c r="I1108" s="5">
        <v>3.2</v>
      </c>
      <c r="J1108" s="5"/>
    </row>
    <row r="1109">
      <c r="A1109" s="5" t="s">
        <v>302</v>
      </c>
      <c r="B1109" s="201" t="s">
        <v>1400</v>
      </c>
      <c r="C1109" s="200" t="str">
        <f t="shared" si="1"/>
        <v>Tableware_25+</v>
      </c>
      <c r="D1109" s="18">
        <v>371.0</v>
      </c>
      <c r="E1109" s="18">
        <v>18.0</v>
      </c>
      <c r="F1109" s="5">
        <v>4.9</v>
      </c>
      <c r="G1109" s="5">
        <v>996.0</v>
      </c>
      <c r="H1109" s="5">
        <v>54.0</v>
      </c>
      <c r="I1109" s="5">
        <v>5.4</v>
      </c>
      <c r="J1109" s="5"/>
    </row>
    <row r="1110">
      <c r="A1110" s="5" t="s">
        <v>302</v>
      </c>
      <c r="B1110" s="201" t="s">
        <v>4227</v>
      </c>
      <c r="C1110" s="200" t="str">
        <f t="shared" si="1"/>
        <v>Tableware_No Sales</v>
      </c>
      <c r="D1110" s="18">
        <v>168.0</v>
      </c>
      <c r="E1110" s="18">
        <v>6.0</v>
      </c>
      <c r="F1110" s="5">
        <v>3.6</v>
      </c>
      <c r="G1110" s="5">
        <v>405.0</v>
      </c>
      <c r="H1110" s="5">
        <v>8.0</v>
      </c>
      <c r="I1110" s="5">
        <v>2.0</v>
      </c>
      <c r="J1110" s="5"/>
    </row>
    <row r="1111">
      <c r="A1111" s="5" t="s">
        <v>881</v>
      </c>
      <c r="B1111" s="201" t="s">
        <v>1426</v>
      </c>
      <c r="C1111" s="200" t="str">
        <f t="shared" si="1"/>
        <v>Tea_0-5</v>
      </c>
      <c r="D1111" s="18">
        <v>85.0</v>
      </c>
      <c r="E1111" s="18">
        <v>19.0</v>
      </c>
      <c r="F1111" s="5">
        <v>22.4</v>
      </c>
      <c r="G1111" s="5">
        <v>1211.0</v>
      </c>
      <c r="H1111" s="5">
        <v>64.0</v>
      </c>
      <c r="I1111" s="5">
        <v>5.3</v>
      </c>
      <c r="J1111" s="5"/>
    </row>
    <row r="1112">
      <c r="A1112" s="5" t="s">
        <v>881</v>
      </c>
      <c r="B1112" s="201" t="s">
        <v>4228</v>
      </c>
      <c r="C1112" s="200" t="str">
        <f t="shared" si="1"/>
        <v>Tea_5-10</v>
      </c>
      <c r="D1112" s="18">
        <v>293.0</v>
      </c>
      <c r="E1112" s="18">
        <v>63.0</v>
      </c>
      <c r="F1112" s="5">
        <v>21.5</v>
      </c>
      <c r="G1112" s="5">
        <v>13824.0</v>
      </c>
      <c r="H1112" s="5">
        <v>160.0</v>
      </c>
      <c r="I1112" s="5">
        <v>1.2</v>
      </c>
      <c r="J1112" s="5"/>
    </row>
    <row r="1113">
      <c r="A1113" s="5" t="s">
        <v>881</v>
      </c>
      <c r="B1113" s="201" t="s">
        <v>4226</v>
      </c>
      <c r="C1113" s="200" t="str">
        <f t="shared" si="1"/>
        <v>Tea_10-15</v>
      </c>
      <c r="D1113" s="18">
        <v>555.0</v>
      </c>
      <c r="E1113" s="18">
        <v>167.0</v>
      </c>
      <c r="F1113" s="5">
        <v>30.1</v>
      </c>
      <c r="G1113" s="5">
        <v>7449.0</v>
      </c>
      <c r="H1113" s="5">
        <v>555.0</v>
      </c>
      <c r="I1113" s="5">
        <v>7.5</v>
      </c>
      <c r="J1113" s="5"/>
    </row>
    <row r="1114">
      <c r="A1114" s="5" t="s">
        <v>881</v>
      </c>
      <c r="B1114" s="201" t="s">
        <v>1413</v>
      </c>
      <c r="C1114" s="200" t="str">
        <f t="shared" si="1"/>
        <v>Tea_15-20</v>
      </c>
      <c r="D1114" s="18">
        <v>436.0</v>
      </c>
      <c r="E1114" s="18">
        <v>97.0</v>
      </c>
      <c r="F1114" s="5">
        <v>22.2</v>
      </c>
      <c r="G1114" s="5">
        <v>3927.0</v>
      </c>
      <c r="H1114" s="5">
        <v>291.0</v>
      </c>
      <c r="I1114" s="5">
        <v>7.4</v>
      </c>
      <c r="J1114" s="5"/>
    </row>
    <row r="1115">
      <c r="A1115" s="5" t="s">
        <v>881</v>
      </c>
      <c r="B1115" s="201" t="s">
        <v>1398</v>
      </c>
      <c r="C1115" s="200" t="str">
        <f t="shared" si="1"/>
        <v>Tea_20-25</v>
      </c>
      <c r="D1115" s="18">
        <v>300.0</v>
      </c>
      <c r="E1115" s="18">
        <v>90.0</v>
      </c>
      <c r="F1115" s="5">
        <v>30.0</v>
      </c>
      <c r="G1115" s="5">
        <v>2489.0</v>
      </c>
      <c r="H1115" s="5">
        <v>295.0</v>
      </c>
      <c r="I1115" s="5">
        <v>11.9</v>
      </c>
      <c r="J1115" s="5"/>
    </row>
    <row r="1116">
      <c r="A1116" s="5" t="s">
        <v>881</v>
      </c>
      <c r="B1116" s="201" t="s">
        <v>1400</v>
      </c>
      <c r="C1116" s="200" t="str">
        <f t="shared" si="1"/>
        <v>Tea_25+</v>
      </c>
      <c r="D1116" s="18">
        <v>337.0</v>
      </c>
      <c r="E1116" s="18">
        <v>139.0</v>
      </c>
      <c r="F1116" s="5">
        <v>41.2</v>
      </c>
      <c r="G1116" s="5">
        <v>1280.0</v>
      </c>
      <c r="H1116" s="5">
        <v>370.0</v>
      </c>
      <c r="I1116" s="5">
        <v>28.9</v>
      </c>
      <c r="J1116" s="5"/>
    </row>
    <row r="1117">
      <c r="A1117" s="5" t="s">
        <v>881</v>
      </c>
      <c r="B1117" s="201" t="s">
        <v>4227</v>
      </c>
      <c r="C1117" s="200" t="str">
        <f t="shared" si="1"/>
        <v>Tea_No Sales</v>
      </c>
      <c r="D1117" s="18">
        <v>55.0</v>
      </c>
      <c r="E1117" s="18">
        <v>25.0</v>
      </c>
      <c r="F1117" s="5">
        <v>45.5</v>
      </c>
      <c r="G1117" s="5">
        <v>9672.0</v>
      </c>
      <c r="H1117" s="5">
        <v>54.0</v>
      </c>
      <c r="I1117" s="5">
        <v>0.6</v>
      </c>
      <c r="J1117" s="5"/>
    </row>
    <row r="1118">
      <c r="A1118" s="5" t="s">
        <v>949</v>
      </c>
      <c r="B1118" s="201" t="s">
        <v>1413</v>
      </c>
      <c r="C1118" s="200" t="str">
        <f t="shared" si="1"/>
        <v>Tests &amp; Devices_15-20</v>
      </c>
      <c r="D1118" s="18">
        <v>29.0</v>
      </c>
      <c r="E1118" s="18">
        <v>1.0</v>
      </c>
      <c r="F1118" s="5">
        <v>3.4</v>
      </c>
      <c r="G1118" s="5">
        <v>182.0</v>
      </c>
      <c r="H1118" s="5">
        <v>2.0</v>
      </c>
      <c r="I1118" s="5">
        <v>1.1</v>
      </c>
      <c r="J1118" s="5"/>
    </row>
    <row r="1119">
      <c r="A1119" s="5" t="s">
        <v>949</v>
      </c>
      <c r="B1119" s="201" t="s">
        <v>1398</v>
      </c>
      <c r="C1119" s="200" t="str">
        <f t="shared" si="1"/>
        <v>Tests &amp; Devices_20-25</v>
      </c>
      <c r="D1119" s="18">
        <v>11.0</v>
      </c>
      <c r="E1119" s="18">
        <v>2.0</v>
      </c>
      <c r="F1119" s="5">
        <v>18.2</v>
      </c>
      <c r="G1119" s="5">
        <v>17.0</v>
      </c>
      <c r="H1119" s="5">
        <v>4.0</v>
      </c>
      <c r="I1119" s="5">
        <v>23.5</v>
      </c>
      <c r="J1119" s="5"/>
    </row>
    <row r="1120">
      <c r="A1120" s="5" t="s">
        <v>949</v>
      </c>
      <c r="B1120" s="201" t="s">
        <v>4227</v>
      </c>
      <c r="C1120" s="200" t="str">
        <f t="shared" si="1"/>
        <v>Tests &amp; Devices_No Sales</v>
      </c>
      <c r="D1120" s="18">
        <v>1.0</v>
      </c>
      <c r="E1120" s="18">
        <v>0.0</v>
      </c>
      <c r="F1120" s="5">
        <v>0.0</v>
      </c>
      <c r="G1120" s="5">
        <v>71.0</v>
      </c>
      <c r="H1120" s="5">
        <v>0.0</v>
      </c>
      <c r="I1120" s="5">
        <v>0.0</v>
      </c>
      <c r="J1120" s="5"/>
    </row>
    <row r="1121">
      <c r="A1121" s="5" t="s">
        <v>3196</v>
      </c>
      <c r="B1121" s="201" t="s">
        <v>4228</v>
      </c>
      <c r="C1121" s="200" t="str">
        <f t="shared" si="1"/>
        <v>Toilet Rolls_5-10</v>
      </c>
      <c r="D1121" s="18">
        <v>1.0</v>
      </c>
      <c r="E1121" s="18">
        <v>0.0</v>
      </c>
      <c r="F1121" s="5">
        <v>0.0</v>
      </c>
      <c r="G1121" s="5">
        <v>1.0</v>
      </c>
      <c r="H1121" s="5">
        <v>0.0</v>
      </c>
      <c r="I1121" s="5">
        <v>0.0</v>
      </c>
      <c r="J1121" s="5"/>
    </row>
    <row r="1122">
      <c r="A1122" s="5" t="s">
        <v>3196</v>
      </c>
      <c r="B1122" s="201" t="s">
        <v>4226</v>
      </c>
      <c r="C1122" s="200" t="str">
        <f t="shared" si="1"/>
        <v>Toilet Rolls_10-15</v>
      </c>
      <c r="D1122" s="18">
        <v>171.0</v>
      </c>
      <c r="E1122" s="18">
        <v>6.0</v>
      </c>
      <c r="F1122" s="5">
        <v>3.5</v>
      </c>
      <c r="G1122" s="5">
        <v>6525.0</v>
      </c>
      <c r="H1122" s="5">
        <v>29.0</v>
      </c>
      <c r="I1122" s="5">
        <v>0.4</v>
      </c>
      <c r="J1122" s="5"/>
    </row>
    <row r="1123">
      <c r="A1123" s="5" t="s">
        <v>3196</v>
      </c>
      <c r="B1123" s="201" t="s">
        <v>1413</v>
      </c>
      <c r="C1123" s="200" t="str">
        <f t="shared" si="1"/>
        <v>Toilet Rolls_15-20</v>
      </c>
      <c r="D1123" s="18">
        <v>65.0</v>
      </c>
      <c r="E1123" s="18">
        <v>2.0</v>
      </c>
      <c r="F1123" s="5">
        <v>3.1</v>
      </c>
      <c r="G1123" s="5">
        <v>676.0</v>
      </c>
      <c r="H1123" s="5">
        <v>11.0</v>
      </c>
      <c r="I1123" s="5">
        <v>1.6</v>
      </c>
      <c r="J1123" s="5"/>
    </row>
    <row r="1124">
      <c r="A1124" s="5" t="s">
        <v>3196</v>
      </c>
      <c r="B1124" s="201" t="s">
        <v>1398</v>
      </c>
      <c r="C1124" s="200" t="str">
        <f t="shared" si="1"/>
        <v>Toilet Rolls_20-25</v>
      </c>
      <c r="D1124" s="18">
        <v>30.0</v>
      </c>
      <c r="E1124" s="18">
        <v>9.0</v>
      </c>
      <c r="F1124" s="5">
        <v>30.0</v>
      </c>
      <c r="G1124" s="5">
        <v>416.0</v>
      </c>
      <c r="H1124" s="5">
        <v>23.0</v>
      </c>
      <c r="I1124" s="5">
        <v>5.5</v>
      </c>
      <c r="J1124" s="5"/>
    </row>
    <row r="1125">
      <c r="A1125" s="5" t="s">
        <v>3196</v>
      </c>
      <c r="B1125" s="201" t="s">
        <v>1400</v>
      </c>
      <c r="C1125" s="200" t="str">
        <f t="shared" si="1"/>
        <v>Toilet Rolls_25+</v>
      </c>
      <c r="D1125" s="18">
        <v>55.0</v>
      </c>
      <c r="E1125" s="18">
        <v>5.0</v>
      </c>
      <c r="F1125" s="5">
        <v>9.1</v>
      </c>
      <c r="G1125" s="5">
        <v>2293.0</v>
      </c>
      <c r="H1125" s="5">
        <v>15.0</v>
      </c>
      <c r="I1125" s="5">
        <v>0.7</v>
      </c>
      <c r="J1125" s="5"/>
    </row>
    <row r="1126">
      <c r="A1126" s="5" t="s">
        <v>3196</v>
      </c>
      <c r="B1126" s="201" t="s">
        <v>4227</v>
      </c>
      <c r="C1126" s="200" t="str">
        <f t="shared" si="1"/>
        <v>Toilet Rolls_No Sales</v>
      </c>
      <c r="D1126" s="18">
        <v>7.0</v>
      </c>
      <c r="E1126" s="18">
        <v>7.0</v>
      </c>
      <c r="F1126" s="5">
        <v>100.0</v>
      </c>
      <c r="G1126" s="5">
        <v>17.0</v>
      </c>
      <c r="H1126" s="5">
        <v>17.0</v>
      </c>
      <c r="I1126" s="5">
        <v>100.0</v>
      </c>
      <c r="J1126" s="5"/>
    </row>
    <row r="1127">
      <c r="A1127" s="5" t="s">
        <v>3385</v>
      </c>
      <c r="B1127" s="201" t="s">
        <v>1400</v>
      </c>
      <c r="C1127" s="200" t="str">
        <f t="shared" si="1"/>
        <v>Toll Gate_25+</v>
      </c>
      <c r="D1127" s="18">
        <v>2.0</v>
      </c>
      <c r="E1127" s="18">
        <v>0.0</v>
      </c>
      <c r="F1127" s="5">
        <v>0.0</v>
      </c>
      <c r="G1127" s="5">
        <v>26.0</v>
      </c>
      <c r="H1127" s="5">
        <v>0.0</v>
      </c>
      <c r="I1127" s="5">
        <v>0.0</v>
      </c>
      <c r="J1127" s="5"/>
    </row>
    <row r="1128">
      <c r="A1128" s="5" t="s">
        <v>1543</v>
      </c>
      <c r="B1128" s="201" t="s">
        <v>4228</v>
      </c>
      <c r="C1128" s="200" t="str">
        <f t="shared" si="1"/>
        <v>Tortillas &amp; Wraps_5-10</v>
      </c>
      <c r="D1128" s="18">
        <v>65.0</v>
      </c>
      <c r="E1128" s="18">
        <v>2.0</v>
      </c>
      <c r="F1128" s="5">
        <v>3.1</v>
      </c>
      <c r="G1128" s="5">
        <v>4581.0</v>
      </c>
      <c r="H1128" s="5">
        <v>6.0</v>
      </c>
      <c r="I1128" s="5">
        <v>0.1</v>
      </c>
      <c r="J1128" s="5"/>
    </row>
    <row r="1129">
      <c r="A1129" s="5" t="s">
        <v>1543</v>
      </c>
      <c r="B1129" s="201" t="s">
        <v>4226</v>
      </c>
      <c r="C1129" s="200" t="str">
        <f t="shared" si="1"/>
        <v>Tortillas &amp; Wraps_10-15</v>
      </c>
      <c r="D1129" s="18">
        <v>454.0</v>
      </c>
      <c r="E1129" s="18">
        <v>37.0</v>
      </c>
      <c r="F1129" s="5">
        <v>8.1</v>
      </c>
      <c r="G1129" s="5">
        <v>6232.0</v>
      </c>
      <c r="H1129" s="5">
        <v>122.0</v>
      </c>
      <c r="I1129" s="5">
        <v>2.0</v>
      </c>
      <c r="J1129" s="5"/>
    </row>
    <row r="1130">
      <c r="A1130" s="5" t="s">
        <v>1543</v>
      </c>
      <c r="B1130" s="201" t="s">
        <v>1413</v>
      </c>
      <c r="C1130" s="200" t="str">
        <f t="shared" si="1"/>
        <v>Tortillas &amp; Wraps_15-20</v>
      </c>
      <c r="D1130" s="18">
        <v>89.0</v>
      </c>
      <c r="E1130" s="18">
        <v>18.0</v>
      </c>
      <c r="F1130" s="5">
        <v>20.2</v>
      </c>
      <c r="G1130" s="5">
        <v>598.0</v>
      </c>
      <c r="H1130" s="5">
        <v>53.0</v>
      </c>
      <c r="I1130" s="5">
        <v>8.9</v>
      </c>
      <c r="J1130" s="5"/>
    </row>
    <row r="1131">
      <c r="A1131" s="5" t="s">
        <v>1543</v>
      </c>
      <c r="B1131" s="201" t="s">
        <v>1398</v>
      </c>
      <c r="C1131" s="200" t="str">
        <f t="shared" si="1"/>
        <v>Tortillas &amp; Wraps_20-25</v>
      </c>
      <c r="D1131" s="18">
        <v>76.0</v>
      </c>
      <c r="E1131" s="18">
        <v>16.0</v>
      </c>
      <c r="F1131" s="5">
        <v>21.1</v>
      </c>
      <c r="G1131" s="5">
        <v>545.0</v>
      </c>
      <c r="H1131" s="5">
        <v>41.0</v>
      </c>
      <c r="I1131" s="5">
        <v>7.5</v>
      </c>
      <c r="J1131" s="5"/>
    </row>
    <row r="1132">
      <c r="A1132" s="5" t="s">
        <v>1543</v>
      </c>
      <c r="B1132" s="201" t="s">
        <v>4227</v>
      </c>
      <c r="C1132" s="200" t="str">
        <f t="shared" si="1"/>
        <v>Tortillas &amp; Wraps_No Sales</v>
      </c>
      <c r="D1132" s="18">
        <v>29.0</v>
      </c>
      <c r="E1132" s="18">
        <v>1.0</v>
      </c>
      <c r="F1132" s="5">
        <v>3.4</v>
      </c>
      <c r="G1132" s="5">
        <v>3597.0</v>
      </c>
      <c r="H1132" s="5">
        <v>1.0</v>
      </c>
      <c r="I1132" s="5">
        <v>0.0</v>
      </c>
      <c r="J1132" s="5"/>
    </row>
    <row r="1133">
      <c r="A1133" s="5" t="s">
        <v>746</v>
      </c>
      <c r="B1133" s="201" t="s">
        <v>4228</v>
      </c>
      <c r="C1133" s="200" t="str">
        <f t="shared" si="1"/>
        <v>Toys_5-10</v>
      </c>
      <c r="D1133" s="18">
        <v>129.0</v>
      </c>
      <c r="E1133" s="18">
        <v>88.0</v>
      </c>
      <c r="F1133" s="5">
        <v>68.2</v>
      </c>
      <c r="G1133" s="5">
        <v>360.0</v>
      </c>
      <c r="H1133" s="5">
        <v>247.0</v>
      </c>
      <c r="I1133" s="5">
        <v>68.6</v>
      </c>
      <c r="J1133" s="5"/>
    </row>
    <row r="1134">
      <c r="A1134" s="5" t="s">
        <v>746</v>
      </c>
      <c r="B1134" s="201" t="s">
        <v>4226</v>
      </c>
      <c r="C1134" s="200" t="str">
        <f t="shared" si="1"/>
        <v>Toys_10-15</v>
      </c>
      <c r="D1134" s="18">
        <v>217.0</v>
      </c>
      <c r="E1134" s="18">
        <v>121.0</v>
      </c>
      <c r="F1134" s="5">
        <v>55.8</v>
      </c>
      <c r="G1134" s="5">
        <v>729.0</v>
      </c>
      <c r="H1134" s="5">
        <v>380.0</v>
      </c>
      <c r="I1134" s="5">
        <v>52.1</v>
      </c>
      <c r="J1134" s="5"/>
    </row>
    <row r="1135">
      <c r="A1135" s="5" t="s">
        <v>746</v>
      </c>
      <c r="B1135" s="201" t="s">
        <v>1413</v>
      </c>
      <c r="C1135" s="200" t="str">
        <f t="shared" si="1"/>
        <v>Toys_15-20</v>
      </c>
      <c r="D1135" s="18">
        <v>111.0</v>
      </c>
      <c r="E1135" s="18">
        <v>77.0</v>
      </c>
      <c r="F1135" s="5">
        <v>69.4</v>
      </c>
      <c r="G1135" s="5">
        <v>428.0</v>
      </c>
      <c r="H1135" s="5">
        <v>223.0</v>
      </c>
      <c r="I1135" s="5">
        <v>52.1</v>
      </c>
      <c r="J1135" s="5"/>
    </row>
    <row r="1136">
      <c r="A1136" s="5" t="s">
        <v>746</v>
      </c>
      <c r="B1136" s="201" t="s">
        <v>1398</v>
      </c>
      <c r="C1136" s="200" t="str">
        <f t="shared" si="1"/>
        <v>Toys_20-25</v>
      </c>
      <c r="D1136" s="18">
        <v>163.0</v>
      </c>
      <c r="E1136" s="18">
        <v>110.0</v>
      </c>
      <c r="F1136" s="5">
        <v>67.5</v>
      </c>
      <c r="G1136" s="5">
        <v>546.0</v>
      </c>
      <c r="H1136" s="5">
        <v>332.0</v>
      </c>
      <c r="I1136" s="5">
        <v>60.8</v>
      </c>
      <c r="J1136" s="5"/>
    </row>
    <row r="1137">
      <c r="A1137" s="5" t="s">
        <v>746</v>
      </c>
      <c r="B1137" s="201" t="s">
        <v>1400</v>
      </c>
      <c r="C1137" s="200" t="str">
        <f t="shared" si="1"/>
        <v>Toys_25+</v>
      </c>
      <c r="D1137" s="18">
        <v>1415.0</v>
      </c>
      <c r="E1137" s="18">
        <v>1242.0</v>
      </c>
      <c r="F1137" s="5">
        <v>87.8</v>
      </c>
      <c r="G1137" s="5">
        <v>3785.0</v>
      </c>
      <c r="H1137" s="5">
        <v>2655.0</v>
      </c>
      <c r="I1137" s="5">
        <v>70.1</v>
      </c>
      <c r="J1137" s="5"/>
    </row>
    <row r="1138">
      <c r="A1138" s="5" t="s">
        <v>746</v>
      </c>
      <c r="B1138" s="201" t="s">
        <v>4227</v>
      </c>
      <c r="C1138" s="200" t="str">
        <f t="shared" si="1"/>
        <v>Toys_No Sales</v>
      </c>
      <c r="D1138" s="18">
        <v>1030.0</v>
      </c>
      <c r="E1138" s="18">
        <v>1020.0</v>
      </c>
      <c r="F1138" s="5">
        <v>99.0</v>
      </c>
      <c r="G1138" s="5">
        <v>2104.0</v>
      </c>
      <c r="H1138" s="5">
        <v>1818.0</v>
      </c>
      <c r="I1138" s="5">
        <v>86.4</v>
      </c>
      <c r="J1138" s="5"/>
    </row>
    <row r="1139">
      <c r="A1139" s="5" t="s">
        <v>2092</v>
      </c>
      <c r="B1139" s="201" t="s">
        <v>1426</v>
      </c>
      <c r="C1139" s="200" t="str">
        <f t="shared" si="1"/>
        <v>Trash Bags_0-5</v>
      </c>
      <c r="D1139" s="18">
        <v>25.0</v>
      </c>
      <c r="E1139" s="18">
        <v>0.0</v>
      </c>
      <c r="F1139" s="5">
        <v>0.0</v>
      </c>
      <c r="G1139" s="5">
        <v>2381.0</v>
      </c>
      <c r="H1139" s="5">
        <v>0.0</v>
      </c>
      <c r="I1139" s="5">
        <v>0.0</v>
      </c>
      <c r="J1139" s="5"/>
    </row>
    <row r="1140">
      <c r="A1140" s="5" t="s">
        <v>2092</v>
      </c>
      <c r="B1140" s="201" t="s">
        <v>4228</v>
      </c>
      <c r="C1140" s="200" t="str">
        <f t="shared" si="1"/>
        <v>Trash Bags_5-10</v>
      </c>
      <c r="D1140" s="18">
        <v>138.0</v>
      </c>
      <c r="E1140" s="18">
        <v>24.0</v>
      </c>
      <c r="F1140" s="5">
        <v>17.4</v>
      </c>
      <c r="G1140" s="5">
        <v>3902.0</v>
      </c>
      <c r="H1140" s="5">
        <v>40.0</v>
      </c>
      <c r="I1140" s="5">
        <v>1.0</v>
      </c>
      <c r="J1140" s="5"/>
    </row>
    <row r="1141">
      <c r="A1141" s="5" t="s">
        <v>2092</v>
      </c>
      <c r="B1141" s="201" t="s">
        <v>4226</v>
      </c>
      <c r="C1141" s="200" t="str">
        <f t="shared" si="1"/>
        <v>Trash Bags_10-15</v>
      </c>
      <c r="D1141" s="18">
        <v>291.0</v>
      </c>
      <c r="E1141" s="18">
        <v>29.0</v>
      </c>
      <c r="F1141" s="5">
        <v>10.0</v>
      </c>
      <c r="G1141" s="5">
        <v>7525.0</v>
      </c>
      <c r="H1141" s="5">
        <v>110.0</v>
      </c>
      <c r="I1141" s="5">
        <v>1.5</v>
      </c>
      <c r="J1141" s="5"/>
    </row>
    <row r="1142">
      <c r="A1142" s="5" t="s">
        <v>2092</v>
      </c>
      <c r="B1142" s="201" t="s">
        <v>1413</v>
      </c>
      <c r="C1142" s="200" t="str">
        <f t="shared" si="1"/>
        <v>Trash Bags_15-20</v>
      </c>
      <c r="D1142" s="18">
        <v>256.0</v>
      </c>
      <c r="E1142" s="18">
        <v>45.0</v>
      </c>
      <c r="F1142" s="5">
        <v>17.6</v>
      </c>
      <c r="G1142" s="5">
        <v>4284.0</v>
      </c>
      <c r="H1142" s="5">
        <v>149.0</v>
      </c>
      <c r="I1142" s="5">
        <v>3.5</v>
      </c>
      <c r="J1142" s="5"/>
    </row>
    <row r="1143">
      <c r="A1143" s="5" t="s">
        <v>2092</v>
      </c>
      <c r="B1143" s="201" t="s">
        <v>1398</v>
      </c>
      <c r="C1143" s="200" t="str">
        <f t="shared" si="1"/>
        <v>Trash Bags_20-25</v>
      </c>
      <c r="D1143" s="18">
        <v>249.0</v>
      </c>
      <c r="E1143" s="18">
        <v>44.0</v>
      </c>
      <c r="F1143" s="5">
        <v>17.7</v>
      </c>
      <c r="G1143" s="5">
        <v>4112.0</v>
      </c>
      <c r="H1143" s="5">
        <v>137.0</v>
      </c>
      <c r="I1143" s="5">
        <v>3.3</v>
      </c>
      <c r="J1143" s="5"/>
    </row>
    <row r="1144">
      <c r="A1144" s="5" t="s">
        <v>2092</v>
      </c>
      <c r="B1144" s="201" t="s">
        <v>1400</v>
      </c>
      <c r="C1144" s="200" t="str">
        <f t="shared" si="1"/>
        <v>Trash Bags_25+</v>
      </c>
      <c r="D1144" s="18">
        <v>225.0</v>
      </c>
      <c r="E1144" s="18">
        <v>121.0</v>
      </c>
      <c r="F1144" s="5">
        <v>53.8</v>
      </c>
      <c r="G1144" s="5">
        <v>842.0</v>
      </c>
      <c r="H1144" s="5">
        <v>377.0</v>
      </c>
      <c r="I1144" s="5">
        <v>44.8</v>
      </c>
      <c r="J1144" s="5"/>
    </row>
    <row r="1145">
      <c r="A1145" s="5" t="s">
        <v>2092</v>
      </c>
      <c r="B1145" s="201" t="s">
        <v>4227</v>
      </c>
      <c r="C1145" s="200" t="str">
        <f t="shared" si="1"/>
        <v>Trash Bags_No Sales</v>
      </c>
      <c r="D1145" s="18">
        <v>18.0</v>
      </c>
      <c r="E1145" s="18">
        <v>18.0</v>
      </c>
      <c r="F1145" s="5">
        <v>100.0</v>
      </c>
      <c r="G1145" s="5">
        <v>31.0</v>
      </c>
      <c r="H1145" s="5">
        <v>31.0</v>
      </c>
      <c r="I1145" s="5">
        <v>100.0</v>
      </c>
      <c r="J1145" s="5"/>
    </row>
    <row r="1146">
      <c r="A1146" s="5" t="s">
        <v>2456</v>
      </c>
      <c r="B1146" s="201" t="s">
        <v>1426</v>
      </c>
      <c r="C1146" s="200" t="str">
        <f t="shared" si="1"/>
        <v>Travel Essentials_0-5</v>
      </c>
      <c r="D1146" s="18">
        <v>55.0</v>
      </c>
      <c r="E1146" s="18">
        <v>45.0</v>
      </c>
      <c r="F1146" s="5">
        <v>81.8</v>
      </c>
      <c r="G1146" s="5">
        <v>143.0</v>
      </c>
      <c r="H1146" s="5">
        <v>121.0</v>
      </c>
      <c r="I1146" s="5">
        <v>84.6</v>
      </c>
      <c r="J1146" s="5"/>
    </row>
    <row r="1147">
      <c r="A1147" s="5" t="s">
        <v>2456</v>
      </c>
      <c r="B1147" s="201" t="s">
        <v>4228</v>
      </c>
      <c r="C1147" s="200" t="str">
        <f t="shared" si="1"/>
        <v>Travel Essentials_5-10</v>
      </c>
      <c r="D1147" s="18">
        <v>105.0</v>
      </c>
      <c r="E1147" s="18">
        <v>61.0</v>
      </c>
      <c r="F1147" s="5">
        <v>58.1</v>
      </c>
      <c r="G1147" s="5">
        <v>663.0</v>
      </c>
      <c r="H1147" s="5">
        <v>187.0</v>
      </c>
      <c r="I1147" s="5">
        <v>28.2</v>
      </c>
      <c r="J1147" s="5"/>
    </row>
    <row r="1148">
      <c r="A1148" s="5" t="s">
        <v>2456</v>
      </c>
      <c r="B1148" s="201" t="s">
        <v>1413</v>
      </c>
      <c r="C1148" s="200" t="str">
        <f t="shared" si="1"/>
        <v>Travel Essentials_15-20</v>
      </c>
      <c r="D1148" s="18">
        <v>29.0</v>
      </c>
      <c r="E1148" s="18">
        <v>23.0</v>
      </c>
      <c r="F1148" s="5">
        <v>79.3</v>
      </c>
      <c r="G1148" s="5">
        <v>67.0</v>
      </c>
      <c r="H1148" s="5">
        <v>56.0</v>
      </c>
      <c r="I1148" s="5">
        <v>83.6</v>
      </c>
      <c r="J1148" s="5"/>
    </row>
    <row r="1149">
      <c r="A1149" s="5" t="s">
        <v>2456</v>
      </c>
      <c r="B1149" s="201" t="s">
        <v>1398</v>
      </c>
      <c r="C1149" s="200" t="str">
        <f t="shared" si="1"/>
        <v>Travel Essentials_20-25</v>
      </c>
      <c r="D1149" s="18">
        <v>66.0</v>
      </c>
      <c r="E1149" s="18">
        <v>41.0</v>
      </c>
      <c r="F1149" s="5">
        <v>62.1</v>
      </c>
      <c r="G1149" s="5">
        <v>181.0</v>
      </c>
      <c r="H1149" s="5">
        <v>99.0</v>
      </c>
      <c r="I1149" s="5">
        <v>54.7</v>
      </c>
      <c r="J1149" s="5"/>
    </row>
    <row r="1150">
      <c r="A1150" s="5" t="s">
        <v>2456</v>
      </c>
      <c r="B1150" s="201" t="s">
        <v>1400</v>
      </c>
      <c r="C1150" s="200" t="str">
        <f t="shared" si="1"/>
        <v>Travel Essentials_25+</v>
      </c>
      <c r="D1150" s="18">
        <v>259.0</v>
      </c>
      <c r="E1150" s="18">
        <v>231.0</v>
      </c>
      <c r="F1150" s="5">
        <v>89.2</v>
      </c>
      <c r="G1150" s="5">
        <v>645.0</v>
      </c>
      <c r="H1150" s="5">
        <v>596.0</v>
      </c>
      <c r="I1150" s="5">
        <v>92.4</v>
      </c>
      <c r="J1150" s="5"/>
    </row>
    <row r="1151">
      <c r="A1151" s="5" t="s">
        <v>2456</v>
      </c>
      <c r="B1151" s="201" t="s">
        <v>4227</v>
      </c>
      <c r="C1151" s="200" t="str">
        <f t="shared" si="1"/>
        <v>Travel Essentials_No Sales</v>
      </c>
      <c r="D1151" s="18">
        <v>98.0</v>
      </c>
      <c r="E1151" s="18">
        <v>82.0</v>
      </c>
      <c r="F1151" s="5">
        <v>83.7</v>
      </c>
      <c r="G1151" s="5">
        <v>218.0</v>
      </c>
      <c r="H1151" s="5">
        <v>180.0</v>
      </c>
      <c r="I1151" s="5">
        <v>82.6</v>
      </c>
      <c r="J1151" s="5"/>
    </row>
    <row r="1152">
      <c r="A1152" s="5" t="s">
        <v>1403</v>
      </c>
      <c r="B1152" s="201" t="s">
        <v>1413</v>
      </c>
      <c r="C1152" s="200" t="str">
        <f t="shared" si="1"/>
        <v>Unknown_15-20</v>
      </c>
      <c r="D1152" s="18">
        <v>31.0</v>
      </c>
      <c r="E1152" s="18">
        <v>1.0</v>
      </c>
      <c r="F1152" s="5">
        <v>3.2</v>
      </c>
      <c r="G1152" s="5">
        <v>261.0</v>
      </c>
      <c r="H1152" s="5">
        <v>6.0</v>
      </c>
      <c r="I1152" s="5">
        <v>2.3</v>
      </c>
      <c r="J1152" s="5"/>
    </row>
    <row r="1153">
      <c r="A1153" s="5" t="s">
        <v>2243</v>
      </c>
      <c r="B1153" s="201" t="s">
        <v>1413</v>
      </c>
      <c r="C1153" s="200" t="str">
        <f t="shared" si="1"/>
        <v>Vegan_15-20</v>
      </c>
      <c r="D1153" s="18">
        <v>69.0</v>
      </c>
      <c r="E1153" s="18">
        <v>15.0</v>
      </c>
      <c r="F1153" s="5">
        <v>21.7</v>
      </c>
      <c r="G1153" s="5">
        <v>460.0</v>
      </c>
      <c r="H1153" s="5">
        <v>38.0</v>
      </c>
      <c r="I1153" s="5">
        <v>8.3</v>
      </c>
      <c r="J1153" s="5"/>
    </row>
    <row r="1154">
      <c r="A1154" s="5" t="s">
        <v>2243</v>
      </c>
      <c r="B1154" s="201" t="s">
        <v>1398</v>
      </c>
      <c r="C1154" s="200" t="str">
        <f t="shared" si="1"/>
        <v>Vegan_20-25</v>
      </c>
      <c r="D1154" s="18">
        <v>29.0</v>
      </c>
      <c r="E1154" s="18">
        <v>4.0</v>
      </c>
      <c r="F1154" s="5">
        <v>13.8</v>
      </c>
      <c r="G1154" s="5">
        <v>292.0</v>
      </c>
      <c r="H1154" s="5">
        <v>10.0</v>
      </c>
      <c r="I1154" s="5">
        <v>3.4</v>
      </c>
      <c r="J1154" s="5"/>
    </row>
    <row r="1155">
      <c r="A1155" s="5" t="s">
        <v>2243</v>
      </c>
      <c r="B1155" s="201" t="s">
        <v>1400</v>
      </c>
      <c r="C1155" s="200" t="str">
        <f t="shared" si="1"/>
        <v>Vegan_25+</v>
      </c>
      <c r="D1155" s="18">
        <v>117.0</v>
      </c>
      <c r="E1155" s="18">
        <v>34.0</v>
      </c>
      <c r="F1155" s="5">
        <v>29.1</v>
      </c>
      <c r="G1155" s="5">
        <v>471.0</v>
      </c>
      <c r="H1155" s="5">
        <v>74.0</v>
      </c>
      <c r="I1155" s="5">
        <v>15.7</v>
      </c>
      <c r="J1155" s="5"/>
    </row>
    <row r="1156">
      <c r="A1156" s="5" t="s">
        <v>939</v>
      </c>
      <c r="B1156" s="201" t="s">
        <v>1426</v>
      </c>
      <c r="C1156" s="200" t="str">
        <f t="shared" si="1"/>
        <v>Vegetables_0-5</v>
      </c>
      <c r="D1156" s="18">
        <v>765.0</v>
      </c>
      <c r="E1156" s="18">
        <v>6.0</v>
      </c>
      <c r="F1156" s="5">
        <v>0.8</v>
      </c>
      <c r="G1156" s="5">
        <v>51424.0</v>
      </c>
      <c r="H1156" s="5">
        <v>13.0</v>
      </c>
      <c r="I1156" s="5">
        <v>0.0</v>
      </c>
      <c r="J1156" s="5"/>
    </row>
    <row r="1157">
      <c r="A1157" s="5" t="s">
        <v>939</v>
      </c>
      <c r="B1157" s="201" t="s">
        <v>4228</v>
      </c>
      <c r="C1157" s="200" t="str">
        <f t="shared" si="1"/>
        <v>Vegetables_5-10</v>
      </c>
      <c r="D1157" s="18">
        <v>1277.0</v>
      </c>
      <c r="E1157" s="18">
        <v>27.0</v>
      </c>
      <c r="F1157" s="5">
        <v>2.1</v>
      </c>
      <c r="G1157" s="5">
        <v>18233.0</v>
      </c>
      <c r="H1157" s="5">
        <v>49.0</v>
      </c>
      <c r="I1157" s="5">
        <v>0.3</v>
      </c>
      <c r="J1157" s="5"/>
    </row>
    <row r="1158">
      <c r="A1158" s="5" t="s">
        <v>939</v>
      </c>
      <c r="B1158" s="201" t="s">
        <v>4226</v>
      </c>
      <c r="C1158" s="200" t="str">
        <f t="shared" si="1"/>
        <v>Vegetables_10-15</v>
      </c>
      <c r="D1158" s="18">
        <v>416.0</v>
      </c>
      <c r="E1158" s="18">
        <v>14.0</v>
      </c>
      <c r="F1158" s="5">
        <v>3.4</v>
      </c>
      <c r="G1158" s="5">
        <v>5143.0</v>
      </c>
      <c r="H1158" s="5">
        <v>20.0</v>
      </c>
      <c r="I1158" s="5">
        <v>0.4</v>
      </c>
      <c r="J1158" s="5"/>
    </row>
    <row r="1159">
      <c r="A1159" s="5" t="s">
        <v>939</v>
      </c>
      <c r="B1159" s="201" t="s">
        <v>1413</v>
      </c>
      <c r="C1159" s="200" t="str">
        <f t="shared" si="1"/>
        <v>Vegetables_15-20</v>
      </c>
      <c r="D1159" s="18">
        <v>228.0</v>
      </c>
      <c r="E1159" s="18">
        <v>43.0</v>
      </c>
      <c r="F1159" s="5">
        <v>18.9</v>
      </c>
      <c r="G1159" s="5">
        <v>1458.0</v>
      </c>
      <c r="H1159" s="5">
        <v>78.0</v>
      </c>
      <c r="I1159" s="5">
        <v>5.3</v>
      </c>
      <c r="J1159" s="5"/>
    </row>
    <row r="1160">
      <c r="A1160" s="5" t="s">
        <v>939</v>
      </c>
      <c r="B1160" s="201" t="s">
        <v>1398</v>
      </c>
      <c r="C1160" s="200" t="str">
        <f t="shared" si="1"/>
        <v>Vegetables_20-25</v>
      </c>
      <c r="D1160" s="18">
        <v>94.0</v>
      </c>
      <c r="E1160" s="18">
        <v>18.0</v>
      </c>
      <c r="F1160" s="5">
        <v>19.1</v>
      </c>
      <c r="G1160" s="5">
        <v>303.0</v>
      </c>
      <c r="H1160" s="5">
        <v>23.0</v>
      </c>
      <c r="I1160" s="5">
        <v>7.6</v>
      </c>
      <c r="J1160" s="5"/>
    </row>
    <row r="1161">
      <c r="A1161" s="5" t="s">
        <v>939</v>
      </c>
      <c r="B1161" s="201" t="s">
        <v>1400</v>
      </c>
      <c r="C1161" s="200" t="str">
        <f t="shared" si="1"/>
        <v>Vegetables_25+</v>
      </c>
      <c r="D1161" s="18">
        <v>23.0</v>
      </c>
      <c r="E1161" s="18">
        <v>16.0</v>
      </c>
      <c r="F1161" s="5">
        <v>69.6</v>
      </c>
      <c r="G1161" s="5">
        <v>138.0</v>
      </c>
      <c r="H1161" s="5">
        <v>35.0</v>
      </c>
      <c r="I1161" s="5">
        <v>25.4</v>
      </c>
      <c r="J1161" s="5"/>
    </row>
    <row r="1162">
      <c r="A1162" s="5" t="s">
        <v>939</v>
      </c>
      <c r="B1162" s="201" t="s">
        <v>4227</v>
      </c>
      <c r="C1162" s="200" t="str">
        <f t="shared" si="1"/>
        <v>Vegetables_No Sales</v>
      </c>
      <c r="D1162" s="18">
        <v>7.0</v>
      </c>
      <c r="E1162" s="18">
        <v>5.0</v>
      </c>
      <c r="F1162" s="5">
        <v>71.4</v>
      </c>
      <c r="G1162" s="5">
        <v>59.0</v>
      </c>
      <c r="H1162" s="5">
        <v>47.0</v>
      </c>
      <c r="I1162" s="5">
        <v>79.7</v>
      </c>
      <c r="J1162" s="5"/>
    </row>
    <row r="1163">
      <c r="A1163" s="5" t="s">
        <v>2020</v>
      </c>
      <c r="B1163" s="201" t="s">
        <v>1426</v>
      </c>
      <c r="C1163" s="200" t="str">
        <f t="shared" si="1"/>
        <v>Vinegar_0-5</v>
      </c>
      <c r="D1163" s="18">
        <v>62.0</v>
      </c>
      <c r="E1163" s="18">
        <v>0.0</v>
      </c>
      <c r="F1163" s="5">
        <v>0.0</v>
      </c>
      <c r="G1163" s="5">
        <v>1652.0</v>
      </c>
      <c r="H1163" s="5">
        <v>0.0</v>
      </c>
      <c r="I1163" s="5">
        <v>0.0</v>
      </c>
      <c r="J1163" s="5"/>
    </row>
    <row r="1164">
      <c r="A1164" s="5" t="s">
        <v>2020</v>
      </c>
      <c r="B1164" s="201" t="s">
        <v>4228</v>
      </c>
      <c r="C1164" s="200" t="str">
        <f t="shared" si="1"/>
        <v>Vinegar_5-10</v>
      </c>
      <c r="D1164" s="18">
        <v>77.0</v>
      </c>
      <c r="E1164" s="18">
        <v>8.0</v>
      </c>
      <c r="F1164" s="5">
        <v>10.4</v>
      </c>
      <c r="G1164" s="5">
        <v>778.0</v>
      </c>
      <c r="H1164" s="5">
        <v>24.0</v>
      </c>
      <c r="I1164" s="5">
        <v>3.1</v>
      </c>
      <c r="J1164" s="5"/>
    </row>
    <row r="1165">
      <c r="A1165" s="5" t="s">
        <v>2020</v>
      </c>
      <c r="B1165" s="201" t="s">
        <v>4226</v>
      </c>
      <c r="C1165" s="200" t="str">
        <f t="shared" si="1"/>
        <v>Vinegar_10-15</v>
      </c>
      <c r="D1165" s="18">
        <v>89.0</v>
      </c>
      <c r="E1165" s="18">
        <v>18.0</v>
      </c>
      <c r="F1165" s="5">
        <v>20.2</v>
      </c>
      <c r="G1165" s="5">
        <v>711.0</v>
      </c>
      <c r="H1165" s="5">
        <v>49.0</v>
      </c>
      <c r="I1165" s="5">
        <v>6.9</v>
      </c>
      <c r="J1165" s="5"/>
    </row>
    <row r="1166">
      <c r="A1166" s="5" t="s">
        <v>2020</v>
      </c>
      <c r="B1166" s="201" t="s">
        <v>1413</v>
      </c>
      <c r="C1166" s="200" t="str">
        <f t="shared" si="1"/>
        <v>Vinegar_15-20</v>
      </c>
      <c r="D1166" s="18">
        <v>119.0</v>
      </c>
      <c r="E1166" s="18">
        <v>50.0</v>
      </c>
      <c r="F1166" s="5">
        <v>42.0</v>
      </c>
      <c r="G1166" s="5">
        <v>503.0</v>
      </c>
      <c r="H1166" s="5">
        <v>127.0</v>
      </c>
      <c r="I1166" s="5">
        <v>25.2</v>
      </c>
      <c r="J1166" s="5"/>
    </row>
    <row r="1167">
      <c r="A1167" s="5" t="s">
        <v>2020</v>
      </c>
      <c r="B1167" s="201" t="s">
        <v>1398</v>
      </c>
      <c r="C1167" s="200" t="str">
        <f t="shared" si="1"/>
        <v>Vinegar_20-25</v>
      </c>
      <c r="D1167" s="18">
        <v>58.0</v>
      </c>
      <c r="E1167" s="18">
        <v>12.0</v>
      </c>
      <c r="F1167" s="5">
        <v>20.7</v>
      </c>
      <c r="G1167" s="5">
        <v>450.0</v>
      </c>
      <c r="H1167" s="5">
        <v>25.0</v>
      </c>
      <c r="I1167" s="5">
        <v>5.6</v>
      </c>
      <c r="J1167" s="5"/>
    </row>
    <row r="1168">
      <c r="A1168" s="5" t="s">
        <v>2020</v>
      </c>
      <c r="B1168" s="201" t="s">
        <v>1400</v>
      </c>
      <c r="C1168" s="200" t="str">
        <f t="shared" si="1"/>
        <v>Vinegar_25+</v>
      </c>
      <c r="D1168" s="18">
        <v>90.0</v>
      </c>
      <c r="E1168" s="18">
        <v>33.0</v>
      </c>
      <c r="F1168" s="5">
        <v>36.7</v>
      </c>
      <c r="G1168" s="5">
        <v>511.0</v>
      </c>
      <c r="H1168" s="5">
        <v>90.0</v>
      </c>
      <c r="I1168" s="5">
        <v>17.6</v>
      </c>
      <c r="J1168" s="5"/>
    </row>
    <row r="1169">
      <c r="A1169" s="5" t="s">
        <v>2020</v>
      </c>
      <c r="B1169" s="201" t="s">
        <v>4227</v>
      </c>
      <c r="C1169" s="200" t="str">
        <f t="shared" si="1"/>
        <v>Vinegar_No Sales</v>
      </c>
      <c r="D1169" s="18">
        <v>7.0</v>
      </c>
      <c r="E1169" s="18">
        <v>6.0</v>
      </c>
      <c r="F1169" s="5">
        <v>85.7</v>
      </c>
      <c r="G1169" s="5">
        <v>10.0</v>
      </c>
      <c r="H1169" s="5">
        <v>9.0</v>
      </c>
      <c r="I1169" s="5">
        <v>90.0</v>
      </c>
      <c r="J1169" s="5"/>
    </row>
    <row r="1170">
      <c r="A1170" s="5" t="s">
        <v>445</v>
      </c>
      <c r="B1170" s="201" t="s">
        <v>4226</v>
      </c>
      <c r="C1170" s="200" t="str">
        <f t="shared" si="1"/>
        <v>Vitamins &amp; Supplements_10-15</v>
      </c>
      <c r="D1170" s="18">
        <v>85.0</v>
      </c>
      <c r="E1170" s="18">
        <v>4.0</v>
      </c>
      <c r="F1170" s="5">
        <v>4.7</v>
      </c>
      <c r="G1170" s="5">
        <v>637.0</v>
      </c>
      <c r="H1170" s="5">
        <v>10.0</v>
      </c>
      <c r="I1170" s="5">
        <v>1.6</v>
      </c>
      <c r="J1170" s="5"/>
    </row>
    <row r="1171">
      <c r="A1171" s="5" t="s">
        <v>445</v>
      </c>
      <c r="B1171" s="201" t="s">
        <v>1413</v>
      </c>
      <c r="C1171" s="200" t="str">
        <f t="shared" si="1"/>
        <v>Vitamins &amp; Supplements_15-20</v>
      </c>
      <c r="D1171" s="18">
        <v>99.0</v>
      </c>
      <c r="E1171" s="18">
        <v>5.0</v>
      </c>
      <c r="F1171" s="5">
        <v>5.1</v>
      </c>
      <c r="G1171" s="5">
        <v>3300.0</v>
      </c>
      <c r="H1171" s="5">
        <v>8.0</v>
      </c>
      <c r="I1171" s="5">
        <v>0.2</v>
      </c>
      <c r="J1171" s="5"/>
    </row>
    <row r="1172">
      <c r="A1172" s="5" t="s">
        <v>445</v>
      </c>
      <c r="B1172" s="201" t="s">
        <v>1398</v>
      </c>
      <c r="C1172" s="200" t="str">
        <f t="shared" si="1"/>
        <v>Vitamins &amp; Supplements_20-25</v>
      </c>
      <c r="D1172" s="18">
        <v>24.0</v>
      </c>
      <c r="E1172" s="18">
        <v>11.0</v>
      </c>
      <c r="F1172" s="5">
        <v>45.8</v>
      </c>
      <c r="G1172" s="5">
        <v>44.0</v>
      </c>
      <c r="H1172" s="5">
        <v>24.0</v>
      </c>
      <c r="I1172" s="5">
        <v>54.5</v>
      </c>
      <c r="J1172" s="5"/>
    </row>
    <row r="1173">
      <c r="A1173" s="5" t="s">
        <v>445</v>
      </c>
      <c r="B1173" s="201" t="s">
        <v>1400</v>
      </c>
      <c r="C1173" s="200" t="str">
        <f t="shared" si="1"/>
        <v>Vitamins &amp; Supplements_25+</v>
      </c>
      <c r="D1173" s="18">
        <v>2175.0</v>
      </c>
      <c r="E1173" s="18">
        <v>1037.0</v>
      </c>
      <c r="F1173" s="5">
        <v>47.7</v>
      </c>
      <c r="G1173" s="5">
        <v>8259.0</v>
      </c>
      <c r="H1173" s="5">
        <v>3055.0</v>
      </c>
      <c r="I1173" s="5">
        <v>37.0</v>
      </c>
      <c r="J1173" s="5"/>
    </row>
    <row r="1174">
      <c r="A1174" s="5" t="s">
        <v>445</v>
      </c>
      <c r="B1174" s="201" t="s">
        <v>4227</v>
      </c>
      <c r="C1174" s="200" t="str">
        <f t="shared" si="1"/>
        <v>Vitamins &amp; Supplements_No Sales</v>
      </c>
      <c r="D1174" s="18">
        <v>169.0</v>
      </c>
      <c r="E1174" s="18">
        <v>149.0</v>
      </c>
      <c r="F1174" s="5">
        <v>88.2</v>
      </c>
      <c r="G1174" s="5">
        <v>518.0</v>
      </c>
      <c r="H1174" s="5">
        <v>298.0</v>
      </c>
      <c r="I1174" s="5">
        <v>57.5</v>
      </c>
      <c r="J1174" s="5"/>
    </row>
    <row r="1175">
      <c r="A1175" s="5" t="s">
        <v>1198</v>
      </c>
      <c r="B1175" s="201" t="s">
        <v>1426</v>
      </c>
      <c r="C1175" s="200" t="str">
        <f t="shared" si="1"/>
        <v>Wafers &amp; Cakes_0-5</v>
      </c>
      <c r="D1175" s="18">
        <v>328.0</v>
      </c>
      <c r="E1175" s="18">
        <v>10.0</v>
      </c>
      <c r="F1175" s="5">
        <v>3.0</v>
      </c>
      <c r="G1175" s="5">
        <v>12667.0</v>
      </c>
      <c r="H1175" s="5">
        <v>142.0</v>
      </c>
      <c r="I1175" s="5">
        <v>1.1</v>
      </c>
      <c r="J1175" s="5"/>
    </row>
    <row r="1176">
      <c r="A1176" s="5" t="s">
        <v>1198</v>
      </c>
      <c r="B1176" s="201" t="s">
        <v>4228</v>
      </c>
      <c r="C1176" s="200" t="str">
        <f t="shared" si="1"/>
        <v>Wafers &amp; Cakes_5-10</v>
      </c>
      <c r="D1176" s="18">
        <v>139.0</v>
      </c>
      <c r="E1176" s="18">
        <v>9.0</v>
      </c>
      <c r="F1176" s="5">
        <v>6.5</v>
      </c>
      <c r="G1176" s="5">
        <v>2731.0</v>
      </c>
      <c r="H1176" s="5">
        <v>261.0</v>
      </c>
      <c r="I1176" s="5">
        <v>9.6</v>
      </c>
      <c r="J1176" s="5"/>
    </row>
    <row r="1177">
      <c r="A1177" s="5" t="s">
        <v>1198</v>
      </c>
      <c r="B1177" s="201" t="s">
        <v>4226</v>
      </c>
      <c r="C1177" s="200" t="str">
        <f t="shared" si="1"/>
        <v>Wafers &amp; Cakes_10-15</v>
      </c>
      <c r="D1177" s="18">
        <v>113.0</v>
      </c>
      <c r="E1177" s="18">
        <v>25.0</v>
      </c>
      <c r="F1177" s="5">
        <v>22.1</v>
      </c>
      <c r="G1177" s="5">
        <v>1167.0</v>
      </c>
      <c r="H1177" s="5">
        <v>55.0</v>
      </c>
      <c r="I1177" s="5">
        <v>4.7</v>
      </c>
      <c r="J1177" s="5"/>
    </row>
    <row r="1178">
      <c r="A1178" s="5" t="s">
        <v>1198</v>
      </c>
      <c r="B1178" s="201" t="s">
        <v>1413</v>
      </c>
      <c r="C1178" s="200" t="str">
        <f t="shared" si="1"/>
        <v>Wafers &amp; Cakes_15-20</v>
      </c>
      <c r="D1178" s="18">
        <v>295.0</v>
      </c>
      <c r="E1178" s="18">
        <v>84.0</v>
      </c>
      <c r="F1178" s="5">
        <v>28.5</v>
      </c>
      <c r="G1178" s="5">
        <v>1765.0</v>
      </c>
      <c r="H1178" s="5">
        <v>306.0</v>
      </c>
      <c r="I1178" s="5">
        <v>17.3</v>
      </c>
      <c r="J1178" s="5"/>
    </row>
    <row r="1179">
      <c r="A1179" s="5" t="s">
        <v>1198</v>
      </c>
      <c r="B1179" s="201" t="s">
        <v>1398</v>
      </c>
      <c r="C1179" s="200" t="str">
        <f t="shared" si="1"/>
        <v>Wafers &amp; Cakes_20-25</v>
      </c>
      <c r="D1179" s="18">
        <v>243.0</v>
      </c>
      <c r="E1179" s="18">
        <v>51.0</v>
      </c>
      <c r="F1179" s="5">
        <v>21.0</v>
      </c>
      <c r="G1179" s="5">
        <v>3140.0</v>
      </c>
      <c r="H1179" s="5">
        <v>122.0</v>
      </c>
      <c r="I1179" s="5">
        <v>3.9</v>
      </c>
      <c r="J1179" s="5"/>
    </row>
    <row r="1180">
      <c r="A1180" s="5" t="s">
        <v>1198</v>
      </c>
      <c r="B1180" s="201" t="s">
        <v>1400</v>
      </c>
      <c r="C1180" s="200" t="str">
        <f t="shared" si="1"/>
        <v>Wafers &amp; Cakes_25+</v>
      </c>
      <c r="D1180" s="18">
        <v>230.0</v>
      </c>
      <c r="E1180" s="18">
        <v>126.0</v>
      </c>
      <c r="F1180" s="5">
        <v>54.8</v>
      </c>
      <c r="G1180" s="5">
        <v>1252.0</v>
      </c>
      <c r="H1180" s="5">
        <v>369.0</v>
      </c>
      <c r="I1180" s="5">
        <v>29.5</v>
      </c>
      <c r="J1180" s="5"/>
    </row>
    <row r="1181">
      <c r="A1181" s="5" t="s">
        <v>1198</v>
      </c>
      <c r="B1181" s="201" t="s">
        <v>4227</v>
      </c>
      <c r="C1181" s="200" t="str">
        <f t="shared" si="1"/>
        <v>Wafers &amp; Cakes_No Sales</v>
      </c>
      <c r="D1181" s="18">
        <v>18.0</v>
      </c>
      <c r="E1181" s="18">
        <v>13.0</v>
      </c>
      <c r="F1181" s="5">
        <v>72.2</v>
      </c>
      <c r="G1181" s="5">
        <v>132.0</v>
      </c>
      <c r="H1181" s="5">
        <v>78.0</v>
      </c>
      <c r="I1181" s="5">
        <v>59.1</v>
      </c>
      <c r="J1181" s="5"/>
    </row>
    <row r="1182">
      <c r="A1182" s="5" t="s">
        <v>353</v>
      </c>
      <c r="B1182" s="201" t="s">
        <v>1426</v>
      </c>
      <c r="C1182" s="200" t="str">
        <f t="shared" si="1"/>
        <v>White_0-5</v>
      </c>
      <c r="D1182" s="18">
        <v>1.0</v>
      </c>
      <c r="E1182" s="18">
        <v>0.0</v>
      </c>
      <c r="F1182" s="5">
        <v>0.0</v>
      </c>
      <c r="G1182" s="5">
        <v>60.0</v>
      </c>
      <c r="H1182" s="5">
        <v>0.0</v>
      </c>
      <c r="I1182" s="5">
        <v>0.0</v>
      </c>
      <c r="J1182" s="5"/>
    </row>
    <row r="1183">
      <c r="A1183" s="5" t="s">
        <v>353</v>
      </c>
      <c r="B1183" s="201" t="s">
        <v>4228</v>
      </c>
      <c r="C1183" s="200" t="str">
        <f t="shared" si="1"/>
        <v>White_5-10</v>
      </c>
      <c r="D1183" s="18">
        <v>62.0</v>
      </c>
      <c r="E1183" s="18">
        <v>0.0</v>
      </c>
      <c r="F1183" s="5">
        <v>0.0</v>
      </c>
      <c r="G1183" s="5">
        <v>10024.0</v>
      </c>
      <c r="H1183" s="5">
        <v>0.0</v>
      </c>
      <c r="I1183" s="5">
        <v>0.0</v>
      </c>
      <c r="J1183" s="5"/>
    </row>
    <row r="1184">
      <c r="A1184" s="5" t="s">
        <v>353</v>
      </c>
      <c r="B1184" s="201" t="s">
        <v>4226</v>
      </c>
      <c r="C1184" s="200" t="str">
        <f t="shared" si="1"/>
        <v>White_10-15</v>
      </c>
      <c r="D1184" s="18">
        <v>59.0</v>
      </c>
      <c r="E1184" s="18">
        <v>0.0</v>
      </c>
      <c r="F1184" s="5">
        <v>0.0</v>
      </c>
      <c r="G1184" s="5">
        <v>3409.0</v>
      </c>
      <c r="H1184" s="5">
        <v>0.0</v>
      </c>
      <c r="I1184" s="5">
        <v>0.0</v>
      </c>
      <c r="J1184" s="5"/>
    </row>
    <row r="1185">
      <c r="A1185" s="5" t="s">
        <v>353</v>
      </c>
      <c r="B1185" s="201" t="s">
        <v>1413</v>
      </c>
      <c r="C1185" s="200" t="str">
        <f t="shared" si="1"/>
        <v>White_15-20</v>
      </c>
      <c r="D1185" s="18">
        <v>74.0</v>
      </c>
      <c r="E1185" s="18">
        <v>0.0</v>
      </c>
      <c r="F1185" s="5">
        <v>0.0</v>
      </c>
      <c r="G1185" s="5">
        <v>6238.0</v>
      </c>
      <c r="H1185" s="5">
        <v>0.0</v>
      </c>
      <c r="I1185" s="5">
        <v>0.0</v>
      </c>
      <c r="J1185" s="5"/>
    </row>
    <row r="1186">
      <c r="A1186" s="5" t="s">
        <v>353</v>
      </c>
      <c r="B1186" s="201" t="s">
        <v>1398</v>
      </c>
      <c r="C1186" s="200" t="str">
        <f t="shared" si="1"/>
        <v>White_20-25</v>
      </c>
      <c r="D1186" s="18">
        <v>34.0</v>
      </c>
      <c r="E1186" s="18">
        <v>0.0</v>
      </c>
      <c r="F1186" s="5">
        <v>0.0</v>
      </c>
      <c r="G1186" s="5">
        <v>918.0</v>
      </c>
      <c r="H1186" s="5">
        <v>0.0</v>
      </c>
      <c r="I1186" s="5">
        <v>0.0</v>
      </c>
      <c r="J1186" s="5"/>
    </row>
    <row r="1187">
      <c r="A1187" s="5" t="s">
        <v>353</v>
      </c>
      <c r="B1187" s="201" t="s">
        <v>1400</v>
      </c>
      <c r="C1187" s="200" t="str">
        <f t="shared" si="1"/>
        <v>White_25+</v>
      </c>
      <c r="D1187" s="18">
        <v>52.0</v>
      </c>
      <c r="E1187" s="18">
        <v>2.0</v>
      </c>
      <c r="F1187" s="5">
        <v>3.8</v>
      </c>
      <c r="G1187" s="5">
        <v>1182.0</v>
      </c>
      <c r="H1187" s="5">
        <v>4.0</v>
      </c>
      <c r="I1187" s="5">
        <v>0.3</v>
      </c>
      <c r="J1187" s="5"/>
    </row>
    <row r="1188">
      <c r="A1188" s="5" t="s">
        <v>1459</v>
      </c>
      <c r="B1188" s="201" t="s">
        <v>1426</v>
      </c>
      <c r="C1188" s="200" t="str">
        <f t="shared" si="1"/>
        <v>Wipes_0-5</v>
      </c>
      <c r="D1188" s="18">
        <v>1.0</v>
      </c>
      <c r="E1188" s="18">
        <v>0.0</v>
      </c>
      <c r="F1188" s="5">
        <v>0.0</v>
      </c>
      <c r="G1188" s="5">
        <v>45.0</v>
      </c>
      <c r="H1188" s="5">
        <v>0.0</v>
      </c>
      <c r="I1188" s="5">
        <v>0.0</v>
      </c>
      <c r="J1188" s="5"/>
    </row>
    <row r="1189">
      <c r="A1189" s="5" t="s">
        <v>1459</v>
      </c>
      <c r="B1189" s="201" t="s">
        <v>4228</v>
      </c>
      <c r="C1189" s="200" t="str">
        <f t="shared" si="1"/>
        <v>Wipes_5-10</v>
      </c>
      <c r="D1189" s="18">
        <v>49.0</v>
      </c>
      <c r="E1189" s="18">
        <v>2.0</v>
      </c>
      <c r="F1189" s="5">
        <v>4.1</v>
      </c>
      <c r="G1189" s="5">
        <v>1344.0</v>
      </c>
      <c r="H1189" s="5">
        <v>9.0</v>
      </c>
      <c r="I1189" s="5">
        <v>0.7</v>
      </c>
      <c r="J1189" s="5"/>
    </row>
    <row r="1190">
      <c r="A1190" s="5" t="s">
        <v>1459</v>
      </c>
      <c r="B1190" s="201" t="s">
        <v>4226</v>
      </c>
      <c r="C1190" s="200" t="str">
        <f t="shared" si="1"/>
        <v>Wipes_10-15</v>
      </c>
      <c r="D1190" s="18">
        <v>173.0</v>
      </c>
      <c r="E1190" s="18">
        <v>30.0</v>
      </c>
      <c r="F1190" s="5">
        <v>17.3</v>
      </c>
      <c r="G1190" s="5">
        <v>2953.0</v>
      </c>
      <c r="H1190" s="5">
        <v>89.0</v>
      </c>
      <c r="I1190" s="5">
        <v>3.0</v>
      </c>
      <c r="J1190" s="5"/>
    </row>
    <row r="1191">
      <c r="A1191" s="5" t="s">
        <v>1459</v>
      </c>
      <c r="B1191" s="201" t="s">
        <v>1413</v>
      </c>
      <c r="C1191" s="200" t="str">
        <f t="shared" si="1"/>
        <v>Wipes_15-20</v>
      </c>
      <c r="D1191" s="18">
        <v>91.0</v>
      </c>
      <c r="E1191" s="18">
        <v>11.0</v>
      </c>
      <c r="F1191" s="5">
        <v>12.1</v>
      </c>
      <c r="G1191" s="5">
        <v>1000.0</v>
      </c>
      <c r="H1191" s="5">
        <v>27.0</v>
      </c>
      <c r="I1191" s="5">
        <v>2.7</v>
      </c>
      <c r="J1191" s="5"/>
    </row>
    <row r="1192">
      <c r="A1192" s="5" t="s">
        <v>1459</v>
      </c>
      <c r="B1192" s="201" t="s">
        <v>1398</v>
      </c>
      <c r="C1192" s="200" t="str">
        <f t="shared" si="1"/>
        <v>Wipes_20-25</v>
      </c>
      <c r="D1192" s="18">
        <v>106.0</v>
      </c>
      <c r="E1192" s="18">
        <v>28.0</v>
      </c>
      <c r="F1192" s="5">
        <v>26.4</v>
      </c>
      <c r="G1192" s="5">
        <v>1716.0</v>
      </c>
      <c r="H1192" s="5">
        <v>80.0</v>
      </c>
      <c r="I1192" s="5">
        <v>4.7</v>
      </c>
      <c r="J1192" s="5"/>
    </row>
    <row r="1193">
      <c r="A1193" s="5" t="s">
        <v>1459</v>
      </c>
      <c r="B1193" s="201" t="s">
        <v>1400</v>
      </c>
      <c r="C1193" s="200" t="str">
        <f t="shared" si="1"/>
        <v>Wipes_25+</v>
      </c>
      <c r="D1193" s="18">
        <v>257.0</v>
      </c>
      <c r="E1193" s="18">
        <v>44.0</v>
      </c>
      <c r="F1193" s="5">
        <v>17.1</v>
      </c>
      <c r="G1193" s="5">
        <v>2194.0</v>
      </c>
      <c r="H1193" s="5">
        <v>116.0</v>
      </c>
      <c r="I1193" s="5">
        <v>5.3</v>
      </c>
      <c r="J1193" s="5"/>
    </row>
    <row r="1194">
      <c r="A1194" s="5" t="s">
        <v>1459</v>
      </c>
      <c r="B1194" s="201" t="s">
        <v>4227</v>
      </c>
      <c r="C1194" s="200" t="str">
        <f t="shared" si="1"/>
        <v>Wipes_No Sales</v>
      </c>
      <c r="D1194" s="18">
        <v>51.0</v>
      </c>
      <c r="E1194" s="18">
        <v>47.0</v>
      </c>
      <c r="F1194" s="5">
        <v>92.2</v>
      </c>
      <c r="G1194" s="5">
        <v>138.0</v>
      </c>
      <c r="H1194" s="5">
        <v>123.0</v>
      </c>
      <c r="I1194" s="5">
        <v>89.1</v>
      </c>
      <c r="J1194" s="5"/>
    </row>
    <row r="1195">
      <c r="A1195" s="5" t="s">
        <v>2711</v>
      </c>
      <c r="B1195" s="201" t="s">
        <v>1426</v>
      </c>
      <c r="C1195" s="200" t="str">
        <f t="shared" si="1"/>
        <v>Yoghurt Drinks_0-5</v>
      </c>
      <c r="D1195" s="18">
        <v>440.0</v>
      </c>
      <c r="E1195" s="18">
        <v>8.0</v>
      </c>
      <c r="F1195" s="5">
        <v>1.8</v>
      </c>
      <c r="G1195" s="5">
        <v>14162.0</v>
      </c>
      <c r="H1195" s="5">
        <v>30.0</v>
      </c>
      <c r="I1195" s="5">
        <v>0.2</v>
      </c>
      <c r="J1195" s="5"/>
    </row>
    <row r="1196">
      <c r="A1196" s="5" t="s">
        <v>2711</v>
      </c>
      <c r="B1196" s="201" t="s">
        <v>4228</v>
      </c>
      <c r="C1196" s="200" t="str">
        <f t="shared" si="1"/>
        <v>Yoghurt Drinks_5-10</v>
      </c>
      <c r="D1196" s="18">
        <v>105.0</v>
      </c>
      <c r="E1196" s="18">
        <v>5.0</v>
      </c>
      <c r="F1196" s="5">
        <v>4.8</v>
      </c>
      <c r="G1196" s="5">
        <v>4264.0</v>
      </c>
      <c r="H1196" s="5">
        <v>43.0</v>
      </c>
      <c r="I1196" s="5">
        <v>1.0</v>
      </c>
      <c r="J1196" s="5"/>
    </row>
    <row r="1197">
      <c r="A1197" s="5" t="s">
        <v>2711</v>
      </c>
      <c r="B1197" s="201" t="s">
        <v>4226</v>
      </c>
      <c r="C1197" s="200" t="str">
        <f t="shared" si="1"/>
        <v>Yoghurt Drinks_10-15</v>
      </c>
      <c r="D1197" s="18">
        <v>130.0</v>
      </c>
      <c r="E1197" s="18">
        <v>3.0</v>
      </c>
      <c r="F1197" s="5">
        <v>2.3</v>
      </c>
      <c r="G1197" s="5">
        <v>3241.0</v>
      </c>
      <c r="H1197" s="5">
        <v>17.0</v>
      </c>
      <c r="I1197" s="5">
        <v>0.5</v>
      </c>
      <c r="J1197" s="5"/>
    </row>
    <row r="1198">
      <c r="A1198" s="38"/>
      <c r="B1198" s="201" t="s">
        <v>4227</v>
      </c>
      <c r="C1198" s="200" t="str">
        <f t="shared" si="1"/>
        <v>_No Sales</v>
      </c>
      <c r="D1198" s="18">
        <v>645.0</v>
      </c>
      <c r="E1198" s="18">
        <v>56.0</v>
      </c>
      <c r="F1198" s="5">
        <v>8.7</v>
      </c>
      <c r="G1198" s="5">
        <v>11488.0</v>
      </c>
      <c r="H1198" s="5">
        <v>1797.0</v>
      </c>
      <c r="I1198" s="5">
        <v>15.6</v>
      </c>
      <c r="J1198" s="5"/>
    </row>
    <row r="1199">
      <c r="A1199" s="5"/>
      <c r="B1199" s="201"/>
      <c r="C1199" s="5"/>
      <c r="D1199" s="5"/>
      <c r="E1199" s="18"/>
      <c r="F1199" s="18"/>
      <c r="G1199" s="5"/>
      <c r="H1199" s="5"/>
      <c r="I1199" s="5"/>
      <c r="J1199" s="5"/>
    </row>
    <row r="1200">
      <c r="A1200" s="5"/>
      <c r="B1200" s="201"/>
      <c r="C1200" s="5"/>
      <c r="D1200" s="5"/>
      <c r="E1200" s="18"/>
      <c r="F1200" s="18"/>
      <c r="G1200" s="5"/>
      <c r="H1200" s="5"/>
      <c r="I1200" s="5"/>
      <c r="J1200" s="5"/>
    </row>
    <row r="1201">
      <c r="A1201" s="5"/>
      <c r="B1201" s="201"/>
      <c r="C1201" s="5"/>
      <c r="D1201" s="5"/>
      <c r="E1201" s="18"/>
      <c r="F1201" s="18"/>
      <c r="G1201" s="5"/>
      <c r="H1201" s="5"/>
      <c r="I1201" s="5"/>
      <c r="J1201" s="5"/>
    </row>
    <row r="1202">
      <c r="A1202" s="5"/>
      <c r="B1202" s="201"/>
      <c r="C1202" s="5"/>
      <c r="D1202" s="5"/>
      <c r="E1202" s="18"/>
      <c r="F1202" s="18"/>
      <c r="G1202" s="5"/>
      <c r="H1202" s="5"/>
      <c r="I1202" s="5"/>
      <c r="J1202" s="5"/>
    </row>
    <row r="1203">
      <c r="A1203" s="5"/>
      <c r="B1203" s="201"/>
      <c r="C1203" s="5"/>
      <c r="D1203" s="5"/>
      <c r="E1203" s="18"/>
      <c r="F1203" s="18"/>
      <c r="G1203" s="5"/>
      <c r="H1203" s="5"/>
      <c r="I1203" s="5"/>
      <c r="J1203" s="5"/>
    </row>
    <row r="1204">
      <c r="A1204" s="5"/>
      <c r="B1204" s="201"/>
      <c r="C1204" s="5"/>
      <c r="D1204" s="5"/>
      <c r="E1204" s="18"/>
      <c r="F1204" s="18"/>
      <c r="G1204" s="5"/>
      <c r="H1204" s="5"/>
      <c r="I1204" s="5"/>
      <c r="J1204" s="5"/>
    </row>
    <row r="1205">
      <c r="A1205" s="5"/>
      <c r="B1205" s="201"/>
      <c r="C1205" s="5"/>
      <c r="D1205" s="5"/>
      <c r="E1205" s="18"/>
      <c r="F1205" s="18"/>
      <c r="G1205" s="5"/>
      <c r="H1205" s="5"/>
      <c r="I1205" s="5"/>
      <c r="J1205" s="5"/>
    </row>
    <row r="1206">
      <c r="A1206" s="5"/>
      <c r="B1206" s="201"/>
      <c r="C1206" s="5"/>
      <c r="D1206" s="5"/>
      <c r="E1206" s="18"/>
      <c r="F1206" s="18"/>
      <c r="G1206" s="5"/>
      <c r="H1206" s="5"/>
      <c r="I1206" s="5"/>
      <c r="J1206" s="5"/>
    </row>
    <row r="1207">
      <c r="A1207" s="5"/>
      <c r="B1207" s="201"/>
      <c r="C1207" s="5"/>
      <c r="D1207" s="5"/>
      <c r="E1207" s="18"/>
      <c r="F1207" s="18"/>
      <c r="G1207" s="5"/>
      <c r="H1207" s="5"/>
      <c r="I1207" s="5"/>
      <c r="J1207" s="5"/>
    </row>
    <row r="1208">
      <c r="A1208" s="5"/>
      <c r="B1208" s="201"/>
      <c r="C1208" s="5"/>
      <c r="D1208" s="5"/>
      <c r="E1208" s="18"/>
      <c r="F1208" s="18"/>
      <c r="G1208" s="5"/>
      <c r="H1208" s="5"/>
      <c r="I1208" s="5"/>
      <c r="J1208" s="5"/>
    </row>
    <row r="1209">
      <c r="A1209" s="5"/>
      <c r="B1209" s="201"/>
      <c r="C1209" s="5"/>
      <c r="D1209" s="5"/>
      <c r="E1209" s="18"/>
      <c r="F1209" s="18"/>
      <c r="G1209" s="5"/>
      <c r="H1209" s="5"/>
      <c r="I1209" s="5"/>
      <c r="J1209" s="5"/>
    </row>
    <row r="1210">
      <c r="A1210" s="5"/>
      <c r="B1210" s="201"/>
      <c r="C1210" s="5"/>
      <c r="D1210" s="5"/>
      <c r="E1210" s="18"/>
      <c r="F1210" s="18"/>
      <c r="G1210" s="5"/>
      <c r="H1210" s="5"/>
      <c r="I1210" s="5"/>
      <c r="J1210" s="5"/>
    </row>
    <row r="1211">
      <c r="A1211" s="5"/>
      <c r="B1211" s="201"/>
      <c r="C1211" s="5"/>
      <c r="D1211" s="5"/>
      <c r="E1211" s="18"/>
      <c r="F1211" s="18"/>
      <c r="G1211" s="5"/>
      <c r="H1211" s="5"/>
      <c r="I1211" s="5"/>
      <c r="J1211" s="5"/>
    </row>
    <row r="1212">
      <c r="A1212" s="5"/>
      <c r="B1212" s="201"/>
      <c r="C1212" s="5"/>
      <c r="D1212" s="5"/>
      <c r="E1212" s="18"/>
      <c r="F1212" s="18"/>
      <c r="G1212" s="5"/>
      <c r="H1212" s="5"/>
      <c r="I1212" s="5"/>
      <c r="J1212" s="5"/>
    </row>
    <row r="1213">
      <c r="A1213" s="5"/>
      <c r="B1213" s="201"/>
      <c r="C1213" s="5"/>
      <c r="D1213" s="5"/>
      <c r="E1213" s="18"/>
      <c r="F1213" s="18"/>
      <c r="G1213" s="5"/>
      <c r="H1213" s="5"/>
      <c r="I1213" s="5"/>
      <c r="J1213" s="5"/>
    </row>
    <row r="1214">
      <c r="A1214" s="5"/>
      <c r="B1214" s="201"/>
      <c r="C1214" s="5"/>
      <c r="D1214" s="5"/>
      <c r="E1214" s="18"/>
      <c r="F1214" s="18"/>
      <c r="G1214" s="5"/>
      <c r="H1214" s="5"/>
      <c r="I1214" s="5"/>
      <c r="J1214" s="5"/>
    </row>
    <row r="1215">
      <c r="A1215" s="5"/>
      <c r="B1215" s="201"/>
      <c r="C1215" s="5"/>
      <c r="D1215" s="5"/>
      <c r="E1215" s="18"/>
      <c r="F1215" s="18"/>
      <c r="G1215" s="5"/>
      <c r="H1215" s="5"/>
      <c r="I1215" s="5"/>
      <c r="J1215" s="5"/>
    </row>
    <row r="1216">
      <c r="A1216" s="5"/>
      <c r="B1216" s="201"/>
      <c r="C1216" s="5"/>
      <c r="D1216" s="5"/>
      <c r="E1216" s="18"/>
      <c r="F1216" s="18"/>
      <c r="G1216" s="5"/>
      <c r="H1216" s="5"/>
      <c r="I1216" s="5"/>
      <c r="J1216" s="5"/>
    </row>
    <row r="1217">
      <c r="A1217" s="5"/>
      <c r="B1217" s="201"/>
      <c r="C1217" s="5"/>
      <c r="D1217" s="5"/>
      <c r="E1217" s="18"/>
      <c r="F1217" s="18"/>
      <c r="G1217" s="5"/>
      <c r="H1217" s="5"/>
      <c r="I1217" s="5"/>
      <c r="J1217" s="5"/>
    </row>
    <row r="1218">
      <c r="A1218" s="5"/>
      <c r="B1218" s="201"/>
      <c r="C1218" s="5"/>
      <c r="D1218" s="5"/>
      <c r="E1218" s="18"/>
      <c r="F1218" s="18"/>
      <c r="G1218" s="5"/>
      <c r="H1218" s="5"/>
      <c r="I1218" s="5"/>
      <c r="J1218" s="5"/>
    </row>
    <row r="1219">
      <c r="A1219" s="5"/>
      <c r="B1219" s="201"/>
      <c r="C1219" s="5"/>
      <c r="D1219" s="5"/>
      <c r="E1219" s="18"/>
      <c r="F1219" s="18"/>
      <c r="G1219" s="5"/>
      <c r="H1219" s="5"/>
      <c r="I1219" s="5"/>
      <c r="J1219" s="5"/>
    </row>
  </sheetData>
  <drawing r:id="rId1"/>
</worksheet>
</file>